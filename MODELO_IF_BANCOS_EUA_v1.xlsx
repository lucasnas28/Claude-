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20" yWindow="-120" windowWidth="38640" windowHeight="21120" tabRatio="600" firstSheet="0" activeTab="0" autoFilterDateGrouping="1"/>
  </bookViews>
  <sheets>
    <sheet xmlns:r="http://schemas.openxmlformats.org/officeDocument/2006/relationships" name="Inputs" sheetId="1" state="visible" r:id="rId1"/>
    <sheet xmlns:r="http://schemas.openxmlformats.org/officeDocument/2006/relationships" name="Inputs (2)" sheetId="2" state="visible" r:id="rId2"/>
    <sheet xmlns:r="http://schemas.openxmlformats.org/officeDocument/2006/relationships" name="Model" sheetId="3" state="visible" r:id="rId3"/>
    <sheet xmlns:r="http://schemas.openxmlformats.org/officeDocument/2006/relationships" name="Valuation" sheetId="4" state="visible" r:id="rId4"/>
    <sheet xmlns:r="http://schemas.openxmlformats.org/officeDocument/2006/relationships" name="Glossário" sheetId="5" state="visible" r:id="rId5"/>
  </sheets>
  <definedNames/>
  <calcPr calcId="191029" fullCalcOnLoad="1"/>
</workbook>
</file>

<file path=xl/styles.xml><?xml version="1.0" encoding="utf-8"?>
<styleSheet xmlns="http://schemas.openxmlformats.org/spreadsheetml/2006/main">
  <numFmts count="8">
    <numFmt numFmtId="164" formatCode="0.000"/>
    <numFmt numFmtId="165" formatCode="#,##0.00;\(#,##0.00\);&quot;–&quot;"/>
    <numFmt numFmtId="166" formatCode="#,##0.0;\(#,##0.0\);&quot;–&quot;"/>
    <numFmt numFmtId="167" formatCode="#,##0;\(#,##0\);&quot;–&quot;"/>
    <numFmt numFmtId="168" formatCode="0.0%;\(0.0%\);&quot;–&quot;"/>
    <numFmt numFmtId="169" formatCode="0.00%;\(0.00%\);&quot;–&quot;"/>
    <numFmt numFmtId="170" formatCode="0.0&quot;x&quot;;\(0.0&quot;x&quot;\);&quot;–&quot;"/>
    <numFmt numFmtId="171" formatCode="0.0%"/>
  </numFmts>
  <fonts count="33">
    <font>
      <name val="Calibri"/>
      <family val="2"/>
      <color theme="1"/>
      <sz val="11"/>
      <scheme val="minor"/>
    </font>
    <font>
      <name val="Verdana"/>
      <b val="1"/>
      <color rgb="FF1F3864"/>
      <sz val="10"/>
    </font>
    <font>
      <name val="Verdana"/>
      <i val="1"/>
      <color rgb="FF808080"/>
      <sz val="8"/>
    </font>
    <font>
      <name val="Verdana"/>
      <b val="1"/>
      <color rgb="FF0000FF"/>
      <sz val="10"/>
    </font>
    <font>
      <name val="Verdana"/>
      <b val="1"/>
      <color rgb="FFFFFFFF"/>
      <sz val="10"/>
    </font>
    <font>
      <name val="Verdana"/>
      <b val="1"/>
      <color rgb="FF0000FF"/>
      <sz val="9"/>
    </font>
    <font>
      <name val="Verdana"/>
      <color rgb="FF262626"/>
      <sz val="10"/>
    </font>
    <font>
      <name val="Verdana"/>
      <b val="1"/>
      <color rgb="FF1F3864"/>
      <sz val="9"/>
    </font>
    <font>
      <name val="Verdana"/>
      <i val="1"/>
      <color rgb="FF7F7F7F"/>
      <sz val="10"/>
    </font>
    <font>
      <name val="Verdana"/>
      <b val="1"/>
      <color rgb="FF000000"/>
      <sz val="10"/>
    </font>
    <font>
      <name val="Verdana"/>
      <b val="1"/>
      <i val="1"/>
      <color rgb="FF7F7F7F"/>
      <sz val="10"/>
    </font>
    <font>
      <name val="Verdana"/>
      <color rgb="FF7F7F7F"/>
      <sz val="8"/>
    </font>
    <font>
      <name val="Verdana"/>
      <color rgb="FF007A33"/>
      <sz val="8"/>
    </font>
    <font>
      <name val="Verdana"/>
      <i val="1"/>
      <color rgb="FF262626"/>
      <sz val="10"/>
    </font>
    <font>
      <name val="Verdana"/>
      <i val="1"/>
      <color rgb="FF1F6F4A"/>
      <sz val="10"/>
    </font>
    <font>
      <name val="Verdana"/>
      <i val="1"/>
      <color rgb="FF007A33"/>
      <sz val="10"/>
    </font>
    <font>
      <name val="Verdana"/>
      <b val="1"/>
      <color rgb="FF007A33"/>
      <sz val="10"/>
    </font>
    <font>
      <name val="Verdana"/>
      <i val="1"/>
      <color rgb="FF000000"/>
      <sz val="10"/>
    </font>
    <font>
      <name val="Verdana"/>
      <color rgb="FF404040"/>
      <sz val="9"/>
    </font>
    <font>
      <name val="Verdana"/>
      <b val="1"/>
      <color rgb="FFFFFFFF"/>
      <sz val="8"/>
    </font>
    <font>
      <name val="Verdana"/>
      <color rgb="FF808080"/>
      <sz val="8"/>
    </font>
    <font>
      <name val="Verdana"/>
      <color rgb="FF007A33"/>
      <sz val="10"/>
    </font>
    <font>
      <name val="Verdana"/>
      <color rgb="FF000000"/>
      <sz val="10"/>
    </font>
    <font>
      <name val="Verdana"/>
      <b val="1"/>
      <color rgb="FF1F3864"/>
      <sz val="14"/>
    </font>
    <font>
      <name val="Verdana"/>
      <i val="1"/>
      <color rgb="FF808080"/>
      <sz val="9"/>
    </font>
    <font>
      <name val="Verdana"/>
      <b val="1"/>
      <color rgb="FF000000"/>
      <sz val="11"/>
    </font>
    <font>
      <name val="Verdana"/>
      <color rgb="FF000000"/>
      <sz val="11"/>
    </font>
    <font>
      <name val="Verdana"/>
      <b val="1"/>
      <color rgb="FF1F3864"/>
      <sz val="11"/>
    </font>
    <font>
      <name val="Verdana"/>
      <b val="1"/>
      <color rgb="FFC00000"/>
      <sz val="8"/>
    </font>
    <font>
      <name val="Verdana"/>
      <b val="1"/>
      <color rgb="FF1F3864"/>
      <sz val="8"/>
    </font>
    <font>
      <name val="Verdana"/>
      <color rgb="FF404040"/>
      <sz val="10"/>
    </font>
    <font>
      <name val="Verdana"/>
      <family val="2"/>
      <b val="1"/>
      <color theme="1"/>
      <sz val="10"/>
    </font>
    <font>
      <name val="Verdana"/>
      <family val="2"/>
      <i val="1"/>
      <color theme="1"/>
      <sz val="10"/>
    </font>
  </fonts>
  <fills count="9">
    <fill>
      <patternFill/>
    </fill>
    <fill>
      <patternFill patternType="gray125"/>
    </fill>
    <fill>
      <patternFill patternType="solid">
        <fgColor rgb="FFFFF2CC"/>
      </patternFill>
    </fill>
    <fill>
      <patternFill patternType="solid">
        <fgColor rgb="FF1F3864"/>
      </patternFill>
    </fill>
    <fill>
      <patternFill patternType="solid">
        <fgColor rgb="FF2F5597"/>
      </patternFill>
    </fill>
    <fill>
      <patternFill patternType="solid">
        <fgColor rgb="FF00B050"/>
      </patternFill>
    </fill>
    <fill>
      <patternFill patternType="solid">
        <fgColor rgb="FFD9D9D9"/>
      </patternFill>
    </fill>
    <fill>
      <patternFill patternType="solid">
        <fgColor rgb="FFF2F5FA"/>
      </patternFill>
    </fill>
    <fill>
      <patternFill patternType="solid">
        <fgColor rgb="FF00B050"/>
        <bgColor indexed="64"/>
      </patternFill>
    </fill>
  </fills>
  <borders count="3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/>
      <right/>
      <top style="thin">
        <color rgb="FFBFBFBF"/>
      </top>
      <bottom/>
      <diagonal/>
    </border>
  </borders>
  <cellStyleXfs count="1">
    <xf numFmtId="0" fontId="0" fillId="0" borderId="0"/>
  </cellStyleXfs>
  <cellXfs count="137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164" fontId="3" fillId="2" borderId="1" applyAlignment="1" pivotButton="0" quotePrefix="0" xfId="0">
      <alignment horizontal="center"/>
    </xf>
    <xf numFmtId="0" fontId="1" fillId="0" borderId="0" applyAlignment="1" pivotButton="0" quotePrefix="0" xfId="0">
      <alignment vertical="center"/>
    </xf>
    <xf numFmtId="0" fontId="4" fillId="3" borderId="0" applyAlignment="1" pivotButton="0" quotePrefix="0" xfId="0">
      <alignment horizontal="left"/>
    </xf>
    <xf numFmtId="0" fontId="4" fillId="4" borderId="0" applyAlignment="1" pivotButton="0" quotePrefix="0" xfId="0">
      <alignment horizontal="center"/>
    </xf>
    <xf numFmtId="0" fontId="4" fillId="5" borderId="0" pivotButton="0" quotePrefix="0" xfId="0"/>
    <xf numFmtId="0" fontId="5" fillId="0" borderId="0" pivotButton="0" quotePrefix="0" xfId="0"/>
    <xf numFmtId="0" fontId="6" fillId="0" borderId="0" pivotButton="0" quotePrefix="0" xfId="0"/>
    <xf numFmtId="0" fontId="7" fillId="0" borderId="0" pivotButton="0" quotePrefix="0" xfId="0"/>
    <xf numFmtId="0" fontId="6" fillId="0" borderId="0" applyAlignment="1" pivotButton="0" quotePrefix="0" xfId="0">
      <alignment vertical="center" indent="1"/>
    </xf>
    <xf numFmtId="0" fontId="8" fillId="0" borderId="0" applyAlignment="1" pivotButton="0" quotePrefix="0" xfId="0">
      <alignment vertical="center" indent="1"/>
    </xf>
    <xf numFmtId="49" fontId="3" fillId="2" borderId="1" applyAlignment="1" pivotButton="0" quotePrefix="0" xfId="0">
      <alignment horizontal="center"/>
    </xf>
    <xf numFmtId="0" fontId="2" fillId="0" borderId="0" applyAlignment="1" pivotButton="0" quotePrefix="0" xfId="0">
      <alignment vertical="center"/>
    </xf>
    <xf numFmtId="0" fontId="9" fillId="0" borderId="0" applyAlignment="1" pivotButton="0" quotePrefix="0" xfId="0">
      <alignment vertical="center" indent="1"/>
    </xf>
    <xf numFmtId="0" fontId="10" fillId="0" borderId="0" applyAlignment="1" pivotButton="0" quotePrefix="0" xfId="0">
      <alignment vertical="center" indent="1"/>
    </xf>
    <xf numFmtId="49" fontId="9" fillId="0" borderId="0" applyAlignment="1" pivotButton="0" quotePrefix="0" xfId="0">
      <alignment horizontal="center"/>
    </xf>
    <xf numFmtId="17" fontId="3" fillId="2" borderId="1" applyAlignment="1" pivotButton="0" quotePrefix="0" xfId="0">
      <alignment horizontal="center"/>
    </xf>
    <xf numFmtId="165" fontId="3" fillId="2" borderId="1" applyAlignment="1" pivotButton="0" quotePrefix="0" xfId="0">
      <alignment horizontal="center"/>
    </xf>
    <xf numFmtId="166" fontId="3" fillId="2" borderId="1" applyAlignment="1" pivotButton="0" quotePrefix="0" xfId="0">
      <alignment horizontal="center"/>
    </xf>
    <xf numFmtId="166" fontId="9" fillId="0" borderId="0" applyAlignment="1" pivotButton="0" quotePrefix="0" xfId="0">
      <alignment horizontal="center"/>
    </xf>
    <xf numFmtId="167" fontId="9" fillId="0" borderId="0" applyAlignment="1" pivotButton="0" quotePrefix="0" xfId="0">
      <alignment horizontal="center"/>
    </xf>
    <xf numFmtId="17" fontId="1" fillId="0" borderId="0" applyAlignment="1" pivotButton="0" quotePrefix="0" xfId="0">
      <alignment horizontal="center"/>
    </xf>
    <xf numFmtId="1" fontId="11" fillId="0" borderId="0" applyAlignment="1" pivotButton="0" quotePrefix="0" xfId="0">
      <alignment horizontal="center"/>
    </xf>
    <xf numFmtId="0" fontId="4" fillId="3" borderId="0" applyAlignment="1" pivotButton="0" quotePrefix="0" xfId="0">
      <alignment horizontal="center"/>
    </xf>
    <xf numFmtId="0" fontId="13" fillId="0" borderId="0" applyAlignment="1" pivotButton="0" quotePrefix="0" xfId="0">
      <alignment vertical="center" indent="1"/>
    </xf>
    <xf numFmtId="1" fontId="12" fillId="0" borderId="0" applyAlignment="1" pivotButton="0" quotePrefix="0" xfId="0">
      <alignment horizontal="center"/>
    </xf>
    <xf numFmtId="0" fontId="2" fillId="5" borderId="0" applyAlignment="1" pivotButton="0" quotePrefix="0" xfId="0">
      <alignment vertical="center"/>
    </xf>
    <xf numFmtId="0" fontId="1" fillId="6" borderId="0" pivotButton="0" quotePrefix="0" xfId="0"/>
    <xf numFmtId="0" fontId="14" fillId="0" borderId="0" applyAlignment="1" pivotButton="0" quotePrefix="0" xfId="0">
      <alignment vertical="center" indent="1"/>
    </xf>
    <xf numFmtId="168" fontId="0" fillId="0" borderId="0" pivotButton="0" quotePrefix="0" xfId="0"/>
    <xf numFmtId="168" fontId="15" fillId="0" borderId="0" applyAlignment="1" pivotButton="0" quotePrefix="0" xfId="0">
      <alignment horizontal="center"/>
    </xf>
    <xf numFmtId="168" fontId="0" fillId="7" borderId="0" pivotButton="0" quotePrefix="0" xfId="0"/>
    <xf numFmtId="168" fontId="15" fillId="7" borderId="0" applyAlignment="1" pivotButton="0" quotePrefix="0" xfId="0">
      <alignment horizontal="center"/>
    </xf>
    <xf numFmtId="167" fontId="15" fillId="0" borderId="0" applyAlignment="1" pivotButton="0" quotePrefix="0" xfId="0">
      <alignment horizontal="center"/>
    </xf>
    <xf numFmtId="167" fontId="15" fillId="7" borderId="0" applyAlignment="1" pivotButton="0" quotePrefix="0" xfId="0">
      <alignment horizontal="center"/>
    </xf>
    <xf numFmtId="167" fontId="0" fillId="0" borderId="0" pivotButton="0" quotePrefix="0" xfId="0"/>
    <xf numFmtId="167" fontId="0" fillId="7" borderId="0" pivotButton="0" quotePrefix="0" xfId="0"/>
    <xf numFmtId="168" fontId="17" fillId="7" borderId="0" applyAlignment="1" pivotButton="0" quotePrefix="0" xfId="0">
      <alignment horizontal="center"/>
    </xf>
    <xf numFmtId="168" fontId="3" fillId="2" borderId="1" applyAlignment="1" pivotButton="0" quotePrefix="0" xfId="0">
      <alignment horizontal="center"/>
    </xf>
    <xf numFmtId="169" fontId="17" fillId="7" borderId="0" applyAlignment="1" pivotButton="0" quotePrefix="0" xfId="0">
      <alignment horizontal="center"/>
    </xf>
    <xf numFmtId="169" fontId="3" fillId="2" borderId="1" applyAlignment="1" pivotButton="0" quotePrefix="0" xfId="0">
      <alignment horizontal="center"/>
    </xf>
    <xf numFmtId="4" fontId="17" fillId="7" borderId="0" applyAlignment="1" pivotButton="0" quotePrefix="0" xfId="0">
      <alignment horizontal="center"/>
    </xf>
    <xf numFmtId="4" fontId="3" fillId="2" borderId="1" applyAlignment="1" pivotButton="0" quotePrefix="0" xfId="0">
      <alignment horizontal="center"/>
    </xf>
    <xf numFmtId="167" fontId="3" fillId="2" borderId="1" applyAlignment="1" pivotButton="0" quotePrefix="0" xfId="0">
      <alignment horizontal="center"/>
    </xf>
    <xf numFmtId="167" fontId="17" fillId="7" borderId="0" applyAlignment="1" pivotButton="0" quotePrefix="0" xfId="0">
      <alignment horizontal="center"/>
    </xf>
    <xf numFmtId="2" fontId="3" fillId="2" borderId="1" applyAlignment="1" pivotButton="0" quotePrefix="0" xfId="0">
      <alignment horizontal="center"/>
    </xf>
    <xf numFmtId="168" fontId="9" fillId="0" borderId="0" applyAlignment="1" pivotButton="0" quotePrefix="0" xfId="0">
      <alignment horizontal="center"/>
    </xf>
    <xf numFmtId="168" fontId="17" fillId="0" borderId="0" applyAlignment="1" pivotButton="0" quotePrefix="0" xfId="0">
      <alignment horizontal="center"/>
    </xf>
    <xf numFmtId="1" fontId="3" fillId="2" borderId="1" applyAlignment="1" pivotButton="0" quotePrefix="0" xfId="0">
      <alignment horizontal="center"/>
    </xf>
    <xf numFmtId="0" fontId="9" fillId="0" borderId="0" applyAlignment="1" pivotButton="0" quotePrefix="0" xfId="0">
      <alignment horizontal="left"/>
    </xf>
    <xf numFmtId="0" fontId="18" fillId="0" borderId="0" pivotButton="0" quotePrefix="0" xfId="0"/>
    <xf numFmtId="0" fontId="9" fillId="0" borderId="0" applyAlignment="1" pivotButton="0" quotePrefix="0" xfId="0">
      <alignment vertical="center"/>
    </xf>
    <xf numFmtId="0" fontId="10" fillId="0" borderId="0" applyAlignment="1" pivotButton="0" quotePrefix="0" xfId="0">
      <alignment vertical="center"/>
    </xf>
    <xf numFmtId="0" fontId="19" fillId="3" borderId="0" applyAlignment="1" pivotButton="0" quotePrefix="0" xfId="0">
      <alignment horizontal="center"/>
    </xf>
    <xf numFmtId="0" fontId="20" fillId="0" borderId="0" applyAlignment="1" pivotButton="0" quotePrefix="0" xfId="0">
      <alignment horizontal="center"/>
    </xf>
    <xf numFmtId="167" fontId="21" fillId="0" borderId="0" pivotButton="0" quotePrefix="0" xfId="0"/>
    <xf numFmtId="167" fontId="9" fillId="7" borderId="0" pivotButton="0" quotePrefix="0" xfId="0"/>
    <xf numFmtId="167" fontId="9" fillId="0" borderId="2" pivotButton="0" quotePrefix="0" xfId="0"/>
    <xf numFmtId="167" fontId="9" fillId="7" borderId="2" pivotButton="0" quotePrefix="0" xfId="0"/>
    <xf numFmtId="0" fontId="6" fillId="0" borderId="0" applyAlignment="1" pivotButton="0" quotePrefix="0" xfId="0">
      <alignment vertical="center" indent="2"/>
    </xf>
    <xf numFmtId="0" fontId="8" fillId="0" borderId="0" applyAlignment="1" pivotButton="0" quotePrefix="0" xfId="0">
      <alignment vertical="center" indent="2"/>
    </xf>
    <xf numFmtId="0" fontId="9" fillId="0" borderId="0" applyAlignment="1" pivotButton="0" quotePrefix="0" xfId="0">
      <alignment vertical="center" indent="2"/>
    </xf>
    <xf numFmtId="0" fontId="10" fillId="0" borderId="0" applyAlignment="1" pivotButton="0" quotePrefix="0" xfId="0">
      <alignment vertical="center" indent="2"/>
    </xf>
    <xf numFmtId="0" fontId="6" fillId="0" borderId="0" applyAlignment="1" pivotButton="0" quotePrefix="0" xfId="0">
      <alignment vertical="center" indent="3"/>
    </xf>
    <xf numFmtId="0" fontId="8" fillId="0" borderId="0" applyAlignment="1" pivotButton="0" quotePrefix="0" xfId="0">
      <alignment vertical="center" indent="3"/>
    </xf>
    <xf numFmtId="167" fontId="9" fillId="0" borderId="0" pivotButton="0" quotePrefix="0" xfId="0"/>
    <xf numFmtId="168" fontId="21" fillId="0" borderId="0" pivotButton="0" quotePrefix="0" xfId="0"/>
    <xf numFmtId="168" fontId="9" fillId="7" borderId="0" pivotButton="0" quotePrefix="0" xfId="0"/>
    <xf numFmtId="166" fontId="21" fillId="0" borderId="0" pivotButton="0" quotePrefix="0" xfId="0"/>
    <xf numFmtId="166" fontId="9" fillId="7" borderId="0" pivotButton="0" quotePrefix="0" xfId="0"/>
    <xf numFmtId="165" fontId="21" fillId="0" borderId="0" pivotButton="0" quotePrefix="0" xfId="0"/>
    <xf numFmtId="165" fontId="9" fillId="7" borderId="0" pivotButton="0" quotePrefix="0" xfId="0"/>
    <xf numFmtId="167" fontId="22" fillId="0" borderId="0" pivotButton="0" quotePrefix="0" xfId="0"/>
    <xf numFmtId="0" fontId="23" fillId="0" borderId="0" pivotButton="0" quotePrefix="0" xfId="0"/>
    <xf numFmtId="0" fontId="24" fillId="0" borderId="0" pivotButton="0" quotePrefix="0" xfId="0"/>
    <xf numFmtId="167" fontId="22" fillId="7" borderId="0" pivotButton="0" quotePrefix="0" xfId="0"/>
    <xf numFmtId="167" fontId="3" fillId="2" borderId="0" applyAlignment="1" pivotButton="0" quotePrefix="0" xfId="0">
      <alignment horizontal="center"/>
    </xf>
    <xf numFmtId="0" fontId="25" fillId="0" borderId="0" applyAlignment="1" pivotButton="0" quotePrefix="0" xfId="0">
      <alignment horizontal="left"/>
    </xf>
    <xf numFmtId="0" fontId="6" fillId="6" borderId="0" applyAlignment="1" pivotButton="0" quotePrefix="0" xfId="0">
      <alignment vertical="center" indent="1"/>
    </xf>
    <xf numFmtId="0" fontId="8" fillId="6" borderId="0" applyAlignment="1" pivotButton="0" quotePrefix="0" xfId="0">
      <alignment vertical="center" indent="1"/>
    </xf>
    <xf numFmtId="167" fontId="21" fillId="6" borderId="0" pivotButton="0" quotePrefix="0" xfId="0"/>
    <xf numFmtId="0" fontId="9" fillId="6" borderId="0" applyAlignment="1" pivotButton="0" quotePrefix="0" xfId="0">
      <alignment vertical="center" indent="1"/>
    </xf>
    <xf numFmtId="0" fontId="10" fillId="6" borderId="0" applyAlignment="1" pivotButton="0" quotePrefix="0" xfId="0">
      <alignment vertical="center" indent="1"/>
    </xf>
    <xf numFmtId="167" fontId="9" fillId="6" borderId="2" pivotButton="0" quotePrefix="0" xfId="0"/>
    <xf numFmtId="167" fontId="16" fillId="0" borderId="2" pivotButton="0" quotePrefix="0" xfId="0"/>
    <xf numFmtId="167" fontId="16" fillId="6" borderId="2" pivotButton="0" quotePrefix="0" xfId="0"/>
    <xf numFmtId="168" fontId="22" fillId="0" borderId="0" pivotButton="0" quotePrefix="0" xfId="0"/>
    <xf numFmtId="168" fontId="22" fillId="7" borderId="0" pivotButton="0" quotePrefix="0" xfId="0"/>
    <xf numFmtId="170" fontId="22" fillId="0" borderId="0" pivotButton="0" quotePrefix="0" xfId="0"/>
    <xf numFmtId="170" fontId="22" fillId="7" borderId="0" pivotButton="0" quotePrefix="0" xfId="0"/>
    <xf numFmtId="167" fontId="21" fillId="7" borderId="0" pivotButton="0" quotePrefix="0" xfId="0"/>
    <xf numFmtId="165" fontId="22" fillId="0" borderId="0" pivotButton="0" quotePrefix="0" xfId="0"/>
    <xf numFmtId="165" fontId="22" fillId="7" borderId="0" pivotButton="0" quotePrefix="0" xfId="0"/>
    <xf numFmtId="165" fontId="26" fillId="0" borderId="0" applyAlignment="1" pivotButton="0" quotePrefix="0" xfId="0">
      <alignment horizontal="center"/>
    </xf>
    <xf numFmtId="165" fontId="27" fillId="0" borderId="0" applyAlignment="1" pivotButton="0" quotePrefix="0" xfId="0">
      <alignment horizontal="center"/>
    </xf>
    <xf numFmtId="168" fontId="27" fillId="0" borderId="0" applyAlignment="1" pivotButton="0" quotePrefix="0" xfId="0">
      <alignment horizontal="center"/>
    </xf>
    <xf numFmtId="49" fontId="27" fillId="0" borderId="0" applyAlignment="1" pivotButton="0" quotePrefix="0" xfId="0">
      <alignment horizontal="center"/>
    </xf>
    <xf numFmtId="168" fontId="26" fillId="0" borderId="0" applyAlignment="1" pivotButton="0" quotePrefix="0" xfId="0">
      <alignment horizontal="center"/>
    </xf>
    <xf numFmtId="167" fontId="26" fillId="0" borderId="0" applyAlignment="1" pivotButton="0" quotePrefix="0" xfId="0">
      <alignment horizontal="center"/>
    </xf>
    <xf numFmtId="168" fontId="21" fillId="0" borderId="0" applyAlignment="1" pivotButton="0" quotePrefix="0" xfId="0">
      <alignment horizontal="center"/>
    </xf>
    <xf numFmtId="2" fontId="21" fillId="0" borderId="0" applyAlignment="1" pivotButton="0" quotePrefix="0" xfId="0">
      <alignment horizontal="center"/>
    </xf>
    <xf numFmtId="168" fontId="16" fillId="0" borderId="0" applyAlignment="1" pivotButton="0" quotePrefix="0" xfId="0">
      <alignment horizontal="center"/>
    </xf>
    <xf numFmtId="0" fontId="28" fillId="0" borderId="0" applyAlignment="1" pivotButton="0" quotePrefix="0" xfId="0">
      <alignment horizontal="left"/>
    </xf>
    <xf numFmtId="1" fontId="21" fillId="0" borderId="0" applyAlignment="1" pivotButton="0" quotePrefix="0" xfId="0">
      <alignment horizontal="center"/>
    </xf>
    <xf numFmtId="167" fontId="21" fillId="0" borderId="0" applyAlignment="1" pivotButton="0" quotePrefix="0" xfId="0">
      <alignment horizontal="center"/>
    </xf>
    <xf numFmtId="168" fontId="22" fillId="0" borderId="0" applyAlignment="1" pivotButton="0" quotePrefix="0" xfId="0">
      <alignment horizontal="center"/>
    </xf>
    <xf numFmtId="166" fontId="21" fillId="0" borderId="0" applyAlignment="1" pivotButton="0" quotePrefix="0" xfId="0">
      <alignment horizontal="center"/>
    </xf>
    <xf numFmtId="165" fontId="21" fillId="0" borderId="0" applyAlignment="1" pivotButton="0" quotePrefix="0" xfId="0">
      <alignment horizontal="center"/>
    </xf>
    <xf numFmtId="1" fontId="22" fillId="0" borderId="0" applyAlignment="1" pivotButton="0" quotePrefix="0" xfId="0">
      <alignment horizontal="center"/>
    </xf>
    <xf numFmtId="164" fontId="22" fillId="0" borderId="0" applyAlignment="1" pivotButton="0" quotePrefix="0" xfId="0">
      <alignment horizontal="center"/>
    </xf>
    <xf numFmtId="167" fontId="22" fillId="0" borderId="0" applyAlignment="1" pivotButton="0" quotePrefix="0" xfId="0">
      <alignment horizontal="center"/>
    </xf>
    <xf numFmtId="165" fontId="9" fillId="0" borderId="0" applyAlignment="1" pivotButton="0" quotePrefix="0" xfId="0">
      <alignment horizontal="center"/>
    </xf>
    <xf numFmtId="170" fontId="9" fillId="0" borderId="0" applyAlignment="1" pivotButton="0" quotePrefix="0" xfId="0">
      <alignment horizontal="center"/>
    </xf>
    <xf numFmtId="165" fontId="22" fillId="0" borderId="0" applyAlignment="1" pivotButton="0" quotePrefix="0" xfId="0">
      <alignment horizontal="center"/>
    </xf>
    <xf numFmtId="0" fontId="7" fillId="0" borderId="0" applyAlignment="1" pivotButton="0" quotePrefix="0" xfId="0">
      <alignment horizontal="center"/>
    </xf>
    <xf numFmtId="0" fontId="3" fillId="2" borderId="0" pivotButton="0" quotePrefix="0" xfId="0"/>
    <xf numFmtId="170" fontId="3" fillId="2" borderId="1" applyAlignment="1" pivotButton="0" quotePrefix="0" xfId="0">
      <alignment horizontal="center"/>
    </xf>
    <xf numFmtId="0" fontId="9" fillId="0" borderId="0" pivotButton="0" quotePrefix="0" xfId="0"/>
    <xf numFmtId="170" fontId="22" fillId="0" borderId="0" applyAlignment="1" pivotButton="0" quotePrefix="0" xfId="0">
      <alignment horizontal="center"/>
    </xf>
    <xf numFmtId="0" fontId="22" fillId="0" borderId="0" pivotButton="0" quotePrefix="0" xfId="0"/>
    <xf numFmtId="165" fontId="0" fillId="0" borderId="0" applyAlignment="1" pivotButton="0" quotePrefix="0" xfId="0">
      <alignment horizontal="center"/>
    </xf>
    <xf numFmtId="0" fontId="29" fillId="0" borderId="0" applyAlignment="1" pivotButton="0" quotePrefix="0" xfId="0">
      <alignment horizontal="center"/>
    </xf>
    <xf numFmtId="168" fontId="4" fillId="4" borderId="0" applyAlignment="1" pivotButton="0" quotePrefix="0" xfId="0">
      <alignment horizontal="center"/>
    </xf>
    <xf numFmtId="0" fontId="4" fillId="3" borderId="0" applyAlignment="1" pivotButton="0" quotePrefix="0" xfId="0">
      <alignment horizontal="left" vertical="center"/>
    </xf>
    <xf numFmtId="0" fontId="9" fillId="0" borderId="0" applyAlignment="1" pivotButton="0" quotePrefix="0" xfId="0">
      <alignment vertical="top" wrapText="1"/>
    </xf>
    <xf numFmtId="0" fontId="30" fillId="0" borderId="0" applyAlignment="1" pivotButton="0" quotePrefix="0" xfId="0">
      <alignment vertical="top" wrapText="1"/>
    </xf>
    <xf numFmtId="0" fontId="21" fillId="0" borderId="0" applyAlignment="1" pivotButton="0" quotePrefix="0" xfId="0">
      <alignment vertical="top" wrapText="1"/>
    </xf>
    <xf numFmtId="0" fontId="4" fillId="8" borderId="0" applyAlignment="1" pivotButton="0" quotePrefix="0" xfId="0">
      <alignment horizontal="center"/>
    </xf>
    <xf numFmtId="168" fontId="31" fillId="0" borderId="1" applyAlignment="1" pivotButton="0" quotePrefix="0" xfId="0">
      <alignment horizontal="center"/>
    </xf>
    <xf numFmtId="168" fontId="32" fillId="7" borderId="0" applyAlignment="1" pivotButton="0" quotePrefix="0" xfId="0">
      <alignment horizontal="center"/>
    </xf>
    <xf numFmtId="169" fontId="31" fillId="0" borderId="1" applyAlignment="1" pivotButton="0" quotePrefix="0" xfId="0">
      <alignment horizontal="center"/>
    </xf>
    <xf numFmtId="169" fontId="32" fillId="7" borderId="0" applyAlignment="1" pivotButton="0" quotePrefix="0" xfId="0">
      <alignment horizontal="center"/>
    </xf>
    <xf numFmtId="4" fontId="31" fillId="0" borderId="1" applyAlignment="1" pivotButton="0" quotePrefix="0" xfId="0">
      <alignment horizontal="center"/>
    </xf>
    <xf numFmtId="4" fontId="32" fillId="7" borderId="0" applyAlignment="1" pivotButton="0" quotePrefix="0" xfId="0">
      <alignment horizontal="center"/>
    </xf>
    <xf numFmtId="171" fontId="22" fillId="0" borderId="0" applyAlignment="1" pivotButton="0" quotePrefix="0" xfId="0">
      <alignment horizontal="center"/>
    </xf>
  </cellXfs>
  <cellStyles count="1">
    <cellStyle name="Normal" xfId="0" builtinId="0"/>
  </cellStyles>
  <dxfs count="3">
    <dxf>
      <font>
        <name val="Verdana"/>
        <b val="1"/>
        <color rgb="FF9C0006"/>
        <sz val="10"/>
      </font>
      <fill>
        <patternFill patternType="solid">
          <fgColor rgb="FFFFC7CE"/>
        </patternFill>
      </fill>
    </dxf>
    <dxf>
      <fill>
        <patternFill patternType="solid">
          <fgColor rgb="FFC6EFCE"/>
        </patternFill>
      </fill>
    </dxf>
    <dxf>
      <font>
        <name val="Verdana"/>
        <b val="1"/>
        <color rgb="FF9C0006"/>
        <sz val="10"/>
      </font>
      <fill>
        <patternFill patternType="solid">
          <fgColor rgb="FFFFC7CE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FFFFC000"/>
    <outlinePr summaryBelow="1" summaryRight="1"/>
    <pageSetUpPr/>
  </sheetPr>
  <dimension ref="A1:BI333"/>
  <sheetViews>
    <sheetView showGridLines="0" tabSelected="1" workbookViewId="0">
      <pane xSplit="4" ySplit="2" topLeftCell="T204" activePane="bottomRight" state="frozen"/>
      <selection pane="topRight" activeCell="A1" sqref="A1"/>
      <selection pane="bottomLeft" activeCell="A1" sqref="A1"/>
      <selection pane="bottomRight" activeCell="N281" sqref="N281"/>
    </sheetView>
  </sheetViews>
  <sheetFormatPr baseColWidth="8" defaultRowHeight="15" outlineLevelRow="1"/>
  <cols>
    <col width="2.42578125" customWidth="1" min="1" max="1"/>
    <col width="12" customWidth="1" min="2" max="2"/>
    <col width="58" customWidth="1" min="3" max="3"/>
    <col width="52" customWidth="1" min="4" max="4"/>
    <col width="11.42578125" customWidth="1" min="5" max="59"/>
    <col width="2" customWidth="1" min="60" max="60"/>
    <col width="58" customWidth="1" min="61" max="61"/>
  </cols>
  <sheetData>
    <row r="1">
      <c r="B1" s="1" t="inlineStr">
        <is>
          <t>Fator de escala</t>
        </is>
      </c>
      <c r="C1" s="2" t="inlineStr">
        <is>
          <t>Fonte já na unidade final = 1 · fonte em milhares = 0,001</t>
        </is>
      </c>
      <c r="D1" s="3" t="n">
        <v>1</v>
      </c>
      <c r="F1" s="4" t="inlineStr">
        <is>
          <t>MODELO-BASE VAZIO — BANCOS DOS EUA (US GAAP). Preencha os valores nas linhas abaixo e as datas de primeiro e último trimestre no painel. Fonte preferencial: 10-Q/10-K (SEC XBRL) e earnings supplement da companhia. Macro histórico do FRED (St. Louis Fed).</t>
        </is>
      </c>
    </row>
    <row r="2">
      <c r="B2" s="5" t="inlineStr">
        <is>
          <t>COD</t>
        </is>
      </c>
      <c r="C2" s="5" t="inlineStr">
        <is>
          <t>Conta (como divulgada)</t>
        </is>
      </c>
      <c r="D2" s="5" t="inlineStr">
        <is>
          <t>Fonte · ORIGEM · unidade</t>
        </is>
      </c>
      <c r="E2" s="6" t="inlineStr">
        <is>
          <t>1T20</t>
        </is>
      </c>
      <c r="F2" s="6" t="inlineStr">
        <is>
          <t>2T20</t>
        </is>
      </c>
      <c r="G2" s="6" t="inlineStr">
        <is>
          <t>3T20</t>
        </is>
      </c>
      <c r="H2" s="6" t="inlineStr">
        <is>
          <t>4T20</t>
        </is>
      </c>
      <c r="I2" s="6" t="inlineStr">
        <is>
          <t>1T21</t>
        </is>
      </c>
      <c r="J2" s="6" t="inlineStr">
        <is>
          <t>2T21</t>
        </is>
      </c>
      <c r="K2" s="6" t="inlineStr">
        <is>
          <t>3T21</t>
        </is>
      </c>
      <c r="L2" s="6" t="inlineStr">
        <is>
          <t>4T21</t>
        </is>
      </c>
      <c r="M2" s="6" t="inlineStr">
        <is>
          <t>1T22</t>
        </is>
      </c>
      <c r="N2" s="6" t="inlineStr">
        <is>
          <t>2T22</t>
        </is>
      </c>
      <c r="O2" s="6" t="inlineStr">
        <is>
          <t>3T22</t>
        </is>
      </c>
      <c r="P2" s="6" t="inlineStr">
        <is>
          <t>4T22</t>
        </is>
      </c>
      <c r="Q2" s="6" t="inlineStr">
        <is>
          <t>1T23</t>
        </is>
      </c>
      <c r="R2" s="6" t="inlineStr">
        <is>
          <t>2T23</t>
        </is>
      </c>
      <c r="S2" s="6" t="inlineStr">
        <is>
          <t>3T23</t>
        </is>
      </c>
      <c r="T2" s="6" t="inlineStr">
        <is>
          <t>4T23</t>
        </is>
      </c>
      <c r="U2" s="6" t="inlineStr">
        <is>
          <t>1T24</t>
        </is>
      </c>
      <c r="V2" s="6" t="inlineStr">
        <is>
          <t>2T24</t>
        </is>
      </c>
      <c r="W2" s="6" t="inlineStr">
        <is>
          <t>3T24</t>
        </is>
      </c>
      <c r="X2" s="6" t="inlineStr">
        <is>
          <t>4T24</t>
        </is>
      </c>
      <c r="Y2" s="6" t="inlineStr">
        <is>
          <t>1T25</t>
        </is>
      </c>
      <c r="Z2" s="6" t="inlineStr">
        <is>
          <t>2T25</t>
        </is>
      </c>
      <c r="AA2" s="6" t="inlineStr">
        <is>
          <t>3T25</t>
        </is>
      </c>
      <c r="AB2" s="6" t="inlineStr">
        <is>
          <t>4T25</t>
        </is>
      </c>
      <c r="AC2" s="6" t="inlineStr">
        <is>
          <t>1T26</t>
        </is>
      </c>
      <c r="AD2" s="6" t="inlineStr">
        <is>
          <t>2T26</t>
        </is>
      </c>
      <c r="AE2" s="6" t="inlineStr">
        <is>
          <t>3T26</t>
        </is>
      </c>
      <c r="AF2" s="6" t="inlineStr">
        <is>
          <t>4T26</t>
        </is>
      </c>
      <c r="AG2" s="6" t="inlineStr">
        <is>
          <t>1T27</t>
        </is>
      </c>
      <c r="AH2" s="6" t="inlineStr">
        <is>
          <t>2T27</t>
        </is>
      </c>
      <c r="AI2" s="6" t="inlineStr">
        <is>
          <t>3T27</t>
        </is>
      </c>
      <c r="AJ2" s="6" t="inlineStr">
        <is>
          <t>4T27</t>
        </is>
      </c>
      <c r="AK2" s="6" t="inlineStr">
        <is>
          <t>1T28</t>
        </is>
      </c>
      <c r="AL2" s="6" t="inlineStr">
        <is>
          <t>2T28</t>
        </is>
      </c>
      <c r="AM2" s="6" t="inlineStr">
        <is>
          <t>3T28</t>
        </is>
      </c>
      <c r="AN2" s="6" t="inlineStr">
        <is>
          <t>4T28</t>
        </is>
      </c>
      <c r="AO2" s="6" t="inlineStr">
        <is>
          <t>1T29</t>
        </is>
      </c>
      <c r="AP2" s="6" t="inlineStr">
        <is>
          <t>2T29</t>
        </is>
      </c>
      <c r="AQ2" s="6" t="inlineStr">
        <is>
          <t>3T29</t>
        </is>
      </c>
      <c r="AR2" s="6" t="inlineStr">
        <is>
          <t>4T29</t>
        </is>
      </c>
      <c r="AS2" s="6" t="inlineStr">
        <is>
          <t>1T30</t>
        </is>
      </c>
      <c r="AT2" s="6" t="inlineStr">
        <is>
          <t>2T30</t>
        </is>
      </c>
      <c r="AU2" s="6" t="inlineStr">
        <is>
          <t>3T30</t>
        </is>
      </c>
      <c r="AV2" s="6" t="inlineStr">
        <is>
          <t>4T30</t>
        </is>
      </c>
    </row>
    <row r="5">
      <c r="B5" s="7" t="n"/>
      <c r="C5" s="7" t="inlineStr">
        <is>
          <t>ATIVO</t>
        </is>
      </c>
      <c r="D5" s="7" t="n"/>
      <c r="E5" s="7" t="n"/>
      <c r="F5" s="7" t="n"/>
      <c r="G5" s="7" t="n"/>
      <c r="H5" s="7" t="n"/>
      <c r="I5" s="7" t="n"/>
      <c r="J5" s="7" t="n"/>
      <c r="K5" s="7" t="n"/>
      <c r="L5" s="7" t="n"/>
      <c r="M5" s="7" t="n"/>
      <c r="N5" s="7" t="n"/>
      <c r="O5" s="7" t="n"/>
      <c r="P5" s="7" t="n"/>
      <c r="Q5" s="7" t="n"/>
      <c r="R5" s="7" t="n"/>
      <c r="S5" s="7" t="n"/>
      <c r="T5" s="7" t="n"/>
      <c r="U5" s="7" t="n"/>
      <c r="V5" s="7" t="n"/>
      <c r="W5" s="7" t="n"/>
      <c r="X5" s="7" t="n"/>
      <c r="Y5" s="7" t="n"/>
      <c r="Z5" s="7" t="n"/>
      <c r="AA5" s="7" t="n"/>
      <c r="AB5" s="7" t="n"/>
      <c r="AC5" s="7" t="n"/>
      <c r="AD5" s="7" t="n"/>
      <c r="AE5" s="7" t="n"/>
      <c r="AF5" s="7" t="n"/>
      <c r="AG5" s="7" t="n"/>
      <c r="AH5" s="7" t="n"/>
      <c r="AI5" s="7" t="n"/>
      <c r="AJ5" s="7" t="n"/>
      <c r="AK5" s="7" t="n"/>
      <c r="AL5" s="7" t="n"/>
      <c r="AM5" s="7" t="n"/>
      <c r="AN5" s="7" t="n"/>
      <c r="AO5" s="7" t="n"/>
      <c r="AP5" s="7" t="n"/>
      <c r="AQ5" s="7" t="n"/>
      <c r="AR5" s="7" t="n"/>
      <c r="AS5" s="7" t="n"/>
      <c r="AT5" s="7" t="n"/>
      <c r="AU5" s="7" t="n"/>
      <c r="AV5" s="7" t="n"/>
    </row>
    <row r="6">
      <c r="B6" s="8" t="inlineStr">
        <is>
          <t>cash</t>
        </is>
      </c>
      <c r="C6" s="9" t="inlineStr">
        <is>
          <t>Caixa e depósitos não remunerados em bancos</t>
        </is>
      </c>
      <c r="D6" s="2" t="inlineStr">
        <is>
          <t>preencher: fonte e linha · fonte · moeda</t>
        </is>
      </c>
    </row>
    <row r="7">
      <c r="B7" s="8" t="inlineStr">
        <is>
          <t>resale</t>
        </is>
      </c>
      <c r="C7" s="9" t="inlineStr">
        <is>
          <t>Fed funds vendidos e compromissadas reversas</t>
        </is>
      </c>
      <c r="D7" s="2" t="inlineStr">
        <is>
          <t>preencher: fonte e linha · fonte · moeda</t>
        </is>
      </c>
    </row>
    <row r="8">
      <c r="B8" s="8" t="inlineStr">
        <is>
          <t>dep_banks</t>
        </is>
      </c>
      <c r="C8" s="9" t="inlineStr">
        <is>
          <t>Depósitos remunerados em bancos (inclui Federal Reserve)</t>
        </is>
      </c>
      <c r="D8" s="2" t="inlineStr">
        <is>
          <t>preencher: fonte e linha · fonte · moeda</t>
        </is>
      </c>
    </row>
    <row r="9">
      <c r="B9" s="8" t="inlineStr">
        <is>
          <t>sec_borrowed</t>
        </is>
      </c>
      <c r="C9" s="9" t="inlineStr">
        <is>
          <t>Títulos tomados em empréstimo (securities borrowed)</t>
        </is>
      </c>
      <c r="D9" s="2" t="inlineStr">
        <is>
          <t>preencher: fonte e linha · fonte · moeda</t>
        </is>
      </c>
    </row>
    <row r="10">
      <c r="B10" s="8" t="inlineStr">
        <is>
          <t>liq_acl</t>
        </is>
      </c>
      <c r="C10" s="9" t="inlineStr">
        <is>
          <t>(Provisão para perdas — aplicações de liquidez)</t>
        </is>
      </c>
      <c r="D10" s="2" t="inlineStr">
        <is>
          <t>preencher: fonte e linha · fonte · moeda</t>
        </is>
      </c>
    </row>
    <row r="11">
      <c r="B11" s="8" t="inlineStr">
        <is>
          <t>trading</t>
        </is>
      </c>
      <c r="C11" s="9" t="inlineStr">
        <is>
          <t>Ativos de trading (inclui derivativos a receber)</t>
        </is>
      </c>
      <c r="D11" s="2" t="inlineStr">
        <is>
          <t>preencher: fonte e linha · fonte · moeda</t>
        </is>
      </c>
    </row>
    <row r="12">
      <c r="B12" s="8" t="inlineStr">
        <is>
          <t>afs</t>
        </is>
      </c>
      <c r="C12" s="9" t="inlineStr">
        <is>
          <t>Títulos disponíveis para venda (AFS, valor justo)</t>
        </is>
      </c>
      <c r="D12" s="2" t="inlineStr">
        <is>
          <t>preencher: fonte e linha · fonte · moeda</t>
        </is>
      </c>
    </row>
    <row r="13">
      <c r="B13" s="8" t="inlineStr">
        <is>
          <t>htm</t>
        </is>
      </c>
      <c r="C13" s="9" t="inlineStr">
        <is>
          <t>Títulos mantidos até o vencimento (HTM, custo amortizado)</t>
        </is>
      </c>
      <c r="D13" s="2" t="inlineStr">
        <is>
          <t>preencher: fonte e linha · fonte · moeda</t>
        </is>
      </c>
    </row>
    <row r="14">
      <c r="B14" s="8" t="inlineStr">
        <is>
          <t>sec_acl</t>
        </is>
      </c>
      <c r="C14" s="9" t="inlineStr">
        <is>
          <t>(Provisão para perdas — títulos, quando à parte)</t>
        </is>
      </c>
      <c r="D14" s="2" t="inlineStr">
        <is>
          <t>preencher: fonte e linha · fonte · moeda</t>
        </is>
      </c>
    </row>
    <row r="15">
      <c r="B15" s="8" t="inlineStr">
        <is>
          <t>deriv_a</t>
        </is>
      </c>
      <c r="C15" s="9" t="inlineStr">
        <is>
          <t>Derivativos a receber (quando fora de trading)</t>
        </is>
      </c>
      <c r="D15" s="2" t="inlineStr">
        <is>
          <t>preencher: fonte e linha · fonte · moeda</t>
        </is>
      </c>
    </row>
    <row r="16">
      <c r="B16" s="8" t="inlineStr">
        <is>
          <t>loans</t>
        </is>
      </c>
      <c r="C16" s="9" t="inlineStr">
        <is>
          <t>Empréstimos, líquidos de receitas diferidas</t>
        </is>
      </c>
      <c r="D16" s="2" t="inlineStr">
        <is>
          <t>preencher: fonte e linha · fonte · moeda</t>
        </is>
      </c>
    </row>
    <row r="17">
      <c r="B17" s="8" t="inlineStr">
        <is>
          <t>loans_fv</t>
        </is>
      </c>
      <c r="C17" s="9" t="inlineStr">
        <is>
          <t>Empréstimos a valor justo / mantidos para venda (quando à parte)</t>
        </is>
      </c>
      <c r="D17" s="2" t="inlineStr">
        <is>
          <t>preencher: fonte e linha · fonte · moeda</t>
        </is>
      </c>
    </row>
    <row r="18">
      <c r="B18" s="8" t="inlineStr">
        <is>
          <t>acl</t>
        </is>
      </c>
      <c r="C18" s="9" t="inlineStr">
        <is>
          <t>(Provisão para perdas de crédito — ACL, CECL)</t>
        </is>
      </c>
      <c r="D18" s="2" t="inlineStr">
        <is>
          <t>preencher: fonte e linha · fonte · moeda</t>
        </is>
      </c>
    </row>
    <row r="19">
      <c r="B19" s="8" t="inlineStr">
        <is>
          <t>receivables</t>
        </is>
      </c>
      <c r="C19" s="9" t="inlineStr">
        <is>
          <t>Juros e contas a receber</t>
        </is>
      </c>
      <c r="D19" s="2" t="inlineStr">
        <is>
          <t>preencher: fonte e linha · fonte · moeda</t>
        </is>
      </c>
    </row>
    <row r="20">
      <c r="B20" s="8" t="inlineStr">
        <is>
          <t>dta</t>
        </is>
      </c>
      <c r="C20" s="9" t="inlineStr">
        <is>
          <t>Impostos diferidos ativos (quando à parte)</t>
        </is>
      </c>
      <c r="D20" s="2" t="inlineStr">
        <is>
          <t>preencher: fonte e linha · fonte · moeda</t>
        </is>
      </c>
    </row>
    <row r="21">
      <c r="B21" s="8" t="inlineStr">
        <is>
          <t>other_a</t>
        </is>
      </c>
      <c r="C21" s="9" t="inlineStr">
        <is>
          <t>Outros ativos</t>
        </is>
      </c>
      <c r="D21" s="2" t="inlineStr">
        <is>
          <t>preencher: fonte e linha · fonte · moeda</t>
        </is>
      </c>
    </row>
    <row r="22">
      <c r="B22" s="8" t="inlineStr">
        <is>
          <t>eq_inv</t>
        </is>
      </c>
      <c r="C22" s="9" t="inlineStr">
        <is>
          <t>Investimentos por equivalência patrimonial (quando à parte)</t>
        </is>
      </c>
      <c r="D22" s="2" t="inlineStr">
        <is>
          <t>preencher: fonte e linha · fonte · moeda</t>
        </is>
      </c>
    </row>
    <row r="23">
      <c r="B23" s="8" t="inlineStr">
        <is>
          <t>inv_out</t>
        </is>
      </c>
      <c r="C23" s="9" t="inlineStr">
        <is>
          <t>Outros investimentos (quando à parte)</t>
        </is>
      </c>
      <c r="D23" s="2" t="inlineStr">
        <is>
          <t>preencher: fonte e linha · fonte · moeda</t>
        </is>
      </c>
    </row>
    <row r="24">
      <c r="B24" s="8" t="inlineStr">
        <is>
          <t>premises</t>
        </is>
      </c>
      <c r="C24" s="9" t="inlineStr">
        <is>
          <t>Imóveis, equipamentos e direito de uso</t>
        </is>
      </c>
      <c r="D24" s="2" t="inlineStr">
        <is>
          <t>preencher: fonte e linha · fonte · moeda</t>
        </is>
      </c>
    </row>
    <row r="25">
      <c r="B25" s="8" t="inlineStr">
        <is>
          <t>gw_intang</t>
        </is>
      </c>
      <c r="C25" s="9" t="inlineStr">
        <is>
          <t>Goodwill, MSRs e outros intangíveis</t>
        </is>
      </c>
      <c r="D25" s="2" t="inlineStr">
        <is>
          <t>preencher: fonte e linha · fonte · moeda</t>
        </is>
      </c>
    </row>
    <row r="27">
      <c r="B27" s="7" t="n"/>
      <c r="C27" s="7" t="inlineStr">
        <is>
          <t>PASSIVO</t>
        </is>
      </c>
      <c r="D27" s="7" t="n"/>
      <c r="E27" s="7" t="n"/>
      <c r="F27" s="7" t="n"/>
      <c r="G27" s="7" t="n"/>
      <c r="H27" s="7" t="n"/>
      <c r="I27" s="7" t="n"/>
      <c r="J27" s="7" t="n"/>
      <c r="K27" s="7" t="n"/>
      <c r="L27" s="7" t="n"/>
      <c r="M27" s="7" t="n"/>
      <c r="N27" s="7" t="n"/>
      <c r="O27" s="7" t="n"/>
      <c r="P27" s="7" t="n"/>
      <c r="Q27" s="7" t="n"/>
      <c r="R27" s="7" t="n"/>
      <c r="S27" s="7" t="n"/>
      <c r="T27" s="7" t="n"/>
      <c r="U27" s="7" t="n"/>
      <c r="V27" s="7" t="n"/>
      <c r="W27" s="7" t="n"/>
      <c r="X27" s="7" t="n"/>
      <c r="Y27" s="7" t="n"/>
      <c r="Z27" s="7" t="n"/>
      <c r="AA27" s="7" t="n"/>
      <c r="AB27" s="7" t="n"/>
      <c r="AC27" s="7" t="n"/>
      <c r="AD27" s="7" t="n"/>
      <c r="AE27" s="7" t="n"/>
      <c r="AF27" s="7" t="n"/>
      <c r="AG27" s="7" t="n"/>
      <c r="AH27" s="7" t="n"/>
      <c r="AI27" s="7" t="n"/>
      <c r="AJ27" s="7" t="n"/>
      <c r="AK27" s="7" t="n"/>
      <c r="AL27" s="7" t="n"/>
      <c r="AM27" s="7" t="n"/>
      <c r="AN27" s="7" t="n"/>
      <c r="AO27" s="7" t="n"/>
      <c r="AP27" s="7" t="n"/>
      <c r="AQ27" s="7" t="n"/>
      <c r="AR27" s="7" t="n"/>
      <c r="AS27" s="7" t="n"/>
      <c r="AT27" s="7" t="n"/>
      <c r="AU27" s="7" t="n"/>
      <c r="AV27" s="7" t="n"/>
    </row>
    <row r="28">
      <c r="B28" s="8" t="inlineStr">
        <is>
          <t>dep_nib</t>
        </is>
      </c>
      <c r="C28" s="9" t="inlineStr">
        <is>
          <t>Depósitos sem juros (noninterest-bearing)</t>
        </is>
      </c>
      <c r="D28" s="2" t="inlineStr">
        <is>
          <t>preencher: fonte e linha · fonte · moeda</t>
        </is>
      </c>
    </row>
    <row r="29">
      <c r="B29" s="8" t="inlineStr">
        <is>
          <t>dep_ib</t>
        </is>
      </c>
      <c r="C29" s="9" t="inlineStr">
        <is>
          <t>Depósitos com juros (interest-bearing)</t>
        </is>
      </c>
      <c r="D29" s="2" t="inlineStr">
        <is>
          <t>preencher: fonte e linha · fonte · moeda</t>
        </is>
      </c>
    </row>
    <row r="30">
      <c r="B30" s="8" t="inlineStr">
        <is>
          <t>dep_x1</t>
        </is>
      </c>
      <c r="C30" s="9" t="inlineStr">
        <is>
          <t>Depósitos — abertura adicional (quando a fonte separa)</t>
        </is>
      </c>
      <c r="D30" s="2" t="inlineStr">
        <is>
          <t>preencher: fonte e linha · fonte · moeda</t>
        </is>
      </c>
    </row>
    <row r="31">
      <c r="B31" s="8" t="inlineStr">
        <is>
          <t>dep_time</t>
        </is>
      </c>
      <c r="C31" s="9" t="inlineStr">
        <is>
          <t>Depósitos a prazo (time deposits, quando à parte)</t>
        </is>
      </c>
      <c r="D31" s="2" t="inlineStr">
        <is>
          <t>preencher: fonte e linha · fonte · moeda</t>
        </is>
      </c>
    </row>
    <row r="32">
      <c r="B32" s="8" t="inlineStr">
        <is>
          <t>dep_other</t>
        </is>
      </c>
      <c r="C32" s="9" t="inlineStr">
        <is>
          <t>Outros depósitos (quando à parte)</t>
        </is>
      </c>
      <c r="D32" s="2" t="inlineStr">
        <is>
          <t>preencher: fonte e linha · fonte · moeda</t>
        </is>
      </c>
    </row>
    <row r="33">
      <c r="B33" s="8" t="inlineStr">
        <is>
          <t>repo</t>
        </is>
      </c>
      <c r="C33" s="9" t="inlineStr">
        <is>
          <t>Fed funds comprados e compromissadas (repos)</t>
        </is>
      </c>
      <c r="D33" s="2" t="inlineStr">
        <is>
          <t>preencher: fonte e linha · fonte · moeda</t>
        </is>
      </c>
    </row>
    <row r="34">
      <c r="B34" s="8" t="inlineStr">
        <is>
          <t>st_borr</t>
        </is>
      </c>
      <c r="C34" s="9" t="inlineStr">
        <is>
          <t>Captações de curto prazo (short-term borrowings)</t>
        </is>
      </c>
      <c r="D34" s="2" t="inlineStr">
        <is>
          <t>preencher: fonte e linha · fonte · moeda</t>
        </is>
      </c>
    </row>
    <row r="35">
      <c r="B35" s="8" t="inlineStr">
        <is>
          <t>sec_loaned</t>
        </is>
      </c>
      <c r="C35" s="9" t="inlineStr">
        <is>
          <t>Títulos emprestados (securities loaned, quando à parte)</t>
        </is>
      </c>
      <c r="D35" s="2" t="inlineStr">
        <is>
          <t>preencher: fonte e linha · fonte · moeda</t>
        </is>
      </c>
    </row>
    <row r="36">
      <c r="B36" s="8" t="inlineStr">
        <is>
          <t>ltd</t>
        </is>
      </c>
      <c r="C36" s="9" t="inlineStr">
        <is>
          <t>Dívida de longo prazo (inclui subordinada)</t>
        </is>
      </c>
      <c r="D36" s="2" t="inlineStr">
        <is>
          <t>preencher: fonte e linha · fonte · moeda</t>
        </is>
      </c>
    </row>
    <row r="37">
      <c r="B37" s="8" t="inlineStr">
        <is>
          <t>vie</t>
        </is>
      </c>
      <c r="C37" s="9" t="inlineStr">
        <is>
          <t>Participações emitidas por VIEs consolidadas</t>
        </is>
      </c>
      <c r="D37" s="2" t="inlineStr">
        <is>
          <t>preencher: fonte e linha · fonte · moeda</t>
        </is>
      </c>
    </row>
    <row r="38">
      <c r="B38" s="8" t="inlineStr">
        <is>
          <t>ltd_x</t>
        </is>
      </c>
      <c r="C38" s="9" t="inlineStr">
        <is>
          <t>Outras emissões (quando à parte)</t>
        </is>
      </c>
      <c r="D38" s="2" t="inlineStr">
        <is>
          <t>preencher: fonte e linha · fonte · moeda</t>
        </is>
      </c>
    </row>
    <row r="39">
      <c r="B39" s="8" t="inlineStr">
        <is>
          <t>sub_debt</t>
        </is>
      </c>
      <c r="C39" s="9" t="inlineStr">
        <is>
          <t>Dívida subordinada (quando à parte)</t>
        </is>
      </c>
      <c r="D39" s="2" t="inlineStr">
        <is>
          <t>preencher: fonte e linha · fonte · moeda</t>
        </is>
      </c>
    </row>
    <row r="40">
      <c r="B40" s="8" t="inlineStr">
        <is>
          <t>fhlb</t>
        </is>
      </c>
      <c r="C40" s="9" t="inlineStr">
        <is>
          <t>Adiantamentos do FHLB e outros empréstimos (quando à parte)</t>
        </is>
      </c>
      <c r="D40" s="2" t="inlineStr">
        <is>
          <t>preencher: fonte e linha · fonte · moeda</t>
        </is>
      </c>
    </row>
    <row r="41">
      <c r="B41" s="8" t="inlineStr">
        <is>
          <t>borr_x</t>
        </is>
      </c>
      <c r="C41" s="9" t="inlineStr">
        <is>
          <t>Outros empréstimos tomados (quando à parte)</t>
        </is>
      </c>
      <c r="D41" s="2" t="inlineStr">
        <is>
          <t>preencher: fonte e linha · fonte · moeda</t>
        </is>
      </c>
    </row>
    <row r="42">
      <c r="B42" s="8" t="inlineStr">
        <is>
          <t>trading_l</t>
        </is>
      </c>
      <c r="C42" s="9" t="inlineStr">
        <is>
          <t>Passivos de trading (inclui derivativos a pagar)</t>
        </is>
      </c>
      <c r="D42" s="2" t="inlineStr">
        <is>
          <t>preencher: fonte e linha · fonte · moeda</t>
        </is>
      </c>
    </row>
    <row r="43">
      <c r="B43" s="8" t="inlineStr">
        <is>
          <t>brokers_l</t>
        </is>
      </c>
      <c r="C43" s="9" t="inlineStr">
        <is>
          <t>Obrigações com corretoras e clientes (quando à parte)</t>
        </is>
      </c>
      <c r="D43" s="2" t="inlineStr">
        <is>
          <t>preencher: fonte e linha · fonte · moeda</t>
        </is>
      </c>
    </row>
    <row r="44">
      <c r="B44" s="8" t="inlineStr">
        <is>
          <t>lrc_liab</t>
        </is>
      </c>
      <c r="C44" s="9" t="inlineStr">
        <is>
          <t>Provisão para compromissos de crédito (quando à parte)</t>
        </is>
      </c>
      <c r="D44" s="2" t="inlineStr">
        <is>
          <t>preencher: fonte e linha · fonte · moeda</t>
        </is>
      </c>
    </row>
    <row r="45">
      <c r="B45" s="8" t="inlineStr">
        <is>
          <t>ins_res</t>
        </is>
      </c>
      <c r="C45" s="9" t="inlineStr">
        <is>
          <t>Reservas de seguros (quando aplicável)</t>
        </is>
      </c>
      <c r="D45" s="2" t="inlineStr">
        <is>
          <t>preencher: fonte e linha · fonte · moeda</t>
        </is>
      </c>
    </row>
    <row r="46">
      <c r="B46" s="8" t="inlineStr">
        <is>
          <t>prov_other</t>
        </is>
      </c>
      <c r="C46" s="9" t="inlineStr">
        <is>
          <t>Demais provisões (quando à parte)</t>
        </is>
      </c>
      <c r="D46" s="2" t="inlineStr">
        <is>
          <t>preencher: fonte e linha · fonte · moeda</t>
        </is>
      </c>
    </row>
    <row r="47">
      <c r="B47" s="8" t="inlineStr">
        <is>
          <t>dtl</t>
        </is>
      </c>
      <c r="C47" s="9" t="inlineStr">
        <is>
          <t>Impostos a pagar e diferidos (quando à parte)</t>
        </is>
      </c>
      <c r="D47" s="2" t="inlineStr">
        <is>
          <t>preencher: fonte e linha · fonte · moeda</t>
        </is>
      </c>
    </row>
    <row r="48">
      <c r="B48" s="8" t="inlineStr">
        <is>
          <t>other_l</t>
        </is>
      </c>
      <c r="C48" s="9" t="inlineStr">
        <is>
          <t>Contas a pagar e outros passivos</t>
        </is>
      </c>
      <c r="D48" s="2" t="inlineStr">
        <is>
          <t>preencher: fonte e linha · fonte · moeda</t>
        </is>
      </c>
    </row>
    <row r="50">
      <c r="B50" s="7" t="n"/>
      <c r="C50" s="7" t="inlineStr">
        <is>
          <t>PATRIMÔNIO LÍQUIDO</t>
        </is>
      </c>
      <c r="D50" s="7" t="n"/>
      <c r="E50" s="7" t="n"/>
      <c r="F50" s="7" t="n"/>
      <c r="G50" s="7" t="n"/>
      <c r="H50" s="7" t="n"/>
      <c r="I50" s="7" t="n"/>
      <c r="J50" s="7" t="n"/>
      <c r="K50" s="7" t="n"/>
      <c r="L50" s="7" t="n"/>
      <c r="M50" s="7" t="n"/>
      <c r="N50" s="7" t="n"/>
      <c r="O50" s="7" t="n"/>
      <c r="P50" s="7" t="n"/>
      <c r="Q50" s="7" t="n"/>
      <c r="R50" s="7" t="n"/>
      <c r="S50" s="7" t="n"/>
      <c r="T50" s="7" t="n"/>
      <c r="U50" s="7" t="n"/>
      <c r="V50" s="7" t="n"/>
      <c r="W50" s="7" t="n"/>
      <c r="X50" s="7" t="n"/>
      <c r="Y50" s="7" t="n"/>
      <c r="Z50" s="7" t="n"/>
      <c r="AA50" s="7" t="n"/>
      <c r="AB50" s="7" t="n"/>
      <c r="AC50" s="7" t="n"/>
      <c r="AD50" s="7" t="n"/>
      <c r="AE50" s="7" t="n"/>
      <c r="AF50" s="7" t="n"/>
      <c r="AG50" s="7" t="n"/>
      <c r="AH50" s="7" t="n"/>
      <c r="AI50" s="7" t="n"/>
      <c r="AJ50" s="7" t="n"/>
      <c r="AK50" s="7" t="n"/>
      <c r="AL50" s="7" t="n"/>
      <c r="AM50" s="7" t="n"/>
      <c r="AN50" s="7" t="n"/>
      <c r="AO50" s="7" t="n"/>
      <c r="AP50" s="7" t="n"/>
      <c r="AQ50" s="7" t="n"/>
      <c r="AR50" s="7" t="n"/>
      <c r="AS50" s="7" t="n"/>
      <c r="AT50" s="7" t="n"/>
      <c r="AU50" s="7" t="n"/>
      <c r="AV50" s="7" t="n"/>
    </row>
    <row r="51">
      <c r="B51" s="8" t="inlineStr">
        <is>
          <t>common_stk</t>
        </is>
      </c>
      <c r="C51" s="9" t="inlineStr">
        <is>
          <t>Ações ordinárias (valor nominal)</t>
        </is>
      </c>
      <c r="D51" s="2" t="inlineStr">
        <is>
          <t>preencher: fonte e linha · fonte · moeda</t>
        </is>
      </c>
    </row>
    <row r="52">
      <c r="B52" s="8" t="inlineStr">
        <is>
          <t>apic</t>
        </is>
      </c>
      <c r="C52" s="9" t="inlineStr">
        <is>
          <t>Capital adicional integralizado (APIC) e outros</t>
        </is>
      </c>
      <c r="D52" s="2" t="inlineStr">
        <is>
          <t>preencher: fonte e linha · fonte · moeda</t>
        </is>
      </c>
    </row>
    <row r="53">
      <c r="B53" s="8" t="inlineStr">
        <is>
          <t>ret_earn</t>
        </is>
      </c>
      <c r="C53" s="9" t="inlineStr">
        <is>
          <t>Lucros retidos</t>
        </is>
      </c>
      <c r="D53" s="2" t="inlineStr">
        <is>
          <t>preencher: fonte e linha · fonte · moeda</t>
        </is>
      </c>
    </row>
    <row r="54">
      <c r="B54" s="8" t="inlineStr">
        <is>
          <t>aoci</t>
        </is>
      </c>
      <c r="C54" s="9" t="inlineStr">
        <is>
          <t>Outros resultados abrangentes acumulados (AOCI)</t>
        </is>
      </c>
      <c r="D54" s="2" t="inlineStr">
        <is>
          <t>preencher: fonte e linha · fonte · moeda</t>
        </is>
      </c>
    </row>
    <row r="55">
      <c r="B55" s="8" t="inlineStr">
        <is>
          <t>treasury</t>
        </is>
      </c>
      <c r="C55" s="9" t="inlineStr">
        <is>
          <t>(Ações em tesouraria, a custo)</t>
        </is>
      </c>
      <c r="D55" s="2" t="inlineStr">
        <is>
          <t>preencher: fonte e linha · fonte · moeda</t>
        </is>
      </c>
    </row>
    <row r="56">
      <c r="B56" s="8" t="inlineStr">
        <is>
          <t>nci</t>
        </is>
      </c>
      <c r="C56" s="9" t="inlineStr">
        <is>
          <t>Participação de não controladores</t>
        </is>
      </c>
      <c r="D56" s="2" t="inlineStr">
        <is>
          <t>preencher: fonte e linha · fonte · moeda</t>
        </is>
      </c>
    </row>
    <row r="58">
      <c r="B58" s="7" t="n"/>
      <c r="C58" s="7" t="inlineStr">
        <is>
          <t>DEMONSTRAÇÃO DO RESULTADO (US GAAP)</t>
        </is>
      </c>
      <c r="D58" s="7" t="n"/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</row>
    <row r="59">
      <c r="B59" s="8" t="inlineStr">
        <is>
          <t>ii_loans</t>
        </is>
      </c>
      <c r="C59" s="9" t="inlineStr">
        <is>
          <t>Juros de empréstimos</t>
        </is>
      </c>
      <c r="D59" s="2" t="inlineStr">
        <is>
          <t>preencher: fonte e linha · fonte · moeda</t>
        </is>
      </c>
    </row>
    <row r="60">
      <c r="B60" s="8" t="inlineStr">
        <is>
          <t>ii_sec</t>
        </is>
      </c>
      <c r="C60" s="9" t="inlineStr">
        <is>
          <t>Juros de títulos e ativos de trading</t>
        </is>
      </c>
      <c r="D60" s="2" t="inlineStr">
        <is>
          <t>preencher: fonte e linha · fonte · moeda</t>
        </is>
      </c>
    </row>
    <row r="61">
      <c r="B61" s="8" t="inlineStr">
        <is>
          <t>ii_repo</t>
        </is>
      </c>
      <c r="C61" s="9" t="inlineStr">
        <is>
          <t>Juros de compromissadas reversas e securities borrowed</t>
        </is>
      </c>
      <c r="D61" s="2" t="inlineStr">
        <is>
          <t>preencher: fonte e linha · fonte · moeda</t>
        </is>
      </c>
    </row>
    <row r="62">
      <c r="B62" s="8" t="inlineStr">
        <is>
          <t>ii_other</t>
        </is>
      </c>
      <c r="C62" s="9" t="inlineStr">
        <is>
          <t>Juros de depósitos em bancos e outros</t>
        </is>
      </c>
      <c r="D62" s="2" t="inlineStr">
        <is>
          <t>preencher: fonte e linha · fonte · moeda</t>
        </is>
      </c>
    </row>
    <row r="63">
      <c r="B63" s="8" t="inlineStr">
        <is>
          <t>ie_dep</t>
        </is>
      </c>
      <c r="C63" s="9" t="inlineStr">
        <is>
          <t>(Juros de depósitos)</t>
        </is>
      </c>
      <c r="D63" s="2" t="inlineStr">
        <is>
          <t>preencher: fonte e linha · fonte · moeda</t>
        </is>
      </c>
    </row>
    <row r="64">
      <c r="B64" s="8" t="inlineStr">
        <is>
          <t>ie_ltd</t>
        </is>
      </c>
      <c r="C64" s="9" t="inlineStr">
        <is>
          <t>(Juros de dívida de longo prazo e VIEs)</t>
        </is>
      </c>
      <c r="D64" s="2" t="inlineStr">
        <is>
          <t>preencher: fonte e linha · fonte · moeda</t>
        </is>
      </c>
    </row>
    <row r="65">
      <c r="B65" s="8" t="inlineStr">
        <is>
          <t>ie_st</t>
        </is>
      </c>
      <c r="C65" s="9" t="inlineStr">
        <is>
          <t>(Juros de compromissadas, curto prazo, trading e outros)</t>
        </is>
      </c>
      <c r="D65" s="2" t="inlineStr">
        <is>
          <t>preencher: fonte e linha · fonte · moeda</t>
        </is>
      </c>
    </row>
    <row r="66">
      <c r="B66" s="8" t="inlineStr">
        <is>
          <t>ie_other</t>
        </is>
      </c>
      <c r="C66" s="9" t="inlineStr">
        <is>
          <t>(Outras despesas de juros, quando à parte)</t>
        </is>
      </c>
      <c r="D66" s="2" t="inlineStr">
        <is>
          <t>preencher: fonte e linha · fonte · moeda</t>
        </is>
      </c>
    </row>
    <row r="67">
      <c r="B67" s="8" t="inlineStr">
        <is>
          <t>provision</t>
        </is>
      </c>
      <c r="C67" s="9" t="inlineStr">
        <is>
          <t>(Provisão para perdas de crédito)</t>
        </is>
      </c>
      <c r="D67" s="2" t="inlineStr">
        <is>
          <t>preencher: fonte e linha · fonte · moeda</t>
        </is>
      </c>
    </row>
    <row r="68">
      <c r="B68" s="8" t="inlineStr">
        <is>
          <t>recoveries</t>
        </is>
      </c>
      <c r="C68" s="9" t="inlineStr">
        <is>
          <t>Recuperações (quando à parte; nos EUA a provisão já é líquida)</t>
        </is>
      </c>
      <c r="D68" s="2" t="inlineStr">
        <is>
          <t>preencher: fonte e linha · fonte · moeda</t>
        </is>
      </c>
    </row>
    <row r="69">
      <c r="B69" s="8" t="inlineStr">
        <is>
          <t>fees</t>
        </is>
      </c>
      <c r="C69" s="9" t="inlineStr">
        <is>
          <t>Receitas de tarifas e comissões</t>
        </is>
      </c>
      <c r="D69" s="2" t="inlineStr">
        <is>
          <t>preencher: fonte e linha · fonte · moeda</t>
        </is>
      </c>
    </row>
    <row r="70">
      <c r="B70" s="8" t="inlineStr">
        <is>
          <t>principal</t>
        </is>
      </c>
      <c r="C70" s="9" t="inlineStr">
        <is>
          <t>Resultado de trading (principal transactions)</t>
        </is>
      </c>
      <c r="D70" s="2" t="inlineStr">
        <is>
          <t>preencher: fonte e linha · fonte · moeda</t>
        </is>
      </c>
    </row>
    <row r="71">
      <c r="B71" s="8" t="inlineStr">
        <is>
          <t>comp</t>
        </is>
      </c>
      <c r="C71" s="9" t="inlineStr">
        <is>
          <t>(Remuneração e benefícios)</t>
        </is>
      </c>
      <c r="D71" s="2" t="inlineStr">
        <is>
          <t>preencher: fonte e linha · fonte · moeda</t>
        </is>
      </c>
    </row>
    <row r="72">
      <c r="B72" s="8" t="inlineStr">
        <is>
          <t>opex</t>
        </is>
      </c>
      <c r="C72" s="9" t="inlineStr">
        <is>
          <t>(Ocupação, tecnologia, serviços profissionais e marketing)</t>
        </is>
      </c>
      <c r="D72" s="2" t="inlineStr">
        <is>
          <t>preencher: fonte e linha · fonte · moeda</t>
        </is>
      </c>
    </row>
    <row r="73">
      <c r="B73" s="8" t="inlineStr">
        <is>
          <t>legal</t>
        </is>
      </c>
      <c r="C73" s="9" t="inlineStr">
        <is>
          <t>(Despesas jurídicas, quando à parte)</t>
        </is>
      </c>
      <c r="D73" s="2" t="inlineStr">
        <is>
          <t>preencher: fonte e linha · fonte · moeda</t>
        </is>
      </c>
    </row>
    <row r="74">
      <c r="B74" s="8" t="inlineStr">
        <is>
          <t>prov_x1</t>
        </is>
      </c>
      <c r="C74" s="9" t="inlineStr">
        <is>
          <t>(Outras provisões, quando à parte)</t>
        </is>
      </c>
      <c r="D74" s="2" t="inlineStr">
        <is>
          <t>preencher: fonte e linha · fonte · moeda</t>
        </is>
      </c>
    </row>
    <row r="75">
      <c r="B75" s="8" t="inlineStr">
        <is>
          <t>prov_x2</t>
        </is>
      </c>
      <c r="C75" s="9" t="inlineStr">
        <is>
          <t>(Outras provisões, quando à parte)</t>
        </is>
      </c>
      <c r="D75" s="2" t="inlineStr">
        <is>
          <t>preencher: fonte e linha · fonte · moeda</t>
        </is>
      </c>
    </row>
    <row r="76">
      <c r="B76" s="8" t="inlineStr">
        <is>
          <t>fdic</t>
        </is>
      </c>
      <c r="C76" s="9" t="inlineStr">
        <is>
          <t>(FDIC e contribuições regulatórias, quando à parte)</t>
        </is>
      </c>
      <c r="D76" s="2" t="inlineStr">
        <is>
          <t>preencher: fonte e linha · fonte · moeda</t>
        </is>
      </c>
    </row>
    <row r="77">
      <c r="B77" s="8" t="inlineStr">
        <is>
          <t>eq_income</t>
        </is>
      </c>
      <c r="C77" s="9" t="inlineStr">
        <is>
          <t>Resultado de equivalência patrimonial (quando à parte)</t>
        </is>
      </c>
      <c r="D77" s="2" t="inlineStr">
        <is>
          <t>preencher: fonte e linha · fonte · moeda</t>
        </is>
      </c>
    </row>
    <row r="78">
      <c r="B78" s="8" t="inlineStr">
        <is>
          <t>other_inc</t>
        </is>
      </c>
      <c r="C78" s="9" t="inlineStr">
        <is>
          <t>Outras receitas não-juros (inclui ganhos com títulos de investimento)</t>
        </is>
      </c>
      <c r="D78" s="2" t="inlineStr">
        <is>
          <t>preencher: fonte e linha · fonte · moeda</t>
        </is>
      </c>
    </row>
    <row r="79">
      <c r="B79" s="8" t="inlineStr">
        <is>
          <t>other_exp</t>
        </is>
      </c>
      <c r="C79" s="9" t="inlineStr">
        <is>
          <t>(Outras despesas não-juros)</t>
        </is>
      </c>
      <c r="D79" s="2" t="inlineStr">
        <is>
          <t>preencher: fonte e linha · fonte · moeda</t>
        </is>
      </c>
    </row>
    <row r="80">
      <c r="B80" s="8" t="inlineStr">
        <is>
          <t>nonop</t>
        </is>
      </c>
      <c r="C80" s="9" t="inlineStr">
        <is>
          <t>Resultado não operacional (raro nos EUA)</t>
        </is>
      </c>
      <c r="D80" s="2" t="inlineStr">
        <is>
          <t>preencher: fonte e linha · fonte · moeda</t>
        </is>
      </c>
    </row>
    <row r="81">
      <c r="B81" s="8" t="inlineStr">
        <is>
          <t>tax</t>
        </is>
      </c>
      <c r="C81" s="9" t="inlineStr">
        <is>
          <t>(Imposto de renda)</t>
        </is>
      </c>
      <c r="D81" s="2" t="inlineStr">
        <is>
          <t>preencher: fonte e linha · fonte · moeda</t>
        </is>
      </c>
    </row>
    <row r="82">
      <c r="B82" s="8" t="inlineStr">
        <is>
          <t>tax_def</t>
        </is>
      </c>
      <c r="C82" s="9" t="inlineStr">
        <is>
          <t>Imposto diferido (quando à parte)</t>
        </is>
      </c>
      <c r="D82" s="2" t="inlineStr">
        <is>
          <t>preencher: fonte e linha · fonte · moeda</t>
        </is>
      </c>
    </row>
    <row r="83">
      <c r="B83" s="8" t="inlineStr">
        <is>
          <t>nci_ni</t>
        </is>
      </c>
      <c r="C83" s="9" t="inlineStr">
        <is>
          <t>(Lucro atribuído a não controladores)</t>
        </is>
      </c>
      <c r="D83" s="2" t="inlineStr">
        <is>
          <t>preencher: fonte e linha · fonte · moeda</t>
        </is>
      </c>
    </row>
    <row r="85">
      <c r="B85" s="7" t="n"/>
      <c r="C85" s="7" t="inlineStr">
        <is>
          <t>DADOS COMPLEMENTARES</t>
        </is>
      </c>
      <c r="D85" s="7" t="n"/>
      <c r="E85" s="7" t="n"/>
      <c r="F85" s="7" t="n"/>
      <c r="G85" s="7" t="n"/>
      <c r="H85" s="7" t="n"/>
      <c r="I85" s="7" t="n"/>
      <c r="J85" s="7" t="n"/>
      <c r="K85" s="7" t="n"/>
      <c r="L85" s="7" t="n"/>
      <c r="M85" s="7" t="n"/>
      <c r="N85" s="7" t="n"/>
      <c r="O85" s="7" t="n"/>
      <c r="P85" s="7" t="n"/>
      <c r="Q85" s="7" t="n"/>
      <c r="R85" s="7" t="n"/>
      <c r="S85" s="7" t="n"/>
      <c r="T85" s="7" t="n"/>
      <c r="U85" s="7" t="n"/>
      <c r="V85" s="7" t="n"/>
      <c r="W85" s="7" t="n"/>
      <c r="X85" s="7" t="n"/>
      <c r="Y85" s="7" t="n"/>
      <c r="Z85" s="7" t="n"/>
      <c r="AA85" s="7" t="n"/>
      <c r="AB85" s="7" t="n"/>
      <c r="AC85" s="7" t="n"/>
      <c r="AD85" s="7" t="n"/>
      <c r="AE85" s="7" t="n"/>
      <c r="AF85" s="7" t="n"/>
      <c r="AG85" s="7" t="n"/>
      <c r="AH85" s="7" t="n"/>
      <c r="AI85" s="7" t="n"/>
      <c r="AJ85" s="7" t="n"/>
      <c r="AK85" s="7" t="n"/>
      <c r="AL85" s="7" t="n"/>
      <c r="AM85" s="7" t="n"/>
      <c r="AN85" s="7" t="n"/>
      <c r="AO85" s="7" t="n"/>
      <c r="AP85" s="7" t="n"/>
      <c r="AQ85" s="7" t="n"/>
      <c r="AR85" s="7" t="n"/>
      <c r="AS85" s="7" t="n"/>
      <c r="AT85" s="7" t="n"/>
      <c r="AU85" s="7" t="n"/>
      <c r="AV85" s="7" t="n"/>
    </row>
    <row r="86">
      <c r="B86" s="8" t="inlineStr">
        <is>
          <t>loans_tot</t>
        </is>
      </c>
      <c r="C86" s="9" t="inlineStr">
        <is>
          <t>Empréstimos totais</t>
        </is>
      </c>
      <c r="D86" s="2" t="inlineStr">
        <is>
          <t>preencher: fonte e linha · fonte · moeda</t>
        </is>
      </c>
    </row>
    <row r="87">
      <c r="B87" s="8" t="inlineStr">
        <is>
          <t>loans_cons</t>
        </is>
      </c>
      <c r="C87" s="9" t="inlineStr">
        <is>
          <t>Consumo ex-cartão (consumer ex-card)</t>
        </is>
      </c>
      <c r="D87" s="2" t="inlineStr">
        <is>
          <t>preencher: fonte e linha · fonte · moeda</t>
        </is>
      </c>
    </row>
    <row r="88">
      <c r="B88" s="8" t="inlineStr">
        <is>
          <t>loans_wh</t>
        </is>
      </c>
      <c r="C88" s="9" t="inlineStr">
        <is>
          <t>Atacado (wholesale / commercial)</t>
        </is>
      </c>
      <c r="D88" s="2" t="inlineStr">
        <is>
          <t>preencher: fonte e linha · fonte · moeda</t>
        </is>
      </c>
    </row>
    <row r="89">
      <c r="B89" s="8" t="inlineStr">
        <is>
          <t>loans_card</t>
        </is>
      </c>
      <c r="C89" s="9" t="inlineStr">
        <is>
          <t>Cartão de crédito</t>
        </is>
      </c>
      <c r="D89" s="2" t="inlineStr">
        <is>
          <t>preencher: fonte e linha · fonte · moeda</t>
        </is>
      </c>
    </row>
    <row r="90">
      <c r="B90" s="8" t="inlineStr">
        <is>
          <t>nonaccrual</t>
        </is>
      </c>
      <c r="C90" s="9" t="inlineStr">
        <is>
          <t>Empréstimos em nonaccrual</t>
        </is>
      </c>
      <c r="D90" s="2" t="inlineStr">
        <is>
          <t>preencher: fonte e linha · fonte · moeda</t>
        </is>
      </c>
    </row>
    <row r="91">
      <c r="B91" s="8" t="inlineStr">
        <is>
          <t>npa</t>
        </is>
      </c>
      <c r="C91" s="9" t="inlineStr">
        <is>
          <t>Ativos não performados (nonperforming assets)</t>
        </is>
      </c>
      <c r="D91" s="2" t="inlineStr">
        <is>
          <t>preencher: fonte e linha · fonte · moeda</t>
        </is>
      </c>
    </row>
    <row r="92">
      <c r="B92" s="8" t="inlineStr">
        <is>
          <t>acl_cons</t>
        </is>
      </c>
      <c r="C92" s="9" t="inlineStr">
        <is>
          <t>ACL — consumo ex-cartão</t>
        </is>
      </c>
      <c r="D92" s="2" t="inlineStr">
        <is>
          <t>preencher: fonte e linha · fonte · moeda</t>
        </is>
      </c>
    </row>
    <row r="93">
      <c r="B93" s="8" t="inlineStr">
        <is>
          <t>acl_lrc</t>
        </is>
      </c>
      <c r="C93" s="9" t="inlineStr">
        <is>
          <t>ACL de compromissos de crédito (fora do balanço)</t>
        </is>
      </c>
      <c r="D93" s="2" t="inlineStr">
        <is>
          <t>preencher: fonte e linha · fonte · moeda</t>
        </is>
      </c>
    </row>
    <row r="94">
      <c r="B94" s="8" t="inlineStr">
        <is>
          <t>acl_secs</t>
        </is>
      </c>
      <c r="C94" s="9" t="inlineStr">
        <is>
          <t>ACL de títulos (AFS e HTM)</t>
        </is>
      </c>
      <c r="D94" s="2" t="inlineStr">
        <is>
          <t>preencher: fonte e linha · fonte · moeda</t>
        </is>
      </c>
    </row>
    <row r="95">
      <c r="B95" s="8" t="inlineStr">
        <is>
          <t>acl_tot</t>
        </is>
      </c>
      <c r="C95" s="9" t="inlineStr">
        <is>
          <t>ACL total de empréstimos (saldo positivo)</t>
        </is>
      </c>
      <c r="D95" s="2" t="inlineStr">
        <is>
          <t>preencher: fonte e linha · fonte · moeda</t>
        </is>
      </c>
    </row>
    <row r="96">
      <c r="B96" s="8" t="inlineStr">
        <is>
          <t>dpd90</t>
        </is>
      </c>
      <c r="C96" s="9" t="inlineStr">
        <is>
          <t>Vencidos há 90+ dias ainda acumulando juros</t>
        </is>
      </c>
      <c r="D96" s="2" t="inlineStr">
        <is>
          <t>preencher: fonte e linha · fonte · moeda</t>
        </is>
      </c>
    </row>
    <row r="97">
      <c r="B97" s="8" t="inlineStr">
        <is>
          <t>dpd30</t>
        </is>
      </c>
      <c r="C97" s="9" t="inlineStr">
        <is>
          <t>Vencidos de 30 a 89 dias</t>
        </is>
      </c>
      <c r="D97" s="2" t="inlineStr">
        <is>
          <t>preencher: fonte e linha · fonte · moeda</t>
        </is>
      </c>
    </row>
    <row r="98">
      <c r="B98" s="8" t="inlineStr">
        <is>
          <t>nco</t>
        </is>
      </c>
      <c r="C98" s="9" t="inlineStr">
        <is>
          <t>Baixas líquidas de recuperações (net charge-offs)</t>
        </is>
      </c>
      <c r="D98" s="2" t="inlineStr">
        <is>
          <t>preencher: fonte e linha · fonte · moeda</t>
        </is>
      </c>
    </row>
    <row r="99">
      <c r="B99" s="8" t="inlineStr">
        <is>
          <t>mods</t>
        </is>
      </c>
      <c r="C99" s="9" t="inlineStr">
        <is>
          <t>Empréstimos modificados por dificuldade financeira</t>
        </is>
      </c>
      <c r="D99" s="2" t="inlineStr">
        <is>
          <t>preencher: fonte e linha · fonte · moeda</t>
        </is>
      </c>
    </row>
    <row r="100">
      <c r="B100" s="8" t="inlineStr">
        <is>
          <t>nii_exmkts</t>
        </is>
      </c>
      <c r="C100" s="9" t="inlineStr">
        <is>
          <t>NII ex-Markets (reportado)</t>
        </is>
      </c>
      <c r="D100" s="2" t="inlineStr">
        <is>
          <t>preencher: fonte e linha · fonte · moeda</t>
        </is>
      </c>
    </row>
    <row r="101">
      <c r="B101" s="8" t="inlineStr">
        <is>
          <t>nii_mkts</t>
        </is>
      </c>
      <c r="C101" s="9" t="inlineStr">
        <is>
          <t>NII de Markets (reportado)</t>
        </is>
      </c>
      <c r="D101" s="2" t="inlineStr">
        <is>
          <t>preencher: fonte e linha · fonte · moeda</t>
        </is>
      </c>
    </row>
    <row r="102">
      <c r="B102" s="8" t="inlineStr">
        <is>
          <t>iea</t>
        </is>
      </c>
      <c r="C102" s="9" t="inlineStr">
        <is>
          <t>Ativos rentáveis (saldo fim de período)</t>
        </is>
      </c>
      <c r="D102" s="2" t="inlineStr">
        <is>
          <t>preencher: fonte e linha · fonte · moeda</t>
        </is>
      </c>
    </row>
    <row r="103">
      <c r="B103" s="8" t="inlineStr">
        <is>
          <t>ibl</t>
        </is>
      </c>
      <c r="C103" s="9" t="inlineStr">
        <is>
          <t>Passivos onerosos (saldo fim de período)</t>
        </is>
      </c>
      <c r="D103" s="2" t="inlineStr">
        <is>
          <t>preencher: fonte e linha · fonte · moeda</t>
        </is>
      </c>
    </row>
    <row r="104">
      <c r="B104" s="8" t="inlineStr">
        <is>
          <t>rwa</t>
        </is>
      </c>
      <c r="C104" s="9" t="inlineStr">
        <is>
          <t>RWA — abordagem padronizada (Standardized)</t>
        </is>
      </c>
      <c r="D104" s="2" t="inlineStr">
        <is>
          <t>preencher: fonte e linha · fonte · moeda</t>
        </is>
      </c>
    </row>
    <row r="105">
      <c r="B105" s="8" t="inlineStr">
        <is>
          <t>rwa_cred</t>
        </is>
      </c>
      <c r="C105" s="9" t="inlineStr">
        <is>
          <t>RWA de crédito</t>
        </is>
      </c>
      <c r="D105" s="2" t="inlineStr">
        <is>
          <t>preencher: fonte e linha · fonte · moeda</t>
        </is>
      </c>
    </row>
    <row r="106">
      <c r="B106" s="8" t="inlineStr">
        <is>
          <t>rwa_mkt</t>
        </is>
      </c>
      <c r="C106" s="9" t="inlineStr">
        <is>
          <t>RWA de mercado</t>
        </is>
      </c>
      <c r="D106" s="2" t="inlineStr">
        <is>
          <t>preencher: fonte e linha · fonte · moeda</t>
        </is>
      </c>
    </row>
    <row r="107">
      <c r="B107" s="8" t="inlineStr">
        <is>
          <t>rwa_op</t>
        </is>
      </c>
      <c r="C107" s="9" t="inlineStr">
        <is>
          <t>RWA operacional (só na abordagem avançada)</t>
        </is>
      </c>
      <c r="D107" s="2" t="inlineStr">
        <is>
          <t>preencher: fonte e linha · fonte · moeda</t>
        </is>
      </c>
    </row>
    <row r="108">
      <c r="B108" s="8" t="inlineStr">
        <is>
          <t>total_cap</t>
        </is>
      </c>
      <c r="C108" s="9" t="inlineStr">
        <is>
          <t>Capital total (Standardized)</t>
        </is>
      </c>
      <c r="D108" s="2" t="inlineStr">
        <is>
          <t>preencher: fonte e linha · fonte · moeda</t>
        </is>
      </c>
    </row>
    <row r="109">
      <c r="B109" s="8" t="inlineStr">
        <is>
          <t>tier1</t>
        </is>
      </c>
      <c r="C109" s="9" t="inlineStr">
        <is>
          <t>Capital Nível 1 (Tier 1)</t>
        </is>
      </c>
      <c r="D109" s="2" t="inlineStr">
        <is>
          <t>preencher: fonte e linha · fonte · moeda</t>
        </is>
      </c>
    </row>
    <row r="110">
      <c r="B110" s="8" t="inlineStr">
        <is>
          <t>cet1</t>
        </is>
      </c>
      <c r="C110" s="9" t="inlineStr">
        <is>
          <t>Capital principal (CET1)</t>
        </is>
      </c>
      <c r="D110" s="2" t="inlineStr">
        <is>
          <t>preencher: fonte e linha · fonte · moeda</t>
        </is>
      </c>
    </row>
    <row r="111">
      <c r="B111" s="8" t="inlineStr">
        <is>
          <t>tcr_rep</t>
        </is>
      </c>
      <c r="C111" s="9" t="inlineStr">
        <is>
          <t>Índice de capital total reportado — Standardized (%)</t>
        </is>
      </c>
      <c r="D111" s="2" t="inlineStr">
        <is>
          <t>preencher: fonte e linha · fonte · pct</t>
        </is>
      </c>
    </row>
    <row r="112">
      <c r="B112" s="8" t="inlineStr">
        <is>
          <t>t1r_rep</t>
        </is>
      </c>
      <c r="C112" s="9" t="inlineStr">
        <is>
          <t>Índice Tier 1 reportado — Standardized (%)</t>
        </is>
      </c>
      <c r="D112" s="2" t="inlineStr">
        <is>
          <t>preencher: fonte e linha · fonte · pct</t>
        </is>
      </c>
    </row>
    <row r="113">
      <c r="B113" s="8" t="inlineStr">
        <is>
          <t>cet1r_rep</t>
        </is>
      </c>
      <c r="C113" s="9" t="inlineStr">
        <is>
          <t>Índice CET1 reportado — Standardized (%)</t>
        </is>
      </c>
      <c r="D113" s="2" t="inlineStr">
        <is>
          <t>preencher: fonte e linha · fonte · pct</t>
        </is>
      </c>
    </row>
    <row r="114">
      <c r="B114" s="8" t="inlineStr">
        <is>
          <t>t1lev</t>
        </is>
      </c>
      <c r="C114" s="9" t="inlineStr">
        <is>
          <t>Tier 1 leverage ratio (%)</t>
        </is>
      </c>
      <c r="D114" s="2" t="inlineStr">
        <is>
          <t>preencher: fonte e linha · fonte · pct</t>
        </is>
      </c>
    </row>
    <row r="115">
      <c r="B115" s="8" t="inlineStr">
        <is>
          <t>lcr</t>
        </is>
      </c>
      <c r="C115" s="9" t="inlineStr">
        <is>
          <t>LCR — liquidity coverage ratio (%)</t>
        </is>
      </c>
      <c r="D115" s="2" t="inlineStr">
        <is>
          <t>preencher: fonte e linha · fonte · pct</t>
        </is>
      </c>
    </row>
    <row r="116">
      <c r="B116" s="8" t="inlineStr">
        <is>
          <t>nsfr</t>
        </is>
      </c>
      <c r="C116" s="9" t="inlineStr">
        <is>
          <t>NSFR — net stable funding ratio (%)</t>
        </is>
      </c>
      <c r="D116" s="2" t="inlineStr">
        <is>
          <t>preencher: fonte e linha · fonte · pct</t>
        </is>
      </c>
    </row>
    <row r="117">
      <c r="B117" s="8" t="inlineStr">
        <is>
          <t>shares</t>
        </is>
      </c>
      <c r="C117" s="9" t="inlineStr">
        <is>
          <t>Ações ordinárias em circulação no fim do período (milhões)</t>
        </is>
      </c>
      <c r="D117" s="2" t="inlineStr">
        <is>
          <t>preencher: fonte e linha · fonte · acoes</t>
        </is>
      </c>
    </row>
    <row r="118">
      <c r="B118" s="8" t="inlineStr">
        <is>
          <t>div_common</t>
        </is>
      </c>
      <c r="C118" s="9" t="inlineStr">
        <is>
          <t>Dividendos ordinários declarados no período</t>
        </is>
      </c>
      <c r="D118" s="2" t="inlineStr">
        <is>
          <t>preencher: fonte e linha · fonte · moeda</t>
        </is>
      </c>
    </row>
    <row r="119">
      <c r="B119" s="8" t="inlineStr">
        <is>
          <t>buyback</t>
        </is>
      </c>
      <c r="C119" s="9" t="inlineStr">
        <is>
          <t>Recompras de ações ordinárias no período (caixa)</t>
        </is>
      </c>
      <c r="D119" s="2" t="inlineStr">
        <is>
          <t>preencher: fonte e linha · fonte · moeda</t>
        </is>
      </c>
    </row>
    <row r="120">
      <c r="B120" s="8" t="inlineStr">
        <is>
          <t>price</t>
        </is>
      </c>
      <c r="C120" s="9" t="inlineStr">
        <is>
          <t>Preço da ação no fechamento</t>
        </is>
      </c>
      <c r="D120" s="2" t="inlineStr">
        <is>
          <t>preencher: fonte e linha · fonte · por acao</t>
        </is>
      </c>
    </row>
    <row r="121">
      <c r="B121" s="8" t="inlineStr">
        <is>
          <t>headcount</t>
        </is>
      </c>
      <c r="C121" s="9" t="inlineStr">
        <is>
          <t>Número de funcionários</t>
        </is>
      </c>
      <c r="D121" s="2" t="inlineStr">
        <is>
          <t>preencher: fonte e linha · fonte · un</t>
        </is>
      </c>
    </row>
    <row r="122">
      <c r="B122" s="8" t="inlineStr">
        <is>
          <t>branches</t>
        </is>
      </c>
      <c r="C122" s="9" t="inlineStr">
        <is>
          <t>Número de agências</t>
        </is>
      </c>
      <c r="D122" s="2" t="inlineStr">
        <is>
          <t>preencher: fonte e linha · fonte · un</t>
        </is>
      </c>
    </row>
    <row r="123">
      <c r="B123" s="8" t="inlineStr">
        <is>
          <t>clients</t>
        </is>
      </c>
      <c r="C123" s="9" t="inlineStr">
        <is>
          <t>Clientes (mil)</t>
        </is>
      </c>
      <c r="D123" s="2" t="inlineStr">
        <is>
          <t>preencher: fonte e linha · fonte · un</t>
        </is>
      </c>
    </row>
    <row r="124">
      <c r="B124" s="8" t="inlineStr">
        <is>
          <t>seg1_rev</t>
        </is>
      </c>
      <c r="C124" s="9" t="inlineStr">
        <is>
          <t>Segmento 1 — receita líquida (ex.: Consumer &amp; Community Banking)</t>
        </is>
      </c>
      <c r="D124" s="2" t="inlineStr">
        <is>
          <t>preencher: fonte e linha · fonte · moeda</t>
        </is>
      </c>
    </row>
    <row r="125">
      <c r="B125" s="8" t="inlineStr">
        <is>
          <t>seg2_rev</t>
        </is>
      </c>
      <c r="C125" s="9" t="inlineStr">
        <is>
          <t>Segmento 2 — receita líquida (ex.: Commercial &amp; Investment Bank)</t>
        </is>
      </c>
      <c r="D125" s="2" t="inlineStr">
        <is>
          <t>preencher: fonte e linha · fonte · moeda</t>
        </is>
      </c>
    </row>
    <row r="126">
      <c r="B126" s="8" t="inlineStr">
        <is>
          <t>seg3_rev</t>
        </is>
      </c>
      <c r="C126" s="9" t="inlineStr">
        <is>
          <t>Segmento 3 — receita líquida (ex.: Asset &amp; Wealth Management)</t>
        </is>
      </c>
      <c r="D126" s="2" t="inlineStr">
        <is>
          <t>preencher: fonte e linha · fonte · moeda</t>
        </is>
      </c>
    </row>
    <row r="127">
      <c r="B127" s="8" t="inlineStr">
        <is>
          <t>seg4_rev</t>
        </is>
      </c>
      <c r="C127" s="9" t="inlineStr">
        <is>
          <t>Segmento 4 — receita líquida (ex.: Corporate)</t>
        </is>
      </c>
      <c r="D127" s="2" t="inlineStr">
        <is>
          <t>preencher: fonte e linha · fonte · moeda</t>
        </is>
      </c>
    </row>
    <row r="128">
      <c r="B128" s="8" t="inlineStr">
        <is>
          <t>seg_recon</t>
        </is>
      </c>
      <c r="C128" s="9" t="inlineStr">
        <is>
          <t>Ajustes de reconciliação dos segmentos (FTE e outros)</t>
        </is>
      </c>
      <c r="D128" s="2" t="inlineStr">
        <is>
          <t>preencher: fonte e linha · fonte · moeda</t>
        </is>
      </c>
    </row>
    <row r="129">
      <c r="B129" s="8" t="inlineStr">
        <is>
          <t>seg1_ni</t>
        </is>
      </c>
      <c r="C129" s="9" t="inlineStr">
        <is>
          <t>Segmento 1 — lucro líquido</t>
        </is>
      </c>
      <c r="D129" s="2" t="inlineStr">
        <is>
          <t>preencher: fonte e linha · fonte · moeda</t>
        </is>
      </c>
    </row>
    <row r="130">
      <c r="B130" s="8" t="inlineStr">
        <is>
          <t>seg2_ni</t>
        </is>
      </c>
      <c r="C130" s="9" t="inlineStr">
        <is>
          <t>Segmento 2 — lucro líquido</t>
        </is>
      </c>
      <c r="D130" s="2" t="inlineStr">
        <is>
          <t>preencher: fonte e linha · fonte · moeda</t>
        </is>
      </c>
    </row>
    <row r="131">
      <c r="B131" s="8" t="inlineStr">
        <is>
          <t>seg3_ni</t>
        </is>
      </c>
      <c r="C131" s="9" t="inlineStr">
        <is>
          <t>Segmento 3 — lucro líquido</t>
        </is>
      </c>
      <c r="D131" s="2" t="inlineStr">
        <is>
          <t>preencher: fonte e linha · fonte · moeda</t>
        </is>
      </c>
    </row>
    <row r="132">
      <c r="B132" s="8" t="inlineStr">
        <is>
          <t>seg4_ni</t>
        </is>
      </c>
      <c r="C132" s="9" t="inlineStr">
        <is>
          <t>Segmento 4 — lucro líquido</t>
        </is>
      </c>
      <c r="D132" s="2" t="inlineStr">
        <is>
          <t>preencher: fonte e linha · fonte · moeda</t>
        </is>
      </c>
    </row>
    <row r="133">
      <c r="B133" s="8" t="inlineStr">
        <is>
          <t>fee_ib</t>
        </is>
      </c>
      <c r="C133" s="9" t="inlineStr">
        <is>
          <t>Investment banking fees</t>
        </is>
      </c>
      <c r="D133" s="2" t="inlineStr">
        <is>
          <t>preencher: fonte e linha · fonte · moeda</t>
        </is>
      </c>
    </row>
    <row r="134">
      <c r="B134" s="8" t="inlineStr">
        <is>
          <t>fee_lend_dep</t>
        </is>
      </c>
      <c r="C134" s="9" t="inlineStr">
        <is>
          <t>Tarifas de empréstimos e depósitos</t>
        </is>
      </c>
      <c r="D134" s="2" t="inlineStr">
        <is>
          <t>preencher: fonte e linha · fonte · moeda</t>
        </is>
      </c>
    </row>
    <row r="135">
      <c r="B135" s="8" t="inlineStr">
        <is>
          <t>fee_am</t>
        </is>
      </c>
      <c r="C135" s="9" t="inlineStr">
        <is>
          <t>Gestão de ativos (asset management fees)</t>
        </is>
      </c>
      <c r="D135" s="2" t="inlineStr">
        <is>
          <t>preencher: fonte e linha · fonte · moeda</t>
        </is>
      </c>
    </row>
    <row r="136">
      <c r="B136" s="8" t="inlineStr">
        <is>
          <t>fee_comm</t>
        </is>
      </c>
      <c r="C136" s="9" t="inlineStr">
        <is>
          <t>Comissões e outras tarifas</t>
        </is>
      </c>
      <c r="D136" s="2" t="inlineStr">
        <is>
          <t>preencher: fonte e linha · fonte · moeda</t>
        </is>
      </c>
    </row>
    <row r="137">
      <c r="B137" s="8" t="inlineStr">
        <is>
          <t>fee_card</t>
        </is>
      </c>
      <c r="C137" s="9" t="inlineStr">
        <is>
          <t>Cartão (card income, líquido de rewards)</t>
        </is>
      </c>
      <c r="D137" s="2" t="inlineStr">
        <is>
          <t>preencher: fonte e linha · fonte · moeda</t>
        </is>
      </c>
    </row>
    <row r="138">
      <c r="B138" s="8" t="inlineStr">
        <is>
          <t>fee_mort</t>
        </is>
      </c>
      <c r="C138" s="9" t="inlineStr">
        <is>
          <t>Hipotecas (mortgage fees) e demais tarifas</t>
        </is>
      </c>
      <c r="D138" s="2" t="inlineStr">
        <is>
          <t>preencher: fonte e linha · fonte · moeda</t>
        </is>
      </c>
    </row>
    <row r="139">
      <c r="B139" s="8" t="inlineStr">
        <is>
          <t>comp_sal</t>
        </is>
      </c>
      <c r="C139" s="9" t="inlineStr">
        <is>
          <t>(Salários)</t>
        </is>
      </c>
      <c r="D139" s="2" t="inlineStr">
        <is>
          <t>preencher: fonte e linha · fonte · moeda</t>
        </is>
      </c>
    </row>
    <row r="140">
      <c r="B140" s="8" t="inlineStr">
        <is>
          <t>comp_ben</t>
        </is>
      </c>
      <c r="C140" s="9" t="inlineStr">
        <is>
          <t>(Benefícios)</t>
        </is>
      </c>
      <c r="D140" s="2" t="inlineStr">
        <is>
          <t>preencher: fonte e linha · fonte · moeda</t>
        </is>
      </c>
    </row>
    <row r="141">
      <c r="B141" s="8" t="inlineStr">
        <is>
          <t>comp_inc</t>
        </is>
      </c>
      <c r="C141" s="9" t="inlineStr">
        <is>
          <t>(Remuneração variável)</t>
        </is>
      </c>
      <c r="D141" s="2" t="inlineStr">
        <is>
          <t>preencher: fonte e linha · fonte · moeda</t>
        </is>
      </c>
    </row>
    <row r="142">
      <c r="B142" s="8" t="inlineStr">
        <is>
          <t>comp_oth</t>
        </is>
      </c>
      <c r="C142" s="9" t="inlineStr">
        <is>
          <t>(Demais despesas de pessoal)</t>
        </is>
      </c>
      <c r="D142" s="2" t="inlineStr">
        <is>
          <t>preencher: fonte e linha · fonte · moeda</t>
        </is>
      </c>
    </row>
    <row r="143">
      <c r="B143" s="8" t="inlineStr">
        <is>
          <t>tech</t>
        </is>
      </c>
      <c r="C143" s="9" t="inlineStr">
        <is>
          <t>(Tecnologia, comunicações e equipamentos)</t>
        </is>
      </c>
      <c r="D143" s="2" t="inlineStr">
        <is>
          <t>preencher: fonte e linha · fonte · moeda</t>
        </is>
      </c>
    </row>
    <row r="144">
      <c r="B144" s="8" t="inlineStr">
        <is>
          <t>occupancy</t>
        </is>
      </c>
      <c r="C144" s="9" t="inlineStr">
        <is>
          <t>(Ocupação)</t>
        </is>
      </c>
      <c r="D144" s="2" t="inlineStr">
        <is>
          <t>preencher: fonte e linha · fonte · moeda</t>
        </is>
      </c>
    </row>
    <row r="145">
      <c r="B145" s="8" t="inlineStr">
        <is>
          <t>marketing</t>
        </is>
      </c>
      <c r="C145" s="9" t="inlineStr">
        <is>
          <t>(Marketing)</t>
        </is>
      </c>
      <c r="D145" s="2" t="inlineStr">
        <is>
          <t>preencher: fonte e linha · fonte · moeda</t>
        </is>
      </c>
    </row>
    <row r="146">
      <c r="B146" s="8" t="inlineStr">
        <is>
          <t>prof_serv</t>
        </is>
      </c>
      <c r="C146" s="9" t="inlineStr">
        <is>
          <t>(Serviços profissionais e terceirizados)</t>
        </is>
      </c>
      <c r="D146" s="2" t="inlineStr">
        <is>
          <t>preencher: fonte e linha · fonte · moeda</t>
        </is>
      </c>
    </row>
    <row r="147">
      <c r="B147" s="8" t="inlineStr">
        <is>
          <t>adm_da</t>
        </is>
      </c>
      <c r="C147" s="9" t="inlineStr">
        <is>
          <t>(Depreciação e amortização, quando à parte)</t>
        </is>
      </c>
      <c r="D147" s="2" t="inlineStr">
        <is>
          <t>preencher: fonte e linha · fonte · moeda</t>
        </is>
      </c>
    </row>
    <row r="148">
      <c r="B148" s="8" t="inlineStr">
        <is>
          <t>adm_oth</t>
        </is>
      </c>
      <c r="C148" s="9" t="inlineStr">
        <is>
          <t>(Demais despesas administrativas)</t>
        </is>
      </c>
      <c r="D148" s="2" t="inlineStr">
        <is>
          <t>preencher: fonte e linha · fonte · moeda</t>
        </is>
      </c>
    </row>
    <row r="150">
      <c r="C150" s="10" t="inlineStr">
        <is>
          <t>Linhas derivadas por fórmula dentro da própria Inputs</t>
        </is>
      </c>
    </row>
    <row r="151">
      <c r="C151" t="inlineStr">
        <is>
          <t>CONTAS ESPECÍFICAS DE BANCOS DOS EUA</t>
        </is>
      </c>
    </row>
    <row r="152">
      <c r="B152" s="8" t="inlineStr">
        <is>
          <t>pref</t>
        </is>
      </c>
      <c r="C152" s="9" t="inlineStr">
        <is>
          <t>Ações preferenciais (valor contábil)</t>
        </is>
      </c>
      <c r="D152" s="2" t="inlineStr">
        <is>
          <t>preencher: fonte e linha · fonte · moeda</t>
        </is>
      </c>
    </row>
    <row r="153">
      <c r="B153" s="8" t="inlineStr">
        <is>
          <t>div_pref</t>
        </is>
      </c>
      <c r="C153" s="9" t="n"/>
      <c r="D153" s="2" t="inlineStr">
        <is>
          <t>preencher: fonte e linha · fonte · moeda</t>
        </is>
      </c>
    </row>
    <row r="154">
      <c r="B154" s="8" t="inlineStr">
        <is>
          <t>slr</t>
        </is>
      </c>
      <c r="C154" s="9" t="inlineStr">
        <is>
          <t>Supplementary leverage ratio — SLR (%)</t>
        </is>
      </c>
      <c r="D154" s="2" t="inlineStr">
        <is>
          <t>preencher: fonte e linha · fonte · pct</t>
        </is>
      </c>
    </row>
    <row r="155">
      <c r="B155" s="8" t="inlineStr">
        <is>
          <t>rwa_adv</t>
        </is>
      </c>
      <c r="C155" s="9" t="inlineStr">
        <is>
          <t>RWA — abordagem avançada (Advanced)</t>
        </is>
      </c>
      <c r="D155" s="2" t="inlineStr">
        <is>
          <t>preencher: fonte e linha · fonte · moeda</t>
        </is>
      </c>
    </row>
    <row r="156">
      <c r="B156" s="8" t="inlineStr">
        <is>
          <t>cet1r_adv</t>
        </is>
      </c>
      <c r="C156" s="9" t="inlineStr">
        <is>
          <t>Índice CET1 reportado — Advanced (%)</t>
        </is>
      </c>
      <c r="D156" s="2" t="inlineStr">
        <is>
          <t>preencher: fonte e linha · fonte · pct</t>
        </is>
      </c>
    </row>
    <row r="157">
      <c r="B157" s="8" t="inlineStr">
        <is>
          <t>msr</t>
        </is>
      </c>
      <c r="C157" s="9" t="inlineStr">
        <is>
          <t>MSRs — direitos de serviço de hipotecas (dentro de goodwill e intangíveis)</t>
        </is>
      </c>
      <c r="D157" s="2" t="inlineStr">
        <is>
          <t>preencher: fonte e linha · fonte · moeda</t>
        </is>
      </c>
    </row>
    <row r="159">
      <c r="C159" t="inlineStr">
        <is>
          <t>Espaço livre até a linha 190 (linhas 160 a 190) para novas linhas de origem. Qualquer linha com um código existente é somada automaticamente pela Inputs (2).</t>
        </is>
      </c>
    </row>
    <row r="196">
      <c r="B196" s="7" t="n"/>
      <c r="C196" s="7" t="inlineStr">
        <is>
          <t>IDENTIFICAÇÃO E MERCADO</t>
        </is>
      </c>
      <c r="D196" s="7" t="inlineStr">
        <is>
          <t>COMPANY &amp; MARKET DATA</t>
        </is>
      </c>
      <c r="E196" s="7" t="n"/>
      <c r="F196" s="7" t="n"/>
      <c r="G196" s="7" t="n"/>
      <c r="H196" s="7" t="n"/>
      <c r="I196" s="7" t="n"/>
      <c r="J196" s="7" t="n"/>
      <c r="K196" s="7" t="n"/>
      <c r="L196" s="7" t="n"/>
      <c r="M196" s="7" t="n"/>
      <c r="N196" s="7" t="n"/>
      <c r="O196" s="7" t="n"/>
      <c r="P196" s="7" t="n"/>
      <c r="Q196" s="7" t="n"/>
      <c r="R196" s="7" t="n"/>
      <c r="S196" s="7" t="n"/>
      <c r="T196" s="7" t="n"/>
      <c r="U196" s="7" t="n"/>
      <c r="V196" s="7" t="n"/>
      <c r="W196" s="7" t="n"/>
      <c r="X196" s="7" t="n"/>
      <c r="Y196" s="7" t="n"/>
      <c r="Z196" s="7" t="n"/>
      <c r="AA196" s="7" t="n"/>
      <c r="AB196" s="7" t="n"/>
      <c r="AC196" s="7" t="n"/>
      <c r="AD196" s="7" t="n"/>
      <c r="AE196" s="7" t="n"/>
      <c r="AF196" s="7" t="n"/>
      <c r="AG196" s="7" t="n"/>
      <c r="AH196" s="7" t="n"/>
      <c r="AI196" s="7" t="n"/>
      <c r="AJ196" s="7" t="n"/>
      <c r="AK196" s="7" t="n"/>
      <c r="AL196" s="7" t="n"/>
      <c r="AM196" s="7" t="n"/>
      <c r="AN196" s="7" t="n"/>
      <c r="AO196" s="7" t="n"/>
      <c r="AP196" s="7" t="n"/>
      <c r="AQ196" s="7" t="n"/>
      <c r="AR196" s="7" t="n"/>
      <c r="AS196" s="7" t="n"/>
      <c r="AT196" s="7" t="n"/>
      <c r="AU196" s="7" t="n"/>
      <c r="AV196" s="7" t="n"/>
      <c r="AW196" s="7" t="n"/>
      <c r="AX196" s="7" t="n"/>
      <c r="AY196" s="7" t="n"/>
      <c r="AZ196" s="7" t="n"/>
      <c r="BA196" s="7" t="n"/>
      <c r="BB196" s="7" t="n"/>
      <c r="BC196" s="7" t="n"/>
      <c r="BD196" s="7" t="n"/>
      <c r="BE196" s="7" t="n"/>
      <c r="BF196" s="7" t="n"/>
      <c r="BG196" s="7" t="n"/>
      <c r="BH196" s="7" t="n"/>
      <c r="BI196" s="7" t="n"/>
    </row>
    <row r="197">
      <c r="C197" s="11" t="inlineStr">
        <is>
          <t>Instituição</t>
        </is>
      </c>
      <c r="D197" s="12" t="inlineStr">
        <is>
          <t>Institution</t>
        </is>
      </c>
      <c r="E197" s="13" t="n"/>
    </row>
    <row r="198">
      <c r="C198" s="11" t="inlineStr">
        <is>
          <t>Ticker</t>
        </is>
      </c>
      <c r="D198" s="12" t="inlineStr">
        <is>
          <t>Ticker</t>
        </is>
      </c>
      <c r="E198" s="13" t="n"/>
    </row>
    <row r="199">
      <c r="C199" s="11" t="inlineStr">
        <is>
          <t>Tipo de banco / norma contábil</t>
        </is>
      </c>
      <c r="D199" s="12" t="inlineStr">
        <is>
          <t>Segment / accounting standard</t>
        </is>
      </c>
      <c r="E199" s="13" t="n"/>
    </row>
    <row r="200">
      <c r="C200" s="11" t="inlineStr">
        <is>
          <t>Moeda de reporte</t>
        </is>
      </c>
      <c r="D200" s="12" t="inlineStr">
        <is>
          <t>Reporting currency</t>
        </is>
      </c>
      <c r="E200" s="13" t="inlineStr">
        <is>
          <t>US$</t>
        </is>
      </c>
      <c r="BI200" s="14" t="inlineStr">
        <is>
          <t>Escolha a moeda aqui. Os títulos do Model, da Inputs (2) e do Valuation leem esta célula, então trocar BRL por USD renomeia a planilha inteira. O que a célula não faz é converter valor: conversão de moeda é outra coisa.</t>
        </is>
      </c>
    </row>
    <row r="201">
      <c r="C201" s="11" t="inlineStr">
        <is>
          <t>Escala dos valores</t>
        </is>
      </c>
      <c r="D201" s="12" t="inlineStr">
        <is>
          <t>Scale</t>
        </is>
      </c>
      <c r="E201" s="13" t="inlineStr">
        <is>
          <t>milhões</t>
        </is>
      </c>
    </row>
    <row r="202">
      <c r="C202" s="15" t="inlineStr">
        <is>
          <t>Unidade monetária (moeda + escala)</t>
        </is>
      </c>
      <c r="D202" s="16" t="inlineStr">
        <is>
          <t>Currency unit</t>
        </is>
      </c>
      <c r="E202" s="17" t="str">
        <f>E200&amp;" "&amp;E201</f>
        <v>US$ milhões</v>
      </c>
    </row>
    <row r="203">
      <c r="C203" s="11" t="inlineStr">
        <is>
          <t>Último trimestre reportado (data de fechamento)</t>
        </is>
      </c>
      <c r="D203" s="12" t="inlineStr">
        <is>
          <t>Last reported quarter</t>
        </is>
      </c>
      <c r="E203" s="18" t="n"/>
      <c r="BI203" s="14" t="inlineStr">
        <is>
          <t>Esta data controla todo o modelo: colunas entre o primeiro e o último trimestre são lidas como realizado; as demais são projetadas.</t>
        </is>
      </c>
    </row>
    <row r="204">
      <c r="C204" s="11" t="inlineStr">
        <is>
          <t>Primeiro trimestre com dado na fonte</t>
        </is>
      </c>
      <c r="D204" s="12" t="inlineStr">
        <is>
          <t>First quarter covered by the source</t>
        </is>
      </c>
      <c r="E204" s="18" t="n"/>
      <c r="BI204" s="14" t="inlineStr">
        <is>
          <t>Séries que começam depois da grade do modelo: as colunas anteriores ficam fora do realizado em vez de entrar como zero realizado.</t>
        </is>
      </c>
    </row>
    <row r="205">
      <c r="C205" s="11" t="inlineStr">
        <is>
          <t>Data-base do valuation</t>
        </is>
      </c>
      <c r="D205" s="12" t="inlineStr">
        <is>
          <t>Valuation date</t>
        </is>
      </c>
      <c r="E205" s="18" t="n"/>
    </row>
    <row r="206">
      <c r="C206" s="11" t="str">
        <f>"Preço da ação ("&amp;Inputs!$E$200&amp;")"</f>
        <v>Preço da ação (US$)</v>
      </c>
      <c r="D206" s="12" t="inlineStr">
        <is>
          <t>Share price</t>
        </is>
      </c>
      <c r="E206" s="19" t="n"/>
      <c r="BI206" s="14" t="inlineStr">
        <is>
          <t>Preço e quantidade de ações são premissa sua, não vêm da série histórica. A quantidade de ações entra em milhões, na mesma escala do modelo, para o LPA e o VPA saírem por ação.</t>
        </is>
      </c>
    </row>
    <row r="207">
      <c r="C207" s="11" t="inlineStr">
        <is>
          <t>Ações ordinárias emitidas (milhões)</t>
        </is>
      </c>
      <c r="D207" s="12" t="inlineStr">
        <is>
          <t>Common shares (mn)</t>
        </is>
      </c>
      <c r="E207" s="20" t="n"/>
    </row>
    <row r="208">
      <c r="C208" s="11" t="inlineStr">
        <is>
          <t>Ações preferenciais (não entram na contagem ordinária)</t>
        </is>
      </c>
      <c r="D208" s="12" t="inlineStr">
        <is>
          <t>Preferred shares (mn)</t>
        </is>
      </c>
      <c r="E208" s="20" t="n"/>
    </row>
    <row r="209">
      <c r="C209" s="11" t="inlineStr">
        <is>
          <t>(-) Ações em tesouraria (milhões, negativo)</t>
        </is>
      </c>
      <c r="D209" s="12" t="inlineStr">
        <is>
          <t>(-) Treasury shares (mn)</t>
        </is>
      </c>
      <c r="E209" s="20" t="n"/>
    </row>
    <row r="210">
      <c r="C210" s="15" t="inlineStr">
        <is>
          <t>Ações ordinárias em circulação (milhões)</t>
        </is>
      </c>
      <c r="D210" s="16" t="inlineStr">
        <is>
          <t>Shares ex-treasury (mn)</t>
        </is>
      </c>
      <c r="E210" s="21">
        <f>E207+E208+E209</f>
        <v>0</v>
      </c>
    </row>
    <row r="211">
      <c r="C211" s="15" t="str">
        <f>"Market cap ("&amp;Inputs!$E$202&amp;")"</f>
        <v>Market cap (US$ milhões)</v>
      </c>
      <c r="D211" s="16" t="inlineStr">
        <is>
          <t>Market capitalisation</t>
        </is>
      </c>
      <c r="E211" s="22">
        <f>E206*E210</f>
        <v>0</v>
      </c>
    </row>
    <row r="213">
      <c r="B213" s="7" t="n"/>
      <c r="C213" s="7" t="inlineStr">
        <is>
          <t>GRADE DE PERÍODOS</t>
        </is>
      </c>
      <c r="D213" s="7" t="inlineStr">
        <is>
          <t>PERIOD GRID</t>
        </is>
      </c>
      <c r="E213" s="7" t="n"/>
      <c r="F213" s="7" t="n"/>
      <c r="G213" s="7" t="n"/>
      <c r="H213" s="7" t="n"/>
      <c r="I213" s="7" t="n"/>
      <c r="J213" s="7" t="n"/>
      <c r="K213" s="7" t="n"/>
      <c r="L213" s="7" t="n"/>
      <c r="M213" s="7" t="n"/>
      <c r="N213" s="7" t="n"/>
      <c r="O213" s="7" t="n"/>
      <c r="P213" s="7" t="n"/>
      <c r="Q213" s="7" t="n"/>
      <c r="R213" s="7" t="n"/>
      <c r="S213" s="7" t="n"/>
      <c r="T213" s="7" t="n"/>
      <c r="U213" s="7" t="n"/>
      <c r="V213" s="7" t="n"/>
      <c r="W213" s="7" t="n"/>
      <c r="X213" s="7" t="n"/>
      <c r="Y213" s="7" t="n"/>
      <c r="Z213" s="7" t="n"/>
      <c r="AA213" s="7" t="n"/>
      <c r="AB213" s="7" t="n"/>
      <c r="AC213" s="7" t="n"/>
      <c r="AD213" s="7" t="n"/>
      <c r="AE213" s="7" t="n"/>
      <c r="AF213" s="7" t="n"/>
      <c r="AG213" s="7" t="n"/>
      <c r="AH213" s="7" t="n"/>
      <c r="AI213" s="7" t="n"/>
      <c r="AJ213" s="7" t="n"/>
      <c r="AK213" s="7" t="n"/>
      <c r="AL213" s="7" t="n"/>
      <c r="AM213" s="7" t="n"/>
      <c r="AN213" s="7" t="n"/>
      <c r="AO213" s="7" t="n"/>
      <c r="AP213" s="7" t="n"/>
      <c r="AQ213" s="7" t="n"/>
      <c r="AR213" s="7" t="n"/>
      <c r="AS213" s="7" t="n"/>
      <c r="AT213" s="7" t="n"/>
      <c r="AU213" s="7" t="n"/>
      <c r="AV213" s="7" t="n"/>
      <c r="AW213" s="7" t="n"/>
      <c r="AX213" s="7" t="n"/>
      <c r="AY213" s="7" t="n"/>
      <c r="AZ213" s="7" t="n"/>
      <c r="BA213" s="7" t="n"/>
      <c r="BB213" s="7" t="n"/>
      <c r="BC213" s="7" t="n"/>
      <c r="BD213" s="7" t="n"/>
      <c r="BE213" s="7" t="n"/>
      <c r="BF213" s="7" t="n"/>
      <c r="BG213" s="7" t="n"/>
      <c r="BH213" s="7" t="n"/>
      <c r="BI213" s="7" t="n"/>
    </row>
    <row r="214">
      <c r="C214" s="11" t="inlineStr">
        <is>
          <t>Data de fechamento</t>
        </is>
      </c>
      <c r="D214" s="12" t="inlineStr">
        <is>
          <t>Period end</t>
        </is>
      </c>
      <c r="E214" s="23">
        <f>DATE(2020,4,1)-1</f>
        <v>43921.0</v>
      </c>
      <c r="F214" s="23">
        <f>DATE(2020,7,1)-1</f>
        <v>44012.0</v>
      </c>
      <c r="G214" s="23">
        <f>DATE(2020,10,1)-1</f>
        <v>44104.0</v>
      </c>
      <c r="H214" s="23">
        <f>DATE(2020,13,1)-1</f>
        <v>44196.0</v>
      </c>
      <c r="I214" s="23">
        <f>H214</f>
        <v>44196.0</v>
      </c>
      <c r="J214" s="23">
        <f>DATE(2021,4,1)-1</f>
        <v>44286.0</v>
      </c>
      <c r="K214" s="23">
        <f>DATE(2021,7,1)-1</f>
        <v>44377.0</v>
      </c>
      <c r="L214" s="23">
        <f>DATE(2021,10,1)-1</f>
        <v>44469.0</v>
      </c>
      <c r="M214" s="23">
        <f>DATE(2021,13,1)-1</f>
        <v>44561.0</v>
      </c>
      <c r="N214" s="23">
        <f>M214</f>
        <v>44561.0</v>
      </c>
      <c r="O214" s="23">
        <f>DATE(2022,4,1)-1</f>
        <v>44651.0</v>
      </c>
      <c r="P214" s="23">
        <f>DATE(2022,7,1)-1</f>
        <v>44742.0</v>
      </c>
      <c r="Q214" s="23">
        <f>DATE(2022,10,1)-1</f>
        <v>44834.0</v>
      </c>
      <c r="R214" s="23">
        <f>DATE(2022,13,1)-1</f>
        <v>44926.0</v>
      </c>
      <c r="S214" s="23">
        <f>R214</f>
        <v>44926.0</v>
      </c>
      <c r="T214" s="23">
        <f>DATE(2023,4,1)-1</f>
        <v>45016.0</v>
      </c>
      <c r="U214" s="23">
        <f>DATE(2023,7,1)-1</f>
        <v>45107.0</v>
      </c>
      <c r="V214" s="23">
        <f>DATE(2023,10,1)-1</f>
        <v>45199.0</v>
      </c>
      <c r="W214" s="23">
        <f>DATE(2023,13,1)-1</f>
        <v>45291.0</v>
      </c>
      <c r="X214" s="23">
        <f>W214</f>
        <v>45291.0</v>
      </c>
      <c r="Y214" s="23">
        <f>DATE(2024,4,1)-1</f>
        <v>45382.0</v>
      </c>
      <c r="Z214" s="23">
        <f>DATE(2024,7,1)-1</f>
        <v>45473.0</v>
      </c>
      <c r="AA214" s="23">
        <f>DATE(2024,10,1)-1</f>
        <v>45565.0</v>
      </c>
      <c r="AB214" s="23">
        <f>DATE(2024,13,1)-1</f>
        <v>45657.0</v>
      </c>
      <c r="AC214" s="23">
        <f>AB214</f>
        <v>45657.0</v>
      </c>
      <c r="AD214" s="23">
        <f>DATE(2025,4,1)-1</f>
        <v>45747.0</v>
      </c>
      <c r="AE214" s="23">
        <f>DATE(2025,7,1)-1</f>
        <v>45838.0</v>
      </c>
      <c r="AF214" s="23">
        <f>DATE(2025,10,1)-1</f>
        <v>45930.0</v>
      </c>
      <c r="AG214" s="23">
        <f>DATE(2025,13,1)-1</f>
        <v>46022.0</v>
      </c>
      <c r="AH214" s="23">
        <f>AG214</f>
        <v>46022.0</v>
      </c>
      <c r="AI214" s="23">
        <f>DATE(2026,4,1)-1</f>
        <v>46112.0</v>
      </c>
      <c r="AJ214" s="23">
        <f>DATE(2026,7,1)-1</f>
        <v>46203.0</v>
      </c>
      <c r="AK214" s="23">
        <f>DATE(2026,10,1)-1</f>
        <v>46295.0</v>
      </c>
      <c r="AL214" s="23">
        <f>DATE(2026,13,1)-1</f>
        <v>46387.0</v>
      </c>
      <c r="AM214" s="23">
        <f>AL214</f>
        <v>46387.0</v>
      </c>
      <c r="AN214" s="23">
        <f>DATE(2027,4,1)-1</f>
        <v>46477.0</v>
      </c>
      <c r="AO214" s="23">
        <f>DATE(2027,7,1)-1</f>
        <v>46568.0</v>
      </c>
      <c r="AP214" s="23">
        <f>DATE(2027,10,1)-1</f>
        <v>46660.0</v>
      </c>
      <c r="AQ214" s="23">
        <f>DATE(2027,13,1)-1</f>
        <v>46752.0</v>
      </c>
      <c r="AR214" s="23">
        <f>AQ214</f>
        <v>46752.0</v>
      </c>
      <c r="AS214" s="23">
        <f>DATE(2028,4,1)-1</f>
        <v>46843.0</v>
      </c>
      <c r="AT214" s="23">
        <f>DATE(2028,7,1)-1</f>
        <v>46934.0</v>
      </c>
      <c r="AU214" s="23">
        <f>DATE(2028,10,1)-1</f>
        <v>47026.0</v>
      </c>
      <c r="AV214" s="23">
        <f>DATE(2028,13,1)-1</f>
        <v>47118.0</v>
      </c>
      <c r="AW214" s="23">
        <f>AV214</f>
        <v>47118.0</v>
      </c>
      <c r="AX214" s="23">
        <f>DATE(2029,4,1)-1</f>
        <v>47208.0</v>
      </c>
      <c r="AY214" s="23">
        <f>DATE(2029,7,1)-1</f>
        <v>47299.0</v>
      </c>
      <c r="AZ214" s="23">
        <f>DATE(2029,10,1)-1</f>
        <v>47391.0</v>
      </c>
      <c r="BA214" s="23">
        <f>DATE(2029,13,1)-1</f>
        <v>47483.0</v>
      </c>
      <c r="BB214" s="23">
        <f>BA214</f>
        <v>47483.0</v>
      </c>
      <c r="BC214" s="23">
        <f>DATE(2030,4,1)-1</f>
        <v>47573.0</v>
      </c>
      <c r="BD214" s="23">
        <f>DATE(2030,7,1)-1</f>
        <v>47664.0</v>
      </c>
      <c r="BE214" s="23">
        <f>DATE(2030,10,1)-1</f>
        <v>47756.0</v>
      </c>
      <c r="BF214" s="23">
        <f>DATE(2030,13,1)-1</f>
        <v>47848.0</v>
      </c>
      <c r="BG214" s="23">
        <f>BF214</f>
        <v>47848.0</v>
      </c>
    </row>
    <row r="215">
      <c r="C215" s="11" t="inlineStr">
        <is>
          <t>Ano</t>
        </is>
      </c>
      <c r="D215" s="12" t="inlineStr">
        <is>
          <t>Year</t>
        </is>
      </c>
      <c r="E215" s="24" t="n">
        <v>2020</v>
      </c>
      <c r="F215" s="24" t="n">
        <v>2020</v>
      </c>
      <c r="G215" s="24" t="n">
        <v>2020</v>
      </c>
      <c r="H215" s="24" t="n">
        <v>2020</v>
      </c>
      <c r="I215" s="24" t="n">
        <v>2020</v>
      </c>
      <c r="J215" s="24" t="n">
        <v>2021</v>
      </c>
      <c r="K215" s="24" t="n">
        <v>2021</v>
      </c>
      <c r="L215" s="24" t="n">
        <v>2021</v>
      </c>
      <c r="M215" s="24" t="n">
        <v>2021</v>
      </c>
      <c r="N215" s="24" t="n">
        <v>2021</v>
      </c>
      <c r="O215" s="24" t="n">
        <v>2022</v>
      </c>
      <c r="P215" s="24" t="n">
        <v>2022</v>
      </c>
      <c r="Q215" s="24" t="n">
        <v>2022</v>
      </c>
      <c r="R215" s="24" t="n">
        <v>2022</v>
      </c>
      <c r="S215" s="24" t="n">
        <v>2022</v>
      </c>
      <c r="T215" s="24" t="n">
        <v>2023</v>
      </c>
      <c r="U215" s="24" t="n">
        <v>2023</v>
      </c>
      <c r="V215" s="24" t="n">
        <v>2023</v>
      </c>
      <c r="W215" s="24" t="n">
        <v>2023</v>
      </c>
      <c r="X215" s="24" t="n">
        <v>2023</v>
      </c>
      <c r="Y215" s="24" t="n">
        <v>2024</v>
      </c>
      <c r="Z215" s="24" t="n">
        <v>2024</v>
      </c>
      <c r="AA215" s="24" t="n">
        <v>2024</v>
      </c>
      <c r="AB215" s="24" t="n">
        <v>2024</v>
      </c>
      <c r="AC215" s="24" t="n">
        <v>2024</v>
      </c>
      <c r="AD215" s="24" t="n">
        <v>2025</v>
      </c>
      <c r="AE215" s="24" t="n">
        <v>2025</v>
      </c>
      <c r="AF215" s="24" t="n">
        <v>2025</v>
      </c>
      <c r="AG215" s="24" t="n">
        <v>2025</v>
      </c>
      <c r="AH215" s="24" t="n">
        <v>2025</v>
      </c>
      <c r="AI215" s="24" t="n">
        <v>2026</v>
      </c>
      <c r="AJ215" s="24" t="n">
        <v>2026</v>
      </c>
      <c r="AK215" s="24" t="n">
        <v>2026</v>
      </c>
      <c r="AL215" s="24" t="n">
        <v>2026</v>
      </c>
      <c r="AM215" s="24" t="n">
        <v>2026</v>
      </c>
      <c r="AN215" s="24" t="n">
        <v>2027</v>
      </c>
      <c r="AO215" s="24" t="n">
        <v>2027</v>
      </c>
      <c r="AP215" s="24" t="n">
        <v>2027</v>
      </c>
      <c r="AQ215" s="24" t="n">
        <v>2027</v>
      </c>
      <c r="AR215" s="24" t="n">
        <v>2027</v>
      </c>
      <c r="AS215" s="24" t="n">
        <v>2028</v>
      </c>
      <c r="AT215" s="24" t="n">
        <v>2028</v>
      </c>
      <c r="AU215" s="24" t="n">
        <v>2028</v>
      </c>
      <c r="AV215" s="24" t="n">
        <v>2028</v>
      </c>
      <c r="AW215" s="24" t="n">
        <v>2028</v>
      </c>
      <c r="AX215" s="24" t="n">
        <v>2029</v>
      </c>
      <c r="AY215" s="24" t="n">
        <v>2029</v>
      </c>
      <c r="AZ215" s="24" t="n">
        <v>2029</v>
      </c>
      <c r="BA215" s="24" t="n">
        <v>2029</v>
      </c>
      <c r="BB215" s="24" t="n">
        <v>2029</v>
      </c>
      <c r="BC215" s="24" t="n">
        <v>2030</v>
      </c>
      <c r="BD215" s="24" t="n">
        <v>2030</v>
      </c>
      <c r="BE215" s="24" t="n">
        <v>2030</v>
      </c>
      <c r="BF215" s="24" t="n">
        <v>2030</v>
      </c>
      <c r="BG215" s="24" t="n">
        <v>2030</v>
      </c>
    </row>
    <row r="216">
      <c r="C216" s="15" t="inlineStr">
        <is>
          <t>Período</t>
        </is>
      </c>
      <c r="D216" s="16" t="inlineStr">
        <is>
          <t>Period</t>
        </is>
      </c>
      <c r="E216" s="6" t="str">
        <f>"1Q"&amp;RIGHT(E215,2)</f>
        <v>1Q20</v>
      </c>
      <c r="F216" s="6" t="str">
        <f>"2Q"&amp;RIGHT(F215,2)</f>
        <v>2Q20</v>
      </c>
      <c r="G216" s="6" t="str">
        <f>"3Q"&amp;RIGHT(G215,2)</f>
        <v>3Q20</v>
      </c>
      <c r="H216" s="6" t="str">
        <f>"4Q"&amp;RIGHT(H215,2)</f>
        <v>4Q20</v>
      </c>
      <c r="I216" s="25" t="str">
        <f>"FY"&amp;RIGHT(I215,2)</f>
        <v>FY20</v>
      </c>
      <c r="J216" s="6" t="str">
        <f>"1Q"&amp;RIGHT(J215,2)</f>
        <v>1Q21</v>
      </c>
      <c r="K216" s="6" t="str">
        <f>"2Q"&amp;RIGHT(K215,2)</f>
        <v>2Q21</v>
      </c>
      <c r="L216" s="6" t="str">
        <f>"3Q"&amp;RIGHT(L215,2)</f>
        <v>3Q21</v>
      </c>
      <c r="M216" s="6" t="str">
        <f>"4Q"&amp;RIGHT(M215,2)</f>
        <v>4Q21</v>
      </c>
      <c r="N216" s="25" t="str">
        <f>"FY"&amp;RIGHT(N215,2)</f>
        <v>FY21</v>
      </c>
      <c r="O216" s="6" t="str">
        <f>"1Q"&amp;RIGHT(O215,2)</f>
        <v>1Q22</v>
      </c>
      <c r="P216" s="6" t="str">
        <f>"2Q"&amp;RIGHT(P215,2)</f>
        <v>2Q22</v>
      </c>
      <c r="Q216" s="6" t="str">
        <f>"3Q"&amp;RIGHT(Q215,2)</f>
        <v>3Q22</v>
      </c>
      <c r="R216" s="6" t="str">
        <f>"4Q"&amp;RIGHT(R215,2)</f>
        <v>4Q22</v>
      </c>
      <c r="S216" s="25" t="str">
        <f>"FY"&amp;RIGHT(S215,2)</f>
        <v>FY22</v>
      </c>
      <c r="T216" s="6" t="str">
        <f>"1Q"&amp;RIGHT(T215,2)</f>
        <v>1Q23</v>
      </c>
      <c r="U216" s="6" t="str">
        <f>"2Q"&amp;RIGHT(U215,2)</f>
        <v>2Q23</v>
      </c>
      <c r="V216" s="6" t="str">
        <f>"3Q"&amp;RIGHT(V215,2)</f>
        <v>3Q23</v>
      </c>
      <c r="W216" s="6" t="str">
        <f>"4Q"&amp;RIGHT(W215,2)</f>
        <v>4Q23</v>
      </c>
      <c r="X216" s="25" t="str">
        <f>"FY"&amp;RIGHT(X215,2)</f>
        <v>FY23</v>
      </c>
      <c r="Y216" s="6" t="str">
        <f>"1Q"&amp;RIGHT(Y215,2)</f>
        <v>1Q24</v>
      </c>
      <c r="Z216" s="6" t="str">
        <f>"2Q"&amp;RIGHT(Z215,2)</f>
        <v>2Q24</v>
      </c>
      <c r="AA216" s="6" t="str">
        <f>"3Q"&amp;RIGHT(AA215,2)</f>
        <v>3Q24</v>
      </c>
      <c r="AB216" s="6" t="str">
        <f>"4Q"&amp;RIGHT(AB215,2)</f>
        <v>4Q24</v>
      </c>
      <c r="AC216" s="25" t="str">
        <f>"FY"&amp;RIGHT(AC215,2)</f>
        <v>FY24</v>
      </c>
      <c r="AD216" s="6" t="str">
        <f>"1Q"&amp;RIGHT(AD215,2)</f>
        <v>1Q25</v>
      </c>
      <c r="AE216" s="6" t="str">
        <f>"2Q"&amp;RIGHT(AE215,2)</f>
        <v>2Q25</v>
      </c>
      <c r="AF216" s="6" t="str">
        <f>"3Q"&amp;RIGHT(AF215,2)</f>
        <v>3Q25</v>
      </c>
      <c r="AG216" s="6" t="str">
        <f>"4Q"&amp;RIGHT(AG215,2)</f>
        <v>4Q25</v>
      </c>
      <c r="AH216" s="25" t="str">
        <f>"FY"&amp;RIGHT(AH215,2)</f>
        <v>FY25</v>
      </c>
      <c r="AI216" s="6" t="str">
        <f>"1Q"&amp;RIGHT(AI215,2)</f>
        <v>1Q26</v>
      </c>
      <c r="AJ216" s="6" t="str">
        <f>"2Q"&amp;RIGHT(AJ215,2)</f>
        <v>2Q26</v>
      </c>
      <c r="AK216" s="6" t="str">
        <f>"3Q"&amp;RIGHT(AK215,2)</f>
        <v>3Q26</v>
      </c>
      <c r="AL216" s="6" t="str">
        <f>"4Q"&amp;RIGHT(AL215,2)</f>
        <v>4Q26</v>
      </c>
      <c r="AM216" s="25" t="str">
        <f>"FY"&amp;RIGHT(AM215,2)</f>
        <v>FY26</v>
      </c>
      <c r="AN216" s="6" t="str">
        <f>"1Q"&amp;RIGHT(AN215,2)</f>
        <v>1Q27</v>
      </c>
      <c r="AO216" s="6" t="str">
        <f>"2Q"&amp;RIGHT(AO215,2)</f>
        <v>2Q27</v>
      </c>
      <c r="AP216" s="6" t="str">
        <f>"3Q"&amp;RIGHT(AP215,2)</f>
        <v>3Q27</v>
      </c>
      <c r="AQ216" s="6" t="str">
        <f>"4Q"&amp;RIGHT(AQ215,2)</f>
        <v>4Q27</v>
      </c>
      <c r="AR216" s="25" t="str">
        <f>"FY"&amp;RIGHT(AR215,2)</f>
        <v>FY27</v>
      </c>
      <c r="AS216" s="6" t="str">
        <f>"1Q"&amp;RIGHT(AS215,2)</f>
        <v>1Q28</v>
      </c>
      <c r="AT216" s="6" t="str">
        <f>"2Q"&amp;RIGHT(AT215,2)</f>
        <v>2Q28</v>
      </c>
      <c r="AU216" s="6" t="str">
        <f>"3Q"&amp;RIGHT(AU215,2)</f>
        <v>3Q28</v>
      </c>
      <c r="AV216" s="6" t="str">
        <f>"4Q"&amp;RIGHT(AV215,2)</f>
        <v>4Q28</v>
      </c>
      <c r="AW216" s="25" t="str">
        <f>"FY"&amp;RIGHT(AW215,2)</f>
        <v>FY28</v>
      </c>
      <c r="AX216" s="6" t="str">
        <f>"1Q"&amp;RIGHT(AX215,2)</f>
        <v>1Q29</v>
      </c>
      <c r="AY216" s="6" t="str">
        <f>"2Q"&amp;RIGHT(AY215,2)</f>
        <v>2Q29</v>
      </c>
      <c r="AZ216" s="6" t="str">
        <f>"3Q"&amp;RIGHT(AZ215,2)</f>
        <v>3Q29</v>
      </c>
      <c r="BA216" s="6" t="str">
        <f>"4Q"&amp;RIGHT(BA215,2)</f>
        <v>4Q29</v>
      </c>
      <c r="BB216" s="25" t="str">
        <f>"FY"&amp;RIGHT(BB215,2)</f>
        <v>FY29</v>
      </c>
      <c r="BC216" s="6" t="str">
        <f>"1Q"&amp;RIGHT(BC215,2)</f>
        <v>1Q30</v>
      </c>
      <c r="BD216" s="6" t="str">
        <f>"2Q"&amp;RIGHT(BD215,2)</f>
        <v>2Q30</v>
      </c>
      <c r="BE216" s="6" t="str">
        <f>"3Q"&amp;RIGHT(BE215,2)</f>
        <v>3Q30</v>
      </c>
      <c r="BF216" s="6" t="str">
        <f>"4Q"&amp;RIGHT(BF215,2)</f>
        <v>4Q30</v>
      </c>
      <c r="BG216" s="25" t="str">
        <f>"FY"&amp;RIGHT(BG215,2)</f>
        <v>FY30</v>
      </c>
    </row>
    <row r="217">
      <c r="C217" s="26" t="inlineStr">
        <is>
          <t>Realizado (1) / Projetado (0)</t>
        </is>
      </c>
      <c r="D217" s="12" t="inlineStr">
        <is>
          <t>Actual (1) / Forecast (0)</t>
        </is>
      </c>
      <c r="E217" s="27">
        <f>IF(AND(E214&gt;=Inputs!$E$204,E214&lt;=Inputs!$E$203),1,0)</f>
        <v>0</v>
      </c>
      <c r="F217" s="27">
        <f>IF(AND(F214&gt;=Inputs!$E$204,F214&lt;=Inputs!$E$203),1,0)</f>
        <v>0</v>
      </c>
      <c r="G217" s="27">
        <f>IF(AND(G214&gt;=Inputs!$E$204,G214&lt;=Inputs!$E$203),1,0)</f>
        <v>0</v>
      </c>
      <c r="H217" s="27">
        <f>IF(AND(H214&gt;=Inputs!$E$204,H214&lt;=Inputs!$E$203),1,0)</f>
        <v>0</v>
      </c>
      <c r="I217" s="27">
        <f>IF(AND(I214&gt;=Inputs!$E$204,I214&lt;=Inputs!$E$203),1,0)</f>
        <v>0</v>
      </c>
      <c r="J217" s="27">
        <f>IF(AND(J214&gt;=Inputs!$E$204,J214&lt;=Inputs!$E$203),1,0)</f>
        <v>0</v>
      </c>
      <c r="K217" s="27">
        <f>IF(AND(K214&gt;=Inputs!$E$204,K214&lt;=Inputs!$E$203),1,0)</f>
        <v>0</v>
      </c>
      <c r="L217" s="27">
        <f>IF(AND(L214&gt;=Inputs!$E$204,L214&lt;=Inputs!$E$203),1,0)</f>
        <v>0</v>
      </c>
      <c r="M217" s="27">
        <f>IF(AND(M214&gt;=Inputs!$E$204,M214&lt;=Inputs!$E$203),1,0)</f>
        <v>0</v>
      </c>
      <c r="N217" s="27">
        <f>IF(AND(N214&gt;=Inputs!$E$204,N214&lt;=Inputs!$E$203),1,0)</f>
        <v>0</v>
      </c>
      <c r="O217" s="27">
        <f>IF(AND(O214&gt;=Inputs!$E$204,O214&lt;=Inputs!$E$203),1,0)</f>
        <v>0</v>
      </c>
      <c r="P217" s="27">
        <f>IF(AND(P214&gt;=Inputs!$E$204,P214&lt;=Inputs!$E$203),1,0)</f>
        <v>0</v>
      </c>
      <c r="Q217" s="27">
        <f>IF(AND(Q214&gt;=Inputs!$E$204,Q214&lt;=Inputs!$E$203),1,0)</f>
        <v>0</v>
      </c>
      <c r="R217" s="27">
        <f>IF(AND(R214&gt;=Inputs!$E$204,R214&lt;=Inputs!$E$203),1,0)</f>
        <v>0</v>
      </c>
      <c r="S217" s="27">
        <f>IF(AND(S214&gt;=Inputs!$E$204,S214&lt;=Inputs!$E$203),1,0)</f>
        <v>0</v>
      </c>
      <c r="T217" s="27">
        <f>IF(AND(T214&gt;=Inputs!$E$204,T214&lt;=Inputs!$E$203),1,0)</f>
        <v>0</v>
      </c>
      <c r="U217" s="27">
        <f>IF(AND(U214&gt;=Inputs!$E$204,U214&lt;=Inputs!$E$203),1,0)</f>
        <v>0</v>
      </c>
      <c r="V217" s="27">
        <f>IF(AND(V214&gt;=Inputs!$E$204,V214&lt;=Inputs!$E$203),1,0)</f>
        <v>0</v>
      </c>
      <c r="W217" s="27">
        <f>IF(AND(W214&gt;=Inputs!$E$204,W214&lt;=Inputs!$E$203),1,0)</f>
        <v>0</v>
      </c>
      <c r="X217" s="27">
        <f>IF(AND(X214&gt;=Inputs!$E$204,X214&lt;=Inputs!$E$203),1,0)</f>
        <v>0</v>
      </c>
      <c r="Y217" s="27">
        <f>IF(AND(Y214&gt;=Inputs!$E$204,Y214&lt;=Inputs!$E$203),1,0)</f>
        <v>0</v>
      </c>
      <c r="Z217" s="27">
        <f>IF(AND(Z214&gt;=Inputs!$E$204,Z214&lt;=Inputs!$E$203),1,0)</f>
        <v>0</v>
      </c>
      <c r="AA217" s="27">
        <f>IF(AND(AA214&gt;=Inputs!$E$204,AA214&lt;=Inputs!$E$203),1,0)</f>
        <v>0</v>
      </c>
      <c r="AB217" s="27">
        <f>IF(AND(AB214&gt;=Inputs!$E$204,AB214&lt;=Inputs!$E$203),1,0)</f>
        <v>0</v>
      </c>
      <c r="AC217" s="27">
        <f>IF(AND(AC214&gt;=Inputs!$E$204,AC214&lt;=Inputs!$E$203),1,0)</f>
        <v>0</v>
      </c>
      <c r="AD217" s="27">
        <f>IF(AND(AD214&gt;=Inputs!$E$204,AD214&lt;=Inputs!$E$203),1,0)</f>
        <v>0</v>
      </c>
      <c r="AE217" s="27">
        <f>IF(AND(AE214&gt;=Inputs!$E$204,AE214&lt;=Inputs!$E$203),1,0)</f>
        <v>0</v>
      </c>
      <c r="AF217" s="27">
        <f>IF(AND(AF214&gt;=Inputs!$E$204,AF214&lt;=Inputs!$E$203),1,0)</f>
        <v>0</v>
      </c>
      <c r="AG217" s="27">
        <f>IF(AND(AG214&gt;=Inputs!$E$204,AG214&lt;=Inputs!$E$203),1,0)</f>
        <v>0</v>
      </c>
      <c r="AH217" s="27">
        <f>IF(AND(AH214&gt;=Inputs!$E$204,AH214&lt;=Inputs!$E$203),1,0)</f>
        <v>0</v>
      </c>
      <c r="AI217" s="27">
        <f>IF(AND(AI214&gt;=Inputs!$E$204,AI214&lt;=Inputs!$E$203),1,0)</f>
        <v>0</v>
      </c>
      <c r="AJ217" s="27">
        <f>IF(AND(AJ214&gt;=Inputs!$E$204,AJ214&lt;=Inputs!$E$203),1,0)</f>
        <v>0</v>
      </c>
      <c r="AK217" s="27">
        <f>IF(AND(AK214&gt;=Inputs!$E$204,AK214&lt;=Inputs!$E$203),1,0)</f>
        <v>0</v>
      </c>
      <c r="AL217" s="27">
        <f>IF(AND(AL214&gt;=Inputs!$E$204,AL214&lt;=Inputs!$E$203),1,0)</f>
        <v>0</v>
      </c>
      <c r="AM217" s="27">
        <f>IF(AND(AM214&gt;=Inputs!$E$204,AM214&lt;=Inputs!$E$203),1,0)</f>
        <v>0</v>
      </c>
      <c r="AN217" s="27">
        <f>IF(AND(AN214&gt;=Inputs!$E$204,AN214&lt;=Inputs!$E$203),1,0)</f>
        <v>0</v>
      </c>
      <c r="AO217" s="27">
        <f>IF(AND(AO214&gt;=Inputs!$E$204,AO214&lt;=Inputs!$E$203),1,0)</f>
        <v>0</v>
      </c>
      <c r="AP217" s="27">
        <f>IF(AND(AP214&gt;=Inputs!$E$204,AP214&lt;=Inputs!$E$203),1,0)</f>
        <v>0</v>
      </c>
      <c r="AQ217" s="27">
        <f>IF(AND(AQ214&gt;=Inputs!$E$204,AQ214&lt;=Inputs!$E$203),1,0)</f>
        <v>0</v>
      </c>
      <c r="AR217" s="27">
        <f>IF(AND(AR214&gt;=Inputs!$E$204,AR214&lt;=Inputs!$E$203),1,0)</f>
        <v>0</v>
      </c>
      <c r="AS217" s="27">
        <f>IF(AND(AS214&gt;=Inputs!$E$204,AS214&lt;=Inputs!$E$203),1,0)</f>
        <v>0</v>
      </c>
      <c r="AT217" s="27">
        <f>IF(AND(AT214&gt;=Inputs!$E$204,AT214&lt;=Inputs!$E$203),1,0)</f>
        <v>0</v>
      </c>
      <c r="AU217" s="27">
        <f>IF(AND(AU214&gt;=Inputs!$E$204,AU214&lt;=Inputs!$E$203),1,0)</f>
        <v>0</v>
      </c>
      <c r="AV217" s="27">
        <f>IF(AND(AV214&gt;=Inputs!$E$204,AV214&lt;=Inputs!$E$203),1,0)</f>
        <v>0</v>
      </c>
      <c r="AW217" s="27">
        <f>IF(AND(AW214&gt;=Inputs!$E$204,AW214&lt;=Inputs!$E$203),1,0)</f>
        <v>0</v>
      </c>
      <c r="AX217" s="27">
        <f>IF(AND(AX214&gt;=Inputs!$E$204,AX214&lt;=Inputs!$E$203),1,0)</f>
        <v>0</v>
      </c>
      <c r="AY217" s="27">
        <f>IF(AND(AY214&gt;=Inputs!$E$204,AY214&lt;=Inputs!$E$203),1,0)</f>
        <v>0</v>
      </c>
      <c r="AZ217" s="27">
        <f>IF(AND(AZ214&gt;=Inputs!$E$204,AZ214&lt;=Inputs!$E$203),1,0)</f>
        <v>0</v>
      </c>
      <c r="BA217" s="27">
        <f>IF(AND(BA214&gt;=Inputs!$E$204,BA214&lt;=Inputs!$E$203),1,0)</f>
        <v>0</v>
      </c>
      <c r="BB217" s="27">
        <f>IF(AND(BB214&gt;=Inputs!$E$204,BB214&lt;=Inputs!$E$203),1,0)</f>
        <v>0</v>
      </c>
      <c r="BC217" s="27">
        <f>IF(AND(BC214&gt;=Inputs!$E$204,BC214&lt;=Inputs!$E$203),1,0)</f>
        <v>0</v>
      </c>
      <c r="BD217" s="27">
        <f>IF(AND(BD214&gt;=Inputs!$E$204,BD214&lt;=Inputs!$E$203),1,0)</f>
        <v>0</v>
      </c>
      <c r="BE217" s="27">
        <f>IF(AND(BE214&gt;=Inputs!$E$204,BE214&lt;=Inputs!$E$203),1,0)</f>
        <v>0</v>
      </c>
      <c r="BF217" s="27">
        <f>IF(AND(BF214&gt;=Inputs!$E$204,BF214&lt;=Inputs!$E$203),1,0)</f>
        <v>0</v>
      </c>
      <c r="BG217" s="27">
        <f>IF(AND(BG214&gt;=Inputs!$E$204,BG214&lt;=Inputs!$E$203),1,0)</f>
        <v>0</v>
      </c>
      <c r="BI217" s="14" t="inlineStr">
        <is>
          <t>Não editar: derivado da data do último trimestre reportado.</t>
        </is>
      </c>
    </row>
    <row r="219">
      <c r="B219" s="7" t="n"/>
      <c r="C219" s="7" t="inlineStr">
        <is>
          <t>DRIVERS IMPLÍCITOS NO HISTÓRICO — CALCULADOS DA INPUTS (2)</t>
        </is>
      </c>
      <c r="D219" s="7" t="inlineStr">
        <is>
          <t>IMPLIED DRIVERS — DERIVED FROM REPORTED DATA</t>
        </is>
      </c>
      <c r="E219" s="7" t="n"/>
      <c r="F219" s="7" t="n"/>
      <c r="G219" s="7" t="n"/>
      <c r="H219" s="7" t="n"/>
      <c r="I219" s="7" t="n"/>
      <c r="J219" s="7" t="n"/>
      <c r="K219" s="7" t="n"/>
      <c r="L219" s="7" t="n"/>
      <c r="M219" s="7" t="n"/>
      <c r="N219" s="7" t="n"/>
      <c r="O219" s="7" t="n"/>
      <c r="P219" s="7" t="n"/>
      <c r="Q219" s="7" t="n"/>
      <c r="R219" s="7" t="n"/>
      <c r="S219" s="7" t="n"/>
      <c r="T219" s="7" t="n"/>
      <c r="U219" s="7" t="n"/>
      <c r="V219" s="7" t="n"/>
      <c r="W219" s="7" t="n"/>
      <c r="X219" s="7" t="n"/>
      <c r="Y219" s="7" t="n"/>
      <c r="Z219" s="7" t="n"/>
      <c r="AA219" s="7" t="n"/>
      <c r="AB219" s="7" t="n"/>
      <c r="AC219" s="7" t="n"/>
      <c r="AD219" s="7" t="n"/>
      <c r="AE219" s="7" t="n"/>
      <c r="AF219" s="7" t="n"/>
      <c r="AG219" s="7" t="n"/>
      <c r="AH219" s="7" t="n"/>
      <c r="AI219" s="7" t="n"/>
      <c r="AJ219" s="7" t="n"/>
      <c r="AK219" s="7" t="n"/>
      <c r="AL219" s="7" t="n"/>
      <c r="AM219" s="7" t="n"/>
      <c r="AN219" s="7" t="n"/>
      <c r="AO219" s="7" t="n"/>
      <c r="AP219" s="7" t="n"/>
      <c r="AQ219" s="7" t="n"/>
      <c r="AR219" s="7" t="n"/>
      <c r="AS219" s="7" t="n"/>
      <c r="AT219" s="7" t="n"/>
      <c r="AU219" s="7" t="n"/>
      <c r="AV219" s="7" t="n"/>
      <c r="AW219" s="7" t="n"/>
      <c r="AX219" s="7" t="n"/>
      <c r="AY219" s="7" t="n"/>
      <c r="AZ219" s="7" t="n"/>
      <c r="BA219" s="7" t="n"/>
      <c r="BB219" s="7" t="n"/>
      <c r="BC219" s="7" t="n"/>
      <c r="BD219" s="7" t="n"/>
      <c r="BE219" s="7" t="n"/>
      <c r="BF219" s="7" t="n"/>
      <c r="BG219" s="7" t="n"/>
      <c r="BH219" s="7" t="n"/>
      <c r="BI219" s="28" t="inlineStr">
        <is>
          <t>Espelho das premissas dos blocos abaixo, calculado do reportado. Serve para você ver a variação realizada antes de escolher a projeção. Nenhuma linha daqui é lida pelo Model, então não há referência circular: basta copiar o número que fizer sentido para a célula amarela do bloco correspondente. Coluna sem dado na fonte fica vazia.</t>
        </is>
      </c>
    </row>
    <row r="220" hidden="1" outlineLevel="1">
      <c r="B220" s="29" t="n"/>
      <c r="C220" s="29" t="inlineStr">
        <is>
          <t>Crédito, tesouraria e funding — realizado</t>
        </is>
      </c>
      <c r="D220" s="29" t="inlineStr">
        <is>
          <t>Loans, treasury and funding — actual</t>
        </is>
      </c>
      <c r="E220" s="29" t="n"/>
      <c r="F220" s="29" t="n"/>
      <c r="G220" s="29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29" t="n"/>
      <c r="R220" s="29" t="n"/>
      <c r="S220" s="29" t="n"/>
      <c r="T220" s="29" t="n"/>
      <c r="U220" s="29" t="n"/>
      <c r="V220" s="29" t="n"/>
      <c r="W220" s="29" t="n"/>
      <c r="X220" s="29" t="n"/>
      <c r="Y220" s="29" t="n"/>
      <c r="Z220" s="29" t="n"/>
      <c r="AA220" s="29" t="n"/>
      <c r="AB220" s="29" t="n"/>
      <c r="AC220" s="29" t="n"/>
      <c r="AD220" s="29" t="n"/>
      <c r="AE220" s="29" t="n"/>
      <c r="AF220" s="29" t="n"/>
      <c r="AG220" s="29" t="n"/>
      <c r="AH220" s="29" t="n"/>
      <c r="AI220" s="29" t="n"/>
      <c r="AJ220" s="29" t="n"/>
      <c r="AK220" s="29" t="n"/>
      <c r="AL220" s="29" t="n"/>
      <c r="AM220" s="29" t="n"/>
      <c r="AN220" s="29" t="n"/>
      <c r="AO220" s="29" t="n"/>
      <c r="AP220" s="29" t="n"/>
      <c r="AQ220" s="29" t="n"/>
      <c r="AR220" s="29" t="n"/>
      <c r="AS220" s="29" t="n"/>
      <c r="AT220" s="29" t="n"/>
      <c r="AU220" s="29" t="n"/>
      <c r="AV220" s="29" t="n"/>
      <c r="AW220" s="29" t="n"/>
      <c r="AX220" s="29" t="n"/>
      <c r="AY220" s="29" t="n"/>
      <c r="AZ220" s="29" t="n"/>
      <c r="BA220" s="29" t="n"/>
      <c r="BB220" s="29" t="n"/>
      <c r="BC220" s="29" t="n"/>
      <c r="BD220" s="29" t="n"/>
      <c r="BE220" s="29" t="n"/>
      <c r="BF220" s="29" t="n"/>
      <c r="BG220" s="29" t="n"/>
      <c r="BH220" s="29" t="n"/>
      <c r="BI220" s="29" t="n"/>
    </row>
    <row r="221" hidden="1" outlineLevel="1">
      <c r="C221" s="30" t="inlineStr">
        <is>
          <t>Carteira de crédito bruta — crescimento % QoQ</t>
        </is>
      </c>
      <c r="D221" s="12" t="inlineStr">
        <is>
          <t>Gross loan growth QoQ</t>
        </is>
      </c>
      <c r="E221" s="31" t="n"/>
      <c r="F221" s="32" t="str">
        <f>IFERROR(IF(('Inputs (2)'!E18+'Inputs (2)'!E19)=0,"",('Inputs (2)'!F18+'Inputs (2)'!F19)/('Inputs (2)'!E18+'Inputs (2)'!E19)-1),"")</f>
        <v/>
      </c>
      <c r="G221" s="32" t="str">
        <f>IFERROR(IF(('Inputs (2)'!F18+'Inputs (2)'!F19)=0,"",('Inputs (2)'!G18+'Inputs (2)'!G19)/('Inputs (2)'!F18+'Inputs (2)'!F19)-1),"")</f>
        <v/>
      </c>
      <c r="H221" s="32" t="str">
        <f>IFERROR(IF(('Inputs (2)'!G18+'Inputs (2)'!G19)=0,"",('Inputs (2)'!H18+'Inputs (2)'!H19)/('Inputs (2)'!G18+'Inputs (2)'!G19)-1),"")</f>
        <v/>
      </c>
      <c r="I221" s="33" t="n"/>
      <c r="J221" s="32" t="str">
        <f>IFERROR(IF(('Inputs (2)'!H18+'Inputs (2)'!H19)=0,"",('Inputs (2)'!J18+'Inputs (2)'!J19)/('Inputs (2)'!H18+'Inputs (2)'!H19)-1),"")</f>
        <v/>
      </c>
      <c r="K221" s="32" t="str">
        <f>IFERROR(IF(('Inputs (2)'!J18+'Inputs (2)'!J19)=0,"",('Inputs (2)'!K18+'Inputs (2)'!K19)/('Inputs (2)'!J18+'Inputs (2)'!J19)-1),"")</f>
        <v/>
      </c>
      <c r="L221" s="32" t="str">
        <f>IFERROR(IF(('Inputs (2)'!K18+'Inputs (2)'!K19)=0,"",('Inputs (2)'!L18+'Inputs (2)'!L19)/('Inputs (2)'!K18+'Inputs (2)'!K19)-1),"")</f>
        <v/>
      </c>
      <c r="M221" s="32" t="str">
        <f>IFERROR(IF(('Inputs (2)'!L18+'Inputs (2)'!L19)=0,"",('Inputs (2)'!M18+'Inputs (2)'!M19)/('Inputs (2)'!L18+'Inputs (2)'!L19)-1),"")</f>
        <v/>
      </c>
      <c r="N221" s="34" t="str">
        <f>IFERROR(IF(('Inputs (2)'!I18+'Inputs (2)'!I19)=0,"",('Inputs (2)'!N18+'Inputs (2)'!N19)/('Inputs (2)'!I18+'Inputs (2)'!I19)-1),"")</f>
        <v/>
      </c>
      <c r="O221" s="32" t="str">
        <f>IFERROR(IF(('Inputs (2)'!M18+'Inputs (2)'!M19)=0,"",('Inputs (2)'!O18+'Inputs (2)'!O19)/('Inputs (2)'!M18+'Inputs (2)'!M19)-1),"")</f>
        <v/>
      </c>
      <c r="P221" s="32" t="str">
        <f>IFERROR(IF(('Inputs (2)'!O18+'Inputs (2)'!O19)=0,"",('Inputs (2)'!P18+'Inputs (2)'!P19)/('Inputs (2)'!O18+'Inputs (2)'!O19)-1),"")</f>
        <v/>
      </c>
      <c r="Q221" s="32" t="str">
        <f>IFERROR(IF(('Inputs (2)'!P18+'Inputs (2)'!P19)=0,"",('Inputs (2)'!Q18+'Inputs (2)'!Q19)/('Inputs (2)'!P18+'Inputs (2)'!P19)-1),"")</f>
        <v/>
      </c>
      <c r="R221" s="32" t="str">
        <f>IFERROR(IF(('Inputs (2)'!Q18+'Inputs (2)'!Q19)=0,"",('Inputs (2)'!R18+'Inputs (2)'!R19)/('Inputs (2)'!Q18+'Inputs (2)'!Q19)-1),"")</f>
        <v/>
      </c>
      <c r="S221" s="34" t="str">
        <f>IFERROR(IF(('Inputs (2)'!N18+'Inputs (2)'!N19)=0,"",('Inputs (2)'!S18+'Inputs (2)'!S19)/('Inputs (2)'!N18+'Inputs (2)'!N19)-1),"")</f>
        <v/>
      </c>
      <c r="T221" s="32" t="str">
        <f>IFERROR(IF(('Inputs (2)'!R18+'Inputs (2)'!R19)=0,"",('Inputs (2)'!T18+'Inputs (2)'!T19)/('Inputs (2)'!R18+'Inputs (2)'!R19)-1),"")</f>
        <v/>
      </c>
      <c r="U221" s="32" t="str">
        <f>IFERROR(IF(('Inputs (2)'!T18+'Inputs (2)'!T19)=0,"",('Inputs (2)'!U18+'Inputs (2)'!U19)/('Inputs (2)'!T18+'Inputs (2)'!T19)-1),"")</f>
        <v/>
      </c>
      <c r="V221" s="32" t="str">
        <f>IFERROR(IF(('Inputs (2)'!U18+'Inputs (2)'!U19)=0,"",('Inputs (2)'!V18+'Inputs (2)'!V19)/('Inputs (2)'!U18+'Inputs (2)'!U19)-1),"")</f>
        <v/>
      </c>
      <c r="W221" s="32" t="str">
        <f>IFERROR(IF(('Inputs (2)'!V18+'Inputs (2)'!V19)=0,"",('Inputs (2)'!W18+'Inputs (2)'!W19)/('Inputs (2)'!V18+'Inputs (2)'!V19)-1),"")</f>
        <v/>
      </c>
      <c r="X221" s="34" t="str">
        <f>IFERROR(IF(('Inputs (2)'!S18+'Inputs (2)'!S19)=0,"",('Inputs (2)'!X18+'Inputs (2)'!X19)/('Inputs (2)'!S18+'Inputs (2)'!S19)-1),"")</f>
        <v/>
      </c>
      <c r="Y221" s="32" t="str">
        <f>IFERROR(IF(('Inputs (2)'!W18+'Inputs (2)'!W19)=0,"",('Inputs (2)'!Y18+'Inputs (2)'!Y19)/('Inputs (2)'!W18+'Inputs (2)'!W19)-1),"")</f>
        <v/>
      </c>
      <c r="Z221" s="32" t="str">
        <f>IFERROR(IF(('Inputs (2)'!Y18+'Inputs (2)'!Y19)=0,"",('Inputs (2)'!Z18+'Inputs (2)'!Z19)/('Inputs (2)'!Y18+'Inputs (2)'!Y19)-1),"")</f>
        <v/>
      </c>
      <c r="AA221" s="32" t="str">
        <f>IFERROR(IF(('Inputs (2)'!Z18+'Inputs (2)'!Z19)=0,"",('Inputs (2)'!AA18+'Inputs (2)'!AA19)/('Inputs (2)'!Z18+'Inputs (2)'!Z19)-1),"")</f>
        <v/>
      </c>
      <c r="AB221" s="32" t="str">
        <f>IFERROR(IF(('Inputs (2)'!AA18+'Inputs (2)'!AA19)=0,"",('Inputs (2)'!AB18+'Inputs (2)'!AB19)/('Inputs (2)'!AA18+'Inputs (2)'!AA19)-1),"")</f>
        <v/>
      </c>
      <c r="AC221" s="34" t="str">
        <f>IFERROR(IF(('Inputs (2)'!X18+'Inputs (2)'!X19)=0,"",('Inputs (2)'!AC18+'Inputs (2)'!AC19)/('Inputs (2)'!X18+'Inputs (2)'!X19)-1),"")</f>
        <v/>
      </c>
      <c r="AD221" s="32" t="str">
        <f>IFERROR(IF(('Inputs (2)'!AB18+'Inputs (2)'!AB19)=0,"",('Inputs (2)'!AD18+'Inputs (2)'!AD19)/('Inputs (2)'!AB18+'Inputs (2)'!AB19)-1),"")</f>
        <v/>
      </c>
      <c r="AE221" s="32" t="str">
        <f>IFERROR(IF(('Inputs (2)'!AD18+'Inputs (2)'!AD19)=0,"",('Inputs (2)'!AE18+'Inputs (2)'!AE19)/('Inputs (2)'!AD18+'Inputs (2)'!AD19)-1),"")</f>
        <v/>
      </c>
      <c r="AF221" s="32" t="str">
        <f>IFERROR(IF(('Inputs (2)'!AE18+'Inputs (2)'!AE19)=0,"",('Inputs (2)'!AF18+'Inputs (2)'!AF19)/('Inputs (2)'!AE18+'Inputs (2)'!AE19)-1),"")</f>
        <v/>
      </c>
      <c r="AG221" s="32" t="str">
        <f>IFERROR(IF(('Inputs (2)'!AF18+'Inputs (2)'!AF19)=0,"",('Inputs (2)'!AG18+'Inputs (2)'!AG19)/('Inputs (2)'!AF18+'Inputs (2)'!AF19)-1),"")</f>
        <v/>
      </c>
      <c r="AH221" s="34" t="str">
        <f>IFERROR(IF(('Inputs (2)'!AC18+'Inputs (2)'!AC19)=0,"",('Inputs (2)'!AH18+'Inputs (2)'!AH19)/('Inputs (2)'!AC18+'Inputs (2)'!AC19)-1),"")</f>
        <v/>
      </c>
      <c r="AI221" s="32" t="str">
        <f>IFERROR(IF(('Inputs (2)'!AG18+'Inputs (2)'!AG19)=0,"",('Inputs (2)'!AI18+'Inputs (2)'!AI19)/('Inputs (2)'!AG18+'Inputs (2)'!AG19)-1),"")</f>
        <v/>
      </c>
      <c r="AJ221" s="32" t="str">
        <f>IFERROR(IF(('Inputs (2)'!AI18+'Inputs (2)'!AI19)=0,"",('Inputs (2)'!AJ18+'Inputs (2)'!AJ19)/('Inputs (2)'!AI18+'Inputs (2)'!AI19)-1),"")</f>
        <v/>
      </c>
      <c r="AK221" s="32" t="str">
        <f>IFERROR(IF(('Inputs (2)'!AJ18+'Inputs (2)'!AJ19)=0,"",('Inputs (2)'!AK18+'Inputs (2)'!AK19)/('Inputs (2)'!AJ18+'Inputs (2)'!AJ19)-1),"")</f>
        <v/>
      </c>
      <c r="AL221" s="32" t="str">
        <f>IFERROR(IF(('Inputs (2)'!AK18+'Inputs (2)'!AK19)=0,"",('Inputs (2)'!AL18+'Inputs (2)'!AL19)/('Inputs (2)'!AK18+'Inputs (2)'!AK19)-1),"")</f>
        <v/>
      </c>
      <c r="AM221" s="34" t="str">
        <f>IFERROR(IF(('Inputs (2)'!AH18+'Inputs (2)'!AH19)=0,"",('Inputs (2)'!AM18+'Inputs (2)'!AM19)/('Inputs (2)'!AH18+'Inputs (2)'!AH19)-1),"")</f>
        <v/>
      </c>
      <c r="AN221" s="32" t="str">
        <f>IFERROR(IF(('Inputs (2)'!AL18+'Inputs (2)'!AL19)=0,"",('Inputs (2)'!AN18+'Inputs (2)'!AN19)/('Inputs (2)'!AL18+'Inputs (2)'!AL19)-1),"")</f>
        <v/>
      </c>
      <c r="AO221" s="32" t="str">
        <f>IFERROR(IF(('Inputs (2)'!AN18+'Inputs (2)'!AN19)=0,"",('Inputs (2)'!AO18+'Inputs (2)'!AO19)/('Inputs (2)'!AN18+'Inputs (2)'!AN19)-1),"")</f>
        <v/>
      </c>
      <c r="AP221" s="32" t="str">
        <f>IFERROR(IF(('Inputs (2)'!AO18+'Inputs (2)'!AO19)=0,"",('Inputs (2)'!AP18+'Inputs (2)'!AP19)/('Inputs (2)'!AO18+'Inputs (2)'!AO19)-1),"")</f>
        <v/>
      </c>
      <c r="AQ221" s="32" t="str">
        <f>IFERROR(IF(('Inputs (2)'!AP18+'Inputs (2)'!AP19)=0,"",('Inputs (2)'!AQ18+'Inputs (2)'!AQ19)/('Inputs (2)'!AP18+'Inputs (2)'!AP19)-1),"")</f>
        <v/>
      </c>
      <c r="AR221" s="34" t="str">
        <f>IFERROR(IF(('Inputs (2)'!AM18+'Inputs (2)'!AM19)=0,"",('Inputs (2)'!AR18+'Inputs (2)'!AR19)/('Inputs (2)'!AM18+'Inputs (2)'!AM19)-1),"")</f>
        <v/>
      </c>
      <c r="AS221" s="32" t="str">
        <f>IFERROR(IF(('Inputs (2)'!AQ18+'Inputs (2)'!AQ19)=0,"",('Inputs (2)'!AS18+'Inputs (2)'!AS19)/('Inputs (2)'!AQ18+'Inputs (2)'!AQ19)-1),"")</f>
        <v/>
      </c>
      <c r="AT221" s="32" t="str">
        <f>IFERROR(IF(('Inputs (2)'!AS18+'Inputs (2)'!AS19)=0,"",('Inputs (2)'!AT18+'Inputs (2)'!AT19)/('Inputs (2)'!AS18+'Inputs (2)'!AS19)-1),"")</f>
        <v/>
      </c>
      <c r="AU221" s="32" t="str">
        <f>IFERROR(IF(('Inputs (2)'!AT18+'Inputs (2)'!AT19)=0,"",('Inputs (2)'!AU18+'Inputs (2)'!AU19)/('Inputs (2)'!AT18+'Inputs (2)'!AT19)-1),"")</f>
        <v/>
      </c>
      <c r="AV221" s="32" t="str">
        <f>IFERROR(IF(('Inputs (2)'!AU18+'Inputs (2)'!AU19)=0,"",('Inputs (2)'!AV18+'Inputs (2)'!AV19)/('Inputs (2)'!AU18+'Inputs (2)'!AU19)-1),"")</f>
        <v/>
      </c>
      <c r="AW221" s="34" t="str">
        <f>IFERROR(IF(('Inputs (2)'!AR18+'Inputs (2)'!AR19)=0,"",('Inputs (2)'!AW18+'Inputs (2)'!AW19)/('Inputs (2)'!AR18+'Inputs (2)'!AR19)-1),"")</f>
        <v/>
      </c>
      <c r="AX221" s="32" t="str">
        <f>IFERROR(IF(('Inputs (2)'!AV18+'Inputs (2)'!AV19)=0,"",('Inputs (2)'!AX18+'Inputs (2)'!AX19)/('Inputs (2)'!AV18+'Inputs (2)'!AV19)-1),"")</f>
        <v/>
      </c>
      <c r="AY221" s="32" t="str">
        <f>IFERROR(IF(('Inputs (2)'!AX18+'Inputs (2)'!AX19)=0,"",('Inputs (2)'!AY18+'Inputs (2)'!AY19)/('Inputs (2)'!AX18+'Inputs (2)'!AX19)-1),"")</f>
        <v/>
      </c>
      <c r="AZ221" s="32" t="str">
        <f>IFERROR(IF(('Inputs (2)'!AY18+'Inputs (2)'!AY19)=0,"",('Inputs (2)'!AZ18+'Inputs (2)'!AZ19)/('Inputs (2)'!AY18+'Inputs (2)'!AY19)-1),"")</f>
        <v/>
      </c>
      <c r="BA221" s="32" t="str">
        <f>IFERROR(IF(('Inputs (2)'!AZ18+'Inputs (2)'!AZ19)=0,"",('Inputs (2)'!BA18+'Inputs (2)'!BA19)/('Inputs (2)'!AZ18+'Inputs (2)'!AZ19)-1),"")</f>
        <v/>
      </c>
      <c r="BB221" s="34" t="str">
        <f>IFERROR(IF(('Inputs (2)'!AW18+'Inputs (2)'!AW19)=0,"",('Inputs (2)'!BB18+'Inputs (2)'!BB19)/('Inputs (2)'!AW18+'Inputs (2)'!AW19)-1),"")</f>
        <v/>
      </c>
      <c r="BC221" s="32" t="str">
        <f>IFERROR(IF(('Inputs (2)'!BA18+'Inputs (2)'!BA19)=0,"",('Inputs (2)'!BC18+'Inputs (2)'!BC19)/('Inputs (2)'!BA18+'Inputs (2)'!BA19)-1),"")</f>
        <v/>
      </c>
      <c r="BD221" s="32" t="str">
        <f>IFERROR(IF(('Inputs (2)'!BC18+'Inputs (2)'!BC19)=0,"",('Inputs (2)'!BD18+'Inputs (2)'!BD19)/('Inputs (2)'!BC18+'Inputs (2)'!BC19)-1),"")</f>
        <v/>
      </c>
      <c r="BE221" s="32" t="str">
        <f>IFERROR(IF(('Inputs (2)'!BD18+'Inputs (2)'!BD19)=0,"",('Inputs (2)'!BE18+'Inputs (2)'!BE19)/('Inputs (2)'!BD18+'Inputs (2)'!BD19)-1),"")</f>
        <v/>
      </c>
      <c r="BF221" s="32" t="str">
        <f>IFERROR(IF(('Inputs (2)'!BE18+'Inputs (2)'!BE19)=0,"",('Inputs (2)'!BF18+'Inputs (2)'!BF19)/('Inputs (2)'!BE18+'Inputs (2)'!BE19)-1),"")</f>
        <v/>
      </c>
      <c r="BG221" s="34" t="str">
        <f>IFERROR(IF(('Inputs (2)'!BB18+'Inputs (2)'!BB19)=0,"",('Inputs (2)'!BG18+'Inputs (2)'!BG19)/('Inputs (2)'!BB18+'Inputs (2)'!BB19)-1),"")</f>
        <v/>
      </c>
    </row>
    <row r="222" hidden="1" outlineLevel="1">
      <c r="C222" s="30" t="inlineStr">
        <is>
          <t>Rendimento médio dos empréstimos (% a.a.)</t>
        </is>
      </c>
      <c r="D222" s="12" t="inlineStr">
        <is>
          <t>Average loan yield</t>
        </is>
      </c>
      <c r="E222" s="32" t="str">
        <f>IFERROR(IF(OR(('Inputs (2)'!E18+'Inputs (2)'!E19)=0,('Inputs (2)'!E72)=0),"",('Inputs (2)'!E72)*4/('Inputs (2)'!E18+'Inputs (2)'!E19)),"")</f>
        <v/>
      </c>
      <c r="F222" s="32" t="str">
        <f>IFERROR(IF(OR(AVERAGE(('Inputs (2)'!E18+'Inputs (2)'!E19),('Inputs (2)'!F18+'Inputs (2)'!F19))=0,('Inputs (2)'!F72)=0),"",('Inputs (2)'!F72)*4/AVERAGE(('Inputs (2)'!E18+'Inputs (2)'!E19),('Inputs (2)'!F18+'Inputs (2)'!F19))),"")</f>
        <v/>
      </c>
      <c r="G222" s="32" t="str">
        <f>IFERROR(IF(OR(AVERAGE(('Inputs (2)'!F18+'Inputs (2)'!F19),('Inputs (2)'!G18+'Inputs (2)'!G19))=0,('Inputs (2)'!G72)=0),"",('Inputs (2)'!G72)*4/AVERAGE(('Inputs (2)'!F18+'Inputs (2)'!F19),('Inputs (2)'!G18+'Inputs (2)'!G19))),"")</f>
        <v/>
      </c>
      <c r="H222" s="32" t="str">
        <f>IFERROR(IF(OR(AVERAGE(('Inputs (2)'!G18+'Inputs (2)'!G19),('Inputs (2)'!H18+'Inputs (2)'!H19))=0,('Inputs (2)'!H72)=0),"",('Inputs (2)'!H72)*4/AVERAGE(('Inputs (2)'!G18+'Inputs (2)'!G19),('Inputs (2)'!H18+'Inputs (2)'!H19))),"")</f>
        <v/>
      </c>
      <c r="I222" s="34" t="str">
        <f>IFERROR(IF(OR(('Inputs (2)'!I18+'Inputs (2)'!I19)=0,('Inputs (2)'!I72)=0),"",('Inputs (2)'!I72)/('Inputs (2)'!I18+'Inputs (2)'!I19)),"")</f>
        <v/>
      </c>
      <c r="J222" s="32" t="str">
        <f>IFERROR(IF(OR(AVERAGE(('Inputs (2)'!H18+'Inputs (2)'!H19),('Inputs (2)'!J18+'Inputs (2)'!J19))=0,('Inputs (2)'!J72)=0),"",('Inputs (2)'!J72)*4/AVERAGE(('Inputs (2)'!H18+'Inputs (2)'!H19),('Inputs (2)'!J18+'Inputs (2)'!J19))),"")</f>
        <v/>
      </c>
      <c r="K222" s="32" t="str">
        <f>IFERROR(IF(OR(AVERAGE(('Inputs (2)'!J18+'Inputs (2)'!J19),('Inputs (2)'!K18+'Inputs (2)'!K19))=0,('Inputs (2)'!K72)=0),"",('Inputs (2)'!K72)*4/AVERAGE(('Inputs (2)'!J18+'Inputs (2)'!J19),('Inputs (2)'!K18+'Inputs (2)'!K19))),"")</f>
        <v/>
      </c>
      <c r="L222" s="32" t="str">
        <f>IFERROR(IF(OR(AVERAGE(('Inputs (2)'!K18+'Inputs (2)'!K19),('Inputs (2)'!L18+'Inputs (2)'!L19))=0,('Inputs (2)'!L72)=0),"",('Inputs (2)'!L72)*4/AVERAGE(('Inputs (2)'!K18+'Inputs (2)'!K19),('Inputs (2)'!L18+'Inputs (2)'!L19))),"")</f>
        <v/>
      </c>
      <c r="M222" s="32" t="str">
        <f>IFERROR(IF(OR(AVERAGE(('Inputs (2)'!L18+'Inputs (2)'!L19),('Inputs (2)'!M18+'Inputs (2)'!M19))=0,('Inputs (2)'!M72)=0),"",('Inputs (2)'!M72)*4/AVERAGE(('Inputs (2)'!L18+'Inputs (2)'!L19),('Inputs (2)'!M18+'Inputs (2)'!M19))),"")</f>
        <v/>
      </c>
      <c r="N222" s="34" t="str">
        <f>IFERROR(IF(OR(AVERAGE(('Inputs (2)'!I18+'Inputs (2)'!I19),('Inputs (2)'!N18+'Inputs (2)'!N19))=0,('Inputs (2)'!N72)=0),"",('Inputs (2)'!N72)/AVERAGE(('Inputs (2)'!I18+'Inputs (2)'!I19),('Inputs (2)'!N18+'Inputs (2)'!N19))),"")</f>
        <v/>
      </c>
      <c r="O222" s="32" t="str">
        <f>IFERROR(IF(OR(AVERAGE(('Inputs (2)'!M18+'Inputs (2)'!M19),('Inputs (2)'!O18+'Inputs (2)'!O19))=0,('Inputs (2)'!O72)=0),"",('Inputs (2)'!O72)*4/AVERAGE(('Inputs (2)'!M18+'Inputs (2)'!M19),('Inputs (2)'!O18+'Inputs (2)'!O19))),"")</f>
        <v/>
      </c>
      <c r="P222" s="32" t="str">
        <f>IFERROR(IF(OR(AVERAGE(('Inputs (2)'!O18+'Inputs (2)'!O19),('Inputs (2)'!P18+'Inputs (2)'!P19))=0,('Inputs (2)'!P72)=0),"",('Inputs (2)'!P72)*4/AVERAGE(('Inputs (2)'!O18+'Inputs (2)'!O19),('Inputs (2)'!P18+'Inputs (2)'!P19))),"")</f>
        <v/>
      </c>
      <c r="Q222" s="32" t="str">
        <f>IFERROR(IF(OR(AVERAGE(('Inputs (2)'!P18+'Inputs (2)'!P19),('Inputs (2)'!Q18+'Inputs (2)'!Q19))=0,('Inputs (2)'!Q72)=0),"",('Inputs (2)'!Q72)*4/AVERAGE(('Inputs (2)'!P18+'Inputs (2)'!P19),('Inputs (2)'!Q18+'Inputs (2)'!Q19))),"")</f>
        <v/>
      </c>
      <c r="R222" s="32" t="str">
        <f>IFERROR(IF(OR(AVERAGE(('Inputs (2)'!Q18+'Inputs (2)'!Q19),('Inputs (2)'!R18+'Inputs (2)'!R19))=0,('Inputs (2)'!R72)=0),"",('Inputs (2)'!R72)*4/AVERAGE(('Inputs (2)'!Q18+'Inputs (2)'!Q19),('Inputs (2)'!R18+'Inputs (2)'!R19))),"")</f>
        <v/>
      </c>
      <c r="S222" s="34" t="str">
        <f>IFERROR(IF(OR(AVERAGE(('Inputs (2)'!N18+'Inputs (2)'!N19),('Inputs (2)'!S18+'Inputs (2)'!S19))=0,('Inputs (2)'!S72)=0),"",('Inputs (2)'!S72)/AVERAGE(('Inputs (2)'!N18+'Inputs (2)'!N19),('Inputs (2)'!S18+'Inputs (2)'!S19))),"")</f>
        <v/>
      </c>
      <c r="T222" s="32" t="str">
        <f>IFERROR(IF(OR(AVERAGE(('Inputs (2)'!R18+'Inputs (2)'!R19),('Inputs (2)'!T18+'Inputs (2)'!T19))=0,('Inputs (2)'!T72)=0),"",('Inputs (2)'!T72)*4/AVERAGE(('Inputs (2)'!R18+'Inputs (2)'!R19),('Inputs (2)'!T18+'Inputs (2)'!T19))),"")</f>
        <v/>
      </c>
      <c r="U222" s="32" t="str">
        <f>IFERROR(IF(OR(AVERAGE(('Inputs (2)'!T18+'Inputs (2)'!T19),('Inputs (2)'!U18+'Inputs (2)'!U19))=0,('Inputs (2)'!U72)=0),"",('Inputs (2)'!U72)*4/AVERAGE(('Inputs (2)'!T18+'Inputs (2)'!T19),('Inputs (2)'!U18+'Inputs (2)'!U19))),"")</f>
        <v/>
      </c>
      <c r="V222" s="32" t="str">
        <f>IFERROR(IF(OR(AVERAGE(('Inputs (2)'!U18+'Inputs (2)'!U19),('Inputs (2)'!V18+'Inputs (2)'!V19))=0,('Inputs (2)'!V72)=0),"",('Inputs (2)'!V72)*4/AVERAGE(('Inputs (2)'!U18+'Inputs (2)'!U19),('Inputs (2)'!V18+'Inputs (2)'!V19))),"")</f>
        <v/>
      </c>
      <c r="W222" s="32" t="str">
        <f>IFERROR(IF(OR(AVERAGE(('Inputs (2)'!V18+'Inputs (2)'!V19),('Inputs (2)'!W18+'Inputs (2)'!W19))=0,('Inputs (2)'!W72)=0),"",('Inputs (2)'!W72)*4/AVERAGE(('Inputs (2)'!V18+'Inputs (2)'!V19),('Inputs (2)'!W18+'Inputs (2)'!W19))),"")</f>
        <v/>
      </c>
      <c r="X222" s="34" t="str">
        <f>IFERROR(IF(OR(AVERAGE(('Inputs (2)'!S18+'Inputs (2)'!S19),('Inputs (2)'!X18+'Inputs (2)'!X19))=0,('Inputs (2)'!X72)=0),"",('Inputs (2)'!X72)/AVERAGE(('Inputs (2)'!S18+'Inputs (2)'!S19),('Inputs (2)'!X18+'Inputs (2)'!X19))),"")</f>
        <v/>
      </c>
      <c r="Y222" s="32" t="str">
        <f>IFERROR(IF(OR(AVERAGE(('Inputs (2)'!W18+'Inputs (2)'!W19),('Inputs (2)'!Y18+'Inputs (2)'!Y19))=0,('Inputs (2)'!Y72)=0),"",('Inputs (2)'!Y72)*4/AVERAGE(('Inputs (2)'!W18+'Inputs (2)'!W19),('Inputs (2)'!Y18+'Inputs (2)'!Y19))),"")</f>
        <v/>
      </c>
      <c r="Z222" s="32" t="str">
        <f>IFERROR(IF(OR(AVERAGE(('Inputs (2)'!Y18+'Inputs (2)'!Y19),('Inputs (2)'!Z18+'Inputs (2)'!Z19))=0,('Inputs (2)'!Z72)=0),"",('Inputs (2)'!Z72)*4/AVERAGE(('Inputs (2)'!Y18+'Inputs (2)'!Y19),('Inputs (2)'!Z18+'Inputs (2)'!Z19))),"")</f>
        <v/>
      </c>
      <c r="AA222" s="32" t="str">
        <f>IFERROR(IF(OR(AVERAGE(('Inputs (2)'!Z18+'Inputs (2)'!Z19),('Inputs (2)'!AA18+'Inputs (2)'!AA19))=0,('Inputs (2)'!AA72)=0),"",('Inputs (2)'!AA72)*4/AVERAGE(('Inputs (2)'!Z18+'Inputs (2)'!Z19),('Inputs (2)'!AA18+'Inputs (2)'!AA19))),"")</f>
        <v/>
      </c>
      <c r="AB222" s="32" t="str">
        <f>IFERROR(IF(OR(AVERAGE(('Inputs (2)'!AA18+'Inputs (2)'!AA19),('Inputs (2)'!AB18+'Inputs (2)'!AB19))=0,('Inputs (2)'!AB72)=0),"",('Inputs (2)'!AB72)*4/AVERAGE(('Inputs (2)'!AA18+'Inputs (2)'!AA19),('Inputs (2)'!AB18+'Inputs (2)'!AB19))),"")</f>
        <v/>
      </c>
      <c r="AC222" s="34" t="str">
        <f>IFERROR(IF(OR(AVERAGE(('Inputs (2)'!X18+'Inputs (2)'!X19),('Inputs (2)'!AC18+'Inputs (2)'!AC19))=0,('Inputs (2)'!AC72)=0),"",('Inputs (2)'!AC72)/AVERAGE(('Inputs (2)'!X18+'Inputs (2)'!X19),('Inputs (2)'!AC18+'Inputs (2)'!AC19))),"")</f>
        <v/>
      </c>
      <c r="AD222" s="32" t="str">
        <f>IFERROR(IF(OR(AVERAGE(('Inputs (2)'!AB18+'Inputs (2)'!AB19),('Inputs (2)'!AD18+'Inputs (2)'!AD19))=0,('Inputs (2)'!AD72)=0),"",('Inputs (2)'!AD72)*4/AVERAGE(('Inputs (2)'!AB18+'Inputs (2)'!AB19),('Inputs (2)'!AD18+'Inputs (2)'!AD19))),"")</f>
        <v/>
      </c>
      <c r="AE222" s="32" t="str">
        <f>IFERROR(IF(OR(AVERAGE(('Inputs (2)'!AD18+'Inputs (2)'!AD19),('Inputs (2)'!AE18+'Inputs (2)'!AE19))=0,('Inputs (2)'!AE72)=0),"",('Inputs (2)'!AE72)*4/AVERAGE(('Inputs (2)'!AD18+'Inputs (2)'!AD19),('Inputs (2)'!AE18+'Inputs (2)'!AE19))),"")</f>
        <v/>
      </c>
      <c r="AF222" s="32" t="str">
        <f>IFERROR(IF(OR(AVERAGE(('Inputs (2)'!AE18+'Inputs (2)'!AE19),('Inputs (2)'!AF18+'Inputs (2)'!AF19))=0,('Inputs (2)'!AF72)=0),"",('Inputs (2)'!AF72)*4/AVERAGE(('Inputs (2)'!AE18+'Inputs (2)'!AE19),('Inputs (2)'!AF18+'Inputs (2)'!AF19))),"")</f>
        <v/>
      </c>
      <c r="AG222" s="32" t="str">
        <f>IFERROR(IF(OR(AVERAGE(('Inputs (2)'!AF18+'Inputs (2)'!AF19),('Inputs (2)'!AG18+'Inputs (2)'!AG19))=0,('Inputs (2)'!AG72)=0),"",('Inputs (2)'!AG72)*4/AVERAGE(('Inputs (2)'!AF18+'Inputs (2)'!AF19),('Inputs (2)'!AG18+'Inputs (2)'!AG19))),"")</f>
        <v/>
      </c>
      <c r="AH222" s="34" t="str">
        <f>IFERROR(IF(OR(AVERAGE(('Inputs (2)'!AC18+'Inputs (2)'!AC19),('Inputs (2)'!AH18+'Inputs (2)'!AH19))=0,('Inputs (2)'!AH72)=0),"",('Inputs (2)'!AH72)/AVERAGE(('Inputs (2)'!AC18+'Inputs (2)'!AC19),('Inputs (2)'!AH18+'Inputs (2)'!AH19))),"")</f>
        <v/>
      </c>
      <c r="AI222" s="32" t="str">
        <f>IFERROR(IF(OR(AVERAGE(('Inputs (2)'!AG18+'Inputs (2)'!AG19),('Inputs (2)'!AI18+'Inputs (2)'!AI19))=0,('Inputs (2)'!AI72)=0),"",('Inputs (2)'!AI72)*4/AVERAGE(('Inputs (2)'!AG18+'Inputs (2)'!AG19),('Inputs (2)'!AI18+'Inputs (2)'!AI19))),"")</f>
        <v/>
      </c>
      <c r="AJ222" s="32" t="str">
        <f>IFERROR(IF(OR(AVERAGE(('Inputs (2)'!AI18+'Inputs (2)'!AI19),('Inputs (2)'!AJ18+'Inputs (2)'!AJ19))=0,('Inputs (2)'!AJ72)=0),"",('Inputs (2)'!AJ72)*4/AVERAGE(('Inputs (2)'!AI18+'Inputs (2)'!AI19),('Inputs (2)'!AJ18+'Inputs (2)'!AJ19))),"")</f>
        <v/>
      </c>
      <c r="AK222" s="32" t="str">
        <f>IFERROR(IF(OR(AVERAGE(('Inputs (2)'!AJ18+'Inputs (2)'!AJ19),('Inputs (2)'!AK18+'Inputs (2)'!AK19))=0,('Inputs (2)'!AK72)=0),"",('Inputs (2)'!AK72)*4/AVERAGE(('Inputs (2)'!AJ18+'Inputs (2)'!AJ19),('Inputs (2)'!AK18+'Inputs (2)'!AK19))),"")</f>
        <v/>
      </c>
      <c r="AL222" s="32" t="str">
        <f>IFERROR(IF(OR(AVERAGE(('Inputs (2)'!AK18+'Inputs (2)'!AK19),('Inputs (2)'!AL18+'Inputs (2)'!AL19))=0,('Inputs (2)'!AL72)=0),"",('Inputs (2)'!AL72)*4/AVERAGE(('Inputs (2)'!AK18+'Inputs (2)'!AK19),('Inputs (2)'!AL18+'Inputs (2)'!AL19))),"")</f>
        <v/>
      </c>
      <c r="AM222" s="34" t="str">
        <f>IFERROR(IF(OR(AVERAGE(('Inputs (2)'!AH18+'Inputs (2)'!AH19),('Inputs (2)'!AM18+'Inputs (2)'!AM19))=0,('Inputs (2)'!AM72)=0),"",('Inputs (2)'!AM72)/AVERAGE(('Inputs (2)'!AH18+'Inputs (2)'!AH19),('Inputs (2)'!AM18+'Inputs (2)'!AM19))),"")</f>
        <v/>
      </c>
      <c r="AN222" s="32" t="str">
        <f>IFERROR(IF(OR(AVERAGE(('Inputs (2)'!AL18+'Inputs (2)'!AL19),('Inputs (2)'!AN18+'Inputs (2)'!AN19))=0,('Inputs (2)'!AN72)=0),"",('Inputs (2)'!AN72)*4/AVERAGE(('Inputs (2)'!AL18+'Inputs (2)'!AL19),('Inputs (2)'!AN18+'Inputs (2)'!AN19))),"")</f>
        <v/>
      </c>
      <c r="AO222" s="32" t="str">
        <f>IFERROR(IF(OR(AVERAGE(('Inputs (2)'!AN18+'Inputs (2)'!AN19),('Inputs (2)'!AO18+'Inputs (2)'!AO19))=0,('Inputs (2)'!AO72)=0),"",('Inputs (2)'!AO72)*4/AVERAGE(('Inputs (2)'!AN18+'Inputs (2)'!AN19),('Inputs (2)'!AO18+'Inputs (2)'!AO19))),"")</f>
        <v/>
      </c>
      <c r="AP222" s="32" t="str">
        <f>IFERROR(IF(OR(AVERAGE(('Inputs (2)'!AO18+'Inputs (2)'!AO19),('Inputs (2)'!AP18+'Inputs (2)'!AP19))=0,('Inputs (2)'!AP72)=0),"",('Inputs (2)'!AP72)*4/AVERAGE(('Inputs (2)'!AO18+'Inputs (2)'!AO19),('Inputs (2)'!AP18+'Inputs (2)'!AP19))),"")</f>
        <v/>
      </c>
      <c r="AQ222" s="32" t="str">
        <f>IFERROR(IF(OR(AVERAGE(('Inputs (2)'!AP18+'Inputs (2)'!AP19),('Inputs (2)'!AQ18+'Inputs (2)'!AQ19))=0,('Inputs (2)'!AQ72)=0),"",('Inputs (2)'!AQ72)*4/AVERAGE(('Inputs (2)'!AP18+'Inputs (2)'!AP19),('Inputs (2)'!AQ18+'Inputs (2)'!AQ19))),"")</f>
        <v/>
      </c>
      <c r="AR222" s="34" t="str">
        <f>IFERROR(IF(OR(AVERAGE(('Inputs (2)'!AM18+'Inputs (2)'!AM19),('Inputs (2)'!AR18+'Inputs (2)'!AR19))=0,('Inputs (2)'!AR72)=0),"",('Inputs (2)'!AR72)/AVERAGE(('Inputs (2)'!AM18+'Inputs (2)'!AM19),('Inputs (2)'!AR18+'Inputs (2)'!AR19))),"")</f>
        <v/>
      </c>
      <c r="AS222" s="32" t="str">
        <f>IFERROR(IF(OR(AVERAGE(('Inputs (2)'!AQ18+'Inputs (2)'!AQ19),('Inputs (2)'!AS18+'Inputs (2)'!AS19))=0,('Inputs (2)'!AS72)=0),"",('Inputs (2)'!AS72)*4/AVERAGE(('Inputs (2)'!AQ18+'Inputs (2)'!AQ19),('Inputs (2)'!AS18+'Inputs (2)'!AS19))),"")</f>
        <v/>
      </c>
      <c r="AT222" s="32" t="str">
        <f>IFERROR(IF(OR(AVERAGE(('Inputs (2)'!AS18+'Inputs (2)'!AS19),('Inputs (2)'!AT18+'Inputs (2)'!AT19))=0,('Inputs (2)'!AT72)=0),"",('Inputs (2)'!AT72)*4/AVERAGE(('Inputs (2)'!AS18+'Inputs (2)'!AS19),('Inputs (2)'!AT18+'Inputs (2)'!AT19))),"")</f>
        <v/>
      </c>
      <c r="AU222" s="32" t="str">
        <f>IFERROR(IF(OR(AVERAGE(('Inputs (2)'!AT18+'Inputs (2)'!AT19),('Inputs (2)'!AU18+'Inputs (2)'!AU19))=0,('Inputs (2)'!AU72)=0),"",('Inputs (2)'!AU72)*4/AVERAGE(('Inputs (2)'!AT18+'Inputs (2)'!AT19),('Inputs (2)'!AU18+'Inputs (2)'!AU19))),"")</f>
        <v/>
      </c>
      <c r="AV222" s="32" t="str">
        <f>IFERROR(IF(OR(AVERAGE(('Inputs (2)'!AU18+'Inputs (2)'!AU19),('Inputs (2)'!AV18+'Inputs (2)'!AV19))=0,('Inputs (2)'!AV72)=0),"",('Inputs (2)'!AV72)*4/AVERAGE(('Inputs (2)'!AU18+'Inputs (2)'!AU19),('Inputs (2)'!AV18+'Inputs (2)'!AV19))),"")</f>
        <v/>
      </c>
      <c r="AW222" s="34" t="str">
        <f>IFERROR(IF(OR(AVERAGE(('Inputs (2)'!AR18+'Inputs (2)'!AR19),('Inputs (2)'!AW18+'Inputs (2)'!AW19))=0,('Inputs (2)'!AW72)=0),"",('Inputs (2)'!AW72)/AVERAGE(('Inputs (2)'!AR18+'Inputs (2)'!AR19),('Inputs (2)'!AW18+'Inputs (2)'!AW19))),"")</f>
        <v/>
      </c>
      <c r="AX222" s="32" t="str">
        <f>IFERROR(IF(OR(AVERAGE(('Inputs (2)'!AV18+'Inputs (2)'!AV19),('Inputs (2)'!AX18+'Inputs (2)'!AX19))=0,('Inputs (2)'!AX72)=0),"",('Inputs (2)'!AX72)*4/AVERAGE(('Inputs (2)'!AV18+'Inputs (2)'!AV19),('Inputs (2)'!AX18+'Inputs (2)'!AX19))),"")</f>
        <v/>
      </c>
      <c r="AY222" s="32" t="str">
        <f>IFERROR(IF(OR(AVERAGE(('Inputs (2)'!AX18+'Inputs (2)'!AX19),('Inputs (2)'!AY18+'Inputs (2)'!AY19))=0,('Inputs (2)'!AY72)=0),"",('Inputs (2)'!AY72)*4/AVERAGE(('Inputs (2)'!AX18+'Inputs (2)'!AX19),('Inputs (2)'!AY18+'Inputs (2)'!AY19))),"")</f>
        <v/>
      </c>
      <c r="AZ222" s="32" t="str">
        <f>IFERROR(IF(OR(AVERAGE(('Inputs (2)'!AY18+'Inputs (2)'!AY19),('Inputs (2)'!AZ18+'Inputs (2)'!AZ19))=0,('Inputs (2)'!AZ72)=0),"",('Inputs (2)'!AZ72)*4/AVERAGE(('Inputs (2)'!AY18+'Inputs (2)'!AY19),('Inputs (2)'!AZ18+'Inputs (2)'!AZ19))),"")</f>
        <v/>
      </c>
      <c r="BA222" s="32" t="str">
        <f>IFERROR(IF(OR(AVERAGE(('Inputs (2)'!AZ18+'Inputs (2)'!AZ19),('Inputs (2)'!BA18+'Inputs (2)'!BA19))=0,('Inputs (2)'!BA72)=0),"",('Inputs (2)'!BA72)*4/AVERAGE(('Inputs (2)'!AZ18+'Inputs (2)'!AZ19),('Inputs (2)'!BA18+'Inputs (2)'!BA19))),"")</f>
        <v/>
      </c>
      <c r="BB222" s="34" t="str">
        <f>IFERROR(IF(OR(AVERAGE(('Inputs (2)'!AW18+'Inputs (2)'!AW19),('Inputs (2)'!BB18+'Inputs (2)'!BB19))=0,('Inputs (2)'!BB72)=0),"",('Inputs (2)'!BB72)/AVERAGE(('Inputs (2)'!AW18+'Inputs (2)'!AW19),('Inputs (2)'!BB18+'Inputs (2)'!BB19))),"")</f>
        <v/>
      </c>
      <c r="BC222" s="32" t="str">
        <f>IFERROR(IF(OR(AVERAGE(('Inputs (2)'!BA18+'Inputs (2)'!BA19),('Inputs (2)'!BC18+'Inputs (2)'!BC19))=0,('Inputs (2)'!BC72)=0),"",('Inputs (2)'!BC72)*4/AVERAGE(('Inputs (2)'!BA18+'Inputs (2)'!BA19),('Inputs (2)'!BC18+'Inputs (2)'!BC19))),"")</f>
        <v/>
      </c>
      <c r="BD222" s="32" t="str">
        <f>IFERROR(IF(OR(AVERAGE(('Inputs (2)'!BC18+'Inputs (2)'!BC19),('Inputs (2)'!BD18+'Inputs (2)'!BD19))=0,('Inputs (2)'!BD72)=0),"",('Inputs (2)'!BD72)*4/AVERAGE(('Inputs (2)'!BC18+'Inputs (2)'!BC19),('Inputs (2)'!BD18+'Inputs (2)'!BD19))),"")</f>
        <v/>
      </c>
      <c r="BE222" s="32" t="str">
        <f>IFERROR(IF(OR(AVERAGE(('Inputs (2)'!BD18+'Inputs (2)'!BD19),('Inputs (2)'!BE18+'Inputs (2)'!BE19))=0,('Inputs (2)'!BE72)=0),"",('Inputs (2)'!BE72)*4/AVERAGE(('Inputs (2)'!BD18+'Inputs (2)'!BD19),('Inputs (2)'!BE18+'Inputs (2)'!BE19))),"")</f>
        <v/>
      </c>
      <c r="BF222" s="32" t="str">
        <f>IFERROR(IF(OR(AVERAGE(('Inputs (2)'!BE18+'Inputs (2)'!BE19),('Inputs (2)'!BF18+'Inputs (2)'!BF19))=0,('Inputs (2)'!BF72)=0),"",('Inputs (2)'!BF72)*4/AVERAGE(('Inputs (2)'!BE18+'Inputs (2)'!BE19),('Inputs (2)'!BF18+'Inputs (2)'!BF19))),"")</f>
        <v/>
      </c>
      <c r="BG222" s="34" t="str">
        <f>IFERROR(IF(OR(AVERAGE(('Inputs (2)'!BB18+'Inputs (2)'!BB19),('Inputs (2)'!BG18+'Inputs (2)'!BG19))=0,('Inputs (2)'!BG72)=0),"",('Inputs (2)'!BG72)/AVERAGE(('Inputs (2)'!BB18+'Inputs (2)'!BB19),('Inputs (2)'!BG18+'Inputs (2)'!BG19))),"")</f>
        <v/>
      </c>
    </row>
    <row r="223" hidden="1" outlineLevel="1">
      <c r="C223" s="30" t="inlineStr">
        <is>
          <t>Custo do crédito (% da carteira média, a.a.)</t>
        </is>
      </c>
      <c r="D223" s="12" t="inlineStr">
        <is>
          <t>Cost of risk</t>
        </is>
      </c>
      <c r="E223" s="32" t="str">
        <f>IFERROR(IF(OR(ABS(('Inputs (2)'!E18+'Inputs (2)'!E19))=0,('Inputs (2)'!E83)=0),"",ABS('Inputs (2)'!E83)*4/ABS(('Inputs (2)'!E18+'Inputs (2)'!E19))),"")</f>
        <v/>
      </c>
      <c r="F223" s="32" t="str">
        <f>IFERROR(IF(OR(ABS(AVERAGE(('Inputs (2)'!E18+'Inputs (2)'!E19),('Inputs (2)'!F18+'Inputs (2)'!F19)))=0,('Inputs (2)'!F83)=0),"",ABS('Inputs (2)'!F83)*4/ABS(AVERAGE(('Inputs (2)'!E18+'Inputs (2)'!E19),('Inputs (2)'!F18+'Inputs (2)'!F19)))),"")</f>
        <v/>
      </c>
      <c r="G223" s="32" t="str">
        <f>IFERROR(IF(OR(ABS(AVERAGE(('Inputs (2)'!F18+'Inputs (2)'!F19),('Inputs (2)'!G18+'Inputs (2)'!G19)))=0,('Inputs (2)'!G83)=0),"",ABS('Inputs (2)'!G83)*4/ABS(AVERAGE(('Inputs (2)'!F18+'Inputs (2)'!F19),('Inputs (2)'!G18+'Inputs (2)'!G19)))),"")</f>
        <v/>
      </c>
      <c r="H223" s="32" t="str">
        <f>IFERROR(IF(OR(ABS(AVERAGE(('Inputs (2)'!G18+'Inputs (2)'!G19),('Inputs (2)'!H18+'Inputs (2)'!H19)))=0,('Inputs (2)'!H83)=0),"",ABS('Inputs (2)'!H83)*4/ABS(AVERAGE(('Inputs (2)'!G18+'Inputs (2)'!G19),('Inputs (2)'!H18+'Inputs (2)'!H19)))),"")</f>
        <v/>
      </c>
      <c r="I223" s="34" t="str">
        <f>IFERROR(IF(OR(ABS(('Inputs (2)'!I18+'Inputs (2)'!I19))=0,('Inputs (2)'!I83)=0),"",ABS('Inputs (2)'!I83)/ABS(('Inputs (2)'!I18+'Inputs (2)'!I19))),"")</f>
        <v/>
      </c>
      <c r="J223" s="32" t="str">
        <f>IFERROR(IF(OR(ABS(AVERAGE(('Inputs (2)'!H18+'Inputs (2)'!H19),('Inputs (2)'!J18+'Inputs (2)'!J19)))=0,('Inputs (2)'!J83)=0),"",ABS('Inputs (2)'!J83)*4/ABS(AVERAGE(('Inputs (2)'!H18+'Inputs (2)'!H19),('Inputs (2)'!J18+'Inputs (2)'!J19)))),"")</f>
        <v/>
      </c>
      <c r="K223" s="32" t="str">
        <f>IFERROR(IF(OR(ABS(AVERAGE(('Inputs (2)'!J18+'Inputs (2)'!J19),('Inputs (2)'!K18+'Inputs (2)'!K19)))=0,('Inputs (2)'!K83)=0),"",ABS('Inputs (2)'!K83)*4/ABS(AVERAGE(('Inputs (2)'!J18+'Inputs (2)'!J19),('Inputs (2)'!K18+'Inputs (2)'!K19)))),"")</f>
        <v/>
      </c>
      <c r="L223" s="32" t="str">
        <f>IFERROR(IF(OR(ABS(AVERAGE(('Inputs (2)'!K18+'Inputs (2)'!K19),('Inputs (2)'!L18+'Inputs (2)'!L19)))=0,('Inputs (2)'!L83)=0),"",ABS('Inputs (2)'!L83)*4/ABS(AVERAGE(('Inputs (2)'!K18+'Inputs (2)'!K19),('Inputs (2)'!L18+'Inputs (2)'!L19)))),"")</f>
        <v/>
      </c>
      <c r="M223" s="32" t="str">
        <f>IFERROR(IF(OR(ABS(AVERAGE(('Inputs (2)'!L18+'Inputs (2)'!L19),('Inputs (2)'!M18+'Inputs (2)'!M19)))=0,('Inputs (2)'!M83)=0),"",ABS('Inputs (2)'!M83)*4/ABS(AVERAGE(('Inputs (2)'!L18+'Inputs (2)'!L19),('Inputs (2)'!M18+'Inputs (2)'!M19)))),"")</f>
        <v/>
      </c>
      <c r="N223" s="34" t="str">
        <f>IFERROR(IF(OR(ABS(AVERAGE(('Inputs (2)'!I18+'Inputs (2)'!I19),('Inputs (2)'!N18+'Inputs (2)'!N19)))=0,('Inputs (2)'!N83)=0),"",ABS('Inputs (2)'!N83)/ABS(AVERAGE(('Inputs (2)'!I18+'Inputs (2)'!I19),('Inputs (2)'!N18+'Inputs (2)'!N19)))),"")</f>
        <v/>
      </c>
      <c r="O223" s="32" t="str">
        <f>IFERROR(IF(OR(ABS(AVERAGE(('Inputs (2)'!M18+'Inputs (2)'!M19),('Inputs (2)'!O18+'Inputs (2)'!O19)))=0,('Inputs (2)'!O83)=0),"",ABS('Inputs (2)'!O83)*4/ABS(AVERAGE(('Inputs (2)'!M18+'Inputs (2)'!M19),('Inputs (2)'!O18+'Inputs (2)'!O19)))),"")</f>
        <v/>
      </c>
      <c r="P223" s="32" t="str">
        <f>IFERROR(IF(OR(ABS(AVERAGE(('Inputs (2)'!O18+'Inputs (2)'!O19),('Inputs (2)'!P18+'Inputs (2)'!P19)))=0,('Inputs (2)'!P83)=0),"",ABS('Inputs (2)'!P83)*4/ABS(AVERAGE(('Inputs (2)'!O18+'Inputs (2)'!O19),('Inputs (2)'!P18+'Inputs (2)'!P19)))),"")</f>
        <v/>
      </c>
      <c r="Q223" s="32" t="str">
        <f>IFERROR(IF(OR(ABS(AVERAGE(('Inputs (2)'!P18+'Inputs (2)'!P19),('Inputs (2)'!Q18+'Inputs (2)'!Q19)))=0,('Inputs (2)'!Q83)=0),"",ABS('Inputs (2)'!Q83)*4/ABS(AVERAGE(('Inputs (2)'!P18+'Inputs (2)'!P19),('Inputs (2)'!Q18+'Inputs (2)'!Q19)))),"")</f>
        <v/>
      </c>
      <c r="R223" s="32" t="str">
        <f>IFERROR(IF(OR(ABS(AVERAGE(('Inputs (2)'!Q18+'Inputs (2)'!Q19),('Inputs (2)'!R18+'Inputs (2)'!R19)))=0,('Inputs (2)'!R83)=0),"",ABS('Inputs (2)'!R83)*4/ABS(AVERAGE(('Inputs (2)'!Q18+'Inputs (2)'!Q19),('Inputs (2)'!R18+'Inputs (2)'!R19)))),"")</f>
        <v/>
      </c>
      <c r="S223" s="34" t="str">
        <f>IFERROR(IF(OR(ABS(AVERAGE(('Inputs (2)'!N18+'Inputs (2)'!N19),('Inputs (2)'!S18+'Inputs (2)'!S19)))=0,('Inputs (2)'!S83)=0),"",ABS('Inputs (2)'!S83)/ABS(AVERAGE(('Inputs (2)'!N18+'Inputs (2)'!N19),('Inputs (2)'!S18+'Inputs (2)'!S19)))),"")</f>
        <v/>
      </c>
      <c r="T223" s="32" t="str">
        <f>IFERROR(IF(OR(ABS(AVERAGE(('Inputs (2)'!R18+'Inputs (2)'!R19),('Inputs (2)'!T18+'Inputs (2)'!T19)))=0,('Inputs (2)'!T83)=0),"",ABS('Inputs (2)'!T83)*4/ABS(AVERAGE(('Inputs (2)'!R18+'Inputs (2)'!R19),('Inputs (2)'!T18+'Inputs (2)'!T19)))),"")</f>
        <v/>
      </c>
      <c r="U223" s="32" t="str">
        <f>IFERROR(IF(OR(ABS(AVERAGE(('Inputs (2)'!T18+'Inputs (2)'!T19),('Inputs (2)'!U18+'Inputs (2)'!U19)))=0,('Inputs (2)'!U83)=0),"",ABS('Inputs (2)'!U83)*4/ABS(AVERAGE(('Inputs (2)'!T18+'Inputs (2)'!T19),('Inputs (2)'!U18+'Inputs (2)'!U19)))),"")</f>
        <v/>
      </c>
      <c r="V223" s="32" t="str">
        <f>IFERROR(IF(OR(ABS(AVERAGE(('Inputs (2)'!U18+'Inputs (2)'!U19),('Inputs (2)'!V18+'Inputs (2)'!V19)))=0,('Inputs (2)'!V83)=0),"",ABS('Inputs (2)'!V83)*4/ABS(AVERAGE(('Inputs (2)'!U18+'Inputs (2)'!U19),('Inputs (2)'!V18+'Inputs (2)'!V19)))),"")</f>
        <v/>
      </c>
      <c r="W223" s="32" t="str">
        <f>IFERROR(IF(OR(ABS(AVERAGE(('Inputs (2)'!V18+'Inputs (2)'!V19),('Inputs (2)'!W18+'Inputs (2)'!W19)))=0,('Inputs (2)'!W83)=0),"",ABS('Inputs (2)'!W83)*4/ABS(AVERAGE(('Inputs (2)'!V18+'Inputs (2)'!V19),('Inputs (2)'!W18+'Inputs (2)'!W19)))),"")</f>
        <v/>
      </c>
      <c r="X223" s="34" t="str">
        <f>IFERROR(IF(OR(ABS(AVERAGE(('Inputs (2)'!S18+'Inputs (2)'!S19),('Inputs (2)'!X18+'Inputs (2)'!X19)))=0,('Inputs (2)'!X83)=0),"",ABS('Inputs (2)'!X83)/ABS(AVERAGE(('Inputs (2)'!S18+'Inputs (2)'!S19),('Inputs (2)'!X18+'Inputs (2)'!X19)))),"")</f>
        <v/>
      </c>
      <c r="Y223" s="32" t="str">
        <f>IFERROR(IF(OR(ABS(AVERAGE(('Inputs (2)'!W18+'Inputs (2)'!W19),('Inputs (2)'!Y18+'Inputs (2)'!Y19)))=0,('Inputs (2)'!Y83)=0),"",ABS('Inputs (2)'!Y83)*4/ABS(AVERAGE(('Inputs (2)'!W18+'Inputs (2)'!W19),('Inputs (2)'!Y18+'Inputs (2)'!Y19)))),"")</f>
        <v/>
      </c>
      <c r="Z223" s="32" t="str">
        <f>IFERROR(IF(OR(ABS(AVERAGE(('Inputs (2)'!Y18+'Inputs (2)'!Y19),('Inputs (2)'!Z18+'Inputs (2)'!Z19)))=0,('Inputs (2)'!Z83)=0),"",ABS('Inputs (2)'!Z83)*4/ABS(AVERAGE(('Inputs (2)'!Y18+'Inputs (2)'!Y19),('Inputs (2)'!Z18+'Inputs (2)'!Z19)))),"")</f>
        <v/>
      </c>
      <c r="AA223" s="32" t="str">
        <f>IFERROR(IF(OR(ABS(AVERAGE(('Inputs (2)'!Z18+'Inputs (2)'!Z19),('Inputs (2)'!AA18+'Inputs (2)'!AA19)))=0,('Inputs (2)'!AA83)=0),"",ABS('Inputs (2)'!AA83)*4/ABS(AVERAGE(('Inputs (2)'!Z18+'Inputs (2)'!Z19),('Inputs (2)'!AA18+'Inputs (2)'!AA19)))),"")</f>
        <v/>
      </c>
      <c r="AB223" s="32" t="str">
        <f>IFERROR(IF(OR(ABS(AVERAGE(('Inputs (2)'!AA18+'Inputs (2)'!AA19),('Inputs (2)'!AB18+'Inputs (2)'!AB19)))=0,('Inputs (2)'!AB83)=0),"",ABS('Inputs (2)'!AB83)*4/ABS(AVERAGE(('Inputs (2)'!AA18+'Inputs (2)'!AA19),('Inputs (2)'!AB18+'Inputs (2)'!AB19)))),"")</f>
        <v/>
      </c>
      <c r="AC223" s="34" t="str">
        <f>IFERROR(IF(OR(ABS(AVERAGE(('Inputs (2)'!X18+'Inputs (2)'!X19),('Inputs (2)'!AC18+'Inputs (2)'!AC19)))=0,('Inputs (2)'!AC83)=0),"",ABS('Inputs (2)'!AC83)/ABS(AVERAGE(('Inputs (2)'!X18+'Inputs (2)'!X19),('Inputs (2)'!AC18+'Inputs (2)'!AC19)))),"")</f>
        <v/>
      </c>
      <c r="AD223" s="32" t="str">
        <f>IFERROR(IF(OR(ABS(AVERAGE(('Inputs (2)'!AB18+'Inputs (2)'!AB19),('Inputs (2)'!AD18+'Inputs (2)'!AD19)))=0,('Inputs (2)'!AD83)=0),"",ABS('Inputs (2)'!AD83)*4/ABS(AVERAGE(('Inputs (2)'!AB18+'Inputs (2)'!AB19),('Inputs (2)'!AD18+'Inputs (2)'!AD19)))),"")</f>
        <v/>
      </c>
      <c r="AE223" s="32" t="str">
        <f>IFERROR(IF(OR(ABS(AVERAGE(('Inputs (2)'!AD18+'Inputs (2)'!AD19),('Inputs (2)'!AE18+'Inputs (2)'!AE19)))=0,('Inputs (2)'!AE83)=0),"",ABS('Inputs (2)'!AE83)*4/ABS(AVERAGE(('Inputs (2)'!AD18+'Inputs (2)'!AD19),('Inputs (2)'!AE18+'Inputs (2)'!AE19)))),"")</f>
        <v/>
      </c>
      <c r="AF223" s="32" t="str">
        <f>IFERROR(IF(OR(ABS(AVERAGE(('Inputs (2)'!AE18+'Inputs (2)'!AE19),('Inputs (2)'!AF18+'Inputs (2)'!AF19)))=0,('Inputs (2)'!AF83)=0),"",ABS('Inputs (2)'!AF83)*4/ABS(AVERAGE(('Inputs (2)'!AE18+'Inputs (2)'!AE19),('Inputs (2)'!AF18+'Inputs (2)'!AF19)))),"")</f>
        <v/>
      </c>
      <c r="AG223" s="32" t="str">
        <f>IFERROR(IF(OR(ABS(AVERAGE(('Inputs (2)'!AF18+'Inputs (2)'!AF19),('Inputs (2)'!AG18+'Inputs (2)'!AG19)))=0,('Inputs (2)'!AG83)=0),"",ABS('Inputs (2)'!AG83)*4/ABS(AVERAGE(('Inputs (2)'!AF18+'Inputs (2)'!AF19),('Inputs (2)'!AG18+'Inputs (2)'!AG19)))),"")</f>
        <v/>
      </c>
      <c r="AH223" s="34" t="str">
        <f>IFERROR(IF(OR(ABS(AVERAGE(('Inputs (2)'!AC18+'Inputs (2)'!AC19),('Inputs (2)'!AH18+'Inputs (2)'!AH19)))=0,('Inputs (2)'!AH83)=0),"",ABS('Inputs (2)'!AH83)/ABS(AVERAGE(('Inputs (2)'!AC18+'Inputs (2)'!AC19),('Inputs (2)'!AH18+'Inputs (2)'!AH19)))),"")</f>
        <v/>
      </c>
      <c r="AI223" s="32" t="str">
        <f>IFERROR(IF(OR(ABS(AVERAGE(('Inputs (2)'!AG18+'Inputs (2)'!AG19),('Inputs (2)'!AI18+'Inputs (2)'!AI19)))=0,('Inputs (2)'!AI83)=0),"",ABS('Inputs (2)'!AI83)*4/ABS(AVERAGE(('Inputs (2)'!AG18+'Inputs (2)'!AG19),('Inputs (2)'!AI18+'Inputs (2)'!AI19)))),"")</f>
        <v/>
      </c>
      <c r="AJ223" s="32" t="str">
        <f>IFERROR(IF(OR(ABS(AVERAGE(('Inputs (2)'!AI18+'Inputs (2)'!AI19),('Inputs (2)'!AJ18+'Inputs (2)'!AJ19)))=0,('Inputs (2)'!AJ83)=0),"",ABS('Inputs (2)'!AJ83)*4/ABS(AVERAGE(('Inputs (2)'!AI18+'Inputs (2)'!AI19),('Inputs (2)'!AJ18+'Inputs (2)'!AJ19)))),"")</f>
        <v/>
      </c>
      <c r="AK223" s="32" t="str">
        <f>IFERROR(IF(OR(ABS(AVERAGE(('Inputs (2)'!AJ18+'Inputs (2)'!AJ19),('Inputs (2)'!AK18+'Inputs (2)'!AK19)))=0,('Inputs (2)'!AK83)=0),"",ABS('Inputs (2)'!AK83)*4/ABS(AVERAGE(('Inputs (2)'!AJ18+'Inputs (2)'!AJ19),('Inputs (2)'!AK18+'Inputs (2)'!AK19)))),"")</f>
        <v/>
      </c>
      <c r="AL223" s="32" t="str">
        <f>IFERROR(IF(OR(ABS(AVERAGE(('Inputs (2)'!AK18+'Inputs (2)'!AK19),('Inputs (2)'!AL18+'Inputs (2)'!AL19)))=0,('Inputs (2)'!AL83)=0),"",ABS('Inputs (2)'!AL83)*4/ABS(AVERAGE(('Inputs (2)'!AK18+'Inputs (2)'!AK19),('Inputs (2)'!AL18+'Inputs (2)'!AL19)))),"")</f>
        <v/>
      </c>
      <c r="AM223" s="34" t="str">
        <f>IFERROR(IF(OR(ABS(AVERAGE(('Inputs (2)'!AH18+'Inputs (2)'!AH19),('Inputs (2)'!AM18+'Inputs (2)'!AM19)))=0,('Inputs (2)'!AM83)=0),"",ABS('Inputs (2)'!AM83)/ABS(AVERAGE(('Inputs (2)'!AH18+'Inputs (2)'!AH19),('Inputs (2)'!AM18+'Inputs (2)'!AM19)))),"")</f>
        <v/>
      </c>
      <c r="AN223" s="32" t="str">
        <f>IFERROR(IF(OR(ABS(AVERAGE(('Inputs (2)'!AL18+'Inputs (2)'!AL19),('Inputs (2)'!AN18+'Inputs (2)'!AN19)))=0,('Inputs (2)'!AN83)=0),"",ABS('Inputs (2)'!AN83)*4/ABS(AVERAGE(('Inputs (2)'!AL18+'Inputs (2)'!AL19),('Inputs (2)'!AN18+'Inputs (2)'!AN19)))),"")</f>
        <v/>
      </c>
      <c r="AO223" s="32" t="str">
        <f>IFERROR(IF(OR(ABS(AVERAGE(('Inputs (2)'!AN18+'Inputs (2)'!AN19),('Inputs (2)'!AO18+'Inputs (2)'!AO19)))=0,('Inputs (2)'!AO83)=0),"",ABS('Inputs (2)'!AO83)*4/ABS(AVERAGE(('Inputs (2)'!AN18+'Inputs (2)'!AN19),('Inputs (2)'!AO18+'Inputs (2)'!AO19)))),"")</f>
        <v/>
      </c>
      <c r="AP223" s="32" t="str">
        <f>IFERROR(IF(OR(ABS(AVERAGE(('Inputs (2)'!AO18+'Inputs (2)'!AO19),('Inputs (2)'!AP18+'Inputs (2)'!AP19)))=0,('Inputs (2)'!AP83)=0),"",ABS('Inputs (2)'!AP83)*4/ABS(AVERAGE(('Inputs (2)'!AO18+'Inputs (2)'!AO19),('Inputs (2)'!AP18+'Inputs (2)'!AP19)))),"")</f>
        <v/>
      </c>
      <c r="AQ223" s="32" t="str">
        <f>IFERROR(IF(OR(ABS(AVERAGE(('Inputs (2)'!AP18+'Inputs (2)'!AP19),('Inputs (2)'!AQ18+'Inputs (2)'!AQ19)))=0,('Inputs (2)'!AQ83)=0),"",ABS('Inputs (2)'!AQ83)*4/ABS(AVERAGE(('Inputs (2)'!AP18+'Inputs (2)'!AP19),('Inputs (2)'!AQ18+'Inputs (2)'!AQ19)))),"")</f>
        <v/>
      </c>
      <c r="AR223" s="34" t="str">
        <f>IFERROR(IF(OR(ABS(AVERAGE(('Inputs (2)'!AM18+'Inputs (2)'!AM19),('Inputs (2)'!AR18+'Inputs (2)'!AR19)))=0,('Inputs (2)'!AR83)=0),"",ABS('Inputs (2)'!AR83)/ABS(AVERAGE(('Inputs (2)'!AM18+'Inputs (2)'!AM19),('Inputs (2)'!AR18+'Inputs (2)'!AR19)))),"")</f>
        <v/>
      </c>
      <c r="AS223" s="32" t="str">
        <f>IFERROR(IF(OR(ABS(AVERAGE(('Inputs (2)'!AQ18+'Inputs (2)'!AQ19),('Inputs (2)'!AS18+'Inputs (2)'!AS19)))=0,('Inputs (2)'!AS83)=0),"",ABS('Inputs (2)'!AS83)*4/ABS(AVERAGE(('Inputs (2)'!AQ18+'Inputs (2)'!AQ19),('Inputs (2)'!AS18+'Inputs (2)'!AS19)))),"")</f>
        <v/>
      </c>
      <c r="AT223" s="32" t="str">
        <f>IFERROR(IF(OR(ABS(AVERAGE(('Inputs (2)'!AS18+'Inputs (2)'!AS19),('Inputs (2)'!AT18+'Inputs (2)'!AT19)))=0,('Inputs (2)'!AT83)=0),"",ABS('Inputs (2)'!AT83)*4/ABS(AVERAGE(('Inputs (2)'!AS18+'Inputs (2)'!AS19),('Inputs (2)'!AT18+'Inputs (2)'!AT19)))),"")</f>
        <v/>
      </c>
      <c r="AU223" s="32" t="str">
        <f>IFERROR(IF(OR(ABS(AVERAGE(('Inputs (2)'!AT18+'Inputs (2)'!AT19),('Inputs (2)'!AU18+'Inputs (2)'!AU19)))=0,('Inputs (2)'!AU83)=0),"",ABS('Inputs (2)'!AU83)*4/ABS(AVERAGE(('Inputs (2)'!AT18+'Inputs (2)'!AT19),('Inputs (2)'!AU18+'Inputs (2)'!AU19)))),"")</f>
        <v/>
      </c>
      <c r="AV223" s="32" t="str">
        <f>IFERROR(IF(OR(ABS(AVERAGE(('Inputs (2)'!AU18+'Inputs (2)'!AU19),('Inputs (2)'!AV18+'Inputs (2)'!AV19)))=0,('Inputs (2)'!AV83)=0),"",ABS('Inputs (2)'!AV83)*4/ABS(AVERAGE(('Inputs (2)'!AU18+'Inputs (2)'!AU19),('Inputs (2)'!AV18+'Inputs (2)'!AV19)))),"")</f>
        <v/>
      </c>
      <c r="AW223" s="34" t="str">
        <f>IFERROR(IF(OR(ABS(AVERAGE(('Inputs (2)'!AR18+'Inputs (2)'!AR19),('Inputs (2)'!AW18+'Inputs (2)'!AW19)))=0,('Inputs (2)'!AW83)=0),"",ABS('Inputs (2)'!AW83)/ABS(AVERAGE(('Inputs (2)'!AR18+'Inputs (2)'!AR19),('Inputs (2)'!AW18+'Inputs (2)'!AW19)))),"")</f>
        <v/>
      </c>
      <c r="AX223" s="32" t="str">
        <f>IFERROR(IF(OR(ABS(AVERAGE(('Inputs (2)'!AV18+'Inputs (2)'!AV19),('Inputs (2)'!AX18+'Inputs (2)'!AX19)))=0,('Inputs (2)'!AX83)=0),"",ABS('Inputs (2)'!AX83)*4/ABS(AVERAGE(('Inputs (2)'!AV18+'Inputs (2)'!AV19),('Inputs (2)'!AX18+'Inputs (2)'!AX19)))),"")</f>
        <v/>
      </c>
      <c r="AY223" s="32" t="str">
        <f>IFERROR(IF(OR(ABS(AVERAGE(('Inputs (2)'!AX18+'Inputs (2)'!AX19),('Inputs (2)'!AY18+'Inputs (2)'!AY19)))=0,('Inputs (2)'!AY83)=0),"",ABS('Inputs (2)'!AY83)*4/ABS(AVERAGE(('Inputs (2)'!AX18+'Inputs (2)'!AX19),('Inputs (2)'!AY18+'Inputs (2)'!AY19)))),"")</f>
        <v/>
      </c>
      <c r="AZ223" s="32" t="str">
        <f>IFERROR(IF(OR(ABS(AVERAGE(('Inputs (2)'!AY18+'Inputs (2)'!AY19),('Inputs (2)'!AZ18+'Inputs (2)'!AZ19)))=0,('Inputs (2)'!AZ83)=0),"",ABS('Inputs (2)'!AZ83)*4/ABS(AVERAGE(('Inputs (2)'!AY18+'Inputs (2)'!AY19),('Inputs (2)'!AZ18+'Inputs (2)'!AZ19)))),"")</f>
        <v/>
      </c>
      <c r="BA223" s="32" t="str">
        <f>IFERROR(IF(OR(ABS(AVERAGE(('Inputs (2)'!AZ18+'Inputs (2)'!AZ19),('Inputs (2)'!BA18+'Inputs (2)'!BA19)))=0,('Inputs (2)'!BA83)=0),"",ABS('Inputs (2)'!BA83)*4/ABS(AVERAGE(('Inputs (2)'!AZ18+'Inputs (2)'!AZ19),('Inputs (2)'!BA18+'Inputs (2)'!BA19)))),"")</f>
        <v/>
      </c>
      <c r="BB223" s="34" t="str">
        <f>IFERROR(IF(OR(ABS(AVERAGE(('Inputs (2)'!AW18+'Inputs (2)'!AW19),('Inputs (2)'!BB18+'Inputs (2)'!BB19)))=0,('Inputs (2)'!BB83)=0),"",ABS('Inputs (2)'!BB83)/ABS(AVERAGE(('Inputs (2)'!AW18+'Inputs (2)'!AW19),('Inputs (2)'!BB18+'Inputs (2)'!BB19)))),"")</f>
        <v/>
      </c>
      <c r="BC223" s="32" t="str">
        <f>IFERROR(IF(OR(ABS(AVERAGE(('Inputs (2)'!BA18+'Inputs (2)'!BA19),('Inputs (2)'!BC18+'Inputs (2)'!BC19)))=0,('Inputs (2)'!BC83)=0),"",ABS('Inputs (2)'!BC83)*4/ABS(AVERAGE(('Inputs (2)'!BA18+'Inputs (2)'!BA19),('Inputs (2)'!BC18+'Inputs (2)'!BC19)))),"")</f>
        <v/>
      </c>
      <c r="BD223" s="32" t="str">
        <f>IFERROR(IF(OR(ABS(AVERAGE(('Inputs (2)'!BC18+'Inputs (2)'!BC19),('Inputs (2)'!BD18+'Inputs (2)'!BD19)))=0,('Inputs (2)'!BD83)=0),"",ABS('Inputs (2)'!BD83)*4/ABS(AVERAGE(('Inputs (2)'!BC18+'Inputs (2)'!BC19),('Inputs (2)'!BD18+'Inputs (2)'!BD19)))),"")</f>
        <v/>
      </c>
      <c r="BE223" s="32" t="str">
        <f>IFERROR(IF(OR(ABS(AVERAGE(('Inputs (2)'!BD18+'Inputs (2)'!BD19),('Inputs (2)'!BE18+'Inputs (2)'!BE19)))=0,('Inputs (2)'!BE83)=0),"",ABS('Inputs (2)'!BE83)*4/ABS(AVERAGE(('Inputs (2)'!BD18+'Inputs (2)'!BD19),('Inputs (2)'!BE18+'Inputs (2)'!BE19)))),"")</f>
        <v/>
      </c>
      <c r="BF223" s="32" t="str">
        <f>IFERROR(IF(OR(ABS(AVERAGE(('Inputs (2)'!BE18+'Inputs (2)'!BE19),('Inputs (2)'!BF18+'Inputs (2)'!BF19)))=0,('Inputs (2)'!BF83)=0),"",ABS('Inputs (2)'!BF83)*4/ABS(AVERAGE(('Inputs (2)'!BE18+'Inputs (2)'!BE19),('Inputs (2)'!BF18+'Inputs (2)'!BF19)))),"")</f>
        <v/>
      </c>
      <c r="BG223" s="34" t="str">
        <f>IFERROR(IF(OR(ABS(AVERAGE(('Inputs (2)'!BB18+'Inputs (2)'!BB19),('Inputs (2)'!BG18+'Inputs (2)'!BG19)))=0,('Inputs (2)'!BG83)=0),"",ABS('Inputs (2)'!BG83)/ABS(AVERAGE(('Inputs (2)'!BB18+'Inputs (2)'!BB19),('Inputs (2)'!BG18+'Inputs (2)'!BG19)))),"")</f>
        <v/>
      </c>
    </row>
    <row r="224" hidden="1" outlineLevel="1">
      <c r="C224" s="30" t="inlineStr">
        <is>
          <t>Write-off (% da carteira média, a.a.)</t>
        </is>
      </c>
      <c r="D224" s="12" t="inlineStr">
        <is>
          <t>Write-offs</t>
        </is>
      </c>
      <c r="E224" s="32" t="str">
        <f>IFERROR(IF(OR(ABS(('Inputs (2)'!E18+'Inputs (2)'!E19))=0,('Inputs (2)'!E126)=0),"",ABS('Inputs (2)'!E126)*4/ABS(('Inputs (2)'!E18+'Inputs (2)'!E19))),"")</f>
        <v/>
      </c>
      <c r="F224" s="32" t="str">
        <f>IFERROR(IF(OR(ABS(AVERAGE(('Inputs (2)'!E18+'Inputs (2)'!E19),('Inputs (2)'!F18+'Inputs (2)'!F19)))=0,('Inputs (2)'!F126)=0),"",ABS('Inputs (2)'!F126)*4/ABS(AVERAGE(('Inputs (2)'!E18+'Inputs (2)'!E19),('Inputs (2)'!F18+'Inputs (2)'!F19)))),"")</f>
        <v/>
      </c>
      <c r="G224" s="32" t="str">
        <f>IFERROR(IF(OR(ABS(AVERAGE(('Inputs (2)'!F18+'Inputs (2)'!F19),('Inputs (2)'!G18+'Inputs (2)'!G19)))=0,('Inputs (2)'!G126)=0),"",ABS('Inputs (2)'!G126)*4/ABS(AVERAGE(('Inputs (2)'!F18+'Inputs (2)'!F19),('Inputs (2)'!G18+'Inputs (2)'!G19)))),"")</f>
        <v/>
      </c>
      <c r="H224" s="32" t="str">
        <f>IFERROR(IF(OR(ABS(AVERAGE(('Inputs (2)'!G18+'Inputs (2)'!G19),('Inputs (2)'!H18+'Inputs (2)'!H19)))=0,('Inputs (2)'!H126)=0),"",ABS('Inputs (2)'!H126)*4/ABS(AVERAGE(('Inputs (2)'!G18+'Inputs (2)'!G19),('Inputs (2)'!H18+'Inputs (2)'!H19)))),"")</f>
        <v/>
      </c>
      <c r="I224" s="34" t="str">
        <f>IFERROR(IF(OR(ABS(('Inputs (2)'!I18+'Inputs (2)'!I19))=0,('Inputs (2)'!I126)=0),"",ABS('Inputs (2)'!I126)/ABS(('Inputs (2)'!I18+'Inputs (2)'!I19))),"")</f>
        <v/>
      </c>
      <c r="J224" s="32" t="str">
        <f>IFERROR(IF(OR(ABS(AVERAGE(('Inputs (2)'!H18+'Inputs (2)'!H19),('Inputs (2)'!J18+'Inputs (2)'!J19)))=0,('Inputs (2)'!J126)=0),"",ABS('Inputs (2)'!J126)*4/ABS(AVERAGE(('Inputs (2)'!H18+'Inputs (2)'!H19),('Inputs (2)'!J18+'Inputs (2)'!J19)))),"")</f>
        <v/>
      </c>
      <c r="K224" s="32" t="str">
        <f>IFERROR(IF(OR(ABS(AVERAGE(('Inputs (2)'!J18+'Inputs (2)'!J19),('Inputs (2)'!K18+'Inputs (2)'!K19)))=0,('Inputs (2)'!K126)=0),"",ABS('Inputs (2)'!K126)*4/ABS(AVERAGE(('Inputs (2)'!J18+'Inputs (2)'!J19),('Inputs (2)'!K18+'Inputs (2)'!K19)))),"")</f>
        <v/>
      </c>
      <c r="L224" s="32" t="str">
        <f>IFERROR(IF(OR(ABS(AVERAGE(('Inputs (2)'!K18+'Inputs (2)'!K19),('Inputs (2)'!L18+'Inputs (2)'!L19)))=0,('Inputs (2)'!L126)=0),"",ABS('Inputs (2)'!L126)*4/ABS(AVERAGE(('Inputs (2)'!K18+'Inputs (2)'!K19),('Inputs (2)'!L18+'Inputs (2)'!L19)))),"")</f>
        <v/>
      </c>
      <c r="M224" s="32" t="str">
        <f>IFERROR(IF(OR(ABS(AVERAGE(('Inputs (2)'!L18+'Inputs (2)'!L19),('Inputs (2)'!M18+'Inputs (2)'!M19)))=0,('Inputs (2)'!M126)=0),"",ABS('Inputs (2)'!M126)*4/ABS(AVERAGE(('Inputs (2)'!L18+'Inputs (2)'!L19),('Inputs (2)'!M18+'Inputs (2)'!M19)))),"")</f>
        <v/>
      </c>
      <c r="N224" s="34" t="str">
        <f>IFERROR(IF(OR(ABS(AVERAGE(('Inputs (2)'!I18+'Inputs (2)'!I19),('Inputs (2)'!N18+'Inputs (2)'!N19)))=0,('Inputs (2)'!N126)=0),"",ABS('Inputs (2)'!N126)/ABS(AVERAGE(('Inputs (2)'!I18+'Inputs (2)'!I19),('Inputs (2)'!N18+'Inputs (2)'!N19)))),"")</f>
        <v/>
      </c>
      <c r="O224" s="32" t="str">
        <f>IFERROR(IF(OR(ABS(AVERAGE(('Inputs (2)'!M18+'Inputs (2)'!M19),('Inputs (2)'!O18+'Inputs (2)'!O19)))=0,('Inputs (2)'!O126)=0),"",ABS('Inputs (2)'!O126)*4/ABS(AVERAGE(('Inputs (2)'!M18+'Inputs (2)'!M19),('Inputs (2)'!O18+'Inputs (2)'!O19)))),"")</f>
        <v/>
      </c>
      <c r="P224" s="32" t="str">
        <f>IFERROR(IF(OR(ABS(AVERAGE(('Inputs (2)'!O18+'Inputs (2)'!O19),('Inputs (2)'!P18+'Inputs (2)'!P19)))=0,('Inputs (2)'!P126)=0),"",ABS('Inputs (2)'!P126)*4/ABS(AVERAGE(('Inputs (2)'!O18+'Inputs (2)'!O19),('Inputs (2)'!P18+'Inputs (2)'!P19)))),"")</f>
        <v/>
      </c>
      <c r="Q224" s="32" t="str">
        <f>IFERROR(IF(OR(ABS(AVERAGE(('Inputs (2)'!P18+'Inputs (2)'!P19),('Inputs (2)'!Q18+'Inputs (2)'!Q19)))=0,('Inputs (2)'!Q126)=0),"",ABS('Inputs (2)'!Q126)*4/ABS(AVERAGE(('Inputs (2)'!P18+'Inputs (2)'!P19),('Inputs (2)'!Q18+'Inputs (2)'!Q19)))),"")</f>
        <v/>
      </c>
      <c r="R224" s="32" t="str">
        <f>IFERROR(IF(OR(ABS(AVERAGE(('Inputs (2)'!Q18+'Inputs (2)'!Q19),('Inputs (2)'!R18+'Inputs (2)'!R19)))=0,('Inputs (2)'!R126)=0),"",ABS('Inputs (2)'!R126)*4/ABS(AVERAGE(('Inputs (2)'!Q18+'Inputs (2)'!Q19),('Inputs (2)'!R18+'Inputs (2)'!R19)))),"")</f>
        <v/>
      </c>
      <c r="S224" s="34" t="str">
        <f>IFERROR(IF(OR(ABS(AVERAGE(('Inputs (2)'!N18+'Inputs (2)'!N19),('Inputs (2)'!S18+'Inputs (2)'!S19)))=0,('Inputs (2)'!S126)=0),"",ABS('Inputs (2)'!S126)/ABS(AVERAGE(('Inputs (2)'!N18+'Inputs (2)'!N19),('Inputs (2)'!S18+'Inputs (2)'!S19)))),"")</f>
        <v/>
      </c>
      <c r="T224" s="32" t="str">
        <f>IFERROR(IF(OR(ABS(AVERAGE(('Inputs (2)'!R18+'Inputs (2)'!R19),('Inputs (2)'!T18+'Inputs (2)'!T19)))=0,('Inputs (2)'!T126)=0),"",ABS('Inputs (2)'!T126)*4/ABS(AVERAGE(('Inputs (2)'!R18+'Inputs (2)'!R19),('Inputs (2)'!T18+'Inputs (2)'!T19)))),"")</f>
        <v/>
      </c>
      <c r="U224" s="32" t="str">
        <f>IFERROR(IF(OR(ABS(AVERAGE(('Inputs (2)'!T18+'Inputs (2)'!T19),('Inputs (2)'!U18+'Inputs (2)'!U19)))=0,('Inputs (2)'!U126)=0),"",ABS('Inputs (2)'!U126)*4/ABS(AVERAGE(('Inputs (2)'!T18+'Inputs (2)'!T19),('Inputs (2)'!U18+'Inputs (2)'!U19)))),"")</f>
        <v/>
      </c>
      <c r="V224" s="32" t="str">
        <f>IFERROR(IF(OR(ABS(AVERAGE(('Inputs (2)'!U18+'Inputs (2)'!U19),('Inputs (2)'!V18+'Inputs (2)'!V19)))=0,('Inputs (2)'!V126)=0),"",ABS('Inputs (2)'!V126)*4/ABS(AVERAGE(('Inputs (2)'!U18+'Inputs (2)'!U19),('Inputs (2)'!V18+'Inputs (2)'!V19)))),"")</f>
        <v/>
      </c>
      <c r="W224" s="32" t="str">
        <f>IFERROR(IF(OR(ABS(AVERAGE(('Inputs (2)'!V18+'Inputs (2)'!V19),('Inputs (2)'!W18+'Inputs (2)'!W19)))=0,('Inputs (2)'!W126)=0),"",ABS('Inputs (2)'!W126)*4/ABS(AVERAGE(('Inputs (2)'!V18+'Inputs (2)'!V19),('Inputs (2)'!W18+'Inputs (2)'!W19)))),"")</f>
        <v/>
      </c>
      <c r="X224" s="34" t="str">
        <f>IFERROR(IF(OR(ABS(AVERAGE(('Inputs (2)'!S18+'Inputs (2)'!S19),('Inputs (2)'!X18+'Inputs (2)'!X19)))=0,('Inputs (2)'!X126)=0),"",ABS('Inputs (2)'!X126)/ABS(AVERAGE(('Inputs (2)'!S18+'Inputs (2)'!S19),('Inputs (2)'!X18+'Inputs (2)'!X19)))),"")</f>
        <v/>
      </c>
      <c r="Y224" s="32" t="str">
        <f>IFERROR(IF(OR(ABS(AVERAGE(('Inputs (2)'!W18+'Inputs (2)'!W19),('Inputs (2)'!Y18+'Inputs (2)'!Y19)))=0,('Inputs (2)'!Y126)=0),"",ABS('Inputs (2)'!Y126)*4/ABS(AVERAGE(('Inputs (2)'!W18+'Inputs (2)'!W19),('Inputs (2)'!Y18+'Inputs (2)'!Y19)))),"")</f>
        <v/>
      </c>
      <c r="Z224" s="32" t="str">
        <f>IFERROR(IF(OR(ABS(AVERAGE(('Inputs (2)'!Y18+'Inputs (2)'!Y19),('Inputs (2)'!Z18+'Inputs (2)'!Z19)))=0,('Inputs (2)'!Z126)=0),"",ABS('Inputs (2)'!Z126)*4/ABS(AVERAGE(('Inputs (2)'!Y18+'Inputs (2)'!Y19),('Inputs (2)'!Z18+'Inputs (2)'!Z19)))),"")</f>
        <v/>
      </c>
      <c r="AA224" s="32" t="str">
        <f>IFERROR(IF(OR(ABS(AVERAGE(('Inputs (2)'!Z18+'Inputs (2)'!Z19),('Inputs (2)'!AA18+'Inputs (2)'!AA19)))=0,('Inputs (2)'!AA126)=0),"",ABS('Inputs (2)'!AA126)*4/ABS(AVERAGE(('Inputs (2)'!Z18+'Inputs (2)'!Z19),('Inputs (2)'!AA18+'Inputs (2)'!AA19)))),"")</f>
        <v/>
      </c>
      <c r="AB224" s="32" t="str">
        <f>IFERROR(IF(OR(ABS(AVERAGE(('Inputs (2)'!AA18+'Inputs (2)'!AA19),('Inputs (2)'!AB18+'Inputs (2)'!AB19)))=0,('Inputs (2)'!AB126)=0),"",ABS('Inputs (2)'!AB126)*4/ABS(AVERAGE(('Inputs (2)'!AA18+'Inputs (2)'!AA19),('Inputs (2)'!AB18+'Inputs (2)'!AB19)))),"")</f>
        <v/>
      </c>
      <c r="AC224" s="34" t="str">
        <f>IFERROR(IF(OR(ABS(AVERAGE(('Inputs (2)'!X18+'Inputs (2)'!X19),('Inputs (2)'!AC18+'Inputs (2)'!AC19)))=0,('Inputs (2)'!AC126)=0),"",ABS('Inputs (2)'!AC126)/ABS(AVERAGE(('Inputs (2)'!X18+'Inputs (2)'!X19),('Inputs (2)'!AC18+'Inputs (2)'!AC19)))),"")</f>
        <v/>
      </c>
      <c r="AD224" s="32" t="str">
        <f>IFERROR(IF(OR(ABS(AVERAGE(('Inputs (2)'!AB18+'Inputs (2)'!AB19),('Inputs (2)'!AD18+'Inputs (2)'!AD19)))=0,('Inputs (2)'!AD126)=0),"",ABS('Inputs (2)'!AD126)*4/ABS(AVERAGE(('Inputs (2)'!AB18+'Inputs (2)'!AB19),('Inputs (2)'!AD18+'Inputs (2)'!AD19)))),"")</f>
        <v/>
      </c>
      <c r="AE224" s="32" t="str">
        <f>IFERROR(IF(OR(ABS(AVERAGE(('Inputs (2)'!AD18+'Inputs (2)'!AD19),('Inputs (2)'!AE18+'Inputs (2)'!AE19)))=0,('Inputs (2)'!AE126)=0),"",ABS('Inputs (2)'!AE126)*4/ABS(AVERAGE(('Inputs (2)'!AD18+'Inputs (2)'!AD19),('Inputs (2)'!AE18+'Inputs (2)'!AE19)))),"")</f>
        <v/>
      </c>
      <c r="AF224" s="32" t="str">
        <f>IFERROR(IF(OR(ABS(AVERAGE(('Inputs (2)'!AE18+'Inputs (2)'!AE19),('Inputs (2)'!AF18+'Inputs (2)'!AF19)))=0,('Inputs (2)'!AF126)=0),"",ABS('Inputs (2)'!AF126)*4/ABS(AVERAGE(('Inputs (2)'!AE18+'Inputs (2)'!AE19),('Inputs (2)'!AF18+'Inputs (2)'!AF19)))),"")</f>
        <v/>
      </c>
      <c r="AG224" s="32" t="str">
        <f>IFERROR(IF(OR(ABS(AVERAGE(('Inputs (2)'!AF18+'Inputs (2)'!AF19),('Inputs (2)'!AG18+'Inputs (2)'!AG19)))=0,('Inputs (2)'!AG126)=0),"",ABS('Inputs (2)'!AG126)*4/ABS(AVERAGE(('Inputs (2)'!AF18+'Inputs (2)'!AF19),('Inputs (2)'!AG18+'Inputs (2)'!AG19)))),"")</f>
        <v/>
      </c>
      <c r="AH224" s="34" t="str">
        <f>IFERROR(IF(OR(ABS(AVERAGE(('Inputs (2)'!AC18+'Inputs (2)'!AC19),('Inputs (2)'!AH18+'Inputs (2)'!AH19)))=0,('Inputs (2)'!AH126)=0),"",ABS('Inputs (2)'!AH126)/ABS(AVERAGE(('Inputs (2)'!AC18+'Inputs (2)'!AC19),('Inputs (2)'!AH18+'Inputs (2)'!AH19)))),"")</f>
        <v/>
      </c>
      <c r="AI224" s="32" t="str">
        <f>IFERROR(IF(OR(ABS(AVERAGE(('Inputs (2)'!AG18+'Inputs (2)'!AG19),('Inputs (2)'!AI18+'Inputs (2)'!AI19)))=0,('Inputs (2)'!AI126)=0),"",ABS('Inputs (2)'!AI126)*4/ABS(AVERAGE(('Inputs (2)'!AG18+'Inputs (2)'!AG19),('Inputs (2)'!AI18+'Inputs (2)'!AI19)))),"")</f>
        <v/>
      </c>
      <c r="AJ224" s="32" t="str">
        <f>IFERROR(IF(OR(ABS(AVERAGE(('Inputs (2)'!AI18+'Inputs (2)'!AI19),('Inputs (2)'!AJ18+'Inputs (2)'!AJ19)))=0,('Inputs (2)'!AJ126)=0),"",ABS('Inputs (2)'!AJ126)*4/ABS(AVERAGE(('Inputs (2)'!AI18+'Inputs (2)'!AI19),('Inputs (2)'!AJ18+'Inputs (2)'!AJ19)))),"")</f>
        <v/>
      </c>
      <c r="AK224" s="32" t="str">
        <f>IFERROR(IF(OR(ABS(AVERAGE(('Inputs (2)'!AJ18+'Inputs (2)'!AJ19),('Inputs (2)'!AK18+'Inputs (2)'!AK19)))=0,('Inputs (2)'!AK126)=0),"",ABS('Inputs (2)'!AK126)*4/ABS(AVERAGE(('Inputs (2)'!AJ18+'Inputs (2)'!AJ19),('Inputs (2)'!AK18+'Inputs (2)'!AK19)))),"")</f>
        <v/>
      </c>
      <c r="AL224" s="32" t="str">
        <f>IFERROR(IF(OR(ABS(AVERAGE(('Inputs (2)'!AK18+'Inputs (2)'!AK19),('Inputs (2)'!AL18+'Inputs (2)'!AL19)))=0,('Inputs (2)'!AL126)=0),"",ABS('Inputs (2)'!AL126)*4/ABS(AVERAGE(('Inputs (2)'!AK18+'Inputs (2)'!AK19),('Inputs (2)'!AL18+'Inputs (2)'!AL19)))),"")</f>
        <v/>
      </c>
      <c r="AM224" s="34" t="str">
        <f>IFERROR(IF(OR(ABS(AVERAGE(('Inputs (2)'!AH18+'Inputs (2)'!AH19),('Inputs (2)'!AM18+'Inputs (2)'!AM19)))=0,('Inputs (2)'!AM126)=0),"",ABS('Inputs (2)'!AM126)/ABS(AVERAGE(('Inputs (2)'!AH18+'Inputs (2)'!AH19),('Inputs (2)'!AM18+'Inputs (2)'!AM19)))),"")</f>
        <v/>
      </c>
      <c r="AN224" s="32" t="str">
        <f>IFERROR(IF(OR(ABS(AVERAGE(('Inputs (2)'!AL18+'Inputs (2)'!AL19),('Inputs (2)'!AN18+'Inputs (2)'!AN19)))=0,('Inputs (2)'!AN126)=0),"",ABS('Inputs (2)'!AN126)*4/ABS(AVERAGE(('Inputs (2)'!AL18+'Inputs (2)'!AL19),('Inputs (2)'!AN18+'Inputs (2)'!AN19)))),"")</f>
        <v/>
      </c>
      <c r="AO224" s="32" t="str">
        <f>IFERROR(IF(OR(ABS(AVERAGE(('Inputs (2)'!AN18+'Inputs (2)'!AN19),('Inputs (2)'!AO18+'Inputs (2)'!AO19)))=0,('Inputs (2)'!AO126)=0),"",ABS('Inputs (2)'!AO126)*4/ABS(AVERAGE(('Inputs (2)'!AN18+'Inputs (2)'!AN19),('Inputs (2)'!AO18+'Inputs (2)'!AO19)))),"")</f>
        <v/>
      </c>
      <c r="AP224" s="32" t="str">
        <f>IFERROR(IF(OR(ABS(AVERAGE(('Inputs (2)'!AO18+'Inputs (2)'!AO19),('Inputs (2)'!AP18+'Inputs (2)'!AP19)))=0,('Inputs (2)'!AP126)=0),"",ABS('Inputs (2)'!AP126)*4/ABS(AVERAGE(('Inputs (2)'!AO18+'Inputs (2)'!AO19),('Inputs (2)'!AP18+'Inputs (2)'!AP19)))),"")</f>
        <v/>
      </c>
      <c r="AQ224" s="32" t="str">
        <f>IFERROR(IF(OR(ABS(AVERAGE(('Inputs (2)'!AP18+'Inputs (2)'!AP19),('Inputs (2)'!AQ18+'Inputs (2)'!AQ19)))=0,('Inputs (2)'!AQ126)=0),"",ABS('Inputs (2)'!AQ126)*4/ABS(AVERAGE(('Inputs (2)'!AP18+'Inputs (2)'!AP19),('Inputs (2)'!AQ18+'Inputs (2)'!AQ19)))),"")</f>
        <v/>
      </c>
      <c r="AR224" s="34" t="str">
        <f>IFERROR(IF(OR(ABS(AVERAGE(('Inputs (2)'!AM18+'Inputs (2)'!AM19),('Inputs (2)'!AR18+'Inputs (2)'!AR19)))=0,('Inputs (2)'!AR126)=0),"",ABS('Inputs (2)'!AR126)/ABS(AVERAGE(('Inputs (2)'!AM18+'Inputs (2)'!AM19),('Inputs (2)'!AR18+'Inputs (2)'!AR19)))),"")</f>
        <v/>
      </c>
      <c r="AS224" s="32" t="str">
        <f>IFERROR(IF(OR(ABS(AVERAGE(('Inputs (2)'!AQ18+'Inputs (2)'!AQ19),('Inputs (2)'!AS18+'Inputs (2)'!AS19)))=0,('Inputs (2)'!AS126)=0),"",ABS('Inputs (2)'!AS126)*4/ABS(AVERAGE(('Inputs (2)'!AQ18+'Inputs (2)'!AQ19),('Inputs (2)'!AS18+'Inputs (2)'!AS19)))),"")</f>
        <v/>
      </c>
      <c r="AT224" s="32" t="str">
        <f>IFERROR(IF(OR(ABS(AVERAGE(('Inputs (2)'!AS18+'Inputs (2)'!AS19),('Inputs (2)'!AT18+'Inputs (2)'!AT19)))=0,('Inputs (2)'!AT126)=0),"",ABS('Inputs (2)'!AT126)*4/ABS(AVERAGE(('Inputs (2)'!AS18+'Inputs (2)'!AS19),('Inputs (2)'!AT18+'Inputs (2)'!AT19)))),"")</f>
        <v/>
      </c>
      <c r="AU224" s="32" t="str">
        <f>IFERROR(IF(OR(ABS(AVERAGE(('Inputs (2)'!AT18+'Inputs (2)'!AT19),('Inputs (2)'!AU18+'Inputs (2)'!AU19)))=0,('Inputs (2)'!AU126)=0),"",ABS('Inputs (2)'!AU126)*4/ABS(AVERAGE(('Inputs (2)'!AT18+'Inputs (2)'!AT19),('Inputs (2)'!AU18+'Inputs (2)'!AU19)))),"")</f>
        <v/>
      </c>
      <c r="AV224" s="32" t="str">
        <f>IFERROR(IF(OR(ABS(AVERAGE(('Inputs (2)'!AU18+'Inputs (2)'!AU19),('Inputs (2)'!AV18+'Inputs (2)'!AV19)))=0,('Inputs (2)'!AV126)=0),"",ABS('Inputs (2)'!AV126)*4/ABS(AVERAGE(('Inputs (2)'!AU18+'Inputs (2)'!AU19),('Inputs (2)'!AV18+'Inputs (2)'!AV19)))),"")</f>
        <v/>
      </c>
      <c r="AW224" s="34" t="str">
        <f>IFERROR(IF(OR(ABS(AVERAGE(('Inputs (2)'!AR18+'Inputs (2)'!AR19),('Inputs (2)'!AW18+'Inputs (2)'!AW19)))=0,('Inputs (2)'!AW126)=0),"",ABS('Inputs (2)'!AW126)/ABS(AVERAGE(('Inputs (2)'!AR18+'Inputs (2)'!AR19),('Inputs (2)'!AW18+'Inputs (2)'!AW19)))),"")</f>
        <v/>
      </c>
      <c r="AX224" s="32" t="str">
        <f>IFERROR(IF(OR(ABS(AVERAGE(('Inputs (2)'!AV18+'Inputs (2)'!AV19),('Inputs (2)'!AX18+'Inputs (2)'!AX19)))=0,('Inputs (2)'!AX126)=0),"",ABS('Inputs (2)'!AX126)*4/ABS(AVERAGE(('Inputs (2)'!AV18+'Inputs (2)'!AV19),('Inputs (2)'!AX18+'Inputs (2)'!AX19)))),"")</f>
        <v/>
      </c>
      <c r="AY224" s="32" t="str">
        <f>IFERROR(IF(OR(ABS(AVERAGE(('Inputs (2)'!AX18+'Inputs (2)'!AX19),('Inputs (2)'!AY18+'Inputs (2)'!AY19)))=0,('Inputs (2)'!AY126)=0),"",ABS('Inputs (2)'!AY126)*4/ABS(AVERAGE(('Inputs (2)'!AX18+'Inputs (2)'!AX19),('Inputs (2)'!AY18+'Inputs (2)'!AY19)))),"")</f>
        <v/>
      </c>
      <c r="AZ224" s="32" t="str">
        <f>IFERROR(IF(OR(ABS(AVERAGE(('Inputs (2)'!AY18+'Inputs (2)'!AY19),('Inputs (2)'!AZ18+'Inputs (2)'!AZ19)))=0,('Inputs (2)'!AZ126)=0),"",ABS('Inputs (2)'!AZ126)*4/ABS(AVERAGE(('Inputs (2)'!AY18+'Inputs (2)'!AY19),('Inputs (2)'!AZ18+'Inputs (2)'!AZ19)))),"")</f>
        <v/>
      </c>
      <c r="BA224" s="32" t="str">
        <f>IFERROR(IF(OR(ABS(AVERAGE(('Inputs (2)'!AZ18+'Inputs (2)'!AZ19),('Inputs (2)'!BA18+'Inputs (2)'!BA19)))=0,('Inputs (2)'!BA126)=0),"",ABS('Inputs (2)'!BA126)*4/ABS(AVERAGE(('Inputs (2)'!AZ18+'Inputs (2)'!AZ19),('Inputs (2)'!BA18+'Inputs (2)'!BA19)))),"")</f>
        <v/>
      </c>
      <c r="BB224" s="34" t="str">
        <f>IFERROR(IF(OR(ABS(AVERAGE(('Inputs (2)'!AW18+'Inputs (2)'!AW19),('Inputs (2)'!BB18+'Inputs (2)'!BB19)))=0,('Inputs (2)'!BB126)=0),"",ABS('Inputs (2)'!BB126)/ABS(AVERAGE(('Inputs (2)'!AW18+'Inputs (2)'!AW19),('Inputs (2)'!BB18+'Inputs (2)'!BB19)))),"")</f>
        <v/>
      </c>
      <c r="BC224" s="32" t="str">
        <f>IFERROR(IF(OR(ABS(AVERAGE(('Inputs (2)'!BA18+'Inputs (2)'!BA19),('Inputs (2)'!BC18+'Inputs (2)'!BC19)))=0,('Inputs (2)'!BC126)=0),"",ABS('Inputs (2)'!BC126)*4/ABS(AVERAGE(('Inputs (2)'!BA18+'Inputs (2)'!BA19),('Inputs (2)'!BC18+'Inputs (2)'!BC19)))),"")</f>
        <v/>
      </c>
      <c r="BD224" s="32" t="str">
        <f>IFERROR(IF(OR(ABS(AVERAGE(('Inputs (2)'!BC18+'Inputs (2)'!BC19),('Inputs (2)'!BD18+'Inputs (2)'!BD19)))=0,('Inputs (2)'!BD126)=0),"",ABS('Inputs (2)'!BD126)*4/ABS(AVERAGE(('Inputs (2)'!BC18+'Inputs (2)'!BC19),('Inputs (2)'!BD18+'Inputs (2)'!BD19)))),"")</f>
        <v/>
      </c>
      <c r="BE224" s="32" t="str">
        <f>IFERROR(IF(OR(ABS(AVERAGE(('Inputs (2)'!BD18+'Inputs (2)'!BD19),('Inputs (2)'!BE18+'Inputs (2)'!BE19)))=0,('Inputs (2)'!BE126)=0),"",ABS('Inputs (2)'!BE126)*4/ABS(AVERAGE(('Inputs (2)'!BD18+'Inputs (2)'!BD19),('Inputs (2)'!BE18+'Inputs (2)'!BE19)))),"")</f>
        <v/>
      </c>
      <c r="BF224" s="32" t="str">
        <f>IFERROR(IF(OR(ABS(AVERAGE(('Inputs (2)'!BE18+'Inputs (2)'!BE19),('Inputs (2)'!BF18+'Inputs (2)'!BF19)))=0,('Inputs (2)'!BF126)=0),"",ABS('Inputs (2)'!BF126)*4/ABS(AVERAGE(('Inputs (2)'!BE18+'Inputs (2)'!BE19),('Inputs (2)'!BF18+'Inputs (2)'!BF19)))),"")</f>
        <v/>
      </c>
      <c r="BG224" s="34" t="str">
        <f>IFERROR(IF(OR(ABS(AVERAGE(('Inputs (2)'!BB18+'Inputs (2)'!BB19),('Inputs (2)'!BG18+'Inputs (2)'!BG19)))=0,('Inputs (2)'!BG126)=0),"",ABS('Inputs (2)'!BG126)/ABS(AVERAGE(('Inputs (2)'!BB18+'Inputs (2)'!BB19),('Inputs (2)'!BG18+'Inputs (2)'!BG19)))),"")</f>
        <v/>
      </c>
    </row>
    <row r="225" hidden="1" outlineLevel="1">
      <c r="C225" s="30" t="inlineStr">
        <is>
          <t>Recuperações (% da provisão; nos EUA a provisão é líquida)</t>
        </is>
      </c>
      <c r="D225" s="12" t="inlineStr">
        <is>
          <t>Recoveries</t>
        </is>
      </c>
      <c r="E225" s="32" t="str">
        <f>IFERROR(IF(OR(ABS('Inputs (2)'!E83)=0,('Inputs (2)'!E84)=0),"",ABS('Inputs (2)'!E84)/ABS('Inputs (2)'!E83)),"")</f>
        <v/>
      </c>
      <c r="F225" s="32" t="str">
        <f>IFERROR(IF(OR(ABS('Inputs (2)'!F83)=0,('Inputs (2)'!F84)=0),"",ABS('Inputs (2)'!F84)/ABS('Inputs (2)'!F83)),"")</f>
        <v/>
      </c>
      <c r="G225" s="32" t="str">
        <f>IFERROR(IF(OR(ABS('Inputs (2)'!G83)=0,('Inputs (2)'!G84)=0),"",ABS('Inputs (2)'!G84)/ABS('Inputs (2)'!G83)),"")</f>
        <v/>
      </c>
      <c r="H225" s="32" t="str">
        <f>IFERROR(IF(OR(ABS('Inputs (2)'!H83)=0,('Inputs (2)'!H84)=0),"",ABS('Inputs (2)'!H84)/ABS('Inputs (2)'!H83)),"")</f>
        <v/>
      </c>
      <c r="I225" s="34" t="str">
        <f>IFERROR(IF(OR(ABS('Inputs (2)'!I83)=0,('Inputs (2)'!I84)=0),"",ABS('Inputs (2)'!I84)/ABS('Inputs (2)'!I83)),"")</f>
        <v/>
      </c>
      <c r="J225" s="32" t="str">
        <f>IFERROR(IF(OR(ABS('Inputs (2)'!J83)=0,('Inputs (2)'!J84)=0),"",ABS('Inputs (2)'!J84)/ABS('Inputs (2)'!J83)),"")</f>
        <v/>
      </c>
      <c r="K225" s="32" t="str">
        <f>IFERROR(IF(OR(ABS('Inputs (2)'!K83)=0,('Inputs (2)'!K84)=0),"",ABS('Inputs (2)'!K84)/ABS('Inputs (2)'!K83)),"")</f>
        <v/>
      </c>
      <c r="L225" s="32" t="str">
        <f>IFERROR(IF(OR(ABS('Inputs (2)'!L83)=0,('Inputs (2)'!L84)=0),"",ABS('Inputs (2)'!L84)/ABS('Inputs (2)'!L83)),"")</f>
        <v/>
      </c>
      <c r="M225" s="32" t="str">
        <f>IFERROR(IF(OR(ABS('Inputs (2)'!M83)=0,('Inputs (2)'!M84)=0),"",ABS('Inputs (2)'!M84)/ABS('Inputs (2)'!M83)),"")</f>
        <v/>
      </c>
      <c r="N225" s="34" t="str">
        <f>IFERROR(IF(OR(ABS('Inputs (2)'!N83)=0,('Inputs (2)'!N84)=0),"",ABS('Inputs (2)'!N84)/ABS('Inputs (2)'!N83)),"")</f>
        <v/>
      </c>
      <c r="O225" s="32" t="str">
        <f>IFERROR(IF(OR(ABS('Inputs (2)'!O83)=0,('Inputs (2)'!O84)=0),"",ABS('Inputs (2)'!O84)/ABS('Inputs (2)'!O83)),"")</f>
        <v/>
      </c>
      <c r="P225" s="32" t="str">
        <f>IFERROR(IF(OR(ABS('Inputs (2)'!P83)=0,('Inputs (2)'!P84)=0),"",ABS('Inputs (2)'!P84)/ABS('Inputs (2)'!P83)),"")</f>
        <v/>
      </c>
      <c r="Q225" s="32" t="str">
        <f>IFERROR(IF(OR(ABS('Inputs (2)'!Q83)=0,('Inputs (2)'!Q84)=0),"",ABS('Inputs (2)'!Q84)/ABS('Inputs (2)'!Q83)),"")</f>
        <v/>
      </c>
      <c r="R225" s="32" t="str">
        <f>IFERROR(IF(OR(ABS('Inputs (2)'!R83)=0,('Inputs (2)'!R84)=0),"",ABS('Inputs (2)'!R84)/ABS('Inputs (2)'!R83)),"")</f>
        <v/>
      </c>
      <c r="S225" s="34" t="str">
        <f>IFERROR(IF(OR(ABS('Inputs (2)'!S83)=0,('Inputs (2)'!S84)=0),"",ABS('Inputs (2)'!S84)/ABS('Inputs (2)'!S83)),"")</f>
        <v/>
      </c>
      <c r="T225" s="32" t="str">
        <f>IFERROR(IF(OR(ABS('Inputs (2)'!T83)=0,('Inputs (2)'!T84)=0),"",ABS('Inputs (2)'!T84)/ABS('Inputs (2)'!T83)),"")</f>
        <v/>
      </c>
      <c r="U225" s="32" t="str">
        <f>IFERROR(IF(OR(ABS('Inputs (2)'!U83)=0,('Inputs (2)'!U84)=0),"",ABS('Inputs (2)'!U84)/ABS('Inputs (2)'!U83)),"")</f>
        <v/>
      </c>
      <c r="V225" s="32" t="str">
        <f>IFERROR(IF(OR(ABS('Inputs (2)'!V83)=0,('Inputs (2)'!V84)=0),"",ABS('Inputs (2)'!V84)/ABS('Inputs (2)'!V83)),"")</f>
        <v/>
      </c>
      <c r="W225" s="32" t="str">
        <f>IFERROR(IF(OR(ABS('Inputs (2)'!W83)=0,('Inputs (2)'!W84)=0),"",ABS('Inputs (2)'!W84)/ABS('Inputs (2)'!W83)),"")</f>
        <v/>
      </c>
      <c r="X225" s="34" t="str">
        <f>IFERROR(IF(OR(ABS('Inputs (2)'!X83)=0,('Inputs (2)'!X84)=0),"",ABS('Inputs (2)'!X84)/ABS('Inputs (2)'!X83)),"")</f>
        <v/>
      </c>
      <c r="Y225" s="32" t="str">
        <f>IFERROR(IF(OR(ABS('Inputs (2)'!Y83)=0,('Inputs (2)'!Y84)=0),"",ABS('Inputs (2)'!Y84)/ABS('Inputs (2)'!Y83)),"")</f>
        <v/>
      </c>
      <c r="Z225" s="32" t="str">
        <f>IFERROR(IF(OR(ABS('Inputs (2)'!Z83)=0,('Inputs (2)'!Z84)=0),"",ABS('Inputs (2)'!Z84)/ABS('Inputs (2)'!Z83)),"")</f>
        <v/>
      </c>
      <c r="AA225" s="32" t="str">
        <f>IFERROR(IF(OR(ABS('Inputs (2)'!AA83)=0,('Inputs (2)'!AA84)=0),"",ABS('Inputs (2)'!AA84)/ABS('Inputs (2)'!AA83)),"")</f>
        <v/>
      </c>
      <c r="AB225" s="32" t="str">
        <f>IFERROR(IF(OR(ABS('Inputs (2)'!AB83)=0,('Inputs (2)'!AB84)=0),"",ABS('Inputs (2)'!AB84)/ABS('Inputs (2)'!AB83)),"")</f>
        <v/>
      </c>
      <c r="AC225" s="34" t="str">
        <f>IFERROR(IF(OR(ABS('Inputs (2)'!AC83)=0,('Inputs (2)'!AC84)=0),"",ABS('Inputs (2)'!AC84)/ABS('Inputs (2)'!AC83)),"")</f>
        <v/>
      </c>
      <c r="AD225" s="32" t="str">
        <f>IFERROR(IF(OR(ABS('Inputs (2)'!AD83)=0,('Inputs (2)'!AD84)=0),"",ABS('Inputs (2)'!AD84)/ABS('Inputs (2)'!AD83)),"")</f>
        <v/>
      </c>
      <c r="AE225" s="32" t="str">
        <f>IFERROR(IF(OR(ABS('Inputs (2)'!AE83)=0,('Inputs (2)'!AE84)=0),"",ABS('Inputs (2)'!AE84)/ABS('Inputs (2)'!AE83)),"")</f>
        <v/>
      </c>
      <c r="AF225" s="32" t="str">
        <f>IFERROR(IF(OR(ABS('Inputs (2)'!AF83)=0,('Inputs (2)'!AF84)=0),"",ABS('Inputs (2)'!AF84)/ABS('Inputs (2)'!AF83)),"")</f>
        <v/>
      </c>
      <c r="AG225" s="32" t="str">
        <f>IFERROR(IF(OR(ABS('Inputs (2)'!AG83)=0,('Inputs (2)'!AG84)=0),"",ABS('Inputs (2)'!AG84)/ABS('Inputs (2)'!AG83)),"")</f>
        <v/>
      </c>
      <c r="AH225" s="34" t="str">
        <f>IFERROR(IF(OR(ABS('Inputs (2)'!AH83)=0,('Inputs (2)'!AH84)=0),"",ABS('Inputs (2)'!AH84)/ABS('Inputs (2)'!AH83)),"")</f>
        <v/>
      </c>
      <c r="AI225" s="32" t="str">
        <f>IFERROR(IF(OR(ABS('Inputs (2)'!AI83)=0,('Inputs (2)'!AI84)=0),"",ABS('Inputs (2)'!AI84)/ABS('Inputs (2)'!AI83)),"")</f>
        <v/>
      </c>
      <c r="AJ225" s="32" t="str">
        <f>IFERROR(IF(OR(ABS('Inputs (2)'!AJ83)=0,('Inputs (2)'!AJ84)=0),"",ABS('Inputs (2)'!AJ84)/ABS('Inputs (2)'!AJ83)),"")</f>
        <v/>
      </c>
      <c r="AK225" s="32" t="str">
        <f>IFERROR(IF(OR(ABS('Inputs (2)'!AK83)=0,('Inputs (2)'!AK84)=0),"",ABS('Inputs (2)'!AK84)/ABS('Inputs (2)'!AK83)),"")</f>
        <v/>
      </c>
      <c r="AL225" s="32" t="str">
        <f>IFERROR(IF(OR(ABS('Inputs (2)'!AL83)=0,('Inputs (2)'!AL84)=0),"",ABS('Inputs (2)'!AL84)/ABS('Inputs (2)'!AL83)),"")</f>
        <v/>
      </c>
      <c r="AM225" s="34" t="str">
        <f>IFERROR(IF(OR(ABS('Inputs (2)'!AM83)=0,('Inputs (2)'!AM84)=0),"",ABS('Inputs (2)'!AM84)/ABS('Inputs (2)'!AM83)),"")</f>
        <v/>
      </c>
      <c r="AN225" s="32" t="str">
        <f>IFERROR(IF(OR(ABS('Inputs (2)'!AN83)=0,('Inputs (2)'!AN84)=0),"",ABS('Inputs (2)'!AN84)/ABS('Inputs (2)'!AN83)),"")</f>
        <v/>
      </c>
      <c r="AO225" s="32" t="str">
        <f>IFERROR(IF(OR(ABS('Inputs (2)'!AO83)=0,('Inputs (2)'!AO84)=0),"",ABS('Inputs (2)'!AO84)/ABS('Inputs (2)'!AO83)),"")</f>
        <v/>
      </c>
      <c r="AP225" s="32" t="str">
        <f>IFERROR(IF(OR(ABS('Inputs (2)'!AP83)=0,('Inputs (2)'!AP84)=0),"",ABS('Inputs (2)'!AP84)/ABS('Inputs (2)'!AP83)),"")</f>
        <v/>
      </c>
      <c r="AQ225" s="32" t="str">
        <f>IFERROR(IF(OR(ABS('Inputs (2)'!AQ83)=0,('Inputs (2)'!AQ84)=0),"",ABS('Inputs (2)'!AQ84)/ABS('Inputs (2)'!AQ83)),"")</f>
        <v/>
      </c>
      <c r="AR225" s="34" t="str">
        <f>IFERROR(IF(OR(ABS('Inputs (2)'!AR83)=0,('Inputs (2)'!AR84)=0),"",ABS('Inputs (2)'!AR84)/ABS('Inputs (2)'!AR83)),"")</f>
        <v/>
      </c>
      <c r="AS225" s="32" t="str">
        <f>IFERROR(IF(OR(ABS('Inputs (2)'!AS83)=0,('Inputs (2)'!AS84)=0),"",ABS('Inputs (2)'!AS84)/ABS('Inputs (2)'!AS83)),"")</f>
        <v/>
      </c>
      <c r="AT225" s="32" t="str">
        <f>IFERROR(IF(OR(ABS('Inputs (2)'!AT83)=0,('Inputs (2)'!AT84)=0),"",ABS('Inputs (2)'!AT84)/ABS('Inputs (2)'!AT83)),"")</f>
        <v/>
      </c>
      <c r="AU225" s="32" t="str">
        <f>IFERROR(IF(OR(ABS('Inputs (2)'!AU83)=0,('Inputs (2)'!AU84)=0),"",ABS('Inputs (2)'!AU84)/ABS('Inputs (2)'!AU83)),"")</f>
        <v/>
      </c>
      <c r="AV225" s="32" t="str">
        <f>IFERROR(IF(OR(ABS('Inputs (2)'!AV83)=0,('Inputs (2)'!AV84)=0),"",ABS('Inputs (2)'!AV84)/ABS('Inputs (2)'!AV83)),"")</f>
        <v/>
      </c>
      <c r="AW225" s="34" t="str">
        <f>IFERROR(IF(OR(ABS('Inputs (2)'!AW83)=0,('Inputs (2)'!AW84)=0),"",ABS('Inputs (2)'!AW84)/ABS('Inputs (2)'!AW83)),"")</f>
        <v/>
      </c>
      <c r="AX225" s="32" t="str">
        <f>IFERROR(IF(OR(ABS('Inputs (2)'!AX83)=0,('Inputs (2)'!AX84)=0),"",ABS('Inputs (2)'!AX84)/ABS('Inputs (2)'!AX83)),"")</f>
        <v/>
      </c>
      <c r="AY225" s="32" t="str">
        <f>IFERROR(IF(OR(ABS('Inputs (2)'!AY83)=0,('Inputs (2)'!AY84)=0),"",ABS('Inputs (2)'!AY84)/ABS('Inputs (2)'!AY83)),"")</f>
        <v/>
      </c>
      <c r="AZ225" s="32" t="str">
        <f>IFERROR(IF(OR(ABS('Inputs (2)'!AZ83)=0,('Inputs (2)'!AZ84)=0),"",ABS('Inputs (2)'!AZ84)/ABS('Inputs (2)'!AZ83)),"")</f>
        <v/>
      </c>
      <c r="BA225" s="32" t="str">
        <f>IFERROR(IF(OR(ABS('Inputs (2)'!BA83)=0,('Inputs (2)'!BA84)=0),"",ABS('Inputs (2)'!BA84)/ABS('Inputs (2)'!BA83)),"")</f>
        <v/>
      </c>
      <c r="BB225" s="34" t="str">
        <f>IFERROR(IF(OR(ABS('Inputs (2)'!BB83)=0,('Inputs (2)'!BB84)=0),"",ABS('Inputs (2)'!BB84)/ABS('Inputs (2)'!BB83)),"")</f>
        <v/>
      </c>
      <c r="BC225" s="32" t="str">
        <f>IFERROR(IF(OR(ABS('Inputs (2)'!BC83)=0,('Inputs (2)'!BC84)=0),"",ABS('Inputs (2)'!BC84)/ABS('Inputs (2)'!BC83)),"")</f>
        <v/>
      </c>
      <c r="BD225" s="32" t="str">
        <f>IFERROR(IF(OR(ABS('Inputs (2)'!BD83)=0,('Inputs (2)'!BD84)=0),"",ABS('Inputs (2)'!BD84)/ABS('Inputs (2)'!BD83)),"")</f>
        <v/>
      </c>
      <c r="BE225" s="32" t="str">
        <f>IFERROR(IF(OR(ABS('Inputs (2)'!BE83)=0,('Inputs (2)'!BE84)=0),"",ABS('Inputs (2)'!BE84)/ABS('Inputs (2)'!BE83)),"")</f>
        <v/>
      </c>
      <c r="BF225" s="32" t="str">
        <f>IFERROR(IF(OR(ABS('Inputs (2)'!BF83)=0,('Inputs (2)'!BF84)=0),"",ABS('Inputs (2)'!BF84)/ABS('Inputs (2)'!BF83)),"")</f>
        <v/>
      </c>
      <c r="BG225" s="34" t="str">
        <f>IFERROR(IF(OR(ABS('Inputs (2)'!BG83)=0,('Inputs (2)'!BG84)=0),"",ABS('Inputs (2)'!BG84)/ABS('Inputs (2)'!BG83)),"")</f>
        <v/>
      </c>
    </row>
    <row r="226" hidden="1" outlineLevel="1">
      <c r="C226" s="30" t="inlineStr">
        <is>
          <t>TVM e aplicações — crescimento % QoQ</t>
        </is>
      </c>
      <c r="D226" s="12" t="inlineStr">
        <is>
          <t>Securities growth QoQ</t>
        </is>
      </c>
      <c r="E226" s="31" t="n"/>
      <c r="F226" s="32" t="str">
        <f>IFERROR(IF(('Inputs (2)'!E11+'Inputs (2)'!E6)=0,"",('Inputs (2)'!F11+'Inputs (2)'!F6)/('Inputs (2)'!E11+'Inputs (2)'!E6)-1),"")</f>
        <v/>
      </c>
      <c r="G226" s="32" t="str">
        <f>IFERROR(IF(('Inputs (2)'!F11+'Inputs (2)'!F6)=0,"",('Inputs (2)'!G11+'Inputs (2)'!G6)/('Inputs (2)'!F11+'Inputs (2)'!F6)-1),"")</f>
        <v/>
      </c>
      <c r="H226" s="32" t="str">
        <f>IFERROR(IF(('Inputs (2)'!G11+'Inputs (2)'!G6)=0,"",('Inputs (2)'!H11+'Inputs (2)'!H6)/('Inputs (2)'!G11+'Inputs (2)'!G6)-1),"")</f>
        <v/>
      </c>
      <c r="I226" s="33" t="n"/>
      <c r="J226" s="32" t="str">
        <f>IFERROR(IF(('Inputs (2)'!H11+'Inputs (2)'!H6)=0,"",('Inputs (2)'!J11+'Inputs (2)'!J6)/('Inputs (2)'!H11+'Inputs (2)'!H6)-1),"")</f>
        <v/>
      </c>
      <c r="K226" s="32" t="str">
        <f>IFERROR(IF(('Inputs (2)'!J11+'Inputs (2)'!J6)=0,"",('Inputs (2)'!K11+'Inputs (2)'!K6)/('Inputs (2)'!J11+'Inputs (2)'!J6)-1),"")</f>
        <v/>
      </c>
      <c r="L226" s="32" t="str">
        <f>IFERROR(IF(('Inputs (2)'!K11+'Inputs (2)'!K6)=0,"",('Inputs (2)'!L11+'Inputs (2)'!L6)/('Inputs (2)'!K11+'Inputs (2)'!K6)-1),"")</f>
        <v/>
      </c>
      <c r="M226" s="32" t="str">
        <f>IFERROR(IF(('Inputs (2)'!L11+'Inputs (2)'!L6)=0,"",('Inputs (2)'!M11+'Inputs (2)'!M6)/('Inputs (2)'!L11+'Inputs (2)'!L6)-1),"")</f>
        <v/>
      </c>
      <c r="N226" s="34" t="str">
        <f>IFERROR(IF(('Inputs (2)'!I11+'Inputs (2)'!I6)=0,"",('Inputs (2)'!N11+'Inputs (2)'!N6)/('Inputs (2)'!I11+'Inputs (2)'!I6)-1),"")</f>
        <v/>
      </c>
      <c r="O226" s="32" t="str">
        <f>IFERROR(IF(('Inputs (2)'!M11+'Inputs (2)'!M6)=0,"",('Inputs (2)'!O11+'Inputs (2)'!O6)/('Inputs (2)'!M11+'Inputs (2)'!M6)-1),"")</f>
        <v/>
      </c>
      <c r="P226" s="32" t="str">
        <f>IFERROR(IF(('Inputs (2)'!O11+'Inputs (2)'!O6)=0,"",('Inputs (2)'!P11+'Inputs (2)'!P6)/('Inputs (2)'!O11+'Inputs (2)'!O6)-1),"")</f>
        <v/>
      </c>
      <c r="Q226" s="32" t="str">
        <f>IFERROR(IF(('Inputs (2)'!P11+'Inputs (2)'!P6)=0,"",('Inputs (2)'!Q11+'Inputs (2)'!Q6)/('Inputs (2)'!P11+'Inputs (2)'!P6)-1),"")</f>
        <v/>
      </c>
      <c r="R226" s="32" t="str">
        <f>IFERROR(IF(('Inputs (2)'!Q11+'Inputs (2)'!Q6)=0,"",('Inputs (2)'!R11+'Inputs (2)'!R6)/('Inputs (2)'!Q11+'Inputs (2)'!Q6)-1),"")</f>
        <v/>
      </c>
      <c r="S226" s="34" t="str">
        <f>IFERROR(IF(('Inputs (2)'!N11+'Inputs (2)'!N6)=0,"",('Inputs (2)'!S11+'Inputs (2)'!S6)/('Inputs (2)'!N11+'Inputs (2)'!N6)-1),"")</f>
        <v/>
      </c>
      <c r="T226" s="32" t="str">
        <f>IFERROR(IF(('Inputs (2)'!R11+'Inputs (2)'!R6)=0,"",('Inputs (2)'!T11+'Inputs (2)'!T6)/('Inputs (2)'!R11+'Inputs (2)'!R6)-1),"")</f>
        <v/>
      </c>
      <c r="U226" s="32" t="str">
        <f>IFERROR(IF(('Inputs (2)'!T11+'Inputs (2)'!T6)=0,"",('Inputs (2)'!U11+'Inputs (2)'!U6)/('Inputs (2)'!T11+'Inputs (2)'!T6)-1),"")</f>
        <v/>
      </c>
      <c r="V226" s="32" t="str">
        <f>IFERROR(IF(('Inputs (2)'!U11+'Inputs (2)'!U6)=0,"",('Inputs (2)'!V11+'Inputs (2)'!V6)/('Inputs (2)'!U11+'Inputs (2)'!U6)-1),"")</f>
        <v/>
      </c>
      <c r="W226" s="32" t="str">
        <f>IFERROR(IF(('Inputs (2)'!V11+'Inputs (2)'!V6)=0,"",('Inputs (2)'!W11+'Inputs (2)'!W6)/('Inputs (2)'!V11+'Inputs (2)'!V6)-1),"")</f>
        <v/>
      </c>
      <c r="X226" s="34" t="str">
        <f>IFERROR(IF(('Inputs (2)'!S11+'Inputs (2)'!S6)=0,"",('Inputs (2)'!X11+'Inputs (2)'!X6)/('Inputs (2)'!S11+'Inputs (2)'!S6)-1),"")</f>
        <v/>
      </c>
      <c r="Y226" s="32" t="str">
        <f>IFERROR(IF(('Inputs (2)'!W11+'Inputs (2)'!W6)=0,"",('Inputs (2)'!Y11+'Inputs (2)'!Y6)/('Inputs (2)'!W11+'Inputs (2)'!W6)-1),"")</f>
        <v/>
      </c>
      <c r="Z226" s="32" t="str">
        <f>IFERROR(IF(('Inputs (2)'!Y11+'Inputs (2)'!Y6)=0,"",('Inputs (2)'!Z11+'Inputs (2)'!Z6)/('Inputs (2)'!Y11+'Inputs (2)'!Y6)-1),"")</f>
        <v/>
      </c>
      <c r="AA226" s="32" t="str">
        <f>IFERROR(IF(('Inputs (2)'!Z11+'Inputs (2)'!Z6)=0,"",('Inputs (2)'!AA11+'Inputs (2)'!AA6)/('Inputs (2)'!Z11+'Inputs (2)'!Z6)-1),"")</f>
        <v/>
      </c>
      <c r="AB226" s="32" t="str">
        <f>IFERROR(IF(('Inputs (2)'!AA11+'Inputs (2)'!AA6)=0,"",('Inputs (2)'!AB11+'Inputs (2)'!AB6)/('Inputs (2)'!AA11+'Inputs (2)'!AA6)-1),"")</f>
        <v/>
      </c>
      <c r="AC226" s="34" t="str">
        <f>IFERROR(IF(('Inputs (2)'!X11+'Inputs (2)'!X6)=0,"",('Inputs (2)'!AC11+'Inputs (2)'!AC6)/('Inputs (2)'!X11+'Inputs (2)'!X6)-1),"")</f>
        <v/>
      </c>
      <c r="AD226" s="32" t="str">
        <f>IFERROR(IF(('Inputs (2)'!AB11+'Inputs (2)'!AB6)=0,"",('Inputs (2)'!AD11+'Inputs (2)'!AD6)/('Inputs (2)'!AB11+'Inputs (2)'!AB6)-1),"")</f>
        <v/>
      </c>
      <c r="AE226" s="32" t="str">
        <f>IFERROR(IF(('Inputs (2)'!AD11+'Inputs (2)'!AD6)=0,"",('Inputs (2)'!AE11+'Inputs (2)'!AE6)/('Inputs (2)'!AD11+'Inputs (2)'!AD6)-1),"")</f>
        <v/>
      </c>
      <c r="AF226" s="32" t="str">
        <f>IFERROR(IF(('Inputs (2)'!AE11+'Inputs (2)'!AE6)=0,"",('Inputs (2)'!AF11+'Inputs (2)'!AF6)/('Inputs (2)'!AE11+'Inputs (2)'!AE6)-1),"")</f>
        <v/>
      </c>
      <c r="AG226" s="32" t="str">
        <f>IFERROR(IF(('Inputs (2)'!AF11+'Inputs (2)'!AF6)=0,"",('Inputs (2)'!AG11+'Inputs (2)'!AG6)/('Inputs (2)'!AF11+'Inputs (2)'!AF6)-1),"")</f>
        <v/>
      </c>
      <c r="AH226" s="34" t="str">
        <f>IFERROR(IF(('Inputs (2)'!AC11+'Inputs (2)'!AC6)=0,"",('Inputs (2)'!AH11+'Inputs (2)'!AH6)/('Inputs (2)'!AC11+'Inputs (2)'!AC6)-1),"")</f>
        <v/>
      </c>
      <c r="AI226" s="32" t="str">
        <f>IFERROR(IF(('Inputs (2)'!AG11+'Inputs (2)'!AG6)=0,"",('Inputs (2)'!AI11+'Inputs (2)'!AI6)/('Inputs (2)'!AG11+'Inputs (2)'!AG6)-1),"")</f>
        <v/>
      </c>
      <c r="AJ226" s="32" t="str">
        <f>IFERROR(IF(('Inputs (2)'!AI11+'Inputs (2)'!AI6)=0,"",('Inputs (2)'!AJ11+'Inputs (2)'!AJ6)/('Inputs (2)'!AI11+'Inputs (2)'!AI6)-1),"")</f>
        <v/>
      </c>
      <c r="AK226" s="32" t="str">
        <f>IFERROR(IF(('Inputs (2)'!AJ11+'Inputs (2)'!AJ6)=0,"",('Inputs (2)'!AK11+'Inputs (2)'!AK6)/('Inputs (2)'!AJ11+'Inputs (2)'!AJ6)-1),"")</f>
        <v/>
      </c>
      <c r="AL226" s="32" t="str">
        <f>IFERROR(IF(('Inputs (2)'!AK11+'Inputs (2)'!AK6)=0,"",('Inputs (2)'!AL11+'Inputs (2)'!AL6)/('Inputs (2)'!AK11+'Inputs (2)'!AK6)-1),"")</f>
        <v/>
      </c>
      <c r="AM226" s="34" t="str">
        <f>IFERROR(IF(('Inputs (2)'!AH11+'Inputs (2)'!AH6)=0,"",('Inputs (2)'!AM11+'Inputs (2)'!AM6)/('Inputs (2)'!AH11+'Inputs (2)'!AH6)-1),"")</f>
        <v/>
      </c>
      <c r="AN226" s="32" t="str">
        <f>IFERROR(IF(('Inputs (2)'!AL11+'Inputs (2)'!AL6)=0,"",('Inputs (2)'!AN11+'Inputs (2)'!AN6)/('Inputs (2)'!AL11+'Inputs (2)'!AL6)-1),"")</f>
        <v/>
      </c>
      <c r="AO226" s="32" t="str">
        <f>IFERROR(IF(('Inputs (2)'!AN11+'Inputs (2)'!AN6)=0,"",('Inputs (2)'!AO11+'Inputs (2)'!AO6)/('Inputs (2)'!AN11+'Inputs (2)'!AN6)-1),"")</f>
        <v/>
      </c>
      <c r="AP226" s="32" t="str">
        <f>IFERROR(IF(('Inputs (2)'!AO11+'Inputs (2)'!AO6)=0,"",('Inputs (2)'!AP11+'Inputs (2)'!AP6)/('Inputs (2)'!AO11+'Inputs (2)'!AO6)-1),"")</f>
        <v/>
      </c>
      <c r="AQ226" s="32" t="str">
        <f>IFERROR(IF(('Inputs (2)'!AP11+'Inputs (2)'!AP6)=0,"",('Inputs (2)'!AQ11+'Inputs (2)'!AQ6)/('Inputs (2)'!AP11+'Inputs (2)'!AP6)-1),"")</f>
        <v/>
      </c>
      <c r="AR226" s="34" t="str">
        <f>IFERROR(IF(('Inputs (2)'!AM11+'Inputs (2)'!AM6)=0,"",('Inputs (2)'!AR11+'Inputs (2)'!AR6)/('Inputs (2)'!AM11+'Inputs (2)'!AM6)-1),"")</f>
        <v/>
      </c>
      <c r="AS226" s="32" t="str">
        <f>IFERROR(IF(('Inputs (2)'!AQ11+'Inputs (2)'!AQ6)=0,"",('Inputs (2)'!AS11+'Inputs (2)'!AS6)/('Inputs (2)'!AQ11+'Inputs (2)'!AQ6)-1),"")</f>
        <v/>
      </c>
      <c r="AT226" s="32" t="str">
        <f>IFERROR(IF(('Inputs (2)'!AS11+'Inputs (2)'!AS6)=0,"",('Inputs (2)'!AT11+'Inputs (2)'!AT6)/('Inputs (2)'!AS11+'Inputs (2)'!AS6)-1),"")</f>
        <v/>
      </c>
      <c r="AU226" s="32" t="str">
        <f>IFERROR(IF(('Inputs (2)'!AT11+'Inputs (2)'!AT6)=0,"",('Inputs (2)'!AU11+'Inputs (2)'!AU6)/('Inputs (2)'!AT11+'Inputs (2)'!AT6)-1),"")</f>
        <v/>
      </c>
      <c r="AV226" s="32" t="str">
        <f>IFERROR(IF(('Inputs (2)'!AU11+'Inputs (2)'!AU6)=0,"",('Inputs (2)'!AV11+'Inputs (2)'!AV6)/('Inputs (2)'!AU11+'Inputs (2)'!AU6)-1),"")</f>
        <v/>
      </c>
      <c r="AW226" s="34" t="str">
        <f>IFERROR(IF(('Inputs (2)'!AR11+'Inputs (2)'!AR6)=0,"",('Inputs (2)'!AW11+'Inputs (2)'!AW6)/('Inputs (2)'!AR11+'Inputs (2)'!AR6)-1),"")</f>
        <v/>
      </c>
      <c r="AX226" s="32" t="str">
        <f>IFERROR(IF(('Inputs (2)'!AV11+'Inputs (2)'!AV6)=0,"",('Inputs (2)'!AX11+'Inputs (2)'!AX6)/('Inputs (2)'!AV11+'Inputs (2)'!AV6)-1),"")</f>
        <v/>
      </c>
      <c r="AY226" s="32" t="str">
        <f>IFERROR(IF(('Inputs (2)'!AX11+'Inputs (2)'!AX6)=0,"",('Inputs (2)'!AY11+'Inputs (2)'!AY6)/('Inputs (2)'!AX11+'Inputs (2)'!AX6)-1),"")</f>
        <v/>
      </c>
      <c r="AZ226" s="32" t="str">
        <f>IFERROR(IF(('Inputs (2)'!AY11+'Inputs (2)'!AY6)=0,"",('Inputs (2)'!AZ11+'Inputs (2)'!AZ6)/('Inputs (2)'!AY11+'Inputs (2)'!AY6)-1),"")</f>
        <v/>
      </c>
      <c r="BA226" s="32" t="str">
        <f>IFERROR(IF(('Inputs (2)'!AZ11+'Inputs (2)'!AZ6)=0,"",('Inputs (2)'!BA11+'Inputs (2)'!BA6)/('Inputs (2)'!AZ11+'Inputs (2)'!AZ6)-1),"")</f>
        <v/>
      </c>
      <c r="BB226" s="34" t="str">
        <f>IFERROR(IF(('Inputs (2)'!AW11+'Inputs (2)'!AW6)=0,"",('Inputs (2)'!BB11+'Inputs (2)'!BB6)/('Inputs (2)'!AW11+'Inputs (2)'!AW6)-1),"")</f>
        <v/>
      </c>
      <c r="BC226" s="32" t="str">
        <f>IFERROR(IF(('Inputs (2)'!BA11+'Inputs (2)'!BA6)=0,"",('Inputs (2)'!BC11+'Inputs (2)'!BC6)/('Inputs (2)'!BA11+'Inputs (2)'!BA6)-1),"")</f>
        <v/>
      </c>
      <c r="BD226" s="32" t="str">
        <f>IFERROR(IF(('Inputs (2)'!BC11+'Inputs (2)'!BC6)=0,"",('Inputs (2)'!BD11+'Inputs (2)'!BD6)/('Inputs (2)'!BC11+'Inputs (2)'!BC6)-1),"")</f>
        <v/>
      </c>
      <c r="BE226" s="32" t="str">
        <f>IFERROR(IF(('Inputs (2)'!BD11+'Inputs (2)'!BD6)=0,"",('Inputs (2)'!BE11+'Inputs (2)'!BE6)/('Inputs (2)'!BD11+'Inputs (2)'!BD6)-1),"")</f>
        <v/>
      </c>
      <c r="BF226" s="32" t="str">
        <f>IFERROR(IF(('Inputs (2)'!BE11+'Inputs (2)'!BE6)=0,"",('Inputs (2)'!BF11+'Inputs (2)'!BF6)/('Inputs (2)'!BE11+'Inputs (2)'!BE6)-1),"")</f>
        <v/>
      </c>
      <c r="BG226" s="34" t="str">
        <f>IFERROR(IF(('Inputs (2)'!BB11+'Inputs (2)'!BB6)=0,"",('Inputs (2)'!BG11+'Inputs (2)'!BG6)/('Inputs (2)'!BB11+'Inputs (2)'!BB6)-1),"")</f>
        <v/>
      </c>
    </row>
    <row r="227" hidden="1" outlineLevel="1">
      <c r="C227" s="30" t="inlineStr">
        <is>
          <t>Rendimento médio de TVM e aplicações (% a.a.)</t>
        </is>
      </c>
      <c r="D227" s="12" t="inlineStr">
        <is>
          <t>Securities yield</t>
        </is>
      </c>
      <c r="E227" s="32" t="str">
        <f>IFERROR(IF(OR(('Inputs (2)'!E11+'Inputs (2)'!E6)=0,('Inputs (2)'!E73+'Inputs (2)'!E75)=0),"",('Inputs (2)'!E73+'Inputs (2)'!E75)*4/('Inputs (2)'!E11+'Inputs (2)'!E6)),"")</f>
        <v/>
      </c>
      <c r="F227" s="32" t="str">
        <f>IFERROR(IF(OR(AVERAGE(('Inputs (2)'!E11+'Inputs (2)'!E6),('Inputs (2)'!F11+'Inputs (2)'!F6))=0,('Inputs (2)'!F73+'Inputs (2)'!F75)=0),"",('Inputs (2)'!F73+'Inputs (2)'!F75)*4/AVERAGE(('Inputs (2)'!E11+'Inputs (2)'!E6),('Inputs (2)'!F11+'Inputs (2)'!F6))),"")</f>
        <v/>
      </c>
      <c r="G227" s="32" t="str">
        <f>IFERROR(IF(OR(AVERAGE(('Inputs (2)'!F11+'Inputs (2)'!F6),('Inputs (2)'!G11+'Inputs (2)'!G6))=0,('Inputs (2)'!G73+'Inputs (2)'!G75)=0),"",('Inputs (2)'!G73+'Inputs (2)'!G75)*4/AVERAGE(('Inputs (2)'!F11+'Inputs (2)'!F6),('Inputs (2)'!G11+'Inputs (2)'!G6))),"")</f>
        <v/>
      </c>
      <c r="H227" s="32" t="str">
        <f>IFERROR(IF(OR(AVERAGE(('Inputs (2)'!G11+'Inputs (2)'!G6),('Inputs (2)'!H11+'Inputs (2)'!H6))=0,('Inputs (2)'!H73+'Inputs (2)'!H75)=0),"",('Inputs (2)'!H73+'Inputs (2)'!H75)*4/AVERAGE(('Inputs (2)'!G11+'Inputs (2)'!G6),('Inputs (2)'!H11+'Inputs (2)'!H6))),"")</f>
        <v/>
      </c>
      <c r="I227" s="34" t="str">
        <f>IFERROR(IF(OR(('Inputs (2)'!I11+'Inputs (2)'!I6)=0,('Inputs (2)'!I73+'Inputs (2)'!I75)=0),"",('Inputs (2)'!I73+'Inputs (2)'!I75)/('Inputs (2)'!I11+'Inputs (2)'!I6)),"")</f>
        <v/>
      </c>
      <c r="J227" s="32" t="str">
        <f>IFERROR(IF(OR(AVERAGE(('Inputs (2)'!H11+'Inputs (2)'!H6),('Inputs (2)'!J11+'Inputs (2)'!J6))=0,('Inputs (2)'!J73+'Inputs (2)'!J75)=0),"",('Inputs (2)'!J73+'Inputs (2)'!J75)*4/AVERAGE(('Inputs (2)'!H11+'Inputs (2)'!H6),('Inputs (2)'!J11+'Inputs (2)'!J6))),"")</f>
        <v/>
      </c>
      <c r="K227" s="32" t="str">
        <f>IFERROR(IF(OR(AVERAGE(('Inputs (2)'!J11+'Inputs (2)'!J6),('Inputs (2)'!K11+'Inputs (2)'!K6))=0,('Inputs (2)'!K73+'Inputs (2)'!K75)=0),"",('Inputs (2)'!K73+'Inputs (2)'!K75)*4/AVERAGE(('Inputs (2)'!J11+'Inputs (2)'!J6),('Inputs (2)'!K11+'Inputs (2)'!K6))),"")</f>
        <v/>
      </c>
      <c r="L227" s="32" t="str">
        <f>IFERROR(IF(OR(AVERAGE(('Inputs (2)'!K11+'Inputs (2)'!K6),('Inputs (2)'!L11+'Inputs (2)'!L6))=0,('Inputs (2)'!L73+'Inputs (2)'!L75)=0),"",('Inputs (2)'!L73+'Inputs (2)'!L75)*4/AVERAGE(('Inputs (2)'!K11+'Inputs (2)'!K6),('Inputs (2)'!L11+'Inputs (2)'!L6))),"")</f>
        <v/>
      </c>
      <c r="M227" s="32" t="str">
        <f>IFERROR(IF(OR(AVERAGE(('Inputs (2)'!L11+'Inputs (2)'!L6),('Inputs (2)'!M11+'Inputs (2)'!M6))=0,('Inputs (2)'!M73+'Inputs (2)'!M75)=0),"",('Inputs (2)'!M73+'Inputs (2)'!M75)*4/AVERAGE(('Inputs (2)'!L11+'Inputs (2)'!L6),('Inputs (2)'!M11+'Inputs (2)'!M6))),"")</f>
        <v/>
      </c>
      <c r="N227" s="34" t="str">
        <f>IFERROR(IF(OR(AVERAGE(('Inputs (2)'!I11+'Inputs (2)'!I6),('Inputs (2)'!N11+'Inputs (2)'!N6))=0,('Inputs (2)'!N73+'Inputs (2)'!N75)=0),"",('Inputs (2)'!N73+'Inputs (2)'!N75)/AVERAGE(('Inputs (2)'!I11+'Inputs (2)'!I6),('Inputs (2)'!N11+'Inputs (2)'!N6))),"")</f>
        <v/>
      </c>
      <c r="O227" s="32" t="str">
        <f>IFERROR(IF(OR(AVERAGE(('Inputs (2)'!M11+'Inputs (2)'!M6),('Inputs (2)'!O11+'Inputs (2)'!O6))=0,('Inputs (2)'!O73+'Inputs (2)'!O75)=0),"",('Inputs (2)'!O73+'Inputs (2)'!O75)*4/AVERAGE(('Inputs (2)'!M11+'Inputs (2)'!M6),('Inputs (2)'!O11+'Inputs (2)'!O6))),"")</f>
        <v/>
      </c>
      <c r="P227" s="32" t="str">
        <f>IFERROR(IF(OR(AVERAGE(('Inputs (2)'!O11+'Inputs (2)'!O6),('Inputs (2)'!P11+'Inputs (2)'!P6))=0,('Inputs (2)'!P73+'Inputs (2)'!P75)=0),"",('Inputs (2)'!P73+'Inputs (2)'!P75)*4/AVERAGE(('Inputs (2)'!O11+'Inputs (2)'!O6),('Inputs (2)'!P11+'Inputs (2)'!P6))),"")</f>
        <v/>
      </c>
      <c r="Q227" s="32" t="str">
        <f>IFERROR(IF(OR(AVERAGE(('Inputs (2)'!P11+'Inputs (2)'!P6),('Inputs (2)'!Q11+'Inputs (2)'!Q6))=0,('Inputs (2)'!Q73+'Inputs (2)'!Q75)=0),"",('Inputs (2)'!Q73+'Inputs (2)'!Q75)*4/AVERAGE(('Inputs (2)'!P11+'Inputs (2)'!P6),('Inputs (2)'!Q11+'Inputs (2)'!Q6))),"")</f>
        <v/>
      </c>
      <c r="R227" s="32" t="str">
        <f>IFERROR(IF(OR(AVERAGE(('Inputs (2)'!Q11+'Inputs (2)'!Q6),('Inputs (2)'!R11+'Inputs (2)'!R6))=0,('Inputs (2)'!R73+'Inputs (2)'!R75)=0),"",('Inputs (2)'!R73+'Inputs (2)'!R75)*4/AVERAGE(('Inputs (2)'!Q11+'Inputs (2)'!Q6),('Inputs (2)'!R11+'Inputs (2)'!R6))),"")</f>
        <v/>
      </c>
      <c r="S227" s="34" t="str">
        <f>IFERROR(IF(OR(AVERAGE(('Inputs (2)'!N11+'Inputs (2)'!N6),('Inputs (2)'!S11+'Inputs (2)'!S6))=0,('Inputs (2)'!S73+'Inputs (2)'!S75)=0),"",('Inputs (2)'!S73+'Inputs (2)'!S75)/AVERAGE(('Inputs (2)'!N11+'Inputs (2)'!N6),('Inputs (2)'!S11+'Inputs (2)'!S6))),"")</f>
        <v/>
      </c>
      <c r="T227" s="32" t="str">
        <f>IFERROR(IF(OR(AVERAGE(('Inputs (2)'!R11+'Inputs (2)'!R6),('Inputs (2)'!T11+'Inputs (2)'!T6))=0,('Inputs (2)'!T73+'Inputs (2)'!T75)=0),"",('Inputs (2)'!T73+'Inputs (2)'!T75)*4/AVERAGE(('Inputs (2)'!R11+'Inputs (2)'!R6),('Inputs (2)'!T11+'Inputs (2)'!T6))),"")</f>
        <v/>
      </c>
      <c r="U227" s="32" t="str">
        <f>IFERROR(IF(OR(AVERAGE(('Inputs (2)'!T11+'Inputs (2)'!T6),('Inputs (2)'!U11+'Inputs (2)'!U6))=0,('Inputs (2)'!U73+'Inputs (2)'!U75)=0),"",('Inputs (2)'!U73+'Inputs (2)'!U75)*4/AVERAGE(('Inputs (2)'!T11+'Inputs (2)'!T6),('Inputs (2)'!U11+'Inputs (2)'!U6))),"")</f>
        <v/>
      </c>
      <c r="V227" s="32" t="str">
        <f>IFERROR(IF(OR(AVERAGE(('Inputs (2)'!U11+'Inputs (2)'!U6),('Inputs (2)'!V11+'Inputs (2)'!V6))=0,('Inputs (2)'!V73+'Inputs (2)'!V75)=0),"",('Inputs (2)'!V73+'Inputs (2)'!V75)*4/AVERAGE(('Inputs (2)'!U11+'Inputs (2)'!U6),('Inputs (2)'!V11+'Inputs (2)'!V6))),"")</f>
        <v/>
      </c>
      <c r="W227" s="32" t="str">
        <f>IFERROR(IF(OR(AVERAGE(('Inputs (2)'!V11+'Inputs (2)'!V6),('Inputs (2)'!W11+'Inputs (2)'!W6))=0,('Inputs (2)'!W73+'Inputs (2)'!W75)=0),"",('Inputs (2)'!W73+'Inputs (2)'!W75)*4/AVERAGE(('Inputs (2)'!V11+'Inputs (2)'!V6),('Inputs (2)'!W11+'Inputs (2)'!W6))),"")</f>
        <v/>
      </c>
      <c r="X227" s="34" t="str">
        <f>IFERROR(IF(OR(AVERAGE(('Inputs (2)'!S11+'Inputs (2)'!S6),('Inputs (2)'!X11+'Inputs (2)'!X6))=0,('Inputs (2)'!X73+'Inputs (2)'!X75)=0),"",('Inputs (2)'!X73+'Inputs (2)'!X75)/AVERAGE(('Inputs (2)'!S11+'Inputs (2)'!S6),('Inputs (2)'!X11+'Inputs (2)'!X6))),"")</f>
        <v/>
      </c>
      <c r="Y227" s="32" t="str">
        <f>IFERROR(IF(OR(AVERAGE(('Inputs (2)'!W11+'Inputs (2)'!W6),('Inputs (2)'!Y11+'Inputs (2)'!Y6))=0,('Inputs (2)'!Y73+'Inputs (2)'!Y75)=0),"",('Inputs (2)'!Y73+'Inputs (2)'!Y75)*4/AVERAGE(('Inputs (2)'!W11+'Inputs (2)'!W6),('Inputs (2)'!Y11+'Inputs (2)'!Y6))),"")</f>
        <v/>
      </c>
      <c r="Z227" s="32" t="str">
        <f>IFERROR(IF(OR(AVERAGE(('Inputs (2)'!Y11+'Inputs (2)'!Y6),('Inputs (2)'!Z11+'Inputs (2)'!Z6))=0,('Inputs (2)'!Z73+'Inputs (2)'!Z75)=0),"",('Inputs (2)'!Z73+'Inputs (2)'!Z75)*4/AVERAGE(('Inputs (2)'!Y11+'Inputs (2)'!Y6),('Inputs (2)'!Z11+'Inputs (2)'!Z6))),"")</f>
        <v/>
      </c>
      <c r="AA227" s="32" t="str">
        <f>IFERROR(IF(OR(AVERAGE(('Inputs (2)'!Z11+'Inputs (2)'!Z6),('Inputs (2)'!AA11+'Inputs (2)'!AA6))=0,('Inputs (2)'!AA73+'Inputs (2)'!AA75)=0),"",('Inputs (2)'!AA73+'Inputs (2)'!AA75)*4/AVERAGE(('Inputs (2)'!Z11+'Inputs (2)'!Z6),('Inputs (2)'!AA11+'Inputs (2)'!AA6))),"")</f>
        <v/>
      </c>
      <c r="AB227" s="32" t="str">
        <f>IFERROR(IF(OR(AVERAGE(('Inputs (2)'!AA11+'Inputs (2)'!AA6),('Inputs (2)'!AB11+'Inputs (2)'!AB6))=0,('Inputs (2)'!AB73+'Inputs (2)'!AB75)=0),"",('Inputs (2)'!AB73+'Inputs (2)'!AB75)*4/AVERAGE(('Inputs (2)'!AA11+'Inputs (2)'!AA6),('Inputs (2)'!AB11+'Inputs (2)'!AB6))),"")</f>
        <v/>
      </c>
      <c r="AC227" s="34" t="str">
        <f>IFERROR(IF(OR(AVERAGE(('Inputs (2)'!X11+'Inputs (2)'!X6),('Inputs (2)'!AC11+'Inputs (2)'!AC6))=0,('Inputs (2)'!AC73+'Inputs (2)'!AC75)=0),"",('Inputs (2)'!AC73+'Inputs (2)'!AC75)/AVERAGE(('Inputs (2)'!X11+'Inputs (2)'!X6),('Inputs (2)'!AC11+'Inputs (2)'!AC6))),"")</f>
        <v/>
      </c>
      <c r="AD227" s="32" t="str">
        <f>IFERROR(IF(OR(AVERAGE(('Inputs (2)'!AB11+'Inputs (2)'!AB6),('Inputs (2)'!AD11+'Inputs (2)'!AD6))=0,('Inputs (2)'!AD73+'Inputs (2)'!AD75)=0),"",('Inputs (2)'!AD73+'Inputs (2)'!AD75)*4/AVERAGE(('Inputs (2)'!AB11+'Inputs (2)'!AB6),('Inputs (2)'!AD11+'Inputs (2)'!AD6))),"")</f>
        <v/>
      </c>
      <c r="AE227" s="32" t="str">
        <f>IFERROR(IF(OR(AVERAGE(('Inputs (2)'!AD11+'Inputs (2)'!AD6),('Inputs (2)'!AE11+'Inputs (2)'!AE6))=0,('Inputs (2)'!AE73+'Inputs (2)'!AE75)=0),"",('Inputs (2)'!AE73+'Inputs (2)'!AE75)*4/AVERAGE(('Inputs (2)'!AD11+'Inputs (2)'!AD6),('Inputs (2)'!AE11+'Inputs (2)'!AE6))),"")</f>
        <v/>
      </c>
      <c r="AF227" s="32" t="str">
        <f>IFERROR(IF(OR(AVERAGE(('Inputs (2)'!AE11+'Inputs (2)'!AE6),('Inputs (2)'!AF11+'Inputs (2)'!AF6))=0,('Inputs (2)'!AF73+'Inputs (2)'!AF75)=0),"",('Inputs (2)'!AF73+'Inputs (2)'!AF75)*4/AVERAGE(('Inputs (2)'!AE11+'Inputs (2)'!AE6),('Inputs (2)'!AF11+'Inputs (2)'!AF6))),"")</f>
        <v/>
      </c>
      <c r="AG227" s="32" t="str">
        <f>IFERROR(IF(OR(AVERAGE(('Inputs (2)'!AF11+'Inputs (2)'!AF6),('Inputs (2)'!AG11+'Inputs (2)'!AG6))=0,('Inputs (2)'!AG73+'Inputs (2)'!AG75)=0),"",('Inputs (2)'!AG73+'Inputs (2)'!AG75)*4/AVERAGE(('Inputs (2)'!AF11+'Inputs (2)'!AF6),('Inputs (2)'!AG11+'Inputs (2)'!AG6))),"")</f>
        <v/>
      </c>
      <c r="AH227" s="34" t="str">
        <f>IFERROR(IF(OR(AVERAGE(('Inputs (2)'!AC11+'Inputs (2)'!AC6),('Inputs (2)'!AH11+'Inputs (2)'!AH6))=0,('Inputs (2)'!AH73+'Inputs (2)'!AH75)=0),"",('Inputs (2)'!AH73+'Inputs (2)'!AH75)/AVERAGE(('Inputs (2)'!AC11+'Inputs (2)'!AC6),('Inputs (2)'!AH11+'Inputs (2)'!AH6))),"")</f>
        <v/>
      </c>
      <c r="AI227" s="32" t="str">
        <f>IFERROR(IF(OR(AVERAGE(('Inputs (2)'!AG11+'Inputs (2)'!AG6),('Inputs (2)'!AI11+'Inputs (2)'!AI6))=0,('Inputs (2)'!AI73+'Inputs (2)'!AI75)=0),"",('Inputs (2)'!AI73+'Inputs (2)'!AI75)*4/AVERAGE(('Inputs (2)'!AG11+'Inputs (2)'!AG6),('Inputs (2)'!AI11+'Inputs (2)'!AI6))),"")</f>
        <v/>
      </c>
      <c r="AJ227" s="32" t="str">
        <f>IFERROR(IF(OR(AVERAGE(('Inputs (2)'!AI11+'Inputs (2)'!AI6),('Inputs (2)'!AJ11+'Inputs (2)'!AJ6))=0,('Inputs (2)'!AJ73+'Inputs (2)'!AJ75)=0),"",('Inputs (2)'!AJ73+'Inputs (2)'!AJ75)*4/AVERAGE(('Inputs (2)'!AI11+'Inputs (2)'!AI6),('Inputs (2)'!AJ11+'Inputs (2)'!AJ6))),"")</f>
        <v/>
      </c>
      <c r="AK227" s="32" t="str">
        <f>IFERROR(IF(OR(AVERAGE(('Inputs (2)'!AJ11+'Inputs (2)'!AJ6),('Inputs (2)'!AK11+'Inputs (2)'!AK6))=0,('Inputs (2)'!AK73+'Inputs (2)'!AK75)=0),"",('Inputs (2)'!AK73+'Inputs (2)'!AK75)*4/AVERAGE(('Inputs (2)'!AJ11+'Inputs (2)'!AJ6),('Inputs (2)'!AK11+'Inputs (2)'!AK6))),"")</f>
        <v/>
      </c>
      <c r="AL227" s="32" t="str">
        <f>IFERROR(IF(OR(AVERAGE(('Inputs (2)'!AK11+'Inputs (2)'!AK6),('Inputs (2)'!AL11+'Inputs (2)'!AL6))=0,('Inputs (2)'!AL73+'Inputs (2)'!AL75)=0),"",('Inputs (2)'!AL73+'Inputs (2)'!AL75)*4/AVERAGE(('Inputs (2)'!AK11+'Inputs (2)'!AK6),('Inputs (2)'!AL11+'Inputs (2)'!AL6))),"")</f>
        <v/>
      </c>
      <c r="AM227" s="34" t="str">
        <f>IFERROR(IF(OR(AVERAGE(('Inputs (2)'!AH11+'Inputs (2)'!AH6),('Inputs (2)'!AM11+'Inputs (2)'!AM6))=0,('Inputs (2)'!AM73+'Inputs (2)'!AM75)=0),"",('Inputs (2)'!AM73+'Inputs (2)'!AM75)/AVERAGE(('Inputs (2)'!AH11+'Inputs (2)'!AH6),('Inputs (2)'!AM11+'Inputs (2)'!AM6))),"")</f>
        <v/>
      </c>
      <c r="AN227" s="32" t="str">
        <f>IFERROR(IF(OR(AVERAGE(('Inputs (2)'!AL11+'Inputs (2)'!AL6),('Inputs (2)'!AN11+'Inputs (2)'!AN6))=0,('Inputs (2)'!AN73+'Inputs (2)'!AN75)=0),"",('Inputs (2)'!AN73+'Inputs (2)'!AN75)*4/AVERAGE(('Inputs (2)'!AL11+'Inputs (2)'!AL6),('Inputs (2)'!AN11+'Inputs (2)'!AN6))),"")</f>
        <v/>
      </c>
      <c r="AO227" s="32" t="str">
        <f>IFERROR(IF(OR(AVERAGE(('Inputs (2)'!AN11+'Inputs (2)'!AN6),('Inputs (2)'!AO11+'Inputs (2)'!AO6))=0,('Inputs (2)'!AO73+'Inputs (2)'!AO75)=0),"",('Inputs (2)'!AO73+'Inputs (2)'!AO75)*4/AVERAGE(('Inputs (2)'!AN11+'Inputs (2)'!AN6),('Inputs (2)'!AO11+'Inputs (2)'!AO6))),"")</f>
        <v/>
      </c>
      <c r="AP227" s="32" t="str">
        <f>IFERROR(IF(OR(AVERAGE(('Inputs (2)'!AO11+'Inputs (2)'!AO6),('Inputs (2)'!AP11+'Inputs (2)'!AP6))=0,('Inputs (2)'!AP73+'Inputs (2)'!AP75)=0),"",('Inputs (2)'!AP73+'Inputs (2)'!AP75)*4/AVERAGE(('Inputs (2)'!AO11+'Inputs (2)'!AO6),('Inputs (2)'!AP11+'Inputs (2)'!AP6))),"")</f>
        <v/>
      </c>
      <c r="AQ227" s="32" t="str">
        <f>IFERROR(IF(OR(AVERAGE(('Inputs (2)'!AP11+'Inputs (2)'!AP6),('Inputs (2)'!AQ11+'Inputs (2)'!AQ6))=0,('Inputs (2)'!AQ73+'Inputs (2)'!AQ75)=0),"",('Inputs (2)'!AQ73+'Inputs (2)'!AQ75)*4/AVERAGE(('Inputs (2)'!AP11+'Inputs (2)'!AP6),('Inputs (2)'!AQ11+'Inputs (2)'!AQ6))),"")</f>
        <v/>
      </c>
      <c r="AR227" s="34" t="str">
        <f>IFERROR(IF(OR(AVERAGE(('Inputs (2)'!AM11+'Inputs (2)'!AM6),('Inputs (2)'!AR11+'Inputs (2)'!AR6))=0,('Inputs (2)'!AR73+'Inputs (2)'!AR75)=0),"",('Inputs (2)'!AR73+'Inputs (2)'!AR75)/AVERAGE(('Inputs (2)'!AM11+'Inputs (2)'!AM6),('Inputs (2)'!AR11+'Inputs (2)'!AR6))),"")</f>
        <v/>
      </c>
      <c r="AS227" s="32" t="str">
        <f>IFERROR(IF(OR(AVERAGE(('Inputs (2)'!AQ11+'Inputs (2)'!AQ6),('Inputs (2)'!AS11+'Inputs (2)'!AS6))=0,('Inputs (2)'!AS73+'Inputs (2)'!AS75)=0),"",('Inputs (2)'!AS73+'Inputs (2)'!AS75)*4/AVERAGE(('Inputs (2)'!AQ11+'Inputs (2)'!AQ6),('Inputs (2)'!AS11+'Inputs (2)'!AS6))),"")</f>
        <v/>
      </c>
      <c r="AT227" s="32" t="str">
        <f>IFERROR(IF(OR(AVERAGE(('Inputs (2)'!AS11+'Inputs (2)'!AS6),('Inputs (2)'!AT11+'Inputs (2)'!AT6))=0,('Inputs (2)'!AT73+'Inputs (2)'!AT75)=0),"",('Inputs (2)'!AT73+'Inputs (2)'!AT75)*4/AVERAGE(('Inputs (2)'!AS11+'Inputs (2)'!AS6),('Inputs (2)'!AT11+'Inputs (2)'!AT6))),"")</f>
        <v/>
      </c>
      <c r="AU227" s="32" t="str">
        <f>IFERROR(IF(OR(AVERAGE(('Inputs (2)'!AT11+'Inputs (2)'!AT6),('Inputs (2)'!AU11+'Inputs (2)'!AU6))=0,('Inputs (2)'!AU73+'Inputs (2)'!AU75)=0),"",('Inputs (2)'!AU73+'Inputs (2)'!AU75)*4/AVERAGE(('Inputs (2)'!AT11+'Inputs (2)'!AT6),('Inputs (2)'!AU11+'Inputs (2)'!AU6))),"")</f>
        <v/>
      </c>
      <c r="AV227" s="32" t="str">
        <f>IFERROR(IF(OR(AVERAGE(('Inputs (2)'!AU11+'Inputs (2)'!AU6),('Inputs (2)'!AV11+'Inputs (2)'!AV6))=0,('Inputs (2)'!AV73+'Inputs (2)'!AV75)=0),"",('Inputs (2)'!AV73+'Inputs (2)'!AV75)*4/AVERAGE(('Inputs (2)'!AU11+'Inputs (2)'!AU6),('Inputs (2)'!AV11+'Inputs (2)'!AV6))),"")</f>
        <v/>
      </c>
      <c r="AW227" s="34" t="str">
        <f>IFERROR(IF(OR(AVERAGE(('Inputs (2)'!AR11+'Inputs (2)'!AR6),('Inputs (2)'!AW11+'Inputs (2)'!AW6))=0,('Inputs (2)'!AW73+'Inputs (2)'!AW75)=0),"",('Inputs (2)'!AW73+'Inputs (2)'!AW75)/AVERAGE(('Inputs (2)'!AR11+'Inputs (2)'!AR6),('Inputs (2)'!AW11+'Inputs (2)'!AW6))),"")</f>
        <v/>
      </c>
      <c r="AX227" s="32" t="str">
        <f>IFERROR(IF(OR(AVERAGE(('Inputs (2)'!AV11+'Inputs (2)'!AV6),('Inputs (2)'!AX11+'Inputs (2)'!AX6))=0,('Inputs (2)'!AX73+'Inputs (2)'!AX75)=0),"",('Inputs (2)'!AX73+'Inputs (2)'!AX75)*4/AVERAGE(('Inputs (2)'!AV11+'Inputs (2)'!AV6),('Inputs (2)'!AX11+'Inputs (2)'!AX6))),"")</f>
        <v/>
      </c>
      <c r="AY227" s="32" t="str">
        <f>IFERROR(IF(OR(AVERAGE(('Inputs (2)'!AX11+'Inputs (2)'!AX6),('Inputs (2)'!AY11+'Inputs (2)'!AY6))=0,('Inputs (2)'!AY73+'Inputs (2)'!AY75)=0),"",('Inputs (2)'!AY73+'Inputs (2)'!AY75)*4/AVERAGE(('Inputs (2)'!AX11+'Inputs (2)'!AX6),('Inputs (2)'!AY11+'Inputs (2)'!AY6))),"")</f>
        <v/>
      </c>
      <c r="AZ227" s="32" t="str">
        <f>IFERROR(IF(OR(AVERAGE(('Inputs (2)'!AY11+'Inputs (2)'!AY6),('Inputs (2)'!AZ11+'Inputs (2)'!AZ6))=0,('Inputs (2)'!AZ73+'Inputs (2)'!AZ75)=0),"",('Inputs (2)'!AZ73+'Inputs (2)'!AZ75)*4/AVERAGE(('Inputs (2)'!AY11+'Inputs (2)'!AY6),('Inputs (2)'!AZ11+'Inputs (2)'!AZ6))),"")</f>
        <v/>
      </c>
      <c r="BA227" s="32" t="str">
        <f>IFERROR(IF(OR(AVERAGE(('Inputs (2)'!AZ11+'Inputs (2)'!AZ6),('Inputs (2)'!BA11+'Inputs (2)'!BA6))=0,('Inputs (2)'!BA73+'Inputs (2)'!BA75)=0),"",('Inputs (2)'!BA73+'Inputs (2)'!BA75)*4/AVERAGE(('Inputs (2)'!AZ11+'Inputs (2)'!AZ6),('Inputs (2)'!BA11+'Inputs (2)'!BA6))),"")</f>
        <v/>
      </c>
      <c r="BB227" s="34" t="str">
        <f>IFERROR(IF(OR(AVERAGE(('Inputs (2)'!AW11+'Inputs (2)'!AW6),('Inputs (2)'!BB11+'Inputs (2)'!BB6))=0,('Inputs (2)'!BB73+'Inputs (2)'!BB75)=0),"",('Inputs (2)'!BB73+'Inputs (2)'!BB75)/AVERAGE(('Inputs (2)'!AW11+'Inputs (2)'!AW6),('Inputs (2)'!BB11+'Inputs (2)'!BB6))),"")</f>
        <v/>
      </c>
      <c r="BC227" s="32" t="str">
        <f>IFERROR(IF(OR(AVERAGE(('Inputs (2)'!BA11+'Inputs (2)'!BA6),('Inputs (2)'!BC11+'Inputs (2)'!BC6))=0,('Inputs (2)'!BC73+'Inputs (2)'!BC75)=0),"",('Inputs (2)'!BC73+'Inputs (2)'!BC75)*4/AVERAGE(('Inputs (2)'!BA11+'Inputs (2)'!BA6),('Inputs (2)'!BC11+'Inputs (2)'!BC6))),"")</f>
        <v/>
      </c>
      <c r="BD227" s="32" t="str">
        <f>IFERROR(IF(OR(AVERAGE(('Inputs (2)'!BC11+'Inputs (2)'!BC6),('Inputs (2)'!BD11+'Inputs (2)'!BD6))=0,('Inputs (2)'!BD73+'Inputs (2)'!BD75)=0),"",('Inputs (2)'!BD73+'Inputs (2)'!BD75)*4/AVERAGE(('Inputs (2)'!BC11+'Inputs (2)'!BC6),('Inputs (2)'!BD11+'Inputs (2)'!BD6))),"")</f>
        <v/>
      </c>
      <c r="BE227" s="32" t="str">
        <f>IFERROR(IF(OR(AVERAGE(('Inputs (2)'!BD11+'Inputs (2)'!BD6),('Inputs (2)'!BE11+'Inputs (2)'!BE6))=0,('Inputs (2)'!BE73+'Inputs (2)'!BE75)=0),"",('Inputs (2)'!BE73+'Inputs (2)'!BE75)*4/AVERAGE(('Inputs (2)'!BD11+'Inputs (2)'!BD6),('Inputs (2)'!BE11+'Inputs (2)'!BE6))),"")</f>
        <v/>
      </c>
      <c r="BF227" s="32" t="str">
        <f>IFERROR(IF(OR(AVERAGE(('Inputs (2)'!BE11+'Inputs (2)'!BE6),('Inputs (2)'!BF11+'Inputs (2)'!BF6))=0,('Inputs (2)'!BF73+'Inputs (2)'!BF75)=0),"",('Inputs (2)'!BF73+'Inputs (2)'!BF75)*4/AVERAGE(('Inputs (2)'!BE11+'Inputs (2)'!BE6),('Inputs (2)'!BF11+'Inputs (2)'!BF6))),"")</f>
        <v/>
      </c>
      <c r="BG227" s="34" t="str">
        <f>IFERROR(IF(OR(AVERAGE(('Inputs (2)'!BB11+'Inputs (2)'!BB6),('Inputs (2)'!BG11+'Inputs (2)'!BG6))=0,('Inputs (2)'!BG73+'Inputs (2)'!BG75)=0),"",('Inputs (2)'!BG73+'Inputs (2)'!BG75)/AVERAGE(('Inputs (2)'!BB11+'Inputs (2)'!BB6),('Inputs (2)'!BG11+'Inputs (2)'!BG6))),"")</f>
        <v/>
      </c>
    </row>
    <row r="228" hidden="1" outlineLevel="1">
      <c r="C228" s="30" t="inlineStr">
        <is>
          <t>Depósitos — crescimento % QoQ</t>
        </is>
      </c>
      <c r="D228" s="12" t="inlineStr">
        <is>
          <t>Deposits growth QoQ</t>
        </is>
      </c>
      <c r="E228" s="31" t="n"/>
      <c r="F228" s="32" t="str">
        <f>IFERROR(IF(('Inputs (2)'!E32)=0,"",('Inputs (2)'!F32)/('Inputs (2)'!E32)-1),"")</f>
        <v/>
      </c>
      <c r="G228" s="32" t="str">
        <f>IFERROR(IF(('Inputs (2)'!F32)=0,"",('Inputs (2)'!G32)/('Inputs (2)'!F32)-1),"")</f>
        <v/>
      </c>
      <c r="H228" s="32" t="str">
        <f>IFERROR(IF(('Inputs (2)'!G32)=0,"",('Inputs (2)'!H32)/('Inputs (2)'!G32)-1),"")</f>
        <v/>
      </c>
      <c r="I228" s="33" t="n"/>
      <c r="J228" s="32" t="str">
        <f>IFERROR(IF(('Inputs (2)'!H32)=0,"",('Inputs (2)'!J32)/('Inputs (2)'!H32)-1),"")</f>
        <v/>
      </c>
      <c r="K228" s="32" t="str">
        <f>IFERROR(IF(('Inputs (2)'!J32)=0,"",('Inputs (2)'!K32)/('Inputs (2)'!J32)-1),"")</f>
        <v/>
      </c>
      <c r="L228" s="32" t="str">
        <f>IFERROR(IF(('Inputs (2)'!K32)=0,"",('Inputs (2)'!L32)/('Inputs (2)'!K32)-1),"")</f>
        <v/>
      </c>
      <c r="M228" s="32" t="str">
        <f>IFERROR(IF(('Inputs (2)'!L32)=0,"",('Inputs (2)'!M32)/('Inputs (2)'!L32)-1),"")</f>
        <v/>
      </c>
      <c r="N228" s="34" t="str">
        <f>IFERROR(IF(('Inputs (2)'!I32)=0,"",('Inputs (2)'!N32)/('Inputs (2)'!I32)-1),"")</f>
        <v/>
      </c>
      <c r="O228" s="32" t="str">
        <f>IFERROR(IF(('Inputs (2)'!M32)=0,"",('Inputs (2)'!O32)/('Inputs (2)'!M32)-1),"")</f>
        <v/>
      </c>
      <c r="P228" s="32" t="str">
        <f>IFERROR(IF(('Inputs (2)'!O32)=0,"",('Inputs (2)'!P32)/('Inputs (2)'!O32)-1),"")</f>
        <v/>
      </c>
      <c r="Q228" s="32" t="str">
        <f>IFERROR(IF(('Inputs (2)'!P32)=0,"",('Inputs (2)'!Q32)/('Inputs (2)'!P32)-1),"")</f>
        <v/>
      </c>
      <c r="R228" s="32" t="str">
        <f>IFERROR(IF(('Inputs (2)'!Q32)=0,"",('Inputs (2)'!R32)/('Inputs (2)'!Q32)-1),"")</f>
        <v/>
      </c>
      <c r="S228" s="34" t="str">
        <f>IFERROR(IF(('Inputs (2)'!N32)=0,"",('Inputs (2)'!S32)/('Inputs (2)'!N32)-1),"")</f>
        <v/>
      </c>
      <c r="T228" s="32" t="str">
        <f>IFERROR(IF(('Inputs (2)'!R32)=0,"",('Inputs (2)'!T32)/('Inputs (2)'!R32)-1),"")</f>
        <v/>
      </c>
      <c r="U228" s="32" t="str">
        <f>IFERROR(IF(('Inputs (2)'!T32)=0,"",('Inputs (2)'!U32)/('Inputs (2)'!T32)-1),"")</f>
        <v/>
      </c>
      <c r="V228" s="32" t="str">
        <f>IFERROR(IF(('Inputs (2)'!U32)=0,"",('Inputs (2)'!V32)/('Inputs (2)'!U32)-1),"")</f>
        <v/>
      </c>
      <c r="W228" s="32" t="str">
        <f>IFERROR(IF(('Inputs (2)'!V32)=0,"",('Inputs (2)'!W32)/('Inputs (2)'!V32)-1),"")</f>
        <v/>
      </c>
      <c r="X228" s="34" t="str">
        <f>IFERROR(IF(('Inputs (2)'!S32)=0,"",('Inputs (2)'!X32)/('Inputs (2)'!S32)-1),"")</f>
        <v/>
      </c>
      <c r="Y228" s="32" t="str">
        <f>IFERROR(IF(('Inputs (2)'!W32)=0,"",('Inputs (2)'!Y32)/('Inputs (2)'!W32)-1),"")</f>
        <v/>
      </c>
      <c r="Z228" s="32" t="str">
        <f>IFERROR(IF(('Inputs (2)'!Y32)=0,"",('Inputs (2)'!Z32)/('Inputs (2)'!Y32)-1),"")</f>
        <v/>
      </c>
      <c r="AA228" s="32" t="str">
        <f>IFERROR(IF(('Inputs (2)'!Z32)=0,"",('Inputs (2)'!AA32)/('Inputs (2)'!Z32)-1),"")</f>
        <v/>
      </c>
      <c r="AB228" s="32" t="str">
        <f>IFERROR(IF(('Inputs (2)'!AA32)=0,"",('Inputs (2)'!AB32)/('Inputs (2)'!AA32)-1),"")</f>
        <v/>
      </c>
      <c r="AC228" s="34" t="str">
        <f>IFERROR(IF(('Inputs (2)'!X32)=0,"",('Inputs (2)'!AC32)/('Inputs (2)'!X32)-1),"")</f>
        <v/>
      </c>
      <c r="AD228" s="32" t="str">
        <f>IFERROR(IF(('Inputs (2)'!AB32)=0,"",('Inputs (2)'!AD32)/('Inputs (2)'!AB32)-1),"")</f>
        <v/>
      </c>
      <c r="AE228" s="32" t="str">
        <f>IFERROR(IF(('Inputs (2)'!AD32)=0,"",('Inputs (2)'!AE32)/('Inputs (2)'!AD32)-1),"")</f>
        <v/>
      </c>
      <c r="AF228" s="32" t="str">
        <f>IFERROR(IF(('Inputs (2)'!AE32)=0,"",('Inputs (2)'!AF32)/('Inputs (2)'!AE32)-1),"")</f>
        <v/>
      </c>
      <c r="AG228" s="32" t="str">
        <f>IFERROR(IF(('Inputs (2)'!AF32)=0,"",('Inputs (2)'!AG32)/('Inputs (2)'!AF32)-1),"")</f>
        <v/>
      </c>
      <c r="AH228" s="34" t="str">
        <f>IFERROR(IF(('Inputs (2)'!AC32)=0,"",('Inputs (2)'!AH32)/('Inputs (2)'!AC32)-1),"")</f>
        <v/>
      </c>
      <c r="AI228" s="32" t="str">
        <f>IFERROR(IF(('Inputs (2)'!AG32)=0,"",('Inputs (2)'!AI32)/('Inputs (2)'!AG32)-1),"")</f>
        <v/>
      </c>
      <c r="AJ228" s="32" t="str">
        <f>IFERROR(IF(('Inputs (2)'!AI32)=0,"",('Inputs (2)'!AJ32)/('Inputs (2)'!AI32)-1),"")</f>
        <v/>
      </c>
      <c r="AK228" s="32" t="str">
        <f>IFERROR(IF(('Inputs (2)'!AJ32)=0,"",('Inputs (2)'!AK32)/('Inputs (2)'!AJ32)-1),"")</f>
        <v/>
      </c>
      <c r="AL228" s="32" t="str">
        <f>IFERROR(IF(('Inputs (2)'!AK32)=0,"",('Inputs (2)'!AL32)/('Inputs (2)'!AK32)-1),"")</f>
        <v/>
      </c>
      <c r="AM228" s="34" t="str">
        <f>IFERROR(IF(('Inputs (2)'!AH32)=0,"",('Inputs (2)'!AM32)/('Inputs (2)'!AH32)-1),"")</f>
        <v/>
      </c>
      <c r="AN228" s="32" t="str">
        <f>IFERROR(IF(('Inputs (2)'!AL32)=0,"",('Inputs (2)'!AN32)/('Inputs (2)'!AL32)-1),"")</f>
        <v/>
      </c>
      <c r="AO228" s="32" t="str">
        <f>IFERROR(IF(('Inputs (2)'!AN32)=0,"",('Inputs (2)'!AO32)/('Inputs (2)'!AN32)-1),"")</f>
        <v/>
      </c>
      <c r="AP228" s="32" t="str">
        <f>IFERROR(IF(('Inputs (2)'!AO32)=0,"",('Inputs (2)'!AP32)/('Inputs (2)'!AO32)-1),"")</f>
        <v/>
      </c>
      <c r="AQ228" s="32" t="str">
        <f>IFERROR(IF(('Inputs (2)'!AP32)=0,"",('Inputs (2)'!AQ32)/('Inputs (2)'!AP32)-1),"")</f>
        <v/>
      </c>
      <c r="AR228" s="34" t="str">
        <f>IFERROR(IF(('Inputs (2)'!AM32)=0,"",('Inputs (2)'!AR32)/('Inputs (2)'!AM32)-1),"")</f>
        <v/>
      </c>
      <c r="AS228" s="32" t="str">
        <f>IFERROR(IF(('Inputs (2)'!AQ32)=0,"",('Inputs (2)'!AS32)/('Inputs (2)'!AQ32)-1),"")</f>
        <v/>
      </c>
      <c r="AT228" s="32" t="str">
        <f>IFERROR(IF(('Inputs (2)'!AS32)=0,"",('Inputs (2)'!AT32)/('Inputs (2)'!AS32)-1),"")</f>
        <v/>
      </c>
      <c r="AU228" s="32" t="str">
        <f>IFERROR(IF(('Inputs (2)'!AT32)=0,"",('Inputs (2)'!AU32)/('Inputs (2)'!AT32)-1),"")</f>
        <v/>
      </c>
      <c r="AV228" s="32" t="str">
        <f>IFERROR(IF(('Inputs (2)'!AU32)=0,"",('Inputs (2)'!AV32)/('Inputs (2)'!AU32)-1),"")</f>
        <v/>
      </c>
      <c r="AW228" s="34" t="str">
        <f>IFERROR(IF(('Inputs (2)'!AR32)=0,"",('Inputs (2)'!AW32)/('Inputs (2)'!AR32)-1),"")</f>
        <v/>
      </c>
      <c r="AX228" s="32" t="str">
        <f>IFERROR(IF(('Inputs (2)'!AV32)=0,"",('Inputs (2)'!AX32)/('Inputs (2)'!AV32)-1),"")</f>
        <v/>
      </c>
      <c r="AY228" s="32" t="str">
        <f>IFERROR(IF(('Inputs (2)'!AX32)=0,"",('Inputs (2)'!AY32)/('Inputs (2)'!AX32)-1),"")</f>
        <v/>
      </c>
      <c r="AZ228" s="32" t="str">
        <f>IFERROR(IF(('Inputs (2)'!AY32)=0,"",('Inputs (2)'!AZ32)/('Inputs (2)'!AY32)-1),"")</f>
        <v/>
      </c>
      <c r="BA228" s="32" t="str">
        <f>IFERROR(IF(('Inputs (2)'!AZ32)=0,"",('Inputs (2)'!BA32)/('Inputs (2)'!AZ32)-1),"")</f>
        <v/>
      </c>
      <c r="BB228" s="34" t="str">
        <f>IFERROR(IF(('Inputs (2)'!AW32)=0,"",('Inputs (2)'!BB32)/('Inputs (2)'!AW32)-1),"")</f>
        <v/>
      </c>
      <c r="BC228" s="32" t="str">
        <f>IFERROR(IF(('Inputs (2)'!BA32)=0,"",('Inputs (2)'!BC32)/('Inputs (2)'!BA32)-1),"")</f>
        <v/>
      </c>
      <c r="BD228" s="32" t="str">
        <f>IFERROR(IF(('Inputs (2)'!BC32)=0,"",('Inputs (2)'!BD32)/('Inputs (2)'!BC32)-1),"")</f>
        <v/>
      </c>
      <c r="BE228" s="32" t="str">
        <f>IFERROR(IF(('Inputs (2)'!BD32)=0,"",('Inputs (2)'!BE32)/('Inputs (2)'!BD32)-1),"")</f>
        <v/>
      </c>
      <c r="BF228" s="32" t="str">
        <f>IFERROR(IF(('Inputs (2)'!BE32)=0,"",('Inputs (2)'!BF32)/('Inputs (2)'!BE32)-1),"")</f>
        <v/>
      </c>
      <c r="BG228" s="34" t="str">
        <f>IFERROR(IF(('Inputs (2)'!BB32)=0,"",('Inputs (2)'!BG32)/('Inputs (2)'!BB32)-1),"")</f>
        <v/>
      </c>
    </row>
    <row r="229" hidden="1" outlineLevel="1">
      <c r="C229" s="30" t="inlineStr">
        <is>
          <t>Instrumentos de dívida — crescimento % QoQ</t>
        </is>
      </c>
      <c r="D229" s="12" t="inlineStr">
        <is>
          <t>Debt growth QoQ</t>
        </is>
      </c>
      <c r="E229" s="31" t="n"/>
      <c r="F229" s="32" t="str">
        <f>IFERROR(IF(('Inputs (2)'!E42)=0,"",('Inputs (2)'!F42)/('Inputs (2)'!E42)-1),"")</f>
        <v/>
      </c>
      <c r="G229" s="32" t="str">
        <f>IFERROR(IF(('Inputs (2)'!F42)=0,"",('Inputs (2)'!G42)/('Inputs (2)'!F42)-1),"")</f>
        <v/>
      </c>
      <c r="H229" s="32" t="str">
        <f>IFERROR(IF(('Inputs (2)'!G42)=0,"",('Inputs (2)'!H42)/('Inputs (2)'!G42)-1),"")</f>
        <v/>
      </c>
      <c r="I229" s="33" t="n"/>
      <c r="J229" s="32" t="str">
        <f>IFERROR(IF(('Inputs (2)'!H42)=0,"",('Inputs (2)'!J42)/('Inputs (2)'!H42)-1),"")</f>
        <v/>
      </c>
      <c r="K229" s="32" t="str">
        <f>IFERROR(IF(('Inputs (2)'!J42)=0,"",('Inputs (2)'!K42)/('Inputs (2)'!J42)-1),"")</f>
        <v/>
      </c>
      <c r="L229" s="32" t="str">
        <f>IFERROR(IF(('Inputs (2)'!K42)=0,"",('Inputs (2)'!L42)/('Inputs (2)'!K42)-1),"")</f>
        <v/>
      </c>
      <c r="M229" s="32" t="str">
        <f>IFERROR(IF(('Inputs (2)'!L42)=0,"",('Inputs (2)'!M42)/('Inputs (2)'!L42)-1),"")</f>
        <v/>
      </c>
      <c r="N229" s="34" t="str">
        <f>IFERROR(IF(('Inputs (2)'!I42)=0,"",('Inputs (2)'!N42)/('Inputs (2)'!I42)-1),"")</f>
        <v/>
      </c>
      <c r="O229" s="32" t="str">
        <f>IFERROR(IF(('Inputs (2)'!M42)=0,"",('Inputs (2)'!O42)/('Inputs (2)'!M42)-1),"")</f>
        <v/>
      </c>
      <c r="P229" s="32" t="str">
        <f>IFERROR(IF(('Inputs (2)'!O42)=0,"",('Inputs (2)'!P42)/('Inputs (2)'!O42)-1),"")</f>
        <v/>
      </c>
      <c r="Q229" s="32" t="str">
        <f>IFERROR(IF(('Inputs (2)'!P42)=0,"",('Inputs (2)'!Q42)/('Inputs (2)'!P42)-1),"")</f>
        <v/>
      </c>
      <c r="R229" s="32" t="str">
        <f>IFERROR(IF(('Inputs (2)'!Q42)=0,"",('Inputs (2)'!R42)/('Inputs (2)'!Q42)-1),"")</f>
        <v/>
      </c>
      <c r="S229" s="34" t="str">
        <f>IFERROR(IF(('Inputs (2)'!N42)=0,"",('Inputs (2)'!S42)/('Inputs (2)'!N42)-1),"")</f>
        <v/>
      </c>
      <c r="T229" s="32" t="str">
        <f>IFERROR(IF(('Inputs (2)'!R42)=0,"",('Inputs (2)'!T42)/('Inputs (2)'!R42)-1),"")</f>
        <v/>
      </c>
      <c r="U229" s="32" t="str">
        <f>IFERROR(IF(('Inputs (2)'!T42)=0,"",('Inputs (2)'!U42)/('Inputs (2)'!T42)-1),"")</f>
        <v/>
      </c>
      <c r="V229" s="32" t="str">
        <f>IFERROR(IF(('Inputs (2)'!U42)=0,"",('Inputs (2)'!V42)/('Inputs (2)'!U42)-1),"")</f>
        <v/>
      </c>
      <c r="W229" s="32" t="str">
        <f>IFERROR(IF(('Inputs (2)'!V42)=0,"",('Inputs (2)'!W42)/('Inputs (2)'!V42)-1),"")</f>
        <v/>
      </c>
      <c r="X229" s="34" t="str">
        <f>IFERROR(IF(('Inputs (2)'!S42)=0,"",('Inputs (2)'!X42)/('Inputs (2)'!S42)-1),"")</f>
        <v/>
      </c>
      <c r="Y229" s="32" t="str">
        <f>IFERROR(IF(('Inputs (2)'!W42)=0,"",('Inputs (2)'!Y42)/('Inputs (2)'!W42)-1),"")</f>
        <v/>
      </c>
      <c r="Z229" s="32" t="str">
        <f>IFERROR(IF(('Inputs (2)'!Y42)=0,"",('Inputs (2)'!Z42)/('Inputs (2)'!Y42)-1),"")</f>
        <v/>
      </c>
      <c r="AA229" s="32" t="str">
        <f>IFERROR(IF(('Inputs (2)'!Z42)=0,"",('Inputs (2)'!AA42)/('Inputs (2)'!Z42)-1),"")</f>
        <v/>
      </c>
      <c r="AB229" s="32" t="str">
        <f>IFERROR(IF(('Inputs (2)'!AA42)=0,"",('Inputs (2)'!AB42)/('Inputs (2)'!AA42)-1),"")</f>
        <v/>
      </c>
      <c r="AC229" s="34" t="str">
        <f>IFERROR(IF(('Inputs (2)'!X42)=0,"",('Inputs (2)'!AC42)/('Inputs (2)'!X42)-1),"")</f>
        <v/>
      </c>
      <c r="AD229" s="32" t="str">
        <f>IFERROR(IF(('Inputs (2)'!AB42)=0,"",('Inputs (2)'!AD42)/('Inputs (2)'!AB42)-1),"")</f>
        <v/>
      </c>
      <c r="AE229" s="32" t="str">
        <f>IFERROR(IF(('Inputs (2)'!AD42)=0,"",('Inputs (2)'!AE42)/('Inputs (2)'!AD42)-1),"")</f>
        <v/>
      </c>
      <c r="AF229" s="32" t="str">
        <f>IFERROR(IF(('Inputs (2)'!AE42)=0,"",('Inputs (2)'!AF42)/('Inputs (2)'!AE42)-1),"")</f>
        <v/>
      </c>
      <c r="AG229" s="32" t="str">
        <f>IFERROR(IF(('Inputs (2)'!AF42)=0,"",('Inputs (2)'!AG42)/('Inputs (2)'!AF42)-1),"")</f>
        <v/>
      </c>
      <c r="AH229" s="34" t="str">
        <f>IFERROR(IF(('Inputs (2)'!AC42)=0,"",('Inputs (2)'!AH42)/('Inputs (2)'!AC42)-1),"")</f>
        <v/>
      </c>
      <c r="AI229" s="32" t="str">
        <f>IFERROR(IF(('Inputs (2)'!AG42)=0,"",('Inputs (2)'!AI42)/('Inputs (2)'!AG42)-1),"")</f>
        <v/>
      </c>
      <c r="AJ229" s="32" t="str">
        <f>IFERROR(IF(('Inputs (2)'!AI42)=0,"",('Inputs (2)'!AJ42)/('Inputs (2)'!AI42)-1),"")</f>
        <v/>
      </c>
      <c r="AK229" s="32" t="str">
        <f>IFERROR(IF(('Inputs (2)'!AJ42)=0,"",('Inputs (2)'!AK42)/('Inputs (2)'!AJ42)-1),"")</f>
        <v/>
      </c>
      <c r="AL229" s="32" t="str">
        <f>IFERROR(IF(('Inputs (2)'!AK42)=0,"",('Inputs (2)'!AL42)/('Inputs (2)'!AK42)-1),"")</f>
        <v/>
      </c>
      <c r="AM229" s="34" t="str">
        <f>IFERROR(IF(('Inputs (2)'!AH42)=0,"",('Inputs (2)'!AM42)/('Inputs (2)'!AH42)-1),"")</f>
        <v/>
      </c>
      <c r="AN229" s="32" t="str">
        <f>IFERROR(IF(('Inputs (2)'!AL42)=0,"",('Inputs (2)'!AN42)/('Inputs (2)'!AL42)-1),"")</f>
        <v/>
      </c>
      <c r="AO229" s="32" t="str">
        <f>IFERROR(IF(('Inputs (2)'!AN42)=0,"",('Inputs (2)'!AO42)/('Inputs (2)'!AN42)-1),"")</f>
        <v/>
      </c>
      <c r="AP229" s="32" t="str">
        <f>IFERROR(IF(('Inputs (2)'!AO42)=0,"",('Inputs (2)'!AP42)/('Inputs (2)'!AO42)-1),"")</f>
        <v/>
      </c>
      <c r="AQ229" s="32" t="str">
        <f>IFERROR(IF(('Inputs (2)'!AP42)=0,"",('Inputs (2)'!AQ42)/('Inputs (2)'!AP42)-1),"")</f>
        <v/>
      </c>
      <c r="AR229" s="34" t="str">
        <f>IFERROR(IF(('Inputs (2)'!AM42)=0,"",('Inputs (2)'!AR42)/('Inputs (2)'!AM42)-1),"")</f>
        <v/>
      </c>
      <c r="AS229" s="32" t="str">
        <f>IFERROR(IF(('Inputs (2)'!AQ42)=0,"",('Inputs (2)'!AS42)/('Inputs (2)'!AQ42)-1),"")</f>
        <v/>
      </c>
      <c r="AT229" s="32" t="str">
        <f>IFERROR(IF(('Inputs (2)'!AS42)=0,"",('Inputs (2)'!AT42)/('Inputs (2)'!AS42)-1),"")</f>
        <v/>
      </c>
      <c r="AU229" s="32" t="str">
        <f>IFERROR(IF(('Inputs (2)'!AT42)=0,"",('Inputs (2)'!AU42)/('Inputs (2)'!AT42)-1),"")</f>
        <v/>
      </c>
      <c r="AV229" s="32" t="str">
        <f>IFERROR(IF(('Inputs (2)'!AU42)=0,"",('Inputs (2)'!AV42)/('Inputs (2)'!AU42)-1),"")</f>
        <v/>
      </c>
      <c r="AW229" s="34" t="str">
        <f>IFERROR(IF(('Inputs (2)'!AR42)=0,"",('Inputs (2)'!AW42)/('Inputs (2)'!AR42)-1),"")</f>
        <v/>
      </c>
      <c r="AX229" s="32" t="str">
        <f>IFERROR(IF(('Inputs (2)'!AV42)=0,"",('Inputs (2)'!AX42)/('Inputs (2)'!AV42)-1),"")</f>
        <v/>
      </c>
      <c r="AY229" s="32" t="str">
        <f>IFERROR(IF(('Inputs (2)'!AX42)=0,"",('Inputs (2)'!AY42)/('Inputs (2)'!AX42)-1),"")</f>
        <v/>
      </c>
      <c r="AZ229" s="32" t="str">
        <f>IFERROR(IF(('Inputs (2)'!AY42)=0,"",('Inputs (2)'!AZ42)/('Inputs (2)'!AY42)-1),"")</f>
        <v/>
      </c>
      <c r="BA229" s="32" t="str">
        <f>IFERROR(IF(('Inputs (2)'!AZ42)=0,"",('Inputs (2)'!BA42)/('Inputs (2)'!AZ42)-1),"")</f>
        <v/>
      </c>
      <c r="BB229" s="34" t="str">
        <f>IFERROR(IF(('Inputs (2)'!AW42)=0,"",('Inputs (2)'!BB42)/('Inputs (2)'!AW42)-1),"")</f>
        <v/>
      </c>
      <c r="BC229" s="32" t="str">
        <f>IFERROR(IF(('Inputs (2)'!BA42)=0,"",('Inputs (2)'!BC42)/('Inputs (2)'!BA42)-1),"")</f>
        <v/>
      </c>
      <c r="BD229" s="32" t="str">
        <f>IFERROR(IF(('Inputs (2)'!BC42)=0,"",('Inputs (2)'!BD42)/('Inputs (2)'!BC42)-1),"")</f>
        <v/>
      </c>
      <c r="BE229" s="32" t="str">
        <f>IFERROR(IF(('Inputs (2)'!BD42)=0,"",('Inputs (2)'!BE42)/('Inputs (2)'!BD42)-1),"")</f>
        <v/>
      </c>
      <c r="BF229" s="32" t="str">
        <f>IFERROR(IF(('Inputs (2)'!BE42)=0,"",('Inputs (2)'!BF42)/('Inputs (2)'!BE42)-1),"")</f>
        <v/>
      </c>
      <c r="BG229" s="34" t="str">
        <f>IFERROR(IF(('Inputs (2)'!BB42)=0,"",('Inputs (2)'!BG42)/('Inputs (2)'!BB42)-1),"")</f>
        <v/>
      </c>
    </row>
    <row r="230" hidden="1" outlineLevel="1">
      <c r="C230" s="30" t="inlineStr">
        <is>
          <t>Empréstimos e repasses — crescimento % QoQ</t>
        </is>
      </c>
      <c r="D230" s="12" t="inlineStr">
        <is>
          <t>Borrowings growth QoQ</t>
        </is>
      </c>
      <c r="E230" s="31" t="n"/>
      <c r="F230" s="32" t="str">
        <f>IFERROR(IF(('Inputs (2)'!E47)=0,"",('Inputs (2)'!F47)/('Inputs (2)'!E47)-1),"")</f>
        <v/>
      </c>
      <c r="G230" s="32" t="str">
        <f>IFERROR(IF(('Inputs (2)'!F47)=0,"",('Inputs (2)'!G47)/('Inputs (2)'!F47)-1),"")</f>
        <v/>
      </c>
      <c r="H230" s="32" t="str">
        <f>IFERROR(IF(('Inputs (2)'!G47)=0,"",('Inputs (2)'!H47)/('Inputs (2)'!G47)-1),"")</f>
        <v/>
      </c>
      <c r="I230" s="33" t="n"/>
      <c r="J230" s="32" t="str">
        <f>IFERROR(IF(('Inputs (2)'!H47)=0,"",('Inputs (2)'!J47)/('Inputs (2)'!H47)-1),"")</f>
        <v/>
      </c>
      <c r="K230" s="32" t="str">
        <f>IFERROR(IF(('Inputs (2)'!J47)=0,"",('Inputs (2)'!K47)/('Inputs (2)'!J47)-1),"")</f>
        <v/>
      </c>
      <c r="L230" s="32" t="str">
        <f>IFERROR(IF(('Inputs (2)'!K47)=0,"",('Inputs (2)'!L47)/('Inputs (2)'!K47)-1),"")</f>
        <v/>
      </c>
      <c r="M230" s="32" t="str">
        <f>IFERROR(IF(('Inputs (2)'!L47)=0,"",('Inputs (2)'!M47)/('Inputs (2)'!L47)-1),"")</f>
        <v/>
      </c>
      <c r="N230" s="34" t="str">
        <f>IFERROR(IF(('Inputs (2)'!I47)=0,"",('Inputs (2)'!N47)/('Inputs (2)'!I47)-1),"")</f>
        <v/>
      </c>
      <c r="O230" s="32" t="str">
        <f>IFERROR(IF(('Inputs (2)'!M47)=0,"",('Inputs (2)'!O47)/('Inputs (2)'!M47)-1),"")</f>
        <v/>
      </c>
      <c r="P230" s="32" t="str">
        <f>IFERROR(IF(('Inputs (2)'!O47)=0,"",('Inputs (2)'!P47)/('Inputs (2)'!O47)-1),"")</f>
        <v/>
      </c>
      <c r="Q230" s="32" t="str">
        <f>IFERROR(IF(('Inputs (2)'!P47)=0,"",('Inputs (2)'!Q47)/('Inputs (2)'!P47)-1),"")</f>
        <v/>
      </c>
      <c r="R230" s="32" t="str">
        <f>IFERROR(IF(('Inputs (2)'!Q47)=0,"",('Inputs (2)'!R47)/('Inputs (2)'!Q47)-1),"")</f>
        <v/>
      </c>
      <c r="S230" s="34" t="str">
        <f>IFERROR(IF(('Inputs (2)'!N47)=0,"",('Inputs (2)'!S47)/('Inputs (2)'!N47)-1),"")</f>
        <v/>
      </c>
      <c r="T230" s="32" t="str">
        <f>IFERROR(IF(('Inputs (2)'!R47)=0,"",('Inputs (2)'!T47)/('Inputs (2)'!R47)-1),"")</f>
        <v/>
      </c>
      <c r="U230" s="32" t="str">
        <f>IFERROR(IF(('Inputs (2)'!T47)=0,"",('Inputs (2)'!U47)/('Inputs (2)'!T47)-1),"")</f>
        <v/>
      </c>
      <c r="V230" s="32" t="str">
        <f>IFERROR(IF(('Inputs (2)'!U47)=0,"",('Inputs (2)'!V47)/('Inputs (2)'!U47)-1),"")</f>
        <v/>
      </c>
      <c r="W230" s="32" t="str">
        <f>IFERROR(IF(('Inputs (2)'!V47)=0,"",('Inputs (2)'!W47)/('Inputs (2)'!V47)-1),"")</f>
        <v/>
      </c>
      <c r="X230" s="34" t="str">
        <f>IFERROR(IF(('Inputs (2)'!S47)=0,"",('Inputs (2)'!X47)/('Inputs (2)'!S47)-1),"")</f>
        <v/>
      </c>
      <c r="Y230" s="32" t="str">
        <f>IFERROR(IF(('Inputs (2)'!W47)=0,"",('Inputs (2)'!Y47)/('Inputs (2)'!W47)-1),"")</f>
        <v/>
      </c>
      <c r="Z230" s="32" t="str">
        <f>IFERROR(IF(('Inputs (2)'!Y47)=0,"",('Inputs (2)'!Z47)/('Inputs (2)'!Y47)-1),"")</f>
        <v/>
      </c>
      <c r="AA230" s="32" t="str">
        <f>IFERROR(IF(('Inputs (2)'!Z47)=0,"",('Inputs (2)'!AA47)/('Inputs (2)'!Z47)-1),"")</f>
        <v/>
      </c>
      <c r="AB230" s="32" t="str">
        <f>IFERROR(IF(('Inputs (2)'!AA47)=0,"",('Inputs (2)'!AB47)/('Inputs (2)'!AA47)-1),"")</f>
        <v/>
      </c>
      <c r="AC230" s="34" t="str">
        <f>IFERROR(IF(('Inputs (2)'!X47)=0,"",('Inputs (2)'!AC47)/('Inputs (2)'!X47)-1),"")</f>
        <v/>
      </c>
      <c r="AD230" s="32" t="str">
        <f>IFERROR(IF(('Inputs (2)'!AB47)=0,"",('Inputs (2)'!AD47)/('Inputs (2)'!AB47)-1),"")</f>
        <v/>
      </c>
      <c r="AE230" s="32" t="str">
        <f>IFERROR(IF(('Inputs (2)'!AD47)=0,"",('Inputs (2)'!AE47)/('Inputs (2)'!AD47)-1),"")</f>
        <v/>
      </c>
      <c r="AF230" s="32" t="str">
        <f>IFERROR(IF(('Inputs (2)'!AE47)=0,"",('Inputs (2)'!AF47)/('Inputs (2)'!AE47)-1),"")</f>
        <v/>
      </c>
      <c r="AG230" s="32" t="str">
        <f>IFERROR(IF(('Inputs (2)'!AF47)=0,"",('Inputs (2)'!AG47)/('Inputs (2)'!AF47)-1),"")</f>
        <v/>
      </c>
      <c r="AH230" s="34" t="str">
        <f>IFERROR(IF(('Inputs (2)'!AC47)=0,"",('Inputs (2)'!AH47)/('Inputs (2)'!AC47)-1),"")</f>
        <v/>
      </c>
      <c r="AI230" s="32" t="str">
        <f>IFERROR(IF(('Inputs (2)'!AG47)=0,"",('Inputs (2)'!AI47)/('Inputs (2)'!AG47)-1),"")</f>
        <v/>
      </c>
      <c r="AJ230" s="32" t="str">
        <f>IFERROR(IF(('Inputs (2)'!AI47)=0,"",('Inputs (2)'!AJ47)/('Inputs (2)'!AI47)-1),"")</f>
        <v/>
      </c>
      <c r="AK230" s="32" t="str">
        <f>IFERROR(IF(('Inputs (2)'!AJ47)=0,"",('Inputs (2)'!AK47)/('Inputs (2)'!AJ47)-1),"")</f>
        <v/>
      </c>
      <c r="AL230" s="32" t="str">
        <f>IFERROR(IF(('Inputs (2)'!AK47)=0,"",('Inputs (2)'!AL47)/('Inputs (2)'!AK47)-1),"")</f>
        <v/>
      </c>
      <c r="AM230" s="34" t="str">
        <f>IFERROR(IF(('Inputs (2)'!AH47)=0,"",('Inputs (2)'!AM47)/('Inputs (2)'!AH47)-1),"")</f>
        <v/>
      </c>
      <c r="AN230" s="32" t="str">
        <f>IFERROR(IF(('Inputs (2)'!AL47)=0,"",('Inputs (2)'!AN47)/('Inputs (2)'!AL47)-1),"")</f>
        <v/>
      </c>
      <c r="AO230" s="32" t="str">
        <f>IFERROR(IF(('Inputs (2)'!AN47)=0,"",('Inputs (2)'!AO47)/('Inputs (2)'!AN47)-1),"")</f>
        <v/>
      </c>
      <c r="AP230" s="32" t="str">
        <f>IFERROR(IF(('Inputs (2)'!AO47)=0,"",('Inputs (2)'!AP47)/('Inputs (2)'!AO47)-1),"")</f>
        <v/>
      </c>
      <c r="AQ230" s="32" t="str">
        <f>IFERROR(IF(('Inputs (2)'!AP47)=0,"",('Inputs (2)'!AQ47)/('Inputs (2)'!AP47)-1),"")</f>
        <v/>
      </c>
      <c r="AR230" s="34" t="str">
        <f>IFERROR(IF(('Inputs (2)'!AM47)=0,"",('Inputs (2)'!AR47)/('Inputs (2)'!AM47)-1),"")</f>
        <v/>
      </c>
      <c r="AS230" s="32" t="str">
        <f>IFERROR(IF(('Inputs (2)'!AQ47)=0,"",('Inputs (2)'!AS47)/('Inputs (2)'!AQ47)-1),"")</f>
        <v/>
      </c>
      <c r="AT230" s="32" t="str">
        <f>IFERROR(IF(('Inputs (2)'!AS47)=0,"",('Inputs (2)'!AT47)/('Inputs (2)'!AS47)-1),"")</f>
        <v/>
      </c>
      <c r="AU230" s="32" t="str">
        <f>IFERROR(IF(('Inputs (2)'!AT47)=0,"",('Inputs (2)'!AU47)/('Inputs (2)'!AT47)-1),"")</f>
        <v/>
      </c>
      <c r="AV230" s="32" t="str">
        <f>IFERROR(IF(('Inputs (2)'!AU47)=0,"",('Inputs (2)'!AV47)/('Inputs (2)'!AU47)-1),"")</f>
        <v/>
      </c>
      <c r="AW230" s="34" t="str">
        <f>IFERROR(IF(('Inputs (2)'!AR47)=0,"",('Inputs (2)'!AW47)/('Inputs (2)'!AR47)-1),"")</f>
        <v/>
      </c>
      <c r="AX230" s="32" t="str">
        <f>IFERROR(IF(('Inputs (2)'!AV47)=0,"",('Inputs (2)'!AX47)/('Inputs (2)'!AV47)-1),"")</f>
        <v/>
      </c>
      <c r="AY230" s="32" t="str">
        <f>IFERROR(IF(('Inputs (2)'!AX47)=0,"",('Inputs (2)'!AY47)/('Inputs (2)'!AX47)-1),"")</f>
        <v/>
      </c>
      <c r="AZ230" s="32" t="str">
        <f>IFERROR(IF(('Inputs (2)'!AY47)=0,"",('Inputs (2)'!AZ47)/('Inputs (2)'!AY47)-1),"")</f>
        <v/>
      </c>
      <c r="BA230" s="32" t="str">
        <f>IFERROR(IF(('Inputs (2)'!AZ47)=0,"",('Inputs (2)'!BA47)/('Inputs (2)'!AZ47)-1),"")</f>
        <v/>
      </c>
      <c r="BB230" s="34" t="str">
        <f>IFERROR(IF(('Inputs (2)'!AW47)=0,"",('Inputs (2)'!BB47)/('Inputs (2)'!AW47)-1),"")</f>
        <v/>
      </c>
      <c r="BC230" s="32" t="str">
        <f>IFERROR(IF(('Inputs (2)'!BA47)=0,"",('Inputs (2)'!BC47)/('Inputs (2)'!BA47)-1),"")</f>
        <v/>
      </c>
      <c r="BD230" s="32" t="str">
        <f>IFERROR(IF(('Inputs (2)'!BC47)=0,"",('Inputs (2)'!BD47)/('Inputs (2)'!BC47)-1),"")</f>
        <v/>
      </c>
      <c r="BE230" s="32" t="str">
        <f>IFERROR(IF(('Inputs (2)'!BD47)=0,"",('Inputs (2)'!BE47)/('Inputs (2)'!BD47)-1),"")</f>
        <v/>
      </c>
      <c r="BF230" s="32" t="str">
        <f>IFERROR(IF(('Inputs (2)'!BE47)=0,"",('Inputs (2)'!BF47)/('Inputs (2)'!BE47)-1),"")</f>
        <v/>
      </c>
      <c r="BG230" s="34" t="str">
        <f>IFERROR(IF(('Inputs (2)'!BB47)=0,"",('Inputs (2)'!BG47)/('Inputs (2)'!BB47)-1),"")</f>
        <v/>
      </c>
    </row>
    <row r="231" hidden="1" outlineLevel="1">
      <c r="C231" s="30" t="inlineStr">
        <is>
          <t>Custo médio do funding (% a.a.)</t>
        </is>
      </c>
      <c r="D231" s="12" t="inlineStr">
        <is>
          <t>Cost of funding</t>
        </is>
      </c>
      <c r="E231" s="32" t="str">
        <f>IFERROR(IF(OR(ABS(('Inputs (2)'!E32+'Inputs (2)'!E38+'Inputs (2)'!E42+'Inputs (2)'!E47))=0,('Inputs (2)'!E76)=0),"",ABS('Inputs (2)'!E76)*4/ABS(('Inputs (2)'!E32+'Inputs (2)'!E38+'Inputs (2)'!E42+'Inputs (2)'!E47))),"")</f>
        <v/>
      </c>
      <c r="F231" s="32" t="str">
        <f>IFERROR(IF(OR(ABS(AVERAGE(('Inputs (2)'!E32+'Inputs (2)'!E38+'Inputs (2)'!E42+'Inputs (2)'!E47),('Inputs (2)'!F32+'Inputs (2)'!F38+'Inputs (2)'!F42+'Inputs (2)'!F47)))=0,('Inputs (2)'!F76)=0),"",ABS('Inputs (2)'!F76)*4/ABS(AVERAGE(('Inputs (2)'!E32+'Inputs (2)'!E38+'Inputs (2)'!E42+'Inputs (2)'!E47),('Inputs (2)'!F32+'Inputs (2)'!F38+'Inputs (2)'!F42+'Inputs (2)'!F47)))),"")</f>
        <v/>
      </c>
      <c r="G231" s="32" t="str">
        <f>IFERROR(IF(OR(ABS(AVERAGE(('Inputs (2)'!F32+'Inputs (2)'!F38+'Inputs (2)'!F42+'Inputs (2)'!F47),('Inputs (2)'!G32+'Inputs (2)'!G38+'Inputs (2)'!G42+'Inputs (2)'!G47)))=0,('Inputs (2)'!G76)=0),"",ABS('Inputs (2)'!G76)*4/ABS(AVERAGE(('Inputs (2)'!F32+'Inputs (2)'!F38+'Inputs (2)'!F42+'Inputs (2)'!F47),('Inputs (2)'!G32+'Inputs (2)'!G38+'Inputs (2)'!G42+'Inputs (2)'!G47)))),"")</f>
        <v/>
      </c>
      <c r="H231" s="32" t="str">
        <f>IFERROR(IF(OR(ABS(AVERAGE(('Inputs (2)'!G32+'Inputs (2)'!G38+'Inputs (2)'!G42+'Inputs (2)'!G47),('Inputs (2)'!H32+'Inputs (2)'!H38+'Inputs (2)'!H42+'Inputs (2)'!H47)))=0,('Inputs (2)'!H76)=0),"",ABS('Inputs (2)'!H76)*4/ABS(AVERAGE(('Inputs (2)'!G32+'Inputs (2)'!G38+'Inputs (2)'!G42+'Inputs (2)'!G47),('Inputs (2)'!H32+'Inputs (2)'!H38+'Inputs (2)'!H42+'Inputs (2)'!H47)))),"")</f>
        <v/>
      </c>
      <c r="I231" s="34" t="str">
        <f>IFERROR(IF(OR(ABS(('Inputs (2)'!I32+'Inputs (2)'!I38+'Inputs (2)'!I42+'Inputs (2)'!I47))=0,('Inputs (2)'!I76)=0),"",ABS('Inputs (2)'!I76)/ABS(('Inputs (2)'!I32+'Inputs (2)'!I38+'Inputs (2)'!I42+'Inputs (2)'!I47))),"")</f>
        <v/>
      </c>
      <c r="J231" s="32" t="str">
        <f>IFERROR(IF(OR(ABS(AVERAGE(('Inputs (2)'!H32+'Inputs (2)'!H38+'Inputs (2)'!H42+'Inputs (2)'!H47),('Inputs (2)'!J32+'Inputs (2)'!J38+'Inputs (2)'!J42+'Inputs (2)'!J47)))=0,('Inputs (2)'!J76)=0),"",ABS('Inputs (2)'!J76)*4/ABS(AVERAGE(('Inputs (2)'!H32+'Inputs (2)'!H38+'Inputs (2)'!H42+'Inputs (2)'!H47),('Inputs (2)'!J32+'Inputs (2)'!J38+'Inputs (2)'!J42+'Inputs (2)'!J47)))),"")</f>
        <v/>
      </c>
      <c r="K231" s="32" t="str">
        <f>IFERROR(IF(OR(ABS(AVERAGE(('Inputs (2)'!J32+'Inputs (2)'!J38+'Inputs (2)'!J42+'Inputs (2)'!J47),('Inputs (2)'!K32+'Inputs (2)'!K38+'Inputs (2)'!K42+'Inputs (2)'!K47)))=0,('Inputs (2)'!K76)=0),"",ABS('Inputs (2)'!K76)*4/ABS(AVERAGE(('Inputs (2)'!J32+'Inputs (2)'!J38+'Inputs (2)'!J42+'Inputs (2)'!J47),('Inputs (2)'!K32+'Inputs (2)'!K38+'Inputs (2)'!K42+'Inputs (2)'!K47)))),"")</f>
        <v/>
      </c>
      <c r="L231" s="32" t="str">
        <f>IFERROR(IF(OR(ABS(AVERAGE(('Inputs (2)'!K32+'Inputs (2)'!K38+'Inputs (2)'!K42+'Inputs (2)'!K47),('Inputs (2)'!L32+'Inputs (2)'!L38+'Inputs (2)'!L42+'Inputs (2)'!L47)))=0,('Inputs (2)'!L76)=0),"",ABS('Inputs (2)'!L76)*4/ABS(AVERAGE(('Inputs (2)'!K32+'Inputs (2)'!K38+'Inputs (2)'!K42+'Inputs (2)'!K47),('Inputs (2)'!L32+'Inputs (2)'!L38+'Inputs (2)'!L42+'Inputs (2)'!L47)))),"")</f>
        <v/>
      </c>
      <c r="M231" s="32" t="str">
        <f>IFERROR(IF(OR(ABS(AVERAGE(('Inputs (2)'!L32+'Inputs (2)'!L38+'Inputs (2)'!L42+'Inputs (2)'!L47),('Inputs (2)'!M32+'Inputs (2)'!M38+'Inputs (2)'!M42+'Inputs (2)'!M47)))=0,('Inputs (2)'!M76)=0),"",ABS('Inputs (2)'!M76)*4/ABS(AVERAGE(('Inputs (2)'!L32+'Inputs (2)'!L38+'Inputs (2)'!L42+'Inputs (2)'!L47),('Inputs (2)'!M32+'Inputs (2)'!M38+'Inputs (2)'!M42+'Inputs (2)'!M47)))),"")</f>
        <v/>
      </c>
      <c r="N231" s="34" t="str">
        <f>IFERROR(IF(OR(ABS(AVERAGE(('Inputs (2)'!I32+'Inputs (2)'!I38+'Inputs (2)'!I42+'Inputs (2)'!I47),('Inputs (2)'!N32+'Inputs (2)'!N38+'Inputs (2)'!N42+'Inputs (2)'!N47)))=0,('Inputs (2)'!N76)=0),"",ABS('Inputs (2)'!N76)/ABS(AVERAGE(('Inputs (2)'!I32+'Inputs (2)'!I38+'Inputs (2)'!I42+'Inputs (2)'!I47),('Inputs (2)'!N32+'Inputs (2)'!N38+'Inputs (2)'!N42+'Inputs (2)'!N47)))),"")</f>
        <v/>
      </c>
      <c r="O231" s="32" t="str">
        <f>IFERROR(IF(OR(ABS(AVERAGE(('Inputs (2)'!M32+'Inputs (2)'!M38+'Inputs (2)'!M42+'Inputs (2)'!M47),('Inputs (2)'!O32+'Inputs (2)'!O38+'Inputs (2)'!O42+'Inputs (2)'!O47)))=0,('Inputs (2)'!O76)=0),"",ABS('Inputs (2)'!O76)*4/ABS(AVERAGE(('Inputs (2)'!M32+'Inputs (2)'!M38+'Inputs (2)'!M42+'Inputs (2)'!M47),('Inputs (2)'!O32+'Inputs (2)'!O38+'Inputs (2)'!O42+'Inputs (2)'!O47)))),"")</f>
        <v/>
      </c>
      <c r="P231" s="32" t="str">
        <f>IFERROR(IF(OR(ABS(AVERAGE(('Inputs (2)'!O32+'Inputs (2)'!O38+'Inputs (2)'!O42+'Inputs (2)'!O47),('Inputs (2)'!P32+'Inputs (2)'!P38+'Inputs (2)'!P42+'Inputs (2)'!P47)))=0,('Inputs (2)'!P76)=0),"",ABS('Inputs (2)'!P76)*4/ABS(AVERAGE(('Inputs (2)'!O32+'Inputs (2)'!O38+'Inputs (2)'!O42+'Inputs (2)'!O47),('Inputs (2)'!P32+'Inputs (2)'!P38+'Inputs (2)'!P42+'Inputs (2)'!P47)))),"")</f>
        <v/>
      </c>
      <c r="Q231" s="32" t="str">
        <f>IFERROR(IF(OR(ABS(AVERAGE(('Inputs (2)'!P32+'Inputs (2)'!P38+'Inputs (2)'!P42+'Inputs (2)'!P47),('Inputs (2)'!Q32+'Inputs (2)'!Q38+'Inputs (2)'!Q42+'Inputs (2)'!Q47)))=0,('Inputs (2)'!Q76)=0),"",ABS('Inputs (2)'!Q76)*4/ABS(AVERAGE(('Inputs (2)'!P32+'Inputs (2)'!P38+'Inputs (2)'!P42+'Inputs (2)'!P47),('Inputs (2)'!Q32+'Inputs (2)'!Q38+'Inputs (2)'!Q42+'Inputs (2)'!Q47)))),"")</f>
        <v/>
      </c>
      <c r="R231" s="32" t="str">
        <f>IFERROR(IF(OR(ABS(AVERAGE(('Inputs (2)'!Q32+'Inputs (2)'!Q38+'Inputs (2)'!Q42+'Inputs (2)'!Q47),('Inputs (2)'!R32+'Inputs (2)'!R38+'Inputs (2)'!R42+'Inputs (2)'!R47)))=0,('Inputs (2)'!R76)=0),"",ABS('Inputs (2)'!R76)*4/ABS(AVERAGE(('Inputs (2)'!Q32+'Inputs (2)'!Q38+'Inputs (2)'!Q42+'Inputs (2)'!Q47),('Inputs (2)'!R32+'Inputs (2)'!R38+'Inputs (2)'!R42+'Inputs (2)'!R47)))),"")</f>
        <v/>
      </c>
      <c r="S231" s="34" t="str">
        <f>IFERROR(IF(OR(ABS(AVERAGE(('Inputs (2)'!N32+'Inputs (2)'!N38+'Inputs (2)'!N42+'Inputs (2)'!N47),('Inputs (2)'!S32+'Inputs (2)'!S38+'Inputs (2)'!S42+'Inputs (2)'!S47)))=0,('Inputs (2)'!S76)=0),"",ABS('Inputs (2)'!S76)/ABS(AVERAGE(('Inputs (2)'!N32+'Inputs (2)'!N38+'Inputs (2)'!N42+'Inputs (2)'!N47),('Inputs (2)'!S32+'Inputs (2)'!S38+'Inputs (2)'!S42+'Inputs (2)'!S47)))),"")</f>
        <v/>
      </c>
      <c r="T231" s="32" t="str">
        <f>IFERROR(IF(OR(ABS(AVERAGE(('Inputs (2)'!R32+'Inputs (2)'!R38+'Inputs (2)'!R42+'Inputs (2)'!R47),('Inputs (2)'!T32+'Inputs (2)'!T38+'Inputs (2)'!T42+'Inputs (2)'!T47)))=0,('Inputs (2)'!T76)=0),"",ABS('Inputs (2)'!T76)*4/ABS(AVERAGE(('Inputs (2)'!R32+'Inputs (2)'!R38+'Inputs (2)'!R42+'Inputs (2)'!R47),('Inputs (2)'!T32+'Inputs (2)'!T38+'Inputs (2)'!T42+'Inputs (2)'!T47)))),"")</f>
        <v/>
      </c>
      <c r="U231" s="32" t="str">
        <f>IFERROR(IF(OR(ABS(AVERAGE(('Inputs (2)'!T32+'Inputs (2)'!T38+'Inputs (2)'!T42+'Inputs (2)'!T47),('Inputs (2)'!U32+'Inputs (2)'!U38+'Inputs (2)'!U42+'Inputs (2)'!U47)))=0,('Inputs (2)'!U76)=0),"",ABS('Inputs (2)'!U76)*4/ABS(AVERAGE(('Inputs (2)'!T32+'Inputs (2)'!T38+'Inputs (2)'!T42+'Inputs (2)'!T47),('Inputs (2)'!U32+'Inputs (2)'!U38+'Inputs (2)'!U42+'Inputs (2)'!U47)))),"")</f>
        <v/>
      </c>
      <c r="V231" s="32" t="str">
        <f>IFERROR(IF(OR(ABS(AVERAGE(('Inputs (2)'!U32+'Inputs (2)'!U38+'Inputs (2)'!U42+'Inputs (2)'!U47),('Inputs (2)'!V32+'Inputs (2)'!V38+'Inputs (2)'!V42+'Inputs (2)'!V47)))=0,('Inputs (2)'!V76)=0),"",ABS('Inputs (2)'!V76)*4/ABS(AVERAGE(('Inputs (2)'!U32+'Inputs (2)'!U38+'Inputs (2)'!U42+'Inputs (2)'!U47),('Inputs (2)'!V32+'Inputs (2)'!V38+'Inputs (2)'!V42+'Inputs (2)'!V47)))),"")</f>
        <v/>
      </c>
      <c r="W231" s="32" t="str">
        <f>IFERROR(IF(OR(ABS(AVERAGE(('Inputs (2)'!V32+'Inputs (2)'!V38+'Inputs (2)'!V42+'Inputs (2)'!V47),('Inputs (2)'!W32+'Inputs (2)'!W38+'Inputs (2)'!W42+'Inputs (2)'!W47)))=0,('Inputs (2)'!W76)=0),"",ABS('Inputs (2)'!W76)*4/ABS(AVERAGE(('Inputs (2)'!V32+'Inputs (2)'!V38+'Inputs (2)'!V42+'Inputs (2)'!V47),('Inputs (2)'!W32+'Inputs (2)'!W38+'Inputs (2)'!W42+'Inputs (2)'!W47)))),"")</f>
        <v/>
      </c>
      <c r="X231" s="34" t="str">
        <f>IFERROR(IF(OR(ABS(AVERAGE(('Inputs (2)'!S32+'Inputs (2)'!S38+'Inputs (2)'!S42+'Inputs (2)'!S47),('Inputs (2)'!X32+'Inputs (2)'!X38+'Inputs (2)'!X42+'Inputs (2)'!X47)))=0,('Inputs (2)'!X76)=0),"",ABS('Inputs (2)'!X76)/ABS(AVERAGE(('Inputs (2)'!S32+'Inputs (2)'!S38+'Inputs (2)'!S42+'Inputs (2)'!S47),('Inputs (2)'!X32+'Inputs (2)'!X38+'Inputs (2)'!X42+'Inputs (2)'!X47)))),"")</f>
        <v/>
      </c>
      <c r="Y231" s="32" t="str">
        <f>IFERROR(IF(OR(ABS(AVERAGE(('Inputs (2)'!W32+'Inputs (2)'!W38+'Inputs (2)'!W42+'Inputs (2)'!W47),('Inputs (2)'!Y32+'Inputs (2)'!Y38+'Inputs (2)'!Y42+'Inputs (2)'!Y47)))=0,('Inputs (2)'!Y76)=0),"",ABS('Inputs (2)'!Y76)*4/ABS(AVERAGE(('Inputs (2)'!W32+'Inputs (2)'!W38+'Inputs (2)'!W42+'Inputs (2)'!W47),('Inputs (2)'!Y32+'Inputs (2)'!Y38+'Inputs (2)'!Y42+'Inputs (2)'!Y47)))),"")</f>
        <v/>
      </c>
      <c r="Z231" s="32" t="str">
        <f>IFERROR(IF(OR(ABS(AVERAGE(('Inputs (2)'!Y32+'Inputs (2)'!Y38+'Inputs (2)'!Y42+'Inputs (2)'!Y47),('Inputs (2)'!Z32+'Inputs (2)'!Z38+'Inputs (2)'!Z42+'Inputs (2)'!Z47)))=0,('Inputs (2)'!Z76)=0),"",ABS('Inputs (2)'!Z76)*4/ABS(AVERAGE(('Inputs (2)'!Y32+'Inputs (2)'!Y38+'Inputs (2)'!Y42+'Inputs (2)'!Y47),('Inputs (2)'!Z32+'Inputs (2)'!Z38+'Inputs (2)'!Z42+'Inputs (2)'!Z47)))),"")</f>
        <v/>
      </c>
      <c r="AA231" s="32" t="str">
        <f>IFERROR(IF(OR(ABS(AVERAGE(('Inputs (2)'!Z32+'Inputs (2)'!Z38+'Inputs (2)'!Z42+'Inputs (2)'!Z47),('Inputs (2)'!AA32+'Inputs (2)'!AA38+'Inputs (2)'!AA42+'Inputs (2)'!AA47)))=0,('Inputs (2)'!AA76)=0),"",ABS('Inputs (2)'!AA76)*4/ABS(AVERAGE(('Inputs (2)'!Z32+'Inputs (2)'!Z38+'Inputs (2)'!Z42+'Inputs (2)'!Z47),('Inputs (2)'!AA32+'Inputs (2)'!AA38+'Inputs (2)'!AA42+'Inputs (2)'!AA47)))),"")</f>
        <v/>
      </c>
      <c r="AB231" s="32" t="str">
        <f>IFERROR(IF(OR(ABS(AVERAGE(('Inputs (2)'!AA32+'Inputs (2)'!AA38+'Inputs (2)'!AA42+'Inputs (2)'!AA47),('Inputs (2)'!AB32+'Inputs (2)'!AB38+'Inputs (2)'!AB42+'Inputs (2)'!AB47)))=0,('Inputs (2)'!AB76)=0),"",ABS('Inputs (2)'!AB76)*4/ABS(AVERAGE(('Inputs (2)'!AA32+'Inputs (2)'!AA38+'Inputs (2)'!AA42+'Inputs (2)'!AA47),('Inputs (2)'!AB32+'Inputs (2)'!AB38+'Inputs (2)'!AB42+'Inputs (2)'!AB47)))),"")</f>
        <v/>
      </c>
      <c r="AC231" s="34" t="str">
        <f>IFERROR(IF(OR(ABS(AVERAGE(('Inputs (2)'!X32+'Inputs (2)'!X38+'Inputs (2)'!X42+'Inputs (2)'!X47),('Inputs (2)'!AC32+'Inputs (2)'!AC38+'Inputs (2)'!AC42+'Inputs (2)'!AC47)))=0,('Inputs (2)'!AC76)=0),"",ABS('Inputs (2)'!AC76)/ABS(AVERAGE(('Inputs (2)'!X32+'Inputs (2)'!X38+'Inputs (2)'!X42+'Inputs (2)'!X47),('Inputs (2)'!AC32+'Inputs (2)'!AC38+'Inputs (2)'!AC42+'Inputs (2)'!AC47)))),"")</f>
        <v/>
      </c>
      <c r="AD231" s="32" t="str">
        <f>IFERROR(IF(OR(ABS(AVERAGE(('Inputs (2)'!AB32+'Inputs (2)'!AB38+'Inputs (2)'!AB42+'Inputs (2)'!AB47),('Inputs (2)'!AD32+'Inputs (2)'!AD38+'Inputs (2)'!AD42+'Inputs (2)'!AD47)))=0,('Inputs (2)'!AD76)=0),"",ABS('Inputs (2)'!AD76)*4/ABS(AVERAGE(('Inputs (2)'!AB32+'Inputs (2)'!AB38+'Inputs (2)'!AB42+'Inputs (2)'!AB47),('Inputs (2)'!AD32+'Inputs (2)'!AD38+'Inputs (2)'!AD42+'Inputs (2)'!AD47)))),"")</f>
        <v/>
      </c>
      <c r="AE231" s="32" t="str">
        <f>IFERROR(IF(OR(ABS(AVERAGE(('Inputs (2)'!AD32+'Inputs (2)'!AD38+'Inputs (2)'!AD42+'Inputs (2)'!AD47),('Inputs (2)'!AE32+'Inputs (2)'!AE38+'Inputs (2)'!AE42+'Inputs (2)'!AE47)))=0,('Inputs (2)'!AE76)=0),"",ABS('Inputs (2)'!AE76)*4/ABS(AVERAGE(('Inputs (2)'!AD32+'Inputs (2)'!AD38+'Inputs (2)'!AD42+'Inputs (2)'!AD47),('Inputs (2)'!AE32+'Inputs (2)'!AE38+'Inputs (2)'!AE42+'Inputs (2)'!AE47)))),"")</f>
        <v/>
      </c>
      <c r="AF231" s="32" t="str">
        <f>IFERROR(IF(OR(ABS(AVERAGE(('Inputs (2)'!AE32+'Inputs (2)'!AE38+'Inputs (2)'!AE42+'Inputs (2)'!AE47),('Inputs (2)'!AF32+'Inputs (2)'!AF38+'Inputs (2)'!AF42+'Inputs (2)'!AF47)))=0,('Inputs (2)'!AF76)=0),"",ABS('Inputs (2)'!AF76)*4/ABS(AVERAGE(('Inputs (2)'!AE32+'Inputs (2)'!AE38+'Inputs (2)'!AE42+'Inputs (2)'!AE47),('Inputs (2)'!AF32+'Inputs (2)'!AF38+'Inputs (2)'!AF42+'Inputs (2)'!AF47)))),"")</f>
        <v/>
      </c>
      <c r="AG231" s="32" t="str">
        <f>IFERROR(IF(OR(ABS(AVERAGE(('Inputs (2)'!AF32+'Inputs (2)'!AF38+'Inputs (2)'!AF42+'Inputs (2)'!AF47),('Inputs (2)'!AG32+'Inputs (2)'!AG38+'Inputs (2)'!AG42+'Inputs (2)'!AG47)))=0,('Inputs (2)'!AG76)=0),"",ABS('Inputs (2)'!AG76)*4/ABS(AVERAGE(('Inputs (2)'!AF32+'Inputs (2)'!AF38+'Inputs (2)'!AF42+'Inputs (2)'!AF47),('Inputs (2)'!AG32+'Inputs (2)'!AG38+'Inputs (2)'!AG42+'Inputs (2)'!AG47)))),"")</f>
        <v/>
      </c>
      <c r="AH231" s="34" t="str">
        <f>IFERROR(IF(OR(ABS(AVERAGE(('Inputs (2)'!AC32+'Inputs (2)'!AC38+'Inputs (2)'!AC42+'Inputs (2)'!AC47),('Inputs (2)'!AH32+'Inputs (2)'!AH38+'Inputs (2)'!AH42+'Inputs (2)'!AH47)))=0,('Inputs (2)'!AH76)=0),"",ABS('Inputs (2)'!AH76)/ABS(AVERAGE(('Inputs (2)'!AC32+'Inputs (2)'!AC38+'Inputs (2)'!AC42+'Inputs (2)'!AC47),('Inputs (2)'!AH32+'Inputs (2)'!AH38+'Inputs (2)'!AH42+'Inputs (2)'!AH47)))),"")</f>
        <v/>
      </c>
      <c r="AI231" s="32" t="str">
        <f>IFERROR(IF(OR(ABS(AVERAGE(('Inputs (2)'!AG32+'Inputs (2)'!AG38+'Inputs (2)'!AG42+'Inputs (2)'!AG47),('Inputs (2)'!AI32+'Inputs (2)'!AI38+'Inputs (2)'!AI42+'Inputs (2)'!AI47)))=0,('Inputs (2)'!AI76)=0),"",ABS('Inputs (2)'!AI76)*4/ABS(AVERAGE(('Inputs (2)'!AG32+'Inputs (2)'!AG38+'Inputs (2)'!AG42+'Inputs (2)'!AG47),('Inputs (2)'!AI32+'Inputs (2)'!AI38+'Inputs (2)'!AI42+'Inputs (2)'!AI47)))),"")</f>
        <v/>
      </c>
      <c r="AJ231" s="32" t="str">
        <f>IFERROR(IF(OR(ABS(AVERAGE(('Inputs (2)'!AI32+'Inputs (2)'!AI38+'Inputs (2)'!AI42+'Inputs (2)'!AI47),('Inputs (2)'!AJ32+'Inputs (2)'!AJ38+'Inputs (2)'!AJ42+'Inputs (2)'!AJ47)))=0,('Inputs (2)'!AJ76)=0),"",ABS('Inputs (2)'!AJ76)*4/ABS(AVERAGE(('Inputs (2)'!AI32+'Inputs (2)'!AI38+'Inputs (2)'!AI42+'Inputs (2)'!AI47),('Inputs (2)'!AJ32+'Inputs (2)'!AJ38+'Inputs (2)'!AJ42+'Inputs (2)'!AJ47)))),"")</f>
        <v/>
      </c>
      <c r="AK231" s="32" t="str">
        <f>IFERROR(IF(OR(ABS(AVERAGE(('Inputs (2)'!AJ32+'Inputs (2)'!AJ38+'Inputs (2)'!AJ42+'Inputs (2)'!AJ47),('Inputs (2)'!AK32+'Inputs (2)'!AK38+'Inputs (2)'!AK42+'Inputs (2)'!AK47)))=0,('Inputs (2)'!AK76)=0),"",ABS('Inputs (2)'!AK76)*4/ABS(AVERAGE(('Inputs (2)'!AJ32+'Inputs (2)'!AJ38+'Inputs (2)'!AJ42+'Inputs (2)'!AJ47),('Inputs (2)'!AK32+'Inputs (2)'!AK38+'Inputs (2)'!AK42+'Inputs (2)'!AK47)))),"")</f>
        <v/>
      </c>
      <c r="AL231" s="32" t="str">
        <f>IFERROR(IF(OR(ABS(AVERAGE(('Inputs (2)'!AK32+'Inputs (2)'!AK38+'Inputs (2)'!AK42+'Inputs (2)'!AK47),('Inputs (2)'!AL32+'Inputs (2)'!AL38+'Inputs (2)'!AL42+'Inputs (2)'!AL47)))=0,('Inputs (2)'!AL76)=0),"",ABS('Inputs (2)'!AL76)*4/ABS(AVERAGE(('Inputs (2)'!AK32+'Inputs (2)'!AK38+'Inputs (2)'!AK42+'Inputs (2)'!AK47),('Inputs (2)'!AL32+'Inputs (2)'!AL38+'Inputs (2)'!AL42+'Inputs (2)'!AL47)))),"")</f>
        <v/>
      </c>
      <c r="AM231" s="34" t="str">
        <f>IFERROR(IF(OR(ABS(AVERAGE(('Inputs (2)'!AH32+'Inputs (2)'!AH38+'Inputs (2)'!AH42+'Inputs (2)'!AH47),('Inputs (2)'!AM32+'Inputs (2)'!AM38+'Inputs (2)'!AM42+'Inputs (2)'!AM47)))=0,('Inputs (2)'!AM76)=0),"",ABS('Inputs (2)'!AM76)/ABS(AVERAGE(('Inputs (2)'!AH32+'Inputs (2)'!AH38+'Inputs (2)'!AH42+'Inputs (2)'!AH47),('Inputs (2)'!AM32+'Inputs (2)'!AM38+'Inputs (2)'!AM42+'Inputs (2)'!AM47)))),"")</f>
        <v/>
      </c>
      <c r="AN231" s="32" t="str">
        <f>IFERROR(IF(OR(ABS(AVERAGE(('Inputs (2)'!AL32+'Inputs (2)'!AL38+'Inputs (2)'!AL42+'Inputs (2)'!AL47),('Inputs (2)'!AN32+'Inputs (2)'!AN38+'Inputs (2)'!AN42+'Inputs (2)'!AN47)))=0,('Inputs (2)'!AN76)=0),"",ABS('Inputs (2)'!AN76)*4/ABS(AVERAGE(('Inputs (2)'!AL32+'Inputs (2)'!AL38+'Inputs (2)'!AL42+'Inputs (2)'!AL47),('Inputs (2)'!AN32+'Inputs (2)'!AN38+'Inputs (2)'!AN42+'Inputs (2)'!AN47)))),"")</f>
        <v/>
      </c>
      <c r="AO231" s="32" t="str">
        <f>IFERROR(IF(OR(ABS(AVERAGE(('Inputs (2)'!AN32+'Inputs (2)'!AN38+'Inputs (2)'!AN42+'Inputs (2)'!AN47),('Inputs (2)'!AO32+'Inputs (2)'!AO38+'Inputs (2)'!AO42+'Inputs (2)'!AO47)))=0,('Inputs (2)'!AO76)=0),"",ABS('Inputs (2)'!AO76)*4/ABS(AVERAGE(('Inputs (2)'!AN32+'Inputs (2)'!AN38+'Inputs (2)'!AN42+'Inputs (2)'!AN47),('Inputs (2)'!AO32+'Inputs (2)'!AO38+'Inputs (2)'!AO42+'Inputs (2)'!AO47)))),"")</f>
        <v/>
      </c>
      <c r="AP231" s="32" t="str">
        <f>IFERROR(IF(OR(ABS(AVERAGE(('Inputs (2)'!AO32+'Inputs (2)'!AO38+'Inputs (2)'!AO42+'Inputs (2)'!AO47),('Inputs (2)'!AP32+'Inputs (2)'!AP38+'Inputs (2)'!AP42+'Inputs (2)'!AP47)))=0,('Inputs (2)'!AP76)=0),"",ABS('Inputs (2)'!AP76)*4/ABS(AVERAGE(('Inputs (2)'!AO32+'Inputs (2)'!AO38+'Inputs (2)'!AO42+'Inputs (2)'!AO47),('Inputs (2)'!AP32+'Inputs (2)'!AP38+'Inputs (2)'!AP42+'Inputs (2)'!AP47)))),"")</f>
        <v/>
      </c>
      <c r="AQ231" s="32" t="str">
        <f>IFERROR(IF(OR(ABS(AVERAGE(('Inputs (2)'!AP32+'Inputs (2)'!AP38+'Inputs (2)'!AP42+'Inputs (2)'!AP47),('Inputs (2)'!AQ32+'Inputs (2)'!AQ38+'Inputs (2)'!AQ42+'Inputs (2)'!AQ47)))=0,('Inputs (2)'!AQ76)=0),"",ABS('Inputs (2)'!AQ76)*4/ABS(AVERAGE(('Inputs (2)'!AP32+'Inputs (2)'!AP38+'Inputs (2)'!AP42+'Inputs (2)'!AP47),('Inputs (2)'!AQ32+'Inputs (2)'!AQ38+'Inputs (2)'!AQ42+'Inputs (2)'!AQ47)))),"")</f>
        <v/>
      </c>
      <c r="AR231" s="34" t="str">
        <f>IFERROR(IF(OR(ABS(AVERAGE(('Inputs (2)'!AM32+'Inputs (2)'!AM38+'Inputs (2)'!AM42+'Inputs (2)'!AM47),('Inputs (2)'!AR32+'Inputs (2)'!AR38+'Inputs (2)'!AR42+'Inputs (2)'!AR47)))=0,('Inputs (2)'!AR76)=0),"",ABS('Inputs (2)'!AR76)/ABS(AVERAGE(('Inputs (2)'!AM32+'Inputs (2)'!AM38+'Inputs (2)'!AM42+'Inputs (2)'!AM47),('Inputs (2)'!AR32+'Inputs (2)'!AR38+'Inputs (2)'!AR42+'Inputs (2)'!AR47)))),"")</f>
        <v/>
      </c>
      <c r="AS231" s="32" t="str">
        <f>IFERROR(IF(OR(ABS(AVERAGE(('Inputs (2)'!AQ32+'Inputs (2)'!AQ38+'Inputs (2)'!AQ42+'Inputs (2)'!AQ47),('Inputs (2)'!AS32+'Inputs (2)'!AS38+'Inputs (2)'!AS42+'Inputs (2)'!AS47)))=0,('Inputs (2)'!AS76)=0),"",ABS('Inputs (2)'!AS76)*4/ABS(AVERAGE(('Inputs (2)'!AQ32+'Inputs (2)'!AQ38+'Inputs (2)'!AQ42+'Inputs (2)'!AQ47),('Inputs (2)'!AS32+'Inputs (2)'!AS38+'Inputs (2)'!AS42+'Inputs (2)'!AS47)))),"")</f>
        <v/>
      </c>
      <c r="AT231" s="32" t="str">
        <f>IFERROR(IF(OR(ABS(AVERAGE(('Inputs (2)'!AS32+'Inputs (2)'!AS38+'Inputs (2)'!AS42+'Inputs (2)'!AS47),('Inputs (2)'!AT32+'Inputs (2)'!AT38+'Inputs (2)'!AT42+'Inputs (2)'!AT47)))=0,('Inputs (2)'!AT76)=0),"",ABS('Inputs (2)'!AT76)*4/ABS(AVERAGE(('Inputs (2)'!AS32+'Inputs (2)'!AS38+'Inputs (2)'!AS42+'Inputs (2)'!AS47),('Inputs (2)'!AT32+'Inputs (2)'!AT38+'Inputs (2)'!AT42+'Inputs (2)'!AT47)))),"")</f>
        <v/>
      </c>
      <c r="AU231" s="32" t="str">
        <f>IFERROR(IF(OR(ABS(AVERAGE(('Inputs (2)'!AT32+'Inputs (2)'!AT38+'Inputs (2)'!AT42+'Inputs (2)'!AT47),('Inputs (2)'!AU32+'Inputs (2)'!AU38+'Inputs (2)'!AU42+'Inputs (2)'!AU47)))=0,('Inputs (2)'!AU76)=0),"",ABS('Inputs (2)'!AU76)*4/ABS(AVERAGE(('Inputs (2)'!AT32+'Inputs (2)'!AT38+'Inputs (2)'!AT42+'Inputs (2)'!AT47),('Inputs (2)'!AU32+'Inputs (2)'!AU38+'Inputs (2)'!AU42+'Inputs (2)'!AU47)))),"")</f>
        <v/>
      </c>
      <c r="AV231" s="32" t="str">
        <f>IFERROR(IF(OR(ABS(AVERAGE(('Inputs (2)'!AU32+'Inputs (2)'!AU38+'Inputs (2)'!AU42+'Inputs (2)'!AU47),('Inputs (2)'!AV32+'Inputs (2)'!AV38+'Inputs (2)'!AV42+'Inputs (2)'!AV47)))=0,('Inputs (2)'!AV76)=0),"",ABS('Inputs (2)'!AV76)*4/ABS(AVERAGE(('Inputs (2)'!AU32+'Inputs (2)'!AU38+'Inputs (2)'!AU42+'Inputs (2)'!AU47),('Inputs (2)'!AV32+'Inputs (2)'!AV38+'Inputs (2)'!AV42+'Inputs (2)'!AV47)))),"")</f>
        <v/>
      </c>
      <c r="AW231" s="34" t="str">
        <f>IFERROR(IF(OR(ABS(AVERAGE(('Inputs (2)'!AR32+'Inputs (2)'!AR38+'Inputs (2)'!AR42+'Inputs (2)'!AR47),('Inputs (2)'!AW32+'Inputs (2)'!AW38+'Inputs (2)'!AW42+'Inputs (2)'!AW47)))=0,('Inputs (2)'!AW76)=0),"",ABS('Inputs (2)'!AW76)/ABS(AVERAGE(('Inputs (2)'!AR32+'Inputs (2)'!AR38+'Inputs (2)'!AR42+'Inputs (2)'!AR47),('Inputs (2)'!AW32+'Inputs (2)'!AW38+'Inputs (2)'!AW42+'Inputs (2)'!AW47)))),"")</f>
        <v/>
      </c>
      <c r="AX231" s="32" t="str">
        <f>IFERROR(IF(OR(ABS(AVERAGE(('Inputs (2)'!AV32+'Inputs (2)'!AV38+'Inputs (2)'!AV42+'Inputs (2)'!AV47),('Inputs (2)'!AX32+'Inputs (2)'!AX38+'Inputs (2)'!AX42+'Inputs (2)'!AX47)))=0,('Inputs (2)'!AX76)=0),"",ABS('Inputs (2)'!AX76)*4/ABS(AVERAGE(('Inputs (2)'!AV32+'Inputs (2)'!AV38+'Inputs (2)'!AV42+'Inputs (2)'!AV47),('Inputs (2)'!AX32+'Inputs (2)'!AX38+'Inputs (2)'!AX42+'Inputs (2)'!AX47)))),"")</f>
        <v/>
      </c>
      <c r="AY231" s="32" t="str">
        <f>IFERROR(IF(OR(ABS(AVERAGE(('Inputs (2)'!AX32+'Inputs (2)'!AX38+'Inputs (2)'!AX42+'Inputs (2)'!AX47),('Inputs (2)'!AY32+'Inputs (2)'!AY38+'Inputs (2)'!AY42+'Inputs (2)'!AY47)))=0,('Inputs (2)'!AY76)=0),"",ABS('Inputs (2)'!AY76)*4/ABS(AVERAGE(('Inputs (2)'!AX32+'Inputs (2)'!AX38+'Inputs (2)'!AX42+'Inputs (2)'!AX47),('Inputs (2)'!AY32+'Inputs (2)'!AY38+'Inputs (2)'!AY42+'Inputs (2)'!AY47)))),"")</f>
        <v/>
      </c>
      <c r="AZ231" s="32" t="str">
        <f>IFERROR(IF(OR(ABS(AVERAGE(('Inputs (2)'!AY32+'Inputs (2)'!AY38+'Inputs (2)'!AY42+'Inputs (2)'!AY47),('Inputs (2)'!AZ32+'Inputs (2)'!AZ38+'Inputs (2)'!AZ42+'Inputs (2)'!AZ47)))=0,('Inputs (2)'!AZ76)=0),"",ABS('Inputs (2)'!AZ76)*4/ABS(AVERAGE(('Inputs (2)'!AY32+'Inputs (2)'!AY38+'Inputs (2)'!AY42+'Inputs (2)'!AY47),('Inputs (2)'!AZ32+'Inputs (2)'!AZ38+'Inputs (2)'!AZ42+'Inputs (2)'!AZ47)))),"")</f>
        <v/>
      </c>
      <c r="BA231" s="32" t="str">
        <f>IFERROR(IF(OR(ABS(AVERAGE(('Inputs (2)'!AZ32+'Inputs (2)'!AZ38+'Inputs (2)'!AZ42+'Inputs (2)'!AZ47),('Inputs (2)'!BA32+'Inputs (2)'!BA38+'Inputs (2)'!BA42+'Inputs (2)'!BA47)))=0,('Inputs (2)'!BA76)=0),"",ABS('Inputs (2)'!BA76)*4/ABS(AVERAGE(('Inputs (2)'!AZ32+'Inputs (2)'!AZ38+'Inputs (2)'!AZ42+'Inputs (2)'!AZ47),('Inputs (2)'!BA32+'Inputs (2)'!BA38+'Inputs (2)'!BA42+'Inputs (2)'!BA47)))),"")</f>
        <v/>
      </c>
      <c r="BB231" s="34" t="str">
        <f>IFERROR(IF(OR(ABS(AVERAGE(('Inputs (2)'!AW32+'Inputs (2)'!AW38+'Inputs (2)'!AW42+'Inputs (2)'!AW47),('Inputs (2)'!BB32+'Inputs (2)'!BB38+'Inputs (2)'!BB42+'Inputs (2)'!BB47)))=0,('Inputs (2)'!BB76)=0),"",ABS('Inputs (2)'!BB76)/ABS(AVERAGE(('Inputs (2)'!AW32+'Inputs (2)'!AW38+'Inputs (2)'!AW42+'Inputs (2)'!AW47),('Inputs (2)'!BB32+'Inputs (2)'!BB38+'Inputs (2)'!BB42+'Inputs (2)'!BB47)))),"")</f>
        <v/>
      </c>
      <c r="BC231" s="32" t="str">
        <f>IFERROR(IF(OR(ABS(AVERAGE(('Inputs (2)'!BA32+'Inputs (2)'!BA38+'Inputs (2)'!BA42+'Inputs (2)'!BA47),('Inputs (2)'!BC32+'Inputs (2)'!BC38+'Inputs (2)'!BC42+'Inputs (2)'!BC47)))=0,('Inputs (2)'!BC76)=0),"",ABS('Inputs (2)'!BC76)*4/ABS(AVERAGE(('Inputs (2)'!BA32+'Inputs (2)'!BA38+'Inputs (2)'!BA42+'Inputs (2)'!BA47),('Inputs (2)'!BC32+'Inputs (2)'!BC38+'Inputs (2)'!BC42+'Inputs (2)'!BC47)))),"")</f>
        <v/>
      </c>
      <c r="BD231" s="32" t="str">
        <f>IFERROR(IF(OR(ABS(AVERAGE(('Inputs (2)'!BC32+'Inputs (2)'!BC38+'Inputs (2)'!BC42+'Inputs (2)'!BC47),('Inputs (2)'!BD32+'Inputs (2)'!BD38+'Inputs (2)'!BD42+'Inputs (2)'!BD47)))=0,('Inputs (2)'!BD76)=0),"",ABS('Inputs (2)'!BD76)*4/ABS(AVERAGE(('Inputs (2)'!BC32+'Inputs (2)'!BC38+'Inputs (2)'!BC42+'Inputs (2)'!BC47),('Inputs (2)'!BD32+'Inputs (2)'!BD38+'Inputs (2)'!BD42+'Inputs (2)'!BD47)))),"")</f>
        <v/>
      </c>
      <c r="BE231" s="32" t="str">
        <f>IFERROR(IF(OR(ABS(AVERAGE(('Inputs (2)'!BD32+'Inputs (2)'!BD38+'Inputs (2)'!BD42+'Inputs (2)'!BD47),('Inputs (2)'!BE32+'Inputs (2)'!BE38+'Inputs (2)'!BE42+'Inputs (2)'!BE47)))=0,('Inputs (2)'!BE76)=0),"",ABS('Inputs (2)'!BE76)*4/ABS(AVERAGE(('Inputs (2)'!BD32+'Inputs (2)'!BD38+'Inputs (2)'!BD42+'Inputs (2)'!BD47),('Inputs (2)'!BE32+'Inputs (2)'!BE38+'Inputs (2)'!BE42+'Inputs (2)'!BE47)))),"")</f>
        <v/>
      </c>
      <c r="BF231" s="32" t="str">
        <f>IFERROR(IF(OR(ABS(AVERAGE(('Inputs (2)'!BE32+'Inputs (2)'!BE38+'Inputs (2)'!BE42+'Inputs (2)'!BE47),('Inputs (2)'!BF32+'Inputs (2)'!BF38+'Inputs (2)'!BF42+'Inputs (2)'!BF47)))=0,('Inputs (2)'!BF76)=0),"",ABS('Inputs (2)'!BF76)*4/ABS(AVERAGE(('Inputs (2)'!BE32+'Inputs (2)'!BE38+'Inputs (2)'!BE42+'Inputs (2)'!BE47),('Inputs (2)'!BF32+'Inputs (2)'!BF38+'Inputs (2)'!BF42+'Inputs (2)'!BF47)))),"")</f>
        <v/>
      </c>
      <c r="BG231" s="34" t="str">
        <f>IFERROR(IF(OR(ABS(AVERAGE(('Inputs (2)'!BB32+'Inputs (2)'!BB38+'Inputs (2)'!BB42+'Inputs (2)'!BB47),('Inputs (2)'!BG32+'Inputs (2)'!BG38+'Inputs (2)'!BG42+'Inputs (2)'!BG47)))=0,('Inputs (2)'!BG76)=0),"",ABS('Inputs (2)'!BG76)/ABS(AVERAGE(('Inputs (2)'!BB32+'Inputs (2)'!BB38+'Inputs (2)'!BB42+'Inputs (2)'!BB47),('Inputs (2)'!BG32+'Inputs (2)'!BG38+'Inputs (2)'!BG42+'Inputs (2)'!BG47)))),"")</f>
        <v/>
      </c>
    </row>
    <row r="232" hidden="1" outlineLevel="1">
      <c r="C232" s="30" t="inlineStr">
        <is>
          <t>Demais ativos — crescimento % QoQ</t>
        </is>
      </c>
      <c r="D232" s="12" t="inlineStr">
        <is>
          <t>Other assets growth QoQ</t>
        </is>
      </c>
      <c r="E232" s="31" t="n"/>
      <c r="F232" s="32" t="str">
        <f>IFERROR(IF(('Inputs (2)'!E23)=0,"",('Inputs (2)'!F23)/('Inputs (2)'!E23)-1),"")</f>
        <v/>
      </c>
      <c r="G232" s="32" t="str">
        <f>IFERROR(IF(('Inputs (2)'!F23)=0,"",('Inputs (2)'!G23)/('Inputs (2)'!F23)-1),"")</f>
        <v/>
      </c>
      <c r="H232" s="32" t="str">
        <f>IFERROR(IF(('Inputs (2)'!G23)=0,"",('Inputs (2)'!H23)/('Inputs (2)'!G23)-1),"")</f>
        <v/>
      </c>
      <c r="I232" s="33" t="n"/>
      <c r="J232" s="32" t="str">
        <f>IFERROR(IF(('Inputs (2)'!H23)=0,"",('Inputs (2)'!J23)/('Inputs (2)'!H23)-1),"")</f>
        <v/>
      </c>
      <c r="K232" s="32" t="str">
        <f>IFERROR(IF(('Inputs (2)'!J23)=0,"",('Inputs (2)'!K23)/('Inputs (2)'!J23)-1),"")</f>
        <v/>
      </c>
      <c r="L232" s="32" t="str">
        <f>IFERROR(IF(('Inputs (2)'!K23)=0,"",('Inputs (2)'!L23)/('Inputs (2)'!K23)-1),"")</f>
        <v/>
      </c>
      <c r="M232" s="32" t="str">
        <f>IFERROR(IF(('Inputs (2)'!L23)=0,"",('Inputs (2)'!M23)/('Inputs (2)'!L23)-1),"")</f>
        <v/>
      </c>
      <c r="N232" s="34" t="str">
        <f>IFERROR(IF(('Inputs (2)'!I23)=0,"",('Inputs (2)'!N23)/('Inputs (2)'!I23)-1),"")</f>
        <v/>
      </c>
      <c r="O232" s="32" t="str">
        <f>IFERROR(IF(('Inputs (2)'!M23)=0,"",('Inputs (2)'!O23)/('Inputs (2)'!M23)-1),"")</f>
        <v/>
      </c>
      <c r="P232" s="32" t="str">
        <f>IFERROR(IF(('Inputs (2)'!O23)=0,"",('Inputs (2)'!P23)/('Inputs (2)'!O23)-1),"")</f>
        <v/>
      </c>
      <c r="Q232" s="32" t="str">
        <f>IFERROR(IF(('Inputs (2)'!P23)=0,"",('Inputs (2)'!Q23)/('Inputs (2)'!P23)-1),"")</f>
        <v/>
      </c>
      <c r="R232" s="32" t="str">
        <f>IFERROR(IF(('Inputs (2)'!Q23)=0,"",('Inputs (2)'!R23)/('Inputs (2)'!Q23)-1),"")</f>
        <v/>
      </c>
      <c r="S232" s="34" t="str">
        <f>IFERROR(IF(('Inputs (2)'!N23)=0,"",('Inputs (2)'!S23)/('Inputs (2)'!N23)-1),"")</f>
        <v/>
      </c>
      <c r="T232" s="32" t="str">
        <f>IFERROR(IF(('Inputs (2)'!R23)=0,"",('Inputs (2)'!T23)/('Inputs (2)'!R23)-1),"")</f>
        <v/>
      </c>
      <c r="U232" s="32" t="str">
        <f>IFERROR(IF(('Inputs (2)'!T23)=0,"",('Inputs (2)'!U23)/('Inputs (2)'!T23)-1),"")</f>
        <v/>
      </c>
      <c r="V232" s="32" t="str">
        <f>IFERROR(IF(('Inputs (2)'!U23)=0,"",('Inputs (2)'!V23)/('Inputs (2)'!U23)-1),"")</f>
        <v/>
      </c>
      <c r="W232" s="32" t="str">
        <f>IFERROR(IF(('Inputs (2)'!V23)=0,"",('Inputs (2)'!W23)/('Inputs (2)'!V23)-1),"")</f>
        <v/>
      </c>
      <c r="X232" s="34" t="str">
        <f>IFERROR(IF(('Inputs (2)'!S23)=0,"",('Inputs (2)'!X23)/('Inputs (2)'!S23)-1),"")</f>
        <v/>
      </c>
      <c r="Y232" s="32" t="str">
        <f>IFERROR(IF(('Inputs (2)'!W23)=0,"",('Inputs (2)'!Y23)/('Inputs (2)'!W23)-1),"")</f>
        <v/>
      </c>
      <c r="Z232" s="32" t="str">
        <f>IFERROR(IF(('Inputs (2)'!Y23)=0,"",('Inputs (2)'!Z23)/('Inputs (2)'!Y23)-1),"")</f>
        <v/>
      </c>
      <c r="AA232" s="32" t="str">
        <f>IFERROR(IF(('Inputs (2)'!Z23)=0,"",('Inputs (2)'!AA23)/('Inputs (2)'!Z23)-1),"")</f>
        <v/>
      </c>
      <c r="AB232" s="32" t="str">
        <f>IFERROR(IF(('Inputs (2)'!AA23)=0,"",('Inputs (2)'!AB23)/('Inputs (2)'!AA23)-1),"")</f>
        <v/>
      </c>
      <c r="AC232" s="34" t="str">
        <f>IFERROR(IF(('Inputs (2)'!X23)=0,"",('Inputs (2)'!AC23)/('Inputs (2)'!X23)-1),"")</f>
        <v/>
      </c>
      <c r="AD232" s="32" t="str">
        <f>IFERROR(IF(('Inputs (2)'!AB23)=0,"",('Inputs (2)'!AD23)/('Inputs (2)'!AB23)-1),"")</f>
        <v/>
      </c>
      <c r="AE232" s="32" t="str">
        <f>IFERROR(IF(('Inputs (2)'!AD23)=0,"",('Inputs (2)'!AE23)/('Inputs (2)'!AD23)-1),"")</f>
        <v/>
      </c>
      <c r="AF232" s="32" t="str">
        <f>IFERROR(IF(('Inputs (2)'!AE23)=0,"",('Inputs (2)'!AF23)/('Inputs (2)'!AE23)-1),"")</f>
        <v/>
      </c>
      <c r="AG232" s="32" t="str">
        <f>IFERROR(IF(('Inputs (2)'!AF23)=0,"",('Inputs (2)'!AG23)/('Inputs (2)'!AF23)-1),"")</f>
        <v/>
      </c>
      <c r="AH232" s="34" t="str">
        <f>IFERROR(IF(('Inputs (2)'!AC23)=0,"",('Inputs (2)'!AH23)/('Inputs (2)'!AC23)-1),"")</f>
        <v/>
      </c>
      <c r="AI232" s="32" t="str">
        <f>IFERROR(IF(('Inputs (2)'!AG23)=0,"",('Inputs (2)'!AI23)/('Inputs (2)'!AG23)-1),"")</f>
        <v/>
      </c>
      <c r="AJ232" s="32" t="str">
        <f>IFERROR(IF(('Inputs (2)'!AI23)=0,"",('Inputs (2)'!AJ23)/('Inputs (2)'!AI23)-1),"")</f>
        <v/>
      </c>
      <c r="AK232" s="32" t="str">
        <f>IFERROR(IF(('Inputs (2)'!AJ23)=0,"",('Inputs (2)'!AK23)/('Inputs (2)'!AJ23)-1),"")</f>
        <v/>
      </c>
      <c r="AL232" s="32" t="str">
        <f>IFERROR(IF(('Inputs (2)'!AK23)=0,"",('Inputs (2)'!AL23)/('Inputs (2)'!AK23)-1),"")</f>
        <v/>
      </c>
      <c r="AM232" s="34" t="str">
        <f>IFERROR(IF(('Inputs (2)'!AH23)=0,"",('Inputs (2)'!AM23)/('Inputs (2)'!AH23)-1),"")</f>
        <v/>
      </c>
      <c r="AN232" s="32" t="str">
        <f>IFERROR(IF(('Inputs (2)'!AL23)=0,"",('Inputs (2)'!AN23)/('Inputs (2)'!AL23)-1),"")</f>
        <v/>
      </c>
      <c r="AO232" s="32" t="str">
        <f>IFERROR(IF(('Inputs (2)'!AN23)=0,"",('Inputs (2)'!AO23)/('Inputs (2)'!AN23)-1),"")</f>
        <v/>
      </c>
      <c r="AP232" s="32" t="str">
        <f>IFERROR(IF(('Inputs (2)'!AO23)=0,"",('Inputs (2)'!AP23)/('Inputs (2)'!AO23)-1),"")</f>
        <v/>
      </c>
      <c r="AQ232" s="32" t="str">
        <f>IFERROR(IF(('Inputs (2)'!AP23)=0,"",('Inputs (2)'!AQ23)/('Inputs (2)'!AP23)-1),"")</f>
        <v/>
      </c>
      <c r="AR232" s="34" t="str">
        <f>IFERROR(IF(('Inputs (2)'!AM23)=0,"",('Inputs (2)'!AR23)/('Inputs (2)'!AM23)-1),"")</f>
        <v/>
      </c>
      <c r="AS232" s="32" t="str">
        <f>IFERROR(IF(('Inputs (2)'!AQ23)=0,"",('Inputs (2)'!AS23)/('Inputs (2)'!AQ23)-1),"")</f>
        <v/>
      </c>
      <c r="AT232" s="32" t="str">
        <f>IFERROR(IF(('Inputs (2)'!AS23)=0,"",('Inputs (2)'!AT23)/('Inputs (2)'!AS23)-1),"")</f>
        <v/>
      </c>
      <c r="AU232" s="32" t="str">
        <f>IFERROR(IF(('Inputs (2)'!AT23)=0,"",('Inputs (2)'!AU23)/('Inputs (2)'!AT23)-1),"")</f>
        <v/>
      </c>
      <c r="AV232" s="32" t="str">
        <f>IFERROR(IF(('Inputs (2)'!AU23)=0,"",('Inputs (2)'!AV23)/('Inputs (2)'!AU23)-1),"")</f>
        <v/>
      </c>
      <c r="AW232" s="34" t="str">
        <f>IFERROR(IF(('Inputs (2)'!AR23)=0,"",('Inputs (2)'!AW23)/('Inputs (2)'!AR23)-1),"")</f>
        <v/>
      </c>
      <c r="AX232" s="32" t="str">
        <f>IFERROR(IF(('Inputs (2)'!AV23)=0,"",('Inputs (2)'!AX23)/('Inputs (2)'!AV23)-1),"")</f>
        <v/>
      </c>
      <c r="AY232" s="32" t="str">
        <f>IFERROR(IF(('Inputs (2)'!AX23)=0,"",('Inputs (2)'!AY23)/('Inputs (2)'!AX23)-1),"")</f>
        <v/>
      </c>
      <c r="AZ232" s="32" t="str">
        <f>IFERROR(IF(('Inputs (2)'!AY23)=0,"",('Inputs (2)'!AZ23)/('Inputs (2)'!AY23)-1),"")</f>
        <v/>
      </c>
      <c r="BA232" s="32" t="str">
        <f>IFERROR(IF(('Inputs (2)'!AZ23)=0,"",('Inputs (2)'!BA23)/('Inputs (2)'!AZ23)-1),"")</f>
        <v/>
      </c>
      <c r="BB232" s="34" t="str">
        <f>IFERROR(IF(('Inputs (2)'!AW23)=0,"",('Inputs (2)'!BB23)/('Inputs (2)'!AW23)-1),"")</f>
        <v/>
      </c>
      <c r="BC232" s="32" t="str">
        <f>IFERROR(IF(('Inputs (2)'!BA23)=0,"",('Inputs (2)'!BC23)/('Inputs (2)'!BA23)-1),"")</f>
        <v/>
      </c>
      <c r="BD232" s="32" t="str">
        <f>IFERROR(IF(('Inputs (2)'!BC23)=0,"",('Inputs (2)'!BD23)/('Inputs (2)'!BC23)-1),"")</f>
        <v/>
      </c>
      <c r="BE232" s="32" t="str">
        <f>IFERROR(IF(('Inputs (2)'!BD23)=0,"",('Inputs (2)'!BE23)/('Inputs (2)'!BD23)-1),"")</f>
        <v/>
      </c>
      <c r="BF232" s="32" t="str">
        <f>IFERROR(IF(('Inputs (2)'!BE23)=0,"",('Inputs (2)'!BF23)/('Inputs (2)'!BE23)-1),"")</f>
        <v/>
      </c>
      <c r="BG232" s="34" t="str">
        <f>IFERROR(IF(('Inputs (2)'!BB23)=0,"",('Inputs (2)'!BG23)/('Inputs (2)'!BB23)-1),"")</f>
        <v/>
      </c>
    </row>
    <row r="233" hidden="1" outlineLevel="1">
      <c r="C233" s="30" t="inlineStr">
        <is>
          <t>Demais passivos — crescimento % QoQ</t>
        </is>
      </c>
      <c r="D233" s="12" t="inlineStr">
        <is>
          <t>Other liab. growth QoQ</t>
        </is>
      </c>
      <c r="E233" s="31" t="n"/>
      <c r="F233" s="32" t="str">
        <f>IFERROR(IF(('Inputs (2)'!E56)=0,"",('Inputs (2)'!F56)/('Inputs (2)'!E56)-1),"")</f>
        <v/>
      </c>
      <c r="G233" s="32" t="str">
        <f>IFERROR(IF(('Inputs (2)'!F56)=0,"",('Inputs (2)'!G56)/('Inputs (2)'!F56)-1),"")</f>
        <v/>
      </c>
      <c r="H233" s="32" t="str">
        <f>IFERROR(IF(('Inputs (2)'!G56)=0,"",('Inputs (2)'!H56)/('Inputs (2)'!G56)-1),"")</f>
        <v/>
      </c>
      <c r="I233" s="33" t="n"/>
      <c r="J233" s="32" t="str">
        <f>IFERROR(IF(('Inputs (2)'!H56)=0,"",('Inputs (2)'!J56)/('Inputs (2)'!H56)-1),"")</f>
        <v/>
      </c>
      <c r="K233" s="32" t="str">
        <f>IFERROR(IF(('Inputs (2)'!J56)=0,"",('Inputs (2)'!K56)/('Inputs (2)'!J56)-1),"")</f>
        <v/>
      </c>
      <c r="L233" s="32" t="str">
        <f>IFERROR(IF(('Inputs (2)'!K56)=0,"",('Inputs (2)'!L56)/('Inputs (2)'!K56)-1),"")</f>
        <v/>
      </c>
      <c r="M233" s="32" t="str">
        <f>IFERROR(IF(('Inputs (2)'!L56)=0,"",('Inputs (2)'!M56)/('Inputs (2)'!L56)-1),"")</f>
        <v/>
      </c>
      <c r="N233" s="34" t="str">
        <f>IFERROR(IF(('Inputs (2)'!I56)=0,"",('Inputs (2)'!N56)/('Inputs (2)'!I56)-1),"")</f>
        <v/>
      </c>
      <c r="O233" s="32" t="str">
        <f>IFERROR(IF(('Inputs (2)'!M56)=0,"",('Inputs (2)'!O56)/('Inputs (2)'!M56)-1),"")</f>
        <v/>
      </c>
      <c r="P233" s="32" t="str">
        <f>IFERROR(IF(('Inputs (2)'!O56)=0,"",('Inputs (2)'!P56)/('Inputs (2)'!O56)-1),"")</f>
        <v/>
      </c>
      <c r="Q233" s="32" t="str">
        <f>IFERROR(IF(('Inputs (2)'!P56)=0,"",('Inputs (2)'!Q56)/('Inputs (2)'!P56)-1),"")</f>
        <v/>
      </c>
      <c r="R233" s="32" t="str">
        <f>IFERROR(IF(('Inputs (2)'!Q56)=0,"",('Inputs (2)'!R56)/('Inputs (2)'!Q56)-1),"")</f>
        <v/>
      </c>
      <c r="S233" s="34" t="str">
        <f>IFERROR(IF(('Inputs (2)'!N56)=0,"",('Inputs (2)'!S56)/('Inputs (2)'!N56)-1),"")</f>
        <v/>
      </c>
      <c r="T233" s="32" t="str">
        <f>IFERROR(IF(('Inputs (2)'!R56)=0,"",('Inputs (2)'!T56)/('Inputs (2)'!R56)-1),"")</f>
        <v/>
      </c>
      <c r="U233" s="32" t="str">
        <f>IFERROR(IF(('Inputs (2)'!T56)=0,"",('Inputs (2)'!U56)/('Inputs (2)'!T56)-1),"")</f>
        <v/>
      </c>
      <c r="V233" s="32" t="str">
        <f>IFERROR(IF(('Inputs (2)'!U56)=0,"",('Inputs (2)'!V56)/('Inputs (2)'!U56)-1),"")</f>
        <v/>
      </c>
      <c r="W233" s="32" t="str">
        <f>IFERROR(IF(('Inputs (2)'!V56)=0,"",('Inputs (2)'!W56)/('Inputs (2)'!V56)-1),"")</f>
        <v/>
      </c>
      <c r="X233" s="34" t="str">
        <f>IFERROR(IF(('Inputs (2)'!S56)=0,"",('Inputs (2)'!X56)/('Inputs (2)'!S56)-1),"")</f>
        <v/>
      </c>
      <c r="Y233" s="32" t="str">
        <f>IFERROR(IF(('Inputs (2)'!W56)=0,"",('Inputs (2)'!Y56)/('Inputs (2)'!W56)-1),"")</f>
        <v/>
      </c>
      <c r="Z233" s="32" t="str">
        <f>IFERROR(IF(('Inputs (2)'!Y56)=0,"",('Inputs (2)'!Z56)/('Inputs (2)'!Y56)-1),"")</f>
        <v/>
      </c>
      <c r="AA233" s="32" t="str">
        <f>IFERROR(IF(('Inputs (2)'!Z56)=0,"",('Inputs (2)'!AA56)/('Inputs (2)'!Z56)-1),"")</f>
        <v/>
      </c>
      <c r="AB233" s="32" t="str">
        <f>IFERROR(IF(('Inputs (2)'!AA56)=0,"",('Inputs (2)'!AB56)/('Inputs (2)'!AA56)-1),"")</f>
        <v/>
      </c>
      <c r="AC233" s="34" t="str">
        <f>IFERROR(IF(('Inputs (2)'!X56)=0,"",('Inputs (2)'!AC56)/('Inputs (2)'!X56)-1),"")</f>
        <v/>
      </c>
      <c r="AD233" s="32" t="str">
        <f>IFERROR(IF(('Inputs (2)'!AB56)=0,"",('Inputs (2)'!AD56)/('Inputs (2)'!AB56)-1),"")</f>
        <v/>
      </c>
      <c r="AE233" s="32" t="str">
        <f>IFERROR(IF(('Inputs (2)'!AD56)=0,"",('Inputs (2)'!AE56)/('Inputs (2)'!AD56)-1),"")</f>
        <v/>
      </c>
      <c r="AF233" s="32" t="str">
        <f>IFERROR(IF(('Inputs (2)'!AE56)=0,"",('Inputs (2)'!AF56)/('Inputs (2)'!AE56)-1),"")</f>
        <v/>
      </c>
      <c r="AG233" s="32" t="str">
        <f>IFERROR(IF(('Inputs (2)'!AF56)=0,"",('Inputs (2)'!AG56)/('Inputs (2)'!AF56)-1),"")</f>
        <v/>
      </c>
      <c r="AH233" s="34" t="str">
        <f>IFERROR(IF(('Inputs (2)'!AC56)=0,"",('Inputs (2)'!AH56)/('Inputs (2)'!AC56)-1),"")</f>
        <v/>
      </c>
      <c r="AI233" s="32" t="str">
        <f>IFERROR(IF(('Inputs (2)'!AG56)=0,"",('Inputs (2)'!AI56)/('Inputs (2)'!AG56)-1),"")</f>
        <v/>
      </c>
      <c r="AJ233" s="32" t="str">
        <f>IFERROR(IF(('Inputs (2)'!AI56)=0,"",('Inputs (2)'!AJ56)/('Inputs (2)'!AI56)-1),"")</f>
        <v/>
      </c>
      <c r="AK233" s="32" t="str">
        <f>IFERROR(IF(('Inputs (2)'!AJ56)=0,"",('Inputs (2)'!AK56)/('Inputs (2)'!AJ56)-1),"")</f>
        <v/>
      </c>
      <c r="AL233" s="32" t="str">
        <f>IFERROR(IF(('Inputs (2)'!AK56)=0,"",('Inputs (2)'!AL56)/('Inputs (2)'!AK56)-1),"")</f>
        <v/>
      </c>
      <c r="AM233" s="34" t="str">
        <f>IFERROR(IF(('Inputs (2)'!AH56)=0,"",('Inputs (2)'!AM56)/('Inputs (2)'!AH56)-1),"")</f>
        <v/>
      </c>
      <c r="AN233" s="32" t="str">
        <f>IFERROR(IF(('Inputs (2)'!AL56)=0,"",('Inputs (2)'!AN56)/('Inputs (2)'!AL56)-1),"")</f>
        <v/>
      </c>
      <c r="AO233" s="32" t="str">
        <f>IFERROR(IF(('Inputs (2)'!AN56)=0,"",('Inputs (2)'!AO56)/('Inputs (2)'!AN56)-1),"")</f>
        <v/>
      </c>
      <c r="AP233" s="32" t="str">
        <f>IFERROR(IF(('Inputs (2)'!AO56)=0,"",('Inputs (2)'!AP56)/('Inputs (2)'!AO56)-1),"")</f>
        <v/>
      </c>
      <c r="AQ233" s="32" t="str">
        <f>IFERROR(IF(('Inputs (2)'!AP56)=0,"",('Inputs (2)'!AQ56)/('Inputs (2)'!AP56)-1),"")</f>
        <v/>
      </c>
      <c r="AR233" s="34" t="str">
        <f>IFERROR(IF(('Inputs (2)'!AM56)=0,"",('Inputs (2)'!AR56)/('Inputs (2)'!AM56)-1),"")</f>
        <v/>
      </c>
      <c r="AS233" s="32" t="str">
        <f>IFERROR(IF(('Inputs (2)'!AQ56)=0,"",('Inputs (2)'!AS56)/('Inputs (2)'!AQ56)-1),"")</f>
        <v/>
      </c>
      <c r="AT233" s="32" t="str">
        <f>IFERROR(IF(('Inputs (2)'!AS56)=0,"",('Inputs (2)'!AT56)/('Inputs (2)'!AS56)-1),"")</f>
        <v/>
      </c>
      <c r="AU233" s="32" t="str">
        <f>IFERROR(IF(('Inputs (2)'!AT56)=0,"",('Inputs (2)'!AU56)/('Inputs (2)'!AT56)-1),"")</f>
        <v/>
      </c>
      <c r="AV233" s="32" t="str">
        <f>IFERROR(IF(('Inputs (2)'!AU56)=0,"",('Inputs (2)'!AV56)/('Inputs (2)'!AU56)-1),"")</f>
        <v/>
      </c>
      <c r="AW233" s="34" t="str">
        <f>IFERROR(IF(('Inputs (2)'!AR56)=0,"",('Inputs (2)'!AW56)/('Inputs (2)'!AR56)-1),"")</f>
        <v/>
      </c>
      <c r="AX233" s="32" t="str">
        <f>IFERROR(IF(('Inputs (2)'!AV56)=0,"",('Inputs (2)'!AX56)/('Inputs (2)'!AV56)-1),"")</f>
        <v/>
      </c>
      <c r="AY233" s="32" t="str">
        <f>IFERROR(IF(('Inputs (2)'!AX56)=0,"",('Inputs (2)'!AY56)/('Inputs (2)'!AX56)-1),"")</f>
        <v/>
      </c>
      <c r="AZ233" s="32" t="str">
        <f>IFERROR(IF(('Inputs (2)'!AY56)=0,"",('Inputs (2)'!AZ56)/('Inputs (2)'!AY56)-1),"")</f>
        <v/>
      </c>
      <c r="BA233" s="32" t="str">
        <f>IFERROR(IF(('Inputs (2)'!AZ56)=0,"",('Inputs (2)'!BA56)/('Inputs (2)'!AZ56)-1),"")</f>
        <v/>
      </c>
      <c r="BB233" s="34" t="str">
        <f>IFERROR(IF(('Inputs (2)'!AW56)=0,"",('Inputs (2)'!BB56)/('Inputs (2)'!AW56)-1),"")</f>
        <v/>
      </c>
      <c r="BC233" s="32" t="str">
        <f>IFERROR(IF(('Inputs (2)'!BA56)=0,"",('Inputs (2)'!BC56)/('Inputs (2)'!BA56)-1),"")</f>
        <v/>
      </c>
      <c r="BD233" s="32" t="str">
        <f>IFERROR(IF(('Inputs (2)'!BC56)=0,"",('Inputs (2)'!BD56)/('Inputs (2)'!BC56)-1),"")</f>
        <v/>
      </c>
      <c r="BE233" s="32" t="str">
        <f>IFERROR(IF(('Inputs (2)'!BD56)=0,"",('Inputs (2)'!BE56)/('Inputs (2)'!BD56)-1),"")</f>
        <v/>
      </c>
      <c r="BF233" s="32" t="str">
        <f>IFERROR(IF(('Inputs (2)'!BE56)=0,"",('Inputs (2)'!BF56)/('Inputs (2)'!BE56)-1),"")</f>
        <v/>
      </c>
      <c r="BG233" s="34" t="str">
        <f>IFERROR(IF(('Inputs (2)'!BB56)=0,"",('Inputs (2)'!BG56)/('Inputs (2)'!BB56)-1),"")</f>
        <v/>
      </c>
    </row>
    <row r="234" hidden="1" outlineLevel="1">
      <c r="B234" s="29" t="n"/>
      <c r="C234" s="29" t="inlineStr">
        <is>
          <t>Receitas e despesas — realizado</t>
        </is>
      </c>
      <c r="D234" s="29" t="inlineStr">
        <is>
          <t>Revenues and expenses — actual</t>
        </is>
      </c>
      <c r="E234" s="29" t="n"/>
      <c r="F234" s="29" t="n"/>
      <c r="G234" s="29" t="n"/>
      <c r="H234" s="29" t="n"/>
      <c r="I234" s="29" t="n"/>
      <c r="J234" s="29" t="n"/>
      <c r="K234" s="29" t="n"/>
      <c r="L234" s="29" t="n"/>
      <c r="M234" s="29" t="n"/>
      <c r="N234" s="29" t="n"/>
      <c r="O234" s="29" t="n"/>
      <c r="P234" s="29" t="n"/>
      <c r="Q234" s="29" t="n"/>
      <c r="R234" s="29" t="n"/>
      <c r="S234" s="29" t="n"/>
      <c r="T234" s="29" t="n"/>
      <c r="U234" s="29" t="n"/>
      <c r="V234" s="29" t="n"/>
      <c r="W234" s="29" t="n"/>
      <c r="X234" s="29" t="n"/>
      <c r="Y234" s="29" t="n"/>
      <c r="Z234" s="29" t="n"/>
      <c r="AA234" s="29" t="n"/>
      <c r="AB234" s="29" t="n"/>
      <c r="AC234" s="29" t="n"/>
      <c r="AD234" s="29" t="n"/>
      <c r="AE234" s="29" t="n"/>
      <c r="AF234" s="29" t="n"/>
      <c r="AG234" s="29" t="n"/>
      <c r="AH234" s="29" t="n"/>
      <c r="AI234" s="29" t="n"/>
      <c r="AJ234" s="29" t="n"/>
      <c r="AK234" s="29" t="n"/>
      <c r="AL234" s="29" t="n"/>
      <c r="AM234" s="29" t="n"/>
      <c r="AN234" s="29" t="n"/>
      <c r="AO234" s="29" t="n"/>
      <c r="AP234" s="29" t="n"/>
      <c r="AQ234" s="29" t="n"/>
      <c r="AR234" s="29" t="n"/>
      <c r="AS234" s="29" t="n"/>
      <c r="AT234" s="29" t="n"/>
      <c r="AU234" s="29" t="n"/>
      <c r="AV234" s="29" t="n"/>
      <c r="AW234" s="29" t="n"/>
      <c r="AX234" s="29" t="n"/>
      <c r="AY234" s="29" t="n"/>
      <c r="AZ234" s="29" t="n"/>
      <c r="BA234" s="29" t="n"/>
      <c r="BB234" s="29" t="n"/>
      <c r="BC234" s="29" t="n"/>
      <c r="BD234" s="29" t="n"/>
      <c r="BE234" s="29" t="n"/>
      <c r="BF234" s="29" t="n"/>
      <c r="BG234" s="29" t="n"/>
      <c r="BH234" s="29" t="n"/>
      <c r="BI234" s="29" t="n"/>
    </row>
    <row r="235" hidden="1" outlineLevel="1">
      <c r="C235" s="30" t="inlineStr">
        <is>
          <t>Receitas de serviços e tarifas — crescimento % YoY</t>
        </is>
      </c>
      <c r="D235" s="12" t="inlineStr">
        <is>
          <t>Fee growth YoY</t>
        </is>
      </c>
      <c r="E235" s="31" t="n"/>
      <c r="F235" s="31" t="n"/>
      <c r="G235" s="31" t="n"/>
      <c r="H235" s="31" t="n"/>
      <c r="I235" s="33" t="n"/>
      <c r="J235" s="32" t="str">
        <f>IFERROR(IF(('Inputs (2)'!E87)=0,"",('Inputs (2)'!J87)/('Inputs (2)'!E87)-1),"")</f>
        <v/>
      </c>
      <c r="K235" s="32" t="str">
        <f>IFERROR(IF(('Inputs (2)'!F87)=0,"",('Inputs (2)'!K87)/('Inputs (2)'!F87)-1),"")</f>
        <v/>
      </c>
      <c r="L235" s="32" t="str">
        <f>IFERROR(IF(('Inputs (2)'!G87)=0,"",('Inputs (2)'!L87)/('Inputs (2)'!G87)-1),"")</f>
        <v/>
      </c>
      <c r="M235" s="32" t="str">
        <f>IFERROR(IF(('Inputs (2)'!H87)=0,"",('Inputs (2)'!M87)/('Inputs (2)'!H87)-1),"")</f>
        <v/>
      </c>
      <c r="N235" s="34" t="str">
        <f>IFERROR(IF(('Inputs (2)'!I87)=0,"",('Inputs (2)'!N87)/('Inputs (2)'!I87)-1),"")</f>
        <v/>
      </c>
      <c r="O235" s="32" t="str">
        <f>IFERROR(IF(('Inputs (2)'!J87)=0,"",('Inputs (2)'!O87)/('Inputs (2)'!J87)-1),"")</f>
        <v/>
      </c>
      <c r="P235" s="32" t="str">
        <f>IFERROR(IF(('Inputs (2)'!K87)=0,"",('Inputs (2)'!P87)/('Inputs (2)'!K87)-1),"")</f>
        <v/>
      </c>
      <c r="Q235" s="32" t="str">
        <f>IFERROR(IF(('Inputs (2)'!L87)=0,"",('Inputs (2)'!Q87)/('Inputs (2)'!L87)-1),"")</f>
        <v/>
      </c>
      <c r="R235" s="32" t="str">
        <f>IFERROR(IF(('Inputs (2)'!M87)=0,"",('Inputs (2)'!R87)/('Inputs (2)'!M87)-1),"")</f>
        <v/>
      </c>
      <c r="S235" s="34" t="str">
        <f>IFERROR(IF(('Inputs (2)'!N87)=0,"",('Inputs (2)'!S87)/('Inputs (2)'!N87)-1),"")</f>
        <v/>
      </c>
      <c r="T235" s="32" t="str">
        <f>IFERROR(IF(('Inputs (2)'!O87)=0,"",('Inputs (2)'!T87)/('Inputs (2)'!O87)-1),"")</f>
        <v/>
      </c>
      <c r="U235" s="32" t="str">
        <f>IFERROR(IF(('Inputs (2)'!P87)=0,"",('Inputs (2)'!U87)/('Inputs (2)'!P87)-1),"")</f>
        <v/>
      </c>
      <c r="V235" s="32" t="str">
        <f>IFERROR(IF(('Inputs (2)'!Q87)=0,"",('Inputs (2)'!V87)/('Inputs (2)'!Q87)-1),"")</f>
        <v/>
      </c>
      <c r="W235" s="32" t="str">
        <f>IFERROR(IF(('Inputs (2)'!R87)=0,"",('Inputs (2)'!W87)/('Inputs (2)'!R87)-1),"")</f>
        <v/>
      </c>
      <c r="X235" s="34" t="str">
        <f>IFERROR(IF(('Inputs (2)'!S87)=0,"",('Inputs (2)'!X87)/('Inputs (2)'!S87)-1),"")</f>
        <v/>
      </c>
      <c r="Y235" s="32" t="str">
        <f>IFERROR(IF(('Inputs (2)'!T87)=0,"",('Inputs (2)'!Y87)/('Inputs (2)'!T87)-1),"")</f>
        <v/>
      </c>
      <c r="Z235" s="32" t="str">
        <f>IFERROR(IF(('Inputs (2)'!U87)=0,"",('Inputs (2)'!Z87)/('Inputs (2)'!U87)-1),"")</f>
        <v/>
      </c>
      <c r="AA235" s="32" t="str">
        <f>IFERROR(IF(('Inputs (2)'!V87)=0,"",('Inputs (2)'!AA87)/('Inputs (2)'!V87)-1),"")</f>
        <v/>
      </c>
      <c r="AB235" s="32" t="str">
        <f>IFERROR(IF(('Inputs (2)'!W87)=0,"",('Inputs (2)'!AB87)/('Inputs (2)'!W87)-1),"")</f>
        <v/>
      </c>
      <c r="AC235" s="34" t="str">
        <f>IFERROR(IF(('Inputs (2)'!X87)=0,"",('Inputs (2)'!AC87)/('Inputs (2)'!X87)-1),"")</f>
        <v/>
      </c>
      <c r="AD235" s="32" t="str">
        <f>IFERROR(IF(('Inputs (2)'!Y87)=0,"",('Inputs (2)'!AD87)/('Inputs (2)'!Y87)-1),"")</f>
        <v/>
      </c>
      <c r="AE235" s="32" t="str">
        <f>IFERROR(IF(('Inputs (2)'!Z87)=0,"",('Inputs (2)'!AE87)/('Inputs (2)'!Z87)-1),"")</f>
        <v/>
      </c>
      <c r="AF235" s="32" t="str">
        <f>IFERROR(IF(('Inputs (2)'!AA87)=0,"",('Inputs (2)'!AF87)/('Inputs (2)'!AA87)-1),"")</f>
        <v/>
      </c>
      <c r="AG235" s="32" t="str">
        <f>IFERROR(IF(('Inputs (2)'!AB87)=0,"",('Inputs (2)'!AG87)/('Inputs (2)'!AB87)-1),"")</f>
        <v/>
      </c>
      <c r="AH235" s="34" t="str">
        <f>IFERROR(IF(('Inputs (2)'!AC87)=0,"",('Inputs (2)'!AH87)/('Inputs (2)'!AC87)-1),"")</f>
        <v/>
      </c>
      <c r="AI235" s="32" t="str">
        <f>IFERROR(IF(('Inputs (2)'!AD87)=0,"",('Inputs (2)'!AI87)/('Inputs (2)'!AD87)-1),"")</f>
        <v/>
      </c>
      <c r="AJ235" s="32" t="str">
        <f>IFERROR(IF(('Inputs (2)'!AE87)=0,"",('Inputs (2)'!AJ87)/('Inputs (2)'!AE87)-1),"")</f>
        <v/>
      </c>
      <c r="AK235" s="32" t="str">
        <f>IFERROR(IF(('Inputs (2)'!AF87)=0,"",('Inputs (2)'!AK87)/('Inputs (2)'!AF87)-1),"")</f>
        <v/>
      </c>
      <c r="AL235" s="32" t="str">
        <f>IFERROR(IF(('Inputs (2)'!AG87)=0,"",('Inputs (2)'!AL87)/('Inputs (2)'!AG87)-1),"")</f>
        <v/>
      </c>
      <c r="AM235" s="34" t="str">
        <f>IFERROR(IF(('Inputs (2)'!AH87)=0,"",('Inputs (2)'!AM87)/('Inputs (2)'!AH87)-1),"")</f>
        <v/>
      </c>
      <c r="AN235" s="32" t="str">
        <f>IFERROR(IF(('Inputs (2)'!AI87)=0,"",('Inputs (2)'!AN87)/('Inputs (2)'!AI87)-1),"")</f>
        <v/>
      </c>
      <c r="AO235" s="32" t="str">
        <f>IFERROR(IF(('Inputs (2)'!AJ87)=0,"",('Inputs (2)'!AO87)/('Inputs (2)'!AJ87)-1),"")</f>
        <v/>
      </c>
      <c r="AP235" s="32" t="str">
        <f>IFERROR(IF(('Inputs (2)'!AK87)=0,"",('Inputs (2)'!AP87)/('Inputs (2)'!AK87)-1),"")</f>
        <v/>
      </c>
      <c r="AQ235" s="32" t="str">
        <f>IFERROR(IF(('Inputs (2)'!AL87)=0,"",('Inputs (2)'!AQ87)/('Inputs (2)'!AL87)-1),"")</f>
        <v/>
      </c>
      <c r="AR235" s="34" t="str">
        <f>IFERROR(IF(('Inputs (2)'!AM87)=0,"",('Inputs (2)'!AR87)/('Inputs (2)'!AM87)-1),"")</f>
        <v/>
      </c>
      <c r="AS235" s="32" t="str">
        <f>IFERROR(IF(('Inputs (2)'!AN87)=0,"",('Inputs (2)'!AS87)/('Inputs (2)'!AN87)-1),"")</f>
        <v/>
      </c>
      <c r="AT235" s="32" t="str">
        <f>IFERROR(IF(('Inputs (2)'!AO87)=0,"",('Inputs (2)'!AT87)/('Inputs (2)'!AO87)-1),"")</f>
        <v/>
      </c>
      <c r="AU235" s="32" t="str">
        <f>IFERROR(IF(('Inputs (2)'!AP87)=0,"",('Inputs (2)'!AU87)/('Inputs (2)'!AP87)-1),"")</f>
        <v/>
      </c>
      <c r="AV235" s="32" t="str">
        <f>IFERROR(IF(('Inputs (2)'!AQ87)=0,"",('Inputs (2)'!AV87)/('Inputs (2)'!AQ87)-1),"")</f>
        <v/>
      </c>
      <c r="AW235" s="34" t="str">
        <f>IFERROR(IF(('Inputs (2)'!AR87)=0,"",('Inputs (2)'!AW87)/('Inputs (2)'!AR87)-1),"")</f>
        <v/>
      </c>
      <c r="AX235" s="32" t="str">
        <f>IFERROR(IF(('Inputs (2)'!AS87)=0,"",('Inputs (2)'!AX87)/('Inputs (2)'!AS87)-1),"")</f>
        <v/>
      </c>
      <c r="AY235" s="32" t="str">
        <f>IFERROR(IF(('Inputs (2)'!AT87)=0,"",('Inputs (2)'!AY87)/('Inputs (2)'!AT87)-1),"")</f>
        <v/>
      </c>
      <c r="AZ235" s="32" t="str">
        <f>IFERROR(IF(('Inputs (2)'!AU87)=0,"",('Inputs (2)'!AZ87)/('Inputs (2)'!AU87)-1),"")</f>
        <v/>
      </c>
      <c r="BA235" s="32" t="str">
        <f>IFERROR(IF(('Inputs (2)'!AV87)=0,"",('Inputs (2)'!BA87)/('Inputs (2)'!AV87)-1),"")</f>
        <v/>
      </c>
      <c r="BB235" s="34" t="str">
        <f>IFERROR(IF(('Inputs (2)'!AW87)=0,"",('Inputs (2)'!BB87)/('Inputs (2)'!AW87)-1),"")</f>
        <v/>
      </c>
      <c r="BC235" s="32" t="str">
        <f>IFERROR(IF(('Inputs (2)'!AX87)=0,"",('Inputs (2)'!BC87)/('Inputs (2)'!AX87)-1),"")</f>
        <v/>
      </c>
      <c r="BD235" s="32" t="str">
        <f>IFERROR(IF(('Inputs (2)'!AY87)=0,"",('Inputs (2)'!BD87)/('Inputs (2)'!AY87)-1),"")</f>
        <v/>
      </c>
      <c r="BE235" s="32" t="str">
        <f>IFERROR(IF(('Inputs (2)'!AZ87)=0,"",('Inputs (2)'!BE87)/('Inputs (2)'!AZ87)-1),"")</f>
        <v/>
      </c>
      <c r="BF235" s="32" t="str">
        <f>IFERROR(IF(('Inputs (2)'!BA87)=0,"",('Inputs (2)'!BF87)/('Inputs (2)'!BA87)-1),"")</f>
        <v/>
      </c>
      <c r="BG235" s="34" t="str">
        <f>IFERROR(IF(('Inputs (2)'!BB87)=0,"",('Inputs (2)'!BG87)/('Inputs (2)'!BB87)-1),"")</f>
        <v/>
      </c>
    </row>
    <row r="236" hidden="1" outlineLevel="1">
      <c r="C236" s="30" t="inlineStr">
        <is>
          <t>Resultado de trading — crescimento % YoY</t>
        </is>
      </c>
      <c r="D236" s="12" t="inlineStr">
        <is>
          <t>Insurance YoY</t>
        </is>
      </c>
      <c r="E236" s="31" t="n"/>
      <c r="F236" s="31" t="n"/>
      <c r="G236" s="31" t="n"/>
      <c r="H236" s="31" t="n"/>
      <c r="I236" s="33" t="n"/>
      <c r="J236" s="32" t="str">
        <f>IFERROR(IF(('Inputs (2)'!E88)=0,"",('Inputs (2)'!J88)/('Inputs (2)'!E88)-1),"")</f>
        <v/>
      </c>
      <c r="K236" s="32" t="str">
        <f>IFERROR(IF(('Inputs (2)'!F88)=0,"",('Inputs (2)'!K88)/('Inputs (2)'!F88)-1),"")</f>
        <v/>
      </c>
      <c r="L236" s="32" t="str">
        <f>IFERROR(IF(('Inputs (2)'!G88)=0,"",('Inputs (2)'!L88)/('Inputs (2)'!G88)-1),"")</f>
        <v/>
      </c>
      <c r="M236" s="32" t="str">
        <f>IFERROR(IF(('Inputs (2)'!H88)=0,"",('Inputs (2)'!M88)/('Inputs (2)'!H88)-1),"")</f>
        <v/>
      </c>
      <c r="N236" s="34" t="str">
        <f>IFERROR(IF(('Inputs (2)'!I88)=0,"",('Inputs (2)'!N88)/('Inputs (2)'!I88)-1),"")</f>
        <v/>
      </c>
      <c r="O236" s="32" t="str">
        <f>IFERROR(IF(('Inputs (2)'!J88)=0,"",('Inputs (2)'!O88)/('Inputs (2)'!J88)-1),"")</f>
        <v/>
      </c>
      <c r="P236" s="32" t="str">
        <f>IFERROR(IF(('Inputs (2)'!K88)=0,"",('Inputs (2)'!P88)/('Inputs (2)'!K88)-1),"")</f>
        <v/>
      </c>
      <c r="Q236" s="32" t="str">
        <f>IFERROR(IF(('Inputs (2)'!L88)=0,"",('Inputs (2)'!Q88)/('Inputs (2)'!L88)-1),"")</f>
        <v/>
      </c>
      <c r="R236" s="32" t="str">
        <f>IFERROR(IF(('Inputs (2)'!M88)=0,"",('Inputs (2)'!R88)/('Inputs (2)'!M88)-1),"")</f>
        <v/>
      </c>
      <c r="S236" s="34" t="str">
        <f>IFERROR(IF(('Inputs (2)'!N88)=0,"",('Inputs (2)'!S88)/('Inputs (2)'!N88)-1),"")</f>
        <v/>
      </c>
      <c r="T236" s="32" t="str">
        <f>IFERROR(IF(('Inputs (2)'!O88)=0,"",('Inputs (2)'!T88)/('Inputs (2)'!O88)-1),"")</f>
        <v/>
      </c>
      <c r="U236" s="32" t="str">
        <f>IFERROR(IF(('Inputs (2)'!P88)=0,"",('Inputs (2)'!U88)/('Inputs (2)'!P88)-1),"")</f>
        <v/>
      </c>
      <c r="V236" s="32" t="str">
        <f>IFERROR(IF(('Inputs (2)'!Q88)=0,"",('Inputs (2)'!V88)/('Inputs (2)'!Q88)-1),"")</f>
        <v/>
      </c>
      <c r="W236" s="32" t="str">
        <f>IFERROR(IF(('Inputs (2)'!R88)=0,"",('Inputs (2)'!W88)/('Inputs (2)'!R88)-1),"")</f>
        <v/>
      </c>
      <c r="X236" s="34" t="str">
        <f>IFERROR(IF(('Inputs (2)'!S88)=0,"",('Inputs (2)'!X88)/('Inputs (2)'!S88)-1),"")</f>
        <v/>
      </c>
      <c r="Y236" s="32" t="str">
        <f>IFERROR(IF(('Inputs (2)'!T88)=0,"",('Inputs (2)'!Y88)/('Inputs (2)'!T88)-1),"")</f>
        <v/>
      </c>
      <c r="Z236" s="32" t="str">
        <f>IFERROR(IF(('Inputs (2)'!U88)=0,"",('Inputs (2)'!Z88)/('Inputs (2)'!U88)-1),"")</f>
        <v/>
      </c>
      <c r="AA236" s="32" t="str">
        <f>IFERROR(IF(('Inputs (2)'!V88)=0,"",('Inputs (2)'!AA88)/('Inputs (2)'!V88)-1),"")</f>
        <v/>
      </c>
      <c r="AB236" s="32" t="str">
        <f>IFERROR(IF(('Inputs (2)'!W88)=0,"",('Inputs (2)'!AB88)/('Inputs (2)'!W88)-1),"")</f>
        <v/>
      </c>
      <c r="AC236" s="34" t="str">
        <f>IFERROR(IF(('Inputs (2)'!X88)=0,"",('Inputs (2)'!AC88)/('Inputs (2)'!X88)-1),"")</f>
        <v/>
      </c>
      <c r="AD236" s="32" t="str">
        <f>IFERROR(IF(('Inputs (2)'!Y88)=0,"",('Inputs (2)'!AD88)/('Inputs (2)'!Y88)-1),"")</f>
        <v/>
      </c>
      <c r="AE236" s="32" t="str">
        <f>IFERROR(IF(('Inputs (2)'!Z88)=0,"",('Inputs (2)'!AE88)/('Inputs (2)'!Z88)-1),"")</f>
        <v/>
      </c>
      <c r="AF236" s="32" t="str">
        <f>IFERROR(IF(('Inputs (2)'!AA88)=0,"",('Inputs (2)'!AF88)/('Inputs (2)'!AA88)-1),"")</f>
        <v/>
      </c>
      <c r="AG236" s="32" t="str">
        <f>IFERROR(IF(('Inputs (2)'!AB88)=0,"",('Inputs (2)'!AG88)/('Inputs (2)'!AB88)-1),"")</f>
        <v/>
      </c>
      <c r="AH236" s="34" t="str">
        <f>IFERROR(IF(('Inputs (2)'!AC88)=0,"",('Inputs (2)'!AH88)/('Inputs (2)'!AC88)-1),"")</f>
        <v/>
      </c>
      <c r="AI236" s="32" t="str">
        <f>IFERROR(IF(('Inputs (2)'!AD88)=0,"",('Inputs (2)'!AI88)/('Inputs (2)'!AD88)-1),"")</f>
        <v/>
      </c>
      <c r="AJ236" s="32" t="str">
        <f>IFERROR(IF(('Inputs (2)'!AE88)=0,"",('Inputs (2)'!AJ88)/('Inputs (2)'!AE88)-1),"")</f>
        <v/>
      </c>
      <c r="AK236" s="32" t="str">
        <f>IFERROR(IF(('Inputs (2)'!AF88)=0,"",('Inputs (2)'!AK88)/('Inputs (2)'!AF88)-1),"")</f>
        <v/>
      </c>
      <c r="AL236" s="32" t="str">
        <f>IFERROR(IF(('Inputs (2)'!AG88)=0,"",('Inputs (2)'!AL88)/('Inputs (2)'!AG88)-1),"")</f>
        <v/>
      </c>
      <c r="AM236" s="34" t="str">
        <f>IFERROR(IF(('Inputs (2)'!AH88)=0,"",('Inputs (2)'!AM88)/('Inputs (2)'!AH88)-1),"")</f>
        <v/>
      </c>
      <c r="AN236" s="32" t="str">
        <f>IFERROR(IF(('Inputs (2)'!AI88)=0,"",('Inputs (2)'!AN88)/('Inputs (2)'!AI88)-1),"")</f>
        <v/>
      </c>
      <c r="AO236" s="32" t="str">
        <f>IFERROR(IF(('Inputs (2)'!AJ88)=0,"",('Inputs (2)'!AO88)/('Inputs (2)'!AJ88)-1),"")</f>
        <v/>
      </c>
      <c r="AP236" s="32" t="str">
        <f>IFERROR(IF(('Inputs (2)'!AK88)=0,"",('Inputs (2)'!AP88)/('Inputs (2)'!AK88)-1),"")</f>
        <v/>
      </c>
      <c r="AQ236" s="32" t="str">
        <f>IFERROR(IF(('Inputs (2)'!AL88)=0,"",('Inputs (2)'!AQ88)/('Inputs (2)'!AL88)-1),"")</f>
        <v/>
      </c>
      <c r="AR236" s="34" t="str">
        <f>IFERROR(IF(('Inputs (2)'!AM88)=0,"",('Inputs (2)'!AR88)/('Inputs (2)'!AM88)-1),"")</f>
        <v/>
      </c>
      <c r="AS236" s="32" t="str">
        <f>IFERROR(IF(('Inputs (2)'!AN88)=0,"",('Inputs (2)'!AS88)/('Inputs (2)'!AN88)-1),"")</f>
        <v/>
      </c>
      <c r="AT236" s="32" t="str">
        <f>IFERROR(IF(('Inputs (2)'!AO88)=0,"",('Inputs (2)'!AT88)/('Inputs (2)'!AO88)-1),"")</f>
        <v/>
      </c>
      <c r="AU236" s="32" t="str">
        <f>IFERROR(IF(('Inputs (2)'!AP88)=0,"",('Inputs (2)'!AU88)/('Inputs (2)'!AP88)-1),"")</f>
        <v/>
      </c>
      <c r="AV236" s="32" t="str">
        <f>IFERROR(IF(('Inputs (2)'!AQ88)=0,"",('Inputs (2)'!AV88)/('Inputs (2)'!AQ88)-1),"")</f>
        <v/>
      </c>
      <c r="AW236" s="34" t="str">
        <f>IFERROR(IF(('Inputs (2)'!AR88)=0,"",('Inputs (2)'!AW88)/('Inputs (2)'!AR88)-1),"")</f>
        <v/>
      </c>
      <c r="AX236" s="32" t="str">
        <f>IFERROR(IF(('Inputs (2)'!AS88)=0,"",('Inputs (2)'!AX88)/('Inputs (2)'!AS88)-1),"")</f>
        <v/>
      </c>
      <c r="AY236" s="32" t="str">
        <f>IFERROR(IF(('Inputs (2)'!AT88)=0,"",('Inputs (2)'!AY88)/('Inputs (2)'!AT88)-1),"")</f>
        <v/>
      </c>
      <c r="AZ236" s="32" t="str">
        <f>IFERROR(IF(('Inputs (2)'!AU88)=0,"",('Inputs (2)'!AZ88)/('Inputs (2)'!AU88)-1),"")</f>
        <v/>
      </c>
      <c r="BA236" s="32" t="str">
        <f>IFERROR(IF(('Inputs (2)'!AV88)=0,"",('Inputs (2)'!BA88)/('Inputs (2)'!AV88)-1),"")</f>
        <v/>
      </c>
      <c r="BB236" s="34" t="str">
        <f>IFERROR(IF(('Inputs (2)'!AW88)=0,"",('Inputs (2)'!BB88)/('Inputs (2)'!AW88)-1),"")</f>
        <v/>
      </c>
      <c r="BC236" s="32" t="str">
        <f>IFERROR(IF(('Inputs (2)'!AX88)=0,"",('Inputs (2)'!BC88)/('Inputs (2)'!AX88)-1),"")</f>
        <v/>
      </c>
      <c r="BD236" s="32" t="str">
        <f>IFERROR(IF(('Inputs (2)'!AY88)=0,"",('Inputs (2)'!BD88)/('Inputs (2)'!AY88)-1),"")</f>
        <v/>
      </c>
      <c r="BE236" s="32" t="str">
        <f>IFERROR(IF(('Inputs (2)'!AZ88)=0,"",('Inputs (2)'!BE88)/('Inputs (2)'!AZ88)-1),"")</f>
        <v/>
      </c>
      <c r="BF236" s="32" t="str">
        <f>IFERROR(IF(('Inputs (2)'!BA88)=0,"",('Inputs (2)'!BF88)/('Inputs (2)'!BA88)-1),"")</f>
        <v/>
      </c>
      <c r="BG236" s="34" t="str">
        <f>IFERROR(IF(('Inputs (2)'!BB88)=0,"",('Inputs (2)'!BG88)/('Inputs (2)'!BB88)-1),"")</f>
        <v/>
      </c>
    </row>
    <row r="237" hidden="1" outlineLevel="1">
      <c r="C237" s="30" t="inlineStr">
        <is>
          <t>Despesas de pessoal — crescimento % YoY</t>
        </is>
      </c>
      <c r="D237" s="12" t="inlineStr">
        <is>
          <t>Personnel YoY</t>
        </is>
      </c>
      <c r="E237" s="31" t="n"/>
      <c r="F237" s="31" t="n"/>
      <c r="G237" s="31" t="n"/>
      <c r="H237" s="31" t="n"/>
      <c r="I237" s="33" t="n"/>
      <c r="J237" s="32" t="str">
        <f>IFERROR(IF(('Inputs (2)'!E89)=0,"",('Inputs (2)'!J89)/('Inputs (2)'!E89)-1),"")</f>
        <v/>
      </c>
      <c r="K237" s="32" t="str">
        <f>IFERROR(IF(('Inputs (2)'!F89)=0,"",('Inputs (2)'!K89)/('Inputs (2)'!F89)-1),"")</f>
        <v/>
      </c>
      <c r="L237" s="32" t="str">
        <f>IFERROR(IF(('Inputs (2)'!G89)=0,"",('Inputs (2)'!L89)/('Inputs (2)'!G89)-1),"")</f>
        <v/>
      </c>
      <c r="M237" s="32" t="str">
        <f>IFERROR(IF(('Inputs (2)'!H89)=0,"",('Inputs (2)'!M89)/('Inputs (2)'!H89)-1),"")</f>
        <v/>
      </c>
      <c r="N237" s="34" t="str">
        <f>IFERROR(IF(('Inputs (2)'!I89)=0,"",('Inputs (2)'!N89)/('Inputs (2)'!I89)-1),"")</f>
        <v/>
      </c>
      <c r="O237" s="32" t="str">
        <f>IFERROR(IF(('Inputs (2)'!J89)=0,"",('Inputs (2)'!O89)/('Inputs (2)'!J89)-1),"")</f>
        <v/>
      </c>
      <c r="P237" s="32" t="str">
        <f>IFERROR(IF(('Inputs (2)'!K89)=0,"",('Inputs (2)'!P89)/('Inputs (2)'!K89)-1),"")</f>
        <v/>
      </c>
      <c r="Q237" s="32" t="str">
        <f>IFERROR(IF(('Inputs (2)'!L89)=0,"",('Inputs (2)'!Q89)/('Inputs (2)'!L89)-1),"")</f>
        <v/>
      </c>
      <c r="R237" s="32" t="str">
        <f>IFERROR(IF(('Inputs (2)'!M89)=0,"",('Inputs (2)'!R89)/('Inputs (2)'!M89)-1),"")</f>
        <v/>
      </c>
      <c r="S237" s="34" t="str">
        <f>IFERROR(IF(('Inputs (2)'!N89)=0,"",('Inputs (2)'!S89)/('Inputs (2)'!N89)-1),"")</f>
        <v/>
      </c>
      <c r="T237" s="32" t="str">
        <f>IFERROR(IF(('Inputs (2)'!O89)=0,"",('Inputs (2)'!T89)/('Inputs (2)'!O89)-1),"")</f>
        <v/>
      </c>
      <c r="U237" s="32" t="str">
        <f>IFERROR(IF(('Inputs (2)'!P89)=0,"",('Inputs (2)'!U89)/('Inputs (2)'!P89)-1),"")</f>
        <v/>
      </c>
      <c r="V237" s="32" t="str">
        <f>IFERROR(IF(('Inputs (2)'!Q89)=0,"",('Inputs (2)'!V89)/('Inputs (2)'!Q89)-1),"")</f>
        <v/>
      </c>
      <c r="W237" s="32" t="str">
        <f>IFERROR(IF(('Inputs (2)'!R89)=0,"",('Inputs (2)'!W89)/('Inputs (2)'!R89)-1),"")</f>
        <v/>
      </c>
      <c r="X237" s="34" t="str">
        <f>IFERROR(IF(('Inputs (2)'!S89)=0,"",('Inputs (2)'!X89)/('Inputs (2)'!S89)-1),"")</f>
        <v/>
      </c>
      <c r="Y237" s="32" t="str">
        <f>IFERROR(IF(('Inputs (2)'!T89)=0,"",('Inputs (2)'!Y89)/('Inputs (2)'!T89)-1),"")</f>
        <v/>
      </c>
      <c r="Z237" s="32" t="str">
        <f>IFERROR(IF(('Inputs (2)'!U89)=0,"",('Inputs (2)'!Z89)/('Inputs (2)'!U89)-1),"")</f>
        <v/>
      </c>
      <c r="AA237" s="32" t="str">
        <f>IFERROR(IF(('Inputs (2)'!V89)=0,"",('Inputs (2)'!AA89)/('Inputs (2)'!V89)-1),"")</f>
        <v/>
      </c>
      <c r="AB237" s="32" t="str">
        <f>IFERROR(IF(('Inputs (2)'!W89)=0,"",('Inputs (2)'!AB89)/('Inputs (2)'!W89)-1),"")</f>
        <v/>
      </c>
      <c r="AC237" s="34" t="str">
        <f>IFERROR(IF(('Inputs (2)'!X89)=0,"",('Inputs (2)'!AC89)/('Inputs (2)'!X89)-1),"")</f>
        <v/>
      </c>
      <c r="AD237" s="32" t="str">
        <f>IFERROR(IF(('Inputs (2)'!Y89)=0,"",('Inputs (2)'!AD89)/('Inputs (2)'!Y89)-1),"")</f>
        <v/>
      </c>
      <c r="AE237" s="32" t="str">
        <f>IFERROR(IF(('Inputs (2)'!Z89)=0,"",('Inputs (2)'!AE89)/('Inputs (2)'!Z89)-1),"")</f>
        <v/>
      </c>
      <c r="AF237" s="32" t="str">
        <f>IFERROR(IF(('Inputs (2)'!AA89)=0,"",('Inputs (2)'!AF89)/('Inputs (2)'!AA89)-1),"")</f>
        <v/>
      </c>
      <c r="AG237" s="32" t="str">
        <f>IFERROR(IF(('Inputs (2)'!AB89)=0,"",('Inputs (2)'!AG89)/('Inputs (2)'!AB89)-1),"")</f>
        <v/>
      </c>
      <c r="AH237" s="34" t="str">
        <f>IFERROR(IF(('Inputs (2)'!AC89)=0,"",('Inputs (2)'!AH89)/('Inputs (2)'!AC89)-1),"")</f>
        <v/>
      </c>
      <c r="AI237" s="32" t="str">
        <f>IFERROR(IF(('Inputs (2)'!AD89)=0,"",('Inputs (2)'!AI89)/('Inputs (2)'!AD89)-1),"")</f>
        <v/>
      </c>
      <c r="AJ237" s="32" t="str">
        <f>IFERROR(IF(('Inputs (2)'!AE89)=0,"",('Inputs (2)'!AJ89)/('Inputs (2)'!AE89)-1),"")</f>
        <v/>
      </c>
      <c r="AK237" s="32" t="str">
        <f>IFERROR(IF(('Inputs (2)'!AF89)=0,"",('Inputs (2)'!AK89)/('Inputs (2)'!AF89)-1),"")</f>
        <v/>
      </c>
      <c r="AL237" s="32" t="str">
        <f>IFERROR(IF(('Inputs (2)'!AG89)=0,"",('Inputs (2)'!AL89)/('Inputs (2)'!AG89)-1),"")</f>
        <v/>
      </c>
      <c r="AM237" s="34" t="str">
        <f>IFERROR(IF(('Inputs (2)'!AH89)=0,"",('Inputs (2)'!AM89)/('Inputs (2)'!AH89)-1),"")</f>
        <v/>
      </c>
      <c r="AN237" s="32" t="str">
        <f>IFERROR(IF(('Inputs (2)'!AI89)=0,"",('Inputs (2)'!AN89)/('Inputs (2)'!AI89)-1),"")</f>
        <v/>
      </c>
      <c r="AO237" s="32" t="str">
        <f>IFERROR(IF(('Inputs (2)'!AJ89)=0,"",('Inputs (2)'!AO89)/('Inputs (2)'!AJ89)-1),"")</f>
        <v/>
      </c>
      <c r="AP237" s="32" t="str">
        <f>IFERROR(IF(('Inputs (2)'!AK89)=0,"",('Inputs (2)'!AP89)/('Inputs (2)'!AK89)-1),"")</f>
        <v/>
      </c>
      <c r="AQ237" s="32" t="str">
        <f>IFERROR(IF(('Inputs (2)'!AL89)=0,"",('Inputs (2)'!AQ89)/('Inputs (2)'!AL89)-1),"")</f>
        <v/>
      </c>
      <c r="AR237" s="34" t="str">
        <f>IFERROR(IF(('Inputs (2)'!AM89)=0,"",('Inputs (2)'!AR89)/('Inputs (2)'!AM89)-1),"")</f>
        <v/>
      </c>
      <c r="AS237" s="32" t="str">
        <f>IFERROR(IF(('Inputs (2)'!AN89)=0,"",('Inputs (2)'!AS89)/('Inputs (2)'!AN89)-1),"")</f>
        <v/>
      </c>
      <c r="AT237" s="32" t="str">
        <f>IFERROR(IF(('Inputs (2)'!AO89)=0,"",('Inputs (2)'!AT89)/('Inputs (2)'!AO89)-1),"")</f>
        <v/>
      </c>
      <c r="AU237" s="32" t="str">
        <f>IFERROR(IF(('Inputs (2)'!AP89)=0,"",('Inputs (2)'!AU89)/('Inputs (2)'!AP89)-1),"")</f>
        <v/>
      </c>
      <c r="AV237" s="32" t="str">
        <f>IFERROR(IF(('Inputs (2)'!AQ89)=0,"",('Inputs (2)'!AV89)/('Inputs (2)'!AQ89)-1),"")</f>
        <v/>
      </c>
      <c r="AW237" s="34" t="str">
        <f>IFERROR(IF(('Inputs (2)'!AR89)=0,"",('Inputs (2)'!AW89)/('Inputs (2)'!AR89)-1),"")</f>
        <v/>
      </c>
      <c r="AX237" s="32" t="str">
        <f>IFERROR(IF(('Inputs (2)'!AS89)=0,"",('Inputs (2)'!AX89)/('Inputs (2)'!AS89)-1),"")</f>
        <v/>
      </c>
      <c r="AY237" s="32" t="str">
        <f>IFERROR(IF(('Inputs (2)'!AT89)=0,"",('Inputs (2)'!AY89)/('Inputs (2)'!AT89)-1),"")</f>
        <v/>
      </c>
      <c r="AZ237" s="32" t="str">
        <f>IFERROR(IF(('Inputs (2)'!AU89)=0,"",('Inputs (2)'!AZ89)/('Inputs (2)'!AU89)-1),"")</f>
        <v/>
      </c>
      <c r="BA237" s="32" t="str">
        <f>IFERROR(IF(('Inputs (2)'!AV89)=0,"",('Inputs (2)'!BA89)/('Inputs (2)'!AV89)-1),"")</f>
        <v/>
      </c>
      <c r="BB237" s="34" t="str">
        <f>IFERROR(IF(('Inputs (2)'!AW89)=0,"",('Inputs (2)'!BB89)/('Inputs (2)'!AW89)-1),"")</f>
        <v/>
      </c>
      <c r="BC237" s="32" t="str">
        <f>IFERROR(IF(('Inputs (2)'!AX89)=0,"",('Inputs (2)'!BC89)/('Inputs (2)'!AX89)-1),"")</f>
        <v/>
      </c>
      <c r="BD237" s="32" t="str">
        <f>IFERROR(IF(('Inputs (2)'!AY89)=0,"",('Inputs (2)'!BD89)/('Inputs (2)'!AY89)-1),"")</f>
        <v/>
      </c>
      <c r="BE237" s="32" t="str">
        <f>IFERROR(IF(('Inputs (2)'!AZ89)=0,"",('Inputs (2)'!BE89)/('Inputs (2)'!AZ89)-1),"")</f>
        <v/>
      </c>
      <c r="BF237" s="32" t="str">
        <f>IFERROR(IF(('Inputs (2)'!BA89)=0,"",('Inputs (2)'!BF89)/('Inputs (2)'!BA89)-1),"")</f>
        <v/>
      </c>
      <c r="BG237" s="34" t="str">
        <f>IFERROR(IF(('Inputs (2)'!BB89)=0,"",('Inputs (2)'!BG89)/('Inputs (2)'!BB89)-1),"")</f>
        <v/>
      </c>
    </row>
    <row r="238" hidden="1" outlineLevel="1">
      <c r="C238" s="30" t="inlineStr">
        <is>
          <t>Outras despesas administrativas — crescimento % YoY</t>
        </is>
      </c>
      <c r="D238" s="12" t="inlineStr">
        <is>
          <t>Admin YoY</t>
        </is>
      </c>
      <c r="E238" s="31" t="n"/>
      <c r="F238" s="31" t="n"/>
      <c r="G238" s="31" t="n"/>
      <c r="H238" s="31" t="n"/>
      <c r="I238" s="33" t="n"/>
      <c r="J238" s="32" t="str">
        <f>IFERROR(IF(('Inputs (2)'!E90)=0,"",('Inputs (2)'!J90)/('Inputs (2)'!E90)-1),"")</f>
        <v/>
      </c>
      <c r="K238" s="32" t="str">
        <f>IFERROR(IF(('Inputs (2)'!F90)=0,"",('Inputs (2)'!K90)/('Inputs (2)'!F90)-1),"")</f>
        <v/>
      </c>
      <c r="L238" s="32" t="str">
        <f>IFERROR(IF(('Inputs (2)'!G90)=0,"",('Inputs (2)'!L90)/('Inputs (2)'!G90)-1),"")</f>
        <v/>
      </c>
      <c r="M238" s="32" t="str">
        <f>IFERROR(IF(('Inputs (2)'!H90)=0,"",('Inputs (2)'!M90)/('Inputs (2)'!H90)-1),"")</f>
        <v/>
      </c>
      <c r="N238" s="34" t="str">
        <f>IFERROR(IF(('Inputs (2)'!I90)=0,"",('Inputs (2)'!N90)/('Inputs (2)'!I90)-1),"")</f>
        <v/>
      </c>
      <c r="O238" s="32" t="str">
        <f>IFERROR(IF(('Inputs (2)'!J90)=0,"",('Inputs (2)'!O90)/('Inputs (2)'!J90)-1),"")</f>
        <v/>
      </c>
      <c r="P238" s="32" t="str">
        <f>IFERROR(IF(('Inputs (2)'!K90)=0,"",('Inputs (2)'!P90)/('Inputs (2)'!K90)-1),"")</f>
        <v/>
      </c>
      <c r="Q238" s="32" t="str">
        <f>IFERROR(IF(('Inputs (2)'!L90)=0,"",('Inputs (2)'!Q90)/('Inputs (2)'!L90)-1),"")</f>
        <v/>
      </c>
      <c r="R238" s="32" t="str">
        <f>IFERROR(IF(('Inputs (2)'!M90)=0,"",('Inputs (2)'!R90)/('Inputs (2)'!M90)-1),"")</f>
        <v/>
      </c>
      <c r="S238" s="34" t="str">
        <f>IFERROR(IF(('Inputs (2)'!N90)=0,"",('Inputs (2)'!S90)/('Inputs (2)'!N90)-1),"")</f>
        <v/>
      </c>
      <c r="T238" s="32" t="str">
        <f>IFERROR(IF(('Inputs (2)'!O90)=0,"",('Inputs (2)'!T90)/('Inputs (2)'!O90)-1),"")</f>
        <v/>
      </c>
      <c r="U238" s="32" t="str">
        <f>IFERROR(IF(('Inputs (2)'!P90)=0,"",('Inputs (2)'!U90)/('Inputs (2)'!P90)-1),"")</f>
        <v/>
      </c>
      <c r="V238" s="32" t="str">
        <f>IFERROR(IF(('Inputs (2)'!Q90)=0,"",('Inputs (2)'!V90)/('Inputs (2)'!Q90)-1),"")</f>
        <v/>
      </c>
      <c r="W238" s="32" t="str">
        <f>IFERROR(IF(('Inputs (2)'!R90)=0,"",('Inputs (2)'!W90)/('Inputs (2)'!R90)-1),"")</f>
        <v/>
      </c>
      <c r="X238" s="34" t="str">
        <f>IFERROR(IF(('Inputs (2)'!S90)=0,"",('Inputs (2)'!X90)/('Inputs (2)'!S90)-1),"")</f>
        <v/>
      </c>
      <c r="Y238" s="32" t="str">
        <f>IFERROR(IF(('Inputs (2)'!T90)=0,"",('Inputs (2)'!Y90)/('Inputs (2)'!T90)-1),"")</f>
        <v/>
      </c>
      <c r="Z238" s="32" t="str">
        <f>IFERROR(IF(('Inputs (2)'!U90)=0,"",('Inputs (2)'!Z90)/('Inputs (2)'!U90)-1),"")</f>
        <v/>
      </c>
      <c r="AA238" s="32" t="str">
        <f>IFERROR(IF(('Inputs (2)'!V90)=0,"",('Inputs (2)'!AA90)/('Inputs (2)'!V90)-1),"")</f>
        <v/>
      </c>
      <c r="AB238" s="32" t="str">
        <f>IFERROR(IF(('Inputs (2)'!W90)=0,"",('Inputs (2)'!AB90)/('Inputs (2)'!W90)-1),"")</f>
        <v/>
      </c>
      <c r="AC238" s="34" t="str">
        <f>IFERROR(IF(('Inputs (2)'!X90)=0,"",('Inputs (2)'!AC90)/('Inputs (2)'!X90)-1),"")</f>
        <v/>
      </c>
      <c r="AD238" s="32" t="str">
        <f>IFERROR(IF(('Inputs (2)'!Y90)=0,"",('Inputs (2)'!AD90)/('Inputs (2)'!Y90)-1),"")</f>
        <v/>
      </c>
      <c r="AE238" s="32" t="str">
        <f>IFERROR(IF(('Inputs (2)'!Z90)=0,"",('Inputs (2)'!AE90)/('Inputs (2)'!Z90)-1),"")</f>
        <v/>
      </c>
      <c r="AF238" s="32" t="str">
        <f>IFERROR(IF(('Inputs (2)'!AA90)=0,"",('Inputs (2)'!AF90)/('Inputs (2)'!AA90)-1),"")</f>
        <v/>
      </c>
      <c r="AG238" s="32" t="str">
        <f>IFERROR(IF(('Inputs (2)'!AB90)=0,"",('Inputs (2)'!AG90)/('Inputs (2)'!AB90)-1),"")</f>
        <v/>
      </c>
      <c r="AH238" s="34" t="str">
        <f>IFERROR(IF(('Inputs (2)'!AC90)=0,"",('Inputs (2)'!AH90)/('Inputs (2)'!AC90)-1),"")</f>
        <v/>
      </c>
      <c r="AI238" s="32" t="str">
        <f>IFERROR(IF(('Inputs (2)'!AD90)=0,"",('Inputs (2)'!AI90)/('Inputs (2)'!AD90)-1),"")</f>
        <v/>
      </c>
      <c r="AJ238" s="32" t="str">
        <f>IFERROR(IF(('Inputs (2)'!AE90)=0,"",('Inputs (2)'!AJ90)/('Inputs (2)'!AE90)-1),"")</f>
        <v/>
      </c>
      <c r="AK238" s="32" t="str">
        <f>IFERROR(IF(('Inputs (2)'!AF90)=0,"",('Inputs (2)'!AK90)/('Inputs (2)'!AF90)-1),"")</f>
        <v/>
      </c>
      <c r="AL238" s="32" t="str">
        <f>IFERROR(IF(('Inputs (2)'!AG90)=0,"",('Inputs (2)'!AL90)/('Inputs (2)'!AG90)-1),"")</f>
        <v/>
      </c>
      <c r="AM238" s="34" t="str">
        <f>IFERROR(IF(('Inputs (2)'!AH90)=0,"",('Inputs (2)'!AM90)/('Inputs (2)'!AH90)-1),"")</f>
        <v/>
      </c>
      <c r="AN238" s="32" t="str">
        <f>IFERROR(IF(('Inputs (2)'!AI90)=0,"",('Inputs (2)'!AN90)/('Inputs (2)'!AI90)-1),"")</f>
        <v/>
      </c>
      <c r="AO238" s="32" t="str">
        <f>IFERROR(IF(('Inputs (2)'!AJ90)=0,"",('Inputs (2)'!AO90)/('Inputs (2)'!AJ90)-1),"")</f>
        <v/>
      </c>
      <c r="AP238" s="32" t="str">
        <f>IFERROR(IF(('Inputs (2)'!AK90)=0,"",('Inputs (2)'!AP90)/('Inputs (2)'!AK90)-1),"")</f>
        <v/>
      </c>
      <c r="AQ238" s="32" t="str">
        <f>IFERROR(IF(('Inputs (2)'!AL90)=0,"",('Inputs (2)'!AQ90)/('Inputs (2)'!AL90)-1),"")</f>
        <v/>
      </c>
      <c r="AR238" s="34" t="str">
        <f>IFERROR(IF(('Inputs (2)'!AM90)=0,"",('Inputs (2)'!AR90)/('Inputs (2)'!AM90)-1),"")</f>
        <v/>
      </c>
      <c r="AS238" s="32" t="str">
        <f>IFERROR(IF(('Inputs (2)'!AN90)=0,"",('Inputs (2)'!AS90)/('Inputs (2)'!AN90)-1),"")</f>
        <v/>
      </c>
      <c r="AT238" s="32" t="str">
        <f>IFERROR(IF(('Inputs (2)'!AO90)=0,"",('Inputs (2)'!AT90)/('Inputs (2)'!AO90)-1),"")</f>
        <v/>
      </c>
      <c r="AU238" s="32" t="str">
        <f>IFERROR(IF(('Inputs (2)'!AP90)=0,"",('Inputs (2)'!AU90)/('Inputs (2)'!AP90)-1),"")</f>
        <v/>
      </c>
      <c r="AV238" s="32" t="str">
        <f>IFERROR(IF(('Inputs (2)'!AQ90)=0,"",('Inputs (2)'!AV90)/('Inputs (2)'!AQ90)-1),"")</f>
        <v/>
      </c>
      <c r="AW238" s="34" t="str">
        <f>IFERROR(IF(('Inputs (2)'!AR90)=0,"",('Inputs (2)'!AW90)/('Inputs (2)'!AR90)-1),"")</f>
        <v/>
      </c>
      <c r="AX238" s="32" t="str">
        <f>IFERROR(IF(('Inputs (2)'!AS90)=0,"",('Inputs (2)'!AX90)/('Inputs (2)'!AS90)-1),"")</f>
        <v/>
      </c>
      <c r="AY238" s="32" t="str">
        <f>IFERROR(IF(('Inputs (2)'!AT90)=0,"",('Inputs (2)'!AY90)/('Inputs (2)'!AT90)-1),"")</f>
        <v/>
      </c>
      <c r="AZ238" s="32" t="str">
        <f>IFERROR(IF(('Inputs (2)'!AU90)=0,"",('Inputs (2)'!AZ90)/('Inputs (2)'!AU90)-1),"")</f>
        <v/>
      </c>
      <c r="BA238" s="32" t="str">
        <f>IFERROR(IF(('Inputs (2)'!AV90)=0,"",('Inputs (2)'!BA90)/('Inputs (2)'!AV90)-1),"")</f>
        <v/>
      </c>
      <c r="BB238" s="34" t="str">
        <f>IFERROR(IF(('Inputs (2)'!AW90)=0,"",('Inputs (2)'!BB90)/('Inputs (2)'!AW90)-1),"")</f>
        <v/>
      </c>
      <c r="BC238" s="32" t="str">
        <f>IFERROR(IF(('Inputs (2)'!AX90)=0,"",('Inputs (2)'!BC90)/('Inputs (2)'!AX90)-1),"")</f>
        <v/>
      </c>
      <c r="BD238" s="32" t="str">
        <f>IFERROR(IF(('Inputs (2)'!AY90)=0,"",('Inputs (2)'!BD90)/('Inputs (2)'!AY90)-1),"")</f>
        <v/>
      </c>
      <c r="BE238" s="32" t="str">
        <f>IFERROR(IF(('Inputs (2)'!AZ90)=0,"",('Inputs (2)'!BE90)/('Inputs (2)'!AZ90)-1),"")</f>
        <v/>
      </c>
      <c r="BF238" s="32" t="str">
        <f>IFERROR(IF(('Inputs (2)'!BA90)=0,"",('Inputs (2)'!BF90)/('Inputs (2)'!BA90)-1),"")</f>
        <v/>
      </c>
      <c r="BG238" s="34" t="str">
        <f>IFERROR(IF(('Inputs (2)'!BB90)=0,"",('Inputs (2)'!BG90)/('Inputs (2)'!BB90)-1),"")</f>
        <v/>
      </c>
    </row>
    <row r="239" hidden="1" outlineLevel="1">
      <c r="C239" s="30" t="inlineStr">
        <is>
          <t>Provisões jurídicas e outras (% da receita líquida)</t>
        </is>
      </c>
      <c r="D239" s="12" t="inlineStr">
        <is>
          <t>Other provisions</t>
        </is>
      </c>
      <c r="E239" s="32" t="str">
        <f>IFERROR(IF(OR(('Inputs (2)'!E81+'Inputs (2)'!E87+'Inputs (2)'!E88+'Inputs (2)'!E97)=0,('Inputs (2)'!E91)=0),"",-('Inputs (2)'!E91)/('Inputs (2)'!E81+'Inputs (2)'!E87+'Inputs (2)'!E88+'Inputs (2)'!E97)),"")</f>
        <v/>
      </c>
      <c r="F239" s="32" t="str">
        <f>IFERROR(IF(OR(('Inputs (2)'!F81+'Inputs (2)'!F87+'Inputs (2)'!F88+'Inputs (2)'!F97)=0,('Inputs (2)'!F91)=0),"",-('Inputs (2)'!F91)/('Inputs (2)'!F81+'Inputs (2)'!F87+'Inputs (2)'!F88+'Inputs (2)'!F97)),"")</f>
        <v/>
      </c>
      <c r="G239" s="32" t="str">
        <f>IFERROR(IF(OR(('Inputs (2)'!G81+'Inputs (2)'!G87+'Inputs (2)'!G88+'Inputs (2)'!G97)=0,('Inputs (2)'!G91)=0),"",-('Inputs (2)'!G91)/('Inputs (2)'!G81+'Inputs (2)'!G87+'Inputs (2)'!G88+'Inputs (2)'!G97)),"")</f>
        <v/>
      </c>
      <c r="H239" s="32" t="str">
        <f>IFERROR(IF(OR(('Inputs (2)'!H81+'Inputs (2)'!H87+'Inputs (2)'!H88+'Inputs (2)'!H97)=0,('Inputs (2)'!H91)=0),"",-('Inputs (2)'!H91)/('Inputs (2)'!H81+'Inputs (2)'!H87+'Inputs (2)'!H88+'Inputs (2)'!H97)),"")</f>
        <v/>
      </c>
      <c r="I239" s="34" t="str">
        <f>IFERROR(IF(OR(('Inputs (2)'!I81+'Inputs (2)'!I87+'Inputs (2)'!I88+'Inputs (2)'!I97)=0,('Inputs (2)'!I91)=0),"",-('Inputs (2)'!I91)/('Inputs (2)'!I81+'Inputs (2)'!I87+'Inputs (2)'!I88+'Inputs (2)'!I97)),"")</f>
        <v/>
      </c>
      <c r="J239" s="32" t="str">
        <f>IFERROR(IF(OR(('Inputs (2)'!J81+'Inputs (2)'!J87+'Inputs (2)'!J88+'Inputs (2)'!J97)=0,('Inputs (2)'!J91)=0),"",-('Inputs (2)'!J91)/('Inputs (2)'!J81+'Inputs (2)'!J87+'Inputs (2)'!J88+'Inputs (2)'!J97)),"")</f>
        <v/>
      </c>
      <c r="K239" s="32" t="str">
        <f>IFERROR(IF(OR(('Inputs (2)'!K81+'Inputs (2)'!K87+'Inputs (2)'!K88+'Inputs (2)'!K97)=0,('Inputs (2)'!K91)=0),"",-('Inputs (2)'!K91)/('Inputs (2)'!K81+'Inputs (2)'!K87+'Inputs (2)'!K88+'Inputs (2)'!K97)),"")</f>
        <v/>
      </c>
      <c r="L239" s="32" t="str">
        <f>IFERROR(IF(OR(('Inputs (2)'!L81+'Inputs (2)'!L87+'Inputs (2)'!L88+'Inputs (2)'!L97)=0,('Inputs (2)'!L91)=0),"",-('Inputs (2)'!L91)/('Inputs (2)'!L81+'Inputs (2)'!L87+'Inputs (2)'!L88+'Inputs (2)'!L97)),"")</f>
        <v/>
      </c>
      <c r="M239" s="32" t="str">
        <f>IFERROR(IF(OR(('Inputs (2)'!M81+'Inputs (2)'!M87+'Inputs (2)'!M88+'Inputs (2)'!M97)=0,('Inputs (2)'!M91)=0),"",-('Inputs (2)'!M91)/('Inputs (2)'!M81+'Inputs (2)'!M87+'Inputs (2)'!M88+'Inputs (2)'!M97)),"")</f>
        <v/>
      </c>
      <c r="N239" s="34" t="str">
        <f>IFERROR(IF(OR(('Inputs (2)'!N81+'Inputs (2)'!N87+'Inputs (2)'!N88+'Inputs (2)'!N97)=0,('Inputs (2)'!N91)=0),"",-('Inputs (2)'!N91)/('Inputs (2)'!N81+'Inputs (2)'!N87+'Inputs (2)'!N88+'Inputs (2)'!N97)),"")</f>
        <v/>
      </c>
      <c r="O239" s="32" t="str">
        <f>IFERROR(IF(OR(('Inputs (2)'!O81+'Inputs (2)'!O87+'Inputs (2)'!O88+'Inputs (2)'!O97)=0,('Inputs (2)'!O91)=0),"",-('Inputs (2)'!O91)/('Inputs (2)'!O81+'Inputs (2)'!O87+'Inputs (2)'!O88+'Inputs (2)'!O97)),"")</f>
        <v/>
      </c>
      <c r="P239" s="32" t="str">
        <f>IFERROR(IF(OR(('Inputs (2)'!P81+'Inputs (2)'!P87+'Inputs (2)'!P88+'Inputs (2)'!P97)=0,('Inputs (2)'!P91)=0),"",-('Inputs (2)'!P91)/('Inputs (2)'!P81+'Inputs (2)'!P87+'Inputs (2)'!P88+'Inputs (2)'!P97)),"")</f>
        <v/>
      </c>
      <c r="Q239" s="32" t="str">
        <f>IFERROR(IF(OR(('Inputs (2)'!Q81+'Inputs (2)'!Q87+'Inputs (2)'!Q88+'Inputs (2)'!Q97)=0,('Inputs (2)'!Q91)=0),"",-('Inputs (2)'!Q91)/('Inputs (2)'!Q81+'Inputs (2)'!Q87+'Inputs (2)'!Q88+'Inputs (2)'!Q97)),"")</f>
        <v/>
      </c>
      <c r="R239" s="32" t="str">
        <f>IFERROR(IF(OR(('Inputs (2)'!R81+'Inputs (2)'!R87+'Inputs (2)'!R88+'Inputs (2)'!R97)=0,('Inputs (2)'!R91)=0),"",-('Inputs (2)'!R91)/('Inputs (2)'!R81+'Inputs (2)'!R87+'Inputs (2)'!R88+'Inputs (2)'!R97)),"")</f>
        <v/>
      </c>
      <c r="S239" s="34" t="str">
        <f>IFERROR(IF(OR(('Inputs (2)'!S81+'Inputs (2)'!S87+'Inputs (2)'!S88+'Inputs (2)'!S97)=0,('Inputs (2)'!S91)=0),"",-('Inputs (2)'!S91)/('Inputs (2)'!S81+'Inputs (2)'!S87+'Inputs (2)'!S88+'Inputs (2)'!S97)),"")</f>
        <v/>
      </c>
      <c r="T239" s="32" t="str">
        <f>IFERROR(IF(OR(('Inputs (2)'!T81+'Inputs (2)'!T87+'Inputs (2)'!T88+'Inputs (2)'!T97)=0,('Inputs (2)'!T91)=0),"",-('Inputs (2)'!T91)/('Inputs (2)'!T81+'Inputs (2)'!T87+'Inputs (2)'!T88+'Inputs (2)'!T97)),"")</f>
        <v/>
      </c>
      <c r="U239" s="32" t="str">
        <f>IFERROR(IF(OR(('Inputs (2)'!U81+'Inputs (2)'!U87+'Inputs (2)'!U88+'Inputs (2)'!U97)=0,('Inputs (2)'!U91)=0),"",-('Inputs (2)'!U91)/('Inputs (2)'!U81+'Inputs (2)'!U87+'Inputs (2)'!U88+'Inputs (2)'!U97)),"")</f>
        <v/>
      </c>
      <c r="V239" s="32" t="str">
        <f>IFERROR(IF(OR(('Inputs (2)'!V81+'Inputs (2)'!V87+'Inputs (2)'!V88+'Inputs (2)'!V97)=0,('Inputs (2)'!V91)=0),"",-('Inputs (2)'!V91)/('Inputs (2)'!V81+'Inputs (2)'!V87+'Inputs (2)'!V88+'Inputs (2)'!V97)),"")</f>
        <v/>
      </c>
      <c r="W239" s="32" t="str">
        <f>IFERROR(IF(OR(('Inputs (2)'!W81+'Inputs (2)'!W87+'Inputs (2)'!W88+'Inputs (2)'!W97)=0,('Inputs (2)'!W91)=0),"",-('Inputs (2)'!W91)/('Inputs (2)'!W81+'Inputs (2)'!W87+'Inputs (2)'!W88+'Inputs (2)'!W97)),"")</f>
        <v/>
      </c>
      <c r="X239" s="34" t="str">
        <f>IFERROR(IF(OR(('Inputs (2)'!X81+'Inputs (2)'!X87+'Inputs (2)'!X88+'Inputs (2)'!X97)=0,('Inputs (2)'!X91)=0),"",-('Inputs (2)'!X91)/('Inputs (2)'!X81+'Inputs (2)'!X87+'Inputs (2)'!X88+'Inputs (2)'!X97)),"")</f>
        <v/>
      </c>
      <c r="Y239" s="32" t="str">
        <f>IFERROR(IF(OR(('Inputs (2)'!Y81+'Inputs (2)'!Y87+'Inputs (2)'!Y88+'Inputs (2)'!Y97)=0,('Inputs (2)'!Y91)=0),"",-('Inputs (2)'!Y91)/('Inputs (2)'!Y81+'Inputs (2)'!Y87+'Inputs (2)'!Y88+'Inputs (2)'!Y97)),"")</f>
        <v/>
      </c>
      <c r="Z239" s="32" t="str">
        <f>IFERROR(IF(OR(('Inputs (2)'!Z81+'Inputs (2)'!Z87+'Inputs (2)'!Z88+'Inputs (2)'!Z97)=0,('Inputs (2)'!Z91)=0),"",-('Inputs (2)'!Z91)/('Inputs (2)'!Z81+'Inputs (2)'!Z87+'Inputs (2)'!Z88+'Inputs (2)'!Z97)),"")</f>
        <v/>
      </c>
      <c r="AA239" s="32" t="str">
        <f>IFERROR(IF(OR(('Inputs (2)'!AA81+'Inputs (2)'!AA87+'Inputs (2)'!AA88+'Inputs (2)'!AA97)=0,('Inputs (2)'!AA91)=0),"",-('Inputs (2)'!AA91)/('Inputs (2)'!AA81+'Inputs (2)'!AA87+'Inputs (2)'!AA88+'Inputs (2)'!AA97)),"")</f>
        <v/>
      </c>
      <c r="AB239" s="32" t="str">
        <f>IFERROR(IF(OR(('Inputs (2)'!AB81+'Inputs (2)'!AB87+'Inputs (2)'!AB88+'Inputs (2)'!AB97)=0,('Inputs (2)'!AB91)=0),"",-('Inputs (2)'!AB91)/('Inputs (2)'!AB81+'Inputs (2)'!AB87+'Inputs (2)'!AB88+'Inputs (2)'!AB97)),"")</f>
        <v/>
      </c>
      <c r="AC239" s="34" t="str">
        <f>IFERROR(IF(OR(('Inputs (2)'!AC81+'Inputs (2)'!AC87+'Inputs (2)'!AC88+'Inputs (2)'!AC97)=0,('Inputs (2)'!AC91)=0),"",-('Inputs (2)'!AC91)/('Inputs (2)'!AC81+'Inputs (2)'!AC87+'Inputs (2)'!AC88+'Inputs (2)'!AC97)),"")</f>
        <v/>
      </c>
      <c r="AD239" s="32" t="str">
        <f>IFERROR(IF(OR(('Inputs (2)'!AD81+'Inputs (2)'!AD87+'Inputs (2)'!AD88+'Inputs (2)'!AD97)=0,('Inputs (2)'!AD91)=0),"",-('Inputs (2)'!AD91)/('Inputs (2)'!AD81+'Inputs (2)'!AD87+'Inputs (2)'!AD88+'Inputs (2)'!AD97)),"")</f>
        <v/>
      </c>
      <c r="AE239" s="32" t="str">
        <f>IFERROR(IF(OR(('Inputs (2)'!AE81+'Inputs (2)'!AE87+'Inputs (2)'!AE88+'Inputs (2)'!AE97)=0,('Inputs (2)'!AE91)=0),"",-('Inputs (2)'!AE91)/('Inputs (2)'!AE81+'Inputs (2)'!AE87+'Inputs (2)'!AE88+'Inputs (2)'!AE97)),"")</f>
        <v/>
      </c>
      <c r="AF239" s="32" t="str">
        <f>IFERROR(IF(OR(('Inputs (2)'!AF81+'Inputs (2)'!AF87+'Inputs (2)'!AF88+'Inputs (2)'!AF97)=0,('Inputs (2)'!AF91)=0),"",-('Inputs (2)'!AF91)/('Inputs (2)'!AF81+'Inputs (2)'!AF87+'Inputs (2)'!AF88+'Inputs (2)'!AF97)),"")</f>
        <v/>
      </c>
      <c r="AG239" s="32" t="str">
        <f>IFERROR(IF(OR(('Inputs (2)'!AG81+'Inputs (2)'!AG87+'Inputs (2)'!AG88+'Inputs (2)'!AG97)=0,('Inputs (2)'!AG91)=0),"",-('Inputs (2)'!AG91)/('Inputs (2)'!AG81+'Inputs (2)'!AG87+'Inputs (2)'!AG88+'Inputs (2)'!AG97)),"")</f>
        <v/>
      </c>
      <c r="AH239" s="34" t="str">
        <f>IFERROR(IF(OR(('Inputs (2)'!AH81+'Inputs (2)'!AH87+'Inputs (2)'!AH88+'Inputs (2)'!AH97)=0,('Inputs (2)'!AH91)=0),"",-('Inputs (2)'!AH91)/('Inputs (2)'!AH81+'Inputs (2)'!AH87+'Inputs (2)'!AH88+'Inputs (2)'!AH97)),"")</f>
        <v/>
      </c>
      <c r="AI239" s="32" t="str">
        <f>IFERROR(IF(OR(('Inputs (2)'!AI81+'Inputs (2)'!AI87+'Inputs (2)'!AI88+'Inputs (2)'!AI97)=0,('Inputs (2)'!AI91)=0),"",-('Inputs (2)'!AI91)/('Inputs (2)'!AI81+'Inputs (2)'!AI87+'Inputs (2)'!AI88+'Inputs (2)'!AI97)),"")</f>
        <v/>
      </c>
      <c r="AJ239" s="32" t="str">
        <f>IFERROR(IF(OR(('Inputs (2)'!AJ81+'Inputs (2)'!AJ87+'Inputs (2)'!AJ88+'Inputs (2)'!AJ97)=0,('Inputs (2)'!AJ91)=0),"",-('Inputs (2)'!AJ91)/('Inputs (2)'!AJ81+'Inputs (2)'!AJ87+'Inputs (2)'!AJ88+'Inputs (2)'!AJ97)),"")</f>
        <v/>
      </c>
      <c r="AK239" s="32" t="str">
        <f>IFERROR(IF(OR(('Inputs (2)'!AK81+'Inputs (2)'!AK87+'Inputs (2)'!AK88+'Inputs (2)'!AK97)=0,('Inputs (2)'!AK91)=0),"",-('Inputs (2)'!AK91)/('Inputs (2)'!AK81+'Inputs (2)'!AK87+'Inputs (2)'!AK88+'Inputs (2)'!AK97)),"")</f>
        <v/>
      </c>
      <c r="AL239" s="32" t="str">
        <f>IFERROR(IF(OR(('Inputs (2)'!AL81+'Inputs (2)'!AL87+'Inputs (2)'!AL88+'Inputs (2)'!AL97)=0,('Inputs (2)'!AL91)=0),"",-('Inputs (2)'!AL91)/('Inputs (2)'!AL81+'Inputs (2)'!AL87+'Inputs (2)'!AL88+'Inputs (2)'!AL97)),"")</f>
        <v/>
      </c>
      <c r="AM239" s="34" t="str">
        <f>IFERROR(IF(OR(('Inputs (2)'!AM81+'Inputs (2)'!AM87+'Inputs (2)'!AM88+'Inputs (2)'!AM97)=0,('Inputs (2)'!AM91)=0),"",-('Inputs (2)'!AM91)/('Inputs (2)'!AM81+'Inputs (2)'!AM87+'Inputs (2)'!AM88+'Inputs (2)'!AM97)),"")</f>
        <v/>
      </c>
      <c r="AN239" s="32" t="str">
        <f>IFERROR(IF(OR(('Inputs (2)'!AN81+'Inputs (2)'!AN87+'Inputs (2)'!AN88+'Inputs (2)'!AN97)=0,('Inputs (2)'!AN91)=0),"",-('Inputs (2)'!AN91)/('Inputs (2)'!AN81+'Inputs (2)'!AN87+'Inputs (2)'!AN88+'Inputs (2)'!AN97)),"")</f>
        <v/>
      </c>
      <c r="AO239" s="32" t="str">
        <f>IFERROR(IF(OR(('Inputs (2)'!AO81+'Inputs (2)'!AO87+'Inputs (2)'!AO88+'Inputs (2)'!AO97)=0,('Inputs (2)'!AO91)=0),"",-('Inputs (2)'!AO91)/('Inputs (2)'!AO81+'Inputs (2)'!AO87+'Inputs (2)'!AO88+'Inputs (2)'!AO97)),"")</f>
        <v/>
      </c>
      <c r="AP239" s="32" t="str">
        <f>IFERROR(IF(OR(('Inputs (2)'!AP81+'Inputs (2)'!AP87+'Inputs (2)'!AP88+'Inputs (2)'!AP97)=0,('Inputs (2)'!AP91)=0),"",-('Inputs (2)'!AP91)/('Inputs (2)'!AP81+'Inputs (2)'!AP87+'Inputs (2)'!AP88+'Inputs (2)'!AP97)),"")</f>
        <v/>
      </c>
      <c r="AQ239" s="32" t="str">
        <f>IFERROR(IF(OR(('Inputs (2)'!AQ81+'Inputs (2)'!AQ87+'Inputs (2)'!AQ88+'Inputs (2)'!AQ97)=0,('Inputs (2)'!AQ91)=0),"",-('Inputs (2)'!AQ91)/('Inputs (2)'!AQ81+'Inputs (2)'!AQ87+'Inputs (2)'!AQ88+'Inputs (2)'!AQ97)),"")</f>
        <v/>
      </c>
      <c r="AR239" s="34" t="str">
        <f>IFERROR(IF(OR(('Inputs (2)'!AR81+'Inputs (2)'!AR87+'Inputs (2)'!AR88+'Inputs (2)'!AR97)=0,('Inputs (2)'!AR91)=0),"",-('Inputs (2)'!AR91)/('Inputs (2)'!AR81+'Inputs (2)'!AR87+'Inputs (2)'!AR88+'Inputs (2)'!AR97)),"")</f>
        <v/>
      </c>
      <c r="AS239" s="32" t="str">
        <f>IFERROR(IF(OR(('Inputs (2)'!AS81+'Inputs (2)'!AS87+'Inputs (2)'!AS88+'Inputs (2)'!AS97)=0,('Inputs (2)'!AS91)=0),"",-('Inputs (2)'!AS91)/('Inputs (2)'!AS81+'Inputs (2)'!AS87+'Inputs (2)'!AS88+'Inputs (2)'!AS97)),"")</f>
        <v/>
      </c>
      <c r="AT239" s="32" t="str">
        <f>IFERROR(IF(OR(('Inputs (2)'!AT81+'Inputs (2)'!AT87+'Inputs (2)'!AT88+'Inputs (2)'!AT97)=0,('Inputs (2)'!AT91)=0),"",-('Inputs (2)'!AT91)/('Inputs (2)'!AT81+'Inputs (2)'!AT87+'Inputs (2)'!AT88+'Inputs (2)'!AT97)),"")</f>
        <v/>
      </c>
      <c r="AU239" s="32" t="str">
        <f>IFERROR(IF(OR(('Inputs (2)'!AU81+'Inputs (2)'!AU87+'Inputs (2)'!AU88+'Inputs (2)'!AU97)=0,('Inputs (2)'!AU91)=0),"",-('Inputs (2)'!AU91)/('Inputs (2)'!AU81+'Inputs (2)'!AU87+'Inputs (2)'!AU88+'Inputs (2)'!AU97)),"")</f>
        <v/>
      </c>
      <c r="AV239" s="32" t="str">
        <f>IFERROR(IF(OR(('Inputs (2)'!AV81+'Inputs (2)'!AV87+'Inputs (2)'!AV88+'Inputs (2)'!AV97)=0,('Inputs (2)'!AV91)=0),"",-('Inputs (2)'!AV91)/('Inputs (2)'!AV81+'Inputs (2)'!AV87+'Inputs (2)'!AV88+'Inputs (2)'!AV97)),"")</f>
        <v/>
      </c>
      <c r="AW239" s="34" t="str">
        <f>IFERROR(IF(OR(('Inputs (2)'!AW81+'Inputs (2)'!AW87+'Inputs (2)'!AW88+'Inputs (2)'!AW97)=0,('Inputs (2)'!AW91)=0),"",-('Inputs (2)'!AW91)/('Inputs (2)'!AW81+'Inputs (2)'!AW87+'Inputs (2)'!AW88+'Inputs (2)'!AW97)),"")</f>
        <v/>
      </c>
      <c r="AX239" s="32" t="str">
        <f>IFERROR(IF(OR(('Inputs (2)'!AX81+'Inputs (2)'!AX87+'Inputs (2)'!AX88+'Inputs (2)'!AX97)=0,('Inputs (2)'!AX91)=0),"",-('Inputs (2)'!AX91)/('Inputs (2)'!AX81+'Inputs (2)'!AX87+'Inputs (2)'!AX88+'Inputs (2)'!AX97)),"")</f>
        <v/>
      </c>
      <c r="AY239" s="32" t="str">
        <f>IFERROR(IF(OR(('Inputs (2)'!AY81+'Inputs (2)'!AY87+'Inputs (2)'!AY88+'Inputs (2)'!AY97)=0,('Inputs (2)'!AY91)=0),"",-('Inputs (2)'!AY91)/('Inputs (2)'!AY81+'Inputs (2)'!AY87+'Inputs (2)'!AY88+'Inputs (2)'!AY97)),"")</f>
        <v/>
      </c>
      <c r="AZ239" s="32" t="str">
        <f>IFERROR(IF(OR(('Inputs (2)'!AZ81+'Inputs (2)'!AZ87+'Inputs (2)'!AZ88+'Inputs (2)'!AZ97)=0,('Inputs (2)'!AZ91)=0),"",-('Inputs (2)'!AZ91)/('Inputs (2)'!AZ81+'Inputs (2)'!AZ87+'Inputs (2)'!AZ88+'Inputs (2)'!AZ97)),"")</f>
        <v/>
      </c>
      <c r="BA239" s="32" t="str">
        <f>IFERROR(IF(OR(('Inputs (2)'!BA81+'Inputs (2)'!BA87+'Inputs (2)'!BA88+'Inputs (2)'!BA97)=0,('Inputs (2)'!BA91)=0),"",-('Inputs (2)'!BA91)/('Inputs (2)'!BA81+'Inputs (2)'!BA87+'Inputs (2)'!BA88+'Inputs (2)'!BA97)),"")</f>
        <v/>
      </c>
      <c r="BB239" s="34" t="str">
        <f>IFERROR(IF(OR(('Inputs (2)'!BB81+'Inputs (2)'!BB87+'Inputs (2)'!BB88+'Inputs (2)'!BB97)=0,('Inputs (2)'!BB91)=0),"",-('Inputs (2)'!BB91)/('Inputs (2)'!BB81+'Inputs (2)'!BB87+'Inputs (2)'!BB88+'Inputs (2)'!BB97)),"")</f>
        <v/>
      </c>
      <c r="BC239" s="32" t="str">
        <f>IFERROR(IF(OR(('Inputs (2)'!BC81+'Inputs (2)'!BC87+'Inputs (2)'!BC88+'Inputs (2)'!BC97)=0,('Inputs (2)'!BC91)=0),"",-('Inputs (2)'!BC91)/('Inputs (2)'!BC81+'Inputs (2)'!BC87+'Inputs (2)'!BC88+'Inputs (2)'!BC97)),"")</f>
        <v/>
      </c>
      <c r="BD239" s="32" t="str">
        <f>IFERROR(IF(OR(('Inputs (2)'!BD81+'Inputs (2)'!BD87+'Inputs (2)'!BD88+'Inputs (2)'!BD97)=0,('Inputs (2)'!BD91)=0),"",-('Inputs (2)'!BD91)/('Inputs (2)'!BD81+'Inputs (2)'!BD87+'Inputs (2)'!BD88+'Inputs (2)'!BD97)),"")</f>
        <v/>
      </c>
      <c r="BE239" s="32" t="str">
        <f>IFERROR(IF(OR(('Inputs (2)'!BE81+'Inputs (2)'!BE87+'Inputs (2)'!BE88+'Inputs (2)'!BE97)=0,('Inputs (2)'!BE91)=0),"",-('Inputs (2)'!BE91)/('Inputs (2)'!BE81+'Inputs (2)'!BE87+'Inputs (2)'!BE88+'Inputs (2)'!BE97)),"")</f>
        <v/>
      </c>
      <c r="BF239" s="32" t="str">
        <f>IFERROR(IF(OR(('Inputs (2)'!BF81+'Inputs (2)'!BF87+'Inputs (2)'!BF88+'Inputs (2)'!BF97)=0,('Inputs (2)'!BF91)=0),"",-('Inputs (2)'!BF91)/('Inputs (2)'!BF81+'Inputs (2)'!BF87+'Inputs (2)'!BF88+'Inputs (2)'!BF97)),"")</f>
        <v/>
      </c>
      <c r="BG239" s="34" t="str">
        <f>IFERROR(IF(OR(('Inputs (2)'!BG81+'Inputs (2)'!BG87+'Inputs (2)'!BG88+'Inputs (2)'!BG97)=0,('Inputs (2)'!BG91)=0),"",-('Inputs (2)'!BG91)/('Inputs (2)'!BG81+'Inputs (2)'!BG87+'Inputs (2)'!BG88+'Inputs (2)'!BG97)),"")</f>
        <v/>
      </c>
    </row>
    <row r="240" hidden="1" outlineLevel="1">
      <c r="C240" s="30" t="inlineStr">
        <is>
          <t>FDIC e contribuições regulatórias (% da receita líquida)</t>
        </is>
      </c>
      <c r="D240" s="12" t="inlineStr">
        <is>
          <t>Tax expenses</t>
        </is>
      </c>
      <c r="E240" s="32" t="str">
        <f>IFERROR(IF(OR(('Inputs (2)'!E81+'Inputs (2)'!E87+'Inputs (2)'!E88+'Inputs (2)'!E97)=0,('Inputs (2)'!E95)=0),"",-('Inputs (2)'!E95)/('Inputs (2)'!E81+'Inputs (2)'!E87+'Inputs (2)'!E88+'Inputs (2)'!E97)),"")</f>
        <v/>
      </c>
      <c r="F240" s="32" t="str">
        <f>IFERROR(IF(OR(('Inputs (2)'!F81+'Inputs (2)'!F87+'Inputs (2)'!F88+'Inputs (2)'!F97)=0,('Inputs (2)'!F95)=0),"",-('Inputs (2)'!F95)/('Inputs (2)'!F81+'Inputs (2)'!F87+'Inputs (2)'!F88+'Inputs (2)'!F97)),"")</f>
        <v/>
      </c>
      <c r="G240" s="32" t="str">
        <f>IFERROR(IF(OR(('Inputs (2)'!G81+'Inputs (2)'!G87+'Inputs (2)'!G88+'Inputs (2)'!G97)=0,('Inputs (2)'!G95)=0),"",-('Inputs (2)'!G95)/('Inputs (2)'!G81+'Inputs (2)'!G87+'Inputs (2)'!G88+'Inputs (2)'!G97)),"")</f>
        <v/>
      </c>
      <c r="H240" s="32" t="str">
        <f>IFERROR(IF(OR(('Inputs (2)'!H81+'Inputs (2)'!H87+'Inputs (2)'!H88+'Inputs (2)'!H97)=0,('Inputs (2)'!H95)=0),"",-('Inputs (2)'!H95)/('Inputs (2)'!H81+'Inputs (2)'!H87+'Inputs (2)'!H88+'Inputs (2)'!H97)),"")</f>
        <v/>
      </c>
      <c r="I240" s="34" t="str">
        <f>IFERROR(IF(OR(('Inputs (2)'!I81+'Inputs (2)'!I87+'Inputs (2)'!I88+'Inputs (2)'!I97)=0,('Inputs (2)'!I95)=0),"",-('Inputs (2)'!I95)/('Inputs (2)'!I81+'Inputs (2)'!I87+'Inputs (2)'!I88+'Inputs (2)'!I97)),"")</f>
        <v/>
      </c>
      <c r="J240" s="32" t="str">
        <f>IFERROR(IF(OR(('Inputs (2)'!J81+'Inputs (2)'!J87+'Inputs (2)'!J88+'Inputs (2)'!J97)=0,('Inputs (2)'!J95)=0),"",-('Inputs (2)'!J95)/('Inputs (2)'!J81+'Inputs (2)'!J87+'Inputs (2)'!J88+'Inputs (2)'!J97)),"")</f>
        <v/>
      </c>
      <c r="K240" s="32" t="str">
        <f>IFERROR(IF(OR(('Inputs (2)'!K81+'Inputs (2)'!K87+'Inputs (2)'!K88+'Inputs (2)'!K97)=0,('Inputs (2)'!K95)=0),"",-('Inputs (2)'!K95)/('Inputs (2)'!K81+'Inputs (2)'!K87+'Inputs (2)'!K88+'Inputs (2)'!K97)),"")</f>
        <v/>
      </c>
      <c r="L240" s="32" t="str">
        <f>IFERROR(IF(OR(('Inputs (2)'!L81+'Inputs (2)'!L87+'Inputs (2)'!L88+'Inputs (2)'!L97)=0,('Inputs (2)'!L95)=0),"",-('Inputs (2)'!L95)/('Inputs (2)'!L81+'Inputs (2)'!L87+'Inputs (2)'!L88+'Inputs (2)'!L97)),"")</f>
        <v/>
      </c>
      <c r="M240" s="32" t="str">
        <f>IFERROR(IF(OR(('Inputs (2)'!M81+'Inputs (2)'!M87+'Inputs (2)'!M88+'Inputs (2)'!M97)=0,('Inputs (2)'!M95)=0),"",-('Inputs (2)'!M95)/('Inputs (2)'!M81+'Inputs (2)'!M87+'Inputs (2)'!M88+'Inputs (2)'!M97)),"")</f>
        <v/>
      </c>
      <c r="N240" s="34" t="str">
        <f>IFERROR(IF(OR(('Inputs (2)'!N81+'Inputs (2)'!N87+'Inputs (2)'!N88+'Inputs (2)'!N97)=0,('Inputs (2)'!N95)=0),"",-('Inputs (2)'!N95)/('Inputs (2)'!N81+'Inputs (2)'!N87+'Inputs (2)'!N88+'Inputs (2)'!N97)),"")</f>
        <v/>
      </c>
      <c r="O240" s="32" t="str">
        <f>IFERROR(IF(OR(('Inputs (2)'!O81+'Inputs (2)'!O87+'Inputs (2)'!O88+'Inputs (2)'!O97)=0,('Inputs (2)'!O95)=0),"",-('Inputs (2)'!O95)/('Inputs (2)'!O81+'Inputs (2)'!O87+'Inputs (2)'!O88+'Inputs (2)'!O97)),"")</f>
        <v/>
      </c>
      <c r="P240" s="32" t="str">
        <f>IFERROR(IF(OR(('Inputs (2)'!P81+'Inputs (2)'!P87+'Inputs (2)'!P88+'Inputs (2)'!P97)=0,('Inputs (2)'!P95)=0),"",-('Inputs (2)'!P95)/('Inputs (2)'!P81+'Inputs (2)'!P87+'Inputs (2)'!P88+'Inputs (2)'!P97)),"")</f>
        <v/>
      </c>
      <c r="Q240" s="32" t="str">
        <f>IFERROR(IF(OR(('Inputs (2)'!Q81+'Inputs (2)'!Q87+'Inputs (2)'!Q88+'Inputs (2)'!Q97)=0,('Inputs (2)'!Q95)=0),"",-('Inputs (2)'!Q95)/('Inputs (2)'!Q81+'Inputs (2)'!Q87+'Inputs (2)'!Q88+'Inputs (2)'!Q97)),"")</f>
        <v/>
      </c>
      <c r="R240" s="32" t="str">
        <f>IFERROR(IF(OR(('Inputs (2)'!R81+'Inputs (2)'!R87+'Inputs (2)'!R88+'Inputs (2)'!R97)=0,('Inputs (2)'!R95)=0),"",-('Inputs (2)'!R95)/('Inputs (2)'!R81+'Inputs (2)'!R87+'Inputs (2)'!R88+'Inputs (2)'!R97)),"")</f>
        <v/>
      </c>
      <c r="S240" s="34" t="str">
        <f>IFERROR(IF(OR(('Inputs (2)'!S81+'Inputs (2)'!S87+'Inputs (2)'!S88+'Inputs (2)'!S97)=0,('Inputs (2)'!S95)=0),"",-('Inputs (2)'!S95)/('Inputs (2)'!S81+'Inputs (2)'!S87+'Inputs (2)'!S88+'Inputs (2)'!S97)),"")</f>
        <v/>
      </c>
      <c r="T240" s="32" t="str">
        <f>IFERROR(IF(OR(('Inputs (2)'!T81+'Inputs (2)'!T87+'Inputs (2)'!T88+'Inputs (2)'!T97)=0,('Inputs (2)'!T95)=0),"",-('Inputs (2)'!T95)/('Inputs (2)'!T81+'Inputs (2)'!T87+'Inputs (2)'!T88+'Inputs (2)'!T97)),"")</f>
        <v/>
      </c>
      <c r="U240" s="32" t="str">
        <f>IFERROR(IF(OR(('Inputs (2)'!U81+'Inputs (2)'!U87+'Inputs (2)'!U88+'Inputs (2)'!U97)=0,('Inputs (2)'!U95)=0),"",-('Inputs (2)'!U95)/('Inputs (2)'!U81+'Inputs (2)'!U87+'Inputs (2)'!U88+'Inputs (2)'!U97)),"")</f>
        <v/>
      </c>
      <c r="V240" s="32" t="str">
        <f>IFERROR(IF(OR(('Inputs (2)'!V81+'Inputs (2)'!V87+'Inputs (2)'!V88+'Inputs (2)'!V97)=0,('Inputs (2)'!V95)=0),"",-('Inputs (2)'!V95)/('Inputs (2)'!V81+'Inputs (2)'!V87+'Inputs (2)'!V88+'Inputs (2)'!V97)),"")</f>
        <v/>
      </c>
      <c r="W240" s="32" t="str">
        <f>IFERROR(IF(OR(('Inputs (2)'!W81+'Inputs (2)'!W87+'Inputs (2)'!W88+'Inputs (2)'!W97)=0,('Inputs (2)'!W95)=0),"",-('Inputs (2)'!W95)/('Inputs (2)'!W81+'Inputs (2)'!W87+'Inputs (2)'!W88+'Inputs (2)'!W97)),"")</f>
        <v/>
      </c>
      <c r="X240" s="34" t="str">
        <f>IFERROR(IF(OR(('Inputs (2)'!X81+'Inputs (2)'!X87+'Inputs (2)'!X88+'Inputs (2)'!X97)=0,('Inputs (2)'!X95)=0),"",-('Inputs (2)'!X95)/('Inputs (2)'!X81+'Inputs (2)'!X87+'Inputs (2)'!X88+'Inputs (2)'!X97)),"")</f>
        <v/>
      </c>
      <c r="Y240" s="32" t="str">
        <f>IFERROR(IF(OR(('Inputs (2)'!Y81+'Inputs (2)'!Y87+'Inputs (2)'!Y88+'Inputs (2)'!Y97)=0,('Inputs (2)'!Y95)=0),"",-('Inputs (2)'!Y95)/('Inputs (2)'!Y81+'Inputs (2)'!Y87+'Inputs (2)'!Y88+'Inputs (2)'!Y97)),"")</f>
        <v/>
      </c>
      <c r="Z240" s="32" t="str">
        <f>IFERROR(IF(OR(('Inputs (2)'!Z81+'Inputs (2)'!Z87+'Inputs (2)'!Z88+'Inputs (2)'!Z97)=0,('Inputs (2)'!Z95)=0),"",-('Inputs (2)'!Z95)/('Inputs (2)'!Z81+'Inputs (2)'!Z87+'Inputs (2)'!Z88+'Inputs (2)'!Z97)),"")</f>
        <v/>
      </c>
      <c r="AA240" s="32" t="str">
        <f>IFERROR(IF(OR(('Inputs (2)'!AA81+'Inputs (2)'!AA87+'Inputs (2)'!AA88+'Inputs (2)'!AA97)=0,('Inputs (2)'!AA95)=0),"",-('Inputs (2)'!AA95)/('Inputs (2)'!AA81+'Inputs (2)'!AA87+'Inputs (2)'!AA88+'Inputs (2)'!AA97)),"")</f>
        <v/>
      </c>
      <c r="AB240" s="32" t="str">
        <f>IFERROR(IF(OR(('Inputs (2)'!AB81+'Inputs (2)'!AB87+'Inputs (2)'!AB88+'Inputs (2)'!AB97)=0,('Inputs (2)'!AB95)=0),"",-('Inputs (2)'!AB95)/('Inputs (2)'!AB81+'Inputs (2)'!AB87+'Inputs (2)'!AB88+'Inputs (2)'!AB97)),"")</f>
        <v/>
      </c>
      <c r="AC240" s="34" t="str">
        <f>IFERROR(IF(OR(('Inputs (2)'!AC81+'Inputs (2)'!AC87+'Inputs (2)'!AC88+'Inputs (2)'!AC97)=0,('Inputs (2)'!AC95)=0),"",-('Inputs (2)'!AC95)/('Inputs (2)'!AC81+'Inputs (2)'!AC87+'Inputs (2)'!AC88+'Inputs (2)'!AC97)),"")</f>
        <v/>
      </c>
      <c r="AD240" s="32" t="str">
        <f>IFERROR(IF(OR(('Inputs (2)'!AD81+'Inputs (2)'!AD87+'Inputs (2)'!AD88+'Inputs (2)'!AD97)=0,('Inputs (2)'!AD95)=0),"",-('Inputs (2)'!AD95)/('Inputs (2)'!AD81+'Inputs (2)'!AD87+'Inputs (2)'!AD88+'Inputs (2)'!AD97)),"")</f>
        <v/>
      </c>
      <c r="AE240" s="32" t="str">
        <f>IFERROR(IF(OR(('Inputs (2)'!AE81+'Inputs (2)'!AE87+'Inputs (2)'!AE88+'Inputs (2)'!AE97)=0,('Inputs (2)'!AE95)=0),"",-('Inputs (2)'!AE95)/('Inputs (2)'!AE81+'Inputs (2)'!AE87+'Inputs (2)'!AE88+'Inputs (2)'!AE97)),"")</f>
        <v/>
      </c>
      <c r="AF240" s="32" t="str">
        <f>IFERROR(IF(OR(('Inputs (2)'!AF81+'Inputs (2)'!AF87+'Inputs (2)'!AF88+'Inputs (2)'!AF97)=0,('Inputs (2)'!AF95)=0),"",-('Inputs (2)'!AF95)/('Inputs (2)'!AF81+'Inputs (2)'!AF87+'Inputs (2)'!AF88+'Inputs (2)'!AF97)),"")</f>
        <v/>
      </c>
      <c r="AG240" s="32" t="str">
        <f>IFERROR(IF(OR(('Inputs (2)'!AG81+'Inputs (2)'!AG87+'Inputs (2)'!AG88+'Inputs (2)'!AG97)=0,('Inputs (2)'!AG95)=0),"",-('Inputs (2)'!AG95)/('Inputs (2)'!AG81+'Inputs (2)'!AG87+'Inputs (2)'!AG88+'Inputs (2)'!AG97)),"")</f>
        <v/>
      </c>
      <c r="AH240" s="34" t="str">
        <f>IFERROR(IF(OR(('Inputs (2)'!AH81+'Inputs (2)'!AH87+'Inputs (2)'!AH88+'Inputs (2)'!AH97)=0,('Inputs (2)'!AH95)=0),"",-('Inputs (2)'!AH95)/('Inputs (2)'!AH81+'Inputs (2)'!AH87+'Inputs (2)'!AH88+'Inputs (2)'!AH97)),"")</f>
        <v/>
      </c>
      <c r="AI240" s="32" t="str">
        <f>IFERROR(IF(OR(('Inputs (2)'!AI81+'Inputs (2)'!AI87+'Inputs (2)'!AI88+'Inputs (2)'!AI97)=0,('Inputs (2)'!AI95)=0),"",-('Inputs (2)'!AI95)/('Inputs (2)'!AI81+'Inputs (2)'!AI87+'Inputs (2)'!AI88+'Inputs (2)'!AI97)),"")</f>
        <v/>
      </c>
      <c r="AJ240" s="32" t="str">
        <f>IFERROR(IF(OR(('Inputs (2)'!AJ81+'Inputs (2)'!AJ87+'Inputs (2)'!AJ88+'Inputs (2)'!AJ97)=0,('Inputs (2)'!AJ95)=0),"",-('Inputs (2)'!AJ95)/('Inputs (2)'!AJ81+'Inputs (2)'!AJ87+'Inputs (2)'!AJ88+'Inputs (2)'!AJ97)),"")</f>
        <v/>
      </c>
      <c r="AK240" s="32" t="str">
        <f>IFERROR(IF(OR(('Inputs (2)'!AK81+'Inputs (2)'!AK87+'Inputs (2)'!AK88+'Inputs (2)'!AK97)=0,('Inputs (2)'!AK95)=0),"",-('Inputs (2)'!AK95)/('Inputs (2)'!AK81+'Inputs (2)'!AK87+'Inputs (2)'!AK88+'Inputs (2)'!AK97)),"")</f>
        <v/>
      </c>
      <c r="AL240" s="32" t="str">
        <f>IFERROR(IF(OR(('Inputs (2)'!AL81+'Inputs (2)'!AL87+'Inputs (2)'!AL88+'Inputs (2)'!AL97)=0,('Inputs (2)'!AL95)=0),"",-('Inputs (2)'!AL95)/('Inputs (2)'!AL81+'Inputs (2)'!AL87+'Inputs (2)'!AL88+'Inputs (2)'!AL97)),"")</f>
        <v/>
      </c>
      <c r="AM240" s="34" t="str">
        <f>IFERROR(IF(OR(('Inputs (2)'!AM81+'Inputs (2)'!AM87+'Inputs (2)'!AM88+'Inputs (2)'!AM97)=0,('Inputs (2)'!AM95)=0),"",-('Inputs (2)'!AM95)/('Inputs (2)'!AM81+'Inputs (2)'!AM87+'Inputs (2)'!AM88+'Inputs (2)'!AM97)),"")</f>
        <v/>
      </c>
      <c r="AN240" s="32" t="str">
        <f>IFERROR(IF(OR(('Inputs (2)'!AN81+'Inputs (2)'!AN87+'Inputs (2)'!AN88+'Inputs (2)'!AN97)=0,('Inputs (2)'!AN95)=0),"",-('Inputs (2)'!AN95)/('Inputs (2)'!AN81+'Inputs (2)'!AN87+'Inputs (2)'!AN88+'Inputs (2)'!AN97)),"")</f>
        <v/>
      </c>
      <c r="AO240" s="32" t="str">
        <f>IFERROR(IF(OR(('Inputs (2)'!AO81+'Inputs (2)'!AO87+'Inputs (2)'!AO88+'Inputs (2)'!AO97)=0,('Inputs (2)'!AO95)=0),"",-('Inputs (2)'!AO95)/('Inputs (2)'!AO81+'Inputs (2)'!AO87+'Inputs (2)'!AO88+'Inputs (2)'!AO97)),"")</f>
        <v/>
      </c>
      <c r="AP240" s="32" t="str">
        <f>IFERROR(IF(OR(('Inputs (2)'!AP81+'Inputs (2)'!AP87+'Inputs (2)'!AP88+'Inputs (2)'!AP97)=0,('Inputs (2)'!AP95)=0),"",-('Inputs (2)'!AP95)/('Inputs (2)'!AP81+'Inputs (2)'!AP87+'Inputs (2)'!AP88+'Inputs (2)'!AP97)),"")</f>
        <v/>
      </c>
      <c r="AQ240" s="32" t="str">
        <f>IFERROR(IF(OR(('Inputs (2)'!AQ81+'Inputs (2)'!AQ87+'Inputs (2)'!AQ88+'Inputs (2)'!AQ97)=0,('Inputs (2)'!AQ95)=0),"",-('Inputs (2)'!AQ95)/('Inputs (2)'!AQ81+'Inputs (2)'!AQ87+'Inputs (2)'!AQ88+'Inputs (2)'!AQ97)),"")</f>
        <v/>
      </c>
      <c r="AR240" s="34" t="str">
        <f>IFERROR(IF(OR(('Inputs (2)'!AR81+'Inputs (2)'!AR87+'Inputs (2)'!AR88+'Inputs (2)'!AR97)=0,('Inputs (2)'!AR95)=0),"",-('Inputs (2)'!AR95)/('Inputs (2)'!AR81+'Inputs (2)'!AR87+'Inputs (2)'!AR88+'Inputs (2)'!AR97)),"")</f>
        <v/>
      </c>
      <c r="AS240" s="32" t="str">
        <f>IFERROR(IF(OR(('Inputs (2)'!AS81+'Inputs (2)'!AS87+'Inputs (2)'!AS88+'Inputs (2)'!AS97)=0,('Inputs (2)'!AS95)=0),"",-('Inputs (2)'!AS95)/('Inputs (2)'!AS81+'Inputs (2)'!AS87+'Inputs (2)'!AS88+'Inputs (2)'!AS97)),"")</f>
        <v/>
      </c>
      <c r="AT240" s="32" t="str">
        <f>IFERROR(IF(OR(('Inputs (2)'!AT81+'Inputs (2)'!AT87+'Inputs (2)'!AT88+'Inputs (2)'!AT97)=0,('Inputs (2)'!AT95)=0),"",-('Inputs (2)'!AT95)/('Inputs (2)'!AT81+'Inputs (2)'!AT87+'Inputs (2)'!AT88+'Inputs (2)'!AT97)),"")</f>
        <v/>
      </c>
      <c r="AU240" s="32" t="str">
        <f>IFERROR(IF(OR(('Inputs (2)'!AU81+'Inputs (2)'!AU87+'Inputs (2)'!AU88+'Inputs (2)'!AU97)=0,('Inputs (2)'!AU95)=0),"",-('Inputs (2)'!AU95)/('Inputs (2)'!AU81+'Inputs (2)'!AU87+'Inputs (2)'!AU88+'Inputs (2)'!AU97)),"")</f>
        <v/>
      </c>
      <c r="AV240" s="32" t="str">
        <f>IFERROR(IF(OR(('Inputs (2)'!AV81+'Inputs (2)'!AV87+'Inputs (2)'!AV88+'Inputs (2)'!AV97)=0,('Inputs (2)'!AV95)=0),"",-('Inputs (2)'!AV95)/('Inputs (2)'!AV81+'Inputs (2)'!AV87+'Inputs (2)'!AV88+'Inputs (2)'!AV97)),"")</f>
        <v/>
      </c>
      <c r="AW240" s="34" t="str">
        <f>IFERROR(IF(OR(('Inputs (2)'!AW81+'Inputs (2)'!AW87+'Inputs (2)'!AW88+'Inputs (2)'!AW97)=0,('Inputs (2)'!AW95)=0),"",-('Inputs (2)'!AW95)/('Inputs (2)'!AW81+'Inputs (2)'!AW87+'Inputs (2)'!AW88+'Inputs (2)'!AW97)),"")</f>
        <v/>
      </c>
      <c r="AX240" s="32" t="str">
        <f>IFERROR(IF(OR(('Inputs (2)'!AX81+'Inputs (2)'!AX87+'Inputs (2)'!AX88+'Inputs (2)'!AX97)=0,('Inputs (2)'!AX95)=0),"",-('Inputs (2)'!AX95)/('Inputs (2)'!AX81+'Inputs (2)'!AX87+'Inputs (2)'!AX88+'Inputs (2)'!AX97)),"")</f>
        <v/>
      </c>
      <c r="AY240" s="32" t="str">
        <f>IFERROR(IF(OR(('Inputs (2)'!AY81+'Inputs (2)'!AY87+'Inputs (2)'!AY88+'Inputs (2)'!AY97)=0,('Inputs (2)'!AY95)=0),"",-('Inputs (2)'!AY95)/('Inputs (2)'!AY81+'Inputs (2)'!AY87+'Inputs (2)'!AY88+'Inputs (2)'!AY97)),"")</f>
        <v/>
      </c>
      <c r="AZ240" s="32" t="str">
        <f>IFERROR(IF(OR(('Inputs (2)'!AZ81+'Inputs (2)'!AZ87+'Inputs (2)'!AZ88+'Inputs (2)'!AZ97)=0,('Inputs (2)'!AZ95)=0),"",-('Inputs (2)'!AZ95)/('Inputs (2)'!AZ81+'Inputs (2)'!AZ87+'Inputs (2)'!AZ88+'Inputs (2)'!AZ97)),"")</f>
        <v/>
      </c>
      <c r="BA240" s="32" t="str">
        <f>IFERROR(IF(OR(('Inputs (2)'!BA81+'Inputs (2)'!BA87+'Inputs (2)'!BA88+'Inputs (2)'!BA97)=0,('Inputs (2)'!BA95)=0),"",-('Inputs (2)'!BA95)/('Inputs (2)'!BA81+'Inputs (2)'!BA87+'Inputs (2)'!BA88+'Inputs (2)'!BA97)),"")</f>
        <v/>
      </c>
      <c r="BB240" s="34" t="str">
        <f>IFERROR(IF(OR(('Inputs (2)'!BB81+'Inputs (2)'!BB87+'Inputs (2)'!BB88+'Inputs (2)'!BB97)=0,('Inputs (2)'!BB95)=0),"",-('Inputs (2)'!BB95)/('Inputs (2)'!BB81+'Inputs (2)'!BB87+'Inputs (2)'!BB88+'Inputs (2)'!BB97)),"")</f>
        <v/>
      </c>
      <c r="BC240" s="32" t="str">
        <f>IFERROR(IF(OR(('Inputs (2)'!BC81+'Inputs (2)'!BC87+'Inputs (2)'!BC88+'Inputs (2)'!BC97)=0,('Inputs (2)'!BC95)=0),"",-('Inputs (2)'!BC95)/('Inputs (2)'!BC81+'Inputs (2)'!BC87+'Inputs (2)'!BC88+'Inputs (2)'!BC97)),"")</f>
        <v/>
      </c>
      <c r="BD240" s="32" t="str">
        <f>IFERROR(IF(OR(('Inputs (2)'!BD81+'Inputs (2)'!BD87+'Inputs (2)'!BD88+'Inputs (2)'!BD97)=0,('Inputs (2)'!BD95)=0),"",-('Inputs (2)'!BD95)/('Inputs (2)'!BD81+'Inputs (2)'!BD87+'Inputs (2)'!BD88+'Inputs (2)'!BD97)),"")</f>
        <v/>
      </c>
      <c r="BE240" s="32" t="str">
        <f>IFERROR(IF(OR(('Inputs (2)'!BE81+'Inputs (2)'!BE87+'Inputs (2)'!BE88+'Inputs (2)'!BE97)=0,('Inputs (2)'!BE95)=0),"",-('Inputs (2)'!BE95)/('Inputs (2)'!BE81+'Inputs (2)'!BE87+'Inputs (2)'!BE88+'Inputs (2)'!BE97)),"")</f>
        <v/>
      </c>
      <c r="BF240" s="32" t="str">
        <f>IFERROR(IF(OR(('Inputs (2)'!BF81+'Inputs (2)'!BF87+'Inputs (2)'!BF88+'Inputs (2)'!BF97)=0,('Inputs (2)'!BF95)=0),"",-('Inputs (2)'!BF95)/('Inputs (2)'!BF81+'Inputs (2)'!BF87+'Inputs (2)'!BF88+'Inputs (2)'!BF97)),"")</f>
        <v/>
      </c>
      <c r="BG240" s="34" t="str">
        <f>IFERROR(IF(OR(('Inputs (2)'!BG81+'Inputs (2)'!BG87+'Inputs (2)'!BG88+'Inputs (2)'!BG97)=0,('Inputs (2)'!BG95)=0),"",-('Inputs (2)'!BG95)/('Inputs (2)'!BG81+'Inputs (2)'!BG87+'Inputs (2)'!BG88+'Inputs (2)'!BG97)),"")</f>
        <v/>
      </c>
    </row>
    <row r="241" hidden="1" outlineLevel="1">
      <c r="C241" s="30" t="inlineStr">
        <is>
          <t>Resultado de participações</t>
        </is>
      </c>
      <c r="D241" s="12" t="inlineStr">
        <is>
          <t>Equity income</t>
        </is>
      </c>
      <c r="E241" s="35" t="str">
        <f>IFERROR(IF(OR(COUNT('Inputs (2)'!E96)=0,('Inputs (2)'!E96)=0),"",('Inputs (2)'!E96)),"")</f>
        <v/>
      </c>
      <c r="F241" s="35" t="str">
        <f>IFERROR(IF(OR(COUNT('Inputs (2)'!F96)=0,('Inputs (2)'!F96)=0),"",('Inputs (2)'!F96)),"")</f>
        <v/>
      </c>
      <c r="G241" s="35" t="str">
        <f>IFERROR(IF(OR(COUNT('Inputs (2)'!G96)=0,('Inputs (2)'!G96)=0),"",('Inputs (2)'!G96)),"")</f>
        <v/>
      </c>
      <c r="H241" s="35" t="str">
        <f>IFERROR(IF(OR(COUNT('Inputs (2)'!H96)=0,('Inputs (2)'!H96)=0),"",('Inputs (2)'!H96)),"")</f>
        <v/>
      </c>
      <c r="I241" s="36" t="str">
        <f>IFERROR(IF(OR(COUNT('Inputs (2)'!I96)=0,('Inputs (2)'!I96)=0),"",('Inputs (2)'!I96)),"")</f>
        <v/>
      </c>
      <c r="J241" s="35" t="str">
        <f>IFERROR(IF(OR(COUNT('Inputs (2)'!J96)=0,('Inputs (2)'!J96)=0),"",('Inputs (2)'!J96)),"")</f>
        <v/>
      </c>
      <c r="K241" s="35" t="str">
        <f>IFERROR(IF(OR(COUNT('Inputs (2)'!K96)=0,('Inputs (2)'!K96)=0),"",('Inputs (2)'!K96)),"")</f>
        <v/>
      </c>
      <c r="L241" s="35" t="str">
        <f>IFERROR(IF(OR(COUNT('Inputs (2)'!L96)=0,('Inputs (2)'!L96)=0),"",('Inputs (2)'!L96)),"")</f>
        <v/>
      </c>
      <c r="M241" s="35" t="str">
        <f>IFERROR(IF(OR(COUNT('Inputs (2)'!M96)=0,('Inputs (2)'!M96)=0),"",('Inputs (2)'!M96)),"")</f>
        <v/>
      </c>
      <c r="N241" s="36" t="str">
        <f>IFERROR(IF(OR(COUNT('Inputs (2)'!N96)=0,('Inputs (2)'!N96)=0),"",('Inputs (2)'!N96)),"")</f>
        <v/>
      </c>
      <c r="O241" s="35" t="str">
        <f>IFERROR(IF(OR(COUNT('Inputs (2)'!O96)=0,('Inputs (2)'!O96)=0),"",('Inputs (2)'!O96)),"")</f>
        <v/>
      </c>
      <c r="P241" s="35" t="str">
        <f>IFERROR(IF(OR(COUNT('Inputs (2)'!P96)=0,('Inputs (2)'!P96)=0),"",('Inputs (2)'!P96)),"")</f>
        <v/>
      </c>
      <c r="Q241" s="35" t="str">
        <f>IFERROR(IF(OR(COUNT('Inputs (2)'!Q96)=0,('Inputs (2)'!Q96)=0),"",('Inputs (2)'!Q96)),"")</f>
        <v/>
      </c>
      <c r="R241" s="35" t="str">
        <f>IFERROR(IF(OR(COUNT('Inputs (2)'!R96)=0,('Inputs (2)'!R96)=0),"",('Inputs (2)'!R96)),"")</f>
        <v/>
      </c>
      <c r="S241" s="36" t="str">
        <f>IFERROR(IF(OR(COUNT('Inputs (2)'!S96)=0,('Inputs (2)'!S96)=0),"",('Inputs (2)'!S96)),"")</f>
        <v/>
      </c>
      <c r="T241" s="35" t="str">
        <f>IFERROR(IF(OR(COUNT('Inputs (2)'!T96)=0,('Inputs (2)'!T96)=0),"",('Inputs (2)'!T96)),"")</f>
        <v/>
      </c>
      <c r="U241" s="35" t="str">
        <f>IFERROR(IF(OR(COUNT('Inputs (2)'!U96)=0,('Inputs (2)'!U96)=0),"",('Inputs (2)'!U96)),"")</f>
        <v/>
      </c>
      <c r="V241" s="35" t="str">
        <f>IFERROR(IF(OR(COUNT('Inputs (2)'!V96)=0,('Inputs (2)'!V96)=0),"",('Inputs (2)'!V96)),"")</f>
        <v/>
      </c>
      <c r="W241" s="35" t="str">
        <f>IFERROR(IF(OR(COUNT('Inputs (2)'!W96)=0,('Inputs (2)'!W96)=0),"",('Inputs (2)'!W96)),"")</f>
        <v/>
      </c>
      <c r="X241" s="36" t="str">
        <f>IFERROR(IF(OR(COUNT('Inputs (2)'!X96)=0,('Inputs (2)'!X96)=0),"",('Inputs (2)'!X96)),"")</f>
        <v/>
      </c>
      <c r="Y241" s="35" t="str">
        <f>IFERROR(IF(OR(COUNT('Inputs (2)'!Y96)=0,('Inputs (2)'!Y96)=0),"",('Inputs (2)'!Y96)),"")</f>
        <v/>
      </c>
      <c r="Z241" s="35" t="str">
        <f>IFERROR(IF(OR(COUNT('Inputs (2)'!Z96)=0,('Inputs (2)'!Z96)=0),"",('Inputs (2)'!Z96)),"")</f>
        <v/>
      </c>
      <c r="AA241" s="35" t="str">
        <f>IFERROR(IF(OR(COUNT('Inputs (2)'!AA96)=0,('Inputs (2)'!AA96)=0),"",('Inputs (2)'!AA96)),"")</f>
        <v/>
      </c>
      <c r="AB241" s="35" t="str">
        <f>IFERROR(IF(OR(COUNT('Inputs (2)'!AB96)=0,('Inputs (2)'!AB96)=0),"",('Inputs (2)'!AB96)),"")</f>
        <v/>
      </c>
      <c r="AC241" s="36" t="str">
        <f>IFERROR(IF(OR(COUNT('Inputs (2)'!AC96)=0,('Inputs (2)'!AC96)=0),"",('Inputs (2)'!AC96)),"")</f>
        <v/>
      </c>
      <c r="AD241" s="35" t="str">
        <f>IFERROR(IF(OR(COUNT('Inputs (2)'!AD96)=0,('Inputs (2)'!AD96)=0),"",('Inputs (2)'!AD96)),"")</f>
        <v/>
      </c>
      <c r="AE241" s="35" t="str">
        <f>IFERROR(IF(OR(COUNT('Inputs (2)'!AE96)=0,('Inputs (2)'!AE96)=0),"",('Inputs (2)'!AE96)),"")</f>
        <v/>
      </c>
      <c r="AF241" s="35" t="str">
        <f>IFERROR(IF(OR(COUNT('Inputs (2)'!AF96)=0,('Inputs (2)'!AF96)=0),"",('Inputs (2)'!AF96)),"")</f>
        <v/>
      </c>
      <c r="AG241" s="35" t="str">
        <f>IFERROR(IF(OR(COUNT('Inputs (2)'!AG96)=0,('Inputs (2)'!AG96)=0),"",('Inputs (2)'!AG96)),"")</f>
        <v/>
      </c>
      <c r="AH241" s="36" t="str">
        <f>IFERROR(IF(OR(COUNT('Inputs (2)'!AH96)=0,('Inputs (2)'!AH96)=0),"",('Inputs (2)'!AH96)),"")</f>
        <v/>
      </c>
      <c r="AI241" s="35" t="str">
        <f>IFERROR(IF(OR(COUNT('Inputs (2)'!AI96)=0,('Inputs (2)'!AI96)=0),"",('Inputs (2)'!AI96)),"")</f>
        <v/>
      </c>
      <c r="AJ241" s="35" t="str">
        <f>IFERROR(IF(OR(COUNT('Inputs (2)'!AJ96)=0,('Inputs (2)'!AJ96)=0),"",('Inputs (2)'!AJ96)),"")</f>
        <v/>
      </c>
      <c r="AK241" s="35" t="str">
        <f>IFERROR(IF(OR(COUNT('Inputs (2)'!AK96)=0,('Inputs (2)'!AK96)=0),"",('Inputs (2)'!AK96)),"")</f>
        <v/>
      </c>
      <c r="AL241" s="35" t="str">
        <f>IFERROR(IF(OR(COUNT('Inputs (2)'!AL96)=0,('Inputs (2)'!AL96)=0),"",('Inputs (2)'!AL96)),"")</f>
        <v/>
      </c>
      <c r="AM241" s="36" t="str">
        <f>IFERROR(IF(OR(COUNT('Inputs (2)'!AM96)=0,('Inputs (2)'!AM96)=0),"",('Inputs (2)'!AM96)),"")</f>
        <v/>
      </c>
      <c r="AN241" s="35" t="str">
        <f>IFERROR(IF(OR(COUNT('Inputs (2)'!AN96)=0,('Inputs (2)'!AN96)=0),"",('Inputs (2)'!AN96)),"")</f>
        <v/>
      </c>
      <c r="AO241" s="35" t="str">
        <f>IFERROR(IF(OR(COUNT('Inputs (2)'!AO96)=0,('Inputs (2)'!AO96)=0),"",('Inputs (2)'!AO96)),"")</f>
        <v/>
      </c>
      <c r="AP241" s="35" t="str">
        <f>IFERROR(IF(OR(COUNT('Inputs (2)'!AP96)=0,('Inputs (2)'!AP96)=0),"",('Inputs (2)'!AP96)),"")</f>
        <v/>
      </c>
      <c r="AQ241" s="35" t="str">
        <f>IFERROR(IF(OR(COUNT('Inputs (2)'!AQ96)=0,('Inputs (2)'!AQ96)=0),"",('Inputs (2)'!AQ96)),"")</f>
        <v/>
      </c>
      <c r="AR241" s="36" t="str">
        <f>IFERROR(IF(OR(COUNT('Inputs (2)'!AR96)=0,('Inputs (2)'!AR96)=0),"",('Inputs (2)'!AR96)),"")</f>
        <v/>
      </c>
      <c r="AS241" s="35" t="str">
        <f>IFERROR(IF(OR(COUNT('Inputs (2)'!AS96)=0,('Inputs (2)'!AS96)=0),"",('Inputs (2)'!AS96)),"")</f>
        <v/>
      </c>
      <c r="AT241" s="35" t="str">
        <f>IFERROR(IF(OR(COUNT('Inputs (2)'!AT96)=0,('Inputs (2)'!AT96)=0),"",('Inputs (2)'!AT96)),"")</f>
        <v/>
      </c>
      <c r="AU241" s="35" t="str">
        <f>IFERROR(IF(OR(COUNT('Inputs (2)'!AU96)=0,('Inputs (2)'!AU96)=0),"",('Inputs (2)'!AU96)),"")</f>
        <v/>
      </c>
      <c r="AV241" s="35" t="str">
        <f>IFERROR(IF(OR(COUNT('Inputs (2)'!AV96)=0,('Inputs (2)'!AV96)=0),"",('Inputs (2)'!AV96)),"")</f>
        <v/>
      </c>
      <c r="AW241" s="36" t="str">
        <f>IFERROR(IF(OR(COUNT('Inputs (2)'!AW96)=0,('Inputs (2)'!AW96)=0),"",('Inputs (2)'!AW96)),"")</f>
        <v/>
      </c>
      <c r="AX241" s="35" t="str">
        <f>IFERROR(IF(OR(COUNT('Inputs (2)'!AX96)=0,('Inputs (2)'!AX96)=0),"",('Inputs (2)'!AX96)),"")</f>
        <v/>
      </c>
      <c r="AY241" s="35" t="str">
        <f>IFERROR(IF(OR(COUNT('Inputs (2)'!AY96)=0,('Inputs (2)'!AY96)=0),"",('Inputs (2)'!AY96)),"")</f>
        <v/>
      </c>
      <c r="AZ241" s="35" t="str">
        <f>IFERROR(IF(OR(COUNT('Inputs (2)'!AZ96)=0,('Inputs (2)'!AZ96)=0),"",('Inputs (2)'!AZ96)),"")</f>
        <v/>
      </c>
      <c r="BA241" s="35" t="str">
        <f>IFERROR(IF(OR(COUNT('Inputs (2)'!BA96)=0,('Inputs (2)'!BA96)=0),"",('Inputs (2)'!BA96)),"")</f>
        <v/>
      </c>
      <c r="BB241" s="36" t="str">
        <f>IFERROR(IF(OR(COUNT('Inputs (2)'!BB96)=0,('Inputs (2)'!BB96)=0),"",('Inputs (2)'!BB96)),"")</f>
        <v/>
      </c>
      <c r="BC241" s="35" t="str">
        <f>IFERROR(IF(OR(COUNT('Inputs (2)'!BC96)=0,('Inputs (2)'!BC96)=0),"",('Inputs (2)'!BC96)),"")</f>
        <v/>
      </c>
      <c r="BD241" s="35" t="str">
        <f>IFERROR(IF(OR(COUNT('Inputs (2)'!BD96)=0,('Inputs (2)'!BD96)=0),"",('Inputs (2)'!BD96)),"")</f>
        <v/>
      </c>
      <c r="BE241" s="35" t="str">
        <f>IFERROR(IF(OR(COUNT('Inputs (2)'!BE96)=0,('Inputs (2)'!BE96)=0),"",('Inputs (2)'!BE96)),"")</f>
        <v/>
      </c>
      <c r="BF241" s="35" t="str">
        <f>IFERROR(IF(OR(COUNT('Inputs (2)'!BF96)=0,('Inputs (2)'!BF96)=0),"",('Inputs (2)'!BF96)),"")</f>
        <v/>
      </c>
      <c r="BG241" s="36" t="str">
        <f>IFERROR(IF(OR(COUNT('Inputs (2)'!BG96)=0,('Inputs (2)'!BG96)=0),"",('Inputs (2)'!BG96)),"")</f>
        <v/>
      </c>
    </row>
    <row r="242" hidden="1" outlineLevel="1">
      <c r="C242" s="30" t="inlineStr">
        <is>
          <t>Outras despesas operacionais líquidas (% da receita)</t>
        </is>
      </c>
      <c r="D242" s="12" t="inlineStr">
        <is>
          <t>Other op.</t>
        </is>
      </c>
      <c r="E242" s="32" t="str">
        <f>IFERROR(IF(OR(('Inputs (2)'!E81+'Inputs (2)'!E87+'Inputs (2)'!E88+'Inputs (2)'!E97)=0,('Inputs (2)'!E98)=0),"",-('Inputs (2)'!E98)/('Inputs (2)'!E81+'Inputs (2)'!E87+'Inputs (2)'!E88+'Inputs (2)'!E97)),"")</f>
        <v/>
      </c>
      <c r="F242" s="32" t="str">
        <f>IFERROR(IF(OR(('Inputs (2)'!F81+'Inputs (2)'!F87+'Inputs (2)'!F88+'Inputs (2)'!F97)=0,('Inputs (2)'!F98)=0),"",-('Inputs (2)'!F98)/('Inputs (2)'!F81+'Inputs (2)'!F87+'Inputs (2)'!F88+'Inputs (2)'!F97)),"")</f>
        <v/>
      </c>
      <c r="G242" s="32" t="str">
        <f>IFERROR(IF(OR(('Inputs (2)'!G81+'Inputs (2)'!G87+'Inputs (2)'!G88+'Inputs (2)'!G97)=0,('Inputs (2)'!G98)=0),"",-('Inputs (2)'!G98)/('Inputs (2)'!G81+'Inputs (2)'!G87+'Inputs (2)'!G88+'Inputs (2)'!G97)),"")</f>
        <v/>
      </c>
      <c r="H242" s="32" t="str">
        <f>IFERROR(IF(OR(('Inputs (2)'!H81+'Inputs (2)'!H87+'Inputs (2)'!H88+'Inputs (2)'!H97)=0,('Inputs (2)'!H98)=0),"",-('Inputs (2)'!H98)/('Inputs (2)'!H81+'Inputs (2)'!H87+'Inputs (2)'!H88+'Inputs (2)'!H97)),"")</f>
        <v/>
      </c>
      <c r="I242" s="34" t="str">
        <f>IFERROR(IF(OR(('Inputs (2)'!I81+'Inputs (2)'!I87+'Inputs (2)'!I88+'Inputs (2)'!I97)=0,('Inputs (2)'!I98)=0),"",-('Inputs (2)'!I98)/('Inputs (2)'!I81+'Inputs (2)'!I87+'Inputs (2)'!I88+'Inputs (2)'!I97)),"")</f>
        <v/>
      </c>
      <c r="J242" s="32" t="str">
        <f>IFERROR(IF(OR(('Inputs (2)'!J81+'Inputs (2)'!J87+'Inputs (2)'!J88+'Inputs (2)'!J97)=0,('Inputs (2)'!J98)=0),"",-('Inputs (2)'!J98)/('Inputs (2)'!J81+'Inputs (2)'!J87+'Inputs (2)'!J88+'Inputs (2)'!J97)),"")</f>
        <v/>
      </c>
      <c r="K242" s="32" t="str">
        <f>IFERROR(IF(OR(('Inputs (2)'!K81+'Inputs (2)'!K87+'Inputs (2)'!K88+'Inputs (2)'!K97)=0,('Inputs (2)'!K98)=0),"",-('Inputs (2)'!K98)/('Inputs (2)'!K81+'Inputs (2)'!K87+'Inputs (2)'!K88+'Inputs (2)'!K97)),"")</f>
        <v/>
      </c>
      <c r="L242" s="32" t="str">
        <f>IFERROR(IF(OR(('Inputs (2)'!L81+'Inputs (2)'!L87+'Inputs (2)'!L88+'Inputs (2)'!L97)=0,('Inputs (2)'!L98)=0),"",-('Inputs (2)'!L98)/('Inputs (2)'!L81+'Inputs (2)'!L87+'Inputs (2)'!L88+'Inputs (2)'!L97)),"")</f>
        <v/>
      </c>
      <c r="M242" s="32" t="str">
        <f>IFERROR(IF(OR(('Inputs (2)'!M81+'Inputs (2)'!M87+'Inputs (2)'!M88+'Inputs (2)'!M97)=0,('Inputs (2)'!M98)=0),"",-('Inputs (2)'!M98)/('Inputs (2)'!M81+'Inputs (2)'!M87+'Inputs (2)'!M88+'Inputs (2)'!M97)),"")</f>
        <v/>
      </c>
      <c r="N242" s="34" t="str">
        <f>IFERROR(IF(OR(('Inputs (2)'!N81+'Inputs (2)'!N87+'Inputs (2)'!N88+'Inputs (2)'!N97)=0,('Inputs (2)'!N98)=0),"",-('Inputs (2)'!N98)/('Inputs (2)'!N81+'Inputs (2)'!N87+'Inputs (2)'!N88+'Inputs (2)'!N97)),"")</f>
        <v/>
      </c>
      <c r="O242" s="32" t="str">
        <f>IFERROR(IF(OR(('Inputs (2)'!O81+'Inputs (2)'!O87+'Inputs (2)'!O88+'Inputs (2)'!O97)=0,('Inputs (2)'!O98)=0),"",-('Inputs (2)'!O98)/('Inputs (2)'!O81+'Inputs (2)'!O87+'Inputs (2)'!O88+'Inputs (2)'!O97)),"")</f>
        <v/>
      </c>
      <c r="P242" s="32" t="str">
        <f>IFERROR(IF(OR(('Inputs (2)'!P81+'Inputs (2)'!P87+'Inputs (2)'!P88+'Inputs (2)'!P97)=0,('Inputs (2)'!P98)=0),"",-('Inputs (2)'!P98)/('Inputs (2)'!P81+'Inputs (2)'!P87+'Inputs (2)'!P88+'Inputs (2)'!P97)),"")</f>
        <v/>
      </c>
      <c r="Q242" s="32" t="str">
        <f>IFERROR(IF(OR(('Inputs (2)'!Q81+'Inputs (2)'!Q87+'Inputs (2)'!Q88+'Inputs (2)'!Q97)=0,('Inputs (2)'!Q98)=0),"",-('Inputs (2)'!Q98)/('Inputs (2)'!Q81+'Inputs (2)'!Q87+'Inputs (2)'!Q88+'Inputs (2)'!Q97)),"")</f>
        <v/>
      </c>
      <c r="R242" s="32" t="str">
        <f>IFERROR(IF(OR(('Inputs (2)'!R81+'Inputs (2)'!R87+'Inputs (2)'!R88+'Inputs (2)'!R97)=0,('Inputs (2)'!R98)=0),"",-('Inputs (2)'!R98)/('Inputs (2)'!R81+'Inputs (2)'!R87+'Inputs (2)'!R88+'Inputs (2)'!R97)),"")</f>
        <v/>
      </c>
      <c r="S242" s="34" t="str">
        <f>IFERROR(IF(OR(('Inputs (2)'!S81+'Inputs (2)'!S87+'Inputs (2)'!S88+'Inputs (2)'!S97)=0,('Inputs (2)'!S98)=0),"",-('Inputs (2)'!S98)/('Inputs (2)'!S81+'Inputs (2)'!S87+'Inputs (2)'!S88+'Inputs (2)'!S97)),"")</f>
        <v/>
      </c>
      <c r="T242" s="32" t="str">
        <f>IFERROR(IF(OR(('Inputs (2)'!T81+'Inputs (2)'!T87+'Inputs (2)'!T88+'Inputs (2)'!T97)=0,('Inputs (2)'!T98)=0),"",-('Inputs (2)'!T98)/('Inputs (2)'!T81+'Inputs (2)'!T87+'Inputs (2)'!T88+'Inputs (2)'!T97)),"")</f>
        <v/>
      </c>
      <c r="U242" s="32" t="str">
        <f>IFERROR(IF(OR(('Inputs (2)'!U81+'Inputs (2)'!U87+'Inputs (2)'!U88+'Inputs (2)'!U97)=0,('Inputs (2)'!U98)=0),"",-('Inputs (2)'!U98)/('Inputs (2)'!U81+'Inputs (2)'!U87+'Inputs (2)'!U88+'Inputs (2)'!U97)),"")</f>
        <v/>
      </c>
      <c r="V242" s="32" t="str">
        <f>IFERROR(IF(OR(('Inputs (2)'!V81+'Inputs (2)'!V87+'Inputs (2)'!V88+'Inputs (2)'!V97)=0,('Inputs (2)'!V98)=0),"",-('Inputs (2)'!V98)/('Inputs (2)'!V81+'Inputs (2)'!V87+'Inputs (2)'!V88+'Inputs (2)'!V97)),"")</f>
        <v/>
      </c>
      <c r="W242" s="32" t="str">
        <f>IFERROR(IF(OR(('Inputs (2)'!W81+'Inputs (2)'!W87+'Inputs (2)'!W88+'Inputs (2)'!W97)=0,('Inputs (2)'!W98)=0),"",-('Inputs (2)'!W98)/('Inputs (2)'!W81+'Inputs (2)'!W87+'Inputs (2)'!W88+'Inputs (2)'!W97)),"")</f>
        <v/>
      </c>
      <c r="X242" s="34" t="str">
        <f>IFERROR(IF(OR(('Inputs (2)'!X81+'Inputs (2)'!X87+'Inputs (2)'!X88+'Inputs (2)'!X97)=0,('Inputs (2)'!X98)=0),"",-('Inputs (2)'!X98)/('Inputs (2)'!X81+'Inputs (2)'!X87+'Inputs (2)'!X88+'Inputs (2)'!X97)),"")</f>
        <v/>
      </c>
      <c r="Y242" s="32" t="str">
        <f>IFERROR(IF(OR(('Inputs (2)'!Y81+'Inputs (2)'!Y87+'Inputs (2)'!Y88+'Inputs (2)'!Y97)=0,('Inputs (2)'!Y98)=0),"",-('Inputs (2)'!Y98)/('Inputs (2)'!Y81+'Inputs (2)'!Y87+'Inputs (2)'!Y88+'Inputs (2)'!Y97)),"")</f>
        <v/>
      </c>
      <c r="Z242" s="32" t="str">
        <f>IFERROR(IF(OR(('Inputs (2)'!Z81+'Inputs (2)'!Z87+'Inputs (2)'!Z88+'Inputs (2)'!Z97)=0,('Inputs (2)'!Z98)=0),"",-('Inputs (2)'!Z98)/('Inputs (2)'!Z81+'Inputs (2)'!Z87+'Inputs (2)'!Z88+'Inputs (2)'!Z97)),"")</f>
        <v/>
      </c>
      <c r="AA242" s="32" t="str">
        <f>IFERROR(IF(OR(('Inputs (2)'!AA81+'Inputs (2)'!AA87+'Inputs (2)'!AA88+'Inputs (2)'!AA97)=0,('Inputs (2)'!AA98)=0),"",-('Inputs (2)'!AA98)/('Inputs (2)'!AA81+'Inputs (2)'!AA87+'Inputs (2)'!AA88+'Inputs (2)'!AA97)),"")</f>
        <v/>
      </c>
      <c r="AB242" s="32" t="str">
        <f>IFERROR(IF(OR(('Inputs (2)'!AB81+'Inputs (2)'!AB87+'Inputs (2)'!AB88+'Inputs (2)'!AB97)=0,('Inputs (2)'!AB98)=0),"",-('Inputs (2)'!AB98)/('Inputs (2)'!AB81+'Inputs (2)'!AB87+'Inputs (2)'!AB88+'Inputs (2)'!AB97)),"")</f>
        <v/>
      </c>
      <c r="AC242" s="34" t="str">
        <f>IFERROR(IF(OR(('Inputs (2)'!AC81+'Inputs (2)'!AC87+'Inputs (2)'!AC88+'Inputs (2)'!AC97)=0,('Inputs (2)'!AC98)=0),"",-('Inputs (2)'!AC98)/('Inputs (2)'!AC81+'Inputs (2)'!AC87+'Inputs (2)'!AC88+'Inputs (2)'!AC97)),"")</f>
        <v/>
      </c>
      <c r="AD242" s="32" t="str">
        <f>IFERROR(IF(OR(('Inputs (2)'!AD81+'Inputs (2)'!AD87+'Inputs (2)'!AD88+'Inputs (2)'!AD97)=0,('Inputs (2)'!AD98)=0),"",-('Inputs (2)'!AD98)/('Inputs (2)'!AD81+'Inputs (2)'!AD87+'Inputs (2)'!AD88+'Inputs (2)'!AD97)),"")</f>
        <v/>
      </c>
      <c r="AE242" s="32" t="str">
        <f>IFERROR(IF(OR(('Inputs (2)'!AE81+'Inputs (2)'!AE87+'Inputs (2)'!AE88+'Inputs (2)'!AE97)=0,('Inputs (2)'!AE98)=0),"",-('Inputs (2)'!AE98)/('Inputs (2)'!AE81+'Inputs (2)'!AE87+'Inputs (2)'!AE88+'Inputs (2)'!AE97)),"")</f>
        <v/>
      </c>
      <c r="AF242" s="32" t="str">
        <f>IFERROR(IF(OR(('Inputs (2)'!AF81+'Inputs (2)'!AF87+'Inputs (2)'!AF88+'Inputs (2)'!AF97)=0,('Inputs (2)'!AF98)=0),"",-('Inputs (2)'!AF98)/('Inputs (2)'!AF81+'Inputs (2)'!AF87+'Inputs (2)'!AF88+'Inputs (2)'!AF97)),"")</f>
        <v/>
      </c>
      <c r="AG242" s="32" t="str">
        <f>IFERROR(IF(OR(('Inputs (2)'!AG81+'Inputs (2)'!AG87+'Inputs (2)'!AG88+'Inputs (2)'!AG97)=0,('Inputs (2)'!AG98)=0),"",-('Inputs (2)'!AG98)/('Inputs (2)'!AG81+'Inputs (2)'!AG87+'Inputs (2)'!AG88+'Inputs (2)'!AG97)),"")</f>
        <v/>
      </c>
      <c r="AH242" s="34" t="str">
        <f>IFERROR(IF(OR(('Inputs (2)'!AH81+'Inputs (2)'!AH87+'Inputs (2)'!AH88+'Inputs (2)'!AH97)=0,('Inputs (2)'!AH98)=0),"",-('Inputs (2)'!AH98)/('Inputs (2)'!AH81+'Inputs (2)'!AH87+'Inputs (2)'!AH88+'Inputs (2)'!AH97)),"")</f>
        <v/>
      </c>
      <c r="AI242" s="32" t="str">
        <f>IFERROR(IF(OR(('Inputs (2)'!AI81+'Inputs (2)'!AI87+'Inputs (2)'!AI88+'Inputs (2)'!AI97)=0,('Inputs (2)'!AI98)=0),"",-('Inputs (2)'!AI98)/('Inputs (2)'!AI81+'Inputs (2)'!AI87+'Inputs (2)'!AI88+'Inputs (2)'!AI97)),"")</f>
        <v/>
      </c>
      <c r="AJ242" s="32" t="str">
        <f>IFERROR(IF(OR(('Inputs (2)'!AJ81+'Inputs (2)'!AJ87+'Inputs (2)'!AJ88+'Inputs (2)'!AJ97)=0,('Inputs (2)'!AJ98)=0),"",-('Inputs (2)'!AJ98)/('Inputs (2)'!AJ81+'Inputs (2)'!AJ87+'Inputs (2)'!AJ88+'Inputs (2)'!AJ97)),"")</f>
        <v/>
      </c>
      <c r="AK242" s="32" t="str">
        <f>IFERROR(IF(OR(('Inputs (2)'!AK81+'Inputs (2)'!AK87+'Inputs (2)'!AK88+'Inputs (2)'!AK97)=0,('Inputs (2)'!AK98)=0),"",-('Inputs (2)'!AK98)/('Inputs (2)'!AK81+'Inputs (2)'!AK87+'Inputs (2)'!AK88+'Inputs (2)'!AK97)),"")</f>
        <v/>
      </c>
      <c r="AL242" s="32" t="str">
        <f>IFERROR(IF(OR(('Inputs (2)'!AL81+'Inputs (2)'!AL87+'Inputs (2)'!AL88+'Inputs (2)'!AL97)=0,('Inputs (2)'!AL98)=0),"",-('Inputs (2)'!AL98)/('Inputs (2)'!AL81+'Inputs (2)'!AL87+'Inputs (2)'!AL88+'Inputs (2)'!AL97)),"")</f>
        <v/>
      </c>
      <c r="AM242" s="34" t="str">
        <f>IFERROR(IF(OR(('Inputs (2)'!AM81+'Inputs (2)'!AM87+'Inputs (2)'!AM88+'Inputs (2)'!AM97)=0,('Inputs (2)'!AM98)=0),"",-('Inputs (2)'!AM98)/('Inputs (2)'!AM81+'Inputs (2)'!AM87+'Inputs (2)'!AM88+'Inputs (2)'!AM97)),"")</f>
        <v/>
      </c>
      <c r="AN242" s="32" t="str">
        <f>IFERROR(IF(OR(('Inputs (2)'!AN81+'Inputs (2)'!AN87+'Inputs (2)'!AN88+'Inputs (2)'!AN97)=0,('Inputs (2)'!AN98)=0),"",-('Inputs (2)'!AN98)/('Inputs (2)'!AN81+'Inputs (2)'!AN87+'Inputs (2)'!AN88+'Inputs (2)'!AN97)),"")</f>
        <v/>
      </c>
      <c r="AO242" s="32" t="str">
        <f>IFERROR(IF(OR(('Inputs (2)'!AO81+'Inputs (2)'!AO87+'Inputs (2)'!AO88+'Inputs (2)'!AO97)=0,('Inputs (2)'!AO98)=0),"",-('Inputs (2)'!AO98)/('Inputs (2)'!AO81+'Inputs (2)'!AO87+'Inputs (2)'!AO88+'Inputs (2)'!AO97)),"")</f>
        <v/>
      </c>
      <c r="AP242" s="32" t="str">
        <f>IFERROR(IF(OR(('Inputs (2)'!AP81+'Inputs (2)'!AP87+'Inputs (2)'!AP88+'Inputs (2)'!AP97)=0,('Inputs (2)'!AP98)=0),"",-('Inputs (2)'!AP98)/('Inputs (2)'!AP81+'Inputs (2)'!AP87+'Inputs (2)'!AP88+'Inputs (2)'!AP97)),"")</f>
        <v/>
      </c>
      <c r="AQ242" s="32" t="str">
        <f>IFERROR(IF(OR(('Inputs (2)'!AQ81+'Inputs (2)'!AQ87+'Inputs (2)'!AQ88+'Inputs (2)'!AQ97)=0,('Inputs (2)'!AQ98)=0),"",-('Inputs (2)'!AQ98)/('Inputs (2)'!AQ81+'Inputs (2)'!AQ87+'Inputs (2)'!AQ88+'Inputs (2)'!AQ97)),"")</f>
        <v/>
      </c>
      <c r="AR242" s="34" t="str">
        <f>IFERROR(IF(OR(('Inputs (2)'!AR81+'Inputs (2)'!AR87+'Inputs (2)'!AR88+'Inputs (2)'!AR97)=0,('Inputs (2)'!AR98)=0),"",-('Inputs (2)'!AR98)/('Inputs (2)'!AR81+'Inputs (2)'!AR87+'Inputs (2)'!AR88+'Inputs (2)'!AR97)),"")</f>
        <v/>
      </c>
      <c r="AS242" s="32" t="str">
        <f>IFERROR(IF(OR(('Inputs (2)'!AS81+'Inputs (2)'!AS87+'Inputs (2)'!AS88+'Inputs (2)'!AS97)=0,('Inputs (2)'!AS98)=0),"",-('Inputs (2)'!AS98)/('Inputs (2)'!AS81+'Inputs (2)'!AS87+'Inputs (2)'!AS88+'Inputs (2)'!AS97)),"")</f>
        <v/>
      </c>
      <c r="AT242" s="32" t="str">
        <f>IFERROR(IF(OR(('Inputs (2)'!AT81+'Inputs (2)'!AT87+'Inputs (2)'!AT88+'Inputs (2)'!AT97)=0,('Inputs (2)'!AT98)=0),"",-('Inputs (2)'!AT98)/('Inputs (2)'!AT81+'Inputs (2)'!AT87+'Inputs (2)'!AT88+'Inputs (2)'!AT97)),"")</f>
        <v/>
      </c>
      <c r="AU242" s="32" t="str">
        <f>IFERROR(IF(OR(('Inputs (2)'!AU81+'Inputs (2)'!AU87+'Inputs (2)'!AU88+'Inputs (2)'!AU97)=0,('Inputs (2)'!AU98)=0),"",-('Inputs (2)'!AU98)/('Inputs (2)'!AU81+'Inputs (2)'!AU87+'Inputs (2)'!AU88+'Inputs (2)'!AU97)),"")</f>
        <v/>
      </c>
      <c r="AV242" s="32" t="str">
        <f>IFERROR(IF(OR(('Inputs (2)'!AV81+'Inputs (2)'!AV87+'Inputs (2)'!AV88+'Inputs (2)'!AV97)=0,('Inputs (2)'!AV98)=0),"",-('Inputs (2)'!AV98)/('Inputs (2)'!AV81+'Inputs (2)'!AV87+'Inputs (2)'!AV88+'Inputs (2)'!AV97)),"")</f>
        <v/>
      </c>
      <c r="AW242" s="34" t="str">
        <f>IFERROR(IF(OR(('Inputs (2)'!AW81+'Inputs (2)'!AW87+'Inputs (2)'!AW88+'Inputs (2)'!AW97)=0,('Inputs (2)'!AW98)=0),"",-('Inputs (2)'!AW98)/('Inputs (2)'!AW81+'Inputs (2)'!AW87+'Inputs (2)'!AW88+'Inputs (2)'!AW97)),"")</f>
        <v/>
      </c>
      <c r="AX242" s="32" t="str">
        <f>IFERROR(IF(OR(('Inputs (2)'!AX81+'Inputs (2)'!AX87+'Inputs (2)'!AX88+'Inputs (2)'!AX97)=0,('Inputs (2)'!AX98)=0),"",-('Inputs (2)'!AX98)/('Inputs (2)'!AX81+'Inputs (2)'!AX87+'Inputs (2)'!AX88+'Inputs (2)'!AX97)),"")</f>
        <v/>
      </c>
      <c r="AY242" s="32" t="str">
        <f>IFERROR(IF(OR(('Inputs (2)'!AY81+'Inputs (2)'!AY87+'Inputs (2)'!AY88+'Inputs (2)'!AY97)=0,('Inputs (2)'!AY98)=0),"",-('Inputs (2)'!AY98)/('Inputs (2)'!AY81+'Inputs (2)'!AY87+'Inputs (2)'!AY88+'Inputs (2)'!AY97)),"")</f>
        <v/>
      </c>
      <c r="AZ242" s="32" t="str">
        <f>IFERROR(IF(OR(('Inputs (2)'!AZ81+'Inputs (2)'!AZ87+'Inputs (2)'!AZ88+'Inputs (2)'!AZ97)=0,('Inputs (2)'!AZ98)=0),"",-('Inputs (2)'!AZ98)/('Inputs (2)'!AZ81+'Inputs (2)'!AZ87+'Inputs (2)'!AZ88+'Inputs (2)'!AZ97)),"")</f>
        <v/>
      </c>
      <c r="BA242" s="32" t="str">
        <f>IFERROR(IF(OR(('Inputs (2)'!BA81+'Inputs (2)'!BA87+'Inputs (2)'!BA88+'Inputs (2)'!BA97)=0,('Inputs (2)'!BA98)=0),"",-('Inputs (2)'!BA98)/('Inputs (2)'!BA81+'Inputs (2)'!BA87+'Inputs (2)'!BA88+'Inputs (2)'!BA97)),"")</f>
        <v/>
      </c>
      <c r="BB242" s="34" t="str">
        <f>IFERROR(IF(OR(('Inputs (2)'!BB81+'Inputs (2)'!BB87+'Inputs (2)'!BB88+'Inputs (2)'!BB97)=0,('Inputs (2)'!BB98)=0),"",-('Inputs (2)'!BB98)/('Inputs (2)'!BB81+'Inputs (2)'!BB87+'Inputs (2)'!BB88+'Inputs (2)'!BB97)),"")</f>
        <v/>
      </c>
      <c r="BC242" s="32" t="str">
        <f>IFERROR(IF(OR(('Inputs (2)'!BC81+'Inputs (2)'!BC87+'Inputs (2)'!BC88+'Inputs (2)'!BC97)=0,('Inputs (2)'!BC98)=0),"",-('Inputs (2)'!BC98)/('Inputs (2)'!BC81+'Inputs (2)'!BC87+'Inputs (2)'!BC88+'Inputs (2)'!BC97)),"")</f>
        <v/>
      </c>
      <c r="BD242" s="32" t="str">
        <f>IFERROR(IF(OR(('Inputs (2)'!BD81+'Inputs (2)'!BD87+'Inputs (2)'!BD88+'Inputs (2)'!BD97)=0,('Inputs (2)'!BD98)=0),"",-('Inputs (2)'!BD98)/('Inputs (2)'!BD81+'Inputs (2)'!BD87+'Inputs (2)'!BD88+'Inputs (2)'!BD97)),"")</f>
        <v/>
      </c>
      <c r="BE242" s="32" t="str">
        <f>IFERROR(IF(OR(('Inputs (2)'!BE81+'Inputs (2)'!BE87+'Inputs (2)'!BE88+'Inputs (2)'!BE97)=0,('Inputs (2)'!BE98)=0),"",-('Inputs (2)'!BE98)/('Inputs (2)'!BE81+'Inputs (2)'!BE87+'Inputs (2)'!BE88+'Inputs (2)'!BE97)),"")</f>
        <v/>
      </c>
      <c r="BF242" s="32" t="str">
        <f>IFERROR(IF(OR(('Inputs (2)'!BF81+'Inputs (2)'!BF87+'Inputs (2)'!BF88+'Inputs (2)'!BF97)=0,('Inputs (2)'!BF98)=0),"",-('Inputs (2)'!BF98)/('Inputs (2)'!BF81+'Inputs (2)'!BF87+'Inputs (2)'!BF88+'Inputs (2)'!BF97)),"")</f>
        <v/>
      </c>
      <c r="BG242" s="34" t="str">
        <f>IFERROR(IF(OR(('Inputs (2)'!BG81+'Inputs (2)'!BG87+'Inputs (2)'!BG88+'Inputs (2)'!BG97)=0,('Inputs (2)'!BG98)=0),"",-('Inputs (2)'!BG98)/('Inputs (2)'!BG81+'Inputs (2)'!BG87+'Inputs (2)'!BG88+'Inputs (2)'!BG97)),"")</f>
        <v/>
      </c>
    </row>
    <row r="243" hidden="1" outlineLevel="1">
      <c r="C243" s="30" t="inlineStr">
        <is>
          <t>Resultado não operacional</t>
        </is>
      </c>
      <c r="D243" s="12" t="inlineStr">
        <is>
          <t>Non-operating</t>
        </is>
      </c>
      <c r="E243" s="35" t="str">
        <f>IFERROR(IF(OR(COUNT('Inputs (2)'!E100)=0,('Inputs (2)'!E100)=0),"",('Inputs (2)'!E100)),"")</f>
        <v/>
      </c>
      <c r="F243" s="35" t="str">
        <f>IFERROR(IF(OR(COUNT('Inputs (2)'!F100)=0,('Inputs (2)'!F100)=0),"",('Inputs (2)'!F100)),"")</f>
        <v/>
      </c>
      <c r="G243" s="35" t="str">
        <f>IFERROR(IF(OR(COUNT('Inputs (2)'!G100)=0,('Inputs (2)'!G100)=0),"",('Inputs (2)'!G100)),"")</f>
        <v/>
      </c>
      <c r="H243" s="35" t="str">
        <f>IFERROR(IF(OR(COUNT('Inputs (2)'!H100)=0,('Inputs (2)'!H100)=0),"",('Inputs (2)'!H100)),"")</f>
        <v/>
      </c>
      <c r="I243" s="36" t="str">
        <f>IFERROR(IF(OR(COUNT('Inputs (2)'!I100)=0,('Inputs (2)'!I100)=0),"",('Inputs (2)'!I100)),"")</f>
        <v/>
      </c>
      <c r="J243" s="35" t="str">
        <f>IFERROR(IF(OR(COUNT('Inputs (2)'!J100)=0,('Inputs (2)'!J100)=0),"",('Inputs (2)'!J100)),"")</f>
        <v/>
      </c>
      <c r="K243" s="35" t="str">
        <f>IFERROR(IF(OR(COUNT('Inputs (2)'!K100)=0,('Inputs (2)'!K100)=0),"",('Inputs (2)'!K100)),"")</f>
        <v/>
      </c>
      <c r="L243" s="35" t="str">
        <f>IFERROR(IF(OR(COUNT('Inputs (2)'!L100)=0,('Inputs (2)'!L100)=0),"",('Inputs (2)'!L100)),"")</f>
        <v/>
      </c>
      <c r="M243" s="35" t="str">
        <f>IFERROR(IF(OR(COUNT('Inputs (2)'!M100)=0,('Inputs (2)'!M100)=0),"",('Inputs (2)'!M100)),"")</f>
        <v/>
      </c>
      <c r="N243" s="36" t="str">
        <f>IFERROR(IF(OR(COUNT('Inputs (2)'!N100)=0,('Inputs (2)'!N100)=0),"",('Inputs (2)'!N100)),"")</f>
        <v/>
      </c>
      <c r="O243" s="35" t="str">
        <f>IFERROR(IF(OR(COUNT('Inputs (2)'!O100)=0,('Inputs (2)'!O100)=0),"",('Inputs (2)'!O100)),"")</f>
        <v/>
      </c>
      <c r="P243" s="35" t="str">
        <f>IFERROR(IF(OR(COUNT('Inputs (2)'!P100)=0,('Inputs (2)'!P100)=0),"",('Inputs (2)'!P100)),"")</f>
        <v/>
      </c>
      <c r="Q243" s="35" t="str">
        <f>IFERROR(IF(OR(COUNT('Inputs (2)'!Q100)=0,('Inputs (2)'!Q100)=0),"",('Inputs (2)'!Q100)),"")</f>
        <v/>
      </c>
      <c r="R243" s="35" t="str">
        <f>IFERROR(IF(OR(COUNT('Inputs (2)'!R100)=0,('Inputs (2)'!R100)=0),"",('Inputs (2)'!R100)),"")</f>
        <v/>
      </c>
      <c r="S243" s="36" t="str">
        <f>IFERROR(IF(OR(COUNT('Inputs (2)'!S100)=0,('Inputs (2)'!S100)=0),"",('Inputs (2)'!S100)),"")</f>
        <v/>
      </c>
      <c r="T243" s="35" t="str">
        <f>IFERROR(IF(OR(COUNT('Inputs (2)'!T100)=0,('Inputs (2)'!T100)=0),"",('Inputs (2)'!T100)),"")</f>
        <v/>
      </c>
      <c r="U243" s="35" t="str">
        <f>IFERROR(IF(OR(COUNT('Inputs (2)'!U100)=0,('Inputs (2)'!U100)=0),"",('Inputs (2)'!U100)),"")</f>
        <v/>
      </c>
      <c r="V243" s="35" t="str">
        <f>IFERROR(IF(OR(COUNT('Inputs (2)'!V100)=0,('Inputs (2)'!V100)=0),"",('Inputs (2)'!V100)),"")</f>
        <v/>
      </c>
      <c r="W243" s="35" t="str">
        <f>IFERROR(IF(OR(COUNT('Inputs (2)'!W100)=0,('Inputs (2)'!W100)=0),"",('Inputs (2)'!W100)),"")</f>
        <v/>
      </c>
      <c r="X243" s="36" t="str">
        <f>IFERROR(IF(OR(COUNT('Inputs (2)'!X100)=0,('Inputs (2)'!X100)=0),"",('Inputs (2)'!X100)),"")</f>
        <v/>
      </c>
      <c r="Y243" s="35" t="str">
        <f>IFERROR(IF(OR(COUNT('Inputs (2)'!Y100)=0,('Inputs (2)'!Y100)=0),"",('Inputs (2)'!Y100)),"")</f>
        <v/>
      </c>
      <c r="Z243" s="35" t="str">
        <f>IFERROR(IF(OR(COUNT('Inputs (2)'!Z100)=0,('Inputs (2)'!Z100)=0),"",('Inputs (2)'!Z100)),"")</f>
        <v/>
      </c>
      <c r="AA243" s="35" t="str">
        <f>IFERROR(IF(OR(COUNT('Inputs (2)'!AA100)=0,('Inputs (2)'!AA100)=0),"",('Inputs (2)'!AA100)),"")</f>
        <v/>
      </c>
      <c r="AB243" s="35" t="str">
        <f>IFERROR(IF(OR(COUNT('Inputs (2)'!AB100)=0,('Inputs (2)'!AB100)=0),"",('Inputs (2)'!AB100)),"")</f>
        <v/>
      </c>
      <c r="AC243" s="36" t="str">
        <f>IFERROR(IF(OR(COUNT('Inputs (2)'!AC100)=0,('Inputs (2)'!AC100)=0),"",('Inputs (2)'!AC100)),"")</f>
        <v/>
      </c>
      <c r="AD243" s="35" t="str">
        <f>IFERROR(IF(OR(COUNT('Inputs (2)'!AD100)=0,('Inputs (2)'!AD100)=0),"",('Inputs (2)'!AD100)),"")</f>
        <v/>
      </c>
      <c r="AE243" s="35" t="str">
        <f>IFERROR(IF(OR(COUNT('Inputs (2)'!AE100)=0,('Inputs (2)'!AE100)=0),"",('Inputs (2)'!AE100)),"")</f>
        <v/>
      </c>
      <c r="AF243" s="35" t="str">
        <f>IFERROR(IF(OR(COUNT('Inputs (2)'!AF100)=0,('Inputs (2)'!AF100)=0),"",('Inputs (2)'!AF100)),"")</f>
        <v/>
      </c>
      <c r="AG243" s="35" t="str">
        <f>IFERROR(IF(OR(COUNT('Inputs (2)'!AG100)=0,('Inputs (2)'!AG100)=0),"",('Inputs (2)'!AG100)),"")</f>
        <v/>
      </c>
      <c r="AH243" s="36" t="str">
        <f>IFERROR(IF(OR(COUNT('Inputs (2)'!AH100)=0,('Inputs (2)'!AH100)=0),"",('Inputs (2)'!AH100)),"")</f>
        <v/>
      </c>
      <c r="AI243" s="35" t="str">
        <f>IFERROR(IF(OR(COUNT('Inputs (2)'!AI100)=0,('Inputs (2)'!AI100)=0),"",('Inputs (2)'!AI100)),"")</f>
        <v/>
      </c>
      <c r="AJ243" s="35" t="str">
        <f>IFERROR(IF(OR(COUNT('Inputs (2)'!AJ100)=0,('Inputs (2)'!AJ100)=0),"",('Inputs (2)'!AJ100)),"")</f>
        <v/>
      </c>
      <c r="AK243" s="35" t="str">
        <f>IFERROR(IF(OR(COUNT('Inputs (2)'!AK100)=0,('Inputs (2)'!AK100)=0),"",('Inputs (2)'!AK100)),"")</f>
        <v/>
      </c>
      <c r="AL243" s="35" t="str">
        <f>IFERROR(IF(OR(COUNT('Inputs (2)'!AL100)=0,('Inputs (2)'!AL100)=0),"",('Inputs (2)'!AL100)),"")</f>
        <v/>
      </c>
      <c r="AM243" s="36" t="str">
        <f>IFERROR(IF(OR(COUNT('Inputs (2)'!AM100)=0,('Inputs (2)'!AM100)=0),"",('Inputs (2)'!AM100)),"")</f>
        <v/>
      </c>
      <c r="AN243" s="35" t="str">
        <f>IFERROR(IF(OR(COUNT('Inputs (2)'!AN100)=0,('Inputs (2)'!AN100)=0),"",('Inputs (2)'!AN100)),"")</f>
        <v/>
      </c>
      <c r="AO243" s="35" t="str">
        <f>IFERROR(IF(OR(COUNT('Inputs (2)'!AO100)=0,('Inputs (2)'!AO100)=0),"",('Inputs (2)'!AO100)),"")</f>
        <v/>
      </c>
      <c r="AP243" s="35" t="str">
        <f>IFERROR(IF(OR(COUNT('Inputs (2)'!AP100)=0,('Inputs (2)'!AP100)=0),"",('Inputs (2)'!AP100)),"")</f>
        <v/>
      </c>
      <c r="AQ243" s="35" t="str">
        <f>IFERROR(IF(OR(COUNT('Inputs (2)'!AQ100)=0,('Inputs (2)'!AQ100)=0),"",('Inputs (2)'!AQ100)),"")</f>
        <v/>
      </c>
      <c r="AR243" s="36" t="str">
        <f>IFERROR(IF(OR(COUNT('Inputs (2)'!AR100)=0,('Inputs (2)'!AR100)=0),"",('Inputs (2)'!AR100)),"")</f>
        <v/>
      </c>
      <c r="AS243" s="35" t="str">
        <f>IFERROR(IF(OR(COUNT('Inputs (2)'!AS100)=0,('Inputs (2)'!AS100)=0),"",('Inputs (2)'!AS100)),"")</f>
        <v/>
      </c>
      <c r="AT243" s="35" t="str">
        <f>IFERROR(IF(OR(COUNT('Inputs (2)'!AT100)=0,('Inputs (2)'!AT100)=0),"",('Inputs (2)'!AT100)),"")</f>
        <v/>
      </c>
      <c r="AU243" s="35" t="str">
        <f>IFERROR(IF(OR(COUNT('Inputs (2)'!AU100)=0,('Inputs (2)'!AU100)=0),"",('Inputs (2)'!AU100)),"")</f>
        <v/>
      </c>
      <c r="AV243" s="35" t="str">
        <f>IFERROR(IF(OR(COUNT('Inputs (2)'!AV100)=0,('Inputs (2)'!AV100)=0),"",('Inputs (2)'!AV100)),"")</f>
        <v/>
      </c>
      <c r="AW243" s="36" t="str">
        <f>IFERROR(IF(OR(COUNT('Inputs (2)'!AW100)=0,('Inputs (2)'!AW100)=0),"",('Inputs (2)'!AW100)),"")</f>
        <v/>
      </c>
      <c r="AX243" s="35" t="str">
        <f>IFERROR(IF(OR(COUNT('Inputs (2)'!AX100)=0,('Inputs (2)'!AX100)=0),"",('Inputs (2)'!AX100)),"")</f>
        <v/>
      </c>
      <c r="AY243" s="35" t="str">
        <f>IFERROR(IF(OR(COUNT('Inputs (2)'!AY100)=0,('Inputs (2)'!AY100)=0),"",('Inputs (2)'!AY100)),"")</f>
        <v/>
      </c>
      <c r="AZ243" s="35" t="str">
        <f>IFERROR(IF(OR(COUNT('Inputs (2)'!AZ100)=0,('Inputs (2)'!AZ100)=0),"",('Inputs (2)'!AZ100)),"")</f>
        <v/>
      </c>
      <c r="BA243" s="35" t="str">
        <f>IFERROR(IF(OR(COUNT('Inputs (2)'!BA100)=0,('Inputs (2)'!BA100)=0),"",('Inputs (2)'!BA100)),"")</f>
        <v/>
      </c>
      <c r="BB243" s="36" t="str">
        <f>IFERROR(IF(OR(COUNT('Inputs (2)'!BB100)=0,('Inputs (2)'!BB100)=0),"",('Inputs (2)'!BB100)),"")</f>
        <v/>
      </c>
      <c r="BC243" s="35" t="str">
        <f>IFERROR(IF(OR(COUNT('Inputs (2)'!BC100)=0,('Inputs (2)'!BC100)=0),"",('Inputs (2)'!BC100)),"")</f>
        <v/>
      </c>
      <c r="BD243" s="35" t="str">
        <f>IFERROR(IF(OR(COUNT('Inputs (2)'!BD100)=0,('Inputs (2)'!BD100)=0),"",('Inputs (2)'!BD100)),"")</f>
        <v/>
      </c>
      <c r="BE243" s="35" t="str">
        <f>IFERROR(IF(OR(COUNT('Inputs (2)'!BE100)=0,('Inputs (2)'!BE100)=0),"",('Inputs (2)'!BE100)),"")</f>
        <v/>
      </c>
      <c r="BF243" s="35" t="str">
        <f>IFERROR(IF(OR(COUNT('Inputs (2)'!BF100)=0,('Inputs (2)'!BF100)=0),"",('Inputs (2)'!BF100)),"")</f>
        <v/>
      </c>
      <c r="BG243" s="36" t="str">
        <f>IFERROR(IF(OR(COUNT('Inputs (2)'!BG100)=0,('Inputs (2)'!BG100)=0),"",('Inputs (2)'!BG100)),"")</f>
        <v/>
      </c>
    </row>
    <row r="244" hidden="1" outlineLevel="1">
      <c r="C244" s="30" t="inlineStr">
        <is>
          <t>Alíquota efetiva de imposto de renda (%)</t>
        </is>
      </c>
      <c r="D244" s="12" t="inlineStr">
        <is>
          <t>Effective tax rate</t>
        </is>
      </c>
      <c r="E244" s="32" t="str">
        <f>IFERROR(IF(OR(('Inputs (2)'!E101)=0,('Inputs (2)'!E102)=0),"",-('Inputs (2)'!E102)/('Inputs (2)'!E101)),"")</f>
        <v/>
      </c>
      <c r="F244" s="32" t="str">
        <f>IFERROR(IF(OR(('Inputs (2)'!F101)=0,('Inputs (2)'!F102)=0),"",-('Inputs (2)'!F102)/('Inputs (2)'!F101)),"")</f>
        <v/>
      </c>
      <c r="G244" s="32" t="str">
        <f>IFERROR(IF(OR(('Inputs (2)'!G101)=0,('Inputs (2)'!G102)=0),"",-('Inputs (2)'!G102)/('Inputs (2)'!G101)),"")</f>
        <v/>
      </c>
      <c r="H244" s="32" t="str">
        <f>IFERROR(IF(OR(('Inputs (2)'!H101)=0,('Inputs (2)'!H102)=0),"",-('Inputs (2)'!H102)/('Inputs (2)'!H101)),"")</f>
        <v/>
      </c>
      <c r="I244" s="34" t="str">
        <f>IFERROR(IF(OR(('Inputs (2)'!I101)=0,('Inputs (2)'!I102)=0),"",-('Inputs (2)'!I102)/('Inputs (2)'!I101)),"")</f>
        <v/>
      </c>
      <c r="J244" s="32" t="str">
        <f>IFERROR(IF(OR(('Inputs (2)'!J101)=0,('Inputs (2)'!J102)=0),"",-('Inputs (2)'!J102)/('Inputs (2)'!J101)),"")</f>
        <v/>
      </c>
      <c r="K244" s="32" t="str">
        <f>IFERROR(IF(OR(('Inputs (2)'!K101)=0,('Inputs (2)'!K102)=0),"",-('Inputs (2)'!K102)/('Inputs (2)'!K101)),"")</f>
        <v/>
      </c>
      <c r="L244" s="32" t="str">
        <f>IFERROR(IF(OR(('Inputs (2)'!L101)=0,('Inputs (2)'!L102)=0),"",-('Inputs (2)'!L102)/('Inputs (2)'!L101)),"")</f>
        <v/>
      </c>
      <c r="M244" s="32" t="str">
        <f>IFERROR(IF(OR(('Inputs (2)'!M101)=0,('Inputs (2)'!M102)=0),"",-('Inputs (2)'!M102)/('Inputs (2)'!M101)),"")</f>
        <v/>
      </c>
      <c r="N244" s="34" t="str">
        <f>IFERROR(IF(OR(('Inputs (2)'!N101)=0,('Inputs (2)'!N102)=0),"",-('Inputs (2)'!N102)/('Inputs (2)'!N101)),"")</f>
        <v/>
      </c>
      <c r="O244" s="32" t="str">
        <f>IFERROR(IF(OR(('Inputs (2)'!O101)=0,('Inputs (2)'!O102)=0),"",-('Inputs (2)'!O102)/('Inputs (2)'!O101)),"")</f>
        <v/>
      </c>
      <c r="P244" s="32" t="str">
        <f>IFERROR(IF(OR(('Inputs (2)'!P101)=0,('Inputs (2)'!P102)=0),"",-('Inputs (2)'!P102)/('Inputs (2)'!P101)),"")</f>
        <v/>
      </c>
      <c r="Q244" s="32" t="str">
        <f>IFERROR(IF(OR(('Inputs (2)'!Q101)=0,('Inputs (2)'!Q102)=0),"",-('Inputs (2)'!Q102)/('Inputs (2)'!Q101)),"")</f>
        <v/>
      </c>
      <c r="R244" s="32" t="str">
        <f>IFERROR(IF(OR(('Inputs (2)'!R101)=0,('Inputs (2)'!R102)=0),"",-('Inputs (2)'!R102)/('Inputs (2)'!R101)),"")</f>
        <v/>
      </c>
      <c r="S244" s="34" t="str">
        <f>IFERROR(IF(OR(('Inputs (2)'!S101)=0,('Inputs (2)'!S102)=0),"",-('Inputs (2)'!S102)/('Inputs (2)'!S101)),"")</f>
        <v/>
      </c>
      <c r="T244" s="32" t="str">
        <f>IFERROR(IF(OR(('Inputs (2)'!T101)=0,('Inputs (2)'!T102)=0),"",-('Inputs (2)'!T102)/('Inputs (2)'!T101)),"")</f>
        <v/>
      </c>
      <c r="U244" s="32" t="str">
        <f>IFERROR(IF(OR(('Inputs (2)'!U101)=0,('Inputs (2)'!U102)=0),"",-('Inputs (2)'!U102)/('Inputs (2)'!U101)),"")</f>
        <v/>
      </c>
      <c r="V244" s="32" t="str">
        <f>IFERROR(IF(OR(('Inputs (2)'!V101)=0,('Inputs (2)'!V102)=0),"",-('Inputs (2)'!V102)/('Inputs (2)'!V101)),"")</f>
        <v/>
      </c>
      <c r="W244" s="32" t="str">
        <f>IFERROR(IF(OR(('Inputs (2)'!W101)=0,('Inputs (2)'!W102)=0),"",-('Inputs (2)'!W102)/('Inputs (2)'!W101)),"")</f>
        <v/>
      </c>
      <c r="X244" s="34" t="str">
        <f>IFERROR(IF(OR(('Inputs (2)'!X101)=0,('Inputs (2)'!X102)=0),"",-('Inputs (2)'!X102)/('Inputs (2)'!X101)),"")</f>
        <v/>
      </c>
      <c r="Y244" s="32" t="str">
        <f>IFERROR(IF(OR(('Inputs (2)'!Y101)=0,('Inputs (2)'!Y102)=0),"",-('Inputs (2)'!Y102)/('Inputs (2)'!Y101)),"")</f>
        <v/>
      </c>
      <c r="Z244" s="32" t="str">
        <f>IFERROR(IF(OR(('Inputs (2)'!Z101)=0,('Inputs (2)'!Z102)=0),"",-('Inputs (2)'!Z102)/('Inputs (2)'!Z101)),"")</f>
        <v/>
      </c>
      <c r="AA244" s="32" t="str">
        <f>IFERROR(IF(OR(('Inputs (2)'!AA101)=0,('Inputs (2)'!AA102)=0),"",-('Inputs (2)'!AA102)/('Inputs (2)'!AA101)),"")</f>
        <v/>
      </c>
      <c r="AB244" s="32" t="str">
        <f>IFERROR(IF(OR(('Inputs (2)'!AB101)=0,('Inputs (2)'!AB102)=0),"",-('Inputs (2)'!AB102)/('Inputs (2)'!AB101)),"")</f>
        <v/>
      </c>
      <c r="AC244" s="34" t="str">
        <f>IFERROR(IF(OR(('Inputs (2)'!AC101)=0,('Inputs (2)'!AC102)=0),"",-('Inputs (2)'!AC102)/('Inputs (2)'!AC101)),"")</f>
        <v/>
      </c>
      <c r="AD244" s="32" t="str">
        <f>IFERROR(IF(OR(('Inputs (2)'!AD101)=0,('Inputs (2)'!AD102)=0),"",-('Inputs (2)'!AD102)/('Inputs (2)'!AD101)),"")</f>
        <v/>
      </c>
      <c r="AE244" s="32" t="str">
        <f>IFERROR(IF(OR(('Inputs (2)'!AE101)=0,('Inputs (2)'!AE102)=0),"",-('Inputs (2)'!AE102)/('Inputs (2)'!AE101)),"")</f>
        <v/>
      </c>
      <c r="AF244" s="32" t="str">
        <f>IFERROR(IF(OR(('Inputs (2)'!AF101)=0,('Inputs (2)'!AF102)=0),"",-('Inputs (2)'!AF102)/('Inputs (2)'!AF101)),"")</f>
        <v/>
      </c>
      <c r="AG244" s="32" t="str">
        <f>IFERROR(IF(OR(('Inputs (2)'!AG101)=0,('Inputs (2)'!AG102)=0),"",-('Inputs (2)'!AG102)/('Inputs (2)'!AG101)),"")</f>
        <v/>
      </c>
      <c r="AH244" s="34" t="str">
        <f>IFERROR(IF(OR(('Inputs (2)'!AH101)=0,('Inputs (2)'!AH102)=0),"",-('Inputs (2)'!AH102)/('Inputs (2)'!AH101)),"")</f>
        <v/>
      </c>
      <c r="AI244" s="32" t="str">
        <f>IFERROR(IF(OR(('Inputs (2)'!AI101)=0,('Inputs (2)'!AI102)=0),"",-('Inputs (2)'!AI102)/('Inputs (2)'!AI101)),"")</f>
        <v/>
      </c>
      <c r="AJ244" s="32" t="str">
        <f>IFERROR(IF(OR(('Inputs (2)'!AJ101)=0,('Inputs (2)'!AJ102)=0),"",-('Inputs (2)'!AJ102)/('Inputs (2)'!AJ101)),"")</f>
        <v/>
      </c>
      <c r="AK244" s="32" t="str">
        <f>IFERROR(IF(OR(('Inputs (2)'!AK101)=0,('Inputs (2)'!AK102)=0),"",-('Inputs (2)'!AK102)/('Inputs (2)'!AK101)),"")</f>
        <v/>
      </c>
      <c r="AL244" s="32" t="str">
        <f>IFERROR(IF(OR(('Inputs (2)'!AL101)=0,('Inputs (2)'!AL102)=0),"",-('Inputs (2)'!AL102)/('Inputs (2)'!AL101)),"")</f>
        <v/>
      </c>
      <c r="AM244" s="34" t="str">
        <f>IFERROR(IF(OR(('Inputs (2)'!AM101)=0,('Inputs (2)'!AM102)=0),"",-('Inputs (2)'!AM102)/('Inputs (2)'!AM101)),"")</f>
        <v/>
      </c>
      <c r="AN244" s="32" t="str">
        <f>IFERROR(IF(OR(('Inputs (2)'!AN101)=0,('Inputs (2)'!AN102)=0),"",-('Inputs (2)'!AN102)/('Inputs (2)'!AN101)),"")</f>
        <v/>
      </c>
      <c r="AO244" s="32" t="str">
        <f>IFERROR(IF(OR(('Inputs (2)'!AO101)=0,('Inputs (2)'!AO102)=0),"",-('Inputs (2)'!AO102)/('Inputs (2)'!AO101)),"")</f>
        <v/>
      </c>
      <c r="AP244" s="32" t="str">
        <f>IFERROR(IF(OR(('Inputs (2)'!AP101)=0,('Inputs (2)'!AP102)=0),"",-('Inputs (2)'!AP102)/('Inputs (2)'!AP101)),"")</f>
        <v/>
      </c>
      <c r="AQ244" s="32" t="str">
        <f>IFERROR(IF(OR(('Inputs (2)'!AQ101)=0,('Inputs (2)'!AQ102)=0),"",-('Inputs (2)'!AQ102)/('Inputs (2)'!AQ101)),"")</f>
        <v/>
      </c>
      <c r="AR244" s="34" t="str">
        <f>IFERROR(IF(OR(('Inputs (2)'!AR101)=0,('Inputs (2)'!AR102)=0),"",-('Inputs (2)'!AR102)/('Inputs (2)'!AR101)),"")</f>
        <v/>
      </c>
      <c r="AS244" s="32" t="str">
        <f>IFERROR(IF(OR(('Inputs (2)'!AS101)=0,('Inputs (2)'!AS102)=0),"",-('Inputs (2)'!AS102)/('Inputs (2)'!AS101)),"")</f>
        <v/>
      </c>
      <c r="AT244" s="32" t="str">
        <f>IFERROR(IF(OR(('Inputs (2)'!AT101)=0,('Inputs (2)'!AT102)=0),"",-('Inputs (2)'!AT102)/('Inputs (2)'!AT101)),"")</f>
        <v/>
      </c>
      <c r="AU244" s="32" t="str">
        <f>IFERROR(IF(OR(('Inputs (2)'!AU101)=0,('Inputs (2)'!AU102)=0),"",-('Inputs (2)'!AU102)/('Inputs (2)'!AU101)),"")</f>
        <v/>
      </c>
      <c r="AV244" s="32" t="str">
        <f>IFERROR(IF(OR(('Inputs (2)'!AV101)=0,('Inputs (2)'!AV102)=0),"",-('Inputs (2)'!AV102)/('Inputs (2)'!AV101)),"")</f>
        <v/>
      </c>
      <c r="AW244" s="34" t="str">
        <f>IFERROR(IF(OR(('Inputs (2)'!AW101)=0,('Inputs (2)'!AW102)=0),"",-('Inputs (2)'!AW102)/('Inputs (2)'!AW101)),"")</f>
        <v/>
      </c>
      <c r="AX244" s="32" t="str">
        <f>IFERROR(IF(OR(('Inputs (2)'!AX101)=0,('Inputs (2)'!AX102)=0),"",-('Inputs (2)'!AX102)/('Inputs (2)'!AX101)),"")</f>
        <v/>
      </c>
      <c r="AY244" s="32" t="str">
        <f>IFERROR(IF(OR(('Inputs (2)'!AY101)=0,('Inputs (2)'!AY102)=0),"",-('Inputs (2)'!AY102)/('Inputs (2)'!AY101)),"")</f>
        <v/>
      </c>
      <c r="AZ244" s="32" t="str">
        <f>IFERROR(IF(OR(('Inputs (2)'!AZ101)=0,('Inputs (2)'!AZ102)=0),"",-('Inputs (2)'!AZ102)/('Inputs (2)'!AZ101)),"")</f>
        <v/>
      </c>
      <c r="BA244" s="32" t="str">
        <f>IFERROR(IF(OR(('Inputs (2)'!BA101)=0,('Inputs (2)'!BA102)=0),"",-('Inputs (2)'!BA102)/('Inputs (2)'!BA101)),"")</f>
        <v/>
      </c>
      <c r="BB244" s="34" t="str">
        <f>IFERROR(IF(OR(('Inputs (2)'!BB101)=0,('Inputs (2)'!BB102)=0),"",-('Inputs (2)'!BB102)/('Inputs (2)'!BB101)),"")</f>
        <v/>
      </c>
      <c r="BC244" s="32" t="str">
        <f>IFERROR(IF(OR(('Inputs (2)'!BC101)=0,('Inputs (2)'!BC102)=0),"",-('Inputs (2)'!BC102)/('Inputs (2)'!BC101)),"")</f>
        <v/>
      </c>
      <c r="BD244" s="32" t="str">
        <f>IFERROR(IF(OR(('Inputs (2)'!BD101)=0,('Inputs (2)'!BD102)=0),"",-('Inputs (2)'!BD102)/('Inputs (2)'!BD101)),"")</f>
        <v/>
      </c>
      <c r="BE244" s="32" t="str">
        <f>IFERROR(IF(OR(('Inputs (2)'!BE101)=0,('Inputs (2)'!BE102)=0),"",-('Inputs (2)'!BE102)/('Inputs (2)'!BE101)),"")</f>
        <v/>
      </c>
      <c r="BF244" s="32" t="str">
        <f>IFERROR(IF(OR(('Inputs (2)'!BF101)=0,('Inputs (2)'!BF102)=0),"",-('Inputs (2)'!BF102)/('Inputs (2)'!BF101)),"")</f>
        <v/>
      </c>
      <c r="BG244" s="34" t="str">
        <f>IFERROR(IF(OR(('Inputs (2)'!BG101)=0,('Inputs (2)'!BG102)=0),"",-('Inputs (2)'!BG102)/('Inputs (2)'!BG101)),"")</f>
        <v/>
      </c>
    </row>
    <row r="245" hidden="1" outlineLevel="1">
      <c r="C245" s="30" t="inlineStr">
        <is>
          <t>Participação de não controladores (% do lucro líquido)</t>
        </is>
      </c>
      <c r="D245" s="12" t="inlineStr">
        <is>
          <t>Minority</t>
        </is>
      </c>
      <c r="E245" s="32" t="str">
        <f>IFERROR(IF(OR(('Inputs (2)'!E105)=0,('Inputs (2)'!E106)=0),"",-('Inputs (2)'!E106)/('Inputs (2)'!E105)),"")</f>
        <v/>
      </c>
      <c r="F245" s="32" t="str">
        <f>IFERROR(IF(OR(('Inputs (2)'!F105)=0,('Inputs (2)'!F106)=0),"",-('Inputs (2)'!F106)/('Inputs (2)'!F105)),"")</f>
        <v/>
      </c>
      <c r="G245" s="32" t="str">
        <f>IFERROR(IF(OR(('Inputs (2)'!G105)=0,('Inputs (2)'!G106)=0),"",-('Inputs (2)'!G106)/('Inputs (2)'!G105)),"")</f>
        <v/>
      </c>
      <c r="H245" s="32" t="str">
        <f>IFERROR(IF(OR(('Inputs (2)'!H105)=0,('Inputs (2)'!H106)=0),"",-('Inputs (2)'!H106)/('Inputs (2)'!H105)),"")</f>
        <v/>
      </c>
      <c r="I245" s="34" t="str">
        <f>IFERROR(IF(OR(('Inputs (2)'!I105)=0,('Inputs (2)'!I106)=0),"",-('Inputs (2)'!I106)/('Inputs (2)'!I105)),"")</f>
        <v/>
      </c>
      <c r="J245" s="32" t="str">
        <f>IFERROR(IF(OR(('Inputs (2)'!J105)=0,('Inputs (2)'!J106)=0),"",-('Inputs (2)'!J106)/('Inputs (2)'!J105)),"")</f>
        <v/>
      </c>
      <c r="K245" s="32" t="str">
        <f>IFERROR(IF(OR(('Inputs (2)'!K105)=0,('Inputs (2)'!K106)=0),"",-('Inputs (2)'!K106)/('Inputs (2)'!K105)),"")</f>
        <v/>
      </c>
      <c r="L245" s="32" t="str">
        <f>IFERROR(IF(OR(('Inputs (2)'!L105)=0,('Inputs (2)'!L106)=0),"",-('Inputs (2)'!L106)/('Inputs (2)'!L105)),"")</f>
        <v/>
      </c>
      <c r="M245" s="32" t="str">
        <f>IFERROR(IF(OR(('Inputs (2)'!M105)=0,('Inputs (2)'!M106)=0),"",-('Inputs (2)'!M106)/('Inputs (2)'!M105)),"")</f>
        <v/>
      </c>
      <c r="N245" s="34" t="str">
        <f>IFERROR(IF(OR(('Inputs (2)'!N105)=0,('Inputs (2)'!N106)=0),"",-('Inputs (2)'!N106)/('Inputs (2)'!N105)),"")</f>
        <v/>
      </c>
      <c r="O245" s="32" t="str">
        <f>IFERROR(IF(OR(('Inputs (2)'!O105)=0,('Inputs (2)'!O106)=0),"",-('Inputs (2)'!O106)/('Inputs (2)'!O105)),"")</f>
        <v/>
      </c>
      <c r="P245" s="32" t="str">
        <f>IFERROR(IF(OR(('Inputs (2)'!P105)=0,('Inputs (2)'!P106)=0),"",-('Inputs (2)'!P106)/('Inputs (2)'!P105)),"")</f>
        <v/>
      </c>
      <c r="Q245" s="32" t="str">
        <f>IFERROR(IF(OR(('Inputs (2)'!Q105)=0,('Inputs (2)'!Q106)=0),"",-('Inputs (2)'!Q106)/('Inputs (2)'!Q105)),"")</f>
        <v/>
      </c>
      <c r="R245" s="32" t="str">
        <f>IFERROR(IF(OR(('Inputs (2)'!R105)=0,('Inputs (2)'!R106)=0),"",-('Inputs (2)'!R106)/('Inputs (2)'!R105)),"")</f>
        <v/>
      </c>
      <c r="S245" s="34" t="str">
        <f>IFERROR(IF(OR(('Inputs (2)'!S105)=0,('Inputs (2)'!S106)=0),"",-('Inputs (2)'!S106)/('Inputs (2)'!S105)),"")</f>
        <v/>
      </c>
      <c r="T245" s="32" t="str">
        <f>IFERROR(IF(OR(('Inputs (2)'!T105)=0,('Inputs (2)'!T106)=0),"",-('Inputs (2)'!T106)/('Inputs (2)'!T105)),"")</f>
        <v/>
      </c>
      <c r="U245" s="32" t="str">
        <f>IFERROR(IF(OR(('Inputs (2)'!U105)=0,('Inputs (2)'!U106)=0),"",-('Inputs (2)'!U106)/('Inputs (2)'!U105)),"")</f>
        <v/>
      </c>
      <c r="V245" s="32" t="str">
        <f>IFERROR(IF(OR(('Inputs (2)'!V105)=0,('Inputs (2)'!V106)=0),"",-('Inputs (2)'!V106)/('Inputs (2)'!V105)),"")</f>
        <v/>
      </c>
      <c r="W245" s="32" t="str">
        <f>IFERROR(IF(OR(('Inputs (2)'!W105)=0,('Inputs (2)'!W106)=0),"",-('Inputs (2)'!W106)/('Inputs (2)'!W105)),"")</f>
        <v/>
      </c>
      <c r="X245" s="34" t="str">
        <f>IFERROR(IF(OR(('Inputs (2)'!X105)=0,('Inputs (2)'!X106)=0),"",-('Inputs (2)'!X106)/('Inputs (2)'!X105)),"")</f>
        <v/>
      </c>
      <c r="Y245" s="32" t="str">
        <f>IFERROR(IF(OR(('Inputs (2)'!Y105)=0,('Inputs (2)'!Y106)=0),"",-('Inputs (2)'!Y106)/('Inputs (2)'!Y105)),"")</f>
        <v/>
      </c>
      <c r="Z245" s="32" t="str">
        <f>IFERROR(IF(OR(('Inputs (2)'!Z105)=0,('Inputs (2)'!Z106)=0),"",-('Inputs (2)'!Z106)/('Inputs (2)'!Z105)),"")</f>
        <v/>
      </c>
      <c r="AA245" s="32" t="str">
        <f>IFERROR(IF(OR(('Inputs (2)'!AA105)=0,('Inputs (2)'!AA106)=0),"",-('Inputs (2)'!AA106)/('Inputs (2)'!AA105)),"")</f>
        <v/>
      </c>
      <c r="AB245" s="32" t="str">
        <f>IFERROR(IF(OR(('Inputs (2)'!AB105)=0,('Inputs (2)'!AB106)=0),"",-('Inputs (2)'!AB106)/('Inputs (2)'!AB105)),"")</f>
        <v/>
      </c>
      <c r="AC245" s="34" t="str">
        <f>IFERROR(IF(OR(('Inputs (2)'!AC105)=0,('Inputs (2)'!AC106)=0),"",-('Inputs (2)'!AC106)/('Inputs (2)'!AC105)),"")</f>
        <v/>
      </c>
      <c r="AD245" s="32" t="str">
        <f>IFERROR(IF(OR(('Inputs (2)'!AD105)=0,('Inputs (2)'!AD106)=0),"",-('Inputs (2)'!AD106)/('Inputs (2)'!AD105)),"")</f>
        <v/>
      </c>
      <c r="AE245" s="32" t="str">
        <f>IFERROR(IF(OR(('Inputs (2)'!AE105)=0,('Inputs (2)'!AE106)=0),"",-('Inputs (2)'!AE106)/('Inputs (2)'!AE105)),"")</f>
        <v/>
      </c>
      <c r="AF245" s="32" t="str">
        <f>IFERROR(IF(OR(('Inputs (2)'!AF105)=0,('Inputs (2)'!AF106)=0),"",-('Inputs (2)'!AF106)/('Inputs (2)'!AF105)),"")</f>
        <v/>
      </c>
      <c r="AG245" s="32" t="str">
        <f>IFERROR(IF(OR(('Inputs (2)'!AG105)=0,('Inputs (2)'!AG106)=0),"",-('Inputs (2)'!AG106)/('Inputs (2)'!AG105)),"")</f>
        <v/>
      </c>
      <c r="AH245" s="34" t="str">
        <f>IFERROR(IF(OR(('Inputs (2)'!AH105)=0,('Inputs (2)'!AH106)=0),"",-('Inputs (2)'!AH106)/('Inputs (2)'!AH105)),"")</f>
        <v/>
      </c>
      <c r="AI245" s="32" t="str">
        <f>IFERROR(IF(OR(('Inputs (2)'!AI105)=0,('Inputs (2)'!AI106)=0),"",-('Inputs (2)'!AI106)/('Inputs (2)'!AI105)),"")</f>
        <v/>
      </c>
      <c r="AJ245" s="32" t="str">
        <f>IFERROR(IF(OR(('Inputs (2)'!AJ105)=0,('Inputs (2)'!AJ106)=0),"",-('Inputs (2)'!AJ106)/('Inputs (2)'!AJ105)),"")</f>
        <v/>
      </c>
      <c r="AK245" s="32" t="str">
        <f>IFERROR(IF(OR(('Inputs (2)'!AK105)=0,('Inputs (2)'!AK106)=0),"",-('Inputs (2)'!AK106)/('Inputs (2)'!AK105)),"")</f>
        <v/>
      </c>
      <c r="AL245" s="32" t="str">
        <f>IFERROR(IF(OR(('Inputs (2)'!AL105)=0,('Inputs (2)'!AL106)=0),"",-('Inputs (2)'!AL106)/('Inputs (2)'!AL105)),"")</f>
        <v/>
      </c>
      <c r="AM245" s="34" t="str">
        <f>IFERROR(IF(OR(('Inputs (2)'!AM105)=0,('Inputs (2)'!AM106)=0),"",-('Inputs (2)'!AM106)/('Inputs (2)'!AM105)),"")</f>
        <v/>
      </c>
      <c r="AN245" s="32" t="str">
        <f>IFERROR(IF(OR(('Inputs (2)'!AN105)=0,('Inputs (2)'!AN106)=0),"",-('Inputs (2)'!AN106)/('Inputs (2)'!AN105)),"")</f>
        <v/>
      </c>
      <c r="AO245" s="32" t="str">
        <f>IFERROR(IF(OR(('Inputs (2)'!AO105)=0,('Inputs (2)'!AO106)=0),"",-('Inputs (2)'!AO106)/('Inputs (2)'!AO105)),"")</f>
        <v/>
      </c>
      <c r="AP245" s="32" t="str">
        <f>IFERROR(IF(OR(('Inputs (2)'!AP105)=0,('Inputs (2)'!AP106)=0),"",-('Inputs (2)'!AP106)/('Inputs (2)'!AP105)),"")</f>
        <v/>
      </c>
      <c r="AQ245" s="32" t="str">
        <f>IFERROR(IF(OR(('Inputs (2)'!AQ105)=0,('Inputs (2)'!AQ106)=0),"",-('Inputs (2)'!AQ106)/('Inputs (2)'!AQ105)),"")</f>
        <v/>
      </c>
      <c r="AR245" s="34" t="str">
        <f>IFERROR(IF(OR(('Inputs (2)'!AR105)=0,('Inputs (2)'!AR106)=0),"",-('Inputs (2)'!AR106)/('Inputs (2)'!AR105)),"")</f>
        <v/>
      </c>
      <c r="AS245" s="32" t="str">
        <f>IFERROR(IF(OR(('Inputs (2)'!AS105)=0,('Inputs (2)'!AS106)=0),"",-('Inputs (2)'!AS106)/('Inputs (2)'!AS105)),"")</f>
        <v/>
      </c>
      <c r="AT245" s="32" t="str">
        <f>IFERROR(IF(OR(('Inputs (2)'!AT105)=0,('Inputs (2)'!AT106)=0),"",-('Inputs (2)'!AT106)/('Inputs (2)'!AT105)),"")</f>
        <v/>
      </c>
      <c r="AU245" s="32" t="str">
        <f>IFERROR(IF(OR(('Inputs (2)'!AU105)=0,('Inputs (2)'!AU106)=0),"",-('Inputs (2)'!AU106)/('Inputs (2)'!AU105)),"")</f>
        <v/>
      </c>
      <c r="AV245" s="32" t="str">
        <f>IFERROR(IF(OR(('Inputs (2)'!AV105)=0,('Inputs (2)'!AV106)=0),"",-('Inputs (2)'!AV106)/('Inputs (2)'!AV105)),"")</f>
        <v/>
      </c>
      <c r="AW245" s="34" t="str">
        <f>IFERROR(IF(OR(('Inputs (2)'!AW105)=0,('Inputs (2)'!AW106)=0),"",-('Inputs (2)'!AW106)/('Inputs (2)'!AW105)),"")</f>
        <v/>
      </c>
      <c r="AX245" s="32" t="str">
        <f>IFERROR(IF(OR(('Inputs (2)'!AX105)=0,('Inputs (2)'!AX106)=0),"",-('Inputs (2)'!AX106)/('Inputs (2)'!AX105)),"")</f>
        <v/>
      </c>
      <c r="AY245" s="32" t="str">
        <f>IFERROR(IF(OR(('Inputs (2)'!AY105)=0,('Inputs (2)'!AY106)=0),"",-('Inputs (2)'!AY106)/('Inputs (2)'!AY105)),"")</f>
        <v/>
      </c>
      <c r="AZ245" s="32" t="str">
        <f>IFERROR(IF(OR(('Inputs (2)'!AZ105)=0,('Inputs (2)'!AZ106)=0),"",-('Inputs (2)'!AZ106)/('Inputs (2)'!AZ105)),"")</f>
        <v/>
      </c>
      <c r="BA245" s="32" t="str">
        <f>IFERROR(IF(OR(('Inputs (2)'!BA105)=0,('Inputs (2)'!BA106)=0),"",-('Inputs (2)'!BA106)/('Inputs (2)'!BA105)),"")</f>
        <v/>
      </c>
      <c r="BB245" s="34" t="str">
        <f>IFERROR(IF(OR(('Inputs (2)'!BB105)=0,('Inputs (2)'!BB106)=0),"",-('Inputs (2)'!BB106)/('Inputs (2)'!BB105)),"")</f>
        <v/>
      </c>
      <c r="BC245" s="32" t="str">
        <f>IFERROR(IF(OR(('Inputs (2)'!BC105)=0,('Inputs (2)'!BC106)=0),"",-('Inputs (2)'!BC106)/('Inputs (2)'!BC105)),"")</f>
        <v/>
      </c>
      <c r="BD245" s="32" t="str">
        <f>IFERROR(IF(OR(('Inputs (2)'!BD105)=0,('Inputs (2)'!BD106)=0),"",-('Inputs (2)'!BD106)/('Inputs (2)'!BD105)),"")</f>
        <v/>
      </c>
      <c r="BE245" s="32" t="str">
        <f>IFERROR(IF(OR(('Inputs (2)'!BE105)=0,('Inputs (2)'!BE106)=0),"",-('Inputs (2)'!BE106)/('Inputs (2)'!BE105)),"")</f>
        <v/>
      </c>
      <c r="BF245" s="32" t="str">
        <f>IFERROR(IF(OR(('Inputs (2)'!BF105)=0,('Inputs (2)'!BF106)=0),"",-('Inputs (2)'!BF106)/('Inputs (2)'!BF105)),"")</f>
        <v/>
      </c>
      <c r="BG245" s="34" t="str">
        <f>IFERROR(IF(OR(('Inputs (2)'!BG105)=0,('Inputs (2)'!BG106)=0),"",-('Inputs (2)'!BG106)/('Inputs (2)'!BG105)),"")</f>
        <v/>
      </c>
    </row>
    <row r="246" hidden="1" outlineLevel="1">
      <c r="B246" s="29" t="n"/>
      <c r="C246" s="29" t="inlineStr">
        <is>
          <t>Capital, payout e patrimônio — realizado</t>
        </is>
      </c>
      <c r="D246" s="29" t="inlineStr">
        <is>
          <t>Capital, payout and equity — actual</t>
        </is>
      </c>
      <c r="E246" s="29" t="n"/>
      <c r="F246" s="29" t="n"/>
      <c r="G246" s="29" t="n"/>
      <c r="H246" s="29" t="n"/>
      <c r="I246" s="29" t="n"/>
      <c r="J246" s="29" t="n"/>
      <c r="K246" s="29" t="n"/>
      <c r="L246" s="29" t="n"/>
      <c r="M246" s="29" t="n"/>
      <c r="N246" s="29" t="n"/>
      <c r="O246" s="29" t="n"/>
      <c r="P246" s="29" t="n"/>
      <c r="Q246" s="29" t="n"/>
      <c r="R246" s="29" t="n"/>
      <c r="S246" s="29" t="n"/>
      <c r="T246" s="29" t="n"/>
      <c r="U246" s="29" t="n"/>
      <c r="V246" s="29" t="n"/>
      <c r="W246" s="29" t="n"/>
      <c r="X246" s="29" t="n"/>
      <c r="Y246" s="29" t="n"/>
      <c r="Z246" s="29" t="n"/>
      <c r="AA246" s="29" t="n"/>
      <c r="AB246" s="29" t="n"/>
      <c r="AC246" s="29" t="n"/>
      <c r="AD246" s="29" t="n"/>
      <c r="AE246" s="29" t="n"/>
      <c r="AF246" s="29" t="n"/>
      <c r="AG246" s="29" t="n"/>
      <c r="AH246" s="29" t="n"/>
      <c r="AI246" s="29" t="n"/>
      <c r="AJ246" s="29" t="n"/>
      <c r="AK246" s="29" t="n"/>
      <c r="AL246" s="29" t="n"/>
      <c r="AM246" s="29" t="n"/>
      <c r="AN246" s="29" t="n"/>
      <c r="AO246" s="29" t="n"/>
      <c r="AP246" s="29" t="n"/>
      <c r="AQ246" s="29" t="n"/>
      <c r="AR246" s="29" t="n"/>
      <c r="AS246" s="29" t="n"/>
      <c r="AT246" s="29" t="n"/>
      <c r="AU246" s="29" t="n"/>
      <c r="AV246" s="29" t="n"/>
      <c r="AW246" s="29" t="n"/>
      <c r="AX246" s="29" t="n"/>
      <c r="AY246" s="29" t="n"/>
      <c r="AZ246" s="29" t="n"/>
      <c r="BA246" s="29" t="n"/>
      <c r="BB246" s="29" t="n"/>
      <c r="BC246" s="29" t="n"/>
      <c r="BD246" s="29" t="n"/>
      <c r="BE246" s="29" t="n"/>
      <c r="BF246" s="29" t="n"/>
      <c r="BG246" s="29" t="n"/>
      <c r="BH246" s="29" t="n"/>
      <c r="BI246" s="29" t="n"/>
    </row>
    <row r="247" hidden="1" outlineLevel="1">
      <c r="C247" s="30" t="inlineStr">
        <is>
          <t>Payout de dividendos ordinários (% do lucro ao acionista comum)</t>
        </is>
      </c>
      <c r="D247" s="12" t="inlineStr">
        <is>
          <t>Payout</t>
        </is>
      </c>
      <c r="E247" s="32" t="str">
        <f>IFERROR(IF(OR(N('Inputs (2)'!E109)&lt;=0,N('Inputs (2)'!E156)=0),"",'Inputs (2)'!E156/'Inputs (2)'!E109),"")</f>
        <v/>
      </c>
      <c r="F247" s="32" t="str">
        <f>IFERROR(IF(OR(N('Inputs (2)'!F109)&lt;=0,N('Inputs (2)'!F156)=0),"",'Inputs (2)'!F156/'Inputs (2)'!F109),"")</f>
        <v/>
      </c>
      <c r="G247" s="32" t="str">
        <f>IFERROR(IF(OR(N('Inputs (2)'!G109)&lt;=0,N('Inputs (2)'!G156)=0),"",'Inputs (2)'!G156/'Inputs (2)'!G109),"")</f>
        <v/>
      </c>
      <c r="H247" s="32" t="str">
        <f>IFERROR(IF(OR(N('Inputs (2)'!H109)&lt;=0,N('Inputs (2)'!H156)=0),"",'Inputs (2)'!H156/'Inputs (2)'!H109),"")</f>
        <v/>
      </c>
      <c r="I247" s="34" t="str">
        <f>IFERROR(IF(OR(N('Inputs (2)'!I109)&lt;=0,N('Inputs (2)'!I156)=0),"",'Inputs (2)'!I156/'Inputs (2)'!I109),"")</f>
        <v/>
      </c>
      <c r="J247" s="32" t="str">
        <f>IFERROR(IF(OR(N('Inputs (2)'!J109)&lt;=0,N('Inputs (2)'!J156)=0),"",'Inputs (2)'!J156/'Inputs (2)'!J109),"")</f>
        <v/>
      </c>
      <c r="K247" s="32" t="str">
        <f>IFERROR(IF(OR(N('Inputs (2)'!K109)&lt;=0,N('Inputs (2)'!K156)=0),"",'Inputs (2)'!K156/'Inputs (2)'!K109),"")</f>
        <v/>
      </c>
      <c r="L247" s="32" t="str">
        <f>IFERROR(IF(OR(N('Inputs (2)'!L109)&lt;=0,N('Inputs (2)'!L156)=0),"",'Inputs (2)'!L156/'Inputs (2)'!L109),"")</f>
        <v/>
      </c>
      <c r="M247" s="32" t="str">
        <f>IFERROR(IF(OR(N('Inputs (2)'!M109)&lt;=0,N('Inputs (2)'!M156)=0),"",'Inputs (2)'!M156/'Inputs (2)'!M109),"")</f>
        <v/>
      </c>
      <c r="N247" s="34" t="str">
        <f>IFERROR(IF(OR(N('Inputs (2)'!N109)&lt;=0,N('Inputs (2)'!N156)=0),"",'Inputs (2)'!N156/'Inputs (2)'!N109),"")</f>
        <v/>
      </c>
      <c r="O247" s="32" t="str">
        <f>IFERROR(IF(OR(N('Inputs (2)'!O109)&lt;=0,N('Inputs (2)'!O156)=0),"",'Inputs (2)'!O156/'Inputs (2)'!O109),"")</f>
        <v/>
      </c>
      <c r="P247" s="32" t="str">
        <f>IFERROR(IF(OR(N('Inputs (2)'!P109)&lt;=0,N('Inputs (2)'!P156)=0),"",'Inputs (2)'!P156/'Inputs (2)'!P109),"")</f>
        <v/>
      </c>
      <c r="Q247" s="32" t="str">
        <f>IFERROR(IF(OR(N('Inputs (2)'!Q109)&lt;=0,N('Inputs (2)'!Q156)=0),"",'Inputs (2)'!Q156/'Inputs (2)'!Q109),"")</f>
        <v/>
      </c>
      <c r="R247" s="32" t="str">
        <f>IFERROR(IF(OR(N('Inputs (2)'!R109)&lt;=0,N('Inputs (2)'!R156)=0),"",'Inputs (2)'!R156/'Inputs (2)'!R109),"")</f>
        <v/>
      </c>
      <c r="S247" s="34" t="str">
        <f>IFERROR(IF(OR(N('Inputs (2)'!S109)&lt;=0,N('Inputs (2)'!S156)=0),"",'Inputs (2)'!S156/'Inputs (2)'!S109),"")</f>
        <v/>
      </c>
      <c r="T247" s="32" t="str">
        <f>IFERROR(IF(OR(N('Inputs (2)'!T109)&lt;=0,N('Inputs (2)'!T156)=0),"",'Inputs (2)'!T156/'Inputs (2)'!T109),"")</f>
        <v/>
      </c>
      <c r="U247" s="32" t="str">
        <f>IFERROR(IF(OR(N('Inputs (2)'!U109)&lt;=0,N('Inputs (2)'!U156)=0),"",'Inputs (2)'!U156/'Inputs (2)'!U109),"")</f>
        <v/>
      </c>
      <c r="V247" s="32" t="str">
        <f>IFERROR(IF(OR(N('Inputs (2)'!V109)&lt;=0,N('Inputs (2)'!V156)=0),"",'Inputs (2)'!V156/'Inputs (2)'!V109),"")</f>
        <v/>
      </c>
      <c r="W247" s="32" t="str">
        <f>IFERROR(IF(OR(N('Inputs (2)'!W109)&lt;=0,N('Inputs (2)'!W156)=0),"",'Inputs (2)'!W156/'Inputs (2)'!W109),"")</f>
        <v/>
      </c>
      <c r="X247" s="34" t="str">
        <f>IFERROR(IF(OR(N('Inputs (2)'!X109)&lt;=0,N('Inputs (2)'!X156)=0),"",'Inputs (2)'!X156/'Inputs (2)'!X109),"")</f>
        <v/>
      </c>
      <c r="Y247" s="32" t="str">
        <f>IFERROR(IF(OR(N('Inputs (2)'!Y109)&lt;=0,N('Inputs (2)'!Y156)=0),"",'Inputs (2)'!Y156/'Inputs (2)'!Y109),"")</f>
        <v/>
      </c>
      <c r="Z247" s="32" t="str">
        <f>IFERROR(IF(OR(N('Inputs (2)'!Z109)&lt;=0,N('Inputs (2)'!Z156)=0),"",'Inputs (2)'!Z156/'Inputs (2)'!Z109),"")</f>
        <v/>
      </c>
      <c r="AA247" s="32" t="str">
        <f>IFERROR(IF(OR(N('Inputs (2)'!AA109)&lt;=0,N('Inputs (2)'!AA156)=0),"",'Inputs (2)'!AA156/'Inputs (2)'!AA109),"")</f>
        <v/>
      </c>
      <c r="AB247" s="32" t="str">
        <f>IFERROR(IF(OR(N('Inputs (2)'!AB109)&lt;=0,N('Inputs (2)'!AB156)=0),"",'Inputs (2)'!AB156/'Inputs (2)'!AB109),"")</f>
        <v/>
      </c>
      <c r="AC247" s="34" t="str">
        <f>IFERROR(IF(OR(N('Inputs (2)'!AC109)&lt;=0,N('Inputs (2)'!AC156)=0),"",'Inputs (2)'!AC156/'Inputs (2)'!AC109),"")</f>
        <v/>
      </c>
      <c r="AD247" s="32" t="str">
        <f>IFERROR(IF(OR(N('Inputs (2)'!AD109)&lt;=0,N('Inputs (2)'!AD156)=0),"",'Inputs (2)'!AD156/'Inputs (2)'!AD109),"")</f>
        <v/>
      </c>
      <c r="AE247" s="32" t="str">
        <f>IFERROR(IF(OR(N('Inputs (2)'!AE109)&lt;=0,N('Inputs (2)'!AE156)=0),"",'Inputs (2)'!AE156/'Inputs (2)'!AE109),"")</f>
        <v/>
      </c>
      <c r="AF247" s="32" t="str">
        <f>IFERROR(IF(OR(N('Inputs (2)'!AF109)&lt;=0,N('Inputs (2)'!AF156)=0),"",'Inputs (2)'!AF156/'Inputs (2)'!AF109),"")</f>
        <v/>
      </c>
      <c r="AG247" s="32" t="str">
        <f>IFERROR(IF(OR(N('Inputs (2)'!AG109)&lt;=0,N('Inputs (2)'!AG156)=0),"",'Inputs (2)'!AG156/'Inputs (2)'!AG109),"")</f>
        <v/>
      </c>
      <c r="AH247" s="34" t="str">
        <f>IFERROR(IF(OR(N('Inputs (2)'!AH109)&lt;=0,N('Inputs (2)'!AH156)=0),"",'Inputs (2)'!AH156/'Inputs (2)'!AH109),"")</f>
        <v/>
      </c>
      <c r="AI247" s="32" t="str">
        <f>IFERROR(IF(OR(N('Inputs (2)'!AI109)&lt;=0,N('Inputs (2)'!AI156)=0),"",'Inputs (2)'!AI156/'Inputs (2)'!AI109),"")</f>
        <v/>
      </c>
      <c r="AJ247" s="32" t="str">
        <f>IFERROR(IF(OR(N('Inputs (2)'!AJ109)&lt;=0,N('Inputs (2)'!AJ156)=0),"",'Inputs (2)'!AJ156/'Inputs (2)'!AJ109),"")</f>
        <v/>
      </c>
      <c r="AK247" s="32" t="str">
        <f>IFERROR(IF(OR(N('Inputs (2)'!AK109)&lt;=0,N('Inputs (2)'!AK156)=0),"",'Inputs (2)'!AK156/'Inputs (2)'!AK109),"")</f>
        <v/>
      </c>
      <c r="AL247" s="32" t="str">
        <f>IFERROR(IF(OR(N('Inputs (2)'!AL109)&lt;=0,N('Inputs (2)'!AL156)=0),"",'Inputs (2)'!AL156/'Inputs (2)'!AL109),"")</f>
        <v/>
      </c>
      <c r="AM247" s="34" t="str">
        <f>IFERROR(IF(OR(N('Inputs (2)'!AM109)&lt;=0,N('Inputs (2)'!AM156)=0),"",'Inputs (2)'!AM156/'Inputs (2)'!AM109),"")</f>
        <v/>
      </c>
      <c r="AN247" s="32" t="str">
        <f>IFERROR(IF(OR(N('Inputs (2)'!AN109)&lt;=0,N('Inputs (2)'!AN156)=0),"",'Inputs (2)'!AN156/'Inputs (2)'!AN109),"")</f>
        <v/>
      </c>
      <c r="AO247" s="32" t="str">
        <f>IFERROR(IF(OR(N('Inputs (2)'!AO109)&lt;=0,N('Inputs (2)'!AO156)=0),"",'Inputs (2)'!AO156/'Inputs (2)'!AO109),"")</f>
        <v/>
      </c>
      <c r="AP247" s="32" t="str">
        <f>IFERROR(IF(OR(N('Inputs (2)'!AP109)&lt;=0,N('Inputs (2)'!AP156)=0),"",'Inputs (2)'!AP156/'Inputs (2)'!AP109),"")</f>
        <v/>
      </c>
      <c r="AQ247" s="32" t="str">
        <f>IFERROR(IF(OR(N('Inputs (2)'!AQ109)&lt;=0,N('Inputs (2)'!AQ156)=0),"",'Inputs (2)'!AQ156/'Inputs (2)'!AQ109),"")</f>
        <v/>
      </c>
      <c r="AR247" s="34" t="str">
        <f>IFERROR(IF(OR(N('Inputs (2)'!AR109)&lt;=0,N('Inputs (2)'!AR156)=0),"",'Inputs (2)'!AR156/'Inputs (2)'!AR109),"")</f>
        <v/>
      </c>
      <c r="AS247" s="32" t="str">
        <f>IFERROR(IF(OR(N('Inputs (2)'!AS109)&lt;=0,N('Inputs (2)'!AS156)=0),"",'Inputs (2)'!AS156/'Inputs (2)'!AS109),"")</f>
        <v/>
      </c>
      <c r="AT247" s="32" t="str">
        <f>IFERROR(IF(OR(N('Inputs (2)'!AT109)&lt;=0,N('Inputs (2)'!AT156)=0),"",'Inputs (2)'!AT156/'Inputs (2)'!AT109),"")</f>
        <v/>
      </c>
      <c r="AU247" s="32" t="str">
        <f>IFERROR(IF(OR(N('Inputs (2)'!AU109)&lt;=0,N('Inputs (2)'!AU156)=0),"",'Inputs (2)'!AU156/'Inputs (2)'!AU109),"")</f>
        <v/>
      </c>
      <c r="AV247" s="32" t="str">
        <f>IFERROR(IF(OR(N('Inputs (2)'!AV109)&lt;=0,N('Inputs (2)'!AV156)=0),"",'Inputs (2)'!AV156/'Inputs (2)'!AV109),"")</f>
        <v/>
      </c>
      <c r="AW247" s="34" t="str">
        <f>IFERROR(IF(OR(N('Inputs (2)'!AW109)&lt;=0,N('Inputs (2)'!AW156)=0),"",'Inputs (2)'!AW156/'Inputs (2)'!AW109),"")</f>
        <v/>
      </c>
      <c r="AX247" s="32" t="str">
        <f>IFERROR(IF(OR(N('Inputs (2)'!AX109)&lt;=0,N('Inputs (2)'!AX156)=0),"",'Inputs (2)'!AX156/'Inputs (2)'!AX109),"")</f>
        <v/>
      </c>
      <c r="AY247" s="32" t="str">
        <f>IFERROR(IF(OR(N('Inputs (2)'!AY109)&lt;=0,N('Inputs (2)'!AY156)=0),"",'Inputs (2)'!AY156/'Inputs (2)'!AY109),"")</f>
        <v/>
      </c>
      <c r="AZ247" s="32" t="str">
        <f>IFERROR(IF(OR(N('Inputs (2)'!AZ109)&lt;=0,N('Inputs (2)'!AZ156)=0),"",'Inputs (2)'!AZ156/'Inputs (2)'!AZ109),"")</f>
        <v/>
      </c>
      <c r="BA247" s="32" t="str">
        <f>IFERROR(IF(OR(N('Inputs (2)'!BA109)&lt;=0,N('Inputs (2)'!BA156)=0),"",'Inputs (2)'!BA156/'Inputs (2)'!BA109),"")</f>
        <v/>
      </c>
      <c r="BB247" s="34" t="str">
        <f>IFERROR(IF(OR(N('Inputs (2)'!BB109)&lt;=0,N('Inputs (2)'!BB156)=0),"",'Inputs (2)'!BB156/'Inputs (2)'!BB109),"")</f>
        <v/>
      </c>
      <c r="BC247" s="32" t="str">
        <f>IFERROR(IF(OR(N('Inputs (2)'!BC109)&lt;=0,N('Inputs (2)'!BC156)=0),"",'Inputs (2)'!BC156/'Inputs (2)'!BC109),"")</f>
        <v/>
      </c>
      <c r="BD247" s="32" t="str">
        <f>IFERROR(IF(OR(N('Inputs (2)'!BD109)&lt;=0,N('Inputs (2)'!BD156)=0),"",'Inputs (2)'!BD156/'Inputs (2)'!BD109),"")</f>
        <v/>
      </c>
      <c r="BE247" s="32" t="str">
        <f>IFERROR(IF(OR(N('Inputs (2)'!BE109)&lt;=0,N('Inputs (2)'!BE156)=0),"",'Inputs (2)'!BE156/'Inputs (2)'!BE109),"")</f>
        <v/>
      </c>
      <c r="BF247" s="32" t="str">
        <f>IFERROR(IF(OR(N('Inputs (2)'!BF109)&lt;=0,N('Inputs (2)'!BF156)=0),"",'Inputs (2)'!BF156/'Inputs (2)'!BF109),"")</f>
        <v/>
      </c>
      <c r="BG247" s="34" t="str">
        <f>IFERROR(IF(OR(N('Inputs (2)'!BG109)&lt;=0,N('Inputs (2)'!BG156)=0),"",'Inputs (2)'!BG156/'Inputs (2)'!BG109),"")</f>
        <v/>
      </c>
    </row>
    <row r="248">
      <c r="C248" s="30" t="inlineStr">
        <is>
          <t>Recompras de ações (% do lucro ao acionista comum)</t>
        </is>
      </c>
      <c r="D248" s="12" t="inlineStr">
        <is>
          <t>Buybacks over net income to common</t>
        </is>
      </c>
      <c r="E248" s="32" t="str">
        <f>IFERROR(IF(OR(N('Inputs (2)'!E109)&lt;=0,N('Inputs (2)'!E157)=0),"",'Inputs (2)'!E157/'Inputs (2)'!E109),"")</f>
        <v/>
      </c>
      <c r="F248" s="32" t="str">
        <f>IFERROR(IF(OR(N('Inputs (2)'!F109)&lt;=0,N('Inputs (2)'!F157)=0),"",'Inputs (2)'!F157/'Inputs (2)'!F109),"")</f>
        <v/>
      </c>
      <c r="G248" s="32" t="str">
        <f>IFERROR(IF(OR(N('Inputs (2)'!G109)&lt;=0,N('Inputs (2)'!G157)=0),"",'Inputs (2)'!G157/'Inputs (2)'!G109),"")</f>
        <v/>
      </c>
      <c r="H248" s="32" t="str">
        <f>IFERROR(IF(OR(N('Inputs (2)'!H109)&lt;=0,N('Inputs (2)'!H157)=0),"",'Inputs (2)'!H157/'Inputs (2)'!H109),"")</f>
        <v/>
      </c>
      <c r="I248" s="34" t="str">
        <f>IFERROR(IF(OR(N('Inputs (2)'!I109)&lt;=0,N('Inputs (2)'!I157)=0),"",'Inputs (2)'!I157/'Inputs (2)'!I109),"")</f>
        <v/>
      </c>
      <c r="J248" s="32" t="str">
        <f>IFERROR(IF(OR(N('Inputs (2)'!J109)&lt;=0,N('Inputs (2)'!J157)=0),"",'Inputs (2)'!J157/'Inputs (2)'!J109),"")</f>
        <v/>
      </c>
      <c r="K248" s="32" t="str">
        <f>IFERROR(IF(OR(N('Inputs (2)'!K109)&lt;=0,N('Inputs (2)'!K157)=0),"",'Inputs (2)'!K157/'Inputs (2)'!K109),"")</f>
        <v/>
      </c>
      <c r="L248" s="32" t="str">
        <f>IFERROR(IF(OR(N('Inputs (2)'!L109)&lt;=0,N('Inputs (2)'!L157)=0),"",'Inputs (2)'!L157/'Inputs (2)'!L109),"")</f>
        <v/>
      </c>
      <c r="M248" s="32" t="str">
        <f>IFERROR(IF(OR(N('Inputs (2)'!M109)&lt;=0,N('Inputs (2)'!M157)=0),"",'Inputs (2)'!M157/'Inputs (2)'!M109),"")</f>
        <v/>
      </c>
      <c r="N248" s="34" t="str">
        <f>IFERROR(IF(OR(N('Inputs (2)'!N109)&lt;=0,N('Inputs (2)'!N157)=0),"",'Inputs (2)'!N157/'Inputs (2)'!N109),"")</f>
        <v/>
      </c>
      <c r="O248" s="32" t="str">
        <f>IFERROR(IF(OR(N('Inputs (2)'!O109)&lt;=0,N('Inputs (2)'!O157)=0),"",'Inputs (2)'!O157/'Inputs (2)'!O109),"")</f>
        <v/>
      </c>
      <c r="P248" s="32" t="str">
        <f>IFERROR(IF(OR(N('Inputs (2)'!P109)&lt;=0,N('Inputs (2)'!P157)=0),"",'Inputs (2)'!P157/'Inputs (2)'!P109),"")</f>
        <v/>
      </c>
      <c r="Q248" s="32" t="str">
        <f>IFERROR(IF(OR(N('Inputs (2)'!Q109)&lt;=0,N('Inputs (2)'!Q157)=0),"",'Inputs (2)'!Q157/'Inputs (2)'!Q109),"")</f>
        <v/>
      </c>
      <c r="R248" s="32" t="str">
        <f>IFERROR(IF(OR(N('Inputs (2)'!R109)&lt;=0,N('Inputs (2)'!R157)=0),"",'Inputs (2)'!R157/'Inputs (2)'!R109),"")</f>
        <v/>
      </c>
      <c r="S248" s="34" t="str">
        <f>IFERROR(IF(OR(N('Inputs (2)'!S109)&lt;=0,N('Inputs (2)'!S157)=0),"",'Inputs (2)'!S157/'Inputs (2)'!S109),"")</f>
        <v/>
      </c>
      <c r="T248" s="32" t="str">
        <f>IFERROR(IF(OR(N('Inputs (2)'!T109)&lt;=0,N('Inputs (2)'!T157)=0),"",'Inputs (2)'!T157/'Inputs (2)'!T109),"")</f>
        <v/>
      </c>
      <c r="U248" s="32" t="str">
        <f>IFERROR(IF(OR(N('Inputs (2)'!U109)&lt;=0,N('Inputs (2)'!U157)=0),"",'Inputs (2)'!U157/'Inputs (2)'!U109),"")</f>
        <v/>
      </c>
      <c r="V248" s="32" t="str">
        <f>IFERROR(IF(OR(N('Inputs (2)'!V109)&lt;=0,N('Inputs (2)'!V157)=0),"",'Inputs (2)'!V157/'Inputs (2)'!V109),"")</f>
        <v/>
      </c>
      <c r="W248" s="32" t="str">
        <f>IFERROR(IF(OR(N('Inputs (2)'!W109)&lt;=0,N('Inputs (2)'!W157)=0),"",'Inputs (2)'!W157/'Inputs (2)'!W109),"")</f>
        <v/>
      </c>
      <c r="X248" s="34" t="str">
        <f>IFERROR(IF(OR(N('Inputs (2)'!X109)&lt;=0,N('Inputs (2)'!X157)=0),"",'Inputs (2)'!X157/'Inputs (2)'!X109),"")</f>
        <v/>
      </c>
      <c r="Y248" s="32" t="str">
        <f>IFERROR(IF(OR(N('Inputs (2)'!Y109)&lt;=0,N('Inputs (2)'!Y157)=0),"",'Inputs (2)'!Y157/'Inputs (2)'!Y109),"")</f>
        <v/>
      </c>
      <c r="Z248" s="32" t="str">
        <f>IFERROR(IF(OR(N('Inputs (2)'!Z109)&lt;=0,N('Inputs (2)'!Z157)=0),"",'Inputs (2)'!Z157/'Inputs (2)'!Z109),"")</f>
        <v/>
      </c>
      <c r="AA248" s="32" t="str">
        <f>IFERROR(IF(OR(N('Inputs (2)'!AA109)&lt;=0,N('Inputs (2)'!AA157)=0),"",'Inputs (2)'!AA157/'Inputs (2)'!AA109),"")</f>
        <v/>
      </c>
      <c r="AB248" s="32" t="str">
        <f>IFERROR(IF(OR(N('Inputs (2)'!AB109)&lt;=0,N('Inputs (2)'!AB157)=0),"",'Inputs (2)'!AB157/'Inputs (2)'!AB109),"")</f>
        <v/>
      </c>
      <c r="AC248" s="34" t="str">
        <f>IFERROR(IF(OR(N('Inputs (2)'!AC109)&lt;=0,N('Inputs (2)'!AC157)=0),"",'Inputs (2)'!AC157/'Inputs (2)'!AC109),"")</f>
        <v/>
      </c>
      <c r="AD248" s="32" t="str">
        <f>IFERROR(IF(OR(N('Inputs (2)'!AD109)&lt;=0,N('Inputs (2)'!AD157)=0),"",'Inputs (2)'!AD157/'Inputs (2)'!AD109),"")</f>
        <v/>
      </c>
      <c r="AE248" s="32" t="str">
        <f>IFERROR(IF(OR(N('Inputs (2)'!AE109)&lt;=0,N('Inputs (2)'!AE157)=0),"",'Inputs (2)'!AE157/'Inputs (2)'!AE109),"")</f>
        <v/>
      </c>
      <c r="AF248" s="32" t="str">
        <f>IFERROR(IF(OR(N('Inputs (2)'!AF109)&lt;=0,N('Inputs (2)'!AF157)=0),"",'Inputs (2)'!AF157/'Inputs (2)'!AF109),"")</f>
        <v/>
      </c>
      <c r="AG248" s="32" t="str">
        <f>IFERROR(IF(OR(N('Inputs (2)'!AG109)&lt;=0,N('Inputs (2)'!AG157)=0),"",'Inputs (2)'!AG157/'Inputs (2)'!AG109),"")</f>
        <v/>
      </c>
      <c r="AH248" s="34" t="str">
        <f>IFERROR(IF(OR(N('Inputs (2)'!AH109)&lt;=0,N('Inputs (2)'!AH157)=0),"",'Inputs (2)'!AH157/'Inputs (2)'!AH109),"")</f>
        <v/>
      </c>
      <c r="AI248" s="32" t="str">
        <f>IFERROR(IF(OR(N('Inputs (2)'!AI109)&lt;=0,N('Inputs (2)'!AI157)=0),"",'Inputs (2)'!AI157/'Inputs (2)'!AI109),"")</f>
        <v/>
      </c>
      <c r="AJ248" s="32" t="str">
        <f>IFERROR(IF(OR(N('Inputs (2)'!AJ109)&lt;=0,N('Inputs (2)'!AJ157)=0),"",'Inputs (2)'!AJ157/'Inputs (2)'!AJ109),"")</f>
        <v/>
      </c>
      <c r="AK248" s="32" t="str">
        <f>IFERROR(IF(OR(N('Inputs (2)'!AK109)&lt;=0,N('Inputs (2)'!AK157)=0),"",'Inputs (2)'!AK157/'Inputs (2)'!AK109),"")</f>
        <v/>
      </c>
      <c r="AL248" s="32" t="str">
        <f>IFERROR(IF(OR(N('Inputs (2)'!AL109)&lt;=0,N('Inputs (2)'!AL157)=0),"",'Inputs (2)'!AL157/'Inputs (2)'!AL109),"")</f>
        <v/>
      </c>
      <c r="AM248" s="34" t="str">
        <f>IFERROR(IF(OR(N('Inputs (2)'!AM109)&lt;=0,N('Inputs (2)'!AM157)=0),"",'Inputs (2)'!AM157/'Inputs (2)'!AM109),"")</f>
        <v/>
      </c>
      <c r="AN248" s="32" t="str">
        <f>IFERROR(IF(OR(N('Inputs (2)'!AN109)&lt;=0,N('Inputs (2)'!AN157)=0),"",'Inputs (2)'!AN157/'Inputs (2)'!AN109),"")</f>
        <v/>
      </c>
      <c r="AO248" s="32" t="str">
        <f>IFERROR(IF(OR(N('Inputs (2)'!AO109)&lt;=0,N('Inputs (2)'!AO157)=0),"",'Inputs (2)'!AO157/'Inputs (2)'!AO109),"")</f>
        <v/>
      </c>
      <c r="AP248" s="32" t="str">
        <f>IFERROR(IF(OR(N('Inputs (2)'!AP109)&lt;=0,N('Inputs (2)'!AP157)=0),"",'Inputs (2)'!AP157/'Inputs (2)'!AP109),"")</f>
        <v/>
      </c>
      <c r="AQ248" s="32" t="str">
        <f>IFERROR(IF(OR(N('Inputs (2)'!AQ109)&lt;=0,N('Inputs (2)'!AQ157)=0),"",'Inputs (2)'!AQ157/'Inputs (2)'!AQ109),"")</f>
        <v/>
      </c>
      <c r="AR248" s="34" t="str">
        <f>IFERROR(IF(OR(N('Inputs (2)'!AR109)&lt;=0,N('Inputs (2)'!AR157)=0),"",'Inputs (2)'!AR157/'Inputs (2)'!AR109),"")</f>
        <v/>
      </c>
      <c r="AS248" s="32" t="str">
        <f>IFERROR(IF(OR(N('Inputs (2)'!AS109)&lt;=0,N('Inputs (2)'!AS157)=0),"",'Inputs (2)'!AS157/'Inputs (2)'!AS109),"")</f>
        <v/>
      </c>
      <c r="AT248" s="32" t="str">
        <f>IFERROR(IF(OR(N('Inputs (2)'!AT109)&lt;=0,N('Inputs (2)'!AT157)=0),"",'Inputs (2)'!AT157/'Inputs (2)'!AT109),"")</f>
        <v/>
      </c>
      <c r="AU248" s="32" t="str">
        <f>IFERROR(IF(OR(N('Inputs (2)'!AU109)&lt;=0,N('Inputs (2)'!AU157)=0),"",'Inputs (2)'!AU157/'Inputs (2)'!AU109),"")</f>
        <v/>
      </c>
      <c r="AV248" s="32" t="str">
        <f>IFERROR(IF(OR(N('Inputs (2)'!AV109)&lt;=0,N('Inputs (2)'!AV157)=0),"",'Inputs (2)'!AV157/'Inputs (2)'!AV109),"")</f>
        <v/>
      </c>
      <c r="AW248" s="34" t="str">
        <f>IFERROR(IF(OR(N('Inputs (2)'!AW109)&lt;=0,N('Inputs (2)'!AW157)=0),"",'Inputs (2)'!AW157/'Inputs (2)'!AW109),"")</f>
        <v/>
      </c>
      <c r="AX248" s="32" t="str">
        <f>IFERROR(IF(OR(N('Inputs (2)'!AX109)&lt;=0,N('Inputs (2)'!AX157)=0),"",'Inputs (2)'!AX157/'Inputs (2)'!AX109),"")</f>
        <v/>
      </c>
      <c r="AY248" s="32" t="str">
        <f>IFERROR(IF(OR(N('Inputs (2)'!AY109)&lt;=0,N('Inputs (2)'!AY157)=0),"",'Inputs (2)'!AY157/'Inputs (2)'!AY109),"")</f>
        <v/>
      </c>
      <c r="AZ248" s="32" t="str">
        <f>IFERROR(IF(OR(N('Inputs (2)'!AZ109)&lt;=0,N('Inputs (2)'!AZ157)=0),"",'Inputs (2)'!AZ157/'Inputs (2)'!AZ109),"")</f>
        <v/>
      </c>
      <c r="BA248" s="32" t="str">
        <f>IFERROR(IF(OR(N('Inputs (2)'!BA109)&lt;=0,N('Inputs (2)'!BA157)=0),"",'Inputs (2)'!BA157/'Inputs (2)'!BA109),"")</f>
        <v/>
      </c>
      <c r="BB248" s="34" t="str">
        <f>IFERROR(IF(OR(N('Inputs (2)'!BB109)&lt;=0,N('Inputs (2)'!BB157)=0),"",'Inputs (2)'!BB157/'Inputs (2)'!BB109),"")</f>
        <v/>
      </c>
      <c r="BC248" s="32" t="str">
        <f>IFERROR(IF(OR(N('Inputs (2)'!BC109)&lt;=0,N('Inputs (2)'!BC157)=0),"",'Inputs (2)'!BC157/'Inputs (2)'!BC109),"")</f>
        <v/>
      </c>
      <c r="BD248" s="32" t="str">
        <f>IFERROR(IF(OR(N('Inputs (2)'!BD109)&lt;=0,N('Inputs (2)'!BD157)=0),"",'Inputs (2)'!BD157/'Inputs (2)'!BD109),"")</f>
        <v/>
      </c>
      <c r="BE248" s="32" t="str">
        <f>IFERROR(IF(OR(N('Inputs (2)'!BE109)&lt;=0,N('Inputs (2)'!BE157)=0),"",'Inputs (2)'!BE157/'Inputs (2)'!BE109),"")</f>
        <v/>
      </c>
      <c r="BF248" s="32" t="str">
        <f>IFERROR(IF(OR(N('Inputs (2)'!BF109)&lt;=0,N('Inputs (2)'!BF157)=0),"",'Inputs (2)'!BF157/'Inputs (2)'!BF109),"")</f>
        <v/>
      </c>
      <c r="BG248" s="34" t="str">
        <f>IFERROR(IF(OR(N('Inputs (2)'!BG109)&lt;=0,N('Inputs (2)'!BG157)=0),"",'Inputs (2)'!BG157/'Inputs (2)'!BG109),"")</f>
        <v/>
      </c>
    </row>
    <row r="249" hidden="1" outlineLevel="1">
      <c r="C249" s="30" t="inlineStr">
        <is>
          <t>RWA / Ativo total (%)</t>
        </is>
      </c>
      <c r="D249" s="12" t="inlineStr">
        <is>
          <t>RWA over assets</t>
        </is>
      </c>
      <c r="E249" s="32" t="str">
        <f>IFERROR(IF(OR(('Inputs (2)'!E29)=0,('Inputs (2)'!E136)=0),"",('Inputs (2)'!E136)/('Inputs (2)'!E29)),"")</f>
        <v/>
      </c>
      <c r="F249" s="32" t="str">
        <f>IFERROR(IF(OR(('Inputs (2)'!F29)=0,('Inputs (2)'!F136)=0),"",('Inputs (2)'!F136)/('Inputs (2)'!F29)),"")</f>
        <v/>
      </c>
      <c r="G249" s="32" t="str">
        <f>IFERROR(IF(OR(('Inputs (2)'!G29)=0,('Inputs (2)'!G136)=0),"",('Inputs (2)'!G136)/('Inputs (2)'!G29)),"")</f>
        <v/>
      </c>
      <c r="H249" s="32" t="str">
        <f>IFERROR(IF(OR(('Inputs (2)'!H29)=0,('Inputs (2)'!H136)=0),"",('Inputs (2)'!H136)/('Inputs (2)'!H29)),"")</f>
        <v/>
      </c>
      <c r="I249" s="34" t="str">
        <f>IFERROR(IF(OR(('Inputs (2)'!I29)=0,('Inputs (2)'!I136)=0),"",('Inputs (2)'!I136)/('Inputs (2)'!I29)),"")</f>
        <v/>
      </c>
      <c r="J249" s="32" t="str">
        <f>IFERROR(IF(OR(('Inputs (2)'!J29)=0,('Inputs (2)'!J136)=0),"",('Inputs (2)'!J136)/('Inputs (2)'!J29)),"")</f>
        <v/>
      </c>
      <c r="K249" s="32" t="str">
        <f>IFERROR(IF(OR(('Inputs (2)'!K29)=0,('Inputs (2)'!K136)=0),"",('Inputs (2)'!K136)/('Inputs (2)'!K29)),"")</f>
        <v/>
      </c>
      <c r="L249" s="32" t="str">
        <f>IFERROR(IF(OR(('Inputs (2)'!L29)=0,('Inputs (2)'!L136)=0),"",('Inputs (2)'!L136)/('Inputs (2)'!L29)),"")</f>
        <v/>
      </c>
      <c r="M249" s="32" t="str">
        <f>IFERROR(IF(OR(('Inputs (2)'!M29)=0,('Inputs (2)'!M136)=0),"",('Inputs (2)'!M136)/('Inputs (2)'!M29)),"")</f>
        <v/>
      </c>
      <c r="N249" s="34" t="str">
        <f>IFERROR(IF(OR(('Inputs (2)'!N29)=0,('Inputs (2)'!N136)=0),"",('Inputs (2)'!N136)/('Inputs (2)'!N29)),"")</f>
        <v/>
      </c>
      <c r="O249" s="32" t="str">
        <f>IFERROR(IF(OR(('Inputs (2)'!O29)=0,('Inputs (2)'!O136)=0),"",('Inputs (2)'!O136)/('Inputs (2)'!O29)),"")</f>
        <v/>
      </c>
      <c r="P249" s="32" t="str">
        <f>IFERROR(IF(OR(('Inputs (2)'!P29)=0,('Inputs (2)'!P136)=0),"",('Inputs (2)'!P136)/('Inputs (2)'!P29)),"")</f>
        <v/>
      </c>
      <c r="Q249" s="32" t="str">
        <f>IFERROR(IF(OR(('Inputs (2)'!Q29)=0,('Inputs (2)'!Q136)=0),"",('Inputs (2)'!Q136)/('Inputs (2)'!Q29)),"")</f>
        <v/>
      </c>
      <c r="R249" s="32" t="str">
        <f>IFERROR(IF(OR(('Inputs (2)'!R29)=0,('Inputs (2)'!R136)=0),"",('Inputs (2)'!R136)/('Inputs (2)'!R29)),"")</f>
        <v/>
      </c>
      <c r="S249" s="34" t="str">
        <f>IFERROR(IF(OR(('Inputs (2)'!S29)=0,('Inputs (2)'!S136)=0),"",('Inputs (2)'!S136)/('Inputs (2)'!S29)),"")</f>
        <v/>
      </c>
      <c r="T249" s="32" t="str">
        <f>IFERROR(IF(OR(('Inputs (2)'!T29)=0,('Inputs (2)'!T136)=0),"",('Inputs (2)'!T136)/('Inputs (2)'!T29)),"")</f>
        <v/>
      </c>
      <c r="U249" s="32" t="str">
        <f>IFERROR(IF(OR(('Inputs (2)'!U29)=0,('Inputs (2)'!U136)=0),"",('Inputs (2)'!U136)/('Inputs (2)'!U29)),"")</f>
        <v/>
      </c>
      <c r="V249" s="32" t="str">
        <f>IFERROR(IF(OR(('Inputs (2)'!V29)=0,('Inputs (2)'!V136)=0),"",('Inputs (2)'!V136)/('Inputs (2)'!V29)),"")</f>
        <v/>
      </c>
      <c r="W249" s="32" t="str">
        <f>IFERROR(IF(OR(('Inputs (2)'!W29)=0,('Inputs (2)'!W136)=0),"",('Inputs (2)'!W136)/('Inputs (2)'!W29)),"")</f>
        <v/>
      </c>
      <c r="X249" s="34" t="str">
        <f>IFERROR(IF(OR(('Inputs (2)'!X29)=0,('Inputs (2)'!X136)=0),"",('Inputs (2)'!X136)/('Inputs (2)'!X29)),"")</f>
        <v/>
      </c>
      <c r="Y249" s="32" t="str">
        <f>IFERROR(IF(OR(('Inputs (2)'!Y29)=0,('Inputs (2)'!Y136)=0),"",('Inputs (2)'!Y136)/('Inputs (2)'!Y29)),"")</f>
        <v/>
      </c>
      <c r="Z249" s="32" t="str">
        <f>IFERROR(IF(OR(('Inputs (2)'!Z29)=0,('Inputs (2)'!Z136)=0),"",('Inputs (2)'!Z136)/('Inputs (2)'!Z29)),"")</f>
        <v/>
      </c>
      <c r="AA249" s="32" t="str">
        <f>IFERROR(IF(OR(('Inputs (2)'!AA29)=0,('Inputs (2)'!AA136)=0),"",('Inputs (2)'!AA136)/('Inputs (2)'!AA29)),"")</f>
        <v/>
      </c>
      <c r="AB249" s="32" t="str">
        <f>IFERROR(IF(OR(('Inputs (2)'!AB29)=0,('Inputs (2)'!AB136)=0),"",('Inputs (2)'!AB136)/('Inputs (2)'!AB29)),"")</f>
        <v/>
      </c>
      <c r="AC249" s="34" t="str">
        <f>IFERROR(IF(OR(('Inputs (2)'!AC29)=0,('Inputs (2)'!AC136)=0),"",('Inputs (2)'!AC136)/('Inputs (2)'!AC29)),"")</f>
        <v/>
      </c>
      <c r="AD249" s="32" t="str">
        <f>IFERROR(IF(OR(('Inputs (2)'!AD29)=0,('Inputs (2)'!AD136)=0),"",('Inputs (2)'!AD136)/('Inputs (2)'!AD29)),"")</f>
        <v/>
      </c>
      <c r="AE249" s="32" t="str">
        <f>IFERROR(IF(OR(('Inputs (2)'!AE29)=0,('Inputs (2)'!AE136)=0),"",('Inputs (2)'!AE136)/('Inputs (2)'!AE29)),"")</f>
        <v/>
      </c>
      <c r="AF249" s="32" t="str">
        <f>IFERROR(IF(OR(('Inputs (2)'!AF29)=0,('Inputs (2)'!AF136)=0),"",('Inputs (2)'!AF136)/('Inputs (2)'!AF29)),"")</f>
        <v/>
      </c>
      <c r="AG249" s="32" t="str">
        <f>IFERROR(IF(OR(('Inputs (2)'!AG29)=0,('Inputs (2)'!AG136)=0),"",('Inputs (2)'!AG136)/('Inputs (2)'!AG29)),"")</f>
        <v/>
      </c>
      <c r="AH249" s="34" t="str">
        <f>IFERROR(IF(OR(('Inputs (2)'!AH29)=0,('Inputs (2)'!AH136)=0),"",('Inputs (2)'!AH136)/('Inputs (2)'!AH29)),"")</f>
        <v/>
      </c>
      <c r="AI249" s="32" t="str">
        <f>IFERROR(IF(OR(('Inputs (2)'!AI29)=0,('Inputs (2)'!AI136)=0),"",('Inputs (2)'!AI136)/('Inputs (2)'!AI29)),"")</f>
        <v/>
      </c>
      <c r="AJ249" s="32" t="str">
        <f>IFERROR(IF(OR(('Inputs (2)'!AJ29)=0,('Inputs (2)'!AJ136)=0),"",('Inputs (2)'!AJ136)/('Inputs (2)'!AJ29)),"")</f>
        <v/>
      </c>
      <c r="AK249" s="32" t="str">
        <f>IFERROR(IF(OR(('Inputs (2)'!AK29)=0,('Inputs (2)'!AK136)=0),"",('Inputs (2)'!AK136)/('Inputs (2)'!AK29)),"")</f>
        <v/>
      </c>
      <c r="AL249" s="32" t="str">
        <f>IFERROR(IF(OR(('Inputs (2)'!AL29)=0,('Inputs (2)'!AL136)=0),"",('Inputs (2)'!AL136)/('Inputs (2)'!AL29)),"")</f>
        <v/>
      </c>
      <c r="AM249" s="34" t="str">
        <f>IFERROR(IF(OR(('Inputs (2)'!AM29)=0,('Inputs (2)'!AM136)=0),"",('Inputs (2)'!AM136)/('Inputs (2)'!AM29)),"")</f>
        <v/>
      </c>
      <c r="AN249" s="32" t="str">
        <f>IFERROR(IF(OR(('Inputs (2)'!AN29)=0,('Inputs (2)'!AN136)=0),"",('Inputs (2)'!AN136)/('Inputs (2)'!AN29)),"")</f>
        <v/>
      </c>
      <c r="AO249" s="32" t="str">
        <f>IFERROR(IF(OR(('Inputs (2)'!AO29)=0,('Inputs (2)'!AO136)=0),"",('Inputs (2)'!AO136)/('Inputs (2)'!AO29)),"")</f>
        <v/>
      </c>
      <c r="AP249" s="32" t="str">
        <f>IFERROR(IF(OR(('Inputs (2)'!AP29)=0,('Inputs (2)'!AP136)=0),"",('Inputs (2)'!AP136)/('Inputs (2)'!AP29)),"")</f>
        <v/>
      </c>
      <c r="AQ249" s="32" t="str">
        <f>IFERROR(IF(OR(('Inputs (2)'!AQ29)=0,('Inputs (2)'!AQ136)=0),"",('Inputs (2)'!AQ136)/('Inputs (2)'!AQ29)),"")</f>
        <v/>
      </c>
      <c r="AR249" s="34" t="str">
        <f>IFERROR(IF(OR(('Inputs (2)'!AR29)=0,('Inputs (2)'!AR136)=0),"",('Inputs (2)'!AR136)/('Inputs (2)'!AR29)),"")</f>
        <v/>
      </c>
      <c r="AS249" s="32" t="str">
        <f>IFERROR(IF(OR(('Inputs (2)'!AS29)=0,('Inputs (2)'!AS136)=0),"",('Inputs (2)'!AS136)/('Inputs (2)'!AS29)),"")</f>
        <v/>
      </c>
      <c r="AT249" s="32" t="str">
        <f>IFERROR(IF(OR(('Inputs (2)'!AT29)=0,('Inputs (2)'!AT136)=0),"",('Inputs (2)'!AT136)/('Inputs (2)'!AT29)),"")</f>
        <v/>
      </c>
      <c r="AU249" s="32" t="str">
        <f>IFERROR(IF(OR(('Inputs (2)'!AU29)=0,('Inputs (2)'!AU136)=0),"",('Inputs (2)'!AU136)/('Inputs (2)'!AU29)),"")</f>
        <v/>
      </c>
      <c r="AV249" s="32" t="str">
        <f>IFERROR(IF(OR(('Inputs (2)'!AV29)=0,('Inputs (2)'!AV136)=0),"",('Inputs (2)'!AV136)/('Inputs (2)'!AV29)),"")</f>
        <v/>
      </c>
      <c r="AW249" s="34" t="str">
        <f>IFERROR(IF(OR(('Inputs (2)'!AW29)=0,('Inputs (2)'!AW136)=0),"",('Inputs (2)'!AW136)/('Inputs (2)'!AW29)),"")</f>
        <v/>
      </c>
      <c r="AX249" s="32" t="str">
        <f>IFERROR(IF(OR(('Inputs (2)'!AX29)=0,('Inputs (2)'!AX136)=0),"",('Inputs (2)'!AX136)/('Inputs (2)'!AX29)),"")</f>
        <v/>
      </c>
      <c r="AY249" s="32" t="str">
        <f>IFERROR(IF(OR(('Inputs (2)'!AY29)=0,('Inputs (2)'!AY136)=0),"",('Inputs (2)'!AY136)/('Inputs (2)'!AY29)),"")</f>
        <v/>
      </c>
      <c r="AZ249" s="32" t="str">
        <f>IFERROR(IF(OR(('Inputs (2)'!AZ29)=0,('Inputs (2)'!AZ136)=0),"",('Inputs (2)'!AZ136)/('Inputs (2)'!AZ29)),"")</f>
        <v/>
      </c>
      <c r="BA249" s="32" t="str">
        <f>IFERROR(IF(OR(('Inputs (2)'!BA29)=0,('Inputs (2)'!BA136)=0),"",('Inputs (2)'!BA136)/('Inputs (2)'!BA29)),"")</f>
        <v/>
      </c>
      <c r="BB249" s="34" t="str">
        <f>IFERROR(IF(OR(('Inputs (2)'!BB29)=0,('Inputs (2)'!BB136)=0),"",('Inputs (2)'!BB136)/('Inputs (2)'!BB29)),"")</f>
        <v/>
      </c>
      <c r="BC249" s="32" t="str">
        <f>IFERROR(IF(OR(('Inputs (2)'!BC29)=0,('Inputs (2)'!BC136)=0),"",('Inputs (2)'!BC136)/('Inputs (2)'!BC29)),"")</f>
        <v/>
      </c>
      <c r="BD249" s="32" t="str">
        <f>IFERROR(IF(OR(('Inputs (2)'!BD29)=0,('Inputs (2)'!BD136)=0),"",('Inputs (2)'!BD136)/('Inputs (2)'!BD29)),"")</f>
        <v/>
      </c>
      <c r="BE249" s="32" t="str">
        <f>IFERROR(IF(OR(('Inputs (2)'!BE29)=0,('Inputs (2)'!BE136)=0),"",('Inputs (2)'!BE136)/('Inputs (2)'!BE29)),"")</f>
        <v/>
      </c>
      <c r="BF249" s="32" t="str">
        <f>IFERROR(IF(OR(('Inputs (2)'!BF29)=0,('Inputs (2)'!BF136)=0),"",('Inputs (2)'!BF136)/('Inputs (2)'!BF29)),"")</f>
        <v/>
      </c>
      <c r="BG249" s="34" t="str">
        <f>IFERROR(IF(OR(('Inputs (2)'!BG29)=0,('Inputs (2)'!BG136)=0),"",('Inputs (2)'!BG136)/('Inputs (2)'!BG29)),"")</f>
        <v/>
      </c>
    </row>
    <row r="250" hidden="1" outlineLevel="1">
      <c r="C250" s="30" t="inlineStr">
        <is>
          <t>Índice de capital total reportado (%)</t>
        </is>
      </c>
      <c r="D250" s="12" t="inlineStr">
        <is>
          <t>Reported Basel ratio</t>
        </is>
      </c>
      <c r="E250" s="32" t="str">
        <f>IFERROR(IF(OR(COUNT('Inputs (2)'!E143)=0,('Inputs (2)'!E143)=0),"",('Inputs (2)'!E143)),"")</f>
        <v/>
      </c>
      <c r="F250" s="32" t="str">
        <f>IFERROR(IF(OR(COUNT('Inputs (2)'!F143)=0,('Inputs (2)'!F143)=0),"",('Inputs (2)'!F143)),"")</f>
        <v/>
      </c>
      <c r="G250" s="32" t="str">
        <f>IFERROR(IF(OR(COUNT('Inputs (2)'!G143)=0,('Inputs (2)'!G143)=0),"",('Inputs (2)'!G143)),"")</f>
        <v/>
      </c>
      <c r="H250" s="32" t="str">
        <f>IFERROR(IF(OR(COUNT('Inputs (2)'!H143)=0,('Inputs (2)'!H143)=0),"",('Inputs (2)'!H143)),"")</f>
        <v/>
      </c>
      <c r="I250" s="34" t="str">
        <f>IFERROR(IF(OR(COUNT('Inputs (2)'!I143)=0,('Inputs (2)'!I143)=0),"",('Inputs (2)'!I143)),"")</f>
        <v/>
      </c>
      <c r="J250" s="32" t="str">
        <f>IFERROR(IF(OR(COUNT('Inputs (2)'!J143)=0,('Inputs (2)'!J143)=0),"",('Inputs (2)'!J143)),"")</f>
        <v/>
      </c>
      <c r="K250" s="32" t="str">
        <f>IFERROR(IF(OR(COUNT('Inputs (2)'!K143)=0,('Inputs (2)'!K143)=0),"",('Inputs (2)'!K143)),"")</f>
        <v/>
      </c>
      <c r="L250" s="32" t="str">
        <f>IFERROR(IF(OR(COUNT('Inputs (2)'!L143)=0,('Inputs (2)'!L143)=0),"",('Inputs (2)'!L143)),"")</f>
        <v/>
      </c>
      <c r="M250" s="32" t="str">
        <f>IFERROR(IF(OR(COUNT('Inputs (2)'!M143)=0,('Inputs (2)'!M143)=0),"",('Inputs (2)'!M143)),"")</f>
        <v/>
      </c>
      <c r="N250" s="34" t="str">
        <f>IFERROR(IF(OR(COUNT('Inputs (2)'!N143)=0,('Inputs (2)'!N143)=0),"",('Inputs (2)'!N143)),"")</f>
        <v/>
      </c>
      <c r="O250" s="32" t="str">
        <f>IFERROR(IF(OR(COUNT('Inputs (2)'!O143)=0,('Inputs (2)'!O143)=0),"",('Inputs (2)'!O143)),"")</f>
        <v/>
      </c>
      <c r="P250" s="32" t="str">
        <f>IFERROR(IF(OR(COUNT('Inputs (2)'!P143)=0,('Inputs (2)'!P143)=0),"",('Inputs (2)'!P143)),"")</f>
        <v/>
      </c>
      <c r="Q250" s="32" t="str">
        <f>IFERROR(IF(OR(COUNT('Inputs (2)'!Q143)=0,('Inputs (2)'!Q143)=0),"",('Inputs (2)'!Q143)),"")</f>
        <v/>
      </c>
      <c r="R250" s="32" t="str">
        <f>IFERROR(IF(OR(COUNT('Inputs (2)'!R143)=0,('Inputs (2)'!R143)=0),"",('Inputs (2)'!R143)),"")</f>
        <v/>
      </c>
      <c r="S250" s="34" t="str">
        <f>IFERROR(IF(OR(COUNT('Inputs (2)'!S143)=0,('Inputs (2)'!S143)=0),"",('Inputs (2)'!S143)),"")</f>
        <v/>
      </c>
      <c r="T250" s="32" t="str">
        <f>IFERROR(IF(OR(COUNT('Inputs (2)'!T143)=0,('Inputs (2)'!T143)=0),"",('Inputs (2)'!T143)),"")</f>
        <v/>
      </c>
      <c r="U250" s="32" t="str">
        <f>IFERROR(IF(OR(COUNT('Inputs (2)'!U143)=0,('Inputs (2)'!U143)=0),"",('Inputs (2)'!U143)),"")</f>
        <v/>
      </c>
      <c r="V250" s="32" t="str">
        <f>IFERROR(IF(OR(COUNT('Inputs (2)'!V143)=0,('Inputs (2)'!V143)=0),"",('Inputs (2)'!V143)),"")</f>
        <v/>
      </c>
      <c r="W250" s="32" t="str">
        <f>IFERROR(IF(OR(COUNT('Inputs (2)'!W143)=0,('Inputs (2)'!W143)=0),"",('Inputs (2)'!W143)),"")</f>
        <v/>
      </c>
      <c r="X250" s="34" t="str">
        <f>IFERROR(IF(OR(COUNT('Inputs (2)'!X143)=0,('Inputs (2)'!X143)=0),"",('Inputs (2)'!X143)),"")</f>
        <v/>
      </c>
      <c r="Y250" s="32" t="str">
        <f>IFERROR(IF(OR(COUNT('Inputs (2)'!Y143)=0,('Inputs (2)'!Y143)=0),"",('Inputs (2)'!Y143)),"")</f>
        <v/>
      </c>
      <c r="Z250" s="32" t="str">
        <f>IFERROR(IF(OR(COUNT('Inputs (2)'!Z143)=0,('Inputs (2)'!Z143)=0),"",('Inputs (2)'!Z143)),"")</f>
        <v/>
      </c>
      <c r="AA250" s="32" t="str">
        <f>IFERROR(IF(OR(COUNT('Inputs (2)'!AA143)=0,('Inputs (2)'!AA143)=0),"",('Inputs (2)'!AA143)),"")</f>
        <v/>
      </c>
      <c r="AB250" s="32" t="str">
        <f>IFERROR(IF(OR(COUNT('Inputs (2)'!AB143)=0,('Inputs (2)'!AB143)=0),"",('Inputs (2)'!AB143)),"")</f>
        <v/>
      </c>
      <c r="AC250" s="34" t="str">
        <f>IFERROR(IF(OR(COUNT('Inputs (2)'!AC143)=0,('Inputs (2)'!AC143)=0),"",('Inputs (2)'!AC143)),"")</f>
        <v/>
      </c>
      <c r="AD250" s="32" t="str">
        <f>IFERROR(IF(OR(COUNT('Inputs (2)'!AD143)=0,('Inputs (2)'!AD143)=0),"",('Inputs (2)'!AD143)),"")</f>
        <v/>
      </c>
      <c r="AE250" s="32" t="str">
        <f>IFERROR(IF(OR(COUNT('Inputs (2)'!AE143)=0,('Inputs (2)'!AE143)=0),"",('Inputs (2)'!AE143)),"")</f>
        <v/>
      </c>
      <c r="AF250" s="32" t="str">
        <f>IFERROR(IF(OR(COUNT('Inputs (2)'!AF143)=0,('Inputs (2)'!AF143)=0),"",('Inputs (2)'!AF143)),"")</f>
        <v/>
      </c>
      <c r="AG250" s="32" t="str">
        <f>IFERROR(IF(OR(COUNT('Inputs (2)'!AG143)=0,('Inputs (2)'!AG143)=0),"",('Inputs (2)'!AG143)),"")</f>
        <v/>
      </c>
      <c r="AH250" s="34" t="str">
        <f>IFERROR(IF(OR(COUNT('Inputs (2)'!AH143)=0,('Inputs (2)'!AH143)=0),"",('Inputs (2)'!AH143)),"")</f>
        <v/>
      </c>
      <c r="AI250" s="32" t="str">
        <f>IFERROR(IF(OR(COUNT('Inputs (2)'!AI143)=0,('Inputs (2)'!AI143)=0),"",('Inputs (2)'!AI143)),"")</f>
        <v/>
      </c>
      <c r="AJ250" s="32" t="str">
        <f>IFERROR(IF(OR(COUNT('Inputs (2)'!AJ143)=0,('Inputs (2)'!AJ143)=0),"",('Inputs (2)'!AJ143)),"")</f>
        <v/>
      </c>
      <c r="AK250" s="32" t="str">
        <f>IFERROR(IF(OR(COUNT('Inputs (2)'!AK143)=0,('Inputs (2)'!AK143)=0),"",('Inputs (2)'!AK143)),"")</f>
        <v/>
      </c>
      <c r="AL250" s="32" t="str">
        <f>IFERROR(IF(OR(COUNT('Inputs (2)'!AL143)=0,('Inputs (2)'!AL143)=0),"",('Inputs (2)'!AL143)),"")</f>
        <v/>
      </c>
      <c r="AM250" s="34" t="str">
        <f>IFERROR(IF(OR(COUNT('Inputs (2)'!AM143)=0,('Inputs (2)'!AM143)=0),"",('Inputs (2)'!AM143)),"")</f>
        <v/>
      </c>
      <c r="AN250" s="32" t="str">
        <f>IFERROR(IF(OR(COUNT('Inputs (2)'!AN143)=0,('Inputs (2)'!AN143)=0),"",('Inputs (2)'!AN143)),"")</f>
        <v/>
      </c>
      <c r="AO250" s="32" t="str">
        <f>IFERROR(IF(OR(COUNT('Inputs (2)'!AO143)=0,('Inputs (2)'!AO143)=0),"",('Inputs (2)'!AO143)),"")</f>
        <v/>
      </c>
      <c r="AP250" s="32" t="str">
        <f>IFERROR(IF(OR(COUNT('Inputs (2)'!AP143)=0,('Inputs (2)'!AP143)=0),"",('Inputs (2)'!AP143)),"")</f>
        <v/>
      </c>
      <c r="AQ250" s="32" t="str">
        <f>IFERROR(IF(OR(COUNT('Inputs (2)'!AQ143)=0,('Inputs (2)'!AQ143)=0),"",('Inputs (2)'!AQ143)),"")</f>
        <v/>
      </c>
      <c r="AR250" s="34" t="str">
        <f>IFERROR(IF(OR(COUNT('Inputs (2)'!AR143)=0,('Inputs (2)'!AR143)=0),"",('Inputs (2)'!AR143)),"")</f>
        <v/>
      </c>
      <c r="AS250" s="32" t="str">
        <f>IFERROR(IF(OR(COUNT('Inputs (2)'!AS143)=0,('Inputs (2)'!AS143)=0),"",('Inputs (2)'!AS143)),"")</f>
        <v/>
      </c>
      <c r="AT250" s="32" t="str">
        <f>IFERROR(IF(OR(COUNT('Inputs (2)'!AT143)=0,('Inputs (2)'!AT143)=0),"",('Inputs (2)'!AT143)),"")</f>
        <v/>
      </c>
      <c r="AU250" s="32" t="str">
        <f>IFERROR(IF(OR(COUNT('Inputs (2)'!AU143)=0,('Inputs (2)'!AU143)=0),"",('Inputs (2)'!AU143)),"")</f>
        <v/>
      </c>
      <c r="AV250" s="32" t="str">
        <f>IFERROR(IF(OR(COUNT('Inputs (2)'!AV143)=0,('Inputs (2)'!AV143)=0),"",('Inputs (2)'!AV143)),"")</f>
        <v/>
      </c>
      <c r="AW250" s="34" t="str">
        <f>IFERROR(IF(OR(COUNT('Inputs (2)'!AW143)=0,('Inputs (2)'!AW143)=0),"",('Inputs (2)'!AW143)),"")</f>
        <v/>
      </c>
      <c r="AX250" s="32" t="str">
        <f>IFERROR(IF(OR(COUNT('Inputs (2)'!AX143)=0,('Inputs (2)'!AX143)=0),"",('Inputs (2)'!AX143)),"")</f>
        <v/>
      </c>
      <c r="AY250" s="32" t="str">
        <f>IFERROR(IF(OR(COUNT('Inputs (2)'!AY143)=0,('Inputs (2)'!AY143)=0),"",('Inputs (2)'!AY143)),"")</f>
        <v/>
      </c>
      <c r="AZ250" s="32" t="str">
        <f>IFERROR(IF(OR(COUNT('Inputs (2)'!AZ143)=0,('Inputs (2)'!AZ143)=0),"",('Inputs (2)'!AZ143)),"")</f>
        <v/>
      </c>
      <c r="BA250" s="32" t="str">
        <f>IFERROR(IF(OR(COUNT('Inputs (2)'!BA143)=0,('Inputs (2)'!BA143)=0),"",('Inputs (2)'!BA143)),"")</f>
        <v/>
      </c>
      <c r="BB250" s="34" t="str">
        <f>IFERROR(IF(OR(COUNT('Inputs (2)'!BB143)=0,('Inputs (2)'!BB143)=0),"",('Inputs (2)'!BB143)),"")</f>
        <v/>
      </c>
      <c r="BC250" s="32" t="str">
        <f>IFERROR(IF(OR(COUNT('Inputs (2)'!BC143)=0,('Inputs (2)'!BC143)=0),"",('Inputs (2)'!BC143)),"")</f>
        <v/>
      </c>
      <c r="BD250" s="32" t="str">
        <f>IFERROR(IF(OR(COUNT('Inputs (2)'!BD143)=0,('Inputs (2)'!BD143)=0),"",('Inputs (2)'!BD143)),"")</f>
        <v/>
      </c>
      <c r="BE250" s="32" t="str">
        <f>IFERROR(IF(OR(COUNT('Inputs (2)'!BE143)=0,('Inputs (2)'!BE143)=0),"",('Inputs (2)'!BE143)),"")</f>
        <v/>
      </c>
      <c r="BF250" s="32" t="str">
        <f>IFERROR(IF(OR(COUNT('Inputs (2)'!BF143)=0,('Inputs (2)'!BF143)=0),"",('Inputs (2)'!BF143)),"")</f>
        <v/>
      </c>
      <c r="BG250" s="34" t="str">
        <f>IFERROR(IF(OR(COUNT('Inputs (2)'!BG143)=0,('Inputs (2)'!BG143)=0),"",('Inputs (2)'!BG143)),"")</f>
        <v/>
      </c>
    </row>
    <row r="251" hidden="1" outlineLevel="1">
      <c r="C251" s="30" t="inlineStr">
        <is>
          <t>Índice Tier 1 reportado (%)</t>
        </is>
      </c>
      <c r="D251" s="12" t="inlineStr">
        <is>
          <t>Reported Tier 1 ratio</t>
        </is>
      </c>
      <c r="E251" s="32" t="str">
        <f>IFERROR(IF(OR(COUNT('Inputs (2)'!E144)=0,('Inputs (2)'!E144)=0),"",('Inputs (2)'!E144)),"")</f>
        <v/>
      </c>
      <c r="F251" s="32" t="str">
        <f>IFERROR(IF(OR(COUNT('Inputs (2)'!F144)=0,('Inputs (2)'!F144)=0),"",('Inputs (2)'!F144)),"")</f>
        <v/>
      </c>
      <c r="G251" s="32" t="str">
        <f>IFERROR(IF(OR(COUNT('Inputs (2)'!G144)=0,('Inputs (2)'!G144)=0),"",('Inputs (2)'!G144)),"")</f>
        <v/>
      </c>
      <c r="H251" s="32" t="str">
        <f>IFERROR(IF(OR(COUNT('Inputs (2)'!H144)=0,('Inputs (2)'!H144)=0),"",('Inputs (2)'!H144)),"")</f>
        <v/>
      </c>
      <c r="I251" s="34" t="str">
        <f>IFERROR(IF(OR(COUNT('Inputs (2)'!I144)=0,('Inputs (2)'!I144)=0),"",('Inputs (2)'!I144)),"")</f>
        <v/>
      </c>
      <c r="J251" s="32" t="str">
        <f>IFERROR(IF(OR(COUNT('Inputs (2)'!J144)=0,('Inputs (2)'!J144)=0),"",('Inputs (2)'!J144)),"")</f>
        <v/>
      </c>
      <c r="K251" s="32" t="str">
        <f>IFERROR(IF(OR(COUNT('Inputs (2)'!K144)=0,('Inputs (2)'!K144)=0),"",('Inputs (2)'!K144)),"")</f>
        <v/>
      </c>
      <c r="L251" s="32" t="str">
        <f>IFERROR(IF(OR(COUNT('Inputs (2)'!L144)=0,('Inputs (2)'!L144)=0),"",('Inputs (2)'!L144)),"")</f>
        <v/>
      </c>
      <c r="M251" s="32" t="str">
        <f>IFERROR(IF(OR(COUNT('Inputs (2)'!M144)=0,('Inputs (2)'!M144)=0),"",('Inputs (2)'!M144)),"")</f>
        <v/>
      </c>
      <c r="N251" s="34" t="str">
        <f>IFERROR(IF(OR(COUNT('Inputs (2)'!N144)=0,('Inputs (2)'!N144)=0),"",('Inputs (2)'!N144)),"")</f>
        <v/>
      </c>
      <c r="O251" s="32" t="str">
        <f>IFERROR(IF(OR(COUNT('Inputs (2)'!O144)=0,('Inputs (2)'!O144)=0),"",('Inputs (2)'!O144)),"")</f>
        <v/>
      </c>
      <c r="P251" s="32" t="str">
        <f>IFERROR(IF(OR(COUNT('Inputs (2)'!P144)=0,('Inputs (2)'!P144)=0),"",('Inputs (2)'!P144)),"")</f>
        <v/>
      </c>
      <c r="Q251" s="32" t="str">
        <f>IFERROR(IF(OR(COUNT('Inputs (2)'!Q144)=0,('Inputs (2)'!Q144)=0),"",('Inputs (2)'!Q144)),"")</f>
        <v/>
      </c>
      <c r="R251" s="32" t="str">
        <f>IFERROR(IF(OR(COUNT('Inputs (2)'!R144)=0,('Inputs (2)'!R144)=0),"",('Inputs (2)'!R144)),"")</f>
        <v/>
      </c>
      <c r="S251" s="34" t="str">
        <f>IFERROR(IF(OR(COUNT('Inputs (2)'!S144)=0,('Inputs (2)'!S144)=0),"",('Inputs (2)'!S144)),"")</f>
        <v/>
      </c>
      <c r="T251" s="32" t="str">
        <f>IFERROR(IF(OR(COUNT('Inputs (2)'!T144)=0,('Inputs (2)'!T144)=0),"",('Inputs (2)'!T144)),"")</f>
        <v/>
      </c>
      <c r="U251" s="32" t="str">
        <f>IFERROR(IF(OR(COUNT('Inputs (2)'!U144)=0,('Inputs (2)'!U144)=0),"",('Inputs (2)'!U144)),"")</f>
        <v/>
      </c>
      <c r="V251" s="32" t="str">
        <f>IFERROR(IF(OR(COUNT('Inputs (2)'!V144)=0,('Inputs (2)'!V144)=0),"",('Inputs (2)'!V144)),"")</f>
        <v/>
      </c>
      <c r="W251" s="32" t="str">
        <f>IFERROR(IF(OR(COUNT('Inputs (2)'!W144)=0,('Inputs (2)'!W144)=0),"",('Inputs (2)'!W144)),"")</f>
        <v/>
      </c>
      <c r="X251" s="34" t="str">
        <f>IFERROR(IF(OR(COUNT('Inputs (2)'!X144)=0,('Inputs (2)'!X144)=0),"",('Inputs (2)'!X144)),"")</f>
        <v/>
      </c>
      <c r="Y251" s="32" t="str">
        <f>IFERROR(IF(OR(COUNT('Inputs (2)'!Y144)=0,('Inputs (2)'!Y144)=0),"",('Inputs (2)'!Y144)),"")</f>
        <v/>
      </c>
      <c r="Z251" s="32" t="str">
        <f>IFERROR(IF(OR(COUNT('Inputs (2)'!Z144)=0,('Inputs (2)'!Z144)=0),"",('Inputs (2)'!Z144)),"")</f>
        <v/>
      </c>
      <c r="AA251" s="32" t="str">
        <f>IFERROR(IF(OR(COUNT('Inputs (2)'!AA144)=0,('Inputs (2)'!AA144)=0),"",('Inputs (2)'!AA144)),"")</f>
        <v/>
      </c>
      <c r="AB251" s="32" t="str">
        <f>IFERROR(IF(OR(COUNT('Inputs (2)'!AB144)=0,('Inputs (2)'!AB144)=0),"",('Inputs (2)'!AB144)),"")</f>
        <v/>
      </c>
      <c r="AC251" s="34" t="str">
        <f>IFERROR(IF(OR(COUNT('Inputs (2)'!AC144)=0,('Inputs (2)'!AC144)=0),"",('Inputs (2)'!AC144)),"")</f>
        <v/>
      </c>
      <c r="AD251" s="32" t="str">
        <f>IFERROR(IF(OR(COUNT('Inputs (2)'!AD144)=0,('Inputs (2)'!AD144)=0),"",('Inputs (2)'!AD144)),"")</f>
        <v/>
      </c>
      <c r="AE251" s="32" t="str">
        <f>IFERROR(IF(OR(COUNT('Inputs (2)'!AE144)=0,('Inputs (2)'!AE144)=0),"",('Inputs (2)'!AE144)),"")</f>
        <v/>
      </c>
      <c r="AF251" s="32" t="str">
        <f>IFERROR(IF(OR(COUNT('Inputs (2)'!AF144)=0,('Inputs (2)'!AF144)=0),"",('Inputs (2)'!AF144)),"")</f>
        <v/>
      </c>
      <c r="AG251" s="32" t="str">
        <f>IFERROR(IF(OR(COUNT('Inputs (2)'!AG144)=0,('Inputs (2)'!AG144)=0),"",('Inputs (2)'!AG144)),"")</f>
        <v/>
      </c>
      <c r="AH251" s="34" t="str">
        <f>IFERROR(IF(OR(COUNT('Inputs (2)'!AH144)=0,('Inputs (2)'!AH144)=0),"",('Inputs (2)'!AH144)),"")</f>
        <v/>
      </c>
      <c r="AI251" s="32" t="str">
        <f>IFERROR(IF(OR(COUNT('Inputs (2)'!AI144)=0,('Inputs (2)'!AI144)=0),"",('Inputs (2)'!AI144)),"")</f>
        <v/>
      </c>
      <c r="AJ251" s="32" t="str">
        <f>IFERROR(IF(OR(COUNT('Inputs (2)'!AJ144)=0,('Inputs (2)'!AJ144)=0),"",('Inputs (2)'!AJ144)),"")</f>
        <v/>
      </c>
      <c r="AK251" s="32" t="str">
        <f>IFERROR(IF(OR(COUNT('Inputs (2)'!AK144)=0,('Inputs (2)'!AK144)=0),"",('Inputs (2)'!AK144)),"")</f>
        <v/>
      </c>
      <c r="AL251" s="32" t="str">
        <f>IFERROR(IF(OR(COUNT('Inputs (2)'!AL144)=0,('Inputs (2)'!AL144)=0),"",('Inputs (2)'!AL144)),"")</f>
        <v/>
      </c>
      <c r="AM251" s="34" t="str">
        <f>IFERROR(IF(OR(COUNT('Inputs (2)'!AM144)=0,('Inputs (2)'!AM144)=0),"",('Inputs (2)'!AM144)),"")</f>
        <v/>
      </c>
      <c r="AN251" s="32" t="str">
        <f>IFERROR(IF(OR(COUNT('Inputs (2)'!AN144)=0,('Inputs (2)'!AN144)=0),"",('Inputs (2)'!AN144)),"")</f>
        <v/>
      </c>
      <c r="AO251" s="32" t="str">
        <f>IFERROR(IF(OR(COUNT('Inputs (2)'!AO144)=0,('Inputs (2)'!AO144)=0),"",('Inputs (2)'!AO144)),"")</f>
        <v/>
      </c>
      <c r="AP251" s="32" t="str">
        <f>IFERROR(IF(OR(COUNT('Inputs (2)'!AP144)=0,('Inputs (2)'!AP144)=0),"",('Inputs (2)'!AP144)),"")</f>
        <v/>
      </c>
      <c r="AQ251" s="32" t="str">
        <f>IFERROR(IF(OR(COUNT('Inputs (2)'!AQ144)=0,('Inputs (2)'!AQ144)=0),"",('Inputs (2)'!AQ144)),"")</f>
        <v/>
      </c>
      <c r="AR251" s="34" t="str">
        <f>IFERROR(IF(OR(COUNT('Inputs (2)'!AR144)=0,('Inputs (2)'!AR144)=0),"",('Inputs (2)'!AR144)),"")</f>
        <v/>
      </c>
      <c r="AS251" s="32" t="str">
        <f>IFERROR(IF(OR(COUNT('Inputs (2)'!AS144)=0,('Inputs (2)'!AS144)=0),"",('Inputs (2)'!AS144)),"")</f>
        <v/>
      </c>
      <c r="AT251" s="32" t="str">
        <f>IFERROR(IF(OR(COUNT('Inputs (2)'!AT144)=0,('Inputs (2)'!AT144)=0),"",('Inputs (2)'!AT144)),"")</f>
        <v/>
      </c>
      <c r="AU251" s="32" t="str">
        <f>IFERROR(IF(OR(COUNT('Inputs (2)'!AU144)=0,('Inputs (2)'!AU144)=0),"",('Inputs (2)'!AU144)),"")</f>
        <v/>
      </c>
      <c r="AV251" s="32" t="str">
        <f>IFERROR(IF(OR(COUNT('Inputs (2)'!AV144)=0,('Inputs (2)'!AV144)=0),"",('Inputs (2)'!AV144)),"")</f>
        <v/>
      </c>
      <c r="AW251" s="34" t="str">
        <f>IFERROR(IF(OR(COUNT('Inputs (2)'!AW144)=0,('Inputs (2)'!AW144)=0),"",('Inputs (2)'!AW144)),"")</f>
        <v/>
      </c>
      <c r="AX251" s="32" t="str">
        <f>IFERROR(IF(OR(COUNT('Inputs (2)'!AX144)=0,('Inputs (2)'!AX144)=0),"",('Inputs (2)'!AX144)),"")</f>
        <v/>
      </c>
      <c r="AY251" s="32" t="str">
        <f>IFERROR(IF(OR(COUNT('Inputs (2)'!AY144)=0,('Inputs (2)'!AY144)=0),"",('Inputs (2)'!AY144)),"")</f>
        <v/>
      </c>
      <c r="AZ251" s="32" t="str">
        <f>IFERROR(IF(OR(COUNT('Inputs (2)'!AZ144)=0,('Inputs (2)'!AZ144)=0),"",('Inputs (2)'!AZ144)),"")</f>
        <v/>
      </c>
      <c r="BA251" s="32" t="str">
        <f>IFERROR(IF(OR(COUNT('Inputs (2)'!BA144)=0,('Inputs (2)'!BA144)=0),"",('Inputs (2)'!BA144)),"")</f>
        <v/>
      </c>
      <c r="BB251" s="34" t="str">
        <f>IFERROR(IF(OR(COUNT('Inputs (2)'!BB144)=0,('Inputs (2)'!BB144)=0),"",('Inputs (2)'!BB144)),"")</f>
        <v/>
      </c>
      <c r="BC251" s="32" t="str">
        <f>IFERROR(IF(OR(COUNT('Inputs (2)'!BC144)=0,('Inputs (2)'!BC144)=0),"",('Inputs (2)'!BC144)),"")</f>
        <v/>
      </c>
      <c r="BD251" s="32" t="str">
        <f>IFERROR(IF(OR(COUNT('Inputs (2)'!BD144)=0,('Inputs (2)'!BD144)=0),"",('Inputs (2)'!BD144)),"")</f>
        <v/>
      </c>
      <c r="BE251" s="32" t="str">
        <f>IFERROR(IF(OR(COUNT('Inputs (2)'!BE144)=0,('Inputs (2)'!BE144)=0),"",('Inputs (2)'!BE144)),"")</f>
        <v/>
      </c>
      <c r="BF251" s="32" t="str">
        <f>IFERROR(IF(OR(COUNT('Inputs (2)'!BF144)=0,('Inputs (2)'!BF144)=0),"",('Inputs (2)'!BF144)),"")</f>
        <v/>
      </c>
      <c r="BG251" s="34" t="str">
        <f>IFERROR(IF(OR(COUNT('Inputs (2)'!BG144)=0,('Inputs (2)'!BG144)=0),"",('Inputs (2)'!BG144)),"")</f>
        <v/>
      </c>
    </row>
    <row r="252" hidden="1" outlineLevel="1">
      <c r="C252" s="30" t="inlineStr">
        <is>
          <t>Variação de outros resultados abrangentes no período</t>
        </is>
      </c>
      <c r="D252" s="12" t="inlineStr">
        <is>
          <t>OCI change</t>
        </is>
      </c>
      <c r="E252" s="37" t="n"/>
      <c r="F252" s="35" t="str">
        <f>IFERROR(IF(OR(COUNT('Inputs (2)'!F63)=0,COUNT('Inputs (2)'!E63)=0,AND(('Inputs (2)'!F63)=0,('Inputs (2)'!E63)=0)),"",('Inputs (2)'!F63)-('Inputs (2)'!E63)),"")</f>
        <v/>
      </c>
      <c r="G252" s="35" t="str">
        <f>IFERROR(IF(OR(COUNT('Inputs (2)'!G63)=0,COUNT('Inputs (2)'!F63)=0,AND(('Inputs (2)'!G63)=0,('Inputs (2)'!F63)=0)),"",('Inputs (2)'!G63)-('Inputs (2)'!F63)),"")</f>
        <v/>
      </c>
      <c r="H252" s="35" t="str">
        <f>IFERROR(IF(OR(COUNT('Inputs (2)'!H63)=0,COUNT('Inputs (2)'!G63)=0,AND(('Inputs (2)'!H63)=0,('Inputs (2)'!G63)=0)),"",('Inputs (2)'!H63)-('Inputs (2)'!G63)),"")</f>
        <v/>
      </c>
      <c r="I252" s="38" t="n"/>
      <c r="J252" s="35" t="str">
        <f>IFERROR(IF(OR(COUNT('Inputs (2)'!J63)=0,COUNT('Inputs (2)'!H63)=0,AND(('Inputs (2)'!J63)=0,('Inputs (2)'!H63)=0)),"",('Inputs (2)'!J63)-('Inputs (2)'!H63)),"")</f>
        <v/>
      </c>
      <c r="K252" s="35" t="str">
        <f>IFERROR(IF(OR(COUNT('Inputs (2)'!K63)=0,COUNT('Inputs (2)'!J63)=0,AND(('Inputs (2)'!K63)=0,('Inputs (2)'!J63)=0)),"",('Inputs (2)'!K63)-('Inputs (2)'!J63)),"")</f>
        <v/>
      </c>
      <c r="L252" s="35" t="str">
        <f>IFERROR(IF(OR(COUNT('Inputs (2)'!L63)=0,COUNT('Inputs (2)'!K63)=0,AND(('Inputs (2)'!L63)=0,('Inputs (2)'!K63)=0)),"",('Inputs (2)'!L63)-('Inputs (2)'!K63)),"")</f>
        <v/>
      </c>
      <c r="M252" s="35" t="str">
        <f>IFERROR(IF(OR(COUNT('Inputs (2)'!M63)=0,COUNT('Inputs (2)'!L63)=0,AND(('Inputs (2)'!M63)=0,('Inputs (2)'!L63)=0)),"",('Inputs (2)'!M63)-('Inputs (2)'!L63)),"")</f>
        <v/>
      </c>
      <c r="N252" s="36" t="str">
        <f>IFERROR(IF(OR(COUNT('Inputs (2)'!N63)=0,COUNT('Inputs (2)'!I63)=0,AND(('Inputs (2)'!N63)=0,('Inputs (2)'!I63)=0)),"",('Inputs (2)'!N63)-('Inputs (2)'!I63)),"")</f>
        <v/>
      </c>
      <c r="O252" s="35" t="str">
        <f>IFERROR(IF(OR(COUNT('Inputs (2)'!O63)=0,COUNT('Inputs (2)'!M63)=0,AND(('Inputs (2)'!O63)=0,('Inputs (2)'!M63)=0)),"",('Inputs (2)'!O63)-('Inputs (2)'!M63)),"")</f>
        <v/>
      </c>
      <c r="P252" s="35" t="str">
        <f>IFERROR(IF(OR(COUNT('Inputs (2)'!P63)=0,COUNT('Inputs (2)'!O63)=0,AND(('Inputs (2)'!P63)=0,('Inputs (2)'!O63)=0)),"",('Inputs (2)'!P63)-('Inputs (2)'!O63)),"")</f>
        <v/>
      </c>
      <c r="Q252" s="35" t="str">
        <f>IFERROR(IF(OR(COUNT('Inputs (2)'!Q63)=0,COUNT('Inputs (2)'!P63)=0,AND(('Inputs (2)'!Q63)=0,('Inputs (2)'!P63)=0)),"",('Inputs (2)'!Q63)-('Inputs (2)'!P63)),"")</f>
        <v/>
      </c>
      <c r="R252" s="35" t="str">
        <f>IFERROR(IF(OR(COUNT('Inputs (2)'!R63)=0,COUNT('Inputs (2)'!Q63)=0,AND(('Inputs (2)'!R63)=0,('Inputs (2)'!Q63)=0)),"",('Inputs (2)'!R63)-('Inputs (2)'!Q63)),"")</f>
        <v/>
      </c>
      <c r="S252" s="36" t="str">
        <f>IFERROR(IF(OR(COUNT('Inputs (2)'!S63)=0,COUNT('Inputs (2)'!N63)=0,AND(('Inputs (2)'!S63)=0,('Inputs (2)'!N63)=0)),"",('Inputs (2)'!S63)-('Inputs (2)'!N63)),"")</f>
        <v/>
      </c>
      <c r="T252" s="35" t="str">
        <f>IFERROR(IF(OR(COUNT('Inputs (2)'!T63)=0,COUNT('Inputs (2)'!R63)=0,AND(('Inputs (2)'!T63)=0,('Inputs (2)'!R63)=0)),"",('Inputs (2)'!T63)-('Inputs (2)'!R63)),"")</f>
        <v/>
      </c>
      <c r="U252" s="35" t="str">
        <f>IFERROR(IF(OR(COUNT('Inputs (2)'!U63)=0,COUNT('Inputs (2)'!T63)=0,AND(('Inputs (2)'!U63)=0,('Inputs (2)'!T63)=0)),"",('Inputs (2)'!U63)-('Inputs (2)'!T63)),"")</f>
        <v/>
      </c>
      <c r="V252" s="35" t="str">
        <f>IFERROR(IF(OR(COUNT('Inputs (2)'!V63)=0,COUNT('Inputs (2)'!U63)=0,AND(('Inputs (2)'!V63)=0,('Inputs (2)'!U63)=0)),"",('Inputs (2)'!V63)-('Inputs (2)'!U63)),"")</f>
        <v/>
      </c>
      <c r="W252" s="35" t="str">
        <f>IFERROR(IF(OR(COUNT('Inputs (2)'!W63)=0,COUNT('Inputs (2)'!V63)=0,AND(('Inputs (2)'!W63)=0,('Inputs (2)'!V63)=0)),"",('Inputs (2)'!W63)-('Inputs (2)'!V63)),"")</f>
        <v/>
      </c>
      <c r="X252" s="36" t="str">
        <f>IFERROR(IF(OR(COUNT('Inputs (2)'!X63)=0,COUNT('Inputs (2)'!S63)=0,AND(('Inputs (2)'!X63)=0,('Inputs (2)'!S63)=0)),"",('Inputs (2)'!X63)-('Inputs (2)'!S63)),"")</f>
        <v/>
      </c>
      <c r="Y252" s="35" t="str">
        <f>IFERROR(IF(OR(COUNT('Inputs (2)'!Y63)=0,COUNT('Inputs (2)'!W63)=0,AND(('Inputs (2)'!Y63)=0,('Inputs (2)'!W63)=0)),"",('Inputs (2)'!Y63)-('Inputs (2)'!W63)),"")</f>
        <v/>
      </c>
      <c r="Z252" s="35" t="str">
        <f>IFERROR(IF(OR(COUNT('Inputs (2)'!Z63)=0,COUNT('Inputs (2)'!Y63)=0,AND(('Inputs (2)'!Z63)=0,('Inputs (2)'!Y63)=0)),"",('Inputs (2)'!Z63)-('Inputs (2)'!Y63)),"")</f>
        <v/>
      </c>
      <c r="AA252" s="35" t="str">
        <f>IFERROR(IF(OR(COUNT('Inputs (2)'!AA63)=0,COUNT('Inputs (2)'!Z63)=0,AND(('Inputs (2)'!AA63)=0,('Inputs (2)'!Z63)=0)),"",('Inputs (2)'!AA63)-('Inputs (2)'!Z63)),"")</f>
        <v/>
      </c>
      <c r="AB252" s="35" t="str">
        <f>IFERROR(IF(OR(COUNT('Inputs (2)'!AB63)=0,COUNT('Inputs (2)'!AA63)=0,AND(('Inputs (2)'!AB63)=0,('Inputs (2)'!AA63)=0)),"",('Inputs (2)'!AB63)-('Inputs (2)'!AA63)),"")</f>
        <v/>
      </c>
      <c r="AC252" s="36" t="str">
        <f>IFERROR(IF(OR(COUNT('Inputs (2)'!AC63)=0,COUNT('Inputs (2)'!X63)=0,AND(('Inputs (2)'!AC63)=0,('Inputs (2)'!X63)=0)),"",('Inputs (2)'!AC63)-('Inputs (2)'!X63)),"")</f>
        <v/>
      </c>
      <c r="AD252" s="35" t="str">
        <f>IFERROR(IF(OR(COUNT('Inputs (2)'!AD63)=0,COUNT('Inputs (2)'!AB63)=0,AND(('Inputs (2)'!AD63)=0,('Inputs (2)'!AB63)=0)),"",('Inputs (2)'!AD63)-('Inputs (2)'!AB63)),"")</f>
        <v/>
      </c>
      <c r="AE252" s="35" t="str">
        <f>IFERROR(IF(OR(COUNT('Inputs (2)'!AE63)=0,COUNT('Inputs (2)'!AD63)=0,AND(('Inputs (2)'!AE63)=0,('Inputs (2)'!AD63)=0)),"",('Inputs (2)'!AE63)-('Inputs (2)'!AD63)),"")</f>
        <v/>
      </c>
      <c r="AF252" s="35" t="str">
        <f>IFERROR(IF(OR(COUNT('Inputs (2)'!AF63)=0,COUNT('Inputs (2)'!AE63)=0,AND(('Inputs (2)'!AF63)=0,('Inputs (2)'!AE63)=0)),"",('Inputs (2)'!AF63)-('Inputs (2)'!AE63)),"")</f>
        <v/>
      </c>
      <c r="AG252" s="35" t="str">
        <f>IFERROR(IF(OR(COUNT('Inputs (2)'!AG63)=0,COUNT('Inputs (2)'!AF63)=0,AND(('Inputs (2)'!AG63)=0,('Inputs (2)'!AF63)=0)),"",('Inputs (2)'!AG63)-('Inputs (2)'!AF63)),"")</f>
        <v/>
      </c>
      <c r="AH252" s="36" t="str">
        <f>IFERROR(IF(OR(COUNT('Inputs (2)'!AH63)=0,COUNT('Inputs (2)'!AC63)=0,AND(('Inputs (2)'!AH63)=0,('Inputs (2)'!AC63)=0)),"",('Inputs (2)'!AH63)-('Inputs (2)'!AC63)),"")</f>
        <v/>
      </c>
      <c r="AI252" s="35" t="str">
        <f>IFERROR(IF(OR(COUNT('Inputs (2)'!AI63)=0,COUNT('Inputs (2)'!AG63)=0,AND(('Inputs (2)'!AI63)=0,('Inputs (2)'!AG63)=0)),"",('Inputs (2)'!AI63)-('Inputs (2)'!AG63)),"")</f>
        <v/>
      </c>
      <c r="AJ252" s="35" t="str">
        <f>IFERROR(IF(OR(COUNT('Inputs (2)'!AJ63)=0,COUNT('Inputs (2)'!AI63)=0,AND(('Inputs (2)'!AJ63)=0,('Inputs (2)'!AI63)=0)),"",('Inputs (2)'!AJ63)-('Inputs (2)'!AI63)),"")</f>
        <v/>
      </c>
      <c r="AK252" s="35" t="str">
        <f>IFERROR(IF(OR(COUNT('Inputs (2)'!AK63)=0,COUNT('Inputs (2)'!AJ63)=0,AND(('Inputs (2)'!AK63)=0,('Inputs (2)'!AJ63)=0)),"",('Inputs (2)'!AK63)-('Inputs (2)'!AJ63)),"")</f>
        <v/>
      </c>
      <c r="AL252" s="35" t="str">
        <f>IFERROR(IF(OR(COUNT('Inputs (2)'!AL63)=0,COUNT('Inputs (2)'!AK63)=0,AND(('Inputs (2)'!AL63)=0,('Inputs (2)'!AK63)=0)),"",('Inputs (2)'!AL63)-('Inputs (2)'!AK63)),"")</f>
        <v/>
      </c>
      <c r="AM252" s="36" t="str">
        <f>IFERROR(IF(OR(COUNT('Inputs (2)'!AM63)=0,COUNT('Inputs (2)'!AH63)=0,AND(('Inputs (2)'!AM63)=0,('Inputs (2)'!AH63)=0)),"",('Inputs (2)'!AM63)-('Inputs (2)'!AH63)),"")</f>
        <v/>
      </c>
      <c r="AN252" s="35" t="str">
        <f>IFERROR(IF(OR(COUNT('Inputs (2)'!AN63)=0,COUNT('Inputs (2)'!AL63)=0,AND(('Inputs (2)'!AN63)=0,('Inputs (2)'!AL63)=0)),"",('Inputs (2)'!AN63)-('Inputs (2)'!AL63)),"")</f>
        <v/>
      </c>
      <c r="AO252" s="35" t="str">
        <f>IFERROR(IF(OR(COUNT('Inputs (2)'!AO63)=0,COUNT('Inputs (2)'!AN63)=0,AND(('Inputs (2)'!AO63)=0,('Inputs (2)'!AN63)=0)),"",('Inputs (2)'!AO63)-('Inputs (2)'!AN63)),"")</f>
        <v/>
      </c>
      <c r="AP252" s="35" t="str">
        <f>IFERROR(IF(OR(COUNT('Inputs (2)'!AP63)=0,COUNT('Inputs (2)'!AO63)=0,AND(('Inputs (2)'!AP63)=0,('Inputs (2)'!AO63)=0)),"",('Inputs (2)'!AP63)-('Inputs (2)'!AO63)),"")</f>
        <v/>
      </c>
      <c r="AQ252" s="35" t="str">
        <f>IFERROR(IF(OR(COUNT('Inputs (2)'!AQ63)=0,COUNT('Inputs (2)'!AP63)=0,AND(('Inputs (2)'!AQ63)=0,('Inputs (2)'!AP63)=0)),"",('Inputs (2)'!AQ63)-('Inputs (2)'!AP63)),"")</f>
        <v/>
      </c>
      <c r="AR252" s="36" t="str">
        <f>IFERROR(IF(OR(COUNT('Inputs (2)'!AR63)=0,COUNT('Inputs (2)'!AM63)=0,AND(('Inputs (2)'!AR63)=0,('Inputs (2)'!AM63)=0)),"",('Inputs (2)'!AR63)-('Inputs (2)'!AM63)),"")</f>
        <v/>
      </c>
      <c r="AS252" s="35" t="str">
        <f>IFERROR(IF(OR(COUNT('Inputs (2)'!AS63)=0,COUNT('Inputs (2)'!AQ63)=0,AND(('Inputs (2)'!AS63)=0,('Inputs (2)'!AQ63)=0)),"",('Inputs (2)'!AS63)-('Inputs (2)'!AQ63)),"")</f>
        <v/>
      </c>
      <c r="AT252" s="35" t="str">
        <f>IFERROR(IF(OR(COUNT('Inputs (2)'!AT63)=0,COUNT('Inputs (2)'!AS63)=0,AND(('Inputs (2)'!AT63)=0,('Inputs (2)'!AS63)=0)),"",('Inputs (2)'!AT63)-('Inputs (2)'!AS63)),"")</f>
        <v/>
      </c>
      <c r="AU252" s="35" t="str">
        <f>IFERROR(IF(OR(COUNT('Inputs (2)'!AU63)=0,COUNT('Inputs (2)'!AT63)=0,AND(('Inputs (2)'!AU63)=0,('Inputs (2)'!AT63)=0)),"",('Inputs (2)'!AU63)-('Inputs (2)'!AT63)),"")</f>
        <v/>
      </c>
      <c r="AV252" s="35" t="str">
        <f>IFERROR(IF(OR(COUNT('Inputs (2)'!AV63)=0,COUNT('Inputs (2)'!AU63)=0,AND(('Inputs (2)'!AV63)=0,('Inputs (2)'!AU63)=0)),"",('Inputs (2)'!AV63)-('Inputs (2)'!AU63)),"")</f>
        <v/>
      </c>
      <c r="AW252" s="36" t="str">
        <f>IFERROR(IF(OR(COUNT('Inputs (2)'!AW63)=0,COUNT('Inputs (2)'!AR63)=0,AND(('Inputs (2)'!AW63)=0,('Inputs (2)'!AR63)=0)),"",('Inputs (2)'!AW63)-('Inputs (2)'!AR63)),"")</f>
        <v/>
      </c>
      <c r="AX252" s="35" t="str">
        <f>IFERROR(IF(OR(COUNT('Inputs (2)'!AX63)=0,COUNT('Inputs (2)'!AV63)=0,AND(('Inputs (2)'!AX63)=0,('Inputs (2)'!AV63)=0)),"",('Inputs (2)'!AX63)-('Inputs (2)'!AV63)),"")</f>
        <v/>
      </c>
      <c r="AY252" s="35" t="str">
        <f>IFERROR(IF(OR(COUNT('Inputs (2)'!AY63)=0,COUNT('Inputs (2)'!AX63)=0,AND(('Inputs (2)'!AY63)=0,('Inputs (2)'!AX63)=0)),"",('Inputs (2)'!AY63)-('Inputs (2)'!AX63)),"")</f>
        <v/>
      </c>
      <c r="AZ252" s="35" t="str">
        <f>IFERROR(IF(OR(COUNT('Inputs (2)'!AZ63)=0,COUNT('Inputs (2)'!AY63)=0,AND(('Inputs (2)'!AZ63)=0,('Inputs (2)'!AY63)=0)),"",('Inputs (2)'!AZ63)-('Inputs (2)'!AY63)),"")</f>
        <v/>
      </c>
      <c r="BA252" s="35" t="str">
        <f>IFERROR(IF(OR(COUNT('Inputs (2)'!BA63)=0,COUNT('Inputs (2)'!AZ63)=0,AND(('Inputs (2)'!BA63)=0,('Inputs (2)'!AZ63)=0)),"",('Inputs (2)'!BA63)-('Inputs (2)'!AZ63)),"")</f>
        <v/>
      </c>
      <c r="BB252" s="36" t="str">
        <f>IFERROR(IF(OR(COUNT('Inputs (2)'!BB63)=0,COUNT('Inputs (2)'!AW63)=0,AND(('Inputs (2)'!BB63)=0,('Inputs (2)'!AW63)=0)),"",('Inputs (2)'!BB63)-('Inputs (2)'!AW63)),"")</f>
        <v/>
      </c>
      <c r="BC252" s="35" t="str">
        <f>IFERROR(IF(OR(COUNT('Inputs (2)'!BC63)=0,COUNT('Inputs (2)'!BA63)=0,AND(('Inputs (2)'!BC63)=0,('Inputs (2)'!BA63)=0)),"",('Inputs (2)'!BC63)-('Inputs (2)'!BA63)),"")</f>
        <v/>
      </c>
      <c r="BD252" s="35" t="str">
        <f>IFERROR(IF(OR(COUNT('Inputs (2)'!BD63)=0,COUNT('Inputs (2)'!BC63)=0,AND(('Inputs (2)'!BD63)=0,('Inputs (2)'!BC63)=0)),"",('Inputs (2)'!BD63)-('Inputs (2)'!BC63)),"")</f>
        <v/>
      </c>
      <c r="BE252" s="35" t="str">
        <f>IFERROR(IF(OR(COUNT('Inputs (2)'!BE63)=0,COUNT('Inputs (2)'!BD63)=0,AND(('Inputs (2)'!BE63)=0,('Inputs (2)'!BD63)=0)),"",('Inputs (2)'!BE63)-('Inputs (2)'!BD63)),"")</f>
        <v/>
      </c>
      <c r="BF252" s="35" t="str">
        <f>IFERROR(IF(OR(COUNT('Inputs (2)'!BF63)=0,COUNT('Inputs (2)'!BE63)=0,AND(('Inputs (2)'!BF63)=0,('Inputs (2)'!BE63)=0)),"",('Inputs (2)'!BF63)-('Inputs (2)'!BE63)),"")</f>
        <v/>
      </c>
      <c r="BG252" s="36" t="str">
        <f>IFERROR(IF(OR(COUNT('Inputs (2)'!BG63)=0,COUNT('Inputs (2)'!BB63)=0,AND(('Inputs (2)'!BG63)=0,('Inputs (2)'!BB63)=0)),"",('Inputs (2)'!BG63)-('Inputs (2)'!BB63)),"")</f>
        <v/>
      </c>
    </row>
    <row r="253" hidden="1" outlineLevel="1">
      <c r="C253" s="30" t="inlineStr">
        <is>
          <t>Variação do capital social no período</t>
        </is>
      </c>
      <c r="D253" s="12" t="inlineStr">
        <is>
          <t>Capital change</t>
        </is>
      </c>
      <c r="E253" s="37" t="n"/>
      <c r="F253" s="35" t="str">
        <f>IFERROR(IF(OR(COUNT('Inputs (2)'!F60)=0,COUNT('Inputs (2)'!E60)=0,AND(('Inputs (2)'!F60)=0,('Inputs (2)'!E60)=0)),"",('Inputs (2)'!F60)-('Inputs (2)'!E60)),"")</f>
        <v/>
      </c>
      <c r="G253" s="35" t="str">
        <f>IFERROR(IF(OR(COUNT('Inputs (2)'!G60)=0,COUNT('Inputs (2)'!F60)=0,AND(('Inputs (2)'!G60)=0,('Inputs (2)'!F60)=0)),"",('Inputs (2)'!G60)-('Inputs (2)'!F60)),"")</f>
        <v/>
      </c>
      <c r="H253" s="35" t="str">
        <f>IFERROR(IF(OR(COUNT('Inputs (2)'!H60)=0,COUNT('Inputs (2)'!G60)=0,AND(('Inputs (2)'!H60)=0,('Inputs (2)'!G60)=0)),"",('Inputs (2)'!H60)-('Inputs (2)'!G60)),"")</f>
        <v/>
      </c>
      <c r="I253" s="38" t="n"/>
      <c r="J253" s="35" t="str">
        <f>IFERROR(IF(OR(COUNT('Inputs (2)'!J60)=0,COUNT('Inputs (2)'!H60)=0,AND(('Inputs (2)'!J60)=0,('Inputs (2)'!H60)=0)),"",('Inputs (2)'!J60)-('Inputs (2)'!H60)),"")</f>
        <v/>
      </c>
      <c r="K253" s="35" t="str">
        <f>IFERROR(IF(OR(COUNT('Inputs (2)'!K60)=0,COUNT('Inputs (2)'!J60)=0,AND(('Inputs (2)'!K60)=0,('Inputs (2)'!J60)=0)),"",('Inputs (2)'!K60)-('Inputs (2)'!J60)),"")</f>
        <v/>
      </c>
      <c r="L253" s="35" t="str">
        <f>IFERROR(IF(OR(COUNT('Inputs (2)'!L60)=0,COUNT('Inputs (2)'!K60)=0,AND(('Inputs (2)'!L60)=0,('Inputs (2)'!K60)=0)),"",('Inputs (2)'!L60)-('Inputs (2)'!K60)),"")</f>
        <v/>
      </c>
      <c r="M253" s="35" t="str">
        <f>IFERROR(IF(OR(COUNT('Inputs (2)'!M60)=0,COUNT('Inputs (2)'!L60)=0,AND(('Inputs (2)'!M60)=0,('Inputs (2)'!L60)=0)),"",('Inputs (2)'!M60)-('Inputs (2)'!L60)),"")</f>
        <v/>
      </c>
      <c r="N253" s="36" t="str">
        <f>IFERROR(IF(OR(COUNT('Inputs (2)'!N60)=0,COUNT('Inputs (2)'!I60)=0,AND(('Inputs (2)'!N60)=0,('Inputs (2)'!I60)=0)),"",('Inputs (2)'!N60)-('Inputs (2)'!I60)),"")</f>
        <v/>
      </c>
      <c r="O253" s="35" t="str">
        <f>IFERROR(IF(OR(COUNT('Inputs (2)'!O60)=0,COUNT('Inputs (2)'!M60)=0,AND(('Inputs (2)'!O60)=0,('Inputs (2)'!M60)=0)),"",('Inputs (2)'!O60)-('Inputs (2)'!M60)),"")</f>
        <v/>
      </c>
      <c r="P253" s="35" t="str">
        <f>IFERROR(IF(OR(COUNT('Inputs (2)'!P60)=0,COUNT('Inputs (2)'!O60)=0,AND(('Inputs (2)'!P60)=0,('Inputs (2)'!O60)=0)),"",('Inputs (2)'!P60)-('Inputs (2)'!O60)),"")</f>
        <v/>
      </c>
      <c r="Q253" s="35" t="str">
        <f>IFERROR(IF(OR(COUNT('Inputs (2)'!Q60)=0,COUNT('Inputs (2)'!P60)=0,AND(('Inputs (2)'!Q60)=0,('Inputs (2)'!P60)=0)),"",('Inputs (2)'!Q60)-('Inputs (2)'!P60)),"")</f>
        <v/>
      </c>
      <c r="R253" s="35" t="str">
        <f>IFERROR(IF(OR(COUNT('Inputs (2)'!R60)=0,COUNT('Inputs (2)'!Q60)=0,AND(('Inputs (2)'!R60)=0,('Inputs (2)'!Q60)=0)),"",('Inputs (2)'!R60)-('Inputs (2)'!Q60)),"")</f>
        <v/>
      </c>
      <c r="S253" s="36" t="str">
        <f>IFERROR(IF(OR(COUNT('Inputs (2)'!S60)=0,COUNT('Inputs (2)'!N60)=0,AND(('Inputs (2)'!S60)=0,('Inputs (2)'!N60)=0)),"",('Inputs (2)'!S60)-('Inputs (2)'!N60)),"")</f>
        <v/>
      </c>
      <c r="T253" s="35" t="str">
        <f>IFERROR(IF(OR(COUNT('Inputs (2)'!T60)=0,COUNT('Inputs (2)'!R60)=0,AND(('Inputs (2)'!T60)=0,('Inputs (2)'!R60)=0)),"",('Inputs (2)'!T60)-('Inputs (2)'!R60)),"")</f>
        <v/>
      </c>
      <c r="U253" s="35" t="str">
        <f>IFERROR(IF(OR(COUNT('Inputs (2)'!U60)=0,COUNT('Inputs (2)'!T60)=0,AND(('Inputs (2)'!U60)=0,('Inputs (2)'!T60)=0)),"",('Inputs (2)'!U60)-('Inputs (2)'!T60)),"")</f>
        <v/>
      </c>
      <c r="V253" s="35" t="str">
        <f>IFERROR(IF(OR(COUNT('Inputs (2)'!V60)=0,COUNT('Inputs (2)'!U60)=0,AND(('Inputs (2)'!V60)=0,('Inputs (2)'!U60)=0)),"",('Inputs (2)'!V60)-('Inputs (2)'!U60)),"")</f>
        <v/>
      </c>
      <c r="W253" s="35" t="str">
        <f>IFERROR(IF(OR(COUNT('Inputs (2)'!W60)=0,COUNT('Inputs (2)'!V60)=0,AND(('Inputs (2)'!W60)=0,('Inputs (2)'!V60)=0)),"",('Inputs (2)'!W60)-('Inputs (2)'!V60)),"")</f>
        <v/>
      </c>
      <c r="X253" s="36" t="str">
        <f>IFERROR(IF(OR(COUNT('Inputs (2)'!X60)=0,COUNT('Inputs (2)'!S60)=0,AND(('Inputs (2)'!X60)=0,('Inputs (2)'!S60)=0)),"",('Inputs (2)'!X60)-('Inputs (2)'!S60)),"")</f>
        <v/>
      </c>
      <c r="Y253" s="35" t="str">
        <f>IFERROR(IF(OR(COUNT('Inputs (2)'!Y60)=0,COUNT('Inputs (2)'!W60)=0,AND(('Inputs (2)'!Y60)=0,('Inputs (2)'!W60)=0)),"",('Inputs (2)'!Y60)-('Inputs (2)'!W60)),"")</f>
        <v/>
      </c>
      <c r="Z253" s="35" t="str">
        <f>IFERROR(IF(OR(COUNT('Inputs (2)'!Z60)=0,COUNT('Inputs (2)'!Y60)=0,AND(('Inputs (2)'!Z60)=0,('Inputs (2)'!Y60)=0)),"",('Inputs (2)'!Z60)-('Inputs (2)'!Y60)),"")</f>
        <v/>
      </c>
      <c r="AA253" s="35" t="str">
        <f>IFERROR(IF(OR(COUNT('Inputs (2)'!AA60)=0,COUNT('Inputs (2)'!Z60)=0,AND(('Inputs (2)'!AA60)=0,('Inputs (2)'!Z60)=0)),"",('Inputs (2)'!AA60)-('Inputs (2)'!Z60)),"")</f>
        <v/>
      </c>
      <c r="AB253" s="35" t="str">
        <f>IFERROR(IF(OR(COUNT('Inputs (2)'!AB60)=0,COUNT('Inputs (2)'!AA60)=0,AND(('Inputs (2)'!AB60)=0,('Inputs (2)'!AA60)=0)),"",('Inputs (2)'!AB60)-('Inputs (2)'!AA60)),"")</f>
        <v/>
      </c>
      <c r="AC253" s="36" t="str">
        <f>IFERROR(IF(OR(COUNT('Inputs (2)'!AC60)=0,COUNT('Inputs (2)'!X60)=0,AND(('Inputs (2)'!AC60)=0,('Inputs (2)'!X60)=0)),"",('Inputs (2)'!AC60)-('Inputs (2)'!X60)),"")</f>
        <v/>
      </c>
      <c r="AD253" s="35" t="str">
        <f>IFERROR(IF(OR(COUNT('Inputs (2)'!AD60)=0,COUNT('Inputs (2)'!AB60)=0,AND(('Inputs (2)'!AD60)=0,('Inputs (2)'!AB60)=0)),"",('Inputs (2)'!AD60)-('Inputs (2)'!AB60)),"")</f>
        <v/>
      </c>
      <c r="AE253" s="35" t="str">
        <f>IFERROR(IF(OR(COUNT('Inputs (2)'!AE60)=0,COUNT('Inputs (2)'!AD60)=0,AND(('Inputs (2)'!AE60)=0,('Inputs (2)'!AD60)=0)),"",('Inputs (2)'!AE60)-('Inputs (2)'!AD60)),"")</f>
        <v/>
      </c>
      <c r="AF253" s="35" t="str">
        <f>IFERROR(IF(OR(COUNT('Inputs (2)'!AF60)=0,COUNT('Inputs (2)'!AE60)=0,AND(('Inputs (2)'!AF60)=0,('Inputs (2)'!AE60)=0)),"",('Inputs (2)'!AF60)-('Inputs (2)'!AE60)),"")</f>
        <v/>
      </c>
      <c r="AG253" s="35" t="str">
        <f>IFERROR(IF(OR(COUNT('Inputs (2)'!AG60)=0,COUNT('Inputs (2)'!AF60)=0,AND(('Inputs (2)'!AG60)=0,('Inputs (2)'!AF60)=0)),"",('Inputs (2)'!AG60)-('Inputs (2)'!AF60)),"")</f>
        <v/>
      </c>
      <c r="AH253" s="36" t="str">
        <f>IFERROR(IF(OR(COUNT('Inputs (2)'!AH60)=0,COUNT('Inputs (2)'!AC60)=0,AND(('Inputs (2)'!AH60)=0,('Inputs (2)'!AC60)=0)),"",('Inputs (2)'!AH60)-('Inputs (2)'!AC60)),"")</f>
        <v/>
      </c>
      <c r="AI253" s="35" t="str">
        <f>IFERROR(IF(OR(COUNT('Inputs (2)'!AI60)=0,COUNT('Inputs (2)'!AG60)=0,AND(('Inputs (2)'!AI60)=0,('Inputs (2)'!AG60)=0)),"",('Inputs (2)'!AI60)-('Inputs (2)'!AG60)),"")</f>
        <v/>
      </c>
      <c r="AJ253" s="35" t="str">
        <f>IFERROR(IF(OR(COUNT('Inputs (2)'!AJ60)=0,COUNT('Inputs (2)'!AI60)=0,AND(('Inputs (2)'!AJ60)=0,('Inputs (2)'!AI60)=0)),"",('Inputs (2)'!AJ60)-('Inputs (2)'!AI60)),"")</f>
        <v/>
      </c>
      <c r="AK253" s="35" t="str">
        <f>IFERROR(IF(OR(COUNT('Inputs (2)'!AK60)=0,COUNT('Inputs (2)'!AJ60)=0,AND(('Inputs (2)'!AK60)=0,('Inputs (2)'!AJ60)=0)),"",('Inputs (2)'!AK60)-('Inputs (2)'!AJ60)),"")</f>
        <v/>
      </c>
      <c r="AL253" s="35" t="str">
        <f>IFERROR(IF(OR(COUNT('Inputs (2)'!AL60)=0,COUNT('Inputs (2)'!AK60)=0,AND(('Inputs (2)'!AL60)=0,('Inputs (2)'!AK60)=0)),"",('Inputs (2)'!AL60)-('Inputs (2)'!AK60)),"")</f>
        <v/>
      </c>
      <c r="AM253" s="36" t="str">
        <f>IFERROR(IF(OR(COUNT('Inputs (2)'!AM60)=0,COUNT('Inputs (2)'!AH60)=0,AND(('Inputs (2)'!AM60)=0,('Inputs (2)'!AH60)=0)),"",('Inputs (2)'!AM60)-('Inputs (2)'!AH60)),"")</f>
        <v/>
      </c>
      <c r="AN253" s="35" t="str">
        <f>IFERROR(IF(OR(COUNT('Inputs (2)'!AN60)=0,COUNT('Inputs (2)'!AL60)=0,AND(('Inputs (2)'!AN60)=0,('Inputs (2)'!AL60)=0)),"",('Inputs (2)'!AN60)-('Inputs (2)'!AL60)),"")</f>
        <v/>
      </c>
      <c r="AO253" s="35" t="str">
        <f>IFERROR(IF(OR(COUNT('Inputs (2)'!AO60)=0,COUNT('Inputs (2)'!AN60)=0,AND(('Inputs (2)'!AO60)=0,('Inputs (2)'!AN60)=0)),"",('Inputs (2)'!AO60)-('Inputs (2)'!AN60)),"")</f>
        <v/>
      </c>
      <c r="AP253" s="35" t="str">
        <f>IFERROR(IF(OR(COUNT('Inputs (2)'!AP60)=0,COUNT('Inputs (2)'!AO60)=0,AND(('Inputs (2)'!AP60)=0,('Inputs (2)'!AO60)=0)),"",('Inputs (2)'!AP60)-('Inputs (2)'!AO60)),"")</f>
        <v/>
      </c>
      <c r="AQ253" s="35" t="str">
        <f>IFERROR(IF(OR(COUNT('Inputs (2)'!AQ60)=0,COUNT('Inputs (2)'!AP60)=0,AND(('Inputs (2)'!AQ60)=0,('Inputs (2)'!AP60)=0)),"",('Inputs (2)'!AQ60)-('Inputs (2)'!AP60)),"")</f>
        <v/>
      </c>
      <c r="AR253" s="36" t="str">
        <f>IFERROR(IF(OR(COUNT('Inputs (2)'!AR60)=0,COUNT('Inputs (2)'!AM60)=0,AND(('Inputs (2)'!AR60)=0,('Inputs (2)'!AM60)=0)),"",('Inputs (2)'!AR60)-('Inputs (2)'!AM60)),"")</f>
        <v/>
      </c>
      <c r="AS253" s="35" t="str">
        <f>IFERROR(IF(OR(COUNT('Inputs (2)'!AS60)=0,COUNT('Inputs (2)'!AQ60)=0,AND(('Inputs (2)'!AS60)=0,('Inputs (2)'!AQ60)=0)),"",('Inputs (2)'!AS60)-('Inputs (2)'!AQ60)),"")</f>
        <v/>
      </c>
      <c r="AT253" s="35" t="str">
        <f>IFERROR(IF(OR(COUNT('Inputs (2)'!AT60)=0,COUNT('Inputs (2)'!AS60)=0,AND(('Inputs (2)'!AT60)=0,('Inputs (2)'!AS60)=0)),"",('Inputs (2)'!AT60)-('Inputs (2)'!AS60)),"")</f>
        <v/>
      </c>
      <c r="AU253" s="35" t="str">
        <f>IFERROR(IF(OR(COUNT('Inputs (2)'!AU60)=0,COUNT('Inputs (2)'!AT60)=0,AND(('Inputs (2)'!AU60)=0,('Inputs (2)'!AT60)=0)),"",('Inputs (2)'!AU60)-('Inputs (2)'!AT60)),"")</f>
        <v/>
      </c>
      <c r="AV253" s="35" t="str">
        <f>IFERROR(IF(OR(COUNT('Inputs (2)'!AV60)=0,COUNT('Inputs (2)'!AU60)=0,AND(('Inputs (2)'!AV60)=0,('Inputs (2)'!AU60)=0)),"",('Inputs (2)'!AV60)-('Inputs (2)'!AU60)),"")</f>
        <v/>
      </c>
      <c r="AW253" s="36" t="str">
        <f>IFERROR(IF(OR(COUNT('Inputs (2)'!AW60)=0,COUNT('Inputs (2)'!AR60)=0,AND(('Inputs (2)'!AW60)=0,('Inputs (2)'!AR60)=0)),"",('Inputs (2)'!AW60)-('Inputs (2)'!AR60)),"")</f>
        <v/>
      </c>
      <c r="AX253" s="35" t="str">
        <f>IFERROR(IF(OR(COUNT('Inputs (2)'!AX60)=0,COUNT('Inputs (2)'!AV60)=0,AND(('Inputs (2)'!AX60)=0,('Inputs (2)'!AV60)=0)),"",('Inputs (2)'!AX60)-('Inputs (2)'!AV60)),"")</f>
        <v/>
      </c>
      <c r="AY253" s="35" t="str">
        <f>IFERROR(IF(OR(COUNT('Inputs (2)'!AY60)=0,COUNT('Inputs (2)'!AX60)=0,AND(('Inputs (2)'!AY60)=0,('Inputs (2)'!AX60)=0)),"",('Inputs (2)'!AY60)-('Inputs (2)'!AX60)),"")</f>
        <v/>
      </c>
      <c r="AZ253" s="35" t="str">
        <f>IFERROR(IF(OR(COUNT('Inputs (2)'!AZ60)=0,COUNT('Inputs (2)'!AY60)=0,AND(('Inputs (2)'!AZ60)=0,('Inputs (2)'!AY60)=0)),"",('Inputs (2)'!AZ60)-('Inputs (2)'!AY60)),"")</f>
        <v/>
      </c>
      <c r="BA253" s="35" t="str">
        <f>IFERROR(IF(OR(COUNT('Inputs (2)'!BA60)=0,COUNT('Inputs (2)'!AZ60)=0,AND(('Inputs (2)'!BA60)=0,('Inputs (2)'!AZ60)=0)),"",('Inputs (2)'!BA60)-('Inputs (2)'!AZ60)),"")</f>
        <v/>
      </c>
      <c r="BB253" s="36" t="str">
        <f>IFERROR(IF(OR(COUNT('Inputs (2)'!BB60)=0,COUNT('Inputs (2)'!AW60)=0,AND(('Inputs (2)'!BB60)=0,('Inputs (2)'!AW60)=0)),"",('Inputs (2)'!BB60)-('Inputs (2)'!AW60)),"")</f>
        <v/>
      </c>
      <c r="BC253" s="35" t="str">
        <f>IFERROR(IF(OR(COUNT('Inputs (2)'!BC60)=0,COUNT('Inputs (2)'!BA60)=0,AND(('Inputs (2)'!BC60)=0,('Inputs (2)'!BA60)=0)),"",('Inputs (2)'!BC60)-('Inputs (2)'!BA60)),"")</f>
        <v/>
      </c>
      <c r="BD253" s="35" t="str">
        <f>IFERROR(IF(OR(COUNT('Inputs (2)'!BD60)=0,COUNT('Inputs (2)'!BC60)=0,AND(('Inputs (2)'!BD60)=0,('Inputs (2)'!BC60)=0)),"",('Inputs (2)'!BD60)-('Inputs (2)'!BC60)),"")</f>
        <v/>
      </c>
      <c r="BE253" s="35" t="str">
        <f>IFERROR(IF(OR(COUNT('Inputs (2)'!BE60)=0,COUNT('Inputs (2)'!BD60)=0,AND(('Inputs (2)'!BE60)=0,('Inputs (2)'!BD60)=0)),"",('Inputs (2)'!BE60)-('Inputs (2)'!BD60)),"")</f>
        <v/>
      </c>
      <c r="BF253" s="35" t="str">
        <f>IFERROR(IF(OR(COUNT('Inputs (2)'!BF60)=0,COUNT('Inputs (2)'!BE60)=0,AND(('Inputs (2)'!BF60)=0,('Inputs (2)'!BE60)=0)),"",('Inputs (2)'!BF60)-('Inputs (2)'!BE60)),"")</f>
        <v/>
      </c>
      <c r="BG253" s="36" t="str">
        <f>IFERROR(IF(OR(COUNT('Inputs (2)'!BG60)=0,COUNT('Inputs (2)'!BB60)=0,AND(('Inputs (2)'!BG60)=0,('Inputs (2)'!BB60)=0)),"",('Inputs (2)'!BG60)-('Inputs (2)'!BB60)),"")</f>
        <v/>
      </c>
    </row>
    <row r="254" hidden="1" outlineLevel="1">
      <c r="B254" s="29" t="n"/>
      <c r="C254" s="29" t="inlineStr">
        <is>
          <t>Qualidade de crédito e cobertura — realizado</t>
        </is>
      </c>
      <c r="D254" s="29" t="inlineStr">
        <is>
          <t>Asset quality and coverage — actual</t>
        </is>
      </c>
      <c r="E254" s="29" t="n"/>
      <c r="F254" s="29" t="n"/>
      <c r="G254" s="29" t="n"/>
      <c r="H254" s="29" t="n"/>
      <c r="I254" s="29" t="n"/>
      <c r="J254" s="29" t="n"/>
      <c r="K254" s="29" t="n"/>
      <c r="L254" s="29" t="n"/>
      <c r="M254" s="29" t="n"/>
      <c r="N254" s="29" t="n"/>
      <c r="O254" s="29" t="n"/>
      <c r="P254" s="29" t="n"/>
      <c r="Q254" s="29" t="n"/>
      <c r="R254" s="29" t="n"/>
      <c r="S254" s="29" t="n"/>
      <c r="T254" s="29" t="n"/>
      <c r="U254" s="29" t="n"/>
      <c r="V254" s="29" t="n"/>
      <c r="W254" s="29" t="n"/>
      <c r="X254" s="29" t="n"/>
      <c r="Y254" s="29" t="n"/>
      <c r="Z254" s="29" t="n"/>
      <c r="AA254" s="29" t="n"/>
      <c r="AB254" s="29" t="n"/>
      <c r="AC254" s="29" t="n"/>
      <c r="AD254" s="29" t="n"/>
      <c r="AE254" s="29" t="n"/>
      <c r="AF254" s="29" t="n"/>
      <c r="AG254" s="29" t="n"/>
      <c r="AH254" s="29" t="n"/>
      <c r="AI254" s="29" t="n"/>
      <c r="AJ254" s="29" t="n"/>
      <c r="AK254" s="29" t="n"/>
      <c r="AL254" s="29" t="n"/>
      <c r="AM254" s="29" t="n"/>
      <c r="AN254" s="29" t="n"/>
      <c r="AO254" s="29" t="n"/>
      <c r="AP254" s="29" t="n"/>
      <c r="AQ254" s="29" t="n"/>
      <c r="AR254" s="29" t="n"/>
      <c r="AS254" s="29" t="n"/>
      <c r="AT254" s="29" t="n"/>
      <c r="AU254" s="29" t="n"/>
      <c r="AV254" s="29" t="n"/>
      <c r="AW254" s="29" t="n"/>
      <c r="AX254" s="29" t="n"/>
      <c r="AY254" s="29" t="n"/>
      <c r="AZ254" s="29" t="n"/>
      <c r="BA254" s="29" t="n"/>
      <c r="BB254" s="29" t="n"/>
      <c r="BC254" s="29" t="n"/>
      <c r="BD254" s="29" t="n"/>
      <c r="BE254" s="29" t="n"/>
      <c r="BF254" s="29" t="n"/>
      <c r="BG254" s="29" t="n"/>
      <c r="BH254" s="29" t="n"/>
      <c r="BI254" s="29" t="n"/>
    </row>
    <row r="255" hidden="1" outlineLevel="1">
      <c r="C255" s="30" t="inlineStr">
        <is>
          <t>Vencidos 90+ ainda acumulando (% dos empréstimos)</t>
        </is>
      </c>
      <c r="D255" s="12" t="inlineStr">
        <is>
          <t>NPL 90+ ratio</t>
        </is>
      </c>
      <c r="E255" s="32" t="str">
        <f>IFERROR(IF(OR(ABS('Inputs (2)'!E114)=0,('Inputs (2)'!E124)=0),"",ABS('Inputs (2)'!E124)/ABS('Inputs (2)'!E114)),"")</f>
        <v/>
      </c>
      <c r="F255" s="32" t="str">
        <f>IFERROR(IF(OR(ABS('Inputs (2)'!F114)=0,('Inputs (2)'!F124)=0),"",ABS('Inputs (2)'!F124)/ABS('Inputs (2)'!F114)),"")</f>
        <v/>
      </c>
      <c r="G255" s="32" t="str">
        <f>IFERROR(IF(OR(ABS('Inputs (2)'!G114)=0,('Inputs (2)'!G124)=0),"",ABS('Inputs (2)'!G124)/ABS('Inputs (2)'!G114)),"")</f>
        <v/>
      </c>
      <c r="H255" s="32" t="str">
        <f>IFERROR(IF(OR(ABS('Inputs (2)'!H114)=0,('Inputs (2)'!H124)=0),"",ABS('Inputs (2)'!H124)/ABS('Inputs (2)'!H114)),"")</f>
        <v/>
      </c>
      <c r="I255" s="34" t="str">
        <f>IFERROR(IF(OR(ABS('Inputs (2)'!I114)=0,('Inputs (2)'!I124)=0),"",ABS('Inputs (2)'!I124)/ABS('Inputs (2)'!I114)),"")</f>
        <v/>
      </c>
      <c r="J255" s="32" t="str">
        <f>IFERROR(IF(OR(ABS('Inputs (2)'!J114)=0,('Inputs (2)'!J124)=0),"",ABS('Inputs (2)'!J124)/ABS('Inputs (2)'!J114)),"")</f>
        <v/>
      </c>
      <c r="K255" s="32" t="str">
        <f>IFERROR(IF(OR(ABS('Inputs (2)'!K114)=0,('Inputs (2)'!K124)=0),"",ABS('Inputs (2)'!K124)/ABS('Inputs (2)'!K114)),"")</f>
        <v/>
      </c>
      <c r="L255" s="32" t="str">
        <f>IFERROR(IF(OR(ABS('Inputs (2)'!L114)=0,('Inputs (2)'!L124)=0),"",ABS('Inputs (2)'!L124)/ABS('Inputs (2)'!L114)),"")</f>
        <v/>
      </c>
      <c r="M255" s="32" t="str">
        <f>IFERROR(IF(OR(ABS('Inputs (2)'!M114)=0,('Inputs (2)'!M124)=0),"",ABS('Inputs (2)'!M124)/ABS('Inputs (2)'!M114)),"")</f>
        <v/>
      </c>
      <c r="N255" s="34" t="str">
        <f>IFERROR(IF(OR(ABS('Inputs (2)'!N114)=0,('Inputs (2)'!N124)=0),"",ABS('Inputs (2)'!N124)/ABS('Inputs (2)'!N114)),"")</f>
        <v/>
      </c>
      <c r="O255" s="32" t="str">
        <f>IFERROR(IF(OR(ABS('Inputs (2)'!O114)=0,('Inputs (2)'!O124)=0),"",ABS('Inputs (2)'!O124)/ABS('Inputs (2)'!O114)),"")</f>
        <v/>
      </c>
      <c r="P255" s="32" t="str">
        <f>IFERROR(IF(OR(ABS('Inputs (2)'!P114)=0,('Inputs (2)'!P124)=0),"",ABS('Inputs (2)'!P124)/ABS('Inputs (2)'!P114)),"")</f>
        <v/>
      </c>
      <c r="Q255" s="32" t="str">
        <f>IFERROR(IF(OR(ABS('Inputs (2)'!Q114)=0,('Inputs (2)'!Q124)=0),"",ABS('Inputs (2)'!Q124)/ABS('Inputs (2)'!Q114)),"")</f>
        <v/>
      </c>
      <c r="R255" s="32" t="str">
        <f>IFERROR(IF(OR(ABS('Inputs (2)'!R114)=0,('Inputs (2)'!R124)=0),"",ABS('Inputs (2)'!R124)/ABS('Inputs (2)'!R114)),"")</f>
        <v/>
      </c>
      <c r="S255" s="34" t="str">
        <f>IFERROR(IF(OR(ABS('Inputs (2)'!S114)=0,('Inputs (2)'!S124)=0),"",ABS('Inputs (2)'!S124)/ABS('Inputs (2)'!S114)),"")</f>
        <v/>
      </c>
      <c r="T255" s="32" t="str">
        <f>IFERROR(IF(OR(ABS('Inputs (2)'!T114)=0,('Inputs (2)'!T124)=0),"",ABS('Inputs (2)'!T124)/ABS('Inputs (2)'!T114)),"")</f>
        <v/>
      </c>
      <c r="U255" s="32" t="str">
        <f>IFERROR(IF(OR(ABS('Inputs (2)'!U114)=0,('Inputs (2)'!U124)=0),"",ABS('Inputs (2)'!U124)/ABS('Inputs (2)'!U114)),"")</f>
        <v/>
      </c>
      <c r="V255" s="32" t="str">
        <f>IFERROR(IF(OR(ABS('Inputs (2)'!V114)=0,('Inputs (2)'!V124)=0),"",ABS('Inputs (2)'!V124)/ABS('Inputs (2)'!V114)),"")</f>
        <v/>
      </c>
      <c r="W255" s="32" t="str">
        <f>IFERROR(IF(OR(ABS('Inputs (2)'!W114)=0,('Inputs (2)'!W124)=0),"",ABS('Inputs (2)'!W124)/ABS('Inputs (2)'!W114)),"")</f>
        <v/>
      </c>
      <c r="X255" s="34" t="str">
        <f>IFERROR(IF(OR(ABS('Inputs (2)'!X114)=0,('Inputs (2)'!X124)=0),"",ABS('Inputs (2)'!X124)/ABS('Inputs (2)'!X114)),"")</f>
        <v/>
      </c>
      <c r="Y255" s="32" t="str">
        <f>IFERROR(IF(OR(ABS('Inputs (2)'!Y114)=0,('Inputs (2)'!Y124)=0),"",ABS('Inputs (2)'!Y124)/ABS('Inputs (2)'!Y114)),"")</f>
        <v/>
      </c>
      <c r="Z255" s="32" t="str">
        <f>IFERROR(IF(OR(ABS('Inputs (2)'!Z114)=0,('Inputs (2)'!Z124)=0),"",ABS('Inputs (2)'!Z124)/ABS('Inputs (2)'!Z114)),"")</f>
        <v/>
      </c>
      <c r="AA255" s="32" t="str">
        <f>IFERROR(IF(OR(ABS('Inputs (2)'!AA114)=0,('Inputs (2)'!AA124)=0),"",ABS('Inputs (2)'!AA124)/ABS('Inputs (2)'!AA114)),"")</f>
        <v/>
      </c>
      <c r="AB255" s="32" t="str">
        <f>IFERROR(IF(OR(ABS('Inputs (2)'!AB114)=0,('Inputs (2)'!AB124)=0),"",ABS('Inputs (2)'!AB124)/ABS('Inputs (2)'!AB114)),"")</f>
        <v/>
      </c>
      <c r="AC255" s="34" t="str">
        <f>IFERROR(IF(OR(ABS('Inputs (2)'!AC114)=0,('Inputs (2)'!AC124)=0),"",ABS('Inputs (2)'!AC124)/ABS('Inputs (2)'!AC114)),"")</f>
        <v/>
      </c>
      <c r="AD255" s="32" t="str">
        <f>IFERROR(IF(OR(ABS('Inputs (2)'!AD114)=0,('Inputs (2)'!AD124)=0),"",ABS('Inputs (2)'!AD124)/ABS('Inputs (2)'!AD114)),"")</f>
        <v/>
      </c>
      <c r="AE255" s="32" t="str">
        <f>IFERROR(IF(OR(ABS('Inputs (2)'!AE114)=0,('Inputs (2)'!AE124)=0),"",ABS('Inputs (2)'!AE124)/ABS('Inputs (2)'!AE114)),"")</f>
        <v/>
      </c>
      <c r="AF255" s="32" t="str">
        <f>IFERROR(IF(OR(ABS('Inputs (2)'!AF114)=0,('Inputs (2)'!AF124)=0),"",ABS('Inputs (2)'!AF124)/ABS('Inputs (2)'!AF114)),"")</f>
        <v/>
      </c>
      <c r="AG255" s="32" t="str">
        <f>IFERROR(IF(OR(ABS('Inputs (2)'!AG114)=0,('Inputs (2)'!AG124)=0),"",ABS('Inputs (2)'!AG124)/ABS('Inputs (2)'!AG114)),"")</f>
        <v/>
      </c>
      <c r="AH255" s="34" t="str">
        <f>IFERROR(IF(OR(ABS('Inputs (2)'!AH114)=0,('Inputs (2)'!AH124)=0),"",ABS('Inputs (2)'!AH124)/ABS('Inputs (2)'!AH114)),"")</f>
        <v/>
      </c>
      <c r="AI255" s="32" t="str">
        <f>IFERROR(IF(OR(ABS('Inputs (2)'!AI114)=0,('Inputs (2)'!AI124)=0),"",ABS('Inputs (2)'!AI124)/ABS('Inputs (2)'!AI114)),"")</f>
        <v/>
      </c>
      <c r="AJ255" s="32" t="str">
        <f>IFERROR(IF(OR(ABS('Inputs (2)'!AJ114)=0,('Inputs (2)'!AJ124)=0),"",ABS('Inputs (2)'!AJ124)/ABS('Inputs (2)'!AJ114)),"")</f>
        <v/>
      </c>
      <c r="AK255" s="32" t="str">
        <f>IFERROR(IF(OR(ABS('Inputs (2)'!AK114)=0,('Inputs (2)'!AK124)=0),"",ABS('Inputs (2)'!AK124)/ABS('Inputs (2)'!AK114)),"")</f>
        <v/>
      </c>
      <c r="AL255" s="32" t="str">
        <f>IFERROR(IF(OR(ABS('Inputs (2)'!AL114)=0,('Inputs (2)'!AL124)=0),"",ABS('Inputs (2)'!AL124)/ABS('Inputs (2)'!AL114)),"")</f>
        <v/>
      </c>
      <c r="AM255" s="34" t="str">
        <f>IFERROR(IF(OR(ABS('Inputs (2)'!AM114)=0,('Inputs (2)'!AM124)=0),"",ABS('Inputs (2)'!AM124)/ABS('Inputs (2)'!AM114)),"")</f>
        <v/>
      </c>
      <c r="AN255" s="32" t="str">
        <f>IFERROR(IF(OR(ABS('Inputs (2)'!AN114)=0,('Inputs (2)'!AN124)=0),"",ABS('Inputs (2)'!AN124)/ABS('Inputs (2)'!AN114)),"")</f>
        <v/>
      </c>
      <c r="AO255" s="32" t="str">
        <f>IFERROR(IF(OR(ABS('Inputs (2)'!AO114)=0,('Inputs (2)'!AO124)=0),"",ABS('Inputs (2)'!AO124)/ABS('Inputs (2)'!AO114)),"")</f>
        <v/>
      </c>
      <c r="AP255" s="32" t="str">
        <f>IFERROR(IF(OR(ABS('Inputs (2)'!AP114)=0,('Inputs (2)'!AP124)=0),"",ABS('Inputs (2)'!AP124)/ABS('Inputs (2)'!AP114)),"")</f>
        <v/>
      </c>
      <c r="AQ255" s="32" t="str">
        <f>IFERROR(IF(OR(ABS('Inputs (2)'!AQ114)=0,('Inputs (2)'!AQ124)=0),"",ABS('Inputs (2)'!AQ124)/ABS('Inputs (2)'!AQ114)),"")</f>
        <v/>
      </c>
      <c r="AR255" s="34" t="str">
        <f>IFERROR(IF(OR(ABS('Inputs (2)'!AR114)=0,('Inputs (2)'!AR124)=0),"",ABS('Inputs (2)'!AR124)/ABS('Inputs (2)'!AR114)),"")</f>
        <v/>
      </c>
      <c r="AS255" s="32" t="str">
        <f>IFERROR(IF(OR(ABS('Inputs (2)'!AS114)=0,('Inputs (2)'!AS124)=0),"",ABS('Inputs (2)'!AS124)/ABS('Inputs (2)'!AS114)),"")</f>
        <v/>
      </c>
      <c r="AT255" s="32" t="str">
        <f>IFERROR(IF(OR(ABS('Inputs (2)'!AT114)=0,('Inputs (2)'!AT124)=0),"",ABS('Inputs (2)'!AT124)/ABS('Inputs (2)'!AT114)),"")</f>
        <v/>
      </c>
      <c r="AU255" s="32" t="str">
        <f>IFERROR(IF(OR(ABS('Inputs (2)'!AU114)=0,('Inputs (2)'!AU124)=0),"",ABS('Inputs (2)'!AU124)/ABS('Inputs (2)'!AU114)),"")</f>
        <v/>
      </c>
      <c r="AV255" s="32" t="str">
        <f>IFERROR(IF(OR(ABS('Inputs (2)'!AV114)=0,('Inputs (2)'!AV124)=0),"",ABS('Inputs (2)'!AV124)/ABS('Inputs (2)'!AV114)),"")</f>
        <v/>
      </c>
      <c r="AW255" s="34" t="str">
        <f>IFERROR(IF(OR(ABS('Inputs (2)'!AW114)=0,('Inputs (2)'!AW124)=0),"",ABS('Inputs (2)'!AW124)/ABS('Inputs (2)'!AW114)),"")</f>
        <v/>
      </c>
      <c r="AX255" s="32" t="str">
        <f>IFERROR(IF(OR(ABS('Inputs (2)'!AX114)=0,('Inputs (2)'!AX124)=0),"",ABS('Inputs (2)'!AX124)/ABS('Inputs (2)'!AX114)),"")</f>
        <v/>
      </c>
      <c r="AY255" s="32" t="str">
        <f>IFERROR(IF(OR(ABS('Inputs (2)'!AY114)=0,('Inputs (2)'!AY124)=0),"",ABS('Inputs (2)'!AY124)/ABS('Inputs (2)'!AY114)),"")</f>
        <v/>
      </c>
      <c r="AZ255" s="32" t="str">
        <f>IFERROR(IF(OR(ABS('Inputs (2)'!AZ114)=0,('Inputs (2)'!AZ124)=0),"",ABS('Inputs (2)'!AZ124)/ABS('Inputs (2)'!AZ114)),"")</f>
        <v/>
      </c>
      <c r="BA255" s="32" t="str">
        <f>IFERROR(IF(OR(ABS('Inputs (2)'!BA114)=0,('Inputs (2)'!BA124)=0),"",ABS('Inputs (2)'!BA124)/ABS('Inputs (2)'!BA114)),"")</f>
        <v/>
      </c>
      <c r="BB255" s="34" t="str">
        <f>IFERROR(IF(OR(ABS('Inputs (2)'!BB114)=0,('Inputs (2)'!BB124)=0),"",ABS('Inputs (2)'!BB124)/ABS('Inputs (2)'!BB114)),"")</f>
        <v/>
      </c>
      <c r="BC255" s="32" t="str">
        <f>IFERROR(IF(OR(ABS('Inputs (2)'!BC114)=0,('Inputs (2)'!BC124)=0),"",ABS('Inputs (2)'!BC124)/ABS('Inputs (2)'!BC114)),"")</f>
        <v/>
      </c>
      <c r="BD255" s="32" t="str">
        <f>IFERROR(IF(OR(ABS('Inputs (2)'!BD114)=0,('Inputs (2)'!BD124)=0),"",ABS('Inputs (2)'!BD124)/ABS('Inputs (2)'!BD114)),"")</f>
        <v/>
      </c>
      <c r="BE255" s="32" t="str">
        <f>IFERROR(IF(OR(ABS('Inputs (2)'!BE114)=0,('Inputs (2)'!BE124)=0),"",ABS('Inputs (2)'!BE124)/ABS('Inputs (2)'!BE114)),"")</f>
        <v/>
      </c>
      <c r="BF255" s="32" t="str">
        <f>IFERROR(IF(OR(ABS('Inputs (2)'!BF114)=0,('Inputs (2)'!BF124)=0),"",ABS('Inputs (2)'!BF124)/ABS('Inputs (2)'!BF114)),"")</f>
        <v/>
      </c>
      <c r="BG255" s="34" t="str">
        <f>IFERROR(IF(OR(ABS('Inputs (2)'!BG114)=0,('Inputs (2)'!BG124)=0),"",ABS('Inputs (2)'!BG124)/ABS('Inputs (2)'!BG114)),"")</f>
        <v/>
      </c>
    </row>
    <row r="256" hidden="1" outlineLevel="1">
      <c r="C256" s="30" t="inlineStr">
        <is>
          <t>Vencidos de 30 a 89 dias (% dos empréstimos)</t>
        </is>
      </c>
      <c r="D256" s="12" t="inlineStr">
        <is>
          <t>NPL 15-90 ratio</t>
        </is>
      </c>
      <c r="E256" s="32" t="str">
        <f>IFERROR(IF(OR(ABS('Inputs (2)'!E114)=0,('Inputs (2)'!E125)=0),"",ABS('Inputs (2)'!E125)/ABS('Inputs (2)'!E114)),"")</f>
        <v/>
      </c>
      <c r="F256" s="32" t="str">
        <f>IFERROR(IF(OR(ABS('Inputs (2)'!F114)=0,('Inputs (2)'!F125)=0),"",ABS('Inputs (2)'!F125)/ABS('Inputs (2)'!F114)),"")</f>
        <v/>
      </c>
      <c r="G256" s="32" t="str">
        <f>IFERROR(IF(OR(ABS('Inputs (2)'!G114)=0,('Inputs (2)'!G125)=0),"",ABS('Inputs (2)'!G125)/ABS('Inputs (2)'!G114)),"")</f>
        <v/>
      </c>
      <c r="H256" s="32" t="str">
        <f>IFERROR(IF(OR(ABS('Inputs (2)'!H114)=0,('Inputs (2)'!H125)=0),"",ABS('Inputs (2)'!H125)/ABS('Inputs (2)'!H114)),"")</f>
        <v/>
      </c>
      <c r="I256" s="34" t="str">
        <f>IFERROR(IF(OR(ABS('Inputs (2)'!I114)=0,('Inputs (2)'!I125)=0),"",ABS('Inputs (2)'!I125)/ABS('Inputs (2)'!I114)),"")</f>
        <v/>
      </c>
      <c r="J256" s="32" t="str">
        <f>IFERROR(IF(OR(ABS('Inputs (2)'!J114)=0,('Inputs (2)'!J125)=0),"",ABS('Inputs (2)'!J125)/ABS('Inputs (2)'!J114)),"")</f>
        <v/>
      </c>
      <c r="K256" s="32" t="str">
        <f>IFERROR(IF(OR(ABS('Inputs (2)'!K114)=0,('Inputs (2)'!K125)=0),"",ABS('Inputs (2)'!K125)/ABS('Inputs (2)'!K114)),"")</f>
        <v/>
      </c>
      <c r="L256" s="32" t="str">
        <f>IFERROR(IF(OR(ABS('Inputs (2)'!L114)=0,('Inputs (2)'!L125)=0),"",ABS('Inputs (2)'!L125)/ABS('Inputs (2)'!L114)),"")</f>
        <v/>
      </c>
      <c r="M256" s="32" t="str">
        <f>IFERROR(IF(OR(ABS('Inputs (2)'!M114)=0,('Inputs (2)'!M125)=0),"",ABS('Inputs (2)'!M125)/ABS('Inputs (2)'!M114)),"")</f>
        <v/>
      </c>
      <c r="N256" s="34" t="str">
        <f>IFERROR(IF(OR(ABS('Inputs (2)'!N114)=0,('Inputs (2)'!N125)=0),"",ABS('Inputs (2)'!N125)/ABS('Inputs (2)'!N114)),"")</f>
        <v/>
      </c>
      <c r="O256" s="32" t="str">
        <f>IFERROR(IF(OR(ABS('Inputs (2)'!O114)=0,('Inputs (2)'!O125)=0),"",ABS('Inputs (2)'!O125)/ABS('Inputs (2)'!O114)),"")</f>
        <v/>
      </c>
      <c r="P256" s="32" t="str">
        <f>IFERROR(IF(OR(ABS('Inputs (2)'!P114)=0,('Inputs (2)'!P125)=0),"",ABS('Inputs (2)'!P125)/ABS('Inputs (2)'!P114)),"")</f>
        <v/>
      </c>
      <c r="Q256" s="32" t="str">
        <f>IFERROR(IF(OR(ABS('Inputs (2)'!Q114)=0,('Inputs (2)'!Q125)=0),"",ABS('Inputs (2)'!Q125)/ABS('Inputs (2)'!Q114)),"")</f>
        <v/>
      </c>
      <c r="R256" s="32" t="str">
        <f>IFERROR(IF(OR(ABS('Inputs (2)'!R114)=0,('Inputs (2)'!R125)=0),"",ABS('Inputs (2)'!R125)/ABS('Inputs (2)'!R114)),"")</f>
        <v/>
      </c>
      <c r="S256" s="34" t="str">
        <f>IFERROR(IF(OR(ABS('Inputs (2)'!S114)=0,('Inputs (2)'!S125)=0),"",ABS('Inputs (2)'!S125)/ABS('Inputs (2)'!S114)),"")</f>
        <v/>
      </c>
      <c r="T256" s="32" t="str">
        <f>IFERROR(IF(OR(ABS('Inputs (2)'!T114)=0,('Inputs (2)'!T125)=0),"",ABS('Inputs (2)'!T125)/ABS('Inputs (2)'!T114)),"")</f>
        <v/>
      </c>
      <c r="U256" s="32" t="str">
        <f>IFERROR(IF(OR(ABS('Inputs (2)'!U114)=0,('Inputs (2)'!U125)=0),"",ABS('Inputs (2)'!U125)/ABS('Inputs (2)'!U114)),"")</f>
        <v/>
      </c>
      <c r="V256" s="32" t="str">
        <f>IFERROR(IF(OR(ABS('Inputs (2)'!V114)=0,('Inputs (2)'!V125)=0),"",ABS('Inputs (2)'!V125)/ABS('Inputs (2)'!V114)),"")</f>
        <v/>
      </c>
      <c r="W256" s="32" t="str">
        <f>IFERROR(IF(OR(ABS('Inputs (2)'!W114)=0,('Inputs (2)'!W125)=0),"",ABS('Inputs (2)'!W125)/ABS('Inputs (2)'!W114)),"")</f>
        <v/>
      </c>
      <c r="X256" s="34" t="str">
        <f>IFERROR(IF(OR(ABS('Inputs (2)'!X114)=0,('Inputs (2)'!X125)=0),"",ABS('Inputs (2)'!X125)/ABS('Inputs (2)'!X114)),"")</f>
        <v/>
      </c>
      <c r="Y256" s="32" t="str">
        <f>IFERROR(IF(OR(ABS('Inputs (2)'!Y114)=0,('Inputs (2)'!Y125)=0),"",ABS('Inputs (2)'!Y125)/ABS('Inputs (2)'!Y114)),"")</f>
        <v/>
      </c>
      <c r="Z256" s="32" t="str">
        <f>IFERROR(IF(OR(ABS('Inputs (2)'!Z114)=0,('Inputs (2)'!Z125)=0),"",ABS('Inputs (2)'!Z125)/ABS('Inputs (2)'!Z114)),"")</f>
        <v/>
      </c>
      <c r="AA256" s="32" t="str">
        <f>IFERROR(IF(OR(ABS('Inputs (2)'!AA114)=0,('Inputs (2)'!AA125)=0),"",ABS('Inputs (2)'!AA125)/ABS('Inputs (2)'!AA114)),"")</f>
        <v/>
      </c>
      <c r="AB256" s="32" t="str">
        <f>IFERROR(IF(OR(ABS('Inputs (2)'!AB114)=0,('Inputs (2)'!AB125)=0),"",ABS('Inputs (2)'!AB125)/ABS('Inputs (2)'!AB114)),"")</f>
        <v/>
      </c>
      <c r="AC256" s="34" t="str">
        <f>IFERROR(IF(OR(ABS('Inputs (2)'!AC114)=0,('Inputs (2)'!AC125)=0),"",ABS('Inputs (2)'!AC125)/ABS('Inputs (2)'!AC114)),"")</f>
        <v/>
      </c>
      <c r="AD256" s="32" t="str">
        <f>IFERROR(IF(OR(ABS('Inputs (2)'!AD114)=0,('Inputs (2)'!AD125)=0),"",ABS('Inputs (2)'!AD125)/ABS('Inputs (2)'!AD114)),"")</f>
        <v/>
      </c>
      <c r="AE256" s="32" t="str">
        <f>IFERROR(IF(OR(ABS('Inputs (2)'!AE114)=0,('Inputs (2)'!AE125)=0),"",ABS('Inputs (2)'!AE125)/ABS('Inputs (2)'!AE114)),"")</f>
        <v/>
      </c>
      <c r="AF256" s="32" t="str">
        <f>IFERROR(IF(OR(ABS('Inputs (2)'!AF114)=0,('Inputs (2)'!AF125)=0),"",ABS('Inputs (2)'!AF125)/ABS('Inputs (2)'!AF114)),"")</f>
        <v/>
      </c>
      <c r="AG256" s="32" t="str">
        <f>IFERROR(IF(OR(ABS('Inputs (2)'!AG114)=0,('Inputs (2)'!AG125)=0),"",ABS('Inputs (2)'!AG125)/ABS('Inputs (2)'!AG114)),"")</f>
        <v/>
      </c>
      <c r="AH256" s="34" t="str">
        <f>IFERROR(IF(OR(ABS('Inputs (2)'!AH114)=0,('Inputs (2)'!AH125)=0),"",ABS('Inputs (2)'!AH125)/ABS('Inputs (2)'!AH114)),"")</f>
        <v/>
      </c>
      <c r="AI256" s="32" t="str">
        <f>IFERROR(IF(OR(ABS('Inputs (2)'!AI114)=0,('Inputs (2)'!AI125)=0),"",ABS('Inputs (2)'!AI125)/ABS('Inputs (2)'!AI114)),"")</f>
        <v/>
      </c>
      <c r="AJ256" s="32" t="str">
        <f>IFERROR(IF(OR(ABS('Inputs (2)'!AJ114)=0,('Inputs (2)'!AJ125)=0),"",ABS('Inputs (2)'!AJ125)/ABS('Inputs (2)'!AJ114)),"")</f>
        <v/>
      </c>
      <c r="AK256" s="32" t="str">
        <f>IFERROR(IF(OR(ABS('Inputs (2)'!AK114)=0,('Inputs (2)'!AK125)=0),"",ABS('Inputs (2)'!AK125)/ABS('Inputs (2)'!AK114)),"")</f>
        <v/>
      </c>
      <c r="AL256" s="32" t="str">
        <f>IFERROR(IF(OR(ABS('Inputs (2)'!AL114)=0,('Inputs (2)'!AL125)=0),"",ABS('Inputs (2)'!AL125)/ABS('Inputs (2)'!AL114)),"")</f>
        <v/>
      </c>
      <c r="AM256" s="34" t="str">
        <f>IFERROR(IF(OR(ABS('Inputs (2)'!AM114)=0,('Inputs (2)'!AM125)=0),"",ABS('Inputs (2)'!AM125)/ABS('Inputs (2)'!AM114)),"")</f>
        <v/>
      </c>
      <c r="AN256" s="32" t="str">
        <f>IFERROR(IF(OR(ABS('Inputs (2)'!AN114)=0,('Inputs (2)'!AN125)=0),"",ABS('Inputs (2)'!AN125)/ABS('Inputs (2)'!AN114)),"")</f>
        <v/>
      </c>
      <c r="AO256" s="32" t="str">
        <f>IFERROR(IF(OR(ABS('Inputs (2)'!AO114)=0,('Inputs (2)'!AO125)=0),"",ABS('Inputs (2)'!AO125)/ABS('Inputs (2)'!AO114)),"")</f>
        <v/>
      </c>
      <c r="AP256" s="32" t="str">
        <f>IFERROR(IF(OR(ABS('Inputs (2)'!AP114)=0,('Inputs (2)'!AP125)=0),"",ABS('Inputs (2)'!AP125)/ABS('Inputs (2)'!AP114)),"")</f>
        <v/>
      </c>
      <c r="AQ256" s="32" t="str">
        <f>IFERROR(IF(OR(ABS('Inputs (2)'!AQ114)=0,('Inputs (2)'!AQ125)=0),"",ABS('Inputs (2)'!AQ125)/ABS('Inputs (2)'!AQ114)),"")</f>
        <v/>
      </c>
      <c r="AR256" s="34" t="str">
        <f>IFERROR(IF(OR(ABS('Inputs (2)'!AR114)=0,('Inputs (2)'!AR125)=0),"",ABS('Inputs (2)'!AR125)/ABS('Inputs (2)'!AR114)),"")</f>
        <v/>
      </c>
      <c r="AS256" s="32" t="str">
        <f>IFERROR(IF(OR(ABS('Inputs (2)'!AS114)=0,('Inputs (2)'!AS125)=0),"",ABS('Inputs (2)'!AS125)/ABS('Inputs (2)'!AS114)),"")</f>
        <v/>
      </c>
      <c r="AT256" s="32" t="str">
        <f>IFERROR(IF(OR(ABS('Inputs (2)'!AT114)=0,('Inputs (2)'!AT125)=0),"",ABS('Inputs (2)'!AT125)/ABS('Inputs (2)'!AT114)),"")</f>
        <v/>
      </c>
      <c r="AU256" s="32" t="str">
        <f>IFERROR(IF(OR(ABS('Inputs (2)'!AU114)=0,('Inputs (2)'!AU125)=0),"",ABS('Inputs (2)'!AU125)/ABS('Inputs (2)'!AU114)),"")</f>
        <v/>
      </c>
      <c r="AV256" s="32" t="str">
        <f>IFERROR(IF(OR(ABS('Inputs (2)'!AV114)=0,('Inputs (2)'!AV125)=0),"",ABS('Inputs (2)'!AV125)/ABS('Inputs (2)'!AV114)),"")</f>
        <v/>
      </c>
      <c r="AW256" s="34" t="str">
        <f>IFERROR(IF(OR(ABS('Inputs (2)'!AW114)=0,('Inputs (2)'!AW125)=0),"",ABS('Inputs (2)'!AW125)/ABS('Inputs (2)'!AW114)),"")</f>
        <v/>
      </c>
      <c r="AX256" s="32" t="str">
        <f>IFERROR(IF(OR(ABS('Inputs (2)'!AX114)=0,('Inputs (2)'!AX125)=0),"",ABS('Inputs (2)'!AX125)/ABS('Inputs (2)'!AX114)),"")</f>
        <v/>
      </c>
      <c r="AY256" s="32" t="str">
        <f>IFERROR(IF(OR(ABS('Inputs (2)'!AY114)=0,('Inputs (2)'!AY125)=0),"",ABS('Inputs (2)'!AY125)/ABS('Inputs (2)'!AY114)),"")</f>
        <v/>
      </c>
      <c r="AZ256" s="32" t="str">
        <f>IFERROR(IF(OR(ABS('Inputs (2)'!AZ114)=0,('Inputs (2)'!AZ125)=0),"",ABS('Inputs (2)'!AZ125)/ABS('Inputs (2)'!AZ114)),"")</f>
        <v/>
      </c>
      <c r="BA256" s="32" t="str">
        <f>IFERROR(IF(OR(ABS('Inputs (2)'!BA114)=0,('Inputs (2)'!BA125)=0),"",ABS('Inputs (2)'!BA125)/ABS('Inputs (2)'!BA114)),"")</f>
        <v/>
      </c>
      <c r="BB256" s="34" t="str">
        <f>IFERROR(IF(OR(ABS('Inputs (2)'!BB114)=0,('Inputs (2)'!BB125)=0),"",ABS('Inputs (2)'!BB125)/ABS('Inputs (2)'!BB114)),"")</f>
        <v/>
      </c>
      <c r="BC256" s="32" t="str">
        <f>IFERROR(IF(OR(ABS('Inputs (2)'!BC114)=0,('Inputs (2)'!BC125)=0),"",ABS('Inputs (2)'!BC125)/ABS('Inputs (2)'!BC114)),"")</f>
        <v/>
      </c>
      <c r="BD256" s="32" t="str">
        <f>IFERROR(IF(OR(ABS('Inputs (2)'!BD114)=0,('Inputs (2)'!BD125)=0),"",ABS('Inputs (2)'!BD125)/ABS('Inputs (2)'!BD114)),"")</f>
        <v/>
      </c>
      <c r="BE256" s="32" t="str">
        <f>IFERROR(IF(OR(ABS('Inputs (2)'!BE114)=0,('Inputs (2)'!BE125)=0),"",ABS('Inputs (2)'!BE125)/ABS('Inputs (2)'!BE114)),"")</f>
        <v/>
      </c>
      <c r="BF256" s="32" t="str">
        <f>IFERROR(IF(OR(ABS('Inputs (2)'!BF114)=0,('Inputs (2)'!BF125)=0),"",ABS('Inputs (2)'!BF125)/ABS('Inputs (2)'!BF114)),"")</f>
        <v/>
      </c>
      <c r="BG256" s="34" t="str">
        <f>IFERROR(IF(OR(ABS('Inputs (2)'!BG114)=0,('Inputs (2)'!BG125)=0),"",ABS('Inputs (2)'!BG125)/ABS('Inputs (2)'!BG114)),"")</f>
        <v/>
      </c>
    </row>
    <row r="257" hidden="1" outlineLevel="1">
      <c r="C257" s="30" t="inlineStr">
        <is>
          <t>Cobertura dos vencidos 90+ pela ACL (%)</t>
        </is>
      </c>
      <c r="D257" s="12" t="inlineStr">
        <is>
          <t>NPL 90+ coverage</t>
        </is>
      </c>
      <c r="E257" s="32" t="str">
        <f>IFERROR(IF(OR(ABS('Inputs (2)'!E124)=0,('Inputs (2)'!E123)=0),"",ABS('Inputs (2)'!E123)/ABS('Inputs (2)'!E124)),"")</f>
        <v/>
      </c>
      <c r="F257" s="32" t="str">
        <f>IFERROR(IF(OR(ABS('Inputs (2)'!F124)=0,('Inputs (2)'!F123)=0),"",ABS('Inputs (2)'!F123)/ABS('Inputs (2)'!F124)),"")</f>
        <v/>
      </c>
      <c r="G257" s="32" t="str">
        <f>IFERROR(IF(OR(ABS('Inputs (2)'!G124)=0,('Inputs (2)'!G123)=0),"",ABS('Inputs (2)'!G123)/ABS('Inputs (2)'!G124)),"")</f>
        <v/>
      </c>
      <c r="H257" s="32" t="str">
        <f>IFERROR(IF(OR(ABS('Inputs (2)'!H124)=0,('Inputs (2)'!H123)=0),"",ABS('Inputs (2)'!H123)/ABS('Inputs (2)'!H124)),"")</f>
        <v/>
      </c>
      <c r="I257" s="34" t="str">
        <f>IFERROR(IF(OR(ABS('Inputs (2)'!I124)=0,('Inputs (2)'!I123)=0),"",ABS('Inputs (2)'!I123)/ABS('Inputs (2)'!I124)),"")</f>
        <v/>
      </c>
      <c r="J257" s="32" t="str">
        <f>IFERROR(IF(OR(ABS('Inputs (2)'!J124)=0,('Inputs (2)'!J123)=0),"",ABS('Inputs (2)'!J123)/ABS('Inputs (2)'!J124)),"")</f>
        <v/>
      </c>
      <c r="K257" s="32" t="str">
        <f>IFERROR(IF(OR(ABS('Inputs (2)'!K124)=0,('Inputs (2)'!K123)=0),"",ABS('Inputs (2)'!K123)/ABS('Inputs (2)'!K124)),"")</f>
        <v/>
      </c>
      <c r="L257" s="32" t="str">
        <f>IFERROR(IF(OR(ABS('Inputs (2)'!L124)=0,('Inputs (2)'!L123)=0),"",ABS('Inputs (2)'!L123)/ABS('Inputs (2)'!L124)),"")</f>
        <v/>
      </c>
      <c r="M257" s="32" t="str">
        <f>IFERROR(IF(OR(ABS('Inputs (2)'!M124)=0,('Inputs (2)'!M123)=0),"",ABS('Inputs (2)'!M123)/ABS('Inputs (2)'!M124)),"")</f>
        <v/>
      </c>
      <c r="N257" s="34" t="str">
        <f>IFERROR(IF(OR(ABS('Inputs (2)'!N124)=0,('Inputs (2)'!N123)=0),"",ABS('Inputs (2)'!N123)/ABS('Inputs (2)'!N124)),"")</f>
        <v/>
      </c>
      <c r="O257" s="32" t="str">
        <f>IFERROR(IF(OR(ABS('Inputs (2)'!O124)=0,('Inputs (2)'!O123)=0),"",ABS('Inputs (2)'!O123)/ABS('Inputs (2)'!O124)),"")</f>
        <v/>
      </c>
      <c r="P257" s="32" t="str">
        <f>IFERROR(IF(OR(ABS('Inputs (2)'!P124)=0,('Inputs (2)'!P123)=0),"",ABS('Inputs (2)'!P123)/ABS('Inputs (2)'!P124)),"")</f>
        <v/>
      </c>
      <c r="Q257" s="32" t="str">
        <f>IFERROR(IF(OR(ABS('Inputs (2)'!Q124)=0,('Inputs (2)'!Q123)=0),"",ABS('Inputs (2)'!Q123)/ABS('Inputs (2)'!Q124)),"")</f>
        <v/>
      </c>
      <c r="R257" s="32" t="str">
        <f>IFERROR(IF(OR(ABS('Inputs (2)'!R124)=0,('Inputs (2)'!R123)=0),"",ABS('Inputs (2)'!R123)/ABS('Inputs (2)'!R124)),"")</f>
        <v/>
      </c>
      <c r="S257" s="34" t="str">
        <f>IFERROR(IF(OR(ABS('Inputs (2)'!S124)=0,('Inputs (2)'!S123)=0),"",ABS('Inputs (2)'!S123)/ABS('Inputs (2)'!S124)),"")</f>
        <v/>
      </c>
      <c r="T257" s="32" t="str">
        <f>IFERROR(IF(OR(ABS('Inputs (2)'!T124)=0,('Inputs (2)'!T123)=0),"",ABS('Inputs (2)'!T123)/ABS('Inputs (2)'!T124)),"")</f>
        <v/>
      </c>
      <c r="U257" s="32" t="str">
        <f>IFERROR(IF(OR(ABS('Inputs (2)'!U124)=0,('Inputs (2)'!U123)=0),"",ABS('Inputs (2)'!U123)/ABS('Inputs (2)'!U124)),"")</f>
        <v/>
      </c>
      <c r="V257" s="32" t="str">
        <f>IFERROR(IF(OR(ABS('Inputs (2)'!V124)=0,('Inputs (2)'!V123)=0),"",ABS('Inputs (2)'!V123)/ABS('Inputs (2)'!V124)),"")</f>
        <v/>
      </c>
      <c r="W257" s="32" t="str">
        <f>IFERROR(IF(OR(ABS('Inputs (2)'!W124)=0,('Inputs (2)'!W123)=0),"",ABS('Inputs (2)'!W123)/ABS('Inputs (2)'!W124)),"")</f>
        <v/>
      </c>
      <c r="X257" s="34" t="str">
        <f>IFERROR(IF(OR(ABS('Inputs (2)'!X124)=0,('Inputs (2)'!X123)=0),"",ABS('Inputs (2)'!X123)/ABS('Inputs (2)'!X124)),"")</f>
        <v/>
      </c>
      <c r="Y257" s="32" t="str">
        <f>IFERROR(IF(OR(ABS('Inputs (2)'!Y124)=0,('Inputs (2)'!Y123)=0),"",ABS('Inputs (2)'!Y123)/ABS('Inputs (2)'!Y124)),"")</f>
        <v/>
      </c>
      <c r="Z257" s="32" t="str">
        <f>IFERROR(IF(OR(ABS('Inputs (2)'!Z124)=0,('Inputs (2)'!Z123)=0),"",ABS('Inputs (2)'!Z123)/ABS('Inputs (2)'!Z124)),"")</f>
        <v/>
      </c>
      <c r="AA257" s="32" t="str">
        <f>IFERROR(IF(OR(ABS('Inputs (2)'!AA124)=0,('Inputs (2)'!AA123)=0),"",ABS('Inputs (2)'!AA123)/ABS('Inputs (2)'!AA124)),"")</f>
        <v/>
      </c>
      <c r="AB257" s="32" t="str">
        <f>IFERROR(IF(OR(ABS('Inputs (2)'!AB124)=0,('Inputs (2)'!AB123)=0),"",ABS('Inputs (2)'!AB123)/ABS('Inputs (2)'!AB124)),"")</f>
        <v/>
      </c>
      <c r="AC257" s="34" t="str">
        <f>IFERROR(IF(OR(ABS('Inputs (2)'!AC124)=0,('Inputs (2)'!AC123)=0),"",ABS('Inputs (2)'!AC123)/ABS('Inputs (2)'!AC124)),"")</f>
        <v/>
      </c>
      <c r="AD257" s="32" t="str">
        <f>IFERROR(IF(OR(ABS('Inputs (2)'!AD124)=0,('Inputs (2)'!AD123)=0),"",ABS('Inputs (2)'!AD123)/ABS('Inputs (2)'!AD124)),"")</f>
        <v/>
      </c>
      <c r="AE257" s="32" t="str">
        <f>IFERROR(IF(OR(ABS('Inputs (2)'!AE124)=0,('Inputs (2)'!AE123)=0),"",ABS('Inputs (2)'!AE123)/ABS('Inputs (2)'!AE124)),"")</f>
        <v/>
      </c>
      <c r="AF257" s="32" t="str">
        <f>IFERROR(IF(OR(ABS('Inputs (2)'!AF124)=0,('Inputs (2)'!AF123)=0),"",ABS('Inputs (2)'!AF123)/ABS('Inputs (2)'!AF124)),"")</f>
        <v/>
      </c>
      <c r="AG257" s="32" t="str">
        <f>IFERROR(IF(OR(ABS('Inputs (2)'!AG124)=0,('Inputs (2)'!AG123)=0),"",ABS('Inputs (2)'!AG123)/ABS('Inputs (2)'!AG124)),"")</f>
        <v/>
      </c>
      <c r="AH257" s="34" t="str">
        <f>IFERROR(IF(OR(ABS('Inputs (2)'!AH124)=0,('Inputs (2)'!AH123)=0),"",ABS('Inputs (2)'!AH123)/ABS('Inputs (2)'!AH124)),"")</f>
        <v/>
      </c>
      <c r="AI257" s="32" t="str">
        <f>IFERROR(IF(OR(ABS('Inputs (2)'!AI124)=0,('Inputs (2)'!AI123)=0),"",ABS('Inputs (2)'!AI123)/ABS('Inputs (2)'!AI124)),"")</f>
        <v/>
      </c>
      <c r="AJ257" s="32" t="str">
        <f>IFERROR(IF(OR(ABS('Inputs (2)'!AJ124)=0,('Inputs (2)'!AJ123)=0),"",ABS('Inputs (2)'!AJ123)/ABS('Inputs (2)'!AJ124)),"")</f>
        <v/>
      </c>
      <c r="AK257" s="32" t="str">
        <f>IFERROR(IF(OR(ABS('Inputs (2)'!AK124)=0,('Inputs (2)'!AK123)=0),"",ABS('Inputs (2)'!AK123)/ABS('Inputs (2)'!AK124)),"")</f>
        <v/>
      </c>
      <c r="AL257" s="32" t="str">
        <f>IFERROR(IF(OR(ABS('Inputs (2)'!AL124)=0,('Inputs (2)'!AL123)=0),"",ABS('Inputs (2)'!AL123)/ABS('Inputs (2)'!AL124)),"")</f>
        <v/>
      </c>
      <c r="AM257" s="34" t="str">
        <f>IFERROR(IF(OR(ABS('Inputs (2)'!AM124)=0,('Inputs (2)'!AM123)=0),"",ABS('Inputs (2)'!AM123)/ABS('Inputs (2)'!AM124)),"")</f>
        <v/>
      </c>
      <c r="AN257" s="32" t="str">
        <f>IFERROR(IF(OR(ABS('Inputs (2)'!AN124)=0,('Inputs (2)'!AN123)=0),"",ABS('Inputs (2)'!AN123)/ABS('Inputs (2)'!AN124)),"")</f>
        <v/>
      </c>
      <c r="AO257" s="32" t="str">
        <f>IFERROR(IF(OR(ABS('Inputs (2)'!AO124)=0,('Inputs (2)'!AO123)=0),"",ABS('Inputs (2)'!AO123)/ABS('Inputs (2)'!AO124)),"")</f>
        <v/>
      </c>
      <c r="AP257" s="32" t="str">
        <f>IFERROR(IF(OR(ABS('Inputs (2)'!AP124)=0,('Inputs (2)'!AP123)=0),"",ABS('Inputs (2)'!AP123)/ABS('Inputs (2)'!AP124)),"")</f>
        <v/>
      </c>
      <c r="AQ257" s="32" t="str">
        <f>IFERROR(IF(OR(ABS('Inputs (2)'!AQ124)=0,('Inputs (2)'!AQ123)=0),"",ABS('Inputs (2)'!AQ123)/ABS('Inputs (2)'!AQ124)),"")</f>
        <v/>
      </c>
      <c r="AR257" s="34" t="str">
        <f>IFERROR(IF(OR(ABS('Inputs (2)'!AR124)=0,('Inputs (2)'!AR123)=0),"",ABS('Inputs (2)'!AR123)/ABS('Inputs (2)'!AR124)),"")</f>
        <v/>
      </c>
      <c r="AS257" s="32" t="str">
        <f>IFERROR(IF(OR(ABS('Inputs (2)'!AS124)=0,('Inputs (2)'!AS123)=0),"",ABS('Inputs (2)'!AS123)/ABS('Inputs (2)'!AS124)),"")</f>
        <v/>
      </c>
      <c r="AT257" s="32" t="str">
        <f>IFERROR(IF(OR(ABS('Inputs (2)'!AT124)=0,('Inputs (2)'!AT123)=0),"",ABS('Inputs (2)'!AT123)/ABS('Inputs (2)'!AT124)),"")</f>
        <v/>
      </c>
      <c r="AU257" s="32" t="str">
        <f>IFERROR(IF(OR(ABS('Inputs (2)'!AU124)=0,('Inputs (2)'!AU123)=0),"",ABS('Inputs (2)'!AU123)/ABS('Inputs (2)'!AU124)),"")</f>
        <v/>
      </c>
      <c r="AV257" s="32" t="str">
        <f>IFERROR(IF(OR(ABS('Inputs (2)'!AV124)=0,('Inputs (2)'!AV123)=0),"",ABS('Inputs (2)'!AV123)/ABS('Inputs (2)'!AV124)),"")</f>
        <v/>
      </c>
      <c r="AW257" s="34" t="str">
        <f>IFERROR(IF(OR(ABS('Inputs (2)'!AW124)=0,('Inputs (2)'!AW123)=0),"",ABS('Inputs (2)'!AW123)/ABS('Inputs (2)'!AW124)),"")</f>
        <v/>
      </c>
      <c r="AX257" s="32" t="str">
        <f>IFERROR(IF(OR(ABS('Inputs (2)'!AX124)=0,('Inputs (2)'!AX123)=0),"",ABS('Inputs (2)'!AX123)/ABS('Inputs (2)'!AX124)),"")</f>
        <v/>
      </c>
      <c r="AY257" s="32" t="str">
        <f>IFERROR(IF(OR(ABS('Inputs (2)'!AY124)=0,('Inputs (2)'!AY123)=0),"",ABS('Inputs (2)'!AY123)/ABS('Inputs (2)'!AY124)),"")</f>
        <v/>
      </c>
      <c r="AZ257" s="32" t="str">
        <f>IFERROR(IF(OR(ABS('Inputs (2)'!AZ124)=0,('Inputs (2)'!AZ123)=0),"",ABS('Inputs (2)'!AZ123)/ABS('Inputs (2)'!AZ124)),"")</f>
        <v/>
      </c>
      <c r="BA257" s="32" t="str">
        <f>IFERROR(IF(OR(ABS('Inputs (2)'!BA124)=0,('Inputs (2)'!BA123)=0),"",ABS('Inputs (2)'!BA123)/ABS('Inputs (2)'!BA124)),"")</f>
        <v/>
      </c>
      <c r="BB257" s="34" t="str">
        <f>IFERROR(IF(OR(ABS('Inputs (2)'!BB124)=0,('Inputs (2)'!BB123)=0),"",ABS('Inputs (2)'!BB123)/ABS('Inputs (2)'!BB124)),"")</f>
        <v/>
      </c>
      <c r="BC257" s="32" t="str">
        <f>IFERROR(IF(OR(ABS('Inputs (2)'!BC124)=0,('Inputs (2)'!BC123)=0),"",ABS('Inputs (2)'!BC123)/ABS('Inputs (2)'!BC124)),"")</f>
        <v/>
      </c>
      <c r="BD257" s="32" t="str">
        <f>IFERROR(IF(OR(ABS('Inputs (2)'!BD124)=0,('Inputs (2)'!BD123)=0),"",ABS('Inputs (2)'!BD123)/ABS('Inputs (2)'!BD124)),"")</f>
        <v/>
      </c>
      <c r="BE257" s="32" t="str">
        <f>IFERROR(IF(OR(ABS('Inputs (2)'!BE124)=0,('Inputs (2)'!BE123)=0),"",ABS('Inputs (2)'!BE123)/ABS('Inputs (2)'!BE124)),"")</f>
        <v/>
      </c>
      <c r="BF257" s="32" t="str">
        <f>IFERROR(IF(OR(ABS('Inputs (2)'!BF124)=0,('Inputs (2)'!BF123)=0),"",ABS('Inputs (2)'!BF123)/ABS('Inputs (2)'!BF124)),"")</f>
        <v/>
      </c>
      <c r="BG257" s="34" t="str">
        <f>IFERROR(IF(OR(ABS('Inputs (2)'!BG124)=0,('Inputs (2)'!BG123)=0),"",ABS('Inputs (2)'!BG123)/ABS('Inputs (2)'!BG124)),"")</f>
        <v/>
      </c>
    </row>
    <row r="258" hidden="1" outlineLevel="1">
      <c r="C258" s="30" t="inlineStr">
        <is>
          <t>ACL / empréstimos (%)</t>
        </is>
      </c>
      <c r="D258" s="12" t="inlineStr">
        <is>
          <t>Allowance over loans</t>
        </is>
      </c>
      <c r="E258" s="32" t="str">
        <f>IFERROR(IF(OR(ABS('Inputs (2)'!E114)=0,('Inputs (2)'!E123)=0),"",ABS('Inputs (2)'!E123)/ABS('Inputs (2)'!E114)),"")</f>
        <v/>
      </c>
      <c r="F258" s="32" t="str">
        <f>IFERROR(IF(OR(ABS('Inputs (2)'!F114)=0,('Inputs (2)'!F123)=0),"",ABS('Inputs (2)'!F123)/ABS('Inputs (2)'!F114)),"")</f>
        <v/>
      </c>
      <c r="G258" s="32" t="str">
        <f>IFERROR(IF(OR(ABS('Inputs (2)'!G114)=0,('Inputs (2)'!G123)=0),"",ABS('Inputs (2)'!G123)/ABS('Inputs (2)'!G114)),"")</f>
        <v/>
      </c>
      <c r="H258" s="32" t="str">
        <f>IFERROR(IF(OR(ABS('Inputs (2)'!H114)=0,('Inputs (2)'!H123)=0),"",ABS('Inputs (2)'!H123)/ABS('Inputs (2)'!H114)),"")</f>
        <v/>
      </c>
      <c r="I258" s="34" t="str">
        <f>IFERROR(IF(OR(ABS('Inputs (2)'!I114)=0,('Inputs (2)'!I123)=0),"",ABS('Inputs (2)'!I123)/ABS('Inputs (2)'!I114)),"")</f>
        <v/>
      </c>
      <c r="J258" s="32" t="str">
        <f>IFERROR(IF(OR(ABS('Inputs (2)'!J114)=0,('Inputs (2)'!J123)=0),"",ABS('Inputs (2)'!J123)/ABS('Inputs (2)'!J114)),"")</f>
        <v/>
      </c>
      <c r="K258" s="32" t="str">
        <f>IFERROR(IF(OR(ABS('Inputs (2)'!K114)=0,('Inputs (2)'!K123)=0),"",ABS('Inputs (2)'!K123)/ABS('Inputs (2)'!K114)),"")</f>
        <v/>
      </c>
      <c r="L258" s="32" t="str">
        <f>IFERROR(IF(OR(ABS('Inputs (2)'!L114)=0,('Inputs (2)'!L123)=0),"",ABS('Inputs (2)'!L123)/ABS('Inputs (2)'!L114)),"")</f>
        <v/>
      </c>
      <c r="M258" s="32" t="str">
        <f>IFERROR(IF(OR(ABS('Inputs (2)'!M114)=0,('Inputs (2)'!M123)=0),"",ABS('Inputs (2)'!M123)/ABS('Inputs (2)'!M114)),"")</f>
        <v/>
      </c>
      <c r="N258" s="34" t="str">
        <f>IFERROR(IF(OR(ABS('Inputs (2)'!N114)=0,('Inputs (2)'!N123)=0),"",ABS('Inputs (2)'!N123)/ABS('Inputs (2)'!N114)),"")</f>
        <v/>
      </c>
      <c r="O258" s="32" t="str">
        <f>IFERROR(IF(OR(ABS('Inputs (2)'!O114)=0,('Inputs (2)'!O123)=0),"",ABS('Inputs (2)'!O123)/ABS('Inputs (2)'!O114)),"")</f>
        <v/>
      </c>
      <c r="P258" s="32" t="str">
        <f>IFERROR(IF(OR(ABS('Inputs (2)'!P114)=0,('Inputs (2)'!P123)=0),"",ABS('Inputs (2)'!P123)/ABS('Inputs (2)'!P114)),"")</f>
        <v/>
      </c>
      <c r="Q258" s="32" t="str">
        <f>IFERROR(IF(OR(ABS('Inputs (2)'!Q114)=0,('Inputs (2)'!Q123)=0),"",ABS('Inputs (2)'!Q123)/ABS('Inputs (2)'!Q114)),"")</f>
        <v/>
      </c>
      <c r="R258" s="32" t="str">
        <f>IFERROR(IF(OR(ABS('Inputs (2)'!R114)=0,('Inputs (2)'!R123)=0),"",ABS('Inputs (2)'!R123)/ABS('Inputs (2)'!R114)),"")</f>
        <v/>
      </c>
      <c r="S258" s="34" t="str">
        <f>IFERROR(IF(OR(ABS('Inputs (2)'!S114)=0,('Inputs (2)'!S123)=0),"",ABS('Inputs (2)'!S123)/ABS('Inputs (2)'!S114)),"")</f>
        <v/>
      </c>
      <c r="T258" s="32" t="str">
        <f>IFERROR(IF(OR(ABS('Inputs (2)'!T114)=0,('Inputs (2)'!T123)=0),"",ABS('Inputs (2)'!T123)/ABS('Inputs (2)'!T114)),"")</f>
        <v/>
      </c>
      <c r="U258" s="32" t="str">
        <f>IFERROR(IF(OR(ABS('Inputs (2)'!U114)=0,('Inputs (2)'!U123)=0),"",ABS('Inputs (2)'!U123)/ABS('Inputs (2)'!U114)),"")</f>
        <v/>
      </c>
      <c r="V258" s="32" t="str">
        <f>IFERROR(IF(OR(ABS('Inputs (2)'!V114)=0,('Inputs (2)'!V123)=0),"",ABS('Inputs (2)'!V123)/ABS('Inputs (2)'!V114)),"")</f>
        <v/>
      </c>
      <c r="W258" s="32" t="str">
        <f>IFERROR(IF(OR(ABS('Inputs (2)'!W114)=0,('Inputs (2)'!W123)=0),"",ABS('Inputs (2)'!W123)/ABS('Inputs (2)'!W114)),"")</f>
        <v/>
      </c>
      <c r="X258" s="34" t="str">
        <f>IFERROR(IF(OR(ABS('Inputs (2)'!X114)=0,('Inputs (2)'!X123)=0),"",ABS('Inputs (2)'!X123)/ABS('Inputs (2)'!X114)),"")</f>
        <v/>
      </c>
      <c r="Y258" s="32" t="str">
        <f>IFERROR(IF(OR(ABS('Inputs (2)'!Y114)=0,('Inputs (2)'!Y123)=0),"",ABS('Inputs (2)'!Y123)/ABS('Inputs (2)'!Y114)),"")</f>
        <v/>
      </c>
      <c r="Z258" s="32" t="str">
        <f>IFERROR(IF(OR(ABS('Inputs (2)'!Z114)=0,('Inputs (2)'!Z123)=0),"",ABS('Inputs (2)'!Z123)/ABS('Inputs (2)'!Z114)),"")</f>
        <v/>
      </c>
      <c r="AA258" s="32" t="str">
        <f>IFERROR(IF(OR(ABS('Inputs (2)'!AA114)=0,('Inputs (2)'!AA123)=0),"",ABS('Inputs (2)'!AA123)/ABS('Inputs (2)'!AA114)),"")</f>
        <v/>
      </c>
      <c r="AB258" s="32" t="str">
        <f>IFERROR(IF(OR(ABS('Inputs (2)'!AB114)=0,('Inputs (2)'!AB123)=0),"",ABS('Inputs (2)'!AB123)/ABS('Inputs (2)'!AB114)),"")</f>
        <v/>
      </c>
      <c r="AC258" s="34" t="str">
        <f>IFERROR(IF(OR(ABS('Inputs (2)'!AC114)=0,('Inputs (2)'!AC123)=0),"",ABS('Inputs (2)'!AC123)/ABS('Inputs (2)'!AC114)),"")</f>
        <v/>
      </c>
      <c r="AD258" s="32" t="str">
        <f>IFERROR(IF(OR(ABS('Inputs (2)'!AD114)=0,('Inputs (2)'!AD123)=0),"",ABS('Inputs (2)'!AD123)/ABS('Inputs (2)'!AD114)),"")</f>
        <v/>
      </c>
      <c r="AE258" s="32" t="str">
        <f>IFERROR(IF(OR(ABS('Inputs (2)'!AE114)=0,('Inputs (2)'!AE123)=0),"",ABS('Inputs (2)'!AE123)/ABS('Inputs (2)'!AE114)),"")</f>
        <v/>
      </c>
      <c r="AF258" s="32" t="str">
        <f>IFERROR(IF(OR(ABS('Inputs (2)'!AF114)=0,('Inputs (2)'!AF123)=0),"",ABS('Inputs (2)'!AF123)/ABS('Inputs (2)'!AF114)),"")</f>
        <v/>
      </c>
      <c r="AG258" s="32" t="str">
        <f>IFERROR(IF(OR(ABS('Inputs (2)'!AG114)=0,('Inputs (2)'!AG123)=0),"",ABS('Inputs (2)'!AG123)/ABS('Inputs (2)'!AG114)),"")</f>
        <v/>
      </c>
      <c r="AH258" s="34" t="str">
        <f>IFERROR(IF(OR(ABS('Inputs (2)'!AH114)=0,('Inputs (2)'!AH123)=0),"",ABS('Inputs (2)'!AH123)/ABS('Inputs (2)'!AH114)),"")</f>
        <v/>
      </c>
      <c r="AI258" s="32" t="str">
        <f>IFERROR(IF(OR(ABS('Inputs (2)'!AI114)=0,('Inputs (2)'!AI123)=0),"",ABS('Inputs (2)'!AI123)/ABS('Inputs (2)'!AI114)),"")</f>
        <v/>
      </c>
      <c r="AJ258" s="32" t="str">
        <f>IFERROR(IF(OR(ABS('Inputs (2)'!AJ114)=0,('Inputs (2)'!AJ123)=0),"",ABS('Inputs (2)'!AJ123)/ABS('Inputs (2)'!AJ114)),"")</f>
        <v/>
      </c>
      <c r="AK258" s="32" t="str">
        <f>IFERROR(IF(OR(ABS('Inputs (2)'!AK114)=0,('Inputs (2)'!AK123)=0),"",ABS('Inputs (2)'!AK123)/ABS('Inputs (2)'!AK114)),"")</f>
        <v/>
      </c>
      <c r="AL258" s="32" t="str">
        <f>IFERROR(IF(OR(ABS('Inputs (2)'!AL114)=0,('Inputs (2)'!AL123)=0),"",ABS('Inputs (2)'!AL123)/ABS('Inputs (2)'!AL114)),"")</f>
        <v/>
      </c>
      <c r="AM258" s="34" t="str">
        <f>IFERROR(IF(OR(ABS('Inputs (2)'!AM114)=0,('Inputs (2)'!AM123)=0),"",ABS('Inputs (2)'!AM123)/ABS('Inputs (2)'!AM114)),"")</f>
        <v/>
      </c>
      <c r="AN258" s="32" t="str">
        <f>IFERROR(IF(OR(ABS('Inputs (2)'!AN114)=0,('Inputs (2)'!AN123)=0),"",ABS('Inputs (2)'!AN123)/ABS('Inputs (2)'!AN114)),"")</f>
        <v/>
      </c>
      <c r="AO258" s="32" t="str">
        <f>IFERROR(IF(OR(ABS('Inputs (2)'!AO114)=0,('Inputs (2)'!AO123)=0),"",ABS('Inputs (2)'!AO123)/ABS('Inputs (2)'!AO114)),"")</f>
        <v/>
      </c>
      <c r="AP258" s="32" t="str">
        <f>IFERROR(IF(OR(ABS('Inputs (2)'!AP114)=0,('Inputs (2)'!AP123)=0),"",ABS('Inputs (2)'!AP123)/ABS('Inputs (2)'!AP114)),"")</f>
        <v/>
      </c>
      <c r="AQ258" s="32" t="str">
        <f>IFERROR(IF(OR(ABS('Inputs (2)'!AQ114)=0,('Inputs (2)'!AQ123)=0),"",ABS('Inputs (2)'!AQ123)/ABS('Inputs (2)'!AQ114)),"")</f>
        <v/>
      </c>
      <c r="AR258" s="34" t="str">
        <f>IFERROR(IF(OR(ABS('Inputs (2)'!AR114)=0,('Inputs (2)'!AR123)=0),"",ABS('Inputs (2)'!AR123)/ABS('Inputs (2)'!AR114)),"")</f>
        <v/>
      </c>
      <c r="AS258" s="32" t="str">
        <f>IFERROR(IF(OR(ABS('Inputs (2)'!AS114)=0,('Inputs (2)'!AS123)=0),"",ABS('Inputs (2)'!AS123)/ABS('Inputs (2)'!AS114)),"")</f>
        <v/>
      </c>
      <c r="AT258" s="32" t="str">
        <f>IFERROR(IF(OR(ABS('Inputs (2)'!AT114)=0,('Inputs (2)'!AT123)=0),"",ABS('Inputs (2)'!AT123)/ABS('Inputs (2)'!AT114)),"")</f>
        <v/>
      </c>
      <c r="AU258" s="32" t="str">
        <f>IFERROR(IF(OR(ABS('Inputs (2)'!AU114)=0,('Inputs (2)'!AU123)=0),"",ABS('Inputs (2)'!AU123)/ABS('Inputs (2)'!AU114)),"")</f>
        <v/>
      </c>
      <c r="AV258" s="32" t="str">
        <f>IFERROR(IF(OR(ABS('Inputs (2)'!AV114)=0,('Inputs (2)'!AV123)=0),"",ABS('Inputs (2)'!AV123)/ABS('Inputs (2)'!AV114)),"")</f>
        <v/>
      </c>
      <c r="AW258" s="34" t="str">
        <f>IFERROR(IF(OR(ABS('Inputs (2)'!AW114)=0,('Inputs (2)'!AW123)=0),"",ABS('Inputs (2)'!AW123)/ABS('Inputs (2)'!AW114)),"")</f>
        <v/>
      </c>
      <c r="AX258" s="32" t="str">
        <f>IFERROR(IF(OR(ABS('Inputs (2)'!AX114)=0,('Inputs (2)'!AX123)=0),"",ABS('Inputs (2)'!AX123)/ABS('Inputs (2)'!AX114)),"")</f>
        <v/>
      </c>
      <c r="AY258" s="32" t="str">
        <f>IFERROR(IF(OR(ABS('Inputs (2)'!AY114)=0,('Inputs (2)'!AY123)=0),"",ABS('Inputs (2)'!AY123)/ABS('Inputs (2)'!AY114)),"")</f>
        <v/>
      </c>
      <c r="AZ258" s="32" t="str">
        <f>IFERROR(IF(OR(ABS('Inputs (2)'!AZ114)=0,('Inputs (2)'!AZ123)=0),"",ABS('Inputs (2)'!AZ123)/ABS('Inputs (2)'!AZ114)),"")</f>
        <v/>
      </c>
      <c r="BA258" s="32" t="str">
        <f>IFERROR(IF(OR(ABS('Inputs (2)'!BA114)=0,('Inputs (2)'!BA123)=0),"",ABS('Inputs (2)'!BA123)/ABS('Inputs (2)'!BA114)),"")</f>
        <v/>
      </c>
      <c r="BB258" s="34" t="str">
        <f>IFERROR(IF(OR(ABS('Inputs (2)'!BB114)=0,('Inputs (2)'!BB123)=0),"",ABS('Inputs (2)'!BB123)/ABS('Inputs (2)'!BB114)),"")</f>
        <v/>
      </c>
      <c r="BC258" s="32" t="str">
        <f>IFERROR(IF(OR(ABS('Inputs (2)'!BC114)=0,('Inputs (2)'!BC123)=0),"",ABS('Inputs (2)'!BC123)/ABS('Inputs (2)'!BC114)),"")</f>
        <v/>
      </c>
      <c r="BD258" s="32" t="str">
        <f>IFERROR(IF(OR(ABS('Inputs (2)'!BD114)=0,('Inputs (2)'!BD123)=0),"",ABS('Inputs (2)'!BD123)/ABS('Inputs (2)'!BD114)),"")</f>
        <v/>
      </c>
      <c r="BE258" s="32" t="str">
        <f>IFERROR(IF(OR(ABS('Inputs (2)'!BE114)=0,('Inputs (2)'!BE123)=0),"",ABS('Inputs (2)'!BE123)/ABS('Inputs (2)'!BE114)),"")</f>
        <v/>
      </c>
      <c r="BF258" s="32" t="str">
        <f>IFERROR(IF(OR(ABS('Inputs (2)'!BF114)=0,('Inputs (2)'!BF123)=0),"",ABS('Inputs (2)'!BF123)/ABS('Inputs (2)'!BF114)),"")</f>
        <v/>
      </c>
      <c r="BG258" s="34" t="str">
        <f>IFERROR(IF(OR(ABS('Inputs (2)'!BG114)=0,('Inputs (2)'!BG123)=0),"",ABS('Inputs (2)'!BG123)/ABS('Inputs (2)'!BG114)),"")</f>
        <v/>
      </c>
    </row>
    <row r="259" collapsed="1"/>
    <row r="260">
      <c r="B260" s="7" t="n"/>
      <c r="C260" s="7" t="inlineStr">
        <is>
          <t>CENÁRIO MACROECONÔMICO — EUA (histórico do FRED; colunas projetadas são premissa do analista)</t>
        </is>
      </c>
      <c r="D260" s="7" t="inlineStr">
        <is>
          <t>MACRO SCENARIO</t>
        </is>
      </c>
      <c r="E260" s="7" t="n"/>
      <c r="F260" s="7" t="n"/>
      <c r="G260" s="7" t="n"/>
      <c r="H260" s="7" t="n"/>
      <c r="I260" s="7" t="n"/>
      <c r="J260" s="7" t="n"/>
      <c r="K260" s="7" t="n"/>
      <c r="L260" s="7" t="n"/>
      <c r="M260" s="7" t="n"/>
      <c r="N260" s="7" t="n"/>
      <c r="O260" s="7" t="n"/>
      <c r="P260" s="7" t="n"/>
      <c r="Q260" s="7" t="n"/>
      <c r="R260" s="7" t="n"/>
      <c r="S260" s="7" t="n"/>
      <c r="T260" s="7" t="n"/>
      <c r="U260" s="7" t="n"/>
      <c r="V260" s="7" t="n"/>
      <c r="W260" s="7" t="n"/>
      <c r="X260" s="7" t="n"/>
      <c r="Y260" s="7" t="n"/>
      <c r="Z260" s="7" t="n"/>
      <c r="AA260" s="7" t="n"/>
      <c r="AB260" s="7" t="n"/>
      <c r="AC260" s="7" t="n"/>
      <c r="AD260" s="7" t="n"/>
      <c r="AE260" s="7" t="n"/>
      <c r="AF260" s="7" t="n"/>
      <c r="AG260" s="7" t="n"/>
      <c r="AH260" s="7" t="n"/>
      <c r="AI260" s="7" t="n"/>
      <c r="AJ260" s="7" t="n"/>
      <c r="AK260" s="7" t="n"/>
      <c r="AL260" s="7" t="n"/>
      <c r="AM260" s="7" t="n"/>
      <c r="AN260" s="7" t="n"/>
      <c r="AO260" s="7" t="n"/>
      <c r="AP260" s="7" t="n"/>
      <c r="AQ260" s="7" t="n"/>
      <c r="AR260" s="7" t="n"/>
      <c r="AS260" s="7" t="n"/>
      <c r="AT260" s="7" t="n"/>
      <c r="AU260" s="7" t="n"/>
      <c r="AV260" s="7" t="n"/>
      <c r="AW260" s="7" t="n"/>
      <c r="AX260" s="7" t="n"/>
      <c r="AY260" s="7" t="n"/>
      <c r="AZ260" s="7" t="n"/>
      <c r="BA260" s="7" t="n"/>
      <c r="BB260" s="7" t="n"/>
      <c r="BC260" s="7" t="n"/>
      <c r="BD260" s="7" t="n"/>
      <c r="BE260" s="7" t="n"/>
      <c r="BF260" s="7" t="n"/>
      <c r="BG260" s="7" t="n"/>
      <c r="BH260" s="7" t="n"/>
      <c r="BI260" s="28" t="inlineStr">
        <is>
          <t>O bloco macro acompanha o país e a moeda de reporte da instituição. Realizado é dado publicado e entra em verde; projetado é premissa sua e entra em amarelo. É a única seção do painel em que a coluna realizada recebe número.</t>
        </is>
      </c>
    </row>
    <row r="261">
      <c r="C261" s="11" t="inlineStr">
        <is>
          <t>Fed funds — teto da meta no fim do período (% a.a.) [FRED DFEDTARU]</t>
        </is>
      </c>
      <c r="D261" s="12" t="inlineStr">
        <is>
          <t>Fed funds target (upper), eop</t>
        </is>
      </c>
      <c r="E261" s="130" t="n">
        <v>0.0025</v>
      </c>
      <c r="F261" s="130" t="n">
        <v>0.0025</v>
      </c>
      <c r="G261" s="130" t="n">
        <v>0.0025</v>
      </c>
      <c r="H261" s="130" t="n">
        <v>0.0025</v>
      </c>
      <c r="I261" s="131">
        <f>IF(H261="","",H261)</f>
        <v>0.0025</v>
      </c>
      <c r="J261" s="130" t="n">
        <v>0.0025</v>
      </c>
      <c r="K261" s="130" t="n">
        <v>0.0025</v>
      </c>
      <c r="L261" s="130" t="n">
        <v>0.0025</v>
      </c>
      <c r="M261" s="130" t="n">
        <v>0.0025</v>
      </c>
      <c r="N261" s="131">
        <f>IF(M261="","",M261)</f>
        <v>0.0025</v>
      </c>
      <c r="O261" s="130" t="n">
        <v>0.005</v>
      </c>
      <c r="P261" s="130" t="n">
        <v>0.0175</v>
      </c>
      <c r="Q261" s="130" t="n">
        <v>0.0325</v>
      </c>
      <c r="R261" s="130" t="n">
        <v>0.045</v>
      </c>
      <c r="S261" s="131">
        <f>IF(R261="","",R261)</f>
        <v>0.045</v>
      </c>
      <c r="T261" s="130" t="n">
        <v>0.05</v>
      </c>
      <c r="U261" s="130" t="n">
        <v>0.0525</v>
      </c>
      <c r="V261" s="130" t="n">
        <v>0.055</v>
      </c>
      <c r="W261" s="130" t="n">
        <v>0.055</v>
      </c>
      <c r="X261" s="131">
        <f>IF(W261="","",W261)</f>
        <v>0.055</v>
      </c>
      <c r="Y261" s="130" t="n">
        <v>0.055</v>
      </c>
      <c r="Z261" s="130" t="n">
        <v>0.055</v>
      </c>
      <c r="AA261" s="130" t="n">
        <v>0.05</v>
      </c>
      <c r="AB261" s="130" t="n">
        <v>0.045</v>
      </c>
      <c r="AC261" s="131">
        <f>IF(AB261="","",AB261)</f>
        <v>0.045</v>
      </c>
      <c r="AD261" s="130" t="n">
        <v>0.045</v>
      </c>
      <c r="AE261" s="130" t="n">
        <v>0.045</v>
      </c>
      <c r="AF261" s="130" t="n">
        <v>0.0425</v>
      </c>
      <c r="AG261" s="130" t="n">
        <v>0.0375</v>
      </c>
      <c r="AH261" s="39">
        <f>IF(AG261="","",AG261)</f>
        <v>0.0375</v>
      </c>
      <c r="AI261" s="40" t="n">
        <v>0.0375</v>
      </c>
      <c r="AJ261" s="40" t="n">
        <v>0.0375</v>
      </c>
      <c r="AK261" s="40" t="n">
        <v>0.04</v>
      </c>
      <c r="AL261" s="40" t="n"/>
      <c r="AM261" s="39" t="str">
        <f>IF(AL261="","",AL261)</f>
        <v/>
      </c>
      <c r="AN261" s="40" t="n"/>
      <c r="AO261" s="40" t="n"/>
      <c r="AP261" s="40" t="n"/>
      <c r="AQ261" s="40" t="n"/>
      <c r="AR261" s="39" t="str">
        <f>IF(AQ261="","",AQ261)</f>
        <v/>
      </c>
      <c r="AS261" s="40" t="n"/>
      <c r="AT261" s="40" t="n"/>
      <c r="AU261" s="40" t="n"/>
      <c r="AV261" s="40" t="n"/>
      <c r="AW261" s="39" t="str">
        <f>IF(AV261="","",AV261)</f>
        <v/>
      </c>
      <c r="AX261" s="40" t="n"/>
      <c r="AY261" s="40" t="n"/>
      <c r="AZ261" s="40" t="n"/>
      <c r="BA261" s="40" t="n"/>
      <c r="BB261" s="39" t="str">
        <f>IF(BA261="","",BA261)</f>
        <v/>
      </c>
      <c r="BC261" s="40" t="n"/>
      <c r="BD261" s="40" t="n"/>
      <c r="BE261" s="40" t="n"/>
      <c r="BF261" s="40" t="n"/>
      <c r="BG261" s="39" t="str">
        <f>IF(BF261="","",BF261)</f>
        <v/>
      </c>
      <c r="BI261" s="14" t="inlineStr">
        <is>
          <t>Realizado 1T20-4T25: BCB SGS 432, meta Selic definida pelo Copom, valor do último dia útil do trimestre. Coluna anual = 4T.</t>
        </is>
      </c>
    </row>
    <row r="262">
      <c r="C262" s="11" t="inlineStr">
        <is>
          <t>Fed funds efetivo — média do período (% a.a.) [FRED DFF]</t>
        </is>
      </c>
      <c r="D262" s="12" t="inlineStr">
        <is>
          <t>Effective fed funds, period average</t>
        </is>
      </c>
      <c r="E262" s="130" t="n">
        <v>0.012549</v>
      </c>
      <c r="F262" s="130" t="n">
        <v>0.000588</v>
      </c>
      <c r="G262" s="130" t="n">
        <v>0.000926</v>
      </c>
      <c r="H262" s="130" t="n">
        <v>0.000888</v>
      </c>
      <c r="I262" s="131">
        <f>IF(COUNT(E262:H262)=0,"",AVERAGE(E262:H262))</f>
        <v>0.00373775</v>
      </c>
      <c r="J262" s="130" t="n">
        <v>0.000769</v>
      </c>
      <c r="K262" s="130" t="n">
        <v>0.000682</v>
      </c>
      <c r="L262" s="130" t="n">
        <v>0.0009</v>
      </c>
      <c r="M262" s="130" t="n">
        <v>0.000795</v>
      </c>
      <c r="N262" s="131">
        <f>IF(COUNT(J262:M262)=0,"",AVERAGE(J262:M262))</f>
        <v>0.0007865</v>
      </c>
      <c r="O262" s="130" t="n">
        <v>0.001214</v>
      </c>
      <c r="P262" s="130" t="n">
        <v>0.007668</v>
      </c>
      <c r="Q262" s="130" t="n">
        <v>0.021829</v>
      </c>
      <c r="R262" s="130" t="n">
        <v>0.036534</v>
      </c>
      <c r="S262" s="131">
        <f>IF(COUNT(O262:R262)=0,"",AVERAGE(O262:R262))</f>
        <v>0.01681125</v>
      </c>
      <c r="T262" s="130" t="n">
        <v>0.045146</v>
      </c>
      <c r="U262" s="130" t="n">
        <v>0.049881</v>
      </c>
      <c r="V262" s="130" t="n">
        <v>0.052592</v>
      </c>
      <c r="W262" s="130" t="n">
        <v>0.0533</v>
      </c>
      <c r="X262" s="131">
        <f>IF(COUNT(T262:W262)=0,"",AVERAGE(T262:W262))</f>
        <v>0.05022975</v>
      </c>
      <c r="Y262" s="130" t="n">
        <v>0.0533</v>
      </c>
      <c r="Z262" s="130" t="n">
        <v>0.0533</v>
      </c>
      <c r="AA262" s="130" t="n">
        <v>0.052648</v>
      </c>
      <c r="AB262" s="130" t="n">
        <v>0.046479</v>
      </c>
      <c r="AC262" s="131">
        <f>IF(COUNT(Y262:AB262)=0,"",AVERAGE(Y262:AB262))</f>
        <v>0.05143175</v>
      </c>
      <c r="AD262" s="130" t="n">
        <v>0.0433</v>
      </c>
      <c r="AE262" s="130" t="n">
        <v>0.0433</v>
      </c>
      <c r="AF262" s="130" t="n">
        <v>0.042957</v>
      </c>
      <c r="AG262" s="130" t="n">
        <v>0.038952</v>
      </c>
      <c r="AH262" s="39">
        <f>IF(COUNT(AD262:AG262)=0,"",AVERAGE(AD262:AG262))</f>
        <v>0.04212725</v>
      </c>
      <c r="AI262" s="40" t="n">
        <v>0.0364</v>
      </c>
      <c r="AJ262" s="40" t="n">
        <v>0.03631</v>
      </c>
      <c r="AK262" s="40" t="n">
        <v>0.036674</v>
      </c>
      <c r="AL262" s="40" t="n"/>
      <c r="AM262" s="39">
        <f>IF(COUNT(AI262:AL262)=0,"",AVERAGE(AI262:AL262))</f>
        <v>0.0364613333333333</v>
      </c>
      <c r="AN262" s="40" t="n"/>
      <c r="AO262" s="40" t="n"/>
      <c r="AP262" s="40" t="n"/>
      <c r="AQ262" s="40" t="n"/>
      <c r="AR262" s="39" t="str">
        <f>IF(COUNT(AN262:AQ262)=0,"",AVERAGE(AN262:AQ262))</f>
        <v/>
      </c>
      <c r="AS262" s="40" t="n"/>
      <c r="AT262" s="40" t="n"/>
      <c r="AU262" s="40" t="n"/>
      <c r="AV262" s="40" t="n"/>
      <c r="AW262" s="39" t="str">
        <f>IF(COUNT(AS262:AV262)=0,"",AVERAGE(AS262:AV262))</f>
        <v/>
      </c>
      <c r="AX262" s="40" t="n"/>
      <c r="AY262" s="40" t="n"/>
      <c r="AZ262" s="40" t="n"/>
      <c r="BA262" s="40" t="n"/>
      <c r="BB262" s="39" t="str">
        <f>IF(COUNT(AX262:BA262)=0,"",AVERAGE(AX262:BA262))</f>
        <v/>
      </c>
      <c r="BC262" s="40" t="n"/>
      <c r="BD262" s="40" t="n"/>
      <c r="BE262" s="40" t="n"/>
      <c r="BF262" s="40" t="n"/>
      <c r="BG262" s="39" t="str">
        <f>IF(COUNT(BC262:BF262)=0,"",AVERAGE(BC262:BF262))</f>
        <v/>
      </c>
      <c r="BI262" s="14" t="inlineStr">
        <is>
          <t>Realizado 1T20-4T25: BCB SGS 4189, Selic acumulada no mês anualizada base 252, média dos três meses. Fica abaixo da meta por construção.</t>
        </is>
      </c>
    </row>
    <row r="263">
      <c r="C263" s="11" t="inlineStr">
        <is>
          <t>Fed funds efetivo acumulado no trimestre (%) [derivado de DFF]</t>
        </is>
      </c>
      <c r="D263" s="12" t="inlineStr">
        <is>
          <t>Effective fed funds, quarterly</t>
        </is>
      </c>
      <c r="E263" s="132" t="n">
        <v>0.003123</v>
      </c>
      <c r="F263" s="132" t="n">
        <v>0.000147</v>
      </c>
      <c r="G263" s="132" t="n">
        <v>0.000231</v>
      </c>
      <c r="H263" s="132" t="n">
        <v>0.000222</v>
      </c>
      <c r="I263" s="133">
        <f>IF(COUNT(E263:H263)&lt;4,"",(1+E263)*(1+F263)*(1+G263)*(1+H263)-1)</f>
        <v>0.00372499204867949</v>
      </c>
      <c r="J263" s="132" t="n">
        <v>0.000192</v>
      </c>
      <c r="K263" s="132" t="n">
        <v>0.000171</v>
      </c>
      <c r="L263" s="132" t="n">
        <v>0.000225</v>
      </c>
      <c r="M263" s="132" t="n">
        <v>0.000199</v>
      </c>
      <c r="N263" s="133">
        <f>IF(COUNT(J263:M263)&lt;4,"",(1+J263)*(1+K263)*(1+L263)*(1+M263)-1)</f>
        <v>0.000787231549175482</v>
      </c>
      <c r="O263" s="132" t="n">
        <v>0.000303</v>
      </c>
      <c r="P263" s="132" t="n">
        <v>0.001912</v>
      </c>
      <c r="Q263" s="132" t="n">
        <v>0.005413</v>
      </c>
      <c r="R263" s="132" t="n">
        <v>0.009011</v>
      </c>
      <c r="S263" s="133">
        <f>IF(COUNT(O263:R263)&lt;4,"",(1+O263)*(1+P263)*(1+Q263)*(1+R263)-1)</f>
        <v>0.0167204214636429</v>
      </c>
      <c r="T263" s="132" t="n">
        <v>0.0111</v>
      </c>
      <c r="U263" s="132" t="n">
        <v>0.012244</v>
      </c>
      <c r="V263" s="132" t="n">
        <v>0.012896</v>
      </c>
      <c r="W263" s="132" t="n">
        <v>0.013067</v>
      </c>
      <c r="X263" s="133">
        <f>IF(COUNT(T263:W263)&lt;4,"",(1+T263)*(1+U263)*(1+V263)*(1+W263)-1)</f>
        <v>0.050224985940865</v>
      </c>
      <c r="Y263" s="132" t="n">
        <v>0.013067</v>
      </c>
      <c r="Z263" s="132" t="n">
        <v>0.013067</v>
      </c>
      <c r="AA263" s="132" t="n">
        <v>0.01291</v>
      </c>
      <c r="AB263" s="132" t="n">
        <v>0.011423</v>
      </c>
      <c r="AC263" s="133">
        <f>IF(COUNT(Y263:AB263)&lt;4,"",(1+Y263)*(1+Z263)*(1+AA263)*(1+AB263)-1)</f>
        <v>0.0514291700007448</v>
      </c>
      <c r="AD263" s="132" t="n">
        <v>0.010654</v>
      </c>
      <c r="AE263" s="132" t="n">
        <v>0.010654</v>
      </c>
      <c r="AF263" s="132" t="n">
        <v>0.01057</v>
      </c>
      <c r="AG263" s="132" t="n">
        <v>0.009599</v>
      </c>
      <c r="AH263" s="41">
        <f>IF(COUNT(AD263:AG263)&lt;4,"",(1+AD263)*(1+AE263)*(1+AF263)*(1+AG263)-1)</f>
        <v>0.0421261929919292</v>
      </c>
      <c r="AI263" s="42" t="n">
        <v>0.008978</v>
      </c>
      <c r="AJ263" s="42" t="n">
        <v>0.008956</v>
      </c>
      <c r="AK263" s="42" t="n">
        <v>0.009044999999999999</v>
      </c>
      <c r="AL263" s="42" t="n"/>
      <c r="AM263" s="41" t="str">
        <f>IF(COUNT(AI263:AL263)&lt;4,"",(1+AI263)*(1+AJ263)*(1+AK263)*(1+AL263)-1)</f>
        <v/>
      </c>
      <c r="AN263" s="42" t="n"/>
      <c r="AO263" s="42" t="n"/>
      <c r="AP263" s="42" t="n"/>
      <c r="AQ263" s="42" t="n"/>
      <c r="AR263" s="41" t="str">
        <f>IF(COUNT(AN263:AQ263)&lt;4,"",(1+AN263)*(1+AO263)*(1+AP263)*(1+AQ263)-1)</f>
        <v/>
      </c>
      <c r="AS263" s="42" t="n"/>
      <c r="AT263" s="42" t="n"/>
      <c r="AU263" s="42" t="n"/>
      <c r="AV263" s="42" t="n"/>
      <c r="AW263" s="41" t="str">
        <f>IF(COUNT(AS263:AV263)&lt;4,"",(1+AS263)*(1+AT263)*(1+AU263)*(1+AV263)-1)</f>
        <v/>
      </c>
      <c r="AX263" s="42" t="n"/>
      <c r="AY263" s="42" t="n"/>
      <c r="AZ263" s="42" t="n"/>
      <c r="BA263" s="42" t="n"/>
      <c r="BB263" s="41" t="str">
        <f>IF(COUNT(AX263:BA263)&lt;4,"",(1+AX263)*(1+AY263)*(1+AZ263)*(1+BA263)-1)</f>
        <v/>
      </c>
      <c r="BC263" s="42" t="n"/>
      <c r="BD263" s="42" t="n"/>
      <c r="BE263" s="42" t="n"/>
      <c r="BF263" s="42" t="n"/>
      <c r="BG263" s="41" t="str">
        <f>IF(COUNT(BC263:BF263)&lt;4,"",(1+BC263)*(1+BD263)*(1+BE263)*(1+BF263)-1)</f>
        <v/>
      </c>
      <c r="BI263" s="14" t="inlineStr">
        <is>
          <t>Realizado 1T20-4T25: BCB SGS 4390, CDI acumulado no mês, composto nos três meses. Coluna anual compõe os quatro trimestres, não tira média.</t>
        </is>
      </c>
    </row>
    <row r="264">
      <c r="C264" s="11" t="inlineStr">
        <is>
          <t>CPI no trimestre (%) [FRED CPIAUCSL]</t>
        </is>
      </c>
      <c r="D264" s="12" t="inlineStr">
        <is>
          <t>CPI, quarterly</t>
        </is>
      </c>
      <c r="E264" s="132" t="n">
        <v>-0.002142</v>
      </c>
      <c r="F264" s="132" t="n">
        <v>-0.004007</v>
      </c>
      <c r="G264" s="132" t="n">
        <v>0.011496</v>
      </c>
      <c r="H264" s="132" t="n">
        <v>0.007877</v>
      </c>
      <c r="I264" s="133">
        <f>IF(COUNT(E264:H264)&lt;4,"",(1+E264)*(1+F264)*(1+G264)*(1+H264)-1)</f>
        <v>0.0132036226480703</v>
      </c>
      <c r="J264" s="132" t="n">
        <v>0.011128</v>
      </c>
      <c r="K264" s="132" t="n">
        <v>0.021486</v>
      </c>
      <c r="L264" s="132" t="n">
        <v>0.01203</v>
      </c>
      <c r="M264" s="132" t="n">
        <v>0.025319</v>
      </c>
      <c r="N264" s="133">
        <f>IF(COUNT(J264:M264)&lt;4,"",(1+J264)*(1+K264)*(1+L264)*(1+M264)-1)</f>
        <v>0.0717437207130134</v>
      </c>
      <c r="O264" s="132" t="n">
        <v>0.024316</v>
      </c>
      <c r="P264" s="132" t="n">
        <v>0.025317</v>
      </c>
      <c r="Q264" s="132" t="n">
        <v>0.004719</v>
      </c>
      <c r="R264" s="132" t="n">
        <v>0.008378999999999999</v>
      </c>
      <c r="S264" s="133">
        <f>IF(COUNT(O264:R264)&lt;4,"",(1+O264)*(1+P264)*(1+Q264)*(1+R264)-1)</f>
        <v>0.0640462917979783</v>
      </c>
      <c r="T264" s="132" t="n">
        <v>0.010002</v>
      </c>
      <c r="U264" s="132" t="n">
        <v>0.007266</v>
      </c>
      <c r="V264" s="132" t="n">
        <v>0.01073</v>
      </c>
      <c r="W264" s="132" t="n">
        <v>0.004768</v>
      </c>
      <c r="X264" s="133">
        <f>IF(COUNT(T264:W264)&lt;4,"",(1+T264)*(1+U264)*(1+V264)*(1+W264)-1)</f>
        <v>0.0331594681059042</v>
      </c>
      <c r="Y264" s="132" t="n">
        <v>0.011673</v>
      </c>
      <c r="Z264" s="132" t="n">
        <v>0.002238</v>
      </c>
      <c r="AA264" s="132" t="n">
        <v>0.005392</v>
      </c>
      <c r="AB264" s="132" t="n">
        <v>0.009124999999999999</v>
      </c>
      <c r="AC264" s="133">
        <f>IF(COUNT(Y264:AB264)&lt;4,"",(1+Y264)*(1+Z264)*(1+AA264)*(1+AB264)-1)</f>
        <v>0.0287063371400178</v>
      </c>
      <c r="AD264" s="132" t="n">
        <v>0.006867</v>
      </c>
      <c r="AE264" s="132" t="n">
        <v>0.00516</v>
      </c>
      <c r="AF264" s="132" t="n">
        <v>0.008742</v>
      </c>
      <c r="AG264" s="132" t="n">
        <v>0.005508</v>
      </c>
      <c r="AH264" s="41">
        <f>IF(COUNT(AD264:AG264)&lt;4,"",(1+AD264)*(1+AE264)*(1+AF264)*(1+AG264)-1)</f>
        <v>0.026533055153984</v>
      </c>
      <c r="AI264" s="42" t="n">
        <v>0.013072</v>
      </c>
      <c r="AJ264" s="42" t="n">
        <v>0.006888</v>
      </c>
      <c r="AK264" s="42" t="n">
        <v>0.011216</v>
      </c>
      <c r="AL264" s="42" t="n"/>
      <c r="AM264" s="41" t="str">
        <f>IF(COUNT(AI264:AL264)&lt;4,"",(1+AI264)*(1+AJ264)*(1+AK264)*(1+AL264)-1)</f>
        <v/>
      </c>
      <c r="AN264" s="42" t="n"/>
      <c r="AO264" s="42" t="n"/>
      <c r="AP264" s="42" t="n"/>
      <c r="AQ264" s="42" t="n"/>
      <c r="AR264" s="41" t="str">
        <f>IF(COUNT(AN264:AQ264)&lt;4,"",(1+AN264)*(1+AO264)*(1+AP264)*(1+AQ264)-1)</f>
        <v/>
      </c>
      <c r="AS264" s="42" t="n"/>
      <c r="AT264" s="42" t="n"/>
      <c r="AU264" s="42" t="n"/>
      <c r="AV264" s="42" t="n"/>
      <c r="AW264" s="41" t="str">
        <f>IF(COUNT(AS264:AV264)&lt;4,"",(1+AS264)*(1+AT264)*(1+AU264)*(1+AV264)-1)</f>
        <v/>
      </c>
      <c r="AX264" s="42" t="n"/>
      <c r="AY264" s="42" t="n"/>
      <c r="AZ264" s="42" t="n"/>
      <c r="BA264" s="42" t="n"/>
      <c r="BB264" s="41" t="str">
        <f>IF(COUNT(AX264:BA264)&lt;4,"",(1+AX264)*(1+AY264)*(1+AZ264)*(1+BA264)-1)</f>
        <v/>
      </c>
      <c r="BC264" s="42" t="n"/>
      <c r="BD264" s="42" t="n"/>
      <c r="BE264" s="42" t="n"/>
      <c r="BF264" s="42" t="n"/>
      <c r="BG264" s="41" t="str">
        <f>IF(COUNT(BC264:BF264)&lt;4,"",(1+BC264)*(1+BD264)*(1+BE264)*(1+BF264)-1)</f>
        <v/>
      </c>
      <c r="BI264" s="14" t="inlineStr">
        <is>
          <t>Realizado 1T20-4T25: BCB SGS 433, IPCA mensal composto nos três meses. Coluna anual compõe os quatro trimestres e reproduz o IPCA do ano.</t>
        </is>
      </c>
    </row>
    <row r="265">
      <c r="C265" s="11" t="inlineStr">
        <is>
          <t>CPI 12 meses (%) [FRED CPIAUCSL]</t>
        </is>
      </c>
      <c r="D265" s="12" t="inlineStr">
        <is>
          <t>CPI, 12m</t>
        </is>
      </c>
      <c r="E265" s="130" t="n">
        <v>0.01494</v>
      </c>
      <c r="F265" s="130" t="n">
        <v>0.007167</v>
      </c>
      <c r="G265" s="130" t="n">
        <v>0.01391</v>
      </c>
      <c r="H265" s="130" t="n">
        <v>0.013204</v>
      </c>
      <c r="I265" s="131">
        <f>IF(H265="","",H265)</f>
        <v>0.013204</v>
      </c>
      <c r="J265" s="130" t="n">
        <v>0.026678</v>
      </c>
      <c r="K265" s="130" t="n">
        <v>0.052956</v>
      </c>
      <c r="L265" s="130" t="n">
        <v>0.053512</v>
      </c>
      <c r="M265" s="130" t="n">
        <v>0.071743</v>
      </c>
      <c r="N265" s="131">
        <f>IF(M265="","",M265)</f>
        <v>0.071743</v>
      </c>
      <c r="O265" s="130" t="n">
        <v>0.08572200000000001</v>
      </c>
      <c r="P265" s="130" t="n">
        <v>0.089794</v>
      </c>
      <c r="Q265" s="130" t="n">
        <v>0.08192099999999999</v>
      </c>
      <c r="R265" s="130" t="n">
        <v>0.06404600000000001</v>
      </c>
      <c r="S265" s="131">
        <f>IF(R265="","",R265)</f>
        <v>0.064046</v>
      </c>
      <c r="T265" s="130" t="n">
        <v>0.049177</v>
      </c>
      <c r="U265" s="130" t="n">
        <v>0.030706</v>
      </c>
      <c r="V265" s="130" t="n">
        <v>0.036872</v>
      </c>
      <c r="W265" s="130" t="n">
        <v>0.033159</v>
      </c>
      <c r="X265" s="131">
        <f>IF(W265="","",W265)</f>
        <v>0.033159</v>
      </c>
      <c r="Y265" s="130" t="n">
        <v>0.034868</v>
      </c>
      <c r="Z265" s="130" t="n">
        <v>0.029703</v>
      </c>
      <c r="AA265" s="130" t="n">
        <v>0.024265</v>
      </c>
      <c r="AB265" s="130" t="n">
        <v>0.028707</v>
      </c>
      <c r="AC265" s="131">
        <f>IF(AB265="","",AB265)</f>
        <v>0.028707</v>
      </c>
      <c r="AD265" s="130" t="n">
        <v>0.02382</v>
      </c>
      <c r="AE265" s="130" t="n">
        <v>0.026805</v>
      </c>
      <c r="AF265" s="130" t="n">
        <v>0.030226</v>
      </c>
      <c r="AG265" s="130" t="n">
        <v>0.026533</v>
      </c>
      <c r="AH265" s="39">
        <f>IF(AG265="","",AG265)</f>
        <v>0.026533</v>
      </c>
      <c r="AI265" s="40" t="n">
        <v>0.03286</v>
      </c>
      <c r="AJ265" s="40" t="n">
        <v>0.034635</v>
      </c>
      <c r="AK265" s="40" t="n">
        <v>0.037173</v>
      </c>
      <c r="AL265" s="40" t="n"/>
      <c r="AM265" s="39" t="str">
        <f>IF(AL265="","",AL265)</f>
        <v/>
      </c>
      <c r="AN265" s="40" t="n"/>
      <c r="AO265" s="40" t="n"/>
      <c r="AP265" s="40" t="n"/>
      <c r="AQ265" s="40" t="n"/>
      <c r="AR265" s="39" t="str">
        <f>IF(AQ265="","",AQ265)</f>
        <v/>
      </c>
      <c r="AS265" s="40" t="n"/>
      <c r="AT265" s="40" t="n"/>
      <c r="AU265" s="40" t="n"/>
      <c r="AV265" s="40" t="n"/>
      <c r="AW265" s="39" t="str">
        <f>IF(AV265="","",AV265)</f>
        <v/>
      </c>
      <c r="AX265" s="40" t="n"/>
      <c r="AY265" s="40" t="n"/>
      <c r="AZ265" s="40" t="n"/>
      <c r="BA265" s="40" t="n"/>
      <c r="BB265" s="39" t="str">
        <f>IF(BA265="","",BA265)</f>
        <v/>
      </c>
      <c r="BC265" s="40" t="n"/>
      <c r="BD265" s="40" t="n"/>
      <c r="BE265" s="40" t="n"/>
      <c r="BF265" s="40" t="n"/>
      <c r="BG265" s="39" t="str">
        <f>IF(BF265="","",BF265)</f>
        <v/>
      </c>
      <c r="BI265" s="14" t="inlineStr">
        <is>
          <t>Realizado 1T20-4T25: BCB SGS 13522, IPCA acumulado em 12 meses, valor do último mês do trimestre. Coluna anual = 4T.</t>
        </is>
      </c>
    </row>
    <row r="266">
      <c r="C266" s="11" t="inlineStr">
        <is>
          <t>PIB real (% YoY) [FRED GDPC1]</t>
        </is>
      </c>
      <c r="D266" s="12" t="inlineStr">
        <is>
          <t>Real GDP growth, YoY</t>
        </is>
      </c>
      <c r="E266" s="130" t="n">
        <v>0.013585</v>
      </c>
      <c r="F266" s="130" t="n">
        <v>-0.073986</v>
      </c>
      <c r="G266" s="130" t="n">
        <v>-0.013647</v>
      </c>
      <c r="H266" s="130" t="n">
        <v>-0.009221999999999999</v>
      </c>
      <c r="I266" s="131">
        <f>IF(COUNT(E266:H266)=0,"",AVERAGE(E266:H266))</f>
        <v>-0.0208175</v>
      </c>
      <c r="J266" s="130" t="n">
        <v>0.01919</v>
      </c>
      <c r="K266" s="130" t="n">
        <v>0.125594</v>
      </c>
      <c r="L266" s="130" t="n">
        <v>0.052668</v>
      </c>
      <c r="M266" s="130" t="n">
        <v>0.058182</v>
      </c>
      <c r="N266" s="131">
        <f>IF(COUNT(J266:M266)=0,"",AVERAGE(J266:M266))</f>
        <v>0.0639085</v>
      </c>
      <c r="O266" s="130" t="n">
        <v>0.039754</v>
      </c>
      <c r="P266" s="130" t="n">
        <v>0.023387</v>
      </c>
      <c r="Q266" s="130" t="n">
        <v>0.022305</v>
      </c>
      <c r="R266" s="130" t="n">
        <v>0.012313</v>
      </c>
      <c r="S266" s="131">
        <f>IF(COUNT(O266:R266)=0,"",AVERAGE(O266:R266))</f>
        <v>0.02443975</v>
      </c>
      <c r="T266" s="130" t="n">
        <v>0.023296</v>
      </c>
      <c r="U266" s="130" t="n">
        <v>0.02736</v>
      </c>
      <c r="V266" s="130" t="n">
        <v>0.031839</v>
      </c>
      <c r="W266" s="130" t="n">
        <v>0.034154</v>
      </c>
      <c r="X266" s="131">
        <f>IF(COUNT(T266:W266)=0,"",AVERAGE(T266:W266))</f>
        <v>0.02916225</v>
      </c>
      <c r="Y266" s="130" t="n">
        <v>0.029347</v>
      </c>
      <c r="Z266" s="130" t="n">
        <v>0.032887</v>
      </c>
      <c r="AA266" s="130" t="n">
        <v>0.029479</v>
      </c>
      <c r="AB266" s="130" t="n">
        <v>0.026419</v>
      </c>
      <c r="AC266" s="131">
        <f>IF(COUNT(Y266:AB266)=0,"",AVERAGE(Y266:AB266))</f>
        <v>0.029533</v>
      </c>
      <c r="AD266" s="130" t="n">
        <v>0.023111</v>
      </c>
      <c r="AE266" s="130" t="n">
        <v>0.024206</v>
      </c>
      <c r="AF266" s="130" t="n">
        <v>0.026007</v>
      </c>
      <c r="AG266" s="130" t="n">
        <v>0.02046</v>
      </c>
      <c r="AH266" s="39">
        <f>IF(COUNT(AD266:AG266)=0,"",AVERAGE(AD266:AG266))</f>
        <v>0.023446</v>
      </c>
      <c r="AI266" s="40" t="n">
        <v>0.026392</v>
      </c>
      <c r="AJ266" s="40" t="n">
        <v>0.021916</v>
      </c>
      <c r="AK266" s="40" t="n"/>
      <c r="AL266" s="40" t="n"/>
      <c r="AM266" s="39">
        <f>IF(COUNT(AI266:AL266)=0,"",AVERAGE(AI266:AL266))</f>
        <v>0.024154</v>
      </c>
      <c r="AN266" s="40" t="n"/>
      <c r="AO266" s="40" t="n"/>
      <c r="AP266" s="40" t="n"/>
      <c r="AQ266" s="40" t="n"/>
      <c r="AR266" s="39" t="str">
        <f>IF(COUNT(AN266:AQ266)=0,"",AVERAGE(AN266:AQ266))</f>
        <v/>
      </c>
      <c r="AS266" s="40" t="n"/>
      <c r="AT266" s="40" t="n"/>
      <c r="AU266" s="40" t="n"/>
      <c r="AV266" s="40" t="n"/>
      <c r="AW266" s="39" t="str">
        <f>IF(COUNT(AS266:AV266)=0,"",AVERAGE(AS266:AV266))</f>
        <v/>
      </c>
      <c r="AX266" s="40" t="n"/>
      <c r="AY266" s="40" t="n"/>
      <c r="AZ266" s="40" t="n"/>
      <c r="BA266" s="40" t="n"/>
      <c r="BB266" s="39" t="str">
        <f>IF(COUNT(AX266:BA266)=0,"",AVERAGE(AX266:BA266))</f>
        <v/>
      </c>
      <c r="BC266" s="40" t="n"/>
      <c r="BD266" s="40" t="n"/>
      <c r="BE266" s="40" t="n"/>
      <c r="BF266" s="40" t="n"/>
      <c r="BG266" s="39" t="str">
        <f>IF(COUNT(BC266:BF266)=0,"",AVERAGE(BC266:BF266))</f>
        <v/>
      </c>
      <c r="BI266" s="14" t="inlineStr">
        <is>
          <t>Realizado 1T20-4T25: IBGE, Contas Nacionais Trimestrais, tabela 5932, variável 6561, PIB a preços de mercado, variação contra o mesmo trimestre do ano anterior. Coluna anual é a média dos quatro trimestres, aproximação do fechado do ano.</t>
        </is>
      </c>
    </row>
    <row r="267">
      <c r="C267" s="11" t="inlineStr">
        <is>
          <t>Treasury 10 anos — fim do período (% a.a.) [FRED DGS10]</t>
        </is>
      </c>
      <c r="D267" s="12" t="inlineStr">
        <is>
          <t>UST 10y, eop</t>
        </is>
      </c>
      <c r="E267" s="134" t="n">
        <v>0.007</v>
      </c>
      <c r="F267" s="134" t="n">
        <v>0.0066</v>
      </c>
      <c r="G267" s="134" t="n">
        <v>0.0069</v>
      </c>
      <c r="H267" s="134" t="n">
        <v>0.009299999999999999</v>
      </c>
      <c r="I267" s="135">
        <f>IF(H267="","",H267)</f>
        <v>0.0093</v>
      </c>
      <c r="J267" s="134" t="n">
        <v>0.0174</v>
      </c>
      <c r="K267" s="134" t="n">
        <v>0.0145</v>
      </c>
      <c r="L267" s="134" t="n">
        <v>0.0152</v>
      </c>
      <c r="M267" s="134" t="n">
        <v>0.0152</v>
      </c>
      <c r="N267" s="135">
        <f>IF(M267="","",M267)</f>
        <v>0.0152</v>
      </c>
      <c r="O267" s="134" t="n">
        <v>0.0232</v>
      </c>
      <c r="P267" s="134" t="n">
        <v>0.0298</v>
      </c>
      <c r="Q267" s="134" t="n">
        <v>0.0383</v>
      </c>
      <c r="R267" s="134" t="n">
        <v>0.0388</v>
      </c>
      <c r="S267" s="135">
        <f>IF(R267="","",R267)</f>
        <v>0.0388</v>
      </c>
      <c r="T267" s="134" t="n">
        <v>0.0348</v>
      </c>
      <c r="U267" s="134" t="n">
        <v>0.0381</v>
      </c>
      <c r="V267" s="134" t="n">
        <v>0.0459</v>
      </c>
      <c r="W267" s="134" t="n">
        <v>0.0388</v>
      </c>
      <c r="X267" s="135">
        <f>IF(W267="","",W267)</f>
        <v>0.0388</v>
      </c>
      <c r="Y267" s="134" t="n">
        <v>0.042</v>
      </c>
      <c r="Z267" s="134" t="n">
        <v>0.0436</v>
      </c>
      <c r="AA267" s="134" t="n">
        <v>0.0381</v>
      </c>
      <c r="AB267" s="134" t="n">
        <v>0.0458</v>
      </c>
      <c r="AC267" s="135">
        <f>IF(AB267="","",AB267)</f>
        <v>0.0458</v>
      </c>
      <c r="AD267" s="134" t="n">
        <v>0.0423</v>
      </c>
      <c r="AE267" s="134" t="n">
        <v>0.0424</v>
      </c>
      <c r="AF267" s="134" t="n">
        <v>0.0416</v>
      </c>
      <c r="AG267" s="134" t="n">
        <v>0.0418</v>
      </c>
      <c r="AH267" s="43">
        <f>IF(AG267="","",AG267)</f>
        <v>0.0418</v>
      </c>
      <c r="AI267" s="44" t="n">
        <v>0.043</v>
      </c>
      <c r="AJ267" s="44" t="n">
        <v>0.0444</v>
      </c>
      <c r="AK267" s="44" t="n">
        <v>0.0529</v>
      </c>
      <c r="AL267" s="44" t="n"/>
      <c r="AM267" s="43" t="str">
        <f>IF(AL267="","",AL267)</f>
        <v/>
      </c>
      <c r="AN267" s="44" t="n"/>
      <c r="AO267" s="44" t="n"/>
      <c r="AP267" s="44" t="n"/>
      <c r="AQ267" s="44" t="n"/>
      <c r="AR267" s="43" t="str">
        <f>IF(AQ267="","",AQ267)</f>
        <v/>
      </c>
      <c r="AS267" s="44" t="n"/>
      <c r="AT267" s="44" t="n"/>
      <c r="AU267" s="44" t="n"/>
      <c r="AV267" s="44" t="n"/>
      <c r="AW267" s="43" t="str">
        <f>IF(AV267="","",AV267)</f>
        <v/>
      </c>
      <c r="AX267" s="44" t="n"/>
      <c r="AY267" s="44" t="n"/>
      <c r="AZ267" s="44" t="n"/>
      <c r="BA267" s="44" t="n"/>
      <c r="BB267" s="43" t="str">
        <f>IF(BA267="","",BA267)</f>
        <v/>
      </c>
      <c r="BC267" s="44" t="n"/>
      <c r="BD267" s="44" t="n"/>
      <c r="BE267" s="44" t="n"/>
      <c r="BF267" s="44" t="n"/>
      <c r="BG267" s="43" t="str">
        <f>IF(BF267="","",BF267)</f>
        <v/>
      </c>
      <c r="BI267" s="14" t="inlineStr">
        <is>
          <t>Realizado 1T20-4T25: BCB SGS 3695, dólar venda fim de período, valor do último mês do trimestre. Coluna anual = 4T.</t>
        </is>
      </c>
    </row>
    <row r="268">
      <c r="C268" s="11" t="inlineStr">
        <is>
          <t>SOFR — média do período (% a.a.) [FRED SOFR]</t>
        </is>
      </c>
      <c r="D268" s="12" t="inlineStr">
        <is>
          <t>SOFR, period average</t>
        </is>
      </c>
      <c r="E268" s="130" t="n">
        <v>0.012266</v>
      </c>
      <c r="F268" s="130" t="n">
        <v>0.000486</v>
      </c>
      <c r="G268" s="130" t="n">
        <v>0.000925</v>
      </c>
      <c r="H268" s="130" t="n">
        <v>0.000852</v>
      </c>
      <c r="I268" s="131">
        <f>IF(H268="","",H268)</f>
        <v>0.000852</v>
      </c>
      <c r="J268" s="130" t="n">
        <v>0.000408</v>
      </c>
      <c r="K268" s="130" t="n">
        <v>0.000163</v>
      </c>
      <c r="L268" s="130" t="n">
        <v>0.0005</v>
      </c>
      <c r="M268" s="130" t="n">
        <v>0.000487</v>
      </c>
      <c r="N268" s="131">
        <f>IF(M268="","",M268)</f>
        <v>0.000487</v>
      </c>
      <c r="O268" s="130" t="n">
        <v>0.000905</v>
      </c>
      <c r="P268" s="130" t="n">
        <v>0.007063</v>
      </c>
      <c r="Q268" s="130" t="n">
        <v>0.021469</v>
      </c>
      <c r="R268" s="130" t="n">
        <v>0.036156</v>
      </c>
      <c r="S268" s="131">
        <f>IF(R268="","",R268)</f>
        <v>0.036156</v>
      </c>
      <c r="T268" s="130" t="n">
        <v>0.044989</v>
      </c>
      <c r="U268" s="130" t="n">
        <v>0.049677</v>
      </c>
      <c r="V268" s="130" t="n">
        <v>0.05237</v>
      </c>
      <c r="W268" s="130" t="n">
        <v>0.053218</v>
      </c>
      <c r="X268" s="131">
        <f>IF(W268="","",W268)</f>
        <v>0.053218</v>
      </c>
      <c r="Y268" s="130" t="n">
        <v>0.053144</v>
      </c>
      <c r="Z268" s="130" t="n">
        <v>0.053186</v>
      </c>
      <c r="AA268" s="130" t="n">
        <v>0.052778</v>
      </c>
      <c r="AB268" s="130" t="n">
        <v>0.046787</v>
      </c>
      <c r="AC268" s="131">
        <f>IF(AB268="","",AB268)</f>
        <v>0.046787</v>
      </c>
      <c r="AD268" s="130" t="n">
        <v>0.043282</v>
      </c>
      <c r="AE268" s="130" t="n">
        <v>0.043235</v>
      </c>
      <c r="AF268" s="130" t="n">
        <v>0.04327</v>
      </c>
      <c r="AG268" s="130" t="n">
        <v>0.039939</v>
      </c>
      <c r="AH268" s="39">
        <f>IF(AG268="","",AG268)</f>
        <v>0.039939</v>
      </c>
      <c r="AI268" s="40" t="n">
        <v>0.036577</v>
      </c>
      <c r="AJ268" s="40" t="n">
        <v>0.03619</v>
      </c>
      <c r="AK268" s="40" t="n">
        <v>0.036698</v>
      </c>
      <c r="AL268" s="40" t="n"/>
      <c r="AM268" s="39" t="str">
        <f>IF(AL268="","",AL268)</f>
        <v/>
      </c>
      <c r="AN268" s="40" t="n"/>
      <c r="AO268" s="40" t="n"/>
      <c r="AP268" s="40" t="n"/>
      <c r="AQ268" s="40" t="n"/>
      <c r="AR268" s="39" t="str">
        <f>IF(AQ268="","",AQ268)</f>
        <v/>
      </c>
      <c r="AS268" s="40" t="n"/>
      <c r="AT268" s="40" t="n"/>
      <c r="AU268" s="40" t="n"/>
      <c r="AV268" s="40" t="n"/>
      <c r="AW268" s="39" t="str">
        <f>IF(AV268="","",AV268)</f>
        <v/>
      </c>
      <c r="AX268" s="40" t="n"/>
      <c r="AY268" s="40" t="n"/>
      <c r="AZ268" s="40" t="n"/>
      <c r="BA268" s="40" t="n"/>
      <c r="BB268" s="39" t="str">
        <f>IF(BA268="","",BA268)</f>
        <v/>
      </c>
      <c r="BC268" s="40" t="n"/>
      <c r="BD268" s="40" t="n"/>
      <c r="BE268" s="40" t="n"/>
      <c r="BF268" s="40" t="n"/>
      <c r="BG268" s="39" t="str">
        <f>IF(BF268="","",BF268)</f>
        <v/>
      </c>
      <c r="BI268" s="14" t="inlineStr">
        <is>
          <t>Realizado 1T20-4T25: BCB SGS 27572, componente de juros reais prefixados da TLP. A TLP nominal soma o IPCA pro rata a esta taxa. Coluna anual = 4T.</t>
        </is>
      </c>
    </row>
    <row r="270">
      <c r="B270" s="7" t="n"/>
      <c r="C270" s="7" t="inlineStr">
        <is>
          <t>DRIVERS — CRÉDITO, TESOURARIA E FUNDING</t>
        </is>
      </c>
      <c r="D270" s="7" t="inlineStr">
        <is>
          <t>DRIVERS — LOANS, TREASURY &amp; FUNDING</t>
        </is>
      </c>
      <c r="E270" s="7" t="n"/>
      <c r="F270" s="7" t="n"/>
      <c r="G270" s="7" t="n"/>
      <c r="H270" s="7" t="n"/>
      <c r="I270" s="7" t="n"/>
      <c r="J270" s="7" t="n"/>
      <c r="K270" s="7" t="n"/>
      <c r="L270" s="7" t="n"/>
      <c r="M270" s="7" t="n"/>
      <c r="N270" s="7" t="n"/>
      <c r="O270" s="7" t="n"/>
      <c r="P270" s="7" t="n"/>
      <c r="Q270" s="7" t="n"/>
      <c r="R270" s="7" t="n"/>
      <c r="S270" s="7" t="n"/>
      <c r="T270" s="7" t="n"/>
      <c r="U270" s="7" t="n"/>
      <c r="V270" s="7" t="n"/>
      <c r="W270" s="7" t="n"/>
      <c r="X270" s="7" t="n"/>
      <c r="Y270" s="7" t="n"/>
      <c r="Z270" s="7" t="n"/>
      <c r="AA270" s="7" t="n"/>
      <c r="AB270" s="7" t="n"/>
      <c r="AC270" s="7" t="n"/>
      <c r="AD270" s="7" t="n"/>
      <c r="AE270" s="7" t="n"/>
      <c r="AF270" s="7" t="n"/>
      <c r="AG270" s="7" t="n"/>
      <c r="AH270" s="7" t="n"/>
      <c r="AI270" s="7" t="n"/>
      <c r="AJ270" s="7" t="n"/>
      <c r="AK270" s="7" t="n"/>
      <c r="AL270" s="7" t="n"/>
      <c r="AM270" s="7" t="n"/>
      <c r="AN270" s="7" t="n"/>
      <c r="AO270" s="7" t="n"/>
      <c r="AP270" s="7" t="n"/>
      <c r="AQ270" s="7" t="n"/>
      <c r="AR270" s="7" t="n"/>
      <c r="AS270" s="7" t="n"/>
      <c r="AT270" s="7" t="n"/>
      <c r="AU270" s="7" t="n"/>
      <c r="AV270" s="7" t="n"/>
      <c r="AW270" s="7" t="n"/>
      <c r="AX270" s="7" t="n"/>
      <c r="AY270" s="7" t="n"/>
      <c r="AZ270" s="7" t="n"/>
      <c r="BA270" s="7" t="n"/>
      <c r="BB270" s="7" t="n"/>
      <c r="BC270" s="7" t="n"/>
      <c r="BD270" s="7" t="n"/>
      <c r="BE270" s="7" t="n"/>
      <c r="BF270" s="7" t="n"/>
      <c r="BG270" s="7" t="n"/>
      <c r="BH270" s="7" t="n"/>
      <c r="BI270" s="7" t="n"/>
    </row>
    <row r="271">
      <c r="C271" s="11" t="inlineStr">
        <is>
          <t>Carteira de crédito — crescimento % QoQ</t>
        </is>
      </c>
      <c r="D271" s="12" t="inlineStr">
        <is>
          <t>Loan growth QoQ</t>
        </is>
      </c>
      <c r="E271" s="40" t="n"/>
      <c r="F271" s="40" t="n"/>
      <c r="G271" s="40" t="n"/>
      <c r="H271" s="40" t="n"/>
      <c r="I271" s="39" t="str">
        <f>IF(COUNT(E271:H271)=0,"",AVERAGE(E271:H271))</f>
        <v/>
      </c>
      <c r="J271" s="40" t="n"/>
      <c r="K271" s="40" t="n"/>
      <c r="L271" s="40" t="n"/>
      <c r="M271" s="40" t="n"/>
      <c r="N271" s="39" t="str">
        <f>IF(COUNT(J271:M271)=0,"",AVERAGE(J271:M271))</f>
        <v/>
      </c>
      <c r="O271" s="40" t="n"/>
      <c r="P271" s="40" t="n"/>
      <c r="Q271" s="40" t="n"/>
      <c r="R271" s="40" t="n"/>
      <c r="S271" s="39" t="str">
        <f>IF(COUNT(O271:R271)=0,"",AVERAGE(O271:R271))</f>
        <v/>
      </c>
      <c r="T271" s="40" t="n"/>
      <c r="U271" s="40" t="n"/>
      <c r="V271" s="40" t="n"/>
      <c r="W271" s="40" t="n"/>
      <c r="X271" s="39" t="str">
        <f>IF(COUNT(T271:W271)=0,"",AVERAGE(T271:W271))</f>
        <v/>
      </c>
      <c r="Y271" s="40" t="n"/>
      <c r="Z271" s="40" t="n"/>
      <c r="AA271" s="40" t="n"/>
      <c r="AB271" s="40" t="n"/>
      <c r="AC271" s="39" t="str">
        <f>IF(COUNT(Y271:AB271)=0,"",AVERAGE(Y271:AB271))</f>
        <v/>
      </c>
      <c r="AD271" s="40" t="n"/>
      <c r="AE271" s="40" t="n"/>
      <c r="AF271" s="40" t="n"/>
      <c r="AG271" s="40" t="n"/>
      <c r="AH271" s="39" t="str">
        <f>IF(COUNT(AD271:AG271)=0,"",AVERAGE(AD271:AG271))</f>
        <v/>
      </c>
      <c r="AI271" s="40" t="n"/>
      <c r="AJ271" s="40" t="n"/>
      <c r="AK271" s="40" t="n"/>
      <c r="AL271" s="40" t="n"/>
      <c r="AM271" s="39" t="str">
        <f>IF(COUNT(AI271:AL271)=0,"",AVERAGE(AI271:AL271))</f>
        <v/>
      </c>
      <c r="AN271" s="40" t="n"/>
      <c r="AO271" s="40" t="n"/>
      <c r="AP271" s="40" t="n"/>
      <c r="AQ271" s="40" t="n"/>
      <c r="AR271" s="39" t="str">
        <f>IF(COUNT(AN271:AQ271)=0,"",AVERAGE(AN271:AQ271))</f>
        <v/>
      </c>
      <c r="AS271" s="40" t="n"/>
      <c r="AT271" s="40" t="n"/>
      <c r="AU271" s="40" t="n"/>
      <c r="AV271" s="40" t="n"/>
      <c r="AW271" s="39" t="str">
        <f>IF(COUNT(AS271:AV271)=0,"",AVERAGE(AS271:AV271))</f>
        <v/>
      </c>
      <c r="AX271" s="40" t="n"/>
      <c r="AY271" s="40" t="n"/>
      <c r="AZ271" s="40" t="n"/>
      <c r="BA271" s="40" t="n"/>
      <c r="BB271" s="39" t="str">
        <f>IF(COUNT(AX271:BA271)=0,"",AVERAGE(AX271:BA271))</f>
        <v/>
      </c>
      <c r="BC271" s="40" t="n"/>
      <c r="BD271" s="40" t="n"/>
      <c r="BE271" s="40" t="n"/>
      <c r="BF271" s="40" t="n"/>
      <c r="BG271" s="39" t="str">
        <f>IF(COUNT(BC271:BF271)=0,"",AVERAGE(BC271:BF271))</f>
        <v/>
      </c>
    </row>
    <row r="272">
      <c r="C272" s="11" t="inlineStr">
        <is>
          <t>Taxa média da carteira de crédito (% a.a.)</t>
        </is>
      </c>
      <c r="D272" s="12" t="inlineStr">
        <is>
          <t>Average loan yield</t>
        </is>
      </c>
      <c r="E272" s="40" t="n"/>
      <c r="F272" s="40" t="n"/>
      <c r="G272" s="40" t="n"/>
      <c r="H272" s="40" t="n"/>
      <c r="I272" s="39" t="str">
        <f>IF(COUNT(E272:H272)=0,"",AVERAGE(E272:H272))</f>
        <v/>
      </c>
      <c r="J272" s="40" t="n"/>
      <c r="K272" s="40" t="n"/>
      <c r="L272" s="40" t="n"/>
      <c r="M272" s="40" t="n"/>
      <c r="N272" s="39" t="str">
        <f>IF(COUNT(J272:M272)=0,"",AVERAGE(J272:M272))</f>
        <v/>
      </c>
      <c r="O272" s="40" t="n"/>
      <c r="P272" s="40" t="n"/>
      <c r="Q272" s="40" t="n"/>
      <c r="R272" s="40" t="n"/>
      <c r="S272" s="39" t="str">
        <f>IF(COUNT(O272:R272)=0,"",AVERAGE(O272:R272))</f>
        <v/>
      </c>
      <c r="T272" s="40" t="n"/>
      <c r="U272" s="40" t="n"/>
      <c r="V272" s="40" t="n"/>
      <c r="W272" s="40" t="n"/>
      <c r="X272" s="39" t="str">
        <f>IF(COUNT(T272:W272)=0,"",AVERAGE(T272:W272))</f>
        <v/>
      </c>
      <c r="Y272" s="40" t="n"/>
      <c r="Z272" s="40" t="n"/>
      <c r="AA272" s="40" t="n"/>
      <c r="AB272" s="40" t="n"/>
      <c r="AC272" s="39" t="str">
        <f>IF(COUNT(Y272:AB272)=0,"",AVERAGE(Y272:AB272))</f>
        <v/>
      </c>
      <c r="AD272" s="40" t="n"/>
      <c r="AE272" s="40" t="n"/>
      <c r="AF272" s="40" t="n"/>
      <c r="AG272" s="40" t="n"/>
      <c r="AH272" s="39" t="str">
        <f>IF(COUNT(AD272:AG272)=0,"",AVERAGE(AD272:AG272))</f>
        <v/>
      </c>
      <c r="AI272" s="40" t="n"/>
      <c r="AJ272" s="40" t="n"/>
      <c r="AK272" s="40" t="n"/>
      <c r="AL272" s="40" t="n"/>
      <c r="AM272" s="39" t="str">
        <f>IF(COUNT(AI272:AL272)=0,"",AVERAGE(AI272:AL272))</f>
        <v/>
      </c>
      <c r="AN272" s="40" t="n"/>
      <c r="AO272" s="40" t="n"/>
      <c r="AP272" s="40" t="n"/>
      <c r="AQ272" s="40" t="n"/>
      <c r="AR272" s="39" t="str">
        <f>IF(COUNT(AN272:AQ272)=0,"",AVERAGE(AN272:AQ272))</f>
        <v/>
      </c>
      <c r="AS272" s="40" t="n"/>
      <c r="AT272" s="40" t="n"/>
      <c r="AU272" s="40" t="n"/>
      <c r="AV272" s="40" t="n"/>
      <c r="AW272" s="39" t="str">
        <f>IF(COUNT(AS272:AV272)=0,"",AVERAGE(AS272:AV272))</f>
        <v/>
      </c>
      <c r="AX272" s="40" t="n"/>
      <c r="AY272" s="40" t="n"/>
      <c r="AZ272" s="40" t="n"/>
      <c r="BA272" s="40" t="n"/>
      <c r="BB272" s="39" t="str">
        <f>IF(COUNT(AX272:BA272)=0,"",AVERAGE(AX272:BA272))</f>
        <v/>
      </c>
      <c r="BC272" s="40" t="n"/>
      <c r="BD272" s="40" t="n"/>
      <c r="BE272" s="40" t="n"/>
      <c r="BF272" s="40" t="n"/>
      <c r="BG272" s="39" t="str">
        <f>IF(COUNT(BC272:BF272)=0,"",AVERAGE(BC272:BF272))</f>
        <v/>
      </c>
      <c r="BI272" s="14" t="inlineStr">
        <is>
          <t>Com a DRE recorrente, a linha de receita de crédito do Model carrega a margem com clientes, já líquida. Este driver projeta essa margem, não a taxa bruta da carteira.</t>
        </is>
      </c>
    </row>
    <row r="273">
      <c r="C273" s="11" t="inlineStr">
        <is>
          <t>Custo do crédito (% da carteira média, a.a.)</t>
        </is>
      </c>
      <c r="D273" s="12" t="inlineStr">
        <is>
          <t>Cost of risk</t>
        </is>
      </c>
      <c r="E273" s="40" t="n"/>
      <c r="F273" s="40" t="n"/>
      <c r="G273" s="40" t="n"/>
      <c r="H273" s="40" t="n"/>
      <c r="I273" s="39" t="str">
        <f>IF(COUNT(E273:H273)=0,"",AVERAGE(E273:H273))</f>
        <v/>
      </c>
      <c r="J273" s="40" t="n"/>
      <c r="K273" s="40" t="n"/>
      <c r="L273" s="40" t="n"/>
      <c r="M273" s="40" t="n"/>
      <c r="N273" s="39" t="str">
        <f>IF(COUNT(J273:M273)=0,"",AVERAGE(J273:M273))</f>
        <v/>
      </c>
      <c r="O273" s="40" t="n"/>
      <c r="P273" s="40" t="n"/>
      <c r="Q273" s="40" t="n"/>
      <c r="R273" s="40" t="n"/>
      <c r="S273" s="39" t="str">
        <f>IF(COUNT(O273:R273)=0,"",AVERAGE(O273:R273))</f>
        <v/>
      </c>
      <c r="T273" s="40" t="n"/>
      <c r="U273" s="40" t="n"/>
      <c r="V273" s="40" t="n"/>
      <c r="W273" s="40" t="n"/>
      <c r="X273" s="39" t="str">
        <f>IF(COUNT(T273:W273)=0,"",AVERAGE(T273:W273))</f>
        <v/>
      </c>
      <c r="Y273" s="40" t="n"/>
      <c r="Z273" s="40" t="n"/>
      <c r="AA273" s="40" t="n"/>
      <c r="AB273" s="40" t="n"/>
      <c r="AC273" s="39" t="str">
        <f>IF(COUNT(Y273:AB273)=0,"",AVERAGE(Y273:AB273))</f>
        <v/>
      </c>
      <c r="AD273" s="40" t="n"/>
      <c r="AE273" s="40" t="n"/>
      <c r="AF273" s="40" t="n"/>
      <c r="AG273" s="40" t="n"/>
      <c r="AH273" s="39" t="str">
        <f>IF(COUNT(AD273:AG273)=0,"",AVERAGE(AD273:AG273))</f>
        <v/>
      </c>
      <c r="AI273" s="40" t="n"/>
      <c r="AJ273" s="40" t="n"/>
      <c r="AK273" s="40" t="n"/>
      <c r="AL273" s="40" t="n"/>
      <c r="AM273" s="39" t="str">
        <f>IF(COUNT(AI273:AL273)=0,"",AVERAGE(AI273:AL273))</f>
        <v/>
      </c>
      <c r="AN273" s="40" t="n"/>
      <c r="AO273" s="40" t="n"/>
      <c r="AP273" s="40" t="n"/>
      <c r="AQ273" s="40" t="n"/>
      <c r="AR273" s="39" t="str">
        <f>IF(COUNT(AN273:AQ273)=0,"",AVERAGE(AN273:AQ273))</f>
        <v/>
      </c>
      <c r="AS273" s="40" t="n"/>
      <c r="AT273" s="40" t="n"/>
      <c r="AU273" s="40" t="n"/>
      <c r="AV273" s="40" t="n"/>
      <c r="AW273" s="39" t="str">
        <f>IF(COUNT(AS273:AV273)=0,"",AVERAGE(AS273:AV273))</f>
        <v/>
      </c>
      <c r="AX273" s="40" t="n"/>
      <c r="AY273" s="40" t="n"/>
      <c r="AZ273" s="40" t="n"/>
      <c r="BA273" s="40" t="n"/>
      <c r="BB273" s="39" t="str">
        <f>IF(COUNT(AX273:BA273)=0,"",AVERAGE(AX273:BA273))</f>
        <v/>
      </c>
      <c r="BC273" s="40" t="n"/>
      <c r="BD273" s="40" t="n"/>
      <c r="BE273" s="40" t="n"/>
      <c r="BF273" s="40" t="n"/>
      <c r="BG273" s="39" t="str">
        <f>IF(COUNT(BC273:BF273)=0,"",AVERAGE(BC273:BF273))</f>
        <v/>
      </c>
    </row>
    <row r="274">
      <c r="C274" s="11" t="inlineStr">
        <is>
          <t>Write-off (% da carteira média, a.a.)</t>
        </is>
      </c>
      <c r="D274" s="12" t="inlineStr">
        <is>
          <t>Write-offs</t>
        </is>
      </c>
      <c r="E274" s="40" t="n"/>
      <c r="F274" s="40" t="n"/>
      <c r="G274" s="40" t="n"/>
      <c r="H274" s="40" t="n"/>
      <c r="I274" s="39" t="str">
        <f>IF(COUNT(E274:H274)=0,"",AVERAGE(E274:H274))</f>
        <v/>
      </c>
      <c r="J274" s="40" t="n"/>
      <c r="K274" s="40" t="n"/>
      <c r="L274" s="40" t="n"/>
      <c r="M274" s="40" t="n"/>
      <c r="N274" s="39" t="str">
        <f>IF(COUNT(J274:M274)=0,"",AVERAGE(J274:M274))</f>
        <v/>
      </c>
      <c r="O274" s="40" t="n"/>
      <c r="P274" s="40" t="n"/>
      <c r="Q274" s="40" t="n"/>
      <c r="R274" s="40" t="n"/>
      <c r="S274" s="39" t="str">
        <f>IF(COUNT(O274:R274)=0,"",AVERAGE(O274:R274))</f>
        <v/>
      </c>
      <c r="T274" s="40" t="n"/>
      <c r="U274" s="40" t="n"/>
      <c r="V274" s="40" t="n"/>
      <c r="W274" s="40" t="n"/>
      <c r="X274" s="39" t="str">
        <f>IF(COUNT(T274:W274)=0,"",AVERAGE(T274:W274))</f>
        <v/>
      </c>
      <c r="Y274" s="40" t="n"/>
      <c r="Z274" s="40" t="n"/>
      <c r="AA274" s="40" t="n"/>
      <c r="AB274" s="40" t="n"/>
      <c r="AC274" s="39" t="str">
        <f>IF(COUNT(Y274:AB274)=0,"",AVERAGE(Y274:AB274))</f>
        <v/>
      </c>
      <c r="AD274" s="40" t="n"/>
      <c r="AE274" s="40" t="n"/>
      <c r="AF274" s="40" t="n"/>
      <c r="AG274" s="40" t="n"/>
      <c r="AH274" s="39" t="str">
        <f>IF(COUNT(AD274:AG274)=0,"",AVERAGE(AD274:AG274))</f>
        <v/>
      </c>
      <c r="AI274" s="40" t="n"/>
      <c r="AJ274" s="40" t="n"/>
      <c r="AK274" s="40" t="n"/>
      <c r="AL274" s="40" t="n"/>
      <c r="AM274" s="39" t="str">
        <f>IF(COUNT(AI274:AL274)=0,"",AVERAGE(AI274:AL274))</f>
        <v/>
      </c>
      <c r="AN274" s="40" t="n"/>
      <c r="AO274" s="40" t="n"/>
      <c r="AP274" s="40" t="n"/>
      <c r="AQ274" s="40" t="n"/>
      <c r="AR274" s="39" t="str">
        <f>IF(COUNT(AN274:AQ274)=0,"",AVERAGE(AN274:AQ274))</f>
        <v/>
      </c>
      <c r="AS274" s="40" t="n"/>
      <c r="AT274" s="40" t="n"/>
      <c r="AU274" s="40" t="n"/>
      <c r="AV274" s="40" t="n"/>
      <c r="AW274" s="39" t="str">
        <f>IF(COUNT(AS274:AV274)=0,"",AVERAGE(AS274:AV274))</f>
        <v/>
      </c>
      <c r="AX274" s="40" t="n"/>
      <c r="AY274" s="40" t="n"/>
      <c r="AZ274" s="40" t="n"/>
      <c r="BA274" s="40" t="n"/>
      <c r="BB274" s="39" t="str">
        <f>IF(COUNT(AX274:BA274)=0,"",AVERAGE(AX274:BA274))</f>
        <v/>
      </c>
      <c r="BC274" s="40" t="n"/>
      <c r="BD274" s="40" t="n"/>
      <c r="BE274" s="40" t="n"/>
      <c r="BF274" s="40" t="n"/>
      <c r="BG274" s="39" t="str">
        <f>IF(COUNT(BC274:BF274)=0,"",AVERAGE(BC274:BF274))</f>
        <v/>
      </c>
    </row>
    <row r="275">
      <c r="C275" s="11" t="inlineStr">
        <is>
          <t>Recuperação de créditos baixados (% da despesa de PDD)</t>
        </is>
      </c>
      <c r="D275" s="12" t="inlineStr">
        <is>
          <t>Recoveries</t>
        </is>
      </c>
      <c r="E275" s="40" t="n"/>
      <c r="F275" s="40" t="n"/>
      <c r="G275" s="40" t="n"/>
      <c r="H275" s="40" t="n"/>
      <c r="I275" s="39" t="str">
        <f>IF(COUNT(E275:H275)=0,"",AVERAGE(E275:H275))</f>
        <v/>
      </c>
      <c r="J275" s="40" t="n"/>
      <c r="K275" s="40" t="n"/>
      <c r="L275" s="40" t="n"/>
      <c r="M275" s="40" t="n"/>
      <c r="N275" s="39" t="str">
        <f>IF(COUNT(J275:M275)=0,"",AVERAGE(J275:M275))</f>
        <v/>
      </c>
      <c r="O275" s="40" t="n"/>
      <c r="P275" s="40" t="n"/>
      <c r="Q275" s="40" t="n"/>
      <c r="R275" s="40" t="n"/>
      <c r="S275" s="39" t="str">
        <f>IF(COUNT(O275:R275)=0,"",AVERAGE(O275:R275))</f>
        <v/>
      </c>
      <c r="T275" s="40" t="n"/>
      <c r="U275" s="40" t="n"/>
      <c r="V275" s="40" t="n"/>
      <c r="W275" s="40" t="n"/>
      <c r="X275" s="39" t="str">
        <f>IF(COUNT(T275:W275)=0,"",AVERAGE(T275:W275))</f>
        <v/>
      </c>
      <c r="Y275" s="40" t="n"/>
      <c r="Z275" s="40" t="n"/>
      <c r="AA275" s="40" t="n"/>
      <c r="AB275" s="40" t="n"/>
      <c r="AC275" s="39" t="str">
        <f>IF(COUNT(Y275:AB275)=0,"",AVERAGE(Y275:AB275))</f>
        <v/>
      </c>
      <c r="AD275" s="40" t="n"/>
      <c r="AE275" s="40" t="n"/>
      <c r="AF275" s="40" t="n"/>
      <c r="AG275" s="40" t="n"/>
      <c r="AH275" s="39" t="str">
        <f>IF(COUNT(AD275:AG275)=0,"",AVERAGE(AD275:AG275))</f>
        <v/>
      </c>
      <c r="AI275" s="40" t="n"/>
      <c r="AJ275" s="40" t="n"/>
      <c r="AK275" s="40" t="n"/>
      <c r="AL275" s="40" t="n"/>
      <c r="AM275" s="39" t="str">
        <f>IF(COUNT(AI275:AL275)=0,"",AVERAGE(AI275:AL275))</f>
        <v/>
      </c>
      <c r="AN275" s="40" t="n"/>
      <c r="AO275" s="40" t="n"/>
      <c r="AP275" s="40" t="n"/>
      <c r="AQ275" s="40" t="n"/>
      <c r="AR275" s="39" t="str">
        <f>IF(COUNT(AN275:AQ275)=0,"",AVERAGE(AN275:AQ275))</f>
        <v/>
      </c>
      <c r="AS275" s="40" t="n"/>
      <c r="AT275" s="40" t="n"/>
      <c r="AU275" s="40" t="n"/>
      <c r="AV275" s="40" t="n"/>
      <c r="AW275" s="39" t="str">
        <f>IF(COUNT(AS275:AV275)=0,"",AVERAGE(AS275:AV275))</f>
        <v/>
      </c>
      <c r="AX275" s="40" t="n"/>
      <c r="AY275" s="40" t="n"/>
      <c r="AZ275" s="40" t="n"/>
      <c r="BA275" s="40" t="n"/>
      <c r="BB275" s="39" t="str">
        <f>IF(COUNT(AX275:BA275)=0,"",AVERAGE(AX275:BA275))</f>
        <v/>
      </c>
      <c r="BC275" s="40" t="n"/>
      <c r="BD275" s="40" t="n"/>
      <c r="BE275" s="40" t="n"/>
      <c r="BF275" s="40" t="n"/>
      <c r="BG275" s="39" t="str">
        <f>IF(COUNT(BC275:BF275)=0,"",AVERAGE(BC275:BF275))</f>
        <v/>
      </c>
    </row>
    <row r="276">
      <c r="C276" s="11" t="inlineStr">
        <is>
          <t>TVM e aplicações — crescimento % QoQ</t>
        </is>
      </c>
      <c r="D276" s="12" t="inlineStr">
        <is>
          <t>Securities growth QoQ</t>
        </is>
      </c>
      <c r="E276" s="40" t="n"/>
      <c r="F276" s="40" t="n"/>
      <c r="G276" s="40" t="n"/>
      <c r="H276" s="40" t="n"/>
      <c r="I276" s="39" t="str">
        <f>IF(COUNT(E276:H276)=0,"",AVERAGE(E276:H276))</f>
        <v/>
      </c>
      <c r="J276" s="40" t="n"/>
      <c r="K276" s="40" t="n"/>
      <c r="L276" s="40" t="n"/>
      <c r="M276" s="40" t="n"/>
      <c r="N276" s="39" t="str">
        <f>IF(COUNT(J276:M276)=0,"",AVERAGE(J276:M276))</f>
        <v/>
      </c>
      <c r="O276" s="40" t="n"/>
      <c r="P276" s="40" t="n"/>
      <c r="Q276" s="40" t="n"/>
      <c r="R276" s="40" t="n"/>
      <c r="S276" s="39" t="str">
        <f>IF(COUNT(O276:R276)=0,"",AVERAGE(O276:R276))</f>
        <v/>
      </c>
      <c r="T276" s="40" t="n"/>
      <c r="U276" s="40" t="n"/>
      <c r="V276" s="40" t="n"/>
      <c r="W276" s="40" t="n"/>
      <c r="X276" s="39" t="str">
        <f>IF(COUNT(T276:W276)=0,"",AVERAGE(T276:W276))</f>
        <v/>
      </c>
      <c r="Y276" s="40" t="n"/>
      <c r="Z276" s="40" t="n"/>
      <c r="AA276" s="40" t="n"/>
      <c r="AB276" s="40" t="n"/>
      <c r="AC276" s="39" t="str">
        <f>IF(COUNT(Y276:AB276)=0,"",AVERAGE(Y276:AB276))</f>
        <v/>
      </c>
      <c r="AD276" s="40" t="n"/>
      <c r="AE276" s="40" t="n"/>
      <c r="AF276" s="40" t="n"/>
      <c r="AG276" s="40" t="n"/>
      <c r="AH276" s="39" t="str">
        <f>IF(COUNT(AD276:AG276)=0,"",AVERAGE(AD276:AG276))</f>
        <v/>
      </c>
      <c r="AI276" s="40" t="n"/>
      <c r="AJ276" s="40" t="n"/>
      <c r="AK276" s="40" t="n"/>
      <c r="AL276" s="40" t="n"/>
      <c r="AM276" s="39" t="str">
        <f>IF(COUNT(AI276:AL276)=0,"",AVERAGE(AI276:AL276))</f>
        <v/>
      </c>
      <c r="AN276" s="40" t="n"/>
      <c r="AO276" s="40" t="n"/>
      <c r="AP276" s="40" t="n"/>
      <c r="AQ276" s="40" t="n"/>
      <c r="AR276" s="39" t="str">
        <f>IF(COUNT(AN276:AQ276)=0,"",AVERAGE(AN276:AQ276))</f>
        <v/>
      </c>
      <c r="AS276" s="40" t="n"/>
      <c r="AT276" s="40" t="n"/>
      <c r="AU276" s="40" t="n"/>
      <c r="AV276" s="40" t="n"/>
      <c r="AW276" s="39" t="str">
        <f>IF(COUNT(AS276:AV276)=0,"",AVERAGE(AS276:AV276))</f>
        <v/>
      </c>
      <c r="AX276" s="40" t="n"/>
      <c r="AY276" s="40" t="n"/>
      <c r="AZ276" s="40" t="n"/>
      <c r="BA276" s="40" t="n"/>
      <c r="BB276" s="39" t="str">
        <f>IF(COUNT(AX276:BA276)=0,"",AVERAGE(AX276:BA276))</f>
        <v/>
      </c>
      <c r="BC276" s="40" t="n"/>
      <c r="BD276" s="40" t="n"/>
      <c r="BE276" s="40" t="n"/>
      <c r="BF276" s="40" t="n"/>
      <c r="BG276" s="39" t="str">
        <f>IF(COUNT(BC276:BF276)=0,"",AVERAGE(BC276:BF276))</f>
        <v/>
      </c>
    </row>
    <row r="277">
      <c r="C277" s="11" t="inlineStr">
        <is>
          <t>Rendimento médio de TVM e aplicações (% a.a.)</t>
        </is>
      </c>
      <c r="D277" s="12" t="inlineStr">
        <is>
          <t>Securities yield</t>
        </is>
      </c>
      <c r="E277" s="40" t="n"/>
      <c r="F277" s="40" t="n"/>
      <c r="G277" s="40" t="n"/>
      <c r="H277" s="40" t="n"/>
      <c r="I277" s="39" t="str">
        <f>IF(COUNT(E277:H277)=0,"",AVERAGE(E277:H277))</f>
        <v/>
      </c>
      <c r="J277" s="40" t="n"/>
      <c r="K277" s="40" t="n"/>
      <c r="L277" s="40" t="n"/>
      <c r="M277" s="40" t="n"/>
      <c r="N277" s="39" t="str">
        <f>IF(COUNT(J277:M277)=0,"",AVERAGE(J277:M277))</f>
        <v/>
      </c>
      <c r="O277" s="40" t="n"/>
      <c r="P277" s="40" t="n"/>
      <c r="Q277" s="40" t="n"/>
      <c r="R277" s="40" t="n"/>
      <c r="S277" s="39" t="str">
        <f>IF(COUNT(O277:R277)=0,"",AVERAGE(O277:R277))</f>
        <v/>
      </c>
      <c r="T277" s="40" t="n"/>
      <c r="U277" s="40" t="n"/>
      <c r="V277" s="40" t="n"/>
      <c r="W277" s="40" t="n"/>
      <c r="X277" s="39" t="str">
        <f>IF(COUNT(T277:W277)=0,"",AVERAGE(T277:W277))</f>
        <v/>
      </c>
      <c r="Y277" s="40" t="n"/>
      <c r="Z277" s="40" t="n"/>
      <c r="AA277" s="40" t="n"/>
      <c r="AB277" s="40" t="n"/>
      <c r="AC277" s="39" t="str">
        <f>IF(COUNT(Y277:AB277)=0,"",AVERAGE(Y277:AB277))</f>
        <v/>
      </c>
      <c r="AD277" s="40" t="n"/>
      <c r="AE277" s="40" t="n"/>
      <c r="AF277" s="40" t="n"/>
      <c r="AG277" s="40" t="n"/>
      <c r="AH277" s="39" t="str">
        <f>IF(COUNT(AD277:AG277)=0,"",AVERAGE(AD277:AG277))</f>
        <v/>
      </c>
      <c r="AI277" s="40" t="n"/>
      <c r="AJ277" s="40" t="n"/>
      <c r="AK277" s="40" t="n"/>
      <c r="AL277" s="40" t="n"/>
      <c r="AM277" s="39" t="str">
        <f>IF(COUNT(AI277:AL277)=0,"",AVERAGE(AI277:AL277))</f>
        <v/>
      </c>
      <c r="AN277" s="40" t="n"/>
      <c r="AO277" s="40" t="n"/>
      <c r="AP277" s="40" t="n"/>
      <c r="AQ277" s="40" t="n"/>
      <c r="AR277" s="39" t="str">
        <f>IF(COUNT(AN277:AQ277)=0,"",AVERAGE(AN277:AQ277))</f>
        <v/>
      </c>
      <c r="AS277" s="40" t="n"/>
      <c r="AT277" s="40" t="n"/>
      <c r="AU277" s="40" t="n"/>
      <c r="AV277" s="40" t="n"/>
      <c r="AW277" s="39" t="str">
        <f>IF(COUNT(AS277:AV277)=0,"",AVERAGE(AS277:AV277))</f>
        <v/>
      </c>
      <c r="AX277" s="40" t="n"/>
      <c r="AY277" s="40" t="n"/>
      <c r="AZ277" s="40" t="n"/>
      <c r="BA277" s="40" t="n"/>
      <c r="BB277" s="39" t="str">
        <f>IF(COUNT(AX277:BA277)=0,"",AVERAGE(AX277:BA277))</f>
        <v/>
      </c>
      <c r="BC277" s="40" t="n"/>
      <c r="BD277" s="40" t="n"/>
      <c r="BE277" s="40" t="n"/>
      <c r="BF277" s="40" t="n"/>
      <c r="BG277" s="39" t="str">
        <f>IF(COUNT(BC277:BF277)=0,"",AVERAGE(BC277:BF277))</f>
        <v/>
      </c>
    </row>
    <row r="278">
      <c r="C278" s="11" t="inlineStr">
        <is>
          <t>Depósitos — crescimento % QoQ</t>
        </is>
      </c>
      <c r="D278" s="12" t="inlineStr">
        <is>
          <t>Deposits growth QoQ</t>
        </is>
      </c>
      <c r="E278" s="40" t="n"/>
      <c r="F278" s="40" t="n"/>
      <c r="G278" s="40" t="n"/>
      <c r="H278" s="40" t="n"/>
      <c r="I278" s="39" t="str">
        <f>IF(COUNT(E278:H278)=0,"",AVERAGE(E278:H278))</f>
        <v/>
      </c>
      <c r="J278" s="40" t="n"/>
      <c r="K278" s="40" t="n"/>
      <c r="L278" s="40" t="n"/>
      <c r="M278" s="40" t="n"/>
      <c r="N278" s="39" t="str">
        <f>IF(COUNT(J278:M278)=0,"",AVERAGE(J278:M278))</f>
        <v/>
      </c>
      <c r="O278" s="40" t="n"/>
      <c r="P278" s="40" t="n"/>
      <c r="Q278" s="40" t="n"/>
      <c r="R278" s="40" t="n"/>
      <c r="S278" s="39" t="str">
        <f>IF(COUNT(O278:R278)=0,"",AVERAGE(O278:R278))</f>
        <v/>
      </c>
      <c r="T278" s="40" t="n"/>
      <c r="U278" s="40" t="n"/>
      <c r="V278" s="40" t="n"/>
      <c r="W278" s="40" t="n"/>
      <c r="X278" s="39" t="str">
        <f>IF(COUNT(T278:W278)=0,"",AVERAGE(T278:W278))</f>
        <v/>
      </c>
      <c r="Y278" s="40" t="n"/>
      <c r="Z278" s="40" t="n"/>
      <c r="AA278" s="40" t="n"/>
      <c r="AB278" s="40" t="n"/>
      <c r="AC278" s="39" t="str">
        <f>IF(COUNT(Y278:AB278)=0,"",AVERAGE(Y278:AB278))</f>
        <v/>
      </c>
      <c r="AD278" s="40" t="n"/>
      <c r="AE278" s="40" t="n"/>
      <c r="AF278" s="40" t="n"/>
      <c r="AG278" s="40" t="n"/>
      <c r="AH278" s="39" t="str">
        <f>IF(COUNT(AD278:AG278)=0,"",AVERAGE(AD278:AG278))</f>
        <v/>
      </c>
      <c r="AI278" s="40" t="n"/>
      <c r="AJ278" s="40" t="n"/>
      <c r="AK278" s="40" t="n"/>
      <c r="AL278" s="40" t="n"/>
      <c r="AM278" s="39" t="str">
        <f>IF(COUNT(AI278:AL278)=0,"",AVERAGE(AI278:AL278))</f>
        <v/>
      </c>
      <c r="AN278" s="40" t="n"/>
      <c r="AO278" s="40" t="n"/>
      <c r="AP278" s="40" t="n"/>
      <c r="AQ278" s="40" t="n"/>
      <c r="AR278" s="39" t="str">
        <f>IF(COUNT(AN278:AQ278)=0,"",AVERAGE(AN278:AQ278))</f>
        <v/>
      </c>
      <c r="AS278" s="40" t="n"/>
      <c r="AT278" s="40" t="n"/>
      <c r="AU278" s="40" t="n"/>
      <c r="AV278" s="40" t="n"/>
      <c r="AW278" s="39" t="str">
        <f>IF(COUNT(AS278:AV278)=0,"",AVERAGE(AS278:AV278))</f>
        <v/>
      </c>
      <c r="AX278" s="40" t="n"/>
      <c r="AY278" s="40" t="n"/>
      <c r="AZ278" s="40" t="n"/>
      <c r="BA278" s="40" t="n"/>
      <c r="BB278" s="39" t="str">
        <f>IF(COUNT(AX278:BA278)=0,"",AVERAGE(AX278:BA278))</f>
        <v/>
      </c>
      <c r="BC278" s="40" t="n"/>
      <c r="BD278" s="40" t="n"/>
      <c r="BE278" s="40" t="n"/>
      <c r="BF278" s="40" t="n"/>
      <c r="BG278" s="39" t="str">
        <f>IF(COUNT(BC278:BF278)=0,"",AVERAGE(BC278:BF278))</f>
        <v/>
      </c>
    </row>
    <row r="279">
      <c r="C279" s="11" t="inlineStr">
        <is>
          <t>Instrumentos de dívida — crescimento % QoQ</t>
        </is>
      </c>
      <c r="D279" s="12" t="inlineStr">
        <is>
          <t>Debt growth QoQ</t>
        </is>
      </c>
      <c r="E279" s="40" t="n"/>
      <c r="F279" s="40" t="n"/>
      <c r="G279" s="40" t="n"/>
      <c r="H279" s="40" t="n"/>
      <c r="I279" s="39" t="str">
        <f>IF(COUNT(E279:H279)=0,"",AVERAGE(E279:H279))</f>
        <v/>
      </c>
      <c r="J279" s="40" t="n"/>
      <c r="K279" s="40" t="n"/>
      <c r="L279" s="40" t="n"/>
      <c r="M279" s="40" t="n"/>
      <c r="N279" s="39" t="str">
        <f>IF(COUNT(J279:M279)=0,"",AVERAGE(J279:M279))</f>
        <v/>
      </c>
      <c r="O279" s="40" t="n"/>
      <c r="P279" s="40" t="n"/>
      <c r="Q279" s="40" t="n"/>
      <c r="R279" s="40" t="n"/>
      <c r="S279" s="39" t="str">
        <f>IF(COUNT(O279:R279)=0,"",AVERAGE(O279:R279))</f>
        <v/>
      </c>
      <c r="T279" s="40" t="n"/>
      <c r="U279" s="40" t="n"/>
      <c r="V279" s="40" t="n"/>
      <c r="W279" s="40" t="n"/>
      <c r="X279" s="39" t="str">
        <f>IF(COUNT(T279:W279)=0,"",AVERAGE(T279:W279))</f>
        <v/>
      </c>
      <c r="Y279" s="40" t="n"/>
      <c r="Z279" s="40" t="n"/>
      <c r="AA279" s="40" t="n"/>
      <c r="AB279" s="40" t="n"/>
      <c r="AC279" s="39" t="str">
        <f>IF(COUNT(Y279:AB279)=0,"",AVERAGE(Y279:AB279))</f>
        <v/>
      </c>
      <c r="AD279" s="40" t="n"/>
      <c r="AE279" s="40" t="n"/>
      <c r="AF279" s="40" t="n"/>
      <c r="AG279" s="40" t="n"/>
      <c r="AH279" s="39" t="str">
        <f>IF(COUNT(AD279:AG279)=0,"",AVERAGE(AD279:AG279))</f>
        <v/>
      </c>
      <c r="AI279" s="40" t="n"/>
      <c r="AJ279" s="40" t="n"/>
      <c r="AK279" s="40" t="n"/>
      <c r="AL279" s="40" t="n"/>
      <c r="AM279" s="39" t="str">
        <f>IF(COUNT(AI279:AL279)=0,"",AVERAGE(AI279:AL279))</f>
        <v/>
      </c>
      <c r="AN279" s="40" t="n"/>
      <c r="AO279" s="40" t="n"/>
      <c r="AP279" s="40" t="n"/>
      <c r="AQ279" s="40" t="n"/>
      <c r="AR279" s="39" t="str">
        <f>IF(COUNT(AN279:AQ279)=0,"",AVERAGE(AN279:AQ279))</f>
        <v/>
      </c>
      <c r="AS279" s="40" t="n"/>
      <c r="AT279" s="40" t="n"/>
      <c r="AU279" s="40" t="n"/>
      <c r="AV279" s="40" t="n"/>
      <c r="AW279" s="39" t="str">
        <f>IF(COUNT(AS279:AV279)=0,"",AVERAGE(AS279:AV279))</f>
        <v/>
      </c>
      <c r="AX279" s="40" t="n"/>
      <c r="AY279" s="40" t="n"/>
      <c r="AZ279" s="40" t="n"/>
      <c r="BA279" s="40" t="n"/>
      <c r="BB279" s="39" t="str">
        <f>IF(COUNT(AX279:BA279)=0,"",AVERAGE(AX279:BA279))</f>
        <v/>
      </c>
      <c r="BC279" s="40" t="n"/>
      <c r="BD279" s="40" t="n"/>
      <c r="BE279" s="40" t="n"/>
      <c r="BF279" s="40" t="n"/>
      <c r="BG279" s="39" t="str">
        <f>IF(COUNT(BC279:BF279)=0,"",AVERAGE(BC279:BF279))</f>
        <v/>
      </c>
    </row>
    <row r="280">
      <c r="C280" s="11" t="inlineStr">
        <is>
          <t>Empréstimos e repasses — crescimento % QoQ</t>
        </is>
      </c>
      <c r="D280" s="12" t="inlineStr">
        <is>
          <t>Borrowings growth QoQ</t>
        </is>
      </c>
      <c r="E280" s="40" t="n"/>
      <c r="F280" s="40" t="n"/>
      <c r="G280" s="40" t="n"/>
      <c r="H280" s="40" t="n"/>
      <c r="I280" s="39" t="str">
        <f>IF(COUNT(E280:H280)=0,"",AVERAGE(E280:H280))</f>
        <v/>
      </c>
      <c r="J280" s="40" t="n"/>
      <c r="K280" s="40" t="n"/>
      <c r="L280" s="40" t="n"/>
      <c r="M280" s="40" t="n"/>
      <c r="N280" s="39" t="str">
        <f>IF(COUNT(J280:M280)=0,"",AVERAGE(J280:M280))</f>
        <v/>
      </c>
      <c r="O280" s="40" t="n"/>
      <c r="P280" s="40" t="n"/>
      <c r="Q280" s="40" t="n"/>
      <c r="R280" s="40" t="n"/>
      <c r="S280" s="39" t="str">
        <f>IF(COUNT(O280:R280)=0,"",AVERAGE(O280:R280))</f>
        <v/>
      </c>
      <c r="T280" s="40" t="n"/>
      <c r="U280" s="40" t="n"/>
      <c r="V280" s="40" t="n"/>
      <c r="W280" s="40" t="n"/>
      <c r="X280" s="39" t="str">
        <f>IF(COUNT(T280:W280)=0,"",AVERAGE(T280:W280))</f>
        <v/>
      </c>
      <c r="Y280" s="40" t="n"/>
      <c r="Z280" s="40" t="n"/>
      <c r="AA280" s="40" t="n"/>
      <c r="AB280" s="40" t="n"/>
      <c r="AC280" s="39" t="str">
        <f>IF(COUNT(Y280:AB280)=0,"",AVERAGE(Y280:AB280))</f>
        <v/>
      </c>
      <c r="AD280" s="40" t="n"/>
      <c r="AE280" s="40" t="n"/>
      <c r="AF280" s="40" t="n"/>
      <c r="AG280" s="40" t="n"/>
      <c r="AH280" s="39" t="str">
        <f>IF(COUNT(AD280:AG280)=0,"",AVERAGE(AD280:AG280))</f>
        <v/>
      </c>
      <c r="AI280" s="40" t="n"/>
      <c r="AJ280" s="40" t="n"/>
      <c r="AK280" s="40" t="n"/>
      <c r="AL280" s="40" t="n"/>
      <c r="AM280" s="39" t="str">
        <f>IF(COUNT(AI280:AL280)=0,"",AVERAGE(AI280:AL280))</f>
        <v/>
      </c>
      <c r="AN280" s="40" t="n"/>
      <c r="AO280" s="40" t="n"/>
      <c r="AP280" s="40" t="n"/>
      <c r="AQ280" s="40" t="n"/>
      <c r="AR280" s="39" t="str">
        <f>IF(COUNT(AN280:AQ280)=0,"",AVERAGE(AN280:AQ280))</f>
        <v/>
      </c>
      <c r="AS280" s="40" t="n"/>
      <c r="AT280" s="40" t="n"/>
      <c r="AU280" s="40" t="n"/>
      <c r="AV280" s="40" t="n"/>
      <c r="AW280" s="39" t="str">
        <f>IF(COUNT(AS280:AV280)=0,"",AVERAGE(AS280:AV280))</f>
        <v/>
      </c>
      <c r="AX280" s="40" t="n"/>
      <c r="AY280" s="40" t="n"/>
      <c r="AZ280" s="40" t="n"/>
      <c r="BA280" s="40" t="n"/>
      <c r="BB280" s="39" t="str">
        <f>IF(COUNT(AX280:BA280)=0,"",AVERAGE(AX280:BA280))</f>
        <v/>
      </c>
      <c r="BC280" s="40" t="n"/>
      <c r="BD280" s="40" t="n"/>
      <c r="BE280" s="40" t="n"/>
      <c r="BF280" s="40" t="n"/>
      <c r="BG280" s="39" t="str">
        <f>IF(COUNT(BC280:BF280)=0,"",AVERAGE(BC280:BF280))</f>
        <v/>
      </c>
    </row>
    <row r="281">
      <c r="C281" s="11" t="inlineStr">
        <is>
          <t>Custo médio do funding (% a.a.)</t>
        </is>
      </c>
      <c r="D281" s="12" t="inlineStr">
        <is>
          <t>Cost of funding</t>
        </is>
      </c>
      <c r="E281" s="40" t="n"/>
      <c r="F281" s="40" t="n"/>
      <c r="G281" s="40" t="n"/>
      <c r="H281" s="40" t="n"/>
      <c r="I281" s="39" t="str">
        <f>IF(COUNT(E281:H281)=0,"",AVERAGE(E281:H281))</f>
        <v/>
      </c>
      <c r="J281" s="40" t="n"/>
      <c r="K281" s="40" t="n"/>
      <c r="L281" s="40" t="n"/>
      <c r="M281" s="40" t="n"/>
      <c r="N281" s="39" t="str">
        <f>IF(COUNT(J281:M281)=0,"",AVERAGE(J281:M281))</f>
        <v/>
      </c>
      <c r="O281" s="40" t="n"/>
      <c r="P281" s="40" t="n"/>
      <c r="Q281" s="40" t="n"/>
      <c r="R281" s="40" t="n"/>
      <c r="S281" s="39" t="str">
        <f>IF(COUNT(O281:R281)=0,"",AVERAGE(O281:R281))</f>
        <v/>
      </c>
      <c r="T281" s="40" t="n"/>
      <c r="U281" s="40" t="n"/>
      <c r="V281" s="40" t="n"/>
      <c r="W281" s="40" t="n"/>
      <c r="X281" s="39" t="str">
        <f>IF(COUNT(T281:W281)=0,"",AVERAGE(T281:W281))</f>
        <v/>
      </c>
      <c r="Y281" s="40" t="n"/>
      <c r="Z281" s="40" t="n"/>
      <c r="AA281" s="40" t="n"/>
      <c r="AB281" s="40" t="n"/>
      <c r="AC281" s="39" t="str">
        <f>IF(COUNT(Y281:AB281)=0,"",AVERAGE(Y281:AB281))</f>
        <v/>
      </c>
      <c r="AD281" s="40" t="n"/>
      <c r="AE281" s="40" t="n"/>
      <c r="AF281" s="40" t="n"/>
      <c r="AG281" s="40" t="n"/>
      <c r="AH281" s="39" t="str">
        <f>IF(COUNT(AD281:AG281)=0,"",AVERAGE(AD281:AG281))</f>
        <v/>
      </c>
      <c r="AI281" s="40" t="n"/>
      <c r="AJ281" s="40" t="n"/>
      <c r="AK281" s="40" t="n"/>
      <c r="AL281" s="40" t="n"/>
      <c r="AM281" s="39" t="str">
        <f>IF(COUNT(AI281:AL281)=0,"",AVERAGE(AI281:AL281))</f>
        <v/>
      </c>
      <c r="AN281" s="40" t="n"/>
      <c r="AO281" s="40" t="n"/>
      <c r="AP281" s="40" t="n"/>
      <c r="AQ281" s="40" t="n"/>
      <c r="AR281" s="39" t="str">
        <f>IF(COUNT(AN281:AQ281)=0,"",AVERAGE(AN281:AQ281))</f>
        <v/>
      </c>
      <c r="AS281" s="40" t="n"/>
      <c r="AT281" s="40" t="n"/>
      <c r="AU281" s="40" t="n"/>
      <c r="AV281" s="40" t="n"/>
      <c r="AW281" s="39" t="str">
        <f>IF(COUNT(AS281:AV281)=0,"",AVERAGE(AS281:AV281))</f>
        <v/>
      </c>
      <c r="AX281" s="40" t="n"/>
      <c r="AY281" s="40" t="n"/>
      <c r="AZ281" s="40" t="n"/>
      <c r="BA281" s="40" t="n"/>
      <c r="BB281" s="39" t="str">
        <f>IF(COUNT(AX281:BA281)=0,"",AVERAGE(AX281:BA281))</f>
        <v/>
      </c>
      <c r="BC281" s="40" t="n"/>
      <c r="BD281" s="40" t="n"/>
      <c r="BE281" s="40" t="n"/>
      <c r="BF281" s="40" t="n"/>
      <c r="BG281" s="39" t="str">
        <f>IF(COUNT(BC281:BF281)=0,"",AVERAGE(BC281:BF281))</f>
        <v/>
      </c>
    </row>
    <row r="282">
      <c r="C282" s="11" t="inlineStr">
        <is>
          <t>Demais ativos — crescimento % QoQ</t>
        </is>
      </c>
      <c r="D282" s="12" t="inlineStr">
        <is>
          <t>Other assets growth QoQ</t>
        </is>
      </c>
      <c r="E282" s="40" t="n"/>
      <c r="F282" s="40" t="n"/>
      <c r="G282" s="40" t="n"/>
      <c r="H282" s="40" t="n"/>
      <c r="I282" s="39" t="str">
        <f>IF(COUNT(E282:H282)=0,"",AVERAGE(E282:H282))</f>
        <v/>
      </c>
      <c r="J282" s="40" t="n"/>
      <c r="K282" s="40" t="n"/>
      <c r="L282" s="40" t="n"/>
      <c r="M282" s="40" t="n"/>
      <c r="N282" s="39" t="str">
        <f>IF(COUNT(J282:M282)=0,"",AVERAGE(J282:M282))</f>
        <v/>
      </c>
      <c r="O282" s="40" t="n"/>
      <c r="P282" s="40" t="n"/>
      <c r="Q282" s="40" t="n"/>
      <c r="R282" s="40" t="n"/>
      <c r="S282" s="39" t="str">
        <f>IF(COUNT(O282:R282)=0,"",AVERAGE(O282:R282))</f>
        <v/>
      </c>
      <c r="T282" s="40" t="n"/>
      <c r="U282" s="40" t="n"/>
      <c r="V282" s="40" t="n"/>
      <c r="W282" s="40" t="n"/>
      <c r="X282" s="39" t="str">
        <f>IF(COUNT(T282:W282)=0,"",AVERAGE(T282:W282))</f>
        <v/>
      </c>
      <c r="Y282" s="40" t="n"/>
      <c r="Z282" s="40" t="n"/>
      <c r="AA282" s="40" t="n"/>
      <c r="AB282" s="40" t="n"/>
      <c r="AC282" s="39" t="str">
        <f>IF(COUNT(Y282:AB282)=0,"",AVERAGE(Y282:AB282))</f>
        <v/>
      </c>
      <c r="AD282" s="40" t="n"/>
      <c r="AE282" s="40" t="n"/>
      <c r="AF282" s="40" t="n"/>
      <c r="AG282" s="40" t="n"/>
      <c r="AH282" s="39" t="str">
        <f>IF(COUNT(AD282:AG282)=0,"",AVERAGE(AD282:AG282))</f>
        <v/>
      </c>
      <c r="AI282" s="40" t="n"/>
      <c r="AJ282" s="40" t="n"/>
      <c r="AK282" s="40" t="n"/>
      <c r="AL282" s="40" t="n"/>
      <c r="AM282" s="39" t="str">
        <f>IF(COUNT(AI282:AL282)=0,"",AVERAGE(AI282:AL282))</f>
        <v/>
      </c>
      <c r="AN282" s="40" t="n"/>
      <c r="AO282" s="40" t="n"/>
      <c r="AP282" s="40" t="n"/>
      <c r="AQ282" s="40" t="n"/>
      <c r="AR282" s="39" t="str">
        <f>IF(COUNT(AN282:AQ282)=0,"",AVERAGE(AN282:AQ282))</f>
        <v/>
      </c>
      <c r="AS282" s="40" t="n"/>
      <c r="AT282" s="40" t="n"/>
      <c r="AU282" s="40" t="n"/>
      <c r="AV282" s="40" t="n"/>
      <c r="AW282" s="39" t="str">
        <f>IF(COUNT(AS282:AV282)=0,"",AVERAGE(AS282:AV282))</f>
        <v/>
      </c>
      <c r="AX282" s="40" t="n"/>
      <c r="AY282" s="40" t="n"/>
      <c r="AZ282" s="40" t="n"/>
      <c r="BA282" s="40" t="n"/>
      <c r="BB282" s="39" t="str">
        <f>IF(COUNT(AX282:BA282)=0,"",AVERAGE(AX282:BA282))</f>
        <v/>
      </c>
      <c r="BC282" s="40" t="n"/>
      <c r="BD282" s="40" t="n"/>
      <c r="BE282" s="40" t="n"/>
      <c r="BF282" s="40" t="n"/>
      <c r="BG282" s="39" t="str">
        <f>IF(COUNT(BC282:BF282)=0,"",AVERAGE(BC282:BF282))</f>
        <v/>
      </c>
    </row>
    <row r="283">
      <c r="C283" s="11" t="inlineStr">
        <is>
          <t>Demais passivos — crescimento % QoQ</t>
        </is>
      </c>
      <c r="D283" s="12" t="inlineStr">
        <is>
          <t>Other liab. growth QoQ</t>
        </is>
      </c>
      <c r="E283" s="40" t="n"/>
      <c r="F283" s="40" t="n"/>
      <c r="G283" s="40" t="n"/>
      <c r="H283" s="40" t="n"/>
      <c r="I283" s="39" t="str">
        <f>IF(COUNT(E283:H283)=0,"",AVERAGE(E283:H283))</f>
        <v/>
      </c>
      <c r="J283" s="40" t="n"/>
      <c r="K283" s="40" t="n"/>
      <c r="L283" s="40" t="n"/>
      <c r="M283" s="40" t="n"/>
      <c r="N283" s="39" t="str">
        <f>IF(COUNT(J283:M283)=0,"",AVERAGE(J283:M283))</f>
        <v/>
      </c>
      <c r="O283" s="40" t="n"/>
      <c r="P283" s="40" t="n"/>
      <c r="Q283" s="40" t="n"/>
      <c r="R283" s="40" t="n"/>
      <c r="S283" s="39" t="str">
        <f>IF(COUNT(O283:R283)=0,"",AVERAGE(O283:R283))</f>
        <v/>
      </c>
      <c r="T283" s="40" t="n"/>
      <c r="U283" s="40" t="n"/>
      <c r="V283" s="40" t="n"/>
      <c r="W283" s="40" t="n"/>
      <c r="X283" s="39" t="str">
        <f>IF(COUNT(T283:W283)=0,"",AVERAGE(T283:W283))</f>
        <v/>
      </c>
      <c r="Y283" s="40" t="n"/>
      <c r="Z283" s="40" t="n"/>
      <c r="AA283" s="40" t="n"/>
      <c r="AB283" s="40" t="n"/>
      <c r="AC283" s="39" t="str">
        <f>IF(COUNT(Y283:AB283)=0,"",AVERAGE(Y283:AB283))</f>
        <v/>
      </c>
      <c r="AD283" s="40" t="n"/>
      <c r="AE283" s="40" t="n"/>
      <c r="AF283" s="40" t="n"/>
      <c r="AG283" s="40" t="n"/>
      <c r="AH283" s="39" t="str">
        <f>IF(COUNT(AD283:AG283)=0,"",AVERAGE(AD283:AG283))</f>
        <v/>
      </c>
      <c r="AI283" s="40" t="n"/>
      <c r="AJ283" s="40" t="n"/>
      <c r="AK283" s="40" t="n"/>
      <c r="AL283" s="40" t="n"/>
      <c r="AM283" s="39" t="str">
        <f>IF(COUNT(AI283:AL283)=0,"",AVERAGE(AI283:AL283))</f>
        <v/>
      </c>
      <c r="AN283" s="40" t="n"/>
      <c r="AO283" s="40" t="n"/>
      <c r="AP283" s="40" t="n"/>
      <c r="AQ283" s="40" t="n"/>
      <c r="AR283" s="39" t="str">
        <f>IF(COUNT(AN283:AQ283)=0,"",AVERAGE(AN283:AQ283))</f>
        <v/>
      </c>
      <c r="AS283" s="40" t="n"/>
      <c r="AT283" s="40" t="n"/>
      <c r="AU283" s="40" t="n"/>
      <c r="AV283" s="40" t="n"/>
      <c r="AW283" s="39" t="str">
        <f>IF(COUNT(AS283:AV283)=0,"",AVERAGE(AS283:AV283))</f>
        <v/>
      </c>
      <c r="AX283" s="40" t="n"/>
      <c r="AY283" s="40" t="n"/>
      <c r="AZ283" s="40" t="n"/>
      <c r="BA283" s="40" t="n"/>
      <c r="BB283" s="39" t="str">
        <f>IF(COUNT(AX283:BA283)=0,"",AVERAGE(AX283:BA283))</f>
        <v/>
      </c>
      <c r="BC283" s="40" t="n"/>
      <c r="BD283" s="40" t="n"/>
      <c r="BE283" s="40" t="n"/>
      <c r="BF283" s="40" t="n"/>
      <c r="BG283" s="39" t="str">
        <f>IF(COUNT(BC283:BF283)=0,"",AVERAGE(BC283:BF283))</f>
        <v/>
      </c>
    </row>
    <row r="285">
      <c r="B285" s="7" t="n"/>
      <c r="C285" s="7" t="inlineStr">
        <is>
          <t>DRIVERS — RECEITAS E DESPESAS</t>
        </is>
      </c>
      <c r="D285" s="7" t="inlineStr">
        <is>
          <t>DRIVERS — REVENUES &amp; EXPENSES</t>
        </is>
      </c>
      <c r="E285" s="7" t="n"/>
      <c r="F285" s="7" t="n"/>
      <c r="G285" s="7" t="n"/>
      <c r="H285" s="7" t="n"/>
      <c r="I285" s="7" t="n"/>
      <c r="J285" s="7" t="n"/>
      <c r="K285" s="7" t="n"/>
      <c r="L285" s="7" t="n"/>
      <c r="M285" s="7" t="n"/>
      <c r="N285" s="7" t="n"/>
      <c r="O285" s="7" t="n"/>
      <c r="P285" s="7" t="n"/>
      <c r="Q285" s="7" t="n"/>
      <c r="R285" s="7" t="n"/>
      <c r="S285" s="7" t="n"/>
      <c r="T285" s="7" t="n"/>
      <c r="U285" s="7" t="n"/>
      <c r="V285" s="7" t="n"/>
      <c r="W285" s="7" t="n"/>
      <c r="X285" s="7" t="n"/>
      <c r="Y285" s="7" t="n"/>
      <c r="Z285" s="7" t="n"/>
      <c r="AA285" s="7" t="n"/>
      <c r="AB285" s="7" t="n"/>
      <c r="AC285" s="7" t="n"/>
      <c r="AD285" s="7" t="n"/>
      <c r="AE285" s="7" t="n"/>
      <c r="AF285" s="7" t="n"/>
      <c r="AG285" s="7" t="n"/>
      <c r="AH285" s="7" t="n"/>
      <c r="AI285" s="7" t="n"/>
      <c r="AJ285" s="7" t="n"/>
      <c r="AK285" s="7" t="n"/>
      <c r="AL285" s="7" t="n"/>
      <c r="AM285" s="7" t="n"/>
      <c r="AN285" s="7" t="n"/>
      <c r="AO285" s="7" t="n"/>
      <c r="AP285" s="7" t="n"/>
      <c r="AQ285" s="7" t="n"/>
      <c r="AR285" s="7" t="n"/>
      <c r="AS285" s="7" t="n"/>
      <c r="AT285" s="7" t="n"/>
      <c r="AU285" s="7" t="n"/>
      <c r="AV285" s="7" t="n"/>
      <c r="AW285" s="7" t="n"/>
      <c r="AX285" s="7" t="n"/>
      <c r="AY285" s="7" t="n"/>
      <c r="AZ285" s="7" t="n"/>
      <c r="BA285" s="7" t="n"/>
      <c r="BB285" s="7" t="n"/>
      <c r="BC285" s="7" t="n"/>
      <c r="BD285" s="7" t="n"/>
      <c r="BE285" s="7" t="n"/>
      <c r="BF285" s="7" t="n"/>
      <c r="BG285" s="7" t="n"/>
      <c r="BH285" s="7" t="n"/>
      <c r="BI285" s="7" t="n"/>
    </row>
    <row r="286">
      <c r="C286" s="11" t="inlineStr">
        <is>
          <t>Receitas de serviços e tarifas — crescimento % YoY</t>
        </is>
      </c>
      <c r="D286" s="12" t="inlineStr">
        <is>
          <t>Fee growth YoY</t>
        </is>
      </c>
      <c r="E286" s="40" t="n"/>
      <c r="F286" s="40" t="n"/>
      <c r="G286" s="40" t="n"/>
      <c r="H286" s="40" t="n"/>
      <c r="I286" s="39" t="str">
        <f>IF(COUNT(E286:H286)=0,"",AVERAGE(E286:H286))</f>
        <v/>
      </c>
      <c r="J286" s="40" t="n"/>
      <c r="K286" s="40" t="n"/>
      <c r="L286" s="40" t="n"/>
      <c r="M286" s="40" t="n"/>
      <c r="N286" s="39" t="str">
        <f>IF(COUNT(J286:M286)=0,"",AVERAGE(J286:M286))</f>
        <v/>
      </c>
      <c r="O286" s="40" t="n"/>
      <c r="P286" s="40" t="n"/>
      <c r="Q286" s="40" t="n"/>
      <c r="R286" s="40" t="n"/>
      <c r="S286" s="39" t="str">
        <f>IF(COUNT(O286:R286)=0,"",AVERAGE(O286:R286))</f>
        <v/>
      </c>
      <c r="T286" s="40" t="n"/>
      <c r="U286" s="40" t="n"/>
      <c r="V286" s="40" t="n"/>
      <c r="W286" s="40" t="n"/>
      <c r="X286" s="39" t="str">
        <f>IF(COUNT(T286:W286)=0,"",AVERAGE(T286:W286))</f>
        <v/>
      </c>
      <c r="Y286" s="40" t="n"/>
      <c r="Z286" s="40" t="n"/>
      <c r="AA286" s="40" t="n"/>
      <c r="AB286" s="40" t="n"/>
      <c r="AC286" s="39" t="str">
        <f>IF(COUNT(Y286:AB286)=0,"",AVERAGE(Y286:AB286))</f>
        <v/>
      </c>
      <c r="AD286" s="40" t="n"/>
      <c r="AE286" s="40" t="n"/>
      <c r="AF286" s="40" t="n"/>
      <c r="AG286" s="40" t="n"/>
      <c r="AH286" s="39" t="str">
        <f>IF(COUNT(AD286:AG286)=0,"",AVERAGE(AD286:AG286))</f>
        <v/>
      </c>
      <c r="AI286" s="40" t="n"/>
      <c r="AJ286" s="40" t="n"/>
      <c r="AK286" s="40" t="n"/>
      <c r="AL286" s="40" t="n"/>
      <c r="AM286" s="39" t="str">
        <f>IF(COUNT(AI286:AL286)=0,"",AVERAGE(AI286:AL286))</f>
        <v/>
      </c>
      <c r="AN286" s="40" t="n"/>
      <c r="AO286" s="40" t="n"/>
      <c r="AP286" s="40" t="n"/>
      <c r="AQ286" s="40" t="n"/>
      <c r="AR286" s="39" t="str">
        <f>IF(COUNT(AN286:AQ286)=0,"",AVERAGE(AN286:AQ286))</f>
        <v/>
      </c>
      <c r="AS286" s="40" t="n"/>
      <c r="AT286" s="40" t="n"/>
      <c r="AU286" s="40" t="n"/>
      <c r="AV286" s="40" t="n"/>
      <c r="AW286" s="39" t="str">
        <f>IF(COUNT(AS286:AV286)=0,"",AVERAGE(AS286:AV286))</f>
        <v/>
      </c>
      <c r="AX286" s="40" t="n"/>
      <c r="AY286" s="40" t="n"/>
      <c r="AZ286" s="40" t="n"/>
      <c r="BA286" s="40" t="n"/>
      <c r="BB286" s="39" t="str">
        <f>IF(COUNT(AX286:BA286)=0,"",AVERAGE(AX286:BA286))</f>
        <v/>
      </c>
      <c r="BC286" s="40" t="n"/>
      <c r="BD286" s="40" t="n"/>
      <c r="BE286" s="40" t="n"/>
      <c r="BF286" s="40" t="n"/>
      <c r="BG286" s="39" t="str">
        <f>IF(COUNT(BC286:BF286)=0,"",AVERAGE(BC286:BF286))</f>
        <v/>
      </c>
    </row>
    <row r="287">
      <c r="C287" s="11" t="inlineStr">
        <is>
          <t>Resultado de trading — crescimento % YoY</t>
        </is>
      </c>
      <c r="D287" s="12" t="inlineStr">
        <is>
          <t>Insurance YoY</t>
        </is>
      </c>
      <c r="E287" s="40" t="n"/>
      <c r="F287" s="40" t="n"/>
      <c r="G287" s="40" t="n"/>
      <c r="H287" s="40" t="n"/>
      <c r="I287" s="39" t="str">
        <f>IF(COUNT(E287:H287)=0,"",AVERAGE(E287:H287))</f>
        <v/>
      </c>
      <c r="J287" s="40" t="n"/>
      <c r="K287" s="40" t="n"/>
      <c r="L287" s="40" t="n"/>
      <c r="M287" s="40" t="n"/>
      <c r="N287" s="39" t="str">
        <f>IF(COUNT(J287:M287)=0,"",AVERAGE(J287:M287))</f>
        <v/>
      </c>
      <c r="O287" s="40" t="n"/>
      <c r="P287" s="40" t="n"/>
      <c r="Q287" s="40" t="n"/>
      <c r="R287" s="40" t="n"/>
      <c r="S287" s="39" t="str">
        <f>IF(COUNT(O287:R287)=0,"",AVERAGE(O287:R287))</f>
        <v/>
      </c>
      <c r="T287" s="40" t="n"/>
      <c r="U287" s="40" t="n"/>
      <c r="V287" s="40" t="n"/>
      <c r="W287" s="40" t="n"/>
      <c r="X287" s="39" t="str">
        <f>IF(COUNT(T287:W287)=0,"",AVERAGE(T287:W287))</f>
        <v/>
      </c>
      <c r="Y287" s="40" t="n"/>
      <c r="Z287" s="40" t="n"/>
      <c r="AA287" s="40" t="n"/>
      <c r="AB287" s="40" t="n"/>
      <c r="AC287" s="39" t="str">
        <f>IF(COUNT(Y287:AB287)=0,"",AVERAGE(Y287:AB287))</f>
        <v/>
      </c>
      <c r="AD287" s="40" t="n"/>
      <c r="AE287" s="40" t="n"/>
      <c r="AF287" s="40" t="n"/>
      <c r="AG287" s="40" t="n"/>
      <c r="AH287" s="39" t="str">
        <f>IF(COUNT(AD287:AG287)=0,"",AVERAGE(AD287:AG287))</f>
        <v/>
      </c>
      <c r="AI287" s="40" t="n"/>
      <c r="AJ287" s="40" t="n"/>
      <c r="AK287" s="40" t="n"/>
      <c r="AL287" s="40" t="n"/>
      <c r="AM287" s="39" t="str">
        <f>IF(COUNT(AI287:AL287)=0,"",AVERAGE(AI287:AL287))</f>
        <v/>
      </c>
      <c r="AN287" s="40" t="n"/>
      <c r="AO287" s="40" t="n"/>
      <c r="AP287" s="40" t="n"/>
      <c r="AQ287" s="40" t="n"/>
      <c r="AR287" s="39" t="str">
        <f>IF(COUNT(AN287:AQ287)=0,"",AVERAGE(AN287:AQ287))</f>
        <v/>
      </c>
      <c r="AS287" s="40" t="n"/>
      <c r="AT287" s="40" t="n"/>
      <c r="AU287" s="40" t="n"/>
      <c r="AV287" s="40" t="n"/>
      <c r="AW287" s="39" t="str">
        <f>IF(COUNT(AS287:AV287)=0,"",AVERAGE(AS287:AV287))</f>
        <v/>
      </c>
      <c r="AX287" s="40" t="n"/>
      <c r="AY287" s="40" t="n"/>
      <c r="AZ287" s="40" t="n"/>
      <c r="BA287" s="40" t="n"/>
      <c r="BB287" s="39" t="str">
        <f>IF(COUNT(AX287:BA287)=0,"",AVERAGE(AX287:BA287))</f>
        <v/>
      </c>
      <c r="BC287" s="40" t="n"/>
      <c r="BD287" s="40" t="n"/>
      <c r="BE287" s="40" t="n"/>
      <c r="BF287" s="40" t="n"/>
      <c r="BG287" s="39" t="str">
        <f>IF(COUNT(BC287:BF287)=0,"",AVERAGE(BC287:BF287))</f>
        <v/>
      </c>
    </row>
    <row r="288">
      <c r="C288" s="11" t="inlineStr">
        <is>
          <t>Despesas de pessoal — crescimento % YoY</t>
        </is>
      </c>
      <c r="D288" s="12" t="inlineStr">
        <is>
          <t>Personnel YoY</t>
        </is>
      </c>
      <c r="E288" s="40" t="n"/>
      <c r="F288" s="40" t="n"/>
      <c r="G288" s="40" t="n"/>
      <c r="H288" s="40" t="n"/>
      <c r="I288" s="39" t="str">
        <f>IF(COUNT(E288:H288)=0,"",AVERAGE(E288:H288))</f>
        <v/>
      </c>
      <c r="J288" s="40" t="n"/>
      <c r="K288" s="40" t="n"/>
      <c r="L288" s="40" t="n"/>
      <c r="M288" s="40" t="n"/>
      <c r="N288" s="39" t="str">
        <f>IF(COUNT(J288:M288)=0,"",AVERAGE(J288:M288))</f>
        <v/>
      </c>
      <c r="O288" s="40" t="n"/>
      <c r="P288" s="40" t="n"/>
      <c r="Q288" s="40" t="n"/>
      <c r="R288" s="40" t="n"/>
      <c r="S288" s="39" t="str">
        <f>IF(COUNT(O288:R288)=0,"",AVERAGE(O288:R288))</f>
        <v/>
      </c>
      <c r="T288" s="40" t="n"/>
      <c r="U288" s="40" t="n"/>
      <c r="V288" s="40" t="n"/>
      <c r="W288" s="40" t="n"/>
      <c r="X288" s="39" t="str">
        <f>IF(COUNT(T288:W288)=0,"",AVERAGE(T288:W288))</f>
        <v/>
      </c>
      <c r="Y288" s="40" t="n"/>
      <c r="Z288" s="40" t="n"/>
      <c r="AA288" s="40" t="n"/>
      <c r="AB288" s="40" t="n"/>
      <c r="AC288" s="39" t="str">
        <f>IF(COUNT(Y288:AB288)=0,"",AVERAGE(Y288:AB288))</f>
        <v/>
      </c>
      <c r="AD288" s="40" t="n"/>
      <c r="AE288" s="40" t="n"/>
      <c r="AF288" s="40" t="n"/>
      <c r="AG288" s="40" t="n"/>
      <c r="AH288" s="39" t="str">
        <f>IF(COUNT(AD288:AG288)=0,"",AVERAGE(AD288:AG288))</f>
        <v/>
      </c>
      <c r="AI288" s="40" t="n"/>
      <c r="AJ288" s="40" t="n"/>
      <c r="AK288" s="40" t="n"/>
      <c r="AL288" s="40" t="n"/>
      <c r="AM288" s="39" t="str">
        <f>IF(COUNT(AI288:AL288)=0,"",AVERAGE(AI288:AL288))</f>
        <v/>
      </c>
      <c r="AN288" s="40" t="n"/>
      <c r="AO288" s="40" t="n"/>
      <c r="AP288" s="40" t="n"/>
      <c r="AQ288" s="40" t="n"/>
      <c r="AR288" s="39" t="str">
        <f>IF(COUNT(AN288:AQ288)=0,"",AVERAGE(AN288:AQ288))</f>
        <v/>
      </c>
      <c r="AS288" s="40" t="n"/>
      <c r="AT288" s="40" t="n"/>
      <c r="AU288" s="40" t="n"/>
      <c r="AV288" s="40" t="n"/>
      <c r="AW288" s="39" t="str">
        <f>IF(COUNT(AS288:AV288)=0,"",AVERAGE(AS288:AV288))</f>
        <v/>
      </c>
      <c r="AX288" s="40" t="n"/>
      <c r="AY288" s="40" t="n"/>
      <c r="AZ288" s="40" t="n"/>
      <c r="BA288" s="40" t="n"/>
      <c r="BB288" s="39" t="str">
        <f>IF(COUNT(AX288:BA288)=0,"",AVERAGE(AX288:BA288))</f>
        <v/>
      </c>
      <c r="BC288" s="40" t="n"/>
      <c r="BD288" s="40" t="n"/>
      <c r="BE288" s="40" t="n"/>
      <c r="BF288" s="40" t="n"/>
      <c r="BG288" s="39" t="str">
        <f>IF(COUNT(BC288:BF288)=0,"",AVERAGE(BC288:BF288))</f>
        <v/>
      </c>
    </row>
    <row r="289">
      <c r="C289" s="11" t="inlineStr">
        <is>
          <t>Outras despesas administrativas — crescimento % YoY</t>
        </is>
      </c>
      <c r="D289" s="12" t="inlineStr">
        <is>
          <t>Admin YoY</t>
        </is>
      </c>
      <c r="E289" s="40" t="n"/>
      <c r="F289" s="40" t="n"/>
      <c r="G289" s="40" t="n"/>
      <c r="H289" s="40" t="n"/>
      <c r="I289" s="39" t="str">
        <f>IF(COUNT(E289:H289)=0,"",AVERAGE(E289:H289))</f>
        <v/>
      </c>
      <c r="J289" s="40" t="n"/>
      <c r="K289" s="40" t="n"/>
      <c r="L289" s="40" t="n"/>
      <c r="M289" s="40" t="n"/>
      <c r="N289" s="39" t="str">
        <f>IF(COUNT(J289:M289)=0,"",AVERAGE(J289:M289))</f>
        <v/>
      </c>
      <c r="O289" s="40" t="n"/>
      <c r="P289" s="40" t="n"/>
      <c r="Q289" s="40" t="n"/>
      <c r="R289" s="40" t="n"/>
      <c r="S289" s="39" t="str">
        <f>IF(COUNT(O289:R289)=0,"",AVERAGE(O289:R289))</f>
        <v/>
      </c>
      <c r="T289" s="40" t="n"/>
      <c r="U289" s="40" t="n"/>
      <c r="V289" s="40" t="n"/>
      <c r="W289" s="40" t="n"/>
      <c r="X289" s="39" t="str">
        <f>IF(COUNT(T289:W289)=0,"",AVERAGE(T289:W289))</f>
        <v/>
      </c>
      <c r="Y289" s="40" t="n"/>
      <c r="Z289" s="40" t="n"/>
      <c r="AA289" s="40" t="n"/>
      <c r="AB289" s="40" t="n"/>
      <c r="AC289" s="39" t="str">
        <f>IF(COUNT(Y289:AB289)=0,"",AVERAGE(Y289:AB289))</f>
        <v/>
      </c>
      <c r="AD289" s="40" t="n"/>
      <c r="AE289" s="40" t="n"/>
      <c r="AF289" s="40" t="n"/>
      <c r="AG289" s="40" t="n"/>
      <c r="AH289" s="39" t="str">
        <f>IF(COUNT(AD289:AG289)=0,"",AVERAGE(AD289:AG289))</f>
        <v/>
      </c>
      <c r="AI289" s="40" t="n"/>
      <c r="AJ289" s="40" t="n"/>
      <c r="AK289" s="40" t="n"/>
      <c r="AL289" s="40" t="n"/>
      <c r="AM289" s="39" t="str">
        <f>IF(COUNT(AI289:AL289)=0,"",AVERAGE(AI289:AL289))</f>
        <v/>
      </c>
      <c r="AN289" s="40" t="n"/>
      <c r="AO289" s="40" t="n"/>
      <c r="AP289" s="40" t="n"/>
      <c r="AQ289" s="40" t="n"/>
      <c r="AR289" s="39" t="str">
        <f>IF(COUNT(AN289:AQ289)=0,"",AVERAGE(AN289:AQ289))</f>
        <v/>
      </c>
      <c r="AS289" s="40" t="n"/>
      <c r="AT289" s="40" t="n"/>
      <c r="AU289" s="40" t="n"/>
      <c r="AV289" s="40" t="n"/>
      <c r="AW289" s="39" t="str">
        <f>IF(COUNT(AS289:AV289)=0,"",AVERAGE(AS289:AV289))</f>
        <v/>
      </c>
      <c r="AX289" s="40" t="n"/>
      <c r="AY289" s="40" t="n"/>
      <c r="AZ289" s="40" t="n"/>
      <c r="BA289" s="40" t="n"/>
      <c r="BB289" s="39" t="str">
        <f>IF(COUNT(AX289:BA289)=0,"",AVERAGE(AX289:BA289))</f>
        <v/>
      </c>
      <c r="BC289" s="40" t="n"/>
      <c r="BD289" s="40" t="n"/>
      <c r="BE289" s="40" t="n"/>
      <c r="BF289" s="40" t="n"/>
      <c r="BG289" s="39" t="str">
        <f>IF(COUNT(BC289:BF289)=0,"",AVERAGE(BC289:BF289))</f>
        <v/>
      </c>
    </row>
    <row r="290">
      <c r="C290" s="11" t="inlineStr">
        <is>
          <t>Provisões jurídicas e outras (% da receita líquida)</t>
        </is>
      </c>
      <c r="D290" s="12" t="inlineStr">
        <is>
          <t>Other provisions</t>
        </is>
      </c>
      <c r="E290" s="40" t="n"/>
      <c r="F290" s="40" t="n"/>
      <c r="G290" s="40" t="n"/>
      <c r="H290" s="40" t="n"/>
      <c r="I290" s="39" t="str">
        <f>IF(COUNT(E290:H290)=0,"",AVERAGE(E290:H290))</f>
        <v/>
      </c>
      <c r="J290" s="40" t="n"/>
      <c r="K290" s="40" t="n"/>
      <c r="L290" s="40" t="n"/>
      <c r="M290" s="40" t="n"/>
      <c r="N290" s="39" t="str">
        <f>IF(COUNT(J290:M290)=0,"",AVERAGE(J290:M290))</f>
        <v/>
      </c>
      <c r="O290" s="40" t="n"/>
      <c r="P290" s="40" t="n"/>
      <c r="Q290" s="40" t="n"/>
      <c r="R290" s="40" t="n"/>
      <c r="S290" s="39" t="str">
        <f>IF(COUNT(O290:R290)=0,"",AVERAGE(O290:R290))</f>
        <v/>
      </c>
      <c r="T290" s="40" t="n"/>
      <c r="U290" s="40" t="n"/>
      <c r="V290" s="40" t="n"/>
      <c r="W290" s="40" t="n"/>
      <c r="X290" s="39" t="str">
        <f>IF(COUNT(T290:W290)=0,"",AVERAGE(T290:W290))</f>
        <v/>
      </c>
      <c r="Y290" s="40" t="n"/>
      <c r="Z290" s="40" t="n"/>
      <c r="AA290" s="40" t="n"/>
      <c r="AB290" s="40" t="n"/>
      <c r="AC290" s="39" t="str">
        <f>IF(COUNT(Y290:AB290)=0,"",AVERAGE(Y290:AB290))</f>
        <v/>
      </c>
      <c r="AD290" s="40" t="n"/>
      <c r="AE290" s="40" t="n"/>
      <c r="AF290" s="40" t="n"/>
      <c r="AG290" s="40" t="n"/>
      <c r="AH290" s="39" t="str">
        <f>IF(COUNT(AD290:AG290)=0,"",AVERAGE(AD290:AG290))</f>
        <v/>
      </c>
      <c r="AI290" s="40" t="n"/>
      <c r="AJ290" s="40" t="n"/>
      <c r="AK290" s="40" t="n"/>
      <c r="AL290" s="40" t="n"/>
      <c r="AM290" s="39" t="str">
        <f>IF(COUNT(AI290:AL290)=0,"",AVERAGE(AI290:AL290))</f>
        <v/>
      </c>
      <c r="AN290" s="40" t="n"/>
      <c r="AO290" s="40" t="n"/>
      <c r="AP290" s="40" t="n"/>
      <c r="AQ290" s="40" t="n"/>
      <c r="AR290" s="39" t="str">
        <f>IF(COUNT(AN290:AQ290)=0,"",AVERAGE(AN290:AQ290))</f>
        <v/>
      </c>
      <c r="AS290" s="40" t="n"/>
      <c r="AT290" s="40" t="n"/>
      <c r="AU290" s="40" t="n"/>
      <c r="AV290" s="40" t="n"/>
      <c r="AW290" s="39" t="str">
        <f>IF(COUNT(AS290:AV290)=0,"",AVERAGE(AS290:AV290))</f>
        <v/>
      </c>
      <c r="AX290" s="40" t="n"/>
      <c r="AY290" s="40" t="n"/>
      <c r="AZ290" s="40" t="n"/>
      <c r="BA290" s="40" t="n"/>
      <c r="BB290" s="39" t="str">
        <f>IF(COUNT(AX290:BA290)=0,"",AVERAGE(AX290:BA290))</f>
        <v/>
      </c>
      <c r="BC290" s="40" t="n"/>
      <c r="BD290" s="40" t="n"/>
      <c r="BE290" s="40" t="n"/>
      <c r="BF290" s="40" t="n"/>
      <c r="BG290" s="39" t="str">
        <f>IF(COUNT(BC290:BF290)=0,"",AVERAGE(BC290:BF290))</f>
        <v/>
      </c>
      <c r="BI290" s="14" t="inlineStr">
        <is>
          <t>Percentuais de despesa são digitados positivos; o modelo aplica o sinal negativo. Demais provisões fica em zero: a DRE recorrente não abre essa linha.</t>
        </is>
      </c>
    </row>
    <row r="291">
      <c r="C291" s="11" t="inlineStr">
        <is>
          <t>FDIC e contribuições regulatórias (% da receita líquida)</t>
        </is>
      </c>
      <c r="D291" s="12" t="inlineStr">
        <is>
          <t>Tax expenses</t>
        </is>
      </c>
      <c r="E291" s="40" t="n"/>
      <c r="F291" s="40" t="n"/>
      <c r="G291" s="40" t="n"/>
      <c r="H291" s="40" t="n"/>
      <c r="I291" s="39" t="str">
        <f>IF(COUNT(E291:H291)=0,"",AVERAGE(E291:H291))</f>
        <v/>
      </c>
      <c r="J291" s="40" t="n"/>
      <c r="K291" s="40" t="n"/>
      <c r="L291" s="40" t="n"/>
      <c r="M291" s="40" t="n"/>
      <c r="N291" s="39" t="str">
        <f>IF(COUNT(J291:M291)=0,"",AVERAGE(J291:M291))</f>
        <v/>
      </c>
      <c r="O291" s="40" t="n"/>
      <c r="P291" s="40" t="n"/>
      <c r="Q291" s="40" t="n"/>
      <c r="R291" s="40" t="n"/>
      <c r="S291" s="39" t="str">
        <f>IF(COUNT(O291:R291)=0,"",AVERAGE(O291:R291))</f>
        <v/>
      </c>
      <c r="T291" s="40" t="n"/>
      <c r="U291" s="40" t="n"/>
      <c r="V291" s="40" t="n"/>
      <c r="W291" s="40" t="n"/>
      <c r="X291" s="39" t="str">
        <f>IF(COUNT(T291:W291)=0,"",AVERAGE(T291:W291))</f>
        <v/>
      </c>
      <c r="Y291" s="40" t="n"/>
      <c r="Z291" s="40" t="n"/>
      <c r="AA291" s="40" t="n"/>
      <c r="AB291" s="40" t="n"/>
      <c r="AC291" s="39" t="str">
        <f>IF(COUNT(Y291:AB291)=0,"",AVERAGE(Y291:AB291))</f>
        <v/>
      </c>
      <c r="AD291" s="40" t="n"/>
      <c r="AE291" s="40" t="n"/>
      <c r="AF291" s="40" t="n"/>
      <c r="AG291" s="40" t="n"/>
      <c r="AH291" s="39" t="str">
        <f>IF(COUNT(AD291:AG291)=0,"",AVERAGE(AD291:AG291))</f>
        <v/>
      </c>
      <c r="AI291" s="40" t="n"/>
      <c r="AJ291" s="40" t="n"/>
      <c r="AK291" s="40" t="n"/>
      <c r="AL291" s="40" t="n"/>
      <c r="AM291" s="39" t="str">
        <f>IF(COUNT(AI291:AL291)=0,"",AVERAGE(AI291:AL291))</f>
        <v/>
      </c>
      <c r="AN291" s="40" t="n"/>
      <c r="AO291" s="40" t="n"/>
      <c r="AP291" s="40" t="n"/>
      <c r="AQ291" s="40" t="n"/>
      <c r="AR291" s="39" t="str">
        <f>IF(COUNT(AN291:AQ291)=0,"",AVERAGE(AN291:AQ291))</f>
        <v/>
      </c>
      <c r="AS291" s="40" t="n"/>
      <c r="AT291" s="40" t="n"/>
      <c r="AU291" s="40" t="n"/>
      <c r="AV291" s="40" t="n"/>
      <c r="AW291" s="39" t="str">
        <f>IF(COUNT(AS291:AV291)=0,"",AVERAGE(AS291:AV291))</f>
        <v/>
      </c>
      <c r="AX291" s="40" t="n"/>
      <c r="AY291" s="40" t="n"/>
      <c r="AZ291" s="40" t="n"/>
      <c r="BA291" s="40" t="n"/>
      <c r="BB291" s="39" t="str">
        <f>IF(COUNT(AX291:BA291)=0,"",AVERAGE(AX291:BA291))</f>
        <v/>
      </c>
      <c r="BC291" s="40" t="n"/>
      <c r="BD291" s="40" t="n"/>
      <c r="BE291" s="40" t="n"/>
      <c r="BF291" s="40" t="n"/>
      <c r="BG291" s="39" t="str">
        <f>IF(COUNT(BC291:BF291)=0,"",AVERAGE(BC291:BF291))</f>
        <v/>
      </c>
    </row>
    <row r="292">
      <c r="C292" s="11" t="str">
        <f>"Resultado de participações ("&amp;Inputs!$E$202&amp;")"</f>
        <v>Resultado de participações (US$ milhões)</v>
      </c>
      <c r="D292" s="12" t="inlineStr">
        <is>
          <t>Equity income</t>
        </is>
      </c>
      <c r="E292" s="45" t="n"/>
      <c r="F292" s="45" t="n"/>
      <c r="G292" s="45" t="n"/>
      <c r="H292" s="45" t="n"/>
      <c r="I292" s="46" t="str">
        <f>IF(COUNT(E292:H292)=0,"",AVERAGE(E292:H292))</f>
        <v/>
      </c>
      <c r="J292" s="45" t="n"/>
      <c r="K292" s="45" t="n"/>
      <c r="L292" s="45" t="n"/>
      <c r="M292" s="45" t="n"/>
      <c r="N292" s="46" t="str">
        <f>IF(COUNT(J292:M292)=0,"",AVERAGE(J292:M292))</f>
        <v/>
      </c>
      <c r="O292" s="45" t="n"/>
      <c r="P292" s="45" t="n"/>
      <c r="Q292" s="45" t="n"/>
      <c r="R292" s="45" t="n"/>
      <c r="S292" s="46" t="str">
        <f>IF(COUNT(O292:R292)=0,"",AVERAGE(O292:R292))</f>
        <v/>
      </c>
      <c r="T292" s="45" t="n"/>
      <c r="U292" s="45" t="n"/>
      <c r="V292" s="45" t="n"/>
      <c r="W292" s="45" t="n"/>
      <c r="X292" s="46" t="str">
        <f>IF(COUNT(T292:W292)=0,"",AVERAGE(T292:W292))</f>
        <v/>
      </c>
      <c r="Y292" s="45" t="n"/>
      <c r="Z292" s="45" t="n"/>
      <c r="AA292" s="45" t="n"/>
      <c r="AB292" s="45" t="n"/>
      <c r="AC292" s="46" t="str">
        <f>IF(COUNT(Y292:AB292)=0,"",AVERAGE(Y292:AB292))</f>
        <v/>
      </c>
      <c r="AD292" s="45" t="n"/>
      <c r="AE292" s="45" t="n"/>
      <c r="AF292" s="45" t="n"/>
      <c r="AG292" s="45" t="n"/>
      <c r="AH292" s="46" t="str">
        <f>IF(COUNT(AD292:AG292)=0,"",AVERAGE(AD292:AG292))</f>
        <v/>
      </c>
      <c r="AI292" s="45" t="n"/>
      <c r="AJ292" s="45" t="n"/>
      <c r="AK292" s="45" t="n"/>
      <c r="AL292" s="45" t="n"/>
      <c r="AM292" s="46" t="str">
        <f>IF(COUNT(AI292:AL292)=0,"",AVERAGE(AI292:AL292))</f>
        <v/>
      </c>
      <c r="AN292" s="45" t="n"/>
      <c r="AO292" s="45" t="n"/>
      <c r="AP292" s="45" t="n"/>
      <c r="AQ292" s="45" t="n"/>
      <c r="AR292" s="46" t="str">
        <f>IF(COUNT(AN292:AQ292)=0,"",AVERAGE(AN292:AQ292))</f>
        <v/>
      </c>
      <c r="AS292" s="45" t="n"/>
      <c r="AT292" s="45" t="n"/>
      <c r="AU292" s="45" t="n"/>
      <c r="AV292" s="45" t="n"/>
      <c r="AW292" s="46" t="str">
        <f>IF(COUNT(AS292:AV292)=0,"",AVERAGE(AS292:AV292))</f>
        <v/>
      </c>
      <c r="AX292" s="45" t="n"/>
      <c r="AY292" s="45" t="n"/>
      <c r="AZ292" s="45" t="n"/>
      <c r="BA292" s="45" t="n"/>
      <c r="BB292" s="46" t="str">
        <f>IF(COUNT(AX292:BA292)=0,"",AVERAGE(AX292:BA292))</f>
        <v/>
      </c>
      <c r="BC292" s="45" t="n"/>
      <c r="BD292" s="45" t="n"/>
      <c r="BE292" s="45" t="n"/>
      <c r="BF292" s="45" t="n"/>
      <c r="BG292" s="46" t="str">
        <f>IF(COUNT(BC292:BF292)=0,"",AVERAGE(BC292:BF292))</f>
        <v/>
      </c>
    </row>
    <row r="293">
      <c r="C293" s="11" t="inlineStr">
        <is>
          <t>Outras despesas operacionais líquidas (% da receita)</t>
        </is>
      </c>
      <c r="D293" s="12" t="inlineStr">
        <is>
          <t>Other op.</t>
        </is>
      </c>
      <c r="E293" s="40" t="n"/>
      <c r="F293" s="40" t="n"/>
      <c r="G293" s="40" t="n"/>
      <c r="H293" s="40" t="n"/>
      <c r="I293" s="39" t="str">
        <f>IF(COUNT(E293:H293)=0,"",AVERAGE(E293:H293))</f>
        <v/>
      </c>
      <c r="J293" s="40" t="n"/>
      <c r="K293" s="40" t="n"/>
      <c r="L293" s="40" t="n"/>
      <c r="M293" s="40" t="n"/>
      <c r="N293" s="39" t="str">
        <f>IF(COUNT(J293:M293)=0,"",AVERAGE(J293:M293))</f>
        <v/>
      </c>
      <c r="O293" s="40" t="n"/>
      <c r="P293" s="40" t="n"/>
      <c r="Q293" s="40" t="n"/>
      <c r="R293" s="40" t="n"/>
      <c r="S293" s="39" t="str">
        <f>IF(COUNT(O293:R293)=0,"",AVERAGE(O293:R293))</f>
        <v/>
      </c>
      <c r="T293" s="40" t="n"/>
      <c r="U293" s="40" t="n"/>
      <c r="V293" s="40" t="n"/>
      <c r="W293" s="40" t="n"/>
      <c r="X293" s="39" t="str">
        <f>IF(COUNT(T293:W293)=0,"",AVERAGE(T293:W293))</f>
        <v/>
      </c>
      <c r="Y293" s="40" t="n"/>
      <c r="Z293" s="40" t="n"/>
      <c r="AA293" s="40" t="n"/>
      <c r="AB293" s="40" t="n"/>
      <c r="AC293" s="39" t="str">
        <f>IF(COUNT(Y293:AB293)=0,"",AVERAGE(Y293:AB293))</f>
        <v/>
      </c>
      <c r="AD293" s="40" t="n"/>
      <c r="AE293" s="40" t="n"/>
      <c r="AF293" s="40" t="n"/>
      <c r="AG293" s="40" t="n"/>
      <c r="AH293" s="39" t="str">
        <f>IF(COUNT(AD293:AG293)=0,"",AVERAGE(AD293:AG293))</f>
        <v/>
      </c>
      <c r="AI293" s="40" t="n"/>
      <c r="AJ293" s="40" t="n"/>
      <c r="AK293" s="40" t="n"/>
      <c r="AL293" s="40" t="n"/>
      <c r="AM293" s="39" t="str">
        <f>IF(COUNT(AI293:AL293)=0,"",AVERAGE(AI293:AL293))</f>
        <v/>
      </c>
      <c r="AN293" s="40" t="n"/>
      <c r="AO293" s="40" t="n"/>
      <c r="AP293" s="40" t="n"/>
      <c r="AQ293" s="40" t="n"/>
      <c r="AR293" s="39" t="str">
        <f>IF(COUNT(AN293:AQ293)=0,"",AVERAGE(AN293:AQ293))</f>
        <v/>
      </c>
      <c r="AS293" s="40" t="n"/>
      <c r="AT293" s="40" t="n"/>
      <c r="AU293" s="40" t="n"/>
      <c r="AV293" s="40" t="n"/>
      <c r="AW293" s="39" t="str">
        <f>IF(COUNT(AS293:AV293)=0,"",AVERAGE(AS293:AV293))</f>
        <v/>
      </c>
      <c r="AX293" s="40" t="n"/>
      <c r="AY293" s="40" t="n"/>
      <c r="AZ293" s="40" t="n"/>
      <c r="BA293" s="40" t="n"/>
      <c r="BB293" s="39" t="str">
        <f>IF(COUNT(AX293:BA293)=0,"",AVERAGE(AX293:BA293))</f>
        <v/>
      </c>
      <c r="BC293" s="40" t="n"/>
      <c r="BD293" s="40" t="n"/>
      <c r="BE293" s="40" t="n"/>
      <c r="BF293" s="40" t="n"/>
      <c r="BG293" s="39" t="str">
        <f>IF(COUNT(BC293:BF293)=0,"",AVERAGE(BC293:BF293))</f>
        <v/>
      </c>
    </row>
    <row r="294">
      <c r="C294" s="11" t="str">
        <f>"Resultado não operacional ("&amp;Inputs!$E$202&amp;")"</f>
        <v>Resultado não operacional (US$ milhões)</v>
      </c>
      <c r="D294" s="12" t="inlineStr">
        <is>
          <t>Non-operating</t>
        </is>
      </c>
      <c r="E294" s="45" t="n"/>
      <c r="F294" s="45" t="n"/>
      <c r="G294" s="45" t="n"/>
      <c r="H294" s="45" t="n"/>
      <c r="I294" s="46" t="str">
        <f>IF(COUNT(E294:H294)=0,"",AVERAGE(E294:H294))</f>
        <v/>
      </c>
      <c r="J294" s="45" t="n"/>
      <c r="K294" s="45" t="n"/>
      <c r="L294" s="45" t="n"/>
      <c r="M294" s="45" t="n"/>
      <c r="N294" s="46" t="str">
        <f>IF(COUNT(J294:M294)=0,"",AVERAGE(J294:M294))</f>
        <v/>
      </c>
      <c r="O294" s="45" t="n"/>
      <c r="P294" s="45" t="n"/>
      <c r="Q294" s="45" t="n"/>
      <c r="R294" s="45" t="n"/>
      <c r="S294" s="46" t="str">
        <f>IF(COUNT(O294:R294)=0,"",AVERAGE(O294:R294))</f>
        <v/>
      </c>
      <c r="T294" s="45" t="n"/>
      <c r="U294" s="45" t="n"/>
      <c r="V294" s="45" t="n"/>
      <c r="W294" s="45" t="n"/>
      <c r="X294" s="46" t="str">
        <f>IF(COUNT(T294:W294)=0,"",AVERAGE(T294:W294))</f>
        <v/>
      </c>
      <c r="Y294" s="45" t="n"/>
      <c r="Z294" s="45" t="n"/>
      <c r="AA294" s="45" t="n"/>
      <c r="AB294" s="45" t="n"/>
      <c r="AC294" s="46" t="str">
        <f>IF(COUNT(Y294:AB294)=0,"",AVERAGE(Y294:AB294))</f>
        <v/>
      </c>
      <c r="AD294" s="45" t="n"/>
      <c r="AE294" s="45" t="n"/>
      <c r="AF294" s="45" t="n"/>
      <c r="AG294" s="45" t="n"/>
      <c r="AH294" s="46" t="str">
        <f>IF(COUNT(AD294:AG294)=0,"",AVERAGE(AD294:AG294))</f>
        <v/>
      </c>
      <c r="AI294" s="45" t="n"/>
      <c r="AJ294" s="45" t="n"/>
      <c r="AK294" s="45" t="n"/>
      <c r="AL294" s="45" t="n"/>
      <c r="AM294" s="46" t="str">
        <f>IF(COUNT(AI294:AL294)=0,"",AVERAGE(AI294:AL294))</f>
        <v/>
      </c>
      <c r="AN294" s="45" t="n"/>
      <c r="AO294" s="45" t="n"/>
      <c r="AP294" s="45" t="n"/>
      <c r="AQ294" s="45" t="n"/>
      <c r="AR294" s="46" t="str">
        <f>IF(COUNT(AN294:AQ294)=0,"",AVERAGE(AN294:AQ294))</f>
        <v/>
      </c>
      <c r="AS294" s="45" t="n"/>
      <c r="AT294" s="45" t="n"/>
      <c r="AU294" s="45" t="n"/>
      <c r="AV294" s="45" t="n"/>
      <c r="AW294" s="46" t="str">
        <f>IF(COUNT(AS294:AV294)=0,"",AVERAGE(AS294:AV294))</f>
        <v/>
      </c>
      <c r="AX294" s="45" t="n"/>
      <c r="AY294" s="45" t="n"/>
      <c r="AZ294" s="45" t="n"/>
      <c r="BA294" s="45" t="n"/>
      <c r="BB294" s="46" t="str">
        <f>IF(COUNT(AX294:BA294)=0,"",AVERAGE(AX294:BA294))</f>
        <v/>
      </c>
      <c r="BC294" s="45" t="n"/>
      <c r="BD294" s="45" t="n"/>
      <c r="BE294" s="45" t="n"/>
      <c r="BF294" s="45" t="n"/>
      <c r="BG294" s="46" t="str">
        <f>IF(COUNT(BC294:BF294)=0,"",AVERAGE(BC294:BF294))</f>
        <v/>
      </c>
    </row>
    <row r="295">
      <c r="C295" s="11" t="inlineStr">
        <is>
          <t>Alíquota efetiva de imposto de renda (%)</t>
        </is>
      </c>
      <c r="D295" s="12" t="inlineStr">
        <is>
          <t>Effective tax rate</t>
        </is>
      </c>
      <c r="E295" s="40" t="n"/>
      <c r="F295" s="40" t="n"/>
      <c r="G295" s="40" t="n"/>
      <c r="H295" s="40" t="n"/>
      <c r="I295" s="39" t="str">
        <f>IF(COUNT(E295:H295)=0,"",AVERAGE(E295:H295))</f>
        <v/>
      </c>
      <c r="J295" s="40" t="n"/>
      <c r="K295" s="40" t="n"/>
      <c r="L295" s="40" t="n"/>
      <c r="M295" s="40" t="n"/>
      <c r="N295" s="39" t="str">
        <f>IF(COUNT(J295:M295)=0,"",AVERAGE(J295:M295))</f>
        <v/>
      </c>
      <c r="O295" s="40" t="n"/>
      <c r="P295" s="40" t="n"/>
      <c r="Q295" s="40" t="n"/>
      <c r="R295" s="40" t="n"/>
      <c r="S295" s="39" t="str">
        <f>IF(COUNT(O295:R295)=0,"",AVERAGE(O295:R295))</f>
        <v/>
      </c>
      <c r="T295" s="40" t="n"/>
      <c r="U295" s="40" t="n"/>
      <c r="V295" s="40" t="n"/>
      <c r="W295" s="40" t="n"/>
      <c r="X295" s="39" t="str">
        <f>IF(COUNT(T295:W295)=0,"",AVERAGE(T295:W295))</f>
        <v/>
      </c>
      <c r="Y295" s="40" t="n"/>
      <c r="Z295" s="40" t="n"/>
      <c r="AA295" s="40" t="n"/>
      <c r="AB295" s="40" t="n"/>
      <c r="AC295" s="39" t="str">
        <f>IF(COUNT(Y295:AB295)=0,"",AVERAGE(Y295:AB295))</f>
        <v/>
      </c>
      <c r="AD295" s="40" t="n"/>
      <c r="AE295" s="40" t="n"/>
      <c r="AF295" s="40" t="n"/>
      <c r="AG295" s="40" t="n"/>
      <c r="AH295" s="39" t="str">
        <f>IF(COUNT(AD295:AG295)=0,"",AVERAGE(AD295:AG295))</f>
        <v/>
      </c>
      <c r="AI295" s="40" t="n"/>
      <c r="AJ295" s="40" t="n"/>
      <c r="AK295" s="40" t="n"/>
      <c r="AL295" s="40" t="n"/>
      <c r="AM295" s="39" t="str">
        <f>IF(COUNT(AI295:AL295)=0,"",AVERAGE(AI295:AL295))</f>
        <v/>
      </c>
      <c r="AN295" s="40" t="n"/>
      <c r="AO295" s="40" t="n"/>
      <c r="AP295" s="40" t="n"/>
      <c r="AQ295" s="40" t="n"/>
      <c r="AR295" s="39" t="str">
        <f>IF(COUNT(AN295:AQ295)=0,"",AVERAGE(AN295:AQ295))</f>
        <v/>
      </c>
      <c r="AS295" s="40" t="n"/>
      <c r="AT295" s="40" t="n"/>
      <c r="AU295" s="40" t="n"/>
      <c r="AV295" s="40" t="n"/>
      <c r="AW295" s="39" t="str">
        <f>IF(COUNT(AS295:AV295)=0,"",AVERAGE(AS295:AV295))</f>
        <v/>
      </c>
      <c r="AX295" s="40" t="n"/>
      <c r="AY295" s="40" t="n"/>
      <c r="AZ295" s="40" t="n"/>
      <c r="BA295" s="40" t="n"/>
      <c r="BB295" s="39" t="str">
        <f>IF(COUNT(AX295:BA295)=0,"",AVERAGE(AX295:BA295))</f>
        <v/>
      </c>
      <c r="BC295" s="40" t="n"/>
      <c r="BD295" s="40" t="n"/>
      <c r="BE295" s="40" t="n"/>
      <c r="BF295" s="40" t="n"/>
      <c r="BG295" s="39" t="str">
        <f>IF(COUNT(BC295:BF295)=0,"",AVERAGE(BC295:BF295))</f>
        <v/>
      </c>
    </row>
    <row r="296">
      <c r="C296" s="11" t="inlineStr">
        <is>
          <t>Participação de minoritários (% do lucro líquido)</t>
        </is>
      </c>
      <c r="D296" s="12" t="inlineStr">
        <is>
          <t>Minority</t>
        </is>
      </c>
      <c r="E296" s="40" t="n"/>
      <c r="F296" s="40" t="n"/>
      <c r="G296" s="40" t="n"/>
      <c r="H296" s="40" t="n"/>
      <c r="I296" s="39" t="str">
        <f>IF(COUNT(E296:H296)=0,"",AVERAGE(E296:H296))</f>
        <v/>
      </c>
      <c r="J296" s="40" t="n"/>
      <c r="K296" s="40" t="n"/>
      <c r="L296" s="40" t="n"/>
      <c r="M296" s="40" t="n"/>
      <c r="N296" s="39" t="str">
        <f>IF(COUNT(J296:M296)=0,"",AVERAGE(J296:M296))</f>
        <v/>
      </c>
      <c r="O296" s="40" t="n"/>
      <c r="P296" s="40" t="n"/>
      <c r="Q296" s="40" t="n"/>
      <c r="R296" s="40" t="n"/>
      <c r="S296" s="39" t="str">
        <f>IF(COUNT(O296:R296)=0,"",AVERAGE(O296:R296))</f>
        <v/>
      </c>
      <c r="T296" s="40" t="n"/>
      <c r="U296" s="40" t="n"/>
      <c r="V296" s="40" t="n"/>
      <c r="W296" s="40" t="n"/>
      <c r="X296" s="39" t="str">
        <f>IF(COUNT(T296:W296)=0,"",AVERAGE(T296:W296))</f>
        <v/>
      </c>
      <c r="Y296" s="40" t="n"/>
      <c r="Z296" s="40" t="n"/>
      <c r="AA296" s="40" t="n"/>
      <c r="AB296" s="40" t="n"/>
      <c r="AC296" s="39" t="str">
        <f>IF(COUNT(Y296:AB296)=0,"",AVERAGE(Y296:AB296))</f>
        <v/>
      </c>
      <c r="AD296" s="40" t="n"/>
      <c r="AE296" s="40" t="n"/>
      <c r="AF296" s="40" t="n"/>
      <c r="AG296" s="40" t="n"/>
      <c r="AH296" s="39" t="str">
        <f>IF(COUNT(AD296:AG296)=0,"",AVERAGE(AD296:AG296))</f>
        <v/>
      </c>
      <c r="AI296" s="40" t="n"/>
      <c r="AJ296" s="40" t="n"/>
      <c r="AK296" s="40" t="n"/>
      <c r="AL296" s="40" t="n"/>
      <c r="AM296" s="39" t="str">
        <f>IF(COUNT(AI296:AL296)=0,"",AVERAGE(AI296:AL296))</f>
        <v/>
      </c>
      <c r="AN296" s="40" t="n"/>
      <c r="AO296" s="40" t="n"/>
      <c r="AP296" s="40" t="n"/>
      <c r="AQ296" s="40" t="n"/>
      <c r="AR296" s="39" t="str">
        <f>IF(COUNT(AN296:AQ296)=0,"",AVERAGE(AN296:AQ296))</f>
        <v/>
      </c>
      <c r="AS296" s="40" t="n"/>
      <c r="AT296" s="40" t="n"/>
      <c r="AU296" s="40" t="n"/>
      <c r="AV296" s="40" t="n"/>
      <c r="AW296" s="39" t="str">
        <f>IF(COUNT(AS296:AV296)=0,"",AVERAGE(AS296:AV296))</f>
        <v/>
      </c>
      <c r="AX296" s="40" t="n"/>
      <c r="AY296" s="40" t="n"/>
      <c r="AZ296" s="40" t="n"/>
      <c r="BA296" s="40" t="n"/>
      <c r="BB296" s="39" t="str">
        <f>IF(COUNT(AX296:BA296)=0,"",AVERAGE(AX296:BA296))</f>
        <v/>
      </c>
      <c r="BC296" s="40" t="n"/>
      <c r="BD296" s="40" t="n"/>
      <c r="BE296" s="40" t="n"/>
      <c r="BF296" s="40" t="n"/>
      <c r="BG296" s="39" t="str">
        <f>IF(COUNT(BC296:BF296)=0,"",AVERAGE(BC296:BF296))</f>
        <v/>
      </c>
    </row>
    <row r="298">
      <c r="B298" s="7" t="n"/>
      <c r="C298" s="7" t="inlineStr">
        <is>
          <t>DRIVERS — CAPITAL, PAYOUT E PATRIMÔNIO</t>
        </is>
      </c>
      <c r="D298" s="7" t="inlineStr">
        <is>
          <t>DRIVERS — CAPITAL, PAYOUT &amp; EQUITY</t>
        </is>
      </c>
      <c r="E298" s="7" t="n"/>
      <c r="F298" s="7" t="n"/>
      <c r="G298" s="7" t="n"/>
      <c r="H298" s="7" t="n"/>
      <c r="I298" s="7" t="n"/>
      <c r="J298" s="7" t="n"/>
      <c r="K298" s="7" t="n"/>
      <c r="L298" s="7" t="n"/>
      <c r="M298" s="7" t="n"/>
      <c r="N298" s="7" t="n"/>
      <c r="O298" s="7" t="n"/>
      <c r="P298" s="7" t="n"/>
      <c r="Q298" s="7" t="n"/>
      <c r="R298" s="7" t="n"/>
      <c r="S298" s="7" t="n"/>
      <c r="T298" s="7" t="n"/>
      <c r="U298" s="7" t="n"/>
      <c r="V298" s="7" t="n"/>
      <c r="W298" s="7" t="n"/>
      <c r="X298" s="7" t="n"/>
      <c r="Y298" s="7" t="n"/>
      <c r="Z298" s="7" t="n"/>
      <c r="AA298" s="7" t="n"/>
      <c r="AB298" s="7" t="n"/>
      <c r="AC298" s="7" t="n"/>
      <c r="AD298" s="7" t="n"/>
      <c r="AE298" s="7" t="n"/>
      <c r="AF298" s="7" t="n"/>
      <c r="AG298" s="7" t="n"/>
      <c r="AH298" s="7" t="n"/>
      <c r="AI298" s="7" t="n"/>
      <c r="AJ298" s="7" t="n"/>
      <c r="AK298" s="7" t="n"/>
      <c r="AL298" s="7" t="n"/>
      <c r="AM298" s="7" t="n"/>
      <c r="AN298" s="7" t="n"/>
      <c r="AO298" s="7" t="n"/>
      <c r="AP298" s="7" t="n"/>
      <c r="AQ298" s="7" t="n"/>
      <c r="AR298" s="7" t="n"/>
      <c r="AS298" s="7" t="n"/>
      <c r="AT298" s="7" t="n"/>
      <c r="AU298" s="7" t="n"/>
      <c r="AV298" s="7" t="n"/>
      <c r="AW298" s="7" t="n"/>
      <c r="AX298" s="7" t="n"/>
      <c r="AY298" s="7" t="n"/>
      <c r="AZ298" s="7" t="n"/>
      <c r="BA298" s="7" t="n"/>
      <c r="BB298" s="7" t="n"/>
      <c r="BC298" s="7" t="n"/>
      <c r="BD298" s="7" t="n"/>
      <c r="BE298" s="7" t="n"/>
      <c r="BF298" s="7" t="n"/>
      <c r="BG298" s="7" t="n"/>
      <c r="BH298" s="7" t="n"/>
      <c r="BI298" s="7" t="n"/>
    </row>
    <row r="299">
      <c r="C299" s="11" t="inlineStr">
        <is>
          <t>Payout de dividendos ordinários (% do lucro ao acionista comum)</t>
        </is>
      </c>
      <c r="D299" s="12" t="inlineStr">
        <is>
          <t>Payout</t>
        </is>
      </c>
      <c r="E299" s="40" t="n"/>
      <c r="F299" s="40" t="n"/>
      <c r="G299" s="40" t="n"/>
      <c r="H299" s="40" t="n"/>
      <c r="I299" s="39" t="str">
        <f>IF(COUNT(E299:H299)=0,"",AVERAGE(E299:H299))</f>
        <v/>
      </c>
      <c r="J299" s="40" t="n"/>
      <c r="K299" s="40" t="n"/>
      <c r="L299" s="40" t="n"/>
      <c r="M299" s="40" t="n"/>
      <c r="N299" s="39" t="str">
        <f>IF(COUNT(J299:M299)=0,"",AVERAGE(J299:M299))</f>
        <v/>
      </c>
      <c r="O299" s="40" t="n"/>
      <c r="P299" s="40" t="n"/>
      <c r="Q299" s="40" t="n"/>
      <c r="R299" s="40" t="n"/>
      <c r="S299" s="39" t="str">
        <f>IF(COUNT(O299:R299)=0,"",AVERAGE(O299:R299))</f>
        <v/>
      </c>
      <c r="T299" s="40" t="n"/>
      <c r="U299" s="40" t="n"/>
      <c r="V299" s="40" t="n"/>
      <c r="W299" s="40" t="n"/>
      <c r="X299" s="39" t="str">
        <f>IF(COUNT(T299:W299)=0,"",AVERAGE(T299:W299))</f>
        <v/>
      </c>
      <c r="Y299" s="40" t="n"/>
      <c r="Z299" s="40" t="n"/>
      <c r="AA299" s="40" t="n"/>
      <c r="AB299" s="40" t="n"/>
      <c r="AC299" s="39" t="str">
        <f>IF(COUNT(Y299:AB299)=0,"",AVERAGE(Y299:AB299))</f>
        <v/>
      </c>
      <c r="AD299" s="40" t="n"/>
      <c r="AE299" s="40" t="n"/>
      <c r="AF299" s="40" t="n"/>
      <c r="AG299" s="40" t="n"/>
      <c r="AH299" s="39" t="str">
        <f>IF(COUNT(AD299:AG299)=0,"",AVERAGE(AD299:AG299))</f>
        <v/>
      </c>
      <c r="AI299" s="40" t="n"/>
      <c r="AJ299" s="40" t="n"/>
      <c r="AK299" s="40" t="n"/>
      <c r="AL299" s="40" t="n"/>
      <c r="AM299" s="39" t="str">
        <f>IF(COUNT(AI299:AL299)=0,"",AVERAGE(AI299:AL299))</f>
        <v/>
      </c>
      <c r="AN299" s="40" t="n"/>
      <c r="AO299" s="40" t="n"/>
      <c r="AP299" s="40" t="n"/>
      <c r="AQ299" s="40" t="n"/>
      <c r="AR299" s="39" t="str">
        <f>IF(COUNT(AN299:AQ299)=0,"",AVERAGE(AN299:AQ299))</f>
        <v/>
      </c>
      <c r="AS299" s="40" t="n"/>
      <c r="AT299" s="40" t="n"/>
      <c r="AU299" s="40" t="n"/>
      <c r="AV299" s="40" t="n"/>
      <c r="AW299" s="39" t="str">
        <f>IF(COUNT(AS299:AV299)=0,"",AVERAGE(AS299:AV299))</f>
        <v/>
      </c>
      <c r="AX299" s="40" t="n"/>
      <c r="AY299" s="40" t="n"/>
      <c r="AZ299" s="40" t="n"/>
      <c r="BA299" s="40" t="n"/>
      <c r="BB299" s="39" t="str">
        <f>IF(COUNT(AX299:BA299)=0,"",AVERAGE(AX299:BA299))</f>
        <v/>
      </c>
      <c r="BC299" s="40" t="n"/>
      <c r="BD299" s="40" t="n"/>
      <c r="BE299" s="40" t="n"/>
      <c r="BF299" s="40" t="n"/>
      <c r="BG299" s="39" t="str">
        <f>IF(COUNT(BC299:BF299)=0,"",AVERAGE(BC299:BF299))</f>
        <v/>
      </c>
    </row>
    <row r="300">
      <c r="C300" s="11" t="inlineStr">
        <is>
          <t>Recompras de ações (% do lucro ao acionista comum)</t>
        </is>
      </c>
      <c r="D300" s="12" t="inlineStr">
        <is>
          <t>Buybacks</t>
        </is>
      </c>
      <c r="E300" s="40" t="n"/>
      <c r="F300" s="40" t="n"/>
      <c r="G300" s="40" t="n"/>
      <c r="H300" s="40" t="n"/>
      <c r="I300" s="39" t="str">
        <f>IF(COUNT(E300:H300)=0,"",AVERAGE(E300:H300))</f>
        <v/>
      </c>
      <c r="J300" s="40" t="n"/>
      <c r="K300" s="40" t="n"/>
      <c r="L300" s="40" t="n"/>
      <c r="M300" s="40" t="n"/>
      <c r="N300" s="39" t="str">
        <f>IF(COUNT(J300:M300)=0,"",AVERAGE(J300:M300))</f>
        <v/>
      </c>
      <c r="O300" s="40" t="n"/>
      <c r="P300" s="40" t="n"/>
      <c r="Q300" s="40" t="n"/>
      <c r="R300" s="40" t="n"/>
      <c r="S300" s="39" t="str">
        <f>IF(COUNT(O300:R300)=0,"",AVERAGE(O300:R300))</f>
        <v/>
      </c>
      <c r="T300" s="40" t="n"/>
      <c r="U300" s="40" t="n"/>
      <c r="V300" s="40" t="n"/>
      <c r="W300" s="40" t="n"/>
      <c r="X300" s="39" t="str">
        <f>IF(COUNT(T300:W300)=0,"",AVERAGE(T300:W300))</f>
        <v/>
      </c>
      <c r="Y300" s="40" t="n"/>
      <c r="Z300" s="40" t="n"/>
      <c r="AA300" s="40" t="n"/>
      <c r="AB300" s="40" t="n"/>
      <c r="AC300" s="39" t="str">
        <f>IF(COUNT(Y300:AB300)=0,"",AVERAGE(Y300:AB300))</f>
        <v/>
      </c>
      <c r="AD300" s="40" t="n"/>
      <c r="AE300" s="40" t="n"/>
      <c r="AF300" s="40" t="n"/>
      <c r="AG300" s="40" t="n"/>
      <c r="AH300" s="39" t="str">
        <f>IF(COUNT(AD300:AG300)=0,"",AVERAGE(AD300:AG300))</f>
        <v/>
      </c>
      <c r="AI300" s="40" t="n"/>
      <c r="AJ300" s="40" t="n"/>
      <c r="AK300" s="40" t="n"/>
      <c r="AL300" s="40" t="n"/>
      <c r="AM300" s="39" t="str">
        <f>IF(COUNT(AI300:AL300)=0,"",AVERAGE(AI300:AL300))</f>
        <v/>
      </c>
      <c r="AN300" s="40" t="n"/>
      <c r="AO300" s="40" t="n"/>
      <c r="AP300" s="40" t="n"/>
      <c r="AQ300" s="40" t="n"/>
      <c r="AR300" s="39" t="str">
        <f>IF(COUNT(AN300:AQ300)=0,"",AVERAGE(AN300:AQ300))</f>
        <v/>
      </c>
      <c r="AS300" s="40" t="n"/>
      <c r="AT300" s="40" t="n"/>
      <c r="AU300" s="40" t="n"/>
      <c r="AV300" s="40" t="n"/>
      <c r="AW300" s="39" t="str">
        <f>IF(COUNT(AS300:AV300)=0,"",AVERAGE(AS300:AV300))</f>
        <v/>
      </c>
      <c r="AX300" s="40" t="n"/>
      <c r="AY300" s="40" t="n"/>
      <c r="AZ300" s="40" t="n"/>
      <c r="BA300" s="40" t="n"/>
      <c r="BB300" s="39" t="str">
        <f>IF(COUNT(AX300:BA300)=0,"",AVERAGE(AX300:BA300))</f>
        <v/>
      </c>
      <c r="BC300" s="40" t="n"/>
      <c r="BD300" s="40" t="n"/>
      <c r="BE300" s="40" t="n"/>
      <c r="BF300" s="40" t="n"/>
      <c r="BG300" s="39" t="str">
        <f>IF(COUNT(BC300:BF300)=0,"",AVERAGE(BC300:BF300))</f>
        <v/>
      </c>
    </row>
    <row r="301">
      <c r="C301" s="11" t="inlineStr">
        <is>
          <t>RWA / Ativo total (%)</t>
        </is>
      </c>
      <c r="D301" s="12" t="inlineStr">
        <is>
          <t>RWA over assets</t>
        </is>
      </c>
      <c r="E301" s="40" t="n"/>
      <c r="F301" s="40" t="n"/>
      <c r="G301" s="40" t="n"/>
      <c r="H301" s="40" t="n"/>
      <c r="I301" s="39" t="str">
        <f>IF(COUNT(E301:H301)=0,"",AVERAGE(E301:H301))</f>
        <v/>
      </c>
      <c r="J301" s="40" t="n"/>
      <c r="K301" s="40" t="n"/>
      <c r="L301" s="40" t="n"/>
      <c r="M301" s="40" t="n"/>
      <c r="N301" s="39" t="str">
        <f>IF(COUNT(J301:M301)=0,"",AVERAGE(J301:M301))</f>
        <v/>
      </c>
      <c r="O301" s="40" t="n"/>
      <c r="P301" s="40" t="n"/>
      <c r="Q301" s="40" t="n"/>
      <c r="R301" s="40" t="n"/>
      <c r="S301" s="39" t="str">
        <f>IF(COUNT(O301:R301)=0,"",AVERAGE(O301:R301))</f>
        <v/>
      </c>
      <c r="T301" s="40" t="n"/>
      <c r="U301" s="40" t="n"/>
      <c r="V301" s="40" t="n"/>
      <c r="W301" s="40" t="n"/>
      <c r="X301" s="39" t="str">
        <f>IF(COUNT(T301:W301)=0,"",AVERAGE(T301:W301))</f>
        <v/>
      </c>
      <c r="Y301" s="40" t="n"/>
      <c r="Z301" s="40" t="n"/>
      <c r="AA301" s="40" t="n"/>
      <c r="AB301" s="40" t="n"/>
      <c r="AC301" s="39" t="str">
        <f>IF(COUNT(Y301:AB301)=0,"",AVERAGE(Y301:AB301))</f>
        <v/>
      </c>
      <c r="AD301" s="40" t="n"/>
      <c r="AE301" s="40" t="n"/>
      <c r="AF301" s="40" t="n"/>
      <c r="AG301" s="40" t="n"/>
      <c r="AH301" s="39" t="str">
        <f>IF(COUNT(AD301:AG301)=0,"",AVERAGE(AD301:AG301))</f>
        <v/>
      </c>
      <c r="AI301" s="40" t="n"/>
      <c r="AJ301" s="40" t="n"/>
      <c r="AK301" s="40" t="n"/>
      <c r="AL301" s="40" t="n"/>
      <c r="AM301" s="39" t="str">
        <f>IF(COUNT(AI301:AL301)=0,"",AVERAGE(AI301:AL301))</f>
        <v/>
      </c>
      <c r="AN301" s="40" t="n"/>
      <c r="AO301" s="40" t="n"/>
      <c r="AP301" s="40" t="n"/>
      <c r="AQ301" s="40" t="n"/>
      <c r="AR301" s="39" t="str">
        <f>IF(COUNT(AN301:AQ301)=0,"",AVERAGE(AN301:AQ301))</f>
        <v/>
      </c>
      <c r="AS301" s="40" t="n"/>
      <c r="AT301" s="40" t="n"/>
      <c r="AU301" s="40" t="n"/>
      <c r="AV301" s="40" t="n"/>
      <c r="AW301" s="39" t="str">
        <f>IF(COUNT(AS301:AV301)=0,"",AVERAGE(AS301:AV301))</f>
        <v/>
      </c>
      <c r="AX301" s="40" t="n"/>
      <c r="AY301" s="40" t="n"/>
      <c r="AZ301" s="40" t="n"/>
      <c r="BA301" s="40" t="n"/>
      <c r="BB301" s="39" t="str">
        <f>IF(COUNT(AX301:BA301)=0,"",AVERAGE(AX301:BA301))</f>
        <v/>
      </c>
      <c r="BC301" s="40" t="n"/>
      <c r="BD301" s="40" t="n"/>
      <c r="BE301" s="40" t="n"/>
      <c r="BF301" s="40" t="n"/>
      <c r="BG301" s="39" t="str">
        <f>IF(COUNT(BC301:BF301)=0,"",AVERAGE(BC301:BF301))</f>
        <v/>
      </c>
    </row>
    <row r="302">
      <c r="C302" s="11" t="inlineStr">
        <is>
          <t>Índice de capital total alvo (%)</t>
        </is>
      </c>
      <c r="D302" s="12" t="inlineStr">
        <is>
          <t>Target Basel</t>
        </is>
      </c>
      <c r="E302" s="40" t="n"/>
      <c r="F302" s="40" t="n"/>
      <c r="G302" s="40" t="n"/>
      <c r="H302" s="40" t="n"/>
      <c r="I302" s="39" t="str">
        <f>IF(COUNT(E302:H302)=0,"",AVERAGE(E302:H302))</f>
        <v/>
      </c>
      <c r="J302" s="40" t="n"/>
      <c r="K302" s="40" t="n"/>
      <c r="L302" s="40" t="n"/>
      <c r="M302" s="40" t="n"/>
      <c r="N302" s="39" t="str">
        <f>IF(COUNT(J302:M302)=0,"",AVERAGE(J302:M302))</f>
        <v/>
      </c>
      <c r="O302" s="40" t="n"/>
      <c r="P302" s="40" t="n"/>
      <c r="Q302" s="40" t="n"/>
      <c r="R302" s="40" t="n"/>
      <c r="S302" s="39" t="str">
        <f>IF(COUNT(O302:R302)=0,"",AVERAGE(O302:R302))</f>
        <v/>
      </c>
      <c r="T302" s="40" t="n"/>
      <c r="U302" s="40" t="n"/>
      <c r="V302" s="40" t="n"/>
      <c r="W302" s="40" t="n"/>
      <c r="X302" s="39" t="str">
        <f>IF(COUNT(T302:W302)=0,"",AVERAGE(T302:W302))</f>
        <v/>
      </c>
      <c r="Y302" s="40" t="n"/>
      <c r="Z302" s="40" t="n"/>
      <c r="AA302" s="40" t="n"/>
      <c r="AB302" s="40" t="n"/>
      <c r="AC302" s="39" t="str">
        <f>IF(COUNT(Y302:AB302)=0,"",AVERAGE(Y302:AB302))</f>
        <v/>
      </c>
      <c r="AD302" s="40" t="n"/>
      <c r="AE302" s="40" t="n"/>
      <c r="AF302" s="40" t="n"/>
      <c r="AG302" s="40" t="n"/>
      <c r="AH302" s="39" t="str">
        <f>IF(COUNT(AD302:AG302)=0,"",AVERAGE(AD302:AG302))</f>
        <v/>
      </c>
      <c r="AI302" s="40" t="n"/>
      <c r="AJ302" s="40" t="n"/>
      <c r="AK302" s="40" t="n"/>
      <c r="AL302" s="40" t="n"/>
      <c r="AM302" s="39" t="str">
        <f>IF(COUNT(AI302:AL302)=0,"",AVERAGE(AI302:AL302))</f>
        <v/>
      </c>
      <c r="AN302" s="40" t="n"/>
      <c r="AO302" s="40" t="n"/>
      <c r="AP302" s="40" t="n"/>
      <c r="AQ302" s="40" t="n"/>
      <c r="AR302" s="39" t="str">
        <f>IF(COUNT(AN302:AQ302)=0,"",AVERAGE(AN302:AQ302))</f>
        <v/>
      </c>
      <c r="AS302" s="40" t="n"/>
      <c r="AT302" s="40" t="n"/>
      <c r="AU302" s="40" t="n"/>
      <c r="AV302" s="40" t="n"/>
      <c r="AW302" s="39" t="str">
        <f>IF(COUNT(AS302:AV302)=0,"",AVERAGE(AS302:AV302))</f>
        <v/>
      </c>
      <c r="AX302" s="40" t="n"/>
      <c r="AY302" s="40" t="n"/>
      <c r="AZ302" s="40" t="n"/>
      <c r="BA302" s="40" t="n"/>
      <c r="BB302" s="39" t="str">
        <f>IF(COUNT(AX302:BA302)=0,"",AVERAGE(AX302:BA302))</f>
        <v/>
      </c>
      <c r="BC302" s="40" t="n"/>
      <c r="BD302" s="40" t="n"/>
      <c r="BE302" s="40" t="n"/>
      <c r="BF302" s="40" t="n"/>
      <c r="BG302" s="39" t="str">
        <f>IF(COUNT(BC302:BF302)=0,"",AVERAGE(BC302:BF302))</f>
        <v/>
      </c>
    </row>
    <row r="303">
      <c r="C303" s="11" t="inlineStr">
        <is>
          <t>Tier 1 alvo (%)</t>
        </is>
      </c>
      <c r="D303" s="12" t="inlineStr">
        <is>
          <t>Target Tier 1</t>
        </is>
      </c>
      <c r="E303" s="40" t="n"/>
      <c r="F303" s="40" t="n"/>
      <c r="G303" s="40" t="n"/>
      <c r="H303" s="40" t="n"/>
      <c r="I303" s="39" t="str">
        <f>IF(COUNT(E303:H303)=0,"",AVERAGE(E303:H303))</f>
        <v/>
      </c>
      <c r="J303" s="40" t="n"/>
      <c r="K303" s="40" t="n"/>
      <c r="L303" s="40" t="n"/>
      <c r="M303" s="40" t="n"/>
      <c r="N303" s="39" t="str">
        <f>IF(COUNT(J303:M303)=0,"",AVERAGE(J303:M303))</f>
        <v/>
      </c>
      <c r="O303" s="40" t="n"/>
      <c r="P303" s="40" t="n"/>
      <c r="Q303" s="40" t="n"/>
      <c r="R303" s="40" t="n"/>
      <c r="S303" s="39" t="str">
        <f>IF(COUNT(O303:R303)=0,"",AVERAGE(O303:R303))</f>
        <v/>
      </c>
      <c r="T303" s="40" t="n"/>
      <c r="U303" s="40" t="n"/>
      <c r="V303" s="40" t="n"/>
      <c r="W303" s="40" t="n"/>
      <c r="X303" s="39" t="str">
        <f>IF(COUNT(T303:W303)=0,"",AVERAGE(T303:W303))</f>
        <v/>
      </c>
      <c r="Y303" s="40" t="n"/>
      <c r="Z303" s="40" t="n"/>
      <c r="AA303" s="40" t="n"/>
      <c r="AB303" s="40" t="n"/>
      <c r="AC303" s="39" t="str">
        <f>IF(COUNT(Y303:AB303)=0,"",AVERAGE(Y303:AB303))</f>
        <v/>
      </c>
      <c r="AD303" s="40" t="n"/>
      <c r="AE303" s="40" t="n"/>
      <c r="AF303" s="40" t="n"/>
      <c r="AG303" s="40" t="n"/>
      <c r="AH303" s="39" t="str">
        <f>IF(COUNT(AD303:AG303)=0,"",AVERAGE(AD303:AG303))</f>
        <v/>
      </c>
      <c r="AI303" s="40" t="n"/>
      <c r="AJ303" s="40" t="n"/>
      <c r="AK303" s="40" t="n"/>
      <c r="AL303" s="40" t="n"/>
      <c r="AM303" s="39" t="str">
        <f>IF(COUNT(AI303:AL303)=0,"",AVERAGE(AI303:AL303))</f>
        <v/>
      </c>
      <c r="AN303" s="40" t="n"/>
      <c r="AO303" s="40" t="n"/>
      <c r="AP303" s="40" t="n"/>
      <c r="AQ303" s="40" t="n"/>
      <c r="AR303" s="39" t="str">
        <f>IF(COUNT(AN303:AQ303)=0,"",AVERAGE(AN303:AQ303))</f>
        <v/>
      </c>
      <c r="AS303" s="40" t="n"/>
      <c r="AT303" s="40" t="n"/>
      <c r="AU303" s="40" t="n"/>
      <c r="AV303" s="40" t="n"/>
      <c r="AW303" s="39" t="str">
        <f>IF(COUNT(AS303:AV303)=0,"",AVERAGE(AS303:AV303))</f>
        <v/>
      </c>
      <c r="AX303" s="40" t="n"/>
      <c r="AY303" s="40" t="n"/>
      <c r="AZ303" s="40" t="n"/>
      <c r="BA303" s="40" t="n"/>
      <c r="BB303" s="39" t="str">
        <f>IF(COUNT(AX303:BA303)=0,"",AVERAGE(AX303:BA303))</f>
        <v/>
      </c>
      <c r="BC303" s="40" t="n"/>
      <c r="BD303" s="40" t="n"/>
      <c r="BE303" s="40" t="n"/>
      <c r="BF303" s="40" t="n"/>
      <c r="BG303" s="39" t="str">
        <f>IF(COUNT(BC303:BF303)=0,"",AVERAGE(BC303:BF303))</f>
        <v/>
      </c>
    </row>
    <row r="304">
      <c r="C304" s="11" t="inlineStr">
        <is>
          <t>CET1 alvo (%)</t>
        </is>
      </c>
      <c r="D304" s="12" t="inlineStr">
        <is>
          <t>Target CET1</t>
        </is>
      </c>
      <c r="E304" s="40" t="n"/>
      <c r="F304" s="40" t="n"/>
      <c r="G304" s="40" t="n"/>
      <c r="H304" s="40" t="n"/>
      <c r="I304" s="39" t="str">
        <f>IF(COUNT(E304:H304)=0,"",AVERAGE(E304:H304))</f>
        <v/>
      </c>
      <c r="J304" s="40" t="n"/>
      <c r="K304" s="40" t="n"/>
      <c r="L304" s="40" t="n"/>
      <c r="M304" s="40" t="n"/>
      <c r="N304" s="39" t="str">
        <f>IF(COUNT(J304:M304)=0,"",AVERAGE(J304:M304))</f>
        <v/>
      </c>
      <c r="O304" s="40" t="n"/>
      <c r="P304" s="40" t="n"/>
      <c r="Q304" s="40" t="n"/>
      <c r="R304" s="40" t="n"/>
      <c r="S304" s="39" t="str">
        <f>IF(COUNT(O304:R304)=0,"",AVERAGE(O304:R304))</f>
        <v/>
      </c>
      <c r="T304" s="40" t="n"/>
      <c r="U304" s="40" t="n"/>
      <c r="V304" s="40" t="n"/>
      <c r="W304" s="40" t="n"/>
      <c r="X304" s="39" t="str">
        <f>IF(COUNT(T304:W304)=0,"",AVERAGE(T304:W304))</f>
        <v/>
      </c>
      <c r="Y304" s="40" t="n"/>
      <c r="Z304" s="40" t="n"/>
      <c r="AA304" s="40" t="n"/>
      <c r="AB304" s="40" t="n"/>
      <c r="AC304" s="39" t="str">
        <f>IF(COUNT(Y304:AB304)=0,"",AVERAGE(Y304:AB304))</f>
        <v/>
      </c>
      <c r="AD304" s="40" t="n"/>
      <c r="AE304" s="40" t="n"/>
      <c r="AF304" s="40" t="n"/>
      <c r="AG304" s="40" t="n"/>
      <c r="AH304" s="39" t="str">
        <f>IF(COUNT(AD304:AG304)=0,"",AVERAGE(AD304:AG304))</f>
        <v/>
      </c>
      <c r="AI304" s="40" t="n"/>
      <c r="AJ304" s="40" t="n"/>
      <c r="AK304" s="40" t="n"/>
      <c r="AL304" s="40" t="n"/>
      <c r="AM304" s="39" t="str">
        <f>IF(COUNT(AI304:AL304)=0,"",AVERAGE(AI304:AL304))</f>
        <v/>
      </c>
      <c r="AN304" s="40" t="n"/>
      <c r="AO304" s="40" t="n"/>
      <c r="AP304" s="40" t="n"/>
      <c r="AQ304" s="40" t="n"/>
      <c r="AR304" s="39" t="str">
        <f>IF(COUNT(AN304:AQ304)=0,"",AVERAGE(AN304:AQ304))</f>
        <v/>
      </c>
      <c r="AS304" s="40" t="n"/>
      <c r="AT304" s="40" t="n"/>
      <c r="AU304" s="40" t="n"/>
      <c r="AV304" s="40" t="n"/>
      <c r="AW304" s="39" t="str">
        <f>IF(COUNT(AS304:AV304)=0,"",AVERAGE(AS304:AV304))</f>
        <v/>
      </c>
      <c r="AX304" s="40" t="n"/>
      <c r="AY304" s="40" t="n"/>
      <c r="AZ304" s="40" t="n"/>
      <c r="BA304" s="40" t="n"/>
      <c r="BB304" s="39" t="str">
        <f>IF(COUNT(AX304:BA304)=0,"",AVERAGE(AX304:BA304))</f>
        <v/>
      </c>
      <c r="BC304" s="40" t="n"/>
      <c r="BD304" s="40" t="n"/>
      <c r="BE304" s="40" t="n"/>
      <c r="BF304" s="40" t="n"/>
      <c r="BG304" s="39" t="str">
        <f>IF(COUNT(BC304:BF304)=0,"",AVERAGE(BC304:BF304))</f>
        <v/>
      </c>
    </row>
    <row r="305">
      <c r="C305" s="11" t="str">
        <f>"Outros resultados abrangentes no período ("&amp;Inputs!$E$202&amp;")"</f>
        <v>Outros resultados abrangentes no período (US$ milhões)</v>
      </c>
      <c r="D305" s="12" t="inlineStr">
        <is>
          <t>OCI</t>
        </is>
      </c>
      <c r="E305" s="45" t="n"/>
      <c r="F305" s="45" t="n"/>
      <c r="G305" s="45" t="n"/>
      <c r="H305" s="45" t="n"/>
      <c r="I305" s="46" t="str">
        <f>IF(COUNT(E305:H305)=0,"",AVERAGE(E305:H305))</f>
        <v/>
      </c>
      <c r="J305" s="45" t="n"/>
      <c r="K305" s="45" t="n"/>
      <c r="L305" s="45" t="n"/>
      <c r="M305" s="45" t="n"/>
      <c r="N305" s="46" t="str">
        <f>IF(COUNT(J305:M305)=0,"",AVERAGE(J305:M305))</f>
        <v/>
      </c>
      <c r="O305" s="45" t="n"/>
      <c r="P305" s="45" t="n"/>
      <c r="Q305" s="45" t="n"/>
      <c r="R305" s="45" t="n"/>
      <c r="S305" s="46" t="str">
        <f>IF(COUNT(O305:R305)=0,"",AVERAGE(O305:R305))</f>
        <v/>
      </c>
      <c r="T305" s="45" t="n"/>
      <c r="U305" s="45" t="n"/>
      <c r="V305" s="45" t="n"/>
      <c r="W305" s="45" t="n"/>
      <c r="X305" s="46" t="str">
        <f>IF(COUNT(T305:W305)=0,"",AVERAGE(T305:W305))</f>
        <v/>
      </c>
      <c r="Y305" s="45" t="n"/>
      <c r="Z305" s="45" t="n"/>
      <c r="AA305" s="45" t="n"/>
      <c r="AB305" s="45" t="n"/>
      <c r="AC305" s="46" t="str">
        <f>IF(COUNT(Y305:AB305)=0,"",AVERAGE(Y305:AB305))</f>
        <v/>
      </c>
      <c r="AD305" s="45" t="n"/>
      <c r="AE305" s="45" t="n"/>
      <c r="AF305" s="45" t="n"/>
      <c r="AG305" s="45" t="n"/>
      <c r="AH305" s="46" t="str">
        <f>IF(COUNT(AD305:AG305)=0,"",AVERAGE(AD305:AG305))</f>
        <v/>
      </c>
      <c r="AI305" s="45" t="n"/>
      <c r="AJ305" s="45" t="n"/>
      <c r="AK305" s="45" t="n"/>
      <c r="AL305" s="45" t="n"/>
      <c r="AM305" s="46" t="str">
        <f>IF(COUNT(AI305:AL305)=0,"",AVERAGE(AI305:AL305))</f>
        <v/>
      </c>
      <c r="AN305" s="45" t="n"/>
      <c r="AO305" s="45" t="n"/>
      <c r="AP305" s="45" t="n"/>
      <c r="AQ305" s="45" t="n"/>
      <c r="AR305" s="46" t="str">
        <f>IF(COUNT(AN305:AQ305)=0,"",AVERAGE(AN305:AQ305))</f>
        <v/>
      </c>
      <c r="AS305" s="45" t="n"/>
      <c r="AT305" s="45" t="n"/>
      <c r="AU305" s="45" t="n"/>
      <c r="AV305" s="45" t="n"/>
      <c r="AW305" s="46" t="str">
        <f>IF(COUNT(AS305:AV305)=0,"",AVERAGE(AS305:AV305))</f>
        <v/>
      </c>
      <c r="AX305" s="45" t="n"/>
      <c r="AY305" s="45" t="n"/>
      <c r="AZ305" s="45" t="n"/>
      <c r="BA305" s="45" t="n"/>
      <c r="BB305" s="46" t="str">
        <f>IF(COUNT(AX305:BA305)=0,"",AVERAGE(AX305:BA305))</f>
        <v/>
      </c>
      <c r="BC305" s="45" t="n"/>
      <c r="BD305" s="45" t="n"/>
      <c r="BE305" s="45" t="n"/>
      <c r="BF305" s="45" t="n"/>
      <c r="BG305" s="46" t="str">
        <f>IF(COUNT(BC305:BF305)=0,"",AVERAGE(BC305:BF305))</f>
        <v/>
      </c>
    </row>
    <row r="306">
      <c r="C306" s="11" t="str">
        <f>"Aumento/(redução) de capital ("&amp;Inputs!$E$202&amp;")"</f>
        <v>Aumento/(redução) de capital (US$ milhões)</v>
      </c>
      <c r="D306" s="12" t="inlineStr">
        <is>
          <t>Capital change</t>
        </is>
      </c>
      <c r="E306" s="45" t="n"/>
      <c r="F306" s="45" t="n"/>
      <c r="G306" s="45" t="n"/>
      <c r="H306" s="45" t="n"/>
      <c r="I306" s="46" t="str">
        <f>IF(COUNT(E306:H306)=0,"",AVERAGE(E306:H306))</f>
        <v/>
      </c>
      <c r="J306" s="45" t="n"/>
      <c r="K306" s="45" t="n"/>
      <c r="L306" s="45" t="n"/>
      <c r="M306" s="45" t="n"/>
      <c r="N306" s="46" t="str">
        <f>IF(COUNT(J306:M306)=0,"",AVERAGE(J306:M306))</f>
        <v/>
      </c>
      <c r="O306" s="45" t="n"/>
      <c r="P306" s="45" t="n"/>
      <c r="Q306" s="45" t="n"/>
      <c r="R306" s="45" t="n"/>
      <c r="S306" s="46" t="str">
        <f>IF(COUNT(O306:R306)=0,"",AVERAGE(O306:R306))</f>
        <v/>
      </c>
      <c r="T306" s="45" t="n"/>
      <c r="U306" s="45" t="n"/>
      <c r="V306" s="45" t="n"/>
      <c r="W306" s="45" t="n"/>
      <c r="X306" s="46" t="str">
        <f>IF(COUNT(T306:W306)=0,"",AVERAGE(T306:W306))</f>
        <v/>
      </c>
      <c r="Y306" s="45" t="n"/>
      <c r="Z306" s="45" t="n"/>
      <c r="AA306" s="45" t="n"/>
      <c r="AB306" s="45" t="n"/>
      <c r="AC306" s="46" t="str">
        <f>IF(COUNT(Y306:AB306)=0,"",AVERAGE(Y306:AB306))</f>
        <v/>
      </c>
      <c r="AD306" s="45" t="n"/>
      <c r="AE306" s="45" t="n"/>
      <c r="AF306" s="45" t="n"/>
      <c r="AG306" s="45" t="n"/>
      <c r="AH306" s="46" t="str">
        <f>IF(COUNT(AD306:AG306)=0,"",AVERAGE(AD306:AG306))</f>
        <v/>
      </c>
      <c r="AI306" s="45" t="n"/>
      <c r="AJ306" s="45" t="n"/>
      <c r="AK306" s="45" t="n"/>
      <c r="AL306" s="45" t="n"/>
      <c r="AM306" s="46" t="str">
        <f>IF(COUNT(AI306:AL306)=0,"",AVERAGE(AI306:AL306))</f>
        <v/>
      </c>
      <c r="AN306" s="45" t="n"/>
      <c r="AO306" s="45" t="n"/>
      <c r="AP306" s="45" t="n"/>
      <c r="AQ306" s="45" t="n"/>
      <c r="AR306" s="46" t="str">
        <f>IF(COUNT(AN306:AQ306)=0,"",AVERAGE(AN306:AQ306))</f>
        <v/>
      </c>
      <c r="AS306" s="45" t="n"/>
      <c r="AT306" s="45" t="n"/>
      <c r="AU306" s="45" t="n"/>
      <c r="AV306" s="45" t="n"/>
      <c r="AW306" s="46" t="str">
        <f>IF(COUNT(AS306:AV306)=0,"",AVERAGE(AS306:AV306))</f>
        <v/>
      </c>
      <c r="AX306" s="45" t="n"/>
      <c r="AY306" s="45" t="n"/>
      <c r="AZ306" s="45" t="n"/>
      <c r="BA306" s="45" t="n"/>
      <c r="BB306" s="46" t="str">
        <f>IF(COUNT(AX306:BA306)=0,"",AVERAGE(AX306:BA306))</f>
        <v/>
      </c>
      <c r="BC306" s="45" t="n"/>
      <c r="BD306" s="45" t="n"/>
      <c r="BE306" s="45" t="n"/>
      <c r="BF306" s="45" t="n"/>
      <c r="BG306" s="46" t="str">
        <f>IF(COUNT(BC306:BF306)=0,"",AVERAGE(BC306:BF306))</f>
        <v/>
      </c>
    </row>
    <row r="308">
      <c r="B308" s="7" t="n"/>
      <c r="C308" s="7" t="inlineStr">
        <is>
          <t>PREMISSAS DE VALUATION</t>
        </is>
      </c>
      <c r="D308" s="7" t="inlineStr">
        <is>
          <t>VALUATION ASSUMPTIONS</t>
        </is>
      </c>
      <c r="E308" s="7" t="n"/>
      <c r="F308" s="7" t="n"/>
      <c r="G308" s="7" t="n"/>
      <c r="H308" s="7" t="n"/>
      <c r="I308" s="7" t="n"/>
      <c r="J308" s="7" t="n"/>
      <c r="K308" s="7" t="n"/>
      <c r="L308" s="7" t="n"/>
      <c r="M308" s="7" t="n"/>
      <c r="N308" s="7" t="n"/>
      <c r="O308" s="7" t="n"/>
      <c r="P308" s="7" t="n"/>
      <c r="Q308" s="7" t="n"/>
      <c r="R308" s="7" t="n"/>
      <c r="S308" s="7" t="n"/>
      <c r="T308" s="7" t="n"/>
      <c r="U308" s="7" t="n"/>
      <c r="V308" s="7" t="n"/>
      <c r="W308" s="7" t="n"/>
      <c r="X308" s="7" t="n"/>
      <c r="Y308" s="7" t="n"/>
      <c r="Z308" s="7" t="n"/>
      <c r="AA308" s="7" t="n"/>
      <c r="AB308" s="7" t="n"/>
      <c r="AC308" s="7" t="n"/>
      <c r="AD308" s="7" t="n"/>
      <c r="AE308" s="7" t="n"/>
      <c r="AF308" s="7" t="n"/>
      <c r="AG308" s="7" t="n"/>
      <c r="AH308" s="7" t="n"/>
      <c r="AI308" s="7" t="n"/>
      <c r="AJ308" s="7" t="n"/>
      <c r="AK308" s="7" t="n"/>
      <c r="AL308" s="7" t="n"/>
      <c r="AM308" s="7" t="n"/>
      <c r="AN308" s="7" t="n"/>
      <c r="AO308" s="7" t="n"/>
      <c r="AP308" s="7" t="n"/>
      <c r="AQ308" s="7" t="n"/>
      <c r="AR308" s="7" t="n"/>
      <c r="AS308" s="7" t="n"/>
      <c r="AT308" s="7" t="n"/>
      <c r="AU308" s="7" t="n"/>
      <c r="AV308" s="7" t="n"/>
      <c r="AW308" s="7" t="n"/>
      <c r="AX308" s="7" t="n"/>
      <c r="AY308" s="7" t="n"/>
      <c r="AZ308" s="7" t="n"/>
      <c r="BA308" s="7" t="n"/>
      <c r="BB308" s="7" t="n"/>
      <c r="BC308" s="7" t="n"/>
      <c r="BD308" s="7" t="n"/>
      <c r="BE308" s="7" t="n"/>
      <c r="BF308" s="7" t="n"/>
      <c r="BG308" s="7" t="n"/>
      <c r="BH308" s="7" t="n"/>
      <c r="BI308" s="28" t="inlineStr">
        <is>
          <t>Bloco desligado nesta versão: o modelo está em modo histórico, sem projeção e sem valuation. As linhas ficam prontas para receber sua premissa quando você quiser ligar.</t>
        </is>
      </c>
    </row>
    <row r="309">
      <c r="C309" s="11" t="inlineStr">
        <is>
          <t>Taxa livre de risco — Treasury 10 anos (% a.a.)</t>
        </is>
      </c>
      <c r="D309" s="12" t="inlineStr">
        <is>
          <t>Risk-free rate</t>
        </is>
      </c>
      <c r="E309" s="40" t="n"/>
    </row>
    <row r="310">
      <c r="C310" s="11" t="inlineStr">
        <is>
          <t>Prêmio de risco de mercado — EUA (%)</t>
        </is>
      </c>
      <c r="D310" s="12" t="inlineStr">
        <is>
          <t>Equity risk premium</t>
        </is>
      </c>
      <c r="E310" s="40" t="n"/>
    </row>
    <row r="311">
      <c r="C311" s="11" t="inlineStr">
        <is>
          <t>Beta alavancado</t>
        </is>
      </c>
      <c r="D311" s="12" t="inlineStr">
        <is>
          <t>Levered beta</t>
        </is>
      </c>
      <c r="E311" s="47" t="n"/>
    </row>
    <row r="312">
      <c r="C312" s="11" t="inlineStr">
        <is>
          <t>Prêmio de tamanho / liquidez (%) — normalmente zero em large caps dos EUA</t>
        </is>
      </c>
      <c r="D312" s="12" t="inlineStr">
        <is>
          <t>Size premium</t>
        </is>
      </c>
      <c r="E312" s="40" t="n"/>
    </row>
    <row r="313">
      <c r="C313" s="15" t="inlineStr">
        <is>
          <t>Custo do capital próprio — Ke (% a.a.)</t>
        </is>
      </c>
      <c r="D313" s="16" t="inlineStr">
        <is>
          <t>Cost of equity (CAPM)</t>
        </is>
      </c>
      <c r="E313" s="48">
        <f>E309+E311*E310+E312</f>
        <v>0</v>
      </c>
      <c r="BI313" s="14" t="inlineStr">
        <is>
          <t>Ke = Rf + β × ERP + prêmio de tamanho. Para banco não se usa WACC: a dívida é insumo operacional.</t>
        </is>
      </c>
    </row>
    <row r="314">
      <c r="C314" s="11" t="inlineStr">
        <is>
          <t>Crescimento na perpetuidade — g (% a.a.)</t>
        </is>
      </c>
      <c r="D314" s="12" t="inlineStr">
        <is>
          <t>Terminal growth</t>
        </is>
      </c>
      <c r="E314" s="40" t="n"/>
    </row>
    <row r="315">
      <c r="C315" s="11" t="inlineStr">
        <is>
          <t>ROE sustentável na perpetuidade (%)</t>
        </is>
      </c>
      <c r="D315" s="12" t="inlineStr">
        <is>
          <t>Sustainable ROE</t>
        </is>
      </c>
      <c r="E315" s="40" t="n"/>
    </row>
    <row r="316">
      <c r="C316" s="26" t="inlineStr">
        <is>
          <t>Payout implícito na perpetuidade (%)</t>
        </is>
      </c>
      <c r="D316" s="12" t="inlineStr">
        <is>
          <t>Implied payout</t>
        </is>
      </c>
      <c r="E316" s="49">
        <f>IFERROR(1-E314/E315,0)</f>
        <v>0</v>
      </c>
      <c r="BI316" s="14" t="inlineStr">
        <is>
          <t>Regra de consistência: g = ROE × (1 – payout).</t>
        </is>
      </c>
    </row>
    <row r="317">
      <c r="C317" s="11" t="inlineStr">
        <is>
          <t>Último ano projetado explicitamente</t>
        </is>
      </c>
      <c r="D317" s="12" t="inlineStr">
        <is>
          <t>Last forecast year</t>
        </is>
      </c>
      <c r="E317" s="50" t="n"/>
    </row>
    <row r="319">
      <c r="B319" s="29" t="n"/>
      <c r="C319" s="29" t="inlineStr">
        <is>
          <t>Ponderação dos métodos</t>
        </is>
      </c>
      <c r="D319" s="29" t="inlineStr">
        <is>
          <t>Method weights</t>
        </is>
      </c>
      <c r="E319" s="29" t="n"/>
      <c r="F319" s="29" t="n"/>
      <c r="G319" s="29" t="n"/>
      <c r="H319" s="29" t="n"/>
      <c r="I319" s="29" t="n"/>
      <c r="J319" s="29" t="n"/>
      <c r="K319" s="29" t="n"/>
      <c r="L319" s="29" t="n"/>
      <c r="M319" s="29" t="n"/>
      <c r="N319" s="29" t="n"/>
      <c r="O319" s="29" t="n"/>
      <c r="P319" s="29" t="n"/>
      <c r="Q319" s="29" t="n"/>
      <c r="R319" s="29" t="n"/>
      <c r="S319" s="29" t="n"/>
      <c r="T319" s="29" t="n"/>
      <c r="U319" s="29" t="n"/>
      <c r="V319" s="29" t="n"/>
      <c r="W319" s="29" t="n"/>
      <c r="X319" s="29" t="n"/>
      <c r="Y319" s="29" t="n"/>
      <c r="Z319" s="29" t="n"/>
      <c r="AA319" s="29" t="n"/>
      <c r="AB319" s="29" t="n"/>
      <c r="AC319" s="29" t="n"/>
      <c r="AD319" s="29" t="n"/>
      <c r="AE319" s="29" t="n"/>
      <c r="AF319" s="29" t="n"/>
      <c r="AG319" s="29" t="n"/>
      <c r="AH319" s="29" t="n"/>
      <c r="AI319" s="29" t="n"/>
      <c r="AJ319" s="29" t="n"/>
      <c r="AK319" s="29" t="n"/>
      <c r="AL319" s="29" t="n"/>
      <c r="AM319" s="29" t="n"/>
      <c r="AN319" s="29" t="n"/>
      <c r="AO319" s="29" t="n"/>
      <c r="AP319" s="29" t="n"/>
      <c r="AQ319" s="29" t="n"/>
      <c r="AR319" s="29" t="n"/>
      <c r="AS319" s="29" t="n"/>
      <c r="AT319" s="29" t="n"/>
      <c r="AU319" s="29" t="n"/>
      <c r="AV319" s="29" t="n"/>
      <c r="AW319" s="29" t="n"/>
      <c r="AX319" s="29" t="n"/>
      <c r="AY319" s="29" t="n"/>
      <c r="AZ319" s="29" t="n"/>
      <c r="BA319" s="29" t="n"/>
      <c r="BB319" s="29" t="n"/>
      <c r="BC319" s="29" t="n"/>
      <c r="BD319" s="29" t="n"/>
      <c r="BE319" s="29" t="n"/>
      <c r="BF319" s="29" t="n"/>
      <c r="BG319" s="29" t="n"/>
      <c r="BH319" s="29" t="n"/>
      <c r="BI319" s="29" t="n"/>
    </row>
    <row r="320">
      <c r="C320" s="11" t="inlineStr">
        <is>
          <t>Excess Return (lucro residual)</t>
        </is>
      </c>
      <c r="D320" s="12" t="inlineStr">
        <is>
          <t>Excess return</t>
        </is>
      </c>
      <c r="E320" s="40" t="n"/>
    </row>
    <row r="321">
      <c r="C321" s="11" t="inlineStr">
        <is>
          <t>Dividend Discount Model</t>
        </is>
      </c>
      <c r="D321" s="12" t="inlineStr">
        <is>
          <t>DDM</t>
        </is>
      </c>
      <c r="E321" s="40" t="n"/>
    </row>
    <row r="322">
      <c r="C322" s="11" t="inlineStr">
        <is>
          <t>P/BV justificado por Gordon</t>
        </is>
      </c>
      <c r="D322" s="12" t="inlineStr">
        <is>
          <t>Justified P/BV</t>
        </is>
      </c>
      <c r="E322" s="40" t="n"/>
    </row>
    <row r="323">
      <c r="C323" s="11" t="inlineStr">
        <is>
          <t>Múltiplos de mercado</t>
        </is>
      </c>
      <c r="D323" s="12" t="inlineStr">
        <is>
          <t>Market multiples</t>
        </is>
      </c>
      <c r="E323" s="40" t="n"/>
    </row>
    <row r="324">
      <c r="C324" s="15" t="inlineStr">
        <is>
          <t>Soma dos pesos</t>
        </is>
      </c>
      <c r="D324" s="16" t="inlineStr">
        <is>
          <t>Sum of weights</t>
        </is>
      </c>
      <c r="E324" s="48" t="str">
        <f>IF(COUNT(E320:E323)=0,"",SUM(E320:E323))</f>
        <v/>
      </c>
      <c r="F324" s="51" t="str">
        <f>IF(COUNT(E320:E323)=0,"",IF(ABS(E324-1)&lt;0.0001,"OK","AJUSTAR"))</f>
        <v/>
      </c>
    </row>
    <row r="326">
      <c r="B326" s="7" t="n"/>
      <c r="C326" s="7" t="inlineStr">
        <is>
          <t>CONVENÇÕES DO MODELO</t>
        </is>
      </c>
      <c r="D326" s="7" t="inlineStr">
        <is>
          <t>MODEL CONVENTIONS</t>
        </is>
      </c>
      <c r="E326" s="7" t="n"/>
      <c r="F326" s="7" t="n"/>
      <c r="G326" s="7" t="n"/>
      <c r="H326" s="7" t="n"/>
      <c r="I326" s="7" t="n"/>
      <c r="J326" s="7" t="n"/>
      <c r="K326" s="7" t="n"/>
      <c r="L326" s="7" t="n"/>
      <c r="M326" s="7" t="n"/>
      <c r="N326" s="7" t="n"/>
      <c r="O326" s="7" t="n"/>
      <c r="P326" s="7" t="n"/>
      <c r="Q326" s="7" t="n"/>
      <c r="R326" s="7" t="n"/>
      <c r="S326" s="7" t="n"/>
      <c r="T326" s="7" t="n"/>
      <c r="U326" s="7" t="n"/>
      <c r="V326" s="7" t="n"/>
      <c r="W326" s="7" t="n"/>
      <c r="X326" s="7" t="n"/>
      <c r="Y326" s="7" t="n"/>
      <c r="Z326" s="7" t="n"/>
      <c r="AA326" s="7" t="n"/>
      <c r="AB326" s="7" t="n"/>
      <c r="AC326" s="7" t="n"/>
      <c r="AD326" s="7" t="n"/>
      <c r="AE326" s="7" t="n"/>
      <c r="AF326" s="7" t="n"/>
      <c r="AG326" s="7" t="n"/>
      <c r="AH326" s="7" t="n"/>
      <c r="AI326" s="7" t="n"/>
      <c r="AJ326" s="7" t="n"/>
      <c r="AK326" s="7" t="n"/>
      <c r="AL326" s="7" t="n"/>
      <c r="AM326" s="7" t="n"/>
      <c r="AN326" s="7" t="n"/>
      <c r="AO326" s="7" t="n"/>
      <c r="AP326" s="7" t="n"/>
      <c r="AQ326" s="7" t="n"/>
      <c r="AR326" s="7" t="n"/>
      <c r="AS326" s="7" t="n"/>
      <c r="AT326" s="7" t="n"/>
      <c r="AU326" s="7" t="n"/>
      <c r="AV326" s="7" t="n"/>
      <c r="AW326" s="7" t="n"/>
      <c r="AX326" s="7" t="n"/>
      <c r="AY326" s="7" t="n"/>
      <c r="AZ326" s="7" t="n"/>
      <c r="BA326" s="7" t="n"/>
      <c r="BB326" s="7" t="n"/>
      <c r="BC326" s="7" t="n"/>
      <c r="BD326" s="7" t="n"/>
      <c r="BE326" s="7" t="n"/>
      <c r="BF326" s="7" t="n"/>
      <c r="BG326" s="7" t="n"/>
      <c r="BH326" s="7" t="n"/>
      <c r="BI326" s="7" t="n"/>
    </row>
    <row r="327">
      <c r="C327" s="15" t="inlineStr">
        <is>
          <t>Linhas 2 a 190</t>
        </is>
      </c>
      <c r="D327" s="52" t="inlineStr">
        <is>
          <t>Hard code dos dados brutos. Coluna B é o código que a Inputs (2) procura.</t>
        </is>
      </c>
    </row>
    <row r="328">
      <c r="C328" s="15" t="inlineStr">
        <is>
          <t>Linha 196 em diante</t>
        </is>
      </c>
      <c r="D328" s="52" t="inlineStr">
        <is>
          <t>Painel de premissas. Fica fora do intervalo que a fórmula varre.</t>
        </is>
      </c>
    </row>
    <row r="329">
      <c r="C329" s="15" t="inlineStr">
        <is>
          <t>Várias linhas, mesmo código</t>
        </is>
      </c>
      <c r="D329" s="52" t="inlineStr">
        <is>
          <t>A Inputs (2) soma todas. Acrescente linhas sem editar fórmula.</t>
        </is>
      </c>
    </row>
    <row r="330">
      <c r="C330" s="15" t="inlineStr">
        <is>
          <t>Células amarelas com fonte azul</t>
        </is>
      </c>
      <c r="D330" s="52" t="inlineStr">
        <is>
          <t>Premissa ou dado digitado.</t>
        </is>
      </c>
    </row>
    <row r="331">
      <c r="C331" s="15" t="inlineStr">
        <is>
          <t>Fonte verde</t>
        </is>
      </c>
      <c r="D331" s="52" t="inlineStr">
        <is>
          <t>Link para outra aba.</t>
        </is>
      </c>
    </row>
    <row r="332">
      <c r="C332" s="15" t="inlineStr">
        <is>
          <t>Colunas FY</t>
        </is>
      </c>
      <c r="D332" s="52" t="inlineStr">
        <is>
          <t>Balanço = saldo do 4T. Resultado = soma dos quatro trimestres.</t>
        </is>
      </c>
    </row>
    <row r="333">
      <c r="C333" s="15" t="inlineStr">
        <is>
          <t>Sinal das despesas</t>
        </is>
      </c>
      <c r="D333" s="52" t="inlineStr">
        <is>
          <t>Despesas entram negativas, como divulgado. Todo subtotal soma.</t>
        </is>
      </c>
    </row>
  </sheetData>
  <dataValidations count="2">
    <dataValidation sqref="E200" showDropDown="0" showInputMessage="0" showErrorMessage="0" allowBlank="1" type="list">
      <formula1>"R$,US$,€,£"</formula1>
    </dataValidation>
    <dataValidation sqref="E201" showDropDown="0" showInputMessage="0" showErrorMessage="0" allowBlank="1" type="list">
      <formula1>"milhões,mil,unidades"</formula1>
    </dataValidation>
  </dataValidations>
  <printOptions horizontalCentered="1"/>
  <pageMargins left="0.75" right="0.75" top="1" bottom="1" header="0.5" footer="0.5"/>
  <pageSetup orientation="landscape"/>
</worksheet>
</file>

<file path=xl/worksheets/sheet2.xml><?xml version="1.0" encoding="utf-8"?>
<worksheet xmlns="http://schemas.openxmlformats.org/spreadsheetml/2006/main">
  <sheetPr>
    <tabColor rgb="FFFFD966"/>
    <outlinePr summaryBelow="1" summaryRight="1"/>
    <pageSetUpPr/>
  </sheetPr>
  <dimension ref="A1:BI202"/>
  <sheetViews>
    <sheetView showGridLines="0" workbookViewId="0">
      <pane xSplit="4" ySplit="3" topLeftCell="E4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 outlineLevelRow="2"/>
  <cols>
    <col width="2.42578125" customWidth="1" min="1" max="1"/>
    <col width="11" customWidth="1" min="2" max="2"/>
    <col width="58" customWidth="1" min="3" max="3"/>
    <col width="46" customWidth="1" min="4" max="4"/>
    <col outlineLevel="1" width="11.42578125" customWidth="1" min="5" max="8"/>
    <col width="11.42578125" customWidth="1" min="9" max="9"/>
    <col outlineLevel="1" width="11.42578125" customWidth="1" min="10" max="13"/>
    <col width="11.42578125" customWidth="1" min="14" max="14"/>
    <col outlineLevel="1" width="11.42578125" customWidth="1" min="15" max="18"/>
    <col width="11.42578125" customWidth="1" min="19" max="19"/>
    <col outlineLevel="1" width="11.42578125" customWidth="1" min="20" max="23"/>
    <col width="11.42578125" customWidth="1" min="24" max="24"/>
    <col outlineLevel="1" width="11.42578125" customWidth="1" min="25" max="28"/>
    <col width="11.42578125" customWidth="1" min="29" max="29"/>
    <col outlineLevel="1" width="11.42578125" customWidth="1" min="30" max="33"/>
    <col width="11.42578125" customWidth="1" min="34" max="34"/>
    <col outlineLevel="1" width="11.42578125" customWidth="1" min="35" max="38"/>
    <col width="11.42578125" customWidth="1" min="39" max="39"/>
    <col outlineLevel="1" width="11.42578125" customWidth="1" min="40" max="43"/>
    <col width="11.42578125" customWidth="1" min="44" max="44"/>
    <col outlineLevel="1" width="11.42578125" customWidth="1" min="45" max="48"/>
    <col width="11.42578125" customWidth="1" min="49" max="49"/>
    <col outlineLevel="1" width="11.42578125" customWidth="1" min="50" max="53"/>
    <col width="11.42578125" customWidth="1" min="54" max="54"/>
    <col outlineLevel="1" width="11.42578125" customWidth="1" min="55" max="58"/>
    <col width="11.42578125" customWidth="1" min="59" max="59"/>
    <col width="2" customWidth="1" min="60" max="60"/>
    <col width="58" customWidth="1" min="61" max="61"/>
  </cols>
  <sheetData>
    <row r="1">
      <c r="C1" s="53" t="str">
        <f>"Demonstrações reportadas — valores em "&amp;Inputs!$E$202</f>
        <v>Demonstrações reportadas — valores em US$ milhões</v>
      </c>
      <c r="D1" s="54" t="inlineStr">
        <is>
          <t>Reported financials</t>
        </is>
      </c>
      <c r="E1" s="23">
        <f>DATE(2020,4,1)-1</f>
        <v>43921.0</v>
      </c>
      <c r="F1" s="23">
        <f>DATE(2020,7,1)-1</f>
        <v>44012.0</v>
      </c>
      <c r="G1" s="23">
        <f>DATE(2020,10,1)-1</f>
        <v>44104.0</v>
      </c>
      <c r="H1" s="23">
        <f>DATE(2020,13,1)-1</f>
        <v>44196.0</v>
      </c>
      <c r="I1" s="23">
        <f>H1</f>
        <v>44196.0</v>
      </c>
      <c r="J1" s="23">
        <f>DATE(2021,4,1)-1</f>
        <v>44286.0</v>
      </c>
      <c r="K1" s="23">
        <f>DATE(2021,7,1)-1</f>
        <v>44377.0</v>
      </c>
      <c r="L1" s="23">
        <f>DATE(2021,10,1)-1</f>
        <v>44469.0</v>
      </c>
      <c r="M1" s="23">
        <f>DATE(2021,13,1)-1</f>
        <v>44561.0</v>
      </c>
      <c r="N1" s="23">
        <f>M1</f>
        <v>44561.0</v>
      </c>
      <c r="O1" s="23">
        <f>DATE(2022,4,1)-1</f>
        <v>44651.0</v>
      </c>
      <c r="P1" s="23">
        <f>DATE(2022,7,1)-1</f>
        <v>44742.0</v>
      </c>
      <c r="Q1" s="23">
        <f>DATE(2022,10,1)-1</f>
        <v>44834.0</v>
      </c>
      <c r="R1" s="23">
        <f>DATE(2022,13,1)-1</f>
        <v>44926.0</v>
      </c>
      <c r="S1" s="23">
        <f>R1</f>
        <v>44926.0</v>
      </c>
      <c r="T1" s="23">
        <f>DATE(2023,4,1)-1</f>
        <v>45016.0</v>
      </c>
      <c r="U1" s="23">
        <f>DATE(2023,7,1)-1</f>
        <v>45107.0</v>
      </c>
      <c r="V1" s="23">
        <f>DATE(2023,10,1)-1</f>
        <v>45199.0</v>
      </c>
      <c r="W1" s="23">
        <f>DATE(2023,13,1)-1</f>
        <v>45291.0</v>
      </c>
      <c r="X1" s="23">
        <f>W1</f>
        <v>45291.0</v>
      </c>
      <c r="Y1" s="23">
        <f>DATE(2024,4,1)-1</f>
        <v>45382.0</v>
      </c>
      <c r="Z1" s="23">
        <f>DATE(2024,7,1)-1</f>
        <v>45473.0</v>
      </c>
      <c r="AA1" s="23">
        <f>DATE(2024,10,1)-1</f>
        <v>45565.0</v>
      </c>
      <c r="AB1" s="23">
        <f>DATE(2024,13,1)-1</f>
        <v>45657.0</v>
      </c>
      <c r="AC1" s="23">
        <f>AB1</f>
        <v>45657.0</v>
      </c>
      <c r="AD1" s="23">
        <f>DATE(2025,4,1)-1</f>
        <v>45747.0</v>
      </c>
      <c r="AE1" s="23">
        <f>DATE(2025,7,1)-1</f>
        <v>45838.0</v>
      </c>
      <c r="AF1" s="23">
        <f>DATE(2025,10,1)-1</f>
        <v>45930.0</v>
      </c>
      <c r="AG1" s="23">
        <f>DATE(2025,13,1)-1</f>
        <v>46022.0</v>
      </c>
      <c r="AH1" s="23">
        <f>AG1</f>
        <v>46022.0</v>
      </c>
      <c r="AI1" s="23">
        <f>DATE(2026,4,1)-1</f>
        <v>46112.0</v>
      </c>
      <c r="AJ1" s="23">
        <f>DATE(2026,7,1)-1</f>
        <v>46203.0</v>
      </c>
      <c r="AK1" s="23">
        <f>DATE(2026,10,1)-1</f>
        <v>46295.0</v>
      </c>
      <c r="AL1" s="23">
        <f>DATE(2026,13,1)-1</f>
        <v>46387.0</v>
      </c>
      <c r="AM1" s="23">
        <f>AL1</f>
        <v>46387.0</v>
      </c>
      <c r="AN1" s="23">
        <f>DATE(2027,4,1)-1</f>
        <v>46477.0</v>
      </c>
      <c r="AO1" s="23">
        <f>DATE(2027,7,1)-1</f>
        <v>46568.0</v>
      </c>
      <c r="AP1" s="23">
        <f>DATE(2027,10,1)-1</f>
        <v>46660.0</v>
      </c>
      <c r="AQ1" s="23">
        <f>DATE(2027,13,1)-1</f>
        <v>46752.0</v>
      </c>
      <c r="AR1" s="23">
        <f>AQ1</f>
        <v>46752.0</v>
      </c>
      <c r="AS1" s="23">
        <f>DATE(2028,4,1)-1</f>
        <v>46843.0</v>
      </c>
      <c r="AT1" s="23">
        <f>DATE(2028,7,1)-1</f>
        <v>46934.0</v>
      </c>
      <c r="AU1" s="23">
        <f>DATE(2028,10,1)-1</f>
        <v>47026.0</v>
      </c>
      <c r="AV1" s="23">
        <f>DATE(2028,13,1)-1</f>
        <v>47118.0</v>
      </c>
      <c r="AW1" s="23">
        <f>AV1</f>
        <v>47118.0</v>
      </c>
      <c r="AX1" s="23">
        <f>DATE(2029,4,1)-1</f>
        <v>47208.0</v>
      </c>
      <c r="AY1" s="23">
        <f>DATE(2029,7,1)-1</f>
        <v>47299.0</v>
      </c>
      <c r="AZ1" s="23">
        <f>DATE(2029,10,1)-1</f>
        <v>47391.0</v>
      </c>
      <c r="BA1" s="23">
        <f>DATE(2029,13,1)-1</f>
        <v>47483.0</v>
      </c>
      <c r="BB1" s="23">
        <f>BA1</f>
        <v>47483.0</v>
      </c>
      <c r="BC1" s="23">
        <f>DATE(2030,4,1)-1</f>
        <v>47573.0</v>
      </c>
      <c r="BD1" s="23">
        <f>DATE(2030,7,1)-1</f>
        <v>47664.0</v>
      </c>
      <c r="BE1" s="23">
        <f>DATE(2030,10,1)-1</f>
        <v>47756.0</v>
      </c>
      <c r="BF1" s="23">
        <f>DATE(2030,13,1)-1</f>
        <v>47848.0</v>
      </c>
      <c r="BG1" s="23">
        <f>BF1</f>
        <v>47848.0</v>
      </c>
    </row>
    <row r="2" hidden="1">
      <c r="B2" s="55" t="inlineStr">
        <is>
          <t>COD</t>
        </is>
      </c>
      <c r="E2" s="24" t="n">
        <v>2020</v>
      </c>
      <c r="F2" s="24" t="n">
        <v>2020</v>
      </c>
      <c r="G2" s="24" t="n">
        <v>2020</v>
      </c>
      <c r="H2" s="24" t="n">
        <v>2020</v>
      </c>
      <c r="I2" s="24" t="n">
        <v>2020</v>
      </c>
      <c r="J2" s="24" t="n">
        <v>2021</v>
      </c>
      <c r="K2" s="24" t="n">
        <v>2021</v>
      </c>
      <c r="L2" s="24" t="n">
        <v>2021</v>
      </c>
      <c r="M2" s="24" t="n">
        <v>2021</v>
      </c>
      <c r="N2" s="24" t="n">
        <v>2021</v>
      </c>
      <c r="O2" s="24" t="n">
        <v>2022</v>
      </c>
      <c r="P2" s="24" t="n">
        <v>2022</v>
      </c>
      <c r="Q2" s="24" t="n">
        <v>2022</v>
      </c>
      <c r="R2" s="24" t="n">
        <v>2022</v>
      </c>
      <c r="S2" s="24" t="n">
        <v>2022</v>
      </c>
      <c r="T2" s="24" t="n">
        <v>2023</v>
      </c>
      <c r="U2" s="24" t="n">
        <v>2023</v>
      </c>
      <c r="V2" s="24" t="n">
        <v>2023</v>
      </c>
      <c r="W2" s="24" t="n">
        <v>2023</v>
      </c>
      <c r="X2" s="24" t="n">
        <v>2023</v>
      </c>
      <c r="Y2" s="24" t="n">
        <v>2024</v>
      </c>
      <c r="Z2" s="24" t="n">
        <v>2024</v>
      </c>
      <c r="AA2" s="24" t="n">
        <v>2024</v>
      </c>
      <c r="AB2" s="24" t="n">
        <v>2024</v>
      </c>
      <c r="AC2" s="24" t="n">
        <v>2024</v>
      </c>
      <c r="AD2" s="24" t="n">
        <v>2025</v>
      </c>
      <c r="AE2" s="24" t="n">
        <v>2025</v>
      </c>
      <c r="AF2" s="24" t="n">
        <v>2025</v>
      </c>
      <c r="AG2" s="24" t="n">
        <v>2025</v>
      </c>
      <c r="AH2" s="24" t="n">
        <v>2025</v>
      </c>
      <c r="AI2" s="24" t="n">
        <v>2026</v>
      </c>
      <c r="AJ2" s="24" t="n">
        <v>2026</v>
      </c>
      <c r="AK2" s="24" t="n">
        <v>2026</v>
      </c>
      <c r="AL2" s="24" t="n">
        <v>2026</v>
      </c>
      <c r="AM2" s="24" t="n">
        <v>2026</v>
      </c>
      <c r="AN2" s="24" t="n">
        <v>2027</v>
      </c>
      <c r="AO2" s="24" t="n">
        <v>2027</v>
      </c>
      <c r="AP2" s="24" t="n">
        <v>2027</v>
      </c>
      <c r="AQ2" s="24" t="n">
        <v>2027</v>
      </c>
      <c r="AR2" s="24" t="n">
        <v>2027</v>
      </c>
      <c r="AS2" s="24" t="n">
        <v>2028</v>
      </c>
      <c r="AT2" s="24" t="n">
        <v>2028</v>
      </c>
      <c r="AU2" s="24" t="n">
        <v>2028</v>
      </c>
      <c r="AV2" s="24" t="n">
        <v>2028</v>
      </c>
      <c r="AW2" s="24" t="n">
        <v>2028</v>
      </c>
      <c r="AX2" s="24" t="n">
        <v>2029</v>
      </c>
      <c r="AY2" s="24" t="n">
        <v>2029</v>
      </c>
      <c r="AZ2" s="24" t="n">
        <v>2029</v>
      </c>
      <c r="BA2" s="24" t="n">
        <v>2029</v>
      </c>
      <c r="BB2" s="24" t="n">
        <v>2029</v>
      </c>
      <c r="BC2" s="24" t="n">
        <v>2030</v>
      </c>
      <c r="BD2" s="24" t="n">
        <v>2030</v>
      </c>
      <c r="BE2" s="24" t="n">
        <v>2030</v>
      </c>
      <c r="BF2" s="24" t="n">
        <v>2030</v>
      </c>
      <c r="BG2" s="24" t="n">
        <v>2030</v>
      </c>
    </row>
    <row r="3">
      <c r="C3" s="53" t="inlineStr">
        <is>
          <t>Período</t>
        </is>
      </c>
      <c r="D3" s="54" t="inlineStr">
        <is>
          <t>Period</t>
        </is>
      </c>
      <c r="E3" s="6" t="str">
        <f>"1Q"&amp;RIGHT(E2,2)</f>
        <v>1Q20</v>
      </c>
      <c r="F3" s="6" t="str">
        <f>"2Q"&amp;RIGHT(F2,2)</f>
        <v>2Q20</v>
      </c>
      <c r="G3" s="6" t="str">
        <f>"3Q"&amp;RIGHT(G2,2)</f>
        <v>3Q20</v>
      </c>
      <c r="H3" s="6" t="str">
        <f>"4Q"&amp;RIGHT(H2,2)</f>
        <v>4Q20</v>
      </c>
      <c r="I3" s="25" t="str">
        <f>"FY"&amp;RIGHT(I2,2)</f>
        <v>FY20</v>
      </c>
      <c r="J3" s="6" t="str">
        <f>"1Q"&amp;RIGHT(J2,2)</f>
        <v>1Q21</v>
      </c>
      <c r="K3" s="6" t="str">
        <f>"2Q"&amp;RIGHT(K2,2)</f>
        <v>2Q21</v>
      </c>
      <c r="L3" s="6" t="str">
        <f>"3Q"&amp;RIGHT(L2,2)</f>
        <v>3Q21</v>
      </c>
      <c r="M3" s="6" t="str">
        <f>"4Q"&amp;RIGHT(M2,2)</f>
        <v>4Q21</v>
      </c>
      <c r="N3" s="25" t="str">
        <f>"FY"&amp;RIGHT(N2,2)</f>
        <v>FY21</v>
      </c>
      <c r="O3" s="6" t="str">
        <f>"1Q"&amp;RIGHT(O2,2)</f>
        <v>1Q22</v>
      </c>
      <c r="P3" s="6" t="str">
        <f>"2Q"&amp;RIGHT(P2,2)</f>
        <v>2Q22</v>
      </c>
      <c r="Q3" s="6" t="str">
        <f>"3Q"&amp;RIGHT(Q2,2)</f>
        <v>3Q22</v>
      </c>
      <c r="R3" s="6" t="str">
        <f>"4Q"&amp;RIGHT(R2,2)</f>
        <v>4Q22</v>
      </c>
      <c r="S3" s="25" t="str">
        <f>"FY"&amp;RIGHT(S2,2)</f>
        <v>FY22</v>
      </c>
      <c r="T3" s="6" t="str">
        <f>"1Q"&amp;RIGHT(T2,2)</f>
        <v>1Q23</v>
      </c>
      <c r="U3" s="6" t="str">
        <f>"2Q"&amp;RIGHT(U2,2)</f>
        <v>2Q23</v>
      </c>
      <c r="V3" s="6" t="str">
        <f>"3Q"&amp;RIGHT(V2,2)</f>
        <v>3Q23</v>
      </c>
      <c r="W3" s="6" t="str">
        <f>"4Q"&amp;RIGHT(W2,2)</f>
        <v>4Q23</v>
      </c>
      <c r="X3" s="25" t="str">
        <f>"FY"&amp;RIGHT(X2,2)</f>
        <v>FY23</v>
      </c>
      <c r="Y3" s="6" t="str">
        <f>"1Q"&amp;RIGHT(Y2,2)</f>
        <v>1Q24</v>
      </c>
      <c r="Z3" s="6" t="str">
        <f>"2Q"&amp;RIGHT(Z2,2)</f>
        <v>2Q24</v>
      </c>
      <c r="AA3" s="6" t="str">
        <f>"3Q"&amp;RIGHT(AA2,2)</f>
        <v>3Q24</v>
      </c>
      <c r="AB3" s="6" t="str">
        <f>"4Q"&amp;RIGHT(AB2,2)</f>
        <v>4Q24</v>
      </c>
      <c r="AC3" s="25" t="str">
        <f>"FY"&amp;RIGHT(AC2,2)</f>
        <v>FY24</v>
      </c>
      <c r="AD3" s="6" t="str">
        <f>"1Q"&amp;RIGHT(AD2,2)</f>
        <v>1Q25</v>
      </c>
      <c r="AE3" s="6" t="str">
        <f>"2Q"&amp;RIGHT(AE2,2)</f>
        <v>2Q25</v>
      </c>
      <c r="AF3" s="6" t="str">
        <f>"3Q"&amp;RIGHT(AF2,2)</f>
        <v>3Q25</v>
      </c>
      <c r="AG3" s="6" t="str">
        <f>"4Q"&amp;RIGHT(AG2,2)</f>
        <v>4Q25</v>
      </c>
      <c r="AH3" s="25" t="str">
        <f>"FY"&amp;RIGHT(AH2,2)</f>
        <v>FY25</v>
      </c>
      <c r="AI3" s="6" t="str">
        <f>"1Q"&amp;RIGHT(AI2,2)</f>
        <v>1Q26</v>
      </c>
      <c r="AJ3" s="6" t="str">
        <f>"2Q"&amp;RIGHT(AJ2,2)</f>
        <v>2Q26</v>
      </c>
      <c r="AK3" s="6" t="str">
        <f>"3Q"&amp;RIGHT(AK2,2)</f>
        <v>3Q26</v>
      </c>
      <c r="AL3" s="6" t="str">
        <f>"4Q"&amp;RIGHT(AL2,2)</f>
        <v>4Q26</v>
      </c>
      <c r="AM3" s="25" t="str">
        <f>"FY"&amp;RIGHT(AM2,2)</f>
        <v>FY26</v>
      </c>
      <c r="AN3" s="6" t="str">
        <f>"1Q"&amp;RIGHT(AN2,2)</f>
        <v>1Q27</v>
      </c>
      <c r="AO3" s="6" t="str">
        <f>"2Q"&amp;RIGHT(AO2,2)</f>
        <v>2Q27</v>
      </c>
      <c r="AP3" s="6" t="str">
        <f>"3Q"&amp;RIGHT(AP2,2)</f>
        <v>3Q27</v>
      </c>
      <c r="AQ3" s="6" t="str">
        <f>"4Q"&amp;RIGHT(AQ2,2)</f>
        <v>4Q27</v>
      </c>
      <c r="AR3" s="25" t="str">
        <f>"FY"&amp;RIGHT(AR2,2)</f>
        <v>FY27</v>
      </c>
      <c r="AS3" s="6" t="str">
        <f>"1Q"&amp;RIGHT(AS2,2)</f>
        <v>1Q28</v>
      </c>
      <c r="AT3" s="6" t="str">
        <f>"2Q"&amp;RIGHT(AT2,2)</f>
        <v>2Q28</v>
      </c>
      <c r="AU3" s="6" t="str">
        <f>"3Q"&amp;RIGHT(AU2,2)</f>
        <v>3Q28</v>
      </c>
      <c r="AV3" s="6" t="str">
        <f>"4Q"&amp;RIGHT(AV2,2)</f>
        <v>4Q28</v>
      </c>
      <c r="AW3" s="25" t="str">
        <f>"FY"&amp;RIGHT(AW2,2)</f>
        <v>FY28</v>
      </c>
      <c r="AX3" s="6" t="str">
        <f>"1Q"&amp;RIGHT(AX2,2)</f>
        <v>1Q29</v>
      </c>
      <c r="AY3" s="6" t="str">
        <f>"2Q"&amp;RIGHT(AY2,2)</f>
        <v>2Q29</v>
      </c>
      <c r="AZ3" s="6" t="str">
        <f>"3Q"&amp;RIGHT(AZ2,2)</f>
        <v>3Q29</v>
      </c>
      <c r="BA3" s="6" t="str">
        <f>"4Q"&amp;RIGHT(BA2,2)</f>
        <v>4Q29</v>
      </c>
      <c r="BB3" s="25" t="str">
        <f>"FY"&amp;RIGHT(BB2,2)</f>
        <v>FY29</v>
      </c>
      <c r="BC3" s="6" t="str">
        <f>"1Q"&amp;RIGHT(BC2,2)</f>
        <v>1Q30</v>
      </c>
      <c r="BD3" s="6" t="str">
        <f>"2Q"&amp;RIGHT(BD2,2)</f>
        <v>2Q30</v>
      </c>
      <c r="BE3" s="6" t="str">
        <f>"3Q"&amp;RIGHT(BE2,2)</f>
        <v>3Q30</v>
      </c>
      <c r="BF3" s="6" t="str">
        <f>"4Q"&amp;RIGHT(BF2,2)</f>
        <v>4Q30</v>
      </c>
      <c r="BG3" s="25" t="str">
        <f>"FY"&amp;RIGHT(BG2,2)</f>
        <v>FY30</v>
      </c>
    </row>
    <row r="4">
      <c r="B4" s="7" t="n"/>
      <c r="C4" s="7" t="inlineStr">
        <is>
          <t>ATIVO</t>
        </is>
      </c>
      <c r="D4" s="7" t="inlineStr">
        <is>
          <t>ASSETS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>
      <c r="B5" s="56" t="inlineStr">
        <is>
          <t>cash</t>
        </is>
      </c>
      <c r="C5" s="11" t="inlineStr">
        <is>
          <t>Caixa e depósitos não remunerados em bancos</t>
        </is>
      </c>
      <c r="D5" s="12" t="inlineStr">
        <is>
          <t>Cash and due from banks</t>
        </is>
      </c>
      <c r="E5" s="57">
        <f>IF(ISNA(SUMIFS(INDEX(Inputs!$B$2:$AZ$190,,MATCH(SUBSTITUTE(E$3,"Q","T"),Inputs!$B$2:$AZ$2,0)),Inputs!$B$2:$B$190,$B5)*Inputs!$D$1),"",SUMIFS(INDEX(Inputs!$B$2:$AZ$190,,MATCH(SUBSTITUTE(E$3,"Q","T"),Inputs!$B$2:$AZ$2,0)),Inputs!$B$2:$B$190,$B5)*Inputs!$D$1)</f>
        <v>0</v>
      </c>
      <c r="F5" s="57">
        <f>IF(ISNA(SUMIFS(INDEX(Inputs!$B$2:$AZ$190,,MATCH(SUBSTITUTE(F$3,"Q","T"),Inputs!$B$2:$AZ$2,0)),Inputs!$B$2:$B$190,$B5)*Inputs!$D$1),"",SUMIFS(INDEX(Inputs!$B$2:$AZ$190,,MATCH(SUBSTITUTE(F$3,"Q","T"),Inputs!$B$2:$AZ$2,0)),Inputs!$B$2:$B$190,$B5)*Inputs!$D$1)</f>
        <v>0</v>
      </c>
      <c r="G5" s="57">
        <f>IF(ISNA(SUMIFS(INDEX(Inputs!$B$2:$AZ$190,,MATCH(SUBSTITUTE(G$3,"Q","T"),Inputs!$B$2:$AZ$2,0)),Inputs!$B$2:$B$190,$B5)*Inputs!$D$1),"",SUMIFS(INDEX(Inputs!$B$2:$AZ$190,,MATCH(SUBSTITUTE(G$3,"Q","T"),Inputs!$B$2:$AZ$2,0)),Inputs!$B$2:$B$190,$B5)*Inputs!$D$1)</f>
        <v>0</v>
      </c>
      <c r="H5" s="57">
        <f>IF(ISNA(SUMIFS(INDEX(Inputs!$B$2:$AZ$190,,MATCH(SUBSTITUTE(H$3,"Q","T"),Inputs!$B$2:$AZ$2,0)),Inputs!$B$2:$B$190,$B5)*Inputs!$D$1),"",SUMIFS(INDEX(Inputs!$B$2:$AZ$190,,MATCH(SUBSTITUTE(H$3,"Q","T"),Inputs!$B$2:$AZ$2,0)),Inputs!$B$2:$B$190,$B5)*Inputs!$D$1)</f>
        <v>0</v>
      </c>
      <c r="I5" s="58">
        <f>H5</f>
        <v>0</v>
      </c>
      <c r="J5" s="57">
        <f>IF(ISNA(SUMIFS(INDEX(Inputs!$B$2:$AZ$190,,MATCH(SUBSTITUTE(J$3,"Q","T"),Inputs!$B$2:$AZ$2,0)),Inputs!$B$2:$B$190,$B5)*Inputs!$D$1),"",SUMIFS(INDEX(Inputs!$B$2:$AZ$190,,MATCH(SUBSTITUTE(J$3,"Q","T"),Inputs!$B$2:$AZ$2,0)),Inputs!$B$2:$B$190,$B5)*Inputs!$D$1)</f>
        <v>0</v>
      </c>
      <c r="K5" s="57">
        <f>IF(ISNA(SUMIFS(INDEX(Inputs!$B$2:$AZ$190,,MATCH(SUBSTITUTE(K$3,"Q","T"),Inputs!$B$2:$AZ$2,0)),Inputs!$B$2:$B$190,$B5)*Inputs!$D$1),"",SUMIFS(INDEX(Inputs!$B$2:$AZ$190,,MATCH(SUBSTITUTE(K$3,"Q","T"),Inputs!$B$2:$AZ$2,0)),Inputs!$B$2:$B$190,$B5)*Inputs!$D$1)</f>
        <v>0</v>
      </c>
      <c r="L5" s="57">
        <f>IF(ISNA(SUMIFS(INDEX(Inputs!$B$2:$AZ$190,,MATCH(SUBSTITUTE(L$3,"Q","T"),Inputs!$B$2:$AZ$2,0)),Inputs!$B$2:$B$190,$B5)*Inputs!$D$1),"",SUMIFS(INDEX(Inputs!$B$2:$AZ$190,,MATCH(SUBSTITUTE(L$3,"Q","T"),Inputs!$B$2:$AZ$2,0)),Inputs!$B$2:$B$190,$B5)*Inputs!$D$1)</f>
        <v>0</v>
      </c>
      <c r="M5" s="57">
        <f>IF(ISNA(SUMIFS(INDEX(Inputs!$B$2:$AZ$190,,MATCH(SUBSTITUTE(M$3,"Q","T"),Inputs!$B$2:$AZ$2,0)),Inputs!$B$2:$B$190,$B5)*Inputs!$D$1),"",SUMIFS(INDEX(Inputs!$B$2:$AZ$190,,MATCH(SUBSTITUTE(M$3,"Q","T"),Inputs!$B$2:$AZ$2,0)),Inputs!$B$2:$B$190,$B5)*Inputs!$D$1)</f>
        <v>0</v>
      </c>
      <c r="N5" s="58">
        <f>M5</f>
        <v>0</v>
      </c>
      <c r="O5" s="57">
        <f>IF(ISNA(SUMIFS(INDEX(Inputs!$B$2:$AZ$190,,MATCH(SUBSTITUTE(O$3,"Q","T"),Inputs!$B$2:$AZ$2,0)),Inputs!$B$2:$B$190,$B5)*Inputs!$D$1),"",SUMIFS(INDEX(Inputs!$B$2:$AZ$190,,MATCH(SUBSTITUTE(O$3,"Q","T"),Inputs!$B$2:$AZ$2,0)),Inputs!$B$2:$B$190,$B5)*Inputs!$D$1)</f>
        <v>0</v>
      </c>
      <c r="P5" s="57">
        <f>IF(ISNA(SUMIFS(INDEX(Inputs!$B$2:$AZ$190,,MATCH(SUBSTITUTE(P$3,"Q","T"),Inputs!$B$2:$AZ$2,0)),Inputs!$B$2:$B$190,$B5)*Inputs!$D$1),"",SUMIFS(INDEX(Inputs!$B$2:$AZ$190,,MATCH(SUBSTITUTE(P$3,"Q","T"),Inputs!$B$2:$AZ$2,0)),Inputs!$B$2:$B$190,$B5)*Inputs!$D$1)</f>
        <v>0</v>
      </c>
      <c r="Q5" s="57">
        <f>IF(ISNA(SUMIFS(INDEX(Inputs!$B$2:$AZ$190,,MATCH(SUBSTITUTE(Q$3,"Q","T"),Inputs!$B$2:$AZ$2,0)),Inputs!$B$2:$B$190,$B5)*Inputs!$D$1),"",SUMIFS(INDEX(Inputs!$B$2:$AZ$190,,MATCH(SUBSTITUTE(Q$3,"Q","T"),Inputs!$B$2:$AZ$2,0)),Inputs!$B$2:$B$190,$B5)*Inputs!$D$1)</f>
        <v>0</v>
      </c>
      <c r="R5" s="57">
        <f>IF(ISNA(SUMIFS(INDEX(Inputs!$B$2:$AZ$190,,MATCH(SUBSTITUTE(R$3,"Q","T"),Inputs!$B$2:$AZ$2,0)),Inputs!$B$2:$B$190,$B5)*Inputs!$D$1),"",SUMIFS(INDEX(Inputs!$B$2:$AZ$190,,MATCH(SUBSTITUTE(R$3,"Q","T"),Inputs!$B$2:$AZ$2,0)),Inputs!$B$2:$B$190,$B5)*Inputs!$D$1)</f>
        <v>0</v>
      </c>
      <c r="S5" s="58">
        <f>R5</f>
        <v>0</v>
      </c>
      <c r="T5" s="57">
        <f>IF(ISNA(SUMIFS(INDEX(Inputs!$B$2:$AZ$190,,MATCH(SUBSTITUTE(T$3,"Q","T"),Inputs!$B$2:$AZ$2,0)),Inputs!$B$2:$B$190,$B5)*Inputs!$D$1),"",SUMIFS(INDEX(Inputs!$B$2:$AZ$190,,MATCH(SUBSTITUTE(T$3,"Q","T"),Inputs!$B$2:$AZ$2,0)),Inputs!$B$2:$B$190,$B5)*Inputs!$D$1)</f>
        <v>0</v>
      </c>
      <c r="U5" s="57">
        <f>IF(ISNA(SUMIFS(INDEX(Inputs!$B$2:$AZ$190,,MATCH(SUBSTITUTE(U$3,"Q","T"),Inputs!$B$2:$AZ$2,0)),Inputs!$B$2:$B$190,$B5)*Inputs!$D$1),"",SUMIFS(INDEX(Inputs!$B$2:$AZ$190,,MATCH(SUBSTITUTE(U$3,"Q","T"),Inputs!$B$2:$AZ$2,0)),Inputs!$B$2:$B$190,$B5)*Inputs!$D$1)</f>
        <v>0</v>
      </c>
      <c r="V5" s="57">
        <f>IF(ISNA(SUMIFS(INDEX(Inputs!$B$2:$AZ$190,,MATCH(SUBSTITUTE(V$3,"Q","T"),Inputs!$B$2:$AZ$2,0)),Inputs!$B$2:$B$190,$B5)*Inputs!$D$1),"",SUMIFS(INDEX(Inputs!$B$2:$AZ$190,,MATCH(SUBSTITUTE(V$3,"Q","T"),Inputs!$B$2:$AZ$2,0)),Inputs!$B$2:$B$190,$B5)*Inputs!$D$1)</f>
        <v>0</v>
      </c>
      <c r="W5" s="57">
        <f>IF(ISNA(SUMIFS(INDEX(Inputs!$B$2:$AZ$190,,MATCH(SUBSTITUTE(W$3,"Q","T"),Inputs!$B$2:$AZ$2,0)),Inputs!$B$2:$B$190,$B5)*Inputs!$D$1),"",SUMIFS(INDEX(Inputs!$B$2:$AZ$190,,MATCH(SUBSTITUTE(W$3,"Q","T"),Inputs!$B$2:$AZ$2,0)),Inputs!$B$2:$B$190,$B5)*Inputs!$D$1)</f>
        <v>0</v>
      </c>
      <c r="X5" s="58">
        <f>W5</f>
        <v>0</v>
      </c>
      <c r="Y5" s="57">
        <f>IF(ISNA(SUMIFS(INDEX(Inputs!$B$2:$AZ$190,,MATCH(SUBSTITUTE(Y$3,"Q","T"),Inputs!$B$2:$AZ$2,0)),Inputs!$B$2:$B$190,$B5)*Inputs!$D$1),"",SUMIFS(INDEX(Inputs!$B$2:$AZ$190,,MATCH(SUBSTITUTE(Y$3,"Q","T"),Inputs!$B$2:$AZ$2,0)),Inputs!$B$2:$B$190,$B5)*Inputs!$D$1)</f>
        <v>0</v>
      </c>
      <c r="Z5" s="57">
        <f>IF(ISNA(SUMIFS(INDEX(Inputs!$B$2:$AZ$190,,MATCH(SUBSTITUTE(Z$3,"Q","T"),Inputs!$B$2:$AZ$2,0)),Inputs!$B$2:$B$190,$B5)*Inputs!$D$1),"",SUMIFS(INDEX(Inputs!$B$2:$AZ$190,,MATCH(SUBSTITUTE(Z$3,"Q","T"),Inputs!$B$2:$AZ$2,0)),Inputs!$B$2:$B$190,$B5)*Inputs!$D$1)</f>
        <v>0</v>
      </c>
      <c r="AA5" s="57">
        <f>IF(ISNA(SUMIFS(INDEX(Inputs!$B$2:$AZ$190,,MATCH(SUBSTITUTE(AA$3,"Q","T"),Inputs!$B$2:$AZ$2,0)),Inputs!$B$2:$B$190,$B5)*Inputs!$D$1),"",SUMIFS(INDEX(Inputs!$B$2:$AZ$190,,MATCH(SUBSTITUTE(AA$3,"Q","T"),Inputs!$B$2:$AZ$2,0)),Inputs!$B$2:$B$190,$B5)*Inputs!$D$1)</f>
        <v>0</v>
      </c>
      <c r="AB5" s="57">
        <f>IF(ISNA(SUMIFS(INDEX(Inputs!$B$2:$AZ$190,,MATCH(SUBSTITUTE(AB$3,"Q","T"),Inputs!$B$2:$AZ$2,0)),Inputs!$B$2:$B$190,$B5)*Inputs!$D$1),"",SUMIFS(INDEX(Inputs!$B$2:$AZ$190,,MATCH(SUBSTITUTE(AB$3,"Q","T"),Inputs!$B$2:$AZ$2,0)),Inputs!$B$2:$B$190,$B5)*Inputs!$D$1)</f>
        <v>0</v>
      </c>
      <c r="AC5" s="58">
        <f>AB5</f>
        <v>0</v>
      </c>
      <c r="AD5" s="57">
        <f>IF(ISNA(SUMIFS(INDEX(Inputs!$B$2:$AZ$190,,MATCH(SUBSTITUTE(AD$3,"Q","T"),Inputs!$B$2:$AZ$2,0)),Inputs!$B$2:$B$190,$B5)*Inputs!$D$1),"",SUMIFS(INDEX(Inputs!$B$2:$AZ$190,,MATCH(SUBSTITUTE(AD$3,"Q","T"),Inputs!$B$2:$AZ$2,0)),Inputs!$B$2:$B$190,$B5)*Inputs!$D$1)</f>
        <v>0</v>
      </c>
      <c r="AE5" s="57">
        <f>IF(ISNA(SUMIFS(INDEX(Inputs!$B$2:$AZ$190,,MATCH(SUBSTITUTE(AE$3,"Q","T"),Inputs!$B$2:$AZ$2,0)),Inputs!$B$2:$B$190,$B5)*Inputs!$D$1),"",SUMIFS(INDEX(Inputs!$B$2:$AZ$190,,MATCH(SUBSTITUTE(AE$3,"Q","T"),Inputs!$B$2:$AZ$2,0)),Inputs!$B$2:$B$190,$B5)*Inputs!$D$1)</f>
        <v>0</v>
      </c>
      <c r="AF5" s="57">
        <f>IF(ISNA(SUMIFS(INDEX(Inputs!$B$2:$AZ$190,,MATCH(SUBSTITUTE(AF$3,"Q","T"),Inputs!$B$2:$AZ$2,0)),Inputs!$B$2:$B$190,$B5)*Inputs!$D$1),"",SUMIFS(INDEX(Inputs!$B$2:$AZ$190,,MATCH(SUBSTITUTE(AF$3,"Q","T"),Inputs!$B$2:$AZ$2,0)),Inputs!$B$2:$B$190,$B5)*Inputs!$D$1)</f>
        <v>0</v>
      </c>
      <c r="AG5" s="57">
        <f>IF(ISNA(SUMIFS(INDEX(Inputs!$B$2:$AZ$190,,MATCH(SUBSTITUTE(AG$3,"Q","T"),Inputs!$B$2:$AZ$2,0)),Inputs!$B$2:$B$190,$B5)*Inputs!$D$1),"",SUMIFS(INDEX(Inputs!$B$2:$AZ$190,,MATCH(SUBSTITUTE(AG$3,"Q","T"),Inputs!$B$2:$AZ$2,0)),Inputs!$B$2:$B$190,$B5)*Inputs!$D$1)</f>
        <v>0</v>
      </c>
      <c r="AH5" s="58">
        <f>AG5</f>
        <v>0</v>
      </c>
      <c r="AI5" s="57">
        <f>IF(ISNA(SUMIFS(INDEX(Inputs!$B$2:$AZ$190,,MATCH(SUBSTITUTE(AI$3,"Q","T"),Inputs!$B$2:$AZ$2,0)),Inputs!$B$2:$B$190,$B5)*Inputs!$D$1),"",SUMIFS(INDEX(Inputs!$B$2:$AZ$190,,MATCH(SUBSTITUTE(AI$3,"Q","T"),Inputs!$B$2:$AZ$2,0)),Inputs!$B$2:$B$190,$B5)*Inputs!$D$1)</f>
        <v>0</v>
      </c>
      <c r="AJ5" s="57">
        <f>IF(ISNA(SUMIFS(INDEX(Inputs!$B$2:$AZ$190,,MATCH(SUBSTITUTE(AJ$3,"Q","T"),Inputs!$B$2:$AZ$2,0)),Inputs!$B$2:$B$190,$B5)*Inputs!$D$1),"",SUMIFS(INDEX(Inputs!$B$2:$AZ$190,,MATCH(SUBSTITUTE(AJ$3,"Q","T"),Inputs!$B$2:$AZ$2,0)),Inputs!$B$2:$B$190,$B5)*Inputs!$D$1)</f>
        <v>0</v>
      </c>
      <c r="AK5" s="57">
        <f>IF(ISNA(SUMIFS(INDEX(Inputs!$B$2:$AZ$190,,MATCH(SUBSTITUTE(AK$3,"Q","T"),Inputs!$B$2:$AZ$2,0)),Inputs!$B$2:$B$190,$B5)*Inputs!$D$1),"",SUMIFS(INDEX(Inputs!$B$2:$AZ$190,,MATCH(SUBSTITUTE(AK$3,"Q","T"),Inputs!$B$2:$AZ$2,0)),Inputs!$B$2:$B$190,$B5)*Inputs!$D$1)</f>
        <v>0</v>
      </c>
      <c r="AL5" s="57">
        <f>IF(ISNA(SUMIFS(INDEX(Inputs!$B$2:$AZ$190,,MATCH(SUBSTITUTE(AL$3,"Q","T"),Inputs!$B$2:$AZ$2,0)),Inputs!$B$2:$B$190,$B5)*Inputs!$D$1),"",SUMIFS(INDEX(Inputs!$B$2:$AZ$190,,MATCH(SUBSTITUTE(AL$3,"Q","T"),Inputs!$B$2:$AZ$2,0)),Inputs!$B$2:$B$190,$B5)*Inputs!$D$1)</f>
        <v>0</v>
      </c>
      <c r="AM5" s="58">
        <f>AL5</f>
        <v>0</v>
      </c>
      <c r="AN5" s="57">
        <f>IF(ISNA(SUMIFS(INDEX(Inputs!$B$2:$AZ$190,,MATCH(SUBSTITUTE(AN$3,"Q","T"),Inputs!$B$2:$AZ$2,0)),Inputs!$B$2:$B$190,$B5)*Inputs!$D$1),"",SUMIFS(INDEX(Inputs!$B$2:$AZ$190,,MATCH(SUBSTITUTE(AN$3,"Q","T"),Inputs!$B$2:$AZ$2,0)),Inputs!$B$2:$B$190,$B5)*Inputs!$D$1)</f>
        <v>0</v>
      </c>
      <c r="AO5" s="57">
        <f>IF(ISNA(SUMIFS(INDEX(Inputs!$B$2:$AZ$190,,MATCH(SUBSTITUTE(AO$3,"Q","T"),Inputs!$B$2:$AZ$2,0)),Inputs!$B$2:$B$190,$B5)*Inputs!$D$1),"",SUMIFS(INDEX(Inputs!$B$2:$AZ$190,,MATCH(SUBSTITUTE(AO$3,"Q","T"),Inputs!$B$2:$AZ$2,0)),Inputs!$B$2:$B$190,$B5)*Inputs!$D$1)</f>
        <v>0</v>
      </c>
      <c r="AP5" s="57">
        <f>IF(ISNA(SUMIFS(INDEX(Inputs!$B$2:$AZ$190,,MATCH(SUBSTITUTE(AP$3,"Q","T"),Inputs!$B$2:$AZ$2,0)),Inputs!$B$2:$B$190,$B5)*Inputs!$D$1),"",SUMIFS(INDEX(Inputs!$B$2:$AZ$190,,MATCH(SUBSTITUTE(AP$3,"Q","T"),Inputs!$B$2:$AZ$2,0)),Inputs!$B$2:$B$190,$B5)*Inputs!$D$1)</f>
        <v>0</v>
      </c>
      <c r="AQ5" s="57">
        <f>IF(ISNA(SUMIFS(INDEX(Inputs!$B$2:$AZ$190,,MATCH(SUBSTITUTE(AQ$3,"Q","T"),Inputs!$B$2:$AZ$2,0)),Inputs!$B$2:$B$190,$B5)*Inputs!$D$1),"",SUMIFS(INDEX(Inputs!$B$2:$AZ$190,,MATCH(SUBSTITUTE(AQ$3,"Q","T"),Inputs!$B$2:$AZ$2,0)),Inputs!$B$2:$B$190,$B5)*Inputs!$D$1)</f>
        <v>0</v>
      </c>
      <c r="AR5" s="58">
        <f>AQ5</f>
        <v>0</v>
      </c>
      <c r="AS5" s="57">
        <f>IF(ISNA(SUMIFS(INDEX(Inputs!$B$2:$AZ$190,,MATCH(SUBSTITUTE(AS$3,"Q","T"),Inputs!$B$2:$AZ$2,0)),Inputs!$B$2:$B$190,$B5)*Inputs!$D$1),"",SUMIFS(INDEX(Inputs!$B$2:$AZ$190,,MATCH(SUBSTITUTE(AS$3,"Q","T"),Inputs!$B$2:$AZ$2,0)),Inputs!$B$2:$B$190,$B5)*Inputs!$D$1)</f>
        <v>0</v>
      </c>
      <c r="AT5" s="57">
        <f>IF(ISNA(SUMIFS(INDEX(Inputs!$B$2:$AZ$190,,MATCH(SUBSTITUTE(AT$3,"Q","T"),Inputs!$B$2:$AZ$2,0)),Inputs!$B$2:$B$190,$B5)*Inputs!$D$1),"",SUMIFS(INDEX(Inputs!$B$2:$AZ$190,,MATCH(SUBSTITUTE(AT$3,"Q","T"),Inputs!$B$2:$AZ$2,0)),Inputs!$B$2:$B$190,$B5)*Inputs!$D$1)</f>
        <v>0</v>
      </c>
      <c r="AU5" s="57">
        <f>IF(ISNA(SUMIFS(INDEX(Inputs!$B$2:$AZ$190,,MATCH(SUBSTITUTE(AU$3,"Q","T"),Inputs!$B$2:$AZ$2,0)),Inputs!$B$2:$B$190,$B5)*Inputs!$D$1),"",SUMIFS(INDEX(Inputs!$B$2:$AZ$190,,MATCH(SUBSTITUTE(AU$3,"Q","T"),Inputs!$B$2:$AZ$2,0)),Inputs!$B$2:$B$190,$B5)*Inputs!$D$1)</f>
        <v>0</v>
      </c>
      <c r="AV5" s="57">
        <f>IF(ISNA(SUMIFS(INDEX(Inputs!$B$2:$AZ$190,,MATCH(SUBSTITUTE(AV$3,"Q","T"),Inputs!$B$2:$AZ$2,0)),Inputs!$B$2:$B$190,$B5)*Inputs!$D$1),"",SUMIFS(INDEX(Inputs!$B$2:$AZ$190,,MATCH(SUBSTITUTE(AV$3,"Q","T"),Inputs!$B$2:$AZ$2,0)),Inputs!$B$2:$B$190,$B5)*Inputs!$D$1)</f>
        <v>0</v>
      </c>
      <c r="AW5" s="58">
        <f>AV5</f>
        <v>0</v>
      </c>
      <c r="AX5" s="57">
        <f>IF(ISNA(SUMIFS(INDEX(Inputs!$B$2:$AZ$190,,MATCH(SUBSTITUTE(AX$3,"Q","T"),Inputs!$B$2:$AZ$2,0)),Inputs!$B$2:$B$190,$B5)*Inputs!$D$1),"",SUMIFS(INDEX(Inputs!$B$2:$AZ$190,,MATCH(SUBSTITUTE(AX$3,"Q","T"),Inputs!$B$2:$AZ$2,0)),Inputs!$B$2:$B$190,$B5)*Inputs!$D$1)</f>
        <v>0</v>
      </c>
      <c r="AY5" s="57">
        <f>IF(ISNA(SUMIFS(INDEX(Inputs!$B$2:$AZ$190,,MATCH(SUBSTITUTE(AY$3,"Q","T"),Inputs!$B$2:$AZ$2,0)),Inputs!$B$2:$B$190,$B5)*Inputs!$D$1),"",SUMIFS(INDEX(Inputs!$B$2:$AZ$190,,MATCH(SUBSTITUTE(AY$3,"Q","T"),Inputs!$B$2:$AZ$2,0)),Inputs!$B$2:$B$190,$B5)*Inputs!$D$1)</f>
        <v>0</v>
      </c>
      <c r="AZ5" s="57">
        <f>IF(ISNA(SUMIFS(INDEX(Inputs!$B$2:$AZ$190,,MATCH(SUBSTITUTE(AZ$3,"Q","T"),Inputs!$B$2:$AZ$2,0)),Inputs!$B$2:$B$190,$B5)*Inputs!$D$1),"",SUMIFS(INDEX(Inputs!$B$2:$AZ$190,,MATCH(SUBSTITUTE(AZ$3,"Q","T"),Inputs!$B$2:$AZ$2,0)),Inputs!$B$2:$B$190,$B5)*Inputs!$D$1)</f>
        <v>0</v>
      </c>
      <c r="BA5" s="57">
        <f>IF(ISNA(SUMIFS(INDEX(Inputs!$B$2:$AZ$190,,MATCH(SUBSTITUTE(BA$3,"Q","T"),Inputs!$B$2:$AZ$2,0)),Inputs!$B$2:$B$190,$B5)*Inputs!$D$1),"",SUMIFS(INDEX(Inputs!$B$2:$AZ$190,,MATCH(SUBSTITUTE(BA$3,"Q","T"),Inputs!$B$2:$AZ$2,0)),Inputs!$B$2:$B$190,$B5)*Inputs!$D$1)</f>
        <v>0</v>
      </c>
      <c r="BB5" s="58">
        <f>BA5</f>
        <v>0</v>
      </c>
      <c r="BC5" s="57">
        <f>IF(ISNA(SUMIFS(INDEX(Inputs!$B$2:$AZ$190,,MATCH(SUBSTITUTE(BC$3,"Q","T"),Inputs!$B$2:$AZ$2,0)),Inputs!$B$2:$B$190,$B5)*Inputs!$D$1),"",SUMIFS(INDEX(Inputs!$B$2:$AZ$190,,MATCH(SUBSTITUTE(BC$3,"Q","T"),Inputs!$B$2:$AZ$2,0)),Inputs!$B$2:$B$190,$B5)*Inputs!$D$1)</f>
        <v>0</v>
      </c>
      <c r="BD5" s="57">
        <f>IF(ISNA(SUMIFS(INDEX(Inputs!$B$2:$AZ$190,,MATCH(SUBSTITUTE(BD$3,"Q","T"),Inputs!$B$2:$AZ$2,0)),Inputs!$B$2:$B$190,$B5)*Inputs!$D$1),"",SUMIFS(INDEX(Inputs!$B$2:$AZ$190,,MATCH(SUBSTITUTE(BD$3,"Q","T"),Inputs!$B$2:$AZ$2,0)),Inputs!$B$2:$B$190,$B5)*Inputs!$D$1)</f>
        <v>0</v>
      </c>
      <c r="BE5" s="57">
        <f>IF(ISNA(SUMIFS(INDEX(Inputs!$B$2:$AZ$190,,MATCH(SUBSTITUTE(BE$3,"Q","T"),Inputs!$B$2:$AZ$2,0)),Inputs!$B$2:$B$190,$B5)*Inputs!$D$1),"",SUMIFS(INDEX(Inputs!$B$2:$AZ$190,,MATCH(SUBSTITUTE(BE$3,"Q","T"),Inputs!$B$2:$AZ$2,0)),Inputs!$B$2:$B$190,$B5)*Inputs!$D$1)</f>
        <v>0</v>
      </c>
      <c r="BF5" s="57">
        <f>IF(ISNA(SUMIFS(INDEX(Inputs!$B$2:$AZ$190,,MATCH(SUBSTITUTE(BF$3,"Q","T"),Inputs!$B$2:$AZ$2,0)),Inputs!$B$2:$B$190,$B5)*Inputs!$D$1),"",SUMIFS(INDEX(Inputs!$B$2:$AZ$190,,MATCH(SUBSTITUTE(BF$3,"Q","T"),Inputs!$B$2:$AZ$2,0)),Inputs!$B$2:$B$190,$B5)*Inputs!$D$1)</f>
        <v>0</v>
      </c>
      <c r="BG5" s="58">
        <f>BF5</f>
        <v>0</v>
      </c>
    </row>
    <row r="6">
      <c r="C6" s="15" t="inlineStr">
        <is>
          <t>Aplicações de liquidez</t>
        </is>
      </c>
      <c r="D6" s="16" t="inlineStr">
        <is>
          <t>Liquidity placements</t>
        </is>
      </c>
      <c r="E6" s="59">
        <f>IFERROR(E7+E8+E9+E10,"")</f>
        <v>0</v>
      </c>
      <c r="F6" s="59">
        <f>IFERROR(F7+F8+F9+F10,"")</f>
        <v>0</v>
      </c>
      <c r="G6" s="59">
        <f>IFERROR(G7+G8+G9+G10,"")</f>
        <v>0</v>
      </c>
      <c r="H6" s="59">
        <f>IFERROR(H7+H8+H9+H10,"")</f>
        <v>0</v>
      </c>
      <c r="I6" s="60">
        <f>H6</f>
        <v>0</v>
      </c>
      <c r="J6" s="59">
        <f>IFERROR(J7+J8+J9+J10,"")</f>
        <v>0</v>
      </c>
      <c r="K6" s="59">
        <f>IFERROR(K7+K8+K9+K10,"")</f>
        <v>0</v>
      </c>
      <c r="L6" s="59">
        <f>IFERROR(L7+L8+L9+L10,"")</f>
        <v>0</v>
      </c>
      <c r="M6" s="59">
        <f>IFERROR(M7+M8+M9+M10,"")</f>
        <v>0</v>
      </c>
      <c r="N6" s="60">
        <f>M6</f>
        <v>0</v>
      </c>
      <c r="O6" s="59">
        <f>IFERROR(O7+O8+O9+O10,"")</f>
        <v>0</v>
      </c>
      <c r="P6" s="59">
        <f>IFERROR(P7+P8+P9+P10,"")</f>
        <v>0</v>
      </c>
      <c r="Q6" s="59">
        <f>IFERROR(Q7+Q8+Q9+Q10,"")</f>
        <v>0</v>
      </c>
      <c r="R6" s="59">
        <f>IFERROR(R7+R8+R9+R10,"")</f>
        <v>0</v>
      </c>
      <c r="S6" s="60">
        <f>R6</f>
        <v>0</v>
      </c>
      <c r="T6" s="59">
        <f>IFERROR(T7+T8+T9+T10,"")</f>
        <v>0</v>
      </c>
      <c r="U6" s="59">
        <f>IFERROR(U7+U8+U9+U10,"")</f>
        <v>0</v>
      </c>
      <c r="V6" s="59">
        <f>IFERROR(V7+V8+V9+V10,"")</f>
        <v>0</v>
      </c>
      <c r="W6" s="59">
        <f>IFERROR(W7+W8+W9+W10,"")</f>
        <v>0</v>
      </c>
      <c r="X6" s="60">
        <f>W6</f>
        <v>0</v>
      </c>
      <c r="Y6" s="59">
        <f>IFERROR(Y7+Y8+Y9+Y10,"")</f>
        <v>0</v>
      </c>
      <c r="Z6" s="59">
        <f>IFERROR(Z7+Z8+Z9+Z10,"")</f>
        <v>0</v>
      </c>
      <c r="AA6" s="59">
        <f>IFERROR(AA7+AA8+AA9+AA10,"")</f>
        <v>0</v>
      </c>
      <c r="AB6" s="59">
        <f>IFERROR(AB7+AB8+AB9+AB10,"")</f>
        <v>0</v>
      </c>
      <c r="AC6" s="60">
        <f>AB6</f>
        <v>0</v>
      </c>
      <c r="AD6" s="59">
        <f>IFERROR(AD7+AD8+AD9+AD10,"")</f>
        <v>0</v>
      </c>
      <c r="AE6" s="59">
        <f>IFERROR(AE7+AE8+AE9+AE10,"")</f>
        <v>0</v>
      </c>
      <c r="AF6" s="59">
        <f>IFERROR(AF7+AF8+AF9+AF10,"")</f>
        <v>0</v>
      </c>
      <c r="AG6" s="59">
        <f>IFERROR(AG7+AG8+AG9+AG10,"")</f>
        <v>0</v>
      </c>
      <c r="AH6" s="60">
        <f>AG6</f>
        <v>0</v>
      </c>
      <c r="AI6" s="59">
        <f>IFERROR(AI7+AI8+AI9+AI10,"")</f>
        <v>0</v>
      </c>
      <c r="AJ6" s="59">
        <f>IFERROR(AJ7+AJ8+AJ9+AJ10,"")</f>
        <v>0</v>
      </c>
      <c r="AK6" s="59">
        <f>IFERROR(AK7+AK8+AK9+AK10,"")</f>
        <v>0</v>
      </c>
      <c r="AL6" s="59">
        <f>IFERROR(AL7+AL8+AL9+AL10,"")</f>
        <v>0</v>
      </c>
      <c r="AM6" s="60">
        <f>AL6</f>
        <v>0</v>
      </c>
      <c r="AN6" s="59">
        <f>IFERROR(AN7+AN8+AN9+AN10,"")</f>
        <v>0</v>
      </c>
      <c r="AO6" s="59">
        <f>IFERROR(AO7+AO8+AO9+AO10,"")</f>
        <v>0</v>
      </c>
      <c r="AP6" s="59">
        <f>IFERROR(AP7+AP8+AP9+AP10,"")</f>
        <v>0</v>
      </c>
      <c r="AQ6" s="59">
        <f>IFERROR(AQ7+AQ8+AQ9+AQ10,"")</f>
        <v>0</v>
      </c>
      <c r="AR6" s="60">
        <f>AQ6</f>
        <v>0</v>
      </c>
      <c r="AS6" s="59">
        <f>IFERROR(AS7+AS8+AS9+AS10,"")</f>
        <v>0</v>
      </c>
      <c r="AT6" s="59">
        <f>IFERROR(AT7+AT8+AT9+AT10,"")</f>
        <v>0</v>
      </c>
      <c r="AU6" s="59">
        <f>IFERROR(AU7+AU8+AU9+AU10,"")</f>
        <v>0</v>
      </c>
      <c r="AV6" s="59">
        <f>IFERROR(AV7+AV8+AV9+AV10,"")</f>
        <v>0</v>
      </c>
      <c r="AW6" s="60">
        <f>AV6</f>
        <v>0</v>
      </c>
      <c r="AX6" s="59">
        <f>IFERROR(AX7+AX8+AX9+AX10,"")</f>
        <v>0</v>
      </c>
      <c r="AY6" s="59">
        <f>IFERROR(AY7+AY8+AY9+AY10,"")</f>
        <v>0</v>
      </c>
      <c r="AZ6" s="59">
        <f>IFERROR(AZ7+AZ8+AZ9+AZ10,"")</f>
        <v>0</v>
      </c>
      <c r="BA6" s="59">
        <f>IFERROR(BA7+BA8+BA9+BA10,"")</f>
        <v>0</v>
      </c>
      <c r="BB6" s="60">
        <f>BA6</f>
        <v>0</v>
      </c>
      <c r="BC6" s="59">
        <f>IFERROR(BC7+BC8+BC9+BC10,"")</f>
        <v>0</v>
      </c>
      <c r="BD6" s="59">
        <f>IFERROR(BD7+BD8+BD9+BD10,"")</f>
        <v>0</v>
      </c>
      <c r="BE6" s="59">
        <f>IFERROR(BE7+BE8+BE9+BE10,"")</f>
        <v>0</v>
      </c>
      <c r="BF6" s="59">
        <f>IFERROR(BF7+BF8+BF9+BF10,"")</f>
        <v>0</v>
      </c>
      <c r="BG6" s="60">
        <f>BF6</f>
        <v>0</v>
      </c>
    </row>
    <row r="7" hidden="1" outlineLevel="1">
      <c r="B7" s="56" t="inlineStr">
        <is>
          <t>resale</t>
        </is>
      </c>
      <c r="C7" s="61" t="inlineStr">
        <is>
          <t>Fed funds vendidos e compromissadas reversas</t>
        </is>
      </c>
      <c r="D7" s="62" t="inlineStr">
        <is>
          <t>Fed funds sold and securities purchased under resale agreements</t>
        </is>
      </c>
      <c r="E7" s="57">
        <f>IF(ISNA(SUMIFS(INDEX(Inputs!$B$2:$AZ$190,,MATCH(SUBSTITUTE(E$3,"Q","T"),Inputs!$B$2:$AZ$2,0)),Inputs!$B$2:$B$190,$B7)*Inputs!$D$1),"",SUMIFS(INDEX(Inputs!$B$2:$AZ$190,,MATCH(SUBSTITUTE(E$3,"Q","T"),Inputs!$B$2:$AZ$2,0)),Inputs!$B$2:$B$190,$B7)*Inputs!$D$1)</f>
        <v>0</v>
      </c>
      <c r="F7" s="57">
        <f>IF(ISNA(SUMIFS(INDEX(Inputs!$B$2:$AZ$190,,MATCH(SUBSTITUTE(F$3,"Q","T"),Inputs!$B$2:$AZ$2,0)),Inputs!$B$2:$B$190,$B7)*Inputs!$D$1),"",SUMIFS(INDEX(Inputs!$B$2:$AZ$190,,MATCH(SUBSTITUTE(F$3,"Q","T"),Inputs!$B$2:$AZ$2,0)),Inputs!$B$2:$B$190,$B7)*Inputs!$D$1)</f>
        <v>0</v>
      </c>
      <c r="G7" s="57">
        <f>IF(ISNA(SUMIFS(INDEX(Inputs!$B$2:$AZ$190,,MATCH(SUBSTITUTE(G$3,"Q","T"),Inputs!$B$2:$AZ$2,0)),Inputs!$B$2:$B$190,$B7)*Inputs!$D$1),"",SUMIFS(INDEX(Inputs!$B$2:$AZ$190,,MATCH(SUBSTITUTE(G$3,"Q","T"),Inputs!$B$2:$AZ$2,0)),Inputs!$B$2:$B$190,$B7)*Inputs!$D$1)</f>
        <v>0</v>
      </c>
      <c r="H7" s="57">
        <f>IF(ISNA(SUMIFS(INDEX(Inputs!$B$2:$AZ$190,,MATCH(SUBSTITUTE(H$3,"Q","T"),Inputs!$B$2:$AZ$2,0)),Inputs!$B$2:$B$190,$B7)*Inputs!$D$1),"",SUMIFS(INDEX(Inputs!$B$2:$AZ$190,,MATCH(SUBSTITUTE(H$3,"Q","T"),Inputs!$B$2:$AZ$2,0)),Inputs!$B$2:$B$190,$B7)*Inputs!$D$1)</f>
        <v>0</v>
      </c>
      <c r="I7" s="58">
        <f>H7</f>
        <v>0</v>
      </c>
      <c r="J7" s="57">
        <f>IF(ISNA(SUMIFS(INDEX(Inputs!$B$2:$AZ$190,,MATCH(SUBSTITUTE(J$3,"Q","T"),Inputs!$B$2:$AZ$2,0)),Inputs!$B$2:$B$190,$B7)*Inputs!$D$1),"",SUMIFS(INDEX(Inputs!$B$2:$AZ$190,,MATCH(SUBSTITUTE(J$3,"Q","T"),Inputs!$B$2:$AZ$2,0)),Inputs!$B$2:$B$190,$B7)*Inputs!$D$1)</f>
        <v>0</v>
      </c>
      <c r="K7" s="57">
        <f>IF(ISNA(SUMIFS(INDEX(Inputs!$B$2:$AZ$190,,MATCH(SUBSTITUTE(K$3,"Q","T"),Inputs!$B$2:$AZ$2,0)),Inputs!$B$2:$B$190,$B7)*Inputs!$D$1),"",SUMIFS(INDEX(Inputs!$B$2:$AZ$190,,MATCH(SUBSTITUTE(K$3,"Q","T"),Inputs!$B$2:$AZ$2,0)),Inputs!$B$2:$B$190,$B7)*Inputs!$D$1)</f>
        <v>0</v>
      </c>
      <c r="L7" s="57">
        <f>IF(ISNA(SUMIFS(INDEX(Inputs!$B$2:$AZ$190,,MATCH(SUBSTITUTE(L$3,"Q","T"),Inputs!$B$2:$AZ$2,0)),Inputs!$B$2:$B$190,$B7)*Inputs!$D$1),"",SUMIFS(INDEX(Inputs!$B$2:$AZ$190,,MATCH(SUBSTITUTE(L$3,"Q","T"),Inputs!$B$2:$AZ$2,0)),Inputs!$B$2:$B$190,$B7)*Inputs!$D$1)</f>
        <v>0</v>
      </c>
      <c r="M7" s="57">
        <f>IF(ISNA(SUMIFS(INDEX(Inputs!$B$2:$AZ$190,,MATCH(SUBSTITUTE(M$3,"Q","T"),Inputs!$B$2:$AZ$2,0)),Inputs!$B$2:$B$190,$B7)*Inputs!$D$1),"",SUMIFS(INDEX(Inputs!$B$2:$AZ$190,,MATCH(SUBSTITUTE(M$3,"Q","T"),Inputs!$B$2:$AZ$2,0)),Inputs!$B$2:$B$190,$B7)*Inputs!$D$1)</f>
        <v>0</v>
      </c>
      <c r="N7" s="58">
        <f>M7</f>
        <v>0</v>
      </c>
      <c r="O7" s="57">
        <f>IF(ISNA(SUMIFS(INDEX(Inputs!$B$2:$AZ$190,,MATCH(SUBSTITUTE(O$3,"Q","T"),Inputs!$B$2:$AZ$2,0)),Inputs!$B$2:$B$190,$B7)*Inputs!$D$1),"",SUMIFS(INDEX(Inputs!$B$2:$AZ$190,,MATCH(SUBSTITUTE(O$3,"Q","T"),Inputs!$B$2:$AZ$2,0)),Inputs!$B$2:$B$190,$B7)*Inputs!$D$1)</f>
        <v>0</v>
      </c>
      <c r="P7" s="57">
        <f>IF(ISNA(SUMIFS(INDEX(Inputs!$B$2:$AZ$190,,MATCH(SUBSTITUTE(P$3,"Q","T"),Inputs!$B$2:$AZ$2,0)),Inputs!$B$2:$B$190,$B7)*Inputs!$D$1),"",SUMIFS(INDEX(Inputs!$B$2:$AZ$190,,MATCH(SUBSTITUTE(P$3,"Q","T"),Inputs!$B$2:$AZ$2,0)),Inputs!$B$2:$B$190,$B7)*Inputs!$D$1)</f>
        <v>0</v>
      </c>
      <c r="Q7" s="57">
        <f>IF(ISNA(SUMIFS(INDEX(Inputs!$B$2:$AZ$190,,MATCH(SUBSTITUTE(Q$3,"Q","T"),Inputs!$B$2:$AZ$2,0)),Inputs!$B$2:$B$190,$B7)*Inputs!$D$1),"",SUMIFS(INDEX(Inputs!$B$2:$AZ$190,,MATCH(SUBSTITUTE(Q$3,"Q","T"),Inputs!$B$2:$AZ$2,0)),Inputs!$B$2:$B$190,$B7)*Inputs!$D$1)</f>
        <v>0</v>
      </c>
      <c r="R7" s="57">
        <f>IF(ISNA(SUMIFS(INDEX(Inputs!$B$2:$AZ$190,,MATCH(SUBSTITUTE(R$3,"Q","T"),Inputs!$B$2:$AZ$2,0)),Inputs!$B$2:$B$190,$B7)*Inputs!$D$1),"",SUMIFS(INDEX(Inputs!$B$2:$AZ$190,,MATCH(SUBSTITUTE(R$3,"Q","T"),Inputs!$B$2:$AZ$2,0)),Inputs!$B$2:$B$190,$B7)*Inputs!$D$1)</f>
        <v>0</v>
      </c>
      <c r="S7" s="58">
        <f>R7</f>
        <v>0</v>
      </c>
      <c r="T7" s="57">
        <f>IF(ISNA(SUMIFS(INDEX(Inputs!$B$2:$AZ$190,,MATCH(SUBSTITUTE(T$3,"Q","T"),Inputs!$B$2:$AZ$2,0)),Inputs!$B$2:$B$190,$B7)*Inputs!$D$1),"",SUMIFS(INDEX(Inputs!$B$2:$AZ$190,,MATCH(SUBSTITUTE(T$3,"Q","T"),Inputs!$B$2:$AZ$2,0)),Inputs!$B$2:$B$190,$B7)*Inputs!$D$1)</f>
        <v>0</v>
      </c>
      <c r="U7" s="57">
        <f>IF(ISNA(SUMIFS(INDEX(Inputs!$B$2:$AZ$190,,MATCH(SUBSTITUTE(U$3,"Q","T"),Inputs!$B$2:$AZ$2,0)),Inputs!$B$2:$B$190,$B7)*Inputs!$D$1),"",SUMIFS(INDEX(Inputs!$B$2:$AZ$190,,MATCH(SUBSTITUTE(U$3,"Q","T"),Inputs!$B$2:$AZ$2,0)),Inputs!$B$2:$B$190,$B7)*Inputs!$D$1)</f>
        <v>0</v>
      </c>
      <c r="V7" s="57">
        <f>IF(ISNA(SUMIFS(INDEX(Inputs!$B$2:$AZ$190,,MATCH(SUBSTITUTE(V$3,"Q","T"),Inputs!$B$2:$AZ$2,0)),Inputs!$B$2:$B$190,$B7)*Inputs!$D$1),"",SUMIFS(INDEX(Inputs!$B$2:$AZ$190,,MATCH(SUBSTITUTE(V$3,"Q","T"),Inputs!$B$2:$AZ$2,0)),Inputs!$B$2:$B$190,$B7)*Inputs!$D$1)</f>
        <v>0</v>
      </c>
      <c r="W7" s="57">
        <f>IF(ISNA(SUMIFS(INDEX(Inputs!$B$2:$AZ$190,,MATCH(SUBSTITUTE(W$3,"Q","T"),Inputs!$B$2:$AZ$2,0)),Inputs!$B$2:$B$190,$B7)*Inputs!$D$1),"",SUMIFS(INDEX(Inputs!$B$2:$AZ$190,,MATCH(SUBSTITUTE(W$3,"Q","T"),Inputs!$B$2:$AZ$2,0)),Inputs!$B$2:$B$190,$B7)*Inputs!$D$1)</f>
        <v>0</v>
      </c>
      <c r="X7" s="58">
        <f>W7</f>
        <v>0</v>
      </c>
      <c r="Y7" s="57">
        <f>IF(ISNA(SUMIFS(INDEX(Inputs!$B$2:$AZ$190,,MATCH(SUBSTITUTE(Y$3,"Q","T"),Inputs!$B$2:$AZ$2,0)),Inputs!$B$2:$B$190,$B7)*Inputs!$D$1),"",SUMIFS(INDEX(Inputs!$B$2:$AZ$190,,MATCH(SUBSTITUTE(Y$3,"Q","T"),Inputs!$B$2:$AZ$2,0)),Inputs!$B$2:$B$190,$B7)*Inputs!$D$1)</f>
        <v>0</v>
      </c>
      <c r="Z7" s="57">
        <f>IF(ISNA(SUMIFS(INDEX(Inputs!$B$2:$AZ$190,,MATCH(SUBSTITUTE(Z$3,"Q","T"),Inputs!$B$2:$AZ$2,0)),Inputs!$B$2:$B$190,$B7)*Inputs!$D$1),"",SUMIFS(INDEX(Inputs!$B$2:$AZ$190,,MATCH(SUBSTITUTE(Z$3,"Q","T"),Inputs!$B$2:$AZ$2,0)),Inputs!$B$2:$B$190,$B7)*Inputs!$D$1)</f>
        <v>0</v>
      </c>
      <c r="AA7" s="57">
        <f>IF(ISNA(SUMIFS(INDEX(Inputs!$B$2:$AZ$190,,MATCH(SUBSTITUTE(AA$3,"Q","T"),Inputs!$B$2:$AZ$2,0)),Inputs!$B$2:$B$190,$B7)*Inputs!$D$1),"",SUMIFS(INDEX(Inputs!$B$2:$AZ$190,,MATCH(SUBSTITUTE(AA$3,"Q","T"),Inputs!$B$2:$AZ$2,0)),Inputs!$B$2:$B$190,$B7)*Inputs!$D$1)</f>
        <v>0</v>
      </c>
      <c r="AB7" s="57">
        <f>IF(ISNA(SUMIFS(INDEX(Inputs!$B$2:$AZ$190,,MATCH(SUBSTITUTE(AB$3,"Q","T"),Inputs!$B$2:$AZ$2,0)),Inputs!$B$2:$B$190,$B7)*Inputs!$D$1),"",SUMIFS(INDEX(Inputs!$B$2:$AZ$190,,MATCH(SUBSTITUTE(AB$3,"Q","T"),Inputs!$B$2:$AZ$2,0)),Inputs!$B$2:$B$190,$B7)*Inputs!$D$1)</f>
        <v>0</v>
      </c>
      <c r="AC7" s="58">
        <f>AB7</f>
        <v>0</v>
      </c>
      <c r="AD7" s="57">
        <f>IF(ISNA(SUMIFS(INDEX(Inputs!$B$2:$AZ$190,,MATCH(SUBSTITUTE(AD$3,"Q","T"),Inputs!$B$2:$AZ$2,0)),Inputs!$B$2:$B$190,$B7)*Inputs!$D$1),"",SUMIFS(INDEX(Inputs!$B$2:$AZ$190,,MATCH(SUBSTITUTE(AD$3,"Q","T"),Inputs!$B$2:$AZ$2,0)),Inputs!$B$2:$B$190,$B7)*Inputs!$D$1)</f>
        <v>0</v>
      </c>
      <c r="AE7" s="57">
        <f>IF(ISNA(SUMIFS(INDEX(Inputs!$B$2:$AZ$190,,MATCH(SUBSTITUTE(AE$3,"Q","T"),Inputs!$B$2:$AZ$2,0)),Inputs!$B$2:$B$190,$B7)*Inputs!$D$1),"",SUMIFS(INDEX(Inputs!$B$2:$AZ$190,,MATCH(SUBSTITUTE(AE$3,"Q","T"),Inputs!$B$2:$AZ$2,0)),Inputs!$B$2:$B$190,$B7)*Inputs!$D$1)</f>
        <v>0</v>
      </c>
      <c r="AF7" s="57">
        <f>IF(ISNA(SUMIFS(INDEX(Inputs!$B$2:$AZ$190,,MATCH(SUBSTITUTE(AF$3,"Q","T"),Inputs!$B$2:$AZ$2,0)),Inputs!$B$2:$B$190,$B7)*Inputs!$D$1),"",SUMIFS(INDEX(Inputs!$B$2:$AZ$190,,MATCH(SUBSTITUTE(AF$3,"Q","T"),Inputs!$B$2:$AZ$2,0)),Inputs!$B$2:$B$190,$B7)*Inputs!$D$1)</f>
        <v>0</v>
      </c>
      <c r="AG7" s="57">
        <f>IF(ISNA(SUMIFS(INDEX(Inputs!$B$2:$AZ$190,,MATCH(SUBSTITUTE(AG$3,"Q","T"),Inputs!$B$2:$AZ$2,0)),Inputs!$B$2:$B$190,$B7)*Inputs!$D$1),"",SUMIFS(INDEX(Inputs!$B$2:$AZ$190,,MATCH(SUBSTITUTE(AG$3,"Q","T"),Inputs!$B$2:$AZ$2,0)),Inputs!$B$2:$B$190,$B7)*Inputs!$D$1)</f>
        <v>0</v>
      </c>
      <c r="AH7" s="58">
        <f>AG7</f>
        <v>0</v>
      </c>
      <c r="AI7" s="57">
        <f>IF(ISNA(SUMIFS(INDEX(Inputs!$B$2:$AZ$190,,MATCH(SUBSTITUTE(AI$3,"Q","T"),Inputs!$B$2:$AZ$2,0)),Inputs!$B$2:$B$190,$B7)*Inputs!$D$1),"",SUMIFS(INDEX(Inputs!$B$2:$AZ$190,,MATCH(SUBSTITUTE(AI$3,"Q","T"),Inputs!$B$2:$AZ$2,0)),Inputs!$B$2:$B$190,$B7)*Inputs!$D$1)</f>
        <v>0</v>
      </c>
      <c r="AJ7" s="57">
        <f>IF(ISNA(SUMIFS(INDEX(Inputs!$B$2:$AZ$190,,MATCH(SUBSTITUTE(AJ$3,"Q","T"),Inputs!$B$2:$AZ$2,0)),Inputs!$B$2:$B$190,$B7)*Inputs!$D$1),"",SUMIFS(INDEX(Inputs!$B$2:$AZ$190,,MATCH(SUBSTITUTE(AJ$3,"Q","T"),Inputs!$B$2:$AZ$2,0)),Inputs!$B$2:$B$190,$B7)*Inputs!$D$1)</f>
        <v>0</v>
      </c>
      <c r="AK7" s="57">
        <f>IF(ISNA(SUMIFS(INDEX(Inputs!$B$2:$AZ$190,,MATCH(SUBSTITUTE(AK$3,"Q","T"),Inputs!$B$2:$AZ$2,0)),Inputs!$B$2:$B$190,$B7)*Inputs!$D$1),"",SUMIFS(INDEX(Inputs!$B$2:$AZ$190,,MATCH(SUBSTITUTE(AK$3,"Q","T"),Inputs!$B$2:$AZ$2,0)),Inputs!$B$2:$B$190,$B7)*Inputs!$D$1)</f>
        <v>0</v>
      </c>
      <c r="AL7" s="57">
        <f>IF(ISNA(SUMIFS(INDEX(Inputs!$B$2:$AZ$190,,MATCH(SUBSTITUTE(AL$3,"Q","T"),Inputs!$B$2:$AZ$2,0)),Inputs!$B$2:$B$190,$B7)*Inputs!$D$1),"",SUMIFS(INDEX(Inputs!$B$2:$AZ$190,,MATCH(SUBSTITUTE(AL$3,"Q","T"),Inputs!$B$2:$AZ$2,0)),Inputs!$B$2:$B$190,$B7)*Inputs!$D$1)</f>
        <v>0</v>
      </c>
      <c r="AM7" s="58">
        <f>AL7</f>
        <v>0</v>
      </c>
      <c r="AN7" s="57">
        <f>IF(ISNA(SUMIFS(INDEX(Inputs!$B$2:$AZ$190,,MATCH(SUBSTITUTE(AN$3,"Q","T"),Inputs!$B$2:$AZ$2,0)),Inputs!$B$2:$B$190,$B7)*Inputs!$D$1),"",SUMIFS(INDEX(Inputs!$B$2:$AZ$190,,MATCH(SUBSTITUTE(AN$3,"Q","T"),Inputs!$B$2:$AZ$2,0)),Inputs!$B$2:$B$190,$B7)*Inputs!$D$1)</f>
        <v>0</v>
      </c>
      <c r="AO7" s="57">
        <f>IF(ISNA(SUMIFS(INDEX(Inputs!$B$2:$AZ$190,,MATCH(SUBSTITUTE(AO$3,"Q","T"),Inputs!$B$2:$AZ$2,0)),Inputs!$B$2:$B$190,$B7)*Inputs!$D$1),"",SUMIFS(INDEX(Inputs!$B$2:$AZ$190,,MATCH(SUBSTITUTE(AO$3,"Q","T"),Inputs!$B$2:$AZ$2,0)),Inputs!$B$2:$B$190,$B7)*Inputs!$D$1)</f>
        <v>0</v>
      </c>
      <c r="AP7" s="57">
        <f>IF(ISNA(SUMIFS(INDEX(Inputs!$B$2:$AZ$190,,MATCH(SUBSTITUTE(AP$3,"Q","T"),Inputs!$B$2:$AZ$2,0)),Inputs!$B$2:$B$190,$B7)*Inputs!$D$1),"",SUMIFS(INDEX(Inputs!$B$2:$AZ$190,,MATCH(SUBSTITUTE(AP$3,"Q","T"),Inputs!$B$2:$AZ$2,0)),Inputs!$B$2:$B$190,$B7)*Inputs!$D$1)</f>
        <v>0</v>
      </c>
      <c r="AQ7" s="57">
        <f>IF(ISNA(SUMIFS(INDEX(Inputs!$B$2:$AZ$190,,MATCH(SUBSTITUTE(AQ$3,"Q","T"),Inputs!$B$2:$AZ$2,0)),Inputs!$B$2:$B$190,$B7)*Inputs!$D$1),"",SUMIFS(INDEX(Inputs!$B$2:$AZ$190,,MATCH(SUBSTITUTE(AQ$3,"Q","T"),Inputs!$B$2:$AZ$2,0)),Inputs!$B$2:$B$190,$B7)*Inputs!$D$1)</f>
        <v>0</v>
      </c>
      <c r="AR7" s="58">
        <f>AQ7</f>
        <v>0</v>
      </c>
      <c r="AS7" s="57">
        <f>IF(ISNA(SUMIFS(INDEX(Inputs!$B$2:$AZ$190,,MATCH(SUBSTITUTE(AS$3,"Q","T"),Inputs!$B$2:$AZ$2,0)),Inputs!$B$2:$B$190,$B7)*Inputs!$D$1),"",SUMIFS(INDEX(Inputs!$B$2:$AZ$190,,MATCH(SUBSTITUTE(AS$3,"Q","T"),Inputs!$B$2:$AZ$2,0)),Inputs!$B$2:$B$190,$B7)*Inputs!$D$1)</f>
        <v>0</v>
      </c>
      <c r="AT7" s="57">
        <f>IF(ISNA(SUMIFS(INDEX(Inputs!$B$2:$AZ$190,,MATCH(SUBSTITUTE(AT$3,"Q","T"),Inputs!$B$2:$AZ$2,0)),Inputs!$B$2:$B$190,$B7)*Inputs!$D$1),"",SUMIFS(INDEX(Inputs!$B$2:$AZ$190,,MATCH(SUBSTITUTE(AT$3,"Q","T"),Inputs!$B$2:$AZ$2,0)),Inputs!$B$2:$B$190,$B7)*Inputs!$D$1)</f>
        <v>0</v>
      </c>
      <c r="AU7" s="57">
        <f>IF(ISNA(SUMIFS(INDEX(Inputs!$B$2:$AZ$190,,MATCH(SUBSTITUTE(AU$3,"Q","T"),Inputs!$B$2:$AZ$2,0)),Inputs!$B$2:$B$190,$B7)*Inputs!$D$1),"",SUMIFS(INDEX(Inputs!$B$2:$AZ$190,,MATCH(SUBSTITUTE(AU$3,"Q","T"),Inputs!$B$2:$AZ$2,0)),Inputs!$B$2:$B$190,$B7)*Inputs!$D$1)</f>
        <v>0</v>
      </c>
      <c r="AV7" s="57">
        <f>IF(ISNA(SUMIFS(INDEX(Inputs!$B$2:$AZ$190,,MATCH(SUBSTITUTE(AV$3,"Q","T"),Inputs!$B$2:$AZ$2,0)),Inputs!$B$2:$B$190,$B7)*Inputs!$D$1),"",SUMIFS(INDEX(Inputs!$B$2:$AZ$190,,MATCH(SUBSTITUTE(AV$3,"Q","T"),Inputs!$B$2:$AZ$2,0)),Inputs!$B$2:$B$190,$B7)*Inputs!$D$1)</f>
        <v>0</v>
      </c>
      <c r="AW7" s="58">
        <f>AV7</f>
        <v>0</v>
      </c>
      <c r="AX7" s="57">
        <f>IF(ISNA(SUMIFS(INDEX(Inputs!$B$2:$AZ$190,,MATCH(SUBSTITUTE(AX$3,"Q","T"),Inputs!$B$2:$AZ$2,0)),Inputs!$B$2:$B$190,$B7)*Inputs!$D$1),"",SUMIFS(INDEX(Inputs!$B$2:$AZ$190,,MATCH(SUBSTITUTE(AX$3,"Q","T"),Inputs!$B$2:$AZ$2,0)),Inputs!$B$2:$B$190,$B7)*Inputs!$D$1)</f>
        <v>0</v>
      </c>
      <c r="AY7" s="57">
        <f>IF(ISNA(SUMIFS(INDEX(Inputs!$B$2:$AZ$190,,MATCH(SUBSTITUTE(AY$3,"Q","T"),Inputs!$B$2:$AZ$2,0)),Inputs!$B$2:$B$190,$B7)*Inputs!$D$1),"",SUMIFS(INDEX(Inputs!$B$2:$AZ$190,,MATCH(SUBSTITUTE(AY$3,"Q","T"),Inputs!$B$2:$AZ$2,0)),Inputs!$B$2:$B$190,$B7)*Inputs!$D$1)</f>
        <v>0</v>
      </c>
      <c r="AZ7" s="57">
        <f>IF(ISNA(SUMIFS(INDEX(Inputs!$B$2:$AZ$190,,MATCH(SUBSTITUTE(AZ$3,"Q","T"),Inputs!$B$2:$AZ$2,0)),Inputs!$B$2:$B$190,$B7)*Inputs!$D$1),"",SUMIFS(INDEX(Inputs!$B$2:$AZ$190,,MATCH(SUBSTITUTE(AZ$3,"Q","T"),Inputs!$B$2:$AZ$2,0)),Inputs!$B$2:$B$190,$B7)*Inputs!$D$1)</f>
        <v>0</v>
      </c>
      <c r="BA7" s="57">
        <f>IF(ISNA(SUMIFS(INDEX(Inputs!$B$2:$AZ$190,,MATCH(SUBSTITUTE(BA$3,"Q","T"),Inputs!$B$2:$AZ$2,0)),Inputs!$B$2:$B$190,$B7)*Inputs!$D$1),"",SUMIFS(INDEX(Inputs!$B$2:$AZ$190,,MATCH(SUBSTITUTE(BA$3,"Q","T"),Inputs!$B$2:$AZ$2,0)),Inputs!$B$2:$B$190,$B7)*Inputs!$D$1)</f>
        <v>0</v>
      </c>
      <c r="BB7" s="58">
        <f>BA7</f>
        <v>0</v>
      </c>
      <c r="BC7" s="57">
        <f>IF(ISNA(SUMIFS(INDEX(Inputs!$B$2:$AZ$190,,MATCH(SUBSTITUTE(BC$3,"Q","T"),Inputs!$B$2:$AZ$2,0)),Inputs!$B$2:$B$190,$B7)*Inputs!$D$1),"",SUMIFS(INDEX(Inputs!$B$2:$AZ$190,,MATCH(SUBSTITUTE(BC$3,"Q","T"),Inputs!$B$2:$AZ$2,0)),Inputs!$B$2:$B$190,$B7)*Inputs!$D$1)</f>
        <v>0</v>
      </c>
      <c r="BD7" s="57">
        <f>IF(ISNA(SUMIFS(INDEX(Inputs!$B$2:$AZ$190,,MATCH(SUBSTITUTE(BD$3,"Q","T"),Inputs!$B$2:$AZ$2,0)),Inputs!$B$2:$B$190,$B7)*Inputs!$D$1),"",SUMIFS(INDEX(Inputs!$B$2:$AZ$190,,MATCH(SUBSTITUTE(BD$3,"Q","T"),Inputs!$B$2:$AZ$2,0)),Inputs!$B$2:$B$190,$B7)*Inputs!$D$1)</f>
        <v>0</v>
      </c>
      <c r="BE7" s="57">
        <f>IF(ISNA(SUMIFS(INDEX(Inputs!$B$2:$AZ$190,,MATCH(SUBSTITUTE(BE$3,"Q","T"),Inputs!$B$2:$AZ$2,0)),Inputs!$B$2:$B$190,$B7)*Inputs!$D$1),"",SUMIFS(INDEX(Inputs!$B$2:$AZ$190,,MATCH(SUBSTITUTE(BE$3,"Q","T"),Inputs!$B$2:$AZ$2,0)),Inputs!$B$2:$B$190,$B7)*Inputs!$D$1)</f>
        <v>0</v>
      </c>
      <c r="BF7" s="57">
        <f>IF(ISNA(SUMIFS(INDEX(Inputs!$B$2:$AZ$190,,MATCH(SUBSTITUTE(BF$3,"Q","T"),Inputs!$B$2:$AZ$2,0)),Inputs!$B$2:$B$190,$B7)*Inputs!$D$1),"",SUMIFS(INDEX(Inputs!$B$2:$AZ$190,,MATCH(SUBSTITUTE(BF$3,"Q","T"),Inputs!$B$2:$AZ$2,0)),Inputs!$B$2:$B$190,$B7)*Inputs!$D$1)</f>
        <v>0</v>
      </c>
      <c r="BG7" s="58">
        <f>BF7</f>
        <v>0</v>
      </c>
    </row>
    <row r="8" hidden="1" outlineLevel="1">
      <c r="B8" s="56" t="inlineStr">
        <is>
          <t>dep_banks</t>
        </is>
      </c>
      <c r="C8" s="61" t="inlineStr">
        <is>
          <t>Depósitos remunerados em bancos (inclui Federal Reserve)</t>
        </is>
      </c>
      <c r="D8" s="62" t="inlineStr">
        <is>
          <t>Deposits with banks</t>
        </is>
      </c>
      <c r="E8" s="57">
        <f>IF(ISNA(SUMIFS(INDEX(Inputs!$B$2:$AZ$190,,MATCH(SUBSTITUTE(E$3,"Q","T"),Inputs!$B$2:$AZ$2,0)),Inputs!$B$2:$B$190,$B8)*Inputs!$D$1),"",SUMIFS(INDEX(Inputs!$B$2:$AZ$190,,MATCH(SUBSTITUTE(E$3,"Q","T"),Inputs!$B$2:$AZ$2,0)),Inputs!$B$2:$B$190,$B8)*Inputs!$D$1)</f>
        <v>0</v>
      </c>
      <c r="F8" s="57">
        <f>IF(ISNA(SUMIFS(INDEX(Inputs!$B$2:$AZ$190,,MATCH(SUBSTITUTE(F$3,"Q","T"),Inputs!$B$2:$AZ$2,0)),Inputs!$B$2:$B$190,$B8)*Inputs!$D$1),"",SUMIFS(INDEX(Inputs!$B$2:$AZ$190,,MATCH(SUBSTITUTE(F$3,"Q","T"),Inputs!$B$2:$AZ$2,0)),Inputs!$B$2:$B$190,$B8)*Inputs!$D$1)</f>
        <v>0</v>
      </c>
      <c r="G8" s="57">
        <f>IF(ISNA(SUMIFS(INDEX(Inputs!$B$2:$AZ$190,,MATCH(SUBSTITUTE(G$3,"Q","T"),Inputs!$B$2:$AZ$2,0)),Inputs!$B$2:$B$190,$B8)*Inputs!$D$1),"",SUMIFS(INDEX(Inputs!$B$2:$AZ$190,,MATCH(SUBSTITUTE(G$3,"Q","T"),Inputs!$B$2:$AZ$2,0)),Inputs!$B$2:$B$190,$B8)*Inputs!$D$1)</f>
        <v>0</v>
      </c>
      <c r="H8" s="57">
        <f>IF(ISNA(SUMIFS(INDEX(Inputs!$B$2:$AZ$190,,MATCH(SUBSTITUTE(H$3,"Q","T"),Inputs!$B$2:$AZ$2,0)),Inputs!$B$2:$B$190,$B8)*Inputs!$D$1),"",SUMIFS(INDEX(Inputs!$B$2:$AZ$190,,MATCH(SUBSTITUTE(H$3,"Q","T"),Inputs!$B$2:$AZ$2,0)),Inputs!$B$2:$B$190,$B8)*Inputs!$D$1)</f>
        <v>0</v>
      </c>
      <c r="I8" s="58">
        <f>H8</f>
        <v>0</v>
      </c>
      <c r="J8" s="57">
        <f>IF(ISNA(SUMIFS(INDEX(Inputs!$B$2:$AZ$190,,MATCH(SUBSTITUTE(J$3,"Q","T"),Inputs!$B$2:$AZ$2,0)),Inputs!$B$2:$B$190,$B8)*Inputs!$D$1),"",SUMIFS(INDEX(Inputs!$B$2:$AZ$190,,MATCH(SUBSTITUTE(J$3,"Q","T"),Inputs!$B$2:$AZ$2,0)),Inputs!$B$2:$B$190,$B8)*Inputs!$D$1)</f>
        <v>0</v>
      </c>
      <c r="K8" s="57">
        <f>IF(ISNA(SUMIFS(INDEX(Inputs!$B$2:$AZ$190,,MATCH(SUBSTITUTE(K$3,"Q","T"),Inputs!$B$2:$AZ$2,0)),Inputs!$B$2:$B$190,$B8)*Inputs!$D$1),"",SUMIFS(INDEX(Inputs!$B$2:$AZ$190,,MATCH(SUBSTITUTE(K$3,"Q","T"),Inputs!$B$2:$AZ$2,0)),Inputs!$B$2:$B$190,$B8)*Inputs!$D$1)</f>
        <v>0</v>
      </c>
      <c r="L8" s="57">
        <f>IF(ISNA(SUMIFS(INDEX(Inputs!$B$2:$AZ$190,,MATCH(SUBSTITUTE(L$3,"Q","T"),Inputs!$B$2:$AZ$2,0)),Inputs!$B$2:$B$190,$B8)*Inputs!$D$1),"",SUMIFS(INDEX(Inputs!$B$2:$AZ$190,,MATCH(SUBSTITUTE(L$3,"Q","T"),Inputs!$B$2:$AZ$2,0)),Inputs!$B$2:$B$190,$B8)*Inputs!$D$1)</f>
        <v>0</v>
      </c>
      <c r="M8" s="57">
        <f>IF(ISNA(SUMIFS(INDEX(Inputs!$B$2:$AZ$190,,MATCH(SUBSTITUTE(M$3,"Q","T"),Inputs!$B$2:$AZ$2,0)),Inputs!$B$2:$B$190,$B8)*Inputs!$D$1),"",SUMIFS(INDEX(Inputs!$B$2:$AZ$190,,MATCH(SUBSTITUTE(M$3,"Q","T"),Inputs!$B$2:$AZ$2,0)),Inputs!$B$2:$B$190,$B8)*Inputs!$D$1)</f>
        <v>0</v>
      </c>
      <c r="N8" s="58">
        <f>M8</f>
        <v>0</v>
      </c>
      <c r="O8" s="57">
        <f>IF(ISNA(SUMIFS(INDEX(Inputs!$B$2:$AZ$190,,MATCH(SUBSTITUTE(O$3,"Q","T"),Inputs!$B$2:$AZ$2,0)),Inputs!$B$2:$B$190,$B8)*Inputs!$D$1),"",SUMIFS(INDEX(Inputs!$B$2:$AZ$190,,MATCH(SUBSTITUTE(O$3,"Q","T"),Inputs!$B$2:$AZ$2,0)),Inputs!$B$2:$B$190,$B8)*Inputs!$D$1)</f>
        <v>0</v>
      </c>
      <c r="P8" s="57">
        <f>IF(ISNA(SUMIFS(INDEX(Inputs!$B$2:$AZ$190,,MATCH(SUBSTITUTE(P$3,"Q","T"),Inputs!$B$2:$AZ$2,0)),Inputs!$B$2:$B$190,$B8)*Inputs!$D$1),"",SUMIFS(INDEX(Inputs!$B$2:$AZ$190,,MATCH(SUBSTITUTE(P$3,"Q","T"),Inputs!$B$2:$AZ$2,0)),Inputs!$B$2:$B$190,$B8)*Inputs!$D$1)</f>
        <v>0</v>
      </c>
      <c r="Q8" s="57">
        <f>IF(ISNA(SUMIFS(INDEX(Inputs!$B$2:$AZ$190,,MATCH(SUBSTITUTE(Q$3,"Q","T"),Inputs!$B$2:$AZ$2,0)),Inputs!$B$2:$B$190,$B8)*Inputs!$D$1),"",SUMIFS(INDEX(Inputs!$B$2:$AZ$190,,MATCH(SUBSTITUTE(Q$3,"Q","T"),Inputs!$B$2:$AZ$2,0)),Inputs!$B$2:$B$190,$B8)*Inputs!$D$1)</f>
        <v>0</v>
      </c>
      <c r="R8" s="57">
        <f>IF(ISNA(SUMIFS(INDEX(Inputs!$B$2:$AZ$190,,MATCH(SUBSTITUTE(R$3,"Q","T"),Inputs!$B$2:$AZ$2,0)),Inputs!$B$2:$B$190,$B8)*Inputs!$D$1),"",SUMIFS(INDEX(Inputs!$B$2:$AZ$190,,MATCH(SUBSTITUTE(R$3,"Q","T"),Inputs!$B$2:$AZ$2,0)),Inputs!$B$2:$B$190,$B8)*Inputs!$D$1)</f>
        <v>0</v>
      </c>
      <c r="S8" s="58">
        <f>R8</f>
        <v>0</v>
      </c>
      <c r="T8" s="57">
        <f>IF(ISNA(SUMIFS(INDEX(Inputs!$B$2:$AZ$190,,MATCH(SUBSTITUTE(T$3,"Q","T"),Inputs!$B$2:$AZ$2,0)),Inputs!$B$2:$B$190,$B8)*Inputs!$D$1),"",SUMIFS(INDEX(Inputs!$B$2:$AZ$190,,MATCH(SUBSTITUTE(T$3,"Q","T"),Inputs!$B$2:$AZ$2,0)),Inputs!$B$2:$B$190,$B8)*Inputs!$D$1)</f>
        <v>0</v>
      </c>
      <c r="U8" s="57">
        <f>IF(ISNA(SUMIFS(INDEX(Inputs!$B$2:$AZ$190,,MATCH(SUBSTITUTE(U$3,"Q","T"),Inputs!$B$2:$AZ$2,0)),Inputs!$B$2:$B$190,$B8)*Inputs!$D$1),"",SUMIFS(INDEX(Inputs!$B$2:$AZ$190,,MATCH(SUBSTITUTE(U$3,"Q","T"),Inputs!$B$2:$AZ$2,0)),Inputs!$B$2:$B$190,$B8)*Inputs!$D$1)</f>
        <v>0</v>
      </c>
      <c r="V8" s="57">
        <f>IF(ISNA(SUMIFS(INDEX(Inputs!$B$2:$AZ$190,,MATCH(SUBSTITUTE(V$3,"Q","T"),Inputs!$B$2:$AZ$2,0)),Inputs!$B$2:$B$190,$B8)*Inputs!$D$1),"",SUMIFS(INDEX(Inputs!$B$2:$AZ$190,,MATCH(SUBSTITUTE(V$3,"Q","T"),Inputs!$B$2:$AZ$2,0)),Inputs!$B$2:$B$190,$B8)*Inputs!$D$1)</f>
        <v>0</v>
      </c>
      <c r="W8" s="57">
        <f>IF(ISNA(SUMIFS(INDEX(Inputs!$B$2:$AZ$190,,MATCH(SUBSTITUTE(W$3,"Q","T"),Inputs!$B$2:$AZ$2,0)),Inputs!$B$2:$B$190,$B8)*Inputs!$D$1),"",SUMIFS(INDEX(Inputs!$B$2:$AZ$190,,MATCH(SUBSTITUTE(W$3,"Q","T"),Inputs!$B$2:$AZ$2,0)),Inputs!$B$2:$B$190,$B8)*Inputs!$D$1)</f>
        <v>0</v>
      </c>
      <c r="X8" s="58">
        <f>W8</f>
        <v>0</v>
      </c>
      <c r="Y8" s="57">
        <f>IF(ISNA(SUMIFS(INDEX(Inputs!$B$2:$AZ$190,,MATCH(SUBSTITUTE(Y$3,"Q","T"),Inputs!$B$2:$AZ$2,0)),Inputs!$B$2:$B$190,$B8)*Inputs!$D$1),"",SUMIFS(INDEX(Inputs!$B$2:$AZ$190,,MATCH(SUBSTITUTE(Y$3,"Q","T"),Inputs!$B$2:$AZ$2,0)),Inputs!$B$2:$B$190,$B8)*Inputs!$D$1)</f>
        <v>0</v>
      </c>
      <c r="Z8" s="57">
        <f>IF(ISNA(SUMIFS(INDEX(Inputs!$B$2:$AZ$190,,MATCH(SUBSTITUTE(Z$3,"Q","T"),Inputs!$B$2:$AZ$2,0)),Inputs!$B$2:$B$190,$B8)*Inputs!$D$1),"",SUMIFS(INDEX(Inputs!$B$2:$AZ$190,,MATCH(SUBSTITUTE(Z$3,"Q","T"),Inputs!$B$2:$AZ$2,0)),Inputs!$B$2:$B$190,$B8)*Inputs!$D$1)</f>
        <v>0</v>
      </c>
      <c r="AA8" s="57">
        <f>IF(ISNA(SUMIFS(INDEX(Inputs!$B$2:$AZ$190,,MATCH(SUBSTITUTE(AA$3,"Q","T"),Inputs!$B$2:$AZ$2,0)),Inputs!$B$2:$B$190,$B8)*Inputs!$D$1),"",SUMIFS(INDEX(Inputs!$B$2:$AZ$190,,MATCH(SUBSTITUTE(AA$3,"Q","T"),Inputs!$B$2:$AZ$2,0)),Inputs!$B$2:$B$190,$B8)*Inputs!$D$1)</f>
        <v>0</v>
      </c>
      <c r="AB8" s="57">
        <f>IF(ISNA(SUMIFS(INDEX(Inputs!$B$2:$AZ$190,,MATCH(SUBSTITUTE(AB$3,"Q","T"),Inputs!$B$2:$AZ$2,0)),Inputs!$B$2:$B$190,$B8)*Inputs!$D$1),"",SUMIFS(INDEX(Inputs!$B$2:$AZ$190,,MATCH(SUBSTITUTE(AB$3,"Q","T"),Inputs!$B$2:$AZ$2,0)),Inputs!$B$2:$B$190,$B8)*Inputs!$D$1)</f>
        <v>0</v>
      </c>
      <c r="AC8" s="58">
        <f>AB8</f>
        <v>0</v>
      </c>
      <c r="AD8" s="57">
        <f>IF(ISNA(SUMIFS(INDEX(Inputs!$B$2:$AZ$190,,MATCH(SUBSTITUTE(AD$3,"Q","T"),Inputs!$B$2:$AZ$2,0)),Inputs!$B$2:$B$190,$B8)*Inputs!$D$1),"",SUMIFS(INDEX(Inputs!$B$2:$AZ$190,,MATCH(SUBSTITUTE(AD$3,"Q","T"),Inputs!$B$2:$AZ$2,0)),Inputs!$B$2:$B$190,$B8)*Inputs!$D$1)</f>
        <v>0</v>
      </c>
      <c r="AE8" s="57">
        <f>IF(ISNA(SUMIFS(INDEX(Inputs!$B$2:$AZ$190,,MATCH(SUBSTITUTE(AE$3,"Q","T"),Inputs!$B$2:$AZ$2,0)),Inputs!$B$2:$B$190,$B8)*Inputs!$D$1),"",SUMIFS(INDEX(Inputs!$B$2:$AZ$190,,MATCH(SUBSTITUTE(AE$3,"Q","T"),Inputs!$B$2:$AZ$2,0)),Inputs!$B$2:$B$190,$B8)*Inputs!$D$1)</f>
        <v>0</v>
      </c>
      <c r="AF8" s="57">
        <f>IF(ISNA(SUMIFS(INDEX(Inputs!$B$2:$AZ$190,,MATCH(SUBSTITUTE(AF$3,"Q","T"),Inputs!$B$2:$AZ$2,0)),Inputs!$B$2:$B$190,$B8)*Inputs!$D$1),"",SUMIFS(INDEX(Inputs!$B$2:$AZ$190,,MATCH(SUBSTITUTE(AF$3,"Q","T"),Inputs!$B$2:$AZ$2,0)),Inputs!$B$2:$B$190,$B8)*Inputs!$D$1)</f>
        <v>0</v>
      </c>
      <c r="AG8" s="57">
        <f>IF(ISNA(SUMIFS(INDEX(Inputs!$B$2:$AZ$190,,MATCH(SUBSTITUTE(AG$3,"Q","T"),Inputs!$B$2:$AZ$2,0)),Inputs!$B$2:$B$190,$B8)*Inputs!$D$1),"",SUMIFS(INDEX(Inputs!$B$2:$AZ$190,,MATCH(SUBSTITUTE(AG$3,"Q","T"),Inputs!$B$2:$AZ$2,0)),Inputs!$B$2:$B$190,$B8)*Inputs!$D$1)</f>
        <v>0</v>
      </c>
      <c r="AH8" s="58">
        <f>AG8</f>
        <v>0</v>
      </c>
      <c r="AI8" s="57">
        <f>IF(ISNA(SUMIFS(INDEX(Inputs!$B$2:$AZ$190,,MATCH(SUBSTITUTE(AI$3,"Q","T"),Inputs!$B$2:$AZ$2,0)),Inputs!$B$2:$B$190,$B8)*Inputs!$D$1),"",SUMIFS(INDEX(Inputs!$B$2:$AZ$190,,MATCH(SUBSTITUTE(AI$3,"Q","T"),Inputs!$B$2:$AZ$2,0)),Inputs!$B$2:$B$190,$B8)*Inputs!$D$1)</f>
        <v>0</v>
      </c>
      <c r="AJ8" s="57">
        <f>IF(ISNA(SUMIFS(INDEX(Inputs!$B$2:$AZ$190,,MATCH(SUBSTITUTE(AJ$3,"Q","T"),Inputs!$B$2:$AZ$2,0)),Inputs!$B$2:$B$190,$B8)*Inputs!$D$1),"",SUMIFS(INDEX(Inputs!$B$2:$AZ$190,,MATCH(SUBSTITUTE(AJ$3,"Q","T"),Inputs!$B$2:$AZ$2,0)),Inputs!$B$2:$B$190,$B8)*Inputs!$D$1)</f>
        <v>0</v>
      </c>
      <c r="AK8" s="57">
        <f>IF(ISNA(SUMIFS(INDEX(Inputs!$B$2:$AZ$190,,MATCH(SUBSTITUTE(AK$3,"Q","T"),Inputs!$B$2:$AZ$2,0)),Inputs!$B$2:$B$190,$B8)*Inputs!$D$1),"",SUMIFS(INDEX(Inputs!$B$2:$AZ$190,,MATCH(SUBSTITUTE(AK$3,"Q","T"),Inputs!$B$2:$AZ$2,0)),Inputs!$B$2:$B$190,$B8)*Inputs!$D$1)</f>
        <v>0</v>
      </c>
      <c r="AL8" s="57">
        <f>IF(ISNA(SUMIFS(INDEX(Inputs!$B$2:$AZ$190,,MATCH(SUBSTITUTE(AL$3,"Q","T"),Inputs!$B$2:$AZ$2,0)),Inputs!$B$2:$B$190,$B8)*Inputs!$D$1),"",SUMIFS(INDEX(Inputs!$B$2:$AZ$190,,MATCH(SUBSTITUTE(AL$3,"Q","T"),Inputs!$B$2:$AZ$2,0)),Inputs!$B$2:$B$190,$B8)*Inputs!$D$1)</f>
        <v>0</v>
      </c>
      <c r="AM8" s="58">
        <f>AL8</f>
        <v>0</v>
      </c>
      <c r="AN8" s="57">
        <f>IF(ISNA(SUMIFS(INDEX(Inputs!$B$2:$AZ$190,,MATCH(SUBSTITUTE(AN$3,"Q","T"),Inputs!$B$2:$AZ$2,0)),Inputs!$B$2:$B$190,$B8)*Inputs!$D$1),"",SUMIFS(INDEX(Inputs!$B$2:$AZ$190,,MATCH(SUBSTITUTE(AN$3,"Q","T"),Inputs!$B$2:$AZ$2,0)),Inputs!$B$2:$B$190,$B8)*Inputs!$D$1)</f>
        <v>0</v>
      </c>
      <c r="AO8" s="57">
        <f>IF(ISNA(SUMIFS(INDEX(Inputs!$B$2:$AZ$190,,MATCH(SUBSTITUTE(AO$3,"Q","T"),Inputs!$B$2:$AZ$2,0)),Inputs!$B$2:$B$190,$B8)*Inputs!$D$1),"",SUMIFS(INDEX(Inputs!$B$2:$AZ$190,,MATCH(SUBSTITUTE(AO$3,"Q","T"),Inputs!$B$2:$AZ$2,0)),Inputs!$B$2:$B$190,$B8)*Inputs!$D$1)</f>
        <v>0</v>
      </c>
      <c r="AP8" s="57">
        <f>IF(ISNA(SUMIFS(INDEX(Inputs!$B$2:$AZ$190,,MATCH(SUBSTITUTE(AP$3,"Q","T"),Inputs!$B$2:$AZ$2,0)),Inputs!$B$2:$B$190,$B8)*Inputs!$D$1),"",SUMIFS(INDEX(Inputs!$B$2:$AZ$190,,MATCH(SUBSTITUTE(AP$3,"Q","T"),Inputs!$B$2:$AZ$2,0)),Inputs!$B$2:$B$190,$B8)*Inputs!$D$1)</f>
        <v>0</v>
      </c>
      <c r="AQ8" s="57">
        <f>IF(ISNA(SUMIFS(INDEX(Inputs!$B$2:$AZ$190,,MATCH(SUBSTITUTE(AQ$3,"Q","T"),Inputs!$B$2:$AZ$2,0)),Inputs!$B$2:$B$190,$B8)*Inputs!$D$1),"",SUMIFS(INDEX(Inputs!$B$2:$AZ$190,,MATCH(SUBSTITUTE(AQ$3,"Q","T"),Inputs!$B$2:$AZ$2,0)),Inputs!$B$2:$B$190,$B8)*Inputs!$D$1)</f>
        <v>0</v>
      </c>
      <c r="AR8" s="58">
        <f>AQ8</f>
        <v>0</v>
      </c>
      <c r="AS8" s="57">
        <f>IF(ISNA(SUMIFS(INDEX(Inputs!$B$2:$AZ$190,,MATCH(SUBSTITUTE(AS$3,"Q","T"),Inputs!$B$2:$AZ$2,0)),Inputs!$B$2:$B$190,$B8)*Inputs!$D$1),"",SUMIFS(INDEX(Inputs!$B$2:$AZ$190,,MATCH(SUBSTITUTE(AS$3,"Q","T"),Inputs!$B$2:$AZ$2,0)),Inputs!$B$2:$B$190,$B8)*Inputs!$D$1)</f>
        <v>0</v>
      </c>
      <c r="AT8" s="57">
        <f>IF(ISNA(SUMIFS(INDEX(Inputs!$B$2:$AZ$190,,MATCH(SUBSTITUTE(AT$3,"Q","T"),Inputs!$B$2:$AZ$2,0)),Inputs!$B$2:$B$190,$B8)*Inputs!$D$1),"",SUMIFS(INDEX(Inputs!$B$2:$AZ$190,,MATCH(SUBSTITUTE(AT$3,"Q","T"),Inputs!$B$2:$AZ$2,0)),Inputs!$B$2:$B$190,$B8)*Inputs!$D$1)</f>
        <v>0</v>
      </c>
      <c r="AU8" s="57">
        <f>IF(ISNA(SUMIFS(INDEX(Inputs!$B$2:$AZ$190,,MATCH(SUBSTITUTE(AU$3,"Q","T"),Inputs!$B$2:$AZ$2,0)),Inputs!$B$2:$B$190,$B8)*Inputs!$D$1),"",SUMIFS(INDEX(Inputs!$B$2:$AZ$190,,MATCH(SUBSTITUTE(AU$3,"Q","T"),Inputs!$B$2:$AZ$2,0)),Inputs!$B$2:$B$190,$B8)*Inputs!$D$1)</f>
        <v>0</v>
      </c>
      <c r="AV8" s="57">
        <f>IF(ISNA(SUMIFS(INDEX(Inputs!$B$2:$AZ$190,,MATCH(SUBSTITUTE(AV$3,"Q","T"),Inputs!$B$2:$AZ$2,0)),Inputs!$B$2:$B$190,$B8)*Inputs!$D$1),"",SUMIFS(INDEX(Inputs!$B$2:$AZ$190,,MATCH(SUBSTITUTE(AV$3,"Q","T"),Inputs!$B$2:$AZ$2,0)),Inputs!$B$2:$B$190,$B8)*Inputs!$D$1)</f>
        <v>0</v>
      </c>
      <c r="AW8" s="58">
        <f>AV8</f>
        <v>0</v>
      </c>
      <c r="AX8" s="57">
        <f>IF(ISNA(SUMIFS(INDEX(Inputs!$B$2:$AZ$190,,MATCH(SUBSTITUTE(AX$3,"Q","T"),Inputs!$B$2:$AZ$2,0)),Inputs!$B$2:$B$190,$B8)*Inputs!$D$1),"",SUMIFS(INDEX(Inputs!$B$2:$AZ$190,,MATCH(SUBSTITUTE(AX$3,"Q","T"),Inputs!$B$2:$AZ$2,0)),Inputs!$B$2:$B$190,$B8)*Inputs!$D$1)</f>
        <v>0</v>
      </c>
      <c r="AY8" s="57">
        <f>IF(ISNA(SUMIFS(INDEX(Inputs!$B$2:$AZ$190,,MATCH(SUBSTITUTE(AY$3,"Q","T"),Inputs!$B$2:$AZ$2,0)),Inputs!$B$2:$B$190,$B8)*Inputs!$D$1),"",SUMIFS(INDEX(Inputs!$B$2:$AZ$190,,MATCH(SUBSTITUTE(AY$3,"Q","T"),Inputs!$B$2:$AZ$2,0)),Inputs!$B$2:$B$190,$B8)*Inputs!$D$1)</f>
        <v>0</v>
      </c>
      <c r="AZ8" s="57">
        <f>IF(ISNA(SUMIFS(INDEX(Inputs!$B$2:$AZ$190,,MATCH(SUBSTITUTE(AZ$3,"Q","T"),Inputs!$B$2:$AZ$2,0)),Inputs!$B$2:$B$190,$B8)*Inputs!$D$1),"",SUMIFS(INDEX(Inputs!$B$2:$AZ$190,,MATCH(SUBSTITUTE(AZ$3,"Q","T"),Inputs!$B$2:$AZ$2,0)),Inputs!$B$2:$B$190,$B8)*Inputs!$D$1)</f>
        <v>0</v>
      </c>
      <c r="BA8" s="57">
        <f>IF(ISNA(SUMIFS(INDEX(Inputs!$B$2:$AZ$190,,MATCH(SUBSTITUTE(BA$3,"Q","T"),Inputs!$B$2:$AZ$2,0)),Inputs!$B$2:$B$190,$B8)*Inputs!$D$1),"",SUMIFS(INDEX(Inputs!$B$2:$AZ$190,,MATCH(SUBSTITUTE(BA$3,"Q","T"),Inputs!$B$2:$AZ$2,0)),Inputs!$B$2:$B$190,$B8)*Inputs!$D$1)</f>
        <v>0</v>
      </c>
      <c r="BB8" s="58">
        <f>BA8</f>
        <v>0</v>
      </c>
      <c r="BC8" s="57">
        <f>IF(ISNA(SUMIFS(INDEX(Inputs!$B$2:$AZ$190,,MATCH(SUBSTITUTE(BC$3,"Q","T"),Inputs!$B$2:$AZ$2,0)),Inputs!$B$2:$B$190,$B8)*Inputs!$D$1),"",SUMIFS(INDEX(Inputs!$B$2:$AZ$190,,MATCH(SUBSTITUTE(BC$3,"Q","T"),Inputs!$B$2:$AZ$2,0)),Inputs!$B$2:$B$190,$B8)*Inputs!$D$1)</f>
        <v>0</v>
      </c>
      <c r="BD8" s="57">
        <f>IF(ISNA(SUMIFS(INDEX(Inputs!$B$2:$AZ$190,,MATCH(SUBSTITUTE(BD$3,"Q","T"),Inputs!$B$2:$AZ$2,0)),Inputs!$B$2:$B$190,$B8)*Inputs!$D$1),"",SUMIFS(INDEX(Inputs!$B$2:$AZ$190,,MATCH(SUBSTITUTE(BD$3,"Q","T"),Inputs!$B$2:$AZ$2,0)),Inputs!$B$2:$B$190,$B8)*Inputs!$D$1)</f>
        <v>0</v>
      </c>
      <c r="BE8" s="57">
        <f>IF(ISNA(SUMIFS(INDEX(Inputs!$B$2:$AZ$190,,MATCH(SUBSTITUTE(BE$3,"Q","T"),Inputs!$B$2:$AZ$2,0)),Inputs!$B$2:$B$190,$B8)*Inputs!$D$1),"",SUMIFS(INDEX(Inputs!$B$2:$AZ$190,,MATCH(SUBSTITUTE(BE$3,"Q","T"),Inputs!$B$2:$AZ$2,0)),Inputs!$B$2:$B$190,$B8)*Inputs!$D$1)</f>
        <v>0</v>
      </c>
      <c r="BF8" s="57">
        <f>IF(ISNA(SUMIFS(INDEX(Inputs!$B$2:$AZ$190,,MATCH(SUBSTITUTE(BF$3,"Q","T"),Inputs!$B$2:$AZ$2,0)),Inputs!$B$2:$B$190,$B8)*Inputs!$D$1),"",SUMIFS(INDEX(Inputs!$B$2:$AZ$190,,MATCH(SUBSTITUTE(BF$3,"Q","T"),Inputs!$B$2:$AZ$2,0)),Inputs!$B$2:$B$190,$B8)*Inputs!$D$1)</f>
        <v>0</v>
      </c>
      <c r="BG8" s="58">
        <f>BF8</f>
        <v>0</v>
      </c>
    </row>
    <row r="9" hidden="1" outlineLevel="1">
      <c r="B9" s="56" t="inlineStr">
        <is>
          <t>sec_borrowed</t>
        </is>
      </c>
      <c r="C9" s="61" t="inlineStr">
        <is>
          <t>Títulos tomados em empréstimo (securities borrowed)</t>
        </is>
      </c>
      <c r="D9" s="62" t="inlineStr">
        <is>
          <t>Securities borrowed</t>
        </is>
      </c>
      <c r="E9" s="57">
        <f>IF(ISNA(SUMIFS(INDEX(Inputs!$B$2:$AZ$190,,MATCH(SUBSTITUTE(E$3,"Q","T"),Inputs!$B$2:$AZ$2,0)),Inputs!$B$2:$B$190,$B9)*Inputs!$D$1),"",SUMIFS(INDEX(Inputs!$B$2:$AZ$190,,MATCH(SUBSTITUTE(E$3,"Q","T"),Inputs!$B$2:$AZ$2,0)),Inputs!$B$2:$B$190,$B9)*Inputs!$D$1)</f>
        <v>0</v>
      </c>
      <c r="F9" s="57">
        <f>IF(ISNA(SUMIFS(INDEX(Inputs!$B$2:$AZ$190,,MATCH(SUBSTITUTE(F$3,"Q","T"),Inputs!$B$2:$AZ$2,0)),Inputs!$B$2:$B$190,$B9)*Inputs!$D$1),"",SUMIFS(INDEX(Inputs!$B$2:$AZ$190,,MATCH(SUBSTITUTE(F$3,"Q","T"),Inputs!$B$2:$AZ$2,0)),Inputs!$B$2:$B$190,$B9)*Inputs!$D$1)</f>
        <v>0</v>
      </c>
      <c r="G9" s="57">
        <f>IF(ISNA(SUMIFS(INDEX(Inputs!$B$2:$AZ$190,,MATCH(SUBSTITUTE(G$3,"Q","T"),Inputs!$B$2:$AZ$2,0)),Inputs!$B$2:$B$190,$B9)*Inputs!$D$1),"",SUMIFS(INDEX(Inputs!$B$2:$AZ$190,,MATCH(SUBSTITUTE(G$3,"Q","T"),Inputs!$B$2:$AZ$2,0)),Inputs!$B$2:$B$190,$B9)*Inputs!$D$1)</f>
        <v>0</v>
      </c>
      <c r="H9" s="57">
        <f>IF(ISNA(SUMIFS(INDEX(Inputs!$B$2:$AZ$190,,MATCH(SUBSTITUTE(H$3,"Q","T"),Inputs!$B$2:$AZ$2,0)),Inputs!$B$2:$B$190,$B9)*Inputs!$D$1),"",SUMIFS(INDEX(Inputs!$B$2:$AZ$190,,MATCH(SUBSTITUTE(H$3,"Q","T"),Inputs!$B$2:$AZ$2,0)),Inputs!$B$2:$B$190,$B9)*Inputs!$D$1)</f>
        <v>0</v>
      </c>
      <c r="I9" s="58">
        <f>H9</f>
        <v>0</v>
      </c>
      <c r="J9" s="57">
        <f>IF(ISNA(SUMIFS(INDEX(Inputs!$B$2:$AZ$190,,MATCH(SUBSTITUTE(J$3,"Q","T"),Inputs!$B$2:$AZ$2,0)),Inputs!$B$2:$B$190,$B9)*Inputs!$D$1),"",SUMIFS(INDEX(Inputs!$B$2:$AZ$190,,MATCH(SUBSTITUTE(J$3,"Q","T"),Inputs!$B$2:$AZ$2,0)),Inputs!$B$2:$B$190,$B9)*Inputs!$D$1)</f>
        <v>0</v>
      </c>
      <c r="K9" s="57">
        <f>IF(ISNA(SUMIFS(INDEX(Inputs!$B$2:$AZ$190,,MATCH(SUBSTITUTE(K$3,"Q","T"),Inputs!$B$2:$AZ$2,0)),Inputs!$B$2:$B$190,$B9)*Inputs!$D$1),"",SUMIFS(INDEX(Inputs!$B$2:$AZ$190,,MATCH(SUBSTITUTE(K$3,"Q","T"),Inputs!$B$2:$AZ$2,0)),Inputs!$B$2:$B$190,$B9)*Inputs!$D$1)</f>
        <v>0</v>
      </c>
      <c r="L9" s="57">
        <f>IF(ISNA(SUMIFS(INDEX(Inputs!$B$2:$AZ$190,,MATCH(SUBSTITUTE(L$3,"Q","T"),Inputs!$B$2:$AZ$2,0)),Inputs!$B$2:$B$190,$B9)*Inputs!$D$1),"",SUMIFS(INDEX(Inputs!$B$2:$AZ$190,,MATCH(SUBSTITUTE(L$3,"Q","T"),Inputs!$B$2:$AZ$2,0)),Inputs!$B$2:$B$190,$B9)*Inputs!$D$1)</f>
        <v>0</v>
      </c>
      <c r="M9" s="57">
        <f>IF(ISNA(SUMIFS(INDEX(Inputs!$B$2:$AZ$190,,MATCH(SUBSTITUTE(M$3,"Q","T"),Inputs!$B$2:$AZ$2,0)),Inputs!$B$2:$B$190,$B9)*Inputs!$D$1),"",SUMIFS(INDEX(Inputs!$B$2:$AZ$190,,MATCH(SUBSTITUTE(M$3,"Q","T"),Inputs!$B$2:$AZ$2,0)),Inputs!$B$2:$B$190,$B9)*Inputs!$D$1)</f>
        <v>0</v>
      </c>
      <c r="N9" s="58">
        <f>M9</f>
        <v>0</v>
      </c>
      <c r="O9" s="57">
        <f>IF(ISNA(SUMIFS(INDEX(Inputs!$B$2:$AZ$190,,MATCH(SUBSTITUTE(O$3,"Q","T"),Inputs!$B$2:$AZ$2,0)),Inputs!$B$2:$B$190,$B9)*Inputs!$D$1),"",SUMIFS(INDEX(Inputs!$B$2:$AZ$190,,MATCH(SUBSTITUTE(O$3,"Q","T"),Inputs!$B$2:$AZ$2,0)),Inputs!$B$2:$B$190,$B9)*Inputs!$D$1)</f>
        <v>0</v>
      </c>
      <c r="P9" s="57">
        <f>IF(ISNA(SUMIFS(INDEX(Inputs!$B$2:$AZ$190,,MATCH(SUBSTITUTE(P$3,"Q","T"),Inputs!$B$2:$AZ$2,0)),Inputs!$B$2:$B$190,$B9)*Inputs!$D$1),"",SUMIFS(INDEX(Inputs!$B$2:$AZ$190,,MATCH(SUBSTITUTE(P$3,"Q","T"),Inputs!$B$2:$AZ$2,0)),Inputs!$B$2:$B$190,$B9)*Inputs!$D$1)</f>
        <v>0</v>
      </c>
      <c r="Q9" s="57">
        <f>IF(ISNA(SUMIFS(INDEX(Inputs!$B$2:$AZ$190,,MATCH(SUBSTITUTE(Q$3,"Q","T"),Inputs!$B$2:$AZ$2,0)),Inputs!$B$2:$B$190,$B9)*Inputs!$D$1),"",SUMIFS(INDEX(Inputs!$B$2:$AZ$190,,MATCH(SUBSTITUTE(Q$3,"Q","T"),Inputs!$B$2:$AZ$2,0)),Inputs!$B$2:$B$190,$B9)*Inputs!$D$1)</f>
        <v>0</v>
      </c>
      <c r="R9" s="57">
        <f>IF(ISNA(SUMIFS(INDEX(Inputs!$B$2:$AZ$190,,MATCH(SUBSTITUTE(R$3,"Q","T"),Inputs!$B$2:$AZ$2,0)),Inputs!$B$2:$B$190,$B9)*Inputs!$D$1),"",SUMIFS(INDEX(Inputs!$B$2:$AZ$190,,MATCH(SUBSTITUTE(R$3,"Q","T"),Inputs!$B$2:$AZ$2,0)),Inputs!$B$2:$B$190,$B9)*Inputs!$D$1)</f>
        <v>0</v>
      </c>
      <c r="S9" s="58">
        <f>R9</f>
        <v>0</v>
      </c>
      <c r="T9" s="57">
        <f>IF(ISNA(SUMIFS(INDEX(Inputs!$B$2:$AZ$190,,MATCH(SUBSTITUTE(T$3,"Q","T"),Inputs!$B$2:$AZ$2,0)),Inputs!$B$2:$B$190,$B9)*Inputs!$D$1),"",SUMIFS(INDEX(Inputs!$B$2:$AZ$190,,MATCH(SUBSTITUTE(T$3,"Q","T"),Inputs!$B$2:$AZ$2,0)),Inputs!$B$2:$B$190,$B9)*Inputs!$D$1)</f>
        <v>0</v>
      </c>
      <c r="U9" s="57">
        <f>IF(ISNA(SUMIFS(INDEX(Inputs!$B$2:$AZ$190,,MATCH(SUBSTITUTE(U$3,"Q","T"),Inputs!$B$2:$AZ$2,0)),Inputs!$B$2:$B$190,$B9)*Inputs!$D$1),"",SUMIFS(INDEX(Inputs!$B$2:$AZ$190,,MATCH(SUBSTITUTE(U$3,"Q","T"),Inputs!$B$2:$AZ$2,0)),Inputs!$B$2:$B$190,$B9)*Inputs!$D$1)</f>
        <v>0</v>
      </c>
      <c r="V9" s="57">
        <f>IF(ISNA(SUMIFS(INDEX(Inputs!$B$2:$AZ$190,,MATCH(SUBSTITUTE(V$3,"Q","T"),Inputs!$B$2:$AZ$2,0)),Inputs!$B$2:$B$190,$B9)*Inputs!$D$1),"",SUMIFS(INDEX(Inputs!$B$2:$AZ$190,,MATCH(SUBSTITUTE(V$3,"Q","T"),Inputs!$B$2:$AZ$2,0)),Inputs!$B$2:$B$190,$B9)*Inputs!$D$1)</f>
        <v>0</v>
      </c>
      <c r="W9" s="57">
        <f>IF(ISNA(SUMIFS(INDEX(Inputs!$B$2:$AZ$190,,MATCH(SUBSTITUTE(W$3,"Q","T"),Inputs!$B$2:$AZ$2,0)),Inputs!$B$2:$B$190,$B9)*Inputs!$D$1),"",SUMIFS(INDEX(Inputs!$B$2:$AZ$190,,MATCH(SUBSTITUTE(W$3,"Q","T"),Inputs!$B$2:$AZ$2,0)),Inputs!$B$2:$B$190,$B9)*Inputs!$D$1)</f>
        <v>0</v>
      </c>
      <c r="X9" s="58">
        <f>W9</f>
        <v>0</v>
      </c>
      <c r="Y9" s="57">
        <f>IF(ISNA(SUMIFS(INDEX(Inputs!$B$2:$AZ$190,,MATCH(SUBSTITUTE(Y$3,"Q","T"),Inputs!$B$2:$AZ$2,0)),Inputs!$B$2:$B$190,$B9)*Inputs!$D$1),"",SUMIFS(INDEX(Inputs!$B$2:$AZ$190,,MATCH(SUBSTITUTE(Y$3,"Q","T"),Inputs!$B$2:$AZ$2,0)),Inputs!$B$2:$B$190,$B9)*Inputs!$D$1)</f>
        <v>0</v>
      </c>
      <c r="Z9" s="57">
        <f>IF(ISNA(SUMIFS(INDEX(Inputs!$B$2:$AZ$190,,MATCH(SUBSTITUTE(Z$3,"Q","T"),Inputs!$B$2:$AZ$2,0)),Inputs!$B$2:$B$190,$B9)*Inputs!$D$1),"",SUMIFS(INDEX(Inputs!$B$2:$AZ$190,,MATCH(SUBSTITUTE(Z$3,"Q","T"),Inputs!$B$2:$AZ$2,0)),Inputs!$B$2:$B$190,$B9)*Inputs!$D$1)</f>
        <v>0</v>
      </c>
      <c r="AA9" s="57">
        <f>IF(ISNA(SUMIFS(INDEX(Inputs!$B$2:$AZ$190,,MATCH(SUBSTITUTE(AA$3,"Q","T"),Inputs!$B$2:$AZ$2,0)),Inputs!$B$2:$B$190,$B9)*Inputs!$D$1),"",SUMIFS(INDEX(Inputs!$B$2:$AZ$190,,MATCH(SUBSTITUTE(AA$3,"Q","T"),Inputs!$B$2:$AZ$2,0)),Inputs!$B$2:$B$190,$B9)*Inputs!$D$1)</f>
        <v>0</v>
      </c>
      <c r="AB9" s="57">
        <f>IF(ISNA(SUMIFS(INDEX(Inputs!$B$2:$AZ$190,,MATCH(SUBSTITUTE(AB$3,"Q","T"),Inputs!$B$2:$AZ$2,0)),Inputs!$B$2:$B$190,$B9)*Inputs!$D$1),"",SUMIFS(INDEX(Inputs!$B$2:$AZ$190,,MATCH(SUBSTITUTE(AB$3,"Q","T"),Inputs!$B$2:$AZ$2,0)),Inputs!$B$2:$B$190,$B9)*Inputs!$D$1)</f>
        <v>0</v>
      </c>
      <c r="AC9" s="58">
        <f>AB9</f>
        <v>0</v>
      </c>
      <c r="AD9" s="57">
        <f>IF(ISNA(SUMIFS(INDEX(Inputs!$B$2:$AZ$190,,MATCH(SUBSTITUTE(AD$3,"Q","T"),Inputs!$B$2:$AZ$2,0)),Inputs!$B$2:$B$190,$B9)*Inputs!$D$1),"",SUMIFS(INDEX(Inputs!$B$2:$AZ$190,,MATCH(SUBSTITUTE(AD$3,"Q","T"),Inputs!$B$2:$AZ$2,0)),Inputs!$B$2:$B$190,$B9)*Inputs!$D$1)</f>
        <v>0</v>
      </c>
      <c r="AE9" s="57">
        <f>IF(ISNA(SUMIFS(INDEX(Inputs!$B$2:$AZ$190,,MATCH(SUBSTITUTE(AE$3,"Q","T"),Inputs!$B$2:$AZ$2,0)),Inputs!$B$2:$B$190,$B9)*Inputs!$D$1),"",SUMIFS(INDEX(Inputs!$B$2:$AZ$190,,MATCH(SUBSTITUTE(AE$3,"Q","T"),Inputs!$B$2:$AZ$2,0)),Inputs!$B$2:$B$190,$B9)*Inputs!$D$1)</f>
        <v>0</v>
      </c>
      <c r="AF9" s="57">
        <f>IF(ISNA(SUMIFS(INDEX(Inputs!$B$2:$AZ$190,,MATCH(SUBSTITUTE(AF$3,"Q","T"),Inputs!$B$2:$AZ$2,0)),Inputs!$B$2:$B$190,$B9)*Inputs!$D$1),"",SUMIFS(INDEX(Inputs!$B$2:$AZ$190,,MATCH(SUBSTITUTE(AF$3,"Q","T"),Inputs!$B$2:$AZ$2,0)),Inputs!$B$2:$B$190,$B9)*Inputs!$D$1)</f>
        <v>0</v>
      </c>
      <c r="AG9" s="57">
        <f>IF(ISNA(SUMIFS(INDEX(Inputs!$B$2:$AZ$190,,MATCH(SUBSTITUTE(AG$3,"Q","T"),Inputs!$B$2:$AZ$2,0)),Inputs!$B$2:$B$190,$B9)*Inputs!$D$1),"",SUMIFS(INDEX(Inputs!$B$2:$AZ$190,,MATCH(SUBSTITUTE(AG$3,"Q","T"),Inputs!$B$2:$AZ$2,0)),Inputs!$B$2:$B$190,$B9)*Inputs!$D$1)</f>
        <v>0</v>
      </c>
      <c r="AH9" s="58">
        <f>AG9</f>
        <v>0</v>
      </c>
      <c r="AI9" s="57">
        <f>IF(ISNA(SUMIFS(INDEX(Inputs!$B$2:$AZ$190,,MATCH(SUBSTITUTE(AI$3,"Q","T"),Inputs!$B$2:$AZ$2,0)),Inputs!$B$2:$B$190,$B9)*Inputs!$D$1),"",SUMIFS(INDEX(Inputs!$B$2:$AZ$190,,MATCH(SUBSTITUTE(AI$3,"Q","T"),Inputs!$B$2:$AZ$2,0)),Inputs!$B$2:$B$190,$B9)*Inputs!$D$1)</f>
        <v>0</v>
      </c>
      <c r="AJ9" s="57">
        <f>IF(ISNA(SUMIFS(INDEX(Inputs!$B$2:$AZ$190,,MATCH(SUBSTITUTE(AJ$3,"Q","T"),Inputs!$B$2:$AZ$2,0)),Inputs!$B$2:$B$190,$B9)*Inputs!$D$1),"",SUMIFS(INDEX(Inputs!$B$2:$AZ$190,,MATCH(SUBSTITUTE(AJ$3,"Q","T"),Inputs!$B$2:$AZ$2,0)),Inputs!$B$2:$B$190,$B9)*Inputs!$D$1)</f>
        <v>0</v>
      </c>
      <c r="AK9" s="57">
        <f>IF(ISNA(SUMIFS(INDEX(Inputs!$B$2:$AZ$190,,MATCH(SUBSTITUTE(AK$3,"Q","T"),Inputs!$B$2:$AZ$2,0)),Inputs!$B$2:$B$190,$B9)*Inputs!$D$1),"",SUMIFS(INDEX(Inputs!$B$2:$AZ$190,,MATCH(SUBSTITUTE(AK$3,"Q","T"),Inputs!$B$2:$AZ$2,0)),Inputs!$B$2:$B$190,$B9)*Inputs!$D$1)</f>
        <v>0</v>
      </c>
      <c r="AL9" s="57">
        <f>IF(ISNA(SUMIFS(INDEX(Inputs!$B$2:$AZ$190,,MATCH(SUBSTITUTE(AL$3,"Q","T"),Inputs!$B$2:$AZ$2,0)),Inputs!$B$2:$B$190,$B9)*Inputs!$D$1),"",SUMIFS(INDEX(Inputs!$B$2:$AZ$190,,MATCH(SUBSTITUTE(AL$3,"Q","T"),Inputs!$B$2:$AZ$2,0)),Inputs!$B$2:$B$190,$B9)*Inputs!$D$1)</f>
        <v>0</v>
      </c>
      <c r="AM9" s="58">
        <f>AL9</f>
        <v>0</v>
      </c>
      <c r="AN9" s="57">
        <f>IF(ISNA(SUMIFS(INDEX(Inputs!$B$2:$AZ$190,,MATCH(SUBSTITUTE(AN$3,"Q","T"),Inputs!$B$2:$AZ$2,0)),Inputs!$B$2:$B$190,$B9)*Inputs!$D$1),"",SUMIFS(INDEX(Inputs!$B$2:$AZ$190,,MATCH(SUBSTITUTE(AN$3,"Q","T"),Inputs!$B$2:$AZ$2,0)),Inputs!$B$2:$B$190,$B9)*Inputs!$D$1)</f>
        <v>0</v>
      </c>
      <c r="AO9" s="57">
        <f>IF(ISNA(SUMIFS(INDEX(Inputs!$B$2:$AZ$190,,MATCH(SUBSTITUTE(AO$3,"Q","T"),Inputs!$B$2:$AZ$2,0)),Inputs!$B$2:$B$190,$B9)*Inputs!$D$1),"",SUMIFS(INDEX(Inputs!$B$2:$AZ$190,,MATCH(SUBSTITUTE(AO$3,"Q","T"),Inputs!$B$2:$AZ$2,0)),Inputs!$B$2:$B$190,$B9)*Inputs!$D$1)</f>
        <v>0</v>
      </c>
      <c r="AP9" s="57">
        <f>IF(ISNA(SUMIFS(INDEX(Inputs!$B$2:$AZ$190,,MATCH(SUBSTITUTE(AP$3,"Q","T"),Inputs!$B$2:$AZ$2,0)),Inputs!$B$2:$B$190,$B9)*Inputs!$D$1),"",SUMIFS(INDEX(Inputs!$B$2:$AZ$190,,MATCH(SUBSTITUTE(AP$3,"Q","T"),Inputs!$B$2:$AZ$2,0)),Inputs!$B$2:$B$190,$B9)*Inputs!$D$1)</f>
        <v>0</v>
      </c>
      <c r="AQ9" s="57">
        <f>IF(ISNA(SUMIFS(INDEX(Inputs!$B$2:$AZ$190,,MATCH(SUBSTITUTE(AQ$3,"Q","T"),Inputs!$B$2:$AZ$2,0)),Inputs!$B$2:$B$190,$B9)*Inputs!$D$1),"",SUMIFS(INDEX(Inputs!$B$2:$AZ$190,,MATCH(SUBSTITUTE(AQ$3,"Q","T"),Inputs!$B$2:$AZ$2,0)),Inputs!$B$2:$B$190,$B9)*Inputs!$D$1)</f>
        <v>0</v>
      </c>
      <c r="AR9" s="58">
        <f>AQ9</f>
        <v>0</v>
      </c>
      <c r="AS9" s="57">
        <f>IF(ISNA(SUMIFS(INDEX(Inputs!$B$2:$AZ$190,,MATCH(SUBSTITUTE(AS$3,"Q","T"),Inputs!$B$2:$AZ$2,0)),Inputs!$B$2:$B$190,$B9)*Inputs!$D$1),"",SUMIFS(INDEX(Inputs!$B$2:$AZ$190,,MATCH(SUBSTITUTE(AS$3,"Q","T"),Inputs!$B$2:$AZ$2,0)),Inputs!$B$2:$B$190,$B9)*Inputs!$D$1)</f>
        <v>0</v>
      </c>
      <c r="AT9" s="57">
        <f>IF(ISNA(SUMIFS(INDEX(Inputs!$B$2:$AZ$190,,MATCH(SUBSTITUTE(AT$3,"Q","T"),Inputs!$B$2:$AZ$2,0)),Inputs!$B$2:$B$190,$B9)*Inputs!$D$1),"",SUMIFS(INDEX(Inputs!$B$2:$AZ$190,,MATCH(SUBSTITUTE(AT$3,"Q","T"),Inputs!$B$2:$AZ$2,0)),Inputs!$B$2:$B$190,$B9)*Inputs!$D$1)</f>
        <v>0</v>
      </c>
      <c r="AU9" s="57">
        <f>IF(ISNA(SUMIFS(INDEX(Inputs!$B$2:$AZ$190,,MATCH(SUBSTITUTE(AU$3,"Q","T"),Inputs!$B$2:$AZ$2,0)),Inputs!$B$2:$B$190,$B9)*Inputs!$D$1),"",SUMIFS(INDEX(Inputs!$B$2:$AZ$190,,MATCH(SUBSTITUTE(AU$3,"Q","T"),Inputs!$B$2:$AZ$2,0)),Inputs!$B$2:$B$190,$B9)*Inputs!$D$1)</f>
        <v>0</v>
      </c>
      <c r="AV9" s="57">
        <f>IF(ISNA(SUMIFS(INDEX(Inputs!$B$2:$AZ$190,,MATCH(SUBSTITUTE(AV$3,"Q","T"),Inputs!$B$2:$AZ$2,0)),Inputs!$B$2:$B$190,$B9)*Inputs!$D$1),"",SUMIFS(INDEX(Inputs!$B$2:$AZ$190,,MATCH(SUBSTITUTE(AV$3,"Q","T"),Inputs!$B$2:$AZ$2,0)),Inputs!$B$2:$B$190,$B9)*Inputs!$D$1)</f>
        <v>0</v>
      </c>
      <c r="AW9" s="58">
        <f>AV9</f>
        <v>0</v>
      </c>
      <c r="AX9" s="57">
        <f>IF(ISNA(SUMIFS(INDEX(Inputs!$B$2:$AZ$190,,MATCH(SUBSTITUTE(AX$3,"Q","T"),Inputs!$B$2:$AZ$2,0)),Inputs!$B$2:$B$190,$B9)*Inputs!$D$1),"",SUMIFS(INDEX(Inputs!$B$2:$AZ$190,,MATCH(SUBSTITUTE(AX$3,"Q","T"),Inputs!$B$2:$AZ$2,0)),Inputs!$B$2:$B$190,$B9)*Inputs!$D$1)</f>
        <v>0</v>
      </c>
      <c r="AY9" s="57">
        <f>IF(ISNA(SUMIFS(INDEX(Inputs!$B$2:$AZ$190,,MATCH(SUBSTITUTE(AY$3,"Q","T"),Inputs!$B$2:$AZ$2,0)),Inputs!$B$2:$B$190,$B9)*Inputs!$D$1),"",SUMIFS(INDEX(Inputs!$B$2:$AZ$190,,MATCH(SUBSTITUTE(AY$3,"Q","T"),Inputs!$B$2:$AZ$2,0)),Inputs!$B$2:$B$190,$B9)*Inputs!$D$1)</f>
        <v>0</v>
      </c>
      <c r="AZ9" s="57">
        <f>IF(ISNA(SUMIFS(INDEX(Inputs!$B$2:$AZ$190,,MATCH(SUBSTITUTE(AZ$3,"Q","T"),Inputs!$B$2:$AZ$2,0)),Inputs!$B$2:$B$190,$B9)*Inputs!$D$1),"",SUMIFS(INDEX(Inputs!$B$2:$AZ$190,,MATCH(SUBSTITUTE(AZ$3,"Q","T"),Inputs!$B$2:$AZ$2,0)),Inputs!$B$2:$B$190,$B9)*Inputs!$D$1)</f>
        <v>0</v>
      </c>
      <c r="BA9" s="57">
        <f>IF(ISNA(SUMIFS(INDEX(Inputs!$B$2:$AZ$190,,MATCH(SUBSTITUTE(BA$3,"Q","T"),Inputs!$B$2:$AZ$2,0)),Inputs!$B$2:$B$190,$B9)*Inputs!$D$1),"",SUMIFS(INDEX(Inputs!$B$2:$AZ$190,,MATCH(SUBSTITUTE(BA$3,"Q","T"),Inputs!$B$2:$AZ$2,0)),Inputs!$B$2:$B$190,$B9)*Inputs!$D$1)</f>
        <v>0</v>
      </c>
      <c r="BB9" s="58">
        <f>BA9</f>
        <v>0</v>
      </c>
      <c r="BC9" s="57">
        <f>IF(ISNA(SUMIFS(INDEX(Inputs!$B$2:$AZ$190,,MATCH(SUBSTITUTE(BC$3,"Q","T"),Inputs!$B$2:$AZ$2,0)),Inputs!$B$2:$B$190,$B9)*Inputs!$D$1),"",SUMIFS(INDEX(Inputs!$B$2:$AZ$190,,MATCH(SUBSTITUTE(BC$3,"Q","T"),Inputs!$B$2:$AZ$2,0)),Inputs!$B$2:$B$190,$B9)*Inputs!$D$1)</f>
        <v>0</v>
      </c>
      <c r="BD9" s="57">
        <f>IF(ISNA(SUMIFS(INDEX(Inputs!$B$2:$AZ$190,,MATCH(SUBSTITUTE(BD$3,"Q","T"),Inputs!$B$2:$AZ$2,0)),Inputs!$B$2:$B$190,$B9)*Inputs!$D$1),"",SUMIFS(INDEX(Inputs!$B$2:$AZ$190,,MATCH(SUBSTITUTE(BD$3,"Q","T"),Inputs!$B$2:$AZ$2,0)),Inputs!$B$2:$B$190,$B9)*Inputs!$D$1)</f>
        <v>0</v>
      </c>
      <c r="BE9" s="57">
        <f>IF(ISNA(SUMIFS(INDEX(Inputs!$B$2:$AZ$190,,MATCH(SUBSTITUTE(BE$3,"Q","T"),Inputs!$B$2:$AZ$2,0)),Inputs!$B$2:$B$190,$B9)*Inputs!$D$1),"",SUMIFS(INDEX(Inputs!$B$2:$AZ$190,,MATCH(SUBSTITUTE(BE$3,"Q","T"),Inputs!$B$2:$AZ$2,0)),Inputs!$B$2:$B$190,$B9)*Inputs!$D$1)</f>
        <v>0</v>
      </c>
      <c r="BF9" s="57">
        <f>IF(ISNA(SUMIFS(INDEX(Inputs!$B$2:$AZ$190,,MATCH(SUBSTITUTE(BF$3,"Q","T"),Inputs!$B$2:$AZ$2,0)),Inputs!$B$2:$B$190,$B9)*Inputs!$D$1),"",SUMIFS(INDEX(Inputs!$B$2:$AZ$190,,MATCH(SUBSTITUTE(BF$3,"Q","T"),Inputs!$B$2:$AZ$2,0)),Inputs!$B$2:$B$190,$B9)*Inputs!$D$1)</f>
        <v>0</v>
      </c>
      <c r="BG9" s="58">
        <f>BF9</f>
        <v>0</v>
      </c>
    </row>
    <row r="10" hidden="1" outlineLevel="1">
      <c r="B10" s="56" t="inlineStr">
        <is>
          <t>liq_acl</t>
        </is>
      </c>
      <c r="C10" s="61" t="inlineStr">
        <is>
          <t>(Provisão para perdas — aplicações de liquidez)</t>
        </is>
      </c>
      <c r="D10" s="62" t="inlineStr">
        <is>
          <t>(Allowance — liquidity placements)</t>
        </is>
      </c>
      <c r="E10" s="57">
        <f>IF(ISNA(SUMIFS(INDEX(Inputs!$B$2:$AZ$190,,MATCH(SUBSTITUTE(E$3,"Q","T"),Inputs!$B$2:$AZ$2,0)),Inputs!$B$2:$B$190,$B10)*Inputs!$D$1),"",SUMIFS(INDEX(Inputs!$B$2:$AZ$190,,MATCH(SUBSTITUTE(E$3,"Q","T"),Inputs!$B$2:$AZ$2,0)),Inputs!$B$2:$B$190,$B10)*Inputs!$D$1)</f>
        <v>0</v>
      </c>
      <c r="F10" s="57">
        <f>IF(ISNA(SUMIFS(INDEX(Inputs!$B$2:$AZ$190,,MATCH(SUBSTITUTE(F$3,"Q","T"),Inputs!$B$2:$AZ$2,0)),Inputs!$B$2:$B$190,$B10)*Inputs!$D$1),"",SUMIFS(INDEX(Inputs!$B$2:$AZ$190,,MATCH(SUBSTITUTE(F$3,"Q","T"),Inputs!$B$2:$AZ$2,0)),Inputs!$B$2:$B$190,$B10)*Inputs!$D$1)</f>
        <v>0</v>
      </c>
      <c r="G10" s="57">
        <f>IF(ISNA(SUMIFS(INDEX(Inputs!$B$2:$AZ$190,,MATCH(SUBSTITUTE(G$3,"Q","T"),Inputs!$B$2:$AZ$2,0)),Inputs!$B$2:$B$190,$B10)*Inputs!$D$1),"",SUMIFS(INDEX(Inputs!$B$2:$AZ$190,,MATCH(SUBSTITUTE(G$3,"Q","T"),Inputs!$B$2:$AZ$2,0)),Inputs!$B$2:$B$190,$B10)*Inputs!$D$1)</f>
        <v>0</v>
      </c>
      <c r="H10" s="57">
        <f>IF(ISNA(SUMIFS(INDEX(Inputs!$B$2:$AZ$190,,MATCH(SUBSTITUTE(H$3,"Q","T"),Inputs!$B$2:$AZ$2,0)),Inputs!$B$2:$B$190,$B10)*Inputs!$D$1),"",SUMIFS(INDEX(Inputs!$B$2:$AZ$190,,MATCH(SUBSTITUTE(H$3,"Q","T"),Inputs!$B$2:$AZ$2,0)),Inputs!$B$2:$B$190,$B10)*Inputs!$D$1)</f>
        <v>0</v>
      </c>
      <c r="I10" s="58">
        <f>H10</f>
        <v>0</v>
      </c>
      <c r="J10" s="57">
        <f>IF(ISNA(SUMIFS(INDEX(Inputs!$B$2:$AZ$190,,MATCH(SUBSTITUTE(J$3,"Q","T"),Inputs!$B$2:$AZ$2,0)),Inputs!$B$2:$B$190,$B10)*Inputs!$D$1),"",SUMIFS(INDEX(Inputs!$B$2:$AZ$190,,MATCH(SUBSTITUTE(J$3,"Q","T"),Inputs!$B$2:$AZ$2,0)),Inputs!$B$2:$B$190,$B10)*Inputs!$D$1)</f>
        <v>0</v>
      </c>
      <c r="K10" s="57">
        <f>IF(ISNA(SUMIFS(INDEX(Inputs!$B$2:$AZ$190,,MATCH(SUBSTITUTE(K$3,"Q","T"),Inputs!$B$2:$AZ$2,0)),Inputs!$B$2:$B$190,$B10)*Inputs!$D$1),"",SUMIFS(INDEX(Inputs!$B$2:$AZ$190,,MATCH(SUBSTITUTE(K$3,"Q","T"),Inputs!$B$2:$AZ$2,0)),Inputs!$B$2:$B$190,$B10)*Inputs!$D$1)</f>
        <v>0</v>
      </c>
      <c r="L10" s="57">
        <f>IF(ISNA(SUMIFS(INDEX(Inputs!$B$2:$AZ$190,,MATCH(SUBSTITUTE(L$3,"Q","T"),Inputs!$B$2:$AZ$2,0)),Inputs!$B$2:$B$190,$B10)*Inputs!$D$1),"",SUMIFS(INDEX(Inputs!$B$2:$AZ$190,,MATCH(SUBSTITUTE(L$3,"Q","T"),Inputs!$B$2:$AZ$2,0)),Inputs!$B$2:$B$190,$B10)*Inputs!$D$1)</f>
        <v>0</v>
      </c>
      <c r="M10" s="57">
        <f>IF(ISNA(SUMIFS(INDEX(Inputs!$B$2:$AZ$190,,MATCH(SUBSTITUTE(M$3,"Q","T"),Inputs!$B$2:$AZ$2,0)),Inputs!$B$2:$B$190,$B10)*Inputs!$D$1),"",SUMIFS(INDEX(Inputs!$B$2:$AZ$190,,MATCH(SUBSTITUTE(M$3,"Q","T"),Inputs!$B$2:$AZ$2,0)),Inputs!$B$2:$B$190,$B10)*Inputs!$D$1)</f>
        <v>0</v>
      </c>
      <c r="N10" s="58">
        <f>M10</f>
        <v>0</v>
      </c>
      <c r="O10" s="57">
        <f>IF(ISNA(SUMIFS(INDEX(Inputs!$B$2:$AZ$190,,MATCH(SUBSTITUTE(O$3,"Q","T"),Inputs!$B$2:$AZ$2,0)),Inputs!$B$2:$B$190,$B10)*Inputs!$D$1),"",SUMIFS(INDEX(Inputs!$B$2:$AZ$190,,MATCH(SUBSTITUTE(O$3,"Q","T"),Inputs!$B$2:$AZ$2,0)),Inputs!$B$2:$B$190,$B10)*Inputs!$D$1)</f>
        <v>0</v>
      </c>
      <c r="P10" s="57">
        <f>IF(ISNA(SUMIFS(INDEX(Inputs!$B$2:$AZ$190,,MATCH(SUBSTITUTE(P$3,"Q","T"),Inputs!$B$2:$AZ$2,0)),Inputs!$B$2:$B$190,$B10)*Inputs!$D$1),"",SUMIFS(INDEX(Inputs!$B$2:$AZ$190,,MATCH(SUBSTITUTE(P$3,"Q","T"),Inputs!$B$2:$AZ$2,0)),Inputs!$B$2:$B$190,$B10)*Inputs!$D$1)</f>
        <v>0</v>
      </c>
      <c r="Q10" s="57">
        <f>IF(ISNA(SUMIFS(INDEX(Inputs!$B$2:$AZ$190,,MATCH(SUBSTITUTE(Q$3,"Q","T"),Inputs!$B$2:$AZ$2,0)),Inputs!$B$2:$B$190,$B10)*Inputs!$D$1),"",SUMIFS(INDEX(Inputs!$B$2:$AZ$190,,MATCH(SUBSTITUTE(Q$3,"Q","T"),Inputs!$B$2:$AZ$2,0)),Inputs!$B$2:$B$190,$B10)*Inputs!$D$1)</f>
        <v>0</v>
      </c>
      <c r="R10" s="57">
        <f>IF(ISNA(SUMIFS(INDEX(Inputs!$B$2:$AZ$190,,MATCH(SUBSTITUTE(R$3,"Q","T"),Inputs!$B$2:$AZ$2,0)),Inputs!$B$2:$B$190,$B10)*Inputs!$D$1),"",SUMIFS(INDEX(Inputs!$B$2:$AZ$190,,MATCH(SUBSTITUTE(R$3,"Q","T"),Inputs!$B$2:$AZ$2,0)),Inputs!$B$2:$B$190,$B10)*Inputs!$D$1)</f>
        <v>0</v>
      </c>
      <c r="S10" s="58">
        <f>R10</f>
        <v>0</v>
      </c>
      <c r="T10" s="57">
        <f>IF(ISNA(SUMIFS(INDEX(Inputs!$B$2:$AZ$190,,MATCH(SUBSTITUTE(T$3,"Q","T"),Inputs!$B$2:$AZ$2,0)),Inputs!$B$2:$B$190,$B10)*Inputs!$D$1),"",SUMIFS(INDEX(Inputs!$B$2:$AZ$190,,MATCH(SUBSTITUTE(T$3,"Q","T"),Inputs!$B$2:$AZ$2,0)),Inputs!$B$2:$B$190,$B10)*Inputs!$D$1)</f>
        <v>0</v>
      </c>
      <c r="U10" s="57">
        <f>IF(ISNA(SUMIFS(INDEX(Inputs!$B$2:$AZ$190,,MATCH(SUBSTITUTE(U$3,"Q","T"),Inputs!$B$2:$AZ$2,0)),Inputs!$B$2:$B$190,$B10)*Inputs!$D$1),"",SUMIFS(INDEX(Inputs!$B$2:$AZ$190,,MATCH(SUBSTITUTE(U$3,"Q","T"),Inputs!$B$2:$AZ$2,0)),Inputs!$B$2:$B$190,$B10)*Inputs!$D$1)</f>
        <v>0</v>
      </c>
      <c r="V10" s="57">
        <f>IF(ISNA(SUMIFS(INDEX(Inputs!$B$2:$AZ$190,,MATCH(SUBSTITUTE(V$3,"Q","T"),Inputs!$B$2:$AZ$2,0)),Inputs!$B$2:$B$190,$B10)*Inputs!$D$1),"",SUMIFS(INDEX(Inputs!$B$2:$AZ$190,,MATCH(SUBSTITUTE(V$3,"Q","T"),Inputs!$B$2:$AZ$2,0)),Inputs!$B$2:$B$190,$B10)*Inputs!$D$1)</f>
        <v>0</v>
      </c>
      <c r="W10" s="57">
        <f>IF(ISNA(SUMIFS(INDEX(Inputs!$B$2:$AZ$190,,MATCH(SUBSTITUTE(W$3,"Q","T"),Inputs!$B$2:$AZ$2,0)),Inputs!$B$2:$B$190,$B10)*Inputs!$D$1),"",SUMIFS(INDEX(Inputs!$B$2:$AZ$190,,MATCH(SUBSTITUTE(W$3,"Q","T"),Inputs!$B$2:$AZ$2,0)),Inputs!$B$2:$B$190,$B10)*Inputs!$D$1)</f>
        <v>0</v>
      </c>
      <c r="X10" s="58">
        <f>W10</f>
        <v>0</v>
      </c>
      <c r="Y10" s="57">
        <f>IF(ISNA(SUMIFS(INDEX(Inputs!$B$2:$AZ$190,,MATCH(SUBSTITUTE(Y$3,"Q","T"),Inputs!$B$2:$AZ$2,0)),Inputs!$B$2:$B$190,$B10)*Inputs!$D$1),"",SUMIFS(INDEX(Inputs!$B$2:$AZ$190,,MATCH(SUBSTITUTE(Y$3,"Q","T"),Inputs!$B$2:$AZ$2,0)),Inputs!$B$2:$B$190,$B10)*Inputs!$D$1)</f>
        <v>0</v>
      </c>
      <c r="Z10" s="57">
        <f>IF(ISNA(SUMIFS(INDEX(Inputs!$B$2:$AZ$190,,MATCH(SUBSTITUTE(Z$3,"Q","T"),Inputs!$B$2:$AZ$2,0)),Inputs!$B$2:$B$190,$B10)*Inputs!$D$1),"",SUMIFS(INDEX(Inputs!$B$2:$AZ$190,,MATCH(SUBSTITUTE(Z$3,"Q","T"),Inputs!$B$2:$AZ$2,0)),Inputs!$B$2:$B$190,$B10)*Inputs!$D$1)</f>
        <v>0</v>
      </c>
      <c r="AA10" s="57">
        <f>IF(ISNA(SUMIFS(INDEX(Inputs!$B$2:$AZ$190,,MATCH(SUBSTITUTE(AA$3,"Q","T"),Inputs!$B$2:$AZ$2,0)),Inputs!$B$2:$B$190,$B10)*Inputs!$D$1),"",SUMIFS(INDEX(Inputs!$B$2:$AZ$190,,MATCH(SUBSTITUTE(AA$3,"Q","T"),Inputs!$B$2:$AZ$2,0)),Inputs!$B$2:$B$190,$B10)*Inputs!$D$1)</f>
        <v>0</v>
      </c>
      <c r="AB10" s="57">
        <f>IF(ISNA(SUMIFS(INDEX(Inputs!$B$2:$AZ$190,,MATCH(SUBSTITUTE(AB$3,"Q","T"),Inputs!$B$2:$AZ$2,0)),Inputs!$B$2:$B$190,$B10)*Inputs!$D$1),"",SUMIFS(INDEX(Inputs!$B$2:$AZ$190,,MATCH(SUBSTITUTE(AB$3,"Q","T"),Inputs!$B$2:$AZ$2,0)),Inputs!$B$2:$B$190,$B10)*Inputs!$D$1)</f>
        <v>0</v>
      </c>
      <c r="AC10" s="58">
        <f>AB10</f>
        <v>0</v>
      </c>
      <c r="AD10" s="57">
        <f>IF(ISNA(SUMIFS(INDEX(Inputs!$B$2:$AZ$190,,MATCH(SUBSTITUTE(AD$3,"Q","T"),Inputs!$B$2:$AZ$2,0)),Inputs!$B$2:$B$190,$B10)*Inputs!$D$1),"",SUMIFS(INDEX(Inputs!$B$2:$AZ$190,,MATCH(SUBSTITUTE(AD$3,"Q","T"),Inputs!$B$2:$AZ$2,0)),Inputs!$B$2:$B$190,$B10)*Inputs!$D$1)</f>
        <v>0</v>
      </c>
      <c r="AE10" s="57">
        <f>IF(ISNA(SUMIFS(INDEX(Inputs!$B$2:$AZ$190,,MATCH(SUBSTITUTE(AE$3,"Q","T"),Inputs!$B$2:$AZ$2,0)),Inputs!$B$2:$B$190,$B10)*Inputs!$D$1),"",SUMIFS(INDEX(Inputs!$B$2:$AZ$190,,MATCH(SUBSTITUTE(AE$3,"Q","T"),Inputs!$B$2:$AZ$2,0)),Inputs!$B$2:$B$190,$B10)*Inputs!$D$1)</f>
        <v>0</v>
      </c>
      <c r="AF10" s="57">
        <f>IF(ISNA(SUMIFS(INDEX(Inputs!$B$2:$AZ$190,,MATCH(SUBSTITUTE(AF$3,"Q","T"),Inputs!$B$2:$AZ$2,0)),Inputs!$B$2:$B$190,$B10)*Inputs!$D$1),"",SUMIFS(INDEX(Inputs!$B$2:$AZ$190,,MATCH(SUBSTITUTE(AF$3,"Q","T"),Inputs!$B$2:$AZ$2,0)),Inputs!$B$2:$B$190,$B10)*Inputs!$D$1)</f>
        <v>0</v>
      </c>
      <c r="AG10" s="57">
        <f>IF(ISNA(SUMIFS(INDEX(Inputs!$B$2:$AZ$190,,MATCH(SUBSTITUTE(AG$3,"Q","T"),Inputs!$B$2:$AZ$2,0)),Inputs!$B$2:$B$190,$B10)*Inputs!$D$1),"",SUMIFS(INDEX(Inputs!$B$2:$AZ$190,,MATCH(SUBSTITUTE(AG$3,"Q","T"),Inputs!$B$2:$AZ$2,0)),Inputs!$B$2:$B$190,$B10)*Inputs!$D$1)</f>
        <v>0</v>
      </c>
      <c r="AH10" s="58">
        <f>AG10</f>
        <v>0</v>
      </c>
      <c r="AI10" s="57">
        <f>IF(ISNA(SUMIFS(INDEX(Inputs!$B$2:$AZ$190,,MATCH(SUBSTITUTE(AI$3,"Q","T"),Inputs!$B$2:$AZ$2,0)),Inputs!$B$2:$B$190,$B10)*Inputs!$D$1),"",SUMIFS(INDEX(Inputs!$B$2:$AZ$190,,MATCH(SUBSTITUTE(AI$3,"Q","T"),Inputs!$B$2:$AZ$2,0)),Inputs!$B$2:$B$190,$B10)*Inputs!$D$1)</f>
        <v>0</v>
      </c>
      <c r="AJ10" s="57">
        <f>IF(ISNA(SUMIFS(INDEX(Inputs!$B$2:$AZ$190,,MATCH(SUBSTITUTE(AJ$3,"Q","T"),Inputs!$B$2:$AZ$2,0)),Inputs!$B$2:$B$190,$B10)*Inputs!$D$1),"",SUMIFS(INDEX(Inputs!$B$2:$AZ$190,,MATCH(SUBSTITUTE(AJ$3,"Q","T"),Inputs!$B$2:$AZ$2,0)),Inputs!$B$2:$B$190,$B10)*Inputs!$D$1)</f>
        <v>0</v>
      </c>
      <c r="AK10" s="57">
        <f>IF(ISNA(SUMIFS(INDEX(Inputs!$B$2:$AZ$190,,MATCH(SUBSTITUTE(AK$3,"Q","T"),Inputs!$B$2:$AZ$2,0)),Inputs!$B$2:$B$190,$B10)*Inputs!$D$1),"",SUMIFS(INDEX(Inputs!$B$2:$AZ$190,,MATCH(SUBSTITUTE(AK$3,"Q","T"),Inputs!$B$2:$AZ$2,0)),Inputs!$B$2:$B$190,$B10)*Inputs!$D$1)</f>
        <v>0</v>
      </c>
      <c r="AL10" s="57">
        <f>IF(ISNA(SUMIFS(INDEX(Inputs!$B$2:$AZ$190,,MATCH(SUBSTITUTE(AL$3,"Q","T"),Inputs!$B$2:$AZ$2,0)),Inputs!$B$2:$B$190,$B10)*Inputs!$D$1),"",SUMIFS(INDEX(Inputs!$B$2:$AZ$190,,MATCH(SUBSTITUTE(AL$3,"Q","T"),Inputs!$B$2:$AZ$2,0)),Inputs!$B$2:$B$190,$B10)*Inputs!$D$1)</f>
        <v>0</v>
      </c>
      <c r="AM10" s="58">
        <f>AL10</f>
        <v>0</v>
      </c>
      <c r="AN10" s="57">
        <f>IF(ISNA(SUMIFS(INDEX(Inputs!$B$2:$AZ$190,,MATCH(SUBSTITUTE(AN$3,"Q","T"),Inputs!$B$2:$AZ$2,0)),Inputs!$B$2:$B$190,$B10)*Inputs!$D$1),"",SUMIFS(INDEX(Inputs!$B$2:$AZ$190,,MATCH(SUBSTITUTE(AN$3,"Q","T"),Inputs!$B$2:$AZ$2,0)),Inputs!$B$2:$B$190,$B10)*Inputs!$D$1)</f>
        <v>0</v>
      </c>
      <c r="AO10" s="57">
        <f>IF(ISNA(SUMIFS(INDEX(Inputs!$B$2:$AZ$190,,MATCH(SUBSTITUTE(AO$3,"Q","T"),Inputs!$B$2:$AZ$2,0)),Inputs!$B$2:$B$190,$B10)*Inputs!$D$1),"",SUMIFS(INDEX(Inputs!$B$2:$AZ$190,,MATCH(SUBSTITUTE(AO$3,"Q","T"),Inputs!$B$2:$AZ$2,0)),Inputs!$B$2:$B$190,$B10)*Inputs!$D$1)</f>
        <v>0</v>
      </c>
      <c r="AP10" s="57">
        <f>IF(ISNA(SUMIFS(INDEX(Inputs!$B$2:$AZ$190,,MATCH(SUBSTITUTE(AP$3,"Q","T"),Inputs!$B$2:$AZ$2,0)),Inputs!$B$2:$B$190,$B10)*Inputs!$D$1),"",SUMIFS(INDEX(Inputs!$B$2:$AZ$190,,MATCH(SUBSTITUTE(AP$3,"Q","T"),Inputs!$B$2:$AZ$2,0)),Inputs!$B$2:$B$190,$B10)*Inputs!$D$1)</f>
        <v>0</v>
      </c>
      <c r="AQ10" s="57">
        <f>IF(ISNA(SUMIFS(INDEX(Inputs!$B$2:$AZ$190,,MATCH(SUBSTITUTE(AQ$3,"Q","T"),Inputs!$B$2:$AZ$2,0)),Inputs!$B$2:$B$190,$B10)*Inputs!$D$1),"",SUMIFS(INDEX(Inputs!$B$2:$AZ$190,,MATCH(SUBSTITUTE(AQ$3,"Q","T"),Inputs!$B$2:$AZ$2,0)),Inputs!$B$2:$B$190,$B10)*Inputs!$D$1)</f>
        <v>0</v>
      </c>
      <c r="AR10" s="58">
        <f>AQ10</f>
        <v>0</v>
      </c>
      <c r="AS10" s="57">
        <f>IF(ISNA(SUMIFS(INDEX(Inputs!$B$2:$AZ$190,,MATCH(SUBSTITUTE(AS$3,"Q","T"),Inputs!$B$2:$AZ$2,0)),Inputs!$B$2:$B$190,$B10)*Inputs!$D$1),"",SUMIFS(INDEX(Inputs!$B$2:$AZ$190,,MATCH(SUBSTITUTE(AS$3,"Q","T"),Inputs!$B$2:$AZ$2,0)),Inputs!$B$2:$B$190,$B10)*Inputs!$D$1)</f>
        <v>0</v>
      </c>
      <c r="AT10" s="57">
        <f>IF(ISNA(SUMIFS(INDEX(Inputs!$B$2:$AZ$190,,MATCH(SUBSTITUTE(AT$3,"Q","T"),Inputs!$B$2:$AZ$2,0)),Inputs!$B$2:$B$190,$B10)*Inputs!$D$1),"",SUMIFS(INDEX(Inputs!$B$2:$AZ$190,,MATCH(SUBSTITUTE(AT$3,"Q","T"),Inputs!$B$2:$AZ$2,0)),Inputs!$B$2:$B$190,$B10)*Inputs!$D$1)</f>
        <v>0</v>
      </c>
      <c r="AU10" s="57">
        <f>IF(ISNA(SUMIFS(INDEX(Inputs!$B$2:$AZ$190,,MATCH(SUBSTITUTE(AU$3,"Q","T"),Inputs!$B$2:$AZ$2,0)),Inputs!$B$2:$B$190,$B10)*Inputs!$D$1),"",SUMIFS(INDEX(Inputs!$B$2:$AZ$190,,MATCH(SUBSTITUTE(AU$3,"Q","T"),Inputs!$B$2:$AZ$2,0)),Inputs!$B$2:$B$190,$B10)*Inputs!$D$1)</f>
        <v>0</v>
      </c>
      <c r="AV10" s="57">
        <f>IF(ISNA(SUMIFS(INDEX(Inputs!$B$2:$AZ$190,,MATCH(SUBSTITUTE(AV$3,"Q","T"),Inputs!$B$2:$AZ$2,0)),Inputs!$B$2:$B$190,$B10)*Inputs!$D$1),"",SUMIFS(INDEX(Inputs!$B$2:$AZ$190,,MATCH(SUBSTITUTE(AV$3,"Q","T"),Inputs!$B$2:$AZ$2,0)),Inputs!$B$2:$B$190,$B10)*Inputs!$D$1)</f>
        <v>0</v>
      </c>
      <c r="AW10" s="58">
        <f>AV10</f>
        <v>0</v>
      </c>
      <c r="AX10" s="57">
        <f>IF(ISNA(SUMIFS(INDEX(Inputs!$B$2:$AZ$190,,MATCH(SUBSTITUTE(AX$3,"Q","T"),Inputs!$B$2:$AZ$2,0)),Inputs!$B$2:$B$190,$B10)*Inputs!$D$1),"",SUMIFS(INDEX(Inputs!$B$2:$AZ$190,,MATCH(SUBSTITUTE(AX$3,"Q","T"),Inputs!$B$2:$AZ$2,0)),Inputs!$B$2:$B$190,$B10)*Inputs!$D$1)</f>
        <v>0</v>
      </c>
      <c r="AY10" s="57">
        <f>IF(ISNA(SUMIFS(INDEX(Inputs!$B$2:$AZ$190,,MATCH(SUBSTITUTE(AY$3,"Q","T"),Inputs!$B$2:$AZ$2,0)),Inputs!$B$2:$B$190,$B10)*Inputs!$D$1),"",SUMIFS(INDEX(Inputs!$B$2:$AZ$190,,MATCH(SUBSTITUTE(AY$3,"Q","T"),Inputs!$B$2:$AZ$2,0)),Inputs!$B$2:$B$190,$B10)*Inputs!$D$1)</f>
        <v>0</v>
      </c>
      <c r="AZ10" s="57">
        <f>IF(ISNA(SUMIFS(INDEX(Inputs!$B$2:$AZ$190,,MATCH(SUBSTITUTE(AZ$3,"Q","T"),Inputs!$B$2:$AZ$2,0)),Inputs!$B$2:$B$190,$B10)*Inputs!$D$1),"",SUMIFS(INDEX(Inputs!$B$2:$AZ$190,,MATCH(SUBSTITUTE(AZ$3,"Q","T"),Inputs!$B$2:$AZ$2,0)),Inputs!$B$2:$B$190,$B10)*Inputs!$D$1)</f>
        <v>0</v>
      </c>
      <c r="BA10" s="57">
        <f>IF(ISNA(SUMIFS(INDEX(Inputs!$B$2:$AZ$190,,MATCH(SUBSTITUTE(BA$3,"Q","T"),Inputs!$B$2:$AZ$2,0)),Inputs!$B$2:$B$190,$B10)*Inputs!$D$1),"",SUMIFS(INDEX(Inputs!$B$2:$AZ$190,,MATCH(SUBSTITUTE(BA$3,"Q","T"),Inputs!$B$2:$AZ$2,0)),Inputs!$B$2:$B$190,$B10)*Inputs!$D$1)</f>
        <v>0</v>
      </c>
      <c r="BB10" s="58">
        <f>BA10</f>
        <v>0</v>
      </c>
      <c r="BC10" s="57">
        <f>IF(ISNA(SUMIFS(INDEX(Inputs!$B$2:$AZ$190,,MATCH(SUBSTITUTE(BC$3,"Q","T"),Inputs!$B$2:$AZ$2,0)),Inputs!$B$2:$B$190,$B10)*Inputs!$D$1),"",SUMIFS(INDEX(Inputs!$B$2:$AZ$190,,MATCH(SUBSTITUTE(BC$3,"Q","T"),Inputs!$B$2:$AZ$2,0)),Inputs!$B$2:$B$190,$B10)*Inputs!$D$1)</f>
        <v>0</v>
      </c>
      <c r="BD10" s="57">
        <f>IF(ISNA(SUMIFS(INDEX(Inputs!$B$2:$AZ$190,,MATCH(SUBSTITUTE(BD$3,"Q","T"),Inputs!$B$2:$AZ$2,0)),Inputs!$B$2:$B$190,$B10)*Inputs!$D$1),"",SUMIFS(INDEX(Inputs!$B$2:$AZ$190,,MATCH(SUBSTITUTE(BD$3,"Q","T"),Inputs!$B$2:$AZ$2,0)),Inputs!$B$2:$B$190,$B10)*Inputs!$D$1)</f>
        <v>0</v>
      </c>
      <c r="BE10" s="57">
        <f>IF(ISNA(SUMIFS(INDEX(Inputs!$B$2:$AZ$190,,MATCH(SUBSTITUTE(BE$3,"Q","T"),Inputs!$B$2:$AZ$2,0)),Inputs!$B$2:$B$190,$B10)*Inputs!$D$1),"",SUMIFS(INDEX(Inputs!$B$2:$AZ$190,,MATCH(SUBSTITUTE(BE$3,"Q","T"),Inputs!$B$2:$AZ$2,0)),Inputs!$B$2:$B$190,$B10)*Inputs!$D$1)</f>
        <v>0</v>
      </c>
      <c r="BF10" s="57">
        <f>IF(ISNA(SUMIFS(INDEX(Inputs!$B$2:$AZ$190,,MATCH(SUBSTITUTE(BF$3,"Q","T"),Inputs!$B$2:$AZ$2,0)),Inputs!$B$2:$B$190,$B10)*Inputs!$D$1),"",SUMIFS(INDEX(Inputs!$B$2:$AZ$190,,MATCH(SUBSTITUTE(BF$3,"Q","T"),Inputs!$B$2:$AZ$2,0)),Inputs!$B$2:$B$190,$B10)*Inputs!$D$1)</f>
        <v>0</v>
      </c>
      <c r="BG10" s="58">
        <f>BF10</f>
        <v>0</v>
      </c>
    </row>
    <row r="11">
      <c r="C11" s="15" t="inlineStr">
        <is>
          <t>Títulos e ativos de trading</t>
        </is>
      </c>
      <c r="D11" s="16" t="inlineStr">
        <is>
          <t>Securities and trading assets</t>
        </is>
      </c>
      <c r="E11" s="59">
        <f>IFERROR(E12+E13+E14+E15,"")</f>
        <v>0</v>
      </c>
      <c r="F11" s="59">
        <f>IFERROR(F12+F13+F14+F15,"")</f>
        <v>0</v>
      </c>
      <c r="G11" s="59">
        <f>IFERROR(G12+G13+G14+G15,"")</f>
        <v>0</v>
      </c>
      <c r="H11" s="59">
        <f>IFERROR(H12+H13+H14+H15,"")</f>
        <v>0</v>
      </c>
      <c r="I11" s="60">
        <f>H11</f>
        <v>0</v>
      </c>
      <c r="J11" s="59">
        <f>IFERROR(J12+J13+J14+J15,"")</f>
        <v>0</v>
      </c>
      <c r="K11" s="59">
        <f>IFERROR(K12+K13+K14+K15,"")</f>
        <v>0</v>
      </c>
      <c r="L11" s="59">
        <f>IFERROR(L12+L13+L14+L15,"")</f>
        <v>0</v>
      </c>
      <c r="M11" s="59">
        <f>IFERROR(M12+M13+M14+M15,"")</f>
        <v>0</v>
      </c>
      <c r="N11" s="60">
        <f>M11</f>
        <v>0</v>
      </c>
      <c r="O11" s="59">
        <f>IFERROR(O12+O13+O14+O15,"")</f>
        <v>0</v>
      </c>
      <c r="P11" s="59">
        <f>IFERROR(P12+P13+P14+P15,"")</f>
        <v>0</v>
      </c>
      <c r="Q11" s="59">
        <f>IFERROR(Q12+Q13+Q14+Q15,"")</f>
        <v>0</v>
      </c>
      <c r="R11" s="59">
        <f>IFERROR(R12+R13+R14+R15,"")</f>
        <v>0</v>
      </c>
      <c r="S11" s="60">
        <f>R11</f>
        <v>0</v>
      </c>
      <c r="T11" s="59">
        <f>IFERROR(T12+T13+T14+T15,"")</f>
        <v>0</v>
      </c>
      <c r="U11" s="59">
        <f>IFERROR(U12+U13+U14+U15,"")</f>
        <v>0</v>
      </c>
      <c r="V11" s="59">
        <f>IFERROR(V12+V13+V14+V15,"")</f>
        <v>0</v>
      </c>
      <c r="W11" s="59">
        <f>IFERROR(W12+W13+W14+W15,"")</f>
        <v>0</v>
      </c>
      <c r="X11" s="60">
        <f>W11</f>
        <v>0</v>
      </c>
      <c r="Y11" s="59">
        <f>IFERROR(Y12+Y13+Y14+Y15,"")</f>
        <v>0</v>
      </c>
      <c r="Z11" s="59">
        <f>IFERROR(Z12+Z13+Z14+Z15,"")</f>
        <v>0</v>
      </c>
      <c r="AA11" s="59">
        <f>IFERROR(AA12+AA13+AA14+AA15,"")</f>
        <v>0</v>
      </c>
      <c r="AB11" s="59">
        <f>IFERROR(AB12+AB13+AB14+AB15,"")</f>
        <v>0</v>
      </c>
      <c r="AC11" s="60">
        <f>AB11</f>
        <v>0</v>
      </c>
      <c r="AD11" s="59">
        <f>IFERROR(AD12+AD13+AD14+AD15,"")</f>
        <v>0</v>
      </c>
      <c r="AE11" s="59">
        <f>IFERROR(AE12+AE13+AE14+AE15,"")</f>
        <v>0</v>
      </c>
      <c r="AF11" s="59">
        <f>IFERROR(AF12+AF13+AF14+AF15,"")</f>
        <v>0</v>
      </c>
      <c r="AG11" s="59">
        <f>IFERROR(AG12+AG13+AG14+AG15,"")</f>
        <v>0</v>
      </c>
      <c r="AH11" s="60">
        <f>AG11</f>
        <v>0</v>
      </c>
      <c r="AI11" s="59">
        <f>IFERROR(AI12+AI13+AI14+AI15,"")</f>
        <v>0</v>
      </c>
      <c r="AJ11" s="59">
        <f>IFERROR(AJ12+AJ13+AJ14+AJ15,"")</f>
        <v>0</v>
      </c>
      <c r="AK11" s="59">
        <f>IFERROR(AK12+AK13+AK14+AK15,"")</f>
        <v>0</v>
      </c>
      <c r="AL11" s="59">
        <f>IFERROR(AL12+AL13+AL14+AL15,"")</f>
        <v>0</v>
      </c>
      <c r="AM11" s="60">
        <f>AL11</f>
        <v>0</v>
      </c>
      <c r="AN11" s="59">
        <f>IFERROR(AN12+AN13+AN14+AN15,"")</f>
        <v>0</v>
      </c>
      <c r="AO11" s="59">
        <f>IFERROR(AO12+AO13+AO14+AO15,"")</f>
        <v>0</v>
      </c>
      <c r="AP11" s="59">
        <f>IFERROR(AP12+AP13+AP14+AP15,"")</f>
        <v>0</v>
      </c>
      <c r="AQ11" s="59">
        <f>IFERROR(AQ12+AQ13+AQ14+AQ15,"")</f>
        <v>0</v>
      </c>
      <c r="AR11" s="60">
        <f>AQ11</f>
        <v>0</v>
      </c>
      <c r="AS11" s="59">
        <f>IFERROR(AS12+AS13+AS14+AS15,"")</f>
        <v>0</v>
      </c>
      <c r="AT11" s="59">
        <f>IFERROR(AT12+AT13+AT14+AT15,"")</f>
        <v>0</v>
      </c>
      <c r="AU11" s="59">
        <f>IFERROR(AU12+AU13+AU14+AU15,"")</f>
        <v>0</v>
      </c>
      <c r="AV11" s="59">
        <f>IFERROR(AV12+AV13+AV14+AV15,"")</f>
        <v>0</v>
      </c>
      <c r="AW11" s="60">
        <f>AV11</f>
        <v>0</v>
      </c>
      <c r="AX11" s="59">
        <f>IFERROR(AX12+AX13+AX14+AX15,"")</f>
        <v>0</v>
      </c>
      <c r="AY11" s="59">
        <f>IFERROR(AY12+AY13+AY14+AY15,"")</f>
        <v>0</v>
      </c>
      <c r="AZ11" s="59">
        <f>IFERROR(AZ12+AZ13+AZ14+AZ15,"")</f>
        <v>0</v>
      </c>
      <c r="BA11" s="59">
        <f>IFERROR(BA12+BA13+BA14+BA15,"")</f>
        <v>0</v>
      </c>
      <c r="BB11" s="60">
        <f>BA11</f>
        <v>0</v>
      </c>
      <c r="BC11" s="59">
        <f>IFERROR(BC12+BC13+BC14+BC15,"")</f>
        <v>0</v>
      </c>
      <c r="BD11" s="59">
        <f>IFERROR(BD12+BD13+BD14+BD15,"")</f>
        <v>0</v>
      </c>
      <c r="BE11" s="59">
        <f>IFERROR(BE12+BE13+BE14+BE15,"")</f>
        <v>0</v>
      </c>
      <c r="BF11" s="59">
        <f>IFERROR(BF12+BF13+BF14+BF15,"")</f>
        <v>0</v>
      </c>
      <c r="BG11" s="60">
        <f>BF11</f>
        <v>0</v>
      </c>
    </row>
    <row r="12" hidden="1" outlineLevel="1">
      <c r="B12" s="56" t="inlineStr">
        <is>
          <t>trading</t>
        </is>
      </c>
      <c r="C12" s="61" t="inlineStr">
        <is>
          <t>Ativos de trading (inclui derivativos a receber)</t>
        </is>
      </c>
      <c r="D12" s="62" t="inlineStr">
        <is>
          <t>Trading assets (incl. derivative receivables)</t>
        </is>
      </c>
      <c r="E12" s="57">
        <f>IF(ISNA(SUMIFS(INDEX(Inputs!$B$2:$AZ$190,,MATCH(SUBSTITUTE(E$3,"Q","T"),Inputs!$B$2:$AZ$2,0)),Inputs!$B$2:$B$190,$B12)*Inputs!$D$1),"",SUMIFS(INDEX(Inputs!$B$2:$AZ$190,,MATCH(SUBSTITUTE(E$3,"Q","T"),Inputs!$B$2:$AZ$2,0)),Inputs!$B$2:$B$190,$B12)*Inputs!$D$1)</f>
        <v>0</v>
      </c>
      <c r="F12" s="57">
        <f>IF(ISNA(SUMIFS(INDEX(Inputs!$B$2:$AZ$190,,MATCH(SUBSTITUTE(F$3,"Q","T"),Inputs!$B$2:$AZ$2,0)),Inputs!$B$2:$B$190,$B12)*Inputs!$D$1),"",SUMIFS(INDEX(Inputs!$B$2:$AZ$190,,MATCH(SUBSTITUTE(F$3,"Q","T"),Inputs!$B$2:$AZ$2,0)),Inputs!$B$2:$B$190,$B12)*Inputs!$D$1)</f>
        <v>0</v>
      </c>
      <c r="G12" s="57">
        <f>IF(ISNA(SUMIFS(INDEX(Inputs!$B$2:$AZ$190,,MATCH(SUBSTITUTE(G$3,"Q","T"),Inputs!$B$2:$AZ$2,0)),Inputs!$B$2:$B$190,$B12)*Inputs!$D$1),"",SUMIFS(INDEX(Inputs!$B$2:$AZ$190,,MATCH(SUBSTITUTE(G$3,"Q","T"),Inputs!$B$2:$AZ$2,0)),Inputs!$B$2:$B$190,$B12)*Inputs!$D$1)</f>
        <v>0</v>
      </c>
      <c r="H12" s="57">
        <f>IF(ISNA(SUMIFS(INDEX(Inputs!$B$2:$AZ$190,,MATCH(SUBSTITUTE(H$3,"Q","T"),Inputs!$B$2:$AZ$2,0)),Inputs!$B$2:$B$190,$B12)*Inputs!$D$1),"",SUMIFS(INDEX(Inputs!$B$2:$AZ$190,,MATCH(SUBSTITUTE(H$3,"Q","T"),Inputs!$B$2:$AZ$2,0)),Inputs!$B$2:$B$190,$B12)*Inputs!$D$1)</f>
        <v>0</v>
      </c>
      <c r="I12" s="58">
        <f>H12</f>
        <v>0</v>
      </c>
      <c r="J12" s="57">
        <f>IF(ISNA(SUMIFS(INDEX(Inputs!$B$2:$AZ$190,,MATCH(SUBSTITUTE(J$3,"Q","T"),Inputs!$B$2:$AZ$2,0)),Inputs!$B$2:$B$190,$B12)*Inputs!$D$1),"",SUMIFS(INDEX(Inputs!$B$2:$AZ$190,,MATCH(SUBSTITUTE(J$3,"Q","T"),Inputs!$B$2:$AZ$2,0)),Inputs!$B$2:$B$190,$B12)*Inputs!$D$1)</f>
        <v>0</v>
      </c>
      <c r="K12" s="57">
        <f>IF(ISNA(SUMIFS(INDEX(Inputs!$B$2:$AZ$190,,MATCH(SUBSTITUTE(K$3,"Q","T"),Inputs!$B$2:$AZ$2,0)),Inputs!$B$2:$B$190,$B12)*Inputs!$D$1),"",SUMIFS(INDEX(Inputs!$B$2:$AZ$190,,MATCH(SUBSTITUTE(K$3,"Q","T"),Inputs!$B$2:$AZ$2,0)),Inputs!$B$2:$B$190,$B12)*Inputs!$D$1)</f>
        <v>0</v>
      </c>
      <c r="L12" s="57">
        <f>IF(ISNA(SUMIFS(INDEX(Inputs!$B$2:$AZ$190,,MATCH(SUBSTITUTE(L$3,"Q","T"),Inputs!$B$2:$AZ$2,0)),Inputs!$B$2:$B$190,$B12)*Inputs!$D$1),"",SUMIFS(INDEX(Inputs!$B$2:$AZ$190,,MATCH(SUBSTITUTE(L$3,"Q","T"),Inputs!$B$2:$AZ$2,0)),Inputs!$B$2:$B$190,$B12)*Inputs!$D$1)</f>
        <v>0</v>
      </c>
      <c r="M12" s="57">
        <f>IF(ISNA(SUMIFS(INDEX(Inputs!$B$2:$AZ$190,,MATCH(SUBSTITUTE(M$3,"Q","T"),Inputs!$B$2:$AZ$2,0)),Inputs!$B$2:$B$190,$B12)*Inputs!$D$1),"",SUMIFS(INDEX(Inputs!$B$2:$AZ$190,,MATCH(SUBSTITUTE(M$3,"Q","T"),Inputs!$B$2:$AZ$2,0)),Inputs!$B$2:$B$190,$B12)*Inputs!$D$1)</f>
        <v>0</v>
      </c>
      <c r="N12" s="58">
        <f>M12</f>
        <v>0</v>
      </c>
      <c r="O12" s="57">
        <f>IF(ISNA(SUMIFS(INDEX(Inputs!$B$2:$AZ$190,,MATCH(SUBSTITUTE(O$3,"Q","T"),Inputs!$B$2:$AZ$2,0)),Inputs!$B$2:$B$190,$B12)*Inputs!$D$1),"",SUMIFS(INDEX(Inputs!$B$2:$AZ$190,,MATCH(SUBSTITUTE(O$3,"Q","T"),Inputs!$B$2:$AZ$2,0)),Inputs!$B$2:$B$190,$B12)*Inputs!$D$1)</f>
        <v>0</v>
      </c>
      <c r="P12" s="57">
        <f>IF(ISNA(SUMIFS(INDEX(Inputs!$B$2:$AZ$190,,MATCH(SUBSTITUTE(P$3,"Q","T"),Inputs!$B$2:$AZ$2,0)),Inputs!$B$2:$B$190,$B12)*Inputs!$D$1),"",SUMIFS(INDEX(Inputs!$B$2:$AZ$190,,MATCH(SUBSTITUTE(P$3,"Q","T"),Inputs!$B$2:$AZ$2,0)),Inputs!$B$2:$B$190,$B12)*Inputs!$D$1)</f>
        <v>0</v>
      </c>
      <c r="Q12" s="57">
        <f>IF(ISNA(SUMIFS(INDEX(Inputs!$B$2:$AZ$190,,MATCH(SUBSTITUTE(Q$3,"Q","T"),Inputs!$B$2:$AZ$2,0)),Inputs!$B$2:$B$190,$B12)*Inputs!$D$1),"",SUMIFS(INDEX(Inputs!$B$2:$AZ$190,,MATCH(SUBSTITUTE(Q$3,"Q","T"),Inputs!$B$2:$AZ$2,0)),Inputs!$B$2:$B$190,$B12)*Inputs!$D$1)</f>
        <v>0</v>
      </c>
      <c r="R12" s="57">
        <f>IF(ISNA(SUMIFS(INDEX(Inputs!$B$2:$AZ$190,,MATCH(SUBSTITUTE(R$3,"Q","T"),Inputs!$B$2:$AZ$2,0)),Inputs!$B$2:$B$190,$B12)*Inputs!$D$1),"",SUMIFS(INDEX(Inputs!$B$2:$AZ$190,,MATCH(SUBSTITUTE(R$3,"Q","T"),Inputs!$B$2:$AZ$2,0)),Inputs!$B$2:$B$190,$B12)*Inputs!$D$1)</f>
        <v>0</v>
      </c>
      <c r="S12" s="58">
        <f>R12</f>
        <v>0</v>
      </c>
      <c r="T12" s="57">
        <f>IF(ISNA(SUMIFS(INDEX(Inputs!$B$2:$AZ$190,,MATCH(SUBSTITUTE(T$3,"Q","T"),Inputs!$B$2:$AZ$2,0)),Inputs!$B$2:$B$190,$B12)*Inputs!$D$1),"",SUMIFS(INDEX(Inputs!$B$2:$AZ$190,,MATCH(SUBSTITUTE(T$3,"Q","T"),Inputs!$B$2:$AZ$2,0)),Inputs!$B$2:$B$190,$B12)*Inputs!$D$1)</f>
        <v>0</v>
      </c>
      <c r="U12" s="57">
        <f>IF(ISNA(SUMIFS(INDEX(Inputs!$B$2:$AZ$190,,MATCH(SUBSTITUTE(U$3,"Q","T"),Inputs!$B$2:$AZ$2,0)),Inputs!$B$2:$B$190,$B12)*Inputs!$D$1),"",SUMIFS(INDEX(Inputs!$B$2:$AZ$190,,MATCH(SUBSTITUTE(U$3,"Q","T"),Inputs!$B$2:$AZ$2,0)),Inputs!$B$2:$B$190,$B12)*Inputs!$D$1)</f>
        <v>0</v>
      </c>
      <c r="V12" s="57">
        <f>IF(ISNA(SUMIFS(INDEX(Inputs!$B$2:$AZ$190,,MATCH(SUBSTITUTE(V$3,"Q","T"),Inputs!$B$2:$AZ$2,0)),Inputs!$B$2:$B$190,$B12)*Inputs!$D$1),"",SUMIFS(INDEX(Inputs!$B$2:$AZ$190,,MATCH(SUBSTITUTE(V$3,"Q","T"),Inputs!$B$2:$AZ$2,0)),Inputs!$B$2:$B$190,$B12)*Inputs!$D$1)</f>
        <v>0</v>
      </c>
      <c r="W12" s="57">
        <f>IF(ISNA(SUMIFS(INDEX(Inputs!$B$2:$AZ$190,,MATCH(SUBSTITUTE(W$3,"Q","T"),Inputs!$B$2:$AZ$2,0)),Inputs!$B$2:$B$190,$B12)*Inputs!$D$1),"",SUMIFS(INDEX(Inputs!$B$2:$AZ$190,,MATCH(SUBSTITUTE(W$3,"Q","T"),Inputs!$B$2:$AZ$2,0)),Inputs!$B$2:$B$190,$B12)*Inputs!$D$1)</f>
        <v>0</v>
      </c>
      <c r="X12" s="58">
        <f>W12</f>
        <v>0</v>
      </c>
      <c r="Y12" s="57">
        <f>IF(ISNA(SUMIFS(INDEX(Inputs!$B$2:$AZ$190,,MATCH(SUBSTITUTE(Y$3,"Q","T"),Inputs!$B$2:$AZ$2,0)),Inputs!$B$2:$B$190,$B12)*Inputs!$D$1),"",SUMIFS(INDEX(Inputs!$B$2:$AZ$190,,MATCH(SUBSTITUTE(Y$3,"Q","T"),Inputs!$B$2:$AZ$2,0)),Inputs!$B$2:$B$190,$B12)*Inputs!$D$1)</f>
        <v>0</v>
      </c>
      <c r="Z12" s="57">
        <f>IF(ISNA(SUMIFS(INDEX(Inputs!$B$2:$AZ$190,,MATCH(SUBSTITUTE(Z$3,"Q","T"),Inputs!$B$2:$AZ$2,0)),Inputs!$B$2:$B$190,$B12)*Inputs!$D$1),"",SUMIFS(INDEX(Inputs!$B$2:$AZ$190,,MATCH(SUBSTITUTE(Z$3,"Q","T"),Inputs!$B$2:$AZ$2,0)),Inputs!$B$2:$B$190,$B12)*Inputs!$D$1)</f>
        <v>0</v>
      </c>
      <c r="AA12" s="57">
        <f>IF(ISNA(SUMIFS(INDEX(Inputs!$B$2:$AZ$190,,MATCH(SUBSTITUTE(AA$3,"Q","T"),Inputs!$B$2:$AZ$2,0)),Inputs!$B$2:$B$190,$B12)*Inputs!$D$1),"",SUMIFS(INDEX(Inputs!$B$2:$AZ$190,,MATCH(SUBSTITUTE(AA$3,"Q","T"),Inputs!$B$2:$AZ$2,0)),Inputs!$B$2:$B$190,$B12)*Inputs!$D$1)</f>
        <v>0</v>
      </c>
      <c r="AB12" s="57">
        <f>IF(ISNA(SUMIFS(INDEX(Inputs!$B$2:$AZ$190,,MATCH(SUBSTITUTE(AB$3,"Q","T"),Inputs!$B$2:$AZ$2,0)),Inputs!$B$2:$B$190,$B12)*Inputs!$D$1),"",SUMIFS(INDEX(Inputs!$B$2:$AZ$190,,MATCH(SUBSTITUTE(AB$3,"Q","T"),Inputs!$B$2:$AZ$2,0)),Inputs!$B$2:$B$190,$B12)*Inputs!$D$1)</f>
        <v>0</v>
      </c>
      <c r="AC12" s="58">
        <f>AB12</f>
        <v>0</v>
      </c>
      <c r="AD12" s="57">
        <f>IF(ISNA(SUMIFS(INDEX(Inputs!$B$2:$AZ$190,,MATCH(SUBSTITUTE(AD$3,"Q","T"),Inputs!$B$2:$AZ$2,0)),Inputs!$B$2:$B$190,$B12)*Inputs!$D$1),"",SUMIFS(INDEX(Inputs!$B$2:$AZ$190,,MATCH(SUBSTITUTE(AD$3,"Q","T"),Inputs!$B$2:$AZ$2,0)),Inputs!$B$2:$B$190,$B12)*Inputs!$D$1)</f>
        <v>0</v>
      </c>
      <c r="AE12" s="57">
        <f>IF(ISNA(SUMIFS(INDEX(Inputs!$B$2:$AZ$190,,MATCH(SUBSTITUTE(AE$3,"Q","T"),Inputs!$B$2:$AZ$2,0)),Inputs!$B$2:$B$190,$B12)*Inputs!$D$1),"",SUMIFS(INDEX(Inputs!$B$2:$AZ$190,,MATCH(SUBSTITUTE(AE$3,"Q","T"),Inputs!$B$2:$AZ$2,0)),Inputs!$B$2:$B$190,$B12)*Inputs!$D$1)</f>
        <v>0</v>
      </c>
      <c r="AF12" s="57">
        <f>IF(ISNA(SUMIFS(INDEX(Inputs!$B$2:$AZ$190,,MATCH(SUBSTITUTE(AF$3,"Q","T"),Inputs!$B$2:$AZ$2,0)),Inputs!$B$2:$B$190,$B12)*Inputs!$D$1),"",SUMIFS(INDEX(Inputs!$B$2:$AZ$190,,MATCH(SUBSTITUTE(AF$3,"Q","T"),Inputs!$B$2:$AZ$2,0)),Inputs!$B$2:$B$190,$B12)*Inputs!$D$1)</f>
        <v>0</v>
      </c>
      <c r="AG12" s="57">
        <f>IF(ISNA(SUMIFS(INDEX(Inputs!$B$2:$AZ$190,,MATCH(SUBSTITUTE(AG$3,"Q","T"),Inputs!$B$2:$AZ$2,0)),Inputs!$B$2:$B$190,$B12)*Inputs!$D$1),"",SUMIFS(INDEX(Inputs!$B$2:$AZ$190,,MATCH(SUBSTITUTE(AG$3,"Q","T"),Inputs!$B$2:$AZ$2,0)),Inputs!$B$2:$B$190,$B12)*Inputs!$D$1)</f>
        <v>0</v>
      </c>
      <c r="AH12" s="58">
        <f>AG12</f>
        <v>0</v>
      </c>
      <c r="AI12" s="57">
        <f>IF(ISNA(SUMIFS(INDEX(Inputs!$B$2:$AZ$190,,MATCH(SUBSTITUTE(AI$3,"Q","T"),Inputs!$B$2:$AZ$2,0)),Inputs!$B$2:$B$190,$B12)*Inputs!$D$1),"",SUMIFS(INDEX(Inputs!$B$2:$AZ$190,,MATCH(SUBSTITUTE(AI$3,"Q","T"),Inputs!$B$2:$AZ$2,0)),Inputs!$B$2:$B$190,$B12)*Inputs!$D$1)</f>
        <v>0</v>
      </c>
      <c r="AJ12" s="57">
        <f>IF(ISNA(SUMIFS(INDEX(Inputs!$B$2:$AZ$190,,MATCH(SUBSTITUTE(AJ$3,"Q","T"),Inputs!$B$2:$AZ$2,0)),Inputs!$B$2:$B$190,$B12)*Inputs!$D$1),"",SUMIFS(INDEX(Inputs!$B$2:$AZ$190,,MATCH(SUBSTITUTE(AJ$3,"Q","T"),Inputs!$B$2:$AZ$2,0)),Inputs!$B$2:$B$190,$B12)*Inputs!$D$1)</f>
        <v>0</v>
      </c>
      <c r="AK12" s="57">
        <f>IF(ISNA(SUMIFS(INDEX(Inputs!$B$2:$AZ$190,,MATCH(SUBSTITUTE(AK$3,"Q","T"),Inputs!$B$2:$AZ$2,0)),Inputs!$B$2:$B$190,$B12)*Inputs!$D$1),"",SUMIFS(INDEX(Inputs!$B$2:$AZ$190,,MATCH(SUBSTITUTE(AK$3,"Q","T"),Inputs!$B$2:$AZ$2,0)),Inputs!$B$2:$B$190,$B12)*Inputs!$D$1)</f>
        <v>0</v>
      </c>
      <c r="AL12" s="57">
        <f>IF(ISNA(SUMIFS(INDEX(Inputs!$B$2:$AZ$190,,MATCH(SUBSTITUTE(AL$3,"Q","T"),Inputs!$B$2:$AZ$2,0)),Inputs!$B$2:$B$190,$B12)*Inputs!$D$1),"",SUMIFS(INDEX(Inputs!$B$2:$AZ$190,,MATCH(SUBSTITUTE(AL$3,"Q","T"),Inputs!$B$2:$AZ$2,0)),Inputs!$B$2:$B$190,$B12)*Inputs!$D$1)</f>
        <v>0</v>
      </c>
      <c r="AM12" s="58">
        <f>AL12</f>
        <v>0</v>
      </c>
      <c r="AN12" s="57">
        <f>IF(ISNA(SUMIFS(INDEX(Inputs!$B$2:$AZ$190,,MATCH(SUBSTITUTE(AN$3,"Q","T"),Inputs!$B$2:$AZ$2,0)),Inputs!$B$2:$B$190,$B12)*Inputs!$D$1),"",SUMIFS(INDEX(Inputs!$B$2:$AZ$190,,MATCH(SUBSTITUTE(AN$3,"Q","T"),Inputs!$B$2:$AZ$2,0)),Inputs!$B$2:$B$190,$B12)*Inputs!$D$1)</f>
        <v>0</v>
      </c>
      <c r="AO12" s="57">
        <f>IF(ISNA(SUMIFS(INDEX(Inputs!$B$2:$AZ$190,,MATCH(SUBSTITUTE(AO$3,"Q","T"),Inputs!$B$2:$AZ$2,0)),Inputs!$B$2:$B$190,$B12)*Inputs!$D$1),"",SUMIFS(INDEX(Inputs!$B$2:$AZ$190,,MATCH(SUBSTITUTE(AO$3,"Q","T"),Inputs!$B$2:$AZ$2,0)),Inputs!$B$2:$B$190,$B12)*Inputs!$D$1)</f>
        <v>0</v>
      </c>
      <c r="AP12" s="57">
        <f>IF(ISNA(SUMIFS(INDEX(Inputs!$B$2:$AZ$190,,MATCH(SUBSTITUTE(AP$3,"Q","T"),Inputs!$B$2:$AZ$2,0)),Inputs!$B$2:$B$190,$B12)*Inputs!$D$1),"",SUMIFS(INDEX(Inputs!$B$2:$AZ$190,,MATCH(SUBSTITUTE(AP$3,"Q","T"),Inputs!$B$2:$AZ$2,0)),Inputs!$B$2:$B$190,$B12)*Inputs!$D$1)</f>
        <v>0</v>
      </c>
      <c r="AQ12" s="57">
        <f>IF(ISNA(SUMIFS(INDEX(Inputs!$B$2:$AZ$190,,MATCH(SUBSTITUTE(AQ$3,"Q","T"),Inputs!$B$2:$AZ$2,0)),Inputs!$B$2:$B$190,$B12)*Inputs!$D$1),"",SUMIFS(INDEX(Inputs!$B$2:$AZ$190,,MATCH(SUBSTITUTE(AQ$3,"Q","T"),Inputs!$B$2:$AZ$2,0)),Inputs!$B$2:$B$190,$B12)*Inputs!$D$1)</f>
        <v>0</v>
      </c>
      <c r="AR12" s="58">
        <f>AQ12</f>
        <v>0</v>
      </c>
      <c r="AS12" s="57">
        <f>IF(ISNA(SUMIFS(INDEX(Inputs!$B$2:$AZ$190,,MATCH(SUBSTITUTE(AS$3,"Q","T"),Inputs!$B$2:$AZ$2,0)),Inputs!$B$2:$B$190,$B12)*Inputs!$D$1),"",SUMIFS(INDEX(Inputs!$B$2:$AZ$190,,MATCH(SUBSTITUTE(AS$3,"Q","T"),Inputs!$B$2:$AZ$2,0)),Inputs!$B$2:$B$190,$B12)*Inputs!$D$1)</f>
        <v>0</v>
      </c>
      <c r="AT12" s="57">
        <f>IF(ISNA(SUMIFS(INDEX(Inputs!$B$2:$AZ$190,,MATCH(SUBSTITUTE(AT$3,"Q","T"),Inputs!$B$2:$AZ$2,0)),Inputs!$B$2:$B$190,$B12)*Inputs!$D$1),"",SUMIFS(INDEX(Inputs!$B$2:$AZ$190,,MATCH(SUBSTITUTE(AT$3,"Q","T"),Inputs!$B$2:$AZ$2,0)),Inputs!$B$2:$B$190,$B12)*Inputs!$D$1)</f>
        <v>0</v>
      </c>
      <c r="AU12" s="57">
        <f>IF(ISNA(SUMIFS(INDEX(Inputs!$B$2:$AZ$190,,MATCH(SUBSTITUTE(AU$3,"Q","T"),Inputs!$B$2:$AZ$2,0)),Inputs!$B$2:$B$190,$B12)*Inputs!$D$1),"",SUMIFS(INDEX(Inputs!$B$2:$AZ$190,,MATCH(SUBSTITUTE(AU$3,"Q","T"),Inputs!$B$2:$AZ$2,0)),Inputs!$B$2:$B$190,$B12)*Inputs!$D$1)</f>
        <v>0</v>
      </c>
      <c r="AV12" s="57">
        <f>IF(ISNA(SUMIFS(INDEX(Inputs!$B$2:$AZ$190,,MATCH(SUBSTITUTE(AV$3,"Q","T"),Inputs!$B$2:$AZ$2,0)),Inputs!$B$2:$B$190,$B12)*Inputs!$D$1),"",SUMIFS(INDEX(Inputs!$B$2:$AZ$190,,MATCH(SUBSTITUTE(AV$3,"Q","T"),Inputs!$B$2:$AZ$2,0)),Inputs!$B$2:$B$190,$B12)*Inputs!$D$1)</f>
        <v>0</v>
      </c>
      <c r="AW12" s="58">
        <f>AV12</f>
        <v>0</v>
      </c>
      <c r="AX12" s="57">
        <f>IF(ISNA(SUMIFS(INDEX(Inputs!$B$2:$AZ$190,,MATCH(SUBSTITUTE(AX$3,"Q","T"),Inputs!$B$2:$AZ$2,0)),Inputs!$B$2:$B$190,$B12)*Inputs!$D$1),"",SUMIFS(INDEX(Inputs!$B$2:$AZ$190,,MATCH(SUBSTITUTE(AX$3,"Q","T"),Inputs!$B$2:$AZ$2,0)),Inputs!$B$2:$B$190,$B12)*Inputs!$D$1)</f>
        <v>0</v>
      </c>
      <c r="AY12" s="57">
        <f>IF(ISNA(SUMIFS(INDEX(Inputs!$B$2:$AZ$190,,MATCH(SUBSTITUTE(AY$3,"Q","T"),Inputs!$B$2:$AZ$2,0)),Inputs!$B$2:$B$190,$B12)*Inputs!$D$1),"",SUMIFS(INDEX(Inputs!$B$2:$AZ$190,,MATCH(SUBSTITUTE(AY$3,"Q","T"),Inputs!$B$2:$AZ$2,0)),Inputs!$B$2:$B$190,$B12)*Inputs!$D$1)</f>
        <v>0</v>
      </c>
      <c r="AZ12" s="57">
        <f>IF(ISNA(SUMIFS(INDEX(Inputs!$B$2:$AZ$190,,MATCH(SUBSTITUTE(AZ$3,"Q","T"),Inputs!$B$2:$AZ$2,0)),Inputs!$B$2:$B$190,$B12)*Inputs!$D$1),"",SUMIFS(INDEX(Inputs!$B$2:$AZ$190,,MATCH(SUBSTITUTE(AZ$3,"Q","T"),Inputs!$B$2:$AZ$2,0)),Inputs!$B$2:$B$190,$B12)*Inputs!$D$1)</f>
        <v>0</v>
      </c>
      <c r="BA12" s="57">
        <f>IF(ISNA(SUMIFS(INDEX(Inputs!$B$2:$AZ$190,,MATCH(SUBSTITUTE(BA$3,"Q","T"),Inputs!$B$2:$AZ$2,0)),Inputs!$B$2:$B$190,$B12)*Inputs!$D$1),"",SUMIFS(INDEX(Inputs!$B$2:$AZ$190,,MATCH(SUBSTITUTE(BA$3,"Q","T"),Inputs!$B$2:$AZ$2,0)),Inputs!$B$2:$B$190,$B12)*Inputs!$D$1)</f>
        <v>0</v>
      </c>
      <c r="BB12" s="58">
        <f>BA12</f>
        <v>0</v>
      </c>
      <c r="BC12" s="57">
        <f>IF(ISNA(SUMIFS(INDEX(Inputs!$B$2:$AZ$190,,MATCH(SUBSTITUTE(BC$3,"Q","T"),Inputs!$B$2:$AZ$2,0)),Inputs!$B$2:$B$190,$B12)*Inputs!$D$1),"",SUMIFS(INDEX(Inputs!$B$2:$AZ$190,,MATCH(SUBSTITUTE(BC$3,"Q","T"),Inputs!$B$2:$AZ$2,0)),Inputs!$B$2:$B$190,$B12)*Inputs!$D$1)</f>
        <v>0</v>
      </c>
      <c r="BD12" s="57">
        <f>IF(ISNA(SUMIFS(INDEX(Inputs!$B$2:$AZ$190,,MATCH(SUBSTITUTE(BD$3,"Q","T"),Inputs!$B$2:$AZ$2,0)),Inputs!$B$2:$B$190,$B12)*Inputs!$D$1),"",SUMIFS(INDEX(Inputs!$B$2:$AZ$190,,MATCH(SUBSTITUTE(BD$3,"Q","T"),Inputs!$B$2:$AZ$2,0)),Inputs!$B$2:$B$190,$B12)*Inputs!$D$1)</f>
        <v>0</v>
      </c>
      <c r="BE12" s="57">
        <f>IF(ISNA(SUMIFS(INDEX(Inputs!$B$2:$AZ$190,,MATCH(SUBSTITUTE(BE$3,"Q","T"),Inputs!$B$2:$AZ$2,0)),Inputs!$B$2:$B$190,$B12)*Inputs!$D$1),"",SUMIFS(INDEX(Inputs!$B$2:$AZ$190,,MATCH(SUBSTITUTE(BE$3,"Q","T"),Inputs!$B$2:$AZ$2,0)),Inputs!$B$2:$B$190,$B12)*Inputs!$D$1)</f>
        <v>0</v>
      </c>
      <c r="BF12" s="57">
        <f>IF(ISNA(SUMIFS(INDEX(Inputs!$B$2:$AZ$190,,MATCH(SUBSTITUTE(BF$3,"Q","T"),Inputs!$B$2:$AZ$2,0)),Inputs!$B$2:$B$190,$B12)*Inputs!$D$1),"",SUMIFS(INDEX(Inputs!$B$2:$AZ$190,,MATCH(SUBSTITUTE(BF$3,"Q","T"),Inputs!$B$2:$AZ$2,0)),Inputs!$B$2:$B$190,$B12)*Inputs!$D$1)</f>
        <v>0</v>
      </c>
      <c r="BG12" s="58">
        <f>BF12</f>
        <v>0</v>
      </c>
    </row>
    <row r="13" hidden="1" outlineLevel="1">
      <c r="B13" s="56" t="inlineStr">
        <is>
          <t>afs</t>
        </is>
      </c>
      <c r="C13" s="61" t="inlineStr">
        <is>
          <t>Títulos disponíveis para venda (AFS, valor justo)</t>
        </is>
      </c>
      <c r="D13" s="62" t="inlineStr">
        <is>
          <t>Available-for-sale securities, at fair value</t>
        </is>
      </c>
      <c r="E13" s="57">
        <f>IF(ISNA(SUMIFS(INDEX(Inputs!$B$2:$AZ$190,,MATCH(SUBSTITUTE(E$3,"Q","T"),Inputs!$B$2:$AZ$2,0)),Inputs!$B$2:$B$190,$B13)*Inputs!$D$1),"",SUMIFS(INDEX(Inputs!$B$2:$AZ$190,,MATCH(SUBSTITUTE(E$3,"Q","T"),Inputs!$B$2:$AZ$2,0)),Inputs!$B$2:$B$190,$B13)*Inputs!$D$1)</f>
        <v>0</v>
      </c>
      <c r="F13" s="57">
        <f>IF(ISNA(SUMIFS(INDEX(Inputs!$B$2:$AZ$190,,MATCH(SUBSTITUTE(F$3,"Q","T"),Inputs!$B$2:$AZ$2,0)),Inputs!$B$2:$B$190,$B13)*Inputs!$D$1),"",SUMIFS(INDEX(Inputs!$B$2:$AZ$190,,MATCH(SUBSTITUTE(F$3,"Q","T"),Inputs!$B$2:$AZ$2,0)),Inputs!$B$2:$B$190,$B13)*Inputs!$D$1)</f>
        <v>0</v>
      </c>
      <c r="G13" s="57">
        <f>IF(ISNA(SUMIFS(INDEX(Inputs!$B$2:$AZ$190,,MATCH(SUBSTITUTE(G$3,"Q","T"),Inputs!$B$2:$AZ$2,0)),Inputs!$B$2:$B$190,$B13)*Inputs!$D$1),"",SUMIFS(INDEX(Inputs!$B$2:$AZ$190,,MATCH(SUBSTITUTE(G$3,"Q","T"),Inputs!$B$2:$AZ$2,0)),Inputs!$B$2:$B$190,$B13)*Inputs!$D$1)</f>
        <v>0</v>
      </c>
      <c r="H13" s="57">
        <f>IF(ISNA(SUMIFS(INDEX(Inputs!$B$2:$AZ$190,,MATCH(SUBSTITUTE(H$3,"Q","T"),Inputs!$B$2:$AZ$2,0)),Inputs!$B$2:$B$190,$B13)*Inputs!$D$1),"",SUMIFS(INDEX(Inputs!$B$2:$AZ$190,,MATCH(SUBSTITUTE(H$3,"Q","T"),Inputs!$B$2:$AZ$2,0)),Inputs!$B$2:$B$190,$B13)*Inputs!$D$1)</f>
        <v>0</v>
      </c>
      <c r="I13" s="58">
        <f>H13</f>
        <v>0</v>
      </c>
      <c r="J13" s="57">
        <f>IF(ISNA(SUMIFS(INDEX(Inputs!$B$2:$AZ$190,,MATCH(SUBSTITUTE(J$3,"Q","T"),Inputs!$B$2:$AZ$2,0)),Inputs!$B$2:$B$190,$B13)*Inputs!$D$1),"",SUMIFS(INDEX(Inputs!$B$2:$AZ$190,,MATCH(SUBSTITUTE(J$3,"Q","T"),Inputs!$B$2:$AZ$2,0)),Inputs!$B$2:$B$190,$B13)*Inputs!$D$1)</f>
        <v>0</v>
      </c>
      <c r="K13" s="57">
        <f>IF(ISNA(SUMIFS(INDEX(Inputs!$B$2:$AZ$190,,MATCH(SUBSTITUTE(K$3,"Q","T"),Inputs!$B$2:$AZ$2,0)),Inputs!$B$2:$B$190,$B13)*Inputs!$D$1),"",SUMIFS(INDEX(Inputs!$B$2:$AZ$190,,MATCH(SUBSTITUTE(K$3,"Q","T"),Inputs!$B$2:$AZ$2,0)),Inputs!$B$2:$B$190,$B13)*Inputs!$D$1)</f>
        <v>0</v>
      </c>
      <c r="L13" s="57">
        <f>IF(ISNA(SUMIFS(INDEX(Inputs!$B$2:$AZ$190,,MATCH(SUBSTITUTE(L$3,"Q","T"),Inputs!$B$2:$AZ$2,0)),Inputs!$B$2:$B$190,$B13)*Inputs!$D$1),"",SUMIFS(INDEX(Inputs!$B$2:$AZ$190,,MATCH(SUBSTITUTE(L$3,"Q","T"),Inputs!$B$2:$AZ$2,0)),Inputs!$B$2:$B$190,$B13)*Inputs!$D$1)</f>
        <v>0</v>
      </c>
      <c r="M13" s="57">
        <f>IF(ISNA(SUMIFS(INDEX(Inputs!$B$2:$AZ$190,,MATCH(SUBSTITUTE(M$3,"Q","T"),Inputs!$B$2:$AZ$2,0)),Inputs!$B$2:$B$190,$B13)*Inputs!$D$1),"",SUMIFS(INDEX(Inputs!$B$2:$AZ$190,,MATCH(SUBSTITUTE(M$3,"Q","T"),Inputs!$B$2:$AZ$2,0)),Inputs!$B$2:$B$190,$B13)*Inputs!$D$1)</f>
        <v>0</v>
      </c>
      <c r="N13" s="58">
        <f>M13</f>
        <v>0</v>
      </c>
      <c r="O13" s="57">
        <f>IF(ISNA(SUMIFS(INDEX(Inputs!$B$2:$AZ$190,,MATCH(SUBSTITUTE(O$3,"Q","T"),Inputs!$B$2:$AZ$2,0)),Inputs!$B$2:$B$190,$B13)*Inputs!$D$1),"",SUMIFS(INDEX(Inputs!$B$2:$AZ$190,,MATCH(SUBSTITUTE(O$3,"Q","T"),Inputs!$B$2:$AZ$2,0)),Inputs!$B$2:$B$190,$B13)*Inputs!$D$1)</f>
        <v>0</v>
      </c>
      <c r="P13" s="57">
        <f>IF(ISNA(SUMIFS(INDEX(Inputs!$B$2:$AZ$190,,MATCH(SUBSTITUTE(P$3,"Q","T"),Inputs!$B$2:$AZ$2,0)),Inputs!$B$2:$B$190,$B13)*Inputs!$D$1),"",SUMIFS(INDEX(Inputs!$B$2:$AZ$190,,MATCH(SUBSTITUTE(P$3,"Q","T"),Inputs!$B$2:$AZ$2,0)),Inputs!$B$2:$B$190,$B13)*Inputs!$D$1)</f>
        <v>0</v>
      </c>
      <c r="Q13" s="57">
        <f>IF(ISNA(SUMIFS(INDEX(Inputs!$B$2:$AZ$190,,MATCH(SUBSTITUTE(Q$3,"Q","T"),Inputs!$B$2:$AZ$2,0)),Inputs!$B$2:$B$190,$B13)*Inputs!$D$1),"",SUMIFS(INDEX(Inputs!$B$2:$AZ$190,,MATCH(SUBSTITUTE(Q$3,"Q","T"),Inputs!$B$2:$AZ$2,0)),Inputs!$B$2:$B$190,$B13)*Inputs!$D$1)</f>
        <v>0</v>
      </c>
      <c r="R13" s="57">
        <f>IF(ISNA(SUMIFS(INDEX(Inputs!$B$2:$AZ$190,,MATCH(SUBSTITUTE(R$3,"Q","T"),Inputs!$B$2:$AZ$2,0)),Inputs!$B$2:$B$190,$B13)*Inputs!$D$1),"",SUMIFS(INDEX(Inputs!$B$2:$AZ$190,,MATCH(SUBSTITUTE(R$3,"Q","T"),Inputs!$B$2:$AZ$2,0)),Inputs!$B$2:$B$190,$B13)*Inputs!$D$1)</f>
        <v>0</v>
      </c>
      <c r="S13" s="58">
        <f>R13</f>
        <v>0</v>
      </c>
      <c r="T13" s="57">
        <f>IF(ISNA(SUMIFS(INDEX(Inputs!$B$2:$AZ$190,,MATCH(SUBSTITUTE(T$3,"Q","T"),Inputs!$B$2:$AZ$2,0)),Inputs!$B$2:$B$190,$B13)*Inputs!$D$1),"",SUMIFS(INDEX(Inputs!$B$2:$AZ$190,,MATCH(SUBSTITUTE(T$3,"Q","T"),Inputs!$B$2:$AZ$2,0)),Inputs!$B$2:$B$190,$B13)*Inputs!$D$1)</f>
        <v>0</v>
      </c>
      <c r="U13" s="57">
        <f>IF(ISNA(SUMIFS(INDEX(Inputs!$B$2:$AZ$190,,MATCH(SUBSTITUTE(U$3,"Q","T"),Inputs!$B$2:$AZ$2,0)),Inputs!$B$2:$B$190,$B13)*Inputs!$D$1),"",SUMIFS(INDEX(Inputs!$B$2:$AZ$190,,MATCH(SUBSTITUTE(U$3,"Q","T"),Inputs!$B$2:$AZ$2,0)),Inputs!$B$2:$B$190,$B13)*Inputs!$D$1)</f>
        <v>0</v>
      </c>
      <c r="V13" s="57">
        <f>IF(ISNA(SUMIFS(INDEX(Inputs!$B$2:$AZ$190,,MATCH(SUBSTITUTE(V$3,"Q","T"),Inputs!$B$2:$AZ$2,0)),Inputs!$B$2:$B$190,$B13)*Inputs!$D$1),"",SUMIFS(INDEX(Inputs!$B$2:$AZ$190,,MATCH(SUBSTITUTE(V$3,"Q","T"),Inputs!$B$2:$AZ$2,0)),Inputs!$B$2:$B$190,$B13)*Inputs!$D$1)</f>
        <v>0</v>
      </c>
      <c r="W13" s="57">
        <f>IF(ISNA(SUMIFS(INDEX(Inputs!$B$2:$AZ$190,,MATCH(SUBSTITUTE(W$3,"Q","T"),Inputs!$B$2:$AZ$2,0)),Inputs!$B$2:$B$190,$B13)*Inputs!$D$1),"",SUMIFS(INDEX(Inputs!$B$2:$AZ$190,,MATCH(SUBSTITUTE(W$3,"Q","T"),Inputs!$B$2:$AZ$2,0)),Inputs!$B$2:$B$190,$B13)*Inputs!$D$1)</f>
        <v>0</v>
      </c>
      <c r="X13" s="58">
        <f>W13</f>
        <v>0</v>
      </c>
      <c r="Y13" s="57">
        <f>IF(ISNA(SUMIFS(INDEX(Inputs!$B$2:$AZ$190,,MATCH(SUBSTITUTE(Y$3,"Q","T"),Inputs!$B$2:$AZ$2,0)),Inputs!$B$2:$B$190,$B13)*Inputs!$D$1),"",SUMIFS(INDEX(Inputs!$B$2:$AZ$190,,MATCH(SUBSTITUTE(Y$3,"Q","T"),Inputs!$B$2:$AZ$2,0)),Inputs!$B$2:$B$190,$B13)*Inputs!$D$1)</f>
        <v>0</v>
      </c>
      <c r="Z13" s="57">
        <f>IF(ISNA(SUMIFS(INDEX(Inputs!$B$2:$AZ$190,,MATCH(SUBSTITUTE(Z$3,"Q","T"),Inputs!$B$2:$AZ$2,0)),Inputs!$B$2:$B$190,$B13)*Inputs!$D$1),"",SUMIFS(INDEX(Inputs!$B$2:$AZ$190,,MATCH(SUBSTITUTE(Z$3,"Q","T"),Inputs!$B$2:$AZ$2,0)),Inputs!$B$2:$B$190,$B13)*Inputs!$D$1)</f>
        <v>0</v>
      </c>
      <c r="AA13" s="57">
        <f>IF(ISNA(SUMIFS(INDEX(Inputs!$B$2:$AZ$190,,MATCH(SUBSTITUTE(AA$3,"Q","T"),Inputs!$B$2:$AZ$2,0)),Inputs!$B$2:$B$190,$B13)*Inputs!$D$1),"",SUMIFS(INDEX(Inputs!$B$2:$AZ$190,,MATCH(SUBSTITUTE(AA$3,"Q","T"),Inputs!$B$2:$AZ$2,0)),Inputs!$B$2:$B$190,$B13)*Inputs!$D$1)</f>
        <v>0</v>
      </c>
      <c r="AB13" s="57">
        <f>IF(ISNA(SUMIFS(INDEX(Inputs!$B$2:$AZ$190,,MATCH(SUBSTITUTE(AB$3,"Q","T"),Inputs!$B$2:$AZ$2,0)),Inputs!$B$2:$B$190,$B13)*Inputs!$D$1),"",SUMIFS(INDEX(Inputs!$B$2:$AZ$190,,MATCH(SUBSTITUTE(AB$3,"Q","T"),Inputs!$B$2:$AZ$2,0)),Inputs!$B$2:$B$190,$B13)*Inputs!$D$1)</f>
        <v>0</v>
      </c>
      <c r="AC13" s="58">
        <f>AB13</f>
        <v>0</v>
      </c>
      <c r="AD13" s="57">
        <f>IF(ISNA(SUMIFS(INDEX(Inputs!$B$2:$AZ$190,,MATCH(SUBSTITUTE(AD$3,"Q","T"),Inputs!$B$2:$AZ$2,0)),Inputs!$B$2:$B$190,$B13)*Inputs!$D$1),"",SUMIFS(INDEX(Inputs!$B$2:$AZ$190,,MATCH(SUBSTITUTE(AD$3,"Q","T"),Inputs!$B$2:$AZ$2,0)),Inputs!$B$2:$B$190,$B13)*Inputs!$D$1)</f>
        <v>0</v>
      </c>
      <c r="AE13" s="57">
        <f>IF(ISNA(SUMIFS(INDEX(Inputs!$B$2:$AZ$190,,MATCH(SUBSTITUTE(AE$3,"Q","T"),Inputs!$B$2:$AZ$2,0)),Inputs!$B$2:$B$190,$B13)*Inputs!$D$1),"",SUMIFS(INDEX(Inputs!$B$2:$AZ$190,,MATCH(SUBSTITUTE(AE$3,"Q","T"),Inputs!$B$2:$AZ$2,0)),Inputs!$B$2:$B$190,$B13)*Inputs!$D$1)</f>
        <v>0</v>
      </c>
      <c r="AF13" s="57">
        <f>IF(ISNA(SUMIFS(INDEX(Inputs!$B$2:$AZ$190,,MATCH(SUBSTITUTE(AF$3,"Q","T"),Inputs!$B$2:$AZ$2,0)),Inputs!$B$2:$B$190,$B13)*Inputs!$D$1),"",SUMIFS(INDEX(Inputs!$B$2:$AZ$190,,MATCH(SUBSTITUTE(AF$3,"Q","T"),Inputs!$B$2:$AZ$2,0)),Inputs!$B$2:$B$190,$B13)*Inputs!$D$1)</f>
        <v>0</v>
      </c>
      <c r="AG13" s="57">
        <f>IF(ISNA(SUMIFS(INDEX(Inputs!$B$2:$AZ$190,,MATCH(SUBSTITUTE(AG$3,"Q","T"),Inputs!$B$2:$AZ$2,0)),Inputs!$B$2:$B$190,$B13)*Inputs!$D$1),"",SUMIFS(INDEX(Inputs!$B$2:$AZ$190,,MATCH(SUBSTITUTE(AG$3,"Q","T"),Inputs!$B$2:$AZ$2,0)),Inputs!$B$2:$B$190,$B13)*Inputs!$D$1)</f>
        <v>0</v>
      </c>
      <c r="AH13" s="58">
        <f>AG13</f>
        <v>0</v>
      </c>
      <c r="AI13" s="57">
        <f>IF(ISNA(SUMIFS(INDEX(Inputs!$B$2:$AZ$190,,MATCH(SUBSTITUTE(AI$3,"Q","T"),Inputs!$B$2:$AZ$2,0)),Inputs!$B$2:$B$190,$B13)*Inputs!$D$1),"",SUMIFS(INDEX(Inputs!$B$2:$AZ$190,,MATCH(SUBSTITUTE(AI$3,"Q","T"),Inputs!$B$2:$AZ$2,0)),Inputs!$B$2:$B$190,$B13)*Inputs!$D$1)</f>
        <v>0</v>
      </c>
      <c r="AJ13" s="57">
        <f>IF(ISNA(SUMIFS(INDEX(Inputs!$B$2:$AZ$190,,MATCH(SUBSTITUTE(AJ$3,"Q","T"),Inputs!$B$2:$AZ$2,0)),Inputs!$B$2:$B$190,$B13)*Inputs!$D$1),"",SUMIFS(INDEX(Inputs!$B$2:$AZ$190,,MATCH(SUBSTITUTE(AJ$3,"Q","T"),Inputs!$B$2:$AZ$2,0)),Inputs!$B$2:$B$190,$B13)*Inputs!$D$1)</f>
        <v>0</v>
      </c>
      <c r="AK13" s="57">
        <f>IF(ISNA(SUMIFS(INDEX(Inputs!$B$2:$AZ$190,,MATCH(SUBSTITUTE(AK$3,"Q","T"),Inputs!$B$2:$AZ$2,0)),Inputs!$B$2:$B$190,$B13)*Inputs!$D$1),"",SUMIFS(INDEX(Inputs!$B$2:$AZ$190,,MATCH(SUBSTITUTE(AK$3,"Q","T"),Inputs!$B$2:$AZ$2,0)),Inputs!$B$2:$B$190,$B13)*Inputs!$D$1)</f>
        <v>0</v>
      </c>
      <c r="AL13" s="57">
        <f>IF(ISNA(SUMIFS(INDEX(Inputs!$B$2:$AZ$190,,MATCH(SUBSTITUTE(AL$3,"Q","T"),Inputs!$B$2:$AZ$2,0)),Inputs!$B$2:$B$190,$B13)*Inputs!$D$1),"",SUMIFS(INDEX(Inputs!$B$2:$AZ$190,,MATCH(SUBSTITUTE(AL$3,"Q","T"),Inputs!$B$2:$AZ$2,0)),Inputs!$B$2:$B$190,$B13)*Inputs!$D$1)</f>
        <v>0</v>
      </c>
      <c r="AM13" s="58">
        <f>AL13</f>
        <v>0</v>
      </c>
      <c r="AN13" s="57">
        <f>IF(ISNA(SUMIFS(INDEX(Inputs!$B$2:$AZ$190,,MATCH(SUBSTITUTE(AN$3,"Q","T"),Inputs!$B$2:$AZ$2,0)),Inputs!$B$2:$B$190,$B13)*Inputs!$D$1),"",SUMIFS(INDEX(Inputs!$B$2:$AZ$190,,MATCH(SUBSTITUTE(AN$3,"Q","T"),Inputs!$B$2:$AZ$2,0)),Inputs!$B$2:$B$190,$B13)*Inputs!$D$1)</f>
        <v>0</v>
      </c>
      <c r="AO13" s="57">
        <f>IF(ISNA(SUMIFS(INDEX(Inputs!$B$2:$AZ$190,,MATCH(SUBSTITUTE(AO$3,"Q","T"),Inputs!$B$2:$AZ$2,0)),Inputs!$B$2:$B$190,$B13)*Inputs!$D$1),"",SUMIFS(INDEX(Inputs!$B$2:$AZ$190,,MATCH(SUBSTITUTE(AO$3,"Q","T"),Inputs!$B$2:$AZ$2,0)),Inputs!$B$2:$B$190,$B13)*Inputs!$D$1)</f>
        <v>0</v>
      </c>
      <c r="AP13" s="57">
        <f>IF(ISNA(SUMIFS(INDEX(Inputs!$B$2:$AZ$190,,MATCH(SUBSTITUTE(AP$3,"Q","T"),Inputs!$B$2:$AZ$2,0)),Inputs!$B$2:$B$190,$B13)*Inputs!$D$1),"",SUMIFS(INDEX(Inputs!$B$2:$AZ$190,,MATCH(SUBSTITUTE(AP$3,"Q","T"),Inputs!$B$2:$AZ$2,0)),Inputs!$B$2:$B$190,$B13)*Inputs!$D$1)</f>
        <v>0</v>
      </c>
      <c r="AQ13" s="57">
        <f>IF(ISNA(SUMIFS(INDEX(Inputs!$B$2:$AZ$190,,MATCH(SUBSTITUTE(AQ$3,"Q","T"),Inputs!$B$2:$AZ$2,0)),Inputs!$B$2:$B$190,$B13)*Inputs!$D$1),"",SUMIFS(INDEX(Inputs!$B$2:$AZ$190,,MATCH(SUBSTITUTE(AQ$3,"Q","T"),Inputs!$B$2:$AZ$2,0)),Inputs!$B$2:$B$190,$B13)*Inputs!$D$1)</f>
        <v>0</v>
      </c>
      <c r="AR13" s="58">
        <f>AQ13</f>
        <v>0</v>
      </c>
      <c r="AS13" s="57">
        <f>IF(ISNA(SUMIFS(INDEX(Inputs!$B$2:$AZ$190,,MATCH(SUBSTITUTE(AS$3,"Q","T"),Inputs!$B$2:$AZ$2,0)),Inputs!$B$2:$B$190,$B13)*Inputs!$D$1),"",SUMIFS(INDEX(Inputs!$B$2:$AZ$190,,MATCH(SUBSTITUTE(AS$3,"Q","T"),Inputs!$B$2:$AZ$2,0)),Inputs!$B$2:$B$190,$B13)*Inputs!$D$1)</f>
        <v>0</v>
      </c>
      <c r="AT13" s="57">
        <f>IF(ISNA(SUMIFS(INDEX(Inputs!$B$2:$AZ$190,,MATCH(SUBSTITUTE(AT$3,"Q","T"),Inputs!$B$2:$AZ$2,0)),Inputs!$B$2:$B$190,$B13)*Inputs!$D$1),"",SUMIFS(INDEX(Inputs!$B$2:$AZ$190,,MATCH(SUBSTITUTE(AT$3,"Q","T"),Inputs!$B$2:$AZ$2,0)),Inputs!$B$2:$B$190,$B13)*Inputs!$D$1)</f>
        <v>0</v>
      </c>
      <c r="AU13" s="57">
        <f>IF(ISNA(SUMIFS(INDEX(Inputs!$B$2:$AZ$190,,MATCH(SUBSTITUTE(AU$3,"Q","T"),Inputs!$B$2:$AZ$2,0)),Inputs!$B$2:$B$190,$B13)*Inputs!$D$1),"",SUMIFS(INDEX(Inputs!$B$2:$AZ$190,,MATCH(SUBSTITUTE(AU$3,"Q","T"),Inputs!$B$2:$AZ$2,0)),Inputs!$B$2:$B$190,$B13)*Inputs!$D$1)</f>
        <v>0</v>
      </c>
      <c r="AV13" s="57">
        <f>IF(ISNA(SUMIFS(INDEX(Inputs!$B$2:$AZ$190,,MATCH(SUBSTITUTE(AV$3,"Q","T"),Inputs!$B$2:$AZ$2,0)),Inputs!$B$2:$B$190,$B13)*Inputs!$D$1),"",SUMIFS(INDEX(Inputs!$B$2:$AZ$190,,MATCH(SUBSTITUTE(AV$3,"Q","T"),Inputs!$B$2:$AZ$2,0)),Inputs!$B$2:$B$190,$B13)*Inputs!$D$1)</f>
        <v>0</v>
      </c>
      <c r="AW13" s="58">
        <f>AV13</f>
        <v>0</v>
      </c>
      <c r="AX13" s="57">
        <f>IF(ISNA(SUMIFS(INDEX(Inputs!$B$2:$AZ$190,,MATCH(SUBSTITUTE(AX$3,"Q","T"),Inputs!$B$2:$AZ$2,0)),Inputs!$B$2:$B$190,$B13)*Inputs!$D$1),"",SUMIFS(INDEX(Inputs!$B$2:$AZ$190,,MATCH(SUBSTITUTE(AX$3,"Q","T"),Inputs!$B$2:$AZ$2,0)),Inputs!$B$2:$B$190,$B13)*Inputs!$D$1)</f>
        <v>0</v>
      </c>
      <c r="AY13" s="57">
        <f>IF(ISNA(SUMIFS(INDEX(Inputs!$B$2:$AZ$190,,MATCH(SUBSTITUTE(AY$3,"Q","T"),Inputs!$B$2:$AZ$2,0)),Inputs!$B$2:$B$190,$B13)*Inputs!$D$1),"",SUMIFS(INDEX(Inputs!$B$2:$AZ$190,,MATCH(SUBSTITUTE(AY$3,"Q","T"),Inputs!$B$2:$AZ$2,0)),Inputs!$B$2:$B$190,$B13)*Inputs!$D$1)</f>
        <v>0</v>
      </c>
      <c r="AZ13" s="57">
        <f>IF(ISNA(SUMIFS(INDEX(Inputs!$B$2:$AZ$190,,MATCH(SUBSTITUTE(AZ$3,"Q","T"),Inputs!$B$2:$AZ$2,0)),Inputs!$B$2:$B$190,$B13)*Inputs!$D$1),"",SUMIFS(INDEX(Inputs!$B$2:$AZ$190,,MATCH(SUBSTITUTE(AZ$3,"Q","T"),Inputs!$B$2:$AZ$2,0)),Inputs!$B$2:$B$190,$B13)*Inputs!$D$1)</f>
        <v>0</v>
      </c>
      <c r="BA13" s="57">
        <f>IF(ISNA(SUMIFS(INDEX(Inputs!$B$2:$AZ$190,,MATCH(SUBSTITUTE(BA$3,"Q","T"),Inputs!$B$2:$AZ$2,0)),Inputs!$B$2:$B$190,$B13)*Inputs!$D$1),"",SUMIFS(INDEX(Inputs!$B$2:$AZ$190,,MATCH(SUBSTITUTE(BA$3,"Q","T"),Inputs!$B$2:$AZ$2,0)),Inputs!$B$2:$B$190,$B13)*Inputs!$D$1)</f>
        <v>0</v>
      </c>
      <c r="BB13" s="58">
        <f>BA13</f>
        <v>0</v>
      </c>
      <c r="BC13" s="57">
        <f>IF(ISNA(SUMIFS(INDEX(Inputs!$B$2:$AZ$190,,MATCH(SUBSTITUTE(BC$3,"Q","T"),Inputs!$B$2:$AZ$2,0)),Inputs!$B$2:$B$190,$B13)*Inputs!$D$1),"",SUMIFS(INDEX(Inputs!$B$2:$AZ$190,,MATCH(SUBSTITUTE(BC$3,"Q","T"),Inputs!$B$2:$AZ$2,0)),Inputs!$B$2:$B$190,$B13)*Inputs!$D$1)</f>
        <v>0</v>
      </c>
      <c r="BD13" s="57">
        <f>IF(ISNA(SUMIFS(INDEX(Inputs!$B$2:$AZ$190,,MATCH(SUBSTITUTE(BD$3,"Q","T"),Inputs!$B$2:$AZ$2,0)),Inputs!$B$2:$B$190,$B13)*Inputs!$D$1),"",SUMIFS(INDEX(Inputs!$B$2:$AZ$190,,MATCH(SUBSTITUTE(BD$3,"Q","T"),Inputs!$B$2:$AZ$2,0)),Inputs!$B$2:$B$190,$B13)*Inputs!$D$1)</f>
        <v>0</v>
      </c>
      <c r="BE13" s="57">
        <f>IF(ISNA(SUMIFS(INDEX(Inputs!$B$2:$AZ$190,,MATCH(SUBSTITUTE(BE$3,"Q","T"),Inputs!$B$2:$AZ$2,0)),Inputs!$B$2:$B$190,$B13)*Inputs!$D$1),"",SUMIFS(INDEX(Inputs!$B$2:$AZ$190,,MATCH(SUBSTITUTE(BE$3,"Q","T"),Inputs!$B$2:$AZ$2,0)),Inputs!$B$2:$B$190,$B13)*Inputs!$D$1)</f>
        <v>0</v>
      </c>
      <c r="BF13" s="57">
        <f>IF(ISNA(SUMIFS(INDEX(Inputs!$B$2:$AZ$190,,MATCH(SUBSTITUTE(BF$3,"Q","T"),Inputs!$B$2:$AZ$2,0)),Inputs!$B$2:$B$190,$B13)*Inputs!$D$1),"",SUMIFS(INDEX(Inputs!$B$2:$AZ$190,,MATCH(SUBSTITUTE(BF$3,"Q","T"),Inputs!$B$2:$AZ$2,0)),Inputs!$B$2:$B$190,$B13)*Inputs!$D$1)</f>
        <v>0</v>
      </c>
      <c r="BG13" s="58">
        <f>BF13</f>
        <v>0</v>
      </c>
    </row>
    <row r="14" hidden="1" outlineLevel="1">
      <c r="B14" s="56" t="inlineStr">
        <is>
          <t>htm</t>
        </is>
      </c>
      <c r="C14" s="61" t="inlineStr">
        <is>
          <t>Títulos mantidos até o vencimento (HTM, custo amortizado)</t>
        </is>
      </c>
      <c r="D14" s="62" t="inlineStr">
        <is>
          <t>Held-to-maturity securities</t>
        </is>
      </c>
      <c r="E14" s="57">
        <f>IF(ISNA(SUMIFS(INDEX(Inputs!$B$2:$AZ$190,,MATCH(SUBSTITUTE(E$3,"Q","T"),Inputs!$B$2:$AZ$2,0)),Inputs!$B$2:$B$190,$B14)*Inputs!$D$1),"",SUMIFS(INDEX(Inputs!$B$2:$AZ$190,,MATCH(SUBSTITUTE(E$3,"Q","T"),Inputs!$B$2:$AZ$2,0)),Inputs!$B$2:$B$190,$B14)*Inputs!$D$1)</f>
        <v>0</v>
      </c>
      <c r="F14" s="57">
        <f>IF(ISNA(SUMIFS(INDEX(Inputs!$B$2:$AZ$190,,MATCH(SUBSTITUTE(F$3,"Q","T"),Inputs!$B$2:$AZ$2,0)),Inputs!$B$2:$B$190,$B14)*Inputs!$D$1),"",SUMIFS(INDEX(Inputs!$B$2:$AZ$190,,MATCH(SUBSTITUTE(F$3,"Q","T"),Inputs!$B$2:$AZ$2,0)),Inputs!$B$2:$B$190,$B14)*Inputs!$D$1)</f>
        <v>0</v>
      </c>
      <c r="G14" s="57">
        <f>IF(ISNA(SUMIFS(INDEX(Inputs!$B$2:$AZ$190,,MATCH(SUBSTITUTE(G$3,"Q","T"),Inputs!$B$2:$AZ$2,0)),Inputs!$B$2:$B$190,$B14)*Inputs!$D$1),"",SUMIFS(INDEX(Inputs!$B$2:$AZ$190,,MATCH(SUBSTITUTE(G$3,"Q","T"),Inputs!$B$2:$AZ$2,0)),Inputs!$B$2:$B$190,$B14)*Inputs!$D$1)</f>
        <v>0</v>
      </c>
      <c r="H14" s="57">
        <f>IF(ISNA(SUMIFS(INDEX(Inputs!$B$2:$AZ$190,,MATCH(SUBSTITUTE(H$3,"Q","T"),Inputs!$B$2:$AZ$2,0)),Inputs!$B$2:$B$190,$B14)*Inputs!$D$1),"",SUMIFS(INDEX(Inputs!$B$2:$AZ$190,,MATCH(SUBSTITUTE(H$3,"Q","T"),Inputs!$B$2:$AZ$2,0)),Inputs!$B$2:$B$190,$B14)*Inputs!$D$1)</f>
        <v>0</v>
      </c>
      <c r="I14" s="58">
        <f>H14</f>
        <v>0</v>
      </c>
      <c r="J14" s="57">
        <f>IF(ISNA(SUMIFS(INDEX(Inputs!$B$2:$AZ$190,,MATCH(SUBSTITUTE(J$3,"Q","T"),Inputs!$B$2:$AZ$2,0)),Inputs!$B$2:$B$190,$B14)*Inputs!$D$1),"",SUMIFS(INDEX(Inputs!$B$2:$AZ$190,,MATCH(SUBSTITUTE(J$3,"Q","T"),Inputs!$B$2:$AZ$2,0)),Inputs!$B$2:$B$190,$B14)*Inputs!$D$1)</f>
        <v>0</v>
      </c>
      <c r="K14" s="57">
        <f>IF(ISNA(SUMIFS(INDEX(Inputs!$B$2:$AZ$190,,MATCH(SUBSTITUTE(K$3,"Q","T"),Inputs!$B$2:$AZ$2,0)),Inputs!$B$2:$B$190,$B14)*Inputs!$D$1),"",SUMIFS(INDEX(Inputs!$B$2:$AZ$190,,MATCH(SUBSTITUTE(K$3,"Q","T"),Inputs!$B$2:$AZ$2,0)),Inputs!$B$2:$B$190,$B14)*Inputs!$D$1)</f>
        <v>0</v>
      </c>
      <c r="L14" s="57">
        <f>IF(ISNA(SUMIFS(INDEX(Inputs!$B$2:$AZ$190,,MATCH(SUBSTITUTE(L$3,"Q","T"),Inputs!$B$2:$AZ$2,0)),Inputs!$B$2:$B$190,$B14)*Inputs!$D$1),"",SUMIFS(INDEX(Inputs!$B$2:$AZ$190,,MATCH(SUBSTITUTE(L$3,"Q","T"),Inputs!$B$2:$AZ$2,0)),Inputs!$B$2:$B$190,$B14)*Inputs!$D$1)</f>
        <v>0</v>
      </c>
      <c r="M14" s="57">
        <f>IF(ISNA(SUMIFS(INDEX(Inputs!$B$2:$AZ$190,,MATCH(SUBSTITUTE(M$3,"Q","T"),Inputs!$B$2:$AZ$2,0)),Inputs!$B$2:$B$190,$B14)*Inputs!$D$1),"",SUMIFS(INDEX(Inputs!$B$2:$AZ$190,,MATCH(SUBSTITUTE(M$3,"Q","T"),Inputs!$B$2:$AZ$2,0)),Inputs!$B$2:$B$190,$B14)*Inputs!$D$1)</f>
        <v>0</v>
      </c>
      <c r="N14" s="58">
        <f>M14</f>
        <v>0</v>
      </c>
      <c r="O14" s="57">
        <f>IF(ISNA(SUMIFS(INDEX(Inputs!$B$2:$AZ$190,,MATCH(SUBSTITUTE(O$3,"Q","T"),Inputs!$B$2:$AZ$2,0)),Inputs!$B$2:$B$190,$B14)*Inputs!$D$1),"",SUMIFS(INDEX(Inputs!$B$2:$AZ$190,,MATCH(SUBSTITUTE(O$3,"Q","T"),Inputs!$B$2:$AZ$2,0)),Inputs!$B$2:$B$190,$B14)*Inputs!$D$1)</f>
        <v>0</v>
      </c>
      <c r="P14" s="57">
        <f>IF(ISNA(SUMIFS(INDEX(Inputs!$B$2:$AZ$190,,MATCH(SUBSTITUTE(P$3,"Q","T"),Inputs!$B$2:$AZ$2,0)),Inputs!$B$2:$B$190,$B14)*Inputs!$D$1),"",SUMIFS(INDEX(Inputs!$B$2:$AZ$190,,MATCH(SUBSTITUTE(P$3,"Q","T"),Inputs!$B$2:$AZ$2,0)),Inputs!$B$2:$B$190,$B14)*Inputs!$D$1)</f>
        <v>0</v>
      </c>
      <c r="Q14" s="57">
        <f>IF(ISNA(SUMIFS(INDEX(Inputs!$B$2:$AZ$190,,MATCH(SUBSTITUTE(Q$3,"Q","T"),Inputs!$B$2:$AZ$2,0)),Inputs!$B$2:$B$190,$B14)*Inputs!$D$1),"",SUMIFS(INDEX(Inputs!$B$2:$AZ$190,,MATCH(SUBSTITUTE(Q$3,"Q","T"),Inputs!$B$2:$AZ$2,0)),Inputs!$B$2:$B$190,$B14)*Inputs!$D$1)</f>
        <v>0</v>
      </c>
      <c r="R14" s="57">
        <f>IF(ISNA(SUMIFS(INDEX(Inputs!$B$2:$AZ$190,,MATCH(SUBSTITUTE(R$3,"Q","T"),Inputs!$B$2:$AZ$2,0)),Inputs!$B$2:$B$190,$B14)*Inputs!$D$1),"",SUMIFS(INDEX(Inputs!$B$2:$AZ$190,,MATCH(SUBSTITUTE(R$3,"Q","T"),Inputs!$B$2:$AZ$2,0)),Inputs!$B$2:$B$190,$B14)*Inputs!$D$1)</f>
        <v>0</v>
      </c>
      <c r="S14" s="58">
        <f>R14</f>
        <v>0</v>
      </c>
      <c r="T14" s="57">
        <f>IF(ISNA(SUMIFS(INDEX(Inputs!$B$2:$AZ$190,,MATCH(SUBSTITUTE(T$3,"Q","T"),Inputs!$B$2:$AZ$2,0)),Inputs!$B$2:$B$190,$B14)*Inputs!$D$1),"",SUMIFS(INDEX(Inputs!$B$2:$AZ$190,,MATCH(SUBSTITUTE(T$3,"Q","T"),Inputs!$B$2:$AZ$2,0)),Inputs!$B$2:$B$190,$B14)*Inputs!$D$1)</f>
        <v>0</v>
      </c>
      <c r="U14" s="57">
        <f>IF(ISNA(SUMIFS(INDEX(Inputs!$B$2:$AZ$190,,MATCH(SUBSTITUTE(U$3,"Q","T"),Inputs!$B$2:$AZ$2,0)),Inputs!$B$2:$B$190,$B14)*Inputs!$D$1),"",SUMIFS(INDEX(Inputs!$B$2:$AZ$190,,MATCH(SUBSTITUTE(U$3,"Q","T"),Inputs!$B$2:$AZ$2,0)),Inputs!$B$2:$B$190,$B14)*Inputs!$D$1)</f>
        <v>0</v>
      </c>
      <c r="V14" s="57">
        <f>IF(ISNA(SUMIFS(INDEX(Inputs!$B$2:$AZ$190,,MATCH(SUBSTITUTE(V$3,"Q","T"),Inputs!$B$2:$AZ$2,0)),Inputs!$B$2:$B$190,$B14)*Inputs!$D$1),"",SUMIFS(INDEX(Inputs!$B$2:$AZ$190,,MATCH(SUBSTITUTE(V$3,"Q","T"),Inputs!$B$2:$AZ$2,0)),Inputs!$B$2:$B$190,$B14)*Inputs!$D$1)</f>
        <v>0</v>
      </c>
      <c r="W14" s="57">
        <f>IF(ISNA(SUMIFS(INDEX(Inputs!$B$2:$AZ$190,,MATCH(SUBSTITUTE(W$3,"Q","T"),Inputs!$B$2:$AZ$2,0)),Inputs!$B$2:$B$190,$B14)*Inputs!$D$1),"",SUMIFS(INDEX(Inputs!$B$2:$AZ$190,,MATCH(SUBSTITUTE(W$3,"Q","T"),Inputs!$B$2:$AZ$2,0)),Inputs!$B$2:$B$190,$B14)*Inputs!$D$1)</f>
        <v>0</v>
      </c>
      <c r="X14" s="58">
        <f>W14</f>
        <v>0</v>
      </c>
      <c r="Y14" s="57">
        <f>IF(ISNA(SUMIFS(INDEX(Inputs!$B$2:$AZ$190,,MATCH(SUBSTITUTE(Y$3,"Q","T"),Inputs!$B$2:$AZ$2,0)),Inputs!$B$2:$B$190,$B14)*Inputs!$D$1),"",SUMIFS(INDEX(Inputs!$B$2:$AZ$190,,MATCH(SUBSTITUTE(Y$3,"Q","T"),Inputs!$B$2:$AZ$2,0)),Inputs!$B$2:$B$190,$B14)*Inputs!$D$1)</f>
        <v>0</v>
      </c>
      <c r="Z14" s="57">
        <f>IF(ISNA(SUMIFS(INDEX(Inputs!$B$2:$AZ$190,,MATCH(SUBSTITUTE(Z$3,"Q","T"),Inputs!$B$2:$AZ$2,0)),Inputs!$B$2:$B$190,$B14)*Inputs!$D$1),"",SUMIFS(INDEX(Inputs!$B$2:$AZ$190,,MATCH(SUBSTITUTE(Z$3,"Q","T"),Inputs!$B$2:$AZ$2,0)),Inputs!$B$2:$B$190,$B14)*Inputs!$D$1)</f>
        <v>0</v>
      </c>
      <c r="AA14" s="57">
        <f>IF(ISNA(SUMIFS(INDEX(Inputs!$B$2:$AZ$190,,MATCH(SUBSTITUTE(AA$3,"Q","T"),Inputs!$B$2:$AZ$2,0)),Inputs!$B$2:$B$190,$B14)*Inputs!$D$1),"",SUMIFS(INDEX(Inputs!$B$2:$AZ$190,,MATCH(SUBSTITUTE(AA$3,"Q","T"),Inputs!$B$2:$AZ$2,0)),Inputs!$B$2:$B$190,$B14)*Inputs!$D$1)</f>
        <v>0</v>
      </c>
      <c r="AB14" s="57">
        <f>IF(ISNA(SUMIFS(INDEX(Inputs!$B$2:$AZ$190,,MATCH(SUBSTITUTE(AB$3,"Q","T"),Inputs!$B$2:$AZ$2,0)),Inputs!$B$2:$B$190,$B14)*Inputs!$D$1),"",SUMIFS(INDEX(Inputs!$B$2:$AZ$190,,MATCH(SUBSTITUTE(AB$3,"Q","T"),Inputs!$B$2:$AZ$2,0)),Inputs!$B$2:$B$190,$B14)*Inputs!$D$1)</f>
        <v>0</v>
      </c>
      <c r="AC14" s="58">
        <f>AB14</f>
        <v>0</v>
      </c>
      <c r="AD14" s="57">
        <f>IF(ISNA(SUMIFS(INDEX(Inputs!$B$2:$AZ$190,,MATCH(SUBSTITUTE(AD$3,"Q","T"),Inputs!$B$2:$AZ$2,0)),Inputs!$B$2:$B$190,$B14)*Inputs!$D$1),"",SUMIFS(INDEX(Inputs!$B$2:$AZ$190,,MATCH(SUBSTITUTE(AD$3,"Q","T"),Inputs!$B$2:$AZ$2,0)),Inputs!$B$2:$B$190,$B14)*Inputs!$D$1)</f>
        <v>0</v>
      </c>
      <c r="AE14" s="57">
        <f>IF(ISNA(SUMIFS(INDEX(Inputs!$B$2:$AZ$190,,MATCH(SUBSTITUTE(AE$3,"Q","T"),Inputs!$B$2:$AZ$2,0)),Inputs!$B$2:$B$190,$B14)*Inputs!$D$1),"",SUMIFS(INDEX(Inputs!$B$2:$AZ$190,,MATCH(SUBSTITUTE(AE$3,"Q","T"),Inputs!$B$2:$AZ$2,0)),Inputs!$B$2:$B$190,$B14)*Inputs!$D$1)</f>
        <v>0</v>
      </c>
      <c r="AF14" s="57">
        <f>IF(ISNA(SUMIFS(INDEX(Inputs!$B$2:$AZ$190,,MATCH(SUBSTITUTE(AF$3,"Q","T"),Inputs!$B$2:$AZ$2,0)),Inputs!$B$2:$B$190,$B14)*Inputs!$D$1),"",SUMIFS(INDEX(Inputs!$B$2:$AZ$190,,MATCH(SUBSTITUTE(AF$3,"Q","T"),Inputs!$B$2:$AZ$2,0)),Inputs!$B$2:$B$190,$B14)*Inputs!$D$1)</f>
        <v>0</v>
      </c>
      <c r="AG14" s="57">
        <f>IF(ISNA(SUMIFS(INDEX(Inputs!$B$2:$AZ$190,,MATCH(SUBSTITUTE(AG$3,"Q","T"),Inputs!$B$2:$AZ$2,0)),Inputs!$B$2:$B$190,$B14)*Inputs!$D$1),"",SUMIFS(INDEX(Inputs!$B$2:$AZ$190,,MATCH(SUBSTITUTE(AG$3,"Q","T"),Inputs!$B$2:$AZ$2,0)),Inputs!$B$2:$B$190,$B14)*Inputs!$D$1)</f>
        <v>0</v>
      </c>
      <c r="AH14" s="58">
        <f>AG14</f>
        <v>0</v>
      </c>
      <c r="AI14" s="57">
        <f>IF(ISNA(SUMIFS(INDEX(Inputs!$B$2:$AZ$190,,MATCH(SUBSTITUTE(AI$3,"Q","T"),Inputs!$B$2:$AZ$2,0)),Inputs!$B$2:$B$190,$B14)*Inputs!$D$1),"",SUMIFS(INDEX(Inputs!$B$2:$AZ$190,,MATCH(SUBSTITUTE(AI$3,"Q","T"),Inputs!$B$2:$AZ$2,0)),Inputs!$B$2:$B$190,$B14)*Inputs!$D$1)</f>
        <v>0</v>
      </c>
      <c r="AJ14" s="57">
        <f>IF(ISNA(SUMIFS(INDEX(Inputs!$B$2:$AZ$190,,MATCH(SUBSTITUTE(AJ$3,"Q","T"),Inputs!$B$2:$AZ$2,0)),Inputs!$B$2:$B$190,$B14)*Inputs!$D$1),"",SUMIFS(INDEX(Inputs!$B$2:$AZ$190,,MATCH(SUBSTITUTE(AJ$3,"Q","T"),Inputs!$B$2:$AZ$2,0)),Inputs!$B$2:$B$190,$B14)*Inputs!$D$1)</f>
        <v>0</v>
      </c>
      <c r="AK14" s="57">
        <f>IF(ISNA(SUMIFS(INDEX(Inputs!$B$2:$AZ$190,,MATCH(SUBSTITUTE(AK$3,"Q","T"),Inputs!$B$2:$AZ$2,0)),Inputs!$B$2:$B$190,$B14)*Inputs!$D$1),"",SUMIFS(INDEX(Inputs!$B$2:$AZ$190,,MATCH(SUBSTITUTE(AK$3,"Q","T"),Inputs!$B$2:$AZ$2,0)),Inputs!$B$2:$B$190,$B14)*Inputs!$D$1)</f>
        <v>0</v>
      </c>
      <c r="AL14" s="57">
        <f>IF(ISNA(SUMIFS(INDEX(Inputs!$B$2:$AZ$190,,MATCH(SUBSTITUTE(AL$3,"Q","T"),Inputs!$B$2:$AZ$2,0)),Inputs!$B$2:$B$190,$B14)*Inputs!$D$1),"",SUMIFS(INDEX(Inputs!$B$2:$AZ$190,,MATCH(SUBSTITUTE(AL$3,"Q","T"),Inputs!$B$2:$AZ$2,0)),Inputs!$B$2:$B$190,$B14)*Inputs!$D$1)</f>
        <v>0</v>
      </c>
      <c r="AM14" s="58">
        <f>AL14</f>
        <v>0</v>
      </c>
      <c r="AN14" s="57">
        <f>IF(ISNA(SUMIFS(INDEX(Inputs!$B$2:$AZ$190,,MATCH(SUBSTITUTE(AN$3,"Q","T"),Inputs!$B$2:$AZ$2,0)),Inputs!$B$2:$B$190,$B14)*Inputs!$D$1),"",SUMIFS(INDEX(Inputs!$B$2:$AZ$190,,MATCH(SUBSTITUTE(AN$3,"Q","T"),Inputs!$B$2:$AZ$2,0)),Inputs!$B$2:$B$190,$B14)*Inputs!$D$1)</f>
        <v>0</v>
      </c>
      <c r="AO14" s="57">
        <f>IF(ISNA(SUMIFS(INDEX(Inputs!$B$2:$AZ$190,,MATCH(SUBSTITUTE(AO$3,"Q","T"),Inputs!$B$2:$AZ$2,0)),Inputs!$B$2:$B$190,$B14)*Inputs!$D$1),"",SUMIFS(INDEX(Inputs!$B$2:$AZ$190,,MATCH(SUBSTITUTE(AO$3,"Q","T"),Inputs!$B$2:$AZ$2,0)),Inputs!$B$2:$B$190,$B14)*Inputs!$D$1)</f>
        <v>0</v>
      </c>
      <c r="AP14" s="57">
        <f>IF(ISNA(SUMIFS(INDEX(Inputs!$B$2:$AZ$190,,MATCH(SUBSTITUTE(AP$3,"Q","T"),Inputs!$B$2:$AZ$2,0)),Inputs!$B$2:$B$190,$B14)*Inputs!$D$1),"",SUMIFS(INDEX(Inputs!$B$2:$AZ$190,,MATCH(SUBSTITUTE(AP$3,"Q","T"),Inputs!$B$2:$AZ$2,0)),Inputs!$B$2:$B$190,$B14)*Inputs!$D$1)</f>
        <v>0</v>
      </c>
      <c r="AQ14" s="57">
        <f>IF(ISNA(SUMIFS(INDEX(Inputs!$B$2:$AZ$190,,MATCH(SUBSTITUTE(AQ$3,"Q","T"),Inputs!$B$2:$AZ$2,0)),Inputs!$B$2:$B$190,$B14)*Inputs!$D$1),"",SUMIFS(INDEX(Inputs!$B$2:$AZ$190,,MATCH(SUBSTITUTE(AQ$3,"Q","T"),Inputs!$B$2:$AZ$2,0)),Inputs!$B$2:$B$190,$B14)*Inputs!$D$1)</f>
        <v>0</v>
      </c>
      <c r="AR14" s="58">
        <f>AQ14</f>
        <v>0</v>
      </c>
      <c r="AS14" s="57">
        <f>IF(ISNA(SUMIFS(INDEX(Inputs!$B$2:$AZ$190,,MATCH(SUBSTITUTE(AS$3,"Q","T"),Inputs!$B$2:$AZ$2,0)),Inputs!$B$2:$B$190,$B14)*Inputs!$D$1),"",SUMIFS(INDEX(Inputs!$B$2:$AZ$190,,MATCH(SUBSTITUTE(AS$3,"Q","T"),Inputs!$B$2:$AZ$2,0)),Inputs!$B$2:$B$190,$B14)*Inputs!$D$1)</f>
        <v>0</v>
      </c>
      <c r="AT14" s="57">
        <f>IF(ISNA(SUMIFS(INDEX(Inputs!$B$2:$AZ$190,,MATCH(SUBSTITUTE(AT$3,"Q","T"),Inputs!$B$2:$AZ$2,0)),Inputs!$B$2:$B$190,$B14)*Inputs!$D$1),"",SUMIFS(INDEX(Inputs!$B$2:$AZ$190,,MATCH(SUBSTITUTE(AT$3,"Q","T"),Inputs!$B$2:$AZ$2,0)),Inputs!$B$2:$B$190,$B14)*Inputs!$D$1)</f>
        <v>0</v>
      </c>
      <c r="AU14" s="57">
        <f>IF(ISNA(SUMIFS(INDEX(Inputs!$B$2:$AZ$190,,MATCH(SUBSTITUTE(AU$3,"Q","T"),Inputs!$B$2:$AZ$2,0)),Inputs!$B$2:$B$190,$B14)*Inputs!$D$1),"",SUMIFS(INDEX(Inputs!$B$2:$AZ$190,,MATCH(SUBSTITUTE(AU$3,"Q","T"),Inputs!$B$2:$AZ$2,0)),Inputs!$B$2:$B$190,$B14)*Inputs!$D$1)</f>
        <v>0</v>
      </c>
      <c r="AV14" s="57">
        <f>IF(ISNA(SUMIFS(INDEX(Inputs!$B$2:$AZ$190,,MATCH(SUBSTITUTE(AV$3,"Q","T"),Inputs!$B$2:$AZ$2,0)),Inputs!$B$2:$B$190,$B14)*Inputs!$D$1),"",SUMIFS(INDEX(Inputs!$B$2:$AZ$190,,MATCH(SUBSTITUTE(AV$3,"Q","T"),Inputs!$B$2:$AZ$2,0)),Inputs!$B$2:$B$190,$B14)*Inputs!$D$1)</f>
        <v>0</v>
      </c>
      <c r="AW14" s="58">
        <f>AV14</f>
        <v>0</v>
      </c>
      <c r="AX14" s="57">
        <f>IF(ISNA(SUMIFS(INDEX(Inputs!$B$2:$AZ$190,,MATCH(SUBSTITUTE(AX$3,"Q","T"),Inputs!$B$2:$AZ$2,0)),Inputs!$B$2:$B$190,$B14)*Inputs!$D$1),"",SUMIFS(INDEX(Inputs!$B$2:$AZ$190,,MATCH(SUBSTITUTE(AX$3,"Q","T"),Inputs!$B$2:$AZ$2,0)),Inputs!$B$2:$B$190,$B14)*Inputs!$D$1)</f>
        <v>0</v>
      </c>
      <c r="AY14" s="57">
        <f>IF(ISNA(SUMIFS(INDEX(Inputs!$B$2:$AZ$190,,MATCH(SUBSTITUTE(AY$3,"Q","T"),Inputs!$B$2:$AZ$2,0)),Inputs!$B$2:$B$190,$B14)*Inputs!$D$1),"",SUMIFS(INDEX(Inputs!$B$2:$AZ$190,,MATCH(SUBSTITUTE(AY$3,"Q","T"),Inputs!$B$2:$AZ$2,0)),Inputs!$B$2:$B$190,$B14)*Inputs!$D$1)</f>
        <v>0</v>
      </c>
      <c r="AZ14" s="57">
        <f>IF(ISNA(SUMIFS(INDEX(Inputs!$B$2:$AZ$190,,MATCH(SUBSTITUTE(AZ$3,"Q","T"),Inputs!$B$2:$AZ$2,0)),Inputs!$B$2:$B$190,$B14)*Inputs!$D$1),"",SUMIFS(INDEX(Inputs!$B$2:$AZ$190,,MATCH(SUBSTITUTE(AZ$3,"Q","T"),Inputs!$B$2:$AZ$2,0)),Inputs!$B$2:$B$190,$B14)*Inputs!$D$1)</f>
        <v>0</v>
      </c>
      <c r="BA14" s="57">
        <f>IF(ISNA(SUMIFS(INDEX(Inputs!$B$2:$AZ$190,,MATCH(SUBSTITUTE(BA$3,"Q","T"),Inputs!$B$2:$AZ$2,0)),Inputs!$B$2:$B$190,$B14)*Inputs!$D$1),"",SUMIFS(INDEX(Inputs!$B$2:$AZ$190,,MATCH(SUBSTITUTE(BA$3,"Q","T"),Inputs!$B$2:$AZ$2,0)),Inputs!$B$2:$B$190,$B14)*Inputs!$D$1)</f>
        <v>0</v>
      </c>
      <c r="BB14" s="58">
        <f>BA14</f>
        <v>0</v>
      </c>
      <c r="BC14" s="57">
        <f>IF(ISNA(SUMIFS(INDEX(Inputs!$B$2:$AZ$190,,MATCH(SUBSTITUTE(BC$3,"Q","T"),Inputs!$B$2:$AZ$2,0)),Inputs!$B$2:$B$190,$B14)*Inputs!$D$1),"",SUMIFS(INDEX(Inputs!$B$2:$AZ$190,,MATCH(SUBSTITUTE(BC$3,"Q","T"),Inputs!$B$2:$AZ$2,0)),Inputs!$B$2:$B$190,$B14)*Inputs!$D$1)</f>
        <v>0</v>
      </c>
      <c r="BD14" s="57">
        <f>IF(ISNA(SUMIFS(INDEX(Inputs!$B$2:$AZ$190,,MATCH(SUBSTITUTE(BD$3,"Q","T"),Inputs!$B$2:$AZ$2,0)),Inputs!$B$2:$B$190,$B14)*Inputs!$D$1),"",SUMIFS(INDEX(Inputs!$B$2:$AZ$190,,MATCH(SUBSTITUTE(BD$3,"Q","T"),Inputs!$B$2:$AZ$2,0)),Inputs!$B$2:$B$190,$B14)*Inputs!$D$1)</f>
        <v>0</v>
      </c>
      <c r="BE14" s="57">
        <f>IF(ISNA(SUMIFS(INDEX(Inputs!$B$2:$AZ$190,,MATCH(SUBSTITUTE(BE$3,"Q","T"),Inputs!$B$2:$AZ$2,0)),Inputs!$B$2:$B$190,$B14)*Inputs!$D$1),"",SUMIFS(INDEX(Inputs!$B$2:$AZ$190,,MATCH(SUBSTITUTE(BE$3,"Q","T"),Inputs!$B$2:$AZ$2,0)),Inputs!$B$2:$B$190,$B14)*Inputs!$D$1)</f>
        <v>0</v>
      </c>
      <c r="BF14" s="57">
        <f>IF(ISNA(SUMIFS(INDEX(Inputs!$B$2:$AZ$190,,MATCH(SUBSTITUTE(BF$3,"Q","T"),Inputs!$B$2:$AZ$2,0)),Inputs!$B$2:$B$190,$B14)*Inputs!$D$1),"",SUMIFS(INDEX(Inputs!$B$2:$AZ$190,,MATCH(SUBSTITUTE(BF$3,"Q","T"),Inputs!$B$2:$AZ$2,0)),Inputs!$B$2:$B$190,$B14)*Inputs!$D$1)</f>
        <v>0</v>
      </c>
      <c r="BG14" s="58">
        <f>BF14</f>
        <v>0</v>
      </c>
    </row>
    <row r="15" hidden="1" outlineLevel="1">
      <c r="B15" s="56" t="inlineStr">
        <is>
          <t>sec_acl</t>
        </is>
      </c>
      <c r="C15" s="61" t="inlineStr">
        <is>
          <t>(Provisão para perdas — títulos, quando à parte)</t>
        </is>
      </c>
      <c r="D15" s="62" t="inlineStr">
        <is>
          <t>(Allowance — securities)</t>
        </is>
      </c>
      <c r="E15" s="57">
        <f>IF(ISNA(SUMIFS(INDEX(Inputs!$B$2:$AZ$190,,MATCH(SUBSTITUTE(E$3,"Q","T"),Inputs!$B$2:$AZ$2,0)),Inputs!$B$2:$B$190,$B15)*Inputs!$D$1),"",SUMIFS(INDEX(Inputs!$B$2:$AZ$190,,MATCH(SUBSTITUTE(E$3,"Q","T"),Inputs!$B$2:$AZ$2,0)),Inputs!$B$2:$B$190,$B15)*Inputs!$D$1)</f>
        <v>0</v>
      </c>
      <c r="F15" s="57">
        <f>IF(ISNA(SUMIFS(INDEX(Inputs!$B$2:$AZ$190,,MATCH(SUBSTITUTE(F$3,"Q","T"),Inputs!$B$2:$AZ$2,0)),Inputs!$B$2:$B$190,$B15)*Inputs!$D$1),"",SUMIFS(INDEX(Inputs!$B$2:$AZ$190,,MATCH(SUBSTITUTE(F$3,"Q","T"),Inputs!$B$2:$AZ$2,0)),Inputs!$B$2:$B$190,$B15)*Inputs!$D$1)</f>
        <v>0</v>
      </c>
      <c r="G15" s="57">
        <f>IF(ISNA(SUMIFS(INDEX(Inputs!$B$2:$AZ$190,,MATCH(SUBSTITUTE(G$3,"Q","T"),Inputs!$B$2:$AZ$2,0)),Inputs!$B$2:$B$190,$B15)*Inputs!$D$1),"",SUMIFS(INDEX(Inputs!$B$2:$AZ$190,,MATCH(SUBSTITUTE(G$3,"Q","T"),Inputs!$B$2:$AZ$2,0)),Inputs!$B$2:$B$190,$B15)*Inputs!$D$1)</f>
        <v>0</v>
      </c>
      <c r="H15" s="57">
        <f>IF(ISNA(SUMIFS(INDEX(Inputs!$B$2:$AZ$190,,MATCH(SUBSTITUTE(H$3,"Q","T"),Inputs!$B$2:$AZ$2,0)),Inputs!$B$2:$B$190,$B15)*Inputs!$D$1),"",SUMIFS(INDEX(Inputs!$B$2:$AZ$190,,MATCH(SUBSTITUTE(H$3,"Q","T"),Inputs!$B$2:$AZ$2,0)),Inputs!$B$2:$B$190,$B15)*Inputs!$D$1)</f>
        <v>0</v>
      </c>
      <c r="I15" s="58">
        <f>H15</f>
        <v>0</v>
      </c>
      <c r="J15" s="57">
        <f>IF(ISNA(SUMIFS(INDEX(Inputs!$B$2:$AZ$190,,MATCH(SUBSTITUTE(J$3,"Q","T"),Inputs!$B$2:$AZ$2,0)),Inputs!$B$2:$B$190,$B15)*Inputs!$D$1),"",SUMIFS(INDEX(Inputs!$B$2:$AZ$190,,MATCH(SUBSTITUTE(J$3,"Q","T"),Inputs!$B$2:$AZ$2,0)),Inputs!$B$2:$B$190,$B15)*Inputs!$D$1)</f>
        <v>0</v>
      </c>
      <c r="K15" s="57">
        <f>IF(ISNA(SUMIFS(INDEX(Inputs!$B$2:$AZ$190,,MATCH(SUBSTITUTE(K$3,"Q","T"),Inputs!$B$2:$AZ$2,0)),Inputs!$B$2:$B$190,$B15)*Inputs!$D$1),"",SUMIFS(INDEX(Inputs!$B$2:$AZ$190,,MATCH(SUBSTITUTE(K$3,"Q","T"),Inputs!$B$2:$AZ$2,0)),Inputs!$B$2:$B$190,$B15)*Inputs!$D$1)</f>
        <v>0</v>
      </c>
      <c r="L15" s="57">
        <f>IF(ISNA(SUMIFS(INDEX(Inputs!$B$2:$AZ$190,,MATCH(SUBSTITUTE(L$3,"Q","T"),Inputs!$B$2:$AZ$2,0)),Inputs!$B$2:$B$190,$B15)*Inputs!$D$1),"",SUMIFS(INDEX(Inputs!$B$2:$AZ$190,,MATCH(SUBSTITUTE(L$3,"Q","T"),Inputs!$B$2:$AZ$2,0)),Inputs!$B$2:$B$190,$B15)*Inputs!$D$1)</f>
        <v>0</v>
      </c>
      <c r="M15" s="57">
        <f>IF(ISNA(SUMIFS(INDEX(Inputs!$B$2:$AZ$190,,MATCH(SUBSTITUTE(M$3,"Q","T"),Inputs!$B$2:$AZ$2,0)),Inputs!$B$2:$B$190,$B15)*Inputs!$D$1),"",SUMIFS(INDEX(Inputs!$B$2:$AZ$190,,MATCH(SUBSTITUTE(M$3,"Q","T"),Inputs!$B$2:$AZ$2,0)),Inputs!$B$2:$B$190,$B15)*Inputs!$D$1)</f>
        <v>0</v>
      </c>
      <c r="N15" s="58">
        <f>M15</f>
        <v>0</v>
      </c>
      <c r="O15" s="57">
        <f>IF(ISNA(SUMIFS(INDEX(Inputs!$B$2:$AZ$190,,MATCH(SUBSTITUTE(O$3,"Q","T"),Inputs!$B$2:$AZ$2,0)),Inputs!$B$2:$B$190,$B15)*Inputs!$D$1),"",SUMIFS(INDEX(Inputs!$B$2:$AZ$190,,MATCH(SUBSTITUTE(O$3,"Q","T"),Inputs!$B$2:$AZ$2,0)),Inputs!$B$2:$B$190,$B15)*Inputs!$D$1)</f>
        <v>0</v>
      </c>
      <c r="P15" s="57">
        <f>IF(ISNA(SUMIFS(INDEX(Inputs!$B$2:$AZ$190,,MATCH(SUBSTITUTE(P$3,"Q","T"),Inputs!$B$2:$AZ$2,0)),Inputs!$B$2:$B$190,$B15)*Inputs!$D$1),"",SUMIFS(INDEX(Inputs!$B$2:$AZ$190,,MATCH(SUBSTITUTE(P$3,"Q","T"),Inputs!$B$2:$AZ$2,0)),Inputs!$B$2:$B$190,$B15)*Inputs!$D$1)</f>
        <v>0</v>
      </c>
      <c r="Q15" s="57">
        <f>IF(ISNA(SUMIFS(INDEX(Inputs!$B$2:$AZ$190,,MATCH(SUBSTITUTE(Q$3,"Q","T"),Inputs!$B$2:$AZ$2,0)),Inputs!$B$2:$B$190,$B15)*Inputs!$D$1),"",SUMIFS(INDEX(Inputs!$B$2:$AZ$190,,MATCH(SUBSTITUTE(Q$3,"Q","T"),Inputs!$B$2:$AZ$2,0)),Inputs!$B$2:$B$190,$B15)*Inputs!$D$1)</f>
        <v>0</v>
      </c>
      <c r="R15" s="57">
        <f>IF(ISNA(SUMIFS(INDEX(Inputs!$B$2:$AZ$190,,MATCH(SUBSTITUTE(R$3,"Q","T"),Inputs!$B$2:$AZ$2,0)),Inputs!$B$2:$B$190,$B15)*Inputs!$D$1),"",SUMIFS(INDEX(Inputs!$B$2:$AZ$190,,MATCH(SUBSTITUTE(R$3,"Q","T"),Inputs!$B$2:$AZ$2,0)),Inputs!$B$2:$B$190,$B15)*Inputs!$D$1)</f>
        <v>0</v>
      </c>
      <c r="S15" s="58">
        <f>R15</f>
        <v>0</v>
      </c>
      <c r="T15" s="57">
        <f>IF(ISNA(SUMIFS(INDEX(Inputs!$B$2:$AZ$190,,MATCH(SUBSTITUTE(T$3,"Q","T"),Inputs!$B$2:$AZ$2,0)),Inputs!$B$2:$B$190,$B15)*Inputs!$D$1),"",SUMIFS(INDEX(Inputs!$B$2:$AZ$190,,MATCH(SUBSTITUTE(T$3,"Q","T"),Inputs!$B$2:$AZ$2,0)),Inputs!$B$2:$B$190,$B15)*Inputs!$D$1)</f>
        <v>0</v>
      </c>
      <c r="U15" s="57">
        <f>IF(ISNA(SUMIFS(INDEX(Inputs!$B$2:$AZ$190,,MATCH(SUBSTITUTE(U$3,"Q","T"),Inputs!$B$2:$AZ$2,0)),Inputs!$B$2:$B$190,$B15)*Inputs!$D$1),"",SUMIFS(INDEX(Inputs!$B$2:$AZ$190,,MATCH(SUBSTITUTE(U$3,"Q","T"),Inputs!$B$2:$AZ$2,0)),Inputs!$B$2:$B$190,$B15)*Inputs!$D$1)</f>
        <v>0</v>
      </c>
      <c r="V15" s="57">
        <f>IF(ISNA(SUMIFS(INDEX(Inputs!$B$2:$AZ$190,,MATCH(SUBSTITUTE(V$3,"Q","T"),Inputs!$B$2:$AZ$2,0)),Inputs!$B$2:$B$190,$B15)*Inputs!$D$1),"",SUMIFS(INDEX(Inputs!$B$2:$AZ$190,,MATCH(SUBSTITUTE(V$3,"Q","T"),Inputs!$B$2:$AZ$2,0)),Inputs!$B$2:$B$190,$B15)*Inputs!$D$1)</f>
        <v>0</v>
      </c>
      <c r="W15" s="57">
        <f>IF(ISNA(SUMIFS(INDEX(Inputs!$B$2:$AZ$190,,MATCH(SUBSTITUTE(W$3,"Q","T"),Inputs!$B$2:$AZ$2,0)),Inputs!$B$2:$B$190,$B15)*Inputs!$D$1),"",SUMIFS(INDEX(Inputs!$B$2:$AZ$190,,MATCH(SUBSTITUTE(W$3,"Q","T"),Inputs!$B$2:$AZ$2,0)),Inputs!$B$2:$B$190,$B15)*Inputs!$D$1)</f>
        <v>0</v>
      </c>
      <c r="X15" s="58">
        <f>W15</f>
        <v>0</v>
      </c>
      <c r="Y15" s="57">
        <f>IF(ISNA(SUMIFS(INDEX(Inputs!$B$2:$AZ$190,,MATCH(SUBSTITUTE(Y$3,"Q","T"),Inputs!$B$2:$AZ$2,0)),Inputs!$B$2:$B$190,$B15)*Inputs!$D$1),"",SUMIFS(INDEX(Inputs!$B$2:$AZ$190,,MATCH(SUBSTITUTE(Y$3,"Q","T"),Inputs!$B$2:$AZ$2,0)),Inputs!$B$2:$B$190,$B15)*Inputs!$D$1)</f>
        <v>0</v>
      </c>
      <c r="Z15" s="57">
        <f>IF(ISNA(SUMIFS(INDEX(Inputs!$B$2:$AZ$190,,MATCH(SUBSTITUTE(Z$3,"Q","T"),Inputs!$B$2:$AZ$2,0)),Inputs!$B$2:$B$190,$B15)*Inputs!$D$1),"",SUMIFS(INDEX(Inputs!$B$2:$AZ$190,,MATCH(SUBSTITUTE(Z$3,"Q","T"),Inputs!$B$2:$AZ$2,0)),Inputs!$B$2:$B$190,$B15)*Inputs!$D$1)</f>
        <v>0</v>
      </c>
      <c r="AA15" s="57">
        <f>IF(ISNA(SUMIFS(INDEX(Inputs!$B$2:$AZ$190,,MATCH(SUBSTITUTE(AA$3,"Q","T"),Inputs!$B$2:$AZ$2,0)),Inputs!$B$2:$B$190,$B15)*Inputs!$D$1),"",SUMIFS(INDEX(Inputs!$B$2:$AZ$190,,MATCH(SUBSTITUTE(AA$3,"Q","T"),Inputs!$B$2:$AZ$2,0)),Inputs!$B$2:$B$190,$B15)*Inputs!$D$1)</f>
        <v>0</v>
      </c>
      <c r="AB15" s="57">
        <f>IF(ISNA(SUMIFS(INDEX(Inputs!$B$2:$AZ$190,,MATCH(SUBSTITUTE(AB$3,"Q","T"),Inputs!$B$2:$AZ$2,0)),Inputs!$B$2:$B$190,$B15)*Inputs!$D$1),"",SUMIFS(INDEX(Inputs!$B$2:$AZ$190,,MATCH(SUBSTITUTE(AB$3,"Q","T"),Inputs!$B$2:$AZ$2,0)),Inputs!$B$2:$B$190,$B15)*Inputs!$D$1)</f>
        <v>0</v>
      </c>
      <c r="AC15" s="58">
        <f>AB15</f>
        <v>0</v>
      </c>
      <c r="AD15" s="57">
        <f>IF(ISNA(SUMIFS(INDEX(Inputs!$B$2:$AZ$190,,MATCH(SUBSTITUTE(AD$3,"Q","T"),Inputs!$B$2:$AZ$2,0)),Inputs!$B$2:$B$190,$B15)*Inputs!$D$1),"",SUMIFS(INDEX(Inputs!$B$2:$AZ$190,,MATCH(SUBSTITUTE(AD$3,"Q","T"),Inputs!$B$2:$AZ$2,0)),Inputs!$B$2:$B$190,$B15)*Inputs!$D$1)</f>
        <v>0</v>
      </c>
      <c r="AE15" s="57">
        <f>IF(ISNA(SUMIFS(INDEX(Inputs!$B$2:$AZ$190,,MATCH(SUBSTITUTE(AE$3,"Q","T"),Inputs!$B$2:$AZ$2,0)),Inputs!$B$2:$B$190,$B15)*Inputs!$D$1),"",SUMIFS(INDEX(Inputs!$B$2:$AZ$190,,MATCH(SUBSTITUTE(AE$3,"Q","T"),Inputs!$B$2:$AZ$2,0)),Inputs!$B$2:$B$190,$B15)*Inputs!$D$1)</f>
        <v>0</v>
      </c>
      <c r="AF15" s="57">
        <f>IF(ISNA(SUMIFS(INDEX(Inputs!$B$2:$AZ$190,,MATCH(SUBSTITUTE(AF$3,"Q","T"),Inputs!$B$2:$AZ$2,0)),Inputs!$B$2:$B$190,$B15)*Inputs!$D$1),"",SUMIFS(INDEX(Inputs!$B$2:$AZ$190,,MATCH(SUBSTITUTE(AF$3,"Q","T"),Inputs!$B$2:$AZ$2,0)),Inputs!$B$2:$B$190,$B15)*Inputs!$D$1)</f>
        <v>0</v>
      </c>
      <c r="AG15" s="57">
        <f>IF(ISNA(SUMIFS(INDEX(Inputs!$B$2:$AZ$190,,MATCH(SUBSTITUTE(AG$3,"Q","T"),Inputs!$B$2:$AZ$2,0)),Inputs!$B$2:$B$190,$B15)*Inputs!$D$1),"",SUMIFS(INDEX(Inputs!$B$2:$AZ$190,,MATCH(SUBSTITUTE(AG$3,"Q","T"),Inputs!$B$2:$AZ$2,0)),Inputs!$B$2:$B$190,$B15)*Inputs!$D$1)</f>
        <v>0</v>
      </c>
      <c r="AH15" s="58">
        <f>AG15</f>
        <v>0</v>
      </c>
      <c r="AI15" s="57">
        <f>IF(ISNA(SUMIFS(INDEX(Inputs!$B$2:$AZ$190,,MATCH(SUBSTITUTE(AI$3,"Q","T"),Inputs!$B$2:$AZ$2,0)),Inputs!$B$2:$B$190,$B15)*Inputs!$D$1),"",SUMIFS(INDEX(Inputs!$B$2:$AZ$190,,MATCH(SUBSTITUTE(AI$3,"Q","T"),Inputs!$B$2:$AZ$2,0)),Inputs!$B$2:$B$190,$B15)*Inputs!$D$1)</f>
        <v>0</v>
      </c>
      <c r="AJ15" s="57">
        <f>IF(ISNA(SUMIFS(INDEX(Inputs!$B$2:$AZ$190,,MATCH(SUBSTITUTE(AJ$3,"Q","T"),Inputs!$B$2:$AZ$2,0)),Inputs!$B$2:$B$190,$B15)*Inputs!$D$1),"",SUMIFS(INDEX(Inputs!$B$2:$AZ$190,,MATCH(SUBSTITUTE(AJ$3,"Q","T"),Inputs!$B$2:$AZ$2,0)),Inputs!$B$2:$B$190,$B15)*Inputs!$D$1)</f>
        <v>0</v>
      </c>
      <c r="AK15" s="57">
        <f>IF(ISNA(SUMIFS(INDEX(Inputs!$B$2:$AZ$190,,MATCH(SUBSTITUTE(AK$3,"Q","T"),Inputs!$B$2:$AZ$2,0)),Inputs!$B$2:$B$190,$B15)*Inputs!$D$1),"",SUMIFS(INDEX(Inputs!$B$2:$AZ$190,,MATCH(SUBSTITUTE(AK$3,"Q","T"),Inputs!$B$2:$AZ$2,0)),Inputs!$B$2:$B$190,$B15)*Inputs!$D$1)</f>
        <v>0</v>
      </c>
      <c r="AL15" s="57">
        <f>IF(ISNA(SUMIFS(INDEX(Inputs!$B$2:$AZ$190,,MATCH(SUBSTITUTE(AL$3,"Q","T"),Inputs!$B$2:$AZ$2,0)),Inputs!$B$2:$B$190,$B15)*Inputs!$D$1),"",SUMIFS(INDEX(Inputs!$B$2:$AZ$190,,MATCH(SUBSTITUTE(AL$3,"Q","T"),Inputs!$B$2:$AZ$2,0)),Inputs!$B$2:$B$190,$B15)*Inputs!$D$1)</f>
        <v>0</v>
      </c>
      <c r="AM15" s="58">
        <f>AL15</f>
        <v>0</v>
      </c>
      <c r="AN15" s="57">
        <f>IF(ISNA(SUMIFS(INDEX(Inputs!$B$2:$AZ$190,,MATCH(SUBSTITUTE(AN$3,"Q","T"),Inputs!$B$2:$AZ$2,0)),Inputs!$B$2:$B$190,$B15)*Inputs!$D$1),"",SUMIFS(INDEX(Inputs!$B$2:$AZ$190,,MATCH(SUBSTITUTE(AN$3,"Q","T"),Inputs!$B$2:$AZ$2,0)),Inputs!$B$2:$B$190,$B15)*Inputs!$D$1)</f>
        <v>0</v>
      </c>
      <c r="AO15" s="57">
        <f>IF(ISNA(SUMIFS(INDEX(Inputs!$B$2:$AZ$190,,MATCH(SUBSTITUTE(AO$3,"Q","T"),Inputs!$B$2:$AZ$2,0)),Inputs!$B$2:$B$190,$B15)*Inputs!$D$1),"",SUMIFS(INDEX(Inputs!$B$2:$AZ$190,,MATCH(SUBSTITUTE(AO$3,"Q","T"),Inputs!$B$2:$AZ$2,0)),Inputs!$B$2:$B$190,$B15)*Inputs!$D$1)</f>
        <v>0</v>
      </c>
      <c r="AP15" s="57">
        <f>IF(ISNA(SUMIFS(INDEX(Inputs!$B$2:$AZ$190,,MATCH(SUBSTITUTE(AP$3,"Q","T"),Inputs!$B$2:$AZ$2,0)),Inputs!$B$2:$B$190,$B15)*Inputs!$D$1),"",SUMIFS(INDEX(Inputs!$B$2:$AZ$190,,MATCH(SUBSTITUTE(AP$3,"Q","T"),Inputs!$B$2:$AZ$2,0)),Inputs!$B$2:$B$190,$B15)*Inputs!$D$1)</f>
        <v>0</v>
      </c>
      <c r="AQ15" s="57">
        <f>IF(ISNA(SUMIFS(INDEX(Inputs!$B$2:$AZ$190,,MATCH(SUBSTITUTE(AQ$3,"Q","T"),Inputs!$B$2:$AZ$2,0)),Inputs!$B$2:$B$190,$B15)*Inputs!$D$1),"",SUMIFS(INDEX(Inputs!$B$2:$AZ$190,,MATCH(SUBSTITUTE(AQ$3,"Q","T"),Inputs!$B$2:$AZ$2,0)),Inputs!$B$2:$B$190,$B15)*Inputs!$D$1)</f>
        <v>0</v>
      </c>
      <c r="AR15" s="58">
        <f>AQ15</f>
        <v>0</v>
      </c>
      <c r="AS15" s="57">
        <f>IF(ISNA(SUMIFS(INDEX(Inputs!$B$2:$AZ$190,,MATCH(SUBSTITUTE(AS$3,"Q","T"),Inputs!$B$2:$AZ$2,0)),Inputs!$B$2:$B$190,$B15)*Inputs!$D$1),"",SUMIFS(INDEX(Inputs!$B$2:$AZ$190,,MATCH(SUBSTITUTE(AS$3,"Q","T"),Inputs!$B$2:$AZ$2,0)),Inputs!$B$2:$B$190,$B15)*Inputs!$D$1)</f>
        <v>0</v>
      </c>
      <c r="AT15" s="57">
        <f>IF(ISNA(SUMIFS(INDEX(Inputs!$B$2:$AZ$190,,MATCH(SUBSTITUTE(AT$3,"Q","T"),Inputs!$B$2:$AZ$2,0)),Inputs!$B$2:$B$190,$B15)*Inputs!$D$1),"",SUMIFS(INDEX(Inputs!$B$2:$AZ$190,,MATCH(SUBSTITUTE(AT$3,"Q","T"),Inputs!$B$2:$AZ$2,0)),Inputs!$B$2:$B$190,$B15)*Inputs!$D$1)</f>
        <v>0</v>
      </c>
      <c r="AU15" s="57">
        <f>IF(ISNA(SUMIFS(INDEX(Inputs!$B$2:$AZ$190,,MATCH(SUBSTITUTE(AU$3,"Q","T"),Inputs!$B$2:$AZ$2,0)),Inputs!$B$2:$B$190,$B15)*Inputs!$D$1),"",SUMIFS(INDEX(Inputs!$B$2:$AZ$190,,MATCH(SUBSTITUTE(AU$3,"Q","T"),Inputs!$B$2:$AZ$2,0)),Inputs!$B$2:$B$190,$B15)*Inputs!$D$1)</f>
        <v>0</v>
      </c>
      <c r="AV15" s="57">
        <f>IF(ISNA(SUMIFS(INDEX(Inputs!$B$2:$AZ$190,,MATCH(SUBSTITUTE(AV$3,"Q","T"),Inputs!$B$2:$AZ$2,0)),Inputs!$B$2:$B$190,$B15)*Inputs!$D$1),"",SUMIFS(INDEX(Inputs!$B$2:$AZ$190,,MATCH(SUBSTITUTE(AV$3,"Q","T"),Inputs!$B$2:$AZ$2,0)),Inputs!$B$2:$B$190,$B15)*Inputs!$D$1)</f>
        <v>0</v>
      </c>
      <c r="AW15" s="58">
        <f>AV15</f>
        <v>0</v>
      </c>
      <c r="AX15" s="57">
        <f>IF(ISNA(SUMIFS(INDEX(Inputs!$B$2:$AZ$190,,MATCH(SUBSTITUTE(AX$3,"Q","T"),Inputs!$B$2:$AZ$2,0)),Inputs!$B$2:$B$190,$B15)*Inputs!$D$1),"",SUMIFS(INDEX(Inputs!$B$2:$AZ$190,,MATCH(SUBSTITUTE(AX$3,"Q","T"),Inputs!$B$2:$AZ$2,0)),Inputs!$B$2:$B$190,$B15)*Inputs!$D$1)</f>
        <v>0</v>
      </c>
      <c r="AY15" s="57">
        <f>IF(ISNA(SUMIFS(INDEX(Inputs!$B$2:$AZ$190,,MATCH(SUBSTITUTE(AY$3,"Q","T"),Inputs!$B$2:$AZ$2,0)),Inputs!$B$2:$B$190,$B15)*Inputs!$D$1),"",SUMIFS(INDEX(Inputs!$B$2:$AZ$190,,MATCH(SUBSTITUTE(AY$3,"Q","T"),Inputs!$B$2:$AZ$2,0)),Inputs!$B$2:$B$190,$B15)*Inputs!$D$1)</f>
        <v>0</v>
      </c>
      <c r="AZ15" s="57">
        <f>IF(ISNA(SUMIFS(INDEX(Inputs!$B$2:$AZ$190,,MATCH(SUBSTITUTE(AZ$3,"Q","T"),Inputs!$B$2:$AZ$2,0)),Inputs!$B$2:$B$190,$B15)*Inputs!$D$1),"",SUMIFS(INDEX(Inputs!$B$2:$AZ$190,,MATCH(SUBSTITUTE(AZ$3,"Q","T"),Inputs!$B$2:$AZ$2,0)),Inputs!$B$2:$B$190,$B15)*Inputs!$D$1)</f>
        <v>0</v>
      </c>
      <c r="BA15" s="57">
        <f>IF(ISNA(SUMIFS(INDEX(Inputs!$B$2:$AZ$190,,MATCH(SUBSTITUTE(BA$3,"Q","T"),Inputs!$B$2:$AZ$2,0)),Inputs!$B$2:$B$190,$B15)*Inputs!$D$1),"",SUMIFS(INDEX(Inputs!$B$2:$AZ$190,,MATCH(SUBSTITUTE(BA$3,"Q","T"),Inputs!$B$2:$AZ$2,0)),Inputs!$B$2:$B$190,$B15)*Inputs!$D$1)</f>
        <v>0</v>
      </c>
      <c r="BB15" s="58">
        <f>BA15</f>
        <v>0</v>
      </c>
      <c r="BC15" s="57">
        <f>IF(ISNA(SUMIFS(INDEX(Inputs!$B$2:$AZ$190,,MATCH(SUBSTITUTE(BC$3,"Q","T"),Inputs!$B$2:$AZ$2,0)),Inputs!$B$2:$B$190,$B15)*Inputs!$D$1),"",SUMIFS(INDEX(Inputs!$B$2:$AZ$190,,MATCH(SUBSTITUTE(BC$3,"Q","T"),Inputs!$B$2:$AZ$2,0)),Inputs!$B$2:$B$190,$B15)*Inputs!$D$1)</f>
        <v>0</v>
      </c>
      <c r="BD15" s="57">
        <f>IF(ISNA(SUMIFS(INDEX(Inputs!$B$2:$AZ$190,,MATCH(SUBSTITUTE(BD$3,"Q","T"),Inputs!$B$2:$AZ$2,0)),Inputs!$B$2:$B$190,$B15)*Inputs!$D$1),"",SUMIFS(INDEX(Inputs!$B$2:$AZ$190,,MATCH(SUBSTITUTE(BD$3,"Q","T"),Inputs!$B$2:$AZ$2,0)),Inputs!$B$2:$B$190,$B15)*Inputs!$D$1)</f>
        <v>0</v>
      </c>
      <c r="BE15" s="57">
        <f>IF(ISNA(SUMIFS(INDEX(Inputs!$B$2:$AZ$190,,MATCH(SUBSTITUTE(BE$3,"Q","T"),Inputs!$B$2:$AZ$2,0)),Inputs!$B$2:$B$190,$B15)*Inputs!$D$1),"",SUMIFS(INDEX(Inputs!$B$2:$AZ$190,,MATCH(SUBSTITUTE(BE$3,"Q","T"),Inputs!$B$2:$AZ$2,0)),Inputs!$B$2:$B$190,$B15)*Inputs!$D$1)</f>
        <v>0</v>
      </c>
      <c r="BF15" s="57">
        <f>IF(ISNA(SUMIFS(INDEX(Inputs!$B$2:$AZ$190,,MATCH(SUBSTITUTE(BF$3,"Q","T"),Inputs!$B$2:$AZ$2,0)),Inputs!$B$2:$B$190,$B15)*Inputs!$D$1),"",SUMIFS(INDEX(Inputs!$B$2:$AZ$190,,MATCH(SUBSTITUTE(BF$3,"Q","T"),Inputs!$B$2:$AZ$2,0)),Inputs!$B$2:$B$190,$B15)*Inputs!$D$1)</f>
        <v>0</v>
      </c>
      <c r="BG15" s="58">
        <f>BF15</f>
        <v>0</v>
      </c>
    </row>
    <row r="16">
      <c r="B16" s="56" t="inlineStr">
        <is>
          <t>deriv_a</t>
        </is>
      </c>
      <c r="C16" s="11" t="inlineStr">
        <is>
          <t>Derivativos a receber (quando fora de trading)</t>
        </is>
      </c>
      <c r="D16" s="12" t="inlineStr">
        <is>
          <t>Derivative receivables, if separate</t>
        </is>
      </c>
      <c r="E16" s="57">
        <f>IF(ISNA(SUMIFS(INDEX(Inputs!$B$2:$AZ$190,,MATCH(SUBSTITUTE(E$3,"Q","T"),Inputs!$B$2:$AZ$2,0)),Inputs!$B$2:$B$190,$B16)*Inputs!$D$1),"",SUMIFS(INDEX(Inputs!$B$2:$AZ$190,,MATCH(SUBSTITUTE(E$3,"Q","T"),Inputs!$B$2:$AZ$2,0)),Inputs!$B$2:$B$190,$B16)*Inputs!$D$1)</f>
        <v>0</v>
      </c>
      <c r="F16" s="57">
        <f>IF(ISNA(SUMIFS(INDEX(Inputs!$B$2:$AZ$190,,MATCH(SUBSTITUTE(F$3,"Q","T"),Inputs!$B$2:$AZ$2,0)),Inputs!$B$2:$B$190,$B16)*Inputs!$D$1),"",SUMIFS(INDEX(Inputs!$B$2:$AZ$190,,MATCH(SUBSTITUTE(F$3,"Q","T"),Inputs!$B$2:$AZ$2,0)),Inputs!$B$2:$B$190,$B16)*Inputs!$D$1)</f>
        <v>0</v>
      </c>
      <c r="G16" s="57">
        <f>IF(ISNA(SUMIFS(INDEX(Inputs!$B$2:$AZ$190,,MATCH(SUBSTITUTE(G$3,"Q","T"),Inputs!$B$2:$AZ$2,0)),Inputs!$B$2:$B$190,$B16)*Inputs!$D$1),"",SUMIFS(INDEX(Inputs!$B$2:$AZ$190,,MATCH(SUBSTITUTE(G$3,"Q","T"),Inputs!$B$2:$AZ$2,0)),Inputs!$B$2:$B$190,$B16)*Inputs!$D$1)</f>
        <v>0</v>
      </c>
      <c r="H16" s="57">
        <f>IF(ISNA(SUMIFS(INDEX(Inputs!$B$2:$AZ$190,,MATCH(SUBSTITUTE(H$3,"Q","T"),Inputs!$B$2:$AZ$2,0)),Inputs!$B$2:$B$190,$B16)*Inputs!$D$1),"",SUMIFS(INDEX(Inputs!$B$2:$AZ$190,,MATCH(SUBSTITUTE(H$3,"Q","T"),Inputs!$B$2:$AZ$2,0)),Inputs!$B$2:$B$190,$B16)*Inputs!$D$1)</f>
        <v>0</v>
      </c>
      <c r="I16" s="58">
        <f>H16</f>
        <v>0</v>
      </c>
      <c r="J16" s="57">
        <f>IF(ISNA(SUMIFS(INDEX(Inputs!$B$2:$AZ$190,,MATCH(SUBSTITUTE(J$3,"Q","T"),Inputs!$B$2:$AZ$2,0)),Inputs!$B$2:$B$190,$B16)*Inputs!$D$1),"",SUMIFS(INDEX(Inputs!$B$2:$AZ$190,,MATCH(SUBSTITUTE(J$3,"Q","T"),Inputs!$B$2:$AZ$2,0)),Inputs!$B$2:$B$190,$B16)*Inputs!$D$1)</f>
        <v>0</v>
      </c>
      <c r="K16" s="57">
        <f>IF(ISNA(SUMIFS(INDEX(Inputs!$B$2:$AZ$190,,MATCH(SUBSTITUTE(K$3,"Q","T"),Inputs!$B$2:$AZ$2,0)),Inputs!$B$2:$B$190,$B16)*Inputs!$D$1),"",SUMIFS(INDEX(Inputs!$B$2:$AZ$190,,MATCH(SUBSTITUTE(K$3,"Q","T"),Inputs!$B$2:$AZ$2,0)),Inputs!$B$2:$B$190,$B16)*Inputs!$D$1)</f>
        <v>0</v>
      </c>
      <c r="L16" s="57">
        <f>IF(ISNA(SUMIFS(INDEX(Inputs!$B$2:$AZ$190,,MATCH(SUBSTITUTE(L$3,"Q","T"),Inputs!$B$2:$AZ$2,0)),Inputs!$B$2:$B$190,$B16)*Inputs!$D$1),"",SUMIFS(INDEX(Inputs!$B$2:$AZ$190,,MATCH(SUBSTITUTE(L$3,"Q","T"),Inputs!$B$2:$AZ$2,0)),Inputs!$B$2:$B$190,$B16)*Inputs!$D$1)</f>
        <v>0</v>
      </c>
      <c r="M16" s="57">
        <f>IF(ISNA(SUMIFS(INDEX(Inputs!$B$2:$AZ$190,,MATCH(SUBSTITUTE(M$3,"Q","T"),Inputs!$B$2:$AZ$2,0)),Inputs!$B$2:$B$190,$B16)*Inputs!$D$1),"",SUMIFS(INDEX(Inputs!$B$2:$AZ$190,,MATCH(SUBSTITUTE(M$3,"Q","T"),Inputs!$B$2:$AZ$2,0)),Inputs!$B$2:$B$190,$B16)*Inputs!$D$1)</f>
        <v>0</v>
      </c>
      <c r="N16" s="58">
        <f>M16</f>
        <v>0</v>
      </c>
      <c r="O16" s="57">
        <f>IF(ISNA(SUMIFS(INDEX(Inputs!$B$2:$AZ$190,,MATCH(SUBSTITUTE(O$3,"Q","T"),Inputs!$B$2:$AZ$2,0)),Inputs!$B$2:$B$190,$B16)*Inputs!$D$1),"",SUMIFS(INDEX(Inputs!$B$2:$AZ$190,,MATCH(SUBSTITUTE(O$3,"Q","T"),Inputs!$B$2:$AZ$2,0)),Inputs!$B$2:$B$190,$B16)*Inputs!$D$1)</f>
        <v>0</v>
      </c>
      <c r="P16" s="57">
        <f>IF(ISNA(SUMIFS(INDEX(Inputs!$B$2:$AZ$190,,MATCH(SUBSTITUTE(P$3,"Q","T"),Inputs!$B$2:$AZ$2,0)),Inputs!$B$2:$B$190,$B16)*Inputs!$D$1),"",SUMIFS(INDEX(Inputs!$B$2:$AZ$190,,MATCH(SUBSTITUTE(P$3,"Q","T"),Inputs!$B$2:$AZ$2,0)),Inputs!$B$2:$B$190,$B16)*Inputs!$D$1)</f>
        <v>0</v>
      </c>
      <c r="Q16" s="57">
        <f>IF(ISNA(SUMIFS(INDEX(Inputs!$B$2:$AZ$190,,MATCH(SUBSTITUTE(Q$3,"Q","T"),Inputs!$B$2:$AZ$2,0)),Inputs!$B$2:$B$190,$B16)*Inputs!$D$1),"",SUMIFS(INDEX(Inputs!$B$2:$AZ$190,,MATCH(SUBSTITUTE(Q$3,"Q","T"),Inputs!$B$2:$AZ$2,0)),Inputs!$B$2:$B$190,$B16)*Inputs!$D$1)</f>
        <v>0</v>
      </c>
      <c r="R16" s="57">
        <f>IF(ISNA(SUMIFS(INDEX(Inputs!$B$2:$AZ$190,,MATCH(SUBSTITUTE(R$3,"Q","T"),Inputs!$B$2:$AZ$2,0)),Inputs!$B$2:$B$190,$B16)*Inputs!$D$1),"",SUMIFS(INDEX(Inputs!$B$2:$AZ$190,,MATCH(SUBSTITUTE(R$3,"Q","T"),Inputs!$B$2:$AZ$2,0)),Inputs!$B$2:$B$190,$B16)*Inputs!$D$1)</f>
        <v>0</v>
      </c>
      <c r="S16" s="58">
        <f>R16</f>
        <v>0</v>
      </c>
      <c r="T16" s="57">
        <f>IF(ISNA(SUMIFS(INDEX(Inputs!$B$2:$AZ$190,,MATCH(SUBSTITUTE(T$3,"Q","T"),Inputs!$B$2:$AZ$2,0)),Inputs!$B$2:$B$190,$B16)*Inputs!$D$1),"",SUMIFS(INDEX(Inputs!$B$2:$AZ$190,,MATCH(SUBSTITUTE(T$3,"Q","T"),Inputs!$B$2:$AZ$2,0)),Inputs!$B$2:$B$190,$B16)*Inputs!$D$1)</f>
        <v>0</v>
      </c>
      <c r="U16" s="57">
        <f>IF(ISNA(SUMIFS(INDEX(Inputs!$B$2:$AZ$190,,MATCH(SUBSTITUTE(U$3,"Q","T"),Inputs!$B$2:$AZ$2,0)),Inputs!$B$2:$B$190,$B16)*Inputs!$D$1),"",SUMIFS(INDEX(Inputs!$B$2:$AZ$190,,MATCH(SUBSTITUTE(U$3,"Q","T"),Inputs!$B$2:$AZ$2,0)),Inputs!$B$2:$B$190,$B16)*Inputs!$D$1)</f>
        <v>0</v>
      </c>
      <c r="V16" s="57">
        <f>IF(ISNA(SUMIFS(INDEX(Inputs!$B$2:$AZ$190,,MATCH(SUBSTITUTE(V$3,"Q","T"),Inputs!$B$2:$AZ$2,0)),Inputs!$B$2:$B$190,$B16)*Inputs!$D$1),"",SUMIFS(INDEX(Inputs!$B$2:$AZ$190,,MATCH(SUBSTITUTE(V$3,"Q","T"),Inputs!$B$2:$AZ$2,0)),Inputs!$B$2:$B$190,$B16)*Inputs!$D$1)</f>
        <v>0</v>
      </c>
      <c r="W16" s="57">
        <f>IF(ISNA(SUMIFS(INDEX(Inputs!$B$2:$AZ$190,,MATCH(SUBSTITUTE(W$3,"Q","T"),Inputs!$B$2:$AZ$2,0)),Inputs!$B$2:$B$190,$B16)*Inputs!$D$1),"",SUMIFS(INDEX(Inputs!$B$2:$AZ$190,,MATCH(SUBSTITUTE(W$3,"Q","T"),Inputs!$B$2:$AZ$2,0)),Inputs!$B$2:$B$190,$B16)*Inputs!$D$1)</f>
        <v>0</v>
      </c>
      <c r="X16" s="58">
        <f>W16</f>
        <v>0</v>
      </c>
      <c r="Y16" s="57">
        <f>IF(ISNA(SUMIFS(INDEX(Inputs!$B$2:$AZ$190,,MATCH(SUBSTITUTE(Y$3,"Q","T"),Inputs!$B$2:$AZ$2,0)),Inputs!$B$2:$B$190,$B16)*Inputs!$D$1),"",SUMIFS(INDEX(Inputs!$B$2:$AZ$190,,MATCH(SUBSTITUTE(Y$3,"Q","T"),Inputs!$B$2:$AZ$2,0)),Inputs!$B$2:$B$190,$B16)*Inputs!$D$1)</f>
        <v>0</v>
      </c>
      <c r="Z16" s="57">
        <f>IF(ISNA(SUMIFS(INDEX(Inputs!$B$2:$AZ$190,,MATCH(SUBSTITUTE(Z$3,"Q","T"),Inputs!$B$2:$AZ$2,0)),Inputs!$B$2:$B$190,$B16)*Inputs!$D$1),"",SUMIFS(INDEX(Inputs!$B$2:$AZ$190,,MATCH(SUBSTITUTE(Z$3,"Q","T"),Inputs!$B$2:$AZ$2,0)),Inputs!$B$2:$B$190,$B16)*Inputs!$D$1)</f>
        <v>0</v>
      </c>
      <c r="AA16" s="57">
        <f>IF(ISNA(SUMIFS(INDEX(Inputs!$B$2:$AZ$190,,MATCH(SUBSTITUTE(AA$3,"Q","T"),Inputs!$B$2:$AZ$2,0)),Inputs!$B$2:$B$190,$B16)*Inputs!$D$1),"",SUMIFS(INDEX(Inputs!$B$2:$AZ$190,,MATCH(SUBSTITUTE(AA$3,"Q","T"),Inputs!$B$2:$AZ$2,0)),Inputs!$B$2:$B$190,$B16)*Inputs!$D$1)</f>
        <v>0</v>
      </c>
      <c r="AB16" s="57">
        <f>IF(ISNA(SUMIFS(INDEX(Inputs!$B$2:$AZ$190,,MATCH(SUBSTITUTE(AB$3,"Q","T"),Inputs!$B$2:$AZ$2,0)),Inputs!$B$2:$B$190,$B16)*Inputs!$D$1),"",SUMIFS(INDEX(Inputs!$B$2:$AZ$190,,MATCH(SUBSTITUTE(AB$3,"Q","T"),Inputs!$B$2:$AZ$2,0)),Inputs!$B$2:$B$190,$B16)*Inputs!$D$1)</f>
        <v>0</v>
      </c>
      <c r="AC16" s="58">
        <f>AB16</f>
        <v>0</v>
      </c>
      <c r="AD16" s="57">
        <f>IF(ISNA(SUMIFS(INDEX(Inputs!$B$2:$AZ$190,,MATCH(SUBSTITUTE(AD$3,"Q","T"),Inputs!$B$2:$AZ$2,0)),Inputs!$B$2:$B$190,$B16)*Inputs!$D$1),"",SUMIFS(INDEX(Inputs!$B$2:$AZ$190,,MATCH(SUBSTITUTE(AD$3,"Q","T"),Inputs!$B$2:$AZ$2,0)),Inputs!$B$2:$B$190,$B16)*Inputs!$D$1)</f>
        <v>0</v>
      </c>
      <c r="AE16" s="57">
        <f>IF(ISNA(SUMIFS(INDEX(Inputs!$B$2:$AZ$190,,MATCH(SUBSTITUTE(AE$3,"Q","T"),Inputs!$B$2:$AZ$2,0)),Inputs!$B$2:$B$190,$B16)*Inputs!$D$1),"",SUMIFS(INDEX(Inputs!$B$2:$AZ$190,,MATCH(SUBSTITUTE(AE$3,"Q","T"),Inputs!$B$2:$AZ$2,0)),Inputs!$B$2:$B$190,$B16)*Inputs!$D$1)</f>
        <v>0</v>
      </c>
      <c r="AF16" s="57">
        <f>IF(ISNA(SUMIFS(INDEX(Inputs!$B$2:$AZ$190,,MATCH(SUBSTITUTE(AF$3,"Q","T"),Inputs!$B$2:$AZ$2,0)),Inputs!$B$2:$B$190,$B16)*Inputs!$D$1),"",SUMIFS(INDEX(Inputs!$B$2:$AZ$190,,MATCH(SUBSTITUTE(AF$3,"Q","T"),Inputs!$B$2:$AZ$2,0)),Inputs!$B$2:$B$190,$B16)*Inputs!$D$1)</f>
        <v>0</v>
      </c>
      <c r="AG16" s="57">
        <f>IF(ISNA(SUMIFS(INDEX(Inputs!$B$2:$AZ$190,,MATCH(SUBSTITUTE(AG$3,"Q","T"),Inputs!$B$2:$AZ$2,0)),Inputs!$B$2:$B$190,$B16)*Inputs!$D$1),"",SUMIFS(INDEX(Inputs!$B$2:$AZ$190,,MATCH(SUBSTITUTE(AG$3,"Q","T"),Inputs!$B$2:$AZ$2,0)),Inputs!$B$2:$B$190,$B16)*Inputs!$D$1)</f>
        <v>0</v>
      </c>
      <c r="AH16" s="58">
        <f>AG16</f>
        <v>0</v>
      </c>
      <c r="AI16" s="57">
        <f>IF(ISNA(SUMIFS(INDEX(Inputs!$B$2:$AZ$190,,MATCH(SUBSTITUTE(AI$3,"Q","T"),Inputs!$B$2:$AZ$2,0)),Inputs!$B$2:$B$190,$B16)*Inputs!$D$1),"",SUMIFS(INDEX(Inputs!$B$2:$AZ$190,,MATCH(SUBSTITUTE(AI$3,"Q","T"),Inputs!$B$2:$AZ$2,0)),Inputs!$B$2:$B$190,$B16)*Inputs!$D$1)</f>
        <v>0</v>
      </c>
      <c r="AJ16" s="57">
        <f>IF(ISNA(SUMIFS(INDEX(Inputs!$B$2:$AZ$190,,MATCH(SUBSTITUTE(AJ$3,"Q","T"),Inputs!$B$2:$AZ$2,0)),Inputs!$B$2:$B$190,$B16)*Inputs!$D$1),"",SUMIFS(INDEX(Inputs!$B$2:$AZ$190,,MATCH(SUBSTITUTE(AJ$3,"Q","T"),Inputs!$B$2:$AZ$2,0)),Inputs!$B$2:$B$190,$B16)*Inputs!$D$1)</f>
        <v>0</v>
      </c>
      <c r="AK16" s="57">
        <f>IF(ISNA(SUMIFS(INDEX(Inputs!$B$2:$AZ$190,,MATCH(SUBSTITUTE(AK$3,"Q","T"),Inputs!$B$2:$AZ$2,0)),Inputs!$B$2:$B$190,$B16)*Inputs!$D$1),"",SUMIFS(INDEX(Inputs!$B$2:$AZ$190,,MATCH(SUBSTITUTE(AK$3,"Q","T"),Inputs!$B$2:$AZ$2,0)),Inputs!$B$2:$B$190,$B16)*Inputs!$D$1)</f>
        <v>0</v>
      </c>
      <c r="AL16" s="57">
        <f>IF(ISNA(SUMIFS(INDEX(Inputs!$B$2:$AZ$190,,MATCH(SUBSTITUTE(AL$3,"Q","T"),Inputs!$B$2:$AZ$2,0)),Inputs!$B$2:$B$190,$B16)*Inputs!$D$1),"",SUMIFS(INDEX(Inputs!$B$2:$AZ$190,,MATCH(SUBSTITUTE(AL$3,"Q","T"),Inputs!$B$2:$AZ$2,0)),Inputs!$B$2:$B$190,$B16)*Inputs!$D$1)</f>
        <v>0</v>
      </c>
      <c r="AM16" s="58">
        <f>AL16</f>
        <v>0</v>
      </c>
      <c r="AN16" s="57">
        <f>IF(ISNA(SUMIFS(INDEX(Inputs!$B$2:$AZ$190,,MATCH(SUBSTITUTE(AN$3,"Q","T"),Inputs!$B$2:$AZ$2,0)),Inputs!$B$2:$B$190,$B16)*Inputs!$D$1),"",SUMIFS(INDEX(Inputs!$B$2:$AZ$190,,MATCH(SUBSTITUTE(AN$3,"Q","T"),Inputs!$B$2:$AZ$2,0)),Inputs!$B$2:$B$190,$B16)*Inputs!$D$1)</f>
        <v>0</v>
      </c>
      <c r="AO16" s="57">
        <f>IF(ISNA(SUMIFS(INDEX(Inputs!$B$2:$AZ$190,,MATCH(SUBSTITUTE(AO$3,"Q","T"),Inputs!$B$2:$AZ$2,0)),Inputs!$B$2:$B$190,$B16)*Inputs!$D$1),"",SUMIFS(INDEX(Inputs!$B$2:$AZ$190,,MATCH(SUBSTITUTE(AO$3,"Q","T"),Inputs!$B$2:$AZ$2,0)),Inputs!$B$2:$B$190,$B16)*Inputs!$D$1)</f>
        <v>0</v>
      </c>
      <c r="AP16" s="57">
        <f>IF(ISNA(SUMIFS(INDEX(Inputs!$B$2:$AZ$190,,MATCH(SUBSTITUTE(AP$3,"Q","T"),Inputs!$B$2:$AZ$2,0)),Inputs!$B$2:$B$190,$B16)*Inputs!$D$1),"",SUMIFS(INDEX(Inputs!$B$2:$AZ$190,,MATCH(SUBSTITUTE(AP$3,"Q","T"),Inputs!$B$2:$AZ$2,0)),Inputs!$B$2:$B$190,$B16)*Inputs!$D$1)</f>
        <v>0</v>
      </c>
      <c r="AQ16" s="57">
        <f>IF(ISNA(SUMIFS(INDEX(Inputs!$B$2:$AZ$190,,MATCH(SUBSTITUTE(AQ$3,"Q","T"),Inputs!$B$2:$AZ$2,0)),Inputs!$B$2:$B$190,$B16)*Inputs!$D$1),"",SUMIFS(INDEX(Inputs!$B$2:$AZ$190,,MATCH(SUBSTITUTE(AQ$3,"Q","T"),Inputs!$B$2:$AZ$2,0)),Inputs!$B$2:$B$190,$B16)*Inputs!$D$1)</f>
        <v>0</v>
      </c>
      <c r="AR16" s="58">
        <f>AQ16</f>
        <v>0</v>
      </c>
      <c r="AS16" s="57">
        <f>IF(ISNA(SUMIFS(INDEX(Inputs!$B$2:$AZ$190,,MATCH(SUBSTITUTE(AS$3,"Q","T"),Inputs!$B$2:$AZ$2,0)),Inputs!$B$2:$B$190,$B16)*Inputs!$D$1),"",SUMIFS(INDEX(Inputs!$B$2:$AZ$190,,MATCH(SUBSTITUTE(AS$3,"Q","T"),Inputs!$B$2:$AZ$2,0)),Inputs!$B$2:$B$190,$B16)*Inputs!$D$1)</f>
        <v>0</v>
      </c>
      <c r="AT16" s="57">
        <f>IF(ISNA(SUMIFS(INDEX(Inputs!$B$2:$AZ$190,,MATCH(SUBSTITUTE(AT$3,"Q","T"),Inputs!$B$2:$AZ$2,0)),Inputs!$B$2:$B$190,$B16)*Inputs!$D$1),"",SUMIFS(INDEX(Inputs!$B$2:$AZ$190,,MATCH(SUBSTITUTE(AT$3,"Q","T"),Inputs!$B$2:$AZ$2,0)),Inputs!$B$2:$B$190,$B16)*Inputs!$D$1)</f>
        <v>0</v>
      </c>
      <c r="AU16" s="57">
        <f>IF(ISNA(SUMIFS(INDEX(Inputs!$B$2:$AZ$190,,MATCH(SUBSTITUTE(AU$3,"Q","T"),Inputs!$B$2:$AZ$2,0)),Inputs!$B$2:$B$190,$B16)*Inputs!$D$1),"",SUMIFS(INDEX(Inputs!$B$2:$AZ$190,,MATCH(SUBSTITUTE(AU$3,"Q","T"),Inputs!$B$2:$AZ$2,0)),Inputs!$B$2:$B$190,$B16)*Inputs!$D$1)</f>
        <v>0</v>
      </c>
      <c r="AV16" s="57">
        <f>IF(ISNA(SUMIFS(INDEX(Inputs!$B$2:$AZ$190,,MATCH(SUBSTITUTE(AV$3,"Q","T"),Inputs!$B$2:$AZ$2,0)),Inputs!$B$2:$B$190,$B16)*Inputs!$D$1),"",SUMIFS(INDEX(Inputs!$B$2:$AZ$190,,MATCH(SUBSTITUTE(AV$3,"Q","T"),Inputs!$B$2:$AZ$2,0)),Inputs!$B$2:$B$190,$B16)*Inputs!$D$1)</f>
        <v>0</v>
      </c>
      <c r="AW16" s="58">
        <f>AV16</f>
        <v>0</v>
      </c>
      <c r="AX16" s="57">
        <f>IF(ISNA(SUMIFS(INDEX(Inputs!$B$2:$AZ$190,,MATCH(SUBSTITUTE(AX$3,"Q","T"),Inputs!$B$2:$AZ$2,0)),Inputs!$B$2:$B$190,$B16)*Inputs!$D$1),"",SUMIFS(INDEX(Inputs!$B$2:$AZ$190,,MATCH(SUBSTITUTE(AX$3,"Q","T"),Inputs!$B$2:$AZ$2,0)),Inputs!$B$2:$B$190,$B16)*Inputs!$D$1)</f>
        <v>0</v>
      </c>
      <c r="AY16" s="57">
        <f>IF(ISNA(SUMIFS(INDEX(Inputs!$B$2:$AZ$190,,MATCH(SUBSTITUTE(AY$3,"Q","T"),Inputs!$B$2:$AZ$2,0)),Inputs!$B$2:$B$190,$B16)*Inputs!$D$1),"",SUMIFS(INDEX(Inputs!$B$2:$AZ$190,,MATCH(SUBSTITUTE(AY$3,"Q","T"),Inputs!$B$2:$AZ$2,0)),Inputs!$B$2:$B$190,$B16)*Inputs!$D$1)</f>
        <v>0</v>
      </c>
      <c r="AZ16" s="57">
        <f>IF(ISNA(SUMIFS(INDEX(Inputs!$B$2:$AZ$190,,MATCH(SUBSTITUTE(AZ$3,"Q","T"),Inputs!$B$2:$AZ$2,0)),Inputs!$B$2:$B$190,$B16)*Inputs!$D$1),"",SUMIFS(INDEX(Inputs!$B$2:$AZ$190,,MATCH(SUBSTITUTE(AZ$3,"Q","T"),Inputs!$B$2:$AZ$2,0)),Inputs!$B$2:$B$190,$B16)*Inputs!$D$1)</f>
        <v>0</v>
      </c>
      <c r="BA16" s="57">
        <f>IF(ISNA(SUMIFS(INDEX(Inputs!$B$2:$AZ$190,,MATCH(SUBSTITUTE(BA$3,"Q","T"),Inputs!$B$2:$AZ$2,0)),Inputs!$B$2:$B$190,$B16)*Inputs!$D$1),"",SUMIFS(INDEX(Inputs!$B$2:$AZ$190,,MATCH(SUBSTITUTE(BA$3,"Q","T"),Inputs!$B$2:$AZ$2,0)),Inputs!$B$2:$B$190,$B16)*Inputs!$D$1)</f>
        <v>0</v>
      </c>
      <c r="BB16" s="58">
        <f>BA16</f>
        <v>0</v>
      </c>
      <c r="BC16" s="57">
        <f>IF(ISNA(SUMIFS(INDEX(Inputs!$B$2:$AZ$190,,MATCH(SUBSTITUTE(BC$3,"Q","T"),Inputs!$B$2:$AZ$2,0)),Inputs!$B$2:$B$190,$B16)*Inputs!$D$1),"",SUMIFS(INDEX(Inputs!$B$2:$AZ$190,,MATCH(SUBSTITUTE(BC$3,"Q","T"),Inputs!$B$2:$AZ$2,0)),Inputs!$B$2:$B$190,$B16)*Inputs!$D$1)</f>
        <v>0</v>
      </c>
      <c r="BD16" s="57">
        <f>IF(ISNA(SUMIFS(INDEX(Inputs!$B$2:$AZ$190,,MATCH(SUBSTITUTE(BD$3,"Q","T"),Inputs!$B$2:$AZ$2,0)),Inputs!$B$2:$B$190,$B16)*Inputs!$D$1),"",SUMIFS(INDEX(Inputs!$B$2:$AZ$190,,MATCH(SUBSTITUTE(BD$3,"Q","T"),Inputs!$B$2:$AZ$2,0)),Inputs!$B$2:$B$190,$B16)*Inputs!$D$1)</f>
        <v>0</v>
      </c>
      <c r="BE16" s="57">
        <f>IF(ISNA(SUMIFS(INDEX(Inputs!$B$2:$AZ$190,,MATCH(SUBSTITUTE(BE$3,"Q","T"),Inputs!$B$2:$AZ$2,0)),Inputs!$B$2:$B$190,$B16)*Inputs!$D$1),"",SUMIFS(INDEX(Inputs!$B$2:$AZ$190,,MATCH(SUBSTITUTE(BE$3,"Q","T"),Inputs!$B$2:$AZ$2,0)),Inputs!$B$2:$B$190,$B16)*Inputs!$D$1)</f>
        <v>0</v>
      </c>
      <c r="BF16" s="57">
        <f>IF(ISNA(SUMIFS(INDEX(Inputs!$B$2:$AZ$190,,MATCH(SUBSTITUTE(BF$3,"Q","T"),Inputs!$B$2:$AZ$2,0)),Inputs!$B$2:$B$190,$B16)*Inputs!$D$1),"",SUMIFS(INDEX(Inputs!$B$2:$AZ$190,,MATCH(SUBSTITUTE(BF$3,"Q","T"),Inputs!$B$2:$AZ$2,0)),Inputs!$B$2:$B$190,$B16)*Inputs!$D$1)</f>
        <v>0</v>
      </c>
      <c r="BG16" s="58">
        <f>BF16</f>
        <v>0</v>
      </c>
    </row>
    <row r="17">
      <c r="C17" s="15" t="inlineStr">
        <is>
          <t>Empréstimos</t>
        </is>
      </c>
      <c r="D17" s="16" t="inlineStr">
        <is>
          <t>Loans</t>
        </is>
      </c>
      <c r="E17" s="59">
        <f>IFERROR(E18+E19+E20,"")</f>
        <v>0</v>
      </c>
      <c r="F17" s="59">
        <f>IFERROR(F18+F19+F20,"")</f>
        <v>0</v>
      </c>
      <c r="G17" s="59">
        <f>IFERROR(G18+G19+G20,"")</f>
        <v>0</v>
      </c>
      <c r="H17" s="59">
        <f>IFERROR(H18+H19+H20,"")</f>
        <v>0</v>
      </c>
      <c r="I17" s="60">
        <f>H17</f>
        <v>0</v>
      </c>
      <c r="J17" s="59">
        <f>IFERROR(J18+J19+J20,"")</f>
        <v>0</v>
      </c>
      <c r="K17" s="59">
        <f>IFERROR(K18+K19+K20,"")</f>
        <v>0</v>
      </c>
      <c r="L17" s="59">
        <f>IFERROR(L18+L19+L20,"")</f>
        <v>0</v>
      </c>
      <c r="M17" s="59">
        <f>IFERROR(M18+M19+M20,"")</f>
        <v>0</v>
      </c>
      <c r="N17" s="60">
        <f>M17</f>
        <v>0</v>
      </c>
      <c r="O17" s="59">
        <f>IFERROR(O18+O19+O20,"")</f>
        <v>0</v>
      </c>
      <c r="P17" s="59">
        <f>IFERROR(P18+P19+P20,"")</f>
        <v>0</v>
      </c>
      <c r="Q17" s="59">
        <f>IFERROR(Q18+Q19+Q20,"")</f>
        <v>0</v>
      </c>
      <c r="R17" s="59">
        <f>IFERROR(R18+R19+R20,"")</f>
        <v>0</v>
      </c>
      <c r="S17" s="60">
        <f>R17</f>
        <v>0</v>
      </c>
      <c r="T17" s="59">
        <f>IFERROR(T18+T19+T20,"")</f>
        <v>0</v>
      </c>
      <c r="U17" s="59">
        <f>IFERROR(U18+U19+U20,"")</f>
        <v>0</v>
      </c>
      <c r="V17" s="59">
        <f>IFERROR(V18+V19+V20,"")</f>
        <v>0</v>
      </c>
      <c r="W17" s="59">
        <f>IFERROR(W18+W19+W20,"")</f>
        <v>0</v>
      </c>
      <c r="X17" s="60">
        <f>W17</f>
        <v>0</v>
      </c>
      <c r="Y17" s="59">
        <f>IFERROR(Y18+Y19+Y20,"")</f>
        <v>0</v>
      </c>
      <c r="Z17" s="59">
        <f>IFERROR(Z18+Z19+Z20,"")</f>
        <v>0</v>
      </c>
      <c r="AA17" s="59">
        <f>IFERROR(AA18+AA19+AA20,"")</f>
        <v>0</v>
      </c>
      <c r="AB17" s="59">
        <f>IFERROR(AB18+AB19+AB20,"")</f>
        <v>0</v>
      </c>
      <c r="AC17" s="60">
        <f>AB17</f>
        <v>0</v>
      </c>
      <c r="AD17" s="59">
        <f>IFERROR(AD18+AD19+AD20,"")</f>
        <v>0</v>
      </c>
      <c r="AE17" s="59">
        <f>IFERROR(AE18+AE19+AE20,"")</f>
        <v>0</v>
      </c>
      <c r="AF17" s="59">
        <f>IFERROR(AF18+AF19+AF20,"")</f>
        <v>0</v>
      </c>
      <c r="AG17" s="59">
        <f>IFERROR(AG18+AG19+AG20,"")</f>
        <v>0</v>
      </c>
      <c r="AH17" s="60">
        <f>AG17</f>
        <v>0</v>
      </c>
      <c r="AI17" s="59">
        <f>IFERROR(AI18+AI19+AI20,"")</f>
        <v>0</v>
      </c>
      <c r="AJ17" s="59">
        <f>IFERROR(AJ18+AJ19+AJ20,"")</f>
        <v>0</v>
      </c>
      <c r="AK17" s="59">
        <f>IFERROR(AK18+AK19+AK20,"")</f>
        <v>0</v>
      </c>
      <c r="AL17" s="59">
        <f>IFERROR(AL18+AL19+AL20,"")</f>
        <v>0</v>
      </c>
      <c r="AM17" s="60">
        <f>AL17</f>
        <v>0</v>
      </c>
      <c r="AN17" s="59">
        <f>IFERROR(AN18+AN19+AN20,"")</f>
        <v>0</v>
      </c>
      <c r="AO17" s="59">
        <f>IFERROR(AO18+AO19+AO20,"")</f>
        <v>0</v>
      </c>
      <c r="AP17" s="59">
        <f>IFERROR(AP18+AP19+AP20,"")</f>
        <v>0</v>
      </c>
      <c r="AQ17" s="59">
        <f>IFERROR(AQ18+AQ19+AQ20,"")</f>
        <v>0</v>
      </c>
      <c r="AR17" s="60">
        <f>AQ17</f>
        <v>0</v>
      </c>
      <c r="AS17" s="59">
        <f>IFERROR(AS18+AS19+AS20,"")</f>
        <v>0</v>
      </c>
      <c r="AT17" s="59">
        <f>IFERROR(AT18+AT19+AT20,"")</f>
        <v>0</v>
      </c>
      <c r="AU17" s="59">
        <f>IFERROR(AU18+AU19+AU20,"")</f>
        <v>0</v>
      </c>
      <c r="AV17" s="59">
        <f>IFERROR(AV18+AV19+AV20,"")</f>
        <v>0</v>
      </c>
      <c r="AW17" s="60">
        <f>AV17</f>
        <v>0</v>
      </c>
      <c r="AX17" s="59">
        <f>IFERROR(AX18+AX19+AX20,"")</f>
        <v>0</v>
      </c>
      <c r="AY17" s="59">
        <f>IFERROR(AY18+AY19+AY20,"")</f>
        <v>0</v>
      </c>
      <c r="AZ17" s="59">
        <f>IFERROR(AZ18+AZ19+AZ20,"")</f>
        <v>0</v>
      </c>
      <c r="BA17" s="59">
        <f>IFERROR(BA18+BA19+BA20,"")</f>
        <v>0</v>
      </c>
      <c r="BB17" s="60">
        <f>BA17</f>
        <v>0</v>
      </c>
      <c r="BC17" s="59">
        <f>IFERROR(BC18+BC19+BC20,"")</f>
        <v>0</v>
      </c>
      <c r="BD17" s="59">
        <f>IFERROR(BD18+BD19+BD20,"")</f>
        <v>0</v>
      </c>
      <c r="BE17" s="59">
        <f>IFERROR(BE18+BE19+BE20,"")</f>
        <v>0</v>
      </c>
      <c r="BF17" s="59">
        <f>IFERROR(BF18+BF19+BF20,"")</f>
        <v>0</v>
      </c>
      <c r="BG17" s="60">
        <f>BF17</f>
        <v>0</v>
      </c>
    </row>
    <row r="18" hidden="1" outlineLevel="1">
      <c r="B18" s="56" t="inlineStr">
        <is>
          <t>loans</t>
        </is>
      </c>
      <c r="C18" s="61" t="inlineStr">
        <is>
          <t>Empréstimos, líquidos de receitas diferidas</t>
        </is>
      </c>
      <c r="D18" s="62" t="inlineStr">
        <is>
          <t>Loans, net of unearned income</t>
        </is>
      </c>
      <c r="E18" s="57">
        <f>IF(ISNA(SUMIFS(INDEX(Inputs!$B$2:$AZ$190,,MATCH(SUBSTITUTE(E$3,"Q","T"),Inputs!$B$2:$AZ$2,0)),Inputs!$B$2:$B$190,$B18)*Inputs!$D$1),"",SUMIFS(INDEX(Inputs!$B$2:$AZ$190,,MATCH(SUBSTITUTE(E$3,"Q","T"),Inputs!$B$2:$AZ$2,0)),Inputs!$B$2:$B$190,$B18)*Inputs!$D$1)</f>
        <v>0</v>
      </c>
      <c r="F18" s="57">
        <f>IF(ISNA(SUMIFS(INDEX(Inputs!$B$2:$AZ$190,,MATCH(SUBSTITUTE(F$3,"Q","T"),Inputs!$B$2:$AZ$2,0)),Inputs!$B$2:$B$190,$B18)*Inputs!$D$1),"",SUMIFS(INDEX(Inputs!$B$2:$AZ$190,,MATCH(SUBSTITUTE(F$3,"Q","T"),Inputs!$B$2:$AZ$2,0)),Inputs!$B$2:$B$190,$B18)*Inputs!$D$1)</f>
        <v>0</v>
      </c>
      <c r="G18" s="57">
        <f>IF(ISNA(SUMIFS(INDEX(Inputs!$B$2:$AZ$190,,MATCH(SUBSTITUTE(G$3,"Q","T"),Inputs!$B$2:$AZ$2,0)),Inputs!$B$2:$B$190,$B18)*Inputs!$D$1),"",SUMIFS(INDEX(Inputs!$B$2:$AZ$190,,MATCH(SUBSTITUTE(G$3,"Q","T"),Inputs!$B$2:$AZ$2,0)),Inputs!$B$2:$B$190,$B18)*Inputs!$D$1)</f>
        <v>0</v>
      </c>
      <c r="H18" s="57">
        <f>IF(ISNA(SUMIFS(INDEX(Inputs!$B$2:$AZ$190,,MATCH(SUBSTITUTE(H$3,"Q","T"),Inputs!$B$2:$AZ$2,0)),Inputs!$B$2:$B$190,$B18)*Inputs!$D$1),"",SUMIFS(INDEX(Inputs!$B$2:$AZ$190,,MATCH(SUBSTITUTE(H$3,"Q","T"),Inputs!$B$2:$AZ$2,0)),Inputs!$B$2:$B$190,$B18)*Inputs!$D$1)</f>
        <v>0</v>
      </c>
      <c r="I18" s="58">
        <f>H18</f>
        <v>0</v>
      </c>
      <c r="J18" s="57">
        <f>IF(ISNA(SUMIFS(INDEX(Inputs!$B$2:$AZ$190,,MATCH(SUBSTITUTE(J$3,"Q","T"),Inputs!$B$2:$AZ$2,0)),Inputs!$B$2:$B$190,$B18)*Inputs!$D$1),"",SUMIFS(INDEX(Inputs!$B$2:$AZ$190,,MATCH(SUBSTITUTE(J$3,"Q","T"),Inputs!$B$2:$AZ$2,0)),Inputs!$B$2:$B$190,$B18)*Inputs!$D$1)</f>
        <v>0</v>
      </c>
      <c r="K18" s="57">
        <f>IF(ISNA(SUMIFS(INDEX(Inputs!$B$2:$AZ$190,,MATCH(SUBSTITUTE(K$3,"Q","T"),Inputs!$B$2:$AZ$2,0)),Inputs!$B$2:$B$190,$B18)*Inputs!$D$1),"",SUMIFS(INDEX(Inputs!$B$2:$AZ$190,,MATCH(SUBSTITUTE(K$3,"Q","T"),Inputs!$B$2:$AZ$2,0)),Inputs!$B$2:$B$190,$B18)*Inputs!$D$1)</f>
        <v>0</v>
      </c>
      <c r="L18" s="57">
        <f>IF(ISNA(SUMIFS(INDEX(Inputs!$B$2:$AZ$190,,MATCH(SUBSTITUTE(L$3,"Q","T"),Inputs!$B$2:$AZ$2,0)),Inputs!$B$2:$B$190,$B18)*Inputs!$D$1),"",SUMIFS(INDEX(Inputs!$B$2:$AZ$190,,MATCH(SUBSTITUTE(L$3,"Q","T"),Inputs!$B$2:$AZ$2,0)),Inputs!$B$2:$B$190,$B18)*Inputs!$D$1)</f>
        <v>0</v>
      </c>
      <c r="M18" s="57">
        <f>IF(ISNA(SUMIFS(INDEX(Inputs!$B$2:$AZ$190,,MATCH(SUBSTITUTE(M$3,"Q","T"),Inputs!$B$2:$AZ$2,0)),Inputs!$B$2:$B$190,$B18)*Inputs!$D$1),"",SUMIFS(INDEX(Inputs!$B$2:$AZ$190,,MATCH(SUBSTITUTE(M$3,"Q","T"),Inputs!$B$2:$AZ$2,0)),Inputs!$B$2:$B$190,$B18)*Inputs!$D$1)</f>
        <v>0</v>
      </c>
      <c r="N18" s="58">
        <f>M18</f>
        <v>0</v>
      </c>
      <c r="O18" s="57">
        <f>IF(ISNA(SUMIFS(INDEX(Inputs!$B$2:$AZ$190,,MATCH(SUBSTITUTE(O$3,"Q","T"),Inputs!$B$2:$AZ$2,0)),Inputs!$B$2:$B$190,$B18)*Inputs!$D$1),"",SUMIFS(INDEX(Inputs!$B$2:$AZ$190,,MATCH(SUBSTITUTE(O$3,"Q","T"),Inputs!$B$2:$AZ$2,0)),Inputs!$B$2:$B$190,$B18)*Inputs!$D$1)</f>
        <v>0</v>
      </c>
      <c r="P18" s="57">
        <f>IF(ISNA(SUMIFS(INDEX(Inputs!$B$2:$AZ$190,,MATCH(SUBSTITUTE(P$3,"Q","T"),Inputs!$B$2:$AZ$2,0)),Inputs!$B$2:$B$190,$B18)*Inputs!$D$1),"",SUMIFS(INDEX(Inputs!$B$2:$AZ$190,,MATCH(SUBSTITUTE(P$3,"Q","T"),Inputs!$B$2:$AZ$2,0)),Inputs!$B$2:$B$190,$B18)*Inputs!$D$1)</f>
        <v>0</v>
      </c>
      <c r="Q18" s="57">
        <f>IF(ISNA(SUMIFS(INDEX(Inputs!$B$2:$AZ$190,,MATCH(SUBSTITUTE(Q$3,"Q","T"),Inputs!$B$2:$AZ$2,0)),Inputs!$B$2:$B$190,$B18)*Inputs!$D$1),"",SUMIFS(INDEX(Inputs!$B$2:$AZ$190,,MATCH(SUBSTITUTE(Q$3,"Q","T"),Inputs!$B$2:$AZ$2,0)),Inputs!$B$2:$B$190,$B18)*Inputs!$D$1)</f>
        <v>0</v>
      </c>
      <c r="R18" s="57">
        <f>IF(ISNA(SUMIFS(INDEX(Inputs!$B$2:$AZ$190,,MATCH(SUBSTITUTE(R$3,"Q","T"),Inputs!$B$2:$AZ$2,0)),Inputs!$B$2:$B$190,$B18)*Inputs!$D$1),"",SUMIFS(INDEX(Inputs!$B$2:$AZ$190,,MATCH(SUBSTITUTE(R$3,"Q","T"),Inputs!$B$2:$AZ$2,0)),Inputs!$B$2:$B$190,$B18)*Inputs!$D$1)</f>
        <v>0</v>
      </c>
      <c r="S18" s="58">
        <f>R18</f>
        <v>0</v>
      </c>
      <c r="T18" s="57">
        <f>IF(ISNA(SUMIFS(INDEX(Inputs!$B$2:$AZ$190,,MATCH(SUBSTITUTE(T$3,"Q","T"),Inputs!$B$2:$AZ$2,0)),Inputs!$B$2:$B$190,$B18)*Inputs!$D$1),"",SUMIFS(INDEX(Inputs!$B$2:$AZ$190,,MATCH(SUBSTITUTE(T$3,"Q","T"),Inputs!$B$2:$AZ$2,0)),Inputs!$B$2:$B$190,$B18)*Inputs!$D$1)</f>
        <v>0</v>
      </c>
      <c r="U18" s="57">
        <f>IF(ISNA(SUMIFS(INDEX(Inputs!$B$2:$AZ$190,,MATCH(SUBSTITUTE(U$3,"Q","T"),Inputs!$B$2:$AZ$2,0)),Inputs!$B$2:$B$190,$B18)*Inputs!$D$1),"",SUMIFS(INDEX(Inputs!$B$2:$AZ$190,,MATCH(SUBSTITUTE(U$3,"Q","T"),Inputs!$B$2:$AZ$2,0)),Inputs!$B$2:$B$190,$B18)*Inputs!$D$1)</f>
        <v>0</v>
      </c>
      <c r="V18" s="57">
        <f>IF(ISNA(SUMIFS(INDEX(Inputs!$B$2:$AZ$190,,MATCH(SUBSTITUTE(V$3,"Q","T"),Inputs!$B$2:$AZ$2,0)),Inputs!$B$2:$B$190,$B18)*Inputs!$D$1),"",SUMIFS(INDEX(Inputs!$B$2:$AZ$190,,MATCH(SUBSTITUTE(V$3,"Q","T"),Inputs!$B$2:$AZ$2,0)),Inputs!$B$2:$B$190,$B18)*Inputs!$D$1)</f>
        <v>0</v>
      </c>
      <c r="W18" s="57">
        <f>IF(ISNA(SUMIFS(INDEX(Inputs!$B$2:$AZ$190,,MATCH(SUBSTITUTE(W$3,"Q","T"),Inputs!$B$2:$AZ$2,0)),Inputs!$B$2:$B$190,$B18)*Inputs!$D$1),"",SUMIFS(INDEX(Inputs!$B$2:$AZ$190,,MATCH(SUBSTITUTE(W$3,"Q","T"),Inputs!$B$2:$AZ$2,0)),Inputs!$B$2:$B$190,$B18)*Inputs!$D$1)</f>
        <v>0</v>
      </c>
      <c r="X18" s="58">
        <f>W18</f>
        <v>0</v>
      </c>
      <c r="Y18" s="57">
        <f>IF(ISNA(SUMIFS(INDEX(Inputs!$B$2:$AZ$190,,MATCH(SUBSTITUTE(Y$3,"Q","T"),Inputs!$B$2:$AZ$2,0)),Inputs!$B$2:$B$190,$B18)*Inputs!$D$1),"",SUMIFS(INDEX(Inputs!$B$2:$AZ$190,,MATCH(SUBSTITUTE(Y$3,"Q","T"),Inputs!$B$2:$AZ$2,0)),Inputs!$B$2:$B$190,$B18)*Inputs!$D$1)</f>
        <v>0</v>
      </c>
      <c r="Z18" s="57">
        <f>IF(ISNA(SUMIFS(INDEX(Inputs!$B$2:$AZ$190,,MATCH(SUBSTITUTE(Z$3,"Q","T"),Inputs!$B$2:$AZ$2,0)),Inputs!$B$2:$B$190,$B18)*Inputs!$D$1),"",SUMIFS(INDEX(Inputs!$B$2:$AZ$190,,MATCH(SUBSTITUTE(Z$3,"Q","T"),Inputs!$B$2:$AZ$2,0)),Inputs!$B$2:$B$190,$B18)*Inputs!$D$1)</f>
        <v>0</v>
      </c>
      <c r="AA18" s="57">
        <f>IF(ISNA(SUMIFS(INDEX(Inputs!$B$2:$AZ$190,,MATCH(SUBSTITUTE(AA$3,"Q","T"),Inputs!$B$2:$AZ$2,0)),Inputs!$B$2:$B$190,$B18)*Inputs!$D$1),"",SUMIFS(INDEX(Inputs!$B$2:$AZ$190,,MATCH(SUBSTITUTE(AA$3,"Q","T"),Inputs!$B$2:$AZ$2,0)),Inputs!$B$2:$B$190,$B18)*Inputs!$D$1)</f>
        <v>0</v>
      </c>
      <c r="AB18" s="57">
        <f>IF(ISNA(SUMIFS(INDEX(Inputs!$B$2:$AZ$190,,MATCH(SUBSTITUTE(AB$3,"Q","T"),Inputs!$B$2:$AZ$2,0)),Inputs!$B$2:$B$190,$B18)*Inputs!$D$1),"",SUMIFS(INDEX(Inputs!$B$2:$AZ$190,,MATCH(SUBSTITUTE(AB$3,"Q","T"),Inputs!$B$2:$AZ$2,0)),Inputs!$B$2:$B$190,$B18)*Inputs!$D$1)</f>
        <v>0</v>
      </c>
      <c r="AC18" s="58">
        <f>AB18</f>
        <v>0</v>
      </c>
      <c r="AD18" s="57">
        <f>IF(ISNA(SUMIFS(INDEX(Inputs!$B$2:$AZ$190,,MATCH(SUBSTITUTE(AD$3,"Q","T"),Inputs!$B$2:$AZ$2,0)),Inputs!$B$2:$B$190,$B18)*Inputs!$D$1),"",SUMIFS(INDEX(Inputs!$B$2:$AZ$190,,MATCH(SUBSTITUTE(AD$3,"Q","T"),Inputs!$B$2:$AZ$2,0)),Inputs!$B$2:$B$190,$B18)*Inputs!$D$1)</f>
        <v>0</v>
      </c>
      <c r="AE18" s="57">
        <f>IF(ISNA(SUMIFS(INDEX(Inputs!$B$2:$AZ$190,,MATCH(SUBSTITUTE(AE$3,"Q","T"),Inputs!$B$2:$AZ$2,0)),Inputs!$B$2:$B$190,$B18)*Inputs!$D$1),"",SUMIFS(INDEX(Inputs!$B$2:$AZ$190,,MATCH(SUBSTITUTE(AE$3,"Q","T"),Inputs!$B$2:$AZ$2,0)),Inputs!$B$2:$B$190,$B18)*Inputs!$D$1)</f>
        <v>0</v>
      </c>
      <c r="AF18" s="57">
        <f>IF(ISNA(SUMIFS(INDEX(Inputs!$B$2:$AZ$190,,MATCH(SUBSTITUTE(AF$3,"Q","T"),Inputs!$B$2:$AZ$2,0)),Inputs!$B$2:$B$190,$B18)*Inputs!$D$1),"",SUMIFS(INDEX(Inputs!$B$2:$AZ$190,,MATCH(SUBSTITUTE(AF$3,"Q","T"),Inputs!$B$2:$AZ$2,0)),Inputs!$B$2:$B$190,$B18)*Inputs!$D$1)</f>
        <v>0</v>
      </c>
      <c r="AG18" s="57">
        <f>IF(ISNA(SUMIFS(INDEX(Inputs!$B$2:$AZ$190,,MATCH(SUBSTITUTE(AG$3,"Q","T"),Inputs!$B$2:$AZ$2,0)),Inputs!$B$2:$B$190,$B18)*Inputs!$D$1),"",SUMIFS(INDEX(Inputs!$B$2:$AZ$190,,MATCH(SUBSTITUTE(AG$3,"Q","T"),Inputs!$B$2:$AZ$2,0)),Inputs!$B$2:$B$190,$B18)*Inputs!$D$1)</f>
        <v>0</v>
      </c>
      <c r="AH18" s="58">
        <f>AG18</f>
        <v>0</v>
      </c>
      <c r="AI18" s="57">
        <f>IF(ISNA(SUMIFS(INDEX(Inputs!$B$2:$AZ$190,,MATCH(SUBSTITUTE(AI$3,"Q","T"),Inputs!$B$2:$AZ$2,0)),Inputs!$B$2:$B$190,$B18)*Inputs!$D$1),"",SUMIFS(INDEX(Inputs!$B$2:$AZ$190,,MATCH(SUBSTITUTE(AI$3,"Q","T"),Inputs!$B$2:$AZ$2,0)),Inputs!$B$2:$B$190,$B18)*Inputs!$D$1)</f>
        <v>0</v>
      </c>
      <c r="AJ18" s="57">
        <f>IF(ISNA(SUMIFS(INDEX(Inputs!$B$2:$AZ$190,,MATCH(SUBSTITUTE(AJ$3,"Q","T"),Inputs!$B$2:$AZ$2,0)),Inputs!$B$2:$B$190,$B18)*Inputs!$D$1),"",SUMIFS(INDEX(Inputs!$B$2:$AZ$190,,MATCH(SUBSTITUTE(AJ$3,"Q","T"),Inputs!$B$2:$AZ$2,0)),Inputs!$B$2:$B$190,$B18)*Inputs!$D$1)</f>
        <v>0</v>
      </c>
      <c r="AK18" s="57">
        <f>IF(ISNA(SUMIFS(INDEX(Inputs!$B$2:$AZ$190,,MATCH(SUBSTITUTE(AK$3,"Q","T"),Inputs!$B$2:$AZ$2,0)),Inputs!$B$2:$B$190,$B18)*Inputs!$D$1),"",SUMIFS(INDEX(Inputs!$B$2:$AZ$190,,MATCH(SUBSTITUTE(AK$3,"Q","T"),Inputs!$B$2:$AZ$2,0)),Inputs!$B$2:$B$190,$B18)*Inputs!$D$1)</f>
        <v>0</v>
      </c>
      <c r="AL18" s="57">
        <f>IF(ISNA(SUMIFS(INDEX(Inputs!$B$2:$AZ$190,,MATCH(SUBSTITUTE(AL$3,"Q","T"),Inputs!$B$2:$AZ$2,0)),Inputs!$B$2:$B$190,$B18)*Inputs!$D$1),"",SUMIFS(INDEX(Inputs!$B$2:$AZ$190,,MATCH(SUBSTITUTE(AL$3,"Q","T"),Inputs!$B$2:$AZ$2,0)),Inputs!$B$2:$B$190,$B18)*Inputs!$D$1)</f>
        <v>0</v>
      </c>
      <c r="AM18" s="58">
        <f>AL18</f>
        <v>0</v>
      </c>
      <c r="AN18" s="57">
        <f>IF(ISNA(SUMIFS(INDEX(Inputs!$B$2:$AZ$190,,MATCH(SUBSTITUTE(AN$3,"Q","T"),Inputs!$B$2:$AZ$2,0)),Inputs!$B$2:$B$190,$B18)*Inputs!$D$1),"",SUMIFS(INDEX(Inputs!$B$2:$AZ$190,,MATCH(SUBSTITUTE(AN$3,"Q","T"),Inputs!$B$2:$AZ$2,0)),Inputs!$B$2:$B$190,$B18)*Inputs!$D$1)</f>
        <v>0</v>
      </c>
      <c r="AO18" s="57">
        <f>IF(ISNA(SUMIFS(INDEX(Inputs!$B$2:$AZ$190,,MATCH(SUBSTITUTE(AO$3,"Q","T"),Inputs!$B$2:$AZ$2,0)),Inputs!$B$2:$B$190,$B18)*Inputs!$D$1),"",SUMIFS(INDEX(Inputs!$B$2:$AZ$190,,MATCH(SUBSTITUTE(AO$3,"Q","T"),Inputs!$B$2:$AZ$2,0)),Inputs!$B$2:$B$190,$B18)*Inputs!$D$1)</f>
        <v>0</v>
      </c>
      <c r="AP18" s="57">
        <f>IF(ISNA(SUMIFS(INDEX(Inputs!$B$2:$AZ$190,,MATCH(SUBSTITUTE(AP$3,"Q","T"),Inputs!$B$2:$AZ$2,0)),Inputs!$B$2:$B$190,$B18)*Inputs!$D$1),"",SUMIFS(INDEX(Inputs!$B$2:$AZ$190,,MATCH(SUBSTITUTE(AP$3,"Q","T"),Inputs!$B$2:$AZ$2,0)),Inputs!$B$2:$B$190,$B18)*Inputs!$D$1)</f>
        <v>0</v>
      </c>
      <c r="AQ18" s="57">
        <f>IF(ISNA(SUMIFS(INDEX(Inputs!$B$2:$AZ$190,,MATCH(SUBSTITUTE(AQ$3,"Q","T"),Inputs!$B$2:$AZ$2,0)),Inputs!$B$2:$B$190,$B18)*Inputs!$D$1),"",SUMIFS(INDEX(Inputs!$B$2:$AZ$190,,MATCH(SUBSTITUTE(AQ$3,"Q","T"),Inputs!$B$2:$AZ$2,0)),Inputs!$B$2:$B$190,$B18)*Inputs!$D$1)</f>
        <v>0</v>
      </c>
      <c r="AR18" s="58">
        <f>AQ18</f>
        <v>0</v>
      </c>
      <c r="AS18" s="57">
        <f>IF(ISNA(SUMIFS(INDEX(Inputs!$B$2:$AZ$190,,MATCH(SUBSTITUTE(AS$3,"Q","T"),Inputs!$B$2:$AZ$2,0)),Inputs!$B$2:$B$190,$B18)*Inputs!$D$1),"",SUMIFS(INDEX(Inputs!$B$2:$AZ$190,,MATCH(SUBSTITUTE(AS$3,"Q","T"),Inputs!$B$2:$AZ$2,0)),Inputs!$B$2:$B$190,$B18)*Inputs!$D$1)</f>
        <v>0</v>
      </c>
      <c r="AT18" s="57">
        <f>IF(ISNA(SUMIFS(INDEX(Inputs!$B$2:$AZ$190,,MATCH(SUBSTITUTE(AT$3,"Q","T"),Inputs!$B$2:$AZ$2,0)),Inputs!$B$2:$B$190,$B18)*Inputs!$D$1),"",SUMIFS(INDEX(Inputs!$B$2:$AZ$190,,MATCH(SUBSTITUTE(AT$3,"Q","T"),Inputs!$B$2:$AZ$2,0)),Inputs!$B$2:$B$190,$B18)*Inputs!$D$1)</f>
        <v>0</v>
      </c>
      <c r="AU18" s="57">
        <f>IF(ISNA(SUMIFS(INDEX(Inputs!$B$2:$AZ$190,,MATCH(SUBSTITUTE(AU$3,"Q","T"),Inputs!$B$2:$AZ$2,0)),Inputs!$B$2:$B$190,$B18)*Inputs!$D$1),"",SUMIFS(INDEX(Inputs!$B$2:$AZ$190,,MATCH(SUBSTITUTE(AU$3,"Q","T"),Inputs!$B$2:$AZ$2,0)),Inputs!$B$2:$B$190,$B18)*Inputs!$D$1)</f>
        <v>0</v>
      </c>
      <c r="AV18" s="57">
        <f>IF(ISNA(SUMIFS(INDEX(Inputs!$B$2:$AZ$190,,MATCH(SUBSTITUTE(AV$3,"Q","T"),Inputs!$B$2:$AZ$2,0)),Inputs!$B$2:$B$190,$B18)*Inputs!$D$1),"",SUMIFS(INDEX(Inputs!$B$2:$AZ$190,,MATCH(SUBSTITUTE(AV$3,"Q","T"),Inputs!$B$2:$AZ$2,0)),Inputs!$B$2:$B$190,$B18)*Inputs!$D$1)</f>
        <v>0</v>
      </c>
      <c r="AW18" s="58">
        <f>AV18</f>
        <v>0</v>
      </c>
      <c r="AX18" s="57">
        <f>IF(ISNA(SUMIFS(INDEX(Inputs!$B$2:$AZ$190,,MATCH(SUBSTITUTE(AX$3,"Q","T"),Inputs!$B$2:$AZ$2,0)),Inputs!$B$2:$B$190,$B18)*Inputs!$D$1),"",SUMIFS(INDEX(Inputs!$B$2:$AZ$190,,MATCH(SUBSTITUTE(AX$3,"Q","T"),Inputs!$B$2:$AZ$2,0)),Inputs!$B$2:$B$190,$B18)*Inputs!$D$1)</f>
        <v>0</v>
      </c>
      <c r="AY18" s="57">
        <f>IF(ISNA(SUMIFS(INDEX(Inputs!$B$2:$AZ$190,,MATCH(SUBSTITUTE(AY$3,"Q","T"),Inputs!$B$2:$AZ$2,0)),Inputs!$B$2:$B$190,$B18)*Inputs!$D$1),"",SUMIFS(INDEX(Inputs!$B$2:$AZ$190,,MATCH(SUBSTITUTE(AY$3,"Q","T"),Inputs!$B$2:$AZ$2,0)),Inputs!$B$2:$B$190,$B18)*Inputs!$D$1)</f>
        <v>0</v>
      </c>
      <c r="AZ18" s="57">
        <f>IF(ISNA(SUMIFS(INDEX(Inputs!$B$2:$AZ$190,,MATCH(SUBSTITUTE(AZ$3,"Q","T"),Inputs!$B$2:$AZ$2,0)),Inputs!$B$2:$B$190,$B18)*Inputs!$D$1),"",SUMIFS(INDEX(Inputs!$B$2:$AZ$190,,MATCH(SUBSTITUTE(AZ$3,"Q","T"),Inputs!$B$2:$AZ$2,0)),Inputs!$B$2:$B$190,$B18)*Inputs!$D$1)</f>
        <v>0</v>
      </c>
      <c r="BA18" s="57">
        <f>IF(ISNA(SUMIFS(INDEX(Inputs!$B$2:$AZ$190,,MATCH(SUBSTITUTE(BA$3,"Q","T"),Inputs!$B$2:$AZ$2,0)),Inputs!$B$2:$B$190,$B18)*Inputs!$D$1),"",SUMIFS(INDEX(Inputs!$B$2:$AZ$190,,MATCH(SUBSTITUTE(BA$3,"Q","T"),Inputs!$B$2:$AZ$2,0)),Inputs!$B$2:$B$190,$B18)*Inputs!$D$1)</f>
        <v>0</v>
      </c>
      <c r="BB18" s="58">
        <f>BA18</f>
        <v>0</v>
      </c>
      <c r="BC18" s="57">
        <f>IF(ISNA(SUMIFS(INDEX(Inputs!$B$2:$AZ$190,,MATCH(SUBSTITUTE(BC$3,"Q","T"),Inputs!$B$2:$AZ$2,0)),Inputs!$B$2:$B$190,$B18)*Inputs!$D$1),"",SUMIFS(INDEX(Inputs!$B$2:$AZ$190,,MATCH(SUBSTITUTE(BC$3,"Q","T"),Inputs!$B$2:$AZ$2,0)),Inputs!$B$2:$B$190,$B18)*Inputs!$D$1)</f>
        <v>0</v>
      </c>
      <c r="BD18" s="57">
        <f>IF(ISNA(SUMIFS(INDEX(Inputs!$B$2:$AZ$190,,MATCH(SUBSTITUTE(BD$3,"Q","T"),Inputs!$B$2:$AZ$2,0)),Inputs!$B$2:$B$190,$B18)*Inputs!$D$1),"",SUMIFS(INDEX(Inputs!$B$2:$AZ$190,,MATCH(SUBSTITUTE(BD$3,"Q","T"),Inputs!$B$2:$AZ$2,0)),Inputs!$B$2:$B$190,$B18)*Inputs!$D$1)</f>
        <v>0</v>
      </c>
      <c r="BE18" s="57">
        <f>IF(ISNA(SUMIFS(INDEX(Inputs!$B$2:$AZ$190,,MATCH(SUBSTITUTE(BE$3,"Q","T"),Inputs!$B$2:$AZ$2,0)),Inputs!$B$2:$B$190,$B18)*Inputs!$D$1),"",SUMIFS(INDEX(Inputs!$B$2:$AZ$190,,MATCH(SUBSTITUTE(BE$3,"Q","T"),Inputs!$B$2:$AZ$2,0)),Inputs!$B$2:$B$190,$B18)*Inputs!$D$1)</f>
        <v>0</v>
      </c>
      <c r="BF18" s="57">
        <f>IF(ISNA(SUMIFS(INDEX(Inputs!$B$2:$AZ$190,,MATCH(SUBSTITUTE(BF$3,"Q","T"),Inputs!$B$2:$AZ$2,0)),Inputs!$B$2:$B$190,$B18)*Inputs!$D$1),"",SUMIFS(INDEX(Inputs!$B$2:$AZ$190,,MATCH(SUBSTITUTE(BF$3,"Q","T"),Inputs!$B$2:$AZ$2,0)),Inputs!$B$2:$B$190,$B18)*Inputs!$D$1)</f>
        <v>0</v>
      </c>
      <c r="BG18" s="58">
        <f>BF18</f>
        <v>0</v>
      </c>
    </row>
    <row r="19" hidden="1" outlineLevel="1">
      <c r="B19" s="56" t="inlineStr">
        <is>
          <t>loans_fv</t>
        </is>
      </c>
      <c r="C19" s="61" t="inlineStr">
        <is>
          <t>Empréstimos a valor justo / mantidos para venda (quando à parte)</t>
        </is>
      </c>
      <c r="D19" s="62" t="inlineStr">
        <is>
          <t>Loans at fair value / held for sale, if separate</t>
        </is>
      </c>
      <c r="E19" s="57">
        <f>IF(ISNA(SUMIFS(INDEX(Inputs!$B$2:$AZ$190,,MATCH(SUBSTITUTE(E$3,"Q","T"),Inputs!$B$2:$AZ$2,0)),Inputs!$B$2:$B$190,$B19)*Inputs!$D$1),"",SUMIFS(INDEX(Inputs!$B$2:$AZ$190,,MATCH(SUBSTITUTE(E$3,"Q","T"),Inputs!$B$2:$AZ$2,0)),Inputs!$B$2:$B$190,$B19)*Inputs!$D$1)</f>
        <v>0</v>
      </c>
      <c r="F19" s="57">
        <f>IF(ISNA(SUMIFS(INDEX(Inputs!$B$2:$AZ$190,,MATCH(SUBSTITUTE(F$3,"Q","T"),Inputs!$B$2:$AZ$2,0)),Inputs!$B$2:$B$190,$B19)*Inputs!$D$1),"",SUMIFS(INDEX(Inputs!$B$2:$AZ$190,,MATCH(SUBSTITUTE(F$3,"Q","T"),Inputs!$B$2:$AZ$2,0)),Inputs!$B$2:$B$190,$B19)*Inputs!$D$1)</f>
        <v>0</v>
      </c>
      <c r="G19" s="57">
        <f>IF(ISNA(SUMIFS(INDEX(Inputs!$B$2:$AZ$190,,MATCH(SUBSTITUTE(G$3,"Q","T"),Inputs!$B$2:$AZ$2,0)),Inputs!$B$2:$B$190,$B19)*Inputs!$D$1),"",SUMIFS(INDEX(Inputs!$B$2:$AZ$190,,MATCH(SUBSTITUTE(G$3,"Q","T"),Inputs!$B$2:$AZ$2,0)),Inputs!$B$2:$B$190,$B19)*Inputs!$D$1)</f>
        <v>0</v>
      </c>
      <c r="H19" s="57">
        <f>IF(ISNA(SUMIFS(INDEX(Inputs!$B$2:$AZ$190,,MATCH(SUBSTITUTE(H$3,"Q","T"),Inputs!$B$2:$AZ$2,0)),Inputs!$B$2:$B$190,$B19)*Inputs!$D$1),"",SUMIFS(INDEX(Inputs!$B$2:$AZ$190,,MATCH(SUBSTITUTE(H$3,"Q","T"),Inputs!$B$2:$AZ$2,0)),Inputs!$B$2:$B$190,$B19)*Inputs!$D$1)</f>
        <v>0</v>
      </c>
      <c r="I19" s="58">
        <f>H19</f>
        <v>0</v>
      </c>
      <c r="J19" s="57">
        <f>IF(ISNA(SUMIFS(INDEX(Inputs!$B$2:$AZ$190,,MATCH(SUBSTITUTE(J$3,"Q","T"),Inputs!$B$2:$AZ$2,0)),Inputs!$B$2:$B$190,$B19)*Inputs!$D$1),"",SUMIFS(INDEX(Inputs!$B$2:$AZ$190,,MATCH(SUBSTITUTE(J$3,"Q","T"),Inputs!$B$2:$AZ$2,0)),Inputs!$B$2:$B$190,$B19)*Inputs!$D$1)</f>
        <v>0</v>
      </c>
      <c r="K19" s="57">
        <f>IF(ISNA(SUMIFS(INDEX(Inputs!$B$2:$AZ$190,,MATCH(SUBSTITUTE(K$3,"Q","T"),Inputs!$B$2:$AZ$2,0)),Inputs!$B$2:$B$190,$B19)*Inputs!$D$1),"",SUMIFS(INDEX(Inputs!$B$2:$AZ$190,,MATCH(SUBSTITUTE(K$3,"Q","T"),Inputs!$B$2:$AZ$2,0)),Inputs!$B$2:$B$190,$B19)*Inputs!$D$1)</f>
        <v>0</v>
      </c>
      <c r="L19" s="57">
        <f>IF(ISNA(SUMIFS(INDEX(Inputs!$B$2:$AZ$190,,MATCH(SUBSTITUTE(L$3,"Q","T"),Inputs!$B$2:$AZ$2,0)),Inputs!$B$2:$B$190,$B19)*Inputs!$D$1),"",SUMIFS(INDEX(Inputs!$B$2:$AZ$190,,MATCH(SUBSTITUTE(L$3,"Q","T"),Inputs!$B$2:$AZ$2,0)),Inputs!$B$2:$B$190,$B19)*Inputs!$D$1)</f>
        <v>0</v>
      </c>
      <c r="M19" s="57">
        <f>IF(ISNA(SUMIFS(INDEX(Inputs!$B$2:$AZ$190,,MATCH(SUBSTITUTE(M$3,"Q","T"),Inputs!$B$2:$AZ$2,0)),Inputs!$B$2:$B$190,$B19)*Inputs!$D$1),"",SUMIFS(INDEX(Inputs!$B$2:$AZ$190,,MATCH(SUBSTITUTE(M$3,"Q","T"),Inputs!$B$2:$AZ$2,0)),Inputs!$B$2:$B$190,$B19)*Inputs!$D$1)</f>
        <v>0</v>
      </c>
      <c r="N19" s="58">
        <f>M19</f>
        <v>0</v>
      </c>
      <c r="O19" s="57">
        <f>IF(ISNA(SUMIFS(INDEX(Inputs!$B$2:$AZ$190,,MATCH(SUBSTITUTE(O$3,"Q","T"),Inputs!$B$2:$AZ$2,0)),Inputs!$B$2:$B$190,$B19)*Inputs!$D$1),"",SUMIFS(INDEX(Inputs!$B$2:$AZ$190,,MATCH(SUBSTITUTE(O$3,"Q","T"),Inputs!$B$2:$AZ$2,0)),Inputs!$B$2:$B$190,$B19)*Inputs!$D$1)</f>
        <v>0</v>
      </c>
      <c r="P19" s="57">
        <f>IF(ISNA(SUMIFS(INDEX(Inputs!$B$2:$AZ$190,,MATCH(SUBSTITUTE(P$3,"Q","T"),Inputs!$B$2:$AZ$2,0)),Inputs!$B$2:$B$190,$B19)*Inputs!$D$1),"",SUMIFS(INDEX(Inputs!$B$2:$AZ$190,,MATCH(SUBSTITUTE(P$3,"Q","T"),Inputs!$B$2:$AZ$2,0)),Inputs!$B$2:$B$190,$B19)*Inputs!$D$1)</f>
        <v>0</v>
      </c>
      <c r="Q19" s="57">
        <f>IF(ISNA(SUMIFS(INDEX(Inputs!$B$2:$AZ$190,,MATCH(SUBSTITUTE(Q$3,"Q","T"),Inputs!$B$2:$AZ$2,0)),Inputs!$B$2:$B$190,$B19)*Inputs!$D$1),"",SUMIFS(INDEX(Inputs!$B$2:$AZ$190,,MATCH(SUBSTITUTE(Q$3,"Q","T"),Inputs!$B$2:$AZ$2,0)),Inputs!$B$2:$B$190,$B19)*Inputs!$D$1)</f>
        <v>0</v>
      </c>
      <c r="R19" s="57">
        <f>IF(ISNA(SUMIFS(INDEX(Inputs!$B$2:$AZ$190,,MATCH(SUBSTITUTE(R$3,"Q","T"),Inputs!$B$2:$AZ$2,0)),Inputs!$B$2:$B$190,$B19)*Inputs!$D$1),"",SUMIFS(INDEX(Inputs!$B$2:$AZ$190,,MATCH(SUBSTITUTE(R$3,"Q","T"),Inputs!$B$2:$AZ$2,0)),Inputs!$B$2:$B$190,$B19)*Inputs!$D$1)</f>
        <v>0</v>
      </c>
      <c r="S19" s="58">
        <f>R19</f>
        <v>0</v>
      </c>
      <c r="T19" s="57">
        <f>IF(ISNA(SUMIFS(INDEX(Inputs!$B$2:$AZ$190,,MATCH(SUBSTITUTE(T$3,"Q","T"),Inputs!$B$2:$AZ$2,0)),Inputs!$B$2:$B$190,$B19)*Inputs!$D$1),"",SUMIFS(INDEX(Inputs!$B$2:$AZ$190,,MATCH(SUBSTITUTE(T$3,"Q","T"),Inputs!$B$2:$AZ$2,0)),Inputs!$B$2:$B$190,$B19)*Inputs!$D$1)</f>
        <v>0</v>
      </c>
      <c r="U19" s="57">
        <f>IF(ISNA(SUMIFS(INDEX(Inputs!$B$2:$AZ$190,,MATCH(SUBSTITUTE(U$3,"Q","T"),Inputs!$B$2:$AZ$2,0)),Inputs!$B$2:$B$190,$B19)*Inputs!$D$1),"",SUMIFS(INDEX(Inputs!$B$2:$AZ$190,,MATCH(SUBSTITUTE(U$3,"Q","T"),Inputs!$B$2:$AZ$2,0)),Inputs!$B$2:$B$190,$B19)*Inputs!$D$1)</f>
        <v>0</v>
      </c>
      <c r="V19" s="57">
        <f>IF(ISNA(SUMIFS(INDEX(Inputs!$B$2:$AZ$190,,MATCH(SUBSTITUTE(V$3,"Q","T"),Inputs!$B$2:$AZ$2,0)),Inputs!$B$2:$B$190,$B19)*Inputs!$D$1),"",SUMIFS(INDEX(Inputs!$B$2:$AZ$190,,MATCH(SUBSTITUTE(V$3,"Q","T"),Inputs!$B$2:$AZ$2,0)),Inputs!$B$2:$B$190,$B19)*Inputs!$D$1)</f>
        <v>0</v>
      </c>
      <c r="W19" s="57">
        <f>IF(ISNA(SUMIFS(INDEX(Inputs!$B$2:$AZ$190,,MATCH(SUBSTITUTE(W$3,"Q","T"),Inputs!$B$2:$AZ$2,0)),Inputs!$B$2:$B$190,$B19)*Inputs!$D$1),"",SUMIFS(INDEX(Inputs!$B$2:$AZ$190,,MATCH(SUBSTITUTE(W$3,"Q","T"),Inputs!$B$2:$AZ$2,0)),Inputs!$B$2:$B$190,$B19)*Inputs!$D$1)</f>
        <v>0</v>
      </c>
      <c r="X19" s="58">
        <f>W19</f>
        <v>0</v>
      </c>
      <c r="Y19" s="57">
        <f>IF(ISNA(SUMIFS(INDEX(Inputs!$B$2:$AZ$190,,MATCH(SUBSTITUTE(Y$3,"Q","T"),Inputs!$B$2:$AZ$2,0)),Inputs!$B$2:$B$190,$B19)*Inputs!$D$1),"",SUMIFS(INDEX(Inputs!$B$2:$AZ$190,,MATCH(SUBSTITUTE(Y$3,"Q","T"),Inputs!$B$2:$AZ$2,0)),Inputs!$B$2:$B$190,$B19)*Inputs!$D$1)</f>
        <v>0</v>
      </c>
      <c r="Z19" s="57">
        <f>IF(ISNA(SUMIFS(INDEX(Inputs!$B$2:$AZ$190,,MATCH(SUBSTITUTE(Z$3,"Q","T"),Inputs!$B$2:$AZ$2,0)),Inputs!$B$2:$B$190,$B19)*Inputs!$D$1),"",SUMIFS(INDEX(Inputs!$B$2:$AZ$190,,MATCH(SUBSTITUTE(Z$3,"Q","T"),Inputs!$B$2:$AZ$2,0)),Inputs!$B$2:$B$190,$B19)*Inputs!$D$1)</f>
        <v>0</v>
      </c>
      <c r="AA19" s="57">
        <f>IF(ISNA(SUMIFS(INDEX(Inputs!$B$2:$AZ$190,,MATCH(SUBSTITUTE(AA$3,"Q","T"),Inputs!$B$2:$AZ$2,0)),Inputs!$B$2:$B$190,$B19)*Inputs!$D$1),"",SUMIFS(INDEX(Inputs!$B$2:$AZ$190,,MATCH(SUBSTITUTE(AA$3,"Q","T"),Inputs!$B$2:$AZ$2,0)),Inputs!$B$2:$B$190,$B19)*Inputs!$D$1)</f>
        <v>0</v>
      </c>
      <c r="AB19" s="57">
        <f>IF(ISNA(SUMIFS(INDEX(Inputs!$B$2:$AZ$190,,MATCH(SUBSTITUTE(AB$3,"Q","T"),Inputs!$B$2:$AZ$2,0)),Inputs!$B$2:$B$190,$B19)*Inputs!$D$1),"",SUMIFS(INDEX(Inputs!$B$2:$AZ$190,,MATCH(SUBSTITUTE(AB$3,"Q","T"),Inputs!$B$2:$AZ$2,0)),Inputs!$B$2:$B$190,$B19)*Inputs!$D$1)</f>
        <v>0</v>
      </c>
      <c r="AC19" s="58">
        <f>AB19</f>
        <v>0</v>
      </c>
      <c r="AD19" s="57">
        <f>IF(ISNA(SUMIFS(INDEX(Inputs!$B$2:$AZ$190,,MATCH(SUBSTITUTE(AD$3,"Q","T"),Inputs!$B$2:$AZ$2,0)),Inputs!$B$2:$B$190,$B19)*Inputs!$D$1),"",SUMIFS(INDEX(Inputs!$B$2:$AZ$190,,MATCH(SUBSTITUTE(AD$3,"Q","T"),Inputs!$B$2:$AZ$2,0)),Inputs!$B$2:$B$190,$B19)*Inputs!$D$1)</f>
        <v>0</v>
      </c>
      <c r="AE19" s="57">
        <f>IF(ISNA(SUMIFS(INDEX(Inputs!$B$2:$AZ$190,,MATCH(SUBSTITUTE(AE$3,"Q","T"),Inputs!$B$2:$AZ$2,0)),Inputs!$B$2:$B$190,$B19)*Inputs!$D$1),"",SUMIFS(INDEX(Inputs!$B$2:$AZ$190,,MATCH(SUBSTITUTE(AE$3,"Q","T"),Inputs!$B$2:$AZ$2,0)),Inputs!$B$2:$B$190,$B19)*Inputs!$D$1)</f>
        <v>0</v>
      </c>
      <c r="AF19" s="57">
        <f>IF(ISNA(SUMIFS(INDEX(Inputs!$B$2:$AZ$190,,MATCH(SUBSTITUTE(AF$3,"Q","T"),Inputs!$B$2:$AZ$2,0)),Inputs!$B$2:$B$190,$B19)*Inputs!$D$1),"",SUMIFS(INDEX(Inputs!$B$2:$AZ$190,,MATCH(SUBSTITUTE(AF$3,"Q","T"),Inputs!$B$2:$AZ$2,0)),Inputs!$B$2:$B$190,$B19)*Inputs!$D$1)</f>
        <v>0</v>
      </c>
      <c r="AG19" s="57">
        <f>IF(ISNA(SUMIFS(INDEX(Inputs!$B$2:$AZ$190,,MATCH(SUBSTITUTE(AG$3,"Q","T"),Inputs!$B$2:$AZ$2,0)),Inputs!$B$2:$B$190,$B19)*Inputs!$D$1),"",SUMIFS(INDEX(Inputs!$B$2:$AZ$190,,MATCH(SUBSTITUTE(AG$3,"Q","T"),Inputs!$B$2:$AZ$2,0)),Inputs!$B$2:$B$190,$B19)*Inputs!$D$1)</f>
        <v>0</v>
      </c>
      <c r="AH19" s="58">
        <f>AG19</f>
        <v>0</v>
      </c>
      <c r="AI19" s="57">
        <f>IF(ISNA(SUMIFS(INDEX(Inputs!$B$2:$AZ$190,,MATCH(SUBSTITUTE(AI$3,"Q","T"),Inputs!$B$2:$AZ$2,0)),Inputs!$B$2:$B$190,$B19)*Inputs!$D$1),"",SUMIFS(INDEX(Inputs!$B$2:$AZ$190,,MATCH(SUBSTITUTE(AI$3,"Q","T"),Inputs!$B$2:$AZ$2,0)),Inputs!$B$2:$B$190,$B19)*Inputs!$D$1)</f>
        <v>0</v>
      </c>
      <c r="AJ19" s="57">
        <f>IF(ISNA(SUMIFS(INDEX(Inputs!$B$2:$AZ$190,,MATCH(SUBSTITUTE(AJ$3,"Q","T"),Inputs!$B$2:$AZ$2,0)),Inputs!$B$2:$B$190,$B19)*Inputs!$D$1),"",SUMIFS(INDEX(Inputs!$B$2:$AZ$190,,MATCH(SUBSTITUTE(AJ$3,"Q","T"),Inputs!$B$2:$AZ$2,0)),Inputs!$B$2:$B$190,$B19)*Inputs!$D$1)</f>
        <v>0</v>
      </c>
      <c r="AK19" s="57">
        <f>IF(ISNA(SUMIFS(INDEX(Inputs!$B$2:$AZ$190,,MATCH(SUBSTITUTE(AK$3,"Q","T"),Inputs!$B$2:$AZ$2,0)),Inputs!$B$2:$B$190,$B19)*Inputs!$D$1),"",SUMIFS(INDEX(Inputs!$B$2:$AZ$190,,MATCH(SUBSTITUTE(AK$3,"Q","T"),Inputs!$B$2:$AZ$2,0)),Inputs!$B$2:$B$190,$B19)*Inputs!$D$1)</f>
        <v>0</v>
      </c>
      <c r="AL19" s="57">
        <f>IF(ISNA(SUMIFS(INDEX(Inputs!$B$2:$AZ$190,,MATCH(SUBSTITUTE(AL$3,"Q","T"),Inputs!$B$2:$AZ$2,0)),Inputs!$B$2:$B$190,$B19)*Inputs!$D$1),"",SUMIFS(INDEX(Inputs!$B$2:$AZ$190,,MATCH(SUBSTITUTE(AL$3,"Q","T"),Inputs!$B$2:$AZ$2,0)),Inputs!$B$2:$B$190,$B19)*Inputs!$D$1)</f>
        <v>0</v>
      </c>
      <c r="AM19" s="58">
        <f>AL19</f>
        <v>0</v>
      </c>
      <c r="AN19" s="57">
        <f>IF(ISNA(SUMIFS(INDEX(Inputs!$B$2:$AZ$190,,MATCH(SUBSTITUTE(AN$3,"Q","T"),Inputs!$B$2:$AZ$2,0)),Inputs!$B$2:$B$190,$B19)*Inputs!$D$1),"",SUMIFS(INDEX(Inputs!$B$2:$AZ$190,,MATCH(SUBSTITUTE(AN$3,"Q","T"),Inputs!$B$2:$AZ$2,0)),Inputs!$B$2:$B$190,$B19)*Inputs!$D$1)</f>
        <v>0</v>
      </c>
      <c r="AO19" s="57">
        <f>IF(ISNA(SUMIFS(INDEX(Inputs!$B$2:$AZ$190,,MATCH(SUBSTITUTE(AO$3,"Q","T"),Inputs!$B$2:$AZ$2,0)),Inputs!$B$2:$B$190,$B19)*Inputs!$D$1),"",SUMIFS(INDEX(Inputs!$B$2:$AZ$190,,MATCH(SUBSTITUTE(AO$3,"Q","T"),Inputs!$B$2:$AZ$2,0)),Inputs!$B$2:$B$190,$B19)*Inputs!$D$1)</f>
        <v>0</v>
      </c>
      <c r="AP19" s="57">
        <f>IF(ISNA(SUMIFS(INDEX(Inputs!$B$2:$AZ$190,,MATCH(SUBSTITUTE(AP$3,"Q","T"),Inputs!$B$2:$AZ$2,0)),Inputs!$B$2:$B$190,$B19)*Inputs!$D$1),"",SUMIFS(INDEX(Inputs!$B$2:$AZ$190,,MATCH(SUBSTITUTE(AP$3,"Q","T"),Inputs!$B$2:$AZ$2,0)),Inputs!$B$2:$B$190,$B19)*Inputs!$D$1)</f>
        <v>0</v>
      </c>
      <c r="AQ19" s="57">
        <f>IF(ISNA(SUMIFS(INDEX(Inputs!$B$2:$AZ$190,,MATCH(SUBSTITUTE(AQ$3,"Q","T"),Inputs!$B$2:$AZ$2,0)),Inputs!$B$2:$B$190,$B19)*Inputs!$D$1),"",SUMIFS(INDEX(Inputs!$B$2:$AZ$190,,MATCH(SUBSTITUTE(AQ$3,"Q","T"),Inputs!$B$2:$AZ$2,0)),Inputs!$B$2:$B$190,$B19)*Inputs!$D$1)</f>
        <v>0</v>
      </c>
      <c r="AR19" s="58">
        <f>AQ19</f>
        <v>0</v>
      </c>
      <c r="AS19" s="57">
        <f>IF(ISNA(SUMIFS(INDEX(Inputs!$B$2:$AZ$190,,MATCH(SUBSTITUTE(AS$3,"Q","T"),Inputs!$B$2:$AZ$2,0)),Inputs!$B$2:$B$190,$B19)*Inputs!$D$1),"",SUMIFS(INDEX(Inputs!$B$2:$AZ$190,,MATCH(SUBSTITUTE(AS$3,"Q","T"),Inputs!$B$2:$AZ$2,0)),Inputs!$B$2:$B$190,$B19)*Inputs!$D$1)</f>
        <v>0</v>
      </c>
      <c r="AT19" s="57">
        <f>IF(ISNA(SUMIFS(INDEX(Inputs!$B$2:$AZ$190,,MATCH(SUBSTITUTE(AT$3,"Q","T"),Inputs!$B$2:$AZ$2,0)),Inputs!$B$2:$B$190,$B19)*Inputs!$D$1),"",SUMIFS(INDEX(Inputs!$B$2:$AZ$190,,MATCH(SUBSTITUTE(AT$3,"Q","T"),Inputs!$B$2:$AZ$2,0)),Inputs!$B$2:$B$190,$B19)*Inputs!$D$1)</f>
        <v>0</v>
      </c>
      <c r="AU19" s="57">
        <f>IF(ISNA(SUMIFS(INDEX(Inputs!$B$2:$AZ$190,,MATCH(SUBSTITUTE(AU$3,"Q","T"),Inputs!$B$2:$AZ$2,0)),Inputs!$B$2:$B$190,$B19)*Inputs!$D$1),"",SUMIFS(INDEX(Inputs!$B$2:$AZ$190,,MATCH(SUBSTITUTE(AU$3,"Q","T"),Inputs!$B$2:$AZ$2,0)),Inputs!$B$2:$B$190,$B19)*Inputs!$D$1)</f>
        <v>0</v>
      </c>
      <c r="AV19" s="57">
        <f>IF(ISNA(SUMIFS(INDEX(Inputs!$B$2:$AZ$190,,MATCH(SUBSTITUTE(AV$3,"Q","T"),Inputs!$B$2:$AZ$2,0)),Inputs!$B$2:$B$190,$B19)*Inputs!$D$1),"",SUMIFS(INDEX(Inputs!$B$2:$AZ$190,,MATCH(SUBSTITUTE(AV$3,"Q","T"),Inputs!$B$2:$AZ$2,0)),Inputs!$B$2:$B$190,$B19)*Inputs!$D$1)</f>
        <v>0</v>
      </c>
      <c r="AW19" s="58">
        <f>AV19</f>
        <v>0</v>
      </c>
      <c r="AX19" s="57">
        <f>IF(ISNA(SUMIFS(INDEX(Inputs!$B$2:$AZ$190,,MATCH(SUBSTITUTE(AX$3,"Q","T"),Inputs!$B$2:$AZ$2,0)),Inputs!$B$2:$B$190,$B19)*Inputs!$D$1),"",SUMIFS(INDEX(Inputs!$B$2:$AZ$190,,MATCH(SUBSTITUTE(AX$3,"Q","T"),Inputs!$B$2:$AZ$2,0)),Inputs!$B$2:$B$190,$B19)*Inputs!$D$1)</f>
        <v>0</v>
      </c>
      <c r="AY19" s="57">
        <f>IF(ISNA(SUMIFS(INDEX(Inputs!$B$2:$AZ$190,,MATCH(SUBSTITUTE(AY$3,"Q","T"),Inputs!$B$2:$AZ$2,0)),Inputs!$B$2:$B$190,$B19)*Inputs!$D$1),"",SUMIFS(INDEX(Inputs!$B$2:$AZ$190,,MATCH(SUBSTITUTE(AY$3,"Q","T"),Inputs!$B$2:$AZ$2,0)),Inputs!$B$2:$B$190,$B19)*Inputs!$D$1)</f>
        <v>0</v>
      </c>
      <c r="AZ19" s="57">
        <f>IF(ISNA(SUMIFS(INDEX(Inputs!$B$2:$AZ$190,,MATCH(SUBSTITUTE(AZ$3,"Q","T"),Inputs!$B$2:$AZ$2,0)),Inputs!$B$2:$B$190,$B19)*Inputs!$D$1),"",SUMIFS(INDEX(Inputs!$B$2:$AZ$190,,MATCH(SUBSTITUTE(AZ$3,"Q","T"),Inputs!$B$2:$AZ$2,0)),Inputs!$B$2:$B$190,$B19)*Inputs!$D$1)</f>
        <v>0</v>
      </c>
      <c r="BA19" s="57">
        <f>IF(ISNA(SUMIFS(INDEX(Inputs!$B$2:$AZ$190,,MATCH(SUBSTITUTE(BA$3,"Q","T"),Inputs!$B$2:$AZ$2,0)),Inputs!$B$2:$B$190,$B19)*Inputs!$D$1),"",SUMIFS(INDEX(Inputs!$B$2:$AZ$190,,MATCH(SUBSTITUTE(BA$3,"Q","T"),Inputs!$B$2:$AZ$2,0)),Inputs!$B$2:$B$190,$B19)*Inputs!$D$1)</f>
        <v>0</v>
      </c>
      <c r="BB19" s="58">
        <f>BA19</f>
        <v>0</v>
      </c>
      <c r="BC19" s="57">
        <f>IF(ISNA(SUMIFS(INDEX(Inputs!$B$2:$AZ$190,,MATCH(SUBSTITUTE(BC$3,"Q","T"),Inputs!$B$2:$AZ$2,0)),Inputs!$B$2:$B$190,$B19)*Inputs!$D$1),"",SUMIFS(INDEX(Inputs!$B$2:$AZ$190,,MATCH(SUBSTITUTE(BC$3,"Q","T"),Inputs!$B$2:$AZ$2,0)),Inputs!$B$2:$B$190,$B19)*Inputs!$D$1)</f>
        <v>0</v>
      </c>
      <c r="BD19" s="57">
        <f>IF(ISNA(SUMIFS(INDEX(Inputs!$B$2:$AZ$190,,MATCH(SUBSTITUTE(BD$3,"Q","T"),Inputs!$B$2:$AZ$2,0)),Inputs!$B$2:$B$190,$B19)*Inputs!$D$1),"",SUMIFS(INDEX(Inputs!$B$2:$AZ$190,,MATCH(SUBSTITUTE(BD$3,"Q","T"),Inputs!$B$2:$AZ$2,0)),Inputs!$B$2:$B$190,$B19)*Inputs!$D$1)</f>
        <v>0</v>
      </c>
      <c r="BE19" s="57">
        <f>IF(ISNA(SUMIFS(INDEX(Inputs!$B$2:$AZ$190,,MATCH(SUBSTITUTE(BE$3,"Q","T"),Inputs!$B$2:$AZ$2,0)),Inputs!$B$2:$B$190,$B19)*Inputs!$D$1),"",SUMIFS(INDEX(Inputs!$B$2:$AZ$190,,MATCH(SUBSTITUTE(BE$3,"Q","T"),Inputs!$B$2:$AZ$2,0)),Inputs!$B$2:$B$190,$B19)*Inputs!$D$1)</f>
        <v>0</v>
      </c>
      <c r="BF19" s="57">
        <f>IF(ISNA(SUMIFS(INDEX(Inputs!$B$2:$AZ$190,,MATCH(SUBSTITUTE(BF$3,"Q","T"),Inputs!$B$2:$AZ$2,0)),Inputs!$B$2:$B$190,$B19)*Inputs!$D$1),"",SUMIFS(INDEX(Inputs!$B$2:$AZ$190,,MATCH(SUBSTITUTE(BF$3,"Q","T"),Inputs!$B$2:$AZ$2,0)),Inputs!$B$2:$B$190,$B19)*Inputs!$D$1)</f>
        <v>0</v>
      </c>
      <c r="BG19" s="58">
        <f>BF19</f>
        <v>0</v>
      </c>
    </row>
    <row r="20" hidden="1" outlineLevel="1">
      <c r="B20" s="56" t="inlineStr">
        <is>
          <t>acl</t>
        </is>
      </c>
      <c r="C20" s="61" t="inlineStr">
        <is>
          <t>(Provisão para perdas de crédito — ACL, CECL)</t>
        </is>
      </c>
      <c r="D20" s="62" t="inlineStr">
        <is>
          <t>(Allowance for loan losses)</t>
        </is>
      </c>
      <c r="E20" s="57">
        <f>IF(ISNA(SUMIFS(INDEX(Inputs!$B$2:$AZ$190,,MATCH(SUBSTITUTE(E$3,"Q","T"),Inputs!$B$2:$AZ$2,0)),Inputs!$B$2:$B$190,$B20)*Inputs!$D$1),"",SUMIFS(INDEX(Inputs!$B$2:$AZ$190,,MATCH(SUBSTITUTE(E$3,"Q","T"),Inputs!$B$2:$AZ$2,0)),Inputs!$B$2:$B$190,$B20)*Inputs!$D$1)</f>
        <v>0</v>
      </c>
      <c r="F20" s="57">
        <f>IF(ISNA(SUMIFS(INDEX(Inputs!$B$2:$AZ$190,,MATCH(SUBSTITUTE(F$3,"Q","T"),Inputs!$B$2:$AZ$2,0)),Inputs!$B$2:$B$190,$B20)*Inputs!$D$1),"",SUMIFS(INDEX(Inputs!$B$2:$AZ$190,,MATCH(SUBSTITUTE(F$3,"Q","T"),Inputs!$B$2:$AZ$2,0)),Inputs!$B$2:$B$190,$B20)*Inputs!$D$1)</f>
        <v>0</v>
      </c>
      <c r="G20" s="57">
        <f>IF(ISNA(SUMIFS(INDEX(Inputs!$B$2:$AZ$190,,MATCH(SUBSTITUTE(G$3,"Q","T"),Inputs!$B$2:$AZ$2,0)),Inputs!$B$2:$B$190,$B20)*Inputs!$D$1),"",SUMIFS(INDEX(Inputs!$B$2:$AZ$190,,MATCH(SUBSTITUTE(G$3,"Q","T"),Inputs!$B$2:$AZ$2,0)),Inputs!$B$2:$B$190,$B20)*Inputs!$D$1)</f>
        <v>0</v>
      </c>
      <c r="H20" s="57">
        <f>IF(ISNA(SUMIFS(INDEX(Inputs!$B$2:$AZ$190,,MATCH(SUBSTITUTE(H$3,"Q","T"),Inputs!$B$2:$AZ$2,0)),Inputs!$B$2:$B$190,$B20)*Inputs!$D$1),"",SUMIFS(INDEX(Inputs!$B$2:$AZ$190,,MATCH(SUBSTITUTE(H$3,"Q","T"),Inputs!$B$2:$AZ$2,0)),Inputs!$B$2:$B$190,$B20)*Inputs!$D$1)</f>
        <v>0</v>
      </c>
      <c r="I20" s="58">
        <f>H20</f>
        <v>0</v>
      </c>
      <c r="J20" s="57">
        <f>IF(ISNA(SUMIFS(INDEX(Inputs!$B$2:$AZ$190,,MATCH(SUBSTITUTE(J$3,"Q","T"),Inputs!$B$2:$AZ$2,0)),Inputs!$B$2:$B$190,$B20)*Inputs!$D$1),"",SUMIFS(INDEX(Inputs!$B$2:$AZ$190,,MATCH(SUBSTITUTE(J$3,"Q","T"),Inputs!$B$2:$AZ$2,0)),Inputs!$B$2:$B$190,$B20)*Inputs!$D$1)</f>
        <v>0</v>
      </c>
      <c r="K20" s="57">
        <f>IF(ISNA(SUMIFS(INDEX(Inputs!$B$2:$AZ$190,,MATCH(SUBSTITUTE(K$3,"Q","T"),Inputs!$B$2:$AZ$2,0)),Inputs!$B$2:$B$190,$B20)*Inputs!$D$1),"",SUMIFS(INDEX(Inputs!$B$2:$AZ$190,,MATCH(SUBSTITUTE(K$3,"Q","T"),Inputs!$B$2:$AZ$2,0)),Inputs!$B$2:$B$190,$B20)*Inputs!$D$1)</f>
        <v>0</v>
      </c>
      <c r="L20" s="57">
        <f>IF(ISNA(SUMIFS(INDEX(Inputs!$B$2:$AZ$190,,MATCH(SUBSTITUTE(L$3,"Q","T"),Inputs!$B$2:$AZ$2,0)),Inputs!$B$2:$B$190,$B20)*Inputs!$D$1),"",SUMIFS(INDEX(Inputs!$B$2:$AZ$190,,MATCH(SUBSTITUTE(L$3,"Q","T"),Inputs!$B$2:$AZ$2,0)),Inputs!$B$2:$B$190,$B20)*Inputs!$D$1)</f>
        <v>0</v>
      </c>
      <c r="M20" s="57">
        <f>IF(ISNA(SUMIFS(INDEX(Inputs!$B$2:$AZ$190,,MATCH(SUBSTITUTE(M$3,"Q","T"),Inputs!$B$2:$AZ$2,0)),Inputs!$B$2:$B$190,$B20)*Inputs!$D$1),"",SUMIFS(INDEX(Inputs!$B$2:$AZ$190,,MATCH(SUBSTITUTE(M$3,"Q","T"),Inputs!$B$2:$AZ$2,0)),Inputs!$B$2:$B$190,$B20)*Inputs!$D$1)</f>
        <v>0</v>
      </c>
      <c r="N20" s="58">
        <f>M20</f>
        <v>0</v>
      </c>
      <c r="O20" s="57">
        <f>IF(ISNA(SUMIFS(INDEX(Inputs!$B$2:$AZ$190,,MATCH(SUBSTITUTE(O$3,"Q","T"),Inputs!$B$2:$AZ$2,0)),Inputs!$B$2:$B$190,$B20)*Inputs!$D$1),"",SUMIFS(INDEX(Inputs!$B$2:$AZ$190,,MATCH(SUBSTITUTE(O$3,"Q","T"),Inputs!$B$2:$AZ$2,0)),Inputs!$B$2:$B$190,$B20)*Inputs!$D$1)</f>
        <v>0</v>
      </c>
      <c r="P20" s="57">
        <f>IF(ISNA(SUMIFS(INDEX(Inputs!$B$2:$AZ$190,,MATCH(SUBSTITUTE(P$3,"Q","T"),Inputs!$B$2:$AZ$2,0)),Inputs!$B$2:$B$190,$B20)*Inputs!$D$1),"",SUMIFS(INDEX(Inputs!$B$2:$AZ$190,,MATCH(SUBSTITUTE(P$3,"Q","T"),Inputs!$B$2:$AZ$2,0)),Inputs!$B$2:$B$190,$B20)*Inputs!$D$1)</f>
        <v>0</v>
      </c>
      <c r="Q20" s="57">
        <f>IF(ISNA(SUMIFS(INDEX(Inputs!$B$2:$AZ$190,,MATCH(SUBSTITUTE(Q$3,"Q","T"),Inputs!$B$2:$AZ$2,0)),Inputs!$B$2:$B$190,$B20)*Inputs!$D$1),"",SUMIFS(INDEX(Inputs!$B$2:$AZ$190,,MATCH(SUBSTITUTE(Q$3,"Q","T"),Inputs!$B$2:$AZ$2,0)),Inputs!$B$2:$B$190,$B20)*Inputs!$D$1)</f>
        <v>0</v>
      </c>
      <c r="R20" s="57">
        <f>IF(ISNA(SUMIFS(INDEX(Inputs!$B$2:$AZ$190,,MATCH(SUBSTITUTE(R$3,"Q","T"),Inputs!$B$2:$AZ$2,0)),Inputs!$B$2:$B$190,$B20)*Inputs!$D$1),"",SUMIFS(INDEX(Inputs!$B$2:$AZ$190,,MATCH(SUBSTITUTE(R$3,"Q","T"),Inputs!$B$2:$AZ$2,0)),Inputs!$B$2:$B$190,$B20)*Inputs!$D$1)</f>
        <v>0</v>
      </c>
      <c r="S20" s="58">
        <f>R20</f>
        <v>0</v>
      </c>
      <c r="T20" s="57">
        <f>IF(ISNA(SUMIFS(INDEX(Inputs!$B$2:$AZ$190,,MATCH(SUBSTITUTE(T$3,"Q","T"),Inputs!$B$2:$AZ$2,0)),Inputs!$B$2:$B$190,$B20)*Inputs!$D$1),"",SUMIFS(INDEX(Inputs!$B$2:$AZ$190,,MATCH(SUBSTITUTE(T$3,"Q","T"),Inputs!$B$2:$AZ$2,0)),Inputs!$B$2:$B$190,$B20)*Inputs!$D$1)</f>
        <v>0</v>
      </c>
      <c r="U20" s="57">
        <f>IF(ISNA(SUMIFS(INDEX(Inputs!$B$2:$AZ$190,,MATCH(SUBSTITUTE(U$3,"Q","T"),Inputs!$B$2:$AZ$2,0)),Inputs!$B$2:$B$190,$B20)*Inputs!$D$1),"",SUMIFS(INDEX(Inputs!$B$2:$AZ$190,,MATCH(SUBSTITUTE(U$3,"Q","T"),Inputs!$B$2:$AZ$2,0)),Inputs!$B$2:$B$190,$B20)*Inputs!$D$1)</f>
        <v>0</v>
      </c>
      <c r="V20" s="57">
        <f>IF(ISNA(SUMIFS(INDEX(Inputs!$B$2:$AZ$190,,MATCH(SUBSTITUTE(V$3,"Q","T"),Inputs!$B$2:$AZ$2,0)),Inputs!$B$2:$B$190,$B20)*Inputs!$D$1),"",SUMIFS(INDEX(Inputs!$B$2:$AZ$190,,MATCH(SUBSTITUTE(V$3,"Q","T"),Inputs!$B$2:$AZ$2,0)),Inputs!$B$2:$B$190,$B20)*Inputs!$D$1)</f>
        <v>0</v>
      </c>
      <c r="W20" s="57">
        <f>IF(ISNA(SUMIFS(INDEX(Inputs!$B$2:$AZ$190,,MATCH(SUBSTITUTE(W$3,"Q","T"),Inputs!$B$2:$AZ$2,0)),Inputs!$B$2:$B$190,$B20)*Inputs!$D$1),"",SUMIFS(INDEX(Inputs!$B$2:$AZ$190,,MATCH(SUBSTITUTE(W$3,"Q","T"),Inputs!$B$2:$AZ$2,0)),Inputs!$B$2:$B$190,$B20)*Inputs!$D$1)</f>
        <v>0</v>
      </c>
      <c r="X20" s="58">
        <f>W20</f>
        <v>0</v>
      </c>
      <c r="Y20" s="57">
        <f>IF(ISNA(SUMIFS(INDEX(Inputs!$B$2:$AZ$190,,MATCH(SUBSTITUTE(Y$3,"Q","T"),Inputs!$B$2:$AZ$2,0)),Inputs!$B$2:$B$190,$B20)*Inputs!$D$1),"",SUMIFS(INDEX(Inputs!$B$2:$AZ$190,,MATCH(SUBSTITUTE(Y$3,"Q","T"),Inputs!$B$2:$AZ$2,0)),Inputs!$B$2:$B$190,$B20)*Inputs!$D$1)</f>
        <v>0</v>
      </c>
      <c r="Z20" s="57">
        <f>IF(ISNA(SUMIFS(INDEX(Inputs!$B$2:$AZ$190,,MATCH(SUBSTITUTE(Z$3,"Q","T"),Inputs!$B$2:$AZ$2,0)),Inputs!$B$2:$B$190,$B20)*Inputs!$D$1),"",SUMIFS(INDEX(Inputs!$B$2:$AZ$190,,MATCH(SUBSTITUTE(Z$3,"Q","T"),Inputs!$B$2:$AZ$2,0)),Inputs!$B$2:$B$190,$B20)*Inputs!$D$1)</f>
        <v>0</v>
      </c>
      <c r="AA20" s="57">
        <f>IF(ISNA(SUMIFS(INDEX(Inputs!$B$2:$AZ$190,,MATCH(SUBSTITUTE(AA$3,"Q","T"),Inputs!$B$2:$AZ$2,0)),Inputs!$B$2:$B$190,$B20)*Inputs!$D$1),"",SUMIFS(INDEX(Inputs!$B$2:$AZ$190,,MATCH(SUBSTITUTE(AA$3,"Q","T"),Inputs!$B$2:$AZ$2,0)),Inputs!$B$2:$B$190,$B20)*Inputs!$D$1)</f>
        <v>0</v>
      </c>
      <c r="AB20" s="57">
        <f>IF(ISNA(SUMIFS(INDEX(Inputs!$B$2:$AZ$190,,MATCH(SUBSTITUTE(AB$3,"Q","T"),Inputs!$B$2:$AZ$2,0)),Inputs!$B$2:$B$190,$B20)*Inputs!$D$1),"",SUMIFS(INDEX(Inputs!$B$2:$AZ$190,,MATCH(SUBSTITUTE(AB$3,"Q","T"),Inputs!$B$2:$AZ$2,0)),Inputs!$B$2:$B$190,$B20)*Inputs!$D$1)</f>
        <v>0</v>
      </c>
      <c r="AC20" s="58">
        <f>AB20</f>
        <v>0</v>
      </c>
      <c r="AD20" s="57">
        <f>IF(ISNA(SUMIFS(INDEX(Inputs!$B$2:$AZ$190,,MATCH(SUBSTITUTE(AD$3,"Q","T"),Inputs!$B$2:$AZ$2,0)),Inputs!$B$2:$B$190,$B20)*Inputs!$D$1),"",SUMIFS(INDEX(Inputs!$B$2:$AZ$190,,MATCH(SUBSTITUTE(AD$3,"Q","T"),Inputs!$B$2:$AZ$2,0)),Inputs!$B$2:$B$190,$B20)*Inputs!$D$1)</f>
        <v>0</v>
      </c>
      <c r="AE20" s="57">
        <f>IF(ISNA(SUMIFS(INDEX(Inputs!$B$2:$AZ$190,,MATCH(SUBSTITUTE(AE$3,"Q","T"),Inputs!$B$2:$AZ$2,0)),Inputs!$B$2:$B$190,$B20)*Inputs!$D$1),"",SUMIFS(INDEX(Inputs!$B$2:$AZ$190,,MATCH(SUBSTITUTE(AE$3,"Q","T"),Inputs!$B$2:$AZ$2,0)),Inputs!$B$2:$B$190,$B20)*Inputs!$D$1)</f>
        <v>0</v>
      </c>
      <c r="AF20" s="57">
        <f>IF(ISNA(SUMIFS(INDEX(Inputs!$B$2:$AZ$190,,MATCH(SUBSTITUTE(AF$3,"Q","T"),Inputs!$B$2:$AZ$2,0)),Inputs!$B$2:$B$190,$B20)*Inputs!$D$1),"",SUMIFS(INDEX(Inputs!$B$2:$AZ$190,,MATCH(SUBSTITUTE(AF$3,"Q","T"),Inputs!$B$2:$AZ$2,0)),Inputs!$B$2:$B$190,$B20)*Inputs!$D$1)</f>
        <v>0</v>
      </c>
      <c r="AG20" s="57">
        <f>IF(ISNA(SUMIFS(INDEX(Inputs!$B$2:$AZ$190,,MATCH(SUBSTITUTE(AG$3,"Q","T"),Inputs!$B$2:$AZ$2,0)),Inputs!$B$2:$B$190,$B20)*Inputs!$D$1),"",SUMIFS(INDEX(Inputs!$B$2:$AZ$190,,MATCH(SUBSTITUTE(AG$3,"Q","T"),Inputs!$B$2:$AZ$2,0)),Inputs!$B$2:$B$190,$B20)*Inputs!$D$1)</f>
        <v>0</v>
      </c>
      <c r="AH20" s="58">
        <f>AG20</f>
        <v>0</v>
      </c>
      <c r="AI20" s="57">
        <f>IF(ISNA(SUMIFS(INDEX(Inputs!$B$2:$AZ$190,,MATCH(SUBSTITUTE(AI$3,"Q","T"),Inputs!$B$2:$AZ$2,0)),Inputs!$B$2:$B$190,$B20)*Inputs!$D$1),"",SUMIFS(INDEX(Inputs!$B$2:$AZ$190,,MATCH(SUBSTITUTE(AI$3,"Q","T"),Inputs!$B$2:$AZ$2,0)),Inputs!$B$2:$B$190,$B20)*Inputs!$D$1)</f>
        <v>0</v>
      </c>
      <c r="AJ20" s="57">
        <f>IF(ISNA(SUMIFS(INDEX(Inputs!$B$2:$AZ$190,,MATCH(SUBSTITUTE(AJ$3,"Q","T"),Inputs!$B$2:$AZ$2,0)),Inputs!$B$2:$B$190,$B20)*Inputs!$D$1),"",SUMIFS(INDEX(Inputs!$B$2:$AZ$190,,MATCH(SUBSTITUTE(AJ$3,"Q","T"),Inputs!$B$2:$AZ$2,0)),Inputs!$B$2:$B$190,$B20)*Inputs!$D$1)</f>
        <v>0</v>
      </c>
      <c r="AK20" s="57">
        <f>IF(ISNA(SUMIFS(INDEX(Inputs!$B$2:$AZ$190,,MATCH(SUBSTITUTE(AK$3,"Q","T"),Inputs!$B$2:$AZ$2,0)),Inputs!$B$2:$B$190,$B20)*Inputs!$D$1),"",SUMIFS(INDEX(Inputs!$B$2:$AZ$190,,MATCH(SUBSTITUTE(AK$3,"Q","T"),Inputs!$B$2:$AZ$2,0)),Inputs!$B$2:$B$190,$B20)*Inputs!$D$1)</f>
        <v>0</v>
      </c>
      <c r="AL20" s="57">
        <f>IF(ISNA(SUMIFS(INDEX(Inputs!$B$2:$AZ$190,,MATCH(SUBSTITUTE(AL$3,"Q","T"),Inputs!$B$2:$AZ$2,0)),Inputs!$B$2:$B$190,$B20)*Inputs!$D$1),"",SUMIFS(INDEX(Inputs!$B$2:$AZ$190,,MATCH(SUBSTITUTE(AL$3,"Q","T"),Inputs!$B$2:$AZ$2,0)),Inputs!$B$2:$B$190,$B20)*Inputs!$D$1)</f>
        <v>0</v>
      </c>
      <c r="AM20" s="58">
        <f>AL20</f>
        <v>0</v>
      </c>
      <c r="AN20" s="57">
        <f>IF(ISNA(SUMIFS(INDEX(Inputs!$B$2:$AZ$190,,MATCH(SUBSTITUTE(AN$3,"Q","T"),Inputs!$B$2:$AZ$2,0)),Inputs!$B$2:$B$190,$B20)*Inputs!$D$1),"",SUMIFS(INDEX(Inputs!$B$2:$AZ$190,,MATCH(SUBSTITUTE(AN$3,"Q","T"),Inputs!$B$2:$AZ$2,0)),Inputs!$B$2:$B$190,$B20)*Inputs!$D$1)</f>
        <v>0</v>
      </c>
      <c r="AO20" s="57">
        <f>IF(ISNA(SUMIFS(INDEX(Inputs!$B$2:$AZ$190,,MATCH(SUBSTITUTE(AO$3,"Q","T"),Inputs!$B$2:$AZ$2,0)),Inputs!$B$2:$B$190,$B20)*Inputs!$D$1),"",SUMIFS(INDEX(Inputs!$B$2:$AZ$190,,MATCH(SUBSTITUTE(AO$3,"Q","T"),Inputs!$B$2:$AZ$2,0)),Inputs!$B$2:$B$190,$B20)*Inputs!$D$1)</f>
        <v>0</v>
      </c>
      <c r="AP20" s="57">
        <f>IF(ISNA(SUMIFS(INDEX(Inputs!$B$2:$AZ$190,,MATCH(SUBSTITUTE(AP$3,"Q","T"),Inputs!$B$2:$AZ$2,0)),Inputs!$B$2:$B$190,$B20)*Inputs!$D$1),"",SUMIFS(INDEX(Inputs!$B$2:$AZ$190,,MATCH(SUBSTITUTE(AP$3,"Q","T"),Inputs!$B$2:$AZ$2,0)),Inputs!$B$2:$B$190,$B20)*Inputs!$D$1)</f>
        <v>0</v>
      </c>
      <c r="AQ20" s="57">
        <f>IF(ISNA(SUMIFS(INDEX(Inputs!$B$2:$AZ$190,,MATCH(SUBSTITUTE(AQ$3,"Q","T"),Inputs!$B$2:$AZ$2,0)),Inputs!$B$2:$B$190,$B20)*Inputs!$D$1),"",SUMIFS(INDEX(Inputs!$B$2:$AZ$190,,MATCH(SUBSTITUTE(AQ$3,"Q","T"),Inputs!$B$2:$AZ$2,0)),Inputs!$B$2:$B$190,$B20)*Inputs!$D$1)</f>
        <v>0</v>
      </c>
      <c r="AR20" s="58">
        <f>AQ20</f>
        <v>0</v>
      </c>
      <c r="AS20" s="57">
        <f>IF(ISNA(SUMIFS(INDEX(Inputs!$B$2:$AZ$190,,MATCH(SUBSTITUTE(AS$3,"Q","T"),Inputs!$B$2:$AZ$2,0)),Inputs!$B$2:$B$190,$B20)*Inputs!$D$1),"",SUMIFS(INDEX(Inputs!$B$2:$AZ$190,,MATCH(SUBSTITUTE(AS$3,"Q","T"),Inputs!$B$2:$AZ$2,0)),Inputs!$B$2:$B$190,$B20)*Inputs!$D$1)</f>
        <v>0</v>
      </c>
      <c r="AT20" s="57">
        <f>IF(ISNA(SUMIFS(INDEX(Inputs!$B$2:$AZ$190,,MATCH(SUBSTITUTE(AT$3,"Q","T"),Inputs!$B$2:$AZ$2,0)),Inputs!$B$2:$B$190,$B20)*Inputs!$D$1),"",SUMIFS(INDEX(Inputs!$B$2:$AZ$190,,MATCH(SUBSTITUTE(AT$3,"Q","T"),Inputs!$B$2:$AZ$2,0)),Inputs!$B$2:$B$190,$B20)*Inputs!$D$1)</f>
        <v>0</v>
      </c>
      <c r="AU20" s="57">
        <f>IF(ISNA(SUMIFS(INDEX(Inputs!$B$2:$AZ$190,,MATCH(SUBSTITUTE(AU$3,"Q","T"),Inputs!$B$2:$AZ$2,0)),Inputs!$B$2:$B$190,$B20)*Inputs!$D$1),"",SUMIFS(INDEX(Inputs!$B$2:$AZ$190,,MATCH(SUBSTITUTE(AU$3,"Q","T"),Inputs!$B$2:$AZ$2,0)),Inputs!$B$2:$B$190,$B20)*Inputs!$D$1)</f>
        <v>0</v>
      </c>
      <c r="AV20" s="57">
        <f>IF(ISNA(SUMIFS(INDEX(Inputs!$B$2:$AZ$190,,MATCH(SUBSTITUTE(AV$3,"Q","T"),Inputs!$B$2:$AZ$2,0)),Inputs!$B$2:$B$190,$B20)*Inputs!$D$1),"",SUMIFS(INDEX(Inputs!$B$2:$AZ$190,,MATCH(SUBSTITUTE(AV$3,"Q","T"),Inputs!$B$2:$AZ$2,0)),Inputs!$B$2:$B$190,$B20)*Inputs!$D$1)</f>
        <v>0</v>
      </c>
      <c r="AW20" s="58">
        <f>AV20</f>
        <v>0</v>
      </c>
      <c r="AX20" s="57">
        <f>IF(ISNA(SUMIFS(INDEX(Inputs!$B$2:$AZ$190,,MATCH(SUBSTITUTE(AX$3,"Q","T"),Inputs!$B$2:$AZ$2,0)),Inputs!$B$2:$B$190,$B20)*Inputs!$D$1),"",SUMIFS(INDEX(Inputs!$B$2:$AZ$190,,MATCH(SUBSTITUTE(AX$3,"Q","T"),Inputs!$B$2:$AZ$2,0)),Inputs!$B$2:$B$190,$B20)*Inputs!$D$1)</f>
        <v>0</v>
      </c>
      <c r="AY20" s="57">
        <f>IF(ISNA(SUMIFS(INDEX(Inputs!$B$2:$AZ$190,,MATCH(SUBSTITUTE(AY$3,"Q","T"),Inputs!$B$2:$AZ$2,0)),Inputs!$B$2:$B$190,$B20)*Inputs!$D$1),"",SUMIFS(INDEX(Inputs!$B$2:$AZ$190,,MATCH(SUBSTITUTE(AY$3,"Q","T"),Inputs!$B$2:$AZ$2,0)),Inputs!$B$2:$B$190,$B20)*Inputs!$D$1)</f>
        <v>0</v>
      </c>
      <c r="AZ20" s="57">
        <f>IF(ISNA(SUMIFS(INDEX(Inputs!$B$2:$AZ$190,,MATCH(SUBSTITUTE(AZ$3,"Q","T"),Inputs!$B$2:$AZ$2,0)),Inputs!$B$2:$B$190,$B20)*Inputs!$D$1),"",SUMIFS(INDEX(Inputs!$B$2:$AZ$190,,MATCH(SUBSTITUTE(AZ$3,"Q","T"),Inputs!$B$2:$AZ$2,0)),Inputs!$B$2:$B$190,$B20)*Inputs!$D$1)</f>
        <v>0</v>
      </c>
      <c r="BA20" s="57">
        <f>IF(ISNA(SUMIFS(INDEX(Inputs!$B$2:$AZ$190,,MATCH(SUBSTITUTE(BA$3,"Q","T"),Inputs!$B$2:$AZ$2,0)),Inputs!$B$2:$B$190,$B20)*Inputs!$D$1),"",SUMIFS(INDEX(Inputs!$B$2:$AZ$190,,MATCH(SUBSTITUTE(BA$3,"Q","T"),Inputs!$B$2:$AZ$2,0)),Inputs!$B$2:$B$190,$B20)*Inputs!$D$1)</f>
        <v>0</v>
      </c>
      <c r="BB20" s="58">
        <f>BA20</f>
        <v>0</v>
      </c>
      <c r="BC20" s="57">
        <f>IF(ISNA(SUMIFS(INDEX(Inputs!$B$2:$AZ$190,,MATCH(SUBSTITUTE(BC$3,"Q","T"),Inputs!$B$2:$AZ$2,0)),Inputs!$B$2:$B$190,$B20)*Inputs!$D$1),"",SUMIFS(INDEX(Inputs!$B$2:$AZ$190,,MATCH(SUBSTITUTE(BC$3,"Q","T"),Inputs!$B$2:$AZ$2,0)),Inputs!$B$2:$B$190,$B20)*Inputs!$D$1)</f>
        <v>0</v>
      </c>
      <c r="BD20" s="57">
        <f>IF(ISNA(SUMIFS(INDEX(Inputs!$B$2:$AZ$190,,MATCH(SUBSTITUTE(BD$3,"Q","T"),Inputs!$B$2:$AZ$2,0)),Inputs!$B$2:$B$190,$B20)*Inputs!$D$1),"",SUMIFS(INDEX(Inputs!$B$2:$AZ$190,,MATCH(SUBSTITUTE(BD$3,"Q","T"),Inputs!$B$2:$AZ$2,0)),Inputs!$B$2:$B$190,$B20)*Inputs!$D$1)</f>
        <v>0</v>
      </c>
      <c r="BE20" s="57">
        <f>IF(ISNA(SUMIFS(INDEX(Inputs!$B$2:$AZ$190,,MATCH(SUBSTITUTE(BE$3,"Q","T"),Inputs!$B$2:$AZ$2,0)),Inputs!$B$2:$B$190,$B20)*Inputs!$D$1),"",SUMIFS(INDEX(Inputs!$B$2:$AZ$190,,MATCH(SUBSTITUTE(BE$3,"Q","T"),Inputs!$B$2:$AZ$2,0)),Inputs!$B$2:$B$190,$B20)*Inputs!$D$1)</f>
        <v>0</v>
      </c>
      <c r="BF20" s="57">
        <f>IF(ISNA(SUMIFS(INDEX(Inputs!$B$2:$AZ$190,,MATCH(SUBSTITUTE(BF$3,"Q","T"),Inputs!$B$2:$AZ$2,0)),Inputs!$B$2:$B$190,$B20)*Inputs!$D$1),"",SUMIFS(INDEX(Inputs!$B$2:$AZ$190,,MATCH(SUBSTITUTE(BF$3,"Q","T"),Inputs!$B$2:$AZ$2,0)),Inputs!$B$2:$B$190,$B20)*Inputs!$D$1)</f>
        <v>0</v>
      </c>
      <c r="BG20" s="58">
        <f>BF20</f>
        <v>0</v>
      </c>
    </row>
    <row r="21">
      <c r="B21" s="56" t="inlineStr">
        <is>
          <t>receivables</t>
        </is>
      </c>
      <c r="C21" s="11" t="inlineStr">
        <is>
          <t>Juros e contas a receber</t>
        </is>
      </c>
      <c r="D21" s="12" t="inlineStr">
        <is>
          <t>Accrued interest and accounts receivable</t>
        </is>
      </c>
      <c r="E21" s="57">
        <f>IF(ISNA(SUMIFS(INDEX(Inputs!$B$2:$AZ$190,,MATCH(SUBSTITUTE(E$3,"Q","T"),Inputs!$B$2:$AZ$2,0)),Inputs!$B$2:$B$190,$B21)*Inputs!$D$1),"",SUMIFS(INDEX(Inputs!$B$2:$AZ$190,,MATCH(SUBSTITUTE(E$3,"Q","T"),Inputs!$B$2:$AZ$2,0)),Inputs!$B$2:$B$190,$B21)*Inputs!$D$1)</f>
        <v>0</v>
      </c>
      <c r="F21" s="57">
        <f>IF(ISNA(SUMIFS(INDEX(Inputs!$B$2:$AZ$190,,MATCH(SUBSTITUTE(F$3,"Q","T"),Inputs!$B$2:$AZ$2,0)),Inputs!$B$2:$B$190,$B21)*Inputs!$D$1),"",SUMIFS(INDEX(Inputs!$B$2:$AZ$190,,MATCH(SUBSTITUTE(F$3,"Q","T"),Inputs!$B$2:$AZ$2,0)),Inputs!$B$2:$B$190,$B21)*Inputs!$D$1)</f>
        <v>0</v>
      </c>
      <c r="G21" s="57">
        <f>IF(ISNA(SUMIFS(INDEX(Inputs!$B$2:$AZ$190,,MATCH(SUBSTITUTE(G$3,"Q","T"),Inputs!$B$2:$AZ$2,0)),Inputs!$B$2:$B$190,$B21)*Inputs!$D$1),"",SUMIFS(INDEX(Inputs!$B$2:$AZ$190,,MATCH(SUBSTITUTE(G$3,"Q","T"),Inputs!$B$2:$AZ$2,0)),Inputs!$B$2:$B$190,$B21)*Inputs!$D$1)</f>
        <v>0</v>
      </c>
      <c r="H21" s="57">
        <f>IF(ISNA(SUMIFS(INDEX(Inputs!$B$2:$AZ$190,,MATCH(SUBSTITUTE(H$3,"Q","T"),Inputs!$B$2:$AZ$2,0)),Inputs!$B$2:$B$190,$B21)*Inputs!$D$1),"",SUMIFS(INDEX(Inputs!$B$2:$AZ$190,,MATCH(SUBSTITUTE(H$3,"Q","T"),Inputs!$B$2:$AZ$2,0)),Inputs!$B$2:$B$190,$B21)*Inputs!$D$1)</f>
        <v>0</v>
      </c>
      <c r="I21" s="58">
        <f>H21</f>
        <v>0</v>
      </c>
      <c r="J21" s="57">
        <f>IF(ISNA(SUMIFS(INDEX(Inputs!$B$2:$AZ$190,,MATCH(SUBSTITUTE(J$3,"Q","T"),Inputs!$B$2:$AZ$2,0)),Inputs!$B$2:$B$190,$B21)*Inputs!$D$1),"",SUMIFS(INDEX(Inputs!$B$2:$AZ$190,,MATCH(SUBSTITUTE(J$3,"Q","T"),Inputs!$B$2:$AZ$2,0)),Inputs!$B$2:$B$190,$B21)*Inputs!$D$1)</f>
        <v>0</v>
      </c>
      <c r="K21" s="57">
        <f>IF(ISNA(SUMIFS(INDEX(Inputs!$B$2:$AZ$190,,MATCH(SUBSTITUTE(K$3,"Q","T"),Inputs!$B$2:$AZ$2,0)),Inputs!$B$2:$B$190,$B21)*Inputs!$D$1),"",SUMIFS(INDEX(Inputs!$B$2:$AZ$190,,MATCH(SUBSTITUTE(K$3,"Q","T"),Inputs!$B$2:$AZ$2,0)),Inputs!$B$2:$B$190,$B21)*Inputs!$D$1)</f>
        <v>0</v>
      </c>
      <c r="L21" s="57">
        <f>IF(ISNA(SUMIFS(INDEX(Inputs!$B$2:$AZ$190,,MATCH(SUBSTITUTE(L$3,"Q","T"),Inputs!$B$2:$AZ$2,0)),Inputs!$B$2:$B$190,$B21)*Inputs!$D$1),"",SUMIFS(INDEX(Inputs!$B$2:$AZ$190,,MATCH(SUBSTITUTE(L$3,"Q","T"),Inputs!$B$2:$AZ$2,0)),Inputs!$B$2:$B$190,$B21)*Inputs!$D$1)</f>
        <v>0</v>
      </c>
      <c r="M21" s="57">
        <f>IF(ISNA(SUMIFS(INDEX(Inputs!$B$2:$AZ$190,,MATCH(SUBSTITUTE(M$3,"Q","T"),Inputs!$B$2:$AZ$2,0)),Inputs!$B$2:$B$190,$B21)*Inputs!$D$1),"",SUMIFS(INDEX(Inputs!$B$2:$AZ$190,,MATCH(SUBSTITUTE(M$3,"Q","T"),Inputs!$B$2:$AZ$2,0)),Inputs!$B$2:$B$190,$B21)*Inputs!$D$1)</f>
        <v>0</v>
      </c>
      <c r="N21" s="58">
        <f>M21</f>
        <v>0</v>
      </c>
      <c r="O21" s="57">
        <f>IF(ISNA(SUMIFS(INDEX(Inputs!$B$2:$AZ$190,,MATCH(SUBSTITUTE(O$3,"Q","T"),Inputs!$B$2:$AZ$2,0)),Inputs!$B$2:$B$190,$B21)*Inputs!$D$1),"",SUMIFS(INDEX(Inputs!$B$2:$AZ$190,,MATCH(SUBSTITUTE(O$3,"Q","T"),Inputs!$B$2:$AZ$2,0)),Inputs!$B$2:$B$190,$B21)*Inputs!$D$1)</f>
        <v>0</v>
      </c>
      <c r="P21" s="57">
        <f>IF(ISNA(SUMIFS(INDEX(Inputs!$B$2:$AZ$190,,MATCH(SUBSTITUTE(P$3,"Q","T"),Inputs!$B$2:$AZ$2,0)),Inputs!$B$2:$B$190,$B21)*Inputs!$D$1),"",SUMIFS(INDEX(Inputs!$B$2:$AZ$190,,MATCH(SUBSTITUTE(P$3,"Q","T"),Inputs!$B$2:$AZ$2,0)),Inputs!$B$2:$B$190,$B21)*Inputs!$D$1)</f>
        <v>0</v>
      </c>
      <c r="Q21" s="57">
        <f>IF(ISNA(SUMIFS(INDEX(Inputs!$B$2:$AZ$190,,MATCH(SUBSTITUTE(Q$3,"Q","T"),Inputs!$B$2:$AZ$2,0)),Inputs!$B$2:$B$190,$B21)*Inputs!$D$1),"",SUMIFS(INDEX(Inputs!$B$2:$AZ$190,,MATCH(SUBSTITUTE(Q$3,"Q","T"),Inputs!$B$2:$AZ$2,0)),Inputs!$B$2:$B$190,$B21)*Inputs!$D$1)</f>
        <v>0</v>
      </c>
      <c r="R21" s="57">
        <f>IF(ISNA(SUMIFS(INDEX(Inputs!$B$2:$AZ$190,,MATCH(SUBSTITUTE(R$3,"Q","T"),Inputs!$B$2:$AZ$2,0)),Inputs!$B$2:$B$190,$B21)*Inputs!$D$1),"",SUMIFS(INDEX(Inputs!$B$2:$AZ$190,,MATCH(SUBSTITUTE(R$3,"Q","T"),Inputs!$B$2:$AZ$2,0)),Inputs!$B$2:$B$190,$B21)*Inputs!$D$1)</f>
        <v>0</v>
      </c>
      <c r="S21" s="58">
        <f>R21</f>
        <v>0</v>
      </c>
      <c r="T21" s="57">
        <f>IF(ISNA(SUMIFS(INDEX(Inputs!$B$2:$AZ$190,,MATCH(SUBSTITUTE(T$3,"Q","T"),Inputs!$B$2:$AZ$2,0)),Inputs!$B$2:$B$190,$B21)*Inputs!$D$1),"",SUMIFS(INDEX(Inputs!$B$2:$AZ$190,,MATCH(SUBSTITUTE(T$3,"Q","T"),Inputs!$B$2:$AZ$2,0)),Inputs!$B$2:$B$190,$B21)*Inputs!$D$1)</f>
        <v>0</v>
      </c>
      <c r="U21" s="57">
        <f>IF(ISNA(SUMIFS(INDEX(Inputs!$B$2:$AZ$190,,MATCH(SUBSTITUTE(U$3,"Q","T"),Inputs!$B$2:$AZ$2,0)),Inputs!$B$2:$B$190,$B21)*Inputs!$D$1),"",SUMIFS(INDEX(Inputs!$B$2:$AZ$190,,MATCH(SUBSTITUTE(U$3,"Q","T"),Inputs!$B$2:$AZ$2,0)),Inputs!$B$2:$B$190,$B21)*Inputs!$D$1)</f>
        <v>0</v>
      </c>
      <c r="V21" s="57">
        <f>IF(ISNA(SUMIFS(INDEX(Inputs!$B$2:$AZ$190,,MATCH(SUBSTITUTE(V$3,"Q","T"),Inputs!$B$2:$AZ$2,0)),Inputs!$B$2:$B$190,$B21)*Inputs!$D$1),"",SUMIFS(INDEX(Inputs!$B$2:$AZ$190,,MATCH(SUBSTITUTE(V$3,"Q","T"),Inputs!$B$2:$AZ$2,0)),Inputs!$B$2:$B$190,$B21)*Inputs!$D$1)</f>
        <v>0</v>
      </c>
      <c r="W21" s="57">
        <f>IF(ISNA(SUMIFS(INDEX(Inputs!$B$2:$AZ$190,,MATCH(SUBSTITUTE(W$3,"Q","T"),Inputs!$B$2:$AZ$2,0)),Inputs!$B$2:$B$190,$B21)*Inputs!$D$1),"",SUMIFS(INDEX(Inputs!$B$2:$AZ$190,,MATCH(SUBSTITUTE(W$3,"Q","T"),Inputs!$B$2:$AZ$2,0)),Inputs!$B$2:$B$190,$B21)*Inputs!$D$1)</f>
        <v>0</v>
      </c>
      <c r="X21" s="58">
        <f>W21</f>
        <v>0</v>
      </c>
      <c r="Y21" s="57">
        <f>IF(ISNA(SUMIFS(INDEX(Inputs!$B$2:$AZ$190,,MATCH(SUBSTITUTE(Y$3,"Q","T"),Inputs!$B$2:$AZ$2,0)),Inputs!$B$2:$B$190,$B21)*Inputs!$D$1),"",SUMIFS(INDEX(Inputs!$B$2:$AZ$190,,MATCH(SUBSTITUTE(Y$3,"Q","T"),Inputs!$B$2:$AZ$2,0)),Inputs!$B$2:$B$190,$B21)*Inputs!$D$1)</f>
        <v>0</v>
      </c>
      <c r="Z21" s="57">
        <f>IF(ISNA(SUMIFS(INDEX(Inputs!$B$2:$AZ$190,,MATCH(SUBSTITUTE(Z$3,"Q","T"),Inputs!$B$2:$AZ$2,0)),Inputs!$B$2:$B$190,$B21)*Inputs!$D$1),"",SUMIFS(INDEX(Inputs!$B$2:$AZ$190,,MATCH(SUBSTITUTE(Z$3,"Q","T"),Inputs!$B$2:$AZ$2,0)),Inputs!$B$2:$B$190,$B21)*Inputs!$D$1)</f>
        <v>0</v>
      </c>
      <c r="AA21" s="57">
        <f>IF(ISNA(SUMIFS(INDEX(Inputs!$B$2:$AZ$190,,MATCH(SUBSTITUTE(AA$3,"Q","T"),Inputs!$B$2:$AZ$2,0)),Inputs!$B$2:$B$190,$B21)*Inputs!$D$1),"",SUMIFS(INDEX(Inputs!$B$2:$AZ$190,,MATCH(SUBSTITUTE(AA$3,"Q","T"),Inputs!$B$2:$AZ$2,0)),Inputs!$B$2:$B$190,$B21)*Inputs!$D$1)</f>
        <v>0</v>
      </c>
      <c r="AB21" s="57">
        <f>IF(ISNA(SUMIFS(INDEX(Inputs!$B$2:$AZ$190,,MATCH(SUBSTITUTE(AB$3,"Q","T"),Inputs!$B$2:$AZ$2,0)),Inputs!$B$2:$B$190,$B21)*Inputs!$D$1),"",SUMIFS(INDEX(Inputs!$B$2:$AZ$190,,MATCH(SUBSTITUTE(AB$3,"Q","T"),Inputs!$B$2:$AZ$2,0)),Inputs!$B$2:$B$190,$B21)*Inputs!$D$1)</f>
        <v>0</v>
      </c>
      <c r="AC21" s="58">
        <f>AB21</f>
        <v>0</v>
      </c>
      <c r="AD21" s="57">
        <f>IF(ISNA(SUMIFS(INDEX(Inputs!$B$2:$AZ$190,,MATCH(SUBSTITUTE(AD$3,"Q","T"),Inputs!$B$2:$AZ$2,0)),Inputs!$B$2:$B$190,$B21)*Inputs!$D$1),"",SUMIFS(INDEX(Inputs!$B$2:$AZ$190,,MATCH(SUBSTITUTE(AD$3,"Q","T"),Inputs!$B$2:$AZ$2,0)),Inputs!$B$2:$B$190,$B21)*Inputs!$D$1)</f>
        <v>0</v>
      </c>
      <c r="AE21" s="57">
        <f>IF(ISNA(SUMIFS(INDEX(Inputs!$B$2:$AZ$190,,MATCH(SUBSTITUTE(AE$3,"Q","T"),Inputs!$B$2:$AZ$2,0)),Inputs!$B$2:$B$190,$B21)*Inputs!$D$1),"",SUMIFS(INDEX(Inputs!$B$2:$AZ$190,,MATCH(SUBSTITUTE(AE$3,"Q","T"),Inputs!$B$2:$AZ$2,0)),Inputs!$B$2:$B$190,$B21)*Inputs!$D$1)</f>
        <v>0</v>
      </c>
      <c r="AF21" s="57">
        <f>IF(ISNA(SUMIFS(INDEX(Inputs!$B$2:$AZ$190,,MATCH(SUBSTITUTE(AF$3,"Q","T"),Inputs!$B$2:$AZ$2,0)),Inputs!$B$2:$B$190,$B21)*Inputs!$D$1),"",SUMIFS(INDEX(Inputs!$B$2:$AZ$190,,MATCH(SUBSTITUTE(AF$3,"Q","T"),Inputs!$B$2:$AZ$2,0)),Inputs!$B$2:$B$190,$B21)*Inputs!$D$1)</f>
        <v>0</v>
      </c>
      <c r="AG21" s="57">
        <f>IF(ISNA(SUMIFS(INDEX(Inputs!$B$2:$AZ$190,,MATCH(SUBSTITUTE(AG$3,"Q","T"),Inputs!$B$2:$AZ$2,0)),Inputs!$B$2:$B$190,$B21)*Inputs!$D$1),"",SUMIFS(INDEX(Inputs!$B$2:$AZ$190,,MATCH(SUBSTITUTE(AG$3,"Q","T"),Inputs!$B$2:$AZ$2,0)),Inputs!$B$2:$B$190,$B21)*Inputs!$D$1)</f>
        <v>0</v>
      </c>
      <c r="AH21" s="58">
        <f>AG21</f>
        <v>0</v>
      </c>
      <c r="AI21" s="57">
        <f>IF(ISNA(SUMIFS(INDEX(Inputs!$B$2:$AZ$190,,MATCH(SUBSTITUTE(AI$3,"Q","T"),Inputs!$B$2:$AZ$2,0)),Inputs!$B$2:$B$190,$B21)*Inputs!$D$1),"",SUMIFS(INDEX(Inputs!$B$2:$AZ$190,,MATCH(SUBSTITUTE(AI$3,"Q","T"),Inputs!$B$2:$AZ$2,0)),Inputs!$B$2:$B$190,$B21)*Inputs!$D$1)</f>
        <v>0</v>
      </c>
      <c r="AJ21" s="57">
        <f>IF(ISNA(SUMIFS(INDEX(Inputs!$B$2:$AZ$190,,MATCH(SUBSTITUTE(AJ$3,"Q","T"),Inputs!$B$2:$AZ$2,0)),Inputs!$B$2:$B$190,$B21)*Inputs!$D$1),"",SUMIFS(INDEX(Inputs!$B$2:$AZ$190,,MATCH(SUBSTITUTE(AJ$3,"Q","T"),Inputs!$B$2:$AZ$2,0)),Inputs!$B$2:$B$190,$B21)*Inputs!$D$1)</f>
        <v>0</v>
      </c>
      <c r="AK21" s="57">
        <f>IF(ISNA(SUMIFS(INDEX(Inputs!$B$2:$AZ$190,,MATCH(SUBSTITUTE(AK$3,"Q","T"),Inputs!$B$2:$AZ$2,0)),Inputs!$B$2:$B$190,$B21)*Inputs!$D$1),"",SUMIFS(INDEX(Inputs!$B$2:$AZ$190,,MATCH(SUBSTITUTE(AK$3,"Q","T"),Inputs!$B$2:$AZ$2,0)),Inputs!$B$2:$B$190,$B21)*Inputs!$D$1)</f>
        <v>0</v>
      </c>
      <c r="AL21" s="57">
        <f>IF(ISNA(SUMIFS(INDEX(Inputs!$B$2:$AZ$190,,MATCH(SUBSTITUTE(AL$3,"Q","T"),Inputs!$B$2:$AZ$2,0)),Inputs!$B$2:$B$190,$B21)*Inputs!$D$1),"",SUMIFS(INDEX(Inputs!$B$2:$AZ$190,,MATCH(SUBSTITUTE(AL$3,"Q","T"),Inputs!$B$2:$AZ$2,0)),Inputs!$B$2:$B$190,$B21)*Inputs!$D$1)</f>
        <v>0</v>
      </c>
      <c r="AM21" s="58">
        <f>AL21</f>
        <v>0</v>
      </c>
      <c r="AN21" s="57">
        <f>IF(ISNA(SUMIFS(INDEX(Inputs!$B$2:$AZ$190,,MATCH(SUBSTITUTE(AN$3,"Q","T"),Inputs!$B$2:$AZ$2,0)),Inputs!$B$2:$B$190,$B21)*Inputs!$D$1),"",SUMIFS(INDEX(Inputs!$B$2:$AZ$190,,MATCH(SUBSTITUTE(AN$3,"Q","T"),Inputs!$B$2:$AZ$2,0)),Inputs!$B$2:$B$190,$B21)*Inputs!$D$1)</f>
        <v>0</v>
      </c>
      <c r="AO21" s="57">
        <f>IF(ISNA(SUMIFS(INDEX(Inputs!$B$2:$AZ$190,,MATCH(SUBSTITUTE(AO$3,"Q","T"),Inputs!$B$2:$AZ$2,0)),Inputs!$B$2:$B$190,$B21)*Inputs!$D$1),"",SUMIFS(INDEX(Inputs!$B$2:$AZ$190,,MATCH(SUBSTITUTE(AO$3,"Q","T"),Inputs!$B$2:$AZ$2,0)),Inputs!$B$2:$B$190,$B21)*Inputs!$D$1)</f>
        <v>0</v>
      </c>
      <c r="AP21" s="57">
        <f>IF(ISNA(SUMIFS(INDEX(Inputs!$B$2:$AZ$190,,MATCH(SUBSTITUTE(AP$3,"Q","T"),Inputs!$B$2:$AZ$2,0)),Inputs!$B$2:$B$190,$B21)*Inputs!$D$1),"",SUMIFS(INDEX(Inputs!$B$2:$AZ$190,,MATCH(SUBSTITUTE(AP$3,"Q","T"),Inputs!$B$2:$AZ$2,0)),Inputs!$B$2:$B$190,$B21)*Inputs!$D$1)</f>
        <v>0</v>
      </c>
      <c r="AQ21" s="57">
        <f>IF(ISNA(SUMIFS(INDEX(Inputs!$B$2:$AZ$190,,MATCH(SUBSTITUTE(AQ$3,"Q","T"),Inputs!$B$2:$AZ$2,0)),Inputs!$B$2:$B$190,$B21)*Inputs!$D$1),"",SUMIFS(INDEX(Inputs!$B$2:$AZ$190,,MATCH(SUBSTITUTE(AQ$3,"Q","T"),Inputs!$B$2:$AZ$2,0)),Inputs!$B$2:$B$190,$B21)*Inputs!$D$1)</f>
        <v>0</v>
      </c>
      <c r="AR21" s="58">
        <f>AQ21</f>
        <v>0</v>
      </c>
      <c r="AS21" s="57">
        <f>IF(ISNA(SUMIFS(INDEX(Inputs!$B$2:$AZ$190,,MATCH(SUBSTITUTE(AS$3,"Q","T"),Inputs!$B$2:$AZ$2,0)),Inputs!$B$2:$B$190,$B21)*Inputs!$D$1),"",SUMIFS(INDEX(Inputs!$B$2:$AZ$190,,MATCH(SUBSTITUTE(AS$3,"Q","T"),Inputs!$B$2:$AZ$2,0)),Inputs!$B$2:$B$190,$B21)*Inputs!$D$1)</f>
        <v>0</v>
      </c>
      <c r="AT21" s="57">
        <f>IF(ISNA(SUMIFS(INDEX(Inputs!$B$2:$AZ$190,,MATCH(SUBSTITUTE(AT$3,"Q","T"),Inputs!$B$2:$AZ$2,0)),Inputs!$B$2:$B$190,$B21)*Inputs!$D$1),"",SUMIFS(INDEX(Inputs!$B$2:$AZ$190,,MATCH(SUBSTITUTE(AT$3,"Q","T"),Inputs!$B$2:$AZ$2,0)),Inputs!$B$2:$B$190,$B21)*Inputs!$D$1)</f>
        <v>0</v>
      </c>
      <c r="AU21" s="57">
        <f>IF(ISNA(SUMIFS(INDEX(Inputs!$B$2:$AZ$190,,MATCH(SUBSTITUTE(AU$3,"Q","T"),Inputs!$B$2:$AZ$2,0)),Inputs!$B$2:$B$190,$B21)*Inputs!$D$1),"",SUMIFS(INDEX(Inputs!$B$2:$AZ$190,,MATCH(SUBSTITUTE(AU$3,"Q","T"),Inputs!$B$2:$AZ$2,0)),Inputs!$B$2:$B$190,$B21)*Inputs!$D$1)</f>
        <v>0</v>
      </c>
      <c r="AV21" s="57">
        <f>IF(ISNA(SUMIFS(INDEX(Inputs!$B$2:$AZ$190,,MATCH(SUBSTITUTE(AV$3,"Q","T"),Inputs!$B$2:$AZ$2,0)),Inputs!$B$2:$B$190,$B21)*Inputs!$D$1),"",SUMIFS(INDEX(Inputs!$B$2:$AZ$190,,MATCH(SUBSTITUTE(AV$3,"Q","T"),Inputs!$B$2:$AZ$2,0)),Inputs!$B$2:$B$190,$B21)*Inputs!$D$1)</f>
        <v>0</v>
      </c>
      <c r="AW21" s="58">
        <f>AV21</f>
        <v>0</v>
      </c>
      <c r="AX21" s="57">
        <f>IF(ISNA(SUMIFS(INDEX(Inputs!$B$2:$AZ$190,,MATCH(SUBSTITUTE(AX$3,"Q","T"),Inputs!$B$2:$AZ$2,0)),Inputs!$B$2:$B$190,$B21)*Inputs!$D$1),"",SUMIFS(INDEX(Inputs!$B$2:$AZ$190,,MATCH(SUBSTITUTE(AX$3,"Q","T"),Inputs!$B$2:$AZ$2,0)),Inputs!$B$2:$B$190,$B21)*Inputs!$D$1)</f>
        <v>0</v>
      </c>
      <c r="AY21" s="57">
        <f>IF(ISNA(SUMIFS(INDEX(Inputs!$B$2:$AZ$190,,MATCH(SUBSTITUTE(AY$3,"Q","T"),Inputs!$B$2:$AZ$2,0)),Inputs!$B$2:$B$190,$B21)*Inputs!$D$1),"",SUMIFS(INDEX(Inputs!$B$2:$AZ$190,,MATCH(SUBSTITUTE(AY$3,"Q","T"),Inputs!$B$2:$AZ$2,0)),Inputs!$B$2:$B$190,$B21)*Inputs!$D$1)</f>
        <v>0</v>
      </c>
      <c r="AZ21" s="57">
        <f>IF(ISNA(SUMIFS(INDEX(Inputs!$B$2:$AZ$190,,MATCH(SUBSTITUTE(AZ$3,"Q","T"),Inputs!$B$2:$AZ$2,0)),Inputs!$B$2:$B$190,$B21)*Inputs!$D$1),"",SUMIFS(INDEX(Inputs!$B$2:$AZ$190,,MATCH(SUBSTITUTE(AZ$3,"Q","T"),Inputs!$B$2:$AZ$2,0)),Inputs!$B$2:$B$190,$B21)*Inputs!$D$1)</f>
        <v>0</v>
      </c>
      <c r="BA21" s="57">
        <f>IF(ISNA(SUMIFS(INDEX(Inputs!$B$2:$AZ$190,,MATCH(SUBSTITUTE(BA$3,"Q","T"),Inputs!$B$2:$AZ$2,0)),Inputs!$B$2:$B$190,$B21)*Inputs!$D$1),"",SUMIFS(INDEX(Inputs!$B$2:$AZ$190,,MATCH(SUBSTITUTE(BA$3,"Q","T"),Inputs!$B$2:$AZ$2,0)),Inputs!$B$2:$B$190,$B21)*Inputs!$D$1)</f>
        <v>0</v>
      </c>
      <c r="BB21" s="58">
        <f>BA21</f>
        <v>0</v>
      </c>
      <c r="BC21" s="57">
        <f>IF(ISNA(SUMIFS(INDEX(Inputs!$B$2:$AZ$190,,MATCH(SUBSTITUTE(BC$3,"Q","T"),Inputs!$B$2:$AZ$2,0)),Inputs!$B$2:$B$190,$B21)*Inputs!$D$1),"",SUMIFS(INDEX(Inputs!$B$2:$AZ$190,,MATCH(SUBSTITUTE(BC$3,"Q","T"),Inputs!$B$2:$AZ$2,0)),Inputs!$B$2:$B$190,$B21)*Inputs!$D$1)</f>
        <v>0</v>
      </c>
      <c r="BD21" s="57">
        <f>IF(ISNA(SUMIFS(INDEX(Inputs!$B$2:$AZ$190,,MATCH(SUBSTITUTE(BD$3,"Q","T"),Inputs!$B$2:$AZ$2,0)),Inputs!$B$2:$B$190,$B21)*Inputs!$D$1),"",SUMIFS(INDEX(Inputs!$B$2:$AZ$190,,MATCH(SUBSTITUTE(BD$3,"Q","T"),Inputs!$B$2:$AZ$2,0)),Inputs!$B$2:$B$190,$B21)*Inputs!$D$1)</f>
        <v>0</v>
      </c>
      <c r="BE21" s="57">
        <f>IF(ISNA(SUMIFS(INDEX(Inputs!$B$2:$AZ$190,,MATCH(SUBSTITUTE(BE$3,"Q","T"),Inputs!$B$2:$AZ$2,0)),Inputs!$B$2:$B$190,$B21)*Inputs!$D$1),"",SUMIFS(INDEX(Inputs!$B$2:$AZ$190,,MATCH(SUBSTITUTE(BE$3,"Q","T"),Inputs!$B$2:$AZ$2,0)),Inputs!$B$2:$B$190,$B21)*Inputs!$D$1)</f>
        <v>0</v>
      </c>
      <c r="BF21" s="57">
        <f>IF(ISNA(SUMIFS(INDEX(Inputs!$B$2:$AZ$190,,MATCH(SUBSTITUTE(BF$3,"Q","T"),Inputs!$B$2:$AZ$2,0)),Inputs!$B$2:$B$190,$B21)*Inputs!$D$1),"",SUMIFS(INDEX(Inputs!$B$2:$AZ$190,,MATCH(SUBSTITUTE(BF$3,"Q","T"),Inputs!$B$2:$AZ$2,0)),Inputs!$B$2:$B$190,$B21)*Inputs!$D$1)</f>
        <v>0</v>
      </c>
      <c r="BG21" s="58">
        <f>BF21</f>
        <v>0</v>
      </c>
    </row>
    <row r="22">
      <c r="B22" s="56" t="inlineStr">
        <is>
          <t>dta</t>
        </is>
      </c>
      <c r="C22" s="11" t="inlineStr">
        <is>
          <t>Impostos diferidos ativos (quando à parte)</t>
        </is>
      </c>
      <c r="D22" s="12" t="inlineStr">
        <is>
          <t>Deferred tax assets, if separate</t>
        </is>
      </c>
      <c r="E22" s="57">
        <f>IF(ISNA(SUMIFS(INDEX(Inputs!$B$2:$AZ$190,,MATCH(SUBSTITUTE(E$3,"Q","T"),Inputs!$B$2:$AZ$2,0)),Inputs!$B$2:$B$190,$B22)*Inputs!$D$1),"",SUMIFS(INDEX(Inputs!$B$2:$AZ$190,,MATCH(SUBSTITUTE(E$3,"Q","T"),Inputs!$B$2:$AZ$2,0)),Inputs!$B$2:$B$190,$B22)*Inputs!$D$1)</f>
        <v>0</v>
      </c>
      <c r="F22" s="57">
        <f>IF(ISNA(SUMIFS(INDEX(Inputs!$B$2:$AZ$190,,MATCH(SUBSTITUTE(F$3,"Q","T"),Inputs!$B$2:$AZ$2,0)),Inputs!$B$2:$B$190,$B22)*Inputs!$D$1),"",SUMIFS(INDEX(Inputs!$B$2:$AZ$190,,MATCH(SUBSTITUTE(F$3,"Q","T"),Inputs!$B$2:$AZ$2,0)),Inputs!$B$2:$B$190,$B22)*Inputs!$D$1)</f>
        <v>0</v>
      </c>
      <c r="G22" s="57">
        <f>IF(ISNA(SUMIFS(INDEX(Inputs!$B$2:$AZ$190,,MATCH(SUBSTITUTE(G$3,"Q","T"),Inputs!$B$2:$AZ$2,0)),Inputs!$B$2:$B$190,$B22)*Inputs!$D$1),"",SUMIFS(INDEX(Inputs!$B$2:$AZ$190,,MATCH(SUBSTITUTE(G$3,"Q","T"),Inputs!$B$2:$AZ$2,0)),Inputs!$B$2:$B$190,$B22)*Inputs!$D$1)</f>
        <v>0</v>
      </c>
      <c r="H22" s="57">
        <f>IF(ISNA(SUMIFS(INDEX(Inputs!$B$2:$AZ$190,,MATCH(SUBSTITUTE(H$3,"Q","T"),Inputs!$B$2:$AZ$2,0)),Inputs!$B$2:$B$190,$B22)*Inputs!$D$1),"",SUMIFS(INDEX(Inputs!$B$2:$AZ$190,,MATCH(SUBSTITUTE(H$3,"Q","T"),Inputs!$B$2:$AZ$2,0)),Inputs!$B$2:$B$190,$B22)*Inputs!$D$1)</f>
        <v>0</v>
      </c>
      <c r="I22" s="58">
        <f>H22</f>
        <v>0</v>
      </c>
      <c r="J22" s="57">
        <f>IF(ISNA(SUMIFS(INDEX(Inputs!$B$2:$AZ$190,,MATCH(SUBSTITUTE(J$3,"Q","T"),Inputs!$B$2:$AZ$2,0)),Inputs!$B$2:$B$190,$B22)*Inputs!$D$1),"",SUMIFS(INDEX(Inputs!$B$2:$AZ$190,,MATCH(SUBSTITUTE(J$3,"Q","T"),Inputs!$B$2:$AZ$2,0)),Inputs!$B$2:$B$190,$B22)*Inputs!$D$1)</f>
        <v>0</v>
      </c>
      <c r="K22" s="57">
        <f>IF(ISNA(SUMIFS(INDEX(Inputs!$B$2:$AZ$190,,MATCH(SUBSTITUTE(K$3,"Q","T"),Inputs!$B$2:$AZ$2,0)),Inputs!$B$2:$B$190,$B22)*Inputs!$D$1),"",SUMIFS(INDEX(Inputs!$B$2:$AZ$190,,MATCH(SUBSTITUTE(K$3,"Q","T"),Inputs!$B$2:$AZ$2,0)),Inputs!$B$2:$B$190,$B22)*Inputs!$D$1)</f>
        <v>0</v>
      </c>
      <c r="L22" s="57">
        <f>IF(ISNA(SUMIFS(INDEX(Inputs!$B$2:$AZ$190,,MATCH(SUBSTITUTE(L$3,"Q","T"),Inputs!$B$2:$AZ$2,0)),Inputs!$B$2:$B$190,$B22)*Inputs!$D$1),"",SUMIFS(INDEX(Inputs!$B$2:$AZ$190,,MATCH(SUBSTITUTE(L$3,"Q","T"),Inputs!$B$2:$AZ$2,0)),Inputs!$B$2:$B$190,$B22)*Inputs!$D$1)</f>
        <v>0</v>
      </c>
      <c r="M22" s="57">
        <f>IF(ISNA(SUMIFS(INDEX(Inputs!$B$2:$AZ$190,,MATCH(SUBSTITUTE(M$3,"Q","T"),Inputs!$B$2:$AZ$2,0)),Inputs!$B$2:$B$190,$B22)*Inputs!$D$1),"",SUMIFS(INDEX(Inputs!$B$2:$AZ$190,,MATCH(SUBSTITUTE(M$3,"Q","T"),Inputs!$B$2:$AZ$2,0)),Inputs!$B$2:$B$190,$B22)*Inputs!$D$1)</f>
        <v>0</v>
      </c>
      <c r="N22" s="58">
        <f>M22</f>
        <v>0</v>
      </c>
      <c r="O22" s="57">
        <f>IF(ISNA(SUMIFS(INDEX(Inputs!$B$2:$AZ$190,,MATCH(SUBSTITUTE(O$3,"Q","T"),Inputs!$B$2:$AZ$2,0)),Inputs!$B$2:$B$190,$B22)*Inputs!$D$1),"",SUMIFS(INDEX(Inputs!$B$2:$AZ$190,,MATCH(SUBSTITUTE(O$3,"Q","T"),Inputs!$B$2:$AZ$2,0)),Inputs!$B$2:$B$190,$B22)*Inputs!$D$1)</f>
        <v>0</v>
      </c>
      <c r="P22" s="57">
        <f>IF(ISNA(SUMIFS(INDEX(Inputs!$B$2:$AZ$190,,MATCH(SUBSTITUTE(P$3,"Q","T"),Inputs!$B$2:$AZ$2,0)),Inputs!$B$2:$B$190,$B22)*Inputs!$D$1),"",SUMIFS(INDEX(Inputs!$B$2:$AZ$190,,MATCH(SUBSTITUTE(P$3,"Q","T"),Inputs!$B$2:$AZ$2,0)),Inputs!$B$2:$B$190,$B22)*Inputs!$D$1)</f>
        <v>0</v>
      </c>
      <c r="Q22" s="57">
        <f>IF(ISNA(SUMIFS(INDEX(Inputs!$B$2:$AZ$190,,MATCH(SUBSTITUTE(Q$3,"Q","T"),Inputs!$B$2:$AZ$2,0)),Inputs!$B$2:$B$190,$B22)*Inputs!$D$1),"",SUMIFS(INDEX(Inputs!$B$2:$AZ$190,,MATCH(SUBSTITUTE(Q$3,"Q","T"),Inputs!$B$2:$AZ$2,0)),Inputs!$B$2:$B$190,$B22)*Inputs!$D$1)</f>
        <v>0</v>
      </c>
      <c r="R22" s="57">
        <f>IF(ISNA(SUMIFS(INDEX(Inputs!$B$2:$AZ$190,,MATCH(SUBSTITUTE(R$3,"Q","T"),Inputs!$B$2:$AZ$2,0)),Inputs!$B$2:$B$190,$B22)*Inputs!$D$1),"",SUMIFS(INDEX(Inputs!$B$2:$AZ$190,,MATCH(SUBSTITUTE(R$3,"Q","T"),Inputs!$B$2:$AZ$2,0)),Inputs!$B$2:$B$190,$B22)*Inputs!$D$1)</f>
        <v>0</v>
      </c>
      <c r="S22" s="58">
        <f>R22</f>
        <v>0</v>
      </c>
      <c r="T22" s="57">
        <f>IF(ISNA(SUMIFS(INDEX(Inputs!$B$2:$AZ$190,,MATCH(SUBSTITUTE(T$3,"Q","T"),Inputs!$B$2:$AZ$2,0)),Inputs!$B$2:$B$190,$B22)*Inputs!$D$1),"",SUMIFS(INDEX(Inputs!$B$2:$AZ$190,,MATCH(SUBSTITUTE(T$3,"Q","T"),Inputs!$B$2:$AZ$2,0)),Inputs!$B$2:$B$190,$B22)*Inputs!$D$1)</f>
        <v>0</v>
      </c>
      <c r="U22" s="57">
        <f>IF(ISNA(SUMIFS(INDEX(Inputs!$B$2:$AZ$190,,MATCH(SUBSTITUTE(U$3,"Q","T"),Inputs!$B$2:$AZ$2,0)),Inputs!$B$2:$B$190,$B22)*Inputs!$D$1),"",SUMIFS(INDEX(Inputs!$B$2:$AZ$190,,MATCH(SUBSTITUTE(U$3,"Q","T"),Inputs!$B$2:$AZ$2,0)),Inputs!$B$2:$B$190,$B22)*Inputs!$D$1)</f>
        <v>0</v>
      </c>
      <c r="V22" s="57">
        <f>IF(ISNA(SUMIFS(INDEX(Inputs!$B$2:$AZ$190,,MATCH(SUBSTITUTE(V$3,"Q","T"),Inputs!$B$2:$AZ$2,0)),Inputs!$B$2:$B$190,$B22)*Inputs!$D$1),"",SUMIFS(INDEX(Inputs!$B$2:$AZ$190,,MATCH(SUBSTITUTE(V$3,"Q","T"),Inputs!$B$2:$AZ$2,0)),Inputs!$B$2:$B$190,$B22)*Inputs!$D$1)</f>
        <v>0</v>
      </c>
      <c r="W22" s="57">
        <f>IF(ISNA(SUMIFS(INDEX(Inputs!$B$2:$AZ$190,,MATCH(SUBSTITUTE(W$3,"Q","T"),Inputs!$B$2:$AZ$2,0)),Inputs!$B$2:$B$190,$B22)*Inputs!$D$1),"",SUMIFS(INDEX(Inputs!$B$2:$AZ$190,,MATCH(SUBSTITUTE(W$3,"Q","T"),Inputs!$B$2:$AZ$2,0)),Inputs!$B$2:$B$190,$B22)*Inputs!$D$1)</f>
        <v>0</v>
      </c>
      <c r="X22" s="58">
        <f>W22</f>
        <v>0</v>
      </c>
      <c r="Y22" s="57">
        <f>IF(ISNA(SUMIFS(INDEX(Inputs!$B$2:$AZ$190,,MATCH(SUBSTITUTE(Y$3,"Q","T"),Inputs!$B$2:$AZ$2,0)),Inputs!$B$2:$B$190,$B22)*Inputs!$D$1),"",SUMIFS(INDEX(Inputs!$B$2:$AZ$190,,MATCH(SUBSTITUTE(Y$3,"Q","T"),Inputs!$B$2:$AZ$2,0)),Inputs!$B$2:$B$190,$B22)*Inputs!$D$1)</f>
        <v>0</v>
      </c>
      <c r="Z22" s="57">
        <f>IF(ISNA(SUMIFS(INDEX(Inputs!$B$2:$AZ$190,,MATCH(SUBSTITUTE(Z$3,"Q","T"),Inputs!$B$2:$AZ$2,0)),Inputs!$B$2:$B$190,$B22)*Inputs!$D$1),"",SUMIFS(INDEX(Inputs!$B$2:$AZ$190,,MATCH(SUBSTITUTE(Z$3,"Q","T"),Inputs!$B$2:$AZ$2,0)),Inputs!$B$2:$B$190,$B22)*Inputs!$D$1)</f>
        <v>0</v>
      </c>
      <c r="AA22" s="57">
        <f>IF(ISNA(SUMIFS(INDEX(Inputs!$B$2:$AZ$190,,MATCH(SUBSTITUTE(AA$3,"Q","T"),Inputs!$B$2:$AZ$2,0)),Inputs!$B$2:$B$190,$B22)*Inputs!$D$1),"",SUMIFS(INDEX(Inputs!$B$2:$AZ$190,,MATCH(SUBSTITUTE(AA$3,"Q","T"),Inputs!$B$2:$AZ$2,0)),Inputs!$B$2:$B$190,$B22)*Inputs!$D$1)</f>
        <v>0</v>
      </c>
      <c r="AB22" s="57">
        <f>IF(ISNA(SUMIFS(INDEX(Inputs!$B$2:$AZ$190,,MATCH(SUBSTITUTE(AB$3,"Q","T"),Inputs!$B$2:$AZ$2,0)),Inputs!$B$2:$B$190,$B22)*Inputs!$D$1),"",SUMIFS(INDEX(Inputs!$B$2:$AZ$190,,MATCH(SUBSTITUTE(AB$3,"Q","T"),Inputs!$B$2:$AZ$2,0)),Inputs!$B$2:$B$190,$B22)*Inputs!$D$1)</f>
        <v>0</v>
      </c>
      <c r="AC22" s="58">
        <f>AB22</f>
        <v>0</v>
      </c>
      <c r="AD22" s="57">
        <f>IF(ISNA(SUMIFS(INDEX(Inputs!$B$2:$AZ$190,,MATCH(SUBSTITUTE(AD$3,"Q","T"),Inputs!$B$2:$AZ$2,0)),Inputs!$B$2:$B$190,$B22)*Inputs!$D$1),"",SUMIFS(INDEX(Inputs!$B$2:$AZ$190,,MATCH(SUBSTITUTE(AD$3,"Q","T"),Inputs!$B$2:$AZ$2,0)),Inputs!$B$2:$B$190,$B22)*Inputs!$D$1)</f>
        <v>0</v>
      </c>
      <c r="AE22" s="57">
        <f>IF(ISNA(SUMIFS(INDEX(Inputs!$B$2:$AZ$190,,MATCH(SUBSTITUTE(AE$3,"Q","T"),Inputs!$B$2:$AZ$2,0)),Inputs!$B$2:$B$190,$B22)*Inputs!$D$1),"",SUMIFS(INDEX(Inputs!$B$2:$AZ$190,,MATCH(SUBSTITUTE(AE$3,"Q","T"),Inputs!$B$2:$AZ$2,0)),Inputs!$B$2:$B$190,$B22)*Inputs!$D$1)</f>
        <v>0</v>
      </c>
      <c r="AF22" s="57">
        <f>IF(ISNA(SUMIFS(INDEX(Inputs!$B$2:$AZ$190,,MATCH(SUBSTITUTE(AF$3,"Q","T"),Inputs!$B$2:$AZ$2,0)),Inputs!$B$2:$B$190,$B22)*Inputs!$D$1),"",SUMIFS(INDEX(Inputs!$B$2:$AZ$190,,MATCH(SUBSTITUTE(AF$3,"Q","T"),Inputs!$B$2:$AZ$2,0)),Inputs!$B$2:$B$190,$B22)*Inputs!$D$1)</f>
        <v>0</v>
      </c>
      <c r="AG22" s="57">
        <f>IF(ISNA(SUMIFS(INDEX(Inputs!$B$2:$AZ$190,,MATCH(SUBSTITUTE(AG$3,"Q","T"),Inputs!$B$2:$AZ$2,0)),Inputs!$B$2:$B$190,$B22)*Inputs!$D$1),"",SUMIFS(INDEX(Inputs!$B$2:$AZ$190,,MATCH(SUBSTITUTE(AG$3,"Q","T"),Inputs!$B$2:$AZ$2,0)),Inputs!$B$2:$B$190,$B22)*Inputs!$D$1)</f>
        <v>0</v>
      </c>
      <c r="AH22" s="58">
        <f>AG22</f>
        <v>0</v>
      </c>
      <c r="AI22" s="57">
        <f>IF(ISNA(SUMIFS(INDEX(Inputs!$B$2:$AZ$190,,MATCH(SUBSTITUTE(AI$3,"Q","T"),Inputs!$B$2:$AZ$2,0)),Inputs!$B$2:$B$190,$B22)*Inputs!$D$1),"",SUMIFS(INDEX(Inputs!$B$2:$AZ$190,,MATCH(SUBSTITUTE(AI$3,"Q","T"),Inputs!$B$2:$AZ$2,0)),Inputs!$B$2:$B$190,$B22)*Inputs!$D$1)</f>
        <v>0</v>
      </c>
      <c r="AJ22" s="57">
        <f>IF(ISNA(SUMIFS(INDEX(Inputs!$B$2:$AZ$190,,MATCH(SUBSTITUTE(AJ$3,"Q","T"),Inputs!$B$2:$AZ$2,0)),Inputs!$B$2:$B$190,$B22)*Inputs!$D$1),"",SUMIFS(INDEX(Inputs!$B$2:$AZ$190,,MATCH(SUBSTITUTE(AJ$3,"Q","T"),Inputs!$B$2:$AZ$2,0)),Inputs!$B$2:$B$190,$B22)*Inputs!$D$1)</f>
        <v>0</v>
      </c>
      <c r="AK22" s="57">
        <f>IF(ISNA(SUMIFS(INDEX(Inputs!$B$2:$AZ$190,,MATCH(SUBSTITUTE(AK$3,"Q","T"),Inputs!$B$2:$AZ$2,0)),Inputs!$B$2:$B$190,$B22)*Inputs!$D$1),"",SUMIFS(INDEX(Inputs!$B$2:$AZ$190,,MATCH(SUBSTITUTE(AK$3,"Q","T"),Inputs!$B$2:$AZ$2,0)),Inputs!$B$2:$B$190,$B22)*Inputs!$D$1)</f>
        <v>0</v>
      </c>
      <c r="AL22" s="57">
        <f>IF(ISNA(SUMIFS(INDEX(Inputs!$B$2:$AZ$190,,MATCH(SUBSTITUTE(AL$3,"Q","T"),Inputs!$B$2:$AZ$2,0)),Inputs!$B$2:$B$190,$B22)*Inputs!$D$1),"",SUMIFS(INDEX(Inputs!$B$2:$AZ$190,,MATCH(SUBSTITUTE(AL$3,"Q","T"),Inputs!$B$2:$AZ$2,0)),Inputs!$B$2:$B$190,$B22)*Inputs!$D$1)</f>
        <v>0</v>
      </c>
      <c r="AM22" s="58">
        <f>AL22</f>
        <v>0</v>
      </c>
      <c r="AN22" s="57">
        <f>IF(ISNA(SUMIFS(INDEX(Inputs!$B$2:$AZ$190,,MATCH(SUBSTITUTE(AN$3,"Q","T"),Inputs!$B$2:$AZ$2,0)),Inputs!$B$2:$B$190,$B22)*Inputs!$D$1),"",SUMIFS(INDEX(Inputs!$B$2:$AZ$190,,MATCH(SUBSTITUTE(AN$3,"Q","T"),Inputs!$B$2:$AZ$2,0)),Inputs!$B$2:$B$190,$B22)*Inputs!$D$1)</f>
        <v>0</v>
      </c>
      <c r="AO22" s="57">
        <f>IF(ISNA(SUMIFS(INDEX(Inputs!$B$2:$AZ$190,,MATCH(SUBSTITUTE(AO$3,"Q","T"),Inputs!$B$2:$AZ$2,0)),Inputs!$B$2:$B$190,$B22)*Inputs!$D$1),"",SUMIFS(INDEX(Inputs!$B$2:$AZ$190,,MATCH(SUBSTITUTE(AO$3,"Q","T"),Inputs!$B$2:$AZ$2,0)),Inputs!$B$2:$B$190,$B22)*Inputs!$D$1)</f>
        <v>0</v>
      </c>
      <c r="AP22" s="57">
        <f>IF(ISNA(SUMIFS(INDEX(Inputs!$B$2:$AZ$190,,MATCH(SUBSTITUTE(AP$3,"Q","T"),Inputs!$B$2:$AZ$2,0)),Inputs!$B$2:$B$190,$B22)*Inputs!$D$1),"",SUMIFS(INDEX(Inputs!$B$2:$AZ$190,,MATCH(SUBSTITUTE(AP$3,"Q","T"),Inputs!$B$2:$AZ$2,0)),Inputs!$B$2:$B$190,$B22)*Inputs!$D$1)</f>
        <v>0</v>
      </c>
      <c r="AQ22" s="57">
        <f>IF(ISNA(SUMIFS(INDEX(Inputs!$B$2:$AZ$190,,MATCH(SUBSTITUTE(AQ$3,"Q","T"),Inputs!$B$2:$AZ$2,0)),Inputs!$B$2:$B$190,$B22)*Inputs!$D$1),"",SUMIFS(INDEX(Inputs!$B$2:$AZ$190,,MATCH(SUBSTITUTE(AQ$3,"Q","T"),Inputs!$B$2:$AZ$2,0)),Inputs!$B$2:$B$190,$B22)*Inputs!$D$1)</f>
        <v>0</v>
      </c>
      <c r="AR22" s="58">
        <f>AQ22</f>
        <v>0</v>
      </c>
      <c r="AS22" s="57">
        <f>IF(ISNA(SUMIFS(INDEX(Inputs!$B$2:$AZ$190,,MATCH(SUBSTITUTE(AS$3,"Q","T"),Inputs!$B$2:$AZ$2,0)),Inputs!$B$2:$B$190,$B22)*Inputs!$D$1),"",SUMIFS(INDEX(Inputs!$B$2:$AZ$190,,MATCH(SUBSTITUTE(AS$3,"Q","T"),Inputs!$B$2:$AZ$2,0)),Inputs!$B$2:$B$190,$B22)*Inputs!$D$1)</f>
        <v>0</v>
      </c>
      <c r="AT22" s="57">
        <f>IF(ISNA(SUMIFS(INDEX(Inputs!$B$2:$AZ$190,,MATCH(SUBSTITUTE(AT$3,"Q","T"),Inputs!$B$2:$AZ$2,0)),Inputs!$B$2:$B$190,$B22)*Inputs!$D$1),"",SUMIFS(INDEX(Inputs!$B$2:$AZ$190,,MATCH(SUBSTITUTE(AT$3,"Q","T"),Inputs!$B$2:$AZ$2,0)),Inputs!$B$2:$B$190,$B22)*Inputs!$D$1)</f>
        <v>0</v>
      </c>
      <c r="AU22" s="57">
        <f>IF(ISNA(SUMIFS(INDEX(Inputs!$B$2:$AZ$190,,MATCH(SUBSTITUTE(AU$3,"Q","T"),Inputs!$B$2:$AZ$2,0)),Inputs!$B$2:$B$190,$B22)*Inputs!$D$1),"",SUMIFS(INDEX(Inputs!$B$2:$AZ$190,,MATCH(SUBSTITUTE(AU$3,"Q","T"),Inputs!$B$2:$AZ$2,0)),Inputs!$B$2:$B$190,$B22)*Inputs!$D$1)</f>
        <v>0</v>
      </c>
      <c r="AV22" s="57">
        <f>IF(ISNA(SUMIFS(INDEX(Inputs!$B$2:$AZ$190,,MATCH(SUBSTITUTE(AV$3,"Q","T"),Inputs!$B$2:$AZ$2,0)),Inputs!$B$2:$B$190,$B22)*Inputs!$D$1),"",SUMIFS(INDEX(Inputs!$B$2:$AZ$190,,MATCH(SUBSTITUTE(AV$3,"Q","T"),Inputs!$B$2:$AZ$2,0)),Inputs!$B$2:$B$190,$B22)*Inputs!$D$1)</f>
        <v>0</v>
      </c>
      <c r="AW22" s="58">
        <f>AV22</f>
        <v>0</v>
      </c>
      <c r="AX22" s="57">
        <f>IF(ISNA(SUMIFS(INDEX(Inputs!$B$2:$AZ$190,,MATCH(SUBSTITUTE(AX$3,"Q","T"),Inputs!$B$2:$AZ$2,0)),Inputs!$B$2:$B$190,$B22)*Inputs!$D$1),"",SUMIFS(INDEX(Inputs!$B$2:$AZ$190,,MATCH(SUBSTITUTE(AX$3,"Q","T"),Inputs!$B$2:$AZ$2,0)),Inputs!$B$2:$B$190,$B22)*Inputs!$D$1)</f>
        <v>0</v>
      </c>
      <c r="AY22" s="57">
        <f>IF(ISNA(SUMIFS(INDEX(Inputs!$B$2:$AZ$190,,MATCH(SUBSTITUTE(AY$3,"Q","T"),Inputs!$B$2:$AZ$2,0)),Inputs!$B$2:$B$190,$B22)*Inputs!$D$1),"",SUMIFS(INDEX(Inputs!$B$2:$AZ$190,,MATCH(SUBSTITUTE(AY$3,"Q","T"),Inputs!$B$2:$AZ$2,0)),Inputs!$B$2:$B$190,$B22)*Inputs!$D$1)</f>
        <v>0</v>
      </c>
      <c r="AZ22" s="57">
        <f>IF(ISNA(SUMIFS(INDEX(Inputs!$B$2:$AZ$190,,MATCH(SUBSTITUTE(AZ$3,"Q","T"),Inputs!$B$2:$AZ$2,0)),Inputs!$B$2:$B$190,$B22)*Inputs!$D$1),"",SUMIFS(INDEX(Inputs!$B$2:$AZ$190,,MATCH(SUBSTITUTE(AZ$3,"Q","T"),Inputs!$B$2:$AZ$2,0)),Inputs!$B$2:$B$190,$B22)*Inputs!$D$1)</f>
        <v>0</v>
      </c>
      <c r="BA22" s="57">
        <f>IF(ISNA(SUMIFS(INDEX(Inputs!$B$2:$AZ$190,,MATCH(SUBSTITUTE(BA$3,"Q","T"),Inputs!$B$2:$AZ$2,0)),Inputs!$B$2:$B$190,$B22)*Inputs!$D$1),"",SUMIFS(INDEX(Inputs!$B$2:$AZ$190,,MATCH(SUBSTITUTE(BA$3,"Q","T"),Inputs!$B$2:$AZ$2,0)),Inputs!$B$2:$B$190,$B22)*Inputs!$D$1)</f>
        <v>0</v>
      </c>
      <c r="BB22" s="58">
        <f>BA22</f>
        <v>0</v>
      </c>
      <c r="BC22" s="57">
        <f>IF(ISNA(SUMIFS(INDEX(Inputs!$B$2:$AZ$190,,MATCH(SUBSTITUTE(BC$3,"Q","T"),Inputs!$B$2:$AZ$2,0)),Inputs!$B$2:$B$190,$B22)*Inputs!$D$1),"",SUMIFS(INDEX(Inputs!$B$2:$AZ$190,,MATCH(SUBSTITUTE(BC$3,"Q","T"),Inputs!$B$2:$AZ$2,0)),Inputs!$B$2:$B$190,$B22)*Inputs!$D$1)</f>
        <v>0</v>
      </c>
      <c r="BD22" s="57">
        <f>IF(ISNA(SUMIFS(INDEX(Inputs!$B$2:$AZ$190,,MATCH(SUBSTITUTE(BD$3,"Q","T"),Inputs!$B$2:$AZ$2,0)),Inputs!$B$2:$B$190,$B22)*Inputs!$D$1),"",SUMIFS(INDEX(Inputs!$B$2:$AZ$190,,MATCH(SUBSTITUTE(BD$3,"Q","T"),Inputs!$B$2:$AZ$2,0)),Inputs!$B$2:$B$190,$B22)*Inputs!$D$1)</f>
        <v>0</v>
      </c>
      <c r="BE22" s="57">
        <f>IF(ISNA(SUMIFS(INDEX(Inputs!$B$2:$AZ$190,,MATCH(SUBSTITUTE(BE$3,"Q","T"),Inputs!$B$2:$AZ$2,0)),Inputs!$B$2:$B$190,$B22)*Inputs!$D$1),"",SUMIFS(INDEX(Inputs!$B$2:$AZ$190,,MATCH(SUBSTITUTE(BE$3,"Q","T"),Inputs!$B$2:$AZ$2,0)),Inputs!$B$2:$B$190,$B22)*Inputs!$D$1)</f>
        <v>0</v>
      </c>
      <c r="BF22" s="57">
        <f>IF(ISNA(SUMIFS(INDEX(Inputs!$B$2:$AZ$190,,MATCH(SUBSTITUTE(BF$3,"Q","T"),Inputs!$B$2:$AZ$2,0)),Inputs!$B$2:$B$190,$B22)*Inputs!$D$1),"",SUMIFS(INDEX(Inputs!$B$2:$AZ$190,,MATCH(SUBSTITUTE(BF$3,"Q","T"),Inputs!$B$2:$AZ$2,0)),Inputs!$B$2:$B$190,$B22)*Inputs!$D$1)</f>
        <v>0</v>
      </c>
      <c r="BG22" s="58">
        <f>BF22</f>
        <v>0</v>
      </c>
    </row>
    <row r="23">
      <c r="B23" s="56" t="inlineStr">
        <is>
          <t>other_a</t>
        </is>
      </c>
      <c r="C23" s="11" t="inlineStr">
        <is>
          <t>Outros ativos</t>
        </is>
      </c>
      <c r="D23" s="12" t="inlineStr">
        <is>
          <t>Other assets</t>
        </is>
      </c>
      <c r="E23" s="57">
        <f>IF(ISNA(SUMIFS(INDEX(Inputs!$B$2:$AZ$190,,MATCH(SUBSTITUTE(E$3,"Q","T"),Inputs!$B$2:$AZ$2,0)),Inputs!$B$2:$B$190,$B23)*Inputs!$D$1),"",SUMIFS(INDEX(Inputs!$B$2:$AZ$190,,MATCH(SUBSTITUTE(E$3,"Q","T"),Inputs!$B$2:$AZ$2,0)),Inputs!$B$2:$B$190,$B23)*Inputs!$D$1)</f>
        <v>0</v>
      </c>
      <c r="F23" s="57">
        <f>IF(ISNA(SUMIFS(INDEX(Inputs!$B$2:$AZ$190,,MATCH(SUBSTITUTE(F$3,"Q","T"),Inputs!$B$2:$AZ$2,0)),Inputs!$B$2:$B$190,$B23)*Inputs!$D$1),"",SUMIFS(INDEX(Inputs!$B$2:$AZ$190,,MATCH(SUBSTITUTE(F$3,"Q","T"),Inputs!$B$2:$AZ$2,0)),Inputs!$B$2:$B$190,$B23)*Inputs!$D$1)</f>
        <v>0</v>
      </c>
      <c r="G23" s="57">
        <f>IF(ISNA(SUMIFS(INDEX(Inputs!$B$2:$AZ$190,,MATCH(SUBSTITUTE(G$3,"Q","T"),Inputs!$B$2:$AZ$2,0)),Inputs!$B$2:$B$190,$B23)*Inputs!$D$1),"",SUMIFS(INDEX(Inputs!$B$2:$AZ$190,,MATCH(SUBSTITUTE(G$3,"Q","T"),Inputs!$B$2:$AZ$2,0)),Inputs!$B$2:$B$190,$B23)*Inputs!$D$1)</f>
        <v>0</v>
      </c>
      <c r="H23" s="57">
        <f>IF(ISNA(SUMIFS(INDEX(Inputs!$B$2:$AZ$190,,MATCH(SUBSTITUTE(H$3,"Q","T"),Inputs!$B$2:$AZ$2,0)),Inputs!$B$2:$B$190,$B23)*Inputs!$D$1),"",SUMIFS(INDEX(Inputs!$B$2:$AZ$190,,MATCH(SUBSTITUTE(H$3,"Q","T"),Inputs!$B$2:$AZ$2,0)),Inputs!$B$2:$B$190,$B23)*Inputs!$D$1)</f>
        <v>0</v>
      </c>
      <c r="I23" s="58">
        <f>H23</f>
        <v>0</v>
      </c>
      <c r="J23" s="57">
        <f>IF(ISNA(SUMIFS(INDEX(Inputs!$B$2:$AZ$190,,MATCH(SUBSTITUTE(J$3,"Q","T"),Inputs!$B$2:$AZ$2,0)),Inputs!$B$2:$B$190,$B23)*Inputs!$D$1),"",SUMIFS(INDEX(Inputs!$B$2:$AZ$190,,MATCH(SUBSTITUTE(J$3,"Q","T"),Inputs!$B$2:$AZ$2,0)),Inputs!$B$2:$B$190,$B23)*Inputs!$D$1)</f>
        <v>0</v>
      </c>
      <c r="K23" s="57">
        <f>IF(ISNA(SUMIFS(INDEX(Inputs!$B$2:$AZ$190,,MATCH(SUBSTITUTE(K$3,"Q","T"),Inputs!$B$2:$AZ$2,0)),Inputs!$B$2:$B$190,$B23)*Inputs!$D$1),"",SUMIFS(INDEX(Inputs!$B$2:$AZ$190,,MATCH(SUBSTITUTE(K$3,"Q","T"),Inputs!$B$2:$AZ$2,0)),Inputs!$B$2:$B$190,$B23)*Inputs!$D$1)</f>
        <v>0</v>
      </c>
      <c r="L23" s="57">
        <f>IF(ISNA(SUMIFS(INDEX(Inputs!$B$2:$AZ$190,,MATCH(SUBSTITUTE(L$3,"Q","T"),Inputs!$B$2:$AZ$2,0)),Inputs!$B$2:$B$190,$B23)*Inputs!$D$1),"",SUMIFS(INDEX(Inputs!$B$2:$AZ$190,,MATCH(SUBSTITUTE(L$3,"Q","T"),Inputs!$B$2:$AZ$2,0)),Inputs!$B$2:$B$190,$B23)*Inputs!$D$1)</f>
        <v>0</v>
      </c>
      <c r="M23" s="57">
        <f>IF(ISNA(SUMIFS(INDEX(Inputs!$B$2:$AZ$190,,MATCH(SUBSTITUTE(M$3,"Q","T"),Inputs!$B$2:$AZ$2,0)),Inputs!$B$2:$B$190,$B23)*Inputs!$D$1),"",SUMIFS(INDEX(Inputs!$B$2:$AZ$190,,MATCH(SUBSTITUTE(M$3,"Q","T"),Inputs!$B$2:$AZ$2,0)),Inputs!$B$2:$B$190,$B23)*Inputs!$D$1)</f>
        <v>0</v>
      </c>
      <c r="N23" s="58">
        <f>M23</f>
        <v>0</v>
      </c>
      <c r="O23" s="57">
        <f>IF(ISNA(SUMIFS(INDEX(Inputs!$B$2:$AZ$190,,MATCH(SUBSTITUTE(O$3,"Q","T"),Inputs!$B$2:$AZ$2,0)),Inputs!$B$2:$B$190,$B23)*Inputs!$D$1),"",SUMIFS(INDEX(Inputs!$B$2:$AZ$190,,MATCH(SUBSTITUTE(O$3,"Q","T"),Inputs!$B$2:$AZ$2,0)),Inputs!$B$2:$B$190,$B23)*Inputs!$D$1)</f>
        <v>0</v>
      </c>
      <c r="P23" s="57">
        <f>IF(ISNA(SUMIFS(INDEX(Inputs!$B$2:$AZ$190,,MATCH(SUBSTITUTE(P$3,"Q","T"),Inputs!$B$2:$AZ$2,0)),Inputs!$B$2:$B$190,$B23)*Inputs!$D$1),"",SUMIFS(INDEX(Inputs!$B$2:$AZ$190,,MATCH(SUBSTITUTE(P$3,"Q","T"),Inputs!$B$2:$AZ$2,0)),Inputs!$B$2:$B$190,$B23)*Inputs!$D$1)</f>
        <v>0</v>
      </c>
      <c r="Q23" s="57">
        <f>IF(ISNA(SUMIFS(INDEX(Inputs!$B$2:$AZ$190,,MATCH(SUBSTITUTE(Q$3,"Q","T"),Inputs!$B$2:$AZ$2,0)),Inputs!$B$2:$B$190,$B23)*Inputs!$D$1),"",SUMIFS(INDEX(Inputs!$B$2:$AZ$190,,MATCH(SUBSTITUTE(Q$3,"Q","T"),Inputs!$B$2:$AZ$2,0)),Inputs!$B$2:$B$190,$B23)*Inputs!$D$1)</f>
        <v>0</v>
      </c>
      <c r="R23" s="57">
        <f>IF(ISNA(SUMIFS(INDEX(Inputs!$B$2:$AZ$190,,MATCH(SUBSTITUTE(R$3,"Q","T"),Inputs!$B$2:$AZ$2,0)),Inputs!$B$2:$B$190,$B23)*Inputs!$D$1),"",SUMIFS(INDEX(Inputs!$B$2:$AZ$190,,MATCH(SUBSTITUTE(R$3,"Q","T"),Inputs!$B$2:$AZ$2,0)),Inputs!$B$2:$B$190,$B23)*Inputs!$D$1)</f>
        <v>0</v>
      </c>
      <c r="S23" s="58">
        <f>R23</f>
        <v>0</v>
      </c>
      <c r="T23" s="57">
        <f>IF(ISNA(SUMIFS(INDEX(Inputs!$B$2:$AZ$190,,MATCH(SUBSTITUTE(T$3,"Q","T"),Inputs!$B$2:$AZ$2,0)),Inputs!$B$2:$B$190,$B23)*Inputs!$D$1),"",SUMIFS(INDEX(Inputs!$B$2:$AZ$190,,MATCH(SUBSTITUTE(T$3,"Q","T"),Inputs!$B$2:$AZ$2,0)),Inputs!$B$2:$B$190,$B23)*Inputs!$D$1)</f>
        <v>0</v>
      </c>
      <c r="U23" s="57">
        <f>IF(ISNA(SUMIFS(INDEX(Inputs!$B$2:$AZ$190,,MATCH(SUBSTITUTE(U$3,"Q","T"),Inputs!$B$2:$AZ$2,0)),Inputs!$B$2:$B$190,$B23)*Inputs!$D$1),"",SUMIFS(INDEX(Inputs!$B$2:$AZ$190,,MATCH(SUBSTITUTE(U$3,"Q","T"),Inputs!$B$2:$AZ$2,0)),Inputs!$B$2:$B$190,$B23)*Inputs!$D$1)</f>
        <v>0</v>
      </c>
      <c r="V23" s="57">
        <f>IF(ISNA(SUMIFS(INDEX(Inputs!$B$2:$AZ$190,,MATCH(SUBSTITUTE(V$3,"Q","T"),Inputs!$B$2:$AZ$2,0)),Inputs!$B$2:$B$190,$B23)*Inputs!$D$1),"",SUMIFS(INDEX(Inputs!$B$2:$AZ$190,,MATCH(SUBSTITUTE(V$3,"Q","T"),Inputs!$B$2:$AZ$2,0)),Inputs!$B$2:$B$190,$B23)*Inputs!$D$1)</f>
        <v>0</v>
      </c>
      <c r="W23" s="57">
        <f>IF(ISNA(SUMIFS(INDEX(Inputs!$B$2:$AZ$190,,MATCH(SUBSTITUTE(W$3,"Q","T"),Inputs!$B$2:$AZ$2,0)),Inputs!$B$2:$B$190,$B23)*Inputs!$D$1),"",SUMIFS(INDEX(Inputs!$B$2:$AZ$190,,MATCH(SUBSTITUTE(W$3,"Q","T"),Inputs!$B$2:$AZ$2,0)),Inputs!$B$2:$B$190,$B23)*Inputs!$D$1)</f>
        <v>0</v>
      </c>
      <c r="X23" s="58">
        <f>W23</f>
        <v>0</v>
      </c>
      <c r="Y23" s="57">
        <f>IF(ISNA(SUMIFS(INDEX(Inputs!$B$2:$AZ$190,,MATCH(SUBSTITUTE(Y$3,"Q","T"),Inputs!$B$2:$AZ$2,0)),Inputs!$B$2:$B$190,$B23)*Inputs!$D$1),"",SUMIFS(INDEX(Inputs!$B$2:$AZ$190,,MATCH(SUBSTITUTE(Y$3,"Q","T"),Inputs!$B$2:$AZ$2,0)),Inputs!$B$2:$B$190,$B23)*Inputs!$D$1)</f>
        <v>0</v>
      </c>
      <c r="Z23" s="57">
        <f>IF(ISNA(SUMIFS(INDEX(Inputs!$B$2:$AZ$190,,MATCH(SUBSTITUTE(Z$3,"Q","T"),Inputs!$B$2:$AZ$2,0)),Inputs!$B$2:$B$190,$B23)*Inputs!$D$1),"",SUMIFS(INDEX(Inputs!$B$2:$AZ$190,,MATCH(SUBSTITUTE(Z$3,"Q","T"),Inputs!$B$2:$AZ$2,0)),Inputs!$B$2:$B$190,$B23)*Inputs!$D$1)</f>
        <v>0</v>
      </c>
      <c r="AA23" s="57">
        <f>IF(ISNA(SUMIFS(INDEX(Inputs!$B$2:$AZ$190,,MATCH(SUBSTITUTE(AA$3,"Q","T"),Inputs!$B$2:$AZ$2,0)),Inputs!$B$2:$B$190,$B23)*Inputs!$D$1),"",SUMIFS(INDEX(Inputs!$B$2:$AZ$190,,MATCH(SUBSTITUTE(AA$3,"Q","T"),Inputs!$B$2:$AZ$2,0)),Inputs!$B$2:$B$190,$B23)*Inputs!$D$1)</f>
        <v>0</v>
      </c>
      <c r="AB23" s="57">
        <f>IF(ISNA(SUMIFS(INDEX(Inputs!$B$2:$AZ$190,,MATCH(SUBSTITUTE(AB$3,"Q","T"),Inputs!$B$2:$AZ$2,0)),Inputs!$B$2:$B$190,$B23)*Inputs!$D$1),"",SUMIFS(INDEX(Inputs!$B$2:$AZ$190,,MATCH(SUBSTITUTE(AB$3,"Q","T"),Inputs!$B$2:$AZ$2,0)),Inputs!$B$2:$B$190,$B23)*Inputs!$D$1)</f>
        <v>0</v>
      </c>
      <c r="AC23" s="58">
        <f>AB23</f>
        <v>0</v>
      </c>
      <c r="AD23" s="57">
        <f>IF(ISNA(SUMIFS(INDEX(Inputs!$B$2:$AZ$190,,MATCH(SUBSTITUTE(AD$3,"Q","T"),Inputs!$B$2:$AZ$2,0)),Inputs!$B$2:$B$190,$B23)*Inputs!$D$1),"",SUMIFS(INDEX(Inputs!$B$2:$AZ$190,,MATCH(SUBSTITUTE(AD$3,"Q","T"),Inputs!$B$2:$AZ$2,0)),Inputs!$B$2:$B$190,$B23)*Inputs!$D$1)</f>
        <v>0</v>
      </c>
      <c r="AE23" s="57">
        <f>IF(ISNA(SUMIFS(INDEX(Inputs!$B$2:$AZ$190,,MATCH(SUBSTITUTE(AE$3,"Q","T"),Inputs!$B$2:$AZ$2,0)),Inputs!$B$2:$B$190,$B23)*Inputs!$D$1),"",SUMIFS(INDEX(Inputs!$B$2:$AZ$190,,MATCH(SUBSTITUTE(AE$3,"Q","T"),Inputs!$B$2:$AZ$2,0)),Inputs!$B$2:$B$190,$B23)*Inputs!$D$1)</f>
        <v>0</v>
      </c>
      <c r="AF23" s="57">
        <f>IF(ISNA(SUMIFS(INDEX(Inputs!$B$2:$AZ$190,,MATCH(SUBSTITUTE(AF$3,"Q","T"),Inputs!$B$2:$AZ$2,0)),Inputs!$B$2:$B$190,$B23)*Inputs!$D$1),"",SUMIFS(INDEX(Inputs!$B$2:$AZ$190,,MATCH(SUBSTITUTE(AF$3,"Q","T"),Inputs!$B$2:$AZ$2,0)),Inputs!$B$2:$B$190,$B23)*Inputs!$D$1)</f>
        <v>0</v>
      </c>
      <c r="AG23" s="57">
        <f>IF(ISNA(SUMIFS(INDEX(Inputs!$B$2:$AZ$190,,MATCH(SUBSTITUTE(AG$3,"Q","T"),Inputs!$B$2:$AZ$2,0)),Inputs!$B$2:$B$190,$B23)*Inputs!$D$1),"",SUMIFS(INDEX(Inputs!$B$2:$AZ$190,,MATCH(SUBSTITUTE(AG$3,"Q","T"),Inputs!$B$2:$AZ$2,0)),Inputs!$B$2:$B$190,$B23)*Inputs!$D$1)</f>
        <v>0</v>
      </c>
      <c r="AH23" s="58">
        <f>AG23</f>
        <v>0</v>
      </c>
      <c r="AI23" s="57">
        <f>IF(ISNA(SUMIFS(INDEX(Inputs!$B$2:$AZ$190,,MATCH(SUBSTITUTE(AI$3,"Q","T"),Inputs!$B$2:$AZ$2,0)),Inputs!$B$2:$B$190,$B23)*Inputs!$D$1),"",SUMIFS(INDEX(Inputs!$B$2:$AZ$190,,MATCH(SUBSTITUTE(AI$3,"Q","T"),Inputs!$B$2:$AZ$2,0)),Inputs!$B$2:$B$190,$B23)*Inputs!$D$1)</f>
        <v>0</v>
      </c>
      <c r="AJ23" s="57">
        <f>IF(ISNA(SUMIFS(INDEX(Inputs!$B$2:$AZ$190,,MATCH(SUBSTITUTE(AJ$3,"Q","T"),Inputs!$B$2:$AZ$2,0)),Inputs!$B$2:$B$190,$B23)*Inputs!$D$1),"",SUMIFS(INDEX(Inputs!$B$2:$AZ$190,,MATCH(SUBSTITUTE(AJ$3,"Q","T"),Inputs!$B$2:$AZ$2,0)),Inputs!$B$2:$B$190,$B23)*Inputs!$D$1)</f>
        <v>0</v>
      </c>
      <c r="AK23" s="57">
        <f>IF(ISNA(SUMIFS(INDEX(Inputs!$B$2:$AZ$190,,MATCH(SUBSTITUTE(AK$3,"Q","T"),Inputs!$B$2:$AZ$2,0)),Inputs!$B$2:$B$190,$B23)*Inputs!$D$1),"",SUMIFS(INDEX(Inputs!$B$2:$AZ$190,,MATCH(SUBSTITUTE(AK$3,"Q","T"),Inputs!$B$2:$AZ$2,0)),Inputs!$B$2:$B$190,$B23)*Inputs!$D$1)</f>
        <v>0</v>
      </c>
      <c r="AL23" s="57">
        <f>IF(ISNA(SUMIFS(INDEX(Inputs!$B$2:$AZ$190,,MATCH(SUBSTITUTE(AL$3,"Q","T"),Inputs!$B$2:$AZ$2,0)),Inputs!$B$2:$B$190,$B23)*Inputs!$D$1),"",SUMIFS(INDEX(Inputs!$B$2:$AZ$190,,MATCH(SUBSTITUTE(AL$3,"Q","T"),Inputs!$B$2:$AZ$2,0)),Inputs!$B$2:$B$190,$B23)*Inputs!$D$1)</f>
        <v>0</v>
      </c>
      <c r="AM23" s="58">
        <f>AL23</f>
        <v>0</v>
      </c>
      <c r="AN23" s="57">
        <f>IF(ISNA(SUMIFS(INDEX(Inputs!$B$2:$AZ$190,,MATCH(SUBSTITUTE(AN$3,"Q","T"),Inputs!$B$2:$AZ$2,0)),Inputs!$B$2:$B$190,$B23)*Inputs!$D$1),"",SUMIFS(INDEX(Inputs!$B$2:$AZ$190,,MATCH(SUBSTITUTE(AN$3,"Q","T"),Inputs!$B$2:$AZ$2,0)),Inputs!$B$2:$B$190,$B23)*Inputs!$D$1)</f>
        <v>0</v>
      </c>
      <c r="AO23" s="57">
        <f>IF(ISNA(SUMIFS(INDEX(Inputs!$B$2:$AZ$190,,MATCH(SUBSTITUTE(AO$3,"Q","T"),Inputs!$B$2:$AZ$2,0)),Inputs!$B$2:$B$190,$B23)*Inputs!$D$1),"",SUMIFS(INDEX(Inputs!$B$2:$AZ$190,,MATCH(SUBSTITUTE(AO$3,"Q","T"),Inputs!$B$2:$AZ$2,0)),Inputs!$B$2:$B$190,$B23)*Inputs!$D$1)</f>
        <v>0</v>
      </c>
      <c r="AP23" s="57">
        <f>IF(ISNA(SUMIFS(INDEX(Inputs!$B$2:$AZ$190,,MATCH(SUBSTITUTE(AP$3,"Q","T"),Inputs!$B$2:$AZ$2,0)),Inputs!$B$2:$B$190,$B23)*Inputs!$D$1),"",SUMIFS(INDEX(Inputs!$B$2:$AZ$190,,MATCH(SUBSTITUTE(AP$3,"Q","T"),Inputs!$B$2:$AZ$2,0)),Inputs!$B$2:$B$190,$B23)*Inputs!$D$1)</f>
        <v>0</v>
      </c>
      <c r="AQ23" s="57">
        <f>IF(ISNA(SUMIFS(INDEX(Inputs!$B$2:$AZ$190,,MATCH(SUBSTITUTE(AQ$3,"Q","T"),Inputs!$B$2:$AZ$2,0)),Inputs!$B$2:$B$190,$B23)*Inputs!$D$1),"",SUMIFS(INDEX(Inputs!$B$2:$AZ$190,,MATCH(SUBSTITUTE(AQ$3,"Q","T"),Inputs!$B$2:$AZ$2,0)),Inputs!$B$2:$B$190,$B23)*Inputs!$D$1)</f>
        <v>0</v>
      </c>
      <c r="AR23" s="58">
        <f>AQ23</f>
        <v>0</v>
      </c>
      <c r="AS23" s="57">
        <f>IF(ISNA(SUMIFS(INDEX(Inputs!$B$2:$AZ$190,,MATCH(SUBSTITUTE(AS$3,"Q","T"),Inputs!$B$2:$AZ$2,0)),Inputs!$B$2:$B$190,$B23)*Inputs!$D$1),"",SUMIFS(INDEX(Inputs!$B$2:$AZ$190,,MATCH(SUBSTITUTE(AS$3,"Q","T"),Inputs!$B$2:$AZ$2,0)),Inputs!$B$2:$B$190,$B23)*Inputs!$D$1)</f>
        <v>0</v>
      </c>
      <c r="AT23" s="57">
        <f>IF(ISNA(SUMIFS(INDEX(Inputs!$B$2:$AZ$190,,MATCH(SUBSTITUTE(AT$3,"Q","T"),Inputs!$B$2:$AZ$2,0)),Inputs!$B$2:$B$190,$B23)*Inputs!$D$1),"",SUMIFS(INDEX(Inputs!$B$2:$AZ$190,,MATCH(SUBSTITUTE(AT$3,"Q","T"),Inputs!$B$2:$AZ$2,0)),Inputs!$B$2:$B$190,$B23)*Inputs!$D$1)</f>
        <v>0</v>
      </c>
      <c r="AU23" s="57">
        <f>IF(ISNA(SUMIFS(INDEX(Inputs!$B$2:$AZ$190,,MATCH(SUBSTITUTE(AU$3,"Q","T"),Inputs!$B$2:$AZ$2,0)),Inputs!$B$2:$B$190,$B23)*Inputs!$D$1),"",SUMIFS(INDEX(Inputs!$B$2:$AZ$190,,MATCH(SUBSTITUTE(AU$3,"Q","T"),Inputs!$B$2:$AZ$2,0)),Inputs!$B$2:$B$190,$B23)*Inputs!$D$1)</f>
        <v>0</v>
      </c>
      <c r="AV23" s="57">
        <f>IF(ISNA(SUMIFS(INDEX(Inputs!$B$2:$AZ$190,,MATCH(SUBSTITUTE(AV$3,"Q","T"),Inputs!$B$2:$AZ$2,0)),Inputs!$B$2:$B$190,$B23)*Inputs!$D$1),"",SUMIFS(INDEX(Inputs!$B$2:$AZ$190,,MATCH(SUBSTITUTE(AV$3,"Q","T"),Inputs!$B$2:$AZ$2,0)),Inputs!$B$2:$B$190,$B23)*Inputs!$D$1)</f>
        <v>0</v>
      </c>
      <c r="AW23" s="58">
        <f>AV23</f>
        <v>0</v>
      </c>
      <c r="AX23" s="57">
        <f>IF(ISNA(SUMIFS(INDEX(Inputs!$B$2:$AZ$190,,MATCH(SUBSTITUTE(AX$3,"Q","T"),Inputs!$B$2:$AZ$2,0)),Inputs!$B$2:$B$190,$B23)*Inputs!$D$1),"",SUMIFS(INDEX(Inputs!$B$2:$AZ$190,,MATCH(SUBSTITUTE(AX$3,"Q","T"),Inputs!$B$2:$AZ$2,0)),Inputs!$B$2:$B$190,$B23)*Inputs!$D$1)</f>
        <v>0</v>
      </c>
      <c r="AY23" s="57">
        <f>IF(ISNA(SUMIFS(INDEX(Inputs!$B$2:$AZ$190,,MATCH(SUBSTITUTE(AY$3,"Q","T"),Inputs!$B$2:$AZ$2,0)),Inputs!$B$2:$B$190,$B23)*Inputs!$D$1),"",SUMIFS(INDEX(Inputs!$B$2:$AZ$190,,MATCH(SUBSTITUTE(AY$3,"Q","T"),Inputs!$B$2:$AZ$2,0)),Inputs!$B$2:$B$190,$B23)*Inputs!$D$1)</f>
        <v>0</v>
      </c>
      <c r="AZ23" s="57">
        <f>IF(ISNA(SUMIFS(INDEX(Inputs!$B$2:$AZ$190,,MATCH(SUBSTITUTE(AZ$3,"Q","T"),Inputs!$B$2:$AZ$2,0)),Inputs!$B$2:$B$190,$B23)*Inputs!$D$1),"",SUMIFS(INDEX(Inputs!$B$2:$AZ$190,,MATCH(SUBSTITUTE(AZ$3,"Q","T"),Inputs!$B$2:$AZ$2,0)),Inputs!$B$2:$B$190,$B23)*Inputs!$D$1)</f>
        <v>0</v>
      </c>
      <c r="BA23" s="57">
        <f>IF(ISNA(SUMIFS(INDEX(Inputs!$B$2:$AZ$190,,MATCH(SUBSTITUTE(BA$3,"Q","T"),Inputs!$B$2:$AZ$2,0)),Inputs!$B$2:$B$190,$B23)*Inputs!$D$1),"",SUMIFS(INDEX(Inputs!$B$2:$AZ$190,,MATCH(SUBSTITUTE(BA$3,"Q","T"),Inputs!$B$2:$AZ$2,0)),Inputs!$B$2:$B$190,$B23)*Inputs!$D$1)</f>
        <v>0</v>
      </c>
      <c r="BB23" s="58">
        <f>BA23</f>
        <v>0</v>
      </c>
      <c r="BC23" s="57">
        <f>IF(ISNA(SUMIFS(INDEX(Inputs!$B$2:$AZ$190,,MATCH(SUBSTITUTE(BC$3,"Q","T"),Inputs!$B$2:$AZ$2,0)),Inputs!$B$2:$B$190,$B23)*Inputs!$D$1),"",SUMIFS(INDEX(Inputs!$B$2:$AZ$190,,MATCH(SUBSTITUTE(BC$3,"Q","T"),Inputs!$B$2:$AZ$2,0)),Inputs!$B$2:$B$190,$B23)*Inputs!$D$1)</f>
        <v>0</v>
      </c>
      <c r="BD23" s="57">
        <f>IF(ISNA(SUMIFS(INDEX(Inputs!$B$2:$AZ$190,,MATCH(SUBSTITUTE(BD$3,"Q","T"),Inputs!$B$2:$AZ$2,0)),Inputs!$B$2:$B$190,$B23)*Inputs!$D$1),"",SUMIFS(INDEX(Inputs!$B$2:$AZ$190,,MATCH(SUBSTITUTE(BD$3,"Q","T"),Inputs!$B$2:$AZ$2,0)),Inputs!$B$2:$B$190,$B23)*Inputs!$D$1)</f>
        <v>0</v>
      </c>
      <c r="BE23" s="57">
        <f>IF(ISNA(SUMIFS(INDEX(Inputs!$B$2:$AZ$190,,MATCH(SUBSTITUTE(BE$3,"Q","T"),Inputs!$B$2:$AZ$2,0)),Inputs!$B$2:$B$190,$B23)*Inputs!$D$1),"",SUMIFS(INDEX(Inputs!$B$2:$AZ$190,,MATCH(SUBSTITUTE(BE$3,"Q","T"),Inputs!$B$2:$AZ$2,0)),Inputs!$B$2:$B$190,$B23)*Inputs!$D$1)</f>
        <v>0</v>
      </c>
      <c r="BF23" s="57">
        <f>IF(ISNA(SUMIFS(INDEX(Inputs!$B$2:$AZ$190,,MATCH(SUBSTITUTE(BF$3,"Q","T"),Inputs!$B$2:$AZ$2,0)),Inputs!$B$2:$B$190,$B23)*Inputs!$D$1),"",SUMIFS(INDEX(Inputs!$B$2:$AZ$190,,MATCH(SUBSTITUTE(BF$3,"Q","T"),Inputs!$B$2:$AZ$2,0)),Inputs!$B$2:$B$190,$B23)*Inputs!$D$1)</f>
        <v>0</v>
      </c>
      <c r="BG23" s="58">
        <f>BF23</f>
        <v>0</v>
      </c>
    </row>
    <row r="24">
      <c r="C24" s="15" t="inlineStr">
        <is>
          <t>Investimentos</t>
        </is>
      </c>
      <c r="D24" s="16" t="inlineStr">
        <is>
          <t>Investments</t>
        </is>
      </c>
      <c r="E24" s="59">
        <f>IFERROR(E25+E26,"")</f>
        <v>0</v>
      </c>
      <c r="F24" s="59">
        <f>IFERROR(F25+F26,"")</f>
        <v>0</v>
      </c>
      <c r="G24" s="59">
        <f>IFERROR(G25+G26,"")</f>
        <v>0</v>
      </c>
      <c r="H24" s="59">
        <f>IFERROR(H25+H26,"")</f>
        <v>0</v>
      </c>
      <c r="I24" s="60">
        <f>H24</f>
        <v>0</v>
      </c>
      <c r="J24" s="59">
        <f>IFERROR(J25+J26,"")</f>
        <v>0</v>
      </c>
      <c r="K24" s="59">
        <f>IFERROR(K25+K26,"")</f>
        <v>0</v>
      </c>
      <c r="L24" s="59">
        <f>IFERROR(L25+L26,"")</f>
        <v>0</v>
      </c>
      <c r="M24" s="59">
        <f>IFERROR(M25+M26,"")</f>
        <v>0</v>
      </c>
      <c r="N24" s="60">
        <f>M24</f>
        <v>0</v>
      </c>
      <c r="O24" s="59">
        <f>IFERROR(O25+O26,"")</f>
        <v>0</v>
      </c>
      <c r="P24" s="59">
        <f>IFERROR(P25+P26,"")</f>
        <v>0</v>
      </c>
      <c r="Q24" s="59">
        <f>IFERROR(Q25+Q26,"")</f>
        <v>0</v>
      </c>
      <c r="R24" s="59">
        <f>IFERROR(R25+R26,"")</f>
        <v>0</v>
      </c>
      <c r="S24" s="60">
        <f>R24</f>
        <v>0</v>
      </c>
      <c r="T24" s="59">
        <f>IFERROR(T25+T26,"")</f>
        <v>0</v>
      </c>
      <c r="U24" s="59">
        <f>IFERROR(U25+U26,"")</f>
        <v>0</v>
      </c>
      <c r="V24" s="59">
        <f>IFERROR(V25+V26,"")</f>
        <v>0</v>
      </c>
      <c r="W24" s="59">
        <f>IFERROR(W25+W26,"")</f>
        <v>0</v>
      </c>
      <c r="X24" s="60">
        <f>W24</f>
        <v>0</v>
      </c>
      <c r="Y24" s="59">
        <f>IFERROR(Y25+Y26,"")</f>
        <v>0</v>
      </c>
      <c r="Z24" s="59">
        <f>IFERROR(Z25+Z26,"")</f>
        <v>0</v>
      </c>
      <c r="AA24" s="59">
        <f>IFERROR(AA25+AA26,"")</f>
        <v>0</v>
      </c>
      <c r="AB24" s="59">
        <f>IFERROR(AB25+AB26,"")</f>
        <v>0</v>
      </c>
      <c r="AC24" s="60">
        <f>AB24</f>
        <v>0</v>
      </c>
      <c r="AD24" s="59">
        <f>IFERROR(AD25+AD26,"")</f>
        <v>0</v>
      </c>
      <c r="AE24" s="59">
        <f>IFERROR(AE25+AE26,"")</f>
        <v>0</v>
      </c>
      <c r="AF24" s="59">
        <f>IFERROR(AF25+AF26,"")</f>
        <v>0</v>
      </c>
      <c r="AG24" s="59">
        <f>IFERROR(AG25+AG26,"")</f>
        <v>0</v>
      </c>
      <c r="AH24" s="60">
        <f>AG24</f>
        <v>0</v>
      </c>
      <c r="AI24" s="59">
        <f>IFERROR(AI25+AI26,"")</f>
        <v>0</v>
      </c>
      <c r="AJ24" s="59">
        <f>IFERROR(AJ25+AJ26,"")</f>
        <v>0</v>
      </c>
      <c r="AK24" s="59">
        <f>IFERROR(AK25+AK26,"")</f>
        <v>0</v>
      </c>
      <c r="AL24" s="59">
        <f>IFERROR(AL25+AL26,"")</f>
        <v>0</v>
      </c>
      <c r="AM24" s="60">
        <f>AL24</f>
        <v>0</v>
      </c>
      <c r="AN24" s="59">
        <f>IFERROR(AN25+AN26,"")</f>
        <v>0</v>
      </c>
      <c r="AO24" s="59">
        <f>IFERROR(AO25+AO26,"")</f>
        <v>0</v>
      </c>
      <c r="AP24" s="59">
        <f>IFERROR(AP25+AP26,"")</f>
        <v>0</v>
      </c>
      <c r="AQ24" s="59">
        <f>IFERROR(AQ25+AQ26,"")</f>
        <v>0</v>
      </c>
      <c r="AR24" s="60">
        <f>AQ24</f>
        <v>0</v>
      </c>
      <c r="AS24" s="59">
        <f>IFERROR(AS25+AS26,"")</f>
        <v>0</v>
      </c>
      <c r="AT24" s="59">
        <f>IFERROR(AT25+AT26,"")</f>
        <v>0</v>
      </c>
      <c r="AU24" s="59">
        <f>IFERROR(AU25+AU26,"")</f>
        <v>0</v>
      </c>
      <c r="AV24" s="59">
        <f>IFERROR(AV25+AV26,"")</f>
        <v>0</v>
      </c>
      <c r="AW24" s="60">
        <f>AV24</f>
        <v>0</v>
      </c>
      <c r="AX24" s="59">
        <f>IFERROR(AX25+AX26,"")</f>
        <v>0</v>
      </c>
      <c r="AY24" s="59">
        <f>IFERROR(AY25+AY26,"")</f>
        <v>0</v>
      </c>
      <c r="AZ24" s="59">
        <f>IFERROR(AZ25+AZ26,"")</f>
        <v>0</v>
      </c>
      <c r="BA24" s="59">
        <f>IFERROR(BA25+BA26,"")</f>
        <v>0</v>
      </c>
      <c r="BB24" s="60">
        <f>BA24</f>
        <v>0</v>
      </c>
      <c r="BC24" s="59">
        <f>IFERROR(BC25+BC26,"")</f>
        <v>0</v>
      </c>
      <c r="BD24" s="59">
        <f>IFERROR(BD25+BD26,"")</f>
        <v>0</v>
      </c>
      <c r="BE24" s="59">
        <f>IFERROR(BE25+BE26,"")</f>
        <v>0</v>
      </c>
      <c r="BF24" s="59">
        <f>IFERROR(BF25+BF26,"")</f>
        <v>0</v>
      </c>
      <c r="BG24" s="60">
        <f>BF24</f>
        <v>0</v>
      </c>
    </row>
    <row r="25" hidden="1" outlineLevel="1">
      <c r="B25" s="56" t="inlineStr">
        <is>
          <t>eq_inv</t>
        </is>
      </c>
      <c r="C25" s="61" t="inlineStr">
        <is>
          <t>Investimentos por equivalência patrimonial (quando à parte)</t>
        </is>
      </c>
      <c r="D25" s="62" t="inlineStr">
        <is>
          <t>Equity-method investments, if separate</t>
        </is>
      </c>
      <c r="E25" s="57">
        <f>IF(ISNA(SUMIFS(INDEX(Inputs!$B$2:$AZ$190,,MATCH(SUBSTITUTE(E$3,"Q","T"),Inputs!$B$2:$AZ$2,0)),Inputs!$B$2:$B$190,$B25)*Inputs!$D$1),"",SUMIFS(INDEX(Inputs!$B$2:$AZ$190,,MATCH(SUBSTITUTE(E$3,"Q","T"),Inputs!$B$2:$AZ$2,0)),Inputs!$B$2:$B$190,$B25)*Inputs!$D$1)</f>
        <v>0</v>
      </c>
      <c r="F25" s="57">
        <f>IF(ISNA(SUMIFS(INDEX(Inputs!$B$2:$AZ$190,,MATCH(SUBSTITUTE(F$3,"Q","T"),Inputs!$B$2:$AZ$2,0)),Inputs!$B$2:$B$190,$B25)*Inputs!$D$1),"",SUMIFS(INDEX(Inputs!$B$2:$AZ$190,,MATCH(SUBSTITUTE(F$3,"Q","T"),Inputs!$B$2:$AZ$2,0)),Inputs!$B$2:$B$190,$B25)*Inputs!$D$1)</f>
        <v>0</v>
      </c>
      <c r="G25" s="57">
        <f>IF(ISNA(SUMIFS(INDEX(Inputs!$B$2:$AZ$190,,MATCH(SUBSTITUTE(G$3,"Q","T"),Inputs!$B$2:$AZ$2,0)),Inputs!$B$2:$B$190,$B25)*Inputs!$D$1),"",SUMIFS(INDEX(Inputs!$B$2:$AZ$190,,MATCH(SUBSTITUTE(G$3,"Q","T"),Inputs!$B$2:$AZ$2,0)),Inputs!$B$2:$B$190,$B25)*Inputs!$D$1)</f>
        <v>0</v>
      </c>
      <c r="H25" s="57">
        <f>IF(ISNA(SUMIFS(INDEX(Inputs!$B$2:$AZ$190,,MATCH(SUBSTITUTE(H$3,"Q","T"),Inputs!$B$2:$AZ$2,0)),Inputs!$B$2:$B$190,$B25)*Inputs!$D$1),"",SUMIFS(INDEX(Inputs!$B$2:$AZ$190,,MATCH(SUBSTITUTE(H$3,"Q","T"),Inputs!$B$2:$AZ$2,0)),Inputs!$B$2:$B$190,$B25)*Inputs!$D$1)</f>
        <v>0</v>
      </c>
      <c r="I25" s="58">
        <f>H25</f>
        <v>0</v>
      </c>
      <c r="J25" s="57">
        <f>IF(ISNA(SUMIFS(INDEX(Inputs!$B$2:$AZ$190,,MATCH(SUBSTITUTE(J$3,"Q","T"),Inputs!$B$2:$AZ$2,0)),Inputs!$B$2:$B$190,$B25)*Inputs!$D$1),"",SUMIFS(INDEX(Inputs!$B$2:$AZ$190,,MATCH(SUBSTITUTE(J$3,"Q","T"),Inputs!$B$2:$AZ$2,0)),Inputs!$B$2:$B$190,$B25)*Inputs!$D$1)</f>
        <v>0</v>
      </c>
      <c r="K25" s="57">
        <f>IF(ISNA(SUMIFS(INDEX(Inputs!$B$2:$AZ$190,,MATCH(SUBSTITUTE(K$3,"Q","T"),Inputs!$B$2:$AZ$2,0)),Inputs!$B$2:$B$190,$B25)*Inputs!$D$1),"",SUMIFS(INDEX(Inputs!$B$2:$AZ$190,,MATCH(SUBSTITUTE(K$3,"Q","T"),Inputs!$B$2:$AZ$2,0)),Inputs!$B$2:$B$190,$B25)*Inputs!$D$1)</f>
        <v>0</v>
      </c>
      <c r="L25" s="57">
        <f>IF(ISNA(SUMIFS(INDEX(Inputs!$B$2:$AZ$190,,MATCH(SUBSTITUTE(L$3,"Q","T"),Inputs!$B$2:$AZ$2,0)),Inputs!$B$2:$B$190,$B25)*Inputs!$D$1),"",SUMIFS(INDEX(Inputs!$B$2:$AZ$190,,MATCH(SUBSTITUTE(L$3,"Q","T"),Inputs!$B$2:$AZ$2,0)),Inputs!$B$2:$B$190,$B25)*Inputs!$D$1)</f>
        <v>0</v>
      </c>
      <c r="M25" s="57">
        <f>IF(ISNA(SUMIFS(INDEX(Inputs!$B$2:$AZ$190,,MATCH(SUBSTITUTE(M$3,"Q","T"),Inputs!$B$2:$AZ$2,0)),Inputs!$B$2:$B$190,$B25)*Inputs!$D$1),"",SUMIFS(INDEX(Inputs!$B$2:$AZ$190,,MATCH(SUBSTITUTE(M$3,"Q","T"),Inputs!$B$2:$AZ$2,0)),Inputs!$B$2:$B$190,$B25)*Inputs!$D$1)</f>
        <v>0</v>
      </c>
      <c r="N25" s="58">
        <f>M25</f>
        <v>0</v>
      </c>
      <c r="O25" s="57">
        <f>IF(ISNA(SUMIFS(INDEX(Inputs!$B$2:$AZ$190,,MATCH(SUBSTITUTE(O$3,"Q","T"),Inputs!$B$2:$AZ$2,0)),Inputs!$B$2:$B$190,$B25)*Inputs!$D$1),"",SUMIFS(INDEX(Inputs!$B$2:$AZ$190,,MATCH(SUBSTITUTE(O$3,"Q","T"),Inputs!$B$2:$AZ$2,0)),Inputs!$B$2:$B$190,$B25)*Inputs!$D$1)</f>
        <v>0</v>
      </c>
      <c r="P25" s="57">
        <f>IF(ISNA(SUMIFS(INDEX(Inputs!$B$2:$AZ$190,,MATCH(SUBSTITUTE(P$3,"Q","T"),Inputs!$B$2:$AZ$2,0)),Inputs!$B$2:$B$190,$B25)*Inputs!$D$1),"",SUMIFS(INDEX(Inputs!$B$2:$AZ$190,,MATCH(SUBSTITUTE(P$3,"Q","T"),Inputs!$B$2:$AZ$2,0)),Inputs!$B$2:$B$190,$B25)*Inputs!$D$1)</f>
        <v>0</v>
      </c>
      <c r="Q25" s="57">
        <f>IF(ISNA(SUMIFS(INDEX(Inputs!$B$2:$AZ$190,,MATCH(SUBSTITUTE(Q$3,"Q","T"),Inputs!$B$2:$AZ$2,0)),Inputs!$B$2:$B$190,$B25)*Inputs!$D$1),"",SUMIFS(INDEX(Inputs!$B$2:$AZ$190,,MATCH(SUBSTITUTE(Q$3,"Q","T"),Inputs!$B$2:$AZ$2,0)),Inputs!$B$2:$B$190,$B25)*Inputs!$D$1)</f>
        <v>0</v>
      </c>
      <c r="R25" s="57">
        <f>IF(ISNA(SUMIFS(INDEX(Inputs!$B$2:$AZ$190,,MATCH(SUBSTITUTE(R$3,"Q","T"),Inputs!$B$2:$AZ$2,0)),Inputs!$B$2:$B$190,$B25)*Inputs!$D$1),"",SUMIFS(INDEX(Inputs!$B$2:$AZ$190,,MATCH(SUBSTITUTE(R$3,"Q","T"),Inputs!$B$2:$AZ$2,0)),Inputs!$B$2:$B$190,$B25)*Inputs!$D$1)</f>
        <v>0</v>
      </c>
      <c r="S25" s="58">
        <f>R25</f>
        <v>0</v>
      </c>
      <c r="T25" s="57">
        <f>IF(ISNA(SUMIFS(INDEX(Inputs!$B$2:$AZ$190,,MATCH(SUBSTITUTE(T$3,"Q","T"),Inputs!$B$2:$AZ$2,0)),Inputs!$B$2:$B$190,$B25)*Inputs!$D$1),"",SUMIFS(INDEX(Inputs!$B$2:$AZ$190,,MATCH(SUBSTITUTE(T$3,"Q","T"),Inputs!$B$2:$AZ$2,0)),Inputs!$B$2:$B$190,$B25)*Inputs!$D$1)</f>
        <v>0</v>
      </c>
      <c r="U25" s="57">
        <f>IF(ISNA(SUMIFS(INDEX(Inputs!$B$2:$AZ$190,,MATCH(SUBSTITUTE(U$3,"Q","T"),Inputs!$B$2:$AZ$2,0)),Inputs!$B$2:$B$190,$B25)*Inputs!$D$1),"",SUMIFS(INDEX(Inputs!$B$2:$AZ$190,,MATCH(SUBSTITUTE(U$3,"Q","T"),Inputs!$B$2:$AZ$2,0)),Inputs!$B$2:$B$190,$B25)*Inputs!$D$1)</f>
        <v>0</v>
      </c>
      <c r="V25" s="57">
        <f>IF(ISNA(SUMIFS(INDEX(Inputs!$B$2:$AZ$190,,MATCH(SUBSTITUTE(V$3,"Q","T"),Inputs!$B$2:$AZ$2,0)),Inputs!$B$2:$B$190,$B25)*Inputs!$D$1),"",SUMIFS(INDEX(Inputs!$B$2:$AZ$190,,MATCH(SUBSTITUTE(V$3,"Q","T"),Inputs!$B$2:$AZ$2,0)),Inputs!$B$2:$B$190,$B25)*Inputs!$D$1)</f>
        <v>0</v>
      </c>
      <c r="W25" s="57">
        <f>IF(ISNA(SUMIFS(INDEX(Inputs!$B$2:$AZ$190,,MATCH(SUBSTITUTE(W$3,"Q","T"),Inputs!$B$2:$AZ$2,0)),Inputs!$B$2:$B$190,$B25)*Inputs!$D$1),"",SUMIFS(INDEX(Inputs!$B$2:$AZ$190,,MATCH(SUBSTITUTE(W$3,"Q","T"),Inputs!$B$2:$AZ$2,0)),Inputs!$B$2:$B$190,$B25)*Inputs!$D$1)</f>
        <v>0</v>
      </c>
      <c r="X25" s="58">
        <f>W25</f>
        <v>0</v>
      </c>
      <c r="Y25" s="57">
        <f>IF(ISNA(SUMIFS(INDEX(Inputs!$B$2:$AZ$190,,MATCH(SUBSTITUTE(Y$3,"Q","T"),Inputs!$B$2:$AZ$2,0)),Inputs!$B$2:$B$190,$B25)*Inputs!$D$1),"",SUMIFS(INDEX(Inputs!$B$2:$AZ$190,,MATCH(SUBSTITUTE(Y$3,"Q","T"),Inputs!$B$2:$AZ$2,0)),Inputs!$B$2:$B$190,$B25)*Inputs!$D$1)</f>
        <v>0</v>
      </c>
      <c r="Z25" s="57">
        <f>IF(ISNA(SUMIFS(INDEX(Inputs!$B$2:$AZ$190,,MATCH(SUBSTITUTE(Z$3,"Q","T"),Inputs!$B$2:$AZ$2,0)),Inputs!$B$2:$B$190,$B25)*Inputs!$D$1),"",SUMIFS(INDEX(Inputs!$B$2:$AZ$190,,MATCH(SUBSTITUTE(Z$3,"Q","T"),Inputs!$B$2:$AZ$2,0)),Inputs!$B$2:$B$190,$B25)*Inputs!$D$1)</f>
        <v>0</v>
      </c>
      <c r="AA25" s="57">
        <f>IF(ISNA(SUMIFS(INDEX(Inputs!$B$2:$AZ$190,,MATCH(SUBSTITUTE(AA$3,"Q","T"),Inputs!$B$2:$AZ$2,0)),Inputs!$B$2:$B$190,$B25)*Inputs!$D$1),"",SUMIFS(INDEX(Inputs!$B$2:$AZ$190,,MATCH(SUBSTITUTE(AA$3,"Q","T"),Inputs!$B$2:$AZ$2,0)),Inputs!$B$2:$B$190,$B25)*Inputs!$D$1)</f>
        <v>0</v>
      </c>
      <c r="AB25" s="57">
        <f>IF(ISNA(SUMIFS(INDEX(Inputs!$B$2:$AZ$190,,MATCH(SUBSTITUTE(AB$3,"Q","T"),Inputs!$B$2:$AZ$2,0)),Inputs!$B$2:$B$190,$B25)*Inputs!$D$1),"",SUMIFS(INDEX(Inputs!$B$2:$AZ$190,,MATCH(SUBSTITUTE(AB$3,"Q","T"),Inputs!$B$2:$AZ$2,0)),Inputs!$B$2:$B$190,$B25)*Inputs!$D$1)</f>
        <v>0</v>
      </c>
      <c r="AC25" s="58">
        <f>AB25</f>
        <v>0</v>
      </c>
      <c r="AD25" s="57">
        <f>IF(ISNA(SUMIFS(INDEX(Inputs!$B$2:$AZ$190,,MATCH(SUBSTITUTE(AD$3,"Q","T"),Inputs!$B$2:$AZ$2,0)),Inputs!$B$2:$B$190,$B25)*Inputs!$D$1),"",SUMIFS(INDEX(Inputs!$B$2:$AZ$190,,MATCH(SUBSTITUTE(AD$3,"Q","T"),Inputs!$B$2:$AZ$2,0)),Inputs!$B$2:$B$190,$B25)*Inputs!$D$1)</f>
        <v>0</v>
      </c>
      <c r="AE25" s="57">
        <f>IF(ISNA(SUMIFS(INDEX(Inputs!$B$2:$AZ$190,,MATCH(SUBSTITUTE(AE$3,"Q","T"),Inputs!$B$2:$AZ$2,0)),Inputs!$B$2:$B$190,$B25)*Inputs!$D$1),"",SUMIFS(INDEX(Inputs!$B$2:$AZ$190,,MATCH(SUBSTITUTE(AE$3,"Q","T"),Inputs!$B$2:$AZ$2,0)),Inputs!$B$2:$B$190,$B25)*Inputs!$D$1)</f>
        <v>0</v>
      </c>
      <c r="AF25" s="57">
        <f>IF(ISNA(SUMIFS(INDEX(Inputs!$B$2:$AZ$190,,MATCH(SUBSTITUTE(AF$3,"Q","T"),Inputs!$B$2:$AZ$2,0)),Inputs!$B$2:$B$190,$B25)*Inputs!$D$1),"",SUMIFS(INDEX(Inputs!$B$2:$AZ$190,,MATCH(SUBSTITUTE(AF$3,"Q","T"),Inputs!$B$2:$AZ$2,0)),Inputs!$B$2:$B$190,$B25)*Inputs!$D$1)</f>
        <v>0</v>
      </c>
      <c r="AG25" s="57">
        <f>IF(ISNA(SUMIFS(INDEX(Inputs!$B$2:$AZ$190,,MATCH(SUBSTITUTE(AG$3,"Q","T"),Inputs!$B$2:$AZ$2,0)),Inputs!$B$2:$B$190,$B25)*Inputs!$D$1),"",SUMIFS(INDEX(Inputs!$B$2:$AZ$190,,MATCH(SUBSTITUTE(AG$3,"Q","T"),Inputs!$B$2:$AZ$2,0)),Inputs!$B$2:$B$190,$B25)*Inputs!$D$1)</f>
        <v>0</v>
      </c>
      <c r="AH25" s="58">
        <f>AG25</f>
        <v>0</v>
      </c>
      <c r="AI25" s="57">
        <f>IF(ISNA(SUMIFS(INDEX(Inputs!$B$2:$AZ$190,,MATCH(SUBSTITUTE(AI$3,"Q","T"),Inputs!$B$2:$AZ$2,0)),Inputs!$B$2:$B$190,$B25)*Inputs!$D$1),"",SUMIFS(INDEX(Inputs!$B$2:$AZ$190,,MATCH(SUBSTITUTE(AI$3,"Q","T"),Inputs!$B$2:$AZ$2,0)),Inputs!$B$2:$B$190,$B25)*Inputs!$D$1)</f>
        <v>0</v>
      </c>
      <c r="AJ25" s="57">
        <f>IF(ISNA(SUMIFS(INDEX(Inputs!$B$2:$AZ$190,,MATCH(SUBSTITUTE(AJ$3,"Q","T"),Inputs!$B$2:$AZ$2,0)),Inputs!$B$2:$B$190,$B25)*Inputs!$D$1),"",SUMIFS(INDEX(Inputs!$B$2:$AZ$190,,MATCH(SUBSTITUTE(AJ$3,"Q","T"),Inputs!$B$2:$AZ$2,0)),Inputs!$B$2:$B$190,$B25)*Inputs!$D$1)</f>
        <v>0</v>
      </c>
      <c r="AK25" s="57">
        <f>IF(ISNA(SUMIFS(INDEX(Inputs!$B$2:$AZ$190,,MATCH(SUBSTITUTE(AK$3,"Q","T"),Inputs!$B$2:$AZ$2,0)),Inputs!$B$2:$B$190,$B25)*Inputs!$D$1),"",SUMIFS(INDEX(Inputs!$B$2:$AZ$190,,MATCH(SUBSTITUTE(AK$3,"Q","T"),Inputs!$B$2:$AZ$2,0)),Inputs!$B$2:$B$190,$B25)*Inputs!$D$1)</f>
        <v>0</v>
      </c>
      <c r="AL25" s="57">
        <f>IF(ISNA(SUMIFS(INDEX(Inputs!$B$2:$AZ$190,,MATCH(SUBSTITUTE(AL$3,"Q","T"),Inputs!$B$2:$AZ$2,0)),Inputs!$B$2:$B$190,$B25)*Inputs!$D$1),"",SUMIFS(INDEX(Inputs!$B$2:$AZ$190,,MATCH(SUBSTITUTE(AL$3,"Q","T"),Inputs!$B$2:$AZ$2,0)),Inputs!$B$2:$B$190,$B25)*Inputs!$D$1)</f>
        <v>0</v>
      </c>
      <c r="AM25" s="58">
        <f>AL25</f>
        <v>0</v>
      </c>
      <c r="AN25" s="57">
        <f>IF(ISNA(SUMIFS(INDEX(Inputs!$B$2:$AZ$190,,MATCH(SUBSTITUTE(AN$3,"Q","T"),Inputs!$B$2:$AZ$2,0)),Inputs!$B$2:$B$190,$B25)*Inputs!$D$1),"",SUMIFS(INDEX(Inputs!$B$2:$AZ$190,,MATCH(SUBSTITUTE(AN$3,"Q","T"),Inputs!$B$2:$AZ$2,0)),Inputs!$B$2:$B$190,$B25)*Inputs!$D$1)</f>
        <v>0</v>
      </c>
      <c r="AO25" s="57">
        <f>IF(ISNA(SUMIFS(INDEX(Inputs!$B$2:$AZ$190,,MATCH(SUBSTITUTE(AO$3,"Q","T"),Inputs!$B$2:$AZ$2,0)),Inputs!$B$2:$B$190,$B25)*Inputs!$D$1),"",SUMIFS(INDEX(Inputs!$B$2:$AZ$190,,MATCH(SUBSTITUTE(AO$3,"Q","T"),Inputs!$B$2:$AZ$2,0)),Inputs!$B$2:$B$190,$B25)*Inputs!$D$1)</f>
        <v>0</v>
      </c>
      <c r="AP25" s="57">
        <f>IF(ISNA(SUMIFS(INDEX(Inputs!$B$2:$AZ$190,,MATCH(SUBSTITUTE(AP$3,"Q","T"),Inputs!$B$2:$AZ$2,0)),Inputs!$B$2:$B$190,$B25)*Inputs!$D$1),"",SUMIFS(INDEX(Inputs!$B$2:$AZ$190,,MATCH(SUBSTITUTE(AP$3,"Q","T"),Inputs!$B$2:$AZ$2,0)),Inputs!$B$2:$B$190,$B25)*Inputs!$D$1)</f>
        <v>0</v>
      </c>
      <c r="AQ25" s="57">
        <f>IF(ISNA(SUMIFS(INDEX(Inputs!$B$2:$AZ$190,,MATCH(SUBSTITUTE(AQ$3,"Q","T"),Inputs!$B$2:$AZ$2,0)),Inputs!$B$2:$B$190,$B25)*Inputs!$D$1),"",SUMIFS(INDEX(Inputs!$B$2:$AZ$190,,MATCH(SUBSTITUTE(AQ$3,"Q","T"),Inputs!$B$2:$AZ$2,0)),Inputs!$B$2:$B$190,$B25)*Inputs!$D$1)</f>
        <v>0</v>
      </c>
      <c r="AR25" s="58">
        <f>AQ25</f>
        <v>0</v>
      </c>
      <c r="AS25" s="57">
        <f>IF(ISNA(SUMIFS(INDEX(Inputs!$B$2:$AZ$190,,MATCH(SUBSTITUTE(AS$3,"Q","T"),Inputs!$B$2:$AZ$2,0)),Inputs!$B$2:$B$190,$B25)*Inputs!$D$1),"",SUMIFS(INDEX(Inputs!$B$2:$AZ$190,,MATCH(SUBSTITUTE(AS$3,"Q","T"),Inputs!$B$2:$AZ$2,0)),Inputs!$B$2:$B$190,$B25)*Inputs!$D$1)</f>
        <v>0</v>
      </c>
      <c r="AT25" s="57">
        <f>IF(ISNA(SUMIFS(INDEX(Inputs!$B$2:$AZ$190,,MATCH(SUBSTITUTE(AT$3,"Q","T"),Inputs!$B$2:$AZ$2,0)),Inputs!$B$2:$B$190,$B25)*Inputs!$D$1),"",SUMIFS(INDEX(Inputs!$B$2:$AZ$190,,MATCH(SUBSTITUTE(AT$3,"Q","T"),Inputs!$B$2:$AZ$2,0)),Inputs!$B$2:$B$190,$B25)*Inputs!$D$1)</f>
        <v>0</v>
      </c>
      <c r="AU25" s="57">
        <f>IF(ISNA(SUMIFS(INDEX(Inputs!$B$2:$AZ$190,,MATCH(SUBSTITUTE(AU$3,"Q","T"),Inputs!$B$2:$AZ$2,0)),Inputs!$B$2:$B$190,$B25)*Inputs!$D$1),"",SUMIFS(INDEX(Inputs!$B$2:$AZ$190,,MATCH(SUBSTITUTE(AU$3,"Q","T"),Inputs!$B$2:$AZ$2,0)),Inputs!$B$2:$B$190,$B25)*Inputs!$D$1)</f>
        <v>0</v>
      </c>
      <c r="AV25" s="57">
        <f>IF(ISNA(SUMIFS(INDEX(Inputs!$B$2:$AZ$190,,MATCH(SUBSTITUTE(AV$3,"Q","T"),Inputs!$B$2:$AZ$2,0)),Inputs!$B$2:$B$190,$B25)*Inputs!$D$1),"",SUMIFS(INDEX(Inputs!$B$2:$AZ$190,,MATCH(SUBSTITUTE(AV$3,"Q","T"),Inputs!$B$2:$AZ$2,0)),Inputs!$B$2:$B$190,$B25)*Inputs!$D$1)</f>
        <v>0</v>
      </c>
      <c r="AW25" s="58">
        <f>AV25</f>
        <v>0</v>
      </c>
      <c r="AX25" s="57">
        <f>IF(ISNA(SUMIFS(INDEX(Inputs!$B$2:$AZ$190,,MATCH(SUBSTITUTE(AX$3,"Q","T"),Inputs!$B$2:$AZ$2,0)),Inputs!$B$2:$B$190,$B25)*Inputs!$D$1),"",SUMIFS(INDEX(Inputs!$B$2:$AZ$190,,MATCH(SUBSTITUTE(AX$3,"Q","T"),Inputs!$B$2:$AZ$2,0)),Inputs!$B$2:$B$190,$B25)*Inputs!$D$1)</f>
        <v>0</v>
      </c>
      <c r="AY25" s="57">
        <f>IF(ISNA(SUMIFS(INDEX(Inputs!$B$2:$AZ$190,,MATCH(SUBSTITUTE(AY$3,"Q","T"),Inputs!$B$2:$AZ$2,0)),Inputs!$B$2:$B$190,$B25)*Inputs!$D$1),"",SUMIFS(INDEX(Inputs!$B$2:$AZ$190,,MATCH(SUBSTITUTE(AY$3,"Q","T"),Inputs!$B$2:$AZ$2,0)),Inputs!$B$2:$B$190,$B25)*Inputs!$D$1)</f>
        <v>0</v>
      </c>
      <c r="AZ25" s="57">
        <f>IF(ISNA(SUMIFS(INDEX(Inputs!$B$2:$AZ$190,,MATCH(SUBSTITUTE(AZ$3,"Q","T"),Inputs!$B$2:$AZ$2,0)),Inputs!$B$2:$B$190,$B25)*Inputs!$D$1),"",SUMIFS(INDEX(Inputs!$B$2:$AZ$190,,MATCH(SUBSTITUTE(AZ$3,"Q","T"),Inputs!$B$2:$AZ$2,0)),Inputs!$B$2:$B$190,$B25)*Inputs!$D$1)</f>
        <v>0</v>
      </c>
      <c r="BA25" s="57">
        <f>IF(ISNA(SUMIFS(INDEX(Inputs!$B$2:$AZ$190,,MATCH(SUBSTITUTE(BA$3,"Q","T"),Inputs!$B$2:$AZ$2,0)),Inputs!$B$2:$B$190,$B25)*Inputs!$D$1),"",SUMIFS(INDEX(Inputs!$B$2:$AZ$190,,MATCH(SUBSTITUTE(BA$3,"Q","T"),Inputs!$B$2:$AZ$2,0)),Inputs!$B$2:$B$190,$B25)*Inputs!$D$1)</f>
        <v>0</v>
      </c>
      <c r="BB25" s="58">
        <f>BA25</f>
        <v>0</v>
      </c>
      <c r="BC25" s="57">
        <f>IF(ISNA(SUMIFS(INDEX(Inputs!$B$2:$AZ$190,,MATCH(SUBSTITUTE(BC$3,"Q","T"),Inputs!$B$2:$AZ$2,0)),Inputs!$B$2:$B$190,$B25)*Inputs!$D$1),"",SUMIFS(INDEX(Inputs!$B$2:$AZ$190,,MATCH(SUBSTITUTE(BC$3,"Q","T"),Inputs!$B$2:$AZ$2,0)),Inputs!$B$2:$B$190,$B25)*Inputs!$D$1)</f>
        <v>0</v>
      </c>
      <c r="BD25" s="57">
        <f>IF(ISNA(SUMIFS(INDEX(Inputs!$B$2:$AZ$190,,MATCH(SUBSTITUTE(BD$3,"Q","T"),Inputs!$B$2:$AZ$2,0)),Inputs!$B$2:$B$190,$B25)*Inputs!$D$1),"",SUMIFS(INDEX(Inputs!$B$2:$AZ$190,,MATCH(SUBSTITUTE(BD$3,"Q","T"),Inputs!$B$2:$AZ$2,0)),Inputs!$B$2:$B$190,$B25)*Inputs!$D$1)</f>
        <v>0</v>
      </c>
      <c r="BE25" s="57">
        <f>IF(ISNA(SUMIFS(INDEX(Inputs!$B$2:$AZ$190,,MATCH(SUBSTITUTE(BE$3,"Q","T"),Inputs!$B$2:$AZ$2,0)),Inputs!$B$2:$B$190,$B25)*Inputs!$D$1),"",SUMIFS(INDEX(Inputs!$B$2:$AZ$190,,MATCH(SUBSTITUTE(BE$3,"Q","T"),Inputs!$B$2:$AZ$2,0)),Inputs!$B$2:$B$190,$B25)*Inputs!$D$1)</f>
        <v>0</v>
      </c>
      <c r="BF25" s="57">
        <f>IF(ISNA(SUMIFS(INDEX(Inputs!$B$2:$AZ$190,,MATCH(SUBSTITUTE(BF$3,"Q","T"),Inputs!$B$2:$AZ$2,0)),Inputs!$B$2:$B$190,$B25)*Inputs!$D$1),"",SUMIFS(INDEX(Inputs!$B$2:$AZ$190,,MATCH(SUBSTITUTE(BF$3,"Q","T"),Inputs!$B$2:$AZ$2,0)),Inputs!$B$2:$B$190,$B25)*Inputs!$D$1)</f>
        <v>0</v>
      </c>
      <c r="BG25" s="58">
        <f>BF25</f>
        <v>0</v>
      </c>
    </row>
    <row r="26" hidden="1" outlineLevel="1">
      <c r="B26" s="56" t="inlineStr">
        <is>
          <t>inv_out</t>
        </is>
      </c>
      <c r="C26" s="61" t="inlineStr">
        <is>
          <t>Outros investimentos (quando à parte)</t>
        </is>
      </c>
      <c r="D26" s="62" t="inlineStr">
        <is>
          <t>Other investments, if separate</t>
        </is>
      </c>
      <c r="E26" s="57">
        <f>IF(ISNA(SUMIFS(INDEX(Inputs!$B$2:$AZ$190,,MATCH(SUBSTITUTE(E$3,"Q","T"),Inputs!$B$2:$AZ$2,0)),Inputs!$B$2:$B$190,$B26)*Inputs!$D$1),"",SUMIFS(INDEX(Inputs!$B$2:$AZ$190,,MATCH(SUBSTITUTE(E$3,"Q","T"),Inputs!$B$2:$AZ$2,0)),Inputs!$B$2:$B$190,$B26)*Inputs!$D$1)</f>
        <v>0</v>
      </c>
      <c r="F26" s="57">
        <f>IF(ISNA(SUMIFS(INDEX(Inputs!$B$2:$AZ$190,,MATCH(SUBSTITUTE(F$3,"Q","T"),Inputs!$B$2:$AZ$2,0)),Inputs!$B$2:$B$190,$B26)*Inputs!$D$1),"",SUMIFS(INDEX(Inputs!$B$2:$AZ$190,,MATCH(SUBSTITUTE(F$3,"Q","T"),Inputs!$B$2:$AZ$2,0)),Inputs!$B$2:$B$190,$B26)*Inputs!$D$1)</f>
        <v>0</v>
      </c>
      <c r="G26" s="57">
        <f>IF(ISNA(SUMIFS(INDEX(Inputs!$B$2:$AZ$190,,MATCH(SUBSTITUTE(G$3,"Q","T"),Inputs!$B$2:$AZ$2,0)),Inputs!$B$2:$B$190,$B26)*Inputs!$D$1),"",SUMIFS(INDEX(Inputs!$B$2:$AZ$190,,MATCH(SUBSTITUTE(G$3,"Q","T"),Inputs!$B$2:$AZ$2,0)),Inputs!$B$2:$B$190,$B26)*Inputs!$D$1)</f>
        <v>0</v>
      </c>
      <c r="H26" s="57">
        <f>IF(ISNA(SUMIFS(INDEX(Inputs!$B$2:$AZ$190,,MATCH(SUBSTITUTE(H$3,"Q","T"),Inputs!$B$2:$AZ$2,0)),Inputs!$B$2:$B$190,$B26)*Inputs!$D$1),"",SUMIFS(INDEX(Inputs!$B$2:$AZ$190,,MATCH(SUBSTITUTE(H$3,"Q","T"),Inputs!$B$2:$AZ$2,0)),Inputs!$B$2:$B$190,$B26)*Inputs!$D$1)</f>
        <v>0</v>
      </c>
      <c r="I26" s="58">
        <f>H26</f>
        <v>0</v>
      </c>
      <c r="J26" s="57">
        <f>IF(ISNA(SUMIFS(INDEX(Inputs!$B$2:$AZ$190,,MATCH(SUBSTITUTE(J$3,"Q","T"),Inputs!$B$2:$AZ$2,0)),Inputs!$B$2:$B$190,$B26)*Inputs!$D$1),"",SUMIFS(INDEX(Inputs!$B$2:$AZ$190,,MATCH(SUBSTITUTE(J$3,"Q","T"),Inputs!$B$2:$AZ$2,0)),Inputs!$B$2:$B$190,$B26)*Inputs!$D$1)</f>
        <v>0</v>
      </c>
      <c r="K26" s="57">
        <f>IF(ISNA(SUMIFS(INDEX(Inputs!$B$2:$AZ$190,,MATCH(SUBSTITUTE(K$3,"Q","T"),Inputs!$B$2:$AZ$2,0)),Inputs!$B$2:$B$190,$B26)*Inputs!$D$1),"",SUMIFS(INDEX(Inputs!$B$2:$AZ$190,,MATCH(SUBSTITUTE(K$3,"Q","T"),Inputs!$B$2:$AZ$2,0)),Inputs!$B$2:$B$190,$B26)*Inputs!$D$1)</f>
        <v>0</v>
      </c>
      <c r="L26" s="57">
        <f>IF(ISNA(SUMIFS(INDEX(Inputs!$B$2:$AZ$190,,MATCH(SUBSTITUTE(L$3,"Q","T"),Inputs!$B$2:$AZ$2,0)),Inputs!$B$2:$B$190,$B26)*Inputs!$D$1),"",SUMIFS(INDEX(Inputs!$B$2:$AZ$190,,MATCH(SUBSTITUTE(L$3,"Q","T"),Inputs!$B$2:$AZ$2,0)),Inputs!$B$2:$B$190,$B26)*Inputs!$D$1)</f>
        <v>0</v>
      </c>
      <c r="M26" s="57">
        <f>IF(ISNA(SUMIFS(INDEX(Inputs!$B$2:$AZ$190,,MATCH(SUBSTITUTE(M$3,"Q","T"),Inputs!$B$2:$AZ$2,0)),Inputs!$B$2:$B$190,$B26)*Inputs!$D$1),"",SUMIFS(INDEX(Inputs!$B$2:$AZ$190,,MATCH(SUBSTITUTE(M$3,"Q","T"),Inputs!$B$2:$AZ$2,0)),Inputs!$B$2:$B$190,$B26)*Inputs!$D$1)</f>
        <v>0</v>
      </c>
      <c r="N26" s="58">
        <f>M26</f>
        <v>0</v>
      </c>
      <c r="O26" s="57">
        <f>IF(ISNA(SUMIFS(INDEX(Inputs!$B$2:$AZ$190,,MATCH(SUBSTITUTE(O$3,"Q","T"),Inputs!$B$2:$AZ$2,0)),Inputs!$B$2:$B$190,$B26)*Inputs!$D$1),"",SUMIFS(INDEX(Inputs!$B$2:$AZ$190,,MATCH(SUBSTITUTE(O$3,"Q","T"),Inputs!$B$2:$AZ$2,0)),Inputs!$B$2:$B$190,$B26)*Inputs!$D$1)</f>
        <v>0</v>
      </c>
      <c r="P26" s="57">
        <f>IF(ISNA(SUMIFS(INDEX(Inputs!$B$2:$AZ$190,,MATCH(SUBSTITUTE(P$3,"Q","T"),Inputs!$B$2:$AZ$2,0)),Inputs!$B$2:$B$190,$B26)*Inputs!$D$1),"",SUMIFS(INDEX(Inputs!$B$2:$AZ$190,,MATCH(SUBSTITUTE(P$3,"Q","T"),Inputs!$B$2:$AZ$2,0)),Inputs!$B$2:$B$190,$B26)*Inputs!$D$1)</f>
        <v>0</v>
      </c>
      <c r="Q26" s="57">
        <f>IF(ISNA(SUMIFS(INDEX(Inputs!$B$2:$AZ$190,,MATCH(SUBSTITUTE(Q$3,"Q","T"),Inputs!$B$2:$AZ$2,0)),Inputs!$B$2:$B$190,$B26)*Inputs!$D$1),"",SUMIFS(INDEX(Inputs!$B$2:$AZ$190,,MATCH(SUBSTITUTE(Q$3,"Q","T"),Inputs!$B$2:$AZ$2,0)),Inputs!$B$2:$B$190,$B26)*Inputs!$D$1)</f>
        <v>0</v>
      </c>
      <c r="R26" s="57">
        <f>IF(ISNA(SUMIFS(INDEX(Inputs!$B$2:$AZ$190,,MATCH(SUBSTITUTE(R$3,"Q","T"),Inputs!$B$2:$AZ$2,0)),Inputs!$B$2:$B$190,$B26)*Inputs!$D$1),"",SUMIFS(INDEX(Inputs!$B$2:$AZ$190,,MATCH(SUBSTITUTE(R$3,"Q","T"),Inputs!$B$2:$AZ$2,0)),Inputs!$B$2:$B$190,$B26)*Inputs!$D$1)</f>
        <v>0</v>
      </c>
      <c r="S26" s="58">
        <f>R26</f>
        <v>0</v>
      </c>
      <c r="T26" s="57">
        <f>IF(ISNA(SUMIFS(INDEX(Inputs!$B$2:$AZ$190,,MATCH(SUBSTITUTE(T$3,"Q","T"),Inputs!$B$2:$AZ$2,0)),Inputs!$B$2:$B$190,$B26)*Inputs!$D$1),"",SUMIFS(INDEX(Inputs!$B$2:$AZ$190,,MATCH(SUBSTITUTE(T$3,"Q","T"),Inputs!$B$2:$AZ$2,0)),Inputs!$B$2:$B$190,$B26)*Inputs!$D$1)</f>
        <v>0</v>
      </c>
      <c r="U26" s="57">
        <f>IF(ISNA(SUMIFS(INDEX(Inputs!$B$2:$AZ$190,,MATCH(SUBSTITUTE(U$3,"Q","T"),Inputs!$B$2:$AZ$2,0)),Inputs!$B$2:$B$190,$B26)*Inputs!$D$1),"",SUMIFS(INDEX(Inputs!$B$2:$AZ$190,,MATCH(SUBSTITUTE(U$3,"Q","T"),Inputs!$B$2:$AZ$2,0)),Inputs!$B$2:$B$190,$B26)*Inputs!$D$1)</f>
        <v>0</v>
      </c>
      <c r="V26" s="57">
        <f>IF(ISNA(SUMIFS(INDEX(Inputs!$B$2:$AZ$190,,MATCH(SUBSTITUTE(V$3,"Q","T"),Inputs!$B$2:$AZ$2,0)),Inputs!$B$2:$B$190,$B26)*Inputs!$D$1),"",SUMIFS(INDEX(Inputs!$B$2:$AZ$190,,MATCH(SUBSTITUTE(V$3,"Q","T"),Inputs!$B$2:$AZ$2,0)),Inputs!$B$2:$B$190,$B26)*Inputs!$D$1)</f>
        <v>0</v>
      </c>
      <c r="W26" s="57">
        <f>IF(ISNA(SUMIFS(INDEX(Inputs!$B$2:$AZ$190,,MATCH(SUBSTITUTE(W$3,"Q","T"),Inputs!$B$2:$AZ$2,0)),Inputs!$B$2:$B$190,$B26)*Inputs!$D$1),"",SUMIFS(INDEX(Inputs!$B$2:$AZ$190,,MATCH(SUBSTITUTE(W$3,"Q","T"),Inputs!$B$2:$AZ$2,0)),Inputs!$B$2:$B$190,$B26)*Inputs!$D$1)</f>
        <v>0</v>
      </c>
      <c r="X26" s="58">
        <f>W26</f>
        <v>0</v>
      </c>
      <c r="Y26" s="57">
        <f>IF(ISNA(SUMIFS(INDEX(Inputs!$B$2:$AZ$190,,MATCH(SUBSTITUTE(Y$3,"Q","T"),Inputs!$B$2:$AZ$2,0)),Inputs!$B$2:$B$190,$B26)*Inputs!$D$1),"",SUMIFS(INDEX(Inputs!$B$2:$AZ$190,,MATCH(SUBSTITUTE(Y$3,"Q","T"),Inputs!$B$2:$AZ$2,0)),Inputs!$B$2:$B$190,$B26)*Inputs!$D$1)</f>
        <v>0</v>
      </c>
      <c r="Z26" s="57">
        <f>IF(ISNA(SUMIFS(INDEX(Inputs!$B$2:$AZ$190,,MATCH(SUBSTITUTE(Z$3,"Q","T"),Inputs!$B$2:$AZ$2,0)),Inputs!$B$2:$B$190,$B26)*Inputs!$D$1),"",SUMIFS(INDEX(Inputs!$B$2:$AZ$190,,MATCH(SUBSTITUTE(Z$3,"Q","T"),Inputs!$B$2:$AZ$2,0)),Inputs!$B$2:$B$190,$B26)*Inputs!$D$1)</f>
        <v>0</v>
      </c>
      <c r="AA26" s="57">
        <f>IF(ISNA(SUMIFS(INDEX(Inputs!$B$2:$AZ$190,,MATCH(SUBSTITUTE(AA$3,"Q","T"),Inputs!$B$2:$AZ$2,0)),Inputs!$B$2:$B$190,$B26)*Inputs!$D$1),"",SUMIFS(INDEX(Inputs!$B$2:$AZ$190,,MATCH(SUBSTITUTE(AA$3,"Q","T"),Inputs!$B$2:$AZ$2,0)),Inputs!$B$2:$B$190,$B26)*Inputs!$D$1)</f>
        <v>0</v>
      </c>
      <c r="AB26" s="57">
        <f>IF(ISNA(SUMIFS(INDEX(Inputs!$B$2:$AZ$190,,MATCH(SUBSTITUTE(AB$3,"Q","T"),Inputs!$B$2:$AZ$2,0)),Inputs!$B$2:$B$190,$B26)*Inputs!$D$1),"",SUMIFS(INDEX(Inputs!$B$2:$AZ$190,,MATCH(SUBSTITUTE(AB$3,"Q","T"),Inputs!$B$2:$AZ$2,0)),Inputs!$B$2:$B$190,$B26)*Inputs!$D$1)</f>
        <v>0</v>
      </c>
      <c r="AC26" s="58">
        <f>AB26</f>
        <v>0</v>
      </c>
      <c r="AD26" s="57">
        <f>IF(ISNA(SUMIFS(INDEX(Inputs!$B$2:$AZ$190,,MATCH(SUBSTITUTE(AD$3,"Q","T"),Inputs!$B$2:$AZ$2,0)),Inputs!$B$2:$B$190,$B26)*Inputs!$D$1),"",SUMIFS(INDEX(Inputs!$B$2:$AZ$190,,MATCH(SUBSTITUTE(AD$3,"Q","T"),Inputs!$B$2:$AZ$2,0)),Inputs!$B$2:$B$190,$B26)*Inputs!$D$1)</f>
        <v>0</v>
      </c>
      <c r="AE26" s="57">
        <f>IF(ISNA(SUMIFS(INDEX(Inputs!$B$2:$AZ$190,,MATCH(SUBSTITUTE(AE$3,"Q","T"),Inputs!$B$2:$AZ$2,0)),Inputs!$B$2:$B$190,$B26)*Inputs!$D$1),"",SUMIFS(INDEX(Inputs!$B$2:$AZ$190,,MATCH(SUBSTITUTE(AE$3,"Q","T"),Inputs!$B$2:$AZ$2,0)),Inputs!$B$2:$B$190,$B26)*Inputs!$D$1)</f>
        <v>0</v>
      </c>
      <c r="AF26" s="57">
        <f>IF(ISNA(SUMIFS(INDEX(Inputs!$B$2:$AZ$190,,MATCH(SUBSTITUTE(AF$3,"Q","T"),Inputs!$B$2:$AZ$2,0)),Inputs!$B$2:$B$190,$B26)*Inputs!$D$1),"",SUMIFS(INDEX(Inputs!$B$2:$AZ$190,,MATCH(SUBSTITUTE(AF$3,"Q","T"),Inputs!$B$2:$AZ$2,0)),Inputs!$B$2:$B$190,$B26)*Inputs!$D$1)</f>
        <v>0</v>
      </c>
      <c r="AG26" s="57">
        <f>IF(ISNA(SUMIFS(INDEX(Inputs!$B$2:$AZ$190,,MATCH(SUBSTITUTE(AG$3,"Q","T"),Inputs!$B$2:$AZ$2,0)),Inputs!$B$2:$B$190,$B26)*Inputs!$D$1),"",SUMIFS(INDEX(Inputs!$B$2:$AZ$190,,MATCH(SUBSTITUTE(AG$3,"Q","T"),Inputs!$B$2:$AZ$2,0)),Inputs!$B$2:$B$190,$B26)*Inputs!$D$1)</f>
        <v>0</v>
      </c>
      <c r="AH26" s="58">
        <f>AG26</f>
        <v>0</v>
      </c>
      <c r="AI26" s="57">
        <f>IF(ISNA(SUMIFS(INDEX(Inputs!$B$2:$AZ$190,,MATCH(SUBSTITUTE(AI$3,"Q","T"),Inputs!$B$2:$AZ$2,0)),Inputs!$B$2:$B$190,$B26)*Inputs!$D$1),"",SUMIFS(INDEX(Inputs!$B$2:$AZ$190,,MATCH(SUBSTITUTE(AI$3,"Q","T"),Inputs!$B$2:$AZ$2,0)),Inputs!$B$2:$B$190,$B26)*Inputs!$D$1)</f>
        <v>0</v>
      </c>
      <c r="AJ26" s="57">
        <f>IF(ISNA(SUMIFS(INDEX(Inputs!$B$2:$AZ$190,,MATCH(SUBSTITUTE(AJ$3,"Q","T"),Inputs!$B$2:$AZ$2,0)),Inputs!$B$2:$B$190,$B26)*Inputs!$D$1),"",SUMIFS(INDEX(Inputs!$B$2:$AZ$190,,MATCH(SUBSTITUTE(AJ$3,"Q","T"),Inputs!$B$2:$AZ$2,0)),Inputs!$B$2:$B$190,$B26)*Inputs!$D$1)</f>
        <v>0</v>
      </c>
      <c r="AK26" s="57">
        <f>IF(ISNA(SUMIFS(INDEX(Inputs!$B$2:$AZ$190,,MATCH(SUBSTITUTE(AK$3,"Q","T"),Inputs!$B$2:$AZ$2,0)),Inputs!$B$2:$B$190,$B26)*Inputs!$D$1),"",SUMIFS(INDEX(Inputs!$B$2:$AZ$190,,MATCH(SUBSTITUTE(AK$3,"Q","T"),Inputs!$B$2:$AZ$2,0)),Inputs!$B$2:$B$190,$B26)*Inputs!$D$1)</f>
        <v>0</v>
      </c>
      <c r="AL26" s="57">
        <f>IF(ISNA(SUMIFS(INDEX(Inputs!$B$2:$AZ$190,,MATCH(SUBSTITUTE(AL$3,"Q","T"),Inputs!$B$2:$AZ$2,0)),Inputs!$B$2:$B$190,$B26)*Inputs!$D$1),"",SUMIFS(INDEX(Inputs!$B$2:$AZ$190,,MATCH(SUBSTITUTE(AL$3,"Q","T"),Inputs!$B$2:$AZ$2,0)),Inputs!$B$2:$B$190,$B26)*Inputs!$D$1)</f>
        <v>0</v>
      </c>
      <c r="AM26" s="58">
        <f>AL26</f>
        <v>0</v>
      </c>
      <c r="AN26" s="57">
        <f>IF(ISNA(SUMIFS(INDEX(Inputs!$B$2:$AZ$190,,MATCH(SUBSTITUTE(AN$3,"Q","T"),Inputs!$B$2:$AZ$2,0)),Inputs!$B$2:$B$190,$B26)*Inputs!$D$1),"",SUMIFS(INDEX(Inputs!$B$2:$AZ$190,,MATCH(SUBSTITUTE(AN$3,"Q","T"),Inputs!$B$2:$AZ$2,0)),Inputs!$B$2:$B$190,$B26)*Inputs!$D$1)</f>
        <v>0</v>
      </c>
      <c r="AO26" s="57">
        <f>IF(ISNA(SUMIFS(INDEX(Inputs!$B$2:$AZ$190,,MATCH(SUBSTITUTE(AO$3,"Q","T"),Inputs!$B$2:$AZ$2,0)),Inputs!$B$2:$B$190,$B26)*Inputs!$D$1),"",SUMIFS(INDEX(Inputs!$B$2:$AZ$190,,MATCH(SUBSTITUTE(AO$3,"Q","T"),Inputs!$B$2:$AZ$2,0)),Inputs!$B$2:$B$190,$B26)*Inputs!$D$1)</f>
        <v>0</v>
      </c>
      <c r="AP26" s="57">
        <f>IF(ISNA(SUMIFS(INDEX(Inputs!$B$2:$AZ$190,,MATCH(SUBSTITUTE(AP$3,"Q","T"),Inputs!$B$2:$AZ$2,0)),Inputs!$B$2:$B$190,$B26)*Inputs!$D$1),"",SUMIFS(INDEX(Inputs!$B$2:$AZ$190,,MATCH(SUBSTITUTE(AP$3,"Q","T"),Inputs!$B$2:$AZ$2,0)),Inputs!$B$2:$B$190,$B26)*Inputs!$D$1)</f>
        <v>0</v>
      </c>
      <c r="AQ26" s="57">
        <f>IF(ISNA(SUMIFS(INDEX(Inputs!$B$2:$AZ$190,,MATCH(SUBSTITUTE(AQ$3,"Q","T"),Inputs!$B$2:$AZ$2,0)),Inputs!$B$2:$B$190,$B26)*Inputs!$D$1),"",SUMIFS(INDEX(Inputs!$B$2:$AZ$190,,MATCH(SUBSTITUTE(AQ$3,"Q","T"),Inputs!$B$2:$AZ$2,0)),Inputs!$B$2:$B$190,$B26)*Inputs!$D$1)</f>
        <v>0</v>
      </c>
      <c r="AR26" s="58">
        <f>AQ26</f>
        <v>0</v>
      </c>
      <c r="AS26" s="57">
        <f>IF(ISNA(SUMIFS(INDEX(Inputs!$B$2:$AZ$190,,MATCH(SUBSTITUTE(AS$3,"Q","T"),Inputs!$B$2:$AZ$2,0)),Inputs!$B$2:$B$190,$B26)*Inputs!$D$1),"",SUMIFS(INDEX(Inputs!$B$2:$AZ$190,,MATCH(SUBSTITUTE(AS$3,"Q","T"),Inputs!$B$2:$AZ$2,0)),Inputs!$B$2:$B$190,$B26)*Inputs!$D$1)</f>
        <v>0</v>
      </c>
      <c r="AT26" s="57">
        <f>IF(ISNA(SUMIFS(INDEX(Inputs!$B$2:$AZ$190,,MATCH(SUBSTITUTE(AT$3,"Q","T"),Inputs!$B$2:$AZ$2,0)),Inputs!$B$2:$B$190,$B26)*Inputs!$D$1),"",SUMIFS(INDEX(Inputs!$B$2:$AZ$190,,MATCH(SUBSTITUTE(AT$3,"Q","T"),Inputs!$B$2:$AZ$2,0)),Inputs!$B$2:$B$190,$B26)*Inputs!$D$1)</f>
        <v>0</v>
      </c>
      <c r="AU26" s="57">
        <f>IF(ISNA(SUMIFS(INDEX(Inputs!$B$2:$AZ$190,,MATCH(SUBSTITUTE(AU$3,"Q","T"),Inputs!$B$2:$AZ$2,0)),Inputs!$B$2:$B$190,$B26)*Inputs!$D$1),"",SUMIFS(INDEX(Inputs!$B$2:$AZ$190,,MATCH(SUBSTITUTE(AU$3,"Q","T"),Inputs!$B$2:$AZ$2,0)),Inputs!$B$2:$B$190,$B26)*Inputs!$D$1)</f>
        <v>0</v>
      </c>
      <c r="AV26" s="57">
        <f>IF(ISNA(SUMIFS(INDEX(Inputs!$B$2:$AZ$190,,MATCH(SUBSTITUTE(AV$3,"Q","T"),Inputs!$B$2:$AZ$2,0)),Inputs!$B$2:$B$190,$B26)*Inputs!$D$1),"",SUMIFS(INDEX(Inputs!$B$2:$AZ$190,,MATCH(SUBSTITUTE(AV$3,"Q","T"),Inputs!$B$2:$AZ$2,0)),Inputs!$B$2:$B$190,$B26)*Inputs!$D$1)</f>
        <v>0</v>
      </c>
      <c r="AW26" s="58">
        <f>AV26</f>
        <v>0</v>
      </c>
      <c r="AX26" s="57">
        <f>IF(ISNA(SUMIFS(INDEX(Inputs!$B$2:$AZ$190,,MATCH(SUBSTITUTE(AX$3,"Q","T"),Inputs!$B$2:$AZ$2,0)),Inputs!$B$2:$B$190,$B26)*Inputs!$D$1),"",SUMIFS(INDEX(Inputs!$B$2:$AZ$190,,MATCH(SUBSTITUTE(AX$3,"Q","T"),Inputs!$B$2:$AZ$2,0)),Inputs!$B$2:$B$190,$B26)*Inputs!$D$1)</f>
        <v>0</v>
      </c>
      <c r="AY26" s="57">
        <f>IF(ISNA(SUMIFS(INDEX(Inputs!$B$2:$AZ$190,,MATCH(SUBSTITUTE(AY$3,"Q","T"),Inputs!$B$2:$AZ$2,0)),Inputs!$B$2:$B$190,$B26)*Inputs!$D$1),"",SUMIFS(INDEX(Inputs!$B$2:$AZ$190,,MATCH(SUBSTITUTE(AY$3,"Q","T"),Inputs!$B$2:$AZ$2,0)),Inputs!$B$2:$B$190,$B26)*Inputs!$D$1)</f>
        <v>0</v>
      </c>
      <c r="AZ26" s="57">
        <f>IF(ISNA(SUMIFS(INDEX(Inputs!$B$2:$AZ$190,,MATCH(SUBSTITUTE(AZ$3,"Q","T"),Inputs!$B$2:$AZ$2,0)),Inputs!$B$2:$B$190,$B26)*Inputs!$D$1),"",SUMIFS(INDEX(Inputs!$B$2:$AZ$190,,MATCH(SUBSTITUTE(AZ$3,"Q","T"),Inputs!$B$2:$AZ$2,0)),Inputs!$B$2:$B$190,$B26)*Inputs!$D$1)</f>
        <v>0</v>
      </c>
      <c r="BA26" s="57">
        <f>IF(ISNA(SUMIFS(INDEX(Inputs!$B$2:$AZ$190,,MATCH(SUBSTITUTE(BA$3,"Q","T"),Inputs!$B$2:$AZ$2,0)),Inputs!$B$2:$B$190,$B26)*Inputs!$D$1),"",SUMIFS(INDEX(Inputs!$B$2:$AZ$190,,MATCH(SUBSTITUTE(BA$3,"Q","T"),Inputs!$B$2:$AZ$2,0)),Inputs!$B$2:$B$190,$B26)*Inputs!$D$1)</f>
        <v>0</v>
      </c>
      <c r="BB26" s="58">
        <f>BA26</f>
        <v>0</v>
      </c>
      <c r="BC26" s="57">
        <f>IF(ISNA(SUMIFS(INDEX(Inputs!$B$2:$AZ$190,,MATCH(SUBSTITUTE(BC$3,"Q","T"),Inputs!$B$2:$AZ$2,0)),Inputs!$B$2:$B$190,$B26)*Inputs!$D$1),"",SUMIFS(INDEX(Inputs!$B$2:$AZ$190,,MATCH(SUBSTITUTE(BC$3,"Q","T"),Inputs!$B$2:$AZ$2,0)),Inputs!$B$2:$B$190,$B26)*Inputs!$D$1)</f>
        <v>0</v>
      </c>
      <c r="BD26" s="57">
        <f>IF(ISNA(SUMIFS(INDEX(Inputs!$B$2:$AZ$190,,MATCH(SUBSTITUTE(BD$3,"Q","T"),Inputs!$B$2:$AZ$2,0)),Inputs!$B$2:$B$190,$B26)*Inputs!$D$1),"",SUMIFS(INDEX(Inputs!$B$2:$AZ$190,,MATCH(SUBSTITUTE(BD$3,"Q","T"),Inputs!$B$2:$AZ$2,0)),Inputs!$B$2:$B$190,$B26)*Inputs!$D$1)</f>
        <v>0</v>
      </c>
      <c r="BE26" s="57">
        <f>IF(ISNA(SUMIFS(INDEX(Inputs!$B$2:$AZ$190,,MATCH(SUBSTITUTE(BE$3,"Q","T"),Inputs!$B$2:$AZ$2,0)),Inputs!$B$2:$B$190,$B26)*Inputs!$D$1),"",SUMIFS(INDEX(Inputs!$B$2:$AZ$190,,MATCH(SUBSTITUTE(BE$3,"Q","T"),Inputs!$B$2:$AZ$2,0)),Inputs!$B$2:$B$190,$B26)*Inputs!$D$1)</f>
        <v>0</v>
      </c>
      <c r="BF26" s="57">
        <f>IF(ISNA(SUMIFS(INDEX(Inputs!$B$2:$AZ$190,,MATCH(SUBSTITUTE(BF$3,"Q","T"),Inputs!$B$2:$AZ$2,0)),Inputs!$B$2:$B$190,$B26)*Inputs!$D$1),"",SUMIFS(INDEX(Inputs!$B$2:$AZ$190,,MATCH(SUBSTITUTE(BF$3,"Q","T"),Inputs!$B$2:$AZ$2,0)),Inputs!$B$2:$B$190,$B26)*Inputs!$D$1)</f>
        <v>0</v>
      </c>
      <c r="BG26" s="58">
        <f>BF26</f>
        <v>0</v>
      </c>
    </row>
    <row r="27">
      <c r="B27" s="56" t="inlineStr">
        <is>
          <t>premises</t>
        </is>
      </c>
      <c r="C27" s="11" t="inlineStr">
        <is>
          <t>Imóveis, equipamentos e direito de uso</t>
        </is>
      </c>
      <c r="D27" s="12" t="inlineStr">
        <is>
          <t>Premises and equipment</t>
        </is>
      </c>
      <c r="E27" s="57">
        <f>IF(ISNA(SUMIFS(INDEX(Inputs!$B$2:$AZ$190,,MATCH(SUBSTITUTE(E$3,"Q","T"),Inputs!$B$2:$AZ$2,0)),Inputs!$B$2:$B$190,$B27)*Inputs!$D$1),"",SUMIFS(INDEX(Inputs!$B$2:$AZ$190,,MATCH(SUBSTITUTE(E$3,"Q","T"),Inputs!$B$2:$AZ$2,0)),Inputs!$B$2:$B$190,$B27)*Inputs!$D$1)</f>
        <v>0</v>
      </c>
      <c r="F27" s="57">
        <f>IF(ISNA(SUMIFS(INDEX(Inputs!$B$2:$AZ$190,,MATCH(SUBSTITUTE(F$3,"Q","T"),Inputs!$B$2:$AZ$2,0)),Inputs!$B$2:$B$190,$B27)*Inputs!$D$1),"",SUMIFS(INDEX(Inputs!$B$2:$AZ$190,,MATCH(SUBSTITUTE(F$3,"Q","T"),Inputs!$B$2:$AZ$2,0)),Inputs!$B$2:$B$190,$B27)*Inputs!$D$1)</f>
        <v>0</v>
      </c>
      <c r="G27" s="57">
        <f>IF(ISNA(SUMIFS(INDEX(Inputs!$B$2:$AZ$190,,MATCH(SUBSTITUTE(G$3,"Q","T"),Inputs!$B$2:$AZ$2,0)),Inputs!$B$2:$B$190,$B27)*Inputs!$D$1),"",SUMIFS(INDEX(Inputs!$B$2:$AZ$190,,MATCH(SUBSTITUTE(G$3,"Q","T"),Inputs!$B$2:$AZ$2,0)),Inputs!$B$2:$B$190,$B27)*Inputs!$D$1)</f>
        <v>0</v>
      </c>
      <c r="H27" s="57">
        <f>IF(ISNA(SUMIFS(INDEX(Inputs!$B$2:$AZ$190,,MATCH(SUBSTITUTE(H$3,"Q","T"),Inputs!$B$2:$AZ$2,0)),Inputs!$B$2:$B$190,$B27)*Inputs!$D$1),"",SUMIFS(INDEX(Inputs!$B$2:$AZ$190,,MATCH(SUBSTITUTE(H$3,"Q","T"),Inputs!$B$2:$AZ$2,0)),Inputs!$B$2:$B$190,$B27)*Inputs!$D$1)</f>
        <v>0</v>
      </c>
      <c r="I27" s="58">
        <f>H27</f>
        <v>0</v>
      </c>
      <c r="J27" s="57">
        <f>IF(ISNA(SUMIFS(INDEX(Inputs!$B$2:$AZ$190,,MATCH(SUBSTITUTE(J$3,"Q","T"),Inputs!$B$2:$AZ$2,0)),Inputs!$B$2:$B$190,$B27)*Inputs!$D$1),"",SUMIFS(INDEX(Inputs!$B$2:$AZ$190,,MATCH(SUBSTITUTE(J$3,"Q","T"),Inputs!$B$2:$AZ$2,0)),Inputs!$B$2:$B$190,$B27)*Inputs!$D$1)</f>
        <v>0</v>
      </c>
      <c r="K27" s="57">
        <f>IF(ISNA(SUMIFS(INDEX(Inputs!$B$2:$AZ$190,,MATCH(SUBSTITUTE(K$3,"Q","T"),Inputs!$B$2:$AZ$2,0)),Inputs!$B$2:$B$190,$B27)*Inputs!$D$1),"",SUMIFS(INDEX(Inputs!$B$2:$AZ$190,,MATCH(SUBSTITUTE(K$3,"Q","T"),Inputs!$B$2:$AZ$2,0)),Inputs!$B$2:$B$190,$B27)*Inputs!$D$1)</f>
        <v>0</v>
      </c>
      <c r="L27" s="57">
        <f>IF(ISNA(SUMIFS(INDEX(Inputs!$B$2:$AZ$190,,MATCH(SUBSTITUTE(L$3,"Q","T"),Inputs!$B$2:$AZ$2,0)),Inputs!$B$2:$B$190,$B27)*Inputs!$D$1),"",SUMIFS(INDEX(Inputs!$B$2:$AZ$190,,MATCH(SUBSTITUTE(L$3,"Q","T"),Inputs!$B$2:$AZ$2,0)),Inputs!$B$2:$B$190,$B27)*Inputs!$D$1)</f>
        <v>0</v>
      </c>
      <c r="M27" s="57">
        <f>IF(ISNA(SUMIFS(INDEX(Inputs!$B$2:$AZ$190,,MATCH(SUBSTITUTE(M$3,"Q","T"),Inputs!$B$2:$AZ$2,0)),Inputs!$B$2:$B$190,$B27)*Inputs!$D$1),"",SUMIFS(INDEX(Inputs!$B$2:$AZ$190,,MATCH(SUBSTITUTE(M$3,"Q","T"),Inputs!$B$2:$AZ$2,0)),Inputs!$B$2:$B$190,$B27)*Inputs!$D$1)</f>
        <v>0</v>
      </c>
      <c r="N27" s="58">
        <f>M27</f>
        <v>0</v>
      </c>
      <c r="O27" s="57">
        <f>IF(ISNA(SUMIFS(INDEX(Inputs!$B$2:$AZ$190,,MATCH(SUBSTITUTE(O$3,"Q","T"),Inputs!$B$2:$AZ$2,0)),Inputs!$B$2:$B$190,$B27)*Inputs!$D$1),"",SUMIFS(INDEX(Inputs!$B$2:$AZ$190,,MATCH(SUBSTITUTE(O$3,"Q","T"),Inputs!$B$2:$AZ$2,0)),Inputs!$B$2:$B$190,$B27)*Inputs!$D$1)</f>
        <v>0</v>
      </c>
      <c r="P27" s="57">
        <f>IF(ISNA(SUMIFS(INDEX(Inputs!$B$2:$AZ$190,,MATCH(SUBSTITUTE(P$3,"Q","T"),Inputs!$B$2:$AZ$2,0)),Inputs!$B$2:$B$190,$B27)*Inputs!$D$1),"",SUMIFS(INDEX(Inputs!$B$2:$AZ$190,,MATCH(SUBSTITUTE(P$3,"Q","T"),Inputs!$B$2:$AZ$2,0)),Inputs!$B$2:$B$190,$B27)*Inputs!$D$1)</f>
        <v>0</v>
      </c>
      <c r="Q27" s="57">
        <f>IF(ISNA(SUMIFS(INDEX(Inputs!$B$2:$AZ$190,,MATCH(SUBSTITUTE(Q$3,"Q","T"),Inputs!$B$2:$AZ$2,0)),Inputs!$B$2:$B$190,$B27)*Inputs!$D$1),"",SUMIFS(INDEX(Inputs!$B$2:$AZ$190,,MATCH(SUBSTITUTE(Q$3,"Q","T"),Inputs!$B$2:$AZ$2,0)),Inputs!$B$2:$B$190,$B27)*Inputs!$D$1)</f>
        <v>0</v>
      </c>
      <c r="R27" s="57">
        <f>IF(ISNA(SUMIFS(INDEX(Inputs!$B$2:$AZ$190,,MATCH(SUBSTITUTE(R$3,"Q","T"),Inputs!$B$2:$AZ$2,0)),Inputs!$B$2:$B$190,$B27)*Inputs!$D$1),"",SUMIFS(INDEX(Inputs!$B$2:$AZ$190,,MATCH(SUBSTITUTE(R$3,"Q","T"),Inputs!$B$2:$AZ$2,0)),Inputs!$B$2:$B$190,$B27)*Inputs!$D$1)</f>
        <v>0</v>
      </c>
      <c r="S27" s="58">
        <f>R27</f>
        <v>0</v>
      </c>
      <c r="T27" s="57">
        <f>IF(ISNA(SUMIFS(INDEX(Inputs!$B$2:$AZ$190,,MATCH(SUBSTITUTE(T$3,"Q","T"),Inputs!$B$2:$AZ$2,0)),Inputs!$B$2:$B$190,$B27)*Inputs!$D$1),"",SUMIFS(INDEX(Inputs!$B$2:$AZ$190,,MATCH(SUBSTITUTE(T$3,"Q","T"),Inputs!$B$2:$AZ$2,0)),Inputs!$B$2:$B$190,$B27)*Inputs!$D$1)</f>
        <v>0</v>
      </c>
      <c r="U27" s="57">
        <f>IF(ISNA(SUMIFS(INDEX(Inputs!$B$2:$AZ$190,,MATCH(SUBSTITUTE(U$3,"Q","T"),Inputs!$B$2:$AZ$2,0)),Inputs!$B$2:$B$190,$B27)*Inputs!$D$1),"",SUMIFS(INDEX(Inputs!$B$2:$AZ$190,,MATCH(SUBSTITUTE(U$3,"Q","T"),Inputs!$B$2:$AZ$2,0)),Inputs!$B$2:$B$190,$B27)*Inputs!$D$1)</f>
        <v>0</v>
      </c>
      <c r="V27" s="57">
        <f>IF(ISNA(SUMIFS(INDEX(Inputs!$B$2:$AZ$190,,MATCH(SUBSTITUTE(V$3,"Q","T"),Inputs!$B$2:$AZ$2,0)),Inputs!$B$2:$B$190,$B27)*Inputs!$D$1),"",SUMIFS(INDEX(Inputs!$B$2:$AZ$190,,MATCH(SUBSTITUTE(V$3,"Q","T"),Inputs!$B$2:$AZ$2,0)),Inputs!$B$2:$B$190,$B27)*Inputs!$D$1)</f>
        <v>0</v>
      </c>
      <c r="W27" s="57">
        <f>IF(ISNA(SUMIFS(INDEX(Inputs!$B$2:$AZ$190,,MATCH(SUBSTITUTE(W$3,"Q","T"),Inputs!$B$2:$AZ$2,0)),Inputs!$B$2:$B$190,$B27)*Inputs!$D$1),"",SUMIFS(INDEX(Inputs!$B$2:$AZ$190,,MATCH(SUBSTITUTE(W$3,"Q","T"),Inputs!$B$2:$AZ$2,0)),Inputs!$B$2:$B$190,$B27)*Inputs!$D$1)</f>
        <v>0</v>
      </c>
      <c r="X27" s="58">
        <f>W27</f>
        <v>0</v>
      </c>
      <c r="Y27" s="57">
        <f>IF(ISNA(SUMIFS(INDEX(Inputs!$B$2:$AZ$190,,MATCH(SUBSTITUTE(Y$3,"Q","T"),Inputs!$B$2:$AZ$2,0)),Inputs!$B$2:$B$190,$B27)*Inputs!$D$1),"",SUMIFS(INDEX(Inputs!$B$2:$AZ$190,,MATCH(SUBSTITUTE(Y$3,"Q","T"),Inputs!$B$2:$AZ$2,0)),Inputs!$B$2:$B$190,$B27)*Inputs!$D$1)</f>
        <v>0</v>
      </c>
      <c r="Z27" s="57">
        <f>IF(ISNA(SUMIFS(INDEX(Inputs!$B$2:$AZ$190,,MATCH(SUBSTITUTE(Z$3,"Q","T"),Inputs!$B$2:$AZ$2,0)),Inputs!$B$2:$B$190,$B27)*Inputs!$D$1),"",SUMIFS(INDEX(Inputs!$B$2:$AZ$190,,MATCH(SUBSTITUTE(Z$3,"Q","T"),Inputs!$B$2:$AZ$2,0)),Inputs!$B$2:$B$190,$B27)*Inputs!$D$1)</f>
        <v>0</v>
      </c>
      <c r="AA27" s="57">
        <f>IF(ISNA(SUMIFS(INDEX(Inputs!$B$2:$AZ$190,,MATCH(SUBSTITUTE(AA$3,"Q","T"),Inputs!$B$2:$AZ$2,0)),Inputs!$B$2:$B$190,$B27)*Inputs!$D$1),"",SUMIFS(INDEX(Inputs!$B$2:$AZ$190,,MATCH(SUBSTITUTE(AA$3,"Q","T"),Inputs!$B$2:$AZ$2,0)),Inputs!$B$2:$B$190,$B27)*Inputs!$D$1)</f>
        <v>0</v>
      </c>
      <c r="AB27" s="57">
        <f>IF(ISNA(SUMIFS(INDEX(Inputs!$B$2:$AZ$190,,MATCH(SUBSTITUTE(AB$3,"Q","T"),Inputs!$B$2:$AZ$2,0)),Inputs!$B$2:$B$190,$B27)*Inputs!$D$1),"",SUMIFS(INDEX(Inputs!$B$2:$AZ$190,,MATCH(SUBSTITUTE(AB$3,"Q","T"),Inputs!$B$2:$AZ$2,0)),Inputs!$B$2:$B$190,$B27)*Inputs!$D$1)</f>
        <v>0</v>
      </c>
      <c r="AC27" s="58">
        <f>AB27</f>
        <v>0</v>
      </c>
      <c r="AD27" s="57">
        <f>IF(ISNA(SUMIFS(INDEX(Inputs!$B$2:$AZ$190,,MATCH(SUBSTITUTE(AD$3,"Q","T"),Inputs!$B$2:$AZ$2,0)),Inputs!$B$2:$B$190,$B27)*Inputs!$D$1),"",SUMIFS(INDEX(Inputs!$B$2:$AZ$190,,MATCH(SUBSTITUTE(AD$3,"Q","T"),Inputs!$B$2:$AZ$2,0)),Inputs!$B$2:$B$190,$B27)*Inputs!$D$1)</f>
        <v>0</v>
      </c>
      <c r="AE27" s="57">
        <f>IF(ISNA(SUMIFS(INDEX(Inputs!$B$2:$AZ$190,,MATCH(SUBSTITUTE(AE$3,"Q","T"),Inputs!$B$2:$AZ$2,0)),Inputs!$B$2:$B$190,$B27)*Inputs!$D$1),"",SUMIFS(INDEX(Inputs!$B$2:$AZ$190,,MATCH(SUBSTITUTE(AE$3,"Q","T"),Inputs!$B$2:$AZ$2,0)),Inputs!$B$2:$B$190,$B27)*Inputs!$D$1)</f>
        <v>0</v>
      </c>
      <c r="AF27" s="57">
        <f>IF(ISNA(SUMIFS(INDEX(Inputs!$B$2:$AZ$190,,MATCH(SUBSTITUTE(AF$3,"Q","T"),Inputs!$B$2:$AZ$2,0)),Inputs!$B$2:$B$190,$B27)*Inputs!$D$1),"",SUMIFS(INDEX(Inputs!$B$2:$AZ$190,,MATCH(SUBSTITUTE(AF$3,"Q","T"),Inputs!$B$2:$AZ$2,0)),Inputs!$B$2:$B$190,$B27)*Inputs!$D$1)</f>
        <v>0</v>
      </c>
      <c r="AG27" s="57">
        <f>IF(ISNA(SUMIFS(INDEX(Inputs!$B$2:$AZ$190,,MATCH(SUBSTITUTE(AG$3,"Q","T"),Inputs!$B$2:$AZ$2,0)),Inputs!$B$2:$B$190,$B27)*Inputs!$D$1),"",SUMIFS(INDEX(Inputs!$B$2:$AZ$190,,MATCH(SUBSTITUTE(AG$3,"Q","T"),Inputs!$B$2:$AZ$2,0)),Inputs!$B$2:$B$190,$B27)*Inputs!$D$1)</f>
        <v>0</v>
      </c>
      <c r="AH27" s="58">
        <f>AG27</f>
        <v>0</v>
      </c>
      <c r="AI27" s="57">
        <f>IF(ISNA(SUMIFS(INDEX(Inputs!$B$2:$AZ$190,,MATCH(SUBSTITUTE(AI$3,"Q","T"),Inputs!$B$2:$AZ$2,0)),Inputs!$B$2:$B$190,$B27)*Inputs!$D$1),"",SUMIFS(INDEX(Inputs!$B$2:$AZ$190,,MATCH(SUBSTITUTE(AI$3,"Q","T"),Inputs!$B$2:$AZ$2,0)),Inputs!$B$2:$B$190,$B27)*Inputs!$D$1)</f>
        <v>0</v>
      </c>
      <c r="AJ27" s="57">
        <f>IF(ISNA(SUMIFS(INDEX(Inputs!$B$2:$AZ$190,,MATCH(SUBSTITUTE(AJ$3,"Q","T"),Inputs!$B$2:$AZ$2,0)),Inputs!$B$2:$B$190,$B27)*Inputs!$D$1),"",SUMIFS(INDEX(Inputs!$B$2:$AZ$190,,MATCH(SUBSTITUTE(AJ$3,"Q","T"),Inputs!$B$2:$AZ$2,0)),Inputs!$B$2:$B$190,$B27)*Inputs!$D$1)</f>
        <v>0</v>
      </c>
      <c r="AK27" s="57">
        <f>IF(ISNA(SUMIFS(INDEX(Inputs!$B$2:$AZ$190,,MATCH(SUBSTITUTE(AK$3,"Q","T"),Inputs!$B$2:$AZ$2,0)),Inputs!$B$2:$B$190,$B27)*Inputs!$D$1),"",SUMIFS(INDEX(Inputs!$B$2:$AZ$190,,MATCH(SUBSTITUTE(AK$3,"Q","T"),Inputs!$B$2:$AZ$2,0)),Inputs!$B$2:$B$190,$B27)*Inputs!$D$1)</f>
        <v>0</v>
      </c>
      <c r="AL27" s="57">
        <f>IF(ISNA(SUMIFS(INDEX(Inputs!$B$2:$AZ$190,,MATCH(SUBSTITUTE(AL$3,"Q","T"),Inputs!$B$2:$AZ$2,0)),Inputs!$B$2:$B$190,$B27)*Inputs!$D$1),"",SUMIFS(INDEX(Inputs!$B$2:$AZ$190,,MATCH(SUBSTITUTE(AL$3,"Q","T"),Inputs!$B$2:$AZ$2,0)),Inputs!$B$2:$B$190,$B27)*Inputs!$D$1)</f>
        <v>0</v>
      </c>
      <c r="AM27" s="58">
        <f>AL27</f>
        <v>0</v>
      </c>
      <c r="AN27" s="57">
        <f>IF(ISNA(SUMIFS(INDEX(Inputs!$B$2:$AZ$190,,MATCH(SUBSTITUTE(AN$3,"Q","T"),Inputs!$B$2:$AZ$2,0)),Inputs!$B$2:$B$190,$B27)*Inputs!$D$1),"",SUMIFS(INDEX(Inputs!$B$2:$AZ$190,,MATCH(SUBSTITUTE(AN$3,"Q","T"),Inputs!$B$2:$AZ$2,0)),Inputs!$B$2:$B$190,$B27)*Inputs!$D$1)</f>
        <v>0</v>
      </c>
      <c r="AO27" s="57">
        <f>IF(ISNA(SUMIFS(INDEX(Inputs!$B$2:$AZ$190,,MATCH(SUBSTITUTE(AO$3,"Q","T"),Inputs!$B$2:$AZ$2,0)),Inputs!$B$2:$B$190,$B27)*Inputs!$D$1),"",SUMIFS(INDEX(Inputs!$B$2:$AZ$190,,MATCH(SUBSTITUTE(AO$3,"Q","T"),Inputs!$B$2:$AZ$2,0)),Inputs!$B$2:$B$190,$B27)*Inputs!$D$1)</f>
        <v>0</v>
      </c>
      <c r="AP27" s="57">
        <f>IF(ISNA(SUMIFS(INDEX(Inputs!$B$2:$AZ$190,,MATCH(SUBSTITUTE(AP$3,"Q","T"),Inputs!$B$2:$AZ$2,0)),Inputs!$B$2:$B$190,$B27)*Inputs!$D$1),"",SUMIFS(INDEX(Inputs!$B$2:$AZ$190,,MATCH(SUBSTITUTE(AP$3,"Q","T"),Inputs!$B$2:$AZ$2,0)),Inputs!$B$2:$B$190,$B27)*Inputs!$D$1)</f>
        <v>0</v>
      </c>
      <c r="AQ27" s="57">
        <f>IF(ISNA(SUMIFS(INDEX(Inputs!$B$2:$AZ$190,,MATCH(SUBSTITUTE(AQ$3,"Q","T"),Inputs!$B$2:$AZ$2,0)),Inputs!$B$2:$B$190,$B27)*Inputs!$D$1),"",SUMIFS(INDEX(Inputs!$B$2:$AZ$190,,MATCH(SUBSTITUTE(AQ$3,"Q","T"),Inputs!$B$2:$AZ$2,0)),Inputs!$B$2:$B$190,$B27)*Inputs!$D$1)</f>
        <v>0</v>
      </c>
      <c r="AR27" s="58">
        <f>AQ27</f>
        <v>0</v>
      </c>
      <c r="AS27" s="57">
        <f>IF(ISNA(SUMIFS(INDEX(Inputs!$B$2:$AZ$190,,MATCH(SUBSTITUTE(AS$3,"Q","T"),Inputs!$B$2:$AZ$2,0)),Inputs!$B$2:$B$190,$B27)*Inputs!$D$1),"",SUMIFS(INDEX(Inputs!$B$2:$AZ$190,,MATCH(SUBSTITUTE(AS$3,"Q","T"),Inputs!$B$2:$AZ$2,0)),Inputs!$B$2:$B$190,$B27)*Inputs!$D$1)</f>
        <v>0</v>
      </c>
      <c r="AT27" s="57">
        <f>IF(ISNA(SUMIFS(INDEX(Inputs!$B$2:$AZ$190,,MATCH(SUBSTITUTE(AT$3,"Q","T"),Inputs!$B$2:$AZ$2,0)),Inputs!$B$2:$B$190,$B27)*Inputs!$D$1),"",SUMIFS(INDEX(Inputs!$B$2:$AZ$190,,MATCH(SUBSTITUTE(AT$3,"Q","T"),Inputs!$B$2:$AZ$2,0)),Inputs!$B$2:$B$190,$B27)*Inputs!$D$1)</f>
        <v>0</v>
      </c>
      <c r="AU27" s="57">
        <f>IF(ISNA(SUMIFS(INDEX(Inputs!$B$2:$AZ$190,,MATCH(SUBSTITUTE(AU$3,"Q","T"),Inputs!$B$2:$AZ$2,0)),Inputs!$B$2:$B$190,$B27)*Inputs!$D$1),"",SUMIFS(INDEX(Inputs!$B$2:$AZ$190,,MATCH(SUBSTITUTE(AU$3,"Q","T"),Inputs!$B$2:$AZ$2,0)),Inputs!$B$2:$B$190,$B27)*Inputs!$D$1)</f>
        <v>0</v>
      </c>
      <c r="AV27" s="57">
        <f>IF(ISNA(SUMIFS(INDEX(Inputs!$B$2:$AZ$190,,MATCH(SUBSTITUTE(AV$3,"Q","T"),Inputs!$B$2:$AZ$2,0)),Inputs!$B$2:$B$190,$B27)*Inputs!$D$1),"",SUMIFS(INDEX(Inputs!$B$2:$AZ$190,,MATCH(SUBSTITUTE(AV$3,"Q","T"),Inputs!$B$2:$AZ$2,0)),Inputs!$B$2:$B$190,$B27)*Inputs!$D$1)</f>
        <v>0</v>
      </c>
      <c r="AW27" s="58">
        <f>AV27</f>
        <v>0</v>
      </c>
      <c r="AX27" s="57">
        <f>IF(ISNA(SUMIFS(INDEX(Inputs!$B$2:$AZ$190,,MATCH(SUBSTITUTE(AX$3,"Q","T"),Inputs!$B$2:$AZ$2,0)),Inputs!$B$2:$B$190,$B27)*Inputs!$D$1),"",SUMIFS(INDEX(Inputs!$B$2:$AZ$190,,MATCH(SUBSTITUTE(AX$3,"Q","T"),Inputs!$B$2:$AZ$2,0)),Inputs!$B$2:$B$190,$B27)*Inputs!$D$1)</f>
        <v>0</v>
      </c>
      <c r="AY27" s="57">
        <f>IF(ISNA(SUMIFS(INDEX(Inputs!$B$2:$AZ$190,,MATCH(SUBSTITUTE(AY$3,"Q","T"),Inputs!$B$2:$AZ$2,0)),Inputs!$B$2:$B$190,$B27)*Inputs!$D$1),"",SUMIFS(INDEX(Inputs!$B$2:$AZ$190,,MATCH(SUBSTITUTE(AY$3,"Q","T"),Inputs!$B$2:$AZ$2,0)),Inputs!$B$2:$B$190,$B27)*Inputs!$D$1)</f>
        <v>0</v>
      </c>
      <c r="AZ27" s="57">
        <f>IF(ISNA(SUMIFS(INDEX(Inputs!$B$2:$AZ$190,,MATCH(SUBSTITUTE(AZ$3,"Q","T"),Inputs!$B$2:$AZ$2,0)),Inputs!$B$2:$B$190,$B27)*Inputs!$D$1),"",SUMIFS(INDEX(Inputs!$B$2:$AZ$190,,MATCH(SUBSTITUTE(AZ$3,"Q","T"),Inputs!$B$2:$AZ$2,0)),Inputs!$B$2:$B$190,$B27)*Inputs!$D$1)</f>
        <v>0</v>
      </c>
      <c r="BA27" s="57">
        <f>IF(ISNA(SUMIFS(INDEX(Inputs!$B$2:$AZ$190,,MATCH(SUBSTITUTE(BA$3,"Q","T"),Inputs!$B$2:$AZ$2,0)),Inputs!$B$2:$B$190,$B27)*Inputs!$D$1),"",SUMIFS(INDEX(Inputs!$B$2:$AZ$190,,MATCH(SUBSTITUTE(BA$3,"Q","T"),Inputs!$B$2:$AZ$2,0)),Inputs!$B$2:$B$190,$B27)*Inputs!$D$1)</f>
        <v>0</v>
      </c>
      <c r="BB27" s="58">
        <f>BA27</f>
        <v>0</v>
      </c>
      <c r="BC27" s="57">
        <f>IF(ISNA(SUMIFS(INDEX(Inputs!$B$2:$AZ$190,,MATCH(SUBSTITUTE(BC$3,"Q","T"),Inputs!$B$2:$AZ$2,0)),Inputs!$B$2:$B$190,$B27)*Inputs!$D$1),"",SUMIFS(INDEX(Inputs!$B$2:$AZ$190,,MATCH(SUBSTITUTE(BC$3,"Q","T"),Inputs!$B$2:$AZ$2,0)),Inputs!$B$2:$B$190,$B27)*Inputs!$D$1)</f>
        <v>0</v>
      </c>
      <c r="BD27" s="57">
        <f>IF(ISNA(SUMIFS(INDEX(Inputs!$B$2:$AZ$190,,MATCH(SUBSTITUTE(BD$3,"Q","T"),Inputs!$B$2:$AZ$2,0)),Inputs!$B$2:$B$190,$B27)*Inputs!$D$1),"",SUMIFS(INDEX(Inputs!$B$2:$AZ$190,,MATCH(SUBSTITUTE(BD$3,"Q","T"),Inputs!$B$2:$AZ$2,0)),Inputs!$B$2:$B$190,$B27)*Inputs!$D$1)</f>
        <v>0</v>
      </c>
      <c r="BE27" s="57">
        <f>IF(ISNA(SUMIFS(INDEX(Inputs!$B$2:$AZ$190,,MATCH(SUBSTITUTE(BE$3,"Q","T"),Inputs!$B$2:$AZ$2,0)),Inputs!$B$2:$B$190,$B27)*Inputs!$D$1),"",SUMIFS(INDEX(Inputs!$B$2:$AZ$190,,MATCH(SUBSTITUTE(BE$3,"Q","T"),Inputs!$B$2:$AZ$2,0)),Inputs!$B$2:$B$190,$B27)*Inputs!$D$1)</f>
        <v>0</v>
      </c>
      <c r="BF27" s="57">
        <f>IF(ISNA(SUMIFS(INDEX(Inputs!$B$2:$AZ$190,,MATCH(SUBSTITUTE(BF$3,"Q","T"),Inputs!$B$2:$AZ$2,0)),Inputs!$B$2:$B$190,$B27)*Inputs!$D$1),"",SUMIFS(INDEX(Inputs!$B$2:$AZ$190,,MATCH(SUBSTITUTE(BF$3,"Q","T"),Inputs!$B$2:$AZ$2,0)),Inputs!$B$2:$B$190,$B27)*Inputs!$D$1)</f>
        <v>0</v>
      </c>
      <c r="BG27" s="58">
        <f>BF27</f>
        <v>0</v>
      </c>
    </row>
    <row r="28">
      <c r="B28" s="56" t="inlineStr">
        <is>
          <t>gw_intang</t>
        </is>
      </c>
      <c r="C28" s="11" t="inlineStr">
        <is>
          <t>Goodwill, MSRs e outros intangíveis</t>
        </is>
      </c>
      <c r="D28" s="12" t="inlineStr">
        <is>
          <t>Goodwill, MSRs and other intangibles</t>
        </is>
      </c>
      <c r="E28" s="57">
        <f>IF(ISNA(SUMIFS(INDEX(Inputs!$B$2:$AZ$190,,MATCH(SUBSTITUTE(E$3,"Q","T"),Inputs!$B$2:$AZ$2,0)),Inputs!$B$2:$B$190,$B28)*Inputs!$D$1),"",SUMIFS(INDEX(Inputs!$B$2:$AZ$190,,MATCH(SUBSTITUTE(E$3,"Q","T"),Inputs!$B$2:$AZ$2,0)),Inputs!$B$2:$B$190,$B28)*Inputs!$D$1)</f>
        <v>0</v>
      </c>
      <c r="F28" s="57">
        <f>IF(ISNA(SUMIFS(INDEX(Inputs!$B$2:$AZ$190,,MATCH(SUBSTITUTE(F$3,"Q","T"),Inputs!$B$2:$AZ$2,0)),Inputs!$B$2:$B$190,$B28)*Inputs!$D$1),"",SUMIFS(INDEX(Inputs!$B$2:$AZ$190,,MATCH(SUBSTITUTE(F$3,"Q","T"),Inputs!$B$2:$AZ$2,0)),Inputs!$B$2:$B$190,$B28)*Inputs!$D$1)</f>
        <v>0</v>
      </c>
      <c r="G28" s="57">
        <f>IF(ISNA(SUMIFS(INDEX(Inputs!$B$2:$AZ$190,,MATCH(SUBSTITUTE(G$3,"Q","T"),Inputs!$B$2:$AZ$2,0)),Inputs!$B$2:$B$190,$B28)*Inputs!$D$1),"",SUMIFS(INDEX(Inputs!$B$2:$AZ$190,,MATCH(SUBSTITUTE(G$3,"Q","T"),Inputs!$B$2:$AZ$2,0)),Inputs!$B$2:$B$190,$B28)*Inputs!$D$1)</f>
        <v>0</v>
      </c>
      <c r="H28" s="57">
        <f>IF(ISNA(SUMIFS(INDEX(Inputs!$B$2:$AZ$190,,MATCH(SUBSTITUTE(H$3,"Q","T"),Inputs!$B$2:$AZ$2,0)),Inputs!$B$2:$B$190,$B28)*Inputs!$D$1),"",SUMIFS(INDEX(Inputs!$B$2:$AZ$190,,MATCH(SUBSTITUTE(H$3,"Q","T"),Inputs!$B$2:$AZ$2,0)),Inputs!$B$2:$B$190,$B28)*Inputs!$D$1)</f>
        <v>0</v>
      </c>
      <c r="I28" s="58">
        <f>H28</f>
        <v>0</v>
      </c>
      <c r="J28" s="57">
        <f>IF(ISNA(SUMIFS(INDEX(Inputs!$B$2:$AZ$190,,MATCH(SUBSTITUTE(J$3,"Q","T"),Inputs!$B$2:$AZ$2,0)),Inputs!$B$2:$B$190,$B28)*Inputs!$D$1),"",SUMIFS(INDEX(Inputs!$B$2:$AZ$190,,MATCH(SUBSTITUTE(J$3,"Q","T"),Inputs!$B$2:$AZ$2,0)),Inputs!$B$2:$B$190,$B28)*Inputs!$D$1)</f>
        <v>0</v>
      </c>
      <c r="K28" s="57">
        <f>IF(ISNA(SUMIFS(INDEX(Inputs!$B$2:$AZ$190,,MATCH(SUBSTITUTE(K$3,"Q","T"),Inputs!$B$2:$AZ$2,0)),Inputs!$B$2:$B$190,$B28)*Inputs!$D$1),"",SUMIFS(INDEX(Inputs!$B$2:$AZ$190,,MATCH(SUBSTITUTE(K$3,"Q","T"),Inputs!$B$2:$AZ$2,0)),Inputs!$B$2:$B$190,$B28)*Inputs!$D$1)</f>
        <v>0</v>
      </c>
      <c r="L28" s="57">
        <f>IF(ISNA(SUMIFS(INDEX(Inputs!$B$2:$AZ$190,,MATCH(SUBSTITUTE(L$3,"Q","T"),Inputs!$B$2:$AZ$2,0)),Inputs!$B$2:$B$190,$B28)*Inputs!$D$1),"",SUMIFS(INDEX(Inputs!$B$2:$AZ$190,,MATCH(SUBSTITUTE(L$3,"Q","T"),Inputs!$B$2:$AZ$2,0)),Inputs!$B$2:$B$190,$B28)*Inputs!$D$1)</f>
        <v>0</v>
      </c>
      <c r="M28" s="57">
        <f>IF(ISNA(SUMIFS(INDEX(Inputs!$B$2:$AZ$190,,MATCH(SUBSTITUTE(M$3,"Q","T"),Inputs!$B$2:$AZ$2,0)),Inputs!$B$2:$B$190,$B28)*Inputs!$D$1),"",SUMIFS(INDEX(Inputs!$B$2:$AZ$190,,MATCH(SUBSTITUTE(M$3,"Q","T"),Inputs!$B$2:$AZ$2,0)),Inputs!$B$2:$B$190,$B28)*Inputs!$D$1)</f>
        <v>0</v>
      </c>
      <c r="N28" s="58">
        <f>M28</f>
        <v>0</v>
      </c>
      <c r="O28" s="57">
        <f>IF(ISNA(SUMIFS(INDEX(Inputs!$B$2:$AZ$190,,MATCH(SUBSTITUTE(O$3,"Q","T"),Inputs!$B$2:$AZ$2,0)),Inputs!$B$2:$B$190,$B28)*Inputs!$D$1),"",SUMIFS(INDEX(Inputs!$B$2:$AZ$190,,MATCH(SUBSTITUTE(O$3,"Q","T"),Inputs!$B$2:$AZ$2,0)),Inputs!$B$2:$B$190,$B28)*Inputs!$D$1)</f>
        <v>0</v>
      </c>
      <c r="P28" s="57">
        <f>IF(ISNA(SUMIFS(INDEX(Inputs!$B$2:$AZ$190,,MATCH(SUBSTITUTE(P$3,"Q","T"),Inputs!$B$2:$AZ$2,0)),Inputs!$B$2:$B$190,$B28)*Inputs!$D$1),"",SUMIFS(INDEX(Inputs!$B$2:$AZ$190,,MATCH(SUBSTITUTE(P$3,"Q","T"),Inputs!$B$2:$AZ$2,0)),Inputs!$B$2:$B$190,$B28)*Inputs!$D$1)</f>
        <v>0</v>
      </c>
      <c r="Q28" s="57">
        <f>IF(ISNA(SUMIFS(INDEX(Inputs!$B$2:$AZ$190,,MATCH(SUBSTITUTE(Q$3,"Q","T"),Inputs!$B$2:$AZ$2,0)),Inputs!$B$2:$B$190,$B28)*Inputs!$D$1),"",SUMIFS(INDEX(Inputs!$B$2:$AZ$190,,MATCH(SUBSTITUTE(Q$3,"Q","T"),Inputs!$B$2:$AZ$2,0)),Inputs!$B$2:$B$190,$B28)*Inputs!$D$1)</f>
        <v>0</v>
      </c>
      <c r="R28" s="57">
        <f>IF(ISNA(SUMIFS(INDEX(Inputs!$B$2:$AZ$190,,MATCH(SUBSTITUTE(R$3,"Q","T"),Inputs!$B$2:$AZ$2,0)),Inputs!$B$2:$B$190,$B28)*Inputs!$D$1),"",SUMIFS(INDEX(Inputs!$B$2:$AZ$190,,MATCH(SUBSTITUTE(R$3,"Q","T"),Inputs!$B$2:$AZ$2,0)),Inputs!$B$2:$B$190,$B28)*Inputs!$D$1)</f>
        <v>0</v>
      </c>
      <c r="S28" s="58">
        <f>R28</f>
        <v>0</v>
      </c>
      <c r="T28" s="57">
        <f>IF(ISNA(SUMIFS(INDEX(Inputs!$B$2:$AZ$190,,MATCH(SUBSTITUTE(T$3,"Q","T"),Inputs!$B$2:$AZ$2,0)),Inputs!$B$2:$B$190,$B28)*Inputs!$D$1),"",SUMIFS(INDEX(Inputs!$B$2:$AZ$190,,MATCH(SUBSTITUTE(T$3,"Q","T"),Inputs!$B$2:$AZ$2,0)),Inputs!$B$2:$B$190,$B28)*Inputs!$D$1)</f>
        <v>0</v>
      </c>
      <c r="U28" s="57">
        <f>IF(ISNA(SUMIFS(INDEX(Inputs!$B$2:$AZ$190,,MATCH(SUBSTITUTE(U$3,"Q","T"),Inputs!$B$2:$AZ$2,0)),Inputs!$B$2:$B$190,$B28)*Inputs!$D$1),"",SUMIFS(INDEX(Inputs!$B$2:$AZ$190,,MATCH(SUBSTITUTE(U$3,"Q","T"),Inputs!$B$2:$AZ$2,0)),Inputs!$B$2:$B$190,$B28)*Inputs!$D$1)</f>
        <v>0</v>
      </c>
      <c r="V28" s="57">
        <f>IF(ISNA(SUMIFS(INDEX(Inputs!$B$2:$AZ$190,,MATCH(SUBSTITUTE(V$3,"Q","T"),Inputs!$B$2:$AZ$2,0)),Inputs!$B$2:$B$190,$B28)*Inputs!$D$1),"",SUMIFS(INDEX(Inputs!$B$2:$AZ$190,,MATCH(SUBSTITUTE(V$3,"Q","T"),Inputs!$B$2:$AZ$2,0)),Inputs!$B$2:$B$190,$B28)*Inputs!$D$1)</f>
        <v>0</v>
      </c>
      <c r="W28" s="57">
        <f>IF(ISNA(SUMIFS(INDEX(Inputs!$B$2:$AZ$190,,MATCH(SUBSTITUTE(W$3,"Q","T"),Inputs!$B$2:$AZ$2,0)),Inputs!$B$2:$B$190,$B28)*Inputs!$D$1),"",SUMIFS(INDEX(Inputs!$B$2:$AZ$190,,MATCH(SUBSTITUTE(W$3,"Q","T"),Inputs!$B$2:$AZ$2,0)),Inputs!$B$2:$B$190,$B28)*Inputs!$D$1)</f>
        <v>0</v>
      </c>
      <c r="X28" s="58">
        <f>W28</f>
        <v>0</v>
      </c>
      <c r="Y28" s="57">
        <f>IF(ISNA(SUMIFS(INDEX(Inputs!$B$2:$AZ$190,,MATCH(SUBSTITUTE(Y$3,"Q","T"),Inputs!$B$2:$AZ$2,0)),Inputs!$B$2:$B$190,$B28)*Inputs!$D$1),"",SUMIFS(INDEX(Inputs!$B$2:$AZ$190,,MATCH(SUBSTITUTE(Y$3,"Q","T"),Inputs!$B$2:$AZ$2,0)),Inputs!$B$2:$B$190,$B28)*Inputs!$D$1)</f>
        <v>0</v>
      </c>
      <c r="Z28" s="57">
        <f>IF(ISNA(SUMIFS(INDEX(Inputs!$B$2:$AZ$190,,MATCH(SUBSTITUTE(Z$3,"Q","T"),Inputs!$B$2:$AZ$2,0)),Inputs!$B$2:$B$190,$B28)*Inputs!$D$1),"",SUMIFS(INDEX(Inputs!$B$2:$AZ$190,,MATCH(SUBSTITUTE(Z$3,"Q","T"),Inputs!$B$2:$AZ$2,0)),Inputs!$B$2:$B$190,$B28)*Inputs!$D$1)</f>
        <v>0</v>
      </c>
      <c r="AA28" s="57">
        <f>IF(ISNA(SUMIFS(INDEX(Inputs!$B$2:$AZ$190,,MATCH(SUBSTITUTE(AA$3,"Q","T"),Inputs!$B$2:$AZ$2,0)),Inputs!$B$2:$B$190,$B28)*Inputs!$D$1),"",SUMIFS(INDEX(Inputs!$B$2:$AZ$190,,MATCH(SUBSTITUTE(AA$3,"Q","T"),Inputs!$B$2:$AZ$2,0)),Inputs!$B$2:$B$190,$B28)*Inputs!$D$1)</f>
        <v>0</v>
      </c>
      <c r="AB28" s="57">
        <f>IF(ISNA(SUMIFS(INDEX(Inputs!$B$2:$AZ$190,,MATCH(SUBSTITUTE(AB$3,"Q","T"),Inputs!$B$2:$AZ$2,0)),Inputs!$B$2:$B$190,$B28)*Inputs!$D$1),"",SUMIFS(INDEX(Inputs!$B$2:$AZ$190,,MATCH(SUBSTITUTE(AB$3,"Q","T"),Inputs!$B$2:$AZ$2,0)),Inputs!$B$2:$B$190,$B28)*Inputs!$D$1)</f>
        <v>0</v>
      </c>
      <c r="AC28" s="58">
        <f>AB28</f>
        <v>0</v>
      </c>
      <c r="AD28" s="57">
        <f>IF(ISNA(SUMIFS(INDEX(Inputs!$B$2:$AZ$190,,MATCH(SUBSTITUTE(AD$3,"Q","T"),Inputs!$B$2:$AZ$2,0)),Inputs!$B$2:$B$190,$B28)*Inputs!$D$1),"",SUMIFS(INDEX(Inputs!$B$2:$AZ$190,,MATCH(SUBSTITUTE(AD$3,"Q","T"),Inputs!$B$2:$AZ$2,0)),Inputs!$B$2:$B$190,$B28)*Inputs!$D$1)</f>
        <v>0</v>
      </c>
      <c r="AE28" s="57">
        <f>IF(ISNA(SUMIFS(INDEX(Inputs!$B$2:$AZ$190,,MATCH(SUBSTITUTE(AE$3,"Q","T"),Inputs!$B$2:$AZ$2,0)),Inputs!$B$2:$B$190,$B28)*Inputs!$D$1),"",SUMIFS(INDEX(Inputs!$B$2:$AZ$190,,MATCH(SUBSTITUTE(AE$3,"Q","T"),Inputs!$B$2:$AZ$2,0)),Inputs!$B$2:$B$190,$B28)*Inputs!$D$1)</f>
        <v>0</v>
      </c>
      <c r="AF28" s="57">
        <f>IF(ISNA(SUMIFS(INDEX(Inputs!$B$2:$AZ$190,,MATCH(SUBSTITUTE(AF$3,"Q","T"),Inputs!$B$2:$AZ$2,0)),Inputs!$B$2:$B$190,$B28)*Inputs!$D$1),"",SUMIFS(INDEX(Inputs!$B$2:$AZ$190,,MATCH(SUBSTITUTE(AF$3,"Q","T"),Inputs!$B$2:$AZ$2,0)),Inputs!$B$2:$B$190,$B28)*Inputs!$D$1)</f>
        <v>0</v>
      </c>
      <c r="AG28" s="57">
        <f>IF(ISNA(SUMIFS(INDEX(Inputs!$B$2:$AZ$190,,MATCH(SUBSTITUTE(AG$3,"Q","T"),Inputs!$B$2:$AZ$2,0)),Inputs!$B$2:$B$190,$B28)*Inputs!$D$1),"",SUMIFS(INDEX(Inputs!$B$2:$AZ$190,,MATCH(SUBSTITUTE(AG$3,"Q","T"),Inputs!$B$2:$AZ$2,0)),Inputs!$B$2:$B$190,$B28)*Inputs!$D$1)</f>
        <v>0</v>
      </c>
      <c r="AH28" s="58">
        <f>AG28</f>
        <v>0</v>
      </c>
      <c r="AI28" s="57">
        <f>IF(ISNA(SUMIFS(INDEX(Inputs!$B$2:$AZ$190,,MATCH(SUBSTITUTE(AI$3,"Q","T"),Inputs!$B$2:$AZ$2,0)),Inputs!$B$2:$B$190,$B28)*Inputs!$D$1),"",SUMIFS(INDEX(Inputs!$B$2:$AZ$190,,MATCH(SUBSTITUTE(AI$3,"Q","T"),Inputs!$B$2:$AZ$2,0)),Inputs!$B$2:$B$190,$B28)*Inputs!$D$1)</f>
        <v>0</v>
      </c>
      <c r="AJ28" s="57">
        <f>IF(ISNA(SUMIFS(INDEX(Inputs!$B$2:$AZ$190,,MATCH(SUBSTITUTE(AJ$3,"Q","T"),Inputs!$B$2:$AZ$2,0)),Inputs!$B$2:$B$190,$B28)*Inputs!$D$1),"",SUMIFS(INDEX(Inputs!$B$2:$AZ$190,,MATCH(SUBSTITUTE(AJ$3,"Q","T"),Inputs!$B$2:$AZ$2,0)),Inputs!$B$2:$B$190,$B28)*Inputs!$D$1)</f>
        <v>0</v>
      </c>
      <c r="AK28" s="57">
        <f>IF(ISNA(SUMIFS(INDEX(Inputs!$B$2:$AZ$190,,MATCH(SUBSTITUTE(AK$3,"Q","T"),Inputs!$B$2:$AZ$2,0)),Inputs!$B$2:$B$190,$B28)*Inputs!$D$1),"",SUMIFS(INDEX(Inputs!$B$2:$AZ$190,,MATCH(SUBSTITUTE(AK$3,"Q","T"),Inputs!$B$2:$AZ$2,0)),Inputs!$B$2:$B$190,$B28)*Inputs!$D$1)</f>
        <v>0</v>
      </c>
      <c r="AL28" s="57">
        <f>IF(ISNA(SUMIFS(INDEX(Inputs!$B$2:$AZ$190,,MATCH(SUBSTITUTE(AL$3,"Q","T"),Inputs!$B$2:$AZ$2,0)),Inputs!$B$2:$B$190,$B28)*Inputs!$D$1),"",SUMIFS(INDEX(Inputs!$B$2:$AZ$190,,MATCH(SUBSTITUTE(AL$3,"Q","T"),Inputs!$B$2:$AZ$2,0)),Inputs!$B$2:$B$190,$B28)*Inputs!$D$1)</f>
        <v>0</v>
      </c>
      <c r="AM28" s="58">
        <f>AL28</f>
        <v>0</v>
      </c>
      <c r="AN28" s="57">
        <f>IF(ISNA(SUMIFS(INDEX(Inputs!$B$2:$AZ$190,,MATCH(SUBSTITUTE(AN$3,"Q","T"),Inputs!$B$2:$AZ$2,0)),Inputs!$B$2:$B$190,$B28)*Inputs!$D$1),"",SUMIFS(INDEX(Inputs!$B$2:$AZ$190,,MATCH(SUBSTITUTE(AN$3,"Q","T"),Inputs!$B$2:$AZ$2,0)),Inputs!$B$2:$B$190,$B28)*Inputs!$D$1)</f>
        <v>0</v>
      </c>
      <c r="AO28" s="57">
        <f>IF(ISNA(SUMIFS(INDEX(Inputs!$B$2:$AZ$190,,MATCH(SUBSTITUTE(AO$3,"Q","T"),Inputs!$B$2:$AZ$2,0)),Inputs!$B$2:$B$190,$B28)*Inputs!$D$1),"",SUMIFS(INDEX(Inputs!$B$2:$AZ$190,,MATCH(SUBSTITUTE(AO$3,"Q","T"),Inputs!$B$2:$AZ$2,0)),Inputs!$B$2:$B$190,$B28)*Inputs!$D$1)</f>
        <v>0</v>
      </c>
      <c r="AP28" s="57">
        <f>IF(ISNA(SUMIFS(INDEX(Inputs!$B$2:$AZ$190,,MATCH(SUBSTITUTE(AP$3,"Q","T"),Inputs!$B$2:$AZ$2,0)),Inputs!$B$2:$B$190,$B28)*Inputs!$D$1),"",SUMIFS(INDEX(Inputs!$B$2:$AZ$190,,MATCH(SUBSTITUTE(AP$3,"Q","T"),Inputs!$B$2:$AZ$2,0)),Inputs!$B$2:$B$190,$B28)*Inputs!$D$1)</f>
        <v>0</v>
      </c>
      <c r="AQ28" s="57">
        <f>IF(ISNA(SUMIFS(INDEX(Inputs!$B$2:$AZ$190,,MATCH(SUBSTITUTE(AQ$3,"Q","T"),Inputs!$B$2:$AZ$2,0)),Inputs!$B$2:$B$190,$B28)*Inputs!$D$1),"",SUMIFS(INDEX(Inputs!$B$2:$AZ$190,,MATCH(SUBSTITUTE(AQ$3,"Q","T"),Inputs!$B$2:$AZ$2,0)),Inputs!$B$2:$B$190,$B28)*Inputs!$D$1)</f>
        <v>0</v>
      </c>
      <c r="AR28" s="58">
        <f>AQ28</f>
        <v>0</v>
      </c>
      <c r="AS28" s="57">
        <f>IF(ISNA(SUMIFS(INDEX(Inputs!$B$2:$AZ$190,,MATCH(SUBSTITUTE(AS$3,"Q","T"),Inputs!$B$2:$AZ$2,0)),Inputs!$B$2:$B$190,$B28)*Inputs!$D$1),"",SUMIFS(INDEX(Inputs!$B$2:$AZ$190,,MATCH(SUBSTITUTE(AS$3,"Q","T"),Inputs!$B$2:$AZ$2,0)),Inputs!$B$2:$B$190,$B28)*Inputs!$D$1)</f>
        <v>0</v>
      </c>
      <c r="AT28" s="57">
        <f>IF(ISNA(SUMIFS(INDEX(Inputs!$B$2:$AZ$190,,MATCH(SUBSTITUTE(AT$3,"Q","T"),Inputs!$B$2:$AZ$2,0)),Inputs!$B$2:$B$190,$B28)*Inputs!$D$1),"",SUMIFS(INDEX(Inputs!$B$2:$AZ$190,,MATCH(SUBSTITUTE(AT$3,"Q","T"),Inputs!$B$2:$AZ$2,0)),Inputs!$B$2:$B$190,$B28)*Inputs!$D$1)</f>
        <v>0</v>
      </c>
      <c r="AU28" s="57">
        <f>IF(ISNA(SUMIFS(INDEX(Inputs!$B$2:$AZ$190,,MATCH(SUBSTITUTE(AU$3,"Q","T"),Inputs!$B$2:$AZ$2,0)),Inputs!$B$2:$B$190,$B28)*Inputs!$D$1),"",SUMIFS(INDEX(Inputs!$B$2:$AZ$190,,MATCH(SUBSTITUTE(AU$3,"Q","T"),Inputs!$B$2:$AZ$2,0)),Inputs!$B$2:$B$190,$B28)*Inputs!$D$1)</f>
        <v>0</v>
      </c>
      <c r="AV28" s="57">
        <f>IF(ISNA(SUMIFS(INDEX(Inputs!$B$2:$AZ$190,,MATCH(SUBSTITUTE(AV$3,"Q","T"),Inputs!$B$2:$AZ$2,0)),Inputs!$B$2:$B$190,$B28)*Inputs!$D$1),"",SUMIFS(INDEX(Inputs!$B$2:$AZ$190,,MATCH(SUBSTITUTE(AV$3,"Q","T"),Inputs!$B$2:$AZ$2,0)),Inputs!$B$2:$B$190,$B28)*Inputs!$D$1)</f>
        <v>0</v>
      </c>
      <c r="AW28" s="58">
        <f>AV28</f>
        <v>0</v>
      </c>
      <c r="AX28" s="57">
        <f>IF(ISNA(SUMIFS(INDEX(Inputs!$B$2:$AZ$190,,MATCH(SUBSTITUTE(AX$3,"Q","T"),Inputs!$B$2:$AZ$2,0)),Inputs!$B$2:$B$190,$B28)*Inputs!$D$1),"",SUMIFS(INDEX(Inputs!$B$2:$AZ$190,,MATCH(SUBSTITUTE(AX$3,"Q","T"),Inputs!$B$2:$AZ$2,0)),Inputs!$B$2:$B$190,$B28)*Inputs!$D$1)</f>
        <v>0</v>
      </c>
      <c r="AY28" s="57">
        <f>IF(ISNA(SUMIFS(INDEX(Inputs!$B$2:$AZ$190,,MATCH(SUBSTITUTE(AY$3,"Q","T"),Inputs!$B$2:$AZ$2,0)),Inputs!$B$2:$B$190,$B28)*Inputs!$D$1),"",SUMIFS(INDEX(Inputs!$B$2:$AZ$190,,MATCH(SUBSTITUTE(AY$3,"Q","T"),Inputs!$B$2:$AZ$2,0)),Inputs!$B$2:$B$190,$B28)*Inputs!$D$1)</f>
        <v>0</v>
      </c>
      <c r="AZ28" s="57">
        <f>IF(ISNA(SUMIFS(INDEX(Inputs!$B$2:$AZ$190,,MATCH(SUBSTITUTE(AZ$3,"Q","T"),Inputs!$B$2:$AZ$2,0)),Inputs!$B$2:$B$190,$B28)*Inputs!$D$1),"",SUMIFS(INDEX(Inputs!$B$2:$AZ$190,,MATCH(SUBSTITUTE(AZ$3,"Q","T"),Inputs!$B$2:$AZ$2,0)),Inputs!$B$2:$B$190,$B28)*Inputs!$D$1)</f>
        <v>0</v>
      </c>
      <c r="BA28" s="57">
        <f>IF(ISNA(SUMIFS(INDEX(Inputs!$B$2:$AZ$190,,MATCH(SUBSTITUTE(BA$3,"Q","T"),Inputs!$B$2:$AZ$2,0)),Inputs!$B$2:$B$190,$B28)*Inputs!$D$1),"",SUMIFS(INDEX(Inputs!$B$2:$AZ$190,,MATCH(SUBSTITUTE(BA$3,"Q","T"),Inputs!$B$2:$AZ$2,0)),Inputs!$B$2:$B$190,$B28)*Inputs!$D$1)</f>
        <v>0</v>
      </c>
      <c r="BB28" s="58">
        <f>BA28</f>
        <v>0</v>
      </c>
      <c r="BC28" s="57">
        <f>IF(ISNA(SUMIFS(INDEX(Inputs!$B$2:$AZ$190,,MATCH(SUBSTITUTE(BC$3,"Q","T"),Inputs!$B$2:$AZ$2,0)),Inputs!$B$2:$B$190,$B28)*Inputs!$D$1),"",SUMIFS(INDEX(Inputs!$B$2:$AZ$190,,MATCH(SUBSTITUTE(BC$3,"Q","T"),Inputs!$B$2:$AZ$2,0)),Inputs!$B$2:$B$190,$B28)*Inputs!$D$1)</f>
        <v>0</v>
      </c>
      <c r="BD28" s="57">
        <f>IF(ISNA(SUMIFS(INDEX(Inputs!$B$2:$AZ$190,,MATCH(SUBSTITUTE(BD$3,"Q","T"),Inputs!$B$2:$AZ$2,0)),Inputs!$B$2:$B$190,$B28)*Inputs!$D$1),"",SUMIFS(INDEX(Inputs!$B$2:$AZ$190,,MATCH(SUBSTITUTE(BD$3,"Q","T"),Inputs!$B$2:$AZ$2,0)),Inputs!$B$2:$B$190,$B28)*Inputs!$D$1)</f>
        <v>0</v>
      </c>
      <c r="BE28" s="57">
        <f>IF(ISNA(SUMIFS(INDEX(Inputs!$B$2:$AZ$190,,MATCH(SUBSTITUTE(BE$3,"Q","T"),Inputs!$B$2:$AZ$2,0)),Inputs!$B$2:$B$190,$B28)*Inputs!$D$1),"",SUMIFS(INDEX(Inputs!$B$2:$AZ$190,,MATCH(SUBSTITUTE(BE$3,"Q","T"),Inputs!$B$2:$AZ$2,0)),Inputs!$B$2:$B$190,$B28)*Inputs!$D$1)</f>
        <v>0</v>
      </c>
      <c r="BF28" s="57">
        <f>IF(ISNA(SUMIFS(INDEX(Inputs!$B$2:$AZ$190,,MATCH(SUBSTITUTE(BF$3,"Q","T"),Inputs!$B$2:$AZ$2,0)),Inputs!$B$2:$B$190,$B28)*Inputs!$D$1),"",SUMIFS(INDEX(Inputs!$B$2:$AZ$190,,MATCH(SUBSTITUTE(BF$3,"Q","T"),Inputs!$B$2:$AZ$2,0)),Inputs!$B$2:$B$190,$B28)*Inputs!$D$1)</f>
        <v>0</v>
      </c>
      <c r="BG28" s="58">
        <f>BF28</f>
        <v>0</v>
      </c>
    </row>
    <row r="29">
      <c r="C29" s="53" t="inlineStr">
        <is>
          <t>TOTAL DO ATIVO</t>
        </is>
      </c>
      <c r="D29" s="54" t="inlineStr">
        <is>
          <t>TOTAL ASSETS</t>
        </is>
      </c>
      <c r="E29" s="59">
        <f>IFERROR(E5+E6+E11+E16+E17+E21+E22+E23+E24+E27+E28,"")</f>
        <v>0</v>
      </c>
      <c r="F29" s="59">
        <f>IFERROR(F5+F6+F11+F16+F17+F21+F22+F23+F24+F27+F28,"")</f>
        <v>0</v>
      </c>
      <c r="G29" s="59">
        <f>IFERROR(G5+G6+G11+G16+G17+G21+G22+G23+G24+G27+G28,"")</f>
        <v>0</v>
      </c>
      <c r="H29" s="59">
        <f>IFERROR(H5+H6+H11+H16+H17+H21+H22+H23+H24+H27+H28,"")</f>
        <v>0</v>
      </c>
      <c r="I29" s="60">
        <f>H29</f>
        <v>0</v>
      </c>
      <c r="J29" s="59">
        <f>IFERROR(J5+J6+J11+J16+J17+J21+J22+J23+J24+J27+J28,"")</f>
        <v>0</v>
      </c>
      <c r="K29" s="59">
        <f>IFERROR(K5+K6+K11+K16+K17+K21+K22+K23+K24+K27+K28,"")</f>
        <v>0</v>
      </c>
      <c r="L29" s="59">
        <f>IFERROR(L5+L6+L11+L16+L17+L21+L22+L23+L24+L27+L28,"")</f>
        <v>0</v>
      </c>
      <c r="M29" s="59">
        <f>IFERROR(M5+M6+M11+M16+M17+M21+M22+M23+M24+M27+M28,"")</f>
        <v>0</v>
      </c>
      <c r="N29" s="60">
        <f>M29</f>
        <v>0</v>
      </c>
      <c r="O29" s="59">
        <f>IFERROR(O5+O6+O11+O16+O17+O21+O22+O23+O24+O27+O28,"")</f>
        <v>0</v>
      </c>
      <c r="P29" s="59">
        <f>IFERROR(P5+P6+P11+P16+P17+P21+P22+P23+P24+P27+P28,"")</f>
        <v>0</v>
      </c>
      <c r="Q29" s="59">
        <f>IFERROR(Q5+Q6+Q11+Q16+Q17+Q21+Q22+Q23+Q24+Q27+Q28,"")</f>
        <v>0</v>
      </c>
      <c r="R29" s="59">
        <f>IFERROR(R5+R6+R11+R16+R17+R21+R22+R23+R24+R27+R28,"")</f>
        <v>0</v>
      </c>
      <c r="S29" s="60">
        <f>R29</f>
        <v>0</v>
      </c>
      <c r="T29" s="59">
        <f>IFERROR(T5+T6+T11+T16+T17+T21+T22+T23+T24+T27+T28,"")</f>
        <v>0</v>
      </c>
      <c r="U29" s="59">
        <f>IFERROR(U5+U6+U11+U16+U17+U21+U22+U23+U24+U27+U28,"")</f>
        <v>0</v>
      </c>
      <c r="V29" s="59">
        <f>IFERROR(V5+V6+V11+V16+V17+V21+V22+V23+V24+V27+V28,"")</f>
        <v>0</v>
      </c>
      <c r="W29" s="59">
        <f>IFERROR(W5+W6+W11+W16+W17+W21+W22+W23+W24+W27+W28,"")</f>
        <v>0</v>
      </c>
      <c r="X29" s="60">
        <f>W29</f>
        <v>0</v>
      </c>
      <c r="Y29" s="59">
        <f>IFERROR(Y5+Y6+Y11+Y16+Y17+Y21+Y22+Y23+Y24+Y27+Y28,"")</f>
        <v>0</v>
      </c>
      <c r="Z29" s="59">
        <f>IFERROR(Z5+Z6+Z11+Z16+Z17+Z21+Z22+Z23+Z24+Z27+Z28,"")</f>
        <v>0</v>
      </c>
      <c r="AA29" s="59">
        <f>IFERROR(AA5+AA6+AA11+AA16+AA17+AA21+AA22+AA23+AA24+AA27+AA28,"")</f>
        <v>0</v>
      </c>
      <c r="AB29" s="59">
        <f>IFERROR(AB5+AB6+AB11+AB16+AB17+AB21+AB22+AB23+AB24+AB27+AB28,"")</f>
        <v>0</v>
      </c>
      <c r="AC29" s="60">
        <f>AB29</f>
        <v>0</v>
      </c>
      <c r="AD29" s="59">
        <f>IFERROR(AD5+AD6+AD11+AD16+AD17+AD21+AD22+AD23+AD24+AD27+AD28,"")</f>
        <v>0</v>
      </c>
      <c r="AE29" s="59">
        <f>IFERROR(AE5+AE6+AE11+AE16+AE17+AE21+AE22+AE23+AE24+AE27+AE28,"")</f>
        <v>0</v>
      </c>
      <c r="AF29" s="59">
        <f>IFERROR(AF5+AF6+AF11+AF16+AF17+AF21+AF22+AF23+AF24+AF27+AF28,"")</f>
        <v>0</v>
      </c>
      <c r="AG29" s="59">
        <f>IFERROR(AG5+AG6+AG11+AG16+AG17+AG21+AG22+AG23+AG24+AG27+AG28,"")</f>
        <v>0</v>
      </c>
      <c r="AH29" s="60">
        <f>AG29</f>
        <v>0</v>
      </c>
      <c r="AI29" s="59">
        <f>IFERROR(AI5+AI6+AI11+AI16+AI17+AI21+AI22+AI23+AI24+AI27+AI28,"")</f>
        <v>0</v>
      </c>
      <c r="AJ29" s="59">
        <f>IFERROR(AJ5+AJ6+AJ11+AJ16+AJ17+AJ21+AJ22+AJ23+AJ24+AJ27+AJ28,"")</f>
        <v>0</v>
      </c>
      <c r="AK29" s="59">
        <f>IFERROR(AK5+AK6+AK11+AK16+AK17+AK21+AK22+AK23+AK24+AK27+AK28,"")</f>
        <v>0</v>
      </c>
      <c r="AL29" s="59">
        <f>IFERROR(AL5+AL6+AL11+AL16+AL17+AL21+AL22+AL23+AL24+AL27+AL28,"")</f>
        <v>0</v>
      </c>
      <c r="AM29" s="60">
        <f>AL29</f>
        <v>0</v>
      </c>
      <c r="AN29" s="59">
        <f>IFERROR(AN5+AN6+AN11+AN16+AN17+AN21+AN22+AN23+AN24+AN27+AN28,"")</f>
        <v>0</v>
      </c>
      <c r="AO29" s="59">
        <f>IFERROR(AO5+AO6+AO11+AO16+AO17+AO21+AO22+AO23+AO24+AO27+AO28,"")</f>
        <v>0</v>
      </c>
      <c r="AP29" s="59">
        <f>IFERROR(AP5+AP6+AP11+AP16+AP17+AP21+AP22+AP23+AP24+AP27+AP28,"")</f>
        <v>0</v>
      </c>
      <c r="AQ29" s="59">
        <f>IFERROR(AQ5+AQ6+AQ11+AQ16+AQ17+AQ21+AQ22+AQ23+AQ24+AQ27+AQ28,"")</f>
        <v>0</v>
      </c>
      <c r="AR29" s="60">
        <f>AQ29</f>
        <v>0</v>
      </c>
      <c r="AS29" s="59">
        <f>IFERROR(AS5+AS6+AS11+AS16+AS17+AS21+AS22+AS23+AS24+AS27+AS28,"")</f>
        <v>0</v>
      </c>
      <c r="AT29" s="59">
        <f>IFERROR(AT5+AT6+AT11+AT16+AT17+AT21+AT22+AT23+AT24+AT27+AT28,"")</f>
        <v>0</v>
      </c>
      <c r="AU29" s="59">
        <f>IFERROR(AU5+AU6+AU11+AU16+AU17+AU21+AU22+AU23+AU24+AU27+AU28,"")</f>
        <v>0</v>
      </c>
      <c r="AV29" s="59">
        <f>IFERROR(AV5+AV6+AV11+AV16+AV17+AV21+AV22+AV23+AV24+AV27+AV28,"")</f>
        <v>0</v>
      </c>
      <c r="AW29" s="60">
        <f>AV29</f>
        <v>0</v>
      </c>
      <c r="AX29" s="59">
        <f>IFERROR(AX5+AX6+AX11+AX16+AX17+AX21+AX22+AX23+AX24+AX27+AX28,"")</f>
        <v>0</v>
      </c>
      <c r="AY29" s="59">
        <f>IFERROR(AY5+AY6+AY11+AY16+AY17+AY21+AY22+AY23+AY24+AY27+AY28,"")</f>
        <v>0</v>
      </c>
      <c r="AZ29" s="59">
        <f>IFERROR(AZ5+AZ6+AZ11+AZ16+AZ17+AZ21+AZ22+AZ23+AZ24+AZ27+AZ28,"")</f>
        <v>0</v>
      </c>
      <c r="BA29" s="59">
        <f>IFERROR(BA5+BA6+BA11+BA16+BA17+BA21+BA22+BA23+BA24+BA27+BA28,"")</f>
        <v>0</v>
      </c>
      <c r="BB29" s="60">
        <f>BA29</f>
        <v>0</v>
      </c>
      <c r="BC29" s="59">
        <f>IFERROR(BC5+BC6+BC11+BC16+BC17+BC21+BC22+BC23+BC24+BC27+BC28,"")</f>
        <v>0</v>
      </c>
      <c r="BD29" s="59">
        <f>IFERROR(BD5+BD6+BD11+BD16+BD17+BD21+BD22+BD23+BD24+BD27+BD28,"")</f>
        <v>0</v>
      </c>
      <c r="BE29" s="59">
        <f>IFERROR(BE5+BE6+BE11+BE16+BE17+BE21+BE22+BE23+BE24+BE27+BE28,"")</f>
        <v>0</v>
      </c>
      <c r="BF29" s="59">
        <f>IFERROR(BF5+BF6+BF11+BF16+BF17+BF21+BF22+BF23+BF24+BF27+BF28,"")</f>
        <v>0</v>
      </c>
      <c r="BG29" s="60">
        <f>BF29</f>
        <v>0</v>
      </c>
    </row>
    <row r="31">
      <c r="B31" s="7" t="n"/>
      <c r="C31" s="7" t="inlineStr">
        <is>
          <t>PASSIVO</t>
        </is>
      </c>
      <c r="D31" s="7" t="inlineStr">
        <is>
          <t>LIABILITIES</t>
        </is>
      </c>
      <c r="E31" s="7" t="n"/>
      <c r="F31" s="7" t="n"/>
      <c r="G31" s="7" t="n"/>
      <c r="H31" s="7" t="n"/>
      <c r="I31" s="7" t="n"/>
      <c r="J31" s="7" t="n"/>
      <c r="K31" s="7" t="n"/>
      <c r="L31" s="7" t="n"/>
      <c r="M31" s="7" t="n"/>
      <c r="N31" s="7" t="n"/>
      <c r="O31" s="7" t="n"/>
      <c r="P31" s="7" t="n"/>
      <c r="Q31" s="7" t="n"/>
      <c r="R31" s="7" t="n"/>
      <c r="S31" s="7" t="n"/>
      <c r="T31" s="7" t="n"/>
      <c r="U31" s="7" t="n"/>
      <c r="V31" s="7" t="n"/>
      <c r="W31" s="7" t="n"/>
      <c r="X31" s="7" t="n"/>
      <c r="Y31" s="7" t="n"/>
      <c r="Z31" s="7" t="n"/>
      <c r="AA31" s="7" t="n"/>
      <c r="AB31" s="7" t="n"/>
      <c r="AC31" s="7" t="n"/>
      <c r="AD31" s="7" t="n"/>
      <c r="AE31" s="7" t="n"/>
      <c r="AF31" s="7" t="n"/>
      <c r="AG31" s="7" t="n"/>
      <c r="AH31" s="7" t="n"/>
      <c r="AI31" s="7" t="n"/>
      <c r="AJ31" s="7" t="n"/>
      <c r="AK31" s="7" t="n"/>
      <c r="AL31" s="7" t="n"/>
      <c r="AM31" s="7" t="n"/>
      <c r="AN31" s="7" t="n"/>
      <c r="AO31" s="7" t="n"/>
      <c r="AP31" s="7" t="n"/>
      <c r="AQ31" s="7" t="n"/>
      <c r="AR31" s="7" t="n"/>
      <c r="AS31" s="7" t="n"/>
      <c r="AT31" s="7" t="n"/>
      <c r="AU31" s="7" t="n"/>
      <c r="AV31" s="7" t="n"/>
      <c r="AW31" s="7" t="n"/>
      <c r="AX31" s="7" t="n"/>
      <c r="AY31" s="7" t="n"/>
      <c r="AZ31" s="7" t="n"/>
      <c r="BA31" s="7" t="n"/>
      <c r="BB31" s="7" t="n"/>
      <c r="BC31" s="7" t="n"/>
      <c r="BD31" s="7" t="n"/>
      <c r="BE31" s="7" t="n"/>
      <c r="BF31" s="7" t="n"/>
      <c r="BG31" s="7" t="n"/>
      <c r="BH31" s="7" t="n"/>
      <c r="BI31" s="7" t="n"/>
    </row>
    <row r="32">
      <c r="C32" s="15" t="inlineStr">
        <is>
          <t>Depósitos</t>
        </is>
      </c>
      <c r="D32" s="16" t="inlineStr">
        <is>
          <t>Deposits</t>
        </is>
      </c>
      <c r="E32" s="59">
        <f>IFERROR(E33+E34+E35+E36+E37,"")</f>
        <v>0</v>
      </c>
      <c r="F32" s="59">
        <f>IFERROR(F33+F34+F35+F36+F37,"")</f>
        <v>0</v>
      </c>
      <c r="G32" s="59">
        <f>IFERROR(G33+G34+G35+G36+G37,"")</f>
        <v>0</v>
      </c>
      <c r="H32" s="59">
        <f>IFERROR(H33+H34+H35+H36+H37,"")</f>
        <v>0</v>
      </c>
      <c r="I32" s="60">
        <f>H32</f>
        <v>0</v>
      </c>
      <c r="J32" s="59">
        <f>IFERROR(J33+J34+J35+J36+J37,"")</f>
        <v>0</v>
      </c>
      <c r="K32" s="59">
        <f>IFERROR(K33+K34+K35+K36+K37,"")</f>
        <v>0</v>
      </c>
      <c r="L32" s="59">
        <f>IFERROR(L33+L34+L35+L36+L37,"")</f>
        <v>0</v>
      </c>
      <c r="M32" s="59">
        <f>IFERROR(M33+M34+M35+M36+M37,"")</f>
        <v>0</v>
      </c>
      <c r="N32" s="60">
        <f>M32</f>
        <v>0</v>
      </c>
      <c r="O32" s="59">
        <f>IFERROR(O33+O34+O35+O36+O37,"")</f>
        <v>0</v>
      </c>
      <c r="P32" s="59">
        <f>IFERROR(P33+P34+P35+P36+P37,"")</f>
        <v>0</v>
      </c>
      <c r="Q32" s="59">
        <f>IFERROR(Q33+Q34+Q35+Q36+Q37,"")</f>
        <v>0</v>
      </c>
      <c r="R32" s="59">
        <f>IFERROR(R33+R34+R35+R36+R37,"")</f>
        <v>0</v>
      </c>
      <c r="S32" s="60">
        <f>R32</f>
        <v>0</v>
      </c>
      <c r="T32" s="59">
        <f>IFERROR(T33+T34+T35+T36+T37,"")</f>
        <v>0</v>
      </c>
      <c r="U32" s="59">
        <f>IFERROR(U33+U34+U35+U36+U37,"")</f>
        <v>0</v>
      </c>
      <c r="V32" s="59">
        <f>IFERROR(V33+V34+V35+V36+V37,"")</f>
        <v>0</v>
      </c>
      <c r="W32" s="59">
        <f>IFERROR(W33+W34+W35+W36+W37,"")</f>
        <v>0</v>
      </c>
      <c r="X32" s="60">
        <f>W32</f>
        <v>0</v>
      </c>
      <c r="Y32" s="59">
        <f>IFERROR(Y33+Y34+Y35+Y36+Y37,"")</f>
        <v>0</v>
      </c>
      <c r="Z32" s="59">
        <f>IFERROR(Z33+Z34+Z35+Z36+Z37,"")</f>
        <v>0</v>
      </c>
      <c r="AA32" s="59">
        <f>IFERROR(AA33+AA34+AA35+AA36+AA37,"")</f>
        <v>0</v>
      </c>
      <c r="AB32" s="59">
        <f>IFERROR(AB33+AB34+AB35+AB36+AB37,"")</f>
        <v>0</v>
      </c>
      <c r="AC32" s="60">
        <f>AB32</f>
        <v>0</v>
      </c>
      <c r="AD32" s="59">
        <f>IFERROR(AD33+AD34+AD35+AD36+AD37,"")</f>
        <v>0</v>
      </c>
      <c r="AE32" s="59">
        <f>IFERROR(AE33+AE34+AE35+AE36+AE37,"")</f>
        <v>0</v>
      </c>
      <c r="AF32" s="59">
        <f>IFERROR(AF33+AF34+AF35+AF36+AF37,"")</f>
        <v>0</v>
      </c>
      <c r="AG32" s="59">
        <f>IFERROR(AG33+AG34+AG35+AG36+AG37,"")</f>
        <v>0</v>
      </c>
      <c r="AH32" s="60">
        <f>AG32</f>
        <v>0</v>
      </c>
      <c r="AI32" s="59">
        <f>IFERROR(AI33+AI34+AI35+AI36+AI37,"")</f>
        <v>0</v>
      </c>
      <c r="AJ32" s="59">
        <f>IFERROR(AJ33+AJ34+AJ35+AJ36+AJ37,"")</f>
        <v>0</v>
      </c>
      <c r="AK32" s="59">
        <f>IFERROR(AK33+AK34+AK35+AK36+AK37,"")</f>
        <v>0</v>
      </c>
      <c r="AL32" s="59">
        <f>IFERROR(AL33+AL34+AL35+AL36+AL37,"")</f>
        <v>0</v>
      </c>
      <c r="AM32" s="60">
        <f>AL32</f>
        <v>0</v>
      </c>
      <c r="AN32" s="59">
        <f>IFERROR(AN33+AN34+AN35+AN36+AN37,"")</f>
        <v>0</v>
      </c>
      <c r="AO32" s="59">
        <f>IFERROR(AO33+AO34+AO35+AO36+AO37,"")</f>
        <v>0</v>
      </c>
      <c r="AP32" s="59">
        <f>IFERROR(AP33+AP34+AP35+AP36+AP37,"")</f>
        <v>0</v>
      </c>
      <c r="AQ32" s="59">
        <f>IFERROR(AQ33+AQ34+AQ35+AQ36+AQ37,"")</f>
        <v>0</v>
      </c>
      <c r="AR32" s="60">
        <f>AQ32</f>
        <v>0</v>
      </c>
      <c r="AS32" s="59">
        <f>IFERROR(AS33+AS34+AS35+AS36+AS37,"")</f>
        <v>0</v>
      </c>
      <c r="AT32" s="59">
        <f>IFERROR(AT33+AT34+AT35+AT36+AT37,"")</f>
        <v>0</v>
      </c>
      <c r="AU32" s="59">
        <f>IFERROR(AU33+AU34+AU35+AU36+AU37,"")</f>
        <v>0</v>
      </c>
      <c r="AV32" s="59">
        <f>IFERROR(AV33+AV34+AV35+AV36+AV37,"")</f>
        <v>0</v>
      </c>
      <c r="AW32" s="60">
        <f>AV32</f>
        <v>0</v>
      </c>
      <c r="AX32" s="59">
        <f>IFERROR(AX33+AX34+AX35+AX36+AX37,"")</f>
        <v>0</v>
      </c>
      <c r="AY32" s="59">
        <f>IFERROR(AY33+AY34+AY35+AY36+AY37,"")</f>
        <v>0</v>
      </c>
      <c r="AZ32" s="59">
        <f>IFERROR(AZ33+AZ34+AZ35+AZ36+AZ37,"")</f>
        <v>0</v>
      </c>
      <c r="BA32" s="59">
        <f>IFERROR(BA33+BA34+BA35+BA36+BA37,"")</f>
        <v>0</v>
      </c>
      <c r="BB32" s="60">
        <f>BA32</f>
        <v>0</v>
      </c>
      <c r="BC32" s="59">
        <f>IFERROR(BC33+BC34+BC35+BC36+BC37,"")</f>
        <v>0</v>
      </c>
      <c r="BD32" s="59">
        <f>IFERROR(BD33+BD34+BD35+BD36+BD37,"")</f>
        <v>0</v>
      </c>
      <c r="BE32" s="59">
        <f>IFERROR(BE33+BE34+BE35+BE36+BE37,"")</f>
        <v>0</v>
      </c>
      <c r="BF32" s="59">
        <f>IFERROR(BF33+BF34+BF35+BF36+BF37,"")</f>
        <v>0</v>
      </c>
      <c r="BG32" s="60">
        <f>BF32</f>
        <v>0</v>
      </c>
    </row>
    <row r="33" hidden="1" outlineLevel="1">
      <c r="B33" s="56" t="inlineStr">
        <is>
          <t>dep_nib</t>
        </is>
      </c>
      <c r="C33" s="61" t="inlineStr">
        <is>
          <t>Depósitos sem juros (noninterest-bearing)</t>
        </is>
      </c>
      <c r="D33" s="62" t="inlineStr">
        <is>
          <t>Noninterest-bearing deposits</t>
        </is>
      </c>
      <c r="E33" s="57">
        <f>IF(ISNA(SUMIFS(INDEX(Inputs!$B$2:$AZ$190,,MATCH(SUBSTITUTE(E$3,"Q","T"),Inputs!$B$2:$AZ$2,0)),Inputs!$B$2:$B$190,$B33)*Inputs!$D$1),"",SUMIFS(INDEX(Inputs!$B$2:$AZ$190,,MATCH(SUBSTITUTE(E$3,"Q","T"),Inputs!$B$2:$AZ$2,0)),Inputs!$B$2:$B$190,$B33)*Inputs!$D$1)</f>
        <v>0</v>
      </c>
      <c r="F33" s="57">
        <f>IF(ISNA(SUMIFS(INDEX(Inputs!$B$2:$AZ$190,,MATCH(SUBSTITUTE(F$3,"Q","T"),Inputs!$B$2:$AZ$2,0)),Inputs!$B$2:$B$190,$B33)*Inputs!$D$1),"",SUMIFS(INDEX(Inputs!$B$2:$AZ$190,,MATCH(SUBSTITUTE(F$3,"Q","T"),Inputs!$B$2:$AZ$2,0)),Inputs!$B$2:$B$190,$B33)*Inputs!$D$1)</f>
        <v>0</v>
      </c>
      <c r="G33" s="57">
        <f>IF(ISNA(SUMIFS(INDEX(Inputs!$B$2:$AZ$190,,MATCH(SUBSTITUTE(G$3,"Q","T"),Inputs!$B$2:$AZ$2,0)),Inputs!$B$2:$B$190,$B33)*Inputs!$D$1),"",SUMIFS(INDEX(Inputs!$B$2:$AZ$190,,MATCH(SUBSTITUTE(G$3,"Q","T"),Inputs!$B$2:$AZ$2,0)),Inputs!$B$2:$B$190,$B33)*Inputs!$D$1)</f>
        <v>0</v>
      </c>
      <c r="H33" s="57">
        <f>IF(ISNA(SUMIFS(INDEX(Inputs!$B$2:$AZ$190,,MATCH(SUBSTITUTE(H$3,"Q","T"),Inputs!$B$2:$AZ$2,0)),Inputs!$B$2:$B$190,$B33)*Inputs!$D$1),"",SUMIFS(INDEX(Inputs!$B$2:$AZ$190,,MATCH(SUBSTITUTE(H$3,"Q","T"),Inputs!$B$2:$AZ$2,0)),Inputs!$B$2:$B$190,$B33)*Inputs!$D$1)</f>
        <v>0</v>
      </c>
      <c r="I33" s="58">
        <f>H33</f>
        <v>0</v>
      </c>
      <c r="J33" s="57">
        <f>IF(ISNA(SUMIFS(INDEX(Inputs!$B$2:$AZ$190,,MATCH(SUBSTITUTE(J$3,"Q","T"),Inputs!$B$2:$AZ$2,0)),Inputs!$B$2:$B$190,$B33)*Inputs!$D$1),"",SUMIFS(INDEX(Inputs!$B$2:$AZ$190,,MATCH(SUBSTITUTE(J$3,"Q","T"),Inputs!$B$2:$AZ$2,0)),Inputs!$B$2:$B$190,$B33)*Inputs!$D$1)</f>
        <v>0</v>
      </c>
      <c r="K33" s="57">
        <f>IF(ISNA(SUMIFS(INDEX(Inputs!$B$2:$AZ$190,,MATCH(SUBSTITUTE(K$3,"Q","T"),Inputs!$B$2:$AZ$2,0)),Inputs!$B$2:$B$190,$B33)*Inputs!$D$1),"",SUMIFS(INDEX(Inputs!$B$2:$AZ$190,,MATCH(SUBSTITUTE(K$3,"Q","T"),Inputs!$B$2:$AZ$2,0)),Inputs!$B$2:$B$190,$B33)*Inputs!$D$1)</f>
        <v>0</v>
      </c>
      <c r="L33" s="57">
        <f>IF(ISNA(SUMIFS(INDEX(Inputs!$B$2:$AZ$190,,MATCH(SUBSTITUTE(L$3,"Q","T"),Inputs!$B$2:$AZ$2,0)),Inputs!$B$2:$B$190,$B33)*Inputs!$D$1),"",SUMIFS(INDEX(Inputs!$B$2:$AZ$190,,MATCH(SUBSTITUTE(L$3,"Q","T"),Inputs!$B$2:$AZ$2,0)),Inputs!$B$2:$B$190,$B33)*Inputs!$D$1)</f>
        <v>0</v>
      </c>
      <c r="M33" s="57">
        <f>IF(ISNA(SUMIFS(INDEX(Inputs!$B$2:$AZ$190,,MATCH(SUBSTITUTE(M$3,"Q","T"),Inputs!$B$2:$AZ$2,0)),Inputs!$B$2:$B$190,$B33)*Inputs!$D$1),"",SUMIFS(INDEX(Inputs!$B$2:$AZ$190,,MATCH(SUBSTITUTE(M$3,"Q","T"),Inputs!$B$2:$AZ$2,0)),Inputs!$B$2:$B$190,$B33)*Inputs!$D$1)</f>
        <v>0</v>
      </c>
      <c r="N33" s="58">
        <f>M33</f>
        <v>0</v>
      </c>
      <c r="O33" s="57">
        <f>IF(ISNA(SUMIFS(INDEX(Inputs!$B$2:$AZ$190,,MATCH(SUBSTITUTE(O$3,"Q","T"),Inputs!$B$2:$AZ$2,0)),Inputs!$B$2:$B$190,$B33)*Inputs!$D$1),"",SUMIFS(INDEX(Inputs!$B$2:$AZ$190,,MATCH(SUBSTITUTE(O$3,"Q","T"),Inputs!$B$2:$AZ$2,0)),Inputs!$B$2:$B$190,$B33)*Inputs!$D$1)</f>
        <v>0</v>
      </c>
      <c r="P33" s="57">
        <f>IF(ISNA(SUMIFS(INDEX(Inputs!$B$2:$AZ$190,,MATCH(SUBSTITUTE(P$3,"Q","T"),Inputs!$B$2:$AZ$2,0)),Inputs!$B$2:$B$190,$B33)*Inputs!$D$1),"",SUMIFS(INDEX(Inputs!$B$2:$AZ$190,,MATCH(SUBSTITUTE(P$3,"Q","T"),Inputs!$B$2:$AZ$2,0)),Inputs!$B$2:$B$190,$B33)*Inputs!$D$1)</f>
        <v>0</v>
      </c>
      <c r="Q33" s="57">
        <f>IF(ISNA(SUMIFS(INDEX(Inputs!$B$2:$AZ$190,,MATCH(SUBSTITUTE(Q$3,"Q","T"),Inputs!$B$2:$AZ$2,0)),Inputs!$B$2:$B$190,$B33)*Inputs!$D$1),"",SUMIFS(INDEX(Inputs!$B$2:$AZ$190,,MATCH(SUBSTITUTE(Q$3,"Q","T"),Inputs!$B$2:$AZ$2,0)),Inputs!$B$2:$B$190,$B33)*Inputs!$D$1)</f>
        <v>0</v>
      </c>
      <c r="R33" s="57">
        <f>IF(ISNA(SUMIFS(INDEX(Inputs!$B$2:$AZ$190,,MATCH(SUBSTITUTE(R$3,"Q","T"),Inputs!$B$2:$AZ$2,0)),Inputs!$B$2:$B$190,$B33)*Inputs!$D$1),"",SUMIFS(INDEX(Inputs!$B$2:$AZ$190,,MATCH(SUBSTITUTE(R$3,"Q","T"),Inputs!$B$2:$AZ$2,0)),Inputs!$B$2:$B$190,$B33)*Inputs!$D$1)</f>
        <v>0</v>
      </c>
      <c r="S33" s="58">
        <f>R33</f>
        <v>0</v>
      </c>
      <c r="T33" s="57">
        <f>IF(ISNA(SUMIFS(INDEX(Inputs!$B$2:$AZ$190,,MATCH(SUBSTITUTE(T$3,"Q","T"),Inputs!$B$2:$AZ$2,0)),Inputs!$B$2:$B$190,$B33)*Inputs!$D$1),"",SUMIFS(INDEX(Inputs!$B$2:$AZ$190,,MATCH(SUBSTITUTE(T$3,"Q","T"),Inputs!$B$2:$AZ$2,0)),Inputs!$B$2:$B$190,$B33)*Inputs!$D$1)</f>
        <v>0</v>
      </c>
      <c r="U33" s="57">
        <f>IF(ISNA(SUMIFS(INDEX(Inputs!$B$2:$AZ$190,,MATCH(SUBSTITUTE(U$3,"Q","T"),Inputs!$B$2:$AZ$2,0)),Inputs!$B$2:$B$190,$B33)*Inputs!$D$1),"",SUMIFS(INDEX(Inputs!$B$2:$AZ$190,,MATCH(SUBSTITUTE(U$3,"Q","T"),Inputs!$B$2:$AZ$2,0)),Inputs!$B$2:$B$190,$B33)*Inputs!$D$1)</f>
        <v>0</v>
      </c>
      <c r="V33" s="57">
        <f>IF(ISNA(SUMIFS(INDEX(Inputs!$B$2:$AZ$190,,MATCH(SUBSTITUTE(V$3,"Q","T"),Inputs!$B$2:$AZ$2,0)),Inputs!$B$2:$B$190,$B33)*Inputs!$D$1),"",SUMIFS(INDEX(Inputs!$B$2:$AZ$190,,MATCH(SUBSTITUTE(V$3,"Q","T"),Inputs!$B$2:$AZ$2,0)),Inputs!$B$2:$B$190,$B33)*Inputs!$D$1)</f>
        <v>0</v>
      </c>
      <c r="W33" s="57">
        <f>IF(ISNA(SUMIFS(INDEX(Inputs!$B$2:$AZ$190,,MATCH(SUBSTITUTE(W$3,"Q","T"),Inputs!$B$2:$AZ$2,0)),Inputs!$B$2:$B$190,$B33)*Inputs!$D$1),"",SUMIFS(INDEX(Inputs!$B$2:$AZ$190,,MATCH(SUBSTITUTE(W$3,"Q","T"),Inputs!$B$2:$AZ$2,0)),Inputs!$B$2:$B$190,$B33)*Inputs!$D$1)</f>
        <v>0</v>
      </c>
      <c r="X33" s="58">
        <f>W33</f>
        <v>0</v>
      </c>
      <c r="Y33" s="57">
        <f>IF(ISNA(SUMIFS(INDEX(Inputs!$B$2:$AZ$190,,MATCH(SUBSTITUTE(Y$3,"Q","T"),Inputs!$B$2:$AZ$2,0)),Inputs!$B$2:$B$190,$B33)*Inputs!$D$1),"",SUMIFS(INDEX(Inputs!$B$2:$AZ$190,,MATCH(SUBSTITUTE(Y$3,"Q","T"),Inputs!$B$2:$AZ$2,0)),Inputs!$B$2:$B$190,$B33)*Inputs!$D$1)</f>
        <v>0</v>
      </c>
      <c r="Z33" s="57">
        <f>IF(ISNA(SUMIFS(INDEX(Inputs!$B$2:$AZ$190,,MATCH(SUBSTITUTE(Z$3,"Q","T"),Inputs!$B$2:$AZ$2,0)),Inputs!$B$2:$B$190,$B33)*Inputs!$D$1),"",SUMIFS(INDEX(Inputs!$B$2:$AZ$190,,MATCH(SUBSTITUTE(Z$3,"Q","T"),Inputs!$B$2:$AZ$2,0)),Inputs!$B$2:$B$190,$B33)*Inputs!$D$1)</f>
        <v>0</v>
      </c>
      <c r="AA33" s="57">
        <f>IF(ISNA(SUMIFS(INDEX(Inputs!$B$2:$AZ$190,,MATCH(SUBSTITUTE(AA$3,"Q","T"),Inputs!$B$2:$AZ$2,0)),Inputs!$B$2:$B$190,$B33)*Inputs!$D$1),"",SUMIFS(INDEX(Inputs!$B$2:$AZ$190,,MATCH(SUBSTITUTE(AA$3,"Q","T"),Inputs!$B$2:$AZ$2,0)),Inputs!$B$2:$B$190,$B33)*Inputs!$D$1)</f>
        <v>0</v>
      </c>
      <c r="AB33" s="57">
        <f>IF(ISNA(SUMIFS(INDEX(Inputs!$B$2:$AZ$190,,MATCH(SUBSTITUTE(AB$3,"Q","T"),Inputs!$B$2:$AZ$2,0)),Inputs!$B$2:$B$190,$B33)*Inputs!$D$1),"",SUMIFS(INDEX(Inputs!$B$2:$AZ$190,,MATCH(SUBSTITUTE(AB$3,"Q","T"),Inputs!$B$2:$AZ$2,0)),Inputs!$B$2:$B$190,$B33)*Inputs!$D$1)</f>
        <v>0</v>
      </c>
      <c r="AC33" s="58">
        <f>AB33</f>
        <v>0</v>
      </c>
      <c r="AD33" s="57">
        <f>IF(ISNA(SUMIFS(INDEX(Inputs!$B$2:$AZ$190,,MATCH(SUBSTITUTE(AD$3,"Q","T"),Inputs!$B$2:$AZ$2,0)),Inputs!$B$2:$B$190,$B33)*Inputs!$D$1),"",SUMIFS(INDEX(Inputs!$B$2:$AZ$190,,MATCH(SUBSTITUTE(AD$3,"Q","T"),Inputs!$B$2:$AZ$2,0)),Inputs!$B$2:$B$190,$B33)*Inputs!$D$1)</f>
        <v>0</v>
      </c>
      <c r="AE33" s="57">
        <f>IF(ISNA(SUMIFS(INDEX(Inputs!$B$2:$AZ$190,,MATCH(SUBSTITUTE(AE$3,"Q","T"),Inputs!$B$2:$AZ$2,0)),Inputs!$B$2:$B$190,$B33)*Inputs!$D$1),"",SUMIFS(INDEX(Inputs!$B$2:$AZ$190,,MATCH(SUBSTITUTE(AE$3,"Q","T"),Inputs!$B$2:$AZ$2,0)),Inputs!$B$2:$B$190,$B33)*Inputs!$D$1)</f>
        <v>0</v>
      </c>
      <c r="AF33" s="57">
        <f>IF(ISNA(SUMIFS(INDEX(Inputs!$B$2:$AZ$190,,MATCH(SUBSTITUTE(AF$3,"Q","T"),Inputs!$B$2:$AZ$2,0)),Inputs!$B$2:$B$190,$B33)*Inputs!$D$1),"",SUMIFS(INDEX(Inputs!$B$2:$AZ$190,,MATCH(SUBSTITUTE(AF$3,"Q","T"),Inputs!$B$2:$AZ$2,0)),Inputs!$B$2:$B$190,$B33)*Inputs!$D$1)</f>
        <v>0</v>
      </c>
      <c r="AG33" s="57">
        <f>IF(ISNA(SUMIFS(INDEX(Inputs!$B$2:$AZ$190,,MATCH(SUBSTITUTE(AG$3,"Q","T"),Inputs!$B$2:$AZ$2,0)),Inputs!$B$2:$B$190,$B33)*Inputs!$D$1),"",SUMIFS(INDEX(Inputs!$B$2:$AZ$190,,MATCH(SUBSTITUTE(AG$3,"Q","T"),Inputs!$B$2:$AZ$2,0)),Inputs!$B$2:$B$190,$B33)*Inputs!$D$1)</f>
        <v>0</v>
      </c>
      <c r="AH33" s="58">
        <f>AG33</f>
        <v>0</v>
      </c>
      <c r="AI33" s="57">
        <f>IF(ISNA(SUMIFS(INDEX(Inputs!$B$2:$AZ$190,,MATCH(SUBSTITUTE(AI$3,"Q","T"),Inputs!$B$2:$AZ$2,0)),Inputs!$B$2:$B$190,$B33)*Inputs!$D$1),"",SUMIFS(INDEX(Inputs!$B$2:$AZ$190,,MATCH(SUBSTITUTE(AI$3,"Q","T"),Inputs!$B$2:$AZ$2,0)),Inputs!$B$2:$B$190,$B33)*Inputs!$D$1)</f>
        <v>0</v>
      </c>
      <c r="AJ33" s="57">
        <f>IF(ISNA(SUMIFS(INDEX(Inputs!$B$2:$AZ$190,,MATCH(SUBSTITUTE(AJ$3,"Q","T"),Inputs!$B$2:$AZ$2,0)),Inputs!$B$2:$B$190,$B33)*Inputs!$D$1),"",SUMIFS(INDEX(Inputs!$B$2:$AZ$190,,MATCH(SUBSTITUTE(AJ$3,"Q","T"),Inputs!$B$2:$AZ$2,0)),Inputs!$B$2:$B$190,$B33)*Inputs!$D$1)</f>
        <v>0</v>
      </c>
      <c r="AK33" s="57">
        <f>IF(ISNA(SUMIFS(INDEX(Inputs!$B$2:$AZ$190,,MATCH(SUBSTITUTE(AK$3,"Q","T"),Inputs!$B$2:$AZ$2,0)),Inputs!$B$2:$B$190,$B33)*Inputs!$D$1),"",SUMIFS(INDEX(Inputs!$B$2:$AZ$190,,MATCH(SUBSTITUTE(AK$3,"Q","T"),Inputs!$B$2:$AZ$2,0)),Inputs!$B$2:$B$190,$B33)*Inputs!$D$1)</f>
        <v>0</v>
      </c>
      <c r="AL33" s="57">
        <f>IF(ISNA(SUMIFS(INDEX(Inputs!$B$2:$AZ$190,,MATCH(SUBSTITUTE(AL$3,"Q","T"),Inputs!$B$2:$AZ$2,0)),Inputs!$B$2:$B$190,$B33)*Inputs!$D$1),"",SUMIFS(INDEX(Inputs!$B$2:$AZ$190,,MATCH(SUBSTITUTE(AL$3,"Q","T"),Inputs!$B$2:$AZ$2,0)),Inputs!$B$2:$B$190,$B33)*Inputs!$D$1)</f>
        <v>0</v>
      </c>
      <c r="AM33" s="58">
        <f>AL33</f>
        <v>0</v>
      </c>
      <c r="AN33" s="57">
        <f>IF(ISNA(SUMIFS(INDEX(Inputs!$B$2:$AZ$190,,MATCH(SUBSTITUTE(AN$3,"Q","T"),Inputs!$B$2:$AZ$2,0)),Inputs!$B$2:$B$190,$B33)*Inputs!$D$1),"",SUMIFS(INDEX(Inputs!$B$2:$AZ$190,,MATCH(SUBSTITUTE(AN$3,"Q","T"),Inputs!$B$2:$AZ$2,0)),Inputs!$B$2:$B$190,$B33)*Inputs!$D$1)</f>
        <v>0</v>
      </c>
      <c r="AO33" s="57">
        <f>IF(ISNA(SUMIFS(INDEX(Inputs!$B$2:$AZ$190,,MATCH(SUBSTITUTE(AO$3,"Q","T"),Inputs!$B$2:$AZ$2,0)),Inputs!$B$2:$B$190,$B33)*Inputs!$D$1),"",SUMIFS(INDEX(Inputs!$B$2:$AZ$190,,MATCH(SUBSTITUTE(AO$3,"Q","T"),Inputs!$B$2:$AZ$2,0)),Inputs!$B$2:$B$190,$B33)*Inputs!$D$1)</f>
        <v>0</v>
      </c>
      <c r="AP33" s="57">
        <f>IF(ISNA(SUMIFS(INDEX(Inputs!$B$2:$AZ$190,,MATCH(SUBSTITUTE(AP$3,"Q","T"),Inputs!$B$2:$AZ$2,0)),Inputs!$B$2:$B$190,$B33)*Inputs!$D$1),"",SUMIFS(INDEX(Inputs!$B$2:$AZ$190,,MATCH(SUBSTITUTE(AP$3,"Q","T"),Inputs!$B$2:$AZ$2,0)),Inputs!$B$2:$B$190,$B33)*Inputs!$D$1)</f>
        <v>0</v>
      </c>
      <c r="AQ33" s="57">
        <f>IF(ISNA(SUMIFS(INDEX(Inputs!$B$2:$AZ$190,,MATCH(SUBSTITUTE(AQ$3,"Q","T"),Inputs!$B$2:$AZ$2,0)),Inputs!$B$2:$B$190,$B33)*Inputs!$D$1),"",SUMIFS(INDEX(Inputs!$B$2:$AZ$190,,MATCH(SUBSTITUTE(AQ$3,"Q","T"),Inputs!$B$2:$AZ$2,0)),Inputs!$B$2:$B$190,$B33)*Inputs!$D$1)</f>
        <v>0</v>
      </c>
      <c r="AR33" s="58">
        <f>AQ33</f>
        <v>0</v>
      </c>
      <c r="AS33" s="57">
        <f>IF(ISNA(SUMIFS(INDEX(Inputs!$B$2:$AZ$190,,MATCH(SUBSTITUTE(AS$3,"Q","T"),Inputs!$B$2:$AZ$2,0)),Inputs!$B$2:$B$190,$B33)*Inputs!$D$1),"",SUMIFS(INDEX(Inputs!$B$2:$AZ$190,,MATCH(SUBSTITUTE(AS$3,"Q","T"),Inputs!$B$2:$AZ$2,0)),Inputs!$B$2:$B$190,$B33)*Inputs!$D$1)</f>
        <v>0</v>
      </c>
      <c r="AT33" s="57">
        <f>IF(ISNA(SUMIFS(INDEX(Inputs!$B$2:$AZ$190,,MATCH(SUBSTITUTE(AT$3,"Q","T"),Inputs!$B$2:$AZ$2,0)),Inputs!$B$2:$B$190,$B33)*Inputs!$D$1),"",SUMIFS(INDEX(Inputs!$B$2:$AZ$190,,MATCH(SUBSTITUTE(AT$3,"Q","T"),Inputs!$B$2:$AZ$2,0)),Inputs!$B$2:$B$190,$B33)*Inputs!$D$1)</f>
        <v>0</v>
      </c>
      <c r="AU33" s="57">
        <f>IF(ISNA(SUMIFS(INDEX(Inputs!$B$2:$AZ$190,,MATCH(SUBSTITUTE(AU$3,"Q","T"),Inputs!$B$2:$AZ$2,0)),Inputs!$B$2:$B$190,$B33)*Inputs!$D$1),"",SUMIFS(INDEX(Inputs!$B$2:$AZ$190,,MATCH(SUBSTITUTE(AU$3,"Q","T"),Inputs!$B$2:$AZ$2,0)),Inputs!$B$2:$B$190,$B33)*Inputs!$D$1)</f>
        <v>0</v>
      </c>
      <c r="AV33" s="57">
        <f>IF(ISNA(SUMIFS(INDEX(Inputs!$B$2:$AZ$190,,MATCH(SUBSTITUTE(AV$3,"Q","T"),Inputs!$B$2:$AZ$2,0)),Inputs!$B$2:$B$190,$B33)*Inputs!$D$1),"",SUMIFS(INDEX(Inputs!$B$2:$AZ$190,,MATCH(SUBSTITUTE(AV$3,"Q","T"),Inputs!$B$2:$AZ$2,0)),Inputs!$B$2:$B$190,$B33)*Inputs!$D$1)</f>
        <v>0</v>
      </c>
      <c r="AW33" s="58">
        <f>AV33</f>
        <v>0</v>
      </c>
      <c r="AX33" s="57">
        <f>IF(ISNA(SUMIFS(INDEX(Inputs!$B$2:$AZ$190,,MATCH(SUBSTITUTE(AX$3,"Q","T"),Inputs!$B$2:$AZ$2,0)),Inputs!$B$2:$B$190,$B33)*Inputs!$D$1),"",SUMIFS(INDEX(Inputs!$B$2:$AZ$190,,MATCH(SUBSTITUTE(AX$3,"Q","T"),Inputs!$B$2:$AZ$2,0)),Inputs!$B$2:$B$190,$B33)*Inputs!$D$1)</f>
        <v>0</v>
      </c>
      <c r="AY33" s="57">
        <f>IF(ISNA(SUMIFS(INDEX(Inputs!$B$2:$AZ$190,,MATCH(SUBSTITUTE(AY$3,"Q","T"),Inputs!$B$2:$AZ$2,0)),Inputs!$B$2:$B$190,$B33)*Inputs!$D$1),"",SUMIFS(INDEX(Inputs!$B$2:$AZ$190,,MATCH(SUBSTITUTE(AY$3,"Q","T"),Inputs!$B$2:$AZ$2,0)),Inputs!$B$2:$B$190,$B33)*Inputs!$D$1)</f>
        <v>0</v>
      </c>
      <c r="AZ33" s="57">
        <f>IF(ISNA(SUMIFS(INDEX(Inputs!$B$2:$AZ$190,,MATCH(SUBSTITUTE(AZ$3,"Q","T"),Inputs!$B$2:$AZ$2,0)),Inputs!$B$2:$B$190,$B33)*Inputs!$D$1),"",SUMIFS(INDEX(Inputs!$B$2:$AZ$190,,MATCH(SUBSTITUTE(AZ$3,"Q","T"),Inputs!$B$2:$AZ$2,0)),Inputs!$B$2:$B$190,$B33)*Inputs!$D$1)</f>
        <v>0</v>
      </c>
      <c r="BA33" s="57">
        <f>IF(ISNA(SUMIFS(INDEX(Inputs!$B$2:$AZ$190,,MATCH(SUBSTITUTE(BA$3,"Q","T"),Inputs!$B$2:$AZ$2,0)),Inputs!$B$2:$B$190,$B33)*Inputs!$D$1),"",SUMIFS(INDEX(Inputs!$B$2:$AZ$190,,MATCH(SUBSTITUTE(BA$3,"Q","T"),Inputs!$B$2:$AZ$2,0)),Inputs!$B$2:$B$190,$B33)*Inputs!$D$1)</f>
        <v>0</v>
      </c>
      <c r="BB33" s="58">
        <f>BA33</f>
        <v>0</v>
      </c>
      <c r="BC33" s="57">
        <f>IF(ISNA(SUMIFS(INDEX(Inputs!$B$2:$AZ$190,,MATCH(SUBSTITUTE(BC$3,"Q","T"),Inputs!$B$2:$AZ$2,0)),Inputs!$B$2:$B$190,$B33)*Inputs!$D$1),"",SUMIFS(INDEX(Inputs!$B$2:$AZ$190,,MATCH(SUBSTITUTE(BC$3,"Q","T"),Inputs!$B$2:$AZ$2,0)),Inputs!$B$2:$B$190,$B33)*Inputs!$D$1)</f>
        <v>0</v>
      </c>
      <c r="BD33" s="57">
        <f>IF(ISNA(SUMIFS(INDEX(Inputs!$B$2:$AZ$190,,MATCH(SUBSTITUTE(BD$3,"Q","T"),Inputs!$B$2:$AZ$2,0)),Inputs!$B$2:$B$190,$B33)*Inputs!$D$1),"",SUMIFS(INDEX(Inputs!$B$2:$AZ$190,,MATCH(SUBSTITUTE(BD$3,"Q","T"),Inputs!$B$2:$AZ$2,0)),Inputs!$B$2:$B$190,$B33)*Inputs!$D$1)</f>
        <v>0</v>
      </c>
      <c r="BE33" s="57">
        <f>IF(ISNA(SUMIFS(INDEX(Inputs!$B$2:$AZ$190,,MATCH(SUBSTITUTE(BE$3,"Q","T"),Inputs!$B$2:$AZ$2,0)),Inputs!$B$2:$B$190,$B33)*Inputs!$D$1),"",SUMIFS(INDEX(Inputs!$B$2:$AZ$190,,MATCH(SUBSTITUTE(BE$3,"Q","T"),Inputs!$B$2:$AZ$2,0)),Inputs!$B$2:$B$190,$B33)*Inputs!$D$1)</f>
        <v>0</v>
      </c>
      <c r="BF33" s="57">
        <f>IF(ISNA(SUMIFS(INDEX(Inputs!$B$2:$AZ$190,,MATCH(SUBSTITUTE(BF$3,"Q","T"),Inputs!$B$2:$AZ$2,0)),Inputs!$B$2:$B$190,$B33)*Inputs!$D$1),"",SUMIFS(INDEX(Inputs!$B$2:$AZ$190,,MATCH(SUBSTITUTE(BF$3,"Q","T"),Inputs!$B$2:$AZ$2,0)),Inputs!$B$2:$B$190,$B33)*Inputs!$D$1)</f>
        <v>0</v>
      </c>
      <c r="BG33" s="58">
        <f>BF33</f>
        <v>0</v>
      </c>
    </row>
    <row r="34" hidden="1" outlineLevel="1">
      <c r="B34" s="56" t="inlineStr">
        <is>
          <t>dep_ib</t>
        </is>
      </c>
      <c r="C34" s="61" t="inlineStr">
        <is>
          <t>Depósitos com juros (interest-bearing)</t>
        </is>
      </c>
      <c r="D34" s="62" t="inlineStr">
        <is>
          <t>Interest-bearing deposits</t>
        </is>
      </c>
      <c r="E34" s="57">
        <f>IF(ISNA(SUMIFS(INDEX(Inputs!$B$2:$AZ$190,,MATCH(SUBSTITUTE(E$3,"Q","T"),Inputs!$B$2:$AZ$2,0)),Inputs!$B$2:$B$190,$B34)*Inputs!$D$1),"",SUMIFS(INDEX(Inputs!$B$2:$AZ$190,,MATCH(SUBSTITUTE(E$3,"Q","T"),Inputs!$B$2:$AZ$2,0)),Inputs!$B$2:$B$190,$B34)*Inputs!$D$1)</f>
        <v>0</v>
      </c>
      <c r="F34" s="57">
        <f>IF(ISNA(SUMIFS(INDEX(Inputs!$B$2:$AZ$190,,MATCH(SUBSTITUTE(F$3,"Q","T"),Inputs!$B$2:$AZ$2,0)),Inputs!$B$2:$B$190,$B34)*Inputs!$D$1),"",SUMIFS(INDEX(Inputs!$B$2:$AZ$190,,MATCH(SUBSTITUTE(F$3,"Q","T"),Inputs!$B$2:$AZ$2,0)),Inputs!$B$2:$B$190,$B34)*Inputs!$D$1)</f>
        <v>0</v>
      </c>
      <c r="G34" s="57">
        <f>IF(ISNA(SUMIFS(INDEX(Inputs!$B$2:$AZ$190,,MATCH(SUBSTITUTE(G$3,"Q","T"),Inputs!$B$2:$AZ$2,0)),Inputs!$B$2:$B$190,$B34)*Inputs!$D$1),"",SUMIFS(INDEX(Inputs!$B$2:$AZ$190,,MATCH(SUBSTITUTE(G$3,"Q","T"),Inputs!$B$2:$AZ$2,0)),Inputs!$B$2:$B$190,$B34)*Inputs!$D$1)</f>
        <v>0</v>
      </c>
      <c r="H34" s="57">
        <f>IF(ISNA(SUMIFS(INDEX(Inputs!$B$2:$AZ$190,,MATCH(SUBSTITUTE(H$3,"Q","T"),Inputs!$B$2:$AZ$2,0)),Inputs!$B$2:$B$190,$B34)*Inputs!$D$1),"",SUMIFS(INDEX(Inputs!$B$2:$AZ$190,,MATCH(SUBSTITUTE(H$3,"Q","T"),Inputs!$B$2:$AZ$2,0)),Inputs!$B$2:$B$190,$B34)*Inputs!$D$1)</f>
        <v>0</v>
      </c>
      <c r="I34" s="58">
        <f>H34</f>
        <v>0</v>
      </c>
      <c r="J34" s="57">
        <f>IF(ISNA(SUMIFS(INDEX(Inputs!$B$2:$AZ$190,,MATCH(SUBSTITUTE(J$3,"Q","T"),Inputs!$B$2:$AZ$2,0)),Inputs!$B$2:$B$190,$B34)*Inputs!$D$1),"",SUMIFS(INDEX(Inputs!$B$2:$AZ$190,,MATCH(SUBSTITUTE(J$3,"Q","T"),Inputs!$B$2:$AZ$2,0)),Inputs!$B$2:$B$190,$B34)*Inputs!$D$1)</f>
        <v>0</v>
      </c>
      <c r="K34" s="57">
        <f>IF(ISNA(SUMIFS(INDEX(Inputs!$B$2:$AZ$190,,MATCH(SUBSTITUTE(K$3,"Q","T"),Inputs!$B$2:$AZ$2,0)),Inputs!$B$2:$B$190,$B34)*Inputs!$D$1),"",SUMIFS(INDEX(Inputs!$B$2:$AZ$190,,MATCH(SUBSTITUTE(K$3,"Q","T"),Inputs!$B$2:$AZ$2,0)),Inputs!$B$2:$B$190,$B34)*Inputs!$D$1)</f>
        <v>0</v>
      </c>
      <c r="L34" s="57">
        <f>IF(ISNA(SUMIFS(INDEX(Inputs!$B$2:$AZ$190,,MATCH(SUBSTITUTE(L$3,"Q","T"),Inputs!$B$2:$AZ$2,0)),Inputs!$B$2:$B$190,$B34)*Inputs!$D$1),"",SUMIFS(INDEX(Inputs!$B$2:$AZ$190,,MATCH(SUBSTITUTE(L$3,"Q","T"),Inputs!$B$2:$AZ$2,0)),Inputs!$B$2:$B$190,$B34)*Inputs!$D$1)</f>
        <v>0</v>
      </c>
      <c r="M34" s="57">
        <f>IF(ISNA(SUMIFS(INDEX(Inputs!$B$2:$AZ$190,,MATCH(SUBSTITUTE(M$3,"Q","T"),Inputs!$B$2:$AZ$2,0)),Inputs!$B$2:$B$190,$B34)*Inputs!$D$1),"",SUMIFS(INDEX(Inputs!$B$2:$AZ$190,,MATCH(SUBSTITUTE(M$3,"Q","T"),Inputs!$B$2:$AZ$2,0)),Inputs!$B$2:$B$190,$B34)*Inputs!$D$1)</f>
        <v>0</v>
      </c>
      <c r="N34" s="58">
        <f>M34</f>
        <v>0</v>
      </c>
      <c r="O34" s="57">
        <f>IF(ISNA(SUMIFS(INDEX(Inputs!$B$2:$AZ$190,,MATCH(SUBSTITUTE(O$3,"Q","T"),Inputs!$B$2:$AZ$2,0)),Inputs!$B$2:$B$190,$B34)*Inputs!$D$1),"",SUMIFS(INDEX(Inputs!$B$2:$AZ$190,,MATCH(SUBSTITUTE(O$3,"Q","T"),Inputs!$B$2:$AZ$2,0)),Inputs!$B$2:$B$190,$B34)*Inputs!$D$1)</f>
        <v>0</v>
      </c>
      <c r="P34" s="57">
        <f>IF(ISNA(SUMIFS(INDEX(Inputs!$B$2:$AZ$190,,MATCH(SUBSTITUTE(P$3,"Q","T"),Inputs!$B$2:$AZ$2,0)),Inputs!$B$2:$B$190,$B34)*Inputs!$D$1),"",SUMIFS(INDEX(Inputs!$B$2:$AZ$190,,MATCH(SUBSTITUTE(P$3,"Q","T"),Inputs!$B$2:$AZ$2,0)),Inputs!$B$2:$B$190,$B34)*Inputs!$D$1)</f>
        <v>0</v>
      </c>
      <c r="Q34" s="57">
        <f>IF(ISNA(SUMIFS(INDEX(Inputs!$B$2:$AZ$190,,MATCH(SUBSTITUTE(Q$3,"Q","T"),Inputs!$B$2:$AZ$2,0)),Inputs!$B$2:$B$190,$B34)*Inputs!$D$1),"",SUMIFS(INDEX(Inputs!$B$2:$AZ$190,,MATCH(SUBSTITUTE(Q$3,"Q","T"),Inputs!$B$2:$AZ$2,0)),Inputs!$B$2:$B$190,$B34)*Inputs!$D$1)</f>
        <v>0</v>
      </c>
      <c r="R34" s="57">
        <f>IF(ISNA(SUMIFS(INDEX(Inputs!$B$2:$AZ$190,,MATCH(SUBSTITUTE(R$3,"Q","T"),Inputs!$B$2:$AZ$2,0)),Inputs!$B$2:$B$190,$B34)*Inputs!$D$1),"",SUMIFS(INDEX(Inputs!$B$2:$AZ$190,,MATCH(SUBSTITUTE(R$3,"Q","T"),Inputs!$B$2:$AZ$2,0)),Inputs!$B$2:$B$190,$B34)*Inputs!$D$1)</f>
        <v>0</v>
      </c>
      <c r="S34" s="58">
        <f>R34</f>
        <v>0</v>
      </c>
      <c r="T34" s="57">
        <f>IF(ISNA(SUMIFS(INDEX(Inputs!$B$2:$AZ$190,,MATCH(SUBSTITUTE(T$3,"Q","T"),Inputs!$B$2:$AZ$2,0)),Inputs!$B$2:$B$190,$B34)*Inputs!$D$1),"",SUMIFS(INDEX(Inputs!$B$2:$AZ$190,,MATCH(SUBSTITUTE(T$3,"Q","T"),Inputs!$B$2:$AZ$2,0)),Inputs!$B$2:$B$190,$B34)*Inputs!$D$1)</f>
        <v>0</v>
      </c>
      <c r="U34" s="57">
        <f>IF(ISNA(SUMIFS(INDEX(Inputs!$B$2:$AZ$190,,MATCH(SUBSTITUTE(U$3,"Q","T"),Inputs!$B$2:$AZ$2,0)),Inputs!$B$2:$B$190,$B34)*Inputs!$D$1),"",SUMIFS(INDEX(Inputs!$B$2:$AZ$190,,MATCH(SUBSTITUTE(U$3,"Q","T"),Inputs!$B$2:$AZ$2,0)),Inputs!$B$2:$B$190,$B34)*Inputs!$D$1)</f>
        <v>0</v>
      </c>
      <c r="V34" s="57">
        <f>IF(ISNA(SUMIFS(INDEX(Inputs!$B$2:$AZ$190,,MATCH(SUBSTITUTE(V$3,"Q","T"),Inputs!$B$2:$AZ$2,0)),Inputs!$B$2:$B$190,$B34)*Inputs!$D$1),"",SUMIFS(INDEX(Inputs!$B$2:$AZ$190,,MATCH(SUBSTITUTE(V$3,"Q","T"),Inputs!$B$2:$AZ$2,0)),Inputs!$B$2:$B$190,$B34)*Inputs!$D$1)</f>
        <v>0</v>
      </c>
      <c r="W34" s="57">
        <f>IF(ISNA(SUMIFS(INDEX(Inputs!$B$2:$AZ$190,,MATCH(SUBSTITUTE(W$3,"Q","T"),Inputs!$B$2:$AZ$2,0)),Inputs!$B$2:$B$190,$B34)*Inputs!$D$1),"",SUMIFS(INDEX(Inputs!$B$2:$AZ$190,,MATCH(SUBSTITUTE(W$3,"Q","T"),Inputs!$B$2:$AZ$2,0)),Inputs!$B$2:$B$190,$B34)*Inputs!$D$1)</f>
        <v>0</v>
      </c>
      <c r="X34" s="58">
        <f>W34</f>
        <v>0</v>
      </c>
      <c r="Y34" s="57">
        <f>IF(ISNA(SUMIFS(INDEX(Inputs!$B$2:$AZ$190,,MATCH(SUBSTITUTE(Y$3,"Q","T"),Inputs!$B$2:$AZ$2,0)),Inputs!$B$2:$B$190,$B34)*Inputs!$D$1),"",SUMIFS(INDEX(Inputs!$B$2:$AZ$190,,MATCH(SUBSTITUTE(Y$3,"Q","T"),Inputs!$B$2:$AZ$2,0)),Inputs!$B$2:$B$190,$B34)*Inputs!$D$1)</f>
        <v>0</v>
      </c>
      <c r="Z34" s="57">
        <f>IF(ISNA(SUMIFS(INDEX(Inputs!$B$2:$AZ$190,,MATCH(SUBSTITUTE(Z$3,"Q","T"),Inputs!$B$2:$AZ$2,0)),Inputs!$B$2:$B$190,$B34)*Inputs!$D$1),"",SUMIFS(INDEX(Inputs!$B$2:$AZ$190,,MATCH(SUBSTITUTE(Z$3,"Q","T"),Inputs!$B$2:$AZ$2,0)),Inputs!$B$2:$B$190,$B34)*Inputs!$D$1)</f>
        <v>0</v>
      </c>
      <c r="AA34" s="57">
        <f>IF(ISNA(SUMIFS(INDEX(Inputs!$B$2:$AZ$190,,MATCH(SUBSTITUTE(AA$3,"Q","T"),Inputs!$B$2:$AZ$2,0)),Inputs!$B$2:$B$190,$B34)*Inputs!$D$1),"",SUMIFS(INDEX(Inputs!$B$2:$AZ$190,,MATCH(SUBSTITUTE(AA$3,"Q","T"),Inputs!$B$2:$AZ$2,0)),Inputs!$B$2:$B$190,$B34)*Inputs!$D$1)</f>
        <v>0</v>
      </c>
      <c r="AB34" s="57">
        <f>IF(ISNA(SUMIFS(INDEX(Inputs!$B$2:$AZ$190,,MATCH(SUBSTITUTE(AB$3,"Q","T"),Inputs!$B$2:$AZ$2,0)),Inputs!$B$2:$B$190,$B34)*Inputs!$D$1),"",SUMIFS(INDEX(Inputs!$B$2:$AZ$190,,MATCH(SUBSTITUTE(AB$3,"Q","T"),Inputs!$B$2:$AZ$2,0)),Inputs!$B$2:$B$190,$B34)*Inputs!$D$1)</f>
        <v>0</v>
      </c>
      <c r="AC34" s="58">
        <f>AB34</f>
        <v>0</v>
      </c>
      <c r="AD34" s="57">
        <f>IF(ISNA(SUMIFS(INDEX(Inputs!$B$2:$AZ$190,,MATCH(SUBSTITUTE(AD$3,"Q","T"),Inputs!$B$2:$AZ$2,0)),Inputs!$B$2:$B$190,$B34)*Inputs!$D$1),"",SUMIFS(INDEX(Inputs!$B$2:$AZ$190,,MATCH(SUBSTITUTE(AD$3,"Q","T"),Inputs!$B$2:$AZ$2,0)),Inputs!$B$2:$B$190,$B34)*Inputs!$D$1)</f>
        <v>0</v>
      </c>
      <c r="AE34" s="57">
        <f>IF(ISNA(SUMIFS(INDEX(Inputs!$B$2:$AZ$190,,MATCH(SUBSTITUTE(AE$3,"Q","T"),Inputs!$B$2:$AZ$2,0)),Inputs!$B$2:$B$190,$B34)*Inputs!$D$1),"",SUMIFS(INDEX(Inputs!$B$2:$AZ$190,,MATCH(SUBSTITUTE(AE$3,"Q","T"),Inputs!$B$2:$AZ$2,0)),Inputs!$B$2:$B$190,$B34)*Inputs!$D$1)</f>
        <v>0</v>
      </c>
      <c r="AF34" s="57">
        <f>IF(ISNA(SUMIFS(INDEX(Inputs!$B$2:$AZ$190,,MATCH(SUBSTITUTE(AF$3,"Q","T"),Inputs!$B$2:$AZ$2,0)),Inputs!$B$2:$B$190,$B34)*Inputs!$D$1),"",SUMIFS(INDEX(Inputs!$B$2:$AZ$190,,MATCH(SUBSTITUTE(AF$3,"Q","T"),Inputs!$B$2:$AZ$2,0)),Inputs!$B$2:$B$190,$B34)*Inputs!$D$1)</f>
        <v>0</v>
      </c>
      <c r="AG34" s="57">
        <f>IF(ISNA(SUMIFS(INDEX(Inputs!$B$2:$AZ$190,,MATCH(SUBSTITUTE(AG$3,"Q","T"),Inputs!$B$2:$AZ$2,0)),Inputs!$B$2:$B$190,$B34)*Inputs!$D$1),"",SUMIFS(INDEX(Inputs!$B$2:$AZ$190,,MATCH(SUBSTITUTE(AG$3,"Q","T"),Inputs!$B$2:$AZ$2,0)),Inputs!$B$2:$B$190,$B34)*Inputs!$D$1)</f>
        <v>0</v>
      </c>
      <c r="AH34" s="58">
        <f>AG34</f>
        <v>0</v>
      </c>
      <c r="AI34" s="57">
        <f>IF(ISNA(SUMIFS(INDEX(Inputs!$B$2:$AZ$190,,MATCH(SUBSTITUTE(AI$3,"Q","T"),Inputs!$B$2:$AZ$2,0)),Inputs!$B$2:$B$190,$B34)*Inputs!$D$1),"",SUMIFS(INDEX(Inputs!$B$2:$AZ$190,,MATCH(SUBSTITUTE(AI$3,"Q","T"),Inputs!$B$2:$AZ$2,0)),Inputs!$B$2:$B$190,$B34)*Inputs!$D$1)</f>
        <v>0</v>
      </c>
      <c r="AJ34" s="57">
        <f>IF(ISNA(SUMIFS(INDEX(Inputs!$B$2:$AZ$190,,MATCH(SUBSTITUTE(AJ$3,"Q","T"),Inputs!$B$2:$AZ$2,0)),Inputs!$B$2:$B$190,$B34)*Inputs!$D$1),"",SUMIFS(INDEX(Inputs!$B$2:$AZ$190,,MATCH(SUBSTITUTE(AJ$3,"Q","T"),Inputs!$B$2:$AZ$2,0)),Inputs!$B$2:$B$190,$B34)*Inputs!$D$1)</f>
        <v>0</v>
      </c>
      <c r="AK34" s="57">
        <f>IF(ISNA(SUMIFS(INDEX(Inputs!$B$2:$AZ$190,,MATCH(SUBSTITUTE(AK$3,"Q","T"),Inputs!$B$2:$AZ$2,0)),Inputs!$B$2:$B$190,$B34)*Inputs!$D$1),"",SUMIFS(INDEX(Inputs!$B$2:$AZ$190,,MATCH(SUBSTITUTE(AK$3,"Q","T"),Inputs!$B$2:$AZ$2,0)),Inputs!$B$2:$B$190,$B34)*Inputs!$D$1)</f>
        <v>0</v>
      </c>
      <c r="AL34" s="57">
        <f>IF(ISNA(SUMIFS(INDEX(Inputs!$B$2:$AZ$190,,MATCH(SUBSTITUTE(AL$3,"Q","T"),Inputs!$B$2:$AZ$2,0)),Inputs!$B$2:$B$190,$B34)*Inputs!$D$1),"",SUMIFS(INDEX(Inputs!$B$2:$AZ$190,,MATCH(SUBSTITUTE(AL$3,"Q","T"),Inputs!$B$2:$AZ$2,0)),Inputs!$B$2:$B$190,$B34)*Inputs!$D$1)</f>
        <v>0</v>
      </c>
      <c r="AM34" s="58">
        <f>AL34</f>
        <v>0</v>
      </c>
      <c r="AN34" s="57">
        <f>IF(ISNA(SUMIFS(INDEX(Inputs!$B$2:$AZ$190,,MATCH(SUBSTITUTE(AN$3,"Q","T"),Inputs!$B$2:$AZ$2,0)),Inputs!$B$2:$B$190,$B34)*Inputs!$D$1),"",SUMIFS(INDEX(Inputs!$B$2:$AZ$190,,MATCH(SUBSTITUTE(AN$3,"Q","T"),Inputs!$B$2:$AZ$2,0)),Inputs!$B$2:$B$190,$B34)*Inputs!$D$1)</f>
        <v>0</v>
      </c>
      <c r="AO34" s="57">
        <f>IF(ISNA(SUMIFS(INDEX(Inputs!$B$2:$AZ$190,,MATCH(SUBSTITUTE(AO$3,"Q","T"),Inputs!$B$2:$AZ$2,0)),Inputs!$B$2:$B$190,$B34)*Inputs!$D$1),"",SUMIFS(INDEX(Inputs!$B$2:$AZ$190,,MATCH(SUBSTITUTE(AO$3,"Q","T"),Inputs!$B$2:$AZ$2,0)),Inputs!$B$2:$B$190,$B34)*Inputs!$D$1)</f>
        <v>0</v>
      </c>
      <c r="AP34" s="57">
        <f>IF(ISNA(SUMIFS(INDEX(Inputs!$B$2:$AZ$190,,MATCH(SUBSTITUTE(AP$3,"Q","T"),Inputs!$B$2:$AZ$2,0)),Inputs!$B$2:$B$190,$B34)*Inputs!$D$1),"",SUMIFS(INDEX(Inputs!$B$2:$AZ$190,,MATCH(SUBSTITUTE(AP$3,"Q","T"),Inputs!$B$2:$AZ$2,0)),Inputs!$B$2:$B$190,$B34)*Inputs!$D$1)</f>
        <v>0</v>
      </c>
      <c r="AQ34" s="57">
        <f>IF(ISNA(SUMIFS(INDEX(Inputs!$B$2:$AZ$190,,MATCH(SUBSTITUTE(AQ$3,"Q","T"),Inputs!$B$2:$AZ$2,0)),Inputs!$B$2:$B$190,$B34)*Inputs!$D$1),"",SUMIFS(INDEX(Inputs!$B$2:$AZ$190,,MATCH(SUBSTITUTE(AQ$3,"Q","T"),Inputs!$B$2:$AZ$2,0)),Inputs!$B$2:$B$190,$B34)*Inputs!$D$1)</f>
        <v>0</v>
      </c>
      <c r="AR34" s="58">
        <f>AQ34</f>
        <v>0</v>
      </c>
      <c r="AS34" s="57">
        <f>IF(ISNA(SUMIFS(INDEX(Inputs!$B$2:$AZ$190,,MATCH(SUBSTITUTE(AS$3,"Q","T"),Inputs!$B$2:$AZ$2,0)),Inputs!$B$2:$B$190,$B34)*Inputs!$D$1),"",SUMIFS(INDEX(Inputs!$B$2:$AZ$190,,MATCH(SUBSTITUTE(AS$3,"Q","T"),Inputs!$B$2:$AZ$2,0)),Inputs!$B$2:$B$190,$B34)*Inputs!$D$1)</f>
        <v>0</v>
      </c>
      <c r="AT34" s="57">
        <f>IF(ISNA(SUMIFS(INDEX(Inputs!$B$2:$AZ$190,,MATCH(SUBSTITUTE(AT$3,"Q","T"),Inputs!$B$2:$AZ$2,0)),Inputs!$B$2:$B$190,$B34)*Inputs!$D$1),"",SUMIFS(INDEX(Inputs!$B$2:$AZ$190,,MATCH(SUBSTITUTE(AT$3,"Q","T"),Inputs!$B$2:$AZ$2,0)),Inputs!$B$2:$B$190,$B34)*Inputs!$D$1)</f>
        <v>0</v>
      </c>
      <c r="AU34" s="57">
        <f>IF(ISNA(SUMIFS(INDEX(Inputs!$B$2:$AZ$190,,MATCH(SUBSTITUTE(AU$3,"Q","T"),Inputs!$B$2:$AZ$2,0)),Inputs!$B$2:$B$190,$B34)*Inputs!$D$1),"",SUMIFS(INDEX(Inputs!$B$2:$AZ$190,,MATCH(SUBSTITUTE(AU$3,"Q","T"),Inputs!$B$2:$AZ$2,0)),Inputs!$B$2:$B$190,$B34)*Inputs!$D$1)</f>
        <v>0</v>
      </c>
      <c r="AV34" s="57">
        <f>IF(ISNA(SUMIFS(INDEX(Inputs!$B$2:$AZ$190,,MATCH(SUBSTITUTE(AV$3,"Q","T"),Inputs!$B$2:$AZ$2,0)),Inputs!$B$2:$B$190,$B34)*Inputs!$D$1),"",SUMIFS(INDEX(Inputs!$B$2:$AZ$190,,MATCH(SUBSTITUTE(AV$3,"Q","T"),Inputs!$B$2:$AZ$2,0)),Inputs!$B$2:$B$190,$B34)*Inputs!$D$1)</f>
        <v>0</v>
      </c>
      <c r="AW34" s="58">
        <f>AV34</f>
        <v>0</v>
      </c>
      <c r="AX34" s="57">
        <f>IF(ISNA(SUMIFS(INDEX(Inputs!$B$2:$AZ$190,,MATCH(SUBSTITUTE(AX$3,"Q","T"),Inputs!$B$2:$AZ$2,0)),Inputs!$B$2:$B$190,$B34)*Inputs!$D$1),"",SUMIFS(INDEX(Inputs!$B$2:$AZ$190,,MATCH(SUBSTITUTE(AX$3,"Q","T"),Inputs!$B$2:$AZ$2,0)),Inputs!$B$2:$B$190,$B34)*Inputs!$D$1)</f>
        <v>0</v>
      </c>
      <c r="AY34" s="57">
        <f>IF(ISNA(SUMIFS(INDEX(Inputs!$B$2:$AZ$190,,MATCH(SUBSTITUTE(AY$3,"Q","T"),Inputs!$B$2:$AZ$2,0)),Inputs!$B$2:$B$190,$B34)*Inputs!$D$1),"",SUMIFS(INDEX(Inputs!$B$2:$AZ$190,,MATCH(SUBSTITUTE(AY$3,"Q","T"),Inputs!$B$2:$AZ$2,0)),Inputs!$B$2:$B$190,$B34)*Inputs!$D$1)</f>
        <v>0</v>
      </c>
      <c r="AZ34" s="57">
        <f>IF(ISNA(SUMIFS(INDEX(Inputs!$B$2:$AZ$190,,MATCH(SUBSTITUTE(AZ$3,"Q","T"),Inputs!$B$2:$AZ$2,0)),Inputs!$B$2:$B$190,$B34)*Inputs!$D$1),"",SUMIFS(INDEX(Inputs!$B$2:$AZ$190,,MATCH(SUBSTITUTE(AZ$3,"Q","T"),Inputs!$B$2:$AZ$2,0)),Inputs!$B$2:$B$190,$B34)*Inputs!$D$1)</f>
        <v>0</v>
      </c>
      <c r="BA34" s="57">
        <f>IF(ISNA(SUMIFS(INDEX(Inputs!$B$2:$AZ$190,,MATCH(SUBSTITUTE(BA$3,"Q","T"),Inputs!$B$2:$AZ$2,0)),Inputs!$B$2:$B$190,$B34)*Inputs!$D$1),"",SUMIFS(INDEX(Inputs!$B$2:$AZ$190,,MATCH(SUBSTITUTE(BA$3,"Q","T"),Inputs!$B$2:$AZ$2,0)),Inputs!$B$2:$B$190,$B34)*Inputs!$D$1)</f>
        <v>0</v>
      </c>
      <c r="BB34" s="58">
        <f>BA34</f>
        <v>0</v>
      </c>
      <c r="BC34" s="57">
        <f>IF(ISNA(SUMIFS(INDEX(Inputs!$B$2:$AZ$190,,MATCH(SUBSTITUTE(BC$3,"Q","T"),Inputs!$B$2:$AZ$2,0)),Inputs!$B$2:$B$190,$B34)*Inputs!$D$1),"",SUMIFS(INDEX(Inputs!$B$2:$AZ$190,,MATCH(SUBSTITUTE(BC$3,"Q","T"),Inputs!$B$2:$AZ$2,0)),Inputs!$B$2:$B$190,$B34)*Inputs!$D$1)</f>
        <v>0</v>
      </c>
      <c r="BD34" s="57">
        <f>IF(ISNA(SUMIFS(INDEX(Inputs!$B$2:$AZ$190,,MATCH(SUBSTITUTE(BD$3,"Q","T"),Inputs!$B$2:$AZ$2,0)),Inputs!$B$2:$B$190,$B34)*Inputs!$D$1),"",SUMIFS(INDEX(Inputs!$B$2:$AZ$190,,MATCH(SUBSTITUTE(BD$3,"Q","T"),Inputs!$B$2:$AZ$2,0)),Inputs!$B$2:$B$190,$B34)*Inputs!$D$1)</f>
        <v>0</v>
      </c>
      <c r="BE34" s="57">
        <f>IF(ISNA(SUMIFS(INDEX(Inputs!$B$2:$AZ$190,,MATCH(SUBSTITUTE(BE$3,"Q","T"),Inputs!$B$2:$AZ$2,0)),Inputs!$B$2:$B$190,$B34)*Inputs!$D$1),"",SUMIFS(INDEX(Inputs!$B$2:$AZ$190,,MATCH(SUBSTITUTE(BE$3,"Q","T"),Inputs!$B$2:$AZ$2,0)),Inputs!$B$2:$B$190,$B34)*Inputs!$D$1)</f>
        <v>0</v>
      </c>
      <c r="BF34" s="57">
        <f>IF(ISNA(SUMIFS(INDEX(Inputs!$B$2:$AZ$190,,MATCH(SUBSTITUTE(BF$3,"Q","T"),Inputs!$B$2:$AZ$2,0)),Inputs!$B$2:$B$190,$B34)*Inputs!$D$1),"",SUMIFS(INDEX(Inputs!$B$2:$AZ$190,,MATCH(SUBSTITUTE(BF$3,"Q","T"),Inputs!$B$2:$AZ$2,0)),Inputs!$B$2:$B$190,$B34)*Inputs!$D$1)</f>
        <v>0</v>
      </c>
      <c r="BG34" s="58">
        <f>BF34</f>
        <v>0</v>
      </c>
    </row>
    <row r="35" hidden="1" outlineLevel="1">
      <c r="B35" s="56" t="inlineStr">
        <is>
          <t>dep_x1</t>
        </is>
      </c>
      <c r="C35" s="61" t="inlineStr">
        <is>
          <t>Depósitos — abertura adicional (quando a fonte separa)</t>
        </is>
      </c>
      <c r="D35" s="62" t="inlineStr">
        <is>
          <t>Deposits — additional split</t>
        </is>
      </c>
      <c r="E35" s="57">
        <f>IF(ISNA(SUMIFS(INDEX(Inputs!$B$2:$AZ$190,,MATCH(SUBSTITUTE(E$3,"Q","T"),Inputs!$B$2:$AZ$2,0)),Inputs!$B$2:$B$190,$B35)*Inputs!$D$1),"",SUMIFS(INDEX(Inputs!$B$2:$AZ$190,,MATCH(SUBSTITUTE(E$3,"Q","T"),Inputs!$B$2:$AZ$2,0)),Inputs!$B$2:$B$190,$B35)*Inputs!$D$1)</f>
        <v>0</v>
      </c>
      <c r="F35" s="57">
        <f>IF(ISNA(SUMIFS(INDEX(Inputs!$B$2:$AZ$190,,MATCH(SUBSTITUTE(F$3,"Q","T"),Inputs!$B$2:$AZ$2,0)),Inputs!$B$2:$B$190,$B35)*Inputs!$D$1),"",SUMIFS(INDEX(Inputs!$B$2:$AZ$190,,MATCH(SUBSTITUTE(F$3,"Q","T"),Inputs!$B$2:$AZ$2,0)),Inputs!$B$2:$B$190,$B35)*Inputs!$D$1)</f>
        <v>0</v>
      </c>
      <c r="G35" s="57">
        <f>IF(ISNA(SUMIFS(INDEX(Inputs!$B$2:$AZ$190,,MATCH(SUBSTITUTE(G$3,"Q","T"),Inputs!$B$2:$AZ$2,0)),Inputs!$B$2:$B$190,$B35)*Inputs!$D$1),"",SUMIFS(INDEX(Inputs!$B$2:$AZ$190,,MATCH(SUBSTITUTE(G$3,"Q","T"),Inputs!$B$2:$AZ$2,0)),Inputs!$B$2:$B$190,$B35)*Inputs!$D$1)</f>
        <v>0</v>
      </c>
      <c r="H35" s="57">
        <f>IF(ISNA(SUMIFS(INDEX(Inputs!$B$2:$AZ$190,,MATCH(SUBSTITUTE(H$3,"Q","T"),Inputs!$B$2:$AZ$2,0)),Inputs!$B$2:$B$190,$B35)*Inputs!$D$1),"",SUMIFS(INDEX(Inputs!$B$2:$AZ$190,,MATCH(SUBSTITUTE(H$3,"Q","T"),Inputs!$B$2:$AZ$2,0)),Inputs!$B$2:$B$190,$B35)*Inputs!$D$1)</f>
        <v>0</v>
      </c>
      <c r="I35" s="58">
        <f>H35</f>
        <v>0</v>
      </c>
      <c r="J35" s="57">
        <f>IF(ISNA(SUMIFS(INDEX(Inputs!$B$2:$AZ$190,,MATCH(SUBSTITUTE(J$3,"Q","T"),Inputs!$B$2:$AZ$2,0)),Inputs!$B$2:$B$190,$B35)*Inputs!$D$1),"",SUMIFS(INDEX(Inputs!$B$2:$AZ$190,,MATCH(SUBSTITUTE(J$3,"Q","T"),Inputs!$B$2:$AZ$2,0)),Inputs!$B$2:$B$190,$B35)*Inputs!$D$1)</f>
        <v>0</v>
      </c>
      <c r="K35" s="57">
        <f>IF(ISNA(SUMIFS(INDEX(Inputs!$B$2:$AZ$190,,MATCH(SUBSTITUTE(K$3,"Q","T"),Inputs!$B$2:$AZ$2,0)),Inputs!$B$2:$B$190,$B35)*Inputs!$D$1),"",SUMIFS(INDEX(Inputs!$B$2:$AZ$190,,MATCH(SUBSTITUTE(K$3,"Q","T"),Inputs!$B$2:$AZ$2,0)),Inputs!$B$2:$B$190,$B35)*Inputs!$D$1)</f>
        <v>0</v>
      </c>
      <c r="L35" s="57">
        <f>IF(ISNA(SUMIFS(INDEX(Inputs!$B$2:$AZ$190,,MATCH(SUBSTITUTE(L$3,"Q","T"),Inputs!$B$2:$AZ$2,0)),Inputs!$B$2:$B$190,$B35)*Inputs!$D$1),"",SUMIFS(INDEX(Inputs!$B$2:$AZ$190,,MATCH(SUBSTITUTE(L$3,"Q","T"),Inputs!$B$2:$AZ$2,0)),Inputs!$B$2:$B$190,$B35)*Inputs!$D$1)</f>
        <v>0</v>
      </c>
      <c r="M35" s="57">
        <f>IF(ISNA(SUMIFS(INDEX(Inputs!$B$2:$AZ$190,,MATCH(SUBSTITUTE(M$3,"Q","T"),Inputs!$B$2:$AZ$2,0)),Inputs!$B$2:$B$190,$B35)*Inputs!$D$1),"",SUMIFS(INDEX(Inputs!$B$2:$AZ$190,,MATCH(SUBSTITUTE(M$3,"Q","T"),Inputs!$B$2:$AZ$2,0)),Inputs!$B$2:$B$190,$B35)*Inputs!$D$1)</f>
        <v>0</v>
      </c>
      <c r="N35" s="58">
        <f>M35</f>
        <v>0</v>
      </c>
      <c r="O35" s="57">
        <f>IF(ISNA(SUMIFS(INDEX(Inputs!$B$2:$AZ$190,,MATCH(SUBSTITUTE(O$3,"Q","T"),Inputs!$B$2:$AZ$2,0)),Inputs!$B$2:$B$190,$B35)*Inputs!$D$1),"",SUMIFS(INDEX(Inputs!$B$2:$AZ$190,,MATCH(SUBSTITUTE(O$3,"Q","T"),Inputs!$B$2:$AZ$2,0)),Inputs!$B$2:$B$190,$B35)*Inputs!$D$1)</f>
        <v>0</v>
      </c>
      <c r="P35" s="57">
        <f>IF(ISNA(SUMIFS(INDEX(Inputs!$B$2:$AZ$190,,MATCH(SUBSTITUTE(P$3,"Q","T"),Inputs!$B$2:$AZ$2,0)),Inputs!$B$2:$B$190,$B35)*Inputs!$D$1),"",SUMIFS(INDEX(Inputs!$B$2:$AZ$190,,MATCH(SUBSTITUTE(P$3,"Q","T"),Inputs!$B$2:$AZ$2,0)),Inputs!$B$2:$B$190,$B35)*Inputs!$D$1)</f>
        <v>0</v>
      </c>
      <c r="Q35" s="57">
        <f>IF(ISNA(SUMIFS(INDEX(Inputs!$B$2:$AZ$190,,MATCH(SUBSTITUTE(Q$3,"Q","T"),Inputs!$B$2:$AZ$2,0)),Inputs!$B$2:$B$190,$B35)*Inputs!$D$1),"",SUMIFS(INDEX(Inputs!$B$2:$AZ$190,,MATCH(SUBSTITUTE(Q$3,"Q","T"),Inputs!$B$2:$AZ$2,0)),Inputs!$B$2:$B$190,$B35)*Inputs!$D$1)</f>
        <v>0</v>
      </c>
      <c r="R35" s="57">
        <f>IF(ISNA(SUMIFS(INDEX(Inputs!$B$2:$AZ$190,,MATCH(SUBSTITUTE(R$3,"Q","T"),Inputs!$B$2:$AZ$2,0)),Inputs!$B$2:$B$190,$B35)*Inputs!$D$1),"",SUMIFS(INDEX(Inputs!$B$2:$AZ$190,,MATCH(SUBSTITUTE(R$3,"Q","T"),Inputs!$B$2:$AZ$2,0)),Inputs!$B$2:$B$190,$B35)*Inputs!$D$1)</f>
        <v>0</v>
      </c>
      <c r="S35" s="58">
        <f>R35</f>
        <v>0</v>
      </c>
      <c r="T35" s="57">
        <f>IF(ISNA(SUMIFS(INDEX(Inputs!$B$2:$AZ$190,,MATCH(SUBSTITUTE(T$3,"Q","T"),Inputs!$B$2:$AZ$2,0)),Inputs!$B$2:$B$190,$B35)*Inputs!$D$1),"",SUMIFS(INDEX(Inputs!$B$2:$AZ$190,,MATCH(SUBSTITUTE(T$3,"Q","T"),Inputs!$B$2:$AZ$2,0)),Inputs!$B$2:$B$190,$B35)*Inputs!$D$1)</f>
        <v>0</v>
      </c>
      <c r="U35" s="57">
        <f>IF(ISNA(SUMIFS(INDEX(Inputs!$B$2:$AZ$190,,MATCH(SUBSTITUTE(U$3,"Q","T"),Inputs!$B$2:$AZ$2,0)),Inputs!$B$2:$B$190,$B35)*Inputs!$D$1),"",SUMIFS(INDEX(Inputs!$B$2:$AZ$190,,MATCH(SUBSTITUTE(U$3,"Q","T"),Inputs!$B$2:$AZ$2,0)),Inputs!$B$2:$B$190,$B35)*Inputs!$D$1)</f>
        <v>0</v>
      </c>
      <c r="V35" s="57">
        <f>IF(ISNA(SUMIFS(INDEX(Inputs!$B$2:$AZ$190,,MATCH(SUBSTITUTE(V$3,"Q","T"),Inputs!$B$2:$AZ$2,0)),Inputs!$B$2:$B$190,$B35)*Inputs!$D$1),"",SUMIFS(INDEX(Inputs!$B$2:$AZ$190,,MATCH(SUBSTITUTE(V$3,"Q","T"),Inputs!$B$2:$AZ$2,0)),Inputs!$B$2:$B$190,$B35)*Inputs!$D$1)</f>
        <v>0</v>
      </c>
      <c r="W35" s="57">
        <f>IF(ISNA(SUMIFS(INDEX(Inputs!$B$2:$AZ$190,,MATCH(SUBSTITUTE(W$3,"Q","T"),Inputs!$B$2:$AZ$2,0)),Inputs!$B$2:$B$190,$B35)*Inputs!$D$1),"",SUMIFS(INDEX(Inputs!$B$2:$AZ$190,,MATCH(SUBSTITUTE(W$3,"Q","T"),Inputs!$B$2:$AZ$2,0)),Inputs!$B$2:$B$190,$B35)*Inputs!$D$1)</f>
        <v>0</v>
      </c>
      <c r="X35" s="58">
        <f>W35</f>
        <v>0</v>
      </c>
      <c r="Y35" s="57">
        <f>IF(ISNA(SUMIFS(INDEX(Inputs!$B$2:$AZ$190,,MATCH(SUBSTITUTE(Y$3,"Q","T"),Inputs!$B$2:$AZ$2,0)),Inputs!$B$2:$B$190,$B35)*Inputs!$D$1),"",SUMIFS(INDEX(Inputs!$B$2:$AZ$190,,MATCH(SUBSTITUTE(Y$3,"Q","T"),Inputs!$B$2:$AZ$2,0)),Inputs!$B$2:$B$190,$B35)*Inputs!$D$1)</f>
        <v>0</v>
      </c>
      <c r="Z35" s="57">
        <f>IF(ISNA(SUMIFS(INDEX(Inputs!$B$2:$AZ$190,,MATCH(SUBSTITUTE(Z$3,"Q","T"),Inputs!$B$2:$AZ$2,0)),Inputs!$B$2:$B$190,$B35)*Inputs!$D$1),"",SUMIFS(INDEX(Inputs!$B$2:$AZ$190,,MATCH(SUBSTITUTE(Z$3,"Q","T"),Inputs!$B$2:$AZ$2,0)),Inputs!$B$2:$B$190,$B35)*Inputs!$D$1)</f>
        <v>0</v>
      </c>
      <c r="AA35" s="57">
        <f>IF(ISNA(SUMIFS(INDEX(Inputs!$B$2:$AZ$190,,MATCH(SUBSTITUTE(AA$3,"Q","T"),Inputs!$B$2:$AZ$2,0)),Inputs!$B$2:$B$190,$B35)*Inputs!$D$1),"",SUMIFS(INDEX(Inputs!$B$2:$AZ$190,,MATCH(SUBSTITUTE(AA$3,"Q","T"),Inputs!$B$2:$AZ$2,0)),Inputs!$B$2:$B$190,$B35)*Inputs!$D$1)</f>
        <v>0</v>
      </c>
      <c r="AB35" s="57">
        <f>IF(ISNA(SUMIFS(INDEX(Inputs!$B$2:$AZ$190,,MATCH(SUBSTITUTE(AB$3,"Q","T"),Inputs!$B$2:$AZ$2,0)),Inputs!$B$2:$B$190,$B35)*Inputs!$D$1),"",SUMIFS(INDEX(Inputs!$B$2:$AZ$190,,MATCH(SUBSTITUTE(AB$3,"Q","T"),Inputs!$B$2:$AZ$2,0)),Inputs!$B$2:$B$190,$B35)*Inputs!$D$1)</f>
        <v>0</v>
      </c>
      <c r="AC35" s="58">
        <f>AB35</f>
        <v>0</v>
      </c>
      <c r="AD35" s="57">
        <f>IF(ISNA(SUMIFS(INDEX(Inputs!$B$2:$AZ$190,,MATCH(SUBSTITUTE(AD$3,"Q","T"),Inputs!$B$2:$AZ$2,0)),Inputs!$B$2:$B$190,$B35)*Inputs!$D$1),"",SUMIFS(INDEX(Inputs!$B$2:$AZ$190,,MATCH(SUBSTITUTE(AD$3,"Q","T"),Inputs!$B$2:$AZ$2,0)),Inputs!$B$2:$B$190,$B35)*Inputs!$D$1)</f>
        <v>0</v>
      </c>
      <c r="AE35" s="57">
        <f>IF(ISNA(SUMIFS(INDEX(Inputs!$B$2:$AZ$190,,MATCH(SUBSTITUTE(AE$3,"Q","T"),Inputs!$B$2:$AZ$2,0)),Inputs!$B$2:$B$190,$B35)*Inputs!$D$1),"",SUMIFS(INDEX(Inputs!$B$2:$AZ$190,,MATCH(SUBSTITUTE(AE$3,"Q","T"),Inputs!$B$2:$AZ$2,0)),Inputs!$B$2:$B$190,$B35)*Inputs!$D$1)</f>
        <v>0</v>
      </c>
      <c r="AF35" s="57">
        <f>IF(ISNA(SUMIFS(INDEX(Inputs!$B$2:$AZ$190,,MATCH(SUBSTITUTE(AF$3,"Q","T"),Inputs!$B$2:$AZ$2,0)),Inputs!$B$2:$B$190,$B35)*Inputs!$D$1),"",SUMIFS(INDEX(Inputs!$B$2:$AZ$190,,MATCH(SUBSTITUTE(AF$3,"Q","T"),Inputs!$B$2:$AZ$2,0)),Inputs!$B$2:$B$190,$B35)*Inputs!$D$1)</f>
        <v>0</v>
      </c>
      <c r="AG35" s="57">
        <f>IF(ISNA(SUMIFS(INDEX(Inputs!$B$2:$AZ$190,,MATCH(SUBSTITUTE(AG$3,"Q","T"),Inputs!$B$2:$AZ$2,0)),Inputs!$B$2:$B$190,$B35)*Inputs!$D$1),"",SUMIFS(INDEX(Inputs!$B$2:$AZ$190,,MATCH(SUBSTITUTE(AG$3,"Q","T"),Inputs!$B$2:$AZ$2,0)),Inputs!$B$2:$B$190,$B35)*Inputs!$D$1)</f>
        <v>0</v>
      </c>
      <c r="AH35" s="58">
        <f>AG35</f>
        <v>0</v>
      </c>
      <c r="AI35" s="57">
        <f>IF(ISNA(SUMIFS(INDEX(Inputs!$B$2:$AZ$190,,MATCH(SUBSTITUTE(AI$3,"Q","T"),Inputs!$B$2:$AZ$2,0)),Inputs!$B$2:$B$190,$B35)*Inputs!$D$1),"",SUMIFS(INDEX(Inputs!$B$2:$AZ$190,,MATCH(SUBSTITUTE(AI$3,"Q","T"),Inputs!$B$2:$AZ$2,0)),Inputs!$B$2:$B$190,$B35)*Inputs!$D$1)</f>
        <v>0</v>
      </c>
      <c r="AJ35" s="57">
        <f>IF(ISNA(SUMIFS(INDEX(Inputs!$B$2:$AZ$190,,MATCH(SUBSTITUTE(AJ$3,"Q","T"),Inputs!$B$2:$AZ$2,0)),Inputs!$B$2:$B$190,$B35)*Inputs!$D$1),"",SUMIFS(INDEX(Inputs!$B$2:$AZ$190,,MATCH(SUBSTITUTE(AJ$3,"Q","T"),Inputs!$B$2:$AZ$2,0)),Inputs!$B$2:$B$190,$B35)*Inputs!$D$1)</f>
        <v>0</v>
      </c>
      <c r="AK35" s="57">
        <f>IF(ISNA(SUMIFS(INDEX(Inputs!$B$2:$AZ$190,,MATCH(SUBSTITUTE(AK$3,"Q","T"),Inputs!$B$2:$AZ$2,0)),Inputs!$B$2:$B$190,$B35)*Inputs!$D$1),"",SUMIFS(INDEX(Inputs!$B$2:$AZ$190,,MATCH(SUBSTITUTE(AK$3,"Q","T"),Inputs!$B$2:$AZ$2,0)),Inputs!$B$2:$B$190,$B35)*Inputs!$D$1)</f>
        <v>0</v>
      </c>
      <c r="AL35" s="57">
        <f>IF(ISNA(SUMIFS(INDEX(Inputs!$B$2:$AZ$190,,MATCH(SUBSTITUTE(AL$3,"Q","T"),Inputs!$B$2:$AZ$2,0)),Inputs!$B$2:$B$190,$B35)*Inputs!$D$1),"",SUMIFS(INDEX(Inputs!$B$2:$AZ$190,,MATCH(SUBSTITUTE(AL$3,"Q","T"),Inputs!$B$2:$AZ$2,0)),Inputs!$B$2:$B$190,$B35)*Inputs!$D$1)</f>
        <v>0</v>
      </c>
      <c r="AM35" s="58">
        <f>AL35</f>
        <v>0</v>
      </c>
      <c r="AN35" s="57">
        <f>IF(ISNA(SUMIFS(INDEX(Inputs!$B$2:$AZ$190,,MATCH(SUBSTITUTE(AN$3,"Q","T"),Inputs!$B$2:$AZ$2,0)),Inputs!$B$2:$B$190,$B35)*Inputs!$D$1),"",SUMIFS(INDEX(Inputs!$B$2:$AZ$190,,MATCH(SUBSTITUTE(AN$3,"Q","T"),Inputs!$B$2:$AZ$2,0)),Inputs!$B$2:$B$190,$B35)*Inputs!$D$1)</f>
        <v>0</v>
      </c>
      <c r="AO35" s="57">
        <f>IF(ISNA(SUMIFS(INDEX(Inputs!$B$2:$AZ$190,,MATCH(SUBSTITUTE(AO$3,"Q","T"),Inputs!$B$2:$AZ$2,0)),Inputs!$B$2:$B$190,$B35)*Inputs!$D$1),"",SUMIFS(INDEX(Inputs!$B$2:$AZ$190,,MATCH(SUBSTITUTE(AO$3,"Q","T"),Inputs!$B$2:$AZ$2,0)),Inputs!$B$2:$B$190,$B35)*Inputs!$D$1)</f>
        <v>0</v>
      </c>
      <c r="AP35" s="57">
        <f>IF(ISNA(SUMIFS(INDEX(Inputs!$B$2:$AZ$190,,MATCH(SUBSTITUTE(AP$3,"Q","T"),Inputs!$B$2:$AZ$2,0)),Inputs!$B$2:$B$190,$B35)*Inputs!$D$1),"",SUMIFS(INDEX(Inputs!$B$2:$AZ$190,,MATCH(SUBSTITUTE(AP$3,"Q","T"),Inputs!$B$2:$AZ$2,0)),Inputs!$B$2:$B$190,$B35)*Inputs!$D$1)</f>
        <v>0</v>
      </c>
      <c r="AQ35" s="57">
        <f>IF(ISNA(SUMIFS(INDEX(Inputs!$B$2:$AZ$190,,MATCH(SUBSTITUTE(AQ$3,"Q","T"),Inputs!$B$2:$AZ$2,0)),Inputs!$B$2:$B$190,$B35)*Inputs!$D$1),"",SUMIFS(INDEX(Inputs!$B$2:$AZ$190,,MATCH(SUBSTITUTE(AQ$3,"Q","T"),Inputs!$B$2:$AZ$2,0)),Inputs!$B$2:$B$190,$B35)*Inputs!$D$1)</f>
        <v>0</v>
      </c>
      <c r="AR35" s="58">
        <f>AQ35</f>
        <v>0</v>
      </c>
      <c r="AS35" s="57">
        <f>IF(ISNA(SUMIFS(INDEX(Inputs!$B$2:$AZ$190,,MATCH(SUBSTITUTE(AS$3,"Q","T"),Inputs!$B$2:$AZ$2,0)),Inputs!$B$2:$B$190,$B35)*Inputs!$D$1),"",SUMIFS(INDEX(Inputs!$B$2:$AZ$190,,MATCH(SUBSTITUTE(AS$3,"Q","T"),Inputs!$B$2:$AZ$2,0)),Inputs!$B$2:$B$190,$B35)*Inputs!$D$1)</f>
        <v>0</v>
      </c>
      <c r="AT35" s="57">
        <f>IF(ISNA(SUMIFS(INDEX(Inputs!$B$2:$AZ$190,,MATCH(SUBSTITUTE(AT$3,"Q","T"),Inputs!$B$2:$AZ$2,0)),Inputs!$B$2:$B$190,$B35)*Inputs!$D$1),"",SUMIFS(INDEX(Inputs!$B$2:$AZ$190,,MATCH(SUBSTITUTE(AT$3,"Q","T"),Inputs!$B$2:$AZ$2,0)),Inputs!$B$2:$B$190,$B35)*Inputs!$D$1)</f>
        <v>0</v>
      </c>
      <c r="AU35" s="57">
        <f>IF(ISNA(SUMIFS(INDEX(Inputs!$B$2:$AZ$190,,MATCH(SUBSTITUTE(AU$3,"Q","T"),Inputs!$B$2:$AZ$2,0)),Inputs!$B$2:$B$190,$B35)*Inputs!$D$1),"",SUMIFS(INDEX(Inputs!$B$2:$AZ$190,,MATCH(SUBSTITUTE(AU$3,"Q","T"),Inputs!$B$2:$AZ$2,0)),Inputs!$B$2:$B$190,$B35)*Inputs!$D$1)</f>
        <v>0</v>
      </c>
      <c r="AV35" s="57">
        <f>IF(ISNA(SUMIFS(INDEX(Inputs!$B$2:$AZ$190,,MATCH(SUBSTITUTE(AV$3,"Q","T"),Inputs!$B$2:$AZ$2,0)),Inputs!$B$2:$B$190,$B35)*Inputs!$D$1),"",SUMIFS(INDEX(Inputs!$B$2:$AZ$190,,MATCH(SUBSTITUTE(AV$3,"Q","T"),Inputs!$B$2:$AZ$2,0)),Inputs!$B$2:$B$190,$B35)*Inputs!$D$1)</f>
        <v>0</v>
      </c>
      <c r="AW35" s="58">
        <f>AV35</f>
        <v>0</v>
      </c>
      <c r="AX35" s="57">
        <f>IF(ISNA(SUMIFS(INDEX(Inputs!$B$2:$AZ$190,,MATCH(SUBSTITUTE(AX$3,"Q","T"),Inputs!$B$2:$AZ$2,0)),Inputs!$B$2:$B$190,$B35)*Inputs!$D$1),"",SUMIFS(INDEX(Inputs!$B$2:$AZ$190,,MATCH(SUBSTITUTE(AX$3,"Q","T"),Inputs!$B$2:$AZ$2,0)),Inputs!$B$2:$B$190,$B35)*Inputs!$D$1)</f>
        <v>0</v>
      </c>
      <c r="AY35" s="57">
        <f>IF(ISNA(SUMIFS(INDEX(Inputs!$B$2:$AZ$190,,MATCH(SUBSTITUTE(AY$3,"Q","T"),Inputs!$B$2:$AZ$2,0)),Inputs!$B$2:$B$190,$B35)*Inputs!$D$1),"",SUMIFS(INDEX(Inputs!$B$2:$AZ$190,,MATCH(SUBSTITUTE(AY$3,"Q","T"),Inputs!$B$2:$AZ$2,0)),Inputs!$B$2:$B$190,$B35)*Inputs!$D$1)</f>
        <v>0</v>
      </c>
      <c r="AZ35" s="57">
        <f>IF(ISNA(SUMIFS(INDEX(Inputs!$B$2:$AZ$190,,MATCH(SUBSTITUTE(AZ$3,"Q","T"),Inputs!$B$2:$AZ$2,0)),Inputs!$B$2:$B$190,$B35)*Inputs!$D$1),"",SUMIFS(INDEX(Inputs!$B$2:$AZ$190,,MATCH(SUBSTITUTE(AZ$3,"Q","T"),Inputs!$B$2:$AZ$2,0)),Inputs!$B$2:$B$190,$B35)*Inputs!$D$1)</f>
        <v>0</v>
      </c>
      <c r="BA35" s="57">
        <f>IF(ISNA(SUMIFS(INDEX(Inputs!$B$2:$AZ$190,,MATCH(SUBSTITUTE(BA$3,"Q","T"),Inputs!$B$2:$AZ$2,0)),Inputs!$B$2:$B$190,$B35)*Inputs!$D$1),"",SUMIFS(INDEX(Inputs!$B$2:$AZ$190,,MATCH(SUBSTITUTE(BA$3,"Q","T"),Inputs!$B$2:$AZ$2,0)),Inputs!$B$2:$B$190,$B35)*Inputs!$D$1)</f>
        <v>0</v>
      </c>
      <c r="BB35" s="58">
        <f>BA35</f>
        <v>0</v>
      </c>
      <c r="BC35" s="57">
        <f>IF(ISNA(SUMIFS(INDEX(Inputs!$B$2:$AZ$190,,MATCH(SUBSTITUTE(BC$3,"Q","T"),Inputs!$B$2:$AZ$2,0)),Inputs!$B$2:$B$190,$B35)*Inputs!$D$1),"",SUMIFS(INDEX(Inputs!$B$2:$AZ$190,,MATCH(SUBSTITUTE(BC$3,"Q","T"),Inputs!$B$2:$AZ$2,0)),Inputs!$B$2:$B$190,$B35)*Inputs!$D$1)</f>
        <v>0</v>
      </c>
      <c r="BD35" s="57">
        <f>IF(ISNA(SUMIFS(INDEX(Inputs!$B$2:$AZ$190,,MATCH(SUBSTITUTE(BD$3,"Q","T"),Inputs!$B$2:$AZ$2,0)),Inputs!$B$2:$B$190,$B35)*Inputs!$D$1),"",SUMIFS(INDEX(Inputs!$B$2:$AZ$190,,MATCH(SUBSTITUTE(BD$3,"Q","T"),Inputs!$B$2:$AZ$2,0)),Inputs!$B$2:$B$190,$B35)*Inputs!$D$1)</f>
        <v>0</v>
      </c>
      <c r="BE35" s="57">
        <f>IF(ISNA(SUMIFS(INDEX(Inputs!$B$2:$AZ$190,,MATCH(SUBSTITUTE(BE$3,"Q","T"),Inputs!$B$2:$AZ$2,0)),Inputs!$B$2:$B$190,$B35)*Inputs!$D$1),"",SUMIFS(INDEX(Inputs!$B$2:$AZ$190,,MATCH(SUBSTITUTE(BE$3,"Q","T"),Inputs!$B$2:$AZ$2,0)),Inputs!$B$2:$B$190,$B35)*Inputs!$D$1)</f>
        <v>0</v>
      </c>
      <c r="BF35" s="57">
        <f>IF(ISNA(SUMIFS(INDEX(Inputs!$B$2:$AZ$190,,MATCH(SUBSTITUTE(BF$3,"Q","T"),Inputs!$B$2:$AZ$2,0)),Inputs!$B$2:$B$190,$B35)*Inputs!$D$1),"",SUMIFS(INDEX(Inputs!$B$2:$AZ$190,,MATCH(SUBSTITUTE(BF$3,"Q","T"),Inputs!$B$2:$AZ$2,0)),Inputs!$B$2:$B$190,$B35)*Inputs!$D$1)</f>
        <v>0</v>
      </c>
      <c r="BG35" s="58">
        <f>BF35</f>
        <v>0</v>
      </c>
    </row>
    <row r="36" hidden="1" outlineLevel="1">
      <c r="B36" s="56" t="inlineStr">
        <is>
          <t>dep_time</t>
        </is>
      </c>
      <c r="C36" s="61" t="inlineStr">
        <is>
          <t>Depósitos a prazo (time deposits, quando à parte)</t>
        </is>
      </c>
      <c r="D36" s="62" t="inlineStr">
        <is>
          <t>Time deposits, if separate</t>
        </is>
      </c>
      <c r="E36" s="57">
        <f>IF(ISNA(SUMIFS(INDEX(Inputs!$B$2:$AZ$190,,MATCH(SUBSTITUTE(E$3,"Q","T"),Inputs!$B$2:$AZ$2,0)),Inputs!$B$2:$B$190,$B36)*Inputs!$D$1),"",SUMIFS(INDEX(Inputs!$B$2:$AZ$190,,MATCH(SUBSTITUTE(E$3,"Q","T"),Inputs!$B$2:$AZ$2,0)),Inputs!$B$2:$B$190,$B36)*Inputs!$D$1)</f>
        <v>0</v>
      </c>
      <c r="F36" s="57">
        <f>IF(ISNA(SUMIFS(INDEX(Inputs!$B$2:$AZ$190,,MATCH(SUBSTITUTE(F$3,"Q","T"),Inputs!$B$2:$AZ$2,0)),Inputs!$B$2:$B$190,$B36)*Inputs!$D$1),"",SUMIFS(INDEX(Inputs!$B$2:$AZ$190,,MATCH(SUBSTITUTE(F$3,"Q","T"),Inputs!$B$2:$AZ$2,0)),Inputs!$B$2:$B$190,$B36)*Inputs!$D$1)</f>
        <v>0</v>
      </c>
      <c r="G36" s="57">
        <f>IF(ISNA(SUMIFS(INDEX(Inputs!$B$2:$AZ$190,,MATCH(SUBSTITUTE(G$3,"Q","T"),Inputs!$B$2:$AZ$2,0)),Inputs!$B$2:$B$190,$B36)*Inputs!$D$1),"",SUMIFS(INDEX(Inputs!$B$2:$AZ$190,,MATCH(SUBSTITUTE(G$3,"Q","T"),Inputs!$B$2:$AZ$2,0)),Inputs!$B$2:$B$190,$B36)*Inputs!$D$1)</f>
        <v>0</v>
      </c>
      <c r="H36" s="57">
        <f>IF(ISNA(SUMIFS(INDEX(Inputs!$B$2:$AZ$190,,MATCH(SUBSTITUTE(H$3,"Q","T"),Inputs!$B$2:$AZ$2,0)),Inputs!$B$2:$B$190,$B36)*Inputs!$D$1),"",SUMIFS(INDEX(Inputs!$B$2:$AZ$190,,MATCH(SUBSTITUTE(H$3,"Q","T"),Inputs!$B$2:$AZ$2,0)),Inputs!$B$2:$B$190,$B36)*Inputs!$D$1)</f>
        <v>0</v>
      </c>
      <c r="I36" s="58">
        <f>H36</f>
        <v>0</v>
      </c>
      <c r="J36" s="57">
        <f>IF(ISNA(SUMIFS(INDEX(Inputs!$B$2:$AZ$190,,MATCH(SUBSTITUTE(J$3,"Q","T"),Inputs!$B$2:$AZ$2,0)),Inputs!$B$2:$B$190,$B36)*Inputs!$D$1),"",SUMIFS(INDEX(Inputs!$B$2:$AZ$190,,MATCH(SUBSTITUTE(J$3,"Q","T"),Inputs!$B$2:$AZ$2,0)),Inputs!$B$2:$B$190,$B36)*Inputs!$D$1)</f>
        <v>0</v>
      </c>
      <c r="K36" s="57">
        <f>IF(ISNA(SUMIFS(INDEX(Inputs!$B$2:$AZ$190,,MATCH(SUBSTITUTE(K$3,"Q","T"),Inputs!$B$2:$AZ$2,0)),Inputs!$B$2:$B$190,$B36)*Inputs!$D$1),"",SUMIFS(INDEX(Inputs!$B$2:$AZ$190,,MATCH(SUBSTITUTE(K$3,"Q","T"),Inputs!$B$2:$AZ$2,0)),Inputs!$B$2:$B$190,$B36)*Inputs!$D$1)</f>
        <v>0</v>
      </c>
      <c r="L36" s="57">
        <f>IF(ISNA(SUMIFS(INDEX(Inputs!$B$2:$AZ$190,,MATCH(SUBSTITUTE(L$3,"Q","T"),Inputs!$B$2:$AZ$2,0)),Inputs!$B$2:$B$190,$B36)*Inputs!$D$1),"",SUMIFS(INDEX(Inputs!$B$2:$AZ$190,,MATCH(SUBSTITUTE(L$3,"Q","T"),Inputs!$B$2:$AZ$2,0)),Inputs!$B$2:$B$190,$B36)*Inputs!$D$1)</f>
        <v>0</v>
      </c>
      <c r="M36" s="57">
        <f>IF(ISNA(SUMIFS(INDEX(Inputs!$B$2:$AZ$190,,MATCH(SUBSTITUTE(M$3,"Q","T"),Inputs!$B$2:$AZ$2,0)),Inputs!$B$2:$B$190,$B36)*Inputs!$D$1),"",SUMIFS(INDEX(Inputs!$B$2:$AZ$190,,MATCH(SUBSTITUTE(M$3,"Q","T"),Inputs!$B$2:$AZ$2,0)),Inputs!$B$2:$B$190,$B36)*Inputs!$D$1)</f>
        <v>0</v>
      </c>
      <c r="N36" s="58">
        <f>M36</f>
        <v>0</v>
      </c>
      <c r="O36" s="57">
        <f>IF(ISNA(SUMIFS(INDEX(Inputs!$B$2:$AZ$190,,MATCH(SUBSTITUTE(O$3,"Q","T"),Inputs!$B$2:$AZ$2,0)),Inputs!$B$2:$B$190,$B36)*Inputs!$D$1),"",SUMIFS(INDEX(Inputs!$B$2:$AZ$190,,MATCH(SUBSTITUTE(O$3,"Q","T"),Inputs!$B$2:$AZ$2,0)),Inputs!$B$2:$B$190,$B36)*Inputs!$D$1)</f>
        <v>0</v>
      </c>
      <c r="P36" s="57">
        <f>IF(ISNA(SUMIFS(INDEX(Inputs!$B$2:$AZ$190,,MATCH(SUBSTITUTE(P$3,"Q","T"),Inputs!$B$2:$AZ$2,0)),Inputs!$B$2:$B$190,$B36)*Inputs!$D$1),"",SUMIFS(INDEX(Inputs!$B$2:$AZ$190,,MATCH(SUBSTITUTE(P$3,"Q","T"),Inputs!$B$2:$AZ$2,0)),Inputs!$B$2:$B$190,$B36)*Inputs!$D$1)</f>
        <v>0</v>
      </c>
      <c r="Q36" s="57">
        <f>IF(ISNA(SUMIFS(INDEX(Inputs!$B$2:$AZ$190,,MATCH(SUBSTITUTE(Q$3,"Q","T"),Inputs!$B$2:$AZ$2,0)),Inputs!$B$2:$B$190,$B36)*Inputs!$D$1),"",SUMIFS(INDEX(Inputs!$B$2:$AZ$190,,MATCH(SUBSTITUTE(Q$3,"Q","T"),Inputs!$B$2:$AZ$2,0)),Inputs!$B$2:$B$190,$B36)*Inputs!$D$1)</f>
        <v>0</v>
      </c>
      <c r="R36" s="57">
        <f>IF(ISNA(SUMIFS(INDEX(Inputs!$B$2:$AZ$190,,MATCH(SUBSTITUTE(R$3,"Q","T"),Inputs!$B$2:$AZ$2,0)),Inputs!$B$2:$B$190,$B36)*Inputs!$D$1),"",SUMIFS(INDEX(Inputs!$B$2:$AZ$190,,MATCH(SUBSTITUTE(R$3,"Q","T"),Inputs!$B$2:$AZ$2,0)),Inputs!$B$2:$B$190,$B36)*Inputs!$D$1)</f>
        <v>0</v>
      </c>
      <c r="S36" s="58">
        <f>R36</f>
        <v>0</v>
      </c>
      <c r="T36" s="57">
        <f>IF(ISNA(SUMIFS(INDEX(Inputs!$B$2:$AZ$190,,MATCH(SUBSTITUTE(T$3,"Q","T"),Inputs!$B$2:$AZ$2,0)),Inputs!$B$2:$B$190,$B36)*Inputs!$D$1),"",SUMIFS(INDEX(Inputs!$B$2:$AZ$190,,MATCH(SUBSTITUTE(T$3,"Q","T"),Inputs!$B$2:$AZ$2,0)),Inputs!$B$2:$B$190,$B36)*Inputs!$D$1)</f>
        <v>0</v>
      </c>
      <c r="U36" s="57">
        <f>IF(ISNA(SUMIFS(INDEX(Inputs!$B$2:$AZ$190,,MATCH(SUBSTITUTE(U$3,"Q","T"),Inputs!$B$2:$AZ$2,0)),Inputs!$B$2:$B$190,$B36)*Inputs!$D$1),"",SUMIFS(INDEX(Inputs!$B$2:$AZ$190,,MATCH(SUBSTITUTE(U$3,"Q","T"),Inputs!$B$2:$AZ$2,0)),Inputs!$B$2:$B$190,$B36)*Inputs!$D$1)</f>
        <v>0</v>
      </c>
      <c r="V36" s="57">
        <f>IF(ISNA(SUMIFS(INDEX(Inputs!$B$2:$AZ$190,,MATCH(SUBSTITUTE(V$3,"Q","T"),Inputs!$B$2:$AZ$2,0)),Inputs!$B$2:$B$190,$B36)*Inputs!$D$1),"",SUMIFS(INDEX(Inputs!$B$2:$AZ$190,,MATCH(SUBSTITUTE(V$3,"Q","T"),Inputs!$B$2:$AZ$2,0)),Inputs!$B$2:$B$190,$B36)*Inputs!$D$1)</f>
        <v>0</v>
      </c>
      <c r="W36" s="57">
        <f>IF(ISNA(SUMIFS(INDEX(Inputs!$B$2:$AZ$190,,MATCH(SUBSTITUTE(W$3,"Q","T"),Inputs!$B$2:$AZ$2,0)),Inputs!$B$2:$B$190,$B36)*Inputs!$D$1),"",SUMIFS(INDEX(Inputs!$B$2:$AZ$190,,MATCH(SUBSTITUTE(W$3,"Q","T"),Inputs!$B$2:$AZ$2,0)),Inputs!$B$2:$B$190,$B36)*Inputs!$D$1)</f>
        <v>0</v>
      </c>
      <c r="X36" s="58">
        <f>W36</f>
        <v>0</v>
      </c>
      <c r="Y36" s="57">
        <f>IF(ISNA(SUMIFS(INDEX(Inputs!$B$2:$AZ$190,,MATCH(SUBSTITUTE(Y$3,"Q","T"),Inputs!$B$2:$AZ$2,0)),Inputs!$B$2:$B$190,$B36)*Inputs!$D$1),"",SUMIFS(INDEX(Inputs!$B$2:$AZ$190,,MATCH(SUBSTITUTE(Y$3,"Q","T"),Inputs!$B$2:$AZ$2,0)),Inputs!$B$2:$B$190,$B36)*Inputs!$D$1)</f>
        <v>0</v>
      </c>
      <c r="Z36" s="57">
        <f>IF(ISNA(SUMIFS(INDEX(Inputs!$B$2:$AZ$190,,MATCH(SUBSTITUTE(Z$3,"Q","T"),Inputs!$B$2:$AZ$2,0)),Inputs!$B$2:$B$190,$B36)*Inputs!$D$1),"",SUMIFS(INDEX(Inputs!$B$2:$AZ$190,,MATCH(SUBSTITUTE(Z$3,"Q","T"),Inputs!$B$2:$AZ$2,0)),Inputs!$B$2:$B$190,$B36)*Inputs!$D$1)</f>
        <v>0</v>
      </c>
      <c r="AA36" s="57">
        <f>IF(ISNA(SUMIFS(INDEX(Inputs!$B$2:$AZ$190,,MATCH(SUBSTITUTE(AA$3,"Q","T"),Inputs!$B$2:$AZ$2,0)),Inputs!$B$2:$B$190,$B36)*Inputs!$D$1),"",SUMIFS(INDEX(Inputs!$B$2:$AZ$190,,MATCH(SUBSTITUTE(AA$3,"Q","T"),Inputs!$B$2:$AZ$2,0)),Inputs!$B$2:$B$190,$B36)*Inputs!$D$1)</f>
        <v>0</v>
      </c>
      <c r="AB36" s="57">
        <f>IF(ISNA(SUMIFS(INDEX(Inputs!$B$2:$AZ$190,,MATCH(SUBSTITUTE(AB$3,"Q","T"),Inputs!$B$2:$AZ$2,0)),Inputs!$B$2:$B$190,$B36)*Inputs!$D$1),"",SUMIFS(INDEX(Inputs!$B$2:$AZ$190,,MATCH(SUBSTITUTE(AB$3,"Q","T"),Inputs!$B$2:$AZ$2,0)),Inputs!$B$2:$B$190,$B36)*Inputs!$D$1)</f>
        <v>0</v>
      </c>
      <c r="AC36" s="58">
        <f>AB36</f>
        <v>0</v>
      </c>
      <c r="AD36" s="57">
        <f>IF(ISNA(SUMIFS(INDEX(Inputs!$B$2:$AZ$190,,MATCH(SUBSTITUTE(AD$3,"Q","T"),Inputs!$B$2:$AZ$2,0)),Inputs!$B$2:$B$190,$B36)*Inputs!$D$1),"",SUMIFS(INDEX(Inputs!$B$2:$AZ$190,,MATCH(SUBSTITUTE(AD$3,"Q","T"),Inputs!$B$2:$AZ$2,0)),Inputs!$B$2:$B$190,$B36)*Inputs!$D$1)</f>
        <v>0</v>
      </c>
      <c r="AE36" s="57">
        <f>IF(ISNA(SUMIFS(INDEX(Inputs!$B$2:$AZ$190,,MATCH(SUBSTITUTE(AE$3,"Q","T"),Inputs!$B$2:$AZ$2,0)),Inputs!$B$2:$B$190,$B36)*Inputs!$D$1),"",SUMIFS(INDEX(Inputs!$B$2:$AZ$190,,MATCH(SUBSTITUTE(AE$3,"Q","T"),Inputs!$B$2:$AZ$2,0)),Inputs!$B$2:$B$190,$B36)*Inputs!$D$1)</f>
        <v>0</v>
      </c>
      <c r="AF36" s="57">
        <f>IF(ISNA(SUMIFS(INDEX(Inputs!$B$2:$AZ$190,,MATCH(SUBSTITUTE(AF$3,"Q","T"),Inputs!$B$2:$AZ$2,0)),Inputs!$B$2:$B$190,$B36)*Inputs!$D$1),"",SUMIFS(INDEX(Inputs!$B$2:$AZ$190,,MATCH(SUBSTITUTE(AF$3,"Q","T"),Inputs!$B$2:$AZ$2,0)),Inputs!$B$2:$B$190,$B36)*Inputs!$D$1)</f>
        <v>0</v>
      </c>
      <c r="AG36" s="57">
        <f>IF(ISNA(SUMIFS(INDEX(Inputs!$B$2:$AZ$190,,MATCH(SUBSTITUTE(AG$3,"Q","T"),Inputs!$B$2:$AZ$2,0)),Inputs!$B$2:$B$190,$B36)*Inputs!$D$1),"",SUMIFS(INDEX(Inputs!$B$2:$AZ$190,,MATCH(SUBSTITUTE(AG$3,"Q","T"),Inputs!$B$2:$AZ$2,0)),Inputs!$B$2:$B$190,$B36)*Inputs!$D$1)</f>
        <v>0</v>
      </c>
      <c r="AH36" s="58">
        <f>AG36</f>
        <v>0</v>
      </c>
      <c r="AI36" s="57">
        <f>IF(ISNA(SUMIFS(INDEX(Inputs!$B$2:$AZ$190,,MATCH(SUBSTITUTE(AI$3,"Q","T"),Inputs!$B$2:$AZ$2,0)),Inputs!$B$2:$B$190,$B36)*Inputs!$D$1),"",SUMIFS(INDEX(Inputs!$B$2:$AZ$190,,MATCH(SUBSTITUTE(AI$3,"Q","T"),Inputs!$B$2:$AZ$2,0)),Inputs!$B$2:$B$190,$B36)*Inputs!$D$1)</f>
        <v>0</v>
      </c>
      <c r="AJ36" s="57">
        <f>IF(ISNA(SUMIFS(INDEX(Inputs!$B$2:$AZ$190,,MATCH(SUBSTITUTE(AJ$3,"Q","T"),Inputs!$B$2:$AZ$2,0)),Inputs!$B$2:$B$190,$B36)*Inputs!$D$1),"",SUMIFS(INDEX(Inputs!$B$2:$AZ$190,,MATCH(SUBSTITUTE(AJ$3,"Q","T"),Inputs!$B$2:$AZ$2,0)),Inputs!$B$2:$B$190,$B36)*Inputs!$D$1)</f>
        <v>0</v>
      </c>
      <c r="AK36" s="57">
        <f>IF(ISNA(SUMIFS(INDEX(Inputs!$B$2:$AZ$190,,MATCH(SUBSTITUTE(AK$3,"Q","T"),Inputs!$B$2:$AZ$2,0)),Inputs!$B$2:$B$190,$B36)*Inputs!$D$1),"",SUMIFS(INDEX(Inputs!$B$2:$AZ$190,,MATCH(SUBSTITUTE(AK$3,"Q","T"),Inputs!$B$2:$AZ$2,0)),Inputs!$B$2:$B$190,$B36)*Inputs!$D$1)</f>
        <v>0</v>
      </c>
      <c r="AL36" s="57">
        <f>IF(ISNA(SUMIFS(INDEX(Inputs!$B$2:$AZ$190,,MATCH(SUBSTITUTE(AL$3,"Q","T"),Inputs!$B$2:$AZ$2,0)),Inputs!$B$2:$B$190,$B36)*Inputs!$D$1),"",SUMIFS(INDEX(Inputs!$B$2:$AZ$190,,MATCH(SUBSTITUTE(AL$3,"Q","T"),Inputs!$B$2:$AZ$2,0)),Inputs!$B$2:$B$190,$B36)*Inputs!$D$1)</f>
        <v>0</v>
      </c>
      <c r="AM36" s="58">
        <f>AL36</f>
        <v>0</v>
      </c>
      <c r="AN36" s="57">
        <f>IF(ISNA(SUMIFS(INDEX(Inputs!$B$2:$AZ$190,,MATCH(SUBSTITUTE(AN$3,"Q","T"),Inputs!$B$2:$AZ$2,0)),Inputs!$B$2:$B$190,$B36)*Inputs!$D$1),"",SUMIFS(INDEX(Inputs!$B$2:$AZ$190,,MATCH(SUBSTITUTE(AN$3,"Q","T"),Inputs!$B$2:$AZ$2,0)),Inputs!$B$2:$B$190,$B36)*Inputs!$D$1)</f>
        <v>0</v>
      </c>
      <c r="AO36" s="57">
        <f>IF(ISNA(SUMIFS(INDEX(Inputs!$B$2:$AZ$190,,MATCH(SUBSTITUTE(AO$3,"Q","T"),Inputs!$B$2:$AZ$2,0)),Inputs!$B$2:$B$190,$B36)*Inputs!$D$1),"",SUMIFS(INDEX(Inputs!$B$2:$AZ$190,,MATCH(SUBSTITUTE(AO$3,"Q","T"),Inputs!$B$2:$AZ$2,0)),Inputs!$B$2:$B$190,$B36)*Inputs!$D$1)</f>
        <v>0</v>
      </c>
      <c r="AP36" s="57">
        <f>IF(ISNA(SUMIFS(INDEX(Inputs!$B$2:$AZ$190,,MATCH(SUBSTITUTE(AP$3,"Q","T"),Inputs!$B$2:$AZ$2,0)),Inputs!$B$2:$B$190,$B36)*Inputs!$D$1),"",SUMIFS(INDEX(Inputs!$B$2:$AZ$190,,MATCH(SUBSTITUTE(AP$3,"Q","T"),Inputs!$B$2:$AZ$2,0)),Inputs!$B$2:$B$190,$B36)*Inputs!$D$1)</f>
        <v>0</v>
      </c>
      <c r="AQ36" s="57">
        <f>IF(ISNA(SUMIFS(INDEX(Inputs!$B$2:$AZ$190,,MATCH(SUBSTITUTE(AQ$3,"Q","T"),Inputs!$B$2:$AZ$2,0)),Inputs!$B$2:$B$190,$B36)*Inputs!$D$1),"",SUMIFS(INDEX(Inputs!$B$2:$AZ$190,,MATCH(SUBSTITUTE(AQ$3,"Q","T"),Inputs!$B$2:$AZ$2,0)),Inputs!$B$2:$B$190,$B36)*Inputs!$D$1)</f>
        <v>0</v>
      </c>
      <c r="AR36" s="58">
        <f>AQ36</f>
        <v>0</v>
      </c>
      <c r="AS36" s="57">
        <f>IF(ISNA(SUMIFS(INDEX(Inputs!$B$2:$AZ$190,,MATCH(SUBSTITUTE(AS$3,"Q","T"),Inputs!$B$2:$AZ$2,0)),Inputs!$B$2:$B$190,$B36)*Inputs!$D$1),"",SUMIFS(INDEX(Inputs!$B$2:$AZ$190,,MATCH(SUBSTITUTE(AS$3,"Q","T"),Inputs!$B$2:$AZ$2,0)),Inputs!$B$2:$B$190,$B36)*Inputs!$D$1)</f>
        <v>0</v>
      </c>
      <c r="AT36" s="57">
        <f>IF(ISNA(SUMIFS(INDEX(Inputs!$B$2:$AZ$190,,MATCH(SUBSTITUTE(AT$3,"Q","T"),Inputs!$B$2:$AZ$2,0)),Inputs!$B$2:$B$190,$B36)*Inputs!$D$1),"",SUMIFS(INDEX(Inputs!$B$2:$AZ$190,,MATCH(SUBSTITUTE(AT$3,"Q","T"),Inputs!$B$2:$AZ$2,0)),Inputs!$B$2:$B$190,$B36)*Inputs!$D$1)</f>
        <v>0</v>
      </c>
      <c r="AU36" s="57">
        <f>IF(ISNA(SUMIFS(INDEX(Inputs!$B$2:$AZ$190,,MATCH(SUBSTITUTE(AU$3,"Q","T"),Inputs!$B$2:$AZ$2,0)),Inputs!$B$2:$B$190,$B36)*Inputs!$D$1),"",SUMIFS(INDEX(Inputs!$B$2:$AZ$190,,MATCH(SUBSTITUTE(AU$3,"Q","T"),Inputs!$B$2:$AZ$2,0)),Inputs!$B$2:$B$190,$B36)*Inputs!$D$1)</f>
        <v>0</v>
      </c>
      <c r="AV36" s="57">
        <f>IF(ISNA(SUMIFS(INDEX(Inputs!$B$2:$AZ$190,,MATCH(SUBSTITUTE(AV$3,"Q","T"),Inputs!$B$2:$AZ$2,0)),Inputs!$B$2:$B$190,$B36)*Inputs!$D$1),"",SUMIFS(INDEX(Inputs!$B$2:$AZ$190,,MATCH(SUBSTITUTE(AV$3,"Q","T"),Inputs!$B$2:$AZ$2,0)),Inputs!$B$2:$B$190,$B36)*Inputs!$D$1)</f>
        <v>0</v>
      </c>
      <c r="AW36" s="58">
        <f>AV36</f>
        <v>0</v>
      </c>
      <c r="AX36" s="57">
        <f>IF(ISNA(SUMIFS(INDEX(Inputs!$B$2:$AZ$190,,MATCH(SUBSTITUTE(AX$3,"Q","T"),Inputs!$B$2:$AZ$2,0)),Inputs!$B$2:$B$190,$B36)*Inputs!$D$1),"",SUMIFS(INDEX(Inputs!$B$2:$AZ$190,,MATCH(SUBSTITUTE(AX$3,"Q","T"),Inputs!$B$2:$AZ$2,0)),Inputs!$B$2:$B$190,$B36)*Inputs!$D$1)</f>
        <v>0</v>
      </c>
      <c r="AY36" s="57">
        <f>IF(ISNA(SUMIFS(INDEX(Inputs!$B$2:$AZ$190,,MATCH(SUBSTITUTE(AY$3,"Q","T"),Inputs!$B$2:$AZ$2,0)),Inputs!$B$2:$B$190,$B36)*Inputs!$D$1),"",SUMIFS(INDEX(Inputs!$B$2:$AZ$190,,MATCH(SUBSTITUTE(AY$3,"Q","T"),Inputs!$B$2:$AZ$2,0)),Inputs!$B$2:$B$190,$B36)*Inputs!$D$1)</f>
        <v>0</v>
      </c>
      <c r="AZ36" s="57">
        <f>IF(ISNA(SUMIFS(INDEX(Inputs!$B$2:$AZ$190,,MATCH(SUBSTITUTE(AZ$3,"Q","T"),Inputs!$B$2:$AZ$2,0)),Inputs!$B$2:$B$190,$B36)*Inputs!$D$1),"",SUMIFS(INDEX(Inputs!$B$2:$AZ$190,,MATCH(SUBSTITUTE(AZ$3,"Q","T"),Inputs!$B$2:$AZ$2,0)),Inputs!$B$2:$B$190,$B36)*Inputs!$D$1)</f>
        <v>0</v>
      </c>
      <c r="BA36" s="57">
        <f>IF(ISNA(SUMIFS(INDEX(Inputs!$B$2:$AZ$190,,MATCH(SUBSTITUTE(BA$3,"Q","T"),Inputs!$B$2:$AZ$2,0)),Inputs!$B$2:$B$190,$B36)*Inputs!$D$1),"",SUMIFS(INDEX(Inputs!$B$2:$AZ$190,,MATCH(SUBSTITUTE(BA$3,"Q","T"),Inputs!$B$2:$AZ$2,0)),Inputs!$B$2:$B$190,$B36)*Inputs!$D$1)</f>
        <v>0</v>
      </c>
      <c r="BB36" s="58">
        <f>BA36</f>
        <v>0</v>
      </c>
      <c r="BC36" s="57">
        <f>IF(ISNA(SUMIFS(INDEX(Inputs!$B$2:$AZ$190,,MATCH(SUBSTITUTE(BC$3,"Q","T"),Inputs!$B$2:$AZ$2,0)),Inputs!$B$2:$B$190,$B36)*Inputs!$D$1),"",SUMIFS(INDEX(Inputs!$B$2:$AZ$190,,MATCH(SUBSTITUTE(BC$3,"Q","T"),Inputs!$B$2:$AZ$2,0)),Inputs!$B$2:$B$190,$B36)*Inputs!$D$1)</f>
        <v>0</v>
      </c>
      <c r="BD36" s="57">
        <f>IF(ISNA(SUMIFS(INDEX(Inputs!$B$2:$AZ$190,,MATCH(SUBSTITUTE(BD$3,"Q","T"),Inputs!$B$2:$AZ$2,0)),Inputs!$B$2:$B$190,$B36)*Inputs!$D$1),"",SUMIFS(INDEX(Inputs!$B$2:$AZ$190,,MATCH(SUBSTITUTE(BD$3,"Q","T"),Inputs!$B$2:$AZ$2,0)),Inputs!$B$2:$B$190,$B36)*Inputs!$D$1)</f>
        <v>0</v>
      </c>
      <c r="BE36" s="57">
        <f>IF(ISNA(SUMIFS(INDEX(Inputs!$B$2:$AZ$190,,MATCH(SUBSTITUTE(BE$3,"Q","T"),Inputs!$B$2:$AZ$2,0)),Inputs!$B$2:$B$190,$B36)*Inputs!$D$1),"",SUMIFS(INDEX(Inputs!$B$2:$AZ$190,,MATCH(SUBSTITUTE(BE$3,"Q","T"),Inputs!$B$2:$AZ$2,0)),Inputs!$B$2:$B$190,$B36)*Inputs!$D$1)</f>
        <v>0</v>
      </c>
      <c r="BF36" s="57">
        <f>IF(ISNA(SUMIFS(INDEX(Inputs!$B$2:$AZ$190,,MATCH(SUBSTITUTE(BF$3,"Q","T"),Inputs!$B$2:$AZ$2,0)),Inputs!$B$2:$B$190,$B36)*Inputs!$D$1),"",SUMIFS(INDEX(Inputs!$B$2:$AZ$190,,MATCH(SUBSTITUTE(BF$3,"Q","T"),Inputs!$B$2:$AZ$2,0)),Inputs!$B$2:$B$190,$B36)*Inputs!$D$1)</f>
        <v>0</v>
      </c>
      <c r="BG36" s="58">
        <f>BF36</f>
        <v>0</v>
      </c>
    </row>
    <row r="37" hidden="1" outlineLevel="1">
      <c r="B37" s="56" t="inlineStr">
        <is>
          <t>dep_other</t>
        </is>
      </c>
      <c r="C37" s="61" t="inlineStr">
        <is>
          <t>Outros depósitos (quando à parte)</t>
        </is>
      </c>
      <c r="D37" s="62" t="inlineStr">
        <is>
          <t>Other deposits, if separate</t>
        </is>
      </c>
      <c r="E37" s="57">
        <f>IF(ISNA(SUMIFS(INDEX(Inputs!$B$2:$AZ$190,,MATCH(SUBSTITUTE(E$3,"Q","T"),Inputs!$B$2:$AZ$2,0)),Inputs!$B$2:$B$190,$B37)*Inputs!$D$1),"",SUMIFS(INDEX(Inputs!$B$2:$AZ$190,,MATCH(SUBSTITUTE(E$3,"Q","T"),Inputs!$B$2:$AZ$2,0)),Inputs!$B$2:$B$190,$B37)*Inputs!$D$1)</f>
        <v>0</v>
      </c>
      <c r="F37" s="57">
        <f>IF(ISNA(SUMIFS(INDEX(Inputs!$B$2:$AZ$190,,MATCH(SUBSTITUTE(F$3,"Q","T"),Inputs!$B$2:$AZ$2,0)),Inputs!$B$2:$B$190,$B37)*Inputs!$D$1),"",SUMIFS(INDEX(Inputs!$B$2:$AZ$190,,MATCH(SUBSTITUTE(F$3,"Q","T"),Inputs!$B$2:$AZ$2,0)),Inputs!$B$2:$B$190,$B37)*Inputs!$D$1)</f>
        <v>0</v>
      </c>
      <c r="G37" s="57">
        <f>IF(ISNA(SUMIFS(INDEX(Inputs!$B$2:$AZ$190,,MATCH(SUBSTITUTE(G$3,"Q","T"),Inputs!$B$2:$AZ$2,0)),Inputs!$B$2:$B$190,$B37)*Inputs!$D$1),"",SUMIFS(INDEX(Inputs!$B$2:$AZ$190,,MATCH(SUBSTITUTE(G$3,"Q","T"),Inputs!$B$2:$AZ$2,0)),Inputs!$B$2:$B$190,$B37)*Inputs!$D$1)</f>
        <v>0</v>
      </c>
      <c r="H37" s="57">
        <f>IF(ISNA(SUMIFS(INDEX(Inputs!$B$2:$AZ$190,,MATCH(SUBSTITUTE(H$3,"Q","T"),Inputs!$B$2:$AZ$2,0)),Inputs!$B$2:$B$190,$B37)*Inputs!$D$1),"",SUMIFS(INDEX(Inputs!$B$2:$AZ$190,,MATCH(SUBSTITUTE(H$3,"Q","T"),Inputs!$B$2:$AZ$2,0)),Inputs!$B$2:$B$190,$B37)*Inputs!$D$1)</f>
        <v>0</v>
      </c>
      <c r="I37" s="58">
        <f>H37</f>
        <v>0</v>
      </c>
      <c r="J37" s="57">
        <f>IF(ISNA(SUMIFS(INDEX(Inputs!$B$2:$AZ$190,,MATCH(SUBSTITUTE(J$3,"Q","T"),Inputs!$B$2:$AZ$2,0)),Inputs!$B$2:$B$190,$B37)*Inputs!$D$1),"",SUMIFS(INDEX(Inputs!$B$2:$AZ$190,,MATCH(SUBSTITUTE(J$3,"Q","T"),Inputs!$B$2:$AZ$2,0)),Inputs!$B$2:$B$190,$B37)*Inputs!$D$1)</f>
        <v>0</v>
      </c>
      <c r="K37" s="57">
        <f>IF(ISNA(SUMIFS(INDEX(Inputs!$B$2:$AZ$190,,MATCH(SUBSTITUTE(K$3,"Q","T"),Inputs!$B$2:$AZ$2,0)),Inputs!$B$2:$B$190,$B37)*Inputs!$D$1),"",SUMIFS(INDEX(Inputs!$B$2:$AZ$190,,MATCH(SUBSTITUTE(K$3,"Q","T"),Inputs!$B$2:$AZ$2,0)),Inputs!$B$2:$B$190,$B37)*Inputs!$D$1)</f>
        <v>0</v>
      </c>
      <c r="L37" s="57">
        <f>IF(ISNA(SUMIFS(INDEX(Inputs!$B$2:$AZ$190,,MATCH(SUBSTITUTE(L$3,"Q","T"),Inputs!$B$2:$AZ$2,0)),Inputs!$B$2:$B$190,$B37)*Inputs!$D$1),"",SUMIFS(INDEX(Inputs!$B$2:$AZ$190,,MATCH(SUBSTITUTE(L$3,"Q","T"),Inputs!$B$2:$AZ$2,0)),Inputs!$B$2:$B$190,$B37)*Inputs!$D$1)</f>
        <v>0</v>
      </c>
      <c r="M37" s="57">
        <f>IF(ISNA(SUMIFS(INDEX(Inputs!$B$2:$AZ$190,,MATCH(SUBSTITUTE(M$3,"Q","T"),Inputs!$B$2:$AZ$2,0)),Inputs!$B$2:$B$190,$B37)*Inputs!$D$1),"",SUMIFS(INDEX(Inputs!$B$2:$AZ$190,,MATCH(SUBSTITUTE(M$3,"Q","T"),Inputs!$B$2:$AZ$2,0)),Inputs!$B$2:$B$190,$B37)*Inputs!$D$1)</f>
        <v>0</v>
      </c>
      <c r="N37" s="58">
        <f>M37</f>
        <v>0</v>
      </c>
      <c r="O37" s="57">
        <f>IF(ISNA(SUMIFS(INDEX(Inputs!$B$2:$AZ$190,,MATCH(SUBSTITUTE(O$3,"Q","T"),Inputs!$B$2:$AZ$2,0)),Inputs!$B$2:$B$190,$B37)*Inputs!$D$1),"",SUMIFS(INDEX(Inputs!$B$2:$AZ$190,,MATCH(SUBSTITUTE(O$3,"Q","T"),Inputs!$B$2:$AZ$2,0)),Inputs!$B$2:$B$190,$B37)*Inputs!$D$1)</f>
        <v>0</v>
      </c>
      <c r="P37" s="57">
        <f>IF(ISNA(SUMIFS(INDEX(Inputs!$B$2:$AZ$190,,MATCH(SUBSTITUTE(P$3,"Q","T"),Inputs!$B$2:$AZ$2,0)),Inputs!$B$2:$B$190,$B37)*Inputs!$D$1),"",SUMIFS(INDEX(Inputs!$B$2:$AZ$190,,MATCH(SUBSTITUTE(P$3,"Q","T"),Inputs!$B$2:$AZ$2,0)),Inputs!$B$2:$B$190,$B37)*Inputs!$D$1)</f>
        <v>0</v>
      </c>
      <c r="Q37" s="57">
        <f>IF(ISNA(SUMIFS(INDEX(Inputs!$B$2:$AZ$190,,MATCH(SUBSTITUTE(Q$3,"Q","T"),Inputs!$B$2:$AZ$2,0)),Inputs!$B$2:$B$190,$B37)*Inputs!$D$1),"",SUMIFS(INDEX(Inputs!$B$2:$AZ$190,,MATCH(SUBSTITUTE(Q$3,"Q","T"),Inputs!$B$2:$AZ$2,0)),Inputs!$B$2:$B$190,$B37)*Inputs!$D$1)</f>
        <v>0</v>
      </c>
      <c r="R37" s="57">
        <f>IF(ISNA(SUMIFS(INDEX(Inputs!$B$2:$AZ$190,,MATCH(SUBSTITUTE(R$3,"Q","T"),Inputs!$B$2:$AZ$2,0)),Inputs!$B$2:$B$190,$B37)*Inputs!$D$1),"",SUMIFS(INDEX(Inputs!$B$2:$AZ$190,,MATCH(SUBSTITUTE(R$3,"Q","T"),Inputs!$B$2:$AZ$2,0)),Inputs!$B$2:$B$190,$B37)*Inputs!$D$1)</f>
        <v>0</v>
      </c>
      <c r="S37" s="58">
        <f>R37</f>
        <v>0</v>
      </c>
      <c r="T37" s="57">
        <f>IF(ISNA(SUMIFS(INDEX(Inputs!$B$2:$AZ$190,,MATCH(SUBSTITUTE(T$3,"Q","T"),Inputs!$B$2:$AZ$2,0)),Inputs!$B$2:$B$190,$B37)*Inputs!$D$1),"",SUMIFS(INDEX(Inputs!$B$2:$AZ$190,,MATCH(SUBSTITUTE(T$3,"Q","T"),Inputs!$B$2:$AZ$2,0)),Inputs!$B$2:$B$190,$B37)*Inputs!$D$1)</f>
        <v>0</v>
      </c>
      <c r="U37" s="57">
        <f>IF(ISNA(SUMIFS(INDEX(Inputs!$B$2:$AZ$190,,MATCH(SUBSTITUTE(U$3,"Q","T"),Inputs!$B$2:$AZ$2,0)),Inputs!$B$2:$B$190,$B37)*Inputs!$D$1),"",SUMIFS(INDEX(Inputs!$B$2:$AZ$190,,MATCH(SUBSTITUTE(U$3,"Q","T"),Inputs!$B$2:$AZ$2,0)),Inputs!$B$2:$B$190,$B37)*Inputs!$D$1)</f>
        <v>0</v>
      </c>
      <c r="V37" s="57">
        <f>IF(ISNA(SUMIFS(INDEX(Inputs!$B$2:$AZ$190,,MATCH(SUBSTITUTE(V$3,"Q","T"),Inputs!$B$2:$AZ$2,0)),Inputs!$B$2:$B$190,$B37)*Inputs!$D$1),"",SUMIFS(INDEX(Inputs!$B$2:$AZ$190,,MATCH(SUBSTITUTE(V$3,"Q","T"),Inputs!$B$2:$AZ$2,0)),Inputs!$B$2:$B$190,$B37)*Inputs!$D$1)</f>
        <v>0</v>
      </c>
      <c r="W37" s="57">
        <f>IF(ISNA(SUMIFS(INDEX(Inputs!$B$2:$AZ$190,,MATCH(SUBSTITUTE(W$3,"Q","T"),Inputs!$B$2:$AZ$2,0)),Inputs!$B$2:$B$190,$B37)*Inputs!$D$1),"",SUMIFS(INDEX(Inputs!$B$2:$AZ$190,,MATCH(SUBSTITUTE(W$3,"Q","T"),Inputs!$B$2:$AZ$2,0)),Inputs!$B$2:$B$190,$B37)*Inputs!$D$1)</f>
        <v>0</v>
      </c>
      <c r="X37" s="58">
        <f>W37</f>
        <v>0</v>
      </c>
      <c r="Y37" s="57">
        <f>IF(ISNA(SUMIFS(INDEX(Inputs!$B$2:$AZ$190,,MATCH(SUBSTITUTE(Y$3,"Q","T"),Inputs!$B$2:$AZ$2,0)),Inputs!$B$2:$B$190,$B37)*Inputs!$D$1),"",SUMIFS(INDEX(Inputs!$B$2:$AZ$190,,MATCH(SUBSTITUTE(Y$3,"Q","T"),Inputs!$B$2:$AZ$2,0)),Inputs!$B$2:$B$190,$B37)*Inputs!$D$1)</f>
        <v>0</v>
      </c>
      <c r="Z37" s="57">
        <f>IF(ISNA(SUMIFS(INDEX(Inputs!$B$2:$AZ$190,,MATCH(SUBSTITUTE(Z$3,"Q","T"),Inputs!$B$2:$AZ$2,0)),Inputs!$B$2:$B$190,$B37)*Inputs!$D$1),"",SUMIFS(INDEX(Inputs!$B$2:$AZ$190,,MATCH(SUBSTITUTE(Z$3,"Q","T"),Inputs!$B$2:$AZ$2,0)),Inputs!$B$2:$B$190,$B37)*Inputs!$D$1)</f>
        <v>0</v>
      </c>
      <c r="AA37" s="57">
        <f>IF(ISNA(SUMIFS(INDEX(Inputs!$B$2:$AZ$190,,MATCH(SUBSTITUTE(AA$3,"Q","T"),Inputs!$B$2:$AZ$2,0)),Inputs!$B$2:$B$190,$B37)*Inputs!$D$1),"",SUMIFS(INDEX(Inputs!$B$2:$AZ$190,,MATCH(SUBSTITUTE(AA$3,"Q","T"),Inputs!$B$2:$AZ$2,0)),Inputs!$B$2:$B$190,$B37)*Inputs!$D$1)</f>
        <v>0</v>
      </c>
      <c r="AB37" s="57">
        <f>IF(ISNA(SUMIFS(INDEX(Inputs!$B$2:$AZ$190,,MATCH(SUBSTITUTE(AB$3,"Q","T"),Inputs!$B$2:$AZ$2,0)),Inputs!$B$2:$B$190,$B37)*Inputs!$D$1),"",SUMIFS(INDEX(Inputs!$B$2:$AZ$190,,MATCH(SUBSTITUTE(AB$3,"Q","T"),Inputs!$B$2:$AZ$2,0)),Inputs!$B$2:$B$190,$B37)*Inputs!$D$1)</f>
        <v>0</v>
      </c>
      <c r="AC37" s="58">
        <f>AB37</f>
        <v>0</v>
      </c>
      <c r="AD37" s="57">
        <f>IF(ISNA(SUMIFS(INDEX(Inputs!$B$2:$AZ$190,,MATCH(SUBSTITUTE(AD$3,"Q","T"),Inputs!$B$2:$AZ$2,0)),Inputs!$B$2:$B$190,$B37)*Inputs!$D$1),"",SUMIFS(INDEX(Inputs!$B$2:$AZ$190,,MATCH(SUBSTITUTE(AD$3,"Q","T"),Inputs!$B$2:$AZ$2,0)),Inputs!$B$2:$B$190,$B37)*Inputs!$D$1)</f>
        <v>0</v>
      </c>
      <c r="AE37" s="57">
        <f>IF(ISNA(SUMIFS(INDEX(Inputs!$B$2:$AZ$190,,MATCH(SUBSTITUTE(AE$3,"Q","T"),Inputs!$B$2:$AZ$2,0)),Inputs!$B$2:$B$190,$B37)*Inputs!$D$1),"",SUMIFS(INDEX(Inputs!$B$2:$AZ$190,,MATCH(SUBSTITUTE(AE$3,"Q","T"),Inputs!$B$2:$AZ$2,0)),Inputs!$B$2:$B$190,$B37)*Inputs!$D$1)</f>
        <v>0</v>
      </c>
      <c r="AF37" s="57">
        <f>IF(ISNA(SUMIFS(INDEX(Inputs!$B$2:$AZ$190,,MATCH(SUBSTITUTE(AF$3,"Q","T"),Inputs!$B$2:$AZ$2,0)),Inputs!$B$2:$B$190,$B37)*Inputs!$D$1),"",SUMIFS(INDEX(Inputs!$B$2:$AZ$190,,MATCH(SUBSTITUTE(AF$3,"Q","T"),Inputs!$B$2:$AZ$2,0)),Inputs!$B$2:$B$190,$B37)*Inputs!$D$1)</f>
        <v>0</v>
      </c>
      <c r="AG37" s="57">
        <f>IF(ISNA(SUMIFS(INDEX(Inputs!$B$2:$AZ$190,,MATCH(SUBSTITUTE(AG$3,"Q","T"),Inputs!$B$2:$AZ$2,0)),Inputs!$B$2:$B$190,$B37)*Inputs!$D$1),"",SUMIFS(INDEX(Inputs!$B$2:$AZ$190,,MATCH(SUBSTITUTE(AG$3,"Q","T"),Inputs!$B$2:$AZ$2,0)),Inputs!$B$2:$B$190,$B37)*Inputs!$D$1)</f>
        <v>0</v>
      </c>
      <c r="AH37" s="58">
        <f>AG37</f>
        <v>0</v>
      </c>
      <c r="AI37" s="57">
        <f>IF(ISNA(SUMIFS(INDEX(Inputs!$B$2:$AZ$190,,MATCH(SUBSTITUTE(AI$3,"Q","T"),Inputs!$B$2:$AZ$2,0)),Inputs!$B$2:$B$190,$B37)*Inputs!$D$1),"",SUMIFS(INDEX(Inputs!$B$2:$AZ$190,,MATCH(SUBSTITUTE(AI$3,"Q","T"),Inputs!$B$2:$AZ$2,0)),Inputs!$B$2:$B$190,$B37)*Inputs!$D$1)</f>
        <v>0</v>
      </c>
      <c r="AJ37" s="57">
        <f>IF(ISNA(SUMIFS(INDEX(Inputs!$B$2:$AZ$190,,MATCH(SUBSTITUTE(AJ$3,"Q","T"),Inputs!$B$2:$AZ$2,0)),Inputs!$B$2:$B$190,$B37)*Inputs!$D$1),"",SUMIFS(INDEX(Inputs!$B$2:$AZ$190,,MATCH(SUBSTITUTE(AJ$3,"Q","T"),Inputs!$B$2:$AZ$2,0)),Inputs!$B$2:$B$190,$B37)*Inputs!$D$1)</f>
        <v>0</v>
      </c>
      <c r="AK37" s="57">
        <f>IF(ISNA(SUMIFS(INDEX(Inputs!$B$2:$AZ$190,,MATCH(SUBSTITUTE(AK$3,"Q","T"),Inputs!$B$2:$AZ$2,0)),Inputs!$B$2:$B$190,$B37)*Inputs!$D$1),"",SUMIFS(INDEX(Inputs!$B$2:$AZ$190,,MATCH(SUBSTITUTE(AK$3,"Q","T"),Inputs!$B$2:$AZ$2,0)),Inputs!$B$2:$B$190,$B37)*Inputs!$D$1)</f>
        <v>0</v>
      </c>
      <c r="AL37" s="57">
        <f>IF(ISNA(SUMIFS(INDEX(Inputs!$B$2:$AZ$190,,MATCH(SUBSTITUTE(AL$3,"Q","T"),Inputs!$B$2:$AZ$2,0)),Inputs!$B$2:$B$190,$B37)*Inputs!$D$1),"",SUMIFS(INDEX(Inputs!$B$2:$AZ$190,,MATCH(SUBSTITUTE(AL$3,"Q","T"),Inputs!$B$2:$AZ$2,0)),Inputs!$B$2:$B$190,$B37)*Inputs!$D$1)</f>
        <v>0</v>
      </c>
      <c r="AM37" s="58">
        <f>AL37</f>
        <v>0</v>
      </c>
      <c r="AN37" s="57">
        <f>IF(ISNA(SUMIFS(INDEX(Inputs!$B$2:$AZ$190,,MATCH(SUBSTITUTE(AN$3,"Q","T"),Inputs!$B$2:$AZ$2,0)),Inputs!$B$2:$B$190,$B37)*Inputs!$D$1),"",SUMIFS(INDEX(Inputs!$B$2:$AZ$190,,MATCH(SUBSTITUTE(AN$3,"Q","T"),Inputs!$B$2:$AZ$2,0)),Inputs!$B$2:$B$190,$B37)*Inputs!$D$1)</f>
        <v>0</v>
      </c>
      <c r="AO37" s="57">
        <f>IF(ISNA(SUMIFS(INDEX(Inputs!$B$2:$AZ$190,,MATCH(SUBSTITUTE(AO$3,"Q","T"),Inputs!$B$2:$AZ$2,0)),Inputs!$B$2:$B$190,$B37)*Inputs!$D$1),"",SUMIFS(INDEX(Inputs!$B$2:$AZ$190,,MATCH(SUBSTITUTE(AO$3,"Q","T"),Inputs!$B$2:$AZ$2,0)),Inputs!$B$2:$B$190,$B37)*Inputs!$D$1)</f>
        <v>0</v>
      </c>
      <c r="AP37" s="57">
        <f>IF(ISNA(SUMIFS(INDEX(Inputs!$B$2:$AZ$190,,MATCH(SUBSTITUTE(AP$3,"Q","T"),Inputs!$B$2:$AZ$2,0)),Inputs!$B$2:$B$190,$B37)*Inputs!$D$1),"",SUMIFS(INDEX(Inputs!$B$2:$AZ$190,,MATCH(SUBSTITUTE(AP$3,"Q","T"),Inputs!$B$2:$AZ$2,0)),Inputs!$B$2:$B$190,$B37)*Inputs!$D$1)</f>
        <v>0</v>
      </c>
      <c r="AQ37" s="57">
        <f>IF(ISNA(SUMIFS(INDEX(Inputs!$B$2:$AZ$190,,MATCH(SUBSTITUTE(AQ$3,"Q","T"),Inputs!$B$2:$AZ$2,0)),Inputs!$B$2:$B$190,$B37)*Inputs!$D$1),"",SUMIFS(INDEX(Inputs!$B$2:$AZ$190,,MATCH(SUBSTITUTE(AQ$3,"Q","T"),Inputs!$B$2:$AZ$2,0)),Inputs!$B$2:$B$190,$B37)*Inputs!$D$1)</f>
        <v>0</v>
      </c>
      <c r="AR37" s="58">
        <f>AQ37</f>
        <v>0</v>
      </c>
      <c r="AS37" s="57">
        <f>IF(ISNA(SUMIFS(INDEX(Inputs!$B$2:$AZ$190,,MATCH(SUBSTITUTE(AS$3,"Q","T"),Inputs!$B$2:$AZ$2,0)),Inputs!$B$2:$B$190,$B37)*Inputs!$D$1),"",SUMIFS(INDEX(Inputs!$B$2:$AZ$190,,MATCH(SUBSTITUTE(AS$3,"Q","T"),Inputs!$B$2:$AZ$2,0)),Inputs!$B$2:$B$190,$B37)*Inputs!$D$1)</f>
        <v>0</v>
      </c>
      <c r="AT37" s="57">
        <f>IF(ISNA(SUMIFS(INDEX(Inputs!$B$2:$AZ$190,,MATCH(SUBSTITUTE(AT$3,"Q","T"),Inputs!$B$2:$AZ$2,0)),Inputs!$B$2:$B$190,$B37)*Inputs!$D$1),"",SUMIFS(INDEX(Inputs!$B$2:$AZ$190,,MATCH(SUBSTITUTE(AT$3,"Q","T"),Inputs!$B$2:$AZ$2,0)),Inputs!$B$2:$B$190,$B37)*Inputs!$D$1)</f>
        <v>0</v>
      </c>
      <c r="AU37" s="57">
        <f>IF(ISNA(SUMIFS(INDEX(Inputs!$B$2:$AZ$190,,MATCH(SUBSTITUTE(AU$3,"Q","T"),Inputs!$B$2:$AZ$2,0)),Inputs!$B$2:$B$190,$B37)*Inputs!$D$1),"",SUMIFS(INDEX(Inputs!$B$2:$AZ$190,,MATCH(SUBSTITUTE(AU$3,"Q","T"),Inputs!$B$2:$AZ$2,0)),Inputs!$B$2:$B$190,$B37)*Inputs!$D$1)</f>
        <v>0</v>
      </c>
      <c r="AV37" s="57">
        <f>IF(ISNA(SUMIFS(INDEX(Inputs!$B$2:$AZ$190,,MATCH(SUBSTITUTE(AV$3,"Q","T"),Inputs!$B$2:$AZ$2,0)),Inputs!$B$2:$B$190,$B37)*Inputs!$D$1),"",SUMIFS(INDEX(Inputs!$B$2:$AZ$190,,MATCH(SUBSTITUTE(AV$3,"Q","T"),Inputs!$B$2:$AZ$2,0)),Inputs!$B$2:$B$190,$B37)*Inputs!$D$1)</f>
        <v>0</v>
      </c>
      <c r="AW37" s="58">
        <f>AV37</f>
        <v>0</v>
      </c>
      <c r="AX37" s="57">
        <f>IF(ISNA(SUMIFS(INDEX(Inputs!$B$2:$AZ$190,,MATCH(SUBSTITUTE(AX$3,"Q","T"),Inputs!$B$2:$AZ$2,0)),Inputs!$B$2:$B$190,$B37)*Inputs!$D$1),"",SUMIFS(INDEX(Inputs!$B$2:$AZ$190,,MATCH(SUBSTITUTE(AX$3,"Q","T"),Inputs!$B$2:$AZ$2,0)),Inputs!$B$2:$B$190,$B37)*Inputs!$D$1)</f>
        <v>0</v>
      </c>
      <c r="AY37" s="57">
        <f>IF(ISNA(SUMIFS(INDEX(Inputs!$B$2:$AZ$190,,MATCH(SUBSTITUTE(AY$3,"Q","T"),Inputs!$B$2:$AZ$2,0)),Inputs!$B$2:$B$190,$B37)*Inputs!$D$1),"",SUMIFS(INDEX(Inputs!$B$2:$AZ$190,,MATCH(SUBSTITUTE(AY$3,"Q","T"),Inputs!$B$2:$AZ$2,0)),Inputs!$B$2:$B$190,$B37)*Inputs!$D$1)</f>
        <v>0</v>
      </c>
      <c r="AZ37" s="57">
        <f>IF(ISNA(SUMIFS(INDEX(Inputs!$B$2:$AZ$190,,MATCH(SUBSTITUTE(AZ$3,"Q","T"),Inputs!$B$2:$AZ$2,0)),Inputs!$B$2:$B$190,$B37)*Inputs!$D$1),"",SUMIFS(INDEX(Inputs!$B$2:$AZ$190,,MATCH(SUBSTITUTE(AZ$3,"Q","T"),Inputs!$B$2:$AZ$2,0)),Inputs!$B$2:$B$190,$B37)*Inputs!$D$1)</f>
        <v>0</v>
      </c>
      <c r="BA37" s="57">
        <f>IF(ISNA(SUMIFS(INDEX(Inputs!$B$2:$AZ$190,,MATCH(SUBSTITUTE(BA$3,"Q","T"),Inputs!$B$2:$AZ$2,0)),Inputs!$B$2:$B$190,$B37)*Inputs!$D$1),"",SUMIFS(INDEX(Inputs!$B$2:$AZ$190,,MATCH(SUBSTITUTE(BA$3,"Q","T"),Inputs!$B$2:$AZ$2,0)),Inputs!$B$2:$B$190,$B37)*Inputs!$D$1)</f>
        <v>0</v>
      </c>
      <c r="BB37" s="58">
        <f>BA37</f>
        <v>0</v>
      </c>
      <c r="BC37" s="57">
        <f>IF(ISNA(SUMIFS(INDEX(Inputs!$B$2:$AZ$190,,MATCH(SUBSTITUTE(BC$3,"Q","T"),Inputs!$B$2:$AZ$2,0)),Inputs!$B$2:$B$190,$B37)*Inputs!$D$1),"",SUMIFS(INDEX(Inputs!$B$2:$AZ$190,,MATCH(SUBSTITUTE(BC$3,"Q","T"),Inputs!$B$2:$AZ$2,0)),Inputs!$B$2:$B$190,$B37)*Inputs!$D$1)</f>
        <v>0</v>
      </c>
      <c r="BD37" s="57">
        <f>IF(ISNA(SUMIFS(INDEX(Inputs!$B$2:$AZ$190,,MATCH(SUBSTITUTE(BD$3,"Q","T"),Inputs!$B$2:$AZ$2,0)),Inputs!$B$2:$B$190,$B37)*Inputs!$D$1),"",SUMIFS(INDEX(Inputs!$B$2:$AZ$190,,MATCH(SUBSTITUTE(BD$3,"Q","T"),Inputs!$B$2:$AZ$2,0)),Inputs!$B$2:$B$190,$B37)*Inputs!$D$1)</f>
        <v>0</v>
      </c>
      <c r="BE37" s="57">
        <f>IF(ISNA(SUMIFS(INDEX(Inputs!$B$2:$AZ$190,,MATCH(SUBSTITUTE(BE$3,"Q","T"),Inputs!$B$2:$AZ$2,0)),Inputs!$B$2:$B$190,$B37)*Inputs!$D$1),"",SUMIFS(INDEX(Inputs!$B$2:$AZ$190,,MATCH(SUBSTITUTE(BE$3,"Q","T"),Inputs!$B$2:$AZ$2,0)),Inputs!$B$2:$B$190,$B37)*Inputs!$D$1)</f>
        <v>0</v>
      </c>
      <c r="BF37" s="57">
        <f>IF(ISNA(SUMIFS(INDEX(Inputs!$B$2:$AZ$190,,MATCH(SUBSTITUTE(BF$3,"Q","T"),Inputs!$B$2:$AZ$2,0)),Inputs!$B$2:$B$190,$B37)*Inputs!$D$1),"",SUMIFS(INDEX(Inputs!$B$2:$AZ$190,,MATCH(SUBSTITUTE(BF$3,"Q","T"),Inputs!$B$2:$AZ$2,0)),Inputs!$B$2:$B$190,$B37)*Inputs!$D$1)</f>
        <v>0</v>
      </c>
      <c r="BG37" s="58">
        <f>BF37</f>
        <v>0</v>
      </c>
    </row>
    <row r="38">
      <c r="C38" s="15" t="inlineStr">
        <is>
          <t>Compromissadas e captações de curto prazo</t>
        </is>
      </c>
      <c r="D38" s="16" t="inlineStr">
        <is>
          <t>Repos and short-term funding</t>
        </is>
      </c>
      <c r="E38" s="59">
        <f>IFERROR(E39+E40+E41,"")</f>
        <v>0</v>
      </c>
      <c r="F38" s="59">
        <f>IFERROR(F39+F40+F41,"")</f>
        <v>0</v>
      </c>
      <c r="G38" s="59">
        <f>IFERROR(G39+G40+G41,"")</f>
        <v>0</v>
      </c>
      <c r="H38" s="59">
        <f>IFERROR(H39+H40+H41,"")</f>
        <v>0</v>
      </c>
      <c r="I38" s="60">
        <f>H38</f>
        <v>0</v>
      </c>
      <c r="J38" s="59">
        <f>IFERROR(J39+J40+J41,"")</f>
        <v>0</v>
      </c>
      <c r="K38" s="59">
        <f>IFERROR(K39+K40+K41,"")</f>
        <v>0</v>
      </c>
      <c r="L38" s="59">
        <f>IFERROR(L39+L40+L41,"")</f>
        <v>0</v>
      </c>
      <c r="M38" s="59">
        <f>IFERROR(M39+M40+M41,"")</f>
        <v>0</v>
      </c>
      <c r="N38" s="60">
        <f>M38</f>
        <v>0</v>
      </c>
      <c r="O38" s="59">
        <f>IFERROR(O39+O40+O41,"")</f>
        <v>0</v>
      </c>
      <c r="P38" s="59">
        <f>IFERROR(P39+P40+P41,"")</f>
        <v>0</v>
      </c>
      <c r="Q38" s="59">
        <f>IFERROR(Q39+Q40+Q41,"")</f>
        <v>0</v>
      </c>
      <c r="R38" s="59">
        <f>IFERROR(R39+R40+R41,"")</f>
        <v>0</v>
      </c>
      <c r="S38" s="60">
        <f>R38</f>
        <v>0</v>
      </c>
      <c r="T38" s="59">
        <f>IFERROR(T39+T40+T41,"")</f>
        <v>0</v>
      </c>
      <c r="U38" s="59">
        <f>IFERROR(U39+U40+U41,"")</f>
        <v>0</v>
      </c>
      <c r="V38" s="59">
        <f>IFERROR(V39+V40+V41,"")</f>
        <v>0</v>
      </c>
      <c r="W38" s="59">
        <f>IFERROR(W39+W40+W41,"")</f>
        <v>0</v>
      </c>
      <c r="X38" s="60">
        <f>W38</f>
        <v>0</v>
      </c>
      <c r="Y38" s="59">
        <f>IFERROR(Y39+Y40+Y41,"")</f>
        <v>0</v>
      </c>
      <c r="Z38" s="59">
        <f>IFERROR(Z39+Z40+Z41,"")</f>
        <v>0</v>
      </c>
      <c r="AA38" s="59">
        <f>IFERROR(AA39+AA40+AA41,"")</f>
        <v>0</v>
      </c>
      <c r="AB38" s="59">
        <f>IFERROR(AB39+AB40+AB41,"")</f>
        <v>0</v>
      </c>
      <c r="AC38" s="60">
        <f>AB38</f>
        <v>0</v>
      </c>
      <c r="AD38" s="59">
        <f>IFERROR(AD39+AD40+AD41,"")</f>
        <v>0</v>
      </c>
      <c r="AE38" s="59">
        <f>IFERROR(AE39+AE40+AE41,"")</f>
        <v>0</v>
      </c>
      <c r="AF38" s="59">
        <f>IFERROR(AF39+AF40+AF41,"")</f>
        <v>0</v>
      </c>
      <c r="AG38" s="59">
        <f>IFERROR(AG39+AG40+AG41,"")</f>
        <v>0</v>
      </c>
      <c r="AH38" s="60">
        <f>AG38</f>
        <v>0</v>
      </c>
      <c r="AI38" s="59">
        <f>IFERROR(AI39+AI40+AI41,"")</f>
        <v>0</v>
      </c>
      <c r="AJ38" s="59">
        <f>IFERROR(AJ39+AJ40+AJ41,"")</f>
        <v>0</v>
      </c>
      <c r="AK38" s="59">
        <f>IFERROR(AK39+AK40+AK41,"")</f>
        <v>0</v>
      </c>
      <c r="AL38" s="59">
        <f>IFERROR(AL39+AL40+AL41,"")</f>
        <v>0</v>
      </c>
      <c r="AM38" s="60">
        <f>AL38</f>
        <v>0</v>
      </c>
      <c r="AN38" s="59">
        <f>IFERROR(AN39+AN40+AN41,"")</f>
        <v>0</v>
      </c>
      <c r="AO38" s="59">
        <f>IFERROR(AO39+AO40+AO41,"")</f>
        <v>0</v>
      </c>
      <c r="AP38" s="59">
        <f>IFERROR(AP39+AP40+AP41,"")</f>
        <v>0</v>
      </c>
      <c r="AQ38" s="59">
        <f>IFERROR(AQ39+AQ40+AQ41,"")</f>
        <v>0</v>
      </c>
      <c r="AR38" s="60">
        <f>AQ38</f>
        <v>0</v>
      </c>
      <c r="AS38" s="59">
        <f>IFERROR(AS39+AS40+AS41,"")</f>
        <v>0</v>
      </c>
      <c r="AT38" s="59">
        <f>IFERROR(AT39+AT40+AT41,"")</f>
        <v>0</v>
      </c>
      <c r="AU38" s="59">
        <f>IFERROR(AU39+AU40+AU41,"")</f>
        <v>0</v>
      </c>
      <c r="AV38" s="59">
        <f>IFERROR(AV39+AV40+AV41,"")</f>
        <v>0</v>
      </c>
      <c r="AW38" s="60">
        <f>AV38</f>
        <v>0</v>
      </c>
      <c r="AX38" s="59">
        <f>IFERROR(AX39+AX40+AX41,"")</f>
        <v>0</v>
      </c>
      <c r="AY38" s="59">
        <f>IFERROR(AY39+AY40+AY41,"")</f>
        <v>0</v>
      </c>
      <c r="AZ38" s="59">
        <f>IFERROR(AZ39+AZ40+AZ41,"")</f>
        <v>0</v>
      </c>
      <c r="BA38" s="59">
        <f>IFERROR(BA39+BA40+BA41,"")</f>
        <v>0</v>
      </c>
      <c r="BB38" s="60">
        <f>BA38</f>
        <v>0</v>
      </c>
      <c r="BC38" s="59">
        <f>IFERROR(BC39+BC40+BC41,"")</f>
        <v>0</v>
      </c>
      <c r="BD38" s="59">
        <f>IFERROR(BD39+BD40+BD41,"")</f>
        <v>0</v>
      </c>
      <c r="BE38" s="59">
        <f>IFERROR(BE39+BE40+BE41,"")</f>
        <v>0</v>
      </c>
      <c r="BF38" s="59">
        <f>IFERROR(BF39+BF40+BF41,"")</f>
        <v>0</v>
      </c>
      <c r="BG38" s="60">
        <f>BF38</f>
        <v>0</v>
      </c>
    </row>
    <row r="39" hidden="1" outlineLevel="1">
      <c r="B39" s="56" t="inlineStr">
        <is>
          <t>repo</t>
        </is>
      </c>
      <c r="C39" s="61" t="inlineStr">
        <is>
          <t>Fed funds comprados e compromissadas (repos)</t>
        </is>
      </c>
      <c r="D39" s="62" t="inlineStr">
        <is>
          <t>Fed funds purchased and securities sold under repurchase agreements</t>
        </is>
      </c>
      <c r="E39" s="57">
        <f>IF(ISNA(SUMIFS(INDEX(Inputs!$B$2:$AZ$190,,MATCH(SUBSTITUTE(E$3,"Q","T"),Inputs!$B$2:$AZ$2,0)),Inputs!$B$2:$B$190,$B39)*Inputs!$D$1),"",SUMIFS(INDEX(Inputs!$B$2:$AZ$190,,MATCH(SUBSTITUTE(E$3,"Q","T"),Inputs!$B$2:$AZ$2,0)),Inputs!$B$2:$B$190,$B39)*Inputs!$D$1)</f>
        <v>0</v>
      </c>
      <c r="F39" s="57">
        <f>IF(ISNA(SUMIFS(INDEX(Inputs!$B$2:$AZ$190,,MATCH(SUBSTITUTE(F$3,"Q","T"),Inputs!$B$2:$AZ$2,0)),Inputs!$B$2:$B$190,$B39)*Inputs!$D$1),"",SUMIFS(INDEX(Inputs!$B$2:$AZ$190,,MATCH(SUBSTITUTE(F$3,"Q","T"),Inputs!$B$2:$AZ$2,0)),Inputs!$B$2:$B$190,$B39)*Inputs!$D$1)</f>
        <v>0</v>
      </c>
      <c r="G39" s="57">
        <f>IF(ISNA(SUMIFS(INDEX(Inputs!$B$2:$AZ$190,,MATCH(SUBSTITUTE(G$3,"Q","T"),Inputs!$B$2:$AZ$2,0)),Inputs!$B$2:$B$190,$B39)*Inputs!$D$1),"",SUMIFS(INDEX(Inputs!$B$2:$AZ$190,,MATCH(SUBSTITUTE(G$3,"Q","T"),Inputs!$B$2:$AZ$2,0)),Inputs!$B$2:$B$190,$B39)*Inputs!$D$1)</f>
        <v>0</v>
      </c>
      <c r="H39" s="57">
        <f>IF(ISNA(SUMIFS(INDEX(Inputs!$B$2:$AZ$190,,MATCH(SUBSTITUTE(H$3,"Q","T"),Inputs!$B$2:$AZ$2,0)),Inputs!$B$2:$B$190,$B39)*Inputs!$D$1),"",SUMIFS(INDEX(Inputs!$B$2:$AZ$190,,MATCH(SUBSTITUTE(H$3,"Q","T"),Inputs!$B$2:$AZ$2,0)),Inputs!$B$2:$B$190,$B39)*Inputs!$D$1)</f>
        <v>0</v>
      </c>
      <c r="I39" s="58">
        <f>H39</f>
        <v>0</v>
      </c>
      <c r="J39" s="57">
        <f>IF(ISNA(SUMIFS(INDEX(Inputs!$B$2:$AZ$190,,MATCH(SUBSTITUTE(J$3,"Q","T"),Inputs!$B$2:$AZ$2,0)),Inputs!$B$2:$B$190,$B39)*Inputs!$D$1),"",SUMIFS(INDEX(Inputs!$B$2:$AZ$190,,MATCH(SUBSTITUTE(J$3,"Q","T"),Inputs!$B$2:$AZ$2,0)),Inputs!$B$2:$B$190,$B39)*Inputs!$D$1)</f>
        <v>0</v>
      </c>
      <c r="K39" s="57">
        <f>IF(ISNA(SUMIFS(INDEX(Inputs!$B$2:$AZ$190,,MATCH(SUBSTITUTE(K$3,"Q","T"),Inputs!$B$2:$AZ$2,0)),Inputs!$B$2:$B$190,$B39)*Inputs!$D$1),"",SUMIFS(INDEX(Inputs!$B$2:$AZ$190,,MATCH(SUBSTITUTE(K$3,"Q","T"),Inputs!$B$2:$AZ$2,0)),Inputs!$B$2:$B$190,$B39)*Inputs!$D$1)</f>
        <v>0</v>
      </c>
      <c r="L39" s="57">
        <f>IF(ISNA(SUMIFS(INDEX(Inputs!$B$2:$AZ$190,,MATCH(SUBSTITUTE(L$3,"Q","T"),Inputs!$B$2:$AZ$2,0)),Inputs!$B$2:$B$190,$B39)*Inputs!$D$1),"",SUMIFS(INDEX(Inputs!$B$2:$AZ$190,,MATCH(SUBSTITUTE(L$3,"Q","T"),Inputs!$B$2:$AZ$2,0)),Inputs!$B$2:$B$190,$B39)*Inputs!$D$1)</f>
        <v>0</v>
      </c>
      <c r="M39" s="57">
        <f>IF(ISNA(SUMIFS(INDEX(Inputs!$B$2:$AZ$190,,MATCH(SUBSTITUTE(M$3,"Q","T"),Inputs!$B$2:$AZ$2,0)),Inputs!$B$2:$B$190,$B39)*Inputs!$D$1),"",SUMIFS(INDEX(Inputs!$B$2:$AZ$190,,MATCH(SUBSTITUTE(M$3,"Q","T"),Inputs!$B$2:$AZ$2,0)),Inputs!$B$2:$B$190,$B39)*Inputs!$D$1)</f>
        <v>0</v>
      </c>
      <c r="N39" s="58">
        <f>M39</f>
        <v>0</v>
      </c>
      <c r="O39" s="57">
        <f>IF(ISNA(SUMIFS(INDEX(Inputs!$B$2:$AZ$190,,MATCH(SUBSTITUTE(O$3,"Q","T"),Inputs!$B$2:$AZ$2,0)),Inputs!$B$2:$B$190,$B39)*Inputs!$D$1),"",SUMIFS(INDEX(Inputs!$B$2:$AZ$190,,MATCH(SUBSTITUTE(O$3,"Q","T"),Inputs!$B$2:$AZ$2,0)),Inputs!$B$2:$B$190,$B39)*Inputs!$D$1)</f>
        <v>0</v>
      </c>
      <c r="P39" s="57">
        <f>IF(ISNA(SUMIFS(INDEX(Inputs!$B$2:$AZ$190,,MATCH(SUBSTITUTE(P$3,"Q","T"),Inputs!$B$2:$AZ$2,0)),Inputs!$B$2:$B$190,$B39)*Inputs!$D$1),"",SUMIFS(INDEX(Inputs!$B$2:$AZ$190,,MATCH(SUBSTITUTE(P$3,"Q","T"),Inputs!$B$2:$AZ$2,0)),Inputs!$B$2:$B$190,$B39)*Inputs!$D$1)</f>
        <v>0</v>
      </c>
      <c r="Q39" s="57">
        <f>IF(ISNA(SUMIFS(INDEX(Inputs!$B$2:$AZ$190,,MATCH(SUBSTITUTE(Q$3,"Q","T"),Inputs!$B$2:$AZ$2,0)),Inputs!$B$2:$B$190,$B39)*Inputs!$D$1),"",SUMIFS(INDEX(Inputs!$B$2:$AZ$190,,MATCH(SUBSTITUTE(Q$3,"Q","T"),Inputs!$B$2:$AZ$2,0)),Inputs!$B$2:$B$190,$B39)*Inputs!$D$1)</f>
        <v>0</v>
      </c>
      <c r="R39" s="57">
        <f>IF(ISNA(SUMIFS(INDEX(Inputs!$B$2:$AZ$190,,MATCH(SUBSTITUTE(R$3,"Q","T"),Inputs!$B$2:$AZ$2,0)),Inputs!$B$2:$B$190,$B39)*Inputs!$D$1),"",SUMIFS(INDEX(Inputs!$B$2:$AZ$190,,MATCH(SUBSTITUTE(R$3,"Q","T"),Inputs!$B$2:$AZ$2,0)),Inputs!$B$2:$B$190,$B39)*Inputs!$D$1)</f>
        <v>0</v>
      </c>
      <c r="S39" s="58">
        <f>R39</f>
        <v>0</v>
      </c>
      <c r="T39" s="57">
        <f>IF(ISNA(SUMIFS(INDEX(Inputs!$B$2:$AZ$190,,MATCH(SUBSTITUTE(T$3,"Q","T"),Inputs!$B$2:$AZ$2,0)),Inputs!$B$2:$B$190,$B39)*Inputs!$D$1),"",SUMIFS(INDEX(Inputs!$B$2:$AZ$190,,MATCH(SUBSTITUTE(T$3,"Q","T"),Inputs!$B$2:$AZ$2,0)),Inputs!$B$2:$B$190,$B39)*Inputs!$D$1)</f>
        <v>0</v>
      </c>
      <c r="U39" s="57">
        <f>IF(ISNA(SUMIFS(INDEX(Inputs!$B$2:$AZ$190,,MATCH(SUBSTITUTE(U$3,"Q","T"),Inputs!$B$2:$AZ$2,0)),Inputs!$B$2:$B$190,$B39)*Inputs!$D$1),"",SUMIFS(INDEX(Inputs!$B$2:$AZ$190,,MATCH(SUBSTITUTE(U$3,"Q","T"),Inputs!$B$2:$AZ$2,0)),Inputs!$B$2:$B$190,$B39)*Inputs!$D$1)</f>
        <v>0</v>
      </c>
      <c r="V39" s="57">
        <f>IF(ISNA(SUMIFS(INDEX(Inputs!$B$2:$AZ$190,,MATCH(SUBSTITUTE(V$3,"Q","T"),Inputs!$B$2:$AZ$2,0)),Inputs!$B$2:$B$190,$B39)*Inputs!$D$1),"",SUMIFS(INDEX(Inputs!$B$2:$AZ$190,,MATCH(SUBSTITUTE(V$3,"Q","T"),Inputs!$B$2:$AZ$2,0)),Inputs!$B$2:$B$190,$B39)*Inputs!$D$1)</f>
        <v>0</v>
      </c>
      <c r="W39" s="57">
        <f>IF(ISNA(SUMIFS(INDEX(Inputs!$B$2:$AZ$190,,MATCH(SUBSTITUTE(W$3,"Q","T"),Inputs!$B$2:$AZ$2,0)),Inputs!$B$2:$B$190,$B39)*Inputs!$D$1),"",SUMIFS(INDEX(Inputs!$B$2:$AZ$190,,MATCH(SUBSTITUTE(W$3,"Q","T"),Inputs!$B$2:$AZ$2,0)),Inputs!$B$2:$B$190,$B39)*Inputs!$D$1)</f>
        <v>0</v>
      </c>
      <c r="X39" s="58">
        <f>W39</f>
        <v>0</v>
      </c>
      <c r="Y39" s="57">
        <f>IF(ISNA(SUMIFS(INDEX(Inputs!$B$2:$AZ$190,,MATCH(SUBSTITUTE(Y$3,"Q","T"),Inputs!$B$2:$AZ$2,0)),Inputs!$B$2:$B$190,$B39)*Inputs!$D$1),"",SUMIFS(INDEX(Inputs!$B$2:$AZ$190,,MATCH(SUBSTITUTE(Y$3,"Q","T"),Inputs!$B$2:$AZ$2,0)),Inputs!$B$2:$B$190,$B39)*Inputs!$D$1)</f>
        <v>0</v>
      </c>
      <c r="Z39" s="57">
        <f>IF(ISNA(SUMIFS(INDEX(Inputs!$B$2:$AZ$190,,MATCH(SUBSTITUTE(Z$3,"Q","T"),Inputs!$B$2:$AZ$2,0)),Inputs!$B$2:$B$190,$B39)*Inputs!$D$1),"",SUMIFS(INDEX(Inputs!$B$2:$AZ$190,,MATCH(SUBSTITUTE(Z$3,"Q","T"),Inputs!$B$2:$AZ$2,0)),Inputs!$B$2:$B$190,$B39)*Inputs!$D$1)</f>
        <v>0</v>
      </c>
      <c r="AA39" s="57">
        <f>IF(ISNA(SUMIFS(INDEX(Inputs!$B$2:$AZ$190,,MATCH(SUBSTITUTE(AA$3,"Q","T"),Inputs!$B$2:$AZ$2,0)),Inputs!$B$2:$B$190,$B39)*Inputs!$D$1),"",SUMIFS(INDEX(Inputs!$B$2:$AZ$190,,MATCH(SUBSTITUTE(AA$3,"Q","T"),Inputs!$B$2:$AZ$2,0)),Inputs!$B$2:$B$190,$B39)*Inputs!$D$1)</f>
        <v>0</v>
      </c>
      <c r="AB39" s="57">
        <f>IF(ISNA(SUMIFS(INDEX(Inputs!$B$2:$AZ$190,,MATCH(SUBSTITUTE(AB$3,"Q","T"),Inputs!$B$2:$AZ$2,0)),Inputs!$B$2:$B$190,$B39)*Inputs!$D$1),"",SUMIFS(INDEX(Inputs!$B$2:$AZ$190,,MATCH(SUBSTITUTE(AB$3,"Q","T"),Inputs!$B$2:$AZ$2,0)),Inputs!$B$2:$B$190,$B39)*Inputs!$D$1)</f>
        <v>0</v>
      </c>
      <c r="AC39" s="58">
        <f>AB39</f>
        <v>0</v>
      </c>
      <c r="AD39" s="57">
        <f>IF(ISNA(SUMIFS(INDEX(Inputs!$B$2:$AZ$190,,MATCH(SUBSTITUTE(AD$3,"Q","T"),Inputs!$B$2:$AZ$2,0)),Inputs!$B$2:$B$190,$B39)*Inputs!$D$1),"",SUMIFS(INDEX(Inputs!$B$2:$AZ$190,,MATCH(SUBSTITUTE(AD$3,"Q","T"),Inputs!$B$2:$AZ$2,0)),Inputs!$B$2:$B$190,$B39)*Inputs!$D$1)</f>
        <v>0</v>
      </c>
      <c r="AE39" s="57">
        <f>IF(ISNA(SUMIFS(INDEX(Inputs!$B$2:$AZ$190,,MATCH(SUBSTITUTE(AE$3,"Q","T"),Inputs!$B$2:$AZ$2,0)),Inputs!$B$2:$B$190,$B39)*Inputs!$D$1),"",SUMIFS(INDEX(Inputs!$B$2:$AZ$190,,MATCH(SUBSTITUTE(AE$3,"Q","T"),Inputs!$B$2:$AZ$2,0)),Inputs!$B$2:$B$190,$B39)*Inputs!$D$1)</f>
        <v>0</v>
      </c>
      <c r="AF39" s="57">
        <f>IF(ISNA(SUMIFS(INDEX(Inputs!$B$2:$AZ$190,,MATCH(SUBSTITUTE(AF$3,"Q","T"),Inputs!$B$2:$AZ$2,0)),Inputs!$B$2:$B$190,$B39)*Inputs!$D$1),"",SUMIFS(INDEX(Inputs!$B$2:$AZ$190,,MATCH(SUBSTITUTE(AF$3,"Q","T"),Inputs!$B$2:$AZ$2,0)),Inputs!$B$2:$B$190,$B39)*Inputs!$D$1)</f>
        <v>0</v>
      </c>
      <c r="AG39" s="57">
        <f>IF(ISNA(SUMIFS(INDEX(Inputs!$B$2:$AZ$190,,MATCH(SUBSTITUTE(AG$3,"Q","T"),Inputs!$B$2:$AZ$2,0)),Inputs!$B$2:$B$190,$B39)*Inputs!$D$1),"",SUMIFS(INDEX(Inputs!$B$2:$AZ$190,,MATCH(SUBSTITUTE(AG$3,"Q","T"),Inputs!$B$2:$AZ$2,0)),Inputs!$B$2:$B$190,$B39)*Inputs!$D$1)</f>
        <v>0</v>
      </c>
      <c r="AH39" s="58">
        <f>AG39</f>
        <v>0</v>
      </c>
      <c r="AI39" s="57">
        <f>IF(ISNA(SUMIFS(INDEX(Inputs!$B$2:$AZ$190,,MATCH(SUBSTITUTE(AI$3,"Q","T"),Inputs!$B$2:$AZ$2,0)),Inputs!$B$2:$B$190,$B39)*Inputs!$D$1),"",SUMIFS(INDEX(Inputs!$B$2:$AZ$190,,MATCH(SUBSTITUTE(AI$3,"Q","T"),Inputs!$B$2:$AZ$2,0)),Inputs!$B$2:$B$190,$B39)*Inputs!$D$1)</f>
        <v>0</v>
      </c>
      <c r="AJ39" s="57">
        <f>IF(ISNA(SUMIFS(INDEX(Inputs!$B$2:$AZ$190,,MATCH(SUBSTITUTE(AJ$3,"Q","T"),Inputs!$B$2:$AZ$2,0)),Inputs!$B$2:$B$190,$B39)*Inputs!$D$1),"",SUMIFS(INDEX(Inputs!$B$2:$AZ$190,,MATCH(SUBSTITUTE(AJ$3,"Q","T"),Inputs!$B$2:$AZ$2,0)),Inputs!$B$2:$B$190,$B39)*Inputs!$D$1)</f>
        <v>0</v>
      </c>
      <c r="AK39" s="57">
        <f>IF(ISNA(SUMIFS(INDEX(Inputs!$B$2:$AZ$190,,MATCH(SUBSTITUTE(AK$3,"Q","T"),Inputs!$B$2:$AZ$2,0)),Inputs!$B$2:$B$190,$B39)*Inputs!$D$1),"",SUMIFS(INDEX(Inputs!$B$2:$AZ$190,,MATCH(SUBSTITUTE(AK$3,"Q","T"),Inputs!$B$2:$AZ$2,0)),Inputs!$B$2:$B$190,$B39)*Inputs!$D$1)</f>
        <v>0</v>
      </c>
      <c r="AL39" s="57">
        <f>IF(ISNA(SUMIFS(INDEX(Inputs!$B$2:$AZ$190,,MATCH(SUBSTITUTE(AL$3,"Q","T"),Inputs!$B$2:$AZ$2,0)),Inputs!$B$2:$B$190,$B39)*Inputs!$D$1),"",SUMIFS(INDEX(Inputs!$B$2:$AZ$190,,MATCH(SUBSTITUTE(AL$3,"Q","T"),Inputs!$B$2:$AZ$2,0)),Inputs!$B$2:$B$190,$B39)*Inputs!$D$1)</f>
        <v>0</v>
      </c>
      <c r="AM39" s="58">
        <f>AL39</f>
        <v>0</v>
      </c>
      <c r="AN39" s="57">
        <f>IF(ISNA(SUMIFS(INDEX(Inputs!$B$2:$AZ$190,,MATCH(SUBSTITUTE(AN$3,"Q","T"),Inputs!$B$2:$AZ$2,0)),Inputs!$B$2:$B$190,$B39)*Inputs!$D$1),"",SUMIFS(INDEX(Inputs!$B$2:$AZ$190,,MATCH(SUBSTITUTE(AN$3,"Q","T"),Inputs!$B$2:$AZ$2,0)),Inputs!$B$2:$B$190,$B39)*Inputs!$D$1)</f>
        <v>0</v>
      </c>
      <c r="AO39" s="57">
        <f>IF(ISNA(SUMIFS(INDEX(Inputs!$B$2:$AZ$190,,MATCH(SUBSTITUTE(AO$3,"Q","T"),Inputs!$B$2:$AZ$2,0)),Inputs!$B$2:$B$190,$B39)*Inputs!$D$1),"",SUMIFS(INDEX(Inputs!$B$2:$AZ$190,,MATCH(SUBSTITUTE(AO$3,"Q","T"),Inputs!$B$2:$AZ$2,0)),Inputs!$B$2:$B$190,$B39)*Inputs!$D$1)</f>
        <v>0</v>
      </c>
      <c r="AP39" s="57">
        <f>IF(ISNA(SUMIFS(INDEX(Inputs!$B$2:$AZ$190,,MATCH(SUBSTITUTE(AP$3,"Q","T"),Inputs!$B$2:$AZ$2,0)),Inputs!$B$2:$B$190,$B39)*Inputs!$D$1),"",SUMIFS(INDEX(Inputs!$B$2:$AZ$190,,MATCH(SUBSTITUTE(AP$3,"Q","T"),Inputs!$B$2:$AZ$2,0)),Inputs!$B$2:$B$190,$B39)*Inputs!$D$1)</f>
        <v>0</v>
      </c>
      <c r="AQ39" s="57">
        <f>IF(ISNA(SUMIFS(INDEX(Inputs!$B$2:$AZ$190,,MATCH(SUBSTITUTE(AQ$3,"Q","T"),Inputs!$B$2:$AZ$2,0)),Inputs!$B$2:$B$190,$B39)*Inputs!$D$1),"",SUMIFS(INDEX(Inputs!$B$2:$AZ$190,,MATCH(SUBSTITUTE(AQ$3,"Q","T"),Inputs!$B$2:$AZ$2,0)),Inputs!$B$2:$B$190,$B39)*Inputs!$D$1)</f>
        <v>0</v>
      </c>
      <c r="AR39" s="58">
        <f>AQ39</f>
        <v>0</v>
      </c>
      <c r="AS39" s="57">
        <f>IF(ISNA(SUMIFS(INDEX(Inputs!$B$2:$AZ$190,,MATCH(SUBSTITUTE(AS$3,"Q","T"),Inputs!$B$2:$AZ$2,0)),Inputs!$B$2:$B$190,$B39)*Inputs!$D$1),"",SUMIFS(INDEX(Inputs!$B$2:$AZ$190,,MATCH(SUBSTITUTE(AS$3,"Q","T"),Inputs!$B$2:$AZ$2,0)),Inputs!$B$2:$B$190,$B39)*Inputs!$D$1)</f>
        <v>0</v>
      </c>
      <c r="AT39" s="57">
        <f>IF(ISNA(SUMIFS(INDEX(Inputs!$B$2:$AZ$190,,MATCH(SUBSTITUTE(AT$3,"Q","T"),Inputs!$B$2:$AZ$2,0)),Inputs!$B$2:$B$190,$B39)*Inputs!$D$1),"",SUMIFS(INDEX(Inputs!$B$2:$AZ$190,,MATCH(SUBSTITUTE(AT$3,"Q","T"),Inputs!$B$2:$AZ$2,0)),Inputs!$B$2:$B$190,$B39)*Inputs!$D$1)</f>
        <v>0</v>
      </c>
      <c r="AU39" s="57">
        <f>IF(ISNA(SUMIFS(INDEX(Inputs!$B$2:$AZ$190,,MATCH(SUBSTITUTE(AU$3,"Q","T"),Inputs!$B$2:$AZ$2,0)),Inputs!$B$2:$B$190,$B39)*Inputs!$D$1),"",SUMIFS(INDEX(Inputs!$B$2:$AZ$190,,MATCH(SUBSTITUTE(AU$3,"Q","T"),Inputs!$B$2:$AZ$2,0)),Inputs!$B$2:$B$190,$B39)*Inputs!$D$1)</f>
        <v>0</v>
      </c>
      <c r="AV39" s="57">
        <f>IF(ISNA(SUMIFS(INDEX(Inputs!$B$2:$AZ$190,,MATCH(SUBSTITUTE(AV$3,"Q","T"),Inputs!$B$2:$AZ$2,0)),Inputs!$B$2:$B$190,$B39)*Inputs!$D$1),"",SUMIFS(INDEX(Inputs!$B$2:$AZ$190,,MATCH(SUBSTITUTE(AV$3,"Q","T"),Inputs!$B$2:$AZ$2,0)),Inputs!$B$2:$B$190,$B39)*Inputs!$D$1)</f>
        <v>0</v>
      </c>
      <c r="AW39" s="58">
        <f>AV39</f>
        <v>0</v>
      </c>
      <c r="AX39" s="57">
        <f>IF(ISNA(SUMIFS(INDEX(Inputs!$B$2:$AZ$190,,MATCH(SUBSTITUTE(AX$3,"Q","T"),Inputs!$B$2:$AZ$2,0)),Inputs!$B$2:$B$190,$B39)*Inputs!$D$1),"",SUMIFS(INDEX(Inputs!$B$2:$AZ$190,,MATCH(SUBSTITUTE(AX$3,"Q","T"),Inputs!$B$2:$AZ$2,0)),Inputs!$B$2:$B$190,$B39)*Inputs!$D$1)</f>
        <v>0</v>
      </c>
      <c r="AY39" s="57">
        <f>IF(ISNA(SUMIFS(INDEX(Inputs!$B$2:$AZ$190,,MATCH(SUBSTITUTE(AY$3,"Q","T"),Inputs!$B$2:$AZ$2,0)),Inputs!$B$2:$B$190,$B39)*Inputs!$D$1),"",SUMIFS(INDEX(Inputs!$B$2:$AZ$190,,MATCH(SUBSTITUTE(AY$3,"Q","T"),Inputs!$B$2:$AZ$2,0)),Inputs!$B$2:$B$190,$B39)*Inputs!$D$1)</f>
        <v>0</v>
      </c>
      <c r="AZ39" s="57">
        <f>IF(ISNA(SUMIFS(INDEX(Inputs!$B$2:$AZ$190,,MATCH(SUBSTITUTE(AZ$3,"Q","T"),Inputs!$B$2:$AZ$2,0)),Inputs!$B$2:$B$190,$B39)*Inputs!$D$1),"",SUMIFS(INDEX(Inputs!$B$2:$AZ$190,,MATCH(SUBSTITUTE(AZ$3,"Q","T"),Inputs!$B$2:$AZ$2,0)),Inputs!$B$2:$B$190,$B39)*Inputs!$D$1)</f>
        <v>0</v>
      </c>
      <c r="BA39" s="57">
        <f>IF(ISNA(SUMIFS(INDEX(Inputs!$B$2:$AZ$190,,MATCH(SUBSTITUTE(BA$3,"Q","T"),Inputs!$B$2:$AZ$2,0)),Inputs!$B$2:$B$190,$B39)*Inputs!$D$1),"",SUMIFS(INDEX(Inputs!$B$2:$AZ$190,,MATCH(SUBSTITUTE(BA$3,"Q","T"),Inputs!$B$2:$AZ$2,0)),Inputs!$B$2:$B$190,$B39)*Inputs!$D$1)</f>
        <v>0</v>
      </c>
      <c r="BB39" s="58">
        <f>BA39</f>
        <v>0</v>
      </c>
      <c r="BC39" s="57">
        <f>IF(ISNA(SUMIFS(INDEX(Inputs!$B$2:$AZ$190,,MATCH(SUBSTITUTE(BC$3,"Q","T"),Inputs!$B$2:$AZ$2,0)),Inputs!$B$2:$B$190,$B39)*Inputs!$D$1),"",SUMIFS(INDEX(Inputs!$B$2:$AZ$190,,MATCH(SUBSTITUTE(BC$3,"Q","T"),Inputs!$B$2:$AZ$2,0)),Inputs!$B$2:$B$190,$B39)*Inputs!$D$1)</f>
        <v>0</v>
      </c>
      <c r="BD39" s="57">
        <f>IF(ISNA(SUMIFS(INDEX(Inputs!$B$2:$AZ$190,,MATCH(SUBSTITUTE(BD$3,"Q","T"),Inputs!$B$2:$AZ$2,0)),Inputs!$B$2:$B$190,$B39)*Inputs!$D$1),"",SUMIFS(INDEX(Inputs!$B$2:$AZ$190,,MATCH(SUBSTITUTE(BD$3,"Q","T"),Inputs!$B$2:$AZ$2,0)),Inputs!$B$2:$B$190,$B39)*Inputs!$D$1)</f>
        <v>0</v>
      </c>
      <c r="BE39" s="57">
        <f>IF(ISNA(SUMIFS(INDEX(Inputs!$B$2:$AZ$190,,MATCH(SUBSTITUTE(BE$3,"Q","T"),Inputs!$B$2:$AZ$2,0)),Inputs!$B$2:$B$190,$B39)*Inputs!$D$1),"",SUMIFS(INDEX(Inputs!$B$2:$AZ$190,,MATCH(SUBSTITUTE(BE$3,"Q","T"),Inputs!$B$2:$AZ$2,0)),Inputs!$B$2:$B$190,$B39)*Inputs!$D$1)</f>
        <v>0</v>
      </c>
      <c r="BF39" s="57">
        <f>IF(ISNA(SUMIFS(INDEX(Inputs!$B$2:$AZ$190,,MATCH(SUBSTITUTE(BF$3,"Q","T"),Inputs!$B$2:$AZ$2,0)),Inputs!$B$2:$B$190,$B39)*Inputs!$D$1),"",SUMIFS(INDEX(Inputs!$B$2:$AZ$190,,MATCH(SUBSTITUTE(BF$3,"Q","T"),Inputs!$B$2:$AZ$2,0)),Inputs!$B$2:$B$190,$B39)*Inputs!$D$1)</f>
        <v>0</v>
      </c>
      <c r="BG39" s="58">
        <f>BF39</f>
        <v>0</v>
      </c>
    </row>
    <row r="40" hidden="1" outlineLevel="1">
      <c r="B40" s="56" t="inlineStr">
        <is>
          <t>st_borr</t>
        </is>
      </c>
      <c r="C40" s="61" t="inlineStr">
        <is>
          <t>Captações de curto prazo (short-term borrowings)</t>
        </is>
      </c>
      <c r="D40" s="62" t="inlineStr">
        <is>
          <t>Short-term borrowings</t>
        </is>
      </c>
      <c r="E40" s="57">
        <f>IF(ISNA(SUMIFS(INDEX(Inputs!$B$2:$AZ$190,,MATCH(SUBSTITUTE(E$3,"Q","T"),Inputs!$B$2:$AZ$2,0)),Inputs!$B$2:$B$190,$B40)*Inputs!$D$1),"",SUMIFS(INDEX(Inputs!$B$2:$AZ$190,,MATCH(SUBSTITUTE(E$3,"Q","T"),Inputs!$B$2:$AZ$2,0)),Inputs!$B$2:$B$190,$B40)*Inputs!$D$1)</f>
        <v>0</v>
      </c>
      <c r="F40" s="57">
        <f>IF(ISNA(SUMIFS(INDEX(Inputs!$B$2:$AZ$190,,MATCH(SUBSTITUTE(F$3,"Q","T"),Inputs!$B$2:$AZ$2,0)),Inputs!$B$2:$B$190,$B40)*Inputs!$D$1),"",SUMIFS(INDEX(Inputs!$B$2:$AZ$190,,MATCH(SUBSTITUTE(F$3,"Q","T"),Inputs!$B$2:$AZ$2,0)),Inputs!$B$2:$B$190,$B40)*Inputs!$D$1)</f>
        <v>0</v>
      </c>
      <c r="G40" s="57">
        <f>IF(ISNA(SUMIFS(INDEX(Inputs!$B$2:$AZ$190,,MATCH(SUBSTITUTE(G$3,"Q","T"),Inputs!$B$2:$AZ$2,0)),Inputs!$B$2:$B$190,$B40)*Inputs!$D$1),"",SUMIFS(INDEX(Inputs!$B$2:$AZ$190,,MATCH(SUBSTITUTE(G$3,"Q","T"),Inputs!$B$2:$AZ$2,0)),Inputs!$B$2:$B$190,$B40)*Inputs!$D$1)</f>
        <v>0</v>
      </c>
      <c r="H40" s="57">
        <f>IF(ISNA(SUMIFS(INDEX(Inputs!$B$2:$AZ$190,,MATCH(SUBSTITUTE(H$3,"Q","T"),Inputs!$B$2:$AZ$2,0)),Inputs!$B$2:$B$190,$B40)*Inputs!$D$1),"",SUMIFS(INDEX(Inputs!$B$2:$AZ$190,,MATCH(SUBSTITUTE(H$3,"Q","T"),Inputs!$B$2:$AZ$2,0)),Inputs!$B$2:$B$190,$B40)*Inputs!$D$1)</f>
        <v>0</v>
      </c>
      <c r="I40" s="58">
        <f>H40</f>
        <v>0</v>
      </c>
      <c r="J40" s="57">
        <f>IF(ISNA(SUMIFS(INDEX(Inputs!$B$2:$AZ$190,,MATCH(SUBSTITUTE(J$3,"Q","T"),Inputs!$B$2:$AZ$2,0)),Inputs!$B$2:$B$190,$B40)*Inputs!$D$1),"",SUMIFS(INDEX(Inputs!$B$2:$AZ$190,,MATCH(SUBSTITUTE(J$3,"Q","T"),Inputs!$B$2:$AZ$2,0)),Inputs!$B$2:$B$190,$B40)*Inputs!$D$1)</f>
        <v>0</v>
      </c>
      <c r="K40" s="57">
        <f>IF(ISNA(SUMIFS(INDEX(Inputs!$B$2:$AZ$190,,MATCH(SUBSTITUTE(K$3,"Q","T"),Inputs!$B$2:$AZ$2,0)),Inputs!$B$2:$B$190,$B40)*Inputs!$D$1),"",SUMIFS(INDEX(Inputs!$B$2:$AZ$190,,MATCH(SUBSTITUTE(K$3,"Q","T"),Inputs!$B$2:$AZ$2,0)),Inputs!$B$2:$B$190,$B40)*Inputs!$D$1)</f>
        <v>0</v>
      </c>
      <c r="L40" s="57">
        <f>IF(ISNA(SUMIFS(INDEX(Inputs!$B$2:$AZ$190,,MATCH(SUBSTITUTE(L$3,"Q","T"),Inputs!$B$2:$AZ$2,0)),Inputs!$B$2:$B$190,$B40)*Inputs!$D$1),"",SUMIFS(INDEX(Inputs!$B$2:$AZ$190,,MATCH(SUBSTITUTE(L$3,"Q","T"),Inputs!$B$2:$AZ$2,0)),Inputs!$B$2:$B$190,$B40)*Inputs!$D$1)</f>
        <v>0</v>
      </c>
      <c r="M40" s="57">
        <f>IF(ISNA(SUMIFS(INDEX(Inputs!$B$2:$AZ$190,,MATCH(SUBSTITUTE(M$3,"Q","T"),Inputs!$B$2:$AZ$2,0)),Inputs!$B$2:$B$190,$B40)*Inputs!$D$1),"",SUMIFS(INDEX(Inputs!$B$2:$AZ$190,,MATCH(SUBSTITUTE(M$3,"Q","T"),Inputs!$B$2:$AZ$2,0)),Inputs!$B$2:$B$190,$B40)*Inputs!$D$1)</f>
        <v>0</v>
      </c>
      <c r="N40" s="58">
        <f>M40</f>
        <v>0</v>
      </c>
      <c r="O40" s="57">
        <f>IF(ISNA(SUMIFS(INDEX(Inputs!$B$2:$AZ$190,,MATCH(SUBSTITUTE(O$3,"Q","T"),Inputs!$B$2:$AZ$2,0)),Inputs!$B$2:$B$190,$B40)*Inputs!$D$1),"",SUMIFS(INDEX(Inputs!$B$2:$AZ$190,,MATCH(SUBSTITUTE(O$3,"Q","T"),Inputs!$B$2:$AZ$2,0)),Inputs!$B$2:$B$190,$B40)*Inputs!$D$1)</f>
        <v>0</v>
      </c>
      <c r="P40" s="57">
        <f>IF(ISNA(SUMIFS(INDEX(Inputs!$B$2:$AZ$190,,MATCH(SUBSTITUTE(P$3,"Q","T"),Inputs!$B$2:$AZ$2,0)),Inputs!$B$2:$B$190,$B40)*Inputs!$D$1),"",SUMIFS(INDEX(Inputs!$B$2:$AZ$190,,MATCH(SUBSTITUTE(P$3,"Q","T"),Inputs!$B$2:$AZ$2,0)),Inputs!$B$2:$B$190,$B40)*Inputs!$D$1)</f>
        <v>0</v>
      </c>
      <c r="Q40" s="57">
        <f>IF(ISNA(SUMIFS(INDEX(Inputs!$B$2:$AZ$190,,MATCH(SUBSTITUTE(Q$3,"Q","T"),Inputs!$B$2:$AZ$2,0)),Inputs!$B$2:$B$190,$B40)*Inputs!$D$1),"",SUMIFS(INDEX(Inputs!$B$2:$AZ$190,,MATCH(SUBSTITUTE(Q$3,"Q","T"),Inputs!$B$2:$AZ$2,0)),Inputs!$B$2:$B$190,$B40)*Inputs!$D$1)</f>
        <v>0</v>
      </c>
      <c r="R40" s="57">
        <f>IF(ISNA(SUMIFS(INDEX(Inputs!$B$2:$AZ$190,,MATCH(SUBSTITUTE(R$3,"Q","T"),Inputs!$B$2:$AZ$2,0)),Inputs!$B$2:$B$190,$B40)*Inputs!$D$1),"",SUMIFS(INDEX(Inputs!$B$2:$AZ$190,,MATCH(SUBSTITUTE(R$3,"Q","T"),Inputs!$B$2:$AZ$2,0)),Inputs!$B$2:$B$190,$B40)*Inputs!$D$1)</f>
        <v>0</v>
      </c>
      <c r="S40" s="58">
        <f>R40</f>
        <v>0</v>
      </c>
      <c r="T40" s="57">
        <f>IF(ISNA(SUMIFS(INDEX(Inputs!$B$2:$AZ$190,,MATCH(SUBSTITUTE(T$3,"Q","T"),Inputs!$B$2:$AZ$2,0)),Inputs!$B$2:$B$190,$B40)*Inputs!$D$1),"",SUMIFS(INDEX(Inputs!$B$2:$AZ$190,,MATCH(SUBSTITUTE(T$3,"Q","T"),Inputs!$B$2:$AZ$2,0)),Inputs!$B$2:$B$190,$B40)*Inputs!$D$1)</f>
        <v>0</v>
      </c>
      <c r="U40" s="57">
        <f>IF(ISNA(SUMIFS(INDEX(Inputs!$B$2:$AZ$190,,MATCH(SUBSTITUTE(U$3,"Q","T"),Inputs!$B$2:$AZ$2,0)),Inputs!$B$2:$B$190,$B40)*Inputs!$D$1),"",SUMIFS(INDEX(Inputs!$B$2:$AZ$190,,MATCH(SUBSTITUTE(U$3,"Q","T"),Inputs!$B$2:$AZ$2,0)),Inputs!$B$2:$B$190,$B40)*Inputs!$D$1)</f>
        <v>0</v>
      </c>
      <c r="V40" s="57">
        <f>IF(ISNA(SUMIFS(INDEX(Inputs!$B$2:$AZ$190,,MATCH(SUBSTITUTE(V$3,"Q","T"),Inputs!$B$2:$AZ$2,0)),Inputs!$B$2:$B$190,$B40)*Inputs!$D$1),"",SUMIFS(INDEX(Inputs!$B$2:$AZ$190,,MATCH(SUBSTITUTE(V$3,"Q","T"),Inputs!$B$2:$AZ$2,0)),Inputs!$B$2:$B$190,$B40)*Inputs!$D$1)</f>
        <v>0</v>
      </c>
      <c r="W40" s="57">
        <f>IF(ISNA(SUMIFS(INDEX(Inputs!$B$2:$AZ$190,,MATCH(SUBSTITUTE(W$3,"Q","T"),Inputs!$B$2:$AZ$2,0)),Inputs!$B$2:$B$190,$B40)*Inputs!$D$1),"",SUMIFS(INDEX(Inputs!$B$2:$AZ$190,,MATCH(SUBSTITUTE(W$3,"Q","T"),Inputs!$B$2:$AZ$2,0)),Inputs!$B$2:$B$190,$B40)*Inputs!$D$1)</f>
        <v>0</v>
      </c>
      <c r="X40" s="58">
        <f>W40</f>
        <v>0</v>
      </c>
      <c r="Y40" s="57">
        <f>IF(ISNA(SUMIFS(INDEX(Inputs!$B$2:$AZ$190,,MATCH(SUBSTITUTE(Y$3,"Q","T"),Inputs!$B$2:$AZ$2,0)),Inputs!$B$2:$B$190,$B40)*Inputs!$D$1),"",SUMIFS(INDEX(Inputs!$B$2:$AZ$190,,MATCH(SUBSTITUTE(Y$3,"Q","T"),Inputs!$B$2:$AZ$2,0)),Inputs!$B$2:$B$190,$B40)*Inputs!$D$1)</f>
        <v>0</v>
      </c>
      <c r="Z40" s="57">
        <f>IF(ISNA(SUMIFS(INDEX(Inputs!$B$2:$AZ$190,,MATCH(SUBSTITUTE(Z$3,"Q","T"),Inputs!$B$2:$AZ$2,0)),Inputs!$B$2:$B$190,$B40)*Inputs!$D$1),"",SUMIFS(INDEX(Inputs!$B$2:$AZ$190,,MATCH(SUBSTITUTE(Z$3,"Q","T"),Inputs!$B$2:$AZ$2,0)),Inputs!$B$2:$B$190,$B40)*Inputs!$D$1)</f>
        <v>0</v>
      </c>
      <c r="AA40" s="57">
        <f>IF(ISNA(SUMIFS(INDEX(Inputs!$B$2:$AZ$190,,MATCH(SUBSTITUTE(AA$3,"Q","T"),Inputs!$B$2:$AZ$2,0)),Inputs!$B$2:$B$190,$B40)*Inputs!$D$1),"",SUMIFS(INDEX(Inputs!$B$2:$AZ$190,,MATCH(SUBSTITUTE(AA$3,"Q","T"),Inputs!$B$2:$AZ$2,0)),Inputs!$B$2:$B$190,$B40)*Inputs!$D$1)</f>
        <v>0</v>
      </c>
      <c r="AB40" s="57">
        <f>IF(ISNA(SUMIFS(INDEX(Inputs!$B$2:$AZ$190,,MATCH(SUBSTITUTE(AB$3,"Q","T"),Inputs!$B$2:$AZ$2,0)),Inputs!$B$2:$B$190,$B40)*Inputs!$D$1),"",SUMIFS(INDEX(Inputs!$B$2:$AZ$190,,MATCH(SUBSTITUTE(AB$3,"Q","T"),Inputs!$B$2:$AZ$2,0)),Inputs!$B$2:$B$190,$B40)*Inputs!$D$1)</f>
        <v>0</v>
      </c>
      <c r="AC40" s="58">
        <f>AB40</f>
        <v>0</v>
      </c>
      <c r="AD40" s="57">
        <f>IF(ISNA(SUMIFS(INDEX(Inputs!$B$2:$AZ$190,,MATCH(SUBSTITUTE(AD$3,"Q","T"),Inputs!$B$2:$AZ$2,0)),Inputs!$B$2:$B$190,$B40)*Inputs!$D$1),"",SUMIFS(INDEX(Inputs!$B$2:$AZ$190,,MATCH(SUBSTITUTE(AD$3,"Q","T"),Inputs!$B$2:$AZ$2,0)),Inputs!$B$2:$B$190,$B40)*Inputs!$D$1)</f>
        <v>0</v>
      </c>
      <c r="AE40" s="57">
        <f>IF(ISNA(SUMIFS(INDEX(Inputs!$B$2:$AZ$190,,MATCH(SUBSTITUTE(AE$3,"Q","T"),Inputs!$B$2:$AZ$2,0)),Inputs!$B$2:$B$190,$B40)*Inputs!$D$1),"",SUMIFS(INDEX(Inputs!$B$2:$AZ$190,,MATCH(SUBSTITUTE(AE$3,"Q","T"),Inputs!$B$2:$AZ$2,0)),Inputs!$B$2:$B$190,$B40)*Inputs!$D$1)</f>
        <v>0</v>
      </c>
      <c r="AF40" s="57">
        <f>IF(ISNA(SUMIFS(INDEX(Inputs!$B$2:$AZ$190,,MATCH(SUBSTITUTE(AF$3,"Q","T"),Inputs!$B$2:$AZ$2,0)),Inputs!$B$2:$B$190,$B40)*Inputs!$D$1),"",SUMIFS(INDEX(Inputs!$B$2:$AZ$190,,MATCH(SUBSTITUTE(AF$3,"Q","T"),Inputs!$B$2:$AZ$2,0)),Inputs!$B$2:$B$190,$B40)*Inputs!$D$1)</f>
        <v>0</v>
      </c>
      <c r="AG40" s="57">
        <f>IF(ISNA(SUMIFS(INDEX(Inputs!$B$2:$AZ$190,,MATCH(SUBSTITUTE(AG$3,"Q","T"),Inputs!$B$2:$AZ$2,0)),Inputs!$B$2:$B$190,$B40)*Inputs!$D$1),"",SUMIFS(INDEX(Inputs!$B$2:$AZ$190,,MATCH(SUBSTITUTE(AG$3,"Q","T"),Inputs!$B$2:$AZ$2,0)),Inputs!$B$2:$B$190,$B40)*Inputs!$D$1)</f>
        <v>0</v>
      </c>
      <c r="AH40" s="58">
        <f>AG40</f>
        <v>0</v>
      </c>
      <c r="AI40" s="57">
        <f>IF(ISNA(SUMIFS(INDEX(Inputs!$B$2:$AZ$190,,MATCH(SUBSTITUTE(AI$3,"Q","T"),Inputs!$B$2:$AZ$2,0)),Inputs!$B$2:$B$190,$B40)*Inputs!$D$1),"",SUMIFS(INDEX(Inputs!$B$2:$AZ$190,,MATCH(SUBSTITUTE(AI$3,"Q","T"),Inputs!$B$2:$AZ$2,0)),Inputs!$B$2:$B$190,$B40)*Inputs!$D$1)</f>
        <v>0</v>
      </c>
      <c r="AJ40" s="57">
        <f>IF(ISNA(SUMIFS(INDEX(Inputs!$B$2:$AZ$190,,MATCH(SUBSTITUTE(AJ$3,"Q","T"),Inputs!$B$2:$AZ$2,0)),Inputs!$B$2:$B$190,$B40)*Inputs!$D$1),"",SUMIFS(INDEX(Inputs!$B$2:$AZ$190,,MATCH(SUBSTITUTE(AJ$3,"Q","T"),Inputs!$B$2:$AZ$2,0)),Inputs!$B$2:$B$190,$B40)*Inputs!$D$1)</f>
        <v>0</v>
      </c>
      <c r="AK40" s="57">
        <f>IF(ISNA(SUMIFS(INDEX(Inputs!$B$2:$AZ$190,,MATCH(SUBSTITUTE(AK$3,"Q","T"),Inputs!$B$2:$AZ$2,0)),Inputs!$B$2:$B$190,$B40)*Inputs!$D$1),"",SUMIFS(INDEX(Inputs!$B$2:$AZ$190,,MATCH(SUBSTITUTE(AK$3,"Q","T"),Inputs!$B$2:$AZ$2,0)),Inputs!$B$2:$B$190,$B40)*Inputs!$D$1)</f>
        <v>0</v>
      </c>
      <c r="AL40" s="57">
        <f>IF(ISNA(SUMIFS(INDEX(Inputs!$B$2:$AZ$190,,MATCH(SUBSTITUTE(AL$3,"Q","T"),Inputs!$B$2:$AZ$2,0)),Inputs!$B$2:$B$190,$B40)*Inputs!$D$1),"",SUMIFS(INDEX(Inputs!$B$2:$AZ$190,,MATCH(SUBSTITUTE(AL$3,"Q","T"),Inputs!$B$2:$AZ$2,0)),Inputs!$B$2:$B$190,$B40)*Inputs!$D$1)</f>
        <v>0</v>
      </c>
      <c r="AM40" s="58">
        <f>AL40</f>
        <v>0</v>
      </c>
      <c r="AN40" s="57">
        <f>IF(ISNA(SUMIFS(INDEX(Inputs!$B$2:$AZ$190,,MATCH(SUBSTITUTE(AN$3,"Q","T"),Inputs!$B$2:$AZ$2,0)),Inputs!$B$2:$B$190,$B40)*Inputs!$D$1),"",SUMIFS(INDEX(Inputs!$B$2:$AZ$190,,MATCH(SUBSTITUTE(AN$3,"Q","T"),Inputs!$B$2:$AZ$2,0)),Inputs!$B$2:$B$190,$B40)*Inputs!$D$1)</f>
        <v>0</v>
      </c>
      <c r="AO40" s="57">
        <f>IF(ISNA(SUMIFS(INDEX(Inputs!$B$2:$AZ$190,,MATCH(SUBSTITUTE(AO$3,"Q","T"),Inputs!$B$2:$AZ$2,0)),Inputs!$B$2:$B$190,$B40)*Inputs!$D$1),"",SUMIFS(INDEX(Inputs!$B$2:$AZ$190,,MATCH(SUBSTITUTE(AO$3,"Q","T"),Inputs!$B$2:$AZ$2,0)),Inputs!$B$2:$B$190,$B40)*Inputs!$D$1)</f>
        <v>0</v>
      </c>
      <c r="AP40" s="57">
        <f>IF(ISNA(SUMIFS(INDEX(Inputs!$B$2:$AZ$190,,MATCH(SUBSTITUTE(AP$3,"Q","T"),Inputs!$B$2:$AZ$2,0)),Inputs!$B$2:$B$190,$B40)*Inputs!$D$1),"",SUMIFS(INDEX(Inputs!$B$2:$AZ$190,,MATCH(SUBSTITUTE(AP$3,"Q","T"),Inputs!$B$2:$AZ$2,0)),Inputs!$B$2:$B$190,$B40)*Inputs!$D$1)</f>
        <v>0</v>
      </c>
      <c r="AQ40" s="57">
        <f>IF(ISNA(SUMIFS(INDEX(Inputs!$B$2:$AZ$190,,MATCH(SUBSTITUTE(AQ$3,"Q","T"),Inputs!$B$2:$AZ$2,0)),Inputs!$B$2:$B$190,$B40)*Inputs!$D$1),"",SUMIFS(INDEX(Inputs!$B$2:$AZ$190,,MATCH(SUBSTITUTE(AQ$3,"Q","T"),Inputs!$B$2:$AZ$2,0)),Inputs!$B$2:$B$190,$B40)*Inputs!$D$1)</f>
        <v>0</v>
      </c>
      <c r="AR40" s="58">
        <f>AQ40</f>
        <v>0</v>
      </c>
      <c r="AS40" s="57">
        <f>IF(ISNA(SUMIFS(INDEX(Inputs!$B$2:$AZ$190,,MATCH(SUBSTITUTE(AS$3,"Q","T"),Inputs!$B$2:$AZ$2,0)),Inputs!$B$2:$B$190,$B40)*Inputs!$D$1),"",SUMIFS(INDEX(Inputs!$B$2:$AZ$190,,MATCH(SUBSTITUTE(AS$3,"Q","T"),Inputs!$B$2:$AZ$2,0)),Inputs!$B$2:$B$190,$B40)*Inputs!$D$1)</f>
        <v>0</v>
      </c>
      <c r="AT40" s="57">
        <f>IF(ISNA(SUMIFS(INDEX(Inputs!$B$2:$AZ$190,,MATCH(SUBSTITUTE(AT$3,"Q","T"),Inputs!$B$2:$AZ$2,0)),Inputs!$B$2:$B$190,$B40)*Inputs!$D$1),"",SUMIFS(INDEX(Inputs!$B$2:$AZ$190,,MATCH(SUBSTITUTE(AT$3,"Q","T"),Inputs!$B$2:$AZ$2,0)),Inputs!$B$2:$B$190,$B40)*Inputs!$D$1)</f>
        <v>0</v>
      </c>
      <c r="AU40" s="57">
        <f>IF(ISNA(SUMIFS(INDEX(Inputs!$B$2:$AZ$190,,MATCH(SUBSTITUTE(AU$3,"Q","T"),Inputs!$B$2:$AZ$2,0)),Inputs!$B$2:$B$190,$B40)*Inputs!$D$1),"",SUMIFS(INDEX(Inputs!$B$2:$AZ$190,,MATCH(SUBSTITUTE(AU$3,"Q","T"),Inputs!$B$2:$AZ$2,0)),Inputs!$B$2:$B$190,$B40)*Inputs!$D$1)</f>
        <v>0</v>
      </c>
      <c r="AV40" s="57">
        <f>IF(ISNA(SUMIFS(INDEX(Inputs!$B$2:$AZ$190,,MATCH(SUBSTITUTE(AV$3,"Q","T"),Inputs!$B$2:$AZ$2,0)),Inputs!$B$2:$B$190,$B40)*Inputs!$D$1),"",SUMIFS(INDEX(Inputs!$B$2:$AZ$190,,MATCH(SUBSTITUTE(AV$3,"Q","T"),Inputs!$B$2:$AZ$2,0)),Inputs!$B$2:$B$190,$B40)*Inputs!$D$1)</f>
        <v>0</v>
      </c>
      <c r="AW40" s="58">
        <f>AV40</f>
        <v>0</v>
      </c>
      <c r="AX40" s="57">
        <f>IF(ISNA(SUMIFS(INDEX(Inputs!$B$2:$AZ$190,,MATCH(SUBSTITUTE(AX$3,"Q","T"),Inputs!$B$2:$AZ$2,0)),Inputs!$B$2:$B$190,$B40)*Inputs!$D$1),"",SUMIFS(INDEX(Inputs!$B$2:$AZ$190,,MATCH(SUBSTITUTE(AX$3,"Q","T"),Inputs!$B$2:$AZ$2,0)),Inputs!$B$2:$B$190,$B40)*Inputs!$D$1)</f>
        <v>0</v>
      </c>
      <c r="AY40" s="57">
        <f>IF(ISNA(SUMIFS(INDEX(Inputs!$B$2:$AZ$190,,MATCH(SUBSTITUTE(AY$3,"Q","T"),Inputs!$B$2:$AZ$2,0)),Inputs!$B$2:$B$190,$B40)*Inputs!$D$1),"",SUMIFS(INDEX(Inputs!$B$2:$AZ$190,,MATCH(SUBSTITUTE(AY$3,"Q","T"),Inputs!$B$2:$AZ$2,0)),Inputs!$B$2:$B$190,$B40)*Inputs!$D$1)</f>
        <v>0</v>
      </c>
      <c r="AZ40" s="57">
        <f>IF(ISNA(SUMIFS(INDEX(Inputs!$B$2:$AZ$190,,MATCH(SUBSTITUTE(AZ$3,"Q","T"),Inputs!$B$2:$AZ$2,0)),Inputs!$B$2:$B$190,$B40)*Inputs!$D$1),"",SUMIFS(INDEX(Inputs!$B$2:$AZ$190,,MATCH(SUBSTITUTE(AZ$3,"Q","T"),Inputs!$B$2:$AZ$2,0)),Inputs!$B$2:$B$190,$B40)*Inputs!$D$1)</f>
        <v>0</v>
      </c>
      <c r="BA40" s="57">
        <f>IF(ISNA(SUMIFS(INDEX(Inputs!$B$2:$AZ$190,,MATCH(SUBSTITUTE(BA$3,"Q","T"),Inputs!$B$2:$AZ$2,0)),Inputs!$B$2:$B$190,$B40)*Inputs!$D$1),"",SUMIFS(INDEX(Inputs!$B$2:$AZ$190,,MATCH(SUBSTITUTE(BA$3,"Q","T"),Inputs!$B$2:$AZ$2,0)),Inputs!$B$2:$B$190,$B40)*Inputs!$D$1)</f>
        <v>0</v>
      </c>
      <c r="BB40" s="58">
        <f>BA40</f>
        <v>0</v>
      </c>
      <c r="BC40" s="57">
        <f>IF(ISNA(SUMIFS(INDEX(Inputs!$B$2:$AZ$190,,MATCH(SUBSTITUTE(BC$3,"Q","T"),Inputs!$B$2:$AZ$2,0)),Inputs!$B$2:$B$190,$B40)*Inputs!$D$1),"",SUMIFS(INDEX(Inputs!$B$2:$AZ$190,,MATCH(SUBSTITUTE(BC$3,"Q","T"),Inputs!$B$2:$AZ$2,0)),Inputs!$B$2:$B$190,$B40)*Inputs!$D$1)</f>
        <v>0</v>
      </c>
      <c r="BD40" s="57">
        <f>IF(ISNA(SUMIFS(INDEX(Inputs!$B$2:$AZ$190,,MATCH(SUBSTITUTE(BD$3,"Q","T"),Inputs!$B$2:$AZ$2,0)),Inputs!$B$2:$B$190,$B40)*Inputs!$D$1),"",SUMIFS(INDEX(Inputs!$B$2:$AZ$190,,MATCH(SUBSTITUTE(BD$3,"Q","T"),Inputs!$B$2:$AZ$2,0)),Inputs!$B$2:$B$190,$B40)*Inputs!$D$1)</f>
        <v>0</v>
      </c>
      <c r="BE40" s="57">
        <f>IF(ISNA(SUMIFS(INDEX(Inputs!$B$2:$AZ$190,,MATCH(SUBSTITUTE(BE$3,"Q","T"),Inputs!$B$2:$AZ$2,0)),Inputs!$B$2:$B$190,$B40)*Inputs!$D$1),"",SUMIFS(INDEX(Inputs!$B$2:$AZ$190,,MATCH(SUBSTITUTE(BE$3,"Q","T"),Inputs!$B$2:$AZ$2,0)),Inputs!$B$2:$B$190,$B40)*Inputs!$D$1)</f>
        <v>0</v>
      </c>
      <c r="BF40" s="57">
        <f>IF(ISNA(SUMIFS(INDEX(Inputs!$B$2:$AZ$190,,MATCH(SUBSTITUTE(BF$3,"Q","T"),Inputs!$B$2:$AZ$2,0)),Inputs!$B$2:$B$190,$B40)*Inputs!$D$1),"",SUMIFS(INDEX(Inputs!$B$2:$AZ$190,,MATCH(SUBSTITUTE(BF$3,"Q","T"),Inputs!$B$2:$AZ$2,0)),Inputs!$B$2:$B$190,$B40)*Inputs!$D$1)</f>
        <v>0</v>
      </c>
      <c r="BG40" s="58">
        <f>BF40</f>
        <v>0</v>
      </c>
    </row>
    <row r="41" hidden="1" outlineLevel="1">
      <c r="B41" s="56" t="inlineStr">
        <is>
          <t>sec_loaned</t>
        </is>
      </c>
      <c r="C41" s="61" t="inlineStr">
        <is>
          <t>Títulos emprestados (securities loaned, quando à parte)</t>
        </is>
      </c>
      <c r="D41" s="62" t="inlineStr">
        <is>
          <t>Securities loaned, if separate</t>
        </is>
      </c>
      <c r="E41" s="57">
        <f>IF(ISNA(SUMIFS(INDEX(Inputs!$B$2:$AZ$190,,MATCH(SUBSTITUTE(E$3,"Q","T"),Inputs!$B$2:$AZ$2,0)),Inputs!$B$2:$B$190,$B41)*Inputs!$D$1),"",SUMIFS(INDEX(Inputs!$B$2:$AZ$190,,MATCH(SUBSTITUTE(E$3,"Q","T"),Inputs!$B$2:$AZ$2,0)),Inputs!$B$2:$B$190,$B41)*Inputs!$D$1)</f>
        <v>0</v>
      </c>
      <c r="F41" s="57">
        <f>IF(ISNA(SUMIFS(INDEX(Inputs!$B$2:$AZ$190,,MATCH(SUBSTITUTE(F$3,"Q","T"),Inputs!$B$2:$AZ$2,0)),Inputs!$B$2:$B$190,$B41)*Inputs!$D$1),"",SUMIFS(INDEX(Inputs!$B$2:$AZ$190,,MATCH(SUBSTITUTE(F$3,"Q","T"),Inputs!$B$2:$AZ$2,0)),Inputs!$B$2:$B$190,$B41)*Inputs!$D$1)</f>
        <v>0</v>
      </c>
      <c r="G41" s="57">
        <f>IF(ISNA(SUMIFS(INDEX(Inputs!$B$2:$AZ$190,,MATCH(SUBSTITUTE(G$3,"Q","T"),Inputs!$B$2:$AZ$2,0)),Inputs!$B$2:$B$190,$B41)*Inputs!$D$1),"",SUMIFS(INDEX(Inputs!$B$2:$AZ$190,,MATCH(SUBSTITUTE(G$3,"Q","T"),Inputs!$B$2:$AZ$2,0)),Inputs!$B$2:$B$190,$B41)*Inputs!$D$1)</f>
        <v>0</v>
      </c>
      <c r="H41" s="57">
        <f>IF(ISNA(SUMIFS(INDEX(Inputs!$B$2:$AZ$190,,MATCH(SUBSTITUTE(H$3,"Q","T"),Inputs!$B$2:$AZ$2,0)),Inputs!$B$2:$B$190,$B41)*Inputs!$D$1),"",SUMIFS(INDEX(Inputs!$B$2:$AZ$190,,MATCH(SUBSTITUTE(H$3,"Q","T"),Inputs!$B$2:$AZ$2,0)),Inputs!$B$2:$B$190,$B41)*Inputs!$D$1)</f>
        <v>0</v>
      </c>
      <c r="I41" s="58">
        <f>H41</f>
        <v>0</v>
      </c>
      <c r="J41" s="57">
        <f>IF(ISNA(SUMIFS(INDEX(Inputs!$B$2:$AZ$190,,MATCH(SUBSTITUTE(J$3,"Q","T"),Inputs!$B$2:$AZ$2,0)),Inputs!$B$2:$B$190,$B41)*Inputs!$D$1),"",SUMIFS(INDEX(Inputs!$B$2:$AZ$190,,MATCH(SUBSTITUTE(J$3,"Q","T"),Inputs!$B$2:$AZ$2,0)),Inputs!$B$2:$B$190,$B41)*Inputs!$D$1)</f>
        <v>0</v>
      </c>
      <c r="K41" s="57">
        <f>IF(ISNA(SUMIFS(INDEX(Inputs!$B$2:$AZ$190,,MATCH(SUBSTITUTE(K$3,"Q","T"),Inputs!$B$2:$AZ$2,0)),Inputs!$B$2:$B$190,$B41)*Inputs!$D$1),"",SUMIFS(INDEX(Inputs!$B$2:$AZ$190,,MATCH(SUBSTITUTE(K$3,"Q","T"),Inputs!$B$2:$AZ$2,0)),Inputs!$B$2:$B$190,$B41)*Inputs!$D$1)</f>
        <v>0</v>
      </c>
      <c r="L41" s="57">
        <f>IF(ISNA(SUMIFS(INDEX(Inputs!$B$2:$AZ$190,,MATCH(SUBSTITUTE(L$3,"Q","T"),Inputs!$B$2:$AZ$2,0)),Inputs!$B$2:$B$190,$B41)*Inputs!$D$1),"",SUMIFS(INDEX(Inputs!$B$2:$AZ$190,,MATCH(SUBSTITUTE(L$3,"Q","T"),Inputs!$B$2:$AZ$2,0)),Inputs!$B$2:$B$190,$B41)*Inputs!$D$1)</f>
        <v>0</v>
      </c>
      <c r="M41" s="57">
        <f>IF(ISNA(SUMIFS(INDEX(Inputs!$B$2:$AZ$190,,MATCH(SUBSTITUTE(M$3,"Q","T"),Inputs!$B$2:$AZ$2,0)),Inputs!$B$2:$B$190,$B41)*Inputs!$D$1),"",SUMIFS(INDEX(Inputs!$B$2:$AZ$190,,MATCH(SUBSTITUTE(M$3,"Q","T"),Inputs!$B$2:$AZ$2,0)),Inputs!$B$2:$B$190,$B41)*Inputs!$D$1)</f>
        <v>0</v>
      </c>
      <c r="N41" s="58">
        <f>M41</f>
        <v>0</v>
      </c>
      <c r="O41" s="57">
        <f>IF(ISNA(SUMIFS(INDEX(Inputs!$B$2:$AZ$190,,MATCH(SUBSTITUTE(O$3,"Q","T"),Inputs!$B$2:$AZ$2,0)),Inputs!$B$2:$B$190,$B41)*Inputs!$D$1),"",SUMIFS(INDEX(Inputs!$B$2:$AZ$190,,MATCH(SUBSTITUTE(O$3,"Q","T"),Inputs!$B$2:$AZ$2,0)),Inputs!$B$2:$B$190,$B41)*Inputs!$D$1)</f>
        <v>0</v>
      </c>
      <c r="P41" s="57">
        <f>IF(ISNA(SUMIFS(INDEX(Inputs!$B$2:$AZ$190,,MATCH(SUBSTITUTE(P$3,"Q","T"),Inputs!$B$2:$AZ$2,0)),Inputs!$B$2:$B$190,$B41)*Inputs!$D$1),"",SUMIFS(INDEX(Inputs!$B$2:$AZ$190,,MATCH(SUBSTITUTE(P$3,"Q","T"),Inputs!$B$2:$AZ$2,0)),Inputs!$B$2:$B$190,$B41)*Inputs!$D$1)</f>
        <v>0</v>
      </c>
      <c r="Q41" s="57">
        <f>IF(ISNA(SUMIFS(INDEX(Inputs!$B$2:$AZ$190,,MATCH(SUBSTITUTE(Q$3,"Q","T"),Inputs!$B$2:$AZ$2,0)),Inputs!$B$2:$B$190,$B41)*Inputs!$D$1),"",SUMIFS(INDEX(Inputs!$B$2:$AZ$190,,MATCH(SUBSTITUTE(Q$3,"Q","T"),Inputs!$B$2:$AZ$2,0)),Inputs!$B$2:$B$190,$B41)*Inputs!$D$1)</f>
        <v>0</v>
      </c>
      <c r="R41" s="57">
        <f>IF(ISNA(SUMIFS(INDEX(Inputs!$B$2:$AZ$190,,MATCH(SUBSTITUTE(R$3,"Q","T"),Inputs!$B$2:$AZ$2,0)),Inputs!$B$2:$B$190,$B41)*Inputs!$D$1),"",SUMIFS(INDEX(Inputs!$B$2:$AZ$190,,MATCH(SUBSTITUTE(R$3,"Q","T"),Inputs!$B$2:$AZ$2,0)),Inputs!$B$2:$B$190,$B41)*Inputs!$D$1)</f>
        <v>0</v>
      </c>
      <c r="S41" s="58">
        <f>R41</f>
        <v>0</v>
      </c>
      <c r="T41" s="57">
        <f>IF(ISNA(SUMIFS(INDEX(Inputs!$B$2:$AZ$190,,MATCH(SUBSTITUTE(T$3,"Q","T"),Inputs!$B$2:$AZ$2,0)),Inputs!$B$2:$B$190,$B41)*Inputs!$D$1),"",SUMIFS(INDEX(Inputs!$B$2:$AZ$190,,MATCH(SUBSTITUTE(T$3,"Q","T"),Inputs!$B$2:$AZ$2,0)),Inputs!$B$2:$B$190,$B41)*Inputs!$D$1)</f>
        <v>0</v>
      </c>
      <c r="U41" s="57">
        <f>IF(ISNA(SUMIFS(INDEX(Inputs!$B$2:$AZ$190,,MATCH(SUBSTITUTE(U$3,"Q","T"),Inputs!$B$2:$AZ$2,0)),Inputs!$B$2:$B$190,$B41)*Inputs!$D$1),"",SUMIFS(INDEX(Inputs!$B$2:$AZ$190,,MATCH(SUBSTITUTE(U$3,"Q","T"),Inputs!$B$2:$AZ$2,0)),Inputs!$B$2:$B$190,$B41)*Inputs!$D$1)</f>
        <v>0</v>
      </c>
      <c r="V41" s="57">
        <f>IF(ISNA(SUMIFS(INDEX(Inputs!$B$2:$AZ$190,,MATCH(SUBSTITUTE(V$3,"Q","T"),Inputs!$B$2:$AZ$2,0)),Inputs!$B$2:$B$190,$B41)*Inputs!$D$1),"",SUMIFS(INDEX(Inputs!$B$2:$AZ$190,,MATCH(SUBSTITUTE(V$3,"Q","T"),Inputs!$B$2:$AZ$2,0)),Inputs!$B$2:$B$190,$B41)*Inputs!$D$1)</f>
        <v>0</v>
      </c>
      <c r="W41" s="57">
        <f>IF(ISNA(SUMIFS(INDEX(Inputs!$B$2:$AZ$190,,MATCH(SUBSTITUTE(W$3,"Q","T"),Inputs!$B$2:$AZ$2,0)),Inputs!$B$2:$B$190,$B41)*Inputs!$D$1),"",SUMIFS(INDEX(Inputs!$B$2:$AZ$190,,MATCH(SUBSTITUTE(W$3,"Q","T"),Inputs!$B$2:$AZ$2,0)),Inputs!$B$2:$B$190,$B41)*Inputs!$D$1)</f>
        <v>0</v>
      </c>
      <c r="X41" s="58">
        <f>W41</f>
        <v>0</v>
      </c>
      <c r="Y41" s="57">
        <f>IF(ISNA(SUMIFS(INDEX(Inputs!$B$2:$AZ$190,,MATCH(SUBSTITUTE(Y$3,"Q","T"),Inputs!$B$2:$AZ$2,0)),Inputs!$B$2:$B$190,$B41)*Inputs!$D$1),"",SUMIFS(INDEX(Inputs!$B$2:$AZ$190,,MATCH(SUBSTITUTE(Y$3,"Q","T"),Inputs!$B$2:$AZ$2,0)),Inputs!$B$2:$B$190,$B41)*Inputs!$D$1)</f>
        <v>0</v>
      </c>
      <c r="Z41" s="57">
        <f>IF(ISNA(SUMIFS(INDEX(Inputs!$B$2:$AZ$190,,MATCH(SUBSTITUTE(Z$3,"Q","T"),Inputs!$B$2:$AZ$2,0)),Inputs!$B$2:$B$190,$B41)*Inputs!$D$1),"",SUMIFS(INDEX(Inputs!$B$2:$AZ$190,,MATCH(SUBSTITUTE(Z$3,"Q","T"),Inputs!$B$2:$AZ$2,0)),Inputs!$B$2:$B$190,$B41)*Inputs!$D$1)</f>
        <v>0</v>
      </c>
      <c r="AA41" s="57">
        <f>IF(ISNA(SUMIFS(INDEX(Inputs!$B$2:$AZ$190,,MATCH(SUBSTITUTE(AA$3,"Q","T"),Inputs!$B$2:$AZ$2,0)),Inputs!$B$2:$B$190,$B41)*Inputs!$D$1),"",SUMIFS(INDEX(Inputs!$B$2:$AZ$190,,MATCH(SUBSTITUTE(AA$3,"Q","T"),Inputs!$B$2:$AZ$2,0)),Inputs!$B$2:$B$190,$B41)*Inputs!$D$1)</f>
        <v>0</v>
      </c>
      <c r="AB41" s="57">
        <f>IF(ISNA(SUMIFS(INDEX(Inputs!$B$2:$AZ$190,,MATCH(SUBSTITUTE(AB$3,"Q","T"),Inputs!$B$2:$AZ$2,0)),Inputs!$B$2:$B$190,$B41)*Inputs!$D$1),"",SUMIFS(INDEX(Inputs!$B$2:$AZ$190,,MATCH(SUBSTITUTE(AB$3,"Q","T"),Inputs!$B$2:$AZ$2,0)),Inputs!$B$2:$B$190,$B41)*Inputs!$D$1)</f>
        <v>0</v>
      </c>
      <c r="AC41" s="58">
        <f>AB41</f>
        <v>0</v>
      </c>
      <c r="AD41" s="57">
        <f>IF(ISNA(SUMIFS(INDEX(Inputs!$B$2:$AZ$190,,MATCH(SUBSTITUTE(AD$3,"Q","T"),Inputs!$B$2:$AZ$2,0)),Inputs!$B$2:$B$190,$B41)*Inputs!$D$1),"",SUMIFS(INDEX(Inputs!$B$2:$AZ$190,,MATCH(SUBSTITUTE(AD$3,"Q","T"),Inputs!$B$2:$AZ$2,0)),Inputs!$B$2:$B$190,$B41)*Inputs!$D$1)</f>
        <v>0</v>
      </c>
      <c r="AE41" s="57">
        <f>IF(ISNA(SUMIFS(INDEX(Inputs!$B$2:$AZ$190,,MATCH(SUBSTITUTE(AE$3,"Q","T"),Inputs!$B$2:$AZ$2,0)),Inputs!$B$2:$B$190,$B41)*Inputs!$D$1),"",SUMIFS(INDEX(Inputs!$B$2:$AZ$190,,MATCH(SUBSTITUTE(AE$3,"Q","T"),Inputs!$B$2:$AZ$2,0)),Inputs!$B$2:$B$190,$B41)*Inputs!$D$1)</f>
        <v>0</v>
      </c>
      <c r="AF41" s="57">
        <f>IF(ISNA(SUMIFS(INDEX(Inputs!$B$2:$AZ$190,,MATCH(SUBSTITUTE(AF$3,"Q","T"),Inputs!$B$2:$AZ$2,0)),Inputs!$B$2:$B$190,$B41)*Inputs!$D$1),"",SUMIFS(INDEX(Inputs!$B$2:$AZ$190,,MATCH(SUBSTITUTE(AF$3,"Q","T"),Inputs!$B$2:$AZ$2,0)),Inputs!$B$2:$B$190,$B41)*Inputs!$D$1)</f>
        <v>0</v>
      </c>
      <c r="AG41" s="57">
        <f>IF(ISNA(SUMIFS(INDEX(Inputs!$B$2:$AZ$190,,MATCH(SUBSTITUTE(AG$3,"Q","T"),Inputs!$B$2:$AZ$2,0)),Inputs!$B$2:$B$190,$B41)*Inputs!$D$1),"",SUMIFS(INDEX(Inputs!$B$2:$AZ$190,,MATCH(SUBSTITUTE(AG$3,"Q","T"),Inputs!$B$2:$AZ$2,0)),Inputs!$B$2:$B$190,$B41)*Inputs!$D$1)</f>
        <v>0</v>
      </c>
      <c r="AH41" s="58">
        <f>AG41</f>
        <v>0</v>
      </c>
      <c r="AI41" s="57">
        <f>IF(ISNA(SUMIFS(INDEX(Inputs!$B$2:$AZ$190,,MATCH(SUBSTITUTE(AI$3,"Q","T"),Inputs!$B$2:$AZ$2,0)),Inputs!$B$2:$B$190,$B41)*Inputs!$D$1),"",SUMIFS(INDEX(Inputs!$B$2:$AZ$190,,MATCH(SUBSTITUTE(AI$3,"Q","T"),Inputs!$B$2:$AZ$2,0)),Inputs!$B$2:$B$190,$B41)*Inputs!$D$1)</f>
        <v>0</v>
      </c>
      <c r="AJ41" s="57">
        <f>IF(ISNA(SUMIFS(INDEX(Inputs!$B$2:$AZ$190,,MATCH(SUBSTITUTE(AJ$3,"Q","T"),Inputs!$B$2:$AZ$2,0)),Inputs!$B$2:$B$190,$B41)*Inputs!$D$1),"",SUMIFS(INDEX(Inputs!$B$2:$AZ$190,,MATCH(SUBSTITUTE(AJ$3,"Q","T"),Inputs!$B$2:$AZ$2,0)),Inputs!$B$2:$B$190,$B41)*Inputs!$D$1)</f>
        <v>0</v>
      </c>
      <c r="AK41" s="57">
        <f>IF(ISNA(SUMIFS(INDEX(Inputs!$B$2:$AZ$190,,MATCH(SUBSTITUTE(AK$3,"Q","T"),Inputs!$B$2:$AZ$2,0)),Inputs!$B$2:$B$190,$B41)*Inputs!$D$1),"",SUMIFS(INDEX(Inputs!$B$2:$AZ$190,,MATCH(SUBSTITUTE(AK$3,"Q","T"),Inputs!$B$2:$AZ$2,0)),Inputs!$B$2:$B$190,$B41)*Inputs!$D$1)</f>
        <v>0</v>
      </c>
      <c r="AL41" s="57">
        <f>IF(ISNA(SUMIFS(INDEX(Inputs!$B$2:$AZ$190,,MATCH(SUBSTITUTE(AL$3,"Q","T"),Inputs!$B$2:$AZ$2,0)),Inputs!$B$2:$B$190,$B41)*Inputs!$D$1),"",SUMIFS(INDEX(Inputs!$B$2:$AZ$190,,MATCH(SUBSTITUTE(AL$3,"Q","T"),Inputs!$B$2:$AZ$2,0)),Inputs!$B$2:$B$190,$B41)*Inputs!$D$1)</f>
        <v>0</v>
      </c>
      <c r="AM41" s="58">
        <f>AL41</f>
        <v>0</v>
      </c>
      <c r="AN41" s="57">
        <f>IF(ISNA(SUMIFS(INDEX(Inputs!$B$2:$AZ$190,,MATCH(SUBSTITUTE(AN$3,"Q","T"),Inputs!$B$2:$AZ$2,0)),Inputs!$B$2:$B$190,$B41)*Inputs!$D$1),"",SUMIFS(INDEX(Inputs!$B$2:$AZ$190,,MATCH(SUBSTITUTE(AN$3,"Q","T"),Inputs!$B$2:$AZ$2,0)),Inputs!$B$2:$B$190,$B41)*Inputs!$D$1)</f>
        <v>0</v>
      </c>
      <c r="AO41" s="57">
        <f>IF(ISNA(SUMIFS(INDEX(Inputs!$B$2:$AZ$190,,MATCH(SUBSTITUTE(AO$3,"Q","T"),Inputs!$B$2:$AZ$2,0)),Inputs!$B$2:$B$190,$B41)*Inputs!$D$1),"",SUMIFS(INDEX(Inputs!$B$2:$AZ$190,,MATCH(SUBSTITUTE(AO$3,"Q","T"),Inputs!$B$2:$AZ$2,0)),Inputs!$B$2:$B$190,$B41)*Inputs!$D$1)</f>
        <v>0</v>
      </c>
      <c r="AP41" s="57">
        <f>IF(ISNA(SUMIFS(INDEX(Inputs!$B$2:$AZ$190,,MATCH(SUBSTITUTE(AP$3,"Q","T"),Inputs!$B$2:$AZ$2,0)),Inputs!$B$2:$B$190,$B41)*Inputs!$D$1),"",SUMIFS(INDEX(Inputs!$B$2:$AZ$190,,MATCH(SUBSTITUTE(AP$3,"Q","T"),Inputs!$B$2:$AZ$2,0)),Inputs!$B$2:$B$190,$B41)*Inputs!$D$1)</f>
        <v>0</v>
      </c>
      <c r="AQ41" s="57">
        <f>IF(ISNA(SUMIFS(INDEX(Inputs!$B$2:$AZ$190,,MATCH(SUBSTITUTE(AQ$3,"Q","T"),Inputs!$B$2:$AZ$2,0)),Inputs!$B$2:$B$190,$B41)*Inputs!$D$1),"",SUMIFS(INDEX(Inputs!$B$2:$AZ$190,,MATCH(SUBSTITUTE(AQ$3,"Q","T"),Inputs!$B$2:$AZ$2,0)),Inputs!$B$2:$B$190,$B41)*Inputs!$D$1)</f>
        <v>0</v>
      </c>
      <c r="AR41" s="58">
        <f>AQ41</f>
        <v>0</v>
      </c>
      <c r="AS41" s="57">
        <f>IF(ISNA(SUMIFS(INDEX(Inputs!$B$2:$AZ$190,,MATCH(SUBSTITUTE(AS$3,"Q","T"),Inputs!$B$2:$AZ$2,0)),Inputs!$B$2:$B$190,$B41)*Inputs!$D$1),"",SUMIFS(INDEX(Inputs!$B$2:$AZ$190,,MATCH(SUBSTITUTE(AS$3,"Q","T"),Inputs!$B$2:$AZ$2,0)),Inputs!$B$2:$B$190,$B41)*Inputs!$D$1)</f>
        <v>0</v>
      </c>
      <c r="AT41" s="57">
        <f>IF(ISNA(SUMIFS(INDEX(Inputs!$B$2:$AZ$190,,MATCH(SUBSTITUTE(AT$3,"Q","T"),Inputs!$B$2:$AZ$2,0)),Inputs!$B$2:$B$190,$B41)*Inputs!$D$1),"",SUMIFS(INDEX(Inputs!$B$2:$AZ$190,,MATCH(SUBSTITUTE(AT$3,"Q","T"),Inputs!$B$2:$AZ$2,0)),Inputs!$B$2:$B$190,$B41)*Inputs!$D$1)</f>
        <v>0</v>
      </c>
      <c r="AU41" s="57">
        <f>IF(ISNA(SUMIFS(INDEX(Inputs!$B$2:$AZ$190,,MATCH(SUBSTITUTE(AU$3,"Q","T"),Inputs!$B$2:$AZ$2,0)),Inputs!$B$2:$B$190,$B41)*Inputs!$D$1),"",SUMIFS(INDEX(Inputs!$B$2:$AZ$190,,MATCH(SUBSTITUTE(AU$3,"Q","T"),Inputs!$B$2:$AZ$2,0)),Inputs!$B$2:$B$190,$B41)*Inputs!$D$1)</f>
        <v>0</v>
      </c>
      <c r="AV41" s="57">
        <f>IF(ISNA(SUMIFS(INDEX(Inputs!$B$2:$AZ$190,,MATCH(SUBSTITUTE(AV$3,"Q","T"),Inputs!$B$2:$AZ$2,0)),Inputs!$B$2:$B$190,$B41)*Inputs!$D$1),"",SUMIFS(INDEX(Inputs!$B$2:$AZ$190,,MATCH(SUBSTITUTE(AV$3,"Q","T"),Inputs!$B$2:$AZ$2,0)),Inputs!$B$2:$B$190,$B41)*Inputs!$D$1)</f>
        <v>0</v>
      </c>
      <c r="AW41" s="58">
        <f>AV41</f>
        <v>0</v>
      </c>
      <c r="AX41" s="57">
        <f>IF(ISNA(SUMIFS(INDEX(Inputs!$B$2:$AZ$190,,MATCH(SUBSTITUTE(AX$3,"Q","T"),Inputs!$B$2:$AZ$2,0)),Inputs!$B$2:$B$190,$B41)*Inputs!$D$1),"",SUMIFS(INDEX(Inputs!$B$2:$AZ$190,,MATCH(SUBSTITUTE(AX$3,"Q","T"),Inputs!$B$2:$AZ$2,0)),Inputs!$B$2:$B$190,$B41)*Inputs!$D$1)</f>
        <v>0</v>
      </c>
      <c r="AY41" s="57">
        <f>IF(ISNA(SUMIFS(INDEX(Inputs!$B$2:$AZ$190,,MATCH(SUBSTITUTE(AY$3,"Q","T"),Inputs!$B$2:$AZ$2,0)),Inputs!$B$2:$B$190,$B41)*Inputs!$D$1),"",SUMIFS(INDEX(Inputs!$B$2:$AZ$190,,MATCH(SUBSTITUTE(AY$3,"Q","T"),Inputs!$B$2:$AZ$2,0)),Inputs!$B$2:$B$190,$B41)*Inputs!$D$1)</f>
        <v>0</v>
      </c>
      <c r="AZ41" s="57">
        <f>IF(ISNA(SUMIFS(INDEX(Inputs!$B$2:$AZ$190,,MATCH(SUBSTITUTE(AZ$3,"Q","T"),Inputs!$B$2:$AZ$2,0)),Inputs!$B$2:$B$190,$B41)*Inputs!$D$1),"",SUMIFS(INDEX(Inputs!$B$2:$AZ$190,,MATCH(SUBSTITUTE(AZ$3,"Q","T"),Inputs!$B$2:$AZ$2,0)),Inputs!$B$2:$B$190,$B41)*Inputs!$D$1)</f>
        <v>0</v>
      </c>
      <c r="BA41" s="57">
        <f>IF(ISNA(SUMIFS(INDEX(Inputs!$B$2:$AZ$190,,MATCH(SUBSTITUTE(BA$3,"Q","T"),Inputs!$B$2:$AZ$2,0)),Inputs!$B$2:$B$190,$B41)*Inputs!$D$1),"",SUMIFS(INDEX(Inputs!$B$2:$AZ$190,,MATCH(SUBSTITUTE(BA$3,"Q","T"),Inputs!$B$2:$AZ$2,0)),Inputs!$B$2:$B$190,$B41)*Inputs!$D$1)</f>
        <v>0</v>
      </c>
      <c r="BB41" s="58">
        <f>BA41</f>
        <v>0</v>
      </c>
      <c r="BC41" s="57">
        <f>IF(ISNA(SUMIFS(INDEX(Inputs!$B$2:$AZ$190,,MATCH(SUBSTITUTE(BC$3,"Q","T"),Inputs!$B$2:$AZ$2,0)),Inputs!$B$2:$B$190,$B41)*Inputs!$D$1),"",SUMIFS(INDEX(Inputs!$B$2:$AZ$190,,MATCH(SUBSTITUTE(BC$3,"Q","T"),Inputs!$B$2:$AZ$2,0)),Inputs!$B$2:$B$190,$B41)*Inputs!$D$1)</f>
        <v>0</v>
      </c>
      <c r="BD41" s="57">
        <f>IF(ISNA(SUMIFS(INDEX(Inputs!$B$2:$AZ$190,,MATCH(SUBSTITUTE(BD$3,"Q","T"),Inputs!$B$2:$AZ$2,0)),Inputs!$B$2:$B$190,$B41)*Inputs!$D$1),"",SUMIFS(INDEX(Inputs!$B$2:$AZ$190,,MATCH(SUBSTITUTE(BD$3,"Q","T"),Inputs!$B$2:$AZ$2,0)),Inputs!$B$2:$B$190,$B41)*Inputs!$D$1)</f>
        <v>0</v>
      </c>
      <c r="BE41" s="57">
        <f>IF(ISNA(SUMIFS(INDEX(Inputs!$B$2:$AZ$190,,MATCH(SUBSTITUTE(BE$3,"Q","T"),Inputs!$B$2:$AZ$2,0)),Inputs!$B$2:$B$190,$B41)*Inputs!$D$1),"",SUMIFS(INDEX(Inputs!$B$2:$AZ$190,,MATCH(SUBSTITUTE(BE$3,"Q","T"),Inputs!$B$2:$AZ$2,0)),Inputs!$B$2:$B$190,$B41)*Inputs!$D$1)</f>
        <v>0</v>
      </c>
      <c r="BF41" s="57">
        <f>IF(ISNA(SUMIFS(INDEX(Inputs!$B$2:$AZ$190,,MATCH(SUBSTITUTE(BF$3,"Q","T"),Inputs!$B$2:$AZ$2,0)),Inputs!$B$2:$B$190,$B41)*Inputs!$D$1),"",SUMIFS(INDEX(Inputs!$B$2:$AZ$190,,MATCH(SUBSTITUTE(BF$3,"Q","T"),Inputs!$B$2:$AZ$2,0)),Inputs!$B$2:$B$190,$B41)*Inputs!$D$1)</f>
        <v>0</v>
      </c>
      <c r="BG41" s="58">
        <f>BF41</f>
        <v>0</v>
      </c>
    </row>
    <row r="42">
      <c r="C42" s="15" t="inlineStr">
        <is>
          <t>Dívida de longo prazo e VIEs</t>
        </is>
      </c>
      <c r="D42" s="16" t="inlineStr">
        <is>
          <t>Long-term debt and VIEs</t>
        </is>
      </c>
      <c r="E42" s="59">
        <f>IFERROR(E43+E44+E45+E46,"")</f>
        <v>0</v>
      </c>
      <c r="F42" s="59">
        <f>IFERROR(F43+F44+F45+F46,"")</f>
        <v>0</v>
      </c>
      <c r="G42" s="59">
        <f>IFERROR(G43+G44+G45+G46,"")</f>
        <v>0</v>
      </c>
      <c r="H42" s="59">
        <f>IFERROR(H43+H44+H45+H46,"")</f>
        <v>0</v>
      </c>
      <c r="I42" s="60">
        <f>H42</f>
        <v>0</v>
      </c>
      <c r="J42" s="59">
        <f>IFERROR(J43+J44+J45+J46,"")</f>
        <v>0</v>
      </c>
      <c r="K42" s="59">
        <f>IFERROR(K43+K44+K45+K46,"")</f>
        <v>0</v>
      </c>
      <c r="L42" s="59">
        <f>IFERROR(L43+L44+L45+L46,"")</f>
        <v>0</v>
      </c>
      <c r="M42" s="59">
        <f>IFERROR(M43+M44+M45+M46,"")</f>
        <v>0</v>
      </c>
      <c r="N42" s="60">
        <f>M42</f>
        <v>0</v>
      </c>
      <c r="O42" s="59">
        <f>IFERROR(O43+O44+O45+O46,"")</f>
        <v>0</v>
      </c>
      <c r="P42" s="59">
        <f>IFERROR(P43+P44+P45+P46,"")</f>
        <v>0</v>
      </c>
      <c r="Q42" s="59">
        <f>IFERROR(Q43+Q44+Q45+Q46,"")</f>
        <v>0</v>
      </c>
      <c r="R42" s="59">
        <f>IFERROR(R43+R44+R45+R46,"")</f>
        <v>0</v>
      </c>
      <c r="S42" s="60">
        <f>R42</f>
        <v>0</v>
      </c>
      <c r="T42" s="59">
        <f>IFERROR(T43+T44+T45+T46,"")</f>
        <v>0</v>
      </c>
      <c r="U42" s="59">
        <f>IFERROR(U43+U44+U45+U46,"")</f>
        <v>0</v>
      </c>
      <c r="V42" s="59">
        <f>IFERROR(V43+V44+V45+V46,"")</f>
        <v>0</v>
      </c>
      <c r="W42" s="59">
        <f>IFERROR(W43+W44+W45+W46,"")</f>
        <v>0</v>
      </c>
      <c r="X42" s="60">
        <f>W42</f>
        <v>0</v>
      </c>
      <c r="Y42" s="59">
        <f>IFERROR(Y43+Y44+Y45+Y46,"")</f>
        <v>0</v>
      </c>
      <c r="Z42" s="59">
        <f>IFERROR(Z43+Z44+Z45+Z46,"")</f>
        <v>0</v>
      </c>
      <c r="AA42" s="59">
        <f>IFERROR(AA43+AA44+AA45+AA46,"")</f>
        <v>0</v>
      </c>
      <c r="AB42" s="59">
        <f>IFERROR(AB43+AB44+AB45+AB46,"")</f>
        <v>0</v>
      </c>
      <c r="AC42" s="60">
        <f>AB42</f>
        <v>0</v>
      </c>
      <c r="AD42" s="59">
        <f>IFERROR(AD43+AD44+AD45+AD46,"")</f>
        <v>0</v>
      </c>
      <c r="AE42" s="59">
        <f>IFERROR(AE43+AE44+AE45+AE46,"")</f>
        <v>0</v>
      </c>
      <c r="AF42" s="59">
        <f>IFERROR(AF43+AF44+AF45+AF46,"")</f>
        <v>0</v>
      </c>
      <c r="AG42" s="59">
        <f>IFERROR(AG43+AG44+AG45+AG46,"")</f>
        <v>0</v>
      </c>
      <c r="AH42" s="60">
        <f>AG42</f>
        <v>0</v>
      </c>
      <c r="AI42" s="59">
        <f>IFERROR(AI43+AI44+AI45+AI46,"")</f>
        <v>0</v>
      </c>
      <c r="AJ42" s="59">
        <f>IFERROR(AJ43+AJ44+AJ45+AJ46,"")</f>
        <v>0</v>
      </c>
      <c r="AK42" s="59">
        <f>IFERROR(AK43+AK44+AK45+AK46,"")</f>
        <v>0</v>
      </c>
      <c r="AL42" s="59">
        <f>IFERROR(AL43+AL44+AL45+AL46,"")</f>
        <v>0</v>
      </c>
      <c r="AM42" s="60">
        <f>AL42</f>
        <v>0</v>
      </c>
      <c r="AN42" s="59">
        <f>IFERROR(AN43+AN44+AN45+AN46,"")</f>
        <v>0</v>
      </c>
      <c r="AO42" s="59">
        <f>IFERROR(AO43+AO44+AO45+AO46,"")</f>
        <v>0</v>
      </c>
      <c r="AP42" s="59">
        <f>IFERROR(AP43+AP44+AP45+AP46,"")</f>
        <v>0</v>
      </c>
      <c r="AQ42" s="59">
        <f>IFERROR(AQ43+AQ44+AQ45+AQ46,"")</f>
        <v>0</v>
      </c>
      <c r="AR42" s="60">
        <f>AQ42</f>
        <v>0</v>
      </c>
      <c r="AS42" s="59">
        <f>IFERROR(AS43+AS44+AS45+AS46,"")</f>
        <v>0</v>
      </c>
      <c r="AT42" s="59">
        <f>IFERROR(AT43+AT44+AT45+AT46,"")</f>
        <v>0</v>
      </c>
      <c r="AU42" s="59">
        <f>IFERROR(AU43+AU44+AU45+AU46,"")</f>
        <v>0</v>
      </c>
      <c r="AV42" s="59">
        <f>IFERROR(AV43+AV44+AV45+AV46,"")</f>
        <v>0</v>
      </c>
      <c r="AW42" s="60">
        <f>AV42</f>
        <v>0</v>
      </c>
      <c r="AX42" s="59">
        <f>IFERROR(AX43+AX44+AX45+AX46,"")</f>
        <v>0</v>
      </c>
      <c r="AY42" s="59">
        <f>IFERROR(AY43+AY44+AY45+AY46,"")</f>
        <v>0</v>
      </c>
      <c r="AZ42" s="59">
        <f>IFERROR(AZ43+AZ44+AZ45+AZ46,"")</f>
        <v>0</v>
      </c>
      <c r="BA42" s="59">
        <f>IFERROR(BA43+BA44+BA45+BA46,"")</f>
        <v>0</v>
      </c>
      <c r="BB42" s="60">
        <f>BA42</f>
        <v>0</v>
      </c>
      <c r="BC42" s="59">
        <f>IFERROR(BC43+BC44+BC45+BC46,"")</f>
        <v>0</v>
      </c>
      <c r="BD42" s="59">
        <f>IFERROR(BD43+BD44+BD45+BD46,"")</f>
        <v>0</v>
      </c>
      <c r="BE42" s="59">
        <f>IFERROR(BE43+BE44+BE45+BE46,"")</f>
        <v>0</v>
      </c>
      <c r="BF42" s="59">
        <f>IFERROR(BF43+BF44+BF45+BF46,"")</f>
        <v>0</v>
      </c>
      <c r="BG42" s="60">
        <f>BF42</f>
        <v>0</v>
      </c>
    </row>
    <row r="43" hidden="1" outlineLevel="1">
      <c r="B43" s="56" t="inlineStr">
        <is>
          <t>ltd</t>
        </is>
      </c>
      <c r="C43" s="61" t="inlineStr">
        <is>
          <t>Dívida de longo prazo (inclui subordinada)</t>
        </is>
      </c>
      <c r="D43" s="62" t="inlineStr">
        <is>
          <t>Long-term debt</t>
        </is>
      </c>
      <c r="E43" s="57">
        <f>IF(ISNA(SUMIFS(INDEX(Inputs!$B$2:$AZ$190,,MATCH(SUBSTITUTE(E$3,"Q","T"),Inputs!$B$2:$AZ$2,0)),Inputs!$B$2:$B$190,$B43)*Inputs!$D$1),"",SUMIFS(INDEX(Inputs!$B$2:$AZ$190,,MATCH(SUBSTITUTE(E$3,"Q","T"),Inputs!$B$2:$AZ$2,0)),Inputs!$B$2:$B$190,$B43)*Inputs!$D$1)</f>
        <v>0</v>
      </c>
      <c r="F43" s="57">
        <f>IF(ISNA(SUMIFS(INDEX(Inputs!$B$2:$AZ$190,,MATCH(SUBSTITUTE(F$3,"Q","T"),Inputs!$B$2:$AZ$2,0)),Inputs!$B$2:$B$190,$B43)*Inputs!$D$1),"",SUMIFS(INDEX(Inputs!$B$2:$AZ$190,,MATCH(SUBSTITUTE(F$3,"Q","T"),Inputs!$B$2:$AZ$2,0)),Inputs!$B$2:$B$190,$B43)*Inputs!$D$1)</f>
        <v>0</v>
      </c>
      <c r="G43" s="57">
        <f>IF(ISNA(SUMIFS(INDEX(Inputs!$B$2:$AZ$190,,MATCH(SUBSTITUTE(G$3,"Q","T"),Inputs!$B$2:$AZ$2,0)),Inputs!$B$2:$B$190,$B43)*Inputs!$D$1),"",SUMIFS(INDEX(Inputs!$B$2:$AZ$190,,MATCH(SUBSTITUTE(G$3,"Q","T"),Inputs!$B$2:$AZ$2,0)),Inputs!$B$2:$B$190,$B43)*Inputs!$D$1)</f>
        <v>0</v>
      </c>
      <c r="H43" s="57">
        <f>IF(ISNA(SUMIFS(INDEX(Inputs!$B$2:$AZ$190,,MATCH(SUBSTITUTE(H$3,"Q","T"),Inputs!$B$2:$AZ$2,0)),Inputs!$B$2:$B$190,$B43)*Inputs!$D$1),"",SUMIFS(INDEX(Inputs!$B$2:$AZ$190,,MATCH(SUBSTITUTE(H$3,"Q","T"),Inputs!$B$2:$AZ$2,0)),Inputs!$B$2:$B$190,$B43)*Inputs!$D$1)</f>
        <v>0</v>
      </c>
      <c r="I43" s="58">
        <f>H43</f>
        <v>0</v>
      </c>
      <c r="J43" s="57">
        <f>IF(ISNA(SUMIFS(INDEX(Inputs!$B$2:$AZ$190,,MATCH(SUBSTITUTE(J$3,"Q","T"),Inputs!$B$2:$AZ$2,0)),Inputs!$B$2:$B$190,$B43)*Inputs!$D$1),"",SUMIFS(INDEX(Inputs!$B$2:$AZ$190,,MATCH(SUBSTITUTE(J$3,"Q","T"),Inputs!$B$2:$AZ$2,0)),Inputs!$B$2:$B$190,$B43)*Inputs!$D$1)</f>
        <v>0</v>
      </c>
      <c r="K43" s="57">
        <f>IF(ISNA(SUMIFS(INDEX(Inputs!$B$2:$AZ$190,,MATCH(SUBSTITUTE(K$3,"Q","T"),Inputs!$B$2:$AZ$2,0)),Inputs!$B$2:$B$190,$B43)*Inputs!$D$1),"",SUMIFS(INDEX(Inputs!$B$2:$AZ$190,,MATCH(SUBSTITUTE(K$3,"Q","T"),Inputs!$B$2:$AZ$2,0)),Inputs!$B$2:$B$190,$B43)*Inputs!$D$1)</f>
        <v>0</v>
      </c>
      <c r="L43" s="57">
        <f>IF(ISNA(SUMIFS(INDEX(Inputs!$B$2:$AZ$190,,MATCH(SUBSTITUTE(L$3,"Q","T"),Inputs!$B$2:$AZ$2,0)),Inputs!$B$2:$B$190,$B43)*Inputs!$D$1),"",SUMIFS(INDEX(Inputs!$B$2:$AZ$190,,MATCH(SUBSTITUTE(L$3,"Q","T"),Inputs!$B$2:$AZ$2,0)),Inputs!$B$2:$B$190,$B43)*Inputs!$D$1)</f>
        <v>0</v>
      </c>
      <c r="M43" s="57">
        <f>IF(ISNA(SUMIFS(INDEX(Inputs!$B$2:$AZ$190,,MATCH(SUBSTITUTE(M$3,"Q","T"),Inputs!$B$2:$AZ$2,0)),Inputs!$B$2:$B$190,$B43)*Inputs!$D$1),"",SUMIFS(INDEX(Inputs!$B$2:$AZ$190,,MATCH(SUBSTITUTE(M$3,"Q","T"),Inputs!$B$2:$AZ$2,0)),Inputs!$B$2:$B$190,$B43)*Inputs!$D$1)</f>
        <v>0</v>
      </c>
      <c r="N43" s="58">
        <f>M43</f>
        <v>0</v>
      </c>
      <c r="O43" s="57">
        <f>IF(ISNA(SUMIFS(INDEX(Inputs!$B$2:$AZ$190,,MATCH(SUBSTITUTE(O$3,"Q","T"),Inputs!$B$2:$AZ$2,0)),Inputs!$B$2:$B$190,$B43)*Inputs!$D$1),"",SUMIFS(INDEX(Inputs!$B$2:$AZ$190,,MATCH(SUBSTITUTE(O$3,"Q","T"),Inputs!$B$2:$AZ$2,0)),Inputs!$B$2:$B$190,$B43)*Inputs!$D$1)</f>
        <v>0</v>
      </c>
      <c r="P43" s="57">
        <f>IF(ISNA(SUMIFS(INDEX(Inputs!$B$2:$AZ$190,,MATCH(SUBSTITUTE(P$3,"Q","T"),Inputs!$B$2:$AZ$2,0)),Inputs!$B$2:$B$190,$B43)*Inputs!$D$1),"",SUMIFS(INDEX(Inputs!$B$2:$AZ$190,,MATCH(SUBSTITUTE(P$3,"Q","T"),Inputs!$B$2:$AZ$2,0)),Inputs!$B$2:$B$190,$B43)*Inputs!$D$1)</f>
        <v>0</v>
      </c>
      <c r="Q43" s="57">
        <f>IF(ISNA(SUMIFS(INDEX(Inputs!$B$2:$AZ$190,,MATCH(SUBSTITUTE(Q$3,"Q","T"),Inputs!$B$2:$AZ$2,0)),Inputs!$B$2:$B$190,$B43)*Inputs!$D$1),"",SUMIFS(INDEX(Inputs!$B$2:$AZ$190,,MATCH(SUBSTITUTE(Q$3,"Q","T"),Inputs!$B$2:$AZ$2,0)),Inputs!$B$2:$B$190,$B43)*Inputs!$D$1)</f>
        <v>0</v>
      </c>
      <c r="R43" s="57">
        <f>IF(ISNA(SUMIFS(INDEX(Inputs!$B$2:$AZ$190,,MATCH(SUBSTITUTE(R$3,"Q","T"),Inputs!$B$2:$AZ$2,0)),Inputs!$B$2:$B$190,$B43)*Inputs!$D$1),"",SUMIFS(INDEX(Inputs!$B$2:$AZ$190,,MATCH(SUBSTITUTE(R$3,"Q","T"),Inputs!$B$2:$AZ$2,0)),Inputs!$B$2:$B$190,$B43)*Inputs!$D$1)</f>
        <v>0</v>
      </c>
      <c r="S43" s="58">
        <f>R43</f>
        <v>0</v>
      </c>
      <c r="T43" s="57">
        <f>IF(ISNA(SUMIFS(INDEX(Inputs!$B$2:$AZ$190,,MATCH(SUBSTITUTE(T$3,"Q","T"),Inputs!$B$2:$AZ$2,0)),Inputs!$B$2:$B$190,$B43)*Inputs!$D$1),"",SUMIFS(INDEX(Inputs!$B$2:$AZ$190,,MATCH(SUBSTITUTE(T$3,"Q","T"),Inputs!$B$2:$AZ$2,0)),Inputs!$B$2:$B$190,$B43)*Inputs!$D$1)</f>
        <v>0</v>
      </c>
      <c r="U43" s="57">
        <f>IF(ISNA(SUMIFS(INDEX(Inputs!$B$2:$AZ$190,,MATCH(SUBSTITUTE(U$3,"Q","T"),Inputs!$B$2:$AZ$2,0)),Inputs!$B$2:$B$190,$B43)*Inputs!$D$1),"",SUMIFS(INDEX(Inputs!$B$2:$AZ$190,,MATCH(SUBSTITUTE(U$3,"Q","T"),Inputs!$B$2:$AZ$2,0)),Inputs!$B$2:$B$190,$B43)*Inputs!$D$1)</f>
        <v>0</v>
      </c>
      <c r="V43" s="57">
        <f>IF(ISNA(SUMIFS(INDEX(Inputs!$B$2:$AZ$190,,MATCH(SUBSTITUTE(V$3,"Q","T"),Inputs!$B$2:$AZ$2,0)),Inputs!$B$2:$B$190,$B43)*Inputs!$D$1),"",SUMIFS(INDEX(Inputs!$B$2:$AZ$190,,MATCH(SUBSTITUTE(V$3,"Q","T"),Inputs!$B$2:$AZ$2,0)),Inputs!$B$2:$B$190,$B43)*Inputs!$D$1)</f>
        <v>0</v>
      </c>
      <c r="W43" s="57">
        <f>IF(ISNA(SUMIFS(INDEX(Inputs!$B$2:$AZ$190,,MATCH(SUBSTITUTE(W$3,"Q","T"),Inputs!$B$2:$AZ$2,0)),Inputs!$B$2:$B$190,$B43)*Inputs!$D$1),"",SUMIFS(INDEX(Inputs!$B$2:$AZ$190,,MATCH(SUBSTITUTE(W$3,"Q","T"),Inputs!$B$2:$AZ$2,0)),Inputs!$B$2:$B$190,$B43)*Inputs!$D$1)</f>
        <v>0</v>
      </c>
      <c r="X43" s="58">
        <f>W43</f>
        <v>0</v>
      </c>
      <c r="Y43" s="57">
        <f>IF(ISNA(SUMIFS(INDEX(Inputs!$B$2:$AZ$190,,MATCH(SUBSTITUTE(Y$3,"Q","T"),Inputs!$B$2:$AZ$2,0)),Inputs!$B$2:$B$190,$B43)*Inputs!$D$1),"",SUMIFS(INDEX(Inputs!$B$2:$AZ$190,,MATCH(SUBSTITUTE(Y$3,"Q","T"),Inputs!$B$2:$AZ$2,0)),Inputs!$B$2:$B$190,$B43)*Inputs!$D$1)</f>
        <v>0</v>
      </c>
      <c r="Z43" s="57">
        <f>IF(ISNA(SUMIFS(INDEX(Inputs!$B$2:$AZ$190,,MATCH(SUBSTITUTE(Z$3,"Q","T"),Inputs!$B$2:$AZ$2,0)),Inputs!$B$2:$B$190,$B43)*Inputs!$D$1),"",SUMIFS(INDEX(Inputs!$B$2:$AZ$190,,MATCH(SUBSTITUTE(Z$3,"Q","T"),Inputs!$B$2:$AZ$2,0)),Inputs!$B$2:$B$190,$B43)*Inputs!$D$1)</f>
        <v>0</v>
      </c>
      <c r="AA43" s="57">
        <f>IF(ISNA(SUMIFS(INDEX(Inputs!$B$2:$AZ$190,,MATCH(SUBSTITUTE(AA$3,"Q","T"),Inputs!$B$2:$AZ$2,0)),Inputs!$B$2:$B$190,$B43)*Inputs!$D$1),"",SUMIFS(INDEX(Inputs!$B$2:$AZ$190,,MATCH(SUBSTITUTE(AA$3,"Q","T"),Inputs!$B$2:$AZ$2,0)),Inputs!$B$2:$B$190,$B43)*Inputs!$D$1)</f>
        <v>0</v>
      </c>
      <c r="AB43" s="57">
        <f>IF(ISNA(SUMIFS(INDEX(Inputs!$B$2:$AZ$190,,MATCH(SUBSTITUTE(AB$3,"Q","T"),Inputs!$B$2:$AZ$2,0)),Inputs!$B$2:$B$190,$B43)*Inputs!$D$1),"",SUMIFS(INDEX(Inputs!$B$2:$AZ$190,,MATCH(SUBSTITUTE(AB$3,"Q","T"),Inputs!$B$2:$AZ$2,0)),Inputs!$B$2:$B$190,$B43)*Inputs!$D$1)</f>
        <v>0</v>
      </c>
      <c r="AC43" s="58">
        <f>AB43</f>
        <v>0</v>
      </c>
      <c r="AD43" s="57">
        <f>IF(ISNA(SUMIFS(INDEX(Inputs!$B$2:$AZ$190,,MATCH(SUBSTITUTE(AD$3,"Q","T"),Inputs!$B$2:$AZ$2,0)),Inputs!$B$2:$B$190,$B43)*Inputs!$D$1),"",SUMIFS(INDEX(Inputs!$B$2:$AZ$190,,MATCH(SUBSTITUTE(AD$3,"Q","T"),Inputs!$B$2:$AZ$2,0)),Inputs!$B$2:$B$190,$B43)*Inputs!$D$1)</f>
        <v>0</v>
      </c>
      <c r="AE43" s="57">
        <f>IF(ISNA(SUMIFS(INDEX(Inputs!$B$2:$AZ$190,,MATCH(SUBSTITUTE(AE$3,"Q","T"),Inputs!$B$2:$AZ$2,0)),Inputs!$B$2:$B$190,$B43)*Inputs!$D$1),"",SUMIFS(INDEX(Inputs!$B$2:$AZ$190,,MATCH(SUBSTITUTE(AE$3,"Q","T"),Inputs!$B$2:$AZ$2,0)),Inputs!$B$2:$B$190,$B43)*Inputs!$D$1)</f>
        <v>0</v>
      </c>
      <c r="AF43" s="57">
        <f>IF(ISNA(SUMIFS(INDEX(Inputs!$B$2:$AZ$190,,MATCH(SUBSTITUTE(AF$3,"Q","T"),Inputs!$B$2:$AZ$2,0)),Inputs!$B$2:$B$190,$B43)*Inputs!$D$1),"",SUMIFS(INDEX(Inputs!$B$2:$AZ$190,,MATCH(SUBSTITUTE(AF$3,"Q","T"),Inputs!$B$2:$AZ$2,0)),Inputs!$B$2:$B$190,$B43)*Inputs!$D$1)</f>
        <v>0</v>
      </c>
      <c r="AG43" s="57">
        <f>IF(ISNA(SUMIFS(INDEX(Inputs!$B$2:$AZ$190,,MATCH(SUBSTITUTE(AG$3,"Q","T"),Inputs!$B$2:$AZ$2,0)),Inputs!$B$2:$B$190,$B43)*Inputs!$D$1),"",SUMIFS(INDEX(Inputs!$B$2:$AZ$190,,MATCH(SUBSTITUTE(AG$3,"Q","T"),Inputs!$B$2:$AZ$2,0)),Inputs!$B$2:$B$190,$B43)*Inputs!$D$1)</f>
        <v>0</v>
      </c>
      <c r="AH43" s="58">
        <f>AG43</f>
        <v>0</v>
      </c>
      <c r="AI43" s="57">
        <f>IF(ISNA(SUMIFS(INDEX(Inputs!$B$2:$AZ$190,,MATCH(SUBSTITUTE(AI$3,"Q","T"),Inputs!$B$2:$AZ$2,0)),Inputs!$B$2:$B$190,$B43)*Inputs!$D$1),"",SUMIFS(INDEX(Inputs!$B$2:$AZ$190,,MATCH(SUBSTITUTE(AI$3,"Q","T"),Inputs!$B$2:$AZ$2,0)),Inputs!$B$2:$B$190,$B43)*Inputs!$D$1)</f>
        <v>0</v>
      </c>
      <c r="AJ43" s="57">
        <f>IF(ISNA(SUMIFS(INDEX(Inputs!$B$2:$AZ$190,,MATCH(SUBSTITUTE(AJ$3,"Q","T"),Inputs!$B$2:$AZ$2,0)),Inputs!$B$2:$B$190,$B43)*Inputs!$D$1),"",SUMIFS(INDEX(Inputs!$B$2:$AZ$190,,MATCH(SUBSTITUTE(AJ$3,"Q","T"),Inputs!$B$2:$AZ$2,0)),Inputs!$B$2:$B$190,$B43)*Inputs!$D$1)</f>
        <v>0</v>
      </c>
      <c r="AK43" s="57">
        <f>IF(ISNA(SUMIFS(INDEX(Inputs!$B$2:$AZ$190,,MATCH(SUBSTITUTE(AK$3,"Q","T"),Inputs!$B$2:$AZ$2,0)),Inputs!$B$2:$B$190,$B43)*Inputs!$D$1),"",SUMIFS(INDEX(Inputs!$B$2:$AZ$190,,MATCH(SUBSTITUTE(AK$3,"Q","T"),Inputs!$B$2:$AZ$2,0)),Inputs!$B$2:$B$190,$B43)*Inputs!$D$1)</f>
        <v>0</v>
      </c>
      <c r="AL43" s="57">
        <f>IF(ISNA(SUMIFS(INDEX(Inputs!$B$2:$AZ$190,,MATCH(SUBSTITUTE(AL$3,"Q","T"),Inputs!$B$2:$AZ$2,0)),Inputs!$B$2:$B$190,$B43)*Inputs!$D$1),"",SUMIFS(INDEX(Inputs!$B$2:$AZ$190,,MATCH(SUBSTITUTE(AL$3,"Q","T"),Inputs!$B$2:$AZ$2,0)),Inputs!$B$2:$B$190,$B43)*Inputs!$D$1)</f>
        <v>0</v>
      </c>
      <c r="AM43" s="58">
        <f>AL43</f>
        <v>0</v>
      </c>
      <c r="AN43" s="57">
        <f>IF(ISNA(SUMIFS(INDEX(Inputs!$B$2:$AZ$190,,MATCH(SUBSTITUTE(AN$3,"Q","T"),Inputs!$B$2:$AZ$2,0)),Inputs!$B$2:$B$190,$B43)*Inputs!$D$1),"",SUMIFS(INDEX(Inputs!$B$2:$AZ$190,,MATCH(SUBSTITUTE(AN$3,"Q","T"),Inputs!$B$2:$AZ$2,0)),Inputs!$B$2:$B$190,$B43)*Inputs!$D$1)</f>
        <v>0</v>
      </c>
      <c r="AO43" s="57">
        <f>IF(ISNA(SUMIFS(INDEX(Inputs!$B$2:$AZ$190,,MATCH(SUBSTITUTE(AO$3,"Q","T"),Inputs!$B$2:$AZ$2,0)),Inputs!$B$2:$B$190,$B43)*Inputs!$D$1),"",SUMIFS(INDEX(Inputs!$B$2:$AZ$190,,MATCH(SUBSTITUTE(AO$3,"Q","T"),Inputs!$B$2:$AZ$2,0)),Inputs!$B$2:$B$190,$B43)*Inputs!$D$1)</f>
        <v>0</v>
      </c>
      <c r="AP43" s="57">
        <f>IF(ISNA(SUMIFS(INDEX(Inputs!$B$2:$AZ$190,,MATCH(SUBSTITUTE(AP$3,"Q","T"),Inputs!$B$2:$AZ$2,0)),Inputs!$B$2:$B$190,$B43)*Inputs!$D$1),"",SUMIFS(INDEX(Inputs!$B$2:$AZ$190,,MATCH(SUBSTITUTE(AP$3,"Q","T"),Inputs!$B$2:$AZ$2,0)),Inputs!$B$2:$B$190,$B43)*Inputs!$D$1)</f>
        <v>0</v>
      </c>
      <c r="AQ43" s="57">
        <f>IF(ISNA(SUMIFS(INDEX(Inputs!$B$2:$AZ$190,,MATCH(SUBSTITUTE(AQ$3,"Q","T"),Inputs!$B$2:$AZ$2,0)),Inputs!$B$2:$B$190,$B43)*Inputs!$D$1),"",SUMIFS(INDEX(Inputs!$B$2:$AZ$190,,MATCH(SUBSTITUTE(AQ$3,"Q","T"),Inputs!$B$2:$AZ$2,0)),Inputs!$B$2:$B$190,$B43)*Inputs!$D$1)</f>
        <v>0</v>
      </c>
      <c r="AR43" s="58">
        <f>AQ43</f>
        <v>0</v>
      </c>
      <c r="AS43" s="57">
        <f>IF(ISNA(SUMIFS(INDEX(Inputs!$B$2:$AZ$190,,MATCH(SUBSTITUTE(AS$3,"Q","T"),Inputs!$B$2:$AZ$2,0)),Inputs!$B$2:$B$190,$B43)*Inputs!$D$1),"",SUMIFS(INDEX(Inputs!$B$2:$AZ$190,,MATCH(SUBSTITUTE(AS$3,"Q","T"),Inputs!$B$2:$AZ$2,0)),Inputs!$B$2:$B$190,$B43)*Inputs!$D$1)</f>
        <v>0</v>
      </c>
      <c r="AT43" s="57">
        <f>IF(ISNA(SUMIFS(INDEX(Inputs!$B$2:$AZ$190,,MATCH(SUBSTITUTE(AT$3,"Q","T"),Inputs!$B$2:$AZ$2,0)),Inputs!$B$2:$B$190,$B43)*Inputs!$D$1),"",SUMIFS(INDEX(Inputs!$B$2:$AZ$190,,MATCH(SUBSTITUTE(AT$3,"Q","T"),Inputs!$B$2:$AZ$2,0)),Inputs!$B$2:$B$190,$B43)*Inputs!$D$1)</f>
        <v>0</v>
      </c>
      <c r="AU43" s="57">
        <f>IF(ISNA(SUMIFS(INDEX(Inputs!$B$2:$AZ$190,,MATCH(SUBSTITUTE(AU$3,"Q","T"),Inputs!$B$2:$AZ$2,0)),Inputs!$B$2:$B$190,$B43)*Inputs!$D$1),"",SUMIFS(INDEX(Inputs!$B$2:$AZ$190,,MATCH(SUBSTITUTE(AU$3,"Q","T"),Inputs!$B$2:$AZ$2,0)),Inputs!$B$2:$B$190,$B43)*Inputs!$D$1)</f>
        <v>0</v>
      </c>
      <c r="AV43" s="57">
        <f>IF(ISNA(SUMIFS(INDEX(Inputs!$B$2:$AZ$190,,MATCH(SUBSTITUTE(AV$3,"Q","T"),Inputs!$B$2:$AZ$2,0)),Inputs!$B$2:$B$190,$B43)*Inputs!$D$1),"",SUMIFS(INDEX(Inputs!$B$2:$AZ$190,,MATCH(SUBSTITUTE(AV$3,"Q","T"),Inputs!$B$2:$AZ$2,0)),Inputs!$B$2:$B$190,$B43)*Inputs!$D$1)</f>
        <v>0</v>
      </c>
      <c r="AW43" s="58">
        <f>AV43</f>
        <v>0</v>
      </c>
      <c r="AX43" s="57">
        <f>IF(ISNA(SUMIFS(INDEX(Inputs!$B$2:$AZ$190,,MATCH(SUBSTITUTE(AX$3,"Q","T"),Inputs!$B$2:$AZ$2,0)),Inputs!$B$2:$B$190,$B43)*Inputs!$D$1),"",SUMIFS(INDEX(Inputs!$B$2:$AZ$190,,MATCH(SUBSTITUTE(AX$3,"Q","T"),Inputs!$B$2:$AZ$2,0)),Inputs!$B$2:$B$190,$B43)*Inputs!$D$1)</f>
        <v>0</v>
      </c>
      <c r="AY43" s="57">
        <f>IF(ISNA(SUMIFS(INDEX(Inputs!$B$2:$AZ$190,,MATCH(SUBSTITUTE(AY$3,"Q","T"),Inputs!$B$2:$AZ$2,0)),Inputs!$B$2:$B$190,$B43)*Inputs!$D$1),"",SUMIFS(INDEX(Inputs!$B$2:$AZ$190,,MATCH(SUBSTITUTE(AY$3,"Q","T"),Inputs!$B$2:$AZ$2,0)),Inputs!$B$2:$B$190,$B43)*Inputs!$D$1)</f>
        <v>0</v>
      </c>
      <c r="AZ43" s="57">
        <f>IF(ISNA(SUMIFS(INDEX(Inputs!$B$2:$AZ$190,,MATCH(SUBSTITUTE(AZ$3,"Q","T"),Inputs!$B$2:$AZ$2,0)),Inputs!$B$2:$B$190,$B43)*Inputs!$D$1),"",SUMIFS(INDEX(Inputs!$B$2:$AZ$190,,MATCH(SUBSTITUTE(AZ$3,"Q","T"),Inputs!$B$2:$AZ$2,0)),Inputs!$B$2:$B$190,$B43)*Inputs!$D$1)</f>
        <v>0</v>
      </c>
      <c r="BA43" s="57">
        <f>IF(ISNA(SUMIFS(INDEX(Inputs!$B$2:$AZ$190,,MATCH(SUBSTITUTE(BA$3,"Q","T"),Inputs!$B$2:$AZ$2,0)),Inputs!$B$2:$B$190,$B43)*Inputs!$D$1),"",SUMIFS(INDEX(Inputs!$B$2:$AZ$190,,MATCH(SUBSTITUTE(BA$3,"Q","T"),Inputs!$B$2:$AZ$2,0)),Inputs!$B$2:$B$190,$B43)*Inputs!$D$1)</f>
        <v>0</v>
      </c>
      <c r="BB43" s="58">
        <f>BA43</f>
        <v>0</v>
      </c>
      <c r="BC43" s="57">
        <f>IF(ISNA(SUMIFS(INDEX(Inputs!$B$2:$AZ$190,,MATCH(SUBSTITUTE(BC$3,"Q","T"),Inputs!$B$2:$AZ$2,0)),Inputs!$B$2:$B$190,$B43)*Inputs!$D$1),"",SUMIFS(INDEX(Inputs!$B$2:$AZ$190,,MATCH(SUBSTITUTE(BC$3,"Q","T"),Inputs!$B$2:$AZ$2,0)),Inputs!$B$2:$B$190,$B43)*Inputs!$D$1)</f>
        <v>0</v>
      </c>
      <c r="BD43" s="57">
        <f>IF(ISNA(SUMIFS(INDEX(Inputs!$B$2:$AZ$190,,MATCH(SUBSTITUTE(BD$3,"Q","T"),Inputs!$B$2:$AZ$2,0)),Inputs!$B$2:$B$190,$B43)*Inputs!$D$1),"",SUMIFS(INDEX(Inputs!$B$2:$AZ$190,,MATCH(SUBSTITUTE(BD$3,"Q","T"),Inputs!$B$2:$AZ$2,0)),Inputs!$B$2:$B$190,$B43)*Inputs!$D$1)</f>
        <v>0</v>
      </c>
      <c r="BE43" s="57">
        <f>IF(ISNA(SUMIFS(INDEX(Inputs!$B$2:$AZ$190,,MATCH(SUBSTITUTE(BE$3,"Q","T"),Inputs!$B$2:$AZ$2,0)),Inputs!$B$2:$B$190,$B43)*Inputs!$D$1),"",SUMIFS(INDEX(Inputs!$B$2:$AZ$190,,MATCH(SUBSTITUTE(BE$3,"Q","T"),Inputs!$B$2:$AZ$2,0)),Inputs!$B$2:$B$190,$B43)*Inputs!$D$1)</f>
        <v>0</v>
      </c>
      <c r="BF43" s="57">
        <f>IF(ISNA(SUMIFS(INDEX(Inputs!$B$2:$AZ$190,,MATCH(SUBSTITUTE(BF$3,"Q","T"),Inputs!$B$2:$AZ$2,0)),Inputs!$B$2:$B$190,$B43)*Inputs!$D$1),"",SUMIFS(INDEX(Inputs!$B$2:$AZ$190,,MATCH(SUBSTITUTE(BF$3,"Q","T"),Inputs!$B$2:$AZ$2,0)),Inputs!$B$2:$B$190,$B43)*Inputs!$D$1)</f>
        <v>0</v>
      </c>
      <c r="BG43" s="58">
        <f>BF43</f>
        <v>0</v>
      </c>
    </row>
    <row r="44" hidden="1" outlineLevel="1">
      <c r="B44" s="56" t="inlineStr">
        <is>
          <t>vie</t>
        </is>
      </c>
      <c r="C44" s="61" t="inlineStr">
        <is>
          <t>Participações emitidas por VIEs consolidadas</t>
        </is>
      </c>
      <c r="D44" s="62" t="inlineStr">
        <is>
          <t>Beneficial interests issued by consolidated VIEs</t>
        </is>
      </c>
      <c r="E44" s="57">
        <f>IF(ISNA(SUMIFS(INDEX(Inputs!$B$2:$AZ$190,,MATCH(SUBSTITUTE(E$3,"Q","T"),Inputs!$B$2:$AZ$2,0)),Inputs!$B$2:$B$190,$B44)*Inputs!$D$1),"",SUMIFS(INDEX(Inputs!$B$2:$AZ$190,,MATCH(SUBSTITUTE(E$3,"Q","T"),Inputs!$B$2:$AZ$2,0)),Inputs!$B$2:$B$190,$B44)*Inputs!$D$1)</f>
        <v>0</v>
      </c>
      <c r="F44" s="57">
        <f>IF(ISNA(SUMIFS(INDEX(Inputs!$B$2:$AZ$190,,MATCH(SUBSTITUTE(F$3,"Q","T"),Inputs!$B$2:$AZ$2,0)),Inputs!$B$2:$B$190,$B44)*Inputs!$D$1),"",SUMIFS(INDEX(Inputs!$B$2:$AZ$190,,MATCH(SUBSTITUTE(F$3,"Q","T"),Inputs!$B$2:$AZ$2,0)),Inputs!$B$2:$B$190,$B44)*Inputs!$D$1)</f>
        <v>0</v>
      </c>
      <c r="G44" s="57">
        <f>IF(ISNA(SUMIFS(INDEX(Inputs!$B$2:$AZ$190,,MATCH(SUBSTITUTE(G$3,"Q","T"),Inputs!$B$2:$AZ$2,0)),Inputs!$B$2:$B$190,$B44)*Inputs!$D$1),"",SUMIFS(INDEX(Inputs!$B$2:$AZ$190,,MATCH(SUBSTITUTE(G$3,"Q","T"),Inputs!$B$2:$AZ$2,0)),Inputs!$B$2:$B$190,$B44)*Inputs!$D$1)</f>
        <v>0</v>
      </c>
      <c r="H44" s="57">
        <f>IF(ISNA(SUMIFS(INDEX(Inputs!$B$2:$AZ$190,,MATCH(SUBSTITUTE(H$3,"Q","T"),Inputs!$B$2:$AZ$2,0)),Inputs!$B$2:$B$190,$B44)*Inputs!$D$1),"",SUMIFS(INDEX(Inputs!$B$2:$AZ$190,,MATCH(SUBSTITUTE(H$3,"Q","T"),Inputs!$B$2:$AZ$2,0)),Inputs!$B$2:$B$190,$B44)*Inputs!$D$1)</f>
        <v>0</v>
      </c>
      <c r="I44" s="58">
        <f>H44</f>
        <v>0</v>
      </c>
      <c r="J44" s="57">
        <f>IF(ISNA(SUMIFS(INDEX(Inputs!$B$2:$AZ$190,,MATCH(SUBSTITUTE(J$3,"Q","T"),Inputs!$B$2:$AZ$2,0)),Inputs!$B$2:$B$190,$B44)*Inputs!$D$1),"",SUMIFS(INDEX(Inputs!$B$2:$AZ$190,,MATCH(SUBSTITUTE(J$3,"Q","T"),Inputs!$B$2:$AZ$2,0)),Inputs!$B$2:$B$190,$B44)*Inputs!$D$1)</f>
        <v>0</v>
      </c>
      <c r="K44" s="57">
        <f>IF(ISNA(SUMIFS(INDEX(Inputs!$B$2:$AZ$190,,MATCH(SUBSTITUTE(K$3,"Q","T"),Inputs!$B$2:$AZ$2,0)),Inputs!$B$2:$B$190,$B44)*Inputs!$D$1),"",SUMIFS(INDEX(Inputs!$B$2:$AZ$190,,MATCH(SUBSTITUTE(K$3,"Q","T"),Inputs!$B$2:$AZ$2,0)),Inputs!$B$2:$B$190,$B44)*Inputs!$D$1)</f>
        <v>0</v>
      </c>
      <c r="L44" s="57">
        <f>IF(ISNA(SUMIFS(INDEX(Inputs!$B$2:$AZ$190,,MATCH(SUBSTITUTE(L$3,"Q","T"),Inputs!$B$2:$AZ$2,0)),Inputs!$B$2:$B$190,$B44)*Inputs!$D$1),"",SUMIFS(INDEX(Inputs!$B$2:$AZ$190,,MATCH(SUBSTITUTE(L$3,"Q","T"),Inputs!$B$2:$AZ$2,0)),Inputs!$B$2:$B$190,$B44)*Inputs!$D$1)</f>
        <v>0</v>
      </c>
      <c r="M44" s="57">
        <f>IF(ISNA(SUMIFS(INDEX(Inputs!$B$2:$AZ$190,,MATCH(SUBSTITUTE(M$3,"Q","T"),Inputs!$B$2:$AZ$2,0)),Inputs!$B$2:$B$190,$B44)*Inputs!$D$1),"",SUMIFS(INDEX(Inputs!$B$2:$AZ$190,,MATCH(SUBSTITUTE(M$3,"Q","T"),Inputs!$B$2:$AZ$2,0)),Inputs!$B$2:$B$190,$B44)*Inputs!$D$1)</f>
        <v>0</v>
      </c>
      <c r="N44" s="58">
        <f>M44</f>
        <v>0</v>
      </c>
      <c r="O44" s="57">
        <f>IF(ISNA(SUMIFS(INDEX(Inputs!$B$2:$AZ$190,,MATCH(SUBSTITUTE(O$3,"Q","T"),Inputs!$B$2:$AZ$2,0)),Inputs!$B$2:$B$190,$B44)*Inputs!$D$1),"",SUMIFS(INDEX(Inputs!$B$2:$AZ$190,,MATCH(SUBSTITUTE(O$3,"Q","T"),Inputs!$B$2:$AZ$2,0)),Inputs!$B$2:$B$190,$B44)*Inputs!$D$1)</f>
        <v>0</v>
      </c>
      <c r="P44" s="57">
        <f>IF(ISNA(SUMIFS(INDEX(Inputs!$B$2:$AZ$190,,MATCH(SUBSTITUTE(P$3,"Q","T"),Inputs!$B$2:$AZ$2,0)),Inputs!$B$2:$B$190,$B44)*Inputs!$D$1),"",SUMIFS(INDEX(Inputs!$B$2:$AZ$190,,MATCH(SUBSTITUTE(P$3,"Q","T"),Inputs!$B$2:$AZ$2,0)),Inputs!$B$2:$B$190,$B44)*Inputs!$D$1)</f>
        <v>0</v>
      </c>
      <c r="Q44" s="57">
        <f>IF(ISNA(SUMIFS(INDEX(Inputs!$B$2:$AZ$190,,MATCH(SUBSTITUTE(Q$3,"Q","T"),Inputs!$B$2:$AZ$2,0)),Inputs!$B$2:$B$190,$B44)*Inputs!$D$1),"",SUMIFS(INDEX(Inputs!$B$2:$AZ$190,,MATCH(SUBSTITUTE(Q$3,"Q","T"),Inputs!$B$2:$AZ$2,0)),Inputs!$B$2:$B$190,$B44)*Inputs!$D$1)</f>
        <v>0</v>
      </c>
      <c r="R44" s="57">
        <f>IF(ISNA(SUMIFS(INDEX(Inputs!$B$2:$AZ$190,,MATCH(SUBSTITUTE(R$3,"Q","T"),Inputs!$B$2:$AZ$2,0)),Inputs!$B$2:$B$190,$B44)*Inputs!$D$1),"",SUMIFS(INDEX(Inputs!$B$2:$AZ$190,,MATCH(SUBSTITUTE(R$3,"Q","T"),Inputs!$B$2:$AZ$2,0)),Inputs!$B$2:$B$190,$B44)*Inputs!$D$1)</f>
        <v>0</v>
      </c>
      <c r="S44" s="58">
        <f>R44</f>
        <v>0</v>
      </c>
      <c r="T44" s="57">
        <f>IF(ISNA(SUMIFS(INDEX(Inputs!$B$2:$AZ$190,,MATCH(SUBSTITUTE(T$3,"Q","T"),Inputs!$B$2:$AZ$2,0)),Inputs!$B$2:$B$190,$B44)*Inputs!$D$1),"",SUMIFS(INDEX(Inputs!$B$2:$AZ$190,,MATCH(SUBSTITUTE(T$3,"Q","T"),Inputs!$B$2:$AZ$2,0)),Inputs!$B$2:$B$190,$B44)*Inputs!$D$1)</f>
        <v>0</v>
      </c>
      <c r="U44" s="57">
        <f>IF(ISNA(SUMIFS(INDEX(Inputs!$B$2:$AZ$190,,MATCH(SUBSTITUTE(U$3,"Q","T"),Inputs!$B$2:$AZ$2,0)),Inputs!$B$2:$B$190,$B44)*Inputs!$D$1),"",SUMIFS(INDEX(Inputs!$B$2:$AZ$190,,MATCH(SUBSTITUTE(U$3,"Q","T"),Inputs!$B$2:$AZ$2,0)),Inputs!$B$2:$B$190,$B44)*Inputs!$D$1)</f>
        <v>0</v>
      </c>
      <c r="V44" s="57">
        <f>IF(ISNA(SUMIFS(INDEX(Inputs!$B$2:$AZ$190,,MATCH(SUBSTITUTE(V$3,"Q","T"),Inputs!$B$2:$AZ$2,0)),Inputs!$B$2:$B$190,$B44)*Inputs!$D$1),"",SUMIFS(INDEX(Inputs!$B$2:$AZ$190,,MATCH(SUBSTITUTE(V$3,"Q","T"),Inputs!$B$2:$AZ$2,0)),Inputs!$B$2:$B$190,$B44)*Inputs!$D$1)</f>
        <v>0</v>
      </c>
      <c r="W44" s="57">
        <f>IF(ISNA(SUMIFS(INDEX(Inputs!$B$2:$AZ$190,,MATCH(SUBSTITUTE(W$3,"Q","T"),Inputs!$B$2:$AZ$2,0)),Inputs!$B$2:$B$190,$B44)*Inputs!$D$1),"",SUMIFS(INDEX(Inputs!$B$2:$AZ$190,,MATCH(SUBSTITUTE(W$3,"Q","T"),Inputs!$B$2:$AZ$2,0)),Inputs!$B$2:$B$190,$B44)*Inputs!$D$1)</f>
        <v>0</v>
      </c>
      <c r="X44" s="58">
        <f>W44</f>
        <v>0</v>
      </c>
      <c r="Y44" s="57">
        <f>IF(ISNA(SUMIFS(INDEX(Inputs!$B$2:$AZ$190,,MATCH(SUBSTITUTE(Y$3,"Q","T"),Inputs!$B$2:$AZ$2,0)),Inputs!$B$2:$B$190,$B44)*Inputs!$D$1),"",SUMIFS(INDEX(Inputs!$B$2:$AZ$190,,MATCH(SUBSTITUTE(Y$3,"Q","T"),Inputs!$B$2:$AZ$2,0)),Inputs!$B$2:$B$190,$B44)*Inputs!$D$1)</f>
        <v>0</v>
      </c>
      <c r="Z44" s="57">
        <f>IF(ISNA(SUMIFS(INDEX(Inputs!$B$2:$AZ$190,,MATCH(SUBSTITUTE(Z$3,"Q","T"),Inputs!$B$2:$AZ$2,0)),Inputs!$B$2:$B$190,$B44)*Inputs!$D$1),"",SUMIFS(INDEX(Inputs!$B$2:$AZ$190,,MATCH(SUBSTITUTE(Z$3,"Q","T"),Inputs!$B$2:$AZ$2,0)),Inputs!$B$2:$B$190,$B44)*Inputs!$D$1)</f>
        <v>0</v>
      </c>
      <c r="AA44" s="57">
        <f>IF(ISNA(SUMIFS(INDEX(Inputs!$B$2:$AZ$190,,MATCH(SUBSTITUTE(AA$3,"Q","T"),Inputs!$B$2:$AZ$2,0)),Inputs!$B$2:$B$190,$B44)*Inputs!$D$1),"",SUMIFS(INDEX(Inputs!$B$2:$AZ$190,,MATCH(SUBSTITUTE(AA$3,"Q","T"),Inputs!$B$2:$AZ$2,0)),Inputs!$B$2:$B$190,$B44)*Inputs!$D$1)</f>
        <v>0</v>
      </c>
      <c r="AB44" s="57">
        <f>IF(ISNA(SUMIFS(INDEX(Inputs!$B$2:$AZ$190,,MATCH(SUBSTITUTE(AB$3,"Q","T"),Inputs!$B$2:$AZ$2,0)),Inputs!$B$2:$B$190,$B44)*Inputs!$D$1),"",SUMIFS(INDEX(Inputs!$B$2:$AZ$190,,MATCH(SUBSTITUTE(AB$3,"Q","T"),Inputs!$B$2:$AZ$2,0)),Inputs!$B$2:$B$190,$B44)*Inputs!$D$1)</f>
        <v>0</v>
      </c>
      <c r="AC44" s="58">
        <f>AB44</f>
        <v>0</v>
      </c>
      <c r="AD44" s="57">
        <f>IF(ISNA(SUMIFS(INDEX(Inputs!$B$2:$AZ$190,,MATCH(SUBSTITUTE(AD$3,"Q","T"),Inputs!$B$2:$AZ$2,0)),Inputs!$B$2:$B$190,$B44)*Inputs!$D$1),"",SUMIFS(INDEX(Inputs!$B$2:$AZ$190,,MATCH(SUBSTITUTE(AD$3,"Q","T"),Inputs!$B$2:$AZ$2,0)),Inputs!$B$2:$B$190,$B44)*Inputs!$D$1)</f>
        <v>0</v>
      </c>
      <c r="AE44" s="57">
        <f>IF(ISNA(SUMIFS(INDEX(Inputs!$B$2:$AZ$190,,MATCH(SUBSTITUTE(AE$3,"Q","T"),Inputs!$B$2:$AZ$2,0)),Inputs!$B$2:$B$190,$B44)*Inputs!$D$1),"",SUMIFS(INDEX(Inputs!$B$2:$AZ$190,,MATCH(SUBSTITUTE(AE$3,"Q","T"),Inputs!$B$2:$AZ$2,0)),Inputs!$B$2:$B$190,$B44)*Inputs!$D$1)</f>
        <v>0</v>
      </c>
      <c r="AF44" s="57">
        <f>IF(ISNA(SUMIFS(INDEX(Inputs!$B$2:$AZ$190,,MATCH(SUBSTITUTE(AF$3,"Q","T"),Inputs!$B$2:$AZ$2,0)),Inputs!$B$2:$B$190,$B44)*Inputs!$D$1),"",SUMIFS(INDEX(Inputs!$B$2:$AZ$190,,MATCH(SUBSTITUTE(AF$3,"Q","T"),Inputs!$B$2:$AZ$2,0)),Inputs!$B$2:$B$190,$B44)*Inputs!$D$1)</f>
        <v>0</v>
      </c>
      <c r="AG44" s="57">
        <f>IF(ISNA(SUMIFS(INDEX(Inputs!$B$2:$AZ$190,,MATCH(SUBSTITUTE(AG$3,"Q","T"),Inputs!$B$2:$AZ$2,0)),Inputs!$B$2:$B$190,$B44)*Inputs!$D$1),"",SUMIFS(INDEX(Inputs!$B$2:$AZ$190,,MATCH(SUBSTITUTE(AG$3,"Q","T"),Inputs!$B$2:$AZ$2,0)),Inputs!$B$2:$B$190,$B44)*Inputs!$D$1)</f>
        <v>0</v>
      </c>
      <c r="AH44" s="58">
        <f>AG44</f>
        <v>0</v>
      </c>
      <c r="AI44" s="57">
        <f>IF(ISNA(SUMIFS(INDEX(Inputs!$B$2:$AZ$190,,MATCH(SUBSTITUTE(AI$3,"Q","T"),Inputs!$B$2:$AZ$2,0)),Inputs!$B$2:$B$190,$B44)*Inputs!$D$1),"",SUMIFS(INDEX(Inputs!$B$2:$AZ$190,,MATCH(SUBSTITUTE(AI$3,"Q","T"),Inputs!$B$2:$AZ$2,0)),Inputs!$B$2:$B$190,$B44)*Inputs!$D$1)</f>
        <v>0</v>
      </c>
      <c r="AJ44" s="57">
        <f>IF(ISNA(SUMIFS(INDEX(Inputs!$B$2:$AZ$190,,MATCH(SUBSTITUTE(AJ$3,"Q","T"),Inputs!$B$2:$AZ$2,0)),Inputs!$B$2:$B$190,$B44)*Inputs!$D$1),"",SUMIFS(INDEX(Inputs!$B$2:$AZ$190,,MATCH(SUBSTITUTE(AJ$3,"Q","T"),Inputs!$B$2:$AZ$2,0)),Inputs!$B$2:$B$190,$B44)*Inputs!$D$1)</f>
        <v>0</v>
      </c>
      <c r="AK44" s="57">
        <f>IF(ISNA(SUMIFS(INDEX(Inputs!$B$2:$AZ$190,,MATCH(SUBSTITUTE(AK$3,"Q","T"),Inputs!$B$2:$AZ$2,0)),Inputs!$B$2:$B$190,$B44)*Inputs!$D$1),"",SUMIFS(INDEX(Inputs!$B$2:$AZ$190,,MATCH(SUBSTITUTE(AK$3,"Q","T"),Inputs!$B$2:$AZ$2,0)),Inputs!$B$2:$B$190,$B44)*Inputs!$D$1)</f>
        <v>0</v>
      </c>
      <c r="AL44" s="57">
        <f>IF(ISNA(SUMIFS(INDEX(Inputs!$B$2:$AZ$190,,MATCH(SUBSTITUTE(AL$3,"Q","T"),Inputs!$B$2:$AZ$2,0)),Inputs!$B$2:$B$190,$B44)*Inputs!$D$1),"",SUMIFS(INDEX(Inputs!$B$2:$AZ$190,,MATCH(SUBSTITUTE(AL$3,"Q","T"),Inputs!$B$2:$AZ$2,0)),Inputs!$B$2:$B$190,$B44)*Inputs!$D$1)</f>
        <v>0</v>
      </c>
      <c r="AM44" s="58">
        <f>AL44</f>
        <v>0</v>
      </c>
      <c r="AN44" s="57">
        <f>IF(ISNA(SUMIFS(INDEX(Inputs!$B$2:$AZ$190,,MATCH(SUBSTITUTE(AN$3,"Q","T"),Inputs!$B$2:$AZ$2,0)),Inputs!$B$2:$B$190,$B44)*Inputs!$D$1),"",SUMIFS(INDEX(Inputs!$B$2:$AZ$190,,MATCH(SUBSTITUTE(AN$3,"Q","T"),Inputs!$B$2:$AZ$2,0)),Inputs!$B$2:$B$190,$B44)*Inputs!$D$1)</f>
        <v>0</v>
      </c>
      <c r="AO44" s="57">
        <f>IF(ISNA(SUMIFS(INDEX(Inputs!$B$2:$AZ$190,,MATCH(SUBSTITUTE(AO$3,"Q","T"),Inputs!$B$2:$AZ$2,0)),Inputs!$B$2:$B$190,$B44)*Inputs!$D$1),"",SUMIFS(INDEX(Inputs!$B$2:$AZ$190,,MATCH(SUBSTITUTE(AO$3,"Q","T"),Inputs!$B$2:$AZ$2,0)),Inputs!$B$2:$B$190,$B44)*Inputs!$D$1)</f>
        <v>0</v>
      </c>
      <c r="AP44" s="57">
        <f>IF(ISNA(SUMIFS(INDEX(Inputs!$B$2:$AZ$190,,MATCH(SUBSTITUTE(AP$3,"Q","T"),Inputs!$B$2:$AZ$2,0)),Inputs!$B$2:$B$190,$B44)*Inputs!$D$1),"",SUMIFS(INDEX(Inputs!$B$2:$AZ$190,,MATCH(SUBSTITUTE(AP$3,"Q","T"),Inputs!$B$2:$AZ$2,0)),Inputs!$B$2:$B$190,$B44)*Inputs!$D$1)</f>
        <v>0</v>
      </c>
      <c r="AQ44" s="57">
        <f>IF(ISNA(SUMIFS(INDEX(Inputs!$B$2:$AZ$190,,MATCH(SUBSTITUTE(AQ$3,"Q","T"),Inputs!$B$2:$AZ$2,0)),Inputs!$B$2:$B$190,$B44)*Inputs!$D$1),"",SUMIFS(INDEX(Inputs!$B$2:$AZ$190,,MATCH(SUBSTITUTE(AQ$3,"Q","T"),Inputs!$B$2:$AZ$2,0)),Inputs!$B$2:$B$190,$B44)*Inputs!$D$1)</f>
        <v>0</v>
      </c>
      <c r="AR44" s="58">
        <f>AQ44</f>
        <v>0</v>
      </c>
      <c r="AS44" s="57">
        <f>IF(ISNA(SUMIFS(INDEX(Inputs!$B$2:$AZ$190,,MATCH(SUBSTITUTE(AS$3,"Q","T"),Inputs!$B$2:$AZ$2,0)),Inputs!$B$2:$B$190,$B44)*Inputs!$D$1),"",SUMIFS(INDEX(Inputs!$B$2:$AZ$190,,MATCH(SUBSTITUTE(AS$3,"Q","T"),Inputs!$B$2:$AZ$2,0)),Inputs!$B$2:$B$190,$B44)*Inputs!$D$1)</f>
        <v>0</v>
      </c>
      <c r="AT44" s="57">
        <f>IF(ISNA(SUMIFS(INDEX(Inputs!$B$2:$AZ$190,,MATCH(SUBSTITUTE(AT$3,"Q","T"),Inputs!$B$2:$AZ$2,0)),Inputs!$B$2:$B$190,$B44)*Inputs!$D$1),"",SUMIFS(INDEX(Inputs!$B$2:$AZ$190,,MATCH(SUBSTITUTE(AT$3,"Q","T"),Inputs!$B$2:$AZ$2,0)),Inputs!$B$2:$B$190,$B44)*Inputs!$D$1)</f>
        <v>0</v>
      </c>
      <c r="AU44" s="57">
        <f>IF(ISNA(SUMIFS(INDEX(Inputs!$B$2:$AZ$190,,MATCH(SUBSTITUTE(AU$3,"Q","T"),Inputs!$B$2:$AZ$2,0)),Inputs!$B$2:$B$190,$B44)*Inputs!$D$1),"",SUMIFS(INDEX(Inputs!$B$2:$AZ$190,,MATCH(SUBSTITUTE(AU$3,"Q","T"),Inputs!$B$2:$AZ$2,0)),Inputs!$B$2:$B$190,$B44)*Inputs!$D$1)</f>
        <v>0</v>
      </c>
      <c r="AV44" s="57">
        <f>IF(ISNA(SUMIFS(INDEX(Inputs!$B$2:$AZ$190,,MATCH(SUBSTITUTE(AV$3,"Q","T"),Inputs!$B$2:$AZ$2,0)),Inputs!$B$2:$B$190,$B44)*Inputs!$D$1),"",SUMIFS(INDEX(Inputs!$B$2:$AZ$190,,MATCH(SUBSTITUTE(AV$3,"Q","T"),Inputs!$B$2:$AZ$2,0)),Inputs!$B$2:$B$190,$B44)*Inputs!$D$1)</f>
        <v>0</v>
      </c>
      <c r="AW44" s="58">
        <f>AV44</f>
        <v>0</v>
      </c>
      <c r="AX44" s="57">
        <f>IF(ISNA(SUMIFS(INDEX(Inputs!$B$2:$AZ$190,,MATCH(SUBSTITUTE(AX$3,"Q","T"),Inputs!$B$2:$AZ$2,0)),Inputs!$B$2:$B$190,$B44)*Inputs!$D$1),"",SUMIFS(INDEX(Inputs!$B$2:$AZ$190,,MATCH(SUBSTITUTE(AX$3,"Q","T"),Inputs!$B$2:$AZ$2,0)),Inputs!$B$2:$B$190,$B44)*Inputs!$D$1)</f>
        <v>0</v>
      </c>
      <c r="AY44" s="57">
        <f>IF(ISNA(SUMIFS(INDEX(Inputs!$B$2:$AZ$190,,MATCH(SUBSTITUTE(AY$3,"Q","T"),Inputs!$B$2:$AZ$2,0)),Inputs!$B$2:$B$190,$B44)*Inputs!$D$1),"",SUMIFS(INDEX(Inputs!$B$2:$AZ$190,,MATCH(SUBSTITUTE(AY$3,"Q","T"),Inputs!$B$2:$AZ$2,0)),Inputs!$B$2:$B$190,$B44)*Inputs!$D$1)</f>
        <v>0</v>
      </c>
      <c r="AZ44" s="57">
        <f>IF(ISNA(SUMIFS(INDEX(Inputs!$B$2:$AZ$190,,MATCH(SUBSTITUTE(AZ$3,"Q","T"),Inputs!$B$2:$AZ$2,0)),Inputs!$B$2:$B$190,$B44)*Inputs!$D$1),"",SUMIFS(INDEX(Inputs!$B$2:$AZ$190,,MATCH(SUBSTITUTE(AZ$3,"Q","T"),Inputs!$B$2:$AZ$2,0)),Inputs!$B$2:$B$190,$B44)*Inputs!$D$1)</f>
        <v>0</v>
      </c>
      <c r="BA44" s="57">
        <f>IF(ISNA(SUMIFS(INDEX(Inputs!$B$2:$AZ$190,,MATCH(SUBSTITUTE(BA$3,"Q","T"),Inputs!$B$2:$AZ$2,0)),Inputs!$B$2:$B$190,$B44)*Inputs!$D$1),"",SUMIFS(INDEX(Inputs!$B$2:$AZ$190,,MATCH(SUBSTITUTE(BA$3,"Q","T"),Inputs!$B$2:$AZ$2,0)),Inputs!$B$2:$B$190,$B44)*Inputs!$D$1)</f>
        <v>0</v>
      </c>
      <c r="BB44" s="58">
        <f>BA44</f>
        <v>0</v>
      </c>
      <c r="BC44" s="57">
        <f>IF(ISNA(SUMIFS(INDEX(Inputs!$B$2:$AZ$190,,MATCH(SUBSTITUTE(BC$3,"Q","T"),Inputs!$B$2:$AZ$2,0)),Inputs!$B$2:$B$190,$B44)*Inputs!$D$1),"",SUMIFS(INDEX(Inputs!$B$2:$AZ$190,,MATCH(SUBSTITUTE(BC$3,"Q","T"),Inputs!$B$2:$AZ$2,0)),Inputs!$B$2:$B$190,$B44)*Inputs!$D$1)</f>
        <v>0</v>
      </c>
      <c r="BD44" s="57">
        <f>IF(ISNA(SUMIFS(INDEX(Inputs!$B$2:$AZ$190,,MATCH(SUBSTITUTE(BD$3,"Q","T"),Inputs!$B$2:$AZ$2,0)),Inputs!$B$2:$B$190,$B44)*Inputs!$D$1),"",SUMIFS(INDEX(Inputs!$B$2:$AZ$190,,MATCH(SUBSTITUTE(BD$3,"Q","T"),Inputs!$B$2:$AZ$2,0)),Inputs!$B$2:$B$190,$B44)*Inputs!$D$1)</f>
        <v>0</v>
      </c>
      <c r="BE44" s="57">
        <f>IF(ISNA(SUMIFS(INDEX(Inputs!$B$2:$AZ$190,,MATCH(SUBSTITUTE(BE$3,"Q","T"),Inputs!$B$2:$AZ$2,0)),Inputs!$B$2:$B$190,$B44)*Inputs!$D$1),"",SUMIFS(INDEX(Inputs!$B$2:$AZ$190,,MATCH(SUBSTITUTE(BE$3,"Q","T"),Inputs!$B$2:$AZ$2,0)),Inputs!$B$2:$B$190,$B44)*Inputs!$D$1)</f>
        <v>0</v>
      </c>
      <c r="BF44" s="57">
        <f>IF(ISNA(SUMIFS(INDEX(Inputs!$B$2:$AZ$190,,MATCH(SUBSTITUTE(BF$3,"Q","T"),Inputs!$B$2:$AZ$2,0)),Inputs!$B$2:$B$190,$B44)*Inputs!$D$1),"",SUMIFS(INDEX(Inputs!$B$2:$AZ$190,,MATCH(SUBSTITUTE(BF$3,"Q","T"),Inputs!$B$2:$AZ$2,0)),Inputs!$B$2:$B$190,$B44)*Inputs!$D$1)</f>
        <v>0</v>
      </c>
      <c r="BG44" s="58">
        <f>BF44</f>
        <v>0</v>
      </c>
    </row>
    <row r="45" hidden="1" outlineLevel="1">
      <c r="B45" s="56" t="inlineStr">
        <is>
          <t>ltd_x</t>
        </is>
      </c>
      <c r="C45" s="61" t="inlineStr">
        <is>
          <t>Outras emissões (quando à parte)</t>
        </is>
      </c>
      <c r="D45" s="62" t="inlineStr">
        <is>
          <t>Other issuances, if separate</t>
        </is>
      </c>
      <c r="E45" s="57">
        <f>IF(ISNA(SUMIFS(INDEX(Inputs!$B$2:$AZ$190,,MATCH(SUBSTITUTE(E$3,"Q","T"),Inputs!$B$2:$AZ$2,0)),Inputs!$B$2:$B$190,$B45)*Inputs!$D$1),"",SUMIFS(INDEX(Inputs!$B$2:$AZ$190,,MATCH(SUBSTITUTE(E$3,"Q","T"),Inputs!$B$2:$AZ$2,0)),Inputs!$B$2:$B$190,$B45)*Inputs!$D$1)</f>
        <v>0</v>
      </c>
      <c r="F45" s="57">
        <f>IF(ISNA(SUMIFS(INDEX(Inputs!$B$2:$AZ$190,,MATCH(SUBSTITUTE(F$3,"Q","T"),Inputs!$B$2:$AZ$2,0)),Inputs!$B$2:$B$190,$B45)*Inputs!$D$1),"",SUMIFS(INDEX(Inputs!$B$2:$AZ$190,,MATCH(SUBSTITUTE(F$3,"Q","T"),Inputs!$B$2:$AZ$2,0)),Inputs!$B$2:$B$190,$B45)*Inputs!$D$1)</f>
        <v>0</v>
      </c>
      <c r="G45" s="57">
        <f>IF(ISNA(SUMIFS(INDEX(Inputs!$B$2:$AZ$190,,MATCH(SUBSTITUTE(G$3,"Q","T"),Inputs!$B$2:$AZ$2,0)),Inputs!$B$2:$B$190,$B45)*Inputs!$D$1),"",SUMIFS(INDEX(Inputs!$B$2:$AZ$190,,MATCH(SUBSTITUTE(G$3,"Q","T"),Inputs!$B$2:$AZ$2,0)),Inputs!$B$2:$B$190,$B45)*Inputs!$D$1)</f>
        <v>0</v>
      </c>
      <c r="H45" s="57">
        <f>IF(ISNA(SUMIFS(INDEX(Inputs!$B$2:$AZ$190,,MATCH(SUBSTITUTE(H$3,"Q","T"),Inputs!$B$2:$AZ$2,0)),Inputs!$B$2:$B$190,$B45)*Inputs!$D$1),"",SUMIFS(INDEX(Inputs!$B$2:$AZ$190,,MATCH(SUBSTITUTE(H$3,"Q","T"),Inputs!$B$2:$AZ$2,0)),Inputs!$B$2:$B$190,$B45)*Inputs!$D$1)</f>
        <v>0</v>
      </c>
      <c r="I45" s="58">
        <f>H45</f>
        <v>0</v>
      </c>
      <c r="J45" s="57">
        <f>IF(ISNA(SUMIFS(INDEX(Inputs!$B$2:$AZ$190,,MATCH(SUBSTITUTE(J$3,"Q","T"),Inputs!$B$2:$AZ$2,0)),Inputs!$B$2:$B$190,$B45)*Inputs!$D$1),"",SUMIFS(INDEX(Inputs!$B$2:$AZ$190,,MATCH(SUBSTITUTE(J$3,"Q","T"),Inputs!$B$2:$AZ$2,0)),Inputs!$B$2:$B$190,$B45)*Inputs!$D$1)</f>
        <v>0</v>
      </c>
      <c r="K45" s="57">
        <f>IF(ISNA(SUMIFS(INDEX(Inputs!$B$2:$AZ$190,,MATCH(SUBSTITUTE(K$3,"Q","T"),Inputs!$B$2:$AZ$2,0)),Inputs!$B$2:$B$190,$B45)*Inputs!$D$1),"",SUMIFS(INDEX(Inputs!$B$2:$AZ$190,,MATCH(SUBSTITUTE(K$3,"Q","T"),Inputs!$B$2:$AZ$2,0)),Inputs!$B$2:$B$190,$B45)*Inputs!$D$1)</f>
        <v>0</v>
      </c>
      <c r="L45" s="57">
        <f>IF(ISNA(SUMIFS(INDEX(Inputs!$B$2:$AZ$190,,MATCH(SUBSTITUTE(L$3,"Q","T"),Inputs!$B$2:$AZ$2,0)),Inputs!$B$2:$B$190,$B45)*Inputs!$D$1),"",SUMIFS(INDEX(Inputs!$B$2:$AZ$190,,MATCH(SUBSTITUTE(L$3,"Q","T"),Inputs!$B$2:$AZ$2,0)),Inputs!$B$2:$B$190,$B45)*Inputs!$D$1)</f>
        <v>0</v>
      </c>
      <c r="M45" s="57">
        <f>IF(ISNA(SUMIFS(INDEX(Inputs!$B$2:$AZ$190,,MATCH(SUBSTITUTE(M$3,"Q","T"),Inputs!$B$2:$AZ$2,0)),Inputs!$B$2:$B$190,$B45)*Inputs!$D$1),"",SUMIFS(INDEX(Inputs!$B$2:$AZ$190,,MATCH(SUBSTITUTE(M$3,"Q","T"),Inputs!$B$2:$AZ$2,0)),Inputs!$B$2:$B$190,$B45)*Inputs!$D$1)</f>
        <v>0</v>
      </c>
      <c r="N45" s="58">
        <f>M45</f>
        <v>0</v>
      </c>
      <c r="O45" s="57">
        <f>IF(ISNA(SUMIFS(INDEX(Inputs!$B$2:$AZ$190,,MATCH(SUBSTITUTE(O$3,"Q","T"),Inputs!$B$2:$AZ$2,0)),Inputs!$B$2:$B$190,$B45)*Inputs!$D$1),"",SUMIFS(INDEX(Inputs!$B$2:$AZ$190,,MATCH(SUBSTITUTE(O$3,"Q","T"),Inputs!$B$2:$AZ$2,0)),Inputs!$B$2:$B$190,$B45)*Inputs!$D$1)</f>
        <v>0</v>
      </c>
      <c r="P45" s="57">
        <f>IF(ISNA(SUMIFS(INDEX(Inputs!$B$2:$AZ$190,,MATCH(SUBSTITUTE(P$3,"Q","T"),Inputs!$B$2:$AZ$2,0)),Inputs!$B$2:$B$190,$B45)*Inputs!$D$1),"",SUMIFS(INDEX(Inputs!$B$2:$AZ$190,,MATCH(SUBSTITUTE(P$3,"Q","T"),Inputs!$B$2:$AZ$2,0)),Inputs!$B$2:$B$190,$B45)*Inputs!$D$1)</f>
        <v>0</v>
      </c>
      <c r="Q45" s="57">
        <f>IF(ISNA(SUMIFS(INDEX(Inputs!$B$2:$AZ$190,,MATCH(SUBSTITUTE(Q$3,"Q","T"),Inputs!$B$2:$AZ$2,0)),Inputs!$B$2:$B$190,$B45)*Inputs!$D$1),"",SUMIFS(INDEX(Inputs!$B$2:$AZ$190,,MATCH(SUBSTITUTE(Q$3,"Q","T"),Inputs!$B$2:$AZ$2,0)),Inputs!$B$2:$B$190,$B45)*Inputs!$D$1)</f>
        <v>0</v>
      </c>
      <c r="R45" s="57">
        <f>IF(ISNA(SUMIFS(INDEX(Inputs!$B$2:$AZ$190,,MATCH(SUBSTITUTE(R$3,"Q","T"),Inputs!$B$2:$AZ$2,0)),Inputs!$B$2:$B$190,$B45)*Inputs!$D$1),"",SUMIFS(INDEX(Inputs!$B$2:$AZ$190,,MATCH(SUBSTITUTE(R$3,"Q","T"),Inputs!$B$2:$AZ$2,0)),Inputs!$B$2:$B$190,$B45)*Inputs!$D$1)</f>
        <v>0</v>
      </c>
      <c r="S45" s="58">
        <f>R45</f>
        <v>0</v>
      </c>
      <c r="T45" s="57">
        <f>IF(ISNA(SUMIFS(INDEX(Inputs!$B$2:$AZ$190,,MATCH(SUBSTITUTE(T$3,"Q","T"),Inputs!$B$2:$AZ$2,0)),Inputs!$B$2:$B$190,$B45)*Inputs!$D$1),"",SUMIFS(INDEX(Inputs!$B$2:$AZ$190,,MATCH(SUBSTITUTE(T$3,"Q","T"),Inputs!$B$2:$AZ$2,0)),Inputs!$B$2:$B$190,$B45)*Inputs!$D$1)</f>
        <v>0</v>
      </c>
      <c r="U45" s="57">
        <f>IF(ISNA(SUMIFS(INDEX(Inputs!$B$2:$AZ$190,,MATCH(SUBSTITUTE(U$3,"Q","T"),Inputs!$B$2:$AZ$2,0)),Inputs!$B$2:$B$190,$B45)*Inputs!$D$1),"",SUMIFS(INDEX(Inputs!$B$2:$AZ$190,,MATCH(SUBSTITUTE(U$3,"Q","T"),Inputs!$B$2:$AZ$2,0)),Inputs!$B$2:$B$190,$B45)*Inputs!$D$1)</f>
        <v>0</v>
      </c>
      <c r="V45" s="57">
        <f>IF(ISNA(SUMIFS(INDEX(Inputs!$B$2:$AZ$190,,MATCH(SUBSTITUTE(V$3,"Q","T"),Inputs!$B$2:$AZ$2,0)),Inputs!$B$2:$B$190,$B45)*Inputs!$D$1),"",SUMIFS(INDEX(Inputs!$B$2:$AZ$190,,MATCH(SUBSTITUTE(V$3,"Q","T"),Inputs!$B$2:$AZ$2,0)),Inputs!$B$2:$B$190,$B45)*Inputs!$D$1)</f>
        <v>0</v>
      </c>
      <c r="W45" s="57">
        <f>IF(ISNA(SUMIFS(INDEX(Inputs!$B$2:$AZ$190,,MATCH(SUBSTITUTE(W$3,"Q","T"),Inputs!$B$2:$AZ$2,0)),Inputs!$B$2:$B$190,$B45)*Inputs!$D$1),"",SUMIFS(INDEX(Inputs!$B$2:$AZ$190,,MATCH(SUBSTITUTE(W$3,"Q","T"),Inputs!$B$2:$AZ$2,0)),Inputs!$B$2:$B$190,$B45)*Inputs!$D$1)</f>
        <v>0</v>
      </c>
      <c r="X45" s="58">
        <f>W45</f>
        <v>0</v>
      </c>
      <c r="Y45" s="57">
        <f>IF(ISNA(SUMIFS(INDEX(Inputs!$B$2:$AZ$190,,MATCH(SUBSTITUTE(Y$3,"Q","T"),Inputs!$B$2:$AZ$2,0)),Inputs!$B$2:$B$190,$B45)*Inputs!$D$1),"",SUMIFS(INDEX(Inputs!$B$2:$AZ$190,,MATCH(SUBSTITUTE(Y$3,"Q","T"),Inputs!$B$2:$AZ$2,0)),Inputs!$B$2:$B$190,$B45)*Inputs!$D$1)</f>
        <v>0</v>
      </c>
      <c r="Z45" s="57">
        <f>IF(ISNA(SUMIFS(INDEX(Inputs!$B$2:$AZ$190,,MATCH(SUBSTITUTE(Z$3,"Q","T"),Inputs!$B$2:$AZ$2,0)),Inputs!$B$2:$B$190,$B45)*Inputs!$D$1),"",SUMIFS(INDEX(Inputs!$B$2:$AZ$190,,MATCH(SUBSTITUTE(Z$3,"Q","T"),Inputs!$B$2:$AZ$2,0)),Inputs!$B$2:$B$190,$B45)*Inputs!$D$1)</f>
        <v>0</v>
      </c>
      <c r="AA45" s="57">
        <f>IF(ISNA(SUMIFS(INDEX(Inputs!$B$2:$AZ$190,,MATCH(SUBSTITUTE(AA$3,"Q","T"),Inputs!$B$2:$AZ$2,0)),Inputs!$B$2:$B$190,$B45)*Inputs!$D$1),"",SUMIFS(INDEX(Inputs!$B$2:$AZ$190,,MATCH(SUBSTITUTE(AA$3,"Q","T"),Inputs!$B$2:$AZ$2,0)),Inputs!$B$2:$B$190,$B45)*Inputs!$D$1)</f>
        <v>0</v>
      </c>
      <c r="AB45" s="57">
        <f>IF(ISNA(SUMIFS(INDEX(Inputs!$B$2:$AZ$190,,MATCH(SUBSTITUTE(AB$3,"Q","T"),Inputs!$B$2:$AZ$2,0)),Inputs!$B$2:$B$190,$B45)*Inputs!$D$1),"",SUMIFS(INDEX(Inputs!$B$2:$AZ$190,,MATCH(SUBSTITUTE(AB$3,"Q","T"),Inputs!$B$2:$AZ$2,0)),Inputs!$B$2:$B$190,$B45)*Inputs!$D$1)</f>
        <v>0</v>
      </c>
      <c r="AC45" s="58">
        <f>AB45</f>
        <v>0</v>
      </c>
      <c r="AD45" s="57">
        <f>IF(ISNA(SUMIFS(INDEX(Inputs!$B$2:$AZ$190,,MATCH(SUBSTITUTE(AD$3,"Q","T"),Inputs!$B$2:$AZ$2,0)),Inputs!$B$2:$B$190,$B45)*Inputs!$D$1),"",SUMIFS(INDEX(Inputs!$B$2:$AZ$190,,MATCH(SUBSTITUTE(AD$3,"Q","T"),Inputs!$B$2:$AZ$2,0)),Inputs!$B$2:$B$190,$B45)*Inputs!$D$1)</f>
        <v>0</v>
      </c>
      <c r="AE45" s="57">
        <f>IF(ISNA(SUMIFS(INDEX(Inputs!$B$2:$AZ$190,,MATCH(SUBSTITUTE(AE$3,"Q","T"),Inputs!$B$2:$AZ$2,0)),Inputs!$B$2:$B$190,$B45)*Inputs!$D$1),"",SUMIFS(INDEX(Inputs!$B$2:$AZ$190,,MATCH(SUBSTITUTE(AE$3,"Q","T"),Inputs!$B$2:$AZ$2,0)),Inputs!$B$2:$B$190,$B45)*Inputs!$D$1)</f>
        <v>0</v>
      </c>
      <c r="AF45" s="57">
        <f>IF(ISNA(SUMIFS(INDEX(Inputs!$B$2:$AZ$190,,MATCH(SUBSTITUTE(AF$3,"Q","T"),Inputs!$B$2:$AZ$2,0)),Inputs!$B$2:$B$190,$B45)*Inputs!$D$1),"",SUMIFS(INDEX(Inputs!$B$2:$AZ$190,,MATCH(SUBSTITUTE(AF$3,"Q","T"),Inputs!$B$2:$AZ$2,0)),Inputs!$B$2:$B$190,$B45)*Inputs!$D$1)</f>
        <v>0</v>
      </c>
      <c r="AG45" s="57">
        <f>IF(ISNA(SUMIFS(INDEX(Inputs!$B$2:$AZ$190,,MATCH(SUBSTITUTE(AG$3,"Q","T"),Inputs!$B$2:$AZ$2,0)),Inputs!$B$2:$B$190,$B45)*Inputs!$D$1),"",SUMIFS(INDEX(Inputs!$B$2:$AZ$190,,MATCH(SUBSTITUTE(AG$3,"Q","T"),Inputs!$B$2:$AZ$2,0)),Inputs!$B$2:$B$190,$B45)*Inputs!$D$1)</f>
        <v>0</v>
      </c>
      <c r="AH45" s="58">
        <f>AG45</f>
        <v>0</v>
      </c>
      <c r="AI45" s="57">
        <f>IF(ISNA(SUMIFS(INDEX(Inputs!$B$2:$AZ$190,,MATCH(SUBSTITUTE(AI$3,"Q","T"),Inputs!$B$2:$AZ$2,0)),Inputs!$B$2:$B$190,$B45)*Inputs!$D$1),"",SUMIFS(INDEX(Inputs!$B$2:$AZ$190,,MATCH(SUBSTITUTE(AI$3,"Q","T"),Inputs!$B$2:$AZ$2,0)),Inputs!$B$2:$B$190,$B45)*Inputs!$D$1)</f>
        <v>0</v>
      </c>
      <c r="AJ45" s="57">
        <f>IF(ISNA(SUMIFS(INDEX(Inputs!$B$2:$AZ$190,,MATCH(SUBSTITUTE(AJ$3,"Q","T"),Inputs!$B$2:$AZ$2,0)),Inputs!$B$2:$B$190,$B45)*Inputs!$D$1),"",SUMIFS(INDEX(Inputs!$B$2:$AZ$190,,MATCH(SUBSTITUTE(AJ$3,"Q","T"),Inputs!$B$2:$AZ$2,0)),Inputs!$B$2:$B$190,$B45)*Inputs!$D$1)</f>
        <v>0</v>
      </c>
      <c r="AK45" s="57">
        <f>IF(ISNA(SUMIFS(INDEX(Inputs!$B$2:$AZ$190,,MATCH(SUBSTITUTE(AK$3,"Q","T"),Inputs!$B$2:$AZ$2,0)),Inputs!$B$2:$B$190,$B45)*Inputs!$D$1),"",SUMIFS(INDEX(Inputs!$B$2:$AZ$190,,MATCH(SUBSTITUTE(AK$3,"Q","T"),Inputs!$B$2:$AZ$2,0)),Inputs!$B$2:$B$190,$B45)*Inputs!$D$1)</f>
        <v>0</v>
      </c>
      <c r="AL45" s="57">
        <f>IF(ISNA(SUMIFS(INDEX(Inputs!$B$2:$AZ$190,,MATCH(SUBSTITUTE(AL$3,"Q","T"),Inputs!$B$2:$AZ$2,0)),Inputs!$B$2:$B$190,$B45)*Inputs!$D$1),"",SUMIFS(INDEX(Inputs!$B$2:$AZ$190,,MATCH(SUBSTITUTE(AL$3,"Q","T"),Inputs!$B$2:$AZ$2,0)),Inputs!$B$2:$B$190,$B45)*Inputs!$D$1)</f>
        <v>0</v>
      </c>
      <c r="AM45" s="58">
        <f>AL45</f>
        <v>0</v>
      </c>
      <c r="AN45" s="57">
        <f>IF(ISNA(SUMIFS(INDEX(Inputs!$B$2:$AZ$190,,MATCH(SUBSTITUTE(AN$3,"Q","T"),Inputs!$B$2:$AZ$2,0)),Inputs!$B$2:$B$190,$B45)*Inputs!$D$1),"",SUMIFS(INDEX(Inputs!$B$2:$AZ$190,,MATCH(SUBSTITUTE(AN$3,"Q","T"),Inputs!$B$2:$AZ$2,0)),Inputs!$B$2:$B$190,$B45)*Inputs!$D$1)</f>
        <v>0</v>
      </c>
      <c r="AO45" s="57">
        <f>IF(ISNA(SUMIFS(INDEX(Inputs!$B$2:$AZ$190,,MATCH(SUBSTITUTE(AO$3,"Q","T"),Inputs!$B$2:$AZ$2,0)),Inputs!$B$2:$B$190,$B45)*Inputs!$D$1),"",SUMIFS(INDEX(Inputs!$B$2:$AZ$190,,MATCH(SUBSTITUTE(AO$3,"Q","T"),Inputs!$B$2:$AZ$2,0)),Inputs!$B$2:$B$190,$B45)*Inputs!$D$1)</f>
        <v>0</v>
      </c>
      <c r="AP45" s="57">
        <f>IF(ISNA(SUMIFS(INDEX(Inputs!$B$2:$AZ$190,,MATCH(SUBSTITUTE(AP$3,"Q","T"),Inputs!$B$2:$AZ$2,0)),Inputs!$B$2:$B$190,$B45)*Inputs!$D$1),"",SUMIFS(INDEX(Inputs!$B$2:$AZ$190,,MATCH(SUBSTITUTE(AP$3,"Q","T"),Inputs!$B$2:$AZ$2,0)),Inputs!$B$2:$B$190,$B45)*Inputs!$D$1)</f>
        <v>0</v>
      </c>
      <c r="AQ45" s="57">
        <f>IF(ISNA(SUMIFS(INDEX(Inputs!$B$2:$AZ$190,,MATCH(SUBSTITUTE(AQ$3,"Q","T"),Inputs!$B$2:$AZ$2,0)),Inputs!$B$2:$B$190,$B45)*Inputs!$D$1),"",SUMIFS(INDEX(Inputs!$B$2:$AZ$190,,MATCH(SUBSTITUTE(AQ$3,"Q","T"),Inputs!$B$2:$AZ$2,0)),Inputs!$B$2:$B$190,$B45)*Inputs!$D$1)</f>
        <v>0</v>
      </c>
      <c r="AR45" s="58">
        <f>AQ45</f>
        <v>0</v>
      </c>
      <c r="AS45" s="57">
        <f>IF(ISNA(SUMIFS(INDEX(Inputs!$B$2:$AZ$190,,MATCH(SUBSTITUTE(AS$3,"Q","T"),Inputs!$B$2:$AZ$2,0)),Inputs!$B$2:$B$190,$B45)*Inputs!$D$1),"",SUMIFS(INDEX(Inputs!$B$2:$AZ$190,,MATCH(SUBSTITUTE(AS$3,"Q","T"),Inputs!$B$2:$AZ$2,0)),Inputs!$B$2:$B$190,$B45)*Inputs!$D$1)</f>
        <v>0</v>
      </c>
      <c r="AT45" s="57">
        <f>IF(ISNA(SUMIFS(INDEX(Inputs!$B$2:$AZ$190,,MATCH(SUBSTITUTE(AT$3,"Q","T"),Inputs!$B$2:$AZ$2,0)),Inputs!$B$2:$B$190,$B45)*Inputs!$D$1),"",SUMIFS(INDEX(Inputs!$B$2:$AZ$190,,MATCH(SUBSTITUTE(AT$3,"Q","T"),Inputs!$B$2:$AZ$2,0)),Inputs!$B$2:$B$190,$B45)*Inputs!$D$1)</f>
        <v>0</v>
      </c>
      <c r="AU45" s="57">
        <f>IF(ISNA(SUMIFS(INDEX(Inputs!$B$2:$AZ$190,,MATCH(SUBSTITUTE(AU$3,"Q","T"),Inputs!$B$2:$AZ$2,0)),Inputs!$B$2:$B$190,$B45)*Inputs!$D$1),"",SUMIFS(INDEX(Inputs!$B$2:$AZ$190,,MATCH(SUBSTITUTE(AU$3,"Q","T"),Inputs!$B$2:$AZ$2,0)),Inputs!$B$2:$B$190,$B45)*Inputs!$D$1)</f>
        <v>0</v>
      </c>
      <c r="AV45" s="57">
        <f>IF(ISNA(SUMIFS(INDEX(Inputs!$B$2:$AZ$190,,MATCH(SUBSTITUTE(AV$3,"Q","T"),Inputs!$B$2:$AZ$2,0)),Inputs!$B$2:$B$190,$B45)*Inputs!$D$1),"",SUMIFS(INDEX(Inputs!$B$2:$AZ$190,,MATCH(SUBSTITUTE(AV$3,"Q","T"),Inputs!$B$2:$AZ$2,0)),Inputs!$B$2:$B$190,$B45)*Inputs!$D$1)</f>
        <v>0</v>
      </c>
      <c r="AW45" s="58">
        <f>AV45</f>
        <v>0</v>
      </c>
      <c r="AX45" s="57">
        <f>IF(ISNA(SUMIFS(INDEX(Inputs!$B$2:$AZ$190,,MATCH(SUBSTITUTE(AX$3,"Q","T"),Inputs!$B$2:$AZ$2,0)),Inputs!$B$2:$B$190,$B45)*Inputs!$D$1),"",SUMIFS(INDEX(Inputs!$B$2:$AZ$190,,MATCH(SUBSTITUTE(AX$3,"Q","T"),Inputs!$B$2:$AZ$2,0)),Inputs!$B$2:$B$190,$B45)*Inputs!$D$1)</f>
        <v>0</v>
      </c>
      <c r="AY45" s="57">
        <f>IF(ISNA(SUMIFS(INDEX(Inputs!$B$2:$AZ$190,,MATCH(SUBSTITUTE(AY$3,"Q","T"),Inputs!$B$2:$AZ$2,0)),Inputs!$B$2:$B$190,$B45)*Inputs!$D$1),"",SUMIFS(INDEX(Inputs!$B$2:$AZ$190,,MATCH(SUBSTITUTE(AY$3,"Q","T"),Inputs!$B$2:$AZ$2,0)),Inputs!$B$2:$B$190,$B45)*Inputs!$D$1)</f>
        <v>0</v>
      </c>
      <c r="AZ45" s="57">
        <f>IF(ISNA(SUMIFS(INDEX(Inputs!$B$2:$AZ$190,,MATCH(SUBSTITUTE(AZ$3,"Q","T"),Inputs!$B$2:$AZ$2,0)),Inputs!$B$2:$B$190,$B45)*Inputs!$D$1),"",SUMIFS(INDEX(Inputs!$B$2:$AZ$190,,MATCH(SUBSTITUTE(AZ$3,"Q","T"),Inputs!$B$2:$AZ$2,0)),Inputs!$B$2:$B$190,$B45)*Inputs!$D$1)</f>
        <v>0</v>
      </c>
      <c r="BA45" s="57">
        <f>IF(ISNA(SUMIFS(INDEX(Inputs!$B$2:$AZ$190,,MATCH(SUBSTITUTE(BA$3,"Q","T"),Inputs!$B$2:$AZ$2,0)),Inputs!$B$2:$B$190,$B45)*Inputs!$D$1),"",SUMIFS(INDEX(Inputs!$B$2:$AZ$190,,MATCH(SUBSTITUTE(BA$3,"Q","T"),Inputs!$B$2:$AZ$2,0)),Inputs!$B$2:$B$190,$B45)*Inputs!$D$1)</f>
        <v>0</v>
      </c>
      <c r="BB45" s="58">
        <f>BA45</f>
        <v>0</v>
      </c>
      <c r="BC45" s="57">
        <f>IF(ISNA(SUMIFS(INDEX(Inputs!$B$2:$AZ$190,,MATCH(SUBSTITUTE(BC$3,"Q","T"),Inputs!$B$2:$AZ$2,0)),Inputs!$B$2:$B$190,$B45)*Inputs!$D$1),"",SUMIFS(INDEX(Inputs!$B$2:$AZ$190,,MATCH(SUBSTITUTE(BC$3,"Q","T"),Inputs!$B$2:$AZ$2,0)),Inputs!$B$2:$B$190,$B45)*Inputs!$D$1)</f>
        <v>0</v>
      </c>
      <c r="BD45" s="57">
        <f>IF(ISNA(SUMIFS(INDEX(Inputs!$B$2:$AZ$190,,MATCH(SUBSTITUTE(BD$3,"Q","T"),Inputs!$B$2:$AZ$2,0)),Inputs!$B$2:$B$190,$B45)*Inputs!$D$1),"",SUMIFS(INDEX(Inputs!$B$2:$AZ$190,,MATCH(SUBSTITUTE(BD$3,"Q","T"),Inputs!$B$2:$AZ$2,0)),Inputs!$B$2:$B$190,$B45)*Inputs!$D$1)</f>
        <v>0</v>
      </c>
      <c r="BE45" s="57">
        <f>IF(ISNA(SUMIFS(INDEX(Inputs!$B$2:$AZ$190,,MATCH(SUBSTITUTE(BE$3,"Q","T"),Inputs!$B$2:$AZ$2,0)),Inputs!$B$2:$B$190,$B45)*Inputs!$D$1),"",SUMIFS(INDEX(Inputs!$B$2:$AZ$190,,MATCH(SUBSTITUTE(BE$3,"Q","T"),Inputs!$B$2:$AZ$2,0)),Inputs!$B$2:$B$190,$B45)*Inputs!$D$1)</f>
        <v>0</v>
      </c>
      <c r="BF45" s="57">
        <f>IF(ISNA(SUMIFS(INDEX(Inputs!$B$2:$AZ$190,,MATCH(SUBSTITUTE(BF$3,"Q","T"),Inputs!$B$2:$AZ$2,0)),Inputs!$B$2:$B$190,$B45)*Inputs!$D$1),"",SUMIFS(INDEX(Inputs!$B$2:$AZ$190,,MATCH(SUBSTITUTE(BF$3,"Q","T"),Inputs!$B$2:$AZ$2,0)),Inputs!$B$2:$B$190,$B45)*Inputs!$D$1)</f>
        <v>0</v>
      </c>
      <c r="BG45" s="58">
        <f>BF45</f>
        <v>0</v>
      </c>
    </row>
    <row r="46" hidden="1" outlineLevel="1">
      <c r="B46" s="56" t="inlineStr">
        <is>
          <t>sub_debt</t>
        </is>
      </c>
      <c r="C46" s="61" t="inlineStr">
        <is>
          <t>Dívida subordinada (quando à parte)</t>
        </is>
      </c>
      <c r="D46" s="62" t="inlineStr">
        <is>
          <t>Subordinated debt, if separate</t>
        </is>
      </c>
      <c r="E46" s="57">
        <f>IF(ISNA(SUMIFS(INDEX(Inputs!$B$2:$AZ$190,,MATCH(SUBSTITUTE(E$3,"Q","T"),Inputs!$B$2:$AZ$2,0)),Inputs!$B$2:$B$190,$B46)*Inputs!$D$1),"",SUMIFS(INDEX(Inputs!$B$2:$AZ$190,,MATCH(SUBSTITUTE(E$3,"Q","T"),Inputs!$B$2:$AZ$2,0)),Inputs!$B$2:$B$190,$B46)*Inputs!$D$1)</f>
        <v>0</v>
      </c>
      <c r="F46" s="57">
        <f>IF(ISNA(SUMIFS(INDEX(Inputs!$B$2:$AZ$190,,MATCH(SUBSTITUTE(F$3,"Q","T"),Inputs!$B$2:$AZ$2,0)),Inputs!$B$2:$B$190,$B46)*Inputs!$D$1),"",SUMIFS(INDEX(Inputs!$B$2:$AZ$190,,MATCH(SUBSTITUTE(F$3,"Q","T"),Inputs!$B$2:$AZ$2,0)),Inputs!$B$2:$B$190,$B46)*Inputs!$D$1)</f>
        <v>0</v>
      </c>
      <c r="G46" s="57">
        <f>IF(ISNA(SUMIFS(INDEX(Inputs!$B$2:$AZ$190,,MATCH(SUBSTITUTE(G$3,"Q","T"),Inputs!$B$2:$AZ$2,0)),Inputs!$B$2:$B$190,$B46)*Inputs!$D$1),"",SUMIFS(INDEX(Inputs!$B$2:$AZ$190,,MATCH(SUBSTITUTE(G$3,"Q","T"),Inputs!$B$2:$AZ$2,0)),Inputs!$B$2:$B$190,$B46)*Inputs!$D$1)</f>
        <v>0</v>
      </c>
      <c r="H46" s="57">
        <f>IF(ISNA(SUMIFS(INDEX(Inputs!$B$2:$AZ$190,,MATCH(SUBSTITUTE(H$3,"Q","T"),Inputs!$B$2:$AZ$2,0)),Inputs!$B$2:$B$190,$B46)*Inputs!$D$1),"",SUMIFS(INDEX(Inputs!$B$2:$AZ$190,,MATCH(SUBSTITUTE(H$3,"Q","T"),Inputs!$B$2:$AZ$2,0)),Inputs!$B$2:$B$190,$B46)*Inputs!$D$1)</f>
        <v>0</v>
      </c>
      <c r="I46" s="58">
        <f>H46</f>
        <v>0</v>
      </c>
      <c r="J46" s="57">
        <f>IF(ISNA(SUMIFS(INDEX(Inputs!$B$2:$AZ$190,,MATCH(SUBSTITUTE(J$3,"Q","T"),Inputs!$B$2:$AZ$2,0)),Inputs!$B$2:$B$190,$B46)*Inputs!$D$1),"",SUMIFS(INDEX(Inputs!$B$2:$AZ$190,,MATCH(SUBSTITUTE(J$3,"Q","T"),Inputs!$B$2:$AZ$2,0)),Inputs!$B$2:$B$190,$B46)*Inputs!$D$1)</f>
        <v>0</v>
      </c>
      <c r="K46" s="57">
        <f>IF(ISNA(SUMIFS(INDEX(Inputs!$B$2:$AZ$190,,MATCH(SUBSTITUTE(K$3,"Q","T"),Inputs!$B$2:$AZ$2,0)),Inputs!$B$2:$B$190,$B46)*Inputs!$D$1),"",SUMIFS(INDEX(Inputs!$B$2:$AZ$190,,MATCH(SUBSTITUTE(K$3,"Q","T"),Inputs!$B$2:$AZ$2,0)),Inputs!$B$2:$B$190,$B46)*Inputs!$D$1)</f>
        <v>0</v>
      </c>
      <c r="L46" s="57">
        <f>IF(ISNA(SUMIFS(INDEX(Inputs!$B$2:$AZ$190,,MATCH(SUBSTITUTE(L$3,"Q","T"),Inputs!$B$2:$AZ$2,0)),Inputs!$B$2:$B$190,$B46)*Inputs!$D$1),"",SUMIFS(INDEX(Inputs!$B$2:$AZ$190,,MATCH(SUBSTITUTE(L$3,"Q","T"),Inputs!$B$2:$AZ$2,0)),Inputs!$B$2:$B$190,$B46)*Inputs!$D$1)</f>
        <v>0</v>
      </c>
      <c r="M46" s="57">
        <f>IF(ISNA(SUMIFS(INDEX(Inputs!$B$2:$AZ$190,,MATCH(SUBSTITUTE(M$3,"Q","T"),Inputs!$B$2:$AZ$2,0)),Inputs!$B$2:$B$190,$B46)*Inputs!$D$1),"",SUMIFS(INDEX(Inputs!$B$2:$AZ$190,,MATCH(SUBSTITUTE(M$3,"Q","T"),Inputs!$B$2:$AZ$2,0)),Inputs!$B$2:$B$190,$B46)*Inputs!$D$1)</f>
        <v>0</v>
      </c>
      <c r="N46" s="58">
        <f>M46</f>
        <v>0</v>
      </c>
      <c r="O46" s="57">
        <f>IF(ISNA(SUMIFS(INDEX(Inputs!$B$2:$AZ$190,,MATCH(SUBSTITUTE(O$3,"Q","T"),Inputs!$B$2:$AZ$2,0)),Inputs!$B$2:$B$190,$B46)*Inputs!$D$1),"",SUMIFS(INDEX(Inputs!$B$2:$AZ$190,,MATCH(SUBSTITUTE(O$3,"Q","T"),Inputs!$B$2:$AZ$2,0)),Inputs!$B$2:$B$190,$B46)*Inputs!$D$1)</f>
        <v>0</v>
      </c>
      <c r="P46" s="57">
        <f>IF(ISNA(SUMIFS(INDEX(Inputs!$B$2:$AZ$190,,MATCH(SUBSTITUTE(P$3,"Q","T"),Inputs!$B$2:$AZ$2,0)),Inputs!$B$2:$B$190,$B46)*Inputs!$D$1),"",SUMIFS(INDEX(Inputs!$B$2:$AZ$190,,MATCH(SUBSTITUTE(P$3,"Q","T"),Inputs!$B$2:$AZ$2,0)),Inputs!$B$2:$B$190,$B46)*Inputs!$D$1)</f>
        <v>0</v>
      </c>
      <c r="Q46" s="57">
        <f>IF(ISNA(SUMIFS(INDEX(Inputs!$B$2:$AZ$190,,MATCH(SUBSTITUTE(Q$3,"Q","T"),Inputs!$B$2:$AZ$2,0)),Inputs!$B$2:$B$190,$B46)*Inputs!$D$1),"",SUMIFS(INDEX(Inputs!$B$2:$AZ$190,,MATCH(SUBSTITUTE(Q$3,"Q","T"),Inputs!$B$2:$AZ$2,0)),Inputs!$B$2:$B$190,$B46)*Inputs!$D$1)</f>
        <v>0</v>
      </c>
      <c r="R46" s="57">
        <f>IF(ISNA(SUMIFS(INDEX(Inputs!$B$2:$AZ$190,,MATCH(SUBSTITUTE(R$3,"Q","T"),Inputs!$B$2:$AZ$2,0)),Inputs!$B$2:$B$190,$B46)*Inputs!$D$1),"",SUMIFS(INDEX(Inputs!$B$2:$AZ$190,,MATCH(SUBSTITUTE(R$3,"Q","T"),Inputs!$B$2:$AZ$2,0)),Inputs!$B$2:$B$190,$B46)*Inputs!$D$1)</f>
        <v>0</v>
      </c>
      <c r="S46" s="58">
        <f>R46</f>
        <v>0</v>
      </c>
      <c r="T46" s="57">
        <f>IF(ISNA(SUMIFS(INDEX(Inputs!$B$2:$AZ$190,,MATCH(SUBSTITUTE(T$3,"Q","T"),Inputs!$B$2:$AZ$2,0)),Inputs!$B$2:$B$190,$B46)*Inputs!$D$1),"",SUMIFS(INDEX(Inputs!$B$2:$AZ$190,,MATCH(SUBSTITUTE(T$3,"Q","T"),Inputs!$B$2:$AZ$2,0)),Inputs!$B$2:$B$190,$B46)*Inputs!$D$1)</f>
        <v>0</v>
      </c>
      <c r="U46" s="57">
        <f>IF(ISNA(SUMIFS(INDEX(Inputs!$B$2:$AZ$190,,MATCH(SUBSTITUTE(U$3,"Q","T"),Inputs!$B$2:$AZ$2,0)),Inputs!$B$2:$B$190,$B46)*Inputs!$D$1),"",SUMIFS(INDEX(Inputs!$B$2:$AZ$190,,MATCH(SUBSTITUTE(U$3,"Q","T"),Inputs!$B$2:$AZ$2,0)),Inputs!$B$2:$B$190,$B46)*Inputs!$D$1)</f>
        <v>0</v>
      </c>
      <c r="V46" s="57">
        <f>IF(ISNA(SUMIFS(INDEX(Inputs!$B$2:$AZ$190,,MATCH(SUBSTITUTE(V$3,"Q","T"),Inputs!$B$2:$AZ$2,0)),Inputs!$B$2:$B$190,$B46)*Inputs!$D$1),"",SUMIFS(INDEX(Inputs!$B$2:$AZ$190,,MATCH(SUBSTITUTE(V$3,"Q","T"),Inputs!$B$2:$AZ$2,0)),Inputs!$B$2:$B$190,$B46)*Inputs!$D$1)</f>
        <v>0</v>
      </c>
      <c r="W46" s="57">
        <f>IF(ISNA(SUMIFS(INDEX(Inputs!$B$2:$AZ$190,,MATCH(SUBSTITUTE(W$3,"Q","T"),Inputs!$B$2:$AZ$2,0)),Inputs!$B$2:$B$190,$B46)*Inputs!$D$1),"",SUMIFS(INDEX(Inputs!$B$2:$AZ$190,,MATCH(SUBSTITUTE(W$3,"Q","T"),Inputs!$B$2:$AZ$2,0)),Inputs!$B$2:$B$190,$B46)*Inputs!$D$1)</f>
        <v>0</v>
      </c>
      <c r="X46" s="58">
        <f>W46</f>
        <v>0</v>
      </c>
      <c r="Y46" s="57">
        <f>IF(ISNA(SUMIFS(INDEX(Inputs!$B$2:$AZ$190,,MATCH(SUBSTITUTE(Y$3,"Q","T"),Inputs!$B$2:$AZ$2,0)),Inputs!$B$2:$B$190,$B46)*Inputs!$D$1),"",SUMIFS(INDEX(Inputs!$B$2:$AZ$190,,MATCH(SUBSTITUTE(Y$3,"Q","T"),Inputs!$B$2:$AZ$2,0)),Inputs!$B$2:$B$190,$B46)*Inputs!$D$1)</f>
        <v>0</v>
      </c>
      <c r="Z46" s="57">
        <f>IF(ISNA(SUMIFS(INDEX(Inputs!$B$2:$AZ$190,,MATCH(SUBSTITUTE(Z$3,"Q","T"),Inputs!$B$2:$AZ$2,0)),Inputs!$B$2:$B$190,$B46)*Inputs!$D$1),"",SUMIFS(INDEX(Inputs!$B$2:$AZ$190,,MATCH(SUBSTITUTE(Z$3,"Q","T"),Inputs!$B$2:$AZ$2,0)),Inputs!$B$2:$B$190,$B46)*Inputs!$D$1)</f>
        <v>0</v>
      </c>
      <c r="AA46" s="57">
        <f>IF(ISNA(SUMIFS(INDEX(Inputs!$B$2:$AZ$190,,MATCH(SUBSTITUTE(AA$3,"Q","T"),Inputs!$B$2:$AZ$2,0)),Inputs!$B$2:$B$190,$B46)*Inputs!$D$1),"",SUMIFS(INDEX(Inputs!$B$2:$AZ$190,,MATCH(SUBSTITUTE(AA$3,"Q","T"),Inputs!$B$2:$AZ$2,0)),Inputs!$B$2:$B$190,$B46)*Inputs!$D$1)</f>
        <v>0</v>
      </c>
      <c r="AB46" s="57">
        <f>IF(ISNA(SUMIFS(INDEX(Inputs!$B$2:$AZ$190,,MATCH(SUBSTITUTE(AB$3,"Q","T"),Inputs!$B$2:$AZ$2,0)),Inputs!$B$2:$B$190,$B46)*Inputs!$D$1),"",SUMIFS(INDEX(Inputs!$B$2:$AZ$190,,MATCH(SUBSTITUTE(AB$3,"Q","T"),Inputs!$B$2:$AZ$2,0)),Inputs!$B$2:$B$190,$B46)*Inputs!$D$1)</f>
        <v>0</v>
      </c>
      <c r="AC46" s="58">
        <f>AB46</f>
        <v>0</v>
      </c>
      <c r="AD46" s="57">
        <f>IF(ISNA(SUMIFS(INDEX(Inputs!$B$2:$AZ$190,,MATCH(SUBSTITUTE(AD$3,"Q","T"),Inputs!$B$2:$AZ$2,0)),Inputs!$B$2:$B$190,$B46)*Inputs!$D$1),"",SUMIFS(INDEX(Inputs!$B$2:$AZ$190,,MATCH(SUBSTITUTE(AD$3,"Q","T"),Inputs!$B$2:$AZ$2,0)),Inputs!$B$2:$B$190,$B46)*Inputs!$D$1)</f>
        <v>0</v>
      </c>
      <c r="AE46" s="57">
        <f>IF(ISNA(SUMIFS(INDEX(Inputs!$B$2:$AZ$190,,MATCH(SUBSTITUTE(AE$3,"Q","T"),Inputs!$B$2:$AZ$2,0)),Inputs!$B$2:$B$190,$B46)*Inputs!$D$1),"",SUMIFS(INDEX(Inputs!$B$2:$AZ$190,,MATCH(SUBSTITUTE(AE$3,"Q","T"),Inputs!$B$2:$AZ$2,0)),Inputs!$B$2:$B$190,$B46)*Inputs!$D$1)</f>
        <v>0</v>
      </c>
      <c r="AF46" s="57">
        <f>IF(ISNA(SUMIFS(INDEX(Inputs!$B$2:$AZ$190,,MATCH(SUBSTITUTE(AF$3,"Q","T"),Inputs!$B$2:$AZ$2,0)),Inputs!$B$2:$B$190,$B46)*Inputs!$D$1),"",SUMIFS(INDEX(Inputs!$B$2:$AZ$190,,MATCH(SUBSTITUTE(AF$3,"Q","T"),Inputs!$B$2:$AZ$2,0)),Inputs!$B$2:$B$190,$B46)*Inputs!$D$1)</f>
        <v>0</v>
      </c>
      <c r="AG46" s="57">
        <f>IF(ISNA(SUMIFS(INDEX(Inputs!$B$2:$AZ$190,,MATCH(SUBSTITUTE(AG$3,"Q","T"),Inputs!$B$2:$AZ$2,0)),Inputs!$B$2:$B$190,$B46)*Inputs!$D$1),"",SUMIFS(INDEX(Inputs!$B$2:$AZ$190,,MATCH(SUBSTITUTE(AG$3,"Q","T"),Inputs!$B$2:$AZ$2,0)),Inputs!$B$2:$B$190,$B46)*Inputs!$D$1)</f>
        <v>0</v>
      </c>
      <c r="AH46" s="58">
        <f>AG46</f>
        <v>0</v>
      </c>
      <c r="AI46" s="57">
        <f>IF(ISNA(SUMIFS(INDEX(Inputs!$B$2:$AZ$190,,MATCH(SUBSTITUTE(AI$3,"Q","T"),Inputs!$B$2:$AZ$2,0)),Inputs!$B$2:$B$190,$B46)*Inputs!$D$1),"",SUMIFS(INDEX(Inputs!$B$2:$AZ$190,,MATCH(SUBSTITUTE(AI$3,"Q","T"),Inputs!$B$2:$AZ$2,0)),Inputs!$B$2:$B$190,$B46)*Inputs!$D$1)</f>
        <v>0</v>
      </c>
      <c r="AJ46" s="57">
        <f>IF(ISNA(SUMIFS(INDEX(Inputs!$B$2:$AZ$190,,MATCH(SUBSTITUTE(AJ$3,"Q","T"),Inputs!$B$2:$AZ$2,0)),Inputs!$B$2:$B$190,$B46)*Inputs!$D$1),"",SUMIFS(INDEX(Inputs!$B$2:$AZ$190,,MATCH(SUBSTITUTE(AJ$3,"Q","T"),Inputs!$B$2:$AZ$2,0)),Inputs!$B$2:$B$190,$B46)*Inputs!$D$1)</f>
        <v>0</v>
      </c>
      <c r="AK46" s="57">
        <f>IF(ISNA(SUMIFS(INDEX(Inputs!$B$2:$AZ$190,,MATCH(SUBSTITUTE(AK$3,"Q","T"),Inputs!$B$2:$AZ$2,0)),Inputs!$B$2:$B$190,$B46)*Inputs!$D$1),"",SUMIFS(INDEX(Inputs!$B$2:$AZ$190,,MATCH(SUBSTITUTE(AK$3,"Q","T"),Inputs!$B$2:$AZ$2,0)),Inputs!$B$2:$B$190,$B46)*Inputs!$D$1)</f>
        <v>0</v>
      </c>
      <c r="AL46" s="57">
        <f>IF(ISNA(SUMIFS(INDEX(Inputs!$B$2:$AZ$190,,MATCH(SUBSTITUTE(AL$3,"Q","T"),Inputs!$B$2:$AZ$2,0)),Inputs!$B$2:$B$190,$B46)*Inputs!$D$1),"",SUMIFS(INDEX(Inputs!$B$2:$AZ$190,,MATCH(SUBSTITUTE(AL$3,"Q","T"),Inputs!$B$2:$AZ$2,0)),Inputs!$B$2:$B$190,$B46)*Inputs!$D$1)</f>
        <v>0</v>
      </c>
      <c r="AM46" s="58">
        <f>AL46</f>
        <v>0</v>
      </c>
      <c r="AN46" s="57">
        <f>IF(ISNA(SUMIFS(INDEX(Inputs!$B$2:$AZ$190,,MATCH(SUBSTITUTE(AN$3,"Q","T"),Inputs!$B$2:$AZ$2,0)),Inputs!$B$2:$B$190,$B46)*Inputs!$D$1),"",SUMIFS(INDEX(Inputs!$B$2:$AZ$190,,MATCH(SUBSTITUTE(AN$3,"Q","T"),Inputs!$B$2:$AZ$2,0)),Inputs!$B$2:$B$190,$B46)*Inputs!$D$1)</f>
        <v>0</v>
      </c>
      <c r="AO46" s="57">
        <f>IF(ISNA(SUMIFS(INDEX(Inputs!$B$2:$AZ$190,,MATCH(SUBSTITUTE(AO$3,"Q","T"),Inputs!$B$2:$AZ$2,0)),Inputs!$B$2:$B$190,$B46)*Inputs!$D$1),"",SUMIFS(INDEX(Inputs!$B$2:$AZ$190,,MATCH(SUBSTITUTE(AO$3,"Q","T"),Inputs!$B$2:$AZ$2,0)),Inputs!$B$2:$B$190,$B46)*Inputs!$D$1)</f>
        <v>0</v>
      </c>
      <c r="AP46" s="57">
        <f>IF(ISNA(SUMIFS(INDEX(Inputs!$B$2:$AZ$190,,MATCH(SUBSTITUTE(AP$3,"Q","T"),Inputs!$B$2:$AZ$2,0)),Inputs!$B$2:$B$190,$B46)*Inputs!$D$1),"",SUMIFS(INDEX(Inputs!$B$2:$AZ$190,,MATCH(SUBSTITUTE(AP$3,"Q","T"),Inputs!$B$2:$AZ$2,0)),Inputs!$B$2:$B$190,$B46)*Inputs!$D$1)</f>
        <v>0</v>
      </c>
      <c r="AQ46" s="57">
        <f>IF(ISNA(SUMIFS(INDEX(Inputs!$B$2:$AZ$190,,MATCH(SUBSTITUTE(AQ$3,"Q","T"),Inputs!$B$2:$AZ$2,0)),Inputs!$B$2:$B$190,$B46)*Inputs!$D$1),"",SUMIFS(INDEX(Inputs!$B$2:$AZ$190,,MATCH(SUBSTITUTE(AQ$3,"Q","T"),Inputs!$B$2:$AZ$2,0)),Inputs!$B$2:$B$190,$B46)*Inputs!$D$1)</f>
        <v>0</v>
      </c>
      <c r="AR46" s="58">
        <f>AQ46</f>
        <v>0</v>
      </c>
      <c r="AS46" s="57">
        <f>IF(ISNA(SUMIFS(INDEX(Inputs!$B$2:$AZ$190,,MATCH(SUBSTITUTE(AS$3,"Q","T"),Inputs!$B$2:$AZ$2,0)),Inputs!$B$2:$B$190,$B46)*Inputs!$D$1),"",SUMIFS(INDEX(Inputs!$B$2:$AZ$190,,MATCH(SUBSTITUTE(AS$3,"Q","T"),Inputs!$B$2:$AZ$2,0)),Inputs!$B$2:$B$190,$B46)*Inputs!$D$1)</f>
        <v>0</v>
      </c>
      <c r="AT46" s="57">
        <f>IF(ISNA(SUMIFS(INDEX(Inputs!$B$2:$AZ$190,,MATCH(SUBSTITUTE(AT$3,"Q","T"),Inputs!$B$2:$AZ$2,0)),Inputs!$B$2:$B$190,$B46)*Inputs!$D$1),"",SUMIFS(INDEX(Inputs!$B$2:$AZ$190,,MATCH(SUBSTITUTE(AT$3,"Q","T"),Inputs!$B$2:$AZ$2,0)),Inputs!$B$2:$B$190,$B46)*Inputs!$D$1)</f>
        <v>0</v>
      </c>
      <c r="AU46" s="57">
        <f>IF(ISNA(SUMIFS(INDEX(Inputs!$B$2:$AZ$190,,MATCH(SUBSTITUTE(AU$3,"Q","T"),Inputs!$B$2:$AZ$2,0)),Inputs!$B$2:$B$190,$B46)*Inputs!$D$1),"",SUMIFS(INDEX(Inputs!$B$2:$AZ$190,,MATCH(SUBSTITUTE(AU$3,"Q","T"),Inputs!$B$2:$AZ$2,0)),Inputs!$B$2:$B$190,$B46)*Inputs!$D$1)</f>
        <v>0</v>
      </c>
      <c r="AV46" s="57">
        <f>IF(ISNA(SUMIFS(INDEX(Inputs!$B$2:$AZ$190,,MATCH(SUBSTITUTE(AV$3,"Q","T"),Inputs!$B$2:$AZ$2,0)),Inputs!$B$2:$B$190,$B46)*Inputs!$D$1),"",SUMIFS(INDEX(Inputs!$B$2:$AZ$190,,MATCH(SUBSTITUTE(AV$3,"Q","T"),Inputs!$B$2:$AZ$2,0)),Inputs!$B$2:$B$190,$B46)*Inputs!$D$1)</f>
        <v>0</v>
      </c>
      <c r="AW46" s="58">
        <f>AV46</f>
        <v>0</v>
      </c>
      <c r="AX46" s="57">
        <f>IF(ISNA(SUMIFS(INDEX(Inputs!$B$2:$AZ$190,,MATCH(SUBSTITUTE(AX$3,"Q","T"),Inputs!$B$2:$AZ$2,0)),Inputs!$B$2:$B$190,$B46)*Inputs!$D$1),"",SUMIFS(INDEX(Inputs!$B$2:$AZ$190,,MATCH(SUBSTITUTE(AX$3,"Q","T"),Inputs!$B$2:$AZ$2,0)),Inputs!$B$2:$B$190,$B46)*Inputs!$D$1)</f>
        <v>0</v>
      </c>
      <c r="AY46" s="57">
        <f>IF(ISNA(SUMIFS(INDEX(Inputs!$B$2:$AZ$190,,MATCH(SUBSTITUTE(AY$3,"Q","T"),Inputs!$B$2:$AZ$2,0)),Inputs!$B$2:$B$190,$B46)*Inputs!$D$1),"",SUMIFS(INDEX(Inputs!$B$2:$AZ$190,,MATCH(SUBSTITUTE(AY$3,"Q","T"),Inputs!$B$2:$AZ$2,0)),Inputs!$B$2:$B$190,$B46)*Inputs!$D$1)</f>
        <v>0</v>
      </c>
      <c r="AZ46" s="57">
        <f>IF(ISNA(SUMIFS(INDEX(Inputs!$B$2:$AZ$190,,MATCH(SUBSTITUTE(AZ$3,"Q","T"),Inputs!$B$2:$AZ$2,0)),Inputs!$B$2:$B$190,$B46)*Inputs!$D$1),"",SUMIFS(INDEX(Inputs!$B$2:$AZ$190,,MATCH(SUBSTITUTE(AZ$3,"Q","T"),Inputs!$B$2:$AZ$2,0)),Inputs!$B$2:$B$190,$B46)*Inputs!$D$1)</f>
        <v>0</v>
      </c>
      <c r="BA46" s="57">
        <f>IF(ISNA(SUMIFS(INDEX(Inputs!$B$2:$AZ$190,,MATCH(SUBSTITUTE(BA$3,"Q","T"),Inputs!$B$2:$AZ$2,0)),Inputs!$B$2:$B$190,$B46)*Inputs!$D$1),"",SUMIFS(INDEX(Inputs!$B$2:$AZ$190,,MATCH(SUBSTITUTE(BA$3,"Q","T"),Inputs!$B$2:$AZ$2,0)),Inputs!$B$2:$B$190,$B46)*Inputs!$D$1)</f>
        <v>0</v>
      </c>
      <c r="BB46" s="58">
        <f>BA46</f>
        <v>0</v>
      </c>
      <c r="BC46" s="57">
        <f>IF(ISNA(SUMIFS(INDEX(Inputs!$B$2:$AZ$190,,MATCH(SUBSTITUTE(BC$3,"Q","T"),Inputs!$B$2:$AZ$2,0)),Inputs!$B$2:$B$190,$B46)*Inputs!$D$1),"",SUMIFS(INDEX(Inputs!$B$2:$AZ$190,,MATCH(SUBSTITUTE(BC$3,"Q","T"),Inputs!$B$2:$AZ$2,0)),Inputs!$B$2:$B$190,$B46)*Inputs!$D$1)</f>
        <v>0</v>
      </c>
      <c r="BD46" s="57">
        <f>IF(ISNA(SUMIFS(INDEX(Inputs!$B$2:$AZ$190,,MATCH(SUBSTITUTE(BD$3,"Q","T"),Inputs!$B$2:$AZ$2,0)),Inputs!$B$2:$B$190,$B46)*Inputs!$D$1),"",SUMIFS(INDEX(Inputs!$B$2:$AZ$190,,MATCH(SUBSTITUTE(BD$3,"Q","T"),Inputs!$B$2:$AZ$2,0)),Inputs!$B$2:$B$190,$B46)*Inputs!$D$1)</f>
        <v>0</v>
      </c>
      <c r="BE46" s="57">
        <f>IF(ISNA(SUMIFS(INDEX(Inputs!$B$2:$AZ$190,,MATCH(SUBSTITUTE(BE$3,"Q","T"),Inputs!$B$2:$AZ$2,0)),Inputs!$B$2:$B$190,$B46)*Inputs!$D$1),"",SUMIFS(INDEX(Inputs!$B$2:$AZ$190,,MATCH(SUBSTITUTE(BE$3,"Q","T"),Inputs!$B$2:$AZ$2,0)),Inputs!$B$2:$B$190,$B46)*Inputs!$D$1)</f>
        <v>0</v>
      </c>
      <c r="BF46" s="57">
        <f>IF(ISNA(SUMIFS(INDEX(Inputs!$B$2:$AZ$190,,MATCH(SUBSTITUTE(BF$3,"Q","T"),Inputs!$B$2:$AZ$2,0)),Inputs!$B$2:$B$190,$B46)*Inputs!$D$1),"",SUMIFS(INDEX(Inputs!$B$2:$AZ$190,,MATCH(SUBSTITUTE(BF$3,"Q","T"),Inputs!$B$2:$AZ$2,0)),Inputs!$B$2:$B$190,$B46)*Inputs!$D$1)</f>
        <v>0</v>
      </c>
      <c r="BG46" s="58">
        <f>BF46</f>
        <v>0</v>
      </c>
    </row>
    <row r="47">
      <c r="C47" s="15" t="inlineStr">
        <is>
          <t>Outros empréstimos tomados</t>
        </is>
      </c>
      <c r="D47" s="16" t="inlineStr">
        <is>
          <t>Other borrowings</t>
        </is>
      </c>
      <c r="E47" s="59">
        <f>IFERROR(E48+E49,"")</f>
        <v>0</v>
      </c>
      <c r="F47" s="59">
        <f>IFERROR(F48+F49,"")</f>
        <v>0</v>
      </c>
      <c r="G47" s="59">
        <f>IFERROR(G48+G49,"")</f>
        <v>0</v>
      </c>
      <c r="H47" s="59">
        <f>IFERROR(H48+H49,"")</f>
        <v>0</v>
      </c>
      <c r="I47" s="60">
        <f>H47</f>
        <v>0</v>
      </c>
      <c r="J47" s="59">
        <f>IFERROR(J48+J49,"")</f>
        <v>0</v>
      </c>
      <c r="K47" s="59">
        <f>IFERROR(K48+K49,"")</f>
        <v>0</v>
      </c>
      <c r="L47" s="59">
        <f>IFERROR(L48+L49,"")</f>
        <v>0</v>
      </c>
      <c r="M47" s="59">
        <f>IFERROR(M48+M49,"")</f>
        <v>0</v>
      </c>
      <c r="N47" s="60">
        <f>M47</f>
        <v>0</v>
      </c>
      <c r="O47" s="59">
        <f>IFERROR(O48+O49,"")</f>
        <v>0</v>
      </c>
      <c r="P47" s="59">
        <f>IFERROR(P48+P49,"")</f>
        <v>0</v>
      </c>
      <c r="Q47" s="59">
        <f>IFERROR(Q48+Q49,"")</f>
        <v>0</v>
      </c>
      <c r="R47" s="59">
        <f>IFERROR(R48+R49,"")</f>
        <v>0</v>
      </c>
      <c r="S47" s="60">
        <f>R47</f>
        <v>0</v>
      </c>
      <c r="T47" s="59">
        <f>IFERROR(T48+T49,"")</f>
        <v>0</v>
      </c>
      <c r="U47" s="59">
        <f>IFERROR(U48+U49,"")</f>
        <v>0</v>
      </c>
      <c r="V47" s="59">
        <f>IFERROR(V48+V49,"")</f>
        <v>0</v>
      </c>
      <c r="W47" s="59">
        <f>IFERROR(W48+W49,"")</f>
        <v>0</v>
      </c>
      <c r="X47" s="60">
        <f>W47</f>
        <v>0</v>
      </c>
      <c r="Y47" s="59">
        <f>IFERROR(Y48+Y49,"")</f>
        <v>0</v>
      </c>
      <c r="Z47" s="59">
        <f>IFERROR(Z48+Z49,"")</f>
        <v>0</v>
      </c>
      <c r="AA47" s="59">
        <f>IFERROR(AA48+AA49,"")</f>
        <v>0</v>
      </c>
      <c r="AB47" s="59">
        <f>IFERROR(AB48+AB49,"")</f>
        <v>0</v>
      </c>
      <c r="AC47" s="60">
        <f>AB47</f>
        <v>0</v>
      </c>
      <c r="AD47" s="59">
        <f>IFERROR(AD48+AD49,"")</f>
        <v>0</v>
      </c>
      <c r="AE47" s="59">
        <f>IFERROR(AE48+AE49,"")</f>
        <v>0</v>
      </c>
      <c r="AF47" s="59">
        <f>IFERROR(AF48+AF49,"")</f>
        <v>0</v>
      </c>
      <c r="AG47" s="59">
        <f>IFERROR(AG48+AG49,"")</f>
        <v>0</v>
      </c>
      <c r="AH47" s="60">
        <f>AG47</f>
        <v>0</v>
      </c>
      <c r="AI47" s="59">
        <f>IFERROR(AI48+AI49,"")</f>
        <v>0</v>
      </c>
      <c r="AJ47" s="59">
        <f>IFERROR(AJ48+AJ49,"")</f>
        <v>0</v>
      </c>
      <c r="AK47" s="59">
        <f>IFERROR(AK48+AK49,"")</f>
        <v>0</v>
      </c>
      <c r="AL47" s="59">
        <f>IFERROR(AL48+AL49,"")</f>
        <v>0</v>
      </c>
      <c r="AM47" s="60">
        <f>AL47</f>
        <v>0</v>
      </c>
      <c r="AN47" s="59">
        <f>IFERROR(AN48+AN49,"")</f>
        <v>0</v>
      </c>
      <c r="AO47" s="59">
        <f>IFERROR(AO48+AO49,"")</f>
        <v>0</v>
      </c>
      <c r="AP47" s="59">
        <f>IFERROR(AP48+AP49,"")</f>
        <v>0</v>
      </c>
      <c r="AQ47" s="59">
        <f>IFERROR(AQ48+AQ49,"")</f>
        <v>0</v>
      </c>
      <c r="AR47" s="60">
        <f>AQ47</f>
        <v>0</v>
      </c>
      <c r="AS47" s="59">
        <f>IFERROR(AS48+AS49,"")</f>
        <v>0</v>
      </c>
      <c r="AT47" s="59">
        <f>IFERROR(AT48+AT49,"")</f>
        <v>0</v>
      </c>
      <c r="AU47" s="59">
        <f>IFERROR(AU48+AU49,"")</f>
        <v>0</v>
      </c>
      <c r="AV47" s="59">
        <f>IFERROR(AV48+AV49,"")</f>
        <v>0</v>
      </c>
      <c r="AW47" s="60">
        <f>AV47</f>
        <v>0</v>
      </c>
      <c r="AX47" s="59">
        <f>IFERROR(AX48+AX49,"")</f>
        <v>0</v>
      </c>
      <c r="AY47" s="59">
        <f>IFERROR(AY48+AY49,"")</f>
        <v>0</v>
      </c>
      <c r="AZ47" s="59">
        <f>IFERROR(AZ48+AZ49,"")</f>
        <v>0</v>
      </c>
      <c r="BA47" s="59">
        <f>IFERROR(BA48+BA49,"")</f>
        <v>0</v>
      </c>
      <c r="BB47" s="60">
        <f>BA47</f>
        <v>0</v>
      </c>
      <c r="BC47" s="59">
        <f>IFERROR(BC48+BC49,"")</f>
        <v>0</v>
      </c>
      <c r="BD47" s="59">
        <f>IFERROR(BD48+BD49,"")</f>
        <v>0</v>
      </c>
      <c r="BE47" s="59">
        <f>IFERROR(BE48+BE49,"")</f>
        <v>0</v>
      </c>
      <c r="BF47" s="59">
        <f>IFERROR(BF48+BF49,"")</f>
        <v>0</v>
      </c>
      <c r="BG47" s="60">
        <f>BF47</f>
        <v>0</v>
      </c>
    </row>
    <row r="48" hidden="1" outlineLevel="1">
      <c r="B48" s="56" t="inlineStr">
        <is>
          <t>fhlb</t>
        </is>
      </c>
      <c r="C48" s="61" t="inlineStr">
        <is>
          <t>Adiantamentos do FHLB e outros empréstimos (quando à parte)</t>
        </is>
      </c>
      <c r="D48" s="62" t="inlineStr">
        <is>
          <t>FHLB advances and other borrowings</t>
        </is>
      </c>
      <c r="E48" s="57">
        <f>IF(ISNA(SUMIFS(INDEX(Inputs!$B$2:$AZ$190,,MATCH(SUBSTITUTE(E$3,"Q","T"),Inputs!$B$2:$AZ$2,0)),Inputs!$B$2:$B$190,$B48)*Inputs!$D$1),"",SUMIFS(INDEX(Inputs!$B$2:$AZ$190,,MATCH(SUBSTITUTE(E$3,"Q","T"),Inputs!$B$2:$AZ$2,0)),Inputs!$B$2:$B$190,$B48)*Inputs!$D$1)</f>
        <v>0</v>
      </c>
      <c r="F48" s="57">
        <f>IF(ISNA(SUMIFS(INDEX(Inputs!$B$2:$AZ$190,,MATCH(SUBSTITUTE(F$3,"Q","T"),Inputs!$B$2:$AZ$2,0)),Inputs!$B$2:$B$190,$B48)*Inputs!$D$1),"",SUMIFS(INDEX(Inputs!$B$2:$AZ$190,,MATCH(SUBSTITUTE(F$3,"Q","T"),Inputs!$B$2:$AZ$2,0)),Inputs!$B$2:$B$190,$B48)*Inputs!$D$1)</f>
        <v>0</v>
      </c>
      <c r="G48" s="57">
        <f>IF(ISNA(SUMIFS(INDEX(Inputs!$B$2:$AZ$190,,MATCH(SUBSTITUTE(G$3,"Q","T"),Inputs!$B$2:$AZ$2,0)),Inputs!$B$2:$B$190,$B48)*Inputs!$D$1),"",SUMIFS(INDEX(Inputs!$B$2:$AZ$190,,MATCH(SUBSTITUTE(G$3,"Q","T"),Inputs!$B$2:$AZ$2,0)),Inputs!$B$2:$B$190,$B48)*Inputs!$D$1)</f>
        <v>0</v>
      </c>
      <c r="H48" s="57">
        <f>IF(ISNA(SUMIFS(INDEX(Inputs!$B$2:$AZ$190,,MATCH(SUBSTITUTE(H$3,"Q","T"),Inputs!$B$2:$AZ$2,0)),Inputs!$B$2:$B$190,$B48)*Inputs!$D$1),"",SUMIFS(INDEX(Inputs!$B$2:$AZ$190,,MATCH(SUBSTITUTE(H$3,"Q","T"),Inputs!$B$2:$AZ$2,0)),Inputs!$B$2:$B$190,$B48)*Inputs!$D$1)</f>
        <v>0</v>
      </c>
      <c r="I48" s="58">
        <f>H48</f>
        <v>0</v>
      </c>
      <c r="J48" s="57">
        <f>IF(ISNA(SUMIFS(INDEX(Inputs!$B$2:$AZ$190,,MATCH(SUBSTITUTE(J$3,"Q","T"),Inputs!$B$2:$AZ$2,0)),Inputs!$B$2:$B$190,$B48)*Inputs!$D$1),"",SUMIFS(INDEX(Inputs!$B$2:$AZ$190,,MATCH(SUBSTITUTE(J$3,"Q","T"),Inputs!$B$2:$AZ$2,0)),Inputs!$B$2:$B$190,$B48)*Inputs!$D$1)</f>
        <v>0</v>
      </c>
      <c r="K48" s="57">
        <f>IF(ISNA(SUMIFS(INDEX(Inputs!$B$2:$AZ$190,,MATCH(SUBSTITUTE(K$3,"Q","T"),Inputs!$B$2:$AZ$2,0)),Inputs!$B$2:$B$190,$B48)*Inputs!$D$1),"",SUMIFS(INDEX(Inputs!$B$2:$AZ$190,,MATCH(SUBSTITUTE(K$3,"Q","T"),Inputs!$B$2:$AZ$2,0)),Inputs!$B$2:$B$190,$B48)*Inputs!$D$1)</f>
        <v>0</v>
      </c>
      <c r="L48" s="57">
        <f>IF(ISNA(SUMIFS(INDEX(Inputs!$B$2:$AZ$190,,MATCH(SUBSTITUTE(L$3,"Q","T"),Inputs!$B$2:$AZ$2,0)),Inputs!$B$2:$B$190,$B48)*Inputs!$D$1),"",SUMIFS(INDEX(Inputs!$B$2:$AZ$190,,MATCH(SUBSTITUTE(L$3,"Q","T"),Inputs!$B$2:$AZ$2,0)),Inputs!$B$2:$B$190,$B48)*Inputs!$D$1)</f>
        <v>0</v>
      </c>
      <c r="M48" s="57">
        <f>IF(ISNA(SUMIFS(INDEX(Inputs!$B$2:$AZ$190,,MATCH(SUBSTITUTE(M$3,"Q","T"),Inputs!$B$2:$AZ$2,0)),Inputs!$B$2:$B$190,$B48)*Inputs!$D$1),"",SUMIFS(INDEX(Inputs!$B$2:$AZ$190,,MATCH(SUBSTITUTE(M$3,"Q","T"),Inputs!$B$2:$AZ$2,0)),Inputs!$B$2:$B$190,$B48)*Inputs!$D$1)</f>
        <v>0</v>
      </c>
      <c r="N48" s="58">
        <f>M48</f>
        <v>0</v>
      </c>
      <c r="O48" s="57">
        <f>IF(ISNA(SUMIFS(INDEX(Inputs!$B$2:$AZ$190,,MATCH(SUBSTITUTE(O$3,"Q","T"),Inputs!$B$2:$AZ$2,0)),Inputs!$B$2:$B$190,$B48)*Inputs!$D$1),"",SUMIFS(INDEX(Inputs!$B$2:$AZ$190,,MATCH(SUBSTITUTE(O$3,"Q","T"),Inputs!$B$2:$AZ$2,0)),Inputs!$B$2:$B$190,$B48)*Inputs!$D$1)</f>
        <v>0</v>
      </c>
      <c r="P48" s="57">
        <f>IF(ISNA(SUMIFS(INDEX(Inputs!$B$2:$AZ$190,,MATCH(SUBSTITUTE(P$3,"Q","T"),Inputs!$B$2:$AZ$2,0)),Inputs!$B$2:$B$190,$B48)*Inputs!$D$1),"",SUMIFS(INDEX(Inputs!$B$2:$AZ$190,,MATCH(SUBSTITUTE(P$3,"Q","T"),Inputs!$B$2:$AZ$2,0)),Inputs!$B$2:$B$190,$B48)*Inputs!$D$1)</f>
        <v>0</v>
      </c>
      <c r="Q48" s="57">
        <f>IF(ISNA(SUMIFS(INDEX(Inputs!$B$2:$AZ$190,,MATCH(SUBSTITUTE(Q$3,"Q","T"),Inputs!$B$2:$AZ$2,0)),Inputs!$B$2:$B$190,$B48)*Inputs!$D$1),"",SUMIFS(INDEX(Inputs!$B$2:$AZ$190,,MATCH(SUBSTITUTE(Q$3,"Q","T"),Inputs!$B$2:$AZ$2,0)),Inputs!$B$2:$B$190,$B48)*Inputs!$D$1)</f>
        <v>0</v>
      </c>
      <c r="R48" s="57">
        <f>IF(ISNA(SUMIFS(INDEX(Inputs!$B$2:$AZ$190,,MATCH(SUBSTITUTE(R$3,"Q","T"),Inputs!$B$2:$AZ$2,0)),Inputs!$B$2:$B$190,$B48)*Inputs!$D$1),"",SUMIFS(INDEX(Inputs!$B$2:$AZ$190,,MATCH(SUBSTITUTE(R$3,"Q","T"),Inputs!$B$2:$AZ$2,0)),Inputs!$B$2:$B$190,$B48)*Inputs!$D$1)</f>
        <v>0</v>
      </c>
      <c r="S48" s="58">
        <f>R48</f>
        <v>0</v>
      </c>
      <c r="T48" s="57">
        <f>IF(ISNA(SUMIFS(INDEX(Inputs!$B$2:$AZ$190,,MATCH(SUBSTITUTE(T$3,"Q","T"),Inputs!$B$2:$AZ$2,0)),Inputs!$B$2:$B$190,$B48)*Inputs!$D$1),"",SUMIFS(INDEX(Inputs!$B$2:$AZ$190,,MATCH(SUBSTITUTE(T$3,"Q","T"),Inputs!$B$2:$AZ$2,0)),Inputs!$B$2:$B$190,$B48)*Inputs!$D$1)</f>
        <v>0</v>
      </c>
      <c r="U48" s="57">
        <f>IF(ISNA(SUMIFS(INDEX(Inputs!$B$2:$AZ$190,,MATCH(SUBSTITUTE(U$3,"Q","T"),Inputs!$B$2:$AZ$2,0)),Inputs!$B$2:$B$190,$B48)*Inputs!$D$1),"",SUMIFS(INDEX(Inputs!$B$2:$AZ$190,,MATCH(SUBSTITUTE(U$3,"Q","T"),Inputs!$B$2:$AZ$2,0)),Inputs!$B$2:$B$190,$B48)*Inputs!$D$1)</f>
        <v>0</v>
      </c>
      <c r="V48" s="57">
        <f>IF(ISNA(SUMIFS(INDEX(Inputs!$B$2:$AZ$190,,MATCH(SUBSTITUTE(V$3,"Q","T"),Inputs!$B$2:$AZ$2,0)),Inputs!$B$2:$B$190,$B48)*Inputs!$D$1),"",SUMIFS(INDEX(Inputs!$B$2:$AZ$190,,MATCH(SUBSTITUTE(V$3,"Q","T"),Inputs!$B$2:$AZ$2,0)),Inputs!$B$2:$B$190,$B48)*Inputs!$D$1)</f>
        <v>0</v>
      </c>
      <c r="W48" s="57">
        <f>IF(ISNA(SUMIFS(INDEX(Inputs!$B$2:$AZ$190,,MATCH(SUBSTITUTE(W$3,"Q","T"),Inputs!$B$2:$AZ$2,0)),Inputs!$B$2:$B$190,$B48)*Inputs!$D$1),"",SUMIFS(INDEX(Inputs!$B$2:$AZ$190,,MATCH(SUBSTITUTE(W$3,"Q","T"),Inputs!$B$2:$AZ$2,0)),Inputs!$B$2:$B$190,$B48)*Inputs!$D$1)</f>
        <v>0</v>
      </c>
      <c r="X48" s="58">
        <f>W48</f>
        <v>0</v>
      </c>
      <c r="Y48" s="57">
        <f>IF(ISNA(SUMIFS(INDEX(Inputs!$B$2:$AZ$190,,MATCH(SUBSTITUTE(Y$3,"Q","T"),Inputs!$B$2:$AZ$2,0)),Inputs!$B$2:$B$190,$B48)*Inputs!$D$1),"",SUMIFS(INDEX(Inputs!$B$2:$AZ$190,,MATCH(SUBSTITUTE(Y$3,"Q","T"),Inputs!$B$2:$AZ$2,0)),Inputs!$B$2:$B$190,$B48)*Inputs!$D$1)</f>
        <v>0</v>
      </c>
      <c r="Z48" s="57">
        <f>IF(ISNA(SUMIFS(INDEX(Inputs!$B$2:$AZ$190,,MATCH(SUBSTITUTE(Z$3,"Q","T"),Inputs!$B$2:$AZ$2,0)),Inputs!$B$2:$B$190,$B48)*Inputs!$D$1),"",SUMIFS(INDEX(Inputs!$B$2:$AZ$190,,MATCH(SUBSTITUTE(Z$3,"Q","T"),Inputs!$B$2:$AZ$2,0)),Inputs!$B$2:$B$190,$B48)*Inputs!$D$1)</f>
        <v>0</v>
      </c>
      <c r="AA48" s="57">
        <f>IF(ISNA(SUMIFS(INDEX(Inputs!$B$2:$AZ$190,,MATCH(SUBSTITUTE(AA$3,"Q","T"),Inputs!$B$2:$AZ$2,0)),Inputs!$B$2:$B$190,$B48)*Inputs!$D$1),"",SUMIFS(INDEX(Inputs!$B$2:$AZ$190,,MATCH(SUBSTITUTE(AA$3,"Q","T"),Inputs!$B$2:$AZ$2,0)),Inputs!$B$2:$B$190,$B48)*Inputs!$D$1)</f>
        <v>0</v>
      </c>
      <c r="AB48" s="57">
        <f>IF(ISNA(SUMIFS(INDEX(Inputs!$B$2:$AZ$190,,MATCH(SUBSTITUTE(AB$3,"Q","T"),Inputs!$B$2:$AZ$2,0)),Inputs!$B$2:$B$190,$B48)*Inputs!$D$1),"",SUMIFS(INDEX(Inputs!$B$2:$AZ$190,,MATCH(SUBSTITUTE(AB$3,"Q","T"),Inputs!$B$2:$AZ$2,0)),Inputs!$B$2:$B$190,$B48)*Inputs!$D$1)</f>
        <v>0</v>
      </c>
      <c r="AC48" s="58">
        <f>AB48</f>
        <v>0</v>
      </c>
      <c r="AD48" s="57">
        <f>IF(ISNA(SUMIFS(INDEX(Inputs!$B$2:$AZ$190,,MATCH(SUBSTITUTE(AD$3,"Q","T"),Inputs!$B$2:$AZ$2,0)),Inputs!$B$2:$B$190,$B48)*Inputs!$D$1),"",SUMIFS(INDEX(Inputs!$B$2:$AZ$190,,MATCH(SUBSTITUTE(AD$3,"Q","T"),Inputs!$B$2:$AZ$2,0)),Inputs!$B$2:$B$190,$B48)*Inputs!$D$1)</f>
        <v>0</v>
      </c>
      <c r="AE48" s="57">
        <f>IF(ISNA(SUMIFS(INDEX(Inputs!$B$2:$AZ$190,,MATCH(SUBSTITUTE(AE$3,"Q","T"),Inputs!$B$2:$AZ$2,0)),Inputs!$B$2:$B$190,$B48)*Inputs!$D$1),"",SUMIFS(INDEX(Inputs!$B$2:$AZ$190,,MATCH(SUBSTITUTE(AE$3,"Q","T"),Inputs!$B$2:$AZ$2,0)),Inputs!$B$2:$B$190,$B48)*Inputs!$D$1)</f>
        <v>0</v>
      </c>
      <c r="AF48" s="57">
        <f>IF(ISNA(SUMIFS(INDEX(Inputs!$B$2:$AZ$190,,MATCH(SUBSTITUTE(AF$3,"Q","T"),Inputs!$B$2:$AZ$2,0)),Inputs!$B$2:$B$190,$B48)*Inputs!$D$1),"",SUMIFS(INDEX(Inputs!$B$2:$AZ$190,,MATCH(SUBSTITUTE(AF$3,"Q","T"),Inputs!$B$2:$AZ$2,0)),Inputs!$B$2:$B$190,$B48)*Inputs!$D$1)</f>
        <v>0</v>
      </c>
      <c r="AG48" s="57">
        <f>IF(ISNA(SUMIFS(INDEX(Inputs!$B$2:$AZ$190,,MATCH(SUBSTITUTE(AG$3,"Q","T"),Inputs!$B$2:$AZ$2,0)),Inputs!$B$2:$B$190,$B48)*Inputs!$D$1),"",SUMIFS(INDEX(Inputs!$B$2:$AZ$190,,MATCH(SUBSTITUTE(AG$3,"Q","T"),Inputs!$B$2:$AZ$2,0)),Inputs!$B$2:$B$190,$B48)*Inputs!$D$1)</f>
        <v>0</v>
      </c>
      <c r="AH48" s="58">
        <f>AG48</f>
        <v>0</v>
      </c>
      <c r="AI48" s="57">
        <f>IF(ISNA(SUMIFS(INDEX(Inputs!$B$2:$AZ$190,,MATCH(SUBSTITUTE(AI$3,"Q","T"),Inputs!$B$2:$AZ$2,0)),Inputs!$B$2:$B$190,$B48)*Inputs!$D$1),"",SUMIFS(INDEX(Inputs!$B$2:$AZ$190,,MATCH(SUBSTITUTE(AI$3,"Q","T"),Inputs!$B$2:$AZ$2,0)),Inputs!$B$2:$B$190,$B48)*Inputs!$D$1)</f>
        <v>0</v>
      </c>
      <c r="AJ48" s="57">
        <f>IF(ISNA(SUMIFS(INDEX(Inputs!$B$2:$AZ$190,,MATCH(SUBSTITUTE(AJ$3,"Q","T"),Inputs!$B$2:$AZ$2,0)),Inputs!$B$2:$B$190,$B48)*Inputs!$D$1),"",SUMIFS(INDEX(Inputs!$B$2:$AZ$190,,MATCH(SUBSTITUTE(AJ$3,"Q","T"),Inputs!$B$2:$AZ$2,0)),Inputs!$B$2:$B$190,$B48)*Inputs!$D$1)</f>
        <v>0</v>
      </c>
      <c r="AK48" s="57">
        <f>IF(ISNA(SUMIFS(INDEX(Inputs!$B$2:$AZ$190,,MATCH(SUBSTITUTE(AK$3,"Q","T"),Inputs!$B$2:$AZ$2,0)),Inputs!$B$2:$B$190,$B48)*Inputs!$D$1),"",SUMIFS(INDEX(Inputs!$B$2:$AZ$190,,MATCH(SUBSTITUTE(AK$3,"Q","T"),Inputs!$B$2:$AZ$2,0)),Inputs!$B$2:$B$190,$B48)*Inputs!$D$1)</f>
        <v>0</v>
      </c>
      <c r="AL48" s="57">
        <f>IF(ISNA(SUMIFS(INDEX(Inputs!$B$2:$AZ$190,,MATCH(SUBSTITUTE(AL$3,"Q","T"),Inputs!$B$2:$AZ$2,0)),Inputs!$B$2:$B$190,$B48)*Inputs!$D$1),"",SUMIFS(INDEX(Inputs!$B$2:$AZ$190,,MATCH(SUBSTITUTE(AL$3,"Q","T"),Inputs!$B$2:$AZ$2,0)),Inputs!$B$2:$B$190,$B48)*Inputs!$D$1)</f>
        <v>0</v>
      </c>
      <c r="AM48" s="58">
        <f>AL48</f>
        <v>0</v>
      </c>
      <c r="AN48" s="57">
        <f>IF(ISNA(SUMIFS(INDEX(Inputs!$B$2:$AZ$190,,MATCH(SUBSTITUTE(AN$3,"Q","T"),Inputs!$B$2:$AZ$2,0)),Inputs!$B$2:$B$190,$B48)*Inputs!$D$1),"",SUMIFS(INDEX(Inputs!$B$2:$AZ$190,,MATCH(SUBSTITUTE(AN$3,"Q","T"),Inputs!$B$2:$AZ$2,0)),Inputs!$B$2:$B$190,$B48)*Inputs!$D$1)</f>
        <v>0</v>
      </c>
      <c r="AO48" s="57">
        <f>IF(ISNA(SUMIFS(INDEX(Inputs!$B$2:$AZ$190,,MATCH(SUBSTITUTE(AO$3,"Q","T"),Inputs!$B$2:$AZ$2,0)),Inputs!$B$2:$B$190,$B48)*Inputs!$D$1),"",SUMIFS(INDEX(Inputs!$B$2:$AZ$190,,MATCH(SUBSTITUTE(AO$3,"Q","T"),Inputs!$B$2:$AZ$2,0)),Inputs!$B$2:$B$190,$B48)*Inputs!$D$1)</f>
        <v>0</v>
      </c>
      <c r="AP48" s="57">
        <f>IF(ISNA(SUMIFS(INDEX(Inputs!$B$2:$AZ$190,,MATCH(SUBSTITUTE(AP$3,"Q","T"),Inputs!$B$2:$AZ$2,0)),Inputs!$B$2:$B$190,$B48)*Inputs!$D$1),"",SUMIFS(INDEX(Inputs!$B$2:$AZ$190,,MATCH(SUBSTITUTE(AP$3,"Q","T"),Inputs!$B$2:$AZ$2,0)),Inputs!$B$2:$B$190,$B48)*Inputs!$D$1)</f>
        <v>0</v>
      </c>
      <c r="AQ48" s="57">
        <f>IF(ISNA(SUMIFS(INDEX(Inputs!$B$2:$AZ$190,,MATCH(SUBSTITUTE(AQ$3,"Q","T"),Inputs!$B$2:$AZ$2,0)),Inputs!$B$2:$B$190,$B48)*Inputs!$D$1),"",SUMIFS(INDEX(Inputs!$B$2:$AZ$190,,MATCH(SUBSTITUTE(AQ$3,"Q","T"),Inputs!$B$2:$AZ$2,0)),Inputs!$B$2:$B$190,$B48)*Inputs!$D$1)</f>
        <v>0</v>
      </c>
      <c r="AR48" s="58">
        <f>AQ48</f>
        <v>0</v>
      </c>
      <c r="AS48" s="57">
        <f>IF(ISNA(SUMIFS(INDEX(Inputs!$B$2:$AZ$190,,MATCH(SUBSTITUTE(AS$3,"Q","T"),Inputs!$B$2:$AZ$2,0)),Inputs!$B$2:$B$190,$B48)*Inputs!$D$1),"",SUMIFS(INDEX(Inputs!$B$2:$AZ$190,,MATCH(SUBSTITUTE(AS$3,"Q","T"),Inputs!$B$2:$AZ$2,0)),Inputs!$B$2:$B$190,$B48)*Inputs!$D$1)</f>
        <v>0</v>
      </c>
      <c r="AT48" s="57">
        <f>IF(ISNA(SUMIFS(INDEX(Inputs!$B$2:$AZ$190,,MATCH(SUBSTITUTE(AT$3,"Q","T"),Inputs!$B$2:$AZ$2,0)),Inputs!$B$2:$B$190,$B48)*Inputs!$D$1),"",SUMIFS(INDEX(Inputs!$B$2:$AZ$190,,MATCH(SUBSTITUTE(AT$3,"Q","T"),Inputs!$B$2:$AZ$2,0)),Inputs!$B$2:$B$190,$B48)*Inputs!$D$1)</f>
        <v>0</v>
      </c>
      <c r="AU48" s="57">
        <f>IF(ISNA(SUMIFS(INDEX(Inputs!$B$2:$AZ$190,,MATCH(SUBSTITUTE(AU$3,"Q","T"),Inputs!$B$2:$AZ$2,0)),Inputs!$B$2:$B$190,$B48)*Inputs!$D$1),"",SUMIFS(INDEX(Inputs!$B$2:$AZ$190,,MATCH(SUBSTITUTE(AU$3,"Q","T"),Inputs!$B$2:$AZ$2,0)),Inputs!$B$2:$B$190,$B48)*Inputs!$D$1)</f>
        <v>0</v>
      </c>
      <c r="AV48" s="57">
        <f>IF(ISNA(SUMIFS(INDEX(Inputs!$B$2:$AZ$190,,MATCH(SUBSTITUTE(AV$3,"Q","T"),Inputs!$B$2:$AZ$2,0)),Inputs!$B$2:$B$190,$B48)*Inputs!$D$1),"",SUMIFS(INDEX(Inputs!$B$2:$AZ$190,,MATCH(SUBSTITUTE(AV$3,"Q","T"),Inputs!$B$2:$AZ$2,0)),Inputs!$B$2:$B$190,$B48)*Inputs!$D$1)</f>
        <v>0</v>
      </c>
      <c r="AW48" s="58">
        <f>AV48</f>
        <v>0</v>
      </c>
      <c r="AX48" s="57">
        <f>IF(ISNA(SUMIFS(INDEX(Inputs!$B$2:$AZ$190,,MATCH(SUBSTITUTE(AX$3,"Q","T"),Inputs!$B$2:$AZ$2,0)),Inputs!$B$2:$B$190,$B48)*Inputs!$D$1),"",SUMIFS(INDEX(Inputs!$B$2:$AZ$190,,MATCH(SUBSTITUTE(AX$3,"Q","T"),Inputs!$B$2:$AZ$2,0)),Inputs!$B$2:$B$190,$B48)*Inputs!$D$1)</f>
        <v>0</v>
      </c>
      <c r="AY48" s="57">
        <f>IF(ISNA(SUMIFS(INDEX(Inputs!$B$2:$AZ$190,,MATCH(SUBSTITUTE(AY$3,"Q","T"),Inputs!$B$2:$AZ$2,0)),Inputs!$B$2:$B$190,$B48)*Inputs!$D$1),"",SUMIFS(INDEX(Inputs!$B$2:$AZ$190,,MATCH(SUBSTITUTE(AY$3,"Q","T"),Inputs!$B$2:$AZ$2,0)),Inputs!$B$2:$B$190,$B48)*Inputs!$D$1)</f>
        <v>0</v>
      </c>
      <c r="AZ48" s="57">
        <f>IF(ISNA(SUMIFS(INDEX(Inputs!$B$2:$AZ$190,,MATCH(SUBSTITUTE(AZ$3,"Q","T"),Inputs!$B$2:$AZ$2,0)),Inputs!$B$2:$B$190,$B48)*Inputs!$D$1),"",SUMIFS(INDEX(Inputs!$B$2:$AZ$190,,MATCH(SUBSTITUTE(AZ$3,"Q","T"),Inputs!$B$2:$AZ$2,0)),Inputs!$B$2:$B$190,$B48)*Inputs!$D$1)</f>
        <v>0</v>
      </c>
      <c r="BA48" s="57">
        <f>IF(ISNA(SUMIFS(INDEX(Inputs!$B$2:$AZ$190,,MATCH(SUBSTITUTE(BA$3,"Q","T"),Inputs!$B$2:$AZ$2,0)),Inputs!$B$2:$B$190,$B48)*Inputs!$D$1),"",SUMIFS(INDEX(Inputs!$B$2:$AZ$190,,MATCH(SUBSTITUTE(BA$3,"Q","T"),Inputs!$B$2:$AZ$2,0)),Inputs!$B$2:$B$190,$B48)*Inputs!$D$1)</f>
        <v>0</v>
      </c>
      <c r="BB48" s="58">
        <f>BA48</f>
        <v>0</v>
      </c>
      <c r="BC48" s="57">
        <f>IF(ISNA(SUMIFS(INDEX(Inputs!$B$2:$AZ$190,,MATCH(SUBSTITUTE(BC$3,"Q","T"),Inputs!$B$2:$AZ$2,0)),Inputs!$B$2:$B$190,$B48)*Inputs!$D$1),"",SUMIFS(INDEX(Inputs!$B$2:$AZ$190,,MATCH(SUBSTITUTE(BC$3,"Q","T"),Inputs!$B$2:$AZ$2,0)),Inputs!$B$2:$B$190,$B48)*Inputs!$D$1)</f>
        <v>0</v>
      </c>
      <c r="BD48" s="57">
        <f>IF(ISNA(SUMIFS(INDEX(Inputs!$B$2:$AZ$190,,MATCH(SUBSTITUTE(BD$3,"Q","T"),Inputs!$B$2:$AZ$2,0)),Inputs!$B$2:$B$190,$B48)*Inputs!$D$1),"",SUMIFS(INDEX(Inputs!$B$2:$AZ$190,,MATCH(SUBSTITUTE(BD$3,"Q","T"),Inputs!$B$2:$AZ$2,0)),Inputs!$B$2:$B$190,$B48)*Inputs!$D$1)</f>
        <v>0</v>
      </c>
      <c r="BE48" s="57">
        <f>IF(ISNA(SUMIFS(INDEX(Inputs!$B$2:$AZ$190,,MATCH(SUBSTITUTE(BE$3,"Q","T"),Inputs!$B$2:$AZ$2,0)),Inputs!$B$2:$B$190,$B48)*Inputs!$D$1),"",SUMIFS(INDEX(Inputs!$B$2:$AZ$190,,MATCH(SUBSTITUTE(BE$3,"Q","T"),Inputs!$B$2:$AZ$2,0)),Inputs!$B$2:$B$190,$B48)*Inputs!$D$1)</f>
        <v>0</v>
      </c>
      <c r="BF48" s="57">
        <f>IF(ISNA(SUMIFS(INDEX(Inputs!$B$2:$AZ$190,,MATCH(SUBSTITUTE(BF$3,"Q","T"),Inputs!$B$2:$AZ$2,0)),Inputs!$B$2:$B$190,$B48)*Inputs!$D$1),"",SUMIFS(INDEX(Inputs!$B$2:$AZ$190,,MATCH(SUBSTITUTE(BF$3,"Q","T"),Inputs!$B$2:$AZ$2,0)),Inputs!$B$2:$B$190,$B48)*Inputs!$D$1)</f>
        <v>0</v>
      </c>
      <c r="BG48" s="58">
        <f>BF48</f>
        <v>0</v>
      </c>
    </row>
    <row r="49" hidden="1" outlineLevel="1">
      <c r="B49" s="56" t="inlineStr">
        <is>
          <t>borr_x</t>
        </is>
      </c>
      <c r="C49" s="61" t="inlineStr">
        <is>
          <t>Outros empréstimos tomados (quando à parte)</t>
        </is>
      </c>
      <c r="D49" s="62" t="inlineStr">
        <is>
          <t>Other borrowings, if separate</t>
        </is>
      </c>
      <c r="E49" s="57">
        <f>IF(ISNA(SUMIFS(INDEX(Inputs!$B$2:$AZ$190,,MATCH(SUBSTITUTE(E$3,"Q","T"),Inputs!$B$2:$AZ$2,0)),Inputs!$B$2:$B$190,$B49)*Inputs!$D$1),"",SUMIFS(INDEX(Inputs!$B$2:$AZ$190,,MATCH(SUBSTITUTE(E$3,"Q","T"),Inputs!$B$2:$AZ$2,0)),Inputs!$B$2:$B$190,$B49)*Inputs!$D$1)</f>
        <v>0</v>
      </c>
      <c r="F49" s="57">
        <f>IF(ISNA(SUMIFS(INDEX(Inputs!$B$2:$AZ$190,,MATCH(SUBSTITUTE(F$3,"Q","T"),Inputs!$B$2:$AZ$2,0)),Inputs!$B$2:$B$190,$B49)*Inputs!$D$1),"",SUMIFS(INDEX(Inputs!$B$2:$AZ$190,,MATCH(SUBSTITUTE(F$3,"Q","T"),Inputs!$B$2:$AZ$2,0)),Inputs!$B$2:$B$190,$B49)*Inputs!$D$1)</f>
        <v>0</v>
      </c>
      <c r="G49" s="57">
        <f>IF(ISNA(SUMIFS(INDEX(Inputs!$B$2:$AZ$190,,MATCH(SUBSTITUTE(G$3,"Q","T"),Inputs!$B$2:$AZ$2,0)),Inputs!$B$2:$B$190,$B49)*Inputs!$D$1),"",SUMIFS(INDEX(Inputs!$B$2:$AZ$190,,MATCH(SUBSTITUTE(G$3,"Q","T"),Inputs!$B$2:$AZ$2,0)),Inputs!$B$2:$B$190,$B49)*Inputs!$D$1)</f>
        <v>0</v>
      </c>
      <c r="H49" s="57">
        <f>IF(ISNA(SUMIFS(INDEX(Inputs!$B$2:$AZ$190,,MATCH(SUBSTITUTE(H$3,"Q","T"),Inputs!$B$2:$AZ$2,0)),Inputs!$B$2:$B$190,$B49)*Inputs!$D$1),"",SUMIFS(INDEX(Inputs!$B$2:$AZ$190,,MATCH(SUBSTITUTE(H$3,"Q","T"),Inputs!$B$2:$AZ$2,0)),Inputs!$B$2:$B$190,$B49)*Inputs!$D$1)</f>
        <v>0</v>
      </c>
      <c r="I49" s="58">
        <f>H49</f>
        <v>0</v>
      </c>
      <c r="J49" s="57">
        <f>IF(ISNA(SUMIFS(INDEX(Inputs!$B$2:$AZ$190,,MATCH(SUBSTITUTE(J$3,"Q","T"),Inputs!$B$2:$AZ$2,0)),Inputs!$B$2:$B$190,$B49)*Inputs!$D$1),"",SUMIFS(INDEX(Inputs!$B$2:$AZ$190,,MATCH(SUBSTITUTE(J$3,"Q","T"),Inputs!$B$2:$AZ$2,0)),Inputs!$B$2:$B$190,$B49)*Inputs!$D$1)</f>
        <v>0</v>
      </c>
      <c r="K49" s="57">
        <f>IF(ISNA(SUMIFS(INDEX(Inputs!$B$2:$AZ$190,,MATCH(SUBSTITUTE(K$3,"Q","T"),Inputs!$B$2:$AZ$2,0)),Inputs!$B$2:$B$190,$B49)*Inputs!$D$1),"",SUMIFS(INDEX(Inputs!$B$2:$AZ$190,,MATCH(SUBSTITUTE(K$3,"Q","T"),Inputs!$B$2:$AZ$2,0)),Inputs!$B$2:$B$190,$B49)*Inputs!$D$1)</f>
        <v>0</v>
      </c>
      <c r="L49" s="57">
        <f>IF(ISNA(SUMIFS(INDEX(Inputs!$B$2:$AZ$190,,MATCH(SUBSTITUTE(L$3,"Q","T"),Inputs!$B$2:$AZ$2,0)),Inputs!$B$2:$B$190,$B49)*Inputs!$D$1),"",SUMIFS(INDEX(Inputs!$B$2:$AZ$190,,MATCH(SUBSTITUTE(L$3,"Q","T"),Inputs!$B$2:$AZ$2,0)),Inputs!$B$2:$B$190,$B49)*Inputs!$D$1)</f>
        <v>0</v>
      </c>
      <c r="M49" s="57">
        <f>IF(ISNA(SUMIFS(INDEX(Inputs!$B$2:$AZ$190,,MATCH(SUBSTITUTE(M$3,"Q","T"),Inputs!$B$2:$AZ$2,0)),Inputs!$B$2:$B$190,$B49)*Inputs!$D$1),"",SUMIFS(INDEX(Inputs!$B$2:$AZ$190,,MATCH(SUBSTITUTE(M$3,"Q","T"),Inputs!$B$2:$AZ$2,0)),Inputs!$B$2:$B$190,$B49)*Inputs!$D$1)</f>
        <v>0</v>
      </c>
      <c r="N49" s="58">
        <f>M49</f>
        <v>0</v>
      </c>
      <c r="O49" s="57">
        <f>IF(ISNA(SUMIFS(INDEX(Inputs!$B$2:$AZ$190,,MATCH(SUBSTITUTE(O$3,"Q","T"),Inputs!$B$2:$AZ$2,0)),Inputs!$B$2:$B$190,$B49)*Inputs!$D$1),"",SUMIFS(INDEX(Inputs!$B$2:$AZ$190,,MATCH(SUBSTITUTE(O$3,"Q","T"),Inputs!$B$2:$AZ$2,0)),Inputs!$B$2:$B$190,$B49)*Inputs!$D$1)</f>
        <v>0</v>
      </c>
      <c r="P49" s="57">
        <f>IF(ISNA(SUMIFS(INDEX(Inputs!$B$2:$AZ$190,,MATCH(SUBSTITUTE(P$3,"Q","T"),Inputs!$B$2:$AZ$2,0)),Inputs!$B$2:$B$190,$B49)*Inputs!$D$1),"",SUMIFS(INDEX(Inputs!$B$2:$AZ$190,,MATCH(SUBSTITUTE(P$3,"Q","T"),Inputs!$B$2:$AZ$2,0)),Inputs!$B$2:$B$190,$B49)*Inputs!$D$1)</f>
        <v>0</v>
      </c>
      <c r="Q49" s="57">
        <f>IF(ISNA(SUMIFS(INDEX(Inputs!$B$2:$AZ$190,,MATCH(SUBSTITUTE(Q$3,"Q","T"),Inputs!$B$2:$AZ$2,0)),Inputs!$B$2:$B$190,$B49)*Inputs!$D$1),"",SUMIFS(INDEX(Inputs!$B$2:$AZ$190,,MATCH(SUBSTITUTE(Q$3,"Q","T"),Inputs!$B$2:$AZ$2,0)),Inputs!$B$2:$B$190,$B49)*Inputs!$D$1)</f>
        <v>0</v>
      </c>
      <c r="R49" s="57">
        <f>IF(ISNA(SUMIFS(INDEX(Inputs!$B$2:$AZ$190,,MATCH(SUBSTITUTE(R$3,"Q","T"),Inputs!$B$2:$AZ$2,0)),Inputs!$B$2:$B$190,$B49)*Inputs!$D$1),"",SUMIFS(INDEX(Inputs!$B$2:$AZ$190,,MATCH(SUBSTITUTE(R$3,"Q","T"),Inputs!$B$2:$AZ$2,0)),Inputs!$B$2:$B$190,$B49)*Inputs!$D$1)</f>
        <v>0</v>
      </c>
      <c r="S49" s="58">
        <f>R49</f>
        <v>0</v>
      </c>
      <c r="T49" s="57">
        <f>IF(ISNA(SUMIFS(INDEX(Inputs!$B$2:$AZ$190,,MATCH(SUBSTITUTE(T$3,"Q","T"),Inputs!$B$2:$AZ$2,0)),Inputs!$B$2:$B$190,$B49)*Inputs!$D$1),"",SUMIFS(INDEX(Inputs!$B$2:$AZ$190,,MATCH(SUBSTITUTE(T$3,"Q","T"),Inputs!$B$2:$AZ$2,0)),Inputs!$B$2:$B$190,$B49)*Inputs!$D$1)</f>
        <v>0</v>
      </c>
      <c r="U49" s="57">
        <f>IF(ISNA(SUMIFS(INDEX(Inputs!$B$2:$AZ$190,,MATCH(SUBSTITUTE(U$3,"Q","T"),Inputs!$B$2:$AZ$2,0)),Inputs!$B$2:$B$190,$B49)*Inputs!$D$1),"",SUMIFS(INDEX(Inputs!$B$2:$AZ$190,,MATCH(SUBSTITUTE(U$3,"Q","T"),Inputs!$B$2:$AZ$2,0)),Inputs!$B$2:$B$190,$B49)*Inputs!$D$1)</f>
        <v>0</v>
      </c>
      <c r="V49" s="57">
        <f>IF(ISNA(SUMIFS(INDEX(Inputs!$B$2:$AZ$190,,MATCH(SUBSTITUTE(V$3,"Q","T"),Inputs!$B$2:$AZ$2,0)),Inputs!$B$2:$B$190,$B49)*Inputs!$D$1),"",SUMIFS(INDEX(Inputs!$B$2:$AZ$190,,MATCH(SUBSTITUTE(V$3,"Q","T"),Inputs!$B$2:$AZ$2,0)),Inputs!$B$2:$B$190,$B49)*Inputs!$D$1)</f>
        <v>0</v>
      </c>
      <c r="W49" s="57">
        <f>IF(ISNA(SUMIFS(INDEX(Inputs!$B$2:$AZ$190,,MATCH(SUBSTITUTE(W$3,"Q","T"),Inputs!$B$2:$AZ$2,0)),Inputs!$B$2:$B$190,$B49)*Inputs!$D$1),"",SUMIFS(INDEX(Inputs!$B$2:$AZ$190,,MATCH(SUBSTITUTE(W$3,"Q","T"),Inputs!$B$2:$AZ$2,0)),Inputs!$B$2:$B$190,$B49)*Inputs!$D$1)</f>
        <v>0</v>
      </c>
      <c r="X49" s="58">
        <f>W49</f>
        <v>0</v>
      </c>
      <c r="Y49" s="57">
        <f>IF(ISNA(SUMIFS(INDEX(Inputs!$B$2:$AZ$190,,MATCH(SUBSTITUTE(Y$3,"Q","T"),Inputs!$B$2:$AZ$2,0)),Inputs!$B$2:$B$190,$B49)*Inputs!$D$1),"",SUMIFS(INDEX(Inputs!$B$2:$AZ$190,,MATCH(SUBSTITUTE(Y$3,"Q","T"),Inputs!$B$2:$AZ$2,0)),Inputs!$B$2:$B$190,$B49)*Inputs!$D$1)</f>
        <v>0</v>
      </c>
      <c r="Z49" s="57">
        <f>IF(ISNA(SUMIFS(INDEX(Inputs!$B$2:$AZ$190,,MATCH(SUBSTITUTE(Z$3,"Q","T"),Inputs!$B$2:$AZ$2,0)),Inputs!$B$2:$B$190,$B49)*Inputs!$D$1),"",SUMIFS(INDEX(Inputs!$B$2:$AZ$190,,MATCH(SUBSTITUTE(Z$3,"Q","T"),Inputs!$B$2:$AZ$2,0)),Inputs!$B$2:$B$190,$B49)*Inputs!$D$1)</f>
        <v>0</v>
      </c>
      <c r="AA49" s="57">
        <f>IF(ISNA(SUMIFS(INDEX(Inputs!$B$2:$AZ$190,,MATCH(SUBSTITUTE(AA$3,"Q","T"),Inputs!$B$2:$AZ$2,0)),Inputs!$B$2:$B$190,$B49)*Inputs!$D$1),"",SUMIFS(INDEX(Inputs!$B$2:$AZ$190,,MATCH(SUBSTITUTE(AA$3,"Q","T"),Inputs!$B$2:$AZ$2,0)),Inputs!$B$2:$B$190,$B49)*Inputs!$D$1)</f>
        <v>0</v>
      </c>
      <c r="AB49" s="57">
        <f>IF(ISNA(SUMIFS(INDEX(Inputs!$B$2:$AZ$190,,MATCH(SUBSTITUTE(AB$3,"Q","T"),Inputs!$B$2:$AZ$2,0)),Inputs!$B$2:$B$190,$B49)*Inputs!$D$1),"",SUMIFS(INDEX(Inputs!$B$2:$AZ$190,,MATCH(SUBSTITUTE(AB$3,"Q","T"),Inputs!$B$2:$AZ$2,0)),Inputs!$B$2:$B$190,$B49)*Inputs!$D$1)</f>
        <v>0</v>
      </c>
      <c r="AC49" s="58">
        <f>AB49</f>
        <v>0</v>
      </c>
      <c r="AD49" s="57">
        <f>IF(ISNA(SUMIFS(INDEX(Inputs!$B$2:$AZ$190,,MATCH(SUBSTITUTE(AD$3,"Q","T"),Inputs!$B$2:$AZ$2,0)),Inputs!$B$2:$B$190,$B49)*Inputs!$D$1),"",SUMIFS(INDEX(Inputs!$B$2:$AZ$190,,MATCH(SUBSTITUTE(AD$3,"Q","T"),Inputs!$B$2:$AZ$2,0)),Inputs!$B$2:$B$190,$B49)*Inputs!$D$1)</f>
        <v>0</v>
      </c>
      <c r="AE49" s="57">
        <f>IF(ISNA(SUMIFS(INDEX(Inputs!$B$2:$AZ$190,,MATCH(SUBSTITUTE(AE$3,"Q","T"),Inputs!$B$2:$AZ$2,0)),Inputs!$B$2:$B$190,$B49)*Inputs!$D$1),"",SUMIFS(INDEX(Inputs!$B$2:$AZ$190,,MATCH(SUBSTITUTE(AE$3,"Q","T"),Inputs!$B$2:$AZ$2,0)),Inputs!$B$2:$B$190,$B49)*Inputs!$D$1)</f>
        <v>0</v>
      </c>
      <c r="AF49" s="57">
        <f>IF(ISNA(SUMIFS(INDEX(Inputs!$B$2:$AZ$190,,MATCH(SUBSTITUTE(AF$3,"Q","T"),Inputs!$B$2:$AZ$2,0)),Inputs!$B$2:$B$190,$B49)*Inputs!$D$1),"",SUMIFS(INDEX(Inputs!$B$2:$AZ$190,,MATCH(SUBSTITUTE(AF$3,"Q","T"),Inputs!$B$2:$AZ$2,0)),Inputs!$B$2:$B$190,$B49)*Inputs!$D$1)</f>
        <v>0</v>
      </c>
      <c r="AG49" s="57">
        <f>IF(ISNA(SUMIFS(INDEX(Inputs!$B$2:$AZ$190,,MATCH(SUBSTITUTE(AG$3,"Q","T"),Inputs!$B$2:$AZ$2,0)),Inputs!$B$2:$B$190,$B49)*Inputs!$D$1),"",SUMIFS(INDEX(Inputs!$B$2:$AZ$190,,MATCH(SUBSTITUTE(AG$3,"Q","T"),Inputs!$B$2:$AZ$2,0)),Inputs!$B$2:$B$190,$B49)*Inputs!$D$1)</f>
        <v>0</v>
      </c>
      <c r="AH49" s="58">
        <f>AG49</f>
        <v>0</v>
      </c>
      <c r="AI49" s="57">
        <f>IF(ISNA(SUMIFS(INDEX(Inputs!$B$2:$AZ$190,,MATCH(SUBSTITUTE(AI$3,"Q","T"),Inputs!$B$2:$AZ$2,0)),Inputs!$B$2:$B$190,$B49)*Inputs!$D$1),"",SUMIFS(INDEX(Inputs!$B$2:$AZ$190,,MATCH(SUBSTITUTE(AI$3,"Q","T"),Inputs!$B$2:$AZ$2,0)),Inputs!$B$2:$B$190,$B49)*Inputs!$D$1)</f>
        <v>0</v>
      </c>
      <c r="AJ49" s="57">
        <f>IF(ISNA(SUMIFS(INDEX(Inputs!$B$2:$AZ$190,,MATCH(SUBSTITUTE(AJ$3,"Q","T"),Inputs!$B$2:$AZ$2,0)),Inputs!$B$2:$B$190,$B49)*Inputs!$D$1),"",SUMIFS(INDEX(Inputs!$B$2:$AZ$190,,MATCH(SUBSTITUTE(AJ$3,"Q","T"),Inputs!$B$2:$AZ$2,0)),Inputs!$B$2:$B$190,$B49)*Inputs!$D$1)</f>
        <v>0</v>
      </c>
      <c r="AK49" s="57">
        <f>IF(ISNA(SUMIFS(INDEX(Inputs!$B$2:$AZ$190,,MATCH(SUBSTITUTE(AK$3,"Q","T"),Inputs!$B$2:$AZ$2,0)),Inputs!$B$2:$B$190,$B49)*Inputs!$D$1),"",SUMIFS(INDEX(Inputs!$B$2:$AZ$190,,MATCH(SUBSTITUTE(AK$3,"Q","T"),Inputs!$B$2:$AZ$2,0)),Inputs!$B$2:$B$190,$B49)*Inputs!$D$1)</f>
        <v>0</v>
      </c>
      <c r="AL49" s="57">
        <f>IF(ISNA(SUMIFS(INDEX(Inputs!$B$2:$AZ$190,,MATCH(SUBSTITUTE(AL$3,"Q","T"),Inputs!$B$2:$AZ$2,0)),Inputs!$B$2:$B$190,$B49)*Inputs!$D$1),"",SUMIFS(INDEX(Inputs!$B$2:$AZ$190,,MATCH(SUBSTITUTE(AL$3,"Q","T"),Inputs!$B$2:$AZ$2,0)),Inputs!$B$2:$B$190,$B49)*Inputs!$D$1)</f>
        <v>0</v>
      </c>
      <c r="AM49" s="58">
        <f>AL49</f>
        <v>0</v>
      </c>
      <c r="AN49" s="57">
        <f>IF(ISNA(SUMIFS(INDEX(Inputs!$B$2:$AZ$190,,MATCH(SUBSTITUTE(AN$3,"Q","T"),Inputs!$B$2:$AZ$2,0)),Inputs!$B$2:$B$190,$B49)*Inputs!$D$1),"",SUMIFS(INDEX(Inputs!$B$2:$AZ$190,,MATCH(SUBSTITUTE(AN$3,"Q","T"),Inputs!$B$2:$AZ$2,0)),Inputs!$B$2:$B$190,$B49)*Inputs!$D$1)</f>
        <v>0</v>
      </c>
      <c r="AO49" s="57">
        <f>IF(ISNA(SUMIFS(INDEX(Inputs!$B$2:$AZ$190,,MATCH(SUBSTITUTE(AO$3,"Q","T"),Inputs!$B$2:$AZ$2,0)),Inputs!$B$2:$B$190,$B49)*Inputs!$D$1),"",SUMIFS(INDEX(Inputs!$B$2:$AZ$190,,MATCH(SUBSTITUTE(AO$3,"Q","T"),Inputs!$B$2:$AZ$2,0)),Inputs!$B$2:$B$190,$B49)*Inputs!$D$1)</f>
        <v>0</v>
      </c>
      <c r="AP49" s="57">
        <f>IF(ISNA(SUMIFS(INDEX(Inputs!$B$2:$AZ$190,,MATCH(SUBSTITUTE(AP$3,"Q","T"),Inputs!$B$2:$AZ$2,0)),Inputs!$B$2:$B$190,$B49)*Inputs!$D$1),"",SUMIFS(INDEX(Inputs!$B$2:$AZ$190,,MATCH(SUBSTITUTE(AP$3,"Q","T"),Inputs!$B$2:$AZ$2,0)),Inputs!$B$2:$B$190,$B49)*Inputs!$D$1)</f>
        <v>0</v>
      </c>
      <c r="AQ49" s="57">
        <f>IF(ISNA(SUMIFS(INDEX(Inputs!$B$2:$AZ$190,,MATCH(SUBSTITUTE(AQ$3,"Q","T"),Inputs!$B$2:$AZ$2,0)),Inputs!$B$2:$B$190,$B49)*Inputs!$D$1),"",SUMIFS(INDEX(Inputs!$B$2:$AZ$190,,MATCH(SUBSTITUTE(AQ$3,"Q","T"),Inputs!$B$2:$AZ$2,0)),Inputs!$B$2:$B$190,$B49)*Inputs!$D$1)</f>
        <v>0</v>
      </c>
      <c r="AR49" s="58">
        <f>AQ49</f>
        <v>0</v>
      </c>
      <c r="AS49" s="57">
        <f>IF(ISNA(SUMIFS(INDEX(Inputs!$B$2:$AZ$190,,MATCH(SUBSTITUTE(AS$3,"Q","T"),Inputs!$B$2:$AZ$2,0)),Inputs!$B$2:$B$190,$B49)*Inputs!$D$1),"",SUMIFS(INDEX(Inputs!$B$2:$AZ$190,,MATCH(SUBSTITUTE(AS$3,"Q","T"),Inputs!$B$2:$AZ$2,0)),Inputs!$B$2:$B$190,$B49)*Inputs!$D$1)</f>
        <v>0</v>
      </c>
      <c r="AT49" s="57">
        <f>IF(ISNA(SUMIFS(INDEX(Inputs!$B$2:$AZ$190,,MATCH(SUBSTITUTE(AT$3,"Q","T"),Inputs!$B$2:$AZ$2,0)),Inputs!$B$2:$B$190,$B49)*Inputs!$D$1),"",SUMIFS(INDEX(Inputs!$B$2:$AZ$190,,MATCH(SUBSTITUTE(AT$3,"Q","T"),Inputs!$B$2:$AZ$2,0)),Inputs!$B$2:$B$190,$B49)*Inputs!$D$1)</f>
        <v>0</v>
      </c>
      <c r="AU49" s="57">
        <f>IF(ISNA(SUMIFS(INDEX(Inputs!$B$2:$AZ$190,,MATCH(SUBSTITUTE(AU$3,"Q","T"),Inputs!$B$2:$AZ$2,0)),Inputs!$B$2:$B$190,$B49)*Inputs!$D$1),"",SUMIFS(INDEX(Inputs!$B$2:$AZ$190,,MATCH(SUBSTITUTE(AU$3,"Q","T"),Inputs!$B$2:$AZ$2,0)),Inputs!$B$2:$B$190,$B49)*Inputs!$D$1)</f>
        <v>0</v>
      </c>
      <c r="AV49" s="57">
        <f>IF(ISNA(SUMIFS(INDEX(Inputs!$B$2:$AZ$190,,MATCH(SUBSTITUTE(AV$3,"Q","T"),Inputs!$B$2:$AZ$2,0)),Inputs!$B$2:$B$190,$B49)*Inputs!$D$1),"",SUMIFS(INDEX(Inputs!$B$2:$AZ$190,,MATCH(SUBSTITUTE(AV$3,"Q","T"),Inputs!$B$2:$AZ$2,0)),Inputs!$B$2:$B$190,$B49)*Inputs!$D$1)</f>
        <v>0</v>
      </c>
      <c r="AW49" s="58">
        <f>AV49</f>
        <v>0</v>
      </c>
      <c r="AX49" s="57">
        <f>IF(ISNA(SUMIFS(INDEX(Inputs!$B$2:$AZ$190,,MATCH(SUBSTITUTE(AX$3,"Q","T"),Inputs!$B$2:$AZ$2,0)),Inputs!$B$2:$B$190,$B49)*Inputs!$D$1),"",SUMIFS(INDEX(Inputs!$B$2:$AZ$190,,MATCH(SUBSTITUTE(AX$3,"Q","T"),Inputs!$B$2:$AZ$2,0)),Inputs!$B$2:$B$190,$B49)*Inputs!$D$1)</f>
        <v>0</v>
      </c>
      <c r="AY49" s="57">
        <f>IF(ISNA(SUMIFS(INDEX(Inputs!$B$2:$AZ$190,,MATCH(SUBSTITUTE(AY$3,"Q","T"),Inputs!$B$2:$AZ$2,0)),Inputs!$B$2:$B$190,$B49)*Inputs!$D$1),"",SUMIFS(INDEX(Inputs!$B$2:$AZ$190,,MATCH(SUBSTITUTE(AY$3,"Q","T"),Inputs!$B$2:$AZ$2,0)),Inputs!$B$2:$B$190,$B49)*Inputs!$D$1)</f>
        <v>0</v>
      </c>
      <c r="AZ49" s="57">
        <f>IF(ISNA(SUMIFS(INDEX(Inputs!$B$2:$AZ$190,,MATCH(SUBSTITUTE(AZ$3,"Q","T"),Inputs!$B$2:$AZ$2,0)),Inputs!$B$2:$B$190,$B49)*Inputs!$D$1),"",SUMIFS(INDEX(Inputs!$B$2:$AZ$190,,MATCH(SUBSTITUTE(AZ$3,"Q","T"),Inputs!$B$2:$AZ$2,0)),Inputs!$B$2:$B$190,$B49)*Inputs!$D$1)</f>
        <v>0</v>
      </c>
      <c r="BA49" s="57">
        <f>IF(ISNA(SUMIFS(INDEX(Inputs!$B$2:$AZ$190,,MATCH(SUBSTITUTE(BA$3,"Q","T"),Inputs!$B$2:$AZ$2,0)),Inputs!$B$2:$B$190,$B49)*Inputs!$D$1),"",SUMIFS(INDEX(Inputs!$B$2:$AZ$190,,MATCH(SUBSTITUTE(BA$3,"Q","T"),Inputs!$B$2:$AZ$2,0)),Inputs!$B$2:$B$190,$B49)*Inputs!$D$1)</f>
        <v>0</v>
      </c>
      <c r="BB49" s="58">
        <f>BA49</f>
        <v>0</v>
      </c>
      <c r="BC49" s="57">
        <f>IF(ISNA(SUMIFS(INDEX(Inputs!$B$2:$AZ$190,,MATCH(SUBSTITUTE(BC$3,"Q","T"),Inputs!$B$2:$AZ$2,0)),Inputs!$B$2:$B$190,$B49)*Inputs!$D$1),"",SUMIFS(INDEX(Inputs!$B$2:$AZ$190,,MATCH(SUBSTITUTE(BC$3,"Q","T"),Inputs!$B$2:$AZ$2,0)),Inputs!$B$2:$B$190,$B49)*Inputs!$D$1)</f>
        <v>0</v>
      </c>
      <c r="BD49" s="57">
        <f>IF(ISNA(SUMIFS(INDEX(Inputs!$B$2:$AZ$190,,MATCH(SUBSTITUTE(BD$3,"Q","T"),Inputs!$B$2:$AZ$2,0)),Inputs!$B$2:$B$190,$B49)*Inputs!$D$1),"",SUMIFS(INDEX(Inputs!$B$2:$AZ$190,,MATCH(SUBSTITUTE(BD$3,"Q","T"),Inputs!$B$2:$AZ$2,0)),Inputs!$B$2:$B$190,$B49)*Inputs!$D$1)</f>
        <v>0</v>
      </c>
      <c r="BE49" s="57">
        <f>IF(ISNA(SUMIFS(INDEX(Inputs!$B$2:$AZ$190,,MATCH(SUBSTITUTE(BE$3,"Q","T"),Inputs!$B$2:$AZ$2,0)),Inputs!$B$2:$B$190,$B49)*Inputs!$D$1),"",SUMIFS(INDEX(Inputs!$B$2:$AZ$190,,MATCH(SUBSTITUTE(BE$3,"Q","T"),Inputs!$B$2:$AZ$2,0)),Inputs!$B$2:$B$190,$B49)*Inputs!$D$1)</f>
        <v>0</v>
      </c>
      <c r="BF49" s="57">
        <f>IF(ISNA(SUMIFS(INDEX(Inputs!$B$2:$AZ$190,,MATCH(SUBSTITUTE(BF$3,"Q","T"),Inputs!$B$2:$AZ$2,0)),Inputs!$B$2:$B$190,$B49)*Inputs!$D$1),"",SUMIFS(INDEX(Inputs!$B$2:$AZ$190,,MATCH(SUBSTITUTE(BF$3,"Q","T"),Inputs!$B$2:$AZ$2,0)),Inputs!$B$2:$B$190,$B49)*Inputs!$D$1)</f>
        <v>0</v>
      </c>
      <c r="BG49" s="58">
        <f>BF49</f>
        <v>0</v>
      </c>
    </row>
    <row r="50">
      <c r="B50" s="56" t="inlineStr">
        <is>
          <t>trading_l</t>
        </is>
      </c>
      <c r="C50" s="11" t="inlineStr">
        <is>
          <t>Passivos de trading (inclui derivativos a pagar)</t>
        </is>
      </c>
      <c r="D50" s="12" t="inlineStr">
        <is>
          <t>Trading liabilities (incl. derivative payables)</t>
        </is>
      </c>
      <c r="E50" s="57">
        <f>IF(ISNA(SUMIFS(INDEX(Inputs!$B$2:$AZ$190,,MATCH(SUBSTITUTE(E$3,"Q","T"),Inputs!$B$2:$AZ$2,0)),Inputs!$B$2:$B$190,$B50)*Inputs!$D$1),"",SUMIFS(INDEX(Inputs!$B$2:$AZ$190,,MATCH(SUBSTITUTE(E$3,"Q","T"),Inputs!$B$2:$AZ$2,0)),Inputs!$B$2:$B$190,$B50)*Inputs!$D$1)</f>
        <v>0</v>
      </c>
      <c r="F50" s="57">
        <f>IF(ISNA(SUMIFS(INDEX(Inputs!$B$2:$AZ$190,,MATCH(SUBSTITUTE(F$3,"Q","T"),Inputs!$B$2:$AZ$2,0)),Inputs!$B$2:$B$190,$B50)*Inputs!$D$1),"",SUMIFS(INDEX(Inputs!$B$2:$AZ$190,,MATCH(SUBSTITUTE(F$3,"Q","T"),Inputs!$B$2:$AZ$2,0)),Inputs!$B$2:$B$190,$B50)*Inputs!$D$1)</f>
        <v>0</v>
      </c>
      <c r="G50" s="57">
        <f>IF(ISNA(SUMIFS(INDEX(Inputs!$B$2:$AZ$190,,MATCH(SUBSTITUTE(G$3,"Q","T"),Inputs!$B$2:$AZ$2,0)),Inputs!$B$2:$B$190,$B50)*Inputs!$D$1),"",SUMIFS(INDEX(Inputs!$B$2:$AZ$190,,MATCH(SUBSTITUTE(G$3,"Q","T"),Inputs!$B$2:$AZ$2,0)),Inputs!$B$2:$B$190,$B50)*Inputs!$D$1)</f>
        <v>0</v>
      </c>
      <c r="H50" s="57">
        <f>IF(ISNA(SUMIFS(INDEX(Inputs!$B$2:$AZ$190,,MATCH(SUBSTITUTE(H$3,"Q","T"),Inputs!$B$2:$AZ$2,0)),Inputs!$B$2:$B$190,$B50)*Inputs!$D$1),"",SUMIFS(INDEX(Inputs!$B$2:$AZ$190,,MATCH(SUBSTITUTE(H$3,"Q","T"),Inputs!$B$2:$AZ$2,0)),Inputs!$B$2:$B$190,$B50)*Inputs!$D$1)</f>
        <v>0</v>
      </c>
      <c r="I50" s="58">
        <f>H50</f>
        <v>0</v>
      </c>
      <c r="J50" s="57">
        <f>IF(ISNA(SUMIFS(INDEX(Inputs!$B$2:$AZ$190,,MATCH(SUBSTITUTE(J$3,"Q","T"),Inputs!$B$2:$AZ$2,0)),Inputs!$B$2:$B$190,$B50)*Inputs!$D$1),"",SUMIFS(INDEX(Inputs!$B$2:$AZ$190,,MATCH(SUBSTITUTE(J$3,"Q","T"),Inputs!$B$2:$AZ$2,0)),Inputs!$B$2:$B$190,$B50)*Inputs!$D$1)</f>
        <v>0</v>
      </c>
      <c r="K50" s="57">
        <f>IF(ISNA(SUMIFS(INDEX(Inputs!$B$2:$AZ$190,,MATCH(SUBSTITUTE(K$3,"Q","T"),Inputs!$B$2:$AZ$2,0)),Inputs!$B$2:$B$190,$B50)*Inputs!$D$1),"",SUMIFS(INDEX(Inputs!$B$2:$AZ$190,,MATCH(SUBSTITUTE(K$3,"Q","T"),Inputs!$B$2:$AZ$2,0)),Inputs!$B$2:$B$190,$B50)*Inputs!$D$1)</f>
        <v>0</v>
      </c>
      <c r="L50" s="57">
        <f>IF(ISNA(SUMIFS(INDEX(Inputs!$B$2:$AZ$190,,MATCH(SUBSTITUTE(L$3,"Q","T"),Inputs!$B$2:$AZ$2,0)),Inputs!$B$2:$B$190,$B50)*Inputs!$D$1),"",SUMIFS(INDEX(Inputs!$B$2:$AZ$190,,MATCH(SUBSTITUTE(L$3,"Q","T"),Inputs!$B$2:$AZ$2,0)),Inputs!$B$2:$B$190,$B50)*Inputs!$D$1)</f>
        <v>0</v>
      </c>
      <c r="M50" s="57">
        <f>IF(ISNA(SUMIFS(INDEX(Inputs!$B$2:$AZ$190,,MATCH(SUBSTITUTE(M$3,"Q","T"),Inputs!$B$2:$AZ$2,0)),Inputs!$B$2:$B$190,$B50)*Inputs!$D$1),"",SUMIFS(INDEX(Inputs!$B$2:$AZ$190,,MATCH(SUBSTITUTE(M$3,"Q","T"),Inputs!$B$2:$AZ$2,0)),Inputs!$B$2:$B$190,$B50)*Inputs!$D$1)</f>
        <v>0</v>
      </c>
      <c r="N50" s="58">
        <f>M50</f>
        <v>0</v>
      </c>
      <c r="O50" s="57">
        <f>IF(ISNA(SUMIFS(INDEX(Inputs!$B$2:$AZ$190,,MATCH(SUBSTITUTE(O$3,"Q","T"),Inputs!$B$2:$AZ$2,0)),Inputs!$B$2:$B$190,$B50)*Inputs!$D$1),"",SUMIFS(INDEX(Inputs!$B$2:$AZ$190,,MATCH(SUBSTITUTE(O$3,"Q","T"),Inputs!$B$2:$AZ$2,0)),Inputs!$B$2:$B$190,$B50)*Inputs!$D$1)</f>
        <v>0</v>
      </c>
      <c r="P50" s="57">
        <f>IF(ISNA(SUMIFS(INDEX(Inputs!$B$2:$AZ$190,,MATCH(SUBSTITUTE(P$3,"Q","T"),Inputs!$B$2:$AZ$2,0)),Inputs!$B$2:$B$190,$B50)*Inputs!$D$1),"",SUMIFS(INDEX(Inputs!$B$2:$AZ$190,,MATCH(SUBSTITUTE(P$3,"Q","T"),Inputs!$B$2:$AZ$2,0)),Inputs!$B$2:$B$190,$B50)*Inputs!$D$1)</f>
        <v>0</v>
      </c>
      <c r="Q50" s="57">
        <f>IF(ISNA(SUMIFS(INDEX(Inputs!$B$2:$AZ$190,,MATCH(SUBSTITUTE(Q$3,"Q","T"),Inputs!$B$2:$AZ$2,0)),Inputs!$B$2:$B$190,$B50)*Inputs!$D$1),"",SUMIFS(INDEX(Inputs!$B$2:$AZ$190,,MATCH(SUBSTITUTE(Q$3,"Q","T"),Inputs!$B$2:$AZ$2,0)),Inputs!$B$2:$B$190,$B50)*Inputs!$D$1)</f>
        <v>0</v>
      </c>
      <c r="R50" s="57">
        <f>IF(ISNA(SUMIFS(INDEX(Inputs!$B$2:$AZ$190,,MATCH(SUBSTITUTE(R$3,"Q","T"),Inputs!$B$2:$AZ$2,0)),Inputs!$B$2:$B$190,$B50)*Inputs!$D$1),"",SUMIFS(INDEX(Inputs!$B$2:$AZ$190,,MATCH(SUBSTITUTE(R$3,"Q","T"),Inputs!$B$2:$AZ$2,0)),Inputs!$B$2:$B$190,$B50)*Inputs!$D$1)</f>
        <v>0</v>
      </c>
      <c r="S50" s="58">
        <f>R50</f>
        <v>0</v>
      </c>
      <c r="T50" s="57">
        <f>IF(ISNA(SUMIFS(INDEX(Inputs!$B$2:$AZ$190,,MATCH(SUBSTITUTE(T$3,"Q","T"),Inputs!$B$2:$AZ$2,0)),Inputs!$B$2:$B$190,$B50)*Inputs!$D$1),"",SUMIFS(INDEX(Inputs!$B$2:$AZ$190,,MATCH(SUBSTITUTE(T$3,"Q","T"),Inputs!$B$2:$AZ$2,0)),Inputs!$B$2:$B$190,$B50)*Inputs!$D$1)</f>
        <v>0</v>
      </c>
      <c r="U50" s="57">
        <f>IF(ISNA(SUMIFS(INDEX(Inputs!$B$2:$AZ$190,,MATCH(SUBSTITUTE(U$3,"Q","T"),Inputs!$B$2:$AZ$2,0)),Inputs!$B$2:$B$190,$B50)*Inputs!$D$1),"",SUMIFS(INDEX(Inputs!$B$2:$AZ$190,,MATCH(SUBSTITUTE(U$3,"Q","T"),Inputs!$B$2:$AZ$2,0)),Inputs!$B$2:$B$190,$B50)*Inputs!$D$1)</f>
        <v>0</v>
      </c>
      <c r="V50" s="57">
        <f>IF(ISNA(SUMIFS(INDEX(Inputs!$B$2:$AZ$190,,MATCH(SUBSTITUTE(V$3,"Q","T"),Inputs!$B$2:$AZ$2,0)),Inputs!$B$2:$B$190,$B50)*Inputs!$D$1),"",SUMIFS(INDEX(Inputs!$B$2:$AZ$190,,MATCH(SUBSTITUTE(V$3,"Q","T"),Inputs!$B$2:$AZ$2,0)),Inputs!$B$2:$B$190,$B50)*Inputs!$D$1)</f>
        <v>0</v>
      </c>
      <c r="W50" s="57">
        <f>IF(ISNA(SUMIFS(INDEX(Inputs!$B$2:$AZ$190,,MATCH(SUBSTITUTE(W$3,"Q","T"),Inputs!$B$2:$AZ$2,0)),Inputs!$B$2:$B$190,$B50)*Inputs!$D$1),"",SUMIFS(INDEX(Inputs!$B$2:$AZ$190,,MATCH(SUBSTITUTE(W$3,"Q","T"),Inputs!$B$2:$AZ$2,0)),Inputs!$B$2:$B$190,$B50)*Inputs!$D$1)</f>
        <v>0</v>
      </c>
      <c r="X50" s="58">
        <f>W50</f>
        <v>0</v>
      </c>
      <c r="Y50" s="57">
        <f>IF(ISNA(SUMIFS(INDEX(Inputs!$B$2:$AZ$190,,MATCH(SUBSTITUTE(Y$3,"Q","T"),Inputs!$B$2:$AZ$2,0)),Inputs!$B$2:$B$190,$B50)*Inputs!$D$1),"",SUMIFS(INDEX(Inputs!$B$2:$AZ$190,,MATCH(SUBSTITUTE(Y$3,"Q","T"),Inputs!$B$2:$AZ$2,0)),Inputs!$B$2:$B$190,$B50)*Inputs!$D$1)</f>
        <v>0</v>
      </c>
      <c r="Z50" s="57">
        <f>IF(ISNA(SUMIFS(INDEX(Inputs!$B$2:$AZ$190,,MATCH(SUBSTITUTE(Z$3,"Q","T"),Inputs!$B$2:$AZ$2,0)),Inputs!$B$2:$B$190,$B50)*Inputs!$D$1),"",SUMIFS(INDEX(Inputs!$B$2:$AZ$190,,MATCH(SUBSTITUTE(Z$3,"Q","T"),Inputs!$B$2:$AZ$2,0)),Inputs!$B$2:$B$190,$B50)*Inputs!$D$1)</f>
        <v>0</v>
      </c>
      <c r="AA50" s="57">
        <f>IF(ISNA(SUMIFS(INDEX(Inputs!$B$2:$AZ$190,,MATCH(SUBSTITUTE(AA$3,"Q","T"),Inputs!$B$2:$AZ$2,0)),Inputs!$B$2:$B$190,$B50)*Inputs!$D$1),"",SUMIFS(INDEX(Inputs!$B$2:$AZ$190,,MATCH(SUBSTITUTE(AA$3,"Q","T"),Inputs!$B$2:$AZ$2,0)),Inputs!$B$2:$B$190,$B50)*Inputs!$D$1)</f>
        <v>0</v>
      </c>
      <c r="AB50" s="57">
        <f>IF(ISNA(SUMIFS(INDEX(Inputs!$B$2:$AZ$190,,MATCH(SUBSTITUTE(AB$3,"Q","T"),Inputs!$B$2:$AZ$2,0)),Inputs!$B$2:$B$190,$B50)*Inputs!$D$1),"",SUMIFS(INDEX(Inputs!$B$2:$AZ$190,,MATCH(SUBSTITUTE(AB$3,"Q","T"),Inputs!$B$2:$AZ$2,0)),Inputs!$B$2:$B$190,$B50)*Inputs!$D$1)</f>
        <v>0</v>
      </c>
      <c r="AC50" s="58">
        <f>AB50</f>
        <v>0</v>
      </c>
      <c r="AD50" s="57">
        <f>IF(ISNA(SUMIFS(INDEX(Inputs!$B$2:$AZ$190,,MATCH(SUBSTITUTE(AD$3,"Q","T"),Inputs!$B$2:$AZ$2,0)),Inputs!$B$2:$B$190,$B50)*Inputs!$D$1),"",SUMIFS(INDEX(Inputs!$B$2:$AZ$190,,MATCH(SUBSTITUTE(AD$3,"Q","T"),Inputs!$B$2:$AZ$2,0)),Inputs!$B$2:$B$190,$B50)*Inputs!$D$1)</f>
        <v>0</v>
      </c>
      <c r="AE50" s="57">
        <f>IF(ISNA(SUMIFS(INDEX(Inputs!$B$2:$AZ$190,,MATCH(SUBSTITUTE(AE$3,"Q","T"),Inputs!$B$2:$AZ$2,0)),Inputs!$B$2:$B$190,$B50)*Inputs!$D$1),"",SUMIFS(INDEX(Inputs!$B$2:$AZ$190,,MATCH(SUBSTITUTE(AE$3,"Q","T"),Inputs!$B$2:$AZ$2,0)),Inputs!$B$2:$B$190,$B50)*Inputs!$D$1)</f>
        <v>0</v>
      </c>
      <c r="AF50" s="57">
        <f>IF(ISNA(SUMIFS(INDEX(Inputs!$B$2:$AZ$190,,MATCH(SUBSTITUTE(AF$3,"Q","T"),Inputs!$B$2:$AZ$2,0)),Inputs!$B$2:$B$190,$B50)*Inputs!$D$1),"",SUMIFS(INDEX(Inputs!$B$2:$AZ$190,,MATCH(SUBSTITUTE(AF$3,"Q","T"),Inputs!$B$2:$AZ$2,0)),Inputs!$B$2:$B$190,$B50)*Inputs!$D$1)</f>
        <v>0</v>
      </c>
      <c r="AG50" s="57">
        <f>IF(ISNA(SUMIFS(INDEX(Inputs!$B$2:$AZ$190,,MATCH(SUBSTITUTE(AG$3,"Q","T"),Inputs!$B$2:$AZ$2,0)),Inputs!$B$2:$B$190,$B50)*Inputs!$D$1),"",SUMIFS(INDEX(Inputs!$B$2:$AZ$190,,MATCH(SUBSTITUTE(AG$3,"Q","T"),Inputs!$B$2:$AZ$2,0)),Inputs!$B$2:$B$190,$B50)*Inputs!$D$1)</f>
        <v>0</v>
      </c>
      <c r="AH50" s="58">
        <f>AG50</f>
        <v>0</v>
      </c>
      <c r="AI50" s="57">
        <f>IF(ISNA(SUMIFS(INDEX(Inputs!$B$2:$AZ$190,,MATCH(SUBSTITUTE(AI$3,"Q","T"),Inputs!$B$2:$AZ$2,0)),Inputs!$B$2:$B$190,$B50)*Inputs!$D$1),"",SUMIFS(INDEX(Inputs!$B$2:$AZ$190,,MATCH(SUBSTITUTE(AI$3,"Q","T"),Inputs!$B$2:$AZ$2,0)),Inputs!$B$2:$B$190,$B50)*Inputs!$D$1)</f>
        <v>0</v>
      </c>
      <c r="AJ50" s="57">
        <f>IF(ISNA(SUMIFS(INDEX(Inputs!$B$2:$AZ$190,,MATCH(SUBSTITUTE(AJ$3,"Q","T"),Inputs!$B$2:$AZ$2,0)),Inputs!$B$2:$B$190,$B50)*Inputs!$D$1),"",SUMIFS(INDEX(Inputs!$B$2:$AZ$190,,MATCH(SUBSTITUTE(AJ$3,"Q","T"),Inputs!$B$2:$AZ$2,0)),Inputs!$B$2:$B$190,$B50)*Inputs!$D$1)</f>
        <v>0</v>
      </c>
      <c r="AK50" s="57">
        <f>IF(ISNA(SUMIFS(INDEX(Inputs!$B$2:$AZ$190,,MATCH(SUBSTITUTE(AK$3,"Q","T"),Inputs!$B$2:$AZ$2,0)),Inputs!$B$2:$B$190,$B50)*Inputs!$D$1),"",SUMIFS(INDEX(Inputs!$B$2:$AZ$190,,MATCH(SUBSTITUTE(AK$3,"Q","T"),Inputs!$B$2:$AZ$2,0)),Inputs!$B$2:$B$190,$B50)*Inputs!$D$1)</f>
        <v>0</v>
      </c>
      <c r="AL50" s="57">
        <f>IF(ISNA(SUMIFS(INDEX(Inputs!$B$2:$AZ$190,,MATCH(SUBSTITUTE(AL$3,"Q","T"),Inputs!$B$2:$AZ$2,0)),Inputs!$B$2:$B$190,$B50)*Inputs!$D$1),"",SUMIFS(INDEX(Inputs!$B$2:$AZ$190,,MATCH(SUBSTITUTE(AL$3,"Q","T"),Inputs!$B$2:$AZ$2,0)),Inputs!$B$2:$B$190,$B50)*Inputs!$D$1)</f>
        <v>0</v>
      </c>
      <c r="AM50" s="58">
        <f>AL50</f>
        <v>0</v>
      </c>
      <c r="AN50" s="57">
        <f>IF(ISNA(SUMIFS(INDEX(Inputs!$B$2:$AZ$190,,MATCH(SUBSTITUTE(AN$3,"Q","T"),Inputs!$B$2:$AZ$2,0)),Inputs!$B$2:$B$190,$B50)*Inputs!$D$1),"",SUMIFS(INDEX(Inputs!$B$2:$AZ$190,,MATCH(SUBSTITUTE(AN$3,"Q","T"),Inputs!$B$2:$AZ$2,0)),Inputs!$B$2:$B$190,$B50)*Inputs!$D$1)</f>
        <v>0</v>
      </c>
      <c r="AO50" s="57">
        <f>IF(ISNA(SUMIFS(INDEX(Inputs!$B$2:$AZ$190,,MATCH(SUBSTITUTE(AO$3,"Q","T"),Inputs!$B$2:$AZ$2,0)),Inputs!$B$2:$B$190,$B50)*Inputs!$D$1),"",SUMIFS(INDEX(Inputs!$B$2:$AZ$190,,MATCH(SUBSTITUTE(AO$3,"Q","T"),Inputs!$B$2:$AZ$2,0)),Inputs!$B$2:$B$190,$B50)*Inputs!$D$1)</f>
        <v>0</v>
      </c>
      <c r="AP50" s="57">
        <f>IF(ISNA(SUMIFS(INDEX(Inputs!$B$2:$AZ$190,,MATCH(SUBSTITUTE(AP$3,"Q","T"),Inputs!$B$2:$AZ$2,0)),Inputs!$B$2:$B$190,$B50)*Inputs!$D$1),"",SUMIFS(INDEX(Inputs!$B$2:$AZ$190,,MATCH(SUBSTITUTE(AP$3,"Q","T"),Inputs!$B$2:$AZ$2,0)),Inputs!$B$2:$B$190,$B50)*Inputs!$D$1)</f>
        <v>0</v>
      </c>
      <c r="AQ50" s="57">
        <f>IF(ISNA(SUMIFS(INDEX(Inputs!$B$2:$AZ$190,,MATCH(SUBSTITUTE(AQ$3,"Q","T"),Inputs!$B$2:$AZ$2,0)),Inputs!$B$2:$B$190,$B50)*Inputs!$D$1),"",SUMIFS(INDEX(Inputs!$B$2:$AZ$190,,MATCH(SUBSTITUTE(AQ$3,"Q","T"),Inputs!$B$2:$AZ$2,0)),Inputs!$B$2:$B$190,$B50)*Inputs!$D$1)</f>
        <v>0</v>
      </c>
      <c r="AR50" s="58">
        <f>AQ50</f>
        <v>0</v>
      </c>
      <c r="AS50" s="57">
        <f>IF(ISNA(SUMIFS(INDEX(Inputs!$B$2:$AZ$190,,MATCH(SUBSTITUTE(AS$3,"Q","T"),Inputs!$B$2:$AZ$2,0)),Inputs!$B$2:$B$190,$B50)*Inputs!$D$1),"",SUMIFS(INDEX(Inputs!$B$2:$AZ$190,,MATCH(SUBSTITUTE(AS$3,"Q","T"),Inputs!$B$2:$AZ$2,0)),Inputs!$B$2:$B$190,$B50)*Inputs!$D$1)</f>
        <v>0</v>
      </c>
      <c r="AT50" s="57">
        <f>IF(ISNA(SUMIFS(INDEX(Inputs!$B$2:$AZ$190,,MATCH(SUBSTITUTE(AT$3,"Q","T"),Inputs!$B$2:$AZ$2,0)),Inputs!$B$2:$B$190,$B50)*Inputs!$D$1),"",SUMIFS(INDEX(Inputs!$B$2:$AZ$190,,MATCH(SUBSTITUTE(AT$3,"Q","T"),Inputs!$B$2:$AZ$2,0)),Inputs!$B$2:$B$190,$B50)*Inputs!$D$1)</f>
        <v>0</v>
      </c>
      <c r="AU50" s="57">
        <f>IF(ISNA(SUMIFS(INDEX(Inputs!$B$2:$AZ$190,,MATCH(SUBSTITUTE(AU$3,"Q","T"),Inputs!$B$2:$AZ$2,0)),Inputs!$B$2:$B$190,$B50)*Inputs!$D$1),"",SUMIFS(INDEX(Inputs!$B$2:$AZ$190,,MATCH(SUBSTITUTE(AU$3,"Q","T"),Inputs!$B$2:$AZ$2,0)),Inputs!$B$2:$B$190,$B50)*Inputs!$D$1)</f>
        <v>0</v>
      </c>
      <c r="AV50" s="57">
        <f>IF(ISNA(SUMIFS(INDEX(Inputs!$B$2:$AZ$190,,MATCH(SUBSTITUTE(AV$3,"Q","T"),Inputs!$B$2:$AZ$2,0)),Inputs!$B$2:$B$190,$B50)*Inputs!$D$1),"",SUMIFS(INDEX(Inputs!$B$2:$AZ$190,,MATCH(SUBSTITUTE(AV$3,"Q","T"),Inputs!$B$2:$AZ$2,0)),Inputs!$B$2:$B$190,$B50)*Inputs!$D$1)</f>
        <v>0</v>
      </c>
      <c r="AW50" s="58">
        <f>AV50</f>
        <v>0</v>
      </c>
      <c r="AX50" s="57">
        <f>IF(ISNA(SUMIFS(INDEX(Inputs!$B$2:$AZ$190,,MATCH(SUBSTITUTE(AX$3,"Q","T"),Inputs!$B$2:$AZ$2,0)),Inputs!$B$2:$B$190,$B50)*Inputs!$D$1),"",SUMIFS(INDEX(Inputs!$B$2:$AZ$190,,MATCH(SUBSTITUTE(AX$3,"Q","T"),Inputs!$B$2:$AZ$2,0)),Inputs!$B$2:$B$190,$B50)*Inputs!$D$1)</f>
        <v>0</v>
      </c>
      <c r="AY50" s="57">
        <f>IF(ISNA(SUMIFS(INDEX(Inputs!$B$2:$AZ$190,,MATCH(SUBSTITUTE(AY$3,"Q","T"),Inputs!$B$2:$AZ$2,0)),Inputs!$B$2:$B$190,$B50)*Inputs!$D$1),"",SUMIFS(INDEX(Inputs!$B$2:$AZ$190,,MATCH(SUBSTITUTE(AY$3,"Q","T"),Inputs!$B$2:$AZ$2,0)),Inputs!$B$2:$B$190,$B50)*Inputs!$D$1)</f>
        <v>0</v>
      </c>
      <c r="AZ50" s="57">
        <f>IF(ISNA(SUMIFS(INDEX(Inputs!$B$2:$AZ$190,,MATCH(SUBSTITUTE(AZ$3,"Q","T"),Inputs!$B$2:$AZ$2,0)),Inputs!$B$2:$B$190,$B50)*Inputs!$D$1),"",SUMIFS(INDEX(Inputs!$B$2:$AZ$190,,MATCH(SUBSTITUTE(AZ$3,"Q","T"),Inputs!$B$2:$AZ$2,0)),Inputs!$B$2:$B$190,$B50)*Inputs!$D$1)</f>
        <v>0</v>
      </c>
      <c r="BA50" s="57">
        <f>IF(ISNA(SUMIFS(INDEX(Inputs!$B$2:$AZ$190,,MATCH(SUBSTITUTE(BA$3,"Q","T"),Inputs!$B$2:$AZ$2,0)),Inputs!$B$2:$B$190,$B50)*Inputs!$D$1),"",SUMIFS(INDEX(Inputs!$B$2:$AZ$190,,MATCH(SUBSTITUTE(BA$3,"Q","T"),Inputs!$B$2:$AZ$2,0)),Inputs!$B$2:$B$190,$B50)*Inputs!$D$1)</f>
        <v>0</v>
      </c>
      <c r="BB50" s="58">
        <f>BA50</f>
        <v>0</v>
      </c>
      <c r="BC50" s="57">
        <f>IF(ISNA(SUMIFS(INDEX(Inputs!$B$2:$AZ$190,,MATCH(SUBSTITUTE(BC$3,"Q","T"),Inputs!$B$2:$AZ$2,0)),Inputs!$B$2:$B$190,$B50)*Inputs!$D$1),"",SUMIFS(INDEX(Inputs!$B$2:$AZ$190,,MATCH(SUBSTITUTE(BC$3,"Q","T"),Inputs!$B$2:$AZ$2,0)),Inputs!$B$2:$B$190,$B50)*Inputs!$D$1)</f>
        <v>0</v>
      </c>
      <c r="BD50" s="57">
        <f>IF(ISNA(SUMIFS(INDEX(Inputs!$B$2:$AZ$190,,MATCH(SUBSTITUTE(BD$3,"Q","T"),Inputs!$B$2:$AZ$2,0)),Inputs!$B$2:$B$190,$B50)*Inputs!$D$1),"",SUMIFS(INDEX(Inputs!$B$2:$AZ$190,,MATCH(SUBSTITUTE(BD$3,"Q","T"),Inputs!$B$2:$AZ$2,0)),Inputs!$B$2:$B$190,$B50)*Inputs!$D$1)</f>
        <v>0</v>
      </c>
      <c r="BE50" s="57">
        <f>IF(ISNA(SUMIFS(INDEX(Inputs!$B$2:$AZ$190,,MATCH(SUBSTITUTE(BE$3,"Q","T"),Inputs!$B$2:$AZ$2,0)),Inputs!$B$2:$B$190,$B50)*Inputs!$D$1),"",SUMIFS(INDEX(Inputs!$B$2:$AZ$190,,MATCH(SUBSTITUTE(BE$3,"Q","T"),Inputs!$B$2:$AZ$2,0)),Inputs!$B$2:$B$190,$B50)*Inputs!$D$1)</f>
        <v>0</v>
      </c>
      <c r="BF50" s="57">
        <f>IF(ISNA(SUMIFS(INDEX(Inputs!$B$2:$AZ$190,,MATCH(SUBSTITUTE(BF$3,"Q","T"),Inputs!$B$2:$AZ$2,0)),Inputs!$B$2:$B$190,$B50)*Inputs!$D$1),"",SUMIFS(INDEX(Inputs!$B$2:$AZ$190,,MATCH(SUBSTITUTE(BF$3,"Q","T"),Inputs!$B$2:$AZ$2,0)),Inputs!$B$2:$B$190,$B50)*Inputs!$D$1)</f>
        <v>0</v>
      </c>
      <c r="BG50" s="58">
        <f>BF50</f>
        <v>0</v>
      </c>
    </row>
    <row r="51">
      <c r="B51" s="56" t="inlineStr">
        <is>
          <t>brokers_l</t>
        </is>
      </c>
      <c r="C51" s="11" t="inlineStr">
        <is>
          <t>Obrigações com corretoras e clientes (quando à parte)</t>
        </is>
      </c>
      <c r="D51" s="12" t="inlineStr">
        <is>
          <t>Payables to brokers and customers, if separate</t>
        </is>
      </c>
      <c r="E51" s="57">
        <f>IF(ISNA(SUMIFS(INDEX(Inputs!$B$2:$AZ$190,,MATCH(SUBSTITUTE(E$3,"Q","T"),Inputs!$B$2:$AZ$2,0)),Inputs!$B$2:$B$190,$B51)*Inputs!$D$1),"",SUMIFS(INDEX(Inputs!$B$2:$AZ$190,,MATCH(SUBSTITUTE(E$3,"Q","T"),Inputs!$B$2:$AZ$2,0)),Inputs!$B$2:$B$190,$B51)*Inputs!$D$1)</f>
        <v>0</v>
      </c>
      <c r="F51" s="57">
        <f>IF(ISNA(SUMIFS(INDEX(Inputs!$B$2:$AZ$190,,MATCH(SUBSTITUTE(F$3,"Q","T"),Inputs!$B$2:$AZ$2,0)),Inputs!$B$2:$B$190,$B51)*Inputs!$D$1),"",SUMIFS(INDEX(Inputs!$B$2:$AZ$190,,MATCH(SUBSTITUTE(F$3,"Q","T"),Inputs!$B$2:$AZ$2,0)),Inputs!$B$2:$B$190,$B51)*Inputs!$D$1)</f>
        <v>0</v>
      </c>
      <c r="G51" s="57">
        <f>IF(ISNA(SUMIFS(INDEX(Inputs!$B$2:$AZ$190,,MATCH(SUBSTITUTE(G$3,"Q","T"),Inputs!$B$2:$AZ$2,0)),Inputs!$B$2:$B$190,$B51)*Inputs!$D$1),"",SUMIFS(INDEX(Inputs!$B$2:$AZ$190,,MATCH(SUBSTITUTE(G$3,"Q","T"),Inputs!$B$2:$AZ$2,0)),Inputs!$B$2:$B$190,$B51)*Inputs!$D$1)</f>
        <v>0</v>
      </c>
      <c r="H51" s="57">
        <f>IF(ISNA(SUMIFS(INDEX(Inputs!$B$2:$AZ$190,,MATCH(SUBSTITUTE(H$3,"Q","T"),Inputs!$B$2:$AZ$2,0)),Inputs!$B$2:$B$190,$B51)*Inputs!$D$1),"",SUMIFS(INDEX(Inputs!$B$2:$AZ$190,,MATCH(SUBSTITUTE(H$3,"Q","T"),Inputs!$B$2:$AZ$2,0)),Inputs!$B$2:$B$190,$B51)*Inputs!$D$1)</f>
        <v>0</v>
      </c>
      <c r="I51" s="58">
        <f>H51</f>
        <v>0</v>
      </c>
      <c r="J51" s="57">
        <f>IF(ISNA(SUMIFS(INDEX(Inputs!$B$2:$AZ$190,,MATCH(SUBSTITUTE(J$3,"Q","T"),Inputs!$B$2:$AZ$2,0)),Inputs!$B$2:$B$190,$B51)*Inputs!$D$1),"",SUMIFS(INDEX(Inputs!$B$2:$AZ$190,,MATCH(SUBSTITUTE(J$3,"Q","T"),Inputs!$B$2:$AZ$2,0)),Inputs!$B$2:$B$190,$B51)*Inputs!$D$1)</f>
        <v>0</v>
      </c>
      <c r="K51" s="57">
        <f>IF(ISNA(SUMIFS(INDEX(Inputs!$B$2:$AZ$190,,MATCH(SUBSTITUTE(K$3,"Q","T"),Inputs!$B$2:$AZ$2,0)),Inputs!$B$2:$B$190,$B51)*Inputs!$D$1),"",SUMIFS(INDEX(Inputs!$B$2:$AZ$190,,MATCH(SUBSTITUTE(K$3,"Q","T"),Inputs!$B$2:$AZ$2,0)),Inputs!$B$2:$B$190,$B51)*Inputs!$D$1)</f>
        <v>0</v>
      </c>
      <c r="L51" s="57">
        <f>IF(ISNA(SUMIFS(INDEX(Inputs!$B$2:$AZ$190,,MATCH(SUBSTITUTE(L$3,"Q","T"),Inputs!$B$2:$AZ$2,0)),Inputs!$B$2:$B$190,$B51)*Inputs!$D$1),"",SUMIFS(INDEX(Inputs!$B$2:$AZ$190,,MATCH(SUBSTITUTE(L$3,"Q","T"),Inputs!$B$2:$AZ$2,0)),Inputs!$B$2:$B$190,$B51)*Inputs!$D$1)</f>
        <v>0</v>
      </c>
      <c r="M51" s="57">
        <f>IF(ISNA(SUMIFS(INDEX(Inputs!$B$2:$AZ$190,,MATCH(SUBSTITUTE(M$3,"Q","T"),Inputs!$B$2:$AZ$2,0)),Inputs!$B$2:$B$190,$B51)*Inputs!$D$1),"",SUMIFS(INDEX(Inputs!$B$2:$AZ$190,,MATCH(SUBSTITUTE(M$3,"Q","T"),Inputs!$B$2:$AZ$2,0)),Inputs!$B$2:$B$190,$B51)*Inputs!$D$1)</f>
        <v>0</v>
      </c>
      <c r="N51" s="58">
        <f>M51</f>
        <v>0</v>
      </c>
      <c r="O51" s="57">
        <f>IF(ISNA(SUMIFS(INDEX(Inputs!$B$2:$AZ$190,,MATCH(SUBSTITUTE(O$3,"Q","T"),Inputs!$B$2:$AZ$2,0)),Inputs!$B$2:$B$190,$B51)*Inputs!$D$1),"",SUMIFS(INDEX(Inputs!$B$2:$AZ$190,,MATCH(SUBSTITUTE(O$3,"Q","T"),Inputs!$B$2:$AZ$2,0)),Inputs!$B$2:$B$190,$B51)*Inputs!$D$1)</f>
        <v>0</v>
      </c>
      <c r="P51" s="57">
        <f>IF(ISNA(SUMIFS(INDEX(Inputs!$B$2:$AZ$190,,MATCH(SUBSTITUTE(P$3,"Q","T"),Inputs!$B$2:$AZ$2,0)),Inputs!$B$2:$B$190,$B51)*Inputs!$D$1),"",SUMIFS(INDEX(Inputs!$B$2:$AZ$190,,MATCH(SUBSTITUTE(P$3,"Q","T"),Inputs!$B$2:$AZ$2,0)),Inputs!$B$2:$B$190,$B51)*Inputs!$D$1)</f>
        <v>0</v>
      </c>
      <c r="Q51" s="57">
        <f>IF(ISNA(SUMIFS(INDEX(Inputs!$B$2:$AZ$190,,MATCH(SUBSTITUTE(Q$3,"Q","T"),Inputs!$B$2:$AZ$2,0)),Inputs!$B$2:$B$190,$B51)*Inputs!$D$1),"",SUMIFS(INDEX(Inputs!$B$2:$AZ$190,,MATCH(SUBSTITUTE(Q$3,"Q","T"),Inputs!$B$2:$AZ$2,0)),Inputs!$B$2:$B$190,$B51)*Inputs!$D$1)</f>
        <v>0</v>
      </c>
      <c r="R51" s="57">
        <f>IF(ISNA(SUMIFS(INDEX(Inputs!$B$2:$AZ$190,,MATCH(SUBSTITUTE(R$3,"Q","T"),Inputs!$B$2:$AZ$2,0)),Inputs!$B$2:$B$190,$B51)*Inputs!$D$1),"",SUMIFS(INDEX(Inputs!$B$2:$AZ$190,,MATCH(SUBSTITUTE(R$3,"Q","T"),Inputs!$B$2:$AZ$2,0)),Inputs!$B$2:$B$190,$B51)*Inputs!$D$1)</f>
        <v>0</v>
      </c>
      <c r="S51" s="58">
        <f>R51</f>
        <v>0</v>
      </c>
      <c r="T51" s="57">
        <f>IF(ISNA(SUMIFS(INDEX(Inputs!$B$2:$AZ$190,,MATCH(SUBSTITUTE(T$3,"Q","T"),Inputs!$B$2:$AZ$2,0)),Inputs!$B$2:$B$190,$B51)*Inputs!$D$1),"",SUMIFS(INDEX(Inputs!$B$2:$AZ$190,,MATCH(SUBSTITUTE(T$3,"Q","T"),Inputs!$B$2:$AZ$2,0)),Inputs!$B$2:$B$190,$B51)*Inputs!$D$1)</f>
        <v>0</v>
      </c>
      <c r="U51" s="57">
        <f>IF(ISNA(SUMIFS(INDEX(Inputs!$B$2:$AZ$190,,MATCH(SUBSTITUTE(U$3,"Q","T"),Inputs!$B$2:$AZ$2,0)),Inputs!$B$2:$B$190,$B51)*Inputs!$D$1),"",SUMIFS(INDEX(Inputs!$B$2:$AZ$190,,MATCH(SUBSTITUTE(U$3,"Q","T"),Inputs!$B$2:$AZ$2,0)),Inputs!$B$2:$B$190,$B51)*Inputs!$D$1)</f>
        <v>0</v>
      </c>
      <c r="V51" s="57">
        <f>IF(ISNA(SUMIFS(INDEX(Inputs!$B$2:$AZ$190,,MATCH(SUBSTITUTE(V$3,"Q","T"),Inputs!$B$2:$AZ$2,0)),Inputs!$B$2:$B$190,$B51)*Inputs!$D$1),"",SUMIFS(INDEX(Inputs!$B$2:$AZ$190,,MATCH(SUBSTITUTE(V$3,"Q","T"),Inputs!$B$2:$AZ$2,0)),Inputs!$B$2:$B$190,$B51)*Inputs!$D$1)</f>
        <v>0</v>
      </c>
      <c r="W51" s="57">
        <f>IF(ISNA(SUMIFS(INDEX(Inputs!$B$2:$AZ$190,,MATCH(SUBSTITUTE(W$3,"Q","T"),Inputs!$B$2:$AZ$2,0)),Inputs!$B$2:$B$190,$B51)*Inputs!$D$1),"",SUMIFS(INDEX(Inputs!$B$2:$AZ$190,,MATCH(SUBSTITUTE(W$3,"Q","T"),Inputs!$B$2:$AZ$2,0)),Inputs!$B$2:$B$190,$B51)*Inputs!$D$1)</f>
        <v>0</v>
      </c>
      <c r="X51" s="58">
        <f>W51</f>
        <v>0</v>
      </c>
      <c r="Y51" s="57">
        <f>IF(ISNA(SUMIFS(INDEX(Inputs!$B$2:$AZ$190,,MATCH(SUBSTITUTE(Y$3,"Q","T"),Inputs!$B$2:$AZ$2,0)),Inputs!$B$2:$B$190,$B51)*Inputs!$D$1),"",SUMIFS(INDEX(Inputs!$B$2:$AZ$190,,MATCH(SUBSTITUTE(Y$3,"Q","T"),Inputs!$B$2:$AZ$2,0)),Inputs!$B$2:$B$190,$B51)*Inputs!$D$1)</f>
        <v>0</v>
      </c>
      <c r="Z51" s="57">
        <f>IF(ISNA(SUMIFS(INDEX(Inputs!$B$2:$AZ$190,,MATCH(SUBSTITUTE(Z$3,"Q","T"),Inputs!$B$2:$AZ$2,0)),Inputs!$B$2:$B$190,$B51)*Inputs!$D$1),"",SUMIFS(INDEX(Inputs!$B$2:$AZ$190,,MATCH(SUBSTITUTE(Z$3,"Q","T"),Inputs!$B$2:$AZ$2,0)),Inputs!$B$2:$B$190,$B51)*Inputs!$D$1)</f>
        <v>0</v>
      </c>
      <c r="AA51" s="57">
        <f>IF(ISNA(SUMIFS(INDEX(Inputs!$B$2:$AZ$190,,MATCH(SUBSTITUTE(AA$3,"Q","T"),Inputs!$B$2:$AZ$2,0)),Inputs!$B$2:$B$190,$B51)*Inputs!$D$1),"",SUMIFS(INDEX(Inputs!$B$2:$AZ$190,,MATCH(SUBSTITUTE(AA$3,"Q","T"),Inputs!$B$2:$AZ$2,0)),Inputs!$B$2:$B$190,$B51)*Inputs!$D$1)</f>
        <v>0</v>
      </c>
      <c r="AB51" s="57">
        <f>IF(ISNA(SUMIFS(INDEX(Inputs!$B$2:$AZ$190,,MATCH(SUBSTITUTE(AB$3,"Q","T"),Inputs!$B$2:$AZ$2,0)),Inputs!$B$2:$B$190,$B51)*Inputs!$D$1),"",SUMIFS(INDEX(Inputs!$B$2:$AZ$190,,MATCH(SUBSTITUTE(AB$3,"Q","T"),Inputs!$B$2:$AZ$2,0)),Inputs!$B$2:$B$190,$B51)*Inputs!$D$1)</f>
        <v>0</v>
      </c>
      <c r="AC51" s="58">
        <f>AB51</f>
        <v>0</v>
      </c>
      <c r="AD51" s="57">
        <f>IF(ISNA(SUMIFS(INDEX(Inputs!$B$2:$AZ$190,,MATCH(SUBSTITUTE(AD$3,"Q","T"),Inputs!$B$2:$AZ$2,0)),Inputs!$B$2:$B$190,$B51)*Inputs!$D$1),"",SUMIFS(INDEX(Inputs!$B$2:$AZ$190,,MATCH(SUBSTITUTE(AD$3,"Q","T"),Inputs!$B$2:$AZ$2,0)),Inputs!$B$2:$B$190,$B51)*Inputs!$D$1)</f>
        <v>0</v>
      </c>
      <c r="AE51" s="57">
        <f>IF(ISNA(SUMIFS(INDEX(Inputs!$B$2:$AZ$190,,MATCH(SUBSTITUTE(AE$3,"Q","T"),Inputs!$B$2:$AZ$2,0)),Inputs!$B$2:$B$190,$B51)*Inputs!$D$1),"",SUMIFS(INDEX(Inputs!$B$2:$AZ$190,,MATCH(SUBSTITUTE(AE$3,"Q","T"),Inputs!$B$2:$AZ$2,0)),Inputs!$B$2:$B$190,$B51)*Inputs!$D$1)</f>
        <v>0</v>
      </c>
      <c r="AF51" s="57">
        <f>IF(ISNA(SUMIFS(INDEX(Inputs!$B$2:$AZ$190,,MATCH(SUBSTITUTE(AF$3,"Q","T"),Inputs!$B$2:$AZ$2,0)),Inputs!$B$2:$B$190,$B51)*Inputs!$D$1),"",SUMIFS(INDEX(Inputs!$B$2:$AZ$190,,MATCH(SUBSTITUTE(AF$3,"Q","T"),Inputs!$B$2:$AZ$2,0)),Inputs!$B$2:$B$190,$B51)*Inputs!$D$1)</f>
        <v>0</v>
      </c>
      <c r="AG51" s="57">
        <f>IF(ISNA(SUMIFS(INDEX(Inputs!$B$2:$AZ$190,,MATCH(SUBSTITUTE(AG$3,"Q","T"),Inputs!$B$2:$AZ$2,0)),Inputs!$B$2:$B$190,$B51)*Inputs!$D$1),"",SUMIFS(INDEX(Inputs!$B$2:$AZ$190,,MATCH(SUBSTITUTE(AG$3,"Q","T"),Inputs!$B$2:$AZ$2,0)),Inputs!$B$2:$B$190,$B51)*Inputs!$D$1)</f>
        <v>0</v>
      </c>
      <c r="AH51" s="58">
        <f>AG51</f>
        <v>0</v>
      </c>
      <c r="AI51" s="57">
        <f>IF(ISNA(SUMIFS(INDEX(Inputs!$B$2:$AZ$190,,MATCH(SUBSTITUTE(AI$3,"Q","T"),Inputs!$B$2:$AZ$2,0)),Inputs!$B$2:$B$190,$B51)*Inputs!$D$1),"",SUMIFS(INDEX(Inputs!$B$2:$AZ$190,,MATCH(SUBSTITUTE(AI$3,"Q","T"),Inputs!$B$2:$AZ$2,0)),Inputs!$B$2:$B$190,$B51)*Inputs!$D$1)</f>
        <v>0</v>
      </c>
      <c r="AJ51" s="57">
        <f>IF(ISNA(SUMIFS(INDEX(Inputs!$B$2:$AZ$190,,MATCH(SUBSTITUTE(AJ$3,"Q","T"),Inputs!$B$2:$AZ$2,0)),Inputs!$B$2:$B$190,$B51)*Inputs!$D$1),"",SUMIFS(INDEX(Inputs!$B$2:$AZ$190,,MATCH(SUBSTITUTE(AJ$3,"Q","T"),Inputs!$B$2:$AZ$2,0)),Inputs!$B$2:$B$190,$B51)*Inputs!$D$1)</f>
        <v>0</v>
      </c>
      <c r="AK51" s="57">
        <f>IF(ISNA(SUMIFS(INDEX(Inputs!$B$2:$AZ$190,,MATCH(SUBSTITUTE(AK$3,"Q","T"),Inputs!$B$2:$AZ$2,0)),Inputs!$B$2:$B$190,$B51)*Inputs!$D$1),"",SUMIFS(INDEX(Inputs!$B$2:$AZ$190,,MATCH(SUBSTITUTE(AK$3,"Q","T"),Inputs!$B$2:$AZ$2,0)),Inputs!$B$2:$B$190,$B51)*Inputs!$D$1)</f>
        <v>0</v>
      </c>
      <c r="AL51" s="57">
        <f>IF(ISNA(SUMIFS(INDEX(Inputs!$B$2:$AZ$190,,MATCH(SUBSTITUTE(AL$3,"Q","T"),Inputs!$B$2:$AZ$2,0)),Inputs!$B$2:$B$190,$B51)*Inputs!$D$1),"",SUMIFS(INDEX(Inputs!$B$2:$AZ$190,,MATCH(SUBSTITUTE(AL$3,"Q","T"),Inputs!$B$2:$AZ$2,0)),Inputs!$B$2:$B$190,$B51)*Inputs!$D$1)</f>
        <v>0</v>
      </c>
      <c r="AM51" s="58">
        <f>AL51</f>
        <v>0</v>
      </c>
      <c r="AN51" s="57">
        <f>IF(ISNA(SUMIFS(INDEX(Inputs!$B$2:$AZ$190,,MATCH(SUBSTITUTE(AN$3,"Q","T"),Inputs!$B$2:$AZ$2,0)),Inputs!$B$2:$B$190,$B51)*Inputs!$D$1),"",SUMIFS(INDEX(Inputs!$B$2:$AZ$190,,MATCH(SUBSTITUTE(AN$3,"Q","T"),Inputs!$B$2:$AZ$2,0)),Inputs!$B$2:$B$190,$B51)*Inputs!$D$1)</f>
        <v>0</v>
      </c>
      <c r="AO51" s="57">
        <f>IF(ISNA(SUMIFS(INDEX(Inputs!$B$2:$AZ$190,,MATCH(SUBSTITUTE(AO$3,"Q","T"),Inputs!$B$2:$AZ$2,0)),Inputs!$B$2:$B$190,$B51)*Inputs!$D$1),"",SUMIFS(INDEX(Inputs!$B$2:$AZ$190,,MATCH(SUBSTITUTE(AO$3,"Q","T"),Inputs!$B$2:$AZ$2,0)),Inputs!$B$2:$B$190,$B51)*Inputs!$D$1)</f>
        <v>0</v>
      </c>
      <c r="AP51" s="57">
        <f>IF(ISNA(SUMIFS(INDEX(Inputs!$B$2:$AZ$190,,MATCH(SUBSTITUTE(AP$3,"Q","T"),Inputs!$B$2:$AZ$2,0)),Inputs!$B$2:$B$190,$B51)*Inputs!$D$1),"",SUMIFS(INDEX(Inputs!$B$2:$AZ$190,,MATCH(SUBSTITUTE(AP$3,"Q","T"),Inputs!$B$2:$AZ$2,0)),Inputs!$B$2:$B$190,$B51)*Inputs!$D$1)</f>
        <v>0</v>
      </c>
      <c r="AQ51" s="57">
        <f>IF(ISNA(SUMIFS(INDEX(Inputs!$B$2:$AZ$190,,MATCH(SUBSTITUTE(AQ$3,"Q","T"),Inputs!$B$2:$AZ$2,0)),Inputs!$B$2:$B$190,$B51)*Inputs!$D$1),"",SUMIFS(INDEX(Inputs!$B$2:$AZ$190,,MATCH(SUBSTITUTE(AQ$3,"Q","T"),Inputs!$B$2:$AZ$2,0)),Inputs!$B$2:$B$190,$B51)*Inputs!$D$1)</f>
        <v>0</v>
      </c>
      <c r="AR51" s="58">
        <f>AQ51</f>
        <v>0</v>
      </c>
      <c r="AS51" s="57">
        <f>IF(ISNA(SUMIFS(INDEX(Inputs!$B$2:$AZ$190,,MATCH(SUBSTITUTE(AS$3,"Q","T"),Inputs!$B$2:$AZ$2,0)),Inputs!$B$2:$B$190,$B51)*Inputs!$D$1),"",SUMIFS(INDEX(Inputs!$B$2:$AZ$190,,MATCH(SUBSTITUTE(AS$3,"Q","T"),Inputs!$B$2:$AZ$2,0)),Inputs!$B$2:$B$190,$B51)*Inputs!$D$1)</f>
        <v>0</v>
      </c>
      <c r="AT51" s="57">
        <f>IF(ISNA(SUMIFS(INDEX(Inputs!$B$2:$AZ$190,,MATCH(SUBSTITUTE(AT$3,"Q","T"),Inputs!$B$2:$AZ$2,0)),Inputs!$B$2:$B$190,$B51)*Inputs!$D$1),"",SUMIFS(INDEX(Inputs!$B$2:$AZ$190,,MATCH(SUBSTITUTE(AT$3,"Q","T"),Inputs!$B$2:$AZ$2,0)),Inputs!$B$2:$B$190,$B51)*Inputs!$D$1)</f>
        <v>0</v>
      </c>
      <c r="AU51" s="57">
        <f>IF(ISNA(SUMIFS(INDEX(Inputs!$B$2:$AZ$190,,MATCH(SUBSTITUTE(AU$3,"Q","T"),Inputs!$B$2:$AZ$2,0)),Inputs!$B$2:$B$190,$B51)*Inputs!$D$1),"",SUMIFS(INDEX(Inputs!$B$2:$AZ$190,,MATCH(SUBSTITUTE(AU$3,"Q","T"),Inputs!$B$2:$AZ$2,0)),Inputs!$B$2:$B$190,$B51)*Inputs!$D$1)</f>
        <v>0</v>
      </c>
      <c r="AV51" s="57">
        <f>IF(ISNA(SUMIFS(INDEX(Inputs!$B$2:$AZ$190,,MATCH(SUBSTITUTE(AV$3,"Q","T"),Inputs!$B$2:$AZ$2,0)),Inputs!$B$2:$B$190,$B51)*Inputs!$D$1),"",SUMIFS(INDEX(Inputs!$B$2:$AZ$190,,MATCH(SUBSTITUTE(AV$3,"Q","T"),Inputs!$B$2:$AZ$2,0)),Inputs!$B$2:$B$190,$B51)*Inputs!$D$1)</f>
        <v>0</v>
      </c>
      <c r="AW51" s="58">
        <f>AV51</f>
        <v>0</v>
      </c>
      <c r="AX51" s="57">
        <f>IF(ISNA(SUMIFS(INDEX(Inputs!$B$2:$AZ$190,,MATCH(SUBSTITUTE(AX$3,"Q","T"),Inputs!$B$2:$AZ$2,0)),Inputs!$B$2:$B$190,$B51)*Inputs!$D$1),"",SUMIFS(INDEX(Inputs!$B$2:$AZ$190,,MATCH(SUBSTITUTE(AX$3,"Q","T"),Inputs!$B$2:$AZ$2,0)),Inputs!$B$2:$B$190,$B51)*Inputs!$D$1)</f>
        <v>0</v>
      </c>
      <c r="AY51" s="57">
        <f>IF(ISNA(SUMIFS(INDEX(Inputs!$B$2:$AZ$190,,MATCH(SUBSTITUTE(AY$3,"Q","T"),Inputs!$B$2:$AZ$2,0)),Inputs!$B$2:$B$190,$B51)*Inputs!$D$1),"",SUMIFS(INDEX(Inputs!$B$2:$AZ$190,,MATCH(SUBSTITUTE(AY$3,"Q","T"),Inputs!$B$2:$AZ$2,0)),Inputs!$B$2:$B$190,$B51)*Inputs!$D$1)</f>
        <v>0</v>
      </c>
      <c r="AZ51" s="57">
        <f>IF(ISNA(SUMIFS(INDEX(Inputs!$B$2:$AZ$190,,MATCH(SUBSTITUTE(AZ$3,"Q","T"),Inputs!$B$2:$AZ$2,0)),Inputs!$B$2:$B$190,$B51)*Inputs!$D$1),"",SUMIFS(INDEX(Inputs!$B$2:$AZ$190,,MATCH(SUBSTITUTE(AZ$3,"Q","T"),Inputs!$B$2:$AZ$2,0)),Inputs!$B$2:$B$190,$B51)*Inputs!$D$1)</f>
        <v>0</v>
      </c>
      <c r="BA51" s="57">
        <f>IF(ISNA(SUMIFS(INDEX(Inputs!$B$2:$AZ$190,,MATCH(SUBSTITUTE(BA$3,"Q","T"),Inputs!$B$2:$AZ$2,0)),Inputs!$B$2:$B$190,$B51)*Inputs!$D$1),"",SUMIFS(INDEX(Inputs!$B$2:$AZ$190,,MATCH(SUBSTITUTE(BA$3,"Q","T"),Inputs!$B$2:$AZ$2,0)),Inputs!$B$2:$B$190,$B51)*Inputs!$D$1)</f>
        <v>0</v>
      </c>
      <c r="BB51" s="58">
        <f>BA51</f>
        <v>0</v>
      </c>
      <c r="BC51" s="57">
        <f>IF(ISNA(SUMIFS(INDEX(Inputs!$B$2:$AZ$190,,MATCH(SUBSTITUTE(BC$3,"Q","T"),Inputs!$B$2:$AZ$2,0)),Inputs!$B$2:$B$190,$B51)*Inputs!$D$1),"",SUMIFS(INDEX(Inputs!$B$2:$AZ$190,,MATCH(SUBSTITUTE(BC$3,"Q","T"),Inputs!$B$2:$AZ$2,0)),Inputs!$B$2:$B$190,$B51)*Inputs!$D$1)</f>
        <v>0</v>
      </c>
      <c r="BD51" s="57">
        <f>IF(ISNA(SUMIFS(INDEX(Inputs!$B$2:$AZ$190,,MATCH(SUBSTITUTE(BD$3,"Q","T"),Inputs!$B$2:$AZ$2,0)),Inputs!$B$2:$B$190,$B51)*Inputs!$D$1),"",SUMIFS(INDEX(Inputs!$B$2:$AZ$190,,MATCH(SUBSTITUTE(BD$3,"Q","T"),Inputs!$B$2:$AZ$2,0)),Inputs!$B$2:$B$190,$B51)*Inputs!$D$1)</f>
        <v>0</v>
      </c>
      <c r="BE51" s="57">
        <f>IF(ISNA(SUMIFS(INDEX(Inputs!$B$2:$AZ$190,,MATCH(SUBSTITUTE(BE$3,"Q","T"),Inputs!$B$2:$AZ$2,0)),Inputs!$B$2:$B$190,$B51)*Inputs!$D$1),"",SUMIFS(INDEX(Inputs!$B$2:$AZ$190,,MATCH(SUBSTITUTE(BE$3,"Q","T"),Inputs!$B$2:$AZ$2,0)),Inputs!$B$2:$B$190,$B51)*Inputs!$D$1)</f>
        <v>0</v>
      </c>
      <c r="BF51" s="57">
        <f>IF(ISNA(SUMIFS(INDEX(Inputs!$B$2:$AZ$190,,MATCH(SUBSTITUTE(BF$3,"Q","T"),Inputs!$B$2:$AZ$2,0)),Inputs!$B$2:$B$190,$B51)*Inputs!$D$1),"",SUMIFS(INDEX(Inputs!$B$2:$AZ$190,,MATCH(SUBSTITUTE(BF$3,"Q","T"),Inputs!$B$2:$AZ$2,0)),Inputs!$B$2:$B$190,$B51)*Inputs!$D$1)</f>
        <v>0</v>
      </c>
      <c r="BG51" s="58">
        <f>BF51</f>
        <v>0</v>
      </c>
    </row>
    <row r="52">
      <c r="B52" s="56" t="inlineStr">
        <is>
          <t>lrc_liab</t>
        </is>
      </c>
      <c r="C52" s="11" t="inlineStr">
        <is>
          <t>Provisão para compromissos de crédito (quando à parte)</t>
        </is>
      </c>
      <c r="D52" s="12" t="inlineStr">
        <is>
          <t>Allowance for lending-related commitments, if separate</t>
        </is>
      </c>
      <c r="E52" s="57">
        <f>IF(ISNA(SUMIFS(INDEX(Inputs!$B$2:$AZ$190,,MATCH(SUBSTITUTE(E$3,"Q","T"),Inputs!$B$2:$AZ$2,0)),Inputs!$B$2:$B$190,$B52)*Inputs!$D$1),"",SUMIFS(INDEX(Inputs!$B$2:$AZ$190,,MATCH(SUBSTITUTE(E$3,"Q","T"),Inputs!$B$2:$AZ$2,0)),Inputs!$B$2:$B$190,$B52)*Inputs!$D$1)</f>
        <v>0</v>
      </c>
      <c r="F52" s="57">
        <f>IF(ISNA(SUMIFS(INDEX(Inputs!$B$2:$AZ$190,,MATCH(SUBSTITUTE(F$3,"Q","T"),Inputs!$B$2:$AZ$2,0)),Inputs!$B$2:$B$190,$B52)*Inputs!$D$1),"",SUMIFS(INDEX(Inputs!$B$2:$AZ$190,,MATCH(SUBSTITUTE(F$3,"Q","T"),Inputs!$B$2:$AZ$2,0)),Inputs!$B$2:$B$190,$B52)*Inputs!$D$1)</f>
        <v>0</v>
      </c>
      <c r="G52" s="57">
        <f>IF(ISNA(SUMIFS(INDEX(Inputs!$B$2:$AZ$190,,MATCH(SUBSTITUTE(G$3,"Q","T"),Inputs!$B$2:$AZ$2,0)),Inputs!$B$2:$B$190,$B52)*Inputs!$D$1),"",SUMIFS(INDEX(Inputs!$B$2:$AZ$190,,MATCH(SUBSTITUTE(G$3,"Q","T"),Inputs!$B$2:$AZ$2,0)),Inputs!$B$2:$B$190,$B52)*Inputs!$D$1)</f>
        <v>0</v>
      </c>
      <c r="H52" s="57">
        <f>IF(ISNA(SUMIFS(INDEX(Inputs!$B$2:$AZ$190,,MATCH(SUBSTITUTE(H$3,"Q","T"),Inputs!$B$2:$AZ$2,0)),Inputs!$B$2:$B$190,$B52)*Inputs!$D$1),"",SUMIFS(INDEX(Inputs!$B$2:$AZ$190,,MATCH(SUBSTITUTE(H$3,"Q","T"),Inputs!$B$2:$AZ$2,0)),Inputs!$B$2:$B$190,$B52)*Inputs!$D$1)</f>
        <v>0</v>
      </c>
      <c r="I52" s="58">
        <f>H52</f>
        <v>0</v>
      </c>
      <c r="J52" s="57">
        <f>IF(ISNA(SUMIFS(INDEX(Inputs!$B$2:$AZ$190,,MATCH(SUBSTITUTE(J$3,"Q","T"),Inputs!$B$2:$AZ$2,0)),Inputs!$B$2:$B$190,$B52)*Inputs!$D$1),"",SUMIFS(INDEX(Inputs!$B$2:$AZ$190,,MATCH(SUBSTITUTE(J$3,"Q","T"),Inputs!$B$2:$AZ$2,0)),Inputs!$B$2:$B$190,$B52)*Inputs!$D$1)</f>
        <v>0</v>
      </c>
      <c r="K52" s="57">
        <f>IF(ISNA(SUMIFS(INDEX(Inputs!$B$2:$AZ$190,,MATCH(SUBSTITUTE(K$3,"Q","T"),Inputs!$B$2:$AZ$2,0)),Inputs!$B$2:$B$190,$B52)*Inputs!$D$1),"",SUMIFS(INDEX(Inputs!$B$2:$AZ$190,,MATCH(SUBSTITUTE(K$3,"Q","T"),Inputs!$B$2:$AZ$2,0)),Inputs!$B$2:$B$190,$B52)*Inputs!$D$1)</f>
        <v>0</v>
      </c>
      <c r="L52" s="57">
        <f>IF(ISNA(SUMIFS(INDEX(Inputs!$B$2:$AZ$190,,MATCH(SUBSTITUTE(L$3,"Q","T"),Inputs!$B$2:$AZ$2,0)),Inputs!$B$2:$B$190,$B52)*Inputs!$D$1),"",SUMIFS(INDEX(Inputs!$B$2:$AZ$190,,MATCH(SUBSTITUTE(L$3,"Q","T"),Inputs!$B$2:$AZ$2,0)),Inputs!$B$2:$B$190,$B52)*Inputs!$D$1)</f>
        <v>0</v>
      </c>
      <c r="M52" s="57">
        <f>IF(ISNA(SUMIFS(INDEX(Inputs!$B$2:$AZ$190,,MATCH(SUBSTITUTE(M$3,"Q","T"),Inputs!$B$2:$AZ$2,0)),Inputs!$B$2:$B$190,$B52)*Inputs!$D$1),"",SUMIFS(INDEX(Inputs!$B$2:$AZ$190,,MATCH(SUBSTITUTE(M$3,"Q","T"),Inputs!$B$2:$AZ$2,0)),Inputs!$B$2:$B$190,$B52)*Inputs!$D$1)</f>
        <v>0</v>
      </c>
      <c r="N52" s="58">
        <f>M52</f>
        <v>0</v>
      </c>
      <c r="O52" s="57">
        <f>IF(ISNA(SUMIFS(INDEX(Inputs!$B$2:$AZ$190,,MATCH(SUBSTITUTE(O$3,"Q","T"),Inputs!$B$2:$AZ$2,0)),Inputs!$B$2:$B$190,$B52)*Inputs!$D$1),"",SUMIFS(INDEX(Inputs!$B$2:$AZ$190,,MATCH(SUBSTITUTE(O$3,"Q","T"),Inputs!$B$2:$AZ$2,0)),Inputs!$B$2:$B$190,$B52)*Inputs!$D$1)</f>
        <v>0</v>
      </c>
      <c r="P52" s="57">
        <f>IF(ISNA(SUMIFS(INDEX(Inputs!$B$2:$AZ$190,,MATCH(SUBSTITUTE(P$3,"Q","T"),Inputs!$B$2:$AZ$2,0)),Inputs!$B$2:$B$190,$B52)*Inputs!$D$1),"",SUMIFS(INDEX(Inputs!$B$2:$AZ$190,,MATCH(SUBSTITUTE(P$3,"Q","T"),Inputs!$B$2:$AZ$2,0)),Inputs!$B$2:$B$190,$B52)*Inputs!$D$1)</f>
        <v>0</v>
      </c>
      <c r="Q52" s="57">
        <f>IF(ISNA(SUMIFS(INDEX(Inputs!$B$2:$AZ$190,,MATCH(SUBSTITUTE(Q$3,"Q","T"),Inputs!$B$2:$AZ$2,0)),Inputs!$B$2:$B$190,$B52)*Inputs!$D$1),"",SUMIFS(INDEX(Inputs!$B$2:$AZ$190,,MATCH(SUBSTITUTE(Q$3,"Q","T"),Inputs!$B$2:$AZ$2,0)),Inputs!$B$2:$B$190,$B52)*Inputs!$D$1)</f>
        <v>0</v>
      </c>
      <c r="R52" s="57">
        <f>IF(ISNA(SUMIFS(INDEX(Inputs!$B$2:$AZ$190,,MATCH(SUBSTITUTE(R$3,"Q","T"),Inputs!$B$2:$AZ$2,0)),Inputs!$B$2:$B$190,$B52)*Inputs!$D$1),"",SUMIFS(INDEX(Inputs!$B$2:$AZ$190,,MATCH(SUBSTITUTE(R$3,"Q","T"),Inputs!$B$2:$AZ$2,0)),Inputs!$B$2:$B$190,$B52)*Inputs!$D$1)</f>
        <v>0</v>
      </c>
      <c r="S52" s="58">
        <f>R52</f>
        <v>0</v>
      </c>
      <c r="T52" s="57">
        <f>IF(ISNA(SUMIFS(INDEX(Inputs!$B$2:$AZ$190,,MATCH(SUBSTITUTE(T$3,"Q","T"),Inputs!$B$2:$AZ$2,0)),Inputs!$B$2:$B$190,$B52)*Inputs!$D$1),"",SUMIFS(INDEX(Inputs!$B$2:$AZ$190,,MATCH(SUBSTITUTE(T$3,"Q","T"),Inputs!$B$2:$AZ$2,0)),Inputs!$B$2:$B$190,$B52)*Inputs!$D$1)</f>
        <v>0</v>
      </c>
      <c r="U52" s="57">
        <f>IF(ISNA(SUMIFS(INDEX(Inputs!$B$2:$AZ$190,,MATCH(SUBSTITUTE(U$3,"Q","T"),Inputs!$B$2:$AZ$2,0)),Inputs!$B$2:$B$190,$B52)*Inputs!$D$1),"",SUMIFS(INDEX(Inputs!$B$2:$AZ$190,,MATCH(SUBSTITUTE(U$3,"Q","T"),Inputs!$B$2:$AZ$2,0)),Inputs!$B$2:$B$190,$B52)*Inputs!$D$1)</f>
        <v>0</v>
      </c>
      <c r="V52" s="57">
        <f>IF(ISNA(SUMIFS(INDEX(Inputs!$B$2:$AZ$190,,MATCH(SUBSTITUTE(V$3,"Q","T"),Inputs!$B$2:$AZ$2,0)),Inputs!$B$2:$B$190,$B52)*Inputs!$D$1),"",SUMIFS(INDEX(Inputs!$B$2:$AZ$190,,MATCH(SUBSTITUTE(V$3,"Q","T"),Inputs!$B$2:$AZ$2,0)),Inputs!$B$2:$B$190,$B52)*Inputs!$D$1)</f>
        <v>0</v>
      </c>
      <c r="W52" s="57">
        <f>IF(ISNA(SUMIFS(INDEX(Inputs!$B$2:$AZ$190,,MATCH(SUBSTITUTE(W$3,"Q","T"),Inputs!$B$2:$AZ$2,0)),Inputs!$B$2:$B$190,$B52)*Inputs!$D$1),"",SUMIFS(INDEX(Inputs!$B$2:$AZ$190,,MATCH(SUBSTITUTE(W$3,"Q","T"),Inputs!$B$2:$AZ$2,0)),Inputs!$B$2:$B$190,$B52)*Inputs!$D$1)</f>
        <v>0</v>
      </c>
      <c r="X52" s="58">
        <f>W52</f>
        <v>0</v>
      </c>
      <c r="Y52" s="57">
        <f>IF(ISNA(SUMIFS(INDEX(Inputs!$B$2:$AZ$190,,MATCH(SUBSTITUTE(Y$3,"Q","T"),Inputs!$B$2:$AZ$2,0)),Inputs!$B$2:$B$190,$B52)*Inputs!$D$1),"",SUMIFS(INDEX(Inputs!$B$2:$AZ$190,,MATCH(SUBSTITUTE(Y$3,"Q","T"),Inputs!$B$2:$AZ$2,0)),Inputs!$B$2:$B$190,$B52)*Inputs!$D$1)</f>
        <v>0</v>
      </c>
      <c r="Z52" s="57">
        <f>IF(ISNA(SUMIFS(INDEX(Inputs!$B$2:$AZ$190,,MATCH(SUBSTITUTE(Z$3,"Q","T"),Inputs!$B$2:$AZ$2,0)),Inputs!$B$2:$B$190,$B52)*Inputs!$D$1),"",SUMIFS(INDEX(Inputs!$B$2:$AZ$190,,MATCH(SUBSTITUTE(Z$3,"Q","T"),Inputs!$B$2:$AZ$2,0)),Inputs!$B$2:$B$190,$B52)*Inputs!$D$1)</f>
        <v>0</v>
      </c>
      <c r="AA52" s="57">
        <f>IF(ISNA(SUMIFS(INDEX(Inputs!$B$2:$AZ$190,,MATCH(SUBSTITUTE(AA$3,"Q","T"),Inputs!$B$2:$AZ$2,0)),Inputs!$B$2:$B$190,$B52)*Inputs!$D$1),"",SUMIFS(INDEX(Inputs!$B$2:$AZ$190,,MATCH(SUBSTITUTE(AA$3,"Q","T"),Inputs!$B$2:$AZ$2,0)),Inputs!$B$2:$B$190,$B52)*Inputs!$D$1)</f>
        <v>0</v>
      </c>
      <c r="AB52" s="57">
        <f>IF(ISNA(SUMIFS(INDEX(Inputs!$B$2:$AZ$190,,MATCH(SUBSTITUTE(AB$3,"Q","T"),Inputs!$B$2:$AZ$2,0)),Inputs!$B$2:$B$190,$B52)*Inputs!$D$1),"",SUMIFS(INDEX(Inputs!$B$2:$AZ$190,,MATCH(SUBSTITUTE(AB$3,"Q","T"),Inputs!$B$2:$AZ$2,0)),Inputs!$B$2:$B$190,$B52)*Inputs!$D$1)</f>
        <v>0</v>
      </c>
      <c r="AC52" s="58">
        <f>AB52</f>
        <v>0</v>
      </c>
      <c r="AD52" s="57">
        <f>IF(ISNA(SUMIFS(INDEX(Inputs!$B$2:$AZ$190,,MATCH(SUBSTITUTE(AD$3,"Q","T"),Inputs!$B$2:$AZ$2,0)),Inputs!$B$2:$B$190,$B52)*Inputs!$D$1),"",SUMIFS(INDEX(Inputs!$B$2:$AZ$190,,MATCH(SUBSTITUTE(AD$3,"Q","T"),Inputs!$B$2:$AZ$2,0)),Inputs!$B$2:$B$190,$B52)*Inputs!$D$1)</f>
        <v>0</v>
      </c>
      <c r="AE52" s="57">
        <f>IF(ISNA(SUMIFS(INDEX(Inputs!$B$2:$AZ$190,,MATCH(SUBSTITUTE(AE$3,"Q","T"),Inputs!$B$2:$AZ$2,0)),Inputs!$B$2:$B$190,$B52)*Inputs!$D$1),"",SUMIFS(INDEX(Inputs!$B$2:$AZ$190,,MATCH(SUBSTITUTE(AE$3,"Q","T"),Inputs!$B$2:$AZ$2,0)),Inputs!$B$2:$B$190,$B52)*Inputs!$D$1)</f>
        <v>0</v>
      </c>
      <c r="AF52" s="57">
        <f>IF(ISNA(SUMIFS(INDEX(Inputs!$B$2:$AZ$190,,MATCH(SUBSTITUTE(AF$3,"Q","T"),Inputs!$B$2:$AZ$2,0)),Inputs!$B$2:$B$190,$B52)*Inputs!$D$1),"",SUMIFS(INDEX(Inputs!$B$2:$AZ$190,,MATCH(SUBSTITUTE(AF$3,"Q","T"),Inputs!$B$2:$AZ$2,0)),Inputs!$B$2:$B$190,$B52)*Inputs!$D$1)</f>
        <v>0</v>
      </c>
      <c r="AG52" s="57">
        <f>IF(ISNA(SUMIFS(INDEX(Inputs!$B$2:$AZ$190,,MATCH(SUBSTITUTE(AG$3,"Q","T"),Inputs!$B$2:$AZ$2,0)),Inputs!$B$2:$B$190,$B52)*Inputs!$D$1),"",SUMIFS(INDEX(Inputs!$B$2:$AZ$190,,MATCH(SUBSTITUTE(AG$3,"Q","T"),Inputs!$B$2:$AZ$2,0)),Inputs!$B$2:$B$190,$B52)*Inputs!$D$1)</f>
        <v>0</v>
      </c>
      <c r="AH52" s="58">
        <f>AG52</f>
        <v>0</v>
      </c>
      <c r="AI52" s="57">
        <f>IF(ISNA(SUMIFS(INDEX(Inputs!$B$2:$AZ$190,,MATCH(SUBSTITUTE(AI$3,"Q","T"),Inputs!$B$2:$AZ$2,0)),Inputs!$B$2:$B$190,$B52)*Inputs!$D$1),"",SUMIFS(INDEX(Inputs!$B$2:$AZ$190,,MATCH(SUBSTITUTE(AI$3,"Q","T"),Inputs!$B$2:$AZ$2,0)),Inputs!$B$2:$B$190,$B52)*Inputs!$D$1)</f>
        <v>0</v>
      </c>
      <c r="AJ52" s="57">
        <f>IF(ISNA(SUMIFS(INDEX(Inputs!$B$2:$AZ$190,,MATCH(SUBSTITUTE(AJ$3,"Q","T"),Inputs!$B$2:$AZ$2,0)),Inputs!$B$2:$B$190,$B52)*Inputs!$D$1),"",SUMIFS(INDEX(Inputs!$B$2:$AZ$190,,MATCH(SUBSTITUTE(AJ$3,"Q","T"),Inputs!$B$2:$AZ$2,0)),Inputs!$B$2:$B$190,$B52)*Inputs!$D$1)</f>
        <v>0</v>
      </c>
      <c r="AK52" s="57">
        <f>IF(ISNA(SUMIFS(INDEX(Inputs!$B$2:$AZ$190,,MATCH(SUBSTITUTE(AK$3,"Q","T"),Inputs!$B$2:$AZ$2,0)),Inputs!$B$2:$B$190,$B52)*Inputs!$D$1),"",SUMIFS(INDEX(Inputs!$B$2:$AZ$190,,MATCH(SUBSTITUTE(AK$3,"Q","T"),Inputs!$B$2:$AZ$2,0)),Inputs!$B$2:$B$190,$B52)*Inputs!$D$1)</f>
        <v>0</v>
      </c>
      <c r="AL52" s="57">
        <f>IF(ISNA(SUMIFS(INDEX(Inputs!$B$2:$AZ$190,,MATCH(SUBSTITUTE(AL$3,"Q","T"),Inputs!$B$2:$AZ$2,0)),Inputs!$B$2:$B$190,$B52)*Inputs!$D$1),"",SUMIFS(INDEX(Inputs!$B$2:$AZ$190,,MATCH(SUBSTITUTE(AL$3,"Q","T"),Inputs!$B$2:$AZ$2,0)),Inputs!$B$2:$B$190,$B52)*Inputs!$D$1)</f>
        <v>0</v>
      </c>
      <c r="AM52" s="58">
        <f>AL52</f>
        <v>0</v>
      </c>
      <c r="AN52" s="57">
        <f>IF(ISNA(SUMIFS(INDEX(Inputs!$B$2:$AZ$190,,MATCH(SUBSTITUTE(AN$3,"Q","T"),Inputs!$B$2:$AZ$2,0)),Inputs!$B$2:$B$190,$B52)*Inputs!$D$1),"",SUMIFS(INDEX(Inputs!$B$2:$AZ$190,,MATCH(SUBSTITUTE(AN$3,"Q","T"),Inputs!$B$2:$AZ$2,0)),Inputs!$B$2:$B$190,$B52)*Inputs!$D$1)</f>
        <v>0</v>
      </c>
      <c r="AO52" s="57">
        <f>IF(ISNA(SUMIFS(INDEX(Inputs!$B$2:$AZ$190,,MATCH(SUBSTITUTE(AO$3,"Q","T"),Inputs!$B$2:$AZ$2,0)),Inputs!$B$2:$B$190,$B52)*Inputs!$D$1),"",SUMIFS(INDEX(Inputs!$B$2:$AZ$190,,MATCH(SUBSTITUTE(AO$3,"Q","T"),Inputs!$B$2:$AZ$2,0)),Inputs!$B$2:$B$190,$B52)*Inputs!$D$1)</f>
        <v>0</v>
      </c>
      <c r="AP52" s="57">
        <f>IF(ISNA(SUMIFS(INDEX(Inputs!$B$2:$AZ$190,,MATCH(SUBSTITUTE(AP$3,"Q","T"),Inputs!$B$2:$AZ$2,0)),Inputs!$B$2:$B$190,$B52)*Inputs!$D$1),"",SUMIFS(INDEX(Inputs!$B$2:$AZ$190,,MATCH(SUBSTITUTE(AP$3,"Q","T"),Inputs!$B$2:$AZ$2,0)),Inputs!$B$2:$B$190,$B52)*Inputs!$D$1)</f>
        <v>0</v>
      </c>
      <c r="AQ52" s="57">
        <f>IF(ISNA(SUMIFS(INDEX(Inputs!$B$2:$AZ$190,,MATCH(SUBSTITUTE(AQ$3,"Q","T"),Inputs!$B$2:$AZ$2,0)),Inputs!$B$2:$B$190,$B52)*Inputs!$D$1),"",SUMIFS(INDEX(Inputs!$B$2:$AZ$190,,MATCH(SUBSTITUTE(AQ$3,"Q","T"),Inputs!$B$2:$AZ$2,0)),Inputs!$B$2:$B$190,$B52)*Inputs!$D$1)</f>
        <v>0</v>
      </c>
      <c r="AR52" s="58">
        <f>AQ52</f>
        <v>0</v>
      </c>
      <c r="AS52" s="57">
        <f>IF(ISNA(SUMIFS(INDEX(Inputs!$B$2:$AZ$190,,MATCH(SUBSTITUTE(AS$3,"Q","T"),Inputs!$B$2:$AZ$2,0)),Inputs!$B$2:$B$190,$B52)*Inputs!$D$1),"",SUMIFS(INDEX(Inputs!$B$2:$AZ$190,,MATCH(SUBSTITUTE(AS$3,"Q","T"),Inputs!$B$2:$AZ$2,0)),Inputs!$B$2:$B$190,$B52)*Inputs!$D$1)</f>
        <v>0</v>
      </c>
      <c r="AT52" s="57">
        <f>IF(ISNA(SUMIFS(INDEX(Inputs!$B$2:$AZ$190,,MATCH(SUBSTITUTE(AT$3,"Q","T"),Inputs!$B$2:$AZ$2,0)),Inputs!$B$2:$B$190,$B52)*Inputs!$D$1),"",SUMIFS(INDEX(Inputs!$B$2:$AZ$190,,MATCH(SUBSTITUTE(AT$3,"Q","T"),Inputs!$B$2:$AZ$2,0)),Inputs!$B$2:$B$190,$B52)*Inputs!$D$1)</f>
        <v>0</v>
      </c>
      <c r="AU52" s="57">
        <f>IF(ISNA(SUMIFS(INDEX(Inputs!$B$2:$AZ$190,,MATCH(SUBSTITUTE(AU$3,"Q","T"),Inputs!$B$2:$AZ$2,0)),Inputs!$B$2:$B$190,$B52)*Inputs!$D$1),"",SUMIFS(INDEX(Inputs!$B$2:$AZ$190,,MATCH(SUBSTITUTE(AU$3,"Q","T"),Inputs!$B$2:$AZ$2,0)),Inputs!$B$2:$B$190,$B52)*Inputs!$D$1)</f>
        <v>0</v>
      </c>
      <c r="AV52" s="57">
        <f>IF(ISNA(SUMIFS(INDEX(Inputs!$B$2:$AZ$190,,MATCH(SUBSTITUTE(AV$3,"Q","T"),Inputs!$B$2:$AZ$2,0)),Inputs!$B$2:$B$190,$B52)*Inputs!$D$1),"",SUMIFS(INDEX(Inputs!$B$2:$AZ$190,,MATCH(SUBSTITUTE(AV$3,"Q","T"),Inputs!$B$2:$AZ$2,0)),Inputs!$B$2:$B$190,$B52)*Inputs!$D$1)</f>
        <v>0</v>
      </c>
      <c r="AW52" s="58">
        <f>AV52</f>
        <v>0</v>
      </c>
      <c r="AX52" s="57">
        <f>IF(ISNA(SUMIFS(INDEX(Inputs!$B$2:$AZ$190,,MATCH(SUBSTITUTE(AX$3,"Q","T"),Inputs!$B$2:$AZ$2,0)),Inputs!$B$2:$B$190,$B52)*Inputs!$D$1),"",SUMIFS(INDEX(Inputs!$B$2:$AZ$190,,MATCH(SUBSTITUTE(AX$3,"Q","T"),Inputs!$B$2:$AZ$2,0)),Inputs!$B$2:$B$190,$B52)*Inputs!$D$1)</f>
        <v>0</v>
      </c>
      <c r="AY52" s="57">
        <f>IF(ISNA(SUMIFS(INDEX(Inputs!$B$2:$AZ$190,,MATCH(SUBSTITUTE(AY$3,"Q","T"),Inputs!$B$2:$AZ$2,0)),Inputs!$B$2:$B$190,$B52)*Inputs!$D$1),"",SUMIFS(INDEX(Inputs!$B$2:$AZ$190,,MATCH(SUBSTITUTE(AY$3,"Q","T"),Inputs!$B$2:$AZ$2,0)),Inputs!$B$2:$B$190,$B52)*Inputs!$D$1)</f>
        <v>0</v>
      </c>
      <c r="AZ52" s="57">
        <f>IF(ISNA(SUMIFS(INDEX(Inputs!$B$2:$AZ$190,,MATCH(SUBSTITUTE(AZ$3,"Q","T"),Inputs!$B$2:$AZ$2,0)),Inputs!$B$2:$B$190,$B52)*Inputs!$D$1),"",SUMIFS(INDEX(Inputs!$B$2:$AZ$190,,MATCH(SUBSTITUTE(AZ$3,"Q","T"),Inputs!$B$2:$AZ$2,0)),Inputs!$B$2:$B$190,$B52)*Inputs!$D$1)</f>
        <v>0</v>
      </c>
      <c r="BA52" s="57">
        <f>IF(ISNA(SUMIFS(INDEX(Inputs!$B$2:$AZ$190,,MATCH(SUBSTITUTE(BA$3,"Q","T"),Inputs!$B$2:$AZ$2,0)),Inputs!$B$2:$B$190,$B52)*Inputs!$D$1),"",SUMIFS(INDEX(Inputs!$B$2:$AZ$190,,MATCH(SUBSTITUTE(BA$3,"Q","T"),Inputs!$B$2:$AZ$2,0)),Inputs!$B$2:$B$190,$B52)*Inputs!$D$1)</f>
        <v>0</v>
      </c>
      <c r="BB52" s="58">
        <f>BA52</f>
        <v>0</v>
      </c>
      <c r="BC52" s="57">
        <f>IF(ISNA(SUMIFS(INDEX(Inputs!$B$2:$AZ$190,,MATCH(SUBSTITUTE(BC$3,"Q","T"),Inputs!$B$2:$AZ$2,0)),Inputs!$B$2:$B$190,$B52)*Inputs!$D$1),"",SUMIFS(INDEX(Inputs!$B$2:$AZ$190,,MATCH(SUBSTITUTE(BC$3,"Q","T"),Inputs!$B$2:$AZ$2,0)),Inputs!$B$2:$B$190,$B52)*Inputs!$D$1)</f>
        <v>0</v>
      </c>
      <c r="BD52" s="57">
        <f>IF(ISNA(SUMIFS(INDEX(Inputs!$B$2:$AZ$190,,MATCH(SUBSTITUTE(BD$3,"Q","T"),Inputs!$B$2:$AZ$2,0)),Inputs!$B$2:$B$190,$B52)*Inputs!$D$1),"",SUMIFS(INDEX(Inputs!$B$2:$AZ$190,,MATCH(SUBSTITUTE(BD$3,"Q","T"),Inputs!$B$2:$AZ$2,0)),Inputs!$B$2:$B$190,$B52)*Inputs!$D$1)</f>
        <v>0</v>
      </c>
      <c r="BE52" s="57">
        <f>IF(ISNA(SUMIFS(INDEX(Inputs!$B$2:$AZ$190,,MATCH(SUBSTITUTE(BE$3,"Q","T"),Inputs!$B$2:$AZ$2,0)),Inputs!$B$2:$B$190,$B52)*Inputs!$D$1),"",SUMIFS(INDEX(Inputs!$B$2:$AZ$190,,MATCH(SUBSTITUTE(BE$3,"Q","T"),Inputs!$B$2:$AZ$2,0)),Inputs!$B$2:$B$190,$B52)*Inputs!$D$1)</f>
        <v>0</v>
      </c>
      <c r="BF52" s="57">
        <f>IF(ISNA(SUMIFS(INDEX(Inputs!$B$2:$AZ$190,,MATCH(SUBSTITUTE(BF$3,"Q","T"),Inputs!$B$2:$AZ$2,0)),Inputs!$B$2:$B$190,$B52)*Inputs!$D$1),"",SUMIFS(INDEX(Inputs!$B$2:$AZ$190,,MATCH(SUBSTITUTE(BF$3,"Q","T"),Inputs!$B$2:$AZ$2,0)),Inputs!$B$2:$B$190,$B52)*Inputs!$D$1)</f>
        <v>0</v>
      </c>
      <c r="BG52" s="58">
        <f>BF52</f>
        <v>0</v>
      </c>
    </row>
    <row r="53">
      <c r="B53" s="56" t="inlineStr">
        <is>
          <t>ins_res</t>
        </is>
      </c>
      <c r="C53" s="11" t="inlineStr">
        <is>
          <t>Reservas de seguros (quando aplicável)</t>
        </is>
      </c>
      <c r="D53" s="12" t="inlineStr">
        <is>
          <t>Insurance reserves, if applicable</t>
        </is>
      </c>
      <c r="E53" s="57">
        <f>IF(ISNA(SUMIFS(INDEX(Inputs!$B$2:$AZ$190,,MATCH(SUBSTITUTE(E$3,"Q","T"),Inputs!$B$2:$AZ$2,0)),Inputs!$B$2:$B$190,$B53)*Inputs!$D$1),"",SUMIFS(INDEX(Inputs!$B$2:$AZ$190,,MATCH(SUBSTITUTE(E$3,"Q","T"),Inputs!$B$2:$AZ$2,0)),Inputs!$B$2:$B$190,$B53)*Inputs!$D$1)</f>
        <v>0</v>
      </c>
      <c r="F53" s="57">
        <f>IF(ISNA(SUMIFS(INDEX(Inputs!$B$2:$AZ$190,,MATCH(SUBSTITUTE(F$3,"Q","T"),Inputs!$B$2:$AZ$2,0)),Inputs!$B$2:$B$190,$B53)*Inputs!$D$1),"",SUMIFS(INDEX(Inputs!$B$2:$AZ$190,,MATCH(SUBSTITUTE(F$3,"Q","T"),Inputs!$B$2:$AZ$2,0)),Inputs!$B$2:$B$190,$B53)*Inputs!$D$1)</f>
        <v>0</v>
      </c>
      <c r="G53" s="57">
        <f>IF(ISNA(SUMIFS(INDEX(Inputs!$B$2:$AZ$190,,MATCH(SUBSTITUTE(G$3,"Q","T"),Inputs!$B$2:$AZ$2,0)),Inputs!$B$2:$B$190,$B53)*Inputs!$D$1),"",SUMIFS(INDEX(Inputs!$B$2:$AZ$190,,MATCH(SUBSTITUTE(G$3,"Q","T"),Inputs!$B$2:$AZ$2,0)),Inputs!$B$2:$B$190,$B53)*Inputs!$D$1)</f>
        <v>0</v>
      </c>
      <c r="H53" s="57">
        <f>IF(ISNA(SUMIFS(INDEX(Inputs!$B$2:$AZ$190,,MATCH(SUBSTITUTE(H$3,"Q","T"),Inputs!$B$2:$AZ$2,0)),Inputs!$B$2:$B$190,$B53)*Inputs!$D$1),"",SUMIFS(INDEX(Inputs!$B$2:$AZ$190,,MATCH(SUBSTITUTE(H$3,"Q","T"),Inputs!$B$2:$AZ$2,0)),Inputs!$B$2:$B$190,$B53)*Inputs!$D$1)</f>
        <v>0</v>
      </c>
      <c r="I53" s="58">
        <f>H53</f>
        <v>0</v>
      </c>
      <c r="J53" s="57">
        <f>IF(ISNA(SUMIFS(INDEX(Inputs!$B$2:$AZ$190,,MATCH(SUBSTITUTE(J$3,"Q","T"),Inputs!$B$2:$AZ$2,0)),Inputs!$B$2:$B$190,$B53)*Inputs!$D$1),"",SUMIFS(INDEX(Inputs!$B$2:$AZ$190,,MATCH(SUBSTITUTE(J$3,"Q","T"),Inputs!$B$2:$AZ$2,0)),Inputs!$B$2:$B$190,$B53)*Inputs!$D$1)</f>
        <v>0</v>
      </c>
      <c r="K53" s="57">
        <f>IF(ISNA(SUMIFS(INDEX(Inputs!$B$2:$AZ$190,,MATCH(SUBSTITUTE(K$3,"Q","T"),Inputs!$B$2:$AZ$2,0)),Inputs!$B$2:$B$190,$B53)*Inputs!$D$1),"",SUMIFS(INDEX(Inputs!$B$2:$AZ$190,,MATCH(SUBSTITUTE(K$3,"Q","T"),Inputs!$B$2:$AZ$2,0)),Inputs!$B$2:$B$190,$B53)*Inputs!$D$1)</f>
        <v>0</v>
      </c>
      <c r="L53" s="57">
        <f>IF(ISNA(SUMIFS(INDEX(Inputs!$B$2:$AZ$190,,MATCH(SUBSTITUTE(L$3,"Q","T"),Inputs!$B$2:$AZ$2,0)),Inputs!$B$2:$B$190,$B53)*Inputs!$D$1),"",SUMIFS(INDEX(Inputs!$B$2:$AZ$190,,MATCH(SUBSTITUTE(L$3,"Q","T"),Inputs!$B$2:$AZ$2,0)),Inputs!$B$2:$B$190,$B53)*Inputs!$D$1)</f>
        <v>0</v>
      </c>
      <c r="M53" s="57">
        <f>IF(ISNA(SUMIFS(INDEX(Inputs!$B$2:$AZ$190,,MATCH(SUBSTITUTE(M$3,"Q","T"),Inputs!$B$2:$AZ$2,0)),Inputs!$B$2:$B$190,$B53)*Inputs!$D$1),"",SUMIFS(INDEX(Inputs!$B$2:$AZ$190,,MATCH(SUBSTITUTE(M$3,"Q","T"),Inputs!$B$2:$AZ$2,0)),Inputs!$B$2:$B$190,$B53)*Inputs!$D$1)</f>
        <v>0</v>
      </c>
      <c r="N53" s="58">
        <f>M53</f>
        <v>0</v>
      </c>
      <c r="O53" s="57">
        <f>IF(ISNA(SUMIFS(INDEX(Inputs!$B$2:$AZ$190,,MATCH(SUBSTITUTE(O$3,"Q","T"),Inputs!$B$2:$AZ$2,0)),Inputs!$B$2:$B$190,$B53)*Inputs!$D$1),"",SUMIFS(INDEX(Inputs!$B$2:$AZ$190,,MATCH(SUBSTITUTE(O$3,"Q","T"),Inputs!$B$2:$AZ$2,0)),Inputs!$B$2:$B$190,$B53)*Inputs!$D$1)</f>
        <v>0</v>
      </c>
      <c r="P53" s="57">
        <f>IF(ISNA(SUMIFS(INDEX(Inputs!$B$2:$AZ$190,,MATCH(SUBSTITUTE(P$3,"Q","T"),Inputs!$B$2:$AZ$2,0)),Inputs!$B$2:$B$190,$B53)*Inputs!$D$1),"",SUMIFS(INDEX(Inputs!$B$2:$AZ$190,,MATCH(SUBSTITUTE(P$3,"Q","T"),Inputs!$B$2:$AZ$2,0)),Inputs!$B$2:$B$190,$B53)*Inputs!$D$1)</f>
        <v>0</v>
      </c>
      <c r="Q53" s="57">
        <f>IF(ISNA(SUMIFS(INDEX(Inputs!$B$2:$AZ$190,,MATCH(SUBSTITUTE(Q$3,"Q","T"),Inputs!$B$2:$AZ$2,0)),Inputs!$B$2:$B$190,$B53)*Inputs!$D$1),"",SUMIFS(INDEX(Inputs!$B$2:$AZ$190,,MATCH(SUBSTITUTE(Q$3,"Q","T"),Inputs!$B$2:$AZ$2,0)),Inputs!$B$2:$B$190,$B53)*Inputs!$D$1)</f>
        <v>0</v>
      </c>
      <c r="R53" s="57">
        <f>IF(ISNA(SUMIFS(INDEX(Inputs!$B$2:$AZ$190,,MATCH(SUBSTITUTE(R$3,"Q","T"),Inputs!$B$2:$AZ$2,0)),Inputs!$B$2:$B$190,$B53)*Inputs!$D$1),"",SUMIFS(INDEX(Inputs!$B$2:$AZ$190,,MATCH(SUBSTITUTE(R$3,"Q","T"),Inputs!$B$2:$AZ$2,0)),Inputs!$B$2:$B$190,$B53)*Inputs!$D$1)</f>
        <v>0</v>
      </c>
      <c r="S53" s="58">
        <f>R53</f>
        <v>0</v>
      </c>
      <c r="T53" s="57">
        <f>IF(ISNA(SUMIFS(INDEX(Inputs!$B$2:$AZ$190,,MATCH(SUBSTITUTE(T$3,"Q","T"),Inputs!$B$2:$AZ$2,0)),Inputs!$B$2:$B$190,$B53)*Inputs!$D$1),"",SUMIFS(INDEX(Inputs!$B$2:$AZ$190,,MATCH(SUBSTITUTE(T$3,"Q","T"),Inputs!$B$2:$AZ$2,0)),Inputs!$B$2:$B$190,$B53)*Inputs!$D$1)</f>
        <v>0</v>
      </c>
      <c r="U53" s="57">
        <f>IF(ISNA(SUMIFS(INDEX(Inputs!$B$2:$AZ$190,,MATCH(SUBSTITUTE(U$3,"Q","T"),Inputs!$B$2:$AZ$2,0)),Inputs!$B$2:$B$190,$B53)*Inputs!$D$1),"",SUMIFS(INDEX(Inputs!$B$2:$AZ$190,,MATCH(SUBSTITUTE(U$3,"Q","T"),Inputs!$B$2:$AZ$2,0)),Inputs!$B$2:$B$190,$B53)*Inputs!$D$1)</f>
        <v>0</v>
      </c>
      <c r="V53" s="57">
        <f>IF(ISNA(SUMIFS(INDEX(Inputs!$B$2:$AZ$190,,MATCH(SUBSTITUTE(V$3,"Q","T"),Inputs!$B$2:$AZ$2,0)),Inputs!$B$2:$B$190,$B53)*Inputs!$D$1),"",SUMIFS(INDEX(Inputs!$B$2:$AZ$190,,MATCH(SUBSTITUTE(V$3,"Q","T"),Inputs!$B$2:$AZ$2,0)),Inputs!$B$2:$B$190,$B53)*Inputs!$D$1)</f>
        <v>0</v>
      </c>
      <c r="W53" s="57">
        <f>IF(ISNA(SUMIFS(INDEX(Inputs!$B$2:$AZ$190,,MATCH(SUBSTITUTE(W$3,"Q","T"),Inputs!$B$2:$AZ$2,0)),Inputs!$B$2:$B$190,$B53)*Inputs!$D$1),"",SUMIFS(INDEX(Inputs!$B$2:$AZ$190,,MATCH(SUBSTITUTE(W$3,"Q","T"),Inputs!$B$2:$AZ$2,0)),Inputs!$B$2:$B$190,$B53)*Inputs!$D$1)</f>
        <v>0</v>
      </c>
      <c r="X53" s="58">
        <f>W53</f>
        <v>0</v>
      </c>
      <c r="Y53" s="57">
        <f>IF(ISNA(SUMIFS(INDEX(Inputs!$B$2:$AZ$190,,MATCH(SUBSTITUTE(Y$3,"Q","T"),Inputs!$B$2:$AZ$2,0)),Inputs!$B$2:$B$190,$B53)*Inputs!$D$1),"",SUMIFS(INDEX(Inputs!$B$2:$AZ$190,,MATCH(SUBSTITUTE(Y$3,"Q","T"),Inputs!$B$2:$AZ$2,0)),Inputs!$B$2:$B$190,$B53)*Inputs!$D$1)</f>
        <v>0</v>
      </c>
      <c r="Z53" s="57">
        <f>IF(ISNA(SUMIFS(INDEX(Inputs!$B$2:$AZ$190,,MATCH(SUBSTITUTE(Z$3,"Q","T"),Inputs!$B$2:$AZ$2,0)),Inputs!$B$2:$B$190,$B53)*Inputs!$D$1),"",SUMIFS(INDEX(Inputs!$B$2:$AZ$190,,MATCH(SUBSTITUTE(Z$3,"Q","T"),Inputs!$B$2:$AZ$2,0)),Inputs!$B$2:$B$190,$B53)*Inputs!$D$1)</f>
        <v>0</v>
      </c>
      <c r="AA53" s="57">
        <f>IF(ISNA(SUMIFS(INDEX(Inputs!$B$2:$AZ$190,,MATCH(SUBSTITUTE(AA$3,"Q","T"),Inputs!$B$2:$AZ$2,0)),Inputs!$B$2:$B$190,$B53)*Inputs!$D$1),"",SUMIFS(INDEX(Inputs!$B$2:$AZ$190,,MATCH(SUBSTITUTE(AA$3,"Q","T"),Inputs!$B$2:$AZ$2,0)),Inputs!$B$2:$B$190,$B53)*Inputs!$D$1)</f>
        <v>0</v>
      </c>
      <c r="AB53" s="57">
        <f>IF(ISNA(SUMIFS(INDEX(Inputs!$B$2:$AZ$190,,MATCH(SUBSTITUTE(AB$3,"Q","T"),Inputs!$B$2:$AZ$2,0)),Inputs!$B$2:$B$190,$B53)*Inputs!$D$1),"",SUMIFS(INDEX(Inputs!$B$2:$AZ$190,,MATCH(SUBSTITUTE(AB$3,"Q","T"),Inputs!$B$2:$AZ$2,0)),Inputs!$B$2:$B$190,$B53)*Inputs!$D$1)</f>
        <v>0</v>
      </c>
      <c r="AC53" s="58">
        <f>AB53</f>
        <v>0</v>
      </c>
      <c r="AD53" s="57">
        <f>IF(ISNA(SUMIFS(INDEX(Inputs!$B$2:$AZ$190,,MATCH(SUBSTITUTE(AD$3,"Q","T"),Inputs!$B$2:$AZ$2,0)),Inputs!$B$2:$B$190,$B53)*Inputs!$D$1),"",SUMIFS(INDEX(Inputs!$B$2:$AZ$190,,MATCH(SUBSTITUTE(AD$3,"Q","T"),Inputs!$B$2:$AZ$2,0)),Inputs!$B$2:$B$190,$B53)*Inputs!$D$1)</f>
        <v>0</v>
      </c>
      <c r="AE53" s="57">
        <f>IF(ISNA(SUMIFS(INDEX(Inputs!$B$2:$AZ$190,,MATCH(SUBSTITUTE(AE$3,"Q","T"),Inputs!$B$2:$AZ$2,0)),Inputs!$B$2:$B$190,$B53)*Inputs!$D$1),"",SUMIFS(INDEX(Inputs!$B$2:$AZ$190,,MATCH(SUBSTITUTE(AE$3,"Q","T"),Inputs!$B$2:$AZ$2,0)),Inputs!$B$2:$B$190,$B53)*Inputs!$D$1)</f>
        <v>0</v>
      </c>
      <c r="AF53" s="57">
        <f>IF(ISNA(SUMIFS(INDEX(Inputs!$B$2:$AZ$190,,MATCH(SUBSTITUTE(AF$3,"Q","T"),Inputs!$B$2:$AZ$2,0)),Inputs!$B$2:$B$190,$B53)*Inputs!$D$1),"",SUMIFS(INDEX(Inputs!$B$2:$AZ$190,,MATCH(SUBSTITUTE(AF$3,"Q","T"),Inputs!$B$2:$AZ$2,0)),Inputs!$B$2:$B$190,$B53)*Inputs!$D$1)</f>
        <v>0</v>
      </c>
      <c r="AG53" s="57">
        <f>IF(ISNA(SUMIFS(INDEX(Inputs!$B$2:$AZ$190,,MATCH(SUBSTITUTE(AG$3,"Q","T"),Inputs!$B$2:$AZ$2,0)),Inputs!$B$2:$B$190,$B53)*Inputs!$D$1),"",SUMIFS(INDEX(Inputs!$B$2:$AZ$190,,MATCH(SUBSTITUTE(AG$3,"Q","T"),Inputs!$B$2:$AZ$2,0)),Inputs!$B$2:$B$190,$B53)*Inputs!$D$1)</f>
        <v>0</v>
      </c>
      <c r="AH53" s="58">
        <f>AG53</f>
        <v>0</v>
      </c>
      <c r="AI53" s="57">
        <f>IF(ISNA(SUMIFS(INDEX(Inputs!$B$2:$AZ$190,,MATCH(SUBSTITUTE(AI$3,"Q","T"),Inputs!$B$2:$AZ$2,0)),Inputs!$B$2:$B$190,$B53)*Inputs!$D$1),"",SUMIFS(INDEX(Inputs!$B$2:$AZ$190,,MATCH(SUBSTITUTE(AI$3,"Q","T"),Inputs!$B$2:$AZ$2,0)),Inputs!$B$2:$B$190,$B53)*Inputs!$D$1)</f>
        <v>0</v>
      </c>
      <c r="AJ53" s="57">
        <f>IF(ISNA(SUMIFS(INDEX(Inputs!$B$2:$AZ$190,,MATCH(SUBSTITUTE(AJ$3,"Q","T"),Inputs!$B$2:$AZ$2,0)),Inputs!$B$2:$B$190,$B53)*Inputs!$D$1),"",SUMIFS(INDEX(Inputs!$B$2:$AZ$190,,MATCH(SUBSTITUTE(AJ$3,"Q","T"),Inputs!$B$2:$AZ$2,0)),Inputs!$B$2:$B$190,$B53)*Inputs!$D$1)</f>
        <v>0</v>
      </c>
      <c r="AK53" s="57">
        <f>IF(ISNA(SUMIFS(INDEX(Inputs!$B$2:$AZ$190,,MATCH(SUBSTITUTE(AK$3,"Q","T"),Inputs!$B$2:$AZ$2,0)),Inputs!$B$2:$B$190,$B53)*Inputs!$D$1),"",SUMIFS(INDEX(Inputs!$B$2:$AZ$190,,MATCH(SUBSTITUTE(AK$3,"Q","T"),Inputs!$B$2:$AZ$2,0)),Inputs!$B$2:$B$190,$B53)*Inputs!$D$1)</f>
        <v>0</v>
      </c>
      <c r="AL53" s="57">
        <f>IF(ISNA(SUMIFS(INDEX(Inputs!$B$2:$AZ$190,,MATCH(SUBSTITUTE(AL$3,"Q","T"),Inputs!$B$2:$AZ$2,0)),Inputs!$B$2:$B$190,$B53)*Inputs!$D$1),"",SUMIFS(INDEX(Inputs!$B$2:$AZ$190,,MATCH(SUBSTITUTE(AL$3,"Q","T"),Inputs!$B$2:$AZ$2,0)),Inputs!$B$2:$B$190,$B53)*Inputs!$D$1)</f>
        <v>0</v>
      </c>
      <c r="AM53" s="58">
        <f>AL53</f>
        <v>0</v>
      </c>
      <c r="AN53" s="57">
        <f>IF(ISNA(SUMIFS(INDEX(Inputs!$B$2:$AZ$190,,MATCH(SUBSTITUTE(AN$3,"Q","T"),Inputs!$B$2:$AZ$2,0)),Inputs!$B$2:$B$190,$B53)*Inputs!$D$1),"",SUMIFS(INDEX(Inputs!$B$2:$AZ$190,,MATCH(SUBSTITUTE(AN$3,"Q","T"),Inputs!$B$2:$AZ$2,0)),Inputs!$B$2:$B$190,$B53)*Inputs!$D$1)</f>
        <v>0</v>
      </c>
      <c r="AO53" s="57">
        <f>IF(ISNA(SUMIFS(INDEX(Inputs!$B$2:$AZ$190,,MATCH(SUBSTITUTE(AO$3,"Q","T"),Inputs!$B$2:$AZ$2,0)),Inputs!$B$2:$B$190,$B53)*Inputs!$D$1),"",SUMIFS(INDEX(Inputs!$B$2:$AZ$190,,MATCH(SUBSTITUTE(AO$3,"Q","T"),Inputs!$B$2:$AZ$2,0)),Inputs!$B$2:$B$190,$B53)*Inputs!$D$1)</f>
        <v>0</v>
      </c>
      <c r="AP53" s="57">
        <f>IF(ISNA(SUMIFS(INDEX(Inputs!$B$2:$AZ$190,,MATCH(SUBSTITUTE(AP$3,"Q","T"),Inputs!$B$2:$AZ$2,0)),Inputs!$B$2:$B$190,$B53)*Inputs!$D$1),"",SUMIFS(INDEX(Inputs!$B$2:$AZ$190,,MATCH(SUBSTITUTE(AP$3,"Q","T"),Inputs!$B$2:$AZ$2,0)),Inputs!$B$2:$B$190,$B53)*Inputs!$D$1)</f>
        <v>0</v>
      </c>
      <c r="AQ53" s="57">
        <f>IF(ISNA(SUMIFS(INDEX(Inputs!$B$2:$AZ$190,,MATCH(SUBSTITUTE(AQ$3,"Q","T"),Inputs!$B$2:$AZ$2,0)),Inputs!$B$2:$B$190,$B53)*Inputs!$D$1),"",SUMIFS(INDEX(Inputs!$B$2:$AZ$190,,MATCH(SUBSTITUTE(AQ$3,"Q","T"),Inputs!$B$2:$AZ$2,0)),Inputs!$B$2:$B$190,$B53)*Inputs!$D$1)</f>
        <v>0</v>
      </c>
      <c r="AR53" s="58">
        <f>AQ53</f>
        <v>0</v>
      </c>
      <c r="AS53" s="57">
        <f>IF(ISNA(SUMIFS(INDEX(Inputs!$B$2:$AZ$190,,MATCH(SUBSTITUTE(AS$3,"Q","T"),Inputs!$B$2:$AZ$2,0)),Inputs!$B$2:$B$190,$B53)*Inputs!$D$1),"",SUMIFS(INDEX(Inputs!$B$2:$AZ$190,,MATCH(SUBSTITUTE(AS$3,"Q","T"),Inputs!$B$2:$AZ$2,0)),Inputs!$B$2:$B$190,$B53)*Inputs!$D$1)</f>
        <v>0</v>
      </c>
      <c r="AT53" s="57">
        <f>IF(ISNA(SUMIFS(INDEX(Inputs!$B$2:$AZ$190,,MATCH(SUBSTITUTE(AT$3,"Q","T"),Inputs!$B$2:$AZ$2,0)),Inputs!$B$2:$B$190,$B53)*Inputs!$D$1),"",SUMIFS(INDEX(Inputs!$B$2:$AZ$190,,MATCH(SUBSTITUTE(AT$3,"Q","T"),Inputs!$B$2:$AZ$2,0)),Inputs!$B$2:$B$190,$B53)*Inputs!$D$1)</f>
        <v>0</v>
      </c>
      <c r="AU53" s="57">
        <f>IF(ISNA(SUMIFS(INDEX(Inputs!$B$2:$AZ$190,,MATCH(SUBSTITUTE(AU$3,"Q","T"),Inputs!$B$2:$AZ$2,0)),Inputs!$B$2:$B$190,$B53)*Inputs!$D$1),"",SUMIFS(INDEX(Inputs!$B$2:$AZ$190,,MATCH(SUBSTITUTE(AU$3,"Q","T"),Inputs!$B$2:$AZ$2,0)),Inputs!$B$2:$B$190,$B53)*Inputs!$D$1)</f>
        <v>0</v>
      </c>
      <c r="AV53" s="57">
        <f>IF(ISNA(SUMIFS(INDEX(Inputs!$B$2:$AZ$190,,MATCH(SUBSTITUTE(AV$3,"Q","T"),Inputs!$B$2:$AZ$2,0)),Inputs!$B$2:$B$190,$B53)*Inputs!$D$1),"",SUMIFS(INDEX(Inputs!$B$2:$AZ$190,,MATCH(SUBSTITUTE(AV$3,"Q","T"),Inputs!$B$2:$AZ$2,0)),Inputs!$B$2:$B$190,$B53)*Inputs!$D$1)</f>
        <v>0</v>
      </c>
      <c r="AW53" s="58">
        <f>AV53</f>
        <v>0</v>
      </c>
      <c r="AX53" s="57">
        <f>IF(ISNA(SUMIFS(INDEX(Inputs!$B$2:$AZ$190,,MATCH(SUBSTITUTE(AX$3,"Q","T"),Inputs!$B$2:$AZ$2,0)),Inputs!$B$2:$B$190,$B53)*Inputs!$D$1),"",SUMIFS(INDEX(Inputs!$B$2:$AZ$190,,MATCH(SUBSTITUTE(AX$3,"Q","T"),Inputs!$B$2:$AZ$2,0)),Inputs!$B$2:$B$190,$B53)*Inputs!$D$1)</f>
        <v>0</v>
      </c>
      <c r="AY53" s="57">
        <f>IF(ISNA(SUMIFS(INDEX(Inputs!$B$2:$AZ$190,,MATCH(SUBSTITUTE(AY$3,"Q","T"),Inputs!$B$2:$AZ$2,0)),Inputs!$B$2:$B$190,$B53)*Inputs!$D$1),"",SUMIFS(INDEX(Inputs!$B$2:$AZ$190,,MATCH(SUBSTITUTE(AY$3,"Q","T"),Inputs!$B$2:$AZ$2,0)),Inputs!$B$2:$B$190,$B53)*Inputs!$D$1)</f>
        <v>0</v>
      </c>
      <c r="AZ53" s="57">
        <f>IF(ISNA(SUMIFS(INDEX(Inputs!$B$2:$AZ$190,,MATCH(SUBSTITUTE(AZ$3,"Q","T"),Inputs!$B$2:$AZ$2,0)),Inputs!$B$2:$B$190,$B53)*Inputs!$D$1),"",SUMIFS(INDEX(Inputs!$B$2:$AZ$190,,MATCH(SUBSTITUTE(AZ$3,"Q","T"),Inputs!$B$2:$AZ$2,0)),Inputs!$B$2:$B$190,$B53)*Inputs!$D$1)</f>
        <v>0</v>
      </c>
      <c r="BA53" s="57">
        <f>IF(ISNA(SUMIFS(INDEX(Inputs!$B$2:$AZ$190,,MATCH(SUBSTITUTE(BA$3,"Q","T"),Inputs!$B$2:$AZ$2,0)),Inputs!$B$2:$B$190,$B53)*Inputs!$D$1),"",SUMIFS(INDEX(Inputs!$B$2:$AZ$190,,MATCH(SUBSTITUTE(BA$3,"Q","T"),Inputs!$B$2:$AZ$2,0)),Inputs!$B$2:$B$190,$B53)*Inputs!$D$1)</f>
        <v>0</v>
      </c>
      <c r="BB53" s="58">
        <f>BA53</f>
        <v>0</v>
      </c>
      <c r="BC53" s="57">
        <f>IF(ISNA(SUMIFS(INDEX(Inputs!$B$2:$AZ$190,,MATCH(SUBSTITUTE(BC$3,"Q","T"),Inputs!$B$2:$AZ$2,0)),Inputs!$B$2:$B$190,$B53)*Inputs!$D$1),"",SUMIFS(INDEX(Inputs!$B$2:$AZ$190,,MATCH(SUBSTITUTE(BC$3,"Q","T"),Inputs!$B$2:$AZ$2,0)),Inputs!$B$2:$B$190,$B53)*Inputs!$D$1)</f>
        <v>0</v>
      </c>
      <c r="BD53" s="57">
        <f>IF(ISNA(SUMIFS(INDEX(Inputs!$B$2:$AZ$190,,MATCH(SUBSTITUTE(BD$3,"Q","T"),Inputs!$B$2:$AZ$2,0)),Inputs!$B$2:$B$190,$B53)*Inputs!$D$1),"",SUMIFS(INDEX(Inputs!$B$2:$AZ$190,,MATCH(SUBSTITUTE(BD$3,"Q","T"),Inputs!$B$2:$AZ$2,0)),Inputs!$B$2:$B$190,$B53)*Inputs!$D$1)</f>
        <v>0</v>
      </c>
      <c r="BE53" s="57">
        <f>IF(ISNA(SUMIFS(INDEX(Inputs!$B$2:$AZ$190,,MATCH(SUBSTITUTE(BE$3,"Q","T"),Inputs!$B$2:$AZ$2,0)),Inputs!$B$2:$B$190,$B53)*Inputs!$D$1),"",SUMIFS(INDEX(Inputs!$B$2:$AZ$190,,MATCH(SUBSTITUTE(BE$3,"Q","T"),Inputs!$B$2:$AZ$2,0)),Inputs!$B$2:$B$190,$B53)*Inputs!$D$1)</f>
        <v>0</v>
      </c>
      <c r="BF53" s="57">
        <f>IF(ISNA(SUMIFS(INDEX(Inputs!$B$2:$AZ$190,,MATCH(SUBSTITUTE(BF$3,"Q","T"),Inputs!$B$2:$AZ$2,0)),Inputs!$B$2:$B$190,$B53)*Inputs!$D$1),"",SUMIFS(INDEX(Inputs!$B$2:$AZ$190,,MATCH(SUBSTITUTE(BF$3,"Q","T"),Inputs!$B$2:$AZ$2,0)),Inputs!$B$2:$B$190,$B53)*Inputs!$D$1)</f>
        <v>0</v>
      </c>
      <c r="BG53" s="58">
        <f>BF53</f>
        <v>0</v>
      </c>
    </row>
    <row r="54">
      <c r="B54" s="56" t="inlineStr">
        <is>
          <t>prov_other</t>
        </is>
      </c>
      <c r="C54" s="11" t="inlineStr">
        <is>
          <t>Demais provisões (quando à parte)</t>
        </is>
      </c>
      <c r="D54" s="12" t="inlineStr">
        <is>
          <t>Other provisions, if separate</t>
        </is>
      </c>
      <c r="E54" s="57">
        <f>IF(ISNA(SUMIFS(INDEX(Inputs!$B$2:$AZ$190,,MATCH(SUBSTITUTE(E$3,"Q","T"),Inputs!$B$2:$AZ$2,0)),Inputs!$B$2:$B$190,$B54)*Inputs!$D$1),"",SUMIFS(INDEX(Inputs!$B$2:$AZ$190,,MATCH(SUBSTITUTE(E$3,"Q","T"),Inputs!$B$2:$AZ$2,0)),Inputs!$B$2:$B$190,$B54)*Inputs!$D$1)</f>
        <v>0</v>
      </c>
      <c r="F54" s="57">
        <f>IF(ISNA(SUMIFS(INDEX(Inputs!$B$2:$AZ$190,,MATCH(SUBSTITUTE(F$3,"Q","T"),Inputs!$B$2:$AZ$2,0)),Inputs!$B$2:$B$190,$B54)*Inputs!$D$1),"",SUMIFS(INDEX(Inputs!$B$2:$AZ$190,,MATCH(SUBSTITUTE(F$3,"Q","T"),Inputs!$B$2:$AZ$2,0)),Inputs!$B$2:$B$190,$B54)*Inputs!$D$1)</f>
        <v>0</v>
      </c>
      <c r="G54" s="57">
        <f>IF(ISNA(SUMIFS(INDEX(Inputs!$B$2:$AZ$190,,MATCH(SUBSTITUTE(G$3,"Q","T"),Inputs!$B$2:$AZ$2,0)),Inputs!$B$2:$B$190,$B54)*Inputs!$D$1),"",SUMIFS(INDEX(Inputs!$B$2:$AZ$190,,MATCH(SUBSTITUTE(G$3,"Q","T"),Inputs!$B$2:$AZ$2,0)),Inputs!$B$2:$B$190,$B54)*Inputs!$D$1)</f>
        <v>0</v>
      </c>
      <c r="H54" s="57">
        <f>IF(ISNA(SUMIFS(INDEX(Inputs!$B$2:$AZ$190,,MATCH(SUBSTITUTE(H$3,"Q","T"),Inputs!$B$2:$AZ$2,0)),Inputs!$B$2:$B$190,$B54)*Inputs!$D$1),"",SUMIFS(INDEX(Inputs!$B$2:$AZ$190,,MATCH(SUBSTITUTE(H$3,"Q","T"),Inputs!$B$2:$AZ$2,0)),Inputs!$B$2:$B$190,$B54)*Inputs!$D$1)</f>
        <v>0</v>
      </c>
      <c r="I54" s="58">
        <f>H54</f>
        <v>0</v>
      </c>
      <c r="J54" s="57">
        <f>IF(ISNA(SUMIFS(INDEX(Inputs!$B$2:$AZ$190,,MATCH(SUBSTITUTE(J$3,"Q","T"),Inputs!$B$2:$AZ$2,0)),Inputs!$B$2:$B$190,$B54)*Inputs!$D$1),"",SUMIFS(INDEX(Inputs!$B$2:$AZ$190,,MATCH(SUBSTITUTE(J$3,"Q","T"),Inputs!$B$2:$AZ$2,0)),Inputs!$B$2:$B$190,$B54)*Inputs!$D$1)</f>
        <v>0</v>
      </c>
      <c r="K54" s="57">
        <f>IF(ISNA(SUMIFS(INDEX(Inputs!$B$2:$AZ$190,,MATCH(SUBSTITUTE(K$3,"Q","T"),Inputs!$B$2:$AZ$2,0)),Inputs!$B$2:$B$190,$B54)*Inputs!$D$1),"",SUMIFS(INDEX(Inputs!$B$2:$AZ$190,,MATCH(SUBSTITUTE(K$3,"Q","T"),Inputs!$B$2:$AZ$2,0)),Inputs!$B$2:$B$190,$B54)*Inputs!$D$1)</f>
        <v>0</v>
      </c>
      <c r="L54" s="57">
        <f>IF(ISNA(SUMIFS(INDEX(Inputs!$B$2:$AZ$190,,MATCH(SUBSTITUTE(L$3,"Q","T"),Inputs!$B$2:$AZ$2,0)),Inputs!$B$2:$B$190,$B54)*Inputs!$D$1),"",SUMIFS(INDEX(Inputs!$B$2:$AZ$190,,MATCH(SUBSTITUTE(L$3,"Q","T"),Inputs!$B$2:$AZ$2,0)),Inputs!$B$2:$B$190,$B54)*Inputs!$D$1)</f>
        <v>0</v>
      </c>
      <c r="M54" s="57">
        <f>IF(ISNA(SUMIFS(INDEX(Inputs!$B$2:$AZ$190,,MATCH(SUBSTITUTE(M$3,"Q","T"),Inputs!$B$2:$AZ$2,0)),Inputs!$B$2:$B$190,$B54)*Inputs!$D$1),"",SUMIFS(INDEX(Inputs!$B$2:$AZ$190,,MATCH(SUBSTITUTE(M$3,"Q","T"),Inputs!$B$2:$AZ$2,0)),Inputs!$B$2:$B$190,$B54)*Inputs!$D$1)</f>
        <v>0</v>
      </c>
      <c r="N54" s="58">
        <f>M54</f>
        <v>0</v>
      </c>
      <c r="O54" s="57">
        <f>IF(ISNA(SUMIFS(INDEX(Inputs!$B$2:$AZ$190,,MATCH(SUBSTITUTE(O$3,"Q","T"),Inputs!$B$2:$AZ$2,0)),Inputs!$B$2:$B$190,$B54)*Inputs!$D$1),"",SUMIFS(INDEX(Inputs!$B$2:$AZ$190,,MATCH(SUBSTITUTE(O$3,"Q","T"),Inputs!$B$2:$AZ$2,0)),Inputs!$B$2:$B$190,$B54)*Inputs!$D$1)</f>
        <v>0</v>
      </c>
      <c r="P54" s="57">
        <f>IF(ISNA(SUMIFS(INDEX(Inputs!$B$2:$AZ$190,,MATCH(SUBSTITUTE(P$3,"Q","T"),Inputs!$B$2:$AZ$2,0)),Inputs!$B$2:$B$190,$B54)*Inputs!$D$1),"",SUMIFS(INDEX(Inputs!$B$2:$AZ$190,,MATCH(SUBSTITUTE(P$3,"Q","T"),Inputs!$B$2:$AZ$2,0)),Inputs!$B$2:$B$190,$B54)*Inputs!$D$1)</f>
        <v>0</v>
      </c>
      <c r="Q54" s="57">
        <f>IF(ISNA(SUMIFS(INDEX(Inputs!$B$2:$AZ$190,,MATCH(SUBSTITUTE(Q$3,"Q","T"),Inputs!$B$2:$AZ$2,0)),Inputs!$B$2:$B$190,$B54)*Inputs!$D$1),"",SUMIFS(INDEX(Inputs!$B$2:$AZ$190,,MATCH(SUBSTITUTE(Q$3,"Q","T"),Inputs!$B$2:$AZ$2,0)),Inputs!$B$2:$B$190,$B54)*Inputs!$D$1)</f>
        <v>0</v>
      </c>
      <c r="R54" s="57">
        <f>IF(ISNA(SUMIFS(INDEX(Inputs!$B$2:$AZ$190,,MATCH(SUBSTITUTE(R$3,"Q","T"),Inputs!$B$2:$AZ$2,0)),Inputs!$B$2:$B$190,$B54)*Inputs!$D$1),"",SUMIFS(INDEX(Inputs!$B$2:$AZ$190,,MATCH(SUBSTITUTE(R$3,"Q","T"),Inputs!$B$2:$AZ$2,0)),Inputs!$B$2:$B$190,$B54)*Inputs!$D$1)</f>
        <v>0</v>
      </c>
      <c r="S54" s="58">
        <f>R54</f>
        <v>0</v>
      </c>
      <c r="T54" s="57">
        <f>IF(ISNA(SUMIFS(INDEX(Inputs!$B$2:$AZ$190,,MATCH(SUBSTITUTE(T$3,"Q","T"),Inputs!$B$2:$AZ$2,0)),Inputs!$B$2:$B$190,$B54)*Inputs!$D$1),"",SUMIFS(INDEX(Inputs!$B$2:$AZ$190,,MATCH(SUBSTITUTE(T$3,"Q","T"),Inputs!$B$2:$AZ$2,0)),Inputs!$B$2:$B$190,$B54)*Inputs!$D$1)</f>
        <v>0</v>
      </c>
      <c r="U54" s="57">
        <f>IF(ISNA(SUMIFS(INDEX(Inputs!$B$2:$AZ$190,,MATCH(SUBSTITUTE(U$3,"Q","T"),Inputs!$B$2:$AZ$2,0)),Inputs!$B$2:$B$190,$B54)*Inputs!$D$1),"",SUMIFS(INDEX(Inputs!$B$2:$AZ$190,,MATCH(SUBSTITUTE(U$3,"Q","T"),Inputs!$B$2:$AZ$2,0)),Inputs!$B$2:$B$190,$B54)*Inputs!$D$1)</f>
        <v>0</v>
      </c>
      <c r="V54" s="57">
        <f>IF(ISNA(SUMIFS(INDEX(Inputs!$B$2:$AZ$190,,MATCH(SUBSTITUTE(V$3,"Q","T"),Inputs!$B$2:$AZ$2,0)),Inputs!$B$2:$B$190,$B54)*Inputs!$D$1),"",SUMIFS(INDEX(Inputs!$B$2:$AZ$190,,MATCH(SUBSTITUTE(V$3,"Q","T"),Inputs!$B$2:$AZ$2,0)),Inputs!$B$2:$B$190,$B54)*Inputs!$D$1)</f>
        <v>0</v>
      </c>
      <c r="W54" s="57">
        <f>IF(ISNA(SUMIFS(INDEX(Inputs!$B$2:$AZ$190,,MATCH(SUBSTITUTE(W$3,"Q","T"),Inputs!$B$2:$AZ$2,0)),Inputs!$B$2:$B$190,$B54)*Inputs!$D$1),"",SUMIFS(INDEX(Inputs!$B$2:$AZ$190,,MATCH(SUBSTITUTE(W$3,"Q","T"),Inputs!$B$2:$AZ$2,0)),Inputs!$B$2:$B$190,$B54)*Inputs!$D$1)</f>
        <v>0</v>
      </c>
      <c r="X54" s="58">
        <f>W54</f>
        <v>0</v>
      </c>
      <c r="Y54" s="57">
        <f>IF(ISNA(SUMIFS(INDEX(Inputs!$B$2:$AZ$190,,MATCH(SUBSTITUTE(Y$3,"Q","T"),Inputs!$B$2:$AZ$2,0)),Inputs!$B$2:$B$190,$B54)*Inputs!$D$1),"",SUMIFS(INDEX(Inputs!$B$2:$AZ$190,,MATCH(SUBSTITUTE(Y$3,"Q","T"),Inputs!$B$2:$AZ$2,0)),Inputs!$B$2:$B$190,$B54)*Inputs!$D$1)</f>
        <v>0</v>
      </c>
      <c r="Z54" s="57">
        <f>IF(ISNA(SUMIFS(INDEX(Inputs!$B$2:$AZ$190,,MATCH(SUBSTITUTE(Z$3,"Q","T"),Inputs!$B$2:$AZ$2,0)),Inputs!$B$2:$B$190,$B54)*Inputs!$D$1),"",SUMIFS(INDEX(Inputs!$B$2:$AZ$190,,MATCH(SUBSTITUTE(Z$3,"Q","T"),Inputs!$B$2:$AZ$2,0)),Inputs!$B$2:$B$190,$B54)*Inputs!$D$1)</f>
        <v>0</v>
      </c>
      <c r="AA54" s="57">
        <f>IF(ISNA(SUMIFS(INDEX(Inputs!$B$2:$AZ$190,,MATCH(SUBSTITUTE(AA$3,"Q","T"),Inputs!$B$2:$AZ$2,0)),Inputs!$B$2:$B$190,$B54)*Inputs!$D$1),"",SUMIFS(INDEX(Inputs!$B$2:$AZ$190,,MATCH(SUBSTITUTE(AA$3,"Q","T"),Inputs!$B$2:$AZ$2,0)),Inputs!$B$2:$B$190,$B54)*Inputs!$D$1)</f>
        <v>0</v>
      </c>
      <c r="AB54" s="57">
        <f>IF(ISNA(SUMIFS(INDEX(Inputs!$B$2:$AZ$190,,MATCH(SUBSTITUTE(AB$3,"Q","T"),Inputs!$B$2:$AZ$2,0)),Inputs!$B$2:$B$190,$B54)*Inputs!$D$1),"",SUMIFS(INDEX(Inputs!$B$2:$AZ$190,,MATCH(SUBSTITUTE(AB$3,"Q","T"),Inputs!$B$2:$AZ$2,0)),Inputs!$B$2:$B$190,$B54)*Inputs!$D$1)</f>
        <v>0</v>
      </c>
      <c r="AC54" s="58">
        <f>AB54</f>
        <v>0</v>
      </c>
      <c r="AD54" s="57">
        <f>IF(ISNA(SUMIFS(INDEX(Inputs!$B$2:$AZ$190,,MATCH(SUBSTITUTE(AD$3,"Q","T"),Inputs!$B$2:$AZ$2,0)),Inputs!$B$2:$B$190,$B54)*Inputs!$D$1),"",SUMIFS(INDEX(Inputs!$B$2:$AZ$190,,MATCH(SUBSTITUTE(AD$3,"Q","T"),Inputs!$B$2:$AZ$2,0)),Inputs!$B$2:$B$190,$B54)*Inputs!$D$1)</f>
        <v>0</v>
      </c>
      <c r="AE54" s="57">
        <f>IF(ISNA(SUMIFS(INDEX(Inputs!$B$2:$AZ$190,,MATCH(SUBSTITUTE(AE$3,"Q","T"),Inputs!$B$2:$AZ$2,0)),Inputs!$B$2:$B$190,$B54)*Inputs!$D$1),"",SUMIFS(INDEX(Inputs!$B$2:$AZ$190,,MATCH(SUBSTITUTE(AE$3,"Q","T"),Inputs!$B$2:$AZ$2,0)),Inputs!$B$2:$B$190,$B54)*Inputs!$D$1)</f>
        <v>0</v>
      </c>
      <c r="AF54" s="57">
        <f>IF(ISNA(SUMIFS(INDEX(Inputs!$B$2:$AZ$190,,MATCH(SUBSTITUTE(AF$3,"Q","T"),Inputs!$B$2:$AZ$2,0)),Inputs!$B$2:$B$190,$B54)*Inputs!$D$1),"",SUMIFS(INDEX(Inputs!$B$2:$AZ$190,,MATCH(SUBSTITUTE(AF$3,"Q","T"),Inputs!$B$2:$AZ$2,0)),Inputs!$B$2:$B$190,$B54)*Inputs!$D$1)</f>
        <v>0</v>
      </c>
      <c r="AG54" s="57">
        <f>IF(ISNA(SUMIFS(INDEX(Inputs!$B$2:$AZ$190,,MATCH(SUBSTITUTE(AG$3,"Q","T"),Inputs!$B$2:$AZ$2,0)),Inputs!$B$2:$B$190,$B54)*Inputs!$D$1),"",SUMIFS(INDEX(Inputs!$B$2:$AZ$190,,MATCH(SUBSTITUTE(AG$3,"Q","T"),Inputs!$B$2:$AZ$2,0)),Inputs!$B$2:$B$190,$B54)*Inputs!$D$1)</f>
        <v>0</v>
      </c>
      <c r="AH54" s="58">
        <f>AG54</f>
        <v>0</v>
      </c>
      <c r="AI54" s="57">
        <f>IF(ISNA(SUMIFS(INDEX(Inputs!$B$2:$AZ$190,,MATCH(SUBSTITUTE(AI$3,"Q","T"),Inputs!$B$2:$AZ$2,0)),Inputs!$B$2:$B$190,$B54)*Inputs!$D$1),"",SUMIFS(INDEX(Inputs!$B$2:$AZ$190,,MATCH(SUBSTITUTE(AI$3,"Q","T"),Inputs!$B$2:$AZ$2,0)),Inputs!$B$2:$B$190,$B54)*Inputs!$D$1)</f>
        <v>0</v>
      </c>
      <c r="AJ54" s="57">
        <f>IF(ISNA(SUMIFS(INDEX(Inputs!$B$2:$AZ$190,,MATCH(SUBSTITUTE(AJ$3,"Q","T"),Inputs!$B$2:$AZ$2,0)),Inputs!$B$2:$B$190,$B54)*Inputs!$D$1),"",SUMIFS(INDEX(Inputs!$B$2:$AZ$190,,MATCH(SUBSTITUTE(AJ$3,"Q","T"),Inputs!$B$2:$AZ$2,0)),Inputs!$B$2:$B$190,$B54)*Inputs!$D$1)</f>
        <v>0</v>
      </c>
      <c r="AK54" s="57">
        <f>IF(ISNA(SUMIFS(INDEX(Inputs!$B$2:$AZ$190,,MATCH(SUBSTITUTE(AK$3,"Q","T"),Inputs!$B$2:$AZ$2,0)),Inputs!$B$2:$B$190,$B54)*Inputs!$D$1),"",SUMIFS(INDEX(Inputs!$B$2:$AZ$190,,MATCH(SUBSTITUTE(AK$3,"Q","T"),Inputs!$B$2:$AZ$2,0)),Inputs!$B$2:$B$190,$B54)*Inputs!$D$1)</f>
        <v>0</v>
      </c>
      <c r="AL54" s="57">
        <f>IF(ISNA(SUMIFS(INDEX(Inputs!$B$2:$AZ$190,,MATCH(SUBSTITUTE(AL$3,"Q","T"),Inputs!$B$2:$AZ$2,0)),Inputs!$B$2:$B$190,$B54)*Inputs!$D$1),"",SUMIFS(INDEX(Inputs!$B$2:$AZ$190,,MATCH(SUBSTITUTE(AL$3,"Q","T"),Inputs!$B$2:$AZ$2,0)),Inputs!$B$2:$B$190,$B54)*Inputs!$D$1)</f>
        <v>0</v>
      </c>
      <c r="AM54" s="58">
        <f>AL54</f>
        <v>0</v>
      </c>
      <c r="AN54" s="57">
        <f>IF(ISNA(SUMIFS(INDEX(Inputs!$B$2:$AZ$190,,MATCH(SUBSTITUTE(AN$3,"Q","T"),Inputs!$B$2:$AZ$2,0)),Inputs!$B$2:$B$190,$B54)*Inputs!$D$1),"",SUMIFS(INDEX(Inputs!$B$2:$AZ$190,,MATCH(SUBSTITUTE(AN$3,"Q","T"),Inputs!$B$2:$AZ$2,0)),Inputs!$B$2:$B$190,$B54)*Inputs!$D$1)</f>
        <v>0</v>
      </c>
      <c r="AO54" s="57">
        <f>IF(ISNA(SUMIFS(INDEX(Inputs!$B$2:$AZ$190,,MATCH(SUBSTITUTE(AO$3,"Q","T"),Inputs!$B$2:$AZ$2,0)),Inputs!$B$2:$B$190,$B54)*Inputs!$D$1),"",SUMIFS(INDEX(Inputs!$B$2:$AZ$190,,MATCH(SUBSTITUTE(AO$3,"Q","T"),Inputs!$B$2:$AZ$2,0)),Inputs!$B$2:$B$190,$B54)*Inputs!$D$1)</f>
        <v>0</v>
      </c>
      <c r="AP54" s="57">
        <f>IF(ISNA(SUMIFS(INDEX(Inputs!$B$2:$AZ$190,,MATCH(SUBSTITUTE(AP$3,"Q","T"),Inputs!$B$2:$AZ$2,0)),Inputs!$B$2:$B$190,$B54)*Inputs!$D$1),"",SUMIFS(INDEX(Inputs!$B$2:$AZ$190,,MATCH(SUBSTITUTE(AP$3,"Q","T"),Inputs!$B$2:$AZ$2,0)),Inputs!$B$2:$B$190,$B54)*Inputs!$D$1)</f>
        <v>0</v>
      </c>
      <c r="AQ54" s="57">
        <f>IF(ISNA(SUMIFS(INDEX(Inputs!$B$2:$AZ$190,,MATCH(SUBSTITUTE(AQ$3,"Q","T"),Inputs!$B$2:$AZ$2,0)),Inputs!$B$2:$B$190,$B54)*Inputs!$D$1),"",SUMIFS(INDEX(Inputs!$B$2:$AZ$190,,MATCH(SUBSTITUTE(AQ$3,"Q","T"),Inputs!$B$2:$AZ$2,0)),Inputs!$B$2:$B$190,$B54)*Inputs!$D$1)</f>
        <v>0</v>
      </c>
      <c r="AR54" s="58">
        <f>AQ54</f>
        <v>0</v>
      </c>
      <c r="AS54" s="57">
        <f>IF(ISNA(SUMIFS(INDEX(Inputs!$B$2:$AZ$190,,MATCH(SUBSTITUTE(AS$3,"Q","T"),Inputs!$B$2:$AZ$2,0)),Inputs!$B$2:$B$190,$B54)*Inputs!$D$1),"",SUMIFS(INDEX(Inputs!$B$2:$AZ$190,,MATCH(SUBSTITUTE(AS$3,"Q","T"),Inputs!$B$2:$AZ$2,0)),Inputs!$B$2:$B$190,$B54)*Inputs!$D$1)</f>
        <v>0</v>
      </c>
      <c r="AT54" s="57">
        <f>IF(ISNA(SUMIFS(INDEX(Inputs!$B$2:$AZ$190,,MATCH(SUBSTITUTE(AT$3,"Q","T"),Inputs!$B$2:$AZ$2,0)),Inputs!$B$2:$B$190,$B54)*Inputs!$D$1),"",SUMIFS(INDEX(Inputs!$B$2:$AZ$190,,MATCH(SUBSTITUTE(AT$3,"Q","T"),Inputs!$B$2:$AZ$2,0)),Inputs!$B$2:$B$190,$B54)*Inputs!$D$1)</f>
        <v>0</v>
      </c>
      <c r="AU54" s="57">
        <f>IF(ISNA(SUMIFS(INDEX(Inputs!$B$2:$AZ$190,,MATCH(SUBSTITUTE(AU$3,"Q","T"),Inputs!$B$2:$AZ$2,0)),Inputs!$B$2:$B$190,$B54)*Inputs!$D$1),"",SUMIFS(INDEX(Inputs!$B$2:$AZ$190,,MATCH(SUBSTITUTE(AU$3,"Q","T"),Inputs!$B$2:$AZ$2,0)),Inputs!$B$2:$B$190,$B54)*Inputs!$D$1)</f>
        <v>0</v>
      </c>
      <c r="AV54" s="57">
        <f>IF(ISNA(SUMIFS(INDEX(Inputs!$B$2:$AZ$190,,MATCH(SUBSTITUTE(AV$3,"Q","T"),Inputs!$B$2:$AZ$2,0)),Inputs!$B$2:$B$190,$B54)*Inputs!$D$1),"",SUMIFS(INDEX(Inputs!$B$2:$AZ$190,,MATCH(SUBSTITUTE(AV$3,"Q","T"),Inputs!$B$2:$AZ$2,0)),Inputs!$B$2:$B$190,$B54)*Inputs!$D$1)</f>
        <v>0</v>
      </c>
      <c r="AW54" s="58">
        <f>AV54</f>
        <v>0</v>
      </c>
      <c r="AX54" s="57">
        <f>IF(ISNA(SUMIFS(INDEX(Inputs!$B$2:$AZ$190,,MATCH(SUBSTITUTE(AX$3,"Q","T"),Inputs!$B$2:$AZ$2,0)),Inputs!$B$2:$B$190,$B54)*Inputs!$D$1),"",SUMIFS(INDEX(Inputs!$B$2:$AZ$190,,MATCH(SUBSTITUTE(AX$3,"Q","T"),Inputs!$B$2:$AZ$2,0)),Inputs!$B$2:$B$190,$B54)*Inputs!$D$1)</f>
        <v>0</v>
      </c>
      <c r="AY54" s="57">
        <f>IF(ISNA(SUMIFS(INDEX(Inputs!$B$2:$AZ$190,,MATCH(SUBSTITUTE(AY$3,"Q","T"),Inputs!$B$2:$AZ$2,0)),Inputs!$B$2:$B$190,$B54)*Inputs!$D$1),"",SUMIFS(INDEX(Inputs!$B$2:$AZ$190,,MATCH(SUBSTITUTE(AY$3,"Q","T"),Inputs!$B$2:$AZ$2,0)),Inputs!$B$2:$B$190,$B54)*Inputs!$D$1)</f>
        <v>0</v>
      </c>
      <c r="AZ54" s="57">
        <f>IF(ISNA(SUMIFS(INDEX(Inputs!$B$2:$AZ$190,,MATCH(SUBSTITUTE(AZ$3,"Q","T"),Inputs!$B$2:$AZ$2,0)),Inputs!$B$2:$B$190,$B54)*Inputs!$D$1),"",SUMIFS(INDEX(Inputs!$B$2:$AZ$190,,MATCH(SUBSTITUTE(AZ$3,"Q","T"),Inputs!$B$2:$AZ$2,0)),Inputs!$B$2:$B$190,$B54)*Inputs!$D$1)</f>
        <v>0</v>
      </c>
      <c r="BA54" s="57">
        <f>IF(ISNA(SUMIFS(INDEX(Inputs!$B$2:$AZ$190,,MATCH(SUBSTITUTE(BA$3,"Q","T"),Inputs!$B$2:$AZ$2,0)),Inputs!$B$2:$B$190,$B54)*Inputs!$D$1),"",SUMIFS(INDEX(Inputs!$B$2:$AZ$190,,MATCH(SUBSTITUTE(BA$3,"Q","T"),Inputs!$B$2:$AZ$2,0)),Inputs!$B$2:$B$190,$B54)*Inputs!$D$1)</f>
        <v>0</v>
      </c>
      <c r="BB54" s="58">
        <f>BA54</f>
        <v>0</v>
      </c>
      <c r="BC54" s="57">
        <f>IF(ISNA(SUMIFS(INDEX(Inputs!$B$2:$AZ$190,,MATCH(SUBSTITUTE(BC$3,"Q","T"),Inputs!$B$2:$AZ$2,0)),Inputs!$B$2:$B$190,$B54)*Inputs!$D$1),"",SUMIFS(INDEX(Inputs!$B$2:$AZ$190,,MATCH(SUBSTITUTE(BC$3,"Q","T"),Inputs!$B$2:$AZ$2,0)),Inputs!$B$2:$B$190,$B54)*Inputs!$D$1)</f>
        <v>0</v>
      </c>
      <c r="BD54" s="57">
        <f>IF(ISNA(SUMIFS(INDEX(Inputs!$B$2:$AZ$190,,MATCH(SUBSTITUTE(BD$3,"Q","T"),Inputs!$B$2:$AZ$2,0)),Inputs!$B$2:$B$190,$B54)*Inputs!$D$1),"",SUMIFS(INDEX(Inputs!$B$2:$AZ$190,,MATCH(SUBSTITUTE(BD$3,"Q","T"),Inputs!$B$2:$AZ$2,0)),Inputs!$B$2:$B$190,$B54)*Inputs!$D$1)</f>
        <v>0</v>
      </c>
      <c r="BE54" s="57">
        <f>IF(ISNA(SUMIFS(INDEX(Inputs!$B$2:$AZ$190,,MATCH(SUBSTITUTE(BE$3,"Q","T"),Inputs!$B$2:$AZ$2,0)),Inputs!$B$2:$B$190,$B54)*Inputs!$D$1),"",SUMIFS(INDEX(Inputs!$B$2:$AZ$190,,MATCH(SUBSTITUTE(BE$3,"Q","T"),Inputs!$B$2:$AZ$2,0)),Inputs!$B$2:$B$190,$B54)*Inputs!$D$1)</f>
        <v>0</v>
      </c>
      <c r="BF54" s="57">
        <f>IF(ISNA(SUMIFS(INDEX(Inputs!$B$2:$AZ$190,,MATCH(SUBSTITUTE(BF$3,"Q","T"),Inputs!$B$2:$AZ$2,0)),Inputs!$B$2:$B$190,$B54)*Inputs!$D$1),"",SUMIFS(INDEX(Inputs!$B$2:$AZ$190,,MATCH(SUBSTITUTE(BF$3,"Q","T"),Inputs!$B$2:$AZ$2,0)),Inputs!$B$2:$B$190,$B54)*Inputs!$D$1)</f>
        <v>0</v>
      </c>
      <c r="BG54" s="58">
        <f>BF54</f>
        <v>0</v>
      </c>
    </row>
    <row r="55">
      <c r="B55" s="56" t="inlineStr">
        <is>
          <t>dtl</t>
        </is>
      </c>
      <c r="C55" s="11" t="inlineStr">
        <is>
          <t>Impostos a pagar e diferidos (quando à parte)</t>
        </is>
      </c>
      <c r="D55" s="12" t="inlineStr">
        <is>
          <t>Taxes payable and deferred, if separate</t>
        </is>
      </c>
      <c r="E55" s="57">
        <f>IF(ISNA(SUMIFS(INDEX(Inputs!$B$2:$AZ$190,,MATCH(SUBSTITUTE(E$3,"Q","T"),Inputs!$B$2:$AZ$2,0)),Inputs!$B$2:$B$190,$B55)*Inputs!$D$1),"",SUMIFS(INDEX(Inputs!$B$2:$AZ$190,,MATCH(SUBSTITUTE(E$3,"Q","T"),Inputs!$B$2:$AZ$2,0)),Inputs!$B$2:$B$190,$B55)*Inputs!$D$1)</f>
        <v>0</v>
      </c>
      <c r="F55" s="57">
        <f>IF(ISNA(SUMIFS(INDEX(Inputs!$B$2:$AZ$190,,MATCH(SUBSTITUTE(F$3,"Q","T"),Inputs!$B$2:$AZ$2,0)),Inputs!$B$2:$B$190,$B55)*Inputs!$D$1),"",SUMIFS(INDEX(Inputs!$B$2:$AZ$190,,MATCH(SUBSTITUTE(F$3,"Q","T"),Inputs!$B$2:$AZ$2,0)),Inputs!$B$2:$B$190,$B55)*Inputs!$D$1)</f>
        <v>0</v>
      </c>
      <c r="G55" s="57">
        <f>IF(ISNA(SUMIFS(INDEX(Inputs!$B$2:$AZ$190,,MATCH(SUBSTITUTE(G$3,"Q","T"),Inputs!$B$2:$AZ$2,0)),Inputs!$B$2:$B$190,$B55)*Inputs!$D$1),"",SUMIFS(INDEX(Inputs!$B$2:$AZ$190,,MATCH(SUBSTITUTE(G$3,"Q","T"),Inputs!$B$2:$AZ$2,0)),Inputs!$B$2:$B$190,$B55)*Inputs!$D$1)</f>
        <v>0</v>
      </c>
      <c r="H55" s="57">
        <f>IF(ISNA(SUMIFS(INDEX(Inputs!$B$2:$AZ$190,,MATCH(SUBSTITUTE(H$3,"Q","T"),Inputs!$B$2:$AZ$2,0)),Inputs!$B$2:$B$190,$B55)*Inputs!$D$1),"",SUMIFS(INDEX(Inputs!$B$2:$AZ$190,,MATCH(SUBSTITUTE(H$3,"Q","T"),Inputs!$B$2:$AZ$2,0)),Inputs!$B$2:$B$190,$B55)*Inputs!$D$1)</f>
        <v>0</v>
      </c>
      <c r="I55" s="58">
        <f>H55</f>
        <v>0</v>
      </c>
      <c r="J55" s="57">
        <f>IF(ISNA(SUMIFS(INDEX(Inputs!$B$2:$AZ$190,,MATCH(SUBSTITUTE(J$3,"Q","T"),Inputs!$B$2:$AZ$2,0)),Inputs!$B$2:$B$190,$B55)*Inputs!$D$1),"",SUMIFS(INDEX(Inputs!$B$2:$AZ$190,,MATCH(SUBSTITUTE(J$3,"Q","T"),Inputs!$B$2:$AZ$2,0)),Inputs!$B$2:$B$190,$B55)*Inputs!$D$1)</f>
        <v>0</v>
      </c>
      <c r="K55" s="57">
        <f>IF(ISNA(SUMIFS(INDEX(Inputs!$B$2:$AZ$190,,MATCH(SUBSTITUTE(K$3,"Q","T"),Inputs!$B$2:$AZ$2,0)),Inputs!$B$2:$B$190,$B55)*Inputs!$D$1),"",SUMIFS(INDEX(Inputs!$B$2:$AZ$190,,MATCH(SUBSTITUTE(K$3,"Q","T"),Inputs!$B$2:$AZ$2,0)),Inputs!$B$2:$B$190,$B55)*Inputs!$D$1)</f>
        <v>0</v>
      </c>
      <c r="L55" s="57">
        <f>IF(ISNA(SUMIFS(INDEX(Inputs!$B$2:$AZ$190,,MATCH(SUBSTITUTE(L$3,"Q","T"),Inputs!$B$2:$AZ$2,0)),Inputs!$B$2:$B$190,$B55)*Inputs!$D$1),"",SUMIFS(INDEX(Inputs!$B$2:$AZ$190,,MATCH(SUBSTITUTE(L$3,"Q","T"),Inputs!$B$2:$AZ$2,0)),Inputs!$B$2:$B$190,$B55)*Inputs!$D$1)</f>
        <v>0</v>
      </c>
      <c r="M55" s="57">
        <f>IF(ISNA(SUMIFS(INDEX(Inputs!$B$2:$AZ$190,,MATCH(SUBSTITUTE(M$3,"Q","T"),Inputs!$B$2:$AZ$2,0)),Inputs!$B$2:$B$190,$B55)*Inputs!$D$1),"",SUMIFS(INDEX(Inputs!$B$2:$AZ$190,,MATCH(SUBSTITUTE(M$3,"Q","T"),Inputs!$B$2:$AZ$2,0)),Inputs!$B$2:$B$190,$B55)*Inputs!$D$1)</f>
        <v>0</v>
      </c>
      <c r="N55" s="58">
        <f>M55</f>
        <v>0</v>
      </c>
      <c r="O55" s="57">
        <f>IF(ISNA(SUMIFS(INDEX(Inputs!$B$2:$AZ$190,,MATCH(SUBSTITUTE(O$3,"Q","T"),Inputs!$B$2:$AZ$2,0)),Inputs!$B$2:$B$190,$B55)*Inputs!$D$1),"",SUMIFS(INDEX(Inputs!$B$2:$AZ$190,,MATCH(SUBSTITUTE(O$3,"Q","T"),Inputs!$B$2:$AZ$2,0)),Inputs!$B$2:$B$190,$B55)*Inputs!$D$1)</f>
        <v>0</v>
      </c>
      <c r="P55" s="57">
        <f>IF(ISNA(SUMIFS(INDEX(Inputs!$B$2:$AZ$190,,MATCH(SUBSTITUTE(P$3,"Q","T"),Inputs!$B$2:$AZ$2,0)),Inputs!$B$2:$B$190,$B55)*Inputs!$D$1),"",SUMIFS(INDEX(Inputs!$B$2:$AZ$190,,MATCH(SUBSTITUTE(P$3,"Q","T"),Inputs!$B$2:$AZ$2,0)),Inputs!$B$2:$B$190,$B55)*Inputs!$D$1)</f>
        <v>0</v>
      </c>
      <c r="Q55" s="57">
        <f>IF(ISNA(SUMIFS(INDEX(Inputs!$B$2:$AZ$190,,MATCH(SUBSTITUTE(Q$3,"Q","T"),Inputs!$B$2:$AZ$2,0)),Inputs!$B$2:$B$190,$B55)*Inputs!$D$1),"",SUMIFS(INDEX(Inputs!$B$2:$AZ$190,,MATCH(SUBSTITUTE(Q$3,"Q","T"),Inputs!$B$2:$AZ$2,0)),Inputs!$B$2:$B$190,$B55)*Inputs!$D$1)</f>
        <v>0</v>
      </c>
      <c r="R55" s="57">
        <f>IF(ISNA(SUMIFS(INDEX(Inputs!$B$2:$AZ$190,,MATCH(SUBSTITUTE(R$3,"Q","T"),Inputs!$B$2:$AZ$2,0)),Inputs!$B$2:$B$190,$B55)*Inputs!$D$1),"",SUMIFS(INDEX(Inputs!$B$2:$AZ$190,,MATCH(SUBSTITUTE(R$3,"Q","T"),Inputs!$B$2:$AZ$2,0)),Inputs!$B$2:$B$190,$B55)*Inputs!$D$1)</f>
        <v>0</v>
      </c>
      <c r="S55" s="58">
        <f>R55</f>
        <v>0</v>
      </c>
      <c r="T55" s="57">
        <f>IF(ISNA(SUMIFS(INDEX(Inputs!$B$2:$AZ$190,,MATCH(SUBSTITUTE(T$3,"Q","T"),Inputs!$B$2:$AZ$2,0)),Inputs!$B$2:$B$190,$B55)*Inputs!$D$1),"",SUMIFS(INDEX(Inputs!$B$2:$AZ$190,,MATCH(SUBSTITUTE(T$3,"Q","T"),Inputs!$B$2:$AZ$2,0)),Inputs!$B$2:$B$190,$B55)*Inputs!$D$1)</f>
        <v>0</v>
      </c>
      <c r="U55" s="57">
        <f>IF(ISNA(SUMIFS(INDEX(Inputs!$B$2:$AZ$190,,MATCH(SUBSTITUTE(U$3,"Q","T"),Inputs!$B$2:$AZ$2,0)),Inputs!$B$2:$B$190,$B55)*Inputs!$D$1),"",SUMIFS(INDEX(Inputs!$B$2:$AZ$190,,MATCH(SUBSTITUTE(U$3,"Q","T"),Inputs!$B$2:$AZ$2,0)),Inputs!$B$2:$B$190,$B55)*Inputs!$D$1)</f>
        <v>0</v>
      </c>
      <c r="V55" s="57">
        <f>IF(ISNA(SUMIFS(INDEX(Inputs!$B$2:$AZ$190,,MATCH(SUBSTITUTE(V$3,"Q","T"),Inputs!$B$2:$AZ$2,0)),Inputs!$B$2:$B$190,$B55)*Inputs!$D$1),"",SUMIFS(INDEX(Inputs!$B$2:$AZ$190,,MATCH(SUBSTITUTE(V$3,"Q","T"),Inputs!$B$2:$AZ$2,0)),Inputs!$B$2:$B$190,$B55)*Inputs!$D$1)</f>
        <v>0</v>
      </c>
      <c r="W55" s="57">
        <f>IF(ISNA(SUMIFS(INDEX(Inputs!$B$2:$AZ$190,,MATCH(SUBSTITUTE(W$3,"Q","T"),Inputs!$B$2:$AZ$2,0)),Inputs!$B$2:$B$190,$B55)*Inputs!$D$1),"",SUMIFS(INDEX(Inputs!$B$2:$AZ$190,,MATCH(SUBSTITUTE(W$3,"Q","T"),Inputs!$B$2:$AZ$2,0)),Inputs!$B$2:$B$190,$B55)*Inputs!$D$1)</f>
        <v>0</v>
      </c>
      <c r="X55" s="58">
        <f>W55</f>
        <v>0</v>
      </c>
      <c r="Y55" s="57">
        <f>IF(ISNA(SUMIFS(INDEX(Inputs!$B$2:$AZ$190,,MATCH(SUBSTITUTE(Y$3,"Q","T"),Inputs!$B$2:$AZ$2,0)),Inputs!$B$2:$B$190,$B55)*Inputs!$D$1),"",SUMIFS(INDEX(Inputs!$B$2:$AZ$190,,MATCH(SUBSTITUTE(Y$3,"Q","T"),Inputs!$B$2:$AZ$2,0)),Inputs!$B$2:$B$190,$B55)*Inputs!$D$1)</f>
        <v>0</v>
      </c>
      <c r="Z55" s="57">
        <f>IF(ISNA(SUMIFS(INDEX(Inputs!$B$2:$AZ$190,,MATCH(SUBSTITUTE(Z$3,"Q","T"),Inputs!$B$2:$AZ$2,0)),Inputs!$B$2:$B$190,$B55)*Inputs!$D$1),"",SUMIFS(INDEX(Inputs!$B$2:$AZ$190,,MATCH(SUBSTITUTE(Z$3,"Q","T"),Inputs!$B$2:$AZ$2,0)),Inputs!$B$2:$B$190,$B55)*Inputs!$D$1)</f>
        <v>0</v>
      </c>
      <c r="AA55" s="57">
        <f>IF(ISNA(SUMIFS(INDEX(Inputs!$B$2:$AZ$190,,MATCH(SUBSTITUTE(AA$3,"Q","T"),Inputs!$B$2:$AZ$2,0)),Inputs!$B$2:$B$190,$B55)*Inputs!$D$1),"",SUMIFS(INDEX(Inputs!$B$2:$AZ$190,,MATCH(SUBSTITUTE(AA$3,"Q","T"),Inputs!$B$2:$AZ$2,0)),Inputs!$B$2:$B$190,$B55)*Inputs!$D$1)</f>
        <v>0</v>
      </c>
      <c r="AB55" s="57">
        <f>IF(ISNA(SUMIFS(INDEX(Inputs!$B$2:$AZ$190,,MATCH(SUBSTITUTE(AB$3,"Q","T"),Inputs!$B$2:$AZ$2,0)),Inputs!$B$2:$B$190,$B55)*Inputs!$D$1),"",SUMIFS(INDEX(Inputs!$B$2:$AZ$190,,MATCH(SUBSTITUTE(AB$3,"Q","T"),Inputs!$B$2:$AZ$2,0)),Inputs!$B$2:$B$190,$B55)*Inputs!$D$1)</f>
        <v>0</v>
      </c>
      <c r="AC55" s="58">
        <f>AB55</f>
        <v>0</v>
      </c>
      <c r="AD55" s="57">
        <f>IF(ISNA(SUMIFS(INDEX(Inputs!$B$2:$AZ$190,,MATCH(SUBSTITUTE(AD$3,"Q","T"),Inputs!$B$2:$AZ$2,0)),Inputs!$B$2:$B$190,$B55)*Inputs!$D$1),"",SUMIFS(INDEX(Inputs!$B$2:$AZ$190,,MATCH(SUBSTITUTE(AD$3,"Q","T"),Inputs!$B$2:$AZ$2,0)),Inputs!$B$2:$B$190,$B55)*Inputs!$D$1)</f>
        <v>0</v>
      </c>
      <c r="AE55" s="57">
        <f>IF(ISNA(SUMIFS(INDEX(Inputs!$B$2:$AZ$190,,MATCH(SUBSTITUTE(AE$3,"Q","T"),Inputs!$B$2:$AZ$2,0)),Inputs!$B$2:$B$190,$B55)*Inputs!$D$1),"",SUMIFS(INDEX(Inputs!$B$2:$AZ$190,,MATCH(SUBSTITUTE(AE$3,"Q","T"),Inputs!$B$2:$AZ$2,0)),Inputs!$B$2:$B$190,$B55)*Inputs!$D$1)</f>
        <v>0</v>
      </c>
      <c r="AF55" s="57">
        <f>IF(ISNA(SUMIFS(INDEX(Inputs!$B$2:$AZ$190,,MATCH(SUBSTITUTE(AF$3,"Q","T"),Inputs!$B$2:$AZ$2,0)),Inputs!$B$2:$B$190,$B55)*Inputs!$D$1),"",SUMIFS(INDEX(Inputs!$B$2:$AZ$190,,MATCH(SUBSTITUTE(AF$3,"Q","T"),Inputs!$B$2:$AZ$2,0)),Inputs!$B$2:$B$190,$B55)*Inputs!$D$1)</f>
        <v>0</v>
      </c>
      <c r="AG55" s="57">
        <f>IF(ISNA(SUMIFS(INDEX(Inputs!$B$2:$AZ$190,,MATCH(SUBSTITUTE(AG$3,"Q","T"),Inputs!$B$2:$AZ$2,0)),Inputs!$B$2:$B$190,$B55)*Inputs!$D$1),"",SUMIFS(INDEX(Inputs!$B$2:$AZ$190,,MATCH(SUBSTITUTE(AG$3,"Q","T"),Inputs!$B$2:$AZ$2,0)),Inputs!$B$2:$B$190,$B55)*Inputs!$D$1)</f>
        <v>0</v>
      </c>
      <c r="AH55" s="58">
        <f>AG55</f>
        <v>0</v>
      </c>
      <c r="AI55" s="57">
        <f>IF(ISNA(SUMIFS(INDEX(Inputs!$B$2:$AZ$190,,MATCH(SUBSTITUTE(AI$3,"Q","T"),Inputs!$B$2:$AZ$2,0)),Inputs!$B$2:$B$190,$B55)*Inputs!$D$1),"",SUMIFS(INDEX(Inputs!$B$2:$AZ$190,,MATCH(SUBSTITUTE(AI$3,"Q","T"),Inputs!$B$2:$AZ$2,0)),Inputs!$B$2:$B$190,$B55)*Inputs!$D$1)</f>
        <v>0</v>
      </c>
      <c r="AJ55" s="57">
        <f>IF(ISNA(SUMIFS(INDEX(Inputs!$B$2:$AZ$190,,MATCH(SUBSTITUTE(AJ$3,"Q","T"),Inputs!$B$2:$AZ$2,0)),Inputs!$B$2:$B$190,$B55)*Inputs!$D$1),"",SUMIFS(INDEX(Inputs!$B$2:$AZ$190,,MATCH(SUBSTITUTE(AJ$3,"Q","T"),Inputs!$B$2:$AZ$2,0)),Inputs!$B$2:$B$190,$B55)*Inputs!$D$1)</f>
        <v>0</v>
      </c>
      <c r="AK55" s="57">
        <f>IF(ISNA(SUMIFS(INDEX(Inputs!$B$2:$AZ$190,,MATCH(SUBSTITUTE(AK$3,"Q","T"),Inputs!$B$2:$AZ$2,0)),Inputs!$B$2:$B$190,$B55)*Inputs!$D$1),"",SUMIFS(INDEX(Inputs!$B$2:$AZ$190,,MATCH(SUBSTITUTE(AK$3,"Q","T"),Inputs!$B$2:$AZ$2,0)),Inputs!$B$2:$B$190,$B55)*Inputs!$D$1)</f>
        <v>0</v>
      </c>
      <c r="AL55" s="57">
        <f>IF(ISNA(SUMIFS(INDEX(Inputs!$B$2:$AZ$190,,MATCH(SUBSTITUTE(AL$3,"Q","T"),Inputs!$B$2:$AZ$2,0)),Inputs!$B$2:$B$190,$B55)*Inputs!$D$1),"",SUMIFS(INDEX(Inputs!$B$2:$AZ$190,,MATCH(SUBSTITUTE(AL$3,"Q","T"),Inputs!$B$2:$AZ$2,0)),Inputs!$B$2:$B$190,$B55)*Inputs!$D$1)</f>
        <v>0</v>
      </c>
      <c r="AM55" s="58">
        <f>AL55</f>
        <v>0</v>
      </c>
      <c r="AN55" s="57">
        <f>IF(ISNA(SUMIFS(INDEX(Inputs!$B$2:$AZ$190,,MATCH(SUBSTITUTE(AN$3,"Q","T"),Inputs!$B$2:$AZ$2,0)),Inputs!$B$2:$B$190,$B55)*Inputs!$D$1),"",SUMIFS(INDEX(Inputs!$B$2:$AZ$190,,MATCH(SUBSTITUTE(AN$3,"Q","T"),Inputs!$B$2:$AZ$2,0)),Inputs!$B$2:$B$190,$B55)*Inputs!$D$1)</f>
        <v>0</v>
      </c>
      <c r="AO55" s="57">
        <f>IF(ISNA(SUMIFS(INDEX(Inputs!$B$2:$AZ$190,,MATCH(SUBSTITUTE(AO$3,"Q","T"),Inputs!$B$2:$AZ$2,0)),Inputs!$B$2:$B$190,$B55)*Inputs!$D$1),"",SUMIFS(INDEX(Inputs!$B$2:$AZ$190,,MATCH(SUBSTITUTE(AO$3,"Q","T"),Inputs!$B$2:$AZ$2,0)),Inputs!$B$2:$B$190,$B55)*Inputs!$D$1)</f>
        <v>0</v>
      </c>
      <c r="AP55" s="57">
        <f>IF(ISNA(SUMIFS(INDEX(Inputs!$B$2:$AZ$190,,MATCH(SUBSTITUTE(AP$3,"Q","T"),Inputs!$B$2:$AZ$2,0)),Inputs!$B$2:$B$190,$B55)*Inputs!$D$1),"",SUMIFS(INDEX(Inputs!$B$2:$AZ$190,,MATCH(SUBSTITUTE(AP$3,"Q","T"),Inputs!$B$2:$AZ$2,0)),Inputs!$B$2:$B$190,$B55)*Inputs!$D$1)</f>
        <v>0</v>
      </c>
      <c r="AQ55" s="57">
        <f>IF(ISNA(SUMIFS(INDEX(Inputs!$B$2:$AZ$190,,MATCH(SUBSTITUTE(AQ$3,"Q","T"),Inputs!$B$2:$AZ$2,0)),Inputs!$B$2:$B$190,$B55)*Inputs!$D$1),"",SUMIFS(INDEX(Inputs!$B$2:$AZ$190,,MATCH(SUBSTITUTE(AQ$3,"Q","T"),Inputs!$B$2:$AZ$2,0)),Inputs!$B$2:$B$190,$B55)*Inputs!$D$1)</f>
        <v>0</v>
      </c>
      <c r="AR55" s="58">
        <f>AQ55</f>
        <v>0</v>
      </c>
      <c r="AS55" s="57">
        <f>IF(ISNA(SUMIFS(INDEX(Inputs!$B$2:$AZ$190,,MATCH(SUBSTITUTE(AS$3,"Q","T"),Inputs!$B$2:$AZ$2,0)),Inputs!$B$2:$B$190,$B55)*Inputs!$D$1),"",SUMIFS(INDEX(Inputs!$B$2:$AZ$190,,MATCH(SUBSTITUTE(AS$3,"Q","T"),Inputs!$B$2:$AZ$2,0)),Inputs!$B$2:$B$190,$B55)*Inputs!$D$1)</f>
        <v>0</v>
      </c>
      <c r="AT55" s="57">
        <f>IF(ISNA(SUMIFS(INDEX(Inputs!$B$2:$AZ$190,,MATCH(SUBSTITUTE(AT$3,"Q","T"),Inputs!$B$2:$AZ$2,0)),Inputs!$B$2:$B$190,$B55)*Inputs!$D$1),"",SUMIFS(INDEX(Inputs!$B$2:$AZ$190,,MATCH(SUBSTITUTE(AT$3,"Q","T"),Inputs!$B$2:$AZ$2,0)),Inputs!$B$2:$B$190,$B55)*Inputs!$D$1)</f>
        <v>0</v>
      </c>
      <c r="AU55" s="57">
        <f>IF(ISNA(SUMIFS(INDEX(Inputs!$B$2:$AZ$190,,MATCH(SUBSTITUTE(AU$3,"Q","T"),Inputs!$B$2:$AZ$2,0)),Inputs!$B$2:$B$190,$B55)*Inputs!$D$1),"",SUMIFS(INDEX(Inputs!$B$2:$AZ$190,,MATCH(SUBSTITUTE(AU$3,"Q","T"),Inputs!$B$2:$AZ$2,0)),Inputs!$B$2:$B$190,$B55)*Inputs!$D$1)</f>
        <v>0</v>
      </c>
      <c r="AV55" s="57">
        <f>IF(ISNA(SUMIFS(INDEX(Inputs!$B$2:$AZ$190,,MATCH(SUBSTITUTE(AV$3,"Q","T"),Inputs!$B$2:$AZ$2,0)),Inputs!$B$2:$B$190,$B55)*Inputs!$D$1),"",SUMIFS(INDEX(Inputs!$B$2:$AZ$190,,MATCH(SUBSTITUTE(AV$3,"Q","T"),Inputs!$B$2:$AZ$2,0)),Inputs!$B$2:$B$190,$B55)*Inputs!$D$1)</f>
        <v>0</v>
      </c>
      <c r="AW55" s="58">
        <f>AV55</f>
        <v>0</v>
      </c>
      <c r="AX55" s="57">
        <f>IF(ISNA(SUMIFS(INDEX(Inputs!$B$2:$AZ$190,,MATCH(SUBSTITUTE(AX$3,"Q","T"),Inputs!$B$2:$AZ$2,0)),Inputs!$B$2:$B$190,$B55)*Inputs!$D$1),"",SUMIFS(INDEX(Inputs!$B$2:$AZ$190,,MATCH(SUBSTITUTE(AX$3,"Q","T"),Inputs!$B$2:$AZ$2,0)),Inputs!$B$2:$B$190,$B55)*Inputs!$D$1)</f>
        <v>0</v>
      </c>
      <c r="AY55" s="57">
        <f>IF(ISNA(SUMIFS(INDEX(Inputs!$B$2:$AZ$190,,MATCH(SUBSTITUTE(AY$3,"Q","T"),Inputs!$B$2:$AZ$2,0)),Inputs!$B$2:$B$190,$B55)*Inputs!$D$1),"",SUMIFS(INDEX(Inputs!$B$2:$AZ$190,,MATCH(SUBSTITUTE(AY$3,"Q","T"),Inputs!$B$2:$AZ$2,0)),Inputs!$B$2:$B$190,$B55)*Inputs!$D$1)</f>
        <v>0</v>
      </c>
      <c r="AZ55" s="57">
        <f>IF(ISNA(SUMIFS(INDEX(Inputs!$B$2:$AZ$190,,MATCH(SUBSTITUTE(AZ$3,"Q","T"),Inputs!$B$2:$AZ$2,0)),Inputs!$B$2:$B$190,$B55)*Inputs!$D$1),"",SUMIFS(INDEX(Inputs!$B$2:$AZ$190,,MATCH(SUBSTITUTE(AZ$3,"Q","T"),Inputs!$B$2:$AZ$2,0)),Inputs!$B$2:$B$190,$B55)*Inputs!$D$1)</f>
        <v>0</v>
      </c>
      <c r="BA55" s="57">
        <f>IF(ISNA(SUMIFS(INDEX(Inputs!$B$2:$AZ$190,,MATCH(SUBSTITUTE(BA$3,"Q","T"),Inputs!$B$2:$AZ$2,0)),Inputs!$B$2:$B$190,$B55)*Inputs!$D$1),"",SUMIFS(INDEX(Inputs!$B$2:$AZ$190,,MATCH(SUBSTITUTE(BA$3,"Q","T"),Inputs!$B$2:$AZ$2,0)),Inputs!$B$2:$B$190,$B55)*Inputs!$D$1)</f>
        <v>0</v>
      </c>
      <c r="BB55" s="58">
        <f>BA55</f>
        <v>0</v>
      </c>
      <c r="BC55" s="57">
        <f>IF(ISNA(SUMIFS(INDEX(Inputs!$B$2:$AZ$190,,MATCH(SUBSTITUTE(BC$3,"Q","T"),Inputs!$B$2:$AZ$2,0)),Inputs!$B$2:$B$190,$B55)*Inputs!$D$1),"",SUMIFS(INDEX(Inputs!$B$2:$AZ$190,,MATCH(SUBSTITUTE(BC$3,"Q","T"),Inputs!$B$2:$AZ$2,0)),Inputs!$B$2:$B$190,$B55)*Inputs!$D$1)</f>
        <v>0</v>
      </c>
      <c r="BD55" s="57">
        <f>IF(ISNA(SUMIFS(INDEX(Inputs!$B$2:$AZ$190,,MATCH(SUBSTITUTE(BD$3,"Q","T"),Inputs!$B$2:$AZ$2,0)),Inputs!$B$2:$B$190,$B55)*Inputs!$D$1),"",SUMIFS(INDEX(Inputs!$B$2:$AZ$190,,MATCH(SUBSTITUTE(BD$3,"Q","T"),Inputs!$B$2:$AZ$2,0)),Inputs!$B$2:$B$190,$B55)*Inputs!$D$1)</f>
        <v>0</v>
      </c>
      <c r="BE55" s="57">
        <f>IF(ISNA(SUMIFS(INDEX(Inputs!$B$2:$AZ$190,,MATCH(SUBSTITUTE(BE$3,"Q","T"),Inputs!$B$2:$AZ$2,0)),Inputs!$B$2:$B$190,$B55)*Inputs!$D$1),"",SUMIFS(INDEX(Inputs!$B$2:$AZ$190,,MATCH(SUBSTITUTE(BE$3,"Q","T"),Inputs!$B$2:$AZ$2,0)),Inputs!$B$2:$B$190,$B55)*Inputs!$D$1)</f>
        <v>0</v>
      </c>
      <c r="BF55" s="57">
        <f>IF(ISNA(SUMIFS(INDEX(Inputs!$B$2:$AZ$190,,MATCH(SUBSTITUTE(BF$3,"Q","T"),Inputs!$B$2:$AZ$2,0)),Inputs!$B$2:$B$190,$B55)*Inputs!$D$1),"",SUMIFS(INDEX(Inputs!$B$2:$AZ$190,,MATCH(SUBSTITUTE(BF$3,"Q","T"),Inputs!$B$2:$AZ$2,0)),Inputs!$B$2:$B$190,$B55)*Inputs!$D$1)</f>
        <v>0</v>
      </c>
      <c r="BG55" s="58">
        <f>BF55</f>
        <v>0</v>
      </c>
    </row>
    <row r="56">
      <c r="B56" s="56" t="inlineStr">
        <is>
          <t>other_l</t>
        </is>
      </c>
      <c r="C56" s="11" t="inlineStr">
        <is>
          <t>Contas a pagar e outros passivos</t>
        </is>
      </c>
      <c r="D56" s="12" t="inlineStr">
        <is>
          <t>Accounts payable and other liabilities</t>
        </is>
      </c>
      <c r="E56" s="57">
        <f>IF(ISNA(SUMIFS(INDEX(Inputs!$B$2:$AZ$190,,MATCH(SUBSTITUTE(E$3,"Q","T"),Inputs!$B$2:$AZ$2,0)),Inputs!$B$2:$B$190,$B56)*Inputs!$D$1),"",SUMIFS(INDEX(Inputs!$B$2:$AZ$190,,MATCH(SUBSTITUTE(E$3,"Q","T"),Inputs!$B$2:$AZ$2,0)),Inputs!$B$2:$B$190,$B56)*Inputs!$D$1)</f>
        <v>0</v>
      </c>
      <c r="F56" s="57">
        <f>IF(ISNA(SUMIFS(INDEX(Inputs!$B$2:$AZ$190,,MATCH(SUBSTITUTE(F$3,"Q","T"),Inputs!$B$2:$AZ$2,0)),Inputs!$B$2:$B$190,$B56)*Inputs!$D$1),"",SUMIFS(INDEX(Inputs!$B$2:$AZ$190,,MATCH(SUBSTITUTE(F$3,"Q","T"),Inputs!$B$2:$AZ$2,0)),Inputs!$B$2:$B$190,$B56)*Inputs!$D$1)</f>
        <v>0</v>
      </c>
      <c r="G56" s="57">
        <f>IF(ISNA(SUMIFS(INDEX(Inputs!$B$2:$AZ$190,,MATCH(SUBSTITUTE(G$3,"Q","T"),Inputs!$B$2:$AZ$2,0)),Inputs!$B$2:$B$190,$B56)*Inputs!$D$1),"",SUMIFS(INDEX(Inputs!$B$2:$AZ$190,,MATCH(SUBSTITUTE(G$3,"Q","T"),Inputs!$B$2:$AZ$2,0)),Inputs!$B$2:$B$190,$B56)*Inputs!$D$1)</f>
        <v>0</v>
      </c>
      <c r="H56" s="57">
        <f>IF(ISNA(SUMIFS(INDEX(Inputs!$B$2:$AZ$190,,MATCH(SUBSTITUTE(H$3,"Q","T"),Inputs!$B$2:$AZ$2,0)),Inputs!$B$2:$B$190,$B56)*Inputs!$D$1),"",SUMIFS(INDEX(Inputs!$B$2:$AZ$190,,MATCH(SUBSTITUTE(H$3,"Q","T"),Inputs!$B$2:$AZ$2,0)),Inputs!$B$2:$B$190,$B56)*Inputs!$D$1)</f>
        <v>0</v>
      </c>
      <c r="I56" s="58">
        <f>H56</f>
        <v>0</v>
      </c>
      <c r="J56" s="57">
        <f>IF(ISNA(SUMIFS(INDEX(Inputs!$B$2:$AZ$190,,MATCH(SUBSTITUTE(J$3,"Q","T"),Inputs!$B$2:$AZ$2,0)),Inputs!$B$2:$B$190,$B56)*Inputs!$D$1),"",SUMIFS(INDEX(Inputs!$B$2:$AZ$190,,MATCH(SUBSTITUTE(J$3,"Q","T"),Inputs!$B$2:$AZ$2,0)),Inputs!$B$2:$B$190,$B56)*Inputs!$D$1)</f>
        <v>0</v>
      </c>
      <c r="K56" s="57">
        <f>IF(ISNA(SUMIFS(INDEX(Inputs!$B$2:$AZ$190,,MATCH(SUBSTITUTE(K$3,"Q","T"),Inputs!$B$2:$AZ$2,0)),Inputs!$B$2:$B$190,$B56)*Inputs!$D$1),"",SUMIFS(INDEX(Inputs!$B$2:$AZ$190,,MATCH(SUBSTITUTE(K$3,"Q","T"),Inputs!$B$2:$AZ$2,0)),Inputs!$B$2:$B$190,$B56)*Inputs!$D$1)</f>
        <v>0</v>
      </c>
      <c r="L56" s="57">
        <f>IF(ISNA(SUMIFS(INDEX(Inputs!$B$2:$AZ$190,,MATCH(SUBSTITUTE(L$3,"Q","T"),Inputs!$B$2:$AZ$2,0)),Inputs!$B$2:$B$190,$B56)*Inputs!$D$1),"",SUMIFS(INDEX(Inputs!$B$2:$AZ$190,,MATCH(SUBSTITUTE(L$3,"Q","T"),Inputs!$B$2:$AZ$2,0)),Inputs!$B$2:$B$190,$B56)*Inputs!$D$1)</f>
        <v>0</v>
      </c>
      <c r="M56" s="57">
        <f>IF(ISNA(SUMIFS(INDEX(Inputs!$B$2:$AZ$190,,MATCH(SUBSTITUTE(M$3,"Q","T"),Inputs!$B$2:$AZ$2,0)),Inputs!$B$2:$B$190,$B56)*Inputs!$D$1),"",SUMIFS(INDEX(Inputs!$B$2:$AZ$190,,MATCH(SUBSTITUTE(M$3,"Q","T"),Inputs!$B$2:$AZ$2,0)),Inputs!$B$2:$B$190,$B56)*Inputs!$D$1)</f>
        <v>0</v>
      </c>
      <c r="N56" s="58">
        <f>M56</f>
        <v>0</v>
      </c>
      <c r="O56" s="57">
        <f>IF(ISNA(SUMIFS(INDEX(Inputs!$B$2:$AZ$190,,MATCH(SUBSTITUTE(O$3,"Q","T"),Inputs!$B$2:$AZ$2,0)),Inputs!$B$2:$B$190,$B56)*Inputs!$D$1),"",SUMIFS(INDEX(Inputs!$B$2:$AZ$190,,MATCH(SUBSTITUTE(O$3,"Q","T"),Inputs!$B$2:$AZ$2,0)),Inputs!$B$2:$B$190,$B56)*Inputs!$D$1)</f>
        <v>0</v>
      </c>
      <c r="P56" s="57">
        <f>IF(ISNA(SUMIFS(INDEX(Inputs!$B$2:$AZ$190,,MATCH(SUBSTITUTE(P$3,"Q","T"),Inputs!$B$2:$AZ$2,0)),Inputs!$B$2:$B$190,$B56)*Inputs!$D$1),"",SUMIFS(INDEX(Inputs!$B$2:$AZ$190,,MATCH(SUBSTITUTE(P$3,"Q","T"),Inputs!$B$2:$AZ$2,0)),Inputs!$B$2:$B$190,$B56)*Inputs!$D$1)</f>
        <v>0</v>
      </c>
      <c r="Q56" s="57">
        <f>IF(ISNA(SUMIFS(INDEX(Inputs!$B$2:$AZ$190,,MATCH(SUBSTITUTE(Q$3,"Q","T"),Inputs!$B$2:$AZ$2,0)),Inputs!$B$2:$B$190,$B56)*Inputs!$D$1),"",SUMIFS(INDEX(Inputs!$B$2:$AZ$190,,MATCH(SUBSTITUTE(Q$3,"Q","T"),Inputs!$B$2:$AZ$2,0)),Inputs!$B$2:$B$190,$B56)*Inputs!$D$1)</f>
        <v>0</v>
      </c>
      <c r="R56" s="57">
        <f>IF(ISNA(SUMIFS(INDEX(Inputs!$B$2:$AZ$190,,MATCH(SUBSTITUTE(R$3,"Q","T"),Inputs!$B$2:$AZ$2,0)),Inputs!$B$2:$B$190,$B56)*Inputs!$D$1),"",SUMIFS(INDEX(Inputs!$B$2:$AZ$190,,MATCH(SUBSTITUTE(R$3,"Q","T"),Inputs!$B$2:$AZ$2,0)),Inputs!$B$2:$B$190,$B56)*Inputs!$D$1)</f>
        <v>0</v>
      </c>
      <c r="S56" s="58">
        <f>R56</f>
        <v>0</v>
      </c>
      <c r="T56" s="57">
        <f>IF(ISNA(SUMIFS(INDEX(Inputs!$B$2:$AZ$190,,MATCH(SUBSTITUTE(T$3,"Q","T"),Inputs!$B$2:$AZ$2,0)),Inputs!$B$2:$B$190,$B56)*Inputs!$D$1),"",SUMIFS(INDEX(Inputs!$B$2:$AZ$190,,MATCH(SUBSTITUTE(T$3,"Q","T"),Inputs!$B$2:$AZ$2,0)),Inputs!$B$2:$B$190,$B56)*Inputs!$D$1)</f>
        <v>0</v>
      </c>
      <c r="U56" s="57">
        <f>IF(ISNA(SUMIFS(INDEX(Inputs!$B$2:$AZ$190,,MATCH(SUBSTITUTE(U$3,"Q","T"),Inputs!$B$2:$AZ$2,0)),Inputs!$B$2:$B$190,$B56)*Inputs!$D$1),"",SUMIFS(INDEX(Inputs!$B$2:$AZ$190,,MATCH(SUBSTITUTE(U$3,"Q","T"),Inputs!$B$2:$AZ$2,0)),Inputs!$B$2:$B$190,$B56)*Inputs!$D$1)</f>
        <v>0</v>
      </c>
      <c r="V56" s="57">
        <f>IF(ISNA(SUMIFS(INDEX(Inputs!$B$2:$AZ$190,,MATCH(SUBSTITUTE(V$3,"Q","T"),Inputs!$B$2:$AZ$2,0)),Inputs!$B$2:$B$190,$B56)*Inputs!$D$1),"",SUMIFS(INDEX(Inputs!$B$2:$AZ$190,,MATCH(SUBSTITUTE(V$3,"Q","T"),Inputs!$B$2:$AZ$2,0)),Inputs!$B$2:$B$190,$B56)*Inputs!$D$1)</f>
        <v>0</v>
      </c>
      <c r="W56" s="57">
        <f>IF(ISNA(SUMIFS(INDEX(Inputs!$B$2:$AZ$190,,MATCH(SUBSTITUTE(W$3,"Q","T"),Inputs!$B$2:$AZ$2,0)),Inputs!$B$2:$B$190,$B56)*Inputs!$D$1),"",SUMIFS(INDEX(Inputs!$B$2:$AZ$190,,MATCH(SUBSTITUTE(W$3,"Q","T"),Inputs!$B$2:$AZ$2,0)),Inputs!$B$2:$B$190,$B56)*Inputs!$D$1)</f>
        <v>0</v>
      </c>
      <c r="X56" s="58">
        <f>W56</f>
        <v>0</v>
      </c>
      <c r="Y56" s="57">
        <f>IF(ISNA(SUMIFS(INDEX(Inputs!$B$2:$AZ$190,,MATCH(SUBSTITUTE(Y$3,"Q","T"),Inputs!$B$2:$AZ$2,0)),Inputs!$B$2:$B$190,$B56)*Inputs!$D$1),"",SUMIFS(INDEX(Inputs!$B$2:$AZ$190,,MATCH(SUBSTITUTE(Y$3,"Q","T"),Inputs!$B$2:$AZ$2,0)),Inputs!$B$2:$B$190,$B56)*Inputs!$D$1)</f>
        <v>0</v>
      </c>
      <c r="Z56" s="57">
        <f>IF(ISNA(SUMIFS(INDEX(Inputs!$B$2:$AZ$190,,MATCH(SUBSTITUTE(Z$3,"Q","T"),Inputs!$B$2:$AZ$2,0)),Inputs!$B$2:$B$190,$B56)*Inputs!$D$1),"",SUMIFS(INDEX(Inputs!$B$2:$AZ$190,,MATCH(SUBSTITUTE(Z$3,"Q","T"),Inputs!$B$2:$AZ$2,0)),Inputs!$B$2:$B$190,$B56)*Inputs!$D$1)</f>
        <v>0</v>
      </c>
      <c r="AA56" s="57">
        <f>IF(ISNA(SUMIFS(INDEX(Inputs!$B$2:$AZ$190,,MATCH(SUBSTITUTE(AA$3,"Q","T"),Inputs!$B$2:$AZ$2,0)),Inputs!$B$2:$B$190,$B56)*Inputs!$D$1),"",SUMIFS(INDEX(Inputs!$B$2:$AZ$190,,MATCH(SUBSTITUTE(AA$3,"Q","T"),Inputs!$B$2:$AZ$2,0)),Inputs!$B$2:$B$190,$B56)*Inputs!$D$1)</f>
        <v>0</v>
      </c>
      <c r="AB56" s="57">
        <f>IF(ISNA(SUMIFS(INDEX(Inputs!$B$2:$AZ$190,,MATCH(SUBSTITUTE(AB$3,"Q","T"),Inputs!$B$2:$AZ$2,0)),Inputs!$B$2:$B$190,$B56)*Inputs!$D$1),"",SUMIFS(INDEX(Inputs!$B$2:$AZ$190,,MATCH(SUBSTITUTE(AB$3,"Q","T"),Inputs!$B$2:$AZ$2,0)),Inputs!$B$2:$B$190,$B56)*Inputs!$D$1)</f>
        <v>0</v>
      </c>
      <c r="AC56" s="58">
        <f>AB56</f>
        <v>0</v>
      </c>
      <c r="AD56" s="57">
        <f>IF(ISNA(SUMIFS(INDEX(Inputs!$B$2:$AZ$190,,MATCH(SUBSTITUTE(AD$3,"Q","T"),Inputs!$B$2:$AZ$2,0)),Inputs!$B$2:$B$190,$B56)*Inputs!$D$1),"",SUMIFS(INDEX(Inputs!$B$2:$AZ$190,,MATCH(SUBSTITUTE(AD$3,"Q","T"),Inputs!$B$2:$AZ$2,0)),Inputs!$B$2:$B$190,$B56)*Inputs!$D$1)</f>
        <v>0</v>
      </c>
      <c r="AE56" s="57">
        <f>IF(ISNA(SUMIFS(INDEX(Inputs!$B$2:$AZ$190,,MATCH(SUBSTITUTE(AE$3,"Q","T"),Inputs!$B$2:$AZ$2,0)),Inputs!$B$2:$B$190,$B56)*Inputs!$D$1),"",SUMIFS(INDEX(Inputs!$B$2:$AZ$190,,MATCH(SUBSTITUTE(AE$3,"Q","T"),Inputs!$B$2:$AZ$2,0)),Inputs!$B$2:$B$190,$B56)*Inputs!$D$1)</f>
        <v>0</v>
      </c>
      <c r="AF56" s="57">
        <f>IF(ISNA(SUMIFS(INDEX(Inputs!$B$2:$AZ$190,,MATCH(SUBSTITUTE(AF$3,"Q","T"),Inputs!$B$2:$AZ$2,0)),Inputs!$B$2:$B$190,$B56)*Inputs!$D$1),"",SUMIFS(INDEX(Inputs!$B$2:$AZ$190,,MATCH(SUBSTITUTE(AF$3,"Q","T"),Inputs!$B$2:$AZ$2,0)),Inputs!$B$2:$B$190,$B56)*Inputs!$D$1)</f>
        <v>0</v>
      </c>
      <c r="AG56" s="57">
        <f>IF(ISNA(SUMIFS(INDEX(Inputs!$B$2:$AZ$190,,MATCH(SUBSTITUTE(AG$3,"Q","T"),Inputs!$B$2:$AZ$2,0)),Inputs!$B$2:$B$190,$B56)*Inputs!$D$1),"",SUMIFS(INDEX(Inputs!$B$2:$AZ$190,,MATCH(SUBSTITUTE(AG$3,"Q","T"),Inputs!$B$2:$AZ$2,0)),Inputs!$B$2:$B$190,$B56)*Inputs!$D$1)</f>
        <v>0</v>
      </c>
      <c r="AH56" s="58">
        <f>AG56</f>
        <v>0</v>
      </c>
      <c r="AI56" s="57">
        <f>IF(ISNA(SUMIFS(INDEX(Inputs!$B$2:$AZ$190,,MATCH(SUBSTITUTE(AI$3,"Q","T"),Inputs!$B$2:$AZ$2,0)),Inputs!$B$2:$B$190,$B56)*Inputs!$D$1),"",SUMIFS(INDEX(Inputs!$B$2:$AZ$190,,MATCH(SUBSTITUTE(AI$3,"Q","T"),Inputs!$B$2:$AZ$2,0)),Inputs!$B$2:$B$190,$B56)*Inputs!$D$1)</f>
        <v>0</v>
      </c>
      <c r="AJ56" s="57">
        <f>IF(ISNA(SUMIFS(INDEX(Inputs!$B$2:$AZ$190,,MATCH(SUBSTITUTE(AJ$3,"Q","T"),Inputs!$B$2:$AZ$2,0)),Inputs!$B$2:$B$190,$B56)*Inputs!$D$1),"",SUMIFS(INDEX(Inputs!$B$2:$AZ$190,,MATCH(SUBSTITUTE(AJ$3,"Q","T"),Inputs!$B$2:$AZ$2,0)),Inputs!$B$2:$B$190,$B56)*Inputs!$D$1)</f>
        <v>0</v>
      </c>
      <c r="AK56" s="57">
        <f>IF(ISNA(SUMIFS(INDEX(Inputs!$B$2:$AZ$190,,MATCH(SUBSTITUTE(AK$3,"Q","T"),Inputs!$B$2:$AZ$2,0)),Inputs!$B$2:$B$190,$B56)*Inputs!$D$1),"",SUMIFS(INDEX(Inputs!$B$2:$AZ$190,,MATCH(SUBSTITUTE(AK$3,"Q","T"),Inputs!$B$2:$AZ$2,0)),Inputs!$B$2:$B$190,$B56)*Inputs!$D$1)</f>
        <v>0</v>
      </c>
      <c r="AL56" s="57">
        <f>IF(ISNA(SUMIFS(INDEX(Inputs!$B$2:$AZ$190,,MATCH(SUBSTITUTE(AL$3,"Q","T"),Inputs!$B$2:$AZ$2,0)),Inputs!$B$2:$B$190,$B56)*Inputs!$D$1),"",SUMIFS(INDEX(Inputs!$B$2:$AZ$190,,MATCH(SUBSTITUTE(AL$3,"Q","T"),Inputs!$B$2:$AZ$2,0)),Inputs!$B$2:$B$190,$B56)*Inputs!$D$1)</f>
        <v>0</v>
      </c>
      <c r="AM56" s="58">
        <f>AL56</f>
        <v>0</v>
      </c>
      <c r="AN56" s="57">
        <f>IF(ISNA(SUMIFS(INDEX(Inputs!$B$2:$AZ$190,,MATCH(SUBSTITUTE(AN$3,"Q","T"),Inputs!$B$2:$AZ$2,0)),Inputs!$B$2:$B$190,$B56)*Inputs!$D$1),"",SUMIFS(INDEX(Inputs!$B$2:$AZ$190,,MATCH(SUBSTITUTE(AN$3,"Q","T"),Inputs!$B$2:$AZ$2,0)),Inputs!$B$2:$B$190,$B56)*Inputs!$D$1)</f>
        <v>0</v>
      </c>
      <c r="AO56" s="57">
        <f>IF(ISNA(SUMIFS(INDEX(Inputs!$B$2:$AZ$190,,MATCH(SUBSTITUTE(AO$3,"Q","T"),Inputs!$B$2:$AZ$2,0)),Inputs!$B$2:$B$190,$B56)*Inputs!$D$1),"",SUMIFS(INDEX(Inputs!$B$2:$AZ$190,,MATCH(SUBSTITUTE(AO$3,"Q","T"),Inputs!$B$2:$AZ$2,0)),Inputs!$B$2:$B$190,$B56)*Inputs!$D$1)</f>
        <v>0</v>
      </c>
      <c r="AP56" s="57">
        <f>IF(ISNA(SUMIFS(INDEX(Inputs!$B$2:$AZ$190,,MATCH(SUBSTITUTE(AP$3,"Q","T"),Inputs!$B$2:$AZ$2,0)),Inputs!$B$2:$B$190,$B56)*Inputs!$D$1),"",SUMIFS(INDEX(Inputs!$B$2:$AZ$190,,MATCH(SUBSTITUTE(AP$3,"Q","T"),Inputs!$B$2:$AZ$2,0)),Inputs!$B$2:$B$190,$B56)*Inputs!$D$1)</f>
        <v>0</v>
      </c>
      <c r="AQ56" s="57">
        <f>IF(ISNA(SUMIFS(INDEX(Inputs!$B$2:$AZ$190,,MATCH(SUBSTITUTE(AQ$3,"Q","T"),Inputs!$B$2:$AZ$2,0)),Inputs!$B$2:$B$190,$B56)*Inputs!$D$1),"",SUMIFS(INDEX(Inputs!$B$2:$AZ$190,,MATCH(SUBSTITUTE(AQ$3,"Q","T"),Inputs!$B$2:$AZ$2,0)),Inputs!$B$2:$B$190,$B56)*Inputs!$D$1)</f>
        <v>0</v>
      </c>
      <c r="AR56" s="58">
        <f>AQ56</f>
        <v>0</v>
      </c>
      <c r="AS56" s="57">
        <f>IF(ISNA(SUMIFS(INDEX(Inputs!$B$2:$AZ$190,,MATCH(SUBSTITUTE(AS$3,"Q","T"),Inputs!$B$2:$AZ$2,0)),Inputs!$B$2:$B$190,$B56)*Inputs!$D$1),"",SUMIFS(INDEX(Inputs!$B$2:$AZ$190,,MATCH(SUBSTITUTE(AS$3,"Q","T"),Inputs!$B$2:$AZ$2,0)),Inputs!$B$2:$B$190,$B56)*Inputs!$D$1)</f>
        <v>0</v>
      </c>
      <c r="AT56" s="57">
        <f>IF(ISNA(SUMIFS(INDEX(Inputs!$B$2:$AZ$190,,MATCH(SUBSTITUTE(AT$3,"Q","T"),Inputs!$B$2:$AZ$2,0)),Inputs!$B$2:$B$190,$B56)*Inputs!$D$1),"",SUMIFS(INDEX(Inputs!$B$2:$AZ$190,,MATCH(SUBSTITUTE(AT$3,"Q","T"),Inputs!$B$2:$AZ$2,0)),Inputs!$B$2:$B$190,$B56)*Inputs!$D$1)</f>
        <v>0</v>
      </c>
      <c r="AU56" s="57">
        <f>IF(ISNA(SUMIFS(INDEX(Inputs!$B$2:$AZ$190,,MATCH(SUBSTITUTE(AU$3,"Q","T"),Inputs!$B$2:$AZ$2,0)),Inputs!$B$2:$B$190,$B56)*Inputs!$D$1),"",SUMIFS(INDEX(Inputs!$B$2:$AZ$190,,MATCH(SUBSTITUTE(AU$3,"Q","T"),Inputs!$B$2:$AZ$2,0)),Inputs!$B$2:$B$190,$B56)*Inputs!$D$1)</f>
        <v>0</v>
      </c>
      <c r="AV56" s="57">
        <f>IF(ISNA(SUMIFS(INDEX(Inputs!$B$2:$AZ$190,,MATCH(SUBSTITUTE(AV$3,"Q","T"),Inputs!$B$2:$AZ$2,0)),Inputs!$B$2:$B$190,$B56)*Inputs!$D$1),"",SUMIFS(INDEX(Inputs!$B$2:$AZ$190,,MATCH(SUBSTITUTE(AV$3,"Q","T"),Inputs!$B$2:$AZ$2,0)),Inputs!$B$2:$B$190,$B56)*Inputs!$D$1)</f>
        <v>0</v>
      </c>
      <c r="AW56" s="58">
        <f>AV56</f>
        <v>0</v>
      </c>
      <c r="AX56" s="57">
        <f>IF(ISNA(SUMIFS(INDEX(Inputs!$B$2:$AZ$190,,MATCH(SUBSTITUTE(AX$3,"Q","T"),Inputs!$B$2:$AZ$2,0)),Inputs!$B$2:$B$190,$B56)*Inputs!$D$1),"",SUMIFS(INDEX(Inputs!$B$2:$AZ$190,,MATCH(SUBSTITUTE(AX$3,"Q","T"),Inputs!$B$2:$AZ$2,0)),Inputs!$B$2:$B$190,$B56)*Inputs!$D$1)</f>
        <v>0</v>
      </c>
      <c r="AY56" s="57">
        <f>IF(ISNA(SUMIFS(INDEX(Inputs!$B$2:$AZ$190,,MATCH(SUBSTITUTE(AY$3,"Q","T"),Inputs!$B$2:$AZ$2,0)),Inputs!$B$2:$B$190,$B56)*Inputs!$D$1),"",SUMIFS(INDEX(Inputs!$B$2:$AZ$190,,MATCH(SUBSTITUTE(AY$3,"Q","T"),Inputs!$B$2:$AZ$2,0)),Inputs!$B$2:$B$190,$B56)*Inputs!$D$1)</f>
        <v>0</v>
      </c>
      <c r="AZ56" s="57">
        <f>IF(ISNA(SUMIFS(INDEX(Inputs!$B$2:$AZ$190,,MATCH(SUBSTITUTE(AZ$3,"Q","T"),Inputs!$B$2:$AZ$2,0)),Inputs!$B$2:$B$190,$B56)*Inputs!$D$1),"",SUMIFS(INDEX(Inputs!$B$2:$AZ$190,,MATCH(SUBSTITUTE(AZ$3,"Q","T"),Inputs!$B$2:$AZ$2,0)),Inputs!$B$2:$B$190,$B56)*Inputs!$D$1)</f>
        <v>0</v>
      </c>
      <c r="BA56" s="57">
        <f>IF(ISNA(SUMIFS(INDEX(Inputs!$B$2:$AZ$190,,MATCH(SUBSTITUTE(BA$3,"Q","T"),Inputs!$B$2:$AZ$2,0)),Inputs!$B$2:$B$190,$B56)*Inputs!$D$1),"",SUMIFS(INDEX(Inputs!$B$2:$AZ$190,,MATCH(SUBSTITUTE(BA$3,"Q","T"),Inputs!$B$2:$AZ$2,0)),Inputs!$B$2:$B$190,$B56)*Inputs!$D$1)</f>
        <v>0</v>
      </c>
      <c r="BB56" s="58">
        <f>BA56</f>
        <v>0</v>
      </c>
      <c r="BC56" s="57">
        <f>IF(ISNA(SUMIFS(INDEX(Inputs!$B$2:$AZ$190,,MATCH(SUBSTITUTE(BC$3,"Q","T"),Inputs!$B$2:$AZ$2,0)),Inputs!$B$2:$B$190,$B56)*Inputs!$D$1),"",SUMIFS(INDEX(Inputs!$B$2:$AZ$190,,MATCH(SUBSTITUTE(BC$3,"Q","T"),Inputs!$B$2:$AZ$2,0)),Inputs!$B$2:$B$190,$B56)*Inputs!$D$1)</f>
        <v>0</v>
      </c>
      <c r="BD56" s="57">
        <f>IF(ISNA(SUMIFS(INDEX(Inputs!$B$2:$AZ$190,,MATCH(SUBSTITUTE(BD$3,"Q","T"),Inputs!$B$2:$AZ$2,0)),Inputs!$B$2:$B$190,$B56)*Inputs!$D$1),"",SUMIFS(INDEX(Inputs!$B$2:$AZ$190,,MATCH(SUBSTITUTE(BD$3,"Q","T"),Inputs!$B$2:$AZ$2,0)),Inputs!$B$2:$B$190,$B56)*Inputs!$D$1)</f>
        <v>0</v>
      </c>
      <c r="BE56" s="57">
        <f>IF(ISNA(SUMIFS(INDEX(Inputs!$B$2:$AZ$190,,MATCH(SUBSTITUTE(BE$3,"Q","T"),Inputs!$B$2:$AZ$2,0)),Inputs!$B$2:$B$190,$B56)*Inputs!$D$1),"",SUMIFS(INDEX(Inputs!$B$2:$AZ$190,,MATCH(SUBSTITUTE(BE$3,"Q","T"),Inputs!$B$2:$AZ$2,0)),Inputs!$B$2:$B$190,$B56)*Inputs!$D$1)</f>
        <v>0</v>
      </c>
      <c r="BF56" s="57">
        <f>IF(ISNA(SUMIFS(INDEX(Inputs!$B$2:$AZ$190,,MATCH(SUBSTITUTE(BF$3,"Q","T"),Inputs!$B$2:$AZ$2,0)),Inputs!$B$2:$B$190,$B56)*Inputs!$D$1),"",SUMIFS(INDEX(Inputs!$B$2:$AZ$190,,MATCH(SUBSTITUTE(BF$3,"Q","T"),Inputs!$B$2:$AZ$2,0)),Inputs!$B$2:$B$190,$B56)*Inputs!$D$1)</f>
        <v>0</v>
      </c>
      <c r="BG56" s="58">
        <f>BF56</f>
        <v>0</v>
      </c>
    </row>
    <row r="58">
      <c r="B58" s="7" t="n"/>
      <c r="C58" s="7" t="inlineStr">
        <is>
          <t>PATRIMÔNIO LÍQUIDO</t>
        </is>
      </c>
      <c r="D58" s="7" t="inlineStr">
        <is>
          <t>EQUITY</t>
        </is>
      </c>
      <c r="E58" s="7" t="n"/>
      <c r="F58" s="7" t="n"/>
      <c r="G58" s="7" t="n"/>
      <c r="H58" s="7" t="n"/>
      <c r="I58" s="7" t="n"/>
      <c r="J58" s="7" t="n"/>
      <c r="K58" s="7" t="n"/>
      <c r="L58" s="7" t="n"/>
      <c r="M58" s="7" t="n"/>
      <c r="N58" s="7" t="n"/>
      <c r="O58" s="7" t="n"/>
      <c r="P58" s="7" t="n"/>
      <c r="Q58" s="7" t="n"/>
      <c r="R58" s="7" t="n"/>
      <c r="S58" s="7" t="n"/>
      <c r="T58" s="7" t="n"/>
      <c r="U58" s="7" t="n"/>
      <c r="V58" s="7" t="n"/>
      <c r="W58" s="7" t="n"/>
      <c r="X58" s="7" t="n"/>
      <c r="Y58" s="7" t="n"/>
      <c r="Z58" s="7" t="n"/>
      <c r="AA58" s="7" t="n"/>
      <c r="AB58" s="7" t="n"/>
      <c r="AC58" s="7" t="n"/>
      <c r="AD58" s="7" t="n"/>
      <c r="AE58" s="7" t="n"/>
      <c r="AF58" s="7" t="n"/>
      <c r="AG58" s="7" t="n"/>
      <c r="AH58" s="7" t="n"/>
      <c r="AI58" s="7" t="n"/>
      <c r="AJ58" s="7" t="n"/>
      <c r="AK58" s="7" t="n"/>
      <c r="AL58" s="7" t="n"/>
      <c r="AM58" s="7" t="n"/>
      <c r="AN58" s="7" t="n"/>
      <c r="AO58" s="7" t="n"/>
      <c r="AP58" s="7" t="n"/>
      <c r="AQ58" s="7" t="n"/>
      <c r="AR58" s="7" t="n"/>
      <c r="AS58" s="7" t="n"/>
      <c r="AT58" s="7" t="n"/>
      <c r="AU58" s="7" t="n"/>
      <c r="AV58" s="7" t="n"/>
      <c r="AW58" s="7" t="n"/>
      <c r="AX58" s="7" t="n"/>
      <c r="AY58" s="7" t="n"/>
      <c r="AZ58" s="7" t="n"/>
      <c r="BA58" s="7" t="n"/>
      <c r="BB58" s="7" t="n"/>
      <c r="BC58" s="7" t="n"/>
      <c r="BD58" s="7" t="n"/>
      <c r="BE58" s="7" t="n"/>
      <c r="BF58" s="7" t="n"/>
      <c r="BG58" s="7" t="n"/>
      <c r="BH58" s="7" t="n"/>
      <c r="BI58" s="7" t="n"/>
    </row>
    <row r="59">
      <c r="C59" s="15" t="inlineStr">
        <is>
          <t>Patrimônio líquido da companhia (ordinário + preferencial)</t>
        </is>
      </c>
      <c r="D59" s="16" t="inlineStr">
        <is>
          <t>Total stockholders’ equity</t>
        </is>
      </c>
      <c r="E59" s="59">
        <f>IFERROR(E60+E61+E62+E63+E64+N(E65),"")</f>
        <v>0</v>
      </c>
      <c r="F59" s="59">
        <f>IFERROR(F60+F61+F62+F63+F64+N(F65),"")</f>
        <v>0</v>
      </c>
      <c r="G59" s="59">
        <f>IFERROR(G60+G61+G62+G63+G64+N(G65),"")</f>
        <v>0</v>
      </c>
      <c r="H59" s="59">
        <f>IFERROR(H60+H61+H62+H63+H64+N(H65),"")</f>
        <v>0</v>
      </c>
      <c r="I59" s="60">
        <f>H59</f>
        <v>0</v>
      </c>
      <c r="J59" s="59">
        <f>IFERROR(J60+J61+J62+J63+J64+N(J65),"")</f>
        <v>0</v>
      </c>
      <c r="K59" s="59">
        <f>IFERROR(K60+K61+K62+K63+K64+N(K65),"")</f>
        <v>0</v>
      </c>
      <c r="L59" s="59">
        <f>IFERROR(L60+L61+L62+L63+L64+N(L65),"")</f>
        <v>0</v>
      </c>
      <c r="M59" s="59">
        <f>IFERROR(M60+M61+M62+M63+M64+N(M65),"")</f>
        <v>0</v>
      </c>
      <c r="N59" s="60">
        <f>M59</f>
        <v>0</v>
      </c>
      <c r="O59" s="59">
        <f>IFERROR(O60+O61+O62+O63+O64+N(O65),"")</f>
        <v>0</v>
      </c>
      <c r="P59" s="59">
        <f>IFERROR(P60+P61+P62+P63+P64+N(P65),"")</f>
        <v>0</v>
      </c>
      <c r="Q59" s="59">
        <f>IFERROR(Q60+Q61+Q62+Q63+Q64+N(Q65),"")</f>
        <v>0</v>
      </c>
      <c r="R59" s="59">
        <f>IFERROR(R60+R61+R62+R63+R64+N(R65),"")</f>
        <v>0</v>
      </c>
      <c r="S59" s="60">
        <f>R59</f>
        <v>0</v>
      </c>
      <c r="T59" s="59">
        <f>IFERROR(T60+T61+T62+T63+T64+N(T65),"")</f>
        <v>0</v>
      </c>
      <c r="U59" s="59">
        <f>IFERROR(U60+U61+U62+U63+U64+N(U65),"")</f>
        <v>0</v>
      </c>
      <c r="V59" s="59">
        <f>IFERROR(V60+V61+V62+V63+V64+N(V65),"")</f>
        <v>0</v>
      </c>
      <c r="W59" s="59">
        <f>IFERROR(W60+W61+W62+W63+W64+N(W65),"")</f>
        <v>0</v>
      </c>
      <c r="X59" s="60">
        <f>W59</f>
        <v>0</v>
      </c>
      <c r="Y59" s="59">
        <f>IFERROR(Y60+Y61+Y62+Y63+Y64+N(Y65),"")</f>
        <v>0</v>
      </c>
      <c r="Z59" s="59">
        <f>IFERROR(Z60+Z61+Z62+Z63+Z64+N(Z65),"")</f>
        <v>0</v>
      </c>
      <c r="AA59" s="59">
        <f>IFERROR(AA60+AA61+AA62+AA63+AA64+N(AA65),"")</f>
        <v>0</v>
      </c>
      <c r="AB59" s="59">
        <f>IFERROR(AB60+AB61+AB62+AB63+AB64+N(AB65),"")</f>
        <v>0</v>
      </c>
      <c r="AC59" s="60">
        <f>AB59</f>
        <v>0</v>
      </c>
      <c r="AD59" s="59">
        <f>IFERROR(AD60+AD61+AD62+AD63+AD64+N(AD65),"")</f>
        <v>0</v>
      </c>
      <c r="AE59" s="59">
        <f>IFERROR(AE60+AE61+AE62+AE63+AE64+N(AE65),"")</f>
        <v>0</v>
      </c>
      <c r="AF59" s="59">
        <f>IFERROR(AF60+AF61+AF62+AF63+AF64+N(AF65),"")</f>
        <v>0</v>
      </c>
      <c r="AG59" s="59">
        <f>IFERROR(AG60+AG61+AG62+AG63+AG64+N(AG65),"")</f>
        <v>0</v>
      </c>
      <c r="AH59" s="60">
        <f>AG59</f>
        <v>0</v>
      </c>
      <c r="AI59" s="59">
        <f>IFERROR(AI60+AI61+AI62+AI63+AI64+N(AI65),"")</f>
        <v>0</v>
      </c>
      <c r="AJ59" s="59">
        <f>IFERROR(AJ60+AJ61+AJ62+AJ63+AJ64+N(AJ65),"")</f>
        <v>0</v>
      </c>
      <c r="AK59" s="59">
        <f>IFERROR(AK60+AK61+AK62+AK63+AK64+N(AK65),"")</f>
        <v>0</v>
      </c>
      <c r="AL59" s="59">
        <f>IFERROR(AL60+AL61+AL62+AL63+AL64+N(AL65),"")</f>
        <v>0</v>
      </c>
      <c r="AM59" s="60">
        <f>AL59</f>
        <v>0</v>
      </c>
      <c r="AN59" s="59">
        <f>IFERROR(AN60+AN61+AN62+AN63+AN64+N(AN65),"")</f>
        <v>0</v>
      </c>
      <c r="AO59" s="59">
        <f>IFERROR(AO60+AO61+AO62+AO63+AO64+N(AO65),"")</f>
        <v>0</v>
      </c>
      <c r="AP59" s="59">
        <f>IFERROR(AP60+AP61+AP62+AP63+AP64+N(AP65),"")</f>
        <v>0</v>
      </c>
      <c r="AQ59" s="59">
        <f>IFERROR(AQ60+AQ61+AQ62+AQ63+AQ64+N(AQ65),"")</f>
        <v>0</v>
      </c>
      <c r="AR59" s="60">
        <f>AQ59</f>
        <v>0</v>
      </c>
      <c r="AS59" s="59">
        <f>IFERROR(AS60+AS61+AS62+AS63+AS64+N(AS65),"")</f>
        <v>0</v>
      </c>
      <c r="AT59" s="59">
        <f>IFERROR(AT60+AT61+AT62+AT63+AT64+N(AT65),"")</f>
        <v>0</v>
      </c>
      <c r="AU59" s="59">
        <f>IFERROR(AU60+AU61+AU62+AU63+AU64+N(AU65),"")</f>
        <v>0</v>
      </c>
      <c r="AV59" s="59">
        <f>IFERROR(AV60+AV61+AV62+AV63+AV64+N(AV65),"")</f>
        <v>0</v>
      </c>
      <c r="AW59" s="60">
        <f>AV59</f>
        <v>0</v>
      </c>
      <c r="AX59" s="59">
        <f>IFERROR(AX60+AX61+AX62+AX63+AX64+N(AX65),"")</f>
        <v>0</v>
      </c>
      <c r="AY59" s="59">
        <f>IFERROR(AY60+AY61+AY62+AY63+AY64+N(AY65),"")</f>
        <v>0</v>
      </c>
      <c r="AZ59" s="59">
        <f>IFERROR(AZ60+AZ61+AZ62+AZ63+AZ64+N(AZ65),"")</f>
        <v>0</v>
      </c>
      <c r="BA59" s="59">
        <f>IFERROR(BA60+BA61+BA62+BA63+BA64+N(BA65),"")</f>
        <v>0</v>
      </c>
      <c r="BB59" s="60">
        <f>BA59</f>
        <v>0</v>
      </c>
      <c r="BC59" s="59">
        <f>IFERROR(BC60+BC61+BC62+BC63+BC64+N(BC65),"")</f>
        <v>0</v>
      </c>
      <c r="BD59" s="59">
        <f>IFERROR(BD60+BD61+BD62+BD63+BD64+N(BD65),"")</f>
        <v>0</v>
      </c>
      <c r="BE59" s="59">
        <f>IFERROR(BE60+BE61+BE62+BE63+BE64+N(BE65),"")</f>
        <v>0</v>
      </c>
      <c r="BF59" s="59">
        <f>IFERROR(BF60+BF61+BF62+BF63+BF64+N(BF65),"")</f>
        <v>0</v>
      </c>
      <c r="BG59" s="60">
        <f>BF59</f>
        <v>0</v>
      </c>
    </row>
    <row r="60" hidden="1" outlineLevel="1">
      <c r="B60" s="56" t="inlineStr">
        <is>
          <t>common_stk</t>
        </is>
      </c>
      <c r="C60" s="61" t="inlineStr">
        <is>
          <t>Ações ordinárias (valor nominal)</t>
        </is>
      </c>
      <c r="D60" s="62" t="inlineStr">
        <is>
          <t>Common stock</t>
        </is>
      </c>
      <c r="E60" s="57">
        <f>IF(ISNA(SUMIFS(INDEX(Inputs!$B$2:$AZ$190,,MATCH(SUBSTITUTE(E$3,"Q","T"),Inputs!$B$2:$AZ$2,0)),Inputs!$B$2:$B$190,$B60)*Inputs!$D$1),"",SUMIFS(INDEX(Inputs!$B$2:$AZ$190,,MATCH(SUBSTITUTE(E$3,"Q","T"),Inputs!$B$2:$AZ$2,0)),Inputs!$B$2:$B$190,$B60)*Inputs!$D$1)</f>
        <v>0</v>
      </c>
      <c r="F60" s="57">
        <f>IF(ISNA(SUMIFS(INDEX(Inputs!$B$2:$AZ$190,,MATCH(SUBSTITUTE(F$3,"Q","T"),Inputs!$B$2:$AZ$2,0)),Inputs!$B$2:$B$190,$B60)*Inputs!$D$1),"",SUMIFS(INDEX(Inputs!$B$2:$AZ$190,,MATCH(SUBSTITUTE(F$3,"Q","T"),Inputs!$B$2:$AZ$2,0)),Inputs!$B$2:$B$190,$B60)*Inputs!$D$1)</f>
        <v>0</v>
      </c>
      <c r="G60" s="57">
        <f>IF(ISNA(SUMIFS(INDEX(Inputs!$B$2:$AZ$190,,MATCH(SUBSTITUTE(G$3,"Q","T"),Inputs!$B$2:$AZ$2,0)),Inputs!$B$2:$B$190,$B60)*Inputs!$D$1),"",SUMIFS(INDEX(Inputs!$B$2:$AZ$190,,MATCH(SUBSTITUTE(G$3,"Q","T"),Inputs!$B$2:$AZ$2,0)),Inputs!$B$2:$B$190,$B60)*Inputs!$D$1)</f>
        <v>0</v>
      </c>
      <c r="H60" s="57">
        <f>IF(ISNA(SUMIFS(INDEX(Inputs!$B$2:$AZ$190,,MATCH(SUBSTITUTE(H$3,"Q","T"),Inputs!$B$2:$AZ$2,0)),Inputs!$B$2:$B$190,$B60)*Inputs!$D$1),"",SUMIFS(INDEX(Inputs!$B$2:$AZ$190,,MATCH(SUBSTITUTE(H$3,"Q","T"),Inputs!$B$2:$AZ$2,0)),Inputs!$B$2:$B$190,$B60)*Inputs!$D$1)</f>
        <v>0</v>
      </c>
      <c r="I60" s="58">
        <f>H60</f>
        <v>0</v>
      </c>
      <c r="J60" s="57">
        <f>IF(ISNA(SUMIFS(INDEX(Inputs!$B$2:$AZ$190,,MATCH(SUBSTITUTE(J$3,"Q","T"),Inputs!$B$2:$AZ$2,0)),Inputs!$B$2:$B$190,$B60)*Inputs!$D$1),"",SUMIFS(INDEX(Inputs!$B$2:$AZ$190,,MATCH(SUBSTITUTE(J$3,"Q","T"),Inputs!$B$2:$AZ$2,0)),Inputs!$B$2:$B$190,$B60)*Inputs!$D$1)</f>
        <v>0</v>
      </c>
      <c r="K60" s="57">
        <f>IF(ISNA(SUMIFS(INDEX(Inputs!$B$2:$AZ$190,,MATCH(SUBSTITUTE(K$3,"Q","T"),Inputs!$B$2:$AZ$2,0)),Inputs!$B$2:$B$190,$B60)*Inputs!$D$1),"",SUMIFS(INDEX(Inputs!$B$2:$AZ$190,,MATCH(SUBSTITUTE(K$3,"Q","T"),Inputs!$B$2:$AZ$2,0)),Inputs!$B$2:$B$190,$B60)*Inputs!$D$1)</f>
        <v>0</v>
      </c>
      <c r="L60" s="57">
        <f>IF(ISNA(SUMIFS(INDEX(Inputs!$B$2:$AZ$190,,MATCH(SUBSTITUTE(L$3,"Q","T"),Inputs!$B$2:$AZ$2,0)),Inputs!$B$2:$B$190,$B60)*Inputs!$D$1),"",SUMIFS(INDEX(Inputs!$B$2:$AZ$190,,MATCH(SUBSTITUTE(L$3,"Q","T"),Inputs!$B$2:$AZ$2,0)),Inputs!$B$2:$B$190,$B60)*Inputs!$D$1)</f>
        <v>0</v>
      </c>
      <c r="M60" s="57">
        <f>IF(ISNA(SUMIFS(INDEX(Inputs!$B$2:$AZ$190,,MATCH(SUBSTITUTE(M$3,"Q","T"),Inputs!$B$2:$AZ$2,0)),Inputs!$B$2:$B$190,$B60)*Inputs!$D$1),"",SUMIFS(INDEX(Inputs!$B$2:$AZ$190,,MATCH(SUBSTITUTE(M$3,"Q","T"),Inputs!$B$2:$AZ$2,0)),Inputs!$B$2:$B$190,$B60)*Inputs!$D$1)</f>
        <v>0</v>
      </c>
      <c r="N60" s="58">
        <f>M60</f>
        <v>0</v>
      </c>
      <c r="O60" s="57">
        <f>IF(ISNA(SUMIFS(INDEX(Inputs!$B$2:$AZ$190,,MATCH(SUBSTITUTE(O$3,"Q","T"),Inputs!$B$2:$AZ$2,0)),Inputs!$B$2:$B$190,$B60)*Inputs!$D$1),"",SUMIFS(INDEX(Inputs!$B$2:$AZ$190,,MATCH(SUBSTITUTE(O$3,"Q","T"),Inputs!$B$2:$AZ$2,0)),Inputs!$B$2:$B$190,$B60)*Inputs!$D$1)</f>
        <v>0</v>
      </c>
      <c r="P60" s="57">
        <f>IF(ISNA(SUMIFS(INDEX(Inputs!$B$2:$AZ$190,,MATCH(SUBSTITUTE(P$3,"Q","T"),Inputs!$B$2:$AZ$2,0)),Inputs!$B$2:$B$190,$B60)*Inputs!$D$1),"",SUMIFS(INDEX(Inputs!$B$2:$AZ$190,,MATCH(SUBSTITUTE(P$3,"Q","T"),Inputs!$B$2:$AZ$2,0)),Inputs!$B$2:$B$190,$B60)*Inputs!$D$1)</f>
        <v>0</v>
      </c>
      <c r="Q60" s="57">
        <f>IF(ISNA(SUMIFS(INDEX(Inputs!$B$2:$AZ$190,,MATCH(SUBSTITUTE(Q$3,"Q","T"),Inputs!$B$2:$AZ$2,0)),Inputs!$B$2:$B$190,$B60)*Inputs!$D$1),"",SUMIFS(INDEX(Inputs!$B$2:$AZ$190,,MATCH(SUBSTITUTE(Q$3,"Q","T"),Inputs!$B$2:$AZ$2,0)),Inputs!$B$2:$B$190,$B60)*Inputs!$D$1)</f>
        <v>0</v>
      </c>
      <c r="R60" s="57">
        <f>IF(ISNA(SUMIFS(INDEX(Inputs!$B$2:$AZ$190,,MATCH(SUBSTITUTE(R$3,"Q","T"),Inputs!$B$2:$AZ$2,0)),Inputs!$B$2:$B$190,$B60)*Inputs!$D$1),"",SUMIFS(INDEX(Inputs!$B$2:$AZ$190,,MATCH(SUBSTITUTE(R$3,"Q","T"),Inputs!$B$2:$AZ$2,0)),Inputs!$B$2:$B$190,$B60)*Inputs!$D$1)</f>
        <v>0</v>
      </c>
      <c r="S60" s="58">
        <f>R60</f>
        <v>0</v>
      </c>
      <c r="T60" s="57">
        <f>IF(ISNA(SUMIFS(INDEX(Inputs!$B$2:$AZ$190,,MATCH(SUBSTITUTE(T$3,"Q","T"),Inputs!$B$2:$AZ$2,0)),Inputs!$B$2:$B$190,$B60)*Inputs!$D$1),"",SUMIFS(INDEX(Inputs!$B$2:$AZ$190,,MATCH(SUBSTITUTE(T$3,"Q","T"),Inputs!$B$2:$AZ$2,0)),Inputs!$B$2:$B$190,$B60)*Inputs!$D$1)</f>
        <v>0</v>
      </c>
      <c r="U60" s="57">
        <f>IF(ISNA(SUMIFS(INDEX(Inputs!$B$2:$AZ$190,,MATCH(SUBSTITUTE(U$3,"Q","T"),Inputs!$B$2:$AZ$2,0)),Inputs!$B$2:$B$190,$B60)*Inputs!$D$1),"",SUMIFS(INDEX(Inputs!$B$2:$AZ$190,,MATCH(SUBSTITUTE(U$3,"Q","T"),Inputs!$B$2:$AZ$2,0)),Inputs!$B$2:$B$190,$B60)*Inputs!$D$1)</f>
        <v>0</v>
      </c>
      <c r="V60" s="57">
        <f>IF(ISNA(SUMIFS(INDEX(Inputs!$B$2:$AZ$190,,MATCH(SUBSTITUTE(V$3,"Q","T"),Inputs!$B$2:$AZ$2,0)),Inputs!$B$2:$B$190,$B60)*Inputs!$D$1),"",SUMIFS(INDEX(Inputs!$B$2:$AZ$190,,MATCH(SUBSTITUTE(V$3,"Q","T"),Inputs!$B$2:$AZ$2,0)),Inputs!$B$2:$B$190,$B60)*Inputs!$D$1)</f>
        <v>0</v>
      </c>
      <c r="W60" s="57">
        <f>IF(ISNA(SUMIFS(INDEX(Inputs!$B$2:$AZ$190,,MATCH(SUBSTITUTE(W$3,"Q","T"),Inputs!$B$2:$AZ$2,0)),Inputs!$B$2:$B$190,$B60)*Inputs!$D$1),"",SUMIFS(INDEX(Inputs!$B$2:$AZ$190,,MATCH(SUBSTITUTE(W$3,"Q","T"),Inputs!$B$2:$AZ$2,0)),Inputs!$B$2:$B$190,$B60)*Inputs!$D$1)</f>
        <v>0</v>
      </c>
      <c r="X60" s="58">
        <f>W60</f>
        <v>0</v>
      </c>
      <c r="Y60" s="57">
        <f>IF(ISNA(SUMIFS(INDEX(Inputs!$B$2:$AZ$190,,MATCH(SUBSTITUTE(Y$3,"Q","T"),Inputs!$B$2:$AZ$2,0)),Inputs!$B$2:$B$190,$B60)*Inputs!$D$1),"",SUMIFS(INDEX(Inputs!$B$2:$AZ$190,,MATCH(SUBSTITUTE(Y$3,"Q","T"),Inputs!$B$2:$AZ$2,0)),Inputs!$B$2:$B$190,$B60)*Inputs!$D$1)</f>
        <v>0</v>
      </c>
      <c r="Z60" s="57">
        <f>IF(ISNA(SUMIFS(INDEX(Inputs!$B$2:$AZ$190,,MATCH(SUBSTITUTE(Z$3,"Q","T"),Inputs!$B$2:$AZ$2,0)),Inputs!$B$2:$B$190,$B60)*Inputs!$D$1),"",SUMIFS(INDEX(Inputs!$B$2:$AZ$190,,MATCH(SUBSTITUTE(Z$3,"Q","T"),Inputs!$B$2:$AZ$2,0)),Inputs!$B$2:$B$190,$B60)*Inputs!$D$1)</f>
        <v>0</v>
      </c>
      <c r="AA60" s="57">
        <f>IF(ISNA(SUMIFS(INDEX(Inputs!$B$2:$AZ$190,,MATCH(SUBSTITUTE(AA$3,"Q","T"),Inputs!$B$2:$AZ$2,0)),Inputs!$B$2:$B$190,$B60)*Inputs!$D$1),"",SUMIFS(INDEX(Inputs!$B$2:$AZ$190,,MATCH(SUBSTITUTE(AA$3,"Q","T"),Inputs!$B$2:$AZ$2,0)),Inputs!$B$2:$B$190,$B60)*Inputs!$D$1)</f>
        <v>0</v>
      </c>
      <c r="AB60" s="57">
        <f>IF(ISNA(SUMIFS(INDEX(Inputs!$B$2:$AZ$190,,MATCH(SUBSTITUTE(AB$3,"Q","T"),Inputs!$B$2:$AZ$2,0)),Inputs!$B$2:$B$190,$B60)*Inputs!$D$1),"",SUMIFS(INDEX(Inputs!$B$2:$AZ$190,,MATCH(SUBSTITUTE(AB$3,"Q","T"),Inputs!$B$2:$AZ$2,0)),Inputs!$B$2:$B$190,$B60)*Inputs!$D$1)</f>
        <v>0</v>
      </c>
      <c r="AC60" s="58">
        <f>AB60</f>
        <v>0</v>
      </c>
      <c r="AD60" s="57">
        <f>IF(ISNA(SUMIFS(INDEX(Inputs!$B$2:$AZ$190,,MATCH(SUBSTITUTE(AD$3,"Q","T"),Inputs!$B$2:$AZ$2,0)),Inputs!$B$2:$B$190,$B60)*Inputs!$D$1),"",SUMIFS(INDEX(Inputs!$B$2:$AZ$190,,MATCH(SUBSTITUTE(AD$3,"Q","T"),Inputs!$B$2:$AZ$2,0)),Inputs!$B$2:$B$190,$B60)*Inputs!$D$1)</f>
        <v>0</v>
      </c>
      <c r="AE60" s="57">
        <f>IF(ISNA(SUMIFS(INDEX(Inputs!$B$2:$AZ$190,,MATCH(SUBSTITUTE(AE$3,"Q","T"),Inputs!$B$2:$AZ$2,0)),Inputs!$B$2:$B$190,$B60)*Inputs!$D$1),"",SUMIFS(INDEX(Inputs!$B$2:$AZ$190,,MATCH(SUBSTITUTE(AE$3,"Q","T"),Inputs!$B$2:$AZ$2,0)),Inputs!$B$2:$B$190,$B60)*Inputs!$D$1)</f>
        <v>0</v>
      </c>
      <c r="AF60" s="57">
        <f>IF(ISNA(SUMIFS(INDEX(Inputs!$B$2:$AZ$190,,MATCH(SUBSTITUTE(AF$3,"Q","T"),Inputs!$B$2:$AZ$2,0)),Inputs!$B$2:$B$190,$B60)*Inputs!$D$1),"",SUMIFS(INDEX(Inputs!$B$2:$AZ$190,,MATCH(SUBSTITUTE(AF$3,"Q","T"),Inputs!$B$2:$AZ$2,0)),Inputs!$B$2:$B$190,$B60)*Inputs!$D$1)</f>
        <v>0</v>
      </c>
      <c r="AG60" s="57">
        <f>IF(ISNA(SUMIFS(INDEX(Inputs!$B$2:$AZ$190,,MATCH(SUBSTITUTE(AG$3,"Q","T"),Inputs!$B$2:$AZ$2,0)),Inputs!$B$2:$B$190,$B60)*Inputs!$D$1),"",SUMIFS(INDEX(Inputs!$B$2:$AZ$190,,MATCH(SUBSTITUTE(AG$3,"Q","T"),Inputs!$B$2:$AZ$2,0)),Inputs!$B$2:$B$190,$B60)*Inputs!$D$1)</f>
        <v>0</v>
      </c>
      <c r="AH60" s="58">
        <f>AG60</f>
        <v>0</v>
      </c>
      <c r="AI60" s="57">
        <f>IF(ISNA(SUMIFS(INDEX(Inputs!$B$2:$AZ$190,,MATCH(SUBSTITUTE(AI$3,"Q","T"),Inputs!$B$2:$AZ$2,0)),Inputs!$B$2:$B$190,$B60)*Inputs!$D$1),"",SUMIFS(INDEX(Inputs!$B$2:$AZ$190,,MATCH(SUBSTITUTE(AI$3,"Q","T"),Inputs!$B$2:$AZ$2,0)),Inputs!$B$2:$B$190,$B60)*Inputs!$D$1)</f>
        <v>0</v>
      </c>
      <c r="AJ60" s="57">
        <f>IF(ISNA(SUMIFS(INDEX(Inputs!$B$2:$AZ$190,,MATCH(SUBSTITUTE(AJ$3,"Q","T"),Inputs!$B$2:$AZ$2,0)),Inputs!$B$2:$B$190,$B60)*Inputs!$D$1),"",SUMIFS(INDEX(Inputs!$B$2:$AZ$190,,MATCH(SUBSTITUTE(AJ$3,"Q","T"),Inputs!$B$2:$AZ$2,0)),Inputs!$B$2:$B$190,$B60)*Inputs!$D$1)</f>
        <v>0</v>
      </c>
      <c r="AK60" s="57">
        <f>IF(ISNA(SUMIFS(INDEX(Inputs!$B$2:$AZ$190,,MATCH(SUBSTITUTE(AK$3,"Q","T"),Inputs!$B$2:$AZ$2,0)),Inputs!$B$2:$B$190,$B60)*Inputs!$D$1),"",SUMIFS(INDEX(Inputs!$B$2:$AZ$190,,MATCH(SUBSTITUTE(AK$3,"Q","T"),Inputs!$B$2:$AZ$2,0)),Inputs!$B$2:$B$190,$B60)*Inputs!$D$1)</f>
        <v>0</v>
      </c>
      <c r="AL60" s="57">
        <f>IF(ISNA(SUMIFS(INDEX(Inputs!$B$2:$AZ$190,,MATCH(SUBSTITUTE(AL$3,"Q","T"),Inputs!$B$2:$AZ$2,0)),Inputs!$B$2:$B$190,$B60)*Inputs!$D$1),"",SUMIFS(INDEX(Inputs!$B$2:$AZ$190,,MATCH(SUBSTITUTE(AL$3,"Q","T"),Inputs!$B$2:$AZ$2,0)),Inputs!$B$2:$B$190,$B60)*Inputs!$D$1)</f>
        <v>0</v>
      </c>
      <c r="AM60" s="58">
        <f>AL60</f>
        <v>0</v>
      </c>
      <c r="AN60" s="57">
        <f>IF(ISNA(SUMIFS(INDEX(Inputs!$B$2:$AZ$190,,MATCH(SUBSTITUTE(AN$3,"Q","T"),Inputs!$B$2:$AZ$2,0)),Inputs!$B$2:$B$190,$B60)*Inputs!$D$1),"",SUMIFS(INDEX(Inputs!$B$2:$AZ$190,,MATCH(SUBSTITUTE(AN$3,"Q","T"),Inputs!$B$2:$AZ$2,0)),Inputs!$B$2:$B$190,$B60)*Inputs!$D$1)</f>
        <v>0</v>
      </c>
      <c r="AO60" s="57">
        <f>IF(ISNA(SUMIFS(INDEX(Inputs!$B$2:$AZ$190,,MATCH(SUBSTITUTE(AO$3,"Q","T"),Inputs!$B$2:$AZ$2,0)),Inputs!$B$2:$B$190,$B60)*Inputs!$D$1),"",SUMIFS(INDEX(Inputs!$B$2:$AZ$190,,MATCH(SUBSTITUTE(AO$3,"Q","T"),Inputs!$B$2:$AZ$2,0)),Inputs!$B$2:$B$190,$B60)*Inputs!$D$1)</f>
        <v>0</v>
      </c>
      <c r="AP60" s="57">
        <f>IF(ISNA(SUMIFS(INDEX(Inputs!$B$2:$AZ$190,,MATCH(SUBSTITUTE(AP$3,"Q","T"),Inputs!$B$2:$AZ$2,0)),Inputs!$B$2:$B$190,$B60)*Inputs!$D$1),"",SUMIFS(INDEX(Inputs!$B$2:$AZ$190,,MATCH(SUBSTITUTE(AP$3,"Q","T"),Inputs!$B$2:$AZ$2,0)),Inputs!$B$2:$B$190,$B60)*Inputs!$D$1)</f>
        <v>0</v>
      </c>
      <c r="AQ60" s="57">
        <f>IF(ISNA(SUMIFS(INDEX(Inputs!$B$2:$AZ$190,,MATCH(SUBSTITUTE(AQ$3,"Q","T"),Inputs!$B$2:$AZ$2,0)),Inputs!$B$2:$B$190,$B60)*Inputs!$D$1),"",SUMIFS(INDEX(Inputs!$B$2:$AZ$190,,MATCH(SUBSTITUTE(AQ$3,"Q","T"),Inputs!$B$2:$AZ$2,0)),Inputs!$B$2:$B$190,$B60)*Inputs!$D$1)</f>
        <v>0</v>
      </c>
      <c r="AR60" s="58">
        <f>AQ60</f>
        <v>0</v>
      </c>
      <c r="AS60" s="57">
        <f>IF(ISNA(SUMIFS(INDEX(Inputs!$B$2:$AZ$190,,MATCH(SUBSTITUTE(AS$3,"Q","T"),Inputs!$B$2:$AZ$2,0)),Inputs!$B$2:$B$190,$B60)*Inputs!$D$1),"",SUMIFS(INDEX(Inputs!$B$2:$AZ$190,,MATCH(SUBSTITUTE(AS$3,"Q","T"),Inputs!$B$2:$AZ$2,0)),Inputs!$B$2:$B$190,$B60)*Inputs!$D$1)</f>
        <v>0</v>
      </c>
      <c r="AT60" s="57">
        <f>IF(ISNA(SUMIFS(INDEX(Inputs!$B$2:$AZ$190,,MATCH(SUBSTITUTE(AT$3,"Q","T"),Inputs!$B$2:$AZ$2,0)),Inputs!$B$2:$B$190,$B60)*Inputs!$D$1),"",SUMIFS(INDEX(Inputs!$B$2:$AZ$190,,MATCH(SUBSTITUTE(AT$3,"Q","T"),Inputs!$B$2:$AZ$2,0)),Inputs!$B$2:$B$190,$B60)*Inputs!$D$1)</f>
        <v>0</v>
      </c>
      <c r="AU60" s="57">
        <f>IF(ISNA(SUMIFS(INDEX(Inputs!$B$2:$AZ$190,,MATCH(SUBSTITUTE(AU$3,"Q","T"),Inputs!$B$2:$AZ$2,0)),Inputs!$B$2:$B$190,$B60)*Inputs!$D$1),"",SUMIFS(INDEX(Inputs!$B$2:$AZ$190,,MATCH(SUBSTITUTE(AU$3,"Q","T"),Inputs!$B$2:$AZ$2,0)),Inputs!$B$2:$B$190,$B60)*Inputs!$D$1)</f>
        <v>0</v>
      </c>
      <c r="AV60" s="57">
        <f>IF(ISNA(SUMIFS(INDEX(Inputs!$B$2:$AZ$190,,MATCH(SUBSTITUTE(AV$3,"Q","T"),Inputs!$B$2:$AZ$2,0)),Inputs!$B$2:$B$190,$B60)*Inputs!$D$1),"",SUMIFS(INDEX(Inputs!$B$2:$AZ$190,,MATCH(SUBSTITUTE(AV$3,"Q","T"),Inputs!$B$2:$AZ$2,0)),Inputs!$B$2:$B$190,$B60)*Inputs!$D$1)</f>
        <v>0</v>
      </c>
      <c r="AW60" s="58">
        <f>AV60</f>
        <v>0</v>
      </c>
      <c r="AX60" s="57">
        <f>IF(ISNA(SUMIFS(INDEX(Inputs!$B$2:$AZ$190,,MATCH(SUBSTITUTE(AX$3,"Q","T"),Inputs!$B$2:$AZ$2,0)),Inputs!$B$2:$B$190,$B60)*Inputs!$D$1),"",SUMIFS(INDEX(Inputs!$B$2:$AZ$190,,MATCH(SUBSTITUTE(AX$3,"Q","T"),Inputs!$B$2:$AZ$2,0)),Inputs!$B$2:$B$190,$B60)*Inputs!$D$1)</f>
        <v>0</v>
      </c>
      <c r="AY60" s="57">
        <f>IF(ISNA(SUMIFS(INDEX(Inputs!$B$2:$AZ$190,,MATCH(SUBSTITUTE(AY$3,"Q","T"),Inputs!$B$2:$AZ$2,0)),Inputs!$B$2:$B$190,$B60)*Inputs!$D$1),"",SUMIFS(INDEX(Inputs!$B$2:$AZ$190,,MATCH(SUBSTITUTE(AY$3,"Q","T"),Inputs!$B$2:$AZ$2,0)),Inputs!$B$2:$B$190,$B60)*Inputs!$D$1)</f>
        <v>0</v>
      </c>
      <c r="AZ60" s="57">
        <f>IF(ISNA(SUMIFS(INDEX(Inputs!$B$2:$AZ$190,,MATCH(SUBSTITUTE(AZ$3,"Q","T"),Inputs!$B$2:$AZ$2,0)),Inputs!$B$2:$B$190,$B60)*Inputs!$D$1),"",SUMIFS(INDEX(Inputs!$B$2:$AZ$190,,MATCH(SUBSTITUTE(AZ$3,"Q","T"),Inputs!$B$2:$AZ$2,0)),Inputs!$B$2:$B$190,$B60)*Inputs!$D$1)</f>
        <v>0</v>
      </c>
      <c r="BA60" s="57">
        <f>IF(ISNA(SUMIFS(INDEX(Inputs!$B$2:$AZ$190,,MATCH(SUBSTITUTE(BA$3,"Q","T"),Inputs!$B$2:$AZ$2,0)),Inputs!$B$2:$B$190,$B60)*Inputs!$D$1),"",SUMIFS(INDEX(Inputs!$B$2:$AZ$190,,MATCH(SUBSTITUTE(BA$3,"Q","T"),Inputs!$B$2:$AZ$2,0)),Inputs!$B$2:$B$190,$B60)*Inputs!$D$1)</f>
        <v>0</v>
      </c>
      <c r="BB60" s="58">
        <f>BA60</f>
        <v>0</v>
      </c>
      <c r="BC60" s="57">
        <f>IF(ISNA(SUMIFS(INDEX(Inputs!$B$2:$AZ$190,,MATCH(SUBSTITUTE(BC$3,"Q","T"),Inputs!$B$2:$AZ$2,0)),Inputs!$B$2:$B$190,$B60)*Inputs!$D$1),"",SUMIFS(INDEX(Inputs!$B$2:$AZ$190,,MATCH(SUBSTITUTE(BC$3,"Q","T"),Inputs!$B$2:$AZ$2,0)),Inputs!$B$2:$B$190,$B60)*Inputs!$D$1)</f>
        <v>0</v>
      </c>
      <c r="BD60" s="57">
        <f>IF(ISNA(SUMIFS(INDEX(Inputs!$B$2:$AZ$190,,MATCH(SUBSTITUTE(BD$3,"Q","T"),Inputs!$B$2:$AZ$2,0)),Inputs!$B$2:$B$190,$B60)*Inputs!$D$1),"",SUMIFS(INDEX(Inputs!$B$2:$AZ$190,,MATCH(SUBSTITUTE(BD$3,"Q","T"),Inputs!$B$2:$AZ$2,0)),Inputs!$B$2:$B$190,$B60)*Inputs!$D$1)</f>
        <v>0</v>
      </c>
      <c r="BE60" s="57">
        <f>IF(ISNA(SUMIFS(INDEX(Inputs!$B$2:$AZ$190,,MATCH(SUBSTITUTE(BE$3,"Q","T"),Inputs!$B$2:$AZ$2,0)),Inputs!$B$2:$B$190,$B60)*Inputs!$D$1),"",SUMIFS(INDEX(Inputs!$B$2:$AZ$190,,MATCH(SUBSTITUTE(BE$3,"Q","T"),Inputs!$B$2:$AZ$2,0)),Inputs!$B$2:$B$190,$B60)*Inputs!$D$1)</f>
        <v>0</v>
      </c>
      <c r="BF60" s="57">
        <f>IF(ISNA(SUMIFS(INDEX(Inputs!$B$2:$AZ$190,,MATCH(SUBSTITUTE(BF$3,"Q","T"),Inputs!$B$2:$AZ$2,0)),Inputs!$B$2:$B$190,$B60)*Inputs!$D$1),"",SUMIFS(INDEX(Inputs!$B$2:$AZ$190,,MATCH(SUBSTITUTE(BF$3,"Q","T"),Inputs!$B$2:$AZ$2,0)),Inputs!$B$2:$B$190,$B60)*Inputs!$D$1)</f>
        <v>0</v>
      </c>
      <c r="BG60" s="58">
        <f>BF60</f>
        <v>0</v>
      </c>
    </row>
    <row r="61" hidden="1" outlineLevel="1">
      <c r="B61" s="56" t="inlineStr">
        <is>
          <t>apic</t>
        </is>
      </c>
      <c r="C61" s="61" t="inlineStr">
        <is>
          <t>Capital adicional integralizado (APIC) e outros</t>
        </is>
      </c>
      <c r="D61" s="62" t="inlineStr">
        <is>
          <t>Additional paid-in capital and other</t>
        </is>
      </c>
      <c r="E61" s="57">
        <f>IF(ISNA(SUMIFS(INDEX(Inputs!$B$2:$AZ$190,,MATCH(SUBSTITUTE(E$3,"Q","T"),Inputs!$B$2:$AZ$2,0)),Inputs!$B$2:$B$190,$B61)*Inputs!$D$1),"",SUMIFS(INDEX(Inputs!$B$2:$AZ$190,,MATCH(SUBSTITUTE(E$3,"Q","T"),Inputs!$B$2:$AZ$2,0)),Inputs!$B$2:$B$190,$B61)*Inputs!$D$1)</f>
        <v>0</v>
      </c>
      <c r="F61" s="57">
        <f>IF(ISNA(SUMIFS(INDEX(Inputs!$B$2:$AZ$190,,MATCH(SUBSTITUTE(F$3,"Q","T"),Inputs!$B$2:$AZ$2,0)),Inputs!$B$2:$B$190,$B61)*Inputs!$D$1),"",SUMIFS(INDEX(Inputs!$B$2:$AZ$190,,MATCH(SUBSTITUTE(F$3,"Q","T"),Inputs!$B$2:$AZ$2,0)),Inputs!$B$2:$B$190,$B61)*Inputs!$D$1)</f>
        <v>0</v>
      </c>
      <c r="G61" s="57">
        <f>IF(ISNA(SUMIFS(INDEX(Inputs!$B$2:$AZ$190,,MATCH(SUBSTITUTE(G$3,"Q","T"),Inputs!$B$2:$AZ$2,0)),Inputs!$B$2:$B$190,$B61)*Inputs!$D$1),"",SUMIFS(INDEX(Inputs!$B$2:$AZ$190,,MATCH(SUBSTITUTE(G$3,"Q","T"),Inputs!$B$2:$AZ$2,0)),Inputs!$B$2:$B$190,$B61)*Inputs!$D$1)</f>
        <v>0</v>
      </c>
      <c r="H61" s="57">
        <f>IF(ISNA(SUMIFS(INDEX(Inputs!$B$2:$AZ$190,,MATCH(SUBSTITUTE(H$3,"Q","T"),Inputs!$B$2:$AZ$2,0)),Inputs!$B$2:$B$190,$B61)*Inputs!$D$1),"",SUMIFS(INDEX(Inputs!$B$2:$AZ$190,,MATCH(SUBSTITUTE(H$3,"Q","T"),Inputs!$B$2:$AZ$2,0)),Inputs!$B$2:$B$190,$B61)*Inputs!$D$1)</f>
        <v>0</v>
      </c>
      <c r="I61" s="58">
        <f>H61</f>
        <v>0</v>
      </c>
      <c r="J61" s="57">
        <f>IF(ISNA(SUMIFS(INDEX(Inputs!$B$2:$AZ$190,,MATCH(SUBSTITUTE(J$3,"Q","T"),Inputs!$B$2:$AZ$2,0)),Inputs!$B$2:$B$190,$B61)*Inputs!$D$1),"",SUMIFS(INDEX(Inputs!$B$2:$AZ$190,,MATCH(SUBSTITUTE(J$3,"Q","T"),Inputs!$B$2:$AZ$2,0)),Inputs!$B$2:$B$190,$B61)*Inputs!$D$1)</f>
        <v>0</v>
      </c>
      <c r="K61" s="57">
        <f>IF(ISNA(SUMIFS(INDEX(Inputs!$B$2:$AZ$190,,MATCH(SUBSTITUTE(K$3,"Q","T"),Inputs!$B$2:$AZ$2,0)),Inputs!$B$2:$B$190,$B61)*Inputs!$D$1),"",SUMIFS(INDEX(Inputs!$B$2:$AZ$190,,MATCH(SUBSTITUTE(K$3,"Q","T"),Inputs!$B$2:$AZ$2,0)),Inputs!$B$2:$B$190,$B61)*Inputs!$D$1)</f>
        <v>0</v>
      </c>
      <c r="L61" s="57">
        <f>IF(ISNA(SUMIFS(INDEX(Inputs!$B$2:$AZ$190,,MATCH(SUBSTITUTE(L$3,"Q","T"),Inputs!$B$2:$AZ$2,0)),Inputs!$B$2:$B$190,$B61)*Inputs!$D$1),"",SUMIFS(INDEX(Inputs!$B$2:$AZ$190,,MATCH(SUBSTITUTE(L$3,"Q","T"),Inputs!$B$2:$AZ$2,0)),Inputs!$B$2:$B$190,$B61)*Inputs!$D$1)</f>
        <v>0</v>
      </c>
      <c r="M61" s="57">
        <f>IF(ISNA(SUMIFS(INDEX(Inputs!$B$2:$AZ$190,,MATCH(SUBSTITUTE(M$3,"Q","T"),Inputs!$B$2:$AZ$2,0)),Inputs!$B$2:$B$190,$B61)*Inputs!$D$1),"",SUMIFS(INDEX(Inputs!$B$2:$AZ$190,,MATCH(SUBSTITUTE(M$3,"Q","T"),Inputs!$B$2:$AZ$2,0)),Inputs!$B$2:$B$190,$B61)*Inputs!$D$1)</f>
        <v>0</v>
      </c>
      <c r="N61" s="58">
        <f>M61</f>
        <v>0</v>
      </c>
      <c r="O61" s="57">
        <f>IF(ISNA(SUMIFS(INDEX(Inputs!$B$2:$AZ$190,,MATCH(SUBSTITUTE(O$3,"Q","T"),Inputs!$B$2:$AZ$2,0)),Inputs!$B$2:$B$190,$B61)*Inputs!$D$1),"",SUMIFS(INDEX(Inputs!$B$2:$AZ$190,,MATCH(SUBSTITUTE(O$3,"Q","T"),Inputs!$B$2:$AZ$2,0)),Inputs!$B$2:$B$190,$B61)*Inputs!$D$1)</f>
        <v>0</v>
      </c>
      <c r="P61" s="57">
        <f>IF(ISNA(SUMIFS(INDEX(Inputs!$B$2:$AZ$190,,MATCH(SUBSTITUTE(P$3,"Q","T"),Inputs!$B$2:$AZ$2,0)),Inputs!$B$2:$B$190,$B61)*Inputs!$D$1),"",SUMIFS(INDEX(Inputs!$B$2:$AZ$190,,MATCH(SUBSTITUTE(P$3,"Q","T"),Inputs!$B$2:$AZ$2,0)),Inputs!$B$2:$B$190,$B61)*Inputs!$D$1)</f>
        <v>0</v>
      </c>
      <c r="Q61" s="57">
        <f>IF(ISNA(SUMIFS(INDEX(Inputs!$B$2:$AZ$190,,MATCH(SUBSTITUTE(Q$3,"Q","T"),Inputs!$B$2:$AZ$2,0)),Inputs!$B$2:$B$190,$B61)*Inputs!$D$1),"",SUMIFS(INDEX(Inputs!$B$2:$AZ$190,,MATCH(SUBSTITUTE(Q$3,"Q","T"),Inputs!$B$2:$AZ$2,0)),Inputs!$B$2:$B$190,$B61)*Inputs!$D$1)</f>
        <v>0</v>
      </c>
      <c r="R61" s="57">
        <f>IF(ISNA(SUMIFS(INDEX(Inputs!$B$2:$AZ$190,,MATCH(SUBSTITUTE(R$3,"Q","T"),Inputs!$B$2:$AZ$2,0)),Inputs!$B$2:$B$190,$B61)*Inputs!$D$1),"",SUMIFS(INDEX(Inputs!$B$2:$AZ$190,,MATCH(SUBSTITUTE(R$3,"Q","T"),Inputs!$B$2:$AZ$2,0)),Inputs!$B$2:$B$190,$B61)*Inputs!$D$1)</f>
        <v>0</v>
      </c>
      <c r="S61" s="58">
        <f>R61</f>
        <v>0</v>
      </c>
      <c r="T61" s="57">
        <f>IF(ISNA(SUMIFS(INDEX(Inputs!$B$2:$AZ$190,,MATCH(SUBSTITUTE(T$3,"Q","T"),Inputs!$B$2:$AZ$2,0)),Inputs!$B$2:$B$190,$B61)*Inputs!$D$1),"",SUMIFS(INDEX(Inputs!$B$2:$AZ$190,,MATCH(SUBSTITUTE(T$3,"Q","T"),Inputs!$B$2:$AZ$2,0)),Inputs!$B$2:$B$190,$B61)*Inputs!$D$1)</f>
        <v>0</v>
      </c>
      <c r="U61" s="57">
        <f>IF(ISNA(SUMIFS(INDEX(Inputs!$B$2:$AZ$190,,MATCH(SUBSTITUTE(U$3,"Q","T"),Inputs!$B$2:$AZ$2,0)),Inputs!$B$2:$B$190,$B61)*Inputs!$D$1),"",SUMIFS(INDEX(Inputs!$B$2:$AZ$190,,MATCH(SUBSTITUTE(U$3,"Q","T"),Inputs!$B$2:$AZ$2,0)),Inputs!$B$2:$B$190,$B61)*Inputs!$D$1)</f>
        <v>0</v>
      </c>
      <c r="V61" s="57">
        <f>IF(ISNA(SUMIFS(INDEX(Inputs!$B$2:$AZ$190,,MATCH(SUBSTITUTE(V$3,"Q","T"),Inputs!$B$2:$AZ$2,0)),Inputs!$B$2:$B$190,$B61)*Inputs!$D$1),"",SUMIFS(INDEX(Inputs!$B$2:$AZ$190,,MATCH(SUBSTITUTE(V$3,"Q","T"),Inputs!$B$2:$AZ$2,0)),Inputs!$B$2:$B$190,$B61)*Inputs!$D$1)</f>
        <v>0</v>
      </c>
      <c r="W61" s="57">
        <f>IF(ISNA(SUMIFS(INDEX(Inputs!$B$2:$AZ$190,,MATCH(SUBSTITUTE(W$3,"Q","T"),Inputs!$B$2:$AZ$2,0)),Inputs!$B$2:$B$190,$B61)*Inputs!$D$1),"",SUMIFS(INDEX(Inputs!$B$2:$AZ$190,,MATCH(SUBSTITUTE(W$3,"Q","T"),Inputs!$B$2:$AZ$2,0)),Inputs!$B$2:$B$190,$B61)*Inputs!$D$1)</f>
        <v>0</v>
      </c>
      <c r="X61" s="58">
        <f>W61</f>
        <v>0</v>
      </c>
      <c r="Y61" s="57">
        <f>IF(ISNA(SUMIFS(INDEX(Inputs!$B$2:$AZ$190,,MATCH(SUBSTITUTE(Y$3,"Q","T"),Inputs!$B$2:$AZ$2,0)),Inputs!$B$2:$B$190,$B61)*Inputs!$D$1),"",SUMIFS(INDEX(Inputs!$B$2:$AZ$190,,MATCH(SUBSTITUTE(Y$3,"Q","T"),Inputs!$B$2:$AZ$2,0)),Inputs!$B$2:$B$190,$B61)*Inputs!$D$1)</f>
        <v>0</v>
      </c>
      <c r="Z61" s="57">
        <f>IF(ISNA(SUMIFS(INDEX(Inputs!$B$2:$AZ$190,,MATCH(SUBSTITUTE(Z$3,"Q","T"),Inputs!$B$2:$AZ$2,0)),Inputs!$B$2:$B$190,$B61)*Inputs!$D$1),"",SUMIFS(INDEX(Inputs!$B$2:$AZ$190,,MATCH(SUBSTITUTE(Z$3,"Q","T"),Inputs!$B$2:$AZ$2,0)),Inputs!$B$2:$B$190,$B61)*Inputs!$D$1)</f>
        <v>0</v>
      </c>
      <c r="AA61" s="57">
        <f>IF(ISNA(SUMIFS(INDEX(Inputs!$B$2:$AZ$190,,MATCH(SUBSTITUTE(AA$3,"Q","T"),Inputs!$B$2:$AZ$2,0)),Inputs!$B$2:$B$190,$B61)*Inputs!$D$1),"",SUMIFS(INDEX(Inputs!$B$2:$AZ$190,,MATCH(SUBSTITUTE(AA$3,"Q","T"),Inputs!$B$2:$AZ$2,0)),Inputs!$B$2:$B$190,$B61)*Inputs!$D$1)</f>
        <v>0</v>
      </c>
      <c r="AB61" s="57">
        <f>IF(ISNA(SUMIFS(INDEX(Inputs!$B$2:$AZ$190,,MATCH(SUBSTITUTE(AB$3,"Q","T"),Inputs!$B$2:$AZ$2,0)),Inputs!$B$2:$B$190,$B61)*Inputs!$D$1),"",SUMIFS(INDEX(Inputs!$B$2:$AZ$190,,MATCH(SUBSTITUTE(AB$3,"Q","T"),Inputs!$B$2:$AZ$2,0)),Inputs!$B$2:$B$190,$B61)*Inputs!$D$1)</f>
        <v>0</v>
      </c>
      <c r="AC61" s="58">
        <f>AB61</f>
        <v>0</v>
      </c>
      <c r="AD61" s="57">
        <f>IF(ISNA(SUMIFS(INDEX(Inputs!$B$2:$AZ$190,,MATCH(SUBSTITUTE(AD$3,"Q","T"),Inputs!$B$2:$AZ$2,0)),Inputs!$B$2:$B$190,$B61)*Inputs!$D$1),"",SUMIFS(INDEX(Inputs!$B$2:$AZ$190,,MATCH(SUBSTITUTE(AD$3,"Q","T"),Inputs!$B$2:$AZ$2,0)),Inputs!$B$2:$B$190,$B61)*Inputs!$D$1)</f>
        <v>0</v>
      </c>
      <c r="AE61" s="57">
        <f>IF(ISNA(SUMIFS(INDEX(Inputs!$B$2:$AZ$190,,MATCH(SUBSTITUTE(AE$3,"Q","T"),Inputs!$B$2:$AZ$2,0)),Inputs!$B$2:$B$190,$B61)*Inputs!$D$1),"",SUMIFS(INDEX(Inputs!$B$2:$AZ$190,,MATCH(SUBSTITUTE(AE$3,"Q","T"),Inputs!$B$2:$AZ$2,0)),Inputs!$B$2:$B$190,$B61)*Inputs!$D$1)</f>
        <v>0</v>
      </c>
      <c r="AF61" s="57">
        <f>IF(ISNA(SUMIFS(INDEX(Inputs!$B$2:$AZ$190,,MATCH(SUBSTITUTE(AF$3,"Q","T"),Inputs!$B$2:$AZ$2,0)),Inputs!$B$2:$B$190,$B61)*Inputs!$D$1),"",SUMIFS(INDEX(Inputs!$B$2:$AZ$190,,MATCH(SUBSTITUTE(AF$3,"Q","T"),Inputs!$B$2:$AZ$2,0)),Inputs!$B$2:$B$190,$B61)*Inputs!$D$1)</f>
        <v>0</v>
      </c>
      <c r="AG61" s="57">
        <f>IF(ISNA(SUMIFS(INDEX(Inputs!$B$2:$AZ$190,,MATCH(SUBSTITUTE(AG$3,"Q","T"),Inputs!$B$2:$AZ$2,0)),Inputs!$B$2:$B$190,$B61)*Inputs!$D$1),"",SUMIFS(INDEX(Inputs!$B$2:$AZ$190,,MATCH(SUBSTITUTE(AG$3,"Q","T"),Inputs!$B$2:$AZ$2,0)),Inputs!$B$2:$B$190,$B61)*Inputs!$D$1)</f>
        <v>0</v>
      </c>
      <c r="AH61" s="58">
        <f>AG61</f>
        <v>0</v>
      </c>
      <c r="AI61" s="57">
        <f>IF(ISNA(SUMIFS(INDEX(Inputs!$B$2:$AZ$190,,MATCH(SUBSTITUTE(AI$3,"Q","T"),Inputs!$B$2:$AZ$2,0)),Inputs!$B$2:$B$190,$B61)*Inputs!$D$1),"",SUMIFS(INDEX(Inputs!$B$2:$AZ$190,,MATCH(SUBSTITUTE(AI$3,"Q","T"),Inputs!$B$2:$AZ$2,0)),Inputs!$B$2:$B$190,$B61)*Inputs!$D$1)</f>
        <v>0</v>
      </c>
      <c r="AJ61" s="57">
        <f>IF(ISNA(SUMIFS(INDEX(Inputs!$B$2:$AZ$190,,MATCH(SUBSTITUTE(AJ$3,"Q","T"),Inputs!$B$2:$AZ$2,0)),Inputs!$B$2:$B$190,$B61)*Inputs!$D$1),"",SUMIFS(INDEX(Inputs!$B$2:$AZ$190,,MATCH(SUBSTITUTE(AJ$3,"Q","T"),Inputs!$B$2:$AZ$2,0)),Inputs!$B$2:$B$190,$B61)*Inputs!$D$1)</f>
        <v>0</v>
      </c>
      <c r="AK61" s="57">
        <f>IF(ISNA(SUMIFS(INDEX(Inputs!$B$2:$AZ$190,,MATCH(SUBSTITUTE(AK$3,"Q","T"),Inputs!$B$2:$AZ$2,0)),Inputs!$B$2:$B$190,$B61)*Inputs!$D$1),"",SUMIFS(INDEX(Inputs!$B$2:$AZ$190,,MATCH(SUBSTITUTE(AK$3,"Q","T"),Inputs!$B$2:$AZ$2,0)),Inputs!$B$2:$B$190,$B61)*Inputs!$D$1)</f>
        <v>0</v>
      </c>
      <c r="AL61" s="57">
        <f>IF(ISNA(SUMIFS(INDEX(Inputs!$B$2:$AZ$190,,MATCH(SUBSTITUTE(AL$3,"Q","T"),Inputs!$B$2:$AZ$2,0)),Inputs!$B$2:$B$190,$B61)*Inputs!$D$1),"",SUMIFS(INDEX(Inputs!$B$2:$AZ$190,,MATCH(SUBSTITUTE(AL$3,"Q","T"),Inputs!$B$2:$AZ$2,0)),Inputs!$B$2:$B$190,$B61)*Inputs!$D$1)</f>
        <v>0</v>
      </c>
      <c r="AM61" s="58">
        <f>AL61</f>
        <v>0</v>
      </c>
      <c r="AN61" s="57">
        <f>IF(ISNA(SUMIFS(INDEX(Inputs!$B$2:$AZ$190,,MATCH(SUBSTITUTE(AN$3,"Q","T"),Inputs!$B$2:$AZ$2,0)),Inputs!$B$2:$B$190,$B61)*Inputs!$D$1),"",SUMIFS(INDEX(Inputs!$B$2:$AZ$190,,MATCH(SUBSTITUTE(AN$3,"Q","T"),Inputs!$B$2:$AZ$2,0)),Inputs!$B$2:$B$190,$B61)*Inputs!$D$1)</f>
        <v>0</v>
      </c>
      <c r="AO61" s="57">
        <f>IF(ISNA(SUMIFS(INDEX(Inputs!$B$2:$AZ$190,,MATCH(SUBSTITUTE(AO$3,"Q","T"),Inputs!$B$2:$AZ$2,0)),Inputs!$B$2:$B$190,$B61)*Inputs!$D$1),"",SUMIFS(INDEX(Inputs!$B$2:$AZ$190,,MATCH(SUBSTITUTE(AO$3,"Q","T"),Inputs!$B$2:$AZ$2,0)),Inputs!$B$2:$B$190,$B61)*Inputs!$D$1)</f>
        <v>0</v>
      </c>
      <c r="AP61" s="57">
        <f>IF(ISNA(SUMIFS(INDEX(Inputs!$B$2:$AZ$190,,MATCH(SUBSTITUTE(AP$3,"Q","T"),Inputs!$B$2:$AZ$2,0)),Inputs!$B$2:$B$190,$B61)*Inputs!$D$1),"",SUMIFS(INDEX(Inputs!$B$2:$AZ$190,,MATCH(SUBSTITUTE(AP$3,"Q","T"),Inputs!$B$2:$AZ$2,0)),Inputs!$B$2:$B$190,$B61)*Inputs!$D$1)</f>
        <v>0</v>
      </c>
      <c r="AQ61" s="57">
        <f>IF(ISNA(SUMIFS(INDEX(Inputs!$B$2:$AZ$190,,MATCH(SUBSTITUTE(AQ$3,"Q","T"),Inputs!$B$2:$AZ$2,0)),Inputs!$B$2:$B$190,$B61)*Inputs!$D$1),"",SUMIFS(INDEX(Inputs!$B$2:$AZ$190,,MATCH(SUBSTITUTE(AQ$3,"Q","T"),Inputs!$B$2:$AZ$2,0)),Inputs!$B$2:$B$190,$B61)*Inputs!$D$1)</f>
        <v>0</v>
      </c>
      <c r="AR61" s="58">
        <f>AQ61</f>
        <v>0</v>
      </c>
      <c r="AS61" s="57">
        <f>IF(ISNA(SUMIFS(INDEX(Inputs!$B$2:$AZ$190,,MATCH(SUBSTITUTE(AS$3,"Q","T"),Inputs!$B$2:$AZ$2,0)),Inputs!$B$2:$B$190,$B61)*Inputs!$D$1),"",SUMIFS(INDEX(Inputs!$B$2:$AZ$190,,MATCH(SUBSTITUTE(AS$3,"Q","T"),Inputs!$B$2:$AZ$2,0)),Inputs!$B$2:$B$190,$B61)*Inputs!$D$1)</f>
        <v>0</v>
      </c>
      <c r="AT61" s="57">
        <f>IF(ISNA(SUMIFS(INDEX(Inputs!$B$2:$AZ$190,,MATCH(SUBSTITUTE(AT$3,"Q","T"),Inputs!$B$2:$AZ$2,0)),Inputs!$B$2:$B$190,$B61)*Inputs!$D$1),"",SUMIFS(INDEX(Inputs!$B$2:$AZ$190,,MATCH(SUBSTITUTE(AT$3,"Q","T"),Inputs!$B$2:$AZ$2,0)),Inputs!$B$2:$B$190,$B61)*Inputs!$D$1)</f>
        <v>0</v>
      </c>
      <c r="AU61" s="57">
        <f>IF(ISNA(SUMIFS(INDEX(Inputs!$B$2:$AZ$190,,MATCH(SUBSTITUTE(AU$3,"Q","T"),Inputs!$B$2:$AZ$2,0)),Inputs!$B$2:$B$190,$B61)*Inputs!$D$1),"",SUMIFS(INDEX(Inputs!$B$2:$AZ$190,,MATCH(SUBSTITUTE(AU$3,"Q","T"),Inputs!$B$2:$AZ$2,0)),Inputs!$B$2:$B$190,$B61)*Inputs!$D$1)</f>
        <v>0</v>
      </c>
      <c r="AV61" s="57">
        <f>IF(ISNA(SUMIFS(INDEX(Inputs!$B$2:$AZ$190,,MATCH(SUBSTITUTE(AV$3,"Q","T"),Inputs!$B$2:$AZ$2,0)),Inputs!$B$2:$B$190,$B61)*Inputs!$D$1),"",SUMIFS(INDEX(Inputs!$B$2:$AZ$190,,MATCH(SUBSTITUTE(AV$3,"Q","T"),Inputs!$B$2:$AZ$2,0)),Inputs!$B$2:$B$190,$B61)*Inputs!$D$1)</f>
        <v>0</v>
      </c>
      <c r="AW61" s="58">
        <f>AV61</f>
        <v>0</v>
      </c>
      <c r="AX61" s="57">
        <f>IF(ISNA(SUMIFS(INDEX(Inputs!$B$2:$AZ$190,,MATCH(SUBSTITUTE(AX$3,"Q","T"),Inputs!$B$2:$AZ$2,0)),Inputs!$B$2:$B$190,$B61)*Inputs!$D$1),"",SUMIFS(INDEX(Inputs!$B$2:$AZ$190,,MATCH(SUBSTITUTE(AX$3,"Q","T"),Inputs!$B$2:$AZ$2,0)),Inputs!$B$2:$B$190,$B61)*Inputs!$D$1)</f>
        <v>0</v>
      </c>
      <c r="AY61" s="57">
        <f>IF(ISNA(SUMIFS(INDEX(Inputs!$B$2:$AZ$190,,MATCH(SUBSTITUTE(AY$3,"Q","T"),Inputs!$B$2:$AZ$2,0)),Inputs!$B$2:$B$190,$B61)*Inputs!$D$1),"",SUMIFS(INDEX(Inputs!$B$2:$AZ$190,,MATCH(SUBSTITUTE(AY$3,"Q","T"),Inputs!$B$2:$AZ$2,0)),Inputs!$B$2:$B$190,$B61)*Inputs!$D$1)</f>
        <v>0</v>
      </c>
      <c r="AZ61" s="57">
        <f>IF(ISNA(SUMIFS(INDEX(Inputs!$B$2:$AZ$190,,MATCH(SUBSTITUTE(AZ$3,"Q","T"),Inputs!$B$2:$AZ$2,0)),Inputs!$B$2:$B$190,$B61)*Inputs!$D$1),"",SUMIFS(INDEX(Inputs!$B$2:$AZ$190,,MATCH(SUBSTITUTE(AZ$3,"Q","T"),Inputs!$B$2:$AZ$2,0)),Inputs!$B$2:$B$190,$B61)*Inputs!$D$1)</f>
        <v>0</v>
      </c>
      <c r="BA61" s="57">
        <f>IF(ISNA(SUMIFS(INDEX(Inputs!$B$2:$AZ$190,,MATCH(SUBSTITUTE(BA$3,"Q","T"),Inputs!$B$2:$AZ$2,0)),Inputs!$B$2:$B$190,$B61)*Inputs!$D$1),"",SUMIFS(INDEX(Inputs!$B$2:$AZ$190,,MATCH(SUBSTITUTE(BA$3,"Q","T"),Inputs!$B$2:$AZ$2,0)),Inputs!$B$2:$B$190,$B61)*Inputs!$D$1)</f>
        <v>0</v>
      </c>
      <c r="BB61" s="58">
        <f>BA61</f>
        <v>0</v>
      </c>
      <c r="BC61" s="57">
        <f>IF(ISNA(SUMIFS(INDEX(Inputs!$B$2:$AZ$190,,MATCH(SUBSTITUTE(BC$3,"Q","T"),Inputs!$B$2:$AZ$2,0)),Inputs!$B$2:$B$190,$B61)*Inputs!$D$1),"",SUMIFS(INDEX(Inputs!$B$2:$AZ$190,,MATCH(SUBSTITUTE(BC$3,"Q","T"),Inputs!$B$2:$AZ$2,0)),Inputs!$B$2:$B$190,$B61)*Inputs!$D$1)</f>
        <v>0</v>
      </c>
      <c r="BD61" s="57">
        <f>IF(ISNA(SUMIFS(INDEX(Inputs!$B$2:$AZ$190,,MATCH(SUBSTITUTE(BD$3,"Q","T"),Inputs!$B$2:$AZ$2,0)),Inputs!$B$2:$B$190,$B61)*Inputs!$D$1),"",SUMIFS(INDEX(Inputs!$B$2:$AZ$190,,MATCH(SUBSTITUTE(BD$3,"Q","T"),Inputs!$B$2:$AZ$2,0)),Inputs!$B$2:$B$190,$B61)*Inputs!$D$1)</f>
        <v>0</v>
      </c>
      <c r="BE61" s="57">
        <f>IF(ISNA(SUMIFS(INDEX(Inputs!$B$2:$AZ$190,,MATCH(SUBSTITUTE(BE$3,"Q","T"),Inputs!$B$2:$AZ$2,0)),Inputs!$B$2:$B$190,$B61)*Inputs!$D$1),"",SUMIFS(INDEX(Inputs!$B$2:$AZ$190,,MATCH(SUBSTITUTE(BE$3,"Q","T"),Inputs!$B$2:$AZ$2,0)),Inputs!$B$2:$B$190,$B61)*Inputs!$D$1)</f>
        <v>0</v>
      </c>
      <c r="BF61" s="57">
        <f>IF(ISNA(SUMIFS(INDEX(Inputs!$B$2:$AZ$190,,MATCH(SUBSTITUTE(BF$3,"Q","T"),Inputs!$B$2:$AZ$2,0)),Inputs!$B$2:$B$190,$B61)*Inputs!$D$1),"",SUMIFS(INDEX(Inputs!$B$2:$AZ$190,,MATCH(SUBSTITUTE(BF$3,"Q","T"),Inputs!$B$2:$AZ$2,0)),Inputs!$B$2:$B$190,$B61)*Inputs!$D$1)</f>
        <v>0</v>
      </c>
      <c r="BG61" s="58">
        <f>BF61</f>
        <v>0</v>
      </c>
    </row>
    <row r="62" hidden="1" outlineLevel="1">
      <c r="B62" s="56" t="inlineStr">
        <is>
          <t>ret_earn</t>
        </is>
      </c>
      <c r="C62" s="61" t="inlineStr">
        <is>
          <t>Lucros retidos</t>
        </is>
      </c>
      <c r="D62" s="62" t="inlineStr">
        <is>
          <t>Retained earnings</t>
        </is>
      </c>
      <c r="E62" s="57">
        <f>IF(ISNA(SUMIFS(INDEX(Inputs!$B$2:$AZ$190,,MATCH(SUBSTITUTE(E$3,"Q","T"),Inputs!$B$2:$AZ$2,0)),Inputs!$B$2:$B$190,$B62)*Inputs!$D$1),"",SUMIFS(INDEX(Inputs!$B$2:$AZ$190,,MATCH(SUBSTITUTE(E$3,"Q","T"),Inputs!$B$2:$AZ$2,0)),Inputs!$B$2:$B$190,$B62)*Inputs!$D$1)</f>
        <v>0</v>
      </c>
      <c r="F62" s="57">
        <f>IF(ISNA(SUMIFS(INDEX(Inputs!$B$2:$AZ$190,,MATCH(SUBSTITUTE(F$3,"Q","T"),Inputs!$B$2:$AZ$2,0)),Inputs!$B$2:$B$190,$B62)*Inputs!$D$1),"",SUMIFS(INDEX(Inputs!$B$2:$AZ$190,,MATCH(SUBSTITUTE(F$3,"Q","T"),Inputs!$B$2:$AZ$2,0)),Inputs!$B$2:$B$190,$B62)*Inputs!$D$1)</f>
        <v>0</v>
      </c>
      <c r="G62" s="57">
        <f>IF(ISNA(SUMIFS(INDEX(Inputs!$B$2:$AZ$190,,MATCH(SUBSTITUTE(G$3,"Q","T"),Inputs!$B$2:$AZ$2,0)),Inputs!$B$2:$B$190,$B62)*Inputs!$D$1),"",SUMIFS(INDEX(Inputs!$B$2:$AZ$190,,MATCH(SUBSTITUTE(G$3,"Q","T"),Inputs!$B$2:$AZ$2,0)),Inputs!$B$2:$B$190,$B62)*Inputs!$D$1)</f>
        <v>0</v>
      </c>
      <c r="H62" s="57">
        <f>IF(ISNA(SUMIFS(INDEX(Inputs!$B$2:$AZ$190,,MATCH(SUBSTITUTE(H$3,"Q","T"),Inputs!$B$2:$AZ$2,0)),Inputs!$B$2:$B$190,$B62)*Inputs!$D$1),"",SUMIFS(INDEX(Inputs!$B$2:$AZ$190,,MATCH(SUBSTITUTE(H$3,"Q","T"),Inputs!$B$2:$AZ$2,0)),Inputs!$B$2:$B$190,$B62)*Inputs!$D$1)</f>
        <v>0</v>
      </c>
      <c r="I62" s="58">
        <f>H62</f>
        <v>0</v>
      </c>
      <c r="J62" s="57">
        <f>IF(ISNA(SUMIFS(INDEX(Inputs!$B$2:$AZ$190,,MATCH(SUBSTITUTE(J$3,"Q","T"),Inputs!$B$2:$AZ$2,0)),Inputs!$B$2:$B$190,$B62)*Inputs!$D$1),"",SUMIFS(INDEX(Inputs!$B$2:$AZ$190,,MATCH(SUBSTITUTE(J$3,"Q","T"),Inputs!$B$2:$AZ$2,0)),Inputs!$B$2:$B$190,$B62)*Inputs!$D$1)</f>
        <v>0</v>
      </c>
      <c r="K62" s="57">
        <f>IF(ISNA(SUMIFS(INDEX(Inputs!$B$2:$AZ$190,,MATCH(SUBSTITUTE(K$3,"Q","T"),Inputs!$B$2:$AZ$2,0)),Inputs!$B$2:$B$190,$B62)*Inputs!$D$1),"",SUMIFS(INDEX(Inputs!$B$2:$AZ$190,,MATCH(SUBSTITUTE(K$3,"Q","T"),Inputs!$B$2:$AZ$2,0)),Inputs!$B$2:$B$190,$B62)*Inputs!$D$1)</f>
        <v>0</v>
      </c>
      <c r="L62" s="57">
        <f>IF(ISNA(SUMIFS(INDEX(Inputs!$B$2:$AZ$190,,MATCH(SUBSTITUTE(L$3,"Q","T"),Inputs!$B$2:$AZ$2,0)),Inputs!$B$2:$B$190,$B62)*Inputs!$D$1),"",SUMIFS(INDEX(Inputs!$B$2:$AZ$190,,MATCH(SUBSTITUTE(L$3,"Q","T"),Inputs!$B$2:$AZ$2,0)),Inputs!$B$2:$B$190,$B62)*Inputs!$D$1)</f>
        <v>0</v>
      </c>
      <c r="M62" s="57">
        <f>IF(ISNA(SUMIFS(INDEX(Inputs!$B$2:$AZ$190,,MATCH(SUBSTITUTE(M$3,"Q","T"),Inputs!$B$2:$AZ$2,0)),Inputs!$B$2:$B$190,$B62)*Inputs!$D$1),"",SUMIFS(INDEX(Inputs!$B$2:$AZ$190,,MATCH(SUBSTITUTE(M$3,"Q","T"),Inputs!$B$2:$AZ$2,0)),Inputs!$B$2:$B$190,$B62)*Inputs!$D$1)</f>
        <v>0</v>
      </c>
      <c r="N62" s="58">
        <f>M62</f>
        <v>0</v>
      </c>
      <c r="O62" s="57">
        <f>IF(ISNA(SUMIFS(INDEX(Inputs!$B$2:$AZ$190,,MATCH(SUBSTITUTE(O$3,"Q","T"),Inputs!$B$2:$AZ$2,0)),Inputs!$B$2:$B$190,$B62)*Inputs!$D$1),"",SUMIFS(INDEX(Inputs!$B$2:$AZ$190,,MATCH(SUBSTITUTE(O$3,"Q","T"),Inputs!$B$2:$AZ$2,0)),Inputs!$B$2:$B$190,$B62)*Inputs!$D$1)</f>
        <v>0</v>
      </c>
      <c r="P62" s="57">
        <f>IF(ISNA(SUMIFS(INDEX(Inputs!$B$2:$AZ$190,,MATCH(SUBSTITUTE(P$3,"Q","T"),Inputs!$B$2:$AZ$2,0)),Inputs!$B$2:$B$190,$B62)*Inputs!$D$1),"",SUMIFS(INDEX(Inputs!$B$2:$AZ$190,,MATCH(SUBSTITUTE(P$3,"Q","T"),Inputs!$B$2:$AZ$2,0)),Inputs!$B$2:$B$190,$B62)*Inputs!$D$1)</f>
        <v>0</v>
      </c>
      <c r="Q62" s="57">
        <f>IF(ISNA(SUMIFS(INDEX(Inputs!$B$2:$AZ$190,,MATCH(SUBSTITUTE(Q$3,"Q","T"),Inputs!$B$2:$AZ$2,0)),Inputs!$B$2:$B$190,$B62)*Inputs!$D$1),"",SUMIFS(INDEX(Inputs!$B$2:$AZ$190,,MATCH(SUBSTITUTE(Q$3,"Q","T"),Inputs!$B$2:$AZ$2,0)),Inputs!$B$2:$B$190,$B62)*Inputs!$D$1)</f>
        <v>0</v>
      </c>
      <c r="R62" s="57">
        <f>IF(ISNA(SUMIFS(INDEX(Inputs!$B$2:$AZ$190,,MATCH(SUBSTITUTE(R$3,"Q","T"),Inputs!$B$2:$AZ$2,0)),Inputs!$B$2:$B$190,$B62)*Inputs!$D$1),"",SUMIFS(INDEX(Inputs!$B$2:$AZ$190,,MATCH(SUBSTITUTE(R$3,"Q","T"),Inputs!$B$2:$AZ$2,0)),Inputs!$B$2:$B$190,$B62)*Inputs!$D$1)</f>
        <v>0</v>
      </c>
      <c r="S62" s="58">
        <f>R62</f>
        <v>0</v>
      </c>
      <c r="T62" s="57">
        <f>IF(ISNA(SUMIFS(INDEX(Inputs!$B$2:$AZ$190,,MATCH(SUBSTITUTE(T$3,"Q","T"),Inputs!$B$2:$AZ$2,0)),Inputs!$B$2:$B$190,$B62)*Inputs!$D$1),"",SUMIFS(INDEX(Inputs!$B$2:$AZ$190,,MATCH(SUBSTITUTE(T$3,"Q","T"),Inputs!$B$2:$AZ$2,0)),Inputs!$B$2:$B$190,$B62)*Inputs!$D$1)</f>
        <v>0</v>
      </c>
      <c r="U62" s="57">
        <f>IF(ISNA(SUMIFS(INDEX(Inputs!$B$2:$AZ$190,,MATCH(SUBSTITUTE(U$3,"Q","T"),Inputs!$B$2:$AZ$2,0)),Inputs!$B$2:$B$190,$B62)*Inputs!$D$1),"",SUMIFS(INDEX(Inputs!$B$2:$AZ$190,,MATCH(SUBSTITUTE(U$3,"Q","T"),Inputs!$B$2:$AZ$2,0)),Inputs!$B$2:$B$190,$B62)*Inputs!$D$1)</f>
        <v>0</v>
      </c>
      <c r="V62" s="57">
        <f>IF(ISNA(SUMIFS(INDEX(Inputs!$B$2:$AZ$190,,MATCH(SUBSTITUTE(V$3,"Q","T"),Inputs!$B$2:$AZ$2,0)),Inputs!$B$2:$B$190,$B62)*Inputs!$D$1),"",SUMIFS(INDEX(Inputs!$B$2:$AZ$190,,MATCH(SUBSTITUTE(V$3,"Q","T"),Inputs!$B$2:$AZ$2,0)),Inputs!$B$2:$B$190,$B62)*Inputs!$D$1)</f>
        <v>0</v>
      </c>
      <c r="W62" s="57">
        <f>IF(ISNA(SUMIFS(INDEX(Inputs!$B$2:$AZ$190,,MATCH(SUBSTITUTE(W$3,"Q","T"),Inputs!$B$2:$AZ$2,0)),Inputs!$B$2:$B$190,$B62)*Inputs!$D$1),"",SUMIFS(INDEX(Inputs!$B$2:$AZ$190,,MATCH(SUBSTITUTE(W$3,"Q","T"),Inputs!$B$2:$AZ$2,0)),Inputs!$B$2:$B$190,$B62)*Inputs!$D$1)</f>
        <v>0</v>
      </c>
      <c r="X62" s="58">
        <f>W62</f>
        <v>0</v>
      </c>
      <c r="Y62" s="57">
        <f>IF(ISNA(SUMIFS(INDEX(Inputs!$B$2:$AZ$190,,MATCH(SUBSTITUTE(Y$3,"Q","T"),Inputs!$B$2:$AZ$2,0)),Inputs!$B$2:$B$190,$B62)*Inputs!$D$1),"",SUMIFS(INDEX(Inputs!$B$2:$AZ$190,,MATCH(SUBSTITUTE(Y$3,"Q","T"),Inputs!$B$2:$AZ$2,0)),Inputs!$B$2:$B$190,$B62)*Inputs!$D$1)</f>
        <v>0</v>
      </c>
      <c r="Z62" s="57">
        <f>IF(ISNA(SUMIFS(INDEX(Inputs!$B$2:$AZ$190,,MATCH(SUBSTITUTE(Z$3,"Q","T"),Inputs!$B$2:$AZ$2,0)),Inputs!$B$2:$B$190,$B62)*Inputs!$D$1),"",SUMIFS(INDEX(Inputs!$B$2:$AZ$190,,MATCH(SUBSTITUTE(Z$3,"Q","T"),Inputs!$B$2:$AZ$2,0)),Inputs!$B$2:$B$190,$B62)*Inputs!$D$1)</f>
        <v>0</v>
      </c>
      <c r="AA62" s="57">
        <f>IF(ISNA(SUMIFS(INDEX(Inputs!$B$2:$AZ$190,,MATCH(SUBSTITUTE(AA$3,"Q","T"),Inputs!$B$2:$AZ$2,0)),Inputs!$B$2:$B$190,$B62)*Inputs!$D$1),"",SUMIFS(INDEX(Inputs!$B$2:$AZ$190,,MATCH(SUBSTITUTE(AA$3,"Q","T"),Inputs!$B$2:$AZ$2,0)),Inputs!$B$2:$B$190,$B62)*Inputs!$D$1)</f>
        <v>0</v>
      </c>
      <c r="AB62" s="57">
        <f>IF(ISNA(SUMIFS(INDEX(Inputs!$B$2:$AZ$190,,MATCH(SUBSTITUTE(AB$3,"Q","T"),Inputs!$B$2:$AZ$2,0)),Inputs!$B$2:$B$190,$B62)*Inputs!$D$1),"",SUMIFS(INDEX(Inputs!$B$2:$AZ$190,,MATCH(SUBSTITUTE(AB$3,"Q","T"),Inputs!$B$2:$AZ$2,0)),Inputs!$B$2:$B$190,$B62)*Inputs!$D$1)</f>
        <v>0</v>
      </c>
      <c r="AC62" s="58">
        <f>AB62</f>
        <v>0</v>
      </c>
      <c r="AD62" s="57">
        <f>IF(ISNA(SUMIFS(INDEX(Inputs!$B$2:$AZ$190,,MATCH(SUBSTITUTE(AD$3,"Q","T"),Inputs!$B$2:$AZ$2,0)),Inputs!$B$2:$B$190,$B62)*Inputs!$D$1),"",SUMIFS(INDEX(Inputs!$B$2:$AZ$190,,MATCH(SUBSTITUTE(AD$3,"Q","T"),Inputs!$B$2:$AZ$2,0)),Inputs!$B$2:$B$190,$B62)*Inputs!$D$1)</f>
        <v>0</v>
      </c>
      <c r="AE62" s="57">
        <f>IF(ISNA(SUMIFS(INDEX(Inputs!$B$2:$AZ$190,,MATCH(SUBSTITUTE(AE$3,"Q","T"),Inputs!$B$2:$AZ$2,0)),Inputs!$B$2:$B$190,$B62)*Inputs!$D$1),"",SUMIFS(INDEX(Inputs!$B$2:$AZ$190,,MATCH(SUBSTITUTE(AE$3,"Q","T"),Inputs!$B$2:$AZ$2,0)),Inputs!$B$2:$B$190,$B62)*Inputs!$D$1)</f>
        <v>0</v>
      </c>
      <c r="AF62" s="57">
        <f>IF(ISNA(SUMIFS(INDEX(Inputs!$B$2:$AZ$190,,MATCH(SUBSTITUTE(AF$3,"Q","T"),Inputs!$B$2:$AZ$2,0)),Inputs!$B$2:$B$190,$B62)*Inputs!$D$1),"",SUMIFS(INDEX(Inputs!$B$2:$AZ$190,,MATCH(SUBSTITUTE(AF$3,"Q","T"),Inputs!$B$2:$AZ$2,0)),Inputs!$B$2:$B$190,$B62)*Inputs!$D$1)</f>
        <v>0</v>
      </c>
      <c r="AG62" s="57">
        <f>IF(ISNA(SUMIFS(INDEX(Inputs!$B$2:$AZ$190,,MATCH(SUBSTITUTE(AG$3,"Q","T"),Inputs!$B$2:$AZ$2,0)),Inputs!$B$2:$B$190,$B62)*Inputs!$D$1),"",SUMIFS(INDEX(Inputs!$B$2:$AZ$190,,MATCH(SUBSTITUTE(AG$3,"Q","T"),Inputs!$B$2:$AZ$2,0)),Inputs!$B$2:$B$190,$B62)*Inputs!$D$1)</f>
        <v>0</v>
      </c>
      <c r="AH62" s="58">
        <f>AG62</f>
        <v>0</v>
      </c>
      <c r="AI62" s="57">
        <f>IF(ISNA(SUMIFS(INDEX(Inputs!$B$2:$AZ$190,,MATCH(SUBSTITUTE(AI$3,"Q","T"),Inputs!$B$2:$AZ$2,0)),Inputs!$B$2:$B$190,$B62)*Inputs!$D$1),"",SUMIFS(INDEX(Inputs!$B$2:$AZ$190,,MATCH(SUBSTITUTE(AI$3,"Q","T"),Inputs!$B$2:$AZ$2,0)),Inputs!$B$2:$B$190,$B62)*Inputs!$D$1)</f>
        <v>0</v>
      </c>
      <c r="AJ62" s="57">
        <f>IF(ISNA(SUMIFS(INDEX(Inputs!$B$2:$AZ$190,,MATCH(SUBSTITUTE(AJ$3,"Q","T"),Inputs!$B$2:$AZ$2,0)),Inputs!$B$2:$B$190,$B62)*Inputs!$D$1),"",SUMIFS(INDEX(Inputs!$B$2:$AZ$190,,MATCH(SUBSTITUTE(AJ$3,"Q","T"),Inputs!$B$2:$AZ$2,0)),Inputs!$B$2:$B$190,$B62)*Inputs!$D$1)</f>
        <v>0</v>
      </c>
      <c r="AK62" s="57">
        <f>IF(ISNA(SUMIFS(INDEX(Inputs!$B$2:$AZ$190,,MATCH(SUBSTITUTE(AK$3,"Q","T"),Inputs!$B$2:$AZ$2,0)),Inputs!$B$2:$B$190,$B62)*Inputs!$D$1),"",SUMIFS(INDEX(Inputs!$B$2:$AZ$190,,MATCH(SUBSTITUTE(AK$3,"Q","T"),Inputs!$B$2:$AZ$2,0)),Inputs!$B$2:$B$190,$B62)*Inputs!$D$1)</f>
        <v>0</v>
      </c>
      <c r="AL62" s="57">
        <f>IF(ISNA(SUMIFS(INDEX(Inputs!$B$2:$AZ$190,,MATCH(SUBSTITUTE(AL$3,"Q","T"),Inputs!$B$2:$AZ$2,0)),Inputs!$B$2:$B$190,$B62)*Inputs!$D$1),"",SUMIFS(INDEX(Inputs!$B$2:$AZ$190,,MATCH(SUBSTITUTE(AL$3,"Q","T"),Inputs!$B$2:$AZ$2,0)),Inputs!$B$2:$B$190,$B62)*Inputs!$D$1)</f>
        <v>0</v>
      </c>
      <c r="AM62" s="58">
        <f>AL62</f>
        <v>0</v>
      </c>
      <c r="AN62" s="57">
        <f>IF(ISNA(SUMIFS(INDEX(Inputs!$B$2:$AZ$190,,MATCH(SUBSTITUTE(AN$3,"Q","T"),Inputs!$B$2:$AZ$2,0)),Inputs!$B$2:$B$190,$B62)*Inputs!$D$1),"",SUMIFS(INDEX(Inputs!$B$2:$AZ$190,,MATCH(SUBSTITUTE(AN$3,"Q","T"),Inputs!$B$2:$AZ$2,0)),Inputs!$B$2:$B$190,$B62)*Inputs!$D$1)</f>
        <v>0</v>
      </c>
      <c r="AO62" s="57">
        <f>IF(ISNA(SUMIFS(INDEX(Inputs!$B$2:$AZ$190,,MATCH(SUBSTITUTE(AO$3,"Q","T"),Inputs!$B$2:$AZ$2,0)),Inputs!$B$2:$B$190,$B62)*Inputs!$D$1),"",SUMIFS(INDEX(Inputs!$B$2:$AZ$190,,MATCH(SUBSTITUTE(AO$3,"Q","T"),Inputs!$B$2:$AZ$2,0)),Inputs!$B$2:$B$190,$B62)*Inputs!$D$1)</f>
        <v>0</v>
      </c>
      <c r="AP62" s="57">
        <f>IF(ISNA(SUMIFS(INDEX(Inputs!$B$2:$AZ$190,,MATCH(SUBSTITUTE(AP$3,"Q","T"),Inputs!$B$2:$AZ$2,0)),Inputs!$B$2:$B$190,$B62)*Inputs!$D$1),"",SUMIFS(INDEX(Inputs!$B$2:$AZ$190,,MATCH(SUBSTITUTE(AP$3,"Q","T"),Inputs!$B$2:$AZ$2,0)),Inputs!$B$2:$B$190,$B62)*Inputs!$D$1)</f>
        <v>0</v>
      </c>
      <c r="AQ62" s="57">
        <f>IF(ISNA(SUMIFS(INDEX(Inputs!$B$2:$AZ$190,,MATCH(SUBSTITUTE(AQ$3,"Q","T"),Inputs!$B$2:$AZ$2,0)),Inputs!$B$2:$B$190,$B62)*Inputs!$D$1),"",SUMIFS(INDEX(Inputs!$B$2:$AZ$190,,MATCH(SUBSTITUTE(AQ$3,"Q","T"),Inputs!$B$2:$AZ$2,0)),Inputs!$B$2:$B$190,$B62)*Inputs!$D$1)</f>
        <v>0</v>
      </c>
      <c r="AR62" s="58">
        <f>AQ62</f>
        <v>0</v>
      </c>
      <c r="AS62" s="57">
        <f>IF(ISNA(SUMIFS(INDEX(Inputs!$B$2:$AZ$190,,MATCH(SUBSTITUTE(AS$3,"Q","T"),Inputs!$B$2:$AZ$2,0)),Inputs!$B$2:$B$190,$B62)*Inputs!$D$1),"",SUMIFS(INDEX(Inputs!$B$2:$AZ$190,,MATCH(SUBSTITUTE(AS$3,"Q","T"),Inputs!$B$2:$AZ$2,0)),Inputs!$B$2:$B$190,$B62)*Inputs!$D$1)</f>
        <v>0</v>
      </c>
      <c r="AT62" s="57">
        <f>IF(ISNA(SUMIFS(INDEX(Inputs!$B$2:$AZ$190,,MATCH(SUBSTITUTE(AT$3,"Q","T"),Inputs!$B$2:$AZ$2,0)),Inputs!$B$2:$B$190,$B62)*Inputs!$D$1),"",SUMIFS(INDEX(Inputs!$B$2:$AZ$190,,MATCH(SUBSTITUTE(AT$3,"Q","T"),Inputs!$B$2:$AZ$2,0)),Inputs!$B$2:$B$190,$B62)*Inputs!$D$1)</f>
        <v>0</v>
      </c>
      <c r="AU62" s="57">
        <f>IF(ISNA(SUMIFS(INDEX(Inputs!$B$2:$AZ$190,,MATCH(SUBSTITUTE(AU$3,"Q","T"),Inputs!$B$2:$AZ$2,0)),Inputs!$B$2:$B$190,$B62)*Inputs!$D$1),"",SUMIFS(INDEX(Inputs!$B$2:$AZ$190,,MATCH(SUBSTITUTE(AU$3,"Q","T"),Inputs!$B$2:$AZ$2,0)),Inputs!$B$2:$B$190,$B62)*Inputs!$D$1)</f>
        <v>0</v>
      </c>
      <c r="AV62" s="57">
        <f>IF(ISNA(SUMIFS(INDEX(Inputs!$B$2:$AZ$190,,MATCH(SUBSTITUTE(AV$3,"Q","T"),Inputs!$B$2:$AZ$2,0)),Inputs!$B$2:$B$190,$B62)*Inputs!$D$1),"",SUMIFS(INDEX(Inputs!$B$2:$AZ$190,,MATCH(SUBSTITUTE(AV$3,"Q","T"),Inputs!$B$2:$AZ$2,0)),Inputs!$B$2:$B$190,$B62)*Inputs!$D$1)</f>
        <v>0</v>
      </c>
      <c r="AW62" s="58">
        <f>AV62</f>
        <v>0</v>
      </c>
      <c r="AX62" s="57">
        <f>IF(ISNA(SUMIFS(INDEX(Inputs!$B$2:$AZ$190,,MATCH(SUBSTITUTE(AX$3,"Q","T"),Inputs!$B$2:$AZ$2,0)),Inputs!$B$2:$B$190,$B62)*Inputs!$D$1),"",SUMIFS(INDEX(Inputs!$B$2:$AZ$190,,MATCH(SUBSTITUTE(AX$3,"Q","T"),Inputs!$B$2:$AZ$2,0)),Inputs!$B$2:$B$190,$B62)*Inputs!$D$1)</f>
        <v>0</v>
      </c>
      <c r="AY62" s="57">
        <f>IF(ISNA(SUMIFS(INDEX(Inputs!$B$2:$AZ$190,,MATCH(SUBSTITUTE(AY$3,"Q","T"),Inputs!$B$2:$AZ$2,0)),Inputs!$B$2:$B$190,$B62)*Inputs!$D$1),"",SUMIFS(INDEX(Inputs!$B$2:$AZ$190,,MATCH(SUBSTITUTE(AY$3,"Q","T"),Inputs!$B$2:$AZ$2,0)),Inputs!$B$2:$B$190,$B62)*Inputs!$D$1)</f>
        <v>0</v>
      </c>
      <c r="AZ62" s="57">
        <f>IF(ISNA(SUMIFS(INDEX(Inputs!$B$2:$AZ$190,,MATCH(SUBSTITUTE(AZ$3,"Q","T"),Inputs!$B$2:$AZ$2,0)),Inputs!$B$2:$B$190,$B62)*Inputs!$D$1),"",SUMIFS(INDEX(Inputs!$B$2:$AZ$190,,MATCH(SUBSTITUTE(AZ$3,"Q","T"),Inputs!$B$2:$AZ$2,0)),Inputs!$B$2:$B$190,$B62)*Inputs!$D$1)</f>
        <v>0</v>
      </c>
      <c r="BA62" s="57">
        <f>IF(ISNA(SUMIFS(INDEX(Inputs!$B$2:$AZ$190,,MATCH(SUBSTITUTE(BA$3,"Q","T"),Inputs!$B$2:$AZ$2,0)),Inputs!$B$2:$B$190,$B62)*Inputs!$D$1),"",SUMIFS(INDEX(Inputs!$B$2:$AZ$190,,MATCH(SUBSTITUTE(BA$3,"Q","T"),Inputs!$B$2:$AZ$2,0)),Inputs!$B$2:$B$190,$B62)*Inputs!$D$1)</f>
        <v>0</v>
      </c>
      <c r="BB62" s="58">
        <f>BA62</f>
        <v>0</v>
      </c>
      <c r="BC62" s="57">
        <f>IF(ISNA(SUMIFS(INDEX(Inputs!$B$2:$AZ$190,,MATCH(SUBSTITUTE(BC$3,"Q","T"),Inputs!$B$2:$AZ$2,0)),Inputs!$B$2:$B$190,$B62)*Inputs!$D$1),"",SUMIFS(INDEX(Inputs!$B$2:$AZ$190,,MATCH(SUBSTITUTE(BC$3,"Q","T"),Inputs!$B$2:$AZ$2,0)),Inputs!$B$2:$B$190,$B62)*Inputs!$D$1)</f>
        <v>0</v>
      </c>
      <c r="BD62" s="57">
        <f>IF(ISNA(SUMIFS(INDEX(Inputs!$B$2:$AZ$190,,MATCH(SUBSTITUTE(BD$3,"Q","T"),Inputs!$B$2:$AZ$2,0)),Inputs!$B$2:$B$190,$B62)*Inputs!$D$1),"",SUMIFS(INDEX(Inputs!$B$2:$AZ$190,,MATCH(SUBSTITUTE(BD$3,"Q","T"),Inputs!$B$2:$AZ$2,0)),Inputs!$B$2:$B$190,$B62)*Inputs!$D$1)</f>
        <v>0</v>
      </c>
      <c r="BE62" s="57">
        <f>IF(ISNA(SUMIFS(INDEX(Inputs!$B$2:$AZ$190,,MATCH(SUBSTITUTE(BE$3,"Q","T"),Inputs!$B$2:$AZ$2,0)),Inputs!$B$2:$B$190,$B62)*Inputs!$D$1),"",SUMIFS(INDEX(Inputs!$B$2:$AZ$190,,MATCH(SUBSTITUTE(BE$3,"Q","T"),Inputs!$B$2:$AZ$2,0)),Inputs!$B$2:$B$190,$B62)*Inputs!$D$1)</f>
        <v>0</v>
      </c>
      <c r="BF62" s="57">
        <f>IF(ISNA(SUMIFS(INDEX(Inputs!$B$2:$AZ$190,,MATCH(SUBSTITUTE(BF$3,"Q","T"),Inputs!$B$2:$AZ$2,0)),Inputs!$B$2:$B$190,$B62)*Inputs!$D$1),"",SUMIFS(INDEX(Inputs!$B$2:$AZ$190,,MATCH(SUBSTITUTE(BF$3,"Q","T"),Inputs!$B$2:$AZ$2,0)),Inputs!$B$2:$B$190,$B62)*Inputs!$D$1)</f>
        <v>0</v>
      </c>
      <c r="BG62" s="58">
        <f>BF62</f>
        <v>0</v>
      </c>
    </row>
    <row r="63" hidden="1" outlineLevel="1">
      <c r="B63" s="56" t="inlineStr">
        <is>
          <t>aoci</t>
        </is>
      </c>
      <c r="C63" s="61" t="inlineStr">
        <is>
          <t>Outros resultados abrangentes acumulados (AOCI)</t>
        </is>
      </c>
      <c r="D63" s="62" t="inlineStr">
        <is>
          <t>Accumulated other comprehensive income</t>
        </is>
      </c>
      <c r="E63" s="57">
        <f>IF(ISNA(SUMIFS(INDEX(Inputs!$B$2:$AZ$190,,MATCH(SUBSTITUTE(E$3,"Q","T"),Inputs!$B$2:$AZ$2,0)),Inputs!$B$2:$B$190,$B63)*Inputs!$D$1),"",SUMIFS(INDEX(Inputs!$B$2:$AZ$190,,MATCH(SUBSTITUTE(E$3,"Q","T"),Inputs!$B$2:$AZ$2,0)),Inputs!$B$2:$B$190,$B63)*Inputs!$D$1)</f>
        <v>0</v>
      </c>
      <c r="F63" s="57">
        <f>IF(ISNA(SUMIFS(INDEX(Inputs!$B$2:$AZ$190,,MATCH(SUBSTITUTE(F$3,"Q","T"),Inputs!$B$2:$AZ$2,0)),Inputs!$B$2:$B$190,$B63)*Inputs!$D$1),"",SUMIFS(INDEX(Inputs!$B$2:$AZ$190,,MATCH(SUBSTITUTE(F$3,"Q","T"),Inputs!$B$2:$AZ$2,0)),Inputs!$B$2:$B$190,$B63)*Inputs!$D$1)</f>
        <v>0</v>
      </c>
      <c r="G63" s="57">
        <f>IF(ISNA(SUMIFS(INDEX(Inputs!$B$2:$AZ$190,,MATCH(SUBSTITUTE(G$3,"Q","T"),Inputs!$B$2:$AZ$2,0)),Inputs!$B$2:$B$190,$B63)*Inputs!$D$1),"",SUMIFS(INDEX(Inputs!$B$2:$AZ$190,,MATCH(SUBSTITUTE(G$3,"Q","T"),Inputs!$B$2:$AZ$2,0)),Inputs!$B$2:$B$190,$B63)*Inputs!$D$1)</f>
        <v>0</v>
      </c>
      <c r="H63" s="57">
        <f>IF(ISNA(SUMIFS(INDEX(Inputs!$B$2:$AZ$190,,MATCH(SUBSTITUTE(H$3,"Q","T"),Inputs!$B$2:$AZ$2,0)),Inputs!$B$2:$B$190,$B63)*Inputs!$D$1),"",SUMIFS(INDEX(Inputs!$B$2:$AZ$190,,MATCH(SUBSTITUTE(H$3,"Q","T"),Inputs!$B$2:$AZ$2,0)),Inputs!$B$2:$B$190,$B63)*Inputs!$D$1)</f>
        <v>0</v>
      </c>
      <c r="I63" s="58">
        <f>H63</f>
        <v>0</v>
      </c>
      <c r="J63" s="57">
        <f>IF(ISNA(SUMIFS(INDEX(Inputs!$B$2:$AZ$190,,MATCH(SUBSTITUTE(J$3,"Q","T"),Inputs!$B$2:$AZ$2,0)),Inputs!$B$2:$B$190,$B63)*Inputs!$D$1),"",SUMIFS(INDEX(Inputs!$B$2:$AZ$190,,MATCH(SUBSTITUTE(J$3,"Q","T"),Inputs!$B$2:$AZ$2,0)),Inputs!$B$2:$B$190,$B63)*Inputs!$D$1)</f>
        <v>0</v>
      </c>
      <c r="K63" s="57">
        <f>IF(ISNA(SUMIFS(INDEX(Inputs!$B$2:$AZ$190,,MATCH(SUBSTITUTE(K$3,"Q","T"),Inputs!$B$2:$AZ$2,0)),Inputs!$B$2:$B$190,$B63)*Inputs!$D$1),"",SUMIFS(INDEX(Inputs!$B$2:$AZ$190,,MATCH(SUBSTITUTE(K$3,"Q","T"),Inputs!$B$2:$AZ$2,0)),Inputs!$B$2:$B$190,$B63)*Inputs!$D$1)</f>
        <v>0</v>
      </c>
      <c r="L63" s="57">
        <f>IF(ISNA(SUMIFS(INDEX(Inputs!$B$2:$AZ$190,,MATCH(SUBSTITUTE(L$3,"Q","T"),Inputs!$B$2:$AZ$2,0)),Inputs!$B$2:$B$190,$B63)*Inputs!$D$1),"",SUMIFS(INDEX(Inputs!$B$2:$AZ$190,,MATCH(SUBSTITUTE(L$3,"Q","T"),Inputs!$B$2:$AZ$2,0)),Inputs!$B$2:$B$190,$B63)*Inputs!$D$1)</f>
        <v>0</v>
      </c>
      <c r="M63" s="57">
        <f>IF(ISNA(SUMIFS(INDEX(Inputs!$B$2:$AZ$190,,MATCH(SUBSTITUTE(M$3,"Q","T"),Inputs!$B$2:$AZ$2,0)),Inputs!$B$2:$B$190,$B63)*Inputs!$D$1),"",SUMIFS(INDEX(Inputs!$B$2:$AZ$190,,MATCH(SUBSTITUTE(M$3,"Q","T"),Inputs!$B$2:$AZ$2,0)),Inputs!$B$2:$B$190,$B63)*Inputs!$D$1)</f>
        <v>0</v>
      </c>
      <c r="N63" s="58">
        <f>M63</f>
        <v>0</v>
      </c>
      <c r="O63" s="57">
        <f>IF(ISNA(SUMIFS(INDEX(Inputs!$B$2:$AZ$190,,MATCH(SUBSTITUTE(O$3,"Q","T"),Inputs!$B$2:$AZ$2,0)),Inputs!$B$2:$B$190,$B63)*Inputs!$D$1),"",SUMIFS(INDEX(Inputs!$B$2:$AZ$190,,MATCH(SUBSTITUTE(O$3,"Q","T"),Inputs!$B$2:$AZ$2,0)),Inputs!$B$2:$B$190,$B63)*Inputs!$D$1)</f>
        <v>0</v>
      </c>
      <c r="P63" s="57">
        <f>IF(ISNA(SUMIFS(INDEX(Inputs!$B$2:$AZ$190,,MATCH(SUBSTITUTE(P$3,"Q","T"),Inputs!$B$2:$AZ$2,0)),Inputs!$B$2:$B$190,$B63)*Inputs!$D$1),"",SUMIFS(INDEX(Inputs!$B$2:$AZ$190,,MATCH(SUBSTITUTE(P$3,"Q","T"),Inputs!$B$2:$AZ$2,0)),Inputs!$B$2:$B$190,$B63)*Inputs!$D$1)</f>
        <v>0</v>
      </c>
      <c r="Q63" s="57">
        <f>IF(ISNA(SUMIFS(INDEX(Inputs!$B$2:$AZ$190,,MATCH(SUBSTITUTE(Q$3,"Q","T"),Inputs!$B$2:$AZ$2,0)),Inputs!$B$2:$B$190,$B63)*Inputs!$D$1),"",SUMIFS(INDEX(Inputs!$B$2:$AZ$190,,MATCH(SUBSTITUTE(Q$3,"Q","T"),Inputs!$B$2:$AZ$2,0)),Inputs!$B$2:$B$190,$B63)*Inputs!$D$1)</f>
        <v>0</v>
      </c>
      <c r="R63" s="57">
        <f>IF(ISNA(SUMIFS(INDEX(Inputs!$B$2:$AZ$190,,MATCH(SUBSTITUTE(R$3,"Q","T"),Inputs!$B$2:$AZ$2,0)),Inputs!$B$2:$B$190,$B63)*Inputs!$D$1),"",SUMIFS(INDEX(Inputs!$B$2:$AZ$190,,MATCH(SUBSTITUTE(R$3,"Q","T"),Inputs!$B$2:$AZ$2,0)),Inputs!$B$2:$B$190,$B63)*Inputs!$D$1)</f>
        <v>0</v>
      </c>
      <c r="S63" s="58">
        <f>R63</f>
        <v>0</v>
      </c>
      <c r="T63" s="57">
        <f>IF(ISNA(SUMIFS(INDEX(Inputs!$B$2:$AZ$190,,MATCH(SUBSTITUTE(T$3,"Q","T"),Inputs!$B$2:$AZ$2,0)),Inputs!$B$2:$B$190,$B63)*Inputs!$D$1),"",SUMIFS(INDEX(Inputs!$B$2:$AZ$190,,MATCH(SUBSTITUTE(T$3,"Q","T"),Inputs!$B$2:$AZ$2,0)),Inputs!$B$2:$B$190,$B63)*Inputs!$D$1)</f>
        <v>0</v>
      </c>
      <c r="U63" s="57">
        <f>IF(ISNA(SUMIFS(INDEX(Inputs!$B$2:$AZ$190,,MATCH(SUBSTITUTE(U$3,"Q","T"),Inputs!$B$2:$AZ$2,0)),Inputs!$B$2:$B$190,$B63)*Inputs!$D$1),"",SUMIFS(INDEX(Inputs!$B$2:$AZ$190,,MATCH(SUBSTITUTE(U$3,"Q","T"),Inputs!$B$2:$AZ$2,0)),Inputs!$B$2:$B$190,$B63)*Inputs!$D$1)</f>
        <v>0</v>
      </c>
      <c r="V63" s="57">
        <f>IF(ISNA(SUMIFS(INDEX(Inputs!$B$2:$AZ$190,,MATCH(SUBSTITUTE(V$3,"Q","T"),Inputs!$B$2:$AZ$2,0)),Inputs!$B$2:$B$190,$B63)*Inputs!$D$1),"",SUMIFS(INDEX(Inputs!$B$2:$AZ$190,,MATCH(SUBSTITUTE(V$3,"Q","T"),Inputs!$B$2:$AZ$2,0)),Inputs!$B$2:$B$190,$B63)*Inputs!$D$1)</f>
        <v>0</v>
      </c>
      <c r="W63" s="57">
        <f>IF(ISNA(SUMIFS(INDEX(Inputs!$B$2:$AZ$190,,MATCH(SUBSTITUTE(W$3,"Q","T"),Inputs!$B$2:$AZ$2,0)),Inputs!$B$2:$B$190,$B63)*Inputs!$D$1),"",SUMIFS(INDEX(Inputs!$B$2:$AZ$190,,MATCH(SUBSTITUTE(W$3,"Q","T"),Inputs!$B$2:$AZ$2,0)),Inputs!$B$2:$B$190,$B63)*Inputs!$D$1)</f>
        <v>0</v>
      </c>
      <c r="X63" s="58">
        <f>W63</f>
        <v>0</v>
      </c>
      <c r="Y63" s="57">
        <f>IF(ISNA(SUMIFS(INDEX(Inputs!$B$2:$AZ$190,,MATCH(SUBSTITUTE(Y$3,"Q","T"),Inputs!$B$2:$AZ$2,0)),Inputs!$B$2:$B$190,$B63)*Inputs!$D$1),"",SUMIFS(INDEX(Inputs!$B$2:$AZ$190,,MATCH(SUBSTITUTE(Y$3,"Q","T"),Inputs!$B$2:$AZ$2,0)),Inputs!$B$2:$B$190,$B63)*Inputs!$D$1)</f>
        <v>0</v>
      </c>
      <c r="Z63" s="57">
        <f>IF(ISNA(SUMIFS(INDEX(Inputs!$B$2:$AZ$190,,MATCH(SUBSTITUTE(Z$3,"Q","T"),Inputs!$B$2:$AZ$2,0)),Inputs!$B$2:$B$190,$B63)*Inputs!$D$1),"",SUMIFS(INDEX(Inputs!$B$2:$AZ$190,,MATCH(SUBSTITUTE(Z$3,"Q","T"),Inputs!$B$2:$AZ$2,0)),Inputs!$B$2:$B$190,$B63)*Inputs!$D$1)</f>
        <v>0</v>
      </c>
      <c r="AA63" s="57">
        <f>IF(ISNA(SUMIFS(INDEX(Inputs!$B$2:$AZ$190,,MATCH(SUBSTITUTE(AA$3,"Q","T"),Inputs!$B$2:$AZ$2,0)),Inputs!$B$2:$B$190,$B63)*Inputs!$D$1),"",SUMIFS(INDEX(Inputs!$B$2:$AZ$190,,MATCH(SUBSTITUTE(AA$3,"Q","T"),Inputs!$B$2:$AZ$2,0)),Inputs!$B$2:$B$190,$B63)*Inputs!$D$1)</f>
        <v>0</v>
      </c>
      <c r="AB63" s="57">
        <f>IF(ISNA(SUMIFS(INDEX(Inputs!$B$2:$AZ$190,,MATCH(SUBSTITUTE(AB$3,"Q","T"),Inputs!$B$2:$AZ$2,0)),Inputs!$B$2:$B$190,$B63)*Inputs!$D$1),"",SUMIFS(INDEX(Inputs!$B$2:$AZ$190,,MATCH(SUBSTITUTE(AB$3,"Q","T"),Inputs!$B$2:$AZ$2,0)),Inputs!$B$2:$B$190,$B63)*Inputs!$D$1)</f>
        <v>0</v>
      </c>
      <c r="AC63" s="58">
        <f>AB63</f>
        <v>0</v>
      </c>
      <c r="AD63" s="57">
        <f>IF(ISNA(SUMIFS(INDEX(Inputs!$B$2:$AZ$190,,MATCH(SUBSTITUTE(AD$3,"Q","T"),Inputs!$B$2:$AZ$2,0)),Inputs!$B$2:$B$190,$B63)*Inputs!$D$1),"",SUMIFS(INDEX(Inputs!$B$2:$AZ$190,,MATCH(SUBSTITUTE(AD$3,"Q","T"),Inputs!$B$2:$AZ$2,0)),Inputs!$B$2:$B$190,$B63)*Inputs!$D$1)</f>
        <v>0</v>
      </c>
      <c r="AE63" s="57">
        <f>IF(ISNA(SUMIFS(INDEX(Inputs!$B$2:$AZ$190,,MATCH(SUBSTITUTE(AE$3,"Q","T"),Inputs!$B$2:$AZ$2,0)),Inputs!$B$2:$B$190,$B63)*Inputs!$D$1),"",SUMIFS(INDEX(Inputs!$B$2:$AZ$190,,MATCH(SUBSTITUTE(AE$3,"Q","T"),Inputs!$B$2:$AZ$2,0)),Inputs!$B$2:$B$190,$B63)*Inputs!$D$1)</f>
        <v>0</v>
      </c>
      <c r="AF63" s="57">
        <f>IF(ISNA(SUMIFS(INDEX(Inputs!$B$2:$AZ$190,,MATCH(SUBSTITUTE(AF$3,"Q","T"),Inputs!$B$2:$AZ$2,0)),Inputs!$B$2:$B$190,$B63)*Inputs!$D$1),"",SUMIFS(INDEX(Inputs!$B$2:$AZ$190,,MATCH(SUBSTITUTE(AF$3,"Q","T"),Inputs!$B$2:$AZ$2,0)),Inputs!$B$2:$B$190,$B63)*Inputs!$D$1)</f>
        <v>0</v>
      </c>
      <c r="AG63" s="57">
        <f>IF(ISNA(SUMIFS(INDEX(Inputs!$B$2:$AZ$190,,MATCH(SUBSTITUTE(AG$3,"Q","T"),Inputs!$B$2:$AZ$2,0)),Inputs!$B$2:$B$190,$B63)*Inputs!$D$1),"",SUMIFS(INDEX(Inputs!$B$2:$AZ$190,,MATCH(SUBSTITUTE(AG$3,"Q","T"),Inputs!$B$2:$AZ$2,0)),Inputs!$B$2:$B$190,$B63)*Inputs!$D$1)</f>
        <v>0</v>
      </c>
      <c r="AH63" s="58">
        <f>AG63</f>
        <v>0</v>
      </c>
      <c r="AI63" s="57">
        <f>IF(ISNA(SUMIFS(INDEX(Inputs!$B$2:$AZ$190,,MATCH(SUBSTITUTE(AI$3,"Q","T"),Inputs!$B$2:$AZ$2,0)),Inputs!$B$2:$B$190,$B63)*Inputs!$D$1),"",SUMIFS(INDEX(Inputs!$B$2:$AZ$190,,MATCH(SUBSTITUTE(AI$3,"Q","T"),Inputs!$B$2:$AZ$2,0)),Inputs!$B$2:$B$190,$B63)*Inputs!$D$1)</f>
        <v>0</v>
      </c>
      <c r="AJ63" s="57">
        <f>IF(ISNA(SUMIFS(INDEX(Inputs!$B$2:$AZ$190,,MATCH(SUBSTITUTE(AJ$3,"Q","T"),Inputs!$B$2:$AZ$2,0)),Inputs!$B$2:$B$190,$B63)*Inputs!$D$1),"",SUMIFS(INDEX(Inputs!$B$2:$AZ$190,,MATCH(SUBSTITUTE(AJ$3,"Q","T"),Inputs!$B$2:$AZ$2,0)),Inputs!$B$2:$B$190,$B63)*Inputs!$D$1)</f>
        <v>0</v>
      </c>
      <c r="AK63" s="57">
        <f>IF(ISNA(SUMIFS(INDEX(Inputs!$B$2:$AZ$190,,MATCH(SUBSTITUTE(AK$3,"Q","T"),Inputs!$B$2:$AZ$2,0)),Inputs!$B$2:$B$190,$B63)*Inputs!$D$1),"",SUMIFS(INDEX(Inputs!$B$2:$AZ$190,,MATCH(SUBSTITUTE(AK$3,"Q","T"),Inputs!$B$2:$AZ$2,0)),Inputs!$B$2:$B$190,$B63)*Inputs!$D$1)</f>
        <v>0</v>
      </c>
      <c r="AL63" s="57">
        <f>IF(ISNA(SUMIFS(INDEX(Inputs!$B$2:$AZ$190,,MATCH(SUBSTITUTE(AL$3,"Q","T"),Inputs!$B$2:$AZ$2,0)),Inputs!$B$2:$B$190,$B63)*Inputs!$D$1),"",SUMIFS(INDEX(Inputs!$B$2:$AZ$190,,MATCH(SUBSTITUTE(AL$3,"Q","T"),Inputs!$B$2:$AZ$2,0)),Inputs!$B$2:$B$190,$B63)*Inputs!$D$1)</f>
        <v>0</v>
      </c>
      <c r="AM63" s="58">
        <f>AL63</f>
        <v>0</v>
      </c>
      <c r="AN63" s="57">
        <f>IF(ISNA(SUMIFS(INDEX(Inputs!$B$2:$AZ$190,,MATCH(SUBSTITUTE(AN$3,"Q","T"),Inputs!$B$2:$AZ$2,0)),Inputs!$B$2:$B$190,$B63)*Inputs!$D$1),"",SUMIFS(INDEX(Inputs!$B$2:$AZ$190,,MATCH(SUBSTITUTE(AN$3,"Q","T"),Inputs!$B$2:$AZ$2,0)),Inputs!$B$2:$B$190,$B63)*Inputs!$D$1)</f>
        <v>0</v>
      </c>
      <c r="AO63" s="57">
        <f>IF(ISNA(SUMIFS(INDEX(Inputs!$B$2:$AZ$190,,MATCH(SUBSTITUTE(AO$3,"Q","T"),Inputs!$B$2:$AZ$2,0)),Inputs!$B$2:$B$190,$B63)*Inputs!$D$1),"",SUMIFS(INDEX(Inputs!$B$2:$AZ$190,,MATCH(SUBSTITUTE(AO$3,"Q","T"),Inputs!$B$2:$AZ$2,0)),Inputs!$B$2:$B$190,$B63)*Inputs!$D$1)</f>
        <v>0</v>
      </c>
      <c r="AP63" s="57">
        <f>IF(ISNA(SUMIFS(INDEX(Inputs!$B$2:$AZ$190,,MATCH(SUBSTITUTE(AP$3,"Q","T"),Inputs!$B$2:$AZ$2,0)),Inputs!$B$2:$B$190,$B63)*Inputs!$D$1),"",SUMIFS(INDEX(Inputs!$B$2:$AZ$190,,MATCH(SUBSTITUTE(AP$3,"Q","T"),Inputs!$B$2:$AZ$2,0)),Inputs!$B$2:$B$190,$B63)*Inputs!$D$1)</f>
        <v>0</v>
      </c>
      <c r="AQ63" s="57">
        <f>IF(ISNA(SUMIFS(INDEX(Inputs!$B$2:$AZ$190,,MATCH(SUBSTITUTE(AQ$3,"Q","T"),Inputs!$B$2:$AZ$2,0)),Inputs!$B$2:$B$190,$B63)*Inputs!$D$1),"",SUMIFS(INDEX(Inputs!$B$2:$AZ$190,,MATCH(SUBSTITUTE(AQ$3,"Q","T"),Inputs!$B$2:$AZ$2,0)),Inputs!$B$2:$B$190,$B63)*Inputs!$D$1)</f>
        <v>0</v>
      </c>
      <c r="AR63" s="58">
        <f>AQ63</f>
        <v>0</v>
      </c>
      <c r="AS63" s="57">
        <f>IF(ISNA(SUMIFS(INDEX(Inputs!$B$2:$AZ$190,,MATCH(SUBSTITUTE(AS$3,"Q","T"),Inputs!$B$2:$AZ$2,0)),Inputs!$B$2:$B$190,$B63)*Inputs!$D$1),"",SUMIFS(INDEX(Inputs!$B$2:$AZ$190,,MATCH(SUBSTITUTE(AS$3,"Q","T"),Inputs!$B$2:$AZ$2,0)),Inputs!$B$2:$B$190,$B63)*Inputs!$D$1)</f>
        <v>0</v>
      </c>
      <c r="AT63" s="57">
        <f>IF(ISNA(SUMIFS(INDEX(Inputs!$B$2:$AZ$190,,MATCH(SUBSTITUTE(AT$3,"Q","T"),Inputs!$B$2:$AZ$2,0)),Inputs!$B$2:$B$190,$B63)*Inputs!$D$1),"",SUMIFS(INDEX(Inputs!$B$2:$AZ$190,,MATCH(SUBSTITUTE(AT$3,"Q","T"),Inputs!$B$2:$AZ$2,0)),Inputs!$B$2:$B$190,$B63)*Inputs!$D$1)</f>
        <v>0</v>
      </c>
      <c r="AU63" s="57">
        <f>IF(ISNA(SUMIFS(INDEX(Inputs!$B$2:$AZ$190,,MATCH(SUBSTITUTE(AU$3,"Q","T"),Inputs!$B$2:$AZ$2,0)),Inputs!$B$2:$B$190,$B63)*Inputs!$D$1),"",SUMIFS(INDEX(Inputs!$B$2:$AZ$190,,MATCH(SUBSTITUTE(AU$3,"Q","T"),Inputs!$B$2:$AZ$2,0)),Inputs!$B$2:$B$190,$B63)*Inputs!$D$1)</f>
        <v>0</v>
      </c>
      <c r="AV63" s="57">
        <f>IF(ISNA(SUMIFS(INDEX(Inputs!$B$2:$AZ$190,,MATCH(SUBSTITUTE(AV$3,"Q","T"),Inputs!$B$2:$AZ$2,0)),Inputs!$B$2:$B$190,$B63)*Inputs!$D$1),"",SUMIFS(INDEX(Inputs!$B$2:$AZ$190,,MATCH(SUBSTITUTE(AV$3,"Q","T"),Inputs!$B$2:$AZ$2,0)),Inputs!$B$2:$B$190,$B63)*Inputs!$D$1)</f>
        <v>0</v>
      </c>
      <c r="AW63" s="58">
        <f>AV63</f>
        <v>0</v>
      </c>
      <c r="AX63" s="57">
        <f>IF(ISNA(SUMIFS(INDEX(Inputs!$B$2:$AZ$190,,MATCH(SUBSTITUTE(AX$3,"Q","T"),Inputs!$B$2:$AZ$2,0)),Inputs!$B$2:$B$190,$B63)*Inputs!$D$1),"",SUMIFS(INDEX(Inputs!$B$2:$AZ$190,,MATCH(SUBSTITUTE(AX$3,"Q","T"),Inputs!$B$2:$AZ$2,0)),Inputs!$B$2:$B$190,$B63)*Inputs!$D$1)</f>
        <v>0</v>
      </c>
      <c r="AY63" s="57">
        <f>IF(ISNA(SUMIFS(INDEX(Inputs!$B$2:$AZ$190,,MATCH(SUBSTITUTE(AY$3,"Q","T"),Inputs!$B$2:$AZ$2,0)),Inputs!$B$2:$B$190,$B63)*Inputs!$D$1),"",SUMIFS(INDEX(Inputs!$B$2:$AZ$190,,MATCH(SUBSTITUTE(AY$3,"Q","T"),Inputs!$B$2:$AZ$2,0)),Inputs!$B$2:$B$190,$B63)*Inputs!$D$1)</f>
        <v>0</v>
      </c>
      <c r="AZ63" s="57">
        <f>IF(ISNA(SUMIFS(INDEX(Inputs!$B$2:$AZ$190,,MATCH(SUBSTITUTE(AZ$3,"Q","T"),Inputs!$B$2:$AZ$2,0)),Inputs!$B$2:$B$190,$B63)*Inputs!$D$1),"",SUMIFS(INDEX(Inputs!$B$2:$AZ$190,,MATCH(SUBSTITUTE(AZ$3,"Q","T"),Inputs!$B$2:$AZ$2,0)),Inputs!$B$2:$B$190,$B63)*Inputs!$D$1)</f>
        <v>0</v>
      </c>
      <c r="BA63" s="57">
        <f>IF(ISNA(SUMIFS(INDEX(Inputs!$B$2:$AZ$190,,MATCH(SUBSTITUTE(BA$3,"Q","T"),Inputs!$B$2:$AZ$2,0)),Inputs!$B$2:$B$190,$B63)*Inputs!$D$1),"",SUMIFS(INDEX(Inputs!$B$2:$AZ$190,,MATCH(SUBSTITUTE(BA$3,"Q","T"),Inputs!$B$2:$AZ$2,0)),Inputs!$B$2:$B$190,$B63)*Inputs!$D$1)</f>
        <v>0</v>
      </c>
      <c r="BB63" s="58">
        <f>BA63</f>
        <v>0</v>
      </c>
      <c r="BC63" s="57">
        <f>IF(ISNA(SUMIFS(INDEX(Inputs!$B$2:$AZ$190,,MATCH(SUBSTITUTE(BC$3,"Q","T"),Inputs!$B$2:$AZ$2,0)),Inputs!$B$2:$B$190,$B63)*Inputs!$D$1),"",SUMIFS(INDEX(Inputs!$B$2:$AZ$190,,MATCH(SUBSTITUTE(BC$3,"Q","T"),Inputs!$B$2:$AZ$2,0)),Inputs!$B$2:$B$190,$B63)*Inputs!$D$1)</f>
        <v>0</v>
      </c>
      <c r="BD63" s="57">
        <f>IF(ISNA(SUMIFS(INDEX(Inputs!$B$2:$AZ$190,,MATCH(SUBSTITUTE(BD$3,"Q","T"),Inputs!$B$2:$AZ$2,0)),Inputs!$B$2:$B$190,$B63)*Inputs!$D$1),"",SUMIFS(INDEX(Inputs!$B$2:$AZ$190,,MATCH(SUBSTITUTE(BD$3,"Q","T"),Inputs!$B$2:$AZ$2,0)),Inputs!$B$2:$B$190,$B63)*Inputs!$D$1)</f>
        <v>0</v>
      </c>
      <c r="BE63" s="57">
        <f>IF(ISNA(SUMIFS(INDEX(Inputs!$B$2:$AZ$190,,MATCH(SUBSTITUTE(BE$3,"Q","T"),Inputs!$B$2:$AZ$2,0)),Inputs!$B$2:$B$190,$B63)*Inputs!$D$1),"",SUMIFS(INDEX(Inputs!$B$2:$AZ$190,,MATCH(SUBSTITUTE(BE$3,"Q","T"),Inputs!$B$2:$AZ$2,0)),Inputs!$B$2:$B$190,$B63)*Inputs!$D$1)</f>
        <v>0</v>
      </c>
      <c r="BF63" s="57">
        <f>IF(ISNA(SUMIFS(INDEX(Inputs!$B$2:$AZ$190,,MATCH(SUBSTITUTE(BF$3,"Q","T"),Inputs!$B$2:$AZ$2,0)),Inputs!$B$2:$B$190,$B63)*Inputs!$D$1),"",SUMIFS(INDEX(Inputs!$B$2:$AZ$190,,MATCH(SUBSTITUTE(BF$3,"Q","T"),Inputs!$B$2:$AZ$2,0)),Inputs!$B$2:$B$190,$B63)*Inputs!$D$1)</f>
        <v>0</v>
      </c>
      <c r="BG63" s="58">
        <f>BF63</f>
        <v>0</v>
      </c>
    </row>
    <row r="64" hidden="1" outlineLevel="1">
      <c r="B64" s="56" t="inlineStr">
        <is>
          <t>treasury</t>
        </is>
      </c>
      <c r="C64" s="61" t="inlineStr">
        <is>
          <t>(Ações em tesouraria, a custo)</t>
        </is>
      </c>
      <c r="D64" s="62" t="inlineStr">
        <is>
          <t>(Treasury stock, at cost)</t>
        </is>
      </c>
      <c r="E64" s="57">
        <f>IF(ISNA(SUMIFS(INDEX(Inputs!$B$2:$AZ$190,,MATCH(SUBSTITUTE(E$3,"Q","T"),Inputs!$B$2:$AZ$2,0)),Inputs!$B$2:$B$190,$B64)*Inputs!$D$1),"",SUMIFS(INDEX(Inputs!$B$2:$AZ$190,,MATCH(SUBSTITUTE(E$3,"Q","T"),Inputs!$B$2:$AZ$2,0)),Inputs!$B$2:$B$190,$B64)*Inputs!$D$1)</f>
        <v>0</v>
      </c>
      <c r="F64" s="57">
        <f>IF(ISNA(SUMIFS(INDEX(Inputs!$B$2:$AZ$190,,MATCH(SUBSTITUTE(F$3,"Q","T"),Inputs!$B$2:$AZ$2,0)),Inputs!$B$2:$B$190,$B64)*Inputs!$D$1),"",SUMIFS(INDEX(Inputs!$B$2:$AZ$190,,MATCH(SUBSTITUTE(F$3,"Q","T"),Inputs!$B$2:$AZ$2,0)),Inputs!$B$2:$B$190,$B64)*Inputs!$D$1)</f>
        <v>0</v>
      </c>
      <c r="G64" s="57">
        <f>IF(ISNA(SUMIFS(INDEX(Inputs!$B$2:$AZ$190,,MATCH(SUBSTITUTE(G$3,"Q","T"),Inputs!$B$2:$AZ$2,0)),Inputs!$B$2:$B$190,$B64)*Inputs!$D$1),"",SUMIFS(INDEX(Inputs!$B$2:$AZ$190,,MATCH(SUBSTITUTE(G$3,"Q","T"),Inputs!$B$2:$AZ$2,0)),Inputs!$B$2:$B$190,$B64)*Inputs!$D$1)</f>
        <v>0</v>
      </c>
      <c r="H64" s="57">
        <f>IF(ISNA(SUMIFS(INDEX(Inputs!$B$2:$AZ$190,,MATCH(SUBSTITUTE(H$3,"Q","T"),Inputs!$B$2:$AZ$2,0)),Inputs!$B$2:$B$190,$B64)*Inputs!$D$1),"",SUMIFS(INDEX(Inputs!$B$2:$AZ$190,,MATCH(SUBSTITUTE(H$3,"Q","T"),Inputs!$B$2:$AZ$2,0)),Inputs!$B$2:$B$190,$B64)*Inputs!$D$1)</f>
        <v>0</v>
      </c>
      <c r="I64" s="58">
        <f>H64</f>
        <v>0</v>
      </c>
      <c r="J64" s="57">
        <f>IF(ISNA(SUMIFS(INDEX(Inputs!$B$2:$AZ$190,,MATCH(SUBSTITUTE(J$3,"Q","T"),Inputs!$B$2:$AZ$2,0)),Inputs!$B$2:$B$190,$B64)*Inputs!$D$1),"",SUMIFS(INDEX(Inputs!$B$2:$AZ$190,,MATCH(SUBSTITUTE(J$3,"Q","T"),Inputs!$B$2:$AZ$2,0)),Inputs!$B$2:$B$190,$B64)*Inputs!$D$1)</f>
        <v>0</v>
      </c>
      <c r="K64" s="57">
        <f>IF(ISNA(SUMIFS(INDEX(Inputs!$B$2:$AZ$190,,MATCH(SUBSTITUTE(K$3,"Q","T"),Inputs!$B$2:$AZ$2,0)),Inputs!$B$2:$B$190,$B64)*Inputs!$D$1),"",SUMIFS(INDEX(Inputs!$B$2:$AZ$190,,MATCH(SUBSTITUTE(K$3,"Q","T"),Inputs!$B$2:$AZ$2,0)),Inputs!$B$2:$B$190,$B64)*Inputs!$D$1)</f>
        <v>0</v>
      </c>
      <c r="L64" s="57">
        <f>IF(ISNA(SUMIFS(INDEX(Inputs!$B$2:$AZ$190,,MATCH(SUBSTITUTE(L$3,"Q","T"),Inputs!$B$2:$AZ$2,0)),Inputs!$B$2:$B$190,$B64)*Inputs!$D$1),"",SUMIFS(INDEX(Inputs!$B$2:$AZ$190,,MATCH(SUBSTITUTE(L$3,"Q","T"),Inputs!$B$2:$AZ$2,0)),Inputs!$B$2:$B$190,$B64)*Inputs!$D$1)</f>
        <v>0</v>
      </c>
      <c r="M64" s="57">
        <f>IF(ISNA(SUMIFS(INDEX(Inputs!$B$2:$AZ$190,,MATCH(SUBSTITUTE(M$3,"Q","T"),Inputs!$B$2:$AZ$2,0)),Inputs!$B$2:$B$190,$B64)*Inputs!$D$1),"",SUMIFS(INDEX(Inputs!$B$2:$AZ$190,,MATCH(SUBSTITUTE(M$3,"Q","T"),Inputs!$B$2:$AZ$2,0)),Inputs!$B$2:$B$190,$B64)*Inputs!$D$1)</f>
        <v>0</v>
      </c>
      <c r="N64" s="58">
        <f>M64</f>
        <v>0</v>
      </c>
      <c r="O64" s="57">
        <f>IF(ISNA(SUMIFS(INDEX(Inputs!$B$2:$AZ$190,,MATCH(SUBSTITUTE(O$3,"Q","T"),Inputs!$B$2:$AZ$2,0)),Inputs!$B$2:$B$190,$B64)*Inputs!$D$1),"",SUMIFS(INDEX(Inputs!$B$2:$AZ$190,,MATCH(SUBSTITUTE(O$3,"Q","T"),Inputs!$B$2:$AZ$2,0)),Inputs!$B$2:$B$190,$B64)*Inputs!$D$1)</f>
        <v>0</v>
      </c>
      <c r="P64" s="57">
        <f>IF(ISNA(SUMIFS(INDEX(Inputs!$B$2:$AZ$190,,MATCH(SUBSTITUTE(P$3,"Q","T"),Inputs!$B$2:$AZ$2,0)),Inputs!$B$2:$B$190,$B64)*Inputs!$D$1),"",SUMIFS(INDEX(Inputs!$B$2:$AZ$190,,MATCH(SUBSTITUTE(P$3,"Q","T"),Inputs!$B$2:$AZ$2,0)),Inputs!$B$2:$B$190,$B64)*Inputs!$D$1)</f>
        <v>0</v>
      </c>
      <c r="Q64" s="57">
        <f>IF(ISNA(SUMIFS(INDEX(Inputs!$B$2:$AZ$190,,MATCH(SUBSTITUTE(Q$3,"Q","T"),Inputs!$B$2:$AZ$2,0)),Inputs!$B$2:$B$190,$B64)*Inputs!$D$1),"",SUMIFS(INDEX(Inputs!$B$2:$AZ$190,,MATCH(SUBSTITUTE(Q$3,"Q","T"),Inputs!$B$2:$AZ$2,0)),Inputs!$B$2:$B$190,$B64)*Inputs!$D$1)</f>
        <v>0</v>
      </c>
      <c r="R64" s="57">
        <f>IF(ISNA(SUMIFS(INDEX(Inputs!$B$2:$AZ$190,,MATCH(SUBSTITUTE(R$3,"Q","T"),Inputs!$B$2:$AZ$2,0)),Inputs!$B$2:$B$190,$B64)*Inputs!$D$1),"",SUMIFS(INDEX(Inputs!$B$2:$AZ$190,,MATCH(SUBSTITUTE(R$3,"Q","T"),Inputs!$B$2:$AZ$2,0)),Inputs!$B$2:$B$190,$B64)*Inputs!$D$1)</f>
        <v>0</v>
      </c>
      <c r="S64" s="58">
        <f>R64</f>
        <v>0</v>
      </c>
      <c r="T64" s="57">
        <f>IF(ISNA(SUMIFS(INDEX(Inputs!$B$2:$AZ$190,,MATCH(SUBSTITUTE(T$3,"Q","T"),Inputs!$B$2:$AZ$2,0)),Inputs!$B$2:$B$190,$B64)*Inputs!$D$1),"",SUMIFS(INDEX(Inputs!$B$2:$AZ$190,,MATCH(SUBSTITUTE(T$3,"Q","T"),Inputs!$B$2:$AZ$2,0)),Inputs!$B$2:$B$190,$B64)*Inputs!$D$1)</f>
        <v>0</v>
      </c>
      <c r="U64" s="57">
        <f>IF(ISNA(SUMIFS(INDEX(Inputs!$B$2:$AZ$190,,MATCH(SUBSTITUTE(U$3,"Q","T"),Inputs!$B$2:$AZ$2,0)),Inputs!$B$2:$B$190,$B64)*Inputs!$D$1),"",SUMIFS(INDEX(Inputs!$B$2:$AZ$190,,MATCH(SUBSTITUTE(U$3,"Q","T"),Inputs!$B$2:$AZ$2,0)),Inputs!$B$2:$B$190,$B64)*Inputs!$D$1)</f>
        <v>0</v>
      </c>
      <c r="V64" s="57">
        <f>IF(ISNA(SUMIFS(INDEX(Inputs!$B$2:$AZ$190,,MATCH(SUBSTITUTE(V$3,"Q","T"),Inputs!$B$2:$AZ$2,0)),Inputs!$B$2:$B$190,$B64)*Inputs!$D$1),"",SUMIFS(INDEX(Inputs!$B$2:$AZ$190,,MATCH(SUBSTITUTE(V$3,"Q","T"),Inputs!$B$2:$AZ$2,0)),Inputs!$B$2:$B$190,$B64)*Inputs!$D$1)</f>
        <v>0</v>
      </c>
      <c r="W64" s="57">
        <f>IF(ISNA(SUMIFS(INDEX(Inputs!$B$2:$AZ$190,,MATCH(SUBSTITUTE(W$3,"Q","T"),Inputs!$B$2:$AZ$2,0)),Inputs!$B$2:$B$190,$B64)*Inputs!$D$1),"",SUMIFS(INDEX(Inputs!$B$2:$AZ$190,,MATCH(SUBSTITUTE(W$3,"Q","T"),Inputs!$B$2:$AZ$2,0)),Inputs!$B$2:$B$190,$B64)*Inputs!$D$1)</f>
        <v>0</v>
      </c>
      <c r="X64" s="58">
        <f>W64</f>
        <v>0</v>
      </c>
      <c r="Y64" s="57">
        <f>IF(ISNA(SUMIFS(INDEX(Inputs!$B$2:$AZ$190,,MATCH(SUBSTITUTE(Y$3,"Q","T"),Inputs!$B$2:$AZ$2,0)),Inputs!$B$2:$B$190,$B64)*Inputs!$D$1),"",SUMIFS(INDEX(Inputs!$B$2:$AZ$190,,MATCH(SUBSTITUTE(Y$3,"Q","T"),Inputs!$B$2:$AZ$2,0)),Inputs!$B$2:$B$190,$B64)*Inputs!$D$1)</f>
        <v>0</v>
      </c>
      <c r="Z64" s="57">
        <f>IF(ISNA(SUMIFS(INDEX(Inputs!$B$2:$AZ$190,,MATCH(SUBSTITUTE(Z$3,"Q","T"),Inputs!$B$2:$AZ$2,0)),Inputs!$B$2:$B$190,$B64)*Inputs!$D$1),"",SUMIFS(INDEX(Inputs!$B$2:$AZ$190,,MATCH(SUBSTITUTE(Z$3,"Q","T"),Inputs!$B$2:$AZ$2,0)),Inputs!$B$2:$B$190,$B64)*Inputs!$D$1)</f>
        <v>0</v>
      </c>
      <c r="AA64" s="57">
        <f>IF(ISNA(SUMIFS(INDEX(Inputs!$B$2:$AZ$190,,MATCH(SUBSTITUTE(AA$3,"Q","T"),Inputs!$B$2:$AZ$2,0)),Inputs!$B$2:$B$190,$B64)*Inputs!$D$1),"",SUMIFS(INDEX(Inputs!$B$2:$AZ$190,,MATCH(SUBSTITUTE(AA$3,"Q","T"),Inputs!$B$2:$AZ$2,0)),Inputs!$B$2:$B$190,$B64)*Inputs!$D$1)</f>
        <v>0</v>
      </c>
      <c r="AB64" s="57">
        <f>IF(ISNA(SUMIFS(INDEX(Inputs!$B$2:$AZ$190,,MATCH(SUBSTITUTE(AB$3,"Q","T"),Inputs!$B$2:$AZ$2,0)),Inputs!$B$2:$B$190,$B64)*Inputs!$D$1),"",SUMIFS(INDEX(Inputs!$B$2:$AZ$190,,MATCH(SUBSTITUTE(AB$3,"Q","T"),Inputs!$B$2:$AZ$2,0)),Inputs!$B$2:$B$190,$B64)*Inputs!$D$1)</f>
        <v>0</v>
      </c>
      <c r="AC64" s="58">
        <f>AB64</f>
        <v>0</v>
      </c>
      <c r="AD64" s="57">
        <f>IF(ISNA(SUMIFS(INDEX(Inputs!$B$2:$AZ$190,,MATCH(SUBSTITUTE(AD$3,"Q","T"),Inputs!$B$2:$AZ$2,0)),Inputs!$B$2:$B$190,$B64)*Inputs!$D$1),"",SUMIFS(INDEX(Inputs!$B$2:$AZ$190,,MATCH(SUBSTITUTE(AD$3,"Q","T"),Inputs!$B$2:$AZ$2,0)),Inputs!$B$2:$B$190,$B64)*Inputs!$D$1)</f>
        <v>0</v>
      </c>
      <c r="AE64" s="57">
        <f>IF(ISNA(SUMIFS(INDEX(Inputs!$B$2:$AZ$190,,MATCH(SUBSTITUTE(AE$3,"Q","T"),Inputs!$B$2:$AZ$2,0)),Inputs!$B$2:$B$190,$B64)*Inputs!$D$1),"",SUMIFS(INDEX(Inputs!$B$2:$AZ$190,,MATCH(SUBSTITUTE(AE$3,"Q","T"),Inputs!$B$2:$AZ$2,0)),Inputs!$B$2:$B$190,$B64)*Inputs!$D$1)</f>
        <v>0</v>
      </c>
      <c r="AF64" s="57">
        <f>IF(ISNA(SUMIFS(INDEX(Inputs!$B$2:$AZ$190,,MATCH(SUBSTITUTE(AF$3,"Q","T"),Inputs!$B$2:$AZ$2,0)),Inputs!$B$2:$B$190,$B64)*Inputs!$D$1),"",SUMIFS(INDEX(Inputs!$B$2:$AZ$190,,MATCH(SUBSTITUTE(AF$3,"Q","T"),Inputs!$B$2:$AZ$2,0)),Inputs!$B$2:$B$190,$B64)*Inputs!$D$1)</f>
        <v>0</v>
      </c>
      <c r="AG64" s="57">
        <f>IF(ISNA(SUMIFS(INDEX(Inputs!$B$2:$AZ$190,,MATCH(SUBSTITUTE(AG$3,"Q","T"),Inputs!$B$2:$AZ$2,0)),Inputs!$B$2:$B$190,$B64)*Inputs!$D$1),"",SUMIFS(INDEX(Inputs!$B$2:$AZ$190,,MATCH(SUBSTITUTE(AG$3,"Q","T"),Inputs!$B$2:$AZ$2,0)),Inputs!$B$2:$B$190,$B64)*Inputs!$D$1)</f>
        <v>0</v>
      </c>
      <c r="AH64" s="58">
        <f>AG64</f>
        <v>0</v>
      </c>
      <c r="AI64" s="57">
        <f>IF(ISNA(SUMIFS(INDEX(Inputs!$B$2:$AZ$190,,MATCH(SUBSTITUTE(AI$3,"Q","T"),Inputs!$B$2:$AZ$2,0)),Inputs!$B$2:$B$190,$B64)*Inputs!$D$1),"",SUMIFS(INDEX(Inputs!$B$2:$AZ$190,,MATCH(SUBSTITUTE(AI$3,"Q","T"),Inputs!$B$2:$AZ$2,0)),Inputs!$B$2:$B$190,$B64)*Inputs!$D$1)</f>
        <v>0</v>
      </c>
      <c r="AJ64" s="57">
        <f>IF(ISNA(SUMIFS(INDEX(Inputs!$B$2:$AZ$190,,MATCH(SUBSTITUTE(AJ$3,"Q","T"),Inputs!$B$2:$AZ$2,0)),Inputs!$B$2:$B$190,$B64)*Inputs!$D$1),"",SUMIFS(INDEX(Inputs!$B$2:$AZ$190,,MATCH(SUBSTITUTE(AJ$3,"Q","T"),Inputs!$B$2:$AZ$2,0)),Inputs!$B$2:$B$190,$B64)*Inputs!$D$1)</f>
        <v>0</v>
      </c>
      <c r="AK64" s="57">
        <f>IF(ISNA(SUMIFS(INDEX(Inputs!$B$2:$AZ$190,,MATCH(SUBSTITUTE(AK$3,"Q","T"),Inputs!$B$2:$AZ$2,0)),Inputs!$B$2:$B$190,$B64)*Inputs!$D$1),"",SUMIFS(INDEX(Inputs!$B$2:$AZ$190,,MATCH(SUBSTITUTE(AK$3,"Q","T"),Inputs!$B$2:$AZ$2,0)),Inputs!$B$2:$B$190,$B64)*Inputs!$D$1)</f>
        <v>0</v>
      </c>
      <c r="AL64" s="57">
        <f>IF(ISNA(SUMIFS(INDEX(Inputs!$B$2:$AZ$190,,MATCH(SUBSTITUTE(AL$3,"Q","T"),Inputs!$B$2:$AZ$2,0)),Inputs!$B$2:$B$190,$B64)*Inputs!$D$1),"",SUMIFS(INDEX(Inputs!$B$2:$AZ$190,,MATCH(SUBSTITUTE(AL$3,"Q","T"),Inputs!$B$2:$AZ$2,0)),Inputs!$B$2:$B$190,$B64)*Inputs!$D$1)</f>
        <v>0</v>
      </c>
      <c r="AM64" s="58">
        <f>AL64</f>
        <v>0</v>
      </c>
      <c r="AN64" s="57">
        <f>IF(ISNA(SUMIFS(INDEX(Inputs!$B$2:$AZ$190,,MATCH(SUBSTITUTE(AN$3,"Q","T"),Inputs!$B$2:$AZ$2,0)),Inputs!$B$2:$B$190,$B64)*Inputs!$D$1),"",SUMIFS(INDEX(Inputs!$B$2:$AZ$190,,MATCH(SUBSTITUTE(AN$3,"Q","T"),Inputs!$B$2:$AZ$2,0)),Inputs!$B$2:$B$190,$B64)*Inputs!$D$1)</f>
        <v>0</v>
      </c>
      <c r="AO64" s="57">
        <f>IF(ISNA(SUMIFS(INDEX(Inputs!$B$2:$AZ$190,,MATCH(SUBSTITUTE(AO$3,"Q","T"),Inputs!$B$2:$AZ$2,0)),Inputs!$B$2:$B$190,$B64)*Inputs!$D$1),"",SUMIFS(INDEX(Inputs!$B$2:$AZ$190,,MATCH(SUBSTITUTE(AO$3,"Q","T"),Inputs!$B$2:$AZ$2,0)),Inputs!$B$2:$B$190,$B64)*Inputs!$D$1)</f>
        <v>0</v>
      </c>
      <c r="AP64" s="57">
        <f>IF(ISNA(SUMIFS(INDEX(Inputs!$B$2:$AZ$190,,MATCH(SUBSTITUTE(AP$3,"Q","T"),Inputs!$B$2:$AZ$2,0)),Inputs!$B$2:$B$190,$B64)*Inputs!$D$1),"",SUMIFS(INDEX(Inputs!$B$2:$AZ$190,,MATCH(SUBSTITUTE(AP$3,"Q","T"),Inputs!$B$2:$AZ$2,0)),Inputs!$B$2:$B$190,$B64)*Inputs!$D$1)</f>
        <v>0</v>
      </c>
      <c r="AQ64" s="57">
        <f>IF(ISNA(SUMIFS(INDEX(Inputs!$B$2:$AZ$190,,MATCH(SUBSTITUTE(AQ$3,"Q","T"),Inputs!$B$2:$AZ$2,0)),Inputs!$B$2:$B$190,$B64)*Inputs!$D$1),"",SUMIFS(INDEX(Inputs!$B$2:$AZ$190,,MATCH(SUBSTITUTE(AQ$3,"Q","T"),Inputs!$B$2:$AZ$2,0)),Inputs!$B$2:$B$190,$B64)*Inputs!$D$1)</f>
        <v>0</v>
      </c>
      <c r="AR64" s="58">
        <f>AQ64</f>
        <v>0</v>
      </c>
      <c r="AS64" s="57">
        <f>IF(ISNA(SUMIFS(INDEX(Inputs!$B$2:$AZ$190,,MATCH(SUBSTITUTE(AS$3,"Q","T"),Inputs!$B$2:$AZ$2,0)),Inputs!$B$2:$B$190,$B64)*Inputs!$D$1),"",SUMIFS(INDEX(Inputs!$B$2:$AZ$190,,MATCH(SUBSTITUTE(AS$3,"Q","T"),Inputs!$B$2:$AZ$2,0)),Inputs!$B$2:$B$190,$B64)*Inputs!$D$1)</f>
        <v>0</v>
      </c>
      <c r="AT64" s="57">
        <f>IF(ISNA(SUMIFS(INDEX(Inputs!$B$2:$AZ$190,,MATCH(SUBSTITUTE(AT$3,"Q","T"),Inputs!$B$2:$AZ$2,0)),Inputs!$B$2:$B$190,$B64)*Inputs!$D$1),"",SUMIFS(INDEX(Inputs!$B$2:$AZ$190,,MATCH(SUBSTITUTE(AT$3,"Q","T"),Inputs!$B$2:$AZ$2,0)),Inputs!$B$2:$B$190,$B64)*Inputs!$D$1)</f>
        <v>0</v>
      </c>
      <c r="AU64" s="57">
        <f>IF(ISNA(SUMIFS(INDEX(Inputs!$B$2:$AZ$190,,MATCH(SUBSTITUTE(AU$3,"Q","T"),Inputs!$B$2:$AZ$2,0)),Inputs!$B$2:$B$190,$B64)*Inputs!$D$1),"",SUMIFS(INDEX(Inputs!$B$2:$AZ$190,,MATCH(SUBSTITUTE(AU$3,"Q","T"),Inputs!$B$2:$AZ$2,0)),Inputs!$B$2:$B$190,$B64)*Inputs!$D$1)</f>
        <v>0</v>
      </c>
      <c r="AV64" s="57">
        <f>IF(ISNA(SUMIFS(INDEX(Inputs!$B$2:$AZ$190,,MATCH(SUBSTITUTE(AV$3,"Q","T"),Inputs!$B$2:$AZ$2,0)),Inputs!$B$2:$B$190,$B64)*Inputs!$D$1),"",SUMIFS(INDEX(Inputs!$B$2:$AZ$190,,MATCH(SUBSTITUTE(AV$3,"Q","T"),Inputs!$B$2:$AZ$2,0)),Inputs!$B$2:$B$190,$B64)*Inputs!$D$1)</f>
        <v>0</v>
      </c>
      <c r="AW64" s="58">
        <f>AV64</f>
        <v>0</v>
      </c>
      <c r="AX64" s="57">
        <f>IF(ISNA(SUMIFS(INDEX(Inputs!$B$2:$AZ$190,,MATCH(SUBSTITUTE(AX$3,"Q","T"),Inputs!$B$2:$AZ$2,0)),Inputs!$B$2:$B$190,$B64)*Inputs!$D$1),"",SUMIFS(INDEX(Inputs!$B$2:$AZ$190,,MATCH(SUBSTITUTE(AX$3,"Q","T"),Inputs!$B$2:$AZ$2,0)),Inputs!$B$2:$B$190,$B64)*Inputs!$D$1)</f>
        <v>0</v>
      </c>
      <c r="AY64" s="57">
        <f>IF(ISNA(SUMIFS(INDEX(Inputs!$B$2:$AZ$190,,MATCH(SUBSTITUTE(AY$3,"Q","T"),Inputs!$B$2:$AZ$2,0)),Inputs!$B$2:$B$190,$B64)*Inputs!$D$1),"",SUMIFS(INDEX(Inputs!$B$2:$AZ$190,,MATCH(SUBSTITUTE(AY$3,"Q","T"),Inputs!$B$2:$AZ$2,0)),Inputs!$B$2:$B$190,$B64)*Inputs!$D$1)</f>
        <v>0</v>
      </c>
      <c r="AZ64" s="57">
        <f>IF(ISNA(SUMIFS(INDEX(Inputs!$B$2:$AZ$190,,MATCH(SUBSTITUTE(AZ$3,"Q","T"),Inputs!$B$2:$AZ$2,0)),Inputs!$B$2:$B$190,$B64)*Inputs!$D$1),"",SUMIFS(INDEX(Inputs!$B$2:$AZ$190,,MATCH(SUBSTITUTE(AZ$3,"Q","T"),Inputs!$B$2:$AZ$2,0)),Inputs!$B$2:$B$190,$B64)*Inputs!$D$1)</f>
        <v>0</v>
      </c>
      <c r="BA64" s="57">
        <f>IF(ISNA(SUMIFS(INDEX(Inputs!$B$2:$AZ$190,,MATCH(SUBSTITUTE(BA$3,"Q","T"),Inputs!$B$2:$AZ$2,0)),Inputs!$B$2:$B$190,$B64)*Inputs!$D$1),"",SUMIFS(INDEX(Inputs!$B$2:$AZ$190,,MATCH(SUBSTITUTE(BA$3,"Q","T"),Inputs!$B$2:$AZ$2,0)),Inputs!$B$2:$B$190,$B64)*Inputs!$D$1)</f>
        <v>0</v>
      </c>
      <c r="BB64" s="58">
        <f>BA64</f>
        <v>0</v>
      </c>
      <c r="BC64" s="57">
        <f>IF(ISNA(SUMIFS(INDEX(Inputs!$B$2:$AZ$190,,MATCH(SUBSTITUTE(BC$3,"Q","T"),Inputs!$B$2:$AZ$2,0)),Inputs!$B$2:$B$190,$B64)*Inputs!$D$1),"",SUMIFS(INDEX(Inputs!$B$2:$AZ$190,,MATCH(SUBSTITUTE(BC$3,"Q","T"),Inputs!$B$2:$AZ$2,0)),Inputs!$B$2:$B$190,$B64)*Inputs!$D$1)</f>
        <v>0</v>
      </c>
      <c r="BD64" s="57">
        <f>IF(ISNA(SUMIFS(INDEX(Inputs!$B$2:$AZ$190,,MATCH(SUBSTITUTE(BD$3,"Q","T"),Inputs!$B$2:$AZ$2,0)),Inputs!$B$2:$B$190,$B64)*Inputs!$D$1),"",SUMIFS(INDEX(Inputs!$B$2:$AZ$190,,MATCH(SUBSTITUTE(BD$3,"Q","T"),Inputs!$B$2:$AZ$2,0)),Inputs!$B$2:$B$190,$B64)*Inputs!$D$1)</f>
        <v>0</v>
      </c>
      <c r="BE64" s="57">
        <f>IF(ISNA(SUMIFS(INDEX(Inputs!$B$2:$AZ$190,,MATCH(SUBSTITUTE(BE$3,"Q","T"),Inputs!$B$2:$AZ$2,0)),Inputs!$B$2:$B$190,$B64)*Inputs!$D$1),"",SUMIFS(INDEX(Inputs!$B$2:$AZ$190,,MATCH(SUBSTITUTE(BE$3,"Q","T"),Inputs!$B$2:$AZ$2,0)),Inputs!$B$2:$B$190,$B64)*Inputs!$D$1)</f>
        <v>0</v>
      </c>
      <c r="BF64" s="57">
        <f>IF(ISNA(SUMIFS(INDEX(Inputs!$B$2:$AZ$190,,MATCH(SUBSTITUTE(BF$3,"Q","T"),Inputs!$B$2:$AZ$2,0)),Inputs!$B$2:$B$190,$B64)*Inputs!$D$1),"",SUMIFS(INDEX(Inputs!$B$2:$AZ$190,,MATCH(SUBSTITUTE(BF$3,"Q","T"),Inputs!$B$2:$AZ$2,0)),Inputs!$B$2:$B$190,$B64)*Inputs!$D$1)</f>
        <v>0</v>
      </c>
      <c r="BG64" s="58">
        <f>BF64</f>
        <v>0</v>
      </c>
    </row>
    <row r="65">
      <c r="B65" s="56" t="inlineStr">
        <is>
          <t>pref</t>
        </is>
      </c>
      <c r="C65" s="61" t="inlineStr">
        <is>
          <t>Ações preferenciais</t>
        </is>
      </c>
      <c r="D65" s="62" t="inlineStr">
        <is>
          <t>Preferred stock</t>
        </is>
      </c>
      <c r="E65" s="57">
        <f>IF(ISNA(SUMIFS(INDEX(Inputs!$B$2:$AZ$190,,MATCH(SUBSTITUTE(E$3,"Q","T"),Inputs!$B$2:$AZ$2,0)),Inputs!$B$2:$B$190,$B65)*Inputs!$D$1),"",SUMIFS(INDEX(Inputs!$B$2:$AZ$190,,MATCH(SUBSTITUTE(E$3,"Q","T"),Inputs!$B$2:$AZ$2,0)),Inputs!$B$2:$B$190,$B65)*Inputs!$D$1)</f>
        <v>0</v>
      </c>
      <c r="F65" s="57">
        <f>IF(ISNA(SUMIFS(INDEX(Inputs!$B$2:$AZ$190,,MATCH(SUBSTITUTE(F$3,"Q","T"),Inputs!$B$2:$AZ$2,0)),Inputs!$B$2:$B$190,$B65)*Inputs!$D$1),"",SUMIFS(INDEX(Inputs!$B$2:$AZ$190,,MATCH(SUBSTITUTE(F$3,"Q","T"),Inputs!$B$2:$AZ$2,0)),Inputs!$B$2:$B$190,$B65)*Inputs!$D$1)</f>
        <v>0</v>
      </c>
      <c r="G65" s="57">
        <f>IF(ISNA(SUMIFS(INDEX(Inputs!$B$2:$AZ$190,,MATCH(SUBSTITUTE(G$3,"Q","T"),Inputs!$B$2:$AZ$2,0)),Inputs!$B$2:$B$190,$B65)*Inputs!$D$1),"",SUMIFS(INDEX(Inputs!$B$2:$AZ$190,,MATCH(SUBSTITUTE(G$3,"Q","T"),Inputs!$B$2:$AZ$2,0)),Inputs!$B$2:$B$190,$B65)*Inputs!$D$1)</f>
        <v>0</v>
      </c>
      <c r="H65" s="57">
        <f>IF(ISNA(SUMIFS(INDEX(Inputs!$B$2:$AZ$190,,MATCH(SUBSTITUTE(H$3,"Q","T"),Inputs!$B$2:$AZ$2,0)),Inputs!$B$2:$B$190,$B65)*Inputs!$D$1),"",SUMIFS(INDEX(Inputs!$B$2:$AZ$190,,MATCH(SUBSTITUTE(H$3,"Q","T"),Inputs!$B$2:$AZ$2,0)),Inputs!$B$2:$B$190,$B65)*Inputs!$D$1)</f>
        <v>0</v>
      </c>
      <c r="I65" s="58">
        <f>H65</f>
        <v>0</v>
      </c>
      <c r="J65" s="57">
        <f>IF(ISNA(SUMIFS(INDEX(Inputs!$B$2:$AZ$190,,MATCH(SUBSTITUTE(J$3,"Q","T"),Inputs!$B$2:$AZ$2,0)),Inputs!$B$2:$B$190,$B65)*Inputs!$D$1),"",SUMIFS(INDEX(Inputs!$B$2:$AZ$190,,MATCH(SUBSTITUTE(J$3,"Q","T"),Inputs!$B$2:$AZ$2,0)),Inputs!$B$2:$B$190,$B65)*Inputs!$D$1)</f>
        <v>0</v>
      </c>
      <c r="K65" s="57">
        <f>IF(ISNA(SUMIFS(INDEX(Inputs!$B$2:$AZ$190,,MATCH(SUBSTITUTE(K$3,"Q","T"),Inputs!$B$2:$AZ$2,0)),Inputs!$B$2:$B$190,$B65)*Inputs!$D$1),"",SUMIFS(INDEX(Inputs!$B$2:$AZ$190,,MATCH(SUBSTITUTE(K$3,"Q","T"),Inputs!$B$2:$AZ$2,0)),Inputs!$B$2:$B$190,$B65)*Inputs!$D$1)</f>
        <v>0</v>
      </c>
      <c r="L65" s="57">
        <f>IF(ISNA(SUMIFS(INDEX(Inputs!$B$2:$AZ$190,,MATCH(SUBSTITUTE(L$3,"Q","T"),Inputs!$B$2:$AZ$2,0)),Inputs!$B$2:$B$190,$B65)*Inputs!$D$1),"",SUMIFS(INDEX(Inputs!$B$2:$AZ$190,,MATCH(SUBSTITUTE(L$3,"Q","T"),Inputs!$B$2:$AZ$2,0)),Inputs!$B$2:$B$190,$B65)*Inputs!$D$1)</f>
        <v>0</v>
      </c>
      <c r="M65" s="57">
        <f>IF(ISNA(SUMIFS(INDEX(Inputs!$B$2:$AZ$190,,MATCH(SUBSTITUTE(M$3,"Q","T"),Inputs!$B$2:$AZ$2,0)),Inputs!$B$2:$B$190,$B65)*Inputs!$D$1),"",SUMIFS(INDEX(Inputs!$B$2:$AZ$190,,MATCH(SUBSTITUTE(M$3,"Q","T"),Inputs!$B$2:$AZ$2,0)),Inputs!$B$2:$B$190,$B65)*Inputs!$D$1)</f>
        <v>0</v>
      </c>
      <c r="N65" s="58">
        <f>M65</f>
        <v>0</v>
      </c>
      <c r="O65" s="57">
        <f>IF(ISNA(SUMIFS(INDEX(Inputs!$B$2:$AZ$190,,MATCH(SUBSTITUTE(O$3,"Q","T"),Inputs!$B$2:$AZ$2,0)),Inputs!$B$2:$B$190,$B65)*Inputs!$D$1),"",SUMIFS(INDEX(Inputs!$B$2:$AZ$190,,MATCH(SUBSTITUTE(O$3,"Q","T"),Inputs!$B$2:$AZ$2,0)),Inputs!$B$2:$B$190,$B65)*Inputs!$D$1)</f>
        <v>0</v>
      </c>
      <c r="P65" s="57">
        <f>IF(ISNA(SUMIFS(INDEX(Inputs!$B$2:$AZ$190,,MATCH(SUBSTITUTE(P$3,"Q","T"),Inputs!$B$2:$AZ$2,0)),Inputs!$B$2:$B$190,$B65)*Inputs!$D$1),"",SUMIFS(INDEX(Inputs!$B$2:$AZ$190,,MATCH(SUBSTITUTE(P$3,"Q","T"),Inputs!$B$2:$AZ$2,0)),Inputs!$B$2:$B$190,$B65)*Inputs!$D$1)</f>
        <v>0</v>
      </c>
      <c r="Q65" s="57">
        <f>IF(ISNA(SUMIFS(INDEX(Inputs!$B$2:$AZ$190,,MATCH(SUBSTITUTE(Q$3,"Q","T"),Inputs!$B$2:$AZ$2,0)),Inputs!$B$2:$B$190,$B65)*Inputs!$D$1),"",SUMIFS(INDEX(Inputs!$B$2:$AZ$190,,MATCH(SUBSTITUTE(Q$3,"Q","T"),Inputs!$B$2:$AZ$2,0)),Inputs!$B$2:$B$190,$B65)*Inputs!$D$1)</f>
        <v>0</v>
      </c>
      <c r="R65" s="57">
        <f>IF(ISNA(SUMIFS(INDEX(Inputs!$B$2:$AZ$190,,MATCH(SUBSTITUTE(R$3,"Q","T"),Inputs!$B$2:$AZ$2,0)),Inputs!$B$2:$B$190,$B65)*Inputs!$D$1),"",SUMIFS(INDEX(Inputs!$B$2:$AZ$190,,MATCH(SUBSTITUTE(R$3,"Q","T"),Inputs!$B$2:$AZ$2,0)),Inputs!$B$2:$B$190,$B65)*Inputs!$D$1)</f>
        <v>0</v>
      </c>
      <c r="S65" s="58">
        <f>R65</f>
        <v>0</v>
      </c>
      <c r="T65" s="57">
        <f>IF(ISNA(SUMIFS(INDEX(Inputs!$B$2:$AZ$190,,MATCH(SUBSTITUTE(T$3,"Q","T"),Inputs!$B$2:$AZ$2,0)),Inputs!$B$2:$B$190,$B65)*Inputs!$D$1),"",SUMIFS(INDEX(Inputs!$B$2:$AZ$190,,MATCH(SUBSTITUTE(T$3,"Q","T"),Inputs!$B$2:$AZ$2,0)),Inputs!$B$2:$B$190,$B65)*Inputs!$D$1)</f>
        <v>0</v>
      </c>
      <c r="U65" s="57">
        <f>IF(ISNA(SUMIFS(INDEX(Inputs!$B$2:$AZ$190,,MATCH(SUBSTITUTE(U$3,"Q","T"),Inputs!$B$2:$AZ$2,0)),Inputs!$B$2:$B$190,$B65)*Inputs!$D$1),"",SUMIFS(INDEX(Inputs!$B$2:$AZ$190,,MATCH(SUBSTITUTE(U$3,"Q","T"),Inputs!$B$2:$AZ$2,0)),Inputs!$B$2:$B$190,$B65)*Inputs!$D$1)</f>
        <v>0</v>
      </c>
      <c r="V65" s="57">
        <f>IF(ISNA(SUMIFS(INDEX(Inputs!$B$2:$AZ$190,,MATCH(SUBSTITUTE(V$3,"Q","T"),Inputs!$B$2:$AZ$2,0)),Inputs!$B$2:$B$190,$B65)*Inputs!$D$1),"",SUMIFS(INDEX(Inputs!$B$2:$AZ$190,,MATCH(SUBSTITUTE(V$3,"Q","T"),Inputs!$B$2:$AZ$2,0)),Inputs!$B$2:$B$190,$B65)*Inputs!$D$1)</f>
        <v>0</v>
      </c>
      <c r="W65" s="57">
        <f>IF(ISNA(SUMIFS(INDEX(Inputs!$B$2:$AZ$190,,MATCH(SUBSTITUTE(W$3,"Q","T"),Inputs!$B$2:$AZ$2,0)),Inputs!$B$2:$B$190,$B65)*Inputs!$D$1),"",SUMIFS(INDEX(Inputs!$B$2:$AZ$190,,MATCH(SUBSTITUTE(W$3,"Q","T"),Inputs!$B$2:$AZ$2,0)),Inputs!$B$2:$B$190,$B65)*Inputs!$D$1)</f>
        <v>0</v>
      </c>
      <c r="X65" s="58">
        <f>W65</f>
        <v>0</v>
      </c>
      <c r="Y65" s="57">
        <f>IF(ISNA(SUMIFS(INDEX(Inputs!$B$2:$AZ$190,,MATCH(SUBSTITUTE(Y$3,"Q","T"),Inputs!$B$2:$AZ$2,0)),Inputs!$B$2:$B$190,$B65)*Inputs!$D$1),"",SUMIFS(INDEX(Inputs!$B$2:$AZ$190,,MATCH(SUBSTITUTE(Y$3,"Q","T"),Inputs!$B$2:$AZ$2,0)),Inputs!$B$2:$B$190,$B65)*Inputs!$D$1)</f>
        <v>0</v>
      </c>
      <c r="Z65" s="57">
        <f>IF(ISNA(SUMIFS(INDEX(Inputs!$B$2:$AZ$190,,MATCH(SUBSTITUTE(Z$3,"Q","T"),Inputs!$B$2:$AZ$2,0)),Inputs!$B$2:$B$190,$B65)*Inputs!$D$1),"",SUMIFS(INDEX(Inputs!$B$2:$AZ$190,,MATCH(SUBSTITUTE(Z$3,"Q","T"),Inputs!$B$2:$AZ$2,0)),Inputs!$B$2:$B$190,$B65)*Inputs!$D$1)</f>
        <v>0</v>
      </c>
      <c r="AA65" s="57">
        <f>IF(ISNA(SUMIFS(INDEX(Inputs!$B$2:$AZ$190,,MATCH(SUBSTITUTE(AA$3,"Q","T"),Inputs!$B$2:$AZ$2,0)),Inputs!$B$2:$B$190,$B65)*Inputs!$D$1),"",SUMIFS(INDEX(Inputs!$B$2:$AZ$190,,MATCH(SUBSTITUTE(AA$3,"Q","T"),Inputs!$B$2:$AZ$2,0)),Inputs!$B$2:$B$190,$B65)*Inputs!$D$1)</f>
        <v>0</v>
      </c>
      <c r="AB65" s="57">
        <f>IF(ISNA(SUMIFS(INDEX(Inputs!$B$2:$AZ$190,,MATCH(SUBSTITUTE(AB$3,"Q","T"),Inputs!$B$2:$AZ$2,0)),Inputs!$B$2:$B$190,$B65)*Inputs!$D$1),"",SUMIFS(INDEX(Inputs!$B$2:$AZ$190,,MATCH(SUBSTITUTE(AB$3,"Q","T"),Inputs!$B$2:$AZ$2,0)),Inputs!$B$2:$B$190,$B65)*Inputs!$D$1)</f>
        <v>0</v>
      </c>
      <c r="AC65" s="58">
        <f>AB65</f>
        <v>0</v>
      </c>
      <c r="AD65" s="57">
        <f>IF(ISNA(SUMIFS(INDEX(Inputs!$B$2:$AZ$190,,MATCH(SUBSTITUTE(AD$3,"Q","T"),Inputs!$B$2:$AZ$2,0)),Inputs!$B$2:$B$190,$B65)*Inputs!$D$1),"",SUMIFS(INDEX(Inputs!$B$2:$AZ$190,,MATCH(SUBSTITUTE(AD$3,"Q","T"),Inputs!$B$2:$AZ$2,0)),Inputs!$B$2:$B$190,$B65)*Inputs!$D$1)</f>
        <v>0</v>
      </c>
      <c r="AE65" s="57">
        <f>IF(ISNA(SUMIFS(INDEX(Inputs!$B$2:$AZ$190,,MATCH(SUBSTITUTE(AE$3,"Q","T"),Inputs!$B$2:$AZ$2,0)),Inputs!$B$2:$B$190,$B65)*Inputs!$D$1),"",SUMIFS(INDEX(Inputs!$B$2:$AZ$190,,MATCH(SUBSTITUTE(AE$3,"Q","T"),Inputs!$B$2:$AZ$2,0)),Inputs!$B$2:$B$190,$B65)*Inputs!$D$1)</f>
        <v>0</v>
      </c>
      <c r="AF65" s="57">
        <f>IF(ISNA(SUMIFS(INDEX(Inputs!$B$2:$AZ$190,,MATCH(SUBSTITUTE(AF$3,"Q","T"),Inputs!$B$2:$AZ$2,0)),Inputs!$B$2:$B$190,$B65)*Inputs!$D$1),"",SUMIFS(INDEX(Inputs!$B$2:$AZ$190,,MATCH(SUBSTITUTE(AF$3,"Q","T"),Inputs!$B$2:$AZ$2,0)),Inputs!$B$2:$B$190,$B65)*Inputs!$D$1)</f>
        <v>0</v>
      </c>
      <c r="AG65" s="57">
        <f>IF(ISNA(SUMIFS(INDEX(Inputs!$B$2:$AZ$190,,MATCH(SUBSTITUTE(AG$3,"Q","T"),Inputs!$B$2:$AZ$2,0)),Inputs!$B$2:$B$190,$B65)*Inputs!$D$1),"",SUMIFS(INDEX(Inputs!$B$2:$AZ$190,,MATCH(SUBSTITUTE(AG$3,"Q","T"),Inputs!$B$2:$AZ$2,0)),Inputs!$B$2:$B$190,$B65)*Inputs!$D$1)</f>
        <v>0</v>
      </c>
      <c r="AH65" s="58">
        <f>AG65</f>
        <v>0</v>
      </c>
      <c r="AI65" s="57">
        <f>IF(ISNA(SUMIFS(INDEX(Inputs!$B$2:$AZ$190,,MATCH(SUBSTITUTE(AI$3,"Q","T"),Inputs!$B$2:$AZ$2,0)),Inputs!$B$2:$B$190,$B65)*Inputs!$D$1),"",SUMIFS(INDEX(Inputs!$B$2:$AZ$190,,MATCH(SUBSTITUTE(AI$3,"Q","T"),Inputs!$B$2:$AZ$2,0)),Inputs!$B$2:$B$190,$B65)*Inputs!$D$1)</f>
        <v>0</v>
      </c>
      <c r="AJ65" s="57">
        <f>IF(ISNA(SUMIFS(INDEX(Inputs!$B$2:$AZ$190,,MATCH(SUBSTITUTE(AJ$3,"Q","T"),Inputs!$B$2:$AZ$2,0)),Inputs!$B$2:$B$190,$B65)*Inputs!$D$1),"",SUMIFS(INDEX(Inputs!$B$2:$AZ$190,,MATCH(SUBSTITUTE(AJ$3,"Q","T"),Inputs!$B$2:$AZ$2,0)),Inputs!$B$2:$B$190,$B65)*Inputs!$D$1)</f>
        <v>0</v>
      </c>
      <c r="AK65" s="57">
        <f>IF(ISNA(SUMIFS(INDEX(Inputs!$B$2:$AZ$190,,MATCH(SUBSTITUTE(AK$3,"Q","T"),Inputs!$B$2:$AZ$2,0)),Inputs!$B$2:$B$190,$B65)*Inputs!$D$1),"",SUMIFS(INDEX(Inputs!$B$2:$AZ$190,,MATCH(SUBSTITUTE(AK$3,"Q","T"),Inputs!$B$2:$AZ$2,0)),Inputs!$B$2:$B$190,$B65)*Inputs!$D$1)</f>
        <v>0</v>
      </c>
      <c r="AL65" s="57">
        <f>IF(ISNA(SUMIFS(INDEX(Inputs!$B$2:$AZ$190,,MATCH(SUBSTITUTE(AL$3,"Q","T"),Inputs!$B$2:$AZ$2,0)),Inputs!$B$2:$B$190,$B65)*Inputs!$D$1),"",SUMIFS(INDEX(Inputs!$B$2:$AZ$190,,MATCH(SUBSTITUTE(AL$3,"Q","T"),Inputs!$B$2:$AZ$2,0)),Inputs!$B$2:$B$190,$B65)*Inputs!$D$1)</f>
        <v>0</v>
      </c>
      <c r="AM65" s="58">
        <f>AL65</f>
        <v>0</v>
      </c>
      <c r="AN65" s="57">
        <f>IF(ISNA(SUMIFS(INDEX(Inputs!$B$2:$AZ$190,,MATCH(SUBSTITUTE(AN$3,"Q","T"),Inputs!$B$2:$AZ$2,0)),Inputs!$B$2:$B$190,$B65)*Inputs!$D$1),"",SUMIFS(INDEX(Inputs!$B$2:$AZ$190,,MATCH(SUBSTITUTE(AN$3,"Q","T"),Inputs!$B$2:$AZ$2,0)),Inputs!$B$2:$B$190,$B65)*Inputs!$D$1)</f>
        <v>0</v>
      </c>
      <c r="AO65" s="57">
        <f>IF(ISNA(SUMIFS(INDEX(Inputs!$B$2:$AZ$190,,MATCH(SUBSTITUTE(AO$3,"Q","T"),Inputs!$B$2:$AZ$2,0)),Inputs!$B$2:$B$190,$B65)*Inputs!$D$1),"",SUMIFS(INDEX(Inputs!$B$2:$AZ$190,,MATCH(SUBSTITUTE(AO$3,"Q","T"),Inputs!$B$2:$AZ$2,0)),Inputs!$B$2:$B$190,$B65)*Inputs!$D$1)</f>
        <v>0</v>
      </c>
      <c r="AP65" s="57">
        <f>IF(ISNA(SUMIFS(INDEX(Inputs!$B$2:$AZ$190,,MATCH(SUBSTITUTE(AP$3,"Q","T"),Inputs!$B$2:$AZ$2,0)),Inputs!$B$2:$B$190,$B65)*Inputs!$D$1),"",SUMIFS(INDEX(Inputs!$B$2:$AZ$190,,MATCH(SUBSTITUTE(AP$3,"Q","T"),Inputs!$B$2:$AZ$2,0)),Inputs!$B$2:$B$190,$B65)*Inputs!$D$1)</f>
        <v>0</v>
      </c>
      <c r="AQ65" s="57">
        <f>IF(ISNA(SUMIFS(INDEX(Inputs!$B$2:$AZ$190,,MATCH(SUBSTITUTE(AQ$3,"Q","T"),Inputs!$B$2:$AZ$2,0)),Inputs!$B$2:$B$190,$B65)*Inputs!$D$1),"",SUMIFS(INDEX(Inputs!$B$2:$AZ$190,,MATCH(SUBSTITUTE(AQ$3,"Q","T"),Inputs!$B$2:$AZ$2,0)),Inputs!$B$2:$B$190,$B65)*Inputs!$D$1)</f>
        <v>0</v>
      </c>
      <c r="AR65" s="58">
        <f>AQ65</f>
        <v>0</v>
      </c>
      <c r="AS65" s="57">
        <f>IF(ISNA(SUMIFS(INDEX(Inputs!$B$2:$AZ$190,,MATCH(SUBSTITUTE(AS$3,"Q","T"),Inputs!$B$2:$AZ$2,0)),Inputs!$B$2:$B$190,$B65)*Inputs!$D$1),"",SUMIFS(INDEX(Inputs!$B$2:$AZ$190,,MATCH(SUBSTITUTE(AS$3,"Q","T"),Inputs!$B$2:$AZ$2,0)),Inputs!$B$2:$B$190,$B65)*Inputs!$D$1)</f>
        <v>0</v>
      </c>
      <c r="AT65" s="57">
        <f>IF(ISNA(SUMIFS(INDEX(Inputs!$B$2:$AZ$190,,MATCH(SUBSTITUTE(AT$3,"Q","T"),Inputs!$B$2:$AZ$2,0)),Inputs!$B$2:$B$190,$B65)*Inputs!$D$1),"",SUMIFS(INDEX(Inputs!$B$2:$AZ$190,,MATCH(SUBSTITUTE(AT$3,"Q","T"),Inputs!$B$2:$AZ$2,0)),Inputs!$B$2:$B$190,$B65)*Inputs!$D$1)</f>
        <v>0</v>
      </c>
      <c r="AU65" s="57">
        <f>IF(ISNA(SUMIFS(INDEX(Inputs!$B$2:$AZ$190,,MATCH(SUBSTITUTE(AU$3,"Q","T"),Inputs!$B$2:$AZ$2,0)),Inputs!$B$2:$B$190,$B65)*Inputs!$D$1),"",SUMIFS(INDEX(Inputs!$B$2:$AZ$190,,MATCH(SUBSTITUTE(AU$3,"Q","T"),Inputs!$B$2:$AZ$2,0)),Inputs!$B$2:$B$190,$B65)*Inputs!$D$1)</f>
        <v>0</v>
      </c>
      <c r="AV65" s="57">
        <f>IF(ISNA(SUMIFS(INDEX(Inputs!$B$2:$AZ$190,,MATCH(SUBSTITUTE(AV$3,"Q","T"),Inputs!$B$2:$AZ$2,0)),Inputs!$B$2:$B$190,$B65)*Inputs!$D$1),"",SUMIFS(INDEX(Inputs!$B$2:$AZ$190,,MATCH(SUBSTITUTE(AV$3,"Q","T"),Inputs!$B$2:$AZ$2,0)),Inputs!$B$2:$B$190,$B65)*Inputs!$D$1)</f>
        <v>0</v>
      </c>
      <c r="AW65" s="58">
        <f>AV65</f>
        <v>0</v>
      </c>
      <c r="AX65" s="57">
        <f>IF(ISNA(SUMIFS(INDEX(Inputs!$B$2:$AZ$190,,MATCH(SUBSTITUTE(AX$3,"Q","T"),Inputs!$B$2:$AZ$2,0)),Inputs!$B$2:$B$190,$B65)*Inputs!$D$1),"",SUMIFS(INDEX(Inputs!$B$2:$AZ$190,,MATCH(SUBSTITUTE(AX$3,"Q","T"),Inputs!$B$2:$AZ$2,0)),Inputs!$B$2:$B$190,$B65)*Inputs!$D$1)</f>
        <v>0</v>
      </c>
      <c r="AY65" s="57">
        <f>IF(ISNA(SUMIFS(INDEX(Inputs!$B$2:$AZ$190,,MATCH(SUBSTITUTE(AY$3,"Q","T"),Inputs!$B$2:$AZ$2,0)),Inputs!$B$2:$B$190,$B65)*Inputs!$D$1),"",SUMIFS(INDEX(Inputs!$B$2:$AZ$190,,MATCH(SUBSTITUTE(AY$3,"Q","T"),Inputs!$B$2:$AZ$2,0)),Inputs!$B$2:$B$190,$B65)*Inputs!$D$1)</f>
        <v>0</v>
      </c>
      <c r="AZ65" s="57">
        <f>IF(ISNA(SUMIFS(INDEX(Inputs!$B$2:$AZ$190,,MATCH(SUBSTITUTE(AZ$3,"Q","T"),Inputs!$B$2:$AZ$2,0)),Inputs!$B$2:$B$190,$B65)*Inputs!$D$1),"",SUMIFS(INDEX(Inputs!$B$2:$AZ$190,,MATCH(SUBSTITUTE(AZ$3,"Q","T"),Inputs!$B$2:$AZ$2,0)),Inputs!$B$2:$B$190,$B65)*Inputs!$D$1)</f>
        <v>0</v>
      </c>
      <c r="BA65" s="57">
        <f>IF(ISNA(SUMIFS(INDEX(Inputs!$B$2:$AZ$190,,MATCH(SUBSTITUTE(BA$3,"Q","T"),Inputs!$B$2:$AZ$2,0)),Inputs!$B$2:$B$190,$B65)*Inputs!$D$1),"",SUMIFS(INDEX(Inputs!$B$2:$AZ$190,,MATCH(SUBSTITUTE(BA$3,"Q","T"),Inputs!$B$2:$AZ$2,0)),Inputs!$B$2:$B$190,$B65)*Inputs!$D$1)</f>
        <v>0</v>
      </c>
      <c r="BB65" s="58">
        <f>BA65</f>
        <v>0</v>
      </c>
      <c r="BC65" s="57">
        <f>IF(ISNA(SUMIFS(INDEX(Inputs!$B$2:$AZ$190,,MATCH(SUBSTITUTE(BC$3,"Q","T"),Inputs!$B$2:$AZ$2,0)),Inputs!$B$2:$B$190,$B65)*Inputs!$D$1),"",SUMIFS(INDEX(Inputs!$B$2:$AZ$190,,MATCH(SUBSTITUTE(BC$3,"Q","T"),Inputs!$B$2:$AZ$2,0)),Inputs!$B$2:$B$190,$B65)*Inputs!$D$1)</f>
        <v>0</v>
      </c>
      <c r="BD65" s="57">
        <f>IF(ISNA(SUMIFS(INDEX(Inputs!$B$2:$AZ$190,,MATCH(SUBSTITUTE(BD$3,"Q","T"),Inputs!$B$2:$AZ$2,0)),Inputs!$B$2:$B$190,$B65)*Inputs!$D$1),"",SUMIFS(INDEX(Inputs!$B$2:$AZ$190,,MATCH(SUBSTITUTE(BD$3,"Q","T"),Inputs!$B$2:$AZ$2,0)),Inputs!$B$2:$B$190,$B65)*Inputs!$D$1)</f>
        <v>0</v>
      </c>
      <c r="BE65" s="57">
        <f>IF(ISNA(SUMIFS(INDEX(Inputs!$B$2:$AZ$190,,MATCH(SUBSTITUTE(BE$3,"Q","T"),Inputs!$B$2:$AZ$2,0)),Inputs!$B$2:$B$190,$B65)*Inputs!$D$1),"",SUMIFS(INDEX(Inputs!$B$2:$AZ$190,,MATCH(SUBSTITUTE(BE$3,"Q","T"),Inputs!$B$2:$AZ$2,0)),Inputs!$B$2:$B$190,$B65)*Inputs!$D$1)</f>
        <v>0</v>
      </c>
      <c r="BF65" s="57">
        <f>IF(ISNA(SUMIFS(INDEX(Inputs!$B$2:$AZ$190,,MATCH(SUBSTITUTE(BF$3,"Q","T"),Inputs!$B$2:$AZ$2,0)),Inputs!$B$2:$B$190,$B65)*Inputs!$D$1),"",SUMIFS(INDEX(Inputs!$B$2:$AZ$190,,MATCH(SUBSTITUTE(BF$3,"Q","T"),Inputs!$B$2:$AZ$2,0)),Inputs!$B$2:$B$190,$B65)*Inputs!$D$1)</f>
        <v>0</v>
      </c>
      <c r="BG65" s="58">
        <f>BF65</f>
        <v>0</v>
      </c>
    </row>
    <row r="66">
      <c r="B66" s="56" t="inlineStr">
        <is>
          <t>nci</t>
        </is>
      </c>
      <c r="C66" s="11" t="inlineStr">
        <is>
          <t>Participação de não controladores</t>
        </is>
      </c>
      <c r="D66" s="12" t="inlineStr">
        <is>
          <t>Noncontrolling interests</t>
        </is>
      </c>
      <c r="E66" s="57">
        <f>IF(ISNA(SUMIFS(INDEX(Inputs!$B$2:$AZ$190,,MATCH(SUBSTITUTE(E$3,"Q","T"),Inputs!$B$2:$AZ$2,0)),Inputs!$B$2:$B$190,$B66)*Inputs!$D$1),"",SUMIFS(INDEX(Inputs!$B$2:$AZ$190,,MATCH(SUBSTITUTE(E$3,"Q","T"),Inputs!$B$2:$AZ$2,0)),Inputs!$B$2:$B$190,$B66)*Inputs!$D$1)</f>
        <v>0</v>
      </c>
      <c r="F66" s="57">
        <f>IF(ISNA(SUMIFS(INDEX(Inputs!$B$2:$AZ$190,,MATCH(SUBSTITUTE(F$3,"Q","T"),Inputs!$B$2:$AZ$2,0)),Inputs!$B$2:$B$190,$B66)*Inputs!$D$1),"",SUMIFS(INDEX(Inputs!$B$2:$AZ$190,,MATCH(SUBSTITUTE(F$3,"Q","T"),Inputs!$B$2:$AZ$2,0)),Inputs!$B$2:$B$190,$B66)*Inputs!$D$1)</f>
        <v>0</v>
      </c>
      <c r="G66" s="57">
        <f>IF(ISNA(SUMIFS(INDEX(Inputs!$B$2:$AZ$190,,MATCH(SUBSTITUTE(G$3,"Q","T"),Inputs!$B$2:$AZ$2,0)),Inputs!$B$2:$B$190,$B66)*Inputs!$D$1),"",SUMIFS(INDEX(Inputs!$B$2:$AZ$190,,MATCH(SUBSTITUTE(G$3,"Q","T"),Inputs!$B$2:$AZ$2,0)),Inputs!$B$2:$B$190,$B66)*Inputs!$D$1)</f>
        <v>0</v>
      </c>
      <c r="H66" s="57">
        <f>IF(ISNA(SUMIFS(INDEX(Inputs!$B$2:$AZ$190,,MATCH(SUBSTITUTE(H$3,"Q","T"),Inputs!$B$2:$AZ$2,0)),Inputs!$B$2:$B$190,$B66)*Inputs!$D$1),"",SUMIFS(INDEX(Inputs!$B$2:$AZ$190,,MATCH(SUBSTITUTE(H$3,"Q","T"),Inputs!$B$2:$AZ$2,0)),Inputs!$B$2:$B$190,$B66)*Inputs!$D$1)</f>
        <v>0</v>
      </c>
      <c r="I66" s="58">
        <f>H66</f>
        <v>0</v>
      </c>
      <c r="J66" s="57">
        <f>IF(ISNA(SUMIFS(INDEX(Inputs!$B$2:$AZ$190,,MATCH(SUBSTITUTE(J$3,"Q","T"),Inputs!$B$2:$AZ$2,0)),Inputs!$B$2:$B$190,$B66)*Inputs!$D$1),"",SUMIFS(INDEX(Inputs!$B$2:$AZ$190,,MATCH(SUBSTITUTE(J$3,"Q","T"),Inputs!$B$2:$AZ$2,0)),Inputs!$B$2:$B$190,$B66)*Inputs!$D$1)</f>
        <v>0</v>
      </c>
      <c r="K66" s="57">
        <f>IF(ISNA(SUMIFS(INDEX(Inputs!$B$2:$AZ$190,,MATCH(SUBSTITUTE(K$3,"Q","T"),Inputs!$B$2:$AZ$2,0)),Inputs!$B$2:$B$190,$B66)*Inputs!$D$1),"",SUMIFS(INDEX(Inputs!$B$2:$AZ$190,,MATCH(SUBSTITUTE(K$3,"Q","T"),Inputs!$B$2:$AZ$2,0)),Inputs!$B$2:$B$190,$B66)*Inputs!$D$1)</f>
        <v>0</v>
      </c>
      <c r="L66" s="57">
        <f>IF(ISNA(SUMIFS(INDEX(Inputs!$B$2:$AZ$190,,MATCH(SUBSTITUTE(L$3,"Q","T"),Inputs!$B$2:$AZ$2,0)),Inputs!$B$2:$B$190,$B66)*Inputs!$D$1),"",SUMIFS(INDEX(Inputs!$B$2:$AZ$190,,MATCH(SUBSTITUTE(L$3,"Q","T"),Inputs!$B$2:$AZ$2,0)),Inputs!$B$2:$B$190,$B66)*Inputs!$D$1)</f>
        <v>0</v>
      </c>
      <c r="M66" s="57">
        <f>IF(ISNA(SUMIFS(INDEX(Inputs!$B$2:$AZ$190,,MATCH(SUBSTITUTE(M$3,"Q","T"),Inputs!$B$2:$AZ$2,0)),Inputs!$B$2:$B$190,$B66)*Inputs!$D$1),"",SUMIFS(INDEX(Inputs!$B$2:$AZ$190,,MATCH(SUBSTITUTE(M$3,"Q","T"),Inputs!$B$2:$AZ$2,0)),Inputs!$B$2:$B$190,$B66)*Inputs!$D$1)</f>
        <v>0</v>
      </c>
      <c r="N66" s="58">
        <f>M66</f>
        <v>0</v>
      </c>
      <c r="O66" s="57">
        <f>IF(ISNA(SUMIFS(INDEX(Inputs!$B$2:$AZ$190,,MATCH(SUBSTITUTE(O$3,"Q","T"),Inputs!$B$2:$AZ$2,0)),Inputs!$B$2:$B$190,$B66)*Inputs!$D$1),"",SUMIFS(INDEX(Inputs!$B$2:$AZ$190,,MATCH(SUBSTITUTE(O$3,"Q","T"),Inputs!$B$2:$AZ$2,0)),Inputs!$B$2:$B$190,$B66)*Inputs!$D$1)</f>
        <v>0</v>
      </c>
      <c r="P66" s="57">
        <f>IF(ISNA(SUMIFS(INDEX(Inputs!$B$2:$AZ$190,,MATCH(SUBSTITUTE(P$3,"Q","T"),Inputs!$B$2:$AZ$2,0)),Inputs!$B$2:$B$190,$B66)*Inputs!$D$1),"",SUMIFS(INDEX(Inputs!$B$2:$AZ$190,,MATCH(SUBSTITUTE(P$3,"Q","T"),Inputs!$B$2:$AZ$2,0)),Inputs!$B$2:$B$190,$B66)*Inputs!$D$1)</f>
        <v>0</v>
      </c>
      <c r="Q66" s="57">
        <f>IF(ISNA(SUMIFS(INDEX(Inputs!$B$2:$AZ$190,,MATCH(SUBSTITUTE(Q$3,"Q","T"),Inputs!$B$2:$AZ$2,0)),Inputs!$B$2:$B$190,$B66)*Inputs!$D$1),"",SUMIFS(INDEX(Inputs!$B$2:$AZ$190,,MATCH(SUBSTITUTE(Q$3,"Q","T"),Inputs!$B$2:$AZ$2,0)),Inputs!$B$2:$B$190,$B66)*Inputs!$D$1)</f>
        <v>0</v>
      </c>
      <c r="R66" s="57">
        <f>IF(ISNA(SUMIFS(INDEX(Inputs!$B$2:$AZ$190,,MATCH(SUBSTITUTE(R$3,"Q","T"),Inputs!$B$2:$AZ$2,0)),Inputs!$B$2:$B$190,$B66)*Inputs!$D$1),"",SUMIFS(INDEX(Inputs!$B$2:$AZ$190,,MATCH(SUBSTITUTE(R$3,"Q","T"),Inputs!$B$2:$AZ$2,0)),Inputs!$B$2:$B$190,$B66)*Inputs!$D$1)</f>
        <v>0</v>
      </c>
      <c r="S66" s="58">
        <f>R66</f>
        <v>0</v>
      </c>
      <c r="T66" s="57">
        <f>IF(ISNA(SUMIFS(INDEX(Inputs!$B$2:$AZ$190,,MATCH(SUBSTITUTE(T$3,"Q","T"),Inputs!$B$2:$AZ$2,0)),Inputs!$B$2:$B$190,$B66)*Inputs!$D$1),"",SUMIFS(INDEX(Inputs!$B$2:$AZ$190,,MATCH(SUBSTITUTE(T$3,"Q","T"),Inputs!$B$2:$AZ$2,0)),Inputs!$B$2:$B$190,$B66)*Inputs!$D$1)</f>
        <v>0</v>
      </c>
      <c r="U66" s="57">
        <f>IF(ISNA(SUMIFS(INDEX(Inputs!$B$2:$AZ$190,,MATCH(SUBSTITUTE(U$3,"Q","T"),Inputs!$B$2:$AZ$2,0)),Inputs!$B$2:$B$190,$B66)*Inputs!$D$1),"",SUMIFS(INDEX(Inputs!$B$2:$AZ$190,,MATCH(SUBSTITUTE(U$3,"Q","T"),Inputs!$B$2:$AZ$2,0)),Inputs!$B$2:$B$190,$B66)*Inputs!$D$1)</f>
        <v>0</v>
      </c>
      <c r="V66" s="57">
        <f>IF(ISNA(SUMIFS(INDEX(Inputs!$B$2:$AZ$190,,MATCH(SUBSTITUTE(V$3,"Q","T"),Inputs!$B$2:$AZ$2,0)),Inputs!$B$2:$B$190,$B66)*Inputs!$D$1),"",SUMIFS(INDEX(Inputs!$B$2:$AZ$190,,MATCH(SUBSTITUTE(V$3,"Q","T"),Inputs!$B$2:$AZ$2,0)),Inputs!$B$2:$B$190,$B66)*Inputs!$D$1)</f>
        <v>0</v>
      </c>
      <c r="W66" s="57">
        <f>IF(ISNA(SUMIFS(INDEX(Inputs!$B$2:$AZ$190,,MATCH(SUBSTITUTE(W$3,"Q","T"),Inputs!$B$2:$AZ$2,0)),Inputs!$B$2:$B$190,$B66)*Inputs!$D$1),"",SUMIFS(INDEX(Inputs!$B$2:$AZ$190,,MATCH(SUBSTITUTE(W$3,"Q","T"),Inputs!$B$2:$AZ$2,0)),Inputs!$B$2:$B$190,$B66)*Inputs!$D$1)</f>
        <v>0</v>
      </c>
      <c r="X66" s="58">
        <f>W66</f>
        <v>0</v>
      </c>
      <c r="Y66" s="57">
        <f>IF(ISNA(SUMIFS(INDEX(Inputs!$B$2:$AZ$190,,MATCH(SUBSTITUTE(Y$3,"Q","T"),Inputs!$B$2:$AZ$2,0)),Inputs!$B$2:$B$190,$B66)*Inputs!$D$1),"",SUMIFS(INDEX(Inputs!$B$2:$AZ$190,,MATCH(SUBSTITUTE(Y$3,"Q","T"),Inputs!$B$2:$AZ$2,0)),Inputs!$B$2:$B$190,$B66)*Inputs!$D$1)</f>
        <v>0</v>
      </c>
      <c r="Z66" s="57">
        <f>IF(ISNA(SUMIFS(INDEX(Inputs!$B$2:$AZ$190,,MATCH(SUBSTITUTE(Z$3,"Q","T"),Inputs!$B$2:$AZ$2,0)),Inputs!$B$2:$B$190,$B66)*Inputs!$D$1),"",SUMIFS(INDEX(Inputs!$B$2:$AZ$190,,MATCH(SUBSTITUTE(Z$3,"Q","T"),Inputs!$B$2:$AZ$2,0)),Inputs!$B$2:$B$190,$B66)*Inputs!$D$1)</f>
        <v>0</v>
      </c>
      <c r="AA66" s="57">
        <f>IF(ISNA(SUMIFS(INDEX(Inputs!$B$2:$AZ$190,,MATCH(SUBSTITUTE(AA$3,"Q","T"),Inputs!$B$2:$AZ$2,0)),Inputs!$B$2:$B$190,$B66)*Inputs!$D$1),"",SUMIFS(INDEX(Inputs!$B$2:$AZ$190,,MATCH(SUBSTITUTE(AA$3,"Q","T"),Inputs!$B$2:$AZ$2,0)),Inputs!$B$2:$B$190,$B66)*Inputs!$D$1)</f>
        <v>0</v>
      </c>
      <c r="AB66" s="57">
        <f>IF(ISNA(SUMIFS(INDEX(Inputs!$B$2:$AZ$190,,MATCH(SUBSTITUTE(AB$3,"Q","T"),Inputs!$B$2:$AZ$2,0)),Inputs!$B$2:$B$190,$B66)*Inputs!$D$1),"",SUMIFS(INDEX(Inputs!$B$2:$AZ$190,,MATCH(SUBSTITUTE(AB$3,"Q","T"),Inputs!$B$2:$AZ$2,0)),Inputs!$B$2:$B$190,$B66)*Inputs!$D$1)</f>
        <v>0</v>
      </c>
      <c r="AC66" s="58">
        <f>AB66</f>
        <v>0</v>
      </c>
      <c r="AD66" s="57">
        <f>IF(ISNA(SUMIFS(INDEX(Inputs!$B$2:$AZ$190,,MATCH(SUBSTITUTE(AD$3,"Q","T"),Inputs!$B$2:$AZ$2,0)),Inputs!$B$2:$B$190,$B66)*Inputs!$D$1),"",SUMIFS(INDEX(Inputs!$B$2:$AZ$190,,MATCH(SUBSTITUTE(AD$3,"Q","T"),Inputs!$B$2:$AZ$2,0)),Inputs!$B$2:$B$190,$B66)*Inputs!$D$1)</f>
        <v>0</v>
      </c>
      <c r="AE66" s="57">
        <f>IF(ISNA(SUMIFS(INDEX(Inputs!$B$2:$AZ$190,,MATCH(SUBSTITUTE(AE$3,"Q","T"),Inputs!$B$2:$AZ$2,0)),Inputs!$B$2:$B$190,$B66)*Inputs!$D$1),"",SUMIFS(INDEX(Inputs!$B$2:$AZ$190,,MATCH(SUBSTITUTE(AE$3,"Q","T"),Inputs!$B$2:$AZ$2,0)),Inputs!$B$2:$B$190,$B66)*Inputs!$D$1)</f>
        <v>0</v>
      </c>
      <c r="AF66" s="57">
        <f>IF(ISNA(SUMIFS(INDEX(Inputs!$B$2:$AZ$190,,MATCH(SUBSTITUTE(AF$3,"Q","T"),Inputs!$B$2:$AZ$2,0)),Inputs!$B$2:$B$190,$B66)*Inputs!$D$1),"",SUMIFS(INDEX(Inputs!$B$2:$AZ$190,,MATCH(SUBSTITUTE(AF$3,"Q","T"),Inputs!$B$2:$AZ$2,0)),Inputs!$B$2:$B$190,$B66)*Inputs!$D$1)</f>
        <v>0</v>
      </c>
      <c r="AG66" s="57">
        <f>IF(ISNA(SUMIFS(INDEX(Inputs!$B$2:$AZ$190,,MATCH(SUBSTITUTE(AG$3,"Q","T"),Inputs!$B$2:$AZ$2,0)),Inputs!$B$2:$B$190,$B66)*Inputs!$D$1),"",SUMIFS(INDEX(Inputs!$B$2:$AZ$190,,MATCH(SUBSTITUTE(AG$3,"Q","T"),Inputs!$B$2:$AZ$2,0)),Inputs!$B$2:$B$190,$B66)*Inputs!$D$1)</f>
        <v>0</v>
      </c>
      <c r="AH66" s="58">
        <f>AG66</f>
        <v>0</v>
      </c>
      <c r="AI66" s="57">
        <f>IF(ISNA(SUMIFS(INDEX(Inputs!$B$2:$AZ$190,,MATCH(SUBSTITUTE(AI$3,"Q","T"),Inputs!$B$2:$AZ$2,0)),Inputs!$B$2:$B$190,$B66)*Inputs!$D$1),"",SUMIFS(INDEX(Inputs!$B$2:$AZ$190,,MATCH(SUBSTITUTE(AI$3,"Q","T"),Inputs!$B$2:$AZ$2,0)),Inputs!$B$2:$B$190,$B66)*Inputs!$D$1)</f>
        <v>0</v>
      </c>
      <c r="AJ66" s="57">
        <f>IF(ISNA(SUMIFS(INDEX(Inputs!$B$2:$AZ$190,,MATCH(SUBSTITUTE(AJ$3,"Q","T"),Inputs!$B$2:$AZ$2,0)),Inputs!$B$2:$B$190,$B66)*Inputs!$D$1),"",SUMIFS(INDEX(Inputs!$B$2:$AZ$190,,MATCH(SUBSTITUTE(AJ$3,"Q","T"),Inputs!$B$2:$AZ$2,0)),Inputs!$B$2:$B$190,$B66)*Inputs!$D$1)</f>
        <v>0</v>
      </c>
      <c r="AK66" s="57">
        <f>IF(ISNA(SUMIFS(INDEX(Inputs!$B$2:$AZ$190,,MATCH(SUBSTITUTE(AK$3,"Q","T"),Inputs!$B$2:$AZ$2,0)),Inputs!$B$2:$B$190,$B66)*Inputs!$D$1),"",SUMIFS(INDEX(Inputs!$B$2:$AZ$190,,MATCH(SUBSTITUTE(AK$3,"Q","T"),Inputs!$B$2:$AZ$2,0)),Inputs!$B$2:$B$190,$B66)*Inputs!$D$1)</f>
        <v>0</v>
      </c>
      <c r="AL66" s="57">
        <f>IF(ISNA(SUMIFS(INDEX(Inputs!$B$2:$AZ$190,,MATCH(SUBSTITUTE(AL$3,"Q","T"),Inputs!$B$2:$AZ$2,0)),Inputs!$B$2:$B$190,$B66)*Inputs!$D$1),"",SUMIFS(INDEX(Inputs!$B$2:$AZ$190,,MATCH(SUBSTITUTE(AL$3,"Q","T"),Inputs!$B$2:$AZ$2,0)),Inputs!$B$2:$B$190,$B66)*Inputs!$D$1)</f>
        <v>0</v>
      </c>
      <c r="AM66" s="58">
        <f>AL66</f>
        <v>0</v>
      </c>
      <c r="AN66" s="57">
        <f>IF(ISNA(SUMIFS(INDEX(Inputs!$B$2:$AZ$190,,MATCH(SUBSTITUTE(AN$3,"Q","T"),Inputs!$B$2:$AZ$2,0)),Inputs!$B$2:$B$190,$B66)*Inputs!$D$1),"",SUMIFS(INDEX(Inputs!$B$2:$AZ$190,,MATCH(SUBSTITUTE(AN$3,"Q","T"),Inputs!$B$2:$AZ$2,0)),Inputs!$B$2:$B$190,$B66)*Inputs!$D$1)</f>
        <v>0</v>
      </c>
      <c r="AO66" s="57">
        <f>IF(ISNA(SUMIFS(INDEX(Inputs!$B$2:$AZ$190,,MATCH(SUBSTITUTE(AO$3,"Q","T"),Inputs!$B$2:$AZ$2,0)),Inputs!$B$2:$B$190,$B66)*Inputs!$D$1),"",SUMIFS(INDEX(Inputs!$B$2:$AZ$190,,MATCH(SUBSTITUTE(AO$3,"Q","T"),Inputs!$B$2:$AZ$2,0)),Inputs!$B$2:$B$190,$B66)*Inputs!$D$1)</f>
        <v>0</v>
      </c>
      <c r="AP66" s="57">
        <f>IF(ISNA(SUMIFS(INDEX(Inputs!$B$2:$AZ$190,,MATCH(SUBSTITUTE(AP$3,"Q","T"),Inputs!$B$2:$AZ$2,0)),Inputs!$B$2:$B$190,$B66)*Inputs!$D$1),"",SUMIFS(INDEX(Inputs!$B$2:$AZ$190,,MATCH(SUBSTITUTE(AP$3,"Q","T"),Inputs!$B$2:$AZ$2,0)),Inputs!$B$2:$B$190,$B66)*Inputs!$D$1)</f>
        <v>0</v>
      </c>
      <c r="AQ66" s="57">
        <f>IF(ISNA(SUMIFS(INDEX(Inputs!$B$2:$AZ$190,,MATCH(SUBSTITUTE(AQ$3,"Q","T"),Inputs!$B$2:$AZ$2,0)),Inputs!$B$2:$B$190,$B66)*Inputs!$D$1),"",SUMIFS(INDEX(Inputs!$B$2:$AZ$190,,MATCH(SUBSTITUTE(AQ$3,"Q","T"),Inputs!$B$2:$AZ$2,0)),Inputs!$B$2:$B$190,$B66)*Inputs!$D$1)</f>
        <v>0</v>
      </c>
      <c r="AR66" s="58">
        <f>AQ66</f>
        <v>0</v>
      </c>
      <c r="AS66" s="57">
        <f>IF(ISNA(SUMIFS(INDEX(Inputs!$B$2:$AZ$190,,MATCH(SUBSTITUTE(AS$3,"Q","T"),Inputs!$B$2:$AZ$2,0)),Inputs!$B$2:$B$190,$B66)*Inputs!$D$1),"",SUMIFS(INDEX(Inputs!$B$2:$AZ$190,,MATCH(SUBSTITUTE(AS$3,"Q","T"),Inputs!$B$2:$AZ$2,0)),Inputs!$B$2:$B$190,$B66)*Inputs!$D$1)</f>
        <v>0</v>
      </c>
      <c r="AT66" s="57">
        <f>IF(ISNA(SUMIFS(INDEX(Inputs!$B$2:$AZ$190,,MATCH(SUBSTITUTE(AT$3,"Q","T"),Inputs!$B$2:$AZ$2,0)),Inputs!$B$2:$B$190,$B66)*Inputs!$D$1),"",SUMIFS(INDEX(Inputs!$B$2:$AZ$190,,MATCH(SUBSTITUTE(AT$3,"Q","T"),Inputs!$B$2:$AZ$2,0)),Inputs!$B$2:$B$190,$B66)*Inputs!$D$1)</f>
        <v>0</v>
      </c>
      <c r="AU66" s="57">
        <f>IF(ISNA(SUMIFS(INDEX(Inputs!$B$2:$AZ$190,,MATCH(SUBSTITUTE(AU$3,"Q","T"),Inputs!$B$2:$AZ$2,0)),Inputs!$B$2:$B$190,$B66)*Inputs!$D$1),"",SUMIFS(INDEX(Inputs!$B$2:$AZ$190,,MATCH(SUBSTITUTE(AU$3,"Q","T"),Inputs!$B$2:$AZ$2,0)),Inputs!$B$2:$B$190,$B66)*Inputs!$D$1)</f>
        <v>0</v>
      </c>
      <c r="AV66" s="57">
        <f>IF(ISNA(SUMIFS(INDEX(Inputs!$B$2:$AZ$190,,MATCH(SUBSTITUTE(AV$3,"Q","T"),Inputs!$B$2:$AZ$2,0)),Inputs!$B$2:$B$190,$B66)*Inputs!$D$1),"",SUMIFS(INDEX(Inputs!$B$2:$AZ$190,,MATCH(SUBSTITUTE(AV$3,"Q","T"),Inputs!$B$2:$AZ$2,0)),Inputs!$B$2:$B$190,$B66)*Inputs!$D$1)</f>
        <v>0</v>
      </c>
      <c r="AW66" s="58">
        <f>AV66</f>
        <v>0</v>
      </c>
      <c r="AX66" s="57">
        <f>IF(ISNA(SUMIFS(INDEX(Inputs!$B$2:$AZ$190,,MATCH(SUBSTITUTE(AX$3,"Q","T"),Inputs!$B$2:$AZ$2,0)),Inputs!$B$2:$B$190,$B66)*Inputs!$D$1),"",SUMIFS(INDEX(Inputs!$B$2:$AZ$190,,MATCH(SUBSTITUTE(AX$3,"Q","T"),Inputs!$B$2:$AZ$2,0)),Inputs!$B$2:$B$190,$B66)*Inputs!$D$1)</f>
        <v>0</v>
      </c>
      <c r="AY66" s="57">
        <f>IF(ISNA(SUMIFS(INDEX(Inputs!$B$2:$AZ$190,,MATCH(SUBSTITUTE(AY$3,"Q","T"),Inputs!$B$2:$AZ$2,0)),Inputs!$B$2:$B$190,$B66)*Inputs!$D$1),"",SUMIFS(INDEX(Inputs!$B$2:$AZ$190,,MATCH(SUBSTITUTE(AY$3,"Q","T"),Inputs!$B$2:$AZ$2,0)),Inputs!$B$2:$B$190,$B66)*Inputs!$D$1)</f>
        <v>0</v>
      </c>
      <c r="AZ66" s="57">
        <f>IF(ISNA(SUMIFS(INDEX(Inputs!$B$2:$AZ$190,,MATCH(SUBSTITUTE(AZ$3,"Q","T"),Inputs!$B$2:$AZ$2,0)),Inputs!$B$2:$B$190,$B66)*Inputs!$D$1),"",SUMIFS(INDEX(Inputs!$B$2:$AZ$190,,MATCH(SUBSTITUTE(AZ$3,"Q","T"),Inputs!$B$2:$AZ$2,0)),Inputs!$B$2:$B$190,$B66)*Inputs!$D$1)</f>
        <v>0</v>
      </c>
      <c r="BA66" s="57">
        <f>IF(ISNA(SUMIFS(INDEX(Inputs!$B$2:$AZ$190,,MATCH(SUBSTITUTE(BA$3,"Q","T"),Inputs!$B$2:$AZ$2,0)),Inputs!$B$2:$B$190,$B66)*Inputs!$D$1),"",SUMIFS(INDEX(Inputs!$B$2:$AZ$190,,MATCH(SUBSTITUTE(BA$3,"Q","T"),Inputs!$B$2:$AZ$2,0)),Inputs!$B$2:$B$190,$B66)*Inputs!$D$1)</f>
        <v>0</v>
      </c>
      <c r="BB66" s="58">
        <f>BA66</f>
        <v>0</v>
      </c>
      <c r="BC66" s="57">
        <f>IF(ISNA(SUMIFS(INDEX(Inputs!$B$2:$AZ$190,,MATCH(SUBSTITUTE(BC$3,"Q","T"),Inputs!$B$2:$AZ$2,0)),Inputs!$B$2:$B$190,$B66)*Inputs!$D$1),"",SUMIFS(INDEX(Inputs!$B$2:$AZ$190,,MATCH(SUBSTITUTE(BC$3,"Q","T"),Inputs!$B$2:$AZ$2,0)),Inputs!$B$2:$B$190,$B66)*Inputs!$D$1)</f>
        <v>0</v>
      </c>
      <c r="BD66" s="57">
        <f>IF(ISNA(SUMIFS(INDEX(Inputs!$B$2:$AZ$190,,MATCH(SUBSTITUTE(BD$3,"Q","T"),Inputs!$B$2:$AZ$2,0)),Inputs!$B$2:$B$190,$B66)*Inputs!$D$1),"",SUMIFS(INDEX(Inputs!$B$2:$AZ$190,,MATCH(SUBSTITUTE(BD$3,"Q","T"),Inputs!$B$2:$AZ$2,0)),Inputs!$B$2:$B$190,$B66)*Inputs!$D$1)</f>
        <v>0</v>
      </c>
      <c r="BE66" s="57">
        <f>IF(ISNA(SUMIFS(INDEX(Inputs!$B$2:$AZ$190,,MATCH(SUBSTITUTE(BE$3,"Q","T"),Inputs!$B$2:$AZ$2,0)),Inputs!$B$2:$B$190,$B66)*Inputs!$D$1),"",SUMIFS(INDEX(Inputs!$B$2:$AZ$190,,MATCH(SUBSTITUTE(BE$3,"Q","T"),Inputs!$B$2:$AZ$2,0)),Inputs!$B$2:$B$190,$B66)*Inputs!$D$1)</f>
        <v>0</v>
      </c>
      <c r="BF66" s="57">
        <f>IF(ISNA(SUMIFS(INDEX(Inputs!$B$2:$AZ$190,,MATCH(SUBSTITUTE(BF$3,"Q","T"),Inputs!$B$2:$AZ$2,0)),Inputs!$B$2:$B$190,$B66)*Inputs!$D$1),"",SUMIFS(INDEX(Inputs!$B$2:$AZ$190,,MATCH(SUBSTITUTE(BF$3,"Q","T"),Inputs!$B$2:$AZ$2,0)),Inputs!$B$2:$B$190,$B66)*Inputs!$D$1)</f>
        <v>0</v>
      </c>
      <c r="BG66" s="58">
        <f>BF66</f>
        <v>0</v>
      </c>
    </row>
    <row r="67">
      <c r="C67" s="53" t="inlineStr">
        <is>
          <t>TOTAL DO PATRIMÔNIO LÍQUIDO</t>
        </is>
      </c>
      <c r="D67" s="54" t="inlineStr">
        <is>
          <t>TOTAL EQUITY</t>
        </is>
      </c>
      <c r="E67" s="59">
        <f>IFERROR(E59+E66,"")</f>
        <v>0</v>
      </c>
      <c r="F67" s="59">
        <f>IFERROR(F59+F66,"")</f>
        <v>0</v>
      </c>
      <c r="G67" s="59">
        <f>IFERROR(G59+G66,"")</f>
        <v>0</v>
      </c>
      <c r="H67" s="59">
        <f>IFERROR(H59+H66,"")</f>
        <v>0</v>
      </c>
      <c r="I67" s="60">
        <f>H67</f>
        <v>0</v>
      </c>
      <c r="J67" s="59">
        <f>IFERROR(J59+J66,"")</f>
        <v>0</v>
      </c>
      <c r="K67" s="59">
        <f>IFERROR(K59+K66,"")</f>
        <v>0</v>
      </c>
      <c r="L67" s="59">
        <f>IFERROR(L59+L66,"")</f>
        <v>0</v>
      </c>
      <c r="M67" s="59">
        <f>IFERROR(M59+M66,"")</f>
        <v>0</v>
      </c>
      <c r="N67" s="60">
        <f>M67</f>
        <v>0</v>
      </c>
      <c r="O67" s="59">
        <f>IFERROR(O59+O66,"")</f>
        <v>0</v>
      </c>
      <c r="P67" s="59">
        <f>IFERROR(P59+P66,"")</f>
        <v>0</v>
      </c>
      <c r="Q67" s="59">
        <f>IFERROR(Q59+Q66,"")</f>
        <v>0</v>
      </c>
      <c r="R67" s="59">
        <f>IFERROR(R59+R66,"")</f>
        <v>0</v>
      </c>
      <c r="S67" s="60">
        <f>R67</f>
        <v>0</v>
      </c>
      <c r="T67" s="59">
        <f>IFERROR(T59+T66,"")</f>
        <v>0</v>
      </c>
      <c r="U67" s="59">
        <f>IFERROR(U59+U66,"")</f>
        <v>0</v>
      </c>
      <c r="V67" s="59">
        <f>IFERROR(V59+V66,"")</f>
        <v>0</v>
      </c>
      <c r="W67" s="59">
        <f>IFERROR(W59+W66,"")</f>
        <v>0</v>
      </c>
      <c r="X67" s="60">
        <f>W67</f>
        <v>0</v>
      </c>
      <c r="Y67" s="59">
        <f>IFERROR(Y59+Y66,"")</f>
        <v>0</v>
      </c>
      <c r="Z67" s="59">
        <f>IFERROR(Z59+Z66,"")</f>
        <v>0</v>
      </c>
      <c r="AA67" s="59">
        <f>IFERROR(AA59+AA66,"")</f>
        <v>0</v>
      </c>
      <c r="AB67" s="59">
        <f>IFERROR(AB59+AB66,"")</f>
        <v>0</v>
      </c>
      <c r="AC67" s="60">
        <f>AB67</f>
        <v>0</v>
      </c>
      <c r="AD67" s="59">
        <f>IFERROR(AD59+AD66,"")</f>
        <v>0</v>
      </c>
      <c r="AE67" s="59">
        <f>IFERROR(AE59+AE66,"")</f>
        <v>0</v>
      </c>
      <c r="AF67" s="59">
        <f>IFERROR(AF59+AF66,"")</f>
        <v>0</v>
      </c>
      <c r="AG67" s="59">
        <f>IFERROR(AG59+AG66,"")</f>
        <v>0</v>
      </c>
      <c r="AH67" s="60">
        <f>AG67</f>
        <v>0</v>
      </c>
      <c r="AI67" s="59">
        <f>IFERROR(AI59+AI66,"")</f>
        <v>0</v>
      </c>
      <c r="AJ67" s="59">
        <f>IFERROR(AJ59+AJ66,"")</f>
        <v>0</v>
      </c>
      <c r="AK67" s="59">
        <f>IFERROR(AK59+AK66,"")</f>
        <v>0</v>
      </c>
      <c r="AL67" s="59">
        <f>IFERROR(AL59+AL66,"")</f>
        <v>0</v>
      </c>
      <c r="AM67" s="60">
        <f>AL67</f>
        <v>0</v>
      </c>
      <c r="AN67" s="59">
        <f>IFERROR(AN59+AN66,"")</f>
        <v>0</v>
      </c>
      <c r="AO67" s="59">
        <f>IFERROR(AO59+AO66,"")</f>
        <v>0</v>
      </c>
      <c r="AP67" s="59">
        <f>IFERROR(AP59+AP66,"")</f>
        <v>0</v>
      </c>
      <c r="AQ67" s="59">
        <f>IFERROR(AQ59+AQ66,"")</f>
        <v>0</v>
      </c>
      <c r="AR67" s="60">
        <f>AQ67</f>
        <v>0</v>
      </c>
      <c r="AS67" s="59">
        <f>IFERROR(AS59+AS66,"")</f>
        <v>0</v>
      </c>
      <c r="AT67" s="59">
        <f>IFERROR(AT59+AT66,"")</f>
        <v>0</v>
      </c>
      <c r="AU67" s="59">
        <f>IFERROR(AU59+AU66,"")</f>
        <v>0</v>
      </c>
      <c r="AV67" s="59">
        <f>IFERROR(AV59+AV66,"")</f>
        <v>0</v>
      </c>
      <c r="AW67" s="60">
        <f>AV67</f>
        <v>0</v>
      </c>
      <c r="AX67" s="59">
        <f>IFERROR(AX59+AX66,"")</f>
        <v>0</v>
      </c>
      <c r="AY67" s="59">
        <f>IFERROR(AY59+AY66,"")</f>
        <v>0</v>
      </c>
      <c r="AZ67" s="59">
        <f>IFERROR(AZ59+AZ66,"")</f>
        <v>0</v>
      </c>
      <c r="BA67" s="59">
        <f>IFERROR(BA59+BA66,"")</f>
        <v>0</v>
      </c>
      <c r="BB67" s="60">
        <f>BA67</f>
        <v>0</v>
      </c>
      <c r="BC67" s="59">
        <f>IFERROR(BC59+BC66,"")</f>
        <v>0</v>
      </c>
      <c r="BD67" s="59">
        <f>IFERROR(BD59+BD66,"")</f>
        <v>0</v>
      </c>
      <c r="BE67" s="59">
        <f>IFERROR(BE59+BE66,"")</f>
        <v>0</v>
      </c>
      <c r="BF67" s="59">
        <f>IFERROR(BF59+BF66,"")</f>
        <v>0</v>
      </c>
      <c r="BG67" s="60">
        <f>BF67</f>
        <v>0</v>
      </c>
    </row>
    <row r="68">
      <c r="C68" s="53" t="inlineStr">
        <is>
          <t>TOTAL DO PASSIVO E DO PATRIMÔNIO LÍQUIDO</t>
        </is>
      </c>
      <c r="D68" s="54" t="inlineStr">
        <is>
          <t>TOTAL LIABILITIES AND EQUITY</t>
        </is>
      </c>
      <c r="E68" s="59">
        <f>IFERROR(E32+E38+E42+E47+E50+E51+E52+E53+E54+E55+E56+E67,"")</f>
        <v>0</v>
      </c>
      <c r="F68" s="59">
        <f>IFERROR(F32+F38+F42+F47+F50+F51+F52+F53+F54+F55+F56+F67,"")</f>
        <v>0</v>
      </c>
      <c r="G68" s="59">
        <f>IFERROR(G32+G38+G42+G47+G50+G51+G52+G53+G54+G55+G56+G67,"")</f>
        <v>0</v>
      </c>
      <c r="H68" s="59">
        <f>IFERROR(H32+H38+H42+H47+H50+H51+H52+H53+H54+H55+H56+H67,"")</f>
        <v>0</v>
      </c>
      <c r="I68" s="60">
        <f>H68</f>
        <v>0</v>
      </c>
      <c r="J68" s="59">
        <f>IFERROR(J32+J38+J42+J47+J50+J51+J52+J53+J54+J55+J56+J67,"")</f>
        <v>0</v>
      </c>
      <c r="K68" s="59">
        <f>IFERROR(K32+K38+K42+K47+K50+K51+K52+K53+K54+K55+K56+K67,"")</f>
        <v>0</v>
      </c>
      <c r="L68" s="59">
        <f>IFERROR(L32+L38+L42+L47+L50+L51+L52+L53+L54+L55+L56+L67,"")</f>
        <v>0</v>
      </c>
      <c r="M68" s="59">
        <f>IFERROR(M32+M38+M42+M47+M50+M51+M52+M53+M54+M55+M56+M67,"")</f>
        <v>0</v>
      </c>
      <c r="N68" s="60">
        <f>M68</f>
        <v>0</v>
      </c>
      <c r="O68" s="59">
        <f>IFERROR(O32+O38+O42+O47+O50+O51+O52+O53+O54+O55+O56+O67,"")</f>
        <v>0</v>
      </c>
      <c r="P68" s="59">
        <f>IFERROR(P32+P38+P42+P47+P50+P51+P52+P53+P54+P55+P56+P67,"")</f>
        <v>0</v>
      </c>
      <c r="Q68" s="59">
        <f>IFERROR(Q32+Q38+Q42+Q47+Q50+Q51+Q52+Q53+Q54+Q55+Q56+Q67,"")</f>
        <v>0</v>
      </c>
      <c r="R68" s="59">
        <f>IFERROR(R32+R38+R42+R47+R50+R51+R52+R53+R54+R55+R56+R67,"")</f>
        <v>0</v>
      </c>
      <c r="S68" s="60">
        <f>R68</f>
        <v>0</v>
      </c>
      <c r="T68" s="59">
        <f>IFERROR(T32+T38+T42+T47+T50+T51+T52+T53+T54+T55+T56+T67,"")</f>
        <v>0</v>
      </c>
      <c r="U68" s="59">
        <f>IFERROR(U32+U38+U42+U47+U50+U51+U52+U53+U54+U55+U56+U67,"")</f>
        <v>0</v>
      </c>
      <c r="V68" s="59">
        <f>IFERROR(V32+V38+V42+V47+V50+V51+V52+V53+V54+V55+V56+V67,"")</f>
        <v>0</v>
      </c>
      <c r="W68" s="59">
        <f>IFERROR(W32+W38+W42+W47+W50+W51+W52+W53+W54+W55+W56+W67,"")</f>
        <v>0</v>
      </c>
      <c r="X68" s="60">
        <f>W68</f>
        <v>0</v>
      </c>
      <c r="Y68" s="59">
        <f>IFERROR(Y32+Y38+Y42+Y47+Y50+Y51+Y52+Y53+Y54+Y55+Y56+Y67,"")</f>
        <v>0</v>
      </c>
      <c r="Z68" s="59">
        <f>IFERROR(Z32+Z38+Z42+Z47+Z50+Z51+Z52+Z53+Z54+Z55+Z56+Z67,"")</f>
        <v>0</v>
      </c>
      <c r="AA68" s="59">
        <f>IFERROR(AA32+AA38+AA42+AA47+AA50+AA51+AA52+AA53+AA54+AA55+AA56+AA67,"")</f>
        <v>0</v>
      </c>
      <c r="AB68" s="59">
        <f>IFERROR(AB32+AB38+AB42+AB47+AB50+AB51+AB52+AB53+AB54+AB55+AB56+AB67,"")</f>
        <v>0</v>
      </c>
      <c r="AC68" s="60">
        <f>AB68</f>
        <v>0</v>
      </c>
      <c r="AD68" s="59">
        <f>IFERROR(AD32+AD38+AD42+AD47+AD50+AD51+AD52+AD53+AD54+AD55+AD56+AD67,"")</f>
        <v>0</v>
      </c>
      <c r="AE68" s="59">
        <f>IFERROR(AE32+AE38+AE42+AE47+AE50+AE51+AE52+AE53+AE54+AE55+AE56+AE67,"")</f>
        <v>0</v>
      </c>
      <c r="AF68" s="59">
        <f>IFERROR(AF32+AF38+AF42+AF47+AF50+AF51+AF52+AF53+AF54+AF55+AF56+AF67,"")</f>
        <v>0</v>
      </c>
      <c r="AG68" s="59">
        <f>IFERROR(AG32+AG38+AG42+AG47+AG50+AG51+AG52+AG53+AG54+AG55+AG56+AG67,"")</f>
        <v>0</v>
      </c>
      <c r="AH68" s="60">
        <f>AG68</f>
        <v>0</v>
      </c>
      <c r="AI68" s="59">
        <f>IFERROR(AI32+AI38+AI42+AI47+AI50+AI51+AI52+AI53+AI54+AI55+AI56+AI67,"")</f>
        <v>0</v>
      </c>
      <c r="AJ68" s="59">
        <f>IFERROR(AJ32+AJ38+AJ42+AJ47+AJ50+AJ51+AJ52+AJ53+AJ54+AJ55+AJ56+AJ67,"")</f>
        <v>0</v>
      </c>
      <c r="AK68" s="59">
        <f>IFERROR(AK32+AK38+AK42+AK47+AK50+AK51+AK52+AK53+AK54+AK55+AK56+AK67,"")</f>
        <v>0</v>
      </c>
      <c r="AL68" s="59">
        <f>IFERROR(AL32+AL38+AL42+AL47+AL50+AL51+AL52+AL53+AL54+AL55+AL56+AL67,"")</f>
        <v>0</v>
      </c>
      <c r="AM68" s="60">
        <f>AL68</f>
        <v>0</v>
      </c>
      <c r="AN68" s="59">
        <f>IFERROR(AN32+AN38+AN42+AN47+AN50+AN51+AN52+AN53+AN54+AN55+AN56+AN67,"")</f>
        <v>0</v>
      </c>
      <c r="AO68" s="59">
        <f>IFERROR(AO32+AO38+AO42+AO47+AO50+AO51+AO52+AO53+AO54+AO55+AO56+AO67,"")</f>
        <v>0</v>
      </c>
      <c r="AP68" s="59">
        <f>IFERROR(AP32+AP38+AP42+AP47+AP50+AP51+AP52+AP53+AP54+AP55+AP56+AP67,"")</f>
        <v>0</v>
      </c>
      <c r="AQ68" s="59">
        <f>IFERROR(AQ32+AQ38+AQ42+AQ47+AQ50+AQ51+AQ52+AQ53+AQ54+AQ55+AQ56+AQ67,"")</f>
        <v>0</v>
      </c>
      <c r="AR68" s="60">
        <f>AQ68</f>
        <v>0</v>
      </c>
      <c r="AS68" s="59">
        <f>IFERROR(AS32+AS38+AS42+AS47+AS50+AS51+AS52+AS53+AS54+AS55+AS56+AS67,"")</f>
        <v>0</v>
      </c>
      <c r="AT68" s="59">
        <f>IFERROR(AT32+AT38+AT42+AT47+AT50+AT51+AT52+AT53+AT54+AT55+AT56+AT67,"")</f>
        <v>0</v>
      </c>
      <c r="AU68" s="59">
        <f>IFERROR(AU32+AU38+AU42+AU47+AU50+AU51+AU52+AU53+AU54+AU55+AU56+AU67,"")</f>
        <v>0</v>
      </c>
      <c r="AV68" s="59">
        <f>IFERROR(AV32+AV38+AV42+AV47+AV50+AV51+AV52+AV53+AV54+AV55+AV56+AV67,"")</f>
        <v>0</v>
      </c>
      <c r="AW68" s="60">
        <f>AV68</f>
        <v>0</v>
      </c>
      <c r="AX68" s="59">
        <f>IFERROR(AX32+AX38+AX42+AX47+AX50+AX51+AX52+AX53+AX54+AX55+AX56+AX67,"")</f>
        <v>0</v>
      </c>
      <c r="AY68" s="59">
        <f>IFERROR(AY32+AY38+AY42+AY47+AY50+AY51+AY52+AY53+AY54+AY55+AY56+AY67,"")</f>
        <v>0</v>
      </c>
      <c r="AZ68" s="59">
        <f>IFERROR(AZ32+AZ38+AZ42+AZ47+AZ50+AZ51+AZ52+AZ53+AZ54+AZ55+AZ56+AZ67,"")</f>
        <v>0</v>
      </c>
      <c r="BA68" s="59">
        <f>IFERROR(BA32+BA38+BA42+BA47+BA50+BA51+BA52+BA53+BA54+BA55+BA56+BA67,"")</f>
        <v>0</v>
      </c>
      <c r="BB68" s="60">
        <f>BA68</f>
        <v>0</v>
      </c>
      <c r="BC68" s="59">
        <f>IFERROR(BC32+BC38+BC42+BC47+BC50+BC51+BC52+BC53+BC54+BC55+BC56+BC67,"")</f>
        <v>0</v>
      </c>
      <c r="BD68" s="59">
        <f>IFERROR(BD32+BD38+BD42+BD47+BD50+BD51+BD52+BD53+BD54+BD55+BD56+BD67,"")</f>
        <v>0</v>
      </c>
      <c r="BE68" s="59">
        <f>IFERROR(BE32+BE38+BE42+BE47+BE50+BE51+BE52+BE53+BE54+BE55+BE56+BE67,"")</f>
        <v>0</v>
      </c>
      <c r="BF68" s="59">
        <f>IFERROR(BF32+BF38+BF42+BF47+BF50+BF51+BF52+BF53+BF54+BF55+BF56+BF67,"")</f>
        <v>0</v>
      </c>
      <c r="BG68" s="60">
        <f>BF68</f>
        <v>0</v>
      </c>
    </row>
    <row r="70">
      <c r="B70" s="7" t="n"/>
      <c r="C70" s="7" t="inlineStr">
        <is>
          <t>DEMONSTRAÇÃO DO RESULTADO</t>
        </is>
      </c>
      <c r="D70" s="7" t="inlineStr">
        <is>
          <t>INCOME STATEMENT</t>
        </is>
      </c>
      <c r="E70" s="7" t="n"/>
      <c r="F70" s="7" t="n"/>
      <c r="G70" s="7" t="n"/>
      <c r="H70" s="7" t="n"/>
      <c r="I70" s="7" t="n"/>
      <c r="J70" s="7" t="n"/>
      <c r="K70" s="7" t="n"/>
      <c r="L70" s="7" t="n"/>
      <c r="M70" s="7" t="n"/>
      <c r="N70" s="7" t="n"/>
      <c r="O70" s="7" t="n"/>
      <c r="P70" s="7" t="n"/>
      <c r="Q70" s="7" t="n"/>
      <c r="R70" s="7" t="n"/>
      <c r="S70" s="7" t="n"/>
      <c r="T70" s="7" t="n"/>
      <c r="U70" s="7" t="n"/>
      <c r="V70" s="7" t="n"/>
      <c r="W70" s="7" t="n"/>
      <c r="X70" s="7" t="n"/>
      <c r="Y70" s="7" t="n"/>
      <c r="Z70" s="7" t="n"/>
      <c r="AA70" s="7" t="n"/>
      <c r="AB70" s="7" t="n"/>
      <c r="AC70" s="7" t="n"/>
      <c r="AD70" s="7" t="n"/>
      <c r="AE70" s="7" t="n"/>
      <c r="AF70" s="7" t="n"/>
      <c r="AG70" s="7" t="n"/>
      <c r="AH70" s="7" t="n"/>
      <c r="AI70" s="7" t="n"/>
      <c r="AJ70" s="7" t="n"/>
      <c r="AK70" s="7" t="n"/>
      <c r="AL70" s="7" t="n"/>
      <c r="AM70" s="7" t="n"/>
      <c r="AN70" s="7" t="n"/>
      <c r="AO70" s="7" t="n"/>
      <c r="AP70" s="7" t="n"/>
      <c r="AQ70" s="7" t="n"/>
      <c r="AR70" s="7" t="n"/>
      <c r="AS70" s="7" t="n"/>
      <c r="AT70" s="7" t="n"/>
      <c r="AU70" s="7" t="n"/>
      <c r="AV70" s="7" t="n"/>
      <c r="AW70" s="7" t="n"/>
      <c r="AX70" s="7" t="n"/>
      <c r="AY70" s="7" t="n"/>
      <c r="AZ70" s="7" t="n"/>
      <c r="BA70" s="7" t="n"/>
      <c r="BB70" s="7" t="n"/>
      <c r="BC70" s="7" t="n"/>
      <c r="BD70" s="7" t="n"/>
      <c r="BE70" s="7" t="n"/>
      <c r="BF70" s="7" t="n"/>
      <c r="BG70" s="7" t="n"/>
      <c r="BH70" s="7" t="n"/>
      <c r="BI70" s="7" t="n"/>
    </row>
    <row r="71">
      <c r="C71" s="15" t="inlineStr">
        <is>
          <t>Receita de juros</t>
        </is>
      </c>
      <c r="D71" s="16" t="inlineStr">
        <is>
          <t>Interest income</t>
        </is>
      </c>
      <c r="E71" s="59">
        <f>IFERROR(E72+E73+E74+E75,"")</f>
        <v>0</v>
      </c>
      <c r="F71" s="59">
        <f>IFERROR(F72+F73+F74+F75,"")</f>
        <v>0</v>
      </c>
      <c r="G71" s="59">
        <f>IFERROR(G72+G73+G74+G75,"")</f>
        <v>0</v>
      </c>
      <c r="H71" s="59">
        <f>IFERROR(H72+H73+H74+H75,"")</f>
        <v>0</v>
      </c>
      <c r="I71" s="60">
        <f>SUM(E71:H71)</f>
        <v>0</v>
      </c>
      <c r="J71" s="59">
        <f>IFERROR(J72+J73+J74+J75,"")</f>
        <v>0</v>
      </c>
      <c r="K71" s="59">
        <f>IFERROR(K72+K73+K74+K75,"")</f>
        <v>0</v>
      </c>
      <c r="L71" s="59">
        <f>IFERROR(L72+L73+L74+L75,"")</f>
        <v>0</v>
      </c>
      <c r="M71" s="59">
        <f>IFERROR(M72+M73+M74+M75,"")</f>
        <v>0</v>
      </c>
      <c r="N71" s="60">
        <f>SUM(J71:M71)</f>
        <v>0</v>
      </c>
      <c r="O71" s="59">
        <f>IFERROR(O72+O73+O74+O75,"")</f>
        <v>0</v>
      </c>
      <c r="P71" s="59">
        <f>IFERROR(P72+P73+P74+P75,"")</f>
        <v>0</v>
      </c>
      <c r="Q71" s="59">
        <f>IFERROR(Q72+Q73+Q74+Q75,"")</f>
        <v>0</v>
      </c>
      <c r="R71" s="59">
        <f>IFERROR(R72+R73+R74+R75,"")</f>
        <v>0</v>
      </c>
      <c r="S71" s="60">
        <f>SUM(O71:R71)</f>
        <v>0</v>
      </c>
      <c r="T71" s="59">
        <f>IFERROR(T72+T73+T74+T75,"")</f>
        <v>0</v>
      </c>
      <c r="U71" s="59">
        <f>IFERROR(U72+U73+U74+U75,"")</f>
        <v>0</v>
      </c>
      <c r="V71" s="59">
        <f>IFERROR(V72+V73+V74+V75,"")</f>
        <v>0</v>
      </c>
      <c r="W71" s="59">
        <f>IFERROR(W72+W73+W74+W75,"")</f>
        <v>0</v>
      </c>
      <c r="X71" s="60">
        <f>SUM(T71:W71)</f>
        <v>0</v>
      </c>
      <c r="Y71" s="59">
        <f>IFERROR(Y72+Y73+Y74+Y75,"")</f>
        <v>0</v>
      </c>
      <c r="Z71" s="59">
        <f>IFERROR(Z72+Z73+Z74+Z75,"")</f>
        <v>0</v>
      </c>
      <c r="AA71" s="59">
        <f>IFERROR(AA72+AA73+AA74+AA75,"")</f>
        <v>0</v>
      </c>
      <c r="AB71" s="59">
        <f>IFERROR(AB72+AB73+AB74+AB75,"")</f>
        <v>0</v>
      </c>
      <c r="AC71" s="60">
        <f>SUM(Y71:AB71)</f>
        <v>0</v>
      </c>
      <c r="AD71" s="59">
        <f>IFERROR(AD72+AD73+AD74+AD75,"")</f>
        <v>0</v>
      </c>
      <c r="AE71" s="59">
        <f>IFERROR(AE72+AE73+AE74+AE75,"")</f>
        <v>0</v>
      </c>
      <c r="AF71" s="59">
        <f>IFERROR(AF72+AF73+AF74+AF75,"")</f>
        <v>0</v>
      </c>
      <c r="AG71" s="59">
        <f>IFERROR(AG72+AG73+AG74+AG75,"")</f>
        <v>0</v>
      </c>
      <c r="AH71" s="60">
        <f>SUM(AD71:AG71)</f>
        <v>0</v>
      </c>
      <c r="AI71" s="59">
        <f>IFERROR(AI72+AI73+AI74+AI75,"")</f>
        <v>0</v>
      </c>
      <c r="AJ71" s="59">
        <f>IFERROR(AJ72+AJ73+AJ74+AJ75,"")</f>
        <v>0</v>
      </c>
      <c r="AK71" s="59">
        <f>IFERROR(AK72+AK73+AK74+AK75,"")</f>
        <v>0</v>
      </c>
      <c r="AL71" s="59">
        <f>IFERROR(AL72+AL73+AL74+AL75,"")</f>
        <v>0</v>
      </c>
      <c r="AM71" s="60">
        <f>SUM(AI71:AL71)</f>
        <v>0</v>
      </c>
      <c r="AN71" s="59">
        <f>IFERROR(AN72+AN73+AN74+AN75,"")</f>
        <v>0</v>
      </c>
      <c r="AO71" s="59">
        <f>IFERROR(AO72+AO73+AO74+AO75,"")</f>
        <v>0</v>
      </c>
      <c r="AP71" s="59">
        <f>IFERROR(AP72+AP73+AP74+AP75,"")</f>
        <v>0</v>
      </c>
      <c r="AQ71" s="59">
        <f>IFERROR(AQ72+AQ73+AQ74+AQ75,"")</f>
        <v>0</v>
      </c>
      <c r="AR71" s="60">
        <f>SUM(AN71:AQ71)</f>
        <v>0</v>
      </c>
      <c r="AS71" s="59">
        <f>IFERROR(AS72+AS73+AS74+AS75,"")</f>
        <v>0</v>
      </c>
      <c r="AT71" s="59">
        <f>IFERROR(AT72+AT73+AT74+AT75,"")</f>
        <v>0</v>
      </c>
      <c r="AU71" s="59">
        <f>IFERROR(AU72+AU73+AU74+AU75,"")</f>
        <v>0</v>
      </c>
      <c r="AV71" s="59">
        <f>IFERROR(AV72+AV73+AV74+AV75,"")</f>
        <v>0</v>
      </c>
      <c r="AW71" s="60">
        <f>SUM(AS71:AV71)</f>
        <v>0</v>
      </c>
      <c r="AX71" s="59">
        <f>IFERROR(AX72+AX73+AX74+AX75,"")</f>
        <v>0</v>
      </c>
      <c r="AY71" s="59">
        <f>IFERROR(AY72+AY73+AY74+AY75,"")</f>
        <v>0</v>
      </c>
      <c r="AZ71" s="59">
        <f>IFERROR(AZ72+AZ73+AZ74+AZ75,"")</f>
        <v>0</v>
      </c>
      <c r="BA71" s="59">
        <f>IFERROR(BA72+BA73+BA74+BA75,"")</f>
        <v>0</v>
      </c>
      <c r="BB71" s="60">
        <f>SUM(AX71:BA71)</f>
        <v>0</v>
      </c>
      <c r="BC71" s="59">
        <f>IFERROR(BC72+BC73+BC74+BC75,"")</f>
        <v>0</v>
      </c>
      <c r="BD71" s="59">
        <f>IFERROR(BD72+BD73+BD74+BD75,"")</f>
        <v>0</v>
      </c>
      <c r="BE71" s="59">
        <f>IFERROR(BE72+BE73+BE74+BE75,"")</f>
        <v>0</v>
      </c>
      <c r="BF71" s="59">
        <f>IFERROR(BF72+BF73+BF74+BF75,"")</f>
        <v>0</v>
      </c>
      <c r="BG71" s="60">
        <f>SUM(BC71:BF71)</f>
        <v>0</v>
      </c>
    </row>
    <row r="72" hidden="1" outlineLevel="1">
      <c r="B72" s="56" t="inlineStr">
        <is>
          <t>ii_loans</t>
        </is>
      </c>
      <c r="C72" s="61" t="inlineStr">
        <is>
          <t>Juros de empréstimos</t>
        </is>
      </c>
      <c r="D72" s="62" t="inlineStr">
        <is>
          <t>Interest income — loans</t>
        </is>
      </c>
      <c r="E72" s="57">
        <f>IF(ISNA(SUMIFS(INDEX(Inputs!$B$2:$AZ$190,,MATCH(SUBSTITUTE(E$3,"Q","T"),Inputs!$B$2:$AZ$2,0)),Inputs!$B$2:$B$190,$B72)*Inputs!$D$1),"",SUMIFS(INDEX(Inputs!$B$2:$AZ$190,,MATCH(SUBSTITUTE(E$3,"Q","T"),Inputs!$B$2:$AZ$2,0)),Inputs!$B$2:$B$190,$B72)*Inputs!$D$1)</f>
        <v>0</v>
      </c>
      <c r="F72" s="57">
        <f>IF(ISNA(SUMIFS(INDEX(Inputs!$B$2:$AZ$190,,MATCH(SUBSTITUTE(F$3,"Q","T"),Inputs!$B$2:$AZ$2,0)),Inputs!$B$2:$B$190,$B72)*Inputs!$D$1),"",SUMIFS(INDEX(Inputs!$B$2:$AZ$190,,MATCH(SUBSTITUTE(F$3,"Q","T"),Inputs!$B$2:$AZ$2,0)),Inputs!$B$2:$B$190,$B72)*Inputs!$D$1)</f>
        <v>0</v>
      </c>
      <c r="G72" s="57">
        <f>IF(ISNA(SUMIFS(INDEX(Inputs!$B$2:$AZ$190,,MATCH(SUBSTITUTE(G$3,"Q","T"),Inputs!$B$2:$AZ$2,0)),Inputs!$B$2:$B$190,$B72)*Inputs!$D$1),"",SUMIFS(INDEX(Inputs!$B$2:$AZ$190,,MATCH(SUBSTITUTE(G$3,"Q","T"),Inputs!$B$2:$AZ$2,0)),Inputs!$B$2:$B$190,$B72)*Inputs!$D$1)</f>
        <v>0</v>
      </c>
      <c r="H72" s="57">
        <f>IF(ISNA(SUMIFS(INDEX(Inputs!$B$2:$AZ$190,,MATCH(SUBSTITUTE(H$3,"Q","T"),Inputs!$B$2:$AZ$2,0)),Inputs!$B$2:$B$190,$B72)*Inputs!$D$1),"",SUMIFS(INDEX(Inputs!$B$2:$AZ$190,,MATCH(SUBSTITUTE(H$3,"Q","T"),Inputs!$B$2:$AZ$2,0)),Inputs!$B$2:$B$190,$B72)*Inputs!$D$1)</f>
        <v>0</v>
      </c>
      <c r="I72" s="58">
        <f>SUM(E72:H72)</f>
        <v>0</v>
      </c>
      <c r="J72" s="57">
        <f>IF(ISNA(SUMIFS(INDEX(Inputs!$B$2:$AZ$190,,MATCH(SUBSTITUTE(J$3,"Q","T"),Inputs!$B$2:$AZ$2,0)),Inputs!$B$2:$B$190,$B72)*Inputs!$D$1),"",SUMIFS(INDEX(Inputs!$B$2:$AZ$190,,MATCH(SUBSTITUTE(J$3,"Q","T"),Inputs!$B$2:$AZ$2,0)),Inputs!$B$2:$B$190,$B72)*Inputs!$D$1)</f>
        <v>0</v>
      </c>
      <c r="K72" s="57">
        <f>IF(ISNA(SUMIFS(INDEX(Inputs!$B$2:$AZ$190,,MATCH(SUBSTITUTE(K$3,"Q","T"),Inputs!$B$2:$AZ$2,0)),Inputs!$B$2:$B$190,$B72)*Inputs!$D$1),"",SUMIFS(INDEX(Inputs!$B$2:$AZ$190,,MATCH(SUBSTITUTE(K$3,"Q","T"),Inputs!$B$2:$AZ$2,0)),Inputs!$B$2:$B$190,$B72)*Inputs!$D$1)</f>
        <v>0</v>
      </c>
      <c r="L72" s="57">
        <f>IF(ISNA(SUMIFS(INDEX(Inputs!$B$2:$AZ$190,,MATCH(SUBSTITUTE(L$3,"Q","T"),Inputs!$B$2:$AZ$2,0)),Inputs!$B$2:$B$190,$B72)*Inputs!$D$1),"",SUMIFS(INDEX(Inputs!$B$2:$AZ$190,,MATCH(SUBSTITUTE(L$3,"Q","T"),Inputs!$B$2:$AZ$2,0)),Inputs!$B$2:$B$190,$B72)*Inputs!$D$1)</f>
        <v>0</v>
      </c>
      <c r="M72" s="57">
        <f>IF(ISNA(SUMIFS(INDEX(Inputs!$B$2:$AZ$190,,MATCH(SUBSTITUTE(M$3,"Q","T"),Inputs!$B$2:$AZ$2,0)),Inputs!$B$2:$B$190,$B72)*Inputs!$D$1),"",SUMIFS(INDEX(Inputs!$B$2:$AZ$190,,MATCH(SUBSTITUTE(M$3,"Q","T"),Inputs!$B$2:$AZ$2,0)),Inputs!$B$2:$B$190,$B72)*Inputs!$D$1)</f>
        <v>0</v>
      </c>
      <c r="N72" s="58">
        <f>SUM(J72:M72)</f>
        <v>0</v>
      </c>
      <c r="O72" s="57">
        <f>IF(ISNA(SUMIFS(INDEX(Inputs!$B$2:$AZ$190,,MATCH(SUBSTITUTE(O$3,"Q","T"),Inputs!$B$2:$AZ$2,0)),Inputs!$B$2:$B$190,$B72)*Inputs!$D$1),"",SUMIFS(INDEX(Inputs!$B$2:$AZ$190,,MATCH(SUBSTITUTE(O$3,"Q","T"),Inputs!$B$2:$AZ$2,0)),Inputs!$B$2:$B$190,$B72)*Inputs!$D$1)</f>
        <v>0</v>
      </c>
      <c r="P72" s="57">
        <f>IF(ISNA(SUMIFS(INDEX(Inputs!$B$2:$AZ$190,,MATCH(SUBSTITUTE(P$3,"Q","T"),Inputs!$B$2:$AZ$2,0)),Inputs!$B$2:$B$190,$B72)*Inputs!$D$1),"",SUMIFS(INDEX(Inputs!$B$2:$AZ$190,,MATCH(SUBSTITUTE(P$3,"Q","T"),Inputs!$B$2:$AZ$2,0)),Inputs!$B$2:$B$190,$B72)*Inputs!$D$1)</f>
        <v>0</v>
      </c>
      <c r="Q72" s="57">
        <f>IF(ISNA(SUMIFS(INDEX(Inputs!$B$2:$AZ$190,,MATCH(SUBSTITUTE(Q$3,"Q","T"),Inputs!$B$2:$AZ$2,0)),Inputs!$B$2:$B$190,$B72)*Inputs!$D$1),"",SUMIFS(INDEX(Inputs!$B$2:$AZ$190,,MATCH(SUBSTITUTE(Q$3,"Q","T"),Inputs!$B$2:$AZ$2,0)),Inputs!$B$2:$B$190,$B72)*Inputs!$D$1)</f>
        <v>0</v>
      </c>
      <c r="R72" s="57">
        <f>IF(ISNA(SUMIFS(INDEX(Inputs!$B$2:$AZ$190,,MATCH(SUBSTITUTE(R$3,"Q","T"),Inputs!$B$2:$AZ$2,0)),Inputs!$B$2:$B$190,$B72)*Inputs!$D$1),"",SUMIFS(INDEX(Inputs!$B$2:$AZ$190,,MATCH(SUBSTITUTE(R$3,"Q","T"),Inputs!$B$2:$AZ$2,0)),Inputs!$B$2:$B$190,$B72)*Inputs!$D$1)</f>
        <v>0</v>
      </c>
      <c r="S72" s="58">
        <f>SUM(O72:R72)</f>
        <v>0</v>
      </c>
      <c r="T72" s="57">
        <f>IF(ISNA(SUMIFS(INDEX(Inputs!$B$2:$AZ$190,,MATCH(SUBSTITUTE(T$3,"Q","T"),Inputs!$B$2:$AZ$2,0)),Inputs!$B$2:$B$190,$B72)*Inputs!$D$1),"",SUMIFS(INDEX(Inputs!$B$2:$AZ$190,,MATCH(SUBSTITUTE(T$3,"Q","T"),Inputs!$B$2:$AZ$2,0)),Inputs!$B$2:$B$190,$B72)*Inputs!$D$1)</f>
        <v>0</v>
      </c>
      <c r="U72" s="57">
        <f>IF(ISNA(SUMIFS(INDEX(Inputs!$B$2:$AZ$190,,MATCH(SUBSTITUTE(U$3,"Q","T"),Inputs!$B$2:$AZ$2,0)),Inputs!$B$2:$B$190,$B72)*Inputs!$D$1),"",SUMIFS(INDEX(Inputs!$B$2:$AZ$190,,MATCH(SUBSTITUTE(U$3,"Q","T"),Inputs!$B$2:$AZ$2,0)),Inputs!$B$2:$B$190,$B72)*Inputs!$D$1)</f>
        <v>0</v>
      </c>
      <c r="V72" s="57">
        <f>IF(ISNA(SUMIFS(INDEX(Inputs!$B$2:$AZ$190,,MATCH(SUBSTITUTE(V$3,"Q","T"),Inputs!$B$2:$AZ$2,0)),Inputs!$B$2:$B$190,$B72)*Inputs!$D$1),"",SUMIFS(INDEX(Inputs!$B$2:$AZ$190,,MATCH(SUBSTITUTE(V$3,"Q","T"),Inputs!$B$2:$AZ$2,0)),Inputs!$B$2:$B$190,$B72)*Inputs!$D$1)</f>
        <v>0</v>
      </c>
      <c r="W72" s="57">
        <f>IF(ISNA(SUMIFS(INDEX(Inputs!$B$2:$AZ$190,,MATCH(SUBSTITUTE(W$3,"Q","T"),Inputs!$B$2:$AZ$2,0)),Inputs!$B$2:$B$190,$B72)*Inputs!$D$1),"",SUMIFS(INDEX(Inputs!$B$2:$AZ$190,,MATCH(SUBSTITUTE(W$3,"Q","T"),Inputs!$B$2:$AZ$2,0)),Inputs!$B$2:$B$190,$B72)*Inputs!$D$1)</f>
        <v>0</v>
      </c>
      <c r="X72" s="58">
        <f>SUM(T72:W72)</f>
        <v>0</v>
      </c>
      <c r="Y72" s="57">
        <f>IF(ISNA(SUMIFS(INDEX(Inputs!$B$2:$AZ$190,,MATCH(SUBSTITUTE(Y$3,"Q","T"),Inputs!$B$2:$AZ$2,0)),Inputs!$B$2:$B$190,$B72)*Inputs!$D$1),"",SUMIFS(INDEX(Inputs!$B$2:$AZ$190,,MATCH(SUBSTITUTE(Y$3,"Q","T"),Inputs!$B$2:$AZ$2,0)),Inputs!$B$2:$B$190,$B72)*Inputs!$D$1)</f>
        <v>0</v>
      </c>
      <c r="Z72" s="57">
        <f>IF(ISNA(SUMIFS(INDEX(Inputs!$B$2:$AZ$190,,MATCH(SUBSTITUTE(Z$3,"Q","T"),Inputs!$B$2:$AZ$2,0)),Inputs!$B$2:$B$190,$B72)*Inputs!$D$1),"",SUMIFS(INDEX(Inputs!$B$2:$AZ$190,,MATCH(SUBSTITUTE(Z$3,"Q","T"),Inputs!$B$2:$AZ$2,0)),Inputs!$B$2:$B$190,$B72)*Inputs!$D$1)</f>
        <v>0</v>
      </c>
      <c r="AA72" s="57">
        <f>IF(ISNA(SUMIFS(INDEX(Inputs!$B$2:$AZ$190,,MATCH(SUBSTITUTE(AA$3,"Q","T"),Inputs!$B$2:$AZ$2,0)),Inputs!$B$2:$B$190,$B72)*Inputs!$D$1),"",SUMIFS(INDEX(Inputs!$B$2:$AZ$190,,MATCH(SUBSTITUTE(AA$3,"Q","T"),Inputs!$B$2:$AZ$2,0)),Inputs!$B$2:$B$190,$B72)*Inputs!$D$1)</f>
        <v>0</v>
      </c>
      <c r="AB72" s="57">
        <f>IF(ISNA(SUMIFS(INDEX(Inputs!$B$2:$AZ$190,,MATCH(SUBSTITUTE(AB$3,"Q","T"),Inputs!$B$2:$AZ$2,0)),Inputs!$B$2:$B$190,$B72)*Inputs!$D$1),"",SUMIFS(INDEX(Inputs!$B$2:$AZ$190,,MATCH(SUBSTITUTE(AB$3,"Q","T"),Inputs!$B$2:$AZ$2,0)),Inputs!$B$2:$B$190,$B72)*Inputs!$D$1)</f>
        <v>0</v>
      </c>
      <c r="AC72" s="58">
        <f>SUM(Y72:AB72)</f>
        <v>0</v>
      </c>
      <c r="AD72" s="57">
        <f>IF(ISNA(SUMIFS(INDEX(Inputs!$B$2:$AZ$190,,MATCH(SUBSTITUTE(AD$3,"Q","T"),Inputs!$B$2:$AZ$2,0)),Inputs!$B$2:$B$190,$B72)*Inputs!$D$1),"",SUMIFS(INDEX(Inputs!$B$2:$AZ$190,,MATCH(SUBSTITUTE(AD$3,"Q","T"),Inputs!$B$2:$AZ$2,0)),Inputs!$B$2:$B$190,$B72)*Inputs!$D$1)</f>
        <v>0</v>
      </c>
      <c r="AE72" s="57">
        <f>IF(ISNA(SUMIFS(INDEX(Inputs!$B$2:$AZ$190,,MATCH(SUBSTITUTE(AE$3,"Q","T"),Inputs!$B$2:$AZ$2,0)),Inputs!$B$2:$B$190,$B72)*Inputs!$D$1),"",SUMIFS(INDEX(Inputs!$B$2:$AZ$190,,MATCH(SUBSTITUTE(AE$3,"Q","T"),Inputs!$B$2:$AZ$2,0)),Inputs!$B$2:$B$190,$B72)*Inputs!$D$1)</f>
        <v>0</v>
      </c>
      <c r="AF72" s="57">
        <f>IF(ISNA(SUMIFS(INDEX(Inputs!$B$2:$AZ$190,,MATCH(SUBSTITUTE(AF$3,"Q","T"),Inputs!$B$2:$AZ$2,0)),Inputs!$B$2:$B$190,$B72)*Inputs!$D$1),"",SUMIFS(INDEX(Inputs!$B$2:$AZ$190,,MATCH(SUBSTITUTE(AF$3,"Q","T"),Inputs!$B$2:$AZ$2,0)),Inputs!$B$2:$B$190,$B72)*Inputs!$D$1)</f>
        <v>0</v>
      </c>
      <c r="AG72" s="57">
        <f>IF(ISNA(SUMIFS(INDEX(Inputs!$B$2:$AZ$190,,MATCH(SUBSTITUTE(AG$3,"Q","T"),Inputs!$B$2:$AZ$2,0)),Inputs!$B$2:$B$190,$B72)*Inputs!$D$1),"",SUMIFS(INDEX(Inputs!$B$2:$AZ$190,,MATCH(SUBSTITUTE(AG$3,"Q","T"),Inputs!$B$2:$AZ$2,0)),Inputs!$B$2:$B$190,$B72)*Inputs!$D$1)</f>
        <v>0</v>
      </c>
      <c r="AH72" s="58">
        <f>SUM(AD72:AG72)</f>
        <v>0</v>
      </c>
      <c r="AI72" s="57">
        <f>IF(ISNA(SUMIFS(INDEX(Inputs!$B$2:$AZ$190,,MATCH(SUBSTITUTE(AI$3,"Q","T"),Inputs!$B$2:$AZ$2,0)),Inputs!$B$2:$B$190,$B72)*Inputs!$D$1),"",SUMIFS(INDEX(Inputs!$B$2:$AZ$190,,MATCH(SUBSTITUTE(AI$3,"Q","T"),Inputs!$B$2:$AZ$2,0)),Inputs!$B$2:$B$190,$B72)*Inputs!$D$1)</f>
        <v>0</v>
      </c>
      <c r="AJ72" s="57">
        <f>IF(ISNA(SUMIFS(INDEX(Inputs!$B$2:$AZ$190,,MATCH(SUBSTITUTE(AJ$3,"Q","T"),Inputs!$B$2:$AZ$2,0)),Inputs!$B$2:$B$190,$B72)*Inputs!$D$1),"",SUMIFS(INDEX(Inputs!$B$2:$AZ$190,,MATCH(SUBSTITUTE(AJ$3,"Q","T"),Inputs!$B$2:$AZ$2,0)),Inputs!$B$2:$B$190,$B72)*Inputs!$D$1)</f>
        <v>0</v>
      </c>
      <c r="AK72" s="57">
        <f>IF(ISNA(SUMIFS(INDEX(Inputs!$B$2:$AZ$190,,MATCH(SUBSTITUTE(AK$3,"Q","T"),Inputs!$B$2:$AZ$2,0)),Inputs!$B$2:$B$190,$B72)*Inputs!$D$1),"",SUMIFS(INDEX(Inputs!$B$2:$AZ$190,,MATCH(SUBSTITUTE(AK$3,"Q","T"),Inputs!$B$2:$AZ$2,0)),Inputs!$B$2:$B$190,$B72)*Inputs!$D$1)</f>
        <v>0</v>
      </c>
      <c r="AL72" s="57">
        <f>IF(ISNA(SUMIFS(INDEX(Inputs!$B$2:$AZ$190,,MATCH(SUBSTITUTE(AL$3,"Q","T"),Inputs!$B$2:$AZ$2,0)),Inputs!$B$2:$B$190,$B72)*Inputs!$D$1),"",SUMIFS(INDEX(Inputs!$B$2:$AZ$190,,MATCH(SUBSTITUTE(AL$3,"Q","T"),Inputs!$B$2:$AZ$2,0)),Inputs!$B$2:$B$190,$B72)*Inputs!$D$1)</f>
        <v>0</v>
      </c>
      <c r="AM72" s="58">
        <f>SUM(AI72:AL72)</f>
        <v>0</v>
      </c>
      <c r="AN72" s="57">
        <f>IF(ISNA(SUMIFS(INDEX(Inputs!$B$2:$AZ$190,,MATCH(SUBSTITUTE(AN$3,"Q","T"),Inputs!$B$2:$AZ$2,0)),Inputs!$B$2:$B$190,$B72)*Inputs!$D$1),"",SUMIFS(INDEX(Inputs!$B$2:$AZ$190,,MATCH(SUBSTITUTE(AN$3,"Q","T"),Inputs!$B$2:$AZ$2,0)),Inputs!$B$2:$B$190,$B72)*Inputs!$D$1)</f>
        <v>0</v>
      </c>
      <c r="AO72" s="57">
        <f>IF(ISNA(SUMIFS(INDEX(Inputs!$B$2:$AZ$190,,MATCH(SUBSTITUTE(AO$3,"Q","T"),Inputs!$B$2:$AZ$2,0)),Inputs!$B$2:$B$190,$B72)*Inputs!$D$1),"",SUMIFS(INDEX(Inputs!$B$2:$AZ$190,,MATCH(SUBSTITUTE(AO$3,"Q","T"),Inputs!$B$2:$AZ$2,0)),Inputs!$B$2:$B$190,$B72)*Inputs!$D$1)</f>
        <v>0</v>
      </c>
      <c r="AP72" s="57">
        <f>IF(ISNA(SUMIFS(INDEX(Inputs!$B$2:$AZ$190,,MATCH(SUBSTITUTE(AP$3,"Q","T"),Inputs!$B$2:$AZ$2,0)),Inputs!$B$2:$B$190,$B72)*Inputs!$D$1),"",SUMIFS(INDEX(Inputs!$B$2:$AZ$190,,MATCH(SUBSTITUTE(AP$3,"Q","T"),Inputs!$B$2:$AZ$2,0)),Inputs!$B$2:$B$190,$B72)*Inputs!$D$1)</f>
        <v>0</v>
      </c>
      <c r="AQ72" s="57">
        <f>IF(ISNA(SUMIFS(INDEX(Inputs!$B$2:$AZ$190,,MATCH(SUBSTITUTE(AQ$3,"Q","T"),Inputs!$B$2:$AZ$2,0)),Inputs!$B$2:$B$190,$B72)*Inputs!$D$1),"",SUMIFS(INDEX(Inputs!$B$2:$AZ$190,,MATCH(SUBSTITUTE(AQ$3,"Q","T"),Inputs!$B$2:$AZ$2,0)),Inputs!$B$2:$B$190,$B72)*Inputs!$D$1)</f>
        <v>0</v>
      </c>
      <c r="AR72" s="58">
        <f>SUM(AN72:AQ72)</f>
        <v>0</v>
      </c>
      <c r="AS72" s="57">
        <f>IF(ISNA(SUMIFS(INDEX(Inputs!$B$2:$AZ$190,,MATCH(SUBSTITUTE(AS$3,"Q","T"),Inputs!$B$2:$AZ$2,0)),Inputs!$B$2:$B$190,$B72)*Inputs!$D$1),"",SUMIFS(INDEX(Inputs!$B$2:$AZ$190,,MATCH(SUBSTITUTE(AS$3,"Q","T"),Inputs!$B$2:$AZ$2,0)),Inputs!$B$2:$B$190,$B72)*Inputs!$D$1)</f>
        <v>0</v>
      </c>
      <c r="AT72" s="57">
        <f>IF(ISNA(SUMIFS(INDEX(Inputs!$B$2:$AZ$190,,MATCH(SUBSTITUTE(AT$3,"Q","T"),Inputs!$B$2:$AZ$2,0)),Inputs!$B$2:$B$190,$B72)*Inputs!$D$1),"",SUMIFS(INDEX(Inputs!$B$2:$AZ$190,,MATCH(SUBSTITUTE(AT$3,"Q","T"),Inputs!$B$2:$AZ$2,0)),Inputs!$B$2:$B$190,$B72)*Inputs!$D$1)</f>
        <v>0</v>
      </c>
      <c r="AU72" s="57">
        <f>IF(ISNA(SUMIFS(INDEX(Inputs!$B$2:$AZ$190,,MATCH(SUBSTITUTE(AU$3,"Q","T"),Inputs!$B$2:$AZ$2,0)),Inputs!$B$2:$B$190,$B72)*Inputs!$D$1),"",SUMIFS(INDEX(Inputs!$B$2:$AZ$190,,MATCH(SUBSTITUTE(AU$3,"Q","T"),Inputs!$B$2:$AZ$2,0)),Inputs!$B$2:$B$190,$B72)*Inputs!$D$1)</f>
        <v>0</v>
      </c>
      <c r="AV72" s="57">
        <f>IF(ISNA(SUMIFS(INDEX(Inputs!$B$2:$AZ$190,,MATCH(SUBSTITUTE(AV$3,"Q","T"),Inputs!$B$2:$AZ$2,0)),Inputs!$B$2:$B$190,$B72)*Inputs!$D$1),"",SUMIFS(INDEX(Inputs!$B$2:$AZ$190,,MATCH(SUBSTITUTE(AV$3,"Q","T"),Inputs!$B$2:$AZ$2,0)),Inputs!$B$2:$B$190,$B72)*Inputs!$D$1)</f>
        <v>0</v>
      </c>
      <c r="AW72" s="58">
        <f>SUM(AS72:AV72)</f>
        <v>0</v>
      </c>
      <c r="AX72" s="57">
        <f>IF(ISNA(SUMIFS(INDEX(Inputs!$B$2:$AZ$190,,MATCH(SUBSTITUTE(AX$3,"Q","T"),Inputs!$B$2:$AZ$2,0)),Inputs!$B$2:$B$190,$B72)*Inputs!$D$1),"",SUMIFS(INDEX(Inputs!$B$2:$AZ$190,,MATCH(SUBSTITUTE(AX$3,"Q","T"),Inputs!$B$2:$AZ$2,0)),Inputs!$B$2:$B$190,$B72)*Inputs!$D$1)</f>
        <v>0</v>
      </c>
      <c r="AY72" s="57">
        <f>IF(ISNA(SUMIFS(INDEX(Inputs!$B$2:$AZ$190,,MATCH(SUBSTITUTE(AY$3,"Q","T"),Inputs!$B$2:$AZ$2,0)),Inputs!$B$2:$B$190,$B72)*Inputs!$D$1),"",SUMIFS(INDEX(Inputs!$B$2:$AZ$190,,MATCH(SUBSTITUTE(AY$3,"Q","T"),Inputs!$B$2:$AZ$2,0)),Inputs!$B$2:$B$190,$B72)*Inputs!$D$1)</f>
        <v>0</v>
      </c>
      <c r="AZ72" s="57">
        <f>IF(ISNA(SUMIFS(INDEX(Inputs!$B$2:$AZ$190,,MATCH(SUBSTITUTE(AZ$3,"Q","T"),Inputs!$B$2:$AZ$2,0)),Inputs!$B$2:$B$190,$B72)*Inputs!$D$1),"",SUMIFS(INDEX(Inputs!$B$2:$AZ$190,,MATCH(SUBSTITUTE(AZ$3,"Q","T"),Inputs!$B$2:$AZ$2,0)),Inputs!$B$2:$B$190,$B72)*Inputs!$D$1)</f>
        <v>0</v>
      </c>
      <c r="BA72" s="57">
        <f>IF(ISNA(SUMIFS(INDEX(Inputs!$B$2:$AZ$190,,MATCH(SUBSTITUTE(BA$3,"Q","T"),Inputs!$B$2:$AZ$2,0)),Inputs!$B$2:$B$190,$B72)*Inputs!$D$1),"",SUMIFS(INDEX(Inputs!$B$2:$AZ$190,,MATCH(SUBSTITUTE(BA$3,"Q","T"),Inputs!$B$2:$AZ$2,0)),Inputs!$B$2:$B$190,$B72)*Inputs!$D$1)</f>
        <v>0</v>
      </c>
      <c r="BB72" s="58">
        <f>SUM(AX72:BA72)</f>
        <v>0</v>
      </c>
      <c r="BC72" s="57">
        <f>IF(ISNA(SUMIFS(INDEX(Inputs!$B$2:$AZ$190,,MATCH(SUBSTITUTE(BC$3,"Q","T"),Inputs!$B$2:$AZ$2,0)),Inputs!$B$2:$B$190,$B72)*Inputs!$D$1),"",SUMIFS(INDEX(Inputs!$B$2:$AZ$190,,MATCH(SUBSTITUTE(BC$3,"Q","T"),Inputs!$B$2:$AZ$2,0)),Inputs!$B$2:$B$190,$B72)*Inputs!$D$1)</f>
        <v>0</v>
      </c>
      <c r="BD72" s="57">
        <f>IF(ISNA(SUMIFS(INDEX(Inputs!$B$2:$AZ$190,,MATCH(SUBSTITUTE(BD$3,"Q","T"),Inputs!$B$2:$AZ$2,0)),Inputs!$B$2:$B$190,$B72)*Inputs!$D$1),"",SUMIFS(INDEX(Inputs!$B$2:$AZ$190,,MATCH(SUBSTITUTE(BD$3,"Q","T"),Inputs!$B$2:$AZ$2,0)),Inputs!$B$2:$B$190,$B72)*Inputs!$D$1)</f>
        <v>0</v>
      </c>
      <c r="BE72" s="57">
        <f>IF(ISNA(SUMIFS(INDEX(Inputs!$B$2:$AZ$190,,MATCH(SUBSTITUTE(BE$3,"Q","T"),Inputs!$B$2:$AZ$2,0)),Inputs!$B$2:$B$190,$B72)*Inputs!$D$1),"",SUMIFS(INDEX(Inputs!$B$2:$AZ$190,,MATCH(SUBSTITUTE(BE$3,"Q","T"),Inputs!$B$2:$AZ$2,0)),Inputs!$B$2:$B$190,$B72)*Inputs!$D$1)</f>
        <v>0</v>
      </c>
      <c r="BF72" s="57">
        <f>IF(ISNA(SUMIFS(INDEX(Inputs!$B$2:$AZ$190,,MATCH(SUBSTITUTE(BF$3,"Q","T"),Inputs!$B$2:$AZ$2,0)),Inputs!$B$2:$B$190,$B72)*Inputs!$D$1),"",SUMIFS(INDEX(Inputs!$B$2:$AZ$190,,MATCH(SUBSTITUTE(BF$3,"Q","T"),Inputs!$B$2:$AZ$2,0)),Inputs!$B$2:$B$190,$B72)*Inputs!$D$1)</f>
        <v>0</v>
      </c>
      <c r="BG72" s="58">
        <f>SUM(BC72:BF72)</f>
        <v>0</v>
      </c>
    </row>
    <row r="73" hidden="1" outlineLevel="1">
      <c r="B73" s="56" t="inlineStr">
        <is>
          <t>ii_sec</t>
        </is>
      </c>
      <c r="C73" s="61" t="inlineStr">
        <is>
          <t>Juros de títulos e ativos de trading</t>
        </is>
      </c>
      <c r="D73" s="62" t="inlineStr">
        <is>
          <t>Interest income — securities and trading assets</t>
        </is>
      </c>
      <c r="E73" s="57">
        <f>IF(ISNA(SUMIFS(INDEX(Inputs!$B$2:$AZ$190,,MATCH(SUBSTITUTE(E$3,"Q","T"),Inputs!$B$2:$AZ$2,0)),Inputs!$B$2:$B$190,$B73)*Inputs!$D$1),"",SUMIFS(INDEX(Inputs!$B$2:$AZ$190,,MATCH(SUBSTITUTE(E$3,"Q","T"),Inputs!$B$2:$AZ$2,0)),Inputs!$B$2:$B$190,$B73)*Inputs!$D$1)</f>
        <v>0</v>
      </c>
      <c r="F73" s="57">
        <f>IF(ISNA(SUMIFS(INDEX(Inputs!$B$2:$AZ$190,,MATCH(SUBSTITUTE(F$3,"Q","T"),Inputs!$B$2:$AZ$2,0)),Inputs!$B$2:$B$190,$B73)*Inputs!$D$1),"",SUMIFS(INDEX(Inputs!$B$2:$AZ$190,,MATCH(SUBSTITUTE(F$3,"Q","T"),Inputs!$B$2:$AZ$2,0)),Inputs!$B$2:$B$190,$B73)*Inputs!$D$1)</f>
        <v>0</v>
      </c>
      <c r="G73" s="57">
        <f>IF(ISNA(SUMIFS(INDEX(Inputs!$B$2:$AZ$190,,MATCH(SUBSTITUTE(G$3,"Q","T"),Inputs!$B$2:$AZ$2,0)),Inputs!$B$2:$B$190,$B73)*Inputs!$D$1),"",SUMIFS(INDEX(Inputs!$B$2:$AZ$190,,MATCH(SUBSTITUTE(G$3,"Q","T"),Inputs!$B$2:$AZ$2,0)),Inputs!$B$2:$B$190,$B73)*Inputs!$D$1)</f>
        <v>0</v>
      </c>
      <c r="H73" s="57">
        <f>IF(ISNA(SUMIFS(INDEX(Inputs!$B$2:$AZ$190,,MATCH(SUBSTITUTE(H$3,"Q","T"),Inputs!$B$2:$AZ$2,0)),Inputs!$B$2:$B$190,$B73)*Inputs!$D$1),"",SUMIFS(INDEX(Inputs!$B$2:$AZ$190,,MATCH(SUBSTITUTE(H$3,"Q","T"),Inputs!$B$2:$AZ$2,0)),Inputs!$B$2:$B$190,$B73)*Inputs!$D$1)</f>
        <v>0</v>
      </c>
      <c r="I73" s="58">
        <f>SUM(E73:H73)</f>
        <v>0</v>
      </c>
      <c r="J73" s="57">
        <f>IF(ISNA(SUMIFS(INDEX(Inputs!$B$2:$AZ$190,,MATCH(SUBSTITUTE(J$3,"Q","T"),Inputs!$B$2:$AZ$2,0)),Inputs!$B$2:$B$190,$B73)*Inputs!$D$1),"",SUMIFS(INDEX(Inputs!$B$2:$AZ$190,,MATCH(SUBSTITUTE(J$3,"Q","T"),Inputs!$B$2:$AZ$2,0)),Inputs!$B$2:$B$190,$B73)*Inputs!$D$1)</f>
        <v>0</v>
      </c>
      <c r="K73" s="57">
        <f>IF(ISNA(SUMIFS(INDEX(Inputs!$B$2:$AZ$190,,MATCH(SUBSTITUTE(K$3,"Q","T"),Inputs!$B$2:$AZ$2,0)),Inputs!$B$2:$B$190,$B73)*Inputs!$D$1),"",SUMIFS(INDEX(Inputs!$B$2:$AZ$190,,MATCH(SUBSTITUTE(K$3,"Q","T"),Inputs!$B$2:$AZ$2,0)),Inputs!$B$2:$B$190,$B73)*Inputs!$D$1)</f>
        <v>0</v>
      </c>
      <c r="L73" s="57">
        <f>IF(ISNA(SUMIFS(INDEX(Inputs!$B$2:$AZ$190,,MATCH(SUBSTITUTE(L$3,"Q","T"),Inputs!$B$2:$AZ$2,0)),Inputs!$B$2:$B$190,$B73)*Inputs!$D$1),"",SUMIFS(INDEX(Inputs!$B$2:$AZ$190,,MATCH(SUBSTITUTE(L$3,"Q","T"),Inputs!$B$2:$AZ$2,0)),Inputs!$B$2:$B$190,$B73)*Inputs!$D$1)</f>
        <v>0</v>
      </c>
      <c r="M73" s="57">
        <f>IF(ISNA(SUMIFS(INDEX(Inputs!$B$2:$AZ$190,,MATCH(SUBSTITUTE(M$3,"Q","T"),Inputs!$B$2:$AZ$2,0)),Inputs!$B$2:$B$190,$B73)*Inputs!$D$1),"",SUMIFS(INDEX(Inputs!$B$2:$AZ$190,,MATCH(SUBSTITUTE(M$3,"Q","T"),Inputs!$B$2:$AZ$2,0)),Inputs!$B$2:$B$190,$B73)*Inputs!$D$1)</f>
        <v>0</v>
      </c>
      <c r="N73" s="58">
        <f>SUM(J73:M73)</f>
        <v>0</v>
      </c>
      <c r="O73" s="57">
        <f>IF(ISNA(SUMIFS(INDEX(Inputs!$B$2:$AZ$190,,MATCH(SUBSTITUTE(O$3,"Q","T"),Inputs!$B$2:$AZ$2,0)),Inputs!$B$2:$B$190,$B73)*Inputs!$D$1),"",SUMIFS(INDEX(Inputs!$B$2:$AZ$190,,MATCH(SUBSTITUTE(O$3,"Q","T"),Inputs!$B$2:$AZ$2,0)),Inputs!$B$2:$B$190,$B73)*Inputs!$D$1)</f>
        <v>0</v>
      </c>
      <c r="P73" s="57">
        <f>IF(ISNA(SUMIFS(INDEX(Inputs!$B$2:$AZ$190,,MATCH(SUBSTITUTE(P$3,"Q","T"),Inputs!$B$2:$AZ$2,0)),Inputs!$B$2:$B$190,$B73)*Inputs!$D$1),"",SUMIFS(INDEX(Inputs!$B$2:$AZ$190,,MATCH(SUBSTITUTE(P$3,"Q","T"),Inputs!$B$2:$AZ$2,0)),Inputs!$B$2:$B$190,$B73)*Inputs!$D$1)</f>
        <v>0</v>
      </c>
      <c r="Q73" s="57">
        <f>IF(ISNA(SUMIFS(INDEX(Inputs!$B$2:$AZ$190,,MATCH(SUBSTITUTE(Q$3,"Q","T"),Inputs!$B$2:$AZ$2,0)),Inputs!$B$2:$B$190,$B73)*Inputs!$D$1),"",SUMIFS(INDEX(Inputs!$B$2:$AZ$190,,MATCH(SUBSTITUTE(Q$3,"Q","T"),Inputs!$B$2:$AZ$2,0)),Inputs!$B$2:$B$190,$B73)*Inputs!$D$1)</f>
        <v>0</v>
      </c>
      <c r="R73" s="57">
        <f>IF(ISNA(SUMIFS(INDEX(Inputs!$B$2:$AZ$190,,MATCH(SUBSTITUTE(R$3,"Q","T"),Inputs!$B$2:$AZ$2,0)),Inputs!$B$2:$B$190,$B73)*Inputs!$D$1),"",SUMIFS(INDEX(Inputs!$B$2:$AZ$190,,MATCH(SUBSTITUTE(R$3,"Q","T"),Inputs!$B$2:$AZ$2,0)),Inputs!$B$2:$B$190,$B73)*Inputs!$D$1)</f>
        <v>0</v>
      </c>
      <c r="S73" s="58">
        <f>SUM(O73:R73)</f>
        <v>0</v>
      </c>
      <c r="T73" s="57">
        <f>IF(ISNA(SUMIFS(INDEX(Inputs!$B$2:$AZ$190,,MATCH(SUBSTITUTE(T$3,"Q","T"),Inputs!$B$2:$AZ$2,0)),Inputs!$B$2:$B$190,$B73)*Inputs!$D$1),"",SUMIFS(INDEX(Inputs!$B$2:$AZ$190,,MATCH(SUBSTITUTE(T$3,"Q","T"),Inputs!$B$2:$AZ$2,0)),Inputs!$B$2:$B$190,$B73)*Inputs!$D$1)</f>
        <v>0</v>
      </c>
      <c r="U73" s="57">
        <f>IF(ISNA(SUMIFS(INDEX(Inputs!$B$2:$AZ$190,,MATCH(SUBSTITUTE(U$3,"Q","T"),Inputs!$B$2:$AZ$2,0)),Inputs!$B$2:$B$190,$B73)*Inputs!$D$1),"",SUMIFS(INDEX(Inputs!$B$2:$AZ$190,,MATCH(SUBSTITUTE(U$3,"Q","T"),Inputs!$B$2:$AZ$2,0)),Inputs!$B$2:$B$190,$B73)*Inputs!$D$1)</f>
        <v>0</v>
      </c>
      <c r="V73" s="57">
        <f>IF(ISNA(SUMIFS(INDEX(Inputs!$B$2:$AZ$190,,MATCH(SUBSTITUTE(V$3,"Q","T"),Inputs!$B$2:$AZ$2,0)),Inputs!$B$2:$B$190,$B73)*Inputs!$D$1),"",SUMIFS(INDEX(Inputs!$B$2:$AZ$190,,MATCH(SUBSTITUTE(V$3,"Q","T"),Inputs!$B$2:$AZ$2,0)),Inputs!$B$2:$B$190,$B73)*Inputs!$D$1)</f>
        <v>0</v>
      </c>
      <c r="W73" s="57">
        <f>IF(ISNA(SUMIFS(INDEX(Inputs!$B$2:$AZ$190,,MATCH(SUBSTITUTE(W$3,"Q","T"),Inputs!$B$2:$AZ$2,0)),Inputs!$B$2:$B$190,$B73)*Inputs!$D$1),"",SUMIFS(INDEX(Inputs!$B$2:$AZ$190,,MATCH(SUBSTITUTE(W$3,"Q","T"),Inputs!$B$2:$AZ$2,0)),Inputs!$B$2:$B$190,$B73)*Inputs!$D$1)</f>
        <v>0</v>
      </c>
      <c r="X73" s="58">
        <f>SUM(T73:W73)</f>
        <v>0</v>
      </c>
      <c r="Y73" s="57">
        <f>IF(ISNA(SUMIFS(INDEX(Inputs!$B$2:$AZ$190,,MATCH(SUBSTITUTE(Y$3,"Q","T"),Inputs!$B$2:$AZ$2,0)),Inputs!$B$2:$B$190,$B73)*Inputs!$D$1),"",SUMIFS(INDEX(Inputs!$B$2:$AZ$190,,MATCH(SUBSTITUTE(Y$3,"Q","T"),Inputs!$B$2:$AZ$2,0)),Inputs!$B$2:$B$190,$B73)*Inputs!$D$1)</f>
        <v>0</v>
      </c>
      <c r="Z73" s="57">
        <f>IF(ISNA(SUMIFS(INDEX(Inputs!$B$2:$AZ$190,,MATCH(SUBSTITUTE(Z$3,"Q","T"),Inputs!$B$2:$AZ$2,0)),Inputs!$B$2:$B$190,$B73)*Inputs!$D$1),"",SUMIFS(INDEX(Inputs!$B$2:$AZ$190,,MATCH(SUBSTITUTE(Z$3,"Q","T"),Inputs!$B$2:$AZ$2,0)),Inputs!$B$2:$B$190,$B73)*Inputs!$D$1)</f>
        <v>0</v>
      </c>
      <c r="AA73" s="57">
        <f>IF(ISNA(SUMIFS(INDEX(Inputs!$B$2:$AZ$190,,MATCH(SUBSTITUTE(AA$3,"Q","T"),Inputs!$B$2:$AZ$2,0)),Inputs!$B$2:$B$190,$B73)*Inputs!$D$1),"",SUMIFS(INDEX(Inputs!$B$2:$AZ$190,,MATCH(SUBSTITUTE(AA$3,"Q","T"),Inputs!$B$2:$AZ$2,0)),Inputs!$B$2:$B$190,$B73)*Inputs!$D$1)</f>
        <v>0</v>
      </c>
      <c r="AB73" s="57">
        <f>IF(ISNA(SUMIFS(INDEX(Inputs!$B$2:$AZ$190,,MATCH(SUBSTITUTE(AB$3,"Q","T"),Inputs!$B$2:$AZ$2,0)),Inputs!$B$2:$B$190,$B73)*Inputs!$D$1),"",SUMIFS(INDEX(Inputs!$B$2:$AZ$190,,MATCH(SUBSTITUTE(AB$3,"Q","T"),Inputs!$B$2:$AZ$2,0)),Inputs!$B$2:$B$190,$B73)*Inputs!$D$1)</f>
        <v>0</v>
      </c>
      <c r="AC73" s="58">
        <f>SUM(Y73:AB73)</f>
        <v>0</v>
      </c>
      <c r="AD73" s="57">
        <f>IF(ISNA(SUMIFS(INDEX(Inputs!$B$2:$AZ$190,,MATCH(SUBSTITUTE(AD$3,"Q","T"),Inputs!$B$2:$AZ$2,0)),Inputs!$B$2:$B$190,$B73)*Inputs!$D$1),"",SUMIFS(INDEX(Inputs!$B$2:$AZ$190,,MATCH(SUBSTITUTE(AD$3,"Q","T"),Inputs!$B$2:$AZ$2,0)),Inputs!$B$2:$B$190,$B73)*Inputs!$D$1)</f>
        <v>0</v>
      </c>
      <c r="AE73" s="57">
        <f>IF(ISNA(SUMIFS(INDEX(Inputs!$B$2:$AZ$190,,MATCH(SUBSTITUTE(AE$3,"Q","T"),Inputs!$B$2:$AZ$2,0)),Inputs!$B$2:$B$190,$B73)*Inputs!$D$1),"",SUMIFS(INDEX(Inputs!$B$2:$AZ$190,,MATCH(SUBSTITUTE(AE$3,"Q","T"),Inputs!$B$2:$AZ$2,0)),Inputs!$B$2:$B$190,$B73)*Inputs!$D$1)</f>
        <v>0</v>
      </c>
      <c r="AF73" s="57">
        <f>IF(ISNA(SUMIFS(INDEX(Inputs!$B$2:$AZ$190,,MATCH(SUBSTITUTE(AF$3,"Q","T"),Inputs!$B$2:$AZ$2,0)),Inputs!$B$2:$B$190,$B73)*Inputs!$D$1),"",SUMIFS(INDEX(Inputs!$B$2:$AZ$190,,MATCH(SUBSTITUTE(AF$3,"Q","T"),Inputs!$B$2:$AZ$2,0)),Inputs!$B$2:$B$190,$B73)*Inputs!$D$1)</f>
        <v>0</v>
      </c>
      <c r="AG73" s="57">
        <f>IF(ISNA(SUMIFS(INDEX(Inputs!$B$2:$AZ$190,,MATCH(SUBSTITUTE(AG$3,"Q","T"),Inputs!$B$2:$AZ$2,0)),Inputs!$B$2:$B$190,$B73)*Inputs!$D$1),"",SUMIFS(INDEX(Inputs!$B$2:$AZ$190,,MATCH(SUBSTITUTE(AG$3,"Q","T"),Inputs!$B$2:$AZ$2,0)),Inputs!$B$2:$B$190,$B73)*Inputs!$D$1)</f>
        <v>0</v>
      </c>
      <c r="AH73" s="58">
        <f>SUM(AD73:AG73)</f>
        <v>0</v>
      </c>
      <c r="AI73" s="57">
        <f>IF(ISNA(SUMIFS(INDEX(Inputs!$B$2:$AZ$190,,MATCH(SUBSTITUTE(AI$3,"Q","T"),Inputs!$B$2:$AZ$2,0)),Inputs!$B$2:$B$190,$B73)*Inputs!$D$1),"",SUMIFS(INDEX(Inputs!$B$2:$AZ$190,,MATCH(SUBSTITUTE(AI$3,"Q","T"),Inputs!$B$2:$AZ$2,0)),Inputs!$B$2:$B$190,$B73)*Inputs!$D$1)</f>
        <v>0</v>
      </c>
      <c r="AJ73" s="57">
        <f>IF(ISNA(SUMIFS(INDEX(Inputs!$B$2:$AZ$190,,MATCH(SUBSTITUTE(AJ$3,"Q","T"),Inputs!$B$2:$AZ$2,0)),Inputs!$B$2:$B$190,$B73)*Inputs!$D$1),"",SUMIFS(INDEX(Inputs!$B$2:$AZ$190,,MATCH(SUBSTITUTE(AJ$3,"Q","T"),Inputs!$B$2:$AZ$2,0)),Inputs!$B$2:$B$190,$B73)*Inputs!$D$1)</f>
        <v>0</v>
      </c>
      <c r="AK73" s="57">
        <f>IF(ISNA(SUMIFS(INDEX(Inputs!$B$2:$AZ$190,,MATCH(SUBSTITUTE(AK$3,"Q","T"),Inputs!$B$2:$AZ$2,0)),Inputs!$B$2:$B$190,$B73)*Inputs!$D$1),"",SUMIFS(INDEX(Inputs!$B$2:$AZ$190,,MATCH(SUBSTITUTE(AK$3,"Q","T"),Inputs!$B$2:$AZ$2,0)),Inputs!$B$2:$B$190,$B73)*Inputs!$D$1)</f>
        <v>0</v>
      </c>
      <c r="AL73" s="57">
        <f>IF(ISNA(SUMIFS(INDEX(Inputs!$B$2:$AZ$190,,MATCH(SUBSTITUTE(AL$3,"Q","T"),Inputs!$B$2:$AZ$2,0)),Inputs!$B$2:$B$190,$B73)*Inputs!$D$1),"",SUMIFS(INDEX(Inputs!$B$2:$AZ$190,,MATCH(SUBSTITUTE(AL$3,"Q","T"),Inputs!$B$2:$AZ$2,0)),Inputs!$B$2:$B$190,$B73)*Inputs!$D$1)</f>
        <v>0</v>
      </c>
      <c r="AM73" s="58">
        <f>SUM(AI73:AL73)</f>
        <v>0</v>
      </c>
      <c r="AN73" s="57">
        <f>IF(ISNA(SUMIFS(INDEX(Inputs!$B$2:$AZ$190,,MATCH(SUBSTITUTE(AN$3,"Q","T"),Inputs!$B$2:$AZ$2,0)),Inputs!$B$2:$B$190,$B73)*Inputs!$D$1),"",SUMIFS(INDEX(Inputs!$B$2:$AZ$190,,MATCH(SUBSTITUTE(AN$3,"Q","T"),Inputs!$B$2:$AZ$2,0)),Inputs!$B$2:$B$190,$B73)*Inputs!$D$1)</f>
        <v>0</v>
      </c>
      <c r="AO73" s="57">
        <f>IF(ISNA(SUMIFS(INDEX(Inputs!$B$2:$AZ$190,,MATCH(SUBSTITUTE(AO$3,"Q","T"),Inputs!$B$2:$AZ$2,0)),Inputs!$B$2:$B$190,$B73)*Inputs!$D$1),"",SUMIFS(INDEX(Inputs!$B$2:$AZ$190,,MATCH(SUBSTITUTE(AO$3,"Q","T"),Inputs!$B$2:$AZ$2,0)),Inputs!$B$2:$B$190,$B73)*Inputs!$D$1)</f>
        <v>0</v>
      </c>
      <c r="AP73" s="57">
        <f>IF(ISNA(SUMIFS(INDEX(Inputs!$B$2:$AZ$190,,MATCH(SUBSTITUTE(AP$3,"Q","T"),Inputs!$B$2:$AZ$2,0)),Inputs!$B$2:$B$190,$B73)*Inputs!$D$1),"",SUMIFS(INDEX(Inputs!$B$2:$AZ$190,,MATCH(SUBSTITUTE(AP$3,"Q","T"),Inputs!$B$2:$AZ$2,0)),Inputs!$B$2:$B$190,$B73)*Inputs!$D$1)</f>
        <v>0</v>
      </c>
      <c r="AQ73" s="57">
        <f>IF(ISNA(SUMIFS(INDEX(Inputs!$B$2:$AZ$190,,MATCH(SUBSTITUTE(AQ$3,"Q","T"),Inputs!$B$2:$AZ$2,0)),Inputs!$B$2:$B$190,$B73)*Inputs!$D$1),"",SUMIFS(INDEX(Inputs!$B$2:$AZ$190,,MATCH(SUBSTITUTE(AQ$3,"Q","T"),Inputs!$B$2:$AZ$2,0)),Inputs!$B$2:$B$190,$B73)*Inputs!$D$1)</f>
        <v>0</v>
      </c>
      <c r="AR73" s="58">
        <f>SUM(AN73:AQ73)</f>
        <v>0</v>
      </c>
      <c r="AS73" s="57">
        <f>IF(ISNA(SUMIFS(INDEX(Inputs!$B$2:$AZ$190,,MATCH(SUBSTITUTE(AS$3,"Q","T"),Inputs!$B$2:$AZ$2,0)),Inputs!$B$2:$B$190,$B73)*Inputs!$D$1),"",SUMIFS(INDEX(Inputs!$B$2:$AZ$190,,MATCH(SUBSTITUTE(AS$3,"Q","T"),Inputs!$B$2:$AZ$2,0)),Inputs!$B$2:$B$190,$B73)*Inputs!$D$1)</f>
        <v>0</v>
      </c>
      <c r="AT73" s="57">
        <f>IF(ISNA(SUMIFS(INDEX(Inputs!$B$2:$AZ$190,,MATCH(SUBSTITUTE(AT$3,"Q","T"),Inputs!$B$2:$AZ$2,0)),Inputs!$B$2:$B$190,$B73)*Inputs!$D$1),"",SUMIFS(INDEX(Inputs!$B$2:$AZ$190,,MATCH(SUBSTITUTE(AT$3,"Q","T"),Inputs!$B$2:$AZ$2,0)),Inputs!$B$2:$B$190,$B73)*Inputs!$D$1)</f>
        <v>0</v>
      </c>
      <c r="AU73" s="57">
        <f>IF(ISNA(SUMIFS(INDEX(Inputs!$B$2:$AZ$190,,MATCH(SUBSTITUTE(AU$3,"Q","T"),Inputs!$B$2:$AZ$2,0)),Inputs!$B$2:$B$190,$B73)*Inputs!$D$1),"",SUMIFS(INDEX(Inputs!$B$2:$AZ$190,,MATCH(SUBSTITUTE(AU$3,"Q","T"),Inputs!$B$2:$AZ$2,0)),Inputs!$B$2:$B$190,$B73)*Inputs!$D$1)</f>
        <v>0</v>
      </c>
      <c r="AV73" s="57">
        <f>IF(ISNA(SUMIFS(INDEX(Inputs!$B$2:$AZ$190,,MATCH(SUBSTITUTE(AV$3,"Q","T"),Inputs!$B$2:$AZ$2,0)),Inputs!$B$2:$B$190,$B73)*Inputs!$D$1),"",SUMIFS(INDEX(Inputs!$B$2:$AZ$190,,MATCH(SUBSTITUTE(AV$3,"Q","T"),Inputs!$B$2:$AZ$2,0)),Inputs!$B$2:$B$190,$B73)*Inputs!$D$1)</f>
        <v>0</v>
      </c>
      <c r="AW73" s="58">
        <f>SUM(AS73:AV73)</f>
        <v>0</v>
      </c>
      <c r="AX73" s="57">
        <f>IF(ISNA(SUMIFS(INDEX(Inputs!$B$2:$AZ$190,,MATCH(SUBSTITUTE(AX$3,"Q","T"),Inputs!$B$2:$AZ$2,0)),Inputs!$B$2:$B$190,$B73)*Inputs!$D$1),"",SUMIFS(INDEX(Inputs!$B$2:$AZ$190,,MATCH(SUBSTITUTE(AX$3,"Q","T"),Inputs!$B$2:$AZ$2,0)),Inputs!$B$2:$B$190,$B73)*Inputs!$D$1)</f>
        <v>0</v>
      </c>
      <c r="AY73" s="57">
        <f>IF(ISNA(SUMIFS(INDEX(Inputs!$B$2:$AZ$190,,MATCH(SUBSTITUTE(AY$3,"Q","T"),Inputs!$B$2:$AZ$2,0)),Inputs!$B$2:$B$190,$B73)*Inputs!$D$1),"",SUMIFS(INDEX(Inputs!$B$2:$AZ$190,,MATCH(SUBSTITUTE(AY$3,"Q","T"),Inputs!$B$2:$AZ$2,0)),Inputs!$B$2:$B$190,$B73)*Inputs!$D$1)</f>
        <v>0</v>
      </c>
      <c r="AZ73" s="57">
        <f>IF(ISNA(SUMIFS(INDEX(Inputs!$B$2:$AZ$190,,MATCH(SUBSTITUTE(AZ$3,"Q","T"),Inputs!$B$2:$AZ$2,0)),Inputs!$B$2:$B$190,$B73)*Inputs!$D$1),"",SUMIFS(INDEX(Inputs!$B$2:$AZ$190,,MATCH(SUBSTITUTE(AZ$3,"Q","T"),Inputs!$B$2:$AZ$2,0)),Inputs!$B$2:$B$190,$B73)*Inputs!$D$1)</f>
        <v>0</v>
      </c>
      <c r="BA73" s="57">
        <f>IF(ISNA(SUMIFS(INDEX(Inputs!$B$2:$AZ$190,,MATCH(SUBSTITUTE(BA$3,"Q","T"),Inputs!$B$2:$AZ$2,0)),Inputs!$B$2:$B$190,$B73)*Inputs!$D$1),"",SUMIFS(INDEX(Inputs!$B$2:$AZ$190,,MATCH(SUBSTITUTE(BA$3,"Q","T"),Inputs!$B$2:$AZ$2,0)),Inputs!$B$2:$B$190,$B73)*Inputs!$D$1)</f>
        <v>0</v>
      </c>
      <c r="BB73" s="58">
        <f>SUM(AX73:BA73)</f>
        <v>0</v>
      </c>
      <c r="BC73" s="57">
        <f>IF(ISNA(SUMIFS(INDEX(Inputs!$B$2:$AZ$190,,MATCH(SUBSTITUTE(BC$3,"Q","T"),Inputs!$B$2:$AZ$2,0)),Inputs!$B$2:$B$190,$B73)*Inputs!$D$1),"",SUMIFS(INDEX(Inputs!$B$2:$AZ$190,,MATCH(SUBSTITUTE(BC$3,"Q","T"),Inputs!$B$2:$AZ$2,0)),Inputs!$B$2:$B$190,$B73)*Inputs!$D$1)</f>
        <v>0</v>
      </c>
      <c r="BD73" s="57">
        <f>IF(ISNA(SUMIFS(INDEX(Inputs!$B$2:$AZ$190,,MATCH(SUBSTITUTE(BD$3,"Q","T"),Inputs!$B$2:$AZ$2,0)),Inputs!$B$2:$B$190,$B73)*Inputs!$D$1),"",SUMIFS(INDEX(Inputs!$B$2:$AZ$190,,MATCH(SUBSTITUTE(BD$3,"Q","T"),Inputs!$B$2:$AZ$2,0)),Inputs!$B$2:$B$190,$B73)*Inputs!$D$1)</f>
        <v>0</v>
      </c>
      <c r="BE73" s="57">
        <f>IF(ISNA(SUMIFS(INDEX(Inputs!$B$2:$AZ$190,,MATCH(SUBSTITUTE(BE$3,"Q","T"),Inputs!$B$2:$AZ$2,0)),Inputs!$B$2:$B$190,$B73)*Inputs!$D$1),"",SUMIFS(INDEX(Inputs!$B$2:$AZ$190,,MATCH(SUBSTITUTE(BE$3,"Q","T"),Inputs!$B$2:$AZ$2,0)),Inputs!$B$2:$B$190,$B73)*Inputs!$D$1)</f>
        <v>0</v>
      </c>
      <c r="BF73" s="57">
        <f>IF(ISNA(SUMIFS(INDEX(Inputs!$B$2:$AZ$190,,MATCH(SUBSTITUTE(BF$3,"Q","T"),Inputs!$B$2:$AZ$2,0)),Inputs!$B$2:$B$190,$B73)*Inputs!$D$1),"",SUMIFS(INDEX(Inputs!$B$2:$AZ$190,,MATCH(SUBSTITUTE(BF$3,"Q","T"),Inputs!$B$2:$AZ$2,0)),Inputs!$B$2:$B$190,$B73)*Inputs!$D$1)</f>
        <v>0</v>
      </c>
      <c r="BG73" s="58">
        <f>SUM(BC73:BF73)</f>
        <v>0</v>
      </c>
    </row>
    <row r="74" hidden="1" outlineLevel="1">
      <c r="B74" s="56" t="inlineStr">
        <is>
          <t>ii_repo</t>
        </is>
      </c>
      <c r="C74" s="61" t="inlineStr">
        <is>
          <t>Juros de compromissadas reversas e securities borrowed</t>
        </is>
      </c>
      <c r="D74" s="62" t="inlineStr">
        <is>
          <t>Interest income — resale agreements and securities borrowed</t>
        </is>
      </c>
      <c r="E74" s="57">
        <f>IF(ISNA(SUMIFS(INDEX(Inputs!$B$2:$AZ$190,,MATCH(SUBSTITUTE(E$3,"Q","T"),Inputs!$B$2:$AZ$2,0)),Inputs!$B$2:$B$190,$B74)*Inputs!$D$1),"",SUMIFS(INDEX(Inputs!$B$2:$AZ$190,,MATCH(SUBSTITUTE(E$3,"Q","T"),Inputs!$B$2:$AZ$2,0)),Inputs!$B$2:$B$190,$B74)*Inputs!$D$1)</f>
        <v>0</v>
      </c>
      <c r="F74" s="57">
        <f>IF(ISNA(SUMIFS(INDEX(Inputs!$B$2:$AZ$190,,MATCH(SUBSTITUTE(F$3,"Q","T"),Inputs!$B$2:$AZ$2,0)),Inputs!$B$2:$B$190,$B74)*Inputs!$D$1),"",SUMIFS(INDEX(Inputs!$B$2:$AZ$190,,MATCH(SUBSTITUTE(F$3,"Q","T"),Inputs!$B$2:$AZ$2,0)),Inputs!$B$2:$B$190,$B74)*Inputs!$D$1)</f>
        <v>0</v>
      </c>
      <c r="G74" s="57">
        <f>IF(ISNA(SUMIFS(INDEX(Inputs!$B$2:$AZ$190,,MATCH(SUBSTITUTE(G$3,"Q","T"),Inputs!$B$2:$AZ$2,0)),Inputs!$B$2:$B$190,$B74)*Inputs!$D$1),"",SUMIFS(INDEX(Inputs!$B$2:$AZ$190,,MATCH(SUBSTITUTE(G$3,"Q","T"),Inputs!$B$2:$AZ$2,0)),Inputs!$B$2:$B$190,$B74)*Inputs!$D$1)</f>
        <v>0</v>
      </c>
      <c r="H74" s="57">
        <f>IF(ISNA(SUMIFS(INDEX(Inputs!$B$2:$AZ$190,,MATCH(SUBSTITUTE(H$3,"Q","T"),Inputs!$B$2:$AZ$2,0)),Inputs!$B$2:$B$190,$B74)*Inputs!$D$1),"",SUMIFS(INDEX(Inputs!$B$2:$AZ$190,,MATCH(SUBSTITUTE(H$3,"Q","T"),Inputs!$B$2:$AZ$2,0)),Inputs!$B$2:$B$190,$B74)*Inputs!$D$1)</f>
        <v>0</v>
      </c>
      <c r="I74" s="58">
        <f>SUM(E74:H74)</f>
        <v>0</v>
      </c>
      <c r="J74" s="57">
        <f>IF(ISNA(SUMIFS(INDEX(Inputs!$B$2:$AZ$190,,MATCH(SUBSTITUTE(J$3,"Q","T"),Inputs!$B$2:$AZ$2,0)),Inputs!$B$2:$B$190,$B74)*Inputs!$D$1),"",SUMIFS(INDEX(Inputs!$B$2:$AZ$190,,MATCH(SUBSTITUTE(J$3,"Q","T"),Inputs!$B$2:$AZ$2,0)),Inputs!$B$2:$B$190,$B74)*Inputs!$D$1)</f>
        <v>0</v>
      </c>
      <c r="K74" s="57">
        <f>IF(ISNA(SUMIFS(INDEX(Inputs!$B$2:$AZ$190,,MATCH(SUBSTITUTE(K$3,"Q","T"),Inputs!$B$2:$AZ$2,0)),Inputs!$B$2:$B$190,$B74)*Inputs!$D$1),"",SUMIFS(INDEX(Inputs!$B$2:$AZ$190,,MATCH(SUBSTITUTE(K$3,"Q","T"),Inputs!$B$2:$AZ$2,0)),Inputs!$B$2:$B$190,$B74)*Inputs!$D$1)</f>
        <v>0</v>
      </c>
      <c r="L74" s="57">
        <f>IF(ISNA(SUMIFS(INDEX(Inputs!$B$2:$AZ$190,,MATCH(SUBSTITUTE(L$3,"Q","T"),Inputs!$B$2:$AZ$2,0)),Inputs!$B$2:$B$190,$B74)*Inputs!$D$1),"",SUMIFS(INDEX(Inputs!$B$2:$AZ$190,,MATCH(SUBSTITUTE(L$3,"Q","T"),Inputs!$B$2:$AZ$2,0)),Inputs!$B$2:$B$190,$B74)*Inputs!$D$1)</f>
        <v>0</v>
      </c>
      <c r="M74" s="57">
        <f>IF(ISNA(SUMIFS(INDEX(Inputs!$B$2:$AZ$190,,MATCH(SUBSTITUTE(M$3,"Q","T"),Inputs!$B$2:$AZ$2,0)),Inputs!$B$2:$B$190,$B74)*Inputs!$D$1),"",SUMIFS(INDEX(Inputs!$B$2:$AZ$190,,MATCH(SUBSTITUTE(M$3,"Q","T"),Inputs!$B$2:$AZ$2,0)),Inputs!$B$2:$B$190,$B74)*Inputs!$D$1)</f>
        <v>0</v>
      </c>
      <c r="N74" s="58">
        <f>SUM(J74:M74)</f>
        <v>0</v>
      </c>
      <c r="O74" s="57">
        <f>IF(ISNA(SUMIFS(INDEX(Inputs!$B$2:$AZ$190,,MATCH(SUBSTITUTE(O$3,"Q","T"),Inputs!$B$2:$AZ$2,0)),Inputs!$B$2:$B$190,$B74)*Inputs!$D$1),"",SUMIFS(INDEX(Inputs!$B$2:$AZ$190,,MATCH(SUBSTITUTE(O$3,"Q","T"),Inputs!$B$2:$AZ$2,0)),Inputs!$B$2:$B$190,$B74)*Inputs!$D$1)</f>
        <v>0</v>
      </c>
      <c r="P74" s="57">
        <f>IF(ISNA(SUMIFS(INDEX(Inputs!$B$2:$AZ$190,,MATCH(SUBSTITUTE(P$3,"Q","T"),Inputs!$B$2:$AZ$2,0)),Inputs!$B$2:$B$190,$B74)*Inputs!$D$1),"",SUMIFS(INDEX(Inputs!$B$2:$AZ$190,,MATCH(SUBSTITUTE(P$3,"Q","T"),Inputs!$B$2:$AZ$2,0)),Inputs!$B$2:$B$190,$B74)*Inputs!$D$1)</f>
        <v>0</v>
      </c>
      <c r="Q74" s="57">
        <f>IF(ISNA(SUMIFS(INDEX(Inputs!$B$2:$AZ$190,,MATCH(SUBSTITUTE(Q$3,"Q","T"),Inputs!$B$2:$AZ$2,0)),Inputs!$B$2:$B$190,$B74)*Inputs!$D$1),"",SUMIFS(INDEX(Inputs!$B$2:$AZ$190,,MATCH(SUBSTITUTE(Q$3,"Q","T"),Inputs!$B$2:$AZ$2,0)),Inputs!$B$2:$B$190,$B74)*Inputs!$D$1)</f>
        <v>0</v>
      </c>
      <c r="R74" s="57">
        <f>IF(ISNA(SUMIFS(INDEX(Inputs!$B$2:$AZ$190,,MATCH(SUBSTITUTE(R$3,"Q","T"),Inputs!$B$2:$AZ$2,0)),Inputs!$B$2:$B$190,$B74)*Inputs!$D$1),"",SUMIFS(INDEX(Inputs!$B$2:$AZ$190,,MATCH(SUBSTITUTE(R$3,"Q","T"),Inputs!$B$2:$AZ$2,0)),Inputs!$B$2:$B$190,$B74)*Inputs!$D$1)</f>
        <v>0</v>
      </c>
      <c r="S74" s="58">
        <f>SUM(O74:R74)</f>
        <v>0</v>
      </c>
      <c r="T74" s="57">
        <f>IF(ISNA(SUMIFS(INDEX(Inputs!$B$2:$AZ$190,,MATCH(SUBSTITUTE(T$3,"Q","T"),Inputs!$B$2:$AZ$2,0)),Inputs!$B$2:$B$190,$B74)*Inputs!$D$1),"",SUMIFS(INDEX(Inputs!$B$2:$AZ$190,,MATCH(SUBSTITUTE(T$3,"Q","T"),Inputs!$B$2:$AZ$2,0)),Inputs!$B$2:$B$190,$B74)*Inputs!$D$1)</f>
        <v>0</v>
      </c>
      <c r="U74" s="57">
        <f>IF(ISNA(SUMIFS(INDEX(Inputs!$B$2:$AZ$190,,MATCH(SUBSTITUTE(U$3,"Q","T"),Inputs!$B$2:$AZ$2,0)),Inputs!$B$2:$B$190,$B74)*Inputs!$D$1),"",SUMIFS(INDEX(Inputs!$B$2:$AZ$190,,MATCH(SUBSTITUTE(U$3,"Q","T"),Inputs!$B$2:$AZ$2,0)),Inputs!$B$2:$B$190,$B74)*Inputs!$D$1)</f>
        <v>0</v>
      </c>
      <c r="V74" s="57">
        <f>IF(ISNA(SUMIFS(INDEX(Inputs!$B$2:$AZ$190,,MATCH(SUBSTITUTE(V$3,"Q","T"),Inputs!$B$2:$AZ$2,0)),Inputs!$B$2:$B$190,$B74)*Inputs!$D$1),"",SUMIFS(INDEX(Inputs!$B$2:$AZ$190,,MATCH(SUBSTITUTE(V$3,"Q","T"),Inputs!$B$2:$AZ$2,0)),Inputs!$B$2:$B$190,$B74)*Inputs!$D$1)</f>
        <v>0</v>
      </c>
      <c r="W74" s="57">
        <f>IF(ISNA(SUMIFS(INDEX(Inputs!$B$2:$AZ$190,,MATCH(SUBSTITUTE(W$3,"Q","T"),Inputs!$B$2:$AZ$2,0)),Inputs!$B$2:$B$190,$B74)*Inputs!$D$1),"",SUMIFS(INDEX(Inputs!$B$2:$AZ$190,,MATCH(SUBSTITUTE(W$3,"Q","T"),Inputs!$B$2:$AZ$2,0)),Inputs!$B$2:$B$190,$B74)*Inputs!$D$1)</f>
        <v>0</v>
      </c>
      <c r="X74" s="58">
        <f>SUM(T74:W74)</f>
        <v>0</v>
      </c>
      <c r="Y74" s="57">
        <f>IF(ISNA(SUMIFS(INDEX(Inputs!$B$2:$AZ$190,,MATCH(SUBSTITUTE(Y$3,"Q","T"),Inputs!$B$2:$AZ$2,0)),Inputs!$B$2:$B$190,$B74)*Inputs!$D$1),"",SUMIFS(INDEX(Inputs!$B$2:$AZ$190,,MATCH(SUBSTITUTE(Y$3,"Q","T"),Inputs!$B$2:$AZ$2,0)),Inputs!$B$2:$B$190,$B74)*Inputs!$D$1)</f>
        <v>0</v>
      </c>
      <c r="Z74" s="57">
        <f>IF(ISNA(SUMIFS(INDEX(Inputs!$B$2:$AZ$190,,MATCH(SUBSTITUTE(Z$3,"Q","T"),Inputs!$B$2:$AZ$2,0)),Inputs!$B$2:$B$190,$B74)*Inputs!$D$1),"",SUMIFS(INDEX(Inputs!$B$2:$AZ$190,,MATCH(SUBSTITUTE(Z$3,"Q","T"),Inputs!$B$2:$AZ$2,0)),Inputs!$B$2:$B$190,$B74)*Inputs!$D$1)</f>
        <v>0</v>
      </c>
      <c r="AA74" s="57">
        <f>IF(ISNA(SUMIFS(INDEX(Inputs!$B$2:$AZ$190,,MATCH(SUBSTITUTE(AA$3,"Q","T"),Inputs!$B$2:$AZ$2,0)),Inputs!$B$2:$B$190,$B74)*Inputs!$D$1),"",SUMIFS(INDEX(Inputs!$B$2:$AZ$190,,MATCH(SUBSTITUTE(AA$3,"Q","T"),Inputs!$B$2:$AZ$2,0)),Inputs!$B$2:$B$190,$B74)*Inputs!$D$1)</f>
        <v>0</v>
      </c>
      <c r="AB74" s="57">
        <f>IF(ISNA(SUMIFS(INDEX(Inputs!$B$2:$AZ$190,,MATCH(SUBSTITUTE(AB$3,"Q","T"),Inputs!$B$2:$AZ$2,0)),Inputs!$B$2:$B$190,$B74)*Inputs!$D$1),"",SUMIFS(INDEX(Inputs!$B$2:$AZ$190,,MATCH(SUBSTITUTE(AB$3,"Q","T"),Inputs!$B$2:$AZ$2,0)),Inputs!$B$2:$B$190,$B74)*Inputs!$D$1)</f>
        <v>0</v>
      </c>
      <c r="AC74" s="58">
        <f>SUM(Y74:AB74)</f>
        <v>0</v>
      </c>
      <c r="AD74" s="57">
        <f>IF(ISNA(SUMIFS(INDEX(Inputs!$B$2:$AZ$190,,MATCH(SUBSTITUTE(AD$3,"Q","T"),Inputs!$B$2:$AZ$2,0)),Inputs!$B$2:$B$190,$B74)*Inputs!$D$1),"",SUMIFS(INDEX(Inputs!$B$2:$AZ$190,,MATCH(SUBSTITUTE(AD$3,"Q","T"),Inputs!$B$2:$AZ$2,0)),Inputs!$B$2:$B$190,$B74)*Inputs!$D$1)</f>
        <v>0</v>
      </c>
      <c r="AE74" s="57">
        <f>IF(ISNA(SUMIFS(INDEX(Inputs!$B$2:$AZ$190,,MATCH(SUBSTITUTE(AE$3,"Q","T"),Inputs!$B$2:$AZ$2,0)),Inputs!$B$2:$B$190,$B74)*Inputs!$D$1),"",SUMIFS(INDEX(Inputs!$B$2:$AZ$190,,MATCH(SUBSTITUTE(AE$3,"Q","T"),Inputs!$B$2:$AZ$2,0)),Inputs!$B$2:$B$190,$B74)*Inputs!$D$1)</f>
        <v>0</v>
      </c>
      <c r="AF74" s="57">
        <f>IF(ISNA(SUMIFS(INDEX(Inputs!$B$2:$AZ$190,,MATCH(SUBSTITUTE(AF$3,"Q","T"),Inputs!$B$2:$AZ$2,0)),Inputs!$B$2:$B$190,$B74)*Inputs!$D$1),"",SUMIFS(INDEX(Inputs!$B$2:$AZ$190,,MATCH(SUBSTITUTE(AF$3,"Q","T"),Inputs!$B$2:$AZ$2,0)),Inputs!$B$2:$B$190,$B74)*Inputs!$D$1)</f>
        <v>0</v>
      </c>
      <c r="AG74" s="57">
        <f>IF(ISNA(SUMIFS(INDEX(Inputs!$B$2:$AZ$190,,MATCH(SUBSTITUTE(AG$3,"Q","T"),Inputs!$B$2:$AZ$2,0)),Inputs!$B$2:$B$190,$B74)*Inputs!$D$1),"",SUMIFS(INDEX(Inputs!$B$2:$AZ$190,,MATCH(SUBSTITUTE(AG$3,"Q","T"),Inputs!$B$2:$AZ$2,0)),Inputs!$B$2:$B$190,$B74)*Inputs!$D$1)</f>
        <v>0</v>
      </c>
      <c r="AH74" s="58">
        <f>SUM(AD74:AG74)</f>
        <v>0</v>
      </c>
      <c r="AI74" s="57">
        <f>IF(ISNA(SUMIFS(INDEX(Inputs!$B$2:$AZ$190,,MATCH(SUBSTITUTE(AI$3,"Q","T"),Inputs!$B$2:$AZ$2,0)),Inputs!$B$2:$B$190,$B74)*Inputs!$D$1),"",SUMIFS(INDEX(Inputs!$B$2:$AZ$190,,MATCH(SUBSTITUTE(AI$3,"Q","T"),Inputs!$B$2:$AZ$2,0)),Inputs!$B$2:$B$190,$B74)*Inputs!$D$1)</f>
        <v>0</v>
      </c>
      <c r="AJ74" s="57">
        <f>IF(ISNA(SUMIFS(INDEX(Inputs!$B$2:$AZ$190,,MATCH(SUBSTITUTE(AJ$3,"Q","T"),Inputs!$B$2:$AZ$2,0)),Inputs!$B$2:$B$190,$B74)*Inputs!$D$1),"",SUMIFS(INDEX(Inputs!$B$2:$AZ$190,,MATCH(SUBSTITUTE(AJ$3,"Q","T"),Inputs!$B$2:$AZ$2,0)),Inputs!$B$2:$B$190,$B74)*Inputs!$D$1)</f>
        <v>0</v>
      </c>
      <c r="AK74" s="57">
        <f>IF(ISNA(SUMIFS(INDEX(Inputs!$B$2:$AZ$190,,MATCH(SUBSTITUTE(AK$3,"Q","T"),Inputs!$B$2:$AZ$2,0)),Inputs!$B$2:$B$190,$B74)*Inputs!$D$1),"",SUMIFS(INDEX(Inputs!$B$2:$AZ$190,,MATCH(SUBSTITUTE(AK$3,"Q","T"),Inputs!$B$2:$AZ$2,0)),Inputs!$B$2:$B$190,$B74)*Inputs!$D$1)</f>
        <v>0</v>
      </c>
      <c r="AL74" s="57">
        <f>IF(ISNA(SUMIFS(INDEX(Inputs!$B$2:$AZ$190,,MATCH(SUBSTITUTE(AL$3,"Q","T"),Inputs!$B$2:$AZ$2,0)),Inputs!$B$2:$B$190,$B74)*Inputs!$D$1),"",SUMIFS(INDEX(Inputs!$B$2:$AZ$190,,MATCH(SUBSTITUTE(AL$3,"Q","T"),Inputs!$B$2:$AZ$2,0)),Inputs!$B$2:$B$190,$B74)*Inputs!$D$1)</f>
        <v>0</v>
      </c>
      <c r="AM74" s="58">
        <f>SUM(AI74:AL74)</f>
        <v>0</v>
      </c>
      <c r="AN74" s="57">
        <f>IF(ISNA(SUMIFS(INDEX(Inputs!$B$2:$AZ$190,,MATCH(SUBSTITUTE(AN$3,"Q","T"),Inputs!$B$2:$AZ$2,0)),Inputs!$B$2:$B$190,$B74)*Inputs!$D$1),"",SUMIFS(INDEX(Inputs!$B$2:$AZ$190,,MATCH(SUBSTITUTE(AN$3,"Q","T"),Inputs!$B$2:$AZ$2,0)),Inputs!$B$2:$B$190,$B74)*Inputs!$D$1)</f>
        <v>0</v>
      </c>
      <c r="AO74" s="57">
        <f>IF(ISNA(SUMIFS(INDEX(Inputs!$B$2:$AZ$190,,MATCH(SUBSTITUTE(AO$3,"Q","T"),Inputs!$B$2:$AZ$2,0)),Inputs!$B$2:$B$190,$B74)*Inputs!$D$1),"",SUMIFS(INDEX(Inputs!$B$2:$AZ$190,,MATCH(SUBSTITUTE(AO$3,"Q","T"),Inputs!$B$2:$AZ$2,0)),Inputs!$B$2:$B$190,$B74)*Inputs!$D$1)</f>
        <v>0</v>
      </c>
      <c r="AP74" s="57">
        <f>IF(ISNA(SUMIFS(INDEX(Inputs!$B$2:$AZ$190,,MATCH(SUBSTITUTE(AP$3,"Q","T"),Inputs!$B$2:$AZ$2,0)),Inputs!$B$2:$B$190,$B74)*Inputs!$D$1),"",SUMIFS(INDEX(Inputs!$B$2:$AZ$190,,MATCH(SUBSTITUTE(AP$3,"Q","T"),Inputs!$B$2:$AZ$2,0)),Inputs!$B$2:$B$190,$B74)*Inputs!$D$1)</f>
        <v>0</v>
      </c>
      <c r="AQ74" s="57">
        <f>IF(ISNA(SUMIFS(INDEX(Inputs!$B$2:$AZ$190,,MATCH(SUBSTITUTE(AQ$3,"Q","T"),Inputs!$B$2:$AZ$2,0)),Inputs!$B$2:$B$190,$B74)*Inputs!$D$1),"",SUMIFS(INDEX(Inputs!$B$2:$AZ$190,,MATCH(SUBSTITUTE(AQ$3,"Q","T"),Inputs!$B$2:$AZ$2,0)),Inputs!$B$2:$B$190,$B74)*Inputs!$D$1)</f>
        <v>0</v>
      </c>
      <c r="AR74" s="58">
        <f>SUM(AN74:AQ74)</f>
        <v>0</v>
      </c>
      <c r="AS74" s="57">
        <f>IF(ISNA(SUMIFS(INDEX(Inputs!$B$2:$AZ$190,,MATCH(SUBSTITUTE(AS$3,"Q","T"),Inputs!$B$2:$AZ$2,0)),Inputs!$B$2:$B$190,$B74)*Inputs!$D$1),"",SUMIFS(INDEX(Inputs!$B$2:$AZ$190,,MATCH(SUBSTITUTE(AS$3,"Q","T"),Inputs!$B$2:$AZ$2,0)),Inputs!$B$2:$B$190,$B74)*Inputs!$D$1)</f>
        <v>0</v>
      </c>
      <c r="AT74" s="57">
        <f>IF(ISNA(SUMIFS(INDEX(Inputs!$B$2:$AZ$190,,MATCH(SUBSTITUTE(AT$3,"Q","T"),Inputs!$B$2:$AZ$2,0)),Inputs!$B$2:$B$190,$B74)*Inputs!$D$1),"",SUMIFS(INDEX(Inputs!$B$2:$AZ$190,,MATCH(SUBSTITUTE(AT$3,"Q","T"),Inputs!$B$2:$AZ$2,0)),Inputs!$B$2:$B$190,$B74)*Inputs!$D$1)</f>
        <v>0</v>
      </c>
      <c r="AU74" s="57">
        <f>IF(ISNA(SUMIFS(INDEX(Inputs!$B$2:$AZ$190,,MATCH(SUBSTITUTE(AU$3,"Q","T"),Inputs!$B$2:$AZ$2,0)),Inputs!$B$2:$B$190,$B74)*Inputs!$D$1),"",SUMIFS(INDEX(Inputs!$B$2:$AZ$190,,MATCH(SUBSTITUTE(AU$3,"Q","T"),Inputs!$B$2:$AZ$2,0)),Inputs!$B$2:$B$190,$B74)*Inputs!$D$1)</f>
        <v>0</v>
      </c>
      <c r="AV74" s="57">
        <f>IF(ISNA(SUMIFS(INDEX(Inputs!$B$2:$AZ$190,,MATCH(SUBSTITUTE(AV$3,"Q","T"),Inputs!$B$2:$AZ$2,0)),Inputs!$B$2:$B$190,$B74)*Inputs!$D$1),"",SUMIFS(INDEX(Inputs!$B$2:$AZ$190,,MATCH(SUBSTITUTE(AV$3,"Q","T"),Inputs!$B$2:$AZ$2,0)),Inputs!$B$2:$B$190,$B74)*Inputs!$D$1)</f>
        <v>0</v>
      </c>
      <c r="AW74" s="58">
        <f>SUM(AS74:AV74)</f>
        <v>0</v>
      </c>
      <c r="AX74" s="57">
        <f>IF(ISNA(SUMIFS(INDEX(Inputs!$B$2:$AZ$190,,MATCH(SUBSTITUTE(AX$3,"Q","T"),Inputs!$B$2:$AZ$2,0)),Inputs!$B$2:$B$190,$B74)*Inputs!$D$1),"",SUMIFS(INDEX(Inputs!$B$2:$AZ$190,,MATCH(SUBSTITUTE(AX$3,"Q","T"),Inputs!$B$2:$AZ$2,0)),Inputs!$B$2:$B$190,$B74)*Inputs!$D$1)</f>
        <v>0</v>
      </c>
      <c r="AY74" s="57">
        <f>IF(ISNA(SUMIFS(INDEX(Inputs!$B$2:$AZ$190,,MATCH(SUBSTITUTE(AY$3,"Q","T"),Inputs!$B$2:$AZ$2,0)),Inputs!$B$2:$B$190,$B74)*Inputs!$D$1),"",SUMIFS(INDEX(Inputs!$B$2:$AZ$190,,MATCH(SUBSTITUTE(AY$3,"Q","T"),Inputs!$B$2:$AZ$2,0)),Inputs!$B$2:$B$190,$B74)*Inputs!$D$1)</f>
        <v>0</v>
      </c>
      <c r="AZ74" s="57">
        <f>IF(ISNA(SUMIFS(INDEX(Inputs!$B$2:$AZ$190,,MATCH(SUBSTITUTE(AZ$3,"Q","T"),Inputs!$B$2:$AZ$2,0)),Inputs!$B$2:$B$190,$B74)*Inputs!$D$1),"",SUMIFS(INDEX(Inputs!$B$2:$AZ$190,,MATCH(SUBSTITUTE(AZ$3,"Q","T"),Inputs!$B$2:$AZ$2,0)),Inputs!$B$2:$B$190,$B74)*Inputs!$D$1)</f>
        <v>0</v>
      </c>
      <c r="BA74" s="57">
        <f>IF(ISNA(SUMIFS(INDEX(Inputs!$B$2:$AZ$190,,MATCH(SUBSTITUTE(BA$3,"Q","T"),Inputs!$B$2:$AZ$2,0)),Inputs!$B$2:$B$190,$B74)*Inputs!$D$1),"",SUMIFS(INDEX(Inputs!$B$2:$AZ$190,,MATCH(SUBSTITUTE(BA$3,"Q","T"),Inputs!$B$2:$AZ$2,0)),Inputs!$B$2:$B$190,$B74)*Inputs!$D$1)</f>
        <v>0</v>
      </c>
      <c r="BB74" s="58">
        <f>SUM(AX74:BA74)</f>
        <v>0</v>
      </c>
      <c r="BC74" s="57">
        <f>IF(ISNA(SUMIFS(INDEX(Inputs!$B$2:$AZ$190,,MATCH(SUBSTITUTE(BC$3,"Q","T"),Inputs!$B$2:$AZ$2,0)),Inputs!$B$2:$B$190,$B74)*Inputs!$D$1),"",SUMIFS(INDEX(Inputs!$B$2:$AZ$190,,MATCH(SUBSTITUTE(BC$3,"Q","T"),Inputs!$B$2:$AZ$2,0)),Inputs!$B$2:$B$190,$B74)*Inputs!$D$1)</f>
        <v>0</v>
      </c>
      <c r="BD74" s="57">
        <f>IF(ISNA(SUMIFS(INDEX(Inputs!$B$2:$AZ$190,,MATCH(SUBSTITUTE(BD$3,"Q","T"),Inputs!$B$2:$AZ$2,0)),Inputs!$B$2:$B$190,$B74)*Inputs!$D$1),"",SUMIFS(INDEX(Inputs!$B$2:$AZ$190,,MATCH(SUBSTITUTE(BD$3,"Q","T"),Inputs!$B$2:$AZ$2,0)),Inputs!$B$2:$B$190,$B74)*Inputs!$D$1)</f>
        <v>0</v>
      </c>
      <c r="BE74" s="57">
        <f>IF(ISNA(SUMIFS(INDEX(Inputs!$B$2:$AZ$190,,MATCH(SUBSTITUTE(BE$3,"Q","T"),Inputs!$B$2:$AZ$2,0)),Inputs!$B$2:$B$190,$B74)*Inputs!$D$1),"",SUMIFS(INDEX(Inputs!$B$2:$AZ$190,,MATCH(SUBSTITUTE(BE$3,"Q","T"),Inputs!$B$2:$AZ$2,0)),Inputs!$B$2:$B$190,$B74)*Inputs!$D$1)</f>
        <v>0</v>
      </c>
      <c r="BF74" s="57">
        <f>IF(ISNA(SUMIFS(INDEX(Inputs!$B$2:$AZ$190,,MATCH(SUBSTITUTE(BF$3,"Q","T"),Inputs!$B$2:$AZ$2,0)),Inputs!$B$2:$B$190,$B74)*Inputs!$D$1),"",SUMIFS(INDEX(Inputs!$B$2:$AZ$190,,MATCH(SUBSTITUTE(BF$3,"Q","T"),Inputs!$B$2:$AZ$2,0)),Inputs!$B$2:$B$190,$B74)*Inputs!$D$1)</f>
        <v>0</v>
      </c>
      <c r="BG74" s="58">
        <f>SUM(BC74:BF74)</f>
        <v>0</v>
      </c>
    </row>
    <row r="75" hidden="1" outlineLevel="1">
      <c r="B75" s="56" t="inlineStr">
        <is>
          <t>ii_other</t>
        </is>
      </c>
      <c r="C75" s="61" t="inlineStr">
        <is>
          <t>Juros de depósitos em bancos e outros</t>
        </is>
      </c>
      <c r="D75" s="62" t="inlineStr">
        <is>
          <t>Interest income — deposits with banks and other</t>
        </is>
      </c>
      <c r="E75" s="57">
        <f>IF(ISNA(SUMIFS(INDEX(Inputs!$B$2:$AZ$190,,MATCH(SUBSTITUTE(E$3,"Q","T"),Inputs!$B$2:$AZ$2,0)),Inputs!$B$2:$B$190,$B75)*Inputs!$D$1),"",SUMIFS(INDEX(Inputs!$B$2:$AZ$190,,MATCH(SUBSTITUTE(E$3,"Q","T"),Inputs!$B$2:$AZ$2,0)),Inputs!$B$2:$B$190,$B75)*Inputs!$D$1)</f>
        <v>0</v>
      </c>
      <c r="F75" s="57">
        <f>IF(ISNA(SUMIFS(INDEX(Inputs!$B$2:$AZ$190,,MATCH(SUBSTITUTE(F$3,"Q","T"),Inputs!$B$2:$AZ$2,0)),Inputs!$B$2:$B$190,$B75)*Inputs!$D$1),"",SUMIFS(INDEX(Inputs!$B$2:$AZ$190,,MATCH(SUBSTITUTE(F$3,"Q","T"),Inputs!$B$2:$AZ$2,0)),Inputs!$B$2:$B$190,$B75)*Inputs!$D$1)</f>
        <v>0</v>
      </c>
      <c r="G75" s="57">
        <f>IF(ISNA(SUMIFS(INDEX(Inputs!$B$2:$AZ$190,,MATCH(SUBSTITUTE(G$3,"Q","T"),Inputs!$B$2:$AZ$2,0)),Inputs!$B$2:$B$190,$B75)*Inputs!$D$1),"",SUMIFS(INDEX(Inputs!$B$2:$AZ$190,,MATCH(SUBSTITUTE(G$3,"Q","T"),Inputs!$B$2:$AZ$2,0)),Inputs!$B$2:$B$190,$B75)*Inputs!$D$1)</f>
        <v>0</v>
      </c>
      <c r="H75" s="57">
        <f>IF(ISNA(SUMIFS(INDEX(Inputs!$B$2:$AZ$190,,MATCH(SUBSTITUTE(H$3,"Q","T"),Inputs!$B$2:$AZ$2,0)),Inputs!$B$2:$B$190,$B75)*Inputs!$D$1),"",SUMIFS(INDEX(Inputs!$B$2:$AZ$190,,MATCH(SUBSTITUTE(H$3,"Q","T"),Inputs!$B$2:$AZ$2,0)),Inputs!$B$2:$B$190,$B75)*Inputs!$D$1)</f>
        <v>0</v>
      </c>
      <c r="I75" s="58">
        <f>SUM(E75:H75)</f>
        <v>0</v>
      </c>
      <c r="J75" s="57">
        <f>IF(ISNA(SUMIFS(INDEX(Inputs!$B$2:$AZ$190,,MATCH(SUBSTITUTE(J$3,"Q","T"),Inputs!$B$2:$AZ$2,0)),Inputs!$B$2:$B$190,$B75)*Inputs!$D$1),"",SUMIFS(INDEX(Inputs!$B$2:$AZ$190,,MATCH(SUBSTITUTE(J$3,"Q","T"),Inputs!$B$2:$AZ$2,0)),Inputs!$B$2:$B$190,$B75)*Inputs!$D$1)</f>
        <v>0</v>
      </c>
      <c r="K75" s="57">
        <f>IF(ISNA(SUMIFS(INDEX(Inputs!$B$2:$AZ$190,,MATCH(SUBSTITUTE(K$3,"Q","T"),Inputs!$B$2:$AZ$2,0)),Inputs!$B$2:$B$190,$B75)*Inputs!$D$1),"",SUMIFS(INDEX(Inputs!$B$2:$AZ$190,,MATCH(SUBSTITUTE(K$3,"Q","T"),Inputs!$B$2:$AZ$2,0)),Inputs!$B$2:$B$190,$B75)*Inputs!$D$1)</f>
        <v>0</v>
      </c>
      <c r="L75" s="57">
        <f>IF(ISNA(SUMIFS(INDEX(Inputs!$B$2:$AZ$190,,MATCH(SUBSTITUTE(L$3,"Q","T"),Inputs!$B$2:$AZ$2,0)),Inputs!$B$2:$B$190,$B75)*Inputs!$D$1),"",SUMIFS(INDEX(Inputs!$B$2:$AZ$190,,MATCH(SUBSTITUTE(L$3,"Q","T"),Inputs!$B$2:$AZ$2,0)),Inputs!$B$2:$B$190,$B75)*Inputs!$D$1)</f>
        <v>0</v>
      </c>
      <c r="M75" s="57">
        <f>IF(ISNA(SUMIFS(INDEX(Inputs!$B$2:$AZ$190,,MATCH(SUBSTITUTE(M$3,"Q","T"),Inputs!$B$2:$AZ$2,0)),Inputs!$B$2:$B$190,$B75)*Inputs!$D$1),"",SUMIFS(INDEX(Inputs!$B$2:$AZ$190,,MATCH(SUBSTITUTE(M$3,"Q","T"),Inputs!$B$2:$AZ$2,0)),Inputs!$B$2:$B$190,$B75)*Inputs!$D$1)</f>
        <v>0</v>
      </c>
      <c r="N75" s="58">
        <f>SUM(J75:M75)</f>
        <v>0</v>
      </c>
      <c r="O75" s="57">
        <f>IF(ISNA(SUMIFS(INDEX(Inputs!$B$2:$AZ$190,,MATCH(SUBSTITUTE(O$3,"Q","T"),Inputs!$B$2:$AZ$2,0)),Inputs!$B$2:$B$190,$B75)*Inputs!$D$1),"",SUMIFS(INDEX(Inputs!$B$2:$AZ$190,,MATCH(SUBSTITUTE(O$3,"Q","T"),Inputs!$B$2:$AZ$2,0)),Inputs!$B$2:$B$190,$B75)*Inputs!$D$1)</f>
        <v>0</v>
      </c>
      <c r="P75" s="57">
        <f>IF(ISNA(SUMIFS(INDEX(Inputs!$B$2:$AZ$190,,MATCH(SUBSTITUTE(P$3,"Q","T"),Inputs!$B$2:$AZ$2,0)),Inputs!$B$2:$B$190,$B75)*Inputs!$D$1),"",SUMIFS(INDEX(Inputs!$B$2:$AZ$190,,MATCH(SUBSTITUTE(P$3,"Q","T"),Inputs!$B$2:$AZ$2,0)),Inputs!$B$2:$B$190,$B75)*Inputs!$D$1)</f>
        <v>0</v>
      </c>
      <c r="Q75" s="57">
        <f>IF(ISNA(SUMIFS(INDEX(Inputs!$B$2:$AZ$190,,MATCH(SUBSTITUTE(Q$3,"Q","T"),Inputs!$B$2:$AZ$2,0)),Inputs!$B$2:$B$190,$B75)*Inputs!$D$1),"",SUMIFS(INDEX(Inputs!$B$2:$AZ$190,,MATCH(SUBSTITUTE(Q$3,"Q","T"),Inputs!$B$2:$AZ$2,0)),Inputs!$B$2:$B$190,$B75)*Inputs!$D$1)</f>
        <v>0</v>
      </c>
      <c r="R75" s="57">
        <f>IF(ISNA(SUMIFS(INDEX(Inputs!$B$2:$AZ$190,,MATCH(SUBSTITUTE(R$3,"Q","T"),Inputs!$B$2:$AZ$2,0)),Inputs!$B$2:$B$190,$B75)*Inputs!$D$1),"",SUMIFS(INDEX(Inputs!$B$2:$AZ$190,,MATCH(SUBSTITUTE(R$3,"Q","T"),Inputs!$B$2:$AZ$2,0)),Inputs!$B$2:$B$190,$B75)*Inputs!$D$1)</f>
        <v>0</v>
      </c>
      <c r="S75" s="58">
        <f>SUM(O75:R75)</f>
        <v>0</v>
      </c>
      <c r="T75" s="57">
        <f>IF(ISNA(SUMIFS(INDEX(Inputs!$B$2:$AZ$190,,MATCH(SUBSTITUTE(T$3,"Q","T"),Inputs!$B$2:$AZ$2,0)),Inputs!$B$2:$B$190,$B75)*Inputs!$D$1),"",SUMIFS(INDEX(Inputs!$B$2:$AZ$190,,MATCH(SUBSTITUTE(T$3,"Q","T"),Inputs!$B$2:$AZ$2,0)),Inputs!$B$2:$B$190,$B75)*Inputs!$D$1)</f>
        <v>0</v>
      </c>
      <c r="U75" s="57">
        <f>IF(ISNA(SUMIFS(INDEX(Inputs!$B$2:$AZ$190,,MATCH(SUBSTITUTE(U$3,"Q","T"),Inputs!$B$2:$AZ$2,0)),Inputs!$B$2:$B$190,$B75)*Inputs!$D$1),"",SUMIFS(INDEX(Inputs!$B$2:$AZ$190,,MATCH(SUBSTITUTE(U$3,"Q","T"),Inputs!$B$2:$AZ$2,0)),Inputs!$B$2:$B$190,$B75)*Inputs!$D$1)</f>
        <v>0</v>
      </c>
      <c r="V75" s="57">
        <f>IF(ISNA(SUMIFS(INDEX(Inputs!$B$2:$AZ$190,,MATCH(SUBSTITUTE(V$3,"Q","T"),Inputs!$B$2:$AZ$2,0)),Inputs!$B$2:$B$190,$B75)*Inputs!$D$1),"",SUMIFS(INDEX(Inputs!$B$2:$AZ$190,,MATCH(SUBSTITUTE(V$3,"Q","T"),Inputs!$B$2:$AZ$2,0)),Inputs!$B$2:$B$190,$B75)*Inputs!$D$1)</f>
        <v>0</v>
      </c>
      <c r="W75" s="57">
        <f>IF(ISNA(SUMIFS(INDEX(Inputs!$B$2:$AZ$190,,MATCH(SUBSTITUTE(W$3,"Q","T"),Inputs!$B$2:$AZ$2,0)),Inputs!$B$2:$B$190,$B75)*Inputs!$D$1),"",SUMIFS(INDEX(Inputs!$B$2:$AZ$190,,MATCH(SUBSTITUTE(W$3,"Q","T"),Inputs!$B$2:$AZ$2,0)),Inputs!$B$2:$B$190,$B75)*Inputs!$D$1)</f>
        <v>0</v>
      </c>
      <c r="X75" s="58">
        <f>SUM(T75:W75)</f>
        <v>0</v>
      </c>
      <c r="Y75" s="57">
        <f>IF(ISNA(SUMIFS(INDEX(Inputs!$B$2:$AZ$190,,MATCH(SUBSTITUTE(Y$3,"Q","T"),Inputs!$B$2:$AZ$2,0)),Inputs!$B$2:$B$190,$B75)*Inputs!$D$1),"",SUMIFS(INDEX(Inputs!$B$2:$AZ$190,,MATCH(SUBSTITUTE(Y$3,"Q","T"),Inputs!$B$2:$AZ$2,0)),Inputs!$B$2:$B$190,$B75)*Inputs!$D$1)</f>
        <v>0</v>
      </c>
      <c r="Z75" s="57">
        <f>IF(ISNA(SUMIFS(INDEX(Inputs!$B$2:$AZ$190,,MATCH(SUBSTITUTE(Z$3,"Q","T"),Inputs!$B$2:$AZ$2,0)),Inputs!$B$2:$B$190,$B75)*Inputs!$D$1),"",SUMIFS(INDEX(Inputs!$B$2:$AZ$190,,MATCH(SUBSTITUTE(Z$3,"Q","T"),Inputs!$B$2:$AZ$2,0)),Inputs!$B$2:$B$190,$B75)*Inputs!$D$1)</f>
        <v>0</v>
      </c>
      <c r="AA75" s="57">
        <f>IF(ISNA(SUMIFS(INDEX(Inputs!$B$2:$AZ$190,,MATCH(SUBSTITUTE(AA$3,"Q","T"),Inputs!$B$2:$AZ$2,0)),Inputs!$B$2:$B$190,$B75)*Inputs!$D$1),"",SUMIFS(INDEX(Inputs!$B$2:$AZ$190,,MATCH(SUBSTITUTE(AA$3,"Q","T"),Inputs!$B$2:$AZ$2,0)),Inputs!$B$2:$B$190,$B75)*Inputs!$D$1)</f>
        <v>0</v>
      </c>
      <c r="AB75" s="57">
        <f>IF(ISNA(SUMIFS(INDEX(Inputs!$B$2:$AZ$190,,MATCH(SUBSTITUTE(AB$3,"Q","T"),Inputs!$B$2:$AZ$2,0)),Inputs!$B$2:$B$190,$B75)*Inputs!$D$1),"",SUMIFS(INDEX(Inputs!$B$2:$AZ$190,,MATCH(SUBSTITUTE(AB$3,"Q","T"),Inputs!$B$2:$AZ$2,0)),Inputs!$B$2:$B$190,$B75)*Inputs!$D$1)</f>
        <v>0</v>
      </c>
      <c r="AC75" s="58">
        <f>SUM(Y75:AB75)</f>
        <v>0</v>
      </c>
      <c r="AD75" s="57">
        <f>IF(ISNA(SUMIFS(INDEX(Inputs!$B$2:$AZ$190,,MATCH(SUBSTITUTE(AD$3,"Q","T"),Inputs!$B$2:$AZ$2,0)),Inputs!$B$2:$B$190,$B75)*Inputs!$D$1),"",SUMIFS(INDEX(Inputs!$B$2:$AZ$190,,MATCH(SUBSTITUTE(AD$3,"Q","T"),Inputs!$B$2:$AZ$2,0)),Inputs!$B$2:$B$190,$B75)*Inputs!$D$1)</f>
        <v>0</v>
      </c>
      <c r="AE75" s="57">
        <f>IF(ISNA(SUMIFS(INDEX(Inputs!$B$2:$AZ$190,,MATCH(SUBSTITUTE(AE$3,"Q","T"),Inputs!$B$2:$AZ$2,0)),Inputs!$B$2:$B$190,$B75)*Inputs!$D$1),"",SUMIFS(INDEX(Inputs!$B$2:$AZ$190,,MATCH(SUBSTITUTE(AE$3,"Q","T"),Inputs!$B$2:$AZ$2,0)),Inputs!$B$2:$B$190,$B75)*Inputs!$D$1)</f>
        <v>0</v>
      </c>
      <c r="AF75" s="57">
        <f>IF(ISNA(SUMIFS(INDEX(Inputs!$B$2:$AZ$190,,MATCH(SUBSTITUTE(AF$3,"Q","T"),Inputs!$B$2:$AZ$2,0)),Inputs!$B$2:$B$190,$B75)*Inputs!$D$1),"",SUMIFS(INDEX(Inputs!$B$2:$AZ$190,,MATCH(SUBSTITUTE(AF$3,"Q","T"),Inputs!$B$2:$AZ$2,0)),Inputs!$B$2:$B$190,$B75)*Inputs!$D$1)</f>
        <v>0</v>
      </c>
      <c r="AG75" s="57">
        <f>IF(ISNA(SUMIFS(INDEX(Inputs!$B$2:$AZ$190,,MATCH(SUBSTITUTE(AG$3,"Q","T"),Inputs!$B$2:$AZ$2,0)),Inputs!$B$2:$B$190,$B75)*Inputs!$D$1),"",SUMIFS(INDEX(Inputs!$B$2:$AZ$190,,MATCH(SUBSTITUTE(AG$3,"Q","T"),Inputs!$B$2:$AZ$2,0)),Inputs!$B$2:$B$190,$B75)*Inputs!$D$1)</f>
        <v>0</v>
      </c>
      <c r="AH75" s="58">
        <f>SUM(AD75:AG75)</f>
        <v>0</v>
      </c>
      <c r="AI75" s="57">
        <f>IF(ISNA(SUMIFS(INDEX(Inputs!$B$2:$AZ$190,,MATCH(SUBSTITUTE(AI$3,"Q","T"),Inputs!$B$2:$AZ$2,0)),Inputs!$B$2:$B$190,$B75)*Inputs!$D$1),"",SUMIFS(INDEX(Inputs!$B$2:$AZ$190,,MATCH(SUBSTITUTE(AI$3,"Q","T"),Inputs!$B$2:$AZ$2,0)),Inputs!$B$2:$B$190,$B75)*Inputs!$D$1)</f>
        <v>0</v>
      </c>
      <c r="AJ75" s="57">
        <f>IF(ISNA(SUMIFS(INDEX(Inputs!$B$2:$AZ$190,,MATCH(SUBSTITUTE(AJ$3,"Q","T"),Inputs!$B$2:$AZ$2,0)),Inputs!$B$2:$B$190,$B75)*Inputs!$D$1),"",SUMIFS(INDEX(Inputs!$B$2:$AZ$190,,MATCH(SUBSTITUTE(AJ$3,"Q","T"),Inputs!$B$2:$AZ$2,0)),Inputs!$B$2:$B$190,$B75)*Inputs!$D$1)</f>
        <v>0</v>
      </c>
      <c r="AK75" s="57">
        <f>IF(ISNA(SUMIFS(INDEX(Inputs!$B$2:$AZ$190,,MATCH(SUBSTITUTE(AK$3,"Q","T"),Inputs!$B$2:$AZ$2,0)),Inputs!$B$2:$B$190,$B75)*Inputs!$D$1),"",SUMIFS(INDEX(Inputs!$B$2:$AZ$190,,MATCH(SUBSTITUTE(AK$3,"Q","T"),Inputs!$B$2:$AZ$2,0)),Inputs!$B$2:$B$190,$B75)*Inputs!$D$1)</f>
        <v>0</v>
      </c>
      <c r="AL75" s="57">
        <f>IF(ISNA(SUMIFS(INDEX(Inputs!$B$2:$AZ$190,,MATCH(SUBSTITUTE(AL$3,"Q","T"),Inputs!$B$2:$AZ$2,0)),Inputs!$B$2:$B$190,$B75)*Inputs!$D$1),"",SUMIFS(INDEX(Inputs!$B$2:$AZ$190,,MATCH(SUBSTITUTE(AL$3,"Q","T"),Inputs!$B$2:$AZ$2,0)),Inputs!$B$2:$B$190,$B75)*Inputs!$D$1)</f>
        <v>0</v>
      </c>
      <c r="AM75" s="58">
        <f>SUM(AI75:AL75)</f>
        <v>0</v>
      </c>
      <c r="AN75" s="57">
        <f>IF(ISNA(SUMIFS(INDEX(Inputs!$B$2:$AZ$190,,MATCH(SUBSTITUTE(AN$3,"Q","T"),Inputs!$B$2:$AZ$2,0)),Inputs!$B$2:$B$190,$B75)*Inputs!$D$1),"",SUMIFS(INDEX(Inputs!$B$2:$AZ$190,,MATCH(SUBSTITUTE(AN$3,"Q","T"),Inputs!$B$2:$AZ$2,0)),Inputs!$B$2:$B$190,$B75)*Inputs!$D$1)</f>
        <v>0</v>
      </c>
      <c r="AO75" s="57">
        <f>IF(ISNA(SUMIFS(INDEX(Inputs!$B$2:$AZ$190,,MATCH(SUBSTITUTE(AO$3,"Q","T"),Inputs!$B$2:$AZ$2,0)),Inputs!$B$2:$B$190,$B75)*Inputs!$D$1),"",SUMIFS(INDEX(Inputs!$B$2:$AZ$190,,MATCH(SUBSTITUTE(AO$3,"Q","T"),Inputs!$B$2:$AZ$2,0)),Inputs!$B$2:$B$190,$B75)*Inputs!$D$1)</f>
        <v>0</v>
      </c>
      <c r="AP75" s="57">
        <f>IF(ISNA(SUMIFS(INDEX(Inputs!$B$2:$AZ$190,,MATCH(SUBSTITUTE(AP$3,"Q","T"),Inputs!$B$2:$AZ$2,0)),Inputs!$B$2:$B$190,$B75)*Inputs!$D$1),"",SUMIFS(INDEX(Inputs!$B$2:$AZ$190,,MATCH(SUBSTITUTE(AP$3,"Q","T"),Inputs!$B$2:$AZ$2,0)),Inputs!$B$2:$B$190,$B75)*Inputs!$D$1)</f>
        <v>0</v>
      </c>
      <c r="AQ75" s="57">
        <f>IF(ISNA(SUMIFS(INDEX(Inputs!$B$2:$AZ$190,,MATCH(SUBSTITUTE(AQ$3,"Q","T"),Inputs!$B$2:$AZ$2,0)),Inputs!$B$2:$B$190,$B75)*Inputs!$D$1),"",SUMIFS(INDEX(Inputs!$B$2:$AZ$190,,MATCH(SUBSTITUTE(AQ$3,"Q","T"),Inputs!$B$2:$AZ$2,0)),Inputs!$B$2:$B$190,$B75)*Inputs!$D$1)</f>
        <v>0</v>
      </c>
      <c r="AR75" s="58">
        <f>SUM(AN75:AQ75)</f>
        <v>0</v>
      </c>
      <c r="AS75" s="57">
        <f>IF(ISNA(SUMIFS(INDEX(Inputs!$B$2:$AZ$190,,MATCH(SUBSTITUTE(AS$3,"Q","T"),Inputs!$B$2:$AZ$2,0)),Inputs!$B$2:$B$190,$B75)*Inputs!$D$1),"",SUMIFS(INDEX(Inputs!$B$2:$AZ$190,,MATCH(SUBSTITUTE(AS$3,"Q","T"),Inputs!$B$2:$AZ$2,0)),Inputs!$B$2:$B$190,$B75)*Inputs!$D$1)</f>
        <v>0</v>
      </c>
      <c r="AT75" s="57">
        <f>IF(ISNA(SUMIFS(INDEX(Inputs!$B$2:$AZ$190,,MATCH(SUBSTITUTE(AT$3,"Q","T"),Inputs!$B$2:$AZ$2,0)),Inputs!$B$2:$B$190,$B75)*Inputs!$D$1),"",SUMIFS(INDEX(Inputs!$B$2:$AZ$190,,MATCH(SUBSTITUTE(AT$3,"Q","T"),Inputs!$B$2:$AZ$2,0)),Inputs!$B$2:$B$190,$B75)*Inputs!$D$1)</f>
        <v>0</v>
      </c>
      <c r="AU75" s="57">
        <f>IF(ISNA(SUMIFS(INDEX(Inputs!$B$2:$AZ$190,,MATCH(SUBSTITUTE(AU$3,"Q","T"),Inputs!$B$2:$AZ$2,0)),Inputs!$B$2:$B$190,$B75)*Inputs!$D$1),"",SUMIFS(INDEX(Inputs!$B$2:$AZ$190,,MATCH(SUBSTITUTE(AU$3,"Q","T"),Inputs!$B$2:$AZ$2,0)),Inputs!$B$2:$B$190,$B75)*Inputs!$D$1)</f>
        <v>0</v>
      </c>
      <c r="AV75" s="57">
        <f>IF(ISNA(SUMIFS(INDEX(Inputs!$B$2:$AZ$190,,MATCH(SUBSTITUTE(AV$3,"Q","T"),Inputs!$B$2:$AZ$2,0)),Inputs!$B$2:$B$190,$B75)*Inputs!$D$1),"",SUMIFS(INDEX(Inputs!$B$2:$AZ$190,,MATCH(SUBSTITUTE(AV$3,"Q","T"),Inputs!$B$2:$AZ$2,0)),Inputs!$B$2:$B$190,$B75)*Inputs!$D$1)</f>
        <v>0</v>
      </c>
      <c r="AW75" s="58">
        <f>SUM(AS75:AV75)</f>
        <v>0</v>
      </c>
      <c r="AX75" s="57">
        <f>IF(ISNA(SUMIFS(INDEX(Inputs!$B$2:$AZ$190,,MATCH(SUBSTITUTE(AX$3,"Q","T"),Inputs!$B$2:$AZ$2,0)),Inputs!$B$2:$B$190,$B75)*Inputs!$D$1),"",SUMIFS(INDEX(Inputs!$B$2:$AZ$190,,MATCH(SUBSTITUTE(AX$3,"Q","T"),Inputs!$B$2:$AZ$2,0)),Inputs!$B$2:$B$190,$B75)*Inputs!$D$1)</f>
        <v>0</v>
      </c>
      <c r="AY75" s="57">
        <f>IF(ISNA(SUMIFS(INDEX(Inputs!$B$2:$AZ$190,,MATCH(SUBSTITUTE(AY$3,"Q","T"),Inputs!$B$2:$AZ$2,0)),Inputs!$B$2:$B$190,$B75)*Inputs!$D$1),"",SUMIFS(INDEX(Inputs!$B$2:$AZ$190,,MATCH(SUBSTITUTE(AY$3,"Q","T"),Inputs!$B$2:$AZ$2,0)),Inputs!$B$2:$B$190,$B75)*Inputs!$D$1)</f>
        <v>0</v>
      </c>
      <c r="AZ75" s="57">
        <f>IF(ISNA(SUMIFS(INDEX(Inputs!$B$2:$AZ$190,,MATCH(SUBSTITUTE(AZ$3,"Q","T"),Inputs!$B$2:$AZ$2,0)),Inputs!$B$2:$B$190,$B75)*Inputs!$D$1),"",SUMIFS(INDEX(Inputs!$B$2:$AZ$190,,MATCH(SUBSTITUTE(AZ$3,"Q","T"),Inputs!$B$2:$AZ$2,0)),Inputs!$B$2:$B$190,$B75)*Inputs!$D$1)</f>
        <v>0</v>
      </c>
      <c r="BA75" s="57">
        <f>IF(ISNA(SUMIFS(INDEX(Inputs!$B$2:$AZ$190,,MATCH(SUBSTITUTE(BA$3,"Q","T"),Inputs!$B$2:$AZ$2,0)),Inputs!$B$2:$B$190,$B75)*Inputs!$D$1),"",SUMIFS(INDEX(Inputs!$B$2:$AZ$190,,MATCH(SUBSTITUTE(BA$3,"Q","T"),Inputs!$B$2:$AZ$2,0)),Inputs!$B$2:$B$190,$B75)*Inputs!$D$1)</f>
        <v>0</v>
      </c>
      <c r="BB75" s="58">
        <f>SUM(AX75:BA75)</f>
        <v>0</v>
      </c>
      <c r="BC75" s="57">
        <f>IF(ISNA(SUMIFS(INDEX(Inputs!$B$2:$AZ$190,,MATCH(SUBSTITUTE(BC$3,"Q","T"),Inputs!$B$2:$AZ$2,0)),Inputs!$B$2:$B$190,$B75)*Inputs!$D$1),"",SUMIFS(INDEX(Inputs!$B$2:$AZ$190,,MATCH(SUBSTITUTE(BC$3,"Q","T"),Inputs!$B$2:$AZ$2,0)),Inputs!$B$2:$B$190,$B75)*Inputs!$D$1)</f>
        <v>0</v>
      </c>
      <c r="BD75" s="57">
        <f>IF(ISNA(SUMIFS(INDEX(Inputs!$B$2:$AZ$190,,MATCH(SUBSTITUTE(BD$3,"Q","T"),Inputs!$B$2:$AZ$2,0)),Inputs!$B$2:$B$190,$B75)*Inputs!$D$1),"",SUMIFS(INDEX(Inputs!$B$2:$AZ$190,,MATCH(SUBSTITUTE(BD$3,"Q","T"),Inputs!$B$2:$AZ$2,0)),Inputs!$B$2:$B$190,$B75)*Inputs!$D$1)</f>
        <v>0</v>
      </c>
      <c r="BE75" s="57">
        <f>IF(ISNA(SUMIFS(INDEX(Inputs!$B$2:$AZ$190,,MATCH(SUBSTITUTE(BE$3,"Q","T"),Inputs!$B$2:$AZ$2,0)),Inputs!$B$2:$B$190,$B75)*Inputs!$D$1),"",SUMIFS(INDEX(Inputs!$B$2:$AZ$190,,MATCH(SUBSTITUTE(BE$3,"Q","T"),Inputs!$B$2:$AZ$2,0)),Inputs!$B$2:$B$190,$B75)*Inputs!$D$1)</f>
        <v>0</v>
      </c>
      <c r="BF75" s="57">
        <f>IF(ISNA(SUMIFS(INDEX(Inputs!$B$2:$AZ$190,,MATCH(SUBSTITUTE(BF$3,"Q","T"),Inputs!$B$2:$AZ$2,0)),Inputs!$B$2:$B$190,$B75)*Inputs!$D$1),"",SUMIFS(INDEX(Inputs!$B$2:$AZ$190,,MATCH(SUBSTITUTE(BF$3,"Q","T"),Inputs!$B$2:$AZ$2,0)),Inputs!$B$2:$B$190,$B75)*Inputs!$D$1)</f>
        <v>0</v>
      </c>
      <c r="BG75" s="58">
        <f>SUM(BC75:BF75)</f>
        <v>0</v>
      </c>
    </row>
    <row r="76">
      <c r="C76" s="15" t="inlineStr">
        <is>
          <t>(Despesa de juros)</t>
        </is>
      </c>
      <c r="D76" s="16" t="inlineStr">
        <is>
          <t>(Interest expense)</t>
        </is>
      </c>
      <c r="E76" s="59">
        <f>IFERROR(E77+E78+E79+E80,"")</f>
        <v>0</v>
      </c>
      <c r="F76" s="59">
        <f>IFERROR(F77+F78+F79+F80,"")</f>
        <v>0</v>
      </c>
      <c r="G76" s="59">
        <f>IFERROR(G77+G78+G79+G80,"")</f>
        <v>0</v>
      </c>
      <c r="H76" s="59">
        <f>IFERROR(H77+H78+H79+H80,"")</f>
        <v>0</v>
      </c>
      <c r="I76" s="60">
        <f>SUM(E76:H76)</f>
        <v>0</v>
      </c>
      <c r="J76" s="59">
        <f>IFERROR(J77+J78+J79+J80,"")</f>
        <v>0</v>
      </c>
      <c r="K76" s="59">
        <f>IFERROR(K77+K78+K79+K80,"")</f>
        <v>0</v>
      </c>
      <c r="L76" s="59">
        <f>IFERROR(L77+L78+L79+L80,"")</f>
        <v>0</v>
      </c>
      <c r="M76" s="59">
        <f>IFERROR(M77+M78+M79+M80,"")</f>
        <v>0</v>
      </c>
      <c r="N76" s="60">
        <f>SUM(J76:M76)</f>
        <v>0</v>
      </c>
      <c r="O76" s="59">
        <f>IFERROR(O77+O78+O79+O80,"")</f>
        <v>0</v>
      </c>
      <c r="P76" s="59">
        <f>IFERROR(P77+P78+P79+P80,"")</f>
        <v>0</v>
      </c>
      <c r="Q76" s="59">
        <f>IFERROR(Q77+Q78+Q79+Q80,"")</f>
        <v>0</v>
      </c>
      <c r="R76" s="59">
        <f>IFERROR(R77+R78+R79+R80,"")</f>
        <v>0</v>
      </c>
      <c r="S76" s="60">
        <f>SUM(O76:R76)</f>
        <v>0</v>
      </c>
      <c r="T76" s="59">
        <f>IFERROR(T77+T78+T79+T80,"")</f>
        <v>0</v>
      </c>
      <c r="U76" s="59">
        <f>IFERROR(U77+U78+U79+U80,"")</f>
        <v>0</v>
      </c>
      <c r="V76" s="59">
        <f>IFERROR(V77+V78+V79+V80,"")</f>
        <v>0</v>
      </c>
      <c r="W76" s="59">
        <f>IFERROR(W77+W78+W79+W80,"")</f>
        <v>0</v>
      </c>
      <c r="X76" s="60">
        <f>SUM(T76:W76)</f>
        <v>0</v>
      </c>
      <c r="Y76" s="59">
        <f>IFERROR(Y77+Y78+Y79+Y80,"")</f>
        <v>0</v>
      </c>
      <c r="Z76" s="59">
        <f>IFERROR(Z77+Z78+Z79+Z80,"")</f>
        <v>0</v>
      </c>
      <c r="AA76" s="59">
        <f>IFERROR(AA77+AA78+AA79+AA80,"")</f>
        <v>0</v>
      </c>
      <c r="AB76" s="59">
        <f>IFERROR(AB77+AB78+AB79+AB80,"")</f>
        <v>0</v>
      </c>
      <c r="AC76" s="60">
        <f>SUM(Y76:AB76)</f>
        <v>0</v>
      </c>
      <c r="AD76" s="59">
        <f>IFERROR(AD77+AD78+AD79+AD80,"")</f>
        <v>0</v>
      </c>
      <c r="AE76" s="59">
        <f>IFERROR(AE77+AE78+AE79+AE80,"")</f>
        <v>0</v>
      </c>
      <c r="AF76" s="59">
        <f>IFERROR(AF77+AF78+AF79+AF80,"")</f>
        <v>0</v>
      </c>
      <c r="AG76" s="59">
        <f>IFERROR(AG77+AG78+AG79+AG80,"")</f>
        <v>0</v>
      </c>
      <c r="AH76" s="60">
        <f>SUM(AD76:AG76)</f>
        <v>0</v>
      </c>
      <c r="AI76" s="59">
        <f>IFERROR(AI77+AI78+AI79+AI80,"")</f>
        <v>0</v>
      </c>
      <c r="AJ76" s="59">
        <f>IFERROR(AJ77+AJ78+AJ79+AJ80,"")</f>
        <v>0</v>
      </c>
      <c r="AK76" s="59">
        <f>IFERROR(AK77+AK78+AK79+AK80,"")</f>
        <v>0</v>
      </c>
      <c r="AL76" s="59">
        <f>IFERROR(AL77+AL78+AL79+AL80,"")</f>
        <v>0</v>
      </c>
      <c r="AM76" s="60">
        <f>SUM(AI76:AL76)</f>
        <v>0</v>
      </c>
      <c r="AN76" s="59">
        <f>IFERROR(AN77+AN78+AN79+AN80,"")</f>
        <v>0</v>
      </c>
      <c r="AO76" s="59">
        <f>IFERROR(AO77+AO78+AO79+AO80,"")</f>
        <v>0</v>
      </c>
      <c r="AP76" s="59">
        <f>IFERROR(AP77+AP78+AP79+AP80,"")</f>
        <v>0</v>
      </c>
      <c r="AQ76" s="59">
        <f>IFERROR(AQ77+AQ78+AQ79+AQ80,"")</f>
        <v>0</v>
      </c>
      <c r="AR76" s="60">
        <f>SUM(AN76:AQ76)</f>
        <v>0</v>
      </c>
      <c r="AS76" s="59">
        <f>IFERROR(AS77+AS78+AS79+AS80,"")</f>
        <v>0</v>
      </c>
      <c r="AT76" s="59">
        <f>IFERROR(AT77+AT78+AT79+AT80,"")</f>
        <v>0</v>
      </c>
      <c r="AU76" s="59">
        <f>IFERROR(AU77+AU78+AU79+AU80,"")</f>
        <v>0</v>
      </c>
      <c r="AV76" s="59">
        <f>IFERROR(AV77+AV78+AV79+AV80,"")</f>
        <v>0</v>
      </c>
      <c r="AW76" s="60">
        <f>SUM(AS76:AV76)</f>
        <v>0</v>
      </c>
      <c r="AX76" s="59">
        <f>IFERROR(AX77+AX78+AX79+AX80,"")</f>
        <v>0</v>
      </c>
      <c r="AY76" s="59">
        <f>IFERROR(AY77+AY78+AY79+AY80,"")</f>
        <v>0</v>
      </c>
      <c r="AZ76" s="59">
        <f>IFERROR(AZ77+AZ78+AZ79+AZ80,"")</f>
        <v>0</v>
      </c>
      <c r="BA76" s="59">
        <f>IFERROR(BA77+BA78+BA79+BA80,"")</f>
        <v>0</v>
      </c>
      <c r="BB76" s="60">
        <f>SUM(AX76:BA76)</f>
        <v>0</v>
      </c>
      <c r="BC76" s="59">
        <f>IFERROR(BC77+BC78+BC79+BC80,"")</f>
        <v>0</v>
      </c>
      <c r="BD76" s="59">
        <f>IFERROR(BD77+BD78+BD79+BD80,"")</f>
        <v>0</v>
      </c>
      <c r="BE76" s="59">
        <f>IFERROR(BE77+BE78+BE79+BE80,"")</f>
        <v>0</v>
      </c>
      <c r="BF76" s="59">
        <f>IFERROR(BF77+BF78+BF79+BF80,"")</f>
        <v>0</v>
      </c>
      <c r="BG76" s="60">
        <f>SUM(BC76:BF76)</f>
        <v>0</v>
      </c>
      <c r="BI76" s="14" t="inlineStr">
        <is>
          <t>Convenção: toda despesa entra com sinal NEGATIVO. Todas as linhas de subtotal somam.</t>
        </is>
      </c>
    </row>
    <row r="77" hidden="1" outlineLevel="1">
      <c r="B77" s="56" t="inlineStr">
        <is>
          <t>ie_dep</t>
        </is>
      </c>
      <c r="C77" s="61" t="inlineStr">
        <is>
          <t>(Juros de depósitos)</t>
        </is>
      </c>
      <c r="D77" s="62" t="inlineStr">
        <is>
          <t>(Interest expense — deposits)</t>
        </is>
      </c>
      <c r="E77" s="57">
        <f>IF(ISNA(SUMIFS(INDEX(Inputs!$B$2:$AZ$190,,MATCH(SUBSTITUTE(E$3,"Q","T"),Inputs!$B$2:$AZ$2,0)),Inputs!$B$2:$B$190,$B77)*Inputs!$D$1),"",SUMIFS(INDEX(Inputs!$B$2:$AZ$190,,MATCH(SUBSTITUTE(E$3,"Q","T"),Inputs!$B$2:$AZ$2,0)),Inputs!$B$2:$B$190,$B77)*Inputs!$D$1)</f>
        <v>0</v>
      </c>
      <c r="F77" s="57">
        <f>IF(ISNA(SUMIFS(INDEX(Inputs!$B$2:$AZ$190,,MATCH(SUBSTITUTE(F$3,"Q","T"),Inputs!$B$2:$AZ$2,0)),Inputs!$B$2:$B$190,$B77)*Inputs!$D$1),"",SUMIFS(INDEX(Inputs!$B$2:$AZ$190,,MATCH(SUBSTITUTE(F$3,"Q","T"),Inputs!$B$2:$AZ$2,0)),Inputs!$B$2:$B$190,$B77)*Inputs!$D$1)</f>
        <v>0</v>
      </c>
      <c r="G77" s="57">
        <f>IF(ISNA(SUMIFS(INDEX(Inputs!$B$2:$AZ$190,,MATCH(SUBSTITUTE(G$3,"Q","T"),Inputs!$B$2:$AZ$2,0)),Inputs!$B$2:$B$190,$B77)*Inputs!$D$1),"",SUMIFS(INDEX(Inputs!$B$2:$AZ$190,,MATCH(SUBSTITUTE(G$3,"Q","T"),Inputs!$B$2:$AZ$2,0)),Inputs!$B$2:$B$190,$B77)*Inputs!$D$1)</f>
        <v>0</v>
      </c>
      <c r="H77" s="57">
        <f>IF(ISNA(SUMIFS(INDEX(Inputs!$B$2:$AZ$190,,MATCH(SUBSTITUTE(H$3,"Q","T"),Inputs!$B$2:$AZ$2,0)),Inputs!$B$2:$B$190,$B77)*Inputs!$D$1),"",SUMIFS(INDEX(Inputs!$B$2:$AZ$190,,MATCH(SUBSTITUTE(H$3,"Q","T"),Inputs!$B$2:$AZ$2,0)),Inputs!$B$2:$B$190,$B77)*Inputs!$D$1)</f>
        <v>0</v>
      </c>
      <c r="I77" s="58">
        <f>SUM(E77:H77)</f>
        <v>0</v>
      </c>
      <c r="J77" s="57">
        <f>IF(ISNA(SUMIFS(INDEX(Inputs!$B$2:$AZ$190,,MATCH(SUBSTITUTE(J$3,"Q","T"),Inputs!$B$2:$AZ$2,0)),Inputs!$B$2:$B$190,$B77)*Inputs!$D$1),"",SUMIFS(INDEX(Inputs!$B$2:$AZ$190,,MATCH(SUBSTITUTE(J$3,"Q","T"),Inputs!$B$2:$AZ$2,0)),Inputs!$B$2:$B$190,$B77)*Inputs!$D$1)</f>
        <v>0</v>
      </c>
      <c r="K77" s="57">
        <f>IF(ISNA(SUMIFS(INDEX(Inputs!$B$2:$AZ$190,,MATCH(SUBSTITUTE(K$3,"Q","T"),Inputs!$B$2:$AZ$2,0)),Inputs!$B$2:$B$190,$B77)*Inputs!$D$1),"",SUMIFS(INDEX(Inputs!$B$2:$AZ$190,,MATCH(SUBSTITUTE(K$3,"Q","T"),Inputs!$B$2:$AZ$2,0)),Inputs!$B$2:$B$190,$B77)*Inputs!$D$1)</f>
        <v>0</v>
      </c>
      <c r="L77" s="57">
        <f>IF(ISNA(SUMIFS(INDEX(Inputs!$B$2:$AZ$190,,MATCH(SUBSTITUTE(L$3,"Q","T"),Inputs!$B$2:$AZ$2,0)),Inputs!$B$2:$B$190,$B77)*Inputs!$D$1),"",SUMIFS(INDEX(Inputs!$B$2:$AZ$190,,MATCH(SUBSTITUTE(L$3,"Q","T"),Inputs!$B$2:$AZ$2,0)),Inputs!$B$2:$B$190,$B77)*Inputs!$D$1)</f>
        <v>0</v>
      </c>
      <c r="M77" s="57">
        <f>IF(ISNA(SUMIFS(INDEX(Inputs!$B$2:$AZ$190,,MATCH(SUBSTITUTE(M$3,"Q","T"),Inputs!$B$2:$AZ$2,0)),Inputs!$B$2:$B$190,$B77)*Inputs!$D$1),"",SUMIFS(INDEX(Inputs!$B$2:$AZ$190,,MATCH(SUBSTITUTE(M$3,"Q","T"),Inputs!$B$2:$AZ$2,0)),Inputs!$B$2:$B$190,$B77)*Inputs!$D$1)</f>
        <v>0</v>
      </c>
      <c r="N77" s="58">
        <f>SUM(J77:M77)</f>
        <v>0</v>
      </c>
      <c r="O77" s="57">
        <f>IF(ISNA(SUMIFS(INDEX(Inputs!$B$2:$AZ$190,,MATCH(SUBSTITUTE(O$3,"Q","T"),Inputs!$B$2:$AZ$2,0)),Inputs!$B$2:$B$190,$B77)*Inputs!$D$1),"",SUMIFS(INDEX(Inputs!$B$2:$AZ$190,,MATCH(SUBSTITUTE(O$3,"Q","T"),Inputs!$B$2:$AZ$2,0)),Inputs!$B$2:$B$190,$B77)*Inputs!$D$1)</f>
        <v>0</v>
      </c>
      <c r="P77" s="57">
        <f>IF(ISNA(SUMIFS(INDEX(Inputs!$B$2:$AZ$190,,MATCH(SUBSTITUTE(P$3,"Q","T"),Inputs!$B$2:$AZ$2,0)),Inputs!$B$2:$B$190,$B77)*Inputs!$D$1),"",SUMIFS(INDEX(Inputs!$B$2:$AZ$190,,MATCH(SUBSTITUTE(P$3,"Q","T"),Inputs!$B$2:$AZ$2,0)),Inputs!$B$2:$B$190,$B77)*Inputs!$D$1)</f>
        <v>0</v>
      </c>
      <c r="Q77" s="57">
        <f>IF(ISNA(SUMIFS(INDEX(Inputs!$B$2:$AZ$190,,MATCH(SUBSTITUTE(Q$3,"Q","T"),Inputs!$B$2:$AZ$2,0)),Inputs!$B$2:$B$190,$B77)*Inputs!$D$1),"",SUMIFS(INDEX(Inputs!$B$2:$AZ$190,,MATCH(SUBSTITUTE(Q$3,"Q","T"),Inputs!$B$2:$AZ$2,0)),Inputs!$B$2:$B$190,$B77)*Inputs!$D$1)</f>
        <v>0</v>
      </c>
      <c r="R77" s="57">
        <f>IF(ISNA(SUMIFS(INDEX(Inputs!$B$2:$AZ$190,,MATCH(SUBSTITUTE(R$3,"Q","T"),Inputs!$B$2:$AZ$2,0)),Inputs!$B$2:$B$190,$B77)*Inputs!$D$1),"",SUMIFS(INDEX(Inputs!$B$2:$AZ$190,,MATCH(SUBSTITUTE(R$3,"Q","T"),Inputs!$B$2:$AZ$2,0)),Inputs!$B$2:$B$190,$B77)*Inputs!$D$1)</f>
        <v>0</v>
      </c>
      <c r="S77" s="58">
        <f>SUM(O77:R77)</f>
        <v>0</v>
      </c>
      <c r="T77" s="57">
        <f>IF(ISNA(SUMIFS(INDEX(Inputs!$B$2:$AZ$190,,MATCH(SUBSTITUTE(T$3,"Q","T"),Inputs!$B$2:$AZ$2,0)),Inputs!$B$2:$B$190,$B77)*Inputs!$D$1),"",SUMIFS(INDEX(Inputs!$B$2:$AZ$190,,MATCH(SUBSTITUTE(T$3,"Q","T"),Inputs!$B$2:$AZ$2,0)),Inputs!$B$2:$B$190,$B77)*Inputs!$D$1)</f>
        <v>0</v>
      </c>
      <c r="U77" s="57">
        <f>IF(ISNA(SUMIFS(INDEX(Inputs!$B$2:$AZ$190,,MATCH(SUBSTITUTE(U$3,"Q","T"),Inputs!$B$2:$AZ$2,0)),Inputs!$B$2:$B$190,$B77)*Inputs!$D$1),"",SUMIFS(INDEX(Inputs!$B$2:$AZ$190,,MATCH(SUBSTITUTE(U$3,"Q","T"),Inputs!$B$2:$AZ$2,0)),Inputs!$B$2:$B$190,$B77)*Inputs!$D$1)</f>
        <v>0</v>
      </c>
      <c r="V77" s="57">
        <f>IF(ISNA(SUMIFS(INDEX(Inputs!$B$2:$AZ$190,,MATCH(SUBSTITUTE(V$3,"Q","T"),Inputs!$B$2:$AZ$2,0)),Inputs!$B$2:$B$190,$B77)*Inputs!$D$1),"",SUMIFS(INDEX(Inputs!$B$2:$AZ$190,,MATCH(SUBSTITUTE(V$3,"Q","T"),Inputs!$B$2:$AZ$2,0)),Inputs!$B$2:$B$190,$B77)*Inputs!$D$1)</f>
        <v>0</v>
      </c>
      <c r="W77" s="57">
        <f>IF(ISNA(SUMIFS(INDEX(Inputs!$B$2:$AZ$190,,MATCH(SUBSTITUTE(W$3,"Q","T"),Inputs!$B$2:$AZ$2,0)),Inputs!$B$2:$B$190,$B77)*Inputs!$D$1),"",SUMIFS(INDEX(Inputs!$B$2:$AZ$190,,MATCH(SUBSTITUTE(W$3,"Q","T"),Inputs!$B$2:$AZ$2,0)),Inputs!$B$2:$B$190,$B77)*Inputs!$D$1)</f>
        <v>0</v>
      </c>
      <c r="X77" s="58">
        <f>SUM(T77:W77)</f>
        <v>0</v>
      </c>
      <c r="Y77" s="57">
        <f>IF(ISNA(SUMIFS(INDEX(Inputs!$B$2:$AZ$190,,MATCH(SUBSTITUTE(Y$3,"Q","T"),Inputs!$B$2:$AZ$2,0)),Inputs!$B$2:$B$190,$B77)*Inputs!$D$1),"",SUMIFS(INDEX(Inputs!$B$2:$AZ$190,,MATCH(SUBSTITUTE(Y$3,"Q","T"),Inputs!$B$2:$AZ$2,0)),Inputs!$B$2:$B$190,$B77)*Inputs!$D$1)</f>
        <v>0</v>
      </c>
      <c r="Z77" s="57">
        <f>IF(ISNA(SUMIFS(INDEX(Inputs!$B$2:$AZ$190,,MATCH(SUBSTITUTE(Z$3,"Q","T"),Inputs!$B$2:$AZ$2,0)),Inputs!$B$2:$B$190,$B77)*Inputs!$D$1),"",SUMIFS(INDEX(Inputs!$B$2:$AZ$190,,MATCH(SUBSTITUTE(Z$3,"Q","T"),Inputs!$B$2:$AZ$2,0)),Inputs!$B$2:$B$190,$B77)*Inputs!$D$1)</f>
        <v>0</v>
      </c>
      <c r="AA77" s="57">
        <f>IF(ISNA(SUMIFS(INDEX(Inputs!$B$2:$AZ$190,,MATCH(SUBSTITUTE(AA$3,"Q","T"),Inputs!$B$2:$AZ$2,0)),Inputs!$B$2:$B$190,$B77)*Inputs!$D$1),"",SUMIFS(INDEX(Inputs!$B$2:$AZ$190,,MATCH(SUBSTITUTE(AA$3,"Q","T"),Inputs!$B$2:$AZ$2,0)),Inputs!$B$2:$B$190,$B77)*Inputs!$D$1)</f>
        <v>0</v>
      </c>
      <c r="AB77" s="57">
        <f>IF(ISNA(SUMIFS(INDEX(Inputs!$B$2:$AZ$190,,MATCH(SUBSTITUTE(AB$3,"Q","T"),Inputs!$B$2:$AZ$2,0)),Inputs!$B$2:$B$190,$B77)*Inputs!$D$1),"",SUMIFS(INDEX(Inputs!$B$2:$AZ$190,,MATCH(SUBSTITUTE(AB$3,"Q","T"),Inputs!$B$2:$AZ$2,0)),Inputs!$B$2:$B$190,$B77)*Inputs!$D$1)</f>
        <v>0</v>
      </c>
      <c r="AC77" s="58">
        <f>SUM(Y77:AB77)</f>
        <v>0</v>
      </c>
      <c r="AD77" s="57">
        <f>IF(ISNA(SUMIFS(INDEX(Inputs!$B$2:$AZ$190,,MATCH(SUBSTITUTE(AD$3,"Q","T"),Inputs!$B$2:$AZ$2,0)),Inputs!$B$2:$B$190,$B77)*Inputs!$D$1),"",SUMIFS(INDEX(Inputs!$B$2:$AZ$190,,MATCH(SUBSTITUTE(AD$3,"Q","T"),Inputs!$B$2:$AZ$2,0)),Inputs!$B$2:$B$190,$B77)*Inputs!$D$1)</f>
        <v>0</v>
      </c>
      <c r="AE77" s="57">
        <f>IF(ISNA(SUMIFS(INDEX(Inputs!$B$2:$AZ$190,,MATCH(SUBSTITUTE(AE$3,"Q","T"),Inputs!$B$2:$AZ$2,0)),Inputs!$B$2:$B$190,$B77)*Inputs!$D$1),"",SUMIFS(INDEX(Inputs!$B$2:$AZ$190,,MATCH(SUBSTITUTE(AE$3,"Q","T"),Inputs!$B$2:$AZ$2,0)),Inputs!$B$2:$B$190,$B77)*Inputs!$D$1)</f>
        <v>0</v>
      </c>
      <c r="AF77" s="57">
        <f>IF(ISNA(SUMIFS(INDEX(Inputs!$B$2:$AZ$190,,MATCH(SUBSTITUTE(AF$3,"Q","T"),Inputs!$B$2:$AZ$2,0)),Inputs!$B$2:$B$190,$B77)*Inputs!$D$1),"",SUMIFS(INDEX(Inputs!$B$2:$AZ$190,,MATCH(SUBSTITUTE(AF$3,"Q","T"),Inputs!$B$2:$AZ$2,0)),Inputs!$B$2:$B$190,$B77)*Inputs!$D$1)</f>
        <v>0</v>
      </c>
      <c r="AG77" s="57">
        <f>IF(ISNA(SUMIFS(INDEX(Inputs!$B$2:$AZ$190,,MATCH(SUBSTITUTE(AG$3,"Q","T"),Inputs!$B$2:$AZ$2,0)),Inputs!$B$2:$B$190,$B77)*Inputs!$D$1),"",SUMIFS(INDEX(Inputs!$B$2:$AZ$190,,MATCH(SUBSTITUTE(AG$3,"Q","T"),Inputs!$B$2:$AZ$2,0)),Inputs!$B$2:$B$190,$B77)*Inputs!$D$1)</f>
        <v>0</v>
      </c>
      <c r="AH77" s="58">
        <f>SUM(AD77:AG77)</f>
        <v>0</v>
      </c>
      <c r="AI77" s="57">
        <f>IF(ISNA(SUMIFS(INDEX(Inputs!$B$2:$AZ$190,,MATCH(SUBSTITUTE(AI$3,"Q","T"),Inputs!$B$2:$AZ$2,0)),Inputs!$B$2:$B$190,$B77)*Inputs!$D$1),"",SUMIFS(INDEX(Inputs!$B$2:$AZ$190,,MATCH(SUBSTITUTE(AI$3,"Q","T"),Inputs!$B$2:$AZ$2,0)),Inputs!$B$2:$B$190,$B77)*Inputs!$D$1)</f>
        <v>0</v>
      </c>
      <c r="AJ77" s="57">
        <f>IF(ISNA(SUMIFS(INDEX(Inputs!$B$2:$AZ$190,,MATCH(SUBSTITUTE(AJ$3,"Q","T"),Inputs!$B$2:$AZ$2,0)),Inputs!$B$2:$B$190,$B77)*Inputs!$D$1),"",SUMIFS(INDEX(Inputs!$B$2:$AZ$190,,MATCH(SUBSTITUTE(AJ$3,"Q","T"),Inputs!$B$2:$AZ$2,0)),Inputs!$B$2:$B$190,$B77)*Inputs!$D$1)</f>
        <v>0</v>
      </c>
      <c r="AK77" s="57">
        <f>IF(ISNA(SUMIFS(INDEX(Inputs!$B$2:$AZ$190,,MATCH(SUBSTITUTE(AK$3,"Q","T"),Inputs!$B$2:$AZ$2,0)),Inputs!$B$2:$B$190,$B77)*Inputs!$D$1),"",SUMIFS(INDEX(Inputs!$B$2:$AZ$190,,MATCH(SUBSTITUTE(AK$3,"Q","T"),Inputs!$B$2:$AZ$2,0)),Inputs!$B$2:$B$190,$B77)*Inputs!$D$1)</f>
        <v>0</v>
      </c>
      <c r="AL77" s="57">
        <f>IF(ISNA(SUMIFS(INDEX(Inputs!$B$2:$AZ$190,,MATCH(SUBSTITUTE(AL$3,"Q","T"),Inputs!$B$2:$AZ$2,0)),Inputs!$B$2:$B$190,$B77)*Inputs!$D$1),"",SUMIFS(INDEX(Inputs!$B$2:$AZ$190,,MATCH(SUBSTITUTE(AL$3,"Q","T"),Inputs!$B$2:$AZ$2,0)),Inputs!$B$2:$B$190,$B77)*Inputs!$D$1)</f>
        <v>0</v>
      </c>
      <c r="AM77" s="58">
        <f>SUM(AI77:AL77)</f>
        <v>0</v>
      </c>
      <c r="AN77" s="57">
        <f>IF(ISNA(SUMIFS(INDEX(Inputs!$B$2:$AZ$190,,MATCH(SUBSTITUTE(AN$3,"Q","T"),Inputs!$B$2:$AZ$2,0)),Inputs!$B$2:$B$190,$B77)*Inputs!$D$1),"",SUMIFS(INDEX(Inputs!$B$2:$AZ$190,,MATCH(SUBSTITUTE(AN$3,"Q","T"),Inputs!$B$2:$AZ$2,0)),Inputs!$B$2:$B$190,$B77)*Inputs!$D$1)</f>
        <v>0</v>
      </c>
      <c r="AO77" s="57">
        <f>IF(ISNA(SUMIFS(INDEX(Inputs!$B$2:$AZ$190,,MATCH(SUBSTITUTE(AO$3,"Q","T"),Inputs!$B$2:$AZ$2,0)),Inputs!$B$2:$B$190,$B77)*Inputs!$D$1),"",SUMIFS(INDEX(Inputs!$B$2:$AZ$190,,MATCH(SUBSTITUTE(AO$3,"Q","T"),Inputs!$B$2:$AZ$2,0)),Inputs!$B$2:$B$190,$B77)*Inputs!$D$1)</f>
        <v>0</v>
      </c>
      <c r="AP77" s="57">
        <f>IF(ISNA(SUMIFS(INDEX(Inputs!$B$2:$AZ$190,,MATCH(SUBSTITUTE(AP$3,"Q","T"),Inputs!$B$2:$AZ$2,0)),Inputs!$B$2:$B$190,$B77)*Inputs!$D$1),"",SUMIFS(INDEX(Inputs!$B$2:$AZ$190,,MATCH(SUBSTITUTE(AP$3,"Q","T"),Inputs!$B$2:$AZ$2,0)),Inputs!$B$2:$B$190,$B77)*Inputs!$D$1)</f>
        <v>0</v>
      </c>
      <c r="AQ77" s="57">
        <f>IF(ISNA(SUMIFS(INDEX(Inputs!$B$2:$AZ$190,,MATCH(SUBSTITUTE(AQ$3,"Q","T"),Inputs!$B$2:$AZ$2,0)),Inputs!$B$2:$B$190,$B77)*Inputs!$D$1),"",SUMIFS(INDEX(Inputs!$B$2:$AZ$190,,MATCH(SUBSTITUTE(AQ$3,"Q","T"),Inputs!$B$2:$AZ$2,0)),Inputs!$B$2:$B$190,$B77)*Inputs!$D$1)</f>
        <v>0</v>
      </c>
      <c r="AR77" s="58">
        <f>SUM(AN77:AQ77)</f>
        <v>0</v>
      </c>
      <c r="AS77" s="57">
        <f>IF(ISNA(SUMIFS(INDEX(Inputs!$B$2:$AZ$190,,MATCH(SUBSTITUTE(AS$3,"Q","T"),Inputs!$B$2:$AZ$2,0)),Inputs!$B$2:$B$190,$B77)*Inputs!$D$1),"",SUMIFS(INDEX(Inputs!$B$2:$AZ$190,,MATCH(SUBSTITUTE(AS$3,"Q","T"),Inputs!$B$2:$AZ$2,0)),Inputs!$B$2:$B$190,$B77)*Inputs!$D$1)</f>
        <v>0</v>
      </c>
      <c r="AT77" s="57">
        <f>IF(ISNA(SUMIFS(INDEX(Inputs!$B$2:$AZ$190,,MATCH(SUBSTITUTE(AT$3,"Q","T"),Inputs!$B$2:$AZ$2,0)),Inputs!$B$2:$B$190,$B77)*Inputs!$D$1),"",SUMIFS(INDEX(Inputs!$B$2:$AZ$190,,MATCH(SUBSTITUTE(AT$3,"Q","T"),Inputs!$B$2:$AZ$2,0)),Inputs!$B$2:$B$190,$B77)*Inputs!$D$1)</f>
        <v>0</v>
      </c>
      <c r="AU77" s="57">
        <f>IF(ISNA(SUMIFS(INDEX(Inputs!$B$2:$AZ$190,,MATCH(SUBSTITUTE(AU$3,"Q","T"),Inputs!$B$2:$AZ$2,0)),Inputs!$B$2:$B$190,$B77)*Inputs!$D$1),"",SUMIFS(INDEX(Inputs!$B$2:$AZ$190,,MATCH(SUBSTITUTE(AU$3,"Q","T"),Inputs!$B$2:$AZ$2,0)),Inputs!$B$2:$B$190,$B77)*Inputs!$D$1)</f>
        <v>0</v>
      </c>
      <c r="AV77" s="57">
        <f>IF(ISNA(SUMIFS(INDEX(Inputs!$B$2:$AZ$190,,MATCH(SUBSTITUTE(AV$3,"Q","T"),Inputs!$B$2:$AZ$2,0)),Inputs!$B$2:$B$190,$B77)*Inputs!$D$1),"",SUMIFS(INDEX(Inputs!$B$2:$AZ$190,,MATCH(SUBSTITUTE(AV$3,"Q","T"),Inputs!$B$2:$AZ$2,0)),Inputs!$B$2:$B$190,$B77)*Inputs!$D$1)</f>
        <v>0</v>
      </c>
      <c r="AW77" s="58">
        <f>SUM(AS77:AV77)</f>
        <v>0</v>
      </c>
      <c r="AX77" s="57">
        <f>IF(ISNA(SUMIFS(INDEX(Inputs!$B$2:$AZ$190,,MATCH(SUBSTITUTE(AX$3,"Q","T"),Inputs!$B$2:$AZ$2,0)),Inputs!$B$2:$B$190,$B77)*Inputs!$D$1),"",SUMIFS(INDEX(Inputs!$B$2:$AZ$190,,MATCH(SUBSTITUTE(AX$3,"Q","T"),Inputs!$B$2:$AZ$2,0)),Inputs!$B$2:$B$190,$B77)*Inputs!$D$1)</f>
        <v>0</v>
      </c>
      <c r="AY77" s="57">
        <f>IF(ISNA(SUMIFS(INDEX(Inputs!$B$2:$AZ$190,,MATCH(SUBSTITUTE(AY$3,"Q","T"),Inputs!$B$2:$AZ$2,0)),Inputs!$B$2:$B$190,$B77)*Inputs!$D$1),"",SUMIFS(INDEX(Inputs!$B$2:$AZ$190,,MATCH(SUBSTITUTE(AY$3,"Q","T"),Inputs!$B$2:$AZ$2,0)),Inputs!$B$2:$B$190,$B77)*Inputs!$D$1)</f>
        <v>0</v>
      </c>
      <c r="AZ77" s="57">
        <f>IF(ISNA(SUMIFS(INDEX(Inputs!$B$2:$AZ$190,,MATCH(SUBSTITUTE(AZ$3,"Q","T"),Inputs!$B$2:$AZ$2,0)),Inputs!$B$2:$B$190,$B77)*Inputs!$D$1),"",SUMIFS(INDEX(Inputs!$B$2:$AZ$190,,MATCH(SUBSTITUTE(AZ$3,"Q","T"),Inputs!$B$2:$AZ$2,0)),Inputs!$B$2:$B$190,$B77)*Inputs!$D$1)</f>
        <v>0</v>
      </c>
      <c r="BA77" s="57">
        <f>IF(ISNA(SUMIFS(INDEX(Inputs!$B$2:$AZ$190,,MATCH(SUBSTITUTE(BA$3,"Q","T"),Inputs!$B$2:$AZ$2,0)),Inputs!$B$2:$B$190,$B77)*Inputs!$D$1),"",SUMIFS(INDEX(Inputs!$B$2:$AZ$190,,MATCH(SUBSTITUTE(BA$3,"Q","T"),Inputs!$B$2:$AZ$2,0)),Inputs!$B$2:$B$190,$B77)*Inputs!$D$1)</f>
        <v>0</v>
      </c>
      <c r="BB77" s="58">
        <f>SUM(AX77:BA77)</f>
        <v>0</v>
      </c>
      <c r="BC77" s="57">
        <f>IF(ISNA(SUMIFS(INDEX(Inputs!$B$2:$AZ$190,,MATCH(SUBSTITUTE(BC$3,"Q","T"),Inputs!$B$2:$AZ$2,0)),Inputs!$B$2:$B$190,$B77)*Inputs!$D$1),"",SUMIFS(INDEX(Inputs!$B$2:$AZ$190,,MATCH(SUBSTITUTE(BC$3,"Q","T"),Inputs!$B$2:$AZ$2,0)),Inputs!$B$2:$B$190,$B77)*Inputs!$D$1)</f>
        <v>0</v>
      </c>
      <c r="BD77" s="57">
        <f>IF(ISNA(SUMIFS(INDEX(Inputs!$B$2:$AZ$190,,MATCH(SUBSTITUTE(BD$3,"Q","T"),Inputs!$B$2:$AZ$2,0)),Inputs!$B$2:$B$190,$B77)*Inputs!$D$1),"",SUMIFS(INDEX(Inputs!$B$2:$AZ$190,,MATCH(SUBSTITUTE(BD$3,"Q","T"),Inputs!$B$2:$AZ$2,0)),Inputs!$B$2:$B$190,$B77)*Inputs!$D$1)</f>
        <v>0</v>
      </c>
      <c r="BE77" s="57">
        <f>IF(ISNA(SUMIFS(INDEX(Inputs!$B$2:$AZ$190,,MATCH(SUBSTITUTE(BE$3,"Q","T"),Inputs!$B$2:$AZ$2,0)),Inputs!$B$2:$B$190,$B77)*Inputs!$D$1),"",SUMIFS(INDEX(Inputs!$B$2:$AZ$190,,MATCH(SUBSTITUTE(BE$3,"Q","T"),Inputs!$B$2:$AZ$2,0)),Inputs!$B$2:$B$190,$B77)*Inputs!$D$1)</f>
        <v>0</v>
      </c>
      <c r="BF77" s="57">
        <f>IF(ISNA(SUMIFS(INDEX(Inputs!$B$2:$AZ$190,,MATCH(SUBSTITUTE(BF$3,"Q","T"),Inputs!$B$2:$AZ$2,0)),Inputs!$B$2:$B$190,$B77)*Inputs!$D$1),"",SUMIFS(INDEX(Inputs!$B$2:$AZ$190,,MATCH(SUBSTITUTE(BF$3,"Q","T"),Inputs!$B$2:$AZ$2,0)),Inputs!$B$2:$B$190,$B77)*Inputs!$D$1)</f>
        <v>0</v>
      </c>
      <c r="BG77" s="58">
        <f>SUM(BC77:BF77)</f>
        <v>0</v>
      </c>
    </row>
    <row r="78" hidden="1" outlineLevel="1">
      <c r="B78" s="56" t="inlineStr">
        <is>
          <t>ie_ltd</t>
        </is>
      </c>
      <c r="C78" s="61" t="inlineStr">
        <is>
          <t>(Juros de dívida de longo prazo e VIEs)</t>
        </is>
      </c>
      <c r="D78" s="62" t="inlineStr">
        <is>
          <t>(Interest expense — long-term debt and VIEs)</t>
        </is>
      </c>
      <c r="E78" s="57">
        <f>IF(ISNA(SUMIFS(INDEX(Inputs!$B$2:$AZ$190,,MATCH(SUBSTITUTE(E$3,"Q","T"),Inputs!$B$2:$AZ$2,0)),Inputs!$B$2:$B$190,$B78)*Inputs!$D$1),"",SUMIFS(INDEX(Inputs!$B$2:$AZ$190,,MATCH(SUBSTITUTE(E$3,"Q","T"),Inputs!$B$2:$AZ$2,0)),Inputs!$B$2:$B$190,$B78)*Inputs!$D$1)</f>
        <v>0</v>
      </c>
      <c r="F78" s="57">
        <f>IF(ISNA(SUMIFS(INDEX(Inputs!$B$2:$AZ$190,,MATCH(SUBSTITUTE(F$3,"Q","T"),Inputs!$B$2:$AZ$2,0)),Inputs!$B$2:$B$190,$B78)*Inputs!$D$1),"",SUMIFS(INDEX(Inputs!$B$2:$AZ$190,,MATCH(SUBSTITUTE(F$3,"Q","T"),Inputs!$B$2:$AZ$2,0)),Inputs!$B$2:$B$190,$B78)*Inputs!$D$1)</f>
        <v>0</v>
      </c>
      <c r="G78" s="57">
        <f>IF(ISNA(SUMIFS(INDEX(Inputs!$B$2:$AZ$190,,MATCH(SUBSTITUTE(G$3,"Q","T"),Inputs!$B$2:$AZ$2,0)),Inputs!$B$2:$B$190,$B78)*Inputs!$D$1),"",SUMIFS(INDEX(Inputs!$B$2:$AZ$190,,MATCH(SUBSTITUTE(G$3,"Q","T"),Inputs!$B$2:$AZ$2,0)),Inputs!$B$2:$B$190,$B78)*Inputs!$D$1)</f>
        <v>0</v>
      </c>
      <c r="H78" s="57">
        <f>IF(ISNA(SUMIFS(INDEX(Inputs!$B$2:$AZ$190,,MATCH(SUBSTITUTE(H$3,"Q","T"),Inputs!$B$2:$AZ$2,0)),Inputs!$B$2:$B$190,$B78)*Inputs!$D$1),"",SUMIFS(INDEX(Inputs!$B$2:$AZ$190,,MATCH(SUBSTITUTE(H$3,"Q","T"),Inputs!$B$2:$AZ$2,0)),Inputs!$B$2:$B$190,$B78)*Inputs!$D$1)</f>
        <v>0</v>
      </c>
      <c r="I78" s="58">
        <f>SUM(E78:H78)</f>
        <v>0</v>
      </c>
      <c r="J78" s="57">
        <f>IF(ISNA(SUMIFS(INDEX(Inputs!$B$2:$AZ$190,,MATCH(SUBSTITUTE(J$3,"Q","T"),Inputs!$B$2:$AZ$2,0)),Inputs!$B$2:$B$190,$B78)*Inputs!$D$1),"",SUMIFS(INDEX(Inputs!$B$2:$AZ$190,,MATCH(SUBSTITUTE(J$3,"Q","T"),Inputs!$B$2:$AZ$2,0)),Inputs!$B$2:$B$190,$B78)*Inputs!$D$1)</f>
        <v>0</v>
      </c>
      <c r="K78" s="57">
        <f>IF(ISNA(SUMIFS(INDEX(Inputs!$B$2:$AZ$190,,MATCH(SUBSTITUTE(K$3,"Q","T"),Inputs!$B$2:$AZ$2,0)),Inputs!$B$2:$B$190,$B78)*Inputs!$D$1),"",SUMIFS(INDEX(Inputs!$B$2:$AZ$190,,MATCH(SUBSTITUTE(K$3,"Q","T"),Inputs!$B$2:$AZ$2,0)),Inputs!$B$2:$B$190,$B78)*Inputs!$D$1)</f>
        <v>0</v>
      </c>
      <c r="L78" s="57">
        <f>IF(ISNA(SUMIFS(INDEX(Inputs!$B$2:$AZ$190,,MATCH(SUBSTITUTE(L$3,"Q","T"),Inputs!$B$2:$AZ$2,0)),Inputs!$B$2:$B$190,$B78)*Inputs!$D$1),"",SUMIFS(INDEX(Inputs!$B$2:$AZ$190,,MATCH(SUBSTITUTE(L$3,"Q","T"),Inputs!$B$2:$AZ$2,0)),Inputs!$B$2:$B$190,$B78)*Inputs!$D$1)</f>
        <v>0</v>
      </c>
      <c r="M78" s="57">
        <f>IF(ISNA(SUMIFS(INDEX(Inputs!$B$2:$AZ$190,,MATCH(SUBSTITUTE(M$3,"Q","T"),Inputs!$B$2:$AZ$2,0)),Inputs!$B$2:$B$190,$B78)*Inputs!$D$1),"",SUMIFS(INDEX(Inputs!$B$2:$AZ$190,,MATCH(SUBSTITUTE(M$3,"Q","T"),Inputs!$B$2:$AZ$2,0)),Inputs!$B$2:$B$190,$B78)*Inputs!$D$1)</f>
        <v>0</v>
      </c>
      <c r="N78" s="58">
        <f>SUM(J78:M78)</f>
        <v>0</v>
      </c>
      <c r="O78" s="57">
        <f>IF(ISNA(SUMIFS(INDEX(Inputs!$B$2:$AZ$190,,MATCH(SUBSTITUTE(O$3,"Q","T"),Inputs!$B$2:$AZ$2,0)),Inputs!$B$2:$B$190,$B78)*Inputs!$D$1),"",SUMIFS(INDEX(Inputs!$B$2:$AZ$190,,MATCH(SUBSTITUTE(O$3,"Q","T"),Inputs!$B$2:$AZ$2,0)),Inputs!$B$2:$B$190,$B78)*Inputs!$D$1)</f>
        <v>0</v>
      </c>
      <c r="P78" s="57">
        <f>IF(ISNA(SUMIFS(INDEX(Inputs!$B$2:$AZ$190,,MATCH(SUBSTITUTE(P$3,"Q","T"),Inputs!$B$2:$AZ$2,0)),Inputs!$B$2:$B$190,$B78)*Inputs!$D$1),"",SUMIFS(INDEX(Inputs!$B$2:$AZ$190,,MATCH(SUBSTITUTE(P$3,"Q","T"),Inputs!$B$2:$AZ$2,0)),Inputs!$B$2:$B$190,$B78)*Inputs!$D$1)</f>
        <v>0</v>
      </c>
      <c r="Q78" s="57">
        <f>IF(ISNA(SUMIFS(INDEX(Inputs!$B$2:$AZ$190,,MATCH(SUBSTITUTE(Q$3,"Q","T"),Inputs!$B$2:$AZ$2,0)),Inputs!$B$2:$B$190,$B78)*Inputs!$D$1),"",SUMIFS(INDEX(Inputs!$B$2:$AZ$190,,MATCH(SUBSTITUTE(Q$3,"Q","T"),Inputs!$B$2:$AZ$2,0)),Inputs!$B$2:$B$190,$B78)*Inputs!$D$1)</f>
        <v>0</v>
      </c>
      <c r="R78" s="57">
        <f>IF(ISNA(SUMIFS(INDEX(Inputs!$B$2:$AZ$190,,MATCH(SUBSTITUTE(R$3,"Q","T"),Inputs!$B$2:$AZ$2,0)),Inputs!$B$2:$B$190,$B78)*Inputs!$D$1),"",SUMIFS(INDEX(Inputs!$B$2:$AZ$190,,MATCH(SUBSTITUTE(R$3,"Q","T"),Inputs!$B$2:$AZ$2,0)),Inputs!$B$2:$B$190,$B78)*Inputs!$D$1)</f>
        <v>0</v>
      </c>
      <c r="S78" s="58">
        <f>SUM(O78:R78)</f>
        <v>0</v>
      </c>
      <c r="T78" s="57">
        <f>IF(ISNA(SUMIFS(INDEX(Inputs!$B$2:$AZ$190,,MATCH(SUBSTITUTE(T$3,"Q","T"),Inputs!$B$2:$AZ$2,0)),Inputs!$B$2:$B$190,$B78)*Inputs!$D$1),"",SUMIFS(INDEX(Inputs!$B$2:$AZ$190,,MATCH(SUBSTITUTE(T$3,"Q","T"),Inputs!$B$2:$AZ$2,0)),Inputs!$B$2:$B$190,$B78)*Inputs!$D$1)</f>
        <v>0</v>
      </c>
      <c r="U78" s="57">
        <f>IF(ISNA(SUMIFS(INDEX(Inputs!$B$2:$AZ$190,,MATCH(SUBSTITUTE(U$3,"Q","T"),Inputs!$B$2:$AZ$2,0)),Inputs!$B$2:$B$190,$B78)*Inputs!$D$1),"",SUMIFS(INDEX(Inputs!$B$2:$AZ$190,,MATCH(SUBSTITUTE(U$3,"Q","T"),Inputs!$B$2:$AZ$2,0)),Inputs!$B$2:$B$190,$B78)*Inputs!$D$1)</f>
        <v>0</v>
      </c>
      <c r="V78" s="57">
        <f>IF(ISNA(SUMIFS(INDEX(Inputs!$B$2:$AZ$190,,MATCH(SUBSTITUTE(V$3,"Q","T"),Inputs!$B$2:$AZ$2,0)),Inputs!$B$2:$B$190,$B78)*Inputs!$D$1),"",SUMIFS(INDEX(Inputs!$B$2:$AZ$190,,MATCH(SUBSTITUTE(V$3,"Q","T"),Inputs!$B$2:$AZ$2,0)),Inputs!$B$2:$B$190,$B78)*Inputs!$D$1)</f>
        <v>0</v>
      </c>
      <c r="W78" s="57">
        <f>IF(ISNA(SUMIFS(INDEX(Inputs!$B$2:$AZ$190,,MATCH(SUBSTITUTE(W$3,"Q","T"),Inputs!$B$2:$AZ$2,0)),Inputs!$B$2:$B$190,$B78)*Inputs!$D$1),"",SUMIFS(INDEX(Inputs!$B$2:$AZ$190,,MATCH(SUBSTITUTE(W$3,"Q","T"),Inputs!$B$2:$AZ$2,0)),Inputs!$B$2:$B$190,$B78)*Inputs!$D$1)</f>
        <v>0</v>
      </c>
      <c r="X78" s="58">
        <f>SUM(T78:W78)</f>
        <v>0</v>
      </c>
      <c r="Y78" s="57">
        <f>IF(ISNA(SUMIFS(INDEX(Inputs!$B$2:$AZ$190,,MATCH(SUBSTITUTE(Y$3,"Q","T"),Inputs!$B$2:$AZ$2,0)),Inputs!$B$2:$B$190,$B78)*Inputs!$D$1),"",SUMIFS(INDEX(Inputs!$B$2:$AZ$190,,MATCH(SUBSTITUTE(Y$3,"Q","T"),Inputs!$B$2:$AZ$2,0)),Inputs!$B$2:$B$190,$B78)*Inputs!$D$1)</f>
        <v>0</v>
      </c>
      <c r="Z78" s="57">
        <f>IF(ISNA(SUMIFS(INDEX(Inputs!$B$2:$AZ$190,,MATCH(SUBSTITUTE(Z$3,"Q","T"),Inputs!$B$2:$AZ$2,0)),Inputs!$B$2:$B$190,$B78)*Inputs!$D$1),"",SUMIFS(INDEX(Inputs!$B$2:$AZ$190,,MATCH(SUBSTITUTE(Z$3,"Q","T"),Inputs!$B$2:$AZ$2,0)),Inputs!$B$2:$B$190,$B78)*Inputs!$D$1)</f>
        <v>0</v>
      </c>
      <c r="AA78" s="57">
        <f>IF(ISNA(SUMIFS(INDEX(Inputs!$B$2:$AZ$190,,MATCH(SUBSTITUTE(AA$3,"Q","T"),Inputs!$B$2:$AZ$2,0)),Inputs!$B$2:$B$190,$B78)*Inputs!$D$1),"",SUMIFS(INDEX(Inputs!$B$2:$AZ$190,,MATCH(SUBSTITUTE(AA$3,"Q","T"),Inputs!$B$2:$AZ$2,0)),Inputs!$B$2:$B$190,$B78)*Inputs!$D$1)</f>
        <v>0</v>
      </c>
      <c r="AB78" s="57">
        <f>IF(ISNA(SUMIFS(INDEX(Inputs!$B$2:$AZ$190,,MATCH(SUBSTITUTE(AB$3,"Q","T"),Inputs!$B$2:$AZ$2,0)),Inputs!$B$2:$B$190,$B78)*Inputs!$D$1),"",SUMIFS(INDEX(Inputs!$B$2:$AZ$190,,MATCH(SUBSTITUTE(AB$3,"Q","T"),Inputs!$B$2:$AZ$2,0)),Inputs!$B$2:$B$190,$B78)*Inputs!$D$1)</f>
        <v>0</v>
      </c>
      <c r="AC78" s="58">
        <f>SUM(Y78:AB78)</f>
        <v>0</v>
      </c>
      <c r="AD78" s="57">
        <f>IF(ISNA(SUMIFS(INDEX(Inputs!$B$2:$AZ$190,,MATCH(SUBSTITUTE(AD$3,"Q","T"),Inputs!$B$2:$AZ$2,0)),Inputs!$B$2:$B$190,$B78)*Inputs!$D$1),"",SUMIFS(INDEX(Inputs!$B$2:$AZ$190,,MATCH(SUBSTITUTE(AD$3,"Q","T"),Inputs!$B$2:$AZ$2,0)),Inputs!$B$2:$B$190,$B78)*Inputs!$D$1)</f>
        <v>0</v>
      </c>
      <c r="AE78" s="57">
        <f>IF(ISNA(SUMIFS(INDEX(Inputs!$B$2:$AZ$190,,MATCH(SUBSTITUTE(AE$3,"Q","T"),Inputs!$B$2:$AZ$2,0)),Inputs!$B$2:$B$190,$B78)*Inputs!$D$1),"",SUMIFS(INDEX(Inputs!$B$2:$AZ$190,,MATCH(SUBSTITUTE(AE$3,"Q","T"),Inputs!$B$2:$AZ$2,0)),Inputs!$B$2:$B$190,$B78)*Inputs!$D$1)</f>
        <v>0</v>
      </c>
      <c r="AF78" s="57">
        <f>IF(ISNA(SUMIFS(INDEX(Inputs!$B$2:$AZ$190,,MATCH(SUBSTITUTE(AF$3,"Q","T"),Inputs!$B$2:$AZ$2,0)),Inputs!$B$2:$B$190,$B78)*Inputs!$D$1),"",SUMIFS(INDEX(Inputs!$B$2:$AZ$190,,MATCH(SUBSTITUTE(AF$3,"Q","T"),Inputs!$B$2:$AZ$2,0)),Inputs!$B$2:$B$190,$B78)*Inputs!$D$1)</f>
        <v>0</v>
      </c>
      <c r="AG78" s="57">
        <f>IF(ISNA(SUMIFS(INDEX(Inputs!$B$2:$AZ$190,,MATCH(SUBSTITUTE(AG$3,"Q","T"),Inputs!$B$2:$AZ$2,0)),Inputs!$B$2:$B$190,$B78)*Inputs!$D$1),"",SUMIFS(INDEX(Inputs!$B$2:$AZ$190,,MATCH(SUBSTITUTE(AG$3,"Q","T"),Inputs!$B$2:$AZ$2,0)),Inputs!$B$2:$B$190,$B78)*Inputs!$D$1)</f>
        <v>0</v>
      </c>
      <c r="AH78" s="58">
        <f>SUM(AD78:AG78)</f>
        <v>0</v>
      </c>
      <c r="AI78" s="57">
        <f>IF(ISNA(SUMIFS(INDEX(Inputs!$B$2:$AZ$190,,MATCH(SUBSTITUTE(AI$3,"Q","T"),Inputs!$B$2:$AZ$2,0)),Inputs!$B$2:$B$190,$B78)*Inputs!$D$1),"",SUMIFS(INDEX(Inputs!$B$2:$AZ$190,,MATCH(SUBSTITUTE(AI$3,"Q","T"),Inputs!$B$2:$AZ$2,0)),Inputs!$B$2:$B$190,$B78)*Inputs!$D$1)</f>
        <v>0</v>
      </c>
      <c r="AJ78" s="57">
        <f>IF(ISNA(SUMIFS(INDEX(Inputs!$B$2:$AZ$190,,MATCH(SUBSTITUTE(AJ$3,"Q","T"),Inputs!$B$2:$AZ$2,0)),Inputs!$B$2:$B$190,$B78)*Inputs!$D$1),"",SUMIFS(INDEX(Inputs!$B$2:$AZ$190,,MATCH(SUBSTITUTE(AJ$3,"Q","T"),Inputs!$B$2:$AZ$2,0)),Inputs!$B$2:$B$190,$B78)*Inputs!$D$1)</f>
        <v>0</v>
      </c>
      <c r="AK78" s="57">
        <f>IF(ISNA(SUMIFS(INDEX(Inputs!$B$2:$AZ$190,,MATCH(SUBSTITUTE(AK$3,"Q","T"),Inputs!$B$2:$AZ$2,0)),Inputs!$B$2:$B$190,$B78)*Inputs!$D$1),"",SUMIFS(INDEX(Inputs!$B$2:$AZ$190,,MATCH(SUBSTITUTE(AK$3,"Q","T"),Inputs!$B$2:$AZ$2,0)),Inputs!$B$2:$B$190,$B78)*Inputs!$D$1)</f>
        <v>0</v>
      </c>
      <c r="AL78" s="57">
        <f>IF(ISNA(SUMIFS(INDEX(Inputs!$B$2:$AZ$190,,MATCH(SUBSTITUTE(AL$3,"Q","T"),Inputs!$B$2:$AZ$2,0)),Inputs!$B$2:$B$190,$B78)*Inputs!$D$1),"",SUMIFS(INDEX(Inputs!$B$2:$AZ$190,,MATCH(SUBSTITUTE(AL$3,"Q","T"),Inputs!$B$2:$AZ$2,0)),Inputs!$B$2:$B$190,$B78)*Inputs!$D$1)</f>
        <v>0</v>
      </c>
      <c r="AM78" s="58">
        <f>SUM(AI78:AL78)</f>
        <v>0</v>
      </c>
      <c r="AN78" s="57">
        <f>IF(ISNA(SUMIFS(INDEX(Inputs!$B$2:$AZ$190,,MATCH(SUBSTITUTE(AN$3,"Q","T"),Inputs!$B$2:$AZ$2,0)),Inputs!$B$2:$B$190,$B78)*Inputs!$D$1),"",SUMIFS(INDEX(Inputs!$B$2:$AZ$190,,MATCH(SUBSTITUTE(AN$3,"Q","T"),Inputs!$B$2:$AZ$2,0)),Inputs!$B$2:$B$190,$B78)*Inputs!$D$1)</f>
        <v>0</v>
      </c>
      <c r="AO78" s="57">
        <f>IF(ISNA(SUMIFS(INDEX(Inputs!$B$2:$AZ$190,,MATCH(SUBSTITUTE(AO$3,"Q","T"),Inputs!$B$2:$AZ$2,0)),Inputs!$B$2:$B$190,$B78)*Inputs!$D$1),"",SUMIFS(INDEX(Inputs!$B$2:$AZ$190,,MATCH(SUBSTITUTE(AO$3,"Q","T"),Inputs!$B$2:$AZ$2,0)),Inputs!$B$2:$B$190,$B78)*Inputs!$D$1)</f>
        <v>0</v>
      </c>
      <c r="AP78" s="57">
        <f>IF(ISNA(SUMIFS(INDEX(Inputs!$B$2:$AZ$190,,MATCH(SUBSTITUTE(AP$3,"Q","T"),Inputs!$B$2:$AZ$2,0)),Inputs!$B$2:$B$190,$B78)*Inputs!$D$1),"",SUMIFS(INDEX(Inputs!$B$2:$AZ$190,,MATCH(SUBSTITUTE(AP$3,"Q","T"),Inputs!$B$2:$AZ$2,0)),Inputs!$B$2:$B$190,$B78)*Inputs!$D$1)</f>
        <v>0</v>
      </c>
      <c r="AQ78" s="57">
        <f>IF(ISNA(SUMIFS(INDEX(Inputs!$B$2:$AZ$190,,MATCH(SUBSTITUTE(AQ$3,"Q","T"),Inputs!$B$2:$AZ$2,0)),Inputs!$B$2:$B$190,$B78)*Inputs!$D$1),"",SUMIFS(INDEX(Inputs!$B$2:$AZ$190,,MATCH(SUBSTITUTE(AQ$3,"Q","T"),Inputs!$B$2:$AZ$2,0)),Inputs!$B$2:$B$190,$B78)*Inputs!$D$1)</f>
        <v>0</v>
      </c>
      <c r="AR78" s="58">
        <f>SUM(AN78:AQ78)</f>
        <v>0</v>
      </c>
      <c r="AS78" s="57">
        <f>IF(ISNA(SUMIFS(INDEX(Inputs!$B$2:$AZ$190,,MATCH(SUBSTITUTE(AS$3,"Q","T"),Inputs!$B$2:$AZ$2,0)),Inputs!$B$2:$B$190,$B78)*Inputs!$D$1),"",SUMIFS(INDEX(Inputs!$B$2:$AZ$190,,MATCH(SUBSTITUTE(AS$3,"Q","T"),Inputs!$B$2:$AZ$2,0)),Inputs!$B$2:$B$190,$B78)*Inputs!$D$1)</f>
        <v>0</v>
      </c>
      <c r="AT78" s="57">
        <f>IF(ISNA(SUMIFS(INDEX(Inputs!$B$2:$AZ$190,,MATCH(SUBSTITUTE(AT$3,"Q","T"),Inputs!$B$2:$AZ$2,0)),Inputs!$B$2:$B$190,$B78)*Inputs!$D$1),"",SUMIFS(INDEX(Inputs!$B$2:$AZ$190,,MATCH(SUBSTITUTE(AT$3,"Q","T"),Inputs!$B$2:$AZ$2,0)),Inputs!$B$2:$B$190,$B78)*Inputs!$D$1)</f>
        <v>0</v>
      </c>
      <c r="AU78" s="57">
        <f>IF(ISNA(SUMIFS(INDEX(Inputs!$B$2:$AZ$190,,MATCH(SUBSTITUTE(AU$3,"Q","T"),Inputs!$B$2:$AZ$2,0)),Inputs!$B$2:$B$190,$B78)*Inputs!$D$1),"",SUMIFS(INDEX(Inputs!$B$2:$AZ$190,,MATCH(SUBSTITUTE(AU$3,"Q","T"),Inputs!$B$2:$AZ$2,0)),Inputs!$B$2:$B$190,$B78)*Inputs!$D$1)</f>
        <v>0</v>
      </c>
      <c r="AV78" s="57">
        <f>IF(ISNA(SUMIFS(INDEX(Inputs!$B$2:$AZ$190,,MATCH(SUBSTITUTE(AV$3,"Q","T"),Inputs!$B$2:$AZ$2,0)),Inputs!$B$2:$B$190,$B78)*Inputs!$D$1),"",SUMIFS(INDEX(Inputs!$B$2:$AZ$190,,MATCH(SUBSTITUTE(AV$3,"Q","T"),Inputs!$B$2:$AZ$2,0)),Inputs!$B$2:$B$190,$B78)*Inputs!$D$1)</f>
        <v>0</v>
      </c>
      <c r="AW78" s="58">
        <f>SUM(AS78:AV78)</f>
        <v>0</v>
      </c>
      <c r="AX78" s="57">
        <f>IF(ISNA(SUMIFS(INDEX(Inputs!$B$2:$AZ$190,,MATCH(SUBSTITUTE(AX$3,"Q","T"),Inputs!$B$2:$AZ$2,0)),Inputs!$B$2:$B$190,$B78)*Inputs!$D$1),"",SUMIFS(INDEX(Inputs!$B$2:$AZ$190,,MATCH(SUBSTITUTE(AX$3,"Q","T"),Inputs!$B$2:$AZ$2,0)),Inputs!$B$2:$B$190,$B78)*Inputs!$D$1)</f>
        <v>0</v>
      </c>
      <c r="AY78" s="57">
        <f>IF(ISNA(SUMIFS(INDEX(Inputs!$B$2:$AZ$190,,MATCH(SUBSTITUTE(AY$3,"Q","T"),Inputs!$B$2:$AZ$2,0)),Inputs!$B$2:$B$190,$B78)*Inputs!$D$1),"",SUMIFS(INDEX(Inputs!$B$2:$AZ$190,,MATCH(SUBSTITUTE(AY$3,"Q","T"),Inputs!$B$2:$AZ$2,0)),Inputs!$B$2:$B$190,$B78)*Inputs!$D$1)</f>
        <v>0</v>
      </c>
      <c r="AZ78" s="57">
        <f>IF(ISNA(SUMIFS(INDEX(Inputs!$B$2:$AZ$190,,MATCH(SUBSTITUTE(AZ$3,"Q","T"),Inputs!$B$2:$AZ$2,0)),Inputs!$B$2:$B$190,$B78)*Inputs!$D$1),"",SUMIFS(INDEX(Inputs!$B$2:$AZ$190,,MATCH(SUBSTITUTE(AZ$3,"Q","T"),Inputs!$B$2:$AZ$2,0)),Inputs!$B$2:$B$190,$B78)*Inputs!$D$1)</f>
        <v>0</v>
      </c>
      <c r="BA78" s="57">
        <f>IF(ISNA(SUMIFS(INDEX(Inputs!$B$2:$AZ$190,,MATCH(SUBSTITUTE(BA$3,"Q","T"),Inputs!$B$2:$AZ$2,0)),Inputs!$B$2:$B$190,$B78)*Inputs!$D$1),"",SUMIFS(INDEX(Inputs!$B$2:$AZ$190,,MATCH(SUBSTITUTE(BA$3,"Q","T"),Inputs!$B$2:$AZ$2,0)),Inputs!$B$2:$B$190,$B78)*Inputs!$D$1)</f>
        <v>0</v>
      </c>
      <c r="BB78" s="58">
        <f>SUM(AX78:BA78)</f>
        <v>0</v>
      </c>
      <c r="BC78" s="57">
        <f>IF(ISNA(SUMIFS(INDEX(Inputs!$B$2:$AZ$190,,MATCH(SUBSTITUTE(BC$3,"Q","T"),Inputs!$B$2:$AZ$2,0)),Inputs!$B$2:$B$190,$B78)*Inputs!$D$1),"",SUMIFS(INDEX(Inputs!$B$2:$AZ$190,,MATCH(SUBSTITUTE(BC$3,"Q","T"),Inputs!$B$2:$AZ$2,0)),Inputs!$B$2:$B$190,$B78)*Inputs!$D$1)</f>
        <v>0</v>
      </c>
      <c r="BD78" s="57">
        <f>IF(ISNA(SUMIFS(INDEX(Inputs!$B$2:$AZ$190,,MATCH(SUBSTITUTE(BD$3,"Q","T"),Inputs!$B$2:$AZ$2,0)),Inputs!$B$2:$B$190,$B78)*Inputs!$D$1),"",SUMIFS(INDEX(Inputs!$B$2:$AZ$190,,MATCH(SUBSTITUTE(BD$3,"Q","T"),Inputs!$B$2:$AZ$2,0)),Inputs!$B$2:$B$190,$B78)*Inputs!$D$1)</f>
        <v>0</v>
      </c>
      <c r="BE78" s="57">
        <f>IF(ISNA(SUMIFS(INDEX(Inputs!$B$2:$AZ$190,,MATCH(SUBSTITUTE(BE$3,"Q","T"),Inputs!$B$2:$AZ$2,0)),Inputs!$B$2:$B$190,$B78)*Inputs!$D$1),"",SUMIFS(INDEX(Inputs!$B$2:$AZ$190,,MATCH(SUBSTITUTE(BE$3,"Q","T"),Inputs!$B$2:$AZ$2,0)),Inputs!$B$2:$B$190,$B78)*Inputs!$D$1)</f>
        <v>0</v>
      </c>
      <c r="BF78" s="57">
        <f>IF(ISNA(SUMIFS(INDEX(Inputs!$B$2:$AZ$190,,MATCH(SUBSTITUTE(BF$3,"Q","T"),Inputs!$B$2:$AZ$2,0)),Inputs!$B$2:$B$190,$B78)*Inputs!$D$1),"",SUMIFS(INDEX(Inputs!$B$2:$AZ$190,,MATCH(SUBSTITUTE(BF$3,"Q","T"),Inputs!$B$2:$AZ$2,0)),Inputs!$B$2:$B$190,$B78)*Inputs!$D$1)</f>
        <v>0</v>
      </c>
      <c r="BG78" s="58">
        <f>SUM(BC78:BF78)</f>
        <v>0</v>
      </c>
    </row>
    <row r="79" hidden="1" outlineLevel="1">
      <c r="B79" s="56" t="inlineStr">
        <is>
          <t>ie_st</t>
        </is>
      </c>
      <c r="C79" s="61" t="inlineStr">
        <is>
          <t>(Juros de compromissadas, curto prazo, trading e outros)</t>
        </is>
      </c>
      <c r="D79" s="62" t="inlineStr">
        <is>
          <t>(Interest expense — repos, short-term, trading and other)</t>
        </is>
      </c>
      <c r="E79" s="57">
        <f>IF(ISNA(SUMIFS(INDEX(Inputs!$B$2:$AZ$190,,MATCH(SUBSTITUTE(E$3,"Q","T"),Inputs!$B$2:$AZ$2,0)),Inputs!$B$2:$B$190,$B79)*Inputs!$D$1),"",SUMIFS(INDEX(Inputs!$B$2:$AZ$190,,MATCH(SUBSTITUTE(E$3,"Q","T"),Inputs!$B$2:$AZ$2,0)),Inputs!$B$2:$B$190,$B79)*Inputs!$D$1)</f>
        <v>0</v>
      </c>
      <c r="F79" s="57">
        <f>IF(ISNA(SUMIFS(INDEX(Inputs!$B$2:$AZ$190,,MATCH(SUBSTITUTE(F$3,"Q","T"),Inputs!$B$2:$AZ$2,0)),Inputs!$B$2:$B$190,$B79)*Inputs!$D$1),"",SUMIFS(INDEX(Inputs!$B$2:$AZ$190,,MATCH(SUBSTITUTE(F$3,"Q","T"),Inputs!$B$2:$AZ$2,0)),Inputs!$B$2:$B$190,$B79)*Inputs!$D$1)</f>
        <v>0</v>
      </c>
      <c r="G79" s="57">
        <f>IF(ISNA(SUMIFS(INDEX(Inputs!$B$2:$AZ$190,,MATCH(SUBSTITUTE(G$3,"Q","T"),Inputs!$B$2:$AZ$2,0)),Inputs!$B$2:$B$190,$B79)*Inputs!$D$1),"",SUMIFS(INDEX(Inputs!$B$2:$AZ$190,,MATCH(SUBSTITUTE(G$3,"Q","T"),Inputs!$B$2:$AZ$2,0)),Inputs!$B$2:$B$190,$B79)*Inputs!$D$1)</f>
        <v>0</v>
      </c>
      <c r="H79" s="57">
        <f>IF(ISNA(SUMIFS(INDEX(Inputs!$B$2:$AZ$190,,MATCH(SUBSTITUTE(H$3,"Q","T"),Inputs!$B$2:$AZ$2,0)),Inputs!$B$2:$B$190,$B79)*Inputs!$D$1),"",SUMIFS(INDEX(Inputs!$B$2:$AZ$190,,MATCH(SUBSTITUTE(H$3,"Q","T"),Inputs!$B$2:$AZ$2,0)),Inputs!$B$2:$B$190,$B79)*Inputs!$D$1)</f>
        <v>0</v>
      </c>
      <c r="I79" s="58">
        <f>SUM(E79:H79)</f>
        <v>0</v>
      </c>
      <c r="J79" s="57">
        <f>IF(ISNA(SUMIFS(INDEX(Inputs!$B$2:$AZ$190,,MATCH(SUBSTITUTE(J$3,"Q","T"),Inputs!$B$2:$AZ$2,0)),Inputs!$B$2:$B$190,$B79)*Inputs!$D$1),"",SUMIFS(INDEX(Inputs!$B$2:$AZ$190,,MATCH(SUBSTITUTE(J$3,"Q","T"),Inputs!$B$2:$AZ$2,0)),Inputs!$B$2:$B$190,$B79)*Inputs!$D$1)</f>
        <v>0</v>
      </c>
      <c r="K79" s="57">
        <f>IF(ISNA(SUMIFS(INDEX(Inputs!$B$2:$AZ$190,,MATCH(SUBSTITUTE(K$3,"Q","T"),Inputs!$B$2:$AZ$2,0)),Inputs!$B$2:$B$190,$B79)*Inputs!$D$1),"",SUMIFS(INDEX(Inputs!$B$2:$AZ$190,,MATCH(SUBSTITUTE(K$3,"Q","T"),Inputs!$B$2:$AZ$2,0)),Inputs!$B$2:$B$190,$B79)*Inputs!$D$1)</f>
        <v>0</v>
      </c>
      <c r="L79" s="57">
        <f>IF(ISNA(SUMIFS(INDEX(Inputs!$B$2:$AZ$190,,MATCH(SUBSTITUTE(L$3,"Q","T"),Inputs!$B$2:$AZ$2,0)),Inputs!$B$2:$B$190,$B79)*Inputs!$D$1),"",SUMIFS(INDEX(Inputs!$B$2:$AZ$190,,MATCH(SUBSTITUTE(L$3,"Q","T"),Inputs!$B$2:$AZ$2,0)),Inputs!$B$2:$B$190,$B79)*Inputs!$D$1)</f>
        <v>0</v>
      </c>
      <c r="M79" s="57">
        <f>IF(ISNA(SUMIFS(INDEX(Inputs!$B$2:$AZ$190,,MATCH(SUBSTITUTE(M$3,"Q","T"),Inputs!$B$2:$AZ$2,0)),Inputs!$B$2:$B$190,$B79)*Inputs!$D$1),"",SUMIFS(INDEX(Inputs!$B$2:$AZ$190,,MATCH(SUBSTITUTE(M$3,"Q","T"),Inputs!$B$2:$AZ$2,0)),Inputs!$B$2:$B$190,$B79)*Inputs!$D$1)</f>
        <v>0</v>
      </c>
      <c r="N79" s="58">
        <f>SUM(J79:M79)</f>
        <v>0</v>
      </c>
      <c r="O79" s="57">
        <f>IF(ISNA(SUMIFS(INDEX(Inputs!$B$2:$AZ$190,,MATCH(SUBSTITUTE(O$3,"Q","T"),Inputs!$B$2:$AZ$2,0)),Inputs!$B$2:$B$190,$B79)*Inputs!$D$1),"",SUMIFS(INDEX(Inputs!$B$2:$AZ$190,,MATCH(SUBSTITUTE(O$3,"Q","T"),Inputs!$B$2:$AZ$2,0)),Inputs!$B$2:$B$190,$B79)*Inputs!$D$1)</f>
        <v>0</v>
      </c>
      <c r="P79" s="57">
        <f>IF(ISNA(SUMIFS(INDEX(Inputs!$B$2:$AZ$190,,MATCH(SUBSTITUTE(P$3,"Q","T"),Inputs!$B$2:$AZ$2,0)),Inputs!$B$2:$B$190,$B79)*Inputs!$D$1),"",SUMIFS(INDEX(Inputs!$B$2:$AZ$190,,MATCH(SUBSTITUTE(P$3,"Q","T"),Inputs!$B$2:$AZ$2,0)),Inputs!$B$2:$B$190,$B79)*Inputs!$D$1)</f>
        <v>0</v>
      </c>
      <c r="Q79" s="57">
        <f>IF(ISNA(SUMIFS(INDEX(Inputs!$B$2:$AZ$190,,MATCH(SUBSTITUTE(Q$3,"Q","T"),Inputs!$B$2:$AZ$2,0)),Inputs!$B$2:$B$190,$B79)*Inputs!$D$1),"",SUMIFS(INDEX(Inputs!$B$2:$AZ$190,,MATCH(SUBSTITUTE(Q$3,"Q","T"),Inputs!$B$2:$AZ$2,0)),Inputs!$B$2:$B$190,$B79)*Inputs!$D$1)</f>
        <v>0</v>
      </c>
      <c r="R79" s="57">
        <f>IF(ISNA(SUMIFS(INDEX(Inputs!$B$2:$AZ$190,,MATCH(SUBSTITUTE(R$3,"Q","T"),Inputs!$B$2:$AZ$2,0)),Inputs!$B$2:$B$190,$B79)*Inputs!$D$1),"",SUMIFS(INDEX(Inputs!$B$2:$AZ$190,,MATCH(SUBSTITUTE(R$3,"Q","T"),Inputs!$B$2:$AZ$2,0)),Inputs!$B$2:$B$190,$B79)*Inputs!$D$1)</f>
        <v>0</v>
      </c>
      <c r="S79" s="58">
        <f>SUM(O79:R79)</f>
        <v>0</v>
      </c>
      <c r="T79" s="57">
        <f>IF(ISNA(SUMIFS(INDEX(Inputs!$B$2:$AZ$190,,MATCH(SUBSTITUTE(T$3,"Q","T"),Inputs!$B$2:$AZ$2,0)),Inputs!$B$2:$B$190,$B79)*Inputs!$D$1),"",SUMIFS(INDEX(Inputs!$B$2:$AZ$190,,MATCH(SUBSTITUTE(T$3,"Q","T"),Inputs!$B$2:$AZ$2,0)),Inputs!$B$2:$B$190,$B79)*Inputs!$D$1)</f>
        <v>0</v>
      </c>
      <c r="U79" s="57">
        <f>IF(ISNA(SUMIFS(INDEX(Inputs!$B$2:$AZ$190,,MATCH(SUBSTITUTE(U$3,"Q","T"),Inputs!$B$2:$AZ$2,0)),Inputs!$B$2:$B$190,$B79)*Inputs!$D$1),"",SUMIFS(INDEX(Inputs!$B$2:$AZ$190,,MATCH(SUBSTITUTE(U$3,"Q","T"),Inputs!$B$2:$AZ$2,0)),Inputs!$B$2:$B$190,$B79)*Inputs!$D$1)</f>
        <v>0</v>
      </c>
      <c r="V79" s="57">
        <f>IF(ISNA(SUMIFS(INDEX(Inputs!$B$2:$AZ$190,,MATCH(SUBSTITUTE(V$3,"Q","T"),Inputs!$B$2:$AZ$2,0)),Inputs!$B$2:$B$190,$B79)*Inputs!$D$1),"",SUMIFS(INDEX(Inputs!$B$2:$AZ$190,,MATCH(SUBSTITUTE(V$3,"Q","T"),Inputs!$B$2:$AZ$2,0)),Inputs!$B$2:$B$190,$B79)*Inputs!$D$1)</f>
        <v>0</v>
      </c>
      <c r="W79" s="57">
        <f>IF(ISNA(SUMIFS(INDEX(Inputs!$B$2:$AZ$190,,MATCH(SUBSTITUTE(W$3,"Q","T"),Inputs!$B$2:$AZ$2,0)),Inputs!$B$2:$B$190,$B79)*Inputs!$D$1),"",SUMIFS(INDEX(Inputs!$B$2:$AZ$190,,MATCH(SUBSTITUTE(W$3,"Q","T"),Inputs!$B$2:$AZ$2,0)),Inputs!$B$2:$B$190,$B79)*Inputs!$D$1)</f>
        <v>0</v>
      </c>
      <c r="X79" s="58">
        <f>SUM(T79:W79)</f>
        <v>0</v>
      </c>
      <c r="Y79" s="57">
        <f>IF(ISNA(SUMIFS(INDEX(Inputs!$B$2:$AZ$190,,MATCH(SUBSTITUTE(Y$3,"Q","T"),Inputs!$B$2:$AZ$2,0)),Inputs!$B$2:$B$190,$B79)*Inputs!$D$1),"",SUMIFS(INDEX(Inputs!$B$2:$AZ$190,,MATCH(SUBSTITUTE(Y$3,"Q","T"),Inputs!$B$2:$AZ$2,0)),Inputs!$B$2:$B$190,$B79)*Inputs!$D$1)</f>
        <v>0</v>
      </c>
      <c r="Z79" s="57">
        <f>IF(ISNA(SUMIFS(INDEX(Inputs!$B$2:$AZ$190,,MATCH(SUBSTITUTE(Z$3,"Q","T"),Inputs!$B$2:$AZ$2,0)),Inputs!$B$2:$B$190,$B79)*Inputs!$D$1),"",SUMIFS(INDEX(Inputs!$B$2:$AZ$190,,MATCH(SUBSTITUTE(Z$3,"Q","T"),Inputs!$B$2:$AZ$2,0)),Inputs!$B$2:$B$190,$B79)*Inputs!$D$1)</f>
        <v>0</v>
      </c>
      <c r="AA79" s="57">
        <f>IF(ISNA(SUMIFS(INDEX(Inputs!$B$2:$AZ$190,,MATCH(SUBSTITUTE(AA$3,"Q","T"),Inputs!$B$2:$AZ$2,0)),Inputs!$B$2:$B$190,$B79)*Inputs!$D$1),"",SUMIFS(INDEX(Inputs!$B$2:$AZ$190,,MATCH(SUBSTITUTE(AA$3,"Q","T"),Inputs!$B$2:$AZ$2,0)),Inputs!$B$2:$B$190,$B79)*Inputs!$D$1)</f>
        <v>0</v>
      </c>
      <c r="AB79" s="57">
        <f>IF(ISNA(SUMIFS(INDEX(Inputs!$B$2:$AZ$190,,MATCH(SUBSTITUTE(AB$3,"Q","T"),Inputs!$B$2:$AZ$2,0)),Inputs!$B$2:$B$190,$B79)*Inputs!$D$1),"",SUMIFS(INDEX(Inputs!$B$2:$AZ$190,,MATCH(SUBSTITUTE(AB$3,"Q","T"),Inputs!$B$2:$AZ$2,0)),Inputs!$B$2:$B$190,$B79)*Inputs!$D$1)</f>
        <v>0</v>
      </c>
      <c r="AC79" s="58">
        <f>SUM(Y79:AB79)</f>
        <v>0</v>
      </c>
      <c r="AD79" s="57">
        <f>IF(ISNA(SUMIFS(INDEX(Inputs!$B$2:$AZ$190,,MATCH(SUBSTITUTE(AD$3,"Q","T"),Inputs!$B$2:$AZ$2,0)),Inputs!$B$2:$B$190,$B79)*Inputs!$D$1),"",SUMIFS(INDEX(Inputs!$B$2:$AZ$190,,MATCH(SUBSTITUTE(AD$3,"Q","T"),Inputs!$B$2:$AZ$2,0)),Inputs!$B$2:$B$190,$B79)*Inputs!$D$1)</f>
        <v>0</v>
      </c>
      <c r="AE79" s="57">
        <f>IF(ISNA(SUMIFS(INDEX(Inputs!$B$2:$AZ$190,,MATCH(SUBSTITUTE(AE$3,"Q","T"),Inputs!$B$2:$AZ$2,0)),Inputs!$B$2:$B$190,$B79)*Inputs!$D$1),"",SUMIFS(INDEX(Inputs!$B$2:$AZ$190,,MATCH(SUBSTITUTE(AE$3,"Q","T"),Inputs!$B$2:$AZ$2,0)),Inputs!$B$2:$B$190,$B79)*Inputs!$D$1)</f>
        <v>0</v>
      </c>
      <c r="AF79" s="57">
        <f>IF(ISNA(SUMIFS(INDEX(Inputs!$B$2:$AZ$190,,MATCH(SUBSTITUTE(AF$3,"Q","T"),Inputs!$B$2:$AZ$2,0)),Inputs!$B$2:$B$190,$B79)*Inputs!$D$1),"",SUMIFS(INDEX(Inputs!$B$2:$AZ$190,,MATCH(SUBSTITUTE(AF$3,"Q","T"),Inputs!$B$2:$AZ$2,0)),Inputs!$B$2:$B$190,$B79)*Inputs!$D$1)</f>
        <v>0</v>
      </c>
      <c r="AG79" s="57">
        <f>IF(ISNA(SUMIFS(INDEX(Inputs!$B$2:$AZ$190,,MATCH(SUBSTITUTE(AG$3,"Q","T"),Inputs!$B$2:$AZ$2,0)),Inputs!$B$2:$B$190,$B79)*Inputs!$D$1),"",SUMIFS(INDEX(Inputs!$B$2:$AZ$190,,MATCH(SUBSTITUTE(AG$3,"Q","T"),Inputs!$B$2:$AZ$2,0)),Inputs!$B$2:$B$190,$B79)*Inputs!$D$1)</f>
        <v>0</v>
      </c>
      <c r="AH79" s="58">
        <f>SUM(AD79:AG79)</f>
        <v>0</v>
      </c>
      <c r="AI79" s="57">
        <f>IF(ISNA(SUMIFS(INDEX(Inputs!$B$2:$AZ$190,,MATCH(SUBSTITUTE(AI$3,"Q","T"),Inputs!$B$2:$AZ$2,0)),Inputs!$B$2:$B$190,$B79)*Inputs!$D$1),"",SUMIFS(INDEX(Inputs!$B$2:$AZ$190,,MATCH(SUBSTITUTE(AI$3,"Q","T"),Inputs!$B$2:$AZ$2,0)),Inputs!$B$2:$B$190,$B79)*Inputs!$D$1)</f>
        <v>0</v>
      </c>
      <c r="AJ79" s="57">
        <f>IF(ISNA(SUMIFS(INDEX(Inputs!$B$2:$AZ$190,,MATCH(SUBSTITUTE(AJ$3,"Q","T"),Inputs!$B$2:$AZ$2,0)),Inputs!$B$2:$B$190,$B79)*Inputs!$D$1),"",SUMIFS(INDEX(Inputs!$B$2:$AZ$190,,MATCH(SUBSTITUTE(AJ$3,"Q","T"),Inputs!$B$2:$AZ$2,0)),Inputs!$B$2:$B$190,$B79)*Inputs!$D$1)</f>
        <v>0</v>
      </c>
      <c r="AK79" s="57">
        <f>IF(ISNA(SUMIFS(INDEX(Inputs!$B$2:$AZ$190,,MATCH(SUBSTITUTE(AK$3,"Q","T"),Inputs!$B$2:$AZ$2,0)),Inputs!$B$2:$B$190,$B79)*Inputs!$D$1),"",SUMIFS(INDEX(Inputs!$B$2:$AZ$190,,MATCH(SUBSTITUTE(AK$3,"Q","T"),Inputs!$B$2:$AZ$2,0)),Inputs!$B$2:$B$190,$B79)*Inputs!$D$1)</f>
        <v>0</v>
      </c>
      <c r="AL79" s="57">
        <f>IF(ISNA(SUMIFS(INDEX(Inputs!$B$2:$AZ$190,,MATCH(SUBSTITUTE(AL$3,"Q","T"),Inputs!$B$2:$AZ$2,0)),Inputs!$B$2:$B$190,$B79)*Inputs!$D$1),"",SUMIFS(INDEX(Inputs!$B$2:$AZ$190,,MATCH(SUBSTITUTE(AL$3,"Q","T"),Inputs!$B$2:$AZ$2,0)),Inputs!$B$2:$B$190,$B79)*Inputs!$D$1)</f>
        <v>0</v>
      </c>
      <c r="AM79" s="58">
        <f>SUM(AI79:AL79)</f>
        <v>0</v>
      </c>
      <c r="AN79" s="57">
        <f>IF(ISNA(SUMIFS(INDEX(Inputs!$B$2:$AZ$190,,MATCH(SUBSTITUTE(AN$3,"Q","T"),Inputs!$B$2:$AZ$2,0)),Inputs!$B$2:$B$190,$B79)*Inputs!$D$1),"",SUMIFS(INDEX(Inputs!$B$2:$AZ$190,,MATCH(SUBSTITUTE(AN$3,"Q","T"),Inputs!$B$2:$AZ$2,0)),Inputs!$B$2:$B$190,$B79)*Inputs!$D$1)</f>
        <v>0</v>
      </c>
      <c r="AO79" s="57">
        <f>IF(ISNA(SUMIFS(INDEX(Inputs!$B$2:$AZ$190,,MATCH(SUBSTITUTE(AO$3,"Q","T"),Inputs!$B$2:$AZ$2,0)),Inputs!$B$2:$B$190,$B79)*Inputs!$D$1),"",SUMIFS(INDEX(Inputs!$B$2:$AZ$190,,MATCH(SUBSTITUTE(AO$3,"Q","T"),Inputs!$B$2:$AZ$2,0)),Inputs!$B$2:$B$190,$B79)*Inputs!$D$1)</f>
        <v>0</v>
      </c>
      <c r="AP79" s="57">
        <f>IF(ISNA(SUMIFS(INDEX(Inputs!$B$2:$AZ$190,,MATCH(SUBSTITUTE(AP$3,"Q","T"),Inputs!$B$2:$AZ$2,0)),Inputs!$B$2:$B$190,$B79)*Inputs!$D$1),"",SUMIFS(INDEX(Inputs!$B$2:$AZ$190,,MATCH(SUBSTITUTE(AP$3,"Q","T"),Inputs!$B$2:$AZ$2,0)),Inputs!$B$2:$B$190,$B79)*Inputs!$D$1)</f>
        <v>0</v>
      </c>
      <c r="AQ79" s="57">
        <f>IF(ISNA(SUMIFS(INDEX(Inputs!$B$2:$AZ$190,,MATCH(SUBSTITUTE(AQ$3,"Q","T"),Inputs!$B$2:$AZ$2,0)),Inputs!$B$2:$B$190,$B79)*Inputs!$D$1),"",SUMIFS(INDEX(Inputs!$B$2:$AZ$190,,MATCH(SUBSTITUTE(AQ$3,"Q","T"),Inputs!$B$2:$AZ$2,0)),Inputs!$B$2:$B$190,$B79)*Inputs!$D$1)</f>
        <v>0</v>
      </c>
      <c r="AR79" s="58">
        <f>SUM(AN79:AQ79)</f>
        <v>0</v>
      </c>
      <c r="AS79" s="57">
        <f>IF(ISNA(SUMIFS(INDEX(Inputs!$B$2:$AZ$190,,MATCH(SUBSTITUTE(AS$3,"Q","T"),Inputs!$B$2:$AZ$2,0)),Inputs!$B$2:$B$190,$B79)*Inputs!$D$1),"",SUMIFS(INDEX(Inputs!$B$2:$AZ$190,,MATCH(SUBSTITUTE(AS$3,"Q","T"),Inputs!$B$2:$AZ$2,0)),Inputs!$B$2:$B$190,$B79)*Inputs!$D$1)</f>
        <v>0</v>
      </c>
      <c r="AT79" s="57">
        <f>IF(ISNA(SUMIFS(INDEX(Inputs!$B$2:$AZ$190,,MATCH(SUBSTITUTE(AT$3,"Q","T"),Inputs!$B$2:$AZ$2,0)),Inputs!$B$2:$B$190,$B79)*Inputs!$D$1),"",SUMIFS(INDEX(Inputs!$B$2:$AZ$190,,MATCH(SUBSTITUTE(AT$3,"Q","T"),Inputs!$B$2:$AZ$2,0)),Inputs!$B$2:$B$190,$B79)*Inputs!$D$1)</f>
        <v>0</v>
      </c>
      <c r="AU79" s="57">
        <f>IF(ISNA(SUMIFS(INDEX(Inputs!$B$2:$AZ$190,,MATCH(SUBSTITUTE(AU$3,"Q","T"),Inputs!$B$2:$AZ$2,0)),Inputs!$B$2:$B$190,$B79)*Inputs!$D$1),"",SUMIFS(INDEX(Inputs!$B$2:$AZ$190,,MATCH(SUBSTITUTE(AU$3,"Q","T"),Inputs!$B$2:$AZ$2,0)),Inputs!$B$2:$B$190,$B79)*Inputs!$D$1)</f>
        <v>0</v>
      </c>
      <c r="AV79" s="57">
        <f>IF(ISNA(SUMIFS(INDEX(Inputs!$B$2:$AZ$190,,MATCH(SUBSTITUTE(AV$3,"Q","T"),Inputs!$B$2:$AZ$2,0)),Inputs!$B$2:$B$190,$B79)*Inputs!$D$1),"",SUMIFS(INDEX(Inputs!$B$2:$AZ$190,,MATCH(SUBSTITUTE(AV$3,"Q","T"),Inputs!$B$2:$AZ$2,0)),Inputs!$B$2:$B$190,$B79)*Inputs!$D$1)</f>
        <v>0</v>
      </c>
      <c r="AW79" s="58">
        <f>SUM(AS79:AV79)</f>
        <v>0</v>
      </c>
      <c r="AX79" s="57">
        <f>IF(ISNA(SUMIFS(INDEX(Inputs!$B$2:$AZ$190,,MATCH(SUBSTITUTE(AX$3,"Q","T"),Inputs!$B$2:$AZ$2,0)),Inputs!$B$2:$B$190,$B79)*Inputs!$D$1),"",SUMIFS(INDEX(Inputs!$B$2:$AZ$190,,MATCH(SUBSTITUTE(AX$3,"Q","T"),Inputs!$B$2:$AZ$2,0)),Inputs!$B$2:$B$190,$B79)*Inputs!$D$1)</f>
        <v>0</v>
      </c>
      <c r="AY79" s="57">
        <f>IF(ISNA(SUMIFS(INDEX(Inputs!$B$2:$AZ$190,,MATCH(SUBSTITUTE(AY$3,"Q","T"),Inputs!$B$2:$AZ$2,0)),Inputs!$B$2:$B$190,$B79)*Inputs!$D$1),"",SUMIFS(INDEX(Inputs!$B$2:$AZ$190,,MATCH(SUBSTITUTE(AY$3,"Q","T"),Inputs!$B$2:$AZ$2,0)),Inputs!$B$2:$B$190,$B79)*Inputs!$D$1)</f>
        <v>0</v>
      </c>
      <c r="AZ79" s="57">
        <f>IF(ISNA(SUMIFS(INDEX(Inputs!$B$2:$AZ$190,,MATCH(SUBSTITUTE(AZ$3,"Q","T"),Inputs!$B$2:$AZ$2,0)),Inputs!$B$2:$B$190,$B79)*Inputs!$D$1),"",SUMIFS(INDEX(Inputs!$B$2:$AZ$190,,MATCH(SUBSTITUTE(AZ$3,"Q","T"),Inputs!$B$2:$AZ$2,0)),Inputs!$B$2:$B$190,$B79)*Inputs!$D$1)</f>
        <v>0</v>
      </c>
      <c r="BA79" s="57">
        <f>IF(ISNA(SUMIFS(INDEX(Inputs!$B$2:$AZ$190,,MATCH(SUBSTITUTE(BA$3,"Q","T"),Inputs!$B$2:$AZ$2,0)),Inputs!$B$2:$B$190,$B79)*Inputs!$D$1),"",SUMIFS(INDEX(Inputs!$B$2:$AZ$190,,MATCH(SUBSTITUTE(BA$3,"Q","T"),Inputs!$B$2:$AZ$2,0)),Inputs!$B$2:$B$190,$B79)*Inputs!$D$1)</f>
        <v>0</v>
      </c>
      <c r="BB79" s="58">
        <f>SUM(AX79:BA79)</f>
        <v>0</v>
      </c>
      <c r="BC79" s="57">
        <f>IF(ISNA(SUMIFS(INDEX(Inputs!$B$2:$AZ$190,,MATCH(SUBSTITUTE(BC$3,"Q","T"),Inputs!$B$2:$AZ$2,0)),Inputs!$B$2:$B$190,$B79)*Inputs!$D$1),"",SUMIFS(INDEX(Inputs!$B$2:$AZ$190,,MATCH(SUBSTITUTE(BC$3,"Q","T"),Inputs!$B$2:$AZ$2,0)),Inputs!$B$2:$B$190,$B79)*Inputs!$D$1)</f>
        <v>0</v>
      </c>
      <c r="BD79" s="57">
        <f>IF(ISNA(SUMIFS(INDEX(Inputs!$B$2:$AZ$190,,MATCH(SUBSTITUTE(BD$3,"Q","T"),Inputs!$B$2:$AZ$2,0)),Inputs!$B$2:$B$190,$B79)*Inputs!$D$1),"",SUMIFS(INDEX(Inputs!$B$2:$AZ$190,,MATCH(SUBSTITUTE(BD$3,"Q","T"),Inputs!$B$2:$AZ$2,0)),Inputs!$B$2:$B$190,$B79)*Inputs!$D$1)</f>
        <v>0</v>
      </c>
      <c r="BE79" s="57">
        <f>IF(ISNA(SUMIFS(INDEX(Inputs!$B$2:$AZ$190,,MATCH(SUBSTITUTE(BE$3,"Q","T"),Inputs!$B$2:$AZ$2,0)),Inputs!$B$2:$B$190,$B79)*Inputs!$D$1),"",SUMIFS(INDEX(Inputs!$B$2:$AZ$190,,MATCH(SUBSTITUTE(BE$3,"Q","T"),Inputs!$B$2:$AZ$2,0)),Inputs!$B$2:$B$190,$B79)*Inputs!$D$1)</f>
        <v>0</v>
      </c>
      <c r="BF79" s="57">
        <f>IF(ISNA(SUMIFS(INDEX(Inputs!$B$2:$AZ$190,,MATCH(SUBSTITUTE(BF$3,"Q","T"),Inputs!$B$2:$AZ$2,0)),Inputs!$B$2:$B$190,$B79)*Inputs!$D$1),"",SUMIFS(INDEX(Inputs!$B$2:$AZ$190,,MATCH(SUBSTITUTE(BF$3,"Q","T"),Inputs!$B$2:$AZ$2,0)),Inputs!$B$2:$B$190,$B79)*Inputs!$D$1)</f>
        <v>0</v>
      </c>
      <c r="BG79" s="58">
        <f>SUM(BC79:BF79)</f>
        <v>0</v>
      </c>
    </row>
    <row r="80" hidden="1" outlineLevel="1">
      <c r="B80" s="56" t="inlineStr">
        <is>
          <t>ie_other</t>
        </is>
      </c>
      <c r="C80" s="61" t="inlineStr">
        <is>
          <t>(Outras despesas de juros, quando à parte)</t>
        </is>
      </c>
      <c r="D80" s="62" t="inlineStr">
        <is>
          <t>(Other interest expense, if separate)</t>
        </is>
      </c>
      <c r="E80" s="57">
        <f>IF(ISNA(SUMIFS(INDEX(Inputs!$B$2:$AZ$190,,MATCH(SUBSTITUTE(E$3,"Q","T"),Inputs!$B$2:$AZ$2,0)),Inputs!$B$2:$B$190,$B80)*Inputs!$D$1),"",SUMIFS(INDEX(Inputs!$B$2:$AZ$190,,MATCH(SUBSTITUTE(E$3,"Q","T"),Inputs!$B$2:$AZ$2,0)),Inputs!$B$2:$B$190,$B80)*Inputs!$D$1)</f>
        <v>0</v>
      </c>
      <c r="F80" s="57">
        <f>IF(ISNA(SUMIFS(INDEX(Inputs!$B$2:$AZ$190,,MATCH(SUBSTITUTE(F$3,"Q","T"),Inputs!$B$2:$AZ$2,0)),Inputs!$B$2:$B$190,$B80)*Inputs!$D$1),"",SUMIFS(INDEX(Inputs!$B$2:$AZ$190,,MATCH(SUBSTITUTE(F$3,"Q","T"),Inputs!$B$2:$AZ$2,0)),Inputs!$B$2:$B$190,$B80)*Inputs!$D$1)</f>
        <v>0</v>
      </c>
      <c r="G80" s="57">
        <f>IF(ISNA(SUMIFS(INDEX(Inputs!$B$2:$AZ$190,,MATCH(SUBSTITUTE(G$3,"Q","T"),Inputs!$B$2:$AZ$2,0)),Inputs!$B$2:$B$190,$B80)*Inputs!$D$1),"",SUMIFS(INDEX(Inputs!$B$2:$AZ$190,,MATCH(SUBSTITUTE(G$3,"Q","T"),Inputs!$B$2:$AZ$2,0)),Inputs!$B$2:$B$190,$B80)*Inputs!$D$1)</f>
        <v>0</v>
      </c>
      <c r="H80" s="57">
        <f>IF(ISNA(SUMIFS(INDEX(Inputs!$B$2:$AZ$190,,MATCH(SUBSTITUTE(H$3,"Q","T"),Inputs!$B$2:$AZ$2,0)),Inputs!$B$2:$B$190,$B80)*Inputs!$D$1),"",SUMIFS(INDEX(Inputs!$B$2:$AZ$190,,MATCH(SUBSTITUTE(H$3,"Q","T"),Inputs!$B$2:$AZ$2,0)),Inputs!$B$2:$B$190,$B80)*Inputs!$D$1)</f>
        <v>0</v>
      </c>
      <c r="I80" s="58">
        <f>SUM(E80:H80)</f>
        <v>0</v>
      </c>
      <c r="J80" s="57">
        <f>IF(ISNA(SUMIFS(INDEX(Inputs!$B$2:$AZ$190,,MATCH(SUBSTITUTE(J$3,"Q","T"),Inputs!$B$2:$AZ$2,0)),Inputs!$B$2:$B$190,$B80)*Inputs!$D$1),"",SUMIFS(INDEX(Inputs!$B$2:$AZ$190,,MATCH(SUBSTITUTE(J$3,"Q","T"),Inputs!$B$2:$AZ$2,0)),Inputs!$B$2:$B$190,$B80)*Inputs!$D$1)</f>
        <v>0</v>
      </c>
      <c r="K80" s="57">
        <f>IF(ISNA(SUMIFS(INDEX(Inputs!$B$2:$AZ$190,,MATCH(SUBSTITUTE(K$3,"Q","T"),Inputs!$B$2:$AZ$2,0)),Inputs!$B$2:$B$190,$B80)*Inputs!$D$1),"",SUMIFS(INDEX(Inputs!$B$2:$AZ$190,,MATCH(SUBSTITUTE(K$3,"Q","T"),Inputs!$B$2:$AZ$2,0)),Inputs!$B$2:$B$190,$B80)*Inputs!$D$1)</f>
        <v>0</v>
      </c>
      <c r="L80" s="57">
        <f>IF(ISNA(SUMIFS(INDEX(Inputs!$B$2:$AZ$190,,MATCH(SUBSTITUTE(L$3,"Q","T"),Inputs!$B$2:$AZ$2,0)),Inputs!$B$2:$B$190,$B80)*Inputs!$D$1),"",SUMIFS(INDEX(Inputs!$B$2:$AZ$190,,MATCH(SUBSTITUTE(L$3,"Q","T"),Inputs!$B$2:$AZ$2,0)),Inputs!$B$2:$B$190,$B80)*Inputs!$D$1)</f>
        <v>0</v>
      </c>
      <c r="M80" s="57">
        <f>IF(ISNA(SUMIFS(INDEX(Inputs!$B$2:$AZ$190,,MATCH(SUBSTITUTE(M$3,"Q","T"),Inputs!$B$2:$AZ$2,0)),Inputs!$B$2:$B$190,$B80)*Inputs!$D$1),"",SUMIFS(INDEX(Inputs!$B$2:$AZ$190,,MATCH(SUBSTITUTE(M$3,"Q","T"),Inputs!$B$2:$AZ$2,0)),Inputs!$B$2:$B$190,$B80)*Inputs!$D$1)</f>
        <v>0</v>
      </c>
      <c r="N80" s="58">
        <f>SUM(J80:M80)</f>
        <v>0</v>
      </c>
      <c r="O80" s="57">
        <f>IF(ISNA(SUMIFS(INDEX(Inputs!$B$2:$AZ$190,,MATCH(SUBSTITUTE(O$3,"Q","T"),Inputs!$B$2:$AZ$2,0)),Inputs!$B$2:$B$190,$B80)*Inputs!$D$1),"",SUMIFS(INDEX(Inputs!$B$2:$AZ$190,,MATCH(SUBSTITUTE(O$3,"Q","T"),Inputs!$B$2:$AZ$2,0)),Inputs!$B$2:$B$190,$B80)*Inputs!$D$1)</f>
        <v>0</v>
      </c>
      <c r="P80" s="57">
        <f>IF(ISNA(SUMIFS(INDEX(Inputs!$B$2:$AZ$190,,MATCH(SUBSTITUTE(P$3,"Q","T"),Inputs!$B$2:$AZ$2,0)),Inputs!$B$2:$B$190,$B80)*Inputs!$D$1),"",SUMIFS(INDEX(Inputs!$B$2:$AZ$190,,MATCH(SUBSTITUTE(P$3,"Q","T"),Inputs!$B$2:$AZ$2,0)),Inputs!$B$2:$B$190,$B80)*Inputs!$D$1)</f>
        <v>0</v>
      </c>
      <c r="Q80" s="57">
        <f>IF(ISNA(SUMIFS(INDEX(Inputs!$B$2:$AZ$190,,MATCH(SUBSTITUTE(Q$3,"Q","T"),Inputs!$B$2:$AZ$2,0)),Inputs!$B$2:$B$190,$B80)*Inputs!$D$1),"",SUMIFS(INDEX(Inputs!$B$2:$AZ$190,,MATCH(SUBSTITUTE(Q$3,"Q","T"),Inputs!$B$2:$AZ$2,0)),Inputs!$B$2:$B$190,$B80)*Inputs!$D$1)</f>
        <v>0</v>
      </c>
      <c r="R80" s="57">
        <f>IF(ISNA(SUMIFS(INDEX(Inputs!$B$2:$AZ$190,,MATCH(SUBSTITUTE(R$3,"Q","T"),Inputs!$B$2:$AZ$2,0)),Inputs!$B$2:$B$190,$B80)*Inputs!$D$1),"",SUMIFS(INDEX(Inputs!$B$2:$AZ$190,,MATCH(SUBSTITUTE(R$3,"Q","T"),Inputs!$B$2:$AZ$2,0)),Inputs!$B$2:$B$190,$B80)*Inputs!$D$1)</f>
        <v>0</v>
      </c>
      <c r="S80" s="58">
        <f>SUM(O80:R80)</f>
        <v>0</v>
      </c>
      <c r="T80" s="57">
        <f>IF(ISNA(SUMIFS(INDEX(Inputs!$B$2:$AZ$190,,MATCH(SUBSTITUTE(T$3,"Q","T"),Inputs!$B$2:$AZ$2,0)),Inputs!$B$2:$B$190,$B80)*Inputs!$D$1),"",SUMIFS(INDEX(Inputs!$B$2:$AZ$190,,MATCH(SUBSTITUTE(T$3,"Q","T"),Inputs!$B$2:$AZ$2,0)),Inputs!$B$2:$B$190,$B80)*Inputs!$D$1)</f>
        <v>0</v>
      </c>
      <c r="U80" s="57">
        <f>IF(ISNA(SUMIFS(INDEX(Inputs!$B$2:$AZ$190,,MATCH(SUBSTITUTE(U$3,"Q","T"),Inputs!$B$2:$AZ$2,0)),Inputs!$B$2:$B$190,$B80)*Inputs!$D$1),"",SUMIFS(INDEX(Inputs!$B$2:$AZ$190,,MATCH(SUBSTITUTE(U$3,"Q","T"),Inputs!$B$2:$AZ$2,0)),Inputs!$B$2:$B$190,$B80)*Inputs!$D$1)</f>
        <v>0</v>
      </c>
      <c r="V80" s="57">
        <f>IF(ISNA(SUMIFS(INDEX(Inputs!$B$2:$AZ$190,,MATCH(SUBSTITUTE(V$3,"Q","T"),Inputs!$B$2:$AZ$2,0)),Inputs!$B$2:$B$190,$B80)*Inputs!$D$1),"",SUMIFS(INDEX(Inputs!$B$2:$AZ$190,,MATCH(SUBSTITUTE(V$3,"Q","T"),Inputs!$B$2:$AZ$2,0)),Inputs!$B$2:$B$190,$B80)*Inputs!$D$1)</f>
        <v>0</v>
      </c>
      <c r="W80" s="57">
        <f>IF(ISNA(SUMIFS(INDEX(Inputs!$B$2:$AZ$190,,MATCH(SUBSTITUTE(W$3,"Q","T"),Inputs!$B$2:$AZ$2,0)),Inputs!$B$2:$B$190,$B80)*Inputs!$D$1),"",SUMIFS(INDEX(Inputs!$B$2:$AZ$190,,MATCH(SUBSTITUTE(W$3,"Q","T"),Inputs!$B$2:$AZ$2,0)),Inputs!$B$2:$B$190,$B80)*Inputs!$D$1)</f>
        <v>0</v>
      </c>
      <c r="X80" s="58">
        <f>SUM(T80:W80)</f>
        <v>0</v>
      </c>
      <c r="Y80" s="57">
        <f>IF(ISNA(SUMIFS(INDEX(Inputs!$B$2:$AZ$190,,MATCH(SUBSTITUTE(Y$3,"Q","T"),Inputs!$B$2:$AZ$2,0)),Inputs!$B$2:$B$190,$B80)*Inputs!$D$1),"",SUMIFS(INDEX(Inputs!$B$2:$AZ$190,,MATCH(SUBSTITUTE(Y$3,"Q","T"),Inputs!$B$2:$AZ$2,0)),Inputs!$B$2:$B$190,$B80)*Inputs!$D$1)</f>
        <v>0</v>
      </c>
      <c r="Z80" s="57">
        <f>IF(ISNA(SUMIFS(INDEX(Inputs!$B$2:$AZ$190,,MATCH(SUBSTITUTE(Z$3,"Q","T"),Inputs!$B$2:$AZ$2,0)),Inputs!$B$2:$B$190,$B80)*Inputs!$D$1),"",SUMIFS(INDEX(Inputs!$B$2:$AZ$190,,MATCH(SUBSTITUTE(Z$3,"Q","T"),Inputs!$B$2:$AZ$2,0)),Inputs!$B$2:$B$190,$B80)*Inputs!$D$1)</f>
        <v>0</v>
      </c>
      <c r="AA80" s="57">
        <f>IF(ISNA(SUMIFS(INDEX(Inputs!$B$2:$AZ$190,,MATCH(SUBSTITUTE(AA$3,"Q","T"),Inputs!$B$2:$AZ$2,0)),Inputs!$B$2:$B$190,$B80)*Inputs!$D$1),"",SUMIFS(INDEX(Inputs!$B$2:$AZ$190,,MATCH(SUBSTITUTE(AA$3,"Q","T"),Inputs!$B$2:$AZ$2,0)),Inputs!$B$2:$B$190,$B80)*Inputs!$D$1)</f>
        <v>0</v>
      </c>
      <c r="AB80" s="57">
        <f>IF(ISNA(SUMIFS(INDEX(Inputs!$B$2:$AZ$190,,MATCH(SUBSTITUTE(AB$3,"Q","T"),Inputs!$B$2:$AZ$2,0)),Inputs!$B$2:$B$190,$B80)*Inputs!$D$1),"",SUMIFS(INDEX(Inputs!$B$2:$AZ$190,,MATCH(SUBSTITUTE(AB$3,"Q","T"),Inputs!$B$2:$AZ$2,0)),Inputs!$B$2:$B$190,$B80)*Inputs!$D$1)</f>
        <v>0</v>
      </c>
      <c r="AC80" s="58">
        <f>SUM(Y80:AB80)</f>
        <v>0</v>
      </c>
      <c r="AD80" s="57">
        <f>IF(ISNA(SUMIFS(INDEX(Inputs!$B$2:$AZ$190,,MATCH(SUBSTITUTE(AD$3,"Q","T"),Inputs!$B$2:$AZ$2,0)),Inputs!$B$2:$B$190,$B80)*Inputs!$D$1),"",SUMIFS(INDEX(Inputs!$B$2:$AZ$190,,MATCH(SUBSTITUTE(AD$3,"Q","T"),Inputs!$B$2:$AZ$2,0)),Inputs!$B$2:$B$190,$B80)*Inputs!$D$1)</f>
        <v>0</v>
      </c>
      <c r="AE80" s="57">
        <f>IF(ISNA(SUMIFS(INDEX(Inputs!$B$2:$AZ$190,,MATCH(SUBSTITUTE(AE$3,"Q","T"),Inputs!$B$2:$AZ$2,0)),Inputs!$B$2:$B$190,$B80)*Inputs!$D$1),"",SUMIFS(INDEX(Inputs!$B$2:$AZ$190,,MATCH(SUBSTITUTE(AE$3,"Q","T"),Inputs!$B$2:$AZ$2,0)),Inputs!$B$2:$B$190,$B80)*Inputs!$D$1)</f>
        <v>0</v>
      </c>
      <c r="AF80" s="57">
        <f>IF(ISNA(SUMIFS(INDEX(Inputs!$B$2:$AZ$190,,MATCH(SUBSTITUTE(AF$3,"Q","T"),Inputs!$B$2:$AZ$2,0)),Inputs!$B$2:$B$190,$B80)*Inputs!$D$1),"",SUMIFS(INDEX(Inputs!$B$2:$AZ$190,,MATCH(SUBSTITUTE(AF$3,"Q","T"),Inputs!$B$2:$AZ$2,0)),Inputs!$B$2:$B$190,$B80)*Inputs!$D$1)</f>
        <v>0</v>
      </c>
      <c r="AG80" s="57">
        <f>IF(ISNA(SUMIFS(INDEX(Inputs!$B$2:$AZ$190,,MATCH(SUBSTITUTE(AG$3,"Q","T"),Inputs!$B$2:$AZ$2,0)),Inputs!$B$2:$B$190,$B80)*Inputs!$D$1),"",SUMIFS(INDEX(Inputs!$B$2:$AZ$190,,MATCH(SUBSTITUTE(AG$3,"Q","T"),Inputs!$B$2:$AZ$2,0)),Inputs!$B$2:$B$190,$B80)*Inputs!$D$1)</f>
        <v>0</v>
      </c>
      <c r="AH80" s="58">
        <f>SUM(AD80:AG80)</f>
        <v>0</v>
      </c>
      <c r="AI80" s="57">
        <f>IF(ISNA(SUMIFS(INDEX(Inputs!$B$2:$AZ$190,,MATCH(SUBSTITUTE(AI$3,"Q","T"),Inputs!$B$2:$AZ$2,0)),Inputs!$B$2:$B$190,$B80)*Inputs!$D$1),"",SUMIFS(INDEX(Inputs!$B$2:$AZ$190,,MATCH(SUBSTITUTE(AI$3,"Q","T"),Inputs!$B$2:$AZ$2,0)),Inputs!$B$2:$B$190,$B80)*Inputs!$D$1)</f>
        <v>0</v>
      </c>
      <c r="AJ80" s="57">
        <f>IF(ISNA(SUMIFS(INDEX(Inputs!$B$2:$AZ$190,,MATCH(SUBSTITUTE(AJ$3,"Q","T"),Inputs!$B$2:$AZ$2,0)),Inputs!$B$2:$B$190,$B80)*Inputs!$D$1),"",SUMIFS(INDEX(Inputs!$B$2:$AZ$190,,MATCH(SUBSTITUTE(AJ$3,"Q","T"),Inputs!$B$2:$AZ$2,0)),Inputs!$B$2:$B$190,$B80)*Inputs!$D$1)</f>
        <v>0</v>
      </c>
      <c r="AK80" s="57">
        <f>IF(ISNA(SUMIFS(INDEX(Inputs!$B$2:$AZ$190,,MATCH(SUBSTITUTE(AK$3,"Q","T"),Inputs!$B$2:$AZ$2,0)),Inputs!$B$2:$B$190,$B80)*Inputs!$D$1),"",SUMIFS(INDEX(Inputs!$B$2:$AZ$190,,MATCH(SUBSTITUTE(AK$3,"Q","T"),Inputs!$B$2:$AZ$2,0)),Inputs!$B$2:$B$190,$B80)*Inputs!$D$1)</f>
        <v>0</v>
      </c>
      <c r="AL80" s="57">
        <f>IF(ISNA(SUMIFS(INDEX(Inputs!$B$2:$AZ$190,,MATCH(SUBSTITUTE(AL$3,"Q","T"),Inputs!$B$2:$AZ$2,0)),Inputs!$B$2:$B$190,$B80)*Inputs!$D$1),"",SUMIFS(INDEX(Inputs!$B$2:$AZ$190,,MATCH(SUBSTITUTE(AL$3,"Q","T"),Inputs!$B$2:$AZ$2,0)),Inputs!$B$2:$B$190,$B80)*Inputs!$D$1)</f>
        <v>0</v>
      </c>
      <c r="AM80" s="58">
        <f>SUM(AI80:AL80)</f>
        <v>0</v>
      </c>
      <c r="AN80" s="57">
        <f>IF(ISNA(SUMIFS(INDEX(Inputs!$B$2:$AZ$190,,MATCH(SUBSTITUTE(AN$3,"Q","T"),Inputs!$B$2:$AZ$2,0)),Inputs!$B$2:$B$190,$B80)*Inputs!$D$1),"",SUMIFS(INDEX(Inputs!$B$2:$AZ$190,,MATCH(SUBSTITUTE(AN$3,"Q","T"),Inputs!$B$2:$AZ$2,0)),Inputs!$B$2:$B$190,$B80)*Inputs!$D$1)</f>
        <v>0</v>
      </c>
      <c r="AO80" s="57">
        <f>IF(ISNA(SUMIFS(INDEX(Inputs!$B$2:$AZ$190,,MATCH(SUBSTITUTE(AO$3,"Q","T"),Inputs!$B$2:$AZ$2,0)),Inputs!$B$2:$B$190,$B80)*Inputs!$D$1),"",SUMIFS(INDEX(Inputs!$B$2:$AZ$190,,MATCH(SUBSTITUTE(AO$3,"Q","T"),Inputs!$B$2:$AZ$2,0)),Inputs!$B$2:$B$190,$B80)*Inputs!$D$1)</f>
        <v>0</v>
      </c>
      <c r="AP80" s="57">
        <f>IF(ISNA(SUMIFS(INDEX(Inputs!$B$2:$AZ$190,,MATCH(SUBSTITUTE(AP$3,"Q","T"),Inputs!$B$2:$AZ$2,0)),Inputs!$B$2:$B$190,$B80)*Inputs!$D$1),"",SUMIFS(INDEX(Inputs!$B$2:$AZ$190,,MATCH(SUBSTITUTE(AP$3,"Q","T"),Inputs!$B$2:$AZ$2,0)),Inputs!$B$2:$B$190,$B80)*Inputs!$D$1)</f>
        <v>0</v>
      </c>
      <c r="AQ80" s="57">
        <f>IF(ISNA(SUMIFS(INDEX(Inputs!$B$2:$AZ$190,,MATCH(SUBSTITUTE(AQ$3,"Q","T"),Inputs!$B$2:$AZ$2,0)),Inputs!$B$2:$B$190,$B80)*Inputs!$D$1),"",SUMIFS(INDEX(Inputs!$B$2:$AZ$190,,MATCH(SUBSTITUTE(AQ$3,"Q","T"),Inputs!$B$2:$AZ$2,0)),Inputs!$B$2:$B$190,$B80)*Inputs!$D$1)</f>
        <v>0</v>
      </c>
      <c r="AR80" s="58">
        <f>SUM(AN80:AQ80)</f>
        <v>0</v>
      </c>
      <c r="AS80" s="57">
        <f>IF(ISNA(SUMIFS(INDEX(Inputs!$B$2:$AZ$190,,MATCH(SUBSTITUTE(AS$3,"Q","T"),Inputs!$B$2:$AZ$2,0)),Inputs!$B$2:$B$190,$B80)*Inputs!$D$1),"",SUMIFS(INDEX(Inputs!$B$2:$AZ$190,,MATCH(SUBSTITUTE(AS$3,"Q","T"),Inputs!$B$2:$AZ$2,0)),Inputs!$B$2:$B$190,$B80)*Inputs!$D$1)</f>
        <v>0</v>
      </c>
      <c r="AT80" s="57">
        <f>IF(ISNA(SUMIFS(INDEX(Inputs!$B$2:$AZ$190,,MATCH(SUBSTITUTE(AT$3,"Q","T"),Inputs!$B$2:$AZ$2,0)),Inputs!$B$2:$B$190,$B80)*Inputs!$D$1),"",SUMIFS(INDEX(Inputs!$B$2:$AZ$190,,MATCH(SUBSTITUTE(AT$3,"Q","T"),Inputs!$B$2:$AZ$2,0)),Inputs!$B$2:$B$190,$B80)*Inputs!$D$1)</f>
        <v>0</v>
      </c>
      <c r="AU80" s="57">
        <f>IF(ISNA(SUMIFS(INDEX(Inputs!$B$2:$AZ$190,,MATCH(SUBSTITUTE(AU$3,"Q","T"),Inputs!$B$2:$AZ$2,0)),Inputs!$B$2:$B$190,$B80)*Inputs!$D$1),"",SUMIFS(INDEX(Inputs!$B$2:$AZ$190,,MATCH(SUBSTITUTE(AU$3,"Q","T"),Inputs!$B$2:$AZ$2,0)),Inputs!$B$2:$B$190,$B80)*Inputs!$D$1)</f>
        <v>0</v>
      </c>
      <c r="AV80" s="57">
        <f>IF(ISNA(SUMIFS(INDEX(Inputs!$B$2:$AZ$190,,MATCH(SUBSTITUTE(AV$3,"Q","T"),Inputs!$B$2:$AZ$2,0)),Inputs!$B$2:$B$190,$B80)*Inputs!$D$1),"",SUMIFS(INDEX(Inputs!$B$2:$AZ$190,,MATCH(SUBSTITUTE(AV$3,"Q","T"),Inputs!$B$2:$AZ$2,0)),Inputs!$B$2:$B$190,$B80)*Inputs!$D$1)</f>
        <v>0</v>
      </c>
      <c r="AW80" s="58">
        <f>SUM(AS80:AV80)</f>
        <v>0</v>
      </c>
      <c r="AX80" s="57">
        <f>IF(ISNA(SUMIFS(INDEX(Inputs!$B$2:$AZ$190,,MATCH(SUBSTITUTE(AX$3,"Q","T"),Inputs!$B$2:$AZ$2,0)),Inputs!$B$2:$B$190,$B80)*Inputs!$D$1),"",SUMIFS(INDEX(Inputs!$B$2:$AZ$190,,MATCH(SUBSTITUTE(AX$3,"Q","T"),Inputs!$B$2:$AZ$2,0)),Inputs!$B$2:$B$190,$B80)*Inputs!$D$1)</f>
        <v>0</v>
      </c>
      <c r="AY80" s="57">
        <f>IF(ISNA(SUMIFS(INDEX(Inputs!$B$2:$AZ$190,,MATCH(SUBSTITUTE(AY$3,"Q","T"),Inputs!$B$2:$AZ$2,0)),Inputs!$B$2:$B$190,$B80)*Inputs!$D$1),"",SUMIFS(INDEX(Inputs!$B$2:$AZ$190,,MATCH(SUBSTITUTE(AY$3,"Q","T"),Inputs!$B$2:$AZ$2,0)),Inputs!$B$2:$B$190,$B80)*Inputs!$D$1)</f>
        <v>0</v>
      </c>
      <c r="AZ80" s="57">
        <f>IF(ISNA(SUMIFS(INDEX(Inputs!$B$2:$AZ$190,,MATCH(SUBSTITUTE(AZ$3,"Q","T"),Inputs!$B$2:$AZ$2,0)),Inputs!$B$2:$B$190,$B80)*Inputs!$D$1),"",SUMIFS(INDEX(Inputs!$B$2:$AZ$190,,MATCH(SUBSTITUTE(AZ$3,"Q","T"),Inputs!$B$2:$AZ$2,0)),Inputs!$B$2:$B$190,$B80)*Inputs!$D$1)</f>
        <v>0</v>
      </c>
      <c r="BA80" s="57">
        <f>IF(ISNA(SUMIFS(INDEX(Inputs!$B$2:$AZ$190,,MATCH(SUBSTITUTE(BA$3,"Q","T"),Inputs!$B$2:$AZ$2,0)),Inputs!$B$2:$B$190,$B80)*Inputs!$D$1),"",SUMIFS(INDEX(Inputs!$B$2:$AZ$190,,MATCH(SUBSTITUTE(BA$3,"Q","T"),Inputs!$B$2:$AZ$2,0)),Inputs!$B$2:$B$190,$B80)*Inputs!$D$1)</f>
        <v>0</v>
      </c>
      <c r="BB80" s="58">
        <f>SUM(AX80:BA80)</f>
        <v>0</v>
      </c>
      <c r="BC80" s="57">
        <f>IF(ISNA(SUMIFS(INDEX(Inputs!$B$2:$AZ$190,,MATCH(SUBSTITUTE(BC$3,"Q","T"),Inputs!$B$2:$AZ$2,0)),Inputs!$B$2:$B$190,$B80)*Inputs!$D$1),"",SUMIFS(INDEX(Inputs!$B$2:$AZ$190,,MATCH(SUBSTITUTE(BC$3,"Q","T"),Inputs!$B$2:$AZ$2,0)),Inputs!$B$2:$B$190,$B80)*Inputs!$D$1)</f>
        <v>0</v>
      </c>
      <c r="BD80" s="57">
        <f>IF(ISNA(SUMIFS(INDEX(Inputs!$B$2:$AZ$190,,MATCH(SUBSTITUTE(BD$3,"Q","T"),Inputs!$B$2:$AZ$2,0)),Inputs!$B$2:$B$190,$B80)*Inputs!$D$1),"",SUMIFS(INDEX(Inputs!$B$2:$AZ$190,,MATCH(SUBSTITUTE(BD$3,"Q","T"),Inputs!$B$2:$AZ$2,0)),Inputs!$B$2:$B$190,$B80)*Inputs!$D$1)</f>
        <v>0</v>
      </c>
      <c r="BE80" s="57">
        <f>IF(ISNA(SUMIFS(INDEX(Inputs!$B$2:$AZ$190,,MATCH(SUBSTITUTE(BE$3,"Q","T"),Inputs!$B$2:$AZ$2,0)),Inputs!$B$2:$B$190,$B80)*Inputs!$D$1),"",SUMIFS(INDEX(Inputs!$B$2:$AZ$190,,MATCH(SUBSTITUTE(BE$3,"Q","T"),Inputs!$B$2:$AZ$2,0)),Inputs!$B$2:$B$190,$B80)*Inputs!$D$1)</f>
        <v>0</v>
      </c>
      <c r="BF80" s="57">
        <f>IF(ISNA(SUMIFS(INDEX(Inputs!$B$2:$AZ$190,,MATCH(SUBSTITUTE(BF$3,"Q","T"),Inputs!$B$2:$AZ$2,0)),Inputs!$B$2:$B$190,$B80)*Inputs!$D$1),"",SUMIFS(INDEX(Inputs!$B$2:$AZ$190,,MATCH(SUBSTITUTE(BF$3,"Q","T"),Inputs!$B$2:$AZ$2,0)),Inputs!$B$2:$B$190,$B80)*Inputs!$D$1)</f>
        <v>0</v>
      </c>
      <c r="BG80" s="58">
        <f>SUM(BC80:BF80)</f>
        <v>0</v>
      </c>
    </row>
    <row r="81">
      <c r="C81" s="53" t="inlineStr">
        <is>
          <t>Receita líquida de juros (NII)</t>
        </is>
      </c>
      <c r="D81" s="54" t="inlineStr">
        <is>
          <t>Net interest income</t>
        </is>
      </c>
      <c r="E81" s="59">
        <f>IFERROR(E71+E76,"")</f>
        <v>0</v>
      </c>
      <c r="F81" s="59">
        <f>IFERROR(F71+F76,"")</f>
        <v>0</v>
      </c>
      <c r="G81" s="59">
        <f>IFERROR(G71+G76,"")</f>
        <v>0</v>
      </c>
      <c r="H81" s="59">
        <f>IFERROR(H71+H76,"")</f>
        <v>0</v>
      </c>
      <c r="I81" s="60">
        <f>SUM(E81:H81)</f>
        <v>0</v>
      </c>
      <c r="J81" s="59">
        <f>IFERROR(J71+J76,"")</f>
        <v>0</v>
      </c>
      <c r="K81" s="59">
        <f>IFERROR(K71+K76,"")</f>
        <v>0</v>
      </c>
      <c r="L81" s="59">
        <f>IFERROR(L71+L76,"")</f>
        <v>0</v>
      </c>
      <c r="M81" s="59">
        <f>IFERROR(M71+M76,"")</f>
        <v>0</v>
      </c>
      <c r="N81" s="60">
        <f>SUM(J81:M81)</f>
        <v>0</v>
      </c>
      <c r="O81" s="59">
        <f>IFERROR(O71+O76,"")</f>
        <v>0</v>
      </c>
      <c r="P81" s="59">
        <f>IFERROR(P71+P76,"")</f>
        <v>0</v>
      </c>
      <c r="Q81" s="59">
        <f>IFERROR(Q71+Q76,"")</f>
        <v>0</v>
      </c>
      <c r="R81" s="59">
        <f>IFERROR(R71+R76,"")</f>
        <v>0</v>
      </c>
      <c r="S81" s="60">
        <f>SUM(O81:R81)</f>
        <v>0</v>
      </c>
      <c r="T81" s="59">
        <f>IFERROR(T71+T76,"")</f>
        <v>0</v>
      </c>
      <c r="U81" s="59">
        <f>IFERROR(U71+U76,"")</f>
        <v>0</v>
      </c>
      <c r="V81" s="59">
        <f>IFERROR(V71+V76,"")</f>
        <v>0</v>
      </c>
      <c r="W81" s="59">
        <f>IFERROR(W71+W76,"")</f>
        <v>0</v>
      </c>
      <c r="X81" s="60">
        <f>SUM(T81:W81)</f>
        <v>0</v>
      </c>
      <c r="Y81" s="59">
        <f>IFERROR(Y71+Y76,"")</f>
        <v>0</v>
      </c>
      <c r="Z81" s="59">
        <f>IFERROR(Z71+Z76,"")</f>
        <v>0</v>
      </c>
      <c r="AA81" s="59">
        <f>IFERROR(AA71+AA76,"")</f>
        <v>0</v>
      </c>
      <c r="AB81" s="59">
        <f>IFERROR(AB71+AB76,"")</f>
        <v>0</v>
      </c>
      <c r="AC81" s="60">
        <f>SUM(Y81:AB81)</f>
        <v>0</v>
      </c>
      <c r="AD81" s="59">
        <f>IFERROR(AD71+AD76,"")</f>
        <v>0</v>
      </c>
      <c r="AE81" s="59">
        <f>IFERROR(AE71+AE76,"")</f>
        <v>0</v>
      </c>
      <c r="AF81" s="59">
        <f>IFERROR(AF71+AF76,"")</f>
        <v>0</v>
      </c>
      <c r="AG81" s="59">
        <f>IFERROR(AG71+AG76,"")</f>
        <v>0</v>
      </c>
      <c r="AH81" s="60">
        <f>SUM(AD81:AG81)</f>
        <v>0</v>
      </c>
      <c r="AI81" s="59">
        <f>IFERROR(AI71+AI76,"")</f>
        <v>0</v>
      </c>
      <c r="AJ81" s="59">
        <f>IFERROR(AJ71+AJ76,"")</f>
        <v>0</v>
      </c>
      <c r="AK81" s="59">
        <f>IFERROR(AK71+AK76,"")</f>
        <v>0</v>
      </c>
      <c r="AL81" s="59">
        <f>IFERROR(AL71+AL76,"")</f>
        <v>0</v>
      </c>
      <c r="AM81" s="60">
        <f>SUM(AI81:AL81)</f>
        <v>0</v>
      </c>
      <c r="AN81" s="59">
        <f>IFERROR(AN71+AN76,"")</f>
        <v>0</v>
      </c>
      <c r="AO81" s="59">
        <f>IFERROR(AO71+AO76,"")</f>
        <v>0</v>
      </c>
      <c r="AP81" s="59">
        <f>IFERROR(AP71+AP76,"")</f>
        <v>0</v>
      </c>
      <c r="AQ81" s="59">
        <f>IFERROR(AQ71+AQ76,"")</f>
        <v>0</v>
      </c>
      <c r="AR81" s="60">
        <f>SUM(AN81:AQ81)</f>
        <v>0</v>
      </c>
      <c r="AS81" s="59">
        <f>IFERROR(AS71+AS76,"")</f>
        <v>0</v>
      </c>
      <c r="AT81" s="59">
        <f>IFERROR(AT71+AT76,"")</f>
        <v>0</v>
      </c>
      <c r="AU81" s="59">
        <f>IFERROR(AU71+AU76,"")</f>
        <v>0</v>
      </c>
      <c r="AV81" s="59">
        <f>IFERROR(AV71+AV76,"")</f>
        <v>0</v>
      </c>
      <c r="AW81" s="60">
        <f>SUM(AS81:AV81)</f>
        <v>0</v>
      </c>
      <c r="AX81" s="59">
        <f>IFERROR(AX71+AX76,"")</f>
        <v>0</v>
      </c>
      <c r="AY81" s="59">
        <f>IFERROR(AY71+AY76,"")</f>
        <v>0</v>
      </c>
      <c r="AZ81" s="59">
        <f>IFERROR(AZ71+AZ76,"")</f>
        <v>0</v>
      </c>
      <c r="BA81" s="59">
        <f>IFERROR(BA71+BA76,"")</f>
        <v>0</v>
      </c>
      <c r="BB81" s="60">
        <f>SUM(AX81:BA81)</f>
        <v>0</v>
      </c>
      <c r="BC81" s="59">
        <f>IFERROR(BC71+BC76,"")</f>
        <v>0</v>
      </c>
      <c r="BD81" s="59">
        <f>IFERROR(BD71+BD76,"")</f>
        <v>0</v>
      </c>
      <c r="BE81" s="59">
        <f>IFERROR(BE71+BE76,"")</f>
        <v>0</v>
      </c>
      <c r="BF81" s="59">
        <f>IFERROR(BF71+BF76,"")</f>
        <v>0</v>
      </c>
      <c r="BG81" s="60">
        <f>SUM(BC81:BF81)</f>
        <v>0</v>
      </c>
    </row>
    <row r="82">
      <c r="C82" s="15" t="inlineStr">
        <is>
          <t>Provisão para perdas de crédito</t>
        </is>
      </c>
      <c r="D82" s="16" t="inlineStr">
        <is>
          <t>Provision for credit losses</t>
        </is>
      </c>
      <c r="E82" s="59">
        <f>IFERROR(E83+E84,"")</f>
        <v>0</v>
      </c>
      <c r="F82" s="59">
        <f>IFERROR(F83+F84,"")</f>
        <v>0</v>
      </c>
      <c r="G82" s="59">
        <f>IFERROR(G83+G84,"")</f>
        <v>0</v>
      </c>
      <c r="H82" s="59">
        <f>IFERROR(H83+H84,"")</f>
        <v>0</v>
      </c>
      <c r="I82" s="60">
        <f>SUM(E82:H82)</f>
        <v>0</v>
      </c>
      <c r="J82" s="59">
        <f>IFERROR(J83+J84,"")</f>
        <v>0</v>
      </c>
      <c r="K82" s="59">
        <f>IFERROR(K83+K84,"")</f>
        <v>0</v>
      </c>
      <c r="L82" s="59">
        <f>IFERROR(L83+L84,"")</f>
        <v>0</v>
      </c>
      <c r="M82" s="59">
        <f>IFERROR(M83+M84,"")</f>
        <v>0</v>
      </c>
      <c r="N82" s="60">
        <f>SUM(J82:M82)</f>
        <v>0</v>
      </c>
      <c r="O82" s="59">
        <f>IFERROR(O83+O84,"")</f>
        <v>0</v>
      </c>
      <c r="P82" s="59">
        <f>IFERROR(P83+P84,"")</f>
        <v>0</v>
      </c>
      <c r="Q82" s="59">
        <f>IFERROR(Q83+Q84,"")</f>
        <v>0</v>
      </c>
      <c r="R82" s="59">
        <f>IFERROR(R83+R84,"")</f>
        <v>0</v>
      </c>
      <c r="S82" s="60">
        <f>SUM(O82:R82)</f>
        <v>0</v>
      </c>
      <c r="T82" s="59">
        <f>IFERROR(T83+T84,"")</f>
        <v>0</v>
      </c>
      <c r="U82" s="59">
        <f>IFERROR(U83+U84,"")</f>
        <v>0</v>
      </c>
      <c r="V82" s="59">
        <f>IFERROR(V83+V84,"")</f>
        <v>0</v>
      </c>
      <c r="W82" s="59">
        <f>IFERROR(W83+W84,"")</f>
        <v>0</v>
      </c>
      <c r="X82" s="60">
        <f>SUM(T82:W82)</f>
        <v>0</v>
      </c>
      <c r="Y82" s="59">
        <f>IFERROR(Y83+Y84,"")</f>
        <v>0</v>
      </c>
      <c r="Z82" s="59">
        <f>IFERROR(Z83+Z84,"")</f>
        <v>0</v>
      </c>
      <c r="AA82" s="59">
        <f>IFERROR(AA83+AA84,"")</f>
        <v>0</v>
      </c>
      <c r="AB82" s="59">
        <f>IFERROR(AB83+AB84,"")</f>
        <v>0</v>
      </c>
      <c r="AC82" s="60">
        <f>SUM(Y82:AB82)</f>
        <v>0</v>
      </c>
      <c r="AD82" s="59">
        <f>IFERROR(AD83+AD84,"")</f>
        <v>0</v>
      </c>
      <c r="AE82" s="59">
        <f>IFERROR(AE83+AE84,"")</f>
        <v>0</v>
      </c>
      <c r="AF82" s="59">
        <f>IFERROR(AF83+AF84,"")</f>
        <v>0</v>
      </c>
      <c r="AG82" s="59">
        <f>IFERROR(AG83+AG84,"")</f>
        <v>0</v>
      </c>
      <c r="AH82" s="60">
        <f>SUM(AD82:AG82)</f>
        <v>0</v>
      </c>
      <c r="AI82" s="59">
        <f>IFERROR(AI83+AI84,"")</f>
        <v>0</v>
      </c>
      <c r="AJ82" s="59">
        <f>IFERROR(AJ83+AJ84,"")</f>
        <v>0</v>
      </c>
      <c r="AK82" s="59">
        <f>IFERROR(AK83+AK84,"")</f>
        <v>0</v>
      </c>
      <c r="AL82" s="59">
        <f>IFERROR(AL83+AL84,"")</f>
        <v>0</v>
      </c>
      <c r="AM82" s="60">
        <f>SUM(AI82:AL82)</f>
        <v>0</v>
      </c>
      <c r="AN82" s="59">
        <f>IFERROR(AN83+AN84,"")</f>
        <v>0</v>
      </c>
      <c r="AO82" s="59">
        <f>IFERROR(AO83+AO84,"")</f>
        <v>0</v>
      </c>
      <c r="AP82" s="59">
        <f>IFERROR(AP83+AP84,"")</f>
        <v>0</v>
      </c>
      <c r="AQ82" s="59">
        <f>IFERROR(AQ83+AQ84,"")</f>
        <v>0</v>
      </c>
      <c r="AR82" s="60">
        <f>SUM(AN82:AQ82)</f>
        <v>0</v>
      </c>
      <c r="AS82" s="59">
        <f>IFERROR(AS83+AS84,"")</f>
        <v>0</v>
      </c>
      <c r="AT82" s="59">
        <f>IFERROR(AT83+AT84,"")</f>
        <v>0</v>
      </c>
      <c r="AU82" s="59">
        <f>IFERROR(AU83+AU84,"")</f>
        <v>0</v>
      </c>
      <c r="AV82" s="59">
        <f>IFERROR(AV83+AV84,"")</f>
        <v>0</v>
      </c>
      <c r="AW82" s="60">
        <f>SUM(AS82:AV82)</f>
        <v>0</v>
      </c>
      <c r="AX82" s="59">
        <f>IFERROR(AX83+AX84,"")</f>
        <v>0</v>
      </c>
      <c r="AY82" s="59">
        <f>IFERROR(AY83+AY84,"")</f>
        <v>0</v>
      </c>
      <c r="AZ82" s="59">
        <f>IFERROR(AZ83+AZ84,"")</f>
        <v>0</v>
      </c>
      <c r="BA82" s="59">
        <f>IFERROR(BA83+BA84,"")</f>
        <v>0</v>
      </c>
      <c r="BB82" s="60">
        <f>SUM(AX82:BA82)</f>
        <v>0</v>
      </c>
      <c r="BC82" s="59">
        <f>IFERROR(BC83+BC84,"")</f>
        <v>0</v>
      </c>
      <c r="BD82" s="59">
        <f>IFERROR(BD83+BD84,"")</f>
        <v>0</v>
      </c>
      <c r="BE82" s="59">
        <f>IFERROR(BE83+BE84,"")</f>
        <v>0</v>
      </c>
      <c r="BF82" s="59">
        <f>IFERROR(BF83+BF84,"")</f>
        <v>0</v>
      </c>
      <c r="BG82" s="60">
        <f>SUM(BC82:BF82)</f>
        <v>0</v>
      </c>
    </row>
    <row r="83" hidden="1" outlineLevel="1">
      <c r="B83" s="56" t="inlineStr">
        <is>
          <t>provision</t>
        </is>
      </c>
      <c r="C83" s="61" t="inlineStr">
        <is>
          <t>(Provisão para perdas de crédito)</t>
        </is>
      </c>
      <c r="D83" s="62" t="inlineStr">
        <is>
          <t>(Provision for credit losses)</t>
        </is>
      </c>
      <c r="E83" s="57">
        <f>IF(ISNA(SUMIFS(INDEX(Inputs!$B$2:$AZ$190,,MATCH(SUBSTITUTE(E$3,"Q","T"),Inputs!$B$2:$AZ$2,0)),Inputs!$B$2:$B$190,$B83)*Inputs!$D$1),"",SUMIFS(INDEX(Inputs!$B$2:$AZ$190,,MATCH(SUBSTITUTE(E$3,"Q","T"),Inputs!$B$2:$AZ$2,0)),Inputs!$B$2:$B$190,$B83)*Inputs!$D$1)</f>
        <v>0</v>
      </c>
      <c r="F83" s="57">
        <f>IF(ISNA(SUMIFS(INDEX(Inputs!$B$2:$AZ$190,,MATCH(SUBSTITUTE(F$3,"Q","T"),Inputs!$B$2:$AZ$2,0)),Inputs!$B$2:$B$190,$B83)*Inputs!$D$1),"",SUMIFS(INDEX(Inputs!$B$2:$AZ$190,,MATCH(SUBSTITUTE(F$3,"Q","T"),Inputs!$B$2:$AZ$2,0)),Inputs!$B$2:$B$190,$B83)*Inputs!$D$1)</f>
        <v>0</v>
      </c>
      <c r="G83" s="57">
        <f>IF(ISNA(SUMIFS(INDEX(Inputs!$B$2:$AZ$190,,MATCH(SUBSTITUTE(G$3,"Q","T"),Inputs!$B$2:$AZ$2,0)),Inputs!$B$2:$B$190,$B83)*Inputs!$D$1),"",SUMIFS(INDEX(Inputs!$B$2:$AZ$190,,MATCH(SUBSTITUTE(G$3,"Q","T"),Inputs!$B$2:$AZ$2,0)),Inputs!$B$2:$B$190,$B83)*Inputs!$D$1)</f>
        <v>0</v>
      </c>
      <c r="H83" s="57">
        <f>IF(ISNA(SUMIFS(INDEX(Inputs!$B$2:$AZ$190,,MATCH(SUBSTITUTE(H$3,"Q","T"),Inputs!$B$2:$AZ$2,0)),Inputs!$B$2:$B$190,$B83)*Inputs!$D$1),"",SUMIFS(INDEX(Inputs!$B$2:$AZ$190,,MATCH(SUBSTITUTE(H$3,"Q","T"),Inputs!$B$2:$AZ$2,0)),Inputs!$B$2:$B$190,$B83)*Inputs!$D$1)</f>
        <v>0</v>
      </c>
      <c r="I83" s="58">
        <f>SUM(E83:H83)</f>
        <v>0</v>
      </c>
      <c r="J83" s="57">
        <f>IF(ISNA(SUMIFS(INDEX(Inputs!$B$2:$AZ$190,,MATCH(SUBSTITUTE(J$3,"Q","T"),Inputs!$B$2:$AZ$2,0)),Inputs!$B$2:$B$190,$B83)*Inputs!$D$1),"",SUMIFS(INDEX(Inputs!$B$2:$AZ$190,,MATCH(SUBSTITUTE(J$3,"Q","T"),Inputs!$B$2:$AZ$2,0)),Inputs!$B$2:$B$190,$B83)*Inputs!$D$1)</f>
        <v>0</v>
      </c>
      <c r="K83" s="57">
        <f>IF(ISNA(SUMIFS(INDEX(Inputs!$B$2:$AZ$190,,MATCH(SUBSTITUTE(K$3,"Q","T"),Inputs!$B$2:$AZ$2,0)),Inputs!$B$2:$B$190,$B83)*Inputs!$D$1),"",SUMIFS(INDEX(Inputs!$B$2:$AZ$190,,MATCH(SUBSTITUTE(K$3,"Q","T"),Inputs!$B$2:$AZ$2,0)),Inputs!$B$2:$B$190,$B83)*Inputs!$D$1)</f>
        <v>0</v>
      </c>
      <c r="L83" s="57">
        <f>IF(ISNA(SUMIFS(INDEX(Inputs!$B$2:$AZ$190,,MATCH(SUBSTITUTE(L$3,"Q","T"),Inputs!$B$2:$AZ$2,0)),Inputs!$B$2:$B$190,$B83)*Inputs!$D$1),"",SUMIFS(INDEX(Inputs!$B$2:$AZ$190,,MATCH(SUBSTITUTE(L$3,"Q","T"),Inputs!$B$2:$AZ$2,0)),Inputs!$B$2:$B$190,$B83)*Inputs!$D$1)</f>
        <v>0</v>
      </c>
      <c r="M83" s="57">
        <f>IF(ISNA(SUMIFS(INDEX(Inputs!$B$2:$AZ$190,,MATCH(SUBSTITUTE(M$3,"Q","T"),Inputs!$B$2:$AZ$2,0)),Inputs!$B$2:$B$190,$B83)*Inputs!$D$1),"",SUMIFS(INDEX(Inputs!$B$2:$AZ$190,,MATCH(SUBSTITUTE(M$3,"Q","T"),Inputs!$B$2:$AZ$2,0)),Inputs!$B$2:$B$190,$B83)*Inputs!$D$1)</f>
        <v>0</v>
      </c>
      <c r="N83" s="58">
        <f>SUM(J83:M83)</f>
        <v>0</v>
      </c>
      <c r="O83" s="57">
        <f>IF(ISNA(SUMIFS(INDEX(Inputs!$B$2:$AZ$190,,MATCH(SUBSTITUTE(O$3,"Q","T"),Inputs!$B$2:$AZ$2,0)),Inputs!$B$2:$B$190,$B83)*Inputs!$D$1),"",SUMIFS(INDEX(Inputs!$B$2:$AZ$190,,MATCH(SUBSTITUTE(O$3,"Q","T"),Inputs!$B$2:$AZ$2,0)),Inputs!$B$2:$B$190,$B83)*Inputs!$D$1)</f>
        <v>0</v>
      </c>
      <c r="P83" s="57">
        <f>IF(ISNA(SUMIFS(INDEX(Inputs!$B$2:$AZ$190,,MATCH(SUBSTITUTE(P$3,"Q","T"),Inputs!$B$2:$AZ$2,0)),Inputs!$B$2:$B$190,$B83)*Inputs!$D$1),"",SUMIFS(INDEX(Inputs!$B$2:$AZ$190,,MATCH(SUBSTITUTE(P$3,"Q","T"),Inputs!$B$2:$AZ$2,0)),Inputs!$B$2:$B$190,$B83)*Inputs!$D$1)</f>
        <v>0</v>
      </c>
      <c r="Q83" s="57">
        <f>IF(ISNA(SUMIFS(INDEX(Inputs!$B$2:$AZ$190,,MATCH(SUBSTITUTE(Q$3,"Q","T"),Inputs!$B$2:$AZ$2,0)),Inputs!$B$2:$B$190,$B83)*Inputs!$D$1),"",SUMIFS(INDEX(Inputs!$B$2:$AZ$190,,MATCH(SUBSTITUTE(Q$3,"Q","T"),Inputs!$B$2:$AZ$2,0)),Inputs!$B$2:$B$190,$B83)*Inputs!$D$1)</f>
        <v>0</v>
      </c>
      <c r="R83" s="57">
        <f>IF(ISNA(SUMIFS(INDEX(Inputs!$B$2:$AZ$190,,MATCH(SUBSTITUTE(R$3,"Q","T"),Inputs!$B$2:$AZ$2,0)),Inputs!$B$2:$B$190,$B83)*Inputs!$D$1),"",SUMIFS(INDEX(Inputs!$B$2:$AZ$190,,MATCH(SUBSTITUTE(R$3,"Q","T"),Inputs!$B$2:$AZ$2,0)),Inputs!$B$2:$B$190,$B83)*Inputs!$D$1)</f>
        <v>0</v>
      </c>
      <c r="S83" s="58">
        <f>SUM(O83:R83)</f>
        <v>0</v>
      </c>
      <c r="T83" s="57">
        <f>IF(ISNA(SUMIFS(INDEX(Inputs!$B$2:$AZ$190,,MATCH(SUBSTITUTE(T$3,"Q","T"),Inputs!$B$2:$AZ$2,0)),Inputs!$B$2:$B$190,$B83)*Inputs!$D$1),"",SUMIFS(INDEX(Inputs!$B$2:$AZ$190,,MATCH(SUBSTITUTE(T$3,"Q","T"),Inputs!$B$2:$AZ$2,0)),Inputs!$B$2:$B$190,$B83)*Inputs!$D$1)</f>
        <v>0</v>
      </c>
      <c r="U83" s="57">
        <f>IF(ISNA(SUMIFS(INDEX(Inputs!$B$2:$AZ$190,,MATCH(SUBSTITUTE(U$3,"Q","T"),Inputs!$B$2:$AZ$2,0)),Inputs!$B$2:$B$190,$B83)*Inputs!$D$1),"",SUMIFS(INDEX(Inputs!$B$2:$AZ$190,,MATCH(SUBSTITUTE(U$3,"Q","T"),Inputs!$B$2:$AZ$2,0)),Inputs!$B$2:$B$190,$B83)*Inputs!$D$1)</f>
        <v>0</v>
      </c>
      <c r="V83" s="57">
        <f>IF(ISNA(SUMIFS(INDEX(Inputs!$B$2:$AZ$190,,MATCH(SUBSTITUTE(V$3,"Q","T"),Inputs!$B$2:$AZ$2,0)),Inputs!$B$2:$B$190,$B83)*Inputs!$D$1),"",SUMIFS(INDEX(Inputs!$B$2:$AZ$190,,MATCH(SUBSTITUTE(V$3,"Q","T"),Inputs!$B$2:$AZ$2,0)),Inputs!$B$2:$B$190,$B83)*Inputs!$D$1)</f>
        <v>0</v>
      </c>
      <c r="W83" s="57">
        <f>IF(ISNA(SUMIFS(INDEX(Inputs!$B$2:$AZ$190,,MATCH(SUBSTITUTE(W$3,"Q","T"),Inputs!$B$2:$AZ$2,0)),Inputs!$B$2:$B$190,$B83)*Inputs!$D$1),"",SUMIFS(INDEX(Inputs!$B$2:$AZ$190,,MATCH(SUBSTITUTE(W$3,"Q","T"),Inputs!$B$2:$AZ$2,0)),Inputs!$B$2:$B$190,$B83)*Inputs!$D$1)</f>
        <v>0</v>
      </c>
      <c r="X83" s="58">
        <f>SUM(T83:W83)</f>
        <v>0</v>
      </c>
      <c r="Y83" s="57">
        <f>IF(ISNA(SUMIFS(INDEX(Inputs!$B$2:$AZ$190,,MATCH(SUBSTITUTE(Y$3,"Q","T"),Inputs!$B$2:$AZ$2,0)),Inputs!$B$2:$B$190,$B83)*Inputs!$D$1),"",SUMIFS(INDEX(Inputs!$B$2:$AZ$190,,MATCH(SUBSTITUTE(Y$3,"Q","T"),Inputs!$B$2:$AZ$2,0)),Inputs!$B$2:$B$190,$B83)*Inputs!$D$1)</f>
        <v>0</v>
      </c>
      <c r="Z83" s="57">
        <f>IF(ISNA(SUMIFS(INDEX(Inputs!$B$2:$AZ$190,,MATCH(SUBSTITUTE(Z$3,"Q","T"),Inputs!$B$2:$AZ$2,0)),Inputs!$B$2:$B$190,$B83)*Inputs!$D$1),"",SUMIFS(INDEX(Inputs!$B$2:$AZ$190,,MATCH(SUBSTITUTE(Z$3,"Q","T"),Inputs!$B$2:$AZ$2,0)),Inputs!$B$2:$B$190,$B83)*Inputs!$D$1)</f>
        <v>0</v>
      </c>
      <c r="AA83" s="57">
        <f>IF(ISNA(SUMIFS(INDEX(Inputs!$B$2:$AZ$190,,MATCH(SUBSTITUTE(AA$3,"Q","T"),Inputs!$B$2:$AZ$2,0)),Inputs!$B$2:$B$190,$B83)*Inputs!$D$1),"",SUMIFS(INDEX(Inputs!$B$2:$AZ$190,,MATCH(SUBSTITUTE(AA$3,"Q","T"),Inputs!$B$2:$AZ$2,0)),Inputs!$B$2:$B$190,$B83)*Inputs!$D$1)</f>
        <v>0</v>
      </c>
      <c r="AB83" s="57">
        <f>IF(ISNA(SUMIFS(INDEX(Inputs!$B$2:$AZ$190,,MATCH(SUBSTITUTE(AB$3,"Q","T"),Inputs!$B$2:$AZ$2,0)),Inputs!$B$2:$B$190,$B83)*Inputs!$D$1),"",SUMIFS(INDEX(Inputs!$B$2:$AZ$190,,MATCH(SUBSTITUTE(AB$3,"Q","T"),Inputs!$B$2:$AZ$2,0)),Inputs!$B$2:$B$190,$B83)*Inputs!$D$1)</f>
        <v>0</v>
      </c>
      <c r="AC83" s="58">
        <f>SUM(Y83:AB83)</f>
        <v>0</v>
      </c>
      <c r="AD83" s="57">
        <f>IF(ISNA(SUMIFS(INDEX(Inputs!$B$2:$AZ$190,,MATCH(SUBSTITUTE(AD$3,"Q","T"),Inputs!$B$2:$AZ$2,0)),Inputs!$B$2:$B$190,$B83)*Inputs!$D$1),"",SUMIFS(INDEX(Inputs!$B$2:$AZ$190,,MATCH(SUBSTITUTE(AD$3,"Q","T"),Inputs!$B$2:$AZ$2,0)),Inputs!$B$2:$B$190,$B83)*Inputs!$D$1)</f>
        <v>0</v>
      </c>
      <c r="AE83" s="57">
        <f>IF(ISNA(SUMIFS(INDEX(Inputs!$B$2:$AZ$190,,MATCH(SUBSTITUTE(AE$3,"Q","T"),Inputs!$B$2:$AZ$2,0)),Inputs!$B$2:$B$190,$B83)*Inputs!$D$1),"",SUMIFS(INDEX(Inputs!$B$2:$AZ$190,,MATCH(SUBSTITUTE(AE$3,"Q","T"),Inputs!$B$2:$AZ$2,0)),Inputs!$B$2:$B$190,$B83)*Inputs!$D$1)</f>
        <v>0</v>
      </c>
      <c r="AF83" s="57">
        <f>IF(ISNA(SUMIFS(INDEX(Inputs!$B$2:$AZ$190,,MATCH(SUBSTITUTE(AF$3,"Q","T"),Inputs!$B$2:$AZ$2,0)),Inputs!$B$2:$B$190,$B83)*Inputs!$D$1),"",SUMIFS(INDEX(Inputs!$B$2:$AZ$190,,MATCH(SUBSTITUTE(AF$3,"Q","T"),Inputs!$B$2:$AZ$2,0)),Inputs!$B$2:$B$190,$B83)*Inputs!$D$1)</f>
        <v>0</v>
      </c>
      <c r="AG83" s="57">
        <f>IF(ISNA(SUMIFS(INDEX(Inputs!$B$2:$AZ$190,,MATCH(SUBSTITUTE(AG$3,"Q","T"),Inputs!$B$2:$AZ$2,0)),Inputs!$B$2:$B$190,$B83)*Inputs!$D$1),"",SUMIFS(INDEX(Inputs!$B$2:$AZ$190,,MATCH(SUBSTITUTE(AG$3,"Q","T"),Inputs!$B$2:$AZ$2,0)),Inputs!$B$2:$B$190,$B83)*Inputs!$D$1)</f>
        <v>0</v>
      </c>
      <c r="AH83" s="58">
        <f>SUM(AD83:AG83)</f>
        <v>0</v>
      </c>
      <c r="AI83" s="57">
        <f>IF(ISNA(SUMIFS(INDEX(Inputs!$B$2:$AZ$190,,MATCH(SUBSTITUTE(AI$3,"Q","T"),Inputs!$B$2:$AZ$2,0)),Inputs!$B$2:$B$190,$B83)*Inputs!$D$1),"",SUMIFS(INDEX(Inputs!$B$2:$AZ$190,,MATCH(SUBSTITUTE(AI$3,"Q","T"),Inputs!$B$2:$AZ$2,0)),Inputs!$B$2:$B$190,$B83)*Inputs!$D$1)</f>
        <v>0</v>
      </c>
      <c r="AJ83" s="57">
        <f>IF(ISNA(SUMIFS(INDEX(Inputs!$B$2:$AZ$190,,MATCH(SUBSTITUTE(AJ$3,"Q","T"),Inputs!$B$2:$AZ$2,0)),Inputs!$B$2:$B$190,$B83)*Inputs!$D$1),"",SUMIFS(INDEX(Inputs!$B$2:$AZ$190,,MATCH(SUBSTITUTE(AJ$3,"Q","T"),Inputs!$B$2:$AZ$2,0)),Inputs!$B$2:$B$190,$B83)*Inputs!$D$1)</f>
        <v>0</v>
      </c>
      <c r="AK83" s="57">
        <f>IF(ISNA(SUMIFS(INDEX(Inputs!$B$2:$AZ$190,,MATCH(SUBSTITUTE(AK$3,"Q","T"),Inputs!$B$2:$AZ$2,0)),Inputs!$B$2:$B$190,$B83)*Inputs!$D$1),"",SUMIFS(INDEX(Inputs!$B$2:$AZ$190,,MATCH(SUBSTITUTE(AK$3,"Q","T"),Inputs!$B$2:$AZ$2,0)),Inputs!$B$2:$B$190,$B83)*Inputs!$D$1)</f>
        <v>0</v>
      </c>
      <c r="AL83" s="57">
        <f>IF(ISNA(SUMIFS(INDEX(Inputs!$B$2:$AZ$190,,MATCH(SUBSTITUTE(AL$3,"Q","T"),Inputs!$B$2:$AZ$2,0)),Inputs!$B$2:$B$190,$B83)*Inputs!$D$1),"",SUMIFS(INDEX(Inputs!$B$2:$AZ$190,,MATCH(SUBSTITUTE(AL$3,"Q","T"),Inputs!$B$2:$AZ$2,0)),Inputs!$B$2:$B$190,$B83)*Inputs!$D$1)</f>
        <v>0</v>
      </c>
      <c r="AM83" s="58">
        <f>SUM(AI83:AL83)</f>
        <v>0</v>
      </c>
      <c r="AN83" s="57">
        <f>IF(ISNA(SUMIFS(INDEX(Inputs!$B$2:$AZ$190,,MATCH(SUBSTITUTE(AN$3,"Q","T"),Inputs!$B$2:$AZ$2,0)),Inputs!$B$2:$B$190,$B83)*Inputs!$D$1),"",SUMIFS(INDEX(Inputs!$B$2:$AZ$190,,MATCH(SUBSTITUTE(AN$3,"Q","T"),Inputs!$B$2:$AZ$2,0)),Inputs!$B$2:$B$190,$B83)*Inputs!$D$1)</f>
        <v>0</v>
      </c>
      <c r="AO83" s="57">
        <f>IF(ISNA(SUMIFS(INDEX(Inputs!$B$2:$AZ$190,,MATCH(SUBSTITUTE(AO$3,"Q","T"),Inputs!$B$2:$AZ$2,0)),Inputs!$B$2:$B$190,$B83)*Inputs!$D$1),"",SUMIFS(INDEX(Inputs!$B$2:$AZ$190,,MATCH(SUBSTITUTE(AO$3,"Q","T"),Inputs!$B$2:$AZ$2,0)),Inputs!$B$2:$B$190,$B83)*Inputs!$D$1)</f>
        <v>0</v>
      </c>
      <c r="AP83" s="57">
        <f>IF(ISNA(SUMIFS(INDEX(Inputs!$B$2:$AZ$190,,MATCH(SUBSTITUTE(AP$3,"Q","T"),Inputs!$B$2:$AZ$2,0)),Inputs!$B$2:$B$190,$B83)*Inputs!$D$1),"",SUMIFS(INDEX(Inputs!$B$2:$AZ$190,,MATCH(SUBSTITUTE(AP$3,"Q","T"),Inputs!$B$2:$AZ$2,0)),Inputs!$B$2:$B$190,$B83)*Inputs!$D$1)</f>
        <v>0</v>
      </c>
      <c r="AQ83" s="57">
        <f>IF(ISNA(SUMIFS(INDEX(Inputs!$B$2:$AZ$190,,MATCH(SUBSTITUTE(AQ$3,"Q","T"),Inputs!$B$2:$AZ$2,0)),Inputs!$B$2:$B$190,$B83)*Inputs!$D$1),"",SUMIFS(INDEX(Inputs!$B$2:$AZ$190,,MATCH(SUBSTITUTE(AQ$3,"Q","T"),Inputs!$B$2:$AZ$2,0)),Inputs!$B$2:$B$190,$B83)*Inputs!$D$1)</f>
        <v>0</v>
      </c>
      <c r="AR83" s="58">
        <f>SUM(AN83:AQ83)</f>
        <v>0</v>
      </c>
      <c r="AS83" s="57">
        <f>IF(ISNA(SUMIFS(INDEX(Inputs!$B$2:$AZ$190,,MATCH(SUBSTITUTE(AS$3,"Q","T"),Inputs!$B$2:$AZ$2,0)),Inputs!$B$2:$B$190,$B83)*Inputs!$D$1),"",SUMIFS(INDEX(Inputs!$B$2:$AZ$190,,MATCH(SUBSTITUTE(AS$3,"Q","T"),Inputs!$B$2:$AZ$2,0)),Inputs!$B$2:$B$190,$B83)*Inputs!$D$1)</f>
        <v>0</v>
      </c>
      <c r="AT83" s="57">
        <f>IF(ISNA(SUMIFS(INDEX(Inputs!$B$2:$AZ$190,,MATCH(SUBSTITUTE(AT$3,"Q","T"),Inputs!$B$2:$AZ$2,0)),Inputs!$B$2:$B$190,$B83)*Inputs!$D$1),"",SUMIFS(INDEX(Inputs!$B$2:$AZ$190,,MATCH(SUBSTITUTE(AT$3,"Q","T"),Inputs!$B$2:$AZ$2,0)),Inputs!$B$2:$B$190,$B83)*Inputs!$D$1)</f>
        <v>0</v>
      </c>
      <c r="AU83" s="57">
        <f>IF(ISNA(SUMIFS(INDEX(Inputs!$B$2:$AZ$190,,MATCH(SUBSTITUTE(AU$3,"Q","T"),Inputs!$B$2:$AZ$2,0)),Inputs!$B$2:$B$190,$B83)*Inputs!$D$1),"",SUMIFS(INDEX(Inputs!$B$2:$AZ$190,,MATCH(SUBSTITUTE(AU$3,"Q","T"),Inputs!$B$2:$AZ$2,0)),Inputs!$B$2:$B$190,$B83)*Inputs!$D$1)</f>
        <v>0</v>
      </c>
      <c r="AV83" s="57">
        <f>IF(ISNA(SUMIFS(INDEX(Inputs!$B$2:$AZ$190,,MATCH(SUBSTITUTE(AV$3,"Q","T"),Inputs!$B$2:$AZ$2,0)),Inputs!$B$2:$B$190,$B83)*Inputs!$D$1),"",SUMIFS(INDEX(Inputs!$B$2:$AZ$190,,MATCH(SUBSTITUTE(AV$3,"Q","T"),Inputs!$B$2:$AZ$2,0)),Inputs!$B$2:$B$190,$B83)*Inputs!$D$1)</f>
        <v>0</v>
      </c>
      <c r="AW83" s="58">
        <f>SUM(AS83:AV83)</f>
        <v>0</v>
      </c>
      <c r="AX83" s="57">
        <f>IF(ISNA(SUMIFS(INDEX(Inputs!$B$2:$AZ$190,,MATCH(SUBSTITUTE(AX$3,"Q","T"),Inputs!$B$2:$AZ$2,0)),Inputs!$B$2:$B$190,$B83)*Inputs!$D$1),"",SUMIFS(INDEX(Inputs!$B$2:$AZ$190,,MATCH(SUBSTITUTE(AX$3,"Q","T"),Inputs!$B$2:$AZ$2,0)),Inputs!$B$2:$B$190,$B83)*Inputs!$D$1)</f>
        <v>0</v>
      </c>
      <c r="AY83" s="57">
        <f>IF(ISNA(SUMIFS(INDEX(Inputs!$B$2:$AZ$190,,MATCH(SUBSTITUTE(AY$3,"Q","T"),Inputs!$B$2:$AZ$2,0)),Inputs!$B$2:$B$190,$B83)*Inputs!$D$1),"",SUMIFS(INDEX(Inputs!$B$2:$AZ$190,,MATCH(SUBSTITUTE(AY$3,"Q","T"),Inputs!$B$2:$AZ$2,0)),Inputs!$B$2:$B$190,$B83)*Inputs!$D$1)</f>
        <v>0</v>
      </c>
      <c r="AZ83" s="57">
        <f>IF(ISNA(SUMIFS(INDEX(Inputs!$B$2:$AZ$190,,MATCH(SUBSTITUTE(AZ$3,"Q","T"),Inputs!$B$2:$AZ$2,0)),Inputs!$B$2:$B$190,$B83)*Inputs!$D$1),"",SUMIFS(INDEX(Inputs!$B$2:$AZ$190,,MATCH(SUBSTITUTE(AZ$3,"Q","T"),Inputs!$B$2:$AZ$2,0)),Inputs!$B$2:$B$190,$B83)*Inputs!$D$1)</f>
        <v>0</v>
      </c>
      <c r="BA83" s="57">
        <f>IF(ISNA(SUMIFS(INDEX(Inputs!$B$2:$AZ$190,,MATCH(SUBSTITUTE(BA$3,"Q","T"),Inputs!$B$2:$AZ$2,0)),Inputs!$B$2:$B$190,$B83)*Inputs!$D$1),"",SUMIFS(INDEX(Inputs!$B$2:$AZ$190,,MATCH(SUBSTITUTE(BA$3,"Q","T"),Inputs!$B$2:$AZ$2,0)),Inputs!$B$2:$B$190,$B83)*Inputs!$D$1)</f>
        <v>0</v>
      </c>
      <c r="BB83" s="58">
        <f>SUM(AX83:BA83)</f>
        <v>0</v>
      </c>
      <c r="BC83" s="57">
        <f>IF(ISNA(SUMIFS(INDEX(Inputs!$B$2:$AZ$190,,MATCH(SUBSTITUTE(BC$3,"Q","T"),Inputs!$B$2:$AZ$2,0)),Inputs!$B$2:$B$190,$B83)*Inputs!$D$1),"",SUMIFS(INDEX(Inputs!$B$2:$AZ$190,,MATCH(SUBSTITUTE(BC$3,"Q","T"),Inputs!$B$2:$AZ$2,0)),Inputs!$B$2:$B$190,$B83)*Inputs!$D$1)</f>
        <v>0</v>
      </c>
      <c r="BD83" s="57">
        <f>IF(ISNA(SUMIFS(INDEX(Inputs!$B$2:$AZ$190,,MATCH(SUBSTITUTE(BD$3,"Q","T"),Inputs!$B$2:$AZ$2,0)),Inputs!$B$2:$B$190,$B83)*Inputs!$D$1),"",SUMIFS(INDEX(Inputs!$B$2:$AZ$190,,MATCH(SUBSTITUTE(BD$3,"Q","T"),Inputs!$B$2:$AZ$2,0)),Inputs!$B$2:$B$190,$B83)*Inputs!$D$1)</f>
        <v>0</v>
      </c>
      <c r="BE83" s="57">
        <f>IF(ISNA(SUMIFS(INDEX(Inputs!$B$2:$AZ$190,,MATCH(SUBSTITUTE(BE$3,"Q","T"),Inputs!$B$2:$AZ$2,0)),Inputs!$B$2:$B$190,$B83)*Inputs!$D$1),"",SUMIFS(INDEX(Inputs!$B$2:$AZ$190,,MATCH(SUBSTITUTE(BE$3,"Q","T"),Inputs!$B$2:$AZ$2,0)),Inputs!$B$2:$B$190,$B83)*Inputs!$D$1)</f>
        <v>0</v>
      </c>
      <c r="BF83" s="57">
        <f>IF(ISNA(SUMIFS(INDEX(Inputs!$B$2:$AZ$190,,MATCH(SUBSTITUTE(BF$3,"Q","T"),Inputs!$B$2:$AZ$2,0)),Inputs!$B$2:$B$190,$B83)*Inputs!$D$1),"",SUMIFS(INDEX(Inputs!$B$2:$AZ$190,,MATCH(SUBSTITUTE(BF$3,"Q","T"),Inputs!$B$2:$AZ$2,0)),Inputs!$B$2:$B$190,$B83)*Inputs!$D$1)</f>
        <v>0</v>
      </c>
      <c r="BG83" s="58">
        <f>SUM(BC83:BF83)</f>
        <v>0</v>
      </c>
    </row>
    <row r="84" hidden="1" outlineLevel="1">
      <c r="B84" s="56" t="inlineStr">
        <is>
          <t>recoveries</t>
        </is>
      </c>
      <c r="C84" s="61" t="inlineStr">
        <is>
          <t>Recuperações (quando à parte; nos EUA a provisão já é líquida)</t>
        </is>
      </c>
      <c r="D84" s="62" t="inlineStr">
        <is>
          <t>Recoveries, if separate</t>
        </is>
      </c>
      <c r="E84" s="57">
        <f>IF(ISNA(SUMIFS(INDEX(Inputs!$B$2:$AZ$190,,MATCH(SUBSTITUTE(E$3,"Q","T"),Inputs!$B$2:$AZ$2,0)),Inputs!$B$2:$B$190,$B84)*Inputs!$D$1),"",SUMIFS(INDEX(Inputs!$B$2:$AZ$190,,MATCH(SUBSTITUTE(E$3,"Q","T"),Inputs!$B$2:$AZ$2,0)),Inputs!$B$2:$B$190,$B84)*Inputs!$D$1)</f>
        <v>0</v>
      </c>
      <c r="F84" s="57">
        <f>IF(ISNA(SUMIFS(INDEX(Inputs!$B$2:$AZ$190,,MATCH(SUBSTITUTE(F$3,"Q","T"),Inputs!$B$2:$AZ$2,0)),Inputs!$B$2:$B$190,$B84)*Inputs!$D$1),"",SUMIFS(INDEX(Inputs!$B$2:$AZ$190,,MATCH(SUBSTITUTE(F$3,"Q","T"),Inputs!$B$2:$AZ$2,0)),Inputs!$B$2:$B$190,$B84)*Inputs!$D$1)</f>
        <v>0</v>
      </c>
      <c r="G84" s="57">
        <f>IF(ISNA(SUMIFS(INDEX(Inputs!$B$2:$AZ$190,,MATCH(SUBSTITUTE(G$3,"Q","T"),Inputs!$B$2:$AZ$2,0)),Inputs!$B$2:$B$190,$B84)*Inputs!$D$1),"",SUMIFS(INDEX(Inputs!$B$2:$AZ$190,,MATCH(SUBSTITUTE(G$3,"Q","T"),Inputs!$B$2:$AZ$2,0)),Inputs!$B$2:$B$190,$B84)*Inputs!$D$1)</f>
        <v>0</v>
      </c>
      <c r="H84" s="57">
        <f>IF(ISNA(SUMIFS(INDEX(Inputs!$B$2:$AZ$190,,MATCH(SUBSTITUTE(H$3,"Q","T"),Inputs!$B$2:$AZ$2,0)),Inputs!$B$2:$B$190,$B84)*Inputs!$D$1),"",SUMIFS(INDEX(Inputs!$B$2:$AZ$190,,MATCH(SUBSTITUTE(H$3,"Q","T"),Inputs!$B$2:$AZ$2,0)),Inputs!$B$2:$B$190,$B84)*Inputs!$D$1)</f>
        <v>0</v>
      </c>
      <c r="I84" s="58">
        <f>SUM(E84:H84)</f>
        <v>0</v>
      </c>
      <c r="J84" s="57">
        <f>IF(ISNA(SUMIFS(INDEX(Inputs!$B$2:$AZ$190,,MATCH(SUBSTITUTE(J$3,"Q","T"),Inputs!$B$2:$AZ$2,0)),Inputs!$B$2:$B$190,$B84)*Inputs!$D$1),"",SUMIFS(INDEX(Inputs!$B$2:$AZ$190,,MATCH(SUBSTITUTE(J$3,"Q","T"),Inputs!$B$2:$AZ$2,0)),Inputs!$B$2:$B$190,$B84)*Inputs!$D$1)</f>
        <v>0</v>
      </c>
      <c r="K84" s="57">
        <f>IF(ISNA(SUMIFS(INDEX(Inputs!$B$2:$AZ$190,,MATCH(SUBSTITUTE(K$3,"Q","T"),Inputs!$B$2:$AZ$2,0)),Inputs!$B$2:$B$190,$B84)*Inputs!$D$1),"",SUMIFS(INDEX(Inputs!$B$2:$AZ$190,,MATCH(SUBSTITUTE(K$3,"Q","T"),Inputs!$B$2:$AZ$2,0)),Inputs!$B$2:$B$190,$B84)*Inputs!$D$1)</f>
        <v>0</v>
      </c>
      <c r="L84" s="57">
        <f>IF(ISNA(SUMIFS(INDEX(Inputs!$B$2:$AZ$190,,MATCH(SUBSTITUTE(L$3,"Q","T"),Inputs!$B$2:$AZ$2,0)),Inputs!$B$2:$B$190,$B84)*Inputs!$D$1),"",SUMIFS(INDEX(Inputs!$B$2:$AZ$190,,MATCH(SUBSTITUTE(L$3,"Q","T"),Inputs!$B$2:$AZ$2,0)),Inputs!$B$2:$B$190,$B84)*Inputs!$D$1)</f>
        <v>0</v>
      </c>
      <c r="M84" s="57">
        <f>IF(ISNA(SUMIFS(INDEX(Inputs!$B$2:$AZ$190,,MATCH(SUBSTITUTE(M$3,"Q","T"),Inputs!$B$2:$AZ$2,0)),Inputs!$B$2:$B$190,$B84)*Inputs!$D$1),"",SUMIFS(INDEX(Inputs!$B$2:$AZ$190,,MATCH(SUBSTITUTE(M$3,"Q","T"),Inputs!$B$2:$AZ$2,0)),Inputs!$B$2:$B$190,$B84)*Inputs!$D$1)</f>
        <v>0</v>
      </c>
      <c r="N84" s="58">
        <f>SUM(J84:M84)</f>
        <v>0</v>
      </c>
      <c r="O84" s="57">
        <f>IF(ISNA(SUMIFS(INDEX(Inputs!$B$2:$AZ$190,,MATCH(SUBSTITUTE(O$3,"Q","T"),Inputs!$B$2:$AZ$2,0)),Inputs!$B$2:$B$190,$B84)*Inputs!$D$1),"",SUMIFS(INDEX(Inputs!$B$2:$AZ$190,,MATCH(SUBSTITUTE(O$3,"Q","T"),Inputs!$B$2:$AZ$2,0)),Inputs!$B$2:$B$190,$B84)*Inputs!$D$1)</f>
        <v>0</v>
      </c>
      <c r="P84" s="57">
        <f>IF(ISNA(SUMIFS(INDEX(Inputs!$B$2:$AZ$190,,MATCH(SUBSTITUTE(P$3,"Q","T"),Inputs!$B$2:$AZ$2,0)),Inputs!$B$2:$B$190,$B84)*Inputs!$D$1),"",SUMIFS(INDEX(Inputs!$B$2:$AZ$190,,MATCH(SUBSTITUTE(P$3,"Q","T"),Inputs!$B$2:$AZ$2,0)),Inputs!$B$2:$B$190,$B84)*Inputs!$D$1)</f>
        <v>0</v>
      </c>
      <c r="Q84" s="57">
        <f>IF(ISNA(SUMIFS(INDEX(Inputs!$B$2:$AZ$190,,MATCH(SUBSTITUTE(Q$3,"Q","T"),Inputs!$B$2:$AZ$2,0)),Inputs!$B$2:$B$190,$B84)*Inputs!$D$1),"",SUMIFS(INDEX(Inputs!$B$2:$AZ$190,,MATCH(SUBSTITUTE(Q$3,"Q","T"),Inputs!$B$2:$AZ$2,0)),Inputs!$B$2:$B$190,$B84)*Inputs!$D$1)</f>
        <v>0</v>
      </c>
      <c r="R84" s="57">
        <f>IF(ISNA(SUMIFS(INDEX(Inputs!$B$2:$AZ$190,,MATCH(SUBSTITUTE(R$3,"Q","T"),Inputs!$B$2:$AZ$2,0)),Inputs!$B$2:$B$190,$B84)*Inputs!$D$1),"",SUMIFS(INDEX(Inputs!$B$2:$AZ$190,,MATCH(SUBSTITUTE(R$3,"Q","T"),Inputs!$B$2:$AZ$2,0)),Inputs!$B$2:$B$190,$B84)*Inputs!$D$1)</f>
        <v>0</v>
      </c>
      <c r="S84" s="58">
        <f>SUM(O84:R84)</f>
        <v>0</v>
      </c>
      <c r="T84" s="57">
        <f>IF(ISNA(SUMIFS(INDEX(Inputs!$B$2:$AZ$190,,MATCH(SUBSTITUTE(T$3,"Q","T"),Inputs!$B$2:$AZ$2,0)),Inputs!$B$2:$B$190,$B84)*Inputs!$D$1),"",SUMIFS(INDEX(Inputs!$B$2:$AZ$190,,MATCH(SUBSTITUTE(T$3,"Q","T"),Inputs!$B$2:$AZ$2,0)),Inputs!$B$2:$B$190,$B84)*Inputs!$D$1)</f>
        <v>0</v>
      </c>
      <c r="U84" s="57">
        <f>IF(ISNA(SUMIFS(INDEX(Inputs!$B$2:$AZ$190,,MATCH(SUBSTITUTE(U$3,"Q","T"),Inputs!$B$2:$AZ$2,0)),Inputs!$B$2:$B$190,$B84)*Inputs!$D$1),"",SUMIFS(INDEX(Inputs!$B$2:$AZ$190,,MATCH(SUBSTITUTE(U$3,"Q","T"),Inputs!$B$2:$AZ$2,0)),Inputs!$B$2:$B$190,$B84)*Inputs!$D$1)</f>
        <v>0</v>
      </c>
      <c r="V84" s="57">
        <f>IF(ISNA(SUMIFS(INDEX(Inputs!$B$2:$AZ$190,,MATCH(SUBSTITUTE(V$3,"Q","T"),Inputs!$B$2:$AZ$2,0)),Inputs!$B$2:$B$190,$B84)*Inputs!$D$1),"",SUMIFS(INDEX(Inputs!$B$2:$AZ$190,,MATCH(SUBSTITUTE(V$3,"Q","T"),Inputs!$B$2:$AZ$2,0)),Inputs!$B$2:$B$190,$B84)*Inputs!$D$1)</f>
        <v>0</v>
      </c>
      <c r="W84" s="57">
        <f>IF(ISNA(SUMIFS(INDEX(Inputs!$B$2:$AZ$190,,MATCH(SUBSTITUTE(W$3,"Q","T"),Inputs!$B$2:$AZ$2,0)),Inputs!$B$2:$B$190,$B84)*Inputs!$D$1),"",SUMIFS(INDEX(Inputs!$B$2:$AZ$190,,MATCH(SUBSTITUTE(W$3,"Q","T"),Inputs!$B$2:$AZ$2,0)),Inputs!$B$2:$B$190,$B84)*Inputs!$D$1)</f>
        <v>0</v>
      </c>
      <c r="X84" s="58">
        <f>SUM(T84:W84)</f>
        <v>0</v>
      </c>
      <c r="Y84" s="57">
        <f>IF(ISNA(SUMIFS(INDEX(Inputs!$B$2:$AZ$190,,MATCH(SUBSTITUTE(Y$3,"Q","T"),Inputs!$B$2:$AZ$2,0)),Inputs!$B$2:$B$190,$B84)*Inputs!$D$1),"",SUMIFS(INDEX(Inputs!$B$2:$AZ$190,,MATCH(SUBSTITUTE(Y$3,"Q","T"),Inputs!$B$2:$AZ$2,0)),Inputs!$B$2:$B$190,$B84)*Inputs!$D$1)</f>
        <v>0</v>
      </c>
      <c r="Z84" s="57">
        <f>IF(ISNA(SUMIFS(INDEX(Inputs!$B$2:$AZ$190,,MATCH(SUBSTITUTE(Z$3,"Q","T"),Inputs!$B$2:$AZ$2,0)),Inputs!$B$2:$B$190,$B84)*Inputs!$D$1),"",SUMIFS(INDEX(Inputs!$B$2:$AZ$190,,MATCH(SUBSTITUTE(Z$3,"Q","T"),Inputs!$B$2:$AZ$2,0)),Inputs!$B$2:$B$190,$B84)*Inputs!$D$1)</f>
        <v>0</v>
      </c>
      <c r="AA84" s="57">
        <f>IF(ISNA(SUMIFS(INDEX(Inputs!$B$2:$AZ$190,,MATCH(SUBSTITUTE(AA$3,"Q","T"),Inputs!$B$2:$AZ$2,0)),Inputs!$B$2:$B$190,$B84)*Inputs!$D$1),"",SUMIFS(INDEX(Inputs!$B$2:$AZ$190,,MATCH(SUBSTITUTE(AA$3,"Q","T"),Inputs!$B$2:$AZ$2,0)),Inputs!$B$2:$B$190,$B84)*Inputs!$D$1)</f>
        <v>0</v>
      </c>
      <c r="AB84" s="57">
        <f>IF(ISNA(SUMIFS(INDEX(Inputs!$B$2:$AZ$190,,MATCH(SUBSTITUTE(AB$3,"Q","T"),Inputs!$B$2:$AZ$2,0)),Inputs!$B$2:$B$190,$B84)*Inputs!$D$1),"",SUMIFS(INDEX(Inputs!$B$2:$AZ$190,,MATCH(SUBSTITUTE(AB$3,"Q","T"),Inputs!$B$2:$AZ$2,0)),Inputs!$B$2:$B$190,$B84)*Inputs!$D$1)</f>
        <v>0</v>
      </c>
      <c r="AC84" s="58">
        <f>SUM(Y84:AB84)</f>
        <v>0</v>
      </c>
      <c r="AD84" s="57">
        <f>IF(ISNA(SUMIFS(INDEX(Inputs!$B$2:$AZ$190,,MATCH(SUBSTITUTE(AD$3,"Q","T"),Inputs!$B$2:$AZ$2,0)),Inputs!$B$2:$B$190,$B84)*Inputs!$D$1),"",SUMIFS(INDEX(Inputs!$B$2:$AZ$190,,MATCH(SUBSTITUTE(AD$3,"Q","T"),Inputs!$B$2:$AZ$2,0)),Inputs!$B$2:$B$190,$B84)*Inputs!$D$1)</f>
        <v>0</v>
      </c>
      <c r="AE84" s="57">
        <f>IF(ISNA(SUMIFS(INDEX(Inputs!$B$2:$AZ$190,,MATCH(SUBSTITUTE(AE$3,"Q","T"),Inputs!$B$2:$AZ$2,0)),Inputs!$B$2:$B$190,$B84)*Inputs!$D$1),"",SUMIFS(INDEX(Inputs!$B$2:$AZ$190,,MATCH(SUBSTITUTE(AE$3,"Q","T"),Inputs!$B$2:$AZ$2,0)),Inputs!$B$2:$B$190,$B84)*Inputs!$D$1)</f>
        <v>0</v>
      </c>
      <c r="AF84" s="57">
        <f>IF(ISNA(SUMIFS(INDEX(Inputs!$B$2:$AZ$190,,MATCH(SUBSTITUTE(AF$3,"Q","T"),Inputs!$B$2:$AZ$2,0)),Inputs!$B$2:$B$190,$B84)*Inputs!$D$1),"",SUMIFS(INDEX(Inputs!$B$2:$AZ$190,,MATCH(SUBSTITUTE(AF$3,"Q","T"),Inputs!$B$2:$AZ$2,0)),Inputs!$B$2:$B$190,$B84)*Inputs!$D$1)</f>
        <v>0</v>
      </c>
      <c r="AG84" s="57">
        <f>IF(ISNA(SUMIFS(INDEX(Inputs!$B$2:$AZ$190,,MATCH(SUBSTITUTE(AG$3,"Q","T"),Inputs!$B$2:$AZ$2,0)),Inputs!$B$2:$B$190,$B84)*Inputs!$D$1),"",SUMIFS(INDEX(Inputs!$B$2:$AZ$190,,MATCH(SUBSTITUTE(AG$3,"Q","T"),Inputs!$B$2:$AZ$2,0)),Inputs!$B$2:$B$190,$B84)*Inputs!$D$1)</f>
        <v>0</v>
      </c>
      <c r="AH84" s="58">
        <f>SUM(AD84:AG84)</f>
        <v>0</v>
      </c>
      <c r="AI84" s="57">
        <f>IF(ISNA(SUMIFS(INDEX(Inputs!$B$2:$AZ$190,,MATCH(SUBSTITUTE(AI$3,"Q","T"),Inputs!$B$2:$AZ$2,0)),Inputs!$B$2:$B$190,$B84)*Inputs!$D$1),"",SUMIFS(INDEX(Inputs!$B$2:$AZ$190,,MATCH(SUBSTITUTE(AI$3,"Q","T"),Inputs!$B$2:$AZ$2,0)),Inputs!$B$2:$B$190,$B84)*Inputs!$D$1)</f>
        <v>0</v>
      </c>
      <c r="AJ84" s="57">
        <f>IF(ISNA(SUMIFS(INDEX(Inputs!$B$2:$AZ$190,,MATCH(SUBSTITUTE(AJ$3,"Q","T"),Inputs!$B$2:$AZ$2,0)),Inputs!$B$2:$B$190,$B84)*Inputs!$D$1),"",SUMIFS(INDEX(Inputs!$B$2:$AZ$190,,MATCH(SUBSTITUTE(AJ$3,"Q","T"),Inputs!$B$2:$AZ$2,0)),Inputs!$B$2:$B$190,$B84)*Inputs!$D$1)</f>
        <v>0</v>
      </c>
      <c r="AK84" s="57">
        <f>IF(ISNA(SUMIFS(INDEX(Inputs!$B$2:$AZ$190,,MATCH(SUBSTITUTE(AK$3,"Q","T"),Inputs!$B$2:$AZ$2,0)),Inputs!$B$2:$B$190,$B84)*Inputs!$D$1),"",SUMIFS(INDEX(Inputs!$B$2:$AZ$190,,MATCH(SUBSTITUTE(AK$3,"Q","T"),Inputs!$B$2:$AZ$2,0)),Inputs!$B$2:$B$190,$B84)*Inputs!$D$1)</f>
        <v>0</v>
      </c>
      <c r="AL84" s="57">
        <f>IF(ISNA(SUMIFS(INDEX(Inputs!$B$2:$AZ$190,,MATCH(SUBSTITUTE(AL$3,"Q","T"),Inputs!$B$2:$AZ$2,0)),Inputs!$B$2:$B$190,$B84)*Inputs!$D$1),"",SUMIFS(INDEX(Inputs!$B$2:$AZ$190,,MATCH(SUBSTITUTE(AL$3,"Q","T"),Inputs!$B$2:$AZ$2,0)),Inputs!$B$2:$B$190,$B84)*Inputs!$D$1)</f>
        <v>0</v>
      </c>
      <c r="AM84" s="58">
        <f>SUM(AI84:AL84)</f>
        <v>0</v>
      </c>
      <c r="AN84" s="57">
        <f>IF(ISNA(SUMIFS(INDEX(Inputs!$B$2:$AZ$190,,MATCH(SUBSTITUTE(AN$3,"Q","T"),Inputs!$B$2:$AZ$2,0)),Inputs!$B$2:$B$190,$B84)*Inputs!$D$1),"",SUMIFS(INDEX(Inputs!$B$2:$AZ$190,,MATCH(SUBSTITUTE(AN$3,"Q","T"),Inputs!$B$2:$AZ$2,0)),Inputs!$B$2:$B$190,$B84)*Inputs!$D$1)</f>
        <v>0</v>
      </c>
      <c r="AO84" s="57">
        <f>IF(ISNA(SUMIFS(INDEX(Inputs!$B$2:$AZ$190,,MATCH(SUBSTITUTE(AO$3,"Q","T"),Inputs!$B$2:$AZ$2,0)),Inputs!$B$2:$B$190,$B84)*Inputs!$D$1),"",SUMIFS(INDEX(Inputs!$B$2:$AZ$190,,MATCH(SUBSTITUTE(AO$3,"Q","T"),Inputs!$B$2:$AZ$2,0)),Inputs!$B$2:$B$190,$B84)*Inputs!$D$1)</f>
        <v>0</v>
      </c>
      <c r="AP84" s="57">
        <f>IF(ISNA(SUMIFS(INDEX(Inputs!$B$2:$AZ$190,,MATCH(SUBSTITUTE(AP$3,"Q","T"),Inputs!$B$2:$AZ$2,0)),Inputs!$B$2:$B$190,$B84)*Inputs!$D$1),"",SUMIFS(INDEX(Inputs!$B$2:$AZ$190,,MATCH(SUBSTITUTE(AP$3,"Q","T"),Inputs!$B$2:$AZ$2,0)),Inputs!$B$2:$B$190,$B84)*Inputs!$D$1)</f>
        <v>0</v>
      </c>
      <c r="AQ84" s="57">
        <f>IF(ISNA(SUMIFS(INDEX(Inputs!$B$2:$AZ$190,,MATCH(SUBSTITUTE(AQ$3,"Q","T"),Inputs!$B$2:$AZ$2,0)),Inputs!$B$2:$B$190,$B84)*Inputs!$D$1),"",SUMIFS(INDEX(Inputs!$B$2:$AZ$190,,MATCH(SUBSTITUTE(AQ$3,"Q","T"),Inputs!$B$2:$AZ$2,0)),Inputs!$B$2:$B$190,$B84)*Inputs!$D$1)</f>
        <v>0</v>
      </c>
      <c r="AR84" s="58">
        <f>SUM(AN84:AQ84)</f>
        <v>0</v>
      </c>
      <c r="AS84" s="57">
        <f>IF(ISNA(SUMIFS(INDEX(Inputs!$B$2:$AZ$190,,MATCH(SUBSTITUTE(AS$3,"Q","T"),Inputs!$B$2:$AZ$2,0)),Inputs!$B$2:$B$190,$B84)*Inputs!$D$1),"",SUMIFS(INDEX(Inputs!$B$2:$AZ$190,,MATCH(SUBSTITUTE(AS$3,"Q","T"),Inputs!$B$2:$AZ$2,0)),Inputs!$B$2:$B$190,$B84)*Inputs!$D$1)</f>
        <v>0</v>
      </c>
      <c r="AT84" s="57">
        <f>IF(ISNA(SUMIFS(INDEX(Inputs!$B$2:$AZ$190,,MATCH(SUBSTITUTE(AT$3,"Q","T"),Inputs!$B$2:$AZ$2,0)),Inputs!$B$2:$B$190,$B84)*Inputs!$D$1),"",SUMIFS(INDEX(Inputs!$B$2:$AZ$190,,MATCH(SUBSTITUTE(AT$3,"Q","T"),Inputs!$B$2:$AZ$2,0)),Inputs!$B$2:$B$190,$B84)*Inputs!$D$1)</f>
        <v>0</v>
      </c>
      <c r="AU84" s="57">
        <f>IF(ISNA(SUMIFS(INDEX(Inputs!$B$2:$AZ$190,,MATCH(SUBSTITUTE(AU$3,"Q","T"),Inputs!$B$2:$AZ$2,0)),Inputs!$B$2:$B$190,$B84)*Inputs!$D$1),"",SUMIFS(INDEX(Inputs!$B$2:$AZ$190,,MATCH(SUBSTITUTE(AU$3,"Q","T"),Inputs!$B$2:$AZ$2,0)),Inputs!$B$2:$B$190,$B84)*Inputs!$D$1)</f>
        <v>0</v>
      </c>
      <c r="AV84" s="57">
        <f>IF(ISNA(SUMIFS(INDEX(Inputs!$B$2:$AZ$190,,MATCH(SUBSTITUTE(AV$3,"Q","T"),Inputs!$B$2:$AZ$2,0)),Inputs!$B$2:$B$190,$B84)*Inputs!$D$1),"",SUMIFS(INDEX(Inputs!$B$2:$AZ$190,,MATCH(SUBSTITUTE(AV$3,"Q","T"),Inputs!$B$2:$AZ$2,0)),Inputs!$B$2:$B$190,$B84)*Inputs!$D$1)</f>
        <v>0</v>
      </c>
      <c r="AW84" s="58">
        <f>SUM(AS84:AV84)</f>
        <v>0</v>
      </c>
      <c r="AX84" s="57">
        <f>IF(ISNA(SUMIFS(INDEX(Inputs!$B$2:$AZ$190,,MATCH(SUBSTITUTE(AX$3,"Q","T"),Inputs!$B$2:$AZ$2,0)),Inputs!$B$2:$B$190,$B84)*Inputs!$D$1),"",SUMIFS(INDEX(Inputs!$B$2:$AZ$190,,MATCH(SUBSTITUTE(AX$3,"Q","T"),Inputs!$B$2:$AZ$2,0)),Inputs!$B$2:$B$190,$B84)*Inputs!$D$1)</f>
        <v>0</v>
      </c>
      <c r="AY84" s="57">
        <f>IF(ISNA(SUMIFS(INDEX(Inputs!$B$2:$AZ$190,,MATCH(SUBSTITUTE(AY$3,"Q","T"),Inputs!$B$2:$AZ$2,0)),Inputs!$B$2:$B$190,$B84)*Inputs!$D$1),"",SUMIFS(INDEX(Inputs!$B$2:$AZ$190,,MATCH(SUBSTITUTE(AY$3,"Q","T"),Inputs!$B$2:$AZ$2,0)),Inputs!$B$2:$B$190,$B84)*Inputs!$D$1)</f>
        <v>0</v>
      </c>
      <c r="AZ84" s="57">
        <f>IF(ISNA(SUMIFS(INDEX(Inputs!$B$2:$AZ$190,,MATCH(SUBSTITUTE(AZ$3,"Q","T"),Inputs!$B$2:$AZ$2,0)),Inputs!$B$2:$B$190,$B84)*Inputs!$D$1),"",SUMIFS(INDEX(Inputs!$B$2:$AZ$190,,MATCH(SUBSTITUTE(AZ$3,"Q","T"),Inputs!$B$2:$AZ$2,0)),Inputs!$B$2:$B$190,$B84)*Inputs!$D$1)</f>
        <v>0</v>
      </c>
      <c r="BA84" s="57">
        <f>IF(ISNA(SUMIFS(INDEX(Inputs!$B$2:$AZ$190,,MATCH(SUBSTITUTE(BA$3,"Q","T"),Inputs!$B$2:$AZ$2,0)),Inputs!$B$2:$B$190,$B84)*Inputs!$D$1),"",SUMIFS(INDEX(Inputs!$B$2:$AZ$190,,MATCH(SUBSTITUTE(BA$3,"Q","T"),Inputs!$B$2:$AZ$2,0)),Inputs!$B$2:$B$190,$B84)*Inputs!$D$1)</f>
        <v>0</v>
      </c>
      <c r="BB84" s="58">
        <f>SUM(AX84:BA84)</f>
        <v>0</v>
      </c>
      <c r="BC84" s="57">
        <f>IF(ISNA(SUMIFS(INDEX(Inputs!$B$2:$AZ$190,,MATCH(SUBSTITUTE(BC$3,"Q","T"),Inputs!$B$2:$AZ$2,0)),Inputs!$B$2:$B$190,$B84)*Inputs!$D$1),"",SUMIFS(INDEX(Inputs!$B$2:$AZ$190,,MATCH(SUBSTITUTE(BC$3,"Q","T"),Inputs!$B$2:$AZ$2,0)),Inputs!$B$2:$B$190,$B84)*Inputs!$D$1)</f>
        <v>0</v>
      </c>
      <c r="BD84" s="57">
        <f>IF(ISNA(SUMIFS(INDEX(Inputs!$B$2:$AZ$190,,MATCH(SUBSTITUTE(BD$3,"Q","T"),Inputs!$B$2:$AZ$2,0)),Inputs!$B$2:$B$190,$B84)*Inputs!$D$1),"",SUMIFS(INDEX(Inputs!$B$2:$AZ$190,,MATCH(SUBSTITUTE(BD$3,"Q","T"),Inputs!$B$2:$AZ$2,0)),Inputs!$B$2:$B$190,$B84)*Inputs!$D$1)</f>
        <v>0</v>
      </c>
      <c r="BE84" s="57">
        <f>IF(ISNA(SUMIFS(INDEX(Inputs!$B$2:$AZ$190,,MATCH(SUBSTITUTE(BE$3,"Q","T"),Inputs!$B$2:$AZ$2,0)),Inputs!$B$2:$B$190,$B84)*Inputs!$D$1),"",SUMIFS(INDEX(Inputs!$B$2:$AZ$190,,MATCH(SUBSTITUTE(BE$3,"Q","T"),Inputs!$B$2:$AZ$2,0)),Inputs!$B$2:$B$190,$B84)*Inputs!$D$1)</f>
        <v>0</v>
      </c>
      <c r="BF84" s="57">
        <f>IF(ISNA(SUMIFS(INDEX(Inputs!$B$2:$AZ$190,,MATCH(SUBSTITUTE(BF$3,"Q","T"),Inputs!$B$2:$AZ$2,0)),Inputs!$B$2:$B$190,$B84)*Inputs!$D$1),"",SUMIFS(INDEX(Inputs!$B$2:$AZ$190,,MATCH(SUBSTITUTE(BF$3,"Q","T"),Inputs!$B$2:$AZ$2,0)),Inputs!$B$2:$B$190,$B84)*Inputs!$D$1)</f>
        <v>0</v>
      </c>
      <c r="BG84" s="58">
        <f>SUM(BC84:BF84)</f>
        <v>0</v>
      </c>
    </row>
    <row r="85">
      <c r="C85" s="53" t="inlineStr">
        <is>
          <t>NII após provisão</t>
        </is>
      </c>
      <c r="D85" s="54" t="inlineStr">
        <is>
          <t>NII after provision</t>
        </is>
      </c>
      <c r="E85" s="59">
        <f>IFERROR(E81+E82,"")</f>
        <v>0</v>
      </c>
      <c r="F85" s="59">
        <f>IFERROR(F81+F82,"")</f>
        <v>0</v>
      </c>
      <c r="G85" s="59">
        <f>IFERROR(G81+G82,"")</f>
        <v>0</v>
      </c>
      <c r="H85" s="59">
        <f>IFERROR(H81+H82,"")</f>
        <v>0</v>
      </c>
      <c r="I85" s="60">
        <f>SUM(E85:H85)</f>
        <v>0</v>
      </c>
      <c r="J85" s="59">
        <f>IFERROR(J81+J82,"")</f>
        <v>0</v>
      </c>
      <c r="K85" s="59">
        <f>IFERROR(K81+K82,"")</f>
        <v>0</v>
      </c>
      <c r="L85" s="59">
        <f>IFERROR(L81+L82,"")</f>
        <v>0</v>
      </c>
      <c r="M85" s="59">
        <f>IFERROR(M81+M82,"")</f>
        <v>0</v>
      </c>
      <c r="N85" s="60">
        <f>SUM(J85:M85)</f>
        <v>0</v>
      </c>
      <c r="O85" s="59">
        <f>IFERROR(O81+O82,"")</f>
        <v>0</v>
      </c>
      <c r="P85" s="59">
        <f>IFERROR(P81+P82,"")</f>
        <v>0</v>
      </c>
      <c r="Q85" s="59">
        <f>IFERROR(Q81+Q82,"")</f>
        <v>0</v>
      </c>
      <c r="R85" s="59">
        <f>IFERROR(R81+R82,"")</f>
        <v>0</v>
      </c>
      <c r="S85" s="60">
        <f>SUM(O85:R85)</f>
        <v>0</v>
      </c>
      <c r="T85" s="59">
        <f>IFERROR(T81+T82,"")</f>
        <v>0</v>
      </c>
      <c r="U85" s="59">
        <f>IFERROR(U81+U82,"")</f>
        <v>0</v>
      </c>
      <c r="V85" s="59">
        <f>IFERROR(V81+V82,"")</f>
        <v>0</v>
      </c>
      <c r="W85" s="59">
        <f>IFERROR(W81+W82,"")</f>
        <v>0</v>
      </c>
      <c r="X85" s="60">
        <f>SUM(T85:W85)</f>
        <v>0</v>
      </c>
      <c r="Y85" s="59">
        <f>IFERROR(Y81+Y82,"")</f>
        <v>0</v>
      </c>
      <c r="Z85" s="59">
        <f>IFERROR(Z81+Z82,"")</f>
        <v>0</v>
      </c>
      <c r="AA85" s="59">
        <f>IFERROR(AA81+AA82,"")</f>
        <v>0</v>
      </c>
      <c r="AB85" s="59">
        <f>IFERROR(AB81+AB82,"")</f>
        <v>0</v>
      </c>
      <c r="AC85" s="60">
        <f>SUM(Y85:AB85)</f>
        <v>0</v>
      </c>
      <c r="AD85" s="59">
        <f>IFERROR(AD81+AD82,"")</f>
        <v>0</v>
      </c>
      <c r="AE85" s="59">
        <f>IFERROR(AE81+AE82,"")</f>
        <v>0</v>
      </c>
      <c r="AF85" s="59">
        <f>IFERROR(AF81+AF82,"")</f>
        <v>0</v>
      </c>
      <c r="AG85" s="59">
        <f>IFERROR(AG81+AG82,"")</f>
        <v>0</v>
      </c>
      <c r="AH85" s="60">
        <f>SUM(AD85:AG85)</f>
        <v>0</v>
      </c>
      <c r="AI85" s="59">
        <f>IFERROR(AI81+AI82,"")</f>
        <v>0</v>
      </c>
      <c r="AJ85" s="59">
        <f>IFERROR(AJ81+AJ82,"")</f>
        <v>0</v>
      </c>
      <c r="AK85" s="59">
        <f>IFERROR(AK81+AK82,"")</f>
        <v>0</v>
      </c>
      <c r="AL85" s="59">
        <f>IFERROR(AL81+AL82,"")</f>
        <v>0</v>
      </c>
      <c r="AM85" s="60">
        <f>SUM(AI85:AL85)</f>
        <v>0</v>
      </c>
      <c r="AN85" s="59">
        <f>IFERROR(AN81+AN82,"")</f>
        <v>0</v>
      </c>
      <c r="AO85" s="59">
        <f>IFERROR(AO81+AO82,"")</f>
        <v>0</v>
      </c>
      <c r="AP85" s="59">
        <f>IFERROR(AP81+AP82,"")</f>
        <v>0</v>
      </c>
      <c r="AQ85" s="59">
        <f>IFERROR(AQ81+AQ82,"")</f>
        <v>0</v>
      </c>
      <c r="AR85" s="60">
        <f>SUM(AN85:AQ85)</f>
        <v>0</v>
      </c>
      <c r="AS85" s="59">
        <f>IFERROR(AS81+AS82,"")</f>
        <v>0</v>
      </c>
      <c r="AT85" s="59">
        <f>IFERROR(AT81+AT82,"")</f>
        <v>0</v>
      </c>
      <c r="AU85" s="59">
        <f>IFERROR(AU81+AU82,"")</f>
        <v>0</v>
      </c>
      <c r="AV85" s="59">
        <f>IFERROR(AV81+AV82,"")</f>
        <v>0</v>
      </c>
      <c r="AW85" s="60">
        <f>SUM(AS85:AV85)</f>
        <v>0</v>
      </c>
      <c r="AX85" s="59">
        <f>IFERROR(AX81+AX82,"")</f>
        <v>0</v>
      </c>
      <c r="AY85" s="59">
        <f>IFERROR(AY81+AY82,"")</f>
        <v>0</v>
      </c>
      <c r="AZ85" s="59">
        <f>IFERROR(AZ81+AZ82,"")</f>
        <v>0</v>
      </c>
      <c r="BA85" s="59">
        <f>IFERROR(BA81+BA82,"")</f>
        <v>0</v>
      </c>
      <c r="BB85" s="60">
        <f>SUM(AX85:BA85)</f>
        <v>0</v>
      </c>
      <c r="BC85" s="59">
        <f>IFERROR(BC81+BC82,"")</f>
        <v>0</v>
      </c>
      <c r="BD85" s="59">
        <f>IFERROR(BD81+BD82,"")</f>
        <v>0</v>
      </c>
      <c r="BE85" s="59">
        <f>IFERROR(BE81+BE82,"")</f>
        <v>0</v>
      </c>
      <c r="BF85" s="59">
        <f>IFERROR(BF81+BF82,"")</f>
        <v>0</v>
      </c>
      <c r="BG85" s="60">
        <f>SUM(BC85:BF85)</f>
        <v>0</v>
      </c>
    </row>
    <row r="86">
      <c r="C86" s="15" t="inlineStr">
        <is>
          <t>Receitas e despesas não-juros</t>
        </is>
      </c>
      <c r="D86" s="16" t="inlineStr">
        <is>
          <t>Noninterest revenue and expense</t>
        </is>
      </c>
      <c r="E86" s="59">
        <f>IFERROR(E87+E88+E89+E90+E91+E95+E96+E97+E98,"")</f>
        <v>0</v>
      </c>
      <c r="F86" s="59">
        <f>IFERROR(F87+F88+F89+F90+F91+F95+F96+F97+F98,"")</f>
        <v>0</v>
      </c>
      <c r="G86" s="59">
        <f>IFERROR(G87+G88+G89+G90+G91+G95+G96+G97+G98,"")</f>
        <v>0</v>
      </c>
      <c r="H86" s="59">
        <f>IFERROR(H87+H88+H89+H90+H91+H95+H96+H97+H98,"")</f>
        <v>0</v>
      </c>
      <c r="I86" s="60">
        <f>SUM(E86:H86)</f>
        <v>0</v>
      </c>
      <c r="J86" s="59">
        <f>IFERROR(J87+J88+J89+J90+J91+J95+J96+J97+J98,"")</f>
        <v>0</v>
      </c>
      <c r="K86" s="59">
        <f>IFERROR(K87+K88+K89+K90+K91+K95+K96+K97+K98,"")</f>
        <v>0</v>
      </c>
      <c r="L86" s="59">
        <f>IFERROR(L87+L88+L89+L90+L91+L95+L96+L97+L98,"")</f>
        <v>0</v>
      </c>
      <c r="M86" s="59">
        <f>IFERROR(M87+M88+M89+M90+M91+M95+M96+M97+M98,"")</f>
        <v>0</v>
      </c>
      <c r="N86" s="60">
        <f>SUM(J86:M86)</f>
        <v>0</v>
      </c>
      <c r="O86" s="59">
        <f>IFERROR(O87+O88+O89+O90+O91+O95+O96+O97+O98,"")</f>
        <v>0</v>
      </c>
      <c r="P86" s="59">
        <f>IFERROR(P87+P88+P89+P90+P91+P95+P96+P97+P98,"")</f>
        <v>0</v>
      </c>
      <c r="Q86" s="59">
        <f>IFERROR(Q87+Q88+Q89+Q90+Q91+Q95+Q96+Q97+Q98,"")</f>
        <v>0</v>
      </c>
      <c r="R86" s="59">
        <f>IFERROR(R87+R88+R89+R90+R91+R95+R96+R97+R98,"")</f>
        <v>0</v>
      </c>
      <c r="S86" s="60">
        <f>SUM(O86:R86)</f>
        <v>0</v>
      </c>
      <c r="T86" s="59">
        <f>IFERROR(T87+T88+T89+T90+T91+T95+T96+T97+T98,"")</f>
        <v>0</v>
      </c>
      <c r="U86" s="59">
        <f>IFERROR(U87+U88+U89+U90+U91+U95+U96+U97+U98,"")</f>
        <v>0</v>
      </c>
      <c r="V86" s="59">
        <f>IFERROR(V87+V88+V89+V90+V91+V95+V96+V97+V98,"")</f>
        <v>0</v>
      </c>
      <c r="W86" s="59">
        <f>IFERROR(W87+W88+W89+W90+W91+W95+W96+W97+W98,"")</f>
        <v>0</v>
      </c>
      <c r="X86" s="60">
        <f>SUM(T86:W86)</f>
        <v>0</v>
      </c>
      <c r="Y86" s="59">
        <f>IFERROR(Y87+Y88+Y89+Y90+Y91+Y95+Y96+Y97+Y98,"")</f>
        <v>0</v>
      </c>
      <c r="Z86" s="59">
        <f>IFERROR(Z87+Z88+Z89+Z90+Z91+Z95+Z96+Z97+Z98,"")</f>
        <v>0</v>
      </c>
      <c r="AA86" s="59">
        <f>IFERROR(AA87+AA88+AA89+AA90+AA91+AA95+AA96+AA97+AA98,"")</f>
        <v>0</v>
      </c>
      <c r="AB86" s="59">
        <f>IFERROR(AB87+AB88+AB89+AB90+AB91+AB95+AB96+AB97+AB98,"")</f>
        <v>0</v>
      </c>
      <c r="AC86" s="60">
        <f>SUM(Y86:AB86)</f>
        <v>0</v>
      </c>
      <c r="AD86" s="59">
        <f>IFERROR(AD87+AD88+AD89+AD90+AD91+AD95+AD96+AD97+AD98,"")</f>
        <v>0</v>
      </c>
      <c r="AE86" s="59">
        <f>IFERROR(AE87+AE88+AE89+AE90+AE91+AE95+AE96+AE97+AE98,"")</f>
        <v>0</v>
      </c>
      <c r="AF86" s="59">
        <f>IFERROR(AF87+AF88+AF89+AF90+AF91+AF95+AF96+AF97+AF98,"")</f>
        <v>0</v>
      </c>
      <c r="AG86" s="59">
        <f>IFERROR(AG87+AG88+AG89+AG90+AG91+AG95+AG96+AG97+AG98,"")</f>
        <v>0</v>
      </c>
      <c r="AH86" s="60">
        <f>SUM(AD86:AG86)</f>
        <v>0</v>
      </c>
      <c r="AI86" s="59">
        <f>IFERROR(AI87+AI88+AI89+AI90+AI91+AI95+AI96+AI97+AI98,"")</f>
        <v>0</v>
      </c>
      <c r="AJ86" s="59">
        <f>IFERROR(AJ87+AJ88+AJ89+AJ90+AJ91+AJ95+AJ96+AJ97+AJ98,"")</f>
        <v>0</v>
      </c>
      <c r="AK86" s="59">
        <f>IFERROR(AK87+AK88+AK89+AK90+AK91+AK95+AK96+AK97+AK98,"")</f>
        <v>0</v>
      </c>
      <c r="AL86" s="59">
        <f>IFERROR(AL87+AL88+AL89+AL90+AL91+AL95+AL96+AL97+AL98,"")</f>
        <v>0</v>
      </c>
      <c r="AM86" s="60">
        <f>SUM(AI86:AL86)</f>
        <v>0</v>
      </c>
      <c r="AN86" s="59">
        <f>IFERROR(AN87+AN88+AN89+AN90+AN91+AN95+AN96+AN97+AN98,"")</f>
        <v>0</v>
      </c>
      <c r="AO86" s="59">
        <f>IFERROR(AO87+AO88+AO89+AO90+AO91+AO95+AO96+AO97+AO98,"")</f>
        <v>0</v>
      </c>
      <c r="AP86" s="59">
        <f>IFERROR(AP87+AP88+AP89+AP90+AP91+AP95+AP96+AP97+AP98,"")</f>
        <v>0</v>
      </c>
      <c r="AQ86" s="59">
        <f>IFERROR(AQ87+AQ88+AQ89+AQ90+AQ91+AQ95+AQ96+AQ97+AQ98,"")</f>
        <v>0</v>
      </c>
      <c r="AR86" s="60">
        <f>SUM(AN86:AQ86)</f>
        <v>0</v>
      </c>
      <c r="AS86" s="59">
        <f>IFERROR(AS87+AS88+AS89+AS90+AS91+AS95+AS96+AS97+AS98,"")</f>
        <v>0</v>
      </c>
      <c r="AT86" s="59">
        <f>IFERROR(AT87+AT88+AT89+AT90+AT91+AT95+AT96+AT97+AT98,"")</f>
        <v>0</v>
      </c>
      <c r="AU86" s="59">
        <f>IFERROR(AU87+AU88+AU89+AU90+AU91+AU95+AU96+AU97+AU98,"")</f>
        <v>0</v>
      </c>
      <c r="AV86" s="59">
        <f>IFERROR(AV87+AV88+AV89+AV90+AV91+AV95+AV96+AV97+AV98,"")</f>
        <v>0</v>
      </c>
      <c r="AW86" s="60">
        <f>SUM(AS86:AV86)</f>
        <v>0</v>
      </c>
      <c r="AX86" s="59">
        <f>IFERROR(AX87+AX88+AX89+AX90+AX91+AX95+AX96+AX97+AX98,"")</f>
        <v>0</v>
      </c>
      <c r="AY86" s="59">
        <f>IFERROR(AY87+AY88+AY89+AY90+AY91+AY95+AY96+AY97+AY98,"")</f>
        <v>0</v>
      </c>
      <c r="AZ86" s="59">
        <f>IFERROR(AZ87+AZ88+AZ89+AZ90+AZ91+AZ95+AZ96+AZ97+AZ98,"")</f>
        <v>0</v>
      </c>
      <c r="BA86" s="59">
        <f>IFERROR(BA87+BA88+BA89+BA90+BA91+BA95+BA96+BA97+BA98,"")</f>
        <v>0</v>
      </c>
      <c r="BB86" s="60">
        <f>SUM(AX86:BA86)</f>
        <v>0</v>
      </c>
      <c r="BC86" s="59">
        <f>IFERROR(BC87+BC88+BC89+BC90+BC91+BC95+BC96+BC97+BC98,"")</f>
        <v>0</v>
      </c>
      <c r="BD86" s="59">
        <f>IFERROR(BD87+BD88+BD89+BD90+BD91+BD95+BD96+BD97+BD98,"")</f>
        <v>0</v>
      </c>
      <c r="BE86" s="59">
        <f>IFERROR(BE87+BE88+BE89+BE90+BE91+BE95+BE96+BE97+BE98,"")</f>
        <v>0</v>
      </c>
      <c r="BF86" s="59">
        <f>IFERROR(BF87+BF88+BF89+BF90+BF91+BF95+BF96+BF97+BF98,"")</f>
        <v>0</v>
      </c>
      <c r="BG86" s="60">
        <f>SUM(BC86:BF86)</f>
        <v>0</v>
      </c>
    </row>
    <row r="87" hidden="1" outlineLevel="1">
      <c r="B87" s="56" t="inlineStr">
        <is>
          <t>fees</t>
        </is>
      </c>
      <c r="C87" s="61" t="inlineStr">
        <is>
          <t>Receitas de tarifas e comissões</t>
        </is>
      </c>
      <c r="D87" s="62" t="inlineStr">
        <is>
          <t>Fees and commissions</t>
        </is>
      </c>
      <c r="E87" s="57">
        <f>IF(ISNA(SUMIFS(INDEX(Inputs!$B$2:$AZ$190,,MATCH(SUBSTITUTE(E$3,"Q","T"),Inputs!$B$2:$AZ$2,0)),Inputs!$B$2:$B$190,$B87)*Inputs!$D$1),"",SUMIFS(INDEX(Inputs!$B$2:$AZ$190,,MATCH(SUBSTITUTE(E$3,"Q","T"),Inputs!$B$2:$AZ$2,0)),Inputs!$B$2:$B$190,$B87)*Inputs!$D$1)</f>
        <v>0</v>
      </c>
      <c r="F87" s="57">
        <f>IF(ISNA(SUMIFS(INDEX(Inputs!$B$2:$AZ$190,,MATCH(SUBSTITUTE(F$3,"Q","T"),Inputs!$B$2:$AZ$2,0)),Inputs!$B$2:$B$190,$B87)*Inputs!$D$1),"",SUMIFS(INDEX(Inputs!$B$2:$AZ$190,,MATCH(SUBSTITUTE(F$3,"Q","T"),Inputs!$B$2:$AZ$2,0)),Inputs!$B$2:$B$190,$B87)*Inputs!$D$1)</f>
        <v>0</v>
      </c>
      <c r="G87" s="57">
        <f>IF(ISNA(SUMIFS(INDEX(Inputs!$B$2:$AZ$190,,MATCH(SUBSTITUTE(G$3,"Q","T"),Inputs!$B$2:$AZ$2,0)),Inputs!$B$2:$B$190,$B87)*Inputs!$D$1),"",SUMIFS(INDEX(Inputs!$B$2:$AZ$190,,MATCH(SUBSTITUTE(G$3,"Q","T"),Inputs!$B$2:$AZ$2,0)),Inputs!$B$2:$B$190,$B87)*Inputs!$D$1)</f>
        <v>0</v>
      </c>
      <c r="H87" s="57">
        <f>IF(ISNA(SUMIFS(INDEX(Inputs!$B$2:$AZ$190,,MATCH(SUBSTITUTE(H$3,"Q","T"),Inputs!$B$2:$AZ$2,0)),Inputs!$B$2:$B$190,$B87)*Inputs!$D$1),"",SUMIFS(INDEX(Inputs!$B$2:$AZ$190,,MATCH(SUBSTITUTE(H$3,"Q","T"),Inputs!$B$2:$AZ$2,0)),Inputs!$B$2:$B$190,$B87)*Inputs!$D$1)</f>
        <v>0</v>
      </c>
      <c r="I87" s="58">
        <f>SUM(E87:H87)</f>
        <v>0</v>
      </c>
      <c r="J87" s="57">
        <f>IF(ISNA(SUMIFS(INDEX(Inputs!$B$2:$AZ$190,,MATCH(SUBSTITUTE(J$3,"Q","T"),Inputs!$B$2:$AZ$2,0)),Inputs!$B$2:$B$190,$B87)*Inputs!$D$1),"",SUMIFS(INDEX(Inputs!$B$2:$AZ$190,,MATCH(SUBSTITUTE(J$3,"Q","T"),Inputs!$B$2:$AZ$2,0)),Inputs!$B$2:$B$190,$B87)*Inputs!$D$1)</f>
        <v>0</v>
      </c>
      <c r="K87" s="57">
        <f>IF(ISNA(SUMIFS(INDEX(Inputs!$B$2:$AZ$190,,MATCH(SUBSTITUTE(K$3,"Q","T"),Inputs!$B$2:$AZ$2,0)),Inputs!$B$2:$B$190,$B87)*Inputs!$D$1),"",SUMIFS(INDEX(Inputs!$B$2:$AZ$190,,MATCH(SUBSTITUTE(K$3,"Q","T"),Inputs!$B$2:$AZ$2,0)),Inputs!$B$2:$B$190,$B87)*Inputs!$D$1)</f>
        <v>0</v>
      </c>
      <c r="L87" s="57">
        <f>IF(ISNA(SUMIFS(INDEX(Inputs!$B$2:$AZ$190,,MATCH(SUBSTITUTE(L$3,"Q","T"),Inputs!$B$2:$AZ$2,0)),Inputs!$B$2:$B$190,$B87)*Inputs!$D$1),"",SUMIFS(INDEX(Inputs!$B$2:$AZ$190,,MATCH(SUBSTITUTE(L$3,"Q","T"),Inputs!$B$2:$AZ$2,0)),Inputs!$B$2:$B$190,$B87)*Inputs!$D$1)</f>
        <v>0</v>
      </c>
      <c r="M87" s="57">
        <f>IF(ISNA(SUMIFS(INDEX(Inputs!$B$2:$AZ$190,,MATCH(SUBSTITUTE(M$3,"Q","T"),Inputs!$B$2:$AZ$2,0)),Inputs!$B$2:$B$190,$B87)*Inputs!$D$1),"",SUMIFS(INDEX(Inputs!$B$2:$AZ$190,,MATCH(SUBSTITUTE(M$3,"Q","T"),Inputs!$B$2:$AZ$2,0)),Inputs!$B$2:$B$190,$B87)*Inputs!$D$1)</f>
        <v>0</v>
      </c>
      <c r="N87" s="58">
        <f>SUM(J87:M87)</f>
        <v>0</v>
      </c>
      <c r="O87" s="57">
        <f>IF(ISNA(SUMIFS(INDEX(Inputs!$B$2:$AZ$190,,MATCH(SUBSTITUTE(O$3,"Q","T"),Inputs!$B$2:$AZ$2,0)),Inputs!$B$2:$B$190,$B87)*Inputs!$D$1),"",SUMIFS(INDEX(Inputs!$B$2:$AZ$190,,MATCH(SUBSTITUTE(O$3,"Q","T"),Inputs!$B$2:$AZ$2,0)),Inputs!$B$2:$B$190,$B87)*Inputs!$D$1)</f>
        <v>0</v>
      </c>
      <c r="P87" s="57">
        <f>IF(ISNA(SUMIFS(INDEX(Inputs!$B$2:$AZ$190,,MATCH(SUBSTITUTE(P$3,"Q","T"),Inputs!$B$2:$AZ$2,0)),Inputs!$B$2:$B$190,$B87)*Inputs!$D$1),"",SUMIFS(INDEX(Inputs!$B$2:$AZ$190,,MATCH(SUBSTITUTE(P$3,"Q","T"),Inputs!$B$2:$AZ$2,0)),Inputs!$B$2:$B$190,$B87)*Inputs!$D$1)</f>
        <v>0</v>
      </c>
      <c r="Q87" s="57">
        <f>IF(ISNA(SUMIFS(INDEX(Inputs!$B$2:$AZ$190,,MATCH(SUBSTITUTE(Q$3,"Q","T"),Inputs!$B$2:$AZ$2,0)),Inputs!$B$2:$B$190,$B87)*Inputs!$D$1),"",SUMIFS(INDEX(Inputs!$B$2:$AZ$190,,MATCH(SUBSTITUTE(Q$3,"Q","T"),Inputs!$B$2:$AZ$2,0)),Inputs!$B$2:$B$190,$B87)*Inputs!$D$1)</f>
        <v>0</v>
      </c>
      <c r="R87" s="57">
        <f>IF(ISNA(SUMIFS(INDEX(Inputs!$B$2:$AZ$190,,MATCH(SUBSTITUTE(R$3,"Q","T"),Inputs!$B$2:$AZ$2,0)),Inputs!$B$2:$B$190,$B87)*Inputs!$D$1),"",SUMIFS(INDEX(Inputs!$B$2:$AZ$190,,MATCH(SUBSTITUTE(R$3,"Q","T"),Inputs!$B$2:$AZ$2,0)),Inputs!$B$2:$B$190,$B87)*Inputs!$D$1)</f>
        <v>0</v>
      </c>
      <c r="S87" s="58">
        <f>SUM(O87:R87)</f>
        <v>0</v>
      </c>
      <c r="T87" s="57">
        <f>IF(ISNA(SUMIFS(INDEX(Inputs!$B$2:$AZ$190,,MATCH(SUBSTITUTE(T$3,"Q","T"),Inputs!$B$2:$AZ$2,0)),Inputs!$B$2:$B$190,$B87)*Inputs!$D$1),"",SUMIFS(INDEX(Inputs!$B$2:$AZ$190,,MATCH(SUBSTITUTE(T$3,"Q","T"),Inputs!$B$2:$AZ$2,0)),Inputs!$B$2:$B$190,$B87)*Inputs!$D$1)</f>
        <v>0</v>
      </c>
      <c r="U87" s="57">
        <f>IF(ISNA(SUMIFS(INDEX(Inputs!$B$2:$AZ$190,,MATCH(SUBSTITUTE(U$3,"Q","T"),Inputs!$B$2:$AZ$2,0)),Inputs!$B$2:$B$190,$B87)*Inputs!$D$1),"",SUMIFS(INDEX(Inputs!$B$2:$AZ$190,,MATCH(SUBSTITUTE(U$3,"Q","T"),Inputs!$B$2:$AZ$2,0)),Inputs!$B$2:$B$190,$B87)*Inputs!$D$1)</f>
        <v>0</v>
      </c>
      <c r="V87" s="57">
        <f>IF(ISNA(SUMIFS(INDEX(Inputs!$B$2:$AZ$190,,MATCH(SUBSTITUTE(V$3,"Q","T"),Inputs!$B$2:$AZ$2,0)),Inputs!$B$2:$B$190,$B87)*Inputs!$D$1),"",SUMIFS(INDEX(Inputs!$B$2:$AZ$190,,MATCH(SUBSTITUTE(V$3,"Q","T"),Inputs!$B$2:$AZ$2,0)),Inputs!$B$2:$B$190,$B87)*Inputs!$D$1)</f>
        <v>0</v>
      </c>
      <c r="W87" s="57">
        <f>IF(ISNA(SUMIFS(INDEX(Inputs!$B$2:$AZ$190,,MATCH(SUBSTITUTE(W$3,"Q","T"),Inputs!$B$2:$AZ$2,0)),Inputs!$B$2:$B$190,$B87)*Inputs!$D$1),"",SUMIFS(INDEX(Inputs!$B$2:$AZ$190,,MATCH(SUBSTITUTE(W$3,"Q","T"),Inputs!$B$2:$AZ$2,0)),Inputs!$B$2:$B$190,$B87)*Inputs!$D$1)</f>
        <v>0</v>
      </c>
      <c r="X87" s="58">
        <f>SUM(T87:W87)</f>
        <v>0</v>
      </c>
      <c r="Y87" s="57">
        <f>IF(ISNA(SUMIFS(INDEX(Inputs!$B$2:$AZ$190,,MATCH(SUBSTITUTE(Y$3,"Q","T"),Inputs!$B$2:$AZ$2,0)),Inputs!$B$2:$B$190,$B87)*Inputs!$D$1),"",SUMIFS(INDEX(Inputs!$B$2:$AZ$190,,MATCH(SUBSTITUTE(Y$3,"Q","T"),Inputs!$B$2:$AZ$2,0)),Inputs!$B$2:$B$190,$B87)*Inputs!$D$1)</f>
        <v>0</v>
      </c>
      <c r="Z87" s="57">
        <f>IF(ISNA(SUMIFS(INDEX(Inputs!$B$2:$AZ$190,,MATCH(SUBSTITUTE(Z$3,"Q","T"),Inputs!$B$2:$AZ$2,0)),Inputs!$B$2:$B$190,$B87)*Inputs!$D$1),"",SUMIFS(INDEX(Inputs!$B$2:$AZ$190,,MATCH(SUBSTITUTE(Z$3,"Q","T"),Inputs!$B$2:$AZ$2,0)),Inputs!$B$2:$B$190,$B87)*Inputs!$D$1)</f>
        <v>0</v>
      </c>
      <c r="AA87" s="57">
        <f>IF(ISNA(SUMIFS(INDEX(Inputs!$B$2:$AZ$190,,MATCH(SUBSTITUTE(AA$3,"Q","T"),Inputs!$B$2:$AZ$2,0)),Inputs!$B$2:$B$190,$B87)*Inputs!$D$1),"",SUMIFS(INDEX(Inputs!$B$2:$AZ$190,,MATCH(SUBSTITUTE(AA$3,"Q","T"),Inputs!$B$2:$AZ$2,0)),Inputs!$B$2:$B$190,$B87)*Inputs!$D$1)</f>
        <v>0</v>
      </c>
      <c r="AB87" s="57">
        <f>IF(ISNA(SUMIFS(INDEX(Inputs!$B$2:$AZ$190,,MATCH(SUBSTITUTE(AB$3,"Q","T"),Inputs!$B$2:$AZ$2,0)),Inputs!$B$2:$B$190,$B87)*Inputs!$D$1),"",SUMIFS(INDEX(Inputs!$B$2:$AZ$190,,MATCH(SUBSTITUTE(AB$3,"Q","T"),Inputs!$B$2:$AZ$2,0)),Inputs!$B$2:$B$190,$B87)*Inputs!$D$1)</f>
        <v>0</v>
      </c>
      <c r="AC87" s="58">
        <f>SUM(Y87:AB87)</f>
        <v>0</v>
      </c>
      <c r="AD87" s="57">
        <f>IF(ISNA(SUMIFS(INDEX(Inputs!$B$2:$AZ$190,,MATCH(SUBSTITUTE(AD$3,"Q","T"),Inputs!$B$2:$AZ$2,0)),Inputs!$B$2:$B$190,$B87)*Inputs!$D$1),"",SUMIFS(INDEX(Inputs!$B$2:$AZ$190,,MATCH(SUBSTITUTE(AD$3,"Q","T"),Inputs!$B$2:$AZ$2,0)),Inputs!$B$2:$B$190,$B87)*Inputs!$D$1)</f>
        <v>0</v>
      </c>
      <c r="AE87" s="57">
        <f>IF(ISNA(SUMIFS(INDEX(Inputs!$B$2:$AZ$190,,MATCH(SUBSTITUTE(AE$3,"Q","T"),Inputs!$B$2:$AZ$2,0)),Inputs!$B$2:$B$190,$B87)*Inputs!$D$1),"",SUMIFS(INDEX(Inputs!$B$2:$AZ$190,,MATCH(SUBSTITUTE(AE$3,"Q","T"),Inputs!$B$2:$AZ$2,0)),Inputs!$B$2:$B$190,$B87)*Inputs!$D$1)</f>
        <v>0</v>
      </c>
      <c r="AF87" s="57">
        <f>IF(ISNA(SUMIFS(INDEX(Inputs!$B$2:$AZ$190,,MATCH(SUBSTITUTE(AF$3,"Q","T"),Inputs!$B$2:$AZ$2,0)),Inputs!$B$2:$B$190,$B87)*Inputs!$D$1),"",SUMIFS(INDEX(Inputs!$B$2:$AZ$190,,MATCH(SUBSTITUTE(AF$3,"Q","T"),Inputs!$B$2:$AZ$2,0)),Inputs!$B$2:$B$190,$B87)*Inputs!$D$1)</f>
        <v>0</v>
      </c>
      <c r="AG87" s="57">
        <f>IF(ISNA(SUMIFS(INDEX(Inputs!$B$2:$AZ$190,,MATCH(SUBSTITUTE(AG$3,"Q","T"),Inputs!$B$2:$AZ$2,0)),Inputs!$B$2:$B$190,$B87)*Inputs!$D$1),"",SUMIFS(INDEX(Inputs!$B$2:$AZ$190,,MATCH(SUBSTITUTE(AG$3,"Q","T"),Inputs!$B$2:$AZ$2,0)),Inputs!$B$2:$B$190,$B87)*Inputs!$D$1)</f>
        <v>0</v>
      </c>
      <c r="AH87" s="58">
        <f>SUM(AD87:AG87)</f>
        <v>0</v>
      </c>
      <c r="AI87" s="57">
        <f>IF(ISNA(SUMIFS(INDEX(Inputs!$B$2:$AZ$190,,MATCH(SUBSTITUTE(AI$3,"Q","T"),Inputs!$B$2:$AZ$2,0)),Inputs!$B$2:$B$190,$B87)*Inputs!$D$1),"",SUMIFS(INDEX(Inputs!$B$2:$AZ$190,,MATCH(SUBSTITUTE(AI$3,"Q","T"),Inputs!$B$2:$AZ$2,0)),Inputs!$B$2:$B$190,$B87)*Inputs!$D$1)</f>
        <v>0</v>
      </c>
      <c r="AJ87" s="57">
        <f>IF(ISNA(SUMIFS(INDEX(Inputs!$B$2:$AZ$190,,MATCH(SUBSTITUTE(AJ$3,"Q","T"),Inputs!$B$2:$AZ$2,0)),Inputs!$B$2:$B$190,$B87)*Inputs!$D$1),"",SUMIFS(INDEX(Inputs!$B$2:$AZ$190,,MATCH(SUBSTITUTE(AJ$3,"Q","T"),Inputs!$B$2:$AZ$2,0)),Inputs!$B$2:$B$190,$B87)*Inputs!$D$1)</f>
        <v>0</v>
      </c>
      <c r="AK87" s="57">
        <f>IF(ISNA(SUMIFS(INDEX(Inputs!$B$2:$AZ$190,,MATCH(SUBSTITUTE(AK$3,"Q","T"),Inputs!$B$2:$AZ$2,0)),Inputs!$B$2:$B$190,$B87)*Inputs!$D$1),"",SUMIFS(INDEX(Inputs!$B$2:$AZ$190,,MATCH(SUBSTITUTE(AK$3,"Q","T"),Inputs!$B$2:$AZ$2,0)),Inputs!$B$2:$B$190,$B87)*Inputs!$D$1)</f>
        <v>0</v>
      </c>
      <c r="AL87" s="57">
        <f>IF(ISNA(SUMIFS(INDEX(Inputs!$B$2:$AZ$190,,MATCH(SUBSTITUTE(AL$3,"Q","T"),Inputs!$B$2:$AZ$2,0)),Inputs!$B$2:$B$190,$B87)*Inputs!$D$1),"",SUMIFS(INDEX(Inputs!$B$2:$AZ$190,,MATCH(SUBSTITUTE(AL$3,"Q","T"),Inputs!$B$2:$AZ$2,0)),Inputs!$B$2:$B$190,$B87)*Inputs!$D$1)</f>
        <v>0</v>
      </c>
      <c r="AM87" s="58">
        <f>SUM(AI87:AL87)</f>
        <v>0</v>
      </c>
      <c r="AN87" s="57">
        <f>IF(ISNA(SUMIFS(INDEX(Inputs!$B$2:$AZ$190,,MATCH(SUBSTITUTE(AN$3,"Q","T"),Inputs!$B$2:$AZ$2,0)),Inputs!$B$2:$B$190,$B87)*Inputs!$D$1),"",SUMIFS(INDEX(Inputs!$B$2:$AZ$190,,MATCH(SUBSTITUTE(AN$3,"Q","T"),Inputs!$B$2:$AZ$2,0)),Inputs!$B$2:$B$190,$B87)*Inputs!$D$1)</f>
        <v>0</v>
      </c>
      <c r="AO87" s="57">
        <f>IF(ISNA(SUMIFS(INDEX(Inputs!$B$2:$AZ$190,,MATCH(SUBSTITUTE(AO$3,"Q","T"),Inputs!$B$2:$AZ$2,0)),Inputs!$B$2:$B$190,$B87)*Inputs!$D$1),"",SUMIFS(INDEX(Inputs!$B$2:$AZ$190,,MATCH(SUBSTITUTE(AO$3,"Q","T"),Inputs!$B$2:$AZ$2,0)),Inputs!$B$2:$B$190,$B87)*Inputs!$D$1)</f>
        <v>0</v>
      </c>
      <c r="AP87" s="57">
        <f>IF(ISNA(SUMIFS(INDEX(Inputs!$B$2:$AZ$190,,MATCH(SUBSTITUTE(AP$3,"Q","T"),Inputs!$B$2:$AZ$2,0)),Inputs!$B$2:$B$190,$B87)*Inputs!$D$1),"",SUMIFS(INDEX(Inputs!$B$2:$AZ$190,,MATCH(SUBSTITUTE(AP$3,"Q","T"),Inputs!$B$2:$AZ$2,0)),Inputs!$B$2:$B$190,$B87)*Inputs!$D$1)</f>
        <v>0</v>
      </c>
      <c r="AQ87" s="57">
        <f>IF(ISNA(SUMIFS(INDEX(Inputs!$B$2:$AZ$190,,MATCH(SUBSTITUTE(AQ$3,"Q","T"),Inputs!$B$2:$AZ$2,0)),Inputs!$B$2:$B$190,$B87)*Inputs!$D$1),"",SUMIFS(INDEX(Inputs!$B$2:$AZ$190,,MATCH(SUBSTITUTE(AQ$3,"Q","T"),Inputs!$B$2:$AZ$2,0)),Inputs!$B$2:$B$190,$B87)*Inputs!$D$1)</f>
        <v>0</v>
      </c>
      <c r="AR87" s="58">
        <f>SUM(AN87:AQ87)</f>
        <v>0</v>
      </c>
      <c r="AS87" s="57">
        <f>IF(ISNA(SUMIFS(INDEX(Inputs!$B$2:$AZ$190,,MATCH(SUBSTITUTE(AS$3,"Q","T"),Inputs!$B$2:$AZ$2,0)),Inputs!$B$2:$B$190,$B87)*Inputs!$D$1),"",SUMIFS(INDEX(Inputs!$B$2:$AZ$190,,MATCH(SUBSTITUTE(AS$3,"Q","T"),Inputs!$B$2:$AZ$2,0)),Inputs!$B$2:$B$190,$B87)*Inputs!$D$1)</f>
        <v>0</v>
      </c>
      <c r="AT87" s="57">
        <f>IF(ISNA(SUMIFS(INDEX(Inputs!$B$2:$AZ$190,,MATCH(SUBSTITUTE(AT$3,"Q","T"),Inputs!$B$2:$AZ$2,0)),Inputs!$B$2:$B$190,$B87)*Inputs!$D$1),"",SUMIFS(INDEX(Inputs!$B$2:$AZ$190,,MATCH(SUBSTITUTE(AT$3,"Q","T"),Inputs!$B$2:$AZ$2,0)),Inputs!$B$2:$B$190,$B87)*Inputs!$D$1)</f>
        <v>0</v>
      </c>
      <c r="AU87" s="57">
        <f>IF(ISNA(SUMIFS(INDEX(Inputs!$B$2:$AZ$190,,MATCH(SUBSTITUTE(AU$3,"Q","T"),Inputs!$B$2:$AZ$2,0)),Inputs!$B$2:$B$190,$B87)*Inputs!$D$1),"",SUMIFS(INDEX(Inputs!$B$2:$AZ$190,,MATCH(SUBSTITUTE(AU$3,"Q","T"),Inputs!$B$2:$AZ$2,0)),Inputs!$B$2:$B$190,$B87)*Inputs!$D$1)</f>
        <v>0</v>
      </c>
      <c r="AV87" s="57">
        <f>IF(ISNA(SUMIFS(INDEX(Inputs!$B$2:$AZ$190,,MATCH(SUBSTITUTE(AV$3,"Q","T"),Inputs!$B$2:$AZ$2,0)),Inputs!$B$2:$B$190,$B87)*Inputs!$D$1),"",SUMIFS(INDEX(Inputs!$B$2:$AZ$190,,MATCH(SUBSTITUTE(AV$3,"Q","T"),Inputs!$B$2:$AZ$2,0)),Inputs!$B$2:$B$190,$B87)*Inputs!$D$1)</f>
        <v>0</v>
      </c>
      <c r="AW87" s="58">
        <f>SUM(AS87:AV87)</f>
        <v>0</v>
      </c>
      <c r="AX87" s="57">
        <f>IF(ISNA(SUMIFS(INDEX(Inputs!$B$2:$AZ$190,,MATCH(SUBSTITUTE(AX$3,"Q","T"),Inputs!$B$2:$AZ$2,0)),Inputs!$B$2:$B$190,$B87)*Inputs!$D$1),"",SUMIFS(INDEX(Inputs!$B$2:$AZ$190,,MATCH(SUBSTITUTE(AX$3,"Q","T"),Inputs!$B$2:$AZ$2,0)),Inputs!$B$2:$B$190,$B87)*Inputs!$D$1)</f>
        <v>0</v>
      </c>
      <c r="AY87" s="57">
        <f>IF(ISNA(SUMIFS(INDEX(Inputs!$B$2:$AZ$190,,MATCH(SUBSTITUTE(AY$3,"Q","T"),Inputs!$B$2:$AZ$2,0)),Inputs!$B$2:$B$190,$B87)*Inputs!$D$1),"",SUMIFS(INDEX(Inputs!$B$2:$AZ$190,,MATCH(SUBSTITUTE(AY$3,"Q","T"),Inputs!$B$2:$AZ$2,0)),Inputs!$B$2:$B$190,$B87)*Inputs!$D$1)</f>
        <v>0</v>
      </c>
      <c r="AZ87" s="57">
        <f>IF(ISNA(SUMIFS(INDEX(Inputs!$B$2:$AZ$190,,MATCH(SUBSTITUTE(AZ$3,"Q","T"),Inputs!$B$2:$AZ$2,0)),Inputs!$B$2:$B$190,$B87)*Inputs!$D$1),"",SUMIFS(INDEX(Inputs!$B$2:$AZ$190,,MATCH(SUBSTITUTE(AZ$3,"Q","T"),Inputs!$B$2:$AZ$2,0)),Inputs!$B$2:$B$190,$B87)*Inputs!$D$1)</f>
        <v>0</v>
      </c>
      <c r="BA87" s="57">
        <f>IF(ISNA(SUMIFS(INDEX(Inputs!$B$2:$AZ$190,,MATCH(SUBSTITUTE(BA$3,"Q","T"),Inputs!$B$2:$AZ$2,0)),Inputs!$B$2:$B$190,$B87)*Inputs!$D$1),"",SUMIFS(INDEX(Inputs!$B$2:$AZ$190,,MATCH(SUBSTITUTE(BA$3,"Q","T"),Inputs!$B$2:$AZ$2,0)),Inputs!$B$2:$B$190,$B87)*Inputs!$D$1)</f>
        <v>0</v>
      </c>
      <c r="BB87" s="58">
        <f>SUM(AX87:BA87)</f>
        <v>0</v>
      </c>
      <c r="BC87" s="57">
        <f>IF(ISNA(SUMIFS(INDEX(Inputs!$B$2:$AZ$190,,MATCH(SUBSTITUTE(BC$3,"Q","T"),Inputs!$B$2:$AZ$2,0)),Inputs!$B$2:$B$190,$B87)*Inputs!$D$1),"",SUMIFS(INDEX(Inputs!$B$2:$AZ$190,,MATCH(SUBSTITUTE(BC$3,"Q","T"),Inputs!$B$2:$AZ$2,0)),Inputs!$B$2:$B$190,$B87)*Inputs!$D$1)</f>
        <v>0</v>
      </c>
      <c r="BD87" s="57">
        <f>IF(ISNA(SUMIFS(INDEX(Inputs!$B$2:$AZ$190,,MATCH(SUBSTITUTE(BD$3,"Q","T"),Inputs!$B$2:$AZ$2,0)),Inputs!$B$2:$B$190,$B87)*Inputs!$D$1),"",SUMIFS(INDEX(Inputs!$B$2:$AZ$190,,MATCH(SUBSTITUTE(BD$3,"Q","T"),Inputs!$B$2:$AZ$2,0)),Inputs!$B$2:$B$190,$B87)*Inputs!$D$1)</f>
        <v>0</v>
      </c>
      <c r="BE87" s="57">
        <f>IF(ISNA(SUMIFS(INDEX(Inputs!$B$2:$AZ$190,,MATCH(SUBSTITUTE(BE$3,"Q","T"),Inputs!$B$2:$AZ$2,0)),Inputs!$B$2:$B$190,$B87)*Inputs!$D$1),"",SUMIFS(INDEX(Inputs!$B$2:$AZ$190,,MATCH(SUBSTITUTE(BE$3,"Q","T"),Inputs!$B$2:$AZ$2,0)),Inputs!$B$2:$B$190,$B87)*Inputs!$D$1)</f>
        <v>0</v>
      </c>
      <c r="BF87" s="57">
        <f>IF(ISNA(SUMIFS(INDEX(Inputs!$B$2:$AZ$190,,MATCH(SUBSTITUTE(BF$3,"Q","T"),Inputs!$B$2:$AZ$2,0)),Inputs!$B$2:$B$190,$B87)*Inputs!$D$1),"",SUMIFS(INDEX(Inputs!$B$2:$AZ$190,,MATCH(SUBSTITUTE(BF$3,"Q","T"),Inputs!$B$2:$AZ$2,0)),Inputs!$B$2:$B$190,$B87)*Inputs!$D$1)</f>
        <v>0</v>
      </c>
      <c r="BG87" s="58">
        <f>SUM(BC87:BF87)</f>
        <v>0</v>
      </c>
    </row>
    <row r="88" hidden="1" outlineLevel="1">
      <c r="B88" s="56" t="inlineStr">
        <is>
          <t>principal</t>
        </is>
      </c>
      <c r="C88" s="61" t="inlineStr">
        <is>
          <t>Resultado de trading (principal transactions)</t>
        </is>
      </c>
      <c r="D88" s="62" t="inlineStr">
        <is>
          <t>Principal transactions</t>
        </is>
      </c>
      <c r="E88" s="57">
        <f>IF(ISNA(SUMIFS(INDEX(Inputs!$B$2:$AZ$190,,MATCH(SUBSTITUTE(E$3,"Q","T"),Inputs!$B$2:$AZ$2,0)),Inputs!$B$2:$B$190,$B88)*Inputs!$D$1),"",SUMIFS(INDEX(Inputs!$B$2:$AZ$190,,MATCH(SUBSTITUTE(E$3,"Q","T"),Inputs!$B$2:$AZ$2,0)),Inputs!$B$2:$B$190,$B88)*Inputs!$D$1)</f>
        <v>0</v>
      </c>
      <c r="F88" s="57">
        <f>IF(ISNA(SUMIFS(INDEX(Inputs!$B$2:$AZ$190,,MATCH(SUBSTITUTE(F$3,"Q","T"),Inputs!$B$2:$AZ$2,0)),Inputs!$B$2:$B$190,$B88)*Inputs!$D$1),"",SUMIFS(INDEX(Inputs!$B$2:$AZ$190,,MATCH(SUBSTITUTE(F$3,"Q","T"),Inputs!$B$2:$AZ$2,0)),Inputs!$B$2:$B$190,$B88)*Inputs!$D$1)</f>
        <v>0</v>
      </c>
      <c r="G88" s="57">
        <f>IF(ISNA(SUMIFS(INDEX(Inputs!$B$2:$AZ$190,,MATCH(SUBSTITUTE(G$3,"Q","T"),Inputs!$B$2:$AZ$2,0)),Inputs!$B$2:$B$190,$B88)*Inputs!$D$1),"",SUMIFS(INDEX(Inputs!$B$2:$AZ$190,,MATCH(SUBSTITUTE(G$3,"Q","T"),Inputs!$B$2:$AZ$2,0)),Inputs!$B$2:$B$190,$B88)*Inputs!$D$1)</f>
        <v>0</v>
      </c>
      <c r="H88" s="57">
        <f>IF(ISNA(SUMIFS(INDEX(Inputs!$B$2:$AZ$190,,MATCH(SUBSTITUTE(H$3,"Q","T"),Inputs!$B$2:$AZ$2,0)),Inputs!$B$2:$B$190,$B88)*Inputs!$D$1),"",SUMIFS(INDEX(Inputs!$B$2:$AZ$190,,MATCH(SUBSTITUTE(H$3,"Q","T"),Inputs!$B$2:$AZ$2,0)),Inputs!$B$2:$B$190,$B88)*Inputs!$D$1)</f>
        <v>0</v>
      </c>
      <c r="I88" s="58">
        <f>SUM(E88:H88)</f>
        <v>0</v>
      </c>
      <c r="J88" s="57">
        <f>IF(ISNA(SUMIFS(INDEX(Inputs!$B$2:$AZ$190,,MATCH(SUBSTITUTE(J$3,"Q","T"),Inputs!$B$2:$AZ$2,0)),Inputs!$B$2:$B$190,$B88)*Inputs!$D$1),"",SUMIFS(INDEX(Inputs!$B$2:$AZ$190,,MATCH(SUBSTITUTE(J$3,"Q","T"),Inputs!$B$2:$AZ$2,0)),Inputs!$B$2:$B$190,$B88)*Inputs!$D$1)</f>
        <v>0</v>
      </c>
      <c r="K88" s="57">
        <f>IF(ISNA(SUMIFS(INDEX(Inputs!$B$2:$AZ$190,,MATCH(SUBSTITUTE(K$3,"Q","T"),Inputs!$B$2:$AZ$2,0)),Inputs!$B$2:$B$190,$B88)*Inputs!$D$1),"",SUMIFS(INDEX(Inputs!$B$2:$AZ$190,,MATCH(SUBSTITUTE(K$3,"Q","T"),Inputs!$B$2:$AZ$2,0)),Inputs!$B$2:$B$190,$B88)*Inputs!$D$1)</f>
        <v>0</v>
      </c>
      <c r="L88" s="57">
        <f>IF(ISNA(SUMIFS(INDEX(Inputs!$B$2:$AZ$190,,MATCH(SUBSTITUTE(L$3,"Q","T"),Inputs!$B$2:$AZ$2,0)),Inputs!$B$2:$B$190,$B88)*Inputs!$D$1),"",SUMIFS(INDEX(Inputs!$B$2:$AZ$190,,MATCH(SUBSTITUTE(L$3,"Q","T"),Inputs!$B$2:$AZ$2,0)),Inputs!$B$2:$B$190,$B88)*Inputs!$D$1)</f>
        <v>0</v>
      </c>
      <c r="M88" s="57">
        <f>IF(ISNA(SUMIFS(INDEX(Inputs!$B$2:$AZ$190,,MATCH(SUBSTITUTE(M$3,"Q","T"),Inputs!$B$2:$AZ$2,0)),Inputs!$B$2:$B$190,$B88)*Inputs!$D$1),"",SUMIFS(INDEX(Inputs!$B$2:$AZ$190,,MATCH(SUBSTITUTE(M$3,"Q","T"),Inputs!$B$2:$AZ$2,0)),Inputs!$B$2:$B$190,$B88)*Inputs!$D$1)</f>
        <v>0</v>
      </c>
      <c r="N88" s="58">
        <f>SUM(J88:M88)</f>
        <v>0</v>
      </c>
      <c r="O88" s="57">
        <f>IF(ISNA(SUMIFS(INDEX(Inputs!$B$2:$AZ$190,,MATCH(SUBSTITUTE(O$3,"Q","T"),Inputs!$B$2:$AZ$2,0)),Inputs!$B$2:$B$190,$B88)*Inputs!$D$1),"",SUMIFS(INDEX(Inputs!$B$2:$AZ$190,,MATCH(SUBSTITUTE(O$3,"Q","T"),Inputs!$B$2:$AZ$2,0)),Inputs!$B$2:$B$190,$B88)*Inputs!$D$1)</f>
        <v>0</v>
      </c>
      <c r="P88" s="57">
        <f>IF(ISNA(SUMIFS(INDEX(Inputs!$B$2:$AZ$190,,MATCH(SUBSTITUTE(P$3,"Q","T"),Inputs!$B$2:$AZ$2,0)),Inputs!$B$2:$B$190,$B88)*Inputs!$D$1),"",SUMIFS(INDEX(Inputs!$B$2:$AZ$190,,MATCH(SUBSTITUTE(P$3,"Q","T"),Inputs!$B$2:$AZ$2,0)),Inputs!$B$2:$B$190,$B88)*Inputs!$D$1)</f>
        <v>0</v>
      </c>
      <c r="Q88" s="57">
        <f>IF(ISNA(SUMIFS(INDEX(Inputs!$B$2:$AZ$190,,MATCH(SUBSTITUTE(Q$3,"Q","T"),Inputs!$B$2:$AZ$2,0)),Inputs!$B$2:$B$190,$B88)*Inputs!$D$1),"",SUMIFS(INDEX(Inputs!$B$2:$AZ$190,,MATCH(SUBSTITUTE(Q$3,"Q","T"),Inputs!$B$2:$AZ$2,0)),Inputs!$B$2:$B$190,$B88)*Inputs!$D$1)</f>
        <v>0</v>
      </c>
      <c r="R88" s="57">
        <f>IF(ISNA(SUMIFS(INDEX(Inputs!$B$2:$AZ$190,,MATCH(SUBSTITUTE(R$3,"Q","T"),Inputs!$B$2:$AZ$2,0)),Inputs!$B$2:$B$190,$B88)*Inputs!$D$1),"",SUMIFS(INDEX(Inputs!$B$2:$AZ$190,,MATCH(SUBSTITUTE(R$3,"Q","T"),Inputs!$B$2:$AZ$2,0)),Inputs!$B$2:$B$190,$B88)*Inputs!$D$1)</f>
        <v>0</v>
      </c>
      <c r="S88" s="58">
        <f>SUM(O88:R88)</f>
        <v>0</v>
      </c>
      <c r="T88" s="57">
        <f>IF(ISNA(SUMIFS(INDEX(Inputs!$B$2:$AZ$190,,MATCH(SUBSTITUTE(T$3,"Q","T"),Inputs!$B$2:$AZ$2,0)),Inputs!$B$2:$B$190,$B88)*Inputs!$D$1),"",SUMIFS(INDEX(Inputs!$B$2:$AZ$190,,MATCH(SUBSTITUTE(T$3,"Q","T"),Inputs!$B$2:$AZ$2,0)),Inputs!$B$2:$B$190,$B88)*Inputs!$D$1)</f>
        <v>0</v>
      </c>
      <c r="U88" s="57">
        <f>IF(ISNA(SUMIFS(INDEX(Inputs!$B$2:$AZ$190,,MATCH(SUBSTITUTE(U$3,"Q","T"),Inputs!$B$2:$AZ$2,0)),Inputs!$B$2:$B$190,$B88)*Inputs!$D$1),"",SUMIFS(INDEX(Inputs!$B$2:$AZ$190,,MATCH(SUBSTITUTE(U$3,"Q","T"),Inputs!$B$2:$AZ$2,0)),Inputs!$B$2:$B$190,$B88)*Inputs!$D$1)</f>
        <v>0</v>
      </c>
      <c r="V88" s="57">
        <f>IF(ISNA(SUMIFS(INDEX(Inputs!$B$2:$AZ$190,,MATCH(SUBSTITUTE(V$3,"Q","T"),Inputs!$B$2:$AZ$2,0)),Inputs!$B$2:$B$190,$B88)*Inputs!$D$1),"",SUMIFS(INDEX(Inputs!$B$2:$AZ$190,,MATCH(SUBSTITUTE(V$3,"Q","T"),Inputs!$B$2:$AZ$2,0)),Inputs!$B$2:$B$190,$B88)*Inputs!$D$1)</f>
        <v>0</v>
      </c>
      <c r="W88" s="57">
        <f>IF(ISNA(SUMIFS(INDEX(Inputs!$B$2:$AZ$190,,MATCH(SUBSTITUTE(W$3,"Q","T"),Inputs!$B$2:$AZ$2,0)),Inputs!$B$2:$B$190,$B88)*Inputs!$D$1),"",SUMIFS(INDEX(Inputs!$B$2:$AZ$190,,MATCH(SUBSTITUTE(W$3,"Q","T"),Inputs!$B$2:$AZ$2,0)),Inputs!$B$2:$B$190,$B88)*Inputs!$D$1)</f>
        <v>0</v>
      </c>
      <c r="X88" s="58">
        <f>SUM(T88:W88)</f>
        <v>0</v>
      </c>
      <c r="Y88" s="57">
        <f>IF(ISNA(SUMIFS(INDEX(Inputs!$B$2:$AZ$190,,MATCH(SUBSTITUTE(Y$3,"Q","T"),Inputs!$B$2:$AZ$2,0)),Inputs!$B$2:$B$190,$B88)*Inputs!$D$1),"",SUMIFS(INDEX(Inputs!$B$2:$AZ$190,,MATCH(SUBSTITUTE(Y$3,"Q","T"),Inputs!$B$2:$AZ$2,0)),Inputs!$B$2:$B$190,$B88)*Inputs!$D$1)</f>
        <v>0</v>
      </c>
      <c r="Z88" s="57">
        <f>IF(ISNA(SUMIFS(INDEX(Inputs!$B$2:$AZ$190,,MATCH(SUBSTITUTE(Z$3,"Q","T"),Inputs!$B$2:$AZ$2,0)),Inputs!$B$2:$B$190,$B88)*Inputs!$D$1),"",SUMIFS(INDEX(Inputs!$B$2:$AZ$190,,MATCH(SUBSTITUTE(Z$3,"Q","T"),Inputs!$B$2:$AZ$2,0)),Inputs!$B$2:$B$190,$B88)*Inputs!$D$1)</f>
        <v>0</v>
      </c>
      <c r="AA88" s="57">
        <f>IF(ISNA(SUMIFS(INDEX(Inputs!$B$2:$AZ$190,,MATCH(SUBSTITUTE(AA$3,"Q","T"),Inputs!$B$2:$AZ$2,0)),Inputs!$B$2:$B$190,$B88)*Inputs!$D$1),"",SUMIFS(INDEX(Inputs!$B$2:$AZ$190,,MATCH(SUBSTITUTE(AA$3,"Q","T"),Inputs!$B$2:$AZ$2,0)),Inputs!$B$2:$B$190,$B88)*Inputs!$D$1)</f>
        <v>0</v>
      </c>
      <c r="AB88" s="57">
        <f>IF(ISNA(SUMIFS(INDEX(Inputs!$B$2:$AZ$190,,MATCH(SUBSTITUTE(AB$3,"Q","T"),Inputs!$B$2:$AZ$2,0)),Inputs!$B$2:$B$190,$B88)*Inputs!$D$1),"",SUMIFS(INDEX(Inputs!$B$2:$AZ$190,,MATCH(SUBSTITUTE(AB$3,"Q","T"),Inputs!$B$2:$AZ$2,0)),Inputs!$B$2:$B$190,$B88)*Inputs!$D$1)</f>
        <v>0</v>
      </c>
      <c r="AC88" s="58">
        <f>SUM(Y88:AB88)</f>
        <v>0</v>
      </c>
      <c r="AD88" s="57">
        <f>IF(ISNA(SUMIFS(INDEX(Inputs!$B$2:$AZ$190,,MATCH(SUBSTITUTE(AD$3,"Q","T"),Inputs!$B$2:$AZ$2,0)),Inputs!$B$2:$B$190,$B88)*Inputs!$D$1),"",SUMIFS(INDEX(Inputs!$B$2:$AZ$190,,MATCH(SUBSTITUTE(AD$3,"Q","T"),Inputs!$B$2:$AZ$2,0)),Inputs!$B$2:$B$190,$B88)*Inputs!$D$1)</f>
        <v>0</v>
      </c>
      <c r="AE88" s="57">
        <f>IF(ISNA(SUMIFS(INDEX(Inputs!$B$2:$AZ$190,,MATCH(SUBSTITUTE(AE$3,"Q","T"),Inputs!$B$2:$AZ$2,0)),Inputs!$B$2:$B$190,$B88)*Inputs!$D$1),"",SUMIFS(INDEX(Inputs!$B$2:$AZ$190,,MATCH(SUBSTITUTE(AE$3,"Q","T"),Inputs!$B$2:$AZ$2,0)),Inputs!$B$2:$B$190,$B88)*Inputs!$D$1)</f>
        <v>0</v>
      </c>
      <c r="AF88" s="57">
        <f>IF(ISNA(SUMIFS(INDEX(Inputs!$B$2:$AZ$190,,MATCH(SUBSTITUTE(AF$3,"Q","T"),Inputs!$B$2:$AZ$2,0)),Inputs!$B$2:$B$190,$B88)*Inputs!$D$1),"",SUMIFS(INDEX(Inputs!$B$2:$AZ$190,,MATCH(SUBSTITUTE(AF$3,"Q","T"),Inputs!$B$2:$AZ$2,0)),Inputs!$B$2:$B$190,$B88)*Inputs!$D$1)</f>
        <v>0</v>
      </c>
      <c r="AG88" s="57">
        <f>IF(ISNA(SUMIFS(INDEX(Inputs!$B$2:$AZ$190,,MATCH(SUBSTITUTE(AG$3,"Q","T"),Inputs!$B$2:$AZ$2,0)),Inputs!$B$2:$B$190,$B88)*Inputs!$D$1),"",SUMIFS(INDEX(Inputs!$B$2:$AZ$190,,MATCH(SUBSTITUTE(AG$3,"Q","T"),Inputs!$B$2:$AZ$2,0)),Inputs!$B$2:$B$190,$B88)*Inputs!$D$1)</f>
        <v>0</v>
      </c>
      <c r="AH88" s="58">
        <f>SUM(AD88:AG88)</f>
        <v>0</v>
      </c>
      <c r="AI88" s="57">
        <f>IF(ISNA(SUMIFS(INDEX(Inputs!$B$2:$AZ$190,,MATCH(SUBSTITUTE(AI$3,"Q","T"),Inputs!$B$2:$AZ$2,0)),Inputs!$B$2:$B$190,$B88)*Inputs!$D$1),"",SUMIFS(INDEX(Inputs!$B$2:$AZ$190,,MATCH(SUBSTITUTE(AI$3,"Q","T"),Inputs!$B$2:$AZ$2,0)),Inputs!$B$2:$B$190,$B88)*Inputs!$D$1)</f>
        <v>0</v>
      </c>
      <c r="AJ88" s="57">
        <f>IF(ISNA(SUMIFS(INDEX(Inputs!$B$2:$AZ$190,,MATCH(SUBSTITUTE(AJ$3,"Q","T"),Inputs!$B$2:$AZ$2,0)),Inputs!$B$2:$B$190,$B88)*Inputs!$D$1),"",SUMIFS(INDEX(Inputs!$B$2:$AZ$190,,MATCH(SUBSTITUTE(AJ$3,"Q","T"),Inputs!$B$2:$AZ$2,0)),Inputs!$B$2:$B$190,$B88)*Inputs!$D$1)</f>
        <v>0</v>
      </c>
      <c r="AK88" s="57">
        <f>IF(ISNA(SUMIFS(INDEX(Inputs!$B$2:$AZ$190,,MATCH(SUBSTITUTE(AK$3,"Q","T"),Inputs!$B$2:$AZ$2,0)),Inputs!$B$2:$B$190,$B88)*Inputs!$D$1),"",SUMIFS(INDEX(Inputs!$B$2:$AZ$190,,MATCH(SUBSTITUTE(AK$3,"Q","T"),Inputs!$B$2:$AZ$2,0)),Inputs!$B$2:$B$190,$B88)*Inputs!$D$1)</f>
        <v>0</v>
      </c>
      <c r="AL88" s="57">
        <f>IF(ISNA(SUMIFS(INDEX(Inputs!$B$2:$AZ$190,,MATCH(SUBSTITUTE(AL$3,"Q","T"),Inputs!$B$2:$AZ$2,0)),Inputs!$B$2:$B$190,$B88)*Inputs!$D$1),"",SUMIFS(INDEX(Inputs!$B$2:$AZ$190,,MATCH(SUBSTITUTE(AL$3,"Q","T"),Inputs!$B$2:$AZ$2,0)),Inputs!$B$2:$B$190,$B88)*Inputs!$D$1)</f>
        <v>0</v>
      </c>
      <c r="AM88" s="58">
        <f>SUM(AI88:AL88)</f>
        <v>0</v>
      </c>
      <c r="AN88" s="57">
        <f>IF(ISNA(SUMIFS(INDEX(Inputs!$B$2:$AZ$190,,MATCH(SUBSTITUTE(AN$3,"Q","T"),Inputs!$B$2:$AZ$2,0)),Inputs!$B$2:$B$190,$B88)*Inputs!$D$1),"",SUMIFS(INDEX(Inputs!$B$2:$AZ$190,,MATCH(SUBSTITUTE(AN$3,"Q","T"),Inputs!$B$2:$AZ$2,0)),Inputs!$B$2:$B$190,$B88)*Inputs!$D$1)</f>
        <v>0</v>
      </c>
      <c r="AO88" s="57">
        <f>IF(ISNA(SUMIFS(INDEX(Inputs!$B$2:$AZ$190,,MATCH(SUBSTITUTE(AO$3,"Q","T"),Inputs!$B$2:$AZ$2,0)),Inputs!$B$2:$B$190,$B88)*Inputs!$D$1),"",SUMIFS(INDEX(Inputs!$B$2:$AZ$190,,MATCH(SUBSTITUTE(AO$3,"Q","T"),Inputs!$B$2:$AZ$2,0)),Inputs!$B$2:$B$190,$B88)*Inputs!$D$1)</f>
        <v>0</v>
      </c>
      <c r="AP88" s="57">
        <f>IF(ISNA(SUMIFS(INDEX(Inputs!$B$2:$AZ$190,,MATCH(SUBSTITUTE(AP$3,"Q","T"),Inputs!$B$2:$AZ$2,0)),Inputs!$B$2:$B$190,$B88)*Inputs!$D$1),"",SUMIFS(INDEX(Inputs!$B$2:$AZ$190,,MATCH(SUBSTITUTE(AP$3,"Q","T"),Inputs!$B$2:$AZ$2,0)),Inputs!$B$2:$B$190,$B88)*Inputs!$D$1)</f>
        <v>0</v>
      </c>
      <c r="AQ88" s="57">
        <f>IF(ISNA(SUMIFS(INDEX(Inputs!$B$2:$AZ$190,,MATCH(SUBSTITUTE(AQ$3,"Q","T"),Inputs!$B$2:$AZ$2,0)),Inputs!$B$2:$B$190,$B88)*Inputs!$D$1),"",SUMIFS(INDEX(Inputs!$B$2:$AZ$190,,MATCH(SUBSTITUTE(AQ$3,"Q","T"),Inputs!$B$2:$AZ$2,0)),Inputs!$B$2:$B$190,$B88)*Inputs!$D$1)</f>
        <v>0</v>
      </c>
      <c r="AR88" s="58">
        <f>SUM(AN88:AQ88)</f>
        <v>0</v>
      </c>
      <c r="AS88" s="57">
        <f>IF(ISNA(SUMIFS(INDEX(Inputs!$B$2:$AZ$190,,MATCH(SUBSTITUTE(AS$3,"Q","T"),Inputs!$B$2:$AZ$2,0)),Inputs!$B$2:$B$190,$B88)*Inputs!$D$1),"",SUMIFS(INDEX(Inputs!$B$2:$AZ$190,,MATCH(SUBSTITUTE(AS$3,"Q","T"),Inputs!$B$2:$AZ$2,0)),Inputs!$B$2:$B$190,$B88)*Inputs!$D$1)</f>
        <v>0</v>
      </c>
      <c r="AT88" s="57">
        <f>IF(ISNA(SUMIFS(INDEX(Inputs!$B$2:$AZ$190,,MATCH(SUBSTITUTE(AT$3,"Q","T"),Inputs!$B$2:$AZ$2,0)),Inputs!$B$2:$B$190,$B88)*Inputs!$D$1),"",SUMIFS(INDEX(Inputs!$B$2:$AZ$190,,MATCH(SUBSTITUTE(AT$3,"Q","T"),Inputs!$B$2:$AZ$2,0)),Inputs!$B$2:$B$190,$B88)*Inputs!$D$1)</f>
        <v>0</v>
      </c>
      <c r="AU88" s="57">
        <f>IF(ISNA(SUMIFS(INDEX(Inputs!$B$2:$AZ$190,,MATCH(SUBSTITUTE(AU$3,"Q","T"),Inputs!$B$2:$AZ$2,0)),Inputs!$B$2:$B$190,$B88)*Inputs!$D$1),"",SUMIFS(INDEX(Inputs!$B$2:$AZ$190,,MATCH(SUBSTITUTE(AU$3,"Q","T"),Inputs!$B$2:$AZ$2,0)),Inputs!$B$2:$B$190,$B88)*Inputs!$D$1)</f>
        <v>0</v>
      </c>
      <c r="AV88" s="57">
        <f>IF(ISNA(SUMIFS(INDEX(Inputs!$B$2:$AZ$190,,MATCH(SUBSTITUTE(AV$3,"Q","T"),Inputs!$B$2:$AZ$2,0)),Inputs!$B$2:$B$190,$B88)*Inputs!$D$1),"",SUMIFS(INDEX(Inputs!$B$2:$AZ$190,,MATCH(SUBSTITUTE(AV$3,"Q","T"),Inputs!$B$2:$AZ$2,0)),Inputs!$B$2:$B$190,$B88)*Inputs!$D$1)</f>
        <v>0</v>
      </c>
      <c r="AW88" s="58">
        <f>SUM(AS88:AV88)</f>
        <v>0</v>
      </c>
      <c r="AX88" s="57">
        <f>IF(ISNA(SUMIFS(INDEX(Inputs!$B$2:$AZ$190,,MATCH(SUBSTITUTE(AX$3,"Q","T"),Inputs!$B$2:$AZ$2,0)),Inputs!$B$2:$B$190,$B88)*Inputs!$D$1),"",SUMIFS(INDEX(Inputs!$B$2:$AZ$190,,MATCH(SUBSTITUTE(AX$3,"Q","T"),Inputs!$B$2:$AZ$2,0)),Inputs!$B$2:$B$190,$B88)*Inputs!$D$1)</f>
        <v>0</v>
      </c>
      <c r="AY88" s="57">
        <f>IF(ISNA(SUMIFS(INDEX(Inputs!$B$2:$AZ$190,,MATCH(SUBSTITUTE(AY$3,"Q","T"),Inputs!$B$2:$AZ$2,0)),Inputs!$B$2:$B$190,$B88)*Inputs!$D$1),"",SUMIFS(INDEX(Inputs!$B$2:$AZ$190,,MATCH(SUBSTITUTE(AY$3,"Q","T"),Inputs!$B$2:$AZ$2,0)),Inputs!$B$2:$B$190,$B88)*Inputs!$D$1)</f>
        <v>0</v>
      </c>
      <c r="AZ88" s="57">
        <f>IF(ISNA(SUMIFS(INDEX(Inputs!$B$2:$AZ$190,,MATCH(SUBSTITUTE(AZ$3,"Q","T"),Inputs!$B$2:$AZ$2,0)),Inputs!$B$2:$B$190,$B88)*Inputs!$D$1),"",SUMIFS(INDEX(Inputs!$B$2:$AZ$190,,MATCH(SUBSTITUTE(AZ$3,"Q","T"),Inputs!$B$2:$AZ$2,0)),Inputs!$B$2:$B$190,$B88)*Inputs!$D$1)</f>
        <v>0</v>
      </c>
      <c r="BA88" s="57">
        <f>IF(ISNA(SUMIFS(INDEX(Inputs!$B$2:$AZ$190,,MATCH(SUBSTITUTE(BA$3,"Q","T"),Inputs!$B$2:$AZ$2,0)),Inputs!$B$2:$B$190,$B88)*Inputs!$D$1),"",SUMIFS(INDEX(Inputs!$B$2:$AZ$190,,MATCH(SUBSTITUTE(BA$3,"Q","T"),Inputs!$B$2:$AZ$2,0)),Inputs!$B$2:$B$190,$B88)*Inputs!$D$1)</f>
        <v>0</v>
      </c>
      <c r="BB88" s="58">
        <f>SUM(AX88:BA88)</f>
        <v>0</v>
      </c>
      <c r="BC88" s="57">
        <f>IF(ISNA(SUMIFS(INDEX(Inputs!$B$2:$AZ$190,,MATCH(SUBSTITUTE(BC$3,"Q","T"),Inputs!$B$2:$AZ$2,0)),Inputs!$B$2:$B$190,$B88)*Inputs!$D$1),"",SUMIFS(INDEX(Inputs!$B$2:$AZ$190,,MATCH(SUBSTITUTE(BC$3,"Q","T"),Inputs!$B$2:$AZ$2,0)),Inputs!$B$2:$B$190,$B88)*Inputs!$D$1)</f>
        <v>0</v>
      </c>
      <c r="BD88" s="57">
        <f>IF(ISNA(SUMIFS(INDEX(Inputs!$B$2:$AZ$190,,MATCH(SUBSTITUTE(BD$3,"Q","T"),Inputs!$B$2:$AZ$2,0)),Inputs!$B$2:$B$190,$B88)*Inputs!$D$1),"",SUMIFS(INDEX(Inputs!$B$2:$AZ$190,,MATCH(SUBSTITUTE(BD$3,"Q","T"),Inputs!$B$2:$AZ$2,0)),Inputs!$B$2:$B$190,$B88)*Inputs!$D$1)</f>
        <v>0</v>
      </c>
      <c r="BE88" s="57">
        <f>IF(ISNA(SUMIFS(INDEX(Inputs!$B$2:$AZ$190,,MATCH(SUBSTITUTE(BE$3,"Q","T"),Inputs!$B$2:$AZ$2,0)),Inputs!$B$2:$B$190,$B88)*Inputs!$D$1),"",SUMIFS(INDEX(Inputs!$B$2:$AZ$190,,MATCH(SUBSTITUTE(BE$3,"Q","T"),Inputs!$B$2:$AZ$2,0)),Inputs!$B$2:$B$190,$B88)*Inputs!$D$1)</f>
        <v>0</v>
      </c>
      <c r="BF88" s="57">
        <f>IF(ISNA(SUMIFS(INDEX(Inputs!$B$2:$AZ$190,,MATCH(SUBSTITUTE(BF$3,"Q","T"),Inputs!$B$2:$AZ$2,0)),Inputs!$B$2:$B$190,$B88)*Inputs!$D$1),"",SUMIFS(INDEX(Inputs!$B$2:$AZ$190,,MATCH(SUBSTITUTE(BF$3,"Q","T"),Inputs!$B$2:$AZ$2,0)),Inputs!$B$2:$B$190,$B88)*Inputs!$D$1)</f>
        <v>0</v>
      </c>
      <c r="BG88" s="58">
        <f>SUM(BC88:BF88)</f>
        <v>0</v>
      </c>
    </row>
    <row r="89" hidden="1" outlineLevel="1">
      <c r="B89" s="56" t="inlineStr">
        <is>
          <t>comp</t>
        </is>
      </c>
      <c r="C89" s="61" t="inlineStr">
        <is>
          <t>(Remuneração e benefícios)</t>
        </is>
      </c>
      <c r="D89" s="62" t="inlineStr">
        <is>
          <t>(Compensation expense)</t>
        </is>
      </c>
      <c r="E89" s="57">
        <f>IF(ISNA(SUMIFS(INDEX(Inputs!$B$2:$AZ$190,,MATCH(SUBSTITUTE(E$3,"Q","T"),Inputs!$B$2:$AZ$2,0)),Inputs!$B$2:$B$190,$B89)*Inputs!$D$1),"",SUMIFS(INDEX(Inputs!$B$2:$AZ$190,,MATCH(SUBSTITUTE(E$3,"Q","T"),Inputs!$B$2:$AZ$2,0)),Inputs!$B$2:$B$190,$B89)*Inputs!$D$1)</f>
        <v>0</v>
      </c>
      <c r="F89" s="57">
        <f>IF(ISNA(SUMIFS(INDEX(Inputs!$B$2:$AZ$190,,MATCH(SUBSTITUTE(F$3,"Q","T"),Inputs!$B$2:$AZ$2,0)),Inputs!$B$2:$B$190,$B89)*Inputs!$D$1),"",SUMIFS(INDEX(Inputs!$B$2:$AZ$190,,MATCH(SUBSTITUTE(F$3,"Q","T"),Inputs!$B$2:$AZ$2,0)),Inputs!$B$2:$B$190,$B89)*Inputs!$D$1)</f>
        <v>0</v>
      </c>
      <c r="G89" s="57">
        <f>IF(ISNA(SUMIFS(INDEX(Inputs!$B$2:$AZ$190,,MATCH(SUBSTITUTE(G$3,"Q","T"),Inputs!$B$2:$AZ$2,0)),Inputs!$B$2:$B$190,$B89)*Inputs!$D$1),"",SUMIFS(INDEX(Inputs!$B$2:$AZ$190,,MATCH(SUBSTITUTE(G$3,"Q","T"),Inputs!$B$2:$AZ$2,0)),Inputs!$B$2:$B$190,$B89)*Inputs!$D$1)</f>
        <v>0</v>
      </c>
      <c r="H89" s="57">
        <f>IF(ISNA(SUMIFS(INDEX(Inputs!$B$2:$AZ$190,,MATCH(SUBSTITUTE(H$3,"Q","T"),Inputs!$B$2:$AZ$2,0)),Inputs!$B$2:$B$190,$B89)*Inputs!$D$1),"",SUMIFS(INDEX(Inputs!$B$2:$AZ$190,,MATCH(SUBSTITUTE(H$3,"Q","T"),Inputs!$B$2:$AZ$2,0)),Inputs!$B$2:$B$190,$B89)*Inputs!$D$1)</f>
        <v>0</v>
      </c>
      <c r="I89" s="58">
        <f>SUM(E89:H89)</f>
        <v>0</v>
      </c>
      <c r="J89" s="57">
        <f>IF(ISNA(SUMIFS(INDEX(Inputs!$B$2:$AZ$190,,MATCH(SUBSTITUTE(J$3,"Q","T"),Inputs!$B$2:$AZ$2,0)),Inputs!$B$2:$B$190,$B89)*Inputs!$D$1),"",SUMIFS(INDEX(Inputs!$B$2:$AZ$190,,MATCH(SUBSTITUTE(J$3,"Q","T"),Inputs!$B$2:$AZ$2,0)),Inputs!$B$2:$B$190,$B89)*Inputs!$D$1)</f>
        <v>0</v>
      </c>
      <c r="K89" s="57">
        <f>IF(ISNA(SUMIFS(INDEX(Inputs!$B$2:$AZ$190,,MATCH(SUBSTITUTE(K$3,"Q","T"),Inputs!$B$2:$AZ$2,0)),Inputs!$B$2:$B$190,$B89)*Inputs!$D$1),"",SUMIFS(INDEX(Inputs!$B$2:$AZ$190,,MATCH(SUBSTITUTE(K$3,"Q","T"),Inputs!$B$2:$AZ$2,0)),Inputs!$B$2:$B$190,$B89)*Inputs!$D$1)</f>
        <v>0</v>
      </c>
      <c r="L89" s="57">
        <f>IF(ISNA(SUMIFS(INDEX(Inputs!$B$2:$AZ$190,,MATCH(SUBSTITUTE(L$3,"Q","T"),Inputs!$B$2:$AZ$2,0)),Inputs!$B$2:$B$190,$B89)*Inputs!$D$1),"",SUMIFS(INDEX(Inputs!$B$2:$AZ$190,,MATCH(SUBSTITUTE(L$3,"Q","T"),Inputs!$B$2:$AZ$2,0)),Inputs!$B$2:$B$190,$B89)*Inputs!$D$1)</f>
        <v>0</v>
      </c>
      <c r="M89" s="57">
        <f>IF(ISNA(SUMIFS(INDEX(Inputs!$B$2:$AZ$190,,MATCH(SUBSTITUTE(M$3,"Q","T"),Inputs!$B$2:$AZ$2,0)),Inputs!$B$2:$B$190,$B89)*Inputs!$D$1),"",SUMIFS(INDEX(Inputs!$B$2:$AZ$190,,MATCH(SUBSTITUTE(M$3,"Q","T"),Inputs!$B$2:$AZ$2,0)),Inputs!$B$2:$B$190,$B89)*Inputs!$D$1)</f>
        <v>0</v>
      </c>
      <c r="N89" s="58">
        <f>SUM(J89:M89)</f>
        <v>0</v>
      </c>
      <c r="O89" s="57">
        <f>IF(ISNA(SUMIFS(INDEX(Inputs!$B$2:$AZ$190,,MATCH(SUBSTITUTE(O$3,"Q","T"),Inputs!$B$2:$AZ$2,0)),Inputs!$B$2:$B$190,$B89)*Inputs!$D$1),"",SUMIFS(INDEX(Inputs!$B$2:$AZ$190,,MATCH(SUBSTITUTE(O$3,"Q","T"),Inputs!$B$2:$AZ$2,0)),Inputs!$B$2:$B$190,$B89)*Inputs!$D$1)</f>
        <v>0</v>
      </c>
      <c r="P89" s="57">
        <f>IF(ISNA(SUMIFS(INDEX(Inputs!$B$2:$AZ$190,,MATCH(SUBSTITUTE(P$3,"Q","T"),Inputs!$B$2:$AZ$2,0)),Inputs!$B$2:$B$190,$B89)*Inputs!$D$1),"",SUMIFS(INDEX(Inputs!$B$2:$AZ$190,,MATCH(SUBSTITUTE(P$3,"Q","T"),Inputs!$B$2:$AZ$2,0)),Inputs!$B$2:$B$190,$B89)*Inputs!$D$1)</f>
        <v>0</v>
      </c>
      <c r="Q89" s="57">
        <f>IF(ISNA(SUMIFS(INDEX(Inputs!$B$2:$AZ$190,,MATCH(SUBSTITUTE(Q$3,"Q","T"),Inputs!$B$2:$AZ$2,0)),Inputs!$B$2:$B$190,$B89)*Inputs!$D$1),"",SUMIFS(INDEX(Inputs!$B$2:$AZ$190,,MATCH(SUBSTITUTE(Q$3,"Q","T"),Inputs!$B$2:$AZ$2,0)),Inputs!$B$2:$B$190,$B89)*Inputs!$D$1)</f>
        <v>0</v>
      </c>
      <c r="R89" s="57">
        <f>IF(ISNA(SUMIFS(INDEX(Inputs!$B$2:$AZ$190,,MATCH(SUBSTITUTE(R$3,"Q","T"),Inputs!$B$2:$AZ$2,0)),Inputs!$B$2:$B$190,$B89)*Inputs!$D$1),"",SUMIFS(INDEX(Inputs!$B$2:$AZ$190,,MATCH(SUBSTITUTE(R$3,"Q","T"),Inputs!$B$2:$AZ$2,0)),Inputs!$B$2:$B$190,$B89)*Inputs!$D$1)</f>
        <v>0</v>
      </c>
      <c r="S89" s="58">
        <f>SUM(O89:R89)</f>
        <v>0</v>
      </c>
      <c r="T89" s="57">
        <f>IF(ISNA(SUMIFS(INDEX(Inputs!$B$2:$AZ$190,,MATCH(SUBSTITUTE(T$3,"Q","T"),Inputs!$B$2:$AZ$2,0)),Inputs!$B$2:$B$190,$B89)*Inputs!$D$1),"",SUMIFS(INDEX(Inputs!$B$2:$AZ$190,,MATCH(SUBSTITUTE(T$3,"Q","T"),Inputs!$B$2:$AZ$2,0)),Inputs!$B$2:$B$190,$B89)*Inputs!$D$1)</f>
        <v>0</v>
      </c>
      <c r="U89" s="57">
        <f>IF(ISNA(SUMIFS(INDEX(Inputs!$B$2:$AZ$190,,MATCH(SUBSTITUTE(U$3,"Q","T"),Inputs!$B$2:$AZ$2,0)),Inputs!$B$2:$B$190,$B89)*Inputs!$D$1),"",SUMIFS(INDEX(Inputs!$B$2:$AZ$190,,MATCH(SUBSTITUTE(U$3,"Q","T"),Inputs!$B$2:$AZ$2,0)),Inputs!$B$2:$B$190,$B89)*Inputs!$D$1)</f>
        <v>0</v>
      </c>
      <c r="V89" s="57">
        <f>IF(ISNA(SUMIFS(INDEX(Inputs!$B$2:$AZ$190,,MATCH(SUBSTITUTE(V$3,"Q","T"),Inputs!$B$2:$AZ$2,0)),Inputs!$B$2:$B$190,$B89)*Inputs!$D$1),"",SUMIFS(INDEX(Inputs!$B$2:$AZ$190,,MATCH(SUBSTITUTE(V$3,"Q","T"),Inputs!$B$2:$AZ$2,0)),Inputs!$B$2:$B$190,$B89)*Inputs!$D$1)</f>
        <v>0</v>
      </c>
      <c r="W89" s="57">
        <f>IF(ISNA(SUMIFS(INDEX(Inputs!$B$2:$AZ$190,,MATCH(SUBSTITUTE(W$3,"Q","T"),Inputs!$B$2:$AZ$2,0)),Inputs!$B$2:$B$190,$B89)*Inputs!$D$1),"",SUMIFS(INDEX(Inputs!$B$2:$AZ$190,,MATCH(SUBSTITUTE(W$3,"Q","T"),Inputs!$B$2:$AZ$2,0)),Inputs!$B$2:$B$190,$B89)*Inputs!$D$1)</f>
        <v>0</v>
      </c>
      <c r="X89" s="58">
        <f>SUM(T89:W89)</f>
        <v>0</v>
      </c>
      <c r="Y89" s="57">
        <f>IF(ISNA(SUMIFS(INDEX(Inputs!$B$2:$AZ$190,,MATCH(SUBSTITUTE(Y$3,"Q","T"),Inputs!$B$2:$AZ$2,0)),Inputs!$B$2:$B$190,$B89)*Inputs!$D$1),"",SUMIFS(INDEX(Inputs!$B$2:$AZ$190,,MATCH(SUBSTITUTE(Y$3,"Q","T"),Inputs!$B$2:$AZ$2,0)),Inputs!$B$2:$B$190,$B89)*Inputs!$D$1)</f>
        <v>0</v>
      </c>
      <c r="Z89" s="57">
        <f>IF(ISNA(SUMIFS(INDEX(Inputs!$B$2:$AZ$190,,MATCH(SUBSTITUTE(Z$3,"Q","T"),Inputs!$B$2:$AZ$2,0)),Inputs!$B$2:$B$190,$B89)*Inputs!$D$1),"",SUMIFS(INDEX(Inputs!$B$2:$AZ$190,,MATCH(SUBSTITUTE(Z$3,"Q","T"),Inputs!$B$2:$AZ$2,0)),Inputs!$B$2:$B$190,$B89)*Inputs!$D$1)</f>
        <v>0</v>
      </c>
      <c r="AA89" s="57">
        <f>IF(ISNA(SUMIFS(INDEX(Inputs!$B$2:$AZ$190,,MATCH(SUBSTITUTE(AA$3,"Q","T"),Inputs!$B$2:$AZ$2,0)),Inputs!$B$2:$B$190,$B89)*Inputs!$D$1),"",SUMIFS(INDEX(Inputs!$B$2:$AZ$190,,MATCH(SUBSTITUTE(AA$3,"Q","T"),Inputs!$B$2:$AZ$2,0)),Inputs!$B$2:$B$190,$B89)*Inputs!$D$1)</f>
        <v>0</v>
      </c>
      <c r="AB89" s="57">
        <f>IF(ISNA(SUMIFS(INDEX(Inputs!$B$2:$AZ$190,,MATCH(SUBSTITUTE(AB$3,"Q","T"),Inputs!$B$2:$AZ$2,0)),Inputs!$B$2:$B$190,$B89)*Inputs!$D$1),"",SUMIFS(INDEX(Inputs!$B$2:$AZ$190,,MATCH(SUBSTITUTE(AB$3,"Q","T"),Inputs!$B$2:$AZ$2,0)),Inputs!$B$2:$B$190,$B89)*Inputs!$D$1)</f>
        <v>0</v>
      </c>
      <c r="AC89" s="58">
        <f>SUM(Y89:AB89)</f>
        <v>0</v>
      </c>
      <c r="AD89" s="57">
        <f>IF(ISNA(SUMIFS(INDEX(Inputs!$B$2:$AZ$190,,MATCH(SUBSTITUTE(AD$3,"Q","T"),Inputs!$B$2:$AZ$2,0)),Inputs!$B$2:$B$190,$B89)*Inputs!$D$1),"",SUMIFS(INDEX(Inputs!$B$2:$AZ$190,,MATCH(SUBSTITUTE(AD$3,"Q","T"),Inputs!$B$2:$AZ$2,0)),Inputs!$B$2:$B$190,$B89)*Inputs!$D$1)</f>
        <v>0</v>
      </c>
      <c r="AE89" s="57">
        <f>IF(ISNA(SUMIFS(INDEX(Inputs!$B$2:$AZ$190,,MATCH(SUBSTITUTE(AE$3,"Q","T"),Inputs!$B$2:$AZ$2,0)),Inputs!$B$2:$B$190,$B89)*Inputs!$D$1),"",SUMIFS(INDEX(Inputs!$B$2:$AZ$190,,MATCH(SUBSTITUTE(AE$3,"Q","T"),Inputs!$B$2:$AZ$2,0)),Inputs!$B$2:$B$190,$B89)*Inputs!$D$1)</f>
        <v>0</v>
      </c>
      <c r="AF89" s="57">
        <f>IF(ISNA(SUMIFS(INDEX(Inputs!$B$2:$AZ$190,,MATCH(SUBSTITUTE(AF$3,"Q","T"),Inputs!$B$2:$AZ$2,0)),Inputs!$B$2:$B$190,$B89)*Inputs!$D$1),"",SUMIFS(INDEX(Inputs!$B$2:$AZ$190,,MATCH(SUBSTITUTE(AF$3,"Q","T"),Inputs!$B$2:$AZ$2,0)),Inputs!$B$2:$B$190,$B89)*Inputs!$D$1)</f>
        <v>0</v>
      </c>
      <c r="AG89" s="57">
        <f>IF(ISNA(SUMIFS(INDEX(Inputs!$B$2:$AZ$190,,MATCH(SUBSTITUTE(AG$3,"Q","T"),Inputs!$B$2:$AZ$2,0)),Inputs!$B$2:$B$190,$B89)*Inputs!$D$1),"",SUMIFS(INDEX(Inputs!$B$2:$AZ$190,,MATCH(SUBSTITUTE(AG$3,"Q","T"),Inputs!$B$2:$AZ$2,0)),Inputs!$B$2:$B$190,$B89)*Inputs!$D$1)</f>
        <v>0</v>
      </c>
      <c r="AH89" s="58">
        <f>SUM(AD89:AG89)</f>
        <v>0</v>
      </c>
      <c r="AI89" s="57">
        <f>IF(ISNA(SUMIFS(INDEX(Inputs!$B$2:$AZ$190,,MATCH(SUBSTITUTE(AI$3,"Q","T"),Inputs!$B$2:$AZ$2,0)),Inputs!$B$2:$B$190,$B89)*Inputs!$D$1),"",SUMIFS(INDEX(Inputs!$B$2:$AZ$190,,MATCH(SUBSTITUTE(AI$3,"Q","T"),Inputs!$B$2:$AZ$2,0)),Inputs!$B$2:$B$190,$B89)*Inputs!$D$1)</f>
        <v>0</v>
      </c>
      <c r="AJ89" s="57">
        <f>IF(ISNA(SUMIFS(INDEX(Inputs!$B$2:$AZ$190,,MATCH(SUBSTITUTE(AJ$3,"Q","T"),Inputs!$B$2:$AZ$2,0)),Inputs!$B$2:$B$190,$B89)*Inputs!$D$1),"",SUMIFS(INDEX(Inputs!$B$2:$AZ$190,,MATCH(SUBSTITUTE(AJ$3,"Q","T"),Inputs!$B$2:$AZ$2,0)),Inputs!$B$2:$B$190,$B89)*Inputs!$D$1)</f>
        <v>0</v>
      </c>
      <c r="AK89" s="57">
        <f>IF(ISNA(SUMIFS(INDEX(Inputs!$B$2:$AZ$190,,MATCH(SUBSTITUTE(AK$3,"Q","T"),Inputs!$B$2:$AZ$2,0)),Inputs!$B$2:$B$190,$B89)*Inputs!$D$1),"",SUMIFS(INDEX(Inputs!$B$2:$AZ$190,,MATCH(SUBSTITUTE(AK$3,"Q","T"),Inputs!$B$2:$AZ$2,0)),Inputs!$B$2:$B$190,$B89)*Inputs!$D$1)</f>
        <v>0</v>
      </c>
      <c r="AL89" s="57">
        <f>IF(ISNA(SUMIFS(INDEX(Inputs!$B$2:$AZ$190,,MATCH(SUBSTITUTE(AL$3,"Q","T"),Inputs!$B$2:$AZ$2,0)),Inputs!$B$2:$B$190,$B89)*Inputs!$D$1),"",SUMIFS(INDEX(Inputs!$B$2:$AZ$190,,MATCH(SUBSTITUTE(AL$3,"Q","T"),Inputs!$B$2:$AZ$2,0)),Inputs!$B$2:$B$190,$B89)*Inputs!$D$1)</f>
        <v>0</v>
      </c>
      <c r="AM89" s="58">
        <f>SUM(AI89:AL89)</f>
        <v>0</v>
      </c>
      <c r="AN89" s="57">
        <f>IF(ISNA(SUMIFS(INDEX(Inputs!$B$2:$AZ$190,,MATCH(SUBSTITUTE(AN$3,"Q","T"),Inputs!$B$2:$AZ$2,0)),Inputs!$B$2:$B$190,$B89)*Inputs!$D$1),"",SUMIFS(INDEX(Inputs!$B$2:$AZ$190,,MATCH(SUBSTITUTE(AN$3,"Q","T"),Inputs!$B$2:$AZ$2,0)),Inputs!$B$2:$B$190,$B89)*Inputs!$D$1)</f>
        <v>0</v>
      </c>
      <c r="AO89" s="57">
        <f>IF(ISNA(SUMIFS(INDEX(Inputs!$B$2:$AZ$190,,MATCH(SUBSTITUTE(AO$3,"Q","T"),Inputs!$B$2:$AZ$2,0)),Inputs!$B$2:$B$190,$B89)*Inputs!$D$1),"",SUMIFS(INDEX(Inputs!$B$2:$AZ$190,,MATCH(SUBSTITUTE(AO$3,"Q","T"),Inputs!$B$2:$AZ$2,0)),Inputs!$B$2:$B$190,$B89)*Inputs!$D$1)</f>
        <v>0</v>
      </c>
      <c r="AP89" s="57">
        <f>IF(ISNA(SUMIFS(INDEX(Inputs!$B$2:$AZ$190,,MATCH(SUBSTITUTE(AP$3,"Q","T"),Inputs!$B$2:$AZ$2,0)),Inputs!$B$2:$B$190,$B89)*Inputs!$D$1),"",SUMIFS(INDEX(Inputs!$B$2:$AZ$190,,MATCH(SUBSTITUTE(AP$3,"Q","T"),Inputs!$B$2:$AZ$2,0)),Inputs!$B$2:$B$190,$B89)*Inputs!$D$1)</f>
        <v>0</v>
      </c>
      <c r="AQ89" s="57">
        <f>IF(ISNA(SUMIFS(INDEX(Inputs!$B$2:$AZ$190,,MATCH(SUBSTITUTE(AQ$3,"Q","T"),Inputs!$B$2:$AZ$2,0)),Inputs!$B$2:$B$190,$B89)*Inputs!$D$1),"",SUMIFS(INDEX(Inputs!$B$2:$AZ$190,,MATCH(SUBSTITUTE(AQ$3,"Q","T"),Inputs!$B$2:$AZ$2,0)),Inputs!$B$2:$B$190,$B89)*Inputs!$D$1)</f>
        <v>0</v>
      </c>
      <c r="AR89" s="58">
        <f>SUM(AN89:AQ89)</f>
        <v>0</v>
      </c>
      <c r="AS89" s="57">
        <f>IF(ISNA(SUMIFS(INDEX(Inputs!$B$2:$AZ$190,,MATCH(SUBSTITUTE(AS$3,"Q","T"),Inputs!$B$2:$AZ$2,0)),Inputs!$B$2:$B$190,$B89)*Inputs!$D$1),"",SUMIFS(INDEX(Inputs!$B$2:$AZ$190,,MATCH(SUBSTITUTE(AS$3,"Q","T"),Inputs!$B$2:$AZ$2,0)),Inputs!$B$2:$B$190,$B89)*Inputs!$D$1)</f>
        <v>0</v>
      </c>
      <c r="AT89" s="57">
        <f>IF(ISNA(SUMIFS(INDEX(Inputs!$B$2:$AZ$190,,MATCH(SUBSTITUTE(AT$3,"Q","T"),Inputs!$B$2:$AZ$2,0)),Inputs!$B$2:$B$190,$B89)*Inputs!$D$1),"",SUMIFS(INDEX(Inputs!$B$2:$AZ$190,,MATCH(SUBSTITUTE(AT$3,"Q","T"),Inputs!$B$2:$AZ$2,0)),Inputs!$B$2:$B$190,$B89)*Inputs!$D$1)</f>
        <v>0</v>
      </c>
      <c r="AU89" s="57">
        <f>IF(ISNA(SUMIFS(INDEX(Inputs!$B$2:$AZ$190,,MATCH(SUBSTITUTE(AU$3,"Q","T"),Inputs!$B$2:$AZ$2,0)),Inputs!$B$2:$B$190,$B89)*Inputs!$D$1),"",SUMIFS(INDEX(Inputs!$B$2:$AZ$190,,MATCH(SUBSTITUTE(AU$3,"Q","T"),Inputs!$B$2:$AZ$2,0)),Inputs!$B$2:$B$190,$B89)*Inputs!$D$1)</f>
        <v>0</v>
      </c>
      <c r="AV89" s="57">
        <f>IF(ISNA(SUMIFS(INDEX(Inputs!$B$2:$AZ$190,,MATCH(SUBSTITUTE(AV$3,"Q","T"),Inputs!$B$2:$AZ$2,0)),Inputs!$B$2:$B$190,$B89)*Inputs!$D$1),"",SUMIFS(INDEX(Inputs!$B$2:$AZ$190,,MATCH(SUBSTITUTE(AV$3,"Q","T"),Inputs!$B$2:$AZ$2,0)),Inputs!$B$2:$B$190,$B89)*Inputs!$D$1)</f>
        <v>0</v>
      </c>
      <c r="AW89" s="58">
        <f>SUM(AS89:AV89)</f>
        <v>0</v>
      </c>
      <c r="AX89" s="57">
        <f>IF(ISNA(SUMIFS(INDEX(Inputs!$B$2:$AZ$190,,MATCH(SUBSTITUTE(AX$3,"Q","T"),Inputs!$B$2:$AZ$2,0)),Inputs!$B$2:$B$190,$B89)*Inputs!$D$1),"",SUMIFS(INDEX(Inputs!$B$2:$AZ$190,,MATCH(SUBSTITUTE(AX$3,"Q","T"),Inputs!$B$2:$AZ$2,0)),Inputs!$B$2:$B$190,$B89)*Inputs!$D$1)</f>
        <v>0</v>
      </c>
      <c r="AY89" s="57">
        <f>IF(ISNA(SUMIFS(INDEX(Inputs!$B$2:$AZ$190,,MATCH(SUBSTITUTE(AY$3,"Q","T"),Inputs!$B$2:$AZ$2,0)),Inputs!$B$2:$B$190,$B89)*Inputs!$D$1),"",SUMIFS(INDEX(Inputs!$B$2:$AZ$190,,MATCH(SUBSTITUTE(AY$3,"Q","T"),Inputs!$B$2:$AZ$2,0)),Inputs!$B$2:$B$190,$B89)*Inputs!$D$1)</f>
        <v>0</v>
      </c>
      <c r="AZ89" s="57">
        <f>IF(ISNA(SUMIFS(INDEX(Inputs!$B$2:$AZ$190,,MATCH(SUBSTITUTE(AZ$3,"Q","T"),Inputs!$B$2:$AZ$2,0)),Inputs!$B$2:$B$190,$B89)*Inputs!$D$1),"",SUMIFS(INDEX(Inputs!$B$2:$AZ$190,,MATCH(SUBSTITUTE(AZ$3,"Q","T"),Inputs!$B$2:$AZ$2,0)),Inputs!$B$2:$B$190,$B89)*Inputs!$D$1)</f>
        <v>0</v>
      </c>
      <c r="BA89" s="57">
        <f>IF(ISNA(SUMIFS(INDEX(Inputs!$B$2:$AZ$190,,MATCH(SUBSTITUTE(BA$3,"Q","T"),Inputs!$B$2:$AZ$2,0)),Inputs!$B$2:$B$190,$B89)*Inputs!$D$1),"",SUMIFS(INDEX(Inputs!$B$2:$AZ$190,,MATCH(SUBSTITUTE(BA$3,"Q","T"),Inputs!$B$2:$AZ$2,0)),Inputs!$B$2:$B$190,$B89)*Inputs!$D$1)</f>
        <v>0</v>
      </c>
      <c r="BB89" s="58">
        <f>SUM(AX89:BA89)</f>
        <v>0</v>
      </c>
      <c r="BC89" s="57">
        <f>IF(ISNA(SUMIFS(INDEX(Inputs!$B$2:$AZ$190,,MATCH(SUBSTITUTE(BC$3,"Q","T"),Inputs!$B$2:$AZ$2,0)),Inputs!$B$2:$B$190,$B89)*Inputs!$D$1),"",SUMIFS(INDEX(Inputs!$B$2:$AZ$190,,MATCH(SUBSTITUTE(BC$3,"Q","T"),Inputs!$B$2:$AZ$2,0)),Inputs!$B$2:$B$190,$B89)*Inputs!$D$1)</f>
        <v>0</v>
      </c>
      <c r="BD89" s="57">
        <f>IF(ISNA(SUMIFS(INDEX(Inputs!$B$2:$AZ$190,,MATCH(SUBSTITUTE(BD$3,"Q","T"),Inputs!$B$2:$AZ$2,0)),Inputs!$B$2:$B$190,$B89)*Inputs!$D$1),"",SUMIFS(INDEX(Inputs!$B$2:$AZ$190,,MATCH(SUBSTITUTE(BD$3,"Q","T"),Inputs!$B$2:$AZ$2,0)),Inputs!$B$2:$B$190,$B89)*Inputs!$D$1)</f>
        <v>0</v>
      </c>
      <c r="BE89" s="57">
        <f>IF(ISNA(SUMIFS(INDEX(Inputs!$B$2:$AZ$190,,MATCH(SUBSTITUTE(BE$3,"Q","T"),Inputs!$B$2:$AZ$2,0)),Inputs!$B$2:$B$190,$B89)*Inputs!$D$1),"",SUMIFS(INDEX(Inputs!$B$2:$AZ$190,,MATCH(SUBSTITUTE(BE$3,"Q","T"),Inputs!$B$2:$AZ$2,0)),Inputs!$B$2:$B$190,$B89)*Inputs!$D$1)</f>
        <v>0</v>
      </c>
      <c r="BF89" s="57">
        <f>IF(ISNA(SUMIFS(INDEX(Inputs!$B$2:$AZ$190,,MATCH(SUBSTITUTE(BF$3,"Q","T"),Inputs!$B$2:$AZ$2,0)),Inputs!$B$2:$B$190,$B89)*Inputs!$D$1),"",SUMIFS(INDEX(Inputs!$B$2:$AZ$190,,MATCH(SUBSTITUTE(BF$3,"Q","T"),Inputs!$B$2:$AZ$2,0)),Inputs!$B$2:$B$190,$B89)*Inputs!$D$1)</f>
        <v>0</v>
      </c>
      <c r="BG89" s="58">
        <f>SUM(BC89:BF89)</f>
        <v>0</v>
      </c>
    </row>
    <row r="90" hidden="1" outlineLevel="1">
      <c r="B90" s="56" t="inlineStr">
        <is>
          <t>opex</t>
        </is>
      </c>
      <c r="C90" s="61" t="inlineStr">
        <is>
          <t>(Ocupação, tecnologia, serviços profissionais e marketing)</t>
        </is>
      </c>
      <c r="D90" s="62" t="inlineStr">
        <is>
          <t>(Occupancy, technology, professional services and marketing)</t>
        </is>
      </c>
      <c r="E90" s="57">
        <f>IF(ISNA(SUMIFS(INDEX(Inputs!$B$2:$AZ$190,,MATCH(SUBSTITUTE(E$3,"Q","T"),Inputs!$B$2:$AZ$2,0)),Inputs!$B$2:$B$190,$B90)*Inputs!$D$1),"",SUMIFS(INDEX(Inputs!$B$2:$AZ$190,,MATCH(SUBSTITUTE(E$3,"Q","T"),Inputs!$B$2:$AZ$2,0)),Inputs!$B$2:$B$190,$B90)*Inputs!$D$1)</f>
        <v>0</v>
      </c>
      <c r="F90" s="57">
        <f>IF(ISNA(SUMIFS(INDEX(Inputs!$B$2:$AZ$190,,MATCH(SUBSTITUTE(F$3,"Q","T"),Inputs!$B$2:$AZ$2,0)),Inputs!$B$2:$B$190,$B90)*Inputs!$D$1),"",SUMIFS(INDEX(Inputs!$B$2:$AZ$190,,MATCH(SUBSTITUTE(F$3,"Q","T"),Inputs!$B$2:$AZ$2,0)),Inputs!$B$2:$B$190,$B90)*Inputs!$D$1)</f>
        <v>0</v>
      </c>
      <c r="G90" s="57">
        <f>IF(ISNA(SUMIFS(INDEX(Inputs!$B$2:$AZ$190,,MATCH(SUBSTITUTE(G$3,"Q","T"),Inputs!$B$2:$AZ$2,0)),Inputs!$B$2:$B$190,$B90)*Inputs!$D$1),"",SUMIFS(INDEX(Inputs!$B$2:$AZ$190,,MATCH(SUBSTITUTE(G$3,"Q","T"),Inputs!$B$2:$AZ$2,0)),Inputs!$B$2:$B$190,$B90)*Inputs!$D$1)</f>
        <v>0</v>
      </c>
      <c r="H90" s="57">
        <f>IF(ISNA(SUMIFS(INDEX(Inputs!$B$2:$AZ$190,,MATCH(SUBSTITUTE(H$3,"Q","T"),Inputs!$B$2:$AZ$2,0)),Inputs!$B$2:$B$190,$B90)*Inputs!$D$1),"",SUMIFS(INDEX(Inputs!$B$2:$AZ$190,,MATCH(SUBSTITUTE(H$3,"Q","T"),Inputs!$B$2:$AZ$2,0)),Inputs!$B$2:$B$190,$B90)*Inputs!$D$1)</f>
        <v>0</v>
      </c>
      <c r="I90" s="58">
        <f>SUM(E90:H90)</f>
        <v>0</v>
      </c>
      <c r="J90" s="57">
        <f>IF(ISNA(SUMIFS(INDEX(Inputs!$B$2:$AZ$190,,MATCH(SUBSTITUTE(J$3,"Q","T"),Inputs!$B$2:$AZ$2,0)),Inputs!$B$2:$B$190,$B90)*Inputs!$D$1),"",SUMIFS(INDEX(Inputs!$B$2:$AZ$190,,MATCH(SUBSTITUTE(J$3,"Q","T"),Inputs!$B$2:$AZ$2,0)),Inputs!$B$2:$B$190,$B90)*Inputs!$D$1)</f>
        <v>0</v>
      </c>
      <c r="K90" s="57">
        <f>IF(ISNA(SUMIFS(INDEX(Inputs!$B$2:$AZ$190,,MATCH(SUBSTITUTE(K$3,"Q","T"),Inputs!$B$2:$AZ$2,0)),Inputs!$B$2:$B$190,$B90)*Inputs!$D$1),"",SUMIFS(INDEX(Inputs!$B$2:$AZ$190,,MATCH(SUBSTITUTE(K$3,"Q","T"),Inputs!$B$2:$AZ$2,0)),Inputs!$B$2:$B$190,$B90)*Inputs!$D$1)</f>
        <v>0</v>
      </c>
      <c r="L90" s="57">
        <f>IF(ISNA(SUMIFS(INDEX(Inputs!$B$2:$AZ$190,,MATCH(SUBSTITUTE(L$3,"Q","T"),Inputs!$B$2:$AZ$2,0)),Inputs!$B$2:$B$190,$B90)*Inputs!$D$1),"",SUMIFS(INDEX(Inputs!$B$2:$AZ$190,,MATCH(SUBSTITUTE(L$3,"Q","T"),Inputs!$B$2:$AZ$2,0)),Inputs!$B$2:$B$190,$B90)*Inputs!$D$1)</f>
        <v>0</v>
      </c>
      <c r="M90" s="57">
        <f>IF(ISNA(SUMIFS(INDEX(Inputs!$B$2:$AZ$190,,MATCH(SUBSTITUTE(M$3,"Q","T"),Inputs!$B$2:$AZ$2,0)),Inputs!$B$2:$B$190,$B90)*Inputs!$D$1),"",SUMIFS(INDEX(Inputs!$B$2:$AZ$190,,MATCH(SUBSTITUTE(M$3,"Q","T"),Inputs!$B$2:$AZ$2,0)),Inputs!$B$2:$B$190,$B90)*Inputs!$D$1)</f>
        <v>0</v>
      </c>
      <c r="N90" s="58">
        <f>SUM(J90:M90)</f>
        <v>0</v>
      </c>
      <c r="O90" s="57">
        <f>IF(ISNA(SUMIFS(INDEX(Inputs!$B$2:$AZ$190,,MATCH(SUBSTITUTE(O$3,"Q","T"),Inputs!$B$2:$AZ$2,0)),Inputs!$B$2:$B$190,$B90)*Inputs!$D$1),"",SUMIFS(INDEX(Inputs!$B$2:$AZ$190,,MATCH(SUBSTITUTE(O$3,"Q","T"),Inputs!$B$2:$AZ$2,0)),Inputs!$B$2:$B$190,$B90)*Inputs!$D$1)</f>
        <v>0</v>
      </c>
      <c r="P90" s="57">
        <f>IF(ISNA(SUMIFS(INDEX(Inputs!$B$2:$AZ$190,,MATCH(SUBSTITUTE(P$3,"Q","T"),Inputs!$B$2:$AZ$2,0)),Inputs!$B$2:$B$190,$B90)*Inputs!$D$1),"",SUMIFS(INDEX(Inputs!$B$2:$AZ$190,,MATCH(SUBSTITUTE(P$3,"Q","T"),Inputs!$B$2:$AZ$2,0)),Inputs!$B$2:$B$190,$B90)*Inputs!$D$1)</f>
        <v>0</v>
      </c>
      <c r="Q90" s="57">
        <f>IF(ISNA(SUMIFS(INDEX(Inputs!$B$2:$AZ$190,,MATCH(SUBSTITUTE(Q$3,"Q","T"),Inputs!$B$2:$AZ$2,0)),Inputs!$B$2:$B$190,$B90)*Inputs!$D$1),"",SUMIFS(INDEX(Inputs!$B$2:$AZ$190,,MATCH(SUBSTITUTE(Q$3,"Q","T"),Inputs!$B$2:$AZ$2,0)),Inputs!$B$2:$B$190,$B90)*Inputs!$D$1)</f>
        <v>0</v>
      </c>
      <c r="R90" s="57">
        <f>IF(ISNA(SUMIFS(INDEX(Inputs!$B$2:$AZ$190,,MATCH(SUBSTITUTE(R$3,"Q","T"),Inputs!$B$2:$AZ$2,0)),Inputs!$B$2:$B$190,$B90)*Inputs!$D$1),"",SUMIFS(INDEX(Inputs!$B$2:$AZ$190,,MATCH(SUBSTITUTE(R$3,"Q","T"),Inputs!$B$2:$AZ$2,0)),Inputs!$B$2:$B$190,$B90)*Inputs!$D$1)</f>
        <v>0</v>
      </c>
      <c r="S90" s="58">
        <f>SUM(O90:R90)</f>
        <v>0</v>
      </c>
      <c r="T90" s="57">
        <f>IF(ISNA(SUMIFS(INDEX(Inputs!$B$2:$AZ$190,,MATCH(SUBSTITUTE(T$3,"Q","T"),Inputs!$B$2:$AZ$2,0)),Inputs!$B$2:$B$190,$B90)*Inputs!$D$1),"",SUMIFS(INDEX(Inputs!$B$2:$AZ$190,,MATCH(SUBSTITUTE(T$3,"Q","T"),Inputs!$B$2:$AZ$2,0)),Inputs!$B$2:$B$190,$B90)*Inputs!$D$1)</f>
        <v>0</v>
      </c>
      <c r="U90" s="57">
        <f>IF(ISNA(SUMIFS(INDEX(Inputs!$B$2:$AZ$190,,MATCH(SUBSTITUTE(U$3,"Q","T"),Inputs!$B$2:$AZ$2,0)),Inputs!$B$2:$B$190,$B90)*Inputs!$D$1),"",SUMIFS(INDEX(Inputs!$B$2:$AZ$190,,MATCH(SUBSTITUTE(U$3,"Q","T"),Inputs!$B$2:$AZ$2,0)),Inputs!$B$2:$B$190,$B90)*Inputs!$D$1)</f>
        <v>0</v>
      </c>
      <c r="V90" s="57">
        <f>IF(ISNA(SUMIFS(INDEX(Inputs!$B$2:$AZ$190,,MATCH(SUBSTITUTE(V$3,"Q","T"),Inputs!$B$2:$AZ$2,0)),Inputs!$B$2:$B$190,$B90)*Inputs!$D$1),"",SUMIFS(INDEX(Inputs!$B$2:$AZ$190,,MATCH(SUBSTITUTE(V$3,"Q","T"),Inputs!$B$2:$AZ$2,0)),Inputs!$B$2:$B$190,$B90)*Inputs!$D$1)</f>
        <v>0</v>
      </c>
      <c r="W90" s="57">
        <f>IF(ISNA(SUMIFS(INDEX(Inputs!$B$2:$AZ$190,,MATCH(SUBSTITUTE(W$3,"Q","T"),Inputs!$B$2:$AZ$2,0)),Inputs!$B$2:$B$190,$B90)*Inputs!$D$1),"",SUMIFS(INDEX(Inputs!$B$2:$AZ$190,,MATCH(SUBSTITUTE(W$3,"Q","T"),Inputs!$B$2:$AZ$2,0)),Inputs!$B$2:$B$190,$B90)*Inputs!$D$1)</f>
        <v>0</v>
      </c>
      <c r="X90" s="58">
        <f>SUM(T90:W90)</f>
        <v>0</v>
      </c>
      <c r="Y90" s="57">
        <f>IF(ISNA(SUMIFS(INDEX(Inputs!$B$2:$AZ$190,,MATCH(SUBSTITUTE(Y$3,"Q","T"),Inputs!$B$2:$AZ$2,0)),Inputs!$B$2:$B$190,$B90)*Inputs!$D$1),"",SUMIFS(INDEX(Inputs!$B$2:$AZ$190,,MATCH(SUBSTITUTE(Y$3,"Q","T"),Inputs!$B$2:$AZ$2,0)),Inputs!$B$2:$B$190,$B90)*Inputs!$D$1)</f>
        <v>0</v>
      </c>
      <c r="Z90" s="57">
        <f>IF(ISNA(SUMIFS(INDEX(Inputs!$B$2:$AZ$190,,MATCH(SUBSTITUTE(Z$3,"Q","T"),Inputs!$B$2:$AZ$2,0)),Inputs!$B$2:$B$190,$B90)*Inputs!$D$1),"",SUMIFS(INDEX(Inputs!$B$2:$AZ$190,,MATCH(SUBSTITUTE(Z$3,"Q","T"),Inputs!$B$2:$AZ$2,0)),Inputs!$B$2:$B$190,$B90)*Inputs!$D$1)</f>
        <v>0</v>
      </c>
      <c r="AA90" s="57">
        <f>IF(ISNA(SUMIFS(INDEX(Inputs!$B$2:$AZ$190,,MATCH(SUBSTITUTE(AA$3,"Q","T"),Inputs!$B$2:$AZ$2,0)),Inputs!$B$2:$B$190,$B90)*Inputs!$D$1),"",SUMIFS(INDEX(Inputs!$B$2:$AZ$190,,MATCH(SUBSTITUTE(AA$3,"Q","T"),Inputs!$B$2:$AZ$2,0)),Inputs!$B$2:$B$190,$B90)*Inputs!$D$1)</f>
        <v>0</v>
      </c>
      <c r="AB90" s="57">
        <f>IF(ISNA(SUMIFS(INDEX(Inputs!$B$2:$AZ$190,,MATCH(SUBSTITUTE(AB$3,"Q","T"),Inputs!$B$2:$AZ$2,0)),Inputs!$B$2:$B$190,$B90)*Inputs!$D$1),"",SUMIFS(INDEX(Inputs!$B$2:$AZ$190,,MATCH(SUBSTITUTE(AB$3,"Q","T"),Inputs!$B$2:$AZ$2,0)),Inputs!$B$2:$B$190,$B90)*Inputs!$D$1)</f>
        <v>0</v>
      </c>
      <c r="AC90" s="58">
        <f>SUM(Y90:AB90)</f>
        <v>0</v>
      </c>
      <c r="AD90" s="57">
        <f>IF(ISNA(SUMIFS(INDEX(Inputs!$B$2:$AZ$190,,MATCH(SUBSTITUTE(AD$3,"Q","T"),Inputs!$B$2:$AZ$2,0)),Inputs!$B$2:$B$190,$B90)*Inputs!$D$1),"",SUMIFS(INDEX(Inputs!$B$2:$AZ$190,,MATCH(SUBSTITUTE(AD$3,"Q","T"),Inputs!$B$2:$AZ$2,0)),Inputs!$B$2:$B$190,$B90)*Inputs!$D$1)</f>
        <v>0</v>
      </c>
      <c r="AE90" s="57">
        <f>IF(ISNA(SUMIFS(INDEX(Inputs!$B$2:$AZ$190,,MATCH(SUBSTITUTE(AE$3,"Q","T"),Inputs!$B$2:$AZ$2,0)),Inputs!$B$2:$B$190,$B90)*Inputs!$D$1),"",SUMIFS(INDEX(Inputs!$B$2:$AZ$190,,MATCH(SUBSTITUTE(AE$3,"Q","T"),Inputs!$B$2:$AZ$2,0)),Inputs!$B$2:$B$190,$B90)*Inputs!$D$1)</f>
        <v>0</v>
      </c>
      <c r="AF90" s="57">
        <f>IF(ISNA(SUMIFS(INDEX(Inputs!$B$2:$AZ$190,,MATCH(SUBSTITUTE(AF$3,"Q","T"),Inputs!$B$2:$AZ$2,0)),Inputs!$B$2:$B$190,$B90)*Inputs!$D$1),"",SUMIFS(INDEX(Inputs!$B$2:$AZ$190,,MATCH(SUBSTITUTE(AF$3,"Q","T"),Inputs!$B$2:$AZ$2,0)),Inputs!$B$2:$B$190,$B90)*Inputs!$D$1)</f>
        <v>0</v>
      </c>
      <c r="AG90" s="57">
        <f>IF(ISNA(SUMIFS(INDEX(Inputs!$B$2:$AZ$190,,MATCH(SUBSTITUTE(AG$3,"Q","T"),Inputs!$B$2:$AZ$2,0)),Inputs!$B$2:$B$190,$B90)*Inputs!$D$1),"",SUMIFS(INDEX(Inputs!$B$2:$AZ$190,,MATCH(SUBSTITUTE(AG$3,"Q","T"),Inputs!$B$2:$AZ$2,0)),Inputs!$B$2:$B$190,$B90)*Inputs!$D$1)</f>
        <v>0</v>
      </c>
      <c r="AH90" s="58">
        <f>SUM(AD90:AG90)</f>
        <v>0</v>
      </c>
      <c r="AI90" s="57">
        <f>IF(ISNA(SUMIFS(INDEX(Inputs!$B$2:$AZ$190,,MATCH(SUBSTITUTE(AI$3,"Q","T"),Inputs!$B$2:$AZ$2,0)),Inputs!$B$2:$B$190,$B90)*Inputs!$D$1),"",SUMIFS(INDEX(Inputs!$B$2:$AZ$190,,MATCH(SUBSTITUTE(AI$3,"Q","T"),Inputs!$B$2:$AZ$2,0)),Inputs!$B$2:$B$190,$B90)*Inputs!$D$1)</f>
        <v>0</v>
      </c>
      <c r="AJ90" s="57">
        <f>IF(ISNA(SUMIFS(INDEX(Inputs!$B$2:$AZ$190,,MATCH(SUBSTITUTE(AJ$3,"Q","T"),Inputs!$B$2:$AZ$2,0)),Inputs!$B$2:$B$190,$B90)*Inputs!$D$1),"",SUMIFS(INDEX(Inputs!$B$2:$AZ$190,,MATCH(SUBSTITUTE(AJ$3,"Q","T"),Inputs!$B$2:$AZ$2,0)),Inputs!$B$2:$B$190,$B90)*Inputs!$D$1)</f>
        <v>0</v>
      </c>
      <c r="AK90" s="57">
        <f>IF(ISNA(SUMIFS(INDEX(Inputs!$B$2:$AZ$190,,MATCH(SUBSTITUTE(AK$3,"Q","T"),Inputs!$B$2:$AZ$2,0)),Inputs!$B$2:$B$190,$B90)*Inputs!$D$1),"",SUMIFS(INDEX(Inputs!$B$2:$AZ$190,,MATCH(SUBSTITUTE(AK$3,"Q","T"),Inputs!$B$2:$AZ$2,0)),Inputs!$B$2:$B$190,$B90)*Inputs!$D$1)</f>
        <v>0</v>
      </c>
      <c r="AL90" s="57">
        <f>IF(ISNA(SUMIFS(INDEX(Inputs!$B$2:$AZ$190,,MATCH(SUBSTITUTE(AL$3,"Q","T"),Inputs!$B$2:$AZ$2,0)),Inputs!$B$2:$B$190,$B90)*Inputs!$D$1),"",SUMIFS(INDEX(Inputs!$B$2:$AZ$190,,MATCH(SUBSTITUTE(AL$3,"Q","T"),Inputs!$B$2:$AZ$2,0)),Inputs!$B$2:$B$190,$B90)*Inputs!$D$1)</f>
        <v>0</v>
      </c>
      <c r="AM90" s="58">
        <f>SUM(AI90:AL90)</f>
        <v>0</v>
      </c>
      <c r="AN90" s="57">
        <f>IF(ISNA(SUMIFS(INDEX(Inputs!$B$2:$AZ$190,,MATCH(SUBSTITUTE(AN$3,"Q","T"),Inputs!$B$2:$AZ$2,0)),Inputs!$B$2:$B$190,$B90)*Inputs!$D$1),"",SUMIFS(INDEX(Inputs!$B$2:$AZ$190,,MATCH(SUBSTITUTE(AN$3,"Q","T"),Inputs!$B$2:$AZ$2,0)),Inputs!$B$2:$B$190,$B90)*Inputs!$D$1)</f>
        <v>0</v>
      </c>
      <c r="AO90" s="57">
        <f>IF(ISNA(SUMIFS(INDEX(Inputs!$B$2:$AZ$190,,MATCH(SUBSTITUTE(AO$3,"Q","T"),Inputs!$B$2:$AZ$2,0)),Inputs!$B$2:$B$190,$B90)*Inputs!$D$1),"",SUMIFS(INDEX(Inputs!$B$2:$AZ$190,,MATCH(SUBSTITUTE(AO$3,"Q","T"),Inputs!$B$2:$AZ$2,0)),Inputs!$B$2:$B$190,$B90)*Inputs!$D$1)</f>
        <v>0</v>
      </c>
      <c r="AP90" s="57">
        <f>IF(ISNA(SUMIFS(INDEX(Inputs!$B$2:$AZ$190,,MATCH(SUBSTITUTE(AP$3,"Q","T"),Inputs!$B$2:$AZ$2,0)),Inputs!$B$2:$B$190,$B90)*Inputs!$D$1),"",SUMIFS(INDEX(Inputs!$B$2:$AZ$190,,MATCH(SUBSTITUTE(AP$3,"Q","T"),Inputs!$B$2:$AZ$2,0)),Inputs!$B$2:$B$190,$B90)*Inputs!$D$1)</f>
        <v>0</v>
      </c>
      <c r="AQ90" s="57">
        <f>IF(ISNA(SUMIFS(INDEX(Inputs!$B$2:$AZ$190,,MATCH(SUBSTITUTE(AQ$3,"Q","T"),Inputs!$B$2:$AZ$2,0)),Inputs!$B$2:$B$190,$B90)*Inputs!$D$1),"",SUMIFS(INDEX(Inputs!$B$2:$AZ$190,,MATCH(SUBSTITUTE(AQ$3,"Q","T"),Inputs!$B$2:$AZ$2,0)),Inputs!$B$2:$B$190,$B90)*Inputs!$D$1)</f>
        <v>0</v>
      </c>
      <c r="AR90" s="58">
        <f>SUM(AN90:AQ90)</f>
        <v>0</v>
      </c>
      <c r="AS90" s="57">
        <f>IF(ISNA(SUMIFS(INDEX(Inputs!$B$2:$AZ$190,,MATCH(SUBSTITUTE(AS$3,"Q","T"),Inputs!$B$2:$AZ$2,0)),Inputs!$B$2:$B$190,$B90)*Inputs!$D$1),"",SUMIFS(INDEX(Inputs!$B$2:$AZ$190,,MATCH(SUBSTITUTE(AS$3,"Q","T"),Inputs!$B$2:$AZ$2,0)),Inputs!$B$2:$B$190,$B90)*Inputs!$D$1)</f>
        <v>0</v>
      </c>
      <c r="AT90" s="57">
        <f>IF(ISNA(SUMIFS(INDEX(Inputs!$B$2:$AZ$190,,MATCH(SUBSTITUTE(AT$3,"Q","T"),Inputs!$B$2:$AZ$2,0)),Inputs!$B$2:$B$190,$B90)*Inputs!$D$1),"",SUMIFS(INDEX(Inputs!$B$2:$AZ$190,,MATCH(SUBSTITUTE(AT$3,"Q","T"),Inputs!$B$2:$AZ$2,0)),Inputs!$B$2:$B$190,$B90)*Inputs!$D$1)</f>
        <v>0</v>
      </c>
      <c r="AU90" s="57">
        <f>IF(ISNA(SUMIFS(INDEX(Inputs!$B$2:$AZ$190,,MATCH(SUBSTITUTE(AU$3,"Q","T"),Inputs!$B$2:$AZ$2,0)),Inputs!$B$2:$B$190,$B90)*Inputs!$D$1),"",SUMIFS(INDEX(Inputs!$B$2:$AZ$190,,MATCH(SUBSTITUTE(AU$3,"Q","T"),Inputs!$B$2:$AZ$2,0)),Inputs!$B$2:$B$190,$B90)*Inputs!$D$1)</f>
        <v>0</v>
      </c>
      <c r="AV90" s="57">
        <f>IF(ISNA(SUMIFS(INDEX(Inputs!$B$2:$AZ$190,,MATCH(SUBSTITUTE(AV$3,"Q","T"),Inputs!$B$2:$AZ$2,0)),Inputs!$B$2:$B$190,$B90)*Inputs!$D$1),"",SUMIFS(INDEX(Inputs!$B$2:$AZ$190,,MATCH(SUBSTITUTE(AV$3,"Q","T"),Inputs!$B$2:$AZ$2,0)),Inputs!$B$2:$B$190,$B90)*Inputs!$D$1)</f>
        <v>0</v>
      </c>
      <c r="AW90" s="58">
        <f>SUM(AS90:AV90)</f>
        <v>0</v>
      </c>
      <c r="AX90" s="57">
        <f>IF(ISNA(SUMIFS(INDEX(Inputs!$B$2:$AZ$190,,MATCH(SUBSTITUTE(AX$3,"Q","T"),Inputs!$B$2:$AZ$2,0)),Inputs!$B$2:$B$190,$B90)*Inputs!$D$1),"",SUMIFS(INDEX(Inputs!$B$2:$AZ$190,,MATCH(SUBSTITUTE(AX$3,"Q","T"),Inputs!$B$2:$AZ$2,0)),Inputs!$B$2:$B$190,$B90)*Inputs!$D$1)</f>
        <v>0</v>
      </c>
      <c r="AY90" s="57">
        <f>IF(ISNA(SUMIFS(INDEX(Inputs!$B$2:$AZ$190,,MATCH(SUBSTITUTE(AY$3,"Q","T"),Inputs!$B$2:$AZ$2,0)),Inputs!$B$2:$B$190,$B90)*Inputs!$D$1),"",SUMIFS(INDEX(Inputs!$B$2:$AZ$190,,MATCH(SUBSTITUTE(AY$3,"Q","T"),Inputs!$B$2:$AZ$2,0)),Inputs!$B$2:$B$190,$B90)*Inputs!$D$1)</f>
        <v>0</v>
      </c>
      <c r="AZ90" s="57">
        <f>IF(ISNA(SUMIFS(INDEX(Inputs!$B$2:$AZ$190,,MATCH(SUBSTITUTE(AZ$3,"Q","T"),Inputs!$B$2:$AZ$2,0)),Inputs!$B$2:$B$190,$B90)*Inputs!$D$1),"",SUMIFS(INDEX(Inputs!$B$2:$AZ$190,,MATCH(SUBSTITUTE(AZ$3,"Q","T"),Inputs!$B$2:$AZ$2,0)),Inputs!$B$2:$B$190,$B90)*Inputs!$D$1)</f>
        <v>0</v>
      </c>
      <c r="BA90" s="57">
        <f>IF(ISNA(SUMIFS(INDEX(Inputs!$B$2:$AZ$190,,MATCH(SUBSTITUTE(BA$3,"Q","T"),Inputs!$B$2:$AZ$2,0)),Inputs!$B$2:$B$190,$B90)*Inputs!$D$1),"",SUMIFS(INDEX(Inputs!$B$2:$AZ$190,,MATCH(SUBSTITUTE(BA$3,"Q","T"),Inputs!$B$2:$AZ$2,0)),Inputs!$B$2:$B$190,$B90)*Inputs!$D$1)</f>
        <v>0</v>
      </c>
      <c r="BB90" s="58">
        <f>SUM(AX90:BA90)</f>
        <v>0</v>
      </c>
      <c r="BC90" s="57">
        <f>IF(ISNA(SUMIFS(INDEX(Inputs!$B$2:$AZ$190,,MATCH(SUBSTITUTE(BC$3,"Q","T"),Inputs!$B$2:$AZ$2,0)),Inputs!$B$2:$B$190,$B90)*Inputs!$D$1),"",SUMIFS(INDEX(Inputs!$B$2:$AZ$190,,MATCH(SUBSTITUTE(BC$3,"Q","T"),Inputs!$B$2:$AZ$2,0)),Inputs!$B$2:$B$190,$B90)*Inputs!$D$1)</f>
        <v>0</v>
      </c>
      <c r="BD90" s="57">
        <f>IF(ISNA(SUMIFS(INDEX(Inputs!$B$2:$AZ$190,,MATCH(SUBSTITUTE(BD$3,"Q","T"),Inputs!$B$2:$AZ$2,0)),Inputs!$B$2:$B$190,$B90)*Inputs!$D$1),"",SUMIFS(INDEX(Inputs!$B$2:$AZ$190,,MATCH(SUBSTITUTE(BD$3,"Q","T"),Inputs!$B$2:$AZ$2,0)),Inputs!$B$2:$B$190,$B90)*Inputs!$D$1)</f>
        <v>0</v>
      </c>
      <c r="BE90" s="57">
        <f>IF(ISNA(SUMIFS(INDEX(Inputs!$B$2:$AZ$190,,MATCH(SUBSTITUTE(BE$3,"Q","T"),Inputs!$B$2:$AZ$2,0)),Inputs!$B$2:$B$190,$B90)*Inputs!$D$1),"",SUMIFS(INDEX(Inputs!$B$2:$AZ$190,,MATCH(SUBSTITUTE(BE$3,"Q","T"),Inputs!$B$2:$AZ$2,0)),Inputs!$B$2:$B$190,$B90)*Inputs!$D$1)</f>
        <v>0</v>
      </c>
      <c r="BF90" s="57">
        <f>IF(ISNA(SUMIFS(INDEX(Inputs!$B$2:$AZ$190,,MATCH(SUBSTITUTE(BF$3,"Q","T"),Inputs!$B$2:$AZ$2,0)),Inputs!$B$2:$B$190,$B90)*Inputs!$D$1),"",SUMIFS(INDEX(Inputs!$B$2:$AZ$190,,MATCH(SUBSTITUTE(BF$3,"Q","T"),Inputs!$B$2:$AZ$2,0)),Inputs!$B$2:$B$190,$B90)*Inputs!$D$1)</f>
        <v>0</v>
      </c>
      <c r="BG90" s="58">
        <f>SUM(BC90:BF90)</f>
        <v>0</v>
      </c>
    </row>
    <row r="91" hidden="1" outlineLevel="1">
      <c r="C91" s="63" t="inlineStr">
        <is>
          <t>(Provisões jurídicas e outras, quando à parte)</t>
        </is>
      </c>
      <c r="D91" s="64" t="inlineStr">
        <is>
          <t>(Legal and other provisions)</t>
        </is>
      </c>
      <c r="E91" s="59">
        <f>IFERROR(E92+E93+E94,"")</f>
        <v>0</v>
      </c>
      <c r="F91" s="59">
        <f>IFERROR(F92+F93+F94,"")</f>
        <v>0</v>
      </c>
      <c r="G91" s="59">
        <f>IFERROR(G92+G93+G94,"")</f>
        <v>0</v>
      </c>
      <c r="H91" s="59">
        <f>IFERROR(H92+H93+H94,"")</f>
        <v>0</v>
      </c>
      <c r="I91" s="60">
        <f>SUM(E91:H91)</f>
        <v>0</v>
      </c>
      <c r="J91" s="59">
        <f>IFERROR(J92+J93+J94,"")</f>
        <v>0</v>
      </c>
      <c r="K91" s="59">
        <f>IFERROR(K92+K93+K94,"")</f>
        <v>0</v>
      </c>
      <c r="L91" s="59">
        <f>IFERROR(L92+L93+L94,"")</f>
        <v>0</v>
      </c>
      <c r="M91" s="59">
        <f>IFERROR(M92+M93+M94,"")</f>
        <v>0</v>
      </c>
      <c r="N91" s="60">
        <f>SUM(J91:M91)</f>
        <v>0</v>
      </c>
      <c r="O91" s="59">
        <f>IFERROR(O92+O93+O94,"")</f>
        <v>0</v>
      </c>
      <c r="P91" s="59">
        <f>IFERROR(P92+P93+P94,"")</f>
        <v>0</v>
      </c>
      <c r="Q91" s="59">
        <f>IFERROR(Q92+Q93+Q94,"")</f>
        <v>0</v>
      </c>
      <c r="R91" s="59">
        <f>IFERROR(R92+R93+R94,"")</f>
        <v>0</v>
      </c>
      <c r="S91" s="60">
        <f>SUM(O91:R91)</f>
        <v>0</v>
      </c>
      <c r="T91" s="59">
        <f>IFERROR(T92+T93+T94,"")</f>
        <v>0</v>
      </c>
      <c r="U91" s="59">
        <f>IFERROR(U92+U93+U94,"")</f>
        <v>0</v>
      </c>
      <c r="V91" s="59">
        <f>IFERROR(V92+V93+V94,"")</f>
        <v>0</v>
      </c>
      <c r="W91" s="59">
        <f>IFERROR(W92+W93+W94,"")</f>
        <v>0</v>
      </c>
      <c r="X91" s="60">
        <f>SUM(T91:W91)</f>
        <v>0</v>
      </c>
      <c r="Y91" s="59">
        <f>IFERROR(Y92+Y93+Y94,"")</f>
        <v>0</v>
      </c>
      <c r="Z91" s="59">
        <f>IFERROR(Z92+Z93+Z94,"")</f>
        <v>0</v>
      </c>
      <c r="AA91" s="59">
        <f>IFERROR(AA92+AA93+AA94,"")</f>
        <v>0</v>
      </c>
      <c r="AB91" s="59">
        <f>IFERROR(AB92+AB93+AB94,"")</f>
        <v>0</v>
      </c>
      <c r="AC91" s="60">
        <f>SUM(Y91:AB91)</f>
        <v>0</v>
      </c>
      <c r="AD91" s="59">
        <f>IFERROR(AD92+AD93+AD94,"")</f>
        <v>0</v>
      </c>
      <c r="AE91" s="59">
        <f>IFERROR(AE92+AE93+AE94,"")</f>
        <v>0</v>
      </c>
      <c r="AF91" s="59">
        <f>IFERROR(AF92+AF93+AF94,"")</f>
        <v>0</v>
      </c>
      <c r="AG91" s="59">
        <f>IFERROR(AG92+AG93+AG94,"")</f>
        <v>0</v>
      </c>
      <c r="AH91" s="60">
        <f>SUM(AD91:AG91)</f>
        <v>0</v>
      </c>
      <c r="AI91" s="59">
        <f>IFERROR(AI92+AI93+AI94,"")</f>
        <v>0</v>
      </c>
      <c r="AJ91" s="59">
        <f>IFERROR(AJ92+AJ93+AJ94,"")</f>
        <v>0</v>
      </c>
      <c r="AK91" s="59">
        <f>IFERROR(AK92+AK93+AK94,"")</f>
        <v>0</v>
      </c>
      <c r="AL91" s="59">
        <f>IFERROR(AL92+AL93+AL94,"")</f>
        <v>0</v>
      </c>
      <c r="AM91" s="60">
        <f>SUM(AI91:AL91)</f>
        <v>0</v>
      </c>
      <c r="AN91" s="59">
        <f>IFERROR(AN92+AN93+AN94,"")</f>
        <v>0</v>
      </c>
      <c r="AO91" s="59">
        <f>IFERROR(AO92+AO93+AO94,"")</f>
        <v>0</v>
      </c>
      <c r="AP91" s="59">
        <f>IFERROR(AP92+AP93+AP94,"")</f>
        <v>0</v>
      </c>
      <c r="AQ91" s="59">
        <f>IFERROR(AQ92+AQ93+AQ94,"")</f>
        <v>0</v>
      </c>
      <c r="AR91" s="60">
        <f>SUM(AN91:AQ91)</f>
        <v>0</v>
      </c>
      <c r="AS91" s="59">
        <f>IFERROR(AS92+AS93+AS94,"")</f>
        <v>0</v>
      </c>
      <c r="AT91" s="59">
        <f>IFERROR(AT92+AT93+AT94,"")</f>
        <v>0</v>
      </c>
      <c r="AU91" s="59">
        <f>IFERROR(AU92+AU93+AU94,"")</f>
        <v>0</v>
      </c>
      <c r="AV91" s="59">
        <f>IFERROR(AV92+AV93+AV94,"")</f>
        <v>0</v>
      </c>
      <c r="AW91" s="60">
        <f>SUM(AS91:AV91)</f>
        <v>0</v>
      </c>
      <c r="AX91" s="59">
        <f>IFERROR(AX92+AX93+AX94,"")</f>
        <v>0</v>
      </c>
      <c r="AY91" s="59">
        <f>IFERROR(AY92+AY93+AY94,"")</f>
        <v>0</v>
      </c>
      <c r="AZ91" s="59">
        <f>IFERROR(AZ92+AZ93+AZ94,"")</f>
        <v>0</v>
      </c>
      <c r="BA91" s="59">
        <f>IFERROR(BA92+BA93+BA94,"")</f>
        <v>0</v>
      </c>
      <c r="BB91" s="60">
        <f>SUM(AX91:BA91)</f>
        <v>0</v>
      </c>
      <c r="BC91" s="59">
        <f>IFERROR(BC92+BC93+BC94,"")</f>
        <v>0</v>
      </c>
      <c r="BD91" s="59">
        <f>IFERROR(BD92+BD93+BD94,"")</f>
        <v>0</v>
      </c>
      <c r="BE91" s="59">
        <f>IFERROR(BE92+BE93+BE94,"")</f>
        <v>0</v>
      </c>
      <c r="BF91" s="59">
        <f>IFERROR(BF92+BF93+BF94,"")</f>
        <v>0</v>
      </c>
      <c r="BG91" s="60">
        <f>SUM(BC91:BF91)</f>
        <v>0</v>
      </c>
    </row>
    <row r="92" hidden="1" outlineLevel="2">
      <c r="B92" s="56" t="inlineStr">
        <is>
          <t>legal</t>
        </is>
      </c>
      <c r="C92" s="65" t="inlineStr">
        <is>
          <t>(Despesas jurídicas, quando à parte)</t>
        </is>
      </c>
      <c r="D92" s="66" t="inlineStr">
        <is>
          <t>(Legal expense, if separate)</t>
        </is>
      </c>
      <c r="E92" s="57">
        <f>IF(ISNA(SUMIFS(INDEX(Inputs!$B$2:$AZ$190,,MATCH(SUBSTITUTE(E$3,"Q","T"),Inputs!$B$2:$AZ$2,0)),Inputs!$B$2:$B$190,$B92)*Inputs!$D$1),"",SUMIFS(INDEX(Inputs!$B$2:$AZ$190,,MATCH(SUBSTITUTE(E$3,"Q","T"),Inputs!$B$2:$AZ$2,0)),Inputs!$B$2:$B$190,$B92)*Inputs!$D$1)</f>
        <v>0</v>
      </c>
      <c r="F92" s="57">
        <f>IF(ISNA(SUMIFS(INDEX(Inputs!$B$2:$AZ$190,,MATCH(SUBSTITUTE(F$3,"Q","T"),Inputs!$B$2:$AZ$2,0)),Inputs!$B$2:$B$190,$B92)*Inputs!$D$1),"",SUMIFS(INDEX(Inputs!$B$2:$AZ$190,,MATCH(SUBSTITUTE(F$3,"Q","T"),Inputs!$B$2:$AZ$2,0)),Inputs!$B$2:$B$190,$B92)*Inputs!$D$1)</f>
        <v>0</v>
      </c>
      <c r="G92" s="57">
        <f>IF(ISNA(SUMIFS(INDEX(Inputs!$B$2:$AZ$190,,MATCH(SUBSTITUTE(G$3,"Q","T"),Inputs!$B$2:$AZ$2,0)),Inputs!$B$2:$B$190,$B92)*Inputs!$D$1),"",SUMIFS(INDEX(Inputs!$B$2:$AZ$190,,MATCH(SUBSTITUTE(G$3,"Q","T"),Inputs!$B$2:$AZ$2,0)),Inputs!$B$2:$B$190,$B92)*Inputs!$D$1)</f>
        <v>0</v>
      </c>
      <c r="H92" s="57">
        <f>IF(ISNA(SUMIFS(INDEX(Inputs!$B$2:$AZ$190,,MATCH(SUBSTITUTE(H$3,"Q","T"),Inputs!$B$2:$AZ$2,0)),Inputs!$B$2:$B$190,$B92)*Inputs!$D$1),"",SUMIFS(INDEX(Inputs!$B$2:$AZ$190,,MATCH(SUBSTITUTE(H$3,"Q","T"),Inputs!$B$2:$AZ$2,0)),Inputs!$B$2:$B$190,$B92)*Inputs!$D$1)</f>
        <v>0</v>
      </c>
      <c r="I92" s="58">
        <f>SUM(E92:H92)</f>
        <v>0</v>
      </c>
      <c r="J92" s="57">
        <f>IF(ISNA(SUMIFS(INDEX(Inputs!$B$2:$AZ$190,,MATCH(SUBSTITUTE(J$3,"Q","T"),Inputs!$B$2:$AZ$2,0)),Inputs!$B$2:$B$190,$B92)*Inputs!$D$1),"",SUMIFS(INDEX(Inputs!$B$2:$AZ$190,,MATCH(SUBSTITUTE(J$3,"Q","T"),Inputs!$B$2:$AZ$2,0)),Inputs!$B$2:$B$190,$B92)*Inputs!$D$1)</f>
        <v>0</v>
      </c>
      <c r="K92" s="57">
        <f>IF(ISNA(SUMIFS(INDEX(Inputs!$B$2:$AZ$190,,MATCH(SUBSTITUTE(K$3,"Q","T"),Inputs!$B$2:$AZ$2,0)),Inputs!$B$2:$B$190,$B92)*Inputs!$D$1),"",SUMIFS(INDEX(Inputs!$B$2:$AZ$190,,MATCH(SUBSTITUTE(K$3,"Q","T"),Inputs!$B$2:$AZ$2,0)),Inputs!$B$2:$B$190,$B92)*Inputs!$D$1)</f>
        <v>0</v>
      </c>
      <c r="L92" s="57">
        <f>IF(ISNA(SUMIFS(INDEX(Inputs!$B$2:$AZ$190,,MATCH(SUBSTITUTE(L$3,"Q","T"),Inputs!$B$2:$AZ$2,0)),Inputs!$B$2:$B$190,$B92)*Inputs!$D$1),"",SUMIFS(INDEX(Inputs!$B$2:$AZ$190,,MATCH(SUBSTITUTE(L$3,"Q","T"),Inputs!$B$2:$AZ$2,0)),Inputs!$B$2:$B$190,$B92)*Inputs!$D$1)</f>
        <v>0</v>
      </c>
      <c r="M92" s="57">
        <f>IF(ISNA(SUMIFS(INDEX(Inputs!$B$2:$AZ$190,,MATCH(SUBSTITUTE(M$3,"Q","T"),Inputs!$B$2:$AZ$2,0)),Inputs!$B$2:$B$190,$B92)*Inputs!$D$1),"",SUMIFS(INDEX(Inputs!$B$2:$AZ$190,,MATCH(SUBSTITUTE(M$3,"Q","T"),Inputs!$B$2:$AZ$2,0)),Inputs!$B$2:$B$190,$B92)*Inputs!$D$1)</f>
        <v>0</v>
      </c>
      <c r="N92" s="58">
        <f>SUM(J92:M92)</f>
        <v>0</v>
      </c>
      <c r="O92" s="57">
        <f>IF(ISNA(SUMIFS(INDEX(Inputs!$B$2:$AZ$190,,MATCH(SUBSTITUTE(O$3,"Q","T"),Inputs!$B$2:$AZ$2,0)),Inputs!$B$2:$B$190,$B92)*Inputs!$D$1),"",SUMIFS(INDEX(Inputs!$B$2:$AZ$190,,MATCH(SUBSTITUTE(O$3,"Q","T"),Inputs!$B$2:$AZ$2,0)),Inputs!$B$2:$B$190,$B92)*Inputs!$D$1)</f>
        <v>0</v>
      </c>
      <c r="P92" s="57">
        <f>IF(ISNA(SUMIFS(INDEX(Inputs!$B$2:$AZ$190,,MATCH(SUBSTITUTE(P$3,"Q","T"),Inputs!$B$2:$AZ$2,0)),Inputs!$B$2:$B$190,$B92)*Inputs!$D$1),"",SUMIFS(INDEX(Inputs!$B$2:$AZ$190,,MATCH(SUBSTITUTE(P$3,"Q","T"),Inputs!$B$2:$AZ$2,0)),Inputs!$B$2:$B$190,$B92)*Inputs!$D$1)</f>
        <v>0</v>
      </c>
      <c r="Q92" s="57">
        <f>IF(ISNA(SUMIFS(INDEX(Inputs!$B$2:$AZ$190,,MATCH(SUBSTITUTE(Q$3,"Q","T"),Inputs!$B$2:$AZ$2,0)),Inputs!$B$2:$B$190,$B92)*Inputs!$D$1),"",SUMIFS(INDEX(Inputs!$B$2:$AZ$190,,MATCH(SUBSTITUTE(Q$3,"Q","T"),Inputs!$B$2:$AZ$2,0)),Inputs!$B$2:$B$190,$B92)*Inputs!$D$1)</f>
        <v>0</v>
      </c>
      <c r="R92" s="57">
        <f>IF(ISNA(SUMIFS(INDEX(Inputs!$B$2:$AZ$190,,MATCH(SUBSTITUTE(R$3,"Q","T"),Inputs!$B$2:$AZ$2,0)),Inputs!$B$2:$B$190,$B92)*Inputs!$D$1),"",SUMIFS(INDEX(Inputs!$B$2:$AZ$190,,MATCH(SUBSTITUTE(R$3,"Q","T"),Inputs!$B$2:$AZ$2,0)),Inputs!$B$2:$B$190,$B92)*Inputs!$D$1)</f>
        <v>0</v>
      </c>
      <c r="S92" s="58">
        <f>SUM(O92:R92)</f>
        <v>0</v>
      </c>
      <c r="T92" s="57">
        <f>IF(ISNA(SUMIFS(INDEX(Inputs!$B$2:$AZ$190,,MATCH(SUBSTITUTE(T$3,"Q","T"),Inputs!$B$2:$AZ$2,0)),Inputs!$B$2:$B$190,$B92)*Inputs!$D$1),"",SUMIFS(INDEX(Inputs!$B$2:$AZ$190,,MATCH(SUBSTITUTE(T$3,"Q","T"),Inputs!$B$2:$AZ$2,0)),Inputs!$B$2:$B$190,$B92)*Inputs!$D$1)</f>
        <v>0</v>
      </c>
      <c r="U92" s="57">
        <f>IF(ISNA(SUMIFS(INDEX(Inputs!$B$2:$AZ$190,,MATCH(SUBSTITUTE(U$3,"Q","T"),Inputs!$B$2:$AZ$2,0)),Inputs!$B$2:$B$190,$B92)*Inputs!$D$1),"",SUMIFS(INDEX(Inputs!$B$2:$AZ$190,,MATCH(SUBSTITUTE(U$3,"Q","T"),Inputs!$B$2:$AZ$2,0)),Inputs!$B$2:$B$190,$B92)*Inputs!$D$1)</f>
        <v>0</v>
      </c>
      <c r="V92" s="57">
        <f>IF(ISNA(SUMIFS(INDEX(Inputs!$B$2:$AZ$190,,MATCH(SUBSTITUTE(V$3,"Q","T"),Inputs!$B$2:$AZ$2,0)),Inputs!$B$2:$B$190,$B92)*Inputs!$D$1),"",SUMIFS(INDEX(Inputs!$B$2:$AZ$190,,MATCH(SUBSTITUTE(V$3,"Q","T"),Inputs!$B$2:$AZ$2,0)),Inputs!$B$2:$B$190,$B92)*Inputs!$D$1)</f>
        <v>0</v>
      </c>
      <c r="W92" s="57">
        <f>IF(ISNA(SUMIFS(INDEX(Inputs!$B$2:$AZ$190,,MATCH(SUBSTITUTE(W$3,"Q","T"),Inputs!$B$2:$AZ$2,0)),Inputs!$B$2:$B$190,$B92)*Inputs!$D$1),"",SUMIFS(INDEX(Inputs!$B$2:$AZ$190,,MATCH(SUBSTITUTE(W$3,"Q","T"),Inputs!$B$2:$AZ$2,0)),Inputs!$B$2:$B$190,$B92)*Inputs!$D$1)</f>
        <v>0</v>
      </c>
      <c r="X92" s="58">
        <f>SUM(T92:W92)</f>
        <v>0</v>
      </c>
      <c r="Y92" s="57">
        <f>IF(ISNA(SUMIFS(INDEX(Inputs!$B$2:$AZ$190,,MATCH(SUBSTITUTE(Y$3,"Q","T"),Inputs!$B$2:$AZ$2,0)),Inputs!$B$2:$B$190,$B92)*Inputs!$D$1),"",SUMIFS(INDEX(Inputs!$B$2:$AZ$190,,MATCH(SUBSTITUTE(Y$3,"Q","T"),Inputs!$B$2:$AZ$2,0)),Inputs!$B$2:$B$190,$B92)*Inputs!$D$1)</f>
        <v>0</v>
      </c>
      <c r="Z92" s="57">
        <f>IF(ISNA(SUMIFS(INDEX(Inputs!$B$2:$AZ$190,,MATCH(SUBSTITUTE(Z$3,"Q","T"),Inputs!$B$2:$AZ$2,0)),Inputs!$B$2:$B$190,$B92)*Inputs!$D$1),"",SUMIFS(INDEX(Inputs!$B$2:$AZ$190,,MATCH(SUBSTITUTE(Z$3,"Q","T"),Inputs!$B$2:$AZ$2,0)),Inputs!$B$2:$B$190,$B92)*Inputs!$D$1)</f>
        <v>0</v>
      </c>
      <c r="AA92" s="57">
        <f>IF(ISNA(SUMIFS(INDEX(Inputs!$B$2:$AZ$190,,MATCH(SUBSTITUTE(AA$3,"Q","T"),Inputs!$B$2:$AZ$2,0)),Inputs!$B$2:$B$190,$B92)*Inputs!$D$1),"",SUMIFS(INDEX(Inputs!$B$2:$AZ$190,,MATCH(SUBSTITUTE(AA$3,"Q","T"),Inputs!$B$2:$AZ$2,0)),Inputs!$B$2:$B$190,$B92)*Inputs!$D$1)</f>
        <v>0</v>
      </c>
      <c r="AB92" s="57">
        <f>IF(ISNA(SUMIFS(INDEX(Inputs!$B$2:$AZ$190,,MATCH(SUBSTITUTE(AB$3,"Q","T"),Inputs!$B$2:$AZ$2,0)),Inputs!$B$2:$B$190,$B92)*Inputs!$D$1),"",SUMIFS(INDEX(Inputs!$B$2:$AZ$190,,MATCH(SUBSTITUTE(AB$3,"Q","T"),Inputs!$B$2:$AZ$2,0)),Inputs!$B$2:$B$190,$B92)*Inputs!$D$1)</f>
        <v>0</v>
      </c>
      <c r="AC92" s="58">
        <f>SUM(Y92:AB92)</f>
        <v>0</v>
      </c>
      <c r="AD92" s="57">
        <f>IF(ISNA(SUMIFS(INDEX(Inputs!$B$2:$AZ$190,,MATCH(SUBSTITUTE(AD$3,"Q","T"),Inputs!$B$2:$AZ$2,0)),Inputs!$B$2:$B$190,$B92)*Inputs!$D$1),"",SUMIFS(INDEX(Inputs!$B$2:$AZ$190,,MATCH(SUBSTITUTE(AD$3,"Q","T"),Inputs!$B$2:$AZ$2,0)),Inputs!$B$2:$B$190,$B92)*Inputs!$D$1)</f>
        <v>0</v>
      </c>
      <c r="AE92" s="57">
        <f>IF(ISNA(SUMIFS(INDEX(Inputs!$B$2:$AZ$190,,MATCH(SUBSTITUTE(AE$3,"Q","T"),Inputs!$B$2:$AZ$2,0)),Inputs!$B$2:$B$190,$B92)*Inputs!$D$1),"",SUMIFS(INDEX(Inputs!$B$2:$AZ$190,,MATCH(SUBSTITUTE(AE$3,"Q","T"),Inputs!$B$2:$AZ$2,0)),Inputs!$B$2:$B$190,$B92)*Inputs!$D$1)</f>
        <v>0</v>
      </c>
      <c r="AF92" s="57">
        <f>IF(ISNA(SUMIFS(INDEX(Inputs!$B$2:$AZ$190,,MATCH(SUBSTITUTE(AF$3,"Q","T"),Inputs!$B$2:$AZ$2,0)),Inputs!$B$2:$B$190,$B92)*Inputs!$D$1),"",SUMIFS(INDEX(Inputs!$B$2:$AZ$190,,MATCH(SUBSTITUTE(AF$3,"Q","T"),Inputs!$B$2:$AZ$2,0)),Inputs!$B$2:$B$190,$B92)*Inputs!$D$1)</f>
        <v>0</v>
      </c>
      <c r="AG92" s="57">
        <f>IF(ISNA(SUMIFS(INDEX(Inputs!$B$2:$AZ$190,,MATCH(SUBSTITUTE(AG$3,"Q","T"),Inputs!$B$2:$AZ$2,0)),Inputs!$B$2:$B$190,$B92)*Inputs!$D$1),"",SUMIFS(INDEX(Inputs!$B$2:$AZ$190,,MATCH(SUBSTITUTE(AG$3,"Q","T"),Inputs!$B$2:$AZ$2,0)),Inputs!$B$2:$B$190,$B92)*Inputs!$D$1)</f>
        <v>0</v>
      </c>
      <c r="AH92" s="58">
        <f>SUM(AD92:AG92)</f>
        <v>0</v>
      </c>
      <c r="AI92" s="57">
        <f>IF(ISNA(SUMIFS(INDEX(Inputs!$B$2:$AZ$190,,MATCH(SUBSTITUTE(AI$3,"Q","T"),Inputs!$B$2:$AZ$2,0)),Inputs!$B$2:$B$190,$B92)*Inputs!$D$1),"",SUMIFS(INDEX(Inputs!$B$2:$AZ$190,,MATCH(SUBSTITUTE(AI$3,"Q","T"),Inputs!$B$2:$AZ$2,0)),Inputs!$B$2:$B$190,$B92)*Inputs!$D$1)</f>
        <v>0</v>
      </c>
      <c r="AJ92" s="57">
        <f>IF(ISNA(SUMIFS(INDEX(Inputs!$B$2:$AZ$190,,MATCH(SUBSTITUTE(AJ$3,"Q","T"),Inputs!$B$2:$AZ$2,0)),Inputs!$B$2:$B$190,$B92)*Inputs!$D$1),"",SUMIFS(INDEX(Inputs!$B$2:$AZ$190,,MATCH(SUBSTITUTE(AJ$3,"Q","T"),Inputs!$B$2:$AZ$2,0)),Inputs!$B$2:$B$190,$B92)*Inputs!$D$1)</f>
        <v>0</v>
      </c>
      <c r="AK92" s="57">
        <f>IF(ISNA(SUMIFS(INDEX(Inputs!$B$2:$AZ$190,,MATCH(SUBSTITUTE(AK$3,"Q","T"),Inputs!$B$2:$AZ$2,0)),Inputs!$B$2:$B$190,$B92)*Inputs!$D$1),"",SUMIFS(INDEX(Inputs!$B$2:$AZ$190,,MATCH(SUBSTITUTE(AK$3,"Q","T"),Inputs!$B$2:$AZ$2,0)),Inputs!$B$2:$B$190,$B92)*Inputs!$D$1)</f>
        <v>0</v>
      </c>
      <c r="AL92" s="57">
        <f>IF(ISNA(SUMIFS(INDEX(Inputs!$B$2:$AZ$190,,MATCH(SUBSTITUTE(AL$3,"Q","T"),Inputs!$B$2:$AZ$2,0)),Inputs!$B$2:$B$190,$B92)*Inputs!$D$1),"",SUMIFS(INDEX(Inputs!$B$2:$AZ$190,,MATCH(SUBSTITUTE(AL$3,"Q","T"),Inputs!$B$2:$AZ$2,0)),Inputs!$B$2:$B$190,$B92)*Inputs!$D$1)</f>
        <v>0</v>
      </c>
      <c r="AM92" s="58">
        <f>SUM(AI92:AL92)</f>
        <v>0</v>
      </c>
      <c r="AN92" s="57">
        <f>IF(ISNA(SUMIFS(INDEX(Inputs!$B$2:$AZ$190,,MATCH(SUBSTITUTE(AN$3,"Q","T"),Inputs!$B$2:$AZ$2,0)),Inputs!$B$2:$B$190,$B92)*Inputs!$D$1),"",SUMIFS(INDEX(Inputs!$B$2:$AZ$190,,MATCH(SUBSTITUTE(AN$3,"Q","T"),Inputs!$B$2:$AZ$2,0)),Inputs!$B$2:$B$190,$B92)*Inputs!$D$1)</f>
        <v>0</v>
      </c>
      <c r="AO92" s="57">
        <f>IF(ISNA(SUMIFS(INDEX(Inputs!$B$2:$AZ$190,,MATCH(SUBSTITUTE(AO$3,"Q","T"),Inputs!$B$2:$AZ$2,0)),Inputs!$B$2:$B$190,$B92)*Inputs!$D$1),"",SUMIFS(INDEX(Inputs!$B$2:$AZ$190,,MATCH(SUBSTITUTE(AO$3,"Q","T"),Inputs!$B$2:$AZ$2,0)),Inputs!$B$2:$B$190,$B92)*Inputs!$D$1)</f>
        <v>0</v>
      </c>
      <c r="AP92" s="57">
        <f>IF(ISNA(SUMIFS(INDEX(Inputs!$B$2:$AZ$190,,MATCH(SUBSTITUTE(AP$3,"Q","T"),Inputs!$B$2:$AZ$2,0)),Inputs!$B$2:$B$190,$B92)*Inputs!$D$1),"",SUMIFS(INDEX(Inputs!$B$2:$AZ$190,,MATCH(SUBSTITUTE(AP$3,"Q","T"),Inputs!$B$2:$AZ$2,0)),Inputs!$B$2:$B$190,$B92)*Inputs!$D$1)</f>
        <v>0</v>
      </c>
      <c r="AQ92" s="57">
        <f>IF(ISNA(SUMIFS(INDEX(Inputs!$B$2:$AZ$190,,MATCH(SUBSTITUTE(AQ$3,"Q","T"),Inputs!$B$2:$AZ$2,0)),Inputs!$B$2:$B$190,$B92)*Inputs!$D$1),"",SUMIFS(INDEX(Inputs!$B$2:$AZ$190,,MATCH(SUBSTITUTE(AQ$3,"Q","T"),Inputs!$B$2:$AZ$2,0)),Inputs!$B$2:$B$190,$B92)*Inputs!$D$1)</f>
        <v>0</v>
      </c>
      <c r="AR92" s="58">
        <f>SUM(AN92:AQ92)</f>
        <v>0</v>
      </c>
      <c r="AS92" s="57">
        <f>IF(ISNA(SUMIFS(INDEX(Inputs!$B$2:$AZ$190,,MATCH(SUBSTITUTE(AS$3,"Q","T"),Inputs!$B$2:$AZ$2,0)),Inputs!$B$2:$B$190,$B92)*Inputs!$D$1),"",SUMIFS(INDEX(Inputs!$B$2:$AZ$190,,MATCH(SUBSTITUTE(AS$3,"Q","T"),Inputs!$B$2:$AZ$2,0)),Inputs!$B$2:$B$190,$B92)*Inputs!$D$1)</f>
        <v>0</v>
      </c>
      <c r="AT92" s="57">
        <f>IF(ISNA(SUMIFS(INDEX(Inputs!$B$2:$AZ$190,,MATCH(SUBSTITUTE(AT$3,"Q","T"),Inputs!$B$2:$AZ$2,0)),Inputs!$B$2:$B$190,$B92)*Inputs!$D$1),"",SUMIFS(INDEX(Inputs!$B$2:$AZ$190,,MATCH(SUBSTITUTE(AT$3,"Q","T"),Inputs!$B$2:$AZ$2,0)),Inputs!$B$2:$B$190,$B92)*Inputs!$D$1)</f>
        <v>0</v>
      </c>
      <c r="AU92" s="57">
        <f>IF(ISNA(SUMIFS(INDEX(Inputs!$B$2:$AZ$190,,MATCH(SUBSTITUTE(AU$3,"Q","T"),Inputs!$B$2:$AZ$2,0)),Inputs!$B$2:$B$190,$B92)*Inputs!$D$1),"",SUMIFS(INDEX(Inputs!$B$2:$AZ$190,,MATCH(SUBSTITUTE(AU$3,"Q","T"),Inputs!$B$2:$AZ$2,0)),Inputs!$B$2:$B$190,$B92)*Inputs!$D$1)</f>
        <v>0</v>
      </c>
      <c r="AV92" s="57">
        <f>IF(ISNA(SUMIFS(INDEX(Inputs!$B$2:$AZ$190,,MATCH(SUBSTITUTE(AV$3,"Q","T"),Inputs!$B$2:$AZ$2,0)),Inputs!$B$2:$B$190,$B92)*Inputs!$D$1),"",SUMIFS(INDEX(Inputs!$B$2:$AZ$190,,MATCH(SUBSTITUTE(AV$3,"Q","T"),Inputs!$B$2:$AZ$2,0)),Inputs!$B$2:$B$190,$B92)*Inputs!$D$1)</f>
        <v>0</v>
      </c>
      <c r="AW92" s="58">
        <f>SUM(AS92:AV92)</f>
        <v>0</v>
      </c>
      <c r="AX92" s="57">
        <f>IF(ISNA(SUMIFS(INDEX(Inputs!$B$2:$AZ$190,,MATCH(SUBSTITUTE(AX$3,"Q","T"),Inputs!$B$2:$AZ$2,0)),Inputs!$B$2:$B$190,$B92)*Inputs!$D$1),"",SUMIFS(INDEX(Inputs!$B$2:$AZ$190,,MATCH(SUBSTITUTE(AX$3,"Q","T"),Inputs!$B$2:$AZ$2,0)),Inputs!$B$2:$B$190,$B92)*Inputs!$D$1)</f>
        <v>0</v>
      </c>
      <c r="AY92" s="57">
        <f>IF(ISNA(SUMIFS(INDEX(Inputs!$B$2:$AZ$190,,MATCH(SUBSTITUTE(AY$3,"Q","T"),Inputs!$B$2:$AZ$2,0)),Inputs!$B$2:$B$190,$B92)*Inputs!$D$1),"",SUMIFS(INDEX(Inputs!$B$2:$AZ$190,,MATCH(SUBSTITUTE(AY$3,"Q","T"),Inputs!$B$2:$AZ$2,0)),Inputs!$B$2:$B$190,$B92)*Inputs!$D$1)</f>
        <v>0</v>
      </c>
      <c r="AZ92" s="57">
        <f>IF(ISNA(SUMIFS(INDEX(Inputs!$B$2:$AZ$190,,MATCH(SUBSTITUTE(AZ$3,"Q","T"),Inputs!$B$2:$AZ$2,0)),Inputs!$B$2:$B$190,$B92)*Inputs!$D$1),"",SUMIFS(INDEX(Inputs!$B$2:$AZ$190,,MATCH(SUBSTITUTE(AZ$3,"Q","T"),Inputs!$B$2:$AZ$2,0)),Inputs!$B$2:$B$190,$B92)*Inputs!$D$1)</f>
        <v>0</v>
      </c>
      <c r="BA92" s="57">
        <f>IF(ISNA(SUMIFS(INDEX(Inputs!$B$2:$AZ$190,,MATCH(SUBSTITUTE(BA$3,"Q","T"),Inputs!$B$2:$AZ$2,0)),Inputs!$B$2:$B$190,$B92)*Inputs!$D$1),"",SUMIFS(INDEX(Inputs!$B$2:$AZ$190,,MATCH(SUBSTITUTE(BA$3,"Q","T"),Inputs!$B$2:$AZ$2,0)),Inputs!$B$2:$B$190,$B92)*Inputs!$D$1)</f>
        <v>0</v>
      </c>
      <c r="BB92" s="58">
        <f>SUM(AX92:BA92)</f>
        <v>0</v>
      </c>
      <c r="BC92" s="57">
        <f>IF(ISNA(SUMIFS(INDEX(Inputs!$B$2:$AZ$190,,MATCH(SUBSTITUTE(BC$3,"Q","T"),Inputs!$B$2:$AZ$2,0)),Inputs!$B$2:$B$190,$B92)*Inputs!$D$1),"",SUMIFS(INDEX(Inputs!$B$2:$AZ$190,,MATCH(SUBSTITUTE(BC$3,"Q","T"),Inputs!$B$2:$AZ$2,0)),Inputs!$B$2:$B$190,$B92)*Inputs!$D$1)</f>
        <v>0</v>
      </c>
      <c r="BD92" s="57">
        <f>IF(ISNA(SUMIFS(INDEX(Inputs!$B$2:$AZ$190,,MATCH(SUBSTITUTE(BD$3,"Q","T"),Inputs!$B$2:$AZ$2,0)),Inputs!$B$2:$B$190,$B92)*Inputs!$D$1),"",SUMIFS(INDEX(Inputs!$B$2:$AZ$190,,MATCH(SUBSTITUTE(BD$3,"Q","T"),Inputs!$B$2:$AZ$2,0)),Inputs!$B$2:$B$190,$B92)*Inputs!$D$1)</f>
        <v>0</v>
      </c>
      <c r="BE92" s="57">
        <f>IF(ISNA(SUMIFS(INDEX(Inputs!$B$2:$AZ$190,,MATCH(SUBSTITUTE(BE$3,"Q","T"),Inputs!$B$2:$AZ$2,0)),Inputs!$B$2:$B$190,$B92)*Inputs!$D$1),"",SUMIFS(INDEX(Inputs!$B$2:$AZ$190,,MATCH(SUBSTITUTE(BE$3,"Q","T"),Inputs!$B$2:$AZ$2,0)),Inputs!$B$2:$B$190,$B92)*Inputs!$D$1)</f>
        <v>0</v>
      </c>
      <c r="BF92" s="57">
        <f>IF(ISNA(SUMIFS(INDEX(Inputs!$B$2:$AZ$190,,MATCH(SUBSTITUTE(BF$3,"Q","T"),Inputs!$B$2:$AZ$2,0)),Inputs!$B$2:$B$190,$B92)*Inputs!$D$1),"",SUMIFS(INDEX(Inputs!$B$2:$AZ$190,,MATCH(SUBSTITUTE(BF$3,"Q","T"),Inputs!$B$2:$AZ$2,0)),Inputs!$B$2:$B$190,$B92)*Inputs!$D$1)</f>
        <v>0</v>
      </c>
      <c r="BG92" s="58">
        <f>SUM(BC92:BF92)</f>
        <v>0</v>
      </c>
    </row>
    <row r="93" hidden="1" outlineLevel="2">
      <c r="B93" s="56" t="inlineStr">
        <is>
          <t>prov_x1</t>
        </is>
      </c>
      <c r="C93" s="65" t="inlineStr">
        <is>
          <t>(Outras provisões, quando à parte)</t>
        </is>
      </c>
      <c r="D93" s="66" t="inlineStr">
        <is>
          <t>(Other provisions, if separate)</t>
        </is>
      </c>
      <c r="E93" s="57">
        <f>IF(ISNA(SUMIFS(INDEX(Inputs!$B$2:$AZ$190,,MATCH(SUBSTITUTE(E$3,"Q","T"),Inputs!$B$2:$AZ$2,0)),Inputs!$B$2:$B$190,$B93)*Inputs!$D$1),"",SUMIFS(INDEX(Inputs!$B$2:$AZ$190,,MATCH(SUBSTITUTE(E$3,"Q","T"),Inputs!$B$2:$AZ$2,0)),Inputs!$B$2:$B$190,$B93)*Inputs!$D$1)</f>
        <v>0</v>
      </c>
      <c r="F93" s="57">
        <f>IF(ISNA(SUMIFS(INDEX(Inputs!$B$2:$AZ$190,,MATCH(SUBSTITUTE(F$3,"Q","T"),Inputs!$B$2:$AZ$2,0)),Inputs!$B$2:$B$190,$B93)*Inputs!$D$1),"",SUMIFS(INDEX(Inputs!$B$2:$AZ$190,,MATCH(SUBSTITUTE(F$3,"Q","T"),Inputs!$B$2:$AZ$2,0)),Inputs!$B$2:$B$190,$B93)*Inputs!$D$1)</f>
        <v>0</v>
      </c>
      <c r="G93" s="57">
        <f>IF(ISNA(SUMIFS(INDEX(Inputs!$B$2:$AZ$190,,MATCH(SUBSTITUTE(G$3,"Q","T"),Inputs!$B$2:$AZ$2,0)),Inputs!$B$2:$B$190,$B93)*Inputs!$D$1),"",SUMIFS(INDEX(Inputs!$B$2:$AZ$190,,MATCH(SUBSTITUTE(G$3,"Q","T"),Inputs!$B$2:$AZ$2,0)),Inputs!$B$2:$B$190,$B93)*Inputs!$D$1)</f>
        <v>0</v>
      </c>
      <c r="H93" s="57">
        <f>IF(ISNA(SUMIFS(INDEX(Inputs!$B$2:$AZ$190,,MATCH(SUBSTITUTE(H$3,"Q","T"),Inputs!$B$2:$AZ$2,0)),Inputs!$B$2:$B$190,$B93)*Inputs!$D$1),"",SUMIFS(INDEX(Inputs!$B$2:$AZ$190,,MATCH(SUBSTITUTE(H$3,"Q","T"),Inputs!$B$2:$AZ$2,0)),Inputs!$B$2:$B$190,$B93)*Inputs!$D$1)</f>
        <v>0</v>
      </c>
      <c r="I93" s="58">
        <f>SUM(E93:H93)</f>
        <v>0</v>
      </c>
      <c r="J93" s="57">
        <f>IF(ISNA(SUMIFS(INDEX(Inputs!$B$2:$AZ$190,,MATCH(SUBSTITUTE(J$3,"Q","T"),Inputs!$B$2:$AZ$2,0)),Inputs!$B$2:$B$190,$B93)*Inputs!$D$1),"",SUMIFS(INDEX(Inputs!$B$2:$AZ$190,,MATCH(SUBSTITUTE(J$3,"Q","T"),Inputs!$B$2:$AZ$2,0)),Inputs!$B$2:$B$190,$B93)*Inputs!$D$1)</f>
        <v>0</v>
      </c>
      <c r="K93" s="57">
        <f>IF(ISNA(SUMIFS(INDEX(Inputs!$B$2:$AZ$190,,MATCH(SUBSTITUTE(K$3,"Q","T"),Inputs!$B$2:$AZ$2,0)),Inputs!$B$2:$B$190,$B93)*Inputs!$D$1),"",SUMIFS(INDEX(Inputs!$B$2:$AZ$190,,MATCH(SUBSTITUTE(K$3,"Q","T"),Inputs!$B$2:$AZ$2,0)),Inputs!$B$2:$B$190,$B93)*Inputs!$D$1)</f>
        <v>0</v>
      </c>
      <c r="L93" s="57">
        <f>IF(ISNA(SUMIFS(INDEX(Inputs!$B$2:$AZ$190,,MATCH(SUBSTITUTE(L$3,"Q","T"),Inputs!$B$2:$AZ$2,0)),Inputs!$B$2:$B$190,$B93)*Inputs!$D$1),"",SUMIFS(INDEX(Inputs!$B$2:$AZ$190,,MATCH(SUBSTITUTE(L$3,"Q","T"),Inputs!$B$2:$AZ$2,0)),Inputs!$B$2:$B$190,$B93)*Inputs!$D$1)</f>
        <v>0</v>
      </c>
      <c r="M93" s="57">
        <f>IF(ISNA(SUMIFS(INDEX(Inputs!$B$2:$AZ$190,,MATCH(SUBSTITUTE(M$3,"Q","T"),Inputs!$B$2:$AZ$2,0)),Inputs!$B$2:$B$190,$B93)*Inputs!$D$1),"",SUMIFS(INDEX(Inputs!$B$2:$AZ$190,,MATCH(SUBSTITUTE(M$3,"Q","T"),Inputs!$B$2:$AZ$2,0)),Inputs!$B$2:$B$190,$B93)*Inputs!$D$1)</f>
        <v>0</v>
      </c>
      <c r="N93" s="58">
        <f>SUM(J93:M93)</f>
        <v>0</v>
      </c>
      <c r="O93" s="57">
        <f>IF(ISNA(SUMIFS(INDEX(Inputs!$B$2:$AZ$190,,MATCH(SUBSTITUTE(O$3,"Q","T"),Inputs!$B$2:$AZ$2,0)),Inputs!$B$2:$B$190,$B93)*Inputs!$D$1),"",SUMIFS(INDEX(Inputs!$B$2:$AZ$190,,MATCH(SUBSTITUTE(O$3,"Q","T"),Inputs!$B$2:$AZ$2,0)),Inputs!$B$2:$B$190,$B93)*Inputs!$D$1)</f>
        <v>0</v>
      </c>
      <c r="P93" s="57">
        <f>IF(ISNA(SUMIFS(INDEX(Inputs!$B$2:$AZ$190,,MATCH(SUBSTITUTE(P$3,"Q","T"),Inputs!$B$2:$AZ$2,0)),Inputs!$B$2:$B$190,$B93)*Inputs!$D$1),"",SUMIFS(INDEX(Inputs!$B$2:$AZ$190,,MATCH(SUBSTITUTE(P$3,"Q","T"),Inputs!$B$2:$AZ$2,0)),Inputs!$B$2:$B$190,$B93)*Inputs!$D$1)</f>
        <v>0</v>
      </c>
      <c r="Q93" s="57">
        <f>IF(ISNA(SUMIFS(INDEX(Inputs!$B$2:$AZ$190,,MATCH(SUBSTITUTE(Q$3,"Q","T"),Inputs!$B$2:$AZ$2,0)),Inputs!$B$2:$B$190,$B93)*Inputs!$D$1),"",SUMIFS(INDEX(Inputs!$B$2:$AZ$190,,MATCH(SUBSTITUTE(Q$3,"Q","T"),Inputs!$B$2:$AZ$2,0)),Inputs!$B$2:$B$190,$B93)*Inputs!$D$1)</f>
        <v>0</v>
      </c>
      <c r="R93" s="57">
        <f>IF(ISNA(SUMIFS(INDEX(Inputs!$B$2:$AZ$190,,MATCH(SUBSTITUTE(R$3,"Q","T"),Inputs!$B$2:$AZ$2,0)),Inputs!$B$2:$B$190,$B93)*Inputs!$D$1),"",SUMIFS(INDEX(Inputs!$B$2:$AZ$190,,MATCH(SUBSTITUTE(R$3,"Q","T"),Inputs!$B$2:$AZ$2,0)),Inputs!$B$2:$B$190,$B93)*Inputs!$D$1)</f>
        <v>0</v>
      </c>
      <c r="S93" s="58">
        <f>SUM(O93:R93)</f>
        <v>0</v>
      </c>
      <c r="T93" s="57">
        <f>IF(ISNA(SUMIFS(INDEX(Inputs!$B$2:$AZ$190,,MATCH(SUBSTITUTE(T$3,"Q","T"),Inputs!$B$2:$AZ$2,0)),Inputs!$B$2:$B$190,$B93)*Inputs!$D$1),"",SUMIFS(INDEX(Inputs!$B$2:$AZ$190,,MATCH(SUBSTITUTE(T$3,"Q","T"),Inputs!$B$2:$AZ$2,0)),Inputs!$B$2:$B$190,$B93)*Inputs!$D$1)</f>
        <v>0</v>
      </c>
      <c r="U93" s="57">
        <f>IF(ISNA(SUMIFS(INDEX(Inputs!$B$2:$AZ$190,,MATCH(SUBSTITUTE(U$3,"Q","T"),Inputs!$B$2:$AZ$2,0)),Inputs!$B$2:$B$190,$B93)*Inputs!$D$1),"",SUMIFS(INDEX(Inputs!$B$2:$AZ$190,,MATCH(SUBSTITUTE(U$3,"Q","T"),Inputs!$B$2:$AZ$2,0)),Inputs!$B$2:$B$190,$B93)*Inputs!$D$1)</f>
        <v>0</v>
      </c>
      <c r="V93" s="57">
        <f>IF(ISNA(SUMIFS(INDEX(Inputs!$B$2:$AZ$190,,MATCH(SUBSTITUTE(V$3,"Q","T"),Inputs!$B$2:$AZ$2,0)),Inputs!$B$2:$B$190,$B93)*Inputs!$D$1),"",SUMIFS(INDEX(Inputs!$B$2:$AZ$190,,MATCH(SUBSTITUTE(V$3,"Q","T"),Inputs!$B$2:$AZ$2,0)),Inputs!$B$2:$B$190,$B93)*Inputs!$D$1)</f>
        <v>0</v>
      </c>
      <c r="W93" s="57">
        <f>IF(ISNA(SUMIFS(INDEX(Inputs!$B$2:$AZ$190,,MATCH(SUBSTITUTE(W$3,"Q","T"),Inputs!$B$2:$AZ$2,0)),Inputs!$B$2:$B$190,$B93)*Inputs!$D$1),"",SUMIFS(INDEX(Inputs!$B$2:$AZ$190,,MATCH(SUBSTITUTE(W$3,"Q","T"),Inputs!$B$2:$AZ$2,0)),Inputs!$B$2:$B$190,$B93)*Inputs!$D$1)</f>
        <v>0</v>
      </c>
      <c r="X93" s="58">
        <f>SUM(T93:W93)</f>
        <v>0</v>
      </c>
      <c r="Y93" s="57">
        <f>IF(ISNA(SUMIFS(INDEX(Inputs!$B$2:$AZ$190,,MATCH(SUBSTITUTE(Y$3,"Q","T"),Inputs!$B$2:$AZ$2,0)),Inputs!$B$2:$B$190,$B93)*Inputs!$D$1),"",SUMIFS(INDEX(Inputs!$B$2:$AZ$190,,MATCH(SUBSTITUTE(Y$3,"Q","T"),Inputs!$B$2:$AZ$2,0)),Inputs!$B$2:$B$190,$B93)*Inputs!$D$1)</f>
        <v>0</v>
      </c>
      <c r="Z93" s="57">
        <f>IF(ISNA(SUMIFS(INDEX(Inputs!$B$2:$AZ$190,,MATCH(SUBSTITUTE(Z$3,"Q","T"),Inputs!$B$2:$AZ$2,0)),Inputs!$B$2:$B$190,$B93)*Inputs!$D$1),"",SUMIFS(INDEX(Inputs!$B$2:$AZ$190,,MATCH(SUBSTITUTE(Z$3,"Q","T"),Inputs!$B$2:$AZ$2,0)),Inputs!$B$2:$B$190,$B93)*Inputs!$D$1)</f>
        <v>0</v>
      </c>
      <c r="AA93" s="57">
        <f>IF(ISNA(SUMIFS(INDEX(Inputs!$B$2:$AZ$190,,MATCH(SUBSTITUTE(AA$3,"Q","T"),Inputs!$B$2:$AZ$2,0)),Inputs!$B$2:$B$190,$B93)*Inputs!$D$1),"",SUMIFS(INDEX(Inputs!$B$2:$AZ$190,,MATCH(SUBSTITUTE(AA$3,"Q","T"),Inputs!$B$2:$AZ$2,0)),Inputs!$B$2:$B$190,$B93)*Inputs!$D$1)</f>
        <v>0</v>
      </c>
      <c r="AB93" s="57">
        <f>IF(ISNA(SUMIFS(INDEX(Inputs!$B$2:$AZ$190,,MATCH(SUBSTITUTE(AB$3,"Q","T"),Inputs!$B$2:$AZ$2,0)),Inputs!$B$2:$B$190,$B93)*Inputs!$D$1),"",SUMIFS(INDEX(Inputs!$B$2:$AZ$190,,MATCH(SUBSTITUTE(AB$3,"Q","T"),Inputs!$B$2:$AZ$2,0)),Inputs!$B$2:$B$190,$B93)*Inputs!$D$1)</f>
        <v>0</v>
      </c>
      <c r="AC93" s="58">
        <f>SUM(Y93:AB93)</f>
        <v>0</v>
      </c>
      <c r="AD93" s="57">
        <f>IF(ISNA(SUMIFS(INDEX(Inputs!$B$2:$AZ$190,,MATCH(SUBSTITUTE(AD$3,"Q","T"),Inputs!$B$2:$AZ$2,0)),Inputs!$B$2:$B$190,$B93)*Inputs!$D$1),"",SUMIFS(INDEX(Inputs!$B$2:$AZ$190,,MATCH(SUBSTITUTE(AD$3,"Q","T"),Inputs!$B$2:$AZ$2,0)),Inputs!$B$2:$B$190,$B93)*Inputs!$D$1)</f>
        <v>0</v>
      </c>
      <c r="AE93" s="57">
        <f>IF(ISNA(SUMIFS(INDEX(Inputs!$B$2:$AZ$190,,MATCH(SUBSTITUTE(AE$3,"Q","T"),Inputs!$B$2:$AZ$2,0)),Inputs!$B$2:$B$190,$B93)*Inputs!$D$1),"",SUMIFS(INDEX(Inputs!$B$2:$AZ$190,,MATCH(SUBSTITUTE(AE$3,"Q","T"),Inputs!$B$2:$AZ$2,0)),Inputs!$B$2:$B$190,$B93)*Inputs!$D$1)</f>
        <v>0</v>
      </c>
      <c r="AF93" s="57">
        <f>IF(ISNA(SUMIFS(INDEX(Inputs!$B$2:$AZ$190,,MATCH(SUBSTITUTE(AF$3,"Q","T"),Inputs!$B$2:$AZ$2,0)),Inputs!$B$2:$B$190,$B93)*Inputs!$D$1),"",SUMIFS(INDEX(Inputs!$B$2:$AZ$190,,MATCH(SUBSTITUTE(AF$3,"Q","T"),Inputs!$B$2:$AZ$2,0)),Inputs!$B$2:$B$190,$B93)*Inputs!$D$1)</f>
        <v>0</v>
      </c>
      <c r="AG93" s="57">
        <f>IF(ISNA(SUMIFS(INDEX(Inputs!$B$2:$AZ$190,,MATCH(SUBSTITUTE(AG$3,"Q","T"),Inputs!$B$2:$AZ$2,0)),Inputs!$B$2:$B$190,$B93)*Inputs!$D$1),"",SUMIFS(INDEX(Inputs!$B$2:$AZ$190,,MATCH(SUBSTITUTE(AG$3,"Q","T"),Inputs!$B$2:$AZ$2,0)),Inputs!$B$2:$B$190,$B93)*Inputs!$D$1)</f>
        <v>0</v>
      </c>
      <c r="AH93" s="58">
        <f>SUM(AD93:AG93)</f>
        <v>0</v>
      </c>
      <c r="AI93" s="57">
        <f>IF(ISNA(SUMIFS(INDEX(Inputs!$B$2:$AZ$190,,MATCH(SUBSTITUTE(AI$3,"Q","T"),Inputs!$B$2:$AZ$2,0)),Inputs!$B$2:$B$190,$B93)*Inputs!$D$1),"",SUMIFS(INDEX(Inputs!$B$2:$AZ$190,,MATCH(SUBSTITUTE(AI$3,"Q","T"),Inputs!$B$2:$AZ$2,0)),Inputs!$B$2:$B$190,$B93)*Inputs!$D$1)</f>
        <v>0</v>
      </c>
      <c r="AJ93" s="57">
        <f>IF(ISNA(SUMIFS(INDEX(Inputs!$B$2:$AZ$190,,MATCH(SUBSTITUTE(AJ$3,"Q","T"),Inputs!$B$2:$AZ$2,0)),Inputs!$B$2:$B$190,$B93)*Inputs!$D$1),"",SUMIFS(INDEX(Inputs!$B$2:$AZ$190,,MATCH(SUBSTITUTE(AJ$3,"Q","T"),Inputs!$B$2:$AZ$2,0)),Inputs!$B$2:$B$190,$B93)*Inputs!$D$1)</f>
        <v>0</v>
      </c>
      <c r="AK93" s="57">
        <f>IF(ISNA(SUMIFS(INDEX(Inputs!$B$2:$AZ$190,,MATCH(SUBSTITUTE(AK$3,"Q","T"),Inputs!$B$2:$AZ$2,0)),Inputs!$B$2:$B$190,$B93)*Inputs!$D$1),"",SUMIFS(INDEX(Inputs!$B$2:$AZ$190,,MATCH(SUBSTITUTE(AK$3,"Q","T"),Inputs!$B$2:$AZ$2,0)),Inputs!$B$2:$B$190,$B93)*Inputs!$D$1)</f>
        <v>0</v>
      </c>
      <c r="AL93" s="57">
        <f>IF(ISNA(SUMIFS(INDEX(Inputs!$B$2:$AZ$190,,MATCH(SUBSTITUTE(AL$3,"Q","T"),Inputs!$B$2:$AZ$2,0)),Inputs!$B$2:$B$190,$B93)*Inputs!$D$1),"",SUMIFS(INDEX(Inputs!$B$2:$AZ$190,,MATCH(SUBSTITUTE(AL$3,"Q","T"),Inputs!$B$2:$AZ$2,0)),Inputs!$B$2:$B$190,$B93)*Inputs!$D$1)</f>
        <v>0</v>
      </c>
      <c r="AM93" s="58">
        <f>SUM(AI93:AL93)</f>
        <v>0</v>
      </c>
      <c r="AN93" s="57">
        <f>IF(ISNA(SUMIFS(INDEX(Inputs!$B$2:$AZ$190,,MATCH(SUBSTITUTE(AN$3,"Q","T"),Inputs!$B$2:$AZ$2,0)),Inputs!$B$2:$B$190,$B93)*Inputs!$D$1),"",SUMIFS(INDEX(Inputs!$B$2:$AZ$190,,MATCH(SUBSTITUTE(AN$3,"Q","T"),Inputs!$B$2:$AZ$2,0)),Inputs!$B$2:$B$190,$B93)*Inputs!$D$1)</f>
        <v>0</v>
      </c>
      <c r="AO93" s="57">
        <f>IF(ISNA(SUMIFS(INDEX(Inputs!$B$2:$AZ$190,,MATCH(SUBSTITUTE(AO$3,"Q","T"),Inputs!$B$2:$AZ$2,0)),Inputs!$B$2:$B$190,$B93)*Inputs!$D$1),"",SUMIFS(INDEX(Inputs!$B$2:$AZ$190,,MATCH(SUBSTITUTE(AO$3,"Q","T"),Inputs!$B$2:$AZ$2,0)),Inputs!$B$2:$B$190,$B93)*Inputs!$D$1)</f>
        <v>0</v>
      </c>
      <c r="AP93" s="57">
        <f>IF(ISNA(SUMIFS(INDEX(Inputs!$B$2:$AZ$190,,MATCH(SUBSTITUTE(AP$3,"Q","T"),Inputs!$B$2:$AZ$2,0)),Inputs!$B$2:$B$190,$B93)*Inputs!$D$1),"",SUMIFS(INDEX(Inputs!$B$2:$AZ$190,,MATCH(SUBSTITUTE(AP$3,"Q","T"),Inputs!$B$2:$AZ$2,0)),Inputs!$B$2:$B$190,$B93)*Inputs!$D$1)</f>
        <v>0</v>
      </c>
      <c r="AQ93" s="57">
        <f>IF(ISNA(SUMIFS(INDEX(Inputs!$B$2:$AZ$190,,MATCH(SUBSTITUTE(AQ$3,"Q","T"),Inputs!$B$2:$AZ$2,0)),Inputs!$B$2:$B$190,$B93)*Inputs!$D$1),"",SUMIFS(INDEX(Inputs!$B$2:$AZ$190,,MATCH(SUBSTITUTE(AQ$3,"Q","T"),Inputs!$B$2:$AZ$2,0)),Inputs!$B$2:$B$190,$B93)*Inputs!$D$1)</f>
        <v>0</v>
      </c>
      <c r="AR93" s="58">
        <f>SUM(AN93:AQ93)</f>
        <v>0</v>
      </c>
      <c r="AS93" s="57">
        <f>IF(ISNA(SUMIFS(INDEX(Inputs!$B$2:$AZ$190,,MATCH(SUBSTITUTE(AS$3,"Q","T"),Inputs!$B$2:$AZ$2,0)),Inputs!$B$2:$B$190,$B93)*Inputs!$D$1),"",SUMIFS(INDEX(Inputs!$B$2:$AZ$190,,MATCH(SUBSTITUTE(AS$3,"Q","T"),Inputs!$B$2:$AZ$2,0)),Inputs!$B$2:$B$190,$B93)*Inputs!$D$1)</f>
        <v>0</v>
      </c>
      <c r="AT93" s="57">
        <f>IF(ISNA(SUMIFS(INDEX(Inputs!$B$2:$AZ$190,,MATCH(SUBSTITUTE(AT$3,"Q","T"),Inputs!$B$2:$AZ$2,0)),Inputs!$B$2:$B$190,$B93)*Inputs!$D$1),"",SUMIFS(INDEX(Inputs!$B$2:$AZ$190,,MATCH(SUBSTITUTE(AT$3,"Q","T"),Inputs!$B$2:$AZ$2,0)),Inputs!$B$2:$B$190,$B93)*Inputs!$D$1)</f>
        <v>0</v>
      </c>
      <c r="AU93" s="57">
        <f>IF(ISNA(SUMIFS(INDEX(Inputs!$B$2:$AZ$190,,MATCH(SUBSTITUTE(AU$3,"Q","T"),Inputs!$B$2:$AZ$2,0)),Inputs!$B$2:$B$190,$B93)*Inputs!$D$1),"",SUMIFS(INDEX(Inputs!$B$2:$AZ$190,,MATCH(SUBSTITUTE(AU$3,"Q","T"),Inputs!$B$2:$AZ$2,0)),Inputs!$B$2:$B$190,$B93)*Inputs!$D$1)</f>
        <v>0</v>
      </c>
      <c r="AV93" s="57">
        <f>IF(ISNA(SUMIFS(INDEX(Inputs!$B$2:$AZ$190,,MATCH(SUBSTITUTE(AV$3,"Q","T"),Inputs!$B$2:$AZ$2,0)),Inputs!$B$2:$B$190,$B93)*Inputs!$D$1),"",SUMIFS(INDEX(Inputs!$B$2:$AZ$190,,MATCH(SUBSTITUTE(AV$3,"Q","T"),Inputs!$B$2:$AZ$2,0)),Inputs!$B$2:$B$190,$B93)*Inputs!$D$1)</f>
        <v>0</v>
      </c>
      <c r="AW93" s="58">
        <f>SUM(AS93:AV93)</f>
        <v>0</v>
      </c>
      <c r="AX93" s="57">
        <f>IF(ISNA(SUMIFS(INDEX(Inputs!$B$2:$AZ$190,,MATCH(SUBSTITUTE(AX$3,"Q","T"),Inputs!$B$2:$AZ$2,0)),Inputs!$B$2:$B$190,$B93)*Inputs!$D$1),"",SUMIFS(INDEX(Inputs!$B$2:$AZ$190,,MATCH(SUBSTITUTE(AX$3,"Q","T"),Inputs!$B$2:$AZ$2,0)),Inputs!$B$2:$B$190,$B93)*Inputs!$D$1)</f>
        <v>0</v>
      </c>
      <c r="AY93" s="57">
        <f>IF(ISNA(SUMIFS(INDEX(Inputs!$B$2:$AZ$190,,MATCH(SUBSTITUTE(AY$3,"Q","T"),Inputs!$B$2:$AZ$2,0)),Inputs!$B$2:$B$190,$B93)*Inputs!$D$1),"",SUMIFS(INDEX(Inputs!$B$2:$AZ$190,,MATCH(SUBSTITUTE(AY$3,"Q","T"),Inputs!$B$2:$AZ$2,0)),Inputs!$B$2:$B$190,$B93)*Inputs!$D$1)</f>
        <v>0</v>
      </c>
      <c r="AZ93" s="57">
        <f>IF(ISNA(SUMIFS(INDEX(Inputs!$B$2:$AZ$190,,MATCH(SUBSTITUTE(AZ$3,"Q","T"),Inputs!$B$2:$AZ$2,0)),Inputs!$B$2:$B$190,$B93)*Inputs!$D$1),"",SUMIFS(INDEX(Inputs!$B$2:$AZ$190,,MATCH(SUBSTITUTE(AZ$3,"Q","T"),Inputs!$B$2:$AZ$2,0)),Inputs!$B$2:$B$190,$B93)*Inputs!$D$1)</f>
        <v>0</v>
      </c>
      <c r="BA93" s="57">
        <f>IF(ISNA(SUMIFS(INDEX(Inputs!$B$2:$AZ$190,,MATCH(SUBSTITUTE(BA$3,"Q","T"),Inputs!$B$2:$AZ$2,0)),Inputs!$B$2:$B$190,$B93)*Inputs!$D$1),"",SUMIFS(INDEX(Inputs!$B$2:$AZ$190,,MATCH(SUBSTITUTE(BA$3,"Q","T"),Inputs!$B$2:$AZ$2,0)),Inputs!$B$2:$B$190,$B93)*Inputs!$D$1)</f>
        <v>0</v>
      </c>
      <c r="BB93" s="58">
        <f>SUM(AX93:BA93)</f>
        <v>0</v>
      </c>
      <c r="BC93" s="57">
        <f>IF(ISNA(SUMIFS(INDEX(Inputs!$B$2:$AZ$190,,MATCH(SUBSTITUTE(BC$3,"Q","T"),Inputs!$B$2:$AZ$2,0)),Inputs!$B$2:$B$190,$B93)*Inputs!$D$1),"",SUMIFS(INDEX(Inputs!$B$2:$AZ$190,,MATCH(SUBSTITUTE(BC$3,"Q","T"),Inputs!$B$2:$AZ$2,0)),Inputs!$B$2:$B$190,$B93)*Inputs!$D$1)</f>
        <v>0</v>
      </c>
      <c r="BD93" s="57">
        <f>IF(ISNA(SUMIFS(INDEX(Inputs!$B$2:$AZ$190,,MATCH(SUBSTITUTE(BD$3,"Q","T"),Inputs!$B$2:$AZ$2,0)),Inputs!$B$2:$B$190,$B93)*Inputs!$D$1),"",SUMIFS(INDEX(Inputs!$B$2:$AZ$190,,MATCH(SUBSTITUTE(BD$3,"Q","T"),Inputs!$B$2:$AZ$2,0)),Inputs!$B$2:$B$190,$B93)*Inputs!$D$1)</f>
        <v>0</v>
      </c>
      <c r="BE93" s="57">
        <f>IF(ISNA(SUMIFS(INDEX(Inputs!$B$2:$AZ$190,,MATCH(SUBSTITUTE(BE$3,"Q","T"),Inputs!$B$2:$AZ$2,0)),Inputs!$B$2:$B$190,$B93)*Inputs!$D$1),"",SUMIFS(INDEX(Inputs!$B$2:$AZ$190,,MATCH(SUBSTITUTE(BE$3,"Q","T"),Inputs!$B$2:$AZ$2,0)),Inputs!$B$2:$B$190,$B93)*Inputs!$D$1)</f>
        <v>0</v>
      </c>
      <c r="BF93" s="57">
        <f>IF(ISNA(SUMIFS(INDEX(Inputs!$B$2:$AZ$190,,MATCH(SUBSTITUTE(BF$3,"Q","T"),Inputs!$B$2:$AZ$2,0)),Inputs!$B$2:$B$190,$B93)*Inputs!$D$1),"",SUMIFS(INDEX(Inputs!$B$2:$AZ$190,,MATCH(SUBSTITUTE(BF$3,"Q","T"),Inputs!$B$2:$AZ$2,0)),Inputs!$B$2:$B$190,$B93)*Inputs!$D$1)</f>
        <v>0</v>
      </c>
      <c r="BG93" s="58">
        <f>SUM(BC93:BF93)</f>
        <v>0</v>
      </c>
    </row>
    <row r="94" hidden="1" outlineLevel="2">
      <c r="B94" s="56" t="inlineStr">
        <is>
          <t>prov_x2</t>
        </is>
      </c>
      <c r="C94" s="65" t="inlineStr">
        <is>
          <t>(Outras provisões, quando à parte)</t>
        </is>
      </c>
      <c r="D94" s="66" t="inlineStr">
        <is>
          <t>(Other provisions, if separate)</t>
        </is>
      </c>
      <c r="E94" s="57">
        <f>IF(ISNA(SUMIFS(INDEX(Inputs!$B$2:$AZ$190,,MATCH(SUBSTITUTE(E$3,"Q","T"),Inputs!$B$2:$AZ$2,0)),Inputs!$B$2:$B$190,$B94)*Inputs!$D$1),"",SUMIFS(INDEX(Inputs!$B$2:$AZ$190,,MATCH(SUBSTITUTE(E$3,"Q","T"),Inputs!$B$2:$AZ$2,0)),Inputs!$B$2:$B$190,$B94)*Inputs!$D$1)</f>
        <v>0</v>
      </c>
      <c r="F94" s="57">
        <f>IF(ISNA(SUMIFS(INDEX(Inputs!$B$2:$AZ$190,,MATCH(SUBSTITUTE(F$3,"Q","T"),Inputs!$B$2:$AZ$2,0)),Inputs!$B$2:$B$190,$B94)*Inputs!$D$1),"",SUMIFS(INDEX(Inputs!$B$2:$AZ$190,,MATCH(SUBSTITUTE(F$3,"Q","T"),Inputs!$B$2:$AZ$2,0)),Inputs!$B$2:$B$190,$B94)*Inputs!$D$1)</f>
        <v>0</v>
      </c>
      <c r="G94" s="57">
        <f>IF(ISNA(SUMIFS(INDEX(Inputs!$B$2:$AZ$190,,MATCH(SUBSTITUTE(G$3,"Q","T"),Inputs!$B$2:$AZ$2,0)),Inputs!$B$2:$B$190,$B94)*Inputs!$D$1),"",SUMIFS(INDEX(Inputs!$B$2:$AZ$190,,MATCH(SUBSTITUTE(G$3,"Q","T"),Inputs!$B$2:$AZ$2,0)),Inputs!$B$2:$B$190,$B94)*Inputs!$D$1)</f>
        <v>0</v>
      </c>
      <c r="H94" s="57">
        <f>IF(ISNA(SUMIFS(INDEX(Inputs!$B$2:$AZ$190,,MATCH(SUBSTITUTE(H$3,"Q","T"),Inputs!$B$2:$AZ$2,0)),Inputs!$B$2:$B$190,$B94)*Inputs!$D$1),"",SUMIFS(INDEX(Inputs!$B$2:$AZ$190,,MATCH(SUBSTITUTE(H$3,"Q","T"),Inputs!$B$2:$AZ$2,0)),Inputs!$B$2:$B$190,$B94)*Inputs!$D$1)</f>
        <v>0</v>
      </c>
      <c r="I94" s="58">
        <f>SUM(E94:H94)</f>
        <v>0</v>
      </c>
      <c r="J94" s="57">
        <f>IF(ISNA(SUMIFS(INDEX(Inputs!$B$2:$AZ$190,,MATCH(SUBSTITUTE(J$3,"Q","T"),Inputs!$B$2:$AZ$2,0)),Inputs!$B$2:$B$190,$B94)*Inputs!$D$1),"",SUMIFS(INDEX(Inputs!$B$2:$AZ$190,,MATCH(SUBSTITUTE(J$3,"Q","T"),Inputs!$B$2:$AZ$2,0)),Inputs!$B$2:$B$190,$B94)*Inputs!$D$1)</f>
        <v>0</v>
      </c>
      <c r="K94" s="57">
        <f>IF(ISNA(SUMIFS(INDEX(Inputs!$B$2:$AZ$190,,MATCH(SUBSTITUTE(K$3,"Q","T"),Inputs!$B$2:$AZ$2,0)),Inputs!$B$2:$B$190,$B94)*Inputs!$D$1),"",SUMIFS(INDEX(Inputs!$B$2:$AZ$190,,MATCH(SUBSTITUTE(K$3,"Q","T"),Inputs!$B$2:$AZ$2,0)),Inputs!$B$2:$B$190,$B94)*Inputs!$D$1)</f>
        <v>0</v>
      </c>
      <c r="L94" s="57">
        <f>IF(ISNA(SUMIFS(INDEX(Inputs!$B$2:$AZ$190,,MATCH(SUBSTITUTE(L$3,"Q","T"),Inputs!$B$2:$AZ$2,0)),Inputs!$B$2:$B$190,$B94)*Inputs!$D$1),"",SUMIFS(INDEX(Inputs!$B$2:$AZ$190,,MATCH(SUBSTITUTE(L$3,"Q","T"),Inputs!$B$2:$AZ$2,0)),Inputs!$B$2:$B$190,$B94)*Inputs!$D$1)</f>
        <v>0</v>
      </c>
      <c r="M94" s="57">
        <f>IF(ISNA(SUMIFS(INDEX(Inputs!$B$2:$AZ$190,,MATCH(SUBSTITUTE(M$3,"Q","T"),Inputs!$B$2:$AZ$2,0)),Inputs!$B$2:$B$190,$B94)*Inputs!$D$1),"",SUMIFS(INDEX(Inputs!$B$2:$AZ$190,,MATCH(SUBSTITUTE(M$3,"Q","T"),Inputs!$B$2:$AZ$2,0)),Inputs!$B$2:$B$190,$B94)*Inputs!$D$1)</f>
        <v>0</v>
      </c>
      <c r="N94" s="58">
        <f>SUM(J94:M94)</f>
        <v>0</v>
      </c>
      <c r="O94" s="57">
        <f>IF(ISNA(SUMIFS(INDEX(Inputs!$B$2:$AZ$190,,MATCH(SUBSTITUTE(O$3,"Q","T"),Inputs!$B$2:$AZ$2,0)),Inputs!$B$2:$B$190,$B94)*Inputs!$D$1),"",SUMIFS(INDEX(Inputs!$B$2:$AZ$190,,MATCH(SUBSTITUTE(O$3,"Q","T"),Inputs!$B$2:$AZ$2,0)),Inputs!$B$2:$B$190,$B94)*Inputs!$D$1)</f>
        <v>0</v>
      </c>
      <c r="P94" s="57">
        <f>IF(ISNA(SUMIFS(INDEX(Inputs!$B$2:$AZ$190,,MATCH(SUBSTITUTE(P$3,"Q","T"),Inputs!$B$2:$AZ$2,0)),Inputs!$B$2:$B$190,$B94)*Inputs!$D$1),"",SUMIFS(INDEX(Inputs!$B$2:$AZ$190,,MATCH(SUBSTITUTE(P$3,"Q","T"),Inputs!$B$2:$AZ$2,0)),Inputs!$B$2:$B$190,$B94)*Inputs!$D$1)</f>
        <v>0</v>
      </c>
      <c r="Q94" s="57">
        <f>IF(ISNA(SUMIFS(INDEX(Inputs!$B$2:$AZ$190,,MATCH(SUBSTITUTE(Q$3,"Q","T"),Inputs!$B$2:$AZ$2,0)),Inputs!$B$2:$B$190,$B94)*Inputs!$D$1),"",SUMIFS(INDEX(Inputs!$B$2:$AZ$190,,MATCH(SUBSTITUTE(Q$3,"Q","T"),Inputs!$B$2:$AZ$2,0)),Inputs!$B$2:$B$190,$B94)*Inputs!$D$1)</f>
        <v>0</v>
      </c>
      <c r="R94" s="57">
        <f>IF(ISNA(SUMIFS(INDEX(Inputs!$B$2:$AZ$190,,MATCH(SUBSTITUTE(R$3,"Q","T"),Inputs!$B$2:$AZ$2,0)),Inputs!$B$2:$B$190,$B94)*Inputs!$D$1),"",SUMIFS(INDEX(Inputs!$B$2:$AZ$190,,MATCH(SUBSTITUTE(R$3,"Q","T"),Inputs!$B$2:$AZ$2,0)),Inputs!$B$2:$B$190,$B94)*Inputs!$D$1)</f>
        <v>0</v>
      </c>
      <c r="S94" s="58">
        <f>SUM(O94:R94)</f>
        <v>0</v>
      </c>
      <c r="T94" s="57">
        <f>IF(ISNA(SUMIFS(INDEX(Inputs!$B$2:$AZ$190,,MATCH(SUBSTITUTE(T$3,"Q","T"),Inputs!$B$2:$AZ$2,0)),Inputs!$B$2:$B$190,$B94)*Inputs!$D$1),"",SUMIFS(INDEX(Inputs!$B$2:$AZ$190,,MATCH(SUBSTITUTE(T$3,"Q","T"),Inputs!$B$2:$AZ$2,0)),Inputs!$B$2:$B$190,$B94)*Inputs!$D$1)</f>
        <v>0</v>
      </c>
      <c r="U94" s="57">
        <f>IF(ISNA(SUMIFS(INDEX(Inputs!$B$2:$AZ$190,,MATCH(SUBSTITUTE(U$3,"Q","T"),Inputs!$B$2:$AZ$2,0)),Inputs!$B$2:$B$190,$B94)*Inputs!$D$1),"",SUMIFS(INDEX(Inputs!$B$2:$AZ$190,,MATCH(SUBSTITUTE(U$3,"Q","T"),Inputs!$B$2:$AZ$2,0)),Inputs!$B$2:$B$190,$B94)*Inputs!$D$1)</f>
        <v>0</v>
      </c>
      <c r="V94" s="57">
        <f>IF(ISNA(SUMIFS(INDEX(Inputs!$B$2:$AZ$190,,MATCH(SUBSTITUTE(V$3,"Q","T"),Inputs!$B$2:$AZ$2,0)),Inputs!$B$2:$B$190,$B94)*Inputs!$D$1),"",SUMIFS(INDEX(Inputs!$B$2:$AZ$190,,MATCH(SUBSTITUTE(V$3,"Q","T"),Inputs!$B$2:$AZ$2,0)),Inputs!$B$2:$B$190,$B94)*Inputs!$D$1)</f>
        <v>0</v>
      </c>
      <c r="W94" s="57">
        <f>IF(ISNA(SUMIFS(INDEX(Inputs!$B$2:$AZ$190,,MATCH(SUBSTITUTE(W$3,"Q","T"),Inputs!$B$2:$AZ$2,0)),Inputs!$B$2:$B$190,$B94)*Inputs!$D$1),"",SUMIFS(INDEX(Inputs!$B$2:$AZ$190,,MATCH(SUBSTITUTE(W$3,"Q","T"),Inputs!$B$2:$AZ$2,0)),Inputs!$B$2:$B$190,$B94)*Inputs!$D$1)</f>
        <v>0</v>
      </c>
      <c r="X94" s="58">
        <f>SUM(T94:W94)</f>
        <v>0</v>
      </c>
      <c r="Y94" s="57">
        <f>IF(ISNA(SUMIFS(INDEX(Inputs!$B$2:$AZ$190,,MATCH(SUBSTITUTE(Y$3,"Q","T"),Inputs!$B$2:$AZ$2,0)),Inputs!$B$2:$B$190,$B94)*Inputs!$D$1),"",SUMIFS(INDEX(Inputs!$B$2:$AZ$190,,MATCH(SUBSTITUTE(Y$3,"Q","T"),Inputs!$B$2:$AZ$2,0)),Inputs!$B$2:$B$190,$B94)*Inputs!$D$1)</f>
        <v>0</v>
      </c>
      <c r="Z94" s="57">
        <f>IF(ISNA(SUMIFS(INDEX(Inputs!$B$2:$AZ$190,,MATCH(SUBSTITUTE(Z$3,"Q","T"),Inputs!$B$2:$AZ$2,0)),Inputs!$B$2:$B$190,$B94)*Inputs!$D$1),"",SUMIFS(INDEX(Inputs!$B$2:$AZ$190,,MATCH(SUBSTITUTE(Z$3,"Q","T"),Inputs!$B$2:$AZ$2,0)),Inputs!$B$2:$B$190,$B94)*Inputs!$D$1)</f>
        <v>0</v>
      </c>
      <c r="AA94" s="57">
        <f>IF(ISNA(SUMIFS(INDEX(Inputs!$B$2:$AZ$190,,MATCH(SUBSTITUTE(AA$3,"Q","T"),Inputs!$B$2:$AZ$2,0)),Inputs!$B$2:$B$190,$B94)*Inputs!$D$1),"",SUMIFS(INDEX(Inputs!$B$2:$AZ$190,,MATCH(SUBSTITUTE(AA$3,"Q","T"),Inputs!$B$2:$AZ$2,0)),Inputs!$B$2:$B$190,$B94)*Inputs!$D$1)</f>
        <v>0</v>
      </c>
      <c r="AB94" s="57">
        <f>IF(ISNA(SUMIFS(INDEX(Inputs!$B$2:$AZ$190,,MATCH(SUBSTITUTE(AB$3,"Q","T"),Inputs!$B$2:$AZ$2,0)),Inputs!$B$2:$B$190,$B94)*Inputs!$D$1),"",SUMIFS(INDEX(Inputs!$B$2:$AZ$190,,MATCH(SUBSTITUTE(AB$3,"Q","T"),Inputs!$B$2:$AZ$2,0)),Inputs!$B$2:$B$190,$B94)*Inputs!$D$1)</f>
        <v>0</v>
      </c>
      <c r="AC94" s="58">
        <f>SUM(Y94:AB94)</f>
        <v>0</v>
      </c>
      <c r="AD94" s="57">
        <f>IF(ISNA(SUMIFS(INDEX(Inputs!$B$2:$AZ$190,,MATCH(SUBSTITUTE(AD$3,"Q","T"),Inputs!$B$2:$AZ$2,0)),Inputs!$B$2:$B$190,$B94)*Inputs!$D$1),"",SUMIFS(INDEX(Inputs!$B$2:$AZ$190,,MATCH(SUBSTITUTE(AD$3,"Q","T"),Inputs!$B$2:$AZ$2,0)),Inputs!$B$2:$B$190,$B94)*Inputs!$D$1)</f>
        <v>0</v>
      </c>
      <c r="AE94" s="57">
        <f>IF(ISNA(SUMIFS(INDEX(Inputs!$B$2:$AZ$190,,MATCH(SUBSTITUTE(AE$3,"Q","T"),Inputs!$B$2:$AZ$2,0)),Inputs!$B$2:$B$190,$B94)*Inputs!$D$1),"",SUMIFS(INDEX(Inputs!$B$2:$AZ$190,,MATCH(SUBSTITUTE(AE$3,"Q","T"),Inputs!$B$2:$AZ$2,0)),Inputs!$B$2:$B$190,$B94)*Inputs!$D$1)</f>
        <v>0</v>
      </c>
      <c r="AF94" s="57">
        <f>IF(ISNA(SUMIFS(INDEX(Inputs!$B$2:$AZ$190,,MATCH(SUBSTITUTE(AF$3,"Q","T"),Inputs!$B$2:$AZ$2,0)),Inputs!$B$2:$B$190,$B94)*Inputs!$D$1),"",SUMIFS(INDEX(Inputs!$B$2:$AZ$190,,MATCH(SUBSTITUTE(AF$3,"Q","T"),Inputs!$B$2:$AZ$2,0)),Inputs!$B$2:$B$190,$B94)*Inputs!$D$1)</f>
        <v>0</v>
      </c>
      <c r="AG94" s="57">
        <f>IF(ISNA(SUMIFS(INDEX(Inputs!$B$2:$AZ$190,,MATCH(SUBSTITUTE(AG$3,"Q","T"),Inputs!$B$2:$AZ$2,0)),Inputs!$B$2:$B$190,$B94)*Inputs!$D$1),"",SUMIFS(INDEX(Inputs!$B$2:$AZ$190,,MATCH(SUBSTITUTE(AG$3,"Q","T"),Inputs!$B$2:$AZ$2,0)),Inputs!$B$2:$B$190,$B94)*Inputs!$D$1)</f>
        <v>0</v>
      </c>
      <c r="AH94" s="58">
        <f>SUM(AD94:AG94)</f>
        <v>0</v>
      </c>
      <c r="AI94" s="57">
        <f>IF(ISNA(SUMIFS(INDEX(Inputs!$B$2:$AZ$190,,MATCH(SUBSTITUTE(AI$3,"Q","T"),Inputs!$B$2:$AZ$2,0)),Inputs!$B$2:$B$190,$B94)*Inputs!$D$1),"",SUMIFS(INDEX(Inputs!$B$2:$AZ$190,,MATCH(SUBSTITUTE(AI$3,"Q","T"),Inputs!$B$2:$AZ$2,0)),Inputs!$B$2:$B$190,$B94)*Inputs!$D$1)</f>
        <v>0</v>
      </c>
      <c r="AJ94" s="57">
        <f>IF(ISNA(SUMIFS(INDEX(Inputs!$B$2:$AZ$190,,MATCH(SUBSTITUTE(AJ$3,"Q","T"),Inputs!$B$2:$AZ$2,0)),Inputs!$B$2:$B$190,$B94)*Inputs!$D$1),"",SUMIFS(INDEX(Inputs!$B$2:$AZ$190,,MATCH(SUBSTITUTE(AJ$3,"Q","T"),Inputs!$B$2:$AZ$2,0)),Inputs!$B$2:$B$190,$B94)*Inputs!$D$1)</f>
        <v>0</v>
      </c>
      <c r="AK94" s="57">
        <f>IF(ISNA(SUMIFS(INDEX(Inputs!$B$2:$AZ$190,,MATCH(SUBSTITUTE(AK$3,"Q","T"),Inputs!$B$2:$AZ$2,0)),Inputs!$B$2:$B$190,$B94)*Inputs!$D$1),"",SUMIFS(INDEX(Inputs!$B$2:$AZ$190,,MATCH(SUBSTITUTE(AK$3,"Q","T"),Inputs!$B$2:$AZ$2,0)),Inputs!$B$2:$B$190,$B94)*Inputs!$D$1)</f>
        <v>0</v>
      </c>
      <c r="AL94" s="57">
        <f>IF(ISNA(SUMIFS(INDEX(Inputs!$B$2:$AZ$190,,MATCH(SUBSTITUTE(AL$3,"Q","T"),Inputs!$B$2:$AZ$2,0)),Inputs!$B$2:$B$190,$B94)*Inputs!$D$1),"",SUMIFS(INDEX(Inputs!$B$2:$AZ$190,,MATCH(SUBSTITUTE(AL$3,"Q","T"),Inputs!$B$2:$AZ$2,0)),Inputs!$B$2:$B$190,$B94)*Inputs!$D$1)</f>
        <v>0</v>
      </c>
      <c r="AM94" s="58">
        <f>SUM(AI94:AL94)</f>
        <v>0</v>
      </c>
      <c r="AN94" s="57">
        <f>IF(ISNA(SUMIFS(INDEX(Inputs!$B$2:$AZ$190,,MATCH(SUBSTITUTE(AN$3,"Q","T"),Inputs!$B$2:$AZ$2,0)),Inputs!$B$2:$B$190,$B94)*Inputs!$D$1),"",SUMIFS(INDEX(Inputs!$B$2:$AZ$190,,MATCH(SUBSTITUTE(AN$3,"Q","T"),Inputs!$B$2:$AZ$2,0)),Inputs!$B$2:$B$190,$B94)*Inputs!$D$1)</f>
        <v>0</v>
      </c>
      <c r="AO94" s="57">
        <f>IF(ISNA(SUMIFS(INDEX(Inputs!$B$2:$AZ$190,,MATCH(SUBSTITUTE(AO$3,"Q","T"),Inputs!$B$2:$AZ$2,0)),Inputs!$B$2:$B$190,$B94)*Inputs!$D$1),"",SUMIFS(INDEX(Inputs!$B$2:$AZ$190,,MATCH(SUBSTITUTE(AO$3,"Q","T"),Inputs!$B$2:$AZ$2,0)),Inputs!$B$2:$B$190,$B94)*Inputs!$D$1)</f>
        <v>0</v>
      </c>
      <c r="AP94" s="57">
        <f>IF(ISNA(SUMIFS(INDEX(Inputs!$B$2:$AZ$190,,MATCH(SUBSTITUTE(AP$3,"Q","T"),Inputs!$B$2:$AZ$2,0)),Inputs!$B$2:$B$190,$B94)*Inputs!$D$1),"",SUMIFS(INDEX(Inputs!$B$2:$AZ$190,,MATCH(SUBSTITUTE(AP$3,"Q","T"),Inputs!$B$2:$AZ$2,0)),Inputs!$B$2:$B$190,$B94)*Inputs!$D$1)</f>
        <v>0</v>
      </c>
      <c r="AQ94" s="57">
        <f>IF(ISNA(SUMIFS(INDEX(Inputs!$B$2:$AZ$190,,MATCH(SUBSTITUTE(AQ$3,"Q","T"),Inputs!$B$2:$AZ$2,0)),Inputs!$B$2:$B$190,$B94)*Inputs!$D$1),"",SUMIFS(INDEX(Inputs!$B$2:$AZ$190,,MATCH(SUBSTITUTE(AQ$3,"Q","T"),Inputs!$B$2:$AZ$2,0)),Inputs!$B$2:$B$190,$B94)*Inputs!$D$1)</f>
        <v>0</v>
      </c>
      <c r="AR94" s="58">
        <f>SUM(AN94:AQ94)</f>
        <v>0</v>
      </c>
      <c r="AS94" s="57">
        <f>IF(ISNA(SUMIFS(INDEX(Inputs!$B$2:$AZ$190,,MATCH(SUBSTITUTE(AS$3,"Q","T"),Inputs!$B$2:$AZ$2,0)),Inputs!$B$2:$B$190,$B94)*Inputs!$D$1),"",SUMIFS(INDEX(Inputs!$B$2:$AZ$190,,MATCH(SUBSTITUTE(AS$3,"Q","T"),Inputs!$B$2:$AZ$2,0)),Inputs!$B$2:$B$190,$B94)*Inputs!$D$1)</f>
        <v>0</v>
      </c>
      <c r="AT94" s="57">
        <f>IF(ISNA(SUMIFS(INDEX(Inputs!$B$2:$AZ$190,,MATCH(SUBSTITUTE(AT$3,"Q","T"),Inputs!$B$2:$AZ$2,0)),Inputs!$B$2:$B$190,$B94)*Inputs!$D$1),"",SUMIFS(INDEX(Inputs!$B$2:$AZ$190,,MATCH(SUBSTITUTE(AT$3,"Q","T"),Inputs!$B$2:$AZ$2,0)),Inputs!$B$2:$B$190,$B94)*Inputs!$D$1)</f>
        <v>0</v>
      </c>
      <c r="AU94" s="57">
        <f>IF(ISNA(SUMIFS(INDEX(Inputs!$B$2:$AZ$190,,MATCH(SUBSTITUTE(AU$3,"Q","T"),Inputs!$B$2:$AZ$2,0)),Inputs!$B$2:$B$190,$B94)*Inputs!$D$1),"",SUMIFS(INDEX(Inputs!$B$2:$AZ$190,,MATCH(SUBSTITUTE(AU$3,"Q","T"),Inputs!$B$2:$AZ$2,0)),Inputs!$B$2:$B$190,$B94)*Inputs!$D$1)</f>
        <v>0</v>
      </c>
      <c r="AV94" s="57">
        <f>IF(ISNA(SUMIFS(INDEX(Inputs!$B$2:$AZ$190,,MATCH(SUBSTITUTE(AV$3,"Q","T"),Inputs!$B$2:$AZ$2,0)),Inputs!$B$2:$B$190,$B94)*Inputs!$D$1),"",SUMIFS(INDEX(Inputs!$B$2:$AZ$190,,MATCH(SUBSTITUTE(AV$3,"Q","T"),Inputs!$B$2:$AZ$2,0)),Inputs!$B$2:$B$190,$B94)*Inputs!$D$1)</f>
        <v>0</v>
      </c>
      <c r="AW94" s="58">
        <f>SUM(AS94:AV94)</f>
        <v>0</v>
      </c>
      <c r="AX94" s="57">
        <f>IF(ISNA(SUMIFS(INDEX(Inputs!$B$2:$AZ$190,,MATCH(SUBSTITUTE(AX$3,"Q","T"),Inputs!$B$2:$AZ$2,0)),Inputs!$B$2:$B$190,$B94)*Inputs!$D$1),"",SUMIFS(INDEX(Inputs!$B$2:$AZ$190,,MATCH(SUBSTITUTE(AX$3,"Q","T"),Inputs!$B$2:$AZ$2,0)),Inputs!$B$2:$B$190,$B94)*Inputs!$D$1)</f>
        <v>0</v>
      </c>
      <c r="AY94" s="57">
        <f>IF(ISNA(SUMIFS(INDEX(Inputs!$B$2:$AZ$190,,MATCH(SUBSTITUTE(AY$3,"Q","T"),Inputs!$B$2:$AZ$2,0)),Inputs!$B$2:$B$190,$B94)*Inputs!$D$1),"",SUMIFS(INDEX(Inputs!$B$2:$AZ$190,,MATCH(SUBSTITUTE(AY$3,"Q","T"),Inputs!$B$2:$AZ$2,0)),Inputs!$B$2:$B$190,$B94)*Inputs!$D$1)</f>
        <v>0</v>
      </c>
      <c r="AZ94" s="57">
        <f>IF(ISNA(SUMIFS(INDEX(Inputs!$B$2:$AZ$190,,MATCH(SUBSTITUTE(AZ$3,"Q","T"),Inputs!$B$2:$AZ$2,0)),Inputs!$B$2:$B$190,$B94)*Inputs!$D$1),"",SUMIFS(INDEX(Inputs!$B$2:$AZ$190,,MATCH(SUBSTITUTE(AZ$3,"Q","T"),Inputs!$B$2:$AZ$2,0)),Inputs!$B$2:$B$190,$B94)*Inputs!$D$1)</f>
        <v>0</v>
      </c>
      <c r="BA94" s="57">
        <f>IF(ISNA(SUMIFS(INDEX(Inputs!$B$2:$AZ$190,,MATCH(SUBSTITUTE(BA$3,"Q","T"),Inputs!$B$2:$AZ$2,0)),Inputs!$B$2:$B$190,$B94)*Inputs!$D$1),"",SUMIFS(INDEX(Inputs!$B$2:$AZ$190,,MATCH(SUBSTITUTE(BA$3,"Q","T"),Inputs!$B$2:$AZ$2,0)),Inputs!$B$2:$B$190,$B94)*Inputs!$D$1)</f>
        <v>0</v>
      </c>
      <c r="BB94" s="58">
        <f>SUM(AX94:BA94)</f>
        <v>0</v>
      </c>
      <c r="BC94" s="57">
        <f>IF(ISNA(SUMIFS(INDEX(Inputs!$B$2:$AZ$190,,MATCH(SUBSTITUTE(BC$3,"Q","T"),Inputs!$B$2:$AZ$2,0)),Inputs!$B$2:$B$190,$B94)*Inputs!$D$1),"",SUMIFS(INDEX(Inputs!$B$2:$AZ$190,,MATCH(SUBSTITUTE(BC$3,"Q","T"),Inputs!$B$2:$AZ$2,0)),Inputs!$B$2:$B$190,$B94)*Inputs!$D$1)</f>
        <v>0</v>
      </c>
      <c r="BD94" s="57">
        <f>IF(ISNA(SUMIFS(INDEX(Inputs!$B$2:$AZ$190,,MATCH(SUBSTITUTE(BD$3,"Q","T"),Inputs!$B$2:$AZ$2,0)),Inputs!$B$2:$B$190,$B94)*Inputs!$D$1),"",SUMIFS(INDEX(Inputs!$B$2:$AZ$190,,MATCH(SUBSTITUTE(BD$3,"Q","T"),Inputs!$B$2:$AZ$2,0)),Inputs!$B$2:$B$190,$B94)*Inputs!$D$1)</f>
        <v>0</v>
      </c>
      <c r="BE94" s="57">
        <f>IF(ISNA(SUMIFS(INDEX(Inputs!$B$2:$AZ$190,,MATCH(SUBSTITUTE(BE$3,"Q","T"),Inputs!$B$2:$AZ$2,0)),Inputs!$B$2:$B$190,$B94)*Inputs!$D$1),"",SUMIFS(INDEX(Inputs!$B$2:$AZ$190,,MATCH(SUBSTITUTE(BE$3,"Q","T"),Inputs!$B$2:$AZ$2,0)),Inputs!$B$2:$B$190,$B94)*Inputs!$D$1)</f>
        <v>0</v>
      </c>
      <c r="BF94" s="57">
        <f>IF(ISNA(SUMIFS(INDEX(Inputs!$B$2:$AZ$190,,MATCH(SUBSTITUTE(BF$3,"Q","T"),Inputs!$B$2:$AZ$2,0)),Inputs!$B$2:$B$190,$B94)*Inputs!$D$1),"",SUMIFS(INDEX(Inputs!$B$2:$AZ$190,,MATCH(SUBSTITUTE(BF$3,"Q","T"),Inputs!$B$2:$AZ$2,0)),Inputs!$B$2:$B$190,$B94)*Inputs!$D$1)</f>
        <v>0</v>
      </c>
      <c r="BG94" s="58">
        <f>SUM(BC94:BF94)</f>
        <v>0</v>
      </c>
    </row>
    <row r="95" hidden="1" outlineLevel="1">
      <c r="B95" s="56" t="inlineStr">
        <is>
          <t>fdic</t>
        </is>
      </c>
      <c r="C95" s="61" t="inlineStr">
        <is>
          <t>(FDIC e contribuições regulatórias, quando à parte)</t>
        </is>
      </c>
      <c r="D95" s="62" t="inlineStr">
        <is>
          <t>(FDIC and regulatory assessments, if separate)</t>
        </is>
      </c>
      <c r="E95" s="57">
        <f>IF(ISNA(SUMIFS(INDEX(Inputs!$B$2:$AZ$190,,MATCH(SUBSTITUTE(E$3,"Q","T"),Inputs!$B$2:$AZ$2,0)),Inputs!$B$2:$B$190,$B95)*Inputs!$D$1),"",SUMIFS(INDEX(Inputs!$B$2:$AZ$190,,MATCH(SUBSTITUTE(E$3,"Q","T"),Inputs!$B$2:$AZ$2,0)),Inputs!$B$2:$B$190,$B95)*Inputs!$D$1)</f>
        <v>0</v>
      </c>
      <c r="F95" s="57">
        <f>IF(ISNA(SUMIFS(INDEX(Inputs!$B$2:$AZ$190,,MATCH(SUBSTITUTE(F$3,"Q","T"),Inputs!$B$2:$AZ$2,0)),Inputs!$B$2:$B$190,$B95)*Inputs!$D$1),"",SUMIFS(INDEX(Inputs!$B$2:$AZ$190,,MATCH(SUBSTITUTE(F$3,"Q","T"),Inputs!$B$2:$AZ$2,0)),Inputs!$B$2:$B$190,$B95)*Inputs!$D$1)</f>
        <v>0</v>
      </c>
      <c r="G95" s="57">
        <f>IF(ISNA(SUMIFS(INDEX(Inputs!$B$2:$AZ$190,,MATCH(SUBSTITUTE(G$3,"Q","T"),Inputs!$B$2:$AZ$2,0)),Inputs!$B$2:$B$190,$B95)*Inputs!$D$1),"",SUMIFS(INDEX(Inputs!$B$2:$AZ$190,,MATCH(SUBSTITUTE(G$3,"Q","T"),Inputs!$B$2:$AZ$2,0)),Inputs!$B$2:$B$190,$B95)*Inputs!$D$1)</f>
        <v>0</v>
      </c>
      <c r="H95" s="57">
        <f>IF(ISNA(SUMIFS(INDEX(Inputs!$B$2:$AZ$190,,MATCH(SUBSTITUTE(H$3,"Q","T"),Inputs!$B$2:$AZ$2,0)),Inputs!$B$2:$B$190,$B95)*Inputs!$D$1),"",SUMIFS(INDEX(Inputs!$B$2:$AZ$190,,MATCH(SUBSTITUTE(H$3,"Q","T"),Inputs!$B$2:$AZ$2,0)),Inputs!$B$2:$B$190,$B95)*Inputs!$D$1)</f>
        <v>0</v>
      </c>
      <c r="I95" s="58">
        <f>SUM(E95:H95)</f>
        <v>0</v>
      </c>
      <c r="J95" s="57">
        <f>IF(ISNA(SUMIFS(INDEX(Inputs!$B$2:$AZ$190,,MATCH(SUBSTITUTE(J$3,"Q","T"),Inputs!$B$2:$AZ$2,0)),Inputs!$B$2:$B$190,$B95)*Inputs!$D$1),"",SUMIFS(INDEX(Inputs!$B$2:$AZ$190,,MATCH(SUBSTITUTE(J$3,"Q","T"),Inputs!$B$2:$AZ$2,0)),Inputs!$B$2:$B$190,$B95)*Inputs!$D$1)</f>
        <v>0</v>
      </c>
      <c r="K95" s="57">
        <f>IF(ISNA(SUMIFS(INDEX(Inputs!$B$2:$AZ$190,,MATCH(SUBSTITUTE(K$3,"Q","T"),Inputs!$B$2:$AZ$2,0)),Inputs!$B$2:$B$190,$B95)*Inputs!$D$1),"",SUMIFS(INDEX(Inputs!$B$2:$AZ$190,,MATCH(SUBSTITUTE(K$3,"Q","T"),Inputs!$B$2:$AZ$2,0)),Inputs!$B$2:$B$190,$B95)*Inputs!$D$1)</f>
        <v>0</v>
      </c>
      <c r="L95" s="57">
        <f>IF(ISNA(SUMIFS(INDEX(Inputs!$B$2:$AZ$190,,MATCH(SUBSTITUTE(L$3,"Q","T"),Inputs!$B$2:$AZ$2,0)),Inputs!$B$2:$B$190,$B95)*Inputs!$D$1),"",SUMIFS(INDEX(Inputs!$B$2:$AZ$190,,MATCH(SUBSTITUTE(L$3,"Q","T"),Inputs!$B$2:$AZ$2,0)),Inputs!$B$2:$B$190,$B95)*Inputs!$D$1)</f>
        <v>0</v>
      </c>
      <c r="M95" s="57">
        <f>IF(ISNA(SUMIFS(INDEX(Inputs!$B$2:$AZ$190,,MATCH(SUBSTITUTE(M$3,"Q","T"),Inputs!$B$2:$AZ$2,0)),Inputs!$B$2:$B$190,$B95)*Inputs!$D$1),"",SUMIFS(INDEX(Inputs!$B$2:$AZ$190,,MATCH(SUBSTITUTE(M$3,"Q","T"),Inputs!$B$2:$AZ$2,0)),Inputs!$B$2:$B$190,$B95)*Inputs!$D$1)</f>
        <v>0</v>
      </c>
      <c r="N95" s="58">
        <f>SUM(J95:M95)</f>
        <v>0</v>
      </c>
      <c r="O95" s="57">
        <f>IF(ISNA(SUMIFS(INDEX(Inputs!$B$2:$AZ$190,,MATCH(SUBSTITUTE(O$3,"Q","T"),Inputs!$B$2:$AZ$2,0)),Inputs!$B$2:$B$190,$B95)*Inputs!$D$1),"",SUMIFS(INDEX(Inputs!$B$2:$AZ$190,,MATCH(SUBSTITUTE(O$3,"Q","T"),Inputs!$B$2:$AZ$2,0)),Inputs!$B$2:$B$190,$B95)*Inputs!$D$1)</f>
        <v>0</v>
      </c>
      <c r="P95" s="57">
        <f>IF(ISNA(SUMIFS(INDEX(Inputs!$B$2:$AZ$190,,MATCH(SUBSTITUTE(P$3,"Q","T"),Inputs!$B$2:$AZ$2,0)),Inputs!$B$2:$B$190,$B95)*Inputs!$D$1),"",SUMIFS(INDEX(Inputs!$B$2:$AZ$190,,MATCH(SUBSTITUTE(P$3,"Q","T"),Inputs!$B$2:$AZ$2,0)),Inputs!$B$2:$B$190,$B95)*Inputs!$D$1)</f>
        <v>0</v>
      </c>
      <c r="Q95" s="57">
        <f>IF(ISNA(SUMIFS(INDEX(Inputs!$B$2:$AZ$190,,MATCH(SUBSTITUTE(Q$3,"Q","T"),Inputs!$B$2:$AZ$2,0)),Inputs!$B$2:$B$190,$B95)*Inputs!$D$1),"",SUMIFS(INDEX(Inputs!$B$2:$AZ$190,,MATCH(SUBSTITUTE(Q$3,"Q","T"),Inputs!$B$2:$AZ$2,0)),Inputs!$B$2:$B$190,$B95)*Inputs!$D$1)</f>
        <v>0</v>
      </c>
      <c r="R95" s="57">
        <f>IF(ISNA(SUMIFS(INDEX(Inputs!$B$2:$AZ$190,,MATCH(SUBSTITUTE(R$3,"Q","T"),Inputs!$B$2:$AZ$2,0)),Inputs!$B$2:$B$190,$B95)*Inputs!$D$1),"",SUMIFS(INDEX(Inputs!$B$2:$AZ$190,,MATCH(SUBSTITUTE(R$3,"Q","T"),Inputs!$B$2:$AZ$2,0)),Inputs!$B$2:$B$190,$B95)*Inputs!$D$1)</f>
        <v>0</v>
      </c>
      <c r="S95" s="58">
        <f>SUM(O95:R95)</f>
        <v>0</v>
      </c>
      <c r="T95" s="57">
        <f>IF(ISNA(SUMIFS(INDEX(Inputs!$B$2:$AZ$190,,MATCH(SUBSTITUTE(T$3,"Q","T"),Inputs!$B$2:$AZ$2,0)),Inputs!$B$2:$B$190,$B95)*Inputs!$D$1),"",SUMIFS(INDEX(Inputs!$B$2:$AZ$190,,MATCH(SUBSTITUTE(T$3,"Q","T"),Inputs!$B$2:$AZ$2,0)),Inputs!$B$2:$B$190,$B95)*Inputs!$D$1)</f>
        <v>0</v>
      </c>
      <c r="U95" s="57">
        <f>IF(ISNA(SUMIFS(INDEX(Inputs!$B$2:$AZ$190,,MATCH(SUBSTITUTE(U$3,"Q","T"),Inputs!$B$2:$AZ$2,0)),Inputs!$B$2:$B$190,$B95)*Inputs!$D$1),"",SUMIFS(INDEX(Inputs!$B$2:$AZ$190,,MATCH(SUBSTITUTE(U$3,"Q","T"),Inputs!$B$2:$AZ$2,0)),Inputs!$B$2:$B$190,$B95)*Inputs!$D$1)</f>
        <v>0</v>
      </c>
      <c r="V95" s="57">
        <f>IF(ISNA(SUMIFS(INDEX(Inputs!$B$2:$AZ$190,,MATCH(SUBSTITUTE(V$3,"Q","T"),Inputs!$B$2:$AZ$2,0)),Inputs!$B$2:$B$190,$B95)*Inputs!$D$1),"",SUMIFS(INDEX(Inputs!$B$2:$AZ$190,,MATCH(SUBSTITUTE(V$3,"Q","T"),Inputs!$B$2:$AZ$2,0)),Inputs!$B$2:$B$190,$B95)*Inputs!$D$1)</f>
        <v>0</v>
      </c>
      <c r="W95" s="57">
        <f>IF(ISNA(SUMIFS(INDEX(Inputs!$B$2:$AZ$190,,MATCH(SUBSTITUTE(W$3,"Q","T"),Inputs!$B$2:$AZ$2,0)),Inputs!$B$2:$B$190,$B95)*Inputs!$D$1),"",SUMIFS(INDEX(Inputs!$B$2:$AZ$190,,MATCH(SUBSTITUTE(W$3,"Q","T"),Inputs!$B$2:$AZ$2,0)),Inputs!$B$2:$B$190,$B95)*Inputs!$D$1)</f>
        <v>0</v>
      </c>
      <c r="X95" s="58">
        <f>SUM(T95:W95)</f>
        <v>0</v>
      </c>
      <c r="Y95" s="57">
        <f>IF(ISNA(SUMIFS(INDEX(Inputs!$B$2:$AZ$190,,MATCH(SUBSTITUTE(Y$3,"Q","T"),Inputs!$B$2:$AZ$2,0)),Inputs!$B$2:$B$190,$B95)*Inputs!$D$1),"",SUMIFS(INDEX(Inputs!$B$2:$AZ$190,,MATCH(SUBSTITUTE(Y$3,"Q","T"),Inputs!$B$2:$AZ$2,0)),Inputs!$B$2:$B$190,$B95)*Inputs!$D$1)</f>
        <v>0</v>
      </c>
      <c r="Z95" s="57">
        <f>IF(ISNA(SUMIFS(INDEX(Inputs!$B$2:$AZ$190,,MATCH(SUBSTITUTE(Z$3,"Q","T"),Inputs!$B$2:$AZ$2,0)),Inputs!$B$2:$B$190,$B95)*Inputs!$D$1),"",SUMIFS(INDEX(Inputs!$B$2:$AZ$190,,MATCH(SUBSTITUTE(Z$3,"Q","T"),Inputs!$B$2:$AZ$2,0)),Inputs!$B$2:$B$190,$B95)*Inputs!$D$1)</f>
        <v>0</v>
      </c>
      <c r="AA95" s="57">
        <f>IF(ISNA(SUMIFS(INDEX(Inputs!$B$2:$AZ$190,,MATCH(SUBSTITUTE(AA$3,"Q","T"),Inputs!$B$2:$AZ$2,0)),Inputs!$B$2:$B$190,$B95)*Inputs!$D$1),"",SUMIFS(INDEX(Inputs!$B$2:$AZ$190,,MATCH(SUBSTITUTE(AA$3,"Q","T"),Inputs!$B$2:$AZ$2,0)),Inputs!$B$2:$B$190,$B95)*Inputs!$D$1)</f>
        <v>0</v>
      </c>
      <c r="AB95" s="57">
        <f>IF(ISNA(SUMIFS(INDEX(Inputs!$B$2:$AZ$190,,MATCH(SUBSTITUTE(AB$3,"Q","T"),Inputs!$B$2:$AZ$2,0)),Inputs!$B$2:$B$190,$B95)*Inputs!$D$1),"",SUMIFS(INDEX(Inputs!$B$2:$AZ$190,,MATCH(SUBSTITUTE(AB$3,"Q","T"),Inputs!$B$2:$AZ$2,0)),Inputs!$B$2:$B$190,$B95)*Inputs!$D$1)</f>
        <v>0</v>
      </c>
      <c r="AC95" s="58">
        <f>SUM(Y95:AB95)</f>
        <v>0</v>
      </c>
      <c r="AD95" s="57">
        <f>IF(ISNA(SUMIFS(INDEX(Inputs!$B$2:$AZ$190,,MATCH(SUBSTITUTE(AD$3,"Q","T"),Inputs!$B$2:$AZ$2,0)),Inputs!$B$2:$B$190,$B95)*Inputs!$D$1),"",SUMIFS(INDEX(Inputs!$B$2:$AZ$190,,MATCH(SUBSTITUTE(AD$3,"Q","T"),Inputs!$B$2:$AZ$2,0)),Inputs!$B$2:$B$190,$B95)*Inputs!$D$1)</f>
        <v>0</v>
      </c>
      <c r="AE95" s="57">
        <f>IF(ISNA(SUMIFS(INDEX(Inputs!$B$2:$AZ$190,,MATCH(SUBSTITUTE(AE$3,"Q","T"),Inputs!$B$2:$AZ$2,0)),Inputs!$B$2:$B$190,$B95)*Inputs!$D$1),"",SUMIFS(INDEX(Inputs!$B$2:$AZ$190,,MATCH(SUBSTITUTE(AE$3,"Q","T"),Inputs!$B$2:$AZ$2,0)),Inputs!$B$2:$B$190,$B95)*Inputs!$D$1)</f>
        <v>0</v>
      </c>
      <c r="AF95" s="57">
        <f>IF(ISNA(SUMIFS(INDEX(Inputs!$B$2:$AZ$190,,MATCH(SUBSTITUTE(AF$3,"Q","T"),Inputs!$B$2:$AZ$2,0)),Inputs!$B$2:$B$190,$B95)*Inputs!$D$1),"",SUMIFS(INDEX(Inputs!$B$2:$AZ$190,,MATCH(SUBSTITUTE(AF$3,"Q","T"),Inputs!$B$2:$AZ$2,0)),Inputs!$B$2:$B$190,$B95)*Inputs!$D$1)</f>
        <v>0</v>
      </c>
      <c r="AG95" s="57">
        <f>IF(ISNA(SUMIFS(INDEX(Inputs!$B$2:$AZ$190,,MATCH(SUBSTITUTE(AG$3,"Q","T"),Inputs!$B$2:$AZ$2,0)),Inputs!$B$2:$B$190,$B95)*Inputs!$D$1),"",SUMIFS(INDEX(Inputs!$B$2:$AZ$190,,MATCH(SUBSTITUTE(AG$3,"Q","T"),Inputs!$B$2:$AZ$2,0)),Inputs!$B$2:$B$190,$B95)*Inputs!$D$1)</f>
        <v>0</v>
      </c>
      <c r="AH95" s="58">
        <f>SUM(AD95:AG95)</f>
        <v>0</v>
      </c>
      <c r="AI95" s="57">
        <f>IF(ISNA(SUMIFS(INDEX(Inputs!$B$2:$AZ$190,,MATCH(SUBSTITUTE(AI$3,"Q","T"),Inputs!$B$2:$AZ$2,0)),Inputs!$B$2:$B$190,$B95)*Inputs!$D$1),"",SUMIFS(INDEX(Inputs!$B$2:$AZ$190,,MATCH(SUBSTITUTE(AI$3,"Q","T"),Inputs!$B$2:$AZ$2,0)),Inputs!$B$2:$B$190,$B95)*Inputs!$D$1)</f>
        <v>0</v>
      </c>
      <c r="AJ95" s="57">
        <f>IF(ISNA(SUMIFS(INDEX(Inputs!$B$2:$AZ$190,,MATCH(SUBSTITUTE(AJ$3,"Q","T"),Inputs!$B$2:$AZ$2,0)),Inputs!$B$2:$B$190,$B95)*Inputs!$D$1),"",SUMIFS(INDEX(Inputs!$B$2:$AZ$190,,MATCH(SUBSTITUTE(AJ$3,"Q","T"),Inputs!$B$2:$AZ$2,0)),Inputs!$B$2:$B$190,$B95)*Inputs!$D$1)</f>
        <v>0</v>
      </c>
      <c r="AK95" s="57">
        <f>IF(ISNA(SUMIFS(INDEX(Inputs!$B$2:$AZ$190,,MATCH(SUBSTITUTE(AK$3,"Q","T"),Inputs!$B$2:$AZ$2,0)),Inputs!$B$2:$B$190,$B95)*Inputs!$D$1),"",SUMIFS(INDEX(Inputs!$B$2:$AZ$190,,MATCH(SUBSTITUTE(AK$3,"Q","T"),Inputs!$B$2:$AZ$2,0)),Inputs!$B$2:$B$190,$B95)*Inputs!$D$1)</f>
        <v>0</v>
      </c>
      <c r="AL95" s="57">
        <f>IF(ISNA(SUMIFS(INDEX(Inputs!$B$2:$AZ$190,,MATCH(SUBSTITUTE(AL$3,"Q","T"),Inputs!$B$2:$AZ$2,0)),Inputs!$B$2:$B$190,$B95)*Inputs!$D$1),"",SUMIFS(INDEX(Inputs!$B$2:$AZ$190,,MATCH(SUBSTITUTE(AL$3,"Q","T"),Inputs!$B$2:$AZ$2,0)),Inputs!$B$2:$B$190,$B95)*Inputs!$D$1)</f>
        <v>0</v>
      </c>
      <c r="AM95" s="58">
        <f>SUM(AI95:AL95)</f>
        <v>0</v>
      </c>
      <c r="AN95" s="57">
        <f>IF(ISNA(SUMIFS(INDEX(Inputs!$B$2:$AZ$190,,MATCH(SUBSTITUTE(AN$3,"Q","T"),Inputs!$B$2:$AZ$2,0)),Inputs!$B$2:$B$190,$B95)*Inputs!$D$1),"",SUMIFS(INDEX(Inputs!$B$2:$AZ$190,,MATCH(SUBSTITUTE(AN$3,"Q","T"),Inputs!$B$2:$AZ$2,0)),Inputs!$B$2:$B$190,$B95)*Inputs!$D$1)</f>
        <v>0</v>
      </c>
      <c r="AO95" s="57">
        <f>IF(ISNA(SUMIFS(INDEX(Inputs!$B$2:$AZ$190,,MATCH(SUBSTITUTE(AO$3,"Q","T"),Inputs!$B$2:$AZ$2,0)),Inputs!$B$2:$B$190,$B95)*Inputs!$D$1),"",SUMIFS(INDEX(Inputs!$B$2:$AZ$190,,MATCH(SUBSTITUTE(AO$3,"Q","T"),Inputs!$B$2:$AZ$2,0)),Inputs!$B$2:$B$190,$B95)*Inputs!$D$1)</f>
        <v>0</v>
      </c>
      <c r="AP95" s="57">
        <f>IF(ISNA(SUMIFS(INDEX(Inputs!$B$2:$AZ$190,,MATCH(SUBSTITUTE(AP$3,"Q","T"),Inputs!$B$2:$AZ$2,0)),Inputs!$B$2:$B$190,$B95)*Inputs!$D$1),"",SUMIFS(INDEX(Inputs!$B$2:$AZ$190,,MATCH(SUBSTITUTE(AP$3,"Q","T"),Inputs!$B$2:$AZ$2,0)),Inputs!$B$2:$B$190,$B95)*Inputs!$D$1)</f>
        <v>0</v>
      </c>
      <c r="AQ95" s="57">
        <f>IF(ISNA(SUMIFS(INDEX(Inputs!$B$2:$AZ$190,,MATCH(SUBSTITUTE(AQ$3,"Q","T"),Inputs!$B$2:$AZ$2,0)),Inputs!$B$2:$B$190,$B95)*Inputs!$D$1),"",SUMIFS(INDEX(Inputs!$B$2:$AZ$190,,MATCH(SUBSTITUTE(AQ$3,"Q","T"),Inputs!$B$2:$AZ$2,0)),Inputs!$B$2:$B$190,$B95)*Inputs!$D$1)</f>
        <v>0</v>
      </c>
      <c r="AR95" s="58">
        <f>SUM(AN95:AQ95)</f>
        <v>0</v>
      </c>
      <c r="AS95" s="57">
        <f>IF(ISNA(SUMIFS(INDEX(Inputs!$B$2:$AZ$190,,MATCH(SUBSTITUTE(AS$3,"Q","T"),Inputs!$B$2:$AZ$2,0)),Inputs!$B$2:$B$190,$B95)*Inputs!$D$1),"",SUMIFS(INDEX(Inputs!$B$2:$AZ$190,,MATCH(SUBSTITUTE(AS$3,"Q","T"),Inputs!$B$2:$AZ$2,0)),Inputs!$B$2:$B$190,$B95)*Inputs!$D$1)</f>
        <v>0</v>
      </c>
      <c r="AT95" s="57">
        <f>IF(ISNA(SUMIFS(INDEX(Inputs!$B$2:$AZ$190,,MATCH(SUBSTITUTE(AT$3,"Q","T"),Inputs!$B$2:$AZ$2,0)),Inputs!$B$2:$B$190,$B95)*Inputs!$D$1),"",SUMIFS(INDEX(Inputs!$B$2:$AZ$190,,MATCH(SUBSTITUTE(AT$3,"Q","T"),Inputs!$B$2:$AZ$2,0)),Inputs!$B$2:$B$190,$B95)*Inputs!$D$1)</f>
        <v>0</v>
      </c>
      <c r="AU95" s="57">
        <f>IF(ISNA(SUMIFS(INDEX(Inputs!$B$2:$AZ$190,,MATCH(SUBSTITUTE(AU$3,"Q","T"),Inputs!$B$2:$AZ$2,0)),Inputs!$B$2:$B$190,$B95)*Inputs!$D$1),"",SUMIFS(INDEX(Inputs!$B$2:$AZ$190,,MATCH(SUBSTITUTE(AU$3,"Q","T"),Inputs!$B$2:$AZ$2,0)),Inputs!$B$2:$B$190,$B95)*Inputs!$D$1)</f>
        <v>0</v>
      </c>
      <c r="AV95" s="57">
        <f>IF(ISNA(SUMIFS(INDEX(Inputs!$B$2:$AZ$190,,MATCH(SUBSTITUTE(AV$3,"Q","T"),Inputs!$B$2:$AZ$2,0)),Inputs!$B$2:$B$190,$B95)*Inputs!$D$1),"",SUMIFS(INDEX(Inputs!$B$2:$AZ$190,,MATCH(SUBSTITUTE(AV$3,"Q","T"),Inputs!$B$2:$AZ$2,0)),Inputs!$B$2:$B$190,$B95)*Inputs!$D$1)</f>
        <v>0</v>
      </c>
      <c r="AW95" s="58">
        <f>SUM(AS95:AV95)</f>
        <v>0</v>
      </c>
      <c r="AX95" s="57">
        <f>IF(ISNA(SUMIFS(INDEX(Inputs!$B$2:$AZ$190,,MATCH(SUBSTITUTE(AX$3,"Q","T"),Inputs!$B$2:$AZ$2,0)),Inputs!$B$2:$B$190,$B95)*Inputs!$D$1),"",SUMIFS(INDEX(Inputs!$B$2:$AZ$190,,MATCH(SUBSTITUTE(AX$3,"Q","T"),Inputs!$B$2:$AZ$2,0)),Inputs!$B$2:$B$190,$B95)*Inputs!$D$1)</f>
        <v>0</v>
      </c>
      <c r="AY95" s="57">
        <f>IF(ISNA(SUMIFS(INDEX(Inputs!$B$2:$AZ$190,,MATCH(SUBSTITUTE(AY$3,"Q","T"),Inputs!$B$2:$AZ$2,0)),Inputs!$B$2:$B$190,$B95)*Inputs!$D$1),"",SUMIFS(INDEX(Inputs!$B$2:$AZ$190,,MATCH(SUBSTITUTE(AY$3,"Q","T"),Inputs!$B$2:$AZ$2,0)),Inputs!$B$2:$B$190,$B95)*Inputs!$D$1)</f>
        <v>0</v>
      </c>
      <c r="AZ95" s="57">
        <f>IF(ISNA(SUMIFS(INDEX(Inputs!$B$2:$AZ$190,,MATCH(SUBSTITUTE(AZ$3,"Q","T"),Inputs!$B$2:$AZ$2,0)),Inputs!$B$2:$B$190,$B95)*Inputs!$D$1),"",SUMIFS(INDEX(Inputs!$B$2:$AZ$190,,MATCH(SUBSTITUTE(AZ$3,"Q","T"),Inputs!$B$2:$AZ$2,0)),Inputs!$B$2:$B$190,$B95)*Inputs!$D$1)</f>
        <v>0</v>
      </c>
      <c r="BA95" s="57">
        <f>IF(ISNA(SUMIFS(INDEX(Inputs!$B$2:$AZ$190,,MATCH(SUBSTITUTE(BA$3,"Q","T"),Inputs!$B$2:$AZ$2,0)),Inputs!$B$2:$B$190,$B95)*Inputs!$D$1),"",SUMIFS(INDEX(Inputs!$B$2:$AZ$190,,MATCH(SUBSTITUTE(BA$3,"Q","T"),Inputs!$B$2:$AZ$2,0)),Inputs!$B$2:$B$190,$B95)*Inputs!$D$1)</f>
        <v>0</v>
      </c>
      <c r="BB95" s="58">
        <f>SUM(AX95:BA95)</f>
        <v>0</v>
      </c>
      <c r="BC95" s="57">
        <f>IF(ISNA(SUMIFS(INDEX(Inputs!$B$2:$AZ$190,,MATCH(SUBSTITUTE(BC$3,"Q","T"),Inputs!$B$2:$AZ$2,0)),Inputs!$B$2:$B$190,$B95)*Inputs!$D$1),"",SUMIFS(INDEX(Inputs!$B$2:$AZ$190,,MATCH(SUBSTITUTE(BC$3,"Q","T"),Inputs!$B$2:$AZ$2,0)),Inputs!$B$2:$B$190,$B95)*Inputs!$D$1)</f>
        <v>0</v>
      </c>
      <c r="BD95" s="57">
        <f>IF(ISNA(SUMIFS(INDEX(Inputs!$B$2:$AZ$190,,MATCH(SUBSTITUTE(BD$3,"Q","T"),Inputs!$B$2:$AZ$2,0)),Inputs!$B$2:$B$190,$B95)*Inputs!$D$1),"",SUMIFS(INDEX(Inputs!$B$2:$AZ$190,,MATCH(SUBSTITUTE(BD$3,"Q","T"),Inputs!$B$2:$AZ$2,0)),Inputs!$B$2:$B$190,$B95)*Inputs!$D$1)</f>
        <v>0</v>
      </c>
      <c r="BE95" s="57">
        <f>IF(ISNA(SUMIFS(INDEX(Inputs!$B$2:$AZ$190,,MATCH(SUBSTITUTE(BE$3,"Q","T"),Inputs!$B$2:$AZ$2,0)),Inputs!$B$2:$B$190,$B95)*Inputs!$D$1),"",SUMIFS(INDEX(Inputs!$B$2:$AZ$190,,MATCH(SUBSTITUTE(BE$3,"Q","T"),Inputs!$B$2:$AZ$2,0)),Inputs!$B$2:$B$190,$B95)*Inputs!$D$1)</f>
        <v>0</v>
      </c>
      <c r="BF95" s="57">
        <f>IF(ISNA(SUMIFS(INDEX(Inputs!$B$2:$AZ$190,,MATCH(SUBSTITUTE(BF$3,"Q","T"),Inputs!$B$2:$AZ$2,0)),Inputs!$B$2:$B$190,$B95)*Inputs!$D$1),"",SUMIFS(INDEX(Inputs!$B$2:$AZ$190,,MATCH(SUBSTITUTE(BF$3,"Q","T"),Inputs!$B$2:$AZ$2,0)),Inputs!$B$2:$B$190,$B95)*Inputs!$D$1)</f>
        <v>0</v>
      </c>
      <c r="BG95" s="58">
        <f>SUM(BC95:BF95)</f>
        <v>0</v>
      </c>
    </row>
    <row r="96" hidden="1" outlineLevel="1">
      <c r="B96" s="56" t="inlineStr">
        <is>
          <t>eq_income</t>
        </is>
      </c>
      <c r="C96" s="61" t="inlineStr">
        <is>
          <t>Resultado de equivalência patrimonial (quando à parte)</t>
        </is>
      </c>
      <c r="D96" s="62" t="inlineStr">
        <is>
          <t>Equity-method income, if separate</t>
        </is>
      </c>
      <c r="E96" s="57">
        <f>IF(ISNA(SUMIFS(INDEX(Inputs!$B$2:$AZ$190,,MATCH(SUBSTITUTE(E$3,"Q","T"),Inputs!$B$2:$AZ$2,0)),Inputs!$B$2:$B$190,$B96)*Inputs!$D$1),"",SUMIFS(INDEX(Inputs!$B$2:$AZ$190,,MATCH(SUBSTITUTE(E$3,"Q","T"),Inputs!$B$2:$AZ$2,0)),Inputs!$B$2:$B$190,$B96)*Inputs!$D$1)</f>
        <v>0</v>
      </c>
      <c r="F96" s="57">
        <f>IF(ISNA(SUMIFS(INDEX(Inputs!$B$2:$AZ$190,,MATCH(SUBSTITUTE(F$3,"Q","T"),Inputs!$B$2:$AZ$2,0)),Inputs!$B$2:$B$190,$B96)*Inputs!$D$1),"",SUMIFS(INDEX(Inputs!$B$2:$AZ$190,,MATCH(SUBSTITUTE(F$3,"Q","T"),Inputs!$B$2:$AZ$2,0)),Inputs!$B$2:$B$190,$B96)*Inputs!$D$1)</f>
        <v>0</v>
      </c>
      <c r="G96" s="57">
        <f>IF(ISNA(SUMIFS(INDEX(Inputs!$B$2:$AZ$190,,MATCH(SUBSTITUTE(G$3,"Q","T"),Inputs!$B$2:$AZ$2,0)),Inputs!$B$2:$B$190,$B96)*Inputs!$D$1),"",SUMIFS(INDEX(Inputs!$B$2:$AZ$190,,MATCH(SUBSTITUTE(G$3,"Q","T"),Inputs!$B$2:$AZ$2,0)),Inputs!$B$2:$B$190,$B96)*Inputs!$D$1)</f>
        <v>0</v>
      </c>
      <c r="H96" s="57">
        <f>IF(ISNA(SUMIFS(INDEX(Inputs!$B$2:$AZ$190,,MATCH(SUBSTITUTE(H$3,"Q","T"),Inputs!$B$2:$AZ$2,0)),Inputs!$B$2:$B$190,$B96)*Inputs!$D$1),"",SUMIFS(INDEX(Inputs!$B$2:$AZ$190,,MATCH(SUBSTITUTE(H$3,"Q","T"),Inputs!$B$2:$AZ$2,0)),Inputs!$B$2:$B$190,$B96)*Inputs!$D$1)</f>
        <v>0</v>
      </c>
      <c r="I96" s="58">
        <f>SUM(E96:H96)</f>
        <v>0</v>
      </c>
      <c r="J96" s="57">
        <f>IF(ISNA(SUMIFS(INDEX(Inputs!$B$2:$AZ$190,,MATCH(SUBSTITUTE(J$3,"Q","T"),Inputs!$B$2:$AZ$2,0)),Inputs!$B$2:$B$190,$B96)*Inputs!$D$1),"",SUMIFS(INDEX(Inputs!$B$2:$AZ$190,,MATCH(SUBSTITUTE(J$3,"Q","T"),Inputs!$B$2:$AZ$2,0)),Inputs!$B$2:$B$190,$B96)*Inputs!$D$1)</f>
        <v>0</v>
      </c>
      <c r="K96" s="57">
        <f>IF(ISNA(SUMIFS(INDEX(Inputs!$B$2:$AZ$190,,MATCH(SUBSTITUTE(K$3,"Q","T"),Inputs!$B$2:$AZ$2,0)),Inputs!$B$2:$B$190,$B96)*Inputs!$D$1),"",SUMIFS(INDEX(Inputs!$B$2:$AZ$190,,MATCH(SUBSTITUTE(K$3,"Q","T"),Inputs!$B$2:$AZ$2,0)),Inputs!$B$2:$B$190,$B96)*Inputs!$D$1)</f>
        <v>0</v>
      </c>
      <c r="L96" s="57">
        <f>IF(ISNA(SUMIFS(INDEX(Inputs!$B$2:$AZ$190,,MATCH(SUBSTITUTE(L$3,"Q","T"),Inputs!$B$2:$AZ$2,0)),Inputs!$B$2:$B$190,$B96)*Inputs!$D$1),"",SUMIFS(INDEX(Inputs!$B$2:$AZ$190,,MATCH(SUBSTITUTE(L$3,"Q","T"),Inputs!$B$2:$AZ$2,0)),Inputs!$B$2:$B$190,$B96)*Inputs!$D$1)</f>
        <v>0</v>
      </c>
      <c r="M96" s="57">
        <f>IF(ISNA(SUMIFS(INDEX(Inputs!$B$2:$AZ$190,,MATCH(SUBSTITUTE(M$3,"Q","T"),Inputs!$B$2:$AZ$2,0)),Inputs!$B$2:$B$190,$B96)*Inputs!$D$1),"",SUMIFS(INDEX(Inputs!$B$2:$AZ$190,,MATCH(SUBSTITUTE(M$3,"Q","T"),Inputs!$B$2:$AZ$2,0)),Inputs!$B$2:$B$190,$B96)*Inputs!$D$1)</f>
        <v>0</v>
      </c>
      <c r="N96" s="58">
        <f>SUM(J96:M96)</f>
        <v>0</v>
      </c>
      <c r="O96" s="57">
        <f>IF(ISNA(SUMIFS(INDEX(Inputs!$B$2:$AZ$190,,MATCH(SUBSTITUTE(O$3,"Q","T"),Inputs!$B$2:$AZ$2,0)),Inputs!$B$2:$B$190,$B96)*Inputs!$D$1),"",SUMIFS(INDEX(Inputs!$B$2:$AZ$190,,MATCH(SUBSTITUTE(O$3,"Q","T"),Inputs!$B$2:$AZ$2,0)),Inputs!$B$2:$B$190,$B96)*Inputs!$D$1)</f>
        <v>0</v>
      </c>
      <c r="P96" s="57">
        <f>IF(ISNA(SUMIFS(INDEX(Inputs!$B$2:$AZ$190,,MATCH(SUBSTITUTE(P$3,"Q","T"),Inputs!$B$2:$AZ$2,0)),Inputs!$B$2:$B$190,$B96)*Inputs!$D$1),"",SUMIFS(INDEX(Inputs!$B$2:$AZ$190,,MATCH(SUBSTITUTE(P$3,"Q","T"),Inputs!$B$2:$AZ$2,0)),Inputs!$B$2:$B$190,$B96)*Inputs!$D$1)</f>
        <v>0</v>
      </c>
      <c r="Q96" s="57">
        <f>IF(ISNA(SUMIFS(INDEX(Inputs!$B$2:$AZ$190,,MATCH(SUBSTITUTE(Q$3,"Q","T"),Inputs!$B$2:$AZ$2,0)),Inputs!$B$2:$B$190,$B96)*Inputs!$D$1),"",SUMIFS(INDEX(Inputs!$B$2:$AZ$190,,MATCH(SUBSTITUTE(Q$3,"Q","T"),Inputs!$B$2:$AZ$2,0)),Inputs!$B$2:$B$190,$B96)*Inputs!$D$1)</f>
        <v>0</v>
      </c>
      <c r="R96" s="57">
        <f>IF(ISNA(SUMIFS(INDEX(Inputs!$B$2:$AZ$190,,MATCH(SUBSTITUTE(R$3,"Q","T"),Inputs!$B$2:$AZ$2,0)),Inputs!$B$2:$B$190,$B96)*Inputs!$D$1),"",SUMIFS(INDEX(Inputs!$B$2:$AZ$190,,MATCH(SUBSTITUTE(R$3,"Q","T"),Inputs!$B$2:$AZ$2,0)),Inputs!$B$2:$B$190,$B96)*Inputs!$D$1)</f>
        <v>0</v>
      </c>
      <c r="S96" s="58">
        <f>SUM(O96:R96)</f>
        <v>0</v>
      </c>
      <c r="T96" s="57">
        <f>IF(ISNA(SUMIFS(INDEX(Inputs!$B$2:$AZ$190,,MATCH(SUBSTITUTE(T$3,"Q","T"),Inputs!$B$2:$AZ$2,0)),Inputs!$B$2:$B$190,$B96)*Inputs!$D$1),"",SUMIFS(INDEX(Inputs!$B$2:$AZ$190,,MATCH(SUBSTITUTE(T$3,"Q","T"),Inputs!$B$2:$AZ$2,0)),Inputs!$B$2:$B$190,$B96)*Inputs!$D$1)</f>
        <v>0</v>
      </c>
      <c r="U96" s="57">
        <f>IF(ISNA(SUMIFS(INDEX(Inputs!$B$2:$AZ$190,,MATCH(SUBSTITUTE(U$3,"Q","T"),Inputs!$B$2:$AZ$2,0)),Inputs!$B$2:$B$190,$B96)*Inputs!$D$1),"",SUMIFS(INDEX(Inputs!$B$2:$AZ$190,,MATCH(SUBSTITUTE(U$3,"Q","T"),Inputs!$B$2:$AZ$2,0)),Inputs!$B$2:$B$190,$B96)*Inputs!$D$1)</f>
        <v>0</v>
      </c>
      <c r="V96" s="57">
        <f>IF(ISNA(SUMIFS(INDEX(Inputs!$B$2:$AZ$190,,MATCH(SUBSTITUTE(V$3,"Q","T"),Inputs!$B$2:$AZ$2,0)),Inputs!$B$2:$B$190,$B96)*Inputs!$D$1),"",SUMIFS(INDEX(Inputs!$B$2:$AZ$190,,MATCH(SUBSTITUTE(V$3,"Q","T"),Inputs!$B$2:$AZ$2,0)),Inputs!$B$2:$B$190,$B96)*Inputs!$D$1)</f>
        <v>0</v>
      </c>
      <c r="W96" s="57">
        <f>IF(ISNA(SUMIFS(INDEX(Inputs!$B$2:$AZ$190,,MATCH(SUBSTITUTE(W$3,"Q","T"),Inputs!$B$2:$AZ$2,0)),Inputs!$B$2:$B$190,$B96)*Inputs!$D$1),"",SUMIFS(INDEX(Inputs!$B$2:$AZ$190,,MATCH(SUBSTITUTE(W$3,"Q","T"),Inputs!$B$2:$AZ$2,0)),Inputs!$B$2:$B$190,$B96)*Inputs!$D$1)</f>
        <v>0</v>
      </c>
      <c r="X96" s="58">
        <f>SUM(T96:W96)</f>
        <v>0</v>
      </c>
      <c r="Y96" s="57">
        <f>IF(ISNA(SUMIFS(INDEX(Inputs!$B$2:$AZ$190,,MATCH(SUBSTITUTE(Y$3,"Q","T"),Inputs!$B$2:$AZ$2,0)),Inputs!$B$2:$B$190,$B96)*Inputs!$D$1),"",SUMIFS(INDEX(Inputs!$B$2:$AZ$190,,MATCH(SUBSTITUTE(Y$3,"Q","T"),Inputs!$B$2:$AZ$2,0)),Inputs!$B$2:$B$190,$B96)*Inputs!$D$1)</f>
        <v>0</v>
      </c>
      <c r="Z96" s="57">
        <f>IF(ISNA(SUMIFS(INDEX(Inputs!$B$2:$AZ$190,,MATCH(SUBSTITUTE(Z$3,"Q","T"),Inputs!$B$2:$AZ$2,0)),Inputs!$B$2:$B$190,$B96)*Inputs!$D$1),"",SUMIFS(INDEX(Inputs!$B$2:$AZ$190,,MATCH(SUBSTITUTE(Z$3,"Q","T"),Inputs!$B$2:$AZ$2,0)),Inputs!$B$2:$B$190,$B96)*Inputs!$D$1)</f>
        <v>0</v>
      </c>
      <c r="AA96" s="57">
        <f>IF(ISNA(SUMIFS(INDEX(Inputs!$B$2:$AZ$190,,MATCH(SUBSTITUTE(AA$3,"Q","T"),Inputs!$B$2:$AZ$2,0)),Inputs!$B$2:$B$190,$B96)*Inputs!$D$1),"",SUMIFS(INDEX(Inputs!$B$2:$AZ$190,,MATCH(SUBSTITUTE(AA$3,"Q","T"),Inputs!$B$2:$AZ$2,0)),Inputs!$B$2:$B$190,$B96)*Inputs!$D$1)</f>
        <v>0</v>
      </c>
      <c r="AB96" s="57">
        <f>IF(ISNA(SUMIFS(INDEX(Inputs!$B$2:$AZ$190,,MATCH(SUBSTITUTE(AB$3,"Q","T"),Inputs!$B$2:$AZ$2,0)),Inputs!$B$2:$B$190,$B96)*Inputs!$D$1),"",SUMIFS(INDEX(Inputs!$B$2:$AZ$190,,MATCH(SUBSTITUTE(AB$3,"Q","T"),Inputs!$B$2:$AZ$2,0)),Inputs!$B$2:$B$190,$B96)*Inputs!$D$1)</f>
        <v>0</v>
      </c>
      <c r="AC96" s="58">
        <f>SUM(Y96:AB96)</f>
        <v>0</v>
      </c>
      <c r="AD96" s="57">
        <f>IF(ISNA(SUMIFS(INDEX(Inputs!$B$2:$AZ$190,,MATCH(SUBSTITUTE(AD$3,"Q","T"),Inputs!$B$2:$AZ$2,0)),Inputs!$B$2:$B$190,$B96)*Inputs!$D$1),"",SUMIFS(INDEX(Inputs!$B$2:$AZ$190,,MATCH(SUBSTITUTE(AD$3,"Q","T"),Inputs!$B$2:$AZ$2,0)),Inputs!$B$2:$B$190,$B96)*Inputs!$D$1)</f>
        <v>0</v>
      </c>
      <c r="AE96" s="57">
        <f>IF(ISNA(SUMIFS(INDEX(Inputs!$B$2:$AZ$190,,MATCH(SUBSTITUTE(AE$3,"Q","T"),Inputs!$B$2:$AZ$2,0)),Inputs!$B$2:$B$190,$B96)*Inputs!$D$1),"",SUMIFS(INDEX(Inputs!$B$2:$AZ$190,,MATCH(SUBSTITUTE(AE$3,"Q","T"),Inputs!$B$2:$AZ$2,0)),Inputs!$B$2:$B$190,$B96)*Inputs!$D$1)</f>
        <v>0</v>
      </c>
      <c r="AF96" s="57">
        <f>IF(ISNA(SUMIFS(INDEX(Inputs!$B$2:$AZ$190,,MATCH(SUBSTITUTE(AF$3,"Q","T"),Inputs!$B$2:$AZ$2,0)),Inputs!$B$2:$B$190,$B96)*Inputs!$D$1),"",SUMIFS(INDEX(Inputs!$B$2:$AZ$190,,MATCH(SUBSTITUTE(AF$3,"Q","T"),Inputs!$B$2:$AZ$2,0)),Inputs!$B$2:$B$190,$B96)*Inputs!$D$1)</f>
        <v>0</v>
      </c>
      <c r="AG96" s="57">
        <f>IF(ISNA(SUMIFS(INDEX(Inputs!$B$2:$AZ$190,,MATCH(SUBSTITUTE(AG$3,"Q","T"),Inputs!$B$2:$AZ$2,0)),Inputs!$B$2:$B$190,$B96)*Inputs!$D$1),"",SUMIFS(INDEX(Inputs!$B$2:$AZ$190,,MATCH(SUBSTITUTE(AG$3,"Q","T"),Inputs!$B$2:$AZ$2,0)),Inputs!$B$2:$B$190,$B96)*Inputs!$D$1)</f>
        <v>0</v>
      </c>
      <c r="AH96" s="58">
        <f>SUM(AD96:AG96)</f>
        <v>0</v>
      </c>
      <c r="AI96" s="57">
        <f>IF(ISNA(SUMIFS(INDEX(Inputs!$B$2:$AZ$190,,MATCH(SUBSTITUTE(AI$3,"Q","T"),Inputs!$B$2:$AZ$2,0)),Inputs!$B$2:$B$190,$B96)*Inputs!$D$1),"",SUMIFS(INDEX(Inputs!$B$2:$AZ$190,,MATCH(SUBSTITUTE(AI$3,"Q","T"),Inputs!$B$2:$AZ$2,0)),Inputs!$B$2:$B$190,$B96)*Inputs!$D$1)</f>
        <v>0</v>
      </c>
      <c r="AJ96" s="57">
        <f>IF(ISNA(SUMIFS(INDEX(Inputs!$B$2:$AZ$190,,MATCH(SUBSTITUTE(AJ$3,"Q","T"),Inputs!$B$2:$AZ$2,0)),Inputs!$B$2:$B$190,$B96)*Inputs!$D$1),"",SUMIFS(INDEX(Inputs!$B$2:$AZ$190,,MATCH(SUBSTITUTE(AJ$3,"Q","T"),Inputs!$B$2:$AZ$2,0)),Inputs!$B$2:$B$190,$B96)*Inputs!$D$1)</f>
        <v>0</v>
      </c>
      <c r="AK96" s="57">
        <f>IF(ISNA(SUMIFS(INDEX(Inputs!$B$2:$AZ$190,,MATCH(SUBSTITUTE(AK$3,"Q","T"),Inputs!$B$2:$AZ$2,0)),Inputs!$B$2:$B$190,$B96)*Inputs!$D$1),"",SUMIFS(INDEX(Inputs!$B$2:$AZ$190,,MATCH(SUBSTITUTE(AK$3,"Q","T"),Inputs!$B$2:$AZ$2,0)),Inputs!$B$2:$B$190,$B96)*Inputs!$D$1)</f>
        <v>0</v>
      </c>
      <c r="AL96" s="57">
        <f>IF(ISNA(SUMIFS(INDEX(Inputs!$B$2:$AZ$190,,MATCH(SUBSTITUTE(AL$3,"Q","T"),Inputs!$B$2:$AZ$2,0)),Inputs!$B$2:$B$190,$B96)*Inputs!$D$1),"",SUMIFS(INDEX(Inputs!$B$2:$AZ$190,,MATCH(SUBSTITUTE(AL$3,"Q","T"),Inputs!$B$2:$AZ$2,0)),Inputs!$B$2:$B$190,$B96)*Inputs!$D$1)</f>
        <v>0</v>
      </c>
      <c r="AM96" s="58">
        <f>SUM(AI96:AL96)</f>
        <v>0</v>
      </c>
      <c r="AN96" s="57">
        <f>IF(ISNA(SUMIFS(INDEX(Inputs!$B$2:$AZ$190,,MATCH(SUBSTITUTE(AN$3,"Q","T"),Inputs!$B$2:$AZ$2,0)),Inputs!$B$2:$B$190,$B96)*Inputs!$D$1),"",SUMIFS(INDEX(Inputs!$B$2:$AZ$190,,MATCH(SUBSTITUTE(AN$3,"Q","T"),Inputs!$B$2:$AZ$2,0)),Inputs!$B$2:$B$190,$B96)*Inputs!$D$1)</f>
        <v>0</v>
      </c>
      <c r="AO96" s="57">
        <f>IF(ISNA(SUMIFS(INDEX(Inputs!$B$2:$AZ$190,,MATCH(SUBSTITUTE(AO$3,"Q","T"),Inputs!$B$2:$AZ$2,0)),Inputs!$B$2:$B$190,$B96)*Inputs!$D$1),"",SUMIFS(INDEX(Inputs!$B$2:$AZ$190,,MATCH(SUBSTITUTE(AO$3,"Q","T"),Inputs!$B$2:$AZ$2,0)),Inputs!$B$2:$B$190,$B96)*Inputs!$D$1)</f>
        <v>0</v>
      </c>
      <c r="AP96" s="57">
        <f>IF(ISNA(SUMIFS(INDEX(Inputs!$B$2:$AZ$190,,MATCH(SUBSTITUTE(AP$3,"Q","T"),Inputs!$B$2:$AZ$2,0)),Inputs!$B$2:$B$190,$B96)*Inputs!$D$1),"",SUMIFS(INDEX(Inputs!$B$2:$AZ$190,,MATCH(SUBSTITUTE(AP$3,"Q","T"),Inputs!$B$2:$AZ$2,0)),Inputs!$B$2:$B$190,$B96)*Inputs!$D$1)</f>
        <v>0</v>
      </c>
      <c r="AQ96" s="57">
        <f>IF(ISNA(SUMIFS(INDEX(Inputs!$B$2:$AZ$190,,MATCH(SUBSTITUTE(AQ$3,"Q","T"),Inputs!$B$2:$AZ$2,0)),Inputs!$B$2:$B$190,$B96)*Inputs!$D$1),"",SUMIFS(INDEX(Inputs!$B$2:$AZ$190,,MATCH(SUBSTITUTE(AQ$3,"Q","T"),Inputs!$B$2:$AZ$2,0)),Inputs!$B$2:$B$190,$B96)*Inputs!$D$1)</f>
        <v>0</v>
      </c>
      <c r="AR96" s="58">
        <f>SUM(AN96:AQ96)</f>
        <v>0</v>
      </c>
      <c r="AS96" s="57">
        <f>IF(ISNA(SUMIFS(INDEX(Inputs!$B$2:$AZ$190,,MATCH(SUBSTITUTE(AS$3,"Q","T"),Inputs!$B$2:$AZ$2,0)),Inputs!$B$2:$B$190,$B96)*Inputs!$D$1),"",SUMIFS(INDEX(Inputs!$B$2:$AZ$190,,MATCH(SUBSTITUTE(AS$3,"Q","T"),Inputs!$B$2:$AZ$2,0)),Inputs!$B$2:$B$190,$B96)*Inputs!$D$1)</f>
        <v>0</v>
      </c>
      <c r="AT96" s="57">
        <f>IF(ISNA(SUMIFS(INDEX(Inputs!$B$2:$AZ$190,,MATCH(SUBSTITUTE(AT$3,"Q","T"),Inputs!$B$2:$AZ$2,0)),Inputs!$B$2:$B$190,$B96)*Inputs!$D$1),"",SUMIFS(INDEX(Inputs!$B$2:$AZ$190,,MATCH(SUBSTITUTE(AT$3,"Q","T"),Inputs!$B$2:$AZ$2,0)),Inputs!$B$2:$B$190,$B96)*Inputs!$D$1)</f>
        <v>0</v>
      </c>
      <c r="AU96" s="57">
        <f>IF(ISNA(SUMIFS(INDEX(Inputs!$B$2:$AZ$190,,MATCH(SUBSTITUTE(AU$3,"Q","T"),Inputs!$B$2:$AZ$2,0)),Inputs!$B$2:$B$190,$B96)*Inputs!$D$1),"",SUMIFS(INDEX(Inputs!$B$2:$AZ$190,,MATCH(SUBSTITUTE(AU$3,"Q","T"),Inputs!$B$2:$AZ$2,0)),Inputs!$B$2:$B$190,$B96)*Inputs!$D$1)</f>
        <v>0</v>
      </c>
      <c r="AV96" s="57">
        <f>IF(ISNA(SUMIFS(INDEX(Inputs!$B$2:$AZ$190,,MATCH(SUBSTITUTE(AV$3,"Q","T"),Inputs!$B$2:$AZ$2,0)),Inputs!$B$2:$B$190,$B96)*Inputs!$D$1),"",SUMIFS(INDEX(Inputs!$B$2:$AZ$190,,MATCH(SUBSTITUTE(AV$3,"Q","T"),Inputs!$B$2:$AZ$2,0)),Inputs!$B$2:$B$190,$B96)*Inputs!$D$1)</f>
        <v>0</v>
      </c>
      <c r="AW96" s="58">
        <f>SUM(AS96:AV96)</f>
        <v>0</v>
      </c>
      <c r="AX96" s="57">
        <f>IF(ISNA(SUMIFS(INDEX(Inputs!$B$2:$AZ$190,,MATCH(SUBSTITUTE(AX$3,"Q","T"),Inputs!$B$2:$AZ$2,0)),Inputs!$B$2:$B$190,$B96)*Inputs!$D$1),"",SUMIFS(INDEX(Inputs!$B$2:$AZ$190,,MATCH(SUBSTITUTE(AX$3,"Q","T"),Inputs!$B$2:$AZ$2,0)),Inputs!$B$2:$B$190,$B96)*Inputs!$D$1)</f>
        <v>0</v>
      </c>
      <c r="AY96" s="57">
        <f>IF(ISNA(SUMIFS(INDEX(Inputs!$B$2:$AZ$190,,MATCH(SUBSTITUTE(AY$3,"Q","T"),Inputs!$B$2:$AZ$2,0)),Inputs!$B$2:$B$190,$B96)*Inputs!$D$1),"",SUMIFS(INDEX(Inputs!$B$2:$AZ$190,,MATCH(SUBSTITUTE(AY$3,"Q","T"),Inputs!$B$2:$AZ$2,0)),Inputs!$B$2:$B$190,$B96)*Inputs!$D$1)</f>
        <v>0</v>
      </c>
      <c r="AZ96" s="57">
        <f>IF(ISNA(SUMIFS(INDEX(Inputs!$B$2:$AZ$190,,MATCH(SUBSTITUTE(AZ$3,"Q","T"),Inputs!$B$2:$AZ$2,0)),Inputs!$B$2:$B$190,$B96)*Inputs!$D$1),"",SUMIFS(INDEX(Inputs!$B$2:$AZ$190,,MATCH(SUBSTITUTE(AZ$3,"Q","T"),Inputs!$B$2:$AZ$2,0)),Inputs!$B$2:$B$190,$B96)*Inputs!$D$1)</f>
        <v>0</v>
      </c>
      <c r="BA96" s="57">
        <f>IF(ISNA(SUMIFS(INDEX(Inputs!$B$2:$AZ$190,,MATCH(SUBSTITUTE(BA$3,"Q","T"),Inputs!$B$2:$AZ$2,0)),Inputs!$B$2:$B$190,$B96)*Inputs!$D$1),"",SUMIFS(INDEX(Inputs!$B$2:$AZ$190,,MATCH(SUBSTITUTE(BA$3,"Q","T"),Inputs!$B$2:$AZ$2,0)),Inputs!$B$2:$B$190,$B96)*Inputs!$D$1)</f>
        <v>0</v>
      </c>
      <c r="BB96" s="58">
        <f>SUM(AX96:BA96)</f>
        <v>0</v>
      </c>
      <c r="BC96" s="57">
        <f>IF(ISNA(SUMIFS(INDEX(Inputs!$B$2:$AZ$190,,MATCH(SUBSTITUTE(BC$3,"Q","T"),Inputs!$B$2:$AZ$2,0)),Inputs!$B$2:$B$190,$B96)*Inputs!$D$1),"",SUMIFS(INDEX(Inputs!$B$2:$AZ$190,,MATCH(SUBSTITUTE(BC$3,"Q","T"),Inputs!$B$2:$AZ$2,0)),Inputs!$B$2:$B$190,$B96)*Inputs!$D$1)</f>
        <v>0</v>
      </c>
      <c r="BD96" s="57">
        <f>IF(ISNA(SUMIFS(INDEX(Inputs!$B$2:$AZ$190,,MATCH(SUBSTITUTE(BD$3,"Q","T"),Inputs!$B$2:$AZ$2,0)),Inputs!$B$2:$B$190,$B96)*Inputs!$D$1),"",SUMIFS(INDEX(Inputs!$B$2:$AZ$190,,MATCH(SUBSTITUTE(BD$3,"Q","T"),Inputs!$B$2:$AZ$2,0)),Inputs!$B$2:$B$190,$B96)*Inputs!$D$1)</f>
        <v>0</v>
      </c>
      <c r="BE96" s="57">
        <f>IF(ISNA(SUMIFS(INDEX(Inputs!$B$2:$AZ$190,,MATCH(SUBSTITUTE(BE$3,"Q","T"),Inputs!$B$2:$AZ$2,0)),Inputs!$B$2:$B$190,$B96)*Inputs!$D$1),"",SUMIFS(INDEX(Inputs!$B$2:$AZ$190,,MATCH(SUBSTITUTE(BE$3,"Q","T"),Inputs!$B$2:$AZ$2,0)),Inputs!$B$2:$B$190,$B96)*Inputs!$D$1)</f>
        <v>0</v>
      </c>
      <c r="BF96" s="57">
        <f>IF(ISNA(SUMIFS(INDEX(Inputs!$B$2:$AZ$190,,MATCH(SUBSTITUTE(BF$3,"Q","T"),Inputs!$B$2:$AZ$2,0)),Inputs!$B$2:$B$190,$B96)*Inputs!$D$1),"",SUMIFS(INDEX(Inputs!$B$2:$AZ$190,,MATCH(SUBSTITUTE(BF$3,"Q","T"),Inputs!$B$2:$AZ$2,0)),Inputs!$B$2:$B$190,$B96)*Inputs!$D$1)</f>
        <v>0</v>
      </c>
      <c r="BG96" s="58">
        <f>SUM(BC96:BF96)</f>
        <v>0</v>
      </c>
    </row>
    <row r="97" hidden="1" outlineLevel="1">
      <c r="B97" s="56" t="inlineStr">
        <is>
          <t>other_inc</t>
        </is>
      </c>
      <c r="C97" s="61" t="inlineStr">
        <is>
          <t>Outras receitas não-juros (inclui ganhos com títulos de investimento)</t>
        </is>
      </c>
      <c r="D97" s="62" t="inlineStr">
        <is>
          <t>Other noninterest revenue (incl. investment securities gains)</t>
        </is>
      </c>
      <c r="E97" s="57">
        <f>IF(ISNA(SUMIFS(INDEX(Inputs!$B$2:$AZ$190,,MATCH(SUBSTITUTE(E$3,"Q","T"),Inputs!$B$2:$AZ$2,0)),Inputs!$B$2:$B$190,$B97)*Inputs!$D$1),"",SUMIFS(INDEX(Inputs!$B$2:$AZ$190,,MATCH(SUBSTITUTE(E$3,"Q","T"),Inputs!$B$2:$AZ$2,0)),Inputs!$B$2:$B$190,$B97)*Inputs!$D$1)</f>
        <v>0</v>
      </c>
      <c r="F97" s="57">
        <f>IF(ISNA(SUMIFS(INDEX(Inputs!$B$2:$AZ$190,,MATCH(SUBSTITUTE(F$3,"Q","T"),Inputs!$B$2:$AZ$2,0)),Inputs!$B$2:$B$190,$B97)*Inputs!$D$1),"",SUMIFS(INDEX(Inputs!$B$2:$AZ$190,,MATCH(SUBSTITUTE(F$3,"Q","T"),Inputs!$B$2:$AZ$2,0)),Inputs!$B$2:$B$190,$B97)*Inputs!$D$1)</f>
        <v>0</v>
      </c>
      <c r="G97" s="57">
        <f>IF(ISNA(SUMIFS(INDEX(Inputs!$B$2:$AZ$190,,MATCH(SUBSTITUTE(G$3,"Q","T"),Inputs!$B$2:$AZ$2,0)),Inputs!$B$2:$B$190,$B97)*Inputs!$D$1),"",SUMIFS(INDEX(Inputs!$B$2:$AZ$190,,MATCH(SUBSTITUTE(G$3,"Q","T"),Inputs!$B$2:$AZ$2,0)),Inputs!$B$2:$B$190,$B97)*Inputs!$D$1)</f>
        <v>0</v>
      </c>
      <c r="H97" s="57">
        <f>IF(ISNA(SUMIFS(INDEX(Inputs!$B$2:$AZ$190,,MATCH(SUBSTITUTE(H$3,"Q","T"),Inputs!$B$2:$AZ$2,0)),Inputs!$B$2:$B$190,$B97)*Inputs!$D$1),"",SUMIFS(INDEX(Inputs!$B$2:$AZ$190,,MATCH(SUBSTITUTE(H$3,"Q","T"),Inputs!$B$2:$AZ$2,0)),Inputs!$B$2:$B$190,$B97)*Inputs!$D$1)</f>
        <v>0</v>
      </c>
      <c r="I97" s="58">
        <f>SUM(E97:H97)</f>
        <v>0</v>
      </c>
      <c r="J97" s="57">
        <f>IF(ISNA(SUMIFS(INDEX(Inputs!$B$2:$AZ$190,,MATCH(SUBSTITUTE(J$3,"Q","T"),Inputs!$B$2:$AZ$2,0)),Inputs!$B$2:$B$190,$B97)*Inputs!$D$1),"",SUMIFS(INDEX(Inputs!$B$2:$AZ$190,,MATCH(SUBSTITUTE(J$3,"Q","T"),Inputs!$B$2:$AZ$2,0)),Inputs!$B$2:$B$190,$B97)*Inputs!$D$1)</f>
        <v>0</v>
      </c>
      <c r="K97" s="57">
        <f>IF(ISNA(SUMIFS(INDEX(Inputs!$B$2:$AZ$190,,MATCH(SUBSTITUTE(K$3,"Q","T"),Inputs!$B$2:$AZ$2,0)),Inputs!$B$2:$B$190,$B97)*Inputs!$D$1),"",SUMIFS(INDEX(Inputs!$B$2:$AZ$190,,MATCH(SUBSTITUTE(K$3,"Q","T"),Inputs!$B$2:$AZ$2,0)),Inputs!$B$2:$B$190,$B97)*Inputs!$D$1)</f>
        <v>0</v>
      </c>
      <c r="L97" s="57">
        <f>IF(ISNA(SUMIFS(INDEX(Inputs!$B$2:$AZ$190,,MATCH(SUBSTITUTE(L$3,"Q","T"),Inputs!$B$2:$AZ$2,0)),Inputs!$B$2:$B$190,$B97)*Inputs!$D$1),"",SUMIFS(INDEX(Inputs!$B$2:$AZ$190,,MATCH(SUBSTITUTE(L$3,"Q","T"),Inputs!$B$2:$AZ$2,0)),Inputs!$B$2:$B$190,$B97)*Inputs!$D$1)</f>
        <v>0</v>
      </c>
      <c r="M97" s="57">
        <f>IF(ISNA(SUMIFS(INDEX(Inputs!$B$2:$AZ$190,,MATCH(SUBSTITUTE(M$3,"Q","T"),Inputs!$B$2:$AZ$2,0)),Inputs!$B$2:$B$190,$B97)*Inputs!$D$1),"",SUMIFS(INDEX(Inputs!$B$2:$AZ$190,,MATCH(SUBSTITUTE(M$3,"Q","T"),Inputs!$B$2:$AZ$2,0)),Inputs!$B$2:$B$190,$B97)*Inputs!$D$1)</f>
        <v>0</v>
      </c>
      <c r="N97" s="58">
        <f>SUM(J97:M97)</f>
        <v>0</v>
      </c>
      <c r="O97" s="57">
        <f>IF(ISNA(SUMIFS(INDEX(Inputs!$B$2:$AZ$190,,MATCH(SUBSTITUTE(O$3,"Q","T"),Inputs!$B$2:$AZ$2,0)),Inputs!$B$2:$B$190,$B97)*Inputs!$D$1),"",SUMIFS(INDEX(Inputs!$B$2:$AZ$190,,MATCH(SUBSTITUTE(O$3,"Q","T"),Inputs!$B$2:$AZ$2,0)),Inputs!$B$2:$B$190,$B97)*Inputs!$D$1)</f>
        <v>0</v>
      </c>
      <c r="P97" s="57">
        <f>IF(ISNA(SUMIFS(INDEX(Inputs!$B$2:$AZ$190,,MATCH(SUBSTITUTE(P$3,"Q","T"),Inputs!$B$2:$AZ$2,0)),Inputs!$B$2:$B$190,$B97)*Inputs!$D$1),"",SUMIFS(INDEX(Inputs!$B$2:$AZ$190,,MATCH(SUBSTITUTE(P$3,"Q","T"),Inputs!$B$2:$AZ$2,0)),Inputs!$B$2:$B$190,$B97)*Inputs!$D$1)</f>
        <v>0</v>
      </c>
      <c r="Q97" s="57">
        <f>IF(ISNA(SUMIFS(INDEX(Inputs!$B$2:$AZ$190,,MATCH(SUBSTITUTE(Q$3,"Q","T"),Inputs!$B$2:$AZ$2,0)),Inputs!$B$2:$B$190,$B97)*Inputs!$D$1),"",SUMIFS(INDEX(Inputs!$B$2:$AZ$190,,MATCH(SUBSTITUTE(Q$3,"Q","T"),Inputs!$B$2:$AZ$2,0)),Inputs!$B$2:$B$190,$B97)*Inputs!$D$1)</f>
        <v>0</v>
      </c>
      <c r="R97" s="57">
        <f>IF(ISNA(SUMIFS(INDEX(Inputs!$B$2:$AZ$190,,MATCH(SUBSTITUTE(R$3,"Q","T"),Inputs!$B$2:$AZ$2,0)),Inputs!$B$2:$B$190,$B97)*Inputs!$D$1),"",SUMIFS(INDEX(Inputs!$B$2:$AZ$190,,MATCH(SUBSTITUTE(R$3,"Q","T"),Inputs!$B$2:$AZ$2,0)),Inputs!$B$2:$B$190,$B97)*Inputs!$D$1)</f>
        <v>0</v>
      </c>
      <c r="S97" s="58">
        <f>SUM(O97:R97)</f>
        <v>0</v>
      </c>
      <c r="T97" s="57">
        <f>IF(ISNA(SUMIFS(INDEX(Inputs!$B$2:$AZ$190,,MATCH(SUBSTITUTE(T$3,"Q","T"),Inputs!$B$2:$AZ$2,0)),Inputs!$B$2:$B$190,$B97)*Inputs!$D$1),"",SUMIFS(INDEX(Inputs!$B$2:$AZ$190,,MATCH(SUBSTITUTE(T$3,"Q","T"),Inputs!$B$2:$AZ$2,0)),Inputs!$B$2:$B$190,$B97)*Inputs!$D$1)</f>
        <v>0</v>
      </c>
      <c r="U97" s="57">
        <f>IF(ISNA(SUMIFS(INDEX(Inputs!$B$2:$AZ$190,,MATCH(SUBSTITUTE(U$3,"Q","T"),Inputs!$B$2:$AZ$2,0)),Inputs!$B$2:$B$190,$B97)*Inputs!$D$1),"",SUMIFS(INDEX(Inputs!$B$2:$AZ$190,,MATCH(SUBSTITUTE(U$3,"Q","T"),Inputs!$B$2:$AZ$2,0)),Inputs!$B$2:$B$190,$B97)*Inputs!$D$1)</f>
        <v>0</v>
      </c>
      <c r="V97" s="57">
        <f>IF(ISNA(SUMIFS(INDEX(Inputs!$B$2:$AZ$190,,MATCH(SUBSTITUTE(V$3,"Q","T"),Inputs!$B$2:$AZ$2,0)),Inputs!$B$2:$B$190,$B97)*Inputs!$D$1),"",SUMIFS(INDEX(Inputs!$B$2:$AZ$190,,MATCH(SUBSTITUTE(V$3,"Q","T"),Inputs!$B$2:$AZ$2,0)),Inputs!$B$2:$B$190,$B97)*Inputs!$D$1)</f>
        <v>0</v>
      </c>
      <c r="W97" s="57">
        <f>IF(ISNA(SUMIFS(INDEX(Inputs!$B$2:$AZ$190,,MATCH(SUBSTITUTE(W$3,"Q","T"),Inputs!$B$2:$AZ$2,0)),Inputs!$B$2:$B$190,$B97)*Inputs!$D$1),"",SUMIFS(INDEX(Inputs!$B$2:$AZ$190,,MATCH(SUBSTITUTE(W$3,"Q","T"),Inputs!$B$2:$AZ$2,0)),Inputs!$B$2:$B$190,$B97)*Inputs!$D$1)</f>
        <v>0</v>
      </c>
      <c r="X97" s="58">
        <f>SUM(T97:W97)</f>
        <v>0</v>
      </c>
      <c r="Y97" s="57">
        <f>IF(ISNA(SUMIFS(INDEX(Inputs!$B$2:$AZ$190,,MATCH(SUBSTITUTE(Y$3,"Q","T"),Inputs!$B$2:$AZ$2,0)),Inputs!$B$2:$B$190,$B97)*Inputs!$D$1),"",SUMIFS(INDEX(Inputs!$B$2:$AZ$190,,MATCH(SUBSTITUTE(Y$3,"Q","T"),Inputs!$B$2:$AZ$2,0)),Inputs!$B$2:$B$190,$B97)*Inputs!$D$1)</f>
        <v>0</v>
      </c>
      <c r="Z97" s="57">
        <f>IF(ISNA(SUMIFS(INDEX(Inputs!$B$2:$AZ$190,,MATCH(SUBSTITUTE(Z$3,"Q","T"),Inputs!$B$2:$AZ$2,0)),Inputs!$B$2:$B$190,$B97)*Inputs!$D$1),"",SUMIFS(INDEX(Inputs!$B$2:$AZ$190,,MATCH(SUBSTITUTE(Z$3,"Q","T"),Inputs!$B$2:$AZ$2,0)),Inputs!$B$2:$B$190,$B97)*Inputs!$D$1)</f>
        <v>0</v>
      </c>
      <c r="AA97" s="57">
        <f>IF(ISNA(SUMIFS(INDEX(Inputs!$B$2:$AZ$190,,MATCH(SUBSTITUTE(AA$3,"Q","T"),Inputs!$B$2:$AZ$2,0)),Inputs!$B$2:$B$190,$B97)*Inputs!$D$1),"",SUMIFS(INDEX(Inputs!$B$2:$AZ$190,,MATCH(SUBSTITUTE(AA$3,"Q","T"),Inputs!$B$2:$AZ$2,0)),Inputs!$B$2:$B$190,$B97)*Inputs!$D$1)</f>
        <v>0</v>
      </c>
      <c r="AB97" s="57">
        <f>IF(ISNA(SUMIFS(INDEX(Inputs!$B$2:$AZ$190,,MATCH(SUBSTITUTE(AB$3,"Q","T"),Inputs!$B$2:$AZ$2,0)),Inputs!$B$2:$B$190,$B97)*Inputs!$D$1),"",SUMIFS(INDEX(Inputs!$B$2:$AZ$190,,MATCH(SUBSTITUTE(AB$3,"Q","T"),Inputs!$B$2:$AZ$2,0)),Inputs!$B$2:$B$190,$B97)*Inputs!$D$1)</f>
        <v>0</v>
      </c>
      <c r="AC97" s="58">
        <f>SUM(Y97:AB97)</f>
        <v>0</v>
      </c>
      <c r="AD97" s="57">
        <f>IF(ISNA(SUMIFS(INDEX(Inputs!$B$2:$AZ$190,,MATCH(SUBSTITUTE(AD$3,"Q","T"),Inputs!$B$2:$AZ$2,0)),Inputs!$B$2:$B$190,$B97)*Inputs!$D$1),"",SUMIFS(INDEX(Inputs!$B$2:$AZ$190,,MATCH(SUBSTITUTE(AD$3,"Q","T"),Inputs!$B$2:$AZ$2,0)),Inputs!$B$2:$B$190,$B97)*Inputs!$D$1)</f>
        <v>0</v>
      </c>
      <c r="AE97" s="57">
        <f>IF(ISNA(SUMIFS(INDEX(Inputs!$B$2:$AZ$190,,MATCH(SUBSTITUTE(AE$3,"Q","T"),Inputs!$B$2:$AZ$2,0)),Inputs!$B$2:$B$190,$B97)*Inputs!$D$1),"",SUMIFS(INDEX(Inputs!$B$2:$AZ$190,,MATCH(SUBSTITUTE(AE$3,"Q","T"),Inputs!$B$2:$AZ$2,0)),Inputs!$B$2:$B$190,$B97)*Inputs!$D$1)</f>
        <v>0</v>
      </c>
      <c r="AF97" s="57">
        <f>IF(ISNA(SUMIFS(INDEX(Inputs!$B$2:$AZ$190,,MATCH(SUBSTITUTE(AF$3,"Q","T"),Inputs!$B$2:$AZ$2,0)),Inputs!$B$2:$B$190,$B97)*Inputs!$D$1),"",SUMIFS(INDEX(Inputs!$B$2:$AZ$190,,MATCH(SUBSTITUTE(AF$3,"Q","T"),Inputs!$B$2:$AZ$2,0)),Inputs!$B$2:$B$190,$B97)*Inputs!$D$1)</f>
        <v>0</v>
      </c>
      <c r="AG97" s="57">
        <f>IF(ISNA(SUMIFS(INDEX(Inputs!$B$2:$AZ$190,,MATCH(SUBSTITUTE(AG$3,"Q","T"),Inputs!$B$2:$AZ$2,0)),Inputs!$B$2:$B$190,$B97)*Inputs!$D$1),"",SUMIFS(INDEX(Inputs!$B$2:$AZ$190,,MATCH(SUBSTITUTE(AG$3,"Q","T"),Inputs!$B$2:$AZ$2,0)),Inputs!$B$2:$B$190,$B97)*Inputs!$D$1)</f>
        <v>0</v>
      </c>
      <c r="AH97" s="58">
        <f>SUM(AD97:AG97)</f>
        <v>0</v>
      </c>
      <c r="AI97" s="57">
        <f>IF(ISNA(SUMIFS(INDEX(Inputs!$B$2:$AZ$190,,MATCH(SUBSTITUTE(AI$3,"Q","T"),Inputs!$B$2:$AZ$2,0)),Inputs!$B$2:$B$190,$B97)*Inputs!$D$1),"",SUMIFS(INDEX(Inputs!$B$2:$AZ$190,,MATCH(SUBSTITUTE(AI$3,"Q","T"),Inputs!$B$2:$AZ$2,0)),Inputs!$B$2:$B$190,$B97)*Inputs!$D$1)</f>
        <v>0</v>
      </c>
      <c r="AJ97" s="57">
        <f>IF(ISNA(SUMIFS(INDEX(Inputs!$B$2:$AZ$190,,MATCH(SUBSTITUTE(AJ$3,"Q","T"),Inputs!$B$2:$AZ$2,0)),Inputs!$B$2:$B$190,$B97)*Inputs!$D$1),"",SUMIFS(INDEX(Inputs!$B$2:$AZ$190,,MATCH(SUBSTITUTE(AJ$3,"Q","T"),Inputs!$B$2:$AZ$2,0)),Inputs!$B$2:$B$190,$B97)*Inputs!$D$1)</f>
        <v>0</v>
      </c>
      <c r="AK97" s="57">
        <f>IF(ISNA(SUMIFS(INDEX(Inputs!$B$2:$AZ$190,,MATCH(SUBSTITUTE(AK$3,"Q","T"),Inputs!$B$2:$AZ$2,0)),Inputs!$B$2:$B$190,$B97)*Inputs!$D$1),"",SUMIFS(INDEX(Inputs!$B$2:$AZ$190,,MATCH(SUBSTITUTE(AK$3,"Q","T"),Inputs!$B$2:$AZ$2,0)),Inputs!$B$2:$B$190,$B97)*Inputs!$D$1)</f>
        <v>0</v>
      </c>
      <c r="AL97" s="57">
        <f>IF(ISNA(SUMIFS(INDEX(Inputs!$B$2:$AZ$190,,MATCH(SUBSTITUTE(AL$3,"Q","T"),Inputs!$B$2:$AZ$2,0)),Inputs!$B$2:$B$190,$B97)*Inputs!$D$1),"",SUMIFS(INDEX(Inputs!$B$2:$AZ$190,,MATCH(SUBSTITUTE(AL$3,"Q","T"),Inputs!$B$2:$AZ$2,0)),Inputs!$B$2:$B$190,$B97)*Inputs!$D$1)</f>
        <v>0</v>
      </c>
      <c r="AM97" s="58">
        <f>SUM(AI97:AL97)</f>
        <v>0</v>
      </c>
      <c r="AN97" s="57">
        <f>IF(ISNA(SUMIFS(INDEX(Inputs!$B$2:$AZ$190,,MATCH(SUBSTITUTE(AN$3,"Q","T"),Inputs!$B$2:$AZ$2,0)),Inputs!$B$2:$B$190,$B97)*Inputs!$D$1),"",SUMIFS(INDEX(Inputs!$B$2:$AZ$190,,MATCH(SUBSTITUTE(AN$3,"Q","T"),Inputs!$B$2:$AZ$2,0)),Inputs!$B$2:$B$190,$B97)*Inputs!$D$1)</f>
        <v>0</v>
      </c>
      <c r="AO97" s="57">
        <f>IF(ISNA(SUMIFS(INDEX(Inputs!$B$2:$AZ$190,,MATCH(SUBSTITUTE(AO$3,"Q","T"),Inputs!$B$2:$AZ$2,0)),Inputs!$B$2:$B$190,$B97)*Inputs!$D$1),"",SUMIFS(INDEX(Inputs!$B$2:$AZ$190,,MATCH(SUBSTITUTE(AO$3,"Q","T"),Inputs!$B$2:$AZ$2,0)),Inputs!$B$2:$B$190,$B97)*Inputs!$D$1)</f>
        <v>0</v>
      </c>
      <c r="AP97" s="57">
        <f>IF(ISNA(SUMIFS(INDEX(Inputs!$B$2:$AZ$190,,MATCH(SUBSTITUTE(AP$3,"Q","T"),Inputs!$B$2:$AZ$2,0)),Inputs!$B$2:$B$190,$B97)*Inputs!$D$1),"",SUMIFS(INDEX(Inputs!$B$2:$AZ$190,,MATCH(SUBSTITUTE(AP$3,"Q","T"),Inputs!$B$2:$AZ$2,0)),Inputs!$B$2:$B$190,$B97)*Inputs!$D$1)</f>
        <v>0</v>
      </c>
      <c r="AQ97" s="57">
        <f>IF(ISNA(SUMIFS(INDEX(Inputs!$B$2:$AZ$190,,MATCH(SUBSTITUTE(AQ$3,"Q","T"),Inputs!$B$2:$AZ$2,0)),Inputs!$B$2:$B$190,$B97)*Inputs!$D$1),"",SUMIFS(INDEX(Inputs!$B$2:$AZ$190,,MATCH(SUBSTITUTE(AQ$3,"Q","T"),Inputs!$B$2:$AZ$2,0)),Inputs!$B$2:$B$190,$B97)*Inputs!$D$1)</f>
        <v>0</v>
      </c>
      <c r="AR97" s="58">
        <f>SUM(AN97:AQ97)</f>
        <v>0</v>
      </c>
      <c r="AS97" s="57">
        <f>IF(ISNA(SUMIFS(INDEX(Inputs!$B$2:$AZ$190,,MATCH(SUBSTITUTE(AS$3,"Q","T"),Inputs!$B$2:$AZ$2,0)),Inputs!$B$2:$B$190,$B97)*Inputs!$D$1),"",SUMIFS(INDEX(Inputs!$B$2:$AZ$190,,MATCH(SUBSTITUTE(AS$3,"Q","T"),Inputs!$B$2:$AZ$2,0)),Inputs!$B$2:$B$190,$B97)*Inputs!$D$1)</f>
        <v>0</v>
      </c>
      <c r="AT97" s="57">
        <f>IF(ISNA(SUMIFS(INDEX(Inputs!$B$2:$AZ$190,,MATCH(SUBSTITUTE(AT$3,"Q","T"),Inputs!$B$2:$AZ$2,0)),Inputs!$B$2:$B$190,$B97)*Inputs!$D$1),"",SUMIFS(INDEX(Inputs!$B$2:$AZ$190,,MATCH(SUBSTITUTE(AT$3,"Q","T"),Inputs!$B$2:$AZ$2,0)),Inputs!$B$2:$B$190,$B97)*Inputs!$D$1)</f>
        <v>0</v>
      </c>
      <c r="AU97" s="57">
        <f>IF(ISNA(SUMIFS(INDEX(Inputs!$B$2:$AZ$190,,MATCH(SUBSTITUTE(AU$3,"Q","T"),Inputs!$B$2:$AZ$2,0)),Inputs!$B$2:$B$190,$B97)*Inputs!$D$1),"",SUMIFS(INDEX(Inputs!$B$2:$AZ$190,,MATCH(SUBSTITUTE(AU$3,"Q","T"),Inputs!$B$2:$AZ$2,0)),Inputs!$B$2:$B$190,$B97)*Inputs!$D$1)</f>
        <v>0</v>
      </c>
      <c r="AV97" s="57">
        <f>IF(ISNA(SUMIFS(INDEX(Inputs!$B$2:$AZ$190,,MATCH(SUBSTITUTE(AV$3,"Q","T"),Inputs!$B$2:$AZ$2,0)),Inputs!$B$2:$B$190,$B97)*Inputs!$D$1),"",SUMIFS(INDEX(Inputs!$B$2:$AZ$190,,MATCH(SUBSTITUTE(AV$3,"Q","T"),Inputs!$B$2:$AZ$2,0)),Inputs!$B$2:$B$190,$B97)*Inputs!$D$1)</f>
        <v>0</v>
      </c>
      <c r="AW97" s="58">
        <f>SUM(AS97:AV97)</f>
        <v>0</v>
      </c>
      <c r="AX97" s="57">
        <f>IF(ISNA(SUMIFS(INDEX(Inputs!$B$2:$AZ$190,,MATCH(SUBSTITUTE(AX$3,"Q","T"),Inputs!$B$2:$AZ$2,0)),Inputs!$B$2:$B$190,$B97)*Inputs!$D$1),"",SUMIFS(INDEX(Inputs!$B$2:$AZ$190,,MATCH(SUBSTITUTE(AX$3,"Q","T"),Inputs!$B$2:$AZ$2,0)),Inputs!$B$2:$B$190,$B97)*Inputs!$D$1)</f>
        <v>0</v>
      </c>
      <c r="AY97" s="57">
        <f>IF(ISNA(SUMIFS(INDEX(Inputs!$B$2:$AZ$190,,MATCH(SUBSTITUTE(AY$3,"Q","T"),Inputs!$B$2:$AZ$2,0)),Inputs!$B$2:$B$190,$B97)*Inputs!$D$1),"",SUMIFS(INDEX(Inputs!$B$2:$AZ$190,,MATCH(SUBSTITUTE(AY$3,"Q","T"),Inputs!$B$2:$AZ$2,0)),Inputs!$B$2:$B$190,$B97)*Inputs!$D$1)</f>
        <v>0</v>
      </c>
      <c r="AZ97" s="57">
        <f>IF(ISNA(SUMIFS(INDEX(Inputs!$B$2:$AZ$190,,MATCH(SUBSTITUTE(AZ$3,"Q","T"),Inputs!$B$2:$AZ$2,0)),Inputs!$B$2:$B$190,$B97)*Inputs!$D$1),"",SUMIFS(INDEX(Inputs!$B$2:$AZ$190,,MATCH(SUBSTITUTE(AZ$3,"Q","T"),Inputs!$B$2:$AZ$2,0)),Inputs!$B$2:$B$190,$B97)*Inputs!$D$1)</f>
        <v>0</v>
      </c>
      <c r="BA97" s="57">
        <f>IF(ISNA(SUMIFS(INDEX(Inputs!$B$2:$AZ$190,,MATCH(SUBSTITUTE(BA$3,"Q","T"),Inputs!$B$2:$AZ$2,0)),Inputs!$B$2:$B$190,$B97)*Inputs!$D$1),"",SUMIFS(INDEX(Inputs!$B$2:$AZ$190,,MATCH(SUBSTITUTE(BA$3,"Q","T"),Inputs!$B$2:$AZ$2,0)),Inputs!$B$2:$B$190,$B97)*Inputs!$D$1)</f>
        <v>0</v>
      </c>
      <c r="BB97" s="58">
        <f>SUM(AX97:BA97)</f>
        <v>0</v>
      </c>
      <c r="BC97" s="57">
        <f>IF(ISNA(SUMIFS(INDEX(Inputs!$B$2:$AZ$190,,MATCH(SUBSTITUTE(BC$3,"Q","T"),Inputs!$B$2:$AZ$2,0)),Inputs!$B$2:$B$190,$B97)*Inputs!$D$1),"",SUMIFS(INDEX(Inputs!$B$2:$AZ$190,,MATCH(SUBSTITUTE(BC$3,"Q","T"),Inputs!$B$2:$AZ$2,0)),Inputs!$B$2:$B$190,$B97)*Inputs!$D$1)</f>
        <v>0</v>
      </c>
      <c r="BD97" s="57">
        <f>IF(ISNA(SUMIFS(INDEX(Inputs!$B$2:$AZ$190,,MATCH(SUBSTITUTE(BD$3,"Q","T"),Inputs!$B$2:$AZ$2,0)),Inputs!$B$2:$B$190,$B97)*Inputs!$D$1),"",SUMIFS(INDEX(Inputs!$B$2:$AZ$190,,MATCH(SUBSTITUTE(BD$3,"Q","T"),Inputs!$B$2:$AZ$2,0)),Inputs!$B$2:$B$190,$B97)*Inputs!$D$1)</f>
        <v>0</v>
      </c>
      <c r="BE97" s="57">
        <f>IF(ISNA(SUMIFS(INDEX(Inputs!$B$2:$AZ$190,,MATCH(SUBSTITUTE(BE$3,"Q","T"),Inputs!$B$2:$AZ$2,0)),Inputs!$B$2:$B$190,$B97)*Inputs!$D$1),"",SUMIFS(INDEX(Inputs!$B$2:$AZ$190,,MATCH(SUBSTITUTE(BE$3,"Q","T"),Inputs!$B$2:$AZ$2,0)),Inputs!$B$2:$B$190,$B97)*Inputs!$D$1)</f>
        <v>0</v>
      </c>
      <c r="BF97" s="57">
        <f>IF(ISNA(SUMIFS(INDEX(Inputs!$B$2:$AZ$190,,MATCH(SUBSTITUTE(BF$3,"Q","T"),Inputs!$B$2:$AZ$2,0)),Inputs!$B$2:$B$190,$B97)*Inputs!$D$1),"",SUMIFS(INDEX(Inputs!$B$2:$AZ$190,,MATCH(SUBSTITUTE(BF$3,"Q","T"),Inputs!$B$2:$AZ$2,0)),Inputs!$B$2:$B$190,$B97)*Inputs!$D$1)</f>
        <v>0</v>
      </c>
      <c r="BG97" s="58">
        <f>SUM(BC97:BF97)</f>
        <v>0</v>
      </c>
    </row>
    <row r="98" hidden="1" outlineLevel="1">
      <c r="B98" s="56" t="inlineStr">
        <is>
          <t>other_exp</t>
        </is>
      </c>
      <c r="C98" s="61" t="inlineStr">
        <is>
          <t>(Outras despesas não-juros)</t>
        </is>
      </c>
      <c r="D98" s="62" t="inlineStr">
        <is>
          <t>(Other noninterest expense)</t>
        </is>
      </c>
      <c r="E98" s="57">
        <f>IF(ISNA(SUMIFS(INDEX(Inputs!$B$2:$AZ$190,,MATCH(SUBSTITUTE(E$3,"Q","T"),Inputs!$B$2:$AZ$2,0)),Inputs!$B$2:$B$190,$B98)*Inputs!$D$1),"",SUMIFS(INDEX(Inputs!$B$2:$AZ$190,,MATCH(SUBSTITUTE(E$3,"Q","T"),Inputs!$B$2:$AZ$2,0)),Inputs!$B$2:$B$190,$B98)*Inputs!$D$1)</f>
        <v>0</v>
      </c>
      <c r="F98" s="57">
        <f>IF(ISNA(SUMIFS(INDEX(Inputs!$B$2:$AZ$190,,MATCH(SUBSTITUTE(F$3,"Q","T"),Inputs!$B$2:$AZ$2,0)),Inputs!$B$2:$B$190,$B98)*Inputs!$D$1),"",SUMIFS(INDEX(Inputs!$B$2:$AZ$190,,MATCH(SUBSTITUTE(F$3,"Q","T"),Inputs!$B$2:$AZ$2,0)),Inputs!$B$2:$B$190,$B98)*Inputs!$D$1)</f>
        <v>0</v>
      </c>
      <c r="G98" s="57">
        <f>IF(ISNA(SUMIFS(INDEX(Inputs!$B$2:$AZ$190,,MATCH(SUBSTITUTE(G$3,"Q","T"),Inputs!$B$2:$AZ$2,0)),Inputs!$B$2:$B$190,$B98)*Inputs!$D$1),"",SUMIFS(INDEX(Inputs!$B$2:$AZ$190,,MATCH(SUBSTITUTE(G$3,"Q","T"),Inputs!$B$2:$AZ$2,0)),Inputs!$B$2:$B$190,$B98)*Inputs!$D$1)</f>
        <v>0</v>
      </c>
      <c r="H98" s="57">
        <f>IF(ISNA(SUMIFS(INDEX(Inputs!$B$2:$AZ$190,,MATCH(SUBSTITUTE(H$3,"Q","T"),Inputs!$B$2:$AZ$2,0)),Inputs!$B$2:$B$190,$B98)*Inputs!$D$1),"",SUMIFS(INDEX(Inputs!$B$2:$AZ$190,,MATCH(SUBSTITUTE(H$3,"Q","T"),Inputs!$B$2:$AZ$2,0)),Inputs!$B$2:$B$190,$B98)*Inputs!$D$1)</f>
        <v>0</v>
      </c>
      <c r="I98" s="58">
        <f>SUM(E98:H98)</f>
        <v>0</v>
      </c>
      <c r="J98" s="57">
        <f>IF(ISNA(SUMIFS(INDEX(Inputs!$B$2:$AZ$190,,MATCH(SUBSTITUTE(J$3,"Q","T"),Inputs!$B$2:$AZ$2,0)),Inputs!$B$2:$B$190,$B98)*Inputs!$D$1),"",SUMIFS(INDEX(Inputs!$B$2:$AZ$190,,MATCH(SUBSTITUTE(J$3,"Q","T"),Inputs!$B$2:$AZ$2,0)),Inputs!$B$2:$B$190,$B98)*Inputs!$D$1)</f>
        <v>0</v>
      </c>
      <c r="K98" s="57">
        <f>IF(ISNA(SUMIFS(INDEX(Inputs!$B$2:$AZ$190,,MATCH(SUBSTITUTE(K$3,"Q","T"),Inputs!$B$2:$AZ$2,0)),Inputs!$B$2:$B$190,$B98)*Inputs!$D$1),"",SUMIFS(INDEX(Inputs!$B$2:$AZ$190,,MATCH(SUBSTITUTE(K$3,"Q","T"),Inputs!$B$2:$AZ$2,0)),Inputs!$B$2:$B$190,$B98)*Inputs!$D$1)</f>
        <v>0</v>
      </c>
      <c r="L98" s="57">
        <f>IF(ISNA(SUMIFS(INDEX(Inputs!$B$2:$AZ$190,,MATCH(SUBSTITUTE(L$3,"Q","T"),Inputs!$B$2:$AZ$2,0)),Inputs!$B$2:$B$190,$B98)*Inputs!$D$1),"",SUMIFS(INDEX(Inputs!$B$2:$AZ$190,,MATCH(SUBSTITUTE(L$3,"Q","T"),Inputs!$B$2:$AZ$2,0)),Inputs!$B$2:$B$190,$B98)*Inputs!$D$1)</f>
        <v>0</v>
      </c>
      <c r="M98" s="57">
        <f>IF(ISNA(SUMIFS(INDEX(Inputs!$B$2:$AZ$190,,MATCH(SUBSTITUTE(M$3,"Q","T"),Inputs!$B$2:$AZ$2,0)),Inputs!$B$2:$B$190,$B98)*Inputs!$D$1),"",SUMIFS(INDEX(Inputs!$B$2:$AZ$190,,MATCH(SUBSTITUTE(M$3,"Q","T"),Inputs!$B$2:$AZ$2,0)),Inputs!$B$2:$B$190,$B98)*Inputs!$D$1)</f>
        <v>0</v>
      </c>
      <c r="N98" s="58">
        <f>SUM(J98:M98)</f>
        <v>0</v>
      </c>
      <c r="O98" s="57">
        <f>IF(ISNA(SUMIFS(INDEX(Inputs!$B$2:$AZ$190,,MATCH(SUBSTITUTE(O$3,"Q","T"),Inputs!$B$2:$AZ$2,0)),Inputs!$B$2:$B$190,$B98)*Inputs!$D$1),"",SUMIFS(INDEX(Inputs!$B$2:$AZ$190,,MATCH(SUBSTITUTE(O$3,"Q","T"),Inputs!$B$2:$AZ$2,0)),Inputs!$B$2:$B$190,$B98)*Inputs!$D$1)</f>
        <v>0</v>
      </c>
      <c r="P98" s="57">
        <f>IF(ISNA(SUMIFS(INDEX(Inputs!$B$2:$AZ$190,,MATCH(SUBSTITUTE(P$3,"Q","T"),Inputs!$B$2:$AZ$2,0)),Inputs!$B$2:$B$190,$B98)*Inputs!$D$1),"",SUMIFS(INDEX(Inputs!$B$2:$AZ$190,,MATCH(SUBSTITUTE(P$3,"Q","T"),Inputs!$B$2:$AZ$2,0)),Inputs!$B$2:$B$190,$B98)*Inputs!$D$1)</f>
        <v>0</v>
      </c>
      <c r="Q98" s="57">
        <f>IF(ISNA(SUMIFS(INDEX(Inputs!$B$2:$AZ$190,,MATCH(SUBSTITUTE(Q$3,"Q","T"),Inputs!$B$2:$AZ$2,0)),Inputs!$B$2:$B$190,$B98)*Inputs!$D$1),"",SUMIFS(INDEX(Inputs!$B$2:$AZ$190,,MATCH(SUBSTITUTE(Q$3,"Q","T"),Inputs!$B$2:$AZ$2,0)),Inputs!$B$2:$B$190,$B98)*Inputs!$D$1)</f>
        <v>0</v>
      </c>
      <c r="R98" s="57">
        <f>IF(ISNA(SUMIFS(INDEX(Inputs!$B$2:$AZ$190,,MATCH(SUBSTITUTE(R$3,"Q","T"),Inputs!$B$2:$AZ$2,0)),Inputs!$B$2:$B$190,$B98)*Inputs!$D$1),"",SUMIFS(INDEX(Inputs!$B$2:$AZ$190,,MATCH(SUBSTITUTE(R$3,"Q","T"),Inputs!$B$2:$AZ$2,0)),Inputs!$B$2:$B$190,$B98)*Inputs!$D$1)</f>
        <v>0</v>
      </c>
      <c r="S98" s="58">
        <f>SUM(O98:R98)</f>
        <v>0</v>
      </c>
      <c r="T98" s="57">
        <f>IF(ISNA(SUMIFS(INDEX(Inputs!$B$2:$AZ$190,,MATCH(SUBSTITUTE(T$3,"Q","T"),Inputs!$B$2:$AZ$2,0)),Inputs!$B$2:$B$190,$B98)*Inputs!$D$1),"",SUMIFS(INDEX(Inputs!$B$2:$AZ$190,,MATCH(SUBSTITUTE(T$3,"Q","T"),Inputs!$B$2:$AZ$2,0)),Inputs!$B$2:$B$190,$B98)*Inputs!$D$1)</f>
        <v>0</v>
      </c>
      <c r="U98" s="57">
        <f>IF(ISNA(SUMIFS(INDEX(Inputs!$B$2:$AZ$190,,MATCH(SUBSTITUTE(U$3,"Q","T"),Inputs!$B$2:$AZ$2,0)),Inputs!$B$2:$B$190,$B98)*Inputs!$D$1),"",SUMIFS(INDEX(Inputs!$B$2:$AZ$190,,MATCH(SUBSTITUTE(U$3,"Q","T"),Inputs!$B$2:$AZ$2,0)),Inputs!$B$2:$B$190,$B98)*Inputs!$D$1)</f>
        <v>0</v>
      </c>
      <c r="V98" s="57">
        <f>IF(ISNA(SUMIFS(INDEX(Inputs!$B$2:$AZ$190,,MATCH(SUBSTITUTE(V$3,"Q","T"),Inputs!$B$2:$AZ$2,0)),Inputs!$B$2:$B$190,$B98)*Inputs!$D$1),"",SUMIFS(INDEX(Inputs!$B$2:$AZ$190,,MATCH(SUBSTITUTE(V$3,"Q","T"),Inputs!$B$2:$AZ$2,0)),Inputs!$B$2:$B$190,$B98)*Inputs!$D$1)</f>
        <v>0</v>
      </c>
      <c r="W98" s="57">
        <f>IF(ISNA(SUMIFS(INDEX(Inputs!$B$2:$AZ$190,,MATCH(SUBSTITUTE(W$3,"Q","T"),Inputs!$B$2:$AZ$2,0)),Inputs!$B$2:$B$190,$B98)*Inputs!$D$1),"",SUMIFS(INDEX(Inputs!$B$2:$AZ$190,,MATCH(SUBSTITUTE(W$3,"Q","T"),Inputs!$B$2:$AZ$2,0)),Inputs!$B$2:$B$190,$B98)*Inputs!$D$1)</f>
        <v>0</v>
      </c>
      <c r="X98" s="58">
        <f>SUM(T98:W98)</f>
        <v>0</v>
      </c>
      <c r="Y98" s="57">
        <f>IF(ISNA(SUMIFS(INDEX(Inputs!$B$2:$AZ$190,,MATCH(SUBSTITUTE(Y$3,"Q","T"),Inputs!$B$2:$AZ$2,0)),Inputs!$B$2:$B$190,$B98)*Inputs!$D$1),"",SUMIFS(INDEX(Inputs!$B$2:$AZ$190,,MATCH(SUBSTITUTE(Y$3,"Q","T"),Inputs!$B$2:$AZ$2,0)),Inputs!$B$2:$B$190,$B98)*Inputs!$D$1)</f>
        <v>0</v>
      </c>
      <c r="Z98" s="57">
        <f>IF(ISNA(SUMIFS(INDEX(Inputs!$B$2:$AZ$190,,MATCH(SUBSTITUTE(Z$3,"Q","T"),Inputs!$B$2:$AZ$2,0)),Inputs!$B$2:$B$190,$B98)*Inputs!$D$1),"",SUMIFS(INDEX(Inputs!$B$2:$AZ$190,,MATCH(SUBSTITUTE(Z$3,"Q","T"),Inputs!$B$2:$AZ$2,0)),Inputs!$B$2:$B$190,$B98)*Inputs!$D$1)</f>
        <v>0</v>
      </c>
      <c r="AA98" s="57">
        <f>IF(ISNA(SUMIFS(INDEX(Inputs!$B$2:$AZ$190,,MATCH(SUBSTITUTE(AA$3,"Q","T"),Inputs!$B$2:$AZ$2,0)),Inputs!$B$2:$B$190,$B98)*Inputs!$D$1),"",SUMIFS(INDEX(Inputs!$B$2:$AZ$190,,MATCH(SUBSTITUTE(AA$3,"Q","T"),Inputs!$B$2:$AZ$2,0)),Inputs!$B$2:$B$190,$B98)*Inputs!$D$1)</f>
        <v>0</v>
      </c>
      <c r="AB98" s="57">
        <f>IF(ISNA(SUMIFS(INDEX(Inputs!$B$2:$AZ$190,,MATCH(SUBSTITUTE(AB$3,"Q","T"),Inputs!$B$2:$AZ$2,0)),Inputs!$B$2:$B$190,$B98)*Inputs!$D$1),"",SUMIFS(INDEX(Inputs!$B$2:$AZ$190,,MATCH(SUBSTITUTE(AB$3,"Q","T"),Inputs!$B$2:$AZ$2,0)),Inputs!$B$2:$B$190,$B98)*Inputs!$D$1)</f>
        <v>0</v>
      </c>
      <c r="AC98" s="58">
        <f>SUM(Y98:AB98)</f>
        <v>0</v>
      </c>
      <c r="AD98" s="57">
        <f>IF(ISNA(SUMIFS(INDEX(Inputs!$B$2:$AZ$190,,MATCH(SUBSTITUTE(AD$3,"Q","T"),Inputs!$B$2:$AZ$2,0)),Inputs!$B$2:$B$190,$B98)*Inputs!$D$1),"",SUMIFS(INDEX(Inputs!$B$2:$AZ$190,,MATCH(SUBSTITUTE(AD$3,"Q","T"),Inputs!$B$2:$AZ$2,0)),Inputs!$B$2:$B$190,$B98)*Inputs!$D$1)</f>
        <v>0</v>
      </c>
      <c r="AE98" s="57">
        <f>IF(ISNA(SUMIFS(INDEX(Inputs!$B$2:$AZ$190,,MATCH(SUBSTITUTE(AE$3,"Q","T"),Inputs!$B$2:$AZ$2,0)),Inputs!$B$2:$B$190,$B98)*Inputs!$D$1),"",SUMIFS(INDEX(Inputs!$B$2:$AZ$190,,MATCH(SUBSTITUTE(AE$3,"Q","T"),Inputs!$B$2:$AZ$2,0)),Inputs!$B$2:$B$190,$B98)*Inputs!$D$1)</f>
        <v>0</v>
      </c>
      <c r="AF98" s="57">
        <f>IF(ISNA(SUMIFS(INDEX(Inputs!$B$2:$AZ$190,,MATCH(SUBSTITUTE(AF$3,"Q","T"),Inputs!$B$2:$AZ$2,0)),Inputs!$B$2:$B$190,$B98)*Inputs!$D$1),"",SUMIFS(INDEX(Inputs!$B$2:$AZ$190,,MATCH(SUBSTITUTE(AF$3,"Q","T"),Inputs!$B$2:$AZ$2,0)),Inputs!$B$2:$B$190,$B98)*Inputs!$D$1)</f>
        <v>0</v>
      </c>
      <c r="AG98" s="57">
        <f>IF(ISNA(SUMIFS(INDEX(Inputs!$B$2:$AZ$190,,MATCH(SUBSTITUTE(AG$3,"Q","T"),Inputs!$B$2:$AZ$2,0)),Inputs!$B$2:$B$190,$B98)*Inputs!$D$1),"",SUMIFS(INDEX(Inputs!$B$2:$AZ$190,,MATCH(SUBSTITUTE(AG$3,"Q","T"),Inputs!$B$2:$AZ$2,0)),Inputs!$B$2:$B$190,$B98)*Inputs!$D$1)</f>
        <v>0</v>
      </c>
      <c r="AH98" s="58">
        <f>SUM(AD98:AG98)</f>
        <v>0</v>
      </c>
      <c r="AI98" s="57">
        <f>IF(ISNA(SUMIFS(INDEX(Inputs!$B$2:$AZ$190,,MATCH(SUBSTITUTE(AI$3,"Q","T"),Inputs!$B$2:$AZ$2,0)),Inputs!$B$2:$B$190,$B98)*Inputs!$D$1),"",SUMIFS(INDEX(Inputs!$B$2:$AZ$190,,MATCH(SUBSTITUTE(AI$3,"Q","T"),Inputs!$B$2:$AZ$2,0)),Inputs!$B$2:$B$190,$B98)*Inputs!$D$1)</f>
        <v>0</v>
      </c>
      <c r="AJ98" s="57">
        <f>IF(ISNA(SUMIFS(INDEX(Inputs!$B$2:$AZ$190,,MATCH(SUBSTITUTE(AJ$3,"Q","T"),Inputs!$B$2:$AZ$2,0)),Inputs!$B$2:$B$190,$B98)*Inputs!$D$1),"",SUMIFS(INDEX(Inputs!$B$2:$AZ$190,,MATCH(SUBSTITUTE(AJ$3,"Q","T"),Inputs!$B$2:$AZ$2,0)),Inputs!$B$2:$B$190,$B98)*Inputs!$D$1)</f>
        <v>0</v>
      </c>
      <c r="AK98" s="57">
        <f>IF(ISNA(SUMIFS(INDEX(Inputs!$B$2:$AZ$190,,MATCH(SUBSTITUTE(AK$3,"Q","T"),Inputs!$B$2:$AZ$2,0)),Inputs!$B$2:$B$190,$B98)*Inputs!$D$1),"",SUMIFS(INDEX(Inputs!$B$2:$AZ$190,,MATCH(SUBSTITUTE(AK$3,"Q","T"),Inputs!$B$2:$AZ$2,0)),Inputs!$B$2:$B$190,$B98)*Inputs!$D$1)</f>
        <v>0</v>
      </c>
      <c r="AL98" s="57">
        <f>IF(ISNA(SUMIFS(INDEX(Inputs!$B$2:$AZ$190,,MATCH(SUBSTITUTE(AL$3,"Q","T"),Inputs!$B$2:$AZ$2,0)),Inputs!$B$2:$B$190,$B98)*Inputs!$D$1),"",SUMIFS(INDEX(Inputs!$B$2:$AZ$190,,MATCH(SUBSTITUTE(AL$3,"Q","T"),Inputs!$B$2:$AZ$2,0)),Inputs!$B$2:$B$190,$B98)*Inputs!$D$1)</f>
        <v>0</v>
      </c>
      <c r="AM98" s="58">
        <f>SUM(AI98:AL98)</f>
        <v>0</v>
      </c>
      <c r="AN98" s="57">
        <f>IF(ISNA(SUMIFS(INDEX(Inputs!$B$2:$AZ$190,,MATCH(SUBSTITUTE(AN$3,"Q","T"),Inputs!$B$2:$AZ$2,0)),Inputs!$B$2:$B$190,$B98)*Inputs!$D$1),"",SUMIFS(INDEX(Inputs!$B$2:$AZ$190,,MATCH(SUBSTITUTE(AN$3,"Q","T"),Inputs!$B$2:$AZ$2,0)),Inputs!$B$2:$B$190,$B98)*Inputs!$D$1)</f>
        <v>0</v>
      </c>
      <c r="AO98" s="57">
        <f>IF(ISNA(SUMIFS(INDEX(Inputs!$B$2:$AZ$190,,MATCH(SUBSTITUTE(AO$3,"Q","T"),Inputs!$B$2:$AZ$2,0)),Inputs!$B$2:$B$190,$B98)*Inputs!$D$1),"",SUMIFS(INDEX(Inputs!$B$2:$AZ$190,,MATCH(SUBSTITUTE(AO$3,"Q","T"),Inputs!$B$2:$AZ$2,0)),Inputs!$B$2:$B$190,$B98)*Inputs!$D$1)</f>
        <v>0</v>
      </c>
      <c r="AP98" s="57">
        <f>IF(ISNA(SUMIFS(INDEX(Inputs!$B$2:$AZ$190,,MATCH(SUBSTITUTE(AP$3,"Q","T"),Inputs!$B$2:$AZ$2,0)),Inputs!$B$2:$B$190,$B98)*Inputs!$D$1),"",SUMIFS(INDEX(Inputs!$B$2:$AZ$190,,MATCH(SUBSTITUTE(AP$3,"Q","T"),Inputs!$B$2:$AZ$2,0)),Inputs!$B$2:$B$190,$B98)*Inputs!$D$1)</f>
        <v>0</v>
      </c>
      <c r="AQ98" s="57">
        <f>IF(ISNA(SUMIFS(INDEX(Inputs!$B$2:$AZ$190,,MATCH(SUBSTITUTE(AQ$3,"Q","T"),Inputs!$B$2:$AZ$2,0)),Inputs!$B$2:$B$190,$B98)*Inputs!$D$1),"",SUMIFS(INDEX(Inputs!$B$2:$AZ$190,,MATCH(SUBSTITUTE(AQ$3,"Q","T"),Inputs!$B$2:$AZ$2,0)),Inputs!$B$2:$B$190,$B98)*Inputs!$D$1)</f>
        <v>0</v>
      </c>
      <c r="AR98" s="58">
        <f>SUM(AN98:AQ98)</f>
        <v>0</v>
      </c>
      <c r="AS98" s="57">
        <f>IF(ISNA(SUMIFS(INDEX(Inputs!$B$2:$AZ$190,,MATCH(SUBSTITUTE(AS$3,"Q","T"),Inputs!$B$2:$AZ$2,0)),Inputs!$B$2:$B$190,$B98)*Inputs!$D$1),"",SUMIFS(INDEX(Inputs!$B$2:$AZ$190,,MATCH(SUBSTITUTE(AS$3,"Q","T"),Inputs!$B$2:$AZ$2,0)),Inputs!$B$2:$B$190,$B98)*Inputs!$D$1)</f>
        <v>0</v>
      </c>
      <c r="AT98" s="57">
        <f>IF(ISNA(SUMIFS(INDEX(Inputs!$B$2:$AZ$190,,MATCH(SUBSTITUTE(AT$3,"Q","T"),Inputs!$B$2:$AZ$2,0)),Inputs!$B$2:$B$190,$B98)*Inputs!$D$1),"",SUMIFS(INDEX(Inputs!$B$2:$AZ$190,,MATCH(SUBSTITUTE(AT$3,"Q","T"),Inputs!$B$2:$AZ$2,0)),Inputs!$B$2:$B$190,$B98)*Inputs!$D$1)</f>
        <v>0</v>
      </c>
      <c r="AU98" s="57">
        <f>IF(ISNA(SUMIFS(INDEX(Inputs!$B$2:$AZ$190,,MATCH(SUBSTITUTE(AU$3,"Q","T"),Inputs!$B$2:$AZ$2,0)),Inputs!$B$2:$B$190,$B98)*Inputs!$D$1),"",SUMIFS(INDEX(Inputs!$B$2:$AZ$190,,MATCH(SUBSTITUTE(AU$3,"Q","T"),Inputs!$B$2:$AZ$2,0)),Inputs!$B$2:$B$190,$B98)*Inputs!$D$1)</f>
        <v>0</v>
      </c>
      <c r="AV98" s="57">
        <f>IF(ISNA(SUMIFS(INDEX(Inputs!$B$2:$AZ$190,,MATCH(SUBSTITUTE(AV$3,"Q","T"),Inputs!$B$2:$AZ$2,0)),Inputs!$B$2:$B$190,$B98)*Inputs!$D$1),"",SUMIFS(INDEX(Inputs!$B$2:$AZ$190,,MATCH(SUBSTITUTE(AV$3,"Q","T"),Inputs!$B$2:$AZ$2,0)),Inputs!$B$2:$B$190,$B98)*Inputs!$D$1)</f>
        <v>0</v>
      </c>
      <c r="AW98" s="58">
        <f>SUM(AS98:AV98)</f>
        <v>0</v>
      </c>
      <c r="AX98" s="57">
        <f>IF(ISNA(SUMIFS(INDEX(Inputs!$B$2:$AZ$190,,MATCH(SUBSTITUTE(AX$3,"Q","T"),Inputs!$B$2:$AZ$2,0)),Inputs!$B$2:$B$190,$B98)*Inputs!$D$1),"",SUMIFS(INDEX(Inputs!$B$2:$AZ$190,,MATCH(SUBSTITUTE(AX$3,"Q","T"),Inputs!$B$2:$AZ$2,0)),Inputs!$B$2:$B$190,$B98)*Inputs!$D$1)</f>
        <v>0</v>
      </c>
      <c r="AY98" s="57">
        <f>IF(ISNA(SUMIFS(INDEX(Inputs!$B$2:$AZ$190,,MATCH(SUBSTITUTE(AY$3,"Q","T"),Inputs!$B$2:$AZ$2,0)),Inputs!$B$2:$B$190,$B98)*Inputs!$D$1),"",SUMIFS(INDEX(Inputs!$B$2:$AZ$190,,MATCH(SUBSTITUTE(AY$3,"Q","T"),Inputs!$B$2:$AZ$2,0)),Inputs!$B$2:$B$190,$B98)*Inputs!$D$1)</f>
        <v>0</v>
      </c>
      <c r="AZ98" s="57">
        <f>IF(ISNA(SUMIFS(INDEX(Inputs!$B$2:$AZ$190,,MATCH(SUBSTITUTE(AZ$3,"Q","T"),Inputs!$B$2:$AZ$2,0)),Inputs!$B$2:$B$190,$B98)*Inputs!$D$1),"",SUMIFS(INDEX(Inputs!$B$2:$AZ$190,,MATCH(SUBSTITUTE(AZ$3,"Q","T"),Inputs!$B$2:$AZ$2,0)),Inputs!$B$2:$B$190,$B98)*Inputs!$D$1)</f>
        <v>0</v>
      </c>
      <c r="BA98" s="57">
        <f>IF(ISNA(SUMIFS(INDEX(Inputs!$B$2:$AZ$190,,MATCH(SUBSTITUTE(BA$3,"Q","T"),Inputs!$B$2:$AZ$2,0)),Inputs!$B$2:$B$190,$B98)*Inputs!$D$1),"",SUMIFS(INDEX(Inputs!$B$2:$AZ$190,,MATCH(SUBSTITUTE(BA$3,"Q","T"),Inputs!$B$2:$AZ$2,0)),Inputs!$B$2:$B$190,$B98)*Inputs!$D$1)</f>
        <v>0</v>
      </c>
      <c r="BB98" s="58">
        <f>SUM(AX98:BA98)</f>
        <v>0</v>
      </c>
      <c r="BC98" s="57">
        <f>IF(ISNA(SUMIFS(INDEX(Inputs!$B$2:$AZ$190,,MATCH(SUBSTITUTE(BC$3,"Q","T"),Inputs!$B$2:$AZ$2,0)),Inputs!$B$2:$B$190,$B98)*Inputs!$D$1),"",SUMIFS(INDEX(Inputs!$B$2:$AZ$190,,MATCH(SUBSTITUTE(BC$3,"Q","T"),Inputs!$B$2:$AZ$2,0)),Inputs!$B$2:$B$190,$B98)*Inputs!$D$1)</f>
        <v>0</v>
      </c>
      <c r="BD98" s="57">
        <f>IF(ISNA(SUMIFS(INDEX(Inputs!$B$2:$AZ$190,,MATCH(SUBSTITUTE(BD$3,"Q","T"),Inputs!$B$2:$AZ$2,0)),Inputs!$B$2:$B$190,$B98)*Inputs!$D$1),"",SUMIFS(INDEX(Inputs!$B$2:$AZ$190,,MATCH(SUBSTITUTE(BD$3,"Q","T"),Inputs!$B$2:$AZ$2,0)),Inputs!$B$2:$B$190,$B98)*Inputs!$D$1)</f>
        <v>0</v>
      </c>
      <c r="BE98" s="57">
        <f>IF(ISNA(SUMIFS(INDEX(Inputs!$B$2:$AZ$190,,MATCH(SUBSTITUTE(BE$3,"Q","T"),Inputs!$B$2:$AZ$2,0)),Inputs!$B$2:$B$190,$B98)*Inputs!$D$1),"",SUMIFS(INDEX(Inputs!$B$2:$AZ$190,,MATCH(SUBSTITUTE(BE$3,"Q","T"),Inputs!$B$2:$AZ$2,0)),Inputs!$B$2:$B$190,$B98)*Inputs!$D$1)</f>
        <v>0</v>
      </c>
      <c r="BF98" s="57">
        <f>IF(ISNA(SUMIFS(INDEX(Inputs!$B$2:$AZ$190,,MATCH(SUBSTITUTE(BF$3,"Q","T"),Inputs!$B$2:$AZ$2,0)),Inputs!$B$2:$B$190,$B98)*Inputs!$D$1),"",SUMIFS(INDEX(Inputs!$B$2:$AZ$190,,MATCH(SUBSTITUTE(BF$3,"Q","T"),Inputs!$B$2:$AZ$2,0)),Inputs!$B$2:$B$190,$B98)*Inputs!$D$1)</f>
        <v>0</v>
      </c>
      <c r="BG98" s="58">
        <f>SUM(BC98:BF98)</f>
        <v>0</v>
      </c>
    </row>
    <row r="99">
      <c r="C99" s="53" t="inlineStr">
        <is>
          <t>Resultado operacional</t>
        </is>
      </c>
      <c r="D99" s="54" t="inlineStr">
        <is>
          <t>Operating result</t>
        </is>
      </c>
      <c r="E99" s="59">
        <f>IFERROR(E85+E86,"")</f>
        <v>0</v>
      </c>
      <c r="F99" s="59">
        <f>IFERROR(F85+F86,"")</f>
        <v>0</v>
      </c>
      <c r="G99" s="59">
        <f>IFERROR(G85+G86,"")</f>
        <v>0</v>
      </c>
      <c r="H99" s="59">
        <f>IFERROR(H85+H86,"")</f>
        <v>0</v>
      </c>
      <c r="I99" s="60">
        <f>SUM(E99:H99)</f>
        <v>0</v>
      </c>
      <c r="J99" s="59">
        <f>IFERROR(J85+J86,"")</f>
        <v>0</v>
      </c>
      <c r="K99" s="59">
        <f>IFERROR(K85+K86,"")</f>
        <v>0</v>
      </c>
      <c r="L99" s="59">
        <f>IFERROR(L85+L86,"")</f>
        <v>0</v>
      </c>
      <c r="M99" s="59">
        <f>IFERROR(M85+M86,"")</f>
        <v>0</v>
      </c>
      <c r="N99" s="60">
        <f>SUM(J99:M99)</f>
        <v>0</v>
      </c>
      <c r="O99" s="59">
        <f>IFERROR(O85+O86,"")</f>
        <v>0</v>
      </c>
      <c r="P99" s="59">
        <f>IFERROR(P85+P86,"")</f>
        <v>0</v>
      </c>
      <c r="Q99" s="59">
        <f>IFERROR(Q85+Q86,"")</f>
        <v>0</v>
      </c>
      <c r="R99" s="59">
        <f>IFERROR(R85+R86,"")</f>
        <v>0</v>
      </c>
      <c r="S99" s="60">
        <f>SUM(O99:R99)</f>
        <v>0</v>
      </c>
      <c r="T99" s="59">
        <f>IFERROR(T85+T86,"")</f>
        <v>0</v>
      </c>
      <c r="U99" s="59">
        <f>IFERROR(U85+U86,"")</f>
        <v>0</v>
      </c>
      <c r="V99" s="59">
        <f>IFERROR(V85+V86,"")</f>
        <v>0</v>
      </c>
      <c r="W99" s="59">
        <f>IFERROR(W85+W86,"")</f>
        <v>0</v>
      </c>
      <c r="X99" s="60">
        <f>SUM(T99:W99)</f>
        <v>0</v>
      </c>
      <c r="Y99" s="59">
        <f>IFERROR(Y85+Y86,"")</f>
        <v>0</v>
      </c>
      <c r="Z99" s="59">
        <f>IFERROR(Z85+Z86,"")</f>
        <v>0</v>
      </c>
      <c r="AA99" s="59">
        <f>IFERROR(AA85+AA86,"")</f>
        <v>0</v>
      </c>
      <c r="AB99" s="59">
        <f>IFERROR(AB85+AB86,"")</f>
        <v>0</v>
      </c>
      <c r="AC99" s="60">
        <f>SUM(Y99:AB99)</f>
        <v>0</v>
      </c>
      <c r="AD99" s="59">
        <f>IFERROR(AD85+AD86,"")</f>
        <v>0</v>
      </c>
      <c r="AE99" s="59">
        <f>IFERROR(AE85+AE86,"")</f>
        <v>0</v>
      </c>
      <c r="AF99" s="59">
        <f>IFERROR(AF85+AF86,"")</f>
        <v>0</v>
      </c>
      <c r="AG99" s="59">
        <f>IFERROR(AG85+AG86,"")</f>
        <v>0</v>
      </c>
      <c r="AH99" s="60">
        <f>SUM(AD99:AG99)</f>
        <v>0</v>
      </c>
      <c r="AI99" s="59">
        <f>IFERROR(AI85+AI86,"")</f>
        <v>0</v>
      </c>
      <c r="AJ99" s="59">
        <f>IFERROR(AJ85+AJ86,"")</f>
        <v>0</v>
      </c>
      <c r="AK99" s="59">
        <f>IFERROR(AK85+AK86,"")</f>
        <v>0</v>
      </c>
      <c r="AL99" s="59">
        <f>IFERROR(AL85+AL86,"")</f>
        <v>0</v>
      </c>
      <c r="AM99" s="60">
        <f>SUM(AI99:AL99)</f>
        <v>0</v>
      </c>
      <c r="AN99" s="59">
        <f>IFERROR(AN85+AN86,"")</f>
        <v>0</v>
      </c>
      <c r="AO99" s="59">
        <f>IFERROR(AO85+AO86,"")</f>
        <v>0</v>
      </c>
      <c r="AP99" s="59">
        <f>IFERROR(AP85+AP86,"")</f>
        <v>0</v>
      </c>
      <c r="AQ99" s="59">
        <f>IFERROR(AQ85+AQ86,"")</f>
        <v>0</v>
      </c>
      <c r="AR99" s="60">
        <f>SUM(AN99:AQ99)</f>
        <v>0</v>
      </c>
      <c r="AS99" s="59">
        <f>IFERROR(AS85+AS86,"")</f>
        <v>0</v>
      </c>
      <c r="AT99" s="59">
        <f>IFERROR(AT85+AT86,"")</f>
        <v>0</v>
      </c>
      <c r="AU99" s="59">
        <f>IFERROR(AU85+AU86,"")</f>
        <v>0</v>
      </c>
      <c r="AV99" s="59">
        <f>IFERROR(AV85+AV86,"")</f>
        <v>0</v>
      </c>
      <c r="AW99" s="60">
        <f>SUM(AS99:AV99)</f>
        <v>0</v>
      </c>
      <c r="AX99" s="59">
        <f>IFERROR(AX85+AX86,"")</f>
        <v>0</v>
      </c>
      <c r="AY99" s="59">
        <f>IFERROR(AY85+AY86,"")</f>
        <v>0</v>
      </c>
      <c r="AZ99" s="59">
        <f>IFERROR(AZ85+AZ86,"")</f>
        <v>0</v>
      </c>
      <c r="BA99" s="59">
        <f>IFERROR(BA85+BA86,"")</f>
        <v>0</v>
      </c>
      <c r="BB99" s="60">
        <f>SUM(AX99:BA99)</f>
        <v>0</v>
      </c>
      <c r="BC99" s="59">
        <f>IFERROR(BC85+BC86,"")</f>
        <v>0</v>
      </c>
      <c r="BD99" s="59">
        <f>IFERROR(BD85+BD86,"")</f>
        <v>0</v>
      </c>
      <c r="BE99" s="59">
        <f>IFERROR(BE85+BE86,"")</f>
        <v>0</v>
      </c>
      <c r="BF99" s="59">
        <f>IFERROR(BF85+BF86,"")</f>
        <v>0</v>
      </c>
      <c r="BG99" s="60">
        <f>SUM(BC99:BF99)</f>
        <v>0</v>
      </c>
    </row>
    <row r="100">
      <c r="B100" s="56" t="inlineStr">
        <is>
          <t>nonop</t>
        </is>
      </c>
      <c r="C100" s="11" t="inlineStr">
        <is>
          <t>Resultado não operacional (raro nos EUA)</t>
        </is>
      </c>
      <c r="D100" s="12" t="inlineStr">
        <is>
          <t>Non-operating result</t>
        </is>
      </c>
      <c r="E100" s="57">
        <f>IF(ISNA(SUMIFS(INDEX(Inputs!$B$2:$AZ$190,,MATCH(SUBSTITUTE(E$3,"Q","T"),Inputs!$B$2:$AZ$2,0)),Inputs!$B$2:$B$190,$B100)*Inputs!$D$1),"",SUMIFS(INDEX(Inputs!$B$2:$AZ$190,,MATCH(SUBSTITUTE(E$3,"Q","T"),Inputs!$B$2:$AZ$2,0)),Inputs!$B$2:$B$190,$B100)*Inputs!$D$1)</f>
        <v>0</v>
      </c>
      <c r="F100" s="57">
        <f>IF(ISNA(SUMIFS(INDEX(Inputs!$B$2:$AZ$190,,MATCH(SUBSTITUTE(F$3,"Q","T"),Inputs!$B$2:$AZ$2,0)),Inputs!$B$2:$B$190,$B100)*Inputs!$D$1),"",SUMIFS(INDEX(Inputs!$B$2:$AZ$190,,MATCH(SUBSTITUTE(F$3,"Q","T"),Inputs!$B$2:$AZ$2,0)),Inputs!$B$2:$B$190,$B100)*Inputs!$D$1)</f>
        <v>0</v>
      </c>
      <c r="G100" s="57">
        <f>IF(ISNA(SUMIFS(INDEX(Inputs!$B$2:$AZ$190,,MATCH(SUBSTITUTE(G$3,"Q","T"),Inputs!$B$2:$AZ$2,0)),Inputs!$B$2:$B$190,$B100)*Inputs!$D$1),"",SUMIFS(INDEX(Inputs!$B$2:$AZ$190,,MATCH(SUBSTITUTE(G$3,"Q","T"),Inputs!$B$2:$AZ$2,0)),Inputs!$B$2:$B$190,$B100)*Inputs!$D$1)</f>
        <v>0</v>
      </c>
      <c r="H100" s="57">
        <f>IF(ISNA(SUMIFS(INDEX(Inputs!$B$2:$AZ$190,,MATCH(SUBSTITUTE(H$3,"Q","T"),Inputs!$B$2:$AZ$2,0)),Inputs!$B$2:$B$190,$B100)*Inputs!$D$1),"",SUMIFS(INDEX(Inputs!$B$2:$AZ$190,,MATCH(SUBSTITUTE(H$3,"Q","T"),Inputs!$B$2:$AZ$2,0)),Inputs!$B$2:$B$190,$B100)*Inputs!$D$1)</f>
        <v>0</v>
      </c>
      <c r="I100" s="58">
        <f>SUM(E100:H100)</f>
        <v>0</v>
      </c>
      <c r="J100" s="57">
        <f>IF(ISNA(SUMIFS(INDEX(Inputs!$B$2:$AZ$190,,MATCH(SUBSTITUTE(J$3,"Q","T"),Inputs!$B$2:$AZ$2,0)),Inputs!$B$2:$B$190,$B100)*Inputs!$D$1),"",SUMIFS(INDEX(Inputs!$B$2:$AZ$190,,MATCH(SUBSTITUTE(J$3,"Q","T"),Inputs!$B$2:$AZ$2,0)),Inputs!$B$2:$B$190,$B100)*Inputs!$D$1)</f>
        <v>0</v>
      </c>
      <c r="K100" s="57">
        <f>IF(ISNA(SUMIFS(INDEX(Inputs!$B$2:$AZ$190,,MATCH(SUBSTITUTE(K$3,"Q","T"),Inputs!$B$2:$AZ$2,0)),Inputs!$B$2:$B$190,$B100)*Inputs!$D$1),"",SUMIFS(INDEX(Inputs!$B$2:$AZ$190,,MATCH(SUBSTITUTE(K$3,"Q","T"),Inputs!$B$2:$AZ$2,0)),Inputs!$B$2:$B$190,$B100)*Inputs!$D$1)</f>
        <v>0</v>
      </c>
      <c r="L100" s="57">
        <f>IF(ISNA(SUMIFS(INDEX(Inputs!$B$2:$AZ$190,,MATCH(SUBSTITUTE(L$3,"Q","T"),Inputs!$B$2:$AZ$2,0)),Inputs!$B$2:$B$190,$B100)*Inputs!$D$1),"",SUMIFS(INDEX(Inputs!$B$2:$AZ$190,,MATCH(SUBSTITUTE(L$3,"Q","T"),Inputs!$B$2:$AZ$2,0)),Inputs!$B$2:$B$190,$B100)*Inputs!$D$1)</f>
        <v>0</v>
      </c>
      <c r="M100" s="57">
        <f>IF(ISNA(SUMIFS(INDEX(Inputs!$B$2:$AZ$190,,MATCH(SUBSTITUTE(M$3,"Q","T"),Inputs!$B$2:$AZ$2,0)),Inputs!$B$2:$B$190,$B100)*Inputs!$D$1),"",SUMIFS(INDEX(Inputs!$B$2:$AZ$190,,MATCH(SUBSTITUTE(M$3,"Q","T"),Inputs!$B$2:$AZ$2,0)),Inputs!$B$2:$B$190,$B100)*Inputs!$D$1)</f>
        <v>0</v>
      </c>
      <c r="N100" s="58">
        <f>SUM(J100:M100)</f>
        <v>0</v>
      </c>
      <c r="O100" s="57">
        <f>IF(ISNA(SUMIFS(INDEX(Inputs!$B$2:$AZ$190,,MATCH(SUBSTITUTE(O$3,"Q","T"),Inputs!$B$2:$AZ$2,0)),Inputs!$B$2:$B$190,$B100)*Inputs!$D$1),"",SUMIFS(INDEX(Inputs!$B$2:$AZ$190,,MATCH(SUBSTITUTE(O$3,"Q","T"),Inputs!$B$2:$AZ$2,0)),Inputs!$B$2:$B$190,$B100)*Inputs!$D$1)</f>
        <v>0</v>
      </c>
      <c r="P100" s="57">
        <f>IF(ISNA(SUMIFS(INDEX(Inputs!$B$2:$AZ$190,,MATCH(SUBSTITUTE(P$3,"Q","T"),Inputs!$B$2:$AZ$2,0)),Inputs!$B$2:$B$190,$B100)*Inputs!$D$1),"",SUMIFS(INDEX(Inputs!$B$2:$AZ$190,,MATCH(SUBSTITUTE(P$3,"Q","T"),Inputs!$B$2:$AZ$2,0)),Inputs!$B$2:$B$190,$B100)*Inputs!$D$1)</f>
        <v>0</v>
      </c>
      <c r="Q100" s="57">
        <f>IF(ISNA(SUMIFS(INDEX(Inputs!$B$2:$AZ$190,,MATCH(SUBSTITUTE(Q$3,"Q","T"),Inputs!$B$2:$AZ$2,0)),Inputs!$B$2:$B$190,$B100)*Inputs!$D$1),"",SUMIFS(INDEX(Inputs!$B$2:$AZ$190,,MATCH(SUBSTITUTE(Q$3,"Q","T"),Inputs!$B$2:$AZ$2,0)),Inputs!$B$2:$B$190,$B100)*Inputs!$D$1)</f>
        <v>0</v>
      </c>
      <c r="R100" s="57">
        <f>IF(ISNA(SUMIFS(INDEX(Inputs!$B$2:$AZ$190,,MATCH(SUBSTITUTE(R$3,"Q","T"),Inputs!$B$2:$AZ$2,0)),Inputs!$B$2:$B$190,$B100)*Inputs!$D$1),"",SUMIFS(INDEX(Inputs!$B$2:$AZ$190,,MATCH(SUBSTITUTE(R$3,"Q","T"),Inputs!$B$2:$AZ$2,0)),Inputs!$B$2:$B$190,$B100)*Inputs!$D$1)</f>
        <v>0</v>
      </c>
      <c r="S100" s="58">
        <f>SUM(O100:R100)</f>
        <v>0</v>
      </c>
      <c r="T100" s="57">
        <f>IF(ISNA(SUMIFS(INDEX(Inputs!$B$2:$AZ$190,,MATCH(SUBSTITUTE(T$3,"Q","T"),Inputs!$B$2:$AZ$2,0)),Inputs!$B$2:$B$190,$B100)*Inputs!$D$1),"",SUMIFS(INDEX(Inputs!$B$2:$AZ$190,,MATCH(SUBSTITUTE(T$3,"Q","T"),Inputs!$B$2:$AZ$2,0)),Inputs!$B$2:$B$190,$B100)*Inputs!$D$1)</f>
        <v>0</v>
      </c>
      <c r="U100" s="57">
        <f>IF(ISNA(SUMIFS(INDEX(Inputs!$B$2:$AZ$190,,MATCH(SUBSTITUTE(U$3,"Q","T"),Inputs!$B$2:$AZ$2,0)),Inputs!$B$2:$B$190,$B100)*Inputs!$D$1),"",SUMIFS(INDEX(Inputs!$B$2:$AZ$190,,MATCH(SUBSTITUTE(U$3,"Q","T"),Inputs!$B$2:$AZ$2,0)),Inputs!$B$2:$B$190,$B100)*Inputs!$D$1)</f>
        <v>0</v>
      </c>
      <c r="V100" s="57">
        <f>IF(ISNA(SUMIFS(INDEX(Inputs!$B$2:$AZ$190,,MATCH(SUBSTITUTE(V$3,"Q","T"),Inputs!$B$2:$AZ$2,0)),Inputs!$B$2:$B$190,$B100)*Inputs!$D$1),"",SUMIFS(INDEX(Inputs!$B$2:$AZ$190,,MATCH(SUBSTITUTE(V$3,"Q","T"),Inputs!$B$2:$AZ$2,0)),Inputs!$B$2:$B$190,$B100)*Inputs!$D$1)</f>
        <v>0</v>
      </c>
      <c r="W100" s="57">
        <f>IF(ISNA(SUMIFS(INDEX(Inputs!$B$2:$AZ$190,,MATCH(SUBSTITUTE(W$3,"Q","T"),Inputs!$B$2:$AZ$2,0)),Inputs!$B$2:$B$190,$B100)*Inputs!$D$1),"",SUMIFS(INDEX(Inputs!$B$2:$AZ$190,,MATCH(SUBSTITUTE(W$3,"Q","T"),Inputs!$B$2:$AZ$2,0)),Inputs!$B$2:$B$190,$B100)*Inputs!$D$1)</f>
        <v>0</v>
      </c>
      <c r="X100" s="58">
        <f>SUM(T100:W100)</f>
        <v>0</v>
      </c>
      <c r="Y100" s="57">
        <f>IF(ISNA(SUMIFS(INDEX(Inputs!$B$2:$AZ$190,,MATCH(SUBSTITUTE(Y$3,"Q","T"),Inputs!$B$2:$AZ$2,0)),Inputs!$B$2:$B$190,$B100)*Inputs!$D$1),"",SUMIFS(INDEX(Inputs!$B$2:$AZ$190,,MATCH(SUBSTITUTE(Y$3,"Q","T"),Inputs!$B$2:$AZ$2,0)),Inputs!$B$2:$B$190,$B100)*Inputs!$D$1)</f>
        <v>0</v>
      </c>
      <c r="Z100" s="57">
        <f>IF(ISNA(SUMIFS(INDEX(Inputs!$B$2:$AZ$190,,MATCH(SUBSTITUTE(Z$3,"Q","T"),Inputs!$B$2:$AZ$2,0)),Inputs!$B$2:$B$190,$B100)*Inputs!$D$1),"",SUMIFS(INDEX(Inputs!$B$2:$AZ$190,,MATCH(SUBSTITUTE(Z$3,"Q","T"),Inputs!$B$2:$AZ$2,0)),Inputs!$B$2:$B$190,$B100)*Inputs!$D$1)</f>
        <v>0</v>
      </c>
      <c r="AA100" s="57">
        <f>IF(ISNA(SUMIFS(INDEX(Inputs!$B$2:$AZ$190,,MATCH(SUBSTITUTE(AA$3,"Q","T"),Inputs!$B$2:$AZ$2,0)),Inputs!$B$2:$B$190,$B100)*Inputs!$D$1),"",SUMIFS(INDEX(Inputs!$B$2:$AZ$190,,MATCH(SUBSTITUTE(AA$3,"Q","T"),Inputs!$B$2:$AZ$2,0)),Inputs!$B$2:$B$190,$B100)*Inputs!$D$1)</f>
        <v>0</v>
      </c>
      <c r="AB100" s="57">
        <f>IF(ISNA(SUMIFS(INDEX(Inputs!$B$2:$AZ$190,,MATCH(SUBSTITUTE(AB$3,"Q","T"),Inputs!$B$2:$AZ$2,0)),Inputs!$B$2:$B$190,$B100)*Inputs!$D$1),"",SUMIFS(INDEX(Inputs!$B$2:$AZ$190,,MATCH(SUBSTITUTE(AB$3,"Q","T"),Inputs!$B$2:$AZ$2,0)),Inputs!$B$2:$B$190,$B100)*Inputs!$D$1)</f>
        <v>0</v>
      </c>
      <c r="AC100" s="58">
        <f>SUM(Y100:AB100)</f>
        <v>0</v>
      </c>
      <c r="AD100" s="57">
        <f>IF(ISNA(SUMIFS(INDEX(Inputs!$B$2:$AZ$190,,MATCH(SUBSTITUTE(AD$3,"Q","T"),Inputs!$B$2:$AZ$2,0)),Inputs!$B$2:$B$190,$B100)*Inputs!$D$1),"",SUMIFS(INDEX(Inputs!$B$2:$AZ$190,,MATCH(SUBSTITUTE(AD$3,"Q","T"),Inputs!$B$2:$AZ$2,0)),Inputs!$B$2:$B$190,$B100)*Inputs!$D$1)</f>
        <v>0</v>
      </c>
      <c r="AE100" s="57">
        <f>IF(ISNA(SUMIFS(INDEX(Inputs!$B$2:$AZ$190,,MATCH(SUBSTITUTE(AE$3,"Q","T"),Inputs!$B$2:$AZ$2,0)),Inputs!$B$2:$B$190,$B100)*Inputs!$D$1),"",SUMIFS(INDEX(Inputs!$B$2:$AZ$190,,MATCH(SUBSTITUTE(AE$3,"Q","T"),Inputs!$B$2:$AZ$2,0)),Inputs!$B$2:$B$190,$B100)*Inputs!$D$1)</f>
        <v>0</v>
      </c>
      <c r="AF100" s="57">
        <f>IF(ISNA(SUMIFS(INDEX(Inputs!$B$2:$AZ$190,,MATCH(SUBSTITUTE(AF$3,"Q","T"),Inputs!$B$2:$AZ$2,0)),Inputs!$B$2:$B$190,$B100)*Inputs!$D$1),"",SUMIFS(INDEX(Inputs!$B$2:$AZ$190,,MATCH(SUBSTITUTE(AF$3,"Q","T"),Inputs!$B$2:$AZ$2,0)),Inputs!$B$2:$B$190,$B100)*Inputs!$D$1)</f>
        <v>0</v>
      </c>
      <c r="AG100" s="57">
        <f>IF(ISNA(SUMIFS(INDEX(Inputs!$B$2:$AZ$190,,MATCH(SUBSTITUTE(AG$3,"Q","T"),Inputs!$B$2:$AZ$2,0)),Inputs!$B$2:$B$190,$B100)*Inputs!$D$1),"",SUMIFS(INDEX(Inputs!$B$2:$AZ$190,,MATCH(SUBSTITUTE(AG$3,"Q","T"),Inputs!$B$2:$AZ$2,0)),Inputs!$B$2:$B$190,$B100)*Inputs!$D$1)</f>
        <v>0</v>
      </c>
      <c r="AH100" s="58">
        <f>SUM(AD100:AG100)</f>
        <v>0</v>
      </c>
      <c r="AI100" s="57">
        <f>IF(ISNA(SUMIFS(INDEX(Inputs!$B$2:$AZ$190,,MATCH(SUBSTITUTE(AI$3,"Q","T"),Inputs!$B$2:$AZ$2,0)),Inputs!$B$2:$B$190,$B100)*Inputs!$D$1),"",SUMIFS(INDEX(Inputs!$B$2:$AZ$190,,MATCH(SUBSTITUTE(AI$3,"Q","T"),Inputs!$B$2:$AZ$2,0)),Inputs!$B$2:$B$190,$B100)*Inputs!$D$1)</f>
        <v>0</v>
      </c>
      <c r="AJ100" s="57">
        <f>IF(ISNA(SUMIFS(INDEX(Inputs!$B$2:$AZ$190,,MATCH(SUBSTITUTE(AJ$3,"Q","T"),Inputs!$B$2:$AZ$2,0)),Inputs!$B$2:$B$190,$B100)*Inputs!$D$1),"",SUMIFS(INDEX(Inputs!$B$2:$AZ$190,,MATCH(SUBSTITUTE(AJ$3,"Q","T"),Inputs!$B$2:$AZ$2,0)),Inputs!$B$2:$B$190,$B100)*Inputs!$D$1)</f>
        <v>0</v>
      </c>
      <c r="AK100" s="57">
        <f>IF(ISNA(SUMIFS(INDEX(Inputs!$B$2:$AZ$190,,MATCH(SUBSTITUTE(AK$3,"Q","T"),Inputs!$B$2:$AZ$2,0)),Inputs!$B$2:$B$190,$B100)*Inputs!$D$1),"",SUMIFS(INDEX(Inputs!$B$2:$AZ$190,,MATCH(SUBSTITUTE(AK$3,"Q","T"),Inputs!$B$2:$AZ$2,0)),Inputs!$B$2:$B$190,$B100)*Inputs!$D$1)</f>
        <v>0</v>
      </c>
      <c r="AL100" s="57">
        <f>IF(ISNA(SUMIFS(INDEX(Inputs!$B$2:$AZ$190,,MATCH(SUBSTITUTE(AL$3,"Q","T"),Inputs!$B$2:$AZ$2,0)),Inputs!$B$2:$B$190,$B100)*Inputs!$D$1),"",SUMIFS(INDEX(Inputs!$B$2:$AZ$190,,MATCH(SUBSTITUTE(AL$3,"Q","T"),Inputs!$B$2:$AZ$2,0)),Inputs!$B$2:$B$190,$B100)*Inputs!$D$1)</f>
        <v>0</v>
      </c>
      <c r="AM100" s="58">
        <f>SUM(AI100:AL100)</f>
        <v>0</v>
      </c>
      <c r="AN100" s="57">
        <f>IF(ISNA(SUMIFS(INDEX(Inputs!$B$2:$AZ$190,,MATCH(SUBSTITUTE(AN$3,"Q","T"),Inputs!$B$2:$AZ$2,0)),Inputs!$B$2:$B$190,$B100)*Inputs!$D$1),"",SUMIFS(INDEX(Inputs!$B$2:$AZ$190,,MATCH(SUBSTITUTE(AN$3,"Q","T"),Inputs!$B$2:$AZ$2,0)),Inputs!$B$2:$B$190,$B100)*Inputs!$D$1)</f>
        <v>0</v>
      </c>
      <c r="AO100" s="57">
        <f>IF(ISNA(SUMIFS(INDEX(Inputs!$B$2:$AZ$190,,MATCH(SUBSTITUTE(AO$3,"Q","T"),Inputs!$B$2:$AZ$2,0)),Inputs!$B$2:$B$190,$B100)*Inputs!$D$1),"",SUMIFS(INDEX(Inputs!$B$2:$AZ$190,,MATCH(SUBSTITUTE(AO$3,"Q","T"),Inputs!$B$2:$AZ$2,0)),Inputs!$B$2:$B$190,$B100)*Inputs!$D$1)</f>
        <v>0</v>
      </c>
      <c r="AP100" s="57">
        <f>IF(ISNA(SUMIFS(INDEX(Inputs!$B$2:$AZ$190,,MATCH(SUBSTITUTE(AP$3,"Q","T"),Inputs!$B$2:$AZ$2,0)),Inputs!$B$2:$B$190,$B100)*Inputs!$D$1),"",SUMIFS(INDEX(Inputs!$B$2:$AZ$190,,MATCH(SUBSTITUTE(AP$3,"Q","T"),Inputs!$B$2:$AZ$2,0)),Inputs!$B$2:$B$190,$B100)*Inputs!$D$1)</f>
        <v>0</v>
      </c>
      <c r="AQ100" s="57">
        <f>IF(ISNA(SUMIFS(INDEX(Inputs!$B$2:$AZ$190,,MATCH(SUBSTITUTE(AQ$3,"Q","T"),Inputs!$B$2:$AZ$2,0)),Inputs!$B$2:$B$190,$B100)*Inputs!$D$1),"",SUMIFS(INDEX(Inputs!$B$2:$AZ$190,,MATCH(SUBSTITUTE(AQ$3,"Q","T"),Inputs!$B$2:$AZ$2,0)),Inputs!$B$2:$B$190,$B100)*Inputs!$D$1)</f>
        <v>0</v>
      </c>
      <c r="AR100" s="58">
        <f>SUM(AN100:AQ100)</f>
        <v>0</v>
      </c>
      <c r="AS100" s="57">
        <f>IF(ISNA(SUMIFS(INDEX(Inputs!$B$2:$AZ$190,,MATCH(SUBSTITUTE(AS$3,"Q","T"),Inputs!$B$2:$AZ$2,0)),Inputs!$B$2:$B$190,$B100)*Inputs!$D$1),"",SUMIFS(INDEX(Inputs!$B$2:$AZ$190,,MATCH(SUBSTITUTE(AS$3,"Q","T"),Inputs!$B$2:$AZ$2,0)),Inputs!$B$2:$B$190,$B100)*Inputs!$D$1)</f>
        <v>0</v>
      </c>
      <c r="AT100" s="57">
        <f>IF(ISNA(SUMIFS(INDEX(Inputs!$B$2:$AZ$190,,MATCH(SUBSTITUTE(AT$3,"Q","T"),Inputs!$B$2:$AZ$2,0)),Inputs!$B$2:$B$190,$B100)*Inputs!$D$1),"",SUMIFS(INDEX(Inputs!$B$2:$AZ$190,,MATCH(SUBSTITUTE(AT$3,"Q","T"),Inputs!$B$2:$AZ$2,0)),Inputs!$B$2:$B$190,$B100)*Inputs!$D$1)</f>
        <v>0</v>
      </c>
      <c r="AU100" s="57">
        <f>IF(ISNA(SUMIFS(INDEX(Inputs!$B$2:$AZ$190,,MATCH(SUBSTITUTE(AU$3,"Q","T"),Inputs!$B$2:$AZ$2,0)),Inputs!$B$2:$B$190,$B100)*Inputs!$D$1),"",SUMIFS(INDEX(Inputs!$B$2:$AZ$190,,MATCH(SUBSTITUTE(AU$3,"Q","T"),Inputs!$B$2:$AZ$2,0)),Inputs!$B$2:$B$190,$B100)*Inputs!$D$1)</f>
        <v>0</v>
      </c>
      <c r="AV100" s="57">
        <f>IF(ISNA(SUMIFS(INDEX(Inputs!$B$2:$AZ$190,,MATCH(SUBSTITUTE(AV$3,"Q","T"),Inputs!$B$2:$AZ$2,0)),Inputs!$B$2:$B$190,$B100)*Inputs!$D$1),"",SUMIFS(INDEX(Inputs!$B$2:$AZ$190,,MATCH(SUBSTITUTE(AV$3,"Q","T"),Inputs!$B$2:$AZ$2,0)),Inputs!$B$2:$B$190,$B100)*Inputs!$D$1)</f>
        <v>0</v>
      </c>
      <c r="AW100" s="58">
        <f>SUM(AS100:AV100)</f>
        <v>0</v>
      </c>
      <c r="AX100" s="57">
        <f>IF(ISNA(SUMIFS(INDEX(Inputs!$B$2:$AZ$190,,MATCH(SUBSTITUTE(AX$3,"Q","T"),Inputs!$B$2:$AZ$2,0)),Inputs!$B$2:$B$190,$B100)*Inputs!$D$1),"",SUMIFS(INDEX(Inputs!$B$2:$AZ$190,,MATCH(SUBSTITUTE(AX$3,"Q","T"),Inputs!$B$2:$AZ$2,0)),Inputs!$B$2:$B$190,$B100)*Inputs!$D$1)</f>
        <v>0</v>
      </c>
      <c r="AY100" s="57">
        <f>IF(ISNA(SUMIFS(INDEX(Inputs!$B$2:$AZ$190,,MATCH(SUBSTITUTE(AY$3,"Q","T"),Inputs!$B$2:$AZ$2,0)),Inputs!$B$2:$B$190,$B100)*Inputs!$D$1),"",SUMIFS(INDEX(Inputs!$B$2:$AZ$190,,MATCH(SUBSTITUTE(AY$3,"Q","T"),Inputs!$B$2:$AZ$2,0)),Inputs!$B$2:$B$190,$B100)*Inputs!$D$1)</f>
        <v>0</v>
      </c>
      <c r="AZ100" s="57">
        <f>IF(ISNA(SUMIFS(INDEX(Inputs!$B$2:$AZ$190,,MATCH(SUBSTITUTE(AZ$3,"Q","T"),Inputs!$B$2:$AZ$2,0)),Inputs!$B$2:$B$190,$B100)*Inputs!$D$1),"",SUMIFS(INDEX(Inputs!$B$2:$AZ$190,,MATCH(SUBSTITUTE(AZ$3,"Q","T"),Inputs!$B$2:$AZ$2,0)),Inputs!$B$2:$B$190,$B100)*Inputs!$D$1)</f>
        <v>0</v>
      </c>
      <c r="BA100" s="57">
        <f>IF(ISNA(SUMIFS(INDEX(Inputs!$B$2:$AZ$190,,MATCH(SUBSTITUTE(BA$3,"Q","T"),Inputs!$B$2:$AZ$2,0)),Inputs!$B$2:$B$190,$B100)*Inputs!$D$1),"",SUMIFS(INDEX(Inputs!$B$2:$AZ$190,,MATCH(SUBSTITUTE(BA$3,"Q","T"),Inputs!$B$2:$AZ$2,0)),Inputs!$B$2:$B$190,$B100)*Inputs!$D$1)</f>
        <v>0</v>
      </c>
      <c r="BB100" s="58">
        <f>SUM(AX100:BA100)</f>
        <v>0</v>
      </c>
      <c r="BC100" s="57">
        <f>IF(ISNA(SUMIFS(INDEX(Inputs!$B$2:$AZ$190,,MATCH(SUBSTITUTE(BC$3,"Q","T"),Inputs!$B$2:$AZ$2,0)),Inputs!$B$2:$B$190,$B100)*Inputs!$D$1),"",SUMIFS(INDEX(Inputs!$B$2:$AZ$190,,MATCH(SUBSTITUTE(BC$3,"Q","T"),Inputs!$B$2:$AZ$2,0)),Inputs!$B$2:$B$190,$B100)*Inputs!$D$1)</f>
        <v>0</v>
      </c>
      <c r="BD100" s="57">
        <f>IF(ISNA(SUMIFS(INDEX(Inputs!$B$2:$AZ$190,,MATCH(SUBSTITUTE(BD$3,"Q","T"),Inputs!$B$2:$AZ$2,0)),Inputs!$B$2:$B$190,$B100)*Inputs!$D$1),"",SUMIFS(INDEX(Inputs!$B$2:$AZ$190,,MATCH(SUBSTITUTE(BD$3,"Q","T"),Inputs!$B$2:$AZ$2,0)),Inputs!$B$2:$B$190,$B100)*Inputs!$D$1)</f>
        <v>0</v>
      </c>
      <c r="BE100" s="57">
        <f>IF(ISNA(SUMIFS(INDEX(Inputs!$B$2:$AZ$190,,MATCH(SUBSTITUTE(BE$3,"Q","T"),Inputs!$B$2:$AZ$2,0)),Inputs!$B$2:$B$190,$B100)*Inputs!$D$1),"",SUMIFS(INDEX(Inputs!$B$2:$AZ$190,,MATCH(SUBSTITUTE(BE$3,"Q","T"),Inputs!$B$2:$AZ$2,0)),Inputs!$B$2:$B$190,$B100)*Inputs!$D$1)</f>
        <v>0</v>
      </c>
      <c r="BF100" s="57">
        <f>IF(ISNA(SUMIFS(INDEX(Inputs!$B$2:$AZ$190,,MATCH(SUBSTITUTE(BF$3,"Q","T"),Inputs!$B$2:$AZ$2,0)),Inputs!$B$2:$B$190,$B100)*Inputs!$D$1),"",SUMIFS(INDEX(Inputs!$B$2:$AZ$190,,MATCH(SUBSTITUTE(BF$3,"Q","T"),Inputs!$B$2:$AZ$2,0)),Inputs!$B$2:$B$190,$B100)*Inputs!$D$1)</f>
        <v>0</v>
      </c>
      <c r="BG100" s="58">
        <f>SUM(BC100:BF100)</f>
        <v>0</v>
      </c>
    </row>
    <row r="101">
      <c r="C101" s="53" t="inlineStr">
        <is>
          <t>Lucro antes do imposto de renda</t>
        </is>
      </c>
      <c r="D101" s="54" t="inlineStr">
        <is>
          <t>Income before income taxes</t>
        </is>
      </c>
      <c r="E101" s="59">
        <f>IFERROR(E99+E100,"")</f>
        <v>0</v>
      </c>
      <c r="F101" s="59">
        <f>IFERROR(F99+F100,"")</f>
        <v>0</v>
      </c>
      <c r="G101" s="59">
        <f>IFERROR(G99+G100,"")</f>
        <v>0</v>
      </c>
      <c r="H101" s="59">
        <f>IFERROR(H99+H100,"")</f>
        <v>0</v>
      </c>
      <c r="I101" s="60">
        <f>SUM(E101:H101)</f>
        <v>0</v>
      </c>
      <c r="J101" s="59">
        <f>IFERROR(J99+J100,"")</f>
        <v>0</v>
      </c>
      <c r="K101" s="59">
        <f>IFERROR(K99+K100,"")</f>
        <v>0</v>
      </c>
      <c r="L101" s="59">
        <f>IFERROR(L99+L100,"")</f>
        <v>0</v>
      </c>
      <c r="M101" s="59">
        <f>IFERROR(M99+M100,"")</f>
        <v>0</v>
      </c>
      <c r="N101" s="60">
        <f>SUM(J101:M101)</f>
        <v>0</v>
      </c>
      <c r="O101" s="59">
        <f>IFERROR(O99+O100,"")</f>
        <v>0</v>
      </c>
      <c r="P101" s="59">
        <f>IFERROR(P99+P100,"")</f>
        <v>0</v>
      </c>
      <c r="Q101" s="59">
        <f>IFERROR(Q99+Q100,"")</f>
        <v>0</v>
      </c>
      <c r="R101" s="59">
        <f>IFERROR(R99+R100,"")</f>
        <v>0</v>
      </c>
      <c r="S101" s="60">
        <f>SUM(O101:R101)</f>
        <v>0</v>
      </c>
      <c r="T101" s="59">
        <f>IFERROR(T99+T100,"")</f>
        <v>0</v>
      </c>
      <c r="U101" s="59">
        <f>IFERROR(U99+U100,"")</f>
        <v>0</v>
      </c>
      <c r="V101" s="59">
        <f>IFERROR(V99+V100,"")</f>
        <v>0</v>
      </c>
      <c r="W101" s="59">
        <f>IFERROR(W99+W100,"")</f>
        <v>0</v>
      </c>
      <c r="X101" s="60">
        <f>SUM(T101:W101)</f>
        <v>0</v>
      </c>
      <c r="Y101" s="59">
        <f>IFERROR(Y99+Y100,"")</f>
        <v>0</v>
      </c>
      <c r="Z101" s="59">
        <f>IFERROR(Z99+Z100,"")</f>
        <v>0</v>
      </c>
      <c r="AA101" s="59">
        <f>IFERROR(AA99+AA100,"")</f>
        <v>0</v>
      </c>
      <c r="AB101" s="59">
        <f>IFERROR(AB99+AB100,"")</f>
        <v>0</v>
      </c>
      <c r="AC101" s="60">
        <f>SUM(Y101:AB101)</f>
        <v>0</v>
      </c>
      <c r="AD101" s="59">
        <f>IFERROR(AD99+AD100,"")</f>
        <v>0</v>
      </c>
      <c r="AE101" s="59">
        <f>IFERROR(AE99+AE100,"")</f>
        <v>0</v>
      </c>
      <c r="AF101" s="59">
        <f>IFERROR(AF99+AF100,"")</f>
        <v>0</v>
      </c>
      <c r="AG101" s="59">
        <f>IFERROR(AG99+AG100,"")</f>
        <v>0</v>
      </c>
      <c r="AH101" s="60">
        <f>SUM(AD101:AG101)</f>
        <v>0</v>
      </c>
      <c r="AI101" s="59">
        <f>IFERROR(AI99+AI100,"")</f>
        <v>0</v>
      </c>
      <c r="AJ101" s="59">
        <f>IFERROR(AJ99+AJ100,"")</f>
        <v>0</v>
      </c>
      <c r="AK101" s="59">
        <f>IFERROR(AK99+AK100,"")</f>
        <v>0</v>
      </c>
      <c r="AL101" s="59">
        <f>IFERROR(AL99+AL100,"")</f>
        <v>0</v>
      </c>
      <c r="AM101" s="60">
        <f>SUM(AI101:AL101)</f>
        <v>0</v>
      </c>
      <c r="AN101" s="59">
        <f>IFERROR(AN99+AN100,"")</f>
        <v>0</v>
      </c>
      <c r="AO101" s="59">
        <f>IFERROR(AO99+AO100,"")</f>
        <v>0</v>
      </c>
      <c r="AP101" s="59">
        <f>IFERROR(AP99+AP100,"")</f>
        <v>0</v>
      </c>
      <c r="AQ101" s="59">
        <f>IFERROR(AQ99+AQ100,"")</f>
        <v>0</v>
      </c>
      <c r="AR101" s="60">
        <f>SUM(AN101:AQ101)</f>
        <v>0</v>
      </c>
      <c r="AS101" s="59">
        <f>IFERROR(AS99+AS100,"")</f>
        <v>0</v>
      </c>
      <c r="AT101" s="59">
        <f>IFERROR(AT99+AT100,"")</f>
        <v>0</v>
      </c>
      <c r="AU101" s="59">
        <f>IFERROR(AU99+AU100,"")</f>
        <v>0</v>
      </c>
      <c r="AV101" s="59">
        <f>IFERROR(AV99+AV100,"")</f>
        <v>0</v>
      </c>
      <c r="AW101" s="60">
        <f>SUM(AS101:AV101)</f>
        <v>0</v>
      </c>
      <c r="AX101" s="59">
        <f>IFERROR(AX99+AX100,"")</f>
        <v>0</v>
      </c>
      <c r="AY101" s="59">
        <f>IFERROR(AY99+AY100,"")</f>
        <v>0</v>
      </c>
      <c r="AZ101" s="59">
        <f>IFERROR(AZ99+AZ100,"")</f>
        <v>0</v>
      </c>
      <c r="BA101" s="59">
        <f>IFERROR(BA99+BA100,"")</f>
        <v>0</v>
      </c>
      <c r="BB101" s="60">
        <f>SUM(AX101:BA101)</f>
        <v>0</v>
      </c>
      <c r="BC101" s="59">
        <f>IFERROR(BC99+BC100,"")</f>
        <v>0</v>
      </c>
      <c r="BD101" s="59">
        <f>IFERROR(BD99+BD100,"")</f>
        <v>0</v>
      </c>
      <c r="BE101" s="59">
        <f>IFERROR(BE99+BE100,"")</f>
        <v>0</v>
      </c>
      <c r="BF101" s="59">
        <f>IFERROR(BF99+BF100,"")</f>
        <v>0</v>
      </c>
      <c r="BG101" s="60">
        <f>SUM(BC101:BF101)</f>
        <v>0</v>
      </c>
    </row>
    <row r="102">
      <c r="C102" s="15" t="inlineStr">
        <is>
          <t>Imposto de renda</t>
        </is>
      </c>
      <c r="D102" s="16" t="inlineStr">
        <is>
          <t>Income tax</t>
        </is>
      </c>
      <c r="E102" s="59">
        <f>IFERROR(E103+E104,"")</f>
        <v>0</v>
      </c>
      <c r="F102" s="59">
        <f>IFERROR(F103+F104,"")</f>
        <v>0</v>
      </c>
      <c r="G102" s="59">
        <f>IFERROR(G103+G104,"")</f>
        <v>0</v>
      </c>
      <c r="H102" s="59">
        <f>IFERROR(H103+H104,"")</f>
        <v>0</v>
      </c>
      <c r="I102" s="60">
        <f>SUM(E102:H102)</f>
        <v>0</v>
      </c>
      <c r="J102" s="59">
        <f>IFERROR(J103+J104,"")</f>
        <v>0</v>
      </c>
      <c r="K102" s="59">
        <f>IFERROR(K103+K104,"")</f>
        <v>0</v>
      </c>
      <c r="L102" s="59">
        <f>IFERROR(L103+L104,"")</f>
        <v>0</v>
      </c>
      <c r="M102" s="59">
        <f>IFERROR(M103+M104,"")</f>
        <v>0</v>
      </c>
      <c r="N102" s="60">
        <f>SUM(J102:M102)</f>
        <v>0</v>
      </c>
      <c r="O102" s="59">
        <f>IFERROR(O103+O104,"")</f>
        <v>0</v>
      </c>
      <c r="P102" s="59">
        <f>IFERROR(P103+P104,"")</f>
        <v>0</v>
      </c>
      <c r="Q102" s="59">
        <f>IFERROR(Q103+Q104,"")</f>
        <v>0</v>
      </c>
      <c r="R102" s="59">
        <f>IFERROR(R103+R104,"")</f>
        <v>0</v>
      </c>
      <c r="S102" s="60">
        <f>SUM(O102:R102)</f>
        <v>0</v>
      </c>
      <c r="T102" s="59">
        <f>IFERROR(T103+T104,"")</f>
        <v>0</v>
      </c>
      <c r="U102" s="59">
        <f>IFERROR(U103+U104,"")</f>
        <v>0</v>
      </c>
      <c r="V102" s="59">
        <f>IFERROR(V103+V104,"")</f>
        <v>0</v>
      </c>
      <c r="W102" s="59">
        <f>IFERROR(W103+W104,"")</f>
        <v>0</v>
      </c>
      <c r="X102" s="60">
        <f>SUM(T102:W102)</f>
        <v>0</v>
      </c>
      <c r="Y102" s="59">
        <f>IFERROR(Y103+Y104,"")</f>
        <v>0</v>
      </c>
      <c r="Z102" s="59">
        <f>IFERROR(Z103+Z104,"")</f>
        <v>0</v>
      </c>
      <c r="AA102" s="59">
        <f>IFERROR(AA103+AA104,"")</f>
        <v>0</v>
      </c>
      <c r="AB102" s="59">
        <f>IFERROR(AB103+AB104,"")</f>
        <v>0</v>
      </c>
      <c r="AC102" s="60">
        <f>SUM(Y102:AB102)</f>
        <v>0</v>
      </c>
      <c r="AD102" s="59">
        <f>IFERROR(AD103+AD104,"")</f>
        <v>0</v>
      </c>
      <c r="AE102" s="59">
        <f>IFERROR(AE103+AE104,"")</f>
        <v>0</v>
      </c>
      <c r="AF102" s="59">
        <f>IFERROR(AF103+AF104,"")</f>
        <v>0</v>
      </c>
      <c r="AG102" s="59">
        <f>IFERROR(AG103+AG104,"")</f>
        <v>0</v>
      </c>
      <c r="AH102" s="60">
        <f>SUM(AD102:AG102)</f>
        <v>0</v>
      </c>
      <c r="AI102" s="59">
        <f>IFERROR(AI103+AI104,"")</f>
        <v>0</v>
      </c>
      <c r="AJ102" s="59">
        <f>IFERROR(AJ103+AJ104,"")</f>
        <v>0</v>
      </c>
      <c r="AK102" s="59">
        <f>IFERROR(AK103+AK104,"")</f>
        <v>0</v>
      </c>
      <c r="AL102" s="59">
        <f>IFERROR(AL103+AL104,"")</f>
        <v>0</v>
      </c>
      <c r="AM102" s="60">
        <f>SUM(AI102:AL102)</f>
        <v>0</v>
      </c>
      <c r="AN102" s="59">
        <f>IFERROR(AN103+AN104,"")</f>
        <v>0</v>
      </c>
      <c r="AO102" s="59">
        <f>IFERROR(AO103+AO104,"")</f>
        <v>0</v>
      </c>
      <c r="AP102" s="59">
        <f>IFERROR(AP103+AP104,"")</f>
        <v>0</v>
      </c>
      <c r="AQ102" s="59">
        <f>IFERROR(AQ103+AQ104,"")</f>
        <v>0</v>
      </c>
      <c r="AR102" s="60">
        <f>SUM(AN102:AQ102)</f>
        <v>0</v>
      </c>
      <c r="AS102" s="59">
        <f>IFERROR(AS103+AS104,"")</f>
        <v>0</v>
      </c>
      <c r="AT102" s="59">
        <f>IFERROR(AT103+AT104,"")</f>
        <v>0</v>
      </c>
      <c r="AU102" s="59">
        <f>IFERROR(AU103+AU104,"")</f>
        <v>0</v>
      </c>
      <c r="AV102" s="59">
        <f>IFERROR(AV103+AV104,"")</f>
        <v>0</v>
      </c>
      <c r="AW102" s="60">
        <f>SUM(AS102:AV102)</f>
        <v>0</v>
      </c>
      <c r="AX102" s="59">
        <f>IFERROR(AX103+AX104,"")</f>
        <v>0</v>
      </c>
      <c r="AY102" s="59">
        <f>IFERROR(AY103+AY104,"")</f>
        <v>0</v>
      </c>
      <c r="AZ102" s="59">
        <f>IFERROR(AZ103+AZ104,"")</f>
        <v>0</v>
      </c>
      <c r="BA102" s="59">
        <f>IFERROR(BA103+BA104,"")</f>
        <v>0</v>
      </c>
      <c r="BB102" s="60">
        <f>SUM(AX102:BA102)</f>
        <v>0</v>
      </c>
      <c r="BC102" s="59">
        <f>IFERROR(BC103+BC104,"")</f>
        <v>0</v>
      </c>
      <c r="BD102" s="59">
        <f>IFERROR(BD103+BD104,"")</f>
        <v>0</v>
      </c>
      <c r="BE102" s="59">
        <f>IFERROR(BE103+BE104,"")</f>
        <v>0</v>
      </c>
      <c r="BF102" s="59">
        <f>IFERROR(BF103+BF104,"")</f>
        <v>0</v>
      </c>
      <c r="BG102" s="60">
        <f>SUM(BC102:BF102)</f>
        <v>0</v>
      </c>
    </row>
    <row r="103" hidden="1" outlineLevel="1">
      <c r="B103" s="56" t="inlineStr">
        <is>
          <t>tax</t>
        </is>
      </c>
      <c r="C103" s="61" t="inlineStr">
        <is>
          <t>(Imposto de renda)</t>
        </is>
      </c>
      <c r="D103" s="62" t="inlineStr">
        <is>
          <t>(Income tax expense)</t>
        </is>
      </c>
      <c r="E103" s="57">
        <f>IF(ISNA(SUMIFS(INDEX(Inputs!$B$2:$AZ$190,,MATCH(SUBSTITUTE(E$3,"Q","T"),Inputs!$B$2:$AZ$2,0)),Inputs!$B$2:$B$190,$B103)*Inputs!$D$1),"",SUMIFS(INDEX(Inputs!$B$2:$AZ$190,,MATCH(SUBSTITUTE(E$3,"Q","T"),Inputs!$B$2:$AZ$2,0)),Inputs!$B$2:$B$190,$B103)*Inputs!$D$1)</f>
        <v>0</v>
      </c>
      <c r="F103" s="57">
        <f>IF(ISNA(SUMIFS(INDEX(Inputs!$B$2:$AZ$190,,MATCH(SUBSTITUTE(F$3,"Q","T"),Inputs!$B$2:$AZ$2,0)),Inputs!$B$2:$B$190,$B103)*Inputs!$D$1),"",SUMIFS(INDEX(Inputs!$B$2:$AZ$190,,MATCH(SUBSTITUTE(F$3,"Q","T"),Inputs!$B$2:$AZ$2,0)),Inputs!$B$2:$B$190,$B103)*Inputs!$D$1)</f>
        <v>0</v>
      </c>
      <c r="G103" s="57">
        <f>IF(ISNA(SUMIFS(INDEX(Inputs!$B$2:$AZ$190,,MATCH(SUBSTITUTE(G$3,"Q","T"),Inputs!$B$2:$AZ$2,0)),Inputs!$B$2:$B$190,$B103)*Inputs!$D$1),"",SUMIFS(INDEX(Inputs!$B$2:$AZ$190,,MATCH(SUBSTITUTE(G$3,"Q","T"),Inputs!$B$2:$AZ$2,0)),Inputs!$B$2:$B$190,$B103)*Inputs!$D$1)</f>
        <v>0</v>
      </c>
      <c r="H103" s="57">
        <f>IF(ISNA(SUMIFS(INDEX(Inputs!$B$2:$AZ$190,,MATCH(SUBSTITUTE(H$3,"Q","T"),Inputs!$B$2:$AZ$2,0)),Inputs!$B$2:$B$190,$B103)*Inputs!$D$1),"",SUMIFS(INDEX(Inputs!$B$2:$AZ$190,,MATCH(SUBSTITUTE(H$3,"Q","T"),Inputs!$B$2:$AZ$2,0)),Inputs!$B$2:$B$190,$B103)*Inputs!$D$1)</f>
        <v>0</v>
      </c>
      <c r="I103" s="58">
        <f>SUM(E103:H103)</f>
        <v>0</v>
      </c>
      <c r="J103" s="57">
        <f>IF(ISNA(SUMIFS(INDEX(Inputs!$B$2:$AZ$190,,MATCH(SUBSTITUTE(J$3,"Q","T"),Inputs!$B$2:$AZ$2,0)),Inputs!$B$2:$B$190,$B103)*Inputs!$D$1),"",SUMIFS(INDEX(Inputs!$B$2:$AZ$190,,MATCH(SUBSTITUTE(J$3,"Q","T"),Inputs!$B$2:$AZ$2,0)),Inputs!$B$2:$B$190,$B103)*Inputs!$D$1)</f>
        <v>0</v>
      </c>
      <c r="K103" s="57">
        <f>IF(ISNA(SUMIFS(INDEX(Inputs!$B$2:$AZ$190,,MATCH(SUBSTITUTE(K$3,"Q","T"),Inputs!$B$2:$AZ$2,0)),Inputs!$B$2:$B$190,$B103)*Inputs!$D$1),"",SUMIFS(INDEX(Inputs!$B$2:$AZ$190,,MATCH(SUBSTITUTE(K$3,"Q","T"),Inputs!$B$2:$AZ$2,0)),Inputs!$B$2:$B$190,$B103)*Inputs!$D$1)</f>
        <v>0</v>
      </c>
      <c r="L103" s="57">
        <f>IF(ISNA(SUMIFS(INDEX(Inputs!$B$2:$AZ$190,,MATCH(SUBSTITUTE(L$3,"Q","T"),Inputs!$B$2:$AZ$2,0)),Inputs!$B$2:$B$190,$B103)*Inputs!$D$1),"",SUMIFS(INDEX(Inputs!$B$2:$AZ$190,,MATCH(SUBSTITUTE(L$3,"Q","T"),Inputs!$B$2:$AZ$2,0)),Inputs!$B$2:$B$190,$B103)*Inputs!$D$1)</f>
        <v>0</v>
      </c>
      <c r="M103" s="57">
        <f>IF(ISNA(SUMIFS(INDEX(Inputs!$B$2:$AZ$190,,MATCH(SUBSTITUTE(M$3,"Q","T"),Inputs!$B$2:$AZ$2,0)),Inputs!$B$2:$B$190,$B103)*Inputs!$D$1),"",SUMIFS(INDEX(Inputs!$B$2:$AZ$190,,MATCH(SUBSTITUTE(M$3,"Q","T"),Inputs!$B$2:$AZ$2,0)),Inputs!$B$2:$B$190,$B103)*Inputs!$D$1)</f>
        <v>0</v>
      </c>
      <c r="N103" s="58">
        <f>SUM(J103:M103)</f>
        <v>0</v>
      </c>
      <c r="O103" s="57">
        <f>IF(ISNA(SUMIFS(INDEX(Inputs!$B$2:$AZ$190,,MATCH(SUBSTITUTE(O$3,"Q","T"),Inputs!$B$2:$AZ$2,0)),Inputs!$B$2:$B$190,$B103)*Inputs!$D$1),"",SUMIFS(INDEX(Inputs!$B$2:$AZ$190,,MATCH(SUBSTITUTE(O$3,"Q","T"),Inputs!$B$2:$AZ$2,0)),Inputs!$B$2:$B$190,$B103)*Inputs!$D$1)</f>
        <v>0</v>
      </c>
      <c r="P103" s="57">
        <f>IF(ISNA(SUMIFS(INDEX(Inputs!$B$2:$AZ$190,,MATCH(SUBSTITUTE(P$3,"Q","T"),Inputs!$B$2:$AZ$2,0)),Inputs!$B$2:$B$190,$B103)*Inputs!$D$1),"",SUMIFS(INDEX(Inputs!$B$2:$AZ$190,,MATCH(SUBSTITUTE(P$3,"Q","T"),Inputs!$B$2:$AZ$2,0)),Inputs!$B$2:$B$190,$B103)*Inputs!$D$1)</f>
        <v>0</v>
      </c>
      <c r="Q103" s="57">
        <f>IF(ISNA(SUMIFS(INDEX(Inputs!$B$2:$AZ$190,,MATCH(SUBSTITUTE(Q$3,"Q","T"),Inputs!$B$2:$AZ$2,0)),Inputs!$B$2:$B$190,$B103)*Inputs!$D$1),"",SUMIFS(INDEX(Inputs!$B$2:$AZ$190,,MATCH(SUBSTITUTE(Q$3,"Q","T"),Inputs!$B$2:$AZ$2,0)),Inputs!$B$2:$B$190,$B103)*Inputs!$D$1)</f>
        <v>0</v>
      </c>
      <c r="R103" s="57">
        <f>IF(ISNA(SUMIFS(INDEX(Inputs!$B$2:$AZ$190,,MATCH(SUBSTITUTE(R$3,"Q","T"),Inputs!$B$2:$AZ$2,0)),Inputs!$B$2:$B$190,$B103)*Inputs!$D$1),"",SUMIFS(INDEX(Inputs!$B$2:$AZ$190,,MATCH(SUBSTITUTE(R$3,"Q","T"),Inputs!$B$2:$AZ$2,0)),Inputs!$B$2:$B$190,$B103)*Inputs!$D$1)</f>
        <v>0</v>
      </c>
      <c r="S103" s="58">
        <f>SUM(O103:R103)</f>
        <v>0</v>
      </c>
      <c r="T103" s="57">
        <f>IF(ISNA(SUMIFS(INDEX(Inputs!$B$2:$AZ$190,,MATCH(SUBSTITUTE(T$3,"Q","T"),Inputs!$B$2:$AZ$2,0)),Inputs!$B$2:$B$190,$B103)*Inputs!$D$1),"",SUMIFS(INDEX(Inputs!$B$2:$AZ$190,,MATCH(SUBSTITUTE(T$3,"Q","T"),Inputs!$B$2:$AZ$2,0)),Inputs!$B$2:$B$190,$B103)*Inputs!$D$1)</f>
        <v>0</v>
      </c>
      <c r="U103" s="57">
        <f>IF(ISNA(SUMIFS(INDEX(Inputs!$B$2:$AZ$190,,MATCH(SUBSTITUTE(U$3,"Q","T"),Inputs!$B$2:$AZ$2,0)),Inputs!$B$2:$B$190,$B103)*Inputs!$D$1),"",SUMIFS(INDEX(Inputs!$B$2:$AZ$190,,MATCH(SUBSTITUTE(U$3,"Q","T"),Inputs!$B$2:$AZ$2,0)),Inputs!$B$2:$B$190,$B103)*Inputs!$D$1)</f>
        <v>0</v>
      </c>
      <c r="V103" s="57">
        <f>IF(ISNA(SUMIFS(INDEX(Inputs!$B$2:$AZ$190,,MATCH(SUBSTITUTE(V$3,"Q","T"),Inputs!$B$2:$AZ$2,0)),Inputs!$B$2:$B$190,$B103)*Inputs!$D$1),"",SUMIFS(INDEX(Inputs!$B$2:$AZ$190,,MATCH(SUBSTITUTE(V$3,"Q","T"),Inputs!$B$2:$AZ$2,0)),Inputs!$B$2:$B$190,$B103)*Inputs!$D$1)</f>
        <v>0</v>
      </c>
      <c r="W103" s="57">
        <f>IF(ISNA(SUMIFS(INDEX(Inputs!$B$2:$AZ$190,,MATCH(SUBSTITUTE(W$3,"Q","T"),Inputs!$B$2:$AZ$2,0)),Inputs!$B$2:$B$190,$B103)*Inputs!$D$1),"",SUMIFS(INDEX(Inputs!$B$2:$AZ$190,,MATCH(SUBSTITUTE(W$3,"Q","T"),Inputs!$B$2:$AZ$2,0)),Inputs!$B$2:$B$190,$B103)*Inputs!$D$1)</f>
        <v>0</v>
      </c>
      <c r="X103" s="58">
        <f>SUM(T103:W103)</f>
        <v>0</v>
      </c>
      <c r="Y103" s="57">
        <f>IF(ISNA(SUMIFS(INDEX(Inputs!$B$2:$AZ$190,,MATCH(SUBSTITUTE(Y$3,"Q","T"),Inputs!$B$2:$AZ$2,0)),Inputs!$B$2:$B$190,$B103)*Inputs!$D$1),"",SUMIFS(INDEX(Inputs!$B$2:$AZ$190,,MATCH(SUBSTITUTE(Y$3,"Q","T"),Inputs!$B$2:$AZ$2,0)),Inputs!$B$2:$B$190,$B103)*Inputs!$D$1)</f>
        <v>0</v>
      </c>
      <c r="Z103" s="57">
        <f>IF(ISNA(SUMIFS(INDEX(Inputs!$B$2:$AZ$190,,MATCH(SUBSTITUTE(Z$3,"Q","T"),Inputs!$B$2:$AZ$2,0)),Inputs!$B$2:$B$190,$B103)*Inputs!$D$1),"",SUMIFS(INDEX(Inputs!$B$2:$AZ$190,,MATCH(SUBSTITUTE(Z$3,"Q","T"),Inputs!$B$2:$AZ$2,0)),Inputs!$B$2:$B$190,$B103)*Inputs!$D$1)</f>
        <v>0</v>
      </c>
      <c r="AA103" s="57">
        <f>IF(ISNA(SUMIFS(INDEX(Inputs!$B$2:$AZ$190,,MATCH(SUBSTITUTE(AA$3,"Q","T"),Inputs!$B$2:$AZ$2,0)),Inputs!$B$2:$B$190,$B103)*Inputs!$D$1),"",SUMIFS(INDEX(Inputs!$B$2:$AZ$190,,MATCH(SUBSTITUTE(AA$3,"Q","T"),Inputs!$B$2:$AZ$2,0)),Inputs!$B$2:$B$190,$B103)*Inputs!$D$1)</f>
        <v>0</v>
      </c>
      <c r="AB103" s="57">
        <f>IF(ISNA(SUMIFS(INDEX(Inputs!$B$2:$AZ$190,,MATCH(SUBSTITUTE(AB$3,"Q","T"),Inputs!$B$2:$AZ$2,0)),Inputs!$B$2:$B$190,$B103)*Inputs!$D$1),"",SUMIFS(INDEX(Inputs!$B$2:$AZ$190,,MATCH(SUBSTITUTE(AB$3,"Q","T"),Inputs!$B$2:$AZ$2,0)),Inputs!$B$2:$B$190,$B103)*Inputs!$D$1)</f>
        <v>0</v>
      </c>
      <c r="AC103" s="58">
        <f>SUM(Y103:AB103)</f>
        <v>0</v>
      </c>
      <c r="AD103" s="57">
        <f>IF(ISNA(SUMIFS(INDEX(Inputs!$B$2:$AZ$190,,MATCH(SUBSTITUTE(AD$3,"Q","T"),Inputs!$B$2:$AZ$2,0)),Inputs!$B$2:$B$190,$B103)*Inputs!$D$1),"",SUMIFS(INDEX(Inputs!$B$2:$AZ$190,,MATCH(SUBSTITUTE(AD$3,"Q","T"),Inputs!$B$2:$AZ$2,0)),Inputs!$B$2:$B$190,$B103)*Inputs!$D$1)</f>
        <v>0</v>
      </c>
      <c r="AE103" s="57">
        <f>IF(ISNA(SUMIFS(INDEX(Inputs!$B$2:$AZ$190,,MATCH(SUBSTITUTE(AE$3,"Q","T"),Inputs!$B$2:$AZ$2,0)),Inputs!$B$2:$B$190,$B103)*Inputs!$D$1),"",SUMIFS(INDEX(Inputs!$B$2:$AZ$190,,MATCH(SUBSTITUTE(AE$3,"Q","T"),Inputs!$B$2:$AZ$2,0)),Inputs!$B$2:$B$190,$B103)*Inputs!$D$1)</f>
        <v>0</v>
      </c>
      <c r="AF103" s="57">
        <f>IF(ISNA(SUMIFS(INDEX(Inputs!$B$2:$AZ$190,,MATCH(SUBSTITUTE(AF$3,"Q","T"),Inputs!$B$2:$AZ$2,0)),Inputs!$B$2:$B$190,$B103)*Inputs!$D$1),"",SUMIFS(INDEX(Inputs!$B$2:$AZ$190,,MATCH(SUBSTITUTE(AF$3,"Q","T"),Inputs!$B$2:$AZ$2,0)),Inputs!$B$2:$B$190,$B103)*Inputs!$D$1)</f>
        <v>0</v>
      </c>
      <c r="AG103" s="57">
        <f>IF(ISNA(SUMIFS(INDEX(Inputs!$B$2:$AZ$190,,MATCH(SUBSTITUTE(AG$3,"Q","T"),Inputs!$B$2:$AZ$2,0)),Inputs!$B$2:$B$190,$B103)*Inputs!$D$1),"",SUMIFS(INDEX(Inputs!$B$2:$AZ$190,,MATCH(SUBSTITUTE(AG$3,"Q","T"),Inputs!$B$2:$AZ$2,0)),Inputs!$B$2:$B$190,$B103)*Inputs!$D$1)</f>
        <v>0</v>
      </c>
      <c r="AH103" s="58">
        <f>SUM(AD103:AG103)</f>
        <v>0</v>
      </c>
      <c r="AI103" s="57">
        <f>IF(ISNA(SUMIFS(INDEX(Inputs!$B$2:$AZ$190,,MATCH(SUBSTITUTE(AI$3,"Q","T"),Inputs!$B$2:$AZ$2,0)),Inputs!$B$2:$B$190,$B103)*Inputs!$D$1),"",SUMIFS(INDEX(Inputs!$B$2:$AZ$190,,MATCH(SUBSTITUTE(AI$3,"Q","T"),Inputs!$B$2:$AZ$2,0)),Inputs!$B$2:$B$190,$B103)*Inputs!$D$1)</f>
        <v>0</v>
      </c>
      <c r="AJ103" s="57">
        <f>IF(ISNA(SUMIFS(INDEX(Inputs!$B$2:$AZ$190,,MATCH(SUBSTITUTE(AJ$3,"Q","T"),Inputs!$B$2:$AZ$2,0)),Inputs!$B$2:$B$190,$B103)*Inputs!$D$1),"",SUMIFS(INDEX(Inputs!$B$2:$AZ$190,,MATCH(SUBSTITUTE(AJ$3,"Q","T"),Inputs!$B$2:$AZ$2,0)),Inputs!$B$2:$B$190,$B103)*Inputs!$D$1)</f>
        <v>0</v>
      </c>
      <c r="AK103" s="57">
        <f>IF(ISNA(SUMIFS(INDEX(Inputs!$B$2:$AZ$190,,MATCH(SUBSTITUTE(AK$3,"Q","T"),Inputs!$B$2:$AZ$2,0)),Inputs!$B$2:$B$190,$B103)*Inputs!$D$1),"",SUMIFS(INDEX(Inputs!$B$2:$AZ$190,,MATCH(SUBSTITUTE(AK$3,"Q","T"),Inputs!$B$2:$AZ$2,0)),Inputs!$B$2:$B$190,$B103)*Inputs!$D$1)</f>
        <v>0</v>
      </c>
      <c r="AL103" s="57">
        <f>IF(ISNA(SUMIFS(INDEX(Inputs!$B$2:$AZ$190,,MATCH(SUBSTITUTE(AL$3,"Q","T"),Inputs!$B$2:$AZ$2,0)),Inputs!$B$2:$B$190,$B103)*Inputs!$D$1),"",SUMIFS(INDEX(Inputs!$B$2:$AZ$190,,MATCH(SUBSTITUTE(AL$3,"Q","T"),Inputs!$B$2:$AZ$2,0)),Inputs!$B$2:$B$190,$B103)*Inputs!$D$1)</f>
        <v>0</v>
      </c>
      <c r="AM103" s="58">
        <f>SUM(AI103:AL103)</f>
        <v>0</v>
      </c>
      <c r="AN103" s="57">
        <f>IF(ISNA(SUMIFS(INDEX(Inputs!$B$2:$AZ$190,,MATCH(SUBSTITUTE(AN$3,"Q","T"),Inputs!$B$2:$AZ$2,0)),Inputs!$B$2:$B$190,$B103)*Inputs!$D$1),"",SUMIFS(INDEX(Inputs!$B$2:$AZ$190,,MATCH(SUBSTITUTE(AN$3,"Q","T"),Inputs!$B$2:$AZ$2,0)),Inputs!$B$2:$B$190,$B103)*Inputs!$D$1)</f>
        <v>0</v>
      </c>
      <c r="AO103" s="57">
        <f>IF(ISNA(SUMIFS(INDEX(Inputs!$B$2:$AZ$190,,MATCH(SUBSTITUTE(AO$3,"Q","T"),Inputs!$B$2:$AZ$2,0)),Inputs!$B$2:$B$190,$B103)*Inputs!$D$1),"",SUMIFS(INDEX(Inputs!$B$2:$AZ$190,,MATCH(SUBSTITUTE(AO$3,"Q","T"),Inputs!$B$2:$AZ$2,0)),Inputs!$B$2:$B$190,$B103)*Inputs!$D$1)</f>
        <v>0</v>
      </c>
      <c r="AP103" s="57">
        <f>IF(ISNA(SUMIFS(INDEX(Inputs!$B$2:$AZ$190,,MATCH(SUBSTITUTE(AP$3,"Q","T"),Inputs!$B$2:$AZ$2,0)),Inputs!$B$2:$B$190,$B103)*Inputs!$D$1),"",SUMIFS(INDEX(Inputs!$B$2:$AZ$190,,MATCH(SUBSTITUTE(AP$3,"Q","T"),Inputs!$B$2:$AZ$2,0)),Inputs!$B$2:$B$190,$B103)*Inputs!$D$1)</f>
        <v>0</v>
      </c>
      <c r="AQ103" s="57">
        <f>IF(ISNA(SUMIFS(INDEX(Inputs!$B$2:$AZ$190,,MATCH(SUBSTITUTE(AQ$3,"Q","T"),Inputs!$B$2:$AZ$2,0)),Inputs!$B$2:$B$190,$B103)*Inputs!$D$1),"",SUMIFS(INDEX(Inputs!$B$2:$AZ$190,,MATCH(SUBSTITUTE(AQ$3,"Q","T"),Inputs!$B$2:$AZ$2,0)),Inputs!$B$2:$B$190,$B103)*Inputs!$D$1)</f>
        <v>0</v>
      </c>
      <c r="AR103" s="58">
        <f>SUM(AN103:AQ103)</f>
        <v>0</v>
      </c>
      <c r="AS103" s="57">
        <f>IF(ISNA(SUMIFS(INDEX(Inputs!$B$2:$AZ$190,,MATCH(SUBSTITUTE(AS$3,"Q","T"),Inputs!$B$2:$AZ$2,0)),Inputs!$B$2:$B$190,$B103)*Inputs!$D$1),"",SUMIFS(INDEX(Inputs!$B$2:$AZ$190,,MATCH(SUBSTITUTE(AS$3,"Q","T"),Inputs!$B$2:$AZ$2,0)),Inputs!$B$2:$B$190,$B103)*Inputs!$D$1)</f>
        <v>0</v>
      </c>
      <c r="AT103" s="57">
        <f>IF(ISNA(SUMIFS(INDEX(Inputs!$B$2:$AZ$190,,MATCH(SUBSTITUTE(AT$3,"Q","T"),Inputs!$B$2:$AZ$2,0)),Inputs!$B$2:$B$190,$B103)*Inputs!$D$1),"",SUMIFS(INDEX(Inputs!$B$2:$AZ$190,,MATCH(SUBSTITUTE(AT$3,"Q","T"),Inputs!$B$2:$AZ$2,0)),Inputs!$B$2:$B$190,$B103)*Inputs!$D$1)</f>
        <v>0</v>
      </c>
      <c r="AU103" s="57">
        <f>IF(ISNA(SUMIFS(INDEX(Inputs!$B$2:$AZ$190,,MATCH(SUBSTITUTE(AU$3,"Q","T"),Inputs!$B$2:$AZ$2,0)),Inputs!$B$2:$B$190,$B103)*Inputs!$D$1),"",SUMIFS(INDEX(Inputs!$B$2:$AZ$190,,MATCH(SUBSTITUTE(AU$3,"Q","T"),Inputs!$B$2:$AZ$2,0)),Inputs!$B$2:$B$190,$B103)*Inputs!$D$1)</f>
        <v>0</v>
      </c>
      <c r="AV103" s="57">
        <f>IF(ISNA(SUMIFS(INDEX(Inputs!$B$2:$AZ$190,,MATCH(SUBSTITUTE(AV$3,"Q","T"),Inputs!$B$2:$AZ$2,0)),Inputs!$B$2:$B$190,$B103)*Inputs!$D$1),"",SUMIFS(INDEX(Inputs!$B$2:$AZ$190,,MATCH(SUBSTITUTE(AV$3,"Q","T"),Inputs!$B$2:$AZ$2,0)),Inputs!$B$2:$B$190,$B103)*Inputs!$D$1)</f>
        <v>0</v>
      </c>
      <c r="AW103" s="58">
        <f>SUM(AS103:AV103)</f>
        <v>0</v>
      </c>
      <c r="AX103" s="57">
        <f>IF(ISNA(SUMIFS(INDEX(Inputs!$B$2:$AZ$190,,MATCH(SUBSTITUTE(AX$3,"Q","T"),Inputs!$B$2:$AZ$2,0)),Inputs!$B$2:$B$190,$B103)*Inputs!$D$1),"",SUMIFS(INDEX(Inputs!$B$2:$AZ$190,,MATCH(SUBSTITUTE(AX$3,"Q","T"),Inputs!$B$2:$AZ$2,0)),Inputs!$B$2:$B$190,$B103)*Inputs!$D$1)</f>
        <v>0</v>
      </c>
      <c r="AY103" s="57">
        <f>IF(ISNA(SUMIFS(INDEX(Inputs!$B$2:$AZ$190,,MATCH(SUBSTITUTE(AY$3,"Q","T"),Inputs!$B$2:$AZ$2,0)),Inputs!$B$2:$B$190,$B103)*Inputs!$D$1),"",SUMIFS(INDEX(Inputs!$B$2:$AZ$190,,MATCH(SUBSTITUTE(AY$3,"Q","T"),Inputs!$B$2:$AZ$2,0)),Inputs!$B$2:$B$190,$B103)*Inputs!$D$1)</f>
        <v>0</v>
      </c>
      <c r="AZ103" s="57">
        <f>IF(ISNA(SUMIFS(INDEX(Inputs!$B$2:$AZ$190,,MATCH(SUBSTITUTE(AZ$3,"Q","T"),Inputs!$B$2:$AZ$2,0)),Inputs!$B$2:$B$190,$B103)*Inputs!$D$1),"",SUMIFS(INDEX(Inputs!$B$2:$AZ$190,,MATCH(SUBSTITUTE(AZ$3,"Q","T"),Inputs!$B$2:$AZ$2,0)),Inputs!$B$2:$B$190,$B103)*Inputs!$D$1)</f>
        <v>0</v>
      </c>
      <c r="BA103" s="57">
        <f>IF(ISNA(SUMIFS(INDEX(Inputs!$B$2:$AZ$190,,MATCH(SUBSTITUTE(BA$3,"Q","T"),Inputs!$B$2:$AZ$2,0)),Inputs!$B$2:$B$190,$B103)*Inputs!$D$1),"",SUMIFS(INDEX(Inputs!$B$2:$AZ$190,,MATCH(SUBSTITUTE(BA$3,"Q","T"),Inputs!$B$2:$AZ$2,0)),Inputs!$B$2:$B$190,$B103)*Inputs!$D$1)</f>
        <v>0</v>
      </c>
      <c r="BB103" s="58">
        <f>SUM(AX103:BA103)</f>
        <v>0</v>
      </c>
      <c r="BC103" s="57">
        <f>IF(ISNA(SUMIFS(INDEX(Inputs!$B$2:$AZ$190,,MATCH(SUBSTITUTE(BC$3,"Q","T"),Inputs!$B$2:$AZ$2,0)),Inputs!$B$2:$B$190,$B103)*Inputs!$D$1),"",SUMIFS(INDEX(Inputs!$B$2:$AZ$190,,MATCH(SUBSTITUTE(BC$3,"Q","T"),Inputs!$B$2:$AZ$2,0)),Inputs!$B$2:$B$190,$B103)*Inputs!$D$1)</f>
        <v>0</v>
      </c>
      <c r="BD103" s="57">
        <f>IF(ISNA(SUMIFS(INDEX(Inputs!$B$2:$AZ$190,,MATCH(SUBSTITUTE(BD$3,"Q","T"),Inputs!$B$2:$AZ$2,0)),Inputs!$B$2:$B$190,$B103)*Inputs!$D$1),"",SUMIFS(INDEX(Inputs!$B$2:$AZ$190,,MATCH(SUBSTITUTE(BD$3,"Q","T"),Inputs!$B$2:$AZ$2,0)),Inputs!$B$2:$B$190,$B103)*Inputs!$D$1)</f>
        <v>0</v>
      </c>
      <c r="BE103" s="57">
        <f>IF(ISNA(SUMIFS(INDEX(Inputs!$B$2:$AZ$190,,MATCH(SUBSTITUTE(BE$3,"Q","T"),Inputs!$B$2:$AZ$2,0)),Inputs!$B$2:$B$190,$B103)*Inputs!$D$1),"",SUMIFS(INDEX(Inputs!$B$2:$AZ$190,,MATCH(SUBSTITUTE(BE$3,"Q","T"),Inputs!$B$2:$AZ$2,0)),Inputs!$B$2:$B$190,$B103)*Inputs!$D$1)</f>
        <v>0</v>
      </c>
      <c r="BF103" s="57">
        <f>IF(ISNA(SUMIFS(INDEX(Inputs!$B$2:$AZ$190,,MATCH(SUBSTITUTE(BF$3,"Q","T"),Inputs!$B$2:$AZ$2,0)),Inputs!$B$2:$B$190,$B103)*Inputs!$D$1),"",SUMIFS(INDEX(Inputs!$B$2:$AZ$190,,MATCH(SUBSTITUTE(BF$3,"Q","T"),Inputs!$B$2:$AZ$2,0)),Inputs!$B$2:$B$190,$B103)*Inputs!$D$1)</f>
        <v>0</v>
      </c>
      <c r="BG103" s="58">
        <f>SUM(BC103:BF103)</f>
        <v>0</v>
      </c>
    </row>
    <row r="104" hidden="1" outlineLevel="1">
      <c r="B104" s="56" t="inlineStr">
        <is>
          <t>tax_def</t>
        </is>
      </c>
      <c r="C104" s="61" t="inlineStr">
        <is>
          <t>Imposto diferido (quando à parte)</t>
        </is>
      </c>
      <c r="D104" s="62" t="inlineStr">
        <is>
          <t>Deferred tax, if separate</t>
        </is>
      </c>
      <c r="E104" s="57">
        <f>IF(ISNA(SUMIFS(INDEX(Inputs!$B$2:$AZ$190,,MATCH(SUBSTITUTE(E$3,"Q","T"),Inputs!$B$2:$AZ$2,0)),Inputs!$B$2:$B$190,$B104)*Inputs!$D$1),"",SUMIFS(INDEX(Inputs!$B$2:$AZ$190,,MATCH(SUBSTITUTE(E$3,"Q","T"),Inputs!$B$2:$AZ$2,0)),Inputs!$B$2:$B$190,$B104)*Inputs!$D$1)</f>
        <v>0</v>
      </c>
      <c r="F104" s="57">
        <f>IF(ISNA(SUMIFS(INDEX(Inputs!$B$2:$AZ$190,,MATCH(SUBSTITUTE(F$3,"Q","T"),Inputs!$B$2:$AZ$2,0)),Inputs!$B$2:$B$190,$B104)*Inputs!$D$1),"",SUMIFS(INDEX(Inputs!$B$2:$AZ$190,,MATCH(SUBSTITUTE(F$3,"Q","T"),Inputs!$B$2:$AZ$2,0)),Inputs!$B$2:$B$190,$B104)*Inputs!$D$1)</f>
        <v>0</v>
      </c>
      <c r="G104" s="57">
        <f>IF(ISNA(SUMIFS(INDEX(Inputs!$B$2:$AZ$190,,MATCH(SUBSTITUTE(G$3,"Q","T"),Inputs!$B$2:$AZ$2,0)),Inputs!$B$2:$B$190,$B104)*Inputs!$D$1),"",SUMIFS(INDEX(Inputs!$B$2:$AZ$190,,MATCH(SUBSTITUTE(G$3,"Q","T"),Inputs!$B$2:$AZ$2,0)),Inputs!$B$2:$B$190,$B104)*Inputs!$D$1)</f>
        <v>0</v>
      </c>
      <c r="H104" s="57">
        <f>IF(ISNA(SUMIFS(INDEX(Inputs!$B$2:$AZ$190,,MATCH(SUBSTITUTE(H$3,"Q","T"),Inputs!$B$2:$AZ$2,0)),Inputs!$B$2:$B$190,$B104)*Inputs!$D$1),"",SUMIFS(INDEX(Inputs!$B$2:$AZ$190,,MATCH(SUBSTITUTE(H$3,"Q","T"),Inputs!$B$2:$AZ$2,0)),Inputs!$B$2:$B$190,$B104)*Inputs!$D$1)</f>
        <v>0</v>
      </c>
      <c r="I104" s="58">
        <f>SUM(E104:H104)</f>
        <v>0</v>
      </c>
      <c r="J104" s="57">
        <f>IF(ISNA(SUMIFS(INDEX(Inputs!$B$2:$AZ$190,,MATCH(SUBSTITUTE(J$3,"Q","T"),Inputs!$B$2:$AZ$2,0)),Inputs!$B$2:$B$190,$B104)*Inputs!$D$1),"",SUMIFS(INDEX(Inputs!$B$2:$AZ$190,,MATCH(SUBSTITUTE(J$3,"Q","T"),Inputs!$B$2:$AZ$2,0)),Inputs!$B$2:$B$190,$B104)*Inputs!$D$1)</f>
        <v>0</v>
      </c>
      <c r="K104" s="57">
        <f>IF(ISNA(SUMIFS(INDEX(Inputs!$B$2:$AZ$190,,MATCH(SUBSTITUTE(K$3,"Q","T"),Inputs!$B$2:$AZ$2,0)),Inputs!$B$2:$B$190,$B104)*Inputs!$D$1),"",SUMIFS(INDEX(Inputs!$B$2:$AZ$190,,MATCH(SUBSTITUTE(K$3,"Q","T"),Inputs!$B$2:$AZ$2,0)),Inputs!$B$2:$B$190,$B104)*Inputs!$D$1)</f>
        <v>0</v>
      </c>
      <c r="L104" s="57">
        <f>IF(ISNA(SUMIFS(INDEX(Inputs!$B$2:$AZ$190,,MATCH(SUBSTITUTE(L$3,"Q","T"),Inputs!$B$2:$AZ$2,0)),Inputs!$B$2:$B$190,$B104)*Inputs!$D$1),"",SUMIFS(INDEX(Inputs!$B$2:$AZ$190,,MATCH(SUBSTITUTE(L$3,"Q","T"),Inputs!$B$2:$AZ$2,0)),Inputs!$B$2:$B$190,$B104)*Inputs!$D$1)</f>
        <v>0</v>
      </c>
      <c r="M104" s="57">
        <f>IF(ISNA(SUMIFS(INDEX(Inputs!$B$2:$AZ$190,,MATCH(SUBSTITUTE(M$3,"Q","T"),Inputs!$B$2:$AZ$2,0)),Inputs!$B$2:$B$190,$B104)*Inputs!$D$1),"",SUMIFS(INDEX(Inputs!$B$2:$AZ$190,,MATCH(SUBSTITUTE(M$3,"Q","T"),Inputs!$B$2:$AZ$2,0)),Inputs!$B$2:$B$190,$B104)*Inputs!$D$1)</f>
        <v>0</v>
      </c>
      <c r="N104" s="58">
        <f>SUM(J104:M104)</f>
        <v>0</v>
      </c>
      <c r="O104" s="57">
        <f>IF(ISNA(SUMIFS(INDEX(Inputs!$B$2:$AZ$190,,MATCH(SUBSTITUTE(O$3,"Q","T"),Inputs!$B$2:$AZ$2,0)),Inputs!$B$2:$B$190,$B104)*Inputs!$D$1),"",SUMIFS(INDEX(Inputs!$B$2:$AZ$190,,MATCH(SUBSTITUTE(O$3,"Q","T"),Inputs!$B$2:$AZ$2,0)),Inputs!$B$2:$B$190,$B104)*Inputs!$D$1)</f>
        <v>0</v>
      </c>
      <c r="P104" s="57">
        <f>IF(ISNA(SUMIFS(INDEX(Inputs!$B$2:$AZ$190,,MATCH(SUBSTITUTE(P$3,"Q","T"),Inputs!$B$2:$AZ$2,0)),Inputs!$B$2:$B$190,$B104)*Inputs!$D$1),"",SUMIFS(INDEX(Inputs!$B$2:$AZ$190,,MATCH(SUBSTITUTE(P$3,"Q","T"),Inputs!$B$2:$AZ$2,0)),Inputs!$B$2:$B$190,$B104)*Inputs!$D$1)</f>
        <v>0</v>
      </c>
      <c r="Q104" s="57">
        <f>IF(ISNA(SUMIFS(INDEX(Inputs!$B$2:$AZ$190,,MATCH(SUBSTITUTE(Q$3,"Q","T"),Inputs!$B$2:$AZ$2,0)),Inputs!$B$2:$B$190,$B104)*Inputs!$D$1),"",SUMIFS(INDEX(Inputs!$B$2:$AZ$190,,MATCH(SUBSTITUTE(Q$3,"Q","T"),Inputs!$B$2:$AZ$2,0)),Inputs!$B$2:$B$190,$B104)*Inputs!$D$1)</f>
        <v>0</v>
      </c>
      <c r="R104" s="57">
        <f>IF(ISNA(SUMIFS(INDEX(Inputs!$B$2:$AZ$190,,MATCH(SUBSTITUTE(R$3,"Q","T"),Inputs!$B$2:$AZ$2,0)),Inputs!$B$2:$B$190,$B104)*Inputs!$D$1),"",SUMIFS(INDEX(Inputs!$B$2:$AZ$190,,MATCH(SUBSTITUTE(R$3,"Q","T"),Inputs!$B$2:$AZ$2,0)),Inputs!$B$2:$B$190,$B104)*Inputs!$D$1)</f>
        <v>0</v>
      </c>
      <c r="S104" s="58">
        <f>SUM(O104:R104)</f>
        <v>0</v>
      </c>
      <c r="T104" s="57">
        <f>IF(ISNA(SUMIFS(INDEX(Inputs!$B$2:$AZ$190,,MATCH(SUBSTITUTE(T$3,"Q","T"),Inputs!$B$2:$AZ$2,0)),Inputs!$B$2:$B$190,$B104)*Inputs!$D$1),"",SUMIFS(INDEX(Inputs!$B$2:$AZ$190,,MATCH(SUBSTITUTE(T$3,"Q","T"),Inputs!$B$2:$AZ$2,0)),Inputs!$B$2:$B$190,$B104)*Inputs!$D$1)</f>
        <v>0</v>
      </c>
      <c r="U104" s="57">
        <f>IF(ISNA(SUMIFS(INDEX(Inputs!$B$2:$AZ$190,,MATCH(SUBSTITUTE(U$3,"Q","T"),Inputs!$B$2:$AZ$2,0)),Inputs!$B$2:$B$190,$B104)*Inputs!$D$1),"",SUMIFS(INDEX(Inputs!$B$2:$AZ$190,,MATCH(SUBSTITUTE(U$3,"Q","T"),Inputs!$B$2:$AZ$2,0)),Inputs!$B$2:$B$190,$B104)*Inputs!$D$1)</f>
        <v>0</v>
      </c>
      <c r="V104" s="57">
        <f>IF(ISNA(SUMIFS(INDEX(Inputs!$B$2:$AZ$190,,MATCH(SUBSTITUTE(V$3,"Q","T"),Inputs!$B$2:$AZ$2,0)),Inputs!$B$2:$B$190,$B104)*Inputs!$D$1),"",SUMIFS(INDEX(Inputs!$B$2:$AZ$190,,MATCH(SUBSTITUTE(V$3,"Q","T"),Inputs!$B$2:$AZ$2,0)),Inputs!$B$2:$B$190,$B104)*Inputs!$D$1)</f>
        <v>0</v>
      </c>
      <c r="W104" s="57">
        <f>IF(ISNA(SUMIFS(INDEX(Inputs!$B$2:$AZ$190,,MATCH(SUBSTITUTE(W$3,"Q","T"),Inputs!$B$2:$AZ$2,0)),Inputs!$B$2:$B$190,$B104)*Inputs!$D$1),"",SUMIFS(INDEX(Inputs!$B$2:$AZ$190,,MATCH(SUBSTITUTE(W$3,"Q","T"),Inputs!$B$2:$AZ$2,0)),Inputs!$B$2:$B$190,$B104)*Inputs!$D$1)</f>
        <v>0</v>
      </c>
      <c r="X104" s="58">
        <f>SUM(T104:W104)</f>
        <v>0</v>
      </c>
      <c r="Y104" s="57">
        <f>IF(ISNA(SUMIFS(INDEX(Inputs!$B$2:$AZ$190,,MATCH(SUBSTITUTE(Y$3,"Q","T"),Inputs!$B$2:$AZ$2,0)),Inputs!$B$2:$B$190,$B104)*Inputs!$D$1),"",SUMIFS(INDEX(Inputs!$B$2:$AZ$190,,MATCH(SUBSTITUTE(Y$3,"Q","T"),Inputs!$B$2:$AZ$2,0)),Inputs!$B$2:$B$190,$B104)*Inputs!$D$1)</f>
        <v>0</v>
      </c>
      <c r="Z104" s="57">
        <f>IF(ISNA(SUMIFS(INDEX(Inputs!$B$2:$AZ$190,,MATCH(SUBSTITUTE(Z$3,"Q","T"),Inputs!$B$2:$AZ$2,0)),Inputs!$B$2:$B$190,$B104)*Inputs!$D$1),"",SUMIFS(INDEX(Inputs!$B$2:$AZ$190,,MATCH(SUBSTITUTE(Z$3,"Q","T"),Inputs!$B$2:$AZ$2,0)),Inputs!$B$2:$B$190,$B104)*Inputs!$D$1)</f>
        <v>0</v>
      </c>
      <c r="AA104" s="57">
        <f>IF(ISNA(SUMIFS(INDEX(Inputs!$B$2:$AZ$190,,MATCH(SUBSTITUTE(AA$3,"Q","T"),Inputs!$B$2:$AZ$2,0)),Inputs!$B$2:$B$190,$B104)*Inputs!$D$1),"",SUMIFS(INDEX(Inputs!$B$2:$AZ$190,,MATCH(SUBSTITUTE(AA$3,"Q","T"),Inputs!$B$2:$AZ$2,0)),Inputs!$B$2:$B$190,$B104)*Inputs!$D$1)</f>
        <v>0</v>
      </c>
      <c r="AB104" s="57">
        <f>IF(ISNA(SUMIFS(INDEX(Inputs!$B$2:$AZ$190,,MATCH(SUBSTITUTE(AB$3,"Q","T"),Inputs!$B$2:$AZ$2,0)),Inputs!$B$2:$B$190,$B104)*Inputs!$D$1),"",SUMIFS(INDEX(Inputs!$B$2:$AZ$190,,MATCH(SUBSTITUTE(AB$3,"Q","T"),Inputs!$B$2:$AZ$2,0)),Inputs!$B$2:$B$190,$B104)*Inputs!$D$1)</f>
        <v>0</v>
      </c>
      <c r="AC104" s="58">
        <f>SUM(Y104:AB104)</f>
        <v>0</v>
      </c>
      <c r="AD104" s="57">
        <f>IF(ISNA(SUMIFS(INDEX(Inputs!$B$2:$AZ$190,,MATCH(SUBSTITUTE(AD$3,"Q","T"),Inputs!$B$2:$AZ$2,0)),Inputs!$B$2:$B$190,$B104)*Inputs!$D$1),"",SUMIFS(INDEX(Inputs!$B$2:$AZ$190,,MATCH(SUBSTITUTE(AD$3,"Q","T"),Inputs!$B$2:$AZ$2,0)),Inputs!$B$2:$B$190,$B104)*Inputs!$D$1)</f>
        <v>0</v>
      </c>
      <c r="AE104" s="57">
        <f>IF(ISNA(SUMIFS(INDEX(Inputs!$B$2:$AZ$190,,MATCH(SUBSTITUTE(AE$3,"Q","T"),Inputs!$B$2:$AZ$2,0)),Inputs!$B$2:$B$190,$B104)*Inputs!$D$1),"",SUMIFS(INDEX(Inputs!$B$2:$AZ$190,,MATCH(SUBSTITUTE(AE$3,"Q","T"),Inputs!$B$2:$AZ$2,0)),Inputs!$B$2:$B$190,$B104)*Inputs!$D$1)</f>
        <v>0</v>
      </c>
      <c r="AF104" s="57">
        <f>IF(ISNA(SUMIFS(INDEX(Inputs!$B$2:$AZ$190,,MATCH(SUBSTITUTE(AF$3,"Q","T"),Inputs!$B$2:$AZ$2,0)),Inputs!$B$2:$B$190,$B104)*Inputs!$D$1),"",SUMIFS(INDEX(Inputs!$B$2:$AZ$190,,MATCH(SUBSTITUTE(AF$3,"Q","T"),Inputs!$B$2:$AZ$2,0)),Inputs!$B$2:$B$190,$B104)*Inputs!$D$1)</f>
        <v>0</v>
      </c>
      <c r="AG104" s="57">
        <f>IF(ISNA(SUMIFS(INDEX(Inputs!$B$2:$AZ$190,,MATCH(SUBSTITUTE(AG$3,"Q","T"),Inputs!$B$2:$AZ$2,0)),Inputs!$B$2:$B$190,$B104)*Inputs!$D$1),"",SUMIFS(INDEX(Inputs!$B$2:$AZ$190,,MATCH(SUBSTITUTE(AG$3,"Q","T"),Inputs!$B$2:$AZ$2,0)),Inputs!$B$2:$B$190,$B104)*Inputs!$D$1)</f>
        <v>0</v>
      </c>
      <c r="AH104" s="58">
        <f>SUM(AD104:AG104)</f>
        <v>0</v>
      </c>
      <c r="AI104" s="57">
        <f>IF(ISNA(SUMIFS(INDEX(Inputs!$B$2:$AZ$190,,MATCH(SUBSTITUTE(AI$3,"Q","T"),Inputs!$B$2:$AZ$2,0)),Inputs!$B$2:$B$190,$B104)*Inputs!$D$1),"",SUMIFS(INDEX(Inputs!$B$2:$AZ$190,,MATCH(SUBSTITUTE(AI$3,"Q","T"),Inputs!$B$2:$AZ$2,0)),Inputs!$B$2:$B$190,$B104)*Inputs!$D$1)</f>
        <v>0</v>
      </c>
      <c r="AJ104" s="57">
        <f>IF(ISNA(SUMIFS(INDEX(Inputs!$B$2:$AZ$190,,MATCH(SUBSTITUTE(AJ$3,"Q","T"),Inputs!$B$2:$AZ$2,0)),Inputs!$B$2:$B$190,$B104)*Inputs!$D$1),"",SUMIFS(INDEX(Inputs!$B$2:$AZ$190,,MATCH(SUBSTITUTE(AJ$3,"Q","T"),Inputs!$B$2:$AZ$2,0)),Inputs!$B$2:$B$190,$B104)*Inputs!$D$1)</f>
        <v>0</v>
      </c>
      <c r="AK104" s="57">
        <f>IF(ISNA(SUMIFS(INDEX(Inputs!$B$2:$AZ$190,,MATCH(SUBSTITUTE(AK$3,"Q","T"),Inputs!$B$2:$AZ$2,0)),Inputs!$B$2:$B$190,$B104)*Inputs!$D$1),"",SUMIFS(INDEX(Inputs!$B$2:$AZ$190,,MATCH(SUBSTITUTE(AK$3,"Q","T"),Inputs!$B$2:$AZ$2,0)),Inputs!$B$2:$B$190,$B104)*Inputs!$D$1)</f>
        <v>0</v>
      </c>
      <c r="AL104" s="57">
        <f>IF(ISNA(SUMIFS(INDEX(Inputs!$B$2:$AZ$190,,MATCH(SUBSTITUTE(AL$3,"Q","T"),Inputs!$B$2:$AZ$2,0)),Inputs!$B$2:$B$190,$B104)*Inputs!$D$1),"",SUMIFS(INDEX(Inputs!$B$2:$AZ$190,,MATCH(SUBSTITUTE(AL$3,"Q","T"),Inputs!$B$2:$AZ$2,0)),Inputs!$B$2:$B$190,$B104)*Inputs!$D$1)</f>
        <v>0</v>
      </c>
      <c r="AM104" s="58">
        <f>SUM(AI104:AL104)</f>
        <v>0</v>
      </c>
      <c r="AN104" s="57">
        <f>IF(ISNA(SUMIFS(INDEX(Inputs!$B$2:$AZ$190,,MATCH(SUBSTITUTE(AN$3,"Q","T"),Inputs!$B$2:$AZ$2,0)),Inputs!$B$2:$B$190,$B104)*Inputs!$D$1),"",SUMIFS(INDEX(Inputs!$B$2:$AZ$190,,MATCH(SUBSTITUTE(AN$3,"Q","T"),Inputs!$B$2:$AZ$2,0)),Inputs!$B$2:$B$190,$B104)*Inputs!$D$1)</f>
        <v>0</v>
      </c>
      <c r="AO104" s="57">
        <f>IF(ISNA(SUMIFS(INDEX(Inputs!$B$2:$AZ$190,,MATCH(SUBSTITUTE(AO$3,"Q","T"),Inputs!$B$2:$AZ$2,0)),Inputs!$B$2:$B$190,$B104)*Inputs!$D$1),"",SUMIFS(INDEX(Inputs!$B$2:$AZ$190,,MATCH(SUBSTITUTE(AO$3,"Q","T"),Inputs!$B$2:$AZ$2,0)),Inputs!$B$2:$B$190,$B104)*Inputs!$D$1)</f>
        <v>0</v>
      </c>
      <c r="AP104" s="57">
        <f>IF(ISNA(SUMIFS(INDEX(Inputs!$B$2:$AZ$190,,MATCH(SUBSTITUTE(AP$3,"Q","T"),Inputs!$B$2:$AZ$2,0)),Inputs!$B$2:$B$190,$B104)*Inputs!$D$1),"",SUMIFS(INDEX(Inputs!$B$2:$AZ$190,,MATCH(SUBSTITUTE(AP$3,"Q","T"),Inputs!$B$2:$AZ$2,0)),Inputs!$B$2:$B$190,$B104)*Inputs!$D$1)</f>
        <v>0</v>
      </c>
      <c r="AQ104" s="57">
        <f>IF(ISNA(SUMIFS(INDEX(Inputs!$B$2:$AZ$190,,MATCH(SUBSTITUTE(AQ$3,"Q","T"),Inputs!$B$2:$AZ$2,0)),Inputs!$B$2:$B$190,$B104)*Inputs!$D$1),"",SUMIFS(INDEX(Inputs!$B$2:$AZ$190,,MATCH(SUBSTITUTE(AQ$3,"Q","T"),Inputs!$B$2:$AZ$2,0)),Inputs!$B$2:$B$190,$B104)*Inputs!$D$1)</f>
        <v>0</v>
      </c>
      <c r="AR104" s="58">
        <f>SUM(AN104:AQ104)</f>
        <v>0</v>
      </c>
      <c r="AS104" s="57">
        <f>IF(ISNA(SUMIFS(INDEX(Inputs!$B$2:$AZ$190,,MATCH(SUBSTITUTE(AS$3,"Q","T"),Inputs!$B$2:$AZ$2,0)),Inputs!$B$2:$B$190,$B104)*Inputs!$D$1),"",SUMIFS(INDEX(Inputs!$B$2:$AZ$190,,MATCH(SUBSTITUTE(AS$3,"Q","T"),Inputs!$B$2:$AZ$2,0)),Inputs!$B$2:$B$190,$B104)*Inputs!$D$1)</f>
        <v>0</v>
      </c>
      <c r="AT104" s="57">
        <f>IF(ISNA(SUMIFS(INDEX(Inputs!$B$2:$AZ$190,,MATCH(SUBSTITUTE(AT$3,"Q","T"),Inputs!$B$2:$AZ$2,0)),Inputs!$B$2:$B$190,$B104)*Inputs!$D$1),"",SUMIFS(INDEX(Inputs!$B$2:$AZ$190,,MATCH(SUBSTITUTE(AT$3,"Q","T"),Inputs!$B$2:$AZ$2,0)),Inputs!$B$2:$B$190,$B104)*Inputs!$D$1)</f>
        <v>0</v>
      </c>
      <c r="AU104" s="57">
        <f>IF(ISNA(SUMIFS(INDEX(Inputs!$B$2:$AZ$190,,MATCH(SUBSTITUTE(AU$3,"Q","T"),Inputs!$B$2:$AZ$2,0)),Inputs!$B$2:$B$190,$B104)*Inputs!$D$1),"",SUMIFS(INDEX(Inputs!$B$2:$AZ$190,,MATCH(SUBSTITUTE(AU$3,"Q","T"),Inputs!$B$2:$AZ$2,0)),Inputs!$B$2:$B$190,$B104)*Inputs!$D$1)</f>
        <v>0</v>
      </c>
      <c r="AV104" s="57">
        <f>IF(ISNA(SUMIFS(INDEX(Inputs!$B$2:$AZ$190,,MATCH(SUBSTITUTE(AV$3,"Q","T"),Inputs!$B$2:$AZ$2,0)),Inputs!$B$2:$B$190,$B104)*Inputs!$D$1),"",SUMIFS(INDEX(Inputs!$B$2:$AZ$190,,MATCH(SUBSTITUTE(AV$3,"Q","T"),Inputs!$B$2:$AZ$2,0)),Inputs!$B$2:$B$190,$B104)*Inputs!$D$1)</f>
        <v>0</v>
      </c>
      <c r="AW104" s="58">
        <f>SUM(AS104:AV104)</f>
        <v>0</v>
      </c>
      <c r="AX104" s="57">
        <f>IF(ISNA(SUMIFS(INDEX(Inputs!$B$2:$AZ$190,,MATCH(SUBSTITUTE(AX$3,"Q","T"),Inputs!$B$2:$AZ$2,0)),Inputs!$B$2:$B$190,$B104)*Inputs!$D$1),"",SUMIFS(INDEX(Inputs!$B$2:$AZ$190,,MATCH(SUBSTITUTE(AX$3,"Q","T"),Inputs!$B$2:$AZ$2,0)),Inputs!$B$2:$B$190,$B104)*Inputs!$D$1)</f>
        <v>0</v>
      </c>
      <c r="AY104" s="57">
        <f>IF(ISNA(SUMIFS(INDEX(Inputs!$B$2:$AZ$190,,MATCH(SUBSTITUTE(AY$3,"Q","T"),Inputs!$B$2:$AZ$2,0)),Inputs!$B$2:$B$190,$B104)*Inputs!$D$1),"",SUMIFS(INDEX(Inputs!$B$2:$AZ$190,,MATCH(SUBSTITUTE(AY$3,"Q","T"),Inputs!$B$2:$AZ$2,0)),Inputs!$B$2:$B$190,$B104)*Inputs!$D$1)</f>
        <v>0</v>
      </c>
      <c r="AZ104" s="57">
        <f>IF(ISNA(SUMIFS(INDEX(Inputs!$B$2:$AZ$190,,MATCH(SUBSTITUTE(AZ$3,"Q","T"),Inputs!$B$2:$AZ$2,0)),Inputs!$B$2:$B$190,$B104)*Inputs!$D$1),"",SUMIFS(INDEX(Inputs!$B$2:$AZ$190,,MATCH(SUBSTITUTE(AZ$3,"Q","T"),Inputs!$B$2:$AZ$2,0)),Inputs!$B$2:$B$190,$B104)*Inputs!$D$1)</f>
        <v>0</v>
      </c>
      <c r="BA104" s="57">
        <f>IF(ISNA(SUMIFS(INDEX(Inputs!$B$2:$AZ$190,,MATCH(SUBSTITUTE(BA$3,"Q","T"),Inputs!$B$2:$AZ$2,0)),Inputs!$B$2:$B$190,$B104)*Inputs!$D$1),"",SUMIFS(INDEX(Inputs!$B$2:$AZ$190,,MATCH(SUBSTITUTE(BA$3,"Q","T"),Inputs!$B$2:$AZ$2,0)),Inputs!$B$2:$B$190,$B104)*Inputs!$D$1)</f>
        <v>0</v>
      </c>
      <c r="BB104" s="58">
        <f>SUM(AX104:BA104)</f>
        <v>0</v>
      </c>
      <c r="BC104" s="57">
        <f>IF(ISNA(SUMIFS(INDEX(Inputs!$B$2:$AZ$190,,MATCH(SUBSTITUTE(BC$3,"Q","T"),Inputs!$B$2:$AZ$2,0)),Inputs!$B$2:$B$190,$B104)*Inputs!$D$1),"",SUMIFS(INDEX(Inputs!$B$2:$AZ$190,,MATCH(SUBSTITUTE(BC$3,"Q","T"),Inputs!$B$2:$AZ$2,0)),Inputs!$B$2:$B$190,$B104)*Inputs!$D$1)</f>
        <v>0</v>
      </c>
      <c r="BD104" s="57">
        <f>IF(ISNA(SUMIFS(INDEX(Inputs!$B$2:$AZ$190,,MATCH(SUBSTITUTE(BD$3,"Q","T"),Inputs!$B$2:$AZ$2,0)),Inputs!$B$2:$B$190,$B104)*Inputs!$D$1),"",SUMIFS(INDEX(Inputs!$B$2:$AZ$190,,MATCH(SUBSTITUTE(BD$3,"Q","T"),Inputs!$B$2:$AZ$2,0)),Inputs!$B$2:$B$190,$B104)*Inputs!$D$1)</f>
        <v>0</v>
      </c>
      <c r="BE104" s="57">
        <f>IF(ISNA(SUMIFS(INDEX(Inputs!$B$2:$AZ$190,,MATCH(SUBSTITUTE(BE$3,"Q","T"),Inputs!$B$2:$AZ$2,0)),Inputs!$B$2:$B$190,$B104)*Inputs!$D$1),"",SUMIFS(INDEX(Inputs!$B$2:$AZ$190,,MATCH(SUBSTITUTE(BE$3,"Q","T"),Inputs!$B$2:$AZ$2,0)),Inputs!$B$2:$B$190,$B104)*Inputs!$D$1)</f>
        <v>0</v>
      </c>
      <c r="BF104" s="57">
        <f>IF(ISNA(SUMIFS(INDEX(Inputs!$B$2:$AZ$190,,MATCH(SUBSTITUTE(BF$3,"Q","T"),Inputs!$B$2:$AZ$2,0)),Inputs!$B$2:$B$190,$B104)*Inputs!$D$1),"",SUMIFS(INDEX(Inputs!$B$2:$AZ$190,,MATCH(SUBSTITUTE(BF$3,"Q","T"),Inputs!$B$2:$AZ$2,0)),Inputs!$B$2:$B$190,$B104)*Inputs!$D$1)</f>
        <v>0</v>
      </c>
      <c r="BG104" s="58">
        <f>SUM(BC104:BF104)</f>
        <v>0</v>
      </c>
    </row>
    <row r="105">
      <c r="C105" s="53" t="inlineStr">
        <is>
          <t>LUCRO LÍQUIDO</t>
        </is>
      </c>
      <c r="D105" s="54" t="inlineStr">
        <is>
          <t>NET INCOME</t>
        </is>
      </c>
      <c r="E105" s="59">
        <f>IFERROR(E101+E102,"")</f>
        <v>0</v>
      </c>
      <c r="F105" s="59">
        <f>IFERROR(F101+F102,"")</f>
        <v>0</v>
      </c>
      <c r="G105" s="59">
        <f>IFERROR(G101+G102,"")</f>
        <v>0</v>
      </c>
      <c r="H105" s="59">
        <f>IFERROR(H101+H102,"")</f>
        <v>0</v>
      </c>
      <c r="I105" s="60">
        <f>SUM(E105:H105)</f>
        <v>0</v>
      </c>
      <c r="J105" s="59">
        <f>IFERROR(J101+J102,"")</f>
        <v>0</v>
      </c>
      <c r="K105" s="59">
        <f>IFERROR(K101+K102,"")</f>
        <v>0</v>
      </c>
      <c r="L105" s="59">
        <f>IFERROR(L101+L102,"")</f>
        <v>0</v>
      </c>
      <c r="M105" s="59">
        <f>IFERROR(M101+M102,"")</f>
        <v>0</v>
      </c>
      <c r="N105" s="60">
        <f>SUM(J105:M105)</f>
        <v>0</v>
      </c>
      <c r="O105" s="59">
        <f>IFERROR(O101+O102,"")</f>
        <v>0</v>
      </c>
      <c r="P105" s="59">
        <f>IFERROR(P101+P102,"")</f>
        <v>0</v>
      </c>
      <c r="Q105" s="59">
        <f>IFERROR(Q101+Q102,"")</f>
        <v>0</v>
      </c>
      <c r="R105" s="59">
        <f>IFERROR(R101+R102,"")</f>
        <v>0</v>
      </c>
      <c r="S105" s="60">
        <f>SUM(O105:R105)</f>
        <v>0</v>
      </c>
      <c r="T105" s="59">
        <f>IFERROR(T101+T102,"")</f>
        <v>0</v>
      </c>
      <c r="U105" s="59">
        <f>IFERROR(U101+U102,"")</f>
        <v>0</v>
      </c>
      <c r="V105" s="59">
        <f>IFERROR(V101+V102,"")</f>
        <v>0</v>
      </c>
      <c r="W105" s="59">
        <f>IFERROR(W101+W102,"")</f>
        <v>0</v>
      </c>
      <c r="X105" s="60">
        <f>SUM(T105:W105)</f>
        <v>0</v>
      </c>
      <c r="Y105" s="59">
        <f>IFERROR(Y101+Y102,"")</f>
        <v>0</v>
      </c>
      <c r="Z105" s="59">
        <f>IFERROR(Z101+Z102,"")</f>
        <v>0</v>
      </c>
      <c r="AA105" s="59">
        <f>IFERROR(AA101+AA102,"")</f>
        <v>0</v>
      </c>
      <c r="AB105" s="59">
        <f>IFERROR(AB101+AB102,"")</f>
        <v>0</v>
      </c>
      <c r="AC105" s="60">
        <f>SUM(Y105:AB105)</f>
        <v>0</v>
      </c>
      <c r="AD105" s="59">
        <f>IFERROR(AD101+AD102,"")</f>
        <v>0</v>
      </c>
      <c r="AE105" s="59">
        <f>IFERROR(AE101+AE102,"")</f>
        <v>0</v>
      </c>
      <c r="AF105" s="59">
        <f>IFERROR(AF101+AF102,"")</f>
        <v>0</v>
      </c>
      <c r="AG105" s="59">
        <f>IFERROR(AG101+AG102,"")</f>
        <v>0</v>
      </c>
      <c r="AH105" s="60">
        <f>SUM(AD105:AG105)</f>
        <v>0</v>
      </c>
      <c r="AI105" s="59">
        <f>IFERROR(AI101+AI102,"")</f>
        <v>0</v>
      </c>
      <c r="AJ105" s="59">
        <f>IFERROR(AJ101+AJ102,"")</f>
        <v>0</v>
      </c>
      <c r="AK105" s="59">
        <f>IFERROR(AK101+AK102,"")</f>
        <v>0</v>
      </c>
      <c r="AL105" s="59">
        <f>IFERROR(AL101+AL102,"")</f>
        <v>0</v>
      </c>
      <c r="AM105" s="60">
        <f>SUM(AI105:AL105)</f>
        <v>0</v>
      </c>
      <c r="AN105" s="59">
        <f>IFERROR(AN101+AN102,"")</f>
        <v>0</v>
      </c>
      <c r="AO105" s="59">
        <f>IFERROR(AO101+AO102,"")</f>
        <v>0</v>
      </c>
      <c r="AP105" s="59">
        <f>IFERROR(AP101+AP102,"")</f>
        <v>0</v>
      </c>
      <c r="AQ105" s="59">
        <f>IFERROR(AQ101+AQ102,"")</f>
        <v>0</v>
      </c>
      <c r="AR105" s="60">
        <f>SUM(AN105:AQ105)</f>
        <v>0</v>
      </c>
      <c r="AS105" s="59">
        <f>IFERROR(AS101+AS102,"")</f>
        <v>0</v>
      </c>
      <c r="AT105" s="59">
        <f>IFERROR(AT101+AT102,"")</f>
        <v>0</v>
      </c>
      <c r="AU105" s="59">
        <f>IFERROR(AU101+AU102,"")</f>
        <v>0</v>
      </c>
      <c r="AV105" s="59">
        <f>IFERROR(AV101+AV102,"")</f>
        <v>0</v>
      </c>
      <c r="AW105" s="60">
        <f>SUM(AS105:AV105)</f>
        <v>0</v>
      </c>
      <c r="AX105" s="59">
        <f>IFERROR(AX101+AX102,"")</f>
        <v>0</v>
      </c>
      <c r="AY105" s="59">
        <f>IFERROR(AY101+AY102,"")</f>
        <v>0</v>
      </c>
      <c r="AZ105" s="59">
        <f>IFERROR(AZ101+AZ102,"")</f>
        <v>0</v>
      </c>
      <c r="BA105" s="59">
        <f>IFERROR(BA101+BA102,"")</f>
        <v>0</v>
      </c>
      <c r="BB105" s="60">
        <f>SUM(AX105:BA105)</f>
        <v>0</v>
      </c>
      <c r="BC105" s="59">
        <f>IFERROR(BC101+BC102,"")</f>
        <v>0</v>
      </c>
      <c r="BD105" s="59">
        <f>IFERROR(BD101+BD102,"")</f>
        <v>0</v>
      </c>
      <c r="BE105" s="59">
        <f>IFERROR(BE101+BE102,"")</f>
        <v>0</v>
      </c>
      <c r="BF105" s="59">
        <f>IFERROR(BF101+BF102,"")</f>
        <v>0</v>
      </c>
      <c r="BG105" s="60">
        <f>SUM(BC105:BF105)</f>
        <v>0</v>
      </c>
    </row>
    <row r="106">
      <c r="B106" s="56" t="inlineStr">
        <is>
          <t>nci_ni</t>
        </is>
      </c>
      <c r="C106" s="11" t="inlineStr">
        <is>
          <t>(Lucro atribuído a não controladores)</t>
        </is>
      </c>
      <c r="D106" s="12" t="inlineStr">
        <is>
          <t>(Net income to noncontrolling interests)</t>
        </is>
      </c>
      <c r="E106" s="57">
        <f>IF(ISNA(SUMIFS(INDEX(Inputs!$B$2:$AZ$190,,MATCH(SUBSTITUTE(E$3,"Q","T"),Inputs!$B$2:$AZ$2,0)),Inputs!$B$2:$B$190,$B106)*Inputs!$D$1),"",SUMIFS(INDEX(Inputs!$B$2:$AZ$190,,MATCH(SUBSTITUTE(E$3,"Q","T"),Inputs!$B$2:$AZ$2,0)),Inputs!$B$2:$B$190,$B106)*Inputs!$D$1)</f>
        <v>0</v>
      </c>
      <c r="F106" s="57">
        <f>IF(ISNA(SUMIFS(INDEX(Inputs!$B$2:$AZ$190,,MATCH(SUBSTITUTE(F$3,"Q","T"),Inputs!$B$2:$AZ$2,0)),Inputs!$B$2:$B$190,$B106)*Inputs!$D$1),"",SUMIFS(INDEX(Inputs!$B$2:$AZ$190,,MATCH(SUBSTITUTE(F$3,"Q","T"),Inputs!$B$2:$AZ$2,0)),Inputs!$B$2:$B$190,$B106)*Inputs!$D$1)</f>
        <v>0</v>
      </c>
      <c r="G106" s="57">
        <f>IF(ISNA(SUMIFS(INDEX(Inputs!$B$2:$AZ$190,,MATCH(SUBSTITUTE(G$3,"Q","T"),Inputs!$B$2:$AZ$2,0)),Inputs!$B$2:$B$190,$B106)*Inputs!$D$1),"",SUMIFS(INDEX(Inputs!$B$2:$AZ$190,,MATCH(SUBSTITUTE(G$3,"Q","T"),Inputs!$B$2:$AZ$2,0)),Inputs!$B$2:$B$190,$B106)*Inputs!$D$1)</f>
        <v>0</v>
      </c>
      <c r="H106" s="57">
        <f>IF(ISNA(SUMIFS(INDEX(Inputs!$B$2:$AZ$190,,MATCH(SUBSTITUTE(H$3,"Q","T"),Inputs!$B$2:$AZ$2,0)),Inputs!$B$2:$B$190,$B106)*Inputs!$D$1),"",SUMIFS(INDEX(Inputs!$B$2:$AZ$190,,MATCH(SUBSTITUTE(H$3,"Q","T"),Inputs!$B$2:$AZ$2,0)),Inputs!$B$2:$B$190,$B106)*Inputs!$D$1)</f>
        <v>0</v>
      </c>
      <c r="I106" s="58">
        <f>SUM(E106:H106)</f>
        <v>0</v>
      </c>
      <c r="J106" s="57">
        <f>IF(ISNA(SUMIFS(INDEX(Inputs!$B$2:$AZ$190,,MATCH(SUBSTITUTE(J$3,"Q","T"),Inputs!$B$2:$AZ$2,0)),Inputs!$B$2:$B$190,$B106)*Inputs!$D$1),"",SUMIFS(INDEX(Inputs!$B$2:$AZ$190,,MATCH(SUBSTITUTE(J$3,"Q","T"),Inputs!$B$2:$AZ$2,0)),Inputs!$B$2:$B$190,$B106)*Inputs!$D$1)</f>
        <v>0</v>
      </c>
      <c r="K106" s="57">
        <f>IF(ISNA(SUMIFS(INDEX(Inputs!$B$2:$AZ$190,,MATCH(SUBSTITUTE(K$3,"Q","T"),Inputs!$B$2:$AZ$2,0)),Inputs!$B$2:$B$190,$B106)*Inputs!$D$1),"",SUMIFS(INDEX(Inputs!$B$2:$AZ$190,,MATCH(SUBSTITUTE(K$3,"Q","T"),Inputs!$B$2:$AZ$2,0)),Inputs!$B$2:$B$190,$B106)*Inputs!$D$1)</f>
        <v>0</v>
      </c>
      <c r="L106" s="57">
        <f>IF(ISNA(SUMIFS(INDEX(Inputs!$B$2:$AZ$190,,MATCH(SUBSTITUTE(L$3,"Q","T"),Inputs!$B$2:$AZ$2,0)),Inputs!$B$2:$B$190,$B106)*Inputs!$D$1),"",SUMIFS(INDEX(Inputs!$B$2:$AZ$190,,MATCH(SUBSTITUTE(L$3,"Q","T"),Inputs!$B$2:$AZ$2,0)),Inputs!$B$2:$B$190,$B106)*Inputs!$D$1)</f>
        <v>0</v>
      </c>
      <c r="M106" s="57">
        <f>IF(ISNA(SUMIFS(INDEX(Inputs!$B$2:$AZ$190,,MATCH(SUBSTITUTE(M$3,"Q","T"),Inputs!$B$2:$AZ$2,0)),Inputs!$B$2:$B$190,$B106)*Inputs!$D$1),"",SUMIFS(INDEX(Inputs!$B$2:$AZ$190,,MATCH(SUBSTITUTE(M$3,"Q","T"),Inputs!$B$2:$AZ$2,0)),Inputs!$B$2:$B$190,$B106)*Inputs!$D$1)</f>
        <v>0</v>
      </c>
      <c r="N106" s="58">
        <f>SUM(J106:M106)</f>
        <v>0</v>
      </c>
      <c r="O106" s="57">
        <f>IF(ISNA(SUMIFS(INDEX(Inputs!$B$2:$AZ$190,,MATCH(SUBSTITUTE(O$3,"Q","T"),Inputs!$B$2:$AZ$2,0)),Inputs!$B$2:$B$190,$B106)*Inputs!$D$1),"",SUMIFS(INDEX(Inputs!$B$2:$AZ$190,,MATCH(SUBSTITUTE(O$3,"Q","T"),Inputs!$B$2:$AZ$2,0)),Inputs!$B$2:$B$190,$B106)*Inputs!$D$1)</f>
        <v>0</v>
      </c>
      <c r="P106" s="57">
        <f>IF(ISNA(SUMIFS(INDEX(Inputs!$B$2:$AZ$190,,MATCH(SUBSTITUTE(P$3,"Q","T"),Inputs!$B$2:$AZ$2,0)),Inputs!$B$2:$B$190,$B106)*Inputs!$D$1),"",SUMIFS(INDEX(Inputs!$B$2:$AZ$190,,MATCH(SUBSTITUTE(P$3,"Q","T"),Inputs!$B$2:$AZ$2,0)),Inputs!$B$2:$B$190,$B106)*Inputs!$D$1)</f>
        <v>0</v>
      </c>
      <c r="Q106" s="57">
        <f>IF(ISNA(SUMIFS(INDEX(Inputs!$B$2:$AZ$190,,MATCH(SUBSTITUTE(Q$3,"Q","T"),Inputs!$B$2:$AZ$2,0)),Inputs!$B$2:$B$190,$B106)*Inputs!$D$1),"",SUMIFS(INDEX(Inputs!$B$2:$AZ$190,,MATCH(SUBSTITUTE(Q$3,"Q","T"),Inputs!$B$2:$AZ$2,0)),Inputs!$B$2:$B$190,$B106)*Inputs!$D$1)</f>
        <v>0</v>
      </c>
      <c r="R106" s="57">
        <f>IF(ISNA(SUMIFS(INDEX(Inputs!$B$2:$AZ$190,,MATCH(SUBSTITUTE(R$3,"Q","T"),Inputs!$B$2:$AZ$2,0)),Inputs!$B$2:$B$190,$B106)*Inputs!$D$1),"",SUMIFS(INDEX(Inputs!$B$2:$AZ$190,,MATCH(SUBSTITUTE(R$3,"Q","T"),Inputs!$B$2:$AZ$2,0)),Inputs!$B$2:$B$190,$B106)*Inputs!$D$1)</f>
        <v>0</v>
      </c>
      <c r="S106" s="58">
        <f>SUM(O106:R106)</f>
        <v>0</v>
      </c>
      <c r="T106" s="57">
        <f>IF(ISNA(SUMIFS(INDEX(Inputs!$B$2:$AZ$190,,MATCH(SUBSTITUTE(T$3,"Q","T"),Inputs!$B$2:$AZ$2,0)),Inputs!$B$2:$B$190,$B106)*Inputs!$D$1),"",SUMIFS(INDEX(Inputs!$B$2:$AZ$190,,MATCH(SUBSTITUTE(T$3,"Q","T"),Inputs!$B$2:$AZ$2,0)),Inputs!$B$2:$B$190,$B106)*Inputs!$D$1)</f>
        <v>0</v>
      </c>
      <c r="U106" s="57">
        <f>IF(ISNA(SUMIFS(INDEX(Inputs!$B$2:$AZ$190,,MATCH(SUBSTITUTE(U$3,"Q","T"),Inputs!$B$2:$AZ$2,0)),Inputs!$B$2:$B$190,$B106)*Inputs!$D$1),"",SUMIFS(INDEX(Inputs!$B$2:$AZ$190,,MATCH(SUBSTITUTE(U$3,"Q","T"),Inputs!$B$2:$AZ$2,0)),Inputs!$B$2:$B$190,$B106)*Inputs!$D$1)</f>
        <v>0</v>
      </c>
      <c r="V106" s="57">
        <f>IF(ISNA(SUMIFS(INDEX(Inputs!$B$2:$AZ$190,,MATCH(SUBSTITUTE(V$3,"Q","T"),Inputs!$B$2:$AZ$2,0)),Inputs!$B$2:$B$190,$B106)*Inputs!$D$1),"",SUMIFS(INDEX(Inputs!$B$2:$AZ$190,,MATCH(SUBSTITUTE(V$3,"Q","T"),Inputs!$B$2:$AZ$2,0)),Inputs!$B$2:$B$190,$B106)*Inputs!$D$1)</f>
        <v>0</v>
      </c>
      <c r="W106" s="57">
        <f>IF(ISNA(SUMIFS(INDEX(Inputs!$B$2:$AZ$190,,MATCH(SUBSTITUTE(W$3,"Q","T"),Inputs!$B$2:$AZ$2,0)),Inputs!$B$2:$B$190,$B106)*Inputs!$D$1),"",SUMIFS(INDEX(Inputs!$B$2:$AZ$190,,MATCH(SUBSTITUTE(W$3,"Q","T"),Inputs!$B$2:$AZ$2,0)),Inputs!$B$2:$B$190,$B106)*Inputs!$D$1)</f>
        <v>0</v>
      </c>
      <c r="X106" s="58">
        <f>SUM(T106:W106)</f>
        <v>0</v>
      </c>
      <c r="Y106" s="57">
        <f>IF(ISNA(SUMIFS(INDEX(Inputs!$B$2:$AZ$190,,MATCH(SUBSTITUTE(Y$3,"Q","T"),Inputs!$B$2:$AZ$2,0)),Inputs!$B$2:$B$190,$B106)*Inputs!$D$1),"",SUMIFS(INDEX(Inputs!$B$2:$AZ$190,,MATCH(SUBSTITUTE(Y$3,"Q","T"),Inputs!$B$2:$AZ$2,0)),Inputs!$B$2:$B$190,$B106)*Inputs!$D$1)</f>
        <v>0</v>
      </c>
      <c r="Z106" s="57">
        <f>IF(ISNA(SUMIFS(INDEX(Inputs!$B$2:$AZ$190,,MATCH(SUBSTITUTE(Z$3,"Q","T"),Inputs!$B$2:$AZ$2,0)),Inputs!$B$2:$B$190,$B106)*Inputs!$D$1),"",SUMIFS(INDEX(Inputs!$B$2:$AZ$190,,MATCH(SUBSTITUTE(Z$3,"Q","T"),Inputs!$B$2:$AZ$2,0)),Inputs!$B$2:$B$190,$B106)*Inputs!$D$1)</f>
        <v>0</v>
      </c>
      <c r="AA106" s="57">
        <f>IF(ISNA(SUMIFS(INDEX(Inputs!$B$2:$AZ$190,,MATCH(SUBSTITUTE(AA$3,"Q","T"),Inputs!$B$2:$AZ$2,0)),Inputs!$B$2:$B$190,$B106)*Inputs!$D$1),"",SUMIFS(INDEX(Inputs!$B$2:$AZ$190,,MATCH(SUBSTITUTE(AA$3,"Q","T"),Inputs!$B$2:$AZ$2,0)),Inputs!$B$2:$B$190,$B106)*Inputs!$D$1)</f>
        <v>0</v>
      </c>
      <c r="AB106" s="57">
        <f>IF(ISNA(SUMIFS(INDEX(Inputs!$B$2:$AZ$190,,MATCH(SUBSTITUTE(AB$3,"Q","T"),Inputs!$B$2:$AZ$2,0)),Inputs!$B$2:$B$190,$B106)*Inputs!$D$1),"",SUMIFS(INDEX(Inputs!$B$2:$AZ$190,,MATCH(SUBSTITUTE(AB$3,"Q","T"),Inputs!$B$2:$AZ$2,0)),Inputs!$B$2:$B$190,$B106)*Inputs!$D$1)</f>
        <v>0</v>
      </c>
      <c r="AC106" s="58">
        <f>SUM(Y106:AB106)</f>
        <v>0</v>
      </c>
      <c r="AD106" s="57">
        <f>IF(ISNA(SUMIFS(INDEX(Inputs!$B$2:$AZ$190,,MATCH(SUBSTITUTE(AD$3,"Q","T"),Inputs!$B$2:$AZ$2,0)),Inputs!$B$2:$B$190,$B106)*Inputs!$D$1),"",SUMIFS(INDEX(Inputs!$B$2:$AZ$190,,MATCH(SUBSTITUTE(AD$3,"Q","T"),Inputs!$B$2:$AZ$2,0)),Inputs!$B$2:$B$190,$B106)*Inputs!$D$1)</f>
        <v>0</v>
      </c>
      <c r="AE106" s="57">
        <f>IF(ISNA(SUMIFS(INDEX(Inputs!$B$2:$AZ$190,,MATCH(SUBSTITUTE(AE$3,"Q","T"),Inputs!$B$2:$AZ$2,0)),Inputs!$B$2:$B$190,$B106)*Inputs!$D$1),"",SUMIFS(INDEX(Inputs!$B$2:$AZ$190,,MATCH(SUBSTITUTE(AE$3,"Q","T"),Inputs!$B$2:$AZ$2,0)),Inputs!$B$2:$B$190,$B106)*Inputs!$D$1)</f>
        <v>0</v>
      </c>
      <c r="AF106" s="57">
        <f>IF(ISNA(SUMIFS(INDEX(Inputs!$B$2:$AZ$190,,MATCH(SUBSTITUTE(AF$3,"Q","T"),Inputs!$B$2:$AZ$2,0)),Inputs!$B$2:$B$190,$B106)*Inputs!$D$1),"",SUMIFS(INDEX(Inputs!$B$2:$AZ$190,,MATCH(SUBSTITUTE(AF$3,"Q","T"),Inputs!$B$2:$AZ$2,0)),Inputs!$B$2:$B$190,$B106)*Inputs!$D$1)</f>
        <v>0</v>
      </c>
      <c r="AG106" s="57">
        <f>IF(ISNA(SUMIFS(INDEX(Inputs!$B$2:$AZ$190,,MATCH(SUBSTITUTE(AG$3,"Q","T"),Inputs!$B$2:$AZ$2,0)),Inputs!$B$2:$B$190,$B106)*Inputs!$D$1),"",SUMIFS(INDEX(Inputs!$B$2:$AZ$190,,MATCH(SUBSTITUTE(AG$3,"Q","T"),Inputs!$B$2:$AZ$2,0)),Inputs!$B$2:$B$190,$B106)*Inputs!$D$1)</f>
        <v>0</v>
      </c>
      <c r="AH106" s="58">
        <f>SUM(AD106:AG106)</f>
        <v>0</v>
      </c>
      <c r="AI106" s="57">
        <f>IF(ISNA(SUMIFS(INDEX(Inputs!$B$2:$AZ$190,,MATCH(SUBSTITUTE(AI$3,"Q","T"),Inputs!$B$2:$AZ$2,0)),Inputs!$B$2:$B$190,$B106)*Inputs!$D$1),"",SUMIFS(INDEX(Inputs!$B$2:$AZ$190,,MATCH(SUBSTITUTE(AI$3,"Q","T"),Inputs!$B$2:$AZ$2,0)),Inputs!$B$2:$B$190,$B106)*Inputs!$D$1)</f>
        <v>0</v>
      </c>
      <c r="AJ106" s="57">
        <f>IF(ISNA(SUMIFS(INDEX(Inputs!$B$2:$AZ$190,,MATCH(SUBSTITUTE(AJ$3,"Q","T"),Inputs!$B$2:$AZ$2,0)),Inputs!$B$2:$B$190,$B106)*Inputs!$D$1),"",SUMIFS(INDEX(Inputs!$B$2:$AZ$190,,MATCH(SUBSTITUTE(AJ$3,"Q","T"),Inputs!$B$2:$AZ$2,0)),Inputs!$B$2:$B$190,$B106)*Inputs!$D$1)</f>
        <v>0</v>
      </c>
      <c r="AK106" s="57">
        <f>IF(ISNA(SUMIFS(INDEX(Inputs!$B$2:$AZ$190,,MATCH(SUBSTITUTE(AK$3,"Q","T"),Inputs!$B$2:$AZ$2,0)),Inputs!$B$2:$B$190,$B106)*Inputs!$D$1),"",SUMIFS(INDEX(Inputs!$B$2:$AZ$190,,MATCH(SUBSTITUTE(AK$3,"Q","T"),Inputs!$B$2:$AZ$2,0)),Inputs!$B$2:$B$190,$B106)*Inputs!$D$1)</f>
        <v>0</v>
      </c>
      <c r="AL106" s="57">
        <f>IF(ISNA(SUMIFS(INDEX(Inputs!$B$2:$AZ$190,,MATCH(SUBSTITUTE(AL$3,"Q","T"),Inputs!$B$2:$AZ$2,0)),Inputs!$B$2:$B$190,$B106)*Inputs!$D$1),"",SUMIFS(INDEX(Inputs!$B$2:$AZ$190,,MATCH(SUBSTITUTE(AL$3,"Q","T"),Inputs!$B$2:$AZ$2,0)),Inputs!$B$2:$B$190,$B106)*Inputs!$D$1)</f>
        <v>0</v>
      </c>
      <c r="AM106" s="58">
        <f>SUM(AI106:AL106)</f>
        <v>0</v>
      </c>
      <c r="AN106" s="57">
        <f>IF(ISNA(SUMIFS(INDEX(Inputs!$B$2:$AZ$190,,MATCH(SUBSTITUTE(AN$3,"Q","T"),Inputs!$B$2:$AZ$2,0)),Inputs!$B$2:$B$190,$B106)*Inputs!$D$1),"",SUMIFS(INDEX(Inputs!$B$2:$AZ$190,,MATCH(SUBSTITUTE(AN$3,"Q","T"),Inputs!$B$2:$AZ$2,0)),Inputs!$B$2:$B$190,$B106)*Inputs!$D$1)</f>
        <v>0</v>
      </c>
      <c r="AO106" s="57">
        <f>IF(ISNA(SUMIFS(INDEX(Inputs!$B$2:$AZ$190,,MATCH(SUBSTITUTE(AO$3,"Q","T"),Inputs!$B$2:$AZ$2,0)),Inputs!$B$2:$B$190,$B106)*Inputs!$D$1),"",SUMIFS(INDEX(Inputs!$B$2:$AZ$190,,MATCH(SUBSTITUTE(AO$3,"Q","T"),Inputs!$B$2:$AZ$2,0)),Inputs!$B$2:$B$190,$B106)*Inputs!$D$1)</f>
        <v>0</v>
      </c>
      <c r="AP106" s="57">
        <f>IF(ISNA(SUMIFS(INDEX(Inputs!$B$2:$AZ$190,,MATCH(SUBSTITUTE(AP$3,"Q","T"),Inputs!$B$2:$AZ$2,0)),Inputs!$B$2:$B$190,$B106)*Inputs!$D$1),"",SUMIFS(INDEX(Inputs!$B$2:$AZ$190,,MATCH(SUBSTITUTE(AP$3,"Q","T"),Inputs!$B$2:$AZ$2,0)),Inputs!$B$2:$B$190,$B106)*Inputs!$D$1)</f>
        <v>0</v>
      </c>
      <c r="AQ106" s="57">
        <f>IF(ISNA(SUMIFS(INDEX(Inputs!$B$2:$AZ$190,,MATCH(SUBSTITUTE(AQ$3,"Q","T"),Inputs!$B$2:$AZ$2,0)),Inputs!$B$2:$B$190,$B106)*Inputs!$D$1),"",SUMIFS(INDEX(Inputs!$B$2:$AZ$190,,MATCH(SUBSTITUTE(AQ$3,"Q","T"),Inputs!$B$2:$AZ$2,0)),Inputs!$B$2:$B$190,$B106)*Inputs!$D$1)</f>
        <v>0</v>
      </c>
      <c r="AR106" s="58">
        <f>SUM(AN106:AQ106)</f>
        <v>0</v>
      </c>
      <c r="AS106" s="57">
        <f>IF(ISNA(SUMIFS(INDEX(Inputs!$B$2:$AZ$190,,MATCH(SUBSTITUTE(AS$3,"Q","T"),Inputs!$B$2:$AZ$2,0)),Inputs!$B$2:$B$190,$B106)*Inputs!$D$1),"",SUMIFS(INDEX(Inputs!$B$2:$AZ$190,,MATCH(SUBSTITUTE(AS$3,"Q","T"),Inputs!$B$2:$AZ$2,0)),Inputs!$B$2:$B$190,$B106)*Inputs!$D$1)</f>
        <v>0</v>
      </c>
      <c r="AT106" s="57">
        <f>IF(ISNA(SUMIFS(INDEX(Inputs!$B$2:$AZ$190,,MATCH(SUBSTITUTE(AT$3,"Q","T"),Inputs!$B$2:$AZ$2,0)),Inputs!$B$2:$B$190,$B106)*Inputs!$D$1),"",SUMIFS(INDEX(Inputs!$B$2:$AZ$190,,MATCH(SUBSTITUTE(AT$3,"Q","T"),Inputs!$B$2:$AZ$2,0)),Inputs!$B$2:$B$190,$B106)*Inputs!$D$1)</f>
        <v>0</v>
      </c>
      <c r="AU106" s="57">
        <f>IF(ISNA(SUMIFS(INDEX(Inputs!$B$2:$AZ$190,,MATCH(SUBSTITUTE(AU$3,"Q","T"),Inputs!$B$2:$AZ$2,0)),Inputs!$B$2:$B$190,$B106)*Inputs!$D$1),"",SUMIFS(INDEX(Inputs!$B$2:$AZ$190,,MATCH(SUBSTITUTE(AU$3,"Q","T"),Inputs!$B$2:$AZ$2,0)),Inputs!$B$2:$B$190,$B106)*Inputs!$D$1)</f>
        <v>0</v>
      </c>
      <c r="AV106" s="57">
        <f>IF(ISNA(SUMIFS(INDEX(Inputs!$B$2:$AZ$190,,MATCH(SUBSTITUTE(AV$3,"Q","T"),Inputs!$B$2:$AZ$2,0)),Inputs!$B$2:$B$190,$B106)*Inputs!$D$1),"",SUMIFS(INDEX(Inputs!$B$2:$AZ$190,,MATCH(SUBSTITUTE(AV$3,"Q","T"),Inputs!$B$2:$AZ$2,0)),Inputs!$B$2:$B$190,$B106)*Inputs!$D$1)</f>
        <v>0</v>
      </c>
      <c r="AW106" s="58">
        <f>SUM(AS106:AV106)</f>
        <v>0</v>
      </c>
      <c r="AX106" s="57">
        <f>IF(ISNA(SUMIFS(INDEX(Inputs!$B$2:$AZ$190,,MATCH(SUBSTITUTE(AX$3,"Q","T"),Inputs!$B$2:$AZ$2,0)),Inputs!$B$2:$B$190,$B106)*Inputs!$D$1),"",SUMIFS(INDEX(Inputs!$B$2:$AZ$190,,MATCH(SUBSTITUTE(AX$3,"Q","T"),Inputs!$B$2:$AZ$2,0)),Inputs!$B$2:$B$190,$B106)*Inputs!$D$1)</f>
        <v>0</v>
      </c>
      <c r="AY106" s="57">
        <f>IF(ISNA(SUMIFS(INDEX(Inputs!$B$2:$AZ$190,,MATCH(SUBSTITUTE(AY$3,"Q","T"),Inputs!$B$2:$AZ$2,0)),Inputs!$B$2:$B$190,$B106)*Inputs!$D$1),"",SUMIFS(INDEX(Inputs!$B$2:$AZ$190,,MATCH(SUBSTITUTE(AY$3,"Q","T"),Inputs!$B$2:$AZ$2,0)),Inputs!$B$2:$B$190,$B106)*Inputs!$D$1)</f>
        <v>0</v>
      </c>
      <c r="AZ106" s="57">
        <f>IF(ISNA(SUMIFS(INDEX(Inputs!$B$2:$AZ$190,,MATCH(SUBSTITUTE(AZ$3,"Q","T"),Inputs!$B$2:$AZ$2,0)),Inputs!$B$2:$B$190,$B106)*Inputs!$D$1),"",SUMIFS(INDEX(Inputs!$B$2:$AZ$190,,MATCH(SUBSTITUTE(AZ$3,"Q","T"),Inputs!$B$2:$AZ$2,0)),Inputs!$B$2:$B$190,$B106)*Inputs!$D$1)</f>
        <v>0</v>
      </c>
      <c r="BA106" s="57">
        <f>IF(ISNA(SUMIFS(INDEX(Inputs!$B$2:$AZ$190,,MATCH(SUBSTITUTE(BA$3,"Q","T"),Inputs!$B$2:$AZ$2,0)),Inputs!$B$2:$B$190,$B106)*Inputs!$D$1),"",SUMIFS(INDEX(Inputs!$B$2:$AZ$190,,MATCH(SUBSTITUTE(BA$3,"Q","T"),Inputs!$B$2:$AZ$2,0)),Inputs!$B$2:$B$190,$B106)*Inputs!$D$1)</f>
        <v>0</v>
      </c>
      <c r="BB106" s="58">
        <f>SUM(AX106:BA106)</f>
        <v>0</v>
      </c>
      <c r="BC106" s="57">
        <f>IF(ISNA(SUMIFS(INDEX(Inputs!$B$2:$AZ$190,,MATCH(SUBSTITUTE(BC$3,"Q","T"),Inputs!$B$2:$AZ$2,0)),Inputs!$B$2:$B$190,$B106)*Inputs!$D$1),"",SUMIFS(INDEX(Inputs!$B$2:$AZ$190,,MATCH(SUBSTITUTE(BC$3,"Q","T"),Inputs!$B$2:$AZ$2,0)),Inputs!$B$2:$B$190,$B106)*Inputs!$D$1)</f>
        <v>0</v>
      </c>
      <c r="BD106" s="57">
        <f>IF(ISNA(SUMIFS(INDEX(Inputs!$B$2:$AZ$190,,MATCH(SUBSTITUTE(BD$3,"Q","T"),Inputs!$B$2:$AZ$2,0)),Inputs!$B$2:$B$190,$B106)*Inputs!$D$1),"",SUMIFS(INDEX(Inputs!$B$2:$AZ$190,,MATCH(SUBSTITUTE(BD$3,"Q","T"),Inputs!$B$2:$AZ$2,0)),Inputs!$B$2:$B$190,$B106)*Inputs!$D$1)</f>
        <v>0</v>
      </c>
      <c r="BE106" s="57">
        <f>IF(ISNA(SUMIFS(INDEX(Inputs!$B$2:$AZ$190,,MATCH(SUBSTITUTE(BE$3,"Q","T"),Inputs!$B$2:$AZ$2,0)),Inputs!$B$2:$B$190,$B106)*Inputs!$D$1),"",SUMIFS(INDEX(Inputs!$B$2:$AZ$190,,MATCH(SUBSTITUTE(BE$3,"Q","T"),Inputs!$B$2:$AZ$2,0)),Inputs!$B$2:$B$190,$B106)*Inputs!$D$1)</f>
        <v>0</v>
      </c>
      <c r="BF106" s="57">
        <f>IF(ISNA(SUMIFS(INDEX(Inputs!$B$2:$AZ$190,,MATCH(SUBSTITUTE(BF$3,"Q","T"),Inputs!$B$2:$AZ$2,0)),Inputs!$B$2:$B$190,$B106)*Inputs!$D$1),"",SUMIFS(INDEX(Inputs!$B$2:$AZ$190,,MATCH(SUBSTITUTE(BF$3,"Q","T"),Inputs!$B$2:$AZ$2,0)),Inputs!$B$2:$B$190,$B106)*Inputs!$D$1)</f>
        <v>0</v>
      </c>
      <c r="BG106" s="58">
        <f>SUM(BC106:BF106)</f>
        <v>0</v>
      </c>
    </row>
    <row r="107">
      <c r="C107" s="53" t="inlineStr">
        <is>
          <t>LUCRO LÍQUIDO ATRIBUÍVEL À COMPANHIA</t>
        </is>
      </c>
      <c r="D107" s="54" t="inlineStr">
        <is>
          <t>NET INCOME ATTRIBUTABLE TO THE COMPANY</t>
        </is>
      </c>
      <c r="E107" s="59">
        <f>IFERROR(E105+E106,"")</f>
        <v>0</v>
      </c>
      <c r="F107" s="59">
        <f>IFERROR(F105+F106,"")</f>
        <v>0</v>
      </c>
      <c r="G107" s="59">
        <f>IFERROR(G105+G106,"")</f>
        <v>0</v>
      </c>
      <c r="H107" s="59">
        <f>IFERROR(H105+H106,"")</f>
        <v>0</v>
      </c>
      <c r="I107" s="60">
        <f>SUM(E107:H107)</f>
        <v>0</v>
      </c>
      <c r="J107" s="59">
        <f>IFERROR(J105+J106,"")</f>
        <v>0</v>
      </c>
      <c r="K107" s="59">
        <f>IFERROR(K105+K106,"")</f>
        <v>0</v>
      </c>
      <c r="L107" s="59">
        <f>IFERROR(L105+L106,"")</f>
        <v>0</v>
      </c>
      <c r="M107" s="59">
        <f>IFERROR(M105+M106,"")</f>
        <v>0</v>
      </c>
      <c r="N107" s="60">
        <f>SUM(J107:M107)</f>
        <v>0</v>
      </c>
      <c r="O107" s="59">
        <f>IFERROR(O105+O106,"")</f>
        <v>0</v>
      </c>
      <c r="P107" s="59">
        <f>IFERROR(P105+P106,"")</f>
        <v>0</v>
      </c>
      <c r="Q107" s="59">
        <f>IFERROR(Q105+Q106,"")</f>
        <v>0</v>
      </c>
      <c r="R107" s="59">
        <f>IFERROR(R105+R106,"")</f>
        <v>0</v>
      </c>
      <c r="S107" s="60">
        <f>SUM(O107:R107)</f>
        <v>0</v>
      </c>
      <c r="T107" s="59">
        <f>IFERROR(T105+T106,"")</f>
        <v>0</v>
      </c>
      <c r="U107" s="59">
        <f>IFERROR(U105+U106,"")</f>
        <v>0</v>
      </c>
      <c r="V107" s="59">
        <f>IFERROR(V105+V106,"")</f>
        <v>0</v>
      </c>
      <c r="W107" s="59">
        <f>IFERROR(W105+W106,"")</f>
        <v>0</v>
      </c>
      <c r="X107" s="60">
        <f>SUM(T107:W107)</f>
        <v>0</v>
      </c>
      <c r="Y107" s="59">
        <f>IFERROR(Y105+Y106,"")</f>
        <v>0</v>
      </c>
      <c r="Z107" s="59">
        <f>IFERROR(Z105+Z106,"")</f>
        <v>0</v>
      </c>
      <c r="AA107" s="59">
        <f>IFERROR(AA105+AA106,"")</f>
        <v>0</v>
      </c>
      <c r="AB107" s="59">
        <f>IFERROR(AB105+AB106,"")</f>
        <v>0</v>
      </c>
      <c r="AC107" s="60">
        <f>SUM(Y107:AB107)</f>
        <v>0</v>
      </c>
      <c r="AD107" s="59">
        <f>IFERROR(AD105+AD106,"")</f>
        <v>0</v>
      </c>
      <c r="AE107" s="59">
        <f>IFERROR(AE105+AE106,"")</f>
        <v>0</v>
      </c>
      <c r="AF107" s="59">
        <f>IFERROR(AF105+AF106,"")</f>
        <v>0</v>
      </c>
      <c r="AG107" s="59">
        <f>IFERROR(AG105+AG106,"")</f>
        <v>0</v>
      </c>
      <c r="AH107" s="60">
        <f>SUM(AD107:AG107)</f>
        <v>0</v>
      </c>
      <c r="AI107" s="59">
        <f>IFERROR(AI105+AI106,"")</f>
        <v>0</v>
      </c>
      <c r="AJ107" s="59">
        <f>IFERROR(AJ105+AJ106,"")</f>
        <v>0</v>
      </c>
      <c r="AK107" s="59">
        <f>IFERROR(AK105+AK106,"")</f>
        <v>0</v>
      </c>
      <c r="AL107" s="59">
        <f>IFERROR(AL105+AL106,"")</f>
        <v>0</v>
      </c>
      <c r="AM107" s="60">
        <f>SUM(AI107:AL107)</f>
        <v>0</v>
      </c>
      <c r="AN107" s="59">
        <f>IFERROR(AN105+AN106,"")</f>
        <v>0</v>
      </c>
      <c r="AO107" s="59">
        <f>IFERROR(AO105+AO106,"")</f>
        <v>0</v>
      </c>
      <c r="AP107" s="59">
        <f>IFERROR(AP105+AP106,"")</f>
        <v>0</v>
      </c>
      <c r="AQ107" s="59">
        <f>IFERROR(AQ105+AQ106,"")</f>
        <v>0</v>
      </c>
      <c r="AR107" s="60">
        <f>SUM(AN107:AQ107)</f>
        <v>0</v>
      </c>
      <c r="AS107" s="59">
        <f>IFERROR(AS105+AS106,"")</f>
        <v>0</v>
      </c>
      <c r="AT107" s="59">
        <f>IFERROR(AT105+AT106,"")</f>
        <v>0</v>
      </c>
      <c r="AU107" s="59">
        <f>IFERROR(AU105+AU106,"")</f>
        <v>0</v>
      </c>
      <c r="AV107" s="59">
        <f>IFERROR(AV105+AV106,"")</f>
        <v>0</v>
      </c>
      <c r="AW107" s="60">
        <f>SUM(AS107:AV107)</f>
        <v>0</v>
      </c>
      <c r="AX107" s="59">
        <f>IFERROR(AX105+AX106,"")</f>
        <v>0</v>
      </c>
      <c r="AY107" s="59">
        <f>IFERROR(AY105+AY106,"")</f>
        <v>0</v>
      </c>
      <c r="AZ107" s="59">
        <f>IFERROR(AZ105+AZ106,"")</f>
        <v>0</v>
      </c>
      <c r="BA107" s="59">
        <f>IFERROR(BA105+BA106,"")</f>
        <v>0</v>
      </c>
      <c r="BB107" s="60">
        <f>SUM(AX107:BA107)</f>
        <v>0</v>
      </c>
      <c r="BC107" s="59">
        <f>IFERROR(BC105+BC106,"")</f>
        <v>0</v>
      </c>
      <c r="BD107" s="59">
        <f>IFERROR(BD105+BD106,"")</f>
        <v>0</v>
      </c>
      <c r="BE107" s="59">
        <f>IFERROR(BE105+BE106,"")</f>
        <v>0</v>
      </c>
      <c r="BF107" s="59">
        <f>IFERROR(BF105+BF106,"")</f>
        <v>0</v>
      </c>
      <c r="BG107" s="60">
        <f>SUM(BC107:BF107)</f>
        <v>0</v>
      </c>
    </row>
    <row r="108">
      <c r="B108" s="56" t="inlineStr">
        <is>
          <t>div_pref</t>
        </is>
      </c>
      <c r="C108" s="11" t="inlineStr">
        <is>
          <t>(Dividendos preferenciais e alocação a títulos participantes)</t>
        </is>
      </c>
      <c r="D108" s="12" t="inlineStr">
        <is>
          <t>(Preferred dividends and participating securities)</t>
        </is>
      </c>
      <c r="E108" s="57">
        <f>IF(ISNA(SUMIFS(INDEX(Inputs!$B$2:$AZ$190,,MATCH(SUBSTITUTE(E$3,"Q","T"),Inputs!$B$2:$AZ$2,0)),Inputs!$B$2:$B$190,$B108)*Inputs!$D$1),"",SUMIFS(INDEX(Inputs!$B$2:$AZ$190,,MATCH(SUBSTITUTE(E$3,"Q","T"),Inputs!$B$2:$AZ$2,0)),Inputs!$B$2:$B$190,$B108)*Inputs!$D$1)</f>
        <v>0</v>
      </c>
      <c r="F108" s="57">
        <f>IF(ISNA(SUMIFS(INDEX(Inputs!$B$2:$AZ$190,,MATCH(SUBSTITUTE(F$3,"Q","T"),Inputs!$B$2:$AZ$2,0)),Inputs!$B$2:$B$190,$B108)*Inputs!$D$1),"",SUMIFS(INDEX(Inputs!$B$2:$AZ$190,,MATCH(SUBSTITUTE(F$3,"Q","T"),Inputs!$B$2:$AZ$2,0)),Inputs!$B$2:$B$190,$B108)*Inputs!$D$1)</f>
        <v>0</v>
      </c>
      <c r="G108" s="57">
        <f>IF(ISNA(SUMIFS(INDEX(Inputs!$B$2:$AZ$190,,MATCH(SUBSTITUTE(G$3,"Q","T"),Inputs!$B$2:$AZ$2,0)),Inputs!$B$2:$B$190,$B108)*Inputs!$D$1),"",SUMIFS(INDEX(Inputs!$B$2:$AZ$190,,MATCH(SUBSTITUTE(G$3,"Q","T"),Inputs!$B$2:$AZ$2,0)),Inputs!$B$2:$B$190,$B108)*Inputs!$D$1)</f>
        <v>0</v>
      </c>
      <c r="H108" s="57">
        <f>IF(ISNA(SUMIFS(INDEX(Inputs!$B$2:$AZ$190,,MATCH(SUBSTITUTE(H$3,"Q","T"),Inputs!$B$2:$AZ$2,0)),Inputs!$B$2:$B$190,$B108)*Inputs!$D$1),"",SUMIFS(INDEX(Inputs!$B$2:$AZ$190,,MATCH(SUBSTITUTE(H$3,"Q","T"),Inputs!$B$2:$AZ$2,0)),Inputs!$B$2:$B$190,$B108)*Inputs!$D$1)</f>
        <v>0</v>
      </c>
      <c r="I108" s="58">
        <f>SUM(E108:H108)</f>
        <v>0</v>
      </c>
      <c r="J108" s="57">
        <f>IF(ISNA(SUMIFS(INDEX(Inputs!$B$2:$AZ$190,,MATCH(SUBSTITUTE(J$3,"Q","T"),Inputs!$B$2:$AZ$2,0)),Inputs!$B$2:$B$190,$B108)*Inputs!$D$1),"",SUMIFS(INDEX(Inputs!$B$2:$AZ$190,,MATCH(SUBSTITUTE(J$3,"Q","T"),Inputs!$B$2:$AZ$2,0)),Inputs!$B$2:$B$190,$B108)*Inputs!$D$1)</f>
        <v>0</v>
      </c>
      <c r="K108" s="57">
        <f>IF(ISNA(SUMIFS(INDEX(Inputs!$B$2:$AZ$190,,MATCH(SUBSTITUTE(K$3,"Q","T"),Inputs!$B$2:$AZ$2,0)),Inputs!$B$2:$B$190,$B108)*Inputs!$D$1),"",SUMIFS(INDEX(Inputs!$B$2:$AZ$190,,MATCH(SUBSTITUTE(K$3,"Q","T"),Inputs!$B$2:$AZ$2,0)),Inputs!$B$2:$B$190,$B108)*Inputs!$D$1)</f>
        <v>0</v>
      </c>
      <c r="L108" s="57">
        <f>IF(ISNA(SUMIFS(INDEX(Inputs!$B$2:$AZ$190,,MATCH(SUBSTITUTE(L$3,"Q","T"),Inputs!$B$2:$AZ$2,0)),Inputs!$B$2:$B$190,$B108)*Inputs!$D$1),"",SUMIFS(INDEX(Inputs!$B$2:$AZ$190,,MATCH(SUBSTITUTE(L$3,"Q","T"),Inputs!$B$2:$AZ$2,0)),Inputs!$B$2:$B$190,$B108)*Inputs!$D$1)</f>
        <v>0</v>
      </c>
      <c r="M108" s="57">
        <f>IF(ISNA(SUMIFS(INDEX(Inputs!$B$2:$AZ$190,,MATCH(SUBSTITUTE(M$3,"Q","T"),Inputs!$B$2:$AZ$2,0)),Inputs!$B$2:$B$190,$B108)*Inputs!$D$1),"",SUMIFS(INDEX(Inputs!$B$2:$AZ$190,,MATCH(SUBSTITUTE(M$3,"Q","T"),Inputs!$B$2:$AZ$2,0)),Inputs!$B$2:$B$190,$B108)*Inputs!$D$1)</f>
        <v>0</v>
      </c>
      <c r="N108" s="58">
        <f>SUM(J108:M108)</f>
        <v>0</v>
      </c>
      <c r="O108" s="57">
        <f>IF(ISNA(SUMIFS(INDEX(Inputs!$B$2:$AZ$190,,MATCH(SUBSTITUTE(O$3,"Q","T"),Inputs!$B$2:$AZ$2,0)),Inputs!$B$2:$B$190,$B108)*Inputs!$D$1),"",SUMIFS(INDEX(Inputs!$B$2:$AZ$190,,MATCH(SUBSTITUTE(O$3,"Q","T"),Inputs!$B$2:$AZ$2,0)),Inputs!$B$2:$B$190,$B108)*Inputs!$D$1)</f>
        <v>0</v>
      </c>
      <c r="P108" s="57">
        <f>IF(ISNA(SUMIFS(INDEX(Inputs!$B$2:$AZ$190,,MATCH(SUBSTITUTE(P$3,"Q","T"),Inputs!$B$2:$AZ$2,0)),Inputs!$B$2:$B$190,$B108)*Inputs!$D$1),"",SUMIFS(INDEX(Inputs!$B$2:$AZ$190,,MATCH(SUBSTITUTE(P$3,"Q","T"),Inputs!$B$2:$AZ$2,0)),Inputs!$B$2:$B$190,$B108)*Inputs!$D$1)</f>
        <v>0</v>
      </c>
      <c r="Q108" s="57">
        <f>IF(ISNA(SUMIFS(INDEX(Inputs!$B$2:$AZ$190,,MATCH(SUBSTITUTE(Q$3,"Q","T"),Inputs!$B$2:$AZ$2,0)),Inputs!$B$2:$B$190,$B108)*Inputs!$D$1),"",SUMIFS(INDEX(Inputs!$B$2:$AZ$190,,MATCH(SUBSTITUTE(Q$3,"Q","T"),Inputs!$B$2:$AZ$2,0)),Inputs!$B$2:$B$190,$B108)*Inputs!$D$1)</f>
        <v>0</v>
      </c>
      <c r="R108" s="57">
        <f>IF(ISNA(SUMIFS(INDEX(Inputs!$B$2:$AZ$190,,MATCH(SUBSTITUTE(R$3,"Q","T"),Inputs!$B$2:$AZ$2,0)),Inputs!$B$2:$B$190,$B108)*Inputs!$D$1),"",SUMIFS(INDEX(Inputs!$B$2:$AZ$190,,MATCH(SUBSTITUTE(R$3,"Q","T"),Inputs!$B$2:$AZ$2,0)),Inputs!$B$2:$B$190,$B108)*Inputs!$D$1)</f>
        <v>0</v>
      </c>
      <c r="S108" s="58">
        <f>SUM(O108:R108)</f>
        <v>0</v>
      </c>
      <c r="T108" s="57">
        <f>IF(ISNA(SUMIFS(INDEX(Inputs!$B$2:$AZ$190,,MATCH(SUBSTITUTE(T$3,"Q","T"),Inputs!$B$2:$AZ$2,0)),Inputs!$B$2:$B$190,$B108)*Inputs!$D$1),"",SUMIFS(INDEX(Inputs!$B$2:$AZ$190,,MATCH(SUBSTITUTE(T$3,"Q","T"),Inputs!$B$2:$AZ$2,0)),Inputs!$B$2:$B$190,$B108)*Inputs!$D$1)</f>
        <v>0</v>
      </c>
      <c r="U108" s="57">
        <f>IF(ISNA(SUMIFS(INDEX(Inputs!$B$2:$AZ$190,,MATCH(SUBSTITUTE(U$3,"Q","T"),Inputs!$B$2:$AZ$2,0)),Inputs!$B$2:$B$190,$B108)*Inputs!$D$1),"",SUMIFS(INDEX(Inputs!$B$2:$AZ$190,,MATCH(SUBSTITUTE(U$3,"Q","T"),Inputs!$B$2:$AZ$2,0)),Inputs!$B$2:$B$190,$B108)*Inputs!$D$1)</f>
        <v>0</v>
      </c>
      <c r="V108" s="57">
        <f>IF(ISNA(SUMIFS(INDEX(Inputs!$B$2:$AZ$190,,MATCH(SUBSTITUTE(V$3,"Q","T"),Inputs!$B$2:$AZ$2,0)),Inputs!$B$2:$B$190,$B108)*Inputs!$D$1),"",SUMIFS(INDEX(Inputs!$B$2:$AZ$190,,MATCH(SUBSTITUTE(V$3,"Q","T"),Inputs!$B$2:$AZ$2,0)),Inputs!$B$2:$B$190,$B108)*Inputs!$D$1)</f>
        <v>0</v>
      </c>
      <c r="W108" s="57">
        <f>IF(ISNA(SUMIFS(INDEX(Inputs!$B$2:$AZ$190,,MATCH(SUBSTITUTE(W$3,"Q","T"),Inputs!$B$2:$AZ$2,0)),Inputs!$B$2:$B$190,$B108)*Inputs!$D$1),"",SUMIFS(INDEX(Inputs!$B$2:$AZ$190,,MATCH(SUBSTITUTE(W$3,"Q","T"),Inputs!$B$2:$AZ$2,0)),Inputs!$B$2:$B$190,$B108)*Inputs!$D$1)</f>
        <v>0</v>
      </c>
      <c r="X108" s="58">
        <f>SUM(T108:W108)</f>
        <v>0</v>
      </c>
      <c r="Y108" s="57">
        <f>IF(ISNA(SUMIFS(INDEX(Inputs!$B$2:$AZ$190,,MATCH(SUBSTITUTE(Y$3,"Q","T"),Inputs!$B$2:$AZ$2,0)),Inputs!$B$2:$B$190,$B108)*Inputs!$D$1),"",SUMIFS(INDEX(Inputs!$B$2:$AZ$190,,MATCH(SUBSTITUTE(Y$3,"Q","T"),Inputs!$B$2:$AZ$2,0)),Inputs!$B$2:$B$190,$B108)*Inputs!$D$1)</f>
        <v>0</v>
      </c>
      <c r="Z108" s="57">
        <f>IF(ISNA(SUMIFS(INDEX(Inputs!$B$2:$AZ$190,,MATCH(SUBSTITUTE(Z$3,"Q","T"),Inputs!$B$2:$AZ$2,0)),Inputs!$B$2:$B$190,$B108)*Inputs!$D$1),"",SUMIFS(INDEX(Inputs!$B$2:$AZ$190,,MATCH(SUBSTITUTE(Z$3,"Q","T"),Inputs!$B$2:$AZ$2,0)),Inputs!$B$2:$B$190,$B108)*Inputs!$D$1)</f>
        <v>0</v>
      </c>
      <c r="AA108" s="57">
        <f>IF(ISNA(SUMIFS(INDEX(Inputs!$B$2:$AZ$190,,MATCH(SUBSTITUTE(AA$3,"Q","T"),Inputs!$B$2:$AZ$2,0)),Inputs!$B$2:$B$190,$B108)*Inputs!$D$1),"",SUMIFS(INDEX(Inputs!$B$2:$AZ$190,,MATCH(SUBSTITUTE(AA$3,"Q","T"),Inputs!$B$2:$AZ$2,0)),Inputs!$B$2:$B$190,$B108)*Inputs!$D$1)</f>
        <v>0</v>
      </c>
      <c r="AB108" s="57">
        <f>IF(ISNA(SUMIFS(INDEX(Inputs!$B$2:$AZ$190,,MATCH(SUBSTITUTE(AB$3,"Q","T"),Inputs!$B$2:$AZ$2,0)),Inputs!$B$2:$B$190,$B108)*Inputs!$D$1),"",SUMIFS(INDEX(Inputs!$B$2:$AZ$190,,MATCH(SUBSTITUTE(AB$3,"Q","T"),Inputs!$B$2:$AZ$2,0)),Inputs!$B$2:$B$190,$B108)*Inputs!$D$1)</f>
        <v>0</v>
      </c>
      <c r="AC108" s="58">
        <f>SUM(Y108:AB108)</f>
        <v>0</v>
      </c>
      <c r="AD108" s="57">
        <f>IF(ISNA(SUMIFS(INDEX(Inputs!$B$2:$AZ$190,,MATCH(SUBSTITUTE(AD$3,"Q","T"),Inputs!$B$2:$AZ$2,0)),Inputs!$B$2:$B$190,$B108)*Inputs!$D$1),"",SUMIFS(INDEX(Inputs!$B$2:$AZ$190,,MATCH(SUBSTITUTE(AD$3,"Q","T"),Inputs!$B$2:$AZ$2,0)),Inputs!$B$2:$B$190,$B108)*Inputs!$D$1)</f>
        <v>0</v>
      </c>
      <c r="AE108" s="57">
        <f>IF(ISNA(SUMIFS(INDEX(Inputs!$B$2:$AZ$190,,MATCH(SUBSTITUTE(AE$3,"Q","T"),Inputs!$B$2:$AZ$2,0)),Inputs!$B$2:$B$190,$B108)*Inputs!$D$1),"",SUMIFS(INDEX(Inputs!$B$2:$AZ$190,,MATCH(SUBSTITUTE(AE$3,"Q","T"),Inputs!$B$2:$AZ$2,0)),Inputs!$B$2:$B$190,$B108)*Inputs!$D$1)</f>
        <v>0</v>
      </c>
      <c r="AF108" s="57">
        <f>IF(ISNA(SUMIFS(INDEX(Inputs!$B$2:$AZ$190,,MATCH(SUBSTITUTE(AF$3,"Q","T"),Inputs!$B$2:$AZ$2,0)),Inputs!$B$2:$B$190,$B108)*Inputs!$D$1),"",SUMIFS(INDEX(Inputs!$B$2:$AZ$190,,MATCH(SUBSTITUTE(AF$3,"Q","T"),Inputs!$B$2:$AZ$2,0)),Inputs!$B$2:$B$190,$B108)*Inputs!$D$1)</f>
        <v>0</v>
      </c>
      <c r="AG108" s="57">
        <f>IF(ISNA(SUMIFS(INDEX(Inputs!$B$2:$AZ$190,,MATCH(SUBSTITUTE(AG$3,"Q","T"),Inputs!$B$2:$AZ$2,0)),Inputs!$B$2:$B$190,$B108)*Inputs!$D$1),"",SUMIFS(INDEX(Inputs!$B$2:$AZ$190,,MATCH(SUBSTITUTE(AG$3,"Q","T"),Inputs!$B$2:$AZ$2,0)),Inputs!$B$2:$B$190,$B108)*Inputs!$D$1)</f>
        <v>0</v>
      </c>
      <c r="AH108" s="58">
        <f>SUM(AD108:AG108)</f>
        <v>0</v>
      </c>
      <c r="AI108" s="57">
        <f>IF(ISNA(SUMIFS(INDEX(Inputs!$B$2:$AZ$190,,MATCH(SUBSTITUTE(AI$3,"Q","T"),Inputs!$B$2:$AZ$2,0)),Inputs!$B$2:$B$190,$B108)*Inputs!$D$1),"",SUMIFS(INDEX(Inputs!$B$2:$AZ$190,,MATCH(SUBSTITUTE(AI$3,"Q","T"),Inputs!$B$2:$AZ$2,0)),Inputs!$B$2:$B$190,$B108)*Inputs!$D$1)</f>
        <v>0</v>
      </c>
      <c r="AJ108" s="57">
        <f>IF(ISNA(SUMIFS(INDEX(Inputs!$B$2:$AZ$190,,MATCH(SUBSTITUTE(AJ$3,"Q","T"),Inputs!$B$2:$AZ$2,0)),Inputs!$B$2:$B$190,$B108)*Inputs!$D$1),"",SUMIFS(INDEX(Inputs!$B$2:$AZ$190,,MATCH(SUBSTITUTE(AJ$3,"Q","T"),Inputs!$B$2:$AZ$2,0)),Inputs!$B$2:$B$190,$B108)*Inputs!$D$1)</f>
        <v>0</v>
      </c>
      <c r="AK108" s="57">
        <f>IF(ISNA(SUMIFS(INDEX(Inputs!$B$2:$AZ$190,,MATCH(SUBSTITUTE(AK$3,"Q","T"),Inputs!$B$2:$AZ$2,0)),Inputs!$B$2:$B$190,$B108)*Inputs!$D$1),"",SUMIFS(INDEX(Inputs!$B$2:$AZ$190,,MATCH(SUBSTITUTE(AK$3,"Q","T"),Inputs!$B$2:$AZ$2,0)),Inputs!$B$2:$B$190,$B108)*Inputs!$D$1)</f>
        <v>0</v>
      </c>
      <c r="AL108" s="57">
        <f>IF(ISNA(SUMIFS(INDEX(Inputs!$B$2:$AZ$190,,MATCH(SUBSTITUTE(AL$3,"Q","T"),Inputs!$B$2:$AZ$2,0)),Inputs!$B$2:$B$190,$B108)*Inputs!$D$1),"",SUMIFS(INDEX(Inputs!$B$2:$AZ$190,,MATCH(SUBSTITUTE(AL$3,"Q","T"),Inputs!$B$2:$AZ$2,0)),Inputs!$B$2:$B$190,$B108)*Inputs!$D$1)</f>
        <v>0</v>
      </c>
      <c r="AM108" s="58">
        <f>SUM(AI108:AL108)</f>
        <v>0</v>
      </c>
      <c r="AN108" s="57">
        <f>IF(ISNA(SUMIFS(INDEX(Inputs!$B$2:$AZ$190,,MATCH(SUBSTITUTE(AN$3,"Q","T"),Inputs!$B$2:$AZ$2,0)),Inputs!$B$2:$B$190,$B108)*Inputs!$D$1),"",SUMIFS(INDEX(Inputs!$B$2:$AZ$190,,MATCH(SUBSTITUTE(AN$3,"Q","T"),Inputs!$B$2:$AZ$2,0)),Inputs!$B$2:$B$190,$B108)*Inputs!$D$1)</f>
        <v>0</v>
      </c>
      <c r="AO108" s="57">
        <f>IF(ISNA(SUMIFS(INDEX(Inputs!$B$2:$AZ$190,,MATCH(SUBSTITUTE(AO$3,"Q","T"),Inputs!$B$2:$AZ$2,0)),Inputs!$B$2:$B$190,$B108)*Inputs!$D$1),"",SUMIFS(INDEX(Inputs!$B$2:$AZ$190,,MATCH(SUBSTITUTE(AO$3,"Q","T"),Inputs!$B$2:$AZ$2,0)),Inputs!$B$2:$B$190,$B108)*Inputs!$D$1)</f>
        <v>0</v>
      </c>
      <c r="AP108" s="57">
        <f>IF(ISNA(SUMIFS(INDEX(Inputs!$B$2:$AZ$190,,MATCH(SUBSTITUTE(AP$3,"Q","T"),Inputs!$B$2:$AZ$2,0)),Inputs!$B$2:$B$190,$B108)*Inputs!$D$1),"",SUMIFS(INDEX(Inputs!$B$2:$AZ$190,,MATCH(SUBSTITUTE(AP$3,"Q","T"),Inputs!$B$2:$AZ$2,0)),Inputs!$B$2:$B$190,$B108)*Inputs!$D$1)</f>
        <v>0</v>
      </c>
      <c r="AQ108" s="57">
        <f>IF(ISNA(SUMIFS(INDEX(Inputs!$B$2:$AZ$190,,MATCH(SUBSTITUTE(AQ$3,"Q","T"),Inputs!$B$2:$AZ$2,0)),Inputs!$B$2:$B$190,$B108)*Inputs!$D$1),"",SUMIFS(INDEX(Inputs!$B$2:$AZ$190,,MATCH(SUBSTITUTE(AQ$3,"Q","T"),Inputs!$B$2:$AZ$2,0)),Inputs!$B$2:$B$190,$B108)*Inputs!$D$1)</f>
        <v>0</v>
      </c>
      <c r="AR108" s="58">
        <f>SUM(AN108:AQ108)</f>
        <v>0</v>
      </c>
      <c r="AS108" s="57">
        <f>IF(ISNA(SUMIFS(INDEX(Inputs!$B$2:$AZ$190,,MATCH(SUBSTITUTE(AS$3,"Q","T"),Inputs!$B$2:$AZ$2,0)),Inputs!$B$2:$B$190,$B108)*Inputs!$D$1),"",SUMIFS(INDEX(Inputs!$B$2:$AZ$190,,MATCH(SUBSTITUTE(AS$3,"Q","T"),Inputs!$B$2:$AZ$2,0)),Inputs!$B$2:$B$190,$B108)*Inputs!$D$1)</f>
        <v>0</v>
      </c>
      <c r="AT108" s="57">
        <f>IF(ISNA(SUMIFS(INDEX(Inputs!$B$2:$AZ$190,,MATCH(SUBSTITUTE(AT$3,"Q","T"),Inputs!$B$2:$AZ$2,0)),Inputs!$B$2:$B$190,$B108)*Inputs!$D$1),"",SUMIFS(INDEX(Inputs!$B$2:$AZ$190,,MATCH(SUBSTITUTE(AT$3,"Q","T"),Inputs!$B$2:$AZ$2,0)),Inputs!$B$2:$B$190,$B108)*Inputs!$D$1)</f>
        <v>0</v>
      </c>
      <c r="AU108" s="57">
        <f>IF(ISNA(SUMIFS(INDEX(Inputs!$B$2:$AZ$190,,MATCH(SUBSTITUTE(AU$3,"Q","T"),Inputs!$B$2:$AZ$2,0)),Inputs!$B$2:$B$190,$B108)*Inputs!$D$1),"",SUMIFS(INDEX(Inputs!$B$2:$AZ$190,,MATCH(SUBSTITUTE(AU$3,"Q","T"),Inputs!$B$2:$AZ$2,0)),Inputs!$B$2:$B$190,$B108)*Inputs!$D$1)</f>
        <v>0</v>
      </c>
      <c r="AV108" s="57">
        <f>IF(ISNA(SUMIFS(INDEX(Inputs!$B$2:$AZ$190,,MATCH(SUBSTITUTE(AV$3,"Q","T"),Inputs!$B$2:$AZ$2,0)),Inputs!$B$2:$B$190,$B108)*Inputs!$D$1),"",SUMIFS(INDEX(Inputs!$B$2:$AZ$190,,MATCH(SUBSTITUTE(AV$3,"Q","T"),Inputs!$B$2:$AZ$2,0)),Inputs!$B$2:$B$190,$B108)*Inputs!$D$1)</f>
        <v>0</v>
      </c>
      <c r="AW108" s="58">
        <f>SUM(AS108:AV108)</f>
        <v>0</v>
      </c>
      <c r="AX108" s="57">
        <f>IF(ISNA(SUMIFS(INDEX(Inputs!$B$2:$AZ$190,,MATCH(SUBSTITUTE(AX$3,"Q","T"),Inputs!$B$2:$AZ$2,0)),Inputs!$B$2:$B$190,$B108)*Inputs!$D$1),"",SUMIFS(INDEX(Inputs!$B$2:$AZ$190,,MATCH(SUBSTITUTE(AX$3,"Q","T"),Inputs!$B$2:$AZ$2,0)),Inputs!$B$2:$B$190,$B108)*Inputs!$D$1)</f>
        <v>0</v>
      </c>
      <c r="AY108" s="57">
        <f>IF(ISNA(SUMIFS(INDEX(Inputs!$B$2:$AZ$190,,MATCH(SUBSTITUTE(AY$3,"Q","T"),Inputs!$B$2:$AZ$2,0)),Inputs!$B$2:$B$190,$B108)*Inputs!$D$1),"",SUMIFS(INDEX(Inputs!$B$2:$AZ$190,,MATCH(SUBSTITUTE(AY$3,"Q","T"),Inputs!$B$2:$AZ$2,0)),Inputs!$B$2:$B$190,$B108)*Inputs!$D$1)</f>
        <v>0</v>
      </c>
      <c r="AZ108" s="57">
        <f>IF(ISNA(SUMIFS(INDEX(Inputs!$B$2:$AZ$190,,MATCH(SUBSTITUTE(AZ$3,"Q","T"),Inputs!$B$2:$AZ$2,0)),Inputs!$B$2:$B$190,$B108)*Inputs!$D$1),"",SUMIFS(INDEX(Inputs!$B$2:$AZ$190,,MATCH(SUBSTITUTE(AZ$3,"Q","T"),Inputs!$B$2:$AZ$2,0)),Inputs!$B$2:$B$190,$B108)*Inputs!$D$1)</f>
        <v>0</v>
      </c>
      <c r="BA108" s="57">
        <f>IF(ISNA(SUMIFS(INDEX(Inputs!$B$2:$AZ$190,,MATCH(SUBSTITUTE(BA$3,"Q","T"),Inputs!$B$2:$AZ$2,0)),Inputs!$B$2:$B$190,$B108)*Inputs!$D$1),"",SUMIFS(INDEX(Inputs!$B$2:$AZ$190,,MATCH(SUBSTITUTE(BA$3,"Q","T"),Inputs!$B$2:$AZ$2,0)),Inputs!$B$2:$B$190,$B108)*Inputs!$D$1)</f>
        <v>0</v>
      </c>
      <c r="BB108" s="58">
        <f>SUM(AX108:BA108)</f>
        <v>0</v>
      </c>
      <c r="BC108" s="57">
        <f>IF(ISNA(SUMIFS(INDEX(Inputs!$B$2:$AZ$190,,MATCH(SUBSTITUTE(BC$3,"Q","T"),Inputs!$B$2:$AZ$2,0)),Inputs!$B$2:$B$190,$B108)*Inputs!$D$1),"",SUMIFS(INDEX(Inputs!$B$2:$AZ$190,,MATCH(SUBSTITUTE(BC$3,"Q","T"),Inputs!$B$2:$AZ$2,0)),Inputs!$B$2:$B$190,$B108)*Inputs!$D$1)</f>
        <v>0</v>
      </c>
      <c r="BD108" s="57">
        <f>IF(ISNA(SUMIFS(INDEX(Inputs!$B$2:$AZ$190,,MATCH(SUBSTITUTE(BD$3,"Q","T"),Inputs!$B$2:$AZ$2,0)),Inputs!$B$2:$B$190,$B108)*Inputs!$D$1),"",SUMIFS(INDEX(Inputs!$B$2:$AZ$190,,MATCH(SUBSTITUTE(BD$3,"Q","T"),Inputs!$B$2:$AZ$2,0)),Inputs!$B$2:$B$190,$B108)*Inputs!$D$1)</f>
        <v>0</v>
      </c>
      <c r="BE108" s="57">
        <f>IF(ISNA(SUMIFS(INDEX(Inputs!$B$2:$AZ$190,,MATCH(SUBSTITUTE(BE$3,"Q","T"),Inputs!$B$2:$AZ$2,0)),Inputs!$B$2:$B$190,$B108)*Inputs!$D$1),"",SUMIFS(INDEX(Inputs!$B$2:$AZ$190,,MATCH(SUBSTITUTE(BE$3,"Q","T"),Inputs!$B$2:$AZ$2,0)),Inputs!$B$2:$B$190,$B108)*Inputs!$D$1)</f>
        <v>0</v>
      </c>
      <c r="BF108" s="57">
        <f>IF(ISNA(SUMIFS(INDEX(Inputs!$B$2:$AZ$190,,MATCH(SUBSTITUTE(BF$3,"Q","T"),Inputs!$B$2:$AZ$2,0)),Inputs!$B$2:$B$190,$B108)*Inputs!$D$1),"",SUMIFS(INDEX(Inputs!$B$2:$AZ$190,,MATCH(SUBSTITUTE(BF$3,"Q","T"),Inputs!$B$2:$AZ$2,0)),Inputs!$B$2:$B$190,$B108)*Inputs!$D$1)</f>
        <v>0</v>
      </c>
      <c r="BG108" s="58">
        <f>SUM(BC108:BF108)</f>
        <v>0</v>
      </c>
    </row>
    <row r="109">
      <c r="C109" s="53" t="inlineStr">
        <is>
          <t>LUCRO LÍQUIDO AO ACIONISTA COMUM</t>
        </is>
      </c>
      <c r="D109" s="54" t="inlineStr">
        <is>
          <t>NET INCOME APPLICABLE TO COMMON</t>
        </is>
      </c>
      <c r="E109" s="59">
        <f>IFERROR(E107+N(E108),"")</f>
        <v>0</v>
      </c>
      <c r="F109" s="59">
        <f>IFERROR(F107+N(F108),"")</f>
        <v>0</v>
      </c>
      <c r="G109" s="59">
        <f>IFERROR(G107+N(G108),"")</f>
        <v>0</v>
      </c>
      <c r="H109" s="59">
        <f>IFERROR(H107+N(H108),"")</f>
        <v>0</v>
      </c>
      <c r="I109" s="60">
        <f>SUM(E109:H109)</f>
        <v>0</v>
      </c>
      <c r="J109" s="59">
        <f>IFERROR(J107+N(J108),"")</f>
        <v>0</v>
      </c>
      <c r="K109" s="59">
        <f>IFERROR(K107+N(K108),"")</f>
        <v>0</v>
      </c>
      <c r="L109" s="59">
        <f>IFERROR(L107+N(L108),"")</f>
        <v>0</v>
      </c>
      <c r="M109" s="59">
        <f>IFERROR(M107+N(M108),"")</f>
        <v>0</v>
      </c>
      <c r="N109" s="60">
        <f>SUM(J109:M109)</f>
        <v>0</v>
      </c>
      <c r="O109" s="59">
        <f>IFERROR(O107+N(O108),"")</f>
        <v>0</v>
      </c>
      <c r="P109" s="59">
        <f>IFERROR(P107+N(P108),"")</f>
        <v>0</v>
      </c>
      <c r="Q109" s="59">
        <f>IFERROR(Q107+N(Q108),"")</f>
        <v>0</v>
      </c>
      <c r="R109" s="59">
        <f>IFERROR(R107+N(R108),"")</f>
        <v>0</v>
      </c>
      <c r="S109" s="60">
        <f>SUM(O109:R109)</f>
        <v>0</v>
      </c>
      <c r="T109" s="59">
        <f>IFERROR(T107+N(T108),"")</f>
        <v>0</v>
      </c>
      <c r="U109" s="59">
        <f>IFERROR(U107+N(U108),"")</f>
        <v>0</v>
      </c>
      <c r="V109" s="59">
        <f>IFERROR(V107+N(V108),"")</f>
        <v>0</v>
      </c>
      <c r="W109" s="59">
        <f>IFERROR(W107+N(W108),"")</f>
        <v>0</v>
      </c>
      <c r="X109" s="60">
        <f>SUM(T109:W109)</f>
        <v>0</v>
      </c>
      <c r="Y109" s="59">
        <f>IFERROR(Y107+N(Y108),"")</f>
        <v>0</v>
      </c>
      <c r="Z109" s="59">
        <f>IFERROR(Z107+N(Z108),"")</f>
        <v>0</v>
      </c>
      <c r="AA109" s="59">
        <f>IFERROR(AA107+N(AA108),"")</f>
        <v>0</v>
      </c>
      <c r="AB109" s="59">
        <f>IFERROR(AB107+N(AB108),"")</f>
        <v>0</v>
      </c>
      <c r="AC109" s="60">
        <f>SUM(Y109:AB109)</f>
        <v>0</v>
      </c>
      <c r="AD109" s="59">
        <f>IFERROR(AD107+N(AD108),"")</f>
        <v>0</v>
      </c>
      <c r="AE109" s="59">
        <f>IFERROR(AE107+N(AE108),"")</f>
        <v>0</v>
      </c>
      <c r="AF109" s="59">
        <f>IFERROR(AF107+N(AF108),"")</f>
        <v>0</v>
      </c>
      <c r="AG109" s="59">
        <f>IFERROR(AG107+N(AG108),"")</f>
        <v>0</v>
      </c>
      <c r="AH109" s="60">
        <f>SUM(AD109:AG109)</f>
        <v>0</v>
      </c>
      <c r="AI109" s="59">
        <f>IFERROR(AI107+N(AI108),"")</f>
        <v>0</v>
      </c>
      <c r="AJ109" s="59">
        <f>IFERROR(AJ107+N(AJ108),"")</f>
        <v>0</v>
      </c>
      <c r="AK109" s="59">
        <f>IFERROR(AK107+N(AK108),"")</f>
        <v>0</v>
      </c>
      <c r="AL109" s="59">
        <f>IFERROR(AL107+N(AL108),"")</f>
        <v>0</v>
      </c>
      <c r="AM109" s="60">
        <f>SUM(AI109:AL109)</f>
        <v>0</v>
      </c>
      <c r="AN109" s="59">
        <f>IFERROR(AN107+N(AN108),"")</f>
        <v>0</v>
      </c>
      <c r="AO109" s="59">
        <f>IFERROR(AO107+N(AO108),"")</f>
        <v>0</v>
      </c>
      <c r="AP109" s="59">
        <f>IFERROR(AP107+N(AP108),"")</f>
        <v>0</v>
      </c>
      <c r="AQ109" s="59">
        <f>IFERROR(AQ107+N(AQ108),"")</f>
        <v>0</v>
      </c>
      <c r="AR109" s="60">
        <f>SUM(AN109:AQ109)</f>
        <v>0</v>
      </c>
      <c r="AS109" s="59">
        <f>IFERROR(AS107+N(AS108),"")</f>
        <v>0</v>
      </c>
      <c r="AT109" s="59">
        <f>IFERROR(AT107+N(AT108),"")</f>
        <v>0</v>
      </c>
      <c r="AU109" s="59">
        <f>IFERROR(AU107+N(AU108),"")</f>
        <v>0</v>
      </c>
      <c r="AV109" s="59">
        <f>IFERROR(AV107+N(AV108),"")</f>
        <v>0</v>
      </c>
      <c r="AW109" s="60">
        <f>SUM(AS109:AV109)</f>
        <v>0</v>
      </c>
      <c r="AX109" s="59">
        <f>IFERROR(AX107+N(AX108),"")</f>
        <v>0</v>
      </c>
      <c r="AY109" s="59">
        <f>IFERROR(AY107+N(AY108),"")</f>
        <v>0</v>
      </c>
      <c r="AZ109" s="59">
        <f>IFERROR(AZ107+N(AZ108),"")</f>
        <v>0</v>
      </c>
      <c r="BA109" s="59">
        <f>IFERROR(BA107+N(BA108),"")</f>
        <v>0</v>
      </c>
      <c r="BB109" s="60">
        <f>SUM(AX109:BA109)</f>
        <v>0</v>
      </c>
      <c r="BC109" s="59">
        <f>IFERROR(BC107+N(BC108),"")</f>
        <v>0</v>
      </c>
      <c r="BD109" s="59">
        <f>IFERROR(BD107+N(BD108),"")</f>
        <v>0</v>
      </c>
      <c r="BE109" s="59">
        <f>IFERROR(BE107+N(BE108),"")</f>
        <v>0</v>
      </c>
      <c r="BF109" s="59">
        <f>IFERROR(BF107+N(BF108),"")</f>
        <v>0</v>
      </c>
      <c r="BG109" s="60">
        <f>SUM(BC109:BF109)</f>
        <v>0</v>
      </c>
    </row>
    <row r="111">
      <c r="B111" s="7" t="n"/>
      <c r="C111" s="7" t="inlineStr">
        <is>
          <t>DADOS COMPLEMENTARES</t>
        </is>
      </c>
      <c r="D111" s="7" t="inlineStr">
        <is>
          <t>SUPPLEMENTARY DATA</t>
        </is>
      </c>
      <c r="E111" s="7" t="n"/>
      <c r="F111" s="7" t="n"/>
      <c r="G111" s="7" t="n"/>
      <c r="H111" s="7" t="n"/>
      <c r="I111" s="7" t="n"/>
      <c r="J111" s="7" t="n"/>
      <c r="K111" s="7" t="n"/>
      <c r="L111" s="7" t="n"/>
      <c r="M111" s="7" t="n"/>
      <c r="N111" s="7" t="n"/>
      <c r="O111" s="7" t="n"/>
      <c r="P111" s="7" t="n"/>
      <c r="Q111" s="7" t="n"/>
      <c r="R111" s="7" t="n"/>
      <c r="S111" s="7" t="n"/>
      <c r="T111" s="7" t="n"/>
      <c r="U111" s="7" t="n"/>
      <c r="V111" s="7" t="n"/>
      <c r="W111" s="7" t="n"/>
      <c r="X111" s="7" t="n"/>
      <c r="Y111" s="7" t="n"/>
      <c r="Z111" s="7" t="n"/>
      <c r="AA111" s="7" t="n"/>
      <c r="AB111" s="7" t="n"/>
      <c r="AC111" s="7" t="n"/>
      <c r="AD111" s="7" t="n"/>
      <c r="AE111" s="7" t="n"/>
      <c r="AF111" s="7" t="n"/>
      <c r="AG111" s="7" t="n"/>
      <c r="AH111" s="7" t="n"/>
      <c r="AI111" s="7" t="n"/>
      <c r="AJ111" s="7" t="n"/>
      <c r="AK111" s="7" t="n"/>
      <c r="AL111" s="7" t="n"/>
      <c r="AM111" s="7" t="n"/>
      <c r="AN111" s="7" t="n"/>
      <c r="AO111" s="7" t="n"/>
      <c r="AP111" s="7" t="n"/>
      <c r="AQ111" s="7" t="n"/>
      <c r="AR111" s="7" t="n"/>
      <c r="AS111" s="7" t="n"/>
      <c r="AT111" s="7" t="n"/>
      <c r="AU111" s="7" t="n"/>
      <c r="AV111" s="7" t="n"/>
      <c r="AW111" s="7" t="n"/>
      <c r="AX111" s="7" t="n"/>
      <c r="AY111" s="7" t="n"/>
      <c r="AZ111" s="7" t="n"/>
      <c r="BA111" s="7" t="n"/>
      <c r="BB111" s="7" t="n"/>
      <c r="BC111" s="7" t="n"/>
      <c r="BD111" s="7" t="n"/>
      <c r="BE111" s="7" t="n"/>
      <c r="BF111" s="7" t="n"/>
      <c r="BG111" s="7" t="n"/>
      <c r="BH111" s="7" t="n"/>
      <c r="BI111" s="7" t="n"/>
    </row>
    <row r="113">
      <c r="B113" s="29" t="n"/>
      <c r="C113" s="29" t="inlineStr">
        <is>
          <t>Empréstimos e qualidade de crédito (CECL)</t>
        </is>
      </c>
      <c r="D113" s="29" t="inlineStr">
        <is>
          <t>Loans and credit quality (CECL)</t>
        </is>
      </c>
      <c r="E113" s="29" t="n"/>
      <c r="F113" s="29" t="n"/>
      <c r="G113" s="29" t="n"/>
      <c r="H113" s="29" t="n"/>
      <c r="I113" s="29" t="n"/>
      <c r="J113" s="29" t="n"/>
      <c r="K113" s="29" t="n"/>
      <c r="L113" s="29" t="n"/>
      <c r="M113" s="29" t="n"/>
      <c r="N113" s="29" t="n"/>
      <c r="O113" s="29" t="n"/>
      <c r="P113" s="29" t="n"/>
      <c r="Q113" s="29" t="n"/>
      <c r="R113" s="29" t="n"/>
      <c r="S113" s="29" t="n"/>
      <c r="T113" s="29" t="n"/>
      <c r="U113" s="29" t="n"/>
      <c r="V113" s="29" t="n"/>
      <c r="W113" s="29" t="n"/>
      <c r="X113" s="29" t="n"/>
      <c r="Y113" s="29" t="n"/>
      <c r="Z113" s="29" t="n"/>
      <c r="AA113" s="29" t="n"/>
      <c r="AB113" s="29" t="n"/>
      <c r="AC113" s="29" t="n"/>
      <c r="AD113" s="29" t="n"/>
      <c r="AE113" s="29" t="n"/>
      <c r="AF113" s="29" t="n"/>
      <c r="AG113" s="29" t="n"/>
      <c r="AH113" s="29" t="n"/>
      <c r="AI113" s="29" t="n"/>
      <c r="AJ113" s="29" t="n"/>
      <c r="AK113" s="29" t="n"/>
      <c r="AL113" s="29" t="n"/>
      <c r="AM113" s="29" t="n"/>
      <c r="AN113" s="29" t="n"/>
      <c r="AO113" s="29" t="n"/>
      <c r="AP113" s="29" t="n"/>
      <c r="AQ113" s="29" t="n"/>
      <c r="AR113" s="29" t="n"/>
      <c r="AS113" s="29" t="n"/>
      <c r="AT113" s="29" t="n"/>
      <c r="AU113" s="29" t="n"/>
      <c r="AV113" s="29" t="n"/>
      <c r="AW113" s="29" t="n"/>
      <c r="AX113" s="29" t="n"/>
      <c r="AY113" s="29" t="n"/>
      <c r="AZ113" s="29" t="n"/>
      <c r="BA113" s="29" t="n"/>
      <c r="BB113" s="29" t="n"/>
      <c r="BC113" s="29" t="n"/>
      <c r="BD113" s="29" t="n"/>
      <c r="BE113" s="29" t="n"/>
      <c r="BF113" s="29" t="n"/>
      <c r="BG113" s="29" t="n"/>
      <c r="BH113" s="29" t="n"/>
      <c r="BI113" s="29" t="n"/>
    </row>
    <row r="114">
      <c r="B114" s="56" t="inlineStr">
        <is>
          <t>loans_tot</t>
        </is>
      </c>
      <c r="C114" s="11" t="inlineStr">
        <is>
          <t>Empréstimos totais</t>
        </is>
      </c>
      <c r="D114" s="12" t="inlineStr">
        <is>
          <t>Total loans</t>
        </is>
      </c>
      <c r="E114" s="57">
        <f>IF(ISNA(SUMIFS(INDEX(Inputs!$B$2:$AZ$190,,MATCH(SUBSTITUTE(E$3,"Q","T"),Inputs!$B$2:$AZ$2,0)),Inputs!$B$2:$B$190,$B114)*Inputs!$D$1),"",SUMIFS(INDEX(Inputs!$B$2:$AZ$190,,MATCH(SUBSTITUTE(E$3,"Q","T"),Inputs!$B$2:$AZ$2,0)),Inputs!$B$2:$B$190,$B114)*Inputs!$D$1)</f>
        <v>0</v>
      </c>
      <c r="F114" s="57">
        <f>IF(ISNA(SUMIFS(INDEX(Inputs!$B$2:$AZ$190,,MATCH(SUBSTITUTE(F$3,"Q","T"),Inputs!$B$2:$AZ$2,0)),Inputs!$B$2:$B$190,$B114)*Inputs!$D$1),"",SUMIFS(INDEX(Inputs!$B$2:$AZ$190,,MATCH(SUBSTITUTE(F$3,"Q","T"),Inputs!$B$2:$AZ$2,0)),Inputs!$B$2:$B$190,$B114)*Inputs!$D$1)</f>
        <v>0</v>
      </c>
      <c r="G114" s="57">
        <f>IF(ISNA(SUMIFS(INDEX(Inputs!$B$2:$AZ$190,,MATCH(SUBSTITUTE(G$3,"Q","T"),Inputs!$B$2:$AZ$2,0)),Inputs!$B$2:$B$190,$B114)*Inputs!$D$1),"",SUMIFS(INDEX(Inputs!$B$2:$AZ$190,,MATCH(SUBSTITUTE(G$3,"Q","T"),Inputs!$B$2:$AZ$2,0)),Inputs!$B$2:$B$190,$B114)*Inputs!$D$1)</f>
        <v>0</v>
      </c>
      <c r="H114" s="57">
        <f>IF(ISNA(SUMIFS(INDEX(Inputs!$B$2:$AZ$190,,MATCH(SUBSTITUTE(H$3,"Q","T"),Inputs!$B$2:$AZ$2,0)),Inputs!$B$2:$B$190,$B114)*Inputs!$D$1),"",SUMIFS(INDEX(Inputs!$B$2:$AZ$190,,MATCH(SUBSTITUTE(H$3,"Q","T"),Inputs!$B$2:$AZ$2,0)),Inputs!$B$2:$B$190,$B114)*Inputs!$D$1)</f>
        <v>0</v>
      </c>
      <c r="I114" s="58">
        <f>H114</f>
        <v>0</v>
      </c>
      <c r="J114" s="57">
        <f>IF(ISNA(SUMIFS(INDEX(Inputs!$B$2:$AZ$190,,MATCH(SUBSTITUTE(J$3,"Q","T"),Inputs!$B$2:$AZ$2,0)),Inputs!$B$2:$B$190,$B114)*Inputs!$D$1),"",SUMIFS(INDEX(Inputs!$B$2:$AZ$190,,MATCH(SUBSTITUTE(J$3,"Q","T"),Inputs!$B$2:$AZ$2,0)),Inputs!$B$2:$B$190,$B114)*Inputs!$D$1)</f>
        <v>0</v>
      </c>
      <c r="K114" s="57">
        <f>IF(ISNA(SUMIFS(INDEX(Inputs!$B$2:$AZ$190,,MATCH(SUBSTITUTE(K$3,"Q","T"),Inputs!$B$2:$AZ$2,0)),Inputs!$B$2:$B$190,$B114)*Inputs!$D$1),"",SUMIFS(INDEX(Inputs!$B$2:$AZ$190,,MATCH(SUBSTITUTE(K$3,"Q","T"),Inputs!$B$2:$AZ$2,0)),Inputs!$B$2:$B$190,$B114)*Inputs!$D$1)</f>
        <v>0</v>
      </c>
      <c r="L114" s="57">
        <f>IF(ISNA(SUMIFS(INDEX(Inputs!$B$2:$AZ$190,,MATCH(SUBSTITUTE(L$3,"Q","T"),Inputs!$B$2:$AZ$2,0)),Inputs!$B$2:$B$190,$B114)*Inputs!$D$1),"",SUMIFS(INDEX(Inputs!$B$2:$AZ$190,,MATCH(SUBSTITUTE(L$3,"Q","T"),Inputs!$B$2:$AZ$2,0)),Inputs!$B$2:$B$190,$B114)*Inputs!$D$1)</f>
        <v>0</v>
      </c>
      <c r="M114" s="57">
        <f>IF(ISNA(SUMIFS(INDEX(Inputs!$B$2:$AZ$190,,MATCH(SUBSTITUTE(M$3,"Q","T"),Inputs!$B$2:$AZ$2,0)),Inputs!$B$2:$B$190,$B114)*Inputs!$D$1),"",SUMIFS(INDEX(Inputs!$B$2:$AZ$190,,MATCH(SUBSTITUTE(M$3,"Q","T"),Inputs!$B$2:$AZ$2,0)),Inputs!$B$2:$B$190,$B114)*Inputs!$D$1)</f>
        <v>0</v>
      </c>
      <c r="N114" s="58">
        <f>M114</f>
        <v>0</v>
      </c>
      <c r="O114" s="57">
        <f>IF(ISNA(SUMIFS(INDEX(Inputs!$B$2:$AZ$190,,MATCH(SUBSTITUTE(O$3,"Q","T"),Inputs!$B$2:$AZ$2,0)),Inputs!$B$2:$B$190,$B114)*Inputs!$D$1),"",SUMIFS(INDEX(Inputs!$B$2:$AZ$190,,MATCH(SUBSTITUTE(O$3,"Q","T"),Inputs!$B$2:$AZ$2,0)),Inputs!$B$2:$B$190,$B114)*Inputs!$D$1)</f>
        <v>0</v>
      </c>
      <c r="P114" s="57">
        <f>IF(ISNA(SUMIFS(INDEX(Inputs!$B$2:$AZ$190,,MATCH(SUBSTITUTE(P$3,"Q","T"),Inputs!$B$2:$AZ$2,0)),Inputs!$B$2:$B$190,$B114)*Inputs!$D$1),"",SUMIFS(INDEX(Inputs!$B$2:$AZ$190,,MATCH(SUBSTITUTE(P$3,"Q","T"),Inputs!$B$2:$AZ$2,0)),Inputs!$B$2:$B$190,$B114)*Inputs!$D$1)</f>
        <v>0</v>
      </c>
      <c r="Q114" s="57">
        <f>IF(ISNA(SUMIFS(INDEX(Inputs!$B$2:$AZ$190,,MATCH(SUBSTITUTE(Q$3,"Q","T"),Inputs!$B$2:$AZ$2,0)),Inputs!$B$2:$B$190,$B114)*Inputs!$D$1),"",SUMIFS(INDEX(Inputs!$B$2:$AZ$190,,MATCH(SUBSTITUTE(Q$3,"Q","T"),Inputs!$B$2:$AZ$2,0)),Inputs!$B$2:$B$190,$B114)*Inputs!$D$1)</f>
        <v>0</v>
      </c>
      <c r="R114" s="57">
        <f>IF(ISNA(SUMIFS(INDEX(Inputs!$B$2:$AZ$190,,MATCH(SUBSTITUTE(R$3,"Q","T"),Inputs!$B$2:$AZ$2,0)),Inputs!$B$2:$B$190,$B114)*Inputs!$D$1),"",SUMIFS(INDEX(Inputs!$B$2:$AZ$190,,MATCH(SUBSTITUTE(R$3,"Q","T"),Inputs!$B$2:$AZ$2,0)),Inputs!$B$2:$B$190,$B114)*Inputs!$D$1)</f>
        <v>0</v>
      </c>
      <c r="S114" s="58">
        <f>R114</f>
        <v>0</v>
      </c>
      <c r="T114" s="57">
        <f>IF(ISNA(SUMIFS(INDEX(Inputs!$B$2:$AZ$190,,MATCH(SUBSTITUTE(T$3,"Q","T"),Inputs!$B$2:$AZ$2,0)),Inputs!$B$2:$B$190,$B114)*Inputs!$D$1),"",SUMIFS(INDEX(Inputs!$B$2:$AZ$190,,MATCH(SUBSTITUTE(T$3,"Q","T"),Inputs!$B$2:$AZ$2,0)),Inputs!$B$2:$B$190,$B114)*Inputs!$D$1)</f>
        <v>0</v>
      </c>
      <c r="U114" s="57">
        <f>IF(ISNA(SUMIFS(INDEX(Inputs!$B$2:$AZ$190,,MATCH(SUBSTITUTE(U$3,"Q","T"),Inputs!$B$2:$AZ$2,0)),Inputs!$B$2:$B$190,$B114)*Inputs!$D$1),"",SUMIFS(INDEX(Inputs!$B$2:$AZ$190,,MATCH(SUBSTITUTE(U$3,"Q","T"),Inputs!$B$2:$AZ$2,0)),Inputs!$B$2:$B$190,$B114)*Inputs!$D$1)</f>
        <v>0</v>
      </c>
      <c r="V114" s="57">
        <f>IF(ISNA(SUMIFS(INDEX(Inputs!$B$2:$AZ$190,,MATCH(SUBSTITUTE(V$3,"Q","T"),Inputs!$B$2:$AZ$2,0)),Inputs!$B$2:$B$190,$B114)*Inputs!$D$1),"",SUMIFS(INDEX(Inputs!$B$2:$AZ$190,,MATCH(SUBSTITUTE(V$3,"Q","T"),Inputs!$B$2:$AZ$2,0)),Inputs!$B$2:$B$190,$B114)*Inputs!$D$1)</f>
        <v>0</v>
      </c>
      <c r="W114" s="57">
        <f>IF(ISNA(SUMIFS(INDEX(Inputs!$B$2:$AZ$190,,MATCH(SUBSTITUTE(W$3,"Q","T"),Inputs!$B$2:$AZ$2,0)),Inputs!$B$2:$B$190,$B114)*Inputs!$D$1),"",SUMIFS(INDEX(Inputs!$B$2:$AZ$190,,MATCH(SUBSTITUTE(W$3,"Q","T"),Inputs!$B$2:$AZ$2,0)),Inputs!$B$2:$B$190,$B114)*Inputs!$D$1)</f>
        <v>0</v>
      </c>
      <c r="X114" s="58">
        <f>W114</f>
        <v>0</v>
      </c>
      <c r="Y114" s="57">
        <f>IF(ISNA(SUMIFS(INDEX(Inputs!$B$2:$AZ$190,,MATCH(SUBSTITUTE(Y$3,"Q","T"),Inputs!$B$2:$AZ$2,0)),Inputs!$B$2:$B$190,$B114)*Inputs!$D$1),"",SUMIFS(INDEX(Inputs!$B$2:$AZ$190,,MATCH(SUBSTITUTE(Y$3,"Q","T"),Inputs!$B$2:$AZ$2,0)),Inputs!$B$2:$B$190,$B114)*Inputs!$D$1)</f>
        <v>0</v>
      </c>
      <c r="Z114" s="57">
        <f>IF(ISNA(SUMIFS(INDEX(Inputs!$B$2:$AZ$190,,MATCH(SUBSTITUTE(Z$3,"Q","T"),Inputs!$B$2:$AZ$2,0)),Inputs!$B$2:$B$190,$B114)*Inputs!$D$1),"",SUMIFS(INDEX(Inputs!$B$2:$AZ$190,,MATCH(SUBSTITUTE(Z$3,"Q","T"),Inputs!$B$2:$AZ$2,0)),Inputs!$B$2:$B$190,$B114)*Inputs!$D$1)</f>
        <v>0</v>
      </c>
      <c r="AA114" s="57">
        <f>IF(ISNA(SUMIFS(INDEX(Inputs!$B$2:$AZ$190,,MATCH(SUBSTITUTE(AA$3,"Q","T"),Inputs!$B$2:$AZ$2,0)),Inputs!$B$2:$B$190,$B114)*Inputs!$D$1),"",SUMIFS(INDEX(Inputs!$B$2:$AZ$190,,MATCH(SUBSTITUTE(AA$3,"Q","T"),Inputs!$B$2:$AZ$2,0)),Inputs!$B$2:$B$190,$B114)*Inputs!$D$1)</f>
        <v>0</v>
      </c>
      <c r="AB114" s="57">
        <f>IF(ISNA(SUMIFS(INDEX(Inputs!$B$2:$AZ$190,,MATCH(SUBSTITUTE(AB$3,"Q","T"),Inputs!$B$2:$AZ$2,0)),Inputs!$B$2:$B$190,$B114)*Inputs!$D$1),"",SUMIFS(INDEX(Inputs!$B$2:$AZ$190,,MATCH(SUBSTITUTE(AB$3,"Q","T"),Inputs!$B$2:$AZ$2,0)),Inputs!$B$2:$B$190,$B114)*Inputs!$D$1)</f>
        <v>0</v>
      </c>
      <c r="AC114" s="58">
        <f>AB114</f>
        <v>0</v>
      </c>
      <c r="AD114" s="57">
        <f>IF(ISNA(SUMIFS(INDEX(Inputs!$B$2:$AZ$190,,MATCH(SUBSTITUTE(AD$3,"Q","T"),Inputs!$B$2:$AZ$2,0)),Inputs!$B$2:$B$190,$B114)*Inputs!$D$1),"",SUMIFS(INDEX(Inputs!$B$2:$AZ$190,,MATCH(SUBSTITUTE(AD$3,"Q","T"),Inputs!$B$2:$AZ$2,0)),Inputs!$B$2:$B$190,$B114)*Inputs!$D$1)</f>
        <v>0</v>
      </c>
      <c r="AE114" s="57">
        <f>IF(ISNA(SUMIFS(INDEX(Inputs!$B$2:$AZ$190,,MATCH(SUBSTITUTE(AE$3,"Q","T"),Inputs!$B$2:$AZ$2,0)),Inputs!$B$2:$B$190,$B114)*Inputs!$D$1),"",SUMIFS(INDEX(Inputs!$B$2:$AZ$190,,MATCH(SUBSTITUTE(AE$3,"Q","T"),Inputs!$B$2:$AZ$2,0)),Inputs!$B$2:$B$190,$B114)*Inputs!$D$1)</f>
        <v>0</v>
      </c>
      <c r="AF114" s="57">
        <f>IF(ISNA(SUMIFS(INDEX(Inputs!$B$2:$AZ$190,,MATCH(SUBSTITUTE(AF$3,"Q","T"),Inputs!$B$2:$AZ$2,0)),Inputs!$B$2:$B$190,$B114)*Inputs!$D$1),"",SUMIFS(INDEX(Inputs!$B$2:$AZ$190,,MATCH(SUBSTITUTE(AF$3,"Q","T"),Inputs!$B$2:$AZ$2,0)),Inputs!$B$2:$B$190,$B114)*Inputs!$D$1)</f>
        <v>0</v>
      </c>
      <c r="AG114" s="57">
        <f>IF(ISNA(SUMIFS(INDEX(Inputs!$B$2:$AZ$190,,MATCH(SUBSTITUTE(AG$3,"Q","T"),Inputs!$B$2:$AZ$2,0)),Inputs!$B$2:$B$190,$B114)*Inputs!$D$1),"",SUMIFS(INDEX(Inputs!$B$2:$AZ$190,,MATCH(SUBSTITUTE(AG$3,"Q","T"),Inputs!$B$2:$AZ$2,0)),Inputs!$B$2:$B$190,$B114)*Inputs!$D$1)</f>
        <v>0</v>
      </c>
      <c r="AH114" s="58">
        <f>AG114</f>
        <v>0</v>
      </c>
      <c r="AI114" s="57">
        <f>IF(ISNA(SUMIFS(INDEX(Inputs!$B$2:$AZ$190,,MATCH(SUBSTITUTE(AI$3,"Q","T"),Inputs!$B$2:$AZ$2,0)),Inputs!$B$2:$B$190,$B114)*Inputs!$D$1),"",SUMIFS(INDEX(Inputs!$B$2:$AZ$190,,MATCH(SUBSTITUTE(AI$3,"Q","T"),Inputs!$B$2:$AZ$2,0)),Inputs!$B$2:$B$190,$B114)*Inputs!$D$1)</f>
        <v>0</v>
      </c>
      <c r="AJ114" s="57">
        <f>IF(ISNA(SUMIFS(INDEX(Inputs!$B$2:$AZ$190,,MATCH(SUBSTITUTE(AJ$3,"Q","T"),Inputs!$B$2:$AZ$2,0)),Inputs!$B$2:$B$190,$B114)*Inputs!$D$1),"",SUMIFS(INDEX(Inputs!$B$2:$AZ$190,,MATCH(SUBSTITUTE(AJ$3,"Q","T"),Inputs!$B$2:$AZ$2,0)),Inputs!$B$2:$B$190,$B114)*Inputs!$D$1)</f>
        <v>0</v>
      </c>
      <c r="AK114" s="57">
        <f>IF(ISNA(SUMIFS(INDEX(Inputs!$B$2:$AZ$190,,MATCH(SUBSTITUTE(AK$3,"Q","T"),Inputs!$B$2:$AZ$2,0)),Inputs!$B$2:$B$190,$B114)*Inputs!$D$1),"",SUMIFS(INDEX(Inputs!$B$2:$AZ$190,,MATCH(SUBSTITUTE(AK$3,"Q","T"),Inputs!$B$2:$AZ$2,0)),Inputs!$B$2:$B$190,$B114)*Inputs!$D$1)</f>
        <v>0</v>
      </c>
      <c r="AL114" s="57">
        <f>IF(ISNA(SUMIFS(INDEX(Inputs!$B$2:$AZ$190,,MATCH(SUBSTITUTE(AL$3,"Q","T"),Inputs!$B$2:$AZ$2,0)),Inputs!$B$2:$B$190,$B114)*Inputs!$D$1),"",SUMIFS(INDEX(Inputs!$B$2:$AZ$190,,MATCH(SUBSTITUTE(AL$3,"Q","T"),Inputs!$B$2:$AZ$2,0)),Inputs!$B$2:$B$190,$B114)*Inputs!$D$1)</f>
        <v>0</v>
      </c>
      <c r="AM114" s="58">
        <f>AL114</f>
        <v>0</v>
      </c>
      <c r="AN114" s="57">
        <f>IF(ISNA(SUMIFS(INDEX(Inputs!$B$2:$AZ$190,,MATCH(SUBSTITUTE(AN$3,"Q","T"),Inputs!$B$2:$AZ$2,0)),Inputs!$B$2:$B$190,$B114)*Inputs!$D$1),"",SUMIFS(INDEX(Inputs!$B$2:$AZ$190,,MATCH(SUBSTITUTE(AN$3,"Q","T"),Inputs!$B$2:$AZ$2,0)),Inputs!$B$2:$B$190,$B114)*Inputs!$D$1)</f>
        <v>0</v>
      </c>
      <c r="AO114" s="57">
        <f>IF(ISNA(SUMIFS(INDEX(Inputs!$B$2:$AZ$190,,MATCH(SUBSTITUTE(AO$3,"Q","T"),Inputs!$B$2:$AZ$2,0)),Inputs!$B$2:$B$190,$B114)*Inputs!$D$1),"",SUMIFS(INDEX(Inputs!$B$2:$AZ$190,,MATCH(SUBSTITUTE(AO$3,"Q","T"),Inputs!$B$2:$AZ$2,0)),Inputs!$B$2:$B$190,$B114)*Inputs!$D$1)</f>
        <v>0</v>
      </c>
      <c r="AP114" s="57">
        <f>IF(ISNA(SUMIFS(INDEX(Inputs!$B$2:$AZ$190,,MATCH(SUBSTITUTE(AP$3,"Q","T"),Inputs!$B$2:$AZ$2,0)),Inputs!$B$2:$B$190,$B114)*Inputs!$D$1),"",SUMIFS(INDEX(Inputs!$B$2:$AZ$190,,MATCH(SUBSTITUTE(AP$3,"Q","T"),Inputs!$B$2:$AZ$2,0)),Inputs!$B$2:$B$190,$B114)*Inputs!$D$1)</f>
        <v>0</v>
      </c>
      <c r="AQ114" s="57">
        <f>IF(ISNA(SUMIFS(INDEX(Inputs!$B$2:$AZ$190,,MATCH(SUBSTITUTE(AQ$3,"Q","T"),Inputs!$B$2:$AZ$2,0)),Inputs!$B$2:$B$190,$B114)*Inputs!$D$1),"",SUMIFS(INDEX(Inputs!$B$2:$AZ$190,,MATCH(SUBSTITUTE(AQ$3,"Q","T"),Inputs!$B$2:$AZ$2,0)),Inputs!$B$2:$B$190,$B114)*Inputs!$D$1)</f>
        <v>0</v>
      </c>
      <c r="AR114" s="58">
        <f>AQ114</f>
        <v>0</v>
      </c>
      <c r="AS114" s="57">
        <f>IF(ISNA(SUMIFS(INDEX(Inputs!$B$2:$AZ$190,,MATCH(SUBSTITUTE(AS$3,"Q","T"),Inputs!$B$2:$AZ$2,0)),Inputs!$B$2:$B$190,$B114)*Inputs!$D$1),"",SUMIFS(INDEX(Inputs!$B$2:$AZ$190,,MATCH(SUBSTITUTE(AS$3,"Q","T"),Inputs!$B$2:$AZ$2,0)),Inputs!$B$2:$B$190,$B114)*Inputs!$D$1)</f>
        <v>0</v>
      </c>
      <c r="AT114" s="57">
        <f>IF(ISNA(SUMIFS(INDEX(Inputs!$B$2:$AZ$190,,MATCH(SUBSTITUTE(AT$3,"Q","T"),Inputs!$B$2:$AZ$2,0)),Inputs!$B$2:$B$190,$B114)*Inputs!$D$1),"",SUMIFS(INDEX(Inputs!$B$2:$AZ$190,,MATCH(SUBSTITUTE(AT$3,"Q","T"),Inputs!$B$2:$AZ$2,0)),Inputs!$B$2:$B$190,$B114)*Inputs!$D$1)</f>
        <v>0</v>
      </c>
      <c r="AU114" s="57">
        <f>IF(ISNA(SUMIFS(INDEX(Inputs!$B$2:$AZ$190,,MATCH(SUBSTITUTE(AU$3,"Q","T"),Inputs!$B$2:$AZ$2,0)),Inputs!$B$2:$B$190,$B114)*Inputs!$D$1),"",SUMIFS(INDEX(Inputs!$B$2:$AZ$190,,MATCH(SUBSTITUTE(AU$3,"Q","T"),Inputs!$B$2:$AZ$2,0)),Inputs!$B$2:$B$190,$B114)*Inputs!$D$1)</f>
        <v>0</v>
      </c>
      <c r="AV114" s="57">
        <f>IF(ISNA(SUMIFS(INDEX(Inputs!$B$2:$AZ$190,,MATCH(SUBSTITUTE(AV$3,"Q","T"),Inputs!$B$2:$AZ$2,0)),Inputs!$B$2:$B$190,$B114)*Inputs!$D$1),"",SUMIFS(INDEX(Inputs!$B$2:$AZ$190,,MATCH(SUBSTITUTE(AV$3,"Q","T"),Inputs!$B$2:$AZ$2,0)),Inputs!$B$2:$B$190,$B114)*Inputs!$D$1)</f>
        <v>0</v>
      </c>
      <c r="AW114" s="58">
        <f>AV114</f>
        <v>0</v>
      </c>
      <c r="AX114" s="57">
        <f>IF(ISNA(SUMIFS(INDEX(Inputs!$B$2:$AZ$190,,MATCH(SUBSTITUTE(AX$3,"Q","T"),Inputs!$B$2:$AZ$2,0)),Inputs!$B$2:$B$190,$B114)*Inputs!$D$1),"",SUMIFS(INDEX(Inputs!$B$2:$AZ$190,,MATCH(SUBSTITUTE(AX$3,"Q","T"),Inputs!$B$2:$AZ$2,0)),Inputs!$B$2:$B$190,$B114)*Inputs!$D$1)</f>
        <v>0</v>
      </c>
      <c r="AY114" s="57">
        <f>IF(ISNA(SUMIFS(INDEX(Inputs!$B$2:$AZ$190,,MATCH(SUBSTITUTE(AY$3,"Q","T"),Inputs!$B$2:$AZ$2,0)),Inputs!$B$2:$B$190,$B114)*Inputs!$D$1),"",SUMIFS(INDEX(Inputs!$B$2:$AZ$190,,MATCH(SUBSTITUTE(AY$3,"Q","T"),Inputs!$B$2:$AZ$2,0)),Inputs!$B$2:$B$190,$B114)*Inputs!$D$1)</f>
        <v>0</v>
      </c>
      <c r="AZ114" s="57">
        <f>IF(ISNA(SUMIFS(INDEX(Inputs!$B$2:$AZ$190,,MATCH(SUBSTITUTE(AZ$3,"Q","T"),Inputs!$B$2:$AZ$2,0)),Inputs!$B$2:$B$190,$B114)*Inputs!$D$1),"",SUMIFS(INDEX(Inputs!$B$2:$AZ$190,,MATCH(SUBSTITUTE(AZ$3,"Q","T"),Inputs!$B$2:$AZ$2,0)),Inputs!$B$2:$B$190,$B114)*Inputs!$D$1)</f>
        <v>0</v>
      </c>
      <c r="BA114" s="57">
        <f>IF(ISNA(SUMIFS(INDEX(Inputs!$B$2:$AZ$190,,MATCH(SUBSTITUTE(BA$3,"Q","T"),Inputs!$B$2:$AZ$2,0)),Inputs!$B$2:$B$190,$B114)*Inputs!$D$1),"",SUMIFS(INDEX(Inputs!$B$2:$AZ$190,,MATCH(SUBSTITUTE(BA$3,"Q","T"),Inputs!$B$2:$AZ$2,0)),Inputs!$B$2:$B$190,$B114)*Inputs!$D$1)</f>
        <v>0</v>
      </c>
      <c r="BB114" s="58">
        <f>BA114</f>
        <v>0</v>
      </c>
      <c r="BC114" s="57">
        <f>IF(ISNA(SUMIFS(INDEX(Inputs!$B$2:$AZ$190,,MATCH(SUBSTITUTE(BC$3,"Q","T"),Inputs!$B$2:$AZ$2,0)),Inputs!$B$2:$B$190,$B114)*Inputs!$D$1),"",SUMIFS(INDEX(Inputs!$B$2:$AZ$190,,MATCH(SUBSTITUTE(BC$3,"Q","T"),Inputs!$B$2:$AZ$2,0)),Inputs!$B$2:$B$190,$B114)*Inputs!$D$1)</f>
        <v>0</v>
      </c>
      <c r="BD114" s="57">
        <f>IF(ISNA(SUMIFS(INDEX(Inputs!$B$2:$AZ$190,,MATCH(SUBSTITUTE(BD$3,"Q","T"),Inputs!$B$2:$AZ$2,0)),Inputs!$B$2:$B$190,$B114)*Inputs!$D$1),"",SUMIFS(INDEX(Inputs!$B$2:$AZ$190,,MATCH(SUBSTITUTE(BD$3,"Q","T"),Inputs!$B$2:$AZ$2,0)),Inputs!$B$2:$B$190,$B114)*Inputs!$D$1)</f>
        <v>0</v>
      </c>
      <c r="BE114" s="57">
        <f>IF(ISNA(SUMIFS(INDEX(Inputs!$B$2:$AZ$190,,MATCH(SUBSTITUTE(BE$3,"Q","T"),Inputs!$B$2:$AZ$2,0)),Inputs!$B$2:$B$190,$B114)*Inputs!$D$1),"",SUMIFS(INDEX(Inputs!$B$2:$AZ$190,,MATCH(SUBSTITUTE(BE$3,"Q","T"),Inputs!$B$2:$AZ$2,0)),Inputs!$B$2:$B$190,$B114)*Inputs!$D$1)</f>
        <v>0</v>
      </c>
      <c r="BF114" s="57">
        <f>IF(ISNA(SUMIFS(INDEX(Inputs!$B$2:$AZ$190,,MATCH(SUBSTITUTE(BF$3,"Q","T"),Inputs!$B$2:$AZ$2,0)),Inputs!$B$2:$B$190,$B114)*Inputs!$D$1),"",SUMIFS(INDEX(Inputs!$B$2:$AZ$190,,MATCH(SUBSTITUTE(BF$3,"Q","T"),Inputs!$B$2:$AZ$2,0)),Inputs!$B$2:$B$190,$B114)*Inputs!$D$1)</f>
        <v>0</v>
      </c>
      <c r="BG114" s="58">
        <f>BF114</f>
        <v>0</v>
      </c>
      <c r="BI114" s="14" t="inlineStr">
        <is>
          <t>Carteira ampliada inclui avais, fianças e títulos privados. Base dos indicadores de qualidade.</t>
        </is>
      </c>
    </row>
    <row r="115">
      <c r="B115" s="56" t="inlineStr">
        <is>
          <t>loans_cons</t>
        </is>
      </c>
      <c r="C115" s="11" t="inlineStr">
        <is>
          <t>Consumo ex-cartão (consumer ex-card)</t>
        </is>
      </c>
      <c r="D115" s="12" t="inlineStr">
        <is>
          <t>Consumer, excluding credit card</t>
        </is>
      </c>
      <c r="E115" s="57">
        <f>IF(ISNA(SUMIFS(INDEX(Inputs!$B$2:$AZ$190,,MATCH(SUBSTITUTE(E$3,"Q","T"),Inputs!$B$2:$AZ$2,0)),Inputs!$B$2:$B$190,$B115)*Inputs!$D$1),"",SUMIFS(INDEX(Inputs!$B$2:$AZ$190,,MATCH(SUBSTITUTE(E$3,"Q","T"),Inputs!$B$2:$AZ$2,0)),Inputs!$B$2:$B$190,$B115)*Inputs!$D$1)</f>
        <v>0</v>
      </c>
      <c r="F115" s="57">
        <f>IF(ISNA(SUMIFS(INDEX(Inputs!$B$2:$AZ$190,,MATCH(SUBSTITUTE(F$3,"Q","T"),Inputs!$B$2:$AZ$2,0)),Inputs!$B$2:$B$190,$B115)*Inputs!$D$1),"",SUMIFS(INDEX(Inputs!$B$2:$AZ$190,,MATCH(SUBSTITUTE(F$3,"Q","T"),Inputs!$B$2:$AZ$2,0)),Inputs!$B$2:$B$190,$B115)*Inputs!$D$1)</f>
        <v>0</v>
      </c>
      <c r="G115" s="57">
        <f>IF(ISNA(SUMIFS(INDEX(Inputs!$B$2:$AZ$190,,MATCH(SUBSTITUTE(G$3,"Q","T"),Inputs!$B$2:$AZ$2,0)),Inputs!$B$2:$B$190,$B115)*Inputs!$D$1),"",SUMIFS(INDEX(Inputs!$B$2:$AZ$190,,MATCH(SUBSTITUTE(G$3,"Q","T"),Inputs!$B$2:$AZ$2,0)),Inputs!$B$2:$B$190,$B115)*Inputs!$D$1)</f>
        <v>0</v>
      </c>
      <c r="H115" s="57">
        <f>IF(ISNA(SUMIFS(INDEX(Inputs!$B$2:$AZ$190,,MATCH(SUBSTITUTE(H$3,"Q","T"),Inputs!$B$2:$AZ$2,0)),Inputs!$B$2:$B$190,$B115)*Inputs!$D$1),"",SUMIFS(INDEX(Inputs!$B$2:$AZ$190,,MATCH(SUBSTITUTE(H$3,"Q","T"),Inputs!$B$2:$AZ$2,0)),Inputs!$B$2:$B$190,$B115)*Inputs!$D$1)</f>
        <v>0</v>
      </c>
      <c r="I115" s="58">
        <f>H115</f>
        <v>0</v>
      </c>
      <c r="J115" s="57">
        <f>IF(ISNA(SUMIFS(INDEX(Inputs!$B$2:$AZ$190,,MATCH(SUBSTITUTE(J$3,"Q","T"),Inputs!$B$2:$AZ$2,0)),Inputs!$B$2:$B$190,$B115)*Inputs!$D$1),"",SUMIFS(INDEX(Inputs!$B$2:$AZ$190,,MATCH(SUBSTITUTE(J$3,"Q","T"),Inputs!$B$2:$AZ$2,0)),Inputs!$B$2:$B$190,$B115)*Inputs!$D$1)</f>
        <v>0</v>
      </c>
      <c r="K115" s="57">
        <f>IF(ISNA(SUMIFS(INDEX(Inputs!$B$2:$AZ$190,,MATCH(SUBSTITUTE(K$3,"Q","T"),Inputs!$B$2:$AZ$2,0)),Inputs!$B$2:$B$190,$B115)*Inputs!$D$1),"",SUMIFS(INDEX(Inputs!$B$2:$AZ$190,,MATCH(SUBSTITUTE(K$3,"Q","T"),Inputs!$B$2:$AZ$2,0)),Inputs!$B$2:$B$190,$B115)*Inputs!$D$1)</f>
        <v>0</v>
      </c>
      <c r="L115" s="57">
        <f>IF(ISNA(SUMIFS(INDEX(Inputs!$B$2:$AZ$190,,MATCH(SUBSTITUTE(L$3,"Q","T"),Inputs!$B$2:$AZ$2,0)),Inputs!$B$2:$B$190,$B115)*Inputs!$D$1),"",SUMIFS(INDEX(Inputs!$B$2:$AZ$190,,MATCH(SUBSTITUTE(L$3,"Q","T"),Inputs!$B$2:$AZ$2,0)),Inputs!$B$2:$B$190,$B115)*Inputs!$D$1)</f>
        <v>0</v>
      </c>
      <c r="M115" s="57">
        <f>IF(ISNA(SUMIFS(INDEX(Inputs!$B$2:$AZ$190,,MATCH(SUBSTITUTE(M$3,"Q","T"),Inputs!$B$2:$AZ$2,0)),Inputs!$B$2:$B$190,$B115)*Inputs!$D$1),"",SUMIFS(INDEX(Inputs!$B$2:$AZ$190,,MATCH(SUBSTITUTE(M$3,"Q","T"),Inputs!$B$2:$AZ$2,0)),Inputs!$B$2:$B$190,$B115)*Inputs!$D$1)</f>
        <v>0</v>
      </c>
      <c r="N115" s="58">
        <f>M115</f>
        <v>0</v>
      </c>
      <c r="O115" s="57">
        <f>IF(ISNA(SUMIFS(INDEX(Inputs!$B$2:$AZ$190,,MATCH(SUBSTITUTE(O$3,"Q","T"),Inputs!$B$2:$AZ$2,0)),Inputs!$B$2:$B$190,$B115)*Inputs!$D$1),"",SUMIFS(INDEX(Inputs!$B$2:$AZ$190,,MATCH(SUBSTITUTE(O$3,"Q","T"),Inputs!$B$2:$AZ$2,0)),Inputs!$B$2:$B$190,$B115)*Inputs!$D$1)</f>
        <v>0</v>
      </c>
      <c r="P115" s="57">
        <f>IF(ISNA(SUMIFS(INDEX(Inputs!$B$2:$AZ$190,,MATCH(SUBSTITUTE(P$3,"Q","T"),Inputs!$B$2:$AZ$2,0)),Inputs!$B$2:$B$190,$B115)*Inputs!$D$1),"",SUMIFS(INDEX(Inputs!$B$2:$AZ$190,,MATCH(SUBSTITUTE(P$3,"Q","T"),Inputs!$B$2:$AZ$2,0)),Inputs!$B$2:$B$190,$B115)*Inputs!$D$1)</f>
        <v>0</v>
      </c>
      <c r="Q115" s="57">
        <f>IF(ISNA(SUMIFS(INDEX(Inputs!$B$2:$AZ$190,,MATCH(SUBSTITUTE(Q$3,"Q","T"),Inputs!$B$2:$AZ$2,0)),Inputs!$B$2:$B$190,$B115)*Inputs!$D$1),"",SUMIFS(INDEX(Inputs!$B$2:$AZ$190,,MATCH(SUBSTITUTE(Q$3,"Q","T"),Inputs!$B$2:$AZ$2,0)),Inputs!$B$2:$B$190,$B115)*Inputs!$D$1)</f>
        <v>0</v>
      </c>
      <c r="R115" s="57">
        <f>IF(ISNA(SUMIFS(INDEX(Inputs!$B$2:$AZ$190,,MATCH(SUBSTITUTE(R$3,"Q","T"),Inputs!$B$2:$AZ$2,0)),Inputs!$B$2:$B$190,$B115)*Inputs!$D$1),"",SUMIFS(INDEX(Inputs!$B$2:$AZ$190,,MATCH(SUBSTITUTE(R$3,"Q","T"),Inputs!$B$2:$AZ$2,0)),Inputs!$B$2:$B$190,$B115)*Inputs!$D$1)</f>
        <v>0</v>
      </c>
      <c r="S115" s="58">
        <f>R115</f>
        <v>0</v>
      </c>
      <c r="T115" s="57">
        <f>IF(ISNA(SUMIFS(INDEX(Inputs!$B$2:$AZ$190,,MATCH(SUBSTITUTE(T$3,"Q","T"),Inputs!$B$2:$AZ$2,0)),Inputs!$B$2:$B$190,$B115)*Inputs!$D$1),"",SUMIFS(INDEX(Inputs!$B$2:$AZ$190,,MATCH(SUBSTITUTE(T$3,"Q","T"),Inputs!$B$2:$AZ$2,0)),Inputs!$B$2:$B$190,$B115)*Inputs!$D$1)</f>
        <v>0</v>
      </c>
      <c r="U115" s="57">
        <f>IF(ISNA(SUMIFS(INDEX(Inputs!$B$2:$AZ$190,,MATCH(SUBSTITUTE(U$3,"Q","T"),Inputs!$B$2:$AZ$2,0)),Inputs!$B$2:$B$190,$B115)*Inputs!$D$1),"",SUMIFS(INDEX(Inputs!$B$2:$AZ$190,,MATCH(SUBSTITUTE(U$3,"Q","T"),Inputs!$B$2:$AZ$2,0)),Inputs!$B$2:$B$190,$B115)*Inputs!$D$1)</f>
        <v>0</v>
      </c>
      <c r="V115" s="57">
        <f>IF(ISNA(SUMIFS(INDEX(Inputs!$B$2:$AZ$190,,MATCH(SUBSTITUTE(V$3,"Q","T"),Inputs!$B$2:$AZ$2,0)),Inputs!$B$2:$B$190,$B115)*Inputs!$D$1),"",SUMIFS(INDEX(Inputs!$B$2:$AZ$190,,MATCH(SUBSTITUTE(V$3,"Q","T"),Inputs!$B$2:$AZ$2,0)),Inputs!$B$2:$B$190,$B115)*Inputs!$D$1)</f>
        <v>0</v>
      </c>
      <c r="W115" s="57">
        <f>IF(ISNA(SUMIFS(INDEX(Inputs!$B$2:$AZ$190,,MATCH(SUBSTITUTE(W$3,"Q","T"),Inputs!$B$2:$AZ$2,0)),Inputs!$B$2:$B$190,$B115)*Inputs!$D$1),"",SUMIFS(INDEX(Inputs!$B$2:$AZ$190,,MATCH(SUBSTITUTE(W$3,"Q","T"),Inputs!$B$2:$AZ$2,0)),Inputs!$B$2:$B$190,$B115)*Inputs!$D$1)</f>
        <v>0</v>
      </c>
      <c r="X115" s="58">
        <f>W115</f>
        <v>0</v>
      </c>
      <c r="Y115" s="57">
        <f>IF(ISNA(SUMIFS(INDEX(Inputs!$B$2:$AZ$190,,MATCH(SUBSTITUTE(Y$3,"Q","T"),Inputs!$B$2:$AZ$2,0)),Inputs!$B$2:$B$190,$B115)*Inputs!$D$1),"",SUMIFS(INDEX(Inputs!$B$2:$AZ$190,,MATCH(SUBSTITUTE(Y$3,"Q","T"),Inputs!$B$2:$AZ$2,0)),Inputs!$B$2:$B$190,$B115)*Inputs!$D$1)</f>
        <v>0</v>
      </c>
      <c r="Z115" s="57">
        <f>IF(ISNA(SUMIFS(INDEX(Inputs!$B$2:$AZ$190,,MATCH(SUBSTITUTE(Z$3,"Q","T"),Inputs!$B$2:$AZ$2,0)),Inputs!$B$2:$B$190,$B115)*Inputs!$D$1),"",SUMIFS(INDEX(Inputs!$B$2:$AZ$190,,MATCH(SUBSTITUTE(Z$3,"Q","T"),Inputs!$B$2:$AZ$2,0)),Inputs!$B$2:$B$190,$B115)*Inputs!$D$1)</f>
        <v>0</v>
      </c>
      <c r="AA115" s="57">
        <f>IF(ISNA(SUMIFS(INDEX(Inputs!$B$2:$AZ$190,,MATCH(SUBSTITUTE(AA$3,"Q","T"),Inputs!$B$2:$AZ$2,0)),Inputs!$B$2:$B$190,$B115)*Inputs!$D$1),"",SUMIFS(INDEX(Inputs!$B$2:$AZ$190,,MATCH(SUBSTITUTE(AA$3,"Q","T"),Inputs!$B$2:$AZ$2,0)),Inputs!$B$2:$B$190,$B115)*Inputs!$D$1)</f>
        <v>0</v>
      </c>
      <c r="AB115" s="57">
        <f>IF(ISNA(SUMIFS(INDEX(Inputs!$B$2:$AZ$190,,MATCH(SUBSTITUTE(AB$3,"Q","T"),Inputs!$B$2:$AZ$2,0)),Inputs!$B$2:$B$190,$B115)*Inputs!$D$1),"",SUMIFS(INDEX(Inputs!$B$2:$AZ$190,,MATCH(SUBSTITUTE(AB$3,"Q","T"),Inputs!$B$2:$AZ$2,0)),Inputs!$B$2:$B$190,$B115)*Inputs!$D$1)</f>
        <v>0</v>
      </c>
      <c r="AC115" s="58">
        <f>AB115</f>
        <v>0</v>
      </c>
      <c r="AD115" s="57">
        <f>IF(ISNA(SUMIFS(INDEX(Inputs!$B$2:$AZ$190,,MATCH(SUBSTITUTE(AD$3,"Q","T"),Inputs!$B$2:$AZ$2,0)),Inputs!$B$2:$B$190,$B115)*Inputs!$D$1),"",SUMIFS(INDEX(Inputs!$B$2:$AZ$190,,MATCH(SUBSTITUTE(AD$3,"Q","T"),Inputs!$B$2:$AZ$2,0)),Inputs!$B$2:$B$190,$B115)*Inputs!$D$1)</f>
        <v>0</v>
      </c>
      <c r="AE115" s="57">
        <f>IF(ISNA(SUMIFS(INDEX(Inputs!$B$2:$AZ$190,,MATCH(SUBSTITUTE(AE$3,"Q","T"),Inputs!$B$2:$AZ$2,0)),Inputs!$B$2:$B$190,$B115)*Inputs!$D$1),"",SUMIFS(INDEX(Inputs!$B$2:$AZ$190,,MATCH(SUBSTITUTE(AE$3,"Q","T"),Inputs!$B$2:$AZ$2,0)),Inputs!$B$2:$B$190,$B115)*Inputs!$D$1)</f>
        <v>0</v>
      </c>
      <c r="AF115" s="57">
        <f>IF(ISNA(SUMIFS(INDEX(Inputs!$B$2:$AZ$190,,MATCH(SUBSTITUTE(AF$3,"Q","T"),Inputs!$B$2:$AZ$2,0)),Inputs!$B$2:$B$190,$B115)*Inputs!$D$1),"",SUMIFS(INDEX(Inputs!$B$2:$AZ$190,,MATCH(SUBSTITUTE(AF$3,"Q","T"),Inputs!$B$2:$AZ$2,0)),Inputs!$B$2:$B$190,$B115)*Inputs!$D$1)</f>
        <v>0</v>
      </c>
      <c r="AG115" s="57">
        <f>IF(ISNA(SUMIFS(INDEX(Inputs!$B$2:$AZ$190,,MATCH(SUBSTITUTE(AG$3,"Q","T"),Inputs!$B$2:$AZ$2,0)),Inputs!$B$2:$B$190,$B115)*Inputs!$D$1),"",SUMIFS(INDEX(Inputs!$B$2:$AZ$190,,MATCH(SUBSTITUTE(AG$3,"Q","T"),Inputs!$B$2:$AZ$2,0)),Inputs!$B$2:$B$190,$B115)*Inputs!$D$1)</f>
        <v>0</v>
      </c>
      <c r="AH115" s="58">
        <f>AG115</f>
        <v>0</v>
      </c>
      <c r="AI115" s="57">
        <f>IF(ISNA(SUMIFS(INDEX(Inputs!$B$2:$AZ$190,,MATCH(SUBSTITUTE(AI$3,"Q","T"),Inputs!$B$2:$AZ$2,0)),Inputs!$B$2:$B$190,$B115)*Inputs!$D$1),"",SUMIFS(INDEX(Inputs!$B$2:$AZ$190,,MATCH(SUBSTITUTE(AI$3,"Q","T"),Inputs!$B$2:$AZ$2,0)),Inputs!$B$2:$B$190,$B115)*Inputs!$D$1)</f>
        <v>0</v>
      </c>
      <c r="AJ115" s="57">
        <f>IF(ISNA(SUMIFS(INDEX(Inputs!$B$2:$AZ$190,,MATCH(SUBSTITUTE(AJ$3,"Q","T"),Inputs!$B$2:$AZ$2,0)),Inputs!$B$2:$B$190,$B115)*Inputs!$D$1),"",SUMIFS(INDEX(Inputs!$B$2:$AZ$190,,MATCH(SUBSTITUTE(AJ$3,"Q","T"),Inputs!$B$2:$AZ$2,0)),Inputs!$B$2:$B$190,$B115)*Inputs!$D$1)</f>
        <v>0</v>
      </c>
      <c r="AK115" s="57">
        <f>IF(ISNA(SUMIFS(INDEX(Inputs!$B$2:$AZ$190,,MATCH(SUBSTITUTE(AK$3,"Q","T"),Inputs!$B$2:$AZ$2,0)),Inputs!$B$2:$B$190,$B115)*Inputs!$D$1),"",SUMIFS(INDEX(Inputs!$B$2:$AZ$190,,MATCH(SUBSTITUTE(AK$3,"Q","T"),Inputs!$B$2:$AZ$2,0)),Inputs!$B$2:$B$190,$B115)*Inputs!$D$1)</f>
        <v>0</v>
      </c>
      <c r="AL115" s="57">
        <f>IF(ISNA(SUMIFS(INDEX(Inputs!$B$2:$AZ$190,,MATCH(SUBSTITUTE(AL$3,"Q","T"),Inputs!$B$2:$AZ$2,0)),Inputs!$B$2:$B$190,$B115)*Inputs!$D$1),"",SUMIFS(INDEX(Inputs!$B$2:$AZ$190,,MATCH(SUBSTITUTE(AL$3,"Q","T"),Inputs!$B$2:$AZ$2,0)),Inputs!$B$2:$B$190,$B115)*Inputs!$D$1)</f>
        <v>0</v>
      </c>
      <c r="AM115" s="58">
        <f>AL115</f>
        <v>0</v>
      </c>
      <c r="AN115" s="57">
        <f>IF(ISNA(SUMIFS(INDEX(Inputs!$B$2:$AZ$190,,MATCH(SUBSTITUTE(AN$3,"Q","T"),Inputs!$B$2:$AZ$2,0)),Inputs!$B$2:$B$190,$B115)*Inputs!$D$1),"",SUMIFS(INDEX(Inputs!$B$2:$AZ$190,,MATCH(SUBSTITUTE(AN$3,"Q","T"),Inputs!$B$2:$AZ$2,0)),Inputs!$B$2:$B$190,$B115)*Inputs!$D$1)</f>
        <v>0</v>
      </c>
      <c r="AO115" s="57">
        <f>IF(ISNA(SUMIFS(INDEX(Inputs!$B$2:$AZ$190,,MATCH(SUBSTITUTE(AO$3,"Q","T"),Inputs!$B$2:$AZ$2,0)),Inputs!$B$2:$B$190,$B115)*Inputs!$D$1),"",SUMIFS(INDEX(Inputs!$B$2:$AZ$190,,MATCH(SUBSTITUTE(AO$3,"Q","T"),Inputs!$B$2:$AZ$2,0)),Inputs!$B$2:$B$190,$B115)*Inputs!$D$1)</f>
        <v>0</v>
      </c>
      <c r="AP115" s="57">
        <f>IF(ISNA(SUMIFS(INDEX(Inputs!$B$2:$AZ$190,,MATCH(SUBSTITUTE(AP$3,"Q","T"),Inputs!$B$2:$AZ$2,0)),Inputs!$B$2:$B$190,$B115)*Inputs!$D$1),"",SUMIFS(INDEX(Inputs!$B$2:$AZ$190,,MATCH(SUBSTITUTE(AP$3,"Q","T"),Inputs!$B$2:$AZ$2,0)),Inputs!$B$2:$B$190,$B115)*Inputs!$D$1)</f>
        <v>0</v>
      </c>
      <c r="AQ115" s="57">
        <f>IF(ISNA(SUMIFS(INDEX(Inputs!$B$2:$AZ$190,,MATCH(SUBSTITUTE(AQ$3,"Q","T"),Inputs!$B$2:$AZ$2,0)),Inputs!$B$2:$B$190,$B115)*Inputs!$D$1),"",SUMIFS(INDEX(Inputs!$B$2:$AZ$190,,MATCH(SUBSTITUTE(AQ$3,"Q","T"),Inputs!$B$2:$AZ$2,0)),Inputs!$B$2:$B$190,$B115)*Inputs!$D$1)</f>
        <v>0</v>
      </c>
      <c r="AR115" s="58">
        <f>AQ115</f>
        <v>0</v>
      </c>
      <c r="AS115" s="57">
        <f>IF(ISNA(SUMIFS(INDEX(Inputs!$B$2:$AZ$190,,MATCH(SUBSTITUTE(AS$3,"Q","T"),Inputs!$B$2:$AZ$2,0)),Inputs!$B$2:$B$190,$B115)*Inputs!$D$1),"",SUMIFS(INDEX(Inputs!$B$2:$AZ$190,,MATCH(SUBSTITUTE(AS$3,"Q","T"),Inputs!$B$2:$AZ$2,0)),Inputs!$B$2:$B$190,$B115)*Inputs!$D$1)</f>
        <v>0</v>
      </c>
      <c r="AT115" s="57">
        <f>IF(ISNA(SUMIFS(INDEX(Inputs!$B$2:$AZ$190,,MATCH(SUBSTITUTE(AT$3,"Q","T"),Inputs!$B$2:$AZ$2,0)),Inputs!$B$2:$B$190,$B115)*Inputs!$D$1),"",SUMIFS(INDEX(Inputs!$B$2:$AZ$190,,MATCH(SUBSTITUTE(AT$3,"Q","T"),Inputs!$B$2:$AZ$2,0)),Inputs!$B$2:$B$190,$B115)*Inputs!$D$1)</f>
        <v>0</v>
      </c>
      <c r="AU115" s="57">
        <f>IF(ISNA(SUMIFS(INDEX(Inputs!$B$2:$AZ$190,,MATCH(SUBSTITUTE(AU$3,"Q","T"),Inputs!$B$2:$AZ$2,0)),Inputs!$B$2:$B$190,$B115)*Inputs!$D$1),"",SUMIFS(INDEX(Inputs!$B$2:$AZ$190,,MATCH(SUBSTITUTE(AU$3,"Q","T"),Inputs!$B$2:$AZ$2,0)),Inputs!$B$2:$B$190,$B115)*Inputs!$D$1)</f>
        <v>0</v>
      </c>
      <c r="AV115" s="57">
        <f>IF(ISNA(SUMIFS(INDEX(Inputs!$B$2:$AZ$190,,MATCH(SUBSTITUTE(AV$3,"Q","T"),Inputs!$B$2:$AZ$2,0)),Inputs!$B$2:$B$190,$B115)*Inputs!$D$1),"",SUMIFS(INDEX(Inputs!$B$2:$AZ$190,,MATCH(SUBSTITUTE(AV$3,"Q","T"),Inputs!$B$2:$AZ$2,0)),Inputs!$B$2:$B$190,$B115)*Inputs!$D$1)</f>
        <v>0</v>
      </c>
      <c r="AW115" s="58">
        <f>AV115</f>
        <v>0</v>
      </c>
      <c r="AX115" s="57">
        <f>IF(ISNA(SUMIFS(INDEX(Inputs!$B$2:$AZ$190,,MATCH(SUBSTITUTE(AX$3,"Q","T"),Inputs!$B$2:$AZ$2,0)),Inputs!$B$2:$B$190,$B115)*Inputs!$D$1),"",SUMIFS(INDEX(Inputs!$B$2:$AZ$190,,MATCH(SUBSTITUTE(AX$3,"Q","T"),Inputs!$B$2:$AZ$2,0)),Inputs!$B$2:$B$190,$B115)*Inputs!$D$1)</f>
        <v>0</v>
      </c>
      <c r="AY115" s="57">
        <f>IF(ISNA(SUMIFS(INDEX(Inputs!$B$2:$AZ$190,,MATCH(SUBSTITUTE(AY$3,"Q","T"),Inputs!$B$2:$AZ$2,0)),Inputs!$B$2:$B$190,$B115)*Inputs!$D$1),"",SUMIFS(INDEX(Inputs!$B$2:$AZ$190,,MATCH(SUBSTITUTE(AY$3,"Q","T"),Inputs!$B$2:$AZ$2,0)),Inputs!$B$2:$B$190,$B115)*Inputs!$D$1)</f>
        <v>0</v>
      </c>
      <c r="AZ115" s="57">
        <f>IF(ISNA(SUMIFS(INDEX(Inputs!$B$2:$AZ$190,,MATCH(SUBSTITUTE(AZ$3,"Q","T"),Inputs!$B$2:$AZ$2,0)),Inputs!$B$2:$B$190,$B115)*Inputs!$D$1),"",SUMIFS(INDEX(Inputs!$B$2:$AZ$190,,MATCH(SUBSTITUTE(AZ$3,"Q","T"),Inputs!$B$2:$AZ$2,0)),Inputs!$B$2:$B$190,$B115)*Inputs!$D$1)</f>
        <v>0</v>
      </c>
      <c r="BA115" s="57">
        <f>IF(ISNA(SUMIFS(INDEX(Inputs!$B$2:$AZ$190,,MATCH(SUBSTITUTE(BA$3,"Q","T"),Inputs!$B$2:$AZ$2,0)),Inputs!$B$2:$B$190,$B115)*Inputs!$D$1),"",SUMIFS(INDEX(Inputs!$B$2:$AZ$190,,MATCH(SUBSTITUTE(BA$3,"Q","T"),Inputs!$B$2:$AZ$2,0)),Inputs!$B$2:$B$190,$B115)*Inputs!$D$1)</f>
        <v>0</v>
      </c>
      <c r="BB115" s="58">
        <f>BA115</f>
        <v>0</v>
      </c>
      <c r="BC115" s="57">
        <f>IF(ISNA(SUMIFS(INDEX(Inputs!$B$2:$AZ$190,,MATCH(SUBSTITUTE(BC$3,"Q","T"),Inputs!$B$2:$AZ$2,0)),Inputs!$B$2:$B$190,$B115)*Inputs!$D$1),"",SUMIFS(INDEX(Inputs!$B$2:$AZ$190,,MATCH(SUBSTITUTE(BC$3,"Q","T"),Inputs!$B$2:$AZ$2,0)),Inputs!$B$2:$B$190,$B115)*Inputs!$D$1)</f>
        <v>0</v>
      </c>
      <c r="BD115" s="57">
        <f>IF(ISNA(SUMIFS(INDEX(Inputs!$B$2:$AZ$190,,MATCH(SUBSTITUTE(BD$3,"Q","T"),Inputs!$B$2:$AZ$2,0)),Inputs!$B$2:$B$190,$B115)*Inputs!$D$1),"",SUMIFS(INDEX(Inputs!$B$2:$AZ$190,,MATCH(SUBSTITUTE(BD$3,"Q","T"),Inputs!$B$2:$AZ$2,0)),Inputs!$B$2:$B$190,$B115)*Inputs!$D$1)</f>
        <v>0</v>
      </c>
      <c r="BE115" s="57">
        <f>IF(ISNA(SUMIFS(INDEX(Inputs!$B$2:$AZ$190,,MATCH(SUBSTITUTE(BE$3,"Q","T"),Inputs!$B$2:$AZ$2,0)),Inputs!$B$2:$B$190,$B115)*Inputs!$D$1),"",SUMIFS(INDEX(Inputs!$B$2:$AZ$190,,MATCH(SUBSTITUTE(BE$3,"Q","T"),Inputs!$B$2:$AZ$2,0)),Inputs!$B$2:$B$190,$B115)*Inputs!$D$1)</f>
        <v>0</v>
      </c>
      <c r="BF115" s="57">
        <f>IF(ISNA(SUMIFS(INDEX(Inputs!$B$2:$AZ$190,,MATCH(SUBSTITUTE(BF$3,"Q","T"),Inputs!$B$2:$AZ$2,0)),Inputs!$B$2:$B$190,$B115)*Inputs!$D$1),"",SUMIFS(INDEX(Inputs!$B$2:$AZ$190,,MATCH(SUBSTITUTE(BF$3,"Q","T"),Inputs!$B$2:$AZ$2,0)),Inputs!$B$2:$B$190,$B115)*Inputs!$D$1)</f>
        <v>0</v>
      </c>
      <c r="BG115" s="58">
        <f>BF115</f>
        <v>0</v>
      </c>
    </row>
    <row r="116">
      <c r="B116" s="56" t="inlineStr">
        <is>
          <t>loans_wh</t>
        </is>
      </c>
      <c r="C116" s="11" t="inlineStr">
        <is>
          <t>Atacado (wholesale / commercial)</t>
        </is>
      </c>
      <c r="D116" s="12" t="inlineStr">
        <is>
          <t>Wholesale / commercial</t>
        </is>
      </c>
      <c r="E116" s="57">
        <f>IF(ISNA(SUMIFS(INDEX(Inputs!$B$2:$AZ$190,,MATCH(SUBSTITUTE(E$3,"Q","T"),Inputs!$B$2:$AZ$2,0)),Inputs!$B$2:$B$190,$B116)*Inputs!$D$1),"",SUMIFS(INDEX(Inputs!$B$2:$AZ$190,,MATCH(SUBSTITUTE(E$3,"Q","T"),Inputs!$B$2:$AZ$2,0)),Inputs!$B$2:$B$190,$B116)*Inputs!$D$1)</f>
        <v>0</v>
      </c>
      <c r="F116" s="57">
        <f>IF(ISNA(SUMIFS(INDEX(Inputs!$B$2:$AZ$190,,MATCH(SUBSTITUTE(F$3,"Q","T"),Inputs!$B$2:$AZ$2,0)),Inputs!$B$2:$B$190,$B116)*Inputs!$D$1),"",SUMIFS(INDEX(Inputs!$B$2:$AZ$190,,MATCH(SUBSTITUTE(F$3,"Q","T"),Inputs!$B$2:$AZ$2,0)),Inputs!$B$2:$B$190,$B116)*Inputs!$D$1)</f>
        <v>0</v>
      </c>
      <c r="G116" s="57">
        <f>IF(ISNA(SUMIFS(INDEX(Inputs!$B$2:$AZ$190,,MATCH(SUBSTITUTE(G$3,"Q","T"),Inputs!$B$2:$AZ$2,0)),Inputs!$B$2:$B$190,$B116)*Inputs!$D$1),"",SUMIFS(INDEX(Inputs!$B$2:$AZ$190,,MATCH(SUBSTITUTE(G$3,"Q","T"),Inputs!$B$2:$AZ$2,0)),Inputs!$B$2:$B$190,$B116)*Inputs!$D$1)</f>
        <v>0</v>
      </c>
      <c r="H116" s="57">
        <f>IF(ISNA(SUMIFS(INDEX(Inputs!$B$2:$AZ$190,,MATCH(SUBSTITUTE(H$3,"Q","T"),Inputs!$B$2:$AZ$2,0)),Inputs!$B$2:$B$190,$B116)*Inputs!$D$1),"",SUMIFS(INDEX(Inputs!$B$2:$AZ$190,,MATCH(SUBSTITUTE(H$3,"Q","T"),Inputs!$B$2:$AZ$2,0)),Inputs!$B$2:$B$190,$B116)*Inputs!$D$1)</f>
        <v>0</v>
      </c>
      <c r="I116" s="58">
        <f>H116</f>
        <v>0</v>
      </c>
      <c r="J116" s="57">
        <f>IF(ISNA(SUMIFS(INDEX(Inputs!$B$2:$AZ$190,,MATCH(SUBSTITUTE(J$3,"Q","T"),Inputs!$B$2:$AZ$2,0)),Inputs!$B$2:$B$190,$B116)*Inputs!$D$1),"",SUMIFS(INDEX(Inputs!$B$2:$AZ$190,,MATCH(SUBSTITUTE(J$3,"Q","T"),Inputs!$B$2:$AZ$2,0)),Inputs!$B$2:$B$190,$B116)*Inputs!$D$1)</f>
        <v>0</v>
      </c>
      <c r="K116" s="57">
        <f>IF(ISNA(SUMIFS(INDEX(Inputs!$B$2:$AZ$190,,MATCH(SUBSTITUTE(K$3,"Q","T"),Inputs!$B$2:$AZ$2,0)),Inputs!$B$2:$B$190,$B116)*Inputs!$D$1),"",SUMIFS(INDEX(Inputs!$B$2:$AZ$190,,MATCH(SUBSTITUTE(K$3,"Q","T"),Inputs!$B$2:$AZ$2,0)),Inputs!$B$2:$B$190,$B116)*Inputs!$D$1)</f>
        <v>0</v>
      </c>
      <c r="L116" s="57">
        <f>IF(ISNA(SUMIFS(INDEX(Inputs!$B$2:$AZ$190,,MATCH(SUBSTITUTE(L$3,"Q","T"),Inputs!$B$2:$AZ$2,0)),Inputs!$B$2:$B$190,$B116)*Inputs!$D$1),"",SUMIFS(INDEX(Inputs!$B$2:$AZ$190,,MATCH(SUBSTITUTE(L$3,"Q","T"),Inputs!$B$2:$AZ$2,0)),Inputs!$B$2:$B$190,$B116)*Inputs!$D$1)</f>
        <v>0</v>
      </c>
      <c r="M116" s="57">
        <f>IF(ISNA(SUMIFS(INDEX(Inputs!$B$2:$AZ$190,,MATCH(SUBSTITUTE(M$3,"Q","T"),Inputs!$B$2:$AZ$2,0)),Inputs!$B$2:$B$190,$B116)*Inputs!$D$1),"",SUMIFS(INDEX(Inputs!$B$2:$AZ$190,,MATCH(SUBSTITUTE(M$3,"Q","T"),Inputs!$B$2:$AZ$2,0)),Inputs!$B$2:$B$190,$B116)*Inputs!$D$1)</f>
        <v>0</v>
      </c>
      <c r="N116" s="58">
        <f>M116</f>
        <v>0</v>
      </c>
      <c r="O116" s="57">
        <f>IF(ISNA(SUMIFS(INDEX(Inputs!$B$2:$AZ$190,,MATCH(SUBSTITUTE(O$3,"Q","T"),Inputs!$B$2:$AZ$2,0)),Inputs!$B$2:$B$190,$B116)*Inputs!$D$1),"",SUMIFS(INDEX(Inputs!$B$2:$AZ$190,,MATCH(SUBSTITUTE(O$3,"Q","T"),Inputs!$B$2:$AZ$2,0)),Inputs!$B$2:$B$190,$B116)*Inputs!$D$1)</f>
        <v>0</v>
      </c>
      <c r="P116" s="57">
        <f>IF(ISNA(SUMIFS(INDEX(Inputs!$B$2:$AZ$190,,MATCH(SUBSTITUTE(P$3,"Q","T"),Inputs!$B$2:$AZ$2,0)),Inputs!$B$2:$B$190,$B116)*Inputs!$D$1),"",SUMIFS(INDEX(Inputs!$B$2:$AZ$190,,MATCH(SUBSTITUTE(P$3,"Q","T"),Inputs!$B$2:$AZ$2,0)),Inputs!$B$2:$B$190,$B116)*Inputs!$D$1)</f>
        <v>0</v>
      </c>
      <c r="Q116" s="57">
        <f>IF(ISNA(SUMIFS(INDEX(Inputs!$B$2:$AZ$190,,MATCH(SUBSTITUTE(Q$3,"Q","T"),Inputs!$B$2:$AZ$2,0)),Inputs!$B$2:$B$190,$B116)*Inputs!$D$1),"",SUMIFS(INDEX(Inputs!$B$2:$AZ$190,,MATCH(SUBSTITUTE(Q$3,"Q","T"),Inputs!$B$2:$AZ$2,0)),Inputs!$B$2:$B$190,$B116)*Inputs!$D$1)</f>
        <v>0</v>
      </c>
      <c r="R116" s="57">
        <f>IF(ISNA(SUMIFS(INDEX(Inputs!$B$2:$AZ$190,,MATCH(SUBSTITUTE(R$3,"Q","T"),Inputs!$B$2:$AZ$2,0)),Inputs!$B$2:$B$190,$B116)*Inputs!$D$1),"",SUMIFS(INDEX(Inputs!$B$2:$AZ$190,,MATCH(SUBSTITUTE(R$3,"Q","T"),Inputs!$B$2:$AZ$2,0)),Inputs!$B$2:$B$190,$B116)*Inputs!$D$1)</f>
        <v>0</v>
      </c>
      <c r="S116" s="58">
        <f>R116</f>
        <v>0</v>
      </c>
      <c r="T116" s="57">
        <f>IF(ISNA(SUMIFS(INDEX(Inputs!$B$2:$AZ$190,,MATCH(SUBSTITUTE(T$3,"Q","T"),Inputs!$B$2:$AZ$2,0)),Inputs!$B$2:$B$190,$B116)*Inputs!$D$1),"",SUMIFS(INDEX(Inputs!$B$2:$AZ$190,,MATCH(SUBSTITUTE(T$3,"Q","T"),Inputs!$B$2:$AZ$2,0)),Inputs!$B$2:$B$190,$B116)*Inputs!$D$1)</f>
        <v>0</v>
      </c>
      <c r="U116" s="57">
        <f>IF(ISNA(SUMIFS(INDEX(Inputs!$B$2:$AZ$190,,MATCH(SUBSTITUTE(U$3,"Q","T"),Inputs!$B$2:$AZ$2,0)),Inputs!$B$2:$B$190,$B116)*Inputs!$D$1),"",SUMIFS(INDEX(Inputs!$B$2:$AZ$190,,MATCH(SUBSTITUTE(U$3,"Q","T"),Inputs!$B$2:$AZ$2,0)),Inputs!$B$2:$B$190,$B116)*Inputs!$D$1)</f>
        <v>0</v>
      </c>
      <c r="V116" s="57">
        <f>IF(ISNA(SUMIFS(INDEX(Inputs!$B$2:$AZ$190,,MATCH(SUBSTITUTE(V$3,"Q","T"),Inputs!$B$2:$AZ$2,0)),Inputs!$B$2:$B$190,$B116)*Inputs!$D$1),"",SUMIFS(INDEX(Inputs!$B$2:$AZ$190,,MATCH(SUBSTITUTE(V$3,"Q","T"),Inputs!$B$2:$AZ$2,0)),Inputs!$B$2:$B$190,$B116)*Inputs!$D$1)</f>
        <v>0</v>
      </c>
      <c r="W116" s="57">
        <f>IF(ISNA(SUMIFS(INDEX(Inputs!$B$2:$AZ$190,,MATCH(SUBSTITUTE(W$3,"Q","T"),Inputs!$B$2:$AZ$2,0)),Inputs!$B$2:$B$190,$B116)*Inputs!$D$1),"",SUMIFS(INDEX(Inputs!$B$2:$AZ$190,,MATCH(SUBSTITUTE(W$3,"Q","T"),Inputs!$B$2:$AZ$2,0)),Inputs!$B$2:$B$190,$B116)*Inputs!$D$1)</f>
        <v>0</v>
      </c>
      <c r="X116" s="58">
        <f>W116</f>
        <v>0</v>
      </c>
      <c r="Y116" s="57">
        <f>IF(ISNA(SUMIFS(INDEX(Inputs!$B$2:$AZ$190,,MATCH(SUBSTITUTE(Y$3,"Q","T"),Inputs!$B$2:$AZ$2,0)),Inputs!$B$2:$B$190,$B116)*Inputs!$D$1),"",SUMIFS(INDEX(Inputs!$B$2:$AZ$190,,MATCH(SUBSTITUTE(Y$3,"Q","T"),Inputs!$B$2:$AZ$2,0)),Inputs!$B$2:$B$190,$B116)*Inputs!$D$1)</f>
        <v>0</v>
      </c>
      <c r="Z116" s="57">
        <f>IF(ISNA(SUMIFS(INDEX(Inputs!$B$2:$AZ$190,,MATCH(SUBSTITUTE(Z$3,"Q","T"),Inputs!$B$2:$AZ$2,0)),Inputs!$B$2:$B$190,$B116)*Inputs!$D$1),"",SUMIFS(INDEX(Inputs!$B$2:$AZ$190,,MATCH(SUBSTITUTE(Z$3,"Q","T"),Inputs!$B$2:$AZ$2,0)),Inputs!$B$2:$B$190,$B116)*Inputs!$D$1)</f>
        <v>0</v>
      </c>
      <c r="AA116" s="57">
        <f>IF(ISNA(SUMIFS(INDEX(Inputs!$B$2:$AZ$190,,MATCH(SUBSTITUTE(AA$3,"Q","T"),Inputs!$B$2:$AZ$2,0)),Inputs!$B$2:$B$190,$B116)*Inputs!$D$1),"",SUMIFS(INDEX(Inputs!$B$2:$AZ$190,,MATCH(SUBSTITUTE(AA$3,"Q","T"),Inputs!$B$2:$AZ$2,0)),Inputs!$B$2:$B$190,$B116)*Inputs!$D$1)</f>
        <v>0</v>
      </c>
      <c r="AB116" s="57">
        <f>IF(ISNA(SUMIFS(INDEX(Inputs!$B$2:$AZ$190,,MATCH(SUBSTITUTE(AB$3,"Q","T"),Inputs!$B$2:$AZ$2,0)),Inputs!$B$2:$B$190,$B116)*Inputs!$D$1),"",SUMIFS(INDEX(Inputs!$B$2:$AZ$190,,MATCH(SUBSTITUTE(AB$3,"Q","T"),Inputs!$B$2:$AZ$2,0)),Inputs!$B$2:$B$190,$B116)*Inputs!$D$1)</f>
        <v>0</v>
      </c>
      <c r="AC116" s="58">
        <f>AB116</f>
        <v>0</v>
      </c>
      <c r="AD116" s="57">
        <f>IF(ISNA(SUMIFS(INDEX(Inputs!$B$2:$AZ$190,,MATCH(SUBSTITUTE(AD$3,"Q","T"),Inputs!$B$2:$AZ$2,0)),Inputs!$B$2:$B$190,$B116)*Inputs!$D$1),"",SUMIFS(INDEX(Inputs!$B$2:$AZ$190,,MATCH(SUBSTITUTE(AD$3,"Q","T"),Inputs!$B$2:$AZ$2,0)),Inputs!$B$2:$B$190,$B116)*Inputs!$D$1)</f>
        <v>0</v>
      </c>
      <c r="AE116" s="57">
        <f>IF(ISNA(SUMIFS(INDEX(Inputs!$B$2:$AZ$190,,MATCH(SUBSTITUTE(AE$3,"Q","T"),Inputs!$B$2:$AZ$2,0)),Inputs!$B$2:$B$190,$B116)*Inputs!$D$1),"",SUMIFS(INDEX(Inputs!$B$2:$AZ$190,,MATCH(SUBSTITUTE(AE$3,"Q","T"),Inputs!$B$2:$AZ$2,0)),Inputs!$B$2:$B$190,$B116)*Inputs!$D$1)</f>
        <v>0</v>
      </c>
      <c r="AF116" s="57">
        <f>IF(ISNA(SUMIFS(INDEX(Inputs!$B$2:$AZ$190,,MATCH(SUBSTITUTE(AF$3,"Q","T"),Inputs!$B$2:$AZ$2,0)),Inputs!$B$2:$B$190,$B116)*Inputs!$D$1),"",SUMIFS(INDEX(Inputs!$B$2:$AZ$190,,MATCH(SUBSTITUTE(AF$3,"Q","T"),Inputs!$B$2:$AZ$2,0)),Inputs!$B$2:$B$190,$B116)*Inputs!$D$1)</f>
        <v>0</v>
      </c>
      <c r="AG116" s="57">
        <f>IF(ISNA(SUMIFS(INDEX(Inputs!$B$2:$AZ$190,,MATCH(SUBSTITUTE(AG$3,"Q","T"),Inputs!$B$2:$AZ$2,0)),Inputs!$B$2:$B$190,$B116)*Inputs!$D$1),"",SUMIFS(INDEX(Inputs!$B$2:$AZ$190,,MATCH(SUBSTITUTE(AG$3,"Q","T"),Inputs!$B$2:$AZ$2,0)),Inputs!$B$2:$B$190,$B116)*Inputs!$D$1)</f>
        <v>0</v>
      </c>
      <c r="AH116" s="58">
        <f>AG116</f>
        <v>0</v>
      </c>
      <c r="AI116" s="57">
        <f>IF(ISNA(SUMIFS(INDEX(Inputs!$B$2:$AZ$190,,MATCH(SUBSTITUTE(AI$3,"Q","T"),Inputs!$B$2:$AZ$2,0)),Inputs!$B$2:$B$190,$B116)*Inputs!$D$1),"",SUMIFS(INDEX(Inputs!$B$2:$AZ$190,,MATCH(SUBSTITUTE(AI$3,"Q","T"),Inputs!$B$2:$AZ$2,0)),Inputs!$B$2:$B$190,$B116)*Inputs!$D$1)</f>
        <v>0</v>
      </c>
      <c r="AJ116" s="57">
        <f>IF(ISNA(SUMIFS(INDEX(Inputs!$B$2:$AZ$190,,MATCH(SUBSTITUTE(AJ$3,"Q","T"),Inputs!$B$2:$AZ$2,0)),Inputs!$B$2:$B$190,$B116)*Inputs!$D$1),"",SUMIFS(INDEX(Inputs!$B$2:$AZ$190,,MATCH(SUBSTITUTE(AJ$3,"Q","T"),Inputs!$B$2:$AZ$2,0)),Inputs!$B$2:$B$190,$B116)*Inputs!$D$1)</f>
        <v>0</v>
      </c>
      <c r="AK116" s="57">
        <f>IF(ISNA(SUMIFS(INDEX(Inputs!$B$2:$AZ$190,,MATCH(SUBSTITUTE(AK$3,"Q","T"),Inputs!$B$2:$AZ$2,0)),Inputs!$B$2:$B$190,$B116)*Inputs!$D$1),"",SUMIFS(INDEX(Inputs!$B$2:$AZ$190,,MATCH(SUBSTITUTE(AK$3,"Q","T"),Inputs!$B$2:$AZ$2,0)),Inputs!$B$2:$B$190,$B116)*Inputs!$D$1)</f>
        <v>0</v>
      </c>
      <c r="AL116" s="57">
        <f>IF(ISNA(SUMIFS(INDEX(Inputs!$B$2:$AZ$190,,MATCH(SUBSTITUTE(AL$3,"Q","T"),Inputs!$B$2:$AZ$2,0)),Inputs!$B$2:$B$190,$B116)*Inputs!$D$1),"",SUMIFS(INDEX(Inputs!$B$2:$AZ$190,,MATCH(SUBSTITUTE(AL$3,"Q","T"),Inputs!$B$2:$AZ$2,0)),Inputs!$B$2:$B$190,$B116)*Inputs!$D$1)</f>
        <v>0</v>
      </c>
      <c r="AM116" s="58">
        <f>AL116</f>
        <v>0</v>
      </c>
      <c r="AN116" s="57">
        <f>IF(ISNA(SUMIFS(INDEX(Inputs!$B$2:$AZ$190,,MATCH(SUBSTITUTE(AN$3,"Q","T"),Inputs!$B$2:$AZ$2,0)),Inputs!$B$2:$B$190,$B116)*Inputs!$D$1),"",SUMIFS(INDEX(Inputs!$B$2:$AZ$190,,MATCH(SUBSTITUTE(AN$3,"Q","T"),Inputs!$B$2:$AZ$2,0)),Inputs!$B$2:$B$190,$B116)*Inputs!$D$1)</f>
        <v>0</v>
      </c>
      <c r="AO116" s="57">
        <f>IF(ISNA(SUMIFS(INDEX(Inputs!$B$2:$AZ$190,,MATCH(SUBSTITUTE(AO$3,"Q","T"),Inputs!$B$2:$AZ$2,0)),Inputs!$B$2:$B$190,$B116)*Inputs!$D$1),"",SUMIFS(INDEX(Inputs!$B$2:$AZ$190,,MATCH(SUBSTITUTE(AO$3,"Q","T"),Inputs!$B$2:$AZ$2,0)),Inputs!$B$2:$B$190,$B116)*Inputs!$D$1)</f>
        <v>0</v>
      </c>
      <c r="AP116" s="57">
        <f>IF(ISNA(SUMIFS(INDEX(Inputs!$B$2:$AZ$190,,MATCH(SUBSTITUTE(AP$3,"Q","T"),Inputs!$B$2:$AZ$2,0)),Inputs!$B$2:$B$190,$B116)*Inputs!$D$1),"",SUMIFS(INDEX(Inputs!$B$2:$AZ$190,,MATCH(SUBSTITUTE(AP$3,"Q","T"),Inputs!$B$2:$AZ$2,0)),Inputs!$B$2:$B$190,$B116)*Inputs!$D$1)</f>
        <v>0</v>
      </c>
      <c r="AQ116" s="57">
        <f>IF(ISNA(SUMIFS(INDEX(Inputs!$B$2:$AZ$190,,MATCH(SUBSTITUTE(AQ$3,"Q","T"),Inputs!$B$2:$AZ$2,0)),Inputs!$B$2:$B$190,$B116)*Inputs!$D$1),"",SUMIFS(INDEX(Inputs!$B$2:$AZ$190,,MATCH(SUBSTITUTE(AQ$3,"Q","T"),Inputs!$B$2:$AZ$2,0)),Inputs!$B$2:$B$190,$B116)*Inputs!$D$1)</f>
        <v>0</v>
      </c>
      <c r="AR116" s="58">
        <f>AQ116</f>
        <v>0</v>
      </c>
      <c r="AS116" s="57">
        <f>IF(ISNA(SUMIFS(INDEX(Inputs!$B$2:$AZ$190,,MATCH(SUBSTITUTE(AS$3,"Q","T"),Inputs!$B$2:$AZ$2,0)),Inputs!$B$2:$B$190,$B116)*Inputs!$D$1),"",SUMIFS(INDEX(Inputs!$B$2:$AZ$190,,MATCH(SUBSTITUTE(AS$3,"Q","T"),Inputs!$B$2:$AZ$2,0)),Inputs!$B$2:$B$190,$B116)*Inputs!$D$1)</f>
        <v>0</v>
      </c>
      <c r="AT116" s="57">
        <f>IF(ISNA(SUMIFS(INDEX(Inputs!$B$2:$AZ$190,,MATCH(SUBSTITUTE(AT$3,"Q","T"),Inputs!$B$2:$AZ$2,0)),Inputs!$B$2:$B$190,$B116)*Inputs!$D$1),"",SUMIFS(INDEX(Inputs!$B$2:$AZ$190,,MATCH(SUBSTITUTE(AT$3,"Q","T"),Inputs!$B$2:$AZ$2,0)),Inputs!$B$2:$B$190,$B116)*Inputs!$D$1)</f>
        <v>0</v>
      </c>
      <c r="AU116" s="57">
        <f>IF(ISNA(SUMIFS(INDEX(Inputs!$B$2:$AZ$190,,MATCH(SUBSTITUTE(AU$3,"Q","T"),Inputs!$B$2:$AZ$2,0)),Inputs!$B$2:$B$190,$B116)*Inputs!$D$1),"",SUMIFS(INDEX(Inputs!$B$2:$AZ$190,,MATCH(SUBSTITUTE(AU$3,"Q","T"),Inputs!$B$2:$AZ$2,0)),Inputs!$B$2:$B$190,$B116)*Inputs!$D$1)</f>
        <v>0</v>
      </c>
      <c r="AV116" s="57">
        <f>IF(ISNA(SUMIFS(INDEX(Inputs!$B$2:$AZ$190,,MATCH(SUBSTITUTE(AV$3,"Q","T"),Inputs!$B$2:$AZ$2,0)),Inputs!$B$2:$B$190,$B116)*Inputs!$D$1),"",SUMIFS(INDEX(Inputs!$B$2:$AZ$190,,MATCH(SUBSTITUTE(AV$3,"Q","T"),Inputs!$B$2:$AZ$2,0)),Inputs!$B$2:$B$190,$B116)*Inputs!$D$1)</f>
        <v>0</v>
      </c>
      <c r="AW116" s="58">
        <f>AV116</f>
        <v>0</v>
      </c>
      <c r="AX116" s="57">
        <f>IF(ISNA(SUMIFS(INDEX(Inputs!$B$2:$AZ$190,,MATCH(SUBSTITUTE(AX$3,"Q","T"),Inputs!$B$2:$AZ$2,0)),Inputs!$B$2:$B$190,$B116)*Inputs!$D$1),"",SUMIFS(INDEX(Inputs!$B$2:$AZ$190,,MATCH(SUBSTITUTE(AX$3,"Q","T"),Inputs!$B$2:$AZ$2,0)),Inputs!$B$2:$B$190,$B116)*Inputs!$D$1)</f>
        <v>0</v>
      </c>
      <c r="AY116" s="57">
        <f>IF(ISNA(SUMIFS(INDEX(Inputs!$B$2:$AZ$190,,MATCH(SUBSTITUTE(AY$3,"Q","T"),Inputs!$B$2:$AZ$2,0)),Inputs!$B$2:$B$190,$B116)*Inputs!$D$1),"",SUMIFS(INDEX(Inputs!$B$2:$AZ$190,,MATCH(SUBSTITUTE(AY$3,"Q","T"),Inputs!$B$2:$AZ$2,0)),Inputs!$B$2:$B$190,$B116)*Inputs!$D$1)</f>
        <v>0</v>
      </c>
      <c r="AZ116" s="57">
        <f>IF(ISNA(SUMIFS(INDEX(Inputs!$B$2:$AZ$190,,MATCH(SUBSTITUTE(AZ$3,"Q","T"),Inputs!$B$2:$AZ$2,0)),Inputs!$B$2:$B$190,$B116)*Inputs!$D$1),"",SUMIFS(INDEX(Inputs!$B$2:$AZ$190,,MATCH(SUBSTITUTE(AZ$3,"Q","T"),Inputs!$B$2:$AZ$2,0)),Inputs!$B$2:$B$190,$B116)*Inputs!$D$1)</f>
        <v>0</v>
      </c>
      <c r="BA116" s="57">
        <f>IF(ISNA(SUMIFS(INDEX(Inputs!$B$2:$AZ$190,,MATCH(SUBSTITUTE(BA$3,"Q","T"),Inputs!$B$2:$AZ$2,0)),Inputs!$B$2:$B$190,$B116)*Inputs!$D$1),"",SUMIFS(INDEX(Inputs!$B$2:$AZ$190,,MATCH(SUBSTITUTE(BA$3,"Q","T"),Inputs!$B$2:$AZ$2,0)),Inputs!$B$2:$B$190,$B116)*Inputs!$D$1)</f>
        <v>0</v>
      </c>
      <c r="BB116" s="58">
        <f>BA116</f>
        <v>0</v>
      </c>
      <c r="BC116" s="57">
        <f>IF(ISNA(SUMIFS(INDEX(Inputs!$B$2:$AZ$190,,MATCH(SUBSTITUTE(BC$3,"Q","T"),Inputs!$B$2:$AZ$2,0)),Inputs!$B$2:$B$190,$B116)*Inputs!$D$1),"",SUMIFS(INDEX(Inputs!$B$2:$AZ$190,,MATCH(SUBSTITUTE(BC$3,"Q","T"),Inputs!$B$2:$AZ$2,0)),Inputs!$B$2:$B$190,$B116)*Inputs!$D$1)</f>
        <v>0</v>
      </c>
      <c r="BD116" s="57">
        <f>IF(ISNA(SUMIFS(INDEX(Inputs!$B$2:$AZ$190,,MATCH(SUBSTITUTE(BD$3,"Q","T"),Inputs!$B$2:$AZ$2,0)),Inputs!$B$2:$B$190,$B116)*Inputs!$D$1),"",SUMIFS(INDEX(Inputs!$B$2:$AZ$190,,MATCH(SUBSTITUTE(BD$3,"Q","T"),Inputs!$B$2:$AZ$2,0)),Inputs!$B$2:$B$190,$B116)*Inputs!$D$1)</f>
        <v>0</v>
      </c>
      <c r="BE116" s="57">
        <f>IF(ISNA(SUMIFS(INDEX(Inputs!$B$2:$AZ$190,,MATCH(SUBSTITUTE(BE$3,"Q","T"),Inputs!$B$2:$AZ$2,0)),Inputs!$B$2:$B$190,$B116)*Inputs!$D$1),"",SUMIFS(INDEX(Inputs!$B$2:$AZ$190,,MATCH(SUBSTITUTE(BE$3,"Q","T"),Inputs!$B$2:$AZ$2,0)),Inputs!$B$2:$B$190,$B116)*Inputs!$D$1)</f>
        <v>0</v>
      </c>
      <c r="BF116" s="57">
        <f>IF(ISNA(SUMIFS(INDEX(Inputs!$B$2:$AZ$190,,MATCH(SUBSTITUTE(BF$3,"Q","T"),Inputs!$B$2:$AZ$2,0)),Inputs!$B$2:$B$190,$B116)*Inputs!$D$1),"",SUMIFS(INDEX(Inputs!$B$2:$AZ$190,,MATCH(SUBSTITUTE(BF$3,"Q","T"),Inputs!$B$2:$AZ$2,0)),Inputs!$B$2:$B$190,$B116)*Inputs!$D$1)</f>
        <v>0</v>
      </c>
      <c r="BG116" s="58">
        <f>BF116</f>
        <v>0</v>
      </c>
    </row>
    <row r="117">
      <c r="B117" s="56" t="inlineStr">
        <is>
          <t>loans_card</t>
        </is>
      </c>
      <c r="C117" s="11" t="inlineStr">
        <is>
          <t>Cartão de crédito</t>
        </is>
      </c>
      <c r="D117" s="12" t="inlineStr">
        <is>
          <t>Credit card</t>
        </is>
      </c>
      <c r="E117" s="57">
        <f>IF(ISNA(SUMIFS(INDEX(Inputs!$B$2:$AZ$190,,MATCH(SUBSTITUTE(E$3,"Q","T"),Inputs!$B$2:$AZ$2,0)),Inputs!$B$2:$B$190,$B117)*Inputs!$D$1),"",SUMIFS(INDEX(Inputs!$B$2:$AZ$190,,MATCH(SUBSTITUTE(E$3,"Q","T"),Inputs!$B$2:$AZ$2,0)),Inputs!$B$2:$B$190,$B117)*Inputs!$D$1)</f>
        <v>0</v>
      </c>
      <c r="F117" s="57">
        <f>IF(ISNA(SUMIFS(INDEX(Inputs!$B$2:$AZ$190,,MATCH(SUBSTITUTE(F$3,"Q","T"),Inputs!$B$2:$AZ$2,0)),Inputs!$B$2:$B$190,$B117)*Inputs!$D$1),"",SUMIFS(INDEX(Inputs!$B$2:$AZ$190,,MATCH(SUBSTITUTE(F$3,"Q","T"),Inputs!$B$2:$AZ$2,0)),Inputs!$B$2:$B$190,$B117)*Inputs!$D$1)</f>
        <v>0</v>
      </c>
      <c r="G117" s="57">
        <f>IF(ISNA(SUMIFS(INDEX(Inputs!$B$2:$AZ$190,,MATCH(SUBSTITUTE(G$3,"Q","T"),Inputs!$B$2:$AZ$2,0)),Inputs!$B$2:$B$190,$B117)*Inputs!$D$1),"",SUMIFS(INDEX(Inputs!$B$2:$AZ$190,,MATCH(SUBSTITUTE(G$3,"Q","T"),Inputs!$B$2:$AZ$2,0)),Inputs!$B$2:$B$190,$B117)*Inputs!$D$1)</f>
        <v>0</v>
      </c>
      <c r="H117" s="57">
        <f>IF(ISNA(SUMIFS(INDEX(Inputs!$B$2:$AZ$190,,MATCH(SUBSTITUTE(H$3,"Q","T"),Inputs!$B$2:$AZ$2,0)),Inputs!$B$2:$B$190,$B117)*Inputs!$D$1),"",SUMIFS(INDEX(Inputs!$B$2:$AZ$190,,MATCH(SUBSTITUTE(H$3,"Q","T"),Inputs!$B$2:$AZ$2,0)),Inputs!$B$2:$B$190,$B117)*Inputs!$D$1)</f>
        <v>0</v>
      </c>
      <c r="I117" s="58">
        <f>H117</f>
        <v>0</v>
      </c>
      <c r="J117" s="57">
        <f>IF(ISNA(SUMIFS(INDEX(Inputs!$B$2:$AZ$190,,MATCH(SUBSTITUTE(J$3,"Q","T"),Inputs!$B$2:$AZ$2,0)),Inputs!$B$2:$B$190,$B117)*Inputs!$D$1),"",SUMIFS(INDEX(Inputs!$B$2:$AZ$190,,MATCH(SUBSTITUTE(J$3,"Q","T"),Inputs!$B$2:$AZ$2,0)),Inputs!$B$2:$B$190,$B117)*Inputs!$D$1)</f>
        <v>0</v>
      </c>
      <c r="K117" s="57">
        <f>IF(ISNA(SUMIFS(INDEX(Inputs!$B$2:$AZ$190,,MATCH(SUBSTITUTE(K$3,"Q","T"),Inputs!$B$2:$AZ$2,0)),Inputs!$B$2:$B$190,$B117)*Inputs!$D$1),"",SUMIFS(INDEX(Inputs!$B$2:$AZ$190,,MATCH(SUBSTITUTE(K$3,"Q","T"),Inputs!$B$2:$AZ$2,0)),Inputs!$B$2:$B$190,$B117)*Inputs!$D$1)</f>
        <v>0</v>
      </c>
      <c r="L117" s="57">
        <f>IF(ISNA(SUMIFS(INDEX(Inputs!$B$2:$AZ$190,,MATCH(SUBSTITUTE(L$3,"Q","T"),Inputs!$B$2:$AZ$2,0)),Inputs!$B$2:$B$190,$B117)*Inputs!$D$1),"",SUMIFS(INDEX(Inputs!$B$2:$AZ$190,,MATCH(SUBSTITUTE(L$3,"Q","T"),Inputs!$B$2:$AZ$2,0)),Inputs!$B$2:$B$190,$B117)*Inputs!$D$1)</f>
        <v>0</v>
      </c>
      <c r="M117" s="57">
        <f>IF(ISNA(SUMIFS(INDEX(Inputs!$B$2:$AZ$190,,MATCH(SUBSTITUTE(M$3,"Q","T"),Inputs!$B$2:$AZ$2,0)),Inputs!$B$2:$B$190,$B117)*Inputs!$D$1),"",SUMIFS(INDEX(Inputs!$B$2:$AZ$190,,MATCH(SUBSTITUTE(M$3,"Q","T"),Inputs!$B$2:$AZ$2,0)),Inputs!$B$2:$B$190,$B117)*Inputs!$D$1)</f>
        <v>0</v>
      </c>
      <c r="N117" s="58">
        <f>M117</f>
        <v>0</v>
      </c>
      <c r="O117" s="57">
        <f>IF(ISNA(SUMIFS(INDEX(Inputs!$B$2:$AZ$190,,MATCH(SUBSTITUTE(O$3,"Q","T"),Inputs!$B$2:$AZ$2,0)),Inputs!$B$2:$B$190,$B117)*Inputs!$D$1),"",SUMIFS(INDEX(Inputs!$B$2:$AZ$190,,MATCH(SUBSTITUTE(O$3,"Q","T"),Inputs!$B$2:$AZ$2,0)),Inputs!$B$2:$B$190,$B117)*Inputs!$D$1)</f>
        <v>0</v>
      </c>
      <c r="P117" s="57">
        <f>IF(ISNA(SUMIFS(INDEX(Inputs!$B$2:$AZ$190,,MATCH(SUBSTITUTE(P$3,"Q","T"),Inputs!$B$2:$AZ$2,0)),Inputs!$B$2:$B$190,$B117)*Inputs!$D$1),"",SUMIFS(INDEX(Inputs!$B$2:$AZ$190,,MATCH(SUBSTITUTE(P$3,"Q","T"),Inputs!$B$2:$AZ$2,0)),Inputs!$B$2:$B$190,$B117)*Inputs!$D$1)</f>
        <v>0</v>
      </c>
      <c r="Q117" s="57">
        <f>IF(ISNA(SUMIFS(INDEX(Inputs!$B$2:$AZ$190,,MATCH(SUBSTITUTE(Q$3,"Q","T"),Inputs!$B$2:$AZ$2,0)),Inputs!$B$2:$B$190,$B117)*Inputs!$D$1),"",SUMIFS(INDEX(Inputs!$B$2:$AZ$190,,MATCH(SUBSTITUTE(Q$3,"Q","T"),Inputs!$B$2:$AZ$2,0)),Inputs!$B$2:$B$190,$B117)*Inputs!$D$1)</f>
        <v>0</v>
      </c>
      <c r="R117" s="57">
        <f>IF(ISNA(SUMIFS(INDEX(Inputs!$B$2:$AZ$190,,MATCH(SUBSTITUTE(R$3,"Q","T"),Inputs!$B$2:$AZ$2,0)),Inputs!$B$2:$B$190,$B117)*Inputs!$D$1),"",SUMIFS(INDEX(Inputs!$B$2:$AZ$190,,MATCH(SUBSTITUTE(R$3,"Q","T"),Inputs!$B$2:$AZ$2,0)),Inputs!$B$2:$B$190,$B117)*Inputs!$D$1)</f>
        <v>0</v>
      </c>
      <c r="S117" s="58">
        <f>R117</f>
        <v>0</v>
      </c>
      <c r="T117" s="57">
        <f>IF(ISNA(SUMIFS(INDEX(Inputs!$B$2:$AZ$190,,MATCH(SUBSTITUTE(T$3,"Q","T"),Inputs!$B$2:$AZ$2,0)),Inputs!$B$2:$B$190,$B117)*Inputs!$D$1),"",SUMIFS(INDEX(Inputs!$B$2:$AZ$190,,MATCH(SUBSTITUTE(T$3,"Q","T"),Inputs!$B$2:$AZ$2,0)),Inputs!$B$2:$B$190,$B117)*Inputs!$D$1)</f>
        <v>0</v>
      </c>
      <c r="U117" s="57">
        <f>IF(ISNA(SUMIFS(INDEX(Inputs!$B$2:$AZ$190,,MATCH(SUBSTITUTE(U$3,"Q","T"),Inputs!$B$2:$AZ$2,0)),Inputs!$B$2:$B$190,$B117)*Inputs!$D$1),"",SUMIFS(INDEX(Inputs!$B$2:$AZ$190,,MATCH(SUBSTITUTE(U$3,"Q","T"),Inputs!$B$2:$AZ$2,0)),Inputs!$B$2:$B$190,$B117)*Inputs!$D$1)</f>
        <v>0</v>
      </c>
      <c r="V117" s="57">
        <f>IF(ISNA(SUMIFS(INDEX(Inputs!$B$2:$AZ$190,,MATCH(SUBSTITUTE(V$3,"Q","T"),Inputs!$B$2:$AZ$2,0)),Inputs!$B$2:$B$190,$B117)*Inputs!$D$1),"",SUMIFS(INDEX(Inputs!$B$2:$AZ$190,,MATCH(SUBSTITUTE(V$3,"Q","T"),Inputs!$B$2:$AZ$2,0)),Inputs!$B$2:$B$190,$B117)*Inputs!$D$1)</f>
        <v>0</v>
      </c>
      <c r="W117" s="57">
        <f>IF(ISNA(SUMIFS(INDEX(Inputs!$B$2:$AZ$190,,MATCH(SUBSTITUTE(W$3,"Q","T"),Inputs!$B$2:$AZ$2,0)),Inputs!$B$2:$B$190,$B117)*Inputs!$D$1),"",SUMIFS(INDEX(Inputs!$B$2:$AZ$190,,MATCH(SUBSTITUTE(W$3,"Q","T"),Inputs!$B$2:$AZ$2,0)),Inputs!$B$2:$B$190,$B117)*Inputs!$D$1)</f>
        <v>0</v>
      </c>
      <c r="X117" s="58">
        <f>W117</f>
        <v>0</v>
      </c>
      <c r="Y117" s="57">
        <f>IF(ISNA(SUMIFS(INDEX(Inputs!$B$2:$AZ$190,,MATCH(SUBSTITUTE(Y$3,"Q","T"),Inputs!$B$2:$AZ$2,0)),Inputs!$B$2:$B$190,$B117)*Inputs!$D$1),"",SUMIFS(INDEX(Inputs!$B$2:$AZ$190,,MATCH(SUBSTITUTE(Y$3,"Q","T"),Inputs!$B$2:$AZ$2,0)),Inputs!$B$2:$B$190,$B117)*Inputs!$D$1)</f>
        <v>0</v>
      </c>
      <c r="Z117" s="57">
        <f>IF(ISNA(SUMIFS(INDEX(Inputs!$B$2:$AZ$190,,MATCH(SUBSTITUTE(Z$3,"Q","T"),Inputs!$B$2:$AZ$2,0)),Inputs!$B$2:$B$190,$B117)*Inputs!$D$1),"",SUMIFS(INDEX(Inputs!$B$2:$AZ$190,,MATCH(SUBSTITUTE(Z$3,"Q","T"),Inputs!$B$2:$AZ$2,0)),Inputs!$B$2:$B$190,$B117)*Inputs!$D$1)</f>
        <v>0</v>
      </c>
      <c r="AA117" s="57">
        <f>IF(ISNA(SUMIFS(INDEX(Inputs!$B$2:$AZ$190,,MATCH(SUBSTITUTE(AA$3,"Q","T"),Inputs!$B$2:$AZ$2,0)),Inputs!$B$2:$B$190,$B117)*Inputs!$D$1),"",SUMIFS(INDEX(Inputs!$B$2:$AZ$190,,MATCH(SUBSTITUTE(AA$3,"Q","T"),Inputs!$B$2:$AZ$2,0)),Inputs!$B$2:$B$190,$B117)*Inputs!$D$1)</f>
        <v>0</v>
      </c>
      <c r="AB117" s="57">
        <f>IF(ISNA(SUMIFS(INDEX(Inputs!$B$2:$AZ$190,,MATCH(SUBSTITUTE(AB$3,"Q","T"),Inputs!$B$2:$AZ$2,0)),Inputs!$B$2:$B$190,$B117)*Inputs!$D$1),"",SUMIFS(INDEX(Inputs!$B$2:$AZ$190,,MATCH(SUBSTITUTE(AB$3,"Q","T"),Inputs!$B$2:$AZ$2,0)),Inputs!$B$2:$B$190,$B117)*Inputs!$D$1)</f>
        <v>0</v>
      </c>
      <c r="AC117" s="58">
        <f>AB117</f>
        <v>0</v>
      </c>
      <c r="AD117" s="57">
        <f>IF(ISNA(SUMIFS(INDEX(Inputs!$B$2:$AZ$190,,MATCH(SUBSTITUTE(AD$3,"Q","T"),Inputs!$B$2:$AZ$2,0)),Inputs!$B$2:$B$190,$B117)*Inputs!$D$1),"",SUMIFS(INDEX(Inputs!$B$2:$AZ$190,,MATCH(SUBSTITUTE(AD$3,"Q","T"),Inputs!$B$2:$AZ$2,0)),Inputs!$B$2:$B$190,$B117)*Inputs!$D$1)</f>
        <v>0</v>
      </c>
      <c r="AE117" s="57">
        <f>IF(ISNA(SUMIFS(INDEX(Inputs!$B$2:$AZ$190,,MATCH(SUBSTITUTE(AE$3,"Q","T"),Inputs!$B$2:$AZ$2,0)),Inputs!$B$2:$B$190,$B117)*Inputs!$D$1),"",SUMIFS(INDEX(Inputs!$B$2:$AZ$190,,MATCH(SUBSTITUTE(AE$3,"Q","T"),Inputs!$B$2:$AZ$2,0)),Inputs!$B$2:$B$190,$B117)*Inputs!$D$1)</f>
        <v>0</v>
      </c>
      <c r="AF117" s="57">
        <f>IF(ISNA(SUMIFS(INDEX(Inputs!$B$2:$AZ$190,,MATCH(SUBSTITUTE(AF$3,"Q","T"),Inputs!$B$2:$AZ$2,0)),Inputs!$B$2:$B$190,$B117)*Inputs!$D$1),"",SUMIFS(INDEX(Inputs!$B$2:$AZ$190,,MATCH(SUBSTITUTE(AF$3,"Q","T"),Inputs!$B$2:$AZ$2,0)),Inputs!$B$2:$B$190,$B117)*Inputs!$D$1)</f>
        <v>0</v>
      </c>
      <c r="AG117" s="57">
        <f>IF(ISNA(SUMIFS(INDEX(Inputs!$B$2:$AZ$190,,MATCH(SUBSTITUTE(AG$3,"Q","T"),Inputs!$B$2:$AZ$2,0)),Inputs!$B$2:$B$190,$B117)*Inputs!$D$1),"",SUMIFS(INDEX(Inputs!$B$2:$AZ$190,,MATCH(SUBSTITUTE(AG$3,"Q","T"),Inputs!$B$2:$AZ$2,0)),Inputs!$B$2:$B$190,$B117)*Inputs!$D$1)</f>
        <v>0</v>
      </c>
      <c r="AH117" s="58">
        <f>AG117</f>
        <v>0</v>
      </c>
      <c r="AI117" s="57">
        <f>IF(ISNA(SUMIFS(INDEX(Inputs!$B$2:$AZ$190,,MATCH(SUBSTITUTE(AI$3,"Q","T"),Inputs!$B$2:$AZ$2,0)),Inputs!$B$2:$B$190,$B117)*Inputs!$D$1),"",SUMIFS(INDEX(Inputs!$B$2:$AZ$190,,MATCH(SUBSTITUTE(AI$3,"Q","T"),Inputs!$B$2:$AZ$2,0)),Inputs!$B$2:$B$190,$B117)*Inputs!$D$1)</f>
        <v>0</v>
      </c>
      <c r="AJ117" s="57">
        <f>IF(ISNA(SUMIFS(INDEX(Inputs!$B$2:$AZ$190,,MATCH(SUBSTITUTE(AJ$3,"Q","T"),Inputs!$B$2:$AZ$2,0)),Inputs!$B$2:$B$190,$B117)*Inputs!$D$1),"",SUMIFS(INDEX(Inputs!$B$2:$AZ$190,,MATCH(SUBSTITUTE(AJ$3,"Q","T"),Inputs!$B$2:$AZ$2,0)),Inputs!$B$2:$B$190,$B117)*Inputs!$D$1)</f>
        <v>0</v>
      </c>
      <c r="AK117" s="57">
        <f>IF(ISNA(SUMIFS(INDEX(Inputs!$B$2:$AZ$190,,MATCH(SUBSTITUTE(AK$3,"Q","T"),Inputs!$B$2:$AZ$2,0)),Inputs!$B$2:$B$190,$B117)*Inputs!$D$1),"",SUMIFS(INDEX(Inputs!$B$2:$AZ$190,,MATCH(SUBSTITUTE(AK$3,"Q","T"),Inputs!$B$2:$AZ$2,0)),Inputs!$B$2:$B$190,$B117)*Inputs!$D$1)</f>
        <v>0</v>
      </c>
      <c r="AL117" s="57">
        <f>IF(ISNA(SUMIFS(INDEX(Inputs!$B$2:$AZ$190,,MATCH(SUBSTITUTE(AL$3,"Q","T"),Inputs!$B$2:$AZ$2,0)),Inputs!$B$2:$B$190,$B117)*Inputs!$D$1),"",SUMIFS(INDEX(Inputs!$B$2:$AZ$190,,MATCH(SUBSTITUTE(AL$3,"Q","T"),Inputs!$B$2:$AZ$2,0)),Inputs!$B$2:$B$190,$B117)*Inputs!$D$1)</f>
        <v>0</v>
      </c>
      <c r="AM117" s="58">
        <f>AL117</f>
        <v>0</v>
      </c>
      <c r="AN117" s="57">
        <f>IF(ISNA(SUMIFS(INDEX(Inputs!$B$2:$AZ$190,,MATCH(SUBSTITUTE(AN$3,"Q","T"),Inputs!$B$2:$AZ$2,0)),Inputs!$B$2:$B$190,$B117)*Inputs!$D$1),"",SUMIFS(INDEX(Inputs!$B$2:$AZ$190,,MATCH(SUBSTITUTE(AN$3,"Q","T"),Inputs!$B$2:$AZ$2,0)),Inputs!$B$2:$B$190,$B117)*Inputs!$D$1)</f>
        <v>0</v>
      </c>
      <c r="AO117" s="57">
        <f>IF(ISNA(SUMIFS(INDEX(Inputs!$B$2:$AZ$190,,MATCH(SUBSTITUTE(AO$3,"Q","T"),Inputs!$B$2:$AZ$2,0)),Inputs!$B$2:$B$190,$B117)*Inputs!$D$1),"",SUMIFS(INDEX(Inputs!$B$2:$AZ$190,,MATCH(SUBSTITUTE(AO$3,"Q","T"),Inputs!$B$2:$AZ$2,0)),Inputs!$B$2:$B$190,$B117)*Inputs!$D$1)</f>
        <v>0</v>
      </c>
      <c r="AP117" s="57">
        <f>IF(ISNA(SUMIFS(INDEX(Inputs!$B$2:$AZ$190,,MATCH(SUBSTITUTE(AP$3,"Q","T"),Inputs!$B$2:$AZ$2,0)),Inputs!$B$2:$B$190,$B117)*Inputs!$D$1),"",SUMIFS(INDEX(Inputs!$B$2:$AZ$190,,MATCH(SUBSTITUTE(AP$3,"Q","T"),Inputs!$B$2:$AZ$2,0)),Inputs!$B$2:$B$190,$B117)*Inputs!$D$1)</f>
        <v>0</v>
      </c>
      <c r="AQ117" s="57">
        <f>IF(ISNA(SUMIFS(INDEX(Inputs!$B$2:$AZ$190,,MATCH(SUBSTITUTE(AQ$3,"Q","T"),Inputs!$B$2:$AZ$2,0)),Inputs!$B$2:$B$190,$B117)*Inputs!$D$1),"",SUMIFS(INDEX(Inputs!$B$2:$AZ$190,,MATCH(SUBSTITUTE(AQ$3,"Q","T"),Inputs!$B$2:$AZ$2,0)),Inputs!$B$2:$B$190,$B117)*Inputs!$D$1)</f>
        <v>0</v>
      </c>
      <c r="AR117" s="58">
        <f>AQ117</f>
        <v>0</v>
      </c>
      <c r="AS117" s="57">
        <f>IF(ISNA(SUMIFS(INDEX(Inputs!$B$2:$AZ$190,,MATCH(SUBSTITUTE(AS$3,"Q","T"),Inputs!$B$2:$AZ$2,0)),Inputs!$B$2:$B$190,$B117)*Inputs!$D$1),"",SUMIFS(INDEX(Inputs!$B$2:$AZ$190,,MATCH(SUBSTITUTE(AS$3,"Q","T"),Inputs!$B$2:$AZ$2,0)),Inputs!$B$2:$B$190,$B117)*Inputs!$D$1)</f>
        <v>0</v>
      </c>
      <c r="AT117" s="57">
        <f>IF(ISNA(SUMIFS(INDEX(Inputs!$B$2:$AZ$190,,MATCH(SUBSTITUTE(AT$3,"Q","T"),Inputs!$B$2:$AZ$2,0)),Inputs!$B$2:$B$190,$B117)*Inputs!$D$1),"",SUMIFS(INDEX(Inputs!$B$2:$AZ$190,,MATCH(SUBSTITUTE(AT$3,"Q","T"),Inputs!$B$2:$AZ$2,0)),Inputs!$B$2:$B$190,$B117)*Inputs!$D$1)</f>
        <v>0</v>
      </c>
      <c r="AU117" s="57">
        <f>IF(ISNA(SUMIFS(INDEX(Inputs!$B$2:$AZ$190,,MATCH(SUBSTITUTE(AU$3,"Q","T"),Inputs!$B$2:$AZ$2,0)),Inputs!$B$2:$B$190,$B117)*Inputs!$D$1),"",SUMIFS(INDEX(Inputs!$B$2:$AZ$190,,MATCH(SUBSTITUTE(AU$3,"Q","T"),Inputs!$B$2:$AZ$2,0)),Inputs!$B$2:$B$190,$B117)*Inputs!$D$1)</f>
        <v>0</v>
      </c>
      <c r="AV117" s="57">
        <f>IF(ISNA(SUMIFS(INDEX(Inputs!$B$2:$AZ$190,,MATCH(SUBSTITUTE(AV$3,"Q","T"),Inputs!$B$2:$AZ$2,0)),Inputs!$B$2:$B$190,$B117)*Inputs!$D$1),"",SUMIFS(INDEX(Inputs!$B$2:$AZ$190,,MATCH(SUBSTITUTE(AV$3,"Q","T"),Inputs!$B$2:$AZ$2,0)),Inputs!$B$2:$B$190,$B117)*Inputs!$D$1)</f>
        <v>0</v>
      </c>
      <c r="AW117" s="58">
        <f>AV117</f>
        <v>0</v>
      </c>
      <c r="AX117" s="57">
        <f>IF(ISNA(SUMIFS(INDEX(Inputs!$B$2:$AZ$190,,MATCH(SUBSTITUTE(AX$3,"Q","T"),Inputs!$B$2:$AZ$2,0)),Inputs!$B$2:$B$190,$B117)*Inputs!$D$1),"",SUMIFS(INDEX(Inputs!$B$2:$AZ$190,,MATCH(SUBSTITUTE(AX$3,"Q","T"),Inputs!$B$2:$AZ$2,0)),Inputs!$B$2:$B$190,$B117)*Inputs!$D$1)</f>
        <v>0</v>
      </c>
      <c r="AY117" s="57">
        <f>IF(ISNA(SUMIFS(INDEX(Inputs!$B$2:$AZ$190,,MATCH(SUBSTITUTE(AY$3,"Q","T"),Inputs!$B$2:$AZ$2,0)),Inputs!$B$2:$B$190,$B117)*Inputs!$D$1),"",SUMIFS(INDEX(Inputs!$B$2:$AZ$190,,MATCH(SUBSTITUTE(AY$3,"Q","T"),Inputs!$B$2:$AZ$2,0)),Inputs!$B$2:$B$190,$B117)*Inputs!$D$1)</f>
        <v>0</v>
      </c>
      <c r="AZ117" s="57">
        <f>IF(ISNA(SUMIFS(INDEX(Inputs!$B$2:$AZ$190,,MATCH(SUBSTITUTE(AZ$3,"Q","T"),Inputs!$B$2:$AZ$2,0)),Inputs!$B$2:$B$190,$B117)*Inputs!$D$1),"",SUMIFS(INDEX(Inputs!$B$2:$AZ$190,,MATCH(SUBSTITUTE(AZ$3,"Q","T"),Inputs!$B$2:$AZ$2,0)),Inputs!$B$2:$B$190,$B117)*Inputs!$D$1)</f>
        <v>0</v>
      </c>
      <c r="BA117" s="57">
        <f>IF(ISNA(SUMIFS(INDEX(Inputs!$B$2:$AZ$190,,MATCH(SUBSTITUTE(BA$3,"Q","T"),Inputs!$B$2:$AZ$2,0)),Inputs!$B$2:$B$190,$B117)*Inputs!$D$1),"",SUMIFS(INDEX(Inputs!$B$2:$AZ$190,,MATCH(SUBSTITUTE(BA$3,"Q","T"),Inputs!$B$2:$AZ$2,0)),Inputs!$B$2:$B$190,$B117)*Inputs!$D$1)</f>
        <v>0</v>
      </c>
      <c r="BB117" s="58">
        <f>BA117</f>
        <v>0</v>
      </c>
      <c r="BC117" s="57">
        <f>IF(ISNA(SUMIFS(INDEX(Inputs!$B$2:$AZ$190,,MATCH(SUBSTITUTE(BC$3,"Q","T"),Inputs!$B$2:$AZ$2,0)),Inputs!$B$2:$B$190,$B117)*Inputs!$D$1),"",SUMIFS(INDEX(Inputs!$B$2:$AZ$190,,MATCH(SUBSTITUTE(BC$3,"Q","T"),Inputs!$B$2:$AZ$2,0)),Inputs!$B$2:$B$190,$B117)*Inputs!$D$1)</f>
        <v>0</v>
      </c>
      <c r="BD117" s="57">
        <f>IF(ISNA(SUMIFS(INDEX(Inputs!$B$2:$AZ$190,,MATCH(SUBSTITUTE(BD$3,"Q","T"),Inputs!$B$2:$AZ$2,0)),Inputs!$B$2:$B$190,$B117)*Inputs!$D$1),"",SUMIFS(INDEX(Inputs!$B$2:$AZ$190,,MATCH(SUBSTITUTE(BD$3,"Q","T"),Inputs!$B$2:$AZ$2,0)),Inputs!$B$2:$B$190,$B117)*Inputs!$D$1)</f>
        <v>0</v>
      </c>
      <c r="BE117" s="57">
        <f>IF(ISNA(SUMIFS(INDEX(Inputs!$B$2:$AZ$190,,MATCH(SUBSTITUTE(BE$3,"Q","T"),Inputs!$B$2:$AZ$2,0)),Inputs!$B$2:$B$190,$B117)*Inputs!$D$1),"",SUMIFS(INDEX(Inputs!$B$2:$AZ$190,,MATCH(SUBSTITUTE(BE$3,"Q","T"),Inputs!$B$2:$AZ$2,0)),Inputs!$B$2:$B$190,$B117)*Inputs!$D$1)</f>
        <v>0</v>
      </c>
      <c r="BF117" s="57">
        <f>IF(ISNA(SUMIFS(INDEX(Inputs!$B$2:$AZ$190,,MATCH(SUBSTITUTE(BF$3,"Q","T"),Inputs!$B$2:$AZ$2,0)),Inputs!$B$2:$B$190,$B117)*Inputs!$D$1),"",SUMIFS(INDEX(Inputs!$B$2:$AZ$190,,MATCH(SUBSTITUTE(BF$3,"Q","T"),Inputs!$B$2:$AZ$2,0)),Inputs!$B$2:$B$190,$B117)*Inputs!$D$1)</f>
        <v>0</v>
      </c>
      <c r="BG117" s="58">
        <f>BF117</f>
        <v>0</v>
      </c>
    </row>
    <row r="118">
      <c r="B118" s="56" t="inlineStr">
        <is>
          <t>nonaccrual</t>
        </is>
      </c>
      <c r="C118" s="11" t="inlineStr">
        <is>
          <t>Empréstimos em nonaccrual</t>
        </is>
      </c>
      <c r="D118" s="12" t="inlineStr">
        <is>
          <t>Nonaccrual loans</t>
        </is>
      </c>
      <c r="E118" s="57">
        <f>IF(ISNA(SUMIFS(INDEX(Inputs!$B$2:$AZ$190,,MATCH(SUBSTITUTE(E$3,"Q","T"),Inputs!$B$2:$AZ$2,0)),Inputs!$B$2:$B$190,$B118)*Inputs!$D$1),"",SUMIFS(INDEX(Inputs!$B$2:$AZ$190,,MATCH(SUBSTITUTE(E$3,"Q","T"),Inputs!$B$2:$AZ$2,0)),Inputs!$B$2:$B$190,$B118)*Inputs!$D$1)</f>
        <v>0</v>
      </c>
      <c r="F118" s="57">
        <f>IF(ISNA(SUMIFS(INDEX(Inputs!$B$2:$AZ$190,,MATCH(SUBSTITUTE(F$3,"Q","T"),Inputs!$B$2:$AZ$2,0)),Inputs!$B$2:$B$190,$B118)*Inputs!$D$1),"",SUMIFS(INDEX(Inputs!$B$2:$AZ$190,,MATCH(SUBSTITUTE(F$3,"Q","T"),Inputs!$B$2:$AZ$2,0)),Inputs!$B$2:$B$190,$B118)*Inputs!$D$1)</f>
        <v>0</v>
      </c>
      <c r="G118" s="57">
        <f>IF(ISNA(SUMIFS(INDEX(Inputs!$B$2:$AZ$190,,MATCH(SUBSTITUTE(G$3,"Q","T"),Inputs!$B$2:$AZ$2,0)),Inputs!$B$2:$B$190,$B118)*Inputs!$D$1),"",SUMIFS(INDEX(Inputs!$B$2:$AZ$190,,MATCH(SUBSTITUTE(G$3,"Q","T"),Inputs!$B$2:$AZ$2,0)),Inputs!$B$2:$B$190,$B118)*Inputs!$D$1)</f>
        <v>0</v>
      </c>
      <c r="H118" s="57">
        <f>IF(ISNA(SUMIFS(INDEX(Inputs!$B$2:$AZ$190,,MATCH(SUBSTITUTE(H$3,"Q","T"),Inputs!$B$2:$AZ$2,0)),Inputs!$B$2:$B$190,$B118)*Inputs!$D$1),"",SUMIFS(INDEX(Inputs!$B$2:$AZ$190,,MATCH(SUBSTITUTE(H$3,"Q","T"),Inputs!$B$2:$AZ$2,0)),Inputs!$B$2:$B$190,$B118)*Inputs!$D$1)</f>
        <v>0</v>
      </c>
      <c r="I118" s="58">
        <f>H118</f>
        <v>0</v>
      </c>
      <c r="J118" s="57">
        <f>IF(ISNA(SUMIFS(INDEX(Inputs!$B$2:$AZ$190,,MATCH(SUBSTITUTE(J$3,"Q","T"),Inputs!$B$2:$AZ$2,0)),Inputs!$B$2:$B$190,$B118)*Inputs!$D$1),"",SUMIFS(INDEX(Inputs!$B$2:$AZ$190,,MATCH(SUBSTITUTE(J$3,"Q","T"),Inputs!$B$2:$AZ$2,0)),Inputs!$B$2:$B$190,$B118)*Inputs!$D$1)</f>
        <v>0</v>
      </c>
      <c r="K118" s="57">
        <f>IF(ISNA(SUMIFS(INDEX(Inputs!$B$2:$AZ$190,,MATCH(SUBSTITUTE(K$3,"Q","T"),Inputs!$B$2:$AZ$2,0)),Inputs!$B$2:$B$190,$B118)*Inputs!$D$1),"",SUMIFS(INDEX(Inputs!$B$2:$AZ$190,,MATCH(SUBSTITUTE(K$3,"Q","T"),Inputs!$B$2:$AZ$2,0)),Inputs!$B$2:$B$190,$B118)*Inputs!$D$1)</f>
        <v>0</v>
      </c>
      <c r="L118" s="57">
        <f>IF(ISNA(SUMIFS(INDEX(Inputs!$B$2:$AZ$190,,MATCH(SUBSTITUTE(L$3,"Q","T"),Inputs!$B$2:$AZ$2,0)),Inputs!$B$2:$B$190,$B118)*Inputs!$D$1),"",SUMIFS(INDEX(Inputs!$B$2:$AZ$190,,MATCH(SUBSTITUTE(L$3,"Q","T"),Inputs!$B$2:$AZ$2,0)),Inputs!$B$2:$B$190,$B118)*Inputs!$D$1)</f>
        <v>0</v>
      </c>
      <c r="M118" s="57">
        <f>IF(ISNA(SUMIFS(INDEX(Inputs!$B$2:$AZ$190,,MATCH(SUBSTITUTE(M$3,"Q","T"),Inputs!$B$2:$AZ$2,0)),Inputs!$B$2:$B$190,$B118)*Inputs!$D$1),"",SUMIFS(INDEX(Inputs!$B$2:$AZ$190,,MATCH(SUBSTITUTE(M$3,"Q","T"),Inputs!$B$2:$AZ$2,0)),Inputs!$B$2:$B$190,$B118)*Inputs!$D$1)</f>
        <v>0</v>
      </c>
      <c r="N118" s="58">
        <f>M118</f>
        <v>0</v>
      </c>
      <c r="O118" s="57">
        <f>IF(ISNA(SUMIFS(INDEX(Inputs!$B$2:$AZ$190,,MATCH(SUBSTITUTE(O$3,"Q","T"),Inputs!$B$2:$AZ$2,0)),Inputs!$B$2:$B$190,$B118)*Inputs!$D$1),"",SUMIFS(INDEX(Inputs!$B$2:$AZ$190,,MATCH(SUBSTITUTE(O$3,"Q","T"),Inputs!$B$2:$AZ$2,0)),Inputs!$B$2:$B$190,$B118)*Inputs!$D$1)</f>
        <v>0</v>
      </c>
      <c r="P118" s="57">
        <f>IF(ISNA(SUMIFS(INDEX(Inputs!$B$2:$AZ$190,,MATCH(SUBSTITUTE(P$3,"Q","T"),Inputs!$B$2:$AZ$2,0)),Inputs!$B$2:$B$190,$B118)*Inputs!$D$1),"",SUMIFS(INDEX(Inputs!$B$2:$AZ$190,,MATCH(SUBSTITUTE(P$3,"Q","T"),Inputs!$B$2:$AZ$2,0)),Inputs!$B$2:$B$190,$B118)*Inputs!$D$1)</f>
        <v>0</v>
      </c>
      <c r="Q118" s="57">
        <f>IF(ISNA(SUMIFS(INDEX(Inputs!$B$2:$AZ$190,,MATCH(SUBSTITUTE(Q$3,"Q","T"),Inputs!$B$2:$AZ$2,0)),Inputs!$B$2:$B$190,$B118)*Inputs!$D$1),"",SUMIFS(INDEX(Inputs!$B$2:$AZ$190,,MATCH(SUBSTITUTE(Q$3,"Q","T"),Inputs!$B$2:$AZ$2,0)),Inputs!$B$2:$B$190,$B118)*Inputs!$D$1)</f>
        <v>0</v>
      </c>
      <c r="R118" s="57">
        <f>IF(ISNA(SUMIFS(INDEX(Inputs!$B$2:$AZ$190,,MATCH(SUBSTITUTE(R$3,"Q","T"),Inputs!$B$2:$AZ$2,0)),Inputs!$B$2:$B$190,$B118)*Inputs!$D$1),"",SUMIFS(INDEX(Inputs!$B$2:$AZ$190,,MATCH(SUBSTITUTE(R$3,"Q","T"),Inputs!$B$2:$AZ$2,0)),Inputs!$B$2:$B$190,$B118)*Inputs!$D$1)</f>
        <v>0</v>
      </c>
      <c r="S118" s="58">
        <f>R118</f>
        <v>0</v>
      </c>
      <c r="T118" s="57">
        <f>IF(ISNA(SUMIFS(INDEX(Inputs!$B$2:$AZ$190,,MATCH(SUBSTITUTE(T$3,"Q","T"),Inputs!$B$2:$AZ$2,0)),Inputs!$B$2:$B$190,$B118)*Inputs!$D$1),"",SUMIFS(INDEX(Inputs!$B$2:$AZ$190,,MATCH(SUBSTITUTE(T$3,"Q","T"),Inputs!$B$2:$AZ$2,0)),Inputs!$B$2:$B$190,$B118)*Inputs!$D$1)</f>
        <v>0</v>
      </c>
      <c r="U118" s="57">
        <f>IF(ISNA(SUMIFS(INDEX(Inputs!$B$2:$AZ$190,,MATCH(SUBSTITUTE(U$3,"Q","T"),Inputs!$B$2:$AZ$2,0)),Inputs!$B$2:$B$190,$B118)*Inputs!$D$1),"",SUMIFS(INDEX(Inputs!$B$2:$AZ$190,,MATCH(SUBSTITUTE(U$3,"Q","T"),Inputs!$B$2:$AZ$2,0)),Inputs!$B$2:$B$190,$B118)*Inputs!$D$1)</f>
        <v>0</v>
      </c>
      <c r="V118" s="57">
        <f>IF(ISNA(SUMIFS(INDEX(Inputs!$B$2:$AZ$190,,MATCH(SUBSTITUTE(V$3,"Q","T"),Inputs!$B$2:$AZ$2,0)),Inputs!$B$2:$B$190,$B118)*Inputs!$D$1),"",SUMIFS(INDEX(Inputs!$B$2:$AZ$190,,MATCH(SUBSTITUTE(V$3,"Q","T"),Inputs!$B$2:$AZ$2,0)),Inputs!$B$2:$B$190,$B118)*Inputs!$D$1)</f>
        <v>0</v>
      </c>
      <c r="W118" s="57">
        <f>IF(ISNA(SUMIFS(INDEX(Inputs!$B$2:$AZ$190,,MATCH(SUBSTITUTE(W$3,"Q","T"),Inputs!$B$2:$AZ$2,0)),Inputs!$B$2:$B$190,$B118)*Inputs!$D$1),"",SUMIFS(INDEX(Inputs!$B$2:$AZ$190,,MATCH(SUBSTITUTE(W$3,"Q","T"),Inputs!$B$2:$AZ$2,0)),Inputs!$B$2:$B$190,$B118)*Inputs!$D$1)</f>
        <v>0</v>
      </c>
      <c r="X118" s="58">
        <f>W118</f>
        <v>0</v>
      </c>
      <c r="Y118" s="57">
        <f>IF(ISNA(SUMIFS(INDEX(Inputs!$B$2:$AZ$190,,MATCH(SUBSTITUTE(Y$3,"Q","T"),Inputs!$B$2:$AZ$2,0)),Inputs!$B$2:$B$190,$B118)*Inputs!$D$1),"",SUMIFS(INDEX(Inputs!$B$2:$AZ$190,,MATCH(SUBSTITUTE(Y$3,"Q","T"),Inputs!$B$2:$AZ$2,0)),Inputs!$B$2:$B$190,$B118)*Inputs!$D$1)</f>
        <v>0</v>
      </c>
      <c r="Z118" s="57">
        <f>IF(ISNA(SUMIFS(INDEX(Inputs!$B$2:$AZ$190,,MATCH(SUBSTITUTE(Z$3,"Q","T"),Inputs!$B$2:$AZ$2,0)),Inputs!$B$2:$B$190,$B118)*Inputs!$D$1),"",SUMIFS(INDEX(Inputs!$B$2:$AZ$190,,MATCH(SUBSTITUTE(Z$3,"Q","T"),Inputs!$B$2:$AZ$2,0)),Inputs!$B$2:$B$190,$B118)*Inputs!$D$1)</f>
        <v>0</v>
      </c>
      <c r="AA118" s="57">
        <f>IF(ISNA(SUMIFS(INDEX(Inputs!$B$2:$AZ$190,,MATCH(SUBSTITUTE(AA$3,"Q","T"),Inputs!$B$2:$AZ$2,0)),Inputs!$B$2:$B$190,$B118)*Inputs!$D$1),"",SUMIFS(INDEX(Inputs!$B$2:$AZ$190,,MATCH(SUBSTITUTE(AA$3,"Q","T"),Inputs!$B$2:$AZ$2,0)),Inputs!$B$2:$B$190,$B118)*Inputs!$D$1)</f>
        <v>0</v>
      </c>
      <c r="AB118" s="57">
        <f>IF(ISNA(SUMIFS(INDEX(Inputs!$B$2:$AZ$190,,MATCH(SUBSTITUTE(AB$3,"Q","T"),Inputs!$B$2:$AZ$2,0)),Inputs!$B$2:$B$190,$B118)*Inputs!$D$1),"",SUMIFS(INDEX(Inputs!$B$2:$AZ$190,,MATCH(SUBSTITUTE(AB$3,"Q","T"),Inputs!$B$2:$AZ$2,0)),Inputs!$B$2:$B$190,$B118)*Inputs!$D$1)</f>
        <v>0</v>
      </c>
      <c r="AC118" s="58">
        <f>AB118</f>
        <v>0</v>
      </c>
      <c r="AD118" s="57">
        <f>IF(ISNA(SUMIFS(INDEX(Inputs!$B$2:$AZ$190,,MATCH(SUBSTITUTE(AD$3,"Q","T"),Inputs!$B$2:$AZ$2,0)),Inputs!$B$2:$B$190,$B118)*Inputs!$D$1),"",SUMIFS(INDEX(Inputs!$B$2:$AZ$190,,MATCH(SUBSTITUTE(AD$3,"Q","T"),Inputs!$B$2:$AZ$2,0)),Inputs!$B$2:$B$190,$B118)*Inputs!$D$1)</f>
        <v>0</v>
      </c>
      <c r="AE118" s="57">
        <f>IF(ISNA(SUMIFS(INDEX(Inputs!$B$2:$AZ$190,,MATCH(SUBSTITUTE(AE$3,"Q","T"),Inputs!$B$2:$AZ$2,0)),Inputs!$B$2:$B$190,$B118)*Inputs!$D$1),"",SUMIFS(INDEX(Inputs!$B$2:$AZ$190,,MATCH(SUBSTITUTE(AE$3,"Q","T"),Inputs!$B$2:$AZ$2,0)),Inputs!$B$2:$B$190,$B118)*Inputs!$D$1)</f>
        <v>0</v>
      </c>
      <c r="AF118" s="57">
        <f>IF(ISNA(SUMIFS(INDEX(Inputs!$B$2:$AZ$190,,MATCH(SUBSTITUTE(AF$3,"Q","T"),Inputs!$B$2:$AZ$2,0)),Inputs!$B$2:$B$190,$B118)*Inputs!$D$1),"",SUMIFS(INDEX(Inputs!$B$2:$AZ$190,,MATCH(SUBSTITUTE(AF$3,"Q","T"),Inputs!$B$2:$AZ$2,0)),Inputs!$B$2:$B$190,$B118)*Inputs!$D$1)</f>
        <v>0</v>
      </c>
      <c r="AG118" s="57">
        <f>IF(ISNA(SUMIFS(INDEX(Inputs!$B$2:$AZ$190,,MATCH(SUBSTITUTE(AG$3,"Q","T"),Inputs!$B$2:$AZ$2,0)),Inputs!$B$2:$B$190,$B118)*Inputs!$D$1),"",SUMIFS(INDEX(Inputs!$B$2:$AZ$190,,MATCH(SUBSTITUTE(AG$3,"Q","T"),Inputs!$B$2:$AZ$2,0)),Inputs!$B$2:$B$190,$B118)*Inputs!$D$1)</f>
        <v>0</v>
      </c>
      <c r="AH118" s="58">
        <f>AG118</f>
        <v>0</v>
      </c>
      <c r="AI118" s="57">
        <f>IF(ISNA(SUMIFS(INDEX(Inputs!$B$2:$AZ$190,,MATCH(SUBSTITUTE(AI$3,"Q","T"),Inputs!$B$2:$AZ$2,0)),Inputs!$B$2:$B$190,$B118)*Inputs!$D$1),"",SUMIFS(INDEX(Inputs!$B$2:$AZ$190,,MATCH(SUBSTITUTE(AI$3,"Q","T"),Inputs!$B$2:$AZ$2,0)),Inputs!$B$2:$B$190,$B118)*Inputs!$D$1)</f>
        <v>0</v>
      </c>
      <c r="AJ118" s="57">
        <f>IF(ISNA(SUMIFS(INDEX(Inputs!$B$2:$AZ$190,,MATCH(SUBSTITUTE(AJ$3,"Q","T"),Inputs!$B$2:$AZ$2,0)),Inputs!$B$2:$B$190,$B118)*Inputs!$D$1),"",SUMIFS(INDEX(Inputs!$B$2:$AZ$190,,MATCH(SUBSTITUTE(AJ$3,"Q","T"),Inputs!$B$2:$AZ$2,0)),Inputs!$B$2:$B$190,$B118)*Inputs!$D$1)</f>
        <v>0</v>
      </c>
      <c r="AK118" s="57">
        <f>IF(ISNA(SUMIFS(INDEX(Inputs!$B$2:$AZ$190,,MATCH(SUBSTITUTE(AK$3,"Q","T"),Inputs!$B$2:$AZ$2,0)),Inputs!$B$2:$B$190,$B118)*Inputs!$D$1),"",SUMIFS(INDEX(Inputs!$B$2:$AZ$190,,MATCH(SUBSTITUTE(AK$3,"Q","T"),Inputs!$B$2:$AZ$2,0)),Inputs!$B$2:$B$190,$B118)*Inputs!$D$1)</f>
        <v>0</v>
      </c>
      <c r="AL118" s="57">
        <f>IF(ISNA(SUMIFS(INDEX(Inputs!$B$2:$AZ$190,,MATCH(SUBSTITUTE(AL$3,"Q","T"),Inputs!$B$2:$AZ$2,0)),Inputs!$B$2:$B$190,$B118)*Inputs!$D$1),"",SUMIFS(INDEX(Inputs!$B$2:$AZ$190,,MATCH(SUBSTITUTE(AL$3,"Q","T"),Inputs!$B$2:$AZ$2,0)),Inputs!$B$2:$B$190,$B118)*Inputs!$D$1)</f>
        <v>0</v>
      </c>
      <c r="AM118" s="58">
        <f>AL118</f>
        <v>0</v>
      </c>
      <c r="AN118" s="57">
        <f>IF(ISNA(SUMIFS(INDEX(Inputs!$B$2:$AZ$190,,MATCH(SUBSTITUTE(AN$3,"Q","T"),Inputs!$B$2:$AZ$2,0)),Inputs!$B$2:$B$190,$B118)*Inputs!$D$1),"",SUMIFS(INDEX(Inputs!$B$2:$AZ$190,,MATCH(SUBSTITUTE(AN$3,"Q","T"),Inputs!$B$2:$AZ$2,0)),Inputs!$B$2:$B$190,$B118)*Inputs!$D$1)</f>
        <v>0</v>
      </c>
      <c r="AO118" s="57">
        <f>IF(ISNA(SUMIFS(INDEX(Inputs!$B$2:$AZ$190,,MATCH(SUBSTITUTE(AO$3,"Q","T"),Inputs!$B$2:$AZ$2,0)),Inputs!$B$2:$B$190,$B118)*Inputs!$D$1),"",SUMIFS(INDEX(Inputs!$B$2:$AZ$190,,MATCH(SUBSTITUTE(AO$3,"Q","T"),Inputs!$B$2:$AZ$2,0)),Inputs!$B$2:$B$190,$B118)*Inputs!$D$1)</f>
        <v>0</v>
      </c>
      <c r="AP118" s="57">
        <f>IF(ISNA(SUMIFS(INDEX(Inputs!$B$2:$AZ$190,,MATCH(SUBSTITUTE(AP$3,"Q","T"),Inputs!$B$2:$AZ$2,0)),Inputs!$B$2:$B$190,$B118)*Inputs!$D$1),"",SUMIFS(INDEX(Inputs!$B$2:$AZ$190,,MATCH(SUBSTITUTE(AP$3,"Q","T"),Inputs!$B$2:$AZ$2,0)),Inputs!$B$2:$B$190,$B118)*Inputs!$D$1)</f>
        <v>0</v>
      </c>
      <c r="AQ118" s="57">
        <f>IF(ISNA(SUMIFS(INDEX(Inputs!$B$2:$AZ$190,,MATCH(SUBSTITUTE(AQ$3,"Q","T"),Inputs!$B$2:$AZ$2,0)),Inputs!$B$2:$B$190,$B118)*Inputs!$D$1),"",SUMIFS(INDEX(Inputs!$B$2:$AZ$190,,MATCH(SUBSTITUTE(AQ$3,"Q","T"),Inputs!$B$2:$AZ$2,0)),Inputs!$B$2:$B$190,$B118)*Inputs!$D$1)</f>
        <v>0</v>
      </c>
      <c r="AR118" s="58">
        <f>AQ118</f>
        <v>0</v>
      </c>
      <c r="AS118" s="57">
        <f>IF(ISNA(SUMIFS(INDEX(Inputs!$B$2:$AZ$190,,MATCH(SUBSTITUTE(AS$3,"Q","T"),Inputs!$B$2:$AZ$2,0)),Inputs!$B$2:$B$190,$B118)*Inputs!$D$1),"",SUMIFS(INDEX(Inputs!$B$2:$AZ$190,,MATCH(SUBSTITUTE(AS$3,"Q","T"),Inputs!$B$2:$AZ$2,0)),Inputs!$B$2:$B$190,$B118)*Inputs!$D$1)</f>
        <v>0</v>
      </c>
      <c r="AT118" s="57">
        <f>IF(ISNA(SUMIFS(INDEX(Inputs!$B$2:$AZ$190,,MATCH(SUBSTITUTE(AT$3,"Q","T"),Inputs!$B$2:$AZ$2,0)),Inputs!$B$2:$B$190,$B118)*Inputs!$D$1),"",SUMIFS(INDEX(Inputs!$B$2:$AZ$190,,MATCH(SUBSTITUTE(AT$3,"Q","T"),Inputs!$B$2:$AZ$2,0)),Inputs!$B$2:$B$190,$B118)*Inputs!$D$1)</f>
        <v>0</v>
      </c>
      <c r="AU118" s="57">
        <f>IF(ISNA(SUMIFS(INDEX(Inputs!$B$2:$AZ$190,,MATCH(SUBSTITUTE(AU$3,"Q","T"),Inputs!$B$2:$AZ$2,0)),Inputs!$B$2:$B$190,$B118)*Inputs!$D$1),"",SUMIFS(INDEX(Inputs!$B$2:$AZ$190,,MATCH(SUBSTITUTE(AU$3,"Q","T"),Inputs!$B$2:$AZ$2,0)),Inputs!$B$2:$B$190,$B118)*Inputs!$D$1)</f>
        <v>0</v>
      </c>
      <c r="AV118" s="57">
        <f>IF(ISNA(SUMIFS(INDEX(Inputs!$B$2:$AZ$190,,MATCH(SUBSTITUTE(AV$3,"Q","T"),Inputs!$B$2:$AZ$2,0)),Inputs!$B$2:$B$190,$B118)*Inputs!$D$1),"",SUMIFS(INDEX(Inputs!$B$2:$AZ$190,,MATCH(SUBSTITUTE(AV$3,"Q","T"),Inputs!$B$2:$AZ$2,0)),Inputs!$B$2:$B$190,$B118)*Inputs!$D$1)</f>
        <v>0</v>
      </c>
      <c r="AW118" s="58">
        <f>AV118</f>
        <v>0</v>
      </c>
      <c r="AX118" s="57">
        <f>IF(ISNA(SUMIFS(INDEX(Inputs!$B$2:$AZ$190,,MATCH(SUBSTITUTE(AX$3,"Q","T"),Inputs!$B$2:$AZ$2,0)),Inputs!$B$2:$B$190,$B118)*Inputs!$D$1),"",SUMIFS(INDEX(Inputs!$B$2:$AZ$190,,MATCH(SUBSTITUTE(AX$3,"Q","T"),Inputs!$B$2:$AZ$2,0)),Inputs!$B$2:$B$190,$B118)*Inputs!$D$1)</f>
        <v>0</v>
      </c>
      <c r="AY118" s="57">
        <f>IF(ISNA(SUMIFS(INDEX(Inputs!$B$2:$AZ$190,,MATCH(SUBSTITUTE(AY$3,"Q","T"),Inputs!$B$2:$AZ$2,0)),Inputs!$B$2:$B$190,$B118)*Inputs!$D$1),"",SUMIFS(INDEX(Inputs!$B$2:$AZ$190,,MATCH(SUBSTITUTE(AY$3,"Q","T"),Inputs!$B$2:$AZ$2,0)),Inputs!$B$2:$B$190,$B118)*Inputs!$D$1)</f>
        <v>0</v>
      </c>
      <c r="AZ118" s="57">
        <f>IF(ISNA(SUMIFS(INDEX(Inputs!$B$2:$AZ$190,,MATCH(SUBSTITUTE(AZ$3,"Q","T"),Inputs!$B$2:$AZ$2,0)),Inputs!$B$2:$B$190,$B118)*Inputs!$D$1),"",SUMIFS(INDEX(Inputs!$B$2:$AZ$190,,MATCH(SUBSTITUTE(AZ$3,"Q","T"),Inputs!$B$2:$AZ$2,0)),Inputs!$B$2:$B$190,$B118)*Inputs!$D$1)</f>
        <v>0</v>
      </c>
      <c r="BA118" s="57">
        <f>IF(ISNA(SUMIFS(INDEX(Inputs!$B$2:$AZ$190,,MATCH(SUBSTITUTE(BA$3,"Q","T"),Inputs!$B$2:$AZ$2,0)),Inputs!$B$2:$B$190,$B118)*Inputs!$D$1),"",SUMIFS(INDEX(Inputs!$B$2:$AZ$190,,MATCH(SUBSTITUTE(BA$3,"Q","T"),Inputs!$B$2:$AZ$2,0)),Inputs!$B$2:$B$190,$B118)*Inputs!$D$1)</f>
        <v>0</v>
      </c>
      <c r="BB118" s="58">
        <f>BA118</f>
        <v>0</v>
      </c>
      <c r="BC118" s="57">
        <f>IF(ISNA(SUMIFS(INDEX(Inputs!$B$2:$AZ$190,,MATCH(SUBSTITUTE(BC$3,"Q","T"),Inputs!$B$2:$AZ$2,0)),Inputs!$B$2:$B$190,$B118)*Inputs!$D$1),"",SUMIFS(INDEX(Inputs!$B$2:$AZ$190,,MATCH(SUBSTITUTE(BC$3,"Q","T"),Inputs!$B$2:$AZ$2,0)),Inputs!$B$2:$B$190,$B118)*Inputs!$D$1)</f>
        <v>0</v>
      </c>
      <c r="BD118" s="57">
        <f>IF(ISNA(SUMIFS(INDEX(Inputs!$B$2:$AZ$190,,MATCH(SUBSTITUTE(BD$3,"Q","T"),Inputs!$B$2:$AZ$2,0)),Inputs!$B$2:$B$190,$B118)*Inputs!$D$1),"",SUMIFS(INDEX(Inputs!$B$2:$AZ$190,,MATCH(SUBSTITUTE(BD$3,"Q","T"),Inputs!$B$2:$AZ$2,0)),Inputs!$B$2:$B$190,$B118)*Inputs!$D$1)</f>
        <v>0</v>
      </c>
      <c r="BE118" s="57">
        <f>IF(ISNA(SUMIFS(INDEX(Inputs!$B$2:$AZ$190,,MATCH(SUBSTITUTE(BE$3,"Q","T"),Inputs!$B$2:$AZ$2,0)),Inputs!$B$2:$B$190,$B118)*Inputs!$D$1),"",SUMIFS(INDEX(Inputs!$B$2:$AZ$190,,MATCH(SUBSTITUTE(BE$3,"Q","T"),Inputs!$B$2:$AZ$2,0)),Inputs!$B$2:$B$190,$B118)*Inputs!$D$1)</f>
        <v>0</v>
      </c>
      <c r="BF118" s="57">
        <f>IF(ISNA(SUMIFS(INDEX(Inputs!$B$2:$AZ$190,,MATCH(SUBSTITUTE(BF$3,"Q","T"),Inputs!$B$2:$AZ$2,0)),Inputs!$B$2:$B$190,$B118)*Inputs!$D$1),"",SUMIFS(INDEX(Inputs!$B$2:$AZ$190,,MATCH(SUBSTITUTE(BF$3,"Q","T"),Inputs!$B$2:$AZ$2,0)),Inputs!$B$2:$B$190,$B118)*Inputs!$D$1)</f>
        <v>0</v>
      </c>
      <c r="BG118" s="58">
        <f>BF118</f>
        <v>0</v>
      </c>
    </row>
    <row r="119">
      <c r="B119" s="56" t="inlineStr">
        <is>
          <t>npa</t>
        </is>
      </c>
      <c r="C119" s="11" t="inlineStr">
        <is>
          <t>Ativos não performados (nonperforming assets)</t>
        </is>
      </c>
      <c r="D119" s="12" t="inlineStr">
        <is>
          <t>Nonperforming assets</t>
        </is>
      </c>
      <c r="E119" s="57">
        <f>IF(ISNA(SUMIFS(INDEX(Inputs!$B$2:$AZ$190,,MATCH(SUBSTITUTE(E$3,"Q","T"),Inputs!$B$2:$AZ$2,0)),Inputs!$B$2:$B$190,$B119)*Inputs!$D$1),"",SUMIFS(INDEX(Inputs!$B$2:$AZ$190,,MATCH(SUBSTITUTE(E$3,"Q","T"),Inputs!$B$2:$AZ$2,0)),Inputs!$B$2:$B$190,$B119)*Inputs!$D$1)</f>
        <v>0</v>
      </c>
      <c r="F119" s="57">
        <f>IF(ISNA(SUMIFS(INDEX(Inputs!$B$2:$AZ$190,,MATCH(SUBSTITUTE(F$3,"Q","T"),Inputs!$B$2:$AZ$2,0)),Inputs!$B$2:$B$190,$B119)*Inputs!$D$1),"",SUMIFS(INDEX(Inputs!$B$2:$AZ$190,,MATCH(SUBSTITUTE(F$3,"Q","T"),Inputs!$B$2:$AZ$2,0)),Inputs!$B$2:$B$190,$B119)*Inputs!$D$1)</f>
        <v>0</v>
      </c>
      <c r="G119" s="57">
        <f>IF(ISNA(SUMIFS(INDEX(Inputs!$B$2:$AZ$190,,MATCH(SUBSTITUTE(G$3,"Q","T"),Inputs!$B$2:$AZ$2,0)),Inputs!$B$2:$B$190,$B119)*Inputs!$D$1),"",SUMIFS(INDEX(Inputs!$B$2:$AZ$190,,MATCH(SUBSTITUTE(G$3,"Q","T"),Inputs!$B$2:$AZ$2,0)),Inputs!$B$2:$B$190,$B119)*Inputs!$D$1)</f>
        <v>0</v>
      </c>
      <c r="H119" s="57">
        <f>IF(ISNA(SUMIFS(INDEX(Inputs!$B$2:$AZ$190,,MATCH(SUBSTITUTE(H$3,"Q","T"),Inputs!$B$2:$AZ$2,0)),Inputs!$B$2:$B$190,$B119)*Inputs!$D$1),"",SUMIFS(INDEX(Inputs!$B$2:$AZ$190,,MATCH(SUBSTITUTE(H$3,"Q","T"),Inputs!$B$2:$AZ$2,0)),Inputs!$B$2:$B$190,$B119)*Inputs!$D$1)</f>
        <v>0</v>
      </c>
      <c r="I119" s="58">
        <f>H119</f>
        <v>0</v>
      </c>
      <c r="J119" s="57">
        <f>IF(ISNA(SUMIFS(INDEX(Inputs!$B$2:$AZ$190,,MATCH(SUBSTITUTE(J$3,"Q","T"),Inputs!$B$2:$AZ$2,0)),Inputs!$B$2:$B$190,$B119)*Inputs!$D$1),"",SUMIFS(INDEX(Inputs!$B$2:$AZ$190,,MATCH(SUBSTITUTE(J$3,"Q","T"),Inputs!$B$2:$AZ$2,0)),Inputs!$B$2:$B$190,$B119)*Inputs!$D$1)</f>
        <v>0</v>
      </c>
      <c r="K119" s="57">
        <f>IF(ISNA(SUMIFS(INDEX(Inputs!$B$2:$AZ$190,,MATCH(SUBSTITUTE(K$3,"Q","T"),Inputs!$B$2:$AZ$2,0)),Inputs!$B$2:$B$190,$B119)*Inputs!$D$1),"",SUMIFS(INDEX(Inputs!$B$2:$AZ$190,,MATCH(SUBSTITUTE(K$3,"Q","T"),Inputs!$B$2:$AZ$2,0)),Inputs!$B$2:$B$190,$B119)*Inputs!$D$1)</f>
        <v>0</v>
      </c>
      <c r="L119" s="57">
        <f>IF(ISNA(SUMIFS(INDEX(Inputs!$B$2:$AZ$190,,MATCH(SUBSTITUTE(L$3,"Q","T"),Inputs!$B$2:$AZ$2,0)),Inputs!$B$2:$B$190,$B119)*Inputs!$D$1),"",SUMIFS(INDEX(Inputs!$B$2:$AZ$190,,MATCH(SUBSTITUTE(L$3,"Q","T"),Inputs!$B$2:$AZ$2,0)),Inputs!$B$2:$B$190,$B119)*Inputs!$D$1)</f>
        <v>0</v>
      </c>
      <c r="M119" s="57">
        <f>IF(ISNA(SUMIFS(INDEX(Inputs!$B$2:$AZ$190,,MATCH(SUBSTITUTE(M$3,"Q","T"),Inputs!$B$2:$AZ$2,0)),Inputs!$B$2:$B$190,$B119)*Inputs!$D$1),"",SUMIFS(INDEX(Inputs!$B$2:$AZ$190,,MATCH(SUBSTITUTE(M$3,"Q","T"),Inputs!$B$2:$AZ$2,0)),Inputs!$B$2:$B$190,$B119)*Inputs!$D$1)</f>
        <v>0</v>
      </c>
      <c r="N119" s="58">
        <f>M119</f>
        <v>0</v>
      </c>
      <c r="O119" s="57">
        <f>IF(ISNA(SUMIFS(INDEX(Inputs!$B$2:$AZ$190,,MATCH(SUBSTITUTE(O$3,"Q","T"),Inputs!$B$2:$AZ$2,0)),Inputs!$B$2:$B$190,$B119)*Inputs!$D$1),"",SUMIFS(INDEX(Inputs!$B$2:$AZ$190,,MATCH(SUBSTITUTE(O$3,"Q","T"),Inputs!$B$2:$AZ$2,0)),Inputs!$B$2:$B$190,$B119)*Inputs!$D$1)</f>
        <v>0</v>
      </c>
      <c r="P119" s="57">
        <f>IF(ISNA(SUMIFS(INDEX(Inputs!$B$2:$AZ$190,,MATCH(SUBSTITUTE(P$3,"Q","T"),Inputs!$B$2:$AZ$2,0)),Inputs!$B$2:$B$190,$B119)*Inputs!$D$1),"",SUMIFS(INDEX(Inputs!$B$2:$AZ$190,,MATCH(SUBSTITUTE(P$3,"Q","T"),Inputs!$B$2:$AZ$2,0)),Inputs!$B$2:$B$190,$B119)*Inputs!$D$1)</f>
        <v>0</v>
      </c>
      <c r="Q119" s="57">
        <f>IF(ISNA(SUMIFS(INDEX(Inputs!$B$2:$AZ$190,,MATCH(SUBSTITUTE(Q$3,"Q","T"),Inputs!$B$2:$AZ$2,0)),Inputs!$B$2:$B$190,$B119)*Inputs!$D$1),"",SUMIFS(INDEX(Inputs!$B$2:$AZ$190,,MATCH(SUBSTITUTE(Q$3,"Q","T"),Inputs!$B$2:$AZ$2,0)),Inputs!$B$2:$B$190,$B119)*Inputs!$D$1)</f>
        <v>0</v>
      </c>
      <c r="R119" s="57">
        <f>IF(ISNA(SUMIFS(INDEX(Inputs!$B$2:$AZ$190,,MATCH(SUBSTITUTE(R$3,"Q","T"),Inputs!$B$2:$AZ$2,0)),Inputs!$B$2:$B$190,$B119)*Inputs!$D$1),"",SUMIFS(INDEX(Inputs!$B$2:$AZ$190,,MATCH(SUBSTITUTE(R$3,"Q","T"),Inputs!$B$2:$AZ$2,0)),Inputs!$B$2:$B$190,$B119)*Inputs!$D$1)</f>
        <v>0</v>
      </c>
      <c r="S119" s="58">
        <f>R119</f>
        <v>0</v>
      </c>
      <c r="T119" s="57">
        <f>IF(ISNA(SUMIFS(INDEX(Inputs!$B$2:$AZ$190,,MATCH(SUBSTITUTE(T$3,"Q","T"),Inputs!$B$2:$AZ$2,0)),Inputs!$B$2:$B$190,$B119)*Inputs!$D$1),"",SUMIFS(INDEX(Inputs!$B$2:$AZ$190,,MATCH(SUBSTITUTE(T$3,"Q","T"),Inputs!$B$2:$AZ$2,0)),Inputs!$B$2:$B$190,$B119)*Inputs!$D$1)</f>
        <v>0</v>
      </c>
      <c r="U119" s="57">
        <f>IF(ISNA(SUMIFS(INDEX(Inputs!$B$2:$AZ$190,,MATCH(SUBSTITUTE(U$3,"Q","T"),Inputs!$B$2:$AZ$2,0)),Inputs!$B$2:$B$190,$B119)*Inputs!$D$1),"",SUMIFS(INDEX(Inputs!$B$2:$AZ$190,,MATCH(SUBSTITUTE(U$3,"Q","T"),Inputs!$B$2:$AZ$2,0)),Inputs!$B$2:$B$190,$B119)*Inputs!$D$1)</f>
        <v>0</v>
      </c>
      <c r="V119" s="57">
        <f>IF(ISNA(SUMIFS(INDEX(Inputs!$B$2:$AZ$190,,MATCH(SUBSTITUTE(V$3,"Q","T"),Inputs!$B$2:$AZ$2,0)),Inputs!$B$2:$B$190,$B119)*Inputs!$D$1),"",SUMIFS(INDEX(Inputs!$B$2:$AZ$190,,MATCH(SUBSTITUTE(V$3,"Q","T"),Inputs!$B$2:$AZ$2,0)),Inputs!$B$2:$B$190,$B119)*Inputs!$D$1)</f>
        <v>0</v>
      </c>
      <c r="W119" s="57">
        <f>IF(ISNA(SUMIFS(INDEX(Inputs!$B$2:$AZ$190,,MATCH(SUBSTITUTE(W$3,"Q","T"),Inputs!$B$2:$AZ$2,0)),Inputs!$B$2:$B$190,$B119)*Inputs!$D$1),"",SUMIFS(INDEX(Inputs!$B$2:$AZ$190,,MATCH(SUBSTITUTE(W$3,"Q","T"),Inputs!$B$2:$AZ$2,0)),Inputs!$B$2:$B$190,$B119)*Inputs!$D$1)</f>
        <v>0</v>
      </c>
      <c r="X119" s="58">
        <f>W119</f>
        <v>0</v>
      </c>
      <c r="Y119" s="57">
        <f>IF(ISNA(SUMIFS(INDEX(Inputs!$B$2:$AZ$190,,MATCH(SUBSTITUTE(Y$3,"Q","T"),Inputs!$B$2:$AZ$2,0)),Inputs!$B$2:$B$190,$B119)*Inputs!$D$1),"",SUMIFS(INDEX(Inputs!$B$2:$AZ$190,,MATCH(SUBSTITUTE(Y$3,"Q","T"),Inputs!$B$2:$AZ$2,0)),Inputs!$B$2:$B$190,$B119)*Inputs!$D$1)</f>
        <v>0</v>
      </c>
      <c r="Z119" s="57">
        <f>IF(ISNA(SUMIFS(INDEX(Inputs!$B$2:$AZ$190,,MATCH(SUBSTITUTE(Z$3,"Q","T"),Inputs!$B$2:$AZ$2,0)),Inputs!$B$2:$B$190,$B119)*Inputs!$D$1),"",SUMIFS(INDEX(Inputs!$B$2:$AZ$190,,MATCH(SUBSTITUTE(Z$3,"Q","T"),Inputs!$B$2:$AZ$2,0)),Inputs!$B$2:$B$190,$B119)*Inputs!$D$1)</f>
        <v>0</v>
      </c>
      <c r="AA119" s="57">
        <f>IF(ISNA(SUMIFS(INDEX(Inputs!$B$2:$AZ$190,,MATCH(SUBSTITUTE(AA$3,"Q","T"),Inputs!$B$2:$AZ$2,0)),Inputs!$B$2:$B$190,$B119)*Inputs!$D$1),"",SUMIFS(INDEX(Inputs!$B$2:$AZ$190,,MATCH(SUBSTITUTE(AA$3,"Q","T"),Inputs!$B$2:$AZ$2,0)),Inputs!$B$2:$B$190,$B119)*Inputs!$D$1)</f>
        <v>0</v>
      </c>
      <c r="AB119" s="57">
        <f>IF(ISNA(SUMIFS(INDEX(Inputs!$B$2:$AZ$190,,MATCH(SUBSTITUTE(AB$3,"Q","T"),Inputs!$B$2:$AZ$2,0)),Inputs!$B$2:$B$190,$B119)*Inputs!$D$1),"",SUMIFS(INDEX(Inputs!$B$2:$AZ$190,,MATCH(SUBSTITUTE(AB$3,"Q","T"),Inputs!$B$2:$AZ$2,0)),Inputs!$B$2:$B$190,$B119)*Inputs!$D$1)</f>
        <v>0</v>
      </c>
      <c r="AC119" s="58">
        <f>AB119</f>
        <v>0</v>
      </c>
      <c r="AD119" s="57">
        <f>IF(ISNA(SUMIFS(INDEX(Inputs!$B$2:$AZ$190,,MATCH(SUBSTITUTE(AD$3,"Q","T"),Inputs!$B$2:$AZ$2,0)),Inputs!$B$2:$B$190,$B119)*Inputs!$D$1),"",SUMIFS(INDEX(Inputs!$B$2:$AZ$190,,MATCH(SUBSTITUTE(AD$3,"Q","T"),Inputs!$B$2:$AZ$2,0)),Inputs!$B$2:$B$190,$B119)*Inputs!$D$1)</f>
        <v>0</v>
      </c>
      <c r="AE119" s="57">
        <f>IF(ISNA(SUMIFS(INDEX(Inputs!$B$2:$AZ$190,,MATCH(SUBSTITUTE(AE$3,"Q","T"),Inputs!$B$2:$AZ$2,0)),Inputs!$B$2:$B$190,$B119)*Inputs!$D$1),"",SUMIFS(INDEX(Inputs!$B$2:$AZ$190,,MATCH(SUBSTITUTE(AE$3,"Q","T"),Inputs!$B$2:$AZ$2,0)),Inputs!$B$2:$B$190,$B119)*Inputs!$D$1)</f>
        <v>0</v>
      </c>
      <c r="AF119" s="57">
        <f>IF(ISNA(SUMIFS(INDEX(Inputs!$B$2:$AZ$190,,MATCH(SUBSTITUTE(AF$3,"Q","T"),Inputs!$B$2:$AZ$2,0)),Inputs!$B$2:$B$190,$B119)*Inputs!$D$1),"",SUMIFS(INDEX(Inputs!$B$2:$AZ$190,,MATCH(SUBSTITUTE(AF$3,"Q","T"),Inputs!$B$2:$AZ$2,0)),Inputs!$B$2:$B$190,$B119)*Inputs!$D$1)</f>
        <v>0</v>
      </c>
      <c r="AG119" s="57">
        <f>IF(ISNA(SUMIFS(INDEX(Inputs!$B$2:$AZ$190,,MATCH(SUBSTITUTE(AG$3,"Q","T"),Inputs!$B$2:$AZ$2,0)),Inputs!$B$2:$B$190,$B119)*Inputs!$D$1),"",SUMIFS(INDEX(Inputs!$B$2:$AZ$190,,MATCH(SUBSTITUTE(AG$3,"Q","T"),Inputs!$B$2:$AZ$2,0)),Inputs!$B$2:$B$190,$B119)*Inputs!$D$1)</f>
        <v>0</v>
      </c>
      <c r="AH119" s="58">
        <f>AG119</f>
        <v>0</v>
      </c>
      <c r="AI119" s="57">
        <f>IF(ISNA(SUMIFS(INDEX(Inputs!$B$2:$AZ$190,,MATCH(SUBSTITUTE(AI$3,"Q","T"),Inputs!$B$2:$AZ$2,0)),Inputs!$B$2:$B$190,$B119)*Inputs!$D$1),"",SUMIFS(INDEX(Inputs!$B$2:$AZ$190,,MATCH(SUBSTITUTE(AI$3,"Q","T"),Inputs!$B$2:$AZ$2,0)),Inputs!$B$2:$B$190,$B119)*Inputs!$D$1)</f>
        <v>0</v>
      </c>
      <c r="AJ119" s="57">
        <f>IF(ISNA(SUMIFS(INDEX(Inputs!$B$2:$AZ$190,,MATCH(SUBSTITUTE(AJ$3,"Q","T"),Inputs!$B$2:$AZ$2,0)),Inputs!$B$2:$B$190,$B119)*Inputs!$D$1),"",SUMIFS(INDEX(Inputs!$B$2:$AZ$190,,MATCH(SUBSTITUTE(AJ$3,"Q","T"),Inputs!$B$2:$AZ$2,0)),Inputs!$B$2:$B$190,$B119)*Inputs!$D$1)</f>
        <v>0</v>
      </c>
      <c r="AK119" s="57">
        <f>IF(ISNA(SUMIFS(INDEX(Inputs!$B$2:$AZ$190,,MATCH(SUBSTITUTE(AK$3,"Q","T"),Inputs!$B$2:$AZ$2,0)),Inputs!$B$2:$B$190,$B119)*Inputs!$D$1),"",SUMIFS(INDEX(Inputs!$B$2:$AZ$190,,MATCH(SUBSTITUTE(AK$3,"Q","T"),Inputs!$B$2:$AZ$2,0)),Inputs!$B$2:$B$190,$B119)*Inputs!$D$1)</f>
        <v>0</v>
      </c>
      <c r="AL119" s="57">
        <f>IF(ISNA(SUMIFS(INDEX(Inputs!$B$2:$AZ$190,,MATCH(SUBSTITUTE(AL$3,"Q","T"),Inputs!$B$2:$AZ$2,0)),Inputs!$B$2:$B$190,$B119)*Inputs!$D$1),"",SUMIFS(INDEX(Inputs!$B$2:$AZ$190,,MATCH(SUBSTITUTE(AL$3,"Q","T"),Inputs!$B$2:$AZ$2,0)),Inputs!$B$2:$B$190,$B119)*Inputs!$D$1)</f>
        <v>0</v>
      </c>
      <c r="AM119" s="58">
        <f>AL119</f>
        <v>0</v>
      </c>
      <c r="AN119" s="57">
        <f>IF(ISNA(SUMIFS(INDEX(Inputs!$B$2:$AZ$190,,MATCH(SUBSTITUTE(AN$3,"Q","T"),Inputs!$B$2:$AZ$2,0)),Inputs!$B$2:$B$190,$B119)*Inputs!$D$1),"",SUMIFS(INDEX(Inputs!$B$2:$AZ$190,,MATCH(SUBSTITUTE(AN$3,"Q","T"),Inputs!$B$2:$AZ$2,0)),Inputs!$B$2:$B$190,$B119)*Inputs!$D$1)</f>
        <v>0</v>
      </c>
      <c r="AO119" s="57">
        <f>IF(ISNA(SUMIFS(INDEX(Inputs!$B$2:$AZ$190,,MATCH(SUBSTITUTE(AO$3,"Q","T"),Inputs!$B$2:$AZ$2,0)),Inputs!$B$2:$B$190,$B119)*Inputs!$D$1),"",SUMIFS(INDEX(Inputs!$B$2:$AZ$190,,MATCH(SUBSTITUTE(AO$3,"Q","T"),Inputs!$B$2:$AZ$2,0)),Inputs!$B$2:$B$190,$B119)*Inputs!$D$1)</f>
        <v>0</v>
      </c>
      <c r="AP119" s="57">
        <f>IF(ISNA(SUMIFS(INDEX(Inputs!$B$2:$AZ$190,,MATCH(SUBSTITUTE(AP$3,"Q","T"),Inputs!$B$2:$AZ$2,0)),Inputs!$B$2:$B$190,$B119)*Inputs!$D$1),"",SUMIFS(INDEX(Inputs!$B$2:$AZ$190,,MATCH(SUBSTITUTE(AP$3,"Q","T"),Inputs!$B$2:$AZ$2,0)),Inputs!$B$2:$B$190,$B119)*Inputs!$D$1)</f>
        <v>0</v>
      </c>
      <c r="AQ119" s="57">
        <f>IF(ISNA(SUMIFS(INDEX(Inputs!$B$2:$AZ$190,,MATCH(SUBSTITUTE(AQ$3,"Q","T"),Inputs!$B$2:$AZ$2,0)),Inputs!$B$2:$B$190,$B119)*Inputs!$D$1),"",SUMIFS(INDEX(Inputs!$B$2:$AZ$190,,MATCH(SUBSTITUTE(AQ$3,"Q","T"),Inputs!$B$2:$AZ$2,0)),Inputs!$B$2:$B$190,$B119)*Inputs!$D$1)</f>
        <v>0</v>
      </c>
      <c r="AR119" s="58">
        <f>AQ119</f>
        <v>0</v>
      </c>
      <c r="AS119" s="57">
        <f>IF(ISNA(SUMIFS(INDEX(Inputs!$B$2:$AZ$190,,MATCH(SUBSTITUTE(AS$3,"Q","T"),Inputs!$B$2:$AZ$2,0)),Inputs!$B$2:$B$190,$B119)*Inputs!$D$1),"",SUMIFS(INDEX(Inputs!$B$2:$AZ$190,,MATCH(SUBSTITUTE(AS$3,"Q","T"),Inputs!$B$2:$AZ$2,0)),Inputs!$B$2:$B$190,$B119)*Inputs!$D$1)</f>
        <v>0</v>
      </c>
      <c r="AT119" s="57">
        <f>IF(ISNA(SUMIFS(INDEX(Inputs!$B$2:$AZ$190,,MATCH(SUBSTITUTE(AT$3,"Q","T"),Inputs!$B$2:$AZ$2,0)),Inputs!$B$2:$B$190,$B119)*Inputs!$D$1),"",SUMIFS(INDEX(Inputs!$B$2:$AZ$190,,MATCH(SUBSTITUTE(AT$3,"Q","T"),Inputs!$B$2:$AZ$2,0)),Inputs!$B$2:$B$190,$B119)*Inputs!$D$1)</f>
        <v>0</v>
      </c>
      <c r="AU119" s="57">
        <f>IF(ISNA(SUMIFS(INDEX(Inputs!$B$2:$AZ$190,,MATCH(SUBSTITUTE(AU$3,"Q","T"),Inputs!$B$2:$AZ$2,0)),Inputs!$B$2:$B$190,$B119)*Inputs!$D$1),"",SUMIFS(INDEX(Inputs!$B$2:$AZ$190,,MATCH(SUBSTITUTE(AU$3,"Q","T"),Inputs!$B$2:$AZ$2,0)),Inputs!$B$2:$B$190,$B119)*Inputs!$D$1)</f>
        <v>0</v>
      </c>
      <c r="AV119" s="57">
        <f>IF(ISNA(SUMIFS(INDEX(Inputs!$B$2:$AZ$190,,MATCH(SUBSTITUTE(AV$3,"Q","T"),Inputs!$B$2:$AZ$2,0)),Inputs!$B$2:$B$190,$B119)*Inputs!$D$1),"",SUMIFS(INDEX(Inputs!$B$2:$AZ$190,,MATCH(SUBSTITUTE(AV$3,"Q","T"),Inputs!$B$2:$AZ$2,0)),Inputs!$B$2:$B$190,$B119)*Inputs!$D$1)</f>
        <v>0</v>
      </c>
      <c r="AW119" s="58">
        <f>AV119</f>
        <v>0</v>
      </c>
      <c r="AX119" s="57">
        <f>IF(ISNA(SUMIFS(INDEX(Inputs!$B$2:$AZ$190,,MATCH(SUBSTITUTE(AX$3,"Q","T"),Inputs!$B$2:$AZ$2,0)),Inputs!$B$2:$B$190,$B119)*Inputs!$D$1),"",SUMIFS(INDEX(Inputs!$B$2:$AZ$190,,MATCH(SUBSTITUTE(AX$3,"Q","T"),Inputs!$B$2:$AZ$2,0)),Inputs!$B$2:$B$190,$B119)*Inputs!$D$1)</f>
        <v>0</v>
      </c>
      <c r="AY119" s="57">
        <f>IF(ISNA(SUMIFS(INDEX(Inputs!$B$2:$AZ$190,,MATCH(SUBSTITUTE(AY$3,"Q","T"),Inputs!$B$2:$AZ$2,0)),Inputs!$B$2:$B$190,$B119)*Inputs!$D$1),"",SUMIFS(INDEX(Inputs!$B$2:$AZ$190,,MATCH(SUBSTITUTE(AY$3,"Q","T"),Inputs!$B$2:$AZ$2,0)),Inputs!$B$2:$B$190,$B119)*Inputs!$D$1)</f>
        <v>0</v>
      </c>
      <c r="AZ119" s="57">
        <f>IF(ISNA(SUMIFS(INDEX(Inputs!$B$2:$AZ$190,,MATCH(SUBSTITUTE(AZ$3,"Q","T"),Inputs!$B$2:$AZ$2,0)),Inputs!$B$2:$B$190,$B119)*Inputs!$D$1),"",SUMIFS(INDEX(Inputs!$B$2:$AZ$190,,MATCH(SUBSTITUTE(AZ$3,"Q","T"),Inputs!$B$2:$AZ$2,0)),Inputs!$B$2:$B$190,$B119)*Inputs!$D$1)</f>
        <v>0</v>
      </c>
      <c r="BA119" s="57">
        <f>IF(ISNA(SUMIFS(INDEX(Inputs!$B$2:$AZ$190,,MATCH(SUBSTITUTE(BA$3,"Q","T"),Inputs!$B$2:$AZ$2,0)),Inputs!$B$2:$B$190,$B119)*Inputs!$D$1),"",SUMIFS(INDEX(Inputs!$B$2:$AZ$190,,MATCH(SUBSTITUTE(BA$3,"Q","T"),Inputs!$B$2:$AZ$2,0)),Inputs!$B$2:$B$190,$B119)*Inputs!$D$1)</f>
        <v>0</v>
      </c>
      <c r="BB119" s="58">
        <f>BA119</f>
        <v>0</v>
      </c>
      <c r="BC119" s="57">
        <f>IF(ISNA(SUMIFS(INDEX(Inputs!$B$2:$AZ$190,,MATCH(SUBSTITUTE(BC$3,"Q","T"),Inputs!$B$2:$AZ$2,0)),Inputs!$B$2:$B$190,$B119)*Inputs!$D$1),"",SUMIFS(INDEX(Inputs!$B$2:$AZ$190,,MATCH(SUBSTITUTE(BC$3,"Q","T"),Inputs!$B$2:$AZ$2,0)),Inputs!$B$2:$B$190,$B119)*Inputs!$D$1)</f>
        <v>0</v>
      </c>
      <c r="BD119" s="57">
        <f>IF(ISNA(SUMIFS(INDEX(Inputs!$B$2:$AZ$190,,MATCH(SUBSTITUTE(BD$3,"Q","T"),Inputs!$B$2:$AZ$2,0)),Inputs!$B$2:$B$190,$B119)*Inputs!$D$1),"",SUMIFS(INDEX(Inputs!$B$2:$AZ$190,,MATCH(SUBSTITUTE(BD$3,"Q","T"),Inputs!$B$2:$AZ$2,0)),Inputs!$B$2:$B$190,$B119)*Inputs!$D$1)</f>
        <v>0</v>
      </c>
      <c r="BE119" s="57">
        <f>IF(ISNA(SUMIFS(INDEX(Inputs!$B$2:$AZ$190,,MATCH(SUBSTITUTE(BE$3,"Q","T"),Inputs!$B$2:$AZ$2,0)),Inputs!$B$2:$B$190,$B119)*Inputs!$D$1),"",SUMIFS(INDEX(Inputs!$B$2:$AZ$190,,MATCH(SUBSTITUTE(BE$3,"Q","T"),Inputs!$B$2:$AZ$2,0)),Inputs!$B$2:$B$190,$B119)*Inputs!$D$1)</f>
        <v>0</v>
      </c>
      <c r="BF119" s="57">
        <f>IF(ISNA(SUMIFS(INDEX(Inputs!$B$2:$AZ$190,,MATCH(SUBSTITUTE(BF$3,"Q","T"),Inputs!$B$2:$AZ$2,0)),Inputs!$B$2:$B$190,$B119)*Inputs!$D$1),"",SUMIFS(INDEX(Inputs!$B$2:$AZ$190,,MATCH(SUBSTITUTE(BF$3,"Q","T"),Inputs!$B$2:$AZ$2,0)),Inputs!$B$2:$B$190,$B119)*Inputs!$D$1)</f>
        <v>0</v>
      </c>
      <c r="BG119" s="58">
        <f>BF119</f>
        <v>0</v>
      </c>
    </row>
    <row r="120">
      <c r="B120" s="56" t="inlineStr">
        <is>
          <t>acl_cons</t>
        </is>
      </c>
      <c r="C120" s="11" t="inlineStr">
        <is>
          <t>ACL — consumo ex-cartão</t>
        </is>
      </c>
      <c r="D120" s="12" t="inlineStr">
        <is>
          <t>ACL — consumer ex-card</t>
        </is>
      </c>
      <c r="E120" s="57">
        <f>IF(ISNA(SUMIFS(INDEX(Inputs!$B$2:$AZ$190,,MATCH(SUBSTITUTE(E$3,"Q","T"),Inputs!$B$2:$AZ$2,0)),Inputs!$B$2:$B$190,$B120)*Inputs!$D$1),"",SUMIFS(INDEX(Inputs!$B$2:$AZ$190,,MATCH(SUBSTITUTE(E$3,"Q","T"),Inputs!$B$2:$AZ$2,0)),Inputs!$B$2:$B$190,$B120)*Inputs!$D$1)</f>
        <v>0</v>
      </c>
      <c r="F120" s="57">
        <f>IF(ISNA(SUMIFS(INDEX(Inputs!$B$2:$AZ$190,,MATCH(SUBSTITUTE(F$3,"Q","T"),Inputs!$B$2:$AZ$2,0)),Inputs!$B$2:$B$190,$B120)*Inputs!$D$1),"",SUMIFS(INDEX(Inputs!$B$2:$AZ$190,,MATCH(SUBSTITUTE(F$3,"Q","T"),Inputs!$B$2:$AZ$2,0)),Inputs!$B$2:$B$190,$B120)*Inputs!$D$1)</f>
        <v>0</v>
      </c>
      <c r="G120" s="57">
        <f>IF(ISNA(SUMIFS(INDEX(Inputs!$B$2:$AZ$190,,MATCH(SUBSTITUTE(G$3,"Q","T"),Inputs!$B$2:$AZ$2,0)),Inputs!$B$2:$B$190,$B120)*Inputs!$D$1),"",SUMIFS(INDEX(Inputs!$B$2:$AZ$190,,MATCH(SUBSTITUTE(G$3,"Q","T"),Inputs!$B$2:$AZ$2,0)),Inputs!$B$2:$B$190,$B120)*Inputs!$D$1)</f>
        <v>0</v>
      </c>
      <c r="H120" s="57">
        <f>IF(ISNA(SUMIFS(INDEX(Inputs!$B$2:$AZ$190,,MATCH(SUBSTITUTE(H$3,"Q","T"),Inputs!$B$2:$AZ$2,0)),Inputs!$B$2:$B$190,$B120)*Inputs!$D$1),"",SUMIFS(INDEX(Inputs!$B$2:$AZ$190,,MATCH(SUBSTITUTE(H$3,"Q","T"),Inputs!$B$2:$AZ$2,0)),Inputs!$B$2:$B$190,$B120)*Inputs!$D$1)</f>
        <v>0</v>
      </c>
      <c r="I120" s="58">
        <f>H120</f>
        <v>0</v>
      </c>
      <c r="J120" s="57">
        <f>IF(ISNA(SUMIFS(INDEX(Inputs!$B$2:$AZ$190,,MATCH(SUBSTITUTE(J$3,"Q","T"),Inputs!$B$2:$AZ$2,0)),Inputs!$B$2:$B$190,$B120)*Inputs!$D$1),"",SUMIFS(INDEX(Inputs!$B$2:$AZ$190,,MATCH(SUBSTITUTE(J$3,"Q","T"),Inputs!$B$2:$AZ$2,0)),Inputs!$B$2:$B$190,$B120)*Inputs!$D$1)</f>
        <v>0</v>
      </c>
      <c r="K120" s="57">
        <f>IF(ISNA(SUMIFS(INDEX(Inputs!$B$2:$AZ$190,,MATCH(SUBSTITUTE(K$3,"Q","T"),Inputs!$B$2:$AZ$2,0)),Inputs!$B$2:$B$190,$B120)*Inputs!$D$1),"",SUMIFS(INDEX(Inputs!$B$2:$AZ$190,,MATCH(SUBSTITUTE(K$3,"Q","T"),Inputs!$B$2:$AZ$2,0)),Inputs!$B$2:$B$190,$B120)*Inputs!$D$1)</f>
        <v>0</v>
      </c>
      <c r="L120" s="57">
        <f>IF(ISNA(SUMIFS(INDEX(Inputs!$B$2:$AZ$190,,MATCH(SUBSTITUTE(L$3,"Q","T"),Inputs!$B$2:$AZ$2,0)),Inputs!$B$2:$B$190,$B120)*Inputs!$D$1),"",SUMIFS(INDEX(Inputs!$B$2:$AZ$190,,MATCH(SUBSTITUTE(L$3,"Q","T"),Inputs!$B$2:$AZ$2,0)),Inputs!$B$2:$B$190,$B120)*Inputs!$D$1)</f>
        <v>0</v>
      </c>
      <c r="M120" s="57">
        <f>IF(ISNA(SUMIFS(INDEX(Inputs!$B$2:$AZ$190,,MATCH(SUBSTITUTE(M$3,"Q","T"),Inputs!$B$2:$AZ$2,0)),Inputs!$B$2:$B$190,$B120)*Inputs!$D$1),"",SUMIFS(INDEX(Inputs!$B$2:$AZ$190,,MATCH(SUBSTITUTE(M$3,"Q","T"),Inputs!$B$2:$AZ$2,0)),Inputs!$B$2:$B$190,$B120)*Inputs!$D$1)</f>
        <v>0</v>
      </c>
      <c r="N120" s="58">
        <f>M120</f>
        <v>0</v>
      </c>
      <c r="O120" s="57">
        <f>IF(ISNA(SUMIFS(INDEX(Inputs!$B$2:$AZ$190,,MATCH(SUBSTITUTE(O$3,"Q","T"),Inputs!$B$2:$AZ$2,0)),Inputs!$B$2:$B$190,$B120)*Inputs!$D$1),"",SUMIFS(INDEX(Inputs!$B$2:$AZ$190,,MATCH(SUBSTITUTE(O$3,"Q","T"),Inputs!$B$2:$AZ$2,0)),Inputs!$B$2:$B$190,$B120)*Inputs!$D$1)</f>
        <v>0</v>
      </c>
      <c r="P120" s="57">
        <f>IF(ISNA(SUMIFS(INDEX(Inputs!$B$2:$AZ$190,,MATCH(SUBSTITUTE(P$3,"Q","T"),Inputs!$B$2:$AZ$2,0)),Inputs!$B$2:$B$190,$B120)*Inputs!$D$1),"",SUMIFS(INDEX(Inputs!$B$2:$AZ$190,,MATCH(SUBSTITUTE(P$3,"Q","T"),Inputs!$B$2:$AZ$2,0)),Inputs!$B$2:$B$190,$B120)*Inputs!$D$1)</f>
        <v>0</v>
      </c>
      <c r="Q120" s="57">
        <f>IF(ISNA(SUMIFS(INDEX(Inputs!$B$2:$AZ$190,,MATCH(SUBSTITUTE(Q$3,"Q","T"),Inputs!$B$2:$AZ$2,0)),Inputs!$B$2:$B$190,$B120)*Inputs!$D$1),"",SUMIFS(INDEX(Inputs!$B$2:$AZ$190,,MATCH(SUBSTITUTE(Q$3,"Q","T"),Inputs!$B$2:$AZ$2,0)),Inputs!$B$2:$B$190,$B120)*Inputs!$D$1)</f>
        <v>0</v>
      </c>
      <c r="R120" s="57">
        <f>IF(ISNA(SUMIFS(INDEX(Inputs!$B$2:$AZ$190,,MATCH(SUBSTITUTE(R$3,"Q","T"),Inputs!$B$2:$AZ$2,0)),Inputs!$B$2:$B$190,$B120)*Inputs!$D$1),"",SUMIFS(INDEX(Inputs!$B$2:$AZ$190,,MATCH(SUBSTITUTE(R$3,"Q","T"),Inputs!$B$2:$AZ$2,0)),Inputs!$B$2:$B$190,$B120)*Inputs!$D$1)</f>
        <v>0</v>
      </c>
      <c r="S120" s="58">
        <f>R120</f>
        <v>0</v>
      </c>
      <c r="T120" s="57">
        <f>IF(ISNA(SUMIFS(INDEX(Inputs!$B$2:$AZ$190,,MATCH(SUBSTITUTE(T$3,"Q","T"),Inputs!$B$2:$AZ$2,0)),Inputs!$B$2:$B$190,$B120)*Inputs!$D$1),"",SUMIFS(INDEX(Inputs!$B$2:$AZ$190,,MATCH(SUBSTITUTE(T$3,"Q","T"),Inputs!$B$2:$AZ$2,0)),Inputs!$B$2:$B$190,$B120)*Inputs!$D$1)</f>
        <v>0</v>
      </c>
      <c r="U120" s="57">
        <f>IF(ISNA(SUMIFS(INDEX(Inputs!$B$2:$AZ$190,,MATCH(SUBSTITUTE(U$3,"Q","T"),Inputs!$B$2:$AZ$2,0)),Inputs!$B$2:$B$190,$B120)*Inputs!$D$1),"",SUMIFS(INDEX(Inputs!$B$2:$AZ$190,,MATCH(SUBSTITUTE(U$3,"Q","T"),Inputs!$B$2:$AZ$2,0)),Inputs!$B$2:$B$190,$B120)*Inputs!$D$1)</f>
        <v>0</v>
      </c>
      <c r="V120" s="57">
        <f>IF(ISNA(SUMIFS(INDEX(Inputs!$B$2:$AZ$190,,MATCH(SUBSTITUTE(V$3,"Q","T"),Inputs!$B$2:$AZ$2,0)),Inputs!$B$2:$B$190,$B120)*Inputs!$D$1),"",SUMIFS(INDEX(Inputs!$B$2:$AZ$190,,MATCH(SUBSTITUTE(V$3,"Q","T"),Inputs!$B$2:$AZ$2,0)),Inputs!$B$2:$B$190,$B120)*Inputs!$D$1)</f>
        <v>0</v>
      </c>
      <c r="W120" s="57">
        <f>IF(ISNA(SUMIFS(INDEX(Inputs!$B$2:$AZ$190,,MATCH(SUBSTITUTE(W$3,"Q","T"),Inputs!$B$2:$AZ$2,0)),Inputs!$B$2:$B$190,$B120)*Inputs!$D$1),"",SUMIFS(INDEX(Inputs!$B$2:$AZ$190,,MATCH(SUBSTITUTE(W$3,"Q","T"),Inputs!$B$2:$AZ$2,0)),Inputs!$B$2:$B$190,$B120)*Inputs!$D$1)</f>
        <v>0</v>
      </c>
      <c r="X120" s="58">
        <f>W120</f>
        <v>0</v>
      </c>
      <c r="Y120" s="57">
        <f>IF(ISNA(SUMIFS(INDEX(Inputs!$B$2:$AZ$190,,MATCH(SUBSTITUTE(Y$3,"Q","T"),Inputs!$B$2:$AZ$2,0)),Inputs!$B$2:$B$190,$B120)*Inputs!$D$1),"",SUMIFS(INDEX(Inputs!$B$2:$AZ$190,,MATCH(SUBSTITUTE(Y$3,"Q","T"),Inputs!$B$2:$AZ$2,0)),Inputs!$B$2:$B$190,$B120)*Inputs!$D$1)</f>
        <v>0</v>
      </c>
      <c r="Z120" s="57">
        <f>IF(ISNA(SUMIFS(INDEX(Inputs!$B$2:$AZ$190,,MATCH(SUBSTITUTE(Z$3,"Q","T"),Inputs!$B$2:$AZ$2,0)),Inputs!$B$2:$B$190,$B120)*Inputs!$D$1),"",SUMIFS(INDEX(Inputs!$B$2:$AZ$190,,MATCH(SUBSTITUTE(Z$3,"Q","T"),Inputs!$B$2:$AZ$2,0)),Inputs!$B$2:$B$190,$B120)*Inputs!$D$1)</f>
        <v>0</v>
      </c>
      <c r="AA120" s="57">
        <f>IF(ISNA(SUMIFS(INDEX(Inputs!$B$2:$AZ$190,,MATCH(SUBSTITUTE(AA$3,"Q","T"),Inputs!$B$2:$AZ$2,0)),Inputs!$B$2:$B$190,$B120)*Inputs!$D$1),"",SUMIFS(INDEX(Inputs!$B$2:$AZ$190,,MATCH(SUBSTITUTE(AA$3,"Q","T"),Inputs!$B$2:$AZ$2,0)),Inputs!$B$2:$B$190,$B120)*Inputs!$D$1)</f>
        <v>0</v>
      </c>
      <c r="AB120" s="57">
        <f>IF(ISNA(SUMIFS(INDEX(Inputs!$B$2:$AZ$190,,MATCH(SUBSTITUTE(AB$3,"Q","T"),Inputs!$B$2:$AZ$2,0)),Inputs!$B$2:$B$190,$B120)*Inputs!$D$1),"",SUMIFS(INDEX(Inputs!$B$2:$AZ$190,,MATCH(SUBSTITUTE(AB$3,"Q","T"),Inputs!$B$2:$AZ$2,0)),Inputs!$B$2:$B$190,$B120)*Inputs!$D$1)</f>
        <v>0</v>
      </c>
      <c r="AC120" s="58">
        <f>AB120</f>
        <v>0</v>
      </c>
      <c r="AD120" s="57">
        <f>IF(ISNA(SUMIFS(INDEX(Inputs!$B$2:$AZ$190,,MATCH(SUBSTITUTE(AD$3,"Q","T"),Inputs!$B$2:$AZ$2,0)),Inputs!$B$2:$B$190,$B120)*Inputs!$D$1),"",SUMIFS(INDEX(Inputs!$B$2:$AZ$190,,MATCH(SUBSTITUTE(AD$3,"Q","T"),Inputs!$B$2:$AZ$2,0)),Inputs!$B$2:$B$190,$B120)*Inputs!$D$1)</f>
        <v>0</v>
      </c>
      <c r="AE120" s="57">
        <f>IF(ISNA(SUMIFS(INDEX(Inputs!$B$2:$AZ$190,,MATCH(SUBSTITUTE(AE$3,"Q","T"),Inputs!$B$2:$AZ$2,0)),Inputs!$B$2:$B$190,$B120)*Inputs!$D$1),"",SUMIFS(INDEX(Inputs!$B$2:$AZ$190,,MATCH(SUBSTITUTE(AE$3,"Q","T"),Inputs!$B$2:$AZ$2,0)),Inputs!$B$2:$B$190,$B120)*Inputs!$D$1)</f>
        <v>0</v>
      </c>
      <c r="AF120" s="57">
        <f>IF(ISNA(SUMIFS(INDEX(Inputs!$B$2:$AZ$190,,MATCH(SUBSTITUTE(AF$3,"Q","T"),Inputs!$B$2:$AZ$2,0)),Inputs!$B$2:$B$190,$B120)*Inputs!$D$1),"",SUMIFS(INDEX(Inputs!$B$2:$AZ$190,,MATCH(SUBSTITUTE(AF$3,"Q","T"),Inputs!$B$2:$AZ$2,0)),Inputs!$B$2:$B$190,$B120)*Inputs!$D$1)</f>
        <v>0</v>
      </c>
      <c r="AG120" s="57">
        <f>IF(ISNA(SUMIFS(INDEX(Inputs!$B$2:$AZ$190,,MATCH(SUBSTITUTE(AG$3,"Q","T"),Inputs!$B$2:$AZ$2,0)),Inputs!$B$2:$B$190,$B120)*Inputs!$D$1),"",SUMIFS(INDEX(Inputs!$B$2:$AZ$190,,MATCH(SUBSTITUTE(AG$3,"Q","T"),Inputs!$B$2:$AZ$2,0)),Inputs!$B$2:$B$190,$B120)*Inputs!$D$1)</f>
        <v>0</v>
      </c>
      <c r="AH120" s="58">
        <f>AG120</f>
        <v>0</v>
      </c>
      <c r="AI120" s="57">
        <f>IF(ISNA(SUMIFS(INDEX(Inputs!$B$2:$AZ$190,,MATCH(SUBSTITUTE(AI$3,"Q","T"),Inputs!$B$2:$AZ$2,0)),Inputs!$B$2:$B$190,$B120)*Inputs!$D$1),"",SUMIFS(INDEX(Inputs!$B$2:$AZ$190,,MATCH(SUBSTITUTE(AI$3,"Q","T"),Inputs!$B$2:$AZ$2,0)),Inputs!$B$2:$B$190,$B120)*Inputs!$D$1)</f>
        <v>0</v>
      </c>
      <c r="AJ120" s="57">
        <f>IF(ISNA(SUMIFS(INDEX(Inputs!$B$2:$AZ$190,,MATCH(SUBSTITUTE(AJ$3,"Q","T"),Inputs!$B$2:$AZ$2,0)),Inputs!$B$2:$B$190,$B120)*Inputs!$D$1),"",SUMIFS(INDEX(Inputs!$B$2:$AZ$190,,MATCH(SUBSTITUTE(AJ$3,"Q","T"),Inputs!$B$2:$AZ$2,0)),Inputs!$B$2:$B$190,$B120)*Inputs!$D$1)</f>
        <v>0</v>
      </c>
      <c r="AK120" s="57">
        <f>IF(ISNA(SUMIFS(INDEX(Inputs!$B$2:$AZ$190,,MATCH(SUBSTITUTE(AK$3,"Q","T"),Inputs!$B$2:$AZ$2,0)),Inputs!$B$2:$B$190,$B120)*Inputs!$D$1),"",SUMIFS(INDEX(Inputs!$B$2:$AZ$190,,MATCH(SUBSTITUTE(AK$3,"Q","T"),Inputs!$B$2:$AZ$2,0)),Inputs!$B$2:$B$190,$B120)*Inputs!$D$1)</f>
        <v>0</v>
      </c>
      <c r="AL120" s="57">
        <f>IF(ISNA(SUMIFS(INDEX(Inputs!$B$2:$AZ$190,,MATCH(SUBSTITUTE(AL$3,"Q","T"),Inputs!$B$2:$AZ$2,0)),Inputs!$B$2:$B$190,$B120)*Inputs!$D$1),"",SUMIFS(INDEX(Inputs!$B$2:$AZ$190,,MATCH(SUBSTITUTE(AL$3,"Q","T"),Inputs!$B$2:$AZ$2,0)),Inputs!$B$2:$B$190,$B120)*Inputs!$D$1)</f>
        <v>0</v>
      </c>
      <c r="AM120" s="58">
        <f>AL120</f>
        <v>0</v>
      </c>
      <c r="AN120" s="57">
        <f>IF(ISNA(SUMIFS(INDEX(Inputs!$B$2:$AZ$190,,MATCH(SUBSTITUTE(AN$3,"Q","T"),Inputs!$B$2:$AZ$2,0)),Inputs!$B$2:$B$190,$B120)*Inputs!$D$1),"",SUMIFS(INDEX(Inputs!$B$2:$AZ$190,,MATCH(SUBSTITUTE(AN$3,"Q","T"),Inputs!$B$2:$AZ$2,0)),Inputs!$B$2:$B$190,$B120)*Inputs!$D$1)</f>
        <v>0</v>
      </c>
      <c r="AO120" s="57">
        <f>IF(ISNA(SUMIFS(INDEX(Inputs!$B$2:$AZ$190,,MATCH(SUBSTITUTE(AO$3,"Q","T"),Inputs!$B$2:$AZ$2,0)),Inputs!$B$2:$B$190,$B120)*Inputs!$D$1),"",SUMIFS(INDEX(Inputs!$B$2:$AZ$190,,MATCH(SUBSTITUTE(AO$3,"Q","T"),Inputs!$B$2:$AZ$2,0)),Inputs!$B$2:$B$190,$B120)*Inputs!$D$1)</f>
        <v>0</v>
      </c>
      <c r="AP120" s="57">
        <f>IF(ISNA(SUMIFS(INDEX(Inputs!$B$2:$AZ$190,,MATCH(SUBSTITUTE(AP$3,"Q","T"),Inputs!$B$2:$AZ$2,0)),Inputs!$B$2:$B$190,$B120)*Inputs!$D$1),"",SUMIFS(INDEX(Inputs!$B$2:$AZ$190,,MATCH(SUBSTITUTE(AP$3,"Q","T"),Inputs!$B$2:$AZ$2,0)),Inputs!$B$2:$B$190,$B120)*Inputs!$D$1)</f>
        <v>0</v>
      </c>
      <c r="AQ120" s="57">
        <f>IF(ISNA(SUMIFS(INDEX(Inputs!$B$2:$AZ$190,,MATCH(SUBSTITUTE(AQ$3,"Q","T"),Inputs!$B$2:$AZ$2,0)),Inputs!$B$2:$B$190,$B120)*Inputs!$D$1),"",SUMIFS(INDEX(Inputs!$B$2:$AZ$190,,MATCH(SUBSTITUTE(AQ$3,"Q","T"),Inputs!$B$2:$AZ$2,0)),Inputs!$B$2:$B$190,$B120)*Inputs!$D$1)</f>
        <v>0</v>
      </c>
      <c r="AR120" s="58">
        <f>AQ120</f>
        <v>0</v>
      </c>
      <c r="AS120" s="57">
        <f>IF(ISNA(SUMIFS(INDEX(Inputs!$B$2:$AZ$190,,MATCH(SUBSTITUTE(AS$3,"Q","T"),Inputs!$B$2:$AZ$2,0)),Inputs!$B$2:$B$190,$B120)*Inputs!$D$1),"",SUMIFS(INDEX(Inputs!$B$2:$AZ$190,,MATCH(SUBSTITUTE(AS$3,"Q","T"),Inputs!$B$2:$AZ$2,0)),Inputs!$B$2:$B$190,$B120)*Inputs!$D$1)</f>
        <v>0</v>
      </c>
      <c r="AT120" s="57">
        <f>IF(ISNA(SUMIFS(INDEX(Inputs!$B$2:$AZ$190,,MATCH(SUBSTITUTE(AT$3,"Q","T"),Inputs!$B$2:$AZ$2,0)),Inputs!$B$2:$B$190,$B120)*Inputs!$D$1),"",SUMIFS(INDEX(Inputs!$B$2:$AZ$190,,MATCH(SUBSTITUTE(AT$3,"Q","T"),Inputs!$B$2:$AZ$2,0)),Inputs!$B$2:$B$190,$B120)*Inputs!$D$1)</f>
        <v>0</v>
      </c>
      <c r="AU120" s="57">
        <f>IF(ISNA(SUMIFS(INDEX(Inputs!$B$2:$AZ$190,,MATCH(SUBSTITUTE(AU$3,"Q","T"),Inputs!$B$2:$AZ$2,0)),Inputs!$B$2:$B$190,$B120)*Inputs!$D$1),"",SUMIFS(INDEX(Inputs!$B$2:$AZ$190,,MATCH(SUBSTITUTE(AU$3,"Q","T"),Inputs!$B$2:$AZ$2,0)),Inputs!$B$2:$B$190,$B120)*Inputs!$D$1)</f>
        <v>0</v>
      </c>
      <c r="AV120" s="57">
        <f>IF(ISNA(SUMIFS(INDEX(Inputs!$B$2:$AZ$190,,MATCH(SUBSTITUTE(AV$3,"Q","T"),Inputs!$B$2:$AZ$2,0)),Inputs!$B$2:$B$190,$B120)*Inputs!$D$1),"",SUMIFS(INDEX(Inputs!$B$2:$AZ$190,,MATCH(SUBSTITUTE(AV$3,"Q","T"),Inputs!$B$2:$AZ$2,0)),Inputs!$B$2:$B$190,$B120)*Inputs!$D$1)</f>
        <v>0</v>
      </c>
      <c r="AW120" s="58">
        <f>AV120</f>
        <v>0</v>
      </c>
      <c r="AX120" s="57">
        <f>IF(ISNA(SUMIFS(INDEX(Inputs!$B$2:$AZ$190,,MATCH(SUBSTITUTE(AX$3,"Q","T"),Inputs!$B$2:$AZ$2,0)),Inputs!$B$2:$B$190,$B120)*Inputs!$D$1),"",SUMIFS(INDEX(Inputs!$B$2:$AZ$190,,MATCH(SUBSTITUTE(AX$3,"Q","T"),Inputs!$B$2:$AZ$2,0)),Inputs!$B$2:$B$190,$B120)*Inputs!$D$1)</f>
        <v>0</v>
      </c>
      <c r="AY120" s="57">
        <f>IF(ISNA(SUMIFS(INDEX(Inputs!$B$2:$AZ$190,,MATCH(SUBSTITUTE(AY$3,"Q","T"),Inputs!$B$2:$AZ$2,0)),Inputs!$B$2:$B$190,$B120)*Inputs!$D$1),"",SUMIFS(INDEX(Inputs!$B$2:$AZ$190,,MATCH(SUBSTITUTE(AY$3,"Q","T"),Inputs!$B$2:$AZ$2,0)),Inputs!$B$2:$B$190,$B120)*Inputs!$D$1)</f>
        <v>0</v>
      </c>
      <c r="AZ120" s="57">
        <f>IF(ISNA(SUMIFS(INDEX(Inputs!$B$2:$AZ$190,,MATCH(SUBSTITUTE(AZ$3,"Q","T"),Inputs!$B$2:$AZ$2,0)),Inputs!$B$2:$B$190,$B120)*Inputs!$D$1),"",SUMIFS(INDEX(Inputs!$B$2:$AZ$190,,MATCH(SUBSTITUTE(AZ$3,"Q","T"),Inputs!$B$2:$AZ$2,0)),Inputs!$B$2:$B$190,$B120)*Inputs!$D$1)</f>
        <v>0</v>
      </c>
      <c r="BA120" s="57">
        <f>IF(ISNA(SUMIFS(INDEX(Inputs!$B$2:$AZ$190,,MATCH(SUBSTITUTE(BA$3,"Q","T"),Inputs!$B$2:$AZ$2,0)),Inputs!$B$2:$B$190,$B120)*Inputs!$D$1),"",SUMIFS(INDEX(Inputs!$B$2:$AZ$190,,MATCH(SUBSTITUTE(BA$3,"Q","T"),Inputs!$B$2:$AZ$2,0)),Inputs!$B$2:$B$190,$B120)*Inputs!$D$1)</f>
        <v>0</v>
      </c>
      <c r="BB120" s="58">
        <f>BA120</f>
        <v>0</v>
      </c>
      <c r="BC120" s="57">
        <f>IF(ISNA(SUMIFS(INDEX(Inputs!$B$2:$AZ$190,,MATCH(SUBSTITUTE(BC$3,"Q","T"),Inputs!$B$2:$AZ$2,0)),Inputs!$B$2:$B$190,$B120)*Inputs!$D$1),"",SUMIFS(INDEX(Inputs!$B$2:$AZ$190,,MATCH(SUBSTITUTE(BC$3,"Q","T"),Inputs!$B$2:$AZ$2,0)),Inputs!$B$2:$B$190,$B120)*Inputs!$D$1)</f>
        <v>0</v>
      </c>
      <c r="BD120" s="57">
        <f>IF(ISNA(SUMIFS(INDEX(Inputs!$B$2:$AZ$190,,MATCH(SUBSTITUTE(BD$3,"Q","T"),Inputs!$B$2:$AZ$2,0)),Inputs!$B$2:$B$190,$B120)*Inputs!$D$1),"",SUMIFS(INDEX(Inputs!$B$2:$AZ$190,,MATCH(SUBSTITUTE(BD$3,"Q","T"),Inputs!$B$2:$AZ$2,0)),Inputs!$B$2:$B$190,$B120)*Inputs!$D$1)</f>
        <v>0</v>
      </c>
      <c r="BE120" s="57">
        <f>IF(ISNA(SUMIFS(INDEX(Inputs!$B$2:$AZ$190,,MATCH(SUBSTITUTE(BE$3,"Q","T"),Inputs!$B$2:$AZ$2,0)),Inputs!$B$2:$B$190,$B120)*Inputs!$D$1),"",SUMIFS(INDEX(Inputs!$B$2:$AZ$190,,MATCH(SUBSTITUTE(BE$3,"Q","T"),Inputs!$B$2:$AZ$2,0)),Inputs!$B$2:$B$190,$B120)*Inputs!$D$1)</f>
        <v>0</v>
      </c>
      <c r="BF120" s="57">
        <f>IF(ISNA(SUMIFS(INDEX(Inputs!$B$2:$AZ$190,,MATCH(SUBSTITUTE(BF$3,"Q","T"),Inputs!$B$2:$AZ$2,0)),Inputs!$B$2:$B$190,$B120)*Inputs!$D$1),"",SUMIFS(INDEX(Inputs!$B$2:$AZ$190,,MATCH(SUBSTITUTE(BF$3,"Q","T"),Inputs!$B$2:$AZ$2,0)),Inputs!$B$2:$B$190,$B120)*Inputs!$D$1)</f>
        <v>0</v>
      </c>
      <c r="BG120" s="58">
        <f>BF120</f>
        <v>0</v>
      </c>
    </row>
    <row r="121">
      <c r="B121" s="56" t="inlineStr">
        <is>
          <t>acl_lrc</t>
        </is>
      </c>
      <c r="C121" s="11" t="inlineStr">
        <is>
          <t>ACL de compromissos de crédito (fora do balanço)</t>
        </is>
      </c>
      <c r="D121" s="12" t="inlineStr">
        <is>
          <t>ACL — lending-related commitments</t>
        </is>
      </c>
      <c r="E121" s="57">
        <f>IF(ISNA(SUMIFS(INDEX(Inputs!$B$2:$AZ$190,,MATCH(SUBSTITUTE(E$3,"Q","T"),Inputs!$B$2:$AZ$2,0)),Inputs!$B$2:$B$190,$B121)*Inputs!$D$1),"",SUMIFS(INDEX(Inputs!$B$2:$AZ$190,,MATCH(SUBSTITUTE(E$3,"Q","T"),Inputs!$B$2:$AZ$2,0)),Inputs!$B$2:$B$190,$B121)*Inputs!$D$1)</f>
        <v>0</v>
      </c>
      <c r="F121" s="57">
        <f>IF(ISNA(SUMIFS(INDEX(Inputs!$B$2:$AZ$190,,MATCH(SUBSTITUTE(F$3,"Q","T"),Inputs!$B$2:$AZ$2,0)),Inputs!$B$2:$B$190,$B121)*Inputs!$D$1),"",SUMIFS(INDEX(Inputs!$B$2:$AZ$190,,MATCH(SUBSTITUTE(F$3,"Q","T"),Inputs!$B$2:$AZ$2,0)),Inputs!$B$2:$B$190,$B121)*Inputs!$D$1)</f>
        <v>0</v>
      </c>
      <c r="G121" s="57">
        <f>IF(ISNA(SUMIFS(INDEX(Inputs!$B$2:$AZ$190,,MATCH(SUBSTITUTE(G$3,"Q","T"),Inputs!$B$2:$AZ$2,0)),Inputs!$B$2:$B$190,$B121)*Inputs!$D$1),"",SUMIFS(INDEX(Inputs!$B$2:$AZ$190,,MATCH(SUBSTITUTE(G$3,"Q","T"),Inputs!$B$2:$AZ$2,0)),Inputs!$B$2:$B$190,$B121)*Inputs!$D$1)</f>
        <v>0</v>
      </c>
      <c r="H121" s="57">
        <f>IF(ISNA(SUMIFS(INDEX(Inputs!$B$2:$AZ$190,,MATCH(SUBSTITUTE(H$3,"Q","T"),Inputs!$B$2:$AZ$2,0)),Inputs!$B$2:$B$190,$B121)*Inputs!$D$1),"",SUMIFS(INDEX(Inputs!$B$2:$AZ$190,,MATCH(SUBSTITUTE(H$3,"Q","T"),Inputs!$B$2:$AZ$2,0)),Inputs!$B$2:$B$190,$B121)*Inputs!$D$1)</f>
        <v>0</v>
      </c>
      <c r="I121" s="58">
        <f>H121</f>
        <v>0</v>
      </c>
      <c r="J121" s="57">
        <f>IF(ISNA(SUMIFS(INDEX(Inputs!$B$2:$AZ$190,,MATCH(SUBSTITUTE(J$3,"Q","T"),Inputs!$B$2:$AZ$2,0)),Inputs!$B$2:$B$190,$B121)*Inputs!$D$1),"",SUMIFS(INDEX(Inputs!$B$2:$AZ$190,,MATCH(SUBSTITUTE(J$3,"Q","T"),Inputs!$B$2:$AZ$2,0)),Inputs!$B$2:$B$190,$B121)*Inputs!$D$1)</f>
        <v>0</v>
      </c>
      <c r="K121" s="57">
        <f>IF(ISNA(SUMIFS(INDEX(Inputs!$B$2:$AZ$190,,MATCH(SUBSTITUTE(K$3,"Q","T"),Inputs!$B$2:$AZ$2,0)),Inputs!$B$2:$B$190,$B121)*Inputs!$D$1),"",SUMIFS(INDEX(Inputs!$B$2:$AZ$190,,MATCH(SUBSTITUTE(K$3,"Q","T"),Inputs!$B$2:$AZ$2,0)),Inputs!$B$2:$B$190,$B121)*Inputs!$D$1)</f>
        <v>0</v>
      </c>
      <c r="L121" s="57">
        <f>IF(ISNA(SUMIFS(INDEX(Inputs!$B$2:$AZ$190,,MATCH(SUBSTITUTE(L$3,"Q","T"),Inputs!$B$2:$AZ$2,0)),Inputs!$B$2:$B$190,$B121)*Inputs!$D$1),"",SUMIFS(INDEX(Inputs!$B$2:$AZ$190,,MATCH(SUBSTITUTE(L$3,"Q","T"),Inputs!$B$2:$AZ$2,0)),Inputs!$B$2:$B$190,$B121)*Inputs!$D$1)</f>
        <v>0</v>
      </c>
      <c r="M121" s="57">
        <f>IF(ISNA(SUMIFS(INDEX(Inputs!$B$2:$AZ$190,,MATCH(SUBSTITUTE(M$3,"Q","T"),Inputs!$B$2:$AZ$2,0)),Inputs!$B$2:$B$190,$B121)*Inputs!$D$1),"",SUMIFS(INDEX(Inputs!$B$2:$AZ$190,,MATCH(SUBSTITUTE(M$3,"Q","T"),Inputs!$B$2:$AZ$2,0)),Inputs!$B$2:$B$190,$B121)*Inputs!$D$1)</f>
        <v>0</v>
      </c>
      <c r="N121" s="58">
        <f>M121</f>
        <v>0</v>
      </c>
      <c r="O121" s="57">
        <f>IF(ISNA(SUMIFS(INDEX(Inputs!$B$2:$AZ$190,,MATCH(SUBSTITUTE(O$3,"Q","T"),Inputs!$B$2:$AZ$2,0)),Inputs!$B$2:$B$190,$B121)*Inputs!$D$1),"",SUMIFS(INDEX(Inputs!$B$2:$AZ$190,,MATCH(SUBSTITUTE(O$3,"Q","T"),Inputs!$B$2:$AZ$2,0)),Inputs!$B$2:$B$190,$B121)*Inputs!$D$1)</f>
        <v>0</v>
      </c>
      <c r="P121" s="57">
        <f>IF(ISNA(SUMIFS(INDEX(Inputs!$B$2:$AZ$190,,MATCH(SUBSTITUTE(P$3,"Q","T"),Inputs!$B$2:$AZ$2,0)),Inputs!$B$2:$B$190,$B121)*Inputs!$D$1),"",SUMIFS(INDEX(Inputs!$B$2:$AZ$190,,MATCH(SUBSTITUTE(P$3,"Q","T"),Inputs!$B$2:$AZ$2,0)),Inputs!$B$2:$B$190,$B121)*Inputs!$D$1)</f>
        <v>0</v>
      </c>
      <c r="Q121" s="57">
        <f>IF(ISNA(SUMIFS(INDEX(Inputs!$B$2:$AZ$190,,MATCH(SUBSTITUTE(Q$3,"Q","T"),Inputs!$B$2:$AZ$2,0)),Inputs!$B$2:$B$190,$B121)*Inputs!$D$1),"",SUMIFS(INDEX(Inputs!$B$2:$AZ$190,,MATCH(SUBSTITUTE(Q$3,"Q","T"),Inputs!$B$2:$AZ$2,0)),Inputs!$B$2:$B$190,$B121)*Inputs!$D$1)</f>
        <v>0</v>
      </c>
      <c r="R121" s="57">
        <f>IF(ISNA(SUMIFS(INDEX(Inputs!$B$2:$AZ$190,,MATCH(SUBSTITUTE(R$3,"Q","T"),Inputs!$B$2:$AZ$2,0)),Inputs!$B$2:$B$190,$B121)*Inputs!$D$1),"",SUMIFS(INDEX(Inputs!$B$2:$AZ$190,,MATCH(SUBSTITUTE(R$3,"Q","T"),Inputs!$B$2:$AZ$2,0)),Inputs!$B$2:$B$190,$B121)*Inputs!$D$1)</f>
        <v>0</v>
      </c>
      <c r="S121" s="58">
        <f>R121</f>
        <v>0</v>
      </c>
      <c r="T121" s="57">
        <f>IF(ISNA(SUMIFS(INDEX(Inputs!$B$2:$AZ$190,,MATCH(SUBSTITUTE(T$3,"Q","T"),Inputs!$B$2:$AZ$2,0)),Inputs!$B$2:$B$190,$B121)*Inputs!$D$1),"",SUMIFS(INDEX(Inputs!$B$2:$AZ$190,,MATCH(SUBSTITUTE(T$3,"Q","T"),Inputs!$B$2:$AZ$2,0)),Inputs!$B$2:$B$190,$B121)*Inputs!$D$1)</f>
        <v>0</v>
      </c>
      <c r="U121" s="57">
        <f>IF(ISNA(SUMIFS(INDEX(Inputs!$B$2:$AZ$190,,MATCH(SUBSTITUTE(U$3,"Q","T"),Inputs!$B$2:$AZ$2,0)),Inputs!$B$2:$B$190,$B121)*Inputs!$D$1),"",SUMIFS(INDEX(Inputs!$B$2:$AZ$190,,MATCH(SUBSTITUTE(U$3,"Q","T"),Inputs!$B$2:$AZ$2,0)),Inputs!$B$2:$B$190,$B121)*Inputs!$D$1)</f>
        <v>0</v>
      </c>
      <c r="V121" s="57">
        <f>IF(ISNA(SUMIFS(INDEX(Inputs!$B$2:$AZ$190,,MATCH(SUBSTITUTE(V$3,"Q","T"),Inputs!$B$2:$AZ$2,0)),Inputs!$B$2:$B$190,$B121)*Inputs!$D$1),"",SUMIFS(INDEX(Inputs!$B$2:$AZ$190,,MATCH(SUBSTITUTE(V$3,"Q","T"),Inputs!$B$2:$AZ$2,0)),Inputs!$B$2:$B$190,$B121)*Inputs!$D$1)</f>
        <v>0</v>
      </c>
      <c r="W121" s="57">
        <f>IF(ISNA(SUMIFS(INDEX(Inputs!$B$2:$AZ$190,,MATCH(SUBSTITUTE(W$3,"Q","T"),Inputs!$B$2:$AZ$2,0)),Inputs!$B$2:$B$190,$B121)*Inputs!$D$1),"",SUMIFS(INDEX(Inputs!$B$2:$AZ$190,,MATCH(SUBSTITUTE(W$3,"Q","T"),Inputs!$B$2:$AZ$2,0)),Inputs!$B$2:$B$190,$B121)*Inputs!$D$1)</f>
        <v>0</v>
      </c>
      <c r="X121" s="58">
        <f>W121</f>
        <v>0</v>
      </c>
      <c r="Y121" s="57">
        <f>IF(ISNA(SUMIFS(INDEX(Inputs!$B$2:$AZ$190,,MATCH(SUBSTITUTE(Y$3,"Q","T"),Inputs!$B$2:$AZ$2,0)),Inputs!$B$2:$B$190,$B121)*Inputs!$D$1),"",SUMIFS(INDEX(Inputs!$B$2:$AZ$190,,MATCH(SUBSTITUTE(Y$3,"Q","T"),Inputs!$B$2:$AZ$2,0)),Inputs!$B$2:$B$190,$B121)*Inputs!$D$1)</f>
        <v>0</v>
      </c>
      <c r="Z121" s="57">
        <f>IF(ISNA(SUMIFS(INDEX(Inputs!$B$2:$AZ$190,,MATCH(SUBSTITUTE(Z$3,"Q","T"),Inputs!$B$2:$AZ$2,0)),Inputs!$B$2:$B$190,$B121)*Inputs!$D$1),"",SUMIFS(INDEX(Inputs!$B$2:$AZ$190,,MATCH(SUBSTITUTE(Z$3,"Q","T"),Inputs!$B$2:$AZ$2,0)),Inputs!$B$2:$B$190,$B121)*Inputs!$D$1)</f>
        <v>0</v>
      </c>
      <c r="AA121" s="57">
        <f>IF(ISNA(SUMIFS(INDEX(Inputs!$B$2:$AZ$190,,MATCH(SUBSTITUTE(AA$3,"Q","T"),Inputs!$B$2:$AZ$2,0)),Inputs!$B$2:$B$190,$B121)*Inputs!$D$1),"",SUMIFS(INDEX(Inputs!$B$2:$AZ$190,,MATCH(SUBSTITUTE(AA$3,"Q","T"),Inputs!$B$2:$AZ$2,0)),Inputs!$B$2:$B$190,$B121)*Inputs!$D$1)</f>
        <v>0</v>
      </c>
      <c r="AB121" s="57">
        <f>IF(ISNA(SUMIFS(INDEX(Inputs!$B$2:$AZ$190,,MATCH(SUBSTITUTE(AB$3,"Q","T"),Inputs!$B$2:$AZ$2,0)),Inputs!$B$2:$B$190,$B121)*Inputs!$D$1),"",SUMIFS(INDEX(Inputs!$B$2:$AZ$190,,MATCH(SUBSTITUTE(AB$3,"Q","T"),Inputs!$B$2:$AZ$2,0)),Inputs!$B$2:$B$190,$B121)*Inputs!$D$1)</f>
        <v>0</v>
      </c>
      <c r="AC121" s="58">
        <f>AB121</f>
        <v>0</v>
      </c>
      <c r="AD121" s="57">
        <f>IF(ISNA(SUMIFS(INDEX(Inputs!$B$2:$AZ$190,,MATCH(SUBSTITUTE(AD$3,"Q","T"),Inputs!$B$2:$AZ$2,0)),Inputs!$B$2:$B$190,$B121)*Inputs!$D$1),"",SUMIFS(INDEX(Inputs!$B$2:$AZ$190,,MATCH(SUBSTITUTE(AD$3,"Q","T"),Inputs!$B$2:$AZ$2,0)),Inputs!$B$2:$B$190,$B121)*Inputs!$D$1)</f>
        <v>0</v>
      </c>
      <c r="AE121" s="57">
        <f>IF(ISNA(SUMIFS(INDEX(Inputs!$B$2:$AZ$190,,MATCH(SUBSTITUTE(AE$3,"Q","T"),Inputs!$B$2:$AZ$2,0)),Inputs!$B$2:$B$190,$B121)*Inputs!$D$1),"",SUMIFS(INDEX(Inputs!$B$2:$AZ$190,,MATCH(SUBSTITUTE(AE$3,"Q","T"),Inputs!$B$2:$AZ$2,0)),Inputs!$B$2:$B$190,$B121)*Inputs!$D$1)</f>
        <v>0</v>
      </c>
      <c r="AF121" s="57">
        <f>IF(ISNA(SUMIFS(INDEX(Inputs!$B$2:$AZ$190,,MATCH(SUBSTITUTE(AF$3,"Q","T"),Inputs!$B$2:$AZ$2,0)),Inputs!$B$2:$B$190,$B121)*Inputs!$D$1),"",SUMIFS(INDEX(Inputs!$B$2:$AZ$190,,MATCH(SUBSTITUTE(AF$3,"Q","T"),Inputs!$B$2:$AZ$2,0)),Inputs!$B$2:$B$190,$B121)*Inputs!$D$1)</f>
        <v>0</v>
      </c>
      <c r="AG121" s="57">
        <f>IF(ISNA(SUMIFS(INDEX(Inputs!$B$2:$AZ$190,,MATCH(SUBSTITUTE(AG$3,"Q","T"),Inputs!$B$2:$AZ$2,0)),Inputs!$B$2:$B$190,$B121)*Inputs!$D$1),"",SUMIFS(INDEX(Inputs!$B$2:$AZ$190,,MATCH(SUBSTITUTE(AG$3,"Q","T"),Inputs!$B$2:$AZ$2,0)),Inputs!$B$2:$B$190,$B121)*Inputs!$D$1)</f>
        <v>0</v>
      </c>
      <c r="AH121" s="58">
        <f>AG121</f>
        <v>0</v>
      </c>
      <c r="AI121" s="57">
        <f>IF(ISNA(SUMIFS(INDEX(Inputs!$B$2:$AZ$190,,MATCH(SUBSTITUTE(AI$3,"Q","T"),Inputs!$B$2:$AZ$2,0)),Inputs!$B$2:$B$190,$B121)*Inputs!$D$1),"",SUMIFS(INDEX(Inputs!$B$2:$AZ$190,,MATCH(SUBSTITUTE(AI$3,"Q","T"),Inputs!$B$2:$AZ$2,0)),Inputs!$B$2:$B$190,$B121)*Inputs!$D$1)</f>
        <v>0</v>
      </c>
      <c r="AJ121" s="57">
        <f>IF(ISNA(SUMIFS(INDEX(Inputs!$B$2:$AZ$190,,MATCH(SUBSTITUTE(AJ$3,"Q","T"),Inputs!$B$2:$AZ$2,0)),Inputs!$B$2:$B$190,$B121)*Inputs!$D$1),"",SUMIFS(INDEX(Inputs!$B$2:$AZ$190,,MATCH(SUBSTITUTE(AJ$3,"Q","T"),Inputs!$B$2:$AZ$2,0)),Inputs!$B$2:$B$190,$B121)*Inputs!$D$1)</f>
        <v>0</v>
      </c>
      <c r="AK121" s="57">
        <f>IF(ISNA(SUMIFS(INDEX(Inputs!$B$2:$AZ$190,,MATCH(SUBSTITUTE(AK$3,"Q","T"),Inputs!$B$2:$AZ$2,0)),Inputs!$B$2:$B$190,$B121)*Inputs!$D$1),"",SUMIFS(INDEX(Inputs!$B$2:$AZ$190,,MATCH(SUBSTITUTE(AK$3,"Q","T"),Inputs!$B$2:$AZ$2,0)),Inputs!$B$2:$B$190,$B121)*Inputs!$D$1)</f>
        <v>0</v>
      </c>
      <c r="AL121" s="57">
        <f>IF(ISNA(SUMIFS(INDEX(Inputs!$B$2:$AZ$190,,MATCH(SUBSTITUTE(AL$3,"Q","T"),Inputs!$B$2:$AZ$2,0)),Inputs!$B$2:$B$190,$B121)*Inputs!$D$1),"",SUMIFS(INDEX(Inputs!$B$2:$AZ$190,,MATCH(SUBSTITUTE(AL$3,"Q","T"),Inputs!$B$2:$AZ$2,0)),Inputs!$B$2:$B$190,$B121)*Inputs!$D$1)</f>
        <v>0</v>
      </c>
      <c r="AM121" s="58">
        <f>AL121</f>
        <v>0</v>
      </c>
      <c r="AN121" s="57">
        <f>IF(ISNA(SUMIFS(INDEX(Inputs!$B$2:$AZ$190,,MATCH(SUBSTITUTE(AN$3,"Q","T"),Inputs!$B$2:$AZ$2,0)),Inputs!$B$2:$B$190,$B121)*Inputs!$D$1),"",SUMIFS(INDEX(Inputs!$B$2:$AZ$190,,MATCH(SUBSTITUTE(AN$3,"Q","T"),Inputs!$B$2:$AZ$2,0)),Inputs!$B$2:$B$190,$B121)*Inputs!$D$1)</f>
        <v>0</v>
      </c>
      <c r="AO121" s="57">
        <f>IF(ISNA(SUMIFS(INDEX(Inputs!$B$2:$AZ$190,,MATCH(SUBSTITUTE(AO$3,"Q","T"),Inputs!$B$2:$AZ$2,0)),Inputs!$B$2:$B$190,$B121)*Inputs!$D$1),"",SUMIFS(INDEX(Inputs!$B$2:$AZ$190,,MATCH(SUBSTITUTE(AO$3,"Q","T"),Inputs!$B$2:$AZ$2,0)),Inputs!$B$2:$B$190,$B121)*Inputs!$D$1)</f>
        <v>0</v>
      </c>
      <c r="AP121" s="57">
        <f>IF(ISNA(SUMIFS(INDEX(Inputs!$B$2:$AZ$190,,MATCH(SUBSTITUTE(AP$3,"Q","T"),Inputs!$B$2:$AZ$2,0)),Inputs!$B$2:$B$190,$B121)*Inputs!$D$1),"",SUMIFS(INDEX(Inputs!$B$2:$AZ$190,,MATCH(SUBSTITUTE(AP$3,"Q","T"),Inputs!$B$2:$AZ$2,0)),Inputs!$B$2:$B$190,$B121)*Inputs!$D$1)</f>
        <v>0</v>
      </c>
      <c r="AQ121" s="57">
        <f>IF(ISNA(SUMIFS(INDEX(Inputs!$B$2:$AZ$190,,MATCH(SUBSTITUTE(AQ$3,"Q","T"),Inputs!$B$2:$AZ$2,0)),Inputs!$B$2:$B$190,$B121)*Inputs!$D$1),"",SUMIFS(INDEX(Inputs!$B$2:$AZ$190,,MATCH(SUBSTITUTE(AQ$3,"Q","T"),Inputs!$B$2:$AZ$2,0)),Inputs!$B$2:$B$190,$B121)*Inputs!$D$1)</f>
        <v>0</v>
      </c>
      <c r="AR121" s="58">
        <f>AQ121</f>
        <v>0</v>
      </c>
      <c r="AS121" s="57">
        <f>IF(ISNA(SUMIFS(INDEX(Inputs!$B$2:$AZ$190,,MATCH(SUBSTITUTE(AS$3,"Q","T"),Inputs!$B$2:$AZ$2,0)),Inputs!$B$2:$B$190,$B121)*Inputs!$D$1),"",SUMIFS(INDEX(Inputs!$B$2:$AZ$190,,MATCH(SUBSTITUTE(AS$3,"Q","T"),Inputs!$B$2:$AZ$2,0)),Inputs!$B$2:$B$190,$B121)*Inputs!$D$1)</f>
        <v>0</v>
      </c>
      <c r="AT121" s="57">
        <f>IF(ISNA(SUMIFS(INDEX(Inputs!$B$2:$AZ$190,,MATCH(SUBSTITUTE(AT$3,"Q","T"),Inputs!$B$2:$AZ$2,0)),Inputs!$B$2:$B$190,$B121)*Inputs!$D$1),"",SUMIFS(INDEX(Inputs!$B$2:$AZ$190,,MATCH(SUBSTITUTE(AT$3,"Q","T"),Inputs!$B$2:$AZ$2,0)),Inputs!$B$2:$B$190,$B121)*Inputs!$D$1)</f>
        <v>0</v>
      </c>
      <c r="AU121" s="57">
        <f>IF(ISNA(SUMIFS(INDEX(Inputs!$B$2:$AZ$190,,MATCH(SUBSTITUTE(AU$3,"Q","T"),Inputs!$B$2:$AZ$2,0)),Inputs!$B$2:$B$190,$B121)*Inputs!$D$1),"",SUMIFS(INDEX(Inputs!$B$2:$AZ$190,,MATCH(SUBSTITUTE(AU$3,"Q","T"),Inputs!$B$2:$AZ$2,0)),Inputs!$B$2:$B$190,$B121)*Inputs!$D$1)</f>
        <v>0</v>
      </c>
      <c r="AV121" s="57">
        <f>IF(ISNA(SUMIFS(INDEX(Inputs!$B$2:$AZ$190,,MATCH(SUBSTITUTE(AV$3,"Q","T"),Inputs!$B$2:$AZ$2,0)),Inputs!$B$2:$B$190,$B121)*Inputs!$D$1),"",SUMIFS(INDEX(Inputs!$B$2:$AZ$190,,MATCH(SUBSTITUTE(AV$3,"Q","T"),Inputs!$B$2:$AZ$2,0)),Inputs!$B$2:$B$190,$B121)*Inputs!$D$1)</f>
        <v>0</v>
      </c>
      <c r="AW121" s="58">
        <f>AV121</f>
        <v>0</v>
      </c>
      <c r="AX121" s="57">
        <f>IF(ISNA(SUMIFS(INDEX(Inputs!$B$2:$AZ$190,,MATCH(SUBSTITUTE(AX$3,"Q","T"),Inputs!$B$2:$AZ$2,0)),Inputs!$B$2:$B$190,$B121)*Inputs!$D$1),"",SUMIFS(INDEX(Inputs!$B$2:$AZ$190,,MATCH(SUBSTITUTE(AX$3,"Q","T"),Inputs!$B$2:$AZ$2,0)),Inputs!$B$2:$B$190,$B121)*Inputs!$D$1)</f>
        <v>0</v>
      </c>
      <c r="AY121" s="57">
        <f>IF(ISNA(SUMIFS(INDEX(Inputs!$B$2:$AZ$190,,MATCH(SUBSTITUTE(AY$3,"Q","T"),Inputs!$B$2:$AZ$2,0)),Inputs!$B$2:$B$190,$B121)*Inputs!$D$1),"",SUMIFS(INDEX(Inputs!$B$2:$AZ$190,,MATCH(SUBSTITUTE(AY$3,"Q","T"),Inputs!$B$2:$AZ$2,0)),Inputs!$B$2:$B$190,$B121)*Inputs!$D$1)</f>
        <v>0</v>
      </c>
      <c r="AZ121" s="57">
        <f>IF(ISNA(SUMIFS(INDEX(Inputs!$B$2:$AZ$190,,MATCH(SUBSTITUTE(AZ$3,"Q","T"),Inputs!$B$2:$AZ$2,0)),Inputs!$B$2:$B$190,$B121)*Inputs!$D$1),"",SUMIFS(INDEX(Inputs!$B$2:$AZ$190,,MATCH(SUBSTITUTE(AZ$3,"Q","T"),Inputs!$B$2:$AZ$2,0)),Inputs!$B$2:$B$190,$B121)*Inputs!$D$1)</f>
        <v>0</v>
      </c>
      <c r="BA121" s="57">
        <f>IF(ISNA(SUMIFS(INDEX(Inputs!$B$2:$AZ$190,,MATCH(SUBSTITUTE(BA$3,"Q","T"),Inputs!$B$2:$AZ$2,0)),Inputs!$B$2:$B$190,$B121)*Inputs!$D$1),"",SUMIFS(INDEX(Inputs!$B$2:$AZ$190,,MATCH(SUBSTITUTE(BA$3,"Q","T"),Inputs!$B$2:$AZ$2,0)),Inputs!$B$2:$B$190,$B121)*Inputs!$D$1)</f>
        <v>0</v>
      </c>
      <c r="BB121" s="58">
        <f>BA121</f>
        <v>0</v>
      </c>
      <c r="BC121" s="57">
        <f>IF(ISNA(SUMIFS(INDEX(Inputs!$B$2:$AZ$190,,MATCH(SUBSTITUTE(BC$3,"Q","T"),Inputs!$B$2:$AZ$2,0)),Inputs!$B$2:$B$190,$B121)*Inputs!$D$1),"",SUMIFS(INDEX(Inputs!$B$2:$AZ$190,,MATCH(SUBSTITUTE(BC$3,"Q","T"),Inputs!$B$2:$AZ$2,0)),Inputs!$B$2:$B$190,$B121)*Inputs!$D$1)</f>
        <v>0</v>
      </c>
      <c r="BD121" s="57">
        <f>IF(ISNA(SUMIFS(INDEX(Inputs!$B$2:$AZ$190,,MATCH(SUBSTITUTE(BD$3,"Q","T"),Inputs!$B$2:$AZ$2,0)),Inputs!$B$2:$B$190,$B121)*Inputs!$D$1),"",SUMIFS(INDEX(Inputs!$B$2:$AZ$190,,MATCH(SUBSTITUTE(BD$3,"Q","T"),Inputs!$B$2:$AZ$2,0)),Inputs!$B$2:$B$190,$B121)*Inputs!$D$1)</f>
        <v>0</v>
      </c>
      <c r="BE121" s="57">
        <f>IF(ISNA(SUMIFS(INDEX(Inputs!$B$2:$AZ$190,,MATCH(SUBSTITUTE(BE$3,"Q","T"),Inputs!$B$2:$AZ$2,0)),Inputs!$B$2:$B$190,$B121)*Inputs!$D$1),"",SUMIFS(INDEX(Inputs!$B$2:$AZ$190,,MATCH(SUBSTITUTE(BE$3,"Q","T"),Inputs!$B$2:$AZ$2,0)),Inputs!$B$2:$B$190,$B121)*Inputs!$D$1)</f>
        <v>0</v>
      </c>
      <c r="BF121" s="57">
        <f>IF(ISNA(SUMIFS(INDEX(Inputs!$B$2:$AZ$190,,MATCH(SUBSTITUTE(BF$3,"Q","T"),Inputs!$B$2:$AZ$2,0)),Inputs!$B$2:$B$190,$B121)*Inputs!$D$1),"",SUMIFS(INDEX(Inputs!$B$2:$AZ$190,,MATCH(SUBSTITUTE(BF$3,"Q","T"),Inputs!$B$2:$AZ$2,0)),Inputs!$B$2:$B$190,$B121)*Inputs!$D$1)</f>
        <v>0</v>
      </c>
      <c r="BG121" s="58">
        <f>BF121</f>
        <v>0</v>
      </c>
    </row>
    <row r="122">
      <c r="B122" s="56" t="inlineStr">
        <is>
          <t>acl_secs</t>
        </is>
      </c>
      <c r="C122" s="11" t="inlineStr">
        <is>
          <t>ACL de títulos (AFS e HTM)</t>
        </is>
      </c>
      <c r="D122" s="12" t="inlineStr">
        <is>
          <t>ACL — investment securities</t>
        </is>
      </c>
      <c r="E122" s="57">
        <f>IF(ISNA(SUMIFS(INDEX(Inputs!$B$2:$AZ$190,,MATCH(SUBSTITUTE(E$3,"Q","T"),Inputs!$B$2:$AZ$2,0)),Inputs!$B$2:$B$190,$B122)*Inputs!$D$1),"",SUMIFS(INDEX(Inputs!$B$2:$AZ$190,,MATCH(SUBSTITUTE(E$3,"Q","T"),Inputs!$B$2:$AZ$2,0)),Inputs!$B$2:$B$190,$B122)*Inputs!$D$1)</f>
        <v>0</v>
      </c>
      <c r="F122" s="57">
        <f>IF(ISNA(SUMIFS(INDEX(Inputs!$B$2:$AZ$190,,MATCH(SUBSTITUTE(F$3,"Q","T"),Inputs!$B$2:$AZ$2,0)),Inputs!$B$2:$B$190,$B122)*Inputs!$D$1),"",SUMIFS(INDEX(Inputs!$B$2:$AZ$190,,MATCH(SUBSTITUTE(F$3,"Q","T"),Inputs!$B$2:$AZ$2,0)),Inputs!$B$2:$B$190,$B122)*Inputs!$D$1)</f>
        <v>0</v>
      </c>
      <c r="G122" s="57">
        <f>IF(ISNA(SUMIFS(INDEX(Inputs!$B$2:$AZ$190,,MATCH(SUBSTITUTE(G$3,"Q","T"),Inputs!$B$2:$AZ$2,0)),Inputs!$B$2:$B$190,$B122)*Inputs!$D$1),"",SUMIFS(INDEX(Inputs!$B$2:$AZ$190,,MATCH(SUBSTITUTE(G$3,"Q","T"),Inputs!$B$2:$AZ$2,0)),Inputs!$B$2:$B$190,$B122)*Inputs!$D$1)</f>
        <v>0</v>
      </c>
      <c r="H122" s="57">
        <f>IF(ISNA(SUMIFS(INDEX(Inputs!$B$2:$AZ$190,,MATCH(SUBSTITUTE(H$3,"Q","T"),Inputs!$B$2:$AZ$2,0)),Inputs!$B$2:$B$190,$B122)*Inputs!$D$1),"",SUMIFS(INDEX(Inputs!$B$2:$AZ$190,,MATCH(SUBSTITUTE(H$3,"Q","T"),Inputs!$B$2:$AZ$2,0)),Inputs!$B$2:$B$190,$B122)*Inputs!$D$1)</f>
        <v>0</v>
      </c>
      <c r="I122" s="58">
        <f>H122</f>
        <v>0</v>
      </c>
      <c r="J122" s="57">
        <f>IF(ISNA(SUMIFS(INDEX(Inputs!$B$2:$AZ$190,,MATCH(SUBSTITUTE(J$3,"Q","T"),Inputs!$B$2:$AZ$2,0)),Inputs!$B$2:$B$190,$B122)*Inputs!$D$1),"",SUMIFS(INDEX(Inputs!$B$2:$AZ$190,,MATCH(SUBSTITUTE(J$3,"Q","T"),Inputs!$B$2:$AZ$2,0)),Inputs!$B$2:$B$190,$B122)*Inputs!$D$1)</f>
        <v>0</v>
      </c>
      <c r="K122" s="57">
        <f>IF(ISNA(SUMIFS(INDEX(Inputs!$B$2:$AZ$190,,MATCH(SUBSTITUTE(K$3,"Q","T"),Inputs!$B$2:$AZ$2,0)),Inputs!$B$2:$B$190,$B122)*Inputs!$D$1),"",SUMIFS(INDEX(Inputs!$B$2:$AZ$190,,MATCH(SUBSTITUTE(K$3,"Q","T"),Inputs!$B$2:$AZ$2,0)),Inputs!$B$2:$B$190,$B122)*Inputs!$D$1)</f>
        <v>0</v>
      </c>
      <c r="L122" s="57">
        <f>IF(ISNA(SUMIFS(INDEX(Inputs!$B$2:$AZ$190,,MATCH(SUBSTITUTE(L$3,"Q","T"),Inputs!$B$2:$AZ$2,0)),Inputs!$B$2:$B$190,$B122)*Inputs!$D$1),"",SUMIFS(INDEX(Inputs!$B$2:$AZ$190,,MATCH(SUBSTITUTE(L$3,"Q","T"),Inputs!$B$2:$AZ$2,0)),Inputs!$B$2:$B$190,$B122)*Inputs!$D$1)</f>
        <v>0</v>
      </c>
      <c r="M122" s="57">
        <f>IF(ISNA(SUMIFS(INDEX(Inputs!$B$2:$AZ$190,,MATCH(SUBSTITUTE(M$3,"Q","T"),Inputs!$B$2:$AZ$2,0)),Inputs!$B$2:$B$190,$B122)*Inputs!$D$1),"",SUMIFS(INDEX(Inputs!$B$2:$AZ$190,,MATCH(SUBSTITUTE(M$3,"Q","T"),Inputs!$B$2:$AZ$2,0)),Inputs!$B$2:$B$190,$B122)*Inputs!$D$1)</f>
        <v>0</v>
      </c>
      <c r="N122" s="58">
        <f>M122</f>
        <v>0</v>
      </c>
      <c r="O122" s="57">
        <f>IF(ISNA(SUMIFS(INDEX(Inputs!$B$2:$AZ$190,,MATCH(SUBSTITUTE(O$3,"Q","T"),Inputs!$B$2:$AZ$2,0)),Inputs!$B$2:$B$190,$B122)*Inputs!$D$1),"",SUMIFS(INDEX(Inputs!$B$2:$AZ$190,,MATCH(SUBSTITUTE(O$3,"Q","T"),Inputs!$B$2:$AZ$2,0)),Inputs!$B$2:$B$190,$B122)*Inputs!$D$1)</f>
        <v>0</v>
      </c>
      <c r="P122" s="57">
        <f>IF(ISNA(SUMIFS(INDEX(Inputs!$B$2:$AZ$190,,MATCH(SUBSTITUTE(P$3,"Q","T"),Inputs!$B$2:$AZ$2,0)),Inputs!$B$2:$B$190,$B122)*Inputs!$D$1),"",SUMIFS(INDEX(Inputs!$B$2:$AZ$190,,MATCH(SUBSTITUTE(P$3,"Q","T"),Inputs!$B$2:$AZ$2,0)),Inputs!$B$2:$B$190,$B122)*Inputs!$D$1)</f>
        <v>0</v>
      </c>
      <c r="Q122" s="57">
        <f>IF(ISNA(SUMIFS(INDEX(Inputs!$B$2:$AZ$190,,MATCH(SUBSTITUTE(Q$3,"Q","T"),Inputs!$B$2:$AZ$2,0)),Inputs!$B$2:$B$190,$B122)*Inputs!$D$1),"",SUMIFS(INDEX(Inputs!$B$2:$AZ$190,,MATCH(SUBSTITUTE(Q$3,"Q","T"),Inputs!$B$2:$AZ$2,0)),Inputs!$B$2:$B$190,$B122)*Inputs!$D$1)</f>
        <v>0</v>
      </c>
      <c r="R122" s="57">
        <f>IF(ISNA(SUMIFS(INDEX(Inputs!$B$2:$AZ$190,,MATCH(SUBSTITUTE(R$3,"Q","T"),Inputs!$B$2:$AZ$2,0)),Inputs!$B$2:$B$190,$B122)*Inputs!$D$1),"",SUMIFS(INDEX(Inputs!$B$2:$AZ$190,,MATCH(SUBSTITUTE(R$3,"Q","T"),Inputs!$B$2:$AZ$2,0)),Inputs!$B$2:$B$190,$B122)*Inputs!$D$1)</f>
        <v>0</v>
      </c>
      <c r="S122" s="58">
        <f>R122</f>
        <v>0</v>
      </c>
      <c r="T122" s="57">
        <f>IF(ISNA(SUMIFS(INDEX(Inputs!$B$2:$AZ$190,,MATCH(SUBSTITUTE(T$3,"Q","T"),Inputs!$B$2:$AZ$2,0)),Inputs!$B$2:$B$190,$B122)*Inputs!$D$1),"",SUMIFS(INDEX(Inputs!$B$2:$AZ$190,,MATCH(SUBSTITUTE(T$3,"Q","T"),Inputs!$B$2:$AZ$2,0)),Inputs!$B$2:$B$190,$B122)*Inputs!$D$1)</f>
        <v>0</v>
      </c>
      <c r="U122" s="57">
        <f>IF(ISNA(SUMIFS(INDEX(Inputs!$B$2:$AZ$190,,MATCH(SUBSTITUTE(U$3,"Q","T"),Inputs!$B$2:$AZ$2,0)),Inputs!$B$2:$B$190,$B122)*Inputs!$D$1),"",SUMIFS(INDEX(Inputs!$B$2:$AZ$190,,MATCH(SUBSTITUTE(U$3,"Q","T"),Inputs!$B$2:$AZ$2,0)),Inputs!$B$2:$B$190,$B122)*Inputs!$D$1)</f>
        <v>0</v>
      </c>
      <c r="V122" s="57">
        <f>IF(ISNA(SUMIFS(INDEX(Inputs!$B$2:$AZ$190,,MATCH(SUBSTITUTE(V$3,"Q","T"),Inputs!$B$2:$AZ$2,0)),Inputs!$B$2:$B$190,$B122)*Inputs!$D$1),"",SUMIFS(INDEX(Inputs!$B$2:$AZ$190,,MATCH(SUBSTITUTE(V$3,"Q","T"),Inputs!$B$2:$AZ$2,0)),Inputs!$B$2:$B$190,$B122)*Inputs!$D$1)</f>
        <v>0</v>
      </c>
      <c r="W122" s="57">
        <f>IF(ISNA(SUMIFS(INDEX(Inputs!$B$2:$AZ$190,,MATCH(SUBSTITUTE(W$3,"Q","T"),Inputs!$B$2:$AZ$2,0)),Inputs!$B$2:$B$190,$B122)*Inputs!$D$1),"",SUMIFS(INDEX(Inputs!$B$2:$AZ$190,,MATCH(SUBSTITUTE(W$3,"Q","T"),Inputs!$B$2:$AZ$2,0)),Inputs!$B$2:$B$190,$B122)*Inputs!$D$1)</f>
        <v>0</v>
      </c>
      <c r="X122" s="58">
        <f>W122</f>
        <v>0</v>
      </c>
      <c r="Y122" s="57">
        <f>IF(ISNA(SUMIFS(INDEX(Inputs!$B$2:$AZ$190,,MATCH(SUBSTITUTE(Y$3,"Q","T"),Inputs!$B$2:$AZ$2,0)),Inputs!$B$2:$B$190,$B122)*Inputs!$D$1),"",SUMIFS(INDEX(Inputs!$B$2:$AZ$190,,MATCH(SUBSTITUTE(Y$3,"Q","T"),Inputs!$B$2:$AZ$2,0)),Inputs!$B$2:$B$190,$B122)*Inputs!$D$1)</f>
        <v>0</v>
      </c>
      <c r="Z122" s="57">
        <f>IF(ISNA(SUMIFS(INDEX(Inputs!$B$2:$AZ$190,,MATCH(SUBSTITUTE(Z$3,"Q","T"),Inputs!$B$2:$AZ$2,0)),Inputs!$B$2:$B$190,$B122)*Inputs!$D$1),"",SUMIFS(INDEX(Inputs!$B$2:$AZ$190,,MATCH(SUBSTITUTE(Z$3,"Q","T"),Inputs!$B$2:$AZ$2,0)),Inputs!$B$2:$B$190,$B122)*Inputs!$D$1)</f>
        <v>0</v>
      </c>
      <c r="AA122" s="57">
        <f>IF(ISNA(SUMIFS(INDEX(Inputs!$B$2:$AZ$190,,MATCH(SUBSTITUTE(AA$3,"Q","T"),Inputs!$B$2:$AZ$2,0)),Inputs!$B$2:$B$190,$B122)*Inputs!$D$1),"",SUMIFS(INDEX(Inputs!$B$2:$AZ$190,,MATCH(SUBSTITUTE(AA$3,"Q","T"),Inputs!$B$2:$AZ$2,0)),Inputs!$B$2:$B$190,$B122)*Inputs!$D$1)</f>
        <v>0</v>
      </c>
      <c r="AB122" s="57">
        <f>IF(ISNA(SUMIFS(INDEX(Inputs!$B$2:$AZ$190,,MATCH(SUBSTITUTE(AB$3,"Q","T"),Inputs!$B$2:$AZ$2,0)),Inputs!$B$2:$B$190,$B122)*Inputs!$D$1),"",SUMIFS(INDEX(Inputs!$B$2:$AZ$190,,MATCH(SUBSTITUTE(AB$3,"Q","T"),Inputs!$B$2:$AZ$2,0)),Inputs!$B$2:$B$190,$B122)*Inputs!$D$1)</f>
        <v>0</v>
      </c>
      <c r="AC122" s="58">
        <f>AB122</f>
        <v>0</v>
      </c>
      <c r="AD122" s="57">
        <f>IF(ISNA(SUMIFS(INDEX(Inputs!$B$2:$AZ$190,,MATCH(SUBSTITUTE(AD$3,"Q","T"),Inputs!$B$2:$AZ$2,0)),Inputs!$B$2:$B$190,$B122)*Inputs!$D$1),"",SUMIFS(INDEX(Inputs!$B$2:$AZ$190,,MATCH(SUBSTITUTE(AD$3,"Q","T"),Inputs!$B$2:$AZ$2,0)),Inputs!$B$2:$B$190,$B122)*Inputs!$D$1)</f>
        <v>0</v>
      </c>
      <c r="AE122" s="57">
        <f>IF(ISNA(SUMIFS(INDEX(Inputs!$B$2:$AZ$190,,MATCH(SUBSTITUTE(AE$3,"Q","T"),Inputs!$B$2:$AZ$2,0)),Inputs!$B$2:$B$190,$B122)*Inputs!$D$1),"",SUMIFS(INDEX(Inputs!$B$2:$AZ$190,,MATCH(SUBSTITUTE(AE$3,"Q","T"),Inputs!$B$2:$AZ$2,0)),Inputs!$B$2:$B$190,$B122)*Inputs!$D$1)</f>
        <v>0</v>
      </c>
      <c r="AF122" s="57">
        <f>IF(ISNA(SUMIFS(INDEX(Inputs!$B$2:$AZ$190,,MATCH(SUBSTITUTE(AF$3,"Q","T"),Inputs!$B$2:$AZ$2,0)),Inputs!$B$2:$B$190,$B122)*Inputs!$D$1),"",SUMIFS(INDEX(Inputs!$B$2:$AZ$190,,MATCH(SUBSTITUTE(AF$3,"Q","T"),Inputs!$B$2:$AZ$2,0)),Inputs!$B$2:$B$190,$B122)*Inputs!$D$1)</f>
        <v>0</v>
      </c>
      <c r="AG122" s="57">
        <f>IF(ISNA(SUMIFS(INDEX(Inputs!$B$2:$AZ$190,,MATCH(SUBSTITUTE(AG$3,"Q","T"),Inputs!$B$2:$AZ$2,0)),Inputs!$B$2:$B$190,$B122)*Inputs!$D$1),"",SUMIFS(INDEX(Inputs!$B$2:$AZ$190,,MATCH(SUBSTITUTE(AG$3,"Q","T"),Inputs!$B$2:$AZ$2,0)),Inputs!$B$2:$B$190,$B122)*Inputs!$D$1)</f>
        <v>0</v>
      </c>
      <c r="AH122" s="58">
        <f>AG122</f>
        <v>0</v>
      </c>
      <c r="AI122" s="57">
        <f>IF(ISNA(SUMIFS(INDEX(Inputs!$B$2:$AZ$190,,MATCH(SUBSTITUTE(AI$3,"Q","T"),Inputs!$B$2:$AZ$2,0)),Inputs!$B$2:$B$190,$B122)*Inputs!$D$1),"",SUMIFS(INDEX(Inputs!$B$2:$AZ$190,,MATCH(SUBSTITUTE(AI$3,"Q","T"),Inputs!$B$2:$AZ$2,0)),Inputs!$B$2:$B$190,$B122)*Inputs!$D$1)</f>
        <v>0</v>
      </c>
      <c r="AJ122" s="57">
        <f>IF(ISNA(SUMIFS(INDEX(Inputs!$B$2:$AZ$190,,MATCH(SUBSTITUTE(AJ$3,"Q","T"),Inputs!$B$2:$AZ$2,0)),Inputs!$B$2:$B$190,$B122)*Inputs!$D$1),"",SUMIFS(INDEX(Inputs!$B$2:$AZ$190,,MATCH(SUBSTITUTE(AJ$3,"Q","T"),Inputs!$B$2:$AZ$2,0)),Inputs!$B$2:$B$190,$B122)*Inputs!$D$1)</f>
        <v>0</v>
      </c>
      <c r="AK122" s="57">
        <f>IF(ISNA(SUMIFS(INDEX(Inputs!$B$2:$AZ$190,,MATCH(SUBSTITUTE(AK$3,"Q","T"),Inputs!$B$2:$AZ$2,0)),Inputs!$B$2:$B$190,$B122)*Inputs!$D$1),"",SUMIFS(INDEX(Inputs!$B$2:$AZ$190,,MATCH(SUBSTITUTE(AK$3,"Q","T"),Inputs!$B$2:$AZ$2,0)),Inputs!$B$2:$B$190,$B122)*Inputs!$D$1)</f>
        <v>0</v>
      </c>
      <c r="AL122" s="57">
        <f>IF(ISNA(SUMIFS(INDEX(Inputs!$B$2:$AZ$190,,MATCH(SUBSTITUTE(AL$3,"Q","T"),Inputs!$B$2:$AZ$2,0)),Inputs!$B$2:$B$190,$B122)*Inputs!$D$1),"",SUMIFS(INDEX(Inputs!$B$2:$AZ$190,,MATCH(SUBSTITUTE(AL$3,"Q","T"),Inputs!$B$2:$AZ$2,0)),Inputs!$B$2:$B$190,$B122)*Inputs!$D$1)</f>
        <v>0</v>
      </c>
      <c r="AM122" s="58">
        <f>AL122</f>
        <v>0</v>
      </c>
      <c r="AN122" s="57">
        <f>IF(ISNA(SUMIFS(INDEX(Inputs!$B$2:$AZ$190,,MATCH(SUBSTITUTE(AN$3,"Q","T"),Inputs!$B$2:$AZ$2,0)),Inputs!$B$2:$B$190,$B122)*Inputs!$D$1),"",SUMIFS(INDEX(Inputs!$B$2:$AZ$190,,MATCH(SUBSTITUTE(AN$3,"Q","T"),Inputs!$B$2:$AZ$2,0)),Inputs!$B$2:$B$190,$B122)*Inputs!$D$1)</f>
        <v>0</v>
      </c>
      <c r="AO122" s="57">
        <f>IF(ISNA(SUMIFS(INDEX(Inputs!$B$2:$AZ$190,,MATCH(SUBSTITUTE(AO$3,"Q","T"),Inputs!$B$2:$AZ$2,0)),Inputs!$B$2:$B$190,$B122)*Inputs!$D$1),"",SUMIFS(INDEX(Inputs!$B$2:$AZ$190,,MATCH(SUBSTITUTE(AO$3,"Q","T"),Inputs!$B$2:$AZ$2,0)),Inputs!$B$2:$B$190,$B122)*Inputs!$D$1)</f>
        <v>0</v>
      </c>
      <c r="AP122" s="57">
        <f>IF(ISNA(SUMIFS(INDEX(Inputs!$B$2:$AZ$190,,MATCH(SUBSTITUTE(AP$3,"Q","T"),Inputs!$B$2:$AZ$2,0)),Inputs!$B$2:$B$190,$B122)*Inputs!$D$1),"",SUMIFS(INDEX(Inputs!$B$2:$AZ$190,,MATCH(SUBSTITUTE(AP$3,"Q","T"),Inputs!$B$2:$AZ$2,0)),Inputs!$B$2:$B$190,$B122)*Inputs!$D$1)</f>
        <v>0</v>
      </c>
      <c r="AQ122" s="57">
        <f>IF(ISNA(SUMIFS(INDEX(Inputs!$B$2:$AZ$190,,MATCH(SUBSTITUTE(AQ$3,"Q","T"),Inputs!$B$2:$AZ$2,0)),Inputs!$B$2:$B$190,$B122)*Inputs!$D$1),"",SUMIFS(INDEX(Inputs!$B$2:$AZ$190,,MATCH(SUBSTITUTE(AQ$3,"Q","T"),Inputs!$B$2:$AZ$2,0)),Inputs!$B$2:$B$190,$B122)*Inputs!$D$1)</f>
        <v>0</v>
      </c>
      <c r="AR122" s="58">
        <f>AQ122</f>
        <v>0</v>
      </c>
      <c r="AS122" s="57">
        <f>IF(ISNA(SUMIFS(INDEX(Inputs!$B$2:$AZ$190,,MATCH(SUBSTITUTE(AS$3,"Q","T"),Inputs!$B$2:$AZ$2,0)),Inputs!$B$2:$B$190,$B122)*Inputs!$D$1),"",SUMIFS(INDEX(Inputs!$B$2:$AZ$190,,MATCH(SUBSTITUTE(AS$3,"Q","T"),Inputs!$B$2:$AZ$2,0)),Inputs!$B$2:$B$190,$B122)*Inputs!$D$1)</f>
        <v>0</v>
      </c>
      <c r="AT122" s="57">
        <f>IF(ISNA(SUMIFS(INDEX(Inputs!$B$2:$AZ$190,,MATCH(SUBSTITUTE(AT$3,"Q","T"),Inputs!$B$2:$AZ$2,0)),Inputs!$B$2:$B$190,$B122)*Inputs!$D$1),"",SUMIFS(INDEX(Inputs!$B$2:$AZ$190,,MATCH(SUBSTITUTE(AT$3,"Q","T"),Inputs!$B$2:$AZ$2,0)),Inputs!$B$2:$B$190,$B122)*Inputs!$D$1)</f>
        <v>0</v>
      </c>
      <c r="AU122" s="57">
        <f>IF(ISNA(SUMIFS(INDEX(Inputs!$B$2:$AZ$190,,MATCH(SUBSTITUTE(AU$3,"Q","T"),Inputs!$B$2:$AZ$2,0)),Inputs!$B$2:$B$190,$B122)*Inputs!$D$1),"",SUMIFS(INDEX(Inputs!$B$2:$AZ$190,,MATCH(SUBSTITUTE(AU$3,"Q","T"),Inputs!$B$2:$AZ$2,0)),Inputs!$B$2:$B$190,$B122)*Inputs!$D$1)</f>
        <v>0</v>
      </c>
      <c r="AV122" s="57">
        <f>IF(ISNA(SUMIFS(INDEX(Inputs!$B$2:$AZ$190,,MATCH(SUBSTITUTE(AV$3,"Q","T"),Inputs!$B$2:$AZ$2,0)),Inputs!$B$2:$B$190,$B122)*Inputs!$D$1),"",SUMIFS(INDEX(Inputs!$B$2:$AZ$190,,MATCH(SUBSTITUTE(AV$3,"Q","T"),Inputs!$B$2:$AZ$2,0)),Inputs!$B$2:$B$190,$B122)*Inputs!$D$1)</f>
        <v>0</v>
      </c>
      <c r="AW122" s="58">
        <f>AV122</f>
        <v>0</v>
      </c>
      <c r="AX122" s="57">
        <f>IF(ISNA(SUMIFS(INDEX(Inputs!$B$2:$AZ$190,,MATCH(SUBSTITUTE(AX$3,"Q","T"),Inputs!$B$2:$AZ$2,0)),Inputs!$B$2:$B$190,$B122)*Inputs!$D$1),"",SUMIFS(INDEX(Inputs!$B$2:$AZ$190,,MATCH(SUBSTITUTE(AX$3,"Q","T"),Inputs!$B$2:$AZ$2,0)),Inputs!$B$2:$B$190,$B122)*Inputs!$D$1)</f>
        <v>0</v>
      </c>
      <c r="AY122" s="57">
        <f>IF(ISNA(SUMIFS(INDEX(Inputs!$B$2:$AZ$190,,MATCH(SUBSTITUTE(AY$3,"Q","T"),Inputs!$B$2:$AZ$2,0)),Inputs!$B$2:$B$190,$B122)*Inputs!$D$1),"",SUMIFS(INDEX(Inputs!$B$2:$AZ$190,,MATCH(SUBSTITUTE(AY$3,"Q","T"),Inputs!$B$2:$AZ$2,0)),Inputs!$B$2:$B$190,$B122)*Inputs!$D$1)</f>
        <v>0</v>
      </c>
      <c r="AZ122" s="57">
        <f>IF(ISNA(SUMIFS(INDEX(Inputs!$B$2:$AZ$190,,MATCH(SUBSTITUTE(AZ$3,"Q","T"),Inputs!$B$2:$AZ$2,0)),Inputs!$B$2:$B$190,$B122)*Inputs!$D$1),"",SUMIFS(INDEX(Inputs!$B$2:$AZ$190,,MATCH(SUBSTITUTE(AZ$3,"Q","T"),Inputs!$B$2:$AZ$2,0)),Inputs!$B$2:$B$190,$B122)*Inputs!$D$1)</f>
        <v>0</v>
      </c>
      <c r="BA122" s="57">
        <f>IF(ISNA(SUMIFS(INDEX(Inputs!$B$2:$AZ$190,,MATCH(SUBSTITUTE(BA$3,"Q","T"),Inputs!$B$2:$AZ$2,0)),Inputs!$B$2:$B$190,$B122)*Inputs!$D$1),"",SUMIFS(INDEX(Inputs!$B$2:$AZ$190,,MATCH(SUBSTITUTE(BA$3,"Q","T"),Inputs!$B$2:$AZ$2,0)),Inputs!$B$2:$B$190,$B122)*Inputs!$D$1)</f>
        <v>0</v>
      </c>
      <c r="BB122" s="58">
        <f>BA122</f>
        <v>0</v>
      </c>
      <c r="BC122" s="57">
        <f>IF(ISNA(SUMIFS(INDEX(Inputs!$B$2:$AZ$190,,MATCH(SUBSTITUTE(BC$3,"Q","T"),Inputs!$B$2:$AZ$2,0)),Inputs!$B$2:$B$190,$B122)*Inputs!$D$1),"",SUMIFS(INDEX(Inputs!$B$2:$AZ$190,,MATCH(SUBSTITUTE(BC$3,"Q","T"),Inputs!$B$2:$AZ$2,0)),Inputs!$B$2:$B$190,$B122)*Inputs!$D$1)</f>
        <v>0</v>
      </c>
      <c r="BD122" s="57">
        <f>IF(ISNA(SUMIFS(INDEX(Inputs!$B$2:$AZ$190,,MATCH(SUBSTITUTE(BD$3,"Q","T"),Inputs!$B$2:$AZ$2,0)),Inputs!$B$2:$B$190,$B122)*Inputs!$D$1),"",SUMIFS(INDEX(Inputs!$B$2:$AZ$190,,MATCH(SUBSTITUTE(BD$3,"Q","T"),Inputs!$B$2:$AZ$2,0)),Inputs!$B$2:$B$190,$B122)*Inputs!$D$1)</f>
        <v>0</v>
      </c>
      <c r="BE122" s="57">
        <f>IF(ISNA(SUMIFS(INDEX(Inputs!$B$2:$AZ$190,,MATCH(SUBSTITUTE(BE$3,"Q","T"),Inputs!$B$2:$AZ$2,0)),Inputs!$B$2:$B$190,$B122)*Inputs!$D$1),"",SUMIFS(INDEX(Inputs!$B$2:$AZ$190,,MATCH(SUBSTITUTE(BE$3,"Q","T"),Inputs!$B$2:$AZ$2,0)),Inputs!$B$2:$B$190,$B122)*Inputs!$D$1)</f>
        <v>0</v>
      </c>
      <c r="BF122" s="57">
        <f>IF(ISNA(SUMIFS(INDEX(Inputs!$B$2:$AZ$190,,MATCH(SUBSTITUTE(BF$3,"Q","T"),Inputs!$B$2:$AZ$2,0)),Inputs!$B$2:$B$190,$B122)*Inputs!$D$1),"",SUMIFS(INDEX(Inputs!$B$2:$AZ$190,,MATCH(SUBSTITUTE(BF$3,"Q","T"),Inputs!$B$2:$AZ$2,0)),Inputs!$B$2:$B$190,$B122)*Inputs!$D$1)</f>
        <v>0</v>
      </c>
      <c r="BG122" s="58">
        <f>BF122</f>
        <v>0</v>
      </c>
    </row>
    <row r="123">
      <c r="B123" s="56" t="inlineStr">
        <is>
          <t>acl_tot</t>
        </is>
      </c>
      <c r="C123" s="15" t="inlineStr">
        <is>
          <t>ACL total de empréstimos (saldo positivo)</t>
        </is>
      </c>
      <c r="D123" s="16" t="inlineStr">
        <is>
          <t>Total allowance for loan losses</t>
        </is>
      </c>
      <c r="E123" s="67">
        <f>IFERROR(IF(AND(ISNUMBER(IF(ISNA(SUMIFS(INDEX(Inputs!$B$2:$AZ$190,,MATCH(SUBSTITUTE(E$3,"Q","T"),Inputs!$B$2:$AZ$2,0)),Inputs!$B$2:$B$190,$B123)*Inputs!$D$1),"",SUMIFS(INDEX(Inputs!$B$2:$AZ$190,,MATCH(SUBSTITUTE(E$3,"Q","T"),Inputs!$B$2:$AZ$2,0)),Inputs!$B$2:$B$190,$B123)*Inputs!$D$1)),IF(ISNA(SUMIFS(INDEX(Inputs!$B$2:$AZ$190,,MATCH(SUBSTITUTE(E$3,"Q","T"),Inputs!$B$2:$AZ$2,0)),Inputs!$B$2:$B$190,$B123)*Inputs!$D$1),"",SUMIFS(INDEX(Inputs!$B$2:$AZ$190,,MATCH(SUBSTITUTE(E$3,"Q","T"),Inputs!$B$2:$AZ$2,0)),Inputs!$B$2:$B$190,$B123)*Inputs!$D$1)&lt;&gt;0),IF(ISNA(SUMIFS(INDEX(Inputs!$B$2:$AZ$190,,MATCH(SUBSTITUTE(E$3,"Q","T"),Inputs!$B$2:$AZ$2,0)),Inputs!$B$2:$B$190,$B123)*Inputs!$D$1),"",SUMIFS(INDEX(Inputs!$B$2:$AZ$190,,MATCH(SUBSTITUTE(E$3,"Q","T"),Inputs!$B$2:$AZ$2,0)),Inputs!$B$2:$B$190,$B123)*Inputs!$D$1),E120+E121+E122),"")</f>
        <v>0</v>
      </c>
      <c r="F123" s="67">
        <f>IFERROR(IF(AND(ISNUMBER(IF(ISNA(SUMIFS(INDEX(Inputs!$B$2:$AZ$190,,MATCH(SUBSTITUTE(F$3,"Q","T"),Inputs!$B$2:$AZ$2,0)),Inputs!$B$2:$B$190,$B123)*Inputs!$D$1),"",SUMIFS(INDEX(Inputs!$B$2:$AZ$190,,MATCH(SUBSTITUTE(F$3,"Q","T"),Inputs!$B$2:$AZ$2,0)),Inputs!$B$2:$B$190,$B123)*Inputs!$D$1)),IF(ISNA(SUMIFS(INDEX(Inputs!$B$2:$AZ$190,,MATCH(SUBSTITUTE(F$3,"Q","T"),Inputs!$B$2:$AZ$2,0)),Inputs!$B$2:$B$190,$B123)*Inputs!$D$1),"",SUMIFS(INDEX(Inputs!$B$2:$AZ$190,,MATCH(SUBSTITUTE(F$3,"Q","T"),Inputs!$B$2:$AZ$2,0)),Inputs!$B$2:$B$190,$B123)*Inputs!$D$1)&lt;&gt;0),IF(ISNA(SUMIFS(INDEX(Inputs!$B$2:$AZ$190,,MATCH(SUBSTITUTE(F$3,"Q","T"),Inputs!$B$2:$AZ$2,0)),Inputs!$B$2:$B$190,$B123)*Inputs!$D$1),"",SUMIFS(INDEX(Inputs!$B$2:$AZ$190,,MATCH(SUBSTITUTE(F$3,"Q","T"),Inputs!$B$2:$AZ$2,0)),Inputs!$B$2:$B$190,$B123)*Inputs!$D$1),F120+F121+F122),"")</f>
        <v>0</v>
      </c>
      <c r="G123" s="67">
        <f>IFERROR(IF(AND(ISNUMBER(IF(ISNA(SUMIFS(INDEX(Inputs!$B$2:$AZ$190,,MATCH(SUBSTITUTE(G$3,"Q","T"),Inputs!$B$2:$AZ$2,0)),Inputs!$B$2:$B$190,$B123)*Inputs!$D$1),"",SUMIFS(INDEX(Inputs!$B$2:$AZ$190,,MATCH(SUBSTITUTE(G$3,"Q","T"),Inputs!$B$2:$AZ$2,0)),Inputs!$B$2:$B$190,$B123)*Inputs!$D$1)),IF(ISNA(SUMIFS(INDEX(Inputs!$B$2:$AZ$190,,MATCH(SUBSTITUTE(G$3,"Q","T"),Inputs!$B$2:$AZ$2,0)),Inputs!$B$2:$B$190,$B123)*Inputs!$D$1),"",SUMIFS(INDEX(Inputs!$B$2:$AZ$190,,MATCH(SUBSTITUTE(G$3,"Q","T"),Inputs!$B$2:$AZ$2,0)),Inputs!$B$2:$B$190,$B123)*Inputs!$D$1)&lt;&gt;0),IF(ISNA(SUMIFS(INDEX(Inputs!$B$2:$AZ$190,,MATCH(SUBSTITUTE(G$3,"Q","T"),Inputs!$B$2:$AZ$2,0)),Inputs!$B$2:$B$190,$B123)*Inputs!$D$1),"",SUMIFS(INDEX(Inputs!$B$2:$AZ$190,,MATCH(SUBSTITUTE(G$3,"Q","T"),Inputs!$B$2:$AZ$2,0)),Inputs!$B$2:$B$190,$B123)*Inputs!$D$1),G120+G121+G122),"")</f>
        <v>0</v>
      </c>
      <c r="H123" s="67">
        <f>IFERROR(IF(AND(ISNUMBER(IF(ISNA(SUMIFS(INDEX(Inputs!$B$2:$AZ$190,,MATCH(SUBSTITUTE(H$3,"Q","T"),Inputs!$B$2:$AZ$2,0)),Inputs!$B$2:$B$190,$B123)*Inputs!$D$1),"",SUMIFS(INDEX(Inputs!$B$2:$AZ$190,,MATCH(SUBSTITUTE(H$3,"Q","T"),Inputs!$B$2:$AZ$2,0)),Inputs!$B$2:$B$190,$B123)*Inputs!$D$1)),IF(ISNA(SUMIFS(INDEX(Inputs!$B$2:$AZ$190,,MATCH(SUBSTITUTE(H$3,"Q","T"),Inputs!$B$2:$AZ$2,0)),Inputs!$B$2:$B$190,$B123)*Inputs!$D$1),"",SUMIFS(INDEX(Inputs!$B$2:$AZ$190,,MATCH(SUBSTITUTE(H$3,"Q","T"),Inputs!$B$2:$AZ$2,0)),Inputs!$B$2:$B$190,$B123)*Inputs!$D$1)&lt;&gt;0),IF(ISNA(SUMIFS(INDEX(Inputs!$B$2:$AZ$190,,MATCH(SUBSTITUTE(H$3,"Q","T"),Inputs!$B$2:$AZ$2,0)),Inputs!$B$2:$B$190,$B123)*Inputs!$D$1),"",SUMIFS(INDEX(Inputs!$B$2:$AZ$190,,MATCH(SUBSTITUTE(H$3,"Q","T"),Inputs!$B$2:$AZ$2,0)),Inputs!$B$2:$B$190,$B123)*Inputs!$D$1),H120+H121+H122),"")</f>
        <v>0</v>
      </c>
      <c r="I123" s="58">
        <f>H123</f>
        <v>0</v>
      </c>
      <c r="J123" s="67">
        <f>IFERROR(IF(AND(ISNUMBER(IF(ISNA(SUMIFS(INDEX(Inputs!$B$2:$AZ$190,,MATCH(SUBSTITUTE(J$3,"Q","T"),Inputs!$B$2:$AZ$2,0)),Inputs!$B$2:$B$190,$B123)*Inputs!$D$1),"",SUMIFS(INDEX(Inputs!$B$2:$AZ$190,,MATCH(SUBSTITUTE(J$3,"Q","T"),Inputs!$B$2:$AZ$2,0)),Inputs!$B$2:$B$190,$B123)*Inputs!$D$1)),IF(ISNA(SUMIFS(INDEX(Inputs!$B$2:$AZ$190,,MATCH(SUBSTITUTE(J$3,"Q","T"),Inputs!$B$2:$AZ$2,0)),Inputs!$B$2:$B$190,$B123)*Inputs!$D$1),"",SUMIFS(INDEX(Inputs!$B$2:$AZ$190,,MATCH(SUBSTITUTE(J$3,"Q","T"),Inputs!$B$2:$AZ$2,0)),Inputs!$B$2:$B$190,$B123)*Inputs!$D$1)&lt;&gt;0),IF(ISNA(SUMIFS(INDEX(Inputs!$B$2:$AZ$190,,MATCH(SUBSTITUTE(J$3,"Q","T"),Inputs!$B$2:$AZ$2,0)),Inputs!$B$2:$B$190,$B123)*Inputs!$D$1),"",SUMIFS(INDEX(Inputs!$B$2:$AZ$190,,MATCH(SUBSTITUTE(J$3,"Q","T"),Inputs!$B$2:$AZ$2,0)),Inputs!$B$2:$B$190,$B123)*Inputs!$D$1),J120+J121+J122),"")</f>
        <v>0</v>
      </c>
      <c r="K123" s="67">
        <f>IFERROR(IF(AND(ISNUMBER(IF(ISNA(SUMIFS(INDEX(Inputs!$B$2:$AZ$190,,MATCH(SUBSTITUTE(K$3,"Q","T"),Inputs!$B$2:$AZ$2,0)),Inputs!$B$2:$B$190,$B123)*Inputs!$D$1),"",SUMIFS(INDEX(Inputs!$B$2:$AZ$190,,MATCH(SUBSTITUTE(K$3,"Q","T"),Inputs!$B$2:$AZ$2,0)),Inputs!$B$2:$B$190,$B123)*Inputs!$D$1)),IF(ISNA(SUMIFS(INDEX(Inputs!$B$2:$AZ$190,,MATCH(SUBSTITUTE(K$3,"Q","T"),Inputs!$B$2:$AZ$2,0)),Inputs!$B$2:$B$190,$B123)*Inputs!$D$1),"",SUMIFS(INDEX(Inputs!$B$2:$AZ$190,,MATCH(SUBSTITUTE(K$3,"Q","T"),Inputs!$B$2:$AZ$2,0)),Inputs!$B$2:$B$190,$B123)*Inputs!$D$1)&lt;&gt;0),IF(ISNA(SUMIFS(INDEX(Inputs!$B$2:$AZ$190,,MATCH(SUBSTITUTE(K$3,"Q","T"),Inputs!$B$2:$AZ$2,0)),Inputs!$B$2:$B$190,$B123)*Inputs!$D$1),"",SUMIFS(INDEX(Inputs!$B$2:$AZ$190,,MATCH(SUBSTITUTE(K$3,"Q","T"),Inputs!$B$2:$AZ$2,0)),Inputs!$B$2:$B$190,$B123)*Inputs!$D$1),K120+K121+K122),"")</f>
        <v>0</v>
      </c>
      <c r="L123" s="67">
        <f>IFERROR(IF(AND(ISNUMBER(IF(ISNA(SUMIFS(INDEX(Inputs!$B$2:$AZ$190,,MATCH(SUBSTITUTE(L$3,"Q","T"),Inputs!$B$2:$AZ$2,0)),Inputs!$B$2:$B$190,$B123)*Inputs!$D$1),"",SUMIFS(INDEX(Inputs!$B$2:$AZ$190,,MATCH(SUBSTITUTE(L$3,"Q","T"),Inputs!$B$2:$AZ$2,0)),Inputs!$B$2:$B$190,$B123)*Inputs!$D$1)),IF(ISNA(SUMIFS(INDEX(Inputs!$B$2:$AZ$190,,MATCH(SUBSTITUTE(L$3,"Q","T"),Inputs!$B$2:$AZ$2,0)),Inputs!$B$2:$B$190,$B123)*Inputs!$D$1),"",SUMIFS(INDEX(Inputs!$B$2:$AZ$190,,MATCH(SUBSTITUTE(L$3,"Q","T"),Inputs!$B$2:$AZ$2,0)),Inputs!$B$2:$B$190,$B123)*Inputs!$D$1)&lt;&gt;0),IF(ISNA(SUMIFS(INDEX(Inputs!$B$2:$AZ$190,,MATCH(SUBSTITUTE(L$3,"Q","T"),Inputs!$B$2:$AZ$2,0)),Inputs!$B$2:$B$190,$B123)*Inputs!$D$1),"",SUMIFS(INDEX(Inputs!$B$2:$AZ$190,,MATCH(SUBSTITUTE(L$3,"Q","T"),Inputs!$B$2:$AZ$2,0)),Inputs!$B$2:$B$190,$B123)*Inputs!$D$1),L120+L121+L122),"")</f>
        <v>0</v>
      </c>
      <c r="M123" s="67">
        <f>IFERROR(IF(AND(ISNUMBER(IF(ISNA(SUMIFS(INDEX(Inputs!$B$2:$AZ$190,,MATCH(SUBSTITUTE(M$3,"Q","T"),Inputs!$B$2:$AZ$2,0)),Inputs!$B$2:$B$190,$B123)*Inputs!$D$1),"",SUMIFS(INDEX(Inputs!$B$2:$AZ$190,,MATCH(SUBSTITUTE(M$3,"Q","T"),Inputs!$B$2:$AZ$2,0)),Inputs!$B$2:$B$190,$B123)*Inputs!$D$1)),IF(ISNA(SUMIFS(INDEX(Inputs!$B$2:$AZ$190,,MATCH(SUBSTITUTE(M$3,"Q","T"),Inputs!$B$2:$AZ$2,0)),Inputs!$B$2:$B$190,$B123)*Inputs!$D$1),"",SUMIFS(INDEX(Inputs!$B$2:$AZ$190,,MATCH(SUBSTITUTE(M$3,"Q","T"),Inputs!$B$2:$AZ$2,0)),Inputs!$B$2:$B$190,$B123)*Inputs!$D$1)&lt;&gt;0),IF(ISNA(SUMIFS(INDEX(Inputs!$B$2:$AZ$190,,MATCH(SUBSTITUTE(M$3,"Q","T"),Inputs!$B$2:$AZ$2,0)),Inputs!$B$2:$B$190,$B123)*Inputs!$D$1),"",SUMIFS(INDEX(Inputs!$B$2:$AZ$190,,MATCH(SUBSTITUTE(M$3,"Q","T"),Inputs!$B$2:$AZ$2,0)),Inputs!$B$2:$B$190,$B123)*Inputs!$D$1),M120+M121+M122),"")</f>
        <v>0</v>
      </c>
      <c r="N123" s="58">
        <f>M123</f>
        <v>0</v>
      </c>
      <c r="O123" s="67">
        <f>IFERROR(IF(AND(ISNUMBER(IF(ISNA(SUMIFS(INDEX(Inputs!$B$2:$AZ$190,,MATCH(SUBSTITUTE(O$3,"Q","T"),Inputs!$B$2:$AZ$2,0)),Inputs!$B$2:$B$190,$B123)*Inputs!$D$1),"",SUMIFS(INDEX(Inputs!$B$2:$AZ$190,,MATCH(SUBSTITUTE(O$3,"Q","T"),Inputs!$B$2:$AZ$2,0)),Inputs!$B$2:$B$190,$B123)*Inputs!$D$1)),IF(ISNA(SUMIFS(INDEX(Inputs!$B$2:$AZ$190,,MATCH(SUBSTITUTE(O$3,"Q","T"),Inputs!$B$2:$AZ$2,0)),Inputs!$B$2:$B$190,$B123)*Inputs!$D$1),"",SUMIFS(INDEX(Inputs!$B$2:$AZ$190,,MATCH(SUBSTITUTE(O$3,"Q","T"),Inputs!$B$2:$AZ$2,0)),Inputs!$B$2:$B$190,$B123)*Inputs!$D$1)&lt;&gt;0),IF(ISNA(SUMIFS(INDEX(Inputs!$B$2:$AZ$190,,MATCH(SUBSTITUTE(O$3,"Q","T"),Inputs!$B$2:$AZ$2,0)),Inputs!$B$2:$B$190,$B123)*Inputs!$D$1),"",SUMIFS(INDEX(Inputs!$B$2:$AZ$190,,MATCH(SUBSTITUTE(O$3,"Q","T"),Inputs!$B$2:$AZ$2,0)),Inputs!$B$2:$B$190,$B123)*Inputs!$D$1),O120+O121+O122),"")</f>
        <v>0</v>
      </c>
      <c r="P123" s="67">
        <f>IFERROR(IF(AND(ISNUMBER(IF(ISNA(SUMIFS(INDEX(Inputs!$B$2:$AZ$190,,MATCH(SUBSTITUTE(P$3,"Q","T"),Inputs!$B$2:$AZ$2,0)),Inputs!$B$2:$B$190,$B123)*Inputs!$D$1),"",SUMIFS(INDEX(Inputs!$B$2:$AZ$190,,MATCH(SUBSTITUTE(P$3,"Q","T"),Inputs!$B$2:$AZ$2,0)),Inputs!$B$2:$B$190,$B123)*Inputs!$D$1)),IF(ISNA(SUMIFS(INDEX(Inputs!$B$2:$AZ$190,,MATCH(SUBSTITUTE(P$3,"Q","T"),Inputs!$B$2:$AZ$2,0)),Inputs!$B$2:$B$190,$B123)*Inputs!$D$1),"",SUMIFS(INDEX(Inputs!$B$2:$AZ$190,,MATCH(SUBSTITUTE(P$3,"Q","T"),Inputs!$B$2:$AZ$2,0)),Inputs!$B$2:$B$190,$B123)*Inputs!$D$1)&lt;&gt;0),IF(ISNA(SUMIFS(INDEX(Inputs!$B$2:$AZ$190,,MATCH(SUBSTITUTE(P$3,"Q","T"),Inputs!$B$2:$AZ$2,0)),Inputs!$B$2:$B$190,$B123)*Inputs!$D$1),"",SUMIFS(INDEX(Inputs!$B$2:$AZ$190,,MATCH(SUBSTITUTE(P$3,"Q","T"),Inputs!$B$2:$AZ$2,0)),Inputs!$B$2:$B$190,$B123)*Inputs!$D$1),P120+P121+P122),"")</f>
        <v>0</v>
      </c>
      <c r="Q123" s="67">
        <f>IFERROR(IF(AND(ISNUMBER(IF(ISNA(SUMIFS(INDEX(Inputs!$B$2:$AZ$190,,MATCH(SUBSTITUTE(Q$3,"Q","T"),Inputs!$B$2:$AZ$2,0)),Inputs!$B$2:$B$190,$B123)*Inputs!$D$1),"",SUMIFS(INDEX(Inputs!$B$2:$AZ$190,,MATCH(SUBSTITUTE(Q$3,"Q","T"),Inputs!$B$2:$AZ$2,0)),Inputs!$B$2:$B$190,$B123)*Inputs!$D$1)),IF(ISNA(SUMIFS(INDEX(Inputs!$B$2:$AZ$190,,MATCH(SUBSTITUTE(Q$3,"Q","T"),Inputs!$B$2:$AZ$2,0)),Inputs!$B$2:$B$190,$B123)*Inputs!$D$1),"",SUMIFS(INDEX(Inputs!$B$2:$AZ$190,,MATCH(SUBSTITUTE(Q$3,"Q","T"),Inputs!$B$2:$AZ$2,0)),Inputs!$B$2:$B$190,$B123)*Inputs!$D$1)&lt;&gt;0),IF(ISNA(SUMIFS(INDEX(Inputs!$B$2:$AZ$190,,MATCH(SUBSTITUTE(Q$3,"Q","T"),Inputs!$B$2:$AZ$2,0)),Inputs!$B$2:$B$190,$B123)*Inputs!$D$1),"",SUMIFS(INDEX(Inputs!$B$2:$AZ$190,,MATCH(SUBSTITUTE(Q$3,"Q","T"),Inputs!$B$2:$AZ$2,0)),Inputs!$B$2:$B$190,$B123)*Inputs!$D$1),Q120+Q121+Q122),"")</f>
        <v>0</v>
      </c>
      <c r="R123" s="67">
        <f>IFERROR(IF(AND(ISNUMBER(IF(ISNA(SUMIFS(INDEX(Inputs!$B$2:$AZ$190,,MATCH(SUBSTITUTE(R$3,"Q","T"),Inputs!$B$2:$AZ$2,0)),Inputs!$B$2:$B$190,$B123)*Inputs!$D$1),"",SUMIFS(INDEX(Inputs!$B$2:$AZ$190,,MATCH(SUBSTITUTE(R$3,"Q","T"),Inputs!$B$2:$AZ$2,0)),Inputs!$B$2:$B$190,$B123)*Inputs!$D$1)),IF(ISNA(SUMIFS(INDEX(Inputs!$B$2:$AZ$190,,MATCH(SUBSTITUTE(R$3,"Q","T"),Inputs!$B$2:$AZ$2,0)),Inputs!$B$2:$B$190,$B123)*Inputs!$D$1),"",SUMIFS(INDEX(Inputs!$B$2:$AZ$190,,MATCH(SUBSTITUTE(R$3,"Q","T"),Inputs!$B$2:$AZ$2,0)),Inputs!$B$2:$B$190,$B123)*Inputs!$D$1)&lt;&gt;0),IF(ISNA(SUMIFS(INDEX(Inputs!$B$2:$AZ$190,,MATCH(SUBSTITUTE(R$3,"Q","T"),Inputs!$B$2:$AZ$2,0)),Inputs!$B$2:$B$190,$B123)*Inputs!$D$1),"",SUMIFS(INDEX(Inputs!$B$2:$AZ$190,,MATCH(SUBSTITUTE(R$3,"Q","T"),Inputs!$B$2:$AZ$2,0)),Inputs!$B$2:$B$190,$B123)*Inputs!$D$1),R120+R121+R122),"")</f>
        <v>0</v>
      </c>
      <c r="S123" s="58">
        <f>R123</f>
        <v>0</v>
      </c>
      <c r="T123" s="67">
        <f>IFERROR(IF(AND(ISNUMBER(IF(ISNA(SUMIFS(INDEX(Inputs!$B$2:$AZ$190,,MATCH(SUBSTITUTE(T$3,"Q","T"),Inputs!$B$2:$AZ$2,0)),Inputs!$B$2:$B$190,$B123)*Inputs!$D$1),"",SUMIFS(INDEX(Inputs!$B$2:$AZ$190,,MATCH(SUBSTITUTE(T$3,"Q","T"),Inputs!$B$2:$AZ$2,0)),Inputs!$B$2:$B$190,$B123)*Inputs!$D$1)),IF(ISNA(SUMIFS(INDEX(Inputs!$B$2:$AZ$190,,MATCH(SUBSTITUTE(T$3,"Q","T"),Inputs!$B$2:$AZ$2,0)),Inputs!$B$2:$B$190,$B123)*Inputs!$D$1),"",SUMIFS(INDEX(Inputs!$B$2:$AZ$190,,MATCH(SUBSTITUTE(T$3,"Q","T"),Inputs!$B$2:$AZ$2,0)),Inputs!$B$2:$B$190,$B123)*Inputs!$D$1)&lt;&gt;0),IF(ISNA(SUMIFS(INDEX(Inputs!$B$2:$AZ$190,,MATCH(SUBSTITUTE(T$3,"Q","T"),Inputs!$B$2:$AZ$2,0)),Inputs!$B$2:$B$190,$B123)*Inputs!$D$1),"",SUMIFS(INDEX(Inputs!$B$2:$AZ$190,,MATCH(SUBSTITUTE(T$3,"Q","T"),Inputs!$B$2:$AZ$2,0)),Inputs!$B$2:$B$190,$B123)*Inputs!$D$1),T120+T121+T122),"")</f>
        <v>0</v>
      </c>
      <c r="U123" s="67">
        <f>IFERROR(IF(AND(ISNUMBER(IF(ISNA(SUMIFS(INDEX(Inputs!$B$2:$AZ$190,,MATCH(SUBSTITUTE(U$3,"Q","T"),Inputs!$B$2:$AZ$2,0)),Inputs!$B$2:$B$190,$B123)*Inputs!$D$1),"",SUMIFS(INDEX(Inputs!$B$2:$AZ$190,,MATCH(SUBSTITUTE(U$3,"Q","T"),Inputs!$B$2:$AZ$2,0)),Inputs!$B$2:$B$190,$B123)*Inputs!$D$1)),IF(ISNA(SUMIFS(INDEX(Inputs!$B$2:$AZ$190,,MATCH(SUBSTITUTE(U$3,"Q","T"),Inputs!$B$2:$AZ$2,0)),Inputs!$B$2:$B$190,$B123)*Inputs!$D$1),"",SUMIFS(INDEX(Inputs!$B$2:$AZ$190,,MATCH(SUBSTITUTE(U$3,"Q","T"),Inputs!$B$2:$AZ$2,0)),Inputs!$B$2:$B$190,$B123)*Inputs!$D$1)&lt;&gt;0),IF(ISNA(SUMIFS(INDEX(Inputs!$B$2:$AZ$190,,MATCH(SUBSTITUTE(U$3,"Q","T"),Inputs!$B$2:$AZ$2,0)),Inputs!$B$2:$B$190,$B123)*Inputs!$D$1),"",SUMIFS(INDEX(Inputs!$B$2:$AZ$190,,MATCH(SUBSTITUTE(U$3,"Q","T"),Inputs!$B$2:$AZ$2,0)),Inputs!$B$2:$B$190,$B123)*Inputs!$D$1),U120+U121+U122),"")</f>
        <v>0</v>
      </c>
      <c r="V123" s="67">
        <f>IFERROR(IF(AND(ISNUMBER(IF(ISNA(SUMIFS(INDEX(Inputs!$B$2:$AZ$190,,MATCH(SUBSTITUTE(V$3,"Q","T"),Inputs!$B$2:$AZ$2,0)),Inputs!$B$2:$B$190,$B123)*Inputs!$D$1),"",SUMIFS(INDEX(Inputs!$B$2:$AZ$190,,MATCH(SUBSTITUTE(V$3,"Q","T"),Inputs!$B$2:$AZ$2,0)),Inputs!$B$2:$B$190,$B123)*Inputs!$D$1)),IF(ISNA(SUMIFS(INDEX(Inputs!$B$2:$AZ$190,,MATCH(SUBSTITUTE(V$3,"Q","T"),Inputs!$B$2:$AZ$2,0)),Inputs!$B$2:$B$190,$B123)*Inputs!$D$1),"",SUMIFS(INDEX(Inputs!$B$2:$AZ$190,,MATCH(SUBSTITUTE(V$3,"Q","T"),Inputs!$B$2:$AZ$2,0)),Inputs!$B$2:$B$190,$B123)*Inputs!$D$1)&lt;&gt;0),IF(ISNA(SUMIFS(INDEX(Inputs!$B$2:$AZ$190,,MATCH(SUBSTITUTE(V$3,"Q","T"),Inputs!$B$2:$AZ$2,0)),Inputs!$B$2:$B$190,$B123)*Inputs!$D$1),"",SUMIFS(INDEX(Inputs!$B$2:$AZ$190,,MATCH(SUBSTITUTE(V$3,"Q","T"),Inputs!$B$2:$AZ$2,0)),Inputs!$B$2:$B$190,$B123)*Inputs!$D$1),V120+V121+V122),"")</f>
        <v>0</v>
      </c>
      <c r="W123" s="67">
        <f>IFERROR(IF(AND(ISNUMBER(IF(ISNA(SUMIFS(INDEX(Inputs!$B$2:$AZ$190,,MATCH(SUBSTITUTE(W$3,"Q","T"),Inputs!$B$2:$AZ$2,0)),Inputs!$B$2:$B$190,$B123)*Inputs!$D$1),"",SUMIFS(INDEX(Inputs!$B$2:$AZ$190,,MATCH(SUBSTITUTE(W$3,"Q","T"),Inputs!$B$2:$AZ$2,0)),Inputs!$B$2:$B$190,$B123)*Inputs!$D$1)),IF(ISNA(SUMIFS(INDEX(Inputs!$B$2:$AZ$190,,MATCH(SUBSTITUTE(W$3,"Q","T"),Inputs!$B$2:$AZ$2,0)),Inputs!$B$2:$B$190,$B123)*Inputs!$D$1),"",SUMIFS(INDEX(Inputs!$B$2:$AZ$190,,MATCH(SUBSTITUTE(W$3,"Q","T"),Inputs!$B$2:$AZ$2,0)),Inputs!$B$2:$B$190,$B123)*Inputs!$D$1)&lt;&gt;0),IF(ISNA(SUMIFS(INDEX(Inputs!$B$2:$AZ$190,,MATCH(SUBSTITUTE(W$3,"Q","T"),Inputs!$B$2:$AZ$2,0)),Inputs!$B$2:$B$190,$B123)*Inputs!$D$1),"",SUMIFS(INDEX(Inputs!$B$2:$AZ$190,,MATCH(SUBSTITUTE(W$3,"Q","T"),Inputs!$B$2:$AZ$2,0)),Inputs!$B$2:$B$190,$B123)*Inputs!$D$1),W120+W121+W122),"")</f>
        <v>0</v>
      </c>
      <c r="X123" s="58">
        <f>W123</f>
        <v>0</v>
      </c>
      <c r="Y123" s="67">
        <f>IFERROR(IF(AND(ISNUMBER(IF(ISNA(SUMIFS(INDEX(Inputs!$B$2:$AZ$190,,MATCH(SUBSTITUTE(Y$3,"Q","T"),Inputs!$B$2:$AZ$2,0)),Inputs!$B$2:$B$190,$B123)*Inputs!$D$1),"",SUMIFS(INDEX(Inputs!$B$2:$AZ$190,,MATCH(SUBSTITUTE(Y$3,"Q","T"),Inputs!$B$2:$AZ$2,0)),Inputs!$B$2:$B$190,$B123)*Inputs!$D$1)),IF(ISNA(SUMIFS(INDEX(Inputs!$B$2:$AZ$190,,MATCH(SUBSTITUTE(Y$3,"Q","T"),Inputs!$B$2:$AZ$2,0)),Inputs!$B$2:$B$190,$B123)*Inputs!$D$1),"",SUMIFS(INDEX(Inputs!$B$2:$AZ$190,,MATCH(SUBSTITUTE(Y$3,"Q","T"),Inputs!$B$2:$AZ$2,0)),Inputs!$B$2:$B$190,$B123)*Inputs!$D$1)&lt;&gt;0),IF(ISNA(SUMIFS(INDEX(Inputs!$B$2:$AZ$190,,MATCH(SUBSTITUTE(Y$3,"Q","T"),Inputs!$B$2:$AZ$2,0)),Inputs!$B$2:$B$190,$B123)*Inputs!$D$1),"",SUMIFS(INDEX(Inputs!$B$2:$AZ$190,,MATCH(SUBSTITUTE(Y$3,"Q","T"),Inputs!$B$2:$AZ$2,0)),Inputs!$B$2:$B$190,$B123)*Inputs!$D$1),Y120+Y121+Y122),"")</f>
        <v>0</v>
      </c>
      <c r="Z123" s="67">
        <f>IFERROR(IF(AND(ISNUMBER(IF(ISNA(SUMIFS(INDEX(Inputs!$B$2:$AZ$190,,MATCH(SUBSTITUTE(Z$3,"Q","T"),Inputs!$B$2:$AZ$2,0)),Inputs!$B$2:$B$190,$B123)*Inputs!$D$1),"",SUMIFS(INDEX(Inputs!$B$2:$AZ$190,,MATCH(SUBSTITUTE(Z$3,"Q","T"),Inputs!$B$2:$AZ$2,0)),Inputs!$B$2:$B$190,$B123)*Inputs!$D$1)),IF(ISNA(SUMIFS(INDEX(Inputs!$B$2:$AZ$190,,MATCH(SUBSTITUTE(Z$3,"Q","T"),Inputs!$B$2:$AZ$2,0)),Inputs!$B$2:$B$190,$B123)*Inputs!$D$1),"",SUMIFS(INDEX(Inputs!$B$2:$AZ$190,,MATCH(SUBSTITUTE(Z$3,"Q","T"),Inputs!$B$2:$AZ$2,0)),Inputs!$B$2:$B$190,$B123)*Inputs!$D$1)&lt;&gt;0),IF(ISNA(SUMIFS(INDEX(Inputs!$B$2:$AZ$190,,MATCH(SUBSTITUTE(Z$3,"Q","T"),Inputs!$B$2:$AZ$2,0)),Inputs!$B$2:$B$190,$B123)*Inputs!$D$1),"",SUMIFS(INDEX(Inputs!$B$2:$AZ$190,,MATCH(SUBSTITUTE(Z$3,"Q","T"),Inputs!$B$2:$AZ$2,0)),Inputs!$B$2:$B$190,$B123)*Inputs!$D$1),Z120+Z121+Z122),"")</f>
        <v>0</v>
      </c>
      <c r="AA123" s="67">
        <f>IFERROR(IF(AND(ISNUMBER(IF(ISNA(SUMIFS(INDEX(Inputs!$B$2:$AZ$190,,MATCH(SUBSTITUTE(AA$3,"Q","T"),Inputs!$B$2:$AZ$2,0)),Inputs!$B$2:$B$190,$B123)*Inputs!$D$1),"",SUMIFS(INDEX(Inputs!$B$2:$AZ$190,,MATCH(SUBSTITUTE(AA$3,"Q","T"),Inputs!$B$2:$AZ$2,0)),Inputs!$B$2:$B$190,$B123)*Inputs!$D$1)),IF(ISNA(SUMIFS(INDEX(Inputs!$B$2:$AZ$190,,MATCH(SUBSTITUTE(AA$3,"Q","T"),Inputs!$B$2:$AZ$2,0)),Inputs!$B$2:$B$190,$B123)*Inputs!$D$1),"",SUMIFS(INDEX(Inputs!$B$2:$AZ$190,,MATCH(SUBSTITUTE(AA$3,"Q","T"),Inputs!$B$2:$AZ$2,0)),Inputs!$B$2:$B$190,$B123)*Inputs!$D$1)&lt;&gt;0),IF(ISNA(SUMIFS(INDEX(Inputs!$B$2:$AZ$190,,MATCH(SUBSTITUTE(AA$3,"Q","T"),Inputs!$B$2:$AZ$2,0)),Inputs!$B$2:$B$190,$B123)*Inputs!$D$1),"",SUMIFS(INDEX(Inputs!$B$2:$AZ$190,,MATCH(SUBSTITUTE(AA$3,"Q","T"),Inputs!$B$2:$AZ$2,0)),Inputs!$B$2:$B$190,$B123)*Inputs!$D$1),AA120+AA121+AA122),"")</f>
        <v>0</v>
      </c>
      <c r="AB123" s="67">
        <f>IFERROR(IF(AND(ISNUMBER(IF(ISNA(SUMIFS(INDEX(Inputs!$B$2:$AZ$190,,MATCH(SUBSTITUTE(AB$3,"Q","T"),Inputs!$B$2:$AZ$2,0)),Inputs!$B$2:$B$190,$B123)*Inputs!$D$1),"",SUMIFS(INDEX(Inputs!$B$2:$AZ$190,,MATCH(SUBSTITUTE(AB$3,"Q","T"),Inputs!$B$2:$AZ$2,0)),Inputs!$B$2:$B$190,$B123)*Inputs!$D$1)),IF(ISNA(SUMIFS(INDEX(Inputs!$B$2:$AZ$190,,MATCH(SUBSTITUTE(AB$3,"Q","T"),Inputs!$B$2:$AZ$2,0)),Inputs!$B$2:$B$190,$B123)*Inputs!$D$1),"",SUMIFS(INDEX(Inputs!$B$2:$AZ$190,,MATCH(SUBSTITUTE(AB$3,"Q","T"),Inputs!$B$2:$AZ$2,0)),Inputs!$B$2:$B$190,$B123)*Inputs!$D$1)&lt;&gt;0),IF(ISNA(SUMIFS(INDEX(Inputs!$B$2:$AZ$190,,MATCH(SUBSTITUTE(AB$3,"Q","T"),Inputs!$B$2:$AZ$2,0)),Inputs!$B$2:$B$190,$B123)*Inputs!$D$1),"",SUMIFS(INDEX(Inputs!$B$2:$AZ$190,,MATCH(SUBSTITUTE(AB$3,"Q","T"),Inputs!$B$2:$AZ$2,0)),Inputs!$B$2:$B$190,$B123)*Inputs!$D$1),AB120+AB121+AB122),"")</f>
        <v>0</v>
      </c>
      <c r="AC123" s="58">
        <f>AB123</f>
        <v>0</v>
      </c>
      <c r="AD123" s="67">
        <f>IFERROR(IF(AND(ISNUMBER(IF(ISNA(SUMIFS(INDEX(Inputs!$B$2:$AZ$190,,MATCH(SUBSTITUTE(AD$3,"Q","T"),Inputs!$B$2:$AZ$2,0)),Inputs!$B$2:$B$190,$B123)*Inputs!$D$1),"",SUMIFS(INDEX(Inputs!$B$2:$AZ$190,,MATCH(SUBSTITUTE(AD$3,"Q","T"),Inputs!$B$2:$AZ$2,0)),Inputs!$B$2:$B$190,$B123)*Inputs!$D$1)),IF(ISNA(SUMIFS(INDEX(Inputs!$B$2:$AZ$190,,MATCH(SUBSTITUTE(AD$3,"Q","T"),Inputs!$B$2:$AZ$2,0)),Inputs!$B$2:$B$190,$B123)*Inputs!$D$1),"",SUMIFS(INDEX(Inputs!$B$2:$AZ$190,,MATCH(SUBSTITUTE(AD$3,"Q","T"),Inputs!$B$2:$AZ$2,0)),Inputs!$B$2:$B$190,$B123)*Inputs!$D$1)&lt;&gt;0),IF(ISNA(SUMIFS(INDEX(Inputs!$B$2:$AZ$190,,MATCH(SUBSTITUTE(AD$3,"Q","T"),Inputs!$B$2:$AZ$2,0)),Inputs!$B$2:$B$190,$B123)*Inputs!$D$1),"",SUMIFS(INDEX(Inputs!$B$2:$AZ$190,,MATCH(SUBSTITUTE(AD$3,"Q","T"),Inputs!$B$2:$AZ$2,0)),Inputs!$B$2:$B$190,$B123)*Inputs!$D$1),AD120+AD121+AD122),"")</f>
        <v>0</v>
      </c>
      <c r="AE123" s="67">
        <f>IFERROR(IF(AND(ISNUMBER(IF(ISNA(SUMIFS(INDEX(Inputs!$B$2:$AZ$190,,MATCH(SUBSTITUTE(AE$3,"Q","T"),Inputs!$B$2:$AZ$2,0)),Inputs!$B$2:$B$190,$B123)*Inputs!$D$1),"",SUMIFS(INDEX(Inputs!$B$2:$AZ$190,,MATCH(SUBSTITUTE(AE$3,"Q","T"),Inputs!$B$2:$AZ$2,0)),Inputs!$B$2:$B$190,$B123)*Inputs!$D$1)),IF(ISNA(SUMIFS(INDEX(Inputs!$B$2:$AZ$190,,MATCH(SUBSTITUTE(AE$3,"Q","T"),Inputs!$B$2:$AZ$2,0)),Inputs!$B$2:$B$190,$B123)*Inputs!$D$1),"",SUMIFS(INDEX(Inputs!$B$2:$AZ$190,,MATCH(SUBSTITUTE(AE$3,"Q","T"),Inputs!$B$2:$AZ$2,0)),Inputs!$B$2:$B$190,$B123)*Inputs!$D$1)&lt;&gt;0),IF(ISNA(SUMIFS(INDEX(Inputs!$B$2:$AZ$190,,MATCH(SUBSTITUTE(AE$3,"Q","T"),Inputs!$B$2:$AZ$2,0)),Inputs!$B$2:$B$190,$B123)*Inputs!$D$1),"",SUMIFS(INDEX(Inputs!$B$2:$AZ$190,,MATCH(SUBSTITUTE(AE$3,"Q","T"),Inputs!$B$2:$AZ$2,0)),Inputs!$B$2:$B$190,$B123)*Inputs!$D$1),AE120+AE121+AE122),"")</f>
        <v>0</v>
      </c>
      <c r="AF123" s="67">
        <f>IFERROR(IF(AND(ISNUMBER(IF(ISNA(SUMIFS(INDEX(Inputs!$B$2:$AZ$190,,MATCH(SUBSTITUTE(AF$3,"Q","T"),Inputs!$B$2:$AZ$2,0)),Inputs!$B$2:$B$190,$B123)*Inputs!$D$1),"",SUMIFS(INDEX(Inputs!$B$2:$AZ$190,,MATCH(SUBSTITUTE(AF$3,"Q","T"),Inputs!$B$2:$AZ$2,0)),Inputs!$B$2:$B$190,$B123)*Inputs!$D$1)),IF(ISNA(SUMIFS(INDEX(Inputs!$B$2:$AZ$190,,MATCH(SUBSTITUTE(AF$3,"Q","T"),Inputs!$B$2:$AZ$2,0)),Inputs!$B$2:$B$190,$B123)*Inputs!$D$1),"",SUMIFS(INDEX(Inputs!$B$2:$AZ$190,,MATCH(SUBSTITUTE(AF$3,"Q","T"),Inputs!$B$2:$AZ$2,0)),Inputs!$B$2:$B$190,$B123)*Inputs!$D$1)&lt;&gt;0),IF(ISNA(SUMIFS(INDEX(Inputs!$B$2:$AZ$190,,MATCH(SUBSTITUTE(AF$3,"Q","T"),Inputs!$B$2:$AZ$2,0)),Inputs!$B$2:$B$190,$B123)*Inputs!$D$1),"",SUMIFS(INDEX(Inputs!$B$2:$AZ$190,,MATCH(SUBSTITUTE(AF$3,"Q","T"),Inputs!$B$2:$AZ$2,0)),Inputs!$B$2:$B$190,$B123)*Inputs!$D$1),AF120+AF121+AF122),"")</f>
        <v>0</v>
      </c>
      <c r="AG123" s="67">
        <f>IFERROR(IF(AND(ISNUMBER(IF(ISNA(SUMIFS(INDEX(Inputs!$B$2:$AZ$190,,MATCH(SUBSTITUTE(AG$3,"Q","T"),Inputs!$B$2:$AZ$2,0)),Inputs!$B$2:$B$190,$B123)*Inputs!$D$1),"",SUMIFS(INDEX(Inputs!$B$2:$AZ$190,,MATCH(SUBSTITUTE(AG$3,"Q","T"),Inputs!$B$2:$AZ$2,0)),Inputs!$B$2:$B$190,$B123)*Inputs!$D$1)),IF(ISNA(SUMIFS(INDEX(Inputs!$B$2:$AZ$190,,MATCH(SUBSTITUTE(AG$3,"Q","T"),Inputs!$B$2:$AZ$2,0)),Inputs!$B$2:$B$190,$B123)*Inputs!$D$1),"",SUMIFS(INDEX(Inputs!$B$2:$AZ$190,,MATCH(SUBSTITUTE(AG$3,"Q","T"),Inputs!$B$2:$AZ$2,0)),Inputs!$B$2:$B$190,$B123)*Inputs!$D$1)&lt;&gt;0),IF(ISNA(SUMIFS(INDEX(Inputs!$B$2:$AZ$190,,MATCH(SUBSTITUTE(AG$3,"Q","T"),Inputs!$B$2:$AZ$2,0)),Inputs!$B$2:$B$190,$B123)*Inputs!$D$1),"",SUMIFS(INDEX(Inputs!$B$2:$AZ$190,,MATCH(SUBSTITUTE(AG$3,"Q","T"),Inputs!$B$2:$AZ$2,0)),Inputs!$B$2:$B$190,$B123)*Inputs!$D$1),AG120+AG121+AG122),"")</f>
        <v>0</v>
      </c>
      <c r="AH123" s="58">
        <f>AG123</f>
        <v>0</v>
      </c>
      <c r="AI123" s="67">
        <f>IFERROR(IF(AND(ISNUMBER(IF(ISNA(SUMIFS(INDEX(Inputs!$B$2:$AZ$190,,MATCH(SUBSTITUTE(AI$3,"Q","T"),Inputs!$B$2:$AZ$2,0)),Inputs!$B$2:$B$190,$B123)*Inputs!$D$1),"",SUMIFS(INDEX(Inputs!$B$2:$AZ$190,,MATCH(SUBSTITUTE(AI$3,"Q","T"),Inputs!$B$2:$AZ$2,0)),Inputs!$B$2:$B$190,$B123)*Inputs!$D$1)),IF(ISNA(SUMIFS(INDEX(Inputs!$B$2:$AZ$190,,MATCH(SUBSTITUTE(AI$3,"Q","T"),Inputs!$B$2:$AZ$2,0)),Inputs!$B$2:$B$190,$B123)*Inputs!$D$1),"",SUMIFS(INDEX(Inputs!$B$2:$AZ$190,,MATCH(SUBSTITUTE(AI$3,"Q","T"),Inputs!$B$2:$AZ$2,0)),Inputs!$B$2:$B$190,$B123)*Inputs!$D$1)&lt;&gt;0),IF(ISNA(SUMIFS(INDEX(Inputs!$B$2:$AZ$190,,MATCH(SUBSTITUTE(AI$3,"Q","T"),Inputs!$B$2:$AZ$2,0)),Inputs!$B$2:$B$190,$B123)*Inputs!$D$1),"",SUMIFS(INDEX(Inputs!$B$2:$AZ$190,,MATCH(SUBSTITUTE(AI$3,"Q","T"),Inputs!$B$2:$AZ$2,0)),Inputs!$B$2:$B$190,$B123)*Inputs!$D$1),AI120+AI121+AI122),"")</f>
        <v>0</v>
      </c>
      <c r="AJ123" s="67">
        <f>IFERROR(IF(AND(ISNUMBER(IF(ISNA(SUMIFS(INDEX(Inputs!$B$2:$AZ$190,,MATCH(SUBSTITUTE(AJ$3,"Q","T"),Inputs!$B$2:$AZ$2,0)),Inputs!$B$2:$B$190,$B123)*Inputs!$D$1),"",SUMIFS(INDEX(Inputs!$B$2:$AZ$190,,MATCH(SUBSTITUTE(AJ$3,"Q","T"),Inputs!$B$2:$AZ$2,0)),Inputs!$B$2:$B$190,$B123)*Inputs!$D$1)),IF(ISNA(SUMIFS(INDEX(Inputs!$B$2:$AZ$190,,MATCH(SUBSTITUTE(AJ$3,"Q","T"),Inputs!$B$2:$AZ$2,0)),Inputs!$B$2:$B$190,$B123)*Inputs!$D$1),"",SUMIFS(INDEX(Inputs!$B$2:$AZ$190,,MATCH(SUBSTITUTE(AJ$3,"Q","T"),Inputs!$B$2:$AZ$2,0)),Inputs!$B$2:$B$190,$B123)*Inputs!$D$1)&lt;&gt;0),IF(ISNA(SUMIFS(INDEX(Inputs!$B$2:$AZ$190,,MATCH(SUBSTITUTE(AJ$3,"Q","T"),Inputs!$B$2:$AZ$2,0)),Inputs!$B$2:$B$190,$B123)*Inputs!$D$1),"",SUMIFS(INDEX(Inputs!$B$2:$AZ$190,,MATCH(SUBSTITUTE(AJ$3,"Q","T"),Inputs!$B$2:$AZ$2,0)),Inputs!$B$2:$B$190,$B123)*Inputs!$D$1),AJ120+AJ121+AJ122),"")</f>
        <v>0</v>
      </c>
      <c r="AK123" s="67">
        <f>IFERROR(IF(AND(ISNUMBER(IF(ISNA(SUMIFS(INDEX(Inputs!$B$2:$AZ$190,,MATCH(SUBSTITUTE(AK$3,"Q","T"),Inputs!$B$2:$AZ$2,0)),Inputs!$B$2:$B$190,$B123)*Inputs!$D$1),"",SUMIFS(INDEX(Inputs!$B$2:$AZ$190,,MATCH(SUBSTITUTE(AK$3,"Q","T"),Inputs!$B$2:$AZ$2,0)),Inputs!$B$2:$B$190,$B123)*Inputs!$D$1)),IF(ISNA(SUMIFS(INDEX(Inputs!$B$2:$AZ$190,,MATCH(SUBSTITUTE(AK$3,"Q","T"),Inputs!$B$2:$AZ$2,0)),Inputs!$B$2:$B$190,$B123)*Inputs!$D$1),"",SUMIFS(INDEX(Inputs!$B$2:$AZ$190,,MATCH(SUBSTITUTE(AK$3,"Q","T"),Inputs!$B$2:$AZ$2,0)),Inputs!$B$2:$B$190,$B123)*Inputs!$D$1)&lt;&gt;0),IF(ISNA(SUMIFS(INDEX(Inputs!$B$2:$AZ$190,,MATCH(SUBSTITUTE(AK$3,"Q","T"),Inputs!$B$2:$AZ$2,0)),Inputs!$B$2:$B$190,$B123)*Inputs!$D$1),"",SUMIFS(INDEX(Inputs!$B$2:$AZ$190,,MATCH(SUBSTITUTE(AK$3,"Q","T"),Inputs!$B$2:$AZ$2,0)),Inputs!$B$2:$B$190,$B123)*Inputs!$D$1),AK120+AK121+AK122),"")</f>
        <v>0</v>
      </c>
      <c r="AL123" s="67">
        <f>IFERROR(IF(AND(ISNUMBER(IF(ISNA(SUMIFS(INDEX(Inputs!$B$2:$AZ$190,,MATCH(SUBSTITUTE(AL$3,"Q","T"),Inputs!$B$2:$AZ$2,0)),Inputs!$B$2:$B$190,$B123)*Inputs!$D$1),"",SUMIFS(INDEX(Inputs!$B$2:$AZ$190,,MATCH(SUBSTITUTE(AL$3,"Q","T"),Inputs!$B$2:$AZ$2,0)),Inputs!$B$2:$B$190,$B123)*Inputs!$D$1)),IF(ISNA(SUMIFS(INDEX(Inputs!$B$2:$AZ$190,,MATCH(SUBSTITUTE(AL$3,"Q","T"),Inputs!$B$2:$AZ$2,0)),Inputs!$B$2:$B$190,$B123)*Inputs!$D$1),"",SUMIFS(INDEX(Inputs!$B$2:$AZ$190,,MATCH(SUBSTITUTE(AL$3,"Q","T"),Inputs!$B$2:$AZ$2,0)),Inputs!$B$2:$B$190,$B123)*Inputs!$D$1)&lt;&gt;0),IF(ISNA(SUMIFS(INDEX(Inputs!$B$2:$AZ$190,,MATCH(SUBSTITUTE(AL$3,"Q","T"),Inputs!$B$2:$AZ$2,0)),Inputs!$B$2:$B$190,$B123)*Inputs!$D$1),"",SUMIFS(INDEX(Inputs!$B$2:$AZ$190,,MATCH(SUBSTITUTE(AL$3,"Q","T"),Inputs!$B$2:$AZ$2,0)),Inputs!$B$2:$B$190,$B123)*Inputs!$D$1),AL120+AL121+AL122),"")</f>
        <v>0</v>
      </c>
      <c r="AM123" s="58">
        <f>AL123</f>
        <v>0</v>
      </c>
      <c r="AN123" s="67">
        <f>IFERROR(IF(AND(ISNUMBER(IF(ISNA(SUMIFS(INDEX(Inputs!$B$2:$AZ$190,,MATCH(SUBSTITUTE(AN$3,"Q","T"),Inputs!$B$2:$AZ$2,0)),Inputs!$B$2:$B$190,$B123)*Inputs!$D$1),"",SUMIFS(INDEX(Inputs!$B$2:$AZ$190,,MATCH(SUBSTITUTE(AN$3,"Q","T"),Inputs!$B$2:$AZ$2,0)),Inputs!$B$2:$B$190,$B123)*Inputs!$D$1)),IF(ISNA(SUMIFS(INDEX(Inputs!$B$2:$AZ$190,,MATCH(SUBSTITUTE(AN$3,"Q","T"),Inputs!$B$2:$AZ$2,0)),Inputs!$B$2:$B$190,$B123)*Inputs!$D$1),"",SUMIFS(INDEX(Inputs!$B$2:$AZ$190,,MATCH(SUBSTITUTE(AN$3,"Q","T"),Inputs!$B$2:$AZ$2,0)),Inputs!$B$2:$B$190,$B123)*Inputs!$D$1)&lt;&gt;0),IF(ISNA(SUMIFS(INDEX(Inputs!$B$2:$AZ$190,,MATCH(SUBSTITUTE(AN$3,"Q","T"),Inputs!$B$2:$AZ$2,0)),Inputs!$B$2:$B$190,$B123)*Inputs!$D$1),"",SUMIFS(INDEX(Inputs!$B$2:$AZ$190,,MATCH(SUBSTITUTE(AN$3,"Q","T"),Inputs!$B$2:$AZ$2,0)),Inputs!$B$2:$B$190,$B123)*Inputs!$D$1),AN120+AN121+AN122),"")</f>
        <v>0</v>
      </c>
      <c r="AO123" s="67">
        <f>IFERROR(IF(AND(ISNUMBER(IF(ISNA(SUMIFS(INDEX(Inputs!$B$2:$AZ$190,,MATCH(SUBSTITUTE(AO$3,"Q","T"),Inputs!$B$2:$AZ$2,0)),Inputs!$B$2:$B$190,$B123)*Inputs!$D$1),"",SUMIFS(INDEX(Inputs!$B$2:$AZ$190,,MATCH(SUBSTITUTE(AO$3,"Q","T"),Inputs!$B$2:$AZ$2,0)),Inputs!$B$2:$B$190,$B123)*Inputs!$D$1)),IF(ISNA(SUMIFS(INDEX(Inputs!$B$2:$AZ$190,,MATCH(SUBSTITUTE(AO$3,"Q","T"),Inputs!$B$2:$AZ$2,0)),Inputs!$B$2:$B$190,$B123)*Inputs!$D$1),"",SUMIFS(INDEX(Inputs!$B$2:$AZ$190,,MATCH(SUBSTITUTE(AO$3,"Q","T"),Inputs!$B$2:$AZ$2,0)),Inputs!$B$2:$B$190,$B123)*Inputs!$D$1)&lt;&gt;0),IF(ISNA(SUMIFS(INDEX(Inputs!$B$2:$AZ$190,,MATCH(SUBSTITUTE(AO$3,"Q","T"),Inputs!$B$2:$AZ$2,0)),Inputs!$B$2:$B$190,$B123)*Inputs!$D$1),"",SUMIFS(INDEX(Inputs!$B$2:$AZ$190,,MATCH(SUBSTITUTE(AO$3,"Q","T"),Inputs!$B$2:$AZ$2,0)),Inputs!$B$2:$B$190,$B123)*Inputs!$D$1),AO120+AO121+AO122),"")</f>
        <v>0</v>
      </c>
      <c r="AP123" s="67">
        <f>IFERROR(IF(AND(ISNUMBER(IF(ISNA(SUMIFS(INDEX(Inputs!$B$2:$AZ$190,,MATCH(SUBSTITUTE(AP$3,"Q","T"),Inputs!$B$2:$AZ$2,0)),Inputs!$B$2:$B$190,$B123)*Inputs!$D$1),"",SUMIFS(INDEX(Inputs!$B$2:$AZ$190,,MATCH(SUBSTITUTE(AP$3,"Q","T"),Inputs!$B$2:$AZ$2,0)),Inputs!$B$2:$B$190,$B123)*Inputs!$D$1)),IF(ISNA(SUMIFS(INDEX(Inputs!$B$2:$AZ$190,,MATCH(SUBSTITUTE(AP$3,"Q","T"),Inputs!$B$2:$AZ$2,0)),Inputs!$B$2:$B$190,$B123)*Inputs!$D$1),"",SUMIFS(INDEX(Inputs!$B$2:$AZ$190,,MATCH(SUBSTITUTE(AP$3,"Q","T"),Inputs!$B$2:$AZ$2,0)),Inputs!$B$2:$B$190,$B123)*Inputs!$D$1)&lt;&gt;0),IF(ISNA(SUMIFS(INDEX(Inputs!$B$2:$AZ$190,,MATCH(SUBSTITUTE(AP$3,"Q","T"),Inputs!$B$2:$AZ$2,0)),Inputs!$B$2:$B$190,$B123)*Inputs!$D$1),"",SUMIFS(INDEX(Inputs!$B$2:$AZ$190,,MATCH(SUBSTITUTE(AP$3,"Q","T"),Inputs!$B$2:$AZ$2,0)),Inputs!$B$2:$B$190,$B123)*Inputs!$D$1),AP120+AP121+AP122),"")</f>
        <v>0</v>
      </c>
      <c r="AQ123" s="67">
        <f>IFERROR(IF(AND(ISNUMBER(IF(ISNA(SUMIFS(INDEX(Inputs!$B$2:$AZ$190,,MATCH(SUBSTITUTE(AQ$3,"Q","T"),Inputs!$B$2:$AZ$2,0)),Inputs!$B$2:$B$190,$B123)*Inputs!$D$1),"",SUMIFS(INDEX(Inputs!$B$2:$AZ$190,,MATCH(SUBSTITUTE(AQ$3,"Q","T"),Inputs!$B$2:$AZ$2,0)),Inputs!$B$2:$B$190,$B123)*Inputs!$D$1)),IF(ISNA(SUMIFS(INDEX(Inputs!$B$2:$AZ$190,,MATCH(SUBSTITUTE(AQ$3,"Q","T"),Inputs!$B$2:$AZ$2,0)),Inputs!$B$2:$B$190,$B123)*Inputs!$D$1),"",SUMIFS(INDEX(Inputs!$B$2:$AZ$190,,MATCH(SUBSTITUTE(AQ$3,"Q","T"),Inputs!$B$2:$AZ$2,0)),Inputs!$B$2:$B$190,$B123)*Inputs!$D$1)&lt;&gt;0),IF(ISNA(SUMIFS(INDEX(Inputs!$B$2:$AZ$190,,MATCH(SUBSTITUTE(AQ$3,"Q","T"),Inputs!$B$2:$AZ$2,0)),Inputs!$B$2:$B$190,$B123)*Inputs!$D$1),"",SUMIFS(INDEX(Inputs!$B$2:$AZ$190,,MATCH(SUBSTITUTE(AQ$3,"Q","T"),Inputs!$B$2:$AZ$2,0)),Inputs!$B$2:$B$190,$B123)*Inputs!$D$1),AQ120+AQ121+AQ122),"")</f>
        <v>0</v>
      </c>
      <c r="AR123" s="58">
        <f>AQ123</f>
        <v>0</v>
      </c>
      <c r="AS123" s="67">
        <f>IFERROR(IF(AND(ISNUMBER(IF(ISNA(SUMIFS(INDEX(Inputs!$B$2:$AZ$190,,MATCH(SUBSTITUTE(AS$3,"Q","T"),Inputs!$B$2:$AZ$2,0)),Inputs!$B$2:$B$190,$B123)*Inputs!$D$1),"",SUMIFS(INDEX(Inputs!$B$2:$AZ$190,,MATCH(SUBSTITUTE(AS$3,"Q","T"),Inputs!$B$2:$AZ$2,0)),Inputs!$B$2:$B$190,$B123)*Inputs!$D$1)),IF(ISNA(SUMIFS(INDEX(Inputs!$B$2:$AZ$190,,MATCH(SUBSTITUTE(AS$3,"Q","T"),Inputs!$B$2:$AZ$2,0)),Inputs!$B$2:$B$190,$B123)*Inputs!$D$1),"",SUMIFS(INDEX(Inputs!$B$2:$AZ$190,,MATCH(SUBSTITUTE(AS$3,"Q","T"),Inputs!$B$2:$AZ$2,0)),Inputs!$B$2:$B$190,$B123)*Inputs!$D$1)&lt;&gt;0),IF(ISNA(SUMIFS(INDEX(Inputs!$B$2:$AZ$190,,MATCH(SUBSTITUTE(AS$3,"Q","T"),Inputs!$B$2:$AZ$2,0)),Inputs!$B$2:$B$190,$B123)*Inputs!$D$1),"",SUMIFS(INDEX(Inputs!$B$2:$AZ$190,,MATCH(SUBSTITUTE(AS$3,"Q","T"),Inputs!$B$2:$AZ$2,0)),Inputs!$B$2:$B$190,$B123)*Inputs!$D$1),AS120+AS121+AS122),"")</f>
        <v>0</v>
      </c>
      <c r="AT123" s="67">
        <f>IFERROR(IF(AND(ISNUMBER(IF(ISNA(SUMIFS(INDEX(Inputs!$B$2:$AZ$190,,MATCH(SUBSTITUTE(AT$3,"Q","T"),Inputs!$B$2:$AZ$2,0)),Inputs!$B$2:$B$190,$B123)*Inputs!$D$1),"",SUMIFS(INDEX(Inputs!$B$2:$AZ$190,,MATCH(SUBSTITUTE(AT$3,"Q","T"),Inputs!$B$2:$AZ$2,0)),Inputs!$B$2:$B$190,$B123)*Inputs!$D$1)),IF(ISNA(SUMIFS(INDEX(Inputs!$B$2:$AZ$190,,MATCH(SUBSTITUTE(AT$3,"Q","T"),Inputs!$B$2:$AZ$2,0)),Inputs!$B$2:$B$190,$B123)*Inputs!$D$1),"",SUMIFS(INDEX(Inputs!$B$2:$AZ$190,,MATCH(SUBSTITUTE(AT$3,"Q","T"),Inputs!$B$2:$AZ$2,0)),Inputs!$B$2:$B$190,$B123)*Inputs!$D$1)&lt;&gt;0),IF(ISNA(SUMIFS(INDEX(Inputs!$B$2:$AZ$190,,MATCH(SUBSTITUTE(AT$3,"Q","T"),Inputs!$B$2:$AZ$2,0)),Inputs!$B$2:$B$190,$B123)*Inputs!$D$1),"",SUMIFS(INDEX(Inputs!$B$2:$AZ$190,,MATCH(SUBSTITUTE(AT$3,"Q","T"),Inputs!$B$2:$AZ$2,0)),Inputs!$B$2:$B$190,$B123)*Inputs!$D$1),AT120+AT121+AT122),"")</f>
        <v>0</v>
      </c>
      <c r="AU123" s="67">
        <f>IFERROR(IF(AND(ISNUMBER(IF(ISNA(SUMIFS(INDEX(Inputs!$B$2:$AZ$190,,MATCH(SUBSTITUTE(AU$3,"Q","T"),Inputs!$B$2:$AZ$2,0)),Inputs!$B$2:$B$190,$B123)*Inputs!$D$1),"",SUMIFS(INDEX(Inputs!$B$2:$AZ$190,,MATCH(SUBSTITUTE(AU$3,"Q","T"),Inputs!$B$2:$AZ$2,0)),Inputs!$B$2:$B$190,$B123)*Inputs!$D$1)),IF(ISNA(SUMIFS(INDEX(Inputs!$B$2:$AZ$190,,MATCH(SUBSTITUTE(AU$3,"Q","T"),Inputs!$B$2:$AZ$2,0)),Inputs!$B$2:$B$190,$B123)*Inputs!$D$1),"",SUMIFS(INDEX(Inputs!$B$2:$AZ$190,,MATCH(SUBSTITUTE(AU$3,"Q","T"),Inputs!$B$2:$AZ$2,0)),Inputs!$B$2:$B$190,$B123)*Inputs!$D$1)&lt;&gt;0),IF(ISNA(SUMIFS(INDEX(Inputs!$B$2:$AZ$190,,MATCH(SUBSTITUTE(AU$3,"Q","T"),Inputs!$B$2:$AZ$2,0)),Inputs!$B$2:$B$190,$B123)*Inputs!$D$1),"",SUMIFS(INDEX(Inputs!$B$2:$AZ$190,,MATCH(SUBSTITUTE(AU$3,"Q","T"),Inputs!$B$2:$AZ$2,0)),Inputs!$B$2:$B$190,$B123)*Inputs!$D$1),AU120+AU121+AU122),"")</f>
        <v>0</v>
      </c>
      <c r="AV123" s="67">
        <f>IFERROR(IF(AND(ISNUMBER(IF(ISNA(SUMIFS(INDEX(Inputs!$B$2:$AZ$190,,MATCH(SUBSTITUTE(AV$3,"Q","T"),Inputs!$B$2:$AZ$2,0)),Inputs!$B$2:$B$190,$B123)*Inputs!$D$1),"",SUMIFS(INDEX(Inputs!$B$2:$AZ$190,,MATCH(SUBSTITUTE(AV$3,"Q","T"),Inputs!$B$2:$AZ$2,0)),Inputs!$B$2:$B$190,$B123)*Inputs!$D$1)),IF(ISNA(SUMIFS(INDEX(Inputs!$B$2:$AZ$190,,MATCH(SUBSTITUTE(AV$3,"Q","T"),Inputs!$B$2:$AZ$2,0)),Inputs!$B$2:$B$190,$B123)*Inputs!$D$1),"",SUMIFS(INDEX(Inputs!$B$2:$AZ$190,,MATCH(SUBSTITUTE(AV$3,"Q","T"),Inputs!$B$2:$AZ$2,0)),Inputs!$B$2:$B$190,$B123)*Inputs!$D$1)&lt;&gt;0),IF(ISNA(SUMIFS(INDEX(Inputs!$B$2:$AZ$190,,MATCH(SUBSTITUTE(AV$3,"Q","T"),Inputs!$B$2:$AZ$2,0)),Inputs!$B$2:$B$190,$B123)*Inputs!$D$1),"",SUMIFS(INDEX(Inputs!$B$2:$AZ$190,,MATCH(SUBSTITUTE(AV$3,"Q","T"),Inputs!$B$2:$AZ$2,0)),Inputs!$B$2:$B$190,$B123)*Inputs!$D$1),AV120+AV121+AV122),"")</f>
        <v>0</v>
      </c>
      <c r="AW123" s="58">
        <f>AV123</f>
        <v>0</v>
      </c>
      <c r="AX123" s="67">
        <f>IFERROR(IF(AND(ISNUMBER(IF(ISNA(SUMIFS(INDEX(Inputs!$B$2:$AZ$190,,MATCH(SUBSTITUTE(AX$3,"Q","T"),Inputs!$B$2:$AZ$2,0)),Inputs!$B$2:$B$190,$B123)*Inputs!$D$1),"",SUMIFS(INDEX(Inputs!$B$2:$AZ$190,,MATCH(SUBSTITUTE(AX$3,"Q","T"),Inputs!$B$2:$AZ$2,0)),Inputs!$B$2:$B$190,$B123)*Inputs!$D$1)),IF(ISNA(SUMIFS(INDEX(Inputs!$B$2:$AZ$190,,MATCH(SUBSTITUTE(AX$3,"Q","T"),Inputs!$B$2:$AZ$2,0)),Inputs!$B$2:$B$190,$B123)*Inputs!$D$1),"",SUMIFS(INDEX(Inputs!$B$2:$AZ$190,,MATCH(SUBSTITUTE(AX$3,"Q","T"),Inputs!$B$2:$AZ$2,0)),Inputs!$B$2:$B$190,$B123)*Inputs!$D$1)&lt;&gt;0),IF(ISNA(SUMIFS(INDEX(Inputs!$B$2:$AZ$190,,MATCH(SUBSTITUTE(AX$3,"Q","T"),Inputs!$B$2:$AZ$2,0)),Inputs!$B$2:$B$190,$B123)*Inputs!$D$1),"",SUMIFS(INDEX(Inputs!$B$2:$AZ$190,,MATCH(SUBSTITUTE(AX$3,"Q","T"),Inputs!$B$2:$AZ$2,0)),Inputs!$B$2:$B$190,$B123)*Inputs!$D$1),AX120+AX121+AX122),"")</f>
        <v>0</v>
      </c>
      <c r="AY123" s="67">
        <f>IFERROR(IF(AND(ISNUMBER(IF(ISNA(SUMIFS(INDEX(Inputs!$B$2:$AZ$190,,MATCH(SUBSTITUTE(AY$3,"Q","T"),Inputs!$B$2:$AZ$2,0)),Inputs!$B$2:$B$190,$B123)*Inputs!$D$1),"",SUMIFS(INDEX(Inputs!$B$2:$AZ$190,,MATCH(SUBSTITUTE(AY$3,"Q","T"),Inputs!$B$2:$AZ$2,0)),Inputs!$B$2:$B$190,$B123)*Inputs!$D$1)),IF(ISNA(SUMIFS(INDEX(Inputs!$B$2:$AZ$190,,MATCH(SUBSTITUTE(AY$3,"Q","T"),Inputs!$B$2:$AZ$2,0)),Inputs!$B$2:$B$190,$B123)*Inputs!$D$1),"",SUMIFS(INDEX(Inputs!$B$2:$AZ$190,,MATCH(SUBSTITUTE(AY$3,"Q","T"),Inputs!$B$2:$AZ$2,0)),Inputs!$B$2:$B$190,$B123)*Inputs!$D$1)&lt;&gt;0),IF(ISNA(SUMIFS(INDEX(Inputs!$B$2:$AZ$190,,MATCH(SUBSTITUTE(AY$3,"Q","T"),Inputs!$B$2:$AZ$2,0)),Inputs!$B$2:$B$190,$B123)*Inputs!$D$1),"",SUMIFS(INDEX(Inputs!$B$2:$AZ$190,,MATCH(SUBSTITUTE(AY$3,"Q","T"),Inputs!$B$2:$AZ$2,0)),Inputs!$B$2:$B$190,$B123)*Inputs!$D$1),AY120+AY121+AY122),"")</f>
        <v>0</v>
      </c>
      <c r="AZ123" s="67">
        <f>IFERROR(IF(AND(ISNUMBER(IF(ISNA(SUMIFS(INDEX(Inputs!$B$2:$AZ$190,,MATCH(SUBSTITUTE(AZ$3,"Q","T"),Inputs!$B$2:$AZ$2,0)),Inputs!$B$2:$B$190,$B123)*Inputs!$D$1),"",SUMIFS(INDEX(Inputs!$B$2:$AZ$190,,MATCH(SUBSTITUTE(AZ$3,"Q","T"),Inputs!$B$2:$AZ$2,0)),Inputs!$B$2:$B$190,$B123)*Inputs!$D$1)),IF(ISNA(SUMIFS(INDEX(Inputs!$B$2:$AZ$190,,MATCH(SUBSTITUTE(AZ$3,"Q","T"),Inputs!$B$2:$AZ$2,0)),Inputs!$B$2:$B$190,$B123)*Inputs!$D$1),"",SUMIFS(INDEX(Inputs!$B$2:$AZ$190,,MATCH(SUBSTITUTE(AZ$3,"Q","T"),Inputs!$B$2:$AZ$2,0)),Inputs!$B$2:$B$190,$B123)*Inputs!$D$1)&lt;&gt;0),IF(ISNA(SUMIFS(INDEX(Inputs!$B$2:$AZ$190,,MATCH(SUBSTITUTE(AZ$3,"Q","T"),Inputs!$B$2:$AZ$2,0)),Inputs!$B$2:$B$190,$B123)*Inputs!$D$1),"",SUMIFS(INDEX(Inputs!$B$2:$AZ$190,,MATCH(SUBSTITUTE(AZ$3,"Q","T"),Inputs!$B$2:$AZ$2,0)),Inputs!$B$2:$B$190,$B123)*Inputs!$D$1),AZ120+AZ121+AZ122),"")</f>
        <v>0</v>
      </c>
      <c r="BA123" s="67">
        <f>IFERROR(IF(AND(ISNUMBER(IF(ISNA(SUMIFS(INDEX(Inputs!$B$2:$AZ$190,,MATCH(SUBSTITUTE(BA$3,"Q","T"),Inputs!$B$2:$AZ$2,0)),Inputs!$B$2:$B$190,$B123)*Inputs!$D$1),"",SUMIFS(INDEX(Inputs!$B$2:$AZ$190,,MATCH(SUBSTITUTE(BA$3,"Q","T"),Inputs!$B$2:$AZ$2,0)),Inputs!$B$2:$B$190,$B123)*Inputs!$D$1)),IF(ISNA(SUMIFS(INDEX(Inputs!$B$2:$AZ$190,,MATCH(SUBSTITUTE(BA$3,"Q","T"),Inputs!$B$2:$AZ$2,0)),Inputs!$B$2:$B$190,$B123)*Inputs!$D$1),"",SUMIFS(INDEX(Inputs!$B$2:$AZ$190,,MATCH(SUBSTITUTE(BA$3,"Q","T"),Inputs!$B$2:$AZ$2,0)),Inputs!$B$2:$B$190,$B123)*Inputs!$D$1)&lt;&gt;0),IF(ISNA(SUMIFS(INDEX(Inputs!$B$2:$AZ$190,,MATCH(SUBSTITUTE(BA$3,"Q","T"),Inputs!$B$2:$AZ$2,0)),Inputs!$B$2:$B$190,$B123)*Inputs!$D$1),"",SUMIFS(INDEX(Inputs!$B$2:$AZ$190,,MATCH(SUBSTITUTE(BA$3,"Q","T"),Inputs!$B$2:$AZ$2,0)),Inputs!$B$2:$B$190,$B123)*Inputs!$D$1),BA120+BA121+BA122),"")</f>
        <v>0</v>
      </c>
      <c r="BB123" s="58">
        <f>BA123</f>
        <v>0</v>
      </c>
      <c r="BC123" s="67">
        <f>IFERROR(IF(AND(ISNUMBER(IF(ISNA(SUMIFS(INDEX(Inputs!$B$2:$AZ$190,,MATCH(SUBSTITUTE(BC$3,"Q","T"),Inputs!$B$2:$AZ$2,0)),Inputs!$B$2:$B$190,$B123)*Inputs!$D$1),"",SUMIFS(INDEX(Inputs!$B$2:$AZ$190,,MATCH(SUBSTITUTE(BC$3,"Q","T"),Inputs!$B$2:$AZ$2,0)),Inputs!$B$2:$B$190,$B123)*Inputs!$D$1)),IF(ISNA(SUMIFS(INDEX(Inputs!$B$2:$AZ$190,,MATCH(SUBSTITUTE(BC$3,"Q","T"),Inputs!$B$2:$AZ$2,0)),Inputs!$B$2:$B$190,$B123)*Inputs!$D$1),"",SUMIFS(INDEX(Inputs!$B$2:$AZ$190,,MATCH(SUBSTITUTE(BC$3,"Q","T"),Inputs!$B$2:$AZ$2,0)),Inputs!$B$2:$B$190,$B123)*Inputs!$D$1)&lt;&gt;0),IF(ISNA(SUMIFS(INDEX(Inputs!$B$2:$AZ$190,,MATCH(SUBSTITUTE(BC$3,"Q","T"),Inputs!$B$2:$AZ$2,0)),Inputs!$B$2:$B$190,$B123)*Inputs!$D$1),"",SUMIFS(INDEX(Inputs!$B$2:$AZ$190,,MATCH(SUBSTITUTE(BC$3,"Q","T"),Inputs!$B$2:$AZ$2,0)),Inputs!$B$2:$B$190,$B123)*Inputs!$D$1),BC120+BC121+BC122),"")</f>
        <v>0</v>
      </c>
      <c r="BD123" s="67">
        <f>IFERROR(IF(AND(ISNUMBER(IF(ISNA(SUMIFS(INDEX(Inputs!$B$2:$AZ$190,,MATCH(SUBSTITUTE(BD$3,"Q","T"),Inputs!$B$2:$AZ$2,0)),Inputs!$B$2:$B$190,$B123)*Inputs!$D$1),"",SUMIFS(INDEX(Inputs!$B$2:$AZ$190,,MATCH(SUBSTITUTE(BD$3,"Q","T"),Inputs!$B$2:$AZ$2,0)),Inputs!$B$2:$B$190,$B123)*Inputs!$D$1)),IF(ISNA(SUMIFS(INDEX(Inputs!$B$2:$AZ$190,,MATCH(SUBSTITUTE(BD$3,"Q","T"),Inputs!$B$2:$AZ$2,0)),Inputs!$B$2:$B$190,$B123)*Inputs!$D$1),"",SUMIFS(INDEX(Inputs!$B$2:$AZ$190,,MATCH(SUBSTITUTE(BD$3,"Q","T"),Inputs!$B$2:$AZ$2,0)),Inputs!$B$2:$B$190,$B123)*Inputs!$D$1)&lt;&gt;0),IF(ISNA(SUMIFS(INDEX(Inputs!$B$2:$AZ$190,,MATCH(SUBSTITUTE(BD$3,"Q","T"),Inputs!$B$2:$AZ$2,0)),Inputs!$B$2:$B$190,$B123)*Inputs!$D$1),"",SUMIFS(INDEX(Inputs!$B$2:$AZ$190,,MATCH(SUBSTITUTE(BD$3,"Q","T"),Inputs!$B$2:$AZ$2,0)),Inputs!$B$2:$B$190,$B123)*Inputs!$D$1),BD120+BD121+BD122),"")</f>
        <v>0</v>
      </c>
      <c r="BE123" s="67">
        <f>IFERROR(IF(AND(ISNUMBER(IF(ISNA(SUMIFS(INDEX(Inputs!$B$2:$AZ$190,,MATCH(SUBSTITUTE(BE$3,"Q","T"),Inputs!$B$2:$AZ$2,0)),Inputs!$B$2:$B$190,$B123)*Inputs!$D$1),"",SUMIFS(INDEX(Inputs!$B$2:$AZ$190,,MATCH(SUBSTITUTE(BE$3,"Q","T"),Inputs!$B$2:$AZ$2,0)),Inputs!$B$2:$B$190,$B123)*Inputs!$D$1)),IF(ISNA(SUMIFS(INDEX(Inputs!$B$2:$AZ$190,,MATCH(SUBSTITUTE(BE$3,"Q","T"),Inputs!$B$2:$AZ$2,0)),Inputs!$B$2:$B$190,$B123)*Inputs!$D$1),"",SUMIFS(INDEX(Inputs!$B$2:$AZ$190,,MATCH(SUBSTITUTE(BE$3,"Q","T"),Inputs!$B$2:$AZ$2,0)),Inputs!$B$2:$B$190,$B123)*Inputs!$D$1)&lt;&gt;0),IF(ISNA(SUMIFS(INDEX(Inputs!$B$2:$AZ$190,,MATCH(SUBSTITUTE(BE$3,"Q","T"),Inputs!$B$2:$AZ$2,0)),Inputs!$B$2:$B$190,$B123)*Inputs!$D$1),"",SUMIFS(INDEX(Inputs!$B$2:$AZ$190,,MATCH(SUBSTITUTE(BE$3,"Q","T"),Inputs!$B$2:$AZ$2,0)),Inputs!$B$2:$B$190,$B123)*Inputs!$D$1),BE120+BE121+BE122),"")</f>
        <v>0</v>
      </c>
      <c r="BF123" s="67">
        <f>IFERROR(IF(AND(ISNUMBER(IF(ISNA(SUMIFS(INDEX(Inputs!$B$2:$AZ$190,,MATCH(SUBSTITUTE(BF$3,"Q","T"),Inputs!$B$2:$AZ$2,0)),Inputs!$B$2:$B$190,$B123)*Inputs!$D$1),"",SUMIFS(INDEX(Inputs!$B$2:$AZ$190,,MATCH(SUBSTITUTE(BF$3,"Q","T"),Inputs!$B$2:$AZ$2,0)),Inputs!$B$2:$B$190,$B123)*Inputs!$D$1)),IF(ISNA(SUMIFS(INDEX(Inputs!$B$2:$AZ$190,,MATCH(SUBSTITUTE(BF$3,"Q","T"),Inputs!$B$2:$AZ$2,0)),Inputs!$B$2:$B$190,$B123)*Inputs!$D$1),"",SUMIFS(INDEX(Inputs!$B$2:$AZ$190,,MATCH(SUBSTITUTE(BF$3,"Q","T"),Inputs!$B$2:$AZ$2,0)),Inputs!$B$2:$B$190,$B123)*Inputs!$D$1)&lt;&gt;0),IF(ISNA(SUMIFS(INDEX(Inputs!$B$2:$AZ$190,,MATCH(SUBSTITUTE(BF$3,"Q","T"),Inputs!$B$2:$AZ$2,0)),Inputs!$B$2:$B$190,$B123)*Inputs!$D$1),"",SUMIFS(INDEX(Inputs!$B$2:$AZ$190,,MATCH(SUBSTITUTE(BF$3,"Q","T"),Inputs!$B$2:$AZ$2,0)),Inputs!$B$2:$B$190,$B123)*Inputs!$D$1),BF120+BF121+BF122),"")</f>
        <v>0</v>
      </c>
      <c r="BG123" s="58">
        <f>BF123</f>
        <v>0</v>
      </c>
    </row>
    <row r="124">
      <c r="B124" s="56" t="inlineStr">
        <is>
          <t>dpd90</t>
        </is>
      </c>
      <c r="C124" s="11" t="inlineStr">
        <is>
          <t>Vencidos há 90+ dias ainda acumulando juros</t>
        </is>
      </c>
      <c r="D124" s="12" t="inlineStr">
        <is>
          <t>90+ days past due and still accruing</t>
        </is>
      </c>
      <c r="E124" s="57">
        <f>IF(ISNA(SUMIFS(INDEX(Inputs!$B$2:$AZ$190,,MATCH(SUBSTITUTE(E$3,"Q","T"),Inputs!$B$2:$AZ$2,0)),Inputs!$B$2:$B$190,$B124)*Inputs!$D$1),"",SUMIFS(INDEX(Inputs!$B$2:$AZ$190,,MATCH(SUBSTITUTE(E$3,"Q","T"),Inputs!$B$2:$AZ$2,0)),Inputs!$B$2:$B$190,$B124)*Inputs!$D$1)</f>
        <v>0</v>
      </c>
      <c r="F124" s="57">
        <f>IF(ISNA(SUMIFS(INDEX(Inputs!$B$2:$AZ$190,,MATCH(SUBSTITUTE(F$3,"Q","T"),Inputs!$B$2:$AZ$2,0)),Inputs!$B$2:$B$190,$B124)*Inputs!$D$1),"",SUMIFS(INDEX(Inputs!$B$2:$AZ$190,,MATCH(SUBSTITUTE(F$3,"Q","T"),Inputs!$B$2:$AZ$2,0)),Inputs!$B$2:$B$190,$B124)*Inputs!$D$1)</f>
        <v>0</v>
      </c>
      <c r="G124" s="57">
        <f>IF(ISNA(SUMIFS(INDEX(Inputs!$B$2:$AZ$190,,MATCH(SUBSTITUTE(G$3,"Q","T"),Inputs!$B$2:$AZ$2,0)),Inputs!$B$2:$B$190,$B124)*Inputs!$D$1),"",SUMIFS(INDEX(Inputs!$B$2:$AZ$190,,MATCH(SUBSTITUTE(G$3,"Q","T"),Inputs!$B$2:$AZ$2,0)),Inputs!$B$2:$B$190,$B124)*Inputs!$D$1)</f>
        <v>0</v>
      </c>
      <c r="H124" s="57">
        <f>IF(ISNA(SUMIFS(INDEX(Inputs!$B$2:$AZ$190,,MATCH(SUBSTITUTE(H$3,"Q","T"),Inputs!$B$2:$AZ$2,0)),Inputs!$B$2:$B$190,$B124)*Inputs!$D$1),"",SUMIFS(INDEX(Inputs!$B$2:$AZ$190,,MATCH(SUBSTITUTE(H$3,"Q","T"),Inputs!$B$2:$AZ$2,0)),Inputs!$B$2:$B$190,$B124)*Inputs!$D$1)</f>
        <v>0</v>
      </c>
      <c r="I124" s="58">
        <f>H124</f>
        <v>0</v>
      </c>
      <c r="J124" s="57">
        <f>IF(ISNA(SUMIFS(INDEX(Inputs!$B$2:$AZ$190,,MATCH(SUBSTITUTE(J$3,"Q","T"),Inputs!$B$2:$AZ$2,0)),Inputs!$B$2:$B$190,$B124)*Inputs!$D$1),"",SUMIFS(INDEX(Inputs!$B$2:$AZ$190,,MATCH(SUBSTITUTE(J$3,"Q","T"),Inputs!$B$2:$AZ$2,0)),Inputs!$B$2:$B$190,$B124)*Inputs!$D$1)</f>
        <v>0</v>
      </c>
      <c r="K124" s="57">
        <f>IF(ISNA(SUMIFS(INDEX(Inputs!$B$2:$AZ$190,,MATCH(SUBSTITUTE(K$3,"Q","T"),Inputs!$B$2:$AZ$2,0)),Inputs!$B$2:$B$190,$B124)*Inputs!$D$1),"",SUMIFS(INDEX(Inputs!$B$2:$AZ$190,,MATCH(SUBSTITUTE(K$3,"Q","T"),Inputs!$B$2:$AZ$2,0)),Inputs!$B$2:$B$190,$B124)*Inputs!$D$1)</f>
        <v>0</v>
      </c>
      <c r="L124" s="57">
        <f>IF(ISNA(SUMIFS(INDEX(Inputs!$B$2:$AZ$190,,MATCH(SUBSTITUTE(L$3,"Q","T"),Inputs!$B$2:$AZ$2,0)),Inputs!$B$2:$B$190,$B124)*Inputs!$D$1),"",SUMIFS(INDEX(Inputs!$B$2:$AZ$190,,MATCH(SUBSTITUTE(L$3,"Q","T"),Inputs!$B$2:$AZ$2,0)),Inputs!$B$2:$B$190,$B124)*Inputs!$D$1)</f>
        <v>0</v>
      </c>
      <c r="M124" s="57">
        <f>IF(ISNA(SUMIFS(INDEX(Inputs!$B$2:$AZ$190,,MATCH(SUBSTITUTE(M$3,"Q","T"),Inputs!$B$2:$AZ$2,0)),Inputs!$B$2:$B$190,$B124)*Inputs!$D$1),"",SUMIFS(INDEX(Inputs!$B$2:$AZ$190,,MATCH(SUBSTITUTE(M$3,"Q","T"),Inputs!$B$2:$AZ$2,0)),Inputs!$B$2:$B$190,$B124)*Inputs!$D$1)</f>
        <v>0</v>
      </c>
      <c r="N124" s="58">
        <f>M124</f>
        <v>0</v>
      </c>
      <c r="O124" s="57">
        <f>IF(ISNA(SUMIFS(INDEX(Inputs!$B$2:$AZ$190,,MATCH(SUBSTITUTE(O$3,"Q","T"),Inputs!$B$2:$AZ$2,0)),Inputs!$B$2:$B$190,$B124)*Inputs!$D$1),"",SUMIFS(INDEX(Inputs!$B$2:$AZ$190,,MATCH(SUBSTITUTE(O$3,"Q","T"),Inputs!$B$2:$AZ$2,0)),Inputs!$B$2:$B$190,$B124)*Inputs!$D$1)</f>
        <v>0</v>
      </c>
      <c r="P124" s="57">
        <f>IF(ISNA(SUMIFS(INDEX(Inputs!$B$2:$AZ$190,,MATCH(SUBSTITUTE(P$3,"Q","T"),Inputs!$B$2:$AZ$2,0)),Inputs!$B$2:$B$190,$B124)*Inputs!$D$1),"",SUMIFS(INDEX(Inputs!$B$2:$AZ$190,,MATCH(SUBSTITUTE(P$3,"Q","T"),Inputs!$B$2:$AZ$2,0)),Inputs!$B$2:$B$190,$B124)*Inputs!$D$1)</f>
        <v>0</v>
      </c>
      <c r="Q124" s="57">
        <f>IF(ISNA(SUMIFS(INDEX(Inputs!$B$2:$AZ$190,,MATCH(SUBSTITUTE(Q$3,"Q","T"),Inputs!$B$2:$AZ$2,0)),Inputs!$B$2:$B$190,$B124)*Inputs!$D$1),"",SUMIFS(INDEX(Inputs!$B$2:$AZ$190,,MATCH(SUBSTITUTE(Q$3,"Q","T"),Inputs!$B$2:$AZ$2,0)),Inputs!$B$2:$B$190,$B124)*Inputs!$D$1)</f>
        <v>0</v>
      </c>
      <c r="R124" s="57">
        <f>IF(ISNA(SUMIFS(INDEX(Inputs!$B$2:$AZ$190,,MATCH(SUBSTITUTE(R$3,"Q","T"),Inputs!$B$2:$AZ$2,0)),Inputs!$B$2:$B$190,$B124)*Inputs!$D$1),"",SUMIFS(INDEX(Inputs!$B$2:$AZ$190,,MATCH(SUBSTITUTE(R$3,"Q","T"),Inputs!$B$2:$AZ$2,0)),Inputs!$B$2:$B$190,$B124)*Inputs!$D$1)</f>
        <v>0</v>
      </c>
      <c r="S124" s="58">
        <f>R124</f>
        <v>0</v>
      </c>
      <c r="T124" s="57">
        <f>IF(ISNA(SUMIFS(INDEX(Inputs!$B$2:$AZ$190,,MATCH(SUBSTITUTE(T$3,"Q","T"),Inputs!$B$2:$AZ$2,0)),Inputs!$B$2:$B$190,$B124)*Inputs!$D$1),"",SUMIFS(INDEX(Inputs!$B$2:$AZ$190,,MATCH(SUBSTITUTE(T$3,"Q","T"),Inputs!$B$2:$AZ$2,0)),Inputs!$B$2:$B$190,$B124)*Inputs!$D$1)</f>
        <v>0</v>
      </c>
      <c r="U124" s="57">
        <f>IF(ISNA(SUMIFS(INDEX(Inputs!$B$2:$AZ$190,,MATCH(SUBSTITUTE(U$3,"Q","T"),Inputs!$B$2:$AZ$2,0)),Inputs!$B$2:$B$190,$B124)*Inputs!$D$1),"",SUMIFS(INDEX(Inputs!$B$2:$AZ$190,,MATCH(SUBSTITUTE(U$3,"Q","T"),Inputs!$B$2:$AZ$2,0)),Inputs!$B$2:$B$190,$B124)*Inputs!$D$1)</f>
        <v>0</v>
      </c>
      <c r="V124" s="57">
        <f>IF(ISNA(SUMIFS(INDEX(Inputs!$B$2:$AZ$190,,MATCH(SUBSTITUTE(V$3,"Q","T"),Inputs!$B$2:$AZ$2,0)),Inputs!$B$2:$B$190,$B124)*Inputs!$D$1),"",SUMIFS(INDEX(Inputs!$B$2:$AZ$190,,MATCH(SUBSTITUTE(V$3,"Q","T"),Inputs!$B$2:$AZ$2,0)),Inputs!$B$2:$B$190,$B124)*Inputs!$D$1)</f>
        <v>0</v>
      </c>
      <c r="W124" s="57">
        <f>IF(ISNA(SUMIFS(INDEX(Inputs!$B$2:$AZ$190,,MATCH(SUBSTITUTE(W$3,"Q","T"),Inputs!$B$2:$AZ$2,0)),Inputs!$B$2:$B$190,$B124)*Inputs!$D$1),"",SUMIFS(INDEX(Inputs!$B$2:$AZ$190,,MATCH(SUBSTITUTE(W$3,"Q","T"),Inputs!$B$2:$AZ$2,0)),Inputs!$B$2:$B$190,$B124)*Inputs!$D$1)</f>
        <v>0</v>
      </c>
      <c r="X124" s="58">
        <f>W124</f>
        <v>0</v>
      </c>
      <c r="Y124" s="57">
        <f>IF(ISNA(SUMIFS(INDEX(Inputs!$B$2:$AZ$190,,MATCH(SUBSTITUTE(Y$3,"Q","T"),Inputs!$B$2:$AZ$2,0)),Inputs!$B$2:$B$190,$B124)*Inputs!$D$1),"",SUMIFS(INDEX(Inputs!$B$2:$AZ$190,,MATCH(SUBSTITUTE(Y$3,"Q","T"),Inputs!$B$2:$AZ$2,0)),Inputs!$B$2:$B$190,$B124)*Inputs!$D$1)</f>
        <v>0</v>
      </c>
      <c r="Z124" s="57">
        <f>IF(ISNA(SUMIFS(INDEX(Inputs!$B$2:$AZ$190,,MATCH(SUBSTITUTE(Z$3,"Q","T"),Inputs!$B$2:$AZ$2,0)),Inputs!$B$2:$B$190,$B124)*Inputs!$D$1),"",SUMIFS(INDEX(Inputs!$B$2:$AZ$190,,MATCH(SUBSTITUTE(Z$3,"Q","T"),Inputs!$B$2:$AZ$2,0)),Inputs!$B$2:$B$190,$B124)*Inputs!$D$1)</f>
        <v>0</v>
      </c>
      <c r="AA124" s="57">
        <f>IF(ISNA(SUMIFS(INDEX(Inputs!$B$2:$AZ$190,,MATCH(SUBSTITUTE(AA$3,"Q","T"),Inputs!$B$2:$AZ$2,0)),Inputs!$B$2:$B$190,$B124)*Inputs!$D$1),"",SUMIFS(INDEX(Inputs!$B$2:$AZ$190,,MATCH(SUBSTITUTE(AA$3,"Q","T"),Inputs!$B$2:$AZ$2,0)),Inputs!$B$2:$B$190,$B124)*Inputs!$D$1)</f>
        <v>0</v>
      </c>
      <c r="AB124" s="57">
        <f>IF(ISNA(SUMIFS(INDEX(Inputs!$B$2:$AZ$190,,MATCH(SUBSTITUTE(AB$3,"Q","T"),Inputs!$B$2:$AZ$2,0)),Inputs!$B$2:$B$190,$B124)*Inputs!$D$1),"",SUMIFS(INDEX(Inputs!$B$2:$AZ$190,,MATCH(SUBSTITUTE(AB$3,"Q","T"),Inputs!$B$2:$AZ$2,0)),Inputs!$B$2:$B$190,$B124)*Inputs!$D$1)</f>
        <v>0</v>
      </c>
      <c r="AC124" s="58">
        <f>AB124</f>
        <v>0</v>
      </c>
      <c r="AD124" s="57">
        <f>IF(ISNA(SUMIFS(INDEX(Inputs!$B$2:$AZ$190,,MATCH(SUBSTITUTE(AD$3,"Q","T"),Inputs!$B$2:$AZ$2,0)),Inputs!$B$2:$B$190,$B124)*Inputs!$D$1),"",SUMIFS(INDEX(Inputs!$B$2:$AZ$190,,MATCH(SUBSTITUTE(AD$3,"Q","T"),Inputs!$B$2:$AZ$2,0)),Inputs!$B$2:$B$190,$B124)*Inputs!$D$1)</f>
        <v>0</v>
      </c>
      <c r="AE124" s="57">
        <f>IF(ISNA(SUMIFS(INDEX(Inputs!$B$2:$AZ$190,,MATCH(SUBSTITUTE(AE$3,"Q","T"),Inputs!$B$2:$AZ$2,0)),Inputs!$B$2:$B$190,$B124)*Inputs!$D$1),"",SUMIFS(INDEX(Inputs!$B$2:$AZ$190,,MATCH(SUBSTITUTE(AE$3,"Q","T"),Inputs!$B$2:$AZ$2,0)),Inputs!$B$2:$B$190,$B124)*Inputs!$D$1)</f>
        <v>0</v>
      </c>
      <c r="AF124" s="57">
        <f>IF(ISNA(SUMIFS(INDEX(Inputs!$B$2:$AZ$190,,MATCH(SUBSTITUTE(AF$3,"Q","T"),Inputs!$B$2:$AZ$2,0)),Inputs!$B$2:$B$190,$B124)*Inputs!$D$1),"",SUMIFS(INDEX(Inputs!$B$2:$AZ$190,,MATCH(SUBSTITUTE(AF$3,"Q","T"),Inputs!$B$2:$AZ$2,0)),Inputs!$B$2:$B$190,$B124)*Inputs!$D$1)</f>
        <v>0</v>
      </c>
      <c r="AG124" s="57">
        <f>IF(ISNA(SUMIFS(INDEX(Inputs!$B$2:$AZ$190,,MATCH(SUBSTITUTE(AG$3,"Q","T"),Inputs!$B$2:$AZ$2,0)),Inputs!$B$2:$B$190,$B124)*Inputs!$D$1),"",SUMIFS(INDEX(Inputs!$B$2:$AZ$190,,MATCH(SUBSTITUTE(AG$3,"Q","T"),Inputs!$B$2:$AZ$2,0)),Inputs!$B$2:$B$190,$B124)*Inputs!$D$1)</f>
        <v>0</v>
      </c>
      <c r="AH124" s="58">
        <f>AG124</f>
        <v>0</v>
      </c>
      <c r="AI124" s="57">
        <f>IF(ISNA(SUMIFS(INDEX(Inputs!$B$2:$AZ$190,,MATCH(SUBSTITUTE(AI$3,"Q","T"),Inputs!$B$2:$AZ$2,0)),Inputs!$B$2:$B$190,$B124)*Inputs!$D$1),"",SUMIFS(INDEX(Inputs!$B$2:$AZ$190,,MATCH(SUBSTITUTE(AI$3,"Q","T"),Inputs!$B$2:$AZ$2,0)),Inputs!$B$2:$B$190,$B124)*Inputs!$D$1)</f>
        <v>0</v>
      </c>
      <c r="AJ124" s="57">
        <f>IF(ISNA(SUMIFS(INDEX(Inputs!$B$2:$AZ$190,,MATCH(SUBSTITUTE(AJ$3,"Q","T"),Inputs!$B$2:$AZ$2,0)),Inputs!$B$2:$B$190,$B124)*Inputs!$D$1),"",SUMIFS(INDEX(Inputs!$B$2:$AZ$190,,MATCH(SUBSTITUTE(AJ$3,"Q","T"),Inputs!$B$2:$AZ$2,0)),Inputs!$B$2:$B$190,$B124)*Inputs!$D$1)</f>
        <v>0</v>
      </c>
      <c r="AK124" s="57">
        <f>IF(ISNA(SUMIFS(INDEX(Inputs!$B$2:$AZ$190,,MATCH(SUBSTITUTE(AK$3,"Q","T"),Inputs!$B$2:$AZ$2,0)),Inputs!$B$2:$B$190,$B124)*Inputs!$D$1),"",SUMIFS(INDEX(Inputs!$B$2:$AZ$190,,MATCH(SUBSTITUTE(AK$3,"Q","T"),Inputs!$B$2:$AZ$2,0)),Inputs!$B$2:$B$190,$B124)*Inputs!$D$1)</f>
        <v>0</v>
      </c>
      <c r="AL124" s="57">
        <f>IF(ISNA(SUMIFS(INDEX(Inputs!$B$2:$AZ$190,,MATCH(SUBSTITUTE(AL$3,"Q","T"),Inputs!$B$2:$AZ$2,0)),Inputs!$B$2:$B$190,$B124)*Inputs!$D$1),"",SUMIFS(INDEX(Inputs!$B$2:$AZ$190,,MATCH(SUBSTITUTE(AL$3,"Q","T"),Inputs!$B$2:$AZ$2,0)),Inputs!$B$2:$B$190,$B124)*Inputs!$D$1)</f>
        <v>0</v>
      </c>
      <c r="AM124" s="58">
        <f>AL124</f>
        <v>0</v>
      </c>
      <c r="AN124" s="57">
        <f>IF(ISNA(SUMIFS(INDEX(Inputs!$B$2:$AZ$190,,MATCH(SUBSTITUTE(AN$3,"Q","T"),Inputs!$B$2:$AZ$2,0)),Inputs!$B$2:$B$190,$B124)*Inputs!$D$1),"",SUMIFS(INDEX(Inputs!$B$2:$AZ$190,,MATCH(SUBSTITUTE(AN$3,"Q","T"),Inputs!$B$2:$AZ$2,0)),Inputs!$B$2:$B$190,$B124)*Inputs!$D$1)</f>
        <v>0</v>
      </c>
      <c r="AO124" s="57">
        <f>IF(ISNA(SUMIFS(INDEX(Inputs!$B$2:$AZ$190,,MATCH(SUBSTITUTE(AO$3,"Q","T"),Inputs!$B$2:$AZ$2,0)),Inputs!$B$2:$B$190,$B124)*Inputs!$D$1),"",SUMIFS(INDEX(Inputs!$B$2:$AZ$190,,MATCH(SUBSTITUTE(AO$3,"Q","T"),Inputs!$B$2:$AZ$2,0)),Inputs!$B$2:$B$190,$B124)*Inputs!$D$1)</f>
        <v>0</v>
      </c>
      <c r="AP124" s="57">
        <f>IF(ISNA(SUMIFS(INDEX(Inputs!$B$2:$AZ$190,,MATCH(SUBSTITUTE(AP$3,"Q","T"),Inputs!$B$2:$AZ$2,0)),Inputs!$B$2:$B$190,$B124)*Inputs!$D$1),"",SUMIFS(INDEX(Inputs!$B$2:$AZ$190,,MATCH(SUBSTITUTE(AP$3,"Q","T"),Inputs!$B$2:$AZ$2,0)),Inputs!$B$2:$B$190,$B124)*Inputs!$D$1)</f>
        <v>0</v>
      </c>
      <c r="AQ124" s="57">
        <f>IF(ISNA(SUMIFS(INDEX(Inputs!$B$2:$AZ$190,,MATCH(SUBSTITUTE(AQ$3,"Q","T"),Inputs!$B$2:$AZ$2,0)),Inputs!$B$2:$B$190,$B124)*Inputs!$D$1),"",SUMIFS(INDEX(Inputs!$B$2:$AZ$190,,MATCH(SUBSTITUTE(AQ$3,"Q","T"),Inputs!$B$2:$AZ$2,0)),Inputs!$B$2:$B$190,$B124)*Inputs!$D$1)</f>
        <v>0</v>
      </c>
      <c r="AR124" s="58">
        <f>AQ124</f>
        <v>0</v>
      </c>
      <c r="AS124" s="57">
        <f>IF(ISNA(SUMIFS(INDEX(Inputs!$B$2:$AZ$190,,MATCH(SUBSTITUTE(AS$3,"Q","T"),Inputs!$B$2:$AZ$2,0)),Inputs!$B$2:$B$190,$B124)*Inputs!$D$1),"",SUMIFS(INDEX(Inputs!$B$2:$AZ$190,,MATCH(SUBSTITUTE(AS$3,"Q","T"),Inputs!$B$2:$AZ$2,0)),Inputs!$B$2:$B$190,$B124)*Inputs!$D$1)</f>
        <v>0</v>
      </c>
      <c r="AT124" s="57">
        <f>IF(ISNA(SUMIFS(INDEX(Inputs!$B$2:$AZ$190,,MATCH(SUBSTITUTE(AT$3,"Q","T"),Inputs!$B$2:$AZ$2,0)),Inputs!$B$2:$B$190,$B124)*Inputs!$D$1),"",SUMIFS(INDEX(Inputs!$B$2:$AZ$190,,MATCH(SUBSTITUTE(AT$3,"Q","T"),Inputs!$B$2:$AZ$2,0)),Inputs!$B$2:$B$190,$B124)*Inputs!$D$1)</f>
        <v>0</v>
      </c>
      <c r="AU124" s="57">
        <f>IF(ISNA(SUMIFS(INDEX(Inputs!$B$2:$AZ$190,,MATCH(SUBSTITUTE(AU$3,"Q","T"),Inputs!$B$2:$AZ$2,0)),Inputs!$B$2:$B$190,$B124)*Inputs!$D$1),"",SUMIFS(INDEX(Inputs!$B$2:$AZ$190,,MATCH(SUBSTITUTE(AU$3,"Q","T"),Inputs!$B$2:$AZ$2,0)),Inputs!$B$2:$B$190,$B124)*Inputs!$D$1)</f>
        <v>0</v>
      </c>
      <c r="AV124" s="57">
        <f>IF(ISNA(SUMIFS(INDEX(Inputs!$B$2:$AZ$190,,MATCH(SUBSTITUTE(AV$3,"Q","T"),Inputs!$B$2:$AZ$2,0)),Inputs!$B$2:$B$190,$B124)*Inputs!$D$1),"",SUMIFS(INDEX(Inputs!$B$2:$AZ$190,,MATCH(SUBSTITUTE(AV$3,"Q","T"),Inputs!$B$2:$AZ$2,0)),Inputs!$B$2:$B$190,$B124)*Inputs!$D$1)</f>
        <v>0</v>
      </c>
      <c r="AW124" s="58">
        <f>AV124</f>
        <v>0</v>
      </c>
      <c r="AX124" s="57">
        <f>IF(ISNA(SUMIFS(INDEX(Inputs!$B$2:$AZ$190,,MATCH(SUBSTITUTE(AX$3,"Q","T"),Inputs!$B$2:$AZ$2,0)),Inputs!$B$2:$B$190,$B124)*Inputs!$D$1),"",SUMIFS(INDEX(Inputs!$B$2:$AZ$190,,MATCH(SUBSTITUTE(AX$3,"Q","T"),Inputs!$B$2:$AZ$2,0)),Inputs!$B$2:$B$190,$B124)*Inputs!$D$1)</f>
        <v>0</v>
      </c>
      <c r="AY124" s="57">
        <f>IF(ISNA(SUMIFS(INDEX(Inputs!$B$2:$AZ$190,,MATCH(SUBSTITUTE(AY$3,"Q","T"),Inputs!$B$2:$AZ$2,0)),Inputs!$B$2:$B$190,$B124)*Inputs!$D$1),"",SUMIFS(INDEX(Inputs!$B$2:$AZ$190,,MATCH(SUBSTITUTE(AY$3,"Q","T"),Inputs!$B$2:$AZ$2,0)),Inputs!$B$2:$B$190,$B124)*Inputs!$D$1)</f>
        <v>0</v>
      </c>
      <c r="AZ124" s="57">
        <f>IF(ISNA(SUMIFS(INDEX(Inputs!$B$2:$AZ$190,,MATCH(SUBSTITUTE(AZ$3,"Q","T"),Inputs!$B$2:$AZ$2,0)),Inputs!$B$2:$B$190,$B124)*Inputs!$D$1),"",SUMIFS(INDEX(Inputs!$B$2:$AZ$190,,MATCH(SUBSTITUTE(AZ$3,"Q","T"),Inputs!$B$2:$AZ$2,0)),Inputs!$B$2:$B$190,$B124)*Inputs!$D$1)</f>
        <v>0</v>
      </c>
      <c r="BA124" s="57">
        <f>IF(ISNA(SUMIFS(INDEX(Inputs!$B$2:$AZ$190,,MATCH(SUBSTITUTE(BA$3,"Q","T"),Inputs!$B$2:$AZ$2,0)),Inputs!$B$2:$B$190,$B124)*Inputs!$D$1),"",SUMIFS(INDEX(Inputs!$B$2:$AZ$190,,MATCH(SUBSTITUTE(BA$3,"Q","T"),Inputs!$B$2:$AZ$2,0)),Inputs!$B$2:$B$190,$B124)*Inputs!$D$1)</f>
        <v>0</v>
      </c>
      <c r="BB124" s="58">
        <f>BA124</f>
        <v>0</v>
      </c>
      <c r="BC124" s="57">
        <f>IF(ISNA(SUMIFS(INDEX(Inputs!$B$2:$AZ$190,,MATCH(SUBSTITUTE(BC$3,"Q","T"),Inputs!$B$2:$AZ$2,0)),Inputs!$B$2:$B$190,$B124)*Inputs!$D$1),"",SUMIFS(INDEX(Inputs!$B$2:$AZ$190,,MATCH(SUBSTITUTE(BC$3,"Q","T"),Inputs!$B$2:$AZ$2,0)),Inputs!$B$2:$B$190,$B124)*Inputs!$D$1)</f>
        <v>0</v>
      </c>
      <c r="BD124" s="57">
        <f>IF(ISNA(SUMIFS(INDEX(Inputs!$B$2:$AZ$190,,MATCH(SUBSTITUTE(BD$3,"Q","T"),Inputs!$B$2:$AZ$2,0)),Inputs!$B$2:$B$190,$B124)*Inputs!$D$1),"",SUMIFS(INDEX(Inputs!$B$2:$AZ$190,,MATCH(SUBSTITUTE(BD$3,"Q","T"),Inputs!$B$2:$AZ$2,0)),Inputs!$B$2:$B$190,$B124)*Inputs!$D$1)</f>
        <v>0</v>
      </c>
      <c r="BE124" s="57">
        <f>IF(ISNA(SUMIFS(INDEX(Inputs!$B$2:$AZ$190,,MATCH(SUBSTITUTE(BE$3,"Q","T"),Inputs!$B$2:$AZ$2,0)),Inputs!$B$2:$B$190,$B124)*Inputs!$D$1),"",SUMIFS(INDEX(Inputs!$B$2:$AZ$190,,MATCH(SUBSTITUTE(BE$3,"Q","T"),Inputs!$B$2:$AZ$2,0)),Inputs!$B$2:$B$190,$B124)*Inputs!$D$1)</f>
        <v>0</v>
      </c>
      <c r="BF124" s="57">
        <f>IF(ISNA(SUMIFS(INDEX(Inputs!$B$2:$AZ$190,,MATCH(SUBSTITUTE(BF$3,"Q","T"),Inputs!$B$2:$AZ$2,0)),Inputs!$B$2:$B$190,$B124)*Inputs!$D$1),"",SUMIFS(INDEX(Inputs!$B$2:$AZ$190,,MATCH(SUBSTITUTE(BF$3,"Q","T"),Inputs!$B$2:$AZ$2,0)),Inputs!$B$2:$B$190,$B124)*Inputs!$D$1)</f>
        <v>0</v>
      </c>
      <c r="BG124" s="58">
        <f>BF124</f>
        <v>0</v>
      </c>
    </row>
    <row r="125">
      <c r="B125" s="56" t="inlineStr">
        <is>
          <t>dpd30</t>
        </is>
      </c>
      <c r="C125" s="11" t="inlineStr">
        <is>
          <t>Vencidos de 30 a 89 dias</t>
        </is>
      </c>
      <c r="D125" s="12" t="inlineStr">
        <is>
          <t>30-89 days past due</t>
        </is>
      </c>
      <c r="E125" s="57">
        <f>IF(ISNA(SUMIFS(INDEX(Inputs!$B$2:$AZ$190,,MATCH(SUBSTITUTE(E$3,"Q","T"),Inputs!$B$2:$AZ$2,0)),Inputs!$B$2:$B$190,$B125)*Inputs!$D$1),"",SUMIFS(INDEX(Inputs!$B$2:$AZ$190,,MATCH(SUBSTITUTE(E$3,"Q","T"),Inputs!$B$2:$AZ$2,0)),Inputs!$B$2:$B$190,$B125)*Inputs!$D$1)</f>
        <v>0</v>
      </c>
      <c r="F125" s="57">
        <f>IF(ISNA(SUMIFS(INDEX(Inputs!$B$2:$AZ$190,,MATCH(SUBSTITUTE(F$3,"Q","T"),Inputs!$B$2:$AZ$2,0)),Inputs!$B$2:$B$190,$B125)*Inputs!$D$1),"",SUMIFS(INDEX(Inputs!$B$2:$AZ$190,,MATCH(SUBSTITUTE(F$3,"Q","T"),Inputs!$B$2:$AZ$2,0)),Inputs!$B$2:$B$190,$B125)*Inputs!$D$1)</f>
        <v>0</v>
      </c>
      <c r="G125" s="57">
        <f>IF(ISNA(SUMIFS(INDEX(Inputs!$B$2:$AZ$190,,MATCH(SUBSTITUTE(G$3,"Q","T"),Inputs!$B$2:$AZ$2,0)),Inputs!$B$2:$B$190,$B125)*Inputs!$D$1),"",SUMIFS(INDEX(Inputs!$B$2:$AZ$190,,MATCH(SUBSTITUTE(G$3,"Q","T"),Inputs!$B$2:$AZ$2,0)),Inputs!$B$2:$B$190,$B125)*Inputs!$D$1)</f>
        <v>0</v>
      </c>
      <c r="H125" s="57">
        <f>IF(ISNA(SUMIFS(INDEX(Inputs!$B$2:$AZ$190,,MATCH(SUBSTITUTE(H$3,"Q","T"),Inputs!$B$2:$AZ$2,0)),Inputs!$B$2:$B$190,$B125)*Inputs!$D$1),"",SUMIFS(INDEX(Inputs!$B$2:$AZ$190,,MATCH(SUBSTITUTE(H$3,"Q","T"),Inputs!$B$2:$AZ$2,0)),Inputs!$B$2:$B$190,$B125)*Inputs!$D$1)</f>
        <v>0</v>
      </c>
      <c r="I125" s="58">
        <f>H125</f>
        <v>0</v>
      </c>
      <c r="J125" s="57">
        <f>IF(ISNA(SUMIFS(INDEX(Inputs!$B$2:$AZ$190,,MATCH(SUBSTITUTE(J$3,"Q","T"),Inputs!$B$2:$AZ$2,0)),Inputs!$B$2:$B$190,$B125)*Inputs!$D$1),"",SUMIFS(INDEX(Inputs!$B$2:$AZ$190,,MATCH(SUBSTITUTE(J$3,"Q","T"),Inputs!$B$2:$AZ$2,0)),Inputs!$B$2:$B$190,$B125)*Inputs!$D$1)</f>
        <v>0</v>
      </c>
      <c r="K125" s="57">
        <f>IF(ISNA(SUMIFS(INDEX(Inputs!$B$2:$AZ$190,,MATCH(SUBSTITUTE(K$3,"Q","T"),Inputs!$B$2:$AZ$2,0)),Inputs!$B$2:$B$190,$B125)*Inputs!$D$1),"",SUMIFS(INDEX(Inputs!$B$2:$AZ$190,,MATCH(SUBSTITUTE(K$3,"Q","T"),Inputs!$B$2:$AZ$2,0)),Inputs!$B$2:$B$190,$B125)*Inputs!$D$1)</f>
        <v>0</v>
      </c>
      <c r="L125" s="57">
        <f>IF(ISNA(SUMIFS(INDEX(Inputs!$B$2:$AZ$190,,MATCH(SUBSTITUTE(L$3,"Q","T"),Inputs!$B$2:$AZ$2,0)),Inputs!$B$2:$B$190,$B125)*Inputs!$D$1),"",SUMIFS(INDEX(Inputs!$B$2:$AZ$190,,MATCH(SUBSTITUTE(L$3,"Q","T"),Inputs!$B$2:$AZ$2,0)),Inputs!$B$2:$B$190,$B125)*Inputs!$D$1)</f>
        <v>0</v>
      </c>
      <c r="M125" s="57">
        <f>IF(ISNA(SUMIFS(INDEX(Inputs!$B$2:$AZ$190,,MATCH(SUBSTITUTE(M$3,"Q","T"),Inputs!$B$2:$AZ$2,0)),Inputs!$B$2:$B$190,$B125)*Inputs!$D$1),"",SUMIFS(INDEX(Inputs!$B$2:$AZ$190,,MATCH(SUBSTITUTE(M$3,"Q","T"),Inputs!$B$2:$AZ$2,0)),Inputs!$B$2:$B$190,$B125)*Inputs!$D$1)</f>
        <v>0</v>
      </c>
      <c r="N125" s="58">
        <f>M125</f>
        <v>0</v>
      </c>
      <c r="O125" s="57">
        <f>IF(ISNA(SUMIFS(INDEX(Inputs!$B$2:$AZ$190,,MATCH(SUBSTITUTE(O$3,"Q","T"),Inputs!$B$2:$AZ$2,0)),Inputs!$B$2:$B$190,$B125)*Inputs!$D$1),"",SUMIFS(INDEX(Inputs!$B$2:$AZ$190,,MATCH(SUBSTITUTE(O$3,"Q","T"),Inputs!$B$2:$AZ$2,0)),Inputs!$B$2:$B$190,$B125)*Inputs!$D$1)</f>
        <v>0</v>
      </c>
      <c r="P125" s="57">
        <f>IF(ISNA(SUMIFS(INDEX(Inputs!$B$2:$AZ$190,,MATCH(SUBSTITUTE(P$3,"Q","T"),Inputs!$B$2:$AZ$2,0)),Inputs!$B$2:$B$190,$B125)*Inputs!$D$1),"",SUMIFS(INDEX(Inputs!$B$2:$AZ$190,,MATCH(SUBSTITUTE(P$3,"Q","T"),Inputs!$B$2:$AZ$2,0)),Inputs!$B$2:$B$190,$B125)*Inputs!$D$1)</f>
        <v>0</v>
      </c>
      <c r="Q125" s="57">
        <f>IF(ISNA(SUMIFS(INDEX(Inputs!$B$2:$AZ$190,,MATCH(SUBSTITUTE(Q$3,"Q","T"),Inputs!$B$2:$AZ$2,0)),Inputs!$B$2:$B$190,$B125)*Inputs!$D$1),"",SUMIFS(INDEX(Inputs!$B$2:$AZ$190,,MATCH(SUBSTITUTE(Q$3,"Q","T"),Inputs!$B$2:$AZ$2,0)),Inputs!$B$2:$B$190,$B125)*Inputs!$D$1)</f>
        <v>0</v>
      </c>
      <c r="R125" s="57">
        <f>IF(ISNA(SUMIFS(INDEX(Inputs!$B$2:$AZ$190,,MATCH(SUBSTITUTE(R$3,"Q","T"),Inputs!$B$2:$AZ$2,0)),Inputs!$B$2:$B$190,$B125)*Inputs!$D$1),"",SUMIFS(INDEX(Inputs!$B$2:$AZ$190,,MATCH(SUBSTITUTE(R$3,"Q","T"),Inputs!$B$2:$AZ$2,0)),Inputs!$B$2:$B$190,$B125)*Inputs!$D$1)</f>
        <v>0</v>
      </c>
      <c r="S125" s="58">
        <f>R125</f>
        <v>0</v>
      </c>
      <c r="T125" s="57">
        <f>IF(ISNA(SUMIFS(INDEX(Inputs!$B$2:$AZ$190,,MATCH(SUBSTITUTE(T$3,"Q","T"),Inputs!$B$2:$AZ$2,0)),Inputs!$B$2:$B$190,$B125)*Inputs!$D$1),"",SUMIFS(INDEX(Inputs!$B$2:$AZ$190,,MATCH(SUBSTITUTE(T$3,"Q","T"),Inputs!$B$2:$AZ$2,0)),Inputs!$B$2:$B$190,$B125)*Inputs!$D$1)</f>
        <v>0</v>
      </c>
      <c r="U125" s="57">
        <f>IF(ISNA(SUMIFS(INDEX(Inputs!$B$2:$AZ$190,,MATCH(SUBSTITUTE(U$3,"Q","T"),Inputs!$B$2:$AZ$2,0)),Inputs!$B$2:$B$190,$B125)*Inputs!$D$1),"",SUMIFS(INDEX(Inputs!$B$2:$AZ$190,,MATCH(SUBSTITUTE(U$3,"Q","T"),Inputs!$B$2:$AZ$2,0)),Inputs!$B$2:$B$190,$B125)*Inputs!$D$1)</f>
        <v>0</v>
      </c>
      <c r="V125" s="57">
        <f>IF(ISNA(SUMIFS(INDEX(Inputs!$B$2:$AZ$190,,MATCH(SUBSTITUTE(V$3,"Q","T"),Inputs!$B$2:$AZ$2,0)),Inputs!$B$2:$B$190,$B125)*Inputs!$D$1),"",SUMIFS(INDEX(Inputs!$B$2:$AZ$190,,MATCH(SUBSTITUTE(V$3,"Q","T"),Inputs!$B$2:$AZ$2,0)),Inputs!$B$2:$B$190,$B125)*Inputs!$D$1)</f>
        <v>0</v>
      </c>
      <c r="W125" s="57">
        <f>IF(ISNA(SUMIFS(INDEX(Inputs!$B$2:$AZ$190,,MATCH(SUBSTITUTE(W$3,"Q","T"),Inputs!$B$2:$AZ$2,0)),Inputs!$B$2:$B$190,$B125)*Inputs!$D$1),"",SUMIFS(INDEX(Inputs!$B$2:$AZ$190,,MATCH(SUBSTITUTE(W$3,"Q","T"),Inputs!$B$2:$AZ$2,0)),Inputs!$B$2:$B$190,$B125)*Inputs!$D$1)</f>
        <v>0</v>
      </c>
      <c r="X125" s="58">
        <f>W125</f>
        <v>0</v>
      </c>
      <c r="Y125" s="57">
        <f>IF(ISNA(SUMIFS(INDEX(Inputs!$B$2:$AZ$190,,MATCH(SUBSTITUTE(Y$3,"Q","T"),Inputs!$B$2:$AZ$2,0)),Inputs!$B$2:$B$190,$B125)*Inputs!$D$1),"",SUMIFS(INDEX(Inputs!$B$2:$AZ$190,,MATCH(SUBSTITUTE(Y$3,"Q","T"),Inputs!$B$2:$AZ$2,0)),Inputs!$B$2:$B$190,$B125)*Inputs!$D$1)</f>
        <v>0</v>
      </c>
      <c r="Z125" s="57">
        <f>IF(ISNA(SUMIFS(INDEX(Inputs!$B$2:$AZ$190,,MATCH(SUBSTITUTE(Z$3,"Q","T"),Inputs!$B$2:$AZ$2,0)),Inputs!$B$2:$B$190,$B125)*Inputs!$D$1),"",SUMIFS(INDEX(Inputs!$B$2:$AZ$190,,MATCH(SUBSTITUTE(Z$3,"Q","T"),Inputs!$B$2:$AZ$2,0)),Inputs!$B$2:$B$190,$B125)*Inputs!$D$1)</f>
        <v>0</v>
      </c>
      <c r="AA125" s="57">
        <f>IF(ISNA(SUMIFS(INDEX(Inputs!$B$2:$AZ$190,,MATCH(SUBSTITUTE(AA$3,"Q","T"),Inputs!$B$2:$AZ$2,0)),Inputs!$B$2:$B$190,$B125)*Inputs!$D$1),"",SUMIFS(INDEX(Inputs!$B$2:$AZ$190,,MATCH(SUBSTITUTE(AA$3,"Q","T"),Inputs!$B$2:$AZ$2,0)),Inputs!$B$2:$B$190,$B125)*Inputs!$D$1)</f>
        <v>0</v>
      </c>
      <c r="AB125" s="57">
        <f>IF(ISNA(SUMIFS(INDEX(Inputs!$B$2:$AZ$190,,MATCH(SUBSTITUTE(AB$3,"Q","T"),Inputs!$B$2:$AZ$2,0)),Inputs!$B$2:$B$190,$B125)*Inputs!$D$1),"",SUMIFS(INDEX(Inputs!$B$2:$AZ$190,,MATCH(SUBSTITUTE(AB$3,"Q","T"),Inputs!$B$2:$AZ$2,0)),Inputs!$B$2:$B$190,$B125)*Inputs!$D$1)</f>
        <v>0</v>
      </c>
      <c r="AC125" s="58">
        <f>AB125</f>
        <v>0</v>
      </c>
      <c r="AD125" s="57">
        <f>IF(ISNA(SUMIFS(INDEX(Inputs!$B$2:$AZ$190,,MATCH(SUBSTITUTE(AD$3,"Q","T"),Inputs!$B$2:$AZ$2,0)),Inputs!$B$2:$B$190,$B125)*Inputs!$D$1),"",SUMIFS(INDEX(Inputs!$B$2:$AZ$190,,MATCH(SUBSTITUTE(AD$3,"Q","T"),Inputs!$B$2:$AZ$2,0)),Inputs!$B$2:$B$190,$B125)*Inputs!$D$1)</f>
        <v>0</v>
      </c>
      <c r="AE125" s="57">
        <f>IF(ISNA(SUMIFS(INDEX(Inputs!$B$2:$AZ$190,,MATCH(SUBSTITUTE(AE$3,"Q","T"),Inputs!$B$2:$AZ$2,0)),Inputs!$B$2:$B$190,$B125)*Inputs!$D$1),"",SUMIFS(INDEX(Inputs!$B$2:$AZ$190,,MATCH(SUBSTITUTE(AE$3,"Q","T"),Inputs!$B$2:$AZ$2,0)),Inputs!$B$2:$B$190,$B125)*Inputs!$D$1)</f>
        <v>0</v>
      </c>
      <c r="AF125" s="57">
        <f>IF(ISNA(SUMIFS(INDEX(Inputs!$B$2:$AZ$190,,MATCH(SUBSTITUTE(AF$3,"Q","T"),Inputs!$B$2:$AZ$2,0)),Inputs!$B$2:$B$190,$B125)*Inputs!$D$1),"",SUMIFS(INDEX(Inputs!$B$2:$AZ$190,,MATCH(SUBSTITUTE(AF$3,"Q","T"),Inputs!$B$2:$AZ$2,0)),Inputs!$B$2:$B$190,$B125)*Inputs!$D$1)</f>
        <v>0</v>
      </c>
      <c r="AG125" s="57">
        <f>IF(ISNA(SUMIFS(INDEX(Inputs!$B$2:$AZ$190,,MATCH(SUBSTITUTE(AG$3,"Q","T"),Inputs!$B$2:$AZ$2,0)),Inputs!$B$2:$B$190,$B125)*Inputs!$D$1),"",SUMIFS(INDEX(Inputs!$B$2:$AZ$190,,MATCH(SUBSTITUTE(AG$3,"Q","T"),Inputs!$B$2:$AZ$2,0)),Inputs!$B$2:$B$190,$B125)*Inputs!$D$1)</f>
        <v>0</v>
      </c>
      <c r="AH125" s="58">
        <f>AG125</f>
        <v>0</v>
      </c>
      <c r="AI125" s="57">
        <f>IF(ISNA(SUMIFS(INDEX(Inputs!$B$2:$AZ$190,,MATCH(SUBSTITUTE(AI$3,"Q","T"),Inputs!$B$2:$AZ$2,0)),Inputs!$B$2:$B$190,$B125)*Inputs!$D$1),"",SUMIFS(INDEX(Inputs!$B$2:$AZ$190,,MATCH(SUBSTITUTE(AI$3,"Q","T"),Inputs!$B$2:$AZ$2,0)),Inputs!$B$2:$B$190,$B125)*Inputs!$D$1)</f>
        <v>0</v>
      </c>
      <c r="AJ125" s="57">
        <f>IF(ISNA(SUMIFS(INDEX(Inputs!$B$2:$AZ$190,,MATCH(SUBSTITUTE(AJ$3,"Q","T"),Inputs!$B$2:$AZ$2,0)),Inputs!$B$2:$B$190,$B125)*Inputs!$D$1),"",SUMIFS(INDEX(Inputs!$B$2:$AZ$190,,MATCH(SUBSTITUTE(AJ$3,"Q","T"),Inputs!$B$2:$AZ$2,0)),Inputs!$B$2:$B$190,$B125)*Inputs!$D$1)</f>
        <v>0</v>
      </c>
      <c r="AK125" s="57">
        <f>IF(ISNA(SUMIFS(INDEX(Inputs!$B$2:$AZ$190,,MATCH(SUBSTITUTE(AK$3,"Q","T"),Inputs!$B$2:$AZ$2,0)),Inputs!$B$2:$B$190,$B125)*Inputs!$D$1),"",SUMIFS(INDEX(Inputs!$B$2:$AZ$190,,MATCH(SUBSTITUTE(AK$3,"Q","T"),Inputs!$B$2:$AZ$2,0)),Inputs!$B$2:$B$190,$B125)*Inputs!$D$1)</f>
        <v>0</v>
      </c>
      <c r="AL125" s="57">
        <f>IF(ISNA(SUMIFS(INDEX(Inputs!$B$2:$AZ$190,,MATCH(SUBSTITUTE(AL$3,"Q","T"),Inputs!$B$2:$AZ$2,0)),Inputs!$B$2:$B$190,$B125)*Inputs!$D$1),"",SUMIFS(INDEX(Inputs!$B$2:$AZ$190,,MATCH(SUBSTITUTE(AL$3,"Q","T"),Inputs!$B$2:$AZ$2,0)),Inputs!$B$2:$B$190,$B125)*Inputs!$D$1)</f>
        <v>0</v>
      </c>
      <c r="AM125" s="58">
        <f>AL125</f>
        <v>0</v>
      </c>
      <c r="AN125" s="57">
        <f>IF(ISNA(SUMIFS(INDEX(Inputs!$B$2:$AZ$190,,MATCH(SUBSTITUTE(AN$3,"Q","T"),Inputs!$B$2:$AZ$2,0)),Inputs!$B$2:$B$190,$B125)*Inputs!$D$1),"",SUMIFS(INDEX(Inputs!$B$2:$AZ$190,,MATCH(SUBSTITUTE(AN$3,"Q","T"),Inputs!$B$2:$AZ$2,0)),Inputs!$B$2:$B$190,$B125)*Inputs!$D$1)</f>
        <v>0</v>
      </c>
      <c r="AO125" s="57">
        <f>IF(ISNA(SUMIFS(INDEX(Inputs!$B$2:$AZ$190,,MATCH(SUBSTITUTE(AO$3,"Q","T"),Inputs!$B$2:$AZ$2,0)),Inputs!$B$2:$B$190,$B125)*Inputs!$D$1),"",SUMIFS(INDEX(Inputs!$B$2:$AZ$190,,MATCH(SUBSTITUTE(AO$3,"Q","T"),Inputs!$B$2:$AZ$2,0)),Inputs!$B$2:$B$190,$B125)*Inputs!$D$1)</f>
        <v>0</v>
      </c>
      <c r="AP125" s="57">
        <f>IF(ISNA(SUMIFS(INDEX(Inputs!$B$2:$AZ$190,,MATCH(SUBSTITUTE(AP$3,"Q","T"),Inputs!$B$2:$AZ$2,0)),Inputs!$B$2:$B$190,$B125)*Inputs!$D$1),"",SUMIFS(INDEX(Inputs!$B$2:$AZ$190,,MATCH(SUBSTITUTE(AP$3,"Q","T"),Inputs!$B$2:$AZ$2,0)),Inputs!$B$2:$B$190,$B125)*Inputs!$D$1)</f>
        <v>0</v>
      </c>
      <c r="AQ125" s="57">
        <f>IF(ISNA(SUMIFS(INDEX(Inputs!$B$2:$AZ$190,,MATCH(SUBSTITUTE(AQ$3,"Q","T"),Inputs!$B$2:$AZ$2,0)),Inputs!$B$2:$B$190,$B125)*Inputs!$D$1),"",SUMIFS(INDEX(Inputs!$B$2:$AZ$190,,MATCH(SUBSTITUTE(AQ$3,"Q","T"),Inputs!$B$2:$AZ$2,0)),Inputs!$B$2:$B$190,$B125)*Inputs!$D$1)</f>
        <v>0</v>
      </c>
      <c r="AR125" s="58">
        <f>AQ125</f>
        <v>0</v>
      </c>
      <c r="AS125" s="57">
        <f>IF(ISNA(SUMIFS(INDEX(Inputs!$B$2:$AZ$190,,MATCH(SUBSTITUTE(AS$3,"Q","T"),Inputs!$B$2:$AZ$2,0)),Inputs!$B$2:$B$190,$B125)*Inputs!$D$1),"",SUMIFS(INDEX(Inputs!$B$2:$AZ$190,,MATCH(SUBSTITUTE(AS$3,"Q","T"),Inputs!$B$2:$AZ$2,0)),Inputs!$B$2:$B$190,$B125)*Inputs!$D$1)</f>
        <v>0</v>
      </c>
      <c r="AT125" s="57">
        <f>IF(ISNA(SUMIFS(INDEX(Inputs!$B$2:$AZ$190,,MATCH(SUBSTITUTE(AT$3,"Q","T"),Inputs!$B$2:$AZ$2,0)),Inputs!$B$2:$B$190,$B125)*Inputs!$D$1),"",SUMIFS(INDEX(Inputs!$B$2:$AZ$190,,MATCH(SUBSTITUTE(AT$3,"Q","T"),Inputs!$B$2:$AZ$2,0)),Inputs!$B$2:$B$190,$B125)*Inputs!$D$1)</f>
        <v>0</v>
      </c>
      <c r="AU125" s="57">
        <f>IF(ISNA(SUMIFS(INDEX(Inputs!$B$2:$AZ$190,,MATCH(SUBSTITUTE(AU$3,"Q","T"),Inputs!$B$2:$AZ$2,0)),Inputs!$B$2:$B$190,$B125)*Inputs!$D$1),"",SUMIFS(INDEX(Inputs!$B$2:$AZ$190,,MATCH(SUBSTITUTE(AU$3,"Q","T"),Inputs!$B$2:$AZ$2,0)),Inputs!$B$2:$B$190,$B125)*Inputs!$D$1)</f>
        <v>0</v>
      </c>
      <c r="AV125" s="57">
        <f>IF(ISNA(SUMIFS(INDEX(Inputs!$B$2:$AZ$190,,MATCH(SUBSTITUTE(AV$3,"Q","T"),Inputs!$B$2:$AZ$2,0)),Inputs!$B$2:$B$190,$B125)*Inputs!$D$1),"",SUMIFS(INDEX(Inputs!$B$2:$AZ$190,,MATCH(SUBSTITUTE(AV$3,"Q","T"),Inputs!$B$2:$AZ$2,0)),Inputs!$B$2:$B$190,$B125)*Inputs!$D$1)</f>
        <v>0</v>
      </c>
      <c r="AW125" s="58">
        <f>AV125</f>
        <v>0</v>
      </c>
      <c r="AX125" s="57">
        <f>IF(ISNA(SUMIFS(INDEX(Inputs!$B$2:$AZ$190,,MATCH(SUBSTITUTE(AX$3,"Q","T"),Inputs!$B$2:$AZ$2,0)),Inputs!$B$2:$B$190,$B125)*Inputs!$D$1),"",SUMIFS(INDEX(Inputs!$B$2:$AZ$190,,MATCH(SUBSTITUTE(AX$3,"Q","T"),Inputs!$B$2:$AZ$2,0)),Inputs!$B$2:$B$190,$B125)*Inputs!$D$1)</f>
        <v>0</v>
      </c>
      <c r="AY125" s="57">
        <f>IF(ISNA(SUMIFS(INDEX(Inputs!$B$2:$AZ$190,,MATCH(SUBSTITUTE(AY$3,"Q","T"),Inputs!$B$2:$AZ$2,0)),Inputs!$B$2:$B$190,$B125)*Inputs!$D$1),"",SUMIFS(INDEX(Inputs!$B$2:$AZ$190,,MATCH(SUBSTITUTE(AY$3,"Q","T"),Inputs!$B$2:$AZ$2,0)),Inputs!$B$2:$B$190,$B125)*Inputs!$D$1)</f>
        <v>0</v>
      </c>
      <c r="AZ125" s="57">
        <f>IF(ISNA(SUMIFS(INDEX(Inputs!$B$2:$AZ$190,,MATCH(SUBSTITUTE(AZ$3,"Q","T"),Inputs!$B$2:$AZ$2,0)),Inputs!$B$2:$B$190,$B125)*Inputs!$D$1),"",SUMIFS(INDEX(Inputs!$B$2:$AZ$190,,MATCH(SUBSTITUTE(AZ$3,"Q","T"),Inputs!$B$2:$AZ$2,0)),Inputs!$B$2:$B$190,$B125)*Inputs!$D$1)</f>
        <v>0</v>
      </c>
      <c r="BA125" s="57">
        <f>IF(ISNA(SUMIFS(INDEX(Inputs!$B$2:$AZ$190,,MATCH(SUBSTITUTE(BA$3,"Q","T"),Inputs!$B$2:$AZ$2,0)),Inputs!$B$2:$B$190,$B125)*Inputs!$D$1),"",SUMIFS(INDEX(Inputs!$B$2:$AZ$190,,MATCH(SUBSTITUTE(BA$3,"Q","T"),Inputs!$B$2:$AZ$2,0)),Inputs!$B$2:$B$190,$B125)*Inputs!$D$1)</f>
        <v>0</v>
      </c>
      <c r="BB125" s="58">
        <f>BA125</f>
        <v>0</v>
      </c>
      <c r="BC125" s="57">
        <f>IF(ISNA(SUMIFS(INDEX(Inputs!$B$2:$AZ$190,,MATCH(SUBSTITUTE(BC$3,"Q","T"),Inputs!$B$2:$AZ$2,0)),Inputs!$B$2:$B$190,$B125)*Inputs!$D$1),"",SUMIFS(INDEX(Inputs!$B$2:$AZ$190,,MATCH(SUBSTITUTE(BC$3,"Q","T"),Inputs!$B$2:$AZ$2,0)),Inputs!$B$2:$B$190,$B125)*Inputs!$D$1)</f>
        <v>0</v>
      </c>
      <c r="BD125" s="57">
        <f>IF(ISNA(SUMIFS(INDEX(Inputs!$B$2:$AZ$190,,MATCH(SUBSTITUTE(BD$3,"Q","T"),Inputs!$B$2:$AZ$2,0)),Inputs!$B$2:$B$190,$B125)*Inputs!$D$1),"",SUMIFS(INDEX(Inputs!$B$2:$AZ$190,,MATCH(SUBSTITUTE(BD$3,"Q","T"),Inputs!$B$2:$AZ$2,0)),Inputs!$B$2:$B$190,$B125)*Inputs!$D$1)</f>
        <v>0</v>
      </c>
      <c r="BE125" s="57">
        <f>IF(ISNA(SUMIFS(INDEX(Inputs!$B$2:$AZ$190,,MATCH(SUBSTITUTE(BE$3,"Q","T"),Inputs!$B$2:$AZ$2,0)),Inputs!$B$2:$B$190,$B125)*Inputs!$D$1),"",SUMIFS(INDEX(Inputs!$B$2:$AZ$190,,MATCH(SUBSTITUTE(BE$3,"Q","T"),Inputs!$B$2:$AZ$2,0)),Inputs!$B$2:$B$190,$B125)*Inputs!$D$1)</f>
        <v>0</v>
      </c>
      <c r="BF125" s="57">
        <f>IF(ISNA(SUMIFS(INDEX(Inputs!$B$2:$AZ$190,,MATCH(SUBSTITUTE(BF$3,"Q","T"),Inputs!$B$2:$AZ$2,0)),Inputs!$B$2:$B$190,$B125)*Inputs!$D$1),"",SUMIFS(INDEX(Inputs!$B$2:$AZ$190,,MATCH(SUBSTITUTE(BF$3,"Q","T"),Inputs!$B$2:$AZ$2,0)),Inputs!$B$2:$B$190,$B125)*Inputs!$D$1)</f>
        <v>0</v>
      </c>
      <c r="BG125" s="58">
        <f>BF125</f>
        <v>0</v>
      </c>
    </row>
    <row r="126">
      <c r="B126" s="56" t="inlineStr">
        <is>
          <t>nco</t>
        </is>
      </c>
      <c r="C126" s="11" t="inlineStr">
        <is>
          <t>Baixas líquidas de recuperações (net charge-offs)</t>
        </is>
      </c>
      <c r="D126" s="12" t="inlineStr">
        <is>
          <t>Net charge-offs</t>
        </is>
      </c>
      <c r="E126" s="57">
        <f>IF(ISNA(SUMIFS(INDEX(Inputs!$B$2:$AZ$190,,MATCH(SUBSTITUTE(E$3,"Q","T"),Inputs!$B$2:$AZ$2,0)),Inputs!$B$2:$B$190,$B126)*Inputs!$D$1),"",SUMIFS(INDEX(Inputs!$B$2:$AZ$190,,MATCH(SUBSTITUTE(E$3,"Q","T"),Inputs!$B$2:$AZ$2,0)),Inputs!$B$2:$B$190,$B126)*Inputs!$D$1)</f>
        <v>0</v>
      </c>
      <c r="F126" s="57">
        <f>IF(ISNA(SUMIFS(INDEX(Inputs!$B$2:$AZ$190,,MATCH(SUBSTITUTE(F$3,"Q","T"),Inputs!$B$2:$AZ$2,0)),Inputs!$B$2:$B$190,$B126)*Inputs!$D$1),"",SUMIFS(INDEX(Inputs!$B$2:$AZ$190,,MATCH(SUBSTITUTE(F$3,"Q","T"),Inputs!$B$2:$AZ$2,0)),Inputs!$B$2:$B$190,$B126)*Inputs!$D$1)</f>
        <v>0</v>
      </c>
      <c r="G126" s="57">
        <f>IF(ISNA(SUMIFS(INDEX(Inputs!$B$2:$AZ$190,,MATCH(SUBSTITUTE(G$3,"Q","T"),Inputs!$B$2:$AZ$2,0)),Inputs!$B$2:$B$190,$B126)*Inputs!$D$1),"",SUMIFS(INDEX(Inputs!$B$2:$AZ$190,,MATCH(SUBSTITUTE(G$3,"Q","T"),Inputs!$B$2:$AZ$2,0)),Inputs!$B$2:$B$190,$B126)*Inputs!$D$1)</f>
        <v>0</v>
      </c>
      <c r="H126" s="57">
        <f>IF(ISNA(SUMIFS(INDEX(Inputs!$B$2:$AZ$190,,MATCH(SUBSTITUTE(H$3,"Q","T"),Inputs!$B$2:$AZ$2,0)),Inputs!$B$2:$B$190,$B126)*Inputs!$D$1),"",SUMIFS(INDEX(Inputs!$B$2:$AZ$190,,MATCH(SUBSTITUTE(H$3,"Q","T"),Inputs!$B$2:$AZ$2,0)),Inputs!$B$2:$B$190,$B126)*Inputs!$D$1)</f>
        <v>0</v>
      </c>
      <c r="I126" s="58">
        <f>SUM(E126:H126)</f>
        <v>0</v>
      </c>
      <c r="J126" s="57">
        <f>IF(ISNA(SUMIFS(INDEX(Inputs!$B$2:$AZ$190,,MATCH(SUBSTITUTE(J$3,"Q","T"),Inputs!$B$2:$AZ$2,0)),Inputs!$B$2:$B$190,$B126)*Inputs!$D$1),"",SUMIFS(INDEX(Inputs!$B$2:$AZ$190,,MATCH(SUBSTITUTE(J$3,"Q","T"),Inputs!$B$2:$AZ$2,0)),Inputs!$B$2:$B$190,$B126)*Inputs!$D$1)</f>
        <v>0</v>
      </c>
      <c r="K126" s="57">
        <f>IF(ISNA(SUMIFS(INDEX(Inputs!$B$2:$AZ$190,,MATCH(SUBSTITUTE(K$3,"Q","T"),Inputs!$B$2:$AZ$2,0)),Inputs!$B$2:$B$190,$B126)*Inputs!$D$1),"",SUMIFS(INDEX(Inputs!$B$2:$AZ$190,,MATCH(SUBSTITUTE(K$3,"Q","T"),Inputs!$B$2:$AZ$2,0)),Inputs!$B$2:$B$190,$B126)*Inputs!$D$1)</f>
        <v>0</v>
      </c>
      <c r="L126" s="57">
        <f>IF(ISNA(SUMIFS(INDEX(Inputs!$B$2:$AZ$190,,MATCH(SUBSTITUTE(L$3,"Q","T"),Inputs!$B$2:$AZ$2,0)),Inputs!$B$2:$B$190,$B126)*Inputs!$D$1),"",SUMIFS(INDEX(Inputs!$B$2:$AZ$190,,MATCH(SUBSTITUTE(L$3,"Q","T"),Inputs!$B$2:$AZ$2,0)),Inputs!$B$2:$B$190,$B126)*Inputs!$D$1)</f>
        <v>0</v>
      </c>
      <c r="M126" s="57">
        <f>IF(ISNA(SUMIFS(INDEX(Inputs!$B$2:$AZ$190,,MATCH(SUBSTITUTE(M$3,"Q","T"),Inputs!$B$2:$AZ$2,0)),Inputs!$B$2:$B$190,$B126)*Inputs!$D$1),"",SUMIFS(INDEX(Inputs!$B$2:$AZ$190,,MATCH(SUBSTITUTE(M$3,"Q","T"),Inputs!$B$2:$AZ$2,0)),Inputs!$B$2:$B$190,$B126)*Inputs!$D$1)</f>
        <v>0</v>
      </c>
      <c r="N126" s="58">
        <f>SUM(J126:M126)</f>
        <v>0</v>
      </c>
      <c r="O126" s="57">
        <f>IF(ISNA(SUMIFS(INDEX(Inputs!$B$2:$AZ$190,,MATCH(SUBSTITUTE(O$3,"Q","T"),Inputs!$B$2:$AZ$2,0)),Inputs!$B$2:$B$190,$B126)*Inputs!$D$1),"",SUMIFS(INDEX(Inputs!$B$2:$AZ$190,,MATCH(SUBSTITUTE(O$3,"Q","T"),Inputs!$B$2:$AZ$2,0)),Inputs!$B$2:$B$190,$B126)*Inputs!$D$1)</f>
        <v>0</v>
      </c>
      <c r="P126" s="57">
        <f>IF(ISNA(SUMIFS(INDEX(Inputs!$B$2:$AZ$190,,MATCH(SUBSTITUTE(P$3,"Q","T"),Inputs!$B$2:$AZ$2,0)),Inputs!$B$2:$B$190,$B126)*Inputs!$D$1),"",SUMIFS(INDEX(Inputs!$B$2:$AZ$190,,MATCH(SUBSTITUTE(P$3,"Q","T"),Inputs!$B$2:$AZ$2,0)),Inputs!$B$2:$B$190,$B126)*Inputs!$D$1)</f>
        <v>0</v>
      </c>
      <c r="Q126" s="57">
        <f>IF(ISNA(SUMIFS(INDEX(Inputs!$B$2:$AZ$190,,MATCH(SUBSTITUTE(Q$3,"Q","T"),Inputs!$B$2:$AZ$2,0)),Inputs!$B$2:$B$190,$B126)*Inputs!$D$1),"",SUMIFS(INDEX(Inputs!$B$2:$AZ$190,,MATCH(SUBSTITUTE(Q$3,"Q","T"),Inputs!$B$2:$AZ$2,0)),Inputs!$B$2:$B$190,$B126)*Inputs!$D$1)</f>
        <v>0</v>
      </c>
      <c r="R126" s="57">
        <f>IF(ISNA(SUMIFS(INDEX(Inputs!$B$2:$AZ$190,,MATCH(SUBSTITUTE(R$3,"Q","T"),Inputs!$B$2:$AZ$2,0)),Inputs!$B$2:$B$190,$B126)*Inputs!$D$1),"",SUMIFS(INDEX(Inputs!$B$2:$AZ$190,,MATCH(SUBSTITUTE(R$3,"Q","T"),Inputs!$B$2:$AZ$2,0)),Inputs!$B$2:$B$190,$B126)*Inputs!$D$1)</f>
        <v>0</v>
      </c>
      <c r="S126" s="58">
        <f>SUM(O126:R126)</f>
        <v>0</v>
      </c>
      <c r="T126" s="57">
        <f>IF(ISNA(SUMIFS(INDEX(Inputs!$B$2:$AZ$190,,MATCH(SUBSTITUTE(T$3,"Q","T"),Inputs!$B$2:$AZ$2,0)),Inputs!$B$2:$B$190,$B126)*Inputs!$D$1),"",SUMIFS(INDEX(Inputs!$B$2:$AZ$190,,MATCH(SUBSTITUTE(T$3,"Q","T"),Inputs!$B$2:$AZ$2,0)),Inputs!$B$2:$B$190,$B126)*Inputs!$D$1)</f>
        <v>0</v>
      </c>
      <c r="U126" s="57">
        <f>IF(ISNA(SUMIFS(INDEX(Inputs!$B$2:$AZ$190,,MATCH(SUBSTITUTE(U$3,"Q","T"),Inputs!$B$2:$AZ$2,0)),Inputs!$B$2:$B$190,$B126)*Inputs!$D$1),"",SUMIFS(INDEX(Inputs!$B$2:$AZ$190,,MATCH(SUBSTITUTE(U$3,"Q","T"),Inputs!$B$2:$AZ$2,0)),Inputs!$B$2:$B$190,$B126)*Inputs!$D$1)</f>
        <v>0</v>
      </c>
      <c r="V126" s="57">
        <f>IF(ISNA(SUMIFS(INDEX(Inputs!$B$2:$AZ$190,,MATCH(SUBSTITUTE(V$3,"Q","T"),Inputs!$B$2:$AZ$2,0)),Inputs!$B$2:$B$190,$B126)*Inputs!$D$1),"",SUMIFS(INDEX(Inputs!$B$2:$AZ$190,,MATCH(SUBSTITUTE(V$3,"Q","T"),Inputs!$B$2:$AZ$2,0)),Inputs!$B$2:$B$190,$B126)*Inputs!$D$1)</f>
        <v>0</v>
      </c>
      <c r="W126" s="57">
        <f>IF(ISNA(SUMIFS(INDEX(Inputs!$B$2:$AZ$190,,MATCH(SUBSTITUTE(W$3,"Q","T"),Inputs!$B$2:$AZ$2,0)),Inputs!$B$2:$B$190,$B126)*Inputs!$D$1),"",SUMIFS(INDEX(Inputs!$B$2:$AZ$190,,MATCH(SUBSTITUTE(W$3,"Q","T"),Inputs!$B$2:$AZ$2,0)),Inputs!$B$2:$B$190,$B126)*Inputs!$D$1)</f>
        <v>0</v>
      </c>
      <c r="X126" s="58">
        <f>SUM(T126:W126)</f>
        <v>0</v>
      </c>
      <c r="Y126" s="57">
        <f>IF(ISNA(SUMIFS(INDEX(Inputs!$B$2:$AZ$190,,MATCH(SUBSTITUTE(Y$3,"Q","T"),Inputs!$B$2:$AZ$2,0)),Inputs!$B$2:$B$190,$B126)*Inputs!$D$1),"",SUMIFS(INDEX(Inputs!$B$2:$AZ$190,,MATCH(SUBSTITUTE(Y$3,"Q","T"),Inputs!$B$2:$AZ$2,0)),Inputs!$B$2:$B$190,$B126)*Inputs!$D$1)</f>
        <v>0</v>
      </c>
      <c r="Z126" s="57">
        <f>IF(ISNA(SUMIFS(INDEX(Inputs!$B$2:$AZ$190,,MATCH(SUBSTITUTE(Z$3,"Q","T"),Inputs!$B$2:$AZ$2,0)),Inputs!$B$2:$B$190,$B126)*Inputs!$D$1),"",SUMIFS(INDEX(Inputs!$B$2:$AZ$190,,MATCH(SUBSTITUTE(Z$3,"Q","T"),Inputs!$B$2:$AZ$2,0)),Inputs!$B$2:$B$190,$B126)*Inputs!$D$1)</f>
        <v>0</v>
      </c>
      <c r="AA126" s="57">
        <f>IF(ISNA(SUMIFS(INDEX(Inputs!$B$2:$AZ$190,,MATCH(SUBSTITUTE(AA$3,"Q","T"),Inputs!$B$2:$AZ$2,0)),Inputs!$B$2:$B$190,$B126)*Inputs!$D$1),"",SUMIFS(INDEX(Inputs!$B$2:$AZ$190,,MATCH(SUBSTITUTE(AA$3,"Q","T"),Inputs!$B$2:$AZ$2,0)),Inputs!$B$2:$B$190,$B126)*Inputs!$D$1)</f>
        <v>0</v>
      </c>
      <c r="AB126" s="57">
        <f>IF(ISNA(SUMIFS(INDEX(Inputs!$B$2:$AZ$190,,MATCH(SUBSTITUTE(AB$3,"Q","T"),Inputs!$B$2:$AZ$2,0)),Inputs!$B$2:$B$190,$B126)*Inputs!$D$1),"",SUMIFS(INDEX(Inputs!$B$2:$AZ$190,,MATCH(SUBSTITUTE(AB$3,"Q","T"),Inputs!$B$2:$AZ$2,0)),Inputs!$B$2:$B$190,$B126)*Inputs!$D$1)</f>
        <v>0</v>
      </c>
      <c r="AC126" s="58">
        <f>SUM(Y126:AB126)</f>
        <v>0</v>
      </c>
      <c r="AD126" s="57">
        <f>IF(ISNA(SUMIFS(INDEX(Inputs!$B$2:$AZ$190,,MATCH(SUBSTITUTE(AD$3,"Q","T"),Inputs!$B$2:$AZ$2,0)),Inputs!$B$2:$B$190,$B126)*Inputs!$D$1),"",SUMIFS(INDEX(Inputs!$B$2:$AZ$190,,MATCH(SUBSTITUTE(AD$3,"Q","T"),Inputs!$B$2:$AZ$2,0)),Inputs!$B$2:$B$190,$B126)*Inputs!$D$1)</f>
        <v>0</v>
      </c>
      <c r="AE126" s="57">
        <f>IF(ISNA(SUMIFS(INDEX(Inputs!$B$2:$AZ$190,,MATCH(SUBSTITUTE(AE$3,"Q","T"),Inputs!$B$2:$AZ$2,0)),Inputs!$B$2:$B$190,$B126)*Inputs!$D$1),"",SUMIFS(INDEX(Inputs!$B$2:$AZ$190,,MATCH(SUBSTITUTE(AE$3,"Q","T"),Inputs!$B$2:$AZ$2,0)),Inputs!$B$2:$B$190,$B126)*Inputs!$D$1)</f>
        <v>0</v>
      </c>
      <c r="AF126" s="57">
        <f>IF(ISNA(SUMIFS(INDEX(Inputs!$B$2:$AZ$190,,MATCH(SUBSTITUTE(AF$3,"Q","T"),Inputs!$B$2:$AZ$2,0)),Inputs!$B$2:$B$190,$B126)*Inputs!$D$1),"",SUMIFS(INDEX(Inputs!$B$2:$AZ$190,,MATCH(SUBSTITUTE(AF$3,"Q","T"),Inputs!$B$2:$AZ$2,0)),Inputs!$B$2:$B$190,$B126)*Inputs!$D$1)</f>
        <v>0</v>
      </c>
      <c r="AG126" s="57">
        <f>IF(ISNA(SUMIFS(INDEX(Inputs!$B$2:$AZ$190,,MATCH(SUBSTITUTE(AG$3,"Q","T"),Inputs!$B$2:$AZ$2,0)),Inputs!$B$2:$B$190,$B126)*Inputs!$D$1),"",SUMIFS(INDEX(Inputs!$B$2:$AZ$190,,MATCH(SUBSTITUTE(AG$3,"Q","T"),Inputs!$B$2:$AZ$2,0)),Inputs!$B$2:$B$190,$B126)*Inputs!$D$1)</f>
        <v>0</v>
      </c>
      <c r="AH126" s="58">
        <f>SUM(AD126:AG126)</f>
        <v>0</v>
      </c>
      <c r="AI126" s="57">
        <f>IF(ISNA(SUMIFS(INDEX(Inputs!$B$2:$AZ$190,,MATCH(SUBSTITUTE(AI$3,"Q","T"),Inputs!$B$2:$AZ$2,0)),Inputs!$B$2:$B$190,$B126)*Inputs!$D$1),"",SUMIFS(INDEX(Inputs!$B$2:$AZ$190,,MATCH(SUBSTITUTE(AI$3,"Q","T"),Inputs!$B$2:$AZ$2,0)),Inputs!$B$2:$B$190,$B126)*Inputs!$D$1)</f>
        <v>0</v>
      </c>
      <c r="AJ126" s="57">
        <f>IF(ISNA(SUMIFS(INDEX(Inputs!$B$2:$AZ$190,,MATCH(SUBSTITUTE(AJ$3,"Q","T"),Inputs!$B$2:$AZ$2,0)),Inputs!$B$2:$B$190,$B126)*Inputs!$D$1),"",SUMIFS(INDEX(Inputs!$B$2:$AZ$190,,MATCH(SUBSTITUTE(AJ$3,"Q","T"),Inputs!$B$2:$AZ$2,0)),Inputs!$B$2:$B$190,$B126)*Inputs!$D$1)</f>
        <v>0</v>
      </c>
      <c r="AK126" s="57">
        <f>IF(ISNA(SUMIFS(INDEX(Inputs!$B$2:$AZ$190,,MATCH(SUBSTITUTE(AK$3,"Q","T"),Inputs!$B$2:$AZ$2,0)),Inputs!$B$2:$B$190,$B126)*Inputs!$D$1),"",SUMIFS(INDEX(Inputs!$B$2:$AZ$190,,MATCH(SUBSTITUTE(AK$3,"Q","T"),Inputs!$B$2:$AZ$2,0)),Inputs!$B$2:$B$190,$B126)*Inputs!$D$1)</f>
        <v>0</v>
      </c>
      <c r="AL126" s="57">
        <f>IF(ISNA(SUMIFS(INDEX(Inputs!$B$2:$AZ$190,,MATCH(SUBSTITUTE(AL$3,"Q","T"),Inputs!$B$2:$AZ$2,0)),Inputs!$B$2:$B$190,$B126)*Inputs!$D$1),"",SUMIFS(INDEX(Inputs!$B$2:$AZ$190,,MATCH(SUBSTITUTE(AL$3,"Q","T"),Inputs!$B$2:$AZ$2,0)),Inputs!$B$2:$B$190,$B126)*Inputs!$D$1)</f>
        <v>0</v>
      </c>
      <c r="AM126" s="58">
        <f>SUM(AI126:AL126)</f>
        <v>0</v>
      </c>
      <c r="AN126" s="57">
        <f>IF(ISNA(SUMIFS(INDEX(Inputs!$B$2:$AZ$190,,MATCH(SUBSTITUTE(AN$3,"Q","T"),Inputs!$B$2:$AZ$2,0)),Inputs!$B$2:$B$190,$B126)*Inputs!$D$1),"",SUMIFS(INDEX(Inputs!$B$2:$AZ$190,,MATCH(SUBSTITUTE(AN$3,"Q","T"),Inputs!$B$2:$AZ$2,0)),Inputs!$B$2:$B$190,$B126)*Inputs!$D$1)</f>
        <v>0</v>
      </c>
      <c r="AO126" s="57">
        <f>IF(ISNA(SUMIFS(INDEX(Inputs!$B$2:$AZ$190,,MATCH(SUBSTITUTE(AO$3,"Q","T"),Inputs!$B$2:$AZ$2,0)),Inputs!$B$2:$B$190,$B126)*Inputs!$D$1),"",SUMIFS(INDEX(Inputs!$B$2:$AZ$190,,MATCH(SUBSTITUTE(AO$3,"Q","T"),Inputs!$B$2:$AZ$2,0)),Inputs!$B$2:$B$190,$B126)*Inputs!$D$1)</f>
        <v>0</v>
      </c>
      <c r="AP126" s="57">
        <f>IF(ISNA(SUMIFS(INDEX(Inputs!$B$2:$AZ$190,,MATCH(SUBSTITUTE(AP$3,"Q","T"),Inputs!$B$2:$AZ$2,0)),Inputs!$B$2:$B$190,$B126)*Inputs!$D$1),"",SUMIFS(INDEX(Inputs!$B$2:$AZ$190,,MATCH(SUBSTITUTE(AP$3,"Q","T"),Inputs!$B$2:$AZ$2,0)),Inputs!$B$2:$B$190,$B126)*Inputs!$D$1)</f>
        <v>0</v>
      </c>
      <c r="AQ126" s="57">
        <f>IF(ISNA(SUMIFS(INDEX(Inputs!$B$2:$AZ$190,,MATCH(SUBSTITUTE(AQ$3,"Q","T"),Inputs!$B$2:$AZ$2,0)),Inputs!$B$2:$B$190,$B126)*Inputs!$D$1),"",SUMIFS(INDEX(Inputs!$B$2:$AZ$190,,MATCH(SUBSTITUTE(AQ$3,"Q","T"),Inputs!$B$2:$AZ$2,0)),Inputs!$B$2:$B$190,$B126)*Inputs!$D$1)</f>
        <v>0</v>
      </c>
      <c r="AR126" s="58">
        <f>SUM(AN126:AQ126)</f>
        <v>0</v>
      </c>
      <c r="AS126" s="57">
        <f>IF(ISNA(SUMIFS(INDEX(Inputs!$B$2:$AZ$190,,MATCH(SUBSTITUTE(AS$3,"Q","T"),Inputs!$B$2:$AZ$2,0)),Inputs!$B$2:$B$190,$B126)*Inputs!$D$1),"",SUMIFS(INDEX(Inputs!$B$2:$AZ$190,,MATCH(SUBSTITUTE(AS$3,"Q","T"),Inputs!$B$2:$AZ$2,0)),Inputs!$B$2:$B$190,$B126)*Inputs!$D$1)</f>
        <v>0</v>
      </c>
      <c r="AT126" s="57">
        <f>IF(ISNA(SUMIFS(INDEX(Inputs!$B$2:$AZ$190,,MATCH(SUBSTITUTE(AT$3,"Q","T"),Inputs!$B$2:$AZ$2,0)),Inputs!$B$2:$B$190,$B126)*Inputs!$D$1),"",SUMIFS(INDEX(Inputs!$B$2:$AZ$190,,MATCH(SUBSTITUTE(AT$3,"Q","T"),Inputs!$B$2:$AZ$2,0)),Inputs!$B$2:$B$190,$B126)*Inputs!$D$1)</f>
        <v>0</v>
      </c>
      <c r="AU126" s="57">
        <f>IF(ISNA(SUMIFS(INDEX(Inputs!$B$2:$AZ$190,,MATCH(SUBSTITUTE(AU$3,"Q","T"),Inputs!$B$2:$AZ$2,0)),Inputs!$B$2:$B$190,$B126)*Inputs!$D$1),"",SUMIFS(INDEX(Inputs!$B$2:$AZ$190,,MATCH(SUBSTITUTE(AU$3,"Q","T"),Inputs!$B$2:$AZ$2,0)),Inputs!$B$2:$B$190,$B126)*Inputs!$D$1)</f>
        <v>0</v>
      </c>
      <c r="AV126" s="57">
        <f>IF(ISNA(SUMIFS(INDEX(Inputs!$B$2:$AZ$190,,MATCH(SUBSTITUTE(AV$3,"Q","T"),Inputs!$B$2:$AZ$2,0)),Inputs!$B$2:$B$190,$B126)*Inputs!$D$1),"",SUMIFS(INDEX(Inputs!$B$2:$AZ$190,,MATCH(SUBSTITUTE(AV$3,"Q","T"),Inputs!$B$2:$AZ$2,0)),Inputs!$B$2:$B$190,$B126)*Inputs!$D$1)</f>
        <v>0</v>
      </c>
      <c r="AW126" s="58">
        <f>SUM(AS126:AV126)</f>
        <v>0</v>
      </c>
      <c r="AX126" s="57">
        <f>IF(ISNA(SUMIFS(INDEX(Inputs!$B$2:$AZ$190,,MATCH(SUBSTITUTE(AX$3,"Q","T"),Inputs!$B$2:$AZ$2,0)),Inputs!$B$2:$B$190,$B126)*Inputs!$D$1),"",SUMIFS(INDEX(Inputs!$B$2:$AZ$190,,MATCH(SUBSTITUTE(AX$3,"Q","T"),Inputs!$B$2:$AZ$2,0)),Inputs!$B$2:$B$190,$B126)*Inputs!$D$1)</f>
        <v>0</v>
      </c>
      <c r="AY126" s="57">
        <f>IF(ISNA(SUMIFS(INDEX(Inputs!$B$2:$AZ$190,,MATCH(SUBSTITUTE(AY$3,"Q","T"),Inputs!$B$2:$AZ$2,0)),Inputs!$B$2:$B$190,$B126)*Inputs!$D$1),"",SUMIFS(INDEX(Inputs!$B$2:$AZ$190,,MATCH(SUBSTITUTE(AY$3,"Q","T"),Inputs!$B$2:$AZ$2,0)),Inputs!$B$2:$B$190,$B126)*Inputs!$D$1)</f>
        <v>0</v>
      </c>
      <c r="AZ126" s="57">
        <f>IF(ISNA(SUMIFS(INDEX(Inputs!$B$2:$AZ$190,,MATCH(SUBSTITUTE(AZ$3,"Q","T"),Inputs!$B$2:$AZ$2,0)),Inputs!$B$2:$B$190,$B126)*Inputs!$D$1),"",SUMIFS(INDEX(Inputs!$B$2:$AZ$190,,MATCH(SUBSTITUTE(AZ$3,"Q","T"),Inputs!$B$2:$AZ$2,0)),Inputs!$B$2:$B$190,$B126)*Inputs!$D$1)</f>
        <v>0</v>
      </c>
      <c r="BA126" s="57">
        <f>IF(ISNA(SUMIFS(INDEX(Inputs!$B$2:$AZ$190,,MATCH(SUBSTITUTE(BA$3,"Q","T"),Inputs!$B$2:$AZ$2,0)),Inputs!$B$2:$B$190,$B126)*Inputs!$D$1),"",SUMIFS(INDEX(Inputs!$B$2:$AZ$190,,MATCH(SUBSTITUTE(BA$3,"Q","T"),Inputs!$B$2:$AZ$2,0)),Inputs!$B$2:$B$190,$B126)*Inputs!$D$1)</f>
        <v>0</v>
      </c>
      <c r="BB126" s="58">
        <f>SUM(AX126:BA126)</f>
        <v>0</v>
      </c>
      <c r="BC126" s="57">
        <f>IF(ISNA(SUMIFS(INDEX(Inputs!$B$2:$AZ$190,,MATCH(SUBSTITUTE(BC$3,"Q","T"),Inputs!$B$2:$AZ$2,0)),Inputs!$B$2:$B$190,$B126)*Inputs!$D$1),"",SUMIFS(INDEX(Inputs!$B$2:$AZ$190,,MATCH(SUBSTITUTE(BC$3,"Q","T"),Inputs!$B$2:$AZ$2,0)),Inputs!$B$2:$B$190,$B126)*Inputs!$D$1)</f>
        <v>0</v>
      </c>
      <c r="BD126" s="57">
        <f>IF(ISNA(SUMIFS(INDEX(Inputs!$B$2:$AZ$190,,MATCH(SUBSTITUTE(BD$3,"Q","T"),Inputs!$B$2:$AZ$2,0)),Inputs!$B$2:$B$190,$B126)*Inputs!$D$1),"",SUMIFS(INDEX(Inputs!$B$2:$AZ$190,,MATCH(SUBSTITUTE(BD$3,"Q","T"),Inputs!$B$2:$AZ$2,0)),Inputs!$B$2:$B$190,$B126)*Inputs!$D$1)</f>
        <v>0</v>
      </c>
      <c r="BE126" s="57">
        <f>IF(ISNA(SUMIFS(INDEX(Inputs!$B$2:$AZ$190,,MATCH(SUBSTITUTE(BE$3,"Q","T"),Inputs!$B$2:$AZ$2,0)),Inputs!$B$2:$B$190,$B126)*Inputs!$D$1),"",SUMIFS(INDEX(Inputs!$B$2:$AZ$190,,MATCH(SUBSTITUTE(BE$3,"Q","T"),Inputs!$B$2:$AZ$2,0)),Inputs!$B$2:$B$190,$B126)*Inputs!$D$1)</f>
        <v>0</v>
      </c>
      <c r="BF126" s="57">
        <f>IF(ISNA(SUMIFS(INDEX(Inputs!$B$2:$AZ$190,,MATCH(SUBSTITUTE(BF$3,"Q","T"),Inputs!$B$2:$AZ$2,0)),Inputs!$B$2:$B$190,$B126)*Inputs!$D$1),"",SUMIFS(INDEX(Inputs!$B$2:$AZ$190,,MATCH(SUBSTITUTE(BF$3,"Q","T"),Inputs!$B$2:$AZ$2,0)),Inputs!$B$2:$B$190,$B126)*Inputs!$D$1)</f>
        <v>0</v>
      </c>
      <c r="BG126" s="58">
        <f>SUM(BC126:BF126)</f>
        <v>0</v>
      </c>
    </row>
    <row r="127">
      <c r="B127" s="56" t="inlineStr">
        <is>
          <t>mods</t>
        </is>
      </c>
      <c r="C127" s="11" t="inlineStr">
        <is>
          <t>Empréstimos modificados por dificuldade financeira</t>
        </is>
      </c>
      <c r="D127" s="12" t="inlineStr">
        <is>
          <t>Loan modifications to borrowers in financial difficulty</t>
        </is>
      </c>
      <c r="E127" s="57">
        <f>IF(ISNA(SUMIFS(INDEX(Inputs!$B$2:$AZ$190,,MATCH(SUBSTITUTE(E$3,"Q","T"),Inputs!$B$2:$AZ$2,0)),Inputs!$B$2:$B$190,$B127)*Inputs!$D$1),"",SUMIFS(INDEX(Inputs!$B$2:$AZ$190,,MATCH(SUBSTITUTE(E$3,"Q","T"),Inputs!$B$2:$AZ$2,0)),Inputs!$B$2:$B$190,$B127)*Inputs!$D$1)</f>
        <v>0</v>
      </c>
      <c r="F127" s="57">
        <f>IF(ISNA(SUMIFS(INDEX(Inputs!$B$2:$AZ$190,,MATCH(SUBSTITUTE(F$3,"Q","T"),Inputs!$B$2:$AZ$2,0)),Inputs!$B$2:$B$190,$B127)*Inputs!$D$1),"",SUMIFS(INDEX(Inputs!$B$2:$AZ$190,,MATCH(SUBSTITUTE(F$3,"Q","T"),Inputs!$B$2:$AZ$2,0)),Inputs!$B$2:$B$190,$B127)*Inputs!$D$1)</f>
        <v>0</v>
      </c>
      <c r="G127" s="57">
        <f>IF(ISNA(SUMIFS(INDEX(Inputs!$B$2:$AZ$190,,MATCH(SUBSTITUTE(G$3,"Q","T"),Inputs!$B$2:$AZ$2,0)),Inputs!$B$2:$B$190,$B127)*Inputs!$D$1),"",SUMIFS(INDEX(Inputs!$B$2:$AZ$190,,MATCH(SUBSTITUTE(G$3,"Q","T"),Inputs!$B$2:$AZ$2,0)),Inputs!$B$2:$B$190,$B127)*Inputs!$D$1)</f>
        <v>0</v>
      </c>
      <c r="H127" s="57">
        <f>IF(ISNA(SUMIFS(INDEX(Inputs!$B$2:$AZ$190,,MATCH(SUBSTITUTE(H$3,"Q","T"),Inputs!$B$2:$AZ$2,0)),Inputs!$B$2:$B$190,$B127)*Inputs!$D$1),"",SUMIFS(INDEX(Inputs!$B$2:$AZ$190,,MATCH(SUBSTITUTE(H$3,"Q","T"),Inputs!$B$2:$AZ$2,0)),Inputs!$B$2:$B$190,$B127)*Inputs!$D$1)</f>
        <v>0</v>
      </c>
      <c r="I127" s="58">
        <f>H127</f>
        <v>0</v>
      </c>
      <c r="J127" s="57">
        <f>IF(ISNA(SUMIFS(INDEX(Inputs!$B$2:$AZ$190,,MATCH(SUBSTITUTE(J$3,"Q","T"),Inputs!$B$2:$AZ$2,0)),Inputs!$B$2:$B$190,$B127)*Inputs!$D$1),"",SUMIFS(INDEX(Inputs!$B$2:$AZ$190,,MATCH(SUBSTITUTE(J$3,"Q","T"),Inputs!$B$2:$AZ$2,0)),Inputs!$B$2:$B$190,$B127)*Inputs!$D$1)</f>
        <v>0</v>
      </c>
      <c r="K127" s="57">
        <f>IF(ISNA(SUMIFS(INDEX(Inputs!$B$2:$AZ$190,,MATCH(SUBSTITUTE(K$3,"Q","T"),Inputs!$B$2:$AZ$2,0)),Inputs!$B$2:$B$190,$B127)*Inputs!$D$1),"",SUMIFS(INDEX(Inputs!$B$2:$AZ$190,,MATCH(SUBSTITUTE(K$3,"Q","T"),Inputs!$B$2:$AZ$2,0)),Inputs!$B$2:$B$190,$B127)*Inputs!$D$1)</f>
        <v>0</v>
      </c>
      <c r="L127" s="57">
        <f>IF(ISNA(SUMIFS(INDEX(Inputs!$B$2:$AZ$190,,MATCH(SUBSTITUTE(L$3,"Q","T"),Inputs!$B$2:$AZ$2,0)),Inputs!$B$2:$B$190,$B127)*Inputs!$D$1),"",SUMIFS(INDEX(Inputs!$B$2:$AZ$190,,MATCH(SUBSTITUTE(L$3,"Q","T"),Inputs!$B$2:$AZ$2,0)),Inputs!$B$2:$B$190,$B127)*Inputs!$D$1)</f>
        <v>0</v>
      </c>
      <c r="M127" s="57">
        <f>IF(ISNA(SUMIFS(INDEX(Inputs!$B$2:$AZ$190,,MATCH(SUBSTITUTE(M$3,"Q","T"),Inputs!$B$2:$AZ$2,0)),Inputs!$B$2:$B$190,$B127)*Inputs!$D$1),"",SUMIFS(INDEX(Inputs!$B$2:$AZ$190,,MATCH(SUBSTITUTE(M$3,"Q","T"),Inputs!$B$2:$AZ$2,0)),Inputs!$B$2:$B$190,$B127)*Inputs!$D$1)</f>
        <v>0</v>
      </c>
      <c r="N127" s="58">
        <f>M127</f>
        <v>0</v>
      </c>
      <c r="O127" s="57">
        <f>IF(ISNA(SUMIFS(INDEX(Inputs!$B$2:$AZ$190,,MATCH(SUBSTITUTE(O$3,"Q","T"),Inputs!$B$2:$AZ$2,0)),Inputs!$B$2:$B$190,$B127)*Inputs!$D$1),"",SUMIFS(INDEX(Inputs!$B$2:$AZ$190,,MATCH(SUBSTITUTE(O$3,"Q","T"),Inputs!$B$2:$AZ$2,0)),Inputs!$B$2:$B$190,$B127)*Inputs!$D$1)</f>
        <v>0</v>
      </c>
      <c r="P127" s="57">
        <f>IF(ISNA(SUMIFS(INDEX(Inputs!$B$2:$AZ$190,,MATCH(SUBSTITUTE(P$3,"Q","T"),Inputs!$B$2:$AZ$2,0)),Inputs!$B$2:$B$190,$B127)*Inputs!$D$1),"",SUMIFS(INDEX(Inputs!$B$2:$AZ$190,,MATCH(SUBSTITUTE(P$3,"Q","T"),Inputs!$B$2:$AZ$2,0)),Inputs!$B$2:$B$190,$B127)*Inputs!$D$1)</f>
        <v>0</v>
      </c>
      <c r="Q127" s="57">
        <f>IF(ISNA(SUMIFS(INDEX(Inputs!$B$2:$AZ$190,,MATCH(SUBSTITUTE(Q$3,"Q","T"),Inputs!$B$2:$AZ$2,0)),Inputs!$B$2:$B$190,$B127)*Inputs!$D$1),"",SUMIFS(INDEX(Inputs!$B$2:$AZ$190,,MATCH(SUBSTITUTE(Q$3,"Q","T"),Inputs!$B$2:$AZ$2,0)),Inputs!$B$2:$B$190,$B127)*Inputs!$D$1)</f>
        <v>0</v>
      </c>
      <c r="R127" s="57">
        <f>IF(ISNA(SUMIFS(INDEX(Inputs!$B$2:$AZ$190,,MATCH(SUBSTITUTE(R$3,"Q","T"),Inputs!$B$2:$AZ$2,0)),Inputs!$B$2:$B$190,$B127)*Inputs!$D$1),"",SUMIFS(INDEX(Inputs!$B$2:$AZ$190,,MATCH(SUBSTITUTE(R$3,"Q","T"),Inputs!$B$2:$AZ$2,0)),Inputs!$B$2:$B$190,$B127)*Inputs!$D$1)</f>
        <v>0</v>
      </c>
      <c r="S127" s="58">
        <f>R127</f>
        <v>0</v>
      </c>
      <c r="T127" s="57">
        <f>IF(ISNA(SUMIFS(INDEX(Inputs!$B$2:$AZ$190,,MATCH(SUBSTITUTE(T$3,"Q","T"),Inputs!$B$2:$AZ$2,0)),Inputs!$B$2:$B$190,$B127)*Inputs!$D$1),"",SUMIFS(INDEX(Inputs!$B$2:$AZ$190,,MATCH(SUBSTITUTE(T$3,"Q","T"),Inputs!$B$2:$AZ$2,0)),Inputs!$B$2:$B$190,$B127)*Inputs!$D$1)</f>
        <v>0</v>
      </c>
      <c r="U127" s="57">
        <f>IF(ISNA(SUMIFS(INDEX(Inputs!$B$2:$AZ$190,,MATCH(SUBSTITUTE(U$3,"Q","T"),Inputs!$B$2:$AZ$2,0)),Inputs!$B$2:$B$190,$B127)*Inputs!$D$1),"",SUMIFS(INDEX(Inputs!$B$2:$AZ$190,,MATCH(SUBSTITUTE(U$3,"Q","T"),Inputs!$B$2:$AZ$2,0)),Inputs!$B$2:$B$190,$B127)*Inputs!$D$1)</f>
        <v>0</v>
      </c>
      <c r="V127" s="57">
        <f>IF(ISNA(SUMIFS(INDEX(Inputs!$B$2:$AZ$190,,MATCH(SUBSTITUTE(V$3,"Q","T"),Inputs!$B$2:$AZ$2,0)),Inputs!$B$2:$B$190,$B127)*Inputs!$D$1),"",SUMIFS(INDEX(Inputs!$B$2:$AZ$190,,MATCH(SUBSTITUTE(V$3,"Q","T"),Inputs!$B$2:$AZ$2,0)),Inputs!$B$2:$B$190,$B127)*Inputs!$D$1)</f>
        <v>0</v>
      </c>
      <c r="W127" s="57">
        <f>IF(ISNA(SUMIFS(INDEX(Inputs!$B$2:$AZ$190,,MATCH(SUBSTITUTE(W$3,"Q","T"),Inputs!$B$2:$AZ$2,0)),Inputs!$B$2:$B$190,$B127)*Inputs!$D$1),"",SUMIFS(INDEX(Inputs!$B$2:$AZ$190,,MATCH(SUBSTITUTE(W$3,"Q","T"),Inputs!$B$2:$AZ$2,0)),Inputs!$B$2:$B$190,$B127)*Inputs!$D$1)</f>
        <v>0</v>
      </c>
      <c r="X127" s="58">
        <f>W127</f>
        <v>0</v>
      </c>
      <c r="Y127" s="57">
        <f>IF(ISNA(SUMIFS(INDEX(Inputs!$B$2:$AZ$190,,MATCH(SUBSTITUTE(Y$3,"Q","T"),Inputs!$B$2:$AZ$2,0)),Inputs!$B$2:$B$190,$B127)*Inputs!$D$1),"",SUMIFS(INDEX(Inputs!$B$2:$AZ$190,,MATCH(SUBSTITUTE(Y$3,"Q","T"),Inputs!$B$2:$AZ$2,0)),Inputs!$B$2:$B$190,$B127)*Inputs!$D$1)</f>
        <v>0</v>
      </c>
      <c r="Z127" s="57">
        <f>IF(ISNA(SUMIFS(INDEX(Inputs!$B$2:$AZ$190,,MATCH(SUBSTITUTE(Z$3,"Q","T"),Inputs!$B$2:$AZ$2,0)),Inputs!$B$2:$B$190,$B127)*Inputs!$D$1),"",SUMIFS(INDEX(Inputs!$B$2:$AZ$190,,MATCH(SUBSTITUTE(Z$3,"Q","T"),Inputs!$B$2:$AZ$2,0)),Inputs!$B$2:$B$190,$B127)*Inputs!$D$1)</f>
        <v>0</v>
      </c>
      <c r="AA127" s="57">
        <f>IF(ISNA(SUMIFS(INDEX(Inputs!$B$2:$AZ$190,,MATCH(SUBSTITUTE(AA$3,"Q","T"),Inputs!$B$2:$AZ$2,0)),Inputs!$B$2:$B$190,$B127)*Inputs!$D$1),"",SUMIFS(INDEX(Inputs!$B$2:$AZ$190,,MATCH(SUBSTITUTE(AA$3,"Q","T"),Inputs!$B$2:$AZ$2,0)),Inputs!$B$2:$B$190,$B127)*Inputs!$D$1)</f>
        <v>0</v>
      </c>
      <c r="AB127" s="57">
        <f>IF(ISNA(SUMIFS(INDEX(Inputs!$B$2:$AZ$190,,MATCH(SUBSTITUTE(AB$3,"Q","T"),Inputs!$B$2:$AZ$2,0)),Inputs!$B$2:$B$190,$B127)*Inputs!$D$1),"",SUMIFS(INDEX(Inputs!$B$2:$AZ$190,,MATCH(SUBSTITUTE(AB$3,"Q","T"),Inputs!$B$2:$AZ$2,0)),Inputs!$B$2:$B$190,$B127)*Inputs!$D$1)</f>
        <v>0</v>
      </c>
      <c r="AC127" s="58">
        <f>AB127</f>
        <v>0</v>
      </c>
      <c r="AD127" s="57">
        <f>IF(ISNA(SUMIFS(INDEX(Inputs!$B$2:$AZ$190,,MATCH(SUBSTITUTE(AD$3,"Q","T"),Inputs!$B$2:$AZ$2,0)),Inputs!$B$2:$B$190,$B127)*Inputs!$D$1),"",SUMIFS(INDEX(Inputs!$B$2:$AZ$190,,MATCH(SUBSTITUTE(AD$3,"Q","T"),Inputs!$B$2:$AZ$2,0)),Inputs!$B$2:$B$190,$B127)*Inputs!$D$1)</f>
        <v>0</v>
      </c>
      <c r="AE127" s="57">
        <f>IF(ISNA(SUMIFS(INDEX(Inputs!$B$2:$AZ$190,,MATCH(SUBSTITUTE(AE$3,"Q","T"),Inputs!$B$2:$AZ$2,0)),Inputs!$B$2:$B$190,$B127)*Inputs!$D$1),"",SUMIFS(INDEX(Inputs!$B$2:$AZ$190,,MATCH(SUBSTITUTE(AE$3,"Q","T"),Inputs!$B$2:$AZ$2,0)),Inputs!$B$2:$B$190,$B127)*Inputs!$D$1)</f>
        <v>0</v>
      </c>
      <c r="AF127" s="57">
        <f>IF(ISNA(SUMIFS(INDEX(Inputs!$B$2:$AZ$190,,MATCH(SUBSTITUTE(AF$3,"Q","T"),Inputs!$B$2:$AZ$2,0)),Inputs!$B$2:$B$190,$B127)*Inputs!$D$1),"",SUMIFS(INDEX(Inputs!$B$2:$AZ$190,,MATCH(SUBSTITUTE(AF$3,"Q","T"),Inputs!$B$2:$AZ$2,0)),Inputs!$B$2:$B$190,$B127)*Inputs!$D$1)</f>
        <v>0</v>
      </c>
      <c r="AG127" s="57">
        <f>IF(ISNA(SUMIFS(INDEX(Inputs!$B$2:$AZ$190,,MATCH(SUBSTITUTE(AG$3,"Q","T"),Inputs!$B$2:$AZ$2,0)),Inputs!$B$2:$B$190,$B127)*Inputs!$D$1),"",SUMIFS(INDEX(Inputs!$B$2:$AZ$190,,MATCH(SUBSTITUTE(AG$3,"Q","T"),Inputs!$B$2:$AZ$2,0)),Inputs!$B$2:$B$190,$B127)*Inputs!$D$1)</f>
        <v>0</v>
      </c>
      <c r="AH127" s="58">
        <f>AG127</f>
        <v>0</v>
      </c>
      <c r="AI127" s="57">
        <f>IF(ISNA(SUMIFS(INDEX(Inputs!$B$2:$AZ$190,,MATCH(SUBSTITUTE(AI$3,"Q","T"),Inputs!$B$2:$AZ$2,0)),Inputs!$B$2:$B$190,$B127)*Inputs!$D$1),"",SUMIFS(INDEX(Inputs!$B$2:$AZ$190,,MATCH(SUBSTITUTE(AI$3,"Q","T"),Inputs!$B$2:$AZ$2,0)),Inputs!$B$2:$B$190,$B127)*Inputs!$D$1)</f>
        <v>0</v>
      </c>
      <c r="AJ127" s="57">
        <f>IF(ISNA(SUMIFS(INDEX(Inputs!$B$2:$AZ$190,,MATCH(SUBSTITUTE(AJ$3,"Q","T"),Inputs!$B$2:$AZ$2,0)),Inputs!$B$2:$B$190,$B127)*Inputs!$D$1),"",SUMIFS(INDEX(Inputs!$B$2:$AZ$190,,MATCH(SUBSTITUTE(AJ$3,"Q","T"),Inputs!$B$2:$AZ$2,0)),Inputs!$B$2:$B$190,$B127)*Inputs!$D$1)</f>
        <v>0</v>
      </c>
      <c r="AK127" s="57">
        <f>IF(ISNA(SUMIFS(INDEX(Inputs!$B$2:$AZ$190,,MATCH(SUBSTITUTE(AK$3,"Q","T"),Inputs!$B$2:$AZ$2,0)),Inputs!$B$2:$B$190,$B127)*Inputs!$D$1),"",SUMIFS(INDEX(Inputs!$B$2:$AZ$190,,MATCH(SUBSTITUTE(AK$3,"Q","T"),Inputs!$B$2:$AZ$2,0)),Inputs!$B$2:$B$190,$B127)*Inputs!$D$1)</f>
        <v>0</v>
      </c>
      <c r="AL127" s="57">
        <f>IF(ISNA(SUMIFS(INDEX(Inputs!$B$2:$AZ$190,,MATCH(SUBSTITUTE(AL$3,"Q","T"),Inputs!$B$2:$AZ$2,0)),Inputs!$B$2:$B$190,$B127)*Inputs!$D$1),"",SUMIFS(INDEX(Inputs!$B$2:$AZ$190,,MATCH(SUBSTITUTE(AL$3,"Q","T"),Inputs!$B$2:$AZ$2,0)),Inputs!$B$2:$B$190,$B127)*Inputs!$D$1)</f>
        <v>0</v>
      </c>
      <c r="AM127" s="58">
        <f>AL127</f>
        <v>0</v>
      </c>
      <c r="AN127" s="57">
        <f>IF(ISNA(SUMIFS(INDEX(Inputs!$B$2:$AZ$190,,MATCH(SUBSTITUTE(AN$3,"Q","T"),Inputs!$B$2:$AZ$2,0)),Inputs!$B$2:$B$190,$B127)*Inputs!$D$1),"",SUMIFS(INDEX(Inputs!$B$2:$AZ$190,,MATCH(SUBSTITUTE(AN$3,"Q","T"),Inputs!$B$2:$AZ$2,0)),Inputs!$B$2:$B$190,$B127)*Inputs!$D$1)</f>
        <v>0</v>
      </c>
      <c r="AO127" s="57">
        <f>IF(ISNA(SUMIFS(INDEX(Inputs!$B$2:$AZ$190,,MATCH(SUBSTITUTE(AO$3,"Q","T"),Inputs!$B$2:$AZ$2,0)),Inputs!$B$2:$B$190,$B127)*Inputs!$D$1),"",SUMIFS(INDEX(Inputs!$B$2:$AZ$190,,MATCH(SUBSTITUTE(AO$3,"Q","T"),Inputs!$B$2:$AZ$2,0)),Inputs!$B$2:$B$190,$B127)*Inputs!$D$1)</f>
        <v>0</v>
      </c>
      <c r="AP127" s="57">
        <f>IF(ISNA(SUMIFS(INDEX(Inputs!$B$2:$AZ$190,,MATCH(SUBSTITUTE(AP$3,"Q","T"),Inputs!$B$2:$AZ$2,0)),Inputs!$B$2:$B$190,$B127)*Inputs!$D$1),"",SUMIFS(INDEX(Inputs!$B$2:$AZ$190,,MATCH(SUBSTITUTE(AP$3,"Q","T"),Inputs!$B$2:$AZ$2,0)),Inputs!$B$2:$B$190,$B127)*Inputs!$D$1)</f>
        <v>0</v>
      </c>
      <c r="AQ127" s="57">
        <f>IF(ISNA(SUMIFS(INDEX(Inputs!$B$2:$AZ$190,,MATCH(SUBSTITUTE(AQ$3,"Q","T"),Inputs!$B$2:$AZ$2,0)),Inputs!$B$2:$B$190,$B127)*Inputs!$D$1),"",SUMIFS(INDEX(Inputs!$B$2:$AZ$190,,MATCH(SUBSTITUTE(AQ$3,"Q","T"),Inputs!$B$2:$AZ$2,0)),Inputs!$B$2:$B$190,$B127)*Inputs!$D$1)</f>
        <v>0</v>
      </c>
      <c r="AR127" s="58">
        <f>AQ127</f>
        <v>0</v>
      </c>
      <c r="AS127" s="57">
        <f>IF(ISNA(SUMIFS(INDEX(Inputs!$B$2:$AZ$190,,MATCH(SUBSTITUTE(AS$3,"Q","T"),Inputs!$B$2:$AZ$2,0)),Inputs!$B$2:$B$190,$B127)*Inputs!$D$1),"",SUMIFS(INDEX(Inputs!$B$2:$AZ$190,,MATCH(SUBSTITUTE(AS$3,"Q","T"),Inputs!$B$2:$AZ$2,0)),Inputs!$B$2:$B$190,$B127)*Inputs!$D$1)</f>
        <v>0</v>
      </c>
      <c r="AT127" s="57">
        <f>IF(ISNA(SUMIFS(INDEX(Inputs!$B$2:$AZ$190,,MATCH(SUBSTITUTE(AT$3,"Q","T"),Inputs!$B$2:$AZ$2,0)),Inputs!$B$2:$B$190,$B127)*Inputs!$D$1),"",SUMIFS(INDEX(Inputs!$B$2:$AZ$190,,MATCH(SUBSTITUTE(AT$3,"Q","T"),Inputs!$B$2:$AZ$2,0)),Inputs!$B$2:$B$190,$B127)*Inputs!$D$1)</f>
        <v>0</v>
      </c>
      <c r="AU127" s="57">
        <f>IF(ISNA(SUMIFS(INDEX(Inputs!$B$2:$AZ$190,,MATCH(SUBSTITUTE(AU$3,"Q","T"),Inputs!$B$2:$AZ$2,0)),Inputs!$B$2:$B$190,$B127)*Inputs!$D$1),"",SUMIFS(INDEX(Inputs!$B$2:$AZ$190,,MATCH(SUBSTITUTE(AU$3,"Q","T"),Inputs!$B$2:$AZ$2,0)),Inputs!$B$2:$B$190,$B127)*Inputs!$D$1)</f>
        <v>0</v>
      </c>
      <c r="AV127" s="57">
        <f>IF(ISNA(SUMIFS(INDEX(Inputs!$B$2:$AZ$190,,MATCH(SUBSTITUTE(AV$3,"Q","T"),Inputs!$B$2:$AZ$2,0)),Inputs!$B$2:$B$190,$B127)*Inputs!$D$1),"",SUMIFS(INDEX(Inputs!$B$2:$AZ$190,,MATCH(SUBSTITUTE(AV$3,"Q","T"),Inputs!$B$2:$AZ$2,0)),Inputs!$B$2:$B$190,$B127)*Inputs!$D$1)</f>
        <v>0</v>
      </c>
      <c r="AW127" s="58">
        <f>AV127</f>
        <v>0</v>
      </c>
      <c r="AX127" s="57">
        <f>IF(ISNA(SUMIFS(INDEX(Inputs!$B$2:$AZ$190,,MATCH(SUBSTITUTE(AX$3,"Q","T"),Inputs!$B$2:$AZ$2,0)),Inputs!$B$2:$B$190,$B127)*Inputs!$D$1),"",SUMIFS(INDEX(Inputs!$B$2:$AZ$190,,MATCH(SUBSTITUTE(AX$3,"Q","T"),Inputs!$B$2:$AZ$2,0)),Inputs!$B$2:$B$190,$B127)*Inputs!$D$1)</f>
        <v>0</v>
      </c>
      <c r="AY127" s="57">
        <f>IF(ISNA(SUMIFS(INDEX(Inputs!$B$2:$AZ$190,,MATCH(SUBSTITUTE(AY$3,"Q","T"),Inputs!$B$2:$AZ$2,0)),Inputs!$B$2:$B$190,$B127)*Inputs!$D$1),"",SUMIFS(INDEX(Inputs!$B$2:$AZ$190,,MATCH(SUBSTITUTE(AY$3,"Q","T"),Inputs!$B$2:$AZ$2,0)),Inputs!$B$2:$B$190,$B127)*Inputs!$D$1)</f>
        <v>0</v>
      </c>
      <c r="AZ127" s="57">
        <f>IF(ISNA(SUMIFS(INDEX(Inputs!$B$2:$AZ$190,,MATCH(SUBSTITUTE(AZ$3,"Q","T"),Inputs!$B$2:$AZ$2,0)),Inputs!$B$2:$B$190,$B127)*Inputs!$D$1),"",SUMIFS(INDEX(Inputs!$B$2:$AZ$190,,MATCH(SUBSTITUTE(AZ$3,"Q","T"),Inputs!$B$2:$AZ$2,0)),Inputs!$B$2:$B$190,$B127)*Inputs!$D$1)</f>
        <v>0</v>
      </c>
      <c r="BA127" s="57">
        <f>IF(ISNA(SUMIFS(INDEX(Inputs!$B$2:$AZ$190,,MATCH(SUBSTITUTE(BA$3,"Q","T"),Inputs!$B$2:$AZ$2,0)),Inputs!$B$2:$B$190,$B127)*Inputs!$D$1),"",SUMIFS(INDEX(Inputs!$B$2:$AZ$190,,MATCH(SUBSTITUTE(BA$3,"Q","T"),Inputs!$B$2:$AZ$2,0)),Inputs!$B$2:$B$190,$B127)*Inputs!$D$1)</f>
        <v>0</v>
      </c>
      <c r="BB127" s="58">
        <f>BA127</f>
        <v>0</v>
      </c>
      <c r="BC127" s="57">
        <f>IF(ISNA(SUMIFS(INDEX(Inputs!$B$2:$AZ$190,,MATCH(SUBSTITUTE(BC$3,"Q","T"),Inputs!$B$2:$AZ$2,0)),Inputs!$B$2:$B$190,$B127)*Inputs!$D$1),"",SUMIFS(INDEX(Inputs!$B$2:$AZ$190,,MATCH(SUBSTITUTE(BC$3,"Q","T"),Inputs!$B$2:$AZ$2,0)),Inputs!$B$2:$B$190,$B127)*Inputs!$D$1)</f>
        <v>0</v>
      </c>
      <c r="BD127" s="57">
        <f>IF(ISNA(SUMIFS(INDEX(Inputs!$B$2:$AZ$190,,MATCH(SUBSTITUTE(BD$3,"Q","T"),Inputs!$B$2:$AZ$2,0)),Inputs!$B$2:$B$190,$B127)*Inputs!$D$1),"",SUMIFS(INDEX(Inputs!$B$2:$AZ$190,,MATCH(SUBSTITUTE(BD$3,"Q","T"),Inputs!$B$2:$AZ$2,0)),Inputs!$B$2:$B$190,$B127)*Inputs!$D$1)</f>
        <v>0</v>
      </c>
      <c r="BE127" s="57">
        <f>IF(ISNA(SUMIFS(INDEX(Inputs!$B$2:$AZ$190,,MATCH(SUBSTITUTE(BE$3,"Q","T"),Inputs!$B$2:$AZ$2,0)),Inputs!$B$2:$B$190,$B127)*Inputs!$D$1),"",SUMIFS(INDEX(Inputs!$B$2:$AZ$190,,MATCH(SUBSTITUTE(BE$3,"Q","T"),Inputs!$B$2:$AZ$2,0)),Inputs!$B$2:$B$190,$B127)*Inputs!$D$1)</f>
        <v>0</v>
      </c>
      <c r="BF127" s="57">
        <f>IF(ISNA(SUMIFS(INDEX(Inputs!$B$2:$AZ$190,,MATCH(SUBSTITUTE(BF$3,"Q","T"),Inputs!$B$2:$AZ$2,0)),Inputs!$B$2:$B$190,$B127)*Inputs!$D$1),"",SUMIFS(INDEX(Inputs!$B$2:$AZ$190,,MATCH(SUBSTITUTE(BF$3,"Q","T"),Inputs!$B$2:$AZ$2,0)),Inputs!$B$2:$B$190,$B127)*Inputs!$D$1)</f>
        <v>0</v>
      </c>
      <c r="BG127" s="58">
        <f>BF127</f>
        <v>0</v>
      </c>
    </row>
    <row r="129">
      <c r="B129" s="29" t="n"/>
      <c r="C129" s="29" t="inlineStr">
        <is>
          <t>Margem financeira e base de ativos</t>
        </is>
      </c>
      <c r="D129" s="29" t="inlineStr">
        <is>
          <t>NII and earning assets</t>
        </is>
      </c>
      <c r="E129" s="29" t="n"/>
      <c r="F129" s="29" t="n"/>
      <c r="G129" s="29" t="n"/>
      <c r="H129" s="29" t="n"/>
      <c r="I129" s="29" t="n"/>
      <c r="J129" s="29" t="n"/>
      <c r="K129" s="29" t="n"/>
      <c r="L129" s="29" t="n"/>
      <c r="M129" s="29" t="n"/>
      <c r="N129" s="29" t="n"/>
      <c r="O129" s="29" t="n"/>
      <c r="P129" s="29" t="n"/>
      <c r="Q129" s="29" t="n"/>
      <c r="R129" s="29" t="n"/>
      <c r="S129" s="29" t="n"/>
      <c r="T129" s="29" t="n"/>
      <c r="U129" s="29" t="n"/>
      <c r="V129" s="29" t="n"/>
      <c r="W129" s="29" t="n"/>
      <c r="X129" s="29" t="n"/>
      <c r="Y129" s="29" t="n"/>
      <c r="Z129" s="29" t="n"/>
      <c r="AA129" s="29" t="n"/>
      <c r="AB129" s="29" t="n"/>
      <c r="AC129" s="29" t="n"/>
      <c r="AD129" s="29" t="n"/>
      <c r="AE129" s="29" t="n"/>
      <c r="AF129" s="29" t="n"/>
      <c r="AG129" s="29" t="n"/>
      <c r="AH129" s="29" t="n"/>
      <c r="AI129" s="29" t="n"/>
      <c r="AJ129" s="29" t="n"/>
      <c r="AK129" s="29" t="n"/>
      <c r="AL129" s="29" t="n"/>
      <c r="AM129" s="29" t="n"/>
      <c r="AN129" s="29" t="n"/>
      <c r="AO129" s="29" t="n"/>
      <c r="AP129" s="29" t="n"/>
      <c r="AQ129" s="29" t="n"/>
      <c r="AR129" s="29" t="n"/>
      <c r="AS129" s="29" t="n"/>
      <c r="AT129" s="29" t="n"/>
      <c r="AU129" s="29" t="n"/>
      <c r="AV129" s="29" t="n"/>
      <c r="AW129" s="29" t="n"/>
      <c r="AX129" s="29" t="n"/>
      <c r="AY129" s="29" t="n"/>
      <c r="AZ129" s="29" t="n"/>
      <c r="BA129" s="29" t="n"/>
      <c r="BB129" s="29" t="n"/>
      <c r="BC129" s="29" t="n"/>
      <c r="BD129" s="29" t="n"/>
      <c r="BE129" s="29" t="n"/>
      <c r="BF129" s="29" t="n"/>
      <c r="BG129" s="29" t="n"/>
      <c r="BH129" s="29" t="n"/>
      <c r="BI129" s="29" t="n"/>
    </row>
    <row r="130">
      <c r="B130" s="56" t="inlineStr">
        <is>
          <t>nii_exmkts</t>
        </is>
      </c>
      <c r="C130" s="11" t="inlineStr">
        <is>
          <t>NII ex-Markets (reportado)</t>
        </is>
      </c>
      <c r="D130" s="12" t="inlineStr">
        <is>
          <t>NII excluding Markets (reported)</t>
        </is>
      </c>
      <c r="E130" s="57">
        <f>IF(ISNA(SUMIFS(INDEX(Inputs!$B$2:$AZ$190,,MATCH(SUBSTITUTE(E$3,"Q","T"),Inputs!$B$2:$AZ$2,0)),Inputs!$B$2:$B$190,$B130)*Inputs!$D$1),"",SUMIFS(INDEX(Inputs!$B$2:$AZ$190,,MATCH(SUBSTITUTE(E$3,"Q","T"),Inputs!$B$2:$AZ$2,0)),Inputs!$B$2:$B$190,$B130)*Inputs!$D$1)</f>
        <v>0</v>
      </c>
      <c r="F130" s="57">
        <f>IF(ISNA(SUMIFS(INDEX(Inputs!$B$2:$AZ$190,,MATCH(SUBSTITUTE(F$3,"Q","T"),Inputs!$B$2:$AZ$2,0)),Inputs!$B$2:$B$190,$B130)*Inputs!$D$1),"",SUMIFS(INDEX(Inputs!$B$2:$AZ$190,,MATCH(SUBSTITUTE(F$3,"Q","T"),Inputs!$B$2:$AZ$2,0)),Inputs!$B$2:$B$190,$B130)*Inputs!$D$1)</f>
        <v>0</v>
      </c>
      <c r="G130" s="57">
        <f>IF(ISNA(SUMIFS(INDEX(Inputs!$B$2:$AZ$190,,MATCH(SUBSTITUTE(G$3,"Q","T"),Inputs!$B$2:$AZ$2,0)),Inputs!$B$2:$B$190,$B130)*Inputs!$D$1),"",SUMIFS(INDEX(Inputs!$B$2:$AZ$190,,MATCH(SUBSTITUTE(G$3,"Q","T"),Inputs!$B$2:$AZ$2,0)),Inputs!$B$2:$B$190,$B130)*Inputs!$D$1)</f>
        <v>0</v>
      </c>
      <c r="H130" s="57">
        <f>IF(ISNA(SUMIFS(INDEX(Inputs!$B$2:$AZ$190,,MATCH(SUBSTITUTE(H$3,"Q","T"),Inputs!$B$2:$AZ$2,0)),Inputs!$B$2:$B$190,$B130)*Inputs!$D$1),"",SUMIFS(INDEX(Inputs!$B$2:$AZ$190,,MATCH(SUBSTITUTE(H$3,"Q","T"),Inputs!$B$2:$AZ$2,0)),Inputs!$B$2:$B$190,$B130)*Inputs!$D$1)</f>
        <v>0</v>
      </c>
      <c r="I130" s="58">
        <f>SUM(E130:H130)</f>
        <v>0</v>
      </c>
      <c r="J130" s="57">
        <f>IF(ISNA(SUMIFS(INDEX(Inputs!$B$2:$AZ$190,,MATCH(SUBSTITUTE(J$3,"Q","T"),Inputs!$B$2:$AZ$2,0)),Inputs!$B$2:$B$190,$B130)*Inputs!$D$1),"",SUMIFS(INDEX(Inputs!$B$2:$AZ$190,,MATCH(SUBSTITUTE(J$3,"Q","T"),Inputs!$B$2:$AZ$2,0)),Inputs!$B$2:$B$190,$B130)*Inputs!$D$1)</f>
        <v>0</v>
      </c>
      <c r="K130" s="57">
        <f>IF(ISNA(SUMIFS(INDEX(Inputs!$B$2:$AZ$190,,MATCH(SUBSTITUTE(K$3,"Q","T"),Inputs!$B$2:$AZ$2,0)),Inputs!$B$2:$B$190,$B130)*Inputs!$D$1),"",SUMIFS(INDEX(Inputs!$B$2:$AZ$190,,MATCH(SUBSTITUTE(K$3,"Q","T"),Inputs!$B$2:$AZ$2,0)),Inputs!$B$2:$B$190,$B130)*Inputs!$D$1)</f>
        <v>0</v>
      </c>
      <c r="L130" s="57">
        <f>IF(ISNA(SUMIFS(INDEX(Inputs!$B$2:$AZ$190,,MATCH(SUBSTITUTE(L$3,"Q","T"),Inputs!$B$2:$AZ$2,0)),Inputs!$B$2:$B$190,$B130)*Inputs!$D$1),"",SUMIFS(INDEX(Inputs!$B$2:$AZ$190,,MATCH(SUBSTITUTE(L$3,"Q","T"),Inputs!$B$2:$AZ$2,0)),Inputs!$B$2:$B$190,$B130)*Inputs!$D$1)</f>
        <v>0</v>
      </c>
      <c r="M130" s="57">
        <f>IF(ISNA(SUMIFS(INDEX(Inputs!$B$2:$AZ$190,,MATCH(SUBSTITUTE(M$3,"Q","T"),Inputs!$B$2:$AZ$2,0)),Inputs!$B$2:$B$190,$B130)*Inputs!$D$1),"",SUMIFS(INDEX(Inputs!$B$2:$AZ$190,,MATCH(SUBSTITUTE(M$3,"Q","T"),Inputs!$B$2:$AZ$2,0)),Inputs!$B$2:$B$190,$B130)*Inputs!$D$1)</f>
        <v>0</v>
      </c>
      <c r="N130" s="58">
        <f>SUM(J130:M130)</f>
        <v>0</v>
      </c>
      <c r="O130" s="57">
        <f>IF(ISNA(SUMIFS(INDEX(Inputs!$B$2:$AZ$190,,MATCH(SUBSTITUTE(O$3,"Q","T"),Inputs!$B$2:$AZ$2,0)),Inputs!$B$2:$B$190,$B130)*Inputs!$D$1),"",SUMIFS(INDEX(Inputs!$B$2:$AZ$190,,MATCH(SUBSTITUTE(O$3,"Q","T"),Inputs!$B$2:$AZ$2,0)),Inputs!$B$2:$B$190,$B130)*Inputs!$D$1)</f>
        <v>0</v>
      </c>
      <c r="P130" s="57">
        <f>IF(ISNA(SUMIFS(INDEX(Inputs!$B$2:$AZ$190,,MATCH(SUBSTITUTE(P$3,"Q","T"),Inputs!$B$2:$AZ$2,0)),Inputs!$B$2:$B$190,$B130)*Inputs!$D$1),"",SUMIFS(INDEX(Inputs!$B$2:$AZ$190,,MATCH(SUBSTITUTE(P$3,"Q","T"),Inputs!$B$2:$AZ$2,0)),Inputs!$B$2:$B$190,$B130)*Inputs!$D$1)</f>
        <v>0</v>
      </c>
      <c r="Q130" s="57">
        <f>IF(ISNA(SUMIFS(INDEX(Inputs!$B$2:$AZ$190,,MATCH(SUBSTITUTE(Q$3,"Q","T"),Inputs!$B$2:$AZ$2,0)),Inputs!$B$2:$B$190,$B130)*Inputs!$D$1),"",SUMIFS(INDEX(Inputs!$B$2:$AZ$190,,MATCH(SUBSTITUTE(Q$3,"Q","T"),Inputs!$B$2:$AZ$2,0)),Inputs!$B$2:$B$190,$B130)*Inputs!$D$1)</f>
        <v>0</v>
      </c>
      <c r="R130" s="57">
        <f>IF(ISNA(SUMIFS(INDEX(Inputs!$B$2:$AZ$190,,MATCH(SUBSTITUTE(R$3,"Q","T"),Inputs!$B$2:$AZ$2,0)),Inputs!$B$2:$B$190,$B130)*Inputs!$D$1),"",SUMIFS(INDEX(Inputs!$B$2:$AZ$190,,MATCH(SUBSTITUTE(R$3,"Q","T"),Inputs!$B$2:$AZ$2,0)),Inputs!$B$2:$B$190,$B130)*Inputs!$D$1)</f>
        <v>0</v>
      </c>
      <c r="S130" s="58">
        <f>SUM(O130:R130)</f>
        <v>0</v>
      </c>
      <c r="T130" s="57">
        <f>IF(ISNA(SUMIFS(INDEX(Inputs!$B$2:$AZ$190,,MATCH(SUBSTITUTE(T$3,"Q","T"),Inputs!$B$2:$AZ$2,0)),Inputs!$B$2:$B$190,$B130)*Inputs!$D$1),"",SUMIFS(INDEX(Inputs!$B$2:$AZ$190,,MATCH(SUBSTITUTE(T$3,"Q","T"),Inputs!$B$2:$AZ$2,0)),Inputs!$B$2:$B$190,$B130)*Inputs!$D$1)</f>
        <v>0</v>
      </c>
      <c r="U130" s="57">
        <f>IF(ISNA(SUMIFS(INDEX(Inputs!$B$2:$AZ$190,,MATCH(SUBSTITUTE(U$3,"Q","T"),Inputs!$B$2:$AZ$2,0)),Inputs!$B$2:$B$190,$B130)*Inputs!$D$1),"",SUMIFS(INDEX(Inputs!$B$2:$AZ$190,,MATCH(SUBSTITUTE(U$3,"Q","T"),Inputs!$B$2:$AZ$2,0)),Inputs!$B$2:$B$190,$B130)*Inputs!$D$1)</f>
        <v>0</v>
      </c>
      <c r="V130" s="57">
        <f>IF(ISNA(SUMIFS(INDEX(Inputs!$B$2:$AZ$190,,MATCH(SUBSTITUTE(V$3,"Q","T"),Inputs!$B$2:$AZ$2,0)),Inputs!$B$2:$B$190,$B130)*Inputs!$D$1),"",SUMIFS(INDEX(Inputs!$B$2:$AZ$190,,MATCH(SUBSTITUTE(V$3,"Q","T"),Inputs!$B$2:$AZ$2,0)),Inputs!$B$2:$B$190,$B130)*Inputs!$D$1)</f>
        <v>0</v>
      </c>
      <c r="W130" s="57">
        <f>IF(ISNA(SUMIFS(INDEX(Inputs!$B$2:$AZ$190,,MATCH(SUBSTITUTE(W$3,"Q","T"),Inputs!$B$2:$AZ$2,0)),Inputs!$B$2:$B$190,$B130)*Inputs!$D$1),"",SUMIFS(INDEX(Inputs!$B$2:$AZ$190,,MATCH(SUBSTITUTE(W$3,"Q","T"),Inputs!$B$2:$AZ$2,0)),Inputs!$B$2:$B$190,$B130)*Inputs!$D$1)</f>
        <v>0</v>
      </c>
      <c r="X130" s="58">
        <f>SUM(T130:W130)</f>
        <v>0</v>
      </c>
      <c r="Y130" s="57">
        <f>IF(ISNA(SUMIFS(INDEX(Inputs!$B$2:$AZ$190,,MATCH(SUBSTITUTE(Y$3,"Q","T"),Inputs!$B$2:$AZ$2,0)),Inputs!$B$2:$B$190,$B130)*Inputs!$D$1),"",SUMIFS(INDEX(Inputs!$B$2:$AZ$190,,MATCH(SUBSTITUTE(Y$3,"Q","T"),Inputs!$B$2:$AZ$2,0)),Inputs!$B$2:$B$190,$B130)*Inputs!$D$1)</f>
        <v>0</v>
      </c>
      <c r="Z130" s="57">
        <f>IF(ISNA(SUMIFS(INDEX(Inputs!$B$2:$AZ$190,,MATCH(SUBSTITUTE(Z$3,"Q","T"),Inputs!$B$2:$AZ$2,0)),Inputs!$B$2:$B$190,$B130)*Inputs!$D$1),"",SUMIFS(INDEX(Inputs!$B$2:$AZ$190,,MATCH(SUBSTITUTE(Z$3,"Q","T"),Inputs!$B$2:$AZ$2,0)),Inputs!$B$2:$B$190,$B130)*Inputs!$D$1)</f>
        <v>0</v>
      </c>
      <c r="AA130" s="57">
        <f>IF(ISNA(SUMIFS(INDEX(Inputs!$B$2:$AZ$190,,MATCH(SUBSTITUTE(AA$3,"Q","T"),Inputs!$B$2:$AZ$2,0)),Inputs!$B$2:$B$190,$B130)*Inputs!$D$1),"",SUMIFS(INDEX(Inputs!$B$2:$AZ$190,,MATCH(SUBSTITUTE(AA$3,"Q","T"),Inputs!$B$2:$AZ$2,0)),Inputs!$B$2:$B$190,$B130)*Inputs!$D$1)</f>
        <v>0</v>
      </c>
      <c r="AB130" s="57">
        <f>IF(ISNA(SUMIFS(INDEX(Inputs!$B$2:$AZ$190,,MATCH(SUBSTITUTE(AB$3,"Q","T"),Inputs!$B$2:$AZ$2,0)),Inputs!$B$2:$B$190,$B130)*Inputs!$D$1),"",SUMIFS(INDEX(Inputs!$B$2:$AZ$190,,MATCH(SUBSTITUTE(AB$3,"Q","T"),Inputs!$B$2:$AZ$2,0)),Inputs!$B$2:$B$190,$B130)*Inputs!$D$1)</f>
        <v>0</v>
      </c>
      <c r="AC130" s="58">
        <f>SUM(Y130:AB130)</f>
        <v>0</v>
      </c>
      <c r="AD130" s="57">
        <f>IF(ISNA(SUMIFS(INDEX(Inputs!$B$2:$AZ$190,,MATCH(SUBSTITUTE(AD$3,"Q","T"),Inputs!$B$2:$AZ$2,0)),Inputs!$B$2:$B$190,$B130)*Inputs!$D$1),"",SUMIFS(INDEX(Inputs!$B$2:$AZ$190,,MATCH(SUBSTITUTE(AD$3,"Q","T"),Inputs!$B$2:$AZ$2,0)),Inputs!$B$2:$B$190,$B130)*Inputs!$D$1)</f>
        <v>0</v>
      </c>
      <c r="AE130" s="57">
        <f>IF(ISNA(SUMIFS(INDEX(Inputs!$B$2:$AZ$190,,MATCH(SUBSTITUTE(AE$3,"Q","T"),Inputs!$B$2:$AZ$2,0)),Inputs!$B$2:$B$190,$B130)*Inputs!$D$1),"",SUMIFS(INDEX(Inputs!$B$2:$AZ$190,,MATCH(SUBSTITUTE(AE$3,"Q","T"),Inputs!$B$2:$AZ$2,0)),Inputs!$B$2:$B$190,$B130)*Inputs!$D$1)</f>
        <v>0</v>
      </c>
      <c r="AF130" s="57">
        <f>IF(ISNA(SUMIFS(INDEX(Inputs!$B$2:$AZ$190,,MATCH(SUBSTITUTE(AF$3,"Q","T"),Inputs!$B$2:$AZ$2,0)),Inputs!$B$2:$B$190,$B130)*Inputs!$D$1),"",SUMIFS(INDEX(Inputs!$B$2:$AZ$190,,MATCH(SUBSTITUTE(AF$3,"Q","T"),Inputs!$B$2:$AZ$2,0)),Inputs!$B$2:$B$190,$B130)*Inputs!$D$1)</f>
        <v>0</v>
      </c>
      <c r="AG130" s="57">
        <f>IF(ISNA(SUMIFS(INDEX(Inputs!$B$2:$AZ$190,,MATCH(SUBSTITUTE(AG$3,"Q","T"),Inputs!$B$2:$AZ$2,0)),Inputs!$B$2:$B$190,$B130)*Inputs!$D$1),"",SUMIFS(INDEX(Inputs!$B$2:$AZ$190,,MATCH(SUBSTITUTE(AG$3,"Q","T"),Inputs!$B$2:$AZ$2,0)),Inputs!$B$2:$B$190,$B130)*Inputs!$D$1)</f>
        <v>0</v>
      </c>
      <c r="AH130" s="58">
        <f>SUM(AD130:AG130)</f>
        <v>0</v>
      </c>
      <c r="AI130" s="57">
        <f>IF(ISNA(SUMIFS(INDEX(Inputs!$B$2:$AZ$190,,MATCH(SUBSTITUTE(AI$3,"Q","T"),Inputs!$B$2:$AZ$2,0)),Inputs!$B$2:$B$190,$B130)*Inputs!$D$1),"",SUMIFS(INDEX(Inputs!$B$2:$AZ$190,,MATCH(SUBSTITUTE(AI$3,"Q","T"),Inputs!$B$2:$AZ$2,0)),Inputs!$B$2:$B$190,$B130)*Inputs!$D$1)</f>
        <v>0</v>
      </c>
      <c r="AJ130" s="57">
        <f>IF(ISNA(SUMIFS(INDEX(Inputs!$B$2:$AZ$190,,MATCH(SUBSTITUTE(AJ$3,"Q","T"),Inputs!$B$2:$AZ$2,0)),Inputs!$B$2:$B$190,$B130)*Inputs!$D$1),"",SUMIFS(INDEX(Inputs!$B$2:$AZ$190,,MATCH(SUBSTITUTE(AJ$3,"Q","T"),Inputs!$B$2:$AZ$2,0)),Inputs!$B$2:$B$190,$B130)*Inputs!$D$1)</f>
        <v>0</v>
      </c>
      <c r="AK130" s="57">
        <f>IF(ISNA(SUMIFS(INDEX(Inputs!$B$2:$AZ$190,,MATCH(SUBSTITUTE(AK$3,"Q","T"),Inputs!$B$2:$AZ$2,0)),Inputs!$B$2:$B$190,$B130)*Inputs!$D$1),"",SUMIFS(INDEX(Inputs!$B$2:$AZ$190,,MATCH(SUBSTITUTE(AK$3,"Q","T"),Inputs!$B$2:$AZ$2,0)),Inputs!$B$2:$B$190,$B130)*Inputs!$D$1)</f>
        <v>0</v>
      </c>
      <c r="AL130" s="57">
        <f>IF(ISNA(SUMIFS(INDEX(Inputs!$B$2:$AZ$190,,MATCH(SUBSTITUTE(AL$3,"Q","T"),Inputs!$B$2:$AZ$2,0)),Inputs!$B$2:$B$190,$B130)*Inputs!$D$1),"",SUMIFS(INDEX(Inputs!$B$2:$AZ$190,,MATCH(SUBSTITUTE(AL$3,"Q","T"),Inputs!$B$2:$AZ$2,0)),Inputs!$B$2:$B$190,$B130)*Inputs!$D$1)</f>
        <v>0</v>
      </c>
      <c r="AM130" s="58">
        <f>SUM(AI130:AL130)</f>
        <v>0</v>
      </c>
      <c r="AN130" s="57">
        <f>IF(ISNA(SUMIFS(INDEX(Inputs!$B$2:$AZ$190,,MATCH(SUBSTITUTE(AN$3,"Q","T"),Inputs!$B$2:$AZ$2,0)),Inputs!$B$2:$B$190,$B130)*Inputs!$D$1),"",SUMIFS(INDEX(Inputs!$B$2:$AZ$190,,MATCH(SUBSTITUTE(AN$3,"Q","T"),Inputs!$B$2:$AZ$2,0)),Inputs!$B$2:$B$190,$B130)*Inputs!$D$1)</f>
        <v>0</v>
      </c>
      <c r="AO130" s="57">
        <f>IF(ISNA(SUMIFS(INDEX(Inputs!$B$2:$AZ$190,,MATCH(SUBSTITUTE(AO$3,"Q","T"),Inputs!$B$2:$AZ$2,0)),Inputs!$B$2:$B$190,$B130)*Inputs!$D$1),"",SUMIFS(INDEX(Inputs!$B$2:$AZ$190,,MATCH(SUBSTITUTE(AO$3,"Q","T"),Inputs!$B$2:$AZ$2,0)),Inputs!$B$2:$B$190,$B130)*Inputs!$D$1)</f>
        <v>0</v>
      </c>
      <c r="AP130" s="57">
        <f>IF(ISNA(SUMIFS(INDEX(Inputs!$B$2:$AZ$190,,MATCH(SUBSTITUTE(AP$3,"Q","T"),Inputs!$B$2:$AZ$2,0)),Inputs!$B$2:$B$190,$B130)*Inputs!$D$1),"",SUMIFS(INDEX(Inputs!$B$2:$AZ$190,,MATCH(SUBSTITUTE(AP$3,"Q","T"),Inputs!$B$2:$AZ$2,0)),Inputs!$B$2:$B$190,$B130)*Inputs!$D$1)</f>
        <v>0</v>
      </c>
      <c r="AQ130" s="57">
        <f>IF(ISNA(SUMIFS(INDEX(Inputs!$B$2:$AZ$190,,MATCH(SUBSTITUTE(AQ$3,"Q","T"),Inputs!$B$2:$AZ$2,0)),Inputs!$B$2:$B$190,$B130)*Inputs!$D$1),"",SUMIFS(INDEX(Inputs!$B$2:$AZ$190,,MATCH(SUBSTITUTE(AQ$3,"Q","T"),Inputs!$B$2:$AZ$2,0)),Inputs!$B$2:$B$190,$B130)*Inputs!$D$1)</f>
        <v>0</v>
      </c>
      <c r="AR130" s="58">
        <f>SUM(AN130:AQ130)</f>
        <v>0</v>
      </c>
      <c r="AS130" s="57">
        <f>IF(ISNA(SUMIFS(INDEX(Inputs!$B$2:$AZ$190,,MATCH(SUBSTITUTE(AS$3,"Q","T"),Inputs!$B$2:$AZ$2,0)),Inputs!$B$2:$B$190,$B130)*Inputs!$D$1),"",SUMIFS(INDEX(Inputs!$B$2:$AZ$190,,MATCH(SUBSTITUTE(AS$3,"Q","T"),Inputs!$B$2:$AZ$2,0)),Inputs!$B$2:$B$190,$B130)*Inputs!$D$1)</f>
        <v>0</v>
      </c>
      <c r="AT130" s="57">
        <f>IF(ISNA(SUMIFS(INDEX(Inputs!$B$2:$AZ$190,,MATCH(SUBSTITUTE(AT$3,"Q","T"),Inputs!$B$2:$AZ$2,0)),Inputs!$B$2:$B$190,$B130)*Inputs!$D$1),"",SUMIFS(INDEX(Inputs!$B$2:$AZ$190,,MATCH(SUBSTITUTE(AT$3,"Q","T"),Inputs!$B$2:$AZ$2,0)),Inputs!$B$2:$B$190,$B130)*Inputs!$D$1)</f>
        <v>0</v>
      </c>
      <c r="AU130" s="57">
        <f>IF(ISNA(SUMIFS(INDEX(Inputs!$B$2:$AZ$190,,MATCH(SUBSTITUTE(AU$3,"Q","T"),Inputs!$B$2:$AZ$2,0)),Inputs!$B$2:$B$190,$B130)*Inputs!$D$1),"",SUMIFS(INDEX(Inputs!$B$2:$AZ$190,,MATCH(SUBSTITUTE(AU$3,"Q","T"),Inputs!$B$2:$AZ$2,0)),Inputs!$B$2:$B$190,$B130)*Inputs!$D$1)</f>
        <v>0</v>
      </c>
      <c r="AV130" s="57">
        <f>IF(ISNA(SUMIFS(INDEX(Inputs!$B$2:$AZ$190,,MATCH(SUBSTITUTE(AV$3,"Q","T"),Inputs!$B$2:$AZ$2,0)),Inputs!$B$2:$B$190,$B130)*Inputs!$D$1),"",SUMIFS(INDEX(Inputs!$B$2:$AZ$190,,MATCH(SUBSTITUTE(AV$3,"Q","T"),Inputs!$B$2:$AZ$2,0)),Inputs!$B$2:$B$190,$B130)*Inputs!$D$1)</f>
        <v>0</v>
      </c>
      <c r="AW130" s="58">
        <f>SUM(AS130:AV130)</f>
        <v>0</v>
      </c>
      <c r="AX130" s="57">
        <f>IF(ISNA(SUMIFS(INDEX(Inputs!$B$2:$AZ$190,,MATCH(SUBSTITUTE(AX$3,"Q","T"),Inputs!$B$2:$AZ$2,0)),Inputs!$B$2:$B$190,$B130)*Inputs!$D$1),"",SUMIFS(INDEX(Inputs!$B$2:$AZ$190,,MATCH(SUBSTITUTE(AX$3,"Q","T"),Inputs!$B$2:$AZ$2,0)),Inputs!$B$2:$B$190,$B130)*Inputs!$D$1)</f>
        <v>0</v>
      </c>
      <c r="AY130" s="57">
        <f>IF(ISNA(SUMIFS(INDEX(Inputs!$B$2:$AZ$190,,MATCH(SUBSTITUTE(AY$3,"Q","T"),Inputs!$B$2:$AZ$2,0)),Inputs!$B$2:$B$190,$B130)*Inputs!$D$1),"",SUMIFS(INDEX(Inputs!$B$2:$AZ$190,,MATCH(SUBSTITUTE(AY$3,"Q","T"),Inputs!$B$2:$AZ$2,0)),Inputs!$B$2:$B$190,$B130)*Inputs!$D$1)</f>
        <v>0</v>
      </c>
      <c r="AZ130" s="57">
        <f>IF(ISNA(SUMIFS(INDEX(Inputs!$B$2:$AZ$190,,MATCH(SUBSTITUTE(AZ$3,"Q","T"),Inputs!$B$2:$AZ$2,0)),Inputs!$B$2:$B$190,$B130)*Inputs!$D$1),"",SUMIFS(INDEX(Inputs!$B$2:$AZ$190,,MATCH(SUBSTITUTE(AZ$3,"Q","T"),Inputs!$B$2:$AZ$2,0)),Inputs!$B$2:$B$190,$B130)*Inputs!$D$1)</f>
        <v>0</v>
      </c>
      <c r="BA130" s="57">
        <f>IF(ISNA(SUMIFS(INDEX(Inputs!$B$2:$AZ$190,,MATCH(SUBSTITUTE(BA$3,"Q","T"),Inputs!$B$2:$AZ$2,0)),Inputs!$B$2:$B$190,$B130)*Inputs!$D$1),"",SUMIFS(INDEX(Inputs!$B$2:$AZ$190,,MATCH(SUBSTITUTE(BA$3,"Q","T"),Inputs!$B$2:$AZ$2,0)),Inputs!$B$2:$B$190,$B130)*Inputs!$D$1)</f>
        <v>0</v>
      </c>
      <c r="BB130" s="58">
        <f>SUM(AX130:BA130)</f>
        <v>0</v>
      </c>
      <c r="BC130" s="57">
        <f>IF(ISNA(SUMIFS(INDEX(Inputs!$B$2:$AZ$190,,MATCH(SUBSTITUTE(BC$3,"Q","T"),Inputs!$B$2:$AZ$2,0)),Inputs!$B$2:$B$190,$B130)*Inputs!$D$1),"",SUMIFS(INDEX(Inputs!$B$2:$AZ$190,,MATCH(SUBSTITUTE(BC$3,"Q","T"),Inputs!$B$2:$AZ$2,0)),Inputs!$B$2:$B$190,$B130)*Inputs!$D$1)</f>
        <v>0</v>
      </c>
      <c r="BD130" s="57">
        <f>IF(ISNA(SUMIFS(INDEX(Inputs!$B$2:$AZ$190,,MATCH(SUBSTITUTE(BD$3,"Q","T"),Inputs!$B$2:$AZ$2,0)),Inputs!$B$2:$B$190,$B130)*Inputs!$D$1),"",SUMIFS(INDEX(Inputs!$B$2:$AZ$190,,MATCH(SUBSTITUTE(BD$3,"Q","T"),Inputs!$B$2:$AZ$2,0)),Inputs!$B$2:$B$190,$B130)*Inputs!$D$1)</f>
        <v>0</v>
      </c>
      <c r="BE130" s="57">
        <f>IF(ISNA(SUMIFS(INDEX(Inputs!$B$2:$AZ$190,,MATCH(SUBSTITUTE(BE$3,"Q","T"),Inputs!$B$2:$AZ$2,0)),Inputs!$B$2:$B$190,$B130)*Inputs!$D$1),"",SUMIFS(INDEX(Inputs!$B$2:$AZ$190,,MATCH(SUBSTITUTE(BE$3,"Q","T"),Inputs!$B$2:$AZ$2,0)),Inputs!$B$2:$B$190,$B130)*Inputs!$D$1)</f>
        <v>0</v>
      </c>
      <c r="BF130" s="57">
        <f>IF(ISNA(SUMIFS(INDEX(Inputs!$B$2:$AZ$190,,MATCH(SUBSTITUTE(BF$3,"Q","T"),Inputs!$B$2:$AZ$2,0)),Inputs!$B$2:$B$190,$B130)*Inputs!$D$1),"",SUMIFS(INDEX(Inputs!$B$2:$AZ$190,,MATCH(SUBSTITUTE(BF$3,"Q","T"),Inputs!$B$2:$AZ$2,0)),Inputs!$B$2:$B$190,$B130)*Inputs!$D$1)</f>
        <v>0</v>
      </c>
      <c r="BG130" s="58">
        <f>SUM(BC130:BF130)</f>
        <v>0</v>
      </c>
    </row>
    <row r="131">
      <c r="B131" s="56" t="inlineStr">
        <is>
          <t>nii_mkts</t>
        </is>
      </c>
      <c r="C131" s="11" t="inlineStr">
        <is>
          <t>NII de Markets (reportado)</t>
        </is>
      </c>
      <c r="D131" s="12" t="inlineStr">
        <is>
          <t>Markets NII (reported)</t>
        </is>
      </c>
      <c r="E131" s="57">
        <f>IF(ISNA(SUMIFS(INDEX(Inputs!$B$2:$AZ$190,,MATCH(SUBSTITUTE(E$3,"Q","T"),Inputs!$B$2:$AZ$2,0)),Inputs!$B$2:$B$190,$B131)*Inputs!$D$1),"",SUMIFS(INDEX(Inputs!$B$2:$AZ$190,,MATCH(SUBSTITUTE(E$3,"Q","T"),Inputs!$B$2:$AZ$2,0)),Inputs!$B$2:$B$190,$B131)*Inputs!$D$1)</f>
        <v>0</v>
      </c>
      <c r="F131" s="57">
        <f>IF(ISNA(SUMIFS(INDEX(Inputs!$B$2:$AZ$190,,MATCH(SUBSTITUTE(F$3,"Q","T"),Inputs!$B$2:$AZ$2,0)),Inputs!$B$2:$B$190,$B131)*Inputs!$D$1),"",SUMIFS(INDEX(Inputs!$B$2:$AZ$190,,MATCH(SUBSTITUTE(F$3,"Q","T"),Inputs!$B$2:$AZ$2,0)),Inputs!$B$2:$B$190,$B131)*Inputs!$D$1)</f>
        <v>0</v>
      </c>
      <c r="G131" s="57">
        <f>IF(ISNA(SUMIFS(INDEX(Inputs!$B$2:$AZ$190,,MATCH(SUBSTITUTE(G$3,"Q","T"),Inputs!$B$2:$AZ$2,0)),Inputs!$B$2:$B$190,$B131)*Inputs!$D$1),"",SUMIFS(INDEX(Inputs!$B$2:$AZ$190,,MATCH(SUBSTITUTE(G$3,"Q","T"),Inputs!$B$2:$AZ$2,0)),Inputs!$B$2:$B$190,$B131)*Inputs!$D$1)</f>
        <v>0</v>
      </c>
      <c r="H131" s="57">
        <f>IF(ISNA(SUMIFS(INDEX(Inputs!$B$2:$AZ$190,,MATCH(SUBSTITUTE(H$3,"Q","T"),Inputs!$B$2:$AZ$2,0)),Inputs!$B$2:$B$190,$B131)*Inputs!$D$1),"",SUMIFS(INDEX(Inputs!$B$2:$AZ$190,,MATCH(SUBSTITUTE(H$3,"Q","T"),Inputs!$B$2:$AZ$2,0)),Inputs!$B$2:$B$190,$B131)*Inputs!$D$1)</f>
        <v>0</v>
      </c>
      <c r="I131" s="58">
        <f>SUM(E131:H131)</f>
        <v>0</v>
      </c>
      <c r="J131" s="57">
        <f>IF(ISNA(SUMIFS(INDEX(Inputs!$B$2:$AZ$190,,MATCH(SUBSTITUTE(J$3,"Q","T"),Inputs!$B$2:$AZ$2,0)),Inputs!$B$2:$B$190,$B131)*Inputs!$D$1),"",SUMIFS(INDEX(Inputs!$B$2:$AZ$190,,MATCH(SUBSTITUTE(J$3,"Q","T"),Inputs!$B$2:$AZ$2,0)),Inputs!$B$2:$B$190,$B131)*Inputs!$D$1)</f>
        <v>0</v>
      </c>
      <c r="K131" s="57">
        <f>IF(ISNA(SUMIFS(INDEX(Inputs!$B$2:$AZ$190,,MATCH(SUBSTITUTE(K$3,"Q","T"),Inputs!$B$2:$AZ$2,0)),Inputs!$B$2:$B$190,$B131)*Inputs!$D$1),"",SUMIFS(INDEX(Inputs!$B$2:$AZ$190,,MATCH(SUBSTITUTE(K$3,"Q","T"),Inputs!$B$2:$AZ$2,0)),Inputs!$B$2:$B$190,$B131)*Inputs!$D$1)</f>
        <v>0</v>
      </c>
      <c r="L131" s="57">
        <f>IF(ISNA(SUMIFS(INDEX(Inputs!$B$2:$AZ$190,,MATCH(SUBSTITUTE(L$3,"Q","T"),Inputs!$B$2:$AZ$2,0)),Inputs!$B$2:$B$190,$B131)*Inputs!$D$1),"",SUMIFS(INDEX(Inputs!$B$2:$AZ$190,,MATCH(SUBSTITUTE(L$3,"Q","T"),Inputs!$B$2:$AZ$2,0)),Inputs!$B$2:$B$190,$B131)*Inputs!$D$1)</f>
        <v>0</v>
      </c>
      <c r="M131" s="57">
        <f>IF(ISNA(SUMIFS(INDEX(Inputs!$B$2:$AZ$190,,MATCH(SUBSTITUTE(M$3,"Q","T"),Inputs!$B$2:$AZ$2,0)),Inputs!$B$2:$B$190,$B131)*Inputs!$D$1),"",SUMIFS(INDEX(Inputs!$B$2:$AZ$190,,MATCH(SUBSTITUTE(M$3,"Q","T"),Inputs!$B$2:$AZ$2,0)),Inputs!$B$2:$B$190,$B131)*Inputs!$D$1)</f>
        <v>0</v>
      </c>
      <c r="N131" s="58">
        <f>SUM(J131:M131)</f>
        <v>0</v>
      </c>
      <c r="O131" s="57">
        <f>IF(ISNA(SUMIFS(INDEX(Inputs!$B$2:$AZ$190,,MATCH(SUBSTITUTE(O$3,"Q","T"),Inputs!$B$2:$AZ$2,0)),Inputs!$B$2:$B$190,$B131)*Inputs!$D$1),"",SUMIFS(INDEX(Inputs!$B$2:$AZ$190,,MATCH(SUBSTITUTE(O$3,"Q","T"),Inputs!$B$2:$AZ$2,0)),Inputs!$B$2:$B$190,$B131)*Inputs!$D$1)</f>
        <v>0</v>
      </c>
      <c r="P131" s="57">
        <f>IF(ISNA(SUMIFS(INDEX(Inputs!$B$2:$AZ$190,,MATCH(SUBSTITUTE(P$3,"Q","T"),Inputs!$B$2:$AZ$2,0)),Inputs!$B$2:$B$190,$B131)*Inputs!$D$1),"",SUMIFS(INDEX(Inputs!$B$2:$AZ$190,,MATCH(SUBSTITUTE(P$3,"Q","T"),Inputs!$B$2:$AZ$2,0)),Inputs!$B$2:$B$190,$B131)*Inputs!$D$1)</f>
        <v>0</v>
      </c>
      <c r="Q131" s="57">
        <f>IF(ISNA(SUMIFS(INDEX(Inputs!$B$2:$AZ$190,,MATCH(SUBSTITUTE(Q$3,"Q","T"),Inputs!$B$2:$AZ$2,0)),Inputs!$B$2:$B$190,$B131)*Inputs!$D$1),"",SUMIFS(INDEX(Inputs!$B$2:$AZ$190,,MATCH(SUBSTITUTE(Q$3,"Q","T"),Inputs!$B$2:$AZ$2,0)),Inputs!$B$2:$B$190,$B131)*Inputs!$D$1)</f>
        <v>0</v>
      </c>
      <c r="R131" s="57">
        <f>IF(ISNA(SUMIFS(INDEX(Inputs!$B$2:$AZ$190,,MATCH(SUBSTITUTE(R$3,"Q","T"),Inputs!$B$2:$AZ$2,0)),Inputs!$B$2:$B$190,$B131)*Inputs!$D$1),"",SUMIFS(INDEX(Inputs!$B$2:$AZ$190,,MATCH(SUBSTITUTE(R$3,"Q","T"),Inputs!$B$2:$AZ$2,0)),Inputs!$B$2:$B$190,$B131)*Inputs!$D$1)</f>
        <v>0</v>
      </c>
      <c r="S131" s="58">
        <f>SUM(O131:R131)</f>
        <v>0</v>
      </c>
      <c r="T131" s="57">
        <f>IF(ISNA(SUMIFS(INDEX(Inputs!$B$2:$AZ$190,,MATCH(SUBSTITUTE(T$3,"Q","T"),Inputs!$B$2:$AZ$2,0)),Inputs!$B$2:$B$190,$B131)*Inputs!$D$1),"",SUMIFS(INDEX(Inputs!$B$2:$AZ$190,,MATCH(SUBSTITUTE(T$3,"Q","T"),Inputs!$B$2:$AZ$2,0)),Inputs!$B$2:$B$190,$B131)*Inputs!$D$1)</f>
        <v>0</v>
      </c>
      <c r="U131" s="57">
        <f>IF(ISNA(SUMIFS(INDEX(Inputs!$B$2:$AZ$190,,MATCH(SUBSTITUTE(U$3,"Q","T"),Inputs!$B$2:$AZ$2,0)),Inputs!$B$2:$B$190,$B131)*Inputs!$D$1),"",SUMIFS(INDEX(Inputs!$B$2:$AZ$190,,MATCH(SUBSTITUTE(U$3,"Q","T"),Inputs!$B$2:$AZ$2,0)),Inputs!$B$2:$B$190,$B131)*Inputs!$D$1)</f>
        <v>0</v>
      </c>
      <c r="V131" s="57">
        <f>IF(ISNA(SUMIFS(INDEX(Inputs!$B$2:$AZ$190,,MATCH(SUBSTITUTE(V$3,"Q","T"),Inputs!$B$2:$AZ$2,0)),Inputs!$B$2:$B$190,$B131)*Inputs!$D$1),"",SUMIFS(INDEX(Inputs!$B$2:$AZ$190,,MATCH(SUBSTITUTE(V$3,"Q","T"),Inputs!$B$2:$AZ$2,0)),Inputs!$B$2:$B$190,$B131)*Inputs!$D$1)</f>
        <v>0</v>
      </c>
      <c r="W131" s="57">
        <f>IF(ISNA(SUMIFS(INDEX(Inputs!$B$2:$AZ$190,,MATCH(SUBSTITUTE(W$3,"Q","T"),Inputs!$B$2:$AZ$2,0)),Inputs!$B$2:$B$190,$B131)*Inputs!$D$1),"",SUMIFS(INDEX(Inputs!$B$2:$AZ$190,,MATCH(SUBSTITUTE(W$3,"Q","T"),Inputs!$B$2:$AZ$2,0)),Inputs!$B$2:$B$190,$B131)*Inputs!$D$1)</f>
        <v>0</v>
      </c>
      <c r="X131" s="58">
        <f>SUM(T131:W131)</f>
        <v>0</v>
      </c>
      <c r="Y131" s="57">
        <f>IF(ISNA(SUMIFS(INDEX(Inputs!$B$2:$AZ$190,,MATCH(SUBSTITUTE(Y$3,"Q","T"),Inputs!$B$2:$AZ$2,0)),Inputs!$B$2:$B$190,$B131)*Inputs!$D$1),"",SUMIFS(INDEX(Inputs!$B$2:$AZ$190,,MATCH(SUBSTITUTE(Y$3,"Q","T"),Inputs!$B$2:$AZ$2,0)),Inputs!$B$2:$B$190,$B131)*Inputs!$D$1)</f>
        <v>0</v>
      </c>
      <c r="Z131" s="57">
        <f>IF(ISNA(SUMIFS(INDEX(Inputs!$B$2:$AZ$190,,MATCH(SUBSTITUTE(Z$3,"Q","T"),Inputs!$B$2:$AZ$2,0)),Inputs!$B$2:$B$190,$B131)*Inputs!$D$1),"",SUMIFS(INDEX(Inputs!$B$2:$AZ$190,,MATCH(SUBSTITUTE(Z$3,"Q","T"),Inputs!$B$2:$AZ$2,0)),Inputs!$B$2:$B$190,$B131)*Inputs!$D$1)</f>
        <v>0</v>
      </c>
      <c r="AA131" s="57">
        <f>IF(ISNA(SUMIFS(INDEX(Inputs!$B$2:$AZ$190,,MATCH(SUBSTITUTE(AA$3,"Q","T"),Inputs!$B$2:$AZ$2,0)),Inputs!$B$2:$B$190,$B131)*Inputs!$D$1),"",SUMIFS(INDEX(Inputs!$B$2:$AZ$190,,MATCH(SUBSTITUTE(AA$3,"Q","T"),Inputs!$B$2:$AZ$2,0)),Inputs!$B$2:$B$190,$B131)*Inputs!$D$1)</f>
        <v>0</v>
      </c>
      <c r="AB131" s="57">
        <f>IF(ISNA(SUMIFS(INDEX(Inputs!$B$2:$AZ$190,,MATCH(SUBSTITUTE(AB$3,"Q","T"),Inputs!$B$2:$AZ$2,0)),Inputs!$B$2:$B$190,$B131)*Inputs!$D$1),"",SUMIFS(INDEX(Inputs!$B$2:$AZ$190,,MATCH(SUBSTITUTE(AB$3,"Q","T"),Inputs!$B$2:$AZ$2,0)),Inputs!$B$2:$B$190,$B131)*Inputs!$D$1)</f>
        <v>0</v>
      </c>
      <c r="AC131" s="58">
        <f>SUM(Y131:AB131)</f>
        <v>0</v>
      </c>
      <c r="AD131" s="57">
        <f>IF(ISNA(SUMIFS(INDEX(Inputs!$B$2:$AZ$190,,MATCH(SUBSTITUTE(AD$3,"Q","T"),Inputs!$B$2:$AZ$2,0)),Inputs!$B$2:$B$190,$B131)*Inputs!$D$1),"",SUMIFS(INDEX(Inputs!$B$2:$AZ$190,,MATCH(SUBSTITUTE(AD$3,"Q","T"),Inputs!$B$2:$AZ$2,0)),Inputs!$B$2:$B$190,$B131)*Inputs!$D$1)</f>
        <v>0</v>
      </c>
      <c r="AE131" s="57">
        <f>IF(ISNA(SUMIFS(INDEX(Inputs!$B$2:$AZ$190,,MATCH(SUBSTITUTE(AE$3,"Q","T"),Inputs!$B$2:$AZ$2,0)),Inputs!$B$2:$B$190,$B131)*Inputs!$D$1),"",SUMIFS(INDEX(Inputs!$B$2:$AZ$190,,MATCH(SUBSTITUTE(AE$3,"Q","T"),Inputs!$B$2:$AZ$2,0)),Inputs!$B$2:$B$190,$B131)*Inputs!$D$1)</f>
        <v>0</v>
      </c>
      <c r="AF131" s="57">
        <f>IF(ISNA(SUMIFS(INDEX(Inputs!$B$2:$AZ$190,,MATCH(SUBSTITUTE(AF$3,"Q","T"),Inputs!$B$2:$AZ$2,0)),Inputs!$B$2:$B$190,$B131)*Inputs!$D$1),"",SUMIFS(INDEX(Inputs!$B$2:$AZ$190,,MATCH(SUBSTITUTE(AF$3,"Q","T"),Inputs!$B$2:$AZ$2,0)),Inputs!$B$2:$B$190,$B131)*Inputs!$D$1)</f>
        <v>0</v>
      </c>
      <c r="AG131" s="57">
        <f>IF(ISNA(SUMIFS(INDEX(Inputs!$B$2:$AZ$190,,MATCH(SUBSTITUTE(AG$3,"Q","T"),Inputs!$B$2:$AZ$2,0)),Inputs!$B$2:$B$190,$B131)*Inputs!$D$1),"",SUMIFS(INDEX(Inputs!$B$2:$AZ$190,,MATCH(SUBSTITUTE(AG$3,"Q","T"),Inputs!$B$2:$AZ$2,0)),Inputs!$B$2:$B$190,$B131)*Inputs!$D$1)</f>
        <v>0</v>
      </c>
      <c r="AH131" s="58">
        <f>SUM(AD131:AG131)</f>
        <v>0</v>
      </c>
      <c r="AI131" s="57">
        <f>IF(ISNA(SUMIFS(INDEX(Inputs!$B$2:$AZ$190,,MATCH(SUBSTITUTE(AI$3,"Q","T"),Inputs!$B$2:$AZ$2,0)),Inputs!$B$2:$B$190,$B131)*Inputs!$D$1),"",SUMIFS(INDEX(Inputs!$B$2:$AZ$190,,MATCH(SUBSTITUTE(AI$3,"Q","T"),Inputs!$B$2:$AZ$2,0)),Inputs!$B$2:$B$190,$B131)*Inputs!$D$1)</f>
        <v>0</v>
      </c>
      <c r="AJ131" s="57">
        <f>IF(ISNA(SUMIFS(INDEX(Inputs!$B$2:$AZ$190,,MATCH(SUBSTITUTE(AJ$3,"Q","T"),Inputs!$B$2:$AZ$2,0)),Inputs!$B$2:$B$190,$B131)*Inputs!$D$1),"",SUMIFS(INDEX(Inputs!$B$2:$AZ$190,,MATCH(SUBSTITUTE(AJ$3,"Q","T"),Inputs!$B$2:$AZ$2,0)),Inputs!$B$2:$B$190,$B131)*Inputs!$D$1)</f>
        <v>0</v>
      </c>
      <c r="AK131" s="57">
        <f>IF(ISNA(SUMIFS(INDEX(Inputs!$B$2:$AZ$190,,MATCH(SUBSTITUTE(AK$3,"Q","T"),Inputs!$B$2:$AZ$2,0)),Inputs!$B$2:$B$190,$B131)*Inputs!$D$1),"",SUMIFS(INDEX(Inputs!$B$2:$AZ$190,,MATCH(SUBSTITUTE(AK$3,"Q","T"),Inputs!$B$2:$AZ$2,0)),Inputs!$B$2:$B$190,$B131)*Inputs!$D$1)</f>
        <v>0</v>
      </c>
      <c r="AL131" s="57">
        <f>IF(ISNA(SUMIFS(INDEX(Inputs!$B$2:$AZ$190,,MATCH(SUBSTITUTE(AL$3,"Q","T"),Inputs!$B$2:$AZ$2,0)),Inputs!$B$2:$B$190,$B131)*Inputs!$D$1),"",SUMIFS(INDEX(Inputs!$B$2:$AZ$190,,MATCH(SUBSTITUTE(AL$3,"Q","T"),Inputs!$B$2:$AZ$2,0)),Inputs!$B$2:$B$190,$B131)*Inputs!$D$1)</f>
        <v>0</v>
      </c>
      <c r="AM131" s="58">
        <f>SUM(AI131:AL131)</f>
        <v>0</v>
      </c>
      <c r="AN131" s="57">
        <f>IF(ISNA(SUMIFS(INDEX(Inputs!$B$2:$AZ$190,,MATCH(SUBSTITUTE(AN$3,"Q","T"),Inputs!$B$2:$AZ$2,0)),Inputs!$B$2:$B$190,$B131)*Inputs!$D$1),"",SUMIFS(INDEX(Inputs!$B$2:$AZ$190,,MATCH(SUBSTITUTE(AN$3,"Q","T"),Inputs!$B$2:$AZ$2,0)),Inputs!$B$2:$B$190,$B131)*Inputs!$D$1)</f>
        <v>0</v>
      </c>
      <c r="AO131" s="57">
        <f>IF(ISNA(SUMIFS(INDEX(Inputs!$B$2:$AZ$190,,MATCH(SUBSTITUTE(AO$3,"Q","T"),Inputs!$B$2:$AZ$2,0)),Inputs!$B$2:$B$190,$B131)*Inputs!$D$1),"",SUMIFS(INDEX(Inputs!$B$2:$AZ$190,,MATCH(SUBSTITUTE(AO$3,"Q","T"),Inputs!$B$2:$AZ$2,0)),Inputs!$B$2:$B$190,$B131)*Inputs!$D$1)</f>
        <v>0</v>
      </c>
      <c r="AP131" s="57">
        <f>IF(ISNA(SUMIFS(INDEX(Inputs!$B$2:$AZ$190,,MATCH(SUBSTITUTE(AP$3,"Q","T"),Inputs!$B$2:$AZ$2,0)),Inputs!$B$2:$B$190,$B131)*Inputs!$D$1),"",SUMIFS(INDEX(Inputs!$B$2:$AZ$190,,MATCH(SUBSTITUTE(AP$3,"Q","T"),Inputs!$B$2:$AZ$2,0)),Inputs!$B$2:$B$190,$B131)*Inputs!$D$1)</f>
        <v>0</v>
      </c>
      <c r="AQ131" s="57">
        <f>IF(ISNA(SUMIFS(INDEX(Inputs!$B$2:$AZ$190,,MATCH(SUBSTITUTE(AQ$3,"Q","T"),Inputs!$B$2:$AZ$2,0)),Inputs!$B$2:$B$190,$B131)*Inputs!$D$1),"",SUMIFS(INDEX(Inputs!$B$2:$AZ$190,,MATCH(SUBSTITUTE(AQ$3,"Q","T"),Inputs!$B$2:$AZ$2,0)),Inputs!$B$2:$B$190,$B131)*Inputs!$D$1)</f>
        <v>0</v>
      </c>
      <c r="AR131" s="58">
        <f>SUM(AN131:AQ131)</f>
        <v>0</v>
      </c>
      <c r="AS131" s="57">
        <f>IF(ISNA(SUMIFS(INDEX(Inputs!$B$2:$AZ$190,,MATCH(SUBSTITUTE(AS$3,"Q","T"),Inputs!$B$2:$AZ$2,0)),Inputs!$B$2:$B$190,$B131)*Inputs!$D$1),"",SUMIFS(INDEX(Inputs!$B$2:$AZ$190,,MATCH(SUBSTITUTE(AS$3,"Q","T"),Inputs!$B$2:$AZ$2,0)),Inputs!$B$2:$B$190,$B131)*Inputs!$D$1)</f>
        <v>0</v>
      </c>
      <c r="AT131" s="57">
        <f>IF(ISNA(SUMIFS(INDEX(Inputs!$B$2:$AZ$190,,MATCH(SUBSTITUTE(AT$3,"Q","T"),Inputs!$B$2:$AZ$2,0)),Inputs!$B$2:$B$190,$B131)*Inputs!$D$1),"",SUMIFS(INDEX(Inputs!$B$2:$AZ$190,,MATCH(SUBSTITUTE(AT$3,"Q","T"),Inputs!$B$2:$AZ$2,0)),Inputs!$B$2:$B$190,$B131)*Inputs!$D$1)</f>
        <v>0</v>
      </c>
      <c r="AU131" s="57">
        <f>IF(ISNA(SUMIFS(INDEX(Inputs!$B$2:$AZ$190,,MATCH(SUBSTITUTE(AU$3,"Q","T"),Inputs!$B$2:$AZ$2,0)),Inputs!$B$2:$B$190,$B131)*Inputs!$D$1),"",SUMIFS(INDEX(Inputs!$B$2:$AZ$190,,MATCH(SUBSTITUTE(AU$3,"Q","T"),Inputs!$B$2:$AZ$2,0)),Inputs!$B$2:$B$190,$B131)*Inputs!$D$1)</f>
        <v>0</v>
      </c>
      <c r="AV131" s="57">
        <f>IF(ISNA(SUMIFS(INDEX(Inputs!$B$2:$AZ$190,,MATCH(SUBSTITUTE(AV$3,"Q","T"),Inputs!$B$2:$AZ$2,0)),Inputs!$B$2:$B$190,$B131)*Inputs!$D$1),"",SUMIFS(INDEX(Inputs!$B$2:$AZ$190,,MATCH(SUBSTITUTE(AV$3,"Q","T"),Inputs!$B$2:$AZ$2,0)),Inputs!$B$2:$B$190,$B131)*Inputs!$D$1)</f>
        <v>0</v>
      </c>
      <c r="AW131" s="58">
        <f>SUM(AS131:AV131)</f>
        <v>0</v>
      </c>
      <c r="AX131" s="57">
        <f>IF(ISNA(SUMIFS(INDEX(Inputs!$B$2:$AZ$190,,MATCH(SUBSTITUTE(AX$3,"Q","T"),Inputs!$B$2:$AZ$2,0)),Inputs!$B$2:$B$190,$B131)*Inputs!$D$1),"",SUMIFS(INDEX(Inputs!$B$2:$AZ$190,,MATCH(SUBSTITUTE(AX$3,"Q","T"),Inputs!$B$2:$AZ$2,0)),Inputs!$B$2:$B$190,$B131)*Inputs!$D$1)</f>
        <v>0</v>
      </c>
      <c r="AY131" s="57">
        <f>IF(ISNA(SUMIFS(INDEX(Inputs!$B$2:$AZ$190,,MATCH(SUBSTITUTE(AY$3,"Q","T"),Inputs!$B$2:$AZ$2,0)),Inputs!$B$2:$B$190,$B131)*Inputs!$D$1),"",SUMIFS(INDEX(Inputs!$B$2:$AZ$190,,MATCH(SUBSTITUTE(AY$3,"Q","T"),Inputs!$B$2:$AZ$2,0)),Inputs!$B$2:$B$190,$B131)*Inputs!$D$1)</f>
        <v>0</v>
      </c>
      <c r="AZ131" s="57">
        <f>IF(ISNA(SUMIFS(INDEX(Inputs!$B$2:$AZ$190,,MATCH(SUBSTITUTE(AZ$3,"Q","T"),Inputs!$B$2:$AZ$2,0)),Inputs!$B$2:$B$190,$B131)*Inputs!$D$1),"",SUMIFS(INDEX(Inputs!$B$2:$AZ$190,,MATCH(SUBSTITUTE(AZ$3,"Q","T"),Inputs!$B$2:$AZ$2,0)),Inputs!$B$2:$B$190,$B131)*Inputs!$D$1)</f>
        <v>0</v>
      </c>
      <c r="BA131" s="57">
        <f>IF(ISNA(SUMIFS(INDEX(Inputs!$B$2:$AZ$190,,MATCH(SUBSTITUTE(BA$3,"Q","T"),Inputs!$B$2:$AZ$2,0)),Inputs!$B$2:$B$190,$B131)*Inputs!$D$1),"",SUMIFS(INDEX(Inputs!$B$2:$AZ$190,,MATCH(SUBSTITUTE(BA$3,"Q","T"),Inputs!$B$2:$AZ$2,0)),Inputs!$B$2:$B$190,$B131)*Inputs!$D$1)</f>
        <v>0</v>
      </c>
      <c r="BB131" s="58">
        <f>SUM(AX131:BA131)</f>
        <v>0</v>
      </c>
      <c r="BC131" s="57">
        <f>IF(ISNA(SUMIFS(INDEX(Inputs!$B$2:$AZ$190,,MATCH(SUBSTITUTE(BC$3,"Q","T"),Inputs!$B$2:$AZ$2,0)),Inputs!$B$2:$B$190,$B131)*Inputs!$D$1),"",SUMIFS(INDEX(Inputs!$B$2:$AZ$190,,MATCH(SUBSTITUTE(BC$3,"Q","T"),Inputs!$B$2:$AZ$2,0)),Inputs!$B$2:$B$190,$B131)*Inputs!$D$1)</f>
        <v>0</v>
      </c>
      <c r="BD131" s="57">
        <f>IF(ISNA(SUMIFS(INDEX(Inputs!$B$2:$AZ$190,,MATCH(SUBSTITUTE(BD$3,"Q","T"),Inputs!$B$2:$AZ$2,0)),Inputs!$B$2:$B$190,$B131)*Inputs!$D$1),"",SUMIFS(INDEX(Inputs!$B$2:$AZ$190,,MATCH(SUBSTITUTE(BD$3,"Q","T"),Inputs!$B$2:$AZ$2,0)),Inputs!$B$2:$B$190,$B131)*Inputs!$D$1)</f>
        <v>0</v>
      </c>
      <c r="BE131" s="57">
        <f>IF(ISNA(SUMIFS(INDEX(Inputs!$B$2:$AZ$190,,MATCH(SUBSTITUTE(BE$3,"Q","T"),Inputs!$B$2:$AZ$2,0)),Inputs!$B$2:$B$190,$B131)*Inputs!$D$1),"",SUMIFS(INDEX(Inputs!$B$2:$AZ$190,,MATCH(SUBSTITUTE(BE$3,"Q","T"),Inputs!$B$2:$AZ$2,0)),Inputs!$B$2:$B$190,$B131)*Inputs!$D$1)</f>
        <v>0</v>
      </c>
      <c r="BF131" s="57">
        <f>IF(ISNA(SUMIFS(INDEX(Inputs!$B$2:$AZ$190,,MATCH(SUBSTITUTE(BF$3,"Q","T"),Inputs!$B$2:$AZ$2,0)),Inputs!$B$2:$B$190,$B131)*Inputs!$D$1),"",SUMIFS(INDEX(Inputs!$B$2:$AZ$190,,MATCH(SUBSTITUTE(BF$3,"Q","T"),Inputs!$B$2:$AZ$2,0)),Inputs!$B$2:$B$190,$B131)*Inputs!$D$1)</f>
        <v>0</v>
      </c>
      <c r="BG131" s="58">
        <f>SUM(BC131:BF131)</f>
        <v>0</v>
      </c>
    </row>
    <row r="132">
      <c r="B132" s="56" t="inlineStr">
        <is>
          <t>iea</t>
        </is>
      </c>
      <c r="C132" s="11" t="inlineStr">
        <is>
          <t>Ativos rentáveis (saldo fim de período)</t>
        </is>
      </c>
      <c r="D132" s="12" t="inlineStr">
        <is>
          <t>Interest-earning assets, eop</t>
        </is>
      </c>
      <c r="E132" s="57">
        <f>IF(ISNA(SUMIFS(INDEX(Inputs!$B$2:$AZ$190,,MATCH(SUBSTITUTE(E$3,"Q","T"),Inputs!$B$2:$AZ$2,0)),Inputs!$B$2:$B$190,$B132)*Inputs!$D$1),"",SUMIFS(INDEX(Inputs!$B$2:$AZ$190,,MATCH(SUBSTITUTE(E$3,"Q","T"),Inputs!$B$2:$AZ$2,0)),Inputs!$B$2:$B$190,$B132)*Inputs!$D$1)</f>
        <v>0</v>
      </c>
      <c r="F132" s="57">
        <f>IF(ISNA(SUMIFS(INDEX(Inputs!$B$2:$AZ$190,,MATCH(SUBSTITUTE(F$3,"Q","T"),Inputs!$B$2:$AZ$2,0)),Inputs!$B$2:$B$190,$B132)*Inputs!$D$1),"",SUMIFS(INDEX(Inputs!$B$2:$AZ$190,,MATCH(SUBSTITUTE(F$3,"Q","T"),Inputs!$B$2:$AZ$2,0)),Inputs!$B$2:$B$190,$B132)*Inputs!$D$1)</f>
        <v>0</v>
      </c>
      <c r="G132" s="57">
        <f>IF(ISNA(SUMIFS(INDEX(Inputs!$B$2:$AZ$190,,MATCH(SUBSTITUTE(G$3,"Q","T"),Inputs!$B$2:$AZ$2,0)),Inputs!$B$2:$B$190,$B132)*Inputs!$D$1),"",SUMIFS(INDEX(Inputs!$B$2:$AZ$190,,MATCH(SUBSTITUTE(G$3,"Q","T"),Inputs!$B$2:$AZ$2,0)),Inputs!$B$2:$B$190,$B132)*Inputs!$D$1)</f>
        <v>0</v>
      </c>
      <c r="H132" s="57">
        <f>IF(ISNA(SUMIFS(INDEX(Inputs!$B$2:$AZ$190,,MATCH(SUBSTITUTE(H$3,"Q","T"),Inputs!$B$2:$AZ$2,0)),Inputs!$B$2:$B$190,$B132)*Inputs!$D$1),"",SUMIFS(INDEX(Inputs!$B$2:$AZ$190,,MATCH(SUBSTITUTE(H$3,"Q","T"),Inputs!$B$2:$AZ$2,0)),Inputs!$B$2:$B$190,$B132)*Inputs!$D$1)</f>
        <v>0</v>
      </c>
      <c r="I132" s="58">
        <f>H132</f>
        <v>0</v>
      </c>
      <c r="J132" s="57">
        <f>IF(ISNA(SUMIFS(INDEX(Inputs!$B$2:$AZ$190,,MATCH(SUBSTITUTE(J$3,"Q","T"),Inputs!$B$2:$AZ$2,0)),Inputs!$B$2:$B$190,$B132)*Inputs!$D$1),"",SUMIFS(INDEX(Inputs!$B$2:$AZ$190,,MATCH(SUBSTITUTE(J$3,"Q","T"),Inputs!$B$2:$AZ$2,0)),Inputs!$B$2:$B$190,$B132)*Inputs!$D$1)</f>
        <v>0</v>
      </c>
      <c r="K132" s="57">
        <f>IF(ISNA(SUMIFS(INDEX(Inputs!$B$2:$AZ$190,,MATCH(SUBSTITUTE(K$3,"Q","T"),Inputs!$B$2:$AZ$2,0)),Inputs!$B$2:$B$190,$B132)*Inputs!$D$1),"",SUMIFS(INDEX(Inputs!$B$2:$AZ$190,,MATCH(SUBSTITUTE(K$3,"Q","T"),Inputs!$B$2:$AZ$2,0)),Inputs!$B$2:$B$190,$B132)*Inputs!$D$1)</f>
        <v>0</v>
      </c>
      <c r="L132" s="57">
        <f>IF(ISNA(SUMIFS(INDEX(Inputs!$B$2:$AZ$190,,MATCH(SUBSTITUTE(L$3,"Q","T"),Inputs!$B$2:$AZ$2,0)),Inputs!$B$2:$B$190,$B132)*Inputs!$D$1),"",SUMIFS(INDEX(Inputs!$B$2:$AZ$190,,MATCH(SUBSTITUTE(L$3,"Q","T"),Inputs!$B$2:$AZ$2,0)),Inputs!$B$2:$B$190,$B132)*Inputs!$D$1)</f>
        <v>0</v>
      </c>
      <c r="M132" s="57">
        <f>IF(ISNA(SUMIFS(INDEX(Inputs!$B$2:$AZ$190,,MATCH(SUBSTITUTE(M$3,"Q","T"),Inputs!$B$2:$AZ$2,0)),Inputs!$B$2:$B$190,$B132)*Inputs!$D$1),"",SUMIFS(INDEX(Inputs!$B$2:$AZ$190,,MATCH(SUBSTITUTE(M$3,"Q","T"),Inputs!$B$2:$AZ$2,0)),Inputs!$B$2:$B$190,$B132)*Inputs!$D$1)</f>
        <v>0</v>
      </c>
      <c r="N132" s="58">
        <f>M132</f>
        <v>0</v>
      </c>
      <c r="O132" s="57">
        <f>IF(ISNA(SUMIFS(INDEX(Inputs!$B$2:$AZ$190,,MATCH(SUBSTITUTE(O$3,"Q","T"),Inputs!$B$2:$AZ$2,0)),Inputs!$B$2:$B$190,$B132)*Inputs!$D$1),"",SUMIFS(INDEX(Inputs!$B$2:$AZ$190,,MATCH(SUBSTITUTE(O$3,"Q","T"),Inputs!$B$2:$AZ$2,0)),Inputs!$B$2:$B$190,$B132)*Inputs!$D$1)</f>
        <v>0</v>
      </c>
      <c r="P132" s="57">
        <f>IF(ISNA(SUMIFS(INDEX(Inputs!$B$2:$AZ$190,,MATCH(SUBSTITUTE(P$3,"Q","T"),Inputs!$B$2:$AZ$2,0)),Inputs!$B$2:$B$190,$B132)*Inputs!$D$1),"",SUMIFS(INDEX(Inputs!$B$2:$AZ$190,,MATCH(SUBSTITUTE(P$3,"Q","T"),Inputs!$B$2:$AZ$2,0)),Inputs!$B$2:$B$190,$B132)*Inputs!$D$1)</f>
        <v>0</v>
      </c>
      <c r="Q132" s="57">
        <f>IF(ISNA(SUMIFS(INDEX(Inputs!$B$2:$AZ$190,,MATCH(SUBSTITUTE(Q$3,"Q","T"),Inputs!$B$2:$AZ$2,0)),Inputs!$B$2:$B$190,$B132)*Inputs!$D$1),"",SUMIFS(INDEX(Inputs!$B$2:$AZ$190,,MATCH(SUBSTITUTE(Q$3,"Q","T"),Inputs!$B$2:$AZ$2,0)),Inputs!$B$2:$B$190,$B132)*Inputs!$D$1)</f>
        <v>0</v>
      </c>
      <c r="R132" s="57">
        <f>IF(ISNA(SUMIFS(INDEX(Inputs!$B$2:$AZ$190,,MATCH(SUBSTITUTE(R$3,"Q","T"),Inputs!$B$2:$AZ$2,0)),Inputs!$B$2:$B$190,$B132)*Inputs!$D$1),"",SUMIFS(INDEX(Inputs!$B$2:$AZ$190,,MATCH(SUBSTITUTE(R$3,"Q","T"),Inputs!$B$2:$AZ$2,0)),Inputs!$B$2:$B$190,$B132)*Inputs!$D$1)</f>
        <v>0</v>
      </c>
      <c r="S132" s="58">
        <f>R132</f>
        <v>0</v>
      </c>
      <c r="T132" s="57">
        <f>IF(ISNA(SUMIFS(INDEX(Inputs!$B$2:$AZ$190,,MATCH(SUBSTITUTE(T$3,"Q","T"),Inputs!$B$2:$AZ$2,0)),Inputs!$B$2:$B$190,$B132)*Inputs!$D$1),"",SUMIFS(INDEX(Inputs!$B$2:$AZ$190,,MATCH(SUBSTITUTE(T$3,"Q","T"),Inputs!$B$2:$AZ$2,0)),Inputs!$B$2:$B$190,$B132)*Inputs!$D$1)</f>
        <v>0</v>
      </c>
      <c r="U132" s="57">
        <f>IF(ISNA(SUMIFS(INDEX(Inputs!$B$2:$AZ$190,,MATCH(SUBSTITUTE(U$3,"Q","T"),Inputs!$B$2:$AZ$2,0)),Inputs!$B$2:$B$190,$B132)*Inputs!$D$1),"",SUMIFS(INDEX(Inputs!$B$2:$AZ$190,,MATCH(SUBSTITUTE(U$3,"Q","T"),Inputs!$B$2:$AZ$2,0)),Inputs!$B$2:$B$190,$B132)*Inputs!$D$1)</f>
        <v>0</v>
      </c>
      <c r="V132" s="57">
        <f>IF(ISNA(SUMIFS(INDEX(Inputs!$B$2:$AZ$190,,MATCH(SUBSTITUTE(V$3,"Q","T"),Inputs!$B$2:$AZ$2,0)),Inputs!$B$2:$B$190,$B132)*Inputs!$D$1),"",SUMIFS(INDEX(Inputs!$B$2:$AZ$190,,MATCH(SUBSTITUTE(V$3,"Q","T"),Inputs!$B$2:$AZ$2,0)),Inputs!$B$2:$B$190,$B132)*Inputs!$D$1)</f>
        <v>0</v>
      </c>
      <c r="W132" s="57">
        <f>IF(ISNA(SUMIFS(INDEX(Inputs!$B$2:$AZ$190,,MATCH(SUBSTITUTE(W$3,"Q","T"),Inputs!$B$2:$AZ$2,0)),Inputs!$B$2:$B$190,$B132)*Inputs!$D$1),"",SUMIFS(INDEX(Inputs!$B$2:$AZ$190,,MATCH(SUBSTITUTE(W$3,"Q","T"),Inputs!$B$2:$AZ$2,0)),Inputs!$B$2:$B$190,$B132)*Inputs!$D$1)</f>
        <v>0</v>
      </c>
      <c r="X132" s="58">
        <f>W132</f>
        <v>0</v>
      </c>
      <c r="Y132" s="57">
        <f>IF(ISNA(SUMIFS(INDEX(Inputs!$B$2:$AZ$190,,MATCH(SUBSTITUTE(Y$3,"Q","T"),Inputs!$B$2:$AZ$2,0)),Inputs!$B$2:$B$190,$B132)*Inputs!$D$1),"",SUMIFS(INDEX(Inputs!$B$2:$AZ$190,,MATCH(SUBSTITUTE(Y$3,"Q","T"),Inputs!$B$2:$AZ$2,0)),Inputs!$B$2:$B$190,$B132)*Inputs!$D$1)</f>
        <v>0</v>
      </c>
      <c r="Z132" s="57">
        <f>IF(ISNA(SUMIFS(INDEX(Inputs!$B$2:$AZ$190,,MATCH(SUBSTITUTE(Z$3,"Q","T"),Inputs!$B$2:$AZ$2,0)),Inputs!$B$2:$B$190,$B132)*Inputs!$D$1),"",SUMIFS(INDEX(Inputs!$B$2:$AZ$190,,MATCH(SUBSTITUTE(Z$3,"Q","T"),Inputs!$B$2:$AZ$2,0)),Inputs!$B$2:$B$190,$B132)*Inputs!$D$1)</f>
        <v>0</v>
      </c>
      <c r="AA132" s="57">
        <f>IF(ISNA(SUMIFS(INDEX(Inputs!$B$2:$AZ$190,,MATCH(SUBSTITUTE(AA$3,"Q","T"),Inputs!$B$2:$AZ$2,0)),Inputs!$B$2:$B$190,$B132)*Inputs!$D$1),"",SUMIFS(INDEX(Inputs!$B$2:$AZ$190,,MATCH(SUBSTITUTE(AA$3,"Q","T"),Inputs!$B$2:$AZ$2,0)),Inputs!$B$2:$B$190,$B132)*Inputs!$D$1)</f>
        <v>0</v>
      </c>
      <c r="AB132" s="57">
        <f>IF(ISNA(SUMIFS(INDEX(Inputs!$B$2:$AZ$190,,MATCH(SUBSTITUTE(AB$3,"Q","T"),Inputs!$B$2:$AZ$2,0)),Inputs!$B$2:$B$190,$B132)*Inputs!$D$1),"",SUMIFS(INDEX(Inputs!$B$2:$AZ$190,,MATCH(SUBSTITUTE(AB$3,"Q","T"),Inputs!$B$2:$AZ$2,0)),Inputs!$B$2:$B$190,$B132)*Inputs!$D$1)</f>
        <v>0</v>
      </c>
      <c r="AC132" s="58">
        <f>AB132</f>
        <v>0</v>
      </c>
      <c r="AD132" s="57">
        <f>IF(ISNA(SUMIFS(INDEX(Inputs!$B$2:$AZ$190,,MATCH(SUBSTITUTE(AD$3,"Q","T"),Inputs!$B$2:$AZ$2,0)),Inputs!$B$2:$B$190,$B132)*Inputs!$D$1),"",SUMIFS(INDEX(Inputs!$B$2:$AZ$190,,MATCH(SUBSTITUTE(AD$3,"Q","T"),Inputs!$B$2:$AZ$2,0)),Inputs!$B$2:$B$190,$B132)*Inputs!$D$1)</f>
        <v>0</v>
      </c>
      <c r="AE132" s="57">
        <f>IF(ISNA(SUMIFS(INDEX(Inputs!$B$2:$AZ$190,,MATCH(SUBSTITUTE(AE$3,"Q","T"),Inputs!$B$2:$AZ$2,0)),Inputs!$B$2:$B$190,$B132)*Inputs!$D$1),"",SUMIFS(INDEX(Inputs!$B$2:$AZ$190,,MATCH(SUBSTITUTE(AE$3,"Q","T"),Inputs!$B$2:$AZ$2,0)),Inputs!$B$2:$B$190,$B132)*Inputs!$D$1)</f>
        <v>0</v>
      </c>
      <c r="AF132" s="57">
        <f>IF(ISNA(SUMIFS(INDEX(Inputs!$B$2:$AZ$190,,MATCH(SUBSTITUTE(AF$3,"Q","T"),Inputs!$B$2:$AZ$2,0)),Inputs!$B$2:$B$190,$B132)*Inputs!$D$1),"",SUMIFS(INDEX(Inputs!$B$2:$AZ$190,,MATCH(SUBSTITUTE(AF$3,"Q","T"),Inputs!$B$2:$AZ$2,0)),Inputs!$B$2:$B$190,$B132)*Inputs!$D$1)</f>
        <v>0</v>
      </c>
      <c r="AG132" s="57">
        <f>IF(ISNA(SUMIFS(INDEX(Inputs!$B$2:$AZ$190,,MATCH(SUBSTITUTE(AG$3,"Q","T"),Inputs!$B$2:$AZ$2,0)),Inputs!$B$2:$B$190,$B132)*Inputs!$D$1),"",SUMIFS(INDEX(Inputs!$B$2:$AZ$190,,MATCH(SUBSTITUTE(AG$3,"Q","T"),Inputs!$B$2:$AZ$2,0)),Inputs!$B$2:$B$190,$B132)*Inputs!$D$1)</f>
        <v>0</v>
      </c>
      <c r="AH132" s="58">
        <f>AG132</f>
        <v>0</v>
      </c>
      <c r="AI132" s="57">
        <f>IF(ISNA(SUMIFS(INDEX(Inputs!$B$2:$AZ$190,,MATCH(SUBSTITUTE(AI$3,"Q","T"),Inputs!$B$2:$AZ$2,0)),Inputs!$B$2:$B$190,$B132)*Inputs!$D$1),"",SUMIFS(INDEX(Inputs!$B$2:$AZ$190,,MATCH(SUBSTITUTE(AI$3,"Q","T"),Inputs!$B$2:$AZ$2,0)),Inputs!$B$2:$B$190,$B132)*Inputs!$D$1)</f>
        <v>0</v>
      </c>
      <c r="AJ132" s="57">
        <f>IF(ISNA(SUMIFS(INDEX(Inputs!$B$2:$AZ$190,,MATCH(SUBSTITUTE(AJ$3,"Q","T"),Inputs!$B$2:$AZ$2,0)),Inputs!$B$2:$B$190,$B132)*Inputs!$D$1),"",SUMIFS(INDEX(Inputs!$B$2:$AZ$190,,MATCH(SUBSTITUTE(AJ$3,"Q","T"),Inputs!$B$2:$AZ$2,0)),Inputs!$B$2:$B$190,$B132)*Inputs!$D$1)</f>
        <v>0</v>
      </c>
      <c r="AK132" s="57">
        <f>IF(ISNA(SUMIFS(INDEX(Inputs!$B$2:$AZ$190,,MATCH(SUBSTITUTE(AK$3,"Q","T"),Inputs!$B$2:$AZ$2,0)),Inputs!$B$2:$B$190,$B132)*Inputs!$D$1),"",SUMIFS(INDEX(Inputs!$B$2:$AZ$190,,MATCH(SUBSTITUTE(AK$3,"Q","T"),Inputs!$B$2:$AZ$2,0)),Inputs!$B$2:$B$190,$B132)*Inputs!$D$1)</f>
        <v>0</v>
      </c>
      <c r="AL132" s="57">
        <f>IF(ISNA(SUMIFS(INDEX(Inputs!$B$2:$AZ$190,,MATCH(SUBSTITUTE(AL$3,"Q","T"),Inputs!$B$2:$AZ$2,0)),Inputs!$B$2:$B$190,$B132)*Inputs!$D$1),"",SUMIFS(INDEX(Inputs!$B$2:$AZ$190,,MATCH(SUBSTITUTE(AL$3,"Q","T"),Inputs!$B$2:$AZ$2,0)),Inputs!$B$2:$B$190,$B132)*Inputs!$D$1)</f>
        <v>0</v>
      </c>
      <c r="AM132" s="58">
        <f>AL132</f>
        <v>0</v>
      </c>
      <c r="AN132" s="57">
        <f>IF(ISNA(SUMIFS(INDEX(Inputs!$B$2:$AZ$190,,MATCH(SUBSTITUTE(AN$3,"Q","T"),Inputs!$B$2:$AZ$2,0)),Inputs!$B$2:$B$190,$B132)*Inputs!$D$1),"",SUMIFS(INDEX(Inputs!$B$2:$AZ$190,,MATCH(SUBSTITUTE(AN$3,"Q","T"),Inputs!$B$2:$AZ$2,0)),Inputs!$B$2:$B$190,$B132)*Inputs!$D$1)</f>
        <v>0</v>
      </c>
      <c r="AO132" s="57">
        <f>IF(ISNA(SUMIFS(INDEX(Inputs!$B$2:$AZ$190,,MATCH(SUBSTITUTE(AO$3,"Q","T"),Inputs!$B$2:$AZ$2,0)),Inputs!$B$2:$B$190,$B132)*Inputs!$D$1),"",SUMIFS(INDEX(Inputs!$B$2:$AZ$190,,MATCH(SUBSTITUTE(AO$3,"Q","T"),Inputs!$B$2:$AZ$2,0)),Inputs!$B$2:$B$190,$B132)*Inputs!$D$1)</f>
        <v>0</v>
      </c>
      <c r="AP132" s="57">
        <f>IF(ISNA(SUMIFS(INDEX(Inputs!$B$2:$AZ$190,,MATCH(SUBSTITUTE(AP$3,"Q","T"),Inputs!$B$2:$AZ$2,0)),Inputs!$B$2:$B$190,$B132)*Inputs!$D$1),"",SUMIFS(INDEX(Inputs!$B$2:$AZ$190,,MATCH(SUBSTITUTE(AP$3,"Q","T"),Inputs!$B$2:$AZ$2,0)),Inputs!$B$2:$B$190,$B132)*Inputs!$D$1)</f>
        <v>0</v>
      </c>
      <c r="AQ132" s="57">
        <f>IF(ISNA(SUMIFS(INDEX(Inputs!$B$2:$AZ$190,,MATCH(SUBSTITUTE(AQ$3,"Q","T"),Inputs!$B$2:$AZ$2,0)),Inputs!$B$2:$B$190,$B132)*Inputs!$D$1),"",SUMIFS(INDEX(Inputs!$B$2:$AZ$190,,MATCH(SUBSTITUTE(AQ$3,"Q","T"),Inputs!$B$2:$AZ$2,0)),Inputs!$B$2:$B$190,$B132)*Inputs!$D$1)</f>
        <v>0</v>
      </c>
      <c r="AR132" s="58">
        <f>AQ132</f>
        <v>0</v>
      </c>
      <c r="AS132" s="57">
        <f>IF(ISNA(SUMIFS(INDEX(Inputs!$B$2:$AZ$190,,MATCH(SUBSTITUTE(AS$3,"Q","T"),Inputs!$B$2:$AZ$2,0)),Inputs!$B$2:$B$190,$B132)*Inputs!$D$1),"",SUMIFS(INDEX(Inputs!$B$2:$AZ$190,,MATCH(SUBSTITUTE(AS$3,"Q","T"),Inputs!$B$2:$AZ$2,0)),Inputs!$B$2:$B$190,$B132)*Inputs!$D$1)</f>
        <v>0</v>
      </c>
      <c r="AT132" s="57">
        <f>IF(ISNA(SUMIFS(INDEX(Inputs!$B$2:$AZ$190,,MATCH(SUBSTITUTE(AT$3,"Q","T"),Inputs!$B$2:$AZ$2,0)),Inputs!$B$2:$B$190,$B132)*Inputs!$D$1),"",SUMIFS(INDEX(Inputs!$B$2:$AZ$190,,MATCH(SUBSTITUTE(AT$3,"Q","T"),Inputs!$B$2:$AZ$2,0)),Inputs!$B$2:$B$190,$B132)*Inputs!$D$1)</f>
        <v>0</v>
      </c>
      <c r="AU132" s="57">
        <f>IF(ISNA(SUMIFS(INDEX(Inputs!$B$2:$AZ$190,,MATCH(SUBSTITUTE(AU$3,"Q","T"),Inputs!$B$2:$AZ$2,0)),Inputs!$B$2:$B$190,$B132)*Inputs!$D$1),"",SUMIFS(INDEX(Inputs!$B$2:$AZ$190,,MATCH(SUBSTITUTE(AU$3,"Q","T"),Inputs!$B$2:$AZ$2,0)),Inputs!$B$2:$B$190,$B132)*Inputs!$D$1)</f>
        <v>0</v>
      </c>
      <c r="AV132" s="57">
        <f>IF(ISNA(SUMIFS(INDEX(Inputs!$B$2:$AZ$190,,MATCH(SUBSTITUTE(AV$3,"Q","T"),Inputs!$B$2:$AZ$2,0)),Inputs!$B$2:$B$190,$B132)*Inputs!$D$1),"",SUMIFS(INDEX(Inputs!$B$2:$AZ$190,,MATCH(SUBSTITUTE(AV$3,"Q","T"),Inputs!$B$2:$AZ$2,0)),Inputs!$B$2:$B$190,$B132)*Inputs!$D$1)</f>
        <v>0</v>
      </c>
      <c r="AW132" s="58">
        <f>AV132</f>
        <v>0</v>
      </c>
      <c r="AX132" s="57">
        <f>IF(ISNA(SUMIFS(INDEX(Inputs!$B$2:$AZ$190,,MATCH(SUBSTITUTE(AX$3,"Q","T"),Inputs!$B$2:$AZ$2,0)),Inputs!$B$2:$B$190,$B132)*Inputs!$D$1),"",SUMIFS(INDEX(Inputs!$B$2:$AZ$190,,MATCH(SUBSTITUTE(AX$3,"Q","T"),Inputs!$B$2:$AZ$2,0)),Inputs!$B$2:$B$190,$B132)*Inputs!$D$1)</f>
        <v>0</v>
      </c>
      <c r="AY132" s="57">
        <f>IF(ISNA(SUMIFS(INDEX(Inputs!$B$2:$AZ$190,,MATCH(SUBSTITUTE(AY$3,"Q","T"),Inputs!$B$2:$AZ$2,0)),Inputs!$B$2:$B$190,$B132)*Inputs!$D$1),"",SUMIFS(INDEX(Inputs!$B$2:$AZ$190,,MATCH(SUBSTITUTE(AY$3,"Q","T"),Inputs!$B$2:$AZ$2,0)),Inputs!$B$2:$B$190,$B132)*Inputs!$D$1)</f>
        <v>0</v>
      </c>
      <c r="AZ132" s="57">
        <f>IF(ISNA(SUMIFS(INDEX(Inputs!$B$2:$AZ$190,,MATCH(SUBSTITUTE(AZ$3,"Q","T"),Inputs!$B$2:$AZ$2,0)),Inputs!$B$2:$B$190,$B132)*Inputs!$D$1),"",SUMIFS(INDEX(Inputs!$B$2:$AZ$190,,MATCH(SUBSTITUTE(AZ$3,"Q","T"),Inputs!$B$2:$AZ$2,0)),Inputs!$B$2:$B$190,$B132)*Inputs!$D$1)</f>
        <v>0</v>
      </c>
      <c r="BA132" s="57">
        <f>IF(ISNA(SUMIFS(INDEX(Inputs!$B$2:$AZ$190,,MATCH(SUBSTITUTE(BA$3,"Q","T"),Inputs!$B$2:$AZ$2,0)),Inputs!$B$2:$B$190,$B132)*Inputs!$D$1),"",SUMIFS(INDEX(Inputs!$B$2:$AZ$190,,MATCH(SUBSTITUTE(BA$3,"Q","T"),Inputs!$B$2:$AZ$2,0)),Inputs!$B$2:$B$190,$B132)*Inputs!$D$1)</f>
        <v>0</v>
      </c>
      <c r="BB132" s="58">
        <f>BA132</f>
        <v>0</v>
      </c>
      <c r="BC132" s="57">
        <f>IF(ISNA(SUMIFS(INDEX(Inputs!$B$2:$AZ$190,,MATCH(SUBSTITUTE(BC$3,"Q","T"),Inputs!$B$2:$AZ$2,0)),Inputs!$B$2:$B$190,$B132)*Inputs!$D$1),"",SUMIFS(INDEX(Inputs!$B$2:$AZ$190,,MATCH(SUBSTITUTE(BC$3,"Q","T"),Inputs!$B$2:$AZ$2,0)),Inputs!$B$2:$B$190,$B132)*Inputs!$D$1)</f>
        <v>0</v>
      </c>
      <c r="BD132" s="57">
        <f>IF(ISNA(SUMIFS(INDEX(Inputs!$B$2:$AZ$190,,MATCH(SUBSTITUTE(BD$3,"Q","T"),Inputs!$B$2:$AZ$2,0)),Inputs!$B$2:$B$190,$B132)*Inputs!$D$1),"",SUMIFS(INDEX(Inputs!$B$2:$AZ$190,,MATCH(SUBSTITUTE(BD$3,"Q","T"),Inputs!$B$2:$AZ$2,0)),Inputs!$B$2:$B$190,$B132)*Inputs!$D$1)</f>
        <v>0</v>
      </c>
      <c r="BE132" s="57">
        <f>IF(ISNA(SUMIFS(INDEX(Inputs!$B$2:$AZ$190,,MATCH(SUBSTITUTE(BE$3,"Q","T"),Inputs!$B$2:$AZ$2,0)),Inputs!$B$2:$B$190,$B132)*Inputs!$D$1),"",SUMIFS(INDEX(Inputs!$B$2:$AZ$190,,MATCH(SUBSTITUTE(BE$3,"Q","T"),Inputs!$B$2:$AZ$2,0)),Inputs!$B$2:$B$190,$B132)*Inputs!$D$1)</f>
        <v>0</v>
      </c>
      <c r="BF132" s="57">
        <f>IF(ISNA(SUMIFS(INDEX(Inputs!$B$2:$AZ$190,,MATCH(SUBSTITUTE(BF$3,"Q","T"),Inputs!$B$2:$AZ$2,0)),Inputs!$B$2:$B$190,$B132)*Inputs!$D$1),"",SUMIFS(INDEX(Inputs!$B$2:$AZ$190,,MATCH(SUBSTITUTE(BF$3,"Q","T"),Inputs!$B$2:$AZ$2,0)),Inputs!$B$2:$B$190,$B132)*Inputs!$D$1)</f>
        <v>0</v>
      </c>
      <c r="BG132" s="58">
        <f>BF132</f>
        <v>0</v>
      </c>
    </row>
    <row r="133">
      <c r="B133" s="56" t="inlineStr">
        <is>
          <t>ibl</t>
        </is>
      </c>
      <c r="C133" s="11" t="inlineStr">
        <is>
          <t>Passivos onerosos (saldo fim de período)</t>
        </is>
      </c>
      <c r="D133" s="12" t="inlineStr">
        <is>
          <t>Interest-bearing liabilities, eop</t>
        </is>
      </c>
      <c r="E133" s="57">
        <f>IF(ISNA(SUMIFS(INDEX(Inputs!$B$2:$AZ$190,,MATCH(SUBSTITUTE(E$3,"Q","T"),Inputs!$B$2:$AZ$2,0)),Inputs!$B$2:$B$190,$B133)*Inputs!$D$1),"",SUMIFS(INDEX(Inputs!$B$2:$AZ$190,,MATCH(SUBSTITUTE(E$3,"Q","T"),Inputs!$B$2:$AZ$2,0)),Inputs!$B$2:$B$190,$B133)*Inputs!$D$1)</f>
        <v>0</v>
      </c>
      <c r="F133" s="57">
        <f>IF(ISNA(SUMIFS(INDEX(Inputs!$B$2:$AZ$190,,MATCH(SUBSTITUTE(F$3,"Q","T"),Inputs!$B$2:$AZ$2,0)),Inputs!$B$2:$B$190,$B133)*Inputs!$D$1),"",SUMIFS(INDEX(Inputs!$B$2:$AZ$190,,MATCH(SUBSTITUTE(F$3,"Q","T"),Inputs!$B$2:$AZ$2,0)),Inputs!$B$2:$B$190,$B133)*Inputs!$D$1)</f>
        <v>0</v>
      </c>
      <c r="G133" s="57">
        <f>IF(ISNA(SUMIFS(INDEX(Inputs!$B$2:$AZ$190,,MATCH(SUBSTITUTE(G$3,"Q","T"),Inputs!$B$2:$AZ$2,0)),Inputs!$B$2:$B$190,$B133)*Inputs!$D$1),"",SUMIFS(INDEX(Inputs!$B$2:$AZ$190,,MATCH(SUBSTITUTE(G$3,"Q","T"),Inputs!$B$2:$AZ$2,0)),Inputs!$B$2:$B$190,$B133)*Inputs!$D$1)</f>
        <v>0</v>
      </c>
      <c r="H133" s="57">
        <f>IF(ISNA(SUMIFS(INDEX(Inputs!$B$2:$AZ$190,,MATCH(SUBSTITUTE(H$3,"Q","T"),Inputs!$B$2:$AZ$2,0)),Inputs!$B$2:$B$190,$B133)*Inputs!$D$1),"",SUMIFS(INDEX(Inputs!$B$2:$AZ$190,,MATCH(SUBSTITUTE(H$3,"Q","T"),Inputs!$B$2:$AZ$2,0)),Inputs!$B$2:$B$190,$B133)*Inputs!$D$1)</f>
        <v>0</v>
      </c>
      <c r="I133" s="58">
        <f>H133</f>
        <v>0</v>
      </c>
      <c r="J133" s="57">
        <f>IF(ISNA(SUMIFS(INDEX(Inputs!$B$2:$AZ$190,,MATCH(SUBSTITUTE(J$3,"Q","T"),Inputs!$B$2:$AZ$2,0)),Inputs!$B$2:$B$190,$B133)*Inputs!$D$1),"",SUMIFS(INDEX(Inputs!$B$2:$AZ$190,,MATCH(SUBSTITUTE(J$3,"Q","T"),Inputs!$B$2:$AZ$2,0)),Inputs!$B$2:$B$190,$B133)*Inputs!$D$1)</f>
        <v>0</v>
      </c>
      <c r="K133" s="57">
        <f>IF(ISNA(SUMIFS(INDEX(Inputs!$B$2:$AZ$190,,MATCH(SUBSTITUTE(K$3,"Q","T"),Inputs!$B$2:$AZ$2,0)),Inputs!$B$2:$B$190,$B133)*Inputs!$D$1),"",SUMIFS(INDEX(Inputs!$B$2:$AZ$190,,MATCH(SUBSTITUTE(K$3,"Q","T"),Inputs!$B$2:$AZ$2,0)),Inputs!$B$2:$B$190,$B133)*Inputs!$D$1)</f>
        <v>0</v>
      </c>
      <c r="L133" s="57">
        <f>IF(ISNA(SUMIFS(INDEX(Inputs!$B$2:$AZ$190,,MATCH(SUBSTITUTE(L$3,"Q","T"),Inputs!$B$2:$AZ$2,0)),Inputs!$B$2:$B$190,$B133)*Inputs!$D$1),"",SUMIFS(INDEX(Inputs!$B$2:$AZ$190,,MATCH(SUBSTITUTE(L$3,"Q","T"),Inputs!$B$2:$AZ$2,0)),Inputs!$B$2:$B$190,$B133)*Inputs!$D$1)</f>
        <v>0</v>
      </c>
      <c r="M133" s="57">
        <f>IF(ISNA(SUMIFS(INDEX(Inputs!$B$2:$AZ$190,,MATCH(SUBSTITUTE(M$3,"Q","T"),Inputs!$B$2:$AZ$2,0)),Inputs!$B$2:$B$190,$B133)*Inputs!$D$1),"",SUMIFS(INDEX(Inputs!$B$2:$AZ$190,,MATCH(SUBSTITUTE(M$3,"Q","T"),Inputs!$B$2:$AZ$2,0)),Inputs!$B$2:$B$190,$B133)*Inputs!$D$1)</f>
        <v>0</v>
      </c>
      <c r="N133" s="58">
        <f>M133</f>
        <v>0</v>
      </c>
      <c r="O133" s="57">
        <f>IF(ISNA(SUMIFS(INDEX(Inputs!$B$2:$AZ$190,,MATCH(SUBSTITUTE(O$3,"Q","T"),Inputs!$B$2:$AZ$2,0)),Inputs!$B$2:$B$190,$B133)*Inputs!$D$1),"",SUMIFS(INDEX(Inputs!$B$2:$AZ$190,,MATCH(SUBSTITUTE(O$3,"Q","T"),Inputs!$B$2:$AZ$2,0)),Inputs!$B$2:$B$190,$B133)*Inputs!$D$1)</f>
        <v>0</v>
      </c>
      <c r="P133" s="57">
        <f>IF(ISNA(SUMIFS(INDEX(Inputs!$B$2:$AZ$190,,MATCH(SUBSTITUTE(P$3,"Q","T"),Inputs!$B$2:$AZ$2,0)),Inputs!$B$2:$B$190,$B133)*Inputs!$D$1),"",SUMIFS(INDEX(Inputs!$B$2:$AZ$190,,MATCH(SUBSTITUTE(P$3,"Q","T"),Inputs!$B$2:$AZ$2,0)),Inputs!$B$2:$B$190,$B133)*Inputs!$D$1)</f>
        <v>0</v>
      </c>
      <c r="Q133" s="57">
        <f>IF(ISNA(SUMIFS(INDEX(Inputs!$B$2:$AZ$190,,MATCH(SUBSTITUTE(Q$3,"Q","T"),Inputs!$B$2:$AZ$2,0)),Inputs!$B$2:$B$190,$B133)*Inputs!$D$1),"",SUMIFS(INDEX(Inputs!$B$2:$AZ$190,,MATCH(SUBSTITUTE(Q$3,"Q","T"),Inputs!$B$2:$AZ$2,0)),Inputs!$B$2:$B$190,$B133)*Inputs!$D$1)</f>
        <v>0</v>
      </c>
      <c r="R133" s="57">
        <f>IF(ISNA(SUMIFS(INDEX(Inputs!$B$2:$AZ$190,,MATCH(SUBSTITUTE(R$3,"Q","T"),Inputs!$B$2:$AZ$2,0)),Inputs!$B$2:$B$190,$B133)*Inputs!$D$1),"",SUMIFS(INDEX(Inputs!$B$2:$AZ$190,,MATCH(SUBSTITUTE(R$3,"Q","T"),Inputs!$B$2:$AZ$2,0)),Inputs!$B$2:$B$190,$B133)*Inputs!$D$1)</f>
        <v>0</v>
      </c>
      <c r="S133" s="58">
        <f>R133</f>
        <v>0</v>
      </c>
      <c r="T133" s="57">
        <f>IF(ISNA(SUMIFS(INDEX(Inputs!$B$2:$AZ$190,,MATCH(SUBSTITUTE(T$3,"Q","T"),Inputs!$B$2:$AZ$2,0)),Inputs!$B$2:$B$190,$B133)*Inputs!$D$1),"",SUMIFS(INDEX(Inputs!$B$2:$AZ$190,,MATCH(SUBSTITUTE(T$3,"Q","T"),Inputs!$B$2:$AZ$2,0)),Inputs!$B$2:$B$190,$B133)*Inputs!$D$1)</f>
        <v>0</v>
      </c>
      <c r="U133" s="57">
        <f>IF(ISNA(SUMIFS(INDEX(Inputs!$B$2:$AZ$190,,MATCH(SUBSTITUTE(U$3,"Q","T"),Inputs!$B$2:$AZ$2,0)),Inputs!$B$2:$B$190,$B133)*Inputs!$D$1),"",SUMIFS(INDEX(Inputs!$B$2:$AZ$190,,MATCH(SUBSTITUTE(U$3,"Q","T"),Inputs!$B$2:$AZ$2,0)),Inputs!$B$2:$B$190,$B133)*Inputs!$D$1)</f>
        <v>0</v>
      </c>
      <c r="V133" s="57">
        <f>IF(ISNA(SUMIFS(INDEX(Inputs!$B$2:$AZ$190,,MATCH(SUBSTITUTE(V$3,"Q","T"),Inputs!$B$2:$AZ$2,0)),Inputs!$B$2:$B$190,$B133)*Inputs!$D$1),"",SUMIFS(INDEX(Inputs!$B$2:$AZ$190,,MATCH(SUBSTITUTE(V$3,"Q","T"),Inputs!$B$2:$AZ$2,0)),Inputs!$B$2:$B$190,$B133)*Inputs!$D$1)</f>
        <v>0</v>
      </c>
      <c r="W133" s="57">
        <f>IF(ISNA(SUMIFS(INDEX(Inputs!$B$2:$AZ$190,,MATCH(SUBSTITUTE(W$3,"Q","T"),Inputs!$B$2:$AZ$2,0)),Inputs!$B$2:$B$190,$B133)*Inputs!$D$1),"",SUMIFS(INDEX(Inputs!$B$2:$AZ$190,,MATCH(SUBSTITUTE(W$3,"Q","T"),Inputs!$B$2:$AZ$2,0)),Inputs!$B$2:$B$190,$B133)*Inputs!$D$1)</f>
        <v>0</v>
      </c>
      <c r="X133" s="58">
        <f>W133</f>
        <v>0</v>
      </c>
      <c r="Y133" s="57">
        <f>IF(ISNA(SUMIFS(INDEX(Inputs!$B$2:$AZ$190,,MATCH(SUBSTITUTE(Y$3,"Q","T"),Inputs!$B$2:$AZ$2,0)),Inputs!$B$2:$B$190,$B133)*Inputs!$D$1),"",SUMIFS(INDEX(Inputs!$B$2:$AZ$190,,MATCH(SUBSTITUTE(Y$3,"Q","T"),Inputs!$B$2:$AZ$2,0)),Inputs!$B$2:$B$190,$B133)*Inputs!$D$1)</f>
        <v>0</v>
      </c>
      <c r="Z133" s="57">
        <f>IF(ISNA(SUMIFS(INDEX(Inputs!$B$2:$AZ$190,,MATCH(SUBSTITUTE(Z$3,"Q","T"),Inputs!$B$2:$AZ$2,0)),Inputs!$B$2:$B$190,$B133)*Inputs!$D$1),"",SUMIFS(INDEX(Inputs!$B$2:$AZ$190,,MATCH(SUBSTITUTE(Z$3,"Q","T"),Inputs!$B$2:$AZ$2,0)),Inputs!$B$2:$B$190,$B133)*Inputs!$D$1)</f>
        <v>0</v>
      </c>
      <c r="AA133" s="57">
        <f>IF(ISNA(SUMIFS(INDEX(Inputs!$B$2:$AZ$190,,MATCH(SUBSTITUTE(AA$3,"Q","T"),Inputs!$B$2:$AZ$2,0)),Inputs!$B$2:$B$190,$B133)*Inputs!$D$1),"",SUMIFS(INDEX(Inputs!$B$2:$AZ$190,,MATCH(SUBSTITUTE(AA$3,"Q","T"),Inputs!$B$2:$AZ$2,0)),Inputs!$B$2:$B$190,$B133)*Inputs!$D$1)</f>
        <v>0</v>
      </c>
      <c r="AB133" s="57">
        <f>IF(ISNA(SUMIFS(INDEX(Inputs!$B$2:$AZ$190,,MATCH(SUBSTITUTE(AB$3,"Q","T"),Inputs!$B$2:$AZ$2,0)),Inputs!$B$2:$B$190,$B133)*Inputs!$D$1),"",SUMIFS(INDEX(Inputs!$B$2:$AZ$190,,MATCH(SUBSTITUTE(AB$3,"Q","T"),Inputs!$B$2:$AZ$2,0)),Inputs!$B$2:$B$190,$B133)*Inputs!$D$1)</f>
        <v>0</v>
      </c>
      <c r="AC133" s="58">
        <f>AB133</f>
        <v>0</v>
      </c>
      <c r="AD133" s="57">
        <f>IF(ISNA(SUMIFS(INDEX(Inputs!$B$2:$AZ$190,,MATCH(SUBSTITUTE(AD$3,"Q","T"),Inputs!$B$2:$AZ$2,0)),Inputs!$B$2:$B$190,$B133)*Inputs!$D$1),"",SUMIFS(INDEX(Inputs!$B$2:$AZ$190,,MATCH(SUBSTITUTE(AD$3,"Q","T"),Inputs!$B$2:$AZ$2,0)),Inputs!$B$2:$B$190,$B133)*Inputs!$D$1)</f>
        <v>0</v>
      </c>
      <c r="AE133" s="57">
        <f>IF(ISNA(SUMIFS(INDEX(Inputs!$B$2:$AZ$190,,MATCH(SUBSTITUTE(AE$3,"Q","T"),Inputs!$B$2:$AZ$2,0)),Inputs!$B$2:$B$190,$B133)*Inputs!$D$1),"",SUMIFS(INDEX(Inputs!$B$2:$AZ$190,,MATCH(SUBSTITUTE(AE$3,"Q","T"),Inputs!$B$2:$AZ$2,0)),Inputs!$B$2:$B$190,$B133)*Inputs!$D$1)</f>
        <v>0</v>
      </c>
      <c r="AF133" s="57">
        <f>IF(ISNA(SUMIFS(INDEX(Inputs!$B$2:$AZ$190,,MATCH(SUBSTITUTE(AF$3,"Q","T"),Inputs!$B$2:$AZ$2,0)),Inputs!$B$2:$B$190,$B133)*Inputs!$D$1),"",SUMIFS(INDEX(Inputs!$B$2:$AZ$190,,MATCH(SUBSTITUTE(AF$3,"Q","T"),Inputs!$B$2:$AZ$2,0)),Inputs!$B$2:$B$190,$B133)*Inputs!$D$1)</f>
        <v>0</v>
      </c>
      <c r="AG133" s="57">
        <f>IF(ISNA(SUMIFS(INDEX(Inputs!$B$2:$AZ$190,,MATCH(SUBSTITUTE(AG$3,"Q","T"),Inputs!$B$2:$AZ$2,0)),Inputs!$B$2:$B$190,$B133)*Inputs!$D$1),"",SUMIFS(INDEX(Inputs!$B$2:$AZ$190,,MATCH(SUBSTITUTE(AG$3,"Q","T"),Inputs!$B$2:$AZ$2,0)),Inputs!$B$2:$B$190,$B133)*Inputs!$D$1)</f>
        <v>0</v>
      </c>
      <c r="AH133" s="58">
        <f>AG133</f>
        <v>0</v>
      </c>
      <c r="AI133" s="57">
        <f>IF(ISNA(SUMIFS(INDEX(Inputs!$B$2:$AZ$190,,MATCH(SUBSTITUTE(AI$3,"Q","T"),Inputs!$B$2:$AZ$2,0)),Inputs!$B$2:$B$190,$B133)*Inputs!$D$1),"",SUMIFS(INDEX(Inputs!$B$2:$AZ$190,,MATCH(SUBSTITUTE(AI$3,"Q","T"),Inputs!$B$2:$AZ$2,0)),Inputs!$B$2:$B$190,$B133)*Inputs!$D$1)</f>
        <v>0</v>
      </c>
      <c r="AJ133" s="57">
        <f>IF(ISNA(SUMIFS(INDEX(Inputs!$B$2:$AZ$190,,MATCH(SUBSTITUTE(AJ$3,"Q","T"),Inputs!$B$2:$AZ$2,0)),Inputs!$B$2:$B$190,$B133)*Inputs!$D$1),"",SUMIFS(INDEX(Inputs!$B$2:$AZ$190,,MATCH(SUBSTITUTE(AJ$3,"Q","T"),Inputs!$B$2:$AZ$2,0)),Inputs!$B$2:$B$190,$B133)*Inputs!$D$1)</f>
        <v>0</v>
      </c>
      <c r="AK133" s="57">
        <f>IF(ISNA(SUMIFS(INDEX(Inputs!$B$2:$AZ$190,,MATCH(SUBSTITUTE(AK$3,"Q","T"),Inputs!$B$2:$AZ$2,0)),Inputs!$B$2:$B$190,$B133)*Inputs!$D$1),"",SUMIFS(INDEX(Inputs!$B$2:$AZ$190,,MATCH(SUBSTITUTE(AK$3,"Q","T"),Inputs!$B$2:$AZ$2,0)),Inputs!$B$2:$B$190,$B133)*Inputs!$D$1)</f>
        <v>0</v>
      </c>
      <c r="AL133" s="57">
        <f>IF(ISNA(SUMIFS(INDEX(Inputs!$B$2:$AZ$190,,MATCH(SUBSTITUTE(AL$3,"Q","T"),Inputs!$B$2:$AZ$2,0)),Inputs!$B$2:$B$190,$B133)*Inputs!$D$1),"",SUMIFS(INDEX(Inputs!$B$2:$AZ$190,,MATCH(SUBSTITUTE(AL$3,"Q","T"),Inputs!$B$2:$AZ$2,0)),Inputs!$B$2:$B$190,$B133)*Inputs!$D$1)</f>
        <v>0</v>
      </c>
      <c r="AM133" s="58">
        <f>AL133</f>
        <v>0</v>
      </c>
      <c r="AN133" s="57">
        <f>IF(ISNA(SUMIFS(INDEX(Inputs!$B$2:$AZ$190,,MATCH(SUBSTITUTE(AN$3,"Q","T"),Inputs!$B$2:$AZ$2,0)),Inputs!$B$2:$B$190,$B133)*Inputs!$D$1),"",SUMIFS(INDEX(Inputs!$B$2:$AZ$190,,MATCH(SUBSTITUTE(AN$3,"Q","T"),Inputs!$B$2:$AZ$2,0)),Inputs!$B$2:$B$190,$B133)*Inputs!$D$1)</f>
        <v>0</v>
      </c>
      <c r="AO133" s="57">
        <f>IF(ISNA(SUMIFS(INDEX(Inputs!$B$2:$AZ$190,,MATCH(SUBSTITUTE(AO$3,"Q","T"),Inputs!$B$2:$AZ$2,0)),Inputs!$B$2:$B$190,$B133)*Inputs!$D$1),"",SUMIFS(INDEX(Inputs!$B$2:$AZ$190,,MATCH(SUBSTITUTE(AO$3,"Q","T"),Inputs!$B$2:$AZ$2,0)),Inputs!$B$2:$B$190,$B133)*Inputs!$D$1)</f>
        <v>0</v>
      </c>
      <c r="AP133" s="57">
        <f>IF(ISNA(SUMIFS(INDEX(Inputs!$B$2:$AZ$190,,MATCH(SUBSTITUTE(AP$3,"Q","T"),Inputs!$B$2:$AZ$2,0)),Inputs!$B$2:$B$190,$B133)*Inputs!$D$1),"",SUMIFS(INDEX(Inputs!$B$2:$AZ$190,,MATCH(SUBSTITUTE(AP$3,"Q","T"),Inputs!$B$2:$AZ$2,0)),Inputs!$B$2:$B$190,$B133)*Inputs!$D$1)</f>
        <v>0</v>
      </c>
      <c r="AQ133" s="57">
        <f>IF(ISNA(SUMIFS(INDEX(Inputs!$B$2:$AZ$190,,MATCH(SUBSTITUTE(AQ$3,"Q","T"),Inputs!$B$2:$AZ$2,0)),Inputs!$B$2:$B$190,$B133)*Inputs!$D$1),"",SUMIFS(INDEX(Inputs!$B$2:$AZ$190,,MATCH(SUBSTITUTE(AQ$3,"Q","T"),Inputs!$B$2:$AZ$2,0)),Inputs!$B$2:$B$190,$B133)*Inputs!$D$1)</f>
        <v>0</v>
      </c>
      <c r="AR133" s="58">
        <f>AQ133</f>
        <v>0</v>
      </c>
      <c r="AS133" s="57">
        <f>IF(ISNA(SUMIFS(INDEX(Inputs!$B$2:$AZ$190,,MATCH(SUBSTITUTE(AS$3,"Q","T"),Inputs!$B$2:$AZ$2,0)),Inputs!$B$2:$B$190,$B133)*Inputs!$D$1),"",SUMIFS(INDEX(Inputs!$B$2:$AZ$190,,MATCH(SUBSTITUTE(AS$3,"Q","T"),Inputs!$B$2:$AZ$2,0)),Inputs!$B$2:$B$190,$B133)*Inputs!$D$1)</f>
        <v>0</v>
      </c>
      <c r="AT133" s="57">
        <f>IF(ISNA(SUMIFS(INDEX(Inputs!$B$2:$AZ$190,,MATCH(SUBSTITUTE(AT$3,"Q","T"),Inputs!$B$2:$AZ$2,0)),Inputs!$B$2:$B$190,$B133)*Inputs!$D$1),"",SUMIFS(INDEX(Inputs!$B$2:$AZ$190,,MATCH(SUBSTITUTE(AT$3,"Q","T"),Inputs!$B$2:$AZ$2,0)),Inputs!$B$2:$B$190,$B133)*Inputs!$D$1)</f>
        <v>0</v>
      </c>
      <c r="AU133" s="57">
        <f>IF(ISNA(SUMIFS(INDEX(Inputs!$B$2:$AZ$190,,MATCH(SUBSTITUTE(AU$3,"Q","T"),Inputs!$B$2:$AZ$2,0)),Inputs!$B$2:$B$190,$B133)*Inputs!$D$1),"",SUMIFS(INDEX(Inputs!$B$2:$AZ$190,,MATCH(SUBSTITUTE(AU$3,"Q","T"),Inputs!$B$2:$AZ$2,0)),Inputs!$B$2:$B$190,$B133)*Inputs!$D$1)</f>
        <v>0</v>
      </c>
      <c r="AV133" s="57">
        <f>IF(ISNA(SUMIFS(INDEX(Inputs!$B$2:$AZ$190,,MATCH(SUBSTITUTE(AV$3,"Q","T"),Inputs!$B$2:$AZ$2,0)),Inputs!$B$2:$B$190,$B133)*Inputs!$D$1),"",SUMIFS(INDEX(Inputs!$B$2:$AZ$190,,MATCH(SUBSTITUTE(AV$3,"Q","T"),Inputs!$B$2:$AZ$2,0)),Inputs!$B$2:$B$190,$B133)*Inputs!$D$1)</f>
        <v>0</v>
      </c>
      <c r="AW133" s="58">
        <f>AV133</f>
        <v>0</v>
      </c>
      <c r="AX133" s="57">
        <f>IF(ISNA(SUMIFS(INDEX(Inputs!$B$2:$AZ$190,,MATCH(SUBSTITUTE(AX$3,"Q","T"),Inputs!$B$2:$AZ$2,0)),Inputs!$B$2:$B$190,$B133)*Inputs!$D$1),"",SUMIFS(INDEX(Inputs!$B$2:$AZ$190,,MATCH(SUBSTITUTE(AX$3,"Q","T"),Inputs!$B$2:$AZ$2,0)),Inputs!$B$2:$B$190,$B133)*Inputs!$D$1)</f>
        <v>0</v>
      </c>
      <c r="AY133" s="57">
        <f>IF(ISNA(SUMIFS(INDEX(Inputs!$B$2:$AZ$190,,MATCH(SUBSTITUTE(AY$3,"Q","T"),Inputs!$B$2:$AZ$2,0)),Inputs!$B$2:$B$190,$B133)*Inputs!$D$1),"",SUMIFS(INDEX(Inputs!$B$2:$AZ$190,,MATCH(SUBSTITUTE(AY$3,"Q","T"),Inputs!$B$2:$AZ$2,0)),Inputs!$B$2:$B$190,$B133)*Inputs!$D$1)</f>
        <v>0</v>
      </c>
      <c r="AZ133" s="57">
        <f>IF(ISNA(SUMIFS(INDEX(Inputs!$B$2:$AZ$190,,MATCH(SUBSTITUTE(AZ$3,"Q","T"),Inputs!$B$2:$AZ$2,0)),Inputs!$B$2:$B$190,$B133)*Inputs!$D$1),"",SUMIFS(INDEX(Inputs!$B$2:$AZ$190,,MATCH(SUBSTITUTE(AZ$3,"Q","T"),Inputs!$B$2:$AZ$2,0)),Inputs!$B$2:$B$190,$B133)*Inputs!$D$1)</f>
        <v>0</v>
      </c>
      <c r="BA133" s="57">
        <f>IF(ISNA(SUMIFS(INDEX(Inputs!$B$2:$AZ$190,,MATCH(SUBSTITUTE(BA$3,"Q","T"),Inputs!$B$2:$AZ$2,0)),Inputs!$B$2:$B$190,$B133)*Inputs!$D$1),"",SUMIFS(INDEX(Inputs!$B$2:$AZ$190,,MATCH(SUBSTITUTE(BA$3,"Q","T"),Inputs!$B$2:$AZ$2,0)),Inputs!$B$2:$B$190,$B133)*Inputs!$D$1)</f>
        <v>0</v>
      </c>
      <c r="BB133" s="58">
        <f>BA133</f>
        <v>0</v>
      </c>
      <c r="BC133" s="57">
        <f>IF(ISNA(SUMIFS(INDEX(Inputs!$B$2:$AZ$190,,MATCH(SUBSTITUTE(BC$3,"Q","T"),Inputs!$B$2:$AZ$2,0)),Inputs!$B$2:$B$190,$B133)*Inputs!$D$1),"",SUMIFS(INDEX(Inputs!$B$2:$AZ$190,,MATCH(SUBSTITUTE(BC$3,"Q","T"),Inputs!$B$2:$AZ$2,0)),Inputs!$B$2:$B$190,$B133)*Inputs!$D$1)</f>
        <v>0</v>
      </c>
      <c r="BD133" s="57">
        <f>IF(ISNA(SUMIFS(INDEX(Inputs!$B$2:$AZ$190,,MATCH(SUBSTITUTE(BD$3,"Q","T"),Inputs!$B$2:$AZ$2,0)),Inputs!$B$2:$B$190,$B133)*Inputs!$D$1),"",SUMIFS(INDEX(Inputs!$B$2:$AZ$190,,MATCH(SUBSTITUTE(BD$3,"Q","T"),Inputs!$B$2:$AZ$2,0)),Inputs!$B$2:$B$190,$B133)*Inputs!$D$1)</f>
        <v>0</v>
      </c>
      <c r="BE133" s="57">
        <f>IF(ISNA(SUMIFS(INDEX(Inputs!$B$2:$AZ$190,,MATCH(SUBSTITUTE(BE$3,"Q","T"),Inputs!$B$2:$AZ$2,0)),Inputs!$B$2:$B$190,$B133)*Inputs!$D$1),"",SUMIFS(INDEX(Inputs!$B$2:$AZ$190,,MATCH(SUBSTITUTE(BE$3,"Q","T"),Inputs!$B$2:$AZ$2,0)),Inputs!$B$2:$B$190,$B133)*Inputs!$D$1)</f>
        <v>0</v>
      </c>
      <c r="BF133" s="57">
        <f>IF(ISNA(SUMIFS(INDEX(Inputs!$B$2:$AZ$190,,MATCH(SUBSTITUTE(BF$3,"Q","T"),Inputs!$B$2:$AZ$2,0)),Inputs!$B$2:$B$190,$B133)*Inputs!$D$1),"",SUMIFS(INDEX(Inputs!$B$2:$AZ$190,,MATCH(SUBSTITUTE(BF$3,"Q","T"),Inputs!$B$2:$AZ$2,0)),Inputs!$B$2:$B$190,$B133)*Inputs!$D$1)</f>
        <v>0</v>
      </c>
      <c r="BG133" s="58">
        <f>BF133</f>
        <v>0</v>
      </c>
    </row>
    <row r="135">
      <c r="B135" s="29" t="n"/>
      <c r="C135" s="29" t="inlineStr">
        <is>
          <t>Capital regulatório e liquidez (Basileia III dos EUA)</t>
        </is>
      </c>
      <c r="D135" s="29" t="inlineStr">
        <is>
          <t>Regulatory capital and liquidity (US Basel III)</t>
        </is>
      </c>
      <c r="E135" s="29" t="n"/>
      <c r="F135" s="29" t="n"/>
      <c r="G135" s="29" t="n"/>
      <c r="H135" s="29" t="n"/>
      <c r="I135" s="29" t="n"/>
      <c r="J135" s="29" t="n"/>
      <c r="K135" s="29" t="n"/>
      <c r="L135" s="29" t="n"/>
      <c r="M135" s="29" t="n"/>
      <c r="N135" s="29" t="n"/>
      <c r="O135" s="29" t="n"/>
      <c r="P135" s="29" t="n"/>
      <c r="Q135" s="29" t="n"/>
      <c r="R135" s="29" t="n"/>
      <c r="S135" s="29" t="n"/>
      <c r="T135" s="29" t="n"/>
      <c r="U135" s="29" t="n"/>
      <c r="V135" s="29" t="n"/>
      <c r="W135" s="29" t="n"/>
      <c r="X135" s="29" t="n"/>
      <c r="Y135" s="29" t="n"/>
      <c r="Z135" s="29" t="n"/>
      <c r="AA135" s="29" t="n"/>
      <c r="AB135" s="29" t="n"/>
      <c r="AC135" s="29" t="n"/>
      <c r="AD135" s="29" t="n"/>
      <c r="AE135" s="29" t="n"/>
      <c r="AF135" s="29" t="n"/>
      <c r="AG135" s="29" t="n"/>
      <c r="AH135" s="29" t="n"/>
      <c r="AI135" s="29" t="n"/>
      <c r="AJ135" s="29" t="n"/>
      <c r="AK135" s="29" t="n"/>
      <c r="AL135" s="29" t="n"/>
      <c r="AM135" s="29" t="n"/>
      <c r="AN135" s="29" t="n"/>
      <c r="AO135" s="29" t="n"/>
      <c r="AP135" s="29" t="n"/>
      <c r="AQ135" s="29" t="n"/>
      <c r="AR135" s="29" t="n"/>
      <c r="AS135" s="29" t="n"/>
      <c r="AT135" s="29" t="n"/>
      <c r="AU135" s="29" t="n"/>
      <c r="AV135" s="29" t="n"/>
      <c r="AW135" s="29" t="n"/>
      <c r="AX135" s="29" t="n"/>
      <c r="AY135" s="29" t="n"/>
      <c r="AZ135" s="29" t="n"/>
      <c r="BA135" s="29" t="n"/>
      <c r="BB135" s="29" t="n"/>
      <c r="BC135" s="29" t="n"/>
      <c r="BD135" s="29" t="n"/>
      <c r="BE135" s="29" t="n"/>
      <c r="BF135" s="29" t="n"/>
      <c r="BG135" s="29" t="n"/>
      <c r="BH135" s="29" t="n"/>
      <c r="BI135" s="29" t="n"/>
    </row>
    <row r="136">
      <c r="B136" s="56" t="inlineStr">
        <is>
          <t>rwa</t>
        </is>
      </c>
      <c r="C136" s="11" t="inlineStr">
        <is>
          <t>RWA — abordagem padronizada (Standardized)</t>
        </is>
      </c>
      <c r="D136" s="12" t="inlineStr">
        <is>
          <t>RWA — Standardized</t>
        </is>
      </c>
      <c r="E136" s="57">
        <f>IF(ISNA(SUMIFS(INDEX(Inputs!$B$2:$AZ$190,,MATCH(SUBSTITUTE(E$3,"Q","T"),Inputs!$B$2:$AZ$2,0)),Inputs!$B$2:$B$190,$B136)*Inputs!$D$1),"",SUMIFS(INDEX(Inputs!$B$2:$AZ$190,,MATCH(SUBSTITUTE(E$3,"Q","T"),Inputs!$B$2:$AZ$2,0)),Inputs!$B$2:$B$190,$B136)*Inputs!$D$1)</f>
        <v>0</v>
      </c>
      <c r="F136" s="57">
        <f>IF(ISNA(SUMIFS(INDEX(Inputs!$B$2:$AZ$190,,MATCH(SUBSTITUTE(F$3,"Q","T"),Inputs!$B$2:$AZ$2,0)),Inputs!$B$2:$B$190,$B136)*Inputs!$D$1),"",SUMIFS(INDEX(Inputs!$B$2:$AZ$190,,MATCH(SUBSTITUTE(F$3,"Q","T"),Inputs!$B$2:$AZ$2,0)),Inputs!$B$2:$B$190,$B136)*Inputs!$D$1)</f>
        <v>0</v>
      </c>
      <c r="G136" s="57">
        <f>IF(ISNA(SUMIFS(INDEX(Inputs!$B$2:$AZ$190,,MATCH(SUBSTITUTE(G$3,"Q","T"),Inputs!$B$2:$AZ$2,0)),Inputs!$B$2:$B$190,$B136)*Inputs!$D$1),"",SUMIFS(INDEX(Inputs!$B$2:$AZ$190,,MATCH(SUBSTITUTE(G$3,"Q","T"),Inputs!$B$2:$AZ$2,0)),Inputs!$B$2:$B$190,$B136)*Inputs!$D$1)</f>
        <v>0</v>
      </c>
      <c r="H136" s="57">
        <f>IF(ISNA(SUMIFS(INDEX(Inputs!$B$2:$AZ$190,,MATCH(SUBSTITUTE(H$3,"Q","T"),Inputs!$B$2:$AZ$2,0)),Inputs!$B$2:$B$190,$B136)*Inputs!$D$1),"",SUMIFS(INDEX(Inputs!$B$2:$AZ$190,,MATCH(SUBSTITUTE(H$3,"Q","T"),Inputs!$B$2:$AZ$2,0)),Inputs!$B$2:$B$190,$B136)*Inputs!$D$1)</f>
        <v>0</v>
      </c>
      <c r="I136" s="58">
        <f>H136</f>
        <v>0</v>
      </c>
      <c r="J136" s="57">
        <f>IF(ISNA(SUMIFS(INDEX(Inputs!$B$2:$AZ$190,,MATCH(SUBSTITUTE(J$3,"Q","T"),Inputs!$B$2:$AZ$2,0)),Inputs!$B$2:$B$190,$B136)*Inputs!$D$1),"",SUMIFS(INDEX(Inputs!$B$2:$AZ$190,,MATCH(SUBSTITUTE(J$3,"Q","T"),Inputs!$B$2:$AZ$2,0)),Inputs!$B$2:$B$190,$B136)*Inputs!$D$1)</f>
        <v>0</v>
      </c>
      <c r="K136" s="57">
        <f>IF(ISNA(SUMIFS(INDEX(Inputs!$B$2:$AZ$190,,MATCH(SUBSTITUTE(K$3,"Q","T"),Inputs!$B$2:$AZ$2,0)),Inputs!$B$2:$B$190,$B136)*Inputs!$D$1),"",SUMIFS(INDEX(Inputs!$B$2:$AZ$190,,MATCH(SUBSTITUTE(K$3,"Q","T"),Inputs!$B$2:$AZ$2,0)),Inputs!$B$2:$B$190,$B136)*Inputs!$D$1)</f>
        <v>0</v>
      </c>
      <c r="L136" s="57">
        <f>IF(ISNA(SUMIFS(INDEX(Inputs!$B$2:$AZ$190,,MATCH(SUBSTITUTE(L$3,"Q","T"),Inputs!$B$2:$AZ$2,0)),Inputs!$B$2:$B$190,$B136)*Inputs!$D$1),"",SUMIFS(INDEX(Inputs!$B$2:$AZ$190,,MATCH(SUBSTITUTE(L$3,"Q","T"),Inputs!$B$2:$AZ$2,0)),Inputs!$B$2:$B$190,$B136)*Inputs!$D$1)</f>
        <v>0</v>
      </c>
      <c r="M136" s="57">
        <f>IF(ISNA(SUMIFS(INDEX(Inputs!$B$2:$AZ$190,,MATCH(SUBSTITUTE(M$3,"Q","T"),Inputs!$B$2:$AZ$2,0)),Inputs!$B$2:$B$190,$B136)*Inputs!$D$1),"",SUMIFS(INDEX(Inputs!$B$2:$AZ$190,,MATCH(SUBSTITUTE(M$3,"Q","T"),Inputs!$B$2:$AZ$2,0)),Inputs!$B$2:$B$190,$B136)*Inputs!$D$1)</f>
        <v>0</v>
      </c>
      <c r="N136" s="58">
        <f>M136</f>
        <v>0</v>
      </c>
      <c r="O136" s="57">
        <f>IF(ISNA(SUMIFS(INDEX(Inputs!$B$2:$AZ$190,,MATCH(SUBSTITUTE(O$3,"Q","T"),Inputs!$B$2:$AZ$2,0)),Inputs!$B$2:$B$190,$B136)*Inputs!$D$1),"",SUMIFS(INDEX(Inputs!$B$2:$AZ$190,,MATCH(SUBSTITUTE(O$3,"Q","T"),Inputs!$B$2:$AZ$2,0)),Inputs!$B$2:$B$190,$B136)*Inputs!$D$1)</f>
        <v>0</v>
      </c>
      <c r="P136" s="57">
        <f>IF(ISNA(SUMIFS(INDEX(Inputs!$B$2:$AZ$190,,MATCH(SUBSTITUTE(P$3,"Q","T"),Inputs!$B$2:$AZ$2,0)),Inputs!$B$2:$B$190,$B136)*Inputs!$D$1),"",SUMIFS(INDEX(Inputs!$B$2:$AZ$190,,MATCH(SUBSTITUTE(P$3,"Q","T"),Inputs!$B$2:$AZ$2,0)),Inputs!$B$2:$B$190,$B136)*Inputs!$D$1)</f>
        <v>0</v>
      </c>
      <c r="Q136" s="57">
        <f>IF(ISNA(SUMIFS(INDEX(Inputs!$B$2:$AZ$190,,MATCH(SUBSTITUTE(Q$3,"Q","T"),Inputs!$B$2:$AZ$2,0)),Inputs!$B$2:$B$190,$B136)*Inputs!$D$1),"",SUMIFS(INDEX(Inputs!$B$2:$AZ$190,,MATCH(SUBSTITUTE(Q$3,"Q","T"),Inputs!$B$2:$AZ$2,0)),Inputs!$B$2:$B$190,$B136)*Inputs!$D$1)</f>
        <v>0</v>
      </c>
      <c r="R136" s="57">
        <f>IF(ISNA(SUMIFS(INDEX(Inputs!$B$2:$AZ$190,,MATCH(SUBSTITUTE(R$3,"Q","T"),Inputs!$B$2:$AZ$2,0)),Inputs!$B$2:$B$190,$B136)*Inputs!$D$1),"",SUMIFS(INDEX(Inputs!$B$2:$AZ$190,,MATCH(SUBSTITUTE(R$3,"Q","T"),Inputs!$B$2:$AZ$2,0)),Inputs!$B$2:$B$190,$B136)*Inputs!$D$1)</f>
        <v>0</v>
      </c>
      <c r="S136" s="58">
        <f>R136</f>
        <v>0</v>
      </c>
      <c r="T136" s="57">
        <f>IF(ISNA(SUMIFS(INDEX(Inputs!$B$2:$AZ$190,,MATCH(SUBSTITUTE(T$3,"Q","T"),Inputs!$B$2:$AZ$2,0)),Inputs!$B$2:$B$190,$B136)*Inputs!$D$1),"",SUMIFS(INDEX(Inputs!$B$2:$AZ$190,,MATCH(SUBSTITUTE(T$3,"Q","T"),Inputs!$B$2:$AZ$2,0)),Inputs!$B$2:$B$190,$B136)*Inputs!$D$1)</f>
        <v>0</v>
      </c>
      <c r="U136" s="57">
        <f>IF(ISNA(SUMIFS(INDEX(Inputs!$B$2:$AZ$190,,MATCH(SUBSTITUTE(U$3,"Q","T"),Inputs!$B$2:$AZ$2,0)),Inputs!$B$2:$B$190,$B136)*Inputs!$D$1),"",SUMIFS(INDEX(Inputs!$B$2:$AZ$190,,MATCH(SUBSTITUTE(U$3,"Q","T"),Inputs!$B$2:$AZ$2,0)),Inputs!$B$2:$B$190,$B136)*Inputs!$D$1)</f>
        <v>0</v>
      </c>
      <c r="V136" s="57">
        <f>IF(ISNA(SUMIFS(INDEX(Inputs!$B$2:$AZ$190,,MATCH(SUBSTITUTE(V$3,"Q","T"),Inputs!$B$2:$AZ$2,0)),Inputs!$B$2:$B$190,$B136)*Inputs!$D$1),"",SUMIFS(INDEX(Inputs!$B$2:$AZ$190,,MATCH(SUBSTITUTE(V$3,"Q","T"),Inputs!$B$2:$AZ$2,0)),Inputs!$B$2:$B$190,$B136)*Inputs!$D$1)</f>
        <v>0</v>
      </c>
      <c r="W136" s="57">
        <f>IF(ISNA(SUMIFS(INDEX(Inputs!$B$2:$AZ$190,,MATCH(SUBSTITUTE(W$3,"Q","T"),Inputs!$B$2:$AZ$2,0)),Inputs!$B$2:$B$190,$B136)*Inputs!$D$1),"",SUMIFS(INDEX(Inputs!$B$2:$AZ$190,,MATCH(SUBSTITUTE(W$3,"Q","T"),Inputs!$B$2:$AZ$2,0)),Inputs!$B$2:$B$190,$B136)*Inputs!$D$1)</f>
        <v>0</v>
      </c>
      <c r="X136" s="58">
        <f>W136</f>
        <v>0</v>
      </c>
      <c r="Y136" s="57">
        <f>IF(ISNA(SUMIFS(INDEX(Inputs!$B$2:$AZ$190,,MATCH(SUBSTITUTE(Y$3,"Q","T"),Inputs!$B$2:$AZ$2,0)),Inputs!$B$2:$B$190,$B136)*Inputs!$D$1),"",SUMIFS(INDEX(Inputs!$B$2:$AZ$190,,MATCH(SUBSTITUTE(Y$3,"Q","T"),Inputs!$B$2:$AZ$2,0)),Inputs!$B$2:$B$190,$B136)*Inputs!$D$1)</f>
        <v>0</v>
      </c>
      <c r="Z136" s="57">
        <f>IF(ISNA(SUMIFS(INDEX(Inputs!$B$2:$AZ$190,,MATCH(SUBSTITUTE(Z$3,"Q","T"),Inputs!$B$2:$AZ$2,0)),Inputs!$B$2:$B$190,$B136)*Inputs!$D$1),"",SUMIFS(INDEX(Inputs!$B$2:$AZ$190,,MATCH(SUBSTITUTE(Z$3,"Q","T"),Inputs!$B$2:$AZ$2,0)),Inputs!$B$2:$B$190,$B136)*Inputs!$D$1)</f>
        <v>0</v>
      </c>
      <c r="AA136" s="57">
        <f>IF(ISNA(SUMIFS(INDEX(Inputs!$B$2:$AZ$190,,MATCH(SUBSTITUTE(AA$3,"Q","T"),Inputs!$B$2:$AZ$2,0)),Inputs!$B$2:$B$190,$B136)*Inputs!$D$1),"",SUMIFS(INDEX(Inputs!$B$2:$AZ$190,,MATCH(SUBSTITUTE(AA$3,"Q","T"),Inputs!$B$2:$AZ$2,0)),Inputs!$B$2:$B$190,$B136)*Inputs!$D$1)</f>
        <v>0</v>
      </c>
      <c r="AB136" s="57">
        <f>IF(ISNA(SUMIFS(INDEX(Inputs!$B$2:$AZ$190,,MATCH(SUBSTITUTE(AB$3,"Q","T"),Inputs!$B$2:$AZ$2,0)),Inputs!$B$2:$B$190,$B136)*Inputs!$D$1),"",SUMIFS(INDEX(Inputs!$B$2:$AZ$190,,MATCH(SUBSTITUTE(AB$3,"Q","T"),Inputs!$B$2:$AZ$2,0)),Inputs!$B$2:$B$190,$B136)*Inputs!$D$1)</f>
        <v>0</v>
      </c>
      <c r="AC136" s="58">
        <f>AB136</f>
        <v>0</v>
      </c>
      <c r="AD136" s="57">
        <f>IF(ISNA(SUMIFS(INDEX(Inputs!$B$2:$AZ$190,,MATCH(SUBSTITUTE(AD$3,"Q","T"),Inputs!$B$2:$AZ$2,0)),Inputs!$B$2:$B$190,$B136)*Inputs!$D$1),"",SUMIFS(INDEX(Inputs!$B$2:$AZ$190,,MATCH(SUBSTITUTE(AD$3,"Q","T"),Inputs!$B$2:$AZ$2,0)),Inputs!$B$2:$B$190,$B136)*Inputs!$D$1)</f>
        <v>0</v>
      </c>
      <c r="AE136" s="57">
        <f>IF(ISNA(SUMIFS(INDEX(Inputs!$B$2:$AZ$190,,MATCH(SUBSTITUTE(AE$3,"Q","T"),Inputs!$B$2:$AZ$2,0)),Inputs!$B$2:$B$190,$B136)*Inputs!$D$1),"",SUMIFS(INDEX(Inputs!$B$2:$AZ$190,,MATCH(SUBSTITUTE(AE$3,"Q","T"),Inputs!$B$2:$AZ$2,0)),Inputs!$B$2:$B$190,$B136)*Inputs!$D$1)</f>
        <v>0</v>
      </c>
      <c r="AF136" s="57">
        <f>IF(ISNA(SUMIFS(INDEX(Inputs!$B$2:$AZ$190,,MATCH(SUBSTITUTE(AF$3,"Q","T"),Inputs!$B$2:$AZ$2,0)),Inputs!$B$2:$B$190,$B136)*Inputs!$D$1),"",SUMIFS(INDEX(Inputs!$B$2:$AZ$190,,MATCH(SUBSTITUTE(AF$3,"Q","T"),Inputs!$B$2:$AZ$2,0)),Inputs!$B$2:$B$190,$B136)*Inputs!$D$1)</f>
        <v>0</v>
      </c>
      <c r="AG136" s="57">
        <f>IF(ISNA(SUMIFS(INDEX(Inputs!$B$2:$AZ$190,,MATCH(SUBSTITUTE(AG$3,"Q","T"),Inputs!$B$2:$AZ$2,0)),Inputs!$B$2:$B$190,$B136)*Inputs!$D$1),"",SUMIFS(INDEX(Inputs!$B$2:$AZ$190,,MATCH(SUBSTITUTE(AG$3,"Q","T"),Inputs!$B$2:$AZ$2,0)),Inputs!$B$2:$B$190,$B136)*Inputs!$D$1)</f>
        <v>0</v>
      </c>
      <c r="AH136" s="58">
        <f>AG136</f>
        <v>0</v>
      </c>
      <c r="AI136" s="57">
        <f>IF(ISNA(SUMIFS(INDEX(Inputs!$B$2:$AZ$190,,MATCH(SUBSTITUTE(AI$3,"Q","T"),Inputs!$B$2:$AZ$2,0)),Inputs!$B$2:$B$190,$B136)*Inputs!$D$1),"",SUMIFS(INDEX(Inputs!$B$2:$AZ$190,,MATCH(SUBSTITUTE(AI$3,"Q","T"),Inputs!$B$2:$AZ$2,0)),Inputs!$B$2:$B$190,$B136)*Inputs!$D$1)</f>
        <v>0</v>
      </c>
      <c r="AJ136" s="57">
        <f>IF(ISNA(SUMIFS(INDEX(Inputs!$B$2:$AZ$190,,MATCH(SUBSTITUTE(AJ$3,"Q","T"),Inputs!$B$2:$AZ$2,0)),Inputs!$B$2:$B$190,$B136)*Inputs!$D$1),"",SUMIFS(INDEX(Inputs!$B$2:$AZ$190,,MATCH(SUBSTITUTE(AJ$3,"Q","T"),Inputs!$B$2:$AZ$2,0)),Inputs!$B$2:$B$190,$B136)*Inputs!$D$1)</f>
        <v>0</v>
      </c>
      <c r="AK136" s="57">
        <f>IF(ISNA(SUMIFS(INDEX(Inputs!$B$2:$AZ$190,,MATCH(SUBSTITUTE(AK$3,"Q","T"),Inputs!$B$2:$AZ$2,0)),Inputs!$B$2:$B$190,$B136)*Inputs!$D$1),"",SUMIFS(INDEX(Inputs!$B$2:$AZ$190,,MATCH(SUBSTITUTE(AK$3,"Q","T"),Inputs!$B$2:$AZ$2,0)),Inputs!$B$2:$B$190,$B136)*Inputs!$D$1)</f>
        <v>0</v>
      </c>
      <c r="AL136" s="57">
        <f>IF(ISNA(SUMIFS(INDEX(Inputs!$B$2:$AZ$190,,MATCH(SUBSTITUTE(AL$3,"Q","T"),Inputs!$B$2:$AZ$2,0)),Inputs!$B$2:$B$190,$B136)*Inputs!$D$1),"",SUMIFS(INDEX(Inputs!$B$2:$AZ$190,,MATCH(SUBSTITUTE(AL$3,"Q","T"),Inputs!$B$2:$AZ$2,0)),Inputs!$B$2:$B$190,$B136)*Inputs!$D$1)</f>
        <v>0</v>
      </c>
      <c r="AM136" s="58">
        <f>AL136</f>
        <v>0</v>
      </c>
      <c r="AN136" s="57">
        <f>IF(ISNA(SUMIFS(INDEX(Inputs!$B$2:$AZ$190,,MATCH(SUBSTITUTE(AN$3,"Q","T"),Inputs!$B$2:$AZ$2,0)),Inputs!$B$2:$B$190,$B136)*Inputs!$D$1),"",SUMIFS(INDEX(Inputs!$B$2:$AZ$190,,MATCH(SUBSTITUTE(AN$3,"Q","T"),Inputs!$B$2:$AZ$2,0)),Inputs!$B$2:$B$190,$B136)*Inputs!$D$1)</f>
        <v>0</v>
      </c>
      <c r="AO136" s="57">
        <f>IF(ISNA(SUMIFS(INDEX(Inputs!$B$2:$AZ$190,,MATCH(SUBSTITUTE(AO$3,"Q","T"),Inputs!$B$2:$AZ$2,0)),Inputs!$B$2:$B$190,$B136)*Inputs!$D$1),"",SUMIFS(INDEX(Inputs!$B$2:$AZ$190,,MATCH(SUBSTITUTE(AO$3,"Q","T"),Inputs!$B$2:$AZ$2,0)),Inputs!$B$2:$B$190,$B136)*Inputs!$D$1)</f>
        <v>0</v>
      </c>
      <c r="AP136" s="57">
        <f>IF(ISNA(SUMIFS(INDEX(Inputs!$B$2:$AZ$190,,MATCH(SUBSTITUTE(AP$3,"Q","T"),Inputs!$B$2:$AZ$2,0)),Inputs!$B$2:$B$190,$B136)*Inputs!$D$1),"",SUMIFS(INDEX(Inputs!$B$2:$AZ$190,,MATCH(SUBSTITUTE(AP$3,"Q","T"),Inputs!$B$2:$AZ$2,0)),Inputs!$B$2:$B$190,$B136)*Inputs!$D$1)</f>
        <v>0</v>
      </c>
      <c r="AQ136" s="57">
        <f>IF(ISNA(SUMIFS(INDEX(Inputs!$B$2:$AZ$190,,MATCH(SUBSTITUTE(AQ$3,"Q","T"),Inputs!$B$2:$AZ$2,0)),Inputs!$B$2:$B$190,$B136)*Inputs!$D$1),"",SUMIFS(INDEX(Inputs!$B$2:$AZ$190,,MATCH(SUBSTITUTE(AQ$3,"Q","T"),Inputs!$B$2:$AZ$2,0)),Inputs!$B$2:$B$190,$B136)*Inputs!$D$1)</f>
        <v>0</v>
      </c>
      <c r="AR136" s="58">
        <f>AQ136</f>
        <v>0</v>
      </c>
      <c r="AS136" s="57">
        <f>IF(ISNA(SUMIFS(INDEX(Inputs!$B$2:$AZ$190,,MATCH(SUBSTITUTE(AS$3,"Q","T"),Inputs!$B$2:$AZ$2,0)),Inputs!$B$2:$B$190,$B136)*Inputs!$D$1),"",SUMIFS(INDEX(Inputs!$B$2:$AZ$190,,MATCH(SUBSTITUTE(AS$3,"Q","T"),Inputs!$B$2:$AZ$2,0)),Inputs!$B$2:$B$190,$B136)*Inputs!$D$1)</f>
        <v>0</v>
      </c>
      <c r="AT136" s="57">
        <f>IF(ISNA(SUMIFS(INDEX(Inputs!$B$2:$AZ$190,,MATCH(SUBSTITUTE(AT$3,"Q","T"),Inputs!$B$2:$AZ$2,0)),Inputs!$B$2:$B$190,$B136)*Inputs!$D$1),"",SUMIFS(INDEX(Inputs!$B$2:$AZ$190,,MATCH(SUBSTITUTE(AT$3,"Q","T"),Inputs!$B$2:$AZ$2,0)),Inputs!$B$2:$B$190,$B136)*Inputs!$D$1)</f>
        <v>0</v>
      </c>
      <c r="AU136" s="57">
        <f>IF(ISNA(SUMIFS(INDEX(Inputs!$B$2:$AZ$190,,MATCH(SUBSTITUTE(AU$3,"Q","T"),Inputs!$B$2:$AZ$2,0)),Inputs!$B$2:$B$190,$B136)*Inputs!$D$1),"",SUMIFS(INDEX(Inputs!$B$2:$AZ$190,,MATCH(SUBSTITUTE(AU$3,"Q","T"),Inputs!$B$2:$AZ$2,0)),Inputs!$B$2:$B$190,$B136)*Inputs!$D$1)</f>
        <v>0</v>
      </c>
      <c r="AV136" s="57">
        <f>IF(ISNA(SUMIFS(INDEX(Inputs!$B$2:$AZ$190,,MATCH(SUBSTITUTE(AV$3,"Q","T"),Inputs!$B$2:$AZ$2,0)),Inputs!$B$2:$B$190,$B136)*Inputs!$D$1),"",SUMIFS(INDEX(Inputs!$B$2:$AZ$190,,MATCH(SUBSTITUTE(AV$3,"Q","T"),Inputs!$B$2:$AZ$2,0)),Inputs!$B$2:$B$190,$B136)*Inputs!$D$1)</f>
        <v>0</v>
      </c>
      <c r="AW136" s="58">
        <f>AV136</f>
        <v>0</v>
      </c>
      <c r="AX136" s="57">
        <f>IF(ISNA(SUMIFS(INDEX(Inputs!$B$2:$AZ$190,,MATCH(SUBSTITUTE(AX$3,"Q","T"),Inputs!$B$2:$AZ$2,0)),Inputs!$B$2:$B$190,$B136)*Inputs!$D$1),"",SUMIFS(INDEX(Inputs!$B$2:$AZ$190,,MATCH(SUBSTITUTE(AX$3,"Q","T"),Inputs!$B$2:$AZ$2,0)),Inputs!$B$2:$B$190,$B136)*Inputs!$D$1)</f>
        <v>0</v>
      </c>
      <c r="AY136" s="57">
        <f>IF(ISNA(SUMIFS(INDEX(Inputs!$B$2:$AZ$190,,MATCH(SUBSTITUTE(AY$3,"Q","T"),Inputs!$B$2:$AZ$2,0)),Inputs!$B$2:$B$190,$B136)*Inputs!$D$1),"",SUMIFS(INDEX(Inputs!$B$2:$AZ$190,,MATCH(SUBSTITUTE(AY$3,"Q","T"),Inputs!$B$2:$AZ$2,0)),Inputs!$B$2:$B$190,$B136)*Inputs!$D$1)</f>
        <v>0</v>
      </c>
      <c r="AZ136" s="57">
        <f>IF(ISNA(SUMIFS(INDEX(Inputs!$B$2:$AZ$190,,MATCH(SUBSTITUTE(AZ$3,"Q","T"),Inputs!$B$2:$AZ$2,0)),Inputs!$B$2:$B$190,$B136)*Inputs!$D$1),"",SUMIFS(INDEX(Inputs!$B$2:$AZ$190,,MATCH(SUBSTITUTE(AZ$3,"Q","T"),Inputs!$B$2:$AZ$2,0)),Inputs!$B$2:$B$190,$B136)*Inputs!$D$1)</f>
        <v>0</v>
      </c>
      <c r="BA136" s="57">
        <f>IF(ISNA(SUMIFS(INDEX(Inputs!$B$2:$AZ$190,,MATCH(SUBSTITUTE(BA$3,"Q","T"),Inputs!$B$2:$AZ$2,0)),Inputs!$B$2:$B$190,$B136)*Inputs!$D$1),"",SUMIFS(INDEX(Inputs!$B$2:$AZ$190,,MATCH(SUBSTITUTE(BA$3,"Q","T"),Inputs!$B$2:$AZ$2,0)),Inputs!$B$2:$B$190,$B136)*Inputs!$D$1)</f>
        <v>0</v>
      </c>
      <c r="BB136" s="58">
        <f>BA136</f>
        <v>0</v>
      </c>
      <c r="BC136" s="57">
        <f>IF(ISNA(SUMIFS(INDEX(Inputs!$B$2:$AZ$190,,MATCH(SUBSTITUTE(BC$3,"Q","T"),Inputs!$B$2:$AZ$2,0)),Inputs!$B$2:$B$190,$B136)*Inputs!$D$1),"",SUMIFS(INDEX(Inputs!$B$2:$AZ$190,,MATCH(SUBSTITUTE(BC$3,"Q","T"),Inputs!$B$2:$AZ$2,0)),Inputs!$B$2:$B$190,$B136)*Inputs!$D$1)</f>
        <v>0</v>
      </c>
      <c r="BD136" s="57">
        <f>IF(ISNA(SUMIFS(INDEX(Inputs!$B$2:$AZ$190,,MATCH(SUBSTITUTE(BD$3,"Q","T"),Inputs!$B$2:$AZ$2,0)),Inputs!$B$2:$B$190,$B136)*Inputs!$D$1),"",SUMIFS(INDEX(Inputs!$B$2:$AZ$190,,MATCH(SUBSTITUTE(BD$3,"Q","T"),Inputs!$B$2:$AZ$2,0)),Inputs!$B$2:$B$190,$B136)*Inputs!$D$1)</f>
        <v>0</v>
      </c>
      <c r="BE136" s="57">
        <f>IF(ISNA(SUMIFS(INDEX(Inputs!$B$2:$AZ$190,,MATCH(SUBSTITUTE(BE$3,"Q","T"),Inputs!$B$2:$AZ$2,0)),Inputs!$B$2:$B$190,$B136)*Inputs!$D$1),"",SUMIFS(INDEX(Inputs!$B$2:$AZ$190,,MATCH(SUBSTITUTE(BE$3,"Q","T"),Inputs!$B$2:$AZ$2,0)),Inputs!$B$2:$B$190,$B136)*Inputs!$D$1)</f>
        <v>0</v>
      </c>
      <c r="BF136" s="57">
        <f>IF(ISNA(SUMIFS(INDEX(Inputs!$B$2:$AZ$190,,MATCH(SUBSTITUTE(BF$3,"Q","T"),Inputs!$B$2:$AZ$2,0)),Inputs!$B$2:$B$190,$B136)*Inputs!$D$1),"",SUMIFS(INDEX(Inputs!$B$2:$AZ$190,,MATCH(SUBSTITUTE(BF$3,"Q","T"),Inputs!$B$2:$AZ$2,0)),Inputs!$B$2:$B$190,$B136)*Inputs!$D$1)</f>
        <v>0</v>
      </c>
      <c r="BG136" s="58">
        <f>BF136</f>
        <v>0</v>
      </c>
      <c r="BI136" s="14" t="inlineStr">
        <is>
          <t>Se o RWA não for divulgado, use RWA = Ativo total × driver em Inputs!RWA/Ativo.</t>
        </is>
      </c>
    </row>
    <row r="137">
      <c r="B137" s="56" t="inlineStr">
        <is>
          <t>rwa_cred</t>
        </is>
      </c>
      <c r="C137" s="11" t="inlineStr">
        <is>
          <t>RWA de crédito</t>
        </is>
      </c>
      <c r="D137" s="12" t="inlineStr">
        <is>
          <t>Credit RWA</t>
        </is>
      </c>
      <c r="E137" s="57">
        <f>IF(ISNA(SUMIFS(INDEX(Inputs!$B$2:$AZ$190,,MATCH(SUBSTITUTE(E$3,"Q","T"),Inputs!$B$2:$AZ$2,0)),Inputs!$B$2:$B$190,$B137)*Inputs!$D$1),"",SUMIFS(INDEX(Inputs!$B$2:$AZ$190,,MATCH(SUBSTITUTE(E$3,"Q","T"),Inputs!$B$2:$AZ$2,0)),Inputs!$B$2:$B$190,$B137)*Inputs!$D$1)</f>
        <v>0</v>
      </c>
      <c r="F137" s="57">
        <f>IF(ISNA(SUMIFS(INDEX(Inputs!$B$2:$AZ$190,,MATCH(SUBSTITUTE(F$3,"Q","T"),Inputs!$B$2:$AZ$2,0)),Inputs!$B$2:$B$190,$B137)*Inputs!$D$1),"",SUMIFS(INDEX(Inputs!$B$2:$AZ$190,,MATCH(SUBSTITUTE(F$3,"Q","T"),Inputs!$B$2:$AZ$2,0)),Inputs!$B$2:$B$190,$B137)*Inputs!$D$1)</f>
        <v>0</v>
      </c>
      <c r="G137" s="57">
        <f>IF(ISNA(SUMIFS(INDEX(Inputs!$B$2:$AZ$190,,MATCH(SUBSTITUTE(G$3,"Q","T"),Inputs!$B$2:$AZ$2,0)),Inputs!$B$2:$B$190,$B137)*Inputs!$D$1),"",SUMIFS(INDEX(Inputs!$B$2:$AZ$190,,MATCH(SUBSTITUTE(G$3,"Q","T"),Inputs!$B$2:$AZ$2,0)),Inputs!$B$2:$B$190,$B137)*Inputs!$D$1)</f>
        <v>0</v>
      </c>
      <c r="H137" s="57">
        <f>IF(ISNA(SUMIFS(INDEX(Inputs!$B$2:$AZ$190,,MATCH(SUBSTITUTE(H$3,"Q","T"),Inputs!$B$2:$AZ$2,0)),Inputs!$B$2:$B$190,$B137)*Inputs!$D$1),"",SUMIFS(INDEX(Inputs!$B$2:$AZ$190,,MATCH(SUBSTITUTE(H$3,"Q","T"),Inputs!$B$2:$AZ$2,0)),Inputs!$B$2:$B$190,$B137)*Inputs!$D$1)</f>
        <v>0</v>
      </c>
      <c r="I137" s="58">
        <f>H137</f>
        <v>0</v>
      </c>
      <c r="J137" s="57">
        <f>IF(ISNA(SUMIFS(INDEX(Inputs!$B$2:$AZ$190,,MATCH(SUBSTITUTE(J$3,"Q","T"),Inputs!$B$2:$AZ$2,0)),Inputs!$B$2:$B$190,$B137)*Inputs!$D$1),"",SUMIFS(INDEX(Inputs!$B$2:$AZ$190,,MATCH(SUBSTITUTE(J$3,"Q","T"),Inputs!$B$2:$AZ$2,0)),Inputs!$B$2:$B$190,$B137)*Inputs!$D$1)</f>
        <v>0</v>
      </c>
      <c r="K137" s="57">
        <f>IF(ISNA(SUMIFS(INDEX(Inputs!$B$2:$AZ$190,,MATCH(SUBSTITUTE(K$3,"Q","T"),Inputs!$B$2:$AZ$2,0)),Inputs!$B$2:$B$190,$B137)*Inputs!$D$1),"",SUMIFS(INDEX(Inputs!$B$2:$AZ$190,,MATCH(SUBSTITUTE(K$3,"Q","T"),Inputs!$B$2:$AZ$2,0)),Inputs!$B$2:$B$190,$B137)*Inputs!$D$1)</f>
        <v>0</v>
      </c>
      <c r="L137" s="57">
        <f>IF(ISNA(SUMIFS(INDEX(Inputs!$B$2:$AZ$190,,MATCH(SUBSTITUTE(L$3,"Q","T"),Inputs!$B$2:$AZ$2,0)),Inputs!$B$2:$B$190,$B137)*Inputs!$D$1),"",SUMIFS(INDEX(Inputs!$B$2:$AZ$190,,MATCH(SUBSTITUTE(L$3,"Q","T"),Inputs!$B$2:$AZ$2,0)),Inputs!$B$2:$B$190,$B137)*Inputs!$D$1)</f>
        <v>0</v>
      </c>
      <c r="M137" s="57">
        <f>IF(ISNA(SUMIFS(INDEX(Inputs!$B$2:$AZ$190,,MATCH(SUBSTITUTE(M$3,"Q","T"),Inputs!$B$2:$AZ$2,0)),Inputs!$B$2:$B$190,$B137)*Inputs!$D$1),"",SUMIFS(INDEX(Inputs!$B$2:$AZ$190,,MATCH(SUBSTITUTE(M$3,"Q","T"),Inputs!$B$2:$AZ$2,0)),Inputs!$B$2:$B$190,$B137)*Inputs!$D$1)</f>
        <v>0</v>
      </c>
      <c r="N137" s="58">
        <f>M137</f>
        <v>0</v>
      </c>
      <c r="O137" s="57">
        <f>IF(ISNA(SUMIFS(INDEX(Inputs!$B$2:$AZ$190,,MATCH(SUBSTITUTE(O$3,"Q","T"),Inputs!$B$2:$AZ$2,0)),Inputs!$B$2:$B$190,$B137)*Inputs!$D$1),"",SUMIFS(INDEX(Inputs!$B$2:$AZ$190,,MATCH(SUBSTITUTE(O$3,"Q","T"),Inputs!$B$2:$AZ$2,0)),Inputs!$B$2:$B$190,$B137)*Inputs!$D$1)</f>
        <v>0</v>
      </c>
      <c r="P137" s="57">
        <f>IF(ISNA(SUMIFS(INDEX(Inputs!$B$2:$AZ$190,,MATCH(SUBSTITUTE(P$3,"Q","T"),Inputs!$B$2:$AZ$2,0)),Inputs!$B$2:$B$190,$B137)*Inputs!$D$1),"",SUMIFS(INDEX(Inputs!$B$2:$AZ$190,,MATCH(SUBSTITUTE(P$3,"Q","T"),Inputs!$B$2:$AZ$2,0)),Inputs!$B$2:$B$190,$B137)*Inputs!$D$1)</f>
        <v>0</v>
      </c>
      <c r="Q137" s="57">
        <f>IF(ISNA(SUMIFS(INDEX(Inputs!$B$2:$AZ$190,,MATCH(SUBSTITUTE(Q$3,"Q","T"),Inputs!$B$2:$AZ$2,0)),Inputs!$B$2:$B$190,$B137)*Inputs!$D$1),"",SUMIFS(INDEX(Inputs!$B$2:$AZ$190,,MATCH(SUBSTITUTE(Q$3,"Q","T"),Inputs!$B$2:$AZ$2,0)),Inputs!$B$2:$B$190,$B137)*Inputs!$D$1)</f>
        <v>0</v>
      </c>
      <c r="R137" s="57">
        <f>IF(ISNA(SUMIFS(INDEX(Inputs!$B$2:$AZ$190,,MATCH(SUBSTITUTE(R$3,"Q","T"),Inputs!$B$2:$AZ$2,0)),Inputs!$B$2:$B$190,$B137)*Inputs!$D$1),"",SUMIFS(INDEX(Inputs!$B$2:$AZ$190,,MATCH(SUBSTITUTE(R$3,"Q","T"),Inputs!$B$2:$AZ$2,0)),Inputs!$B$2:$B$190,$B137)*Inputs!$D$1)</f>
        <v>0</v>
      </c>
      <c r="S137" s="58">
        <f>R137</f>
        <v>0</v>
      </c>
      <c r="T137" s="57">
        <f>IF(ISNA(SUMIFS(INDEX(Inputs!$B$2:$AZ$190,,MATCH(SUBSTITUTE(T$3,"Q","T"),Inputs!$B$2:$AZ$2,0)),Inputs!$B$2:$B$190,$B137)*Inputs!$D$1),"",SUMIFS(INDEX(Inputs!$B$2:$AZ$190,,MATCH(SUBSTITUTE(T$3,"Q","T"),Inputs!$B$2:$AZ$2,0)),Inputs!$B$2:$B$190,$B137)*Inputs!$D$1)</f>
        <v>0</v>
      </c>
      <c r="U137" s="57">
        <f>IF(ISNA(SUMIFS(INDEX(Inputs!$B$2:$AZ$190,,MATCH(SUBSTITUTE(U$3,"Q","T"),Inputs!$B$2:$AZ$2,0)),Inputs!$B$2:$B$190,$B137)*Inputs!$D$1),"",SUMIFS(INDEX(Inputs!$B$2:$AZ$190,,MATCH(SUBSTITUTE(U$3,"Q","T"),Inputs!$B$2:$AZ$2,0)),Inputs!$B$2:$B$190,$B137)*Inputs!$D$1)</f>
        <v>0</v>
      </c>
      <c r="V137" s="57">
        <f>IF(ISNA(SUMIFS(INDEX(Inputs!$B$2:$AZ$190,,MATCH(SUBSTITUTE(V$3,"Q","T"),Inputs!$B$2:$AZ$2,0)),Inputs!$B$2:$B$190,$B137)*Inputs!$D$1),"",SUMIFS(INDEX(Inputs!$B$2:$AZ$190,,MATCH(SUBSTITUTE(V$3,"Q","T"),Inputs!$B$2:$AZ$2,0)),Inputs!$B$2:$B$190,$B137)*Inputs!$D$1)</f>
        <v>0</v>
      </c>
      <c r="W137" s="57">
        <f>IF(ISNA(SUMIFS(INDEX(Inputs!$B$2:$AZ$190,,MATCH(SUBSTITUTE(W$3,"Q","T"),Inputs!$B$2:$AZ$2,0)),Inputs!$B$2:$B$190,$B137)*Inputs!$D$1),"",SUMIFS(INDEX(Inputs!$B$2:$AZ$190,,MATCH(SUBSTITUTE(W$3,"Q","T"),Inputs!$B$2:$AZ$2,0)),Inputs!$B$2:$B$190,$B137)*Inputs!$D$1)</f>
        <v>0</v>
      </c>
      <c r="X137" s="58">
        <f>W137</f>
        <v>0</v>
      </c>
      <c r="Y137" s="57">
        <f>IF(ISNA(SUMIFS(INDEX(Inputs!$B$2:$AZ$190,,MATCH(SUBSTITUTE(Y$3,"Q","T"),Inputs!$B$2:$AZ$2,0)),Inputs!$B$2:$B$190,$B137)*Inputs!$D$1),"",SUMIFS(INDEX(Inputs!$B$2:$AZ$190,,MATCH(SUBSTITUTE(Y$3,"Q","T"),Inputs!$B$2:$AZ$2,0)),Inputs!$B$2:$B$190,$B137)*Inputs!$D$1)</f>
        <v>0</v>
      </c>
      <c r="Z137" s="57">
        <f>IF(ISNA(SUMIFS(INDEX(Inputs!$B$2:$AZ$190,,MATCH(SUBSTITUTE(Z$3,"Q","T"),Inputs!$B$2:$AZ$2,0)),Inputs!$B$2:$B$190,$B137)*Inputs!$D$1),"",SUMIFS(INDEX(Inputs!$B$2:$AZ$190,,MATCH(SUBSTITUTE(Z$3,"Q","T"),Inputs!$B$2:$AZ$2,0)),Inputs!$B$2:$B$190,$B137)*Inputs!$D$1)</f>
        <v>0</v>
      </c>
      <c r="AA137" s="57">
        <f>IF(ISNA(SUMIFS(INDEX(Inputs!$B$2:$AZ$190,,MATCH(SUBSTITUTE(AA$3,"Q","T"),Inputs!$B$2:$AZ$2,0)),Inputs!$B$2:$B$190,$B137)*Inputs!$D$1),"",SUMIFS(INDEX(Inputs!$B$2:$AZ$190,,MATCH(SUBSTITUTE(AA$3,"Q","T"),Inputs!$B$2:$AZ$2,0)),Inputs!$B$2:$B$190,$B137)*Inputs!$D$1)</f>
        <v>0</v>
      </c>
      <c r="AB137" s="57">
        <f>IF(ISNA(SUMIFS(INDEX(Inputs!$B$2:$AZ$190,,MATCH(SUBSTITUTE(AB$3,"Q","T"),Inputs!$B$2:$AZ$2,0)),Inputs!$B$2:$B$190,$B137)*Inputs!$D$1),"",SUMIFS(INDEX(Inputs!$B$2:$AZ$190,,MATCH(SUBSTITUTE(AB$3,"Q","T"),Inputs!$B$2:$AZ$2,0)),Inputs!$B$2:$B$190,$B137)*Inputs!$D$1)</f>
        <v>0</v>
      </c>
      <c r="AC137" s="58">
        <f>AB137</f>
        <v>0</v>
      </c>
      <c r="AD137" s="57">
        <f>IF(ISNA(SUMIFS(INDEX(Inputs!$B$2:$AZ$190,,MATCH(SUBSTITUTE(AD$3,"Q","T"),Inputs!$B$2:$AZ$2,0)),Inputs!$B$2:$B$190,$B137)*Inputs!$D$1),"",SUMIFS(INDEX(Inputs!$B$2:$AZ$190,,MATCH(SUBSTITUTE(AD$3,"Q","T"),Inputs!$B$2:$AZ$2,0)),Inputs!$B$2:$B$190,$B137)*Inputs!$D$1)</f>
        <v>0</v>
      </c>
      <c r="AE137" s="57">
        <f>IF(ISNA(SUMIFS(INDEX(Inputs!$B$2:$AZ$190,,MATCH(SUBSTITUTE(AE$3,"Q","T"),Inputs!$B$2:$AZ$2,0)),Inputs!$B$2:$B$190,$B137)*Inputs!$D$1),"",SUMIFS(INDEX(Inputs!$B$2:$AZ$190,,MATCH(SUBSTITUTE(AE$3,"Q","T"),Inputs!$B$2:$AZ$2,0)),Inputs!$B$2:$B$190,$B137)*Inputs!$D$1)</f>
        <v>0</v>
      </c>
      <c r="AF137" s="57">
        <f>IF(ISNA(SUMIFS(INDEX(Inputs!$B$2:$AZ$190,,MATCH(SUBSTITUTE(AF$3,"Q","T"),Inputs!$B$2:$AZ$2,0)),Inputs!$B$2:$B$190,$B137)*Inputs!$D$1),"",SUMIFS(INDEX(Inputs!$B$2:$AZ$190,,MATCH(SUBSTITUTE(AF$3,"Q","T"),Inputs!$B$2:$AZ$2,0)),Inputs!$B$2:$B$190,$B137)*Inputs!$D$1)</f>
        <v>0</v>
      </c>
      <c r="AG137" s="57">
        <f>IF(ISNA(SUMIFS(INDEX(Inputs!$B$2:$AZ$190,,MATCH(SUBSTITUTE(AG$3,"Q","T"),Inputs!$B$2:$AZ$2,0)),Inputs!$B$2:$B$190,$B137)*Inputs!$D$1),"",SUMIFS(INDEX(Inputs!$B$2:$AZ$190,,MATCH(SUBSTITUTE(AG$3,"Q","T"),Inputs!$B$2:$AZ$2,0)),Inputs!$B$2:$B$190,$B137)*Inputs!$D$1)</f>
        <v>0</v>
      </c>
      <c r="AH137" s="58">
        <f>AG137</f>
        <v>0</v>
      </c>
      <c r="AI137" s="57">
        <f>IF(ISNA(SUMIFS(INDEX(Inputs!$B$2:$AZ$190,,MATCH(SUBSTITUTE(AI$3,"Q","T"),Inputs!$B$2:$AZ$2,0)),Inputs!$B$2:$B$190,$B137)*Inputs!$D$1),"",SUMIFS(INDEX(Inputs!$B$2:$AZ$190,,MATCH(SUBSTITUTE(AI$3,"Q","T"),Inputs!$B$2:$AZ$2,0)),Inputs!$B$2:$B$190,$B137)*Inputs!$D$1)</f>
        <v>0</v>
      </c>
      <c r="AJ137" s="57">
        <f>IF(ISNA(SUMIFS(INDEX(Inputs!$B$2:$AZ$190,,MATCH(SUBSTITUTE(AJ$3,"Q","T"),Inputs!$B$2:$AZ$2,0)),Inputs!$B$2:$B$190,$B137)*Inputs!$D$1),"",SUMIFS(INDEX(Inputs!$B$2:$AZ$190,,MATCH(SUBSTITUTE(AJ$3,"Q","T"),Inputs!$B$2:$AZ$2,0)),Inputs!$B$2:$B$190,$B137)*Inputs!$D$1)</f>
        <v>0</v>
      </c>
      <c r="AK137" s="57">
        <f>IF(ISNA(SUMIFS(INDEX(Inputs!$B$2:$AZ$190,,MATCH(SUBSTITUTE(AK$3,"Q","T"),Inputs!$B$2:$AZ$2,0)),Inputs!$B$2:$B$190,$B137)*Inputs!$D$1),"",SUMIFS(INDEX(Inputs!$B$2:$AZ$190,,MATCH(SUBSTITUTE(AK$3,"Q","T"),Inputs!$B$2:$AZ$2,0)),Inputs!$B$2:$B$190,$B137)*Inputs!$D$1)</f>
        <v>0</v>
      </c>
      <c r="AL137" s="57">
        <f>IF(ISNA(SUMIFS(INDEX(Inputs!$B$2:$AZ$190,,MATCH(SUBSTITUTE(AL$3,"Q","T"),Inputs!$B$2:$AZ$2,0)),Inputs!$B$2:$B$190,$B137)*Inputs!$D$1),"",SUMIFS(INDEX(Inputs!$B$2:$AZ$190,,MATCH(SUBSTITUTE(AL$3,"Q","T"),Inputs!$B$2:$AZ$2,0)),Inputs!$B$2:$B$190,$B137)*Inputs!$D$1)</f>
        <v>0</v>
      </c>
      <c r="AM137" s="58">
        <f>AL137</f>
        <v>0</v>
      </c>
      <c r="AN137" s="57">
        <f>IF(ISNA(SUMIFS(INDEX(Inputs!$B$2:$AZ$190,,MATCH(SUBSTITUTE(AN$3,"Q","T"),Inputs!$B$2:$AZ$2,0)),Inputs!$B$2:$B$190,$B137)*Inputs!$D$1),"",SUMIFS(INDEX(Inputs!$B$2:$AZ$190,,MATCH(SUBSTITUTE(AN$3,"Q","T"),Inputs!$B$2:$AZ$2,0)),Inputs!$B$2:$B$190,$B137)*Inputs!$D$1)</f>
        <v>0</v>
      </c>
      <c r="AO137" s="57">
        <f>IF(ISNA(SUMIFS(INDEX(Inputs!$B$2:$AZ$190,,MATCH(SUBSTITUTE(AO$3,"Q","T"),Inputs!$B$2:$AZ$2,0)),Inputs!$B$2:$B$190,$B137)*Inputs!$D$1),"",SUMIFS(INDEX(Inputs!$B$2:$AZ$190,,MATCH(SUBSTITUTE(AO$3,"Q","T"),Inputs!$B$2:$AZ$2,0)),Inputs!$B$2:$B$190,$B137)*Inputs!$D$1)</f>
        <v>0</v>
      </c>
      <c r="AP137" s="57">
        <f>IF(ISNA(SUMIFS(INDEX(Inputs!$B$2:$AZ$190,,MATCH(SUBSTITUTE(AP$3,"Q","T"),Inputs!$B$2:$AZ$2,0)),Inputs!$B$2:$B$190,$B137)*Inputs!$D$1),"",SUMIFS(INDEX(Inputs!$B$2:$AZ$190,,MATCH(SUBSTITUTE(AP$3,"Q","T"),Inputs!$B$2:$AZ$2,0)),Inputs!$B$2:$B$190,$B137)*Inputs!$D$1)</f>
        <v>0</v>
      </c>
      <c r="AQ137" s="57">
        <f>IF(ISNA(SUMIFS(INDEX(Inputs!$B$2:$AZ$190,,MATCH(SUBSTITUTE(AQ$3,"Q","T"),Inputs!$B$2:$AZ$2,0)),Inputs!$B$2:$B$190,$B137)*Inputs!$D$1),"",SUMIFS(INDEX(Inputs!$B$2:$AZ$190,,MATCH(SUBSTITUTE(AQ$3,"Q","T"),Inputs!$B$2:$AZ$2,0)),Inputs!$B$2:$B$190,$B137)*Inputs!$D$1)</f>
        <v>0</v>
      </c>
      <c r="AR137" s="58">
        <f>AQ137</f>
        <v>0</v>
      </c>
      <c r="AS137" s="57">
        <f>IF(ISNA(SUMIFS(INDEX(Inputs!$B$2:$AZ$190,,MATCH(SUBSTITUTE(AS$3,"Q","T"),Inputs!$B$2:$AZ$2,0)),Inputs!$B$2:$B$190,$B137)*Inputs!$D$1),"",SUMIFS(INDEX(Inputs!$B$2:$AZ$190,,MATCH(SUBSTITUTE(AS$3,"Q","T"),Inputs!$B$2:$AZ$2,0)),Inputs!$B$2:$B$190,$B137)*Inputs!$D$1)</f>
        <v>0</v>
      </c>
      <c r="AT137" s="57">
        <f>IF(ISNA(SUMIFS(INDEX(Inputs!$B$2:$AZ$190,,MATCH(SUBSTITUTE(AT$3,"Q","T"),Inputs!$B$2:$AZ$2,0)),Inputs!$B$2:$B$190,$B137)*Inputs!$D$1),"",SUMIFS(INDEX(Inputs!$B$2:$AZ$190,,MATCH(SUBSTITUTE(AT$3,"Q","T"),Inputs!$B$2:$AZ$2,0)),Inputs!$B$2:$B$190,$B137)*Inputs!$D$1)</f>
        <v>0</v>
      </c>
      <c r="AU137" s="57">
        <f>IF(ISNA(SUMIFS(INDEX(Inputs!$B$2:$AZ$190,,MATCH(SUBSTITUTE(AU$3,"Q","T"),Inputs!$B$2:$AZ$2,0)),Inputs!$B$2:$B$190,$B137)*Inputs!$D$1),"",SUMIFS(INDEX(Inputs!$B$2:$AZ$190,,MATCH(SUBSTITUTE(AU$3,"Q","T"),Inputs!$B$2:$AZ$2,0)),Inputs!$B$2:$B$190,$B137)*Inputs!$D$1)</f>
        <v>0</v>
      </c>
      <c r="AV137" s="57">
        <f>IF(ISNA(SUMIFS(INDEX(Inputs!$B$2:$AZ$190,,MATCH(SUBSTITUTE(AV$3,"Q","T"),Inputs!$B$2:$AZ$2,0)),Inputs!$B$2:$B$190,$B137)*Inputs!$D$1),"",SUMIFS(INDEX(Inputs!$B$2:$AZ$190,,MATCH(SUBSTITUTE(AV$3,"Q","T"),Inputs!$B$2:$AZ$2,0)),Inputs!$B$2:$B$190,$B137)*Inputs!$D$1)</f>
        <v>0</v>
      </c>
      <c r="AW137" s="58">
        <f>AV137</f>
        <v>0</v>
      </c>
      <c r="AX137" s="57">
        <f>IF(ISNA(SUMIFS(INDEX(Inputs!$B$2:$AZ$190,,MATCH(SUBSTITUTE(AX$3,"Q","T"),Inputs!$B$2:$AZ$2,0)),Inputs!$B$2:$B$190,$B137)*Inputs!$D$1),"",SUMIFS(INDEX(Inputs!$B$2:$AZ$190,,MATCH(SUBSTITUTE(AX$3,"Q","T"),Inputs!$B$2:$AZ$2,0)),Inputs!$B$2:$B$190,$B137)*Inputs!$D$1)</f>
        <v>0</v>
      </c>
      <c r="AY137" s="57">
        <f>IF(ISNA(SUMIFS(INDEX(Inputs!$B$2:$AZ$190,,MATCH(SUBSTITUTE(AY$3,"Q","T"),Inputs!$B$2:$AZ$2,0)),Inputs!$B$2:$B$190,$B137)*Inputs!$D$1),"",SUMIFS(INDEX(Inputs!$B$2:$AZ$190,,MATCH(SUBSTITUTE(AY$3,"Q","T"),Inputs!$B$2:$AZ$2,0)),Inputs!$B$2:$B$190,$B137)*Inputs!$D$1)</f>
        <v>0</v>
      </c>
      <c r="AZ137" s="57">
        <f>IF(ISNA(SUMIFS(INDEX(Inputs!$B$2:$AZ$190,,MATCH(SUBSTITUTE(AZ$3,"Q","T"),Inputs!$B$2:$AZ$2,0)),Inputs!$B$2:$B$190,$B137)*Inputs!$D$1),"",SUMIFS(INDEX(Inputs!$B$2:$AZ$190,,MATCH(SUBSTITUTE(AZ$3,"Q","T"),Inputs!$B$2:$AZ$2,0)),Inputs!$B$2:$B$190,$B137)*Inputs!$D$1)</f>
        <v>0</v>
      </c>
      <c r="BA137" s="57">
        <f>IF(ISNA(SUMIFS(INDEX(Inputs!$B$2:$AZ$190,,MATCH(SUBSTITUTE(BA$3,"Q","T"),Inputs!$B$2:$AZ$2,0)),Inputs!$B$2:$B$190,$B137)*Inputs!$D$1),"",SUMIFS(INDEX(Inputs!$B$2:$AZ$190,,MATCH(SUBSTITUTE(BA$3,"Q","T"),Inputs!$B$2:$AZ$2,0)),Inputs!$B$2:$B$190,$B137)*Inputs!$D$1)</f>
        <v>0</v>
      </c>
      <c r="BB137" s="58">
        <f>BA137</f>
        <v>0</v>
      </c>
      <c r="BC137" s="57">
        <f>IF(ISNA(SUMIFS(INDEX(Inputs!$B$2:$AZ$190,,MATCH(SUBSTITUTE(BC$3,"Q","T"),Inputs!$B$2:$AZ$2,0)),Inputs!$B$2:$B$190,$B137)*Inputs!$D$1),"",SUMIFS(INDEX(Inputs!$B$2:$AZ$190,,MATCH(SUBSTITUTE(BC$3,"Q","T"),Inputs!$B$2:$AZ$2,0)),Inputs!$B$2:$B$190,$B137)*Inputs!$D$1)</f>
        <v>0</v>
      </c>
      <c r="BD137" s="57">
        <f>IF(ISNA(SUMIFS(INDEX(Inputs!$B$2:$AZ$190,,MATCH(SUBSTITUTE(BD$3,"Q","T"),Inputs!$B$2:$AZ$2,0)),Inputs!$B$2:$B$190,$B137)*Inputs!$D$1),"",SUMIFS(INDEX(Inputs!$B$2:$AZ$190,,MATCH(SUBSTITUTE(BD$3,"Q","T"),Inputs!$B$2:$AZ$2,0)),Inputs!$B$2:$B$190,$B137)*Inputs!$D$1)</f>
        <v>0</v>
      </c>
      <c r="BE137" s="57">
        <f>IF(ISNA(SUMIFS(INDEX(Inputs!$B$2:$AZ$190,,MATCH(SUBSTITUTE(BE$3,"Q","T"),Inputs!$B$2:$AZ$2,0)),Inputs!$B$2:$B$190,$B137)*Inputs!$D$1),"",SUMIFS(INDEX(Inputs!$B$2:$AZ$190,,MATCH(SUBSTITUTE(BE$3,"Q","T"),Inputs!$B$2:$AZ$2,0)),Inputs!$B$2:$B$190,$B137)*Inputs!$D$1)</f>
        <v>0</v>
      </c>
      <c r="BF137" s="57">
        <f>IF(ISNA(SUMIFS(INDEX(Inputs!$B$2:$AZ$190,,MATCH(SUBSTITUTE(BF$3,"Q","T"),Inputs!$B$2:$AZ$2,0)),Inputs!$B$2:$B$190,$B137)*Inputs!$D$1),"",SUMIFS(INDEX(Inputs!$B$2:$AZ$190,,MATCH(SUBSTITUTE(BF$3,"Q","T"),Inputs!$B$2:$AZ$2,0)),Inputs!$B$2:$B$190,$B137)*Inputs!$D$1)</f>
        <v>0</v>
      </c>
      <c r="BG137" s="58">
        <f>BF137</f>
        <v>0</v>
      </c>
    </row>
    <row r="138">
      <c r="B138" s="56" t="inlineStr">
        <is>
          <t>rwa_mkt</t>
        </is>
      </c>
      <c r="C138" s="11" t="inlineStr">
        <is>
          <t>RWA de mercado</t>
        </is>
      </c>
      <c r="D138" s="12" t="inlineStr">
        <is>
          <t>Market RWA</t>
        </is>
      </c>
      <c r="E138" s="57">
        <f>IF(ISNA(SUMIFS(INDEX(Inputs!$B$2:$AZ$190,,MATCH(SUBSTITUTE(E$3,"Q","T"),Inputs!$B$2:$AZ$2,0)),Inputs!$B$2:$B$190,$B138)*Inputs!$D$1),"",SUMIFS(INDEX(Inputs!$B$2:$AZ$190,,MATCH(SUBSTITUTE(E$3,"Q","T"),Inputs!$B$2:$AZ$2,0)),Inputs!$B$2:$B$190,$B138)*Inputs!$D$1)</f>
        <v>0</v>
      </c>
      <c r="F138" s="57">
        <f>IF(ISNA(SUMIFS(INDEX(Inputs!$B$2:$AZ$190,,MATCH(SUBSTITUTE(F$3,"Q","T"),Inputs!$B$2:$AZ$2,0)),Inputs!$B$2:$B$190,$B138)*Inputs!$D$1),"",SUMIFS(INDEX(Inputs!$B$2:$AZ$190,,MATCH(SUBSTITUTE(F$3,"Q","T"),Inputs!$B$2:$AZ$2,0)),Inputs!$B$2:$B$190,$B138)*Inputs!$D$1)</f>
        <v>0</v>
      </c>
      <c r="G138" s="57">
        <f>IF(ISNA(SUMIFS(INDEX(Inputs!$B$2:$AZ$190,,MATCH(SUBSTITUTE(G$3,"Q","T"),Inputs!$B$2:$AZ$2,0)),Inputs!$B$2:$B$190,$B138)*Inputs!$D$1),"",SUMIFS(INDEX(Inputs!$B$2:$AZ$190,,MATCH(SUBSTITUTE(G$3,"Q","T"),Inputs!$B$2:$AZ$2,0)),Inputs!$B$2:$B$190,$B138)*Inputs!$D$1)</f>
        <v>0</v>
      </c>
      <c r="H138" s="57">
        <f>IF(ISNA(SUMIFS(INDEX(Inputs!$B$2:$AZ$190,,MATCH(SUBSTITUTE(H$3,"Q","T"),Inputs!$B$2:$AZ$2,0)),Inputs!$B$2:$B$190,$B138)*Inputs!$D$1),"",SUMIFS(INDEX(Inputs!$B$2:$AZ$190,,MATCH(SUBSTITUTE(H$3,"Q","T"),Inputs!$B$2:$AZ$2,0)),Inputs!$B$2:$B$190,$B138)*Inputs!$D$1)</f>
        <v>0</v>
      </c>
      <c r="I138" s="58">
        <f>H138</f>
        <v>0</v>
      </c>
      <c r="J138" s="57">
        <f>IF(ISNA(SUMIFS(INDEX(Inputs!$B$2:$AZ$190,,MATCH(SUBSTITUTE(J$3,"Q","T"),Inputs!$B$2:$AZ$2,0)),Inputs!$B$2:$B$190,$B138)*Inputs!$D$1),"",SUMIFS(INDEX(Inputs!$B$2:$AZ$190,,MATCH(SUBSTITUTE(J$3,"Q","T"),Inputs!$B$2:$AZ$2,0)),Inputs!$B$2:$B$190,$B138)*Inputs!$D$1)</f>
        <v>0</v>
      </c>
      <c r="K138" s="57">
        <f>IF(ISNA(SUMIFS(INDEX(Inputs!$B$2:$AZ$190,,MATCH(SUBSTITUTE(K$3,"Q","T"),Inputs!$B$2:$AZ$2,0)),Inputs!$B$2:$B$190,$B138)*Inputs!$D$1),"",SUMIFS(INDEX(Inputs!$B$2:$AZ$190,,MATCH(SUBSTITUTE(K$3,"Q","T"),Inputs!$B$2:$AZ$2,0)),Inputs!$B$2:$B$190,$B138)*Inputs!$D$1)</f>
        <v>0</v>
      </c>
      <c r="L138" s="57">
        <f>IF(ISNA(SUMIFS(INDEX(Inputs!$B$2:$AZ$190,,MATCH(SUBSTITUTE(L$3,"Q","T"),Inputs!$B$2:$AZ$2,0)),Inputs!$B$2:$B$190,$B138)*Inputs!$D$1),"",SUMIFS(INDEX(Inputs!$B$2:$AZ$190,,MATCH(SUBSTITUTE(L$3,"Q","T"),Inputs!$B$2:$AZ$2,0)),Inputs!$B$2:$B$190,$B138)*Inputs!$D$1)</f>
        <v>0</v>
      </c>
      <c r="M138" s="57">
        <f>IF(ISNA(SUMIFS(INDEX(Inputs!$B$2:$AZ$190,,MATCH(SUBSTITUTE(M$3,"Q","T"),Inputs!$B$2:$AZ$2,0)),Inputs!$B$2:$B$190,$B138)*Inputs!$D$1),"",SUMIFS(INDEX(Inputs!$B$2:$AZ$190,,MATCH(SUBSTITUTE(M$3,"Q","T"),Inputs!$B$2:$AZ$2,0)),Inputs!$B$2:$B$190,$B138)*Inputs!$D$1)</f>
        <v>0</v>
      </c>
      <c r="N138" s="58">
        <f>M138</f>
        <v>0</v>
      </c>
      <c r="O138" s="57">
        <f>IF(ISNA(SUMIFS(INDEX(Inputs!$B$2:$AZ$190,,MATCH(SUBSTITUTE(O$3,"Q","T"),Inputs!$B$2:$AZ$2,0)),Inputs!$B$2:$B$190,$B138)*Inputs!$D$1),"",SUMIFS(INDEX(Inputs!$B$2:$AZ$190,,MATCH(SUBSTITUTE(O$3,"Q","T"),Inputs!$B$2:$AZ$2,0)),Inputs!$B$2:$B$190,$B138)*Inputs!$D$1)</f>
        <v>0</v>
      </c>
      <c r="P138" s="57">
        <f>IF(ISNA(SUMIFS(INDEX(Inputs!$B$2:$AZ$190,,MATCH(SUBSTITUTE(P$3,"Q","T"),Inputs!$B$2:$AZ$2,0)),Inputs!$B$2:$B$190,$B138)*Inputs!$D$1),"",SUMIFS(INDEX(Inputs!$B$2:$AZ$190,,MATCH(SUBSTITUTE(P$3,"Q","T"),Inputs!$B$2:$AZ$2,0)),Inputs!$B$2:$B$190,$B138)*Inputs!$D$1)</f>
        <v>0</v>
      </c>
      <c r="Q138" s="57">
        <f>IF(ISNA(SUMIFS(INDEX(Inputs!$B$2:$AZ$190,,MATCH(SUBSTITUTE(Q$3,"Q","T"),Inputs!$B$2:$AZ$2,0)),Inputs!$B$2:$B$190,$B138)*Inputs!$D$1),"",SUMIFS(INDEX(Inputs!$B$2:$AZ$190,,MATCH(SUBSTITUTE(Q$3,"Q","T"),Inputs!$B$2:$AZ$2,0)),Inputs!$B$2:$B$190,$B138)*Inputs!$D$1)</f>
        <v>0</v>
      </c>
      <c r="R138" s="57">
        <f>IF(ISNA(SUMIFS(INDEX(Inputs!$B$2:$AZ$190,,MATCH(SUBSTITUTE(R$3,"Q","T"),Inputs!$B$2:$AZ$2,0)),Inputs!$B$2:$B$190,$B138)*Inputs!$D$1),"",SUMIFS(INDEX(Inputs!$B$2:$AZ$190,,MATCH(SUBSTITUTE(R$3,"Q","T"),Inputs!$B$2:$AZ$2,0)),Inputs!$B$2:$B$190,$B138)*Inputs!$D$1)</f>
        <v>0</v>
      </c>
      <c r="S138" s="58">
        <f>R138</f>
        <v>0</v>
      </c>
      <c r="T138" s="57">
        <f>IF(ISNA(SUMIFS(INDEX(Inputs!$B$2:$AZ$190,,MATCH(SUBSTITUTE(T$3,"Q","T"),Inputs!$B$2:$AZ$2,0)),Inputs!$B$2:$B$190,$B138)*Inputs!$D$1),"",SUMIFS(INDEX(Inputs!$B$2:$AZ$190,,MATCH(SUBSTITUTE(T$3,"Q","T"),Inputs!$B$2:$AZ$2,0)),Inputs!$B$2:$B$190,$B138)*Inputs!$D$1)</f>
        <v>0</v>
      </c>
      <c r="U138" s="57">
        <f>IF(ISNA(SUMIFS(INDEX(Inputs!$B$2:$AZ$190,,MATCH(SUBSTITUTE(U$3,"Q","T"),Inputs!$B$2:$AZ$2,0)),Inputs!$B$2:$B$190,$B138)*Inputs!$D$1),"",SUMIFS(INDEX(Inputs!$B$2:$AZ$190,,MATCH(SUBSTITUTE(U$3,"Q","T"),Inputs!$B$2:$AZ$2,0)),Inputs!$B$2:$B$190,$B138)*Inputs!$D$1)</f>
        <v>0</v>
      </c>
      <c r="V138" s="57">
        <f>IF(ISNA(SUMIFS(INDEX(Inputs!$B$2:$AZ$190,,MATCH(SUBSTITUTE(V$3,"Q","T"),Inputs!$B$2:$AZ$2,0)),Inputs!$B$2:$B$190,$B138)*Inputs!$D$1),"",SUMIFS(INDEX(Inputs!$B$2:$AZ$190,,MATCH(SUBSTITUTE(V$3,"Q","T"),Inputs!$B$2:$AZ$2,0)),Inputs!$B$2:$B$190,$B138)*Inputs!$D$1)</f>
        <v>0</v>
      </c>
      <c r="W138" s="57">
        <f>IF(ISNA(SUMIFS(INDEX(Inputs!$B$2:$AZ$190,,MATCH(SUBSTITUTE(W$3,"Q","T"),Inputs!$B$2:$AZ$2,0)),Inputs!$B$2:$B$190,$B138)*Inputs!$D$1),"",SUMIFS(INDEX(Inputs!$B$2:$AZ$190,,MATCH(SUBSTITUTE(W$3,"Q","T"),Inputs!$B$2:$AZ$2,0)),Inputs!$B$2:$B$190,$B138)*Inputs!$D$1)</f>
        <v>0</v>
      </c>
      <c r="X138" s="58">
        <f>W138</f>
        <v>0</v>
      </c>
      <c r="Y138" s="57">
        <f>IF(ISNA(SUMIFS(INDEX(Inputs!$B$2:$AZ$190,,MATCH(SUBSTITUTE(Y$3,"Q","T"),Inputs!$B$2:$AZ$2,0)),Inputs!$B$2:$B$190,$B138)*Inputs!$D$1),"",SUMIFS(INDEX(Inputs!$B$2:$AZ$190,,MATCH(SUBSTITUTE(Y$3,"Q","T"),Inputs!$B$2:$AZ$2,0)),Inputs!$B$2:$B$190,$B138)*Inputs!$D$1)</f>
        <v>0</v>
      </c>
      <c r="Z138" s="57">
        <f>IF(ISNA(SUMIFS(INDEX(Inputs!$B$2:$AZ$190,,MATCH(SUBSTITUTE(Z$3,"Q","T"),Inputs!$B$2:$AZ$2,0)),Inputs!$B$2:$B$190,$B138)*Inputs!$D$1),"",SUMIFS(INDEX(Inputs!$B$2:$AZ$190,,MATCH(SUBSTITUTE(Z$3,"Q","T"),Inputs!$B$2:$AZ$2,0)),Inputs!$B$2:$B$190,$B138)*Inputs!$D$1)</f>
        <v>0</v>
      </c>
      <c r="AA138" s="57">
        <f>IF(ISNA(SUMIFS(INDEX(Inputs!$B$2:$AZ$190,,MATCH(SUBSTITUTE(AA$3,"Q","T"),Inputs!$B$2:$AZ$2,0)),Inputs!$B$2:$B$190,$B138)*Inputs!$D$1),"",SUMIFS(INDEX(Inputs!$B$2:$AZ$190,,MATCH(SUBSTITUTE(AA$3,"Q","T"),Inputs!$B$2:$AZ$2,0)),Inputs!$B$2:$B$190,$B138)*Inputs!$D$1)</f>
        <v>0</v>
      </c>
      <c r="AB138" s="57">
        <f>IF(ISNA(SUMIFS(INDEX(Inputs!$B$2:$AZ$190,,MATCH(SUBSTITUTE(AB$3,"Q","T"),Inputs!$B$2:$AZ$2,0)),Inputs!$B$2:$B$190,$B138)*Inputs!$D$1),"",SUMIFS(INDEX(Inputs!$B$2:$AZ$190,,MATCH(SUBSTITUTE(AB$3,"Q","T"),Inputs!$B$2:$AZ$2,0)),Inputs!$B$2:$B$190,$B138)*Inputs!$D$1)</f>
        <v>0</v>
      </c>
      <c r="AC138" s="58">
        <f>AB138</f>
        <v>0</v>
      </c>
      <c r="AD138" s="57">
        <f>IF(ISNA(SUMIFS(INDEX(Inputs!$B$2:$AZ$190,,MATCH(SUBSTITUTE(AD$3,"Q","T"),Inputs!$B$2:$AZ$2,0)),Inputs!$B$2:$B$190,$B138)*Inputs!$D$1),"",SUMIFS(INDEX(Inputs!$B$2:$AZ$190,,MATCH(SUBSTITUTE(AD$3,"Q","T"),Inputs!$B$2:$AZ$2,0)),Inputs!$B$2:$B$190,$B138)*Inputs!$D$1)</f>
        <v>0</v>
      </c>
      <c r="AE138" s="57">
        <f>IF(ISNA(SUMIFS(INDEX(Inputs!$B$2:$AZ$190,,MATCH(SUBSTITUTE(AE$3,"Q","T"),Inputs!$B$2:$AZ$2,0)),Inputs!$B$2:$B$190,$B138)*Inputs!$D$1),"",SUMIFS(INDEX(Inputs!$B$2:$AZ$190,,MATCH(SUBSTITUTE(AE$3,"Q","T"),Inputs!$B$2:$AZ$2,0)),Inputs!$B$2:$B$190,$B138)*Inputs!$D$1)</f>
        <v>0</v>
      </c>
      <c r="AF138" s="57">
        <f>IF(ISNA(SUMIFS(INDEX(Inputs!$B$2:$AZ$190,,MATCH(SUBSTITUTE(AF$3,"Q","T"),Inputs!$B$2:$AZ$2,0)),Inputs!$B$2:$B$190,$B138)*Inputs!$D$1),"",SUMIFS(INDEX(Inputs!$B$2:$AZ$190,,MATCH(SUBSTITUTE(AF$3,"Q","T"),Inputs!$B$2:$AZ$2,0)),Inputs!$B$2:$B$190,$B138)*Inputs!$D$1)</f>
        <v>0</v>
      </c>
      <c r="AG138" s="57">
        <f>IF(ISNA(SUMIFS(INDEX(Inputs!$B$2:$AZ$190,,MATCH(SUBSTITUTE(AG$3,"Q","T"),Inputs!$B$2:$AZ$2,0)),Inputs!$B$2:$B$190,$B138)*Inputs!$D$1),"",SUMIFS(INDEX(Inputs!$B$2:$AZ$190,,MATCH(SUBSTITUTE(AG$3,"Q","T"),Inputs!$B$2:$AZ$2,0)),Inputs!$B$2:$B$190,$B138)*Inputs!$D$1)</f>
        <v>0</v>
      </c>
      <c r="AH138" s="58">
        <f>AG138</f>
        <v>0</v>
      </c>
      <c r="AI138" s="57">
        <f>IF(ISNA(SUMIFS(INDEX(Inputs!$B$2:$AZ$190,,MATCH(SUBSTITUTE(AI$3,"Q","T"),Inputs!$B$2:$AZ$2,0)),Inputs!$B$2:$B$190,$B138)*Inputs!$D$1),"",SUMIFS(INDEX(Inputs!$B$2:$AZ$190,,MATCH(SUBSTITUTE(AI$3,"Q","T"),Inputs!$B$2:$AZ$2,0)),Inputs!$B$2:$B$190,$B138)*Inputs!$D$1)</f>
        <v>0</v>
      </c>
      <c r="AJ138" s="57">
        <f>IF(ISNA(SUMIFS(INDEX(Inputs!$B$2:$AZ$190,,MATCH(SUBSTITUTE(AJ$3,"Q","T"),Inputs!$B$2:$AZ$2,0)),Inputs!$B$2:$B$190,$B138)*Inputs!$D$1),"",SUMIFS(INDEX(Inputs!$B$2:$AZ$190,,MATCH(SUBSTITUTE(AJ$3,"Q","T"),Inputs!$B$2:$AZ$2,0)),Inputs!$B$2:$B$190,$B138)*Inputs!$D$1)</f>
        <v>0</v>
      </c>
      <c r="AK138" s="57">
        <f>IF(ISNA(SUMIFS(INDEX(Inputs!$B$2:$AZ$190,,MATCH(SUBSTITUTE(AK$3,"Q","T"),Inputs!$B$2:$AZ$2,0)),Inputs!$B$2:$B$190,$B138)*Inputs!$D$1),"",SUMIFS(INDEX(Inputs!$B$2:$AZ$190,,MATCH(SUBSTITUTE(AK$3,"Q","T"),Inputs!$B$2:$AZ$2,0)),Inputs!$B$2:$B$190,$B138)*Inputs!$D$1)</f>
        <v>0</v>
      </c>
      <c r="AL138" s="57">
        <f>IF(ISNA(SUMIFS(INDEX(Inputs!$B$2:$AZ$190,,MATCH(SUBSTITUTE(AL$3,"Q","T"),Inputs!$B$2:$AZ$2,0)),Inputs!$B$2:$B$190,$B138)*Inputs!$D$1),"",SUMIFS(INDEX(Inputs!$B$2:$AZ$190,,MATCH(SUBSTITUTE(AL$3,"Q","T"),Inputs!$B$2:$AZ$2,0)),Inputs!$B$2:$B$190,$B138)*Inputs!$D$1)</f>
        <v>0</v>
      </c>
      <c r="AM138" s="58">
        <f>AL138</f>
        <v>0</v>
      </c>
      <c r="AN138" s="57">
        <f>IF(ISNA(SUMIFS(INDEX(Inputs!$B$2:$AZ$190,,MATCH(SUBSTITUTE(AN$3,"Q","T"),Inputs!$B$2:$AZ$2,0)),Inputs!$B$2:$B$190,$B138)*Inputs!$D$1),"",SUMIFS(INDEX(Inputs!$B$2:$AZ$190,,MATCH(SUBSTITUTE(AN$3,"Q","T"),Inputs!$B$2:$AZ$2,0)),Inputs!$B$2:$B$190,$B138)*Inputs!$D$1)</f>
        <v>0</v>
      </c>
      <c r="AO138" s="57">
        <f>IF(ISNA(SUMIFS(INDEX(Inputs!$B$2:$AZ$190,,MATCH(SUBSTITUTE(AO$3,"Q","T"),Inputs!$B$2:$AZ$2,0)),Inputs!$B$2:$B$190,$B138)*Inputs!$D$1),"",SUMIFS(INDEX(Inputs!$B$2:$AZ$190,,MATCH(SUBSTITUTE(AO$3,"Q","T"),Inputs!$B$2:$AZ$2,0)),Inputs!$B$2:$B$190,$B138)*Inputs!$D$1)</f>
        <v>0</v>
      </c>
      <c r="AP138" s="57">
        <f>IF(ISNA(SUMIFS(INDEX(Inputs!$B$2:$AZ$190,,MATCH(SUBSTITUTE(AP$3,"Q","T"),Inputs!$B$2:$AZ$2,0)),Inputs!$B$2:$B$190,$B138)*Inputs!$D$1),"",SUMIFS(INDEX(Inputs!$B$2:$AZ$190,,MATCH(SUBSTITUTE(AP$3,"Q","T"),Inputs!$B$2:$AZ$2,0)),Inputs!$B$2:$B$190,$B138)*Inputs!$D$1)</f>
        <v>0</v>
      </c>
      <c r="AQ138" s="57">
        <f>IF(ISNA(SUMIFS(INDEX(Inputs!$B$2:$AZ$190,,MATCH(SUBSTITUTE(AQ$3,"Q","T"),Inputs!$B$2:$AZ$2,0)),Inputs!$B$2:$B$190,$B138)*Inputs!$D$1),"",SUMIFS(INDEX(Inputs!$B$2:$AZ$190,,MATCH(SUBSTITUTE(AQ$3,"Q","T"),Inputs!$B$2:$AZ$2,0)),Inputs!$B$2:$B$190,$B138)*Inputs!$D$1)</f>
        <v>0</v>
      </c>
      <c r="AR138" s="58">
        <f>AQ138</f>
        <v>0</v>
      </c>
      <c r="AS138" s="57">
        <f>IF(ISNA(SUMIFS(INDEX(Inputs!$B$2:$AZ$190,,MATCH(SUBSTITUTE(AS$3,"Q","T"),Inputs!$B$2:$AZ$2,0)),Inputs!$B$2:$B$190,$B138)*Inputs!$D$1),"",SUMIFS(INDEX(Inputs!$B$2:$AZ$190,,MATCH(SUBSTITUTE(AS$3,"Q","T"),Inputs!$B$2:$AZ$2,0)),Inputs!$B$2:$B$190,$B138)*Inputs!$D$1)</f>
        <v>0</v>
      </c>
      <c r="AT138" s="57">
        <f>IF(ISNA(SUMIFS(INDEX(Inputs!$B$2:$AZ$190,,MATCH(SUBSTITUTE(AT$3,"Q","T"),Inputs!$B$2:$AZ$2,0)),Inputs!$B$2:$B$190,$B138)*Inputs!$D$1),"",SUMIFS(INDEX(Inputs!$B$2:$AZ$190,,MATCH(SUBSTITUTE(AT$3,"Q","T"),Inputs!$B$2:$AZ$2,0)),Inputs!$B$2:$B$190,$B138)*Inputs!$D$1)</f>
        <v>0</v>
      </c>
      <c r="AU138" s="57">
        <f>IF(ISNA(SUMIFS(INDEX(Inputs!$B$2:$AZ$190,,MATCH(SUBSTITUTE(AU$3,"Q","T"),Inputs!$B$2:$AZ$2,0)),Inputs!$B$2:$B$190,$B138)*Inputs!$D$1),"",SUMIFS(INDEX(Inputs!$B$2:$AZ$190,,MATCH(SUBSTITUTE(AU$3,"Q","T"),Inputs!$B$2:$AZ$2,0)),Inputs!$B$2:$B$190,$B138)*Inputs!$D$1)</f>
        <v>0</v>
      </c>
      <c r="AV138" s="57">
        <f>IF(ISNA(SUMIFS(INDEX(Inputs!$B$2:$AZ$190,,MATCH(SUBSTITUTE(AV$3,"Q","T"),Inputs!$B$2:$AZ$2,0)),Inputs!$B$2:$B$190,$B138)*Inputs!$D$1),"",SUMIFS(INDEX(Inputs!$B$2:$AZ$190,,MATCH(SUBSTITUTE(AV$3,"Q","T"),Inputs!$B$2:$AZ$2,0)),Inputs!$B$2:$B$190,$B138)*Inputs!$D$1)</f>
        <v>0</v>
      </c>
      <c r="AW138" s="58">
        <f>AV138</f>
        <v>0</v>
      </c>
      <c r="AX138" s="57">
        <f>IF(ISNA(SUMIFS(INDEX(Inputs!$B$2:$AZ$190,,MATCH(SUBSTITUTE(AX$3,"Q","T"),Inputs!$B$2:$AZ$2,0)),Inputs!$B$2:$B$190,$B138)*Inputs!$D$1),"",SUMIFS(INDEX(Inputs!$B$2:$AZ$190,,MATCH(SUBSTITUTE(AX$3,"Q","T"),Inputs!$B$2:$AZ$2,0)),Inputs!$B$2:$B$190,$B138)*Inputs!$D$1)</f>
        <v>0</v>
      </c>
      <c r="AY138" s="57">
        <f>IF(ISNA(SUMIFS(INDEX(Inputs!$B$2:$AZ$190,,MATCH(SUBSTITUTE(AY$3,"Q","T"),Inputs!$B$2:$AZ$2,0)),Inputs!$B$2:$B$190,$B138)*Inputs!$D$1),"",SUMIFS(INDEX(Inputs!$B$2:$AZ$190,,MATCH(SUBSTITUTE(AY$3,"Q","T"),Inputs!$B$2:$AZ$2,0)),Inputs!$B$2:$B$190,$B138)*Inputs!$D$1)</f>
        <v>0</v>
      </c>
      <c r="AZ138" s="57">
        <f>IF(ISNA(SUMIFS(INDEX(Inputs!$B$2:$AZ$190,,MATCH(SUBSTITUTE(AZ$3,"Q","T"),Inputs!$B$2:$AZ$2,0)),Inputs!$B$2:$B$190,$B138)*Inputs!$D$1),"",SUMIFS(INDEX(Inputs!$B$2:$AZ$190,,MATCH(SUBSTITUTE(AZ$3,"Q","T"),Inputs!$B$2:$AZ$2,0)),Inputs!$B$2:$B$190,$B138)*Inputs!$D$1)</f>
        <v>0</v>
      </c>
      <c r="BA138" s="57">
        <f>IF(ISNA(SUMIFS(INDEX(Inputs!$B$2:$AZ$190,,MATCH(SUBSTITUTE(BA$3,"Q","T"),Inputs!$B$2:$AZ$2,0)),Inputs!$B$2:$B$190,$B138)*Inputs!$D$1),"",SUMIFS(INDEX(Inputs!$B$2:$AZ$190,,MATCH(SUBSTITUTE(BA$3,"Q","T"),Inputs!$B$2:$AZ$2,0)),Inputs!$B$2:$B$190,$B138)*Inputs!$D$1)</f>
        <v>0</v>
      </c>
      <c r="BB138" s="58">
        <f>BA138</f>
        <v>0</v>
      </c>
      <c r="BC138" s="57">
        <f>IF(ISNA(SUMIFS(INDEX(Inputs!$B$2:$AZ$190,,MATCH(SUBSTITUTE(BC$3,"Q","T"),Inputs!$B$2:$AZ$2,0)),Inputs!$B$2:$B$190,$B138)*Inputs!$D$1),"",SUMIFS(INDEX(Inputs!$B$2:$AZ$190,,MATCH(SUBSTITUTE(BC$3,"Q","T"),Inputs!$B$2:$AZ$2,0)),Inputs!$B$2:$B$190,$B138)*Inputs!$D$1)</f>
        <v>0</v>
      </c>
      <c r="BD138" s="57">
        <f>IF(ISNA(SUMIFS(INDEX(Inputs!$B$2:$AZ$190,,MATCH(SUBSTITUTE(BD$3,"Q","T"),Inputs!$B$2:$AZ$2,0)),Inputs!$B$2:$B$190,$B138)*Inputs!$D$1),"",SUMIFS(INDEX(Inputs!$B$2:$AZ$190,,MATCH(SUBSTITUTE(BD$3,"Q","T"),Inputs!$B$2:$AZ$2,0)),Inputs!$B$2:$B$190,$B138)*Inputs!$D$1)</f>
        <v>0</v>
      </c>
      <c r="BE138" s="57">
        <f>IF(ISNA(SUMIFS(INDEX(Inputs!$B$2:$AZ$190,,MATCH(SUBSTITUTE(BE$3,"Q","T"),Inputs!$B$2:$AZ$2,0)),Inputs!$B$2:$B$190,$B138)*Inputs!$D$1),"",SUMIFS(INDEX(Inputs!$B$2:$AZ$190,,MATCH(SUBSTITUTE(BE$3,"Q","T"),Inputs!$B$2:$AZ$2,0)),Inputs!$B$2:$B$190,$B138)*Inputs!$D$1)</f>
        <v>0</v>
      </c>
      <c r="BF138" s="57">
        <f>IF(ISNA(SUMIFS(INDEX(Inputs!$B$2:$AZ$190,,MATCH(SUBSTITUTE(BF$3,"Q","T"),Inputs!$B$2:$AZ$2,0)),Inputs!$B$2:$B$190,$B138)*Inputs!$D$1),"",SUMIFS(INDEX(Inputs!$B$2:$AZ$190,,MATCH(SUBSTITUTE(BF$3,"Q","T"),Inputs!$B$2:$AZ$2,0)),Inputs!$B$2:$B$190,$B138)*Inputs!$D$1)</f>
        <v>0</v>
      </c>
      <c r="BG138" s="58">
        <f>BF138</f>
        <v>0</v>
      </c>
    </row>
    <row r="139">
      <c r="B139" s="56" t="inlineStr">
        <is>
          <t>rwa_op</t>
        </is>
      </c>
      <c r="C139" s="11" t="inlineStr">
        <is>
          <t>RWA operacional (só na abordagem avançada)</t>
        </is>
      </c>
      <c r="D139" s="12" t="inlineStr">
        <is>
          <t>Operational RWA (Advanced only)</t>
        </is>
      </c>
      <c r="E139" s="57">
        <f>IF(ISNA(SUMIFS(INDEX(Inputs!$B$2:$AZ$190,,MATCH(SUBSTITUTE(E$3,"Q","T"),Inputs!$B$2:$AZ$2,0)),Inputs!$B$2:$B$190,$B139)*Inputs!$D$1),"",SUMIFS(INDEX(Inputs!$B$2:$AZ$190,,MATCH(SUBSTITUTE(E$3,"Q","T"),Inputs!$B$2:$AZ$2,0)),Inputs!$B$2:$B$190,$B139)*Inputs!$D$1)</f>
        <v>0</v>
      </c>
      <c r="F139" s="57">
        <f>IF(ISNA(SUMIFS(INDEX(Inputs!$B$2:$AZ$190,,MATCH(SUBSTITUTE(F$3,"Q","T"),Inputs!$B$2:$AZ$2,0)),Inputs!$B$2:$B$190,$B139)*Inputs!$D$1),"",SUMIFS(INDEX(Inputs!$B$2:$AZ$190,,MATCH(SUBSTITUTE(F$3,"Q","T"),Inputs!$B$2:$AZ$2,0)),Inputs!$B$2:$B$190,$B139)*Inputs!$D$1)</f>
        <v>0</v>
      </c>
      <c r="G139" s="57">
        <f>IF(ISNA(SUMIFS(INDEX(Inputs!$B$2:$AZ$190,,MATCH(SUBSTITUTE(G$3,"Q","T"),Inputs!$B$2:$AZ$2,0)),Inputs!$B$2:$B$190,$B139)*Inputs!$D$1),"",SUMIFS(INDEX(Inputs!$B$2:$AZ$190,,MATCH(SUBSTITUTE(G$3,"Q","T"),Inputs!$B$2:$AZ$2,0)),Inputs!$B$2:$B$190,$B139)*Inputs!$D$1)</f>
        <v>0</v>
      </c>
      <c r="H139" s="57">
        <f>IF(ISNA(SUMIFS(INDEX(Inputs!$B$2:$AZ$190,,MATCH(SUBSTITUTE(H$3,"Q","T"),Inputs!$B$2:$AZ$2,0)),Inputs!$B$2:$B$190,$B139)*Inputs!$D$1),"",SUMIFS(INDEX(Inputs!$B$2:$AZ$190,,MATCH(SUBSTITUTE(H$3,"Q","T"),Inputs!$B$2:$AZ$2,0)),Inputs!$B$2:$B$190,$B139)*Inputs!$D$1)</f>
        <v>0</v>
      </c>
      <c r="I139" s="58">
        <f>H139</f>
        <v>0</v>
      </c>
      <c r="J139" s="57">
        <f>IF(ISNA(SUMIFS(INDEX(Inputs!$B$2:$AZ$190,,MATCH(SUBSTITUTE(J$3,"Q","T"),Inputs!$B$2:$AZ$2,0)),Inputs!$B$2:$B$190,$B139)*Inputs!$D$1),"",SUMIFS(INDEX(Inputs!$B$2:$AZ$190,,MATCH(SUBSTITUTE(J$3,"Q","T"),Inputs!$B$2:$AZ$2,0)),Inputs!$B$2:$B$190,$B139)*Inputs!$D$1)</f>
        <v>0</v>
      </c>
      <c r="K139" s="57">
        <f>IF(ISNA(SUMIFS(INDEX(Inputs!$B$2:$AZ$190,,MATCH(SUBSTITUTE(K$3,"Q","T"),Inputs!$B$2:$AZ$2,0)),Inputs!$B$2:$B$190,$B139)*Inputs!$D$1),"",SUMIFS(INDEX(Inputs!$B$2:$AZ$190,,MATCH(SUBSTITUTE(K$3,"Q","T"),Inputs!$B$2:$AZ$2,0)),Inputs!$B$2:$B$190,$B139)*Inputs!$D$1)</f>
        <v>0</v>
      </c>
      <c r="L139" s="57">
        <f>IF(ISNA(SUMIFS(INDEX(Inputs!$B$2:$AZ$190,,MATCH(SUBSTITUTE(L$3,"Q","T"),Inputs!$B$2:$AZ$2,0)),Inputs!$B$2:$B$190,$B139)*Inputs!$D$1),"",SUMIFS(INDEX(Inputs!$B$2:$AZ$190,,MATCH(SUBSTITUTE(L$3,"Q","T"),Inputs!$B$2:$AZ$2,0)),Inputs!$B$2:$B$190,$B139)*Inputs!$D$1)</f>
        <v>0</v>
      </c>
      <c r="M139" s="57">
        <f>IF(ISNA(SUMIFS(INDEX(Inputs!$B$2:$AZ$190,,MATCH(SUBSTITUTE(M$3,"Q","T"),Inputs!$B$2:$AZ$2,0)),Inputs!$B$2:$B$190,$B139)*Inputs!$D$1),"",SUMIFS(INDEX(Inputs!$B$2:$AZ$190,,MATCH(SUBSTITUTE(M$3,"Q","T"),Inputs!$B$2:$AZ$2,0)),Inputs!$B$2:$B$190,$B139)*Inputs!$D$1)</f>
        <v>0</v>
      </c>
      <c r="N139" s="58">
        <f>M139</f>
        <v>0</v>
      </c>
      <c r="O139" s="57">
        <f>IF(ISNA(SUMIFS(INDEX(Inputs!$B$2:$AZ$190,,MATCH(SUBSTITUTE(O$3,"Q","T"),Inputs!$B$2:$AZ$2,0)),Inputs!$B$2:$B$190,$B139)*Inputs!$D$1),"",SUMIFS(INDEX(Inputs!$B$2:$AZ$190,,MATCH(SUBSTITUTE(O$3,"Q","T"),Inputs!$B$2:$AZ$2,0)),Inputs!$B$2:$B$190,$B139)*Inputs!$D$1)</f>
        <v>0</v>
      </c>
      <c r="P139" s="57">
        <f>IF(ISNA(SUMIFS(INDEX(Inputs!$B$2:$AZ$190,,MATCH(SUBSTITUTE(P$3,"Q","T"),Inputs!$B$2:$AZ$2,0)),Inputs!$B$2:$B$190,$B139)*Inputs!$D$1),"",SUMIFS(INDEX(Inputs!$B$2:$AZ$190,,MATCH(SUBSTITUTE(P$3,"Q","T"),Inputs!$B$2:$AZ$2,0)),Inputs!$B$2:$B$190,$B139)*Inputs!$D$1)</f>
        <v>0</v>
      </c>
      <c r="Q139" s="57">
        <f>IF(ISNA(SUMIFS(INDEX(Inputs!$B$2:$AZ$190,,MATCH(SUBSTITUTE(Q$3,"Q","T"),Inputs!$B$2:$AZ$2,0)),Inputs!$B$2:$B$190,$B139)*Inputs!$D$1),"",SUMIFS(INDEX(Inputs!$B$2:$AZ$190,,MATCH(SUBSTITUTE(Q$3,"Q","T"),Inputs!$B$2:$AZ$2,0)),Inputs!$B$2:$B$190,$B139)*Inputs!$D$1)</f>
        <v>0</v>
      </c>
      <c r="R139" s="57">
        <f>IF(ISNA(SUMIFS(INDEX(Inputs!$B$2:$AZ$190,,MATCH(SUBSTITUTE(R$3,"Q","T"),Inputs!$B$2:$AZ$2,0)),Inputs!$B$2:$B$190,$B139)*Inputs!$D$1),"",SUMIFS(INDEX(Inputs!$B$2:$AZ$190,,MATCH(SUBSTITUTE(R$3,"Q","T"),Inputs!$B$2:$AZ$2,0)),Inputs!$B$2:$B$190,$B139)*Inputs!$D$1)</f>
        <v>0</v>
      </c>
      <c r="S139" s="58">
        <f>R139</f>
        <v>0</v>
      </c>
      <c r="T139" s="57">
        <f>IF(ISNA(SUMIFS(INDEX(Inputs!$B$2:$AZ$190,,MATCH(SUBSTITUTE(T$3,"Q","T"),Inputs!$B$2:$AZ$2,0)),Inputs!$B$2:$B$190,$B139)*Inputs!$D$1),"",SUMIFS(INDEX(Inputs!$B$2:$AZ$190,,MATCH(SUBSTITUTE(T$3,"Q","T"),Inputs!$B$2:$AZ$2,0)),Inputs!$B$2:$B$190,$B139)*Inputs!$D$1)</f>
        <v>0</v>
      </c>
      <c r="U139" s="57">
        <f>IF(ISNA(SUMIFS(INDEX(Inputs!$B$2:$AZ$190,,MATCH(SUBSTITUTE(U$3,"Q","T"),Inputs!$B$2:$AZ$2,0)),Inputs!$B$2:$B$190,$B139)*Inputs!$D$1),"",SUMIFS(INDEX(Inputs!$B$2:$AZ$190,,MATCH(SUBSTITUTE(U$3,"Q","T"),Inputs!$B$2:$AZ$2,0)),Inputs!$B$2:$B$190,$B139)*Inputs!$D$1)</f>
        <v>0</v>
      </c>
      <c r="V139" s="57">
        <f>IF(ISNA(SUMIFS(INDEX(Inputs!$B$2:$AZ$190,,MATCH(SUBSTITUTE(V$3,"Q","T"),Inputs!$B$2:$AZ$2,0)),Inputs!$B$2:$B$190,$B139)*Inputs!$D$1),"",SUMIFS(INDEX(Inputs!$B$2:$AZ$190,,MATCH(SUBSTITUTE(V$3,"Q","T"),Inputs!$B$2:$AZ$2,0)),Inputs!$B$2:$B$190,$B139)*Inputs!$D$1)</f>
        <v>0</v>
      </c>
      <c r="W139" s="57">
        <f>IF(ISNA(SUMIFS(INDEX(Inputs!$B$2:$AZ$190,,MATCH(SUBSTITUTE(W$3,"Q","T"),Inputs!$B$2:$AZ$2,0)),Inputs!$B$2:$B$190,$B139)*Inputs!$D$1),"",SUMIFS(INDEX(Inputs!$B$2:$AZ$190,,MATCH(SUBSTITUTE(W$3,"Q","T"),Inputs!$B$2:$AZ$2,0)),Inputs!$B$2:$B$190,$B139)*Inputs!$D$1)</f>
        <v>0</v>
      </c>
      <c r="X139" s="58">
        <f>W139</f>
        <v>0</v>
      </c>
      <c r="Y139" s="57">
        <f>IF(ISNA(SUMIFS(INDEX(Inputs!$B$2:$AZ$190,,MATCH(SUBSTITUTE(Y$3,"Q","T"),Inputs!$B$2:$AZ$2,0)),Inputs!$B$2:$B$190,$B139)*Inputs!$D$1),"",SUMIFS(INDEX(Inputs!$B$2:$AZ$190,,MATCH(SUBSTITUTE(Y$3,"Q","T"),Inputs!$B$2:$AZ$2,0)),Inputs!$B$2:$B$190,$B139)*Inputs!$D$1)</f>
        <v>0</v>
      </c>
      <c r="Z139" s="57">
        <f>IF(ISNA(SUMIFS(INDEX(Inputs!$B$2:$AZ$190,,MATCH(SUBSTITUTE(Z$3,"Q","T"),Inputs!$B$2:$AZ$2,0)),Inputs!$B$2:$B$190,$B139)*Inputs!$D$1),"",SUMIFS(INDEX(Inputs!$B$2:$AZ$190,,MATCH(SUBSTITUTE(Z$3,"Q","T"),Inputs!$B$2:$AZ$2,0)),Inputs!$B$2:$B$190,$B139)*Inputs!$D$1)</f>
        <v>0</v>
      </c>
      <c r="AA139" s="57">
        <f>IF(ISNA(SUMIFS(INDEX(Inputs!$B$2:$AZ$190,,MATCH(SUBSTITUTE(AA$3,"Q","T"),Inputs!$B$2:$AZ$2,0)),Inputs!$B$2:$B$190,$B139)*Inputs!$D$1),"",SUMIFS(INDEX(Inputs!$B$2:$AZ$190,,MATCH(SUBSTITUTE(AA$3,"Q","T"),Inputs!$B$2:$AZ$2,0)),Inputs!$B$2:$B$190,$B139)*Inputs!$D$1)</f>
        <v>0</v>
      </c>
      <c r="AB139" s="57">
        <f>IF(ISNA(SUMIFS(INDEX(Inputs!$B$2:$AZ$190,,MATCH(SUBSTITUTE(AB$3,"Q","T"),Inputs!$B$2:$AZ$2,0)),Inputs!$B$2:$B$190,$B139)*Inputs!$D$1),"",SUMIFS(INDEX(Inputs!$B$2:$AZ$190,,MATCH(SUBSTITUTE(AB$3,"Q","T"),Inputs!$B$2:$AZ$2,0)),Inputs!$B$2:$B$190,$B139)*Inputs!$D$1)</f>
        <v>0</v>
      </c>
      <c r="AC139" s="58">
        <f>AB139</f>
        <v>0</v>
      </c>
      <c r="AD139" s="57">
        <f>IF(ISNA(SUMIFS(INDEX(Inputs!$B$2:$AZ$190,,MATCH(SUBSTITUTE(AD$3,"Q","T"),Inputs!$B$2:$AZ$2,0)),Inputs!$B$2:$B$190,$B139)*Inputs!$D$1),"",SUMIFS(INDEX(Inputs!$B$2:$AZ$190,,MATCH(SUBSTITUTE(AD$3,"Q","T"),Inputs!$B$2:$AZ$2,0)),Inputs!$B$2:$B$190,$B139)*Inputs!$D$1)</f>
        <v>0</v>
      </c>
      <c r="AE139" s="57">
        <f>IF(ISNA(SUMIFS(INDEX(Inputs!$B$2:$AZ$190,,MATCH(SUBSTITUTE(AE$3,"Q","T"),Inputs!$B$2:$AZ$2,0)),Inputs!$B$2:$B$190,$B139)*Inputs!$D$1),"",SUMIFS(INDEX(Inputs!$B$2:$AZ$190,,MATCH(SUBSTITUTE(AE$3,"Q","T"),Inputs!$B$2:$AZ$2,0)),Inputs!$B$2:$B$190,$B139)*Inputs!$D$1)</f>
        <v>0</v>
      </c>
      <c r="AF139" s="57">
        <f>IF(ISNA(SUMIFS(INDEX(Inputs!$B$2:$AZ$190,,MATCH(SUBSTITUTE(AF$3,"Q","T"),Inputs!$B$2:$AZ$2,0)),Inputs!$B$2:$B$190,$B139)*Inputs!$D$1),"",SUMIFS(INDEX(Inputs!$B$2:$AZ$190,,MATCH(SUBSTITUTE(AF$3,"Q","T"),Inputs!$B$2:$AZ$2,0)),Inputs!$B$2:$B$190,$B139)*Inputs!$D$1)</f>
        <v>0</v>
      </c>
      <c r="AG139" s="57">
        <f>IF(ISNA(SUMIFS(INDEX(Inputs!$B$2:$AZ$190,,MATCH(SUBSTITUTE(AG$3,"Q","T"),Inputs!$B$2:$AZ$2,0)),Inputs!$B$2:$B$190,$B139)*Inputs!$D$1),"",SUMIFS(INDEX(Inputs!$B$2:$AZ$190,,MATCH(SUBSTITUTE(AG$3,"Q","T"),Inputs!$B$2:$AZ$2,0)),Inputs!$B$2:$B$190,$B139)*Inputs!$D$1)</f>
        <v>0</v>
      </c>
      <c r="AH139" s="58">
        <f>AG139</f>
        <v>0</v>
      </c>
      <c r="AI139" s="57">
        <f>IF(ISNA(SUMIFS(INDEX(Inputs!$B$2:$AZ$190,,MATCH(SUBSTITUTE(AI$3,"Q","T"),Inputs!$B$2:$AZ$2,0)),Inputs!$B$2:$B$190,$B139)*Inputs!$D$1),"",SUMIFS(INDEX(Inputs!$B$2:$AZ$190,,MATCH(SUBSTITUTE(AI$3,"Q","T"),Inputs!$B$2:$AZ$2,0)),Inputs!$B$2:$B$190,$B139)*Inputs!$D$1)</f>
        <v>0</v>
      </c>
      <c r="AJ139" s="57">
        <f>IF(ISNA(SUMIFS(INDEX(Inputs!$B$2:$AZ$190,,MATCH(SUBSTITUTE(AJ$3,"Q","T"),Inputs!$B$2:$AZ$2,0)),Inputs!$B$2:$B$190,$B139)*Inputs!$D$1),"",SUMIFS(INDEX(Inputs!$B$2:$AZ$190,,MATCH(SUBSTITUTE(AJ$3,"Q","T"),Inputs!$B$2:$AZ$2,0)),Inputs!$B$2:$B$190,$B139)*Inputs!$D$1)</f>
        <v>0</v>
      </c>
      <c r="AK139" s="57">
        <f>IF(ISNA(SUMIFS(INDEX(Inputs!$B$2:$AZ$190,,MATCH(SUBSTITUTE(AK$3,"Q","T"),Inputs!$B$2:$AZ$2,0)),Inputs!$B$2:$B$190,$B139)*Inputs!$D$1),"",SUMIFS(INDEX(Inputs!$B$2:$AZ$190,,MATCH(SUBSTITUTE(AK$3,"Q","T"),Inputs!$B$2:$AZ$2,0)),Inputs!$B$2:$B$190,$B139)*Inputs!$D$1)</f>
        <v>0</v>
      </c>
      <c r="AL139" s="57">
        <f>IF(ISNA(SUMIFS(INDEX(Inputs!$B$2:$AZ$190,,MATCH(SUBSTITUTE(AL$3,"Q","T"),Inputs!$B$2:$AZ$2,0)),Inputs!$B$2:$B$190,$B139)*Inputs!$D$1),"",SUMIFS(INDEX(Inputs!$B$2:$AZ$190,,MATCH(SUBSTITUTE(AL$3,"Q","T"),Inputs!$B$2:$AZ$2,0)),Inputs!$B$2:$B$190,$B139)*Inputs!$D$1)</f>
        <v>0</v>
      </c>
      <c r="AM139" s="58">
        <f>AL139</f>
        <v>0</v>
      </c>
      <c r="AN139" s="57">
        <f>IF(ISNA(SUMIFS(INDEX(Inputs!$B$2:$AZ$190,,MATCH(SUBSTITUTE(AN$3,"Q","T"),Inputs!$B$2:$AZ$2,0)),Inputs!$B$2:$B$190,$B139)*Inputs!$D$1),"",SUMIFS(INDEX(Inputs!$B$2:$AZ$190,,MATCH(SUBSTITUTE(AN$3,"Q","T"),Inputs!$B$2:$AZ$2,0)),Inputs!$B$2:$B$190,$B139)*Inputs!$D$1)</f>
        <v>0</v>
      </c>
      <c r="AO139" s="57">
        <f>IF(ISNA(SUMIFS(INDEX(Inputs!$B$2:$AZ$190,,MATCH(SUBSTITUTE(AO$3,"Q","T"),Inputs!$B$2:$AZ$2,0)),Inputs!$B$2:$B$190,$B139)*Inputs!$D$1),"",SUMIFS(INDEX(Inputs!$B$2:$AZ$190,,MATCH(SUBSTITUTE(AO$3,"Q","T"),Inputs!$B$2:$AZ$2,0)),Inputs!$B$2:$B$190,$B139)*Inputs!$D$1)</f>
        <v>0</v>
      </c>
      <c r="AP139" s="57">
        <f>IF(ISNA(SUMIFS(INDEX(Inputs!$B$2:$AZ$190,,MATCH(SUBSTITUTE(AP$3,"Q","T"),Inputs!$B$2:$AZ$2,0)),Inputs!$B$2:$B$190,$B139)*Inputs!$D$1),"",SUMIFS(INDEX(Inputs!$B$2:$AZ$190,,MATCH(SUBSTITUTE(AP$3,"Q","T"),Inputs!$B$2:$AZ$2,0)),Inputs!$B$2:$B$190,$B139)*Inputs!$D$1)</f>
        <v>0</v>
      </c>
      <c r="AQ139" s="57">
        <f>IF(ISNA(SUMIFS(INDEX(Inputs!$B$2:$AZ$190,,MATCH(SUBSTITUTE(AQ$3,"Q","T"),Inputs!$B$2:$AZ$2,0)),Inputs!$B$2:$B$190,$B139)*Inputs!$D$1),"",SUMIFS(INDEX(Inputs!$B$2:$AZ$190,,MATCH(SUBSTITUTE(AQ$3,"Q","T"),Inputs!$B$2:$AZ$2,0)),Inputs!$B$2:$B$190,$B139)*Inputs!$D$1)</f>
        <v>0</v>
      </c>
      <c r="AR139" s="58">
        <f>AQ139</f>
        <v>0</v>
      </c>
      <c r="AS139" s="57">
        <f>IF(ISNA(SUMIFS(INDEX(Inputs!$B$2:$AZ$190,,MATCH(SUBSTITUTE(AS$3,"Q","T"),Inputs!$B$2:$AZ$2,0)),Inputs!$B$2:$B$190,$B139)*Inputs!$D$1),"",SUMIFS(INDEX(Inputs!$B$2:$AZ$190,,MATCH(SUBSTITUTE(AS$3,"Q","T"),Inputs!$B$2:$AZ$2,0)),Inputs!$B$2:$B$190,$B139)*Inputs!$D$1)</f>
        <v>0</v>
      </c>
      <c r="AT139" s="57">
        <f>IF(ISNA(SUMIFS(INDEX(Inputs!$B$2:$AZ$190,,MATCH(SUBSTITUTE(AT$3,"Q","T"),Inputs!$B$2:$AZ$2,0)),Inputs!$B$2:$B$190,$B139)*Inputs!$D$1),"",SUMIFS(INDEX(Inputs!$B$2:$AZ$190,,MATCH(SUBSTITUTE(AT$3,"Q","T"),Inputs!$B$2:$AZ$2,0)),Inputs!$B$2:$B$190,$B139)*Inputs!$D$1)</f>
        <v>0</v>
      </c>
      <c r="AU139" s="57">
        <f>IF(ISNA(SUMIFS(INDEX(Inputs!$B$2:$AZ$190,,MATCH(SUBSTITUTE(AU$3,"Q","T"),Inputs!$B$2:$AZ$2,0)),Inputs!$B$2:$B$190,$B139)*Inputs!$D$1),"",SUMIFS(INDEX(Inputs!$B$2:$AZ$190,,MATCH(SUBSTITUTE(AU$3,"Q","T"),Inputs!$B$2:$AZ$2,0)),Inputs!$B$2:$B$190,$B139)*Inputs!$D$1)</f>
        <v>0</v>
      </c>
      <c r="AV139" s="57">
        <f>IF(ISNA(SUMIFS(INDEX(Inputs!$B$2:$AZ$190,,MATCH(SUBSTITUTE(AV$3,"Q","T"),Inputs!$B$2:$AZ$2,0)),Inputs!$B$2:$B$190,$B139)*Inputs!$D$1),"",SUMIFS(INDEX(Inputs!$B$2:$AZ$190,,MATCH(SUBSTITUTE(AV$3,"Q","T"),Inputs!$B$2:$AZ$2,0)),Inputs!$B$2:$B$190,$B139)*Inputs!$D$1)</f>
        <v>0</v>
      </c>
      <c r="AW139" s="58">
        <f>AV139</f>
        <v>0</v>
      </c>
      <c r="AX139" s="57">
        <f>IF(ISNA(SUMIFS(INDEX(Inputs!$B$2:$AZ$190,,MATCH(SUBSTITUTE(AX$3,"Q","T"),Inputs!$B$2:$AZ$2,0)),Inputs!$B$2:$B$190,$B139)*Inputs!$D$1),"",SUMIFS(INDEX(Inputs!$B$2:$AZ$190,,MATCH(SUBSTITUTE(AX$3,"Q","T"),Inputs!$B$2:$AZ$2,0)),Inputs!$B$2:$B$190,$B139)*Inputs!$D$1)</f>
        <v>0</v>
      </c>
      <c r="AY139" s="57">
        <f>IF(ISNA(SUMIFS(INDEX(Inputs!$B$2:$AZ$190,,MATCH(SUBSTITUTE(AY$3,"Q","T"),Inputs!$B$2:$AZ$2,0)),Inputs!$B$2:$B$190,$B139)*Inputs!$D$1),"",SUMIFS(INDEX(Inputs!$B$2:$AZ$190,,MATCH(SUBSTITUTE(AY$3,"Q","T"),Inputs!$B$2:$AZ$2,0)),Inputs!$B$2:$B$190,$B139)*Inputs!$D$1)</f>
        <v>0</v>
      </c>
      <c r="AZ139" s="57">
        <f>IF(ISNA(SUMIFS(INDEX(Inputs!$B$2:$AZ$190,,MATCH(SUBSTITUTE(AZ$3,"Q","T"),Inputs!$B$2:$AZ$2,0)),Inputs!$B$2:$B$190,$B139)*Inputs!$D$1),"",SUMIFS(INDEX(Inputs!$B$2:$AZ$190,,MATCH(SUBSTITUTE(AZ$3,"Q","T"),Inputs!$B$2:$AZ$2,0)),Inputs!$B$2:$B$190,$B139)*Inputs!$D$1)</f>
        <v>0</v>
      </c>
      <c r="BA139" s="57">
        <f>IF(ISNA(SUMIFS(INDEX(Inputs!$B$2:$AZ$190,,MATCH(SUBSTITUTE(BA$3,"Q","T"),Inputs!$B$2:$AZ$2,0)),Inputs!$B$2:$B$190,$B139)*Inputs!$D$1),"",SUMIFS(INDEX(Inputs!$B$2:$AZ$190,,MATCH(SUBSTITUTE(BA$3,"Q","T"),Inputs!$B$2:$AZ$2,0)),Inputs!$B$2:$B$190,$B139)*Inputs!$D$1)</f>
        <v>0</v>
      </c>
      <c r="BB139" s="58">
        <f>BA139</f>
        <v>0</v>
      </c>
      <c r="BC139" s="57">
        <f>IF(ISNA(SUMIFS(INDEX(Inputs!$B$2:$AZ$190,,MATCH(SUBSTITUTE(BC$3,"Q","T"),Inputs!$B$2:$AZ$2,0)),Inputs!$B$2:$B$190,$B139)*Inputs!$D$1),"",SUMIFS(INDEX(Inputs!$B$2:$AZ$190,,MATCH(SUBSTITUTE(BC$3,"Q","T"),Inputs!$B$2:$AZ$2,0)),Inputs!$B$2:$B$190,$B139)*Inputs!$D$1)</f>
        <v>0</v>
      </c>
      <c r="BD139" s="57">
        <f>IF(ISNA(SUMIFS(INDEX(Inputs!$B$2:$AZ$190,,MATCH(SUBSTITUTE(BD$3,"Q","T"),Inputs!$B$2:$AZ$2,0)),Inputs!$B$2:$B$190,$B139)*Inputs!$D$1),"",SUMIFS(INDEX(Inputs!$B$2:$AZ$190,,MATCH(SUBSTITUTE(BD$3,"Q","T"),Inputs!$B$2:$AZ$2,0)),Inputs!$B$2:$B$190,$B139)*Inputs!$D$1)</f>
        <v>0</v>
      </c>
      <c r="BE139" s="57">
        <f>IF(ISNA(SUMIFS(INDEX(Inputs!$B$2:$AZ$190,,MATCH(SUBSTITUTE(BE$3,"Q","T"),Inputs!$B$2:$AZ$2,0)),Inputs!$B$2:$B$190,$B139)*Inputs!$D$1),"",SUMIFS(INDEX(Inputs!$B$2:$AZ$190,,MATCH(SUBSTITUTE(BE$3,"Q","T"),Inputs!$B$2:$AZ$2,0)),Inputs!$B$2:$B$190,$B139)*Inputs!$D$1)</f>
        <v>0</v>
      </c>
      <c r="BF139" s="57">
        <f>IF(ISNA(SUMIFS(INDEX(Inputs!$B$2:$AZ$190,,MATCH(SUBSTITUTE(BF$3,"Q","T"),Inputs!$B$2:$AZ$2,0)),Inputs!$B$2:$B$190,$B139)*Inputs!$D$1),"",SUMIFS(INDEX(Inputs!$B$2:$AZ$190,,MATCH(SUBSTITUTE(BF$3,"Q","T"),Inputs!$B$2:$AZ$2,0)),Inputs!$B$2:$B$190,$B139)*Inputs!$D$1)</f>
        <v>0</v>
      </c>
      <c r="BG139" s="58">
        <f>BF139</f>
        <v>0</v>
      </c>
    </row>
    <row r="140">
      <c r="B140" s="56" t="inlineStr">
        <is>
          <t>total_cap</t>
        </is>
      </c>
      <c r="C140" s="11" t="inlineStr">
        <is>
          <t>Capital total (Standardized)</t>
        </is>
      </c>
      <c r="D140" s="12" t="inlineStr">
        <is>
          <t>Total capital</t>
        </is>
      </c>
      <c r="E140" s="57">
        <f>IF(ISNA(SUMIFS(INDEX(Inputs!$B$2:$AZ$190,,MATCH(SUBSTITUTE(E$3,"Q","T"),Inputs!$B$2:$AZ$2,0)),Inputs!$B$2:$B$190,$B140)*Inputs!$D$1),"",SUMIFS(INDEX(Inputs!$B$2:$AZ$190,,MATCH(SUBSTITUTE(E$3,"Q","T"),Inputs!$B$2:$AZ$2,0)),Inputs!$B$2:$B$190,$B140)*Inputs!$D$1)</f>
        <v>0</v>
      </c>
      <c r="F140" s="57">
        <f>IF(ISNA(SUMIFS(INDEX(Inputs!$B$2:$AZ$190,,MATCH(SUBSTITUTE(F$3,"Q","T"),Inputs!$B$2:$AZ$2,0)),Inputs!$B$2:$B$190,$B140)*Inputs!$D$1),"",SUMIFS(INDEX(Inputs!$B$2:$AZ$190,,MATCH(SUBSTITUTE(F$3,"Q","T"),Inputs!$B$2:$AZ$2,0)),Inputs!$B$2:$B$190,$B140)*Inputs!$D$1)</f>
        <v>0</v>
      </c>
      <c r="G140" s="57">
        <f>IF(ISNA(SUMIFS(INDEX(Inputs!$B$2:$AZ$190,,MATCH(SUBSTITUTE(G$3,"Q","T"),Inputs!$B$2:$AZ$2,0)),Inputs!$B$2:$B$190,$B140)*Inputs!$D$1),"",SUMIFS(INDEX(Inputs!$B$2:$AZ$190,,MATCH(SUBSTITUTE(G$3,"Q","T"),Inputs!$B$2:$AZ$2,0)),Inputs!$B$2:$B$190,$B140)*Inputs!$D$1)</f>
        <v>0</v>
      </c>
      <c r="H140" s="57">
        <f>IF(ISNA(SUMIFS(INDEX(Inputs!$B$2:$AZ$190,,MATCH(SUBSTITUTE(H$3,"Q","T"),Inputs!$B$2:$AZ$2,0)),Inputs!$B$2:$B$190,$B140)*Inputs!$D$1),"",SUMIFS(INDEX(Inputs!$B$2:$AZ$190,,MATCH(SUBSTITUTE(H$3,"Q","T"),Inputs!$B$2:$AZ$2,0)),Inputs!$B$2:$B$190,$B140)*Inputs!$D$1)</f>
        <v>0</v>
      </c>
      <c r="I140" s="58">
        <f>H140</f>
        <v>0</v>
      </c>
      <c r="J140" s="57">
        <f>IF(ISNA(SUMIFS(INDEX(Inputs!$B$2:$AZ$190,,MATCH(SUBSTITUTE(J$3,"Q","T"),Inputs!$B$2:$AZ$2,0)),Inputs!$B$2:$B$190,$B140)*Inputs!$D$1),"",SUMIFS(INDEX(Inputs!$B$2:$AZ$190,,MATCH(SUBSTITUTE(J$3,"Q","T"),Inputs!$B$2:$AZ$2,0)),Inputs!$B$2:$B$190,$B140)*Inputs!$D$1)</f>
        <v>0</v>
      </c>
      <c r="K140" s="57">
        <f>IF(ISNA(SUMIFS(INDEX(Inputs!$B$2:$AZ$190,,MATCH(SUBSTITUTE(K$3,"Q","T"),Inputs!$B$2:$AZ$2,0)),Inputs!$B$2:$B$190,$B140)*Inputs!$D$1),"",SUMIFS(INDEX(Inputs!$B$2:$AZ$190,,MATCH(SUBSTITUTE(K$3,"Q","T"),Inputs!$B$2:$AZ$2,0)),Inputs!$B$2:$B$190,$B140)*Inputs!$D$1)</f>
        <v>0</v>
      </c>
      <c r="L140" s="57">
        <f>IF(ISNA(SUMIFS(INDEX(Inputs!$B$2:$AZ$190,,MATCH(SUBSTITUTE(L$3,"Q","T"),Inputs!$B$2:$AZ$2,0)),Inputs!$B$2:$B$190,$B140)*Inputs!$D$1),"",SUMIFS(INDEX(Inputs!$B$2:$AZ$190,,MATCH(SUBSTITUTE(L$3,"Q","T"),Inputs!$B$2:$AZ$2,0)),Inputs!$B$2:$B$190,$B140)*Inputs!$D$1)</f>
        <v>0</v>
      </c>
      <c r="M140" s="57">
        <f>IF(ISNA(SUMIFS(INDEX(Inputs!$B$2:$AZ$190,,MATCH(SUBSTITUTE(M$3,"Q","T"),Inputs!$B$2:$AZ$2,0)),Inputs!$B$2:$B$190,$B140)*Inputs!$D$1),"",SUMIFS(INDEX(Inputs!$B$2:$AZ$190,,MATCH(SUBSTITUTE(M$3,"Q","T"),Inputs!$B$2:$AZ$2,0)),Inputs!$B$2:$B$190,$B140)*Inputs!$D$1)</f>
        <v>0</v>
      </c>
      <c r="N140" s="58">
        <f>M140</f>
        <v>0</v>
      </c>
      <c r="O140" s="57">
        <f>IF(ISNA(SUMIFS(INDEX(Inputs!$B$2:$AZ$190,,MATCH(SUBSTITUTE(O$3,"Q","T"),Inputs!$B$2:$AZ$2,0)),Inputs!$B$2:$B$190,$B140)*Inputs!$D$1),"",SUMIFS(INDEX(Inputs!$B$2:$AZ$190,,MATCH(SUBSTITUTE(O$3,"Q","T"),Inputs!$B$2:$AZ$2,0)),Inputs!$B$2:$B$190,$B140)*Inputs!$D$1)</f>
        <v>0</v>
      </c>
      <c r="P140" s="57">
        <f>IF(ISNA(SUMIFS(INDEX(Inputs!$B$2:$AZ$190,,MATCH(SUBSTITUTE(P$3,"Q","T"),Inputs!$B$2:$AZ$2,0)),Inputs!$B$2:$B$190,$B140)*Inputs!$D$1),"",SUMIFS(INDEX(Inputs!$B$2:$AZ$190,,MATCH(SUBSTITUTE(P$3,"Q","T"),Inputs!$B$2:$AZ$2,0)),Inputs!$B$2:$B$190,$B140)*Inputs!$D$1)</f>
        <v>0</v>
      </c>
      <c r="Q140" s="57">
        <f>IF(ISNA(SUMIFS(INDEX(Inputs!$B$2:$AZ$190,,MATCH(SUBSTITUTE(Q$3,"Q","T"),Inputs!$B$2:$AZ$2,0)),Inputs!$B$2:$B$190,$B140)*Inputs!$D$1),"",SUMIFS(INDEX(Inputs!$B$2:$AZ$190,,MATCH(SUBSTITUTE(Q$3,"Q","T"),Inputs!$B$2:$AZ$2,0)),Inputs!$B$2:$B$190,$B140)*Inputs!$D$1)</f>
        <v>0</v>
      </c>
      <c r="R140" s="57">
        <f>IF(ISNA(SUMIFS(INDEX(Inputs!$B$2:$AZ$190,,MATCH(SUBSTITUTE(R$3,"Q","T"),Inputs!$B$2:$AZ$2,0)),Inputs!$B$2:$B$190,$B140)*Inputs!$D$1),"",SUMIFS(INDEX(Inputs!$B$2:$AZ$190,,MATCH(SUBSTITUTE(R$3,"Q","T"),Inputs!$B$2:$AZ$2,0)),Inputs!$B$2:$B$190,$B140)*Inputs!$D$1)</f>
        <v>0</v>
      </c>
      <c r="S140" s="58">
        <f>R140</f>
        <v>0</v>
      </c>
      <c r="T140" s="57">
        <f>IF(ISNA(SUMIFS(INDEX(Inputs!$B$2:$AZ$190,,MATCH(SUBSTITUTE(T$3,"Q","T"),Inputs!$B$2:$AZ$2,0)),Inputs!$B$2:$B$190,$B140)*Inputs!$D$1),"",SUMIFS(INDEX(Inputs!$B$2:$AZ$190,,MATCH(SUBSTITUTE(T$3,"Q","T"),Inputs!$B$2:$AZ$2,0)),Inputs!$B$2:$B$190,$B140)*Inputs!$D$1)</f>
        <v>0</v>
      </c>
      <c r="U140" s="57">
        <f>IF(ISNA(SUMIFS(INDEX(Inputs!$B$2:$AZ$190,,MATCH(SUBSTITUTE(U$3,"Q","T"),Inputs!$B$2:$AZ$2,0)),Inputs!$B$2:$B$190,$B140)*Inputs!$D$1),"",SUMIFS(INDEX(Inputs!$B$2:$AZ$190,,MATCH(SUBSTITUTE(U$3,"Q","T"),Inputs!$B$2:$AZ$2,0)),Inputs!$B$2:$B$190,$B140)*Inputs!$D$1)</f>
        <v>0</v>
      </c>
      <c r="V140" s="57">
        <f>IF(ISNA(SUMIFS(INDEX(Inputs!$B$2:$AZ$190,,MATCH(SUBSTITUTE(V$3,"Q","T"),Inputs!$B$2:$AZ$2,0)),Inputs!$B$2:$B$190,$B140)*Inputs!$D$1),"",SUMIFS(INDEX(Inputs!$B$2:$AZ$190,,MATCH(SUBSTITUTE(V$3,"Q","T"),Inputs!$B$2:$AZ$2,0)),Inputs!$B$2:$B$190,$B140)*Inputs!$D$1)</f>
        <v>0</v>
      </c>
      <c r="W140" s="57">
        <f>IF(ISNA(SUMIFS(INDEX(Inputs!$B$2:$AZ$190,,MATCH(SUBSTITUTE(W$3,"Q","T"),Inputs!$B$2:$AZ$2,0)),Inputs!$B$2:$B$190,$B140)*Inputs!$D$1),"",SUMIFS(INDEX(Inputs!$B$2:$AZ$190,,MATCH(SUBSTITUTE(W$3,"Q","T"),Inputs!$B$2:$AZ$2,0)),Inputs!$B$2:$B$190,$B140)*Inputs!$D$1)</f>
        <v>0</v>
      </c>
      <c r="X140" s="58">
        <f>W140</f>
        <v>0</v>
      </c>
      <c r="Y140" s="57">
        <f>IF(ISNA(SUMIFS(INDEX(Inputs!$B$2:$AZ$190,,MATCH(SUBSTITUTE(Y$3,"Q","T"),Inputs!$B$2:$AZ$2,0)),Inputs!$B$2:$B$190,$B140)*Inputs!$D$1),"",SUMIFS(INDEX(Inputs!$B$2:$AZ$190,,MATCH(SUBSTITUTE(Y$3,"Q","T"),Inputs!$B$2:$AZ$2,0)),Inputs!$B$2:$B$190,$B140)*Inputs!$D$1)</f>
        <v>0</v>
      </c>
      <c r="Z140" s="57">
        <f>IF(ISNA(SUMIFS(INDEX(Inputs!$B$2:$AZ$190,,MATCH(SUBSTITUTE(Z$3,"Q","T"),Inputs!$B$2:$AZ$2,0)),Inputs!$B$2:$B$190,$B140)*Inputs!$D$1),"",SUMIFS(INDEX(Inputs!$B$2:$AZ$190,,MATCH(SUBSTITUTE(Z$3,"Q","T"),Inputs!$B$2:$AZ$2,0)),Inputs!$B$2:$B$190,$B140)*Inputs!$D$1)</f>
        <v>0</v>
      </c>
      <c r="AA140" s="57">
        <f>IF(ISNA(SUMIFS(INDEX(Inputs!$B$2:$AZ$190,,MATCH(SUBSTITUTE(AA$3,"Q","T"),Inputs!$B$2:$AZ$2,0)),Inputs!$B$2:$B$190,$B140)*Inputs!$D$1),"",SUMIFS(INDEX(Inputs!$B$2:$AZ$190,,MATCH(SUBSTITUTE(AA$3,"Q","T"),Inputs!$B$2:$AZ$2,0)),Inputs!$B$2:$B$190,$B140)*Inputs!$D$1)</f>
        <v>0</v>
      </c>
      <c r="AB140" s="57">
        <f>IF(ISNA(SUMIFS(INDEX(Inputs!$B$2:$AZ$190,,MATCH(SUBSTITUTE(AB$3,"Q","T"),Inputs!$B$2:$AZ$2,0)),Inputs!$B$2:$B$190,$B140)*Inputs!$D$1),"",SUMIFS(INDEX(Inputs!$B$2:$AZ$190,,MATCH(SUBSTITUTE(AB$3,"Q","T"),Inputs!$B$2:$AZ$2,0)),Inputs!$B$2:$B$190,$B140)*Inputs!$D$1)</f>
        <v>0</v>
      </c>
      <c r="AC140" s="58">
        <f>AB140</f>
        <v>0</v>
      </c>
      <c r="AD140" s="57">
        <f>IF(ISNA(SUMIFS(INDEX(Inputs!$B$2:$AZ$190,,MATCH(SUBSTITUTE(AD$3,"Q","T"),Inputs!$B$2:$AZ$2,0)),Inputs!$B$2:$B$190,$B140)*Inputs!$D$1),"",SUMIFS(INDEX(Inputs!$B$2:$AZ$190,,MATCH(SUBSTITUTE(AD$3,"Q","T"),Inputs!$B$2:$AZ$2,0)),Inputs!$B$2:$B$190,$B140)*Inputs!$D$1)</f>
        <v>0</v>
      </c>
      <c r="AE140" s="57">
        <f>IF(ISNA(SUMIFS(INDEX(Inputs!$B$2:$AZ$190,,MATCH(SUBSTITUTE(AE$3,"Q","T"),Inputs!$B$2:$AZ$2,0)),Inputs!$B$2:$B$190,$B140)*Inputs!$D$1),"",SUMIFS(INDEX(Inputs!$B$2:$AZ$190,,MATCH(SUBSTITUTE(AE$3,"Q","T"),Inputs!$B$2:$AZ$2,0)),Inputs!$B$2:$B$190,$B140)*Inputs!$D$1)</f>
        <v>0</v>
      </c>
      <c r="AF140" s="57">
        <f>IF(ISNA(SUMIFS(INDEX(Inputs!$B$2:$AZ$190,,MATCH(SUBSTITUTE(AF$3,"Q","T"),Inputs!$B$2:$AZ$2,0)),Inputs!$B$2:$B$190,$B140)*Inputs!$D$1),"",SUMIFS(INDEX(Inputs!$B$2:$AZ$190,,MATCH(SUBSTITUTE(AF$3,"Q","T"),Inputs!$B$2:$AZ$2,0)),Inputs!$B$2:$B$190,$B140)*Inputs!$D$1)</f>
        <v>0</v>
      </c>
      <c r="AG140" s="57">
        <f>IF(ISNA(SUMIFS(INDEX(Inputs!$B$2:$AZ$190,,MATCH(SUBSTITUTE(AG$3,"Q","T"),Inputs!$B$2:$AZ$2,0)),Inputs!$B$2:$B$190,$B140)*Inputs!$D$1),"",SUMIFS(INDEX(Inputs!$B$2:$AZ$190,,MATCH(SUBSTITUTE(AG$3,"Q","T"),Inputs!$B$2:$AZ$2,0)),Inputs!$B$2:$B$190,$B140)*Inputs!$D$1)</f>
        <v>0</v>
      </c>
      <c r="AH140" s="58">
        <f>AG140</f>
        <v>0</v>
      </c>
      <c r="AI140" s="57">
        <f>IF(ISNA(SUMIFS(INDEX(Inputs!$B$2:$AZ$190,,MATCH(SUBSTITUTE(AI$3,"Q","T"),Inputs!$B$2:$AZ$2,0)),Inputs!$B$2:$B$190,$B140)*Inputs!$D$1),"",SUMIFS(INDEX(Inputs!$B$2:$AZ$190,,MATCH(SUBSTITUTE(AI$3,"Q","T"),Inputs!$B$2:$AZ$2,0)),Inputs!$B$2:$B$190,$B140)*Inputs!$D$1)</f>
        <v>0</v>
      </c>
      <c r="AJ140" s="57">
        <f>IF(ISNA(SUMIFS(INDEX(Inputs!$B$2:$AZ$190,,MATCH(SUBSTITUTE(AJ$3,"Q","T"),Inputs!$B$2:$AZ$2,0)),Inputs!$B$2:$B$190,$B140)*Inputs!$D$1),"",SUMIFS(INDEX(Inputs!$B$2:$AZ$190,,MATCH(SUBSTITUTE(AJ$3,"Q","T"),Inputs!$B$2:$AZ$2,0)),Inputs!$B$2:$B$190,$B140)*Inputs!$D$1)</f>
        <v>0</v>
      </c>
      <c r="AK140" s="57">
        <f>IF(ISNA(SUMIFS(INDEX(Inputs!$B$2:$AZ$190,,MATCH(SUBSTITUTE(AK$3,"Q","T"),Inputs!$B$2:$AZ$2,0)),Inputs!$B$2:$B$190,$B140)*Inputs!$D$1),"",SUMIFS(INDEX(Inputs!$B$2:$AZ$190,,MATCH(SUBSTITUTE(AK$3,"Q","T"),Inputs!$B$2:$AZ$2,0)),Inputs!$B$2:$B$190,$B140)*Inputs!$D$1)</f>
        <v>0</v>
      </c>
      <c r="AL140" s="57">
        <f>IF(ISNA(SUMIFS(INDEX(Inputs!$B$2:$AZ$190,,MATCH(SUBSTITUTE(AL$3,"Q","T"),Inputs!$B$2:$AZ$2,0)),Inputs!$B$2:$B$190,$B140)*Inputs!$D$1),"",SUMIFS(INDEX(Inputs!$B$2:$AZ$190,,MATCH(SUBSTITUTE(AL$3,"Q","T"),Inputs!$B$2:$AZ$2,0)),Inputs!$B$2:$B$190,$B140)*Inputs!$D$1)</f>
        <v>0</v>
      </c>
      <c r="AM140" s="58">
        <f>AL140</f>
        <v>0</v>
      </c>
      <c r="AN140" s="57">
        <f>IF(ISNA(SUMIFS(INDEX(Inputs!$B$2:$AZ$190,,MATCH(SUBSTITUTE(AN$3,"Q","T"),Inputs!$B$2:$AZ$2,0)),Inputs!$B$2:$B$190,$B140)*Inputs!$D$1),"",SUMIFS(INDEX(Inputs!$B$2:$AZ$190,,MATCH(SUBSTITUTE(AN$3,"Q","T"),Inputs!$B$2:$AZ$2,0)),Inputs!$B$2:$B$190,$B140)*Inputs!$D$1)</f>
        <v>0</v>
      </c>
      <c r="AO140" s="57">
        <f>IF(ISNA(SUMIFS(INDEX(Inputs!$B$2:$AZ$190,,MATCH(SUBSTITUTE(AO$3,"Q","T"),Inputs!$B$2:$AZ$2,0)),Inputs!$B$2:$B$190,$B140)*Inputs!$D$1),"",SUMIFS(INDEX(Inputs!$B$2:$AZ$190,,MATCH(SUBSTITUTE(AO$3,"Q","T"),Inputs!$B$2:$AZ$2,0)),Inputs!$B$2:$B$190,$B140)*Inputs!$D$1)</f>
        <v>0</v>
      </c>
      <c r="AP140" s="57">
        <f>IF(ISNA(SUMIFS(INDEX(Inputs!$B$2:$AZ$190,,MATCH(SUBSTITUTE(AP$3,"Q","T"),Inputs!$B$2:$AZ$2,0)),Inputs!$B$2:$B$190,$B140)*Inputs!$D$1),"",SUMIFS(INDEX(Inputs!$B$2:$AZ$190,,MATCH(SUBSTITUTE(AP$3,"Q","T"),Inputs!$B$2:$AZ$2,0)),Inputs!$B$2:$B$190,$B140)*Inputs!$D$1)</f>
        <v>0</v>
      </c>
      <c r="AQ140" s="57">
        <f>IF(ISNA(SUMIFS(INDEX(Inputs!$B$2:$AZ$190,,MATCH(SUBSTITUTE(AQ$3,"Q","T"),Inputs!$B$2:$AZ$2,0)),Inputs!$B$2:$B$190,$B140)*Inputs!$D$1),"",SUMIFS(INDEX(Inputs!$B$2:$AZ$190,,MATCH(SUBSTITUTE(AQ$3,"Q","T"),Inputs!$B$2:$AZ$2,0)),Inputs!$B$2:$B$190,$B140)*Inputs!$D$1)</f>
        <v>0</v>
      </c>
      <c r="AR140" s="58">
        <f>AQ140</f>
        <v>0</v>
      </c>
      <c r="AS140" s="57">
        <f>IF(ISNA(SUMIFS(INDEX(Inputs!$B$2:$AZ$190,,MATCH(SUBSTITUTE(AS$3,"Q","T"),Inputs!$B$2:$AZ$2,0)),Inputs!$B$2:$B$190,$B140)*Inputs!$D$1),"",SUMIFS(INDEX(Inputs!$B$2:$AZ$190,,MATCH(SUBSTITUTE(AS$3,"Q","T"),Inputs!$B$2:$AZ$2,0)),Inputs!$B$2:$B$190,$B140)*Inputs!$D$1)</f>
        <v>0</v>
      </c>
      <c r="AT140" s="57">
        <f>IF(ISNA(SUMIFS(INDEX(Inputs!$B$2:$AZ$190,,MATCH(SUBSTITUTE(AT$3,"Q","T"),Inputs!$B$2:$AZ$2,0)),Inputs!$B$2:$B$190,$B140)*Inputs!$D$1),"",SUMIFS(INDEX(Inputs!$B$2:$AZ$190,,MATCH(SUBSTITUTE(AT$3,"Q","T"),Inputs!$B$2:$AZ$2,0)),Inputs!$B$2:$B$190,$B140)*Inputs!$D$1)</f>
        <v>0</v>
      </c>
      <c r="AU140" s="57">
        <f>IF(ISNA(SUMIFS(INDEX(Inputs!$B$2:$AZ$190,,MATCH(SUBSTITUTE(AU$3,"Q","T"),Inputs!$B$2:$AZ$2,0)),Inputs!$B$2:$B$190,$B140)*Inputs!$D$1),"",SUMIFS(INDEX(Inputs!$B$2:$AZ$190,,MATCH(SUBSTITUTE(AU$3,"Q","T"),Inputs!$B$2:$AZ$2,0)),Inputs!$B$2:$B$190,$B140)*Inputs!$D$1)</f>
        <v>0</v>
      </c>
      <c r="AV140" s="57">
        <f>IF(ISNA(SUMIFS(INDEX(Inputs!$B$2:$AZ$190,,MATCH(SUBSTITUTE(AV$3,"Q","T"),Inputs!$B$2:$AZ$2,0)),Inputs!$B$2:$B$190,$B140)*Inputs!$D$1),"",SUMIFS(INDEX(Inputs!$B$2:$AZ$190,,MATCH(SUBSTITUTE(AV$3,"Q","T"),Inputs!$B$2:$AZ$2,0)),Inputs!$B$2:$B$190,$B140)*Inputs!$D$1)</f>
        <v>0</v>
      </c>
      <c r="AW140" s="58">
        <f>AV140</f>
        <v>0</v>
      </c>
      <c r="AX140" s="57">
        <f>IF(ISNA(SUMIFS(INDEX(Inputs!$B$2:$AZ$190,,MATCH(SUBSTITUTE(AX$3,"Q","T"),Inputs!$B$2:$AZ$2,0)),Inputs!$B$2:$B$190,$B140)*Inputs!$D$1),"",SUMIFS(INDEX(Inputs!$B$2:$AZ$190,,MATCH(SUBSTITUTE(AX$3,"Q","T"),Inputs!$B$2:$AZ$2,0)),Inputs!$B$2:$B$190,$B140)*Inputs!$D$1)</f>
        <v>0</v>
      </c>
      <c r="AY140" s="57">
        <f>IF(ISNA(SUMIFS(INDEX(Inputs!$B$2:$AZ$190,,MATCH(SUBSTITUTE(AY$3,"Q","T"),Inputs!$B$2:$AZ$2,0)),Inputs!$B$2:$B$190,$B140)*Inputs!$D$1),"",SUMIFS(INDEX(Inputs!$B$2:$AZ$190,,MATCH(SUBSTITUTE(AY$3,"Q","T"),Inputs!$B$2:$AZ$2,0)),Inputs!$B$2:$B$190,$B140)*Inputs!$D$1)</f>
        <v>0</v>
      </c>
      <c r="AZ140" s="57">
        <f>IF(ISNA(SUMIFS(INDEX(Inputs!$B$2:$AZ$190,,MATCH(SUBSTITUTE(AZ$3,"Q","T"),Inputs!$B$2:$AZ$2,0)),Inputs!$B$2:$B$190,$B140)*Inputs!$D$1),"",SUMIFS(INDEX(Inputs!$B$2:$AZ$190,,MATCH(SUBSTITUTE(AZ$3,"Q","T"),Inputs!$B$2:$AZ$2,0)),Inputs!$B$2:$B$190,$B140)*Inputs!$D$1)</f>
        <v>0</v>
      </c>
      <c r="BA140" s="57">
        <f>IF(ISNA(SUMIFS(INDEX(Inputs!$B$2:$AZ$190,,MATCH(SUBSTITUTE(BA$3,"Q","T"),Inputs!$B$2:$AZ$2,0)),Inputs!$B$2:$B$190,$B140)*Inputs!$D$1),"",SUMIFS(INDEX(Inputs!$B$2:$AZ$190,,MATCH(SUBSTITUTE(BA$3,"Q","T"),Inputs!$B$2:$AZ$2,0)),Inputs!$B$2:$B$190,$B140)*Inputs!$D$1)</f>
        <v>0</v>
      </c>
      <c r="BB140" s="58">
        <f>BA140</f>
        <v>0</v>
      </c>
      <c r="BC140" s="57">
        <f>IF(ISNA(SUMIFS(INDEX(Inputs!$B$2:$AZ$190,,MATCH(SUBSTITUTE(BC$3,"Q","T"),Inputs!$B$2:$AZ$2,0)),Inputs!$B$2:$B$190,$B140)*Inputs!$D$1),"",SUMIFS(INDEX(Inputs!$B$2:$AZ$190,,MATCH(SUBSTITUTE(BC$3,"Q","T"),Inputs!$B$2:$AZ$2,0)),Inputs!$B$2:$B$190,$B140)*Inputs!$D$1)</f>
        <v>0</v>
      </c>
      <c r="BD140" s="57">
        <f>IF(ISNA(SUMIFS(INDEX(Inputs!$B$2:$AZ$190,,MATCH(SUBSTITUTE(BD$3,"Q","T"),Inputs!$B$2:$AZ$2,0)),Inputs!$B$2:$B$190,$B140)*Inputs!$D$1),"",SUMIFS(INDEX(Inputs!$B$2:$AZ$190,,MATCH(SUBSTITUTE(BD$3,"Q","T"),Inputs!$B$2:$AZ$2,0)),Inputs!$B$2:$B$190,$B140)*Inputs!$D$1)</f>
        <v>0</v>
      </c>
      <c r="BE140" s="57">
        <f>IF(ISNA(SUMIFS(INDEX(Inputs!$B$2:$AZ$190,,MATCH(SUBSTITUTE(BE$3,"Q","T"),Inputs!$B$2:$AZ$2,0)),Inputs!$B$2:$B$190,$B140)*Inputs!$D$1),"",SUMIFS(INDEX(Inputs!$B$2:$AZ$190,,MATCH(SUBSTITUTE(BE$3,"Q","T"),Inputs!$B$2:$AZ$2,0)),Inputs!$B$2:$B$190,$B140)*Inputs!$D$1)</f>
        <v>0</v>
      </c>
      <c r="BF140" s="57">
        <f>IF(ISNA(SUMIFS(INDEX(Inputs!$B$2:$AZ$190,,MATCH(SUBSTITUTE(BF$3,"Q","T"),Inputs!$B$2:$AZ$2,0)),Inputs!$B$2:$B$190,$B140)*Inputs!$D$1),"",SUMIFS(INDEX(Inputs!$B$2:$AZ$190,,MATCH(SUBSTITUTE(BF$3,"Q","T"),Inputs!$B$2:$AZ$2,0)),Inputs!$B$2:$B$190,$B140)*Inputs!$D$1)</f>
        <v>0</v>
      </c>
      <c r="BG140" s="58">
        <f>BF140</f>
        <v>0</v>
      </c>
    </row>
    <row r="141">
      <c r="B141" s="56" t="inlineStr">
        <is>
          <t>tier1</t>
        </is>
      </c>
      <c r="C141" s="11" t="inlineStr">
        <is>
          <t>Capital Nível 1 (Tier 1)</t>
        </is>
      </c>
      <c r="D141" s="12" t="inlineStr">
        <is>
          <t>Tier 1 capital</t>
        </is>
      </c>
      <c r="E141" s="57">
        <f>IF(ISNA(SUMIFS(INDEX(Inputs!$B$2:$AZ$190,,MATCH(SUBSTITUTE(E$3,"Q","T"),Inputs!$B$2:$AZ$2,0)),Inputs!$B$2:$B$190,$B141)*Inputs!$D$1),"",SUMIFS(INDEX(Inputs!$B$2:$AZ$190,,MATCH(SUBSTITUTE(E$3,"Q","T"),Inputs!$B$2:$AZ$2,0)),Inputs!$B$2:$B$190,$B141)*Inputs!$D$1)</f>
        <v>0</v>
      </c>
      <c r="F141" s="57">
        <f>IF(ISNA(SUMIFS(INDEX(Inputs!$B$2:$AZ$190,,MATCH(SUBSTITUTE(F$3,"Q","T"),Inputs!$B$2:$AZ$2,0)),Inputs!$B$2:$B$190,$B141)*Inputs!$D$1),"",SUMIFS(INDEX(Inputs!$B$2:$AZ$190,,MATCH(SUBSTITUTE(F$3,"Q","T"),Inputs!$B$2:$AZ$2,0)),Inputs!$B$2:$B$190,$B141)*Inputs!$D$1)</f>
        <v>0</v>
      </c>
      <c r="G141" s="57">
        <f>IF(ISNA(SUMIFS(INDEX(Inputs!$B$2:$AZ$190,,MATCH(SUBSTITUTE(G$3,"Q","T"),Inputs!$B$2:$AZ$2,0)),Inputs!$B$2:$B$190,$B141)*Inputs!$D$1),"",SUMIFS(INDEX(Inputs!$B$2:$AZ$190,,MATCH(SUBSTITUTE(G$3,"Q","T"),Inputs!$B$2:$AZ$2,0)),Inputs!$B$2:$B$190,$B141)*Inputs!$D$1)</f>
        <v>0</v>
      </c>
      <c r="H141" s="57">
        <f>IF(ISNA(SUMIFS(INDEX(Inputs!$B$2:$AZ$190,,MATCH(SUBSTITUTE(H$3,"Q","T"),Inputs!$B$2:$AZ$2,0)),Inputs!$B$2:$B$190,$B141)*Inputs!$D$1),"",SUMIFS(INDEX(Inputs!$B$2:$AZ$190,,MATCH(SUBSTITUTE(H$3,"Q","T"),Inputs!$B$2:$AZ$2,0)),Inputs!$B$2:$B$190,$B141)*Inputs!$D$1)</f>
        <v>0</v>
      </c>
      <c r="I141" s="58">
        <f>H141</f>
        <v>0</v>
      </c>
      <c r="J141" s="57">
        <f>IF(ISNA(SUMIFS(INDEX(Inputs!$B$2:$AZ$190,,MATCH(SUBSTITUTE(J$3,"Q","T"),Inputs!$B$2:$AZ$2,0)),Inputs!$B$2:$B$190,$B141)*Inputs!$D$1),"",SUMIFS(INDEX(Inputs!$B$2:$AZ$190,,MATCH(SUBSTITUTE(J$3,"Q","T"),Inputs!$B$2:$AZ$2,0)),Inputs!$B$2:$B$190,$B141)*Inputs!$D$1)</f>
        <v>0</v>
      </c>
      <c r="K141" s="57">
        <f>IF(ISNA(SUMIFS(INDEX(Inputs!$B$2:$AZ$190,,MATCH(SUBSTITUTE(K$3,"Q","T"),Inputs!$B$2:$AZ$2,0)),Inputs!$B$2:$B$190,$B141)*Inputs!$D$1),"",SUMIFS(INDEX(Inputs!$B$2:$AZ$190,,MATCH(SUBSTITUTE(K$3,"Q","T"),Inputs!$B$2:$AZ$2,0)),Inputs!$B$2:$B$190,$B141)*Inputs!$D$1)</f>
        <v>0</v>
      </c>
      <c r="L141" s="57">
        <f>IF(ISNA(SUMIFS(INDEX(Inputs!$B$2:$AZ$190,,MATCH(SUBSTITUTE(L$3,"Q","T"),Inputs!$B$2:$AZ$2,0)),Inputs!$B$2:$B$190,$B141)*Inputs!$D$1),"",SUMIFS(INDEX(Inputs!$B$2:$AZ$190,,MATCH(SUBSTITUTE(L$3,"Q","T"),Inputs!$B$2:$AZ$2,0)),Inputs!$B$2:$B$190,$B141)*Inputs!$D$1)</f>
        <v>0</v>
      </c>
      <c r="M141" s="57">
        <f>IF(ISNA(SUMIFS(INDEX(Inputs!$B$2:$AZ$190,,MATCH(SUBSTITUTE(M$3,"Q","T"),Inputs!$B$2:$AZ$2,0)),Inputs!$B$2:$B$190,$B141)*Inputs!$D$1),"",SUMIFS(INDEX(Inputs!$B$2:$AZ$190,,MATCH(SUBSTITUTE(M$3,"Q","T"),Inputs!$B$2:$AZ$2,0)),Inputs!$B$2:$B$190,$B141)*Inputs!$D$1)</f>
        <v>0</v>
      </c>
      <c r="N141" s="58">
        <f>M141</f>
        <v>0</v>
      </c>
      <c r="O141" s="57">
        <f>IF(ISNA(SUMIFS(INDEX(Inputs!$B$2:$AZ$190,,MATCH(SUBSTITUTE(O$3,"Q","T"),Inputs!$B$2:$AZ$2,0)),Inputs!$B$2:$B$190,$B141)*Inputs!$D$1),"",SUMIFS(INDEX(Inputs!$B$2:$AZ$190,,MATCH(SUBSTITUTE(O$3,"Q","T"),Inputs!$B$2:$AZ$2,0)),Inputs!$B$2:$B$190,$B141)*Inputs!$D$1)</f>
        <v>0</v>
      </c>
      <c r="P141" s="57">
        <f>IF(ISNA(SUMIFS(INDEX(Inputs!$B$2:$AZ$190,,MATCH(SUBSTITUTE(P$3,"Q","T"),Inputs!$B$2:$AZ$2,0)),Inputs!$B$2:$B$190,$B141)*Inputs!$D$1),"",SUMIFS(INDEX(Inputs!$B$2:$AZ$190,,MATCH(SUBSTITUTE(P$3,"Q","T"),Inputs!$B$2:$AZ$2,0)),Inputs!$B$2:$B$190,$B141)*Inputs!$D$1)</f>
        <v>0</v>
      </c>
      <c r="Q141" s="57">
        <f>IF(ISNA(SUMIFS(INDEX(Inputs!$B$2:$AZ$190,,MATCH(SUBSTITUTE(Q$3,"Q","T"),Inputs!$B$2:$AZ$2,0)),Inputs!$B$2:$B$190,$B141)*Inputs!$D$1),"",SUMIFS(INDEX(Inputs!$B$2:$AZ$190,,MATCH(SUBSTITUTE(Q$3,"Q","T"),Inputs!$B$2:$AZ$2,0)),Inputs!$B$2:$B$190,$B141)*Inputs!$D$1)</f>
        <v>0</v>
      </c>
      <c r="R141" s="57">
        <f>IF(ISNA(SUMIFS(INDEX(Inputs!$B$2:$AZ$190,,MATCH(SUBSTITUTE(R$3,"Q","T"),Inputs!$B$2:$AZ$2,0)),Inputs!$B$2:$B$190,$B141)*Inputs!$D$1),"",SUMIFS(INDEX(Inputs!$B$2:$AZ$190,,MATCH(SUBSTITUTE(R$3,"Q","T"),Inputs!$B$2:$AZ$2,0)),Inputs!$B$2:$B$190,$B141)*Inputs!$D$1)</f>
        <v>0</v>
      </c>
      <c r="S141" s="58">
        <f>R141</f>
        <v>0</v>
      </c>
      <c r="T141" s="57">
        <f>IF(ISNA(SUMIFS(INDEX(Inputs!$B$2:$AZ$190,,MATCH(SUBSTITUTE(T$3,"Q","T"),Inputs!$B$2:$AZ$2,0)),Inputs!$B$2:$B$190,$B141)*Inputs!$D$1),"",SUMIFS(INDEX(Inputs!$B$2:$AZ$190,,MATCH(SUBSTITUTE(T$3,"Q","T"),Inputs!$B$2:$AZ$2,0)),Inputs!$B$2:$B$190,$B141)*Inputs!$D$1)</f>
        <v>0</v>
      </c>
      <c r="U141" s="57">
        <f>IF(ISNA(SUMIFS(INDEX(Inputs!$B$2:$AZ$190,,MATCH(SUBSTITUTE(U$3,"Q","T"),Inputs!$B$2:$AZ$2,0)),Inputs!$B$2:$B$190,$B141)*Inputs!$D$1),"",SUMIFS(INDEX(Inputs!$B$2:$AZ$190,,MATCH(SUBSTITUTE(U$3,"Q","T"),Inputs!$B$2:$AZ$2,0)),Inputs!$B$2:$B$190,$B141)*Inputs!$D$1)</f>
        <v>0</v>
      </c>
      <c r="V141" s="57">
        <f>IF(ISNA(SUMIFS(INDEX(Inputs!$B$2:$AZ$190,,MATCH(SUBSTITUTE(V$3,"Q","T"),Inputs!$B$2:$AZ$2,0)),Inputs!$B$2:$B$190,$B141)*Inputs!$D$1),"",SUMIFS(INDEX(Inputs!$B$2:$AZ$190,,MATCH(SUBSTITUTE(V$3,"Q","T"),Inputs!$B$2:$AZ$2,0)),Inputs!$B$2:$B$190,$B141)*Inputs!$D$1)</f>
        <v>0</v>
      </c>
      <c r="W141" s="57">
        <f>IF(ISNA(SUMIFS(INDEX(Inputs!$B$2:$AZ$190,,MATCH(SUBSTITUTE(W$3,"Q","T"),Inputs!$B$2:$AZ$2,0)),Inputs!$B$2:$B$190,$B141)*Inputs!$D$1),"",SUMIFS(INDEX(Inputs!$B$2:$AZ$190,,MATCH(SUBSTITUTE(W$3,"Q","T"),Inputs!$B$2:$AZ$2,0)),Inputs!$B$2:$B$190,$B141)*Inputs!$D$1)</f>
        <v>0</v>
      </c>
      <c r="X141" s="58">
        <f>W141</f>
        <v>0</v>
      </c>
      <c r="Y141" s="57">
        <f>IF(ISNA(SUMIFS(INDEX(Inputs!$B$2:$AZ$190,,MATCH(SUBSTITUTE(Y$3,"Q","T"),Inputs!$B$2:$AZ$2,0)),Inputs!$B$2:$B$190,$B141)*Inputs!$D$1),"",SUMIFS(INDEX(Inputs!$B$2:$AZ$190,,MATCH(SUBSTITUTE(Y$3,"Q","T"),Inputs!$B$2:$AZ$2,0)),Inputs!$B$2:$B$190,$B141)*Inputs!$D$1)</f>
        <v>0</v>
      </c>
      <c r="Z141" s="57">
        <f>IF(ISNA(SUMIFS(INDEX(Inputs!$B$2:$AZ$190,,MATCH(SUBSTITUTE(Z$3,"Q","T"),Inputs!$B$2:$AZ$2,0)),Inputs!$B$2:$B$190,$B141)*Inputs!$D$1),"",SUMIFS(INDEX(Inputs!$B$2:$AZ$190,,MATCH(SUBSTITUTE(Z$3,"Q","T"),Inputs!$B$2:$AZ$2,0)),Inputs!$B$2:$B$190,$B141)*Inputs!$D$1)</f>
        <v>0</v>
      </c>
      <c r="AA141" s="57">
        <f>IF(ISNA(SUMIFS(INDEX(Inputs!$B$2:$AZ$190,,MATCH(SUBSTITUTE(AA$3,"Q","T"),Inputs!$B$2:$AZ$2,0)),Inputs!$B$2:$B$190,$B141)*Inputs!$D$1),"",SUMIFS(INDEX(Inputs!$B$2:$AZ$190,,MATCH(SUBSTITUTE(AA$3,"Q","T"),Inputs!$B$2:$AZ$2,0)),Inputs!$B$2:$B$190,$B141)*Inputs!$D$1)</f>
        <v>0</v>
      </c>
      <c r="AB141" s="57">
        <f>IF(ISNA(SUMIFS(INDEX(Inputs!$B$2:$AZ$190,,MATCH(SUBSTITUTE(AB$3,"Q","T"),Inputs!$B$2:$AZ$2,0)),Inputs!$B$2:$B$190,$B141)*Inputs!$D$1),"",SUMIFS(INDEX(Inputs!$B$2:$AZ$190,,MATCH(SUBSTITUTE(AB$3,"Q","T"),Inputs!$B$2:$AZ$2,0)),Inputs!$B$2:$B$190,$B141)*Inputs!$D$1)</f>
        <v>0</v>
      </c>
      <c r="AC141" s="58">
        <f>AB141</f>
        <v>0</v>
      </c>
      <c r="AD141" s="57">
        <f>IF(ISNA(SUMIFS(INDEX(Inputs!$B$2:$AZ$190,,MATCH(SUBSTITUTE(AD$3,"Q","T"),Inputs!$B$2:$AZ$2,0)),Inputs!$B$2:$B$190,$B141)*Inputs!$D$1),"",SUMIFS(INDEX(Inputs!$B$2:$AZ$190,,MATCH(SUBSTITUTE(AD$3,"Q","T"),Inputs!$B$2:$AZ$2,0)),Inputs!$B$2:$B$190,$B141)*Inputs!$D$1)</f>
        <v>0</v>
      </c>
      <c r="AE141" s="57">
        <f>IF(ISNA(SUMIFS(INDEX(Inputs!$B$2:$AZ$190,,MATCH(SUBSTITUTE(AE$3,"Q","T"),Inputs!$B$2:$AZ$2,0)),Inputs!$B$2:$B$190,$B141)*Inputs!$D$1),"",SUMIFS(INDEX(Inputs!$B$2:$AZ$190,,MATCH(SUBSTITUTE(AE$3,"Q","T"),Inputs!$B$2:$AZ$2,0)),Inputs!$B$2:$B$190,$B141)*Inputs!$D$1)</f>
        <v>0</v>
      </c>
      <c r="AF141" s="57">
        <f>IF(ISNA(SUMIFS(INDEX(Inputs!$B$2:$AZ$190,,MATCH(SUBSTITUTE(AF$3,"Q","T"),Inputs!$B$2:$AZ$2,0)),Inputs!$B$2:$B$190,$B141)*Inputs!$D$1),"",SUMIFS(INDEX(Inputs!$B$2:$AZ$190,,MATCH(SUBSTITUTE(AF$3,"Q","T"),Inputs!$B$2:$AZ$2,0)),Inputs!$B$2:$B$190,$B141)*Inputs!$D$1)</f>
        <v>0</v>
      </c>
      <c r="AG141" s="57">
        <f>IF(ISNA(SUMIFS(INDEX(Inputs!$B$2:$AZ$190,,MATCH(SUBSTITUTE(AG$3,"Q","T"),Inputs!$B$2:$AZ$2,0)),Inputs!$B$2:$B$190,$B141)*Inputs!$D$1),"",SUMIFS(INDEX(Inputs!$B$2:$AZ$190,,MATCH(SUBSTITUTE(AG$3,"Q","T"),Inputs!$B$2:$AZ$2,0)),Inputs!$B$2:$B$190,$B141)*Inputs!$D$1)</f>
        <v>0</v>
      </c>
      <c r="AH141" s="58">
        <f>AG141</f>
        <v>0</v>
      </c>
      <c r="AI141" s="57">
        <f>IF(ISNA(SUMIFS(INDEX(Inputs!$B$2:$AZ$190,,MATCH(SUBSTITUTE(AI$3,"Q","T"),Inputs!$B$2:$AZ$2,0)),Inputs!$B$2:$B$190,$B141)*Inputs!$D$1),"",SUMIFS(INDEX(Inputs!$B$2:$AZ$190,,MATCH(SUBSTITUTE(AI$3,"Q","T"),Inputs!$B$2:$AZ$2,0)),Inputs!$B$2:$B$190,$B141)*Inputs!$D$1)</f>
        <v>0</v>
      </c>
      <c r="AJ141" s="57">
        <f>IF(ISNA(SUMIFS(INDEX(Inputs!$B$2:$AZ$190,,MATCH(SUBSTITUTE(AJ$3,"Q","T"),Inputs!$B$2:$AZ$2,0)),Inputs!$B$2:$B$190,$B141)*Inputs!$D$1),"",SUMIFS(INDEX(Inputs!$B$2:$AZ$190,,MATCH(SUBSTITUTE(AJ$3,"Q","T"),Inputs!$B$2:$AZ$2,0)),Inputs!$B$2:$B$190,$B141)*Inputs!$D$1)</f>
        <v>0</v>
      </c>
      <c r="AK141" s="57">
        <f>IF(ISNA(SUMIFS(INDEX(Inputs!$B$2:$AZ$190,,MATCH(SUBSTITUTE(AK$3,"Q","T"),Inputs!$B$2:$AZ$2,0)),Inputs!$B$2:$B$190,$B141)*Inputs!$D$1),"",SUMIFS(INDEX(Inputs!$B$2:$AZ$190,,MATCH(SUBSTITUTE(AK$3,"Q","T"),Inputs!$B$2:$AZ$2,0)),Inputs!$B$2:$B$190,$B141)*Inputs!$D$1)</f>
        <v>0</v>
      </c>
      <c r="AL141" s="57">
        <f>IF(ISNA(SUMIFS(INDEX(Inputs!$B$2:$AZ$190,,MATCH(SUBSTITUTE(AL$3,"Q","T"),Inputs!$B$2:$AZ$2,0)),Inputs!$B$2:$B$190,$B141)*Inputs!$D$1),"",SUMIFS(INDEX(Inputs!$B$2:$AZ$190,,MATCH(SUBSTITUTE(AL$3,"Q","T"),Inputs!$B$2:$AZ$2,0)),Inputs!$B$2:$B$190,$B141)*Inputs!$D$1)</f>
        <v>0</v>
      </c>
      <c r="AM141" s="58">
        <f>AL141</f>
        <v>0</v>
      </c>
      <c r="AN141" s="57">
        <f>IF(ISNA(SUMIFS(INDEX(Inputs!$B$2:$AZ$190,,MATCH(SUBSTITUTE(AN$3,"Q","T"),Inputs!$B$2:$AZ$2,0)),Inputs!$B$2:$B$190,$B141)*Inputs!$D$1),"",SUMIFS(INDEX(Inputs!$B$2:$AZ$190,,MATCH(SUBSTITUTE(AN$3,"Q","T"),Inputs!$B$2:$AZ$2,0)),Inputs!$B$2:$B$190,$B141)*Inputs!$D$1)</f>
        <v>0</v>
      </c>
      <c r="AO141" s="57">
        <f>IF(ISNA(SUMIFS(INDEX(Inputs!$B$2:$AZ$190,,MATCH(SUBSTITUTE(AO$3,"Q","T"),Inputs!$B$2:$AZ$2,0)),Inputs!$B$2:$B$190,$B141)*Inputs!$D$1),"",SUMIFS(INDEX(Inputs!$B$2:$AZ$190,,MATCH(SUBSTITUTE(AO$3,"Q","T"),Inputs!$B$2:$AZ$2,0)),Inputs!$B$2:$B$190,$B141)*Inputs!$D$1)</f>
        <v>0</v>
      </c>
      <c r="AP141" s="57">
        <f>IF(ISNA(SUMIFS(INDEX(Inputs!$B$2:$AZ$190,,MATCH(SUBSTITUTE(AP$3,"Q","T"),Inputs!$B$2:$AZ$2,0)),Inputs!$B$2:$B$190,$B141)*Inputs!$D$1),"",SUMIFS(INDEX(Inputs!$B$2:$AZ$190,,MATCH(SUBSTITUTE(AP$3,"Q","T"),Inputs!$B$2:$AZ$2,0)),Inputs!$B$2:$B$190,$B141)*Inputs!$D$1)</f>
        <v>0</v>
      </c>
      <c r="AQ141" s="57">
        <f>IF(ISNA(SUMIFS(INDEX(Inputs!$B$2:$AZ$190,,MATCH(SUBSTITUTE(AQ$3,"Q","T"),Inputs!$B$2:$AZ$2,0)),Inputs!$B$2:$B$190,$B141)*Inputs!$D$1),"",SUMIFS(INDEX(Inputs!$B$2:$AZ$190,,MATCH(SUBSTITUTE(AQ$3,"Q","T"),Inputs!$B$2:$AZ$2,0)),Inputs!$B$2:$B$190,$B141)*Inputs!$D$1)</f>
        <v>0</v>
      </c>
      <c r="AR141" s="58">
        <f>AQ141</f>
        <v>0</v>
      </c>
      <c r="AS141" s="57">
        <f>IF(ISNA(SUMIFS(INDEX(Inputs!$B$2:$AZ$190,,MATCH(SUBSTITUTE(AS$3,"Q","T"),Inputs!$B$2:$AZ$2,0)),Inputs!$B$2:$B$190,$B141)*Inputs!$D$1),"",SUMIFS(INDEX(Inputs!$B$2:$AZ$190,,MATCH(SUBSTITUTE(AS$3,"Q","T"),Inputs!$B$2:$AZ$2,0)),Inputs!$B$2:$B$190,$B141)*Inputs!$D$1)</f>
        <v>0</v>
      </c>
      <c r="AT141" s="57">
        <f>IF(ISNA(SUMIFS(INDEX(Inputs!$B$2:$AZ$190,,MATCH(SUBSTITUTE(AT$3,"Q","T"),Inputs!$B$2:$AZ$2,0)),Inputs!$B$2:$B$190,$B141)*Inputs!$D$1),"",SUMIFS(INDEX(Inputs!$B$2:$AZ$190,,MATCH(SUBSTITUTE(AT$3,"Q","T"),Inputs!$B$2:$AZ$2,0)),Inputs!$B$2:$B$190,$B141)*Inputs!$D$1)</f>
        <v>0</v>
      </c>
      <c r="AU141" s="57">
        <f>IF(ISNA(SUMIFS(INDEX(Inputs!$B$2:$AZ$190,,MATCH(SUBSTITUTE(AU$3,"Q","T"),Inputs!$B$2:$AZ$2,0)),Inputs!$B$2:$B$190,$B141)*Inputs!$D$1),"",SUMIFS(INDEX(Inputs!$B$2:$AZ$190,,MATCH(SUBSTITUTE(AU$3,"Q","T"),Inputs!$B$2:$AZ$2,0)),Inputs!$B$2:$B$190,$B141)*Inputs!$D$1)</f>
        <v>0</v>
      </c>
      <c r="AV141" s="57">
        <f>IF(ISNA(SUMIFS(INDEX(Inputs!$B$2:$AZ$190,,MATCH(SUBSTITUTE(AV$3,"Q","T"),Inputs!$B$2:$AZ$2,0)),Inputs!$B$2:$B$190,$B141)*Inputs!$D$1),"",SUMIFS(INDEX(Inputs!$B$2:$AZ$190,,MATCH(SUBSTITUTE(AV$3,"Q","T"),Inputs!$B$2:$AZ$2,0)),Inputs!$B$2:$B$190,$B141)*Inputs!$D$1)</f>
        <v>0</v>
      </c>
      <c r="AW141" s="58">
        <f>AV141</f>
        <v>0</v>
      </c>
      <c r="AX141" s="57">
        <f>IF(ISNA(SUMIFS(INDEX(Inputs!$B$2:$AZ$190,,MATCH(SUBSTITUTE(AX$3,"Q","T"),Inputs!$B$2:$AZ$2,0)),Inputs!$B$2:$B$190,$B141)*Inputs!$D$1),"",SUMIFS(INDEX(Inputs!$B$2:$AZ$190,,MATCH(SUBSTITUTE(AX$3,"Q","T"),Inputs!$B$2:$AZ$2,0)),Inputs!$B$2:$B$190,$B141)*Inputs!$D$1)</f>
        <v>0</v>
      </c>
      <c r="AY141" s="57">
        <f>IF(ISNA(SUMIFS(INDEX(Inputs!$B$2:$AZ$190,,MATCH(SUBSTITUTE(AY$3,"Q","T"),Inputs!$B$2:$AZ$2,0)),Inputs!$B$2:$B$190,$B141)*Inputs!$D$1),"",SUMIFS(INDEX(Inputs!$B$2:$AZ$190,,MATCH(SUBSTITUTE(AY$3,"Q","T"),Inputs!$B$2:$AZ$2,0)),Inputs!$B$2:$B$190,$B141)*Inputs!$D$1)</f>
        <v>0</v>
      </c>
      <c r="AZ141" s="57">
        <f>IF(ISNA(SUMIFS(INDEX(Inputs!$B$2:$AZ$190,,MATCH(SUBSTITUTE(AZ$3,"Q","T"),Inputs!$B$2:$AZ$2,0)),Inputs!$B$2:$B$190,$B141)*Inputs!$D$1),"",SUMIFS(INDEX(Inputs!$B$2:$AZ$190,,MATCH(SUBSTITUTE(AZ$3,"Q","T"),Inputs!$B$2:$AZ$2,0)),Inputs!$B$2:$B$190,$B141)*Inputs!$D$1)</f>
        <v>0</v>
      </c>
      <c r="BA141" s="57">
        <f>IF(ISNA(SUMIFS(INDEX(Inputs!$B$2:$AZ$190,,MATCH(SUBSTITUTE(BA$3,"Q","T"),Inputs!$B$2:$AZ$2,0)),Inputs!$B$2:$B$190,$B141)*Inputs!$D$1),"",SUMIFS(INDEX(Inputs!$B$2:$AZ$190,,MATCH(SUBSTITUTE(BA$3,"Q","T"),Inputs!$B$2:$AZ$2,0)),Inputs!$B$2:$B$190,$B141)*Inputs!$D$1)</f>
        <v>0</v>
      </c>
      <c r="BB141" s="58">
        <f>BA141</f>
        <v>0</v>
      </c>
      <c r="BC141" s="57">
        <f>IF(ISNA(SUMIFS(INDEX(Inputs!$B$2:$AZ$190,,MATCH(SUBSTITUTE(BC$3,"Q","T"),Inputs!$B$2:$AZ$2,0)),Inputs!$B$2:$B$190,$B141)*Inputs!$D$1),"",SUMIFS(INDEX(Inputs!$B$2:$AZ$190,,MATCH(SUBSTITUTE(BC$3,"Q","T"),Inputs!$B$2:$AZ$2,0)),Inputs!$B$2:$B$190,$B141)*Inputs!$D$1)</f>
        <v>0</v>
      </c>
      <c r="BD141" s="57">
        <f>IF(ISNA(SUMIFS(INDEX(Inputs!$B$2:$AZ$190,,MATCH(SUBSTITUTE(BD$3,"Q","T"),Inputs!$B$2:$AZ$2,0)),Inputs!$B$2:$B$190,$B141)*Inputs!$D$1),"",SUMIFS(INDEX(Inputs!$B$2:$AZ$190,,MATCH(SUBSTITUTE(BD$3,"Q","T"),Inputs!$B$2:$AZ$2,0)),Inputs!$B$2:$B$190,$B141)*Inputs!$D$1)</f>
        <v>0</v>
      </c>
      <c r="BE141" s="57">
        <f>IF(ISNA(SUMIFS(INDEX(Inputs!$B$2:$AZ$190,,MATCH(SUBSTITUTE(BE$3,"Q","T"),Inputs!$B$2:$AZ$2,0)),Inputs!$B$2:$B$190,$B141)*Inputs!$D$1),"",SUMIFS(INDEX(Inputs!$B$2:$AZ$190,,MATCH(SUBSTITUTE(BE$3,"Q","T"),Inputs!$B$2:$AZ$2,0)),Inputs!$B$2:$B$190,$B141)*Inputs!$D$1)</f>
        <v>0</v>
      </c>
      <c r="BF141" s="57">
        <f>IF(ISNA(SUMIFS(INDEX(Inputs!$B$2:$AZ$190,,MATCH(SUBSTITUTE(BF$3,"Q","T"),Inputs!$B$2:$AZ$2,0)),Inputs!$B$2:$B$190,$B141)*Inputs!$D$1),"",SUMIFS(INDEX(Inputs!$B$2:$AZ$190,,MATCH(SUBSTITUTE(BF$3,"Q","T"),Inputs!$B$2:$AZ$2,0)),Inputs!$B$2:$B$190,$B141)*Inputs!$D$1)</f>
        <v>0</v>
      </c>
      <c r="BG141" s="58">
        <f>BF141</f>
        <v>0</v>
      </c>
    </row>
    <row r="142">
      <c r="B142" s="56" t="inlineStr">
        <is>
          <t>cet1</t>
        </is>
      </c>
      <c r="C142" s="11" t="inlineStr">
        <is>
          <t>Capital principal (CET1)</t>
        </is>
      </c>
      <c r="D142" s="12" t="inlineStr">
        <is>
          <t>Common equity Tier 1 capital</t>
        </is>
      </c>
      <c r="E142" s="57">
        <f>IF(ISNA(SUMIFS(INDEX(Inputs!$B$2:$AZ$190,,MATCH(SUBSTITUTE(E$3,"Q","T"),Inputs!$B$2:$AZ$2,0)),Inputs!$B$2:$B$190,$B142)*Inputs!$D$1),"",SUMIFS(INDEX(Inputs!$B$2:$AZ$190,,MATCH(SUBSTITUTE(E$3,"Q","T"),Inputs!$B$2:$AZ$2,0)),Inputs!$B$2:$B$190,$B142)*Inputs!$D$1)</f>
        <v>0</v>
      </c>
      <c r="F142" s="57">
        <f>IF(ISNA(SUMIFS(INDEX(Inputs!$B$2:$AZ$190,,MATCH(SUBSTITUTE(F$3,"Q","T"),Inputs!$B$2:$AZ$2,0)),Inputs!$B$2:$B$190,$B142)*Inputs!$D$1),"",SUMIFS(INDEX(Inputs!$B$2:$AZ$190,,MATCH(SUBSTITUTE(F$3,"Q","T"),Inputs!$B$2:$AZ$2,0)),Inputs!$B$2:$B$190,$B142)*Inputs!$D$1)</f>
        <v>0</v>
      </c>
      <c r="G142" s="57">
        <f>IF(ISNA(SUMIFS(INDEX(Inputs!$B$2:$AZ$190,,MATCH(SUBSTITUTE(G$3,"Q","T"),Inputs!$B$2:$AZ$2,0)),Inputs!$B$2:$B$190,$B142)*Inputs!$D$1),"",SUMIFS(INDEX(Inputs!$B$2:$AZ$190,,MATCH(SUBSTITUTE(G$3,"Q","T"),Inputs!$B$2:$AZ$2,0)),Inputs!$B$2:$B$190,$B142)*Inputs!$D$1)</f>
        <v>0</v>
      </c>
      <c r="H142" s="57">
        <f>IF(ISNA(SUMIFS(INDEX(Inputs!$B$2:$AZ$190,,MATCH(SUBSTITUTE(H$3,"Q","T"),Inputs!$B$2:$AZ$2,0)),Inputs!$B$2:$B$190,$B142)*Inputs!$D$1),"",SUMIFS(INDEX(Inputs!$B$2:$AZ$190,,MATCH(SUBSTITUTE(H$3,"Q","T"),Inputs!$B$2:$AZ$2,0)),Inputs!$B$2:$B$190,$B142)*Inputs!$D$1)</f>
        <v>0</v>
      </c>
      <c r="I142" s="58">
        <f>H142</f>
        <v>0</v>
      </c>
      <c r="J142" s="57">
        <f>IF(ISNA(SUMIFS(INDEX(Inputs!$B$2:$AZ$190,,MATCH(SUBSTITUTE(J$3,"Q","T"),Inputs!$B$2:$AZ$2,0)),Inputs!$B$2:$B$190,$B142)*Inputs!$D$1),"",SUMIFS(INDEX(Inputs!$B$2:$AZ$190,,MATCH(SUBSTITUTE(J$3,"Q","T"),Inputs!$B$2:$AZ$2,0)),Inputs!$B$2:$B$190,$B142)*Inputs!$D$1)</f>
        <v>0</v>
      </c>
      <c r="K142" s="57">
        <f>IF(ISNA(SUMIFS(INDEX(Inputs!$B$2:$AZ$190,,MATCH(SUBSTITUTE(K$3,"Q","T"),Inputs!$B$2:$AZ$2,0)),Inputs!$B$2:$B$190,$B142)*Inputs!$D$1),"",SUMIFS(INDEX(Inputs!$B$2:$AZ$190,,MATCH(SUBSTITUTE(K$3,"Q","T"),Inputs!$B$2:$AZ$2,0)),Inputs!$B$2:$B$190,$B142)*Inputs!$D$1)</f>
        <v>0</v>
      </c>
      <c r="L142" s="57">
        <f>IF(ISNA(SUMIFS(INDEX(Inputs!$B$2:$AZ$190,,MATCH(SUBSTITUTE(L$3,"Q","T"),Inputs!$B$2:$AZ$2,0)),Inputs!$B$2:$B$190,$B142)*Inputs!$D$1),"",SUMIFS(INDEX(Inputs!$B$2:$AZ$190,,MATCH(SUBSTITUTE(L$3,"Q","T"),Inputs!$B$2:$AZ$2,0)),Inputs!$B$2:$B$190,$B142)*Inputs!$D$1)</f>
        <v>0</v>
      </c>
      <c r="M142" s="57">
        <f>IF(ISNA(SUMIFS(INDEX(Inputs!$B$2:$AZ$190,,MATCH(SUBSTITUTE(M$3,"Q","T"),Inputs!$B$2:$AZ$2,0)),Inputs!$B$2:$B$190,$B142)*Inputs!$D$1),"",SUMIFS(INDEX(Inputs!$B$2:$AZ$190,,MATCH(SUBSTITUTE(M$3,"Q","T"),Inputs!$B$2:$AZ$2,0)),Inputs!$B$2:$B$190,$B142)*Inputs!$D$1)</f>
        <v>0</v>
      </c>
      <c r="N142" s="58">
        <f>M142</f>
        <v>0</v>
      </c>
      <c r="O142" s="57">
        <f>IF(ISNA(SUMIFS(INDEX(Inputs!$B$2:$AZ$190,,MATCH(SUBSTITUTE(O$3,"Q","T"),Inputs!$B$2:$AZ$2,0)),Inputs!$B$2:$B$190,$B142)*Inputs!$D$1),"",SUMIFS(INDEX(Inputs!$B$2:$AZ$190,,MATCH(SUBSTITUTE(O$3,"Q","T"),Inputs!$B$2:$AZ$2,0)),Inputs!$B$2:$B$190,$B142)*Inputs!$D$1)</f>
        <v>0</v>
      </c>
      <c r="P142" s="57">
        <f>IF(ISNA(SUMIFS(INDEX(Inputs!$B$2:$AZ$190,,MATCH(SUBSTITUTE(P$3,"Q","T"),Inputs!$B$2:$AZ$2,0)),Inputs!$B$2:$B$190,$B142)*Inputs!$D$1),"",SUMIFS(INDEX(Inputs!$B$2:$AZ$190,,MATCH(SUBSTITUTE(P$3,"Q","T"),Inputs!$B$2:$AZ$2,0)),Inputs!$B$2:$B$190,$B142)*Inputs!$D$1)</f>
        <v>0</v>
      </c>
      <c r="Q142" s="57">
        <f>IF(ISNA(SUMIFS(INDEX(Inputs!$B$2:$AZ$190,,MATCH(SUBSTITUTE(Q$3,"Q","T"),Inputs!$B$2:$AZ$2,0)),Inputs!$B$2:$B$190,$B142)*Inputs!$D$1),"",SUMIFS(INDEX(Inputs!$B$2:$AZ$190,,MATCH(SUBSTITUTE(Q$3,"Q","T"),Inputs!$B$2:$AZ$2,0)),Inputs!$B$2:$B$190,$B142)*Inputs!$D$1)</f>
        <v>0</v>
      </c>
      <c r="R142" s="57">
        <f>IF(ISNA(SUMIFS(INDEX(Inputs!$B$2:$AZ$190,,MATCH(SUBSTITUTE(R$3,"Q","T"),Inputs!$B$2:$AZ$2,0)),Inputs!$B$2:$B$190,$B142)*Inputs!$D$1),"",SUMIFS(INDEX(Inputs!$B$2:$AZ$190,,MATCH(SUBSTITUTE(R$3,"Q","T"),Inputs!$B$2:$AZ$2,0)),Inputs!$B$2:$B$190,$B142)*Inputs!$D$1)</f>
        <v>0</v>
      </c>
      <c r="S142" s="58">
        <f>R142</f>
        <v>0</v>
      </c>
      <c r="T142" s="57">
        <f>IF(ISNA(SUMIFS(INDEX(Inputs!$B$2:$AZ$190,,MATCH(SUBSTITUTE(T$3,"Q","T"),Inputs!$B$2:$AZ$2,0)),Inputs!$B$2:$B$190,$B142)*Inputs!$D$1),"",SUMIFS(INDEX(Inputs!$B$2:$AZ$190,,MATCH(SUBSTITUTE(T$3,"Q","T"),Inputs!$B$2:$AZ$2,0)),Inputs!$B$2:$B$190,$B142)*Inputs!$D$1)</f>
        <v>0</v>
      </c>
      <c r="U142" s="57">
        <f>IF(ISNA(SUMIFS(INDEX(Inputs!$B$2:$AZ$190,,MATCH(SUBSTITUTE(U$3,"Q","T"),Inputs!$B$2:$AZ$2,0)),Inputs!$B$2:$B$190,$B142)*Inputs!$D$1),"",SUMIFS(INDEX(Inputs!$B$2:$AZ$190,,MATCH(SUBSTITUTE(U$3,"Q","T"),Inputs!$B$2:$AZ$2,0)),Inputs!$B$2:$B$190,$B142)*Inputs!$D$1)</f>
        <v>0</v>
      </c>
      <c r="V142" s="57">
        <f>IF(ISNA(SUMIFS(INDEX(Inputs!$B$2:$AZ$190,,MATCH(SUBSTITUTE(V$3,"Q","T"),Inputs!$B$2:$AZ$2,0)),Inputs!$B$2:$B$190,$B142)*Inputs!$D$1),"",SUMIFS(INDEX(Inputs!$B$2:$AZ$190,,MATCH(SUBSTITUTE(V$3,"Q","T"),Inputs!$B$2:$AZ$2,0)),Inputs!$B$2:$B$190,$B142)*Inputs!$D$1)</f>
        <v>0</v>
      </c>
      <c r="W142" s="57">
        <f>IF(ISNA(SUMIFS(INDEX(Inputs!$B$2:$AZ$190,,MATCH(SUBSTITUTE(W$3,"Q","T"),Inputs!$B$2:$AZ$2,0)),Inputs!$B$2:$B$190,$B142)*Inputs!$D$1),"",SUMIFS(INDEX(Inputs!$B$2:$AZ$190,,MATCH(SUBSTITUTE(W$3,"Q","T"),Inputs!$B$2:$AZ$2,0)),Inputs!$B$2:$B$190,$B142)*Inputs!$D$1)</f>
        <v>0</v>
      </c>
      <c r="X142" s="58">
        <f>W142</f>
        <v>0</v>
      </c>
      <c r="Y142" s="57">
        <f>IF(ISNA(SUMIFS(INDEX(Inputs!$B$2:$AZ$190,,MATCH(SUBSTITUTE(Y$3,"Q","T"),Inputs!$B$2:$AZ$2,0)),Inputs!$B$2:$B$190,$B142)*Inputs!$D$1),"",SUMIFS(INDEX(Inputs!$B$2:$AZ$190,,MATCH(SUBSTITUTE(Y$3,"Q","T"),Inputs!$B$2:$AZ$2,0)),Inputs!$B$2:$B$190,$B142)*Inputs!$D$1)</f>
        <v>0</v>
      </c>
      <c r="Z142" s="57">
        <f>IF(ISNA(SUMIFS(INDEX(Inputs!$B$2:$AZ$190,,MATCH(SUBSTITUTE(Z$3,"Q","T"),Inputs!$B$2:$AZ$2,0)),Inputs!$B$2:$B$190,$B142)*Inputs!$D$1),"",SUMIFS(INDEX(Inputs!$B$2:$AZ$190,,MATCH(SUBSTITUTE(Z$3,"Q","T"),Inputs!$B$2:$AZ$2,0)),Inputs!$B$2:$B$190,$B142)*Inputs!$D$1)</f>
        <v>0</v>
      </c>
      <c r="AA142" s="57">
        <f>IF(ISNA(SUMIFS(INDEX(Inputs!$B$2:$AZ$190,,MATCH(SUBSTITUTE(AA$3,"Q","T"),Inputs!$B$2:$AZ$2,0)),Inputs!$B$2:$B$190,$B142)*Inputs!$D$1),"",SUMIFS(INDEX(Inputs!$B$2:$AZ$190,,MATCH(SUBSTITUTE(AA$3,"Q","T"),Inputs!$B$2:$AZ$2,0)),Inputs!$B$2:$B$190,$B142)*Inputs!$D$1)</f>
        <v>0</v>
      </c>
      <c r="AB142" s="57">
        <f>IF(ISNA(SUMIFS(INDEX(Inputs!$B$2:$AZ$190,,MATCH(SUBSTITUTE(AB$3,"Q","T"),Inputs!$B$2:$AZ$2,0)),Inputs!$B$2:$B$190,$B142)*Inputs!$D$1),"",SUMIFS(INDEX(Inputs!$B$2:$AZ$190,,MATCH(SUBSTITUTE(AB$3,"Q","T"),Inputs!$B$2:$AZ$2,0)),Inputs!$B$2:$B$190,$B142)*Inputs!$D$1)</f>
        <v>0</v>
      </c>
      <c r="AC142" s="58">
        <f>AB142</f>
        <v>0</v>
      </c>
      <c r="AD142" s="57">
        <f>IF(ISNA(SUMIFS(INDEX(Inputs!$B$2:$AZ$190,,MATCH(SUBSTITUTE(AD$3,"Q","T"),Inputs!$B$2:$AZ$2,0)),Inputs!$B$2:$B$190,$B142)*Inputs!$D$1),"",SUMIFS(INDEX(Inputs!$B$2:$AZ$190,,MATCH(SUBSTITUTE(AD$3,"Q","T"),Inputs!$B$2:$AZ$2,0)),Inputs!$B$2:$B$190,$B142)*Inputs!$D$1)</f>
        <v>0</v>
      </c>
      <c r="AE142" s="57">
        <f>IF(ISNA(SUMIFS(INDEX(Inputs!$B$2:$AZ$190,,MATCH(SUBSTITUTE(AE$3,"Q","T"),Inputs!$B$2:$AZ$2,0)),Inputs!$B$2:$B$190,$B142)*Inputs!$D$1),"",SUMIFS(INDEX(Inputs!$B$2:$AZ$190,,MATCH(SUBSTITUTE(AE$3,"Q","T"),Inputs!$B$2:$AZ$2,0)),Inputs!$B$2:$B$190,$B142)*Inputs!$D$1)</f>
        <v>0</v>
      </c>
      <c r="AF142" s="57">
        <f>IF(ISNA(SUMIFS(INDEX(Inputs!$B$2:$AZ$190,,MATCH(SUBSTITUTE(AF$3,"Q","T"),Inputs!$B$2:$AZ$2,0)),Inputs!$B$2:$B$190,$B142)*Inputs!$D$1),"",SUMIFS(INDEX(Inputs!$B$2:$AZ$190,,MATCH(SUBSTITUTE(AF$3,"Q","T"),Inputs!$B$2:$AZ$2,0)),Inputs!$B$2:$B$190,$B142)*Inputs!$D$1)</f>
        <v>0</v>
      </c>
      <c r="AG142" s="57">
        <f>IF(ISNA(SUMIFS(INDEX(Inputs!$B$2:$AZ$190,,MATCH(SUBSTITUTE(AG$3,"Q","T"),Inputs!$B$2:$AZ$2,0)),Inputs!$B$2:$B$190,$B142)*Inputs!$D$1),"",SUMIFS(INDEX(Inputs!$B$2:$AZ$190,,MATCH(SUBSTITUTE(AG$3,"Q","T"),Inputs!$B$2:$AZ$2,0)),Inputs!$B$2:$B$190,$B142)*Inputs!$D$1)</f>
        <v>0</v>
      </c>
      <c r="AH142" s="58">
        <f>AG142</f>
        <v>0</v>
      </c>
      <c r="AI142" s="57">
        <f>IF(ISNA(SUMIFS(INDEX(Inputs!$B$2:$AZ$190,,MATCH(SUBSTITUTE(AI$3,"Q","T"),Inputs!$B$2:$AZ$2,0)),Inputs!$B$2:$B$190,$B142)*Inputs!$D$1),"",SUMIFS(INDEX(Inputs!$B$2:$AZ$190,,MATCH(SUBSTITUTE(AI$3,"Q","T"),Inputs!$B$2:$AZ$2,0)),Inputs!$B$2:$B$190,$B142)*Inputs!$D$1)</f>
        <v>0</v>
      </c>
      <c r="AJ142" s="57">
        <f>IF(ISNA(SUMIFS(INDEX(Inputs!$B$2:$AZ$190,,MATCH(SUBSTITUTE(AJ$3,"Q","T"),Inputs!$B$2:$AZ$2,0)),Inputs!$B$2:$B$190,$B142)*Inputs!$D$1),"",SUMIFS(INDEX(Inputs!$B$2:$AZ$190,,MATCH(SUBSTITUTE(AJ$3,"Q","T"),Inputs!$B$2:$AZ$2,0)),Inputs!$B$2:$B$190,$B142)*Inputs!$D$1)</f>
        <v>0</v>
      </c>
      <c r="AK142" s="57">
        <f>IF(ISNA(SUMIFS(INDEX(Inputs!$B$2:$AZ$190,,MATCH(SUBSTITUTE(AK$3,"Q","T"),Inputs!$B$2:$AZ$2,0)),Inputs!$B$2:$B$190,$B142)*Inputs!$D$1),"",SUMIFS(INDEX(Inputs!$B$2:$AZ$190,,MATCH(SUBSTITUTE(AK$3,"Q","T"),Inputs!$B$2:$AZ$2,0)),Inputs!$B$2:$B$190,$B142)*Inputs!$D$1)</f>
        <v>0</v>
      </c>
      <c r="AL142" s="57">
        <f>IF(ISNA(SUMIFS(INDEX(Inputs!$B$2:$AZ$190,,MATCH(SUBSTITUTE(AL$3,"Q","T"),Inputs!$B$2:$AZ$2,0)),Inputs!$B$2:$B$190,$B142)*Inputs!$D$1),"",SUMIFS(INDEX(Inputs!$B$2:$AZ$190,,MATCH(SUBSTITUTE(AL$3,"Q","T"),Inputs!$B$2:$AZ$2,0)),Inputs!$B$2:$B$190,$B142)*Inputs!$D$1)</f>
        <v>0</v>
      </c>
      <c r="AM142" s="58">
        <f>AL142</f>
        <v>0</v>
      </c>
      <c r="AN142" s="57">
        <f>IF(ISNA(SUMIFS(INDEX(Inputs!$B$2:$AZ$190,,MATCH(SUBSTITUTE(AN$3,"Q","T"),Inputs!$B$2:$AZ$2,0)),Inputs!$B$2:$B$190,$B142)*Inputs!$D$1),"",SUMIFS(INDEX(Inputs!$B$2:$AZ$190,,MATCH(SUBSTITUTE(AN$3,"Q","T"),Inputs!$B$2:$AZ$2,0)),Inputs!$B$2:$B$190,$B142)*Inputs!$D$1)</f>
        <v>0</v>
      </c>
      <c r="AO142" s="57">
        <f>IF(ISNA(SUMIFS(INDEX(Inputs!$B$2:$AZ$190,,MATCH(SUBSTITUTE(AO$3,"Q","T"),Inputs!$B$2:$AZ$2,0)),Inputs!$B$2:$B$190,$B142)*Inputs!$D$1),"",SUMIFS(INDEX(Inputs!$B$2:$AZ$190,,MATCH(SUBSTITUTE(AO$3,"Q","T"),Inputs!$B$2:$AZ$2,0)),Inputs!$B$2:$B$190,$B142)*Inputs!$D$1)</f>
        <v>0</v>
      </c>
      <c r="AP142" s="57">
        <f>IF(ISNA(SUMIFS(INDEX(Inputs!$B$2:$AZ$190,,MATCH(SUBSTITUTE(AP$3,"Q","T"),Inputs!$B$2:$AZ$2,0)),Inputs!$B$2:$B$190,$B142)*Inputs!$D$1),"",SUMIFS(INDEX(Inputs!$B$2:$AZ$190,,MATCH(SUBSTITUTE(AP$3,"Q","T"),Inputs!$B$2:$AZ$2,0)),Inputs!$B$2:$B$190,$B142)*Inputs!$D$1)</f>
        <v>0</v>
      </c>
      <c r="AQ142" s="57">
        <f>IF(ISNA(SUMIFS(INDEX(Inputs!$B$2:$AZ$190,,MATCH(SUBSTITUTE(AQ$3,"Q","T"),Inputs!$B$2:$AZ$2,0)),Inputs!$B$2:$B$190,$B142)*Inputs!$D$1),"",SUMIFS(INDEX(Inputs!$B$2:$AZ$190,,MATCH(SUBSTITUTE(AQ$3,"Q","T"),Inputs!$B$2:$AZ$2,0)),Inputs!$B$2:$B$190,$B142)*Inputs!$D$1)</f>
        <v>0</v>
      </c>
      <c r="AR142" s="58">
        <f>AQ142</f>
        <v>0</v>
      </c>
      <c r="AS142" s="57">
        <f>IF(ISNA(SUMIFS(INDEX(Inputs!$B$2:$AZ$190,,MATCH(SUBSTITUTE(AS$3,"Q","T"),Inputs!$B$2:$AZ$2,0)),Inputs!$B$2:$B$190,$B142)*Inputs!$D$1),"",SUMIFS(INDEX(Inputs!$B$2:$AZ$190,,MATCH(SUBSTITUTE(AS$3,"Q","T"),Inputs!$B$2:$AZ$2,0)),Inputs!$B$2:$B$190,$B142)*Inputs!$D$1)</f>
        <v>0</v>
      </c>
      <c r="AT142" s="57">
        <f>IF(ISNA(SUMIFS(INDEX(Inputs!$B$2:$AZ$190,,MATCH(SUBSTITUTE(AT$3,"Q","T"),Inputs!$B$2:$AZ$2,0)),Inputs!$B$2:$B$190,$B142)*Inputs!$D$1),"",SUMIFS(INDEX(Inputs!$B$2:$AZ$190,,MATCH(SUBSTITUTE(AT$3,"Q","T"),Inputs!$B$2:$AZ$2,0)),Inputs!$B$2:$B$190,$B142)*Inputs!$D$1)</f>
        <v>0</v>
      </c>
      <c r="AU142" s="57">
        <f>IF(ISNA(SUMIFS(INDEX(Inputs!$B$2:$AZ$190,,MATCH(SUBSTITUTE(AU$3,"Q","T"),Inputs!$B$2:$AZ$2,0)),Inputs!$B$2:$B$190,$B142)*Inputs!$D$1),"",SUMIFS(INDEX(Inputs!$B$2:$AZ$190,,MATCH(SUBSTITUTE(AU$3,"Q","T"),Inputs!$B$2:$AZ$2,0)),Inputs!$B$2:$B$190,$B142)*Inputs!$D$1)</f>
        <v>0</v>
      </c>
      <c r="AV142" s="57">
        <f>IF(ISNA(SUMIFS(INDEX(Inputs!$B$2:$AZ$190,,MATCH(SUBSTITUTE(AV$3,"Q","T"),Inputs!$B$2:$AZ$2,0)),Inputs!$B$2:$B$190,$B142)*Inputs!$D$1),"",SUMIFS(INDEX(Inputs!$B$2:$AZ$190,,MATCH(SUBSTITUTE(AV$3,"Q","T"),Inputs!$B$2:$AZ$2,0)),Inputs!$B$2:$B$190,$B142)*Inputs!$D$1)</f>
        <v>0</v>
      </c>
      <c r="AW142" s="58">
        <f>AV142</f>
        <v>0</v>
      </c>
      <c r="AX142" s="57">
        <f>IF(ISNA(SUMIFS(INDEX(Inputs!$B$2:$AZ$190,,MATCH(SUBSTITUTE(AX$3,"Q","T"),Inputs!$B$2:$AZ$2,0)),Inputs!$B$2:$B$190,$B142)*Inputs!$D$1),"",SUMIFS(INDEX(Inputs!$B$2:$AZ$190,,MATCH(SUBSTITUTE(AX$3,"Q","T"),Inputs!$B$2:$AZ$2,0)),Inputs!$B$2:$B$190,$B142)*Inputs!$D$1)</f>
        <v>0</v>
      </c>
      <c r="AY142" s="57">
        <f>IF(ISNA(SUMIFS(INDEX(Inputs!$B$2:$AZ$190,,MATCH(SUBSTITUTE(AY$3,"Q","T"),Inputs!$B$2:$AZ$2,0)),Inputs!$B$2:$B$190,$B142)*Inputs!$D$1),"",SUMIFS(INDEX(Inputs!$B$2:$AZ$190,,MATCH(SUBSTITUTE(AY$3,"Q","T"),Inputs!$B$2:$AZ$2,0)),Inputs!$B$2:$B$190,$B142)*Inputs!$D$1)</f>
        <v>0</v>
      </c>
      <c r="AZ142" s="57">
        <f>IF(ISNA(SUMIFS(INDEX(Inputs!$B$2:$AZ$190,,MATCH(SUBSTITUTE(AZ$3,"Q","T"),Inputs!$B$2:$AZ$2,0)),Inputs!$B$2:$B$190,$B142)*Inputs!$D$1),"",SUMIFS(INDEX(Inputs!$B$2:$AZ$190,,MATCH(SUBSTITUTE(AZ$3,"Q","T"),Inputs!$B$2:$AZ$2,0)),Inputs!$B$2:$B$190,$B142)*Inputs!$D$1)</f>
        <v>0</v>
      </c>
      <c r="BA142" s="57">
        <f>IF(ISNA(SUMIFS(INDEX(Inputs!$B$2:$AZ$190,,MATCH(SUBSTITUTE(BA$3,"Q","T"),Inputs!$B$2:$AZ$2,0)),Inputs!$B$2:$B$190,$B142)*Inputs!$D$1),"",SUMIFS(INDEX(Inputs!$B$2:$AZ$190,,MATCH(SUBSTITUTE(BA$3,"Q","T"),Inputs!$B$2:$AZ$2,0)),Inputs!$B$2:$B$190,$B142)*Inputs!$D$1)</f>
        <v>0</v>
      </c>
      <c r="BB142" s="58">
        <f>BA142</f>
        <v>0</v>
      </c>
      <c r="BC142" s="57">
        <f>IF(ISNA(SUMIFS(INDEX(Inputs!$B$2:$AZ$190,,MATCH(SUBSTITUTE(BC$3,"Q","T"),Inputs!$B$2:$AZ$2,0)),Inputs!$B$2:$B$190,$B142)*Inputs!$D$1),"",SUMIFS(INDEX(Inputs!$B$2:$AZ$190,,MATCH(SUBSTITUTE(BC$3,"Q","T"),Inputs!$B$2:$AZ$2,0)),Inputs!$B$2:$B$190,$B142)*Inputs!$D$1)</f>
        <v>0</v>
      </c>
      <c r="BD142" s="57">
        <f>IF(ISNA(SUMIFS(INDEX(Inputs!$B$2:$AZ$190,,MATCH(SUBSTITUTE(BD$3,"Q","T"),Inputs!$B$2:$AZ$2,0)),Inputs!$B$2:$B$190,$B142)*Inputs!$D$1),"",SUMIFS(INDEX(Inputs!$B$2:$AZ$190,,MATCH(SUBSTITUTE(BD$3,"Q","T"),Inputs!$B$2:$AZ$2,0)),Inputs!$B$2:$B$190,$B142)*Inputs!$D$1)</f>
        <v>0</v>
      </c>
      <c r="BE142" s="57">
        <f>IF(ISNA(SUMIFS(INDEX(Inputs!$B$2:$AZ$190,,MATCH(SUBSTITUTE(BE$3,"Q","T"),Inputs!$B$2:$AZ$2,0)),Inputs!$B$2:$B$190,$B142)*Inputs!$D$1),"",SUMIFS(INDEX(Inputs!$B$2:$AZ$190,,MATCH(SUBSTITUTE(BE$3,"Q","T"),Inputs!$B$2:$AZ$2,0)),Inputs!$B$2:$B$190,$B142)*Inputs!$D$1)</f>
        <v>0</v>
      </c>
      <c r="BF142" s="57">
        <f>IF(ISNA(SUMIFS(INDEX(Inputs!$B$2:$AZ$190,,MATCH(SUBSTITUTE(BF$3,"Q","T"),Inputs!$B$2:$AZ$2,0)),Inputs!$B$2:$B$190,$B142)*Inputs!$D$1),"",SUMIFS(INDEX(Inputs!$B$2:$AZ$190,,MATCH(SUBSTITUTE(BF$3,"Q","T"),Inputs!$B$2:$AZ$2,0)),Inputs!$B$2:$B$190,$B142)*Inputs!$D$1)</f>
        <v>0</v>
      </c>
      <c r="BG142" s="58">
        <f>BF142</f>
        <v>0</v>
      </c>
    </row>
    <row r="143">
      <c r="B143" s="56" t="inlineStr">
        <is>
          <t>tcr_rep</t>
        </is>
      </c>
      <c r="C143" s="11" t="inlineStr">
        <is>
          <t>Índice de capital total reportado — Standardized (%)</t>
        </is>
      </c>
      <c r="D143" s="12" t="inlineStr">
        <is>
          <t>Total capital ratio — Standardized</t>
        </is>
      </c>
      <c r="E143" s="68">
        <f>IF(ISNA(SUMIFS(INDEX(Inputs!$B$2:$AZ$190,,MATCH(SUBSTITUTE(E$3,"Q","T"),Inputs!$B$2:$AZ$2,0)),Inputs!$B$2:$B$190,$B143)*Inputs!$D$1),"",SUMIFS(INDEX(Inputs!$B$2:$AZ$190,,MATCH(SUBSTITUTE(E$3,"Q","T"),Inputs!$B$2:$AZ$2,0)),Inputs!$B$2:$B$190,$B143)*Inputs!$D$1)</f>
        <v>0</v>
      </c>
      <c r="F143" s="68">
        <f>IF(ISNA(SUMIFS(INDEX(Inputs!$B$2:$AZ$190,,MATCH(SUBSTITUTE(F$3,"Q","T"),Inputs!$B$2:$AZ$2,0)),Inputs!$B$2:$B$190,$B143)*Inputs!$D$1),"",SUMIFS(INDEX(Inputs!$B$2:$AZ$190,,MATCH(SUBSTITUTE(F$3,"Q","T"),Inputs!$B$2:$AZ$2,0)),Inputs!$B$2:$B$190,$B143)*Inputs!$D$1)</f>
        <v>0</v>
      </c>
      <c r="G143" s="68">
        <f>IF(ISNA(SUMIFS(INDEX(Inputs!$B$2:$AZ$190,,MATCH(SUBSTITUTE(G$3,"Q","T"),Inputs!$B$2:$AZ$2,0)),Inputs!$B$2:$B$190,$B143)*Inputs!$D$1),"",SUMIFS(INDEX(Inputs!$B$2:$AZ$190,,MATCH(SUBSTITUTE(G$3,"Q","T"),Inputs!$B$2:$AZ$2,0)),Inputs!$B$2:$B$190,$B143)*Inputs!$D$1)</f>
        <v>0</v>
      </c>
      <c r="H143" s="68">
        <f>IF(ISNA(SUMIFS(INDEX(Inputs!$B$2:$AZ$190,,MATCH(SUBSTITUTE(H$3,"Q","T"),Inputs!$B$2:$AZ$2,0)),Inputs!$B$2:$B$190,$B143)*Inputs!$D$1),"",SUMIFS(INDEX(Inputs!$B$2:$AZ$190,,MATCH(SUBSTITUTE(H$3,"Q","T"),Inputs!$B$2:$AZ$2,0)),Inputs!$B$2:$B$190,$B143)*Inputs!$D$1)</f>
        <v>0</v>
      </c>
      <c r="I143" s="69">
        <f>H143</f>
        <v>0</v>
      </c>
      <c r="J143" s="68">
        <f>IF(ISNA(SUMIFS(INDEX(Inputs!$B$2:$AZ$190,,MATCH(SUBSTITUTE(J$3,"Q","T"),Inputs!$B$2:$AZ$2,0)),Inputs!$B$2:$B$190,$B143)*Inputs!$D$1),"",SUMIFS(INDEX(Inputs!$B$2:$AZ$190,,MATCH(SUBSTITUTE(J$3,"Q","T"),Inputs!$B$2:$AZ$2,0)),Inputs!$B$2:$B$190,$B143)*Inputs!$D$1)</f>
        <v>0</v>
      </c>
      <c r="K143" s="68">
        <f>IF(ISNA(SUMIFS(INDEX(Inputs!$B$2:$AZ$190,,MATCH(SUBSTITUTE(K$3,"Q","T"),Inputs!$B$2:$AZ$2,0)),Inputs!$B$2:$B$190,$B143)*Inputs!$D$1),"",SUMIFS(INDEX(Inputs!$B$2:$AZ$190,,MATCH(SUBSTITUTE(K$3,"Q","T"),Inputs!$B$2:$AZ$2,0)),Inputs!$B$2:$B$190,$B143)*Inputs!$D$1)</f>
        <v>0</v>
      </c>
      <c r="L143" s="68">
        <f>IF(ISNA(SUMIFS(INDEX(Inputs!$B$2:$AZ$190,,MATCH(SUBSTITUTE(L$3,"Q","T"),Inputs!$B$2:$AZ$2,0)),Inputs!$B$2:$B$190,$B143)*Inputs!$D$1),"",SUMIFS(INDEX(Inputs!$B$2:$AZ$190,,MATCH(SUBSTITUTE(L$3,"Q","T"),Inputs!$B$2:$AZ$2,0)),Inputs!$B$2:$B$190,$B143)*Inputs!$D$1)</f>
        <v>0</v>
      </c>
      <c r="M143" s="68">
        <f>IF(ISNA(SUMIFS(INDEX(Inputs!$B$2:$AZ$190,,MATCH(SUBSTITUTE(M$3,"Q","T"),Inputs!$B$2:$AZ$2,0)),Inputs!$B$2:$B$190,$B143)*Inputs!$D$1),"",SUMIFS(INDEX(Inputs!$B$2:$AZ$190,,MATCH(SUBSTITUTE(M$3,"Q","T"),Inputs!$B$2:$AZ$2,0)),Inputs!$B$2:$B$190,$B143)*Inputs!$D$1)</f>
        <v>0</v>
      </c>
      <c r="N143" s="69">
        <f>M143</f>
        <v>0</v>
      </c>
      <c r="O143" s="68">
        <f>IF(ISNA(SUMIFS(INDEX(Inputs!$B$2:$AZ$190,,MATCH(SUBSTITUTE(O$3,"Q","T"),Inputs!$B$2:$AZ$2,0)),Inputs!$B$2:$B$190,$B143)*Inputs!$D$1),"",SUMIFS(INDEX(Inputs!$B$2:$AZ$190,,MATCH(SUBSTITUTE(O$3,"Q","T"),Inputs!$B$2:$AZ$2,0)),Inputs!$B$2:$B$190,$B143)*Inputs!$D$1)</f>
        <v>0</v>
      </c>
      <c r="P143" s="68">
        <f>IF(ISNA(SUMIFS(INDEX(Inputs!$B$2:$AZ$190,,MATCH(SUBSTITUTE(P$3,"Q","T"),Inputs!$B$2:$AZ$2,0)),Inputs!$B$2:$B$190,$B143)*Inputs!$D$1),"",SUMIFS(INDEX(Inputs!$B$2:$AZ$190,,MATCH(SUBSTITUTE(P$3,"Q","T"),Inputs!$B$2:$AZ$2,0)),Inputs!$B$2:$B$190,$B143)*Inputs!$D$1)</f>
        <v>0</v>
      </c>
      <c r="Q143" s="68">
        <f>IF(ISNA(SUMIFS(INDEX(Inputs!$B$2:$AZ$190,,MATCH(SUBSTITUTE(Q$3,"Q","T"),Inputs!$B$2:$AZ$2,0)),Inputs!$B$2:$B$190,$B143)*Inputs!$D$1),"",SUMIFS(INDEX(Inputs!$B$2:$AZ$190,,MATCH(SUBSTITUTE(Q$3,"Q","T"),Inputs!$B$2:$AZ$2,0)),Inputs!$B$2:$B$190,$B143)*Inputs!$D$1)</f>
        <v>0</v>
      </c>
      <c r="R143" s="68">
        <f>IF(ISNA(SUMIFS(INDEX(Inputs!$B$2:$AZ$190,,MATCH(SUBSTITUTE(R$3,"Q","T"),Inputs!$B$2:$AZ$2,0)),Inputs!$B$2:$B$190,$B143)*Inputs!$D$1),"",SUMIFS(INDEX(Inputs!$B$2:$AZ$190,,MATCH(SUBSTITUTE(R$3,"Q","T"),Inputs!$B$2:$AZ$2,0)),Inputs!$B$2:$B$190,$B143)*Inputs!$D$1)</f>
        <v>0</v>
      </c>
      <c r="S143" s="69">
        <f>R143</f>
        <v>0</v>
      </c>
      <c r="T143" s="68">
        <f>IF(ISNA(SUMIFS(INDEX(Inputs!$B$2:$AZ$190,,MATCH(SUBSTITUTE(T$3,"Q","T"),Inputs!$B$2:$AZ$2,0)),Inputs!$B$2:$B$190,$B143)*Inputs!$D$1),"",SUMIFS(INDEX(Inputs!$B$2:$AZ$190,,MATCH(SUBSTITUTE(T$3,"Q","T"),Inputs!$B$2:$AZ$2,0)),Inputs!$B$2:$B$190,$B143)*Inputs!$D$1)</f>
        <v>0</v>
      </c>
      <c r="U143" s="68">
        <f>IF(ISNA(SUMIFS(INDEX(Inputs!$B$2:$AZ$190,,MATCH(SUBSTITUTE(U$3,"Q","T"),Inputs!$B$2:$AZ$2,0)),Inputs!$B$2:$B$190,$B143)*Inputs!$D$1),"",SUMIFS(INDEX(Inputs!$B$2:$AZ$190,,MATCH(SUBSTITUTE(U$3,"Q","T"),Inputs!$B$2:$AZ$2,0)),Inputs!$B$2:$B$190,$B143)*Inputs!$D$1)</f>
        <v>0</v>
      </c>
      <c r="V143" s="68">
        <f>IF(ISNA(SUMIFS(INDEX(Inputs!$B$2:$AZ$190,,MATCH(SUBSTITUTE(V$3,"Q","T"),Inputs!$B$2:$AZ$2,0)),Inputs!$B$2:$B$190,$B143)*Inputs!$D$1),"",SUMIFS(INDEX(Inputs!$B$2:$AZ$190,,MATCH(SUBSTITUTE(V$3,"Q","T"),Inputs!$B$2:$AZ$2,0)),Inputs!$B$2:$B$190,$B143)*Inputs!$D$1)</f>
        <v>0</v>
      </c>
      <c r="W143" s="68">
        <f>IF(ISNA(SUMIFS(INDEX(Inputs!$B$2:$AZ$190,,MATCH(SUBSTITUTE(W$3,"Q","T"),Inputs!$B$2:$AZ$2,0)),Inputs!$B$2:$B$190,$B143)*Inputs!$D$1),"",SUMIFS(INDEX(Inputs!$B$2:$AZ$190,,MATCH(SUBSTITUTE(W$3,"Q","T"),Inputs!$B$2:$AZ$2,0)),Inputs!$B$2:$B$190,$B143)*Inputs!$D$1)</f>
        <v>0</v>
      </c>
      <c r="X143" s="69">
        <f>W143</f>
        <v>0</v>
      </c>
      <c r="Y143" s="68">
        <f>IF(ISNA(SUMIFS(INDEX(Inputs!$B$2:$AZ$190,,MATCH(SUBSTITUTE(Y$3,"Q","T"),Inputs!$B$2:$AZ$2,0)),Inputs!$B$2:$B$190,$B143)*Inputs!$D$1),"",SUMIFS(INDEX(Inputs!$B$2:$AZ$190,,MATCH(SUBSTITUTE(Y$3,"Q","T"),Inputs!$B$2:$AZ$2,0)),Inputs!$B$2:$B$190,$B143)*Inputs!$D$1)</f>
        <v>0</v>
      </c>
      <c r="Z143" s="68">
        <f>IF(ISNA(SUMIFS(INDEX(Inputs!$B$2:$AZ$190,,MATCH(SUBSTITUTE(Z$3,"Q","T"),Inputs!$B$2:$AZ$2,0)),Inputs!$B$2:$B$190,$B143)*Inputs!$D$1),"",SUMIFS(INDEX(Inputs!$B$2:$AZ$190,,MATCH(SUBSTITUTE(Z$3,"Q","T"),Inputs!$B$2:$AZ$2,0)),Inputs!$B$2:$B$190,$B143)*Inputs!$D$1)</f>
        <v>0</v>
      </c>
      <c r="AA143" s="68">
        <f>IF(ISNA(SUMIFS(INDEX(Inputs!$B$2:$AZ$190,,MATCH(SUBSTITUTE(AA$3,"Q","T"),Inputs!$B$2:$AZ$2,0)),Inputs!$B$2:$B$190,$B143)*Inputs!$D$1),"",SUMIFS(INDEX(Inputs!$B$2:$AZ$190,,MATCH(SUBSTITUTE(AA$3,"Q","T"),Inputs!$B$2:$AZ$2,0)),Inputs!$B$2:$B$190,$B143)*Inputs!$D$1)</f>
        <v>0</v>
      </c>
      <c r="AB143" s="68">
        <f>IF(ISNA(SUMIFS(INDEX(Inputs!$B$2:$AZ$190,,MATCH(SUBSTITUTE(AB$3,"Q","T"),Inputs!$B$2:$AZ$2,0)),Inputs!$B$2:$B$190,$B143)*Inputs!$D$1),"",SUMIFS(INDEX(Inputs!$B$2:$AZ$190,,MATCH(SUBSTITUTE(AB$3,"Q","T"),Inputs!$B$2:$AZ$2,0)),Inputs!$B$2:$B$190,$B143)*Inputs!$D$1)</f>
        <v>0</v>
      </c>
      <c r="AC143" s="69">
        <f>AB143</f>
        <v>0</v>
      </c>
      <c r="AD143" s="68">
        <f>IF(ISNA(SUMIFS(INDEX(Inputs!$B$2:$AZ$190,,MATCH(SUBSTITUTE(AD$3,"Q","T"),Inputs!$B$2:$AZ$2,0)),Inputs!$B$2:$B$190,$B143)*Inputs!$D$1),"",SUMIFS(INDEX(Inputs!$B$2:$AZ$190,,MATCH(SUBSTITUTE(AD$3,"Q","T"),Inputs!$B$2:$AZ$2,0)),Inputs!$B$2:$B$190,$B143)*Inputs!$D$1)</f>
        <v>0</v>
      </c>
      <c r="AE143" s="68">
        <f>IF(ISNA(SUMIFS(INDEX(Inputs!$B$2:$AZ$190,,MATCH(SUBSTITUTE(AE$3,"Q","T"),Inputs!$B$2:$AZ$2,0)),Inputs!$B$2:$B$190,$B143)*Inputs!$D$1),"",SUMIFS(INDEX(Inputs!$B$2:$AZ$190,,MATCH(SUBSTITUTE(AE$3,"Q","T"),Inputs!$B$2:$AZ$2,0)),Inputs!$B$2:$B$190,$B143)*Inputs!$D$1)</f>
        <v>0</v>
      </c>
      <c r="AF143" s="68">
        <f>IF(ISNA(SUMIFS(INDEX(Inputs!$B$2:$AZ$190,,MATCH(SUBSTITUTE(AF$3,"Q","T"),Inputs!$B$2:$AZ$2,0)),Inputs!$B$2:$B$190,$B143)*Inputs!$D$1),"",SUMIFS(INDEX(Inputs!$B$2:$AZ$190,,MATCH(SUBSTITUTE(AF$3,"Q","T"),Inputs!$B$2:$AZ$2,0)),Inputs!$B$2:$B$190,$B143)*Inputs!$D$1)</f>
        <v>0</v>
      </c>
      <c r="AG143" s="68">
        <f>IF(ISNA(SUMIFS(INDEX(Inputs!$B$2:$AZ$190,,MATCH(SUBSTITUTE(AG$3,"Q","T"),Inputs!$B$2:$AZ$2,0)),Inputs!$B$2:$B$190,$B143)*Inputs!$D$1),"",SUMIFS(INDEX(Inputs!$B$2:$AZ$190,,MATCH(SUBSTITUTE(AG$3,"Q","T"),Inputs!$B$2:$AZ$2,0)),Inputs!$B$2:$B$190,$B143)*Inputs!$D$1)</f>
        <v>0</v>
      </c>
      <c r="AH143" s="69">
        <f>AG143</f>
        <v>0</v>
      </c>
      <c r="AI143" s="68">
        <f>IF(ISNA(SUMIFS(INDEX(Inputs!$B$2:$AZ$190,,MATCH(SUBSTITUTE(AI$3,"Q","T"),Inputs!$B$2:$AZ$2,0)),Inputs!$B$2:$B$190,$B143)*Inputs!$D$1),"",SUMIFS(INDEX(Inputs!$B$2:$AZ$190,,MATCH(SUBSTITUTE(AI$3,"Q","T"),Inputs!$B$2:$AZ$2,0)),Inputs!$B$2:$B$190,$B143)*Inputs!$D$1)</f>
        <v>0</v>
      </c>
      <c r="AJ143" s="68">
        <f>IF(ISNA(SUMIFS(INDEX(Inputs!$B$2:$AZ$190,,MATCH(SUBSTITUTE(AJ$3,"Q","T"),Inputs!$B$2:$AZ$2,0)),Inputs!$B$2:$B$190,$B143)*Inputs!$D$1),"",SUMIFS(INDEX(Inputs!$B$2:$AZ$190,,MATCH(SUBSTITUTE(AJ$3,"Q","T"),Inputs!$B$2:$AZ$2,0)),Inputs!$B$2:$B$190,$B143)*Inputs!$D$1)</f>
        <v>0</v>
      </c>
      <c r="AK143" s="68">
        <f>IF(ISNA(SUMIFS(INDEX(Inputs!$B$2:$AZ$190,,MATCH(SUBSTITUTE(AK$3,"Q","T"),Inputs!$B$2:$AZ$2,0)),Inputs!$B$2:$B$190,$B143)*Inputs!$D$1),"",SUMIFS(INDEX(Inputs!$B$2:$AZ$190,,MATCH(SUBSTITUTE(AK$3,"Q","T"),Inputs!$B$2:$AZ$2,0)),Inputs!$B$2:$B$190,$B143)*Inputs!$D$1)</f>
        <v>0</v>
      </c>
      <c r="AL143" s="68">
        <f>IF(ISNA(SUMIFS(INDEX(Inputs!$B$2:$AZ$190,,MATCH(SUBSTITUTE(AL$3,"Q","T"),Inputs!$B$2:$AZ$2,0)),Inputs!$B$2:$B$190,$B143)*Inputs!$D$1),"",SUMIFS(INDEX(Inputs!$B$2:$AZ$190,,MATCH(SUBSTITUTE(AL$3,"Q","T"),Inputs!$B$2:$AZ$2,0)),Inputs!$B$2:$B$190,$B143)*Inputs!$D$1)</f>
        <v>0</v>
      </c>
      <c r="AM143" s="69">
        <f>AL143</f>
        <v>0</v>
      </c>
      <c r="AN143" s="68">
        <f>IF(ISNA(SUMIFS(INDEX(Inputs!$B$2:$AZ$190,,MATCH(SUBSTITUTE(AN$3,"Q","T"),Inputs!$B$2:$AZ$2,0)),Inputs!$B$2:$B$190,$B143)*Inputs!$D$1),"",SUMIFS(INDEX(Inputs!$B$2:$AZ$190,,MATCH(SUBSTITUTE(AN$3,"Q","T"),Inputs!$B$2:$AZ$2,0)),Inputs!$B$2:$B$190,$B143)*Inputs!$D$1)</f>
        <v>0</v>
      </c>
      <c r="AO143" s="68">
        <f>IF(ISNA(SUMIFS(INDEX(Inputs!$B$2:$AZ$190,,MATCH(SUBSTITUTE(AO$3,"Q","T"),Inputs!$B$2:$AZ$2,0)),Inputs!$B$2:$B$190,$B143)*Inputs!$D$1),"",SUMIFS(INDEX(Inputs!$B$2:$AZ$190,,MATCH(SUBSTITUTE(AO$3,"Q","T"),Inputs!$B$2:$AZ$2,0)),Inputs!$B$2:$B$190,$B143)*Inputs!$D$1)</f>
        <v>0</v>
      </c>
      <c r="AP143" s="68">
        <f>IF(ISNA(SUMIFS(INDEX(Inputs!$B$2:$AZ$190,,MATCH(SUBSTITUTE(AP$3,"Q","T"),Inputs!$B$2:$AZ$2,0)),Inputs!$B$2:$B$190,$B143)*Inputs!$D$1),"",SUMIFS(INDEX(Inputs!$B$2:$AZ$190,,MATCH(SUBSTITUTE(AP$3,"Q","T"),Inputs!$B$2:$AZ$2,0)),Inputs!$B$2:$B$190,$B143)*Inputs!$D$1)</f>
        <v>0</v>
      </c>
      <c r="AQ143" s="68">
        <f>IF(ISNA(SUMIFS(INDEX(Inputs!$B$2:$AZ$190,,MATCH(SUBSTITUTE(AQ$3,"Q","T"),Inputs!$B$2:$AZ$2,0)),Inputs!$B$2:$B$190,$B143)*Inputs!$D$1),"",SUMIFS(INDEX(Inputs!$B$2:$AZ$190,,MATCH(SUBSTITUTE(AQ$3,"Q","T"),Inputs!$B$2:$AZ$2,0)),Inputs!$B$2:$B$190,$B143)*Inputs!$D$1)</f>
        <v>0</v>
      </c>
      <c r="AR143" s="69">
        <f>AQ143</f>
        <v>0</v>
      </c>
      <c r="AS143" s="68">
        <f>IF(ISNA(SUMIFS(INDEX(Inputs!$B$2:$AZ$190,,MATCH(SUBSTITUTE(AS$3,"Q","T"),Inputs!$B$2:$AZ$2,0)),Inputs!$B$2:$B$190,$B143)*Inputs!$D$1),"",SUMIFS(INDEX(Inputs!$B$2:$AZ$190,,MATCH(SUBSTITUTE(AS$3,"Q","T"),Inputs!$B$2:$AZ$2,0)),Inputs!$B$2:$B$190,$B143)*Inputs!$D$1)</f>
        <v>0</v>
      </c>
      <c r="AT143" s="68">
        <f>IF(ISNA(SUMIFS(INDEX(Inputs!$B$2:$AZ$190,,MATCH(SUBSTITUTE(AT$3,"Q","T"),Inputs!$B$2:$AZ$2,0)),Inputs!$B$2:$B$190,$B143)*Inputs!$D$1),"",SUMIFS(INDEX(Inputs!$B$2:$AZ$190,,MATCH(SUBSTITUTE(AT$3,"Q","T"),Inputs!$B$2:$AZ$2,0)),Inputs!$B$2:$B$190,$B143)*Inputs!$D$1)</f>
        <v>0</v>
      </c>
      <c r="AU143" s="68">
        <f>IF(ISNA(SUMIFS(INDEX(Inputs!$B$2:$AZ$190,,MATCH(SUBSTITUTE(AU$3,"Q","T"),Inputs!$B$2:$AZ$2,0)),Inputs!$B$2:$B$190,$B143)*Inputs!$D$1),"",SUMIFS(INDEX(Inputs!$B$2:$AZ$190,,MATCH(SUBSTITUTE(AU$3,"Q","T"),Inputs!$B$2:$AZ$2,0)),Inputs!$B$2:$B$190,$B143)*Inputs!$D$1)</f>
        <v>0</v>
      </c>
      <c r="AV143" s="68">
        <f>IF(ISNA(SUMIFS(INDEX(Inputs!$B$2:$AZ$190,,MATCH(SUBSTITUTE(AV$3,"Q","T"),Inputs!$B$2:$AZ$2,0)),Inputs!$B$2:$B$190,$B143)*Inputs!$D$1),"",SUMIFS(INDEX(Inputs!$B$2:$AZ$190,,MATCH(SUBSTITUTE(AV$3,"Q","T"),Inputs!$B$2:$AZ$2,0)),Inputs!$B$2:$B$190,$B143)*Inputs!$D$1)</f>
        <v>0</v>
      </c>
      <c r="AW143" s="69">
        <f>AV143</f>
        <v>0</v>
      </c>
      <c r="AX143" s="68">
        <f>IF(ISNA(SUMIFS(INDEX(Inputs!$B$2:$AZ$190,,MATCH(SUBSTITUTE(AX$3,"Q","T"),Inputs!$B$2:$AZ$2,0)),Inputs!$B$2:$B$190,$B143)*Inputs!$D$1),"",SUMIFS(INDEX(Inputs!$B$2:$AZ$190,,MATCH(SUBSTITUTE(AX$3,"Q","T"),Inputs!$B$2:$AZ$2,0)),Inputs!$B$2:$B$190,$B143)*Inputs!$D$1)</f>
        <v>0</v>
      </c>
      <c r="AY143" s="68">
        <f>IF(ISNA(SUMIFS(INDEX(Inputs!$B$2:$AZ$190,,MATCH(SUBSTITUTE(AY$3,"Q","T"),Inputs!$B$2:$AZ$2,0)),Inputs!$B$2:$B$190,$B143)*Inputs!$D$1),"",SUMIFS(INDEX(Inputs!$B$2:$AZ$190,,MATCH(SUBSTITUTE(AY$3,"Q","T"),Inputs!$B$2:$AZ$2,0)),Inputs!$B$2:$B$190,$B143)*Inputs!$D$1)</f>
        <v>0</v>
      </c>
      <c r="AZ143" s="68">
        <f>IF(ISNA(SUMIFS(INDEX(Inputs!$B$2:$AZ$190,,MATCH(SUBSTITUTE(AZ$3,"Q","T"),Inputs!$B$2:$AZ$2,0)),Inputs!$B$2:$B$190,$B143)*Inputs!$D$1),"",SUMIFS(INDEX(Inputs!$B$2:$AZ$190,,MATCH(SUBSTITUTE(AZ$3,"Q","T"),Inputs!$B$2:$AZ$2,0)),Inputs!$B$2:$B$190,$B143)*Inputs!$D$1)</f>
        <v>0</v>
      </c>
      <c r="BA143" s="68">
        <f>IF(ISNA(SUMIFS(INDEX(Inputs!$B$2:$AZ$190,,MATCH(SUBSTITUTE(BA$3,"Q","T"),Inputs!$B$2:$AZ$2,0)),Inputs!$B$2:$B$190,$B143)*Inputs!$D$1),"",SUMIFS(INDEX(Inputs!$B$2:$AZ$190,,MATCH(SUBSTITUTE(BA$3,"Q","T"),Inputs!$B$2:$AZ$2,0)),Inputs!$B$2:$B$190,$B143)*Inputs!$D$1)</f>
        <v>0</v>
      </c>
      <c r="BB143" s="69">
        <f>BA143</f>
        <v>0</v>
      </c>
      <c r="BC143" s="68">
        <f>IF(ISNA(SUMIFS(INDEX(Inputs!$B$2:$AZ$190,,MATCH(SUBSTITUTE(BC$3,"Q","T"),Inputs!$B$2:$AZ$2,0)),Inputs!$B$2:$B$190,$B143)*Inputs!$D$1),"",SUMIFS(INDEX(Inputs!$B$2:$AZ$190,,MATCH(SUBSTITUTE(BC$3,"Q","T"),Inputs!$B$2:$AZ$2,0)),Inputs!$B$2:$B$190,$B143)*Inputs!$D$1)</f>
        <v>0</v>
      </c>
      <c r="BD143" s="68">
        <f>IF(ISNA(SUMIFS(INDEX(Inputs!$B$2:$AZ$190,,MATCH(SUBSTITUTE(BD$3,"Q","T"),Inputs!$B$2:$AZ$2,0)),Inputs!$B$2:$B$190,$B143)*Inputs!$D$1),"",SUMIFS(INDEX(Inputs!$B$2:$AZ$190,,MATCH(SUBSTITUTE(BD$3,"Q","T"),Inputs!$B$2:$AZ$2,0)),Inputs!$B$2:$B$190,$B143)*Inputs!$D$1)</f>
        <v>0</v>
      </c>
      <c r="BE143" s="68">
        <f>IF(ISNA(SUMIFS(INDEX(Inputs!$B$2:$AZ$190,,MATCH(SUBSTITUTE(BE$3,"Q","T"),Inputs!$B$2:$AZ$2,0)),Inputs!$B$2:$B$190,$B143)*Inputs!$D$1),"",SUMIFS(INDEX(Inputs!$B$2:$AZ$190,,MATCH(SUBSTITUTE(BE$3,"Q","T"),Inputs!$B$2:$AZ$2,0)),Inputs!$B$2:$B$190,$B143)*Inputs!$D$1)</f>
        <v>0</v>
      </c>
      <c r="BF143" s="68">
        <f>IF(ISNA(SUMIFS(INDEX(Inputs!$B$2:$AZ$190,,MATCH(SUBSTITUTE(BF$3,"Q","T"),Inputs!$B$2:$AZ$2,0)),Inputs!$B$2:$B$190,$B143)*Inputs!$D$1),"",SUMIFS(INDEX(Inputs!$B$2:$AZ$190,,MATCH(SUBSTITUTE(BF$3,"Q","T"),Inputs!$B$2:$AZ$2,0)),Inputs!$B$2:$B$190,$B143)*Inputs!$D$1)</f>
        <v>0</v>
      </c>
      <c r="BG143" s="69">
        <f>BF143</f>
        <v>0</v>
      </c>
    </row>
    <row r="144">
      <c r="B144" s="56" t="inlineStr">
        <is>
          <t>t1r_rep</t>
        </is>
      </c>
      <c r="C144" s="11" t="inlineStr">
        <is>
          <t>Índice Tier 1 reportado — Standardized (%)</t>
        </is>
      </c>
      <c r="D144" s="12" t="inlineStr">
        <is>
          <t>Tier 1 ratio — Standardized</t>
        </is>
      </c>
      <c r="E144" s="68">
        <f>IF(ISNA(SUMIFS(INDEX(Inputs!$B$2:$AZ$190,,MATCH(SUBSTITUTE(E$3,"Q","T"),Inputs!$B$2:$AZ$2,0)),Inputs!$B$2:$B$190,$B144)*Inputs!$D$1),"",SUMIFS(INDEX(Inputs!$B$2:$AZ$190,,MATCH(SUBSTITUTE(E$3,"Q","T"),Inputs!$B$2:$AZ$2,0)),Inputs!$B$2:$B$190,$B144)*Inputs!$D$1)</f>
        <v>0</v>
      </c>
      <c r="F144" s="68">
        <f>IF(ISNA(SUMIFS(INDEX(Inputs!$B$2:$AZ$190,,MATCH(SUBSTITUTE(F$3,"Q","T"),Inputs!$B$2:$AZ$2,0)),Inputs!$B$2:$B$190,$B144)*Inputs!$D$1),"",SUMIFS(INDEX(Inputs!$B$2:$AZ$190,,MATCH(SUBSTITUTE(F$3,"Q","T"),Inputs!$B$2:$AZ$2,0)),Inputs!$B$2:$B$190,$B144)*Inputs!$D$1)</f>
        <v>0</v>
      </c>
      <c r="G144" s="68">
        <f>IF(ISNA(SUMIFS(INDEX(Inputs!$B$2:$AZ$190,,MATCH(SUBSTITUTE(G$3,"Q","T"),Inputs!$B$2:$AZ$2,0)),Inputs!$B$2:$B$190,$B144)*Inputs!$D$1),"",SUMIFS(INDEX(Inputs!$B$2:$AZ$190,,MATCH(SUBSTITUTE(G$3,"Q","T"),Inputs!$B$2:$AZ$2,0)),Inputs!$B$2:$B$190,$B144)*Inputs!$D$1)</f>
        <v>0</v>
      </c>
      <c r="H144" s="68">
        <f>IF(ISNA(SUMIFS(INDEX(Inputs!$B$2:$AZ$190,,MATCH(SUBSTITUTE(H$3,"Q","T"),Inputs!$B$2:$AZ$2,0)),Inputs!$B$2:$B$190,$B144)*Inputs!$D$1),"",SUMIFS(INDEX(Inputs!$B$2:$AZ$190,,MATCH(SUBSTITUTE(H$3,"Q","T"),Inputs!$B$2:$AZ$2,0)),Inputs!$B$2:$B$190,$B144)*Inputs!$D$1)</f>
        <v>0</v>
      </c>
      <c r="I144" s="69">
        <f>H144</f>
        <v>0</v>
      </c>
      <c r="J144" s="68">
        <f>IF(ISNA(SUMIFS(INDEX(Inputs!$B$2:$AZ$190,,MATCH(SUBSTITUTE(J$3,"Q","T"),Inputs!$B$2:$AZ$2,0)),Inputs!$B$2:$B$190,$B144)*Inputs!$D$1),"",SUMIFS(INDEX(Inputs!$B$2:$AZ$190,,MATCH(SUBSTITUTE(J$3,"Q","T"),Inputs!$B$2:$AZ$2,0)),Inputs!$B$2:$B$190,$B144)*Inputs!$D$1)</f>
        <v>0</v>
      </c>
      <c r="K144" s="68">
        <f>IF(ISNA(SUMIFS(INDEX(Inputs!$B$2:$AZ$190,,MATCH(SUBSTITUTE(K$3,"Q","T"),Inputs!$B$2:$AZ$2,0)),Inputs!$B$2:$B$190,$B144)*Inputs!$D$1),"",SUMIFS(INDEX(Inputs!$B$2:$AZ$190,,MATCH(SUBSTITUTE(K$3,"Q","T"),Inputs!$B$2:$AZ$2,0)),Inputs!$B$2:$B$190,$B144)*Inputs!$D$1)</f>
        <v>0</v>
      </c>
      <c r="L144" s="68">
        <f>IF(ISNA(SUMIFS(INDEX(Inputs!$B$2:$AZ$190,,MATCH(SUBSTITUTE(L$3,"Q","T"),Inputs!$B$2:$AZ$2,0)),Inputs!$B$2:$B$190,$B144)*Inputs!$D$1),"",SUMIFS(INDEX(Inputs!$B$2:$AZ$190,,MATCH(SUBSTITUTE(L$3,"Q","T"),Inputs!$B$2:$AZ$2,0)),Inputs!$B$2:$B$190,$B144)*Inputs!$D$1)</f>
        <v>0</v>
      </c>
      <c r="M144" s="68">
        <f>IF(ISNA(SUMIFS(INDEX(Inputs!$B$2:$AZ$190,,MATCH(SUBSTITUTE(M$3,"Q","T"),Inputs!$B$2:$AZ$2,0)),Inputs!$B$2:$B$190,$B144)*Inputs!$D$1),"",SUMIFS(INDEX(Inputs!$B$2:$AZ$190,,MATCH(SUBSTITUTE(M$3,"Q","T"),Inputs!$B$2:$AZ$2,0)),Inputs!$B$2:$B$190,$B144)*Inputs!$D$1)</f>
        <v>0</v>
      </c>
      <c r="N144" s="69">
        <f>M144</f>
        <v>0</v>
      </c>
      <c r="O144" s="68">
        <f>IF(ISNA(SUMIFS(INDEX(Inputs!$B$2:$AZ$190,,MATCH(SUBSTITUTE(O$3,"Q","T"),Inputs!$B$2:$AZ$2,0)),Inputs!$B$2:$B$190,$B144)*Inputs!$D$1),"",SUMIFS(INDEX(Inputs!$B$2:$AZ$190,,MATCH(SUBSTITUTE(O$3,"Q","T"),Inputs!$B$2:$AZ$2,0)),Inputs!$B$2:$B$190,$B144)*Inputs!$D$1)</f>
        <v>0</v>
      </c>
      <c r="P144" s="68">
        <f>IF(ISNA(SUMIFS(INDEX(Inputs!$B$2:$AZ$190,,MATCH(SUBSTITUTE(P$3,"Q","T"),Inputs!$B$2:$AZ$2,0)),Inputs!$B$2:$B$190,$B144)*Inputs!$D$1),"",SUMIFS(INDEX(Inputs!$B$2:$AZ$190,,MATCH(SUBSTITUTE(P$3,"Q","T"),Inputs!$B$2:$AZ$2,0)),Inputs!$B$2:$B$190,$B144)*Inputs!$D$1)</f>
        <v>0</v>
      </c>
      <c r="Q144" s="68">
        <f>IF(ISNA(SUMIFS(INDEX(Inputs!$B$2:$AZ$190,,MATCH(SUBSTITUTE(Q$3,"Q","T"),Inputs!$B$2:$AZ$2,0)),Inputs!$B$2:$B$190,$B144)*Inputs!$D$1),"",SUMIFS(INDEX(Inputs!$B$2:$AZ$190,,MATCH(SUBSTITUTE(Q$3,"Q","T"),Inputs!$B$2:$AZ$2,0)),Inputs!$B$2:$B$190,$B144)*Inputs!$D$1)</f>
        <v>0</v>
      </c>
      <c r="R144" s="68">
        <f>IF(ISNA(SUMIFS(INDEX(Inputs!$B$2:$AZ$190,,MATCH(SUBSTITUTE(R$3,"Q","T"),Inputs!$B$2:$AZ$2,0)),Inputs!$B$2:$B$190,$B144)*Inputs!$D$1),"",SUMIFS(INDEX(Inputs!$B$2:$AZ$190,,MATCH(SUBSTITUTE(R$3,"Q","T"),Inputs!$B$2:$AZ$2,0)),Inputs!$B$2:$B$190,$B144)*Inputs!$D$1)</f>
        <v>0</v>
      </c>
      <c r="S144" s="69">
        <f>R144</f>
        <v>0</v>
      </c>
      <c r="T144" s="68">
        <f>IF(ISNA(SUMIFS(INDEX(Inputs!$B$2:$AZ$190,,MATCH(SUBSTITUTE(T$3,"Q","T"),Inputs!$B$2:$AZ$2,0)),Inputs!$B$2:$B$190,$B144)*Inputs!$D$1),"",SUMIFS(INDEX(Inputs!$B$2:$AZ$190,,MATCH(SUBSTITUTE(T$3,"Q","T"),Inputs!$B$2:$AZ$2,0)),Inputs!$B$2:$B$190,$B144)*Inputs!$D$1)</f>
        <v>0</v>
      </c>
      <c r="U144" s="68">
        <f>IF(ISNA(SUMIFS(INDEX(Inputs!$B$2:$AZ$190,,MATCH(SUBSTITUTE(U$3,"Q","T"),Inputs!$B$2:$AZ$2,0)),Inputs!$B$2:$B$190,$B144)*Inputs!$D$1),"",SUMIFS(INDEX(Inputs!$B$2:$AZ$190,,MATCH(SUBSTITUTE(U$3,"Q","T"),Inputs!$B$2:$AZ$2,0)),Inputs!$B$2:$B$190,$B144)*Inputs!$D$1)</f>
        <v>0</v>
      </c>
      <c r="V144" s="68">
        <f>IF(ISNA(SUMIFS(INDEX(Inputs!$B$2:$AZ$190,,MATCH(SUBSTITUTE(V$3,"Q","T"),Inputs!$B$2:$AZ$2,0)),Inputs!$B$2:$B$190,$B144)*Inputs!$D$1),"",SUMIFS(INDEX(Inputs!$B$2:$AZ$190,,MATCH(SUBSTITUTE(V$3,"Q","T"),Inputs!$B$2:$AZ$2,0)),Inputs!$B$2:$B$190,$B144)*Inputs!$D$1)</f>
        <v>0</v>
      </c>
      <c r="W144" s="68">
        <f>IF(ISNA(SUMIFS(INDEX(Inputs!$B$2:$AZ$190,,MATCH(SUBSTITUTE(W$3,"Q","T"),Inputs!$B$2:$AZ$2,0)),Inputs!$B$2:$B$190,$B144)*Inputs!$D$1),"",SUMIFS(INDEX(Inputs!$B$2:$AZ$190,,MATCH(SUBSTITUTE(W$3,"Q","T"),Inputs!$B$2:$AZ$2,0)),Inputs!$B$2:$B$190,$B144)*Inputs!$D$1)</f>
        <v>0</v>
      </c>
      <c r="X144" s="69">
        <f>W144</f>
        <v>0</v>
      </c>
      <c r="Y144" s="68">
        <f>IF(ISNA(SUMIFS(INDEX(Inputs!$B$2:$AZ$190,,MATCH(SUBSTITUTE(Y$3,"Q","T"),Inputs!$B$2:$AZ$2,0)),Inputs!$B$2:$B$190,$B144)*Inputs!$D$1),"",SUMIFS(INDEX(Inputs!$B$2:$AZ$190,,MATCH(SUBSTITUTE(Y$3,"Q","T"),Inputs!$B$2:$AZ$2,0)),Inputs!$B$2:$B$190,$B144)*Inputs!$D$1)</f>
        <v>0</v>
      </c>
      <c r="Z144" s="68">
        <f>IF(ISNA(SUMIFS(INDEX(Inputs!$B$2:$AZ$190,,MATCH(SUBSTITUTE(Z$3,"Q","T"),Inputs!$B$2:$AZ$2,0)),Inputs!$B$2:$B$190,$B144)*Inputs!$D$1),"",SUMIFS(INDEX(Inputs!$B$2:$AZ$190,,MATCH(SUBSTITUTE(Z$3,"Q","T"),Inputs!$B$2:$AZ$2,0)),Inputs!$B$2:$B$190,$B144)*Inputs!$D$1)</f>
        <v>0</v>
      </c>
      <c r="AA144" s="68">
        <f>IF(ISNA(SUMIFS(INDEX(Inputs!$B$2:$AZ$190,,MATCH(SUBSTITUTE(AA$3,"Q","T"),Inputs!$B$2:$AZ$2,0)),Inputs!$B$2:$B$190,$B144)*Inputs!$D$1),"",SUMIFS(INDEX(Inputs!$B$2:$AZ$190,,MATCH(SUBSTITUTE(AA$3,"Q","T"),Inputs!$B$2:$AZ$2,0)),Inputs!$B$2:$B$190,$B144)*Inputs!$D$1)</f>
        <v>0</v>
      </c>
      <c r="AB144" s="68">
        <f>IF(ISNA(SUMIFS(INDEX(Inputs!$B$2:$AZ$190,,MATCH(SUBSTITUTE(AB$3,"Q","T"),Inputs!$B$2:$AZ$2,0)),Inputs!$B$2:$B$190,$B144)*Inputs!$D$1),"",SUMIFS(INDEX(Inputs!$B$2:$AZ$190,,MATCH(SUBSTITUTE(AB$3,"Q","T"),Inputs!$B$2:$AZ$2,0)),Inputs!$B$2:$B$190,$B144)*Inputs!$D$1)</f>
        <v>0</v>
      </c>
      <c r="AC144" s="69">
        <f>AB144</f>
        <v>0</v>
      </c>
      <c r="AD144" s="68">
        <f>IF(ISNA(SUMIFS(INDEX(Inputs!$B$2:$AZ$190,,MATCH(SUBSTITUTE(AD$3,"Q","T"),Inputs!$B$2:$AZ$2,0)),Inputs!$B$2:$B$190,$B144)*Inputs!$D$1),"",SUMIFS(INDEX(Inputs!$B$2:$AZ$190,,MATCH(SUBSTITUTE(AD$3,"Q","T"),Inputs!$B$2:$AZ$2,0)),Inputs!$B$2:$B$190,$B144)*Inputs!$D$1)</f>
        <v>0</v>
      </c>
      <c r="AE144" s="68">
        <f>IF(ISNA(SUMIFS(INDEX(Inputs!$B$2:$AZ$190,,MATCH(SUBSTITUTE(AE$3,"Q","T"),Inputs!$B$2:$AZ$2,0)),Inputs!$B$2:$B$190,$B144)*Inputs!$D$1),"",SUMIFS(INDEX(Inputs!$B$2:$AZ$190,,MATCH(SUBSTITUTE(AE$3,"Q","T"),Inputs!$B$2:$AZ$2,0)),Inputs!$B$2:$B$190,$B144)*Inputs!$D$1)</f>
        <v>0</v>
      </c>
      <c r="AF144" s="68">
        <f>IF(ISNA(SUMIFS(INDEX(Inputs!$B$2:$AZ$190,,MATCH(SUBSTITUTE(AF$3,"Q","T"),Inputs!$B$2:$AZ$2,0)),Inputs!$B$2:$B$190,$B144)*Inputs!$D$1),"",SUMIFS(INDEX(Inputs!$B$2:$AZ$190,,MATCH(SUBSTITUTE(AF$3,"Q","T"),Inputs!$B$2:$AZ$2,0)),Inputs!$B$2:$B$190,$B144)*Inputs!$D$1)</f>
        <v>0</v>
      </c>
      <c r="AG144" s="68">
        <f>IF(ISNA(SUMIFS(INDEX(Inputs!$B$2:$AZ$190,,MATCH(SUBSTITUTE(AG$3,"Q","T"),Inputs!$B$2:$AZ$2,0)),Inputs!$B$2:$B$190,$B144)*Inputs!$D$1),"",SUMIFS(INDEX(Inputs!$B$2:$AZ$190,,MATCH(SUBSTITUTE(AG$3,"Q","T"),Inputs!$B$2:$AZ$2,0)),Inputs!$B$2:$B$190,$B144)*Inputs!$D$1)</f>
        <v>0</v>
      </c>
      <c r="AH144" s="69">
        <f>AG144</f>
        <v>0</v>
      </c>
      <c r="AI144" s="68">
        <f>IF(ISNA(SUMIFS(INDEX(Inputs!$B$2:$AZ$190,,MATCH(SUBSTITUTE(AI$3,"Q","T"),Inputs!$B$2:$AZ$2,0)),Inputs!$B$2:$B$190,$B144)*Inputs!$D$1),"",SUMIFS(INDEX(Inputs!$B$2:$AZ$190,,MATCH(SUBSTITUTE(AI$3,"Q","T"),Inputs!$B$2:$AZ$2,0)),Inputs!$B$2:$B$190,$B144)*Inputs!$D$1)</f>
        <v>0</v>
      </c>
      <c r="AJ144" s="68">
        <f>IF(ISNA(SUMIFS(INDEX(Inputs!$B$2:$AZ$190,,MATCH(SUBSTITUTE(AJ$3,"Q","T"),Inputs!$B$2:$AZ$2,0)),Inputs!$B$2:$B$190,$B144)*Inputs!$D$1),"",SUMIFS(INDEX(Inputs!$B$2:$AZ$190,,MATCH(SUBSTITUTE(AJ$3,"Q","T"),Inputs!$B$2:$AZ$2,0)),Inputs!$B$2:$B$190,$B144)*Inputs!$D$1)</f>
        <v>0</v>
      </c>
      <c r="AK144" s="68">
        <f>IF(ISNA(SUMIFS(INDEX(Inputs!$B$2:$AZ$190,,MATCH(SUBSTITUTE(AK$3,"Q","T"),Inputs!$B$2:$AZ$2,0)),Inputs!$B$2:$B$190,$B144)*Inputs!$D$1),"",SUMIFS(INDEX(Inputs!$B$2:$AZ$190,,MATCH(SUBSTITUTE(AK$3,"Q","T"),Inputs!$B$2:$AZ$2,0)),Inputs!$B$2:$B$190,$B144)*Inputs!$D$1)</f>
        <v>0</v>
      </c>
      <c r="AL144" s="68">
        <f>IF(ISNA(SUMIFS(INDEX(Inputs!$B$2:$AZ$190,,MATCH(SUBSTITUTE(AL$3,"Q","T"),Inputs!$B$2:$AZ$2,0)),Inputs!$B$2:$B$190,$B144)*Inputs!$D$1),"",SUMIFS(INDEX(Inputs!$B$2:$AZ$190,,MATCH(SUBSTITUTE(AL$3,"Q","T"),Inputs!$B$2:$AZ$2,0)),Inputs!$B$2:$B$190,$B144)*Inputs!$D$1)</f>
        <v>0</v>
      </c>
      <c r="AM144" s="69">
        <f>AL144</f>
        <v>0</v>
      </c>
      <c r="AN144" s="68">
        <f>IF(ISNA(SUMIFS(INDEX(Inputs!$B$2:$AZ$190,,MATCH(SUBSTITUTE(AN$3,"Q","T"),Inputs!$B$2:$AZ$2,0)),Inputs!$B$2:$B$190,$B144)*Inputs!$D$1),"",SUMIFS(INDEX(Inputs!$B$2:$AZ$190,,MATCH(SUBSTITUTE(AN$3,"Q","T"),Inputs!$B$2:$AZ$2,0)),Inputs!$B$2:$B$190,$B144)*Inputs!$D$1)</f>
        <v>0</v>
      </c>
      <c r="AO144" s="68">
        <f>IF(ISNA(SUMIFS(INDEX(Inputs!$B$2:$AZ$190,,MATCH(SUBSTITUTE(AO$3,"Q","T"),Inputs!$B$2:$AZ$2,0)),Inputs!$B$2:$B$190,$B144)*Inputs!$D$1),"",SUMIFS(INDEX(Inputs!$B$2:$AZ$190,,MATCH(SUBSTITUTE(AO$3,"Q","T"),Inputs!$B$2:$AZ$2,0)),Inputs!$B$2:$B$190,$B144)*Inputs!$D$1)</f>
        <v>0</v>
      </c>
      <c r="AP144" s="68">
        <f>IF(ISNA(SUMIFS(INDEX(Inputs!$B$2:$AZ$190,,MATCH(SUBSTITUTE(AP$3,"Q","T"),Inputs!$B$2:$AZ$2,0)),Inputs!$B$2:$B$190,$B144)*Inputs!$D$1),"",SUMIFS(INDEX(Inputs!$B$2:$AZ$190,,MATCH(SUBSTITUTE(AP$3,"Q","T"),Inputs!$B$2:$AZ$2,0)),Inputs!$B$2:$B$190,$B144)*Inputs!$D$1)</f>
        <v>0</v>
      </c>
      <c r="AQ144" s="68">
        <f>IF(ISNA(SUMIFS(INDEX(Inputs!$B$2:$AZ$190,,MATCH(SUBSTITUTE(AQ$3,"Q","T"),Inputs!$B$2:$AZ$2,0)),Inputs!$B$2:$B$190,$B144)*Inputs!$D$1),"",SUMIFS(INDEX(Inputs!$B$2:$AZ$190,,MATCH(SUBSTITUTE(AQ$3,"Q","T"),Inputs!$B$2:$AZ$2,0)),Inputs!$B$2:$B$190,$B144)*Inputs!$D$1)</f>
        <v>0</v>
      </c>
      <c r="AR144" s="69">
        <f>AQ144</f>
        <v>0</v>
      </c>
      <c r="AS144" s="68">
        <f>IF(ISNA(SUMIFS(INDEX(Inputs!$B$2:$AZ$190,,MATCH(SUBSTITUTE(AS$3,"Q","T"),Inputs!$B$2:$AZ$2,0)),Inputs!$B$2:$B$190,$B144)*Inputs!$D$1),"",SUMIFS(INDEX(Inputs!$B$2:$AZ$190,,MATCH(SUBSTITUTE(AS$3,"Q","T"),Inputs!$B$2:$AZ$2,0)),Inputs!$B$2:$B$190,$B144)*Inputs!$D$1)</f>
        <v>0</v>
      </c>
      <c r="AT144" s="68">
        <f>IF(ISNA(SUMIFS(INDEX(Inputs!$B$2:$AZ$190,,MATCH(SUBSTITUTE(AT$3,"Q","T"),Inputs!$B$2:$AZ$2,0)),Inputs!$B$2:$B$190,$B144)*Inputs!$D$1),"",SUMIFS(INDEX(Inputs!$B$2:$AZ$190,,MATCH(SUBSTITUTE(AT$3,"Q","T"),Inputs!$B$2:$AZ$2,0)),Inputs!$B$2:$B$190,$B144)*Inputs!$D$1)</f>
        <v>0</v>
      </c>
      <c r="AU144" s="68">
        <f>IF(ISNA(SUMIFS(INDEX(Inputs!$B$2:$AZ$190,,MATCH(SUBSTITUTE(AU$3,"Q","T"),Inputs!$B$2:$AZ$2,0)),Inputs!$B$2:$B$190,$B144)*Inputs!$D$1),"",SUMIFS(INDEX(Inputs!$B$2:$AZ$190,,MATCH(SUBSTITUTE(AU$3,"Q","T"),Inputs!$B$2:$AZ$2,0)),Inputs!$B$2:$B$190,$B144)*Inputs!$D$1)</f>
        <v>0</v>
      </c>
      <c r="AV144" s="68">
        <f>IF(ISNA(SUMIFS(INDEX(Inputs!$B$2:$AZ$190,,MATCH(SUBSTITUTE(AV$3,"Q","T"),Inputs!$B$2:$AZ$2,0)),Inputs!$B$2:$B$190,$B144)*Inputs!$D$1),"",SUMIFS(INDEX(Inputs!$B$2:$AZ$190,,MATCH(SUBSTITUTE(AV$3,"Q","T"),Inputs!$B$2:$AZ$2,0)),Inputs!$B$2:$B$190,$B144)*Inputs!$D$1)</f>
        <v>0</v>
      </c>
      <c r="AW144" s="69">
        <f>AV144</f>
        <v>0</v>
      </c>
      <c r="AX144" s="68">
        <f>IF(ISNA(SUMIFS(INDEX(Inputs!$B$2:$AZ$190,,MATCH(SUBSTITUTE(AX$3,"Q","T"),Inputs!$B$2:$AZ$2,0)),Inputs!$B$2:$B$190,$B144)*Inputs!$D$1),"",SUMIFS(INDEX(Inputs!$B$2:$AZ$190,,MATCH(SUBSTITUTE(AX$3,"Q","T"),Inputs!$B$2:$AZ$2,0)),Inputs!$B$2:$B$190,$B144)*Inputs!$D$1)</f>
        <v>0</v>
      </c>
      <c r="AY144" s="68">
        <f>IF(ISNA(SUMIFS(INDEX(Inputs!$B$2:$AZ$190,,MATCH(SUBSTITUTE(AY$3,"Q","T"),Inputs!$B$2:$AZ$2,0)),Inputs!$B$2:$B$190,$B144)*Inputs!$D$1),"",SUMIFS(INDEX(Inputs!$B$2:$AZ$190,,MATCH(SUBSTITUTE(AY$3,"Q","T"),Inputs!$B$2:$AZ$2,0)),Inputs!$B$2:$B$190,$B144)*Inputs!$D$1)</f>
        <v>0</v>
      </c>
      <c r="AZ144" s="68">
        <f>IF(ISNA(SUMIFS(INDEX(Inputs!$B$2:$AZ$190,,MATCH(SUBSTITUTE(AZ$3,"Q","T"),Inputs!$B$2:$AZ$2,0)),Inputs!$B$2:$B$190,$B144)*Inputs!$D$1),"",SUMIFS(INDEX(Inputs!$B$2:$AZ$190,,MATCH(SUBSTITUTE(AZ$3,"Q","T"),Inputs!$B$2:$AZ$2,0)),Inputs!$B$2:$B$190,$B144)*Inputs!$D$1)</f>
        <v>0</v>
      </c>
      <c r="BA144" s="68">
        <f>IF(ISNA(SUMIFS(INDEX(Inputs!$B$2:$AZ$190,,MATCH(SUBSTITUTE(BA$3,"Q","T"),Inputs!$B$2:$AZ$2,0)),Inputs!$B$2:$B$190,$B144)*Inputs!$D$1),"",SUMIFS(INDEX(Inputs!$B$2:$AZ$190,,MATCH(SUBSTITUTE(BA$3,"Q","T"),Inputs!$B$2:$AZ$2,0)),Inputs!$B$2:$B$190,$B144)*Inputs!$D$1)</f>
        <v>0</v>
      </c>
      <c r="BB144" s="69">
        <f>BA144</f>
        <v>0</v>
      </c>
      <c r="BC144" s="68">
        <f>IF(ISNA(SUMIFS(INDEX(Inputs!$B$2:$AZ$190,,MATCH(SUBSTITUTE(BC$3,"Q","T"),Inputs!$B$2:$AZ$2,0)),Inputs!$B$2:$B$190,$B144)*Inputs!$D$1),"",SUMIFS(INDEX(Inputs!$B$2:$AZ$190,,MATCH(SUBSTITUTE(BC$3,"Q","T"),Inputs!$B$2:$AZ$2,0)),Inputs!$B$2:$B$190,$B144)*Inputs!$D$1)</f>
        <v>0</v>
      </c>
      <c r="BD144" s="68">
        <f>IF(ISNA(SUMIFS(INDEX(Inputs!$B$2:$AZ$190,,MATCH(SUBSTITUTE(BD$3,"Q","T"),Inputs!$B$2:$AZ$2,0)),Inputs!$B$2:$B$190,$B144)*Inputs!$D$1),"",SUMIFS(INDEX(Inputs!$B$2:$AZ$190,,MATCH(SUBSTITUTE(BD$3,"Q","T"),Inputs!$B$2:$AZ$2,0)),Inputs!$B$2:$B$190,$B144)*Inputs!$D$1)</f>
        <v>0</v>
      </c>
      <c r="BE144" s="68">
        <f>IF(ISNA(SUMIFS(INDEX(Inputs!$B$2:$AZ$190,,MATCH(SUBSTITUTE(BE$3,"Q","T"),Inputs!$B$2:$AZ$2,0)),Inputs!$B$2:$B$190,$B144)*Inputs!$D$1),"",SUMIFS(INDEX(Inputs!$B$2:$AZ$190,,MATCH(SUBSTITUTE(BE$3,"Q","T"),Inputs!$B$2:$AZ$2,0)),Inputs!$B$2:$B$190,$B144)*Inputs!$D$1)</f>
        <v>0</v>
      </c>
      <c r="BF144" s="68">
        <f>IF(ISNA(SUMIFS(INDEX(Inputs!$B$2:$AZ$190,,MATCH(SUBSTITUTE(BF$3,"Q","T"),Inputs!$B$2:$AZ$2,0)),Inputs!$B$2:$B$190,$B144)*Inputs!$D$1),"",SUMIFS(INDEX(Inputs!$B$2:$AZ$190,,MATCH(SUBSTITUTE(BF$3,"Q","T"),Inputs!$B$2:$AZ$2,0)),Inputs!$B$2:$B$190,$B144)*Inputs!$D$1)</f>
        <v>0</v>
      </c>
      <c r="BG144" s="69">
        <f>BF144</f>
        <v>0</v>
      </c>
    </row>
    <row r="145">
      <c r="B145" s="56" t="inlineStr">
        <is>
          <t>cet1r_rep</t>
        </is>
      </c>
      <c r="C145" s="11" t="inlineStr">
        <is>
          <t>Índice CET1 reportado — Standardized (%)</t>
        </is>
      </c>
      <c r="D145" s="12" t="inlineStr">
        <is>
          <t>CET1 ratio — Standardized</t>
        </is>
      </c>
      <c r="E145" s="68">
        <f>IF(ISNA(SUMIFS(INDEX(Inputs!$B$2:$AZ$190,,MATCH(SUBSTITUTE(E$3,"Q","T"),Inputs!$B$2:$AZ$2,0)),Inputs!$B$2:$B$190,$B145)*Inputs!$D$1),"",SUMIFS(INDEX(Inputs!$B$2:$AZ$190,,MATCH(SUBSTITUTE(E$3,"Q","T"),Inputs!$B$2:$AZ$2,0)),Inputs!$B$2:$B$190,$B145)*Inputs!$D$1)</f>
        <v>0</v>
      </c>
      <c r="F145" s="68">
        <f>IF(ISNA(SUMIFS(INDEX(Inputs!$B$2:$AZ$190,,MATCH(SUBSTITUTE(F$3,"Q","T"),Inputs!$B$2:$AZ$2,0)),Inputs!$B$2:$B$190,$B145)*Inputs!$D$1),"",SUMIFS(INDEX(Inputs!$B$2:$AZ$190,,MATCH(SUBSTITUTE(F$3,"Q","T"),Inputs!$B$2:$AZ$2,0)),Inputs!$B$2:$B$190,$B145)*Inputs!$D$1)</f>
        <v>0</v>
      </c>
      <c r="G145" s="68">
        <f>IF(ISNA(SUMIFS(INDEX(Inputs!$B$2:$AZ$190,,MATCH(SUBSTITUTE(G$3,"Q","T"),Inputs!$B$2:$AZ$2,0)),Inputs!$B$2:$B$190,$B145)*Inputs!$D$1),"",SUMIFS(INDEX(Inputs!$B$2:$AZ$190,,MATCH(SUBSTITUTE(G$3,"Q","T"),Inputs!$B$2:$AZ$2,0)),Inputs!$B$2:$B$190,$B145)*Inputs!$D$1)</f>
        <v>0</v>
      </c>
      <c r="H145" s="68">
        <f>IF(ISNA(SUMIFS(INDEX(Inputs!$B$2:$AZ$190,,MATCH(SUBSTITUTE(H$3,"Q","T"),Inputs!$B$2:$AZ$2,0)),Inputs!$B$2:$B$190,$B145)*Inputs!$D$1),"",SUMIFS(INDEX(Inputs!$B$2:$AZ$190,,MATCH(SUBSTITUTE(H$3,"Q","T"),Inputs!$B$2:$AZ$2,0)),Inputs!$B$2:$B$190,$B145)*Inputs!$D$1)</f>
        <v>0</v>
      </c>
      <c r="I145" s="69">
        <f>H145</f>
        <v>0</v>
      </c>
      <c r="J145" s="68">
        <f>IF(ISNA(SUMIFS(INDEX(Inputs!$B$2:$AZ$190,,MATCH(SUBSTITUTE(J$3,"Q","T"),Inputs!$B$2:$AZ$2,0)),Inputs!$B$2:$B$190,$B145)*Inputs!$D$1),"",SUMIFS(INDEX(Inputs!$B$2:$AZ$190,,MATCH(SUBSTITUTE(J$3,"Q","T"),Inputs!$B$2:$AZ$2,0)),Inputs!$B$2:$B$190,$B145)*Inputs!$D$1)</f>
        <v>0</v>
      </c>
      <c r="K145" s="68">
        <f>IF(ISNA(SUMIFS(INDEX(Inputs!$B$2:$AZ$190,,MATCH(SUBSTITUTE(K$3,"Q","T"),Inputs!$B$2:$AZ$2,0)),Inputs!$B$2:$B$190,$B145)*Inputs!$D$1),"",SUMIFS(INDEX(Inputs!$B$2:$AZ$190,,MATCH(SUBSTITUTE(K$3,"Q","T"),Inputs!$B$2:$AZ$2,0)),Inputs!$B$2:$B$190,$B145)*Inputs!$D$1)</f>
        <v>0</v>
      </c>
      <c r="L145" s="68">
        <f>IF(ISNA(SUMIFS(INDEX(Inputs!$B$2:$AZ$190,,MATCH(SUBSTITUTE(L$3,"Q","T"),Inputs!$B$2:$AZ$2,0)),Inputs!$B$2:$B$190,$B145)*Inputs!$D$1),"",SUMIFS(INDEX(Inputs!$B$2:$AZ$190,,MATCH(SUBSTITUTE(L$3,"Q","T"),Inputs!$B$2:$AZ$2,0)),Inputs!$B$2:$B$190,$B145)*Inputs!$D$1)</f>
        <v>0</v>
      </c>
      <c r="M145" s="68">
        <f>IF(ISNA(SUMIFS(INDEX(Inputs!$B$2:$AZ$190,,MATCH(SUBSTITUTE(M$3,"Q","T"),Inputs!$B$2:$AZ$2,0)),Inputs!$B$2:$B$190,$B145)*Inputs!$D$1),"",SUMIFS(INDEX(Inputs!$B$2:$AZ$190,,MATCH(SUBSTITUTE(M$3,"Q","T"),Inputs!$B$2:$AZ$2,0)),Inputs!$B$2:$B$190,$B145)*Inputs!$D$1)</f>
        <v>0</v>
      </c>
      <c r="N145" s="69">
        <f>M145</f>
        <v>0</v>
      </c>
      <c r="O145" s="68">
        <f>IF(ISNA(SUMIFS(INDEX(Inputs!$B$2:$AZ$190,,MATCH(SUBSTITUTE(O$3,"Q","T"),Inputs!$B$2:$AZ$2,0)),Inputs!$B$2:$B$190,$B145)*Inputs!$D$1),"",SUMIFS(INDEX(Inputs!$B$2:$AZ$190,,MATCH(SUBSTITUTE(O$3,"Q","T"),Inputs!$B$2:$AZ$2,0)),Inputs!$B$2:$B$190,$B145)*Inputs!$D$1)</f>
        <v>0</v>
      </c>
      <c r="P145" s="68">
        <f>IF(ISNA(SUMIFS(INDEX(Inputs!$B$2:$AZ$190,,MATCH(SUBSTITUTE(P$3,"Q","T"),Inputs!$B$2:$AZ$2,0)),Inputs!$B$2:$B$190,$B145)*Inputs!$D$1),"",SUMIFS(INDEX(Inputs!$B$2:$AZ$190,,MATCH(SUBSTITUTE(P$3,"Q","T"),Inputs!$B$2:$AZ$2,0)),Inputs!$B$2:$B$190,$B145)*Inputs!$D$1)</f>
        <v>0</v>
      </c>
      <c r="Q145" s="68">
        <f>IF(ISNA(SUMIFS(INDEX(Inputs!$B$2:$AZ$190,,MATCH(SUBSTITUTE(Q$3,"Q","T"),Inputs!$B$2:$AZ$2,0)),Inputs!$B$2:$B$190,$B145)*Inputs!$D$1),"",SUMIFS(INDEX(Inputs!$B$2:$AZ$190,,MATCH(SUBSTITUTE(Q$3,"Q","T"),Inputs!$B$2:$AZ$2,0)),Inputs!$B$2:$B$190,$B145)*Inputs!$D$1)</f>
        <v>0</v>
      </c>
      <c r="R145" s="68">
        <f>IF(ISNA(SUMIFS(INDEX(Inputs!$B$2:$AZ$190,,MATCH(SUBSTITUTE(R$3,"Q","T"),Inputs!$B$2:$AZ$2,0)),Inputs!$B$2:$B$190,$B145)*Inputs!$D$1),"",SUMIFS(INDEX(Inputs!$B$2:$AZ$190,,MATCH(SUBSTITUTE(R$3,"Q","T"),Inputs!$B$2:$AZ$2,0)),Inputs!$B$2:$B$190,$B145)*Inputs!$D$1)</f>
        <v>0</v>
      </c>
      <c r="S145" s="69">
        <f>R145</f>
        <v>0</v>
      </c>
      <c r="T145" s="68">
        <f>IF(ISNA(SUMIFS(INDEX(Inputs!$B$2:$AZ$190,,MATCH(SUBSTITUTE(T$3,"Q","T"),Inputs!$B$2:$AZ$2,0)),Inputs!$B$2:$B$190,$B145)*Inputs!$D$1),"",SUMIFS(INDEX(Inputs!$B$2:$AZ$190,,MATCH(SUBSTITUTE(T$3,"Q","T"),Inputs!$B$2:$AZ$2,0)),Inputs!$B$2:$B$190,$B145)*Inputs!$D$1)</f>
        <v>0</v>
      </c>
      <c r="U145" s="68">
        <f>IF(ISNA(SUMIFS(INDEX(Inputs!$B$2:$AZ$190,,MATCH(SUBSTITUTE(U$3,"Q","T"),Inputs!$B$2:$AZ$2,0)),Inputs!$B$2:$B$190,$B145)*Inputs!$D$1),"",SUMIFS(INDEX(Inputs!$B$2:$AZ$190,,MATCH(SUBSTITUTE(U$3,"Q","T"),Inputs!$B$2:$AZ$2,0)),Inputs!$B$2:$B$190,$B145)*Inputs!$D$1)</f>
        <v>0</v>
      </c>
      <c r="V145" s="68">
        <f>IF(ISNA(SUMIFS(INDEX(Inputs!$B$2:$AZ$190,,MATCH(SUBSTITUTE(V$3,"Q","T"),Inputs!$B$2:$AZ$2,0)),Inputs!$B$2:$B$190,$B145)*Inputs!$D$1),"",SUMIFS(INDEX(Inputs!$B$2:$AZ$190,,MATCH(SUBSTITUTE(V$3,"Q","T"),Inputs!$B$2:$AZ$2,0)),Inputs!$B$2:$B$190,$B145)*Inputs!$D$1)</f>
        <v>0</v>
      </c>
      <c r="W145" s="68">
        <f>IF(ISNA(SUMIFS(INDEX(Inputs!$B$2:$AZ$190,,MATCH(SUBSTITUTE(W$3,"Q","T"),Inputs!$B$2:$AZ$2,0)),Inputs!$B$2:$B$190,$B145)*Inputs!$D$1),"",SUMIFS(INDEX(Inputs!$B$2:$AZ$190,,MATCH(SUBSTITUTE(W$3,"Q","T"),Inputs!$B$2:$AZ$2,0)),Inputs!$B$2:$B$190,$B145)*Inputs!$D$1)</f>
        <v>0</v>
      </c>
      <c r="X145" s="69">
        <f>W145</f>
        <v>0</v>
      </c>
      <c r="Y145" s="68">
        <f>IF(ISNA(SUMIFS(INDEX(Inputs!$B$2:$AZ$190,,MATCH(SUBSTITUTE(Y$3,"Q","T"),Inputs!$B$2:$AZ$2,0)),Inputs!$B$2:$B$190,$B145)*Inputs!$D$1),"",SUMIFS(INDEX(Inputs!$B$2:$AZ$190,,MATCH(SUBSTITUTE(Y$3,"Q","T"),Inputs!$B$2:$AZ$2,0)),Inputs!$B$2:$B$190,$B145)*Inputs!$D$1)</f>
        <v>0</v>
      </c>
      <c r="Z145" s="68">
        <f>IF(ISNA(SUMIFS(INDEX(Inputs!$B$2:$AZ$190,,MATCH(SUBSTITUTE(Z$3,"Q","T"),Inputs!$B$2:$AZ$2,0)),Inputs!$B$2:$B$190,$B145)*Inputs!$D$1),"",SUMIFS(INDEX(Inputs!$B$2:$AZ$190,,MATCH(SUBSTITUTE(Z$3,"Q","T"),Inputs!$B$2:$AZ$2,0)),Inputs!$B$2:$B$190,$B145)*Inputs!$D$1)</f>
        <v>0</v>
      </c>
      <c r="AA145" s="68">
        <f>IF(ISNA(SUMIFS(INDEX(Inputs!$B$2:$AZ$190,,MATCH(SUBSTITUTE(AA$3,"Q","T"),Inputs!$B$2:$AZ$2,0)),Inputs!$B$2:$B$190,$B145)*Inputs!$D$1),"",SUMIFS(INDEX(Inputs!$B$2:$AZ$190,,MATCH(SUBSTITUTE(AA$3,"Q","T"),Inputs!$B$2:$AZ$2,0)),Inputs!$B$2:$B$190,$B145)*Inputs!$D$1)</f>
        <v>0</v>
      </c>
      <c r="AB145" s="68">
        <f>IF(ISNA(SUMIFS(INDEX(Inputs!$B$2:$AZ$190,,MATCH(SUBSTITUTE(AB$3,"Q","T"),Inputs!$B$2:$AZ$2,0)),Inputs!$B$2:$B$190,$B145)*Inputs!$D$1),"",SUMIFS(INDEX(Inputs!$B$2:$AZ$190,,MATCH(SUBSTITUTE(AB$3,"Q","T"),Inputs!$B$2:$AZ$2,0)),Inputs!$B$2:$B$190,$B145)*Inputs!$D$1)</f>
        <v>0</v>
      </c>
      <c r="AC145" s="69">
        <f>AB145</f>
        <v>0</v>
      </c>
      <c r="AD145" s="68">
        <f>IF(ISNA(SUMIFS(INDEX(Inputs!$B$2:$AZ$190,,MATCH(SUBSTITUTE(AD$3,"Q","T"),Inputs!$B$2:$AZ$2,0)),Inputs!$B$2:$B$190,$B145)*Inputs!$D$1),"",SUMIFS(INDEX(Inputs!$B$2:$AZ$190,,MATCH(SUBSTITUTE(AD$3,"Q","T"),Inputs!$B$2:$AZ$2,0)),Inputs!$B$2:$B$190,$B145)*Inputs!$D$1)</f>
        <v>0</v>
      </c>
      <c r="AE145" s="68">
        <f>IF(ISNA(SUMIFS(INDEX(Inputs!$B$2:$AZ$190,,MATCH(SUBSTITUTE(AE$3,"Q","T"),Inputs!$B$2:$AZ$2,0)),Inputs!$B$2:$B$190,$B145)*Inputs!$D$1),"",SUMIFS(INDEX(Inputs!$B$2:$AZ$190,,MATCH(SUBSTITUTE(AE$3,"Q","T"),Inputs!$B$2:$AZ$2,0)),Inputs!$B$2:$B$190,$B145)*Inputs!$D$1)</f>
        <v>0</v>
      </c>
      <c r="AF145" s="68">
        <f>IF(ISNA(SUMIFS(INDEX(Inputs!$B$2:$AZ$190,,MATCH(SUBSTITUTE(AF$3,"Q","T"),Inputs!$B$2:$AZ$2,0)),Inputs!$B$2:$B$190,$B145)*Inputs!$D$1),"",SUMIFS(INDEX(Inputs!$B$2:$AZ$190,,MATCH(SUBSTITUTE(AF$3,"Q","T"),Inputs!$B$2:$AZ$2,0)),Inputs!$B$2:$B$190,$B145)*Inputs!$D$1)</f>
        <v>0</v>
      </c>
      <c r="AG145" s="68">
        <f>IF(ISNA(SUMIFS(INDEX(Inputs!$B$2:$AZ$190,,MATCH(SUBSTITUTE(AG$3,"Q","T"),Inputs!$B$2:$AZ$2,0)),Inputs!$B$2:$B$190,$B145)*Inputs!$D$1),"",SUMIFS(INDEX(Inputs!$B$2:$AZ$190,,MATCH(SUBSTITUTE(AG$3,"Q","T"),Inputs!$B$2:$AZ$2,0)),Inputs!$B$2:$B$190,$B145)*Inputs!$D$1)</f>
        <v>0</v>
      </c>
      <c r="AH145" s="69">
        <f>AG145</f>
        <v>0</v>
      </c>
      <c r="AI145" s="68">
        <f>IF(ISNA(SUMIFS(INDEX(Inputs!$B$2:$AZ$190,,MATCH(SUBSTITUTE(AI$3,"Q","T"),Inputs!$B$2:$AZ$2,0)),Inputs!$B$2:$B$190,$B145)*Inputs!$D$1),"",SUMIFS(INDEX(Inputs!$B$2:$AZ$190,,MATCH(SUBSTITUTE(AI$3,"Q","T"),Inputs!$B$2:$AZ$2,0)),Inputs!$B$2:$B$190,$B145)*Inputs!$D$1)</f>
        <v>0</v>
      </c>
      <c r="AJ145" s="68">
        <f>IF(ISNA(SUMIFS(INDEX(Inputs!$B$2:$AZ$190,,MATCH(SUBSTITUTE(AJ$3,"Q","T"),Inputs!$B$2:$AZ$2,0)),Inputs!$B$2:$B$190,$B145)*Inputs!$D$1),"",SUMIFS(INDEX(Inputs!$B$2:$AZ$190,,MATCH(SUBSTITUTE(AJ$3,"Q","T"),Inputs!$B$2:$AZ$2,0)),Inputs!$B$2:$B$190,$B145)*Inputs!$D$1)</f>
        <v>0</v>
      </c>
      <c r="AK145" s="68">
        <f>IF(ISNA(SUMIFS(INDEX(Inputs!$B$2:$AZ$190,,MATCH(SUBSTITUTE(AK$3,"Q","T"),Inputs!$B$2:$AZ$2,0)),Inputs!$B$2:$B$190,$B145)*Inputs!$D$1),"",SUMIFS(INDEX(Inputs!$B$2:$AZ$190,,MATCH(SUBSTITUTE(AK$3,"Q","T"),Inputs!$B$2:$AZ$2,0)),Inputs!$B$2:$B$190,$B145)*Inputs!$D$1)</f>
        <v>0</v>
      </c>
      <c r="AL145" s="68">
        <f>IF(ISNA(SUMIFS(INDEX(Inputs!$B$2:$AZ$190,,MATCH(SUBSTITUTE(AL$3,"Q","T"),Inputs!$B$2:$AZ$2,0)),Inputs!$B$2:$B$190,$B145)*Inputs!$D$1),"",SUMIFS(INDEX(Inputs!$B$2:$AZ$190,,MATCH(SUBSTITUTE(AL$3,"Q","T"),Inputs!$B$2:$AZ$2,0)),Inputs!$B$2:$B$190,$B145)*Inputs!$D$1)</f>
        <v>0</v>
      </c>
      <c r="AM145" s="69">
        <f>AL145</f>
        <v>0</v>
      </c>
      <c r="AN145" s="68">
        <f>IF(ISNA(SUMIFS(INDEX(Inputs!$B$2:$AZ$190,,MATCH(SUBSTITUTE(AN$3,"Q","T"),Inputs!$B$2:$AZ$2,0)),Inputs!$B$2:$B$190,$B145)*Inputs!$D$1),"",SUMIFS(INDEX(Inputs!$B$2:$AZ$190,,MATCH(SUBSTITUTE(AN$3,"Q","T"),Inputs!$B$2:$AZ$2,0)),Inputs!$B$2:$B$190,$B145)*Inputs!$D$1)</f>
        <v>0</v>
      </c>
      <c r="AO145" s="68">
        <f>IF(ISNA(SUMIFS(INDEX(Inputs!$B$2:$AZ$190,,MATCH(SUBSTITUTE(AO$3,"Q","T"),Inputs!$B$2:$AZ$2,0)),Inputs!$B$2:$B$190,$B145)*Inputs!$D$1),"",SUMIFS(INDEX(Inputs!$B$2:$AZ$190,,MATCH(SUBSTITUTE(AO$3,"Q","T"),Inputs!$B$2:$AZ$2,0)),Inputs!$B$2:$B$190,$B145)*Inputs!$D$1)</f>
        <v>0</v>
      </c>
      <c r="AP145" s="68">
        <f>IF(ISNA(SUMIFS(INDEX(Inputs!$B$2:$AZ$190,,MATCH(SUBSTITUTE(AP$3,"Q","T"),Inputs!$B$2:$AZ$2,0)),Inputs!$B$2:$B$190,$B145)*Inputs!$D$1),"",SUMIFS(INDEX(Inputs!$B$2:$AZ$190,,MATCH(SUBSTITUTE(AP$3,"Q","T"),Inputs!$B$2:$AZ$2,0)),Inputs!$B$2:$B$190,$B145)*Inputs!$D$1)</f>
        <v>0</v>
      </c>
      <c r="AQ145" s="68">
        <f>IF(ISNA(SUMIFS(INDEX(Inputs!$B$2:$AZ$190,,MATCH(SUBSTITUTE(AQ$3,"Q","T"),Inputs!$B$2:$AZ$2,0)),Inputs!$B$2:$B$190,$B145)*Inputs!$D$1),"",SUMIFS(INDEX(Inputs!$B$2:$AZ$190,,MATCH(SUBSTITUTE(AQ$3,"Q","T"),Inputs!$B$2:$AZ$2,0)),Inputs!$B$2:$B$190,$B145)*Inputs!$D$1)</f>
        <v>0</v>
      </c>
      <c r="AR145" s="69">
        <f>AQ145</f>
        <v>0</v>
      </c>
      <c r="AS145" s="68">
        <f>IF(ISNA(SUMIFS(INDEX(Inputs!$B$2:$AZ$190,,MATCH(SUBSTITUTE(AS$3,"Q","T"),Inputs!$B$2:$AZ$2,0)),Inputs!$B$2:$B$190,$B145)*Inputs!$D$1),"",SUMIFS(INDEX(Inputs!$B$2:$AZ$190,,MATCH(SUBSTITUTE(AS$3,"Q","T"),Inputs!$B$2:$AZ$2,0)),Inputs!$B$2:$B$190,$B145)*Inputs!$D$1)</f>
        <v>0</v>
      </c>
      <c r="AT145" s="68">
        <f>IF(ISNA(SUMIFS(INDEX(Inputs!$B$2:$AZ$190,,MATCH(SUBSTITUTE(AT$3,"Q","T"),Inputs!$B$2:$AZ$2,0)),Inputs!$B$2:$B$190,$B145)*Inputs!$D$1),"",SUMIFS(INDEX(Inputs!$B$2:$AZ$190,,MATCH(SUBSTITUTE(AT$3,"Q","T"),Inputs!$B$2:$AZ$2,0)),Inputs!$B$2:$B$190,$B145)*Inputs!$D$1)</f>
        <v>0</v>
      </c>
      <c r="AU145" s="68">
        <f>IF(ISNA(SUMIFS(INDEX(Inputs!$B$2:$AZ$190,,MATCH(SUBSTITUTE(AU$3,"Q","T"),Inputs!$B$2:$AZ$2,0)),Inputs!$B$2:$B$190,$B145)*Inputs!$D$1),"",SUMIFS(INDEX(Inputs!$B$2:$AZ$190,,MATCH(SUBSTITUTE(AU$3,"Q","T"),Inputs!$B$2:$AZ$2,0)),Inputs!$B$2:$B$190,$B145)*Inputs!$D$1)</f>
        <v>0</v>
      </c>
      <c r="AV145" s="68">
        <f>IF(ISNA(SUMIFS(INDEX(Inputs!$B$2:$AZ$190,,MATCH(SUBSTITUTE(AV$3,"Q","T"),Inputs!$B$2:$AZ$2,0)),Inputs!$B$2:$B$190,$B145)*Inputs!$D$1),"",SUMIFS(INDEX(Inputs!$B$2:$AZ$190,,MATCH(SUBSTITUTE(AV$3,"Q","T"),Inputs!$B$2:$AZ$2,0)),Inputs!$B$2:$B$190,$B145)*Inputs!$D$1)</f>
        <v>0</v>
      </c>
      <c r="AW145" s="69">
        <f>AV145</f>
        <v>0</v>
      </c>
      <c r="AX145" s="68">
        <f>IF(ISNA(SUMIFS(INDEX(Inputs!$B$2:$AZ$190,,MATCH(SUBSTITUTE(AX$3,"Q","T"),Inputs!$B$2:$AZ$2,0)),Inputs!$B$2:$B$190,$B145)*Inputs!$D$1),"",SUMIFS(INDEX(Inputs!$B$2:$AZ$190,,MATCH(SUBSTITUTE(AX$3,"Q","T"),Inputs!$B$2:$AZ$2,0)),Inputs!$B$2:$B$190,$B145)*Inputs!$D$1)</f>
        <v>0</v>
      </c>
      <c r="AY145" s="68">
        <f>IF(ISNA(SUMIFS(INDEX(Inputs!$B$2:$AZ$190,,MATCH(SUBSTITUTE(AY$3,"Q","T"),Inputs!$B$2:$AZ$2,0)),Inputs!$B$2:$B$190,$B145)*Inputs!$D$1),"",SUMIFS(INDEX(Inputs!$B$2:$AZ$190,,MATCH(SUBSTITUTE(AY$3,"Q","T"),Inputs!$B$2:$AZ$2,0)),Inputs!$B$2:$B$190,$B145)*Inputs!$D$1)</f>
        <v>0</v>
      </c>
      <c r="AZ145" s="68">
        <f>IF(ISNA(SUMIFS(INDEX(Inputs!$B$2:$AZ$190,,MATCH(SUBSTITUTE(AZ$3,"Q","T"),Inputs!$B$2:$AZ$2,0)),Inputs!$B$2:$B$190,$B145)*Inputs!$D$1),"",SUMIFS(INDEX(Inputs!$B$2:$AZ$190,,MATCH(SUBSTITUTE(AZ$3,"Q","T"),Inputs!$B$2:$AZ$2,0)),Inputs!$B$2:$B$190,$B145)*Inputs!$D$1)</f>
        <v>0</v>
      </c>
      <c r="BA145" s="68">
        <f>IF(ISNA(SUMIFS(INDEX(Inputs!$B$2:$AZ$190,,MATCH(SUBSTITUTE(BA$3,"Q","T"),Inputs!$B$2:$AZ$2,0)),Inputs!$B$2:$B$190,$B145)*Inputs!$D$1),"",SUMIFS(INDEX(Inputs!$B$2:$AZ$190,,MATCH(SUBSTITUTE(BA$3,"Q","T"),Inputs!$B$2:$AZ$2,0)),Inputs!$B$2:$B$190,$B145)*Inputs!$D$1)</f>
        <v>0</v>
      </c>
      <c r="BB145" s="69">
        <f>BA145</f>
        <v>0</v>
      </c>
      <c r="BC145" s="68">
        <f>IF(ISNA(SUMIFS(INDEX(Inputs!$B$2:$AZ$190,,MATCH(SUBSTITUTE(BC$3,"Q","T"),Inputs!$B$2:$AZ$2,0)),Inputs!$B$2:$B$190,$B145)*Inputs!$D$1),"",SUMIFS(INDEX(Inputs!$B$2:$AZ$190,,MATCH(SUBSTITUTE(BC$3,"Q","T"),Inputs!$B$2:$AZ$2,0)),Inputs!$B$2:$B$190,$B145)*Inputs!$D$1)</f>
        <v>0</v>
      </c>
      <c r="BD145" s="68">
        <f>IF(ISNA(SUMIFS(INDEX(Inputs!$B$2:$AZ$190,,MATCH(SUBSTITUTE(BD$3,"Q","T"),Inputs!$B$2:$AZ$2,0)),Inputs!$B$2:$B$190,$B145)*Inputs!$D$1),"",SUMIFS(INDEX(Inputs!$B$2:$AZ$190,,MATCH(SUBSTITUTE(BD$3,"Q","T"),Inputs!$B$2:$AZ$2,0)),Inputs!$B$2:$B$190,$B145)*Inputs!$D$1)</f>
        <v>0</v>
      </c>
      <c r="BE145" s="68">
        <f>IF(ISNA(SUMIFS(INDEX(Inputs!$B$2:$AZ$190,,MATCH(SUBSTITUTE(BE$3,"Q","T"),Inputs!$B$2:$AZ$2,0)),Inputs!$B$2:$B$190,$B145)*Inputs!$D$1),"",SUMIFS(INDEX(Inputs!$B$2:$AZ$190,,MATCH(SUBSTITUTE(BE$3,"Q","T"),Inputs!$B$2:$AZ$2,0)),Inputs!$B$2:$B$190,$B145)*Inputs!$D$1)</f>
        <v>0</v>
      </c>
      <c r="BF145" s="68">
        <f>IF(ISNA(SUMIFS(INDEX(Inputs!$B$2:$AZ$190,,MATCH(SUBSTITUTE(BF$3,"Q","T"),Inputs!$B$2:$AZ$2,0)),Inputs!$B$2:$B$190,$B145)*Inputs!$D$1),"",SUMIFS(INDEX(Inputs!$B$2:$AZ$190,,MATCH(SUBSTITUTE(BF$3,"Q","T"),Inputs!$B$2:$AZ$2,0)),Inputs!$B$2:$B$190,$B145)*Inputs!$D$1)</f>
        <v>0</v>
      </c>
      <c r="BG145" s="69">
        <f>BF145</f>
        <v>0</v>
      </c>
    </row>
    <row r="146">
      <c r="B146" s="56" t="inlineStr">
        <is>
          <t>t1lev</t>
        </is>
      </c>
      <c r="C146" s="11" t="inlineStr">
        <is>
          <t>Tier 1 leverage ratio (%)</t>
        </is>
      </c>
      <c r="D146" s="12" t="inlineStr">
        <is>
          <t>Tier 1 leverage ratio</t>
        </is>
      </c>
      <c r="E146" s="68">
        <f>IF(ISNA(SUMIFS(INDEX(Inputs!$B$2:$AZ$190,,MATCH(SUBSTITUTE(E$3,"Q","T"),Inputs!$B$2:$AZ$2,0)),Inputs!$B$2:$B$190,$B146)*Inputs!$D$1),"",SUMIFS(INDEX(Inputs!$B$2:$AZ$190,,MATCH(SUBSTITUTE(E$3,"Q","T"),Inputs!$B$2:$AZ$2,0)),Inputs!$B$2:$B$190,$B146)*Inputs!$D$1)</f>
        <v>0</v>
      </c>
      <c r="F146" s="68">
        <f>IF(ISNA(SUMIFS(INDEX(Inputs!$B$2:$AZ$190,,MATCH(SUBSTITUTE(F$3,"Q","T"),Inputs!$B$2:$AZ$2,0)),Inputs!$B$2:$B$190,$B146)*Inputs!$D$1),"",SUMIFS(INDEX(Inputs!$B$2:$AZ$190,,MATCH(SUBSTITUTE(F$3,"Q","T"),Inputs!$B$2:$AZ$2,0)),Inputs!$B$2:$B$190,$B146)*Inputs!$D$1)</f>
        <v>0</v>
      </c>
      <c r="G146" s="68">
        <f>IF(ISNA(SUMIFS(INDEX(Inputs!$B$2:$AZ$190,,MATCH(SUBSTITUTE(G$3,"Q","T"),Inputs!$B$2:$AZ$2,0)),Inputs!$B$2:$B$190,$B146)*Inputs!$D$1),"",SUMIFS(INDEX(Inputs!$B$2:$AZ$190,,MATCH(SUBSTITUTE(G$3,"Q","T"),Inputs!$B$2:$AZ$2,0)),Inputs!$B$2:$B$190,$B146)*Inputs!$D$1)</f>
        <v>0</v>
      </c>
      <c r="H146" s="68">
        <f>IF(ISNA(SUMIFS(INDEX(Inputs!$B$2:$AZ$190,,MATCH(SUBSTITUTE(H$3,"Q","T"),Inputs!$B$2:$AZ$2,0)),Inputs!$B$2:$B$190,$B146)*Inputs!$D$1),"",SUMIFS(INDEX(Inputs!$B$2:$AZ$190,,MATCH(SUBSTITUTE(H$3,"Q","T"),Inputs!$B$2:$AZ$2,0)),Inputs!$B$2:$B$190,$B146)*Inputs!$D$1)</f>
        <v>0</v>
      </c>
      <c r="I146" s="69">
        <f>H146</f>
        <v>0</v>
      </c>
      <c r="J146" s="68">
        <f>IF(ISNA(SUMIFS(INDEX(Inputs!$B$2:$AZ$190,,MATCH(SUBSTITUTE(J$3,"Q","T"),Inputs!$B$2:$AZ$2,0)),Inputs!$B$2:$B$190,$B146)*Inputs!$D$1),"",SUMIFS(INDEX(Inputs!$B$2:$AZ$190,,MATCH(SUBSTITUTE(J$3,"Q","T"),Inputs!$B$2:$AZ$2,0)),Inputs!$B$2:$B$190,$B146)*Inputs!$D$1)</f>
        <v>0</v>
      </c>
      <c r="K146" s="68">
        <f>IF(ISNA(SUMIFS(INDEX(Inputs!$B$2:$AZ$190,,MATCH(SUBSTITUTE(K$3,"Q","T"),Inputs!$B$2:$AZ$2,0)),Inputs!$B$2:$B$190,$B146)*Inputs!$D$1),"",SUMIFS(INDEX(Inputs!$B$2:$AZ$190,,MATCH(SUBSTITUTE(K$3,"Q","T"),Inputs!$B$2:$AZ$2,0)),Inputs!$B$2:$B$190,$B146)*Inputs!$D$1)</f>
        <v>0</v>
      </c>
      <c r="L146" s="68">
        <f>IF(ISNA(SUMIFS(INDEX(Inputs!$B$2:$AZ$190,,MATCH(SUBSTITUTE(L$3,"Q","T"),Inputs!$B$2:$AZ$2,0)),Inputs!$B$2:$B$190,$B146)*Inputs!$D$1),"",SUMIFS(INDEX(Inputs!$B$2:$AZ$190,,MATCH(SUBSTITUTE(L$3,"Q","T"),Inputs!$B$2:$AZ$2,0)),Inputs!$B$2:$B$190,$B146)*Inputs!$D$1)</f>
        <v>0</v>
      </c>
      <c r="M146" s="68">
        <f>IF(ISNA(SUMIFS(INDEX(Inputs!$B$2:$AZ$190,,MATCH(SUBSTITUTE(M$3,"Q","T"),Inputs!$B$2:$AZ$2,0)),Inputs!$B$2:$B$190,$B146)*Inputs!$D$1),"",SUMIFS(INDEX(Inputs!$B$2:$AZ$190,,MATCH(SUBSTITUTE(M$3,"Q","T"),Inputs!$B$2:$AZ$2,0)),Inputs!$B$2:$B$190,$B146)*Inputs!$D$1)</f>
        <v>0</v>
      </c>
      <c r="N146" s="69">
        <f>M146</f>
        <v>0</v>
      </c>
      <c r="O146" s="68">
        <f>IF(ISNA(SUMIFS(INDEX(Inputs!$B$2:$AZ$190,,MATCH(SUBSTITUTE(O$3,"Q","T"),Inputs!$B$2:$AZ$2,0)),Inputs!$B$2:$B$190,$B146)*Inputs!$D$1),"",SUMIFS(INDEX(Inputs!$B$2:$AZ$190,,MATCH(SUBSTITUTE(O$3,"Q","T"),Inputs!$B$2:$AZ$2,0)),Inputs!$B$2:$B$190,$B146)*Inputs!$D$1)</f>
        <v>0</v>
      </c>
      <c r="P146" s="68">
        <f>IF(ISNA(SUMIFS(INDEX(Inputs!$B$2:$AZ$190,,MATCH(SUBSTITUTE(P$3,"Q","T"),Inputs!$B$2:$AZ$2,0)),Inputs!$B$2:$B$190,$B146)*Inputs!$D$1),"",SUMIFS(INDEX(Inputs!$B$2:$AZ$190,,MATCH(SUBSTITUTE(P$3,"Q","T"),Inputs!$B$2:$AZ$2,0)),Inputs!$B$2:$B$190,$B146)*Inputs!$D$1)</f>
        <v>0</v>
      </c>
      <c r="Q146" s="68">
        <f>IF(ISNA(SUMIFS(INDEX(Inputs!$B$2:$AZ$190,,MATCH(SUBSTITUTE(Q$3,"Q","T"),Inputs!$B$2:$AZ$2,0)),Inputs!$B$2:$B$190,$B146)*Inputs!$D$1),"",SUMIFS(INDEX(Inputs!$B$2:$AZ$190,,MATCH(SUBSTITUTE(Q$3,"Q","T"),Inputs!$B$2:$AZ$2,0)),Inputs!$B$2:$B$190,$B146)*Inputs!$D$1)</f>
        <v>0</v>
      </c>
      <c r="R146" s="68">
        <f>IF(ISNA(SUMIFS(INDEX(Inputs!$B$2:$AZ$190,,MATCH(SUBSTITUTE(R$3,"Q","T"),Inputs!$B$2:$AZ$2,0)),Inputs!$B$2:$B$190,$B146)*Inputs!$D$1),"",SUMIFS(INDEX(Inputs!$B$2:$AZ$190,,MATCH(SUBSTITUTE(R$3,"Q","T"),Inputs!$B$2:$AZ$2,0)),Inputs!$B$2:$B$190,$B146)*Inputs!$D$1)</f>
        <v>0</v>
      </c>
      <c r="S146" s="69">
        <f>R146</f>
        <v>0</v>
      </c>
      <c r="T146" s="68">
        <f>IF(ISNA(SUMIFS(INDEX(Inputs!$B$2:$AZ$190,,MATCH(SUBSTITUTE(T$3,"Q","T"),Inputs!$B$2:$AZ$2,0)),Inputs!$B$2:$B$190,$B146)*Inputs!$D$1),"",SUMIFS(INDEX(Inputs!$B$2:$AZ$190,,MATCH(SUBSTITUTE(T$3,"Q","T"),Inputs!$B$2:$AZ$2,0)),Inputs!$B$2:$B$190,$B146)*Inputs!$D$1)</f>
        <v>0</v>
      </c>
      <c r="U146" s="68">
        <f>IF(ISNA(SUMIFS(INDEX(Inputs!$B$2:$AZ$190,,MATCH(SUBSTITUTE(U$3,"Q","T"),Inputs!$B$2:$AZ$2,0)),Inputs!$B$2:$B$190,$B146)*Inputs!$D$1),"",SUMIFS(INDEX(Inputs!$B$2:$AZ$190,,MATCH(SUBSTITUTE(U$3,"Q","T"),Inputs!$B$2:$AZ$2,0)),Inputs!$B$2:$B$190,$B146)*Inputs!$D$1)</f>
        <v>0</v>
      </c>
      <c r="V146" s="68">
        <f>IF(ISNA(SUMIFS(INDEX(Inputs!$B$2:$AZ$190,,MATCH(SUBSTITUTE(V$3,"Q","T"),Inputs!$B$2:$AZ$2,0)),Inputs!$B$2:$B$190,$B146)*Inputs!$D$1),"",SUMIFS(INDEX(Inputs!$B$2:$AZ$190,,MATCH(SUBSTITUTE(V$3,"Q","T"),Inputs!$B$2:$AZ$2,0)),Inputs!$B$2:$B$190,$B146)*Inputs!$D$1)</f>
        <v>0</v>
      </c>
      <c r="W146" s="68">
        <f>IF(ISNA(SUMIFS(INDEX(Inputs!$B$2:$AZ$190,,MATCH(SUBSTITUTE(W$3,"Q","T"),Inputs!$B$2:$AZ$2,0)),Inputs!$B$2:$B$190,$B146)*Inputs!$D$1),"",SUMIFS(INDEX(Inputs!$B$2:$AZ$190,,MATCH(SUBSTITUTE(W$3,"Q","T"),Inputs!$B$2:$AZ$2,0)),Inputs!$B$2:$B$190,$B146)*Inputs!$D$1)</f>
        <v>0</v>
      </c>
      <c r="X146" s="69">
        <f>W146</f>
        <v>0</v>
      </c>
      <c r="Y146" s="68">
        <f>IF(ISNA(SUMIFS(INDEX(Inputs!$B$2:$AZ$190,,MATCH(SUBSTITUTE(Y$3,"Q","T"),Inputs!$B$2:$AZ$2,0)),Inputs!$B$2:$B$190,$B146)*Inputs!$D$1),"",SUMIFS(INDEX(Inputs!$B$2:$AZ$190,,MATCH(SUBSTITUTE(Y$3,"Q","T"),Inputs!$B$2:$AZ$2,0)),Inputs!$B$2:$B$190,$B146)*Inputs!$D$1)</f>
        <v>0</v>
      </c>
      <c r="Z146" s="68">
        <f>IF(ISNA(SUMIFS(INDEX(Inputs!$B$2:$AZ$190,,MATCH(SUBSTITUTE(Z$3,"Q","T"),Inputs!$B$2:$AZ$2,0)),Inputs!$B$2:$B$190,$B146)*Inputs!$D$1),"",SUMIFS(INDEX(Inputs!$B$2:$AZ$190,,MATCH(SUBSTITUTE(Z$3,"Q","T"),Inputs!$B$2:$AZ$2,0)),Inputs!$B$2:$B$190,$B146)*Inputs!$D$1)</f>
        <v>0</v>
      </c>
      <c r="AA146" s="68">
        <f>IF(ISNA(SUMIFS(INDEX(Inputs!$B$2:$AZ$190,,MATCH(SUBSTITUTE(AA$3,"Q","T"),Inputs!$B$2:$AZ$2,0)),Inputs!$B$2:$B$190,$B146)*Inputs!$D$1),"",SUMIFS(INDEX(Inputs!$B$2:$AZ$190,,MATCH(SUBSTITUTE(AA$3,"Q","T"),Inputs!$B$2:$AZ$2,0)),Inputs!$B$2:$B$190,$B146)*Inputs!$D$1)</f>
        <v>0</v>
      </c>
      <c r="AB146" s="68">
        <f>IF(ISNA(SUMIFS(INDEX(Inputs!$B$2:$AZ$190,,MATCH(SUBSTITUTE(AB$3,"Q","T"),Inputs!$B$2:$AZ$2,0)),Inputs!$B$2:$B$190,$B146)*Inputs!$D$1),"",SUMIFS(INDEX(Inputs!$B$2:$AZ$190,,MATCH(SUBSTITUTE(AB$3,"Q","T"),Inputs!$B$2:$AZ$2,0)),Inputs!$B$2:$B$190,$B146)*Inputs!$D$1)</f>
        <v>0</v>
      </c>
      <c r="AC146" s="69">
        <f>AB146</f>
        <v>0</v>
      </c>
      <c r="AD146" s="68">
        <f>IF(ISNA(SUMIFS(INDEX(Inputs!$B$2:$AZ$190,,MATCH(SUBSTITUTE(AD$3,"Q","T"),Inputs!$B$2:$AZ$2,0)),Inputs!$B$2:$B$190,$B146)*Inputs!$D$1),"",SUMIFS(INDEX(Inputs!$B$2:$AZ$190,,MATCH(SUBSTITUTE(AD$3,"Q","T"),Inputs!$B$2:$AZ$2,0)),Inputs!$B$2:$B$190,$B146)*Inputs!$D$1)</f>
        <v>0</v>
      </c>
      <c r="AE146" s="68">
        <f>IF(ISNA(SUMIFS(INDEX(Inputs!$B$2:$AZ$190,,MATCH(SUBSTITUTE(AE$3,"Q","T"),Inputs!$B$2:$AZ$2,0)),Inputs!$B$2:$B$190,$B146)*Inputs!$D$1),"",SUMIFS(INDEX(Inputs!$B$2:$AZ$190,,MATCH(SUBSTITUTE(AE$3,"Q","T"),Inputs!$B$2:$AZ$2,0)),Inputs!$B$2:$B$190,$B146)*Inputs!$D$1)</f>
        <v>0</v>
      </c>
      <c r="AF146" s="68">
        <f>IF(ISNA(SUMIFS(INDEX(Inputs!$B$2:$AZ$190,,MATCH(SUBSTITUTE(AF$3,"Q","T"),Inputs!$B$2:$AZ$2,0)),Inputs!$B$2:$B$190,$B146)*Inputs!$D$1),"",SUMIFS(INDEX(Inputs!$B$2:$AZ$190,,MATCH(SUBSTITUTE(AF$3,"Q","T"),Inputs!$B$2:$AZ$2,0)),Inputs!$B$2:$B$190,$B146)*Inputs!$D$1)</f>
        <v>0</v>
      </c>
      <c r="AG146" s="68">
        <f>IF(ISNA(SUMIFS(INDEX(Inputs!$B$2:$AZ$190,,MATCH(SUBSTITUTE(AG$3,"Q","T"),Inputs!$B$2:$AZ$2,0)),Inputs!$B$2:$B$190,$B146)*Inputs!$D$1),"",SUMIFS(INDEX(Inputs!$B$2:$AZ$190,,MATCH(SUBSTITUTE(AG$3,"Q","T"),Inputs!$B$2:$AZ$2,0)),Inputs!$B$2:$B$190,$B146)*Inputs!$D$1)</f>
        <v>0</v>
      </c>
      <c r="AH146" s="69">
        <f>AG146</f>
        <v>0</v>
      </c>
      <c r="AI146" s="68">
        <f>IF(ISNA(SUMIFS(INDEX(Inputs!$B$2:$AZ$190,,MATCH(SUBSTITUTE(AI$3,"Q","T"),Inputs!$B$2:$AZ$2,0)),Inputs!$B$2:$B$190,$B146)*Inputs!$D$1),"",SUMIFS(INDEX(Inputs!$B$2:$AZ$190,,MATCH(SUBSTITUTE(AI$3,"Q","T"),Inputs!$B$2:$AZ$2,0)),Inputs!$B$2:$B$190,$B146)*Inputs!$D$1)</f>
        <v>0</v>
      </c>
      <c r="AJ146" s="68">
        <f>IF(ISNA(SUMIFS(INDEX(Inputs!$B$2:$AZ$190,,MATCH(SUBSTITUTE(AJ$3,"Q","T"),Inputs!$B$2:$AZ$2,0)),Inputs!$B$2:$B$190,$B146)*Inputs!$D$1),"",SUMIFS(INDEX(Inputs!$B$2:$AZ$190,,MATCH(SUBSTITUTE(AJ$3,"Q","T"),Inputs!$B$2:$AZ$2,0)),Inputs!$B$2:$B$190,$B146)*Inputs!$D$1)</f>
        <v>0</v>
      </c>
      <c r="AK146" s="68">
        <f>IF(ISNA(SUMIFS(INDEX(Inputs!$B$2:$AZ$190,,MATCH(SUBSTITUTE(AK$3,"Q","T"),Inputs!$B$2:$AZ$2,0)),Inputs!$B$2:$B$190,$B146)*Inputs!$D$1),"",SUMIFS(INDEX(Inputs!$B$2:$AZ$190,,MATCH(SUBSTITUTE(AK$3,"Q","T"),Inputs!$B$2:$AZ$2,0)),Inputs!$B$2:$B$190,$B146)*Inputs!$D$1)</f>
        <v>0</v>
      </c>
      <c r="AL146" s="68">
        <f>IF(ISNA(SUMIFS(INDEX(Inputs!$B$2:$AZ$190,,MATCH(SUBSTITUTE(AL$3,"Q","T"),Inputs!$B$2:$AZ$2,0)),Inputs!$B$2:$B$190,$B146)*Inputs!$D$1),"",SUMIFS(INDEX(Inputs!$B$2:$AZ$190,,MATCH(SUBSTITUTE(AL$3,"Q","T"),Inputs!$B$2:$AZ$2,0)),Inputs!$B$2:$B$190,$B146)*Inputs!$D$1)</f>
        <v>0</v>
      </c>
      <c r="AM146" s="69">
        <f>AL146</f>
        <v>0</v>
      </c>
      <c r="AN146" s="68">
        <f>IF(ISNA(SUMIFS(INDEX(Inputs!$B$2:$AZ$190,,MATCH(SUBSTITUTE(AN$3,"Q","T"),Inputs!$B$2:$AZ$2,0)),Inputs!$B$2:$B$190,$B146)*Inputs!$D$1),"",SUMIFS(INDEX(Inputs!$B$2:$AZ$190,,MATCH(SUBSTITUTE(AN$3,"Q","T"),Inputs!$B$2:$AZ$2,0)),Inputs!$B$2:$B$190,$B146)*Inputs!$D$1)</f>
        <v>0</v>
      </c>
      <c r="AO146" s="68">
        <f>IF(ISNA(SUMIFS(INDEX(Inputs!$B$2:$AZ$190,,MATCH(SUBSTITUTE(AO$3,"Q","T"),Inputs!$B$2:$AZ$2,0)),Inputs!$B$2:$B$190,$B146)*Inputs!$D$1),"",SUMIFS(INDEX(Inputs!$B$2:$AZ$190,,MATCH(SUBSTITUTE(AO$3,"Q","T"),Inputs!$B$2:$AZ$2,0)),Inputs!$B$2:$B$190,$B146)*Inputs!$D$1)</f>
        <v>0</v>
      </c>
      <c r="AP146" s="68">
        <f>IF(ISNA(SUMIFS(INDEX(Inputs!$B$2:$AZ$190,,MATCH(SUBSTITUTE(AP$3,"Q","T"),Inputs!$B$2:$AZ$2,0)),Inputs!$B$2:$B$190,$B146)*Inputs!$D$1),"",SUMIFS(INDEX(Inputs!$B$2:$AZ$190,,MATCH(SUBSTITUTE(AP$3,"Q","T"),Inputs!$B$2:$AZ$2,0)),Inputs!$B$2:$B$190,$B146)*Inputs!$D$1)</f>
        <v>0</v>
      </c>
      <c r="AQ146" s="68">
        <f>IF(ISNA(SUMIFS(INDEX(Inputs!$B$2:$AZ$190,,MATCH(SUBSTITUTE(AQ$3,"Q","T"),Inputs!$B$2:$AZ$2,0)),Inputs!$B$2:$B$190,$B146)*Inputs!$D$1),"",SUMIFS(INDEX(Inputs!$B$2:$AZ$190,,MATCH(SUBSTITUTE(AQ$3,"Q","T"),Inputs!$B$2:$AZ$2,0)),Inputs!$B$2:$B$190,$B146)*Inputs!$D$1)</f>
        <v>0</v>
      </c>
      <c r="AR146" s="69">
        <f>AQ146</f>
        <v>0</v>
      </c>
      <c r="AS146" s="68">
        <f>IF(ISNA(SUMIFS(INDEX(Inputs!$B$2:$AZ$190,,MATCH(SUBSTITUTE(AS$3,"Q","T"),Inputs!$B$2:$AZ$2,0)),Inputs!$B$2:$B$190,$B146)*Inputs!$D$1),"",SUMIFS(INDEX(Inputs!$B$2:$AZ$190,,MATCH(SUBSTITUTE(AS$3,"Q","T"),Inputs!$B$2:$AZ$2,0)),Inputs!$B$2:$B$190,$B146)*Inputs!$D$1)</f>
        <v>0</v>
      </c>
      <c r="AT146" s="68">
        <f>IF(ISNA(SUMIFS(INDEX(Inputs!$B$2:$AZ$190,,MATCH(SUBSTITUTE(AT$3,"Q","T"),Inputs!$B$2:$AZ$2,0)),Inputs!$B$2:$B$190,$B146)*Inputs!$D$1),"",SUMIFS(INDEX(Inputs!$B$2:$AZ$190,,MATCH(SUBSTITUTE(AT$3,"Q","T"),Inputs!$B$2:$AZ$2,0)),Inputs!$B$2:$B$190,$B146)*Inputs!$D$1)</f>
        <v>0</v>
      </c>
      <c r="AU146" s="68">
        <f>IF(ISNA(SUMIFS(INDEX(Inputs!$B$2:$AZ$190,,MATCH(SUBSTITUTE(AU$3,"Q","T"),Inputs!$B$2:$AZ$2,0)),Inputs!$B$2:$B$190,$B146)*Inputs!$D$1),"",SUMIFS(INDEX(Inputs!$B$2:$AZ$190,,MATCH(SUBSTITUTE(AU$3,"Q","T"),Inputs!$B$2:$AZ$2,0)),Inputs!$B$2:$B$190,$B146)*Inputs!$D$1)</f>
        <v>0</v>
      </c>
      <c r="AV146" s="68">
        <f>IF(ISNA(SUMIFS(INDEX(Inputs!$B$2:$AZ$190,,MATCH(SUBSTITUTE(AV$3,"Q","T"),Inputs!$B$2:$AZ$2,0)),Inputs!$B$2:$B$190,$B146)*Inputs!$D$1),"",SUMIFS(INDEX(Inputs!$B$2:$AZ$190,,MATCH(SUBSTITUTE(AV$3,"Q","T"),Inputs!$B$2:$AZ$2,0)),Inputs!$B$2:$B$190,$B146)*Inputs!$D$1)</f>
        <v>0</v>
      </c>
      <c r="AW146" s="69">
        <f>AV146</f>
        <v>0</v>
      </c>
      <c r="AX146" s="68">
        <f>IF(ISNA(SUMIFS(INDEX(Inputs!$B$2:$AZ$190,,MATCH(SUBSTITUTE(AX$3,"Q","T"),Inputs!$B$2:$AZ$2,0)),Inputs!$B$2:$B$190,$B146)*Inputs!$D$1),"",SUMIFS(INDEX(Inputs!$B$2:$AZ$190,,MATCH(SUBSTITUTE(AX$3,"Q","T"),Inputs!$B$2:$AZ$2,0)),Inputs!$B$2:$B$190,$B146)*Inputs!$D$1)</f>
        <v>0</v>
      </c>
      <c r="AY146" s="68">
        <f>IF(ISNA(SUMIFS(INDEX(Inputs!$B$2:$AZ$190,,MATCH(SUBSTITUTE(AY$3,"Q","T"),Inputs!$B$2:$AZ$2,0)),Inputs!$B$2:$B$190,$B146)*Inputs!$D$1),"",SUMIFS(INDEX(Inputs!$B$2:$AZ$190,,MATCH(SUBSTITUTE(AY$3,"Q","T"),Inputs!$B$2:$AZ$2,0)),Inputs!$B$2:$B$190,$B146)*Inputs!$D$1)</f>
        <v>0</v>
      </c>
      <c r="AZ146" s="68">
        <f>IF(ISNA(SUMIFS(INDEX(Inputs!$B$2:$AZ$190,,MATCH(SUBSTITUTE(AZ$3,"Q","T"),Inputs!$B$2:$AZ$2,0)),Inputs!$B$2:$B$190,$B146)*Inputs!$D$1),"",SUMIFS(INDEX(Inputs!$B$2:$AZ$190,,MATCH(SUBSTITUTE(AZ$3,"Q","T"),Inputs!$B$2:$AZ$2,0)),Inputs!$B$2:$B$190,$B146)*Inputs!$D$1)</f>
        <v>0</v>
      </c>
      <c r="BA146" s="68">
        <f>IF(ISNA(SUMIFS(INDEX(Inputs!$B$2:$AZ$190,,MATCH(SUBSTITUTE(BA$3,"Q","T"),Inputs!$B$2:$AZ$2,0)),Inputs!$B$2:$B$190,$B146)*Inputs!$D$1),"",SUMIFS(INDEX(Inputs!$B$2:$AZ$190,,MATCH(SUBSTITUTE(BA$3,"Q","T"),Inputs!$B$2:$AZ$2,0)),Inputs!$B$2:$B$190,$B146)*Inputs!$D$1)</f>
        <v>0</v>
      </c>
      <c r="BB146" s="69">
        <f>BA146</f>
        <v>0</v>
      </c>
      <c r="BC146" s="68">
        <f>IF(ISNA(SUMIFS(INDEX(Inputs!$B$2:$AZ$190,,MATCH(SUBSTITUTE(BC$3,"Q","T"),Inputs!$B$2:$AZ$2,0)),Inputs!$B$2:$B$190,$B146)*Inputs!$D$1),"",SUMIFS(INDEX(Inputs!$B$2:$AZ$190,,MATCH(SUBSTITUTE(BC$3,"Q","T"),Inputs!$B$2:$AZ$2,0)),Inputs!$B$2:$B$190,$B146)*Inputs!$D$1)</f>
        <v>0</v>
      </c>
      <c r="BD146" s="68">
        <f>IF(ISNA(SUMIFS(INDEX(Inputs!$B$2:$AZ$190,,MATCH(SUBSTITUTE(BD$3,"Q","T"),Inputs!$B$2:$AZ$2,0)),Inputs!$B$2:$B$190,$B146)*Inputs!$D$1),"",SUMIFS(INDEX(Inputs!$B$2:$AZ$190,,MATCH(SUBSTITUTE(BD$3,"Q","T"),Inputs!$B$2:$AZ$2,0)),Inputs!$B$2:$B$190,$B146)*Inputs!$D$1)</f>
        <v>0</v>
      </c>
      <c r="BE146" s="68">
        <f>IF(ISNA(SUMIFS(INDEX(Inputs!$B$2:$AZ$190,,MATCH(SUBSTITUTE(BE$3,"Q","T"),Inputs!$B$2:$AZ$2,0)),Inputs!$B$2:$B$190,$B146)*Inputs!$D$1),"",SUMIFS(INDEX(Inputs!$B$2:$AZ$190,,MATCH(SUBSTITUTE(BE$3,"Q","T"),Inputs!$B$2:$AZ$2,0)),Inputs!$B$2:$B$190,$B146)*Inputs!$D$1)</f>
        <v>0</v>
      </c>
      <c r="BF146" s="68">
        <f>IF(ISNA(SUMIFS(INDEX(Inputs!$B$2:$AZ$190,,MATCH(SUBSTITUTE(BF$3,"Q","T"),Inputs!$B$2:$AZ$2,0)),Inputs!$B$2:$B$190,$B146)*Inputs!$D$1),"",SUMIFS(INDEX(Inputs!$B$2:$AZ$190,,MATCH(SUBSTITUTE(BF$3,"Q","T"),Inputs!$B$2:$AZ$2,0)),Inputs!$B$2:$B$190,$B146)*Inputs!$D$1)</f>
        <v>0</v>
      </c>
      <c r="BG146" s="69">
        <f>BF146</f>
        <v>0</v>
      </c>
    </row>
    <row r="147">
      <c r="B147" s="56" t="inlineStr">
        <is>
          <t>lcr</t>
        </is>
      </c>
      <c r="C147" s="11" t="inlineStr">
        <is>
          <t>LCR — liquidity coverage ratio (%)</t>
        </is>
      </c>
      <c r="D147" s="12" t="inlineStr">
        <is>
          <t>Liquidity coverage ratio</t>
        </is>
      </c>
      <c r="E147" s="68">
        <f>IF(ISNA(SUMIFS(INDEX(Inputs!$B$2:$AZ$190,,MATCH(SUBSTITUTE(E$3,"Q","T"),Inputs!$B$2:$AZ$2,0)),Inputs!$B$2:$B$190,$B147)*Inputs!$D$1),"",SUMIFS(INDEX(Inputs!$B$2:$AZ$190,,MATCH(SUBSTITUTE(E$3,"Q","T"),Inputs!$B$2:$AZ$2,0)),Inputs!$B$2:$B$190,$B147)*Inputs!$D$1)</f>
        <v>0</v>
      </c>
      <c r="F147" s="68">
        <f>IF(ISNA(SUMIFS(INDEX(Inputs!$B$2:$AZ$190,,MATCH(SUBSTITUTE(F$3,"Q","T"),Inputs!$B$2:$AZ$2,0)),Inputs!$B$2:$B$190,$B147)*Inputs!$D$1),"",SUMIFS(INDEX(Inputs!$B$2:$AZ$190,,MATCH(SUBSTITUTE(F$3,"Q","T"),Inputs!$B$2:$AZ$2,0)),Inputs!$B$2:$B$190,$B147)*Inputs!$D$1)</f>
        <v>0</v>
      </c>
      <c r="G147" s="68">
        <f>IF(ISNA(SUMIFS(INDEX(Inputs!$B$2:$AZ$190,,MATCH(SUBSTITUTE(G$3,"Q","T"),Inputs!$B$2:$AZ$2,0)),Inputs!$B$2:$B$190,$B147)*Inputs!$D$1),"",SUMIFS(INDEX(Inputs!$B$2:$AZ$190,,MATCH(SUBSTITUTE(G$3,"Q","T"),Inputs!$B$2:$AZ$2,0)),Inputs!$B$2:$B$190,$B147)*Inputs!$D$1)</f>
        <v>0</v>
      </c>
      <c r="H147" s="68">
        <f>IF(ISNA(SUMIFS(INDEX(Inputs!$B$2:$AZ$190,,MATCH(SUBSTITUTE(H$3,"Q","T"),Inputs!$B$2:$AZ$2,0)),Inputs!$B$2:$B$190,$B147)*Inputs!$D$1),"",SUMIFS(INDEX(Inputs!$B$2:$AZ$190,,MATCH(SUBSTITUTE(H$3,"Q","T"),Inputs!$B$2:$AZ$2,0)),Inputs!$B$2:$B$190,$B147)*Inputs!$D$1)</f>
        <v>0</v>
      </c>
      <c r="I147" s="69">
        <f>H147</f>
        <v>0</v>
      </c>
      <c r="J147" s="68">
        <f>IF(ISNA(SUMIFS(INDEX(Inputs!$B$2:$AZ$190,,MATCH(SUBSTITUTE(J$3,"Q","T"),Inputs!$B$2:$AZ$2,0)),Inputs!$B$2:$B$190,$B147)*Inputs!$D$1),"",SUMIFS(INDEX(Inputs!$B$2:$AZ$190,,MATCH(SUBSTITUTE(J$3,"Q","T"),Inputs!$B$2:$AZ$2,0)),Inputs!$B$2:$B$190,$B147)*Inputs!$D$1)</f>
        <v>0</v>
      </c>
      <c r="K147" s="68">
        <f>IF(ISNA(SUMIFS(INDEX(Inputs!$B$2:$AZ$190,,MATCH(SUBSTITUTE(K$3,"Q","T"),Inputs!$B$2:$AZ$2,0)),Inputs!$B$2:$B$190,$B147)*Inputs!$D$1),"",SUMIFS(INDEX(Inputs!$B$2:$AZ$190,,MATCH(SUBSTITUTE(K$3,"Q","T"),Inputs!$B$2:$AZ$2,0)),Inputs!$B$2:$B$190,$B147)*Inputs!$D$1)</f>
        <v>0</v>
      </c>
      <c r="L147" s="68">
        <f>IF(ISNA(SUMIFS(INDEX(Inputs!$B$2:$AZ$190,,MATCH(SUBSTITUTE(L$3,"Q","T"),Inputs!$B$2:$AZ$2,0)),Inputs!$B$2:$B$190,$B147)*Inputs!$D$1),"",SUMIFS(INDEX(Inputs!$B$2:$AZ$190,,MATCH(SUBSTITUTE(L$3,"Q","T"),Inputs!$B$2:$AZ$2,0)),Inputs!$B$2:$B$190,$B147)*Inputs!$D$1)</f>
        <v>0</v>
      </c>
      <c r="M147" s="68">
        <f>IF(ISNA(SUMIFS(INDEX(Inputs!$B$2:$AZ$190,,MATCH(SUBSTITUTE(M$3,"Q","T"),Inputs!$B$2:$AZ$2,0)),Inputs!$B$2:$B$190,$B147)*Inputs!$D$1),"",SUMIFS(INDEX(Inputs!$B$2:$AZ$190,,MATCH(SUBSTITUTE(M$3,"Q","T"),Inputs!$B$2:$AZ$2,0)),Inputs!$B$2:$B$190,$B147)*Inputs!$D$1)</f>
        <v>0</v>
      </c>
      <c r="N147" s="69">
        <f>M147</f>
        <v>0</v>
      </c>
      <c r="O147" s="68">
        <f>IF(ISNA(SUMIFS(INDEX(Inputs!$B$2:$AZ$190,,MATCH(SUBSTITUTE(O$3,"Q","T"),Inputs!$B$2:$AZ$2,0)),Inputs!$B$2:$B$190,$B147)*Inputs!$D$1),"",SUMIFS(INDEX(Inputs!$B$2:$AZ$190,,MATCH(SUBSTITUTE(O$3,"Q","T"),Inputs!$B$2:$AZ$2,0)),Inputs!$B$2:$B$190,$B147)*Inputs!$D$1)</f>
        <v>0</v>
      </c>
      <c r="P147" s="68">
        <f>IF(ISNA(SUMIFS(INDEX(Inputs!$B$2:$AZ$190,,MATCH(SUBSTITUTE(P$3,"Q","T"),Inputs!$B$2:$AZ$2,0)),Inputs!$B$2:$B$190,$B147)*Inputs!$D$1),"",SUMIFS(INDEX(Inputs!$B$2:$AZ$190,,MATCH(SUBSTITUTE(P$3,"Q","T"),Inputs!$B$2:$AZ$2,0)),Inputs!$B$2:$B$190,$B147)*Inputs!$D$1)</f>
        <v>0</v>
      </c>
      <c r="Q147" s="68">
        <f>IF(ISNA(SUMIFS(INDEX(Inputs!$B$2:$AZ$190,,MATCH(SUBSTITUTE(Q$3,"Q","T"),Inputs!$B$2:$AZ$2,0)),Inputs!$B$2:$B$190,$B147)*Inputs!$D$1),"",SUMIFS(INDEX(Inputs!$B$2:$AZ$190,,MATCH(SUBSTITUTE(Q$3,"Q","T"),Inputs!$B$2:$AZ$2,0)),Inputs!$B$2:$B$190,$B147)*Inputs!$D$1)</f>
        <v>0</v>
      </c>
      <c r="R147" s="68">
        <f>IF(ISNA(SUMIFS(INDEX(Inputs!$B$2:$AZ$190,,MATCH(SUBSTITUTE(R$3,"Q","T"),Inputs!$B$2:$AZ$2,0)),Inputs!$B$2:$B$190,$B147)*Inputs!$D$1),"",SUMIFS(INDEX(Inputs!$B$2:$AZ$190,,MATCH(SUBSTITUTE(R$3,"Q","T"),Inputs!$B$2:$AZ$2,0)),Inputs!$B$2:$B$190,$B147)*Inputs!$D$1)</f>
        <v>0</v>
      </c>
      <c r="S147" s="69">
        <f>R147</f>
        <v>0</v>
      </c>
      <c r="T147" s="68">
        <f>IF(ISNA(SUMIFS(INDEX(Inputs!$B$2:$AZ$190,,MATCH(SUBSTITUTE(T$3,"Q","T"),Inputs!$B$2:$AZ$2,0)),Inputs!$B$2:$B$190,$B147)*Inputs!$D$1),"",SUMIFS(INDEX(Inputs!$B$2:$AZ$190,,MATCH(SUBSTITUTE(T$3,"Q","T"),Inputs!$B$2:$AZ$2,0)),Inputs!$B$2:$B$190,$B147)*Inputs!$D$1)</f>
        <v>0</v>
      </c>
      <c r="U147" s="68">
        <f>IF(ISNA(SUMIFS(INDEX(Inputs!$B$2:$AZ$190,,MATCH(SUBSTITUTE(U$3,"Q","T"),Inputs!$B$2:$AZ$2,0)),Inputs!$B$2:$B$190,$B147)*Inputs!$D$1),"",SUMIFS(INDEX(Inputs!$B$2:$AZ$190,,MATCH(SUBSTITUTE(U$3,"Q","T"),Inputs!$B$2:$AZ$2,0)),Inputs!$B$2:$B$190,$B147)*Inputs!$D$1)</f>
        <v>0</v>
      </c>
      <c r="V147" s="68">
        <f>IF(ISNA(SUMIFS(INDEX(Inputs!$B$2:$AZ$190,,MATCH(SUBSTITUTE(V$3,"Q","T"),Inputs!$B$2:$AZ$2,0)),Inputs!$B$2:$B$190,$B147)*Inputs!$D$1),"",SUMIFS(INDEX(Inputs!$B$2:$AZ$190,,MATCH(SUBSTITUTE(V$3,"Q","T"),Inputs!$B$2:$AZ$2,0)),Inputs!$B$2:$B$190,$B147)*Inputs!$D$1)</f>
        <v>0</v>
      </c>
      <c r="W147" s="68">
        <f>IF(ISNA(SUMIFS(INDEX(Inputs!$B$2:$AZ$190,,MATCH(SUBSTITUTE(W$3,"Q","T"),Inputs!$B$2:$AZ$2,0)),Inputs!$B$2:$B$190,$B147)*Inputs!$D$1),"",SUMIFS(INDEX(Inputs!$B$2:$AZ$190,,MATCH(SUBSTITUTE(W$3,"Q","T"),Inputs!$B$2:$AZ$2,0)),Inputs!$B$2:$B$190,$B147)*Inputs!$D$1)</f>
        <v>0</v>
      </c>
      <c r="X147" s="69">
        <f>W147</f>
        <v>0</v>
      </c>
      <c r="Y147" s="68">
        <f>IF(ISNA(SUMIFS(INDEX(Inputs!$B$2:$AZ$190,,MATCH(SUBSTITUTE(Y$3,"Q","T"),Inputs!$B$2:$AZ$2,0)),Inputs!$B$2:$B$190,$B147)*Inputs!$D$1),"",SUMIFS(INDEX(Inputs!$B$2:$AZ$190,,MATCH(SUBSTITUTE(Y$3,"Q","T"),Inputs!$B$2:$AZ$2,0)),Inputs!$B$2:$B$190,$B147)*Inputs!$D$1)</f>
        <v>0</v>
      </c>
      <c r="Z147" s="68">
        <f>IF(ISNA(SUMIFS(INDEX(Inputs!$B$2:$AZ$190,,MATCH(SUBSTITUTE(Z$3,"Q","T"),Inputs!$B$2:$AZ$2,0)),Inputs!$B$2:$B$190,$B147)*Inputs!$D$1),"",SUMIFS(INDEX(Inputs!$B$2:$AZ$190,,MATCH(SUBSTITUTE(Z$3,"Q","T"),Inputs!$B$2:$AZ$2,0)),Inputs!$B$2:$B$190,$B147)*Inputs!$D$1)</f>
        <v>0</v>
      </c>
      <c r="AA147" s="68">
        <f>IF(ISNA(SUMIFS(INDEX(Inputs!$B$2:$AZ$190,,MATCH(SUBSTITUTE(AA$3,"Q","T"),Inputs!$B$2:$AZ$2,0)),Inputs!$B$2:$B$190,$B147)*Inputs!$D$1),"",SUMIFS(INDEX(Inputs!$B$2:$AZ$190,,MATCH(SUBSTITUTE(AA$3,"Q","T"),Inputs!$B$2:$AZ$2,0)),Inputs!$B$2:$B$190,$B147)*Inputs!$D$1)</f>
        <v>0</v>
      </c>
      <c r="AB147" s="68">
        <f>IF(ISNA(SUMIFS(INDEX(Inputs!$B$2:$AZ$190,,MATCH(SUBSTITUTE(AB$3,"Q","T"),Inputs!$B$2:$AZ$2,0)),Inputs!$B$2:$B$190,$B147)*Inputs!$D$1),"",SUMIFS(INDEX(Inputs!$B$2:$AZ$190,,MATCH(SUBSTITUTE(AB$3,"Q","T"),Inputs!$B$2:$AZ$2,0)),Inputs!$B$2:$B$190,$B147)*Inputs!$D$1)</f>
        <v>0</v>
      </c>
      <c r="AC147" s="69">
        <f>AB147</f>
        <v>0</v>
      </c>
      <c r="AD147" s="68">
        <f>IF(ISNA(SUMIFS(INDEX(Inputs!$B$2:$AZ$190,,MATCH(SUBSTITUTE(AD$3,"Q","T"),Inputs!$B$2:$AZ$2,0)),Inputs!$B$2:$B$190,$B147)*Inputs!$D$1),"",SUMIFS(INDEX(Inputs!$B$2:$AZ$190,,MATCH(SUBSTITUTE(AD$3,"Q","T"),Inputs!$B$2:$AZ$2,0)),Inputs!$B$2:$B$190,$B147)*Inputs!$D$1)</f>
        <v>0</v>
      </c>
      <c r="AE147" s="68">
        <f>IF(ISNA(SUMIFS(INDEX(Inputs!$B$2:$AZ$190,,MATCH(SUBSTITUTE(AE$3,"Q","T"),Inputs!$B$2:$AZ$2,0)),Inputs!$B$2:$B$190,$B147)*Inputs!$D$1),"",SUMIFS(INDEX(Inputs!$B$2:$AZ$190,,MATCH(SUBSTITUTE(AE$3,"Q","T"),Inputs!$B$2:$AZ$2,0)),Inputs!$B$2:$B$190,$B147)*Inputs!$D$1)</f>
        <v>0</v>
      </c>
      <c r="AF147" s="68">
        <f>IF(ISNA(SUMIFS(INDEX(Inputs!$B$2:$AZ$190,,MATCH(SUBSTITUTE(AF$3,"Q","T"),Inputs!$B$2:$AZ$2,0)),Inputs!$B$2:$B$190,$B147)*Inputs!$D$1),"",SUMIFS(INDEX(Inputs!$B$2:$AZ$190,,MATCH(SUBSTITUTE(AF$3,"Q","T"),Inputs!$B$2:$AZ$2,0)),Inputs!$B$2:$B$190,$B147)*Inputs!$D$1)</f>
        <v>0</v>
      </c>
      <c r="AG147" s="68">
        <f>IF(ISNA(SUMIFS(INDEX(Inputs!$B$2:$AZ$190,,MATCH(SUBSTITUTE(AG$3,"Q","T"),Inputs!$B$2:$AZ$2,0)),Inputs!$B$2:$B$190,$B147)*Inputs!$D$1),"",SUMIFS(INDEX(Inputs!$B$2:$AZ$190,,MATCH(SUBSTITUTE(AG$3,"Q","T"),Inputs!$B$2:$AZ$2,0)),Inputs!$B$2:$B$190,$B147)*Inputs!$D$1)</f>
        <v>0</v>
      </c>
      <c r="AH147" s="69">
        <f>AG147</f>
        <v>0</v>
      </c>
      <c r="AI147" s="68">
        <f>IF(ISNA(SUMIFS(INDEX(Inputs!$B$2:$AZ$190,,MATCH(SUBSTITUTE(AI$3,"Q","T"),Inputs!$B$2:$AZ$2,0)),Inputs!$B$2:$B$190,$B147)*Inputs!$D$1),"",SUMIFS(INDEX(Inputs!$B$2:$AZ$190,,MATCH(SUBSTITUTE(AI$3,"Q","T"),Inputs!$B$2:$AZ$2,0)),Inputs!$B$2:$B$190,$B147)*Inputs!$D$1)</f>
        <v>0</v>
      </c>
      <c r="AJ147" s="68">
        <f>IF(ISNA(SUMIFS(INDEX(Inputs!$B$2:$AZ$190,,MATCH(SUBSTITUTE(AJ$3,"Q","T"),Inputs!$B$2:$AZ$2,0)),Inputs!$B$2:$B$190,$B147)*Inputs!$D$1),"",SUMIFS(INDEX(Inputs!$B$2:$AZ$190,,MATCH(SUBSTITUTE(AJ$3,"Q","T"),Inputs!$B$2:$AZ$2,0)),Inputs!$B$2:$B$190,$B147)*Inputs!$D$1)</f>
        <v>0</v>
      </c>
      <c r="AK147" s="68">
        <f>IF(ISNA(SUMIFS(INDEX(Inputs!$B$2:$AZ$190,,MATCH(SUBSTITUTE(AK$3,"Q","T"),Inputs!$B$2:$AZ$2,0)),Inputs!$B$2:$B$190,$B147)*Inputs!$D$1),"",SUMIFS(INDEX(Inputs!$B$2:$AZ$190,,MATCH(SUBSTITUTE(AK$3,"Q","T"),Inputs!$B$2:$AZ$2,0)),Inputs!$B$2:$B$190,$B147)*Inputs!$D$1)</f>
        <v>0</v>
      </c>
      <c r="AL147" s="68">
        <f>IF(ISNA(SUMIFS(INDEX(Inputs!$B$2:$AZ$190,,MATCH(SUBSTITUTE(AL$3,"Q","T"),Inputs!$B$2:$AZ$2,0)),Inputs!$B$2:$B$190,$B147)*Inputs!$D$1),"",SUMIFS(INDEX(Inputs!$B$2:$AZ$190,,MATCH(SUBSTITUTE(AL$3,"Q","T"),Inputs!$B$2:$AZ$2,0)),Inputs!$B$2:$B$190,$B147)*Inputs!$D$1)</f>
        <v>0</v>
      </c>
      <c r="AM147" s="69">
        <f>AL147</f>
        <v>0</v>
      </c>
      <c r="AN147" s="68">
        <f>IF(ISNA(SUMIFS(INDEX(Inputs!$B$2:$AZ$190,,MATCH(SUBSTITUTE(AN$3,"Q","T"),Inputs!$B$2:$AZ$2,0)),Inputs!$B$2:$B$190,$B147)*Inputs!$D$1),"",SUMIFS(INDEX(Inputs!$B$2:$AZ$190,,MATCH(SUBSTITUTE(AN$3,"Q","T"),Inputs!$B$2:$AZ$2,0)),Inputs!$B$2:$B$190,$B147)*Inputs!$D$1)</f>
        <v>0</v>
      </c>
      <c r="AO147" s="68">
        <f>IF(ISNA(SUMIFS(INDEX(Inputs!$B$2:$AZ$190,,MATCH(SUBSTITUTE(AO$3,"Q","T"),Inputs!$B$2:$AZ$2,0)),Inputs!$B$2:$B$190,$B147)*Inputs!$D$1),"",SUMIFS(INDEX(Inputs!$B$2:$AZ$190,,MATCH(SUBSTITUTE(AO$3,"Q","T"),Inputs!$B$2:$AZ$2,0)),Inputs!$B$2:$B$190,$B147)*Inputs!$D$1)</f>
        <v>0</v>
      </c>
      <c r="AP147" s="68">
        <f>IF(ISNA(SUMIFS(INDEX(Inputs!$B$2:$AZ$190,,MATCH(SUBSTITUTE(AP$3,"Q","T"),Inputs!$B$2:$AZ$2,0)),Inputs!$B$2:$B$190,$B147)*Inputs!$D$1),"",SUMIFS(INDEX(Inputs!$B$2:$AZ$190,,MATCH(SUBSTITUTE(AP$3,"Q","T"),Inputs!$B$2:$AZ$2,0)),Inputs!$B$2:$B$190,$B147)*Inputs!$D$1)</f>
        <v>0</v>
      </c>
      <c r="AQ147" s="68">
        <f>IF(ISNA(SUMIFS(INDEX(Inputs!$B$2:$AZ$190,,MATCH(SUBSTITUTE(AQ$3,"Q","T"),Inputs!$B$2:$AZ$2,0)),Inputs!$B$2:$B$190,$B147)*Inputs!$D$1),"",SUMIFS(INDEX(Inputs!$B$2:$AZ$190,,MATCH(SUBSTITUTE(AQ$3,"Q","T"),Inputs!$B$2:$AZ$2,0)),Inputs!$B$2:$B$190,$B147)*Inputs!$D$1)</f>
        <v>0</v>
      </c>
      <c r="AR147" s="69">
        <f>AQ147</f>
        <v>0</v>
      </c>
      <c r="AS147" s="68">
        <f>IF(ISNA(SUMIFS(INDEX(Inputs!$B$2:$AZ$190,,MATCH(SUBSTITUTE(AS$3,"Q","T"),Inputs!$B$2:$AZ$2,0)),Inputs!$B$2:$B$190,$B147)*Inputs!$D$1),"",SUMIFS(INDEX(Inputs!$B$2:$AZ$190,,MATCH(SUBSTITUTE(AS$3,"Q","T"),Inputs!$B$2:$AZ$2,0)),Inputs!$B$2:$B$190,$B147)*Inputs!$D$1)</f>
        <v>0</v>
      </c>
      <c r="AT147" s="68">
        <f>IF(ISNA(SUMIFS(INDEX(Inputs!$B$2:$AZ$190,,MATCH(SUBSTITUTE(AT$3,"Q","T"),Inputs!$B$2:$AZ$2,0)),Inputs!$B$2:$B$190,$B147)*Inputs!$D$1),"",SUMIFS(INDEX(Inputs!$B$2:$AZ$190,,MATCH(SUBSTITUTE(AT$3,"Q","T"),Inputs!$B$2:$AZ$2,0)),Inputs!$B$2:$B$190,$B147)*Inputs!$D$1)</f>
        <v>0</v>
      </c>
      <c r="AU147" s="68">
        <f>IF(ISNA(SUMIFS(INDEX(Inputs!$B$2:$AZ$190,,MATCH(SUBSTITUTE(AU$3,"Q","T"),Inputs!$B$2:$AZ$2,0)),Inputs!$B$2:$B$190,$B147)*Inputs!$D$1),"",SUMIFS(INDEX(Inputs!$B$2:$AZ$190,,MATCH(SUBSTITUTE(AU$3,"Q","T"),Inputs!$B$2:$AZ$2,0)),Inputs!$B$2:$B$190,$B147)*Inputs!$D$1)</f>
        <v>0</v>
      </c>
      <c r="AV147" s="68">
        <f>IF(ISNA(SUMIFS(INDEX(Inputs!$B$2:$AZ$190,,MATCH(SUBSTITUTE(AV$3,"Q","T"),Inputs!$B$2:$AZ$2,0)),Inputs!$B$2:$B$190,$B147)*Inputs!$D$1),"",SUMIFS(INDEX(Inputs!$B$2:$AZ$190,,MATCH(SUBSTITUTE(AV$3,"Q","T"),Inputs!$B$2:$AZ$2,0)),Inputs!$B$2:$B$190,$B147)*Inputs!$D$1)</f>
        <v>0</v>
      </c>
      <c r="AW147" s="69">
        <f>AV147</f>
        <v>0</v>
      </c>
      <c r="AX147" s="68">
        <f>IF(ISNA(SUMIFS(INDEX(Inputs!$B$2:$AZ$190,,MATCH(SUBSTITUTE(AX$3,"Q","T"),Inputs!$B$2:$AZ$2,0)),Inputs!$B$2:$B$190,$B147)*Inputs!$D$1),"",SUMIFS(INDEX(Inputs!$B$2:$AZ$190,,MATCH(SUBSTITUTE(AX$3,"Q","T"),Inputs!$B$2:$AZ$2,0)),Inputs!$B$2:$B$190,$B147)*Inputs!$D$1)</f>
        <v>0</v>
      </c>
      <c r="AY147" s="68">
        <f>IF(ISNA(SUMIFS(INDEX(Inputs!$B$2:$AZ$190,,MATCH(SUBSTITUTE(AY$3,"Q","T"),Inputs!$B$2:$AZ$2,0)),Inputs!$B$2:$B$190,$B147)*Inputs!$D$1),"",SUMIFS(INDEX(Inputs!$B$2:$AZ$190,,MATCH(SUBSTITUTE(AY$3,"Q","T"),Inputs!$B$2:$AZ$2,0)),Inputs!$B$2:$B$190,$B147)*Inputs!$D$1)</f>
        <v>0</v>
      </c>
      <c r="AZ147" s="68">
        <f>IF(ISNA(SUMIFS(INDEX(Inputs!$B$2:$AZ$190,,MATCH(SUBSTITUTE(AZ$3,"Q","T"),Inputs!$B$2:$AZ$2,0)),Inputs!$B$2:$B$190,$B147)*Inputs!$D$1),"",SUMIFS(INDEX(Inputs!$B$2:$AZ$190,,MATCH(SUBSTITUTE(AZ$3,"Q","T"),Inputs!$B$2:$AZ$2,0)),Inputs!$B$2:$B$190,$B147)*Inputs!$D$1)</f>
        <v>0</v>
      </c>
      <c r="BA147" s="68">
        <f>IF(ISNA(SUMIFS(INDEX(Inputs!$B$2:$AZ$190,,MATCH(SUBSTITUTE(BA$3,"Q","T"),Inputs!$B$2:$AZ$2,0)),Inputs!$B$2:$B$190,$B147)*Inputs!$D$1),"",SUMIFS(INDEX(Inputs!$B$2:$AZ$190,,MATCH(SUBSTITUTE(BA$3,"Q","T"),Inputs!$B$2:$AZ$2,0)),Inputs!$B$2:$B$190,$B147)*Inputs!$D$1)</f>
        <v>0</v>
      </c>
      <c r="BB147" s="69">
        <f>BA147</f>
        <v>0</v>
      </c>
      <c r="BC147" s="68">
        <f>IF(ISNA(SUMIFS(INDEX(Inputs!$B$2:$AZ$190,,MATCH(SUBSTITUTE(BC$3,"Q","T"),Inputs!$B$2:$AZ$2,0)),Inputs!$B$2:$B$190,$B147)*Inputs!$D$1),"",SUMIFS(INDEX(Inputs!$B$2:$AZ$190,,MATCH(SUBSTITUTE(BC$3,"Q","T"),Inputs!$B$2:$AZ$2,0)),Inputs!$B$2:$B$190,$B147)*Inputs!$D$1)</f>
        <v>0</v>
      </c>
      <c r="BD147" s="68">
        <f>IF(ISNA(SUMIFS(INDEX(Inputs!$B$2:$AZ$190,,MATCH(SUBSTITUTE(BD$3,"Q","T"),Inputs!$B$2:$AZ$2,0)),Inputs!$B$2:$B$190,$B147)*Inputs!$D$1),"",SUMIFS(INDEX(Inputs!$B$2:$AZ$190,,MATCH(SUBSTITUTE(BD$3,"Q","T"),Inputs!$B$2:$AZ$2,0)),Inputs!$B$2:$B$190,$B147)*Inputs!$D$1)</f>
        <v>0</v>
      </c>
      <c r="BE147" s="68">
        <f>IF(ISNA(SUMIFS(INDEX(Inputs!$B$2:$AZ$190,,MATCH(SUBSTITUTE(BE$3,"Q","T"),Inputs!$B$2:$AZ$2,0)),Inputs!$B$2:$B$190,$B147)*Inputs!$D$1),"",SUMIFS(INDEX(Inputs!$B$2:$AZ$190,,MATCH(SUBSTITUTE(BE$3,"Q","T"),Inputs!$B$2:$AZ$2,0)),Inputs!$B$2:$B$190,$B147)*Inputs!$D$1)</f>
        <v>0</v>
      </c>
      <c r="BF147" s="68">
        <f>IF(ISNA(SUMIFS(INDEX(Inputs!$B$2:$AZ$190,,MATCH(SUBSTITUTE(BF$3,"Q","T"),Inputs!$B$2:$AZ$2,0)),Inputs!$B$2:$B$190,$B147)*Inputs!$D$1),"",SUMIFS(INDEX(Inputs!$B$2:$AZ$190,,MATCH(SUBSTITUTE(BF$3,"Q","T"),Inputs!$B$2:$AZ$2,0)),Inputs!$B$2:$B$190,$B147)*Inputs!$D$1)</f>
        <v>0</v>
      </c>
      <c r="BG147" s="69">
        <f>BF147</f>
        <v>0</v>
      </c>
    </row>
    <row r="148">
      <c r="B148" s="56" t="inlineStr">
        <is>
          <t>nsfr</t>
        </is>
      </c>
      <c r="C148" s="11" t="inlineStr">
        <is>
          <t>NSFR — net stable funding ratio (%)</t>
        </is>
      </c>
      <c r="D148" s="12" t="inlineStr">
        <is>
          <t>Net stable funding ratio</t>
        </is>
      </c>
      <c r="E148" s="68">
        <f>IF(ISNA(SUMIFS(INDEX(Inputs!$B$2:$AZ$190,,MATCH(SUBSTITUTE(E$3,"Q","T"),Inputs!$B$2:$AZ$2,0)),Inputs!$B$2:$B$190,$B148)*Inputs!$D$1),"",SUMIFS(INDEX(Inputs!$B$2:$AZ$190,,MATCH(SUBSTITUTE(E$3,"Q","T"),Inputs!$B$2:$AZ$2,0)),Inputs!$B$2:$B$190,$B148)*Inputs!$D$1)</f>
        <v>0</v>
      </c>
      <c r="F148" s="68">
        <f>IF(ISNA(SUMIFS(INDEX(Inputs!$B$2:$AZ$190,,MATCH(SUBSTITUTE(F$3,"Q","T"),Inputs!$B$2:$AZ$2,0)),Inputs!$B$2:$B$190,$B148)*Inputs!$D$1),"",SUMIFS(INDEX(Inputs!$B$2:$AZ$190,,MATCH(SUBSTITUTE(F$3,"Q","T"),Inputs!$B$2:$AZ$2,0)),Inputs!$B$2:$B$190,$B148)*Inputs!$D$1)</f>
        <v>0</v>
      </c>
      <c r="G148" s="68">
        <f>IF(ISNA(SUMIFS(INDEX(Inputs!$B$2:$AZ$190,,MATCH(SUBSTITUTE(G$3,"Q","T"),Inputs!$B$2:$AZ$2,0)),Inputs!$B$2:$B$190,$B148)*Inputs!$D$1),"",SUMIFS(INDEX(Inputs!$B$2:$AZ$190,,MATCH(SUBSTITUTE(G$3,"Q","T"),Inputs!$B$2:$AZ$2,0)),Inputs!$B$2:$B$190,$B148)*Inputs!$D$1)</f>
        <v>0</v>
      </c>
      <c r="H148" s="68">
        <f>IF(ISNA(SUMIFS(INDEX(Inputs!$B$2:$AZ$190,,MATCH(SUBSTITUTE(H$3,"Q","T"),Inputs!$B$2:$AZ$2,0)),Inputs!$B$2:$B$190,$B148)*Inputs!$D$1),"",SUMIFS(INDEX(Inputs!$B$2:$AZ$190,,MATCH(SUBSTITUTE(H$3,"Q","T"),Inputs!$B$2:$AZ$2,0)),Inputs!$B$2:$B$190,$B148)*Inputs!$D$1)</f>
        <v>0</v>
      </c>
      <c r="I148" s="69">
        <f>H148</f>
        <v>0</v>
      </c>
      <c r="J148" s="68">
        <f>IF(ISNA(SUMIFS(INDEX(Inputs!$B$2:$AZ$190,,MATCH(SUBSTITUTE(J$3,"Q","T"),Inputs!$B$2:$AZ$2,0)),Inputs!$B$2:$B$190,$B148)*Inputs!$D$1),"",SUMIFS(INDEX(Inputs!$B$2:$AZ$190,,MATCH(SUBSTITUTE(J$3,"Q","T"),Inputs!$B$2:$AZ$2,0)),Inputs!$B$2:$B$190,$B148)*Inputs!$D$1)</f>
        <v>0</v>
      </c>
      <c r="K148" s="68">
        <f>IF(ISNA(SUMIFS(INDEX(Inputs!$B$2:$AZ$190,,MATCH(SUBSTITUTE(K$3,"Q","T"),Inputs!$B$2:$AZ$2,0)),Inputs!$B$2:$B$190,$B148)*Inputs!$D$1),"",SUMIFS(INDEX(Inputs!$B$2:$AZ$190,,MATCH(SUBSTITUTE(K$3,"Q","T"),Inputs!$B$2:$AZ$2,0)),Inputs!$B$2:$B$190,$B148)*Inputs!$D$1)</f>
        <v>0</v>
      </c>
      <c r="L148" s="68">
        <f>IF(ISNA(SUMIFS(INDEX(Inputs!$B$2:$AZ$190,,MATCH(SUBSTITUTE(L$3,"Q","T"),Inputs!$B$2:$AZ$2,0)),Inputs!$B$2:$B$190,$B148)*Inputs!$D$1),"",SUMIFS(INDEX(Inputs!$B$2:$AZ$190,,MATCH(SUBSTITUTE(L$3,"Q","T"),Inputs!$B$2:$AZ$2,0)),Inputs!$B$2:$B$190,$B148)*Inputs!$D$1)</f>
        <v>0</v>
      </c>
      <c r="M148" s="68">
        <f>IF(ISNA(SUMIFS(INDEX(Inputs!$B$2:$AZ$190,,MATCH(SUBSTITUTE(M$3,"Q","T"),Inputs!$B$2:$AZ$2,0)),Inputs!$B$2:$B$190,$B148)*Inputs!$D$1),"",SUMIFS(INDEX(Inputs!$B$2:$AZ$190,,MATCH(SUBSTITUTE(M$3,"Q","T"),Inputs!$B$2:$AZ$2,0)),Inputs!$B$2:$B$190,$B148)*Inputs!$D$1)</f>
        <v>0</v>
      </c>
      <c r="N148" s="69">
        <f>M148</f>
        <v>0</v>
      </c>
      <c r="O148" s="68">
        <f>IF(ISNA(SUMIFS(INDEX(Inputs!$B$2:$AZ$190,,MATCH(SUBSTITUTE(O$3,"Q","T"),Inputs!$B$2:$AZ$2,0)),Inputs!$B$2:$B$190,$B148)*Inputs!$D$1),"",SUMIFS(INDEX(Inputs!$B$2:$AZ$190,,MATCH(SUBSTITUTE(O$3,"Q","T"),Inputs!$B$2:$AZ$2,0)),Inputs!$B$2:$B$190,$B148)*Inputs!$D$1)</f>
        <v>0</v>
      </c>
      <c r="P148" s="68">
        <f>IF(ISNA(SUMIFS(INDEX(Inputs!$B$2:$AZ$190,,MATCH(SUBSTITUTE(P$3,"Q","T"),Inputs!$B$2:$AZ$2,0)),Inputs!$B$2:$B$190,$B148)*Inputs!$D$1),"",SUMIFS(INDEX(Inputs!$B$2:$AZ$190,,MATCH(SUBSTITUTE(P$3,"Q","T"),Inputs!$B$2:$AZ$2,0)),Inputs!$B$2:$B$190,$B148)*Inputs!$D$1)</f>
        <v>0</v>
      </c>
      <c r="Q148" s="68">
        <f>IF(ISNA(SUMIFS(INDEX(Inputs!$B$2:$AZ$190,,MATCH(SUBSTITUTE(Q$3,"Q","T"),Inputs!$B$2:$AZ$2,0)),Inputs!$B$2:$B$190,$B148)*Inputs!$D$1),"",SUMIFS(INDEX(Inputs!$B$2:$AZ$190,,MATCH(SUBSTITUTE(Q$3,"Q","T"),Inputs!$B$2:$AZ$2,0)),Inputs!$B$2:$B$190,$B148)*Inputs!$D$1)</f>
        <v>0</v>
      </c>
      <c r="R148" s="68">
        <f>IF(ISNA(SUMIFS(INDEX(Inputs!$B$2:$AZ$190,,MATCH(SUBSTITUTE(R$3,"Q","T"),Inputs!$B$2:$AZ$2,0)),Inputs!$B$2:$B$190,$B148)*Inputs!$D$1),"",SUMIFS(INDEX(Inputs!$B$2:$AZ$190,,MATCH(SUBSTITUTE(R$3,"Q","T"),Inputs!$B$2:$AZ$2,0)),Inputs!$B$2:$B$190,$B148)*Inputs!$D$1)</f>
        <v>0</v>
      </c>
      <c r="S148" s="69">
        <f>R148</f>
        <v>0</v>
      </c>
      <c r="T148" s="68">
        <f>IF(ISNA(SUMIFS(INDEX(Inputs!$B$2:$AZ$190,,MATCH(SUBSTITUTE(T$3,"Q","T"),Inputs!$B$2:$AZ$2,0)),Inputs!$B$2:$B$190,$B148)*Inputs!$D$1),"",SUMIFS(INDEX(Inputs!$B$2:$AZ$190,,MATCH(SUBSTITUTE(T$3,"Q","T"),Inputs!$B$2:$AZ$2,0)),Inputs!$B$2:$B$190,$B148)*Inputs!$D$1)</f>
        <v>0</v>
      </c>
      <c r="U148" s="68">
        <f>IF(ISNA(SUMIFS(INDEX(Inputs!$B$2:$AZ$190,,MATCH(SUBSTITUTE(U$3,"Q","T"),Inputs!$B$2:$AZ$2,0)),Inputs!$B$2:$B$190,$B148)*Inputs!$D$1),"",SUMIFS(INDEX(Inputs!$B$2:$AZ$190,,MATCH(SUBSTITUTE(U$3,"Q","T"),Inputs!$B$2:$AZ$2,0)),Inputs!$B$2:$B$190,$B148)*Inputs!$D$1)</f>
        <v>0</v>
      </c>
      <c r="V148" s="68">
        <f>IF(ISNA(SUMIFS(INDEX(Inputs!$B$2:$AZ$190,,MATCH(SUBSTITUTE(V$3,"Q","T"),Inputs!$B$2:$AZ$2,0)),Inputs!$B$2:$B$190,$B148)*Inputs!$D$1),"",SUMIFS(INDEX(Inputs!$B$2:$AZ$190,,MATCH(SUBSTITUTE(V$3,"Q","T"),Inputs!$B$2:$AZ$2,0)),Inputs!$B$2:$B$190,$B148)*Inputs!$D$1)</f>
        <v>0</v>
      </c>
      <c r="W148" s="68">
        <f>IF(ISNA(SUMIFS(INDEX(Inputs!$B$2:$AZ$190,,MATCH(SUBSTITUTE(W$3,"Q","T"),Inputs!$B$2:$AZ$2,0)),Inputs!$B$2:$B$190,$B148)*Inputs!$D$1),"",SUMIFS(INDEX(Inputs!$B$2:$AZ$190,,MATCH(SUBSTITUTE(W$3,"Q","T"),Inputs!$B$2:$AZ$2,0)),Inputs!$B$2:$B$190,$B148)*Inputs!$D$1)</f>
        <v>0</v>
      </c>
      <c r="X148" s="69">
        <f>W148</f>
        <v>0</v>
      </c>
      <c r="Y148" s="68">
        <f>IF(ISNA(SUMIFS(INDEX(Inputs!$B$2:$AZ$190,,MATCH(SUBSTITUTE(Y$3,"Q","T"),Inputs!$B$2:$AZ$2,0)),Inputs!$B$2:$B$190,$B148)*Inputs!$D$1),"",SUMIFS(INDEX(Inputs!$B$2:$AZ$190,,MATCH(SUBSTITUTE(Y$3,"Q","T"),Inputs!$B$2:$AZ$2,0)),Inputs!$B$2:$B$190,$B148)*Inputs!$D$1)</f>
        <v>0</v>
      </c>
      <c r="Z148" s="68">
        <f>IF(ISNA(SUMIFS(INDEX(Inputs!$B$2:$AZ$190,,MATCH(SUBSTITUTE(Z$3,"Q","T"),Inputs!$B$2:$AZ$2,0)),Inputs!$B$2:$B$190,$B148)*Inputs!$D$1),"",SUMIFS(INDEX(Inputs!$B$2:$AZ$190,,MATCH(SUBSTITUTE(Z$3,"Q","T"),Inputs!$B$2:$AZ$2,0)),Inputs!$B$2:$B$190,$B148)*Inputs!$D$1)</f>
        <v>0</v>
      </c>
      <c r="AA148" s="68">
        <f>IF(ISNA(SUMIFS(INDEX(Inputs!$B$2:$AZ$190,,MATCH(SUBSTITUTE(AA$3,"Q","T"),Inputs!$B$2:$AZ$2,0)),Inputs!$B$2:$B$190,$B148)*Inputs!$D$1),"",SUMIFS(INDEX(Inputs!$B$2:$AZ$190,,MATCH(SUBSTITUTE(AA$3,"Q","T"),Inputs!$B$2:$AZ$2,0)),Inputs!$B$2:$B$190,$B148)*Inputs!$D$1)</f>
        <v>0</v>
      </c>
      <c r="AB148" s="68">
        <f>IF(ISNA(SUMIFS(INDEX(Inputs!$B$2:$AZ$190,,MATCH(SUBSTITUTE(AB$3,"Q","T"),Inputs!$B$2:$AZ$2,0)),Inputs!$B$2:$B$190,$B148)*Inputs!$D$1),"",SUMIFS(INDEX(Inputs!$B$2:$AZ$190,,MATCH(SUBSTITUTE(AB$3,"Q","T"),Inputs!$B$2:$AZ$2,0)),Inputs!$B$2:$B$190,$B148)*Inputs!$D$1)</f>
        <v>0</v>
      </c>
      <c r="AC148" s="69">
        <f>AB148</f>
        <v>0</v>
      </c>
      <c r="AD148" s="68">
        <f>IF(ISNA(SUMIFS(INDEX(Inputs!$B$2:$AZ$190,,MATCH(SUBSTITUTE(AD$3,"Q","T"),Inputs!$B$2:$AZ$2,0)),Inputs!$B$2:$B$190,$B148)*Inputs!$D$1),"",SUMIFS(INDEX(Inputs!$B$2:$AZ$190,,MATCH(SUBSTITUTE(AD$3,"Q","T"),Inputs!$B$2:$AZ$2,0)),Inputs!$B$2:$B$190,$B148)*Inputs!$D$1)</f>
        <v>0</v>
      </c>
      <c r="AE148" s="68">
        <f>IF(ISNA(SUMIFS(INDEX(Inputs!$B$2:$AZ$190,,MATCH(SUBSTITUTE(AE$3,"Q","T"),Inputs!$B$2:$AZ$2,0)),Inputs!$B$2:$B$190,$B148)*Inputs!$D$1),"",SUMIFS(INDEX(Inputs!$B$2:$AZ$190,,MATCH(SUBSTITUTE(AE$3,"Q","T"),Inputs!$B$2:$AZ$2,0)),Inputs!$B$2:$B$190,$B148)*Inputs!$D$1)</f>
        <v>0</v>
      </c>
      <c r="AF148" s="68">
        <f>IF(ISNA(SUMIFS(INDEX(Inputs!$B$2:$AZ$190,,MATCH(SUBSTITUTE(AF$3,"Q","T"),Inputs!$B$2:$AZ$2,0)),Inputs!$B$2:$B$190,$B148)*Inputs!$D$1),"",SUMIFS(INDEX(Inputs!$B$2:$AZ$190,,MATCH(SUBSTITUTE(AF$3,"Q","T"),Inputs!$B$2:$AZ$2,0)),Inputs!$B$2:$B$190,$B148)*Inputs!$D$1)</f>
        <v>0</v>
      </c>
      <c r="AG148" s="68">
        <f>IF(ISNA(SUMIFS(INDEX(Inputs!$B$2:$AZ$190,,MATCH(SUBSTITUTE(AG$3,"Q","T"),Inputs!$B$2:$AZ$2,0)),Inputs!$B$2:$B$190,$B148)*Inputs!$D$1),"",SUMIFS(INDEX(Inputs!$B$2:$AZ$190,,MATCH(SUBSTITUTE(AG$3,"Q","T"),Inputs!$B$2:$AZ$2,0)),Inputs!$B$2:$B$190,$B148)*Inputs!$D$1)</f>
        <v>0</v>
      </c>
      <c r="AH148" s="69">
        <f>AG148</f>
        <v>0</v>
      </c>
      <c r="AI148" s="68">
        <f>IF(ISNA(SUMIFS(INDEX(Inputs!$B$2:$AZ$190,,MATCH(SUBSTITUTE(AI$3,"Q","T"),Inputs!$B$2:$AZ$2,0)),Inputs!$B$2:$B$190,$B148)*Inputs!$D$1),"",SUMIFS(INDEX(Inputs!$B$2:$AZ$190,,MATCH(SUBSTITUTE(AI$3,"Q","T"),Inputs!$B$2:$AZ$2,0)),Inputs!$B$2:$B$190,$B148)*Inputs!$D$1)</f>
        <v>0</v>
      </c>
      <c r="AJ148" s="68">
        <f>IF(ISNA(SUMIFS(INDEX(Inputs!$B$2:$AZ$190,,MATCH(SUBSTITUTE(AJ$3,"Q","T"),Inputs!$B$2:$AZ$2,0)),Inputs!$B$2:$B$190,$B148)*Inputs!$D$1),"",SUMIFS(INDEX(Inputs!$B$2:$AZ$190,,MATCH(SUBSTITUTE(AJ$3,"Q","T"),Inputs!$B$2:$AZ$2,0)),Inputs!$B$2:$B$190,$B148)*Inputs!$D$1)</f>
        <v>0</v>
      </c>
      <c r="AK148" s="68">
        <f>IF(ISNA(SUMIFS(INDEX(Inputs!$B$2:$AZ$190,,MATCH(SUBSTITUTE(AK$3,"Q","T"),Inputs!$B$2:$AZ$2,0)),Inputs!$B$2:$B$190,$B148)*Inputs!$D$1),"",SUMIFS(INDEX(Inputs!$B$2:$AZ$190,,MATCH(SUBSTITUTE(AK$3,"Q","T"),Inputs!$B$2:$AZ$2,0)),Inputs!$B$2:$B$190,$B148)*Inputs!$D$1)</f>
        <v>0</v>
      </c>
      <c r="AL148" s="68">
        <f>IF(ISNA(SUMIFS(INDEX(Inputs!$B$2:$AZ$190,,MATCH(SUBSTITUTE(AL$3,"Q","T"),Inputs!$B$2:$AZ$2,0)),Inputs!$B$2:$B$190,$B148)*Inputs!$D$1),"",SUMIFS(INDEX(Inputs!$B$2:$AZ$190,,MATCH(SUBSTITUTE(AL$3,"Q","T"),Inputs!$B$2:$AZ$2,0)),Inputs!$B$2:$B$190,$B148)*Inputs!$D$1)</f>
        <v>0</v>
      </c>
      <c r="AM148" s="69">
        <f>AL148</f>
        <v>0</v>
      </c>
      <c r="AN148" s="68">
        <f>IF(ISNA(SUMIFS(INDEX(Inputs!$B$2:$AZ$190,,MATCH(SUBSTITUTE(AN$3,"Q","T"),Inputs!$B$2:$AZ$2,0)),Inputs!$B$2:$B$190,$B148)*Inputs!$D$1),"",SUMIFS(INDEX(Inputs!$B$2:$AZ$190,,MATCH(SUBSTITUTE(AN$3,"Q","T"),Inputs!$B$2:$AZ$2,0)),Inputs!$B$2:$B$190,$B148)*Inputs!$D$1)</f>
        <v>0</v>
      </c>
      <c r="AO148" s="68">
        <f>IF(ISNA(SUMIFS(INDEX(Inputs!$B$2:$AZ$190,,MATCH(SUBSTITUTE(AO$3,"Q","T"),Inputs!$B$2:$AZ$2,0)),Inputs!$B$2:$B$190,$B148)*Inputs!$D$1),"",SUMIFS(INDEX(Inputs!$B$2:$AZ$190,,MATCH(SUBSTITUTE(AO$3,"Q","T"),Inputs!$B$2:$AZ$2,0)),Inputs!$B$2:$B$190,$B148)*Inputs!$D$1)</f>
        <v>0</v>
      </c>
      <c r="AP148" s="68">
        <f>IF(ISNA(SUMIFS(INDEX(Inputs!$B$2:$AZ$190,,MATCH(SUBSTITUTE(AP$3,"Q","T"),Inputs!$B$2:$AZ$2,0)),Inputs!$B$2:$B$190,$B148)*Inputs!$D$1),"",SUMIFS(INDEX(Inputs!$B$2:$AZ$190,,MATCH(SUBSTITUTE(AP$3,"Q","T"),Inputs!$B$2:$AZ$2,0)),Inputs!$B$2:$B$190,$B148)*Inputs!$D$1)</f>
        <v>0</v>
      </c>
      <c r="AQ148" s="68">
        <f>IF(ISNA(SUMIFS(INDEX(Inputs!$B$2:$AZ$190,,MATCH(SUBSTITUTE(AQ$3,"Q","T"),Inputs!$B$2:$AZ$2,0)),Inputs!$B$2:$B$190,$B148)*Inputs!$D$1),"",SUMIFS(INDEX(Inputs!$B$2:$AZ$190,,MATCH(SUBSTITUTE(AQ$3,"Q","T"),Inputs!$B$2:$AZ$2,0)),Inputs!$B$2:$B$190,$B148)*Inputs!$D$1)</f>
        <v>0</v>
      </c>
      <c r="AR148" s="69">
        <f>AQ148</f>
        <v>0</v>
      </c>
      <c r="AS148" s="68">
        <f>IF(ISNA(SUMIFS(INDEX(Inputs!$B$2:$AZ$190,,MATCH(SUBSTITUTE(AS$3,"Q","T"),Inputs!$B$2:$AZ$2,0)),Inputs!$B$2:$B$190,$B148)*Inputs!$D$1),"",SUMIFS(INDEX(Inputs!$B$2:$AZ$190,,MATCH(SUBSTITUTE(AS$3,"Q","T"),Inputs!$B$2:$AZ$2,0)),Inputs!$B$2:$B$190,$B148)*Inputs!$D$1)</f>
        <v>0</v>
      </c>
      <c r="AT148" s="68">
        <f>IF(ISNA(SUMIFS(INDEX(Inputs!$B$2:$AZ$190,,MATCH(SUBSTITUTE(AT$3,"Q","T"),Inputs!$B$2:$AZ$2,0)),Inputs!$B$2:$B$190,$B148)*Inputs!$D$1),"",SUMIFS(INDEX(Inputs!$B$2:$AZ$190,,MATCH(SUBSTITUTE(AT$3,"Q","T"),Inputs!$B$2:$AZ$2,0)),Inputs!$B$2:$B$190,$B148)*Inputs!$D$1)</f>
        <v>0</v>
      </c>
      <c r="AU148" s="68">
        <f>IF(ISNA(SUMIFS(INDEX(Inputs!$B$2:$AZ$190,,MATCH(SUBSTITUTE(AU$3,"Q","T"),Inputs!$B$2:$AZ$2,0)),Inputs!$B$2:$B$190,$B148)*Inputs!$D$1),"",SUMIFS(INDEX(Inputs!$B$2:$AZ$190,,MATCH(SUBSTITUTE(AU$3,"Q","T"),Inputs!$B$2:$AZ$2,0)),Inputs!$B$2:$B$190,$B148)*Inputs!$D$1)</f>
        <v>0</v>
      </c>
      <c r="AV148" s="68">
        <f>IF(ISNA(SUMIFS(INDEX(Inputs!$B$2:$AZ$190,,MATCH(SUBSTITUTE(AV$3,"Q","T"),Inputs!$B$2:$AZ$2,0)),Inputs!$B$2:$B$190,$B148)*Inputs!$D$1),"",SUMIFS(INDEX(Inputs!$B$2:$AZ$190,,MATCH(SUBSTITUTE(AV$3,"Q","T"),Inputs!$B$2:$AZ$2,0)),Inputs!$B$2:$B$190,$B148)*Inputs!$D$1)</f>
        <v>0</v>
      </c>
      <c r="AW148" s="69">
        <f>AV148</f>
        <v>0</v>
      </c>
      <c r="AX148" s="68">
        <f>IF(ISNA(SUMIFS(INDEX(Inputs!$B$2:$AZ$190,,MATCH(SUBSTITUTE(AX$3,"Q","T"),Inputs!$B$2:$AZ$2,0)),Inputs!$B$2:$B$190,$B148)*Inputs!$D$1),"",SUMIFS(INDEX(Inputs!$B$2:$AZ$190,,MATCH(SUBSTITUTE(AX$3,"Q","T"),Inputs!$B$2:$AZ$2,0)),Inputs!$B$2:$B$190,$B148)*Inputs!$D$1)</f>
        <v>0</v>
      </c>
      <c r="AY148" s="68">
        <f>IF(ISNA(SUMIFS(INDEX(Inputs!$B$2:$AZ$190,,MATCH(SUBSTITUTE(AY$3,"Q","T"),Inputs!$B$2:$AZ$2,0)),Inputs!$B$2:$B$190,$B148)*Inputs!$D$1),"",SUMIFS(INDEX(Inputs!$B$2:$AZ$190,,MATCH(SUBSTITUTE(AY$3,"Q","T"),Inputs!$B$2:$AZ$2,0)),Inputs!$B$2:$B$190,$B148)*Inputs!$D$1)</f>
        <v>0</v>
      </c>
      <c r="AZ148" s="68">
        <f>IF(ISNA(SUMIFS(INDEX(Inputs!$B$2:$AZ$190,,MATCH(SUBSTITUTE(AZ$3,"Q","T"),Inputs!$B$2:$AZ$2,0)),Inputs!$B$2:$B$190,$B148)*Inputs!$D$1),"",SUMIFS(INDEX(Inputs!$B$2:$AZ$190,,MATCH(SUBSTITUTE(AZ$3,"Q","T"),Inputs!$B$2:$AZ$2,0)),Inputs!$B$2:$B$190,$B148)*Inputs!$D$1)</f>
        <v>0</v>
      </c>
      <c r="BA148" s="68">
        <f>IF(ISNA(SUMIFS(INDEX(Inputs!$B$2:$AZ$190,,MATCH(SUBSTITUTE(BA$3,"Q","T"),Inputs!$B$2:$AZ$2,0)),Inputs!$B$2:$B$190,$B148)*Inputs!$D$1),"",SUMIFS(INDEX(Inputs!$B$2:$AZ$190,,MATCH(SUBSTITUTE(BA$3,"Q","T"),Inputs!$B$2:$AZ$2,0)),Inputs!$B$2:$B$190,$B148)*Inputs!$D$1)</f>
        <v>0</v>
      </c>
      <c r="BB148" s="69">
        <f>BA148</f>
        <v>0</v>
      </c>
      <c r="BC148" s="68">
        <f>IF(ISNA(SUMIFS(INDEX(Inputs!$B$2:$AZ$190,,MATCH(SUBSTITUTE(BC$3,"Q","T"),Inputs!$B$2:$AZ$2,0)),Inputs!$B$2:$B$190,$B148)*Inputs!$D$1),"",SUMIFS(INDEX(Inputs!$B$2:$AZ$190,,MATCH(SUBSTITUTE(BC$3,"Q","T"),Inputs!$B$2:$AZ$2,0)),Inputs!$B$2:$B$190,$B148)*Inputs!$D$1)</f>
        <v>0</v>
      </c>
      <c r="BD148" s="68">
        <f>IF(ISNA(SUMIFS(INDEX(Inputs!$B$2:$AZ$190,,MATCH(SUBSTITUTE(BD$3,"Q","T"),Inputs!$B$2:$AZ$2,0)),Inputs!$B$2:$B$190,$B148)*Inputs!$D$1),"",SUMIFS(INDEX(Inputs!$B$2:$AZ$190,,MATCH(SUBSTITUTE(BD$3,"Q","T"),Inputs!$B$2:$AZ$2,0)),Inputs!$B$2:$B$190,$B148)*Inputs!$D$1)</f>
        <v>0</v>
      </c>
      <c r="BE148" s="68">
        <f>IF(ISNA(SUMIFS(INDEX(Inputs!$B$2:$AZ$190,,MATCH(SUBSTITUTE(BE$3,"Q","T"),Inputs!$B$2:$AZ$2,0)),Inputs!$B$2:$B$190,$B148)*Inputs!$D$1),"",SUMIFS(INDEX(Inputs!$B$2:$AZ$190,,MATCH(SUBSTITUTE(BE$3,"Q","T"),Inputs!$B$2:$AZ$2,0)),Inputs!$B$2:$B$190,$B148)*Inputs!$D$1)</f>
        <v>0</v>
      </c>
      <c r="BF148" s="68">
        <f>IF(ISNA(SUMIFS(INDEX(Inputs!$B$2:$AZ$190,,MATCH(SUBSTITUTE(BF$3,"Q","T"),Inputs!$B$2:$AZ$2,0)),Inputs!$B$2:$B$190,$B148)*Inputs!$D$1),"",SUMIFS(INDEX(Inputs!$B$2:$AZ$190,,MATCH(SUBSTITUTE(BF$3,"Q","T"),Inputs!$B$2:$AZ$2,0)),Inputs!$B$2:$B$190,$B148)*Inputs!$D$1)</f>
        <v>0</v>
      </c>
      <c r="BG148" s="69">
        <f>BF148</f>
        <v>0</v>
      </c>
    </row>
    <row r="149">
      <c r="B149" s="56" t="inlineStr">
        <is>
          <t>slr</t>
        </is>
      </c>
      <c r="C149" s="11" t="inlineStr">
        <is>
          <t>Supplementary leverage ratio — SLR (%)</t>
        </is>
      </c>
      <c r="D149" s="12" t="inlineStr">
        <is>
          <t>Supplementary leverage ratio</t>
        </is>
      </c>
      <c r="E149" s="68">
        <f>IF(ISNA(SUMIFS(INDEX(Inputs!$B$2:$AZ$190,,MATCH(SUBSTITUTE(E$3,"Q","T"),Inputs!$B$2:$AZ$2,0)),Inputs!$B$2:$B$190,$B149)*Inputs!$D$1),"",SUMIFS(INDEX(Inputs!$B$2:$AZ$190,,MATCH(SUBSTITUTE(E$3,"Q","T"),Inputs!$B$2:$AZ$2,0)),Inputs!$B$2:$B$190,$B149)*Inputs!$D$1)</f>
        <v>0</v>
      </c>
      <c r="F149" s="68">
        <f>IF(ISNA(SUMIFS(INDEX(Inputs!$B$2:$AZ$190,,MATCH(SUBSTITUTE(F$3,"Q","T"),Inputs!$B$2:$AZ$2,0)),Inputs!$B$2:$B$190,$B149)*Inputs!$D$1),"",SUMIFS(INDEX(Inputs!$B$2:$AZ$190,,MATCH(SUBSTITUTE(F$3,"Q","T"),Inputs!$B$2:$AZ$2,0)),Inputs!$B$2:$B$190,$B149)*Inputs!$D$1)</f>
        <v>0</v>
      </c>
      <c r="G149" s="68">
        <f>IF(ISNA(SUMIFS(INDEX(Inputs!$B$2:$AZ$190,,MATCH(SUBSTITUTE(G$3,"Q","T"),Inputs!$B$2:$AZ$2,0)),Inputs!$B$2:$B$190,$B149)*Inputs!$D$1),"",SUMIFS(INDEX(Inputs!$B$2:$AZ$190,,MATCH(SUBSTITUTE(G$3,"Q","T"),Inputs!$B$2:$AZ$2,0)),Inputs!$B$2:$B$190,$B149)*Inputs!$D$1)</f>
        <v>0</v>
      </c>
      <c r="H149" s="68">
        <f>IF(ISNA(SUMIFS(INDEX(Inputs!$B$2:$AZ$190,,MATCH(SUBSTITUTE(H$3,"Q","T"),Inputs!$B$2:$AZ$2,0)),Inputs!$B$2:$B$190,$B149)*Inputs!$D$1),"",SUMIFS(INDEX(Inputs!$B$2:$AZ$190,,MATCH(SUBSTITUTE(H$3,"Q","T"),Inputs!$B$2:$AZ$2,0)),Inputs!$B$2:$B$190,$B149)*Inputs!$D$1)</f>
        <v>0</v>
      </c>
      <c r="I149" s="69">
        <f>H149</f>
        <v>0</v>
      </c>
      <c r="J149" s="68">
        <f>IF(ISNA(SUMIFS(INDEX(Inputs!$B$2:$AZ$190,,MATCH(SUBSTITUTE(J$3,"Q","T"),Inputs!$B$2:$AZ$2,0)),Inputs!$B$2:$B$190,$B149)*Inputs!$D$1),"",SUMIFS(INDEX(Inputs!$B$2:$AZ$190,,MATCH(SUBSTITUTE(J$3,"Q","T"),Inputs!$B$2:$AZ$2,0)),Inputs!$B$2:$B$190,$B149)*Inputs!$D$1)</f>
        <v>0</v>
      </c>
      <c r="K149" s="68">
        <f>IF(ISNA(SUMIFS(INDEX(Inputs!$B$2:$AZ$190,,MATCH(SUBSTITUTE(K$3,"Q","T"),Inputs!$B$2:$AZ$2,0)),Inputs!$B$2:$B$190,$B149)*Inputs!$D$1),"",SUMIFS(INDEX(Inputs!$B$2:$AZ$190,,MATCH(SUBSTITUTE(K$3,"Q","T"),Inputs!$B$2:$AZ$2,0)),Inputs!$B$2:$B$190,$B149)*Inputs!$D$1)</f>
        <v>0</v>
      </c>
      <c r="L149" s="68">
        <f>IF(ISNA(SUMIFS(INDEX(Inputs!$B$2:$AZ$190,,MATCH(SUBSTITUTE(L$3,"Q","T"),Inputs!$B$2:$AZ$2,0)),Inputs!$B$2:$B$190,$B149)*Inputs!$D$1),"",SUMIFS(INDEX(Inputs!$B$2:$AZ$190,,MATCH(SUBSTITUTE(L$3,"Q","T"),Inputs!$B$2:$AZ$2,0)),Inputs!$B$2:$B$190,$B149)*Inputs!$D$1)</f>
        <v>0</v>
      </c>
      <c r="M149" s="68">
        <f>IF(ISNA(SUMIFS(INDEX(Inputs!$B$2:$AZ$190,,MATCH(SUBSTITUTE(M$3,"Q","T"),Inputs!$B$2:$AZ$2,0)),Inputs!$B$2:$B$190,$B149)*Inputs!$D$1),"",SUMIFS(INDEX(Inputs!$B$2:$AZ$190,,MATCH(SUBSTITUTE(M$3,"Q","T"),Inputs!$B$2:$AZ$2,0)),Inputs!$B$2:$B$190,$B149)*Inputs!$D$1)</f>
        <v>0</v>
      </c>
      <c r="N149" s="69">
        <f>M149</f>
        <v>0</v>
      </c>
      <c r="O149" s="68">
        <f>IF(ISNA(SUMIFS(INDEX(Inputs!$B$2:$AZ$190,,MATCH(SUBSTITUTE(O$3,"Q","T"),Inputs!$B$2:$AZ$2,0)),Inputs!$B$2:$B$190,$B149)*Inputs!$D$1),"",SUMIFS(INDEX(Inputs!$B$2:$AZ$190,,MATCH(SUBSTITUTE(O$3,"Q","T"),Inputs!$B$2:$AZ$2,0)),Inputs!$B$2:$B$190,$B149)*Inputs!$D$1)</f>
        <v>0</v>
      </c>
      <c r="P149" s="68">
        <f>IF(ISNA(SUMIFS(INDEX(Inputs!$B$2:$AZ$190,,MATCH(SUBSTITUTE(P$3,"Q","T"),Inputs!$B$2:$AZ$2,0)),Inputs!$B$2:$B$190,$B149)*Inputs!$D$1),"",SUMIFS(INDEX(Inputs!$B$2:$AZ$190,,MATCH(SUBSTITUTE(P$3,"Q","T"),Inputs!$B$2:$AZ$2,0)),Inputs!$B$2:$B$190,$B149)*Inputs!$D$1)</f>
        <v>0</v>
      </c>
      <c r="Q149" s="68">
        <f>IF(ISNA(SUMIFS(INDEX(Inputs!$B$2:$AZ$190,,MATCH(SUBSTITUTE(Q$3,"Q","T"),Inputs!$B$2:$AZ$2,0)),Inputs!$B$2:$B$190,$B149)*Inputs!$D$1),"",SUMIFS(INDEX(Inputs!$B$2:$AZ$190,,MATCH(SUBSTITUTE(Q$3,"Q","T"),Inputs!$B$2:$AZ$2,0)),Inputs!$B$2:$B$190,$B149)*Inputs!$D$1)</f>
        <v>0</v>
      </c>
      <c r="R149" s="68">
        <f>IF(ISNA(SUMIFS(INDEX(Inputs!$B$2:$AZ$190,,MATCH(SUBSTITUTE(R$3,"Q","T"),Inputs!$B$2:$AZ$2,0)),Inputs!$B$2:$B$190,$B149)*Inputs!$D$1),"",SUMIFS(INDEX(Inputs!$B$2:$AZ$190,,MATCH(SUBSTITUTE(R$3,"Q","T"),Inputs!$B$2:$AZ$2,0)),Inputs!$B$2:$B$190,$B149)*Inputs!$D$1)</f>
        <v>0</v>
      </c>
      <c r="S149" s="69">
        <f>R149</f>
        <v>0</v>
      </c>
      <c r="T149" s="68">
        <f>IF(ISNA(SUMIFS(INDEX(Inputs!$B$2:$AZ$190,,MATCH(SUBSTITUTE(T$3,"Q","T"),Inputs!$B$2:$AZ$2,0)),Inputs!$B$2:$B$190,$B149)*Inputs!$D$1),"",SUMIFS(INDEX(Inputs!$B$2:$AZ$190,,MATCH(SUBSTITUTE(T$3,"Q","T"),Inputs!$B$2:$AZ$2,0)),Inputs!$B$2:$B$190,$B149)*Inputs!$D$1)</f>
        <v>0</v>
      </c>
      <c r="U149" s="68">
        <f>IF(ISNA(SUMIFS(INDEX(Inputs!$B$2:$AZ$190,,MATCH(SUBSTITUTE(U$3,"Q","T"),Inputs!$B$2:$AZ$2,0)),Inputs!$B$2:$B$190,$B149)*Inputs!$D$1),"",SUMIFS(INDEX(Inputs!$B$2:$AZ$190,,MATCH(SUBSTITUTE(U$3,"Q","T"),Inputs!$B$2:$AZ$2,0)),Inputs!$B$2:$B$190,$B149)*Inputs!$D$1)</f>
        <v>0</v>
      </c>
      <c r="V149" s="68">
        <f>IF(ISNA(SUMIFS(INDEX(Inputs!$B$2:$AZ$190,,MATCH(SUBSTITUTE(V$3,"Q","T"),Inputs!$B$2:$AZ$2,0)),Inputs!$B$2:$B$190,$B149)*Inputs!$D$1),"",SUMIFS(INDEX(Inputs!$B$2:$AZ$190,,MATCH(SUBSTITUTE(V$3,"Q","T"),Inputs!$B$2:$AZ$2,0)),Inputs!$B$2:$B$190,$B149)*Inputs!$D$1)</f>
        <v>0</v>
      </c>
      <c r="W149" s="68">
        <f>IF(ISNA(SUMIFS(INDEX(Inputs!$B$2:$AZ$190,,MATCH(SUBSTITUTE(W$3,"Q","T"),Inputs!$B$2:$AZ$2,0)),Inputs!$B$2:$B$190,$B149)*Inputs!$D$1),"",SUMIFS(INDEX(Inputs!$B$2:$AZ$190,,MATCH(SUBSTITUTE(W$3,"Q","T"),Inputs!$B$2:$AZ$2,0)),Inputs!$B$2:$B$190,$B149)*Inputs!$D$1)</f>
        <v>0</v>
      </c>
      <c r="X149" s="69">
        <f>W149</f>
        <v>0</v>
      </c>
      <c r="Y149" s="68">
        <f>IF(ISNA(SUMIFS(INDEX(Inputs!$B$2:$AZ$190,,MATCH(SUBSTITUTE(Y$3,"Q","T"),Inputs!$B$2:$AZ$2,0)),Inputs!$B$2:$B$190,$B149)*Inputs!$D$1),"",SUMIFS(INDEX(Inputs!$B$2:$AZ$190,,MATCH(SUBSTITUTE(Y$3,"Q","T"),Inputs!$B$2:$AZ$2,0)),Inputs!$B$2:$B$190,$B149)*Inputs!$D$1)</f>
        <v>0</v>
      </c>
      <c r="Z149" s="68">
        <f>IF(ISNA(SUMIFS(INDEX(Inputs!$B$2:$AZ$190,,MATCH(SUBSTITUTE(Z$3,"Q","T"),Inputs!$B$2:$AZ$2,0)),Inputs!$B$2:$B$190,$B149)*Inputs!$D$1),"",SUMIFS(INDEX(Inputs!$B$2:$AZ$190,,MATCH(SUBSTITUTE(Z$3,"Q","T"),Inputs!$B$2:$AZ$2,0)),Inputs!$B$2:$B$190,$B149)*Inputs!$D$1)</f>
        <v>0</v>
      </c>
      <c r="AA149" s="68">
        <f>IF(ISNA(SUMIFS(INDEX(Inputs!$B$2:$AZ$190,,MATCH(SUBSTITUTE(AA$3,"Q","T"),Inputs!$B$2:$AZ$2,0)),Inputs!$B$2:$B$190,$B149)*Inputs!$D$1),"",SUMIFS(INDEX(Inputs!$B$2:$AZ$190,,MATCH(SUBSTITUTE(AA$3,"Q","T"),Inputs!$B$2:$AZ$2,0)),Inputs!$B$2:$B$190,$B149)*Inputs!$D$1)</f>
        <v>0</v>
      </c>
      <c r="AB149" s="68">
        <f>IF(ISNA(SUMIFS(INDEX(Inputs!$B$2:$AZ$190,,MATCH(SUBSTITUTE(AB$3,"Q","T"),Inputs!$B$2:$AZ$2,0)),Inputs!$B$2:$B$190,$B149)*Inputs!$D$1),"",SUMIFS(INDEX(Inputs!$B$2:$AZ$190,,MATCH(SUBSTITUTE(AB$3,"Q","T"),Inputs!$B$2:$AZ$2,0)),Inputs!$B$2:$B$190,$B149)*Inputs!$D$1)</f>
        <v>0</v>
      </c>
      <c r="AC149" s="69">
        <f>AB149</f>
        <v>0</v>
      </c>
      <c r="AD149" s="68">
        <f>IF(ISNA(SUMIFS(INDEX(Inputs!$B$2:$AZ$190,,MATCH(SUBSTITUTE(AD$3,"Q","T"),Inputs!$B$2:$AZ$2,0)),Inputs!$B$2:$B$190,$B149)*Inputs!$D$1),"",SUMIFS(INDEX(Inputs!$B$2:$AZ$190,,MATCH(SUBSTITUTE(AD$3,"Q","T"),Inputs!$B$2:$AZ$2,0)),Inputs!$B$2:$B$190,$B149)*Inputs!$D$1)</f>
        <v>0</v>
      </c>
      <c r="AE149" s="68">
        <f>IF(ISNA(SUMIFS(INDEX(Inputs!$B$2:$AZ$190,,MATCH(SUBSTITUTE(AE$3,"Q","T"),Inputs!$B$2:$AZ$2,0)),Inputs!$B$2:$B$190,$B149)*Inputs!$D$1),"",SUMIFS(INDEX(Inputs!$B$2:$AZ$190,,MATCH(SUBSTITUTE(AE$3,"Q","T"),Inputs!$B$2:$AZ$2,0)),Inputs!$B$2:$B$190,$B149)*Inputs!$D$1)</f>
        <v>0</v>
      </c>
      <c r="AF149" s="68">
        <f>IF(ISNA(SUMIFS(INDEX(Inputs!$B$2:$AZ$190,,MATCH(SUBSTITUTE(AF$3,"Q","T"),Inputs!$B$2:$AZ$2,0)),Inputs!$B$2:$B$190,$B149)*Inputs!$D$1),"",SUMIFS(INDEX(Inputs!$B$2:$AZ$190,,MATCH(SUBSTITUTE(AF$3,"Q","T"),Inputs!$B$2:$AZ$2,0)),Inputs!$B$2:$B$190,$B149)*Inputs!$D$1)</f>
        <v>0</v>
      </c>
      <c r="AG149" s="68">
        <f>IF(ISNA(SUMIFS(INDEX(Inputs!$B$2:$AZ$190,,MATCH(SUBSTITUTE(AG$3,"Q","T"),Inputs!$B$2:$AZ$2,0)),Inputs!$B$2:$B$190,$B149)*Inputs!$D$1),"",SUMIFS(INDEX(Inputs!$B$2:$AZ$190,,MATCH(SUBSTITUTE(AG$3,"Q","T"),Inputs!$B$2:$AZ$2,0)),Inputs!$B$2:$B$190,$B149)*Inputs!$D$1)</f>
        <v>0</v>
      </c>
      <c r="AH149" s="69">
        <f>AG149</f>
        <v>0</v>
      </c>
      <c r="AI149" s="68">
        <f>IF(ISNA(SUMIFS(INDEX(Inputs!$B$2:$AZ$190,,MATCH(SUBSTITUTE(AI$3,"Q","T"),Inputs!$B$2:$AZ$2,0)),Inputs!$B$2:$B$190,$B149)*Inputs!$D$1),"",SUMIFS(INDEX(Inputs!$B$2:$AZ$190,,MATCH(SUBSTITUTE(AI$3,"Q","T"),Inputs!$B$2:$AZ$2,0)),Inputs!$B$2:$B$190,$B149)*Inputs!$D$1)</f>
        <v>0</v>
      </c>
      <c r="AJ149" s="68">
        <f>IF(ISNA(SUMIFS(INDEX(Inputs!$B$2:$AZ$190,,MATCH(SUBSTITUTE(AJ$3,"Q","T"),Inputs!$B$2:$AZ$2,0)),Inputs!$B$2:$B$190,$B149)*Inputs!$D$1),"",SUMIFS(INDEX(Inputs!$B$2:$AZ$190,,MATCH(SUBSTITUTE(AJ$3,"Q","T"),Inputs!$B$2:$AZ$2,0)),Inputs!$B$2:$B$190,$B149)*Inputs!$D$1)</f>
        <v>0</v>
      </c>
      <c r="AK149" s="68">
        <f>IF(ISNA(SUMIFS(INDEX(Inputs!$B$2:$AZ$190,,MATCH(SUBSTITUTE(AK$3,"Q","T"),Inputs!$B$2:$AZ$2,0)),Inputs!$B$2:$B$190,$B149)*Inputs!$D$1),"",SUMIFS(INDEX(Inputs!$B$2:$AZ$190,,MATCH(SUBSTITUTE(AK$3,"Q","T"),Inputs!$B$2:$AZ$2,0)),Inputs!$B$2:$B$190,$B149)*Inputs!$D$1)</f>
        <v>0</v>
      </c>
      <c r="AL149" s="68">
        <f>IF(ISNA(SUMIFS(INDEX(Inputs!$B$2:$AZ$190,,MATCH(SUBSTITUTE(AL$3,"Q","T"),Inputs!$B$2:$AZ$2,0)),Inputs!$B$2:$B$190,$B149)*Inputs!$D$1),"",SUMIFS(INDEX(Inputs!$B$2:$AZ$190,,MATCH(SUBSTITUTE(AL$3,"Q","T"),Inputs!$B$2:$AZ$2,0)),Inputs!$B$2:$B$190,$B149)*Inputs!$D$1)</f>
        <v>0</v>
      </c>
      <c r="AM149" s="69">
        <f>AL149</f>
        <v>0</v>
      </c>
      <c r="AN149" s="68">
        <f>IF(ISNA(SUMIFS(INDEX(Inputs!$B$2:$AZ$190,,MATCH(SUBSTITUTE(AN$3,"Q","T"),Inputs!$B$2:$AZ$2,0)),Inputs!$B$2:$B$190,$B149)*Inputs!$D$1),"",SUMIFS(INDEX(Inputs!$B$2:$AZ$190,,MATCH(SUBSTITUTE(AN$3,"Q","T"),Inputs!$B$2:$AZ$2,0)),Inputs!$B$2:$B$190,$B149)*Inputs!$D$1)</f>
        <v>0</v>
      </c>
      <c r="AO149" s="68">
        <f>IF(ISNA(SUMIFS(INDEX(Inputs!$B$2:$AZ$190,,MATCH(SUBSTITUTE(AO$3,"Q","T"),Inputs!$B$2:$AZ$2,0)),Inputs!$B$2:$B$190,$B149)*Inputs!$D$1),"",SUMIFS(INDEX(Inputs!$B$2:$AZ$190,,MATCH(SUBSTITUTE(AO$3,"Q","T"),Inputs!$B$2:$AZ$2,0)),Inputs!$B$2:$B$190,$B149)*Inputs!$D$1)</f>
        <v>0</v>
      </c>
      <c r="AP149" s="68">
        <f>IF(ISNA(SUMIFS(INDEX(Inputs!$B$2:$AZ$190,,MATCH(SUBSTITUTE(AP$3,"Q","T"),Inputs!$B$2:$AZ$2,0)),Inputs!$B$2:$B$190,$B149)*Inputs!$D$1),"",SUMIFS(INDEX(Inputs!$B$2:$AZ$190,,MATCH(SUBSTITUTE(AP$3,"Q","T"),Inputs!$B$2:$AZ$2,0)),Inputs!$B$2:$B$190,$B149)*Inputs!$D$1)</f>
        <v>0</v>
      </c>
      <c r="AQ149" s="68">
        <f>IF(ISNA(SUMIFS(INDEX(Inputs!$B$2:$AZ$190,,MATCH(SUBSTITUTE(AQ$3,"Q","T"),Inputs!$B$2:$AZ$2,0)),Inputs!$B$2:$B$190,$B149)*Inputs!$D$1),"",SUMIFS(INDEX(Inputs!$B$2:$AZ$190,,MATCH(SUBSTITUTE(AQ$3,"Q","T"),Inputs!$B$2:$AZ$2,0)),Inputs!$B$2:$B$190,$B149)*Inputs!$D$1)</f>
        <v>0</v>
      </c>
      <c r="AR149" s="69">
        <f>AQ149</f>
        <v>0</v>
      </c>
      <c r="AS149" s="68">
        <f>IF(ISNA(SUMIFS(INDEX(Inputs!$B$2:$AZ$190,,MATCH(SUBSTITUTE(AS$3,"Q","T"),Inputs!$B$2:$AZ$2,0)),Inputs!$B$2:$B$190,$B149)*Inputs!$D$1),"",SUMIFS(INDEX(Inputs!$B$2:$AZ$190,,MATCH(SUBSTITUTE(AS$3,"Q","T"),Inputs!$B$2:$AZ$2,0)),Inputs!$B$2:$B$190,$B149)*Inputs!$D$1)</f>
        <v>0</v>
      </c>
      <c r="AT149" s="68">
        <f>IF(ISNA(SUMIFS(INDEX(Inputs!$B$2:$AZ$190,,MATCH(SUBSTITUTE(AT$3,"Q","T"),Inputs!$B$2:$AZ$2,0)),Inputs!$B$2:$B$190,$B149)*Inputs!$D$1),"",SUMIFS(INDEX(Inputs!$B$2:$AZ$190,,MATCH(SUBSTITUTE(AT$3,"Q","T"),Inputs!$B$2:$AZ$2,0)),Inputs!$B$2:$B$190,$B149)*Inputs!$D$1)</f>
        <v>0</v>
      </c>
      <c r="AU149" s="68">
        <f>IF(ISNA(SUMIFS(INDEX(Inputs!$B$2:$AZ$190,,MATCH(SUBSTITUTE(AU$3,"Q","T"),Inputs!$B$2:$AZ$2,0)),Inputs!$B$2:$B$190,$B149)*Inputs!$D$1),"",SUMIFS(INDEX(Inputs!$B$2:$AZ$190,,MATCH(SUBSTITUTE(AU$3,"Q","T"),Inputs!$B$2:$AZ$2,0)),Inputs!$B$2:$B$190,$B149)*Inputs!$D$1)</f>
        <v>0</v>
      </c>
      <c r="AV149" s="68">
        <f>IF(ISNA(SUMIFS(INDEX(Inputs!$B$2:$AZ$190,,MATCH(SUBSTITUTE(AV$3,"Q","T"),Inputs!$B$2:$AZ$2,0)),Inputs!$B$2:$B$190,$B149)*Inputs!$D$1),"",SUMIFS(INDEX(Inputs!$B$2:$AZ$190,,MATCH(SUBSTITUTE(AV$3,"Q","T"),Inputs!$B$2:$AZ$2,0)),Inputs!$B$2:$B$190,$B149)*Inputs!$D$1)</f>
        <v>0</v>
      </c>
      <c r="AW149" s="69">
        <f>AV149</f>
        <v>0</v>
      </c>
      <c r="AX149" s="68">
        <f>IF(ISNA(SUMIFS(INDEX(Inputs!$B$2:$AZ$190,,MATCH(SUBSTITUTE(AX$3,"Q","T"),Inputs!$B$2:$AZ$2,0)),Inputs!$B$2:$B$190,$B149)*Inputs!$D$1),"",SUMIFS(INDEX(Inputs!$B$2:$AZ$190,,MATCH(SUBSTITUTE(AX$3,"Q","T"),Inputs!$B$2:$AZ$2,0)),Inputs!$B$2:$B$190,$B149)*Inputs!$D$1)</f>
        <v>0</v>
      </c>
      <c r="AY149" s="68">
        <f>IF(ISNA(SUMIFS(INDEX(Inputs!$B$2:$AZ$190,,MATCH(SUBSTITUTE(AY$3,"Q","T"),Inputs!$B$2:$AZ$2,0)),Inputs!$B$2:$B$190,$B149)*Inputs!$D$1),"",SUMIFS(INDEX(Inputs!$B$2:$AZ$190,,MATCH(SUBSTITUTE(AY$3,"Q","T"),Inputs!$B$2:$AZ$2,0)),Inputs!$B$2:$B$190,$B149)*Inputs!$D$1)</f>
        <v>0</v>
      </c>
      <c r="AZ149" s="68">
        <f>IF(ISNA(SUMIFS(INDEX(Inputs!$B$2:$AZ$190,,MATCH(SUBSTITUTE(AZ$3,"Q","T"),Inputs!$B$2:$AZ$2,0)),Inputs!$B$2:$B$190,$B149)*Inputs!$D$1),"",SUMIFS(INDEX(Inputs!$B$2:$AZ$190,,MATCH(SUBSTITUTE(AZ$3,"Q","T"),Inputs!$B$2:$AZ$2,0)),Inputs!$B$2:$B$190,$B149)*Inputs!$D$1)</f>
        <v>0</v>
      </c>
      <c r="BA149" s="68">
        <f>IF(ISNA(SUMIFS(INDEX(Inputs!$B$2:$AZ$190,,MATCH(SUBSTITUTE(BA$3,"Q","T"),Inputs!$B$2:$AZ$2,0)),Inputs!$B$2:$B$190,$B149)*Inputs!$D$1),"",SUMIFS(INDEX(Inputs!$B$2:$AZ$190,,MATCH(SUBSTITUTE(BA$3,"Q","T"),Inputs!$B$2:$AZ$2,0)),Inputs!$B$2:$B$190,$B149)*Inputs!$D$1)</f>
        <v>0</v>
      </c>
      <c r="BB149" s="69">
        <f>BA149</f>
        <v>0</v>
      </c>
      <c r="BC149" s="68">
        <f>IF(ISNA(SUMIFS(INDEX(Inputs!$B$2:$AZ$190,,MATCH(SUBSTITUTE(BC$3,"Q","T"),Inputs!$B$2:$AZ$2,0)),Inputs!$B$2:$B$190,$B149)*Inputs!$D$1),"",SUMIFS(INDEX(Inputs!$B$2:$AZ$190,,MATCH(SUBSTITUTE(BC$3,"Q","T"),Inputs!$B$2:$AZ$2,0)),Inputs!$B$2:$B$190,$B149)*Inputs!$D$1)</f>
        <v>0</v>
      </c>
      <c r="BD149" s="68">
        <f>IF(ISNA(SUMIFS(INDEX(Inputs!$B$2:$AZ$190,,MATCH(SUBSTITUTE(BD$3,"Q","T"),Inputs!$B$2:$AZ$2,0)),Inputs!$B$2:$B$190,$B149)*Inputs!$D$1),"",SUMIFS(INDEX(Inputs!$B$2:$AZ$190,,MATCH(SUBSTITUTE(BD$3,"Q","T"),Inputs!$B$2:$AZ$2,0)),Inputs!$B$2:$B$190,$B149)*Inputs!$D$1)</f>
        <v>0</v>
      </c>
      <c r="BE149" s="68">
        <f>IF(ISNA(SUMIFS(INDEX(Inputs!$B$2:$AZ$190,,MATCH(SUBSTITUTE(BE$3,"Q","T"),Inputs!$B$2:$AZ$2,0)),Inputs!$B$2:$B$190,$B149)*Inputs!$D$1),"",SUMIFS(INDEX(Inputs!$B$2:$AZ$190,,MATCH(SUBSTITUTE(BE$3,"Q","T"),Inputs!$B$2:$AZ$2,0)),Inputs!$B$2:$B$190,$B149)*Inputs!$D$1)</f>
        <v>0</v>
      </c>
      <c r="BF149" s="68">
        <f>IF(ISNA(SUMIFS(INDEX(Inputs!$B$2:$AZ$190,,MATCH(SUBSTITUTE(BF$3,"Q","T"),Inputs!$B$2:$AZ$2,0)),Inputs!$B$2:$B$190,$B149)*Inputs!$D$1),"",SUMIFS(INDEX(Inputs!$B$2:$AZ$190,,MATCH(SUBSTITUTE(BF$3,"Q","T"),Inputs!$B$2:$AZ$2,0)),Inputs!$B$2:$B$190,$B149)*Inputs!$D$1)</f>
        <v>0</v>
      </c>
      <c r="BG149" s="69">
        <f>BF149</f>
        <v>0</v>
      </c>
    </row>
    <row r="150">
      <c r="B150" s="56" t="inlineStr">
        <is>
          <t>rwa_adv</t>
        </is>
      </c>
      <c r="C150" s="11" t="inlineStr">
        <is>
          <t>RWA — abordagem avançada (Advanced)</t>
        </is>
      </c>
      <c r="D150" s="12" t="inlineStr">
        <is>
          <t>RWA — Advanced</t>
        </is>
      </c>
      <c r="E150" s="57">
        <f>IF(ISNA(SUMIFS(INDEX(Inputs!$B$2:$AZ$190,,MATCH(SUBSTITUTE(E$3,"Q","T"),Inputs!$B$2:$AZ$2,0)),Inputs!$B$2:$B$190,$B150)*Inputs!$D$1),"",SUMIFS(INDEX(Inputs!$B$2:$AZ$190,,MATCH(SUBSTITUTE(E$3,"Q","T"),Inputs!$B$2:$AZ$2,0)),Inputs!$B$2:$B$190,$B150)*Inputs!$D$1)</f>
        <v>0</v>
      </c>
      <c r="F150" s="57">
        <f>IF(ISNA(SUMIFS(INDEX(Inputs!$B$2:$AZ$190,,MATCH(SUBSTITUTE(F$3,"Q","T"),Inputs!$B$2:$AZ$2,0)),Inputs!$B$2:$B$190,$B150)*Inputs!$D$1),"",SUMIFS(INDEX(Inputs!$B$2:$AZ$190,,MATCH(SUBSTITUTE(F$3,"Q","T"),Inputs!$B$2:$AZ$2,0)),Inputs!$B$2:$B$190,$B150)*Inputs!$D$1)</f>
        <v>0</v>
      </c>
      <c r="G150" s="57">
        <f>IF(ISNA(SUMIFS(INDEX(Inputs!$B$2:$AZ$190,,MATCH(SUBSTITUTE(G$3,"Q","T"),Inputs!$B$2:$AZ$2,0)),Inputs!$B$2:$B$190,$B150)*Inputs!$D$1),"",SUMIFS(INDEX(Inputs!$B$2:$AZ$190,,MATCH(SUBSTITUTE(G$3,"Q","T"),Inputs!$B$2:$AZ$2,0)),Inputs!$B$2:$B$190,$B150)*Inputs!$D$1)</f>
        <v>0</v>
      </c>
      <c r="H150" s="57">
        <f>IF(ISNA(SUMIFS(INDEX(Inputs!$B$2:$AZ$190,,MATCH(SUBSTITUTE(H$3,"Q","T"),Inputs!$B$2:$AZ$2,0)),Inputs!$B$2:$B$190,$B150)*Inputs!$D$1),"",SUMIFS(INDEX(Inputs!$B$2:$AZ$190,,MATCH(SUBSTITUTE(H$3,"Q","T"),Inputs!$B$2:$AZ$2,0)),Inputs!$B$2:$B$190,$B150)*Inputs!$D$1)</f>
        <v>0</v>
      </c>
      <c r="I150" s="58">
        <f>H150</f>
        <v>0</v>
      </c>
      <c r="J150" s="57">
        <f>IF(ISNA(SUMIFS(INDEX(Inputs!$B$2:$AZ$190,,MATCH(SUBSTITUTE(J$3,"Q","T"),Inputs!$B$2:$AZ$2,0)),Inputs!$B$2:$B$190,$B150)*Inputs!$D$1),"",SUMIFS(INDEX(Inputs!$B$2:$AZ$190,,MATCH(SUBSTITUTE(J$3,"Q","T"),Inputs!$B$2:$AZ$2,0)),Inputs!$B$2:$B$190,$B150)*Inputs!$D$1)</f>
        <v>0</v>
      </c>
      <c r="K150" s="57">
        <f>IF(ISNA(SUMIFS(INDEX(Inputs!$B$2:$AZ$190,,MATCH(SUBSTITUTE(K$3,"Q","T"),Inputs!$B$2:$AZ$2,0)),Inputs!$B$2:$B$190,$B150)*Inputs!$D$1),"",SUMIFS(INDEX(Inputs!$B$2:$AZ$190,,MATCH(SUBSTITUTE(K$3,"Q","T"),Inputs!$B$2:$AZ$2,0)),Inputs!$B$2:$B$190,$B150)*Inputs!$D$1)</f>
        <v>0</v>
      </c>
      <c r="L150" s="57">
        <f>IF(ISNA(SUMIFS(INDEX(Inputs!$B$2:$AZ$190,,MATCH(SUBSTITUTE(L$3,"Q","T"),Inputs!$B$2:$AZ$2,0)),Inputs!$B$2:$B$190,$B150)*Inputs!$D$1),"",SUMIFS(INDEX(Inputs!$B$2:$AZ$190,,MATCH(SUBSTITUTE(L$3,"Q","T"),Inputs!$B$2:$AZ$2,0)),Inputs!$B$2:$B$190,$B150)*Inputs!$D$1)</f>
        <v>0</v>
      </c>
      <c r="M150" s="57">
        <f>IF(ISNA(SUMIFS(INDEX(Inputs!$B$2:$AZ$190,,MATCH(SUBSTITUTE(M$3,"Q","T"),Inputs!$B$2:$AZ$2,0)),Inputs!$B$2:$B$190,$B150)*Inputs!$D$1),"",SUMIFS(INDEX(Inputs!$B$2:$AZ$190,,MATCH(SUBSTITUTE(M$3,"Q","T"),Inputs!$B$2:$AZ$2,0)),Inputs!$B$2:$B$190,$B150)*Inputs!$D$1)</f>
        <v>0</v>
      </c>
      <c r="N150" s="58">
        <f>M150</f>
        <v>0</v>
      </c>
      <c r="O150" s="57">
        <f>IF(ISNA(SUMIFS(INDEX(Inputs!$B$2:$AZ$190,,MATCH(SUBSTITUTE(O$3,"Q","T"),Inputs!$B$2:$AZ$2,0)),Inputs!$B$2:$B$190,$B150)*Inputs!$D$1),"",SUMIFS(INDEX(Inputs!$B$2:$AZ$190,,MATCH(SUBSTITUTE(O$3,"Q","T"),Inputs!$B$2:$AZ$2,0)),Inputs!$B$2:$B$190,$B150)*Inputs!$D$1)</f>
        <v>0</v>
      </c>
      <c r="P150" s="57">
        <f>IF(ISNA(SUMIFS(INDEX(Inputs!$B$2:$AZ$190,,MATCH(SUBSTITUTE(P$3,"Q","T"),Inputs!$B$2:$AZ$2,0)),Inputs!$B$2:$B$190,$B150)*Inputs!$D$1),"",SUMIFS(INDEX(Inputs!$B$2:$AZ$190,,MATCH(SUBSTITUTE(P$3,"Q","T"),Inputs!$B$2:$AZ$2,0)),Inputs!$B$2:$B$190,$B150)*Inputs!$D$1)</f>
        <v>0</v>
      </c>
      <c r="Q150" s="57">
        <f>IF(ISNA(SUMIFS(INDEX(Inputs!$B$2:$AZ$190,,MATCH(SUBSTITUTE(Q$3,"Q","T"),Inputs!$B$2:$AZ$2,0)),Inputs!$B$2:$B$190,$B150)*Inputs!$D$1),"",SUMIFS(INDEX(Inputs!$B$2:$AZ$190,,MATCH(SUBSTITUTE(Q$3,"Q","T"),Inputs!$B$2:$AZ$2,0)),Inputs!$B$2:$B$190,$B150)*Inputs!$D$1)</f>
        <v>0</v>
      </c>
      <c r="R150" s="57">
        <f>IF(ISNA(SUMIFS(INDEX(Inputs!$B$2:$AZ$190,,MATCH(SUBSTITUTE(R$3,"Q","T"),Inputs!$B$2:$AZ$2,0)),Inputs!$B$2:$B$190,$B150)*Inputs!$D$1),"",SUMIFS(INDEX(Inputs!$B$2:$AZ$190,,MATCH(SUBSTITUTE(R$3,"Q","T"),Inputs!$B$2:$AZ$2,0)),Inputs!$B$2:$B$190,$B150)*Inputs!$D$1)</f>
        <v>0</v>
      </c>
      <c r="S150" s="58">
        <f>R150</f>
        <v>0</v>
      </c>
      <c r="T150" s="57">
        <f>IF(ISNA(SUMIFS(INDEX(Inputs!$B$2:$AZ$190,,MATCH(SUBSTITUTE(T$3,"Q","T"),Inputs!$B$2:$AZ$2,0)),Inputs!$B$2:$B$190,$B150)*Inputs!$D$1),"",SUMIFS(INDEX(Inputs!$B$2:$AZ$190,,MATCH(SUBSTITUTE(T$3,"Q","T"),Inputs!$B$2:$AZ$2,0)),Inputs!$B$2:$B$190,$B150)*Inputs!$D$1)</f>
        <v>0</v>
      </c>
      <c r="U150" s="57">
        <f>IF(ISNA(SUMIFS(INDEX(Inputs!$B$2:$AZ$190,,MATCH(SUBSTITUTE(U$3,"Q","T"),Inputs!$B$2:$AZ$2,0)),Inputs!$B$2:$B$190,$B150)*Inputs!$D$1),"",SUMIFS(INDEX(Inputs!$B$2:$AZ$190,,MATCH(SUBSTITUTE(U$3,"Q","T"),Inputs!$B$2:$AZ$2,0)),Inputs!$B$2:$B$190,$B150)*Inputs!$D$1)</f>
        <v>0</v>
      </c>
      <c r="V150" s="57">
        <f>IF(ISNA(SUMIFS(INDEX(Inputs!$B$2:$AZ$190,,MATCH(SUBSTITUTE(V$3,"Q","T"),Inputs!$B$2:$AZ$2,0)),Inputs!$B$2:$B$190,$B150)*Inputs!$D$1),"",SUMIFS(INDEX(Inputs!$B$2:$AZ$190,,MATCH(SUBSTITUTE(V$3,"Q","T"),Inputs!$B$2:$AZ$2,0)),Inputs!$B$2:$B$190,$B150)*Inputs!$D$1)</f>
        <v>0</v>
      </c>
      <c r="W150" s="57">
        <f>IF(ISNA(SUMIFS(INDEX(Inputs!$B$2:$AZ$190,,MATCH(SUBSTITUTE(W$3,"Q","T"),Inputs!$B$2:$AZ$2,0)),Inputs!$B$2:$B$190,$B150)*Inputs!$D$1),"",SUMIFS(INDEX(Inputs!$B$2:$AZ$190,,MATCH(SUBSTITUTE(W$3,"Q","T"),Inputs!$B$2:$AZ$2,0)),Inputs!$B$2:$B$190,$B150)*Inputs!$D$1)</f>
        <v>0</v>
      </c>
      <c r="X150" s="58">
        <f>W150</f>
        <v>0</v>
      </c>
      <c r="Y150" s="57">
        <f>IF(ISNA(SUMIFS(INDEX(Inputs!$B$2:$AZ$190,,MATCH(SUBSTITUTE(Y$3,"Q","T"),Inputs!$B$2:$AZ$2,0)),Inputs!$B$2:$B$190,$B150)*Inputs!$D$1),"",SUMIFS(INDEX(Inputs!$B$2:$AZ$190,,MATCH(SUBSTITUTE(Y$3,"Q","T"),Inputs!$B$2:$AZ$2,0)),Inputs!$B$2:$B$190,$B150)*Inputs!$D$1)</f>
        <v>0</v>
      </c>
      <c r="Z150" s="57">
        <f>IF(ISNA(SUMIFS(INDEX(Inputs!$B$2:$AZ$190,,MATCH(SUBSTITUTE(Z$3,"Q","T"),Inputs!$B$2:$AZ$2,0)),Inputs!$B$2:$B$190,$B150)*Inputs!$D$1),"",SUMIFS(INDEX(Inputs!$B$2:$AZ$190,,MATCH(SUBSTITUTE(Z$3,"Q","T"),Inputs!$B$2:$AZ$2,0)),Inputs!$B$2:$B$190,$B150)*Inputs!$D$1)</f>
        <v>0</v>
      </c>
      <c r="AA150" s="57">
        <f>IF(ISNA(SUMIFS(INDEX(Inputs!$B$2:$AZ$190,,MATCH(SUBSTITUTE(AA$3,"Q","T"),Inputs!$B$2:$AZ$2,0)),Inputs!$B$2:$B$190,$B150)*Inputs!$D$1),"",SUMIFS(INDEX(Inputs!$B$2:$AZ$190,,MATCH(SUBSTITUTE(AA$3,"Q","T"),Inputs!$B$2:$AZ$2,0)),Inputs!$B$2:$B$190,$B150)*Inputs!$D$1)</f>
        <v>0</v>
      </c>
      <c r="AB150" s="57">
        <f>IF(ISNA(SUMIFS(INDEX(Inputs!$B$2:$AZ$190,,MATCH(SUBSTITUTE(AB$3,"Q","T"),Inputs!$B$2:$AZ$2,0)),Inputs!$B$2:$B$190,$B150)*Inputs!$D$1),"",SUMIFS(INDEX(Inputs!$B$2:$AZ$190,,MATCH(SUBSTITUTE(AB$3,"Q","T"),Inputs!$B$2:$AZ$2,0)),Inputs!$B$2:$B$190,$B150)*Inputs!$D$1)</f>
        <v>0</v>
      </c>
      <c r="AC150" s="58">
        <f>AB150</f>
        <v>0</v>
      </c>
      <c r="AD150" s="57">
        <f>IF(ISNA(SUMIFS(INDEX(Inputs!$B$2:$AZ$190,,MATCH(SUBSTITUTE(AD$3,"Q","T"),Inputs!$B$2:$AZ$2,0)),Inputs!$B$2:$B$190,$B150)*Inputs!$D$1),"",SUMIFS(INDEX(Inputs!$B$2:$AZ$190,,MATCH(SUBSTITUTE(AD$3,"Q","T"),Inputs!$B$2:$AZ$2,0)),Inputs!$B$2:$B$190,$B150)*Inputs!$D$1)</f>
        <v>0</v>
      </c>
      <c r="AE150" s="57">
        <f>IF(ISNA(SUMIFS(INDEX(Inputs!$B$2:$AZ$190,,MATCH(SUBSTITUTE(AE$3,"Q","T"),Inputs!$B$2:$AZ$2,0)),Inputs!$B$2:$B$190,$B150)*Inputs!$D$1),"",SUMIFS(INDEX(Inputs!$B$2:$AZ$190,,MATCH(SUBSTITUTE(AE$3,"Q","T"),Inputs!$B$2:$AZ$2,0)),Inputs!$B$2:$B$190,$B150)*Inputs!$D$1)</f>
        <v>0</v>
      </c>
      <c r="AF150" s="57">
        <f>IF(ISNA(SUMIFS(INDEX(Inputs!$B$2:$AZ$190,,MATCH(SUBSTITUTE(AF$3,"Q","T"),Inputs!$B$2:$AZ$2,0)),Inputs!$B$2:$B$190,$B150)*Inputs!$D$1),"",SUMIFS(INDEX(Inputs!$B$2:$AZ$190,,MATCH(SUBSTITUTE(AF$3,"Q","T"),Inputs!$B$2:$AZ$2,0)),Inputs!$B$2:$B$190,$B150)*Inputs!$D$1)</f>
        <v>0</v>
      </c>
      <c r="AG150" s="57">
        <f>IF(ISNA(SUMIFS(INDEX(Inputs!$B$2:$AZ$190,,MATCH(SUBSTITUTE(AG$3,"Q","T"),Inputs!$B$2:$AZ$2,0)),Inputs!$B$2:$B$190,$B150)*Inputs!$D$1),"",SUMIFS(INDEX(Inputs!$B$2:$AZ$190,,MATCH(SUBSTITUTE(AG$3,"Q","T"),Inputs!$B$2:$AZ$2,0)),Inputs!$B$2:$B$190,$B150)*Inputs!$D$1)</f>
        <v>0</v>
      </c>
      <c r="AH150" s="58">
        <f>AG150</f>
        <v>0</v>
      </c>
      <c r="AI150" s="57">
        <f>IF(ISNA(SUMIFS(INDEX(Inputs!$B$2:$AZ$190,,MATCH(SUBSTITUTE(AI$3,"Q","T"),Inputs!$B$2:$AZ$2,0)),Inputs!$B$2:$B$190,$B150)*Inputs!$D$1),"",SUMIFS(INDEX(Inputs!$B$2:$AZ$190,,MATCH(SUBSTITUTE(AI$3,"Q","T"),Inputs!$B$2:$AZ$2,0)),Inputs!$B$2:$B$190,$B150)*Inputs!$D$1)</f>
        <v>0</v>
      </c>
      <c r="AJ150" s="57">
        <f>IF(ISNA(SUMIFS(INDEX(Inputs!$B$2:$AZ$190,,MATCH(SUBSTITUTE(AJ$3,"Q","T"),Inputs!$B$2:$AZ$2,0)),Inputs!$B$2:$B$190,$B150)*Inputs!$D$1),"",SUMIFS(INDEX(Inputs!$B$2:$AZ$190,,MATCH(SUBSTITUTE(AJ$3,"Q","T"),Inputs!$B$2:$AZ$2,0)),Inputs!$B$2:$B$190,$B150)*Inputs!$D$1)</f>
        <v>0</v>
      </c>
      <c r="AK150" s="57">
        <f>IF(ISNA(SUMIFS(INDEX(Inputs!$B$2:$AZ$190,,MATCH(SUBSTITUTE(AK$3,"Q","T"),Inputs!$B$2:$AZ$2,0)),Inputs!$B$2:$B$190,$B150)*Inputs!$D$1),"",SUMIFS(INDEX(Inputs!$B$2:$AZ$190,,MATCH(SUBSTITUTE(AK$3,"Q","T"),Inputs!$B$2:$AZ$2,0)),Inputs!$B$2:$B$190,$B150)*Inputs!$D$1)</f>
        <v>0</v>
      </c>
      <c r="AL150" s="57">
        <f>IF(ISNA(SUMIFS(INDEX(Inputs!$B$2:$AZ$190,,MATCH(SUBSTITUTE(AL$3,"Q","T"),Inputs!$B$2:$AZ$2,0)),Inputs!$B$2:$B$190,$B150)*Inputs!$D$1),"",SUMIFS(INDEX(Inputs!$B$2:$AZ$190,,MATCH(SUBSTITUTE(AL$3,"Q","T"),Inputs!$B$2:$AZ$2,0)),Inputs!$B$2:$B$190,$B150)*Inputs!$D$1)</f>
        <v>0</v>
      </c>
      <c r="AM150" s="58">
        <f>AL150</f>
        <v>0</v>
      </c>
      <c r="AN150" s="57">
        <f>IF(ISNA(SUMIFS(INDEX(Inputs!$B$2:$AZ$190,,MATCH(SUBSTITUTE(AN$3,"Q","T"),Inputs!$B$2:$AZ$2,0)),Inputs!$B$2:$B$190,$B150)*Inputs!$D$1),"",SUMIFS(INDEX(Inputs!$B$2:$AZ$190,,MATCH(SUBSTITUTE(AN$3,"Q","T"),Inputs!$B$2:$AZ$2,0)),Inputs!$B$2:$B$190,$B150)*Inputs!$D$1)</f>
        <v>0</v>
      </c>
      <c r="AO150" s="57">
        <f>IF(ISNA(SUMIFS(INDEX(Inputs!$B$2:$AZ$190,,MATCH(SUBSTITUTE(AO$3,"Q","T"),Inputs!$B$2:$AZ$2,0)),Inputs!$B$2:$B$190,$B150)*Inputs!$D$1),"",SUMIFS(INDEX(Inputs!$B$2:$AZ$190,,MATCH(SUBSTITUTE(AO$3,"Q","T"),Inputs!$B$2:$AZ$2,0)),Inputs!$B$2:$B$190,$B150)*Inputs!$D$1)</f>
        <v>0</v>
      </c>
      <c r="AP150" s="57">
        <f>IF(ISNA(SUMIFS(INDEX(Inputs!$B$2:$AZ$190,,MATCH(SUBSTITUTE(AP$3,"Q","T"),Inputs!$B$2:$AZ$2,0)),Inputs!$B$2:$B$190,$B150)*Inputs!$D$1),"",SUMIFS(INDEX(Inputs!$B$2:$AZ$190,,MATCH(SUBSTITUTE(AP$3,"Q","T"),Inputs!$B$2:$AZ$2,0)),Inputs!$B$2:$B$190,$B150)*Inputs!$D$1)</f>
        <v>0</v>
      </c>
      <c r="AQ150" s="57">
        <f>IF(ISNA(SUMIFS(INDEX(Inputs!$B$2:$AZ$190,,MATCH(SUBSTITUTE(AQ$3,"Q","T"),Inputs!$B$2:$AZ$2,0)),Inputs!$B$2:$B$190,$B150)*Inputs!$D$1),"",SUMIFS(INDEX(Inputs!$B$2:$AZ$190,,MATCH(SUBSTITUTE(AQ$3,"Q","T"),Inputs!$B$2:$AZ$2,0)),Inputs!$B$2:$B$190,$B150)*Inputs!$D$1)</f>
        <v>0</v>
      </c>
      <c r="AR150" s="58">
        <f>AQ150</f>
        <v>0</v>
      </c>
      <c r="AS150" s="57">
        <f>IF(ISNA(SUMIFS(INDEX(Inputs!$B$2:$AZ$190,,MATCH(SUBSTITUTE(AS$3,"Q","T"),Inputs!$B$2:$AZ$2,0)),Inputs!$B$2:$B$190,$B150)*Inputs!$D$1),"",SUMIFS(INDEX(Inputs!$B$2:$AZ$190,,MATCH(SUBSTITUTE(AS$3,"Q","T"),Inputs!$B$2:$AZ$2,0)),Inputs!$B$2:$B$190,$B150)*Inputs!$D$1)</f>
        <v>0</v>
      </c>
      <c r="AT150" s="57">
        <f>IF(ISNA(SUMIFS(INDEX(Inputs!$B$2:$AZ$190,,MATCH(SUBSTITUTE(AT$3,"Q","T"),Inputs!$B$2:$AZ$2,0)),Inputs!$B$2:$B$190,$B150)*Inputs!$D$1),"",SUMIFS(INDEX(Inputs!$B$2:$AZ$190,,MATCH(SUBSTITUTE(AT$3,"Q","T"),Inputs!$B$2:$AZ$2,0)),Inputs!$B$2:$B$190,$B150)*Inputs!$D$1)</f>
        <v>0</v>
      </c>
      <c r="AU150" s="57">
        <f>IF(ISNA(SUMIFS(INDEX(Inputs!$B$2:$AZ$190,,MATCH(SUBSTITUTE(AU$3,"Q","T"),Inputs!$B$2:$AZ$2,0)),Inputs!$B$2:$B$190,$B150)*Inputs!$D$1),"",SUMIFS(INDEX(Inputs!$B$2:$AZ$190,,MATCH(SUBSTITUTE(AU$3,"Q","T"),Inputs!$B$2:$AZ$2,0)),Inputs!$B$2:$B$190,$B150)*Inputs!$D$1)</f>
        <v>0</v>
      </c>
      <c r="AV150" s="57">
        <f>IF(ISNA(SUMIFS(INDEX(Inputs!$B$2:$AZ$190,,MATCH(SUBSTITUTE(AV$3,"Q","T"),Inputs!$B$2:$AZ$2,0)),Inputs!$B$2:$B$190,$B150)*Inputs!$D$1),"",SUMIFS(INDEX(Inputs!$B$2:$AZ$190,,MATCH(SUBSTITUTE(AV$3,"Q","T"),Inputs!$B$2:$AZ$2,0)),Inputs!$B$2:$B$190,$B150)*Inputs!$D$1)</f>
        <v>0</v>
      </c>
      <c r="AW150" s="58">
        <f>AV150</f>
        <v>0</v>
      </c>
      <c r="AX150" s="57">
        <f>IF(ISNA(SUMIFS(INDEX(Inputs!$B$2:$AZ$190,,MATCH(SUBSTITUTE(AX$3,"Q","T"),Inputs!$B$2:$AZ$2,0)),Inputs!$B$2:$B$190,$B150)*Inputs!$D$1),"",SUMIFS(INDEX(Inputs!$B$2:$AZ$190,,MATCH(SUBSTITUTE(AX$3,"Q","T"),Inputs!$B$2:$AZ$2,0)),Inputs!$B$2:$B$190,$B150)*Inputs!$D$1)</f>
        <v>0</v>
      </c>
      <c r="AY150" s="57">
        <f>IF(ISNA(SUMIFS(INDEX(Inputs!$B$2:$AZ$190,,MATCH(SUBSTITUTE(AY$3,"Q","T"),Inputs!$B$2:$AZ$2,0)),Inputs!$B$2:$B$190,$B150)*Inputs!$D$1),"",SUMIFS(INDEX(Inputs!$B$2:$AZ$190,,MATCH(SUBSTITUTE(AY$3,"Q","T"),Inputs!$B$2:$AZ$2,0)),Inputs!$B$2:$B$190,$B150)*Inputs!$D$1)</f>
        <v>0</v>
      </c>
      <c r="AZ150" s="57">
        <f>IF(ISNA(SUMIFS(INDEX(Inputs!$B$2:$AZ$190,,MATCH(SUBSTITUTE(AZ$3,"Q","T"),Inputs!$B$2:$AZ$2,0)),Inputs!$B$2:$B$190,$B150)*Inputs!$D$1),"",SUMIFS(INDEX(Inputs!$B$2:$AZ$190,,MATCH(SUBSTITUTE(AZ$3,"Q","T"),Inputs!$B$2:$AZ$2,0)),Inputs!$B$2:$B$190,$B150)*Inputs!$D$1)</f>
        <v>0</v>
      </c>
      <c r="BA150" s="57">
        <f>IF(ISNA(SUMIFS(INDEX(Inputs!$B$2:$AZ$190,,MATCH(SUBSTITUTE(BA$3,"Q","T"),Inputs!$B$2:$AZ$2,0)),Inputs!$B$2:$B$190,$B150)*Inputs!$D$1),"",SUMIFS(INDEX(Inputs!$B$2:$AZ$190,,MATCH(SUBSTITUTE(BA$3,"Q","T"),Inputs!$B$2:$AZ$2,0)),Inputs!$B$2:$B$190,$B150)*Inputs!$D$1)</f>
        <v>0</v>
      </c>
      <c r="BB150" s="58">
        <f>BA150</f>
        <v>0</v>
      </c>
      <c r="BC150" s="57">
        <f>IF(ISNA(SUMIFS(INDEX(Inputs!$B$2:$AZ$190,,MATCH(SUBSTITUTE(BC$3,"Q","T"),Inputs!$B$2:$AZ$2,0)),Inputs!$B$2:$B$190,$B150)*Inputs!$D$1),"",SUMIFS(INDEX(Inputs!$B$2:$AZ$190,,MATCH(SUBSTITUTE(BC$3,"Q","T"),Inputs!$B$2:$AZ$2,0)),Inputs!$B$2:$B$190,$B150)*Inputs!$D$1)</f>
        <v>0</v>
      </c>
      <c r="BD150" s="57">
        <f>IF(ISNA(SUMIFS(INDEX(Inputs!$B$2:$AZ$190,,MATCH(SUBSTITUTE(BD$3,"Q","T"),Inputs!$B$2:$AZ$2,0)),Inputs!$B$2:$B$190,$B150)*Inputs!$D$1),"",SUMIFS(INDEX(Inputs!$B$2:$AZ$190,,MATCH(SUBSTITUTE(BD$3,"Q","T"),Inputs!$B$2:$AZ$2,0)),Inputs!$B$2:$B$190,$B150)*Inputs!$D$1)</f>
        <v>0</v>
      </c>
      <c r="BE150" s="57">
        <f>IF(ISNA(SUMIFS(INDEX(Inputs!$B$2:$AZ$190,,MATCH(SUBSTITUTE(BE$3,"Q","T"),Inputs!$B$2:$AZ$2,0)),Inputs!$B$2:$B$190,$B150)*Inputs!$D$1),"",SUMIFS(INDEX(Inputs!$B$2:$AZ$190,,MATCH(SUBSTITUTE(BE$3,"Q","T"),Inputs!$B$2:$AZ$2,0)),Inputs!$B$2:$B$190,$B150)*Inputs!$D$1)</f>
        <v>0</v>
      </c>
      <c r="BF150" s="57">
        <f>IF(ISNA(SUMIFS(INDEX(Inputs!$B$2:$AZ$190,,MATCH(SUBSTITUTE(BF$3,"Q","T"),Inputs!$B$2:$AZ$2,0)),Inputs!$B$2:$B$190,$B150)*Inputs!$D$1),"",SUMIFS(INDEX(Inputs!$B$2:$AZ$190,,MATCH(SUBSTITUTE(BF$3,"Q","T"),Inputs!$B$2:$AZ$2,0)),Inputs!$B$2:$B$190,$B150)*Inputs!$D$1)</f>
        <v>0</v>
      </c>
      <c r="BG150" s="58">
        <f>BF150</f>
        <v>0</v>
      </c>
      <c r="BI150" s="14" t="n"/>
    </row>
    <row r="151">
      <c r="B151" s="56" t="inlineStr">
        <is>
          <t>cet1r_adv</t>
        </is>
      </c>
      <c r="C151" s="11" t="inlineStr">
        <is>
          <t>Índice CET1 reportado — Advanced (%)</t>
        </is>
      </c>
      <c r="D151" s="12" t="inlineStr">
        <is>
          <t>CET1 ratio — Advanced</t>
        </is>
      </c>
      <c r="E151" s="68">
        <f>IF(ISNA(SUMIFS(INDEX(Inputs!$B$2:$AZ$190,,MATCH(SUBSTITUTE(E$3,"Q","T"),Inputs!$B$2:$AZ$2,0)),Inputs!$B$2:$B$190,$B151)*Inputs!$D$1),"",SUMIFS(INDEX(Inputs!$B$2:$AZ$190,,MATCH(SUBSTITUTE(E$3,"Q","T"),Inputs!$B$2:$AZ$2,0)),Inputs!$B$2:$B$190,$B151)*Inputs!$D$1)</f>
        <v>0</v>
      </c>
      <c r="F151" s="68">
        <f>IF(ISNA(SUMIFS(INDEX(Inputs!$B$2:$AZ$190,,MATCH(SUBSTITUTE(F$3,"Q","T"),Inputs!$B$2:$AZ$2,0)),Inputs!$B$2:$B$190,$B151)*Inputs!$D$1),"",SUMIFS(INDEX(Inputs!$B$2:$AZ$190,,MATCH(SUBSTITUTE(F$3,"Q","T"),Inputs!$B$2:$AZ$2,0)),Inputs!$B$2:$B$190,$B151)*Inputs!$D$1)</f>
        <v>0</v>
      </c>
      <c r="G151" s="68">
        <f>IF(ISNA(SUMIFS(INDEX(Inputs!$B$2:$AZ$190,,MATCH(SUBSTITUTE(G$3,"Q","T"),Inputs!$B$2:$AZ$2,0)),Inputs!$B$2:$B$190,$B151)*Inputs!$D$1),"",SUMIFS(INDEX(Inputs!$B$2:$AZ$190,,MATCH(SUBSTITUTE(G$3,"Q","T"),Inputs!$B$2:$AZ$2,0)),Inputs!$B$2:$B$190,$B151)*Inputs!$D$1)</f>
        <v>0</v>
      </c>
      <c r="H151" s="68">
        <f>IF(ISNA(SUMIFS(INDEX(Inputs!$B$2:$AZ$190,,MATCH(SUBSTITUTE(H$3,"Q","T"),Inputs!$B$2:$AZ$2,0)),Inputs!$B$2:$B$190,$B151)*Inputs!$D$1),"",SUMIFS(INDEX(Inputs!$B$2:$AZ$190,,MATCH(SUBSTITUTE(H$3,"Q","T"),Inputs!$B$2:$AZ$2,0)),Inputs!$B$2:$B$190,$B151)*Inputs!$D$1)</f>
        <v>0</v>
      </c>
      <c r="I151" s="69">
        <f>H151</f>
        <v>0</v>
      </c>
      <c r="J151" s="68">
        <f>IF(ISNA(SUMIFS(INDEX(Inputs!$B$2:$AZ$190,,MATCH(SUBSTITUTE(J$3,"Q","T"),Inputs!$B$2:$AZ$2,0)),Inputs!$B$2:$B$190,$B151)*Inputs!$D$1),"",SUMIFS(INDEX(Inputs!$B$2:$AZ$190,,MATCH(SUBSTITUTE(J$3,"Q","T"),Inputs!$B$2:$AZ$2,0)),Inputs!$B$2:$B$190,$B151)*Inputs!$D$1)</f>
        <v>0</v>
      </c>
      <c r="K151" s="68">
        <f>IF(ISNA(SUMIFS(INDEX(Inputs!$B$2:$AZ$190,,MATCH(SUBSTITUTE(K$3,"Q","T"),Inputs!$B$2:$AZ$2,0)),Inputs!$B$2:$B$190,$B151)*Inputs!$D$1),"",SUMIFS(INDEX(Inputs!$B$2:$AZ$190,,MATCH(SUBSTITUTE(K$3,"Q","T"),Inputs!$B$2:$AZ$2,0)),Inputs!$B$2:$B$190,$B151)*Inputs!$D$1)</f>
        <v>0</v>
      </c>
      <c r="L151" s="68">
        <f>IF(ISNA(SUMIFS(INDEX(Inputs!$B$2:$AZ$190,,MATCH(SUBSTITUTE(L$3,"Q","T"),Inputs!$B$2:$AZ$2,0)),Inputs!$B$2:$B$190,$B151)*Inputs!$D$1),"",SUMIFS(INDEX(Inputs!$B$2:$AZ$190,,MATCH(SUBSTITUTE(L$3,"Q","T"),Inputs!$B$2:$AZ$2,0)),Inputs!$B$2:$B$190,$B151)*Inputs!$D$1)</f>
        <v>0</v>
      </c>
      <c r="M151" s="68">
        <f>IF(ISNA(SUMIFS(INDEX(Inputs!$B$2:$AZ$190,,MATCH(SUBSTITUTE(M$3,"Q","T"),Inputs!$B$2:$AZ$2,0)),Inputs!$B$2:$B$190,$B151)*Inputs!$D$1),"",SUMIFS(INDEX(Inputs!$B$2:$AZ$190,,MATCH(SUBSTITUTE(M$3,"Q","T"),Inputs!$B$2:$AZ$2,0)),Inputs!$B$2:$B$190,$B151)*Inputs!$D$1)</f>
        <v>0</v>
      </c>
      <c r="N151" s="69">
        <f>M151</f>
        <v>0</v>
      </c>
      <c r="O151" s="68">
        <f>IF(ISNA(SUMIFS(INDEX(Inputs!$B$2:$AZ$190,,MATCH(SUBSTITUTE(O$3,"Q","T"),Inputs!$B$2:$AZ$2,0)),Inputs!$B$2:$B$190,$B151)*Inputs!$D$1),"",SUMIFS(INDEX(Inputs!$B$2:$AZ$190,,MATCH(SUBSTITUTE(O$3,"Q","T"),Inputs!$B$2:$AZ$2,0)),Inputs!$B$2:$B$190,$B151)*Inputs!$D$1)</f>
        <v>0</v>
      </c>
      <c r="P151" s="68">
        <f>IF(ISNA(SUMIFS(INDEX(Inputs!$B$2:$AZ$190,,MATCH(SUBSTITUTE(P$3,"Q","T"),Inputs!$B$2:$AZ$2,0)),Inputs!$B$2:$B$190,$B151)*Inputs!$D$1),"",SUMIFS(INDEX(Inputs!$B$2:$AZ$190,,MATCH(SUBSTITUTE(P$3,"Q","T"),Inputs!$B$2:$AZ$2,0)),Inputs!$B$2:$B$190,$B151)*Inputs!$D$1)</f>
        <v>0</v>
      </c>
      <c r="Q151" s="68">
        <f>IF(ISNA(SUMIFS(INDEX(Inputs!$B$2:$AZ$190,,MATCH(SUBSTITUTE(Q$3,"Q","T"),Inputs!$B$2:$AZ$2,0)),Inputs!$B$2:$B$190,$B151)*Inputs!$D$1),"",SUMIFS(INDEX(Inputs!$B$2:$AZ$190,,MATCH(SUBSTITUTE(Q$3,"Q","T"),Inputs!$B$2:$AZ$2,0)),Inputs!$B$2:$B$190,$B151)*Inputs!$D$1)</f>
        <v>0</v>
      </c>
      <c r="R151" s="68">
        <f>IF(ISNA(SUMIFS(INDEX(Inputs!$B$2:$AZ$190,,MATCH(SUBSTITUTE(R$3,"Q","T"),Inputs!$B$2:$AZ$2,0)),Inputs!$B$2:$B$190,$B151)*Inputs!$D$1),"",SUMIFS(INDEX(Inputs!$B$2:$AZ$190,,MATCH(SUBSTITUTE(R$3,"Q","T"),Inputs!$B$2:$AZ$2,0)),Inputs!$B$2:$B$190,$B151)*Inputs!$D$1)</f>
        <v>0</v>
      </c>
      <c r="S151" s="69">
        <f>R151</f>
        <v>0</v>
      </c>
      <c r="T151" s="68">
        <f>IF(ISNA(SUMIFS(INDEX(Inputs!$B$2:$AZ$190,,MATCH(SUBSTITUTE(T$3,"Q","T"),Inputs!$B$2:$AZ$2,0)),Inputs!$B$2:$B$190,$B151)*Inputs!$D$1),"",SUMIFS(INDEX(Inputs!$B$2:$AZ$190,,MATCH(SUBSTITUTE(T$3,"Q","T"),Inputs!$B$2:$AZ$2,0)),Inputs!$B$2:$B$190,$B151)*Inputs!$D$1)</f>
        <v>0</v>
      </c>
      <c r="U151" s="68">
        <f>IF(ISNA(SUMIFS(INDEX(Inputs!$B$2:$AZ$190,,MATCH(SUBSTITUTE(U$3,"Q","T"),Inputs!$B$2:$AZ$2,0)),Inputs!$B$2:$B$190,$B151)*Inputs!$D$1),"",SUMIFS(INDEX(Inputs!$B$2:$AZ$190,,MATCH(SUBSTITUTE(U$3,"Q","T"),Inputs!$B$2:$AZ$2,0)),Inputs!$B$2:$B$190,$B151)*Inputs!$D$1)</f>
        <v>0</v>
      </c>
      <c r="V151" s="68">
        <f>IF(ISNA(SUMIFS(INDEX(Inputs!$B$2:$AZ$190,,MATCH(SUBSTITUTE(V$3,"Q","T"),Inputs!$B$2:$AZ$2,0)),Inputs!$B$2:$B$190,$B151)*Inputs!$D$1),"",SUMIFS(INDEX(Inputs!$B$2:$AZ$190,,MATCH(SUBSTITUTE(V$3,"Q","T"),Inputs!$B$2:$AZ$2,0)),Inputs!$B$2:$B$190,$B151)*Inputs!$D$1)</f>
        <v>0</v>
      </c>
      <c r="W151" s="68">
        <f>IF(ISNA(SUMIFS(INDEX(Inputs!$B$2:$AZ$190,,MATCH(SUBSTITUTE(W$3,"Q","T"),Inputs!$B$2:$AZ$2,0)),Inputs!$B$2:$B$190,$B151)*Inputs!$D$1),"",SUMIFS(INDEX(Inputs!$B$2:$AZ$190,,MATCH(SUBSTITUTE(W$3,"Q","T"),Inputs!$B$2:$AZ$2,0)),Inputs!$B$2:$B$190,$B151)*Inputs!$D$1)</f>
        <v>0</v>
      </c>
      <c r="X151" s="69">
        <f>W151</f>
        <v>0</v>
      </c>
      <c r="Y151" s="68">
        <f>IF(ISNA(SUMIFS(INDEX(Inputs!$B$2:$AZ$190,,MATCH(SUBSTITUTE(Y$3,"Q","T"),Inputs!$B$2:$AZ$2,0)),Inputs!$B$2:$B$190,$B151)*Inputs!$D$1),"",SUMIFS(INDEX(Inputs!$B$2:$AZ$190,,MATCH(SUBSTITUTE(Y$3,"Q","T"),Inputs!$B$2:$AZ$2,0)),Inputs!$B$2:$B$190,$B151)*Inputs!$D$1)</f>
        <v>0</v>
      </c>
      <c r="Z151" s="68">
        <f>IF(ISNA(SUMIFS(INDEX(Inputs!$B$2:$AZ$190,,MATCH(SUBSTITUTE(Z$3,"Q","T"),Inputs!$B$2:$AZ$2,0)),Inputs!$B$2:$B$190,$B151)*Inputs!$D$1),"",SUMIFS(INDEX(Inputs!$B$2:$AZ$190,,MATCH(SUBSTITUTE(Z$3,"Q","T"),Inputs!$B$2:$AZ$2,0)),Inputs!$B$2:$B$190,$B151)*Inputs!$D$1)</f>
        <v>0</v>
      </c>
      <c r="AA151" s="68">
        <f>IF(ISNA(SUMIFS(INDEX(Inputs!$B$2:$AZ$190,,MATCH(SUBSTITUTE(AA$3,"Q","T"),Inputs!$B$2:$AZ$2,0)),Inputs!$B$2:$B$190,$B151)*Inputs!$D$1),"",SUMIFS(INDEX(Inputs!$B$2:$AZ$190,,MATCH(SUBSTITUTE(AA$3,"Q","T"),Inputs!$B$2:$AZ$2,0)),Inputs!$B$2:$B$190,$B151)*Inputs!$D$1)</f>
        <v>0</v>
      </c>
      <c r="AB151" s="68">
        <f>IF(ISNA(SUMIFS(INDEX(Inputs!$B$2:$AZ$190,,MATCH(SUBSTITUTE(AB$3,"Q","T"),Inputs!$B$2:$AZ$2,0)),Inputs!$B$2:$B$190,$B151)*Inputs!$D$1),"",SUMIFS(INDEX(Inputs!$B$2:$AZ$190,,MATCH(SUBSTITUTE(AB$3,"Q","T"),Inputs!$B$2:$AZ$2,0)),Inputs!$B$2:$B$190,$B151)*Inputs!$D$1)</f>
        <v>0</v>
      </c>
      <c r="AC151" s="69">
        <f>AB151</f>
        <v>0</v>
      </c>
      <c r="AD151" s="68">
        <f>IF(ISNA(SUMIFS(INDEX(Inputs!$B$2:$AZ$190,,MATCH(SUBSTITUTE(AD$3,"Q","T"),Inputs!$B$2:$AZ$2,0)),Inputs!$B$2:$B$190,$B151)*Inputs!$D$1),"",SUMIFS(INDEX(Inputs!$B$2:$AZ$190,,MATCH(SUBSTITUTE(AD$3,"Q","T"),Inputs!$B$2:$AZ$2,0)),Inputs!$B$2:$B$190,$B151)*Inputs!$D$1)</f>
        <v>0</v>
      </c>
      <c r="AE151" s="68">
        <f>IF(ISNA(SUMIFS(INDEX(Inputs!$B$2:$AZ$190,,MATCH(SUBSTITUTE(AE$3,"Q","T"),Inputs!$B$2:$AZ$2,0)),Inputs!$B$2:$B$190,$B151)*Inputs!$D$1),"",SUMIFS(INDEX(Inputs!$B$2:$AZ$190,,MATCH(SUBSTITUTE(AE$3,"Q","T"),Inputs!$B$2:$AZ$2,0)),Inputs!$B$2:$B$190,$B151)*Inputs!$D$1)</f>
        <v>0</v>
      </c>
      <c r="AF151" s="68">
        <f>IF(ISNA(SUMIFS(INDEX(Inputs!$B$2:$AZ$190,,MATCH(SUBSTITUTE(AF$3,"Q","T"),Inputs!$B$2:$AZ$2,0)),Inputs!$B$2:$B$190,$B151)*Inputs!$D$1),"",SUMIFS(INDEX(Inputs!$B$2:$AZ$190,,MATCH(SUBSTITUTE(AF$3,"Q","T"),Inputs!$B$2:$AZ$2,0)),Inputs!$B$2:$B$190,$B151)*Inputs!$D$1)</f>
        <v>0</v>
      </c>
      <c r="AG151" s="68">
        <f>IF(ISNA(SUMIFS(INDEX(Inputs!$B$2:$AZ$190,,MATCH(SUBSTITUTE(AG$3,"Q","T"),Inputs!$B$2:$AZ$2,0)),Inputs!$B$2:$B$190,$B151)*Inputs!$D$1),"",SUMIFS(INDEX(Inputs!$B$2:$AZ$190,,MATCH(SUBSTITUTE(AG$3,"Q","T"),Inputs!$B$2:$AZ$2,0)),Inputs!$B$2:$B$190,$B151)*Inputs!$D$1)</f>
        <v>0</v>
      </c>
      <c r="AH151" s="69">
        <f>AG151</f>
        <v>0</v>
      </c>
      <c r="AI151" s="68">
        <f>IF(ISNA(SUMIFS(INDEX(Inputs!$B$2:$AZ$190,,MATCH(SUBSTITUTE(AI$3,"Q","T"),Inputs!$B$2:$AZ$2,0)),Inputs!$B$2:$B$190,$B151)*Inputs!$D$1),"",SUMIFS(INDEX(Inputs!$B$2:$AZ$190,,MATCH(SUBSTITUTE(AI$3,"Q","T"),Inputs!$B$2:$AZ$2,0)),Inputs!$B$2:$B$190,$B151)*Inputs!$D$1)</f>
        <v>0</v>
      </c>
      <c r="AJ151" s="68">
        <f>IF(ISNA(SUMIFS(INDEX(Inputs!$B$2:$AZ$190,,MATCH(SUBSTITUTE(AJ$3,"Q","T"),Inputs!$B$2:$AZ$2,0)),Inputs!$B$2:$B$190,$B151)*Inputs!$D$1),"",SUMIFS(INDEX(Inputs!$B$2:$AZ$190,,MATCH(SUBSTITUTE(AJ$3,"Q","T"),Inputs!$B$2:$AZ$2,0)),Inputs!$B$2:$B$190,$B151)*Inputs!$D$1)</f>
        <v>0</v>
      </c>
      <c r="AK151" s="68">
        <f>IF(ISNA(SUMIFS(INDEX(Inputs!$B$2:$AZ$190,,MATCH(SUBSTITUTE(AK$3,"Q","T"),Inputs!$B$2:$AZ$2,0)),Inputs!$B$2:$B$190,$B151)*Inputs!$D$1),"",SUMIFS(INDEX(Inputs!$B$2:$AZ$190,,MATCH(SUBSTITUTE(AK$3,"Q","T"),Inputs!$B$2:$AZ$2,0)),Inputs!$B$2:$B$190,$B151)*Inputs!$D$1)</f>
        <v>0</v>
      </c>
      <c r="AL151" s="68">
        <f>IF(ISNA(SUMIFS(INDEX(Inputs!$B$2:$AZ$190,,MATCH(SUBSTITUTE(AL$3,"Q","T"),Inputs!$B$2:$AZ$2,0)),Inputs!$B$2:$B$190,$B151)*Inputs!$D$1),"",SUMIFS(INDEX(Inputs!$B$2:$AZ$190,,MATCH(SUBSTITUTE(AL$3,"Q","T"),Inputs!$B$2:$AZ$2,0)),Inputs!$B$2:$B$190,$B151)*Inputs!$D$1)</f>
        <v>0</v>
      </c>
      <c r="AM151" s="69">
        <f>AL151</f>
        <v>0</v>
      </c>
      <c r="AN151" s="68">
        <f>IF(ISNA(SUMIFS(INDEX(Inputs!$B$2:$AZ$190,,MATCH(SUBSTITUTE(AN$3,"Q","T"),Inputs!$B$2:$AZ$2,0)),Inputs!$B$2:$B$190,$B151)*Inputs!$D$1),"",SUMIFS(INDEX(Inputs!$B$2:$AZ$190,,MATCH(SUBSTITUTE(AN$3,"Q","T"),Inputs!$B$2:$AZ$2,0)),Inputs!$B$2:$B$190,$B151)*Inputs!$D$1)</f>
        <v>0</v>
      </c>
      <c r="AO151" s="68">
        <f>IF(ISNA(SUMIFS(INDEX(Inputs!$B$2:$AZ$190,,MATCH(SUBSTITUTE(AO$3,"Q","T"),Inputs!$B$2:$AZ$2,0)),Inputs!$B$2:$B$190,$B151)*Inputs!$D$1),"",SUMIFS(INDEX(Inputs!$B$2:$AZ$190,,MATCH(SUBSTITUTE(AO$3,"Q","T"),Inputs!$B$2:$AZ$2,0)),Inputs!$B$2:$B$190,$B151)*Inputs!$D$1)</f>
        <v>0</v>
      </c>
      <c r="AP151" s="68">
        <f>IF(ISNA(SUMIFS(INDEX(Inputs!$B$2:$AZ$190,,MATCH(SUBSTITUTE(AP$3,"Q","T"),Inputs!$B$2:$AZ$2,0)),Inputs!$B$2:$B$190,$B151)*Inputs!$D$1),"",SUMIFS(INDEX(Inputs!$B$2:$AZ$190,,MATCH(SUBSTITUTE(AP$3,"Q","T"),Inputs!$B$2:$AZ$2,0)),Inputs!$B$2:$B$190,$B151)*Inputs!$D$1)</f>
        <v>0</v>
      </c>
      <c r="AQ151" s="68">
        <f>IF(ISNA(SUMIFS(INDEX(Inputs!$B$2:$AZ$190,,MATCH(SUBSTITUTE(AQ$3,"Q","T"),Inputs!$B$2:$AZ$2,0)),Inputs!$B$2:$B$190,$B151)*Inputs!$D$1),"",SUMIFS(INDEX(Inputs!$B$2:$AZ$190,,MATCH(SUBSTITUTE(AQ$3,"Q","T"),Inputs!$B$2:$AZ$2,0)),Inputs!$B$2:$B$190,$B151)*Inputs!$D$1)</f>
        <v>0</v>
      </c>
      <c r="AR151" s="69">
        <f>AQ151</f>
        <v>0</v>
      </c>
      <c r="AS151" s="68">
        <f>IF(ISNA(SUMIFS(INDEX(Inputs!$B$2:$AZ$190,,MATCH(SUBSTITUTE(AS$3,"Q","T"),Inputs!$B$2:$AZ$2,0)),Inputs!$B$2:$B$190,$B151)*Inputs!$D$1),"",SUMIFS(INDEX(Inputs!$B$2:$AZ$190,,MATCH(SUBSTITUTE(AS$3,"Q","T"),Inputs!$B$2:$AZ$2,0)),Inputs!$B$2:$B$190,$B151)*Inputs!$D$1)</f>
        <v>0</v>
      </c>
      <c r="AT151" s="68">
        <f>IF(ISNA(SUMIFS(INDEX(Inputs!$B$2:$AZ$190,,MATCH(SUBSTITUTE(AT$3,"Q","T"),Inputs!$B$2:$AZ$2,0)),Inputs!$B$2:$B$190,$B151)*Inputs!$D$1),"",SUMIFS(INDEX(Inputs!$B$2:$AZ$190,,MATCH(SUBSTITUTE(AT$3,"Q","T"),Inputs!$B$2:$AZ$2,0)),Inputs!$B$2:$B$190,$B151)*Inputs!$D$1)</f>
        <v>0</v>
      </c>
      <c r="AU151" s="68">
        <f>IF(ISNA(SUMIFS(INDEX(Inputs!$B$2:$AZ$190,,MATCH(SUBSTITUTE(AU$3,"Q","T"),Inputs!$B$2:$AZ$2,0)),Inputs!$B$2:$B$190,$B151)*Inputs!$D$1),"",SUMIFS(INDEX(Inputs!$B$2:$AZ$190,,MATCH(SUBSTITUTE(AU$3,"Q","T"),Inputs!$B$2:$AZ$2,0)),Inputs!$B$2:$B$190,$B151)*Inputs!$D$1)</f>
        <v>0</v>
      </c>
      <c r="AV151" s="68">
        <f>IF(ISNA(SUMIFS(INDEX(Inputs!$B$2:$AZ$190,,MATCH(SUBSTITUTE(AV$3,"Q","T"),Inputs!$B$2:$AZ$2,0)),Inputs!$B$2:$B$190,$B151)*Inputs!$D$1),"",SUMIFS(INDEX(Inputs!$B$2:$AZ$190,,MATCH(SUBSTITUTE(AV$3,"Q","T"),Inputs!$B$2:$AZ$2,0)),Inputs!$B$2:$B$190,$B151)*Inputs!$D$1)</f>
        <v>0</v>
      </c>
      <c r="AW151" s="69">
        <f>AV151</f>
        <v>0</v>
      </c>
      <c r="AX151" s="68">
        <f>IF(ISNA(SUMIFS(INDEX(Inputs!$B$2:$AZ$190,,MATCH(SUBSTITUTE(AX$3,"Q","T"),Inputs!$B$2:$AZ$2,0)),Inputs!$B$2:$B$190,$B151)*Inputs!$D$1),"",SUMIFS(INDEX(Inputs!$B$2:$AZ$190,,MATCH(SUBSTITUTE(AX$3,"Q","T"),Inputs!$B$2:$AZ$2,0)),Inputs!$B$2:$B$190,$B151)*Inputs!$D$1)</f>
        <v>0</v>
      </c>
      <c r="AY151" s="68">
        <f>IF(ISNA(SUMIFS(INDEX(Inputs!$B$2:$AZ$190,,MATCH(SUBSTITUTE(AY$3,"Q","T"),Inputs!$B$2:$AZ$2,0)),Inputs!$B$2:$B$190,$B151)*Inputs!$D$1),"",SUMIFS(INDEX(Inputs!$B$2:$AZ$190,,MATCH(SUBSTITUTE(AY$3,"Q","T"),Inputs!$B$2:$AZ$2,0)),Inputs!$B$2:$B$190,$B151)*Inputs!$D$1)</f>
        <v>0</v>
      </c>
      <c r="AZ151" s="68">
        <f>IF(ISNA(SUMIFS(INDEX(Inputs!$B$2:$AZ$190,,MATCH(SUBSTITUTE(AZ$3,"Q","T"),Inputs!$B$2:$AZ$2,0)),Inputs!$B$2:$B$190,$B151)*Inputs!$D$1),"",SUMIFS(INDEX(Inputs!$B$2:$AZ$190,,MATCH(SUBSTITUTE(AZ$3,"Q","T"),Inputs!$B$2:$AZ$2,0)),Inputs!$B$2:$B$190,$B151)*Inputs!$D$1)</f>
        <v>0</v>
      </c>
      <c r="BA151" s="68">
        <f>IF(ISNA(SUMIFS(INDEX(Inputs!$B$2:$AZ$190,,MATCH(SUBSTITUTE(BA$3,"Q","T"),Inputs!$B$2:$AZ$2,0)),Inputs!$B$2:$B$190,$B151)*Inputs!$D$1),"",SUMIFS(INDEX(Inputs!$B$2:$AZ$190,,MATCH(SUBSTITUTE(BA$3,"Q","T"),Inputs!$B$2:$AZ$2,0)),Inputs!$B$2:$B$190,$B151)*Inputs!$D$1)</f>
        <v>0</v>
      </c>
      <c r="BB151" s="69">
        <f>BA151</f>
        <v>0</v>
      </c>
      <c r="BC151" s="68">
        <f>IF(ISNA(SUMIFS(INDEX(Inputs!$B$2:$AZ$190,,MATCH(SUBSTITUTE(BC$3,"Q","T"),Inputs!$B$2:$AZ$2,0)),Inputs!$B$2:$B$190,$B151)*Inputs!$D$1),"",SUMIFS(INDEX(Inputs!$B$2:$AZ$190,,MATCH(SUBSTITUTE(BC$3,"Q","T"),Inputs!$B$2:$AZ$2,0)),Inputs!$B$2:$B$190,$B151)*Inputs!$D$1)</f>
        <v>0</v>
      </c>
      <c r="BD151" s="68">
        <f>IF(ISNA(SUMIFS(INDEX(Inputs!$B$2:$AZ$190,,MATCH(SUBSTITUTE(BD$3,"Q","T"),Inputs!$B$2:$AZ$2,0)),Inputs!$B$2:$B$190,$B151)*Inputs!$D$1),"",SUMIFS(INDEX(Inputs!$B$2:$AZ$190,,MATCH(SUBSTITUTE(BD$3,"Q","T"),Inputs!$B$2:$AZ$2,0)),Inputs!$B$2:$B$190,$B151)*Inputs!$D$1)</f>
        <v>0</v>
      </c>
      <c r="BE151" s="68">
        <f>IF(ISNA(SUMIFS(INDEX(Inputs!$B$2:$AZ$190,,MATCH(SUBSTITUTE(BE$3,"Q","T"),Inputs!$B$2:$AZ$2,0)),Inputs!$B$2:$B$190,$B151)*Inputs!$D$1),"",SUMIFS(INDEX(Inputs!$B$2:$AZ$190,,MATCH(SUBSTITUTE(BE$3,"Q","T"),Inputs!$B$2:$AZ$2,0)),Inputs!$B$2:$B$190,$B151)*Inputs!$D$1)</f>
        <v>0</v>
      </c>
      <c r="BF151" s="68">
        <f>IF(ISNA(SUMIFS(INDEX(Inputs!$B$2:$AZ$190,,MATCH(SUBSTITUTE(BF$3,"Q","T"),Inputs!$B$2:$AZ$2,0)),Inputs!$B$2:$B$190,$B151)*Inputs!$D$1),"",SUMIFS(INDEX(Inputs!$B$2:$AZ$190,,MATCH(SUBSTITUTE(BF$3,"Q","T"),Inputs!$B$2:$AZ$2,0)),Inputs!$B$2:$B$190,$B151)*Inputs!$D$1)</f>
        <v>0</v>
      </c>
      <c r="BG151" s="69">
        <f>BF151</f>
        <v>0</v>
      </c>
    </row>
    <row r="152">
      <c r="B152" s="56" t="inlineStr">
        <is>
          <t>msr</t>
        </is>
      </c>
      <c r="C152" s="11" t="inlineStr">
        <is>
          <t>MSRs (dentro de goodwill e intangíveis)</t>
        </is>
      </c>
      <c r="D152" s="12" t="inlineStr">
        <is>
          <t>Mortgage servicing rights</t>
        </is>
      </c>
      <c r="E152" s="57">
        <f>IF(ISNA(SUMIFS(INDEX(Inputs!$B$2:$AZ$190,,MATCH(SUBSTITUTE(E$3,"Q","T"),Inputs!$B$2:$AZ$2,0)),Inputs!$B$2:$B$190,$B152)*Inputs!$D$1),"",SUMIFS(INDEX(Inputs!$B$2:$AZ$190,,MATCH(SUBSTITUTE(E$3,"Q","T"),Inputs!$B$2:$AZ$2,0)),Inputs!$B$2:$B$190,$B152)*Inputs!$D$1)</f>
        <v>0</v>
      </c>
      <c r="F152" s="57">
        <f>IF(ISNA(SUMIFS(INDEX(Inputs!$B$2:$AZ$190,,MATCH(SUBSTITUTE(F$3,"Q","T"),Inputs!$B$2:$AZ$2,0)),Inputs!$B$2:$B$190,$B152)*Inputs!$D$1),"",SUMIFS(INDEX(Inputs!$B$2:$AZ$190,,MATCH(SUBSTITUTE(F$3,"Q","T"),Inputs!$B$2:$AZ$2,0)),Inputs!$B$2:$B$190,$B152)*Inputs!$D$1)</f>
        <v>0</v>
      </c>
      <c r="G152" s="57">
        <f>IF(ISNA(SUMIFS(INDEX(Inputs!$B$2:$AZ$190,,MATCH(SUBSTITUTE(G$3,"Q","T"),Inputs!$B$2:$AZ$2,0)),Inputs!$B$2:$B$190,$B152)*Inputs!$D$1),"",SUMIFS(INDEX(Inputs!$B$2:$AZ$190,,MATCH(SUBSTITUTE(G$3,"Q","T"),Inputs!$B$2:$AZ$2,0)),Inputs!$B$2:$B$190,$B152)*Inputs!$D$1)</f>
        <v>0</v>
      </c>
      <c r="H152" s="57">
        <f>IF(ISNA(SUMIFS(INDEX(Inputs!$B$2:$AZ$190,,MATCH(SUBSTITUTE(H$3,"Q","T"),Inputs!$B$2:$AZ$2,0)),Inputs!$B$2:$B$190,$B152)*Inputs!$D$1),"",SUMIFS(INDEX(Inputs!$B$2:$AZ$190,,MATCH(SUBSTITUTE(H$3,"Q","T"),Inputs!$B$2:$AZ$2,0)),Inputs!$B$2:$B$190,$B152)*Inputs!$D$1)</f>
        <v>0</v>
      </c>
      <c r="I152" s="58">
        <f>H152</f>
        <v>0</v>
      </c>
      <c r="J152" s="57">
        <f>IF(ISNA(SUMIFS(INDEX(Inputs!$B$2:$AZ$190,,MATCH(SUBSTITUTE(J$3,"Q","T"),Inputs!$B$2:$AZ$2,0)),Inputs!$B$2:$B$190,$B152)*Inputs!$D$1),"",SUMIFS(INDEX(Inputs!$B$2:$AZ$190,,MATCH(SUBSTITUTE(J$3,"Q","T"),Inputs!$B$2:$AZ$2,0)),Inputs!$B$2:$B$190,$B152)*Inputs!$D$1)</f>
        <v>0</v>
      </c>
      <c r="K152" s="57">
        <f>IF(ISNA(SUMIFS(INDEX(Inputs!$B$2:$AZ$190,,MATCH(SUBSTITUTE(K$3,"Q","T"),Inputs!$B$2:$AZ$2,0)),Inputs!$B$2:$B$190,$B152)*Inputs!$D$1),"",SUMIFS(INDEX(Inputs!$B$2:$AZ$190,,MATCH(SUBSTITUTE(K$3,"Q","T"),Inputs!$B$2:$AZ$2,0)),Inputs!$B$2:$B$190,$B152)*Inputs!$D$1)</f>
        <v>0</v>
      </c>
      <c r="L152" s="57">
        <f>IF(ISNA(SUMIFS(INDEX(Inputs!$B$2:$AZ$190,,MATCH(SUBSTITUTE(L$3,"Q","T"),Inputs!$B$2:$AZ$2,0)),Inputs!$B$2:$B$190,$B152)*Inputs!$D$1),"",SUMIFS(INDEX(Inputs!$B$2:$AZ$190,,MATCH(SUBSTITUTE(L$3,"Q","T"),Inputs!$B$2:$AZ$2,0)),Inputs!$B$2:$B$190,$B152)*Inputs!$D$1)</f>
        <v>0</v>
      </c>
      <c r="M152" s="57">
        <f>IF(ISNA(SUMIFS(INDEX(Inputs!$B$2:$AZ$190,,MATCH(SUBSTITUTE(M$3,"Q","T"),Inputs!$B$2:$AZ$2,0)),Inputs!$B$2:$B$190,$B152)*Inputs!$D$1),"",SUMIFS(INDEX(Inputs!$B$2:$AZ$190,,MATCH(SUBSTITUTE(M$3,"Q","T"),Inputs!$B$2:$AZ$2,0)),Inputs!$B$2:$B$190,$B152)*Inputs!$D$1)</f>
        <v>0</v>
      </c>
      <c r="N152" s="58">
        <f>M152</f>
        <v>0</v>
      </c>
      <c r="O152" s="57">
        <f>IF(ISNA(SUMIFS(INDEX(Inputs!$B$2:$AZ$190,,MATCH(SUBSTITUTE(O$3,"Q","T"),Inputs!$B$2:$AZ$2,0)),Inputs!$B$2:$B$190,$B152)*Inputs!$D$1),"",SUMIFS(INDEX(Inputs!$B$2:$AZ$190,,MATCH(SUBSTITUTE(O$3,"Q","T"),Inputs!$B$2:$AZ$2,0)),Inputs!$B$2:$B$190,$B152)*Inputs!$D$1)</f>
        <v>0</v>
      </c>
      <c r="P152" s="57">
        <f>IF(ISNA(SUMIFS(INDEX(Inputs!$B$2:$AZ$190,,MATCH(SUBSTITUTE(P$3,"Q","T"),Inputs!$B$2:$AZ$2,0)),Inputs!$B$2:$B$190,$B152)*Inputs!$D$1),"",SUMIFS(INDEX(Inputs!$B$2:$AZ$190,,MATCH(SUBSTITUTE(P$3,"Q","T"),Inputs!$B$2:$AZ$2,0)),Inputs!$B$2:$B$190,$B152)*Inputs!$D$1)</f>
        <v>0</v>
      </c>
      <c r="Q152" s="57">
        <f>IF(ISNA(SUMIFS(INDEX(Inputs!$B$2:$AZ$190,,MATCH(SUBSTITUTE(Q$3,"Q","T"),Inputs!$B$2:$AZ$2,0)),Inputs!$B$2:$B$190,$B152)*Inputs!$D$1),"",SUMIFS(INDEX(Inputs!$B$2:$AZ$190,,MATCH(SUBSTITUTE(Q$3,"Q","T"),Inputs!$B$2:$AZ$2,0)),Inputs!$B$2:$B$190,$B152)*Inputs!$D$1)</f>
        <v>0</v>
      </c>
      <c r="R152" s="57">
        <f>IF(ISNA(SUMIFS(INDEX(Inputs!$B$2:$AZ$190,,MATCH(SUBSTITUTE(R$3,"Q","T"),Inputs!$B$2:$AZ$2,0)),Inputs!$B$2:$B$190,$B152)*Inputs!$D$1),"",SUMIFS(INDEX(Inputs!$B$2:$AZ$190,,MATCH(SUBSTITUTE(R$3,"Q","T"),Inputs!$B$2:$AZ$2,0)),Inputs!$B$2:$B$190,$B152)*Inputs!$D$1)</f>
        <v>0</v>
      </c>
      <c r="S152" s="58">
        <f>R152</f>
        <v>0</v>
      </c>
      <c r="T152" s="57">
        <f>IF(ISNA(SUMIFS(INDEX(Inputs!$B$2:$AZ$190,,MATCH(SUBSTITUTE(T$3,"Q","T"),Inputs!$B$2:$AZ$2,0)),Inputs!$B$2:$B$190,$B152)*Inputs!$D$1),"",SUMIFS(INDEX(Inputs!$B$2:$AZ$190,,MATCH(SUBSTITUTE(T$3,"Q","T"),Inputs!$B$2:$AZ$2,0)),Inputs!$B$2:$B$190,$B152)*Inputs!$D$1)</f>
        <v>0</v>
      </c>
      <c r="U152" s="57">
        <f>IF(ISNA(SUMIFS(INDEX(Inputs!$B$2:$AZ$190,,MATCH(SUBSTITUTE(U$3,"Q","T"),Inputs!$B$2:$AZ$2,0)),Inputs!$B$2:$B$190,$B152)*Inputs!$D$1),"",SUMIFS(INDEX(Inputs!$B$2:$AZ$190,,MATCH(SUBSTITUTE(U$3,"Q","T"),Inputs!$B$2:$AZ$2,0)),Inputs!$B$2:$B$190,$B152)*Inputs!$D$1)</f>
        <v>0</v>
      </c>
      <c r="V152" s="57">
        <f>IF(ISNA(SUMIFS(INDEX(Inputs!$B$2:$AZ$190,,MATCH(SUBSTITUTE(V$3,"Q","T"),Inputs!$B$2:$AZ$2,0)),Inputs!$B$2:$B$190,$B152)*Inputs!$D$1),"",SUMIFS(INDEX(Inputs!$B$2:$AZ$190,,MATCH(SUBSTITUTE(V$3,"Q","T"),Inputs!$B$2:$AZ$2,0)),Inputs!$B$2:$B$190,$B152)*Inputs!$D$1)</f>
        <v>0</v>
      </c>
      <c r="W152" s="57">
        <f>IF(ISNA(SUMIFS(INDEX(Inputs!$B$2:$AZ$190,,MATCH(SUBSTITUTE(W$3,"Q","T"),Inputs!$B$2:$AZ$2,0)),Inputs!$B$2:$B$190,$B152)*Inputs!$D$1),"",SUMIFS(INDEX(Inputs!$B$2:$AZ$190,,MATCH(SUBSTITUTE(W$3,"Q","T"),Inputs!$B$2:$AZ$2,0)),Inputs!$B$2:$B$190,$B152)*Inputs!$D$1)</f>
        <v>0</v>
      </c>
      <c r="X152" s="58">
        <f>W152</f>
        <v>0</v>
      </c>
      <c r="Y152" s="57">
        <f>IF(ISNA(SUMIFS(INDEX(Inputs!$B$2:$AZ$190,,MATCH(SUBSTITUTE(Y$3,"Q","T"),Inputs!$B$2:$AZ$2,0)),Inputs!$B$2:$B$190,$B152)*Inputs!$D$1),"",SUMIFS(INDEX(Inputs!$B$2:$AZ$190,,MATCH(SUBSTITUTE(Y$3,"Q","T"),Inputs!$B$2:$AZ$2,0)),Inputs!$B$2:$B$190,$B152)*Inputs!$D$1)</f>
        <v>0</v>
      </c>
      <c r="Z152" s="57">
        <f>IF(ISNA(SUMIFS(INDEX(Inputs!$B$2:$AZ$190,,MATCH(SUBSTITUTE(Z$3,"Q","T"),Inputs!$B$2:$AZ$2,0)),Inputs!$B$2:$B$190,$B152)*Inputs!$D$1),"",SUMIFS(INDEX(Inputs!$B$2:$AZ$190,,MATCH(SUBSTITUTE(Z$3,"Q","T"),Inputs!$B$2:$AZ$2,0)),Inputs!$B$2:$B$190,$B152)*Inputs!$D$1)</f>
        <v>0</v>
      </c>
      <c r="AA152" s="57">
        <f>IF(ISNA(SUMIFS(INDEX(Inputs!$B$2:$AZ$190,,MATCH(SUBSTITUTE(AA$3,"Q","T"),Inputs!$B$2:$AZ$2,0)),Inputs!$B$2:$B$190,$B152)*Inputs!$D$1),"",SUMIFS(INDEX(Inputs!$B$2:$AZ$190,,MATCH(SUBSTITUTE(AA$3,"Q","T"),Inputs!$B$2:$AZ$2,0)),Inputs!$B$2:$B$190,$B152)*Inputs!$D$1)</f>
        <v>0</v>
      </c>
      <c r="AB152" s="57">
        <f>IF(ISNA(SUMIFS(INDEX(Inputs!$B$2:$AZ$190,,MATCH(SUBSTITUTE(AB$3,"Q","T"),Inputs!$B$2:$AZ$2,0)),Inputs!$B$2:$B$190,$B152)*Inputs!$D$1),"",SUMIFS(INDEX(Inputs!$B$2:$AZ$190,,MATCH(SUBSTITUTE(AB$3,"Q","T"),Inputs!$B$2:$AZ$2,0)),Inputs!$B$2:$B$190,$B152)*Inputs!$D$1)</f>
        <v>0</v>
      </c>
      <c r="AC152" s="58">
        <f>AB152</f>
        <v>0</v>
      </c>
      <c r="AD152" s="57">
        <f>IF(ISNA(SUMIFS(INDEX(Inputs!$B$2:$AZ$190,,MATCH(SUBSTITUTE(AD$3,"Q","T"),Inputs!$B$2:$AZ$2,0)),Inputs!$B$2:$B$190,$B152)*Inputs!$D$1),"",SUMIFS(INDEX(Inputs!$B$2:$AZ$190,,MATCH(SUBSTITUTE(AD$3,"Q","T"),Inputs!$B$2:$AZ$2,0)),Inputs!$B$2:$B$190,$B152)*Inputs!$D$1)</f>
        <v>0</v>
      </c>
      <c r="AE152" s="57">
        <f>IF(ISNA(SUMIFS(INDEX(Inputs!$B$2:$AZ$190,,MATCH(SUBSTITUTE(AE$3,"Q","T"),Inputs!$B$2:$AZ$2,0)),Inputs!$B$2:$B$190,$B152)*Inputs!$D$1),"",SUMIFS(INDEX(Inputs!$B$2:$AZ$190,,MATCH(SUBSTITUTE(AE$3,"Q","T"),Inputs!$B$2:$AZ$2,0)),Inputs!$B$2:$B$190,$B152)*Inputs!$D$1)</f>
        <v>0</v>
      </c>
      <c r="AF152" s="57">
        <f>IF(ISNA(SUMIFS(INDEX(Inputs!$B$2:$AZ$190,,MATCH(SUBSTITUTE(AF$3,"Q","T"),Inputs!$B$2:$AZ$2,0)),Inputs!$B$2:$B$190,$B152)*Inputs!$D$1),"",SUMIFS(INDEX(Inputs!$B$2:$AZ$190,,MATCH(SUBSTITUTE(AF$3,"Q","T"),Inputs!$B$2:$AZ$2,0)),Inputs!$B$2:$B$190,$B152)*Inputs!$D$1)</f>
        <v>0</v>
      </c>
      <c r="AG152" s="57">
        <f>IF(ISNA(SUMIFS(INDEX(Inputs!$B$2:$AZ$190,,MATCH(SUBSTITUTE(AG$3,"Q","T"),Inputs!$B$2:$AZ$2,0)),Inputs!$B$2:$B$190,$B152)*Inputs!$D$1),"",SUMIFS(INDEX(Inputs!$B$2:$AZ$190,,MATCH(SUBSTITUTE(AG$3,"Q","T"),Inputs!$B$2:$AZ$2,0)),Inputs!$B$2:$B$190,$B152)*Inputs!$D$1)</f>
        <v>0</v>
      </c>
      <c r="AH152" s="58">
        <f>AG152</f>
        <v>0</v>
      </c>
      <c r="AI152" s="57">
        <f>IF(ISNA(SUMIFS(INDEX(Inputs!$B$2:$AZ$190,,MATCH(SUBSTITUTE(AI$3,"Q","T"),Inputs!$B$2:$AZ$2,0)),Inputs!$B$2:$B$190,$B152)*Inputs!$D$1),"",SUMIFS(INDEX(Inputs!$B$2:$AZ$190,,MATCH(SUBSTITUTE(AI$3,"Q","T"),Inputs!$B$2:$AZ$2,0)),Inputs!$B$2:$B$190,$B152)*Inputs!$D$1)</f>
        <v>0</v>
      </c>
      <c r="AJ152" s="57">
        <f>IF(ISNA(SUMIFS(INDEX(Inputs!$B$2:$AZ$190,,MATCH(SUBSTITUTE(AJ$3,"Q","T"),Inputs!$B$2:$AZ$2,0)),Inputs!$B$2:$B$190,$B152)*Inputs!$D$1),"",SUMIFS(INDEX(Inputs!$B$2:$AZ$190,,MATCH(SUBSTITUTE(AJ$3,"Q","T"),Inputs!$B$2:$AZ$2,0)),Inputs!$B$2:$B$190,$B152)*Inputs!$D$1)</f>
        <v>0</v>
      </c>
      <c r="AK152" s="57">
        <f>IF(ISNA(SUMIFS(INDEX(Inputs!$B$2:$AZ$190,,MATCH(SUBSTITUTE(AK$3,"Q","T"),Inputs!$B$2:$AZ$2,0)),Inputs!$B$2:$B$190,$B152)*Inputs!$D$1),"",SUMIFS(INDEX(Inputs!$B$2:$AZ$190,,MATCH(SUBSTITUTE(AK$3,"Q","T"),Inputs!$B$2:$AZ$2,0)),Inputs!$B$2:$B$190,$B152)*Inputs!$D$1)</f>
        <v>0</v>
      </c>
      <c r="AL152" s="57">
        <f>IF(ISNA(SUMIFS(INDEX(Inputs!$B$2:$AZ$190,,MATCH(SUBSTITUTE(AL$3,"Q","T"),Inputs!$B$2:$AZ$2,0)),Inputs!$B$2:$B$190,$B152)*Inputs!$D$1),"",SUMIFS(INDEX(Inputs!$B$2:$AZ$190,,MATCH(SUBSTITUTE(AL$3,"Q","T"),Inputs!$B$2:$AZ$2,0)),Inputs!$B$2:$B$190,$B152)*Inputs!$D$1)</f>
        <v>0</v>
      </c>
      <c r="AM152" s="58">
        <f>AL152</f>
        <v>0</v>
      </c>
      <c r="AN152" s="57">
        <f>IF(ISNA(SUMIFS(INDEX(Inputs!$B$2:$AZ$190,,MATCH(SUBSTITUTE(AN$3,"Q","T"),Inputs!$B$2:$AZ$2,0)),Inputs!$B$2:$B$190,$B152)*Inputs!$D$1),"",SUMIFS(INDEX(Inputs!$B$2:$AZ$190,,MATCH(SUBSTITUTE(AN$3,"Q","T"),Inputs!$B$2:$AZ$2,0)),Inputs!$B$2:$B$190,$B152)*Inputs!$D$1)</f>
        <v>0</v>
      </c>
      <c r="AO152" s="57">
        <f>IF(ISNA(SUMIFS(INDEX(Inputs!$B$2:$AZ$190,,MATCH(SUBSTITUTE(AO$3,"Q","T"),Inputs!$B$2:$AZ$2,0)),Inputs!$B$2:$B$190,$B152)*Inputs!$D$1),"",SUMIFS(INDEX(Inputs!$B$2:$AZ$190,,MATCH(SUBSTITUTE(AO$3,"Q","T"),Inputs!$B$2:$AZ$2,0)),Inputs!$B$2:$B$190,$B152)*Inputs!$D$1)</f>
        <v>0</v>
      </c>
      <c r="AP152" s="57">
        <f>IF(ISNA(SUMIFS(INDEX(Inputs!$B$2:$AZ$190,,MATCH(SUBSTITUTE(AP$3,"Q","T"),Inputs!$B$2:$AZ$2,0)),Inputs!$B$2:$B$190,$B152)*Inputs!$D$1),"",SUMIFS(INDEX(Inputs!$B$2:$AZ$190,,MATCH(SUBSTITUTE(AP$3,"Q","T"),Inputs!$B$2:$AZ$2,0)),Inputs!$B$2:$B$190,$B152)*Inputs!$D$1)</f>
        <v>0</v>
      </c>
      <c r="AQ152" s="57">
        <f>IF(ISNA(SUMIFS(INDEX(Inputs!$B$2:$AZ$190,,MATCH(SUBSTITUTE(AQ$3,"Q","T"),Inputs!$B$2:$AZ$2,0)),Inputs!$B$2:$B$190,$B152)*Inputs!$D$1),"",SUMIFS(INDEX(Inputs!$B$2:$AZ$190,,MATCH(SUBSTITUTE(AQ$3,"Q","T"),Inputs!$B$2:$AZ$2,0)),Inputs!$B$2:$B$190,$B152)*Inputs!$D$1)</f>
        <v>0</v>
      </c>
      <c r="AR152" s="58">
        <f>AQ152</f>
        <v>0</v>
      </c>
      <c r="AS152" s="57">
        <f>IF(ISNA(SUMIFS(INDEX(Inputs!$B$2:$AZ$190,,MATCH(SUBSTITUTE(AS$3,"Q","T"),Inputs!$B$2:$AZ$2,0)),Inputs!$B$2:$B$190,$B152)*Inputs!$D$1),"",SUMIFS(INDEX(Inputs!$B$2:$AZ$190,,MATCH(SUBSTITUTE(AS$3,"Q","T"),Inputs!$B$2:$AZ$2,0)),Inputs!$B$2:$B$190,$B152)*Inputs!$D$1)</f>
        <v>0</v>
      </c>
      <c r="AT152" s="57">
        <f>IF(ISNA(SUMIFS(INDEX(Inputs!$B$2:$AZ$190,,MATCH(SUBSTITUTE(AT$3,"Q","T"),Inputs!$B$2:$AZ$2,0)),Inputs!$B$2:$B$190,$B152)*Inputs!$D$1),"",SUMIFS(INDEX(Inputs!$B$2:$AZ$190,,MATCH(SUBSTITUTE(AT$3,"Q","T"),Inputs!$B$2:$AZ$2,0)),Inputs!$B$2:$B$190,$B152)*Inputs!$D$1)</f>
        <v>0</v>
      </c>
      <c r="AU152" s="57">
        <f>IF(ISNA(SUMIFS(INDEX(Inputs!$B$2:$AZ$190,,MATCH(SUBSTITUTE(AU$3,"Q","T"),Inputs!$B$2:$AZ$2,0)),Inputs!$B$2:$B$190,$B152)*Inputs!$D$1),"",SUMIFS(INDEX(Inputs!$B$2:$AZ$190,,MATCH(SUBSTITUTE(AU$3,"Q","T"),Inputs!$B$2:$AZ$2,0)),Inputs!$B$2:$B$190,$B152)*Inputs!$D$1)</f>
        <v>0</v>
      </c>
      <c r="AV152" s="57">
        <f>IF(ISNA(SUMIFS(INDEX(Inputs!$B$2:$AZ$190,,MATCH(SUBSTITUTE(AV$3,"Q","T"),Inputs!$B$2:$AZ$2,0)),Inputs!$B$2:$B$190,$B152)*Inputs!$D$1),"",SUMIFS(INDEX(Inputs!$B$2:$AZ$190,,MATCH(SUBSTITUTE(AV$3,"Q","T"),Inputs!$B$2:$AZ$2,0)),Inputs!$B$2:$B$190,$B152)*Inputs!$D$1)</f>
        <v>0</v>
      </c>
      <c r="AW152" s="58">
        <f>AV152</f>
        <v>0</v>
      </c>
      <c r="AX152" s="57">
        <f>IF(ISNA(SUMIFS(INDEX(Inputs!$B$2:$AZ$190,,MATCH(SUBSTITUTE(AX$3,"Q","T"),Inputs!$B$2:$AZ$2,0)),Inputs!$B$2:$B$190,$B152)*Inputs!$D$1),"",SUMIFS(INDEX(Inputs!$B$2:$AZ$190,,MATCH(SUBSTITUTE(AX$3,"Q","T"),Inputs!$B$2:$AZ$2,0)),Inputs!$B$2:$B$190,$B152)*Inputs!$D$1)</f>
        <v>0</v>
      </c>
      <c r="AY152" s="57">
        <f>IF(ISNA(SUMIFS(INDEX(Inputs!$B$2:$AZ$190,,MATCH(SUBSTITUTE(AY$3,"Q","T"),Inputs!$B$2:$AZ$2,0)),Inputs!$B$2:$B$190,$B152)*Inputs!$D$1),"",SUMIFS(INDEX(Inputs!$B$2:$AZ$190,,MATCH(SUBSTITUTE(AY$3,"Q","T"),Inputs!$B$2:$AZ$2,0)),Inputs!$B$2:$B$190,$B152)*Inputs!$D$1)</f>
        <v>0</v>
      </c>
      <c r="AZ152" s="57">
        <f>IF(ISNA(SUMIFS(INDEX(Inputs!$B$2:$AZ$190,,MATCH(SUBSTITUTE(AZ$3,"Q","T"),Inputs!$B$2:$AZ$2,0)),Inputs!$B$2:$B$190,$B152)*Inputs!$D$1),"",SUMIFS(INDEX(Inputs!$B$2:$AZ$190,,MATCH(SUBSTITUTE(AZ$3,"Q","T"),Inputs!$B$2:$AZ$2,0)),Inputs!$B$2:$B$190,$B152)*Inputs!$D$1)</f>
        <v>0</v>
      </c>
      <c r="BA152" s="57">
        <f>IF(ISNA(SUMIFS(INDEX(Inputs!$B$2:$AZ$190,,MATCH(SUBSTITUTE(BA$3,"Q","T"),Inputs!$B$2:$AZ$2,0)),Inputs!$B$2:$B$190,$B152)*Inputs!$D$1),"",SUMIFS(INDEX(Inputs!$B$2:$AZ$190,,MATCH(SUBSTITUTE(BA$3,"Q","T"),Inputs!$B$2:$AZ$2,0)),Inputs!$B$2:$B$190,$B152)*Inputs!$D$1)</f>
        <v>0</v>
      </c>
      <c r="BB152" s="58">
        <f>BA152</f>
        <v>0</v>
      </c>
      <c r="BC152" s="57">
        <f>IF(ISNA(SUMIFS(INDEX(Inputs!$B$2:$AZ$190,,MATCH(SUBSTITUTE(BC$3,"Q","T"),Inputs!$B$2:$AZ$2,0)),Inputs!$B$2:$B$190,$B152)*Inputs!$D$1),"",SUMIFS(INDEX(Inputs!$B$2:$AZ$190,,MATCH(SUBSTITUTE(BC$3,"Q","T"),Inputs!$B$2:$AZ$2,0)),Inputs!$B$2:$B$190,$B152)*Inputs!$D$1)</f>
        <v>0</v>
      </c>
      <c r="BD152" s="57">
        <f>IF(ISNA(SUMIFS(INDEX(Inputs!$B$2:$AZ$190,,MATCH(SUBSTITUTE(BD$3,"Q","T"),Inputs!$B$2:$AZ$2,0)),Inputs!$B$2:$B$190,$B152)*Inputs!$D$1),"",SUMIFS(INDEX(Inputs!$B$2:$AZ$190,,MATCH(SUBSTITUTE(BD$3,"Q","T"),Inputs!$B$2:$AZ$2,0)),Inputs!$B$2:$B$190,$B152)*Inputs!$D$1)</f>
        <v>0</v>
      </c>
      <c r="BE152" s="57">
        <f>IF(ISNA(SUMIFS(INDEX(Inputs!$B$2:$AZ$190,,MATCH(SUBSTITUTE(BE$3,"Q","T"),Inputs!$B$2:$AZ$2,0)),Inputs!$B$2:$B$190,$B152)*Inputs!$D$1),"",SUMIFS(INDEX(Inputs!$B$2:$AZ$190,,MATCH(SUBSTITUTE(BE$3,"Q","T"),Inputs!$B$2:$AZ$2,0)),Inputs!$B$2:$B$190,$B152)*Inputs!$D$1)</f>
        <v>0</v>
      </c>
      <c r="BF152" s="57">
        <f>IF(ISNA(SUMIFS(INDEX(Inputs!$B$2:$AZ$190,,MATCH(SUBSTITUTE(BF$3,"Q","T"),Inputs!$B$2:$AZ$2,0)),Inputs!$B$2:$B$190,$B152)*Inputs!$D$1),"",SUMIFS(INDEX(Inputs!$B$2:$AZ$190,,MATCH(SUBSTITUTE(BF$3,"Q","T"),Inputs!$B$2:$AZ$2,0)),Inputs!$B$2:$B$190,$B152)*Inputs!$D$1)</f>
        <v>0</v>
      </c>
      <c r="BG152" s="58">
        <f>BF152</f>
        <v>0</v>
      </c>
      <c r="BI152" s="14" t="n"/>
    </row>
    <row r="154">
      <c r="B154" s="29" t="n"/>
      <c r="C154" s="29" t="inlineStr">
        <is>
          <t>Ações, distribuições ao acionista e dados operacionais</t>
        </is>
      </c>
      <c r="D154" s="29" t="inlineStr">
        <is>
          <t>Shares, capital return and operating data</t>
        </is>
      </c>
      <c r="E154" s="29" t="n"/>
      <c r="F154" s="29" t="n"/>
      <c r="G154" s="29" t="n"/>
      <c r="H154" s="29" t="n"/>
      <c r="I154" s="29" t="n"/>
      <c r="J154" s="29" t="n"/>
      <c r="K154" s="29" t="n"/>
      <c r="L154" s="29" t="n"/>
      <c r="M154" s="29" t="n"/>
      <c r="N154" s="29" t="n"/>
      <c r="O154" s="29" t="n"/>
      <c r="P154" s="29" t="n"/>
      <c r="Q154" s="29" t="n"/>
      <c r="R154" s="29" t="n"/>
      <c r="S154" s="29" t="n"/>
      <c r="T154" s="29" t="n"/>
      <c r="U154" s="29" t="n"/>
      <c r="V154" s="29" t="n"/>
      <c r="W154" s="29" t="n"/>
      <c r="X154" s="29" t="n"/>
      <c r="Y154" s="29" t="n"/>
      <c r="Z154" s="29" t="n"/>
      <c r="AA154" s="29" t="n"/>
      <c r="AB154" s="29" t="n"/>
      <c r="AC154" s="29" t="n"/>
      <c r="AD154" s="29" t="n"/>
      <c r="AE154" s="29" t="n"/>
      <c r="AF154" s="29" t="n"/>
      <c r="AG154" s="29" t="n"/>
      <c r="AH154" s="29" t="n"/>
      <c r="AI154" s="29" t="n"/>
      <c r="AJ154" s="29" t="n"/>
      <c r="AK154" s="29" t="n"/>
      <c r="AL154" s="29" t="n"/>
      <c r="AM154" s="29" t="n"/>
      <c r="AN154" s="29" t="n"/>
      <c r="AO154" s="29" t="n"/>
      <c r="AP154" s="29" t="n"/>
      <c r="AQ154" s="29" t="n"/>
      <c r="AR154" s="29" t="n"/>
      <c r="AS154" s="29" t="n"/>
      <c r="AT154" s="29" t="n"/>
      <c r="AU154" s="29" t="n"/>
      <c r="AV154" s="29" t="n"/>
      <c r="AW154" s="29" t="n"/>
      <c r="AX154" s="29" t="n"/>
      <c r="AY154" s="29" t="n"/>
      <c r="AZ154" s="29" t="n"/>
      <c r="BA154" s="29" t="n"/>
      <c r="BB154" s="29" t="n"/>
      <c r="BC154" s="29" t="n"/>
      <c r="BD154" s="29" t="n"/>
      <c r="BE154" s="29" t="n"/>
      <c r="BF154" s="29" t="n"/>
      <c r="BG154" s="29" t="n"/>
      <c r="BH154" s="29" t="n"/>
      <c r="BI154" s="29" t="n"/>
    </row>
    <row r="155">
      <c r="B155" s="56" t="inlineStr">
        <is>
          <t>shares</t>
        </is>
      </c>
      <c r="C155" s="11" t="inlineStr">
        <is>
          <t>Ações ordinárias em circulação no fim do período (milhões)</t>
        </is>
      </c>
      <c r="D155" s="12" t="inlineStr">
        <is>
          <t>Common shares outstanding, eop (mn)</t>
        </is>
      </c>
      <c r="E155" s="70">
        <f>IF(ISNA(SUMIFS(INDEX(Inputs!$B$2:$AZ$190,,MATCH(SUBSTITUTE(E$3,"Q","T"),Inputs!$B$2:$AZ$2,0)),Inputs!$B$2:$B$190,$B155)*Inputs!$D$1),"",SUMIFS(INDEX(Inputs!$B$2:$AZ$190,,MATCH(SUBSTITUTE(E$3,"Q","T"),Inputs!$B$2:$AZ$2,0)),Inputs!$B$2:$B$190,$B155)*Inputs!$D$1)</f>
        <v>0</v>
      </c>
      <c r="F155" s="70">
        <f>IF(ISNA(SUMIFS(INDEX(Inputs!$B$2:$AZ$190,,MATCH(SUBSTITUTE(F$3,"Q","T"),Inputs!$B$2:$AZ$2,0)),Inputs!$B$2:$B$190,$B155)*Inputs!$D$1),"",SUMIFS(INDEX(Inputs!$B$2:$AZ$190,,MATCH(SUBSTITUTE(F$3,"Q","T"),Inputs!$B$2:$AZ$2,0)),Inputs!$B$2:$B$190,$B155)*Inputs!$D$1)</f>
        <v>0</v>
      </c>
      <c r="G155" s="70">
        <f>IF(ISNA(SUMIFS(INDEX(Inputs!$B$2:$AZ$190,,MATCH(SUBSTITUTE(G$3,"Q","T"),Inputs!$B$2:$AZ$2,0)),Inputs!$B$2:$B$190,$B155)*Inputs!$D$1),"",SUMIFS(INDEX(Inputs!$B$2:$AZ$190,,MATCH(SUBSTITUTE(G$3,"Q","T"),Inputs!$B$2:$AZ$2,0)),Inputs!$B$2:$B$190,$B155)*Inputs!$D$1)</f>
        <v>0</v>
      </c>
      <c r="H155" s="70">
        <f>IF(ISNA(SUMIFS(INDEX(Inputs!$B$2:$AZ$190,,MATCH(SUBSTITUTE(H$3,"Q","T"),Inputs!$B$2:$AZ$2,0)),Inputs!$B$2:$B$190,$B155)*Inputs!$D$1),"",SUMIFS(INDEX(Inputs!$B$2:$AZ$190,,MATCH(SUBSTITUTE(H$3,"Q","T"),Inputs!$B$2:$AZ$2,0)),Inputs!$B$2:$B$190,$B155)*Inputs!$D$1)</f>
        <v>0</v>
      </c>
      <c r="I155" s="71">
        <f>H155</f>
        <v>0</v>
      </c>
      <c r="J155" s="70">
        <f>IF(ISNA(SUMIFS(INDEX(Inputs!$B$2:$AZ$190,,MATCH(SUBSTITUTE(J$3,"Q","T"),Inputs!$B$2:$AZ$2,0)),Inputs!$B$2:$B$190,$B155)*Inputs!$D$1),"",SUMIFS(INDEX(Inputs!$B$2:$AZ$190,,MATCH(SUBSTITUTE(J$3,"Q","T"),Inputs!$B$2:$AZ$2,0)),Inputs!$B$2:$B$190,$B155)*Inputs!$D$1)</f>
        <v>0</v>
      </c>
      <c r="K155" s="70">
        <f>IF(ISNA(SUMIFS(INDEX(Inputs!$B$2:$AZ$190,,MATCH(SUBSTITUTE(K$3,"Q","T"),Inputs!$B$2:$AZ$2,0)),Inputs!$B$2:$B$190,$B155)*Inputs!$D$1),"",SUMIFS(INDEX(Inputs!$B$2:$AZ$190,,MATCH(SUBSTITUTE(K$3,"Q","T"),Inputs!$B$2:$AZ$2,0)),Inputs!$B$2:$B$190,$B155)*Inputs!$D$1)</f>
        <v>0</v>
      </c>
      <c r="L155" s="70">
        <f>IF(ISNA(SUMIFS(INDEX(Inputs!$B$2:$AZ$190,,MATCH(SUBSTITUTE(L$3,"Q","T"),Inputs!$B$2:$AZ$2,0)),Inputs!$B$2:$B$190,$B155)*Inputs!$D$1),"",SUMIFS(INDEX(Inputs!$B$2:$AZ$190,,MATCH(SUBSTITUTE(L$3,"Q","T"),Inputs!$B$2:$AZ$2,0)),Inputs!$B$2:$B$190,$B155)*Inputs!$D$1)</f>
        <v>0</v>
      </c>
      <c r="M155" s="70">
        <f>IF(ISNA(SUMIFS(INDEX(Inputs!$B$2:$AZ$190,,MATCH(SUBSTITUTE(M$3,"Q","T"),Inputs!$B$2:$AZ$2,0)),Inputs!$B$2:$B$190,$B155)*Inputs!$D$1),"",SUMIFS(INDEX(Inputs!$B$2:$AZ$190,,MATCH(SUBSTITUTE(M$3,"Q","T"),Inputs!$B$2:$AZ$2,0)),Inputs!$B$2:$B$190,$B155)*Inputs!$D$1)</f>
        <v>0</v>
      </c>
      <c r="N155" s="71">
        <f>M155</f>
        <v>0</v>
      </c>
      <c r="O155" s="70">
        <f>IF(ISNA(SUMIFS(INDEX(Inputs!$B$2:$AZ$190,,MATCH(SUBSTITUTE(O$3,"Q","T"),Inputs!$B$2:$AZ$2,0)),Inputs!$B$2:$B$190,$B155)*Inputs!$D$1),"",SUMIFS(INDEX(Inputs!$B$2:$AZ$190,,MATCH(SUBSTITUTE(O$3,"Q","T"),Inputs!$B$2:$AZ$2,0)),Inputs!$B$2:$B$190,$B155)*Inputs!$D$1)</f>
        <v>0</v>
      </c>
      <c r="P155" s="70">
        <f>IF(ISNA(SUMIFS(INDEX(Inputs!$B$2:$AZ$190,,MATCH(SUBSTITUTE(P$3,"Q","T"),Inputs!$B$2:$AZ$2,0)),Inputs!$B$2:$B$190,$B155)*Inputs!$D$1),"",SUMIFS(INDEX(Inputs!$B$2:$AZ$190,,MATCH(SUBSTITUTE(P$3,"Q","T"),Inputs!$B$2:$AZ$2,0)),Inputs!$B$2:$B$190,$B155)*Inputs!$D$1)</f>
        <v>0</v>
      </c>
      <c r="Q155" s="70">
        <f>IF(ISNA(SUMIFS(INDEX(Inputs!$B$2:$AZ$190,,MATCH(SUBSTITUTE(Q$3,"Q","T"),Inputs!$B$2:$AZ$2,0)),Inputs!$B$2:$B$190,$B155)*Inputs!$D$1),"",SUMIFS(INDEX(Inputs!$B$2:$AZ$190,,MATCH(SUBSTITUTE(Q$3,"Q","T"),Inputs!$B$2:$AZ$2,0)),Inputs!$B$2:$B$190,$B155)*Inputs!$D$1)</f>
        <v>0</v>
      </c>
      <c r="R155" s="70">
        <f>IF(ISNA(SUMIFS(INDEX(Inputs!$B$2:$AZ$190,,MATCH(SUBSTITUTE(R$3,"Q","T"),Inputs!$B$2:$AZ$2,0)),Inputs!$B$2:$B$190,$B155)*Inputs!$D$1),"",SUMIFS(INDEX(Inputs!$B$2:$AZ$190,,MATCH(SUBSTITUTE(R$3,"Q","T"),Inputs!$B$2:$AZ$2,0)),Inputs!$B$2:$B$190,$B155)*Inputs!$D$1)</f>
        <v>0</v>
      </c>
      <c r="S155" s="71">
        <f>R155</f>
        <v>0</v>
      </c>
      <c r="T155" s="70">
        <f>IF(ISNA(SUMIFS(INDEX(Inputs!$B$2:$AZ$190,,MATCH(SUBSTITUTE(T$3,"Q","T"),Inputs!$B$2:$AZ$2,0)),Inputs!$B$2:$B$190,$B155)*Inputs!$D$1),"",SUMIFS(INDEX(Inputs!$B$2:$AZ$190,,MATCH(SUBSTITUTE(T$3,"Q","T"),Inputs!$B$2:$AZ$2,0)),Inputs!$B$2:$B$190,$B155)*Inputs!$D$1)</f>
        <v>0</v>
      </c>
      <c r="U155" s="70">
        <f>IF(ISNA(SUMIFS(INDEX(Inputs!$B$2:$AZ$190,,MATCH(SUBSTITUTE(U$3,"Q","T"),Inputs!$B$2:$AZ$2,0)),Inputs!$B$2:$B$190,$B155)*Inputs!$D$1),"",SUMIFS(INDEX(Inputs!$B$2:$AZ$190,,MATCH(SUBSTITUTE(U$3,"Q","T"),Inputs!$B$2:$AZ$2,0)),Inputs!$B$2:$B$190,$B155)*Inputs!$D$1)</f>
        <v>0</v>
      </c>
      <c r="V155" s="70">
        <f>IF(ISNA(SUMIFS(INDEX(Inputs!$B$2:$AZ$190,,MATCH(SUBSTITUTE(V$3,"Q","T"),Inputs!$B$2:$AZ$2,0)),Inputs!$B$2:$B$190,$B155)*Inputs!$D$1),"",SUMIFS(INDEX(Inputs!$B$2:$AZ$190,,MATCH(SUBSTITUTE(V$3,"Q","T"),Inputs!$B$2:$AZ$2,0)),Inputs!$B$2:$B$190,$B155)*Inputs!$D$1)</f>
        <v>0</v>
      </c>
      <c r="W155" s="70">
        <f>IF(ISNA(SUMIFS(INDEX(Inputs!$B$2:$AZ$190,,MATCH(SUBSTITUTE(W$3,"Q","T"),Inputs!$B$2:$AZ$2,0)),Inputs!$B$2:$B$190,$B155)*Inputs!$D$1),"",SUMIFS(INDEX(Inputs!$B$2:$AZ$190,,MATCH(SUBSTITUTE(W$3,"Q","T"),Inputs!$B$2:$AZ$2,0)),Inputs!$B$2:$B$190,$B155)*Inputs!$D$1)</f>
        <v>0</v>
      </c>
      <c r="X155" s="71">
        <f>W155</f>
        <v>0</v>
      </c>
      <c r="Y155" s="70">
        <f>IF(ISNA(SUMIFS(INDEX(Inputs!$B$2:$AZ$190,,MATCH(SUBSTITUTE(Y$3,"Q","T"),Inputs!$B$2:$AZ$2,0)),Inputs!$B$2:$B$190,$B155)*Inputs!$D$1),"",SUMIFS(INDEX(Inputs!$B$2:$AZ$190,,MATCH(SUBSTITUTE(Y$3,"Q","T"),Inputs!$B$2:$AZ$2,0)),Inputs!$B$2:$B$190,$B155)*Inputs!$D$1)</f>
        <v>0</v>
      </c>
      <c r="Z155" s="70">
        <f>IF(ISNA(SUMIFS(INDEX(Inputs!$B$2:$AZ$190,,MATCH(SUBSTITUTE(Z$3,"Q","T"),Inputs!$B$2:$AZ$2,0)),Inputs!$B$2:$B$190,$B155)*Inputs!$D$1),"",SUMIFS(INDEX(Inputs!$B$2:$AZ$190,,MATCH(SUBSTITUTE(Z$3,"Q","T"),Inputs!$B$2:$AZ$2,0)),Inputs!$B$2:$B$190,$B155)*Inputs!$D$1)</f>
        <v>0</v>
      </c>
      <c r="AA155" s="70">
        <f>IF(ISNA(SUMIFS(INDEX(Inputs!$B$2:$AZ$190,,MATCH(SUBSTITUTE(AA$3,"Q","T"),Inputs!$B$2:$AZ$2,0)),Inputs!$B$2:$B$190,$B155)*Inputs!$D$1),"",SUMIFS(INDEX(Inputs!$B$2:$AZ$190,,MATCH(SUBSTITUTE(AA$3,"Q","T"),Inputs!$B$2:$AZ$2,0)),Inputs!$B$2:$B$190,$B155)*Inputs!$D$1)</f>
        <v>0</v>
      </c>
      <c r="AB155" s="70">
        <f>IF(ISNA(SUMIFS(INDEX(Inputs!$B$2:$AZ$190,,MATCH(SUBSTITUTE(AB$3,"Q","T"),Inputs!$B$2:$AZ$2,0)),Inputs!$B$2:$B$190,$B155)*Inputs!$D$1),"",SUMIFS(INDEX(Inputs!$B$2:$AZ$190,,MATCH(SUBSTITUTE(AB$3,"Q","T"),Inputs!$B$2:$AZ$2,0)),Inputs!$B$2:$B$190,$B155)*Inputs!$D$1)</f>
        <v>0</v>
      </c>
      <c r="AC155" s="71">
        <f>AB155</f>
        <v>0</v>
      </c>
      <c r="AD155" s="70">
        <f>IF(ISNA(SUMIFS(INDEX(Inputs!$B$2:$AZ$190,,MATCH(SUBSTITUTE(AD$3,"Q","T"),Inputs!$B$2:$AZ$2,0)),Inputs!$B$2:$B$190,$B155)*Inputs!$D$1),"",SUMIFS(INDEX(Inputs!$B$2:$AZ$190,,MATCH(SUBSTITUTE(AD$3,"Q","T"),Inputs!$B$2:$AZ$2,0)),Inputs!$B$2:$B$190,$B155)*Inputs!$D$1)</f>
        <v>0</v>
      </c>
      <c r="AE155" s="70">
        <f>IF(ISNA(SUMIFS(INDEX(Inputs!$B$2:$AZ$190,,MATCH(SUBSTITUTE(AE$3,"Q","T"),Inputs!$B$2:$AZ$2,0)),Inputs!$B$2:$B$190,$B155)*Inputs!$D$1),"",SUMIFS(INDEX(Inputs!$B$2:$AZ$190,,MATCH(SUBSTITUTE(AE$3,"Q","T"),Inputs!$B$2:$AZ$2,0)),Inputs!$B$2:$B$190,$B155)*Inputs!$D$1)</f>
        <v>0</v>
      </c>
      <c r="AF155" s="70">
        <f>IF(ISNA(SUMIFS(INDEX(Inputs!$B$2:$AZ$190,,MATCH(SUBSTITUTE(AF$3,"Q","T"),Inputs!$B$2:$AZ$2,0)),Inputs!$B$2:$B$190,$B155)*Inputs!$D$1),"",SUMIFS(INDEX(Inputs!$B$2:$AZ$190,,MATCH(SUBSTITUTE(AF$3,"Q","T"),Inputs!$B$2:$AZ$2,0)),Inputs!$B$2:$B$190,$B155)*Inputs!$D$1)</f>
        <v>0</v>
      </c>
      <c r="AG155" s="70">
        <f>IF(ISNA(SUMIFS(INDEX(Inputs!$B$2:$AZ$190,,MATCH(SUBSTITUTE(AG$3,"Q","T"),Inputs!$B$2:$AZ$2,0)),Inputs!$B$2:$B$190,$B155)*Inputs!$D$1),"",SUMIFS(INDEX(Inputs!$B$2:$AZ$190,,MATCH(SUBSTITUTE(AG$3,"Q","T"),Inputs!$B$2:$AZ$2,0)),Inputs!$B$2:$B$190,$B155)*Inputs!$D$1)</f>
        <v>0</v>
      </c>
      <c r="AH155" s="71">
        <f>AG155</f>
        <v>0</v>
      </c>
      <c r="AI155" s="70">
        <f>IF(ISNA(SUMIFS(INDEX(Inputs!$B$2:$AZ$190,,MATCH(SUBSTITUTE(AI$3,"Q","T"),Inputs!$B$2:$AZ$2,0)),Inputs!$B$2:$B$190,$B155)*Inputs!$D$1),"",SUMIFS(INDEX(Inputs!$B$2:$AZ$190,,MATCH(SUBSTITUTE(AI$3,"Q","T"),Inputs!$B$2:$AZ$2,0)),Inputs!$B$2:$B$190,$B155)*Inputs!$D$1)</f>
        <v>0</v>
      </c>
      <c r="AJ155" s="70">
        <f>IF(ISNA(SUMIFS(INDEX(Inputs!$B$2:$AZ$190,,MATCH(SUBSTITUTE(AJ$3,"Q","T"),Inputs!$B$2:$AZ$2,0)),Inputs!$B$2:$B$190,$B155)*Inputs!$D$1),"",SUMIFS(INDEX(Inputs!$B$2:$AZ$190,,MATCH(SUBSTITUTE(AJ$3,"Q","T"),Inputs!$B$2:$AZ$2,0)),Inputs!$B$2:$B$190,$B155)*Inputs!$D$1)</f>
        <v>0</v>
      </c>
      <c r="AK155" s="70">
        <f>IF(ISNA(SUMIFS(INDEX(Inputs!$B$2:$AZ$190,,MATCH(SUBSTITUTE(AK$3,"Q","T"),Inputs!$B$2:$AZ$2,0)),Inputs!$B$2:$B$190,$B155)*Inputs!$D$1),"",SUMIFS(INDEX(Inputs!$B$2:$AZ$190,,MATCH(SUBSTITUTE(AK$3,"Q","T"),Inputs!$B$2:$AZ$2,0)),Inputs!$B$2:$B$190,$B155)*Inputs!$D$1)</f>
        <v>0</v>
      </c>
      <c r="AL155" s="70">
        <f>IF(ISNA(SUMIFS(INDEX(Inputs!$B$2:$AZ$190,,MATCH(SUBSTITUTE(AL$3,"Q","T"),Inputs!$B$2:$AZ$2,0)),Inputs!$B$2:$B$190,$B155)*Inputs!$D$1),"",SUMIFS(INDEX(Inputs!$B$2:$AZ$190,,MATCH(SUBSTITUTE(AL$3,"Q","T"),Inputs!$B$2:$AZ$2,0)),Inputs!$B$2:$B$190,$B155)*Inputs!$D$1)</f>
        <v>0</v>
      </c>
      <c r="AM155" s="71">
        <f>AL155</f>
        <v>0</v>
      </c>
      <c r="AN155" s="70">
        <f>IF(ISNA(SUMIFS(INDEX(Inputs!$B$2:$AZ$190,,MATCH(SUBSTITUTE(AN$3,"Q","T"),Inputs!$B$2:$AZ$2,0)),Inputs!$B$2:$B$190,$B155)*Inputs!$D$1),"",SUMIFS(INDEX(Inputs!$B$2:$AZ$190,,MATCH(SUBSTITUTE(AN$3,"Q","T"),Inputs!$B$2:$AZ$2,0)),Inputs!$B$2:$B$190,$B155)*Inputs!$D$1)</f>
        <v>0</v>
      </c>
      <c r="AO155" s="70">
        <f>IF(ISNA(SUMIFS(INDEX(Inputs!$B$2:$AZ$190,,MATCH(SUBSTITUTE(AO$3,"Q","T"),Inputs!$B$2:$AZ$2,0)),Inputs!$B$2:$B$190,$B155)*Inputs!$D$1),"",SUMIFS(INDEX(Inputs!$B$2:$AZ$190,,MATCH(SUBSTITUTE(AO$3,"Q","T"),Inputs!$B$2:$AZ$2,0)),Inputs!$B$2:$B$190,$B155)*Inputs!$D$1)</f>
        <v>0</v>
      </c>
      <c r="AP155" s="70">
        <f>IF(ISNA(SUMIFS(INDEX(Inputs!$B$2:$AZ$190,,MATCH(SUBSTITUTE(AP$3,"Q","T"),Inputs!$B$2:$AZ$2,0)),Inputs!$B$2:$B$190,$B155)*Inputs!$D$1),"",SUMIFS(INDEX(Inputs!$B$2:$AZ$190,,MATCH(SUBSTITUTE(AP$3,"Q","T"),Inputs!$B$2:$AZ$2,0)),Inputs!$B$2:$B$190,$B155)*Inputs!$D$1)</f>
        <v>0</v>
      </c>
      <c r="AQ155" s="70">
        <f>IF(ISNA(SUMIFS(INDEX(Inputs!$B$2:$AZ$190,,MATCH(SUBSTITUTE(AQ$3,"Q","T"),Inputs!$B$2:$AZ$2,0)),Inputs!$B$2:$B$190,$B155)*Inputs!$D$1),"",SUMIFS(INDEX(Inputs!$B$2:$AZ$190,,MATCH(SUBSTITUTE(AQ$3,"Q","T"),Inputs!$B$2:$AZ$2,0)),Inputs!$B$2:$B$190,$B155)*Inputs!$D$1)</f>
        <v>0</v>
      </c>
      <c r="AR155" s="71">
        <f>AQ155</f>
        <v>0</v>
      </c>
      <c r="AS155" s="70">
        <f>IF(ISNA(SUMIFS(INDEX(Inputs!$B$2:$AZ$190,,MATCH(SUBSTITUTE(AS$3,"Q","T"),Inputs!$B$2:$AZ$2,0)),Inputs!$B$2:$B$190,$B155)*Inputs!$D$1),"",SUMIFS(INDEX(Inputs!$B$2:$AZ$190,,MATCH(SUBSTITUTE(AS$3,"Q","T"),Inputs!$B$2:$AZ$2,0)),Inputs!$B$2:$B$190,$B155)*Inputs!$D$1)</f>
        <v>0</v>
      </c>
      <c r="AT155" s="70">
        <f>IF(ISNA(SUMIFS(INDEX(Inputs!$B$2:$AZ$190,,MATCH(SUBSTITUTE(AT$3,"Q","T"),Inputs!$B$2:$AZ$2,0)),Inputs!$B$2:$B$190,$B155)*Inputs!$D$1),"",SUMIFS(INDEX(Inputs!$B$2:$AZ$190,,MATCH(SUBSTITUTE(AT$3,"Q","T"),Inputs!$B$2:$AZ$2,0)),Inputs!$B$2:$B$190,$B155)*Inputs!$D$1)</f>
        <v>0</v>
      </c>
      <c r="AU155" s="70">
        <f>IF(ISNA(SUMIFS(INDEX(Inputs!$B$2:$AZ$190,,MATCH(SUBSTITUTE(AU$3,"Q","T"),Inputs!$B$2:$AZ$2,0)),Inputs!$B$2:$B$190,$B155)*Inputs!$D$1),"",SUMIFS(INDEX(Inputs!$B$2:$AZ$190,,MATCH(SUBSTITUTE(AU$3,"Q","T"),Inputs!$B$2:$AZ$2,0)),Inputs!$B$2:$B$190,$B155)*Inputs!$D$1)</f>
        <v>0</v>
      </c>
      <c r="AV155" s="70">
        <f>IF(ISNA(SUMIFS(INDEX(Inputs!$B$2:$AZ$190,,MATCH(SUBSTITUTE(AV$3,"Q","T"),Inputs!$B$2:$AZ$2,0)),Inputs!$B$2:$B$190,$B155)*Inputs!$D$1),"",SUMIFS(INDEX(Inputs!$B$2:$AZ$190,,MATCH(SUBSTITUTE(AV$3,"Q","T"),Inputs!$B$2:$AZ$2,0)),Inputs!$B$2:$B$190,$B155)*Inputs!$D$1)</f>
        <v>0</v>
      </c>
      <c r="AW155" s="71">
        <f>AV155</f>
        <v>0</v>
      </c>
      <c r="AX155" s="70">
        <f>IF(ISNA(SUMIFS(INDEX(Inputs!$B$2:$AZ$190,,MATCH(SUBSTITUTE(AX$3,"Q","T"),Inputs!$B$2:$AZ$2,0)),Inputs!$B$2:$B$190,$B155)*Inputs!$D$1),"",SUMIFS(INDEX(Inputs!$B$2:$AZ$190,,MATCH(SUBSTITUTE(AX$3,"Q","T"),Inputs!$B$2:$AZ$2,0)),Inputs!$B$2:$B$190,$B155)*Inputs!$D$1)</f>
        <v>0</v>
      </c>
      <c r="AY155" s="70">
        <f>IF(ISNA(SUMIFS(INDEX(Inputs!$B$2:$AZ$190,,MATCH(SUBSTITUTE(AY$3,"Q","T"),Inputs!$B$2:$AZ$2,0)),Inputs!$B$2:$B$190,$B155)*Inputs!$D$1),"",SUMIFS(INDEX(Inputs!$B$2:$AZ$190,,MATCH(SUBSTITUTE(AY$3,"Q","T"),Inputs!$B$2:$AZ$2,0)),Inputs!$B$2:$B$190,$B155)*Inputs!$D$1)</f>
        <v>0</v>
      </c>
      <c r="AZ155" s="70">
        <f>IF(ISNA(SUMIFS(INDEX(Inputs!$B$2:$AZ$190,,MATCH(SUBSTITUTE(AZ$3,"Q","T"),Inputs!$B$2:$AZ$2,0)),Inputs!$B$2:$B$190,$B155)*Inputs!$D$1),"",SUMIFS(INDEX(Inputs!$B$2:$AZ$190,,MATCH(SUBSTITUTE(AZ$3,"Q","T"),Inputs!$B$2:$AZ$2,0)),Inputs!$B$2:$B$190,$B155)*Inputs!$D$1)</f>
        <v>0</v>
      </c>
      <c r="BA155" s="70">
        <f>IF(ISNA(SUMIFS(INDEX(Inputs!$B$2:$AZ$190,,MATCH(SUBSTITUTE(BA$3,"Q","T"),Inputs!$B$2:$AZ$2,0)),Inputs!$B$2:$B$190,$B155)*Inputs!$D$1),"",SUMIFS(INDEX(Inputs!$B$2:$AZ$190,,MATCH(SUBSTITUTE(BA$3,"Q","T"),Inputs!$B$2:$AZ$2,0)),Inputs!$B$2:$B$190,$B155)*Inputs!$D$1)</f>
        <v>0</v>
      </c>
      <c r="BB155" s="71">
        <f>BA155</f>
        <v>0</v>
      </c>
      <c r="BC155" s="70">
        <f>IF(ISNA(SUMIFS(INDEX(Inputs!$B$2:$AZ$190,,MATCH(SUBSTITUTE(BC$3,"Q","T"),Inputs!$B$2:$AZ$2,0)),Inputs!$B$2:$B$190,$B155)*Inputs!$D$1),"",SUMIFS(INDEX(Inputs!$B$2:$AZ$190,,MATCH(SUBSTITUTE(BC$3,"Q","T"),Inputs!$B$2:$AZ$2,0)),Inputs!$B$2:$B$190,$B155)*Inputs!$D$1)</f>
        <v>0</v>
      </c>
      <c r="BD155" s="70">
        <f>IF(ISNA(SUMIFS(INDEX(Inputs!$B$2:$AZ$190,,MATCH(SUBSTITUTE(BD$3,"Q","T"),Inputs!$B$2:$AZ$2,0)),Inputs!$B$2:$B$190,$B155)*Inputs!$D$1),"",SUMIFS(INDEX(Inputs!$B$2:$AZ$190,,MATCH(SUBSTITUTE(BD$3,"Q","T"),Inputs!$B$2:$AZ$2,0)),Inputs!$B$2:$B$190,$B155)*Inputs!$D$1)</f>
        <v>0</v>
      </c>
      <c r="BE155" s="70">
        <f>IF(ISNA(SUMIFS(INDEX(Inputs!$B$2:$AZ$190,,MATCH(SUBSTITUTE(BE$3,"Q","T"),Inputs!$B$2:$AZ$2,0)),Inputs!$B$2:$B$190,$B155)*Inputs!$D$1),"",SUMIFS(INDEX(Inputs!$B$2:$AZ$190,,MATCH(SUBSTITUTE(BE$3,"Q","T"),Inputs!$B$2:$AZ$2,0)),Inputs!$B$2:$B$190,$B155)*Inputs!$D$1)</f>
        <v>0</v>
      </c>
      <c r="BF155" s="70">
        <f>IF(ISNA(SUMIFS(INDEX(Inputs!$B$2:$AZ$190,,MATCH(SUBSTITUTE(BF$3,"Q","T"),Inputs!$B$2:$AZ$2,0)),Inputs!$B$2:$B$190,$B155)*Inputs!$D$1),"",SUMIFS(INDEX(Inputs!$B$2:$AZ$190,,MATCH(SUBSTITUTE(BF$3,"Q","T"),Inputs!$B$2:$AZ$2,0)),Inputs!$B$2:$B$190,$B155)*Inputs!$D$1)</f>
        <v>0</v>
      </c>
      <c r="BG155" s="71">
        <f>BF155</f>
        <v>0</v>
      </c>
    </row>
    <row r="156">
      <c r="B156" s="56" t="inlineStr">
        <is>
          <t>div_common</t>
        </is>
      </c>
      <c r="C156" s="11" t="inlineStr">
        <is>
          <t>Dividendos ordinários declarados no período</t>
        </is>
      </c>
      <c r="D156" s="12" t="inlineStr">
        <is>
          <t>Common dividends declared</t>
        </is>
      </c>
      <c r="E156" s="57">
        <f>IF(ISNA(SUMIFS(INDEX(Inputs!$B$2:$AZ$190,,MATCH(SUBSTITUTE(E$3,"Q","T"),Inputs!$B$2:$AZ$2,0)),Inputs!$B$2:$B$190,$B156)*Inputs!$D$1),"",SUMIFS(INDEX(Inputs!$B$2:$AZ$190,,MATCH(SUBSTITUTE(E$3,"Q","T"),Inputs!$B$2:$AZ$2,0)),Inputs!$B$2:$B$190,$B156)*Inputs!$D$1)</f>
        <v>0</v>
      </c>
      <c r="F156" s="57">
        <f>IF(ISNA(SUMIFS(INDEX(Inputs!$B$2:$AZ$190,,MATCH(SUBSTITUTE(F$3,"Q","T"),Inputs!$B$2:$AZ$2,0)),Inputs!$B$2:$B$190,$B156)*Inputs!$D$1),"",SUMIFS(INDEX(Inputs!$B$2:$AZ$190,,MATCH(SUBSTITUTE(F$3,"Q","T"),Inputs!$B$2:$AZ$2,0)),Inputs!$B$2:$B$190,$B156)*Inputs!$D$1)</f>
        <v>0</v>
      </c>
      <c r="G156" s="57">
        <f>IF(ISNA(SUMIFS(INDEX(Inputs!$B$2:$AZ$190,,MATCH(SUBSTITUTE(G$3,"Q","T"),Inputs!$B$2:$AZ$2,0)),Inputs!$B$2:$B$190,$B156)*Inputs!$D$1),"",SUMIFS(INDEX(Inputs!$B$2:$AZ$190,,MATCH(SUBSTITUTE(G$3,"Q","T"),Inputs!$B$2:$AZ$2,0)),Inputs!$B$2:$B$190,$B156)*Inputs!$D$1)</f>
        <v>0</v>
      </c>
      <c r="H156" s="57">
        <f>IF(ISNA(SUMIFS(INDEX(Inputs!$B$2:$AZ$190,,MATCH(SUBSTITUTE(H$3,"Q","T"),Inputs!$B$2:$AZ$2,0)),Inputs!$B$2:$B$190,$B156)*Inputs!$D$1),"",SUMIFS(INDEX(Inputs!$B$2:$AZ$190,,MATCH(SUBSTITUTE(H$3,"Q","T"),Inputs!$B$2:$AZ$2,0)),Inputs!$B$2:$B$190,$B156)*Inputs!$D$1)</f>
        <v>0</v>
      </c>
      <c r="I156" s="58">
        <f>SUM(E156:H156)</f>
        <v>0</v>
      </c>
      <c r="J156" s="57">
        <f>IF(ISNA(SUMIFS(INDEX(Inputs!$B$2:$AZ$190,,MATCH(SUBSTITUTE(J$3,"Q","T"),Inputs!$B$2:$AZ$2,0)),Inputs!$B$2:$B$190,$B156)*Inputs!$D$1),"",SUMIFS(INDEX(Inputs!$B$2:$AZ$190,,MATCH(SUBSTITUTE(J$3,"Q","T"),Inputs!$B$2:$AZ$2,0)),Inputs!$B$2:$B$190,$B156)*Inputs!$D$1)</f>
        <v>0</v>
      </c>
      <c r="K156" s="57">
        <f>IF(ISNA(SUMIFS(INDEX(Inputs!$B$2:$AZ$190,,MATCH(SUBSTITUTE(K$3,"Q","T"),Inputs!$B$2:$AZ$2,0)),Inputs!$B$2:$B$190,$B156)*Inputs!$D$1),"",SUMIFS(INDEX(Inputs!$B$2:$AZ$190,,MATCH(SUBSTITUTE(K$3,"Q","T"),Inputs!$B$2:$AZ$2,0)),Inputs!$B$2:$B$190,$B156)*Inputs!$D$1)</f>
        <v>0</v>
      </c>
      <c r="L156" s="57">
        <f>IF(ISNA(SUMIFS(INDEX(Inputs!$B$2:$AZ$190,,MATCH(SUBSTITUTE(L$3,"Q","T"),Inputs!$B$2:$AZ$2,0)),Inputs!$B$2:$B$190,$B156)*Inputs!$D$1),"",SUMIFS(INDEX(Inputs!$B$2:$AZ$190,,MATCH(SUBSTITUTE(L$3,"Q","T"),Inputs!$B$2:$AZ$2,0)),Inputs!$B$2:$B$190,$B156)*Inputs!$D$1)</f>
        <v>0</v>
      </c>
      <c r="M156" s="57">
        <f>IF(ISNA(SUMIFS(INDEX(Inputs!$B$2:$AZ$190,,MATCH(SUBSTITUTE(M$3,"Q","T"),Inputs!$B$2:$AZ$2,0)),Inputs!$B$2:$B$190,$B156)*Inputs!$D$1),"",SUMIFS(INDEX(Inputs!$B$2:$AZ$190,,MATCH(SUBSTITUTE(M$3,"Q","T"),Inputs!$B$2:$AZ$2,0)),Inputs!$B$2:$B$190,$B156)*Inputs!$D$1)</f>
        <v>0</v>
      </c>
      <c r="N156" s="58">
        <f>SUM(J156:M156)</f>
        <v>0</v>
      </c>
      <c r="O156" s="57">
        <f>IF(ISNA(SUMIFS(INDEX(Inputs!$B$2:$AZ$190,,MATCH(SUBSTITUTE(O$3,"Q","T"),Inputs!$B$2:$AZ$2,0)),Inputs!$B$2:$B$190,$B156)*Inputs!$D$1),"",SUMIFS(INDEX(Inputs!$B$2:$AZ$190,,MATCH(SUBSTITUTE(O$3,"Q","T"),Inputs!$B$2:$AZ$2,0)),Inputs!$B$2:$B$190,$B156)*Inputs!$D$1)</f>
        <v>0</v>
      </c>
      <c r="P156" s="57">
        <f>IF(ISNA(SUMIFS(INDEX(Inputs!$B$2:$AZ$190,,MATCH(SUBSTITUTE(P$3,"Q","T"),Inputs!$B$2:$AZ$2,0)),Inputs!$B$2:$B$190,$B156)*Inputs!$D$1),"",SUMIFS(INDEX(Inputs!$B$2:$AZ$190,,MATCH(SUBSTITUTE(P$3,"Q","T"),Inputs!$B$2:$AZ$2,0)),Inputs!$B$2:$B$190,$B156)*Inputs!$D$1)</f>
        <v>0</v>
      </c>
      <c r="Q156" s="57">
        <f>IF(ISNA(SUMIFS(INDEX(Inputs!$B$2:$AZ$190,,MATCH(SUBSTITUTE(Q$3,"Q","T"),Inputs!$B$2:$AZ$2,0)),Inputs!$B$2:$B$190,$B156)*Inputs!$D$1),"",SUMIFS(INDEX(Inputs!$B$2:$AZ$190,,MATCH(SUBSTITUTE(Q$3,"Q","T"),Inputs!$B$2:$AZ$2,0)),Inputs!$B$2:$B$190,$B156)*Inputs!$D$1)</f>
        <v>0</v>
      </c>
      <c r="R156" s="57">
        <f>IF(ISNA(SUMIFS(INDEX(Inputs!$B$2:$AZ$190,,MATCH(SUBSTITUTE(R$3,"Q","T"),Inputs!$B$2:$AZ$2,0)),Inputs!$B$2:$B$190,$B156)*Inputs!$D$1),"",SUMIFS(INDEX(Inputs!$B$2:$AZ$190,,MATCH(SUBSTITUTE(R$3,"Q","T"),Inputs!$B$2:$AZ$2,0)),Inputs!$B$2:$B$190,$B156)*Inputs!$D$1)</f>
        <v>0</v>
      </c>
      <c r="S156" s="58">
        <f>SUM(O156:R156)</f>
        <v>0</v>
      </c>
      <c r="T156" s="57">
        <f>IF(ISNA(SUMIFS(INDEX(Inputs!$B$2:$AZ$190,,MATCH(SUBSTITUTE(T$3,"Q","T"),Inputs!$B$2:$AZ$2,0)),Inputs!$B$2:$B$190,$B156)*Inputs!$D$1),"",SUMIFS(INDEX(Inputs!$B$2:$AZ$190,,MATCH(SUBSTITUTE(T$3,"Q","T"),Inputs!$B$2:$AZ$2,0)),Inputs!$B$2:$B$190,$B156)*Inputs!$D$1)</f>
        <v>0</v>
      </c>
      <c r="U156" s="57">
        <f>IF(ISNA(SUMIFS(INDEX(Inputs!$B$2:$AZ$190,,MATCH(SUBSTITUTE(U$3,"Q","T"),Inputs!$B$2:$AZ$2,0)),Inputs!$B$2:$B$190,$B156)*Inputs!$D$1),"",SUMIFS(INDEX(Inputs!$B$2:$AZ$190,,MATCH(SUBSTITUTE(U$3,"Q","T"),Inputs!$B$2:$AZ$2,0)),Inputs!$B$2:$B$190,$B156)*Inputs!$D$1)</f>
        <v>0</v>
      </c>
      <c r="V156" s="57">
        <f>IF(ISNA(SUMIFS(INDEX(Inputs!$B$2:$AZ$190,,MATCH(SUBSTITUTE(V$3,"Q","T"),Inputs!$B$2:$AZ$2,0)),Inputs!$B$2:$B$190,$B156)*Inputs!$D$1),"",SUMIFS(INDEX(Inputs!$B$2:$AZ$190,,MATCH(SUBSTITUTE(V$3,"Q","T"),Inputs!$B$2:$AZ$2,0)),Inputs!$B$2:$B$190,$B156)*Inputs!$D$1)</f>
        <v>0</v>
      </c>
      <c r="W156" s="57">
        <f>IF(ISNA(SUMIFS(INDEX(Inputs!$B$2:$AZ$190,,MATCH(SUBSTITUTE(W$3,"Q","T"),Inputs!$B$2:$AZ$2,0)),Inputs!$B$2:$B$190,$B156)*Inputs!$D$1),"",SUMIFS(INDEX(Inputs!$B$2:$AZ$190,,MATCH(SUBSTITUTE(W$3,"Q","T"),Inputs!$B$2:$AZ$2,0)),Inputs!$B$2:$B$190,$B156)*Inputs!$D$1)</f>
        <v>0</v>
      </c>
      <c r="X156" s="58">
        <f>SUM(T156:W156)</f>
        <v>0</v>
      </c>
      <c r="Y156" s="57">
        <f>IF(ISNA(SUMIFS(INDEX(Inputs!$B$2:$AZ$190,,MATCH(SUBSTITUTE(Y$3,"Q","T"),Inputs!$B$2:$AZ$2,0)),Inputs!$B$2:$B$190,$B156)*Inputs!$D$1),"",SUMIFS(INDEX(Inputs!$B$2:$AZ$190,,MATCH(SUBSTITUTE(Y$3,"Q","T"),Inputs!$B$2:$AZ$2,0)),Inputs!$B$2:$B$190,$B156)*Inputs!$D$1)</f>
        <v>0</v>
      </c>
      <c r="Z156" s="57">
        <f>IF(ISNA(SUMIFS(INDEX(Inputs!$B$2:$AZ$190,,MATCH(SUBSTITUTE(Z$3,"Q","T"),Inputs!$B$2:$AZ$2,0)),Inputs!$B$2:$B$190,$B156)*Inputs!$D$1),"",SUMIFS(INDEX(Inputs!$B$2:$AZ$190,,MATCH(SUBSTITUTE(Z$3,"Q","T"),Inputs!$B$2:$AZ$2,0)),Inputs!$B$2:$B$190,$B156)*Inputs!$D$1)</f>
        <v>0</v>
      </c>
      <c r="AA156" s="57">
        <f>IF(ISNA(SUMIFS(INDEX(Inputs!$B$2:$AZ$190,,MATCH(SUBSTITUTE(AA$3,"Q","T"),Inputs!$B$2:$AZ$2,0)),Inputs!$B$2:$B$190,$B156)*Inputs!$D$1),"",SUMIFS(INDEX(Inputs!$B$2:$AZ$190,,MATCH(SUBSTITUTE(AA$3,"Q","T"),Inputs!$B$2:$AZ$2,0)),Inputs!$B$2:$B$190,$B156)*Inputs!$D$1)</f>
        <v>0</v>
      </c>
      <c r="AB156" s="57">
        <f>IF(ISNA(SUMIFS(INDEX(Inputs!$B$2:$AZ$190,,MATCH(SUBSTITUTE(AB$3,"Q","T"),Inputs!$B$2:$AZ$2,0)),Inputs!$B$2:$B$190,$B156)*Inputs!$D$1),"",SUMIFS(INDEX(Inputs!$B$2:$AZ$190,,MATCH(SUBSTITUTE(AB$3,"Q","T"),Inputs!$B$2:$AZ$2,0)),Inputs!$B$2:$B$190,$B156)*Inputs!$D$1)</f>
        <v>0</v>
      </c>
      <c r="AC156" s="58">
        <f>SUM(Y156:AB156)</f>
        <v>0</v>
      </c>
      <c r="AD156" s="57">
        <f>IF(ISNA(SUMIFS(INDEX(Inputs!$B$2:$AZ$190,,MATCH(SUBSTITUTE(AD$3,"Q","T"),Inputs!$B$2:$AZ$2,0)),Inputs!$B$2:$B$190,$B156)*Inputs!$D$1),"",SUMIFS(INDEX(Inputs!$B$2:$AZ$190,,MATCH(SUBSTITUTE(AD$3,"Q","T"),Inputs!$B$2:$AZ$2,0)),Inputs!$B$2:$B$190,$B156)*Inputs!$D$1)</f>
        <v>0</v>
      </c>
      <c r="AE156" s="57">
        <f>IF(ISNA(SUMIFS(INDEX(Inputs!$B$2:$AZ$190,,MATCH(SUBSTITUTE(AE$3,"Q","T"),Inputs!$B$2:$AZ$2,0)),Inputs!$B$2:$B$190,$B156)*Inputs!$D$1),"",SUMIFS(INDEX(Inputs!$B$2:$AZ$190,,MATCH(SUBSTITUTE(AE$3,"Q","T"),Inputs!$B$2:$AZ$2,0)),Inputs!$B$2:$B$190,$B156)*Inputs!$D$1)</f>
        <v>0</v>
      </c>
      <c r="AF156" s="57">
        <f>IF(ISNA(SUMIFS(INDEX(Inputs!$B$2:$AZ$190,,MATCH(SUBSTITUTE(AF$3,"Q","T"),Inputs!$B$2:$AZ$2,0)),Inputs!$B$2:$B$190,$B156)*Inputs!$D$1),"",SUMIFS(INDEX(Inputs!$B$2:$AZ$190,,MATCH(SUBSTITUTE(AF$3,"Q","T"),Inputs!$B$2:$AZ$2,0)),Inputs!$B$2:$B$190,$B156)*Inputs!$D$1)</f>
        <v>0</v>
      </c>
      <c r="AG156" s="57">
        <f>IF(ISNA(SUMIFS(INDEX(Inputs!$B$2:$AZ$190,,MATCH(SUBSTITUTE(AG$3,"Q","T"),Inputs!$B$2:$AZ$2,0)),Inputs!$B$2:$B$190,$B156)*Inputs!$D$1),"",SUMIFS(INDEX(Inputs!$B$2:$AZ$190,,MATCH(SUBSTITUTE(AG$3,"Q","T"),Inputs!$B$2:$AZ$2,0)),Inputs!$B$2:$B$190,$B156)*Inputs!$D$1)</f>
        <v>0</v>
      </c>
      <c r="AH156" s="58">
        <f>SUM(AD156:AG156)</f>
        <v>0</v>
      </c>
      <c r="AI156" s="57">
        <f>IF(ISNA(SUMIFS(INDEX(Inputs!$B$2:$AZ$190,,MATCH(SUBSTITUTE(AI$3,"Q","T"),Inputs!$B$2:$AZ$2,0)),Inputs!$B$2:$B$190,$B156)*Inputs!$D$1),"",SUMIFS(INDEX(Inputs!$B$2:$AZ$190,,MATCH(SUBSTITUTE(AI$3,"Q","T"),Inputs!$B$2:$AZ$2,0)),Inputs!$B$2:$B$190,$B156)*Inputs!$D$1)</f>
        <v>0</v>
      </c>
      <c r="AJ156" s="57">
        <f>IF(ISNA(SUMIFS(INDEX(Inputs!$B$2:$AZ$190,,MATCH(SUBSTITUTE(AJ$3,"Q","T"),Inputs!$B$2:$AZ$2,0)),Inputs!$B$2:$B$190,$B156)*Inputs!$D$1),"",SUMIFS(INDEX(Inputs!$B$2:$AZ$190,,MATCH(SUBSTITUTE(AJ$3,"Q","T"),Inputs!$B$2:$AZ$2,0)),Inputs!$B$2:$B$190,$B156)*Inputs!$D$1)</f>
        <v>0</v>
      </c>
      <c r="AK156" s="57">
        <f>IF(ISNA(SUMIFS(INDEX(Inputs!$B$2:$AZ$190,,MATCH(SUBSTITUTE(AK$3,"Q","T"),Inputs!$B$2:$AZ$2,0)),Inputs!$B$2:$B$190,$B156)*Inputs!$D$1),"",SUMIFS(INDEX(Inputs!$B$2:$AZ$190,,MATCH(SUBSTITUTE(AK$3,"Q","T"),Inputs!$B$2:$AZ$2,0)),Inputs!$B$2:$B$190,$B156)*Inputs!$D$1)</f>
        <v>0</v>
      </c>
      <c r="AL156" s="57">
        <f>IF(ISNA(SUMIFS(INDEX(Inputs!$B$2:$AZ$190,,MATCH(SUBSTITUTE(AL$3,"Q","T"),Inputs!$B$2:$AZ$2,0)),Inputs!$B$2:$B$190,$B156)*Inputs!$D$1),"",SUMIFS(INDEX(Inputs!$B$2:$AZ$190,,MATCH(SUBSTITUTE(AL$3,"Q","T"),Inputs!$B$2:$AZ$2,0)),Inputs!$B$2:$B$190,$B156)*Inputs!$D$1)</f>
        <v>0</v>
      </c>
      <c r="AM156" s="58">
        <f>SUM(AI156:AL156)</f>
        <v>0</v>
      </c>
      <c r="AN156" s="57">
        <f>IF(ISNA(SUMIFS(INDEX(Inputs!$B$2:$AZ$190,,MATCH(SUBSTITUTE(AN$3,"Q","T"),Inputs!$B$2:$AZ$2,0)),Inputs!$B$2:$B$190,$B156)*Inputs!$D$1),"",SUMIFS(INDEX(Inputs!$B$2:$AZ$190,,MATCH(SUBSTITUTE(AN$3,"Q","T"),Inputs!$B$2:$AZ$2,0)),Inputs!$B$2:$B$190,$B156)*Inputs!$D$1)</f>
        <v>0</v>
      </c>
      <c r="AO156" s="57">
        <f>IF(ISNA(SUMIFS(INDEX(Inputs!$B$2:$AZ$190,,MATCH(SUBSTITUTE(AO$3,"Q","T"),Inputs!$B$2:$AZ$2,0)),Inputs!$B$2:$B$190,$B156)*Inputs!$D$1),"",SUMIFS(INDEX(Inputs!$B$2:$AZ$190,,MATCH(SUBSTITUTE(AO$3,"Q","T"),Inputs!$B$2:$AZ$2,0)),Inputs!$B$2:$B$190,$B156)*Inputs!$D$1)</f>
        <v>0</v>
      </c>
      <c r="AP156" s="57">
        <f>IF(ISNA(SUMIFS(INDEX(Inputs!$B$2:$AZ$190,,MATCH(SUBSTITUTE(AP$3,"Q","T"),Inputs!$B$2:$AZ$2,0)),Inputs!$B$2:$B$190,$B156)*Inputs!$D$1),"",SUMIFS(INDEX(Inputs!$B$2:$AZ$190,,MATCH(SUBSTITUTE(AP$3,"Q","T"),Inputs!$B$2:$AZ$2,0)),Inputs!$B$2:$B$190,$B156)*Inputs!$D$1)</f>
        <v>0</v>
      </c>
      <c r="AQ156" s="57">
        <f>IF(ISNA(SUMIFS(INDEX(Inputs!$B$2:$AZ$190,,MATCH(SUBSTITUTE(AQ$3,"Q","T"),Inputs!$B$2:$AZ$2,0)),Inputs!$B$2:$B$190,$B156)*Inputs!$D$1),"",SUMIFS(INDEX(Inputs!$B$2:$AZ$190,,MATCH(SUBSTITUTE(AQ$3,"Q","T"),Inputs!$B$2:$AZ$2,0)),Inputs!$B$2:$B$190,$B156)*Inputs!$D$1)</f>
        <v>0</v>
      </c>
      <c r="AR156" s="58">
        <f>SUM(AN156:AQ156)</f>
        <v>0</v>
      </c>
      <c r="AS156" s="57">
        <f>IF(ISNA(SUMIFS(INDEX(Inputs!$B$2:$AZ$190,,MATCH(SUBSTITUTE(AS$3,"Q","T"),Inputs!$B$2:$AZ$2,0)),Inputs!$B$2:$B$190,$B156)*Inputs!$D$1),"",SUMIFS(INDEX(Inputs!$B$2:$AZ$190,,MATCH(SUBSTITUTE(AS$3,"Q","T"),Inputs!$B$2:$AZ$2,0)),Inputs!$B$2:$B$190,$B156)*Inputs!$D$1)</f>
        <v>0</v>
      </c>
      <c r="AT156" s="57">
        <f>IF(ISNA(SUMIFS(INDEX(Inputs!$B$2:$AZ$190,,MATCH(SUBSTITUTE(AT$3,"Q","T"),Inputs!$B$2:$AZ$2,0)),Inputs!$B$2:$B$190,$B156)*Inputs!$D$1),"",SUMIFS(INDEX(Inputs!$B$2:$AZ$190,,MATCH(SUBSTITUTE(AT$3,"Q","T"),Inputs!$B$2:$AZ$2,0)),Inputs!$B$2:$B$190,$B156)*Inputs!$D$1)</f>
        <v>0</v>
      </c>
      <c r="AU156" s="57">
        <f>IF(ISNA(SUMIFS(INDEX(Inputs!$B$2:$AZ$190,,MATCH(SUBSTITUTE(AU$3,"Q","T"),Inputs!$B$2:$AZ$2,0)),Inputs!$B$2:$B$190,$B156)*Inputs!$D$1),"",SUMIFS(INDEX(Inputs!$B$2:$AZ$190,,MATCH(SUBSTITUTE(AU$3,"Q","T"),Inputs!$B$2:$AZ$2,0)),Inputs!$B$2:$B$190,$B156)*Inputs!$D$1)</f>
        <v>0</v>
      </c>
      <c r="AV156" s="57">
        <f>IF(ISNA(SUMIFS(INDEX(Inputs!$B$2:$AZ$190,,MATCH(SUBSTITUTE(AV$3,"Q","T"),Inputs!$B$2:$AZ$2,0)),Inputs!$B$2:$B$190,$B156)*Inputs!$D$1),"",SUMIFS(INDEX(Inputs!$B$2:$AZ$190,,MATCH(SUBSTITUTE(AV$3,"Q","T"),Inputs!$B$2:$AZ$2,0)),Inputs!$B$2:$B$190,$B156)*Inputs!$D$1)</f>
        <v>0</v>
      </c>
      <c r="AW156" s="58">
        <f>SUM(AS156:AV156)</f>
        <v>0</v>
      </c>
      <c r="AX156" s="57">
        <f>IF(ISNA(SUMIFS(INDEX(Inputs!$B$2:$AZ$190,,MATCH(SUBSTITUTE(AX$3,"Q","T"),Inputs!$B$2:$AZ$2,0)),Inputs!$B$2:$B$190,$B156)*Inputs!$D$1),"",SUMIFS(INDEX(Inputs!$B$2:$AZ$190,,MATCH(SUBSTITUTE(AX$3,"Q","T"),Inputs!$B$2:$AZ$2,0)),Inputs!$B$2:$B$190,$B156)*Inputs!$D$1)</f>
        <v>0</v>
      </c>
      <c r="AY156" s="57">
        <f>IF(ISNA(SUMIFS(INDEX(Inputs!$B$2:$AZ$190,,MATCH(SUBSTITUTE(AY$3,"Q","T"),Inputs!$B$2:$AZ$2,0)),Inputs!$B$2:$B$190,$B156)*Inputs!$D$1),"",SUMIFS(INDEX(Inputs!$B$2:$AZ$190,,MATCH(SUBSTITUTE(AY$3,"Q","T"),Inputs!$B$2:$AZ$2,0)),Inputs!$B$2:$B$190,$B156)*Inputs!$D$1)</f>
        <v>0</v>
      </c>
      <c r="AZ156" s="57">
        <f>IF(ISNA(SUMIFS(INDEX(Inputs!$B$2:$AZ$190,,MATCH(SUBSTITUTE(AZ$3,"Q","T"),Inputs!$B$2:$AZ$2,0)),Inputs!$B$2:$B$190,$B156)*Inputs!$D$1),"",SUMIFS(INDEX(Inputs!$B$2:$AZ$190,,MATCH(SUBSTITUTE(AZ$3,"Q","T"),Inputs!$B$2:$AZ$2,0)),Inputs!$B$2:$B$190,$B156)*Inputs!$D$1)</f>
        <v>0</v>
      </c>
      <c r="BA156" s="57">
        <f>IF(ISNA(SUMIFS(INDEX(Inputs!$B$2:$AZ$190,,MATCH(SUBSTITUTE(BA$3,"Q","T"),Inputs!$B$2:$AZ$2,0)),Inputs!$B$2:$B$190,$B156)*Inputs!$D$1),"",SUMIFS(INDEX(Inputs!$B$2:$AZ$190,,MATCH(SUBSTITUTE(BA$3,"Q","T"),Inputs!$B$2:$AZ$2,0)),Inputs!$B$2:$B$190,$B156)*Inputs!$D$1)</f>
        <v>0</v>
      </c>
      <c r="BB156" s="58">
        <f>SUM(AX156:BA156)</f>
        <v>0</v>
      </c>
      <c r="BC156" s="57">
        <f>IF(ISNA(SUMIFS(INDEX(Inputs!$B$2:$AZ$190,,MATCH(SUBSTITUTE(BC$3,"Q","T"),Inputs!$B$2:$AZ$2,0)),Inputs!$B$2:$B$190,$B156)*Inputs!$D$1),"",SUMIFS(INDEX(Inputs!$B$2:$AZ$190,,MATCH(SUBSTITUTE(BC$3,"Q","T"),Inputs!$B$2:$AZ$2,0)),Inputs!$B$2:$B$190,$B156)*Inputs!$D$1)</f>
        <v>0</v>
      </c>
      <c r="BD156" s="57">
        <f>IF(ISNA(SUMIFS(INDEX(Inputs!$B$2:$AZ$190,,MATCH(SUBSTITUTE(BD$3,"Q","T"),Inputs!$B$2:$AZ$2,0)),Inputs!$B$2:$B$190,$B156)*Inputs!$D$1),"",SUMIFS(INDEX(Inputs!$B$2:$AZ$190,,MATCH(SUBSTITUTE(BD$3,"Q","T"),Inputs!$B$2:$AZ$2,0)),Inputs!$B$2:$B$190,$B156)*Inputs!$D$1)</f>
        <v>0</v>
      </c>
      <c r="BE156" s="57">
        <f>IF(ISNA(SUMIFS(INDEX(Inputs!$B$2:$AZ$190,,MATCH(SUBSTITUTE(BE$3,"Q","T"),Inputs!$B$2:$AZ$2,0)),Inputs!$B$2:$B$190,$B156)*Inputs!$D$1),"",SUMIFS(INDEX(Inputs!$B$2:$AZ$190,,MATCH(SUBSTITUTE(BE$3,"Q","T"),Inputs!$B$2:$AZ$2,0)),Inputs!$B$2:$B$190,$B156)*Inputs!$D$1)</f>
        <v>0</v>
      </c>
      <c r="BF156" s="57">
        <f>IF(ISNA(SUMIFS(INDEX(Inputs!$B$2:$AZ$190,,MATCH(SUBSTITUTE(BF$3,"Q","T"),Inputs!$B$2:$AZ$2,0)),Inputs!$B$2:$B$190,$B156)*Inputs!$D$1),"",SUMIFS(INDEX(Inputs!$B$2:$AZ$190,,MATCH(SUBSTITUTE(BF$3,"Q","T"),Inputs!$B$2:$AZ$2,0)),Inputs!$B$2:$B$190,$B156)*Inputs!$D$1)</f>
        <v>0</v>
      </c>
      <c r="BG156" s="58">
        <f>SUM(BC156:BF156)</f>
        <v>0</v>
      </c>
    </row>
    <row r="157">
      <c r="B157" s="56" t="inlineStr">
        <is>
          <t>buyback</t>
        </is>
      </c>
      <c r="C157" s="11" t="inlineStr">
        <is>
          <t>Recompras de ações ordinárias no período (caixa)</t>
        </is>
      </c>
      <c r="D157" s="12" t="inlineStr">
        <is>
          <t>Common stock repurchased (cash)</t>
        </is>
      </c>
      <c r="E157" s="57">
        <f>IF(ISNA(SUMIFS(INDEX(Inputs!$B$2:$AZ$190,,MATCH(SUBSTITUTE(E$3,"Q","T"),Inputs!$B$2:$AZ$2,0)),Inputs!$B$2:$B$190,$B157)*Inputs!$D$1),"",SUMIFS(INDEX(Inputs!$B$2:$AZ$190,,MATCH(SUBSTITUTE(E$3,"Q","T"),Inputs!$B$2:$AZ$2,0)),Inputs!$B$2:$B$190,$B157)*Inputs!$D$1)</f>
        <v>0</v>
      </c>
      <c r="F157" s="57">
        <f>IF(ISNA(SUMIFS(INDEX(Inputs!$B$2:$AZ$190,,MATCH(SUBSTITUTE(F$3,"Q","T"),Inputs!$B$2:$AZ$2,0)),Inputs!$B$2:$B$190,$B157)*Inputs!$D$1),"",SUMIFS(INDEX(Inputs!$B$2:$AZ$190,,MATCH(SUBSTITUTE(F$3,"Q","T"),Inputs!$B$2:$AZ$2,0)),Inputs!$B$2:$B$190,$B157)*Inputs!$D$1)</f>
        <v>0</v>
      </c>
      <c r="G157" s="57">
        <f>IF(ISNA(SUMIFS(INDEX(Inputs!$B$2:$AZ$190,,MATCH(SUBSTITUTE(G$3,"Q","T"),Inputs!$B$2:$AZ$2,0)),Inputs!$B$2:$B$190,$B157)*Inputs!$D$1),"",SUMIFS(INDEX(Inputs!$B$2:$AZ$190,,MATCH(SUBSTITUTE(G$3,"Q","T"),Inputs!$B$2:$AZ$2,0)),Inputs!$B$2:$B$190,$B157)*Inputs!$D$1)</f>
        <v>0</v>
      </c>
      <c r="H157" s="57">
        <f>IF(ISNA(SUMIFS(INDEX(Inputs!$B$2:$AZ$190,,MATCH(SUBSTITUTE(H$3,"Q","T"),Inputs!$B$2:$AZ$2,0)),Inputs!$B$2:$B$190,$B157)*Inputs!$D$1),"",SUMIFS(INDEX(Inputs!$B$2:$AZ$190,,MATCH(SUBSTITUTE(H$3,"Q","T"),Inputs!$B$2:$AZ$2,0)),Inputs!$B$2:$B$190,$B157)*Inputs!$D$1)</f>
        <v>0</v>
      </c>
      <c r="I157" s="58">
        <f>SUM(E157:H157)</f>
        <v>0</v>
      </c>
      <c r="J157" s="57">
        <f>IF(ISNA(SUMIFS(INDEX(Inputs!$B$2:$AZ$190,,MATCH(SUBSTITUTE(J$3,"Q","T"),Inputs!$B$2:$AZ$2,0)),Inputs!$B$2:$B$190,$B157)*Inputs!$D$1),"",SUMIFS(INDEX(Inputs!$B$2:$AZ$190,,MATCH(SUBSTITUTE(J$3,"Q","T"),Inputs!$B$2:$AZ$2,0)),Inputs!$B$2:$B$190,$B157)*Inputs!$D$1)</f>
        <v>0</v>
      </c>
      <c r="K157" s="57">
        <f>IF(ISNA(SUMIFS(INDEX(Inputs!$B$2:$AZ$190,,MATCH(SUBSTITUTE(K$3,"Q","T"),Inputs!$B$2:$AZ$2,0)),Inputs!$B$2:$B$190,$B157)*Inputs!$D$1),"",SUMIFS(INDEX(Inputs!$B$2:$AZ$190,,MATCH(SUBSTITUTE(K$3,"Q","T"),Inputs!$B$2:$AZ$2,0)),Inputs!$B$2:$B$190,$B157)*Inputs!$D$1)</f>
        <v>0</v>
      </c>
      <c r="L157" s="57">
        <f>IF(ISNA(SUMIFS(INDEX(Inputs!$B$2:$AZ$190,,MATCH(SUBSTITUTE(L$3,"Q","T"),Inputs!$B$2:$AZ$2,0)),Inputs!$B$2:$B$190,$B157)*Inputs!$D$1),"",SUMIFS(INDEX(Inputs!$B$2:$AZ$190,,MATCH(SUBSTITUTE(L$3,"Q","T"),Inputs!$B$2:$AZ$2,0)),Inputs!$B$2:$B$190,$B157)*Inputs!$D$1)</f>
        <v>0</v>
      </c>
      <c r="M157" s="57">
        <f>IF(ISNA(SUMIFS(INDEX(Inputs!$B$2:$AZ$190,,MATCH(SUBSTITUTE(M$3,"Q","T"),Inputs!$B$2:$AZ$2,0)),Inputs!$B$2:$B$190,$B157)*Inputs!$D$1),"",SUMIFS(INDEX(Inputs!$B$2:$AZ$190,,MATCH(SUBSTITUTE(M$3,"Q","T"),Inputs!$B$2:$AZ$2,0)),Inputs!$B$2:$B$190,$B157)*Inputs!$D$1)</f>
        <v>0</v>
      </c>
      <c r="N157" s="58">
        <f>SUM(J157:M157)</f>
        <v>0</v>
      </c>
      <c r="O157" s="57">
        <f>IF(ISNA(SUMIFS(INDEX(Inputs!$B$2:$AZ$190,,MATCH(SUBSTITUTE(O$3,"Q","T"),Inputs!$B$2:$AZ$2,0)),Inputs!$B$2:$B$190,$B157)*Inputs!$D$1),"",SUMIFS(INDEX(Inputs!$B$2:$AZ$190,,MATCH(SUBSTITUTE(O$3,"Q","T"),Inputs!$B$2:$AZ$2,0)),Inputs!$B$2:$B$190,$B157)*Inputs!$D$1)</f>
        <v>0</v>
      </c>
      <c r="P157" s="57">
        <f>IF(ISNA(SUMIFS(INDEX(Inputs!$B$2:$AZ$190,,MATCH(SUBSTITUTE(P$3,"Q","T"),Inputs!$B$2:$AZ$2,0)),Inputs!$B$2:$B$190,$B157)*Inputs!$D$1),"",SUMIFS(INDEX(Inputs!$B$2:$AZ$190,,MATCH(SUBSTITUTE(P$3,"Q","T"),Inputs!$B$2:$AZ$2,0)),Inputs!$B$2:$B$190,$B157)*Inputs!$D$1)</f>
        <v>0</v>
      </c>
      <c r="Q157" s="57">
        <f>IF(ISNA(SUMIFS(INDEX(Inputs!$B$2:$AZ$190,,MATCH(SUBSTITUTE(Q$3,"Q","T"),Inputs!$B$2:$AZ$2,0)),Inputs!$B$2:$B$190,$B157)*Inputs!$D$1),"",SUMIFS(INDEX(Inputs!$B$2:$AZ$190,,MATCH(SUBSTITUTE(Q$3,"Q","T"),Inputs!$B$2:$AZ$2,0)),Inputs!$B$2:$B$190,$B157)*Inputs!$D$1)</f>
        <v>0</v>
      </c>
      <c r="R157" s="57">
        <f>IF(ISNA(SUMIFS(INDEX(Inputs!$B$2:$AZ$190,,MATCH(SUBSTITUTE(R$3,"Q","T"),Inputs!$B$2:$AZ$2,0)),Inputs!$B$2:$B$190,$B157)*Inputs!$D$1),"",SUMIFS(INDEX(Inputs!$B$2:$AZ$190,,MATCH(SUBSTITUTE(R$3,"Q","T"),Inputs!$B$2:$AZ$2,0)),Inputs!$B$2:$B$190,$B157)*Inputs!$D$1)</f>
        <v>0</v>
      </c>
      <c r="S157" s="58">
        <f>SUM(O157:R157)</f>
        <v>0</v>
      </c>
      <c r="T157" s="57">
        <f>IF(ISNA(SUMIFS(INDEX(Inputs!$B$2:$AZ$190,,MATCH(SUBSTITUTE(T$3,"Q","T"),Inputs!$B$2:$AZ$2,0)),Inputs!$B$2:$B$190,$B157)*Inputs!$D$1),"",SUMIFS(INDEX(Inputs!$B$2:$AZ$190,,MATCH(SUBSTITUTE(T$3,"Q","T"),Inputs!$B$2:$AZ$2,0)),Inputs!$B$2:$B$190,$B157)*Inputs!$D$1)</f>
        <v>0</v>
      </c>
      <c r="U157" s="57">
        <f>IF(ISNA(SUMIFS(INDEX(Inputs!$B$2:$AZ$190,,MATCH(SUBSTITUTE(U$3,"Q","T"),Inputs!$B$2:$AZ$2,0)),Inputs!$B$2:$B$190,$B157)*Inputs!$D$1),"",SUMIFS(INDEX(Inputs!$B$2:$AZ$190,,MATCH(SUBSTITUTE(U$3,"Q","T"),Inputs!$B$2:$AZ$2,0)),Inputs!$B$2:$B$190,$B157)*Inputs!$D$1)</f>
        <v>0</v>
      </c>
      <c r="V157" s="57">
        <f>IF(ISNA(SUMIFS(INDEX(Inputs!$B$2:$AZ$190,,MATCH(SUBSTITUTE(V$3,"Q","T"),Inputs!$B$2:$AZ$2,0)),Inputs!$B$2:$B$190,$B157)*Inputs!$D$1),"",SUMIFS(INDEX(Inputs!$B$2:$AZ$190,,MATCH(SUBSTITUTE(V$3,"Q","T"),Inputs!$B$2:$AZ$2,0)),Inputs!$B$2:$B$190,$B157)*Inputs!$D$1)</f>
        <v>0</v>
      </c>
      <c r="W157" s="57">
        <f>IF(ISNA(SUMIFS(INDEX(Inputs!$B$2:$AZ$190,,MATCH(SUBSTITUTE(W$3,"Q","T"),Inputs!$B$2:$AZ$2,0)),Inputs!$B$2:$B$190,$B157)*Inputs!$D$1),"",SUMIFS(INDEX(Inputs!$B$2:$AZ$190,,MATCH(SUBSTITUTE(W$3,"Q","T"),Inputs!$B$2:$AZ$2,0)),Inputs!$B$2:$B$190,$B157)*Inputs!$D$1)</f>
        <v>0</v>
      </c>
      <c r="X157" s="58">
        <f>SUM(T157:W157)</f>
        <v>0</v>
      </c>
      <c r="Y157" s="57">
        <f>IF(ISNA(SUMIFS(INDEX(Inputs!$B$2:$AZ$190,,MATCH(SUBSTITUTE(Y$3,"Q","T"),Inputs!$B$2:$AZ$2,0)),Inputs!$B$2:$B$190,$B157)*Inputs!$D$1),"",SUMIFS(INDEX(Inputs!$B$2:$AZ$190,,MATCH(SUBSTITUTE(Y$3,"Q","T"),Inputs!$B$2:$AZ$2,0)),Inputs!$B$2:$B$190,$B157)*Inputs!$D$1)</f>
        <v>0</v>
      </c>
      <c r="Z157" s="57">
        <f>IF(ISNA(SUMIFS(INDEX(Inputs!$B$2:$AZ$190,,MATCH(SUBSTITUTE(Z$3,"Q","T"),Inputs!$B$2:$AZ$2,0)),Inputs!$B$2:$B$190,$B157)*Inputs!$D$1),"",SUMIFS(INDEX(Inputs!$B$2:$AZ$190,,MATCH(SUBSTITUTE(Z$3,"Q","T"),Inputs!$B$2:$AZ$2,0)),Inputs!$B$2:$B$190,$B157)*Inputs!$D$1)</f>
        <v>0</v>
      </c>
      <c r="AA157" s="57">
        <f>IF(ISNA(SUMIFS(INDEX(Inputs!$B$2:$AZ$190,,MATCH(SUBSTITUTE(AA$3,"Q","T"),Inputs!$B$2:$AZ$2,0)),Inputs!$B$2:$B$190,$B157)*Inputs!$D$1),"",SUMIFS(INDEX(Inputs!$B$2:$AZ$190,,MATCH(SUBSTITUTE(AA$3,"Q","T"),Inputs!$B$2:$AZ$2,0)),Inputs!$B$2:$B$190,$B157)*Inputs!$D$1)</f>
        <v>0</v>
      </c>
      <c r="AB157" s="57">
        <f>IF(ISNA(SUMIFS(INDEX(Inputs!$B$2:$AZ$190,,MATCH(SUBSTITUTE(AB$3,"Q","T"),Inputs!$B$2:$AZ$2,0)),Inputs!$B$2:$B$190,$B157)*Inputs!$D$1),"",SUMIFS(INDEX(Inputs!$B$2:$AZ$190,,MATCH(SUBSTITUTE(AB$3,"Q","T"),Inputs!$B$2:$AZ$2,0)),Inputs!$B$2:$B$190,$B157)*Inputs!$D$1)</f>
        <v>0</v>
      </c>
      <c r="AC157" s="58">
        <f>SUM(Y157:AB157)</f>
        <v>0</v>
      </c>
      <c r="AD157" s="57">
        <f>IF(ISNA(SUMIFS(INDEX(Inputs!$B$2:$AZ$190,,MATCH(SUBSTITUTE(AD$3,"Q","T"),Inputs!$B$2:$AZ$2,0)),Inputs!$B$2:$B$190,$B157)*Inputs!$D$1),"",SUMIFS(INDEX(Inputs!$B$2:$AZ$190,,MATCH(SUBSTITUTE(AD$3,"Q","T"),Inputs!$B$2:$AZ$2,0)),Inputs!$B$2:$B$190,$B157)*Inputs!$D$1)</f>
        <v>0</v>
      </c>
      <c r="AE157" s="57">
        <f>IF(ISNA(SUMIFS(INDEX(Inputs!$B$2:$AZ$190,,MATCH(SUBSTITUTE(AE$3,"Q","T"),Inputs!$B$2:$AZ$2,0)),Inputs!$B$2:$B$190,$B157)*Inputs!$D$1),"",SUMIFS(INDEX(Inputs!$B$2:$AZ$190,,MATCH(SUBSTITUTE(AE$3,"Q","T"),Inputs!$B$2:$AZ$2,0)),Inputs!$B$2:$B$190,$B157)*Inputs!$D$1)</f>
        <v>0</v>
      </c>
      <c r="AF157" s="57">
        <f>IF(ISNA(SUMIFS(INDEX(Inputs!$B$2:$AZ$190,,MATCH(SUBSTITUTE(AF$3,"Q","T"),Inputs!$B$2:$AZ$2,0)),Inputs!$B$2:$B$190,$B157)*Inputs!$D$1),"",SUMIFS(INDEX(Inputs!$B$2:$AZ$190,,MATCH(SUBSTITUTE(AF$3,"Q","T"),Inputs!$B$2:$AZ$2,0)),Inputs!$B$2:$B$190,$B157)*Inputs!$D$1)</f>
        <v>0</v>
      </c>
      <c r="AG157" s="57">
        <f>IF(ISNA(SUMIFS(INDEX(Inputs!$B$2:$AZ$190,,MATCH(SUBSTITUTE(AG$3,"Q","T"),Inputs!$B$2:$AZ$2,0)),Inputs!$B$2:$B$190,$B157)*Inputs!$D$1),"",SUMIFS(INDEX(Inputs!$B$2:$AZ$190,,MATCH(SUBSTITUTE(AG$3,"Q","T"),Inputs!$B$2:$AZ$2,0)),Inputs!$B$2:$B$190,$B157)*Inputs!$D$1)</f>
        <v>0</v>
      </c>
      <c r="AH157" s="58">
        <f>SUM(AD157:AG157)</f>
        <v>0</v>
      </c>
      <c r="AI157" s="57">
        <f>IF(ISNA(SUMIFS(INDEX(Inputs!$B$2:$AZ$190,,MATCH(SUBSTITUTE(AI$3,"Q","T"),Inputs!$B$2:$AZ$2,0)),Inputs!$B$2:$B$190,$B157)*Inputs!$D$1),"",SUMIFS(INDEX(Inputs!$B$2:$AZ$190,,MATCH(SUBSTITUTE(AI$3,"Q","T"),Inputs!$B$2:$AZ$2,0)),Inputs!$B$2:$B$190,$B157)*Inputs!$D$1)</f>
        <v>0</v>
      </c>
      <c r="AJ157" s="57">
        <f>IF(ISNA(SUMIFS(INDEX(Inputs!$B$2:$AZ$190,,MATCH(SUBSTITUTE(AJ$3,"Q","T"),Inputs!$B$2:$AZ$2,0)),Inputs!$B$2:$B$190,$B157)*Inputs!$D$1),"",SUMIFS(INDEX(Inputs!$B$2:$AZ$190,,MATCH(SUBSTITUTE(AJ$3,"Q","T"),Inputs!$B$2:$AZ$2,0)),Inputs!$B$2:$B$190,$B157)*Inputs!$D$1)</f>
        <v>0</v>
      </c>
      <c r="AK157" s="57">
        <f>IF(ISNA(SUMIFS(INDEX(Inputs!$B$2:$AZ$190,,MATCH(SUBSTITUTE(AK$3,"Q","T"),Inputs!$B$2:$AZ$2,0)),Inputs!$B$2:$B$190,$B157)*Inputs!$D$1),"",SUMIFS(INDEX(Inputs!$B$2:$AZ$190,,MATCH(SUBSTITUTE(AK$3,"Q","T"),Inputs!$B$2:$AZ$2,0)),Inputs!$B$2:$B$190,$B157)*Inputs!$D$1)</f>
        <v>0</v>
      </c>
      <c r="AL157" s="57">
        <f>IF(ISNA(SUMIFS(INDEX(Inputs!$B$2:$AZ$190,,MATCH(SUBSTITUTE(AL$3,"Q","T"),Inputs!$B$2:$AZ$2,0)),Inputs!$B$2:$B$190,$B157)*Inputs!$D$1),"",SUMIFS(INDEX(Inputs!$B$2:$AZ$190,,MATCH(SUBSTITUTE(AL$3,"Q","T"),Inputs!$B$2:$AZ$2,0)),Inputs!$B$2:$B$190,$B157)*Inputs!$D$1)</f>
        <v>0</v>
      </c>
      <c r="AM157" s="58">
        <f>SUM(AI157:AL157)</f>
        <v>0</v>
      </c>
      <c r="AN157" s="57">
        <f>IF(ISNA(SUMIFS(INDEX(Inputs!$B$2:$AZ$190,,MATCH(SUBSTITUTE(AN$3,"Q","T"),Inputs!$B$2:$AZ$2,0)),Inputs!$B$2:$B$190,$B157)*Inputs!$D$1),"",SUMIFS(INDEX(Inputs!$B$2:$AZ$190,,MATCH(SUBSTITUTE(AN$3,"Q","T"),Inputs!$B$2:$AZ$2,0)),Inputs!$B$2:$B$190,$B157)*Inputs!$D$1)</f>
        <v>0</v>
      </c>
      <c r="AO157" s="57">
        <f>IF(ISNA(SUMIFS(INDEX(Inputs!$B$2:$AZ$190,,MATCH(SUBSTITUTE(AO$3,"Q","T"),Inputs!$B$2:$AZ$2,0)),Inputs!$B$2:$B$190,$B157)*Inputs!$D$1),"",SUMIFS(INDEX(Inputs!$B$2:$AZ$190,,MATCH(SUBSTITUTE(AO$3,"Q","T"),Inputs!$B$2:$AZ$2,0)),Inputs!$B$2:$B$190,$B157)*Inputs!$D$1)</f>
        <v>0</v>
      </c>
      <c r="AP157" s="57">
        <f>IF(ISNA(SUMIFS(INDEX(Inputs!$B$2:$AZ$190,,MATCH(SUBSTITUTE(AP$3,"Q","T"),Inputs!$B$2:$AZ$2,0)),Inputs!$B$2:$B$190,$B157)*Inputs!$D$1),"",SUMIFS(INDEX(Inputs!$B$2:$AZ$190,,MATCH(SUBSTITUTE(AP$3,"Q","T"),Inputs!$B$2:$AZ$2,0)),Inputs!$B$2:$B$190,$B157)*Inputs!$D$1)</f>
        <v>0</v>
      </c>
      <c r="AQ157" s="57">
        <f>IF(ISNA(SUMIFS(INDEX(Inputs!$B$2:$AZ$190,,MATCH(SUBSTITUTE(AQ$3,"Q","T"),Inputs!$B$2:$AZ$2,0)),Inputs!$B$2:$B$190,$B157)*Inputs!$D$1),"",SUMIFS(INDEX(Inputs!$B$2:$AZ$190,,MATCH(SUBSTITUTE(AQ$3,"Q","T"),Inputs!$B$2:$AZ$2,0)),Inputs!$B$2:$B$190,$B157)*Inputs!$D$1)</f>
        <v>0</v>
      </c>
      <c r="AR157" s="58">
        <f>SUM(AN157:AQ157)</f>
        <v>0</v>
      </c>
      <c r="AS157" s="57">
        <f>IF(ISNA(SUMIFS(INDEX(Inputs!$B$2:$AZ$190,,MATCH(SUBSTITUTE(AS$3,"Q","T"),Inputs!$B$2:$AZ$2,0)),Inputs!$B$2:$B$190,$B157)*Inputs!$D$1),"",SUMIFS(INDEX(Inputs!$B$2:$AZ$190,,MATCH(SUBSTITUTE(AS$3,"Q","T"),Inputs!$B$2:$AZ$2,0)),Inputs!$B$2:$B$190,$B157)*Inputs!$D$1)</f>
        <v>0</v>
      </c>
      <c r="AT157" s="57">
        <f>IF(ISNA(SUMIFS(INDEX(Inputs!$B$2:$AZ$190,,MATCH(SUBSTITUTE(AT$3,"Q","T"),Inputs!$B$2:$AZ$2,0)),Inputs!$B$2:$B$190,$B157)*Inputs!$D$1),"",SUMIFS(INDEX(Inputs!$B$2:$AZ$190,,MATCH(SUBSTITUTE(AT$3,"Q","T"),Inputs!$B$2:$AZ$2,0)),Inputs!$B$2:$B$190,$B157)*Inputs!$D$1)</f>
        <v>0</v>
      </c>
      <c r="AU157" s="57">
        <f>IF(ISNA(SUMIFS(INDEX(Inputs!$B$2:$AZ$190,,MATCH(SUBSTITUTE(AU$3,"Q","T"),Inputs!$B$2:$AZ$2,0)),Inputs!$B$2:$B$190,$B157)*Inputs!$D$1),"",SUMIFS(INDEX(Inputs!$B$2:$AZ$190,,MATCH(SUBSTITUTE(AU$3,"Q","T"),Inputs!$B$2:$AZ$2,0)),Inputs!$B$2:$B$190,$B157)*Inputs!$D$1)</f>
        <v>0</v>
      </c>
      <c r="AV157" s="57">
        <f>IF(ISNA(SUMIFS(INDEX(Inputs!$B$2:$AZ$190,,MATCH(SUBSTITUTE(AV$3,"Q","T"),Inputs!$B$2:$AZ$2,0)),Inputs!$B$2:$B$190,$B157)*Inputs!$D$1),"",SUMIFS(INDEX(Inputs!$B$2:$AZ$190,,MATCH(SUBSTITUTE(AV$3,"Q","T"),Inputs!$B$2:$AZ$2,0)),Inputs!$B$2:$B$190,$B157)*Inputs!$D$1)</f>
        <v>0</v>
      </c>
      <c r="AW157" s="58">
        <f>SUM(AS157:AV157)</f>
        <v>0</v>
      </c>
      <c r="AX157" s="57">
        <f>IF(ISNA(SUMIFS(INDEX(Inputs!$B$2:$AZ$190,,MATCH(SUBSTITUTE(AX$3,"Q","T"),Inputs!$B$2:$AZ$2,0)),Inputs!$B$2:$B$190,$B157)*Inputs!$D$1),"",SUMIFS(INDEX(Inputs!$B$2:$AZ$190,,MATCH(SUBSTITUTE(AX$3,"Q","T"),Inputs!$B$2:$AZ$2,0)),Inputs!$B$2:$B$190,$B157)*Inputs!$D$1)</f>
        <v>0</v>
      </c>
      <c r="AY157" s="57">
        <f>IF(ISNA(SUMIFS(INDEX(Inputs!$B$2:$AZ$190,,MATCH(SUBSTITUTE(AY$3,"Q","T"),Inputs!$B$2:$AZ$2,0)),Inputs!$B$2:$B$190,$B157)*Inputs!$D$1),"",SUMIFS(INDEX(Inputs!$B$2:$AZ$190,,MATCH(SUBSTITUTE(AY$3,"Q","T"),Inputs!$B$2:$AZ$2,0)),Inputs!$B$2:$B$190,$B157)*Inputs!$D$1)</f>
        <v>0</v>
      </c>
      <c r="AZ157" s="57">
        <f>IF(ISNA(SUMIFS(INDEX(Inputs!$B$2:$AZ$190,,MATCH(SUBSTITUTE(AZ$3,"Q","T"),Inputs!$B$2:$AZ$2,0)),Inputs!$B$2:$B$190,$B157)*Inputs!$D$1),"",SUMIFS(INDEX(Inputs!$B$2:$AZ$190,,MATCH(SUBSTITUTE(AZ$3,"Q","T"),Inputs!$B$2:$AZ$2,0)),Inputs!$B$2:$B$190,$B157)*Inputs!$D$1)</f>
        <v>0</v>
      </c>
      <c r="BA157" s="57">
        <f>IF(ISNA(SUMIFS(INDEX(Inputs!$B$2:$AZ$190,,MATCH(SUBSTITUTE(BA$3,"Q","T"),Inputs!$B$2:$AZ$2,0)),Inputs!$B$2:$B$190,$B157)*Inputs!$D$1),"",SUMIFS(INDEX(Inputs!$B$2:$AZ$190,,MATCH(SUBSTITUTE(BA$3,"Q","T"),Inputs!$B$2:$AZ$2,0)),Inputs!$B$2:$B$190,$B157)*Inputs!$D$1)</f>
        <v>0</v>
      </c>
      <c r="BB157" s="58">
        <f>SUM(AX157:BA157)</f>
        <v>0</v>
      </c>
      <c r="BC157" s="57">
        <f>IF(ISNA(SUMIFS(INDEX(Inputs!$B$2:$AZ$190,,MATCH(SUBSTITUTE(BC$3,"Q","T"),Inputs!$B$2:$AZ$2,0)),Inputs!$B$2:$B$190,$B157)*Inputs!$D$1),"",SUMIFS(INDEX(Inputs!$B$2:$AZ$190,,MATCH(SUBSTITUTE(BC$3,"Q","T"),Inputs!$B$2:$AZ$2,0)),Inputs!$B$2:$B$190,$B157)*Inputs!$D$1)</f>
        <v>0</v>
      </c>
      <c r="BD157" s="57">
        <f>IF(ISNA(SUMIFS(INDEX(Inputs!$B$2:$AZ$190,,MATCH(SUBSTITUTE(BD$3,"Q","T"),Inputs!$B$2:$AZ$2,0)),Inputs!$B$2:$B$190,$B157)*Inputs!$D$1),"",SUMIFS(INDEX(Inputs!$B$2:$AZ$190,,MATCH(SUBSTITUTE(BD$3,"Q","T"),Inputs!$B$2:$AZ$2,0)),Inputs!$B$2:$B$190,$B157)*Inputs!$D$1)</f>
        <v>0</v>
      </c>
      <c r="BE157" s="57">
        <f>IF(ISNA(SUMIFS(INDEX(Inputs!$B$2:$AZ$190,,MATCH(SUBSTITUTE(BE$3,"Q","T"),Inputs!$B$2:$AZ$2,0)),Inputs!$B$2:$B$190,$B157)*Inputs!$D$1),"",SUMIFS(INDEX(Inputs!$B$2:$AZ$190,,MATCH(SUBSTITUTE(BE$3,"Q","T"),Inputs!$B$2:$AZ$2,0)),Inputs!$B$2:$B$190,$B157)*Inputs!$D$1)</f>
        <v>0</v>
      </c>
      <c r="BF157" s="57">
        <f>IF(ISNA(SUMIFS(INDEX(Inputs!$B$2:$AZ$190,,MATCH(SUBSTITUTE(BF$3,"Q","T"),Inputs!$B$2:$AZ$2,0)),Inputs!$B$2:$B$190,$B157)*Inputs!$D$1),"",SUMIFS(INDEX(Inputs!$B$2:$AZ$190,,MATCH(SUBSTITUTE(BF$3,"Q","T"),Inputs!$B$2:$AZ$2,0)),Inputs!$B$2:$B$190,$B157)*Inputs!$D$1)</f>
        <v>0</v>
      </c>
      <c r="BG157" s="58">
        <f>SUM(BC157:BF157)</f>
        <v>0</v>
      </c>
    </row>
    <row r="158">
      <c r="B158" s="56" t="inlineStr">
        <is>
          <t>price</t>
        </is>
      </c>
      <c r="C158" s="11" t="inlineStr">
        <is>
          <t>Preço da ação no fechamento</t>
        </is>
      </c>
      <c r="D158" s="12" t="inlineStr">
        <is>
          <t>Share price, eop</t>
        </is>
      </c>
      <c r="E158" s="72">
        <f>IF(ISNA(SUMIFS(INDEX(Inputs!$B$2:$AZ$190,,MATCH(SUBSTITUTE(E$3,"Q","T"),Inputs!$B$2:$AZ$2,0)),Inputs!$B$2:$B$190,$B158)*Inputs!$D$1),"",SUMIFS(INDEX(Inputs!$B$2:$AZ$190,,MATCH(SUBSTITUTE(E$3,"Q","T"),Inputs!$B$2:$AZ$2,0)),Inputs!$B$2:$B$190,$B158)*Inputs!$D$1)</f>
        <v>0</v>
      </c>
      <c r="F158" s="72">
        <f>IF(ISNA(SUMIFS(INDEX(Inputs!$B$2:$AZ$190,,MATCH(SUBSTITUTE(F$3,"Q","T"),Inputs!$B$2:$AZ$2,0)),Inputs!$B$2:$B$190,$B158)*Inputs!$D$1),"",SUMIFS(INDEX(Inputs!$B$2:$AZ$190,,MATCH(SUBSTITUTE(F$3,"Q","T"),Inputs!$B$2:$AZ$2,0)),Inputs!$B$2:$B$190,$B158)*Inputs!$D$1)</f>
        <v>0</v>
      </c>
      <c r="G158" s="72">
        <f>IF(ISNA(SUMIFS(INDEX(Inputs!$B$2:$AZ$190,,MATCH(SUBSTITUTE(G$3,"Q","T"),Inputs!$B$2:$AZ$2,0)),Inputs!$B$2:$B$190,$B158)*Inputs!$D$1),"",SUMIFS(INDEX(Inputs!$B$2:$AZ$190,,MATCH(SUBSTITUTE(G$3,"Q","T"),Inputs!$B$2:$AZ$2,0)),Inputs!$B$2:$B$190,$B158)*Inputs!$D$1)</f>
        <v>0</v>
      </c>
      <c r="H158" s="72">
        <f>IF(ISNA(SUMIFS(INDEX(Inputs!$B$2:$AZ$190,,MATCH(SUBSTITUTE(H$3,"Q","T"),Inputs!$B$2:$AZ$2,0)),Inputs!$B$2:$B$190,$B158)*Inputs!$D$1),"",SUMIFS(INDEX(Inputs!$B$2:$AZ$190,,MATCH(SUBSTITUTE(H$3,"Q","T"),Inputs!$B$2:$AZ$2,0)),Inputs!$B$2:$B$190,$B158)*Inputs!$D$1)</f>
        <v>0</v>
      </c>
      <c r="I158" s="73">
        <f>H158</f>
        <v>0</v>
      </c>
      <c r="J158" s="72">
        <f>IF(ISNA(SUMIFS(INDEX(Inputs!$B$2:$AZ$190,,MATCH(SUBSTITUTE(J$3,"Q","T"),Inputs!$B$2:$AZ$2,0)),Inputs!$B$2:$B$190,$B158)*Inputs!$D$1),"",SUMIFS(INDEX(Inputs!$B$2:$AZ$190,,MATCH(SUBSTITUTE(J$3,"Q","T"),Inputs!$B$2:$AZ$2,0)),Inputs!$B$2:$B$190,$B158)*Inputs!$D$1)</f>
        <v>0</v>
      </c>
      <c r="K158" s="72">
        <f>IF(ISNA(SUMIFS(INDEX(Inputs!$B$2:$AZ$190,,MATCH(SUBSTITUTE(K$3,"Q","T"),Inputs!$B$2:$AZ$2,0)),Inputs!$B$2:$B$190,$B158)*Inputs!$D$1),"",SUMIFS(INDEX(Inputs!$B$2:$AZ$190,,MATCH(SUBSTITUTE(K$3,"Q","T"),Inputs!$B$2:$AZ$2,0)),Inputs!$B$2:$B$190,$B158)*Inputs!$D$1)</f>
        <v>0</v>
      </c>
      <c r="L158" s="72">
        <f>IF(ISNA(SUMIFS(INDEX(Inputs!$B$2:$AZ$190,,MATCH(SUBSTITUTE(L$3,"Q","T"),Inputs!$B$2:$AZ$2,0)),Inputs!$B$2:$B$190,$B158)*Inputs!$D$1),"",SUMIFS(INDEX(Inputs!$B$2:$AZ$190,,MATCH(SUBSTITUTE(L$3,"Q","T"),Inputs!$B$2:$AZ$2,0)),Inputs!$B$2:$B$190,$B158)*Inputs!$D$1)</f>
        <v>0</v>
      </c>
      <c r="M158" s="72">
        <f>IF(ISNA(SUMIFS(INDEX(Inputs!$B$2:$AZ$190,,MATCH(SUBSTITUTE(M$3,"Q","T"),Inputs!$B$2:$AZ$2,0)),Inputs!$B$2:$B$190,$B158)*Inputs!$D$1),"",SUMIFS(INDEX(Inputs!$B$2:$AZ$190,,MATCH(SUBSTITUTE(M$3,"Q","T"),Inputs!$B$2:$AZ$2,0)),Inputs!$B$2:$B$190,$B158)*Inputs!$D$1)</f>
        <v>0</v>
      </c>
      <c r="N158" s="73">
        <f>M158</f>
        <v>0</v>
      </c>
      <c r="O158" s="72">
        <f>IF(ISNA(SUMIFS(INDEX(Inputs!$B$2:$AZ$190,,MATCH(SUBSTITUTE(O$3,"Q","T"),Inputs!$B$2:$AZ$2,0)),Inputs!$B$2:$B$190,$B158)*Inputs!$D$1),"",SUMIFS(INDEX(Inputs!$B$2:$AZ$190,,MATCH(SUBSTITUTE(O$3,"Q","T"),Inputs!$B$2:$AZ$2,0)),Inputs!$B$2:$B$190,$B158)*Inputs!$D$1)</f>
        <v>0</v>
      </c>
      <c r="P158" s="72">
        <f>IF(ISNA(SUMIFS(INDEX(Inputs!$B$2:$AZ$190,,MATCH(SUBSTITUTE(P$3,"Q","T"),Inputs!$B$2:$AZ$2,0)),Inputs!$B$2:$B$190,$B158)*Inputs!$D$1),"",SUMIFS(INDEX(Inputs!$B$2:$AZ$190,,MATCH(SUBSTITUTE(P$3,"Q","T"),Inputs!$B$2:$AZ$2,0)),Inputs!$B$2:$B$190,$B158)*Inputs!$D$1)</f>
        <v>0</v>
      </c>
      <c r="Q158" s="72">
        <f>IF(ISNA(SUMIFS(INDEX(Inputs!$B$2:$AZ$190,,MATCH(SUBSTITUTE(Q$3,"Q","T"),Inputs!$B$2:$AZ$2,0)),Inputs!$B$2:$B$190,$B158)*Inputs!$D$1),"",SUMIFS(INDEX(Inputs!$B$2:$AZ$190,,MATCH(SUBSTITUTE(Q$3,"Q","T"),Inputs!$B$2:$AZ$2,0)),Inputs!$B$2:$B$190,$B158)*Inputs!$D$1)</f>
        <v>0</v>
      </c>
      <c r="R158" s="72">
        <f>IF(ISNA(SUMIFS(INDEX(Inputs!$B$2:$AZ$190,,MATCH(SUBSTITUTE(R$3,"Q","T"),Inputs!$B$2:$AZ$2,0)),Inputs!$B$2:$B$190,$B158)*Inputs!$D$1),"",SUMIFS(INDEX(Inputs!$B$2:$AZ$190,,MATCH(SUBSTITUTE(R$3,"Q","T"),Inputs!$B$2:$AZ$2,0)),Inputs!$B$2:$B$190,$B158)*Inputs!$D$1)</f>
        <v>0</v>
      </c>
      <c r="S158" s="73">
        <f>R158</f>
        <v>0</v>
      </c>
      <c r="T158" s="72">
        <f>IF(ISNA(SUMIFS(INDEX(Inputs!$B$2:$AZ$190,,MATCH(SUBSTITUTE(T$3,"Q","T"),Inputs!$B$2:$AZ$2,0)),Inputs!$B$2:$B$190,$B158)*Inputs!$D$1),"",SUMIFS(INDEX(Inputs!$B$2:$AZ$190,,MATCH(SUBSTITUTE(T$3,"Q","T"),Inputs!$B$2:$AZ$2,0)),Inputs!$B$2:$B$190,$B158)*Inputs!$D$1)</f>
        <v>0</v>
      </c>
      <c r="U158" s="72">
        <f>IF(ISNA(SUMIFS(INDEX(Inputs!$B$2:$AZ$190,,MATCH(SUBSTITUTE(U$3,"Q","T"),Inputs!$B$2:$AZ$2,0)),Inputs!$B$2:$B$190,$B158)*Inputs!$D$1),"",SUMIFS(INDEX(Inputs!$B$2:$AZ$190,,MATCH(SUBSTITUTE(U$3,"Q","T"),Inputs!$B$2:$AZ$2,0)),Inputs!$B$2:$B$190,$B158)*Inputs!$D$1)</f>
        <v>0</v>
      </c>
      <c r="V158" s="72">
        <f>IF(ISNA(SUMIFS(INDEX(Inputs!$B$2:$AZ$190,,MATCH(SUBSTITUTE(V$3,"Q","T"),Inputs!$B$2:$AZ$2,0)),Inputs!$B$2:$B$190,$B158)*Inputs!$D$1),"",SUMIFS(INDEX(Inputs!$B$2:$AZ$190,,MATCH(SUBSTITUTE(V$3,"Q","T"),Inputs!$B$2:$AZ$2,0)),Inputs!$B$2:$B$190,$B158)*Inputs!$D$1)</f>
        <v>0</v>
      </c>
      <c r="W158" s="72">
        <f>IF(ISNA(SUMIFS(INDEX(Inputs!$B$2:$AZ$190,,MATCH(SUBSTITUTE(W$3,"Q","T"),Inputs!$B$2:$AZ$2,0)),Inputs!$B$2:$B$190,$B158)*Inputs!$D$1),"",SUMIFS(INDEX(Inputs!$B$2:$AZ$190,,MATCH(SUBSTITUTE(W$3,"Q","T"),Inputs!$B$2:$AZ$2,0)),Inputs!$B$2:$B$190,$B158)*Inputs!$D$1)</f>
        <v>0</v>
      </c>
      <c r="X158" s="73">
        <f>W158</f>
        <v>0</v>
      </c>
      <c r="Y158" s="72">
        <f>IF(ISNA(SUMIFS(INDEX(Inputs!$B$2:$AZ$190,,MATCH(SUBSTITUTE(Y$3,"Q","T"),Inputs!$B$2:$AZ$2,0)),Inputs!$B$2:$B$190,$B158)*Inputs!$D$1),"",SUMIFS(INDEX(Inputs!$B$2:$AZ$190,,MATCH(SUBSTITUTE(Y$3,"Q","T"),Inputs!$B$2:$AZ$2,0)),Inputs!$B$2:$B$190,$B158)*Inputs!$D$1)</f>
        <v>0</v>
      </c>
      <c r="Z158" s="72">
        <f>IF(ISNA(SUMIFS(INDEX(Inputs!$B$2:$AZ$190,,MATCH(SUBSTITUTE(Z$3,"Q","T"),Inputs!$B$2:$AZ$2,0)),Inputs!$B$2:$B$190,$B158)*Inputs!$D$1),"",SUMIFS(INDEX(Inputs!$B$2:$AZ$190,,MATCH(SUBSTITUTE(Z$3,"Q","T"),Inputs!$B$2:$AZ$2,0)),Inputs!$B$2:$B$190,$B158)*Inputs!$D$1)</f>
        <v>0</v>
      </c>
      <c r="AA158" s="72">
        <f>IF(ISNA(SUMIFS(INDEX(Inputs!$B$2:$AZ$190,,MATCH(SUBSTITUTE(AA$3,"Q","T"),Inputs!$B$2:$AZ$2,0)),Inputs!$B$2:$B$190,$B158)*Inputs!$D$1),"",SUMIFS(INDEX(Inputs!$B$2:$AZ$190,,MATCH(SUBSTITUTE(AA$3,"Q","T"),Inputs!$B$2:$AZ$2,0)),Inputs!$B$2:$B$190,$B158)*Inputs!$D$1)</f>
        <v>0</v>
      </c>
      <c r="AB158" s="72">
        <f>IF(ISNA(SUMIFS(INDEX(Inputs!$B$2:$AZ$190,,MATCH(SUBSTITUTE(AB$3,"Q","T"),Inputs!$B$2:$AZ$2,0)),Inputs!$B$2:$B$190,$B158)*Inputs!$D$1),"",SUMIFS(INDEX(Inputs!$B$2:$AZ$190,,MATCH(SUBSTITUTE(AB$3,"Q","T"),Inputs!$B$2:$AZ$2,0)),Inputs!$B$2:$B$190,$B158)*Inputs!$D$1)</f>
        <v>0</v>
      </c>
      <c r="AC158" s="73">
        <f>AB158</f>
        <v>0</v>
      </c>
      <c r="AD158" s="72">
        <f>IF(ISNA(SUMIFS(INDEX(Inputs!$B$2:$AZ$190,,MATCH(SUBSTITUTE(AD$3,"Q","T"),Inputs!$B$2:$AZ$2,0)),Inputs!$B$2:$B$190,$B158)*Inputs!$D$1),"",SUMIFS(INDEX(Inputs!$B$2:$AZ$190,,MATCH(SUBSTITUTE(AD$3,"Q","T"),Inputs!$B$2:$AZ$2,0)),Inputs!$B$2:$B$190,$B158)*Inputs!$D$1)</f>
        <v>0</v>
      </c>
      <c r="AE158" s="72">
        <f>IF(ISNA(SUMIFS(INDEX(Inputs!$B$2:$AZ$190,,MATCH(SUBSTITUTE(AE$3,"Q","T"),Inputs!$B$2:$AZ$2,0)),Inputs!$B$2:$B$190,$B158)*Inputs!$D$1),"",SUMIFS(INDEX(Inputs!$B$2:$AZ$190,,MATCH(SUBSTITUTE(AE$3,"Q","T"),Inputs!$B$2:$AZ$2,0)),Inputs!$B$2:$B$190,$B158)*Inputs!$D$1)</f>
        <v>0</v>
      </c>
      <c r="AF158" s="72">
        <f>IF(ISNA(SUMIFS(INDEX(Inputs!$B$2:$AZ$190,,MATCH(SUBSTITUTE(AF$3,"Q","T"),Inputs!$B$2:$AZ$2,0)),Inputs!$B$2:$B$190,$B158)*Inputs!$D$1),"",SUMIFS(INDEX(Inputs!$B$2:$AZ$190,,MATCH(SUBSTITUTE(AF$3,"Q","T"),Inputs!$B$2:$AZ$2,0)),Inputs!$B$2:$B$190,$B158)*Inputs!$D$1)</f>
        <v>0</v>
      </c>
      <c r="AG158" s="72">
        <f>IF(ISNA(SUMIFS(INDEX(Inputs!$B$2:$AZ$190,,MATCH(SUBSTITUTE(AG$3,"Q","T"),Inputs!$B$2:$AZ$2,0)),Inputs!$B$2:$B$190,$B158)*Inputs!$D$1),"",SUMIFS(INDEX(Inputs!$B$2:$AZ$190,,MATCH(SUBSTITUTE(AG$3,"Q","T"),Inputs!$B$2:$AZ$2,0)),Inputs!$B$2:$B$190,$B158)*Inputs!$D$1)</f>
        <v>0</v>
      </c>
      <c r="AH158" s="73">
        <f>AG158</f>
        <v>0</v>
      </c>
      <c r="AI158" s="72">
        <f>IF(ISNA(SUMIFS(INDEX(Inputs!$B$2:$AZ$190,,MATCH(SUBSTITUTE(AI$3,"Q","T"),Inputs!$B$2:$AZ$2,0)),Inputs!$B$2:$B$190,$B158)*Inputs!$D$1),"",SUMIFS(INDEX(Inputs!$B$2:$AZ$190,,MATCH(SUBSTITUTE(AI$3,"Q","T"),Inputs!$B$2:$AZ$2,0)),Inputs!$B$2:$B$190,$B158)*Inputs!$D$1)</f>
        <v>0</v>
      </c>
      <c r="AJ158" s="72">
        <f>IF(ISNA(SUMIFS(INDEX(Inputs!$B$2:$AZ$190,,MATCH(SUBSTITUTE(AJ$3,"Q","T"),Inputs!$B$2:$AZ$2,0)),Inputs!$B$2:$B$190,$B158)*Inputs!$D$1),"",SUMIFS(INDEX(Inputs!$B$2:$AZ$190,,MATCH(SUBSTITUTE(AJ$3,"Q","T"),Inputs!$B$2:$AZ$2,0)),Inputs!$B$2:$B$190,$B158)*Inputs!$D$1)</f>
        <v>0</v>
      </c>
      <c r="AK158" s="72">
        <f>IF(ISNA(SUMIFS(INDEX(Inputs!$B$2:$AZ$190,,MATCH(SUBSTITUTE(AK$3,"Q","T"),Inputs!$B$2:$AZ$2,0)),Inputs!$B$2:$B$190,$B158)*Inputs!$D$1),"",SUMIFS(INDEX(Inputs!$B$2:$AZ$190,,MATCH(SUBSTITUTE(AK$3,"Q","T"),Inputs!$B$2:$AZ$2,0)),Inputs!$B$2:$B$190,$B158)*Inputs!$D$1)</f>
        <v>0</v>
      </c>
      <c r="AL158" s="72">
        <f>IF(ISNA(SUMIFS(INDEX(Inputs!$B$2:$AZ$190,,MATCH(SUBSTITUTE(AL$3,"Q","T"),Inputs!$B$2:$AZ$2,0)),Inputs!$B$2:$B$190,$B158)*Inputs!$D$1),"",SUMIFS(INDEX(Inputs!$B$2:$AZ$190,,MATCH(SUBSTITUTE(AL$3,"Q","T"),Inputs!$B$2:$AZ$2,0)),Inputs!$B$2:$B$190,$B158)*Inputs!$D$1)</f>
        <v>0</v>
      </c>
      <c r="AM158" s="73">
        <f>AL158</f>
        <v>0</v>
      </c>
      <c r="AN158" s="72">
        <f>IF(ISNA(SUMIFS(INDEX(Inputs!$B$2:$AZ$190,,MATCH(SUBSTITUTE(AN$3,"Q","T"),Inputs!$B$2:$AZ$2,0)),Inputs!$B$2:$B$190,$B158)*Inputs!$D$1),"",SUMIFS(INDEX(Inputs!$B$2:$AZ$190,,MATCH(SUBSTITUTE(AN$3,"Q","T"),Inputs!$B$2:$AZ$2,0)),Inputs!$B$2:$B$190,$B158)*Inputs!$D$1)</f>
        <v>0</v>
      </c>
      <c r="AO158" s="72">
        <f>IF(ISNA(SUMIFS(INDEX(Inputs!$B$2:$AZ$190,,MATCH(SUBSTITUTE(AO$3,"Q","T"),Inputs!$B$2:$AZ$2,0)),Inputs!$B$2:$B$190,$B158)*Inputs!$D$1),"",SUMIFS(INDEX(Inputs!$B$2:$AZ$190,,MATCH(SUBSTITUTE(AO$3,"Q","T"),Inputs!$B$2:$AZ$2,0)),Inputs!$B$2:$B$190,$B158)*Inputs!$D$1)</f>
        <v>0</v>
      </c>
      <c r="AP158" s="72">
        <f>IF(ISNA(SUMIFS(INDEX(Inputs!$B$2:$AZ$190,,MATCH(SUBSTITUTE(AP$3,"Q","T"),Inputs!$B$2:$AZ$2,0)),Inputs!$B$2:$B$190,$B158)*Inputs!$D$1),"",SUMIFS(INDEX(Inputs!$B$2:$AZ$190,,MATCH(SUBSTITUTE(AP$3,"Q","T"),Inputs!$B$2:$AZ$2,0)),Inputs!$B$2:$B$190,$B158)*Inputs!$D$1)</f>
        <v>0</v>
      </c>
      <c r="AQ158" s="72">
        <f>IF(ISNA(SUMIFS(INDEX(Inputs!$B$2:$AZ$190,,MATCH(SUBSTITUTE(AQ$3,"Q","T"),Inputs!$B$2:$AZ$2,0)),Inputs!$B$2:$B$190,$B158)*Inputs!$D$1),"",SUMIFS(INDEX(Inputs!$B$2:$AZ$190,,MATCH(SUBSTITUTE(AQ$3,"Q","T"),Inputs!$B$2:$AZ$2,0)),Inputs!$B$2:$B$190,$B158)*Inputs!$D$1)</f>
        <v>0</v>
      </c>
      <c r="AR158" s="73">
        <f>AQ158</f>
        <v>0</v>
      </c>
      <c r="AS158" s="72">
        <f>IF(ISNA(SUMIFS(INDEX(Inputs!$B$2:$AZ$190,,MATCH(SUBSTITUTE(AS$3,"Q","T"),Inputs!$B$2:$AZ$2,0)),Inputs!$B$2:$B$190,$B158)*Inputs!$D$1),"",SUMIFS(INDEX(Inputs!$B$2:$AZ$190,,MATCH(SUBSTITUTE(AS$3,"Q","T"),Inputs!$B$2:$AZ$2,0)),Inputs!$B$2:$B$190,$B158)*Inputs!$D$1)</f>
        <v>0</v>
      </c>
      <c r="AT158" s="72">
        <f>IF(ISNA(SUMIFS(INDEX(Inputs!$B$2:$AZ$190,,MATCH(SUBSTITUTE(AT$3,"Q","T"),Inputs!$B$2:$AZ$2,0)),Inputs!$B$2:$B$190,$B158)*Inputs!$D$1),"",SUMIFS(INDEX(Inputs!$B$2:$AZ$190,,MATCH(SUBSTITUTE(AT$3,"Q","T"),Inputs!$B$2:$AZ$2,0)),Inputs!$B$2:$B$190,$B158)*Inputs!$D$1)</f>
        <v>0</v>
      </c>
      <c r="AU158" s="72">
        <f>IF(ISNA(SUMIFS(INDEX(Inputs!$B$2:$AZ$190,,MATCH(SUBSTITUTE(AU$3,"Q","T"),Inputs!$B$2:$AZ$2,0)),Inputs!$B$2:$B$190,$B158)*Inputs!$D$1),"",SUMIFS(INDEX(Inputs!$B$2:$AZ$190,,MATCH(SUBSTITUTE(AU$3,"Q","T"),Inputs!$B$2:$AZ$2,0)),Inputs!$B$2:$B$190,$B158)*Inputs!$D$1)</f>
        <v>0</v>
      </c>
      <c r="AV158" s="72">
        <f>IF(ISNA(SUMIFS(INDEX(Inputs!$B$2:$AZ$190,,MATCH(SUBSTITUTE(AV$3,"Q","T"),Inputs!$B$2:$AZ$2,0)),Inputs!$B$2:$B$190,$B158)*Inputs!$D$1),"",SUMIFS(INDEX(Inputs!$B$2:$AZ$190,,MATCH(SUBSTITUTE(AV$3,"Q","T"),Inputs!$B$2:$AZ$2,0)),Inputs!$B$2:$B$190,$B158)*Inputs!$D$1)</f>
        <v>0</v>
      </c>
      <c r="AW158" s="73">
        <f>AV158</f>
        <v>0</v>
      </c>
      <c r="AX158" s="72">
        <f>IF(ISNA(SUMIFS(INDEX(Inputs!$B$2:$AZ$190,,MATCH(SUBSTITUTE(AX$3,"Q","T"),Inputs!$B$2:$AZ$2,0)),Inputs!$B$2:$B$190,$B158)*Inputs!$D$1),"",SUMIFS(INDEX(Inputs!$B$2:$AZ$190,,MATCH(SUBSTITUTE(AX$3,"Q","T"),Inputs!$B$2:$AZ$2,0)),Inputs!$B$2:$B$190,$B158)*Inputs!$D$1)</f>
        <v>0</v>
      </c>
      <c r="AY158" s="72">
        <f>IF(ISNA(SUMIFS(INDEX(Inputs!$B$2:$AZ$190,,MATCH(SUBSTITUTE(AY$3,"Q","T"),Inputs!$B$2:$AZ$2,0)),Inputs!$B$2:$B$190,$B158)*Inputs!$D$1),"",SUMIFS(INDEX(Inputs!$B$2:$AZ$190,,MATCH(SUBSTITUTE(AY$3,"Q","T"),Inputs!$B$2:$AZ$2,0)),Inputs!$B$2:$B$190,$B158)*Inputs!$D$1)</f>
        <v>0</v>
      </c>
      <c r="AZ158" s="72">
        <f>IF(ISNA(SUMIFS(INDEX(Inputs!$B$2:$AZ$190,,MATCH(SUBSTITUTE(AZ$3,"Q","T"),Inputs!$B$2:$AZ$2,0)),Inputs!$B$2:$B$190,$B158)*Inputs!$D$1),"",SUMIFS(INDEX(Inputs!$B$2:$AZ$190,,MATCH(SUBSTITUTE(AZ$3,"Q","T"),Inputs!$B$2:$AZ$2,0)),Inputs!$B$2:$B$190,$B158)*Inputs!$D$1)</f>
        <v>0</v>
      </c>
      <c r="BA158" s="72">
        <f>IF(ISNA(SUMIFS(INDEX(Inputs!$B$2:$AZ$190,,MATCH(SUBSTITUTE(BA$3,"Q","T"),Inputs!$B$2:$AZ$2,0)),Inputs!$B$2:$B$190,$B158)*Inputs!$D$1),"",SUMIFS(INDEX(Inputs!$B$2:$AZ$190,,MATCH(SUBSTITUTE(BA$3,"Q","T"),Inputs!$B$2:$AZ$2,0)),Inputs!$B$2:$B$190,$B158)*Inputs!$D$1)</f>
        <v>0</v>
      </c>
      <c r="BB158" s="73">
        <f>BA158</f>
        <v>0</v>
      </c>
      <c r="BC158" s="72">
        <f>IF(ISNA(SUMIFS(INDEX(Inputs!$B$2:$AZ$190,,MATCH(SUBSTITUTE(BC$3,"Q","T"),Inputs!$B$2:$AZ$2,0)),Inputs!$B$2:$B$190,$B158)*Inputs!$D$1),"",SUMIFS(INDEX(Inputs!$B$2:$AZ$190,,MATCH(SUBSTITUTE(BC$3,"Q","T"),Inputs!$B$2:$AZ$2,0)),Inputs!$B$2:$B$190,$B158)*Inputs!$D$1)</f>
        <v>0</v>
      </c>
      <c r="BD158" s="72">
        <f>IF(ISNA(SUMIFS(INDEX(Inputs!$B$2:$AZ$190,,MATCH(SUBSTITUTE(BD$3,"Q","T"),Inputs!$B$2:$AZ$2,0)),Inputs!$B$2:$B$190,$B158)*Inputs!$D$1),"",SUMIFS(INDEX(Inputs!$B$2:$AZ$190,,MATCH(SUBSTITUTE(BD$3,"Q","T"),Inputs!$B$2:$AZ$2,0)),Inputs!$B$2:$B$190,$B158)*Inputs!$D$1)</f>
        <v>0</v>
      </c>
      <c r="BE158" s="72">
        <f>IF(ISNA(SUMIFS(INDEX(Inputs!$B$2:$AZ$190,,MATCH(SUBSTITUTE(BE$3,"Q","T"),Inputs!$B$2:$AZ$2,0)),Inputs!$B$2:$B$190,$B158)*Inputs!$D$1),"",SUMIFS(INDEX(Inputs!$B$2:$AZ$190,,MATCH(SUBSTITUTE(BE$3,"Q","T"),Inputs!$B$2:$AZ$2,0)),Inputs!$B$2:$B$190,$B158)*Inputs!$D$1)</f>
        <v>0</v>
      </c>
      <c r="BF158" s="72">
        <f>IF(ISNA(SUMIFS(INDEX(Inputs!$B$2:$AZ$190,,MATCH(SUBSTITUTE(BF$3,"Q","T"),Inputs!$B$2:$AZ$2,0)),Inputs!$B$2:$B$190,$B158)*Inputs!$D$1),"",SUMIFS(INDEX(Inputs!$B$2:$AZ$190,,MATCH(SUBSTITUTE(BF$3,"Q","T"),Inputs!$B$2:$AZ$2,0)),Inputs!$B$2:$B$190,$B158)*Inputs!$D$1)</f>
        <v>0</v>
      </c>
      <c r="BG158" s="73">
        <f>BF158</f>
        <v>0</v>
      </c>
    </row>
    <row r="160">
      <c r="B160" s="29" t="n"/>
      <c r="C160" s="29" t="inlineStr">
        <is>
          <t>Dados operacionais</t>
        </is>
      </c>
      <c r="D160" s="29" t="inlineStr">
        <is>
          <t>Operating data</t>
        </is>
      </c>
      <c r="E160" s="29" t="n"/>
      <c r="F160" s="29" t="n"/>
      <c r="G160" s="29" t="n"/>
      <c r="H160" s="29" t="n"/>
      <c r="I160" s="29" t="n"/>
      <c r="J160" s="29" t="n"/>
      <c r="K160" s="29" t="n"/>
      <c r="L160" s="29" t="n"/>
      <c r="M160" s="29" t="n"/>
      <c r="N160" s="29" t="n"/>
      <c r="O160" s="29" t="n"/>
      <c r="P160" s="29" t="n"/>
      <c r="Q160" s="29" t="n"/>
      <c r="R160" s="29" t="n"/>
      <c r="S160" s="29" t="n"/>
      <c r="T160" s="29" t="n"/>
      <c r="U160" s="29" t="n"/>
      <c r="V160" s="29" t="n"/>
      <c r="W160" s="29" t="n"/>
      <c r="X160" s="29" t="n"/>
      <c r="Y160" s="29" t="n"/>
      <c r="Z160" s="29" t="n"/>
      <c r="AA160" s="29" t="n"/>
      <c r="AB160" s="29" t="n"/>
      <c r="AC160" s="29" t="n"/>
      <c r="AD160" s="29" t="n"/>
      <c r="AE160" s="29" t="n"/>
      <c r="AF160" s="29" t="n"/>
      <c r="AG160" s="29" t="n"/>
      <c r="AH160" s="29" t="n"/>
      <c r="AI160" s="29" t="n"/>
      <c r="AJ160" s="29" t="n"/>
      <c r="AK160" s="29" t="n"/>
      <c r="AL160" s="29" t="n"/>
      <c r="AM160" s="29" t="n"/>
      <c r="AN160" s="29" t="n"/>
      <c r="AO160" s="29" t="n"/>
      <c r="AP160" s="29" t="n"/>
      <c r="AQ160" s="29" t="n"/>
      <c r="AR160" s="29" t="n"/>
      <c r="AS160" s="29" t="n"/>
      <c r="AT160" s="29" t="n"/>
      <c r="AU160" s="29" t="n"/>
      <c r="AV160" s="29" t="n"/>
      <c r="AW160" s="29" t="n"/>
      <c r="AX160" s="29" t="n"/>
      <c r="AY160" s="29" t="n"/>
      <c r="AZ160" s="29" t="n"/>
      <c r="BA160" s="29" t="n"/>
      <c r="BB160" s="29" t="n"/>
      <c r="BC160" s="29" t="n"/>
      <c r="BD160" s="29" t="n"/>
      <c r="BE160" s="29" t="n"/>
      <c r="BF160" s="29" t="n"/>
      <c r="BG160" s="29" t="n"/>
      <c r="BH160" s="29" t="n"/>
      <c r="BI160" s="29" t="n"/>
    </row>
    <row r="161">
      <c r="B161" s="56" t="inlineStr">
        <is>
          <t>headcount</t>
        </is>
      </c>
      <c r="C161" s="11" t="inlineStr">
        <is>
          <t>Número de funcionários</t>
        </is>
      </c>
      <c r="D161" s="12" t="inlineStr">
        <is>
          <t>Headcount</t>
        </is>
      </c>
      <c r="E161" s="57">
        <f>IF(ISNA(SUMIFS(INDEX(Inputs!$B$2:$AZ$190,,MATCH(SUBSTITUTE(E$3,"Q","T"),Inputs!$B$2:$AZ$2,0)),Inputs!$B$2:$B$190,$B161)*Inputs!$D$1),"",SUMIFS(INDEX(Inputs!$B$2:$AZ$190,,MATCH(SUBSTITUTE(E$3,"Q","T"),Inputs!$B$2:$AZ$2,0)),Inputs!$B$2:$B$190,$B161)*Inputs!$D$1)</f>
        <v>0</v>
      </c>
      <c r="F161" s="57">
        <f>IF(ISNA(SUMIFS(INDEX(Inputs!$B$2:$AZ$190,,MATCH(SUBSTITUTE(F$3,"Q","T"),Inputs!$B$2:$AZ$2,0)),Inputs!$B$2:$B$190,$B161)*Inputs!$D$1),"",SUMIFS(INDEX(Inputs!$B$2:$AZ$190,,MATCH(SUBSTITUTE(F$3,"Q","T"),Inputs!$B$2:$AZ$2,0)),Inputs!$B$2:$B$190,$B161)*Inputs!$D$1)</f>
        <v>0</v>
      </c>
      <c r="G161" s="57">
        <f>IF(ISNA(SUMIFS(INDEX(Inputs!$B$2:$AZ$190,,MATCH(SUBSTITUTE(G$3,"Q","T"),Inputs!$B$2:$AZ$2,0)),Inputs!$B$2:$B$190,$B161)*Inputs!$D$1),"",SUMIFS(INDEX(Inputs!$B$2:$AZ$190,,MATCH(SUBSTITUTE(G$3,"Q","T"),Inputs!$B$2:$AZ$2,0)),Inputs!$B$2:$B$190,$B161)*Inputs!$D$1)</f>
        <v>0</v>
      </c>
      <c r="H161" s="57">
        <f>IF(ISNA(SUMIFS(INDEX(Inputs!$B$2:$AZ$190,,MATCH(SUBSTITUTE(H$3,"Q","T"),Inputs!$B$2:$AZ$2,0)),Inputs!$B$2:$B$190,$B161)*Inputs!$D$1),"",SUMIFS(INDEX(Inputs!$B$2:$AZ$190,,MATCH(SUBSTITUTE(H$3,"Q","T"),Inputs!$B$2:$AZ$2,0)),Inputs!$B$2:$B$190,$B161)*Inputs!$D$1)</f>
        <v>0</v>
      </c>
      <c r="I161" s="58">
        <f>H161</f>
        <v>0</v>
      </c>
      <c r="J161" s="57">
        <f>IF(ISNA(SUMIFS(INDEX(Inputs!$B$2:$AZ$190,,MATCH(SUBSTITUTE(J$3,"Q","T"),Inputs!$B$2:$AZ$2,0)),Inputs!$B$2:$B$190,$B161)*Inputs!$D$1),"",SUMIFS(INDEX(Inputs!$B$2:$AZ$190,,MATCH(SUBSTITUTE(J$3,"Q","T"),Inputs!$B$2:$AZ$2,0)),Inputs!$B$2:$B$190,$B161)*Inputs!$D$1)</f>
        <v>0</v>
      </c>
      <c r="K161" s="57">
        <f>IF(ISNA(SUMIFS(INDEX(Inputs!$B$2:$AZ$190,,MATCH(SUBSTITUTE(K$3,"Q","T"),Inputs!$B$2:$AZ$2,0)),Inputs!$B$2:$B$190,$B161)*Inputs!$D$1),"",SUMIFS(INDEX(Inputs!$B$2:$AZ$190,,MATCH(SUBSTITUTE(K$3,"Q","T"),Inputs!$B$2:$AZ$2,0)),Inputs!$B$2:$B$190,$B161)*Inputs!$D$1)</f>
        <v>0</v>
      </c>
      <c r="L161" s="57">
        <f>IF(ISNA(SUMIFS(INDEX(Inputs!$B$2:$AZ$190,,MATCH(SUBSTITUTE(L$3,"Q","T"),Inputs!$B$2:$AZ$2,0)),Inputs!$B$2:$B$190,$B161)*Inputs!$D$1),"",SUMIFS(INDEX(Inputs!$B$2:$AZ$190,,MATCH(SUBSTITUTE(L$3,"Q","T"),Inputs!$B$2:$AZ$2,0)),Inputs!$B$2:$B$190,$B161)*Inputs!$D$1)</f>
        <v>0</v>
      </c>
      <c r="M161" s="57">
        <f>IF(ISNA(SUMIFS(INDEX(Inputs!$B$2:$AZ$190,,MATCH(SUBSTITUTE(M$3,"Q","T"),Inputs!$B$2:$AZ$2,0)),Inputs!$B$2:$B$190,$B161)*Inputs!$D$1),"",SUMIFS(INDEX(Inputs!$B$2:$AZ$190,,MATCH(SUBSTITUTE(M$3,"Q","T"),Inputs!$B$2:$AZ$2,0)),Inputs!$B$2:$B$190,$B161)*Inputs!$D$1)</f>
        <v>0</v>
      </c>
      <c r="N161" s="58">
        <f>M161</f>
        <v>0</v>
      </c>
      <c r="O161" s="57">
        <f>IF(ISNA(SUMIFS(INDEX(Inputs!$B$2:$AZ$190,,MATCH(SUBSTITUTE(O$3,"Q","T"),Inputs!$B$2:$AZ$2,0)),Inputs!$B$2:$B$190,$B161)*Inputs!$D$1),"",SUMIFS(INDEX(Inputs!$B$2:$AZ$190,,MATCH(SUBSTITUTE(O$3,"Q","T"),Inputs!$B$2:$AZ$2,0)),Inputs!$B$2:$B$190,$B161)*Inputs!$D$1)</f>
        <v>0</v>
      </c>
      <c r="P161" s="57">
        <f>IF(ISNA(SUMIFS(INDEX(Inputs!$B$2:$AZ$190,,MATCH(SUBSTITUTE(P$3,"Q","T"),Inputs!$B$2:$AZ$2,0)),Inputs!$B$2:$B$190,$B161)*Inputs!$D$1),"",SUMIFS(INDEX(Inputs!$B$2:$AZ$190,,MATCH(SUBSTITUTE(P$3,"Q","T"),Inputs!$B$2:$AZ$2,0)),Inputs!$B$2:$B$190,$B161)*Inputs!$D$1)</f>
        <v>0</v>
      </c>
      <c r="Q161" s="57">
        <f>IF(ISNA(SUMIFS(INDEX(Inputs!$B$2:$AZ$190,,MATCH(SUBSTITUTE(Q$3,"Q","T"),Inputs!$B$2:$AZ$2,0)),Inputs!$B$2:$B$190,$B161)*Inputs!$D$1),"",SUMIFS(INDEX(Inputs!$B$2:$AZ$190,,MATCH(SUBSTITUTE(Q$3,"Q","T"),Inputs!$B$2:$AZ$2,0)),Inputs!$B$2:$B$190,$B161)*Inputs!$D$1)</f>
        <v>0</v>
      </c>
      <c r="R161" s="57">
        <f>IF(ISNA(SUMIFS(INDEX(Inputs!$B$2:$AZ$190,,MATCH(SUBSTITUTE(R$3,"Q","T"),Inputs!$B$2:$AZ$2,0)),Inputs!$B$2:$B$190,$B161)*Inputs!$D$1),"",SUMIFS(INDEX(Inputs!$B$2:$AZ$190,,MATCH(SUBSTITUTE(R$3,"Q","T"),Inputs!$B$2:$AZ$2,0)),Inputs!$B$2:$B$190,$B161)*Inputs!$D$1)</f>
        <v>0</v>
      </c>
      <c r="S161" s="58">
        <f>R161</f>
        <v>0</v>
      </c>
      <c r="T161" s="57">
        <f>IF(ISNA(SUMIFS(INDEX(Inputs!$B$2:$AZ$190,,MATCH(SUBSTITUTE(T$3,"Q","T"),Inputs!$B$2:$AZ$2,0)),Inputs!$B$2:$B$190,$B161)*Inputs!$D$1),"",SUMIFS(INDEX(Inputs!$B$2:$AZ$190,,MATCH(SUBSTITUTE(T$3,"Q","T"),Inputs!$B$2:$AZ$2,0)),Inputs!$B$2:$B$190,$B161)*Inputs!$D$1)</f>
        <v>0</v>
      </c>
      <c r="U161" s="57">
        <f>IF(ISNA(SUMIFS(INDEX(Inputs!$B$2:$AZ$190,,MATCH(SUBSTITUTE(U$3,"Q","T"),Inputs!$B$2:$AZ$2,0)),Inputs!$B$2:$B$190,$B161)*Inputs!$D$1),"",SUMIFS(INDEX(Inputs!$B$2:$AZ$190,,MATCH(SUBSTITUTE(U$3,"Q","T"),Inputs!$B$2:$AZ$2,0)),Inputs!$B$2:$B$190,$B161)*Inputs!$D$1)</f>
        <v>0</v>
      </c>
      <c r="V161" s="57">
        <f>IF(ISNA(SUMIFS(INDEX(Inputs!$B$2:$AZ$190,,MATCH(SUBSTITUTE(V$3,"Q","T"),Inputs!$B$2:$AZ$2,0)),Inputs!$B$2:$B$190,$B161)*Inputs!$D$1),"",SUMIFS(INDEX(Inputs!$B$2:$AZ$190,,MATCH(SUBSTITUTE(V$3,"Q","T"),Inputs!$B$2:$AZ$2,0)),Inputs!$B$2:$B$190,$B161)*Inputs!$D$1)</f>
        <v>0</v>
      </c>
      <c r="W161" s="57">
        <f>IF(ISNA(SUMIFS(INDEX(Inputs!$B$2:$AZ$190,,MATCH(SUBSTITUTE(W$3,"Q","T"),Inputs!$B$2:$AZ$2,0)),Inputs!$B$2:$B$190,$B161)*Inputs!$D$1),"",SUMIFS(INDEX(Inputs!$B$2:$AZ$190,,MATCH(SUBSTITUTE(W$3,"Q","T"),Inputs!$B$2:$AZ$2,0)),Inputs!$B$2:$B$190,$B161)*Inputs!$D$1)</f>
        <v>0</v>
      </c>
      <c r="X161" s="58">
        <f>W161</f>
        <v>0</v>
      </c>
      <c r="Y161" s="57">
        <f>IF(ISNA(SUMIFS(INDEX(Inputs!$B$2:$AZ$190,,MATCH(SUBSTITUTE(Y$3,"Q","T"),Inputs!$B$2:$AZ$2,0)),Inputs!$B$2:$B$190,$B161)*Inputs!$D$1),"",SUMIFS(INDEX(Inputs!$B$2:$AZ$190,,MATCH(SUBSTITUTE(Y$3,"Q","T"),Inputs!$B$2:$AZ$2,0)),Inputs!$B$2:$B$190,$B161)*Inputs!$D$1)</f>
        <v>0</v>
      </c>
      <c r="Z161" s="57">
        <f>IF(ISNA(SUMIFS(INDEX(Inputs!$B$2:$AZ$190,,MATCH(SUBSTITUTE(Z$3,"Q","T"),Inputs!$B$2:$AZ$2,0)),Inputs!$B$2:$B$190,$B161)*Inputs!$D$1),"",SUMIFS(INDEX(Inputs!$B$2:$AZ$190,,MATCH(SUBSTITUTE(Z$3,"Q","T"),Inputs!$B$2:$AZ$2,0)),Inputs!$B$2:$B$190,$B161)*Inputs!$D$1)</f>
        <v>0</v>
      </c>
      <c r="AA161" s="57">
        <f>IF(ISNA(SUMIFS(INDEX(Inputs!$B$2:$AZ$190,,MATCH(SUBSTITUTE(AA$3,"Q","T"),Inputs!$B$2:$AZ$2,0)),Inputs!$B$2:$B$190,$B161)*Inputs!$D$1),"",SUMIFS(INDEX(Inputs!$B$2:$AZ$190,,MATCH(SUBSTITUTE(AA$3,"Q","T"),Inputs!$B$2:$AZ$2,0)),Inputs!$B$2:$B$190,$B161)*Inputs!$D$1)</f>
        <v>0</v>
      </c>
      <c r="AB161" s="57">
        <f>IF(ISNA(SUMIFS(INDEX(Inputs!$B$2:$AZ$190,,MATCH(SUBSTITUTE(AB$3,"Q","T"),Inputs!$B$2:$AZ$2,0)),Inputs!$B$2:$B$190,$B161)*Inputs!$D$1),"",SUMIFS(INDEX(Inputs!$B$2:$AZ$190,,MATCH(SUBSTITUTE(AB$3,"Q","T"),Inputs!$B$2:$AZ$2,0)),Inputs!$B$2:$B$190,$B161)*Inputs!$D$1)</f>
        <v>0</v>
      </c>
      <c r="AC161" s="58">
        <f>AB161</f>
        <v>0</v>
      </c>
      <c r="AD161" s="57">
        <f>IF(ISNA(SUMIFS(INDEX(Inputs!$B$2:$AZ$190,,MATCH(SUBSTITUTE(AD$3,"Q","T"),Inputs!$B$2:$AZ$2,0)),Inputs!$B$2:$B$190,$B161)*Inputs!$D$1),"",SUMIFS(INDEX(Inputs!$B$2:$AZ$190,,MATCH(SUBSTITUTE(AD$3,"Q","T"),Inputs!$B$2:$AZ$2,0)),Inputs!$B$2:$B$190,$B161)*Inputs!$D$1)</f>
        <v>0</v>
      </c>
      <c r="AE161" s="57">
        <f>IF(ISNA(SUMIFS(INDEX(Inputs!$B$2:$AZ$190,,MATCH(SUBSTITUTE(AE$3,"Q","T"),Inputs!$B$2:$AZ$2,0)),Inputs!$B$2:$B$190,$B161)*Inputs!$D$1),"",SUMIFS(INDEX(Inputs!$B$2:$AZ$190,,MATCH(SUBSTITUTE(AE$3,"Q","T"),Inputs!$B$2:$AZ$2,0)),Inputs!$B$2:$B$190,$B161)*Inputs!$D$1)</f>
        <v>0</v>
      </c>
      <c r="AF161" s="57">
        <f>IF(ISNA(SUMIFS(INDEX(Inputs!$B$2:$AZ$190,,MATCH(SUBSTITUTE(AF$3,"Q","T"),Inputs!$B$2:$AZ$2,0)),Inputs!$B$2:$B$190,$B161)*Inputs!$D$1),"",SUMIFS(INDEX(Inputs!$B$2:$AZ$190,,MATCH(SUBSTITUTE(AF$3,"Q","T"),Inputs!$B$2:$AZ$2,0)),Inputs!$B$2:$B$190,$B161)*Inputs!$D$1)</f>
        <v>0</v>
      </c>
      <c r="AG161" s="57">
        <f>IF(ISNA(SUMIFS(INDEX(Inputs!$B$2:$AZ$190,,MATCH(SUBSTITUTE(AG$3,"Q","T"),Inputs!$B$2:$AZ$2,0)),Inputs!$B$2:$B$190,$B161)*Inputs!$D$1),"",SUMIFS(INDEX(Inputs!$B$2:$AZ$190,,MATCH(SUBSTITUTE(AG$3,"Q","T"),Inputs!$B$2:$AZ$2,0)),Inputs!$B$2:$B$190,$B161)*Inputs!$D$1)</f>
        <v>0</v>
      </c>
      <c r="AH161" s="58">
        <f>AG161</f>
        <v>0</v>
      </c>
      <c r="AI161" s="57">
        <f>IF(ISNA(SUMIFS(INDEX(Inputs!$B$2:$AZ$190,,MATCH(SUBSTITUTE(AI$3,"Q","T"),Inputs!$B$2:$AZ$2,0)),Inputs!$B$2:$B$190,$B161)*Inputs!$D$1),"",SUMIFS(INDEX(Inputs!$B$2:$AZ$190,,MATCH(SUBSTITUTE(AI$3,"Q","T"),Inputs!$B$2:$AZ$2,0)),Inputs!$B$2:$B$190,$B161)*Inputs!$D$1)</f>
        <v>0</v>
      </c>
      <c r="AJ161" s="57">
        <f>IF(ISNA(SUMIFS(INDEX(Inputs!$B$2:$AZ$190,,MATCH(SUBSTITUTE(AJ$3,"Q","T"),Inputs!$B$2:$AZ$2,0)),Inputs!$B$2:$B$190,$B161)*Inputs!$D$1),"",SUMIFS(INDEX(Inputs!$B$2:$AZ$190,,MATCH(SUBSTITUTE(AJ$3,"Q","T"),Inputs!$B$2:$AZ$2,0)),Inputs!$B$2:$B$190,$B161)*Inputs!$D$1)</f>
        <v>0</v>
      </c>
      <c r="AK161" s="57">
        <f>IF(ISNA(SUMIFS(INDEX(Inputs!$B$2:$AZ$190,,MATCH(SUBSTITUTE(AK$3,"Q","T"),Inputs!$B$2:$AZ$2,0)),Inputs!$B$2:$B$190,$B161)*Inputs!$D$1),"",SUMIFS(INDEX(Inputs!$B$2:$AZ$190,,MATCH(SUBSTITUTE(AK$3,"Q","T"),Inputs!$B$2:$AZ$2,0)),Inputs!$B$2:$B$190,$B161)*Inputs!$D$1)</f>
        <v>0</v>
      </c>
      <c r="AL161" s="57">
        <f>IF(ISNA(SUMIFS(INDEX(Inputs!$B$2:$AZ$190,,MATCH(SUBSTITUTE(AL$3,"Q","T"),Inputs!$B$2:$AZ$2,0)),Inputs!$B$2:$B$190,$B161)*Inputs!$D$1),"",SUMIFS(INDEX(Inputs!$B$2:$AZ$190,,MATCH(SUBSTITUTE(AL$3,"Q","T"),Inputs!$B$2:$AZ$2,0)),Inputs!$B$2:$B$190,$B161)*Inputs!$D$1)</f>
        <v>0</v>
      </c>
      <c r="AM161" s="58">
        <f>AL161</f>
        <v>0</v>
      </c>
      <c r="AN161" s="57">
        <f>IF(ISNA(SUMIFS(INDEX(Inputs!$B$2:$AZ$190,,MATCH(SUBSTITUTE(AN$3,"Q","T"),Inputs!$B$2:$AZ$2,0)),Inputs!$B$2:$B$190,$B161)*Inputs!$D$1),"",SUMIFS(INDEX(Inputs!$B$2:$AZ$190,,MATCH(SUBSTITUTE(AN$3,"Q","T"),Inputs!$B$2:$AZ$2,0)),Inputs!$B$2:$B$190,$B161)*Inputs!$D$1)</f>
        <v>0</v>
      </c>
      <c r="AO161" s="57">
        <f>IF(ISNA(SUMIFS(INDEX(Inputs!$B$2:$AZ$190,,MATCH(SUBSTITUTE(AO$3,"Q","T"),Inputs!$B$2:$AZ$2,0)),Inputs!$B$2:$B$190,$B161)*Inputs!$D$1),"",SUMIFS(INDEX(Inputs!$B$2:$AZ$190,,MATCH(SUBSTITUTE(AO$3,"Q","T"),Inputs!$B$2:$AZ$2,0)),Inputs!$B$2:$B$190,$B161)*Inputs!$D$1)</f>
        <v>0</v>
      </c>
      <c r="AP161" s="57">
        <f>IF(ISNA(SUMIFS(INDEX(Inputs!$B$2:$AZ$190,,MATCH(SUBSTITUTE(AP$3,"Q","T"),Inputs!$B$2:$AZ$2,0)),Inputs!$B$2:$B$190,$B161)*Inputs!$D$1),"",SUMIFS(INDEX(Inputs!$B$2:$AZ$190,,MATCH(SUBSTITUTE(AP$3,"Q","T"),Inputs!$B$2:$AZ$2,0)),Inputs!$B$2:$B$190,$B161)*Inputs!$D$1)</f>
        <v>0</v>
      </c>
      <c r="AQ161" s="57">
        <f>IF(ISNA(SUMIFS(INDEX(Inputs!$B$2:$AZ$190,,MATCH(SUBSTITUTE(AQ$3,"Q","T"),Inputs!$B$2:$AZ$2,0)),Inputs!$B$2:$B$190,$B161)*Inputs!$D$1),"",SUMIFS(INDEX(Inputs!$B$2:$AZ$190,,MATCH(SUBSTITUTE(AQ$3,"Q","T"),Inputs!$B$2:$AZ$2,0)),Inputs!$B$2:$B$190,$B161)*Inputs!$D$1)</f>
        <v>0</v>
      </c>
      <c r="AR161" s="58">
        <f>AQ161</f>
        <v>0</v>
      </c>
      <c r="AS161" s="57">
        <f>IF(ISNA(SUMIFS(INDEX(Inputs!$B$2:$AZ$190,,MATCH(SUBSTITUTE(AS$3,"Q","T"),Inputs!$B$2:$AZ$2,0)),Inputs!$B$2:$B$190,$B161)*Inputs!$D$1),"",SUMIFS(INDEX(Inputs!$B$2:$AZ$190,,MATCH(SUBSTITUTE(AS$3,"Q","T"),Inputs!$B$2:$AZ$2,0)),Inputs!$B$2:$B$190,$B161)*Inputs!$D$1)</f>
        <v>0</v>
      </c>
      <c r="AT161" s="57">
        <f>IF(ISNA(SUMIFS(INDEX(Inputs!$B$2:$AZ$190,,MATCH(SUBSTITUTE(AT$3,"Q","T"),Inputs!$B$2:$AZ$2,0)),Inputs!$B$2:$B$190,$B161)*Inputs!$D$1),"",SUMIFS(INDEX(Inputs!$B$2:$AZ$190,,MATCH(SUBSTITUTE(AT$3,"Q","T"),Inputs!$B$2:$AZ$2,0)),Inputs!$B$2:$B$190,$B161)*Inputs!$D$1)</f>
        <v>0</v>
      </c>
      <c r="AU161" s="57">
        <f>IF(ISNA(SUMIFS(INDEX(Inputs!$B$2:$AZ$190,,MATCH(SUBSTITUTE(AU$3,"Q","T"),Inputs!$B$2:$AZ$2,0)),Inputs!$B$2:$B$190,$B161)*Inputs!$D$1),"",SUMIFS(INDEX(Inputs!$B$2:$AZ$190,,MATCH(SUBSTITUTE(AU$3,"Q","T"),Inputs!$B$2:$AZ$2,0)),Inputs!$B$2:$B$190,$B161)*Inputs!$D$1)</f>
        <v>0</v>
      </c>
      <c r="AV161" s="57">
        <f>IF(ISNA(SUMIFS(INDEX(Inputs!$B$2:$AZ$190,,MATCH(SUBSTITUTE(AV$3,"Q","T"),Inputs!$B$2:$AZ$2,0)),Inputs!$B$2:$B$190,$B161)*Inputs!$D$1),"",SUMIFS(INDEX(Inputs!$B$2:$AZ$190,,MATCH(SUBSTITUTE(AV$3,"Q","T"),Inputs!$B$2:$AZ$2,0)),Inputs!$B$2:$B$190,$B161)*Inputs!$D$1)</f>
        <v>0</v>
      </c>
      <c r="AW161" s="58">
        <f>AV161</f>
        <v>0</v>
      </c>
      <c r="AX161" s="57">
        <f>IF(ISNA(SUMIFS(INDEX(Inputs!$B$2:$AZ$190,,MATCH(SUBSTITUTE(AX$3,"Q","T"),Inputs!$B$2:$AZ$2,0)),Inputs!$B$2:$B$190,$B161)*Inputs!$D$1),"",SUMIFS(INDEX(Inputs!$B$2:$AZ$190,,MATCH(SUBSTITUTE(AX$3,"Q","T"),Inputs!$B$2:$AZ$2,0)),Inputs!$B$2:$B$190,$B161)*Inputs!$D$1)</f>
        <v>0</v>
      </c>
      <c r="AY161" s="57">
        <f>IF(ISNA(SUMIFS(INDEX(Inputs!$B$2:$AZ$190,,MATCH(SUBSTITUTE(AY$3,"Q","T"),Inputs!$B$2:$AZ$2,0)),Inputs!$B$2:$B$190,$B161)*Inputs!$D$1),"",SUMIFS(INDEX(Inputs!$B$2:$AZ$190,,MATCH(SUBSTITUTE(AY$3,"Q","T"),Inputs!$B$2:$AZ$2,0)),Inputs!$B$2:$B$190,$B161)*Inputs!$D$1)</f>
        <v>0</v>
      </c>
      <c r="AZ161" s="57">
        <f>IF(ISNA(SUMIFS(INDEX(Inputs!$B$2:$AZ$190,,MATCH(SUBSTITUTE(AZ$3,"Q","T"),Inputs!$B$2:$AZ$2,0)),Inputs!$B$2:$B$190,$B161)*Inputs!$D$1),"",SUMIFS(INDEX(Inputs!$B$2:$AZ$190,,MATCH(SUBSTITUTE(AZ$3,"Q","T"),Inputs!$B$2:$AZ$2,0)),Inputs!$B$2:$B$190,$B161)*Inputs!$D$1)</f>
        <v>0</v>
      </c>
      <c r="BA161" s="57">
        <f>IF(ISNA(SUMIFS(INDEX(Inputs!$B$2:$AZ$190,,MATCH(SUBSTITUTE(BA$3,"Q","T"),Inputs!$B$2:$AZ$2,0)),Inputs!$B$2:$B$190,$B161)*Inputs!$D$1),"",SUMIFS(INDEX(Inputs!$B$2:$AZ$190,,MATCH(SUBSTITUTE(BA$3,"Q","T"),Inputs!$B$2:$AZ$2,0)),Inputs!$B$2:$B$190,$B161)*Inputs!$D$1)</f>
        <v>0</v>
      </c>
      <c r="BB161" s="58">
        <f>BA161</f>
        <v>0</v>
      </c>
      <c r="BC161" s="57">
        <f>IF(ISNA(SUMIFS(INDEX(Inputs!$B$2:$AZ$190,,MATCH(SUBSTITUTE(BC$3,"Q","T"),Inputs!$B$2:$AZ$2,0)),Inputs!$B$2:$B$190,$B161)*Inputs!$D$1),"",SUMIFS(INDEX(Inputs!$B$2:$AZ$190,,MATCH(SUBSTITUTE(BC$3,"Q","T"),Inputs!$B$2:$AZ$2,0)),Inputs!$B$2:$B$190,$B161)*Inputs!$D$1)</f>
        <v>0</v>
      </c>
      <c r="BD161" s="57">
        <f>IF(ISNA(SUMIFS(INDEX(Inputs!$B$2:$AZ$190,,MATCH(SUBSTITUTE(BD$3,"Q","T"),Inputs!$B$2:$AZ$2,0)),Inputs!$B$2:$B$190,$B161)*Inputs!$D$1),"",SUMIFS(INDEX(Inputs!$B$2:$AZ$190,,MATCH(SUBSTITUTE(BD$3,"Q","T"),Inputs!$B$2:$AZ$2,0)),Inputs!$B$2:$B$190,$B161)*Inputs!$D$1)</f>
        <v>0</v>
      </c>
      <c r="BE161" s="57">
        <f>IF(ISNA(SUMIFS(INDEX(Inputs!$B$2:$AZ$190,,MATCH(SUBSTITUTE(BE$3,"Q","T"),Inputs!$B$2:$AZ$2,0)),Inputs!$B$2:$B$190,$B161)*Inputs!$D$1),"",SUMIFS(INDEX(Inputs!$B$2:$AZ$190,,MATCH(SUBSTITUTE(BE$3,"Q","T"),Inputs!$B$2:$AZ$2,0)),Inputs!$B$2:$B$190,$B161)*Inputs!$D$1)</f>
        <v>0</v>
      </c>
      <c r="BF161" s="57">
        <f>IF(ISNA(SUMIFS(INDEX(Inputs!$B$2:$AZ$190,,MATCH(SUBSTITUTE(BF$3,"Q","T"),Inputs!$B$2:$AZ$2,0)),Inputs!$B$2:$B$190,$B161)*Inputs!$D$1),"",SUMIFS(INDEX(Inputs!$B$2:$AZ$190,,MATCH(SUBSTITUTE(BF$3,"Q","T"),Inputs!$B$2:$AZ$2,0)),Inputs!$B$2:$B$190,$B161)*Inputs!$D$1)</f>
        <v>0</v>
      </c>
      <c r="BG161" s="58">
        <f>BF161</f>
        <v>0</v>
      </c>
    </row>
    <row r="162">
      <c r="B162" s="56" t="inlineStr">
        <is>
          <t>branches</t>
        </is>
      </c>
      <c r="C162" s="11" t="inlineStr">
        <is>
          <t>Número de agências</t>
        </is>
      </c>
      <c r="D162" s="12" t="inlineStr">
        <is>
          <t>Branches</t>
        </is>
      </c>
      <c r="E162" s="57">
        <f>IF(ISNA(SUMIFS(INDEX(Inputs!$B$2:$AZ$190,,MATCH(SUBSTITUTE(E$3,"Q","T"),Inputs!$B$2:$AZ$2,0)),Inputs!$B$2:$B$190,$B162)*Inputs!$D$1),"",SUMIFS(INDEX(Inputs!$B$2:$AZ$190,,MATCH(SUBSTITUTE(E$3,"Q","T"),Inputs!$B$2:$AZ$2,0)),Inputs!$B$2:$B$190,$B162)*Inputs!$D$1)</f>
        <v>0</v>
      </c>
      <c r="F162" s="57">
        <f>IF(ISNA(SUMIFS(INDEX(Inputs!$B$2:$AZ$190,,MATCH(SUBSTITUTE(F$3,"Q","T"),Inputs!$B$2:$AZ$2,0)),Inputs!$B$2:$B$190,$B162)*Inputs!$D$1),"",SUMIFS(INDEX(Inputs!$B$2:$AZ$190,,MATCH(SUBSTITUTE(F$3,"Q","T"),Inputs!$B$2:$AZ$2,0)),Inputs!$B$2:$B$190,$B162)*Inputs!$D$1)</f>
        <v>0</v>
      </c>
      <c r="G162" s="57">
        <f>IF(ISNA(SUMIFS(INDEX(Inputs!$B$2:$AZ$190,,MATCH(SUBSTITUTE(G$3,"Q","T"),Inputs!$B$2:$AZ$2,0)),Inputs!$B$2:$B$190,$B162)*Inputs!$D$1),"",SUMIFS(INDEX(Inputs!$B$2:$AZ$190,,MATCH(SUBSTITUTE(G$3,"Q","T"),Inputs!$B$2:$AZ$2,0)),Inputs!$B$2:$B$190,$B162)*Inputs!$D$1)</f>
        <v>0</v>
      </c>
      <c r="H162" s="57">
        <f>IF(ISNA(SUMIFS(INDEX(Inputs!$B$2:$AZ$190,,MATCH(SUBSTITUTE(H$3,"Q","T"),Inputs!$B$2:$AZ$2,0)),Inputs!$B$2:$B$190,$B162)*Inputs!$D$1),"",SUMIFS(INDEX(Inputs!$B$2:$AZ$190,,MATCH(SUBSTITUTE(H$3,"Q","T"),Inputs!$B$2:$AZ$2,0)),Inputs!$B$2:$B$190,$B162)*Inputs!$D$1)</f>
        <v>0</v>
      </c>
      <c r="I162" s="58">
        <f>H162</f>
        <v>0</v>
      </c>
      <c r="J162" s="57">
        <f>IF(ISNA(SUMIFS(INDEX(Inputs!$B$2:$AZ$190,,MATCH(SUBSTITUTE(J$3,"Q","T"),Inputs!$B$2:$AZ$2,0)),Inputs!$B$2:$B$190,$B162)*Inputs!$D$1),"",SUMIFS(INDEX(Inputs!$B$2:$AZ$190,,MATCH(SUBSTITUTE(J$3,"Q","T"),Inputs!$B$2:$AZ$2,0)),Inputs!$B$2:$B$190,$B162)*Inputs!$D$1)</f>
        <v>0</v>
      </c>
      <c r="K162" s="57">
        <f>IF(ISNA(SUMIFS(INDEX(Inputs!$B$2:$AZ$190,,MATCH(SUBSTITUTE(K$3,"Q","T"),Inputs!$B$2:$AZ$2,0)),Inputs!$B$2:$B$190,$B162)*Inputs!$D$1),"",SUMIFS(INDEX(Inputs!$B$2:$AZ$190,,MATCH(SUBSTITUTE(K$3,"Q","T"),Inputs!$B$2:$AZ$2,0)),Inputs!$B$2:$B$190,$B162)*Inputs!$D$1)</f>
        <v>0</v>
      </c>
      <c r="L162" s="57">
        <f>IF(ISNA(SUMIFS(INDEX(Inputs!$B$2:$AZ$190,,MATCH(SUBSTITUTE(L$3,"Q","T"),Inputs!$B$2:$AZ$2,0)),Inputs!$B$2:$B$190,$B162)*Inputs!$D$1),"",SUMIFS(INDEX(Inputs!$B$2:$AZ$190,,MATCH(SUBSTITUTE(L$3,"Q","T"),Inputs!$B$2:$AZ$2,0)),Inputs!$B$2:$B$190,$B162)*Inputs!$D$1)</f>
        <v>0</v>
      </c>
      <c r="M162" s="57">
        <f>IF(ISNA(SUMIFS(INDEX(Inputs!$B$2:$AZ$190,,MATCH(SUBSTITUTE(M$3,"Q","T"),Inputs!$B$2:$AZ$2,0)),Inputs!$B$2:$B$190,$B162)*Inputs!$D$1),"",SUMIFS(INDEX(Inputs!$B$2:$AZ$190,,MATCH(SUBSTITUTE(M$3,"Q","T"),Inputs!$B$2:$AZ$2,0)),Inputs!$B$2:$B$190,$B162)*Inputs!$D$1)</f>
        <v>0</v>
      </c>
      <c r="N162" s="58">
        <f>M162</f>
        <v>0</v>
      </c>
      <c r="O162" s="57">
        <f>IF(ISNA(SUMIFS(INDEX(Inputs!$B$2:$AZ$190,,MATCH(SUBSTITUTE(O$3,"Q","T"),Inputs!$B$2:$AZ$2,0)),Inputs!$B$2:$B$190,$B162)*Inputs!$D$1),"",SUMIFS(INDEX(Inputs!$B$2:$AZ$190,,MATCH(SUBSTITUTE(O$3,"Q","T"),Inputs!$B$2:$AZ$2,0)),Inputs!$B$2:$B$190,$B162)*Inputs!$D$1)</f>
        <v>0</v>
      </c>
      <c r="P162" s="57">
        <f>IF(ISNA(SUMIFS(INDEX(Inputs!$B$2:$AZ$190,,MATCH(SUBSTITUTE(P$3,"Q","T"),Inputs!$B$2:$AZ$2,0)),Inputs!$B$2:$B$190,$B162)*Inputs!$D$1),"",SUMIFS(INDEX(Inputs!$B$2:$AZ$190,,MATCH(SUBSTITUTE(P$3,"Q","T"),Inputs!$B$2:$AZ$2,0)),Inputs!$B$2:$B$190,$B162)*Inputs!$D$1)</f>
        <v>0</v>
      </c>
      <c r="Q162" s="57">
        <f>IF(ISNA(SUMIFS(INDEX(Inputs!$B$2:$AZ$190,,MATCH(SUBSTITUTE(Q$3,"Q","T"),Inputs!$B$2:$AZ$2,0)),Inputs!$B$2:$B$190,$B162)*Inputs!$D$1),"",SUMIFS(INDEX(Inputs!$B$2:$AZ$190,,MATCH(SUBSTITUTE(Q$3,"Q","T"),Inputs!$B$2:$AZ$2,0)),Inputs!$B$2:$B$190,$B162)*Inputs!$D$1)</f>
        <v>0</v>
      </c>
      <c r="R162" s="57">
        <f>IF(ISNA(SUMIFS(INDEX(Inputs!$B$2:$AZ$190,,MATCH(SUBSTITUTE(R$3,"Q","T"),Inputs!$B$2:$AZ$2,0)),Inputs!$B$2:$B$190,$B162)*Inputs!$D$1),"",SUMIFS(INDEX(Inputs!$B$2:$AZ$190,,MATCH(SUBSTITUTE(R$3,"Q","T"),Inputs!$B$2:$AZ$2,0)),Inputs!$B$2:$B$190,$B162)*Inputs!$D$1)</f>
        <v>0</v>
      </c>
      <c r="S162" s="58">
        <f>R162</f>
        <v>0</v>
      </c>
      <c r="T162" s="57">
        <f>IF(ISNA(SUMIFS(INDEX(Inputs!$B$2:$AZ$190,,MATCH(SUBSTITUTE(T$3,"Q","T"),Inputs!$B$2:$AZ$2,0)),Inputs!$B$2:$B$190,$B162)*Inputs!$D$1),"",SUMIFS(INDEX(Inputs!$B$2:$AZ$190,,MATCH(SUBSTITUTE(T$3,"Q","T"),Inputs!$B$2:$AZ$2,0)),Inputs!$B$2:$B$190,$B162)*Inputs!$D$1)</f>
        <v>0</v>
      </c>
      <c r="U162" s="57">
        <f>IF(ISNA(SUMIFS(INDEX(Inputs!$B$2:$AZ$190,,MATCH(SUBSTITUTE(U$3,"Q","T"),Inputs!$B$2:$AZ$2,0)),Inputs!$B$2:$B$190,$B162)*Inputs!$D$1),"",SUMIFS(INDEX(Inputs!$B$2:$AZ$190,,MATCH(SUBSTITUTE(U$3,"Q","T"),Inputs!$B$2:$AZ$2,0)),Inputs!$B$2:$B$190,$B162)*Inputs!$D$1)</f>
        <v>0</v>
      </c>
      <c r="V162" s="57">
        <f>IF(ISNA(SUMIFS(INDEX(Inputs!$B$2:$AZ$190,,MATCH(SUBSTITUTE(V$3,"Q","T"),Inputs!$B$2:$AZ$2,0)),Inputs!$B$2:$B$190,$B162)*Inputs!$D$1),"",SUMIFS(INDEX(Inputs!$B$2:$AZ$190,,MATCH(SUBSTITUTE(V$3,"Q","T"),Inputs!$B$2:$AZ$2,0)),Inputs!$B$2:$B$190,$B162)*Inputs!$D$1)</f>
        <v>0</v>
      </c>
      <c r="W162" s="57">
        <f>IF(ISNA(SUMIFS(INDEX(Inputs!$B$2:$AZ$190,,MATCH(SUBSTITUTE(W$3,"Q","T"),Inputs!$B$2:$AZ$2,0)),Inputs!$B$2:$B$190,$B162)*Inputs!$D$1),"",SUMIFS(INDEX(Inputs!$B$2:$AZ$190,,MATCH(SUBSTITUTE(W$3,"Q","T"),Inputs!$B$2:$AZ$2,0)),Inputs!$B$2:$B$190,$B162)*Inputs!$D$1)</f>
        <v>0</v>
      </c>
      <c r="X162" s="58">
        <f>W162</f>
        <v>0</v>
      </c>
      <c r="Y162" s="57">
        <f>IF(ISNA(SUMIFS(INDEX(Inputs!$B$2:$AZ$190,,MATCH(SUBSTITUTE(Y$3,"Q","T"),Inputs!$B$2:$AZ$2,0)),Inputs!$B$2:$B$190,$B162)*Inputs!$D$1),"",SUMIFS(INDEX(Inputs!$B$2:$AZ$190,,MATCH(SUBSTITUTE(Y$3,"Q","T"),Inputs!$B$2:$AZ$2,0)),Inputs!$B$2:$B$190,$B162)*Inputs!$D$1)</f>
        <v>0</v>
      </c>
      <c r="Z162" s="57">
        <f>IF(ISNA(SUMIFS(INDEX(Inputs!$B$2:$AZ$190,,MATCH(SUBSTITUTE(Z$3,"Q","T"),Inputs!$B$2:$AZ$2,0)),Inputs!$B$2:$B$190,$B162)*Inputs!$D$1),"",SUMIFS(INDEX(Inputs!$B$2:$AZ$190,,MATCH(SUBSTITUTE(Z$3,"Q","T"),Inputs!$B$2:$AZ$2,0)),Inputs!$B$2:$B$190,$B162)*Inputs!$D$1)</f>
        <v>0</v>
      </c>
      <c r="AA162" s="57">
        <f>IF(ISNA(SUMIFS(INDEX(Inputs!$B$2:$AZ$190,,MATCH(SUBSTITUTE(AA$3,"Q","T"),Inputs!$B$2:$AZ$2,0)),Inputs!$B$2:$B$190,$B162)*Inputs!$D$1),"",SUMIFS(INDEX(Inputs!$B$2:$AZ$190,,MATCH(SUBSTITUTE(AA$3,"Q","T"),Inputs!$B$2:$AZ$2,0)),Inputs!$B$2:$B$190,$B162)*Inputs!$D$1)</f>
        <v>0</v>
      </c>
      <c r="AB162" s="57">
        <f>IF(ISNA(SUMIFS(INDEX(Inputs!$B$2:$AZ$190,,MATCH(SUBSTITUTE(AB$3,"Q","T"),Inputs!$B$2:$AZ$2,0)),Inputs!$B$2:$B$190,$B162)*Inputs!$D$1),"",SUMIFS(INDEX(Inputs!$B$2:$AZ$190,,MATCH(SUBSTITUTE(AB$3,"Q","T"),Inputs!$B$2:$AZ$2,0)),Inputs!$B$2:$B$190,$B162)*Inputs!$D$1)</f>
        <v>0</v>
      </c>
      <c r="AC162" s="58">
        <f>AB162</f>
        <v>0</v>
      </c>
      <c r="AD162" s="57">
        <f>IF(ISNA(SUMIFS(INDEX(Inputs!$B$2:$AZ$190,,MATCH(SUBSTITUTE(AD$3,"Q","T"),Inputs!$B$2:$AZ$2,0)),Inputs!$B$2:$B$190,$B162)*Inputs!$D$1),"",SUMIFS(INDEX(Inputs!$B$2:$AZ$190,,MATCH(SUBSTITUTE(AD$3,"Q","T"),Inputs!$B$2:$AZ$2,0)),Inputs!$B$2:$B$190,$B162)*Inputs!$D$1)</f>
        <v>0</v>
      </c>
      <c r="AE162" s="57">
        <f>IF(ISNA(SUMIFS(INDEX(Inputs!$B$2:$AZ$190,,MATCH(SUBSTITUTE(AE$3,"Q","T"),Inputs!$B$2:$AZ$2,0)),Inputs!$B$2:$B$190,$B162)*Inputs!$D$1),"",SUMIFS(INDEX(Inputs!$B$2:$AZ$190,,MATCH(SUBSTITUTE(AE$3,"Q","T"),Inputs!$B$2:$AZ$2,0)),Inputs!$B$2:$B$190,$B162)*Inputs!$D$1)</f>
        <v>0</v>
      </c>
      <c r="AF162" s="57">
        <f>IF(ISNA(SUMIFS(INDEX(Inputs!$B$2:$AZ$190,,MATCH(SUBSTITUTE(AF$3,"Q","T"),Inputs!$B$2:$AZ$2,0)),Inputs!$B$2:$B$190,$B162)*Inputs!$D$1),"",SUMIFS(INDEX(Inputs!$B$2:$AZ$190,,MATCH(SUBSTITUTE(AF$3,"Q","T"),Inputs!$B$2:$AZ$2,0)),Inputs!$B$2:$B$190,$B162)*Inputs!$D$1)</f>
        <v>0</v>
      </c>
      <c r="AG162" s="57">
        <f>IF(ISNA(SUMIFS(INDEX(Inputs!$B$2:$AZ$190,,MATCH(SUBSTITUTE(AG$3,"Q","T"),Inputs!$B$2:$AZ$2,0)),Inputs!$B$2:$B$190,$B162)*Inputs!$D$1),"",SUMIFS(INDEX(Inputs!$B$2:$AZ$190,,MATCH(SUBSTITUTE(AG$3,"Q","T"),Inputs!$B$2:$AZ$2,0)),Inputs!$B$2:$B$190,$B162)*Inputs!$D$1)</f>
        <v>0</v>
      </c>
      <c r="AH162" s="58">
        <f>AG162</f>
        <v>0</v>
      </c>
      <c r="AI162" s="57">
        <f>IF(ISNA(SUMIFS(INDEX(Inputs!$B$2:$AZ$190,,MATCH(SUBSTITUTE(AI$3,"Q","T"),Inputs!$B$2:$AZ$2,0)),Inputs!$B$2:$B$190,$B162)*Inputs!$D$1),"",SUMIFS(INDEX(Inputs!$B$2:$AZ$190,,MATCH(SUBSTITUTE(AI$3,"Q","T"),Inputs!$B$2:$AZ$2,0)),Inputs!$B$2:$B$190,$B162)*Inputs!$D$1)</f>
        <v>0</v>
      </c>
      <c r="AJ162" s="57">
        <f>IF(ISNA(SUMIFS(INDEX(Inputs!$B$2:$AZ$190,,MATCH(SUBSTITUTE(AJ$3,"Q","T"),Inputs!$B$2:$AZ$2,0)),Inputs!$B$2:$B$190,$B162)*Inputs!$D$1),"",SUMIFS(INDEX(Inputs!$B$2:$AZ$190,,MATCH(SUBSTITUTE(AJ$3,"Q","T"),Inputs!$B$2:$AZ$2,0)),Inputs!$B$2:$B$190,$B162)*Inputs!$D$1)</f>
        <v>0</v>
      </c>
      <c r="AK162" s="57">
        <f>IF(ISNA(SUMIFS(INDEX(Inputs!$B$2:$AZ$190,,MATCH(SUBSTITUTE(AK$3,"Q","T"),Inputs!$B$2:$AZ$2,0)),Inputs!$B$2:$B$190,$B162)*Inputs!$D$1),"",SUMIFS(INDEX(Inputs!$B$2:$AZ$190,,MATCH(SUBSTITUTE(AK$3,"Q","T"),Inputs!$B$2:$AZ$2,0)),Inputs!$B$2:$B$190,$B162)*Inputs!$D$1)</f>
        <v>0</v>
      </c>
      <c r="AL162" s="57">
        <f>IF(ISNA(SUMIFS(INDEX(Inputs!$B$2:$AZ$190,,MATCH(SUBSTITUTE(AL$3,"Q","T"),Inputs!$B$2:$AZ$2,0)),Inputs!$B$2:$B$190,$B162)*Inputs!$D$1),"",SUMIFS(INDEX(Inputs!$B$2:$AZ$190,,MATCH(SUBSTITUTE(AL$3,"Q","T"),Inputs!$B$2:$AZ$2,0)),Inputs!$B$2:$B$190,$B162)*Inputs!$D$1)</f>
        <v>0</v>
      </c>
      <c r="AM162" s="58">
        <f>AL162</f>
        <v>0</v>
      </c>
      <c r="AN162" s="57">
        <f>IF(ISNA(SUMIFS(INDEX(Inputs!$B$2:$AZ$190,,MATCH(SUBSTITUTE(AN$3,"Q","T"),Inputs!$B$2:$AZ$2,0)),Inputs!$B$2:$B$190,$B162)*Inputs!$D$1),"",SUMIFS(INDEX(Inputs!$B$2:$AZ$190,,MATCH(SUBSTITUTE(AN$3,"Q","T"),Inputs!$B$2:$AZ$2,0)),Inputs!$B$2:$B$190,$B162)*Inputs!$D$1)</f>
        <v>0</v>
      </c>
      <c r="AO162" s="57">
        <f>IF(ISNA(SUMIFS(INDEX(Inputs!$B$2:$AZ$190,,MATCH(SUBSTITUTE(AO$3,"Q","T"),Inputs!$B$2:$AZ$2,0)),Inputs!$B$2:$B$190,$B162)*Inputs!$D$1),"",SUMIFS(INDEX(Inputs!$B$2:$AZ$190,,MATCH(SUBSTITUTE(AO$3,"Q","T"),Inputs!$B$2:$AZ$2,0)),Inputs!$B$2:$B$190,$B162)*Inputs!$D$1)</f>
        <v>0</v>
      </c>
      <c r="AP162" s="57">
        <f>IF(ISNA(SUMIFS(INDEX(Inputs!$B$2:$AZ$190,,MATCH(SUBSTITUTE(AP$3,"Q","T"),Inputs!$B$2:$AZ$2,0)),Inputs!$B$2:$B$190,$B162)*Inputs!$D$1),"",SUMIFS(INDEX(Inputs!$B$2:$AZ$190,,MATCH(SUBSTITUTE(AP$3,"Q","T"),Inputs!$B$2:$AZ$2,0)),Inputs!$B$2:$B$190,$B162)*Inputs!$D$1)</f>
        <v>0</v>
      </c>
      <c r="AQ162" s="57">
        <f>IF(ISNA(SUMIFS(INDEX(Inputs!$B$2:$AZ$190,,MATCH(SUBSTITUTE(AQ$3,"Q","T"),Inputs!$B$2:$AZ$2,0)),Inputs!$B$2:$B$190,$B162)*Inputs!$D$1),"",SUMIFS(INDEX(Inputs!$B$2:$AZ$190,,MATCH(SUBSTITUTE(AQ$3,"Q","T"),Inputs!$B$2:$AZ$2,0)),Inputs!$B$2:$B$190,$B162)*Inputs!$D$1)</f>
        <v>0</v>
      </c>
      <c r="AR162" s="58">
        <f>AQ162</f>
        <v>0</v>
      </c>
      <c r="AS162" s="57">
        <f>IF(ISNA(SUMIFS(INDEX(Inputs!$B$2:$AZ$190,,MATCH(SUBSTITUTE(AS$3,"Q","T"),Inputs!$B$2:$AZ$2,0)),Inputs!$B$2:$B$190,$B162)*Inputs!$D$1),"",SUMIFS(INDEX(Inputs!$B$2:$AZ$190,,MATCH(SUBSTITUTE(AS$3,"Q","T"),Inputs!$B$2:$AZ$2,0)),Inputs!$B$2:$B$190,$B162)*Inputs!$D$1)</f>
        <v>0</v>
      </c>
      <c r="AT162" s="57">
        <f>IF(ISNA(SUMIFS(INDEX(Inputs!$B$2:$AZ$190,,MATCH(SUBSTITUTE(AT$3,"Q","T"),Inputs!$B$2:$AZ$2,0)),Inputs!$B$2:$B$190,$B162)*Inputs!$D$1),"",SUMIFS(INDEX(Inputs!$B$2:$AZ$190,,MATCH(SUBSTITUTE(AT$3,"Q","T"),Inputs!$B$2:$AZ$2,0)),Inputs!$B$2:$B$190,$B162)*Inputs!$D$1)</f>
        <v>0</v>
      </c>
      <c r="AU162" s="57">
        <f>IF(ISNA(SUMIFS(INDEX(Inputs!$B$2:$AZ$190,,MATCH(SUBSTITUTE(AU$3,"Q","T"),Inputs!$B$2:$AZ$2,0)),Inputs!$B$2:$B$190,$B162)*Inputs!$D$1),"",SUMIFS(INDEX(Inputs!$B$2:$AZ$190,,MATCH(SUBSTITUTE(AU$3,"Q","T"),Inputs!$B$2:$AZ$2,0)),Inputs!$B$2:$B$190,$B162)*Inputs!$D$1)</f>
        <v>0</v>
      </c>
      <c r="AV162" s="57">
        <f>IF(ISNA(SUMIFS(INDEX(Inputs!$B$2:$AZ$190,,MATCH(SUBSTITUTE(AV$3,"Q","T"),Inputs!$B$2:$AZ$2,0)),Inputs!$B$2:$B$190,$B162)*Inputs!$D$1),"",SUMIFS(INDEX(Inputs!$B$2:$AZ$190,,MATCH(SUBSTITUTE(AV$3,"Q","T"),Inputs!$B$2:$AZ$2,0)),Inputs!$B$2:$B$190,$B162)*Inputs!$D$1)</f>
        <v>0</v>
      </c>
      <c r="AW162" s="58">
        <f>AV162</f>
        <v>0</v>
      </c>
      <c r="AX162" s="57">
        <f>IF(ISNA(SUMIFS(INDEX(Inputs!$B$2:$AZ$190,,MATCH(SUBSTITUTE(AX$3,"Q","T"),Inputs!$B$2:$AZ$2,0)),Inputs!$B$2:$B$190,$B162)*Inputs!$D$1),"",SUMIFS(INDEX(Inputs!$B$2:$AZ$190,,MATCH(SUBSTITUTE(AX$3,"Q","T"),Inputs!$B$2:$AZ$2,0)),Inputs!$B$2:$B$190,$B162)*Inputs!$D$1)</f>
        <v>0</v>
      </c>
      <c r="AY162" s="57">
        <f>IF(ISNA(SUMIFS(INDEX(Inputs!$B$2:$AZ$190,,MATCH(SUBSTITUTE(AY$3,"Q","T"),Inputs!$B$2:$AZ$2,0)),Inputs!$B$2:$B$190,$B162)*Inputs!$D$1),"",SUMIFS(INDEX(Inputs!$B$2:$AZ$190,,MATCH(SUBSTITUTE(AY$3,"Q","T"),Inputs!$B$2:$AZ$2,0)),Inputs!$B$2:$B$190,$B162)*Inputs!$D$1)</f>
        <v>0</v>
      </c>
      <c r="AZ162" s="57">
        <f>IF(ISNA(SUMIFS(INDEX(Inputs!$B$2:$AZ$190,,MATCH(SUBSTITUTE(AZ$3,"Q","T"),Inputs!$B$2:$AZ$2,0)),Inputs!$B$2:$B$190,$B162)*Inputs!$D$1),"",SUMIFS(INDEX(Inputs!$B$2:$AZ$190,,MATCH(SUBSTITUTE(AZ$3,"Q","T"),Inputs!$B$2:$AZ$2,0)),Inputs!$B$2:$B$190,$B162)*Inputs!$D$1)</f>
        <v>0</v>
      </c>
      <c r="BA162" s="57">
        <f>IF(ISNA(SUMIFS(INDEX(Inputs!$B$2:$AZ$190,,MATCH(SUBSTITUTE(BA$3,"Q","T"),Inputs!$B$2:$AZ$2,0)),Inputs!$B$2:$B$190,$B162)*Inputs!$D$1),"",SUMIFS(INDEX(Inputs!$B$2:$AZ$190,,MATCH(SUBSTITUTE(BA$3,"Q","T"),Inputs!$B$2:$AZ$2,0)),Inputs!$B$2:$B$190,$B162)*Inputs!$D$1)</f>
        <v>0</v>
      </c>
      <c r="BB162" s="58">
        <f>BA162</f>
        <v>0</v>
      </c>
      <c r="BC162" s="57">
        <f>IF(ISNA(SUMIFS(INDEX(Inputs!$B$2:$AZ$190,,MATCH(SUBSTITUTE(BC$3,"Q","T"),Inputs!$B$2:$AZ$2,0)),Inputs!$B$2:$B$190,$B162)*Inputs!$D$1),"",SUMIFS(INDEX(Inputs!$B$2:$AZ$190,,MATCH(SUBSTITUTE(BC$3,"Q","T"),Inputs!$B$2:$AZ$2,0)),Inputs!$B$2:$B$190,$B162)*Inputs!$D$1)</f>
        <v>0</v>
      </c>
      <c r="BD162" s="57">
        <f>IF(ISNA(SUMIFS(INDEX(Inputs!$B$2:$AZ$190,,MATCH(SUBSTITUTE(BD$3,"Q","T"),Inputs!$B$2:$AZ$2,0)),Inputs!$B$2:$B$190,$B162)*Inputs!$D$1),"",SUMIFS(INDEX(Inputs!$B$2:$AZ$190,,MATCH(SUBSTITUTE(BD$3,"Q","T"),Inputs!$B$2:$AZ$2,0)),Inputs!$B$2:$B$190,$B162)*Inputs!$D$1)</f>
        <v>0</v>
      </c>
      <c r="BE162" s="57">
        <f>IF(ISNA(SUMIFS(INDEX(Inputs!$B$2:$AZ$190,,MATCH(SUBSTITUTE(BE$3,"Q","T"),Inputs!$B$2:$AZ$2,0)),Inputs!$B$2:$B$190,$B162)*Inputs!$D$1),"",SUMIFS(INDEX(Inputs!$B$2:$AZ$190,,MATCH(SUBSTITUTE(BE$3,"Q","T"),Inputs!$B$2:$AZ$2,0)),Inputs!$B$2:$B$190,$B162)*Inputs!$D$1)</f>
        <v>0</v>
      </c>
      <c r="BF162" s="57">
        <f>IF(ISNA(SUMIFS(INDEX(Inputs!$B$2:$AZ$190,,MATCH(SUBSTITUTE(BF$3,"Q","T"),Inputs!$B$2:$AZ$2,0)),Inputs!$B$2:$B$190,$B162)*Inputs!$D$1),"",SUMIFS(INDEX(Inputs!$B$2:$AZ$190,,MATCH(SUBSTITUTE(BF$3,"Q","T"),Inputs!$B$2:$AZ$2,0)),Inputs!$B$2:$B$190,$B162)*Inputs!$D$1)</f>
        <v>0</v>
      </c>
      <c r="BG162" s="58">
        <f>BF162</f>
        <v>0</v>
      </c>
    </row>
    <row r="163">
      <c r="B163" s="56" t="inlineStr">
        <is>
          <t>clients</t>
        </is>
      </c>
      <c r="C163" s="11" t="inlineStr">
        <is>
          <t>Clientes (mil)</t>
        </is>
      </c>
      <c r="D163" s="12" t="inlineStr">
        <is>
          <t>Clients (thousands)</t>
        </is>
      </c>
      <c r="E163" s="57">
        <f>IF(ISNA(SUMIFS(INDEX(Inputs!$B$2:$AZ$190,,MATCH(SUBSTITUTE(E$3,"Q","T"),Inputs!$B$2:$AZ$2,0)),Inputs!$B$2:$B$190,$B163)*Inputs!$D$1),"",SUMIFS(INDEX(Inputs!$B$2:$AZ$190,,MATCH(SUBSTITUTE(E$3,"Q","T"),Inputs!$B$2:$AZ$2,0)),Inputs!$B$2:$B$190,$B163)*Inputs!$D$1)</f>
        <v>0</v>
      </c>
      <c r="F163" s="57">
        <f>IF(ISNA(SUMIFS(INDEX(Inputs!$B$2:$AZ$190,,MATCH(SUBSTITUTE(F$3,"Q","T"),Inputs!$B$2:$AZ$2,0)),Inputs!$B$2:$B$190,$B163)*Inputs!$D$1),"",SUMIFS(INDEX(Inputs!$B$2:$AZ$190,,MATCH(SUBSTITUTE(F$3,"Q","T"),Inputs!$B$2:$AZ$2,0)),Inputs!$B$2:$B$190,$B163)*Inputs!$D$1)</f>
        <v>0</v>
      </c>
      <c r="G163" s="57">
        <f>IF(ISNA(SUMIFS(INDEX(Inputs!$B$2:$AZ$190,,MATCH(SUBSTITUTE(G$3,"Q","T"),Inputs!$B$2:$AZ$2,0)),Inputs!$B$2:$B$190,$B163)*Inputs!$D$1),"",SUMIFS(INDEX(Inputs!$B$2:$AZ$190,,MATCH(SUBSTITUTE(G$3,"Q","T"),Inputs!$B$2:$AZ$2,0)),Inputs!$B$2:$B$190,$B163)*Inputs!$D$1)</f>
        <v>0</v>
      </c>
      <c r="H163" s="57">
        <f>IF(ISNA(SUMIFS(INDEX(Inputs!$B$2:$AZ$190,,MATCH(SUBSTITUTE(H$3,"Q","T"),Inputs!$B$2:$AZ$2,0)),Inputs!$B$2:$B$190,$B163)*Inputs!$D$1),"",SUMIFS(INDEX(Inputs!$B$2:$AZ$190,,MATCH(SUBSTITUTE(H$3,"Q","T"),Inputs!$B$2:$AZ$2,0)),Inputs!$B$2:$B$190,$B163)*Inputs!$D$1)</f>
        <v>0</v>
      </c>
      <c r="I163" s="58">
        <f>H163</f>
        <v>0</v>
      </c>
      <c r="J163" s="57">
        <f>IF(ISNA(SUMIFS(INDEX(Inputs!$B$2:$AZ$190,,MATCH(SUBSTITUTE(J$3,"Q","T"),Inputs!$B$2:$AZ$2,0)),Inputs!$B$2:$B$190,$B163)*Inputs!$D$1),"",SUMIFS(INDEX(Inputs!$B$2:$AZ$190,,MATCH(SUBSTITUTE(J$3,"Q","T"),Inputs!$B$2:$AZ$2,0)),Inputs!$B$2:$B$190,$B163)*Inputs!$D$1)</f>
        <v>0</v>
      </c>
      <c r="K163" s="57">
        <f>IF(ISNA(SUMIFS(INDEX(Inputs!$B$2:$AZ$190,,MATCH(SUBSTITUTE(K$3,"Q","T"),Inputs!$B$2:$AZ$2,0)),Inputs!$B$2:$B$190,$B163)*Inputs!$D$1),"",SUMIFS(INDEX(Inputs!$B$2:$AZ$190,,MATCH(SUBSTITUTE(K$3,"Q","T"),Inputs!$B$2:$AZ$2,0)),Inputs!$B$2:$B$190,$B163)*Inputs!$D$1)</f>
        <v>0</v>
      </c>
      <c r="L163" s="57">
        <f>IF(ISNA(SUMIFS(INDEX(Inputs!$B$2:$AZ$190,,MATCH(SUBSTITUTE(L$3,"Q","T"),Inputs!$B$2:$AZ$2,0)),Inputs!$B$2:$B$190,$B163)*Inputs!$D$1),"",SUMIFS(INDEX(Inputs!$B$2:$AZ$190,,MATCH(SUBSTITUTE(L$3,"Q","T"),Inputs!$B$2:$AZ$2,0)),Inputs!$B$2:$B$190,$B163)*Inputs!$D$1)</f>
        <v>0</v>
      </c>
      <c r="M163" s="57">
        <f>IF(ISNA(SUMIFS(INDEX(Inputs!$B$2:$AZ$190,,MATCH(SUBSTITUTE(M$3,"Q","T"),Inputs!$B$2:$AZ$2,0)),Inputs!$B$2:$B$190,$B163)*Inputs!$D$1),"",SUMIFS(INDEX(Inputs!$B$2:$AZ$190,,MATCH(SUBSTITUTE(M$3,"Q","T"),Inputs!$B$2:$AZ$2,0)),Inputs!$B$2:$B$190,$B163)*Inputs!$D$1)</f>
        <v>0</v>
      </c>
      <c r="N163" s="58">
        <f>M163</f>
        <v>0</v>
      </c>
      <c r="O163" s="57">
        <f>IF(ISNA(SUMIFS(INDEX(Inputs!$B$2:$AZ$190,,MATCH(SUBSTITUTE(O$3,"Q","T"),Inputs!$B$2:$AZ$2,0)),Inputs!$B$2:$B$190,$B163)*Inputs!$D$1),"",SUMIFS(INDEX(Inputs!$B$2:$AZ$190,,MATCH(SUBSTITUTE(O$3,"Q","T"),Inputs!$B$2:$AZ$2,0)),Inputs!$B$2:$B$190,$B163)*Inputs!$D$1)</f>
        <v>0</v>
      </c>
      <c r="P163" s="57">
        <f>IF(ISNA(SUMIFS(INDEX(Inputs!$B$2:$AZ$190,,MATCH(SUBSTITUTE(P$3,"Q","T"),Inputs!$B$2:$AZ$2,0)),Inputs!$B$2:$B$190,$B163)*Inputs!$D$1),"",SUMIFS(INDEX(Inputs!$B$2:$AZ$190,,MATCH(SUBSTITUTE(P$3,"Q","T"),Inputs!$B$2:$AZ$2,0)),Inputs!$B$2:$B$190,$B163)*Inputs!$D$1)</f>
        <v>0</v>
      </c>
      <c r="Q163" s="57">
        <f>IF(ISNA(SUMIFS(INDEX(Inputs!$B$2:$AZ$190,,MATCH(SUBSTITUTE(Q$3,"Q","T"),Inputs!$B$2:$AZ$2,0)),Inputs!$B$2:$B$190,$B163)*Inputs!$D$1),"",SUMIFS(INDEX(Inputs!$B$2:$AZ$190,,MATCH(SUBSTITUTE(Q$3,"Q","T"),Inputs!$B$2:$AZ$2,0)),Inputs!$B$2:$B$190,$B163)*Inputs!$D$1)</f>
        <v>0</v>
      </c>
      <c r="R163" s="57">
        <f>IF(ISNA(SUMIFS(INDEX(Inputs!$B$2:$AZ$190,,MATCH(SUBSTITUTE(R$3,"Q","T"),Inputs!$B$2:$AZ$2,0)),Inputs!$B$2:$B$190,$B163)*Inputs!$D$1),"",SUMIFS(INDEX(Inputs!$B$2:$AZ$190,,MATCH(SUBSTITUTE(R$3,"Q","T"),Inputs!$B$2:$AZ$2,0)),Inputs!$B$2:$B$190,$B163)*Inputs!$D$1)</f>
        <v>0</v>
      </c>
      <c r="S163" s="58">
        <f>R163</f>
        <v>0</v>
      </c>
      <c r="T163" s="57">
        <f>IF(ISNA(SUMIFS(INDEX(Inputs!$B$2:$AZ$190,,MATCH(SUBSTITUTE(T$3,"Q","T"),Inputs!$B$2:$AZ$2,0)),Inputs!$B$2:$B$190,$B163)*Inputs!$D$1),"",SUMIFS(INDEX(Inputs!$B$2:$AZ$190,,MATCH(SUBSTITUTE(T$3,"Q","T"),Inputs!$B$2:$AZ$2,0)),Inputs!$B$2:$B$190,$B163)*Inputs!$D$1)</f>
        <v>0</v>
      </c>
      <c r="U163" s="57">
        <f>IF(ISNA(SUMIFS(INDEX(Inputs!$B$2:$AZ$190,,MATCH(SUBSTITUTE(U$3,"Q","T"),Inputs!$B$2:$AZ$2,0)),Inputs!$B$2:$B$190,$B163)*Inputs!$D$1),"",SUMIFS(INDEX(Inputs!$B$2:$AZ$190,,MATCH(SUBSTITUTE(U$3,"Q","T"),Inputs!$B$2:$AZ$2,0)),Inputs!$B$2:$B$190,$B163)*Inputs!$D$1)</f>
        <v>0</v>
      </c>
      <c r="V163" s="57">
        <f>IF(ISNA(SUMIFS(INDEX(Inputs!$B$2:$AZ$190,,MATCH(SUBSTITUTE(V$3,"Q","T"),Inputs!$B$2:$AZ$2,0)),Inputs!$B$2:$B$190,$B163)*Inputs!$D$1),"",SUMIFS(INDEX(Inputs!$B$2:$AZ$190,,MATCH(SUBSTITUTE(V$3,"Q","T"),Inputs!$B$2:$AZ$2,0)),Inputs!$B$2:$B$190,$B163)*Inputs!$D$1)</f>
        <v>0</v>
      </c>
      <c r="W163" s="57">
        <f>IF(ISNA(SUMIFS(INDEX(Inputs!$B$2:$AZ$190,,MATCH(SUBSTITUTE(W$3,"Q","T"),Inputs!$B$2:$AZ$2,0)),Inputs!$B$2:$B$190,$B163)*Inputs!$D$1),"",SUMIFS(INDEX(Inputs!$B$2:$AZ$190,,MATCH(SUBSTITUTE(W$3,"Q","T"),Inputs!$B$2:$AZ$2,0)),Inputs!$B$2:$B$190,$B163)*Inputs!$D$1)</f>
        <v>0</v>
      </c>
      <c r="X163" s="58">
        <f>W163</f>
        <v>0</v>
      </c>
      <c r="Y163" s="57">
        <f>IF(ISNA(SUMIFS(INDEX(Inputs!$B$2:$AZ$190,,MATCH(SUBSTITUTE(Y$3,"Q","T"),Inputs!$B$2:$AZ$2,0)),Inputs!$B$2:$B$190,$B163)*Inputs!$D$1),"",SUMIFS(INDEX(Inputs!$B$2:$AZ$190,,MATCH(SUBSTITUTE(Y$3,"Q","T"),Inputs!$B$2:$AZ$2,0)),Inputs!$B$2:$B$190,$B163)*Inputs!$D$1)</f>
        <v>0</v>
      </c>
      <c r="Z163" s="57">
        <f>IF(ISNA(SUMIFS(INDEX(Inputs!$B$2:$AZ$190,,MATCH(SUBSTITUTE(Z$3,"Q","T"),Inputs!$B$2:$AZ$2,0)),Inputs!$B$2:$B$190,$B163)*Inputs!$D$1),"",SUMIFS(INDEX(Inputs!$B$2:$AZ$190,,MATCH(SUBSTITUTE(Z$3,"Q","T"),Inputs!$B$2:$AZ$2,0)),Inputs!$B$2:$B$190,$B163)*Inputs!$D$1)</f>
        <v>0</v>
      </c>
      <c r="AA163" s="57">
        <f>IF(ISNA(SUMIFS(INDEX(Inputs!$B$2:$AZ$190,,MATCH(SUBSTITUTE(AA$3,"Q","T"),Inputs!$B$2:$AZ$2,0)),Inputs!$B$2:$B$190,$B163)*Inputs!$D$1),"",SUMIFS(INDEX(Inputs!$B$2:$AZ$190,,MATCH(SUBSTITUTE(AA$3,"Q","T"),Inputs!$B$2:$AZ$2,0)),Inputs!$B$2:$B$190,$B163)*Inputs!$D$1)</f>
        <v>0</v>
      </c>
      <c r="AB163" s="57">
        <f>IF(ISNA(SUMIFS(INDEX(Inputs!$B$2:$AZ$190,,MATCH(SUBSTITUTE(AB$3,"Q","T"),Inputs!$B$2:$AZ$2,0)),Inputs!$B$2:$B$190,$B163)*Inputs!$D$1),"",SUMIFS(INDEX(Inputs!$B$2:$AZ$190,,MATCH(SUBSTITUTE(AB$3,"Q","T"),Inputs!$B$2:$AZ$2,0)),Inputs!$B$2:$B$190,$B163)*Inputs!$D$1)</f>
        <v>0</v>
      </c>
      <c r="AC163" s="58">
        <f>AB163</f>
        <v>0</v>
      </c>
      <c r="AD163" s="57">
        <f>IF(ISNA(SUMIFS(INDEX(Inputs!$B$2:$AZ$190,,MATCH(SUBSTITUTE(AD$3,"Q","T"),Inputs!$B$2:$AZ$2,0)),Inputs!$B$2:$B$190,$B163)*Inputs!$D$1),"",SUMIFS(INDEX(Inputs!$B$2:$AZ$190,,MATCH(SUBSTITUTE(AD$3,"Q","T"),Inputs!$B$2:$AZ$2,0)),Inputs!$B$2:$B$190,$B163)*Inputs!$D$1)</f>
        <v>0</v>
      </c>
      <c r="AE163" s="57">
        <f>IF(ISNA(SUMIFS(INDEX(Inputs!$B$2:$AZ$190,,MATCH(SUBSTITUTE(AE$3,"Q","T"),Inputs!$B$2:$AZ$2,0)),Inputs!$B$2:$B$190,$B163)*Inputs!$D$1),"",SUMIFS(INDEX(Inputs!$B$2:$AZ$190,,MATCH(SUBSTITUTE(AE$3,"Q","T"),Inputs!$B$2:$AZ$2,0)),Inputs!$B$2:$B$190,$B163)*Inputs!$D$1)</f>
        <v>0</v>
      </c>
      <c r="AF163" s="57">
        <f>IF(ISNA(SUMIFS(INDEX(Inputs!$B$2:$AZ$190,,MATCH(SUBSTITUTE(AF$3,"Q","T"),Inputs!$B$2:$AZ$2,0)),Inputs!$B$2:$B$190,$B163)*Inputs!$D$1),"",SUMIFS(INDEX(Inputs!$B$2:$AZ$190,,MATCH(SUBSTITUTE(AF$3,"Q","T"),Inputs!$B$2:$AZ$2,0)),Inputs!$B$2:$B$190,$B163)*Inputs!$D$1)</f>
        <v>0</v>
      </c>
      <c r="AG163" s="57">
        <f>IF(ISNA(SUMIFS(INDEX(Inputs!$B$2:$AZ$190,,MATCH(SUBSTITUTE(AG$3,"Q","T"),Inputs!$B$2:$AZ$2,0)),Inputs!$B$2:$B$190,$B163)*Inputs!$D$1),"",SUMIFS(INDEX(Inputs!$B$2:$AZ$190,,MATCH(SUBSTITUTE(AG$3,"Q","T"),Inputs!$B$2:$AZ$2,0)),Inputs!$B$2:$B$190,$B163)*Inputs!$D$1)</f>
        <v>0</v>
      </c>
      <c r="AH163" s="58">
        <f>AG163</f>
        <v>0</v>
      </c>
      <c r="AI163" s="57">
        <f>IF(ISNA(SUMIFS(INDEX(Inputs!$B$2:$AZ$190,,MATCH(SUBSTITUTE(AI$3,"Q","T"),Inputs!$B$2:$AZ$2,0)),Inputs!$B$2:$B$190,$B163)*Inputs!$D$1),"",SUMIFS(INDEX(Inputs!$B$2:$AZ$190,,MATCH(SUBSTITUTE(AI$3,"Q","T"),Inputs!$B$2:$AZ$2,0)),Inputs!$B$2:$B$190,$B163)*Inputs!$D$1)</f>
        <v>0</v>
      </c>
      <c r="AJ163" s="57">
        <f>IF(ISNA(SUMIFS(INDEX(Inputs!$B$2:$AZ$190,,MATCH(SUBSTITUTE(AJ$3,"Q","T"),Inputs!$B$2:$AZ$2,0)),Inputs!$B$2:$B$190,$B163)*Inputs!$D$1),"",SUMIFS(INDEX(Inputs!$B$2:$AZ$190,,MATCH(SUBSTITUTE(AJ$3,"Q","T"),Inputs!$B$2:$AZ$2,0)),Inputs!$B$2:$B$190,$B163)*Inputs!$D$1)</f>
        <v>0</v>
      </c>
      <c r="AK163" s="57">
        <f>IF(ISNA(SUMIFS(INDEX(Inputs!$B$2:$AZ$190,,MATCH(SUBSTITUTE(AK$3,"Q","T"),Inputs!$B$2:$AZ$2,0)),Inputs!$B$2:$B$190,$B163)*Inputs!$D$1),"",SUMIFS(INDEX(Inputs!$B$2:$AZ$190,,MATCH(SUBSTITUTE(AK$3,"Q","T"),Inputs!$B$2:$AZ$2,0)),Inputs!$B$2:$B$190,$B163)*Inputs!$D$1)</f>
        <v>0</v>
      </c>
      <c r="AL163" s="57">
        <f>IF(ISNA(SUMIFS(INDEX(Inputs!$B$2:$AZ$190,,MATCH(SUBSTITUTE(AL$3,"Q","T"),Inputs!$B$2:$AZ$2,0)),Inputs!$B$2:$B$190,$B163)*Inputs!$D$1),"",SUMIFS(INDEX(Inputs!$B$2:$AZ$190,,MATCH(SUBSTITUTE(AL$3,"Q","T"),Inputs!$B$2:$AZ$2,0)),Inputs!$B$2:$B$190,$B163)*Inputs!$D$1)</f>
        <v>0</v>
      </c>
      <c r="AM163" s="58">
        <f>AL163</f>
        <v>0</v>
      </c>
      <c r="AN163" s="57">
        <f>IF(ISNA(SUMIFS(INDEX(Inputs!$B$2:$AZ$190,,MATCH(SUBSTITUTE(AN$3,"Q","T"),Inputs!$B$2:$AZ$2,0)),Inputs!$B$2:$B$190,$B163)*Inputs!$D$1),"",SUMIFS(INDEX(Inputs!$B$2:$AZ$190,,MATCH(SUBSTITUTE(AN$3,"Q","T"),Inputs!$B$2:$AZ$2,0)),Inputs!$B$2:$B$190,$B163)*Inputs!$D$1)</f>
        <v>0</v>
      </c>
      <c r="AO163" s="57">
        <f>IF(ISNA(SUMIFS(INDEX(Inputs!$B$2:$AZ$190,,MATCH(SUBSTITUTE(AO$3,"Q","T"),Inputs!$B$2:$AZ$2,0)),Inputs!$B$2:$B$190,$B163)*Inputs!$D$1),"",SUMIFS(INDEX(Inputs!$B$2:$AZ$190,,MATCH(SUBSTITUTE(AO$3,"Q","T"),Inputs!$B$2:$AZ$2,0)),Inputs!$B$2:$B$190,$B163)*Inputs!$D$1)</f>
        <v>0</v>
      </c>
      <c r="AP163" s="57">
        <f>IF(ISNA(SUMIFS(INDEX(Inputs!$B$2:$AZ$190,,MATCH(SUBSTITUTE(AP$3,"Q","T"),Inputs!$B$2:$AZ$2,0)),Inputs!$B$2:$B$190,$B163)*Inputs!$D$1),"",SUMIFS(INDEX(Inputs!$B$2:$AZ$190,,MATCH(SUBSTITUTE(AP$3,"Q","T"),Inputs!$B$2:$AZ$2,0)),Inputs!$B$2:$B$190,$B163)*Inputs!$D$1)</f>
        <v>0</v>
      </c>
      <c r="AQ163" s="57">
        <f>IF(ISNA(SUMIFS(INDEX(Inputs!$B$2:$AZ$190,,MATCH(SUBSTITUTE(AQ$3,"Q","T"),Inputs!$B$2:$AZ$2,0)),Inputs!$B$2:$B$190,$B163)*Inputs!$D$1),"",SUMIFS(INDEX(Inputs!$B$2:$AZ$190,,MATCH(SUBSTITUTE(AQ$3,"Q","T"),Inputs!$B$2:$AZ$2,0)),Inputs!$B$2:$B$190,$B163)*Inputs!$D$1)</f>
        <v>0</v>
      </c>
      <c r="AR163" s="58">
        <f>AQ163</f>
        <v>0</v>
      </c>
      <c r="AS163" s="57">
        <f>IF(ISNA(SUMIFS(INDEX(Inputs!$B$2:$AZ$190,,MATCH(SUBSTITUTE(AS$3,"Q","T"),Inputs!$B$2:$AZ$2,0)),Inputs!$B$2:$B$190,$B163)*Inputs!$D$1),"",SUMIFS(INDEX(Inputs!$B$2:$AZ$190,,MATCH(SUBSTITUTE(AS$3,"Q","T"),Inputs!$B$2:$AZ$2,0)),Inputs!$B$2:$B$190,$B163)*Inputs!$D$1)</f>
        <v>0</v>
      </c>
      <c r="AT163" s="57">
        <f>IF(ISNA(SUMIFS(INDEX(Inputs!$B$2:$AZ$190,,MATCH(SUBSTITUTE(AT$3,"Q","T"),Inputs!$B$2:$AZ$2,0)),Inputs!$B$2:$B$190,$B163)*Inputs!$D$1),"",SUMIFS(INDEX(Inputs!$B$2:$AZ$190,,MATCH(SUBSTITUTE(AT$3,"Q","T"),Inputs!$B$2:$AZ$2,0)),Inputs!$B$2:$B$190,$B163)*Inputs!$D$1)</f>
        <v>0</v>
      </c>
      <c r="AU163" s="57">
        <f>IF(ISNA(SUMIFS(INDEX(Inputs!$B$2:$AZ$190,,MATCH(SUBSTITUTE(AU$3,"Q","T"),Inputs!$B$2:$AZ$2,0)),Inputs!$B$2:$B$190,$B163)*Inputs!$D$1),"",SUMIFS(INDEX(Inputs!$B$2:$AZ$190,,MATCH(SUBSTITUTE(AU$3,"Q","T"),Inputs!$B$2:$AZ$2,0)),Inputs!$B$2:$B$190,$B163)*Inputs!$D$1)</f>
        <v>0</v>
      </c>
      <c r="AV163" s="57">
        <f>IF(ISNA(SUMIFS(INDEX(Inputs!$B$2:$AZ$190,,MATCH(SUBSTITUTE(AV$3,"Q","T"),Inputs!$B$2:$AZ$2,0)),Inputs!$B$2:$B$190,$B163)*Inputs!$D$1),"",SUMIFS(INDEX(Inputs!$B$2:$AZ$190,,MATCH(SUBSTITUTE(AV$3,"Q","T"),Inputs!$B$2:$AZ$2,0)),Inputs!$B$2:$B$190,$B163)*Inputs!$D$1)</f>
        <v>0</v>
      </c>
      <c r="AW163" s="58">
        <f>AV163</f>
        <v>0</v>
      </c>
      <c r="AX163" s="57">
        <f>IF(ISNA(SUMIFS(INDEX(Inputs!$B$2:$AZ$190,,MATCH(SUBSTITUTE(AX$3,"Q","T"),Inputs!$B$2:$AZ$2,0)),Inputs!$B$2:$B$190,$B163)*Inputs!$D$1),"",SUMIFS(INDEX(Inputs!$B$2:$AZ$190,,MATCH(SUBSTITUTE(AX$3,"Q","T"),Inputs!$B$2:$AZ$2,0)),Inputs!$B$2:$B$190,$B163)*Inputs!$D$1)</f>
        <v>0</v>
      </c>
      <c r="AY163" s="57">
        <f>IF(ISNA(SUMIFS(INDEX(Inputs!$B$2:$AZ$190,,MATCH(SUBSTITUTE(AY$3,"Q","T"),Inputs!$B$2:$AZ$2,0)),Inputs!$B$2:$B$190,$B163)*Inputs!$D$1),"",SUMIFS(INDEX(Inputs!$B$2:$AZ$190,,MATCH(SUBSTITUTE(AY$3,"Q","T"),Inputs!$B$2:$AZ$2,0)),Inputs!$B$2:$B$190,$B163)*Inputs!$D$1)</f>
        <v>0</v>
      </c>
      <c r="AZ163" s="57">
        <f>IF(ISNA(SUMIFS(INDEX(Inputs!$B$2:$AZ$190,,MATCH(SUBSTITUTE(AZ$3,"Q","T"),Inputs!$B$2:$AZ$2,0)),Inputs!$B$2:$B$190,$B163)*Inputs!$D$1),"",SUMIFS(INDEX(Inputs!$B$2:$AZ$190,,MATCH(SUBSTITUTE(AZ$3,"Q","T"),Inputs!$B$2:$AZ$2,0)),Inputs!$B$2:$B$190,$B163)*Inputs!$D$1)</f>
        <v>0</v>
      </c>
      <c r="BA163" s="57">
        <f>IF(ISNA(SUMIFS(INDEX(Inputs!$B$2:$AZ$190,,MATCH(SUBSTITUTE(BA$3,"Q","T"),Inputs!$B$2:$AZ$2,0)),Inputs!$B$2:$B$190,$B163)*Inputs!$D$1),"",SUMIFS(INDEX(Inputs!$B$2:$AZ$190,,MATCH(SUBSTITUTE(BA$3,"Q","T"),Inputs!$B$2:$AZ$2,0)),Inputs!$B$2:$B$190,$B163)*Inputs!$D$1)</f>
        <v>0</v>
      </c>
      <c r="BB163" s="58">
        <f>BA163</f>
        <v>0</v>
      </c>
      <c r="BC163" s="57">
        <f>IF(ISNA(SUMIFS(INDEX(Inputs!$B$2:$AZ$190,,MATCH(SUBSTITUTE(BC$3,"Q","T"),Inputs!$B$2:$AZ$2,0)),Inputs!$B$2:$B$190,$B163)*Inputs!$D$1),"",SUMIFS(INDEX(Inputs!$B$2:$AZ$190,,MATCH(SUBSTITUTE(BC$3,"Q","T"),Inputs!$B$2:$AZ$2,0)),Inputs!$B$2:$B$190,$B163)*Inputs!$D$1)</f>
        <v>0</v>
      </c>
      <c r="BD163" s="57">
        <f>IF(ISNA(SUMIFS(INDEX(Inputs!$B$2:$AZ$190,,MATCH(SUBSTITUTE(BD$3,"Q","T"),Inputs!$B$2:$AZ$2,0)),Inputs!$B$2:$B$190,$B163)*Inputs!$D$1),"",SUMIFS(INDEX(Inputs!$B$2:$AZ$190,,MATCH(SUBSTITUTE(BD$3,"Q","T"),Inputs!$B$2:$AZ$2,0)),Inputs!$B$2:$B$190,$B163)*Inputs!$D$1)</f>
        <v>0</v>
      </c>
      <c r="BE163" s="57">
        <f>IF(ISNA(SUMIFS(INDEX(Inputs!$B$2:$AZ$190,,MATCH(SUBSTITUTE(BE$3,"Q","T"),Inputs!$B$2:$AZ$2,0)),Inputs!$B$2:$B$190,$B163)*Inputs!$D$1),"",SUMIFS(INDEX(Inputs!$B$2:$AZ$190,,MATCH(SUBSTITUTE(BE$3,"Q","T"),Inputs!$B$2:$AZ$2,0)),Inputs!$B$2:$B$190,$B163)*Inputs!$D$1)</f>
        <v>0</v>
      </c>
      <c r="BF163" s="57">
        <f>IF(ISNA(SUMIFS(INDEX(Inputs!$B$2:$AZ$190,,MATCH(SUBSTITUTE(BF$3,"Q","T"),Inputs!$B$2:$AZ$2,0)),Inputs!$B$2:$B$190,$B163)*Inputs!$D$1),"",SUMIFS(INDEX(Inputs!$B$2:$AZ$190,,MATCH(SUBSTITUTE(BF$3,"Q","T"),Inputs!$B$2:$AZ$2,0)),Inputs!$B$2:$B$190,$B163)*Inputs!$D$1)</f>
        <v>0</v>
      </c>
      <c r="BG163" s="58">
        <f>BF163</f>
        <v>0</v>
      </c>
    </row>
    <row r="165">
      <c r="B165" s="29" t="n"/>
      <c r="C165" s="29" t="inlineStr">
        <is>
          <t>Segmentos de negócio (quando a companhia abre)</t>
        </is>
      </c>
      <c r="D165" s="29" t="inlineStr">
        <is>
          <t>Business segments</t>
        </is>
      </c>
      <c r="E165" s="29" t="n"/>
      <c r="F165" s="29" t="n"/>
      <c r="G165" s="29" t="n"/>
      <c r="H165" s="29" t="n"/>
      <c r="I165" s="29" t="n"/>
      <c r="J165" s="29" t="n"/>
      <c r="K165" s="29" t="n"/>
      <c r="L165" s="29" t="n"/>
      <c r="M165" s="29" t="n"/>
      <c r="N165" s="29" t="n"/>
      <c r="O165" s="29" t="n"/>
      <c r="P165" s="29" t="n"/>
      <c r="Q165" s="29" t="n"/>
      <c r="R165" s="29" t="n"/>
      <c r="S165" s="29" t="n"/>
      <c r="T165" s="29" t="n"/>
      <c r="U165" s="29" t="n"/>
      <c r="V165" s="29" t="n"/>
      <c r="W165" s="29" t="n"/>
      <c r="X165" s="29" t="n"/>
      <c r="Y165" s="29" t="n"/>
      <c r="Z165" s="29" t="n"/>
      <c r="AA165" s="29" t="n"/>
      <c r="AB165" s="29" t="n"/>
      <c r="AC165" s="29" t="n"/>
      <c r="AD165" s="29" t="n"/>
      <c r="AE165" s="29" t="n"/>
      <c r="AF165" s="29" t="n"/>
      <c r="AG165" s="29" t="n"/>
      <c r="AH165" s="29" t="n"/>
      <c r="AI165" s="29" t="n"/>
      <c r="AJ165" s="29" t="n"/>
      <c r="AK165" s="29" t="n"/>
      <c r="AL165" s="29" t="n"/>
      <c r="AM165" s="29" t="n"/>
      <c r="AN165" s="29" t="n"/>
      <c r="AO165" s="29" t="n"/>
      <c r="AP165" s="29" t="n"/>
      <c r="AQ165" s="29" t="n"/>
      <c r="AR165" s="29" t="n"/>
      <c r="AS165" s="29" t="n"/>
      <c r="AT165" s="29" t="n"/>
      <c r="AU165" s="29" t="n"/>
      <c r="AV165" s="29" t="n"/>
      <c r="AW165" s="29" t="n"/>
      <c r="AX165" s="29" t="n"/>
      <c r="AY165" s="29" t="n"/>
      <c r="AZ165" s="29" t="n"/>
      <c r="BA165" s="29" t="n"/>
      <c r="BB165" s="29" t="n"/>
      <c r="BC165" s="29" t="n"/>
      <c r="BD165" s="29" t="n"/>
      <c r="BE165" s="29" t="n"/>
      <c r="BF165" s="29" t="n"/>
      <c r="BG165" s="29" t="n"/>
      <c r="BH165" s="29" t="n"/>
      <c r="BI165" s="29" t="n"/>
    </row>
    <row r="166" hidden="1" outlineLevel="1">
      <c r="B166" s="56" t="inlineStr">
        <is>
          <t>seg1_rev</t>
        </is>
      </c>
      <c r="C166" s="11" t="inlineStr">
        <is>
          <t>Segmento 1 — receita líquida (ex.: Consumer &amp; Community Banking)</t>
        </is>
      </c>
      <c r="D166" s="12" t="inlineStr">
        <is>
          <t>Segment 1 — net revenue</t>
        </is>
      </c>
      <c r="E166" s="57">
        <f>IF(ISNA(SUMIFS(INDEX(Inputs!$B$2:$AZ$190,,MATCH(SUBSTITUTE(E$3,"Q","T"),Inputs!$B$2:$AZ$2,0)),Inputs!$B$2:$B$190,$B166)*Inputs!$D$1),"",SUMIFS(INDEX(Inputs!$B$2:$AZ$190,,MATCH(SUBSTITUTE(E$3,"Q","T"),Inputs!$B$2:$AZ$2,0)),Inputs!$B$2:$B$190,$B166)*Inputs!$D$1)</f>
        <v>0</v>
      </c>
      <c r="F166" s="57">
        <f>IF(ISNA(SUMIFS(INDEX(Inputs!$B$2:$AZ$190,,MATCH(SUBSTITUTE(F$3,"Q","T"),Inputs!$B$2:$AZ$2,0)),Inputs!$B$2:$B$190,$B166)*Inputs!$D$1),"",SUMIFS(INDEX(Inputs!$B$2:$AZ$190,,MATCH(SUBSTITUTE(F$3,"Q","T"),Inputs!$B$2:$AZ$2,0)),Inputs!$B$2:$B$190,$B166)*Inputs!$D$1)</f>
        <v>0</v>
      </c>
      <c r="G166" s="57">
        <f>IF(ISNA(SUMIFS(INDEX(Inputs!$B$2:$AZ$190,,MATCH(SUBSTITUTE(G$3,"Q","T"),Inputs!$B$2:$AZ$2,0)),Inputs!$B$2:$B$190,$B166)*Inputs!$D$1),"",SUMIFS(INDEX(Inputs!$B$2:$AZ$190,,MATCH(SUBSTITUTE(G$3,"Q","T"),Inputs!$B$2:$AZ$2,0)),Inputs!$B$2:$B$190,$B166)*Inputs!$D$1)</f>
        <v>0</v>
      </c>
      <c r="H166" s="57">
        <f>IF(ISNA(SUMIFS(INDEX(Inputs!$B$2:$AZ$190,,MATCH(SUBSTITUTE(H$3,"Q","T"),Inputs!$B$2:$AZ$2,0)),Inputs!$B$2:$B$190,$B166)*Inputs!$D$1),"",SUMIFS(INDEX(Inputs!$B$2:$AZ$190,,MATCH(SUBSTITUTE(H$3,"Q","T"),Inputs!$B$2:$AZ$2,0)),Inputs!$B$2:$B$190,$B166)*Inputs!$D$1)</f>
        <v>0</v>
      </c>
      <c r="I166" s="58">
        <f>H166</f>
        <v>0</v>
      </c>
      <c r="J166" s="57">
        <f>IF(ISNA(SUMIFS(INDEX(Inputs!$B$2:$AZ$190,,MATCH(SUBSTITUTE(J$3,"Q","T"),Inputs!$B$2:$AZ$2,0)),Inputs!$B$2:$B$190,$B166)*Inputs!$D$1),"",SUMIFS(INDEX(Inputs!$B$2:$AZ$190,,MATCH(SUBSTITUTE(J$3,"Q","T"),Inputs!$B$2:$AZ$2,0)),Inputs!$B$2:$B$190,$B166)*Inputs!$D$1)</f>
        <v>0</v>
      </c>
      <c r="K166" s="57">
        <f>IF(ISNA(SUMIFS(INDEX(Inputs!$B$2:$AZ$190,,MATCH(SUBSTITUTE(K$3,"Q","T"),Inputs!$B$2:$AZ$2,0)),Inputs!$B$2:$B$190,$B166)*Inputs!$D$1),"",SUMIFS(INDEX(Inputs!$B$2:$AZ$190,,MATCH(SUBSTITUTE(K$3,"Q","T"),Inputs!$B$2:$AZ$2,0)),Inputs!$B$2:$B$190,$B166)*Inputs!$D$1)</f>
        <v>0</v>
      </c>
      <c r="L166" s="57">
        <f>IF(ISNA(SUMIFS(INDEX(Inputs!$B$2:$AZ$190,,MATCH(SUBSTITUTE(L$3,"Q","T"),Inputs!$B$2:$AZ$2,0)),Inputs!$B$2:$B$190,$B166)*Inputs!$D$1),"",SUMIFS(INDEX(Inputs!$B$2:$AZ$190,,MATCH(SUBSTITUTE(L$3,"Q","T"),Inputs!$B$2:$AZ$2,0)),Inputs!$B$2:$B$190,$B166)*Inputs!$D$1)</f>
        <v>0</v>
      </c>
      <c r="M166" s="57">
        <f>IF(ISNA(SUMIFS(INDEX(Inputs!$B$2:$AZ$190,,MATCH(SUBSTITUTE(M$3,"Q","T"),Inputs!$B$2:$AZ$2,0)),Inputs!$B$2:$B$190,$B166)*Inputs!$D$1),"",SUMIFS(INDEX(Inputs!$B$2:$AZ$190,,MATCH(SUBSTITUTE(M$3,"Q","T"),Inputs!$B$2:$AZ$2,0)),Inputs!$B$2:$B$190,$B166)*Inputs!$D$1)</f>
        <v>0</v>
      </c>
      <c r="N166" s="58">
        <f>M166</f>
        <v>0</v>
      </c>
      <c r="O166" s="57">
        <f>IF(ISNA(SUMIFS(INDEX(Inputs!$B$2:$AZ$190,,MATCH(SUBSTITUTE(O$3,"Q","T"),Inputs!$B$2:$AZ$2,0)),Inputs!$B$2:$B$190,$B166)*Inputs!$D$1),"",SUMIFS(INDEX(Inputs!$B$2:$AZ$190,,MATCH(SUBSTITUTE(O$3,"Q","T"),Inputs!$B$2:$AZ$2,0)),Inputs!$B$2:$B$190,$B166)*Inputs!$D$1)</f>
        <v>0</v>
      </c>
      <c r="P166" s="57">
        <f>IF(ISNA(SUMIFS(INDEX(Inputs!$B$2:$AZ$190,,MATCH(SUBSTITUTE(P$3,"Q","T"),Inputs!$B$2:$AZ$2,0)),Inputs!$B$2:$B$190,$B166)*Inputs!$D$1),"",SUMIFS(INDEX(Inputs!$B$2:$AZ$190,,MATCH(SUBSTITUTE(P$3,"Q","T"),Inputs!$B$2:$AZ$2,0)),Inputs!$B$2:$B$190,$B166)*Inputs!$D$1)</f>
        <v>0</v>
      </c>
      <c r="Q166" s="57">
        <f>IF(ISNA(SUMIFS(INDEX(Inputs!$B$2:$AZ$190,,MATCH(SUBSTITUTE(Q$3,"Q","T"),Inputs!$B$2:$AZ$2,0)),Inputs!$B$2:$B$190,$B166)*Inputs!$D$1),"",SUMIFS(INDEX(Inputs!$B$2:$AZ$190,,MATCH(SUBSTITUTE(Q$3,"Q","T"),Inputs!$B$2:$AZ$2,0)),Inputs!$B$2:$B$190,$B166)*Inputs!$D$1)</f>
        <v>0</v>
      </c>
      <c r="R166" s="57">
        <f>IF(ISNA(SUMIFS(INDEX(Inputs!$B$2:$AZ$190,,MATCH(SUBSTITUTE(R$3,"Q","T"),Inputs!$B$2:$AZ$2,0)),Inputs!$B$2:$B$190,$B166)*Inputs!$D$1),"",SUMIFS(INDEX(Inputs!$B$2:$AZ$190,,MATCH(SUBSTITUTE(R$3,"Q","T"),Inputs!$B$2:$AZ$2,0)),Inputs!$B$2:$B$190,$B166)*Inputs!$D$1)</f>
        <v>0</v>
      </c>
      <c r="S166" s="58">
        <f>R166</f>
        <v>0</v>
      </c>
      <c r="T166" s="57">
        <f>IF(ISNA(SUMIFS(INDEX(Inputs!$B$2:$AZ$190,,MATCH(SUBSTITUTE(T$3,"Q","T"),Inputs!$B$2:$AZ$2,0)),Inputs!$B$2:$B$190,$B166)*Inputs!$D$1),"",SUMIFS(INDEX(Inputs!$B$2:$AZ$190,,MATCH(SUBSTITUTE(T$3,"Q","T"),Inputs!$B$2:$AZ$2,0)),Inputs!$B$2:$B$190,$B166)*Inputs!$D$1)</f>
        <v>0</v>
      </c>
      <c r="U166" s="57">
        <f>IF(ISNA(SUMIFS(INDEX(Inputs!$B$2:$AZ$190,,MATCH(SUBSTITUTE(U$3,"Q","T"),Inputs!$B$2:$AZ$2,0)),Inputs!$B$2:$B$190,$B166)*Inputs!$D$1),"",SUMIFS(INDEX(Inputs!$B$2:$AZ$190,,MATCH(SUBSTITUTE(U$3,"Q","T"),Inputs!$B$2:$AZ$2,0)),Inputs!$B$2:$B$190,$B166)*Inputs!$D$1)</f>
        <v>0</v>
      </c>
      <c r="V166" s="57">
        <f>IF(ISNA(SUMIFS(INDEX(Inputs!$B$2:$AZ$190,,MATCH(SUBSTITUTE(V$3,"Q","T"),Inputs!$B$2:$AZ$2,0)),Inputs!$B$2:$B$190,$B166)*Inputs!$D$1),"",SUMIFS(INDEX(Inputs!$B$2:$AZ$190,,MATCH(SUBSTITUTE(V$3,"Q","T"),Inputs!$B$2:$AZ$2,0)),Inputs!$B$2:$B$190,$B166)*Inputs!$D$1)</f>
        <v>0</v>
      </c>
      <c r="W166" s="57">
        <f>IF(ISNA(SUMIFS(INDEX(Inputs!$B$2:$AZ$190,,MATCH(SUBSTITUTE(W$3,"Q","T"),Inputs!$B$2:$AZ$2,0)),Inputs!$B$2:$B$190,$B166)*Inputs!$D$1),"",SUMIFS(INDEX(Inputs!$B$2:$AZ$190,,MATCH(SUBSTITUTE(W$3,"Q","T"),Inputs!$B$2:$AZ$2,0)),Inputs!$B$2:$B$190,$B166)*Inputs!$D$1)</f>
        <v>0</v>
      </c>
      <c r="X166" s="58">
        <f>W166</f>
        <v>0</v>
      </c>
      <c r="Y166" s="57">
        <f>IF(ISNA(SUMIFS(INDEX(Inputs!$B$2:$AZ$190,,MATCH(SUBSTITUTE(Y$3,"Q","T"),Inputs!$B$2:$AZ$2,0)),Inputs!$B$2:$B$190,$B166)*Inputs!$D$1),"",SUMIFS(INDEX(Inputs!$B$2:$AZ$190,,MATCH(SUBSTITUTE(Y$3,"Q","T"),Inputs!$B$2:$AZ$2,0)),Inputs!$B$2:$B$190,$B166)*Inputs!$D$1)</f>
        <v>0</v>
      </c>
      <c r="Z166" s="57">
        <f>IF(ISNA(SUMIFS(INDEX(Inputs!$B$2:$AZ$190,,MATCH(SUBSTITUTE(Z$3,"Q","T"),Inputs!$B$2:$AZ$2,0)),Inputs!$B$2:$B$190,$B166)*Inputs!$D$1),"",SUMIFS(INDEX(Inputs!$B$2:$AZ$190,,MATCH(SUBSTITUTE(Z$3,"Q","T"),Inputs!$B$2:$AZ$2,0)),Inputs!$B$2:$B$190,$B166)*Inputs!$D$1)</f>
        <v>0</v>
      </c>
      <c r="AA166" s="57">
        <f>IF(ISNA(SUMIFS(INDEX(Inputs!$B$2:$AZ$190,,MATCH(SUBSTITUTE(AA$3,"Q","T"),Inputs!$B$2:$AZ$2,0)),Inputs!$B$2:$B$190,$B166)*Inputs!$D$1),"",SUMIFS(INDEX(Inputs!$B$2:$AZ$190,,MATCH(SUBSTITUTE(AA$3,"Q","T"),Inputs!$B$2:$AZ$2,0)),Inputs!$B$2:$B$190,$B166)*Inputs!$D$1)</f>
        <v>0</v>
      </c>
      <c r="AB166" s="57">
        <f>IF(ISNA(SUMIFS(INDEX(Inputs!$B$2:$AZ$190,,MATCH(SUBSTITUTE(AB$3,"Q","T"),Inputs!$B$2:$AZ$2,0)),Inputs!$B$2:$B$190,$B166)*Inputs!$D$1),"",SUMIFS(INDEX(Inputs!$B$2:$AZ$190,,MATCH(SUBSTITUTE(AB$3,"Q","T"),Inputs!$B$2:$AZ$2,0)),Inputs!$B$2:$B$190,$B166)*Inputs!$D$1)</f>
        <v>0</v>
      </c>
      <c r="AC166" s="58">
        <f>AB166</f>
        <v>0</v>
      </c>
      <c r="AD166" s="57">
        <f>IF(ISNA(SUMIFS(INDEX(Inputs!$B$2:$AZ$190,,MATCH(SUBSTITUTE(AD$3,"Q","T"),Inputs!$B$2:$AZ$2,0)),Inputs!$B$2:$B$190,$B166)*Inputs!$D$1),"",SUMIFS(INDEX(Inputs!$B$2:$AZ$190,,MATCH(SUBSTITUTE(AD$3,"Q","T"),Inputs!$B$2:$AZ$2,0)),Inputs!$B$2:$B$190,$B166)*Inputs!$D$1)</f>
        <v>0</v>
      </c>
      <c r="AE166" s="57">
        <f>IF(ISNA(SUMIFS(INDEX(Inputs!$B$2:$AZ$190,,MATCH(SUBSTITUTE(AE$3,"Q","T"),Inputs!$B$2:$AZ$2,0)),Inputs!$B$2:$B$190,$B166)*Inputs!$D$1),"",SUMIFS(INDEX(Inputs!$B$2:$AZ$190,,MATCH(SUBSTITUTE(AE$3,"Q","T"),Inputs!$B$2:$AZ$2,0)),Inputs!$B$2:$B$190,$B166)*Inputs!$D$1)</f>
        <v>0</v>
      </c>
      <c r="AF166" s="57">
        <f>IF(ISNA(SUMIFS(INDEX(Inputs!$B$2:$AZ$190,,MATCH(SUBSTITUTE(AF$3,"Q","T"),Inputs!$B$2:$AZ$2,0)),Inputs!$B$2:$B$190,$B166)*Inputs!$D$1),"",SUMIFS(INDEX(Inputs!$B$2:$AZ$190,,MATCH(SUBSTITUTE(AF$3,"Q","T"),Inputs!$B$2:$AZ$2,0)),Inputs!$B$2:$B$190,$B166)*Inputs!$D$1)</f>
        <v>0</v>
      </c>
      <c r="AG166" s="57">
        <f>IF(ISNA(SUMIFS(INDEX(Inputs!$B$2:$AZ$190,,MATCH(SUBSTITUTE(AG$3,"Q","T"),Inputs!$B$2:$AZ$2,0)),Inputs!$B$2:$B$190,$B166)*Inputs!$D$1),"",SUMIFS(INDEX(Inputs!$B$2:$AZ$190,,MATCH(SUBSTITUTE(AG$3,"Q","T"),Inputs!$B$2:$AZ$2,0)),Inputs!$B$2:$B$190,$B166)*Inputs!$D$1)</f>
        <v>0</v>
      </c>
      <c r="AH166" s="58">
        <f>AG166</f>
        <v>0</v>
      </c>
      <c r="AI166" s="57">
        <f>IF(ISNA(SUMIFS(INDEX(Inputs!$B$2:$AZ$190,,MATCH(SUBSTITUTE(AI$3,"Q","T"),Inputs!$B$2:$AZ$2,0)),Inputs!$B$2:$B$190,$B166)*Inputs!$D$1),"",SUMIFS(INDEX(Inputs!$B$2:$AZ$190,,MATCH(SUBSTITUTE(AI$3,"Q","T"),Inputs!$B$2:$AZ$2,0)),Inputs!$B$2:$B$190,$B166)*Inputs!$D$1)</f>
        <v>0</v>
      </c>
      <c r="AJ166" s="57">
        <f>IF(ISNA(SUMIFS(INDEX(Inputs!$B$2:$AZ$190,,MATCH(SUBSTITUTE(AJ$3,"Q","T"),Inputs!$B$2:$AZ$2,0)),Inputs!$B$2:$B$190,$B166)*Inputs!$D$1),"",SUMIFS(INDEX(Inputs!$B$2:$AZ$190,,MATCH(SUBSTITUTE(AJ$3,"Q","T"),Inputs!$B$2:$AZ$2,0)),Inputs!$B$2:$B$190,$B166)*Inputs!$D$1)</f>
        <v>0</v>
      </c>
      <c r="AK166" s="57">
        <f>IF(ISNA(SUMIFS(INDEX(Inputs!$B$2:$AZ$190,,MATCH(SUBSTITUTE(AK$3,"Q","T"),Inputs!$B$2:$AZ$2,0)),Inputs!$B$2:$B$190,$B166)*Inputs!$D$1),"",SUMIFS(INDEX(Inputs!$B$2:$AZ$190,,MATCH(SUBSTITUTE(AK$3,"Q","T"),Inputs!$B$2:$AZ$2,0)),Inputs!$B$2:$B$190,$B166)*Inputs!$D$1)</f>
        <v>0</v>
      </c>
      <c r="AL166" s="57">
        <f>IF(ISNA(SUMIFS(INDEX(Inputs!$B$2:$AZ$190,,MATCH(SUBSTITUTE(AL$3,"Q","T"),Inputs!$B$2:$AZ$2,0)),Inputs!$B$2:$B$190,$B166)*Inputs!$D$1),"",SUMIFS(INDEX(Inputs!$B$2:$AZ$190,,MATCH(SUBSTITUTE(AL$3,"Q","T"),Inputs!$B$2:$AZ$2,0)),Inputs!$B$2:$B$190,$B166)*Inputs!$D$1)</f>
        <v>0</v>
      </c>
      <c r="AM166" s="58">
        <f>AL166</f>
        <v>0</v>
      </c>
      <c r="AN166" s="57">
        <f>IF(ISNA(SUMIFS(INDEX(Inputs!$B$2:$AZ$190,,MATCH(SUBSTITUTE(AN$3,"Q","T"),Inputs!$B$2:$AZ$2,0)),Inputs!$B$2:$B$190,$B166)*Inputs!$D$1),"",SUMIFS(INDEX(Inputs!$B$2:$AZ$190,,MATCH(SUBSTITUTE(AN$3,"Q","T"),Inputs!$B$2:$AZ$2,0)),Inputs!$B$2:$B$190,$B166)*Inputs!$D$1)</f>
        <v>0</v>
      </c>
      <c r="AO166" s="57">
        <f>IF(ISNA(SUMIFS(INDEX(Inputs!$B$2:$AZ$190,,MATCH(SUBSTITUTE(AO$3,"Q","T"),Inputs!$B$2:$AZ$2,0)),Inputs!$B$2:$B$190,$B166)*Inputs!$D$1),"",SUMIFS(INDEX(Inputs!$B$2:$AZ$190,,MATCH(SUBSTITUTE(AO$3,"Q","T"),Inputs!$B$2:$AZ$2,0)),Inputs!$B$2:$B$190,$B166)*Inputs!$D$1)</f>
        <v>0</v>
      </c>
      <c r="AP166" s="57">
        <f>IF(ISNA(SUMIFS(INDEX(Inputs!$B$2:$AZ$190,,MATCH(SUBSTITUTE(AP$3,"Q","T"),Inputs!$B$2:$AZ$2,0)),Inputs!$B$2:$B$190,$B166)*Inputs!$D$1),"",SUMIFS(INDEX(Inputs!$B$2:$AZ$190,,MATCH(SUBSTITUTE(AP$3,"Q","T"),Inputs!$B$2:$AZ$2,0)),Inputs!$B$2:$B$190,$B166)*Inputs!$D$1)</f>
        <v>0</v>
      </c>
      <c r="AQ166" s="57">
        <f>IF(ISNA(SUMIFS(INDEX(Inputs!$B$2:$AZ$190,,MATCH(SUBSTITUTE(AQ$3,"Q","T"),Inputs!$B$2:$AZ$2,0)),Inputs!$B$2:$B$190,$B166)*Inputs!$D$1),"",SUMIFS(INDEX(Inputs!$B$2:$AZ$190,,MATCH(SUBSTITUTE(AQ$3,"Q","T"),Inputs!$B$2:$AZ$2,0)),Inputs!$B$2:$B$190,$B166)*Inputs!$D$1)</f>
        <v>0</v>
      </c>
      <c r="AR166" s="58">
        <f>AQ166</f>
        <v>0</v>
      </c>
      <c r="AS166" s="57">
        <f>IF(ISNA(SUMIFS(INDEX(Inputs!$B$2:$AZ$190,,MATCH(SUBSTITUTE(AS$3,"Q","T"),Inputs!$B$2:$AZ$2,0)),Inputs!$B$2:$B$190,$B166)*Inputs!$D$1),"",SUMIFS(INDEX(Inputs!$B$2:$AZ$190,,MATCH(SUBSTITUTE(AS$3,"Q","T"),Inputs!$B$2:$AZ$2,0)),Inputs!$B$2:$B$190,$B166)*Inputs!$D$1)</f>
        <v>0</v>
      </c>
      <c r="AT166" s="57">
        <f>IF(ISNA(SUMIFS(INDEX(Inputs!$B$2:$AZ$190,,MATCH(SUBSTITUTE(AT$3,"Q","T"),Inputs!$B$2:$AZ$2,0)),Inputs!$B$2:$B$190,$B166)*Inputs!$D$1),"",SUMIFS(INDEX(Inputs!$B$2:$AZ$190,,MATCH(SUBSTITUTE(AT$3,"Q","T"),Inputs!$B$2:$AZ$2,0)),Inputs!$B$2:$B$190,$B166)*Inputs!$D$1)</f>
        <v>0</v>
      </c>
      <c r="AU166" s="57">
        <f>IF(ISNA(SUMIFS(INDEX(Inputs!$B$2:$AZ$190,,MATCH(SUBSTITUTE(AU$3,"Q","T"),Inputs!$B$2:$AZ$2,0)),Inputs!$B$2:$B$190,$B166)*Inputs!$D$1),"",SUMIFS(INDEX(Inputs!$B$2:$AZ$190,,MATCH(SUBSTITUTE(AU$3,"Q","T"),Inputs!$B$2:$AZ$2,0)),Inputs!$B$2:$B$190,$B166)*Inputs!$D$1)</f>
        <v>0</v>
      </c>
      <c r="AV166" s="57">
        <f>IF(ISNA(SUMIFS(INDEX(Inputs!$B$2:$AZ$190,,MATCH(SUBSTITUTE(AV$3,"Q","T"),Inputs!$B$2:$AZ$2,0)),Inputs!$B$2:$B$190,$B166)*Inputs!$D$1),"",SUMIFS(INDEX(Inputs!$B$2:$AZ$190,,MATCH(SUBSTITUTE(AV$3,"Q","T"),Inputs!$B$2:$AZ$2,0)),Inputs!$B$2:$B$190,$B166)*Inputs!$D$1)</f>
        <v>0</v>
      </c>
      <c r="AW166" s="58">
        <f>AV166</f>
        <v>0</v>
      </c>
      <c r="AX166" s="57">
        <f>IF(ISNA(SUMIFS(INDEX(Inputs!$B$2:$AZ$190,,MATCH(SUBSTITUTE(AX$3,"Q","T"),Inputs!$B$2:$AZ$2,0)),Inputs!$B$2:$B$190,$B166)*Inputs!$D$1),"",SUMIFS(INDEX(Inputs!$B$2:$AZ$190,,MATCH(SUBSTITUTE(AX$3,"Q","T"),Inputs!$B$2:$AZ$2,0)),Inputs!$B$2:$B$190,$B166)*Inputs!$D$1)</f>
        <v>0</v>
      </c>
      <c r="AY166" s="57">
        <f>IF(ISNA(SUMIFS(INDEX(Inputs!$B$2:$AZ$190,,MATCH(SUBSTITUTE(AY$3,"Q","T"),Inputs!$B$2:$AZ$2,0)),Inputs!$B$2:$B$190,$B166)*Inputs!$D$1),"",SUMIFS(INDEX(Inputs!$B$2:$AZ$190,,MATCH(SUBSTITUTE(AY$3,"Q","T"),Inputs!$B$2:$AZ$2,0)),Inputs!$B$2:$B$190,$B166)*Inputs!$D$1)</f>
        <v>0</v>
      </c>
      <c r="AZ166" s="57">
        <f>IF(ISNA(SUMIFS(INDEX(Inputs!$B$2:$AZ$190,,MATCH(SUBSTITUTE(AZ$3,"Q","T"),Inputs!$B$2:$AZ$2,0)),Inputs!$B$2:$B$190,$B166)*Inputs!$D$1),"",SUMIFS(INDEX(Inputs!$B$2:$AZ$190,,MATCH(SUBSTITUTE(AZ$3,"Q","T"),Inputs!$B$2:$AZ$2,0)),Inputs!$B$2:$B$190,$B166)*Inputs!$D$1)</f>
        <v>0</v>
      </c>
      <c r="BA166" s="57">
        <f>IF(ISNA(SUMIFS(INDEX(Inputs!$B$2:$AZ$190,,MATCH(SUBSTITUTE(BA$3,"Q","T"),Inputs!$B$2:$AZ$2,0)),Inputs!$B$2:$B$190,$B166)*Inputs!$D$1),"",SUMIFS(INDEX(Inputs!$B$2:$AZ$190,,MATCH(SUBSTITUTE(BA$3,"Q","T"),Inputs!$B$2:$AZ$2,0)),Inputs!$B$2:$B$190,$B166)*Inputs!$D$1)</f>
        <v>0</v>
      </c>
      <c r="BB166" s="58">
        <f>BA166</f>
        <v>0</v>
      </c>
      <c r="BC166" s="57">
        <f>IF(ISNA(SUMIFS(INDEX(Inputs!$B$2:$AZ$190,,MATCH(SUBSTITUTE(BC$3,"Q","T"),Inputs!$B$2:$AZ$2,0)),Inputs!$B$2:$B$190,$B166)*Inputs!$D$1),"",SUMIFS(INDEX(Inputs!$B$2:$AZ$190,,MATCH(SUBSTITUTE(BC$3,"Q","T"),Inputs!$B$2:$AZ$2,0)),Inputs!$B$2:$B$190,$B166)*Inputs!$D$1)</f>
        <v>0</v>
      </c>
      <c r="BD166" s="57">
        <f>IF(ISNA(SUMIFS(INDEX(Inputs!$B$2:$AZ$190,,MATCH(SUBSTITUTE(BD$3,"Q","T"),Inputs!$B$2:$AZ$2,0)),Inputs!$B$2:$B$190,$B166)*Inputs!$D$1),"",SUMIFS(INDEX(Inputs!$B$2:$AZ$190,,MATCH(SUBSTITUTE(BD$3,"Q","T"),Inputs!$B$2:$AZ$2,0)),Inputs!$B$2:$B$190,$B166)*Inputs!$D$1)</f>
        <v>0</v>
      </c>
      <c r="BE166" s="57">
        <f>IF(ISNA(SUMIFS(INDEX(Inputs!$B$2:$AZ$190,,MATCH(SUBSTITUTE(BE$3,"Q","T"),Inputs!$B$2:$AZ$2,0)),Inputs!$B$2:$B$190,$B166)*Inputs!$D$1),"",SUMIFS(INDEX(Inputs!$B$2:$AZ$190,,MATCH(SUBSTITUTE(BE$3,"Q","T"),Inputs!$B$2:$AZ$2,0)),Inputs!$B$2:$B$190,$B166)*Inputs!$D$1)</f>
        <v>0</v>
      </c>
      <c r="BF166" s="57">
        <f>IF(ISNA(SUMIFS(INDEX(Inputs!$B$2:$AZ$190,,MATCH(SUBSTITUTE(BF$3,"Q","T"),Inputs!$B$2:$AZ$2,0)),Inputs!$B$2:$B$190,$B166)*Inputs!$D$1),"",SUMIFS(INDEX(Inputs!$B$2:$AZ$190,,MATCH(SUBSTITUTE(BF$3,"Q","T"),Inputs!$B$2:$AZ$2,0)),Inputs!$B$2:$B$190,$B166)*Inputs!$D$1)</f>
        <v>0</v>
      </c>
      <c r="BG166" s="58">
        <f>BF166</f>
        <v>0</v>
      </c>
    </row>
    <row r="167" hidden="1" outlineLevel="1">
      <c r="B167" s="56" t="inlineStr">
        <is>
          <t>seg2_rev</t>
        </is>
      </c>
      <c r="C167" s="11" t="inlineStr">
        <is>
          <t>Segmento 2 — receita líquida (ex.: Commercial &amp; Investment Bank)</t>
        </is>
      </c>
      <c r="D167" s="12" t="inlineStr">
        <is>
          <t>Segment 2 — net revenue</t>
        </is>
      </c>
      <c r="E167" s="57">
        <f>IF(ISNA(SUMIFS(INDEX(Inputs!$B$2:$AZ$190,,MATCH(SUBSTITUTE(E$3,"Q","T"),Inputs!$B$2:$AZ$2,0)),Inputs!$B$2:$B$190,$B167)*Inputs!$D$1),"",SUMIFS(INDEX(Inputs!$B$2:$AZ$190,,MATCH(SUBSTITUTE(E$3,"Q","T"),Inputs!$B$2:$AZ$2,0)),Inputs!$B$2:$B$190,$B167)*Inputs!$D$1)</f>
        <v>0</v>
      </c>
      <c r="F167" s="57">
        <f>IF(ISNA(SUMIFS(INDEX(Inputs!$B$2:$AZ$190,,MATCH(SUBSTITUTE(F$3,"Q","T"),Inputs!$B$2:$AZ$2,0)),Inputs!$B$2:$B$190,$B167)*Inputs!$D$1),"",SUMIFS(INDEX(Inputs!$B$2:$AZ$190,,MATCH(SUBSTITUTE(F$3,"Q","T"),Inputs!$B$2:$AZ$2,0)),Inputs!$B$2:$B$190,$B167)*Inputs!$D$1)</f>
        <v>0</v>
      </c>
      <c r="G167" s="57">
        <f>IF(ISNA(SUMIFS(INDEX(Inputs!$B$2:$AZ$190,,MATCH(SUBSTITUTE(G$3,"Q","T"),Inputs!$B$2:$AZ$2,0)),Inputs!$B$2:$B$190,$B167)*Inputs!$D$1),"",SUMIFS(INDEX(Inputs!$B$2:$AZ$190,,MATCH(SUBSTITUTE(G$3,"Q","T"),Inputs!$B$2:$AZ$2,0)),Inputs!$B$2:$B$190,$B167)*Inputs!$D$1)</f>
        <v>0</v>
      </c>
      <c r="H167" s="57">
        <f>IF(ISNA(SUMIFS(INDEX(Inputs!$B$2:$AZ$190,,MATCH(SUBSTITUTE(H$3,"Q","T"),Inputs!$B$2:$AZ$2,0)),Inputs!$B$2:$B$190,$B167)*Inputs!$D$1),"",SUMIFS(INDEX(Inputs!$B$2:$AZ$190,,MATCH(SUBSTITUTE(H$3,"Q","T"),Inputs!$B$2:$AZ$2,0)),Inputs!$B$2:$B$190,$B167)*Inputs!$D$1)</f>
        <v>0</v>
      </c>
      <c r="I167" s="58">
        <f>H167</f>
        <v>0</v>
      </c>
      <c r="J167" s="57">
        <f>IF(ISNA(SUMIFS(INDEX(Inputs!$B$2:$AZ$190,,MATCH(SUBSTITUTE(J$3,"Q","T"),Inputs!$B$2:$AZ$2,0)),Inputs!$B$2:$B$190,$B167)*Inputs!$D$1),"",SUMIFS(INDEX(Inputs!$B$2:$AZ$190,,MATCH(SUBSTITUTE(J$3,"Q","T"),Inputs!$B$2:$AZ$2,0)),Inputs!$B$2:$B$190,$B167)*Inputs!$D$1)</f>
        <v>0</v>
      </c>
      <c r="K167" s="57">
        <f>IF(ISNA(SUMIFS(INDEX(Inputs!$B$2:$AZ$190,,MATCH(SUBSTITUTE(K$3,"Q","T"),Inputs!$B$2:$AZ$2,0)),Inputs!$B$2:$B$190,$B167)*Inputs!$D$1),"",SUMIFS(INDEX(Inputs!$B$2:$AZ$190,,MATCH(SUBSTITUTE(K$3,"Q","T"),Inputs!$B$2:$AZ$2,0)),Inputs!$B$2:$B$190,$B167)*Inputs!$D$1)</f>
        <v>0</v>
      </c>
      <c r="L167" s="57">
        <f>IF(ISNA(SUMIFS(INDEX(Inputs!$B$2:$AZ$190,,MATCH(SUBSTITUTE(L$3,"Q","T"),Inputs!$B$2:$AZ$2,0)),Inputs!$B$2:$B$190,$B167)*Inputs!$D$1),"",SUMIFS(INDEX(Inputs!$B$2:$AZ$190,,MATCH(SUBSTITUTE(L$3,"Q","T"),Inputs!$B$2:$AZ$2,0)),Inputs!$B$2:$B$190,$B167)*Inputs!$D$1)</f>
        <v>0</v>
      </c>
      <c r="M167" s="57">
        <f>IF(ISNA(SUMIFS(INDEX(Inputs!$B$2:$AZ$190,,MATCH(SUBSTITUTE(M$3,"Q","T"),Inputs!$B$2:$AZ$2,0)),Inputs!$B$2:$B$190,$B167)*Inputs!$D$1),"",SUMIFS(INDEX(Inputs!$B$2:$AZ$190,,MATCH(SUBSTITUTE(M$3,"Q","T"),Inputs!$B$2:$AZ$2,0)),Inputs!$B$2:$B$190,$B167)*Inputs!$D$1)</f>
        <v>0</v>
      </c>
      <c r="N167" s="58">
        <f>M167</f>
        <v>0</v>
      </c>
      <c r="O167" s="57">
        <f>IF(ISNA(SUMIFS(INDEX(Inputs!$B$2:$AZ$190,,MATCH(SUBSTITUTE(O$3,"Q","T"),Inputs!$B$2:$AZ$2,0)),Inputs!$B$2:$B$190,$B167)*Inputs!$D$1),"",SUMIFS(INDEX(Inputs!$B$2:$AZ$190,,MATCH(SUBSTITUTE(O$3,"Q","T"),Inputs!$B$2:$AZ$2,0)),Inputs!$B$2:$B$190,$B167)*Inputs!$D$1)</f>
        <v>0</v>
      </c>
      <c r="P167" s="57">
        <f>IF(ISNA(SUMIFS(INDEX(Inputs!$B$2:$AZ$190,,MATCH(SUBSTITUTE(P$3,"Q","T"),Inputs!$B$2:$AZ$2,0)),Inputs!$B$2:$B$190,$B167)*Inputs!$D$1),"",SUMIFS(INDEX(Inputs!$B$2:$AZ$190,,MATCH(SUBSTITUTE(P$3,"Q","T"),Inputs!$B$2:$AZ$2,0)),Inputs!$B$2:$B$190,$B167)*Inputs!$D$1)</f>
        <v>0</v>
      </c>
      <c r="Q167" s="57">
        <f>IF(ISNA(SUMIFS(INDEX(Inputs!$B$2:$AZ$190,,MATCH(SUBSTITUTE(Q$3,"Q","T"),Inputs!$B$2:$AZ$2,0)),Inputs!$B$2:$B$190,$B167)*Inputs!$D$1),"",SUMIFS(INDEX(Inputs!$B$2:$AZ$190,,MATCH(SUBSTITUTE(Q$3,"Q","T"),Inputs!$B$2:$AZ$2,0)),Inputs!$B$2:$B$190,$B167)*Inputs!$D$1)</f>
        <v>0</v>
      </c>
      <c r="R167" s="57">
        <f>IF(ISNA(SUMIFS(INDEX(Inputs!$B$2:$AZ$190,,MATCH(SUBSTITUTE(R$3,"Q","T"),Inputs!$B$2:$AZ$2,0)),Inputs!$B$2:$B$190,$B167)*Inputs!$D$1),"",SUMIFS(INDEX(Inputs!$B$2:$AZ$190,,MATCH(SUBSTITUTE(R$3,"Q","T"),Inputs!$B$2:$AZ$2,0)),Inputs!$B$2:$B$190,$B167)*Inputs!$D$1)</f>
        <v>0</v>
      </c>
      <c r="S167" s="58">
        <f>R167</f>
        <v>0</v>
      </c>
      <c r="T167" s="57">
        <f>IF(ISNA(SUMIFS(INDEX(Inputs!$B$2:$AZ$190,,MATCH(SUBSTITUTE(T$3,"Q","T"),Inputs!$B$2:$AZ$2,0)),Inputs!$B$2:$B$190,$B167)*Inputs!$D$1),"",SUMIFS(INDEX(Inputs!$B$2:$AZ$190,,MATCH(SUBSTITUTE(T$3,"Q","T"),Inputs!$B$2:$AZ$2,0)),Inputs!$B$2:$B$190,$B167)*Inputs!$D$1)</f>
        <v>0</v>
      </c>
      <c r="U167" s="57">
        <f>IF(ISNA(SUMIFS(INDEX(Inputs!$B$2:$AZ$190,,MATCH(SUBSTITUTE(U$3,"Q","T"),Inputs!$B$2:$AZ$2,0)),Inputs!$B$2:$B$190,$B167)*Inputs!$D$1),"",SUMIFS(INDEX(Inputs!$B$2:$AZ$190,,MATCH(SUBSTITUTE(U$3,"Q","T"),Inputs!$B$2:$AZ$2,0)),Inputs!$B$2:$B$190,$B167)*Inputs!$D$1)</f>
        <v>0</v>
      </c>
      <c r="V167" s="57">
        <f>IF(ISNA(SUMIFS(INDEX(Inputs!$B$2:$AZ$190,,MATCH(SUBSTITUTE(V$3,"Q","T"),Inputs!$B$2:$AZ$2,0)),Inputs!$B$2:$B$190,$B167)*Inputs!$D$1),"",SUMIFS(INDEX(Inputs!$B$2:$AZ$190,,MATCH(SUBSTITUTE(V$3,"Q","T"),Inputs!$B$2:$AZ$2,0)),Inputs!$B$2:$B$190,$B167)*Inputs!$D$1)</f>
        <v>0</v>
      </c>
      <c r="W167" s="57">
        <f>IF(ISNA(SUMIFS(INDEX(Inputs!$B$2:$AZ$190,,MATCH(SUBSTITUTE(W$3,"Q","T"),Inputs!$B$2:$AZ$2,0)),Inputs!$B$2:$B$190,$B167)*Inputs!$D$1),"",SUMIFS(INDEX(Inputs!$B$2:$AZ$190,,MATCH(SUBSTITUTE(W$3,"Q","T"),Inputs!$B$2:$AZ$2,0)),Inputs!$B$2:$B$190,$B167)*Inputs!$D$1)</f>
        <v>0</v>
      </c>
      <c r="X167" s="58">
        <f>W167</f>
        <v>0</v>
      </c>
      <c r="Y167" s="57">
        <f>IF(ISNA(SUMIFS(INDEX(Inputs!$B$2:$AZ$190,,MATCH(SUBSTITUTE(Y$3,"Q","T"),Inputs!$B$2:$AZ$2,0)),Inputs!$B$2:$B$190,$B167)*Inputs!$D$1),"",SUMIFS(INDEX(Inputs!$B$2:$AZ$190,,MATCH(SUBSTITUTE(Y$3,"Q","T"),Inputs!$B$2:$AZ$2,0)),Inputs!$B$2:$B$190,$B167)*Inputs!$D$1)</f>
        <v>0</v>
      </c>
      <c r="Z167" s="57">
        <f>IF(ISNA(SUMIFS(INDEX(Inputs!$B$2:$AZ$190,,MATCH(SUBSTITUTE(Z$3,"Q","T"),Inputs!$B$2:$AZ$2,0)),Inputs!$B$2:$B$190,$B167)*Inputs!$D$1),"",SUMIFS(INDEX(Inputs!$B$2:$AZ$190,,MATCH(SUBSTITUTE(Z$3,"Q","T"),Inputs!$B$2:$AZ$2,0)),Inputs!$B$2:$B$190,$B167)*Inputs!$D$1)</f>
        <v>0</v>
      </c>
      <c r="AA167" s="57">
        <f>IF(ISNA(SUMIFS(INDEX(Inputs!$B$2:$AZ$190,,MATCH(SUBSTITUTE(AA$3,"Q","T"),Inputs!$B$2:$AZ$2,0)),Inputs!$B$2:$B$190,$B167)*Inputs!$D$1),"",SUMIFS(INDEX(Inputs!$B$2:$AZ$190,,MATCH(SUBSTITUTE(AA$3,"Q","T"),Inputs!$B$2:$AZ$2,0)),Inputs!$B$2:$B$190,$B167)*Inputs!$D$1)</f>
        <v>0</v>
      </c>
      <c r="AB167" s="57">
        <f>IF(ISNA(SUMIFS(INDEX(Inputs!$B$2:$AZ$190,,MATCH(SUBSTITUTE(AB$3,"Q","T"),Inputs!$B$2:$AZ$2,0)),Inputs!$B$2:$B$190,$B167)*Inputs!$D$1),"",SUMIFS(INDEX(Inputs!$B$2:$AZ$190,,MATCH(SUBSTITUTE(AB$3,"Q","T"),Inputs!$B$2:$AZ$2,0)),Inputs!$B$2:$B$190,$B167)*Inputs!$D$1)</f>
        <v>0</v>
      </c>
      <c r="AC167" s="58">
        <f>AB167</f>
        <v>0</v>
      </c>
      <c r="AD167" s="57">
        <f>IF(ISNA(SUMIFS(INDEX(Inputs!$B$2:$AZ$190,,MATCH(SUBSTITUTE(AD$3,"Q","T"),Inputs!$B$2:$AZ$2,0)),Inputs!$B$2:$B$190,$B167)*Inputs!$D$1),"",SUMIFS(INDEX(Inputs!$B$2:$AZ$190,,MATCH(SUBSTITUTE(AD$3,"Q","T"),Inputs!$B$2:$AZ$2,0)),Inputs!$B$2:$B$190,$B167)*Inputs!$D$1)</f>
        <v>0</v>
      </c>
      <c r="AE167" s="57">
        <f>IF(ISNA(SUMIFS(INDEX(Inputs!$B$2:$AZ$190,,MATCH(SUBSTITUTE(AE$3,"Q","T"),Inputs!$B$2:$AZ$2,0)),Inputs!$B$2:$B$190,$B167)*Inputs!$D$1),"",SUMIFS(INDEX(Inputs!$B$2:$AZ$190,,MATCH(SUBSTITUTE(AE$3,"Q","T"),Inputs!$B$2:$AZ$2,0)),Inputs!$B$2:$B$190,$B167)*Inputs!$D$1)</f>
        <v>0</v>
      </c>
      <c r="AF167" s="57">
        <f>IF(ISNA(SUMIFS(INDEX(Inputs!$B$2:$AZ$190,,MATCH(SUBSTITUTE(AF$3,"Q","T"),Inputs!$B$2:$AZ$2,0)),Inputs!$B$2:$B$190,$B167)*Inputs!$D$1),"",SUMIFS(INDEX(Inputs!$B$2:$AZ$190,,MATCH(SUBSTITUTE(AF$3,"Q","T"),Inputs!$B$2:$AZ$2,0)),Inputs!$B$2:$B$190,$B167)*Inputs!$D$1)</f>
        <v>0</v>
      </c>
      <c r="AG167" s="57">
        <f>IF(ISNA(SUMIFS(INDEX(Inputs!$B$2:$AZ$190,,MATCH(SUBSTITUTE(AG$3,"Q","T"),Inputs!$B$2:$AZ$2,0)),Inputs!$B$2:$B$190,$B167)*Inputs!$D$1),"",SUMIFS(INDEX(Inputs!$B$2:$AZ$190,,MATCH(SUBSTITUTE(AG$3,"Q","T"),Inputs!$B$2:$AZ$2,0)),Inputs!$B$2:$B$190,$B167)*Inputs!$D$1)</f>
        <v>0</v>
      </c>
      <c r="AH167" s="58">
        <f>AG167</f>
        <v>0</v>
      </c>
      <c r="AI167" s="57">
        <f>IF(ISNA(SUMIFS(INDEX(Inputs!$B$2:$AZ$190,,MATCH(SUBSTITUTE(AI$3,"Q","T"),Inputs!$B$2:$AZ$2,0)),Inputs!$B$2:$B$190,$B167)*Inputs!$D$1),"",SUMIFS(INDEX(Inputs!$B$2:$AZ$190,,MATCH(SUBSTITUTE(AI$3,"Q","T"),Inputs!$B$2:$AZ$2,0)),Inputs!$B$2:$B$190,$B167)*Inputs!$D$1)</f>
        <v>0</v>
      </c>
      <c r="AJ167" s="57">
        <f>IF(ISNA(SUMIFS(INDEX(Inputs!$B$2:$AZ$190,,MATCH(SUBSTITUTE(AJ$3,"Q","T"),Inputs!$B$2:$AZ$2,0)),Inputs!$B$2:$B$190,$B167)*Inputs!$D$1),"",SUMIFS(INDEX(Inputs!$B$2:$AZ$190,,MATCH(SUBSTITUTE(AJ$3,"Q","T"),Inputs!$B$2:$AZ$2,0)),Inputs!$B$2:$B$190,$B167)*Inputs!$D$1)</f>
        <v>0</v>
      </c>
      <c r="AK167" s="57">
        <f>IF(ISNA(SUMIFS(INDEX(Inputs!$B$2:$AZ$190,,MATCH(SUBSTITUTE(AK$3,"Q","T"),Inputs!$B$2:$AZ$2,0)),Inputs!$B$2:$B$190,$B167)*Inputs!$D$1),"",SUMIFS(INDEX(Inputs!$B$2:$AZ$190,,MATCH(SUBSTITUTE(AK$3,"Q","T"),Inputs!$B$2:$AZ$2,0)),Inputs!$B$2:$B$190,$B167)*Inputs!$D$1)</f>
        <v>0</v>
      </c>
      <c r="AL167" s="57">
        <f>IF(ISNA(SUMIFS(INDEX(Inputs!$B$2:$AZ$190,,MATCH(SUBSTITUTE(AL$3,"Q","T"),Inputs!$B$2:$AZ$2,0)),Inputs!$B$2:$B$190,$B167)*Inputs!$D$1),"",SUMIFS(INDEX(Inputs!$B$2:$AZ$190,,MATCH(SUBSTITUTE(AL$3,"Q","T"),Inputs!$B$2:$AZ$2,0)),Inputs!$B$2:$B$190,$B167)*Inputs!$D$1)</f>
        <v>0</v>
      </c>
      <c r="AM167" s="58">
        <f>AL167</f>
        <v>0</v>
      </c>
      <c r="AN167" s="57">
        <f>IF(ISNA(SUMIFS(INDEX(Inputs!$B$2:$AZ$190,,MATCH(SUBSTITUTE(AN$3,"Q","T"),Inputs!$B$2:$AZ$2,0)),Inputs!$B$2:$B$190,$B167)*Inputs!$D$1),"",SUMIFS(INDEX(Inputs!$B$2:$AZ$190,,MATCH(SUBSTITUTE(AN$3,"Q","T"),Inputs!$B$2:$AZ$2,0)),Inputs!$B$2:$B$190,$B167)*Inputs!$D$1)</f>
        <v>0</v>
      </c>
      <c r="AO167" s="57">
        <f>IF(ISNA(SUMIFS(INDEX(Inputs!$B$2:$AZ$190,,MATCH(SUBSTITUTE(AO$3,"Q","T"),Inputs!$B$2:$AZ$2,0)),Inputs!$B$2:$B$190,$B167)*Inputs!$D$1),"",SUMIFS(INDEX(Inputs!$B$2:$AZ$190,,MATCH(SUBSTITUTE(AO$3,"Q","T"),Inputs!$B$2:$AZ$2,0)),Inputs!$B$2:$B$190,$B167)*Inputs!$D$1)</f>
        <v>0</v>
      </c>
      <c r="AP167" s="57">
        <f>IF(ISNA(SUMIFS(INDEX(Inputs!$B$2:$AZ$190,,MATCH(SUBSTITUTE(AP$3,"Q","T"),Inputs!$B$2:$AZ$2,0)),Inputs!$B$2:$B$190,$B167)*Inputs!$D$1),"",SUMIFS(INDEX(Inputs!$B$2:$AZ$190,,MATCH(SUBSTITUTE(AP$3,"Q","T"),Inputs!$B$2:$AZ$2,0)),Inputs!$B$2:$B$190,$B167)*Inputs!$D$1)</f>
        <v>0</v>
      </c>
      <c r="AQ167" s="57">
        <f>IF(ISNA(SUMIFS(INDEX(Inputs!$B$2:$AZ$190,,MATCH(SUBSTITUTE(AQ$3,"Q","T"),Inputs!$B$2:$AZ$2,0)),Inputs!$B$2:$B$190,$B167)*Inputs!$D$1),"",SUMIFS(INDEX(Inputs!$B$2:$AZ$190,,MATCH(SUBSTITUTE(AQ$3,"Q","T"),Inputs!$B$2:$AZ$2,0)),Inputs!$B$2:$B$190,$B167)*Inputs!$D$1)</f>
        <v>0</v>
      </c>
      <c r="AR167" s="58">
        <f>AQ167</f>
        <v>0</v>
      </c>
      <c r="AS167" s="57">
        <f>IF(ISNA(SUMIFS(INDEX(Inputs!$B$2:$AZ$190,,MATCH(SUBSTITUTE(AS$3,"Q","T"),Inputs!$B$2:$AZ$2,0)),Inputs!$B$2:$B$190,$B167)*Inputs!$D$1),"",SUMIFS(INDEX(Inputs!$B$2:$AZ$190,,MATCH(SUBSTITUTE(AS$3,"Q","T"),Inputs!$B$2:$AZ$2,0)),Inputs!$B$2:$B$190,$B167)*Inputs!$D$1)</f>
        <v>0</v>
      </c>
      <c r="AT167" s="57">
        <f>IF(ISNA(SUMIFS(INDEX(Inputs!$B$2:$AZ$190,,MATCH(SUBSTITUTE(AT$3,"Q","T"),Inputs!$B$2:$AZ$2,0)),Inputs!$B$2:$B$190,$B167)*Inputs!$D$1),"",SUMIFS(INDEX(Inputs!$B$2:$AZ$190,,MATCH(SUBSTITUTE(AT$3,"Q","T"),Inputs!$B$2:$AZ$2,0)),Inputs!$B$2:$B$190,$B167)*Inputs!$D$1)</f>
        <v>0</v>
      </c>
      <c r="AU167" s="57">
        <f>IF(ISNA(SUMIFS(INDEX(Inputs!$B$2:$AZ$190,,MATCH(SUBSTITUTE(AU$3,"Q","T"),Inputs!$B$2:$AZ$2,0)),Inputs!$B$2:$B$190,$B167)*Inputs!$D$1),"",SUMIFS(INDEX(Inputs!$B$2:$AZ$190,,MATCH(SUBSTITUTE(AU$3,"Q","T"),Inputs!$B$2:$AZ$2,0)),Inputs!$B$2:$B$190,$B167)*Inputs!$D$1)</f>
        <v>0</v>
      </c>
      <c r="AV167" s="57">
        <f>IF(ISNA(SUMIFS(INDEX(Inputs!$B$2:$AZ$190,,MATCH(SUBSTITUTE(AV$3,"Q","T"),Inputs!$B$2:$AZ$2,0)),Inputs!$B$2:$B$190,$B167)*Inputs!$D$1),"",SUMIFS(INDEX(Inputs!$B$2:$AZ$190,,MATCH(SUBSTITUTE(AV$3,"Q","T"),Inputs!$B$2:$AZ$2,0)),Inputs!$B$2:$B$190,$B167)*Inputs!$D$1)</f>
        <v>0</v>
      </c>
      <c r="AW167" s="58">
        <f>AV167</f>
        <v>0</v>
      </c>
      <c r="AX167" s="57">
        <f>IF(ISNA(SUMIFS(INDEX(Inputs!$B$2:$AZ$190,,MATCH(SUBSTITUTE(AX$3,"Q","T"),Inputs!$B$2:$AZ$2,0)),Inputs!$B$2:$B$190,$B167)*Inputs!$D$1),"",SUMIFS(INDEX(Inputs!$B$2:$AZ$190,,MATCH(SUBSTITUTE(AX$3,"Q","T"),Inputs!$B$2:$AZ$2,0)),Inputs!$B$2:$B$190,$B167)*Inputs!$D$1)</f>
        <v>0</v>
      </c>
      <c r="AY167" s="57">
        <f>IF(ISNA(SUMIFS(INDEX(Inputs!$B$2:$AZ$190,,MATCH(SUBSTITUTE(AY$3,"Q","T"),Inputs!$B$2:$AZ$2,0)),Inputs!$B$2:$B$190,$B167)*Inputs!$D$1),"",SUMIFS(INDEX(Inputs!$B$2:$AZ$190,,MATCH(SUBSTITUTE(AY$3,"Q","T"),Inputs!$B$2:$AZ$2,0)),Inputs!$B$2:$B$190,$B167)*Inputs!$D$1)</f>
        <v>0</v>
      </c>
      <c r="AZ167" s="57">
        <f>IF(ISNA(SUMIFS(INDEX(Inputs!$B$2:$AZ$190,,MATCH(SUBSTITUTE(AZ$3,"Q","T"),Inputs!$B$2:$AZ$2,0)),Inputs!$B$2:$B$190,$B167)*Inputs!$D$1),"",SUMIFS(INDEX(Inputs!$B$2:$AZ$190,,MATCH(SUBSTITUTE(AZ$3,"Q","T"),Inputs!$B$2:$AZ$2,0)),Inputs!$B$2:$B$190,$B167)*Inputs!$D$1)</f>
        <v>0</v>
      </c>
      <c r="BA167" s="57">
        <f>IF(ISNA(SUMIFS(INDEX(Inputs!$B$2:$AZ$190,,MATCH(SUBSTITUTE(BA$3,"Q","T"),Inputs!$B$2:$AZ$2,0)),Inputs!$B$2:$B$190,$B167)*Inputs!$D$1),"",SUMIFS(INDEX(Inputs!$B$2:$AZ$190,,MATCH(SUBSTITUTE(BA$3,"Q","T"),Inputs!$B$2:$AZ$2,0)),Inputs!$B$2:$B$190,$B167)*Inputs!$D$1)</f>
        <v>0</v>
      </c>
      <c r="BB167" s="58">
        <f>BA167</f>
        <v>0</v>
      </c>
      <c r="BC167" s="57">
        <f>IF(ISNA(SUMIFS(INDEX(Inputs!$B$2:$AZ$190,,MATCH(SUBSTITUTE(BC$3,"Q","T"),Inputs!$B$2:$AZ$2,0)),Inputs!$B$2:$B$190,$B167)*Inputs!$D$1),"",SUMIFS(INDEX(Inputs!$B$2:$AZ$190,,MATCH(SUBSTITUTE(BC$3,"Q","T"),Inputs!$B$2:$AZ$2,0)),Inputs!$B$2:$B$190,$B167)*Inputs!$D$1)</f>
        <v>0</v>
      </c>
      <c r="BD167" s="57">
        <f>IF(ISNA(SUMIFS(INDEX(Inputs!$B$2:$AZ$190,,MATCH(SUBSTITUTE(BD$3,"Q","T"),Inputs!$B$2:$AZ$2,0)),Inputs!$B$2:$B$190,$B167)*Inputs!$D$1),"",SUMIFS(INDEX(Inputs!$B$2:$AZ$190,,MATCH(SUBSTITUTE(BD$3,"Q","T"),Inputs!$B$2:$AZ$2,0)),Inputs!$B$2:$B$190,$B167)*Inputs!$D$1)</f>
        <v>0</v>
      </c>
      <c r="BE167" s="57">
        <f>IF(ISNA(SUMIFS(INDEX(Inputs!$B$2:$AZ$190,,MATCH(SUBSTITUTE(BE$3,"Q","T"),Inputs!$B$2:$AZ$2,0)),Inputs!$B$2:$B$190,$B167)*Inputs!$D$1),"",SUMIFS(INDEX(Inputs!$B$2:$AZ$190,,MATCH(SUBSTITUTE(BE$3,"Q","T"),Inputs!$B$2:$AZ$2,0)),Inputs!$B$2:$B$190,$B167)*Inputs!$D$1)</f>
        <v>0</v>
      </c>
      <c r="BF167" s="57">
        <f>IF(ISNA(SUMIFS(INDEX(Inputs!$B$2:$AZ$190,,MATCH(SUBSTITUTE(BF$3,"Q","T"),Inputs!$B$2:$AZ$2,0)),Inputs!$B$2:$B$190,$B167)*Inputs!$D$1),"",SUMIFS(INDEX(Inputs!$B$2:$AZ$190,,MATCH(SUBSTITUTE(BF$3,"Q","T"),Inputs!$B$2:$AZ$2,0)),Inputs!$B$2:$B$190,$B167)*Inputs!$D$1)</f>
        <v>0</v>
      </c>
      <c r="BG167" s="58">
        <f>BF167</f>
        <v>0</v>
      </c>
    </row>
    <row r="168" hidden="1" outlineLevel="1">
      <c r="B168" s="56" t="inlineStr">
        <is>
          <t>seg3_rev</t>
        </is>
      </c>
      <c r="C168" s="11" t="inlineStr">
        <is>
          <t>Segmento 3 — receita líquida (ex.: Asset &amp; Wealth Management)</t>
        </is>
      </c>
      <c r="D168" s="12" t="inlineStr">
        <is>
          <t>Segment 3 — net revenue</t>
        </is>
      </c>
      <c r="E168" s="57">
        <f>IF(ISNA(SUMIFS(INDEX(Inputs!$B$2:$AZ$190,,MATCH(SUBSTITUTE(E$3,"Q","T"),Inputs!$B$2:$AZ$2,0)),Inputs!$B$2:$B$190,$B168)*Inputs!$D$1),"",SUMIFS(INDEX(Inputs!$B$2:$AZ$190,,MATCH(SUBSTITUTE(E$3,"Q","T"),Inputs!$B$2:$AZ$2,0)),Inputs!$B$2:$B$190,$B168)*Inputs!$D$1)</f>
        <v>0</v>
      </c>
      <c r="F168" s="57">
        <f>IF(ISNA(SUMIFS(INDEX(Inputs!$B$2:$AZ$190,,MATCH(SUBSTITUTE(F$3,"Q","T"),Inputs!$B$2:$AZ$2,0)),Inputs!$B$2:$B$190,$B168)*Inputs!$D$1),"",SUMIFS(INDEX(Inputs!$B$2:$AZ$190,,MATCH(SUBSTITUTE(F$3,"Q","T"),Inputs!$B$2:$AZ$2,0)),Inputs!$B$2:$B$190,$B168)*Inputs!$D$1)</f>
        <v>0</v>
      </c>
      <c r="G168" s="57">
        <f>IF(ISNA(SUMIFS(INDEX(Inputs!$B$2:$AZ$190,,MATCH(SUBSTITUTE(G$3,"Q","T"),Inputs!$B$2:$AZ$2,0)),Inputs!$B$2:$B$190,$B168)*Inputs!$D$1),"",SUMIFS(INDEX(Inputs!$B$2:$AZ$190,,MATCH(SUBSTITUTE(G$3,"Q","T"),Inputs!$B$2:$AZ$2,0)),Inputs!$B$2:$B$190,$B168)*Inputs!$D$1)</f>
        <v>0</v>
      </c>
      <c r="H168" s="57">
        <f>IF(ISNA(SUMIFS(INDEX(Inputs!$B$2:$AZ$190,,MATCH(SUBSTITUTE(H$3,"Q","T"),Inputs!$B$2:$AZ$2,0)),Inputs!$B$2:$B$190,$B168)*Inputs!$D$1),"",SUMIFS(INDEX(Inputs!$B$2:$AZ$190,,MATCH(SUBSTITUTE(H$3,"Q","T"),Inputs!$B$2:$AZ$2,0)),Inputs!$B$2:$B$190,$B168)*Inputs!$D$1)</f>
        <v>0</v>
      </c>
      <c r="I168" s="58">
        <f>H168</f>
        <v>0</v>
      </c>
      <c r="J168" s="57">
        <f>IF(ISNA(SUMIFS(INDEX(Inputs!$B$2:$AZ$190,,MATCH(SUBSTITUTE(J$3,"Q","T"),Inputs!$B$2:$AZ$2,0)),Inputs!$B$2:$B$190,$B168)*Inputs!$D$1),"",SUMIFS(INDEX(Inputs!$B$2:$AZ$190,,MATCH(SUBSTITUTE(J$3,"Q","T"),Inputs!$B$2:$AZ$2,0)),Inputs!$B$2:$B$190,$B168)*Inputs!$D$1)</f>
        <v>0</v>
      </c>
      <c r="K168" s="57">
        <f>IF(ISNA(SUMIFS(INDEX(Inputs!$B$2:$AZ$190,,MATCH(SUBSTITUTE(K$3,"Q","T"),Inputs!$B$2:$AZ$2,0)),Inputs!$B$2:$B$190,$B168)*Inputs!$D$1),"",SUMIFS(INDEX(Inputs!$B$2:$AZ$190,,MATCH(SUBSTITUTE(K$3,"Q","T"),Inputs!$B$2:$AZ$2,0)),Inputs!$B$2:$B$190,$B168)*Inputs!$D$1)</f>
        <v>0</v>
      </c>
      <c r="L168" s="57">
        <f>IF(ISNA(SUMIFS(INDEX(Inputs!$B$2:$AZ$190,,MATCH(SUBSTITUTE(L$3,"Q","T"),Inputs!$B$2:$AZ$2,0)),Inputs!$B$2:$B$190,$B168)*Inputs!$D$1),"",SUMIFS(INDEX(Inputs!$B$2:$AZ$190,,MATCH(SUBSTITUTE(L$3,"Q","T"),Inputs!$B$2:$AZ$2,0)),Inputs!$B$2:$B$190,$B168)*Inputs!$D$1)</f>
        <v>0</v>
      </c>
      <c r="M168" s="57">
        <f>IF(ISNA(SUMIFS(INDEX(Inputs!$B$2:$AZ$190,,MATCH(SUBSTITUTE(M$3,"Q","T"),Inputs!$B$2:$AZ$2,0)),Inputs!$B$2:$B$190,$B168)*Inputs!$D$1),"",SUMIFS(INDEX(Inputs!$B$2:$AZ$190,,MATCH(SUBSTITUTE(M$3,"Q","T"),Inputs!$B$2:$AZ$2,0)),Inputs!$B$2:$B$190,$B168)*Inputs!$D$1)</f>
        <v>0</v>
      </c>
      <c r="N168" s="58">
        <f>M168</f>
        <v>0</v>
      </c>
      <c r="O168" s="57">
        <f>IF(ISNA(SUMIFS(INDEX(Inputs!$B$2:$AZ$190,,MATCH(SUBSTITUTE(O$3,"Q","T"),Inputs!$B$2:$AZ$2,0)),Inputs!$B$2:$B$190,$B168)*Inputs!$D$1),"",SUMIFS(INDEX(Inputs!$B$2:$AZ$190,,MATCH(SUBSTITUTE(O$3,"Q","T"),Inputs!$B$2:$AZ$2,0)),Inputs!$B$2:$B$190,$B168)*Inputs!$D$1)</f>
        <v>0</v>
      </c>
      <c r="P168" s="57">
        <f>IF(ISNA(SUMIFS(INDEX(Inputs!$B$2:$AZ$190,,MATCH(SUBSTITUTE(P$3,"Q","T"),Inputs!$B$2:$AZ$2,0)),Inputs!$B$2:$B$190,$B168)*Inputs!$D$1),"",SUMIFS(INDEX(Inputs!$B$2:$AZ$190,,MATCH(SUBSTITUTE(P$3,"Q","T"),Inputs!$B$2:$AZ$2,0)),Inputs!$B$2:$B$190,$B168)*Inputs!$D$1)</f>
        <v>0</v>
      </c>
      <c r="Q168" s="57">
        <f>IF(ISNA(SUMIFS(INDEX(Inputs!$B$2:$AZ$190,,MATCH(SUBSTITUTE(Q$3,"Q","T"),Inputs!$B$2:$AZ$2,0)),Inputs!$B$2:$B$190,$B168)*Inputs!$D$1),"",SUMIFS(INDEX(Inputs!$B$2:$AZ$190,,MATCH(SUBSTITUTE(Q$3,"Q","T"),Inputs!$B$2:$AZ$2,0)),Inputs!$B$2:$B$190,$B168)*Inputs!$D$1)</f>
        <v>0</v>
      </c>
      <c r="R168" s="57">
        <f>IF(ISNA(SUMIFS(INDEX(Inputs!$B$2:$AZ$190,,MATCH(SUBSTITUTE(R$3,"Q","T"),Inputs!$B$2:$AZ$2,0)),Inputs!$B$2:$B$190,$B168)*Inputs!$D$1),"",SUMIFS(INDEX(Inputs!$B$2:$AZ$190,,MATCH(SUBSTITUTE(R$3,"Q","T"),Inputs!$B$2:$AZ$2,0)),Inputs!$B$2:$B$190,$B168)*Inputs!$D$1)</f>
        <v>0</v>
      </c>
      <c r="S168" s="58">
        <f>R168</f>
        <v>0</v>
      </c>
      <c r="T168" s="57">
        <f>IF(ISNA(SUMIFS(INDEX(Inputs!$B$2:$AZ$190,,MATCH(SUBSTITUTE(T$3,"Q","T"),Inputs!$B$2:$AZ$2,0)),Inputs!$B$2:$B$190,$B168)*Inputs!$D$1),"",SUMIFS(INDEX(Inputs!$B$2:$AZ$190,,MATCH(SUBSTITUTE(T$3,"Q","T"),Inputs!$B$2:$AZ$2,0)),Inputs!$B$2:$B$190,$B168)*Inputs!$D$1)</f>
        <v>0</v>
      </c>
      <c r="U168" s="57">
        <f>IF(ISNA(SUMIFS(INDEX(Inputs!$B$2:$AZ$190,,MATCH(SUBSTITUTE(U$3,"Q","T"),Inputs!$B$2:$AZ$2,0)),Inputs!$B$2:$B$190,$B168)*Inputs!$D$1),"",SUMIFS(INDEX(Inputs!$B$2:$AZ$190,,MATCH(SUBSTITUTE(U$3,"Q","T"),Inputs!$B$2:$AZ$2,0)),Inputs!$B$2:$B$190,$B168)*Inputs!$D$1)</f>
        <v>0</v>
      </c>
      <c r="V168" s="57">
        <f>IF(ISNA(SUMIFS(INDEX(Inputs!$B$2:$AZ$190,,MATCH(SUBSTITUTE(V$3,"Q","T"),Inputs!$B$2:$AZ$2,0)),Inputs!$B$2:$B$190,$B168)*Inputs!$D$1),"",SUMIFS(INDEX(Inputs!$B$2:$AZ$190,,MATCH(SUBSTITUTE(V$3,"Q","T"),Inputs!$B$2:$AZ$2,0)),Inputs!$B$2:$B$190,$B168)*Inputs!$D$1)</f>
        <v>0</v>
      </c>
      <c r="W168" s="57">
        <f>IF(ISNA(SUMIFS(INDEX(Inputs!$B$2:$AZ$190,,MATCH(SUBSTITUTE(W$3,"Q","T"),Inputs!$B$2:$AZ$2,0)),Inputs!$B$2:$B$190,$B168)*Inputs!$D$1),"",SUMIFS(INDEX(Inputs!$B$2:$AZ$190,,MATCH(SUBSTITUTE(W$3,"Q","T"),Inputs!$B$2:$AZ$2,0)),Inputs!$B$2:$B$190,$B168)*Inputs!$D$1)</f>
        <v>0</v>
      </c>
      <c r="X168" s="58">
        <f>W168</f>
        <v>0</v>
      </c>
      <c r="Y168" s="57">
        <f>IF(ISNA(SUMIFS(INDEX(Inputs!$B$2:$AZ$190,,MATCH(SUBSTITUTE(Y$3,"Q","T"),Inputs!$B$2:$AZ$2,0)),Inputs!$B$2:$B$190,$B168)*Inputs!$D$1),"",SUMIFS(INDEX(Inputs!$B$2:$AZ$190,,MATCH(SUBSTITUTE(Y$3,"Q","T"),Inputs!$B$2:$AZ$2,0)),Inputs!$B$2:$B$190,$B168)*Inputs!$D$1)</f>
        <v>0</v>
      </c>
      <c r="Z168" s="57">
        <f>IF(ISNA(SUMIFS(INDEX(Inputs!$B$2:$AZ$190,,MATCH(SUBSTITUTE(Z$3,"Q","T"),Inputs!$B$2:$AZ$2,0)),Inputs!$B$2:$B$190,$B168)*Inputs!$D$1),"",SUMIFS(INDEX(Inputs!$B$2:$AZ$190,,MATCH(SUBSTITUTE(Z$3,"Q","T"),Inputs!$B$2:$AZ$2,0)),Inputs!$B$2:$B$190,$B168)*Inputs!$D$1)</f>
        <v>0</v>
      </c>
      <c r="AA168" s="57">
        <f>IF(ISNA(SUMIFS(INDEX(Inputs!$B$2:$AZ$190,,MATCH(SUBSTITUTE(AA$3,"Q","T"),Inputs!$B$2:$AZ$2,0)),Inputs!$B$2:$B$190,$B168)*Inputs!$D$1),"",SUMIFS(INDEX(Inputs!$B$2:$AZ$190,,MATCH(SUBSTITUTE(AA$3,"Q","T"),Inputs!$B$2:$AZ$2,0)),Inputs!$B$2:$B$190,$B168)*Inputs!$D$1)</f>
        <v>0</v>
      </c>
      <c r="AB168" s="57">
        <f>IF(ISNA(SUMIFS(INDEX(Inputs!$B$2:$AZ$190,,MATCH(SUBSTITUTE(AB$3,"Q","T"),Inputs!$B$2:$AZ$2,0)),Inputs!$B$2:$B$190,$B168)*Inputs!$D$1),"",SUMIFS(INDEX(Inputs!$B$2:$AZ$190,,MATCH(SUBSTITUTE(AB$3,"Q","T"),Inputs!$B$2:$AZ$2,0)),Inputs!$B$2:$B$190,$B168)*Inputs!$D$1)</f>
        <v>0</v>
      </c>
      <c r="AC168" s="58">
        <f>AB168</f>
        <v>0</v>
      </c>
      <c r="AD168" s="57">
        <f>IF(ISNA(SUMIFS(INDEX(Inputs!$B$2:$AZ$190,,MATCH(SUBSTITUTE(AD$3,"Q","T"),Inputs!$B$2:$AZ$2,0)),Inputs!$B$2:$B$190,$B168)*Inputs!$D$1),"",SUMIFS(INDEX(Inputs!$B$2:$AZ$190,,MATCH(SUBSTITUTE(AD$3,"Q","T"),Inputs!$B$2:$AZ$2,0)),Inputs!$B$2:$B$190,$B168)*Inputs!$D$1)</f>
        <v>0</v>
      </c>
      <c r="AE168" s="57">
        <f>IF(ISNA(SUMIFS(INDEX(Inputs!$B$2:$AZ$190,,MATCH(SUBSTITUTE(AE$3,"Q","T"),Inputs!$B$2:$AZ$2,0)),Inputs!$B$2:$B$190,$B168)*Inputs!$D$1),"",SUMIFS(INDEX(Inputs!$B$2:$AZ$190,,MATCH(SUBSTITUTE(AE$3,"Q","T"),Inputs!$B$2:$AZ$2,0)),Inputs!$B$2:$B$190,$B168)*Inputs!$D$1)</f>
        <v>0</v>
      </c>
      <c r="AF168" s="57">
        <f>IF(ISNA(SUMIFS(INDEX(Inputs!$B$2:$AZ$190,,MATCH(SUBSTITUTE(AF$3,"Q","T"),Inputs!$B$2:$AZ$2,0)),Inputs!$B$2:$B$190,$B168)*Inputs!$D$1),"",SUMIFS(INDEX(Inputs!$B$2:$AZ$190,,MATCH(SUBSTITUTE(AF$3,"Q","T"),Inputs!$B$2:$AZ$2,0)),Inputs!$B$2:$B$190,$B168)*Inputs!$D$1)</f>
        <v>0</v>
      </c>
      <c r="AG168" s="57">
        <f>IF(ISNA(SUMIFS(INDEX(Inputs!$B$2:$AZ$190,,MATCH(SUBSTITUTE(AG$3,"Q","T"),Inputs!$B$2:$AZ$2,0)),Inputs!$B$2:$B$190,$B168)*Inputs!$D$1),"",SUMIFS(INDEX(Inputs!$B$2:$AZ$190,,MATCH(SUBSTITUTE(AG$3,"Q","T"),Inputs!$B$2:$AZ$2,0)),Inputs!$B$2:$B$190,$B168)*Inputs!$D$1)</f>
        <v>0</v>
      </c>
      <c r="AH168" s="58">
        <f>AG168</f>
        <v>0</v>
      </c>
      <c r="AI168" s="57">
        <f>IF(ISNA(SUMIFS(INDEX(Inputs!$B$2:$AZ$190,,MATCH(SUBSTITUTE(AI$3,"Q","T"),Inputs!$B$2:$AZ$2,0)),Inputs!$B$2:$B$190,$B168)*Inputs!$D$1),"",SUMIFS(INDEX(Inputs!$B$2:$AZ$190,,MATCH(SUBSTITUTE(AI$3,"Q","T"),Inputs!$B$2:$AZ$2,0)),Inputs!$B$2:$B$190,$B168)*Inputs!$D$1)</f>
        <v>0</v>
      </c>
      <c r="AJ168" s="57">
        <f>IF(ISNA(SUMIFS(INDEX(Inputs!$B$2:$AZ$190,,MATCH(SUBSTITUTE(AJ$3,"Q","T"),Inputs!$B$2:$AZ$2,0)),Inputs!$B$2:$B$190,$B168)*Inputs!$D$1),"",SUMIFS(INDEX(Inputs!$B$2:$AZ$190,,MATCH(SUBSTITUTE(AJ$3,"Q","T"),Inputs!$B$2:$AZ$2,0)),Inputs!$B$2:$B$190,$B168)*Inputs!$D$1)</f>
        <v>0</v>
      </c>
      <c r="AK168" s="57">
        <f>IF(ISNA(SUMIFS(INDEX(Inputs!$B$2:$AZ$190,,MATCH(SUBSTITUTE(AK$3,"Q","T"),Inputs!$B$2:$AZ$2,0)),Inputs!$B$2:$B$190,$B168)*Inputs!$D$1),"",SUMIFS(INDEX(Inputs!$B$2:$AZ$190,,MATCH(SUBSTITUTE(AK$3,"Q","T"),Inputs!$B$2:$AZ$2,0)),Inputs!$B$2:$B$190,$B168)*Inputs!$D$1)</f>
        <v>0</v>
      </c>
      <c r="AL168" s="57">
        <f>IF(ISNA(SUMIFS(INDEX(Inputs!$B$2:$AZ$190,,MATCH(SUBSTITUTE(AL$3,"Q","T"),Inputs!$B$2:$AZ$2,0)),Inputs!$B$2:$B$190,$B168)*Inputs!$D$1),"",SUMIFS(INDEX(Inputs!$B$2:$AZ$190,,MATCH(SUBSTITUTE(AL$3,"Q","T"),Inputs!$B$2:$AZ$2,0)),Inputs!$B$2:$B$190,$B168)*Inputs!$D$1)</f>
        <v>0</v>
      </c>
      <c r="AM168" s="58">
        <f>AL168</f>
        <v>0</v>
      </c>
      <c r="AN168" s="57">
        <f>IF(ISNA(SUMIFS(INDEX(Inputs!$B$2:$AZ$190,,MATCH(SUBSTITUTE(AN$3,"Q","T"),Inputs!$B$2:$AZ$2,0)),Inputs!$B$2:$B$190,$B168)*Inputs!$D$1),"",SUMIFS(INDEX(Inputs!$B$2:$AZ$190,,MATCH(SUBSTITUTE(AN$3,"Q","T"),Inputs!$B$2:$AZ$2,0)),Inputs!$B$2:$B$190,$B168)*Inputs!$D$1)</f>
        <v>0</v>
      </c>
      <c r="AO168" s="57">
        <f>IF(ISNA(SUMIFS(INDEX(Inputs!$B$2:$AZ$190,,MATCH(SUBSTITUTE(AO$3,"Q","T"),Inputs!$B$2:$AZ$2,0)),Inputs!$B$2:$B$190,$B168)*Inputs!$D$1),"",SUMIFS(INDEX(Inputs!$B$2:$AZ$190,,MATCH(SUBSTITUTE(AO$3,"Q","T"),Inputs!$B$2:$AZ$2,0)),Inputs!$B$2:$B$190,$B168)*Inputs!$D$1)</f>
        <v>0</v>
      </c>
      <c r="AP168" s="57">
        <f>IF(ISNA(SUMIFS(INDEX(Inputs!$B$2:$AZ$190,,MATCH(SUBSTITUTE(AP$3,"Q","T"),Inputs!$B$2:$AZ$2,0)),Inputs!$B$2:$B$190,$B168)*Inputs!$D$1),"",SUMIFS(INDEX(Inputs!$B$2:$AZ$190,,MATCH(SUBSTITUTE(AP$3,"Q","T"),Inputs!$B$2:$AZ$2,0)),Inputs!$B$2:$B$190,$B168)*Inputs!$D$1)</f>
        <v>0</v>
      </c>
      <c r="AQ168" s="57">
        <f>IF(ISNA(SUMIFS(INDEX(Inputs!$B$2:$AZ$190,,MATCH(SUBSTITUTE(AQ$3,"Q","T"),Inputs!$B$2:$AZ$2,0)),Inputs!$B$2:$B$190,$B168)*Inputs!$D$1),"",SUMIFS(INDEX(Inputs!$B$2:$AZ$190,,MATCH(SUBSTITUTE(AQ$3,"Q","T"),Inputs!$B$2:$AZ$2,0)),Inputs!$B$2:$B$190,$B168)*Inputs!$D$1)</f>
        <v>0</v>
      </c>
      <c r="AR168" s="58">
        <f>AQ168</f>
        <v>0</v>
      </c>
      <c r="AS168" s="57">
        <f>IF(ISNA(SUMIFS(INDEX(Inputs!$B$2:$AZ$190,,MATCH(SUBSTITUTE(AS$3,"Q","T"),Inputs!$B$2:$AZ$2,0)),Inputs!$B$2:$B$190,$B168)*Inputs!$D$1),"",SUMIFS(INDEX(Inputs!$B$2:$AZ$190,,MATCH(SUBSTITUTE(AS$3,"Q","T"),Inputs!$B$2:$AZ$2,0)),Inputs!$B$2:$B$190,$B168)*Inputs!$D$1)</f>
        <v>0</v>
      </c>
      <c r="AT168" s="57">
        <f>IF(ISNA(SUMIFS(INDEX(Inputs!$B$2:$AZ$190,,MATCH(SUBSTITUTE(AT$3,"Q","T"),Inputs!$B$2:$AZ$2,0)),Inputs!$B$2:$B$190,$B168)*Inputs!$D$1),"",SUMIFS(INDEX(Inputs!$B$2:$AZ$190,,MATCH(SUBSTITUTE(AT$3,"Q","T"),Inputs!$B$2:$AZ$2,0)),Inputs!$B$2:$B$190,$B168)*Inputs!$D$1)</f>
        <v>0</v>
      </c>
      <c r="AU168" s="57">
        <f>IF(ISNA(SUMIFS(INDEX(Inputs!$B$2:$AZ$190,,MATCH(SUBSTITUTE(AU$3,"Q","T"),Inputs!$B$2:$AZ$2,0)),Inputs!$B$2:$B$190,$B168)*Inputs!$D$1),"",SUMIFS(INDEX(Inputs!$B$2:$AZ$190,,MATCH(SUBSTITUTE(AU$3,"Q","T"),Inputs!$B$2:$AZ$2,0)),Inputs!$B$2:$B$190,$B168)*Inputs!$D$1)</f>
        <v>0</v>
      </c>
      <c r="AV168" s="57">
        <f>IF(ISNA(SUMIFS(INDEX(Inputs!$B$2:$AZ$190,,MATCH(SUBSTITUTE(AV$3,"Q","T"),Inputs!$B$2:$AZ$2,0)),Inputs!$B$2:$B$190,$B168)*Inputs!$D$1),"",SUMIFS(INDEX(Inputs!$B$2:$AZ$190,,MATCH(SUBSTITUTE(AV$3,"Q","T"),Inputs!$B$2:$AZ$2,0)),Inputs!$B$2:$B$190,$B168)*Inputs!$D$1)</f>
        <v>0</v>
      </c>
      <c r="AW168" s="58">
        <f>AV168</f>
        <v>0</v>
      </c>
      <c r="AX168" s="57">
        <f>IF(ISNA(SUMIFS(INDEX(Inputs!$B$2:$AZ$190,,MATCH(SUBSTITUTE(AX$3,"Q","T"),Inputs!$B$2:$AZ$2,0)),Inputs!$B$2:$B$190,$B168)*Inputs!$D$1),"",SUMIFS(INDEX(Inputs!$B$2:$AZ$190,,MATCH(SUBSTITUTE(AX$3,"Q","T"),Inputs!$B$2:$AZ$2,0)),Inputs!$B$2:$B$190,$B168)*Inputs!$D$1)</f>
        <v>0</v>
      </c>
      <c r="AY168" s="57">
        <f>IF(ISNA(SUMIFS(INDEX(Inputs!$B$2:$AZ$190,,MATCH(SUBSTITUTE(AY$3,"Q","T"),Inputs!$B$2:$AZ$2,0)),Inputs!$B$2:$B$190,$B168)*Inputs!$D$1),"",SUMIFS(INDEX(Inputs!$B$2:$AZ$190,,MATCH(SUBSTITUTE(AY$3,"Q","T"),Inputs!$B$2:$AZ$2,0)),Inputs!$B$2:$B$190,$B168)*Inputs!$D$1)</f>
        <v>0</v>
      </c>
      <c r="AZ168" s="57">
        <f>IF(ISNA(SUMIFS(INDEX(Inputs!$B$2:$AZ$190,,MATCH(SUBSTITUTE(AZ$3,"Q","T"),Inputs!$B$2:$AZ$2,0)),Inputs!$B$2:$B$190,$B168)*Inputs!$D$1),"",SUMIFS(INDEX(Inputs!$B$2:$AZ$190,,MATCH(SUBSTITUTE(AZ$3,"Q","T"),Inputs!$B$2:$AZ$2,0)),Inputs!$B$2:$B$190,$B168)*Inputs!$D$1)</f>
        <v>0</v>
      </c>
      <c r="BA168" s="57">
        <f>IF(ISNA(SUMIFS(INDEX(Inputs!$B$2:$AZ$190,,MATCH(SUBSTITUTE(BA$3,"Q","T"),Inputs!$B$2:$AZ$2,0)),Inputs!$B$2:$B$190,$B168)*Inputs!$D$1),"",SUMIFS(INDEX(Inputs!$B$2:$AZ$190,,MATCH(SUBSTITUTE(BA$3,"Q","T"),Inputs!$B$2:$AZ$2,0)),Inputs!$B$2:$B$190,$B168)*Inputs!$D$1)</f>
        <v>0</v>
      </c>
      <c r="BB168" s="58">
        <f>BA168</f>
        <v>0</v>
      </c>
      <c r="BC168" s="57">
        <f>IF(ISNA(SUMIFS(INDEX(Inputs!$B$2:$AZ$190,,MATCH(SUBSTITUTE(BC$3,"Q","T"),Inputs!$B$2:$AZ$2,0)),Inputs!$B$2:$B$190,$B168)*Inputs!$D$1),"",SUMIFS(INDEX(Inputs!$B$2:$AZ$190,,MATCH(SUBSTITUTE(BC$3,"Q","T"),Inputs!$B$2:$AZ$2,0)),Inputs!$B$2:$B$190,$B168)*Inputs!$D$1)</f>
        <v>0</v>
      </c>
      <c r="BD168" s="57">
        <f>IF(ISNA(SUMIFS(INDEX(Inputs!$B$2:$AZ$190,,MATCH(SUBSTITUTE(BD$3,"Q","T"),Inputs!$B$2:$AZ$2,0)),Inputs!$B$2:$B$190,$B168)*Inputs!$D$1),"",SUMIFS(INDEX(Inputs!$B$2:$AZ$190,,MATCH(SUBSTITUTE(BD$3,"Q","T"),Inputs!$B$2:$AZ$2,0)),Inputs!$B$2:$B$190,$B168)*Inputs!$D$1)</f>
        <v>0</v>
      </c>
      <c r="BE168" s="57">
        <f>IF(ISNA(SUMIFS(INDEX(Inputs!$B$2:$AZ$190,,MATCH(SUBSTITUTE(BE$3,"Q","T"),Inputs!$B$2:$AZ$2,0)),Inputs!$B$2:$B$190,$B168)*Inputs!$D$1),"",SUMIFS(INDEX(Inputs!$B$2:$AZ$190,,MATCH(SUBSTITUTE(BE$3,"Q","T"),Inputs!$B$2:$AZ$2,0)),Inputs!$B$2:$B$190,$B168)*Inputs!$D$1)</f>
        <v>0</v>
      </c>
      <c r="BF168" s="57">
        <f>IF(ISNA(SUMIFS(INDEX(Inputs!$B$2:$AZ$190,,MATCH(SUBSTITUTE(BF$3,"Q","T"),Inputs!$B$2:$AZ$2,0)),Inputs!$B$2:$B$190,$B168)*Inputs!$D$1),"",SUMIFS(INDEX(Inputs!$B$2:$AZ$190,,MATCH(SUBSTITUTE(BF$3,"Q","T"),Inputs!$B$2:$AZ$2,0)),Inputs!$B$2:$B$190,$B168)*Inputs!$D$1)</f>
        <v>0</v>
      </c>
      <c r="BG168" s="58">
        <f>BF168</f>
        <v>0</v>
      </c>
    </row>
    <row r="169" hidden="1" outlineLevel="1">
      <c r="B169" s="56" t="inlineStr">
        <is>
          <t>seg4_rev</t>
        </is>
      </c>
      <c r="C169" s="11" t="inlineStr">
        <is>
          <t>Segmento 4 — receita líquida (ex.: Corporate)</t>
        </is>
      </c>
      <c r="D169" s="12" t="inlineStr">
        <is>
          <t>Segment 4 — net revenue</t>
        </is>
      </c>
      <c r="E169" s="57">
        <f>IF(ISNA(SUMIFS(INDEX(Inputs!$B$2:$AZ$190,,MATCH(SUBSTITUTE(E$3,"Q","T"),Inputs!$B$2:$AZ$2,0)),Inputs!$B$2:$B$190,$B169)*Inputs!$D$1),"",SUMIFS(INDEX(Inputs!$B$2:$AZ$190,,MATCH(SUBSTITUTE(E$3,"Q","T"),Inputs!$B$2:$AZ$2,0)),Inputs!$B$2:$B$190,$B169)*Inputs!$D$1)</f>
        <v>0</v>
      </c>
      <c r="F169" s="57">
        <f>IF(ISNA(SUMIFS(INDEX(Inputs!$B$2:$AZ$190,,MATCH(SUBSTITUTE(F$3,"Q","T"),Inputs!$B$2:$AZ$2,0)),Inputs!$B$2:$B$190,$B169)*Inputs!$D$1),"",SUMIFS(INDEX(Inputs!$B$2:$AZ$190,,MATCH(SUBSTITUTE(F$3,"Q","T"),Inputs!$B$2:$AZ$2,0)),Inputs!$B$2:$B$190,$B169)*Inputs!$D$1)</f>
        <v>0</v>
      </c>
      <c r="G169" s="57">
        <f>IF(ISNA(SUMIFS(INDEX(Inputs!$B$2:$AZ$190,,MATCH(SUBSTITUTE(G$3,"Q","T"),Inputs!$B$2:$AZ$2,0)),Inputs!$B$2:$B$190,$B169)*Inputs!$D$1),"",SUMIFS(INDEX(Inputs!$B$2:$AZ$190,,MATCH(SUBSTITUTE(G$3,"Q","T"),Inputs!$B$2:$AZ$2,0)),Inputs!$B$2:$B$190,$B169)*Inputs!$D$1)</f>
        <v>0</v>
      </c>
      <c r="H169" s="57">
        <f>IF(ISNA(SUMIFS(INDEX(Inputs!$B$2:$AZ$190,,MATCH(SUBSTITUTE(H$3,"Q","T"),Inputs!$B$2:$AZ$2,0)),Inputs!$B$2:$B$190,$B169)*Inputs!$D$1),"",SUMIFS(INDEX(Inputs!$B$2:$AZ$190,,MATCH(SUBSTITUTE(H$3,"Q","T"),Inputs!$B$2:$AZ$2,0)),Inputs!$B$2:$B$190,$B169)*Inputs!$D$1)</f>
        <v>0</v>
      </c>
      <c r="I169" s="58">
        <f>H169</f>
        <v>0</v>
      </c>
      <c r="J169" s="57">
        <f>IF(ISNA(SUMIFS(INDEX(Inputs!$B$2:$AZ$190,,MATCH(SUBSTITUTE(J$3,"Q","T"),Inputs!$B$2:$AZ$2,0)),Inputs!$B$2:$B$190,$B169)*Inputs!$D$1),"",SUMIFS(INDEX(Inputs!$B$2:$AZ$190,,MATCH(SUBSTITUTE(J$3,"Q","T"),Inputs!$B$2:$AZ$2,0)),Inputs!$B$2:$B$190,$B169)*Inputs!$D$1)</f>
        <v>0</v>
      </c>
      <c r="K169" s="57">
        <f>IF(ISNA(SUMIFS(INDEX(Inputs!$B$2:$AZ$190,,MATCH(SUBSTITUTE(K$3,"Q","T"),Inputs!$B$2:$AZ$2,0)),Inputs!$B$2:$B$190,$B169)*Inputs!$D$1),"",SUMIFS(INDEX(Inputs!$B$2:$AZ$190,,MATCH(SUBSTITUTE(K$3,"Q","T"),Inputs!$B$2:$AZ$2,0)),Inputs!$B$2:$B$190,$B169)*Inputs!$D$1)</f>
        <v>0</v>
      </c>
      <c r="L169" s="57">
        <f>IF(ISNA(SUMIFS(INDEX(Inputs!$B$2:$AZ$190,,MATCH(SUBSTITUTE(L$3,"Q","T"),Inputs!$B$2:$AZ$2,0)),Inputs!$B$2:$B$190,$B169)*Inputs!$D$1),"",SUMIFS(INDEX(Inputs!$B$2:$AZ$190,,MATCH(SUBSTITUTE(L$3,"Q","T"),Inputs!$B$2:$AZ$2,0)),Inputs!$B$2:$B$190,$B169)*Inputs!$D$1)</f>
        <v>0</v>
      </c>
      <c r="M169" s="57">
        <f>IF(ISNA(SUMIFS(INDEX(Inputs!$B$2:$AZ$190,,MATCH(SUBSTITUTE(M$3,"Q","T"),Inputs!$B$2:$AZ$2,0)),Inputs!$B$2:$B$190,$B169)*Inputs!$D$1),"",SUMIFS(INDEX(Inputs!$B$2:$AZ$190,,MATCH(SUBSTITUTE(M$3,"Q","T"),Inputs!$B$2:$AZ$2,0)),Inputs!$B$2:$B$190,$B169)*Inputs!$D$1)</f>
        <v>0</v>
      </c>
      <c r="N169" s="58">
        <f>M169</f>
        <v>0</v>
      </c>
      <c r="O169" s="57">
        <f>IF(ISNA(SUMIFS(INDEX(Inputs!$B$2:$AZ$190,,MATCH(SUBSTITUTE(O$3,"Q","T"),Inputs!$B$2:$AZ$2,0)),Inputs!$B$2:$B$190,$B169)*Inputs!$D$1),"",SUMIFS(INDEX(Inputs!$B$2:$AZ$190,,MATCH(SUBSTITUTE(O$3,"Q","T"),Inputs!$B$2:$AZ$2,0)),Inputs!$B$2:$B$190,$B169)*Inputs!$D$1)</f>
        <v>0</v>
      </c>
      <c r="P169" s="57">
        <f>IF(ISNA(SUMIFS(INDEX(Inputs!$B$2:$AZ$190,,MATCH(SUBSTITUTE(P$3,"Q","T"),Inputs!$B$2:$AZ$2,0)),Inputs!$B$2:$B$190,$B169)*Inputs!$D$1),"",SUMIFS(INDEX(Inputs!$B$2:$AZ$190,,MATCH(SUBSTITUTE(P$3,"Q","T"),Inputs!$B$2:$AZ$2,0)),Inputs!$B$2:$B$190,$B169)*Inputs!$D$1)</f>
        <v>0</v>
      </c>
      <c r="Q169" s="57">
        <f>IF(ISNA(SUMIFS(INDEX(Inputs!$B$2:$AZ$190,,MATCH(SUBSTITUTE(Q$3,"Q","T"),Inputs!$B$2:$AZ$2,0)),Inputs!$B$2:$B$190,$B169)*Inputs!$D$1),"",SUMIFS(INDEX(Inputs!$B$2:$AZ$190,,MATCH(SUBSTITUTE(Q$3,"Q","T"),Inputs!$B$2:$AZ$2,0)),Inputs!$B$2:$B$190,$B169)*Inputs!$D$1)</f>
        <v>0</v>
      </c>
      <c r="R169" s="57">
        <f>IF(ISNA(SUMIFS(INDEX(Inputs!$B$2:$AZ$190,,MATCH(SUBSTITUTE(R$3,"Q","T"),Inputs!$B$2:$AZ$2,0)),Inputs!$B$2:$B$190,$B169)*Inputs!$D$1),"",SUMIFS(INDEX(Inputs!$B$2:$AZ$190,,MATCH(SUBSTITUTE(R$3,"Q","T"),Inputs!$B$2:$AZ$2,0)),Inputs!$B$2:$B$190,$B169)*Inputs!$D$1)</f>
        <v>0</v>
      </c>
      <c r="S169" s="58">
        <f>R169</f>
        <v>0</v>
      </c>
      <c r="T169" s="57">
        <f>IF(ISNA(SUMIFS(INDEX(Inputs!$B$2:$AZ$190,,MATCH(SUBSTITUTE(T$3,"Q","T"),Inputs!$B$2:$AZ$2,0)),Inputs!$B$2:$B$190,$B169)*Inputs!$D$1),"",SUMIFS(INDEX(Inputs!$B$2:$AZ$190,,MATCH(SUBSTITUTE(T$3,"Q","T"),Inputs!$B$2:$AZ$2,0)),Inputs!$B$2:$B$190,$B169)*Inputs!$D$1)</f>
        <v>0</v>
      </c>
      <c r="U169" s="57">
        <f>IF(ISNA(SUMIFS(INDEX(Inputs!$B$2:$AZ$190,,MATCH(SUBSTITUTE(U$3,"Q","T"),Inputs!$B$2:$AZ$2,0)),Inputs!$B$2:$B$190,$B169)*Inputs!$D$1),"",SUMIFS(INDEX(Inputs!$B$2:$AZ$190,,MATCH(SUBSTITUTE(U$3,"Q","T"),Inputs!$B$2:$AZ$2,0)),Inputs!$B$2:$B$190,$B169)*Inputs!$D$1)</f>
        <v>0</v>
      </c>
      <c r="V169" s="57">
        <f>IF(ISNA(SUMIFS(INDEX(Inputs!$B$2:$AZ$190,,MATCH(SUBSTITUTE(V$3,"Q","T"),Inputs!$B$2:$AZ$2,0)),Inputs!$B$2:$B$190,$B169)*Inputs!$D$1),"",SUMIFS(INDEX(Inputs!$B$2:$AZ$190,,MATCH(SUBSTITUTE(V$3,"Q","T"),Inputs!$B$2:$AZ$2,0)),Inputs!$B$2:$B$190,$B169)*Inputs!$D$1)</f>
        <v>0</v>
      </c>
      <c r="W169" s="57">
        <f>IF(ISNA(SUMIFS(INDEX(Inputs!$B$2:$AZ$190,,MATCH(SUBSTITUTE(W$3,"Q","T"),Inputs!$B$2:$AZ$2,0)),Inputs!$B$2:$B$190,$B169)*Inputs!$D$1),"",SUMIFS(INDEX(Inputs!$B$2:$AZ$190,,MATCH(SUBSTITUTE(W$3,"Q","T"),Inputs!$B$2:$AZ$2,0)),Inputs!$B$2:$B$190,$B169)*Inputs!$D$1)</f>
        <v>0</v>
      </c>
      <c r="X169" s="58">
        <f>W169</f>
        <v>0</v>
      </c>
      <c r="Y169" s="57">
        <f>IF(ISNA(SUMIFS(INDEX(Inputs!$B$2:$AZ$190,,MATCH(SUBSTITUTE(Y$3,"Q","T"),Inputs!$B$2:$AZ$2,0)),Inputs!$B$2:$B$190,$B169)*Inputs!$D$1),"",SUMIFS(INDEX(Inputs!$B$2:$AZ$190,,MATCH(SUBSTITUTE(Y$3,"Q","T"),Inputs!$B$2:$AZ$2,0)),Inputs!$B$2:$B$190,$B169)*Inputs!$D$1)</f>
        <v>0</v>
      </c>
      <c r="Z169" s="57">
        <f>IF(ISNA(SUMIFS(INDEX(Inputs!$B$2:$AZ$190,,MATCH(SUBSTITUTE(Z$3,"Q","T"),Inputs!$B$2:$AZ$2,0)),Inputs!$B$2:$B$190,$B169)*Inputs!$D$1),"",SUMIFS(INDEX(Inputs!$B$2:$AZ$190,,MATCH(SUBSTITUTE(Z$3,"Q","T"),Inputs!$B$2:$AZ$2,0)),Inputs!$B$2:$B$190,$B169)*Inputs!$D$1)</f>
        <v>0</v>
      </c>
      <c r="AA169" s="57">
        <f>IF(ISNA(SUMIFS(INDEX(Inputs!$B$2:$AZ$190,,MATCH(SUBSTITUTE(AA$3,"Q","T"),Inputs!$B$2:$AZ$2,0)),Inputs!$B$2:$B$190,$B169)*Inputs!$D$1),"",SUMIFS(INDEX(Inputs!$B$2:$AZ$190,,MATCH(SUBSTITUTE(AA$3,"Q","T"),Inputs!$B$2:$AZ$2,0)),Inputs!$B$2:$B$190,$B169)*Inputs!$D$1)</f>
        <v>0</v>
      </c>
      <c r="AB169" s="57">
        <f>IF(ISNA(SUMIFS(INDEX(Inputs!$B$2:$AZ$190,,MATCH(SUBSTITUTE(AB$3,"Q","T"),Inputs!$B$2:$AZ$2,0)),Inputs!$B$2:$B$190,$B169)*Inputs!$D$1),"",SUMIFS(INDEX(Inputs!$B$2:$AZ$190,,MATCH(SUBSTITUTE(AB$3,"Q","T"),Inputs!$B$2:$AZ$2,0)),Inputs!$B$2:$B$190,$B169)*Inputs!$D$1)</f>
        <v>0</v>
      </c>
      <c r="AC169" s="58">
        <f>AB169</f>
        <v>0</v>
      </c>
      <c r="AD169" s="57">
        <f>IF(ISNA(SUMIFS(INDEX(Inputs!$B$2:$AZ$190,,MATCH(SUBSTITUTE(AD$3,"Q","T"),Inputs!$B$2:$AZ$2,0)),Inputs!$B$2:$B$190,$B169)*Inputs!$D$1),"",SUMIFS(INDEX(Inputs!$B$2:$AZ$190,,MATCH(SUBSTITUTE(AD$3,"Q","T"),Inputs!$B$2:$AZ$2,0)),Inputs!$B$2:$B$190,$B169)*Inputs!$D$1)</f>
        <v>0</v>
      </c>
      <c r="AE169" s="57">
        <f>IF(ISNA(SUMIFS(INDEX(Inputs!$B$2:$AZ$190,,MATCH(SUBSTITUTE(AE$3,"Q","T"),Inputs!$B$2:$AZ$2,0)),Inputs!$B$2:$B$190,$B169)*Inputs!$D$1),"",SUMIFS(INDEX(Inputs!$B$2:$AZ$190,,MATCH(SUBSTITUTE(AE$3,"Q","T"),Inputs!$B$2:$AZ$2,0)),Inputs!$B$2:$B$190,$B169)*Inputs!$D$1)</f>
        <v>0</v>
      </c>
      <c r="AF169" s="57">
        <f>IF(ISNA(SUMIFS(INDEX(Inputs!$B$2:$AZ$190,,MATCH(SUBSTITUTE(AF$3,"Q","T"),Inputs!$B$2:$AZ$2,0)),Inputs!$B$2:$B$190,$B169)*Inputs!$D$1),"",SUMIFS(INDEX(Inputs!$B$2:$AZ$190,,MATCH(SUBSTITUTE(AF$3,"Q","T"),Inputs!$B$2:$AZ$2,0)),Inputs!$B$2:$B$190,$B169)*Inputs!$D$1)</f>
        <v>0</v>
      </c>
      <c r="AG169" s="57">
        <f>IF(ISNA(SUMIFS(INDEX(Inputs!$B$2:$AZ$190,,MATCH(SUBSTITUTE(AG$3,"Q","T"),Inputs!$B$2:$AZ$2,0)),Inputs!$B$2:$B$190,$B169)*Inputs!$D$1),"",SUMIFS(INDEX(Inputs!$B$2:$AZ$190,,MATCH(SUBSTITUTE(AG$3,"Q","T"),Inputs!$B$2:$AZ$2,0)),Inputs!$B$2:$B$190,$B169)*Inputs!$D$1)</f>
        <v>0</v>
      </c>
      <c r="AH169" s="58">
        <f>AG169</f>
        <v>0</v>
      </c>
      <c r="AI169" s="57">
        <f>IF(ISNA(SUMIFS(INDEX(Inputs!$B$2:$AZ$190,,MATCH(SUBSTITUTE(AI$3,"Q","T"),Inputs!$B$2:$AZ$2,0)),Inputs!$B$2:$B$190,$B169)*Inputs!$D$1),"",SUMIFS(INDEX(Inputs!$B$2:$AZ$190,,MATCH(SUBSTITUTE(AI$3,"Q","T"),Inputs!$B$2:$AZ$2,0)),Inputs!$B$2:$B$190,$B169)*Inputs!$D$1)</f>
        <v>0</v>
      </c>
      <c r="AJ169" s="57">
        <f>IF(ISNA(SUMIFS(INDEX(Inputs!$B$2:$AZ$190,,MATCH(SUBSTITUTE(AJ$3,"Q","T"),Inputs!$B$2:$AZ$2,0)),Inputs!$B$2:$B$190,$B169)*Inputs!$D$1),"",SUMIFS(INDEX(Inputs!$B$2:$AZ$190,,MATCH(SUBSTITUTE(AJ$3,"Q","T"),Inputs!$B$2:$AZ$2,0)),Inputs!$B$2:$B$190,$B169)*Inputs!$D$1)</f>
        <v>0</v>
      </c>
      <c r="AK169" s="57">
        <f>IF(ISNA(SUMIFS(INDEX(Inputs!$B$2:$AZ$190,,MATCH(SUBSTITUTE(AK$3,"Q","T"),Inputs!$B$2:$AZ$2,0)),Inputs!$B$2:$B$190,$B169)*Inputs!$D$1),"",SUMIFS(INDEX(Inputs!$B$2:$AZ$190,,MATCH(SUBSTITUTE(AK$3,"Q","T"),Inputs!$B$2:$AZ$2,0)),Inputs!$B$2:$B$190,$B169)*Inputs!$D$1)</f>
        <v>0</v>
      </c>
      <c r="AL169" s="57">
        <f>IF(ISNA(SUMIFS(INDEX(Inputs!$B$2:$AZ$190,,MATCH(SUBSTITUTE(AL$3,"Q","T"),Inputs!$B$2:$AZ$2,0)),Inputs!$B$2:$B$190,$B169)*Inputs!$D$1),"",SUMIFS(INDEX(Inputs!$B$2:$AZ$190,,MATCH(SUBSTITUTE(AL$3,"Q","T"),Inputs!$B$2:$AZ$2,0)),Inputs!$B$2:$B$190,$B169)*Inputs!$D$1)</f>
        <v>0</v>
      </c>
      <c r="AM169" s="58">
        <f>AL169</f>
        <v>0</v>
      </c>
      <c r="AN169" s="57">
        <f>IF(ISNA(SUMIFS(INDEX(Inputs!$B$2:$AZ$190,,MATCH(SUBSTITUTE(AN$3,"Q","T"),Inputs!$B$2:$AZ$2,0)),Inputs!$B$2:$B$190,$B169)*Inputs!$D$1),"",SUMIFS(INDEX(Inputs!$B$2:$AZ$190,,MATCH(SUBSTITUTE(AN$3,"Q","T"),Inputs!$B$2:$AZ$2,0)),Inputs!$B$2:$B$190,$B169)*Inputs!$D$1)</f>
        <v>0</v>
      </c>
      <c r="AO169" s="57">
        <f>IF(ISNA(SUMIFS(INDEX(Inputs!$B$2:$AZ$190,,MATCH(SUBSTITUTE(AO$3,"Q","T"),Inputs!$B$2:$AZ$2,0)),Inputs!$B$2:$B$190,$B169)*Inputs!$D$1),"",SUMIFS(INDEX(Inputs!$B$2:$AZ$190,,MATCH(SUBSTITUTE(AO$3,"Q","T"),Inputs!$B$2:$AZ$2,0)),Inputs!$B$2:$B$190,$B169)*Inputs!$D$1)</f>
        <v>0</v>
      </c>
      <c r="AP169" s="57">
        <f>IF(ISNA(SUMIFS(INDEX(Inputs!$B$2:$AZ$190,,MATCH(SUBSTITUTE(AP$3,"Q","T"),Inputs!$B$2:$AZ$2,0)),Inputs!$B$2:$B$190,$B169)*Inputs!$D$1),"",SUMIFS(INDEX(Inputs!$B$2:$AZ$190,,MATCH(SUBSTITUTE(AP$3,"Q","T"),Inputs!$B$2:$AZ$2,0)),Inputs!$B$2:$B$190,$B169)*Inputs!$D$1)</f>
        <v>0</v>
      </c>
      <c r="AQ169" s="57">
        <f>IF(ISNA(SUMIFS(INDEX(Inputs!$B$2:$AZ$190,,MATCH(SUBSTITUTE(AQ$3,"Q","T"),Inputs!$B$2:$AZ$2,0)),Inputs!$B$2:$B$190,$B169)*Inputs!$D$1),"",SUMIFS(INDEX(Inputs!$B$2:$AZ$190,,MATCH(SUBSTITUTE(AQ$3,"Q","T"),Inputs!$B$2:$AZ$2,0)),Inputs!$B$2:$B$190,$B169)*Inputs!$D$1)</f>
        <v>0</v>
      </c>
      <c r="AR169" s="58">
        <f>AQ169</f>
        <v>0</v>
      </c>
      <c r="AS169" s="57">
        <f>IF(ISNA(SUMIFS(INDEX(Inputs!$B$2:$AZ$190,,MATCH(SUBSTITUTE(AS$3,"Q","T"),Inputs!$B$2:$AZ$2,0)),Inputs!$B$2:$B$190,$B169)*Inputs!$D$1),"",SUMIFS(INDEX(Inputs!$B$2:$AZ$190,,MATCH(SUBSTITUTE(AS$3,"Q","T"),Inputs!$B$2:$AZ$2,0)),Inputs!$B$2:$B$190,$B169)*Inputs!$D$1)</f>
        <v>0</v>
      </c>
      <c r="AT169" s="57">
        <f>IF(ISNA(SUMIFS(INDEX(Inputs!$B$2:$AZ$190,,MATCH(SUBSTITUTE(AT$3,"Q","T"),Inputs!$B$2:$AZ$2,0)),Inputs!$B$2:$B$190,$B169)*Inputs!$D$1),"",SUMIFS(INDEX(Inputs!$B$2:$AZ$190,,MATCH(SUBSTITUTE(AT$3,"Q","T"),Inputs!$B$2:$AZ$2,0)),Inputs!$B$2:$B$190,$B169)*Inputs!$D$1)</f>
        <v>0</v>
      </c>
      <c r="AU169" s="57">
        <f>IF(ISNA(SUMIFS(INDEX(Inputs!$B$2:$AZ$190,,MATCH(SUBSTITUTE(AU$3,"Q","T"),Inputs!$B$2:$AZ$2,0)),Inputs!$B$2:$B$190,$B169)*Inputs!$D$1),"",SUMIFS(INDEX(Inputs!$B$2:$AZ$190,,MATCH(SUBSTITUTE(AU$3,"Q","T"),Inputs!$B$2:$AZ$2,0)),Inputs!$B$2:$B$190,$B169)*Inputs!$D$1)</f>
        <v>0</v>
      </c>
      <c r="AV169" s="57">
        <f>IF(ISNA(SUMIFS(INDEX(Inputs!$B$2:$AZ$190,,MATCH(SUBSTITUTE(AV$3,"Q","T"),Inputs!$B$2:$AZ$2,0)),Inputs!$B$2:$B$190,$B169)*Inputs!$D$1),"",SUMIFS(INDEX(Inputs!$B$2:$AZ$190,,MATCH(SUBSTITUTE(AV$3,"Q","T"),Inputs!$B$2:$AZ$2,0)),Inputs!$B$2:$B$190,$B169)*Inputs!$D$1)</f>
        <v>0</v>
      </c>
      <c r="AW169" s="58">
        <f>AV169</f>
        <v>0</v>
      </c>
      <c r="AX169" s="57">
        <f>IF(ISNA(SUMIFS(INDEX(Inputs!$B$2:$AZ$190,,MATCH(SUBSTITUTE(AX$3,"Q","T"),Inputs!$B$2:$AZ$2,0)),Inputs!$B$2:$B$190,$B169)*Inputs!$D$1),"",SUMIFS(INDEX(Inputs!$B$2:$AZ$190,,MATCH(SUBSTITUTE(AX$3,"Q","T"),Inputs!$B$2:$AZ$2,0)),Inputs!$B$2:$B$190,$B169)*Inputs!$D$1)</f>
        <v>0</v>
      </c>
      <c r="AY169" s="57">
        <f>IF(ISNA(SUMIFS(INDEX(Inputs!$B$2:$AZ$190,,MATCH(SUBSTITUTE(AY$3,"Q","T"),Inputs!$B$2:$AZ$2,0)),Inputs!$B$2:$B$190,$B169)*Inputs!$D$1),"",SUMIFS(INDEX(Inputs!$B$2:$AZ$190,,MATCH(SUBSTITUTE(AY$3,"Q","T"),Inputs!$B$2:$AZ$2,0)),Inputs!$B$2:$B$190,$B169)*Inputs!$D$1)</f>
        <v>0</v>
      </c>
      <c r="AZ169" s="57">
        <f>IF(ISNA(SUMIFS(INDEX(Inputs!$B$2:$AZ$190,,MATCH(SUBSTITUTE(AZ$3,"Q","T"),Inputs!$B$2:$AZ$2,0)),Inputs!$B$2:$B$190,$B169)*Inputs!$D$1),"",SUMIFS(INDEX(Inputs!$B$2:$AZ$190,,MATCH(SUBSTITUTE(AZ$3,"Q","T"),Inputs!$B$2:$AZ$2,0)),Inputs!$B$2:$B$190,$B169)*Inputs!$D$1)</f>
        <v>0</v>
      </c>
      <c r="BA169" s="57">
        <f>IF(ISNA(SUMIFS(INDEX(Inputs!$B$2:$AZ$190,,MATCH(SUBSTITUTE(BA$3,"Q","T"),Inputs!$B$2:$AZ$2,0)),Inputs!$B$2:$B$190,$B169)*Inputs!$D$1),"",SUMIFS(INDEX(Inputs!$B$2:$AZ$190,,MATCH(SUBSTITUTE(BA$3,"Q","T"),Inputs!$B$2:$AZ$2,0)),Inputs!$B$2:$B$190,$B169)*Inputs!$D$1)</f>
        <v>0</v>
      </c>
      <c r="BB169" s="58">
        <f>BA169</f>
        <v>0</v>
      </c>
      <c r="BC169" s="57">
        <f>IF(ISNA(SUMIFS(INDEX(Inputs!$B$2:$AZ$190,,MATCH(SUBSTITUTE(BC$3,"Q","T"),Inputs!$B$2:$AZ$2,0)),Inputs!$B$2:$B$190,$B169)*Inputs!$D$1),"",SUMIFS(INDEX(Inputs!$B$2:$AZ$190,,MATCH(SUBSTITUTE(BC$3,"Q","T"),Inputs!$B$2:$AZ$2,0)),Inputs!$B$2:$B$190,$B169)*Inputs!$D$1)</f>
        <v>0</v>
      </c>
      <c r="BD169" s="57">
        <f>IF(ISNA(SUMIFS(INDEX(Inputs!$B$2:$AZ$190,,MATCH(SUBSTITUTE(BD$3,"Q","T"),Inputs!$B$2:$AZ$2,0)),Inputs!$B$2:$B$190,$B169)*Inputs!$D$1),"",SUMIFS(INDEX(Inputs!$B$2:$AZ$190,,MATCH(SUBSTITUTE(BD$3,"Q","T"),Inputs!$B$2:$AZ$2,0)),Inputs!$B$2:$B$190,$B169)*Inputs!$D$1)</f>
        <v>0</v>
      </c>
      <c r="BE169" s="57">
        <f>IF(ISNA(SUMIFS(INDEX(Inputs!$B$2:$AZ$190,,MATCH(SUBSTITUTE(BE$3,"Q","T"),Inputs!$B$2:$AZ$2,0)),Inputs!$B$2:$B$190,$B169)*Inputs!$D$1),"",SUMIFS(INDEX(Inputs!$B$2:$AZ$190,,MATCH(SUBSTITUTE(BE$3,"Q","T"),Inputs!$B$2:$AZ$2,0)),Inputs!$B$2:$B$190,$B169)*Inputs!$D$1)</f>
        <v>0</v>
      </c>
      <c r="BF169" s="57">
        <f>IF(ISNA(SUMIFS(INDEX(Inputs!$B$2:$AZ$190,,MATCH(SUBSTITUTE(BF$3,"Q","T"),Inputs!$B$2:$AZ$2,0)),Inputs!$B$2:$B$190,$B169)*Inputs!$D$1),"",SUMIFS(INDEX(Inputs!$B$2:$AZ$190,,MATCH(SUBSTITUTE(BF$3,"Q","T"),Inputs!$B$2:$AZ$2,0)),Inputs!$B$2:$B$190,$B169)*Inputs!$D$1)</f>
        <v>0</v>
      </c>
      <c r="BG169" s="58">
        <f>BF169</f>
        <v>0</v>
      </c>
    </row>
    <row r="170" hidden="1" outlineLevel="1">
      <c r="B170" s="56" t="inlineStr">
        <is>
          <t>seg_recon</t>
        </is>
      </c>
      <c r="C170" s="11" t="inlineStr">
        <is>
          <t>Ajustes de reconciliação dos segmentos (FTE e outros)</t>
        </is>
      </c>
      <c r="D170" s="12" t="inlineStr">
        <is>
          <t>Segment reconciling items</t>
        </is>
      </c>
      <c r="E170" s="57">
        <f>IF(ISNA(SUMIFS(INDEX(Inputs!$B$2:$AZ$190,,MATCH(SUBSTITUTE(E$3,"Q","T"),Inputs!$B$2:$AZ$2,0)),Inputs!$B$2:$B$190,$B170)*Inputs!$D$1),"",SUMIFS(INDEX(Inputs!$B$2:$AZ$190,,MATCH(SUBSTITUTE(E$3,"Q","T"),Inputs!$B$2:$AZ$2,0)),Inputs!$B$2:$B$190,$B170)*Inputs!$D$1)</f>
        <v>0</v>
      </c>
      <c r="F170" s="57">
        <f>IF(ISNA(SUMIFS(INDEX(Inputs!$B$2:$AZ$190,,MATCH(SUBSTITUTE(F$3,"Q","T"),Inputs!$B$2:$AZ$2,0)),Inputs!$B$2:$B$190,$B170)*Inputs!$D$1),"",SUMIFS(INDEX(Inputs!$B$2:$AZ$190,,MATCH(SUBSTITUTE(F$3,"Q","T"),Inputs!$B$2:$AZ$2,0)),Inputs!$B$2:$B$190,$B170)*Inputs!$D$1)</f>
        <v>0</v>
      </c>
      <c r="G170" s="57">
        <f>IF(ISNA(SUMIFS(INDEX(Inputs!$B$2:$AZ$190,,MATCH(SUBSTITUTE(G$3,"Q","T"),Inputs!$B$2:$AZ$2,0)),Inputs!$B$2:$B$190,$B170)*Inputs!$D$1),"",SUMIFS(INDEX(Inputs!$B$2:$AZ$190,,MATCH(SUBSTITUTE(G$3,"Q","T"),Inputs!$B$2:$AZ$2,0)),Inputs!$B$2:$B$190,$B170)*Inputs!$D$1)</f>
        <v>0</v>
      </c>
      <c r="H170" s="57">
        <f>IF(ISNA(SUMIFS(INDEX(Inputs!$B$2:$AZ$190,,MATCH(SUBSTITUTE(H$3,"Q","T"),Inputs!$B$2:$AZ$2,0)),Inputs!$B$2:$B$190,$B170)*Inputs!$D$1),"",SUMIFS(INDEX(Inputs!$B$2:$AZ$190,,MATCH(SUBSTITUTE(H$3,"Q","T"),Inputs!$B$2:$AZ$2,0)),Inputs!$B$2:$B$190,$B170)*Inputs!$D$1)</f>
        <v>0</v>
      </c>
      <c r="I170" s="58">
        <f>H170</f>
        <v>0</v>
      </c>
      <c r="J170" s="57">
        <f>IF(ISNA(SUMIFS(INDEX(Inputs!$B$2:$AZ$190,,MATCH(SUBSTITUTE(J$3,"Q","T"),Inputs!$B$2:$AZ$2,0)),Inputs!$B$2:$B$190,$B170)*Inputs!$D$1),"",SUMIFS(INDEX(Inputs!$B$2:$AZ$190,,MATCH(SUBSTITUTE(J$3,"Q","T"),Inputs!$B$2:$AZ$2,0)),Inputs!$B$2:$B$190,$B170)*Inputs!$D$1)</f>
        <v>0</v>
      </c>
      <c r="K170" s="57">
        <f>IF(ISNA(SUMIFS(INDEX(Inputs!$B$2:$AZ$190,,MATCH(SUBSTITUTE(K$3,"Q","T"),Inputs!$B$2:$AZ$2,0)),Inputs!$B$2:$B$190,$B170)*Inputs!$D$1),"",SUMIFS(INDEX(Inputs!$B$2:$AZ$190,,MATCH(SUBSTITUTE(K$3,"Q","T"),Inputs!$B$2:$AZ$2,0)),Inputs!$B$2:$B$190,$B170)*Inputs!$D$1)</f>
        <v>0</v>
      </c>
      <c r="L170" s="57">
        <f>IF(ISNA(SUMIFS(INDEX(Inputs!$B$2:$AZ$190,,MATCH(SUBSTITUTE(L$3,"Q","T"),Inputs!$B$2:$AZ$2,0)),Inputs!$B$2:$B$190,$B170)*Inputs!$D$1),"",SUMIFS(INDEX(Inputs!$B$2:$AZ$190,,MATCH(SUBSTITUTE(L$3,"Q","T"),Inputs!$B$2:$AZ$2,0)),Inputs!$B$2:$B$190,$B170)*Inputs!$D$1)</f>
        <v>0</v>
      </c>
      <c r="M170" s="57">
        <f>IF(ISNA(SUMIFS(INDEX(Inputs!$B$2:$AZ$190,,MATCH(SUBSTITUTE(M$3,"Q","T"),Inputs!$B$2:$AZ$2,0)),Inputs!$B$2:$B$190,$B170)*Inputs!$D$1),"",SUMIFS(INDEX(Inputs!$B$2:$AZ$190,,MATCH(SUBSTITUTE(M$3,"Q","T"),Inputs!$B$2:$AZ$2,0)),Inputs!$B$2:$B$190,$B170)*Inputs!$D$1)</f>
        <v>0</v>
      </c>
      <c r="N170" s="58">
        <f>M170</f>
        <v>0</v>
      </c>
      <c r="O170" s="57">
        <f>IF(ISNA(SUMIFS(INDEX(Inputs!$B$2:$AZ$190,,MATCH(SUBSTITUTE(O$3,"Q","T"),Inputs!$B$2:$AZ$2,0)),Inputs!$B$2:$B$190,$B170)*Inputs!$D$1),"",SUMIFS(INDEX(Inputs!$B$2:$AZ$190,,MATCH(SUBSTITUTE(O$3,"Q","T"),Inputs!$B$2:$AZ$2,0)),Inputs!$B$2:$B$190,$B170)*Inputs!$D$1)</f>
        <v>0</v>
      </c>
      <c r="P170" s="57">
        <f>IF(ISNA(SUMIFS(INDEX(Inputs!$B$2:$AZ$190,,MATCH(SUBSTITUTE(P$3,"Q","T"),Inputs!$B$2:$AZ$2,0)),Inputs!$B$2:$B$190,$B170)*Inputs!$D$1),"",SUMIFS(INDEX(Inputs!$B$2:$AZ$190,,MATCH(SUBSTITUTE(P$3,"Q","T"),Inputs!$B$2:$AZ$2,0)),Inputs!$B$2:$B$190,$B170)*Inputs!$D$1)</f>
        <v>0</v>
      </c>
      <c r="Q170" s="57">
        <f>IF(ISNA(SUMIFS(INDEX(Inputs!$B$2:$AZ$190,,MATCH(SUBSTITUTE(Q$3,"Q","T"),Inputs!$B$2:$AZ$2,0)),Inputs!$B$2:$B$190,$B170)*Inputs!$D$1),"",SUMIFS(INDEX(Inputs!$B$2:$AZ$190,,MATCH(SUBSTITUTE(Q$3,"Q","T"),Inputs!$B$2:$AZ$2,0)),Inputs!$B$2:$B$190,$B170)*Inputs!$D$1)</f>
        <v>0</v>
      </c>
      <c r="R170" s="57">
        <f>IF(ISNA(SUMIFS(INDEX(Inputs!$B$2:$AZ$190,,MATCH(SUBSTITUTE(R$3,"Q","T"),Inputs!$B$2:$AZ$2,0)),Inputs!$B$2:$B$190,$B170)*Inputs!$D$1),"",SUMIFS(INDEX(Inputs!$B$2:$AZ$190,,MATCH(SUBSTITUTE(R$3,"Q","T"),Inputs!$B$2:$AZ$2,0)),Inputs!$B$2:$B$190,$B170)*Inputs!$D$1)</f>
        <v>0</v>
      </c>
      <c r="S170" s="58">
        <f>R170</f>
        <v>0</v>
      </c>
      <c r="T170" s="57">
        <f>IF(ISNA(SUMIFS(INDEX(Inputs!$B$2:$AZ$190,,MATCH(SUBSTITUTE(T$3,"Q","T"),Inputs!$B$2:$AZ$2,0)),Inputs!$B$2:$B$190,$B170)*Inputs!$D$1),"",SUMIFS(INDEX(Inputs!$B$2:$AZ$190,,MATCH(SUBSTITUTE(T$3,"Q","T"),Inputs!$B$2:$AZ$2,0)),Inputs!$B$2:$B$190,$B170)*Inputs!$D$1)</f>
        <v>0</v>
      </c>
      <c r="U170" s="57">
        <f>IF(ISNA(SUMIFS(INDEX(Inputs!$B$2:$AZ$190,,MATCH(SUBSTITUTE(U$3,"Q","T"),Inputs!$B$2:$AZ$2,0)),Inputs!$B$2:$B$190,$B170)*Inputs!$D$1),"",SUMIFS(INDEX(Inputs!$B$2:$AZ$190,,MATCH(SUBSTITUTE(U$3,"Q","T"),Inputs!$B$2:$AZ$2,0)),Inputs!$B$2:$B$190,$B170)*Inputs!$D$1)</f>
        <v>0</v>
      </c>
      <c r="V170" s="57">
        <f>IF(ISNA(SUMIFS(INDEX(Inputs!$B$2:$AZ$190,,MATCH(SUBSTITUTE(V$3,"Q","T"),Inputs!$B$2:$AZ$2,0)),Inputs!$B$2:$B$190,$B170)*Inputs!$D$1),"",SUMIFS(INDEX(Inputs!$B$2:$AZ$190,,MATCH(SUBSTITUTE(V$3,"Q","T"),Inputs!$B$2:$AZ$2,0)),Inputs!$B$2:$B$190,$B170)*Inputs!$D$1)</f>
        <v>0</v>
      </c>
      <c r="W170" s="57">
        <f>IF(ISNA(SUMIFS(INDEX(Inputs!$B$2:$AZ$190,,MATCH(SUBSTITUTE(W$3,"Q","T"),Inputs!$B$2:$AZ$2,0)),Inputs!$B$2:$B$190,$B170)*Inputs!$D$1),"",SUMIFS(INDEX(Inputs!$B$2:$AZ$190,,MATCH(SUBSTITUTE(W$3,"Q","T"),Inputs!$B$2:$AZ$2,0)),Inputs!$B$2:$B$190,$B170)*Inputs!$D$1)</f>
        <v>0</v>
      </c>
      <c r="X170" s="58">
        <f>W170</f>
        <v>0</v>
      </c>
      <c r="Y170" s="57">
        <f>IF(ISNA(SUMIFS(INDEX(Inputs!$B$2:$AZ$190,,MATCH(SUBSTITUTE(Y$3,"Q","T"),Inputs!$B$2:$AZ$2,0)),Inputs!$B$2:$B$190,$B170)*Inputs!$D$1),"",SUMIFS(INDEX(Inputs!$B$2:$AZ$190,,MATCH(SUBSTITUTE(Y$3,"Q","T"),Inputs!$B$2:$AZ$2,0)),Inputs!$B$2:$B$190,$B170)*Inputs!$D$1)</f>
        <v>0</v>
      </c>
      <c r="Z170" s="57">
        <f>IF(ISNA(SUMIFS(INDEX(Inputs!$B$2:$AZ$190,,MATCH(SUBSTITUTE(Z$3,"Q","T"),Inputs!$B$2:$AZ$2,0)),Inputs!$B$2:$B$190,$B170)*Inputs!$D$1),"",SUMIFS(INDEX(Inputs!$B$2:$AZ$190,,MATCH(SUBSTITUTE(Z$3,"Q","T"),Inputs!$B$2:$AZ$2,0)),Inputs!$B$2:$B$190,$B170)*Inputs!$D$1)</f>
        <v>0</v>
      </c>
      <c r="AA170" s="57">
        <f>IF(ISNA(SUMIFS(INDEX(Inputs!$B$2:$AZ$190,,MATCH(SUBSTITUTE(AA$3,"Q","T"),Inputs!$B$2:$AZ$2,0)),Inputs!$B$2:$B$190,$B170)*Inputs!$D$1),"",SUMIFS(INDEX(Inputs!$B$2:$AZ$190,,MATCH(SUBSTITUTE(AA$3,"Q","T"),Inputs!$B$2:$AZ$2,0)),Inputs!$B$2:$B$190,$B170)*Inputs!$D$1)</f>
        <v>0</v>
      </c>
      <c r="AB170" s="57">
        <f>IF(ISNA(SUMIFS(INDEX(Inputs!$B$2:$AZ$190,,MATCH(SUBSTITUTE(AB$3,"Q","T"),Inputs!$B$2:$AZ$2,0)),Inputs!$B$2:$B$190,$B170)*Inputs!$D$1),"",SUMIFS(INDEX(Inputs!$B$2:$AZ$190,,MATCH(SUBSTITUTE(AB$3,"Q","T"),Inputs!$B$2:$AZ$2,0)),Inputs!$B$2:$B$190,$B170)*Inputs!$D$1)</f>
        <v>0</v>
      </c>
      <c r="AC170" s="58">
        <f>AB170</f>
        <v>0</v>
      </c>
      <c r="AD170" s="57">
        <f>IF(ISNA(SUMIFS(INDEX(Inputs!$B$2:$AZ$190,,MATCH(SUBSTITUTE(AD$3,"Q","T"),Inputs!$B$2:$AZ$2,0)),Inputs!$B$2:$B$190,$B170)*Inputs!$D$1),"",SUMIFS(INDEX(Inputs!$B$2:$AZ$190,,MATCH(SUBSTITUTE(AD$3,"Q","T"),Inputs!$B$2:$AZ$2,0)),Inputs!$B$2:$B$190,$B170)*Inputs!$D$1)</f>
        <v>0</v>
      </c>
      <c r="AE170" s="57">
        <f>IF(ISNA(SUMIFS(INDEX(Inputs!$B$2:$AZ$190,,MATCH(SUBSTITUTE(AE$3,"Q","T"),Inputs!$B$2:$AZ$2,0)),Inputs!$B$2:$B$190,$B170)*Inputs!$D$1),"",SUMIFS(INDEX(Inputs!$B$2:$AZ$190,,MATCH(SUBSTITUTE(AE$3,"Q","T"),Inputs!$B$2:$AZ$2,0)),Inputs!$B$2:$B$190,$B170)*Inputs!$D$1)</f>
        <v>0</v>
      </c>
      <c r="AF170" s="57">
        <f>IF(ISNA(SUMIFS(INDEX(Inputs!$B$2:$AZ$190,,MATCH(SUBSTITUTE(AF$3,"Q","T"),Inputs!$B$2:$AZ$2,0)),Inputs!$B$2:$B$190,$B170)*Inputs!$D$1),"",SUMIFS(INDEX(Inputs!$B$2:$AZ$190,,MATCH(SUBSTITUTE(AF$3,"Q","T"),Inputs!$B$2:$AZ$2,0)),Inputs!$B$2:$B$190,$B170)*Inputs!$D$1)</f>
        <v>0</v>
      </c>
      <c r="AG170" s="57">
        <f>IF(ISNA(SUMIFS(INDEX(Inputs!$B$2:$AZ$190,,MATCH(SUBSTITUTE(AG$3,"Q","T"),Inputs!$B$2:$AZ$2,0)),Inputs!$B$2:$B$190,$B170)*Inputs!$D$1),"",SUMIFS(INDEX(Inputs!$B$2:$AZ$190,,MATCH(SUBSTITUTE(AG$3,"Q","T"),Inputs!$B$2:$AZ$2,0)),Inputs!$B$2:$B$190,$B170)*Inputs!$D$1)</f>
        <v>0</v>
      </c>
      <c r="AH170" s="58">
        <f>AG170</f>
        <v>0</v>
      </c>
      <c r="AI170" s="57">
        <f>IF(ISNA(SUMIFS(INDEX(Inputs!$B$2:$AZ$190,,MATCH(SUBSTITUTE(AI$3,"Q","T"),Inputs!$B$2:$AZ$2,0)),Inputs!$B$2:$B$190,$B170)*Inputs!$D$1),"",SUMIFS(INDEX(Inputs!$B$2:$AZ$190,,MATCH(SUBSTITUTE(AI$3,"Q","T"),Inputs!$B$2:$AZ$2,0)),Inputs!$B$2:$B$190,$B170)*Inputs!$D$1)</f>
        <v>0</v>
      </c>
      <c r="AJ170" s="57">
        <f>IF(ISNA(SUMIFS(INDEX(Inputs!$B$2:$AZ$190,,MATCH(SUBSTITUTE(AJ$3,"Q","T"),Inputs!$B$2:$AZ$2,0)),Inputs!$B$2:$B$190,$B170)*Inputs!$D$1),"",SUMIFS(INDEX(Inputs!$B$2:$AZ$190,,MATCH(SUBSTITUTE(AJ$3,"Q","T"),Inputs!$B$2:$AZ$2,0)),Inputs!$B$2:$B$190,$B170)*Inputs!$D$1)</f>
        <v>0</v>
      </c>
      <c r="AK170" s="57">
        <f>IF(ISNA(SUMIFS(INDEX(Inputs!$B$2:$AZ$190,,MATCH(SUBSTITUTE(AK$3,"Q","T"),Inputs!$B$2:$AZ$2,0)),Inputs!$B$2:$B$190,$B170)*Inputs!$D$1),"",SUMIFS(INDEX(Inputs!$B$2:$AZ$190,,MATCH(SUBSTITUTE(AK$3,"Q","T"),Inputs!$B$2:$AZ$2,0)),Inputs!$B$2:$B$190,$B170)*Inputs!$D$1)</f>
        <v>0</v>
      </c>
      <c r="AL170" s="57">
        <f>IF(ISNA(SUMIFS(INDEX(Inputs!$B$2:$AZ$190,,MATCH(SUBSTITUTE(AL$3,"Q","T"),Inputs!$B$2:$AZ$2,0)),Inputs!$B$2:$B$190,$B170)*Inputs!$D$1),"",SUMIFS(INDEX(Inputs!$B$2:$AZ$190,,MATCH(SUBSTITUTE(AL$3,"Q","T"),Inputs!$B$2:$AZ$2,0)),Inputs!$B$2:$B$190,$B170)*Inputs!$D$1)</f>
        <v>0</v>
      </c>
      <c r="AM170" s="58">
        <f>AL170</f>
        <v>0</v>
      </c>
      <c r="AN170" s="57">
        <f>IF(ISNA(SUMIFS(INDEX(Inputs!$B$2:$AZ$190,,MATCH(SUBSTITUTE(AN$3,"Q","T"),Inputs!$B$2:$AZ$2,0)),Inputs!$B$2:$B$190,$B170)*Inputs!$D$1),"",SUMIFS(INDEX(Inputs!$B$2:$AZ$190,,MATCH(SUBSTITUTE(AN$3,"Q","T"),Inputs!$B$2:$AZ$2,0)),Inputs!$B$2:$B$190,$B170)*Inputs!$D$1)</f>
        <v>0</v>
      </c>
      <c r="AO170" s="57">
        <f>IF(ISNA(SUMIFS(INDEX(Inputs!$B$2:$AZ$190,,MATCH(SUBSTITUTE(AO$3,"Q","T"),Inputs!$B$2:$AZ$2,0)),Inputs!$B$2:$B$190,$B170)*Inputs!$D$1),"",SUMIFS(INDEX(Inputs!$B$2:$AZ$190,,MATCH(SUBSTITUTE(AO$3,"Q","T"),Inputs!$B$2:$AZ$2,0)),Inputs!$B$2:$B$190,$B170)*Inputs!$D$1)</f>
        <v>0</v>
      </c>
      <c r="AP170" s="57">
        <f>IF(ISNA(SUMIFS(INDEX(Inputs!$B$2:$AZ$190,,MATCH(SUBSTITUTE(AP$3,"Q","T"),Inputs!$B$2:$AZ$2,0)),Inputs!$B$2:$B$190,$B170)*Inputs!$D$1),"",SUMIFS(INDEX(Inputs!$B$2:$AZ$190,,MATCH(SUBSTITUTE(AP$3,"Q","T"),Inputs!$B$2:$AZ$2,0)),Inputs!$B$2:$B$190,$B170)*Inputs!$D$1)</f>
        <v>0</v>
      </c>
      <c r="AQ170" s="57">
        <f>IF(ISNA(SUMIFS(INDEX(Inputs!$B$2:$AZ$190,,MATCH(SUBSTITUTE(AQ$3,"Q","T"),Inputs!$B$2:$AZ$2,0)),Inputs!$B$2:$B$190,$B170)*Inputs!$D$1),"",SUMIFS(INDEX(Inputs!$B$2:$AZ$190,,MATCH(SUBSTITUTE(AQ$3,"Q","T"),Inputs!$B$2:$AZ$2,0)),Inputs!$B$2:$B$190,$B170)*Inputs!$D$1)</f>
        <v>0</v>
      </c>
      <c r="AR170" s="58">
        <f>AQ170</f>
        <v>0</v>
      </c>
      <c r="AS170" s="57">
        <f>IF(ISNA(SUMIFS(INDEX(Inputs!$B$2:$AZ$190,,MATCH(SUBSTITUTE(AS$3,"Q","T"),Inputs!$B$2:$AZ$2,0)),Inputs!$B$2:$B$190,$B170)*Inputs!$D$1),"",SUMIFS(INDEX(Inputs!$B$2:$AZ$190,,MATCH(SUBSTITUTE(AS$3,"Q","T"),Inputs!$B$2:$AZ$2,0)),Inputs!$B$2:$B$190,$B170)*Inputs!$D$1)</f>
        <v>0</v>
      </c>
      <c r="AT170" s="57">
        <f>IF(ISNA(SUMIFS(INDEX(Inputs!$B$2:$AZ$190,,MATCH(SUBSTITUTE(AT$3,"Q","T"),Inputs!$B$2:$AZ$2,0)),Inputs!$B$2:$B$190,$B170)*Inputs!$D$1),"",SUMIFS(INDEX(Inputs!$B$2:$AZ$190,,MATCH(SUBSTITUTE(AT$3,"Q","T"),Inputs!$B$2:$AZ$2,0)),Inputs!$B$2:$B$190,$B170)*Inputs!$D$1)</f>
        <v>0</v>
      </c>
      <c r="AU170" s="57">
        <f>IF(ISNA(SUMIFS(INDEX(Inputs!$B$2:$AZ$190,,MATCH(SUBSTITUTE(AU$3,"Q","T"),Inputs!$B$2:$AZ$2,0)),Inputs!$B$2:$B$190,$B170)*Inputs!$D$1),"",SUMIFS(INDEX(Inputs!$B$2:$AZ$190,,MATCH(SUBSTITUTE(AU$3,"Q","T"),Inputs!$B$2:$AZ$2,0)),Inputs!$B$2:$B$190,$B170)*Inputs!$D$1)</f>
        <v>0</v>
      </c>
      <c r="AV170" s="57">
        <f>IF(ISNA(SUMIFS(INDEX(Inputs!$B$2:$AZ$190,,MATCH(SUBSTITUTE(AV$3,"Q","T"),Inputs!$B$2:$AZ$2,0)),Inputs!$B$2:$B$190,$B170)*Inputs!$D$1),"",SUMIFS(INDEX(Inputs!$B$2:$AZ$190,,MATCH(SUBSTITUTE(AV$3,"Q","T"),Inputs!$B$2:$AZ$2,0)),Inputs!$B$2:$B$190,$B170)*Inputs!$D$1)</f>
        <v>0</v>
      </c>
      <c r="AW170" s="58">
        <f>AV170</f>
        <v>0</v>
      </c>
      <c r="AX170" s="57">
        <f>IF(ISNA(SUMIFS(INDEX(Inputs!$B$2:$AZ$190,,MATCH(SUBSTITUTE(AX$3,"Q","T"),Inputs!$B$2:$AZ$2,0)),Inputs!$B$2:$B$190,$B170)*Inputs!$D$1),"",SUMIFS(INDEX(Inputs!$B$2:$AZ$190,,MATCH(SUBSTITUTE(AX$3,"Q","T"),Inputs!$B$2:$AZ$2,0)),Inputs!$B$2:$B$190,$B170)*Inputs!$D$1)</f>
        <v>0</v>
      </c>
      <c r="AY170" s="57">
        <f>IF(ISNA(SUMIFS(INDEX(Inputs!$B$2:$AZ$190,,MATCH(SUBSTITUTE(AY$3,"Q","T"),Inputs!$B$2:$AZ$2,0)),Inputs!$B$2:$B$190,$B170)*Inputs!$D$1),"",SUMIFS(INDEX(Inputs!$B$2:$AZ$190,,MATCH(SUBSTITUTE(AY$3,"Q","T"),Inputs!$B$2:$AZ$2,0)),Inputs!$B$2:$B$190,$B170)*Inputs!$D$1)</f>
        <v>0</v>
      </c>
      <c r="AZ170" s="57">
        <f>IF(ISNA(SUMIFS(INDEX(Inputs!$B$2:$AZ$190,,MATCH(SUBSTITUTE(AZ$3,"Q","T"),Inputs!$B$2:$AZ$2,0)),Inputs!$B$2:$B$190,$B170)*Inputs!$D$1),"",SUMIFS(INDEX(Inputs!$B$2:$AZ$190,,MATCH(SUBSTITUTE(AZ$3,"Q","T"),Inputs!$B$2:$AZ$2,0)),Inputs!$B$2:$B$190,$B170)*Inputs!$D$1)</f>
        <v>0</v>
      </c>
      <c r="BA170" s="57">
        <f>IF(ISNA(SUMIFS(INDEX(Inputs!$B$2:$AZ$190,,MATCH(SUBSTITUTE(BA$3,"Q","T"),Inputs!$B$2:$AZ$2,0)),Inputs!$B$2:$B$190,$B170)*Inputs!$D$1),"",SUMIFS(INDEX(Inputs!$B$2:$AZ$190,,MATCH(SUBSTITUTE(BA$3,"Q","T"),Inputs!$B$2:$AZ$2,0)),Inputs!$B$2:$B$190,$B170)*Inputs!$D$1)</f>
        <v>0</v>
      </c>
      <c r="BB170" s="58">
        <f>BA170</f>
        <v>0</v>
      </c>
      <c r="BC170" s="57">
        <f>IF(ISNA(SUMIFS(INDEX(Inputs!$B$2:$AZ$190,,MATCH(SUBSTITUTE(BC$3,"Q","T"),Inputs!$B$2:$AZ$2,0)),Inputs!$B$2:$B$190,$B170)*Inputs!$D$1),"",SUMIFS(INDEX(Inputs!$B$2:$AZ$190,,MATCH(SUBSTITUTE(BC$3,"Q","T"),Inputs!$B$2:$AZ$2,0)),Inputs!$B$2:$B$190,$B170)*Inputs!$D$1)</f>
        <v>0</v>
      </c>
      <c r="BD170" s="57">
        <f>IF(ISNA(SUMIFS(INDEX(Inputs!$B$2:$AZ$190,,MATCH(SUBSTITUTE(BD$3,"Q","T"),Inputs!$B$2:$AZ$2,0)),Inputs!$B$2:$B$190,$B170)*Inputs!$D$1),"",SUMIFS(INDEX(Inputs!$B$2:$AZ$190,,MATCH(SUBSTITUTE(BD$3,"Q","T"),Inputs!$B$2:$AZ$2,0)),Inputs!$B$2:$B$190,$B170)*Inputs!$D$1)</f>
        <v>0</v>
      </c>
      <c r="BE170" s="57">
        <f>IF(ISNA(SUMIFS(INDEX(Inputs!$B$2:$AZ$190,,MATCH(SUBSTITUTE(BE$3,"Q","T"),Inputs!$B$2:$AZ$2,0)),Inputs!$B$2:$B$190,$B170)*Inputs!$D$1),"",SUMIFS(INDEX(Inputs!$B$2:$AZ$190,,MATCH(SUBSTITUTE(BE$3,"Q","T"),Inputs!$B$2:$AZ$2,0)),Inputs!$B$2:$B$190,$B170)*Inputs!$D$1)</f>
        <v>0</v>
      </c>
      <c r="BF170" s="57">
        <f>IF(ISNA(SUMIFS(INDEX(Inputs!$B$2:$AZ$190,,MATCH(SUBSTITUTE(BF$3,"Q","T"),Inputs!$B$2:$AZ$2,0)),Inputs!$B$2:$B$190,$B170)*Inputs!$D$1),"",SUMIFS(INDEX(Inputs!$B$2:$AZ$190,,MATCH(SUBSTITUTE(BF$3,"Q","T"),Inputs!$B$2:$AZ$2,0)),Inputs!$B$2:$B$190,$B170)*Inputs!$D$1)</f>
        <v>0</v>
      </c>
      <c r="BG170" s="58">
        <f>BF170</f>
        <v>0</v>
      </c>
    </row>
    <row r="171" hidden="1" outlineLevel="1">
      <c r="B171" s="56" t="inlineStr">
        <is>
          <t>seg1_ni</t>
        </is>
      </c>
      <c r="C171" s="11" t="inlineStr">
        <is>
          <t>Segmento 1 — lucro líquido</t>
        </is>
      </c>
      <c r="D171" s="12" t="inlineStr">
        <is>
          <t>Segment 1 — net income</t>
        </is>
      </c>
      <c r="E171" s="57">
        <f>IF(ISNA(SUMIFS(INDEX(Inputs!$B$2:$AZ$190,,MATCH(SUBSTITUTE(E$3,"Q","T"),Inputs!$B$2:$AZ$2,0)),Inputs!$B$2:$B$190,$B171)*Inputs!$D$1),"",SUMIFS(INDEX(Inputs!$B$2:$AZ$190,,MATCH(SUBSTITUTE(E$3,"Q","T"),Inputs!$B$2:$AZ$2,0)),Inputs!$B$2:$B$190,$B171)*Inputs!$D$1)</f>
        <v>0</v>
      </c>
      <c r="F171" s="57">
        <f>IF(ISNA(SUMIFS(INDEX(Inputs!$B$2:$AZ$190,,MATCH(SUBSTITUTE(F$3,"Q","T"),Inputs!$B$2:$AZ$2,0)),Inputs!$B$2:$B$190,$B171)*Inputs!$D$1),"",SUMIFS(INDEX(Inputs!$B$2:$AZ$190,,MATCH(SUBSTITUTE(F$3,"Q","T"),Inputs!$B$2:$AZ$2,0)),Inputs!$B$2:$B$190,$B171)*Inputs!$D$1)</f>
        <v>0</v>
      </c>
      <c r="G171" s="57">
        <f>IF(ISNA(SUMIFS(INDEX(Inputs!$B$2:$AZ$190,,MATCH(SUBSTITUTE(G$3,"Q","T"),Inputs!$B$2:$AZ$2,0)),Inputs!$B$2:$B$190,$B171)*Inputs!$D$1),"",SUMIFS(INDEX(Inputs!$B$2:$AZ$190,,MATCH(SUBSTITUTE(G$3,"Q","T"),Inputs!$B$2:$AZ$2,0)),Inputs!$B$2:$B$190,$B171)*Inputs!$D$1)</f>
        <v>0</v>
      </c>
      <c r="H171" s="57">
        <f>IF(ISNA(SUMIFS(INDEX(Inputs!$B$2:$AZ$190,,MATCH(SUBSTITUTE(H$3,"Q","T"),Inputs!$B$2:$AZ$2,0)),Inputs!$B$2:$B$190,$B171)*Inputs!$D$1),"",SUMIFS(INDEX(Inputs!$B$2:$AZ$190,,MATCH(SUBSTITUTE(H$3,"Q","T"),Inputs!$B$2:$AZ$2,0)),Inputs!$B$2:$B$190,$B171)*Inputs!$D$1)</f>
        <v>0</v>
      </c>
      <c r="I171" s="58">
        <f>H171</f>
        <v>0</v>
      </c>
      <c r="J171" s="57">
        <f>IF(ISNA(SUMIFS(INDEX(Inputs!$B$2:$AZ$190,,MATCH(SUBSTITUTE(J$3,"Q","T"),Inputs!$B$2:$AZ$2,0)),Inputs!$B$2:$B$190,$B171)*Inputs!$D$1),"",SUMIFS(INDEX(Inputs!$B$2:$AZ$190,,MATCH(SUBSTITUTE(J$3,"Q","T"),Inputs!$B$2:$AZ$2,0)),Inputs!$B$2:$B$190,$B171)*Inputs!$D$1)</f>
        <v>0</v>
      </c>
      <c r="K171" s="57">
        <f>IF(ISNA(SUMIFS(INDEX(Inputs!$B$2:$AZ$190,,MATCH(SUBSTITUTE(K$3,"Q","T"),Inputs!$B$2:$AZ$2,0)),Inputs!$B$2:$B$190,$B171)*Inputs!$D$1),"",SUMIFS(INDEX(Inputs!$B$2:$AZ$190,,MATCH(SUBSTITUTE(K$3,"Q","T"),Inputs!$B$2:$AZ$2,0)),Inputs!$B$2:$B$190,$B171)*Inputs!$D$1)</f>
        <v>0</v>
      </c>
      <c r="L171" s="57">
        <f>IF(ISNA(SUMIFS(INDEX(Inputs!$B$2:$AZ$190,,MATCH(SUBSTITUTE(L$3,"Q","T"),Inputs!$B$2:$AZ$2,0)),Inputs!$B$2:$B$190,$B171)*Inputs!$D$1),"",SUMIFS(INDEX(Inputs!$B$2:$AZ$190,,MATCH(SUBSTITUTE(L$3,"Q","T"),Inputs!$B$2:$AZ$2,0)),Inputs!$B$2:$B$190,$B171)*Inputs!$D$1)</f>
        <v>0</v>
      </c>
      <c r="M171" s="57">
        <f>IF(ISNA(SUMIFS(INDEX(Inputs!$B$2:$AZ$190,,MATCH(SUBSTITUTE(M$3,"Q","T"),Inputs!$B$2:$AZ$2,0)),Inputs!$B$2:$B$190,$B171)*Inputs!$D$1),"",SUMIFS(INDEX(Inputs!$B$2:$AZ$190,,MATCH(SUBSTITUTE(M$3,"Q","T"),Inputs!$B$2:$AZ$2,0)),Inputs!$B$2:$B$190,$B171)*Inputs!$D$1)</f>
        <v>0</v>
      </c>
      <c r="N171" s="58">
        <f>M171</f>
        <v>0</v>
      </c>
      <c r="O171" s="57">
        <f>IF(ISNA(SUMIFS(INDEX(Inputs!$B$2:$AZ$190,,MATCH(SUBSTITUTE(O$3,"Q","T"),Inputs!$B$2:$AZ$2,0)),Inputs!$B$2:$B$190,$B171)*Inputs!$D$1),"",SUMIFS(INDEX(Inputs!$B$2:$AZ$190,,MATCH(SUBSTITUTE(O$3,"Q","T"),Inputs!$B$2:$AZ$2,0)),Inputs!$B$2:$B$190,$B171)*Inputs!$D$1)</f>
        <v>0</v>
      </c>
      <c r="P171" s="57">
        <f>IF(ISNA(SUMIFS(INDEX(Inputs!$B$2:$AZ$190,,MATCH(SUBSTITUTE(P$3,"Q","T"),Inputs!$B$2:$AZ$2,0)),Inputs!$B$2:$B$190,$B171)*Inputs!$D$1),"",SUMIFS(INDEX(Inputs!$B$2:$AZ$190,,MATCH(SUBSTITUTE(P$3,"Q","T"),Inputs!$B$2:$AZ$2,0)),Inputs!$B$2:$B$190,$B171)*Inputs!$D$1)</f>
        <v>0</v>
      </c>
      <c r="Q171" s="57">
        <f>IF(ISNA(SUMIFS(INDEX(Inputs!$B$2:$AZ$190,,MATCH(SUBSTITUTE(Q$3,"Q","T"),Inputs!$B$2:$AZ$2,0)),Inputs!$B$2:$B$190,$B171)*Inputs!$D$1),"",SUMIFS(INDEX(Inputs!$B$2:$AZ$190,,MATCH(SUBSTITUTE(Q$3,"Q","T"),Inputs!$B$2:$AZ$2,0)),Inputs!$B$2:$B$190,$B171)*Inputs!$D$1)</f>
        <v>0</v>
      </c>
      <c r="R171" s="57">
        <f>IF(ISNA(SUMIFS(INDEX(Inputs!$B$2:$AZ$190,,MATCH(SUBSTITUTE(R$3,"Q","T"),Inputs!$B$2:$AZ$2,0)),Inputs!$B$2:$B$190,$B171)*Inputs!$D$1),"",SUMIFS(INDEX(Inputs!$B$2:$AZ$190,,MATCH(SUBSTITUTE(R$3,"Q","T"),Inputs!$B$2:$AZ$2,0)),Inputs!$B$2:$B$190,$B171)*Inputs!$D$1)</f>
        <v>0</v>
      </c>
      <c r="S171" s="58">
        <f>R171</f>
        <v>0</v>
      </c>
      <c r="T171" s="57">
        <f>IF(ISNA(SUMIFS(INDEX(Inputs!$B$2:$AZ$190,,MATCH(SUBSTITUTE(T$3,"Q","T"),Inputs!$B$2:$AZ$2,0)),Inputs!$B$2:$B$190,$B171)*Inputs!$D$1),"",SUMIFS(INDEX(Inputs!$B$2:$AZ$190,,MATCH(SUBSTITUTE(T$3,"Q","T"),Inputs!$B$2:$AZ$2,0)),Inputs!$B$2:$B$190,$B171)*Inputs!$D$1)</f>
        <v>0</v>
      </c>
      <c r="U171" s="57">
        <f>IF(ISNA(SUMIFS(INDEX(Inputs!$B$2:$AZ$190,,MATCH(SUBSTITUTE(U$3,"Q","T"),Inputs!$B$2:$AZ$2,0)),Inputs!$B$2:$B$190,$B171)*Inputs!$D$1),"",SUMIFS(INDEX(Inputs!$B$2:$AZ$190,,MATCH(SUBSTITUTE(U$3,"Q","T"),Inputs!$B$2:$AZ$2,0)),Inputs!$B$2:$B$190,$B171)*Inputs!$D$1)</f>
        <v>0</v>
      </c>
      <c r="V171" s="57">
        <f>IF(ISNA(SUMIFS(INDEX(Inputs!$B$2:$AZ$190,,MATCH(SUBSTITUTE(V$3,"Q","T"),Inputs!$B$2:$AZ$2,0)),Inputs!$B$2:$B$190,$B171)*Inputs!$D$1),"",SUMIFS(INDEX(Inputs!$B$2:$AZ$190,,MATCH(SUBSTITUTE(V$3,"Q","T"),Inputs!$B$2:$AZ$2,0)),Inputs!$B$2:$B$190,$B171)*Inputs!$D$1)</f>
        <v>0</v>
      </c>
      <c r="W171" s="57">
        <f>IF(ISNA(SUMIFS(INDEX(Inputs!$B$2:$AZ$190,,MATCH(SUBSTITUTE(W$3,"Q","T"),Inputs!$B$2:$AZ$2,0)),Inputs!$B$2:$B$190,$B171)*Inputs!$D$1),"",SUMIFS(INDEX(Inputs!$B$2:$AZ$190,,MATCH(SUBSTITUTE(W$3,"Q","T"),Inputs!$B$2:$AZ$2,0)),Inputs!$B$2:$B$190,$B171)*Inputs!$D$1)</f>
        <v>0</v>
      </c>
      <c r="X171" s="58">
        <f>W171</f>
        <v>0</v>
      </c>
      <c r="Y171" s="57">
        <f>IF(ISNA(SUMIFS(INDEX(Inputs!$B$2:$AZ$190,,MATCH(SUBSTITUTE(Y$3,"Q","T"),Inputs!$B$2:$AZ$2,0)),Inputs!$B$2:$B$190,$B171)*Inputs!$D$1),"",SUMIFS(INDEX(Inputs!$B$2:$AZ$190,,MATCH(SUBSTITUTE(Y$3,"Q","T"),Inputs!$B$2:$AZ$2,0)),Inputs!$B$2:$B$190,$B171)*Inputs!$D$1)</f>
        <v>0</v>
      </c>
      <c r="Z171" s="57">
        <f>IF(ISNA(SUMIFS(INDEX(Inputs!$B$2:$AZ$190,,MATCH(SUBSTITUTE(Z$3,"Q","T"),Inputs!$B$2:$AZ$2,0)),Inputs!$B$2:$B$190,$B171)*Inputs!$D$1),"",SUMIFS(INDEX(Inputs!$B$2:$AZ$190,,MATCH(SUBSTITUTE(Z$3,"Q","T"),Inputs!$B$2:$AZ$2,0)),Inputs!$B$2:$B$190,$B171)*Inputs!$D$1)</f>
        <v>0</v>
      </c>
      <c r="AA171" s="57">
        <f>IF(ISNA(SUMIFS(INDEX(Inputs!$B$2:$AZ$190,,MATCH(SUBSTITUTE(AA$3,"Q","T"),Inputs!$B$2:$AZ$2,0)),Inputs!$B$2:$B$190,$B171)*Inputs!$D$1),"",SUMIFS(INDEX(Inputs!$B$2:$AZ$190,,MATCH(SUBSTITUTE(AA$3,"Q","T"),Inputs!$B$2:$AZ$2,0)),Inputs!$B$2:$B$190,$B171)*Inputs!$D$1)</f>
        <v>0</v>
      </c>
      <c r="AB171" s="57">
        <f>IF(ISNA(SUMIFS(INDEX(Inputs!$B$2:$AZ$190,,MATCH(SUBSTITUTE(AB$3,"Q","T"),Inputs!$B$2:$AZ$2,0)),Inputs!$B$2:$B$190,$B171)*Inputs!$D$1),"",SUMIFS(INDEX(Inputs!$B$2:$AZ$190,,MATCH(SUBSTITUTE(AB$3,"Q","T"),Inputs!$B$2:$AZ$2,0)),Inputs!$B$2:$B$190,$B171)*Inputs!$D$1)</f>
        <v>0</v>
      </c>
      <c r="AC171" s="58">
        <f>AB171</f>
        <v>0</v>
      </c>
      <c r="AD171" s="57">
        <f>IF(ISNA(SUMIFS(INDEX(Inputs!$B$2:$AZ$190,,MATCH(SUBSTITUTE(AD$3,"Q","T"),Inputs!$B$2:$AZ$2,0)),Inputs!$B$2:$B$190,$B171)*Inputs!$D$1),"",SUMIFS(INDEX(Inputs!$B$2:$AZ$190,,MATCH(SUBSTITUTE(AD$3,"Q","T"),Inputs!$B$2:$AZ$2,0)),Inputs!$B$2:$B$190,$B171)*Inputs!$D$1)</f>
        <v>0</v>
      </c>
      <c r="AE171" s="57">
        <f>IF(ISNA(SUMIFS(INDEX(Inputs!$B$2:$AZ$190,,MATCH(SUBSTITUTE(AE$3,"Q","T"),Inputs!$B$2:$AZ$2,0)),Inputs!$B$2:$B$190,$B171)*Inputs!$D$1),"",SUMIFS(INDEX(Inputs!$B$2:$AZ$190,,MATCH(SUBSTITUTE(AE$3,"Q","T"),Inputs!$B$2:$AZ$2,0)),Inputs!$B$2:$B$190,$B171)*Inputs!$D$1)</f>
        <v>0</v>
      </c>
      <c r="AF171" s="57">
        <f>IF(ISNA(SUMIFS(INDEX(Inputs!$B$2:$AZ$190,,MATCH(SUBSTITUTE(AF$3,"Q","T"),Inputs!$B$2:$AZ$2,0)),Inputs!$B$2:$B$190,$B171)*Inputs!$D$1),"",SUMIFS(INDEX(Inputs!$B$2:$AZ$190,,MATCH(SUBSTITUTE(AF$3,"Q","T"),Inputs!$B$2:$AZ$2,0)),Inputs!$B$2:$B$190,$B171)*Inputs!$D$1)</f>
        <v>0</v>
      </c>
      <c r="AG171" s="57">
        <f>IF(ISNA(SUMIFS(INDEX(Inputs!$B$2:$AZ$190,,MATCH(SUBSTITUTE(AG$3,"Q","T"),Inputs!$B$2:$AZ$2,0)),Inputs!$B$2:$B$190,$B171)*Inputs!$D$1),"",SUMIFS(INDEX(Inputs!$B$2:$AZ$190,,MATCH(SUBSTITUTE(AG$3,"Q","T"),Inputs!$B$2:$AZ$2,0)),Inputs!$B$2:$B$190,$B171)*Inputs!$D$1)</f>
        <v>0</v>
      </c>
      <c r="AH171" s="58">
        <f>AG171</f>
        <v>0</v>
      </c>
      <c r="AI171" s="57">
        <f>IF(ISNA(SUMIFS(INDEX(Inputs!$B$2:$AZ$190,,MATCH(SUBSTITUTE(AI$3,"Q","T"),Inputs!$B$2:$AZ$2,0)),Inputs!$B$2:$B$190,$B171)*Inputs!$D$1),"",SUMIFS(INDEX(Inputs!$B$2:$AZ$190,,MATCH(SUBSTITUTE(AI$3,"Q","T"),Inputs!$B$2:$AZ$2,0)),Inputs!$B$2:$B$190,$B171)*Inputs!$D$1)</f>
        <v>0</v>
      </c>
      <c r="AJ171" s="57">
        <f>IF(ISNA(SUMIFS(INDEX(Inputs!$B$2:$AZ$190,,MATCH(SUBSTITUTE(AJ$3,"Q","T"),Inputs!$B$2:$AZ$2,0)),Inputs!$B$2:$B$190,$B171)*Inputs!$D$1),"",SUMIFS(INDEX(Inputs!$B$2:$AZ$190,,MATCH(SUBSTITUTE(AJ$3,"Q","T"),Inputs!$B$2:$AZ$2,0)),Inputs!$B$2:$B$190,$B171)*Inputs!$D$1)</f>
        <v>0</v>
      </c>
      <c r="AK171" s="57">
        <f>IF(ISNA(SUMIFS(INDEX(Inputs!$B$2:$AZ$190,,MATCH(SUBSTITUTE(AK$3,"Q","T"),Inputs!$B$2:$AZ$2,0)),Inputs!$B$2:$B$190,$B171)*Inputs!$D$1),"",SUMIFS(INDEX(Inputs!$B$2:$AZ$190,,MATCH(SUBSTITUTE(AK$3,"Q","T"),Inputs!$B$2:$AZ$2,0)),Inputs!$B$2:$B$190,$B171)*Inputs!$D$1)</f>
        <v>0</v>
      </c>
      <c r="AL171" s="57">
        <f>IF(ISNA(SUMIFS(INDEX(Inputs!$B$2:$AZ$190,,MATCH(SUBSTITUTE(AL$3,"Q","T"),Inputs!$B$2:$AZ$2,0)),Inputs!$B$2:$B$190,$B171)*Inputs!$D$1),"",SUMIFS(INDEX(Inputs!$B$2:$AZ$190,,MATCH(SUBSTITUTE(AL$3,"Q","T"),Inputs!$B$2:$AZ$2,0)),Inputs!$B$2:$B$190,$B171)*Inputs!$D$1)</f>
        <v>0</v>
      </c>
      <c r="AM171" s="58">
        <f>AL171</f>
        <v>0</v>
      </c>
      <c r="AN171" s="57">
        <f>IF(ISNA(SUMIFS(INDEX(Inputs!$B$2:$AZ$190,,MATCH(SUBSTITUTE(AN$3,"Q","T"),Inputs!$B$2:$AZ$2,0)),Inputs!$B$2:$B$190,$B171)*Inputs!$D$1),"",SUMIFS(INDEX(Inputs!$B$2:$AZ$190,,MATCH(SUBSTITUTE(AN$3,"Q","T"),Inputs!$B$2:$AZ$2,0)),Inputs!$B$2:$B$190,$B171)*Inputs!$D$1)</f>
        <v>0</v>
      </c>
      <c r="AO171" s="57">
        <f>IF(ISNA(SUMIFS(INDEX(Inputs!$B$2:$AZ$190,,MATCH(SUBSTITUTE(AO$3,"Q","T"),Inputs!$B$2:$AZ$2,0)),Inputs!$B$2:$B$190,$B171)*Inputs!$D$1),"",SUMIFS(INDEX(Inputs!$B$2:$AZ$190,,MATCH(SUBSTITUTE(AO$3,"Q","T"),Inputs!$B$2:$AZ$2,0)),Inputs!$B$2:$B$190,$B171)*Inputs!$D$1)</f>
        <v>0</v>
      </c>
      <c r="AP171" s="57">
        <f>IF(ISNA(SUMIFS(INDEX(Inputs!$B$2:$AZ$190,,MATCH(SUBSTITUTE(AP$3,"Q","T"),Inputs!$B$2:$AZ$2,0)),Inputs!$B$2:$B$190,$B171)*Inputs!$D$1),"",SUMIFS(INDEX(Inputs!$B$2:$AZ$190,,MATCH(SUBSTITUTE(AP$3,"Q","T"),Inputs!$B$2:$AZ$2,0)),Inputs!$B$2:$B$190,$B171)*Inputs!$D$1)</f>
        <v>0</v>
      </c>
      <c r="AQ171" s="57">
        <f>IF(ISNA(SUMIFS(INDEX(Inputs!$B$2:$AZ$190,,MATCH(SUBSTITUTE(AQ$3,"Q","T"),Inputs!$B$2:$AZ$2,0)),Inputs!$B$2:$B$190,$B171)*Inputs!$D$1),"",SUMIFS(INDEX(Inputs!$B$2:$AZ$190,,MATCH(SUBSTITUTE(AQ$3,"Q","T"),Inputs!$B$2:$AZ$2,0)),Inputs!$B$2:$B$190,$B171)*Inputs!$D$1)</f>
        <v>0</v>
      </c>
      <c r="AR171" s="58">
        <f>AQ171</f>
        <v>0</v>
      </c>
      <c r="AS171" s="57">
        <f>IF(ISNA(SUMIFS(INDEX(Inputs!$B$2:$AZ$190,,MATCH(SUBSTITUTE(AS$3,"Q","T"),Inputs!$B$2:$AZ$2,0)),Inputs!$B$2:$B$190,$B171)*Inputs!$D$1),"",SUMIFS(INDEX(Inputs!$B$2:$AZ$190,,MATCH(SUBSTITUTE(AS$3,"Q","T"),Inputs!$B$2:$AZ$2,0)),Inputs!$B$2:$B$190,$B171)*Inputs!$D$1)</f>
        <v>0</v>
      </c>
      <c r="AT171" s="57">
        <f>IF(ISNA(SUMIFS(INDEX(Inputs!$B$2:$AZ$190,,MATCH(SUBSTITUTE(AT$3,"Q","T"),Inputs!$B$2:$AZ$2,0)),Inputs!$B$2:$B$190,$B171)*Inputs!$D$1),"",SUMIFS(INDEX(Inputs!$B$2:$AZ$190,,MATCH(SUBSTITUTE(AT$3,"Q","T"),Inputs!$B$2:$AZ$2,0)),Inputs!$B$2:$B$190,$B171)*Inputs!$D$1)</f>
        <v>0</v>
      </c>
      <c r="AU171" s="57">
        <f>IF(ISNA(SUMIFS(INDEX(Inputs!$B$2:$AZ$190,,MATCH(SUBSTITUTE(AU$3,"Q","T"),Inputs!$B$2:$AZ$2,0)),Inputs!$B$2:$B$190,$B171)*Inputs!$D$1),"",SUMIFS(INDEX(Inputs!$B$2:$AZ$190,,MATCH(SUBSTITUTE(AU$3,"Q","T"),Inputs!$B$2:$AZ$2,0)),Inputs!$B$2:$B$190,$B171)*Inputs!$D$1)</f>
        <v>0</v>
      </c>
      <c r="AV171" s="57">
        <f>IF(ISNA(SUMIFS(INDEX(Inputs!$B$2:$AZ$190,,MATCH(SUBSTITUTE(AV$3,"Q","T"),Inputs!$B$2:$AZ$2,0)),Inputs!$B$2:$B$190,$B171)*Inputs!$D$1),"",SUMIFS(INDEX(Inputs!$B$2:$AZ$190,,MATCH(SUBSTITUTE(AV$3,"Q","T"),Inputs!$B$2:$AZ$2,0)),Inputs!$B$2:$B$190,$B171)*Inputs!$D$1)</f>
        <v>0</v>
      </c>
      <c r="AW171" s="58">
        <f>AV171</f>
        <v>0</v>
      </c>
      <c r="AX171" s="57">
        <f>IF(ISNA(SUMIFS(INDEX(Inputs!$B$2:$AZ$190,,MATCH(SUBSTITUTE(AX$3,"Q","T"),Inputs!$B$2:$AZ$2,0)),Inputs!$B$2:$B$190,$B171)*Inputs!$D$1),"",SUMIFS(INDEX(Inputs!$B$2:$AZ$190,,MATCH(SUBSTITUTE(AX$3,"Q","T"),Inputs!$B$2:$AZ$2,0)),Inputs!$B$2:$B$190,$B171)*Inputs!$D$1)</f>
        <v>0</v>
      </c>
      <c r="AY171" s="57">
        <f>IF(ISNA(SUMIFS(INDEX(Inputs!$B$2:$AZ$190,,MATCH(SUBSTITUTE(AY$3,"Q","T"),Inputs!$B$2:$AZ$2,0)),Inputs!$B$2:$B$190,$B171)*Inputs!$D$1),"",SUMIFS(INDEX(Inputs!$B$2:$AZ$190,,MATCH(SUBSTITUTE(AY$3,"Q","T"),Inputs!$B$2:$AZ$2,0)),Inputs!$B$2:$B$190,$B171)*Inputs!$D$1)</f>
        <v>0</v>
      </c>
      <c r="AZ171" s="57">
        <f>IF(ISNA(SUMIFS(INDEX(Inputs!$B$2:$AZ$190,,MATCH(SUBSTITUTE(AZ$3,"Q","T"),Inputs!$B$2:$AZ$2,0)),Inputs!$B$2:$B$190,$B171)*Inputs!$D$1),"",SUMIFS(INDEX(Inputs!$B$2:$AZ$190,,MATCH(SUBSTITUTE(AZ$3,"Q","T"),Inputs!$B$2:$AZ$2,0)),Inputs!$B$2:$B$190,$B171)*Inputs!$D$1)</f>
        <v>0</v>
      </c>
      <c r="BA171" s="57">
        <f>IF(ISNA(SUMIFS(INDEX(Inputs!$B$2:$AZ$190,,MATCH(SUBSTITUTE(BA$3,"Q","T"),Inputs!$B$2:$AZ$2,0)),Inputs!$B$2:$B$190,$B171)*Inputs!$D$1),"",SUMIFS(INDEX(Inputs!$B$2:$AZ$190,,MATCH(SUBSTITUTE(BA$3,"Q","T"),Inputs!$B$2:$AZ$2,0)),Inputs!$B$2:$B$190,$B171)*Inputs!$D$1)</f>
        <v>0</v>
      </c>
      <c r="BB171" s="58">
        <f>BA171</f>
        <v>0</v>
      </c>
      <c r="BC171" s="57">
        <f>IF(ISNA(SUMIFS(INDEX(Inputs!$B$2:$AZ$190,,MATCH(SUBSTITUTE(BC$3,"Q","T"),Inputs!$B$2:$AZ$2,0)),Inputs!$B$2:$B$190,$B171)*Inputs!$D$1),"",SUMIFS(INDEX(Inputs!$B$2:$AZ$190,,MATCH(SUBSTITUTE(BC$3,"Q","T"),Inputs!$B$2:$AZ$2,0)),Inputs!$B$2:$B$190,$B171)*Inputs!$D$1)</f>
        <v>0</v>
      </c>
      <c r="BD171" s="57">
        <f>IF(ISNA(SUMIFS(INDEX(Inputs!$B$2:$AZ$190,,MATCH(SUBSTITUTE(BD$3,"Q","T"),Inputs!$B$2:$AZ$2,0)),Inputs!$B$2:$B$190,$B171)*Inputs!$D$1),"",SUMIFS(INDEX(Inputs!$B$2:$AZ$190,,MATCH(SUBSTITUTE(BD$3,"Q","T"),Inputs!$B$2:$AZ$2,0)),Inputs!$B$2:$B$190,$B171)*Inputs!$D$1)</f>
        <v>0</v>
      </c>
      <c r="BE171" s="57">
        <f>IF(ISNA(SUMIFS(INDEX(Inputs!$B$2:$AZ$190,,MATCH(SUBSTITUTE(BE$3,"Q","T"),Inputs!$B$2:$AZ$2,0)),Inputs!$B$2:$B$190,$B171)*Inputs!$D$1),"",SUMIFS(INDEX(Inputs!$B$2:$AZ$190,,MATCH(SUBSTITUTE(BE$3,"Q","T"),Inputs!$B$2:$AZ$2,0)),Inputs!$B$2:$B$190,$B171)*Inputs!$D$1)</f>
        <v>0</v>
      </c>
      <c r="BF171" s="57">
        <f>IF(ISNA(SUMIFS(INDEX(Inputs!$B$2:$AZ$190,,MATCH(SUBSTITUTE(BF$3,"Q","T"),Inputs!$B$2:$AZ$2,0)),Inputs!$B$2:$B$190,$B171)*Inputs!$D$1),"",SUMIFS(INDEX(Inputs!$B$2:$AZ$190,,MATCH(SUBSTITUTE(BF$3,"Q","T"),Inputs!$B$2:$AZ$2,0)),Inputs!$B$2:$B$190,$B171)*Inputs!$D$1)</f>
        <v>0</v>
      </c>
      <c r="BG171" s="58">
        <f>BF171</f>
        <v>0</v>
      </c>
    </row>
    <row r="172" hidden="1" outlineLevel="1">
      <c r="B172" s="56" t="inlineStr">
        <is>
          <t>seg2_ni</t>
        </is>
      </c>
      <c r="C172" s="11" t="inlineStr">
        <is>
          <t>Segmento 2 — lucro líquido</t>
        </is>
      </c>
      <c r="D172" s="12" t="inlineStr">
        <is>
          <t>Segment 2 — net income</t>
        </is>
      </c>
      <c r="E172" s="57">
        <f>IF(ISNA(SUMIFS(INDEX(Inputs!$B$2:$AZ$190,,MATCH(SUBSTITUTE(E$3,"Q","T"),Inputs!$B$2:$AZ$2,0)),Inputs!$B$2:$B$190,$B172)*Inputs!$D$1),"",SUMIFS(INDEX(Inputs!$B$2:$AZ$190,,MATCH(SUBSTITUTE(E$3,"Q","T"),Inputs!$B$2:$AZ$2,0)),Inputs!$B$2:$B$190,$B172)*Inputs!$D$1)</f>
        <v>0</v>
      </c>
      <c r="F172" s="57">
        <f>IF(ISNA(SUMIFS(INDEX(Inputs!$B$2:$AZ$190,,MATCH(SUBSTITUTE(F$3,"Q","T"),Inputs!$B$2:$AZ$2,0)),Inputs!$B$2:$B$190,$B172)*Inputs!$D$1),"",SUMIFS(INDEX(Inputs!$B$2:$AZ$190,,MATCH(SUBSTITUTE(F$3,"Q","T"),Inputs!$B$2:$AZ$2,0)),Inputs!$B$2:$B$190,$B172)*Inputs!$D$1)</f>
        <v>0</v>
      </c>
      <c r="G172" s="57">
        <f>IF(ISNA(SUMIFS(INDEX(Inputs!$B$2:$AZ$190,,MATCH(SUBSTITUTE(G$3,"Q","T"),Inputs!$B$2:$AZ$2,0)),Inputs!$B$2:$B$190,$B172)*Inputs!$D$1),"",SUMIFS(INDEX(Inputs!$B$2:$AZ$190,,MATCH(SUBSTITUTE(G$3,"Q","T"),Inputs!$B$2:$AZ$2,0)),Inputs!$B$2:$B$190,$B172)*Inputs!$D$1)</f>
        <v>0</v>
      </c>
      <c r="H172" s="57">
        <f>IF(ISNA(SUMIFS(INDEX(Inputs!$B$2:$AZ$190,,MATCH(SUBSTITUTE(H$3,"Q","T"),Inputs!$B$2:$AZ$2,0)),Inputs!$B$2:$B$190,$B172)*Inputs!$D$1),"",SUMIFS(INDEX(Inputs!$B$2:$AZ$190,,MATCH(SUBSTITUTE(H$3,"Q","T"),Inputs!$B$2:$AZ$2,0)),Inputs!$B$2:$B$190,$B172)*Inputs!$D$1)</f>
        <v>0</v>
      </c>
      <c r="I172" s="58">
        <f>H172</f>
        <v>0</v>
      </c>
      <c r="J172" s="57">
        <f>IF(ISNA(SUMIFS(INDEX(Inputs!$B$2:$AZ$190,,MATCH(SUBSTITUTE(J$3,"Q","T"),Inputs!$B$2:$AZ$2,0)),Inputs!$B$2:$B$190,$B172)*Inputs!$D$1),"",SUMIFS(INDEX(Inputs!$B$2:$AZ$190,,MATCH(SUBSTITUTE(J$3,"Q","T"),Inputs!$B$2:$AZ$2,0)),Inputs!$B$2:$B$190,$B172)*Inputs!$D$1)</f>
        <v>0</v>
      </c>
      <c r="K172" s="57">
        <f>IF(ISNA(SUMIFS(INDEX(Inputs!$B$2:$AZ$190,,MATCH(SUBSTITUTE(K$3,"Q","T"),Inputs!$B$2:$AZ$2,0)),Inputs!$B$2:$B$190,$B172)*Inputs!$D$1),"",SUMIFS(INDEX(Inputs!$B$2:$AZ$190,,MATCH(SUBSTITUTE(K$3,"Q","T"),Inputs!$B$2:$AZ$2,0)),Inputs!$B$2:$B$190,$B172)*Inputs!$D$1)</f>
        <v>0</v>
      </c>
      <c r="L172" s="57">
        <f>IF(ISNA(SUMIFS(INDEX(Inputs!$B$2:$AZ$190,,MATCH(SUBSTITUTE(L$3,"Q","T"),Inputs!$B$2:$AZ$2,0)),Inputs!$B$2:$B$190,$B172)*Inputs!$D$1),"",SUMIFS(INDEX(Inputs!$B$2:$AZ$190,,MATCH(SUBSTITUTE(L$3,"Q","T"),Inputs!$B$2:$AZ$2,0)),Inputs!$B$2:$B$190,$B172)*Inputs!$D$1)</f>
        <v>0</v>
      </c>
      <c r="M172" s="57">
        <f>IF(ISNA(SUMIFS(INDEX(Inputs!$B$2:$AZ$190,,MATCH(SUBSTITUTE(M$3,"Q","T"),Inputs!$B$2:$AZ$2,0)),Inputs!$B$2:$B$190,$B172)*Inputs!$D$1),"",SUMIFS(INDEX(Inputs!$B$2:$AZ$190,,MATCH(SUBSTITUTE(M$3,"Q","T"),Inputs!$B$2:$AZ$2,0)),Inputs!$B$2:$B$190,$B172)*Inputs!$D$1)</f>
        <v>0</v>
      </c>
      <c r="N172" s="58">
        <f>M172</f>
        <v>0</v>
      </c>
      <c r="O172" s="57">
        <f>IF(ISNA(SUMIFS(INDEX(Inputs!$B$2:$AZ$190,,MATCH(SUBSTITUTE(O$3,"Q","T"),Inputs!$B$2:$AZ$2,0)),Inputs!$B$2:$B$190,$B172)*Inputs!$D$1),"",SUMIFS(INDEX(Inputs!$B$2:$AZ$190,,MATCH(SUBSTITUTE(O$3,"Q","T"),Inputs!$B$2:$AZ$2,0)),Inputs!$B$2:$B$190,$B172)*Inputs!$D$1)</f>
        <v>0</v>
      </c>
      <c r="P172" s="57">
        <f>IF(ISNA(SUMIFS(INDEX(Inputs!$B$2:$AZ$190,,MATCH(SUBSTITUTE(P$3,"Q","T"),Inputs!$B$2:$AZ$2,0)),Inputs!$B$2:$B$190,$B172)*Inputs!$D$1),"",SUMIFS(INDEX(Inputs!$B$2:$AZ$190,,MATCH(SUBSTITUTE(P$3,"Q","T"),Inputs!$B$2:$AZ$2,0)),Inputs!$B$2:$B$190,$B172)*Inputs!$D$1)</f>
        <v>0</v>
      </c>
      <c r="Q172" s="57">
        <f>IF(ISNA(SUMIFS(INDEX(Inputs!$B$2:$AZ$190,,MATCH(SUBSTITUTE(Q$3,"Q","T"),Inputs!$B$2:$AZ$2,0)),Inputs!$B$2:$B$190,$B172)*Inputs!$D$1),"",SUMIFS(INDEX(Inputs!$B$2:$AZ$190,,MATCH(SUBSTITUTE(Q$3,"Q","T"),Inputs!$B$2:$AZ$2,0)),Inputs!$B$2:$B$190,$B172)*Inputs!$D$1)</f>
        <v>0</v>
      </c>
      <c r="R172" s="57">
        <f>IF(ISNA(SUMIFS(INDEX(Inputs!$B$2:$AZ$190,,MATCH(SUBSTITUTE(R$3,"Q","T"),Inputs!$B$2:$AZ$2,0)),Inputs!$B$2:$B$190,$B172)*Inputs!$D$1),"",SUMIFS(INDEX(Inputs!$B$2:$AZ$190,,MATCH(SUBSTITUTE(R$3,"Q","T"),Inputs!$B$2:$AZ$2,0)),Inputs!$B$2:$B$190,$B172)*Inputs!$D$1)</f>
        <v>0</v>
      </c>
      <c r="S172" s="58">
        <f>R172</f>
        <v>0</v>
      </c>
      <c r="T172" s="57">
        <f>IF(ISNA(SUMIFS(INDEX(Inputs!$B$2:$AZ$190,,MATCH(SUBSTITUTE(T$3,"Q","T"),Inputs!$B$2:$AZ$2,0)),Inputs!$B$2:$B$190,$B172)*Inputs!$D$1),"",SUMIFS(INDEX(Inputs!$B$2:$AZ$190,,MATCH(SUBSTITUTE(T$3,"Q","T"),Inputs!$B$2:$AZ$2,0)),Inputs!$B$2:$B$190,$B172)*Inputs!$D$1)</f>
        <v>0</v>
      </c>
      <c r="U172" s="57">
        <f>IF(ISNA(SUMIFS(INDEX(Inputs!$B$2:$AZ$190,,MATCH(SUBSTITUTE(U$3,"Q","T"),Inputs!$B$2:$AZ$2,0)),Inputs!$B$2:$B$190,$B172)*Inputs!$D$1),"",SUMIFS(INDEX(Inputs!$B$2:$AZ$190,,MATCH(SUBSTITUTE(U$3,"Q","T"),Inputs!$B$2:$AZ$2,0)),Inputs!$B$2:$B$190,$B172)*Inputs!$D$1)</f>
        <v>0</v>
      </c>
      <c r="V172" s="57">
        <f>IF(ISNA(SUMIFS(INDEX(Inputs!$B$2:$AZ$190,,MATCH(SUBSTITUTE(V$3,"Q","T"),Inputs!$B$2:$AZ$2,0)),Inputs!$B$2:$B$190,$B172)*Inputs!$D$1),"",SUMIFS(INDEX(Inputs!$B$2:$AZ$190,,MATCH(SUBSTITUTE(V$3,"Q","T"),Inputs!$B$2:$AZ$2,0)),Inputs!$B$2:$B$190,$B172)*Inputs!$D$1)</f>
        <v>0</v>
      </c>
      <c r="W172" s="57">
        <f>IF(ISNA(SUMIFS(INDEX(Inputs!$B$2:$AZ$190,,MATCH(SUBSTITUTE(W$3,"Q","T"),Inputs!$B$2:$AZ$2,0)),Inputs!$B$2:$B$190,$B172)*Inputs!$D$1),"",SUMIFS(INDEX(Inputs!$B$2:$AZ$190,,MATCH(SUBSTITUTE(W$3,"Q","T"),Inputs!$B$2:$AZ$2,0)),Inputs!$B$2:$B$190,$B172)*Inputs!$D$1)</f>
        <v>0</v>
      </c>
      <c r="X172" s="58">
        <f>W172</f>
        <v>0</v>
      </c>
      <c r="Y172" s="57">
        <f>IF(ISNA(SUMIFS(INDEX(Inputs!$B$2:$AZ$190,,MATCH(SUBSTITUTE(Y$3,"Q","T"),Inputs!$B$2:$AZ$2,0)),Inputs!$B$2:$B$190,$B172)*Inputs!$D$1),"",SUMIFS(INDEX(Inputs!$B$2:$AZ$190,,MATCH(SUBSTITUTE(Y$3,"Q","T"),Inputs!$B$2:$AZ$2,0)),Inputs!$B$2:$B$190,$B172)*Inputs!$D$1)</f>
        <v>0</v>
      </c>
      <c r="Z172" s="57">
        <f>IF(ISNA(SUMIFS(INDEX(Inputs!$B$2:$AZ$190,,MATCH(SUBSTITUTE(Z$3,"Q","T"),Inputs!$B$2:$AZ$2,0)),Inputs!$B$2:$B$190,$B172)*Inputs!$D$1),"",SUMIFS(INDEX(Inputs!$B$2:$AZ$190,,MATCH(SUBSTITUTE(Z$3,"Q","T"),Inputs!$B$2:$AZ$2,0)),Inputs!$B$2:$B$190,$B172)*Inputs!$D$1)</f>
        <v>0</v>
      </c>
      <c r="AA172" s="57">
        <f>IF(ISNA(SUMIFS(INDEX(Inputs!$B$2:$AZ$190,,MATCH(SUBSTITUTE(AA$3,"Q","T"),Inputs!$B$2:$AZ$2,0)),Inputs!$B$2:$B$190,$B172)*Inputs!$D$1),"",SUMIFS(INDEX(Inputs!$B$2:$AZ$190,,MATCH(SUBSTITUTE(AA$3,"Q","T"),Inputs!$B$2:$AZ$2,0)),Inputs!$B$2:$B$190,$B172)*Inputs!$D$1)</f>
        <v>0</v>
      </c>
      <c r="AB172" s="57">
        <f>IF(ISNA(SUMIFS(INDEX(Inputs!$B$2:$AZ$190,,MATCH(SUBSTITUTE(AB$3,"Q","T"),Inputs!$B$2:$AZ$2,0)),Inputs!$B$2:$B$190,$B172)*Inputs!$D$1),"",SUMIFS(INDEX(Inputs!$B$2:$AZ$190,,MATCH(SUBSTITUTE(AB$3,"Q","T"),Inputs!$B$2:$AZ$2,0)),Inputs!$B$2:$B$190,$B172)*Inputs!$D$1)</f>
        <v>0</v>
      </c>
      <c r="AC172" s="58">
        <f>AB172</f>
        <v>0</v>
      </c>
      <c r="AD172" s="57">
        <f>IF(ISNA(SUMIFS(INDEX(Inputs!$B$2:$AZ$190,,MATCH(SUBSTITUTE(AD$3,"Q","T"),Inputs!$B$2:$AZ$2,0)),Inputs!$B$2:$B$190,$B172)*Inputs!$D$1),"",SUMIFS(INDEX(Inputs!$B$2:$AZ$190,,MATCH(SUBSTITUTE(AD$3,"Q","T"),Inputs!$B$2:$AZ$2,0)),Inputs!$B$2:$B$190,$B172)*Inputs!$D$1)</f>
        <v>0</v>
      </c>
      <c r="AE172" s="57">
        <f>IF(ISNA(SUMIFS(INDEX(Inputs!$B$2:$AZ$190,,MATCH(SUBSTITUTE(AE$3,"Q","T"),Inputs!$B$2:$AZ$2,0)),Inputs!$B$2:$B$190,$B172)*Inputs!$D$1),"",SUMIFS(INDEX(Inputs!$B$2:$AZ$190,,MATCH(SUBSTITUTE(AE$3,"Q","T"),Inputs!$B$2:$AZ$2,0)),Inputs!$B$2:$B$190,$B172)*Inputs!$D$1)</f>
        <v>0</v>
      </c>
      <c r="AF172" s="57">
        <f>IF(ISNA(SUMIFS(INDEX(Inputs!$B$2:$AZ$190,,MATCH(SUBSTITUTE(AF$3,"Q","T"),Inputs!$B$2:$AZ$2,0)),Inputs!$B$2:$B$190,$B172)*Inputs!$D$1),"",SUMIFS(INDEX(Inputs!$B$2:$AZ$190,,MATCH(SUBSTITUTE(AF$3,"Q","T"),Inputs!$B$2:$AZ$2,0)),Inputs!$B$2:$B$190,$B172)*Inputs!$D$1)</f>
        <v>0</v>
      </c>
      <c r="AG172" s="57">
        <f>IF(ISNA(SUMIFS(INDEX(Inputs!$B$2:$AZ$190,,MATCH(SUBSTITUTE(AG$3,"Q","T"),Inputs!$B$2:$AZ$2,0)),Inputs!$B$2:$B$190,$B172)*Inputs!$D$1),"",SUMIFS(INDEX(Inputs!$B$2:$AZ$190,,MATCH(SUBSTITUTE(AG$3,"Q","T"),Inputs!$B$2:$AZ$2,0)),Inputs!$B$2:$B$190,$B172)*Inputs!$D$1)</f>
        <v>0</v>
      </c>
      <c r="AH172" s="58">
        <f>AG172</f>
        <v>0</v>
      </c>
      <c r="AI172" s="57">
        <f>IF(ISNA(SUMIFS(INDEX(Inputs!$B$2:$AZ$190,,MATCH(SUBSTITUTE(AI$3,"Q","T"),Inputs!$B$2:$AZ$2,0)),Inputs!$B$2:$B$190,$B172)*Inputs!$D$1),"",SUMIFS(INDEX(Inputs!$B$2:$AZ$190,,MATCH(SUBSTITUTE(AI$3,"Q","T"),Inputs!$B$2:$AZ$2,0)),Inputs!$B$2:$B$190,$B172)*Inputs!$D$1)</f>
        <v>0</v>
      </c>
      <c r="AJ172" s="57">
        <f>IF(ISNA(SUMIFS(INDEX(Inputs!$B$2:$AZ$190,,MATCH(SUBSTITUTE(AJ$3,"Q","T"),Inputs!$B$2:$AZ$2,0)),Inputs!$B$2:$B$190,$B172)*Inputs!$D$1),"",SUMIFS(INDEX(Inputs!$B$2:$AZ$190,,MATCH(SUBSTITUTE(AJ$3,"Q","T"),Inputs!$B$2:$AZ$2,0)),Inputs!$B$2:$B$190,$B172)*Inputs!$D$1)</f>
        <v>0</v>
      </c>
      <c r="AK172" s="57">
        <f>IF(ISNA(SUMIFS(INDEX(Inputs!$B$2:$AZ$190,,MATCH(SUBSTITUTE(AK$3,"Q","T"),Inputs!$B$2:$AZ$2,0)),Inputs!$B$2:$B$190,$B172)*Inputs!$D$1),"",SUMIFS(INDEX(Inputs!$B$2:$AZ$190,,MATCH(SUBSTITUTE(AK$3,"Q","T"),Inputs!$B$2:$AZ$2,0)),Inputs!$B$2:$B$190,$B172)*Inputs!$D$1)</f>
        <v>0</v>
      </c>
      <c r="AL172" s="57">
        <f>IF(ISNA(SUMIFS(INDEX(Inputs!$B$2:$AZ$190,,MATCH(SUBSTITUTE(AL$3,"Q","T"),Inputs!$B$2:$AZ$2,0)),Inputs!$B$2:$B$190,$B172)*Inputs!$D$1),"",SUMIFS(INDEX(Inputs!$B$2:$AZ$190,,MATCH(SUBSTITUTE(AL$3,"Q","T"),Inputs!$B$2:$AZ$2,0)),Inputs!$B$2:$B$190,$B172)*Inputs!$D$1)</f>
        <v>0</v>
      </c>
      <c r="AM172" s="58">
        <f>AL172</f>
        <v>0</v>
      </c>
      <c r="AN172" s="57">
        <f>IF(ISNA(SUMIFS(INDEX(Inputs!$B$2:$AZ$190,,MATCH(SUBSTITUTE(AN$3,"Q","T"),Inputs!$B$2:$AZ$2,0)),Inputs!$B$2:$B$190,$B172)*Inputs!$D$1),"",SUMIFS(INDEX(Inputs!$B$2:$AZ$190,,MATCH(SUBSTITUTE(AN$3,"Q","T"),Inputs!$B$2:$AZ$2,0)),Inputs!$B$2:$B$190,$B172)*Inputs!$D$1)</f>
        <v>0</v>
      </c>
      <c r="AO172" s="57">
        <f>IF(ISNA(SUMIFS(INDEX(Inputs!$B$2:$AZ$190,,MATCH(SUBSTITUTE(AO$3,"Q","T"),Inputs!$B$2:$AZ$2,0)),Inputs!$B$2:$B$190,$B172)*Inputs!$D$1),"",SUMIFS(INDEX(Inputs!$B$2:$AZ$190,,MATCH(SUBSTITUTE(AO$3,"Q","T"),Inputs!$B$2:$AZ$2,0)),Inputs!$B$2:$B$190,$B172)*Inputs!$D$1)</f>
        <v>0</v>
      </c>
      <c r="AP172" s="57">
        <f>IF(ISNA(SUMIFS(INDEX(Inputs!$B$2:$AZ$190,,MATCH(SUBSTITUTE(AP$3,"Q","T"),Inputs!$B$2:$AZ$2,0)),Inputs!$B$2:$B$190,$B172)*Inputs!$D$1),"",SUMIFS(INDEX(Inputs!$B$2:$AZ$190,,MATCH(SUBSTITUTE(AP$3,"Q","T"),Inputs!$B$2:$AZ$2,0)),Inputs!$B$2:$B$190,$B172)*Inputs!$D$1)</f>
        <v>0</v>
      </c>
      <c r="AQ172" s="57">
        <f>IF(ISNA(SUMIFS(INDEX(Inputs!$B$2:$AZ$190,,MATCH(SUBSTITUTE(AQ$3,"Q","T"),Inputs!$B$2:$AZ$2,0)),Inputs!$B$2:$B$190,$B172)*Inputs!$D$1),"",SUMIFS(INDEX(Inputs!$B$2:$AZ$190,,MATCH(SUBSTITUTE(AQ$3,"Q","T"),Inputs!$B$2:$AZ$2,0)),Inputs!$B$2:$B$190,$B172)*Inputs!$D$1)</f>
        <v>0</v>
      </c>
      <c r="AR172" s="58">
        <f>AQ172</f>
        <v>0</v>
      </c>
      <c r="AS172" s="57">
        <f>IF(ISNA(SUMIFS(INDEX(Inputs!$B$2:$AZ$190,,MATCH(SUBSTITUTE(AS$3,"Q","T"),Inputs!$B$2:$AZ$2,0)),Inputs!$B$2:$B$190,$B172)*Inputs!$D$1),"",SUMIFS(INDEX(Inputs!$B$2:$AZ$190,,MATCH(SUBSTITUTE(AS$3,"Q","T"),Inputs!$B$2:$AZ$2,0)),Inputs!$B$2:$B$190,$B172)*Inputs!$D$1)</f>
        <v>0</v>
      </c>
      <c r="AT172" s="57">
        <f>IF(ISNA(SUMIFS(INDEX(Inputs!$B$2:$AZ$190,,MATCH(SUBSTITUTE(AT$3,"Q","T"),Inputs!$B$2:$AZ$2,0)),Inputs!$B$2:$B$190,$B172)*Inputs!$D$1),"",SUMIFS(INDEX(Inputs!$B$2:$AZ$190,,MATCH(SUBSTITUTE(AT$3,"Q","T"),Inputs!$B$2:$AZ$2,0)),Inputs!$B$2:$B$190,$B172)*Inputs!$D$1)</f>
        <v>0</v>
      </c>
      <c r="AU172" s="57">
        <f>IF(ISNA(SUMIFS(INDEX(Inputs!$B$2:$AZ$190,,MATCH(SUBSTITUTE(AU$3,"Q","T"),Inputs!$B$2:$AZ$2,0)),Inputs!$B$2:$B$190,$B172)*Inputs!$D$1),"",SUMIFS(INDEX(Inputs!$B$2:$AZ$190,,MATCH(SUBSTITUTE(AU$3,"Q","T"),Inputs!$B$2:$AZ$2,0)),Inputs!$B$2:$B$190,$B172)*Inputs!$D$1)</f>
        <v>0</v>
      </c>
      <c r="AV172" s="57">
        <f>IF(ISNA(SUMIFS(INDEX(Inputs!$B$2:$AZ$190,,MATCH(SUBSTITUTE(AV$3,"Q","T"),Inputs!$B$2:$AZ$2,0)),Inputs!$B$2:$B$190,$B172)*Inputs!$D$1),"",SUMIFS(INDEX(Inputs!$B$2:$AZ$190,,MATCH(SUBSTITUTE(AV$3,"Q","T"),Inputs!$B$2:$AZ$2,0)),Inputs!$B$2:$B$190,$B172)*Inputs!$D$1)</f>
        <v>0</v>
      </c>
      <c r="AW172" s="58">
        <f>AV172</f>
        <v>0</v>
      </c>
      <c r="AX172" s="57">
        <f>IF(ISNA(SUMIFS(INDEX(Inputs!$B$2:$AZ$190,,MATCH(SUBSTITUTE(AX$3,"Q","T"),Inputs!$B$2:$AZ$2,0)),Inputs!$B$2:$B$190,$B172)*Inputs!$D$1),"",SUMIFS(INDEX(Inputs!$B$2:$AZ$190,,MATCH(SUBSTITUTE(AX$3,"Q","T"),Inputs!$B$2:$AZ$2,0)),Inputs!$B$2:$B$190,$B172)*Inputs!$D$1)</f>
        <v>0</v>
      </c>
      <c r="AY172" s="57">
        <f>IF(ISNA(SUMIFS(INDEX(Inputs!$B$2:$AZ$190,,MATCH(SUBSTITUTE(AY$3,"Q","T"),Inputs!$B$2:$AZ$2,0)),Inputs!$B$2:$B$190,$B172)*Inputs!$D$1),"",SUMIFS(INDEX(Inputs!$B$2:$AZ$190,,MATCH(SUBSTITUTE(AY$3,"Q","T"),Inputs!$B$2:$AZ$2,0)),Inputs!$B$2:$B$190,$B172)*Inputs!$D$1)</f>
        <v>0</v>
      </c>
      <c r="AZ172" s="57">
        <f>IF(ISNA(SUMIFS(INDEX(Inputs!$B$2:$AZ$190,,MATCH(SUBSTITUTE(AZ$3,"Q","T"),Inputs!$B$2:$AZ$2,0)),Inputs!$B$2:$B$190,$B172)*Inputs!$D$1),"",SUMIFS(INDEX(Inputs!$B$2:$AZ$190,,MATCH(SUBSTITUTE(AZ$3,"Q","T"),Inputs!$B$2:$AZ$2,0)),Inputs!$B$2:$B$190,$B172)*Inputs!$D$1)</f>
        <v>0</v>
      </c>
      <c r="BA172" s="57">
        <f>IF(ISNA(SUMIFS(INDEX(Inputs!$B$2:$AZ$190,,MATCH(SUBSTITUTE(BA$3,"Q","T"),Inputs!$B$2:$AZ$2,0)),Inputs!$B$2:$B$190,$B172)*Inputs!$D$1),"",SUMIFS(INDEX(Inputs!$B$2:$AZ$190,,MATCH(SUBSTITUTE(BA$3,"Q","T"),Inputs!$B$2:$AZ$2,0)),Inputs!$B$2:$B$190,$B172)*Inputs!$D$1)</f>
        <v>0</v>
      </c>
      <c r="BB172" s="58">
        <f>BA172</f>
        <v>0</v>
      </c>
      <c r="BC172" s="57">
        <f>IF(ISNA(SUMIFS(INDEX(Inputs!$B$2:$AZ$190,,MATCH(SUBSTITUTE(BC$3,"Q","T"),Inputs!$B$2:$AZ$2,0)),Inputs!$B$2:$B$190,$B172)*Inputs!$D$1),"",SUMIFS(INDEX(Inputs!$B$2:$AZ$190,,MATCH(SUBSTITUTE(BC$3,"Q","T"),Inputs!$B$2:$AZ$2,0)),Inputs!$B$2:$B$190,$B172)*Inputs!$D$1)</f>
        <v>0</v>
      </c>
      <c r="BD172" s="57">
        <f>IF(ISNA(SUMIFS(INDEX(Inputs!$B$2:$AZ$190,,MATCH(SUBSTITUTE(BD$3,"Q","T"),Inputs!$B$2:$AZ$2,0)),Inputs!$B$2:$B$190,$B172)*Inputs!$D$1),"",SUMIFS(INDEX(Inputs!$B$2:$AZ$190,,MATCH(SUBSTITUTE(BD$3,"Q","T"),Inputs!$B$2:$AZ$2,0)),Inputs!$B$2:$B$190,$B172)*Inputs!$D$1)</f>
        <v>0</v>
      </c>
      <c r="BE172" s="57">
        <f>IF(ISNA(SUMIFS(INDEX(Inputs!$B$2:$AZ$190,,MATCH(SUBSTITUTE(BE$3,"Q","T"),Inputs!$B$2:$AZ$2,0)),Inputs!$B$2:$B$190,$B172)*Inputs!$D$1),"",SUMIFS(INDEX(Inputs!$B$2:$AZ$190,,MATCH(SUBSTITUTE(BE$3,"Q","T"),Inputs!$B$2:$AZ$2,0)),Inputs!$B$2:$B$190,$B172)*Inputs!$D$1)</f>
        <v>0</v>
      </c>
      <c r="BF172" s="57">
        <f>IF(ISNA(SUMIFS(INDEX(Inputs!$B$2:$AZ$190,,MATCH(SUBSTITUTE(BF$3,"Q","T"),Inputs!$B$2:$AZ$2,0)),Inputs!$B$2:$B$190,$B172)*Inputs!$D$1),"",SUMIFS(INDEX(Inputs!$B$2:$AZ$190,,MATCH(SUBSTITUTE(BF$3,"Q","T"),Inputs!$B$2:$AZ$2,0)),Inputs!$B$2:$B$190,$B172)*Inputs!$D$1)</f>
        <v>0</v>
      </c>
      <c r="BG172" s="58">
        <f>BF172</f>
        <v>0</v>
      </c>
    </row>
    <row r="173" hidden="1" outlineLevel="1">
      <c r="B173" s="56" t="inlineStr">
        <is>
          <t>seg3_ni</t>
        </is>
      </c>
      <c r="C173" s="11" t="inlineStr">
        <is>
          <t>Segmento 3 — lucro líquido</t>
        </is>
      </c>
      <c r="D173" s="12" t="inlineStr">
        <is>
          <t>Segment 3 — net income</t>
        </is>
      </c>
      <c r="E173" s="57">
        <f>IF(ISNA(SUMIFS(INDEX(Inputs!$B$2:$AZ$190,,MATCH(SUBSTITUTE(E$3,"Q","T"),Inputs!$B$2:$AZ$2,0)),Inputs!$B$2:$B$190,$B173)*Inputs!$D$1),"",SUMIFS(INDEX(Inputs!$B$2:$AZ$190,,MATCH(SUBSTITUTE(E$3,"Q","T"),Inputs!$B$2:$AZ$2,0)),Inputs!$B$2:$B$190,$B173)*Inputs!$D$1)</f>
        <v>0</v>
      </c>
      <c r="F173" s="57">
        <f>IF(ISNA(SUMIFS(INDEX(Inputs!$B$2:$AZ$190,,MATCH(SUBSTITUTE(F$3,"Q","T"),Inputs!$B$2:$AZ$2,0)),Inputs!$B$2:$B$190,$B173)*Inputs!$D$1),"",SUMIFS(INDEX(Inputs!$B$2:$AZ$190,,MATCH(SUBSTITUTE(F$3,"Q","T"),Inputs!$B$2:$AZ$2,0)),Inputs!$B$2:$B$190,$B173)*Inputs!$D$1)</f>
        <v>0</v>
      </c>
      <c r="G173" s="57">
        <f>IF(ISNA(SUMIFS(INDEX(Inputs!$B$2:$AZ$190,,MATCH(SUBSTITUTE(G$3,"Q","T"),Inputs!$B$2:$AZ$2,0)),Inputs!$B$2:$B$190,$B173)*Inputs!$D$1),"",SUMIFS(INDEX(Inputs!$B$2:$AZ$190,,MATCH(SUBSTITUTE(G$3,"Q","T"),Inputs!$B$2:$AZ$2,0)),Inputs!$B$2:$B$190,$B173)*Inputs!$D$1)</f>
        <v>0</v>
      </c>
      <c r="H173" s="57">
        <f>IF(ISNA(SUMIFS(INDEX(Inputs!$B$2:$AZ$190,,MATCH(SUBSTITUTE(H$3,"Q","T"),Inputs!$B$2:$AZ$2,0)),Inputs!$B$2:$B$190,$B173)*Inputs!$D$1),"",SUMIFS(INDEX(Inputs!$B$2:$AZ$190,,MATCH(SUBSTITUTE(H$3,"Q","T"),Inputs!$B$2:$AZ$2,0)),Inputs!$B$2:$B$190,$B173)*Inputs!$D$1)</f>
        <v>0</v>
      </c>
      <c r="I173" s="58">
        <f>H173</f>
        <v>0</v>
      </c>
      <c r="J173" s="57">
        <f>IF(ISNA(SUMIFS(INDEX(Inputs!$B$2:$AZ$190,,MATCH(SUBSTITUTE(J$3,"Q","T"),Inputs!$B$2:$AZ$2,0)),Inputs!$B$2:$B$190,$B173)*Inputs!$D$1),"",SUMIFS(INDEX(Inputs!$B$2:$AZ$190,,MATCH(SUBSTITUTE(J$3,"Q","T"),Inputs!$B$2:$AZ$2,0)),Inputs!$B$2:$B$190,$B173)*Inputs!$D$1)</f>
        <v>0</v>
      </c>
      <c r="K173" s="57">
        <f>IF(ISNA(SUMIFS(INDEX(Inputs!$B$2:$AZ$190,,MATCH(SUBSTITUTE(K$3,"Q","T"),Inputs!$B$2:$AZ$2,0)),Inputs!$B$2:$B$190,$B173)*Inputs!$D$1),"",SUMIFS(INDEX(Inputs!$B$2:$AZ$190,,MATCH(SUBSTITUTE(K$3,"Q","T"),Inputs!$B$2:$AZ$2,0)),Inputs!$B$2:$B$190,$B173)*Inputs!$D$1)</f>
        <v>0</v>
      </c>
      <c r="L173" s="57">
        <f>IF(ISNA(SUMIFS(INDEX(Inputs!$B$2:$AZ$190,,MATCH(SUBSTITUTE(L$3,"Q","T"),Inputs!$B$2:$AZ$2,0)),Inputs!$B$2:$B$190,$B173)*Inputs!$D$1),"",SUMIFS(INDEX(Inputs!$B$2:$AZ$190,,MATCH(SUBSTITUTE(L$3,"Q","T"),Inputs!$B$2:$AZ$2,0)),Inputs!$B$2:$B$190,$B173)*Inputs!$D$1)</f>
        <v>0</v>
      </c>
      <c r="M173" s="57">
        <f>IF(ISNA(SUMIFS(INDEX(Inputs!$B$2:$AZ$190,,MATCH(SUBSTITUTE(M$3,"Q","T"),Inputs!$B$2:$AZ$2,0)),Inputs!$B$2:$B$190,$B173)*Inputs!$D$1),"",SUMIFS(INDEX(Inputs!$B$2:$AZ$190,,MATCH(SUBSTITUTE(M$3,"Q","T"),Inputs!$B$2:$AZ$2,0)),Inputs!$B$2:$B$190,$B173)*Inputs!$D$1)</f>
        <v>0</v>
      </c>
      <c r="N173" s="58">
        <f>M173</f>
        <v>0</v>
      </c>
      <c r="O173" s="57">
        <f>IF(ISNA(SUMIFS(INDEX(Inputs!$B$2:$AZ$190,,MATCH(SUBSTITUTE(O$3,"Q","T"),Inputs!$B$2:$AZ$2,0)),Inputs!$B$2:$B$190,$B173)*Inputs!$D$1),"",SUMIFS(INDEX(Inputs!$B$2:$AZ$190,,MATCH(SUBSTITUTE(O$3,"Q","T"),Inputs!$B$2:$AZ$2,0)),Inputs!$B$2:$B$190,$B173)*Inputs!$D$1)</f>
        <v>0</v>
      </c>
      <c r="P173" s="57">
        <f>IF(ISNA(SUMIFS(INDEX(Inputs!$B$2:$AZ$190,,MATCH(SUBSTITUTE(P$3,"Q","T"),Inputs!$B$2:$AZ$2,0)),Inputs!$B$2:$B$190,$B173)*Inputs!$D$1),"",SUMIFS(INDEX(Inputs!$B$2:$AZ$190,,MATCH(SUBSTITUTE(P$3,"Q","T"),Inputs!$B$2:$AZ$2,0)),Inputs!$B$2:$B$190,$B173)*Inputs!$D$1)</f>
        <v>0</v>
      </c>
      <c r="Q173" s="57">
        <f>IF(ISNA(SUMIFS(INDEX(Inputs!$B$2:$AZ$190,,MATCH(SUBSTITUTE(Q$3,"Q","T"),Inputs!$B$2:$AZ$2,0)),Inputs!$B$2:$B$190,$B173)*Inputs!$D$1),"",SUMIFS(INDEX(Inputs!$B$2:$AZ$190,,MATCH(SUBSTITUTE(Q$3,"Q","T"),Inputs!$B$2:$AZ$2,0)),Inputs!$B$2:$B$190,$B173)*Inputs!$D$1)</f>
        <v>0</v>
      </c>
      <c r="R173" s="57">
        <f>IF(ISNA(SUMIFS(INDEX(Inputs!$B$2:$AZ$190,,MATCH(SUBSTITUTE(R$3,"Q","T"),Inputs!$B$2:$AZ$2,0)),Inputs!$B$2:$B$190,$B173)*Inputs!$D$1),"",SUMIFS(INDEX(Inputs!$B$2:$AZ$190,,MATCH(SUBSTITUTE(R$3,"Q","T"),Inputs!$B$2:$AZ$2,0)),Inputs!$B$2:$B$190,$B173)*Inputs!$D$1)</f>
        <v>0</v>
      </c>
      <c r="S173" s="58">
        <f>R173</f>
        <v>0</v>
      </c>
      <c r="T173" s="57">
        <f>IF(ISNA(SUMIFS(INDEX(Inputs!$B$2:$AZ$190,,MATCH(SUBSTITUTE(T$3,"Q","T"),Inputs!$B$2:$AZ$2,0)),Inputs!$B$2:$B$190,$B173)*Inputs!$D$1),"",SUMIFS(INDEX(Inputs!$B$2:$AZ$190,,MATCH(SUBSTITUTE(T$3,"Q","T"),Inputs!$B$2:$AZ$2,0)),Inputs!$B$2:$B$190,$B173)*Inputs!$D$1)</f>
        <v>0</v>
      </c>
      <c r="U173" s="57">
        <f>IF(ISNA(SUMIFS(INDEX(Inputs!$B$2:$AZ$190,,MATCH(SUBSTITUTE(U$3,"Q","T"),Inputs!$B$2:$AZ$2,0)),Inputs!$B$2:$B$190,$B173)*Inputs!$D$1),"",SUMIFS(INDEX(Inputs!$B$2:$AZ$190,,MATCH(SUBSTITUTE(U$3,"Q","T"),Inputs!$B$2:$AZ$2,0)),Inputs!$B$2:$B$190,$B173)*Inputs!$D$1)</f>
        <v>0</v>
      </c>
      <c r="V173" s="57">
        <f>IF(ISNA(SUMIFS(INDEX(Inputs!$B$2:$AZ$190,,MATCH(SUBSTITUTE(V$3,"Q","T"),Inputs!$B$2:$AZ$2,0)),Inputs!$B$2:$B$190,$B173)*Inputs!$D$1),"",SUMIFS(INDEX(Inputs!$B$2:$AZ$190,,MATCH(SUBSTITUTE(V$3,"Q","T"),Inputs!$B$2:$AZ$2,0)),Inputs!$B$2:$B$190,$B173)*Inputs!$D$1)</f>
        <v>0</v>
      </c>
      <c r="W173" s="57">
        <f>IF(ISNA(SUMIFS(INDEX(Inputs!$B$2:$AZ$190,,MATCH(SUBSTITUTE(W$3,"Q","T"),Inputs!$B$2:$AZ$2,0)),Inputs!$B$2:$B$190,$B173)*Inputs!$D$1),"",SUMIFS(INDEX(Inputs!$B$2:$AZ$190,,MATCH(SUBSTITUTE(W$3,"Q","T"),Inputs!$B$2:$AZ$2,0)),Inputs!$B$2:$B$190,$B173)*Inputs!$D$1)</f>
        <v>0</v>
      </c>
      <c r="X173" s="58">
        <f>W173</f>
        <v>0</v>
      </c>
      <c r="Y173" s="57">
        <f>IF(ISNA(SUMIFS(INDEX(Inputs!$B$2:$AZ$190,,MATCH(SUBSTITUTE(Y$3,"Q","T"),Inputs!$B$2:$AZ$2,0)),Inputs!$B$2:$B$190,$B173)*Inputs!$D$1),"",SUMIFS(INDEX(Inputs!$B$2:$AZ$190,,MATCH(SUBSTITUTE(Y$3,"Q","T"),Inputs!$B$2:$AZ$2,0)),Inputs!$B$2:$B$190,$B173)*Inputs!$D$1)</f>
        <v>0</v>
      </c>
      <c r="Z173" s="57">
        <f>IF(ISNA(SUMIFS(INDEX(Inputs!$B$2:$AZ$190,,MATCH(SUBSTITUTE(Z$3,"Q","T"),Inputs!$B$2:$AZ$2,0)),Inputs!$B$2:$B$190,$B173)*Inputs!$D$1),"",SUMIFS(INDEX(Inputs!$B$2:$AZ$190,,MATCH(SUBSTITUTE(Z$3,"Q","T"),Inputs!$B$2:$AZ$2,0)),Inputs!$B$2:$B$190,$B173)*Inputs!$D$1)</f>
        <v>0</v>
      </c>
      <c r="AA173" s="57">
        <f>IF(ISNA(SUMIFS(INDEX(Inputs!$B$2:$AZ$190,,MATCH(SUBSTITUTE(AA$3,"Q","T"),Inputs!$B$2:$AZ$2,0)),Inputs!$B$2:$B$190,$B173)*Inputs!$D$1),"",SUMIFS(INDEX(Inputs!$B$2:$AZ$190,,MATCH(SUBSTITUTE(AA$3,"Q","T"),Inputs!$B$2:$AZ$2,0)),Inputs!$B$2:$B$190,$B173)*Inputs!$D$1)</f>
        <v>0</v>
      </c>
      <c r="AB173" s="57">
        <f>IF(ISNA(SUMIFS(INDEX(Inputs!$B$2:$AZ$190,,MATCH(SUBSTITUTE(AB$3,"Q","T"),Inputs!$B$2:$AZ$2,0)),Inputs!$B$2:$B$190,$B173)*Inputs!$D$1),"",SUMIFS(INDEX(Inputs!$B$2:$AZ$190,,MATCH(SUBSTITUTE(AB$3,"Q","T"),Inputs!$B$2:$AZ$2,0)),Inputs!$B$2:$B$190,$B173)*Inputs!$D$1)</f>
        <v>0</v>
      </c>
      <c r="AC173" s="58">
        <f>AB173</f>
        <v>0</v>
      </c>
      <c r="AD173" s="57">
        <f>IF(ISNA(SUMIFS(INDEX(Inputs!$B$2:$AZ$190,,MATCH(SUBSTITUTE(AD$3,"Q","T"),Inputs!$B$2:$AZ$2,0)),Inputs!$B$2:$B$190,$B173)*Inputs!$D$1),"",SUMIFS(INDEX(Inputs!$B$2:$AZ$190,,MATCH(SUBSTITUTE(AD$3,"Q","T"),Inputs!$B$2:$AZ$2,0)),Inputs!$B$2:$B$190,$B173)*Inputs!$D$1)</f>
        <v>0</v>
      </c>
      <c r="AE173" s="57">
        <f>IF(ISNA(SUMIFS(INDEX(Inputs!$B$2:$AZ$190,,MATCH(SUBSTITUTE(AE$3,"Q","T"),Inputs!$B$2:$AZ$2,0)),Inputs!$B$2:$B$190,$B173)*Inputs!$D$1),"",SUMIFS(INDEX(Inputs!$B$2:$AZ$190,,MATCH(SUBSTITUTE(AE$3,"Q","T"),Inputs!$B$2:$AZ$2,0)),Inputs!$B$2:$B$190,$B173)*Inputs!$D$1)</f>
        <v>0</v>
      </c>
      <c r="AF173" s="57">
        <f>IF(ISNA(SUMIFS(INDEX(Inputs!$B$2:$AZ$190,,MATCH(SUBSTITUTE(AF$3,"Q","T"),Inputs!$B$2:$AZ$2,0)),Inputs!$B$2:$B$190,$B173)*Inputs!$D$1),"",SUMIFS(INDEX(Inputs!$B$2:$AZ$190,,MATCH(SUBSTITUTE(AF$3,"Q","T"),Inputs!$B$2:$AZ$2,0)),Inputs!$B$2:$B$190,$B173)*Inputs!$D$1)</f>
        <v>0</v>
      </c>
      <c r="AG173" s="57">
        <f>IF(ISNA(SUMIFS(INDEX(Inputs!$B$2:$AZ$190,,MATCH(SUBSTITUTE(AG$3,"Q","T"),Inputs!$B$2:$AZ$2,0)),Inputs!$B$2:$B$190,$B173)*Inputs!$D$1),"",SUMIFS(INDEX(Inputs!$B$2:$AZ$190,,MATCH(SUBSTITUTE(AG$3,"Q","T"),Inputs!$B$2:$AZ$2,0)),Inputs!$B$2:$B$190,$B173)*Inputs!$D$1)</f>
        <v>0</v>
      </c>
      <c r="AH173" s="58">
        <f>AG173</f>
        <v>0</v>
      </c>
      <c r="AI173" s="57">
        <f>IF(ISNA(SUMIFS(INDEX(Inputs!$B$2:$AZ$190,,MATCH(SUBSTITUTE(AI$3,"Q","T"),Inputs!$B$2:$AZ$2,0)),Inputs!$B$2:$B$190,$B173)*Inputs!$D$1),"",SUMIFS(INDEX(Inputs!$B$2:$AZ$190,,MATCH(SUBSTITUTE(AI$3,"Q","T"),Inputs!$B$2:$AZ$2,0)),Inputs!$B$2:$B$190,$B173)*Inputs!$D$1)</f>
        <v>0</v>
      </c>
      <c r="AJ173" s="57">
        <f>IF(ISNA(SUMIFS(INDEX(Inputs!$B$2:$AZ$190,,MATCH(SUBSTITUTE(AJ$3,"Q","T"),Inputs!$B$2:$AZ$2,0)),Inputs!$B$2:$B$190,$B173)*Inputs!$D$1),"",SUMIFS(INDEX(Inputs!$B$2:$AZ$190,,MATCH(SUBSTITUTE(AJ$3,"Q","T"),Inputs!$B$2:$AZ$2,0)),Inputs!$B$2:$B$190,$B173)*Inputs!$D$1)</f>
        <v>0</v>
      </c>
      <c r="AK173" s="57">
        <f>IF(ISNA(SUMIFS(INDEX(Inputs!$B$2:$AZ$190,,MATCH(SUBSTITUTE(AK$3,"Q","T"),Inputs!$B$2:$AZ$2,0)),Inputs!$B$2:$B$190,$B173)*Inputs!$D$1),"",SUMIFS(INDEX(Inputs!$B$2:$AZ$190,,MATCH(SUBSTITUTE(AK$3,"Q","T"),Inputs!$B$2:$AZ$2,0)),Inputs!$B$2:$B$190,$B173)*Inputs!$D$1)</f>
        <v>0</v>
      </c>
      <c r="AL173" s="57">
        <f>IF(ISNA(SUMIFS(INDEX(Inputs!$B$2:$AZ$190,,MATCH(SUBSTITUTE(AL$3,"Q","T"),Inputs!$B$2:$AZ$2,0)),Inputs!$B$2:$B$190,$B173)*Inputs!$D$1),"",SUMIFS(INDEX(Inputs!$B$2:$AZ$190,,MATCH(SUBSTITUTE(AL$3,"Q","T"),Inputs!$B$2:$AZ$2,0)),Inputs!$B$2:$B$190,$B173)*Inputs!$D$1)</f>
        <v>0</v>
      </c>
      <c r="AM173" s="58">
        <f>AL173</f>
        <v>0</v>
      </c>
      <c r="AN173" s="57">
        <f>IF(ISNA(SUMIFS(INDEX(Inputs!$B$2:$AZ$190,,MATCH(SUBSTITUTE(AN$3,"Q","T"),Inputs!$B$2:$AZ$2,0)),Inputs!$B$2:$B$190,$B173)*Inputs!$D$1),"",SUMIFS(INDEX(Inputs!$B$2:$AZ$190,,MATCH(SUBSTITUTE(AN$3,"Q","T"),Inputs!$B$2:$AZ$2,0)),Inputs!$B$2:$B$190,$B173)*Inputs!$D$1)</f>
        <v>0</v>
      </c>
      <c r="AO173" s="57">
        <f>IF(ISNA(SUMIFS(INDEX(Inputs!$B$2:$AZ$190,,MATCH(SUBSTITUTE(AO$3,"Q","T"),Inputs!$B$2:$AZ$2,0)),Inputs!$B$2:$B$190,$B173)*Inputs!$D$1),"",SUMIFS(INDEX(Inputs!$B$2:$AZ$190,,MATCH(SUBSTITUTE(AO$3,"Q","T"),Inputs!$B$2:$AZ$2,0)),Inputs!$B$2:$B$190,$B173)*Inputs!$D$1)</f>
        <v>0</v>
      </c>
      <c r="AP173" s="57">
        <f>IF(ISNA(SUMIFS(INDEX(Inputs!$B$2:$AZ$190,,MATCH(SUBSTITUTE(AP$3,"Q","T"),Inputs!$B$2:$AZ$2,0)),Inputs!$B$2:$B$190,$B173)*Inputs!$D$1),"",SUMIFS(INDEX(Inputs!$B$2:$AZ$190,,MATCH(SUBSTITUTE(AP$3,"Q","T"),Inputs!$B$2:$AZ$2,0)),Inputs!$B$2:$B$190,$B173)*Inputs!$D$1)</f>
        <v>0</v>
      </c>
      <c r="AQ173" s="57">
        <f>IF(ISNA(SUMIFS(INDEX(Inputs!$B$2:$AZ$190,,MATCH(SUBSTITUTE(AQ$3,"Q","T"),Inputs!$B$2:$AZ$2,0)),Inputs!$B$2:$B$190,$B173)*Inputs!$D$1),"",SUMIFS(INDEX(Inputs!$B$2:$AZ$190,,MATCH(SUBSTITUTE(AQ$3,"Q","T"),Inputs!$B$2:$AZ$2,0)),Inputs!$B$2:$B$190,$B173)*Inputs!$D$1)</f>
        <v>0</v>
      </c>
      <c r="AR173" s="58">
        <f>AQ173</f>
        <v>0</v>
      </c>
      <c r="AS173" s="57">
        <f>IF(ISNA(SUMIFS(INDEX(Inputs!$B$2:$AZ$190,,MATCH(SUBSTITUTE(AS$3,"Q","T"),Inputs!$B$2:$AZ$2,0)),Inputs!$B$2:$B$190,$B173)*Inputs!$D$1),"",SUMIFS(INDEX(Inputs!$B$2:$AZ$190,,MATCH(SUBSTITUTE(AS$3,"Q","T"),Inputs!$B$2:$AZ$2,0)),Inputs!$B$2:$B$190,$B173)*Inputs!$D$1)</f>
        <v>0</v>
      </c>
      <c r="AT173" s="57">
        <f>IF(ISNA(SUMIFS(INDEX(Inputs!$B$2:$AZ$190,,MATCH(SUBSTITUTE(AT$3,"Q","T"),Inputs!$B$2:$AZ$2,0)),Inputs!$B$2:$B$190,$B173)*Inputs!$D$1),"",SUMIFS(INDEX(Inputs!$B$2:$AZ$190,,MATCH(SUBSTITUTE(AT$3,"Q","T"),Inputs!$B$2:$AZ$2,0)),Inputs!$B$2:$B$190,$B173)*Inputs!$D$1)</f>
        <v>0</v>
      </c>
      <c r="AU173" s="57">
        <f>IF(ISNA(SUMIFS(INDEX(Inputs!$B$2:$AZ$190,,MATCH(SUBSTITUTE(AU$3,"Q","T"),Inputs!$B$2:$AZ$2,0)),Inputs!$B$2:$B$190,$B173)*Inputs!$D$1),"",SUMIFS(INDEX(Inputs!$B$2:$AZ$190,,MATCH(SUBSTITUTE(AU$3,"Q","T"),Inputs!$B$2:$AZ$2,0)),Inputs!$B$2:$B$190,$B173)*Inputs!$D$1)</f>
        <v>0</v>
      </c>
      <c r="AV173" s="57">
        <f>IF(ISNA(SUMIFS(INDEX(Inputs!$B$2:$AZ$190,,MATCH(SUBSTITUTE(AV$3,"Q","T"),Inputs!$B$2:$AZ$2,0)),Inputs!$B$2:$B$190,$B173)*Inputs!$D$1),"",SUMIFS(INDEX(Inputs!$B$2:$AZ$190,,MATCH(SUBSTITUTE(AV$3,"Q","T"),Inputs!$B$2:$AZ$2,0)),Inputs!$B$2:$B$190,$B173)*Inputs!$D$1)</f>
        <v>0</v>
      </c>
      <c r="AW173" s="58">
        <f>AV173</f>
        <v>0</v>
      </c>
      <c r="AX173" s="57">
        <f>IF(ISNA(SUMIFS(INDEX(Inputs!$B$2:$AZ$190,,MATCH(SUBSTITUTE(AX$3,"Q","T"),Inputs!$B$2:$AZ$2,0)),Inputs!$B$2:$B$190,$B173)*Inputs!$D$1),"",SUMIFS(INDEX(Inputs!$B$2:$AZ$190,,MATCH(SUBSTITUTE(AX$3,"Q","T"),Inputs!$B$2:$AZ$2,0)),Inputs!$B$2:$B$190,$B173)*Inputs!$D$1)</f>
        <v>0</v>
      </c>
      <c r="AY173" s="57">
        <f>IF(ISNA(SUMIFS(INDEX(Inputs!$B$2:$AZ$190,,MATCH(SUBSTITUTE(AY$3,"Q","T"),Inputs!$B$2:$AZ$2,0)),Inputs!$B$2:$B$190,$B173)*Inputs!$D$1),"",SUMIFS(INDEX(Inputs!$B$2:$AZ$190,,MATCH(SUBSTITUTE(AY$3,"Q","T"),Inputs!$B$2:$AZ$2,0)),Inputs!$B$2:$B$190,$B173)*Inputs!$D$1)</f>
        <v>0</v>
      </c>
      <c r="AZ173" s="57">
        <f>IF(ISNA(SUMIFS(INDEX(Inputs!$B$2:$AZ$190,,MATCH(SUBSTITUTE(AZ$3,"Q","T"),Inputs!$B$2:$AZ$2,0)),Inputs!$B$2:$B$190,$B173)*Inputs!$D$1),"",SUMIFS(INDEX(Inputs!$B$2:$AZ$190,,MATCH(SUBSTITUTE(AZ$3,"Q","T"),Inputs!$B$2:$AZ$2,0)),Inputs!$B$2:$B$190,$B173)*Inputs!$D$1)</f>
        <v>0</v>
      </c>
      <c r="BA173" s="57">
        <f>IF(ISNA(SUMIFS(INDEX(Inputs!$B$2:$AZ$190,,MATCH(SUBSTITUTE(BA$3,"Q","T"),Inputs!$B$2:$AZ$2,0)),Inputs!$B$2:$B$190,$B173)*Inputs!$D$1),"",SUMIFS(INDEX(Inputs!$B$2:$AZ$190,,MATCH(SUBSTITUTE(BA$3,"Q","T"),Inputs!$B$2:$AZ$2,0)),Inputs!$B$2:$B$190,$B173)*Inputs!$D$1)</f>
        <v>0</v>
      </c>
      <c r="BB173" s="58">
        <f>BA173</f>
        <v>0</v>
      </c>
      <c r="BC173" s="57">
        <f>IF(ISNA(SUMIFS(INDEX(Inputs!$B$2:$AZ$190,,MATCH(SUBSTITUTE(BC$3,"Q","T"),Inputs!$B$2:$AZ$2,0)),Inputs!$B$2:$B$190,$B173)*Inputs!$D$1),"",SUMIFS(INDEX(Inputs!$B$2:$AZ$190,,MATCH(SUBSTITUTE(BC$3,"Q","T"),Inputs!$B$2:$AZ$2,0)),Inputs!$B$2:$B$190,$B173)*Inputs!$D$1)</f>
        <v>0</v>
      </c>
      <c r="BD173" s="57">
        <f>IF(ISNA(SUMIFS(INDEX(Inputs!$B$2:$AZ$190,,MATCH(SUBSTITUTE(BD$3,"Q","T"),Inputs!$B$2:$AZ$2,0)),Inputs!$B$2:$B$190,$B173)*Inputs!$D$1),"",SUMIFS(INDEX(Inputs!$B$2:$AZ$190,,MATCH(SUBSTITUTE(BD$3,"Q","T"),Inputs!$B$2:$AZ$2,0)),Inputs!$B$2:$B$190,$B173)*Inputs!$D$1)</f>
        <v>0</v>
      </c>
      <c r="BE173" s="57">
        <f>IF(ISNA(SUMIFS(INDEX(Inputs!$B$2:$AZ$190,,MATCH(SUBSTITUTE(BE$3,"Q","T"),Inputs!$B$2:$AZ$2,0)),Inputs!$B$2:$B$190,$B173)*Inputs!$D$1),"",SUMIFS(INDEX(Inputs!$B$2:$AZ$190,,MATCH(SUBSTITUTE(BE$3,"Q","T"),Inputs!$B$2:$AZ$2,0)),Inputs!$B$2:$B$190,$B173)*Inputs!$D$1)</f>
        <v>0</v>
      </c>
      <c r="BF173" s="57">
        <f>IF(ISNA(SUMIFS(INDEX(Inputs!$B$2:$AZ$190,,MATCH(SUBSTITUTE(BF$3,"Q","T"),Inputs!$B$2:$AZ$2,0)),Inputs!$B$2:$B$190,$B173)*Inputs!$D$1),"",SUMIFS(INDEX(Inputs!$B$2:$AZ$190,,MATCH(SUBSTITUTE(BF$3,"Q","T"),Inputs!$B$2:$AZ$2,0)),Inputs!$B$2:$B$190,$B173)*Inputs!$D$1)</f>
        <v>0</v>
      </c>
      <c r="BG173" s="58">
        <f>BF173</f>
        <v>0</v>
      </c>
    </row>
    <row r="174" hidden="1" outlineLevel="1">
      <c r="B174" s="56" t="inlineStr">
        <is>
          <t>seg4_ni</t>
        </is>
      </c>
      <c r="C174" s="11" t="inlineStr">
        <is>
          <t>Segmento 4 — lucro líquido</t>
        </is>
      </c>
      <c r="D174" s="12" t="inlineStr">
        <is>
          <t>Segment 4 — net income</t>
        </is>
      </c>
      <c r="E174" s="57">
        <f>IF(ISNA(SUMIFS(INDEX(Inputs!$B$2:$AZ$190,,MATCH(SUBSTITUTE(E$3,"Q","T"),Inputs!$B$2:$AZ$2,0)),Inputs!$B$2:$B$190,$B174)*Inputs!$D$1),"",SUMIFS(INDEX(Inputs!$B$2:$AZ$190,,MATCH(SUBSTITUTE(E$3,"Q","T"),Inputs!$B$2:$AZ$2,0)),Inputs!$B$2:$B$190,$B174)*Inputs!$D$1)</f>
        <v>0</v>
      </c>
      <c r="F174" s="57">
        <f>IF(ISNA(SUMIFS(INDEX(Inputs!$B$2:$AZ$190,,MATCH(SUBSTITUTE(F$3,"Q","T"),Inputs!$B$2:$AZ$2,0)),Inputs!$B$2:$B$190,$B174)*Inputs!$D$1),"",SUMIFS(INDEX(Inputs!$B$2:$AZ$190,,MATCH(SUBSTITUTE(F$3,"Q","T"),Inputs!$B$2:$AZ$2,0)),Inputs!$B$2:$B$190,$B174)*Inputs!$D$1)</f>
        <v>0</v>
      </c>
      <c r="G174" s="57">
        <f>IF(ISNA(SUMIFS(INDEX(Inputs!$B$2:$AZ$190,,MATCH(SUBSTITUTE(G$3,"Q","T"),Inputs!$B$2:$AZ$2,0)),Inputs!$B$2:$B$190,$B174)*Inputs!$D$1),"",SUMIFS(INDEX(Inputs!$B$2:$AZ$190,,MATCH(SUBSTITUTE(G$3,"Q","T"),Inputs!$B$2:$AZ$2,0)),Inputs!$B$2:$B$190,$B174)*Inputs!$D$1)</f>
        <v>0</v>
      </c>
      <c r="H174" s="57">
        <f>IF(ISNA(SUMIFS(INDEX(Inputs!$B$2:$AZ$190,,MATCH(SUBSTITUTE(H$3,"Q","T"),Inputs!$B$2:$AZ$2,0)),Inputs!$B$2:$B$190,$B174)*Inputs!$D$1),"",SUMIFS(INDEX(Inputs!$B$2:$AZ$190,,MATCH(SUBSTITUTE(H$3,"Q","T"),Inputs!$B$2:$AZ$2,0)),Inputs!$B$2:$B$190,$B174)*Inputs!$D$1)</f>
        <v>0</v>
      </c>
      <c r="I174" s="58">
        <f>H174</f>
        <v>0</v>
      </c>
      <c r="J174" s="57">
        <f>IF(ISNA(SUMIFS(INDEX(Inputs!$B$2:$AZ$190,,MATCH(SUBSTITUTE(J$3,"Q","T"),Inputs!$B$2:$AZ$2,0)),Inputs!$B$2:$B$190,$B174)*Inputs!$D$1),"",SUMIFS(INDEX(Inputs!$B$2:$AZ$190,,MATCH(SUBSTITUTE(J$3,"Q","T"),Inputs!$B$2:$AZ$2,0)),Inputs!$B$2:$B$190,$B174)*Inputs!$D$1)</f>
        <v>0</v>
      </c>
      <c r="K174" s="57">
        <f>IF(ISNA(SUMIFS(INDEX(Inputs!$B$2:$AZ$190,,MATCH(SUBSTITUTE(K$3,"Q","T"),Inputs!$B$2:$AZ$2,0)),Inputs!$B$2:$B$190,$B174)*Inputs!$D$1),"",SUMIFS(INDEX(Inputs!$B$2:$AZ$190,,MATCH(SUBSTITUTE(K$3,"Q","T"),Inputs!$B$2:$AZ$2,0)),Inputs!$B$2:$B$190,$B174)*Inputs!$D$1)</f>
        <v>0</v>
      </c>
      <c r="L174" s="57">
        <f>IF(ISNA(SUMIFS(INDEX(Inputs!$B$2:$AZ$190,,MATCH(SUBSTITUTE(L$3,"Q","T"),Inputs!$B$2:$AZ$2,0)),Inputs!$B$2:$B$190,$B174)*Inputs!$D$1),"",SUMIFS(INDEX(Inputs!$B$2:$AZ$190,,MATCH(SUBSTITUTE(L$3,"Q","T"),Inputs!$B$2:$AZ$2,0)),Inputs!$B$2:$B$190,$B174)*Inputs!$D$1)</f>
        <v>0</v>
      </c>
      <c r="M174" s="57">
        <f>IF(ISNA(SUMIFS(INDEX(Inputs!$B$2:$AZ$190,,MATCH(SUBSTITUTE(M$3,"Q","T"),Inputs!$B$2:$AZ$2,0)),Inputs!$B$2:$B$190,$B174)*Inputs!$D$1),"",SUMIFS(INDEX(Inputs!$B$2:$AZ$190,,MATCH(SUBSTITUTE(M$3,"Q","T"),Inputs!$B$2:$AZ$2,0)),Inputs!$B$2:$B$190,$B174)*Inputs!$D$1)</f>
        <v>0</v>
      </c>
      <c r="N174" s="58">
        <f>M174</f>
        <v>0</v>
      </c>
      <c r="O174" s="57">
        <f>IF(ISNA(SUMIFS(INDEX(Inputs!$B$2:$AZ$190,,MATCH(SUBSTITUTE(O$3,"Q","T"),Inputs!$B$2:$AZ$2,0)),Inputs!$B$2:$B$190,$B174)*Inputs!$D$1),"",SUMIFS(INDEX(Inputs!$B$2:$AZ$190,,MATCH(SUBSTITUTE(O$3,"Q","T"),Inputs!$B$2:$AZ$2,0)),Inputs!$B$2:$B$190,$B174)*Inputs!$D$1)</f>
        <v>0</v>
      </c>
      <c r="P174" s="57">
        <f>IF(ISNA(SUMIFS(INDEX(Inputs!$B$2:$AZ$190,,MATCH(SUBSTITUTE(P$3,"Q","T"),Inputs!$B$2:$AZ$2,0)),Inputs!$B$2:$B$190,$B174)*Inputs!$D$1),"",SUMIFS(INDEX(Inputs!$B$2:$AZ$190,,MATCH(SUBSTITUTE(P$3,"Q","T"),Inputs!$B$2:$AZ$2,0)),Inputs!$B$2:$B$190,$B174)*Inputs!$D$1)</f>
        <v>0</v>
      </c>
      <c r="Q174" s="57">
        <f>IF(ISNA(SUMIFS(INDEX(Inputs!$B$2:$AZ$190,,MATCH(SUBSTITUTE(Q$3,"Q","T"),Inputs!$B$2:$AZ$2,0)),Inputs!$B$2:$B$190,$B174)*Inputs!$D$1),"",SUMIFS(INDEX(Inputs!$B$2:$AZ$190,,MATCH(SUBSTITUTE(Q$3,"Q","T"),Inputs!$B$2:$AZ$2,0)),Inputs!$B$2:$B$190,$B174)*Inputs!$D$1)</f>
        <v>0</v>
      </c>
      <c r="R174" s="57">
        <f>IF(ISNA(SUMIFS(INDEX(Inputs!$B$2:$AZ$190,,MATCH(SUBSTITUTE(R$3,"Q","T"),Inputs!$B$2:$AZ$2,0)),Inputs!$B$2:$B$190,$B174)*Inputs!$D$1),"",SUMIFS(INDEX(Inputs!$B$2:$AZ$190,,MATCH(SUBSTITUTE(R$3,"Q","T"),Inputs!$B$2:$AZ$2,0)),Inputs!$B$2:$B$190,$B174)*Inputs!$D$1)</f>
        <v>0</v>
      </c>
      <c r="S174" s="58">
        <f>R174</f>
        <v>0</v>
      </c>
      <c r="T174" s="57">
        <f>IF(ISNA(SUMIFS(INDEX(Inputs!$B$2:$AZ$190,,MATCH(SUBSTITUTE(T$3,"Q","T"),Inputs!$B$2:$AZ$2,0)),Inputs!$B$2:$B$190,$B174)*Inputs!$D$1),"",SUMIFS(INDEX(Inputs!$B$2:$AZ$190,,MATCH(SUBSTITUTE(T$3,"Q","T"),Inputs!$B$2:$AZ$2,0)),Inputs!$B$2:$B$190,$B174)*Inputs!$D$1)</f>
        <v>0</v>
      </c>
      <c r="U174" s="57">
        <f>IF(ISNA(SUMIFS(INDEX(Inputs!$B$2:$AZ$190,,MATCH(SUBSTITUTE(U$3,"Q","T"),Inputs!$B$2:$AZ$2,0)),Inputs!$B$2:$B$190,$B174)*Inputs!$D$1),"",SUMIFS(INDEX(Inputs!$B$2:$AZ$190,,MATCH(SUBSTITUTE(U$3,"Q","T"),Inputs!$B$2:$AZ$2,0)),Inputs!$B$2:$B$190,$B174)*Inputs!$D$1)</f>
        <v>0</v>
      </c>
      <c r="V174" s="57">
        <f>IF(ISNA(SUMIFS(INDEX(Inputs!$B$2:$AZ$190,,MATCH(SUBSTITUTE(V$3,"Q","T"),Inputs!$B$2:$AZ$2,0)),Inputs!$B$2:$B$190,$B174)*Inputs!$D$1),"",SUMIFS(INDEX(Inputs!$B$2:$AZ$190,,MATCH(SUBSTITUTE(V$3,"Q","T"),Inputs!$B$2:$AZ$2,0)),Inputs!$B$2:$B$190,$B174)*Inputs!$D$1)</f>
        <v>0</v>
      </c>
      <c r="W174" s="57">
        <f>IF(ISNA(SUMIFS(INDEX(Inputs!$B$2:$AZ$190,,MATCH(SUBSTITUTE(W$3,"Q","T"),Inputs!$B$2:$AZ$2,0)),Inputs!$B$2:$B$190,$B174)*Inputs!$D$1),"",SUMIFS(INDEX(Inputs!$B$2:$AZ$190,,MATCH(SUBSTITUTE(W$3,"Q","T"),Inputs!$B$2:$AZ$2,0)),Inputs!$B$2:$B$190,$B174)*Inputs!$D$1)</f>
        <v>0</v>
      </c>
      <c r="X174" s="58">
        <f>W174</f>
        <v>0</v>
      </c>
      <c r="Y174" s="57">
        <f>IF(ISNA(SUMIFS(INDEX(Inputs!$B$2:$AZ$190,,MATCH(SUBSTITUTE(Y$3,"Q","T"),Inputs!$B$2:$AZ$2,0)),Inputs!$B$2:$B$190,$B174)*Inputs!$D$1),"",SUMIFS(INDEX(Inputs!$B$2:$AZ$190,,MATCH(SUBSTITUTE(Y$3,"Q","T"),Inputs!$B$2:$AZ$2,0)),Inputs!$B$2:$B$190,$B174)*Inputs!$D$1)</f>
        <v>0</v>
      </c>
      <c r="Z174" s="57">
        <f>IF(ISNA(SUMIFS(INDEX(Inputs!$B$2:$AZ$190,,MATCH(SUBSTITUTE(Z$3,"Q","T"),Inputs!$B$2:$AZ$2,0)),Inputs!$B$2:$B$190,$B174)*Inputs!$D$1),"",SUMIFS(INDEX(Inputs!$B$2:$AZ$190,,MATCH(SUBSTITUTE(Z$3,"Q","T"),Inputs!$B$2:$AZ$2,0)),Inputs!$B$2:$B$190,$B174)*Inputs!$D$1)</f>
        <v>0</v>
      </c>
      <c r="AA174" s="57">
        <f>IF(ISNA(SUMIFS(INDEX(Inputs!$B$2:$AZ$190,,MATCH(SUBSTITUTE(AA$3,"Q","T"),Inputs!$B$2:$AZ$2,0)),Inputs!$B$2:$B$190,$B174)*Inputs!$D$1),"",SUMIFS(INDEX(Inputs!$B$2:$AZ$190,,MATCH(SUBSTITUTE(AA$3,"Q","T"),Inputs!$B$2:$AZ$2,0)),Inputs!$B$2:$B$190,$B174)*Inputs!$D$1)</f>
        <v>0</v>
      </c>
      <c r="AB174" s="57">
        <f>IF(ISNA(SUMIFS(INDEX(Inputs!$B$2:$AZ$190,,MATCH(SUBSTITUTE(AB$3,"Q","T"),Inputs!$B$2:$AZ$2,0)),Inputs!$B$2:$B$190,$B174)*Inputs!$D$1),"",SUMIFS(INDEX(Inputs!$B$2:$AZ$190,,MATCH(SUBSTITUTE(AB$3,"Q","T"),Inputs!$B$2:$AZ$2,0)),Inputs!$B$2:$B$190,$B174)*Inputs!$D$1)</f>
        <v>0</v>
      </c>
      <c r="AC174" s="58">
        <f>AB174</f>
        <v>0</v>
      </c>
      <c r="AD174" s="57">
        <f>IF(ISNA(SUMIFS(INDEX(Inputs!$B$2:$AZ$190,,MATCH(SUBSTITUTE(AD$3,"Q","T"),Inputs!$B$2:$AZ$2,0)),Inputs!$B$2:$B$190,$B174)*Inputs!$D$1),"",SUMIFS(INDEX(Inputs!$B$2:$AZ$190,,MATCH(SUBSTITUTE(AD$3,"Q","T"),Inputs!$B$2:$AZ$2,0)),Inputs!$B$2:$B$190,$B174)*Inputs!$D$1)</f>
        <v>0</v>
      </c>
      <c r="AE174" s="57">
        <f>IF(ISNA(SUMIFS(INDEX(Inputs!$B$2:$AZ$190,,MATCH(SUBSTITUTE(AE$3,"Q","T"),Inputs!$B$2:$AZ$2,0)),Inputs!$B$2:$B$190,$B174)*Inputs!$D$1),"",SUMIFS(INDEX(Inputs!$B$2:$AZ$190,,MATCH(SUBSTITUTE(AE$3,"Q","T"),Inputs!$B$2:$AZ$2,0)),Inputs!$B$2:$B$190,$B174)*Inputs!$D$1)</f>
        <v>0</v>
      </c>
      <c r="AF174" s="57">
        <f>IF(ISNA(SUMIFS(INDEX(Inputs!$B$2:$AZ$190,,MATCH(SUBSTITUTE(AF$3,"Q","T"),Inputs!$B$2:$AZ$2,0)),Inputs!$B$2:$B$190,$B174)*Inputs!$D$1),"",SUMIFS(INDEX(Inputs!$B$2:$AZ$190,,MATCH(SUBSTITUTE(AF$3,"Q","T"),Inputs!$B$2:$AZ$2,0)),Inputs!$B$2:$B$190,$B174)*Inputs!$D$1)</f>
        <v>0</v>
      </c>
      <c r="AG174" s="57">
        <f>IF(ISNA(SUMIFS(INDEX(Inputs!$B$2:$AZ$190,,MATCH(SUBSTITUTE(AG$3,"Q","T"),Inputs!$B$2:$AZ$2,0)),Inputs!$B$2:$B$190,$B174)*Inputs!$D$1),"",SUMIFS(INDEX(Inputs!$B$2:$AZ$190,,MATCH(SUBSTITUTE(AG$3,"Q","T"),Inputs!$B$2:$AZ$2,0)),Inputs!$B$2:$B$190,$B174)*Inputs!$D$1)</f>
        <v>0</v>
      </c>
      <c r="AH174" s="58">
        <f>AG174</f>
        <v>0</v>
      </c>
      <c r="AI174" s="57">
        <f>IF(ISNA(SUMIFS(INDEX(Inputs!$B$2:$AZ$190,,MATCH(SUBSTITUTE(AI$3,"Q","T"),Inputs!$B$2:$AZ$2,0)),Inputs!$B$2:$B$190,$B174)*Inputs!$D$1),"",SUMIFS(INDEX(Inputs!$B$2:$AZ$190,,MATCH(SUBSTITUTE(AI$3,"Q","T"),Inputs!$B$2:$AZ$2,0)),Inputs!$B$2:$B$190,$B174)*Inputs!$D$1)</f>
        <v>0</v>
      </c>
      <c r="AJ174" s="57">
        <f>IF(ISNA(SUMIFS(INDEX(Inputs!$B$2:$AZ$190,,MATCH(SUBSTITUTE(AJ$3,"Q","T"),Inputs!$B$2:$AZ$2,0)),Inputs!$B$2:$B$190,$B174)*Inputs!$D$1),"",SUMIFS(INDEX(Inputs!$B$2:$AZ$190,,MATCH(SUBSTITUTE(AJ$3,"Q","T"),Inputs!$B$2:$AZ$2,0)),Inputs!$B$2:$B$190,$B174)*Inputs!$D$1)</f>
        <v>0</v>
      </c>
      <c r="AK174" s="57">
        <f>IF(ISNA(SUMIFS(INDEX(Inputs!$B$2:$AZ$190,,MATCH(SUBSTITUTE(AK$3,"Q","T"),Inputs!$B$2:$AZ$2,0)),Inputs!$B$2:$B$190,$B174)*Inputs!$D$1),"",SUMIFS(INDEX(Inputs!$B$2:$AZ$190,,MATCH(SUBSTITUTE(AK$3,"Q","T"),Inputs!$B$2:$AZ$2,0)),Inputs!$B$2:$B$190,$B174)*Inputs!$D$1)</f>
        <v>0</v>
      </c>
      <c r="AL174" s="57">
        <f>IF(ISNA(SUMIFS(INDEX(Inputs!$B$2:$AZ$190,,MATCH(SUBSTITUTE(AL$3,"Q","T"),Inputs!$B$2:$AZ$2,0)),Inputs!$B$2:$B$190,$B174)*Inputs!$D$1),"",SUMIFS(INDEX(Inputs!$B$2:$AZ$190,,MATCH(SUBSTITUTE(AL$3,"Q","T"),Inputs!$B$2:$AZ$2,0)),Inputs!$B$2:$B$190,$B174)*Inputs!$D$1)</f>
        <v>0</v>
      </c>
      <c r="AM174" s="58">
        <f>AL174</f>
        <v>0</v>
      </c>
      <c r="AN174" s="57">
        <f>IF(ISNA(SUMIFS(INDEX(Inputs!$B$2:$AZ$190,,MATCH(SUBSTITUTE(AN$3,"Q","T"),Inputs!$B$2:$AZ$2,0)),Inputs!$B$2:$B$190,$B174)*Inputs!$D$1),"",SUMIFS(INDEX(Inputs!$B$2:$AZ$190,,MATCH(SUBSTITUTE(AN$3,"Q","T"),Inputs!$B$2:$AZ$2,0)),Inputs!$B$2:$B$190,$B174)*Inputs!$D$1)</f>
        <v>0</v>
      </c>
      <c r="AO174" s="57">
        <f>IF(ISNA(SUMIFS(INDEX(Inputs!$B$2:$AZ$190,,MATCH(SUBSTITUTE(AO$3,"Q","T"),Inputs!$B$2:$AZ$2,0)),Inputs!$B$2:$B$190,$B174)*Inputs!$D$1),"",SUMIFS(INDEX(Inputs!$B$2:$AZ$190,,MATCH(SUBSTITUTE(AO$3,"Q","T"),Inputs!$B$2:$AZ$2,0)),Inputs!$B$2:$B$190,$B174)*Inputs!$D$1)</f>
        <v>0</v>
      </c>
      <c r="AP174" s="57">
        <f>IF(ISNA(SUMIFS(INDEX(Inputs!$B$2:$AZ$190,,MATCH(SUBSTITUTE(AP$3,"Q","T"),Inputs!$B$2:$AZ$2,0)),Inputs!$B$2:$B$190,$B174)*Inputs!$D$1),"",SUMIFS(INDEX(Inputs!$B$2:$AZ$190,,MATCH(SUBSTITUTE(AP$3,"Q","T"),Inputs!$B$2:$AZ$2,0)),Inputs!$B$2:$B$190,$B174)*Inputs!$D$1)</f>
        <v>0</v>
      </c>
      <c r="AQ174" s="57">
        <f>IF(ISNA(SUMIFS(INDEX(Inputs!$B$2:$AZ$190,,MATCH(SUBSTITUTE(AQ$3,"Q","T"),Inputs!$B$2:$AZ$2,0)),Inputs!$B$2:$B$190,$B174)*Inputs!$D$1),"",SUMIFS(INDEX(Inputs!$B$2:$AZ$190,,MATCH(SUBSTITUTE(AQ$3,"Q","T"),Inputs!$B$2:$AZ$2,0)),Inputs!$B$2:$B$190,$B174)*Inputs!$D$1)</f>
        <v>0</v>
      </c>
      <c r="AR174" s="58">
        <f>AQ174</f>
        <v>0</v>
      </c>
      <c r="AS174" s="57">
        <f>IF(ISNA(SUMIFS(INDEX(Inputs!$B$2:$AZ$190,,MATCH(SUBSTITUTE(AS$3,"Q","T"),Inputs!$B$2:$AZ$2,0)),Inputs!$B$2:$B$190,$B174)*Inputs!$D$1),"",SUMIFS(INDEX(Inputs!$B$2:$AZ$190,,MATCH(SUBSTITUTE(AS$3,"Q","T"),Inputs!$B$2:$AZ$2,0)),Inputs!$B$2:$B$190,$B174)*Inputs!$D$1)</f>
        <v>0</v>
      </c>
      <c r="AT174" s="57">
        <f>IF(ISNA(SUMIFS(INDEX(Inputs!$B$2:$AZ$190,,MATCH(SUBSTITUTE(AT$3,"Q","T"),Inputs!$B$2:$AZ$2,0)),Inputs!$B$2:$B$190,$B174)*Inputs!$D$1),"",SUMIFS(INDEX(Inputs!$B$2:$AZ$190,,MATCH(SUBSTITUTE(AT$3,"Q","T"),Inputs!$B$2:$AZ$2,0)),Inputs!$B$2:$B$190,$B174)*Inputs!$D$1)</f>
        <v>0</v>
      </c>
      <c r="AU174" s="57">
        <f>IF(ISNA(SUMIFS(INDEX(Inputs!$B$2:$AZ$190,,MATCH(SUBSTITUTE(AU$3,"Q","T"),Inputs!$B$2:$AZ$2,0)),Inputs!$B$2:$B$190,$B174)*Inputs!$D$1),"",SUMIFS(INDEX(Inputs!$B$2:$AZ$190,,MATCH(SUBSTITUTE(AU$3,"Q","T"),Inputs!$B$2:$AZ$2,0)),Inputs!$B$2:$B$190,$B174)*Inputs!$D$1)</f>
        <v>0</v>
      </c>
      <c r="AV174" s="57">
        <f>IF(ISNA(SUMIFS(INDEX(Inputs!$B$2:$AZ$190,,MATCH(SUBSTITUTE(AV$3,"Q","T"),Inputs!$B$2:$AZ$2,0)),Inputs!$B$2:$B$190,$B174)*Inputs!$D$1),"",SUMIFS(INDEX(Inputs!$B$2:$AZ$190,,MATCH(SUBSTITUTE(AV$3,"Q","T"),Inputs!$B$2:$AZ$2,0)),Inputs!$B$2:$B$190,$B174)*Inputs!$D$1)</f>
        <v>0</v>
      </c>
      <c r="AW174" s="58">
        <f>AV174</f>
        <v>0</v>
      </c>
      <c r="AX174" s="57">
        <f>IF(ISNA(SUMIFS(INDEX(Inputs!$B$2:$AZ$190,,MATCH(SUBSTITUTE(AX$3,"Q","T"),Inputs!$B$2:$AZ$2,0)),Inputs!$B$2:$B$190,$B174)*Inputs!$D$1),"",SUMIFS(INDEX(Inputs!$B$2:$AZ$190,,MATCH(SUBSTITUTE(AX$3,"Q","T"),Inputs!$B$2:$AZ$2,0)),Inputs!$B$2:$B$190,$B174)*Inputs!$D$1)</f>
        <v>0</v>
      </c>
      <c r="AY174" s="57">
        <f>IF(ISNA(SUMIFS(INDEX(Inputs!$B$2:$AZ$190,,MATCH(SUBSTITUTE(AY$3,"Q","T"),Inputs!$B$2:$AZ$2,0)),Inputs!$B$2:$B$190,$B174)*Inputs!$D$1),"",SUMIFS(INDEX(Inputs!$B$2:$AZ$190,,MATCH(SUBSTITUTE(AY$3,"Q","T"),Inputs!$B$2:$AZ$2,0)),Inputs!$B$2:$B$190,$B174)*Inputs!$D$1)</f>
        <v>0</v>
      </c>
      <c r="AZ174" s="57">
        <f>IF(ISNA(SUMIFS(INDEX(Inputs!$B$2:$AZ$190,,MATCH(SUBSTITUTE(AZ$3,"Q","T"),Inputs!$B$2:$AZ$2,0)),Inputs!$B$2:$B$190,$B174)*Inputs!$D$1),"",SUMIFS(INDEX(Inputs!$B$2:$AZ$190,,MATCH(SUBSTITUTE(AZ$3,"Q","T"),Inputs!$B$2:$AZ$2,0)),Inputs!$B$2:$B$190,$B174)*Inputs!$D$1)</f>
        <v>0</v>
      </c>
      <c r="BA174" s="57">
        <f>IF(ISNA(SUMIFS(INDEX(Inputs!$B$2:$AZ$190,,MATCH(SUBSTITUTE(BA$3,"Q","T"),Inputs!$B$2:$AZ$2,0)),Inputs!$B$2:$B$190,$B174)*Inputs!$D$1),"",SUMIFS(INDEX(Inputs!$B$2:$AZ$190,,MATCH(SUBSTITUTE(BA$3,"Q","T"),Inputs!$B$2:$AZ$2,0)),Inputs!$B$2:$B$190,$B174)*Inputs!$D$1)</f>
        <v>0</v>
      </c>
      <c r="BB174" s="58">
        <f>BA174</f>
        <v>0</v>
      </c>
      <c r="BC174" s="57">
        <f>IF(ISNA(SUMIFS(INDEX(Inputs!$B$2:$AZ$190,,MATCH(SUBSTITUTE(BC$3,"Q","T"),Inputs!$B$2:$AZ$2,0)),Inputs!$B$2:$B$190,$B174)*Inputs!$D$1),"",SUMIFS(INDEX(Inputs!$B$2:$AZ$190,,MATCH(SUBSTITUTE(BC$3,"Q","T"),Inputs!$B$2:$AZ$2,0)),Inputs!$B$2:$B$190,$B174)*Inputs!$D$1)</f>
        <v>0</v>
      </c>
      <c r="BD174" s="57">
        <f>IF(ISNA(SUMIFS(INDEX(Inputs!$B$2:$AZ$190,,MATCH(SUBSTITUTE(BD$3,"Q","T"),Inputs!$B$2:$AZ$2,0)),Inputs!$B$2:$B$190,$B174)*Inputs!$D$1),"",SUMIFS(INDEX(Inputs!$B$2:$AZ$190,,MATCH(SUBSTITUTE(BD$3,"Q","T"),Inputs!$B$2:$AZ$2,0)),Inputs!$B$2:$B$190,$B174)*Inputs!$D$1)</f>
        <v>0</v>
      </c>
      <c r="BE174" s="57">
        <f>IF(ISNA(SUMIFS(INDEX(Inputs!$B$2:$AZ$190,,MATCH(SUBSTITUTE(BE$3,"Q","T"),Inputs!$B$2:$AZ$2,0)),Inputs!$B$2:$B$190,$B174)*Inputs!$D$1),"",SUMIFS(INDEX(Inputs!$B$2:$AZ$190,,MATCH(SUBSTITUTE(BE$3,"Q","T"),Inputs!$B$2:$AZ$2,0)),Inputs!$B$2:$B$190,$B174)*Inputs!$D$1)</f>
        <v>0</v>
      </c>
      <c r="BF174" s="57">
        <f>IF(ISNA(SUMIFS(INDEX(Inputs!$B$2:$AZ$190,,MATCH(SUBSTITUTE(BF$3,"Q","T"),Inputs!$B$2:$AZ$2,0)),Inputs!$B$2:$B$190,$B174)*Inputs!$D$1),"",SUMIFS(INDEX(Inputs!$B$2:$AZ$190,,MATCH(SUBSTITUTE(BF$3,"Q","T"),Inputs!$B$2:$AZ$2,0)),Inputs!$B$2:$B$190,$B174)*Inputs!$D$1)</f>
        <v>0</v>
      </c>
      <c r="BG174" s="58">
        <f>BF174</f>
        <v>0</v>
      </c>
    </row>
    <row r="176">
      <c r="B176" s="29" t="n"/>
      <c r="C176" s="29" t="inlineStr">
        <is>
          <t>Receitas de tarifas por origem</t>
        </is>
      </c>
      <c r="D176" s="29" t="inlineStr">
        <is>
          <t>Fee revenue by source</t>
        </is>
      </c>
      <c r="E176" s="29" t="n"/>
      <c r="F176" s="29" t="n"/>
      <c r="G176" s="29" t="n"/>
      <c r="H176" s="29" t="n"/>
      <c r="I176" s="29" t="n"/>
      <c r="J176" s="29" t="n"/>
      <c r="K176" s="29" t="n"/>
      <c r="L176" s="29" t="n"/>
      <c r="M176" s="29" t="n"/>
      <c r="N176" s="29" t="n"/>
      <c r="O176" s="29" t="n"/>
      <c r="P176" s="29" t="n"/>
      <c r="Q176" s="29" t="n"/>
      <c r="R176" s="29" t="n"/>
      <c r="S176" s="29" t="n"/>
      <c r="T176" s="29" t="n"/>
      <c r="U176" s="29" t="n"/>
      <c r="V176" s="29" t="n"/>
      <c r="W176" s="29" t="n"/>
      <c r="X176" s="29" t="n"/>
      <c r="Y176" s="29" t="n"/>
      <c r="Z176" s="29" t="n"/>
      <c r="AA176" s="29" t="n"/>
      <c r="AB176" s="29" t="n"/>
      <c r="AC176" s="29" t="n"/>
      <c r="AD176" s="29" t="n"/>
      <c r="AE176" s="29" t="n"/>
      <c r="AF176" s="29" t="n"/>
      <c r="AG176" s="29" t="n"/>
      <c r="AH176" s="29" t="n"/>
      <c r="AI176" s="29" t="n"/>
      <c r="AJ176" s="29" t="n"/>
      <c r="AK176" s="29" t="n"/>
      <c r="AL176" s="29" t="n"/>
      <c r="AM176" s="29" t="n"/>
      <c r="AN176" s="29" t="n"/>
      <c r="AO176" s="29" t="n"/>
      <c r="AP176" s="29" t="n"/>
      <c r="AQ176" s="29" t="n"/>
      <c r="AR176" s="29" t="n"/>
      <c r="AS176" s="29" t="n"/>
      <c r="AT176" s="29" t="n"/>
      <c r="AU176" s="29" t="n"/>
      <c r="AV176" s="29" t="n"/>
      <c r="AW176" s="29" t="n"/>
      <c r="AX176" s="29" t="n"/>
      <c r="AY176" s="29" t="n"/>
      <c r="AZ176" s="29" t="n"/>
      <c r="BA176" s="29" t="n"/>
      <c r="BB176" s="29" t="n"/>
      <c r="BC176" s="29" t="n"/>
      <c r="BD176" s="29" t="n"/>
      <c r="BE176" s="29" t="n"/>
      <c r="BF176" s="29" t="n"/>
      <c r="BG176" s="29" t="n"/>
      <c r="BH176" s="29" t="n"/>
      <c r="BI176" s="29" t="n"/>
    </row>
    <row r="177" hidden="1" outlineLevel="1">
      <c r="B177" s="56" t="inlineStr">
        <is>
          <t>fee_ib</t>
        </is>
      </c>
      <c r="C177" s="11" t="inlineStr">
        <is>
          <t>Investment banking fees</t>
        </is>
      </c>
      <c r="D177" s="12" t="inlineStr">
        <is>
          <t>Investment banking fees</t>
        </is>
      </c>
      <c r="E177" s="57">
        <f>IF(ISNA(SUMIFS(INDEX(Inputs!$B$2:$AZ$190,,MATCH(SUBSTITUTE(E$3,"Q","T"),Inputs!$B$2:$AZ$2,0)),Inputs!$B$2:$B$190,$B177)*Inputs!$D$1),"",SUMIFS(INDEX(Inputs!$B$2:$AZ$190,,MATCH(SUBSTITUTE(E$3,"Q","T"),Inputs!$B$2:$AZ$2,0)),Inputs!$B$2:$B$190,$B177)*Inputs!$D$1)</f>
        <v>0</v>
      </c>
      <c r="F177" s="57">
        <f>IF(ISNA(SUMIFS(INDEX(Inputs!$B$2:$AZ$190,,MATCH(SUBSTITUTE(F$3,"Q","T"),Inputs!$B$2:$AZ$2,0)),Inputs!$B$2:$B$190,$B177)*Inputs!$D$1),"",SUMIFS(INDEX(Inputs!$B$2:$AZ$190,,MATCH(SUBSTITUTE(F$3,"Q","T"),Inputs!$B$2:$AZ$2,0)),Inputs!$B$2:$B$190,$B177)*Inputs!$D$1)</f>
        <v>0</v>
      </c>
      <c r="G177" s="57">
        <f>IF(ISNA(SUMIFS(INDEX(Inputs!$B$2:$AZ$190,,MATCH(SUBSTITUTE(G$3,"Q","T"),Inputs!$B$2:$AZ$2,0)),Inputs!$B$2:$B$190,$B177)*Inputs!$D$1),"",SUMIFS(INDEX(Inputs!$B$2:$AZ$190,,MATCH(SUBSTITUTE(G$3,"Q","T"),Inputs!$B$2:$AZ$2,0)),Inputs!$B$2:$B$190,$B177)*Inputs!$D$1)</f>
        <v>0</v>
      </c>
      <c r="H177" s="57">
        <f>IF(ISNA(SUMIFS(INDEX(Inputs!$B$2:$AZ$190,,MATCH(SUBSTITUTE(H$3,"Q","T"),Inputs!$B$2:$AZ$2,0)),Inputs!$B$2:$B$190,$B177)*Inputs!$D$1),"",SUMIFS(INDEX(Inputs!$B$2:$AZ$190,,MATCH(SUBSTITUTE(H$3,"Q","T"),Inputs!$B$2:$AZ$2,0)),Inputs!$B$2:$B$190,$B177)*Inputs!$D$1)</f>
        <v>0</v>
      </c>
      <c r="I177" s="58">
        <f>SUM(E177:H177)</f>
        <v>0</v>
      </c>
      <c r="J177" s="57">
        <f>IF(ISNA(SUMIFS(INDEX(Inputs!$B$2:$AZ$190,,MATCH(SUBSTITUTE(J$3,"Q","T"),Inputs!$B$2:$AZ$2,0)),Inputs!$B$2:$B$190,$B177)*Inputs!$D$1),"",SUMIFS(INDEX(Inputs!$B$2:$AZ$190,,MATCH(SUBSTITUTE(J$3,"Q","T"),Inputs!$B$2:$AZ$2,0)),Inputs!$B$2:$B$190,$B177)*Inputs!$D$1)</f>
        <v>0</v>
      </c>
      <c r="K177" s="57">
        <f>IF(ISNA(SUMIFS(INDEX(Inputs!$B$2:$AZ$190,,MATCH(SUBSTITUTE(K$3,"Q","T"),Inputs!$B$2:$AZ$2,0)),Inputs!$B$2:$B$190,$B177)*Inputs!$D$1),"",SUMIFS(INDEX(Inputs!$B$2:$AZ$190,,MATCH(SUBSTITUTE(K$3,"Q","T"),Inputs!$B$2:$AZ$2,0)),Inputs!$B$2:$B$190,$B177)*Inputs!$D$1)</f>
        <v>0</v>
      </c>
      <c r="L177" s="57">
        <f>IF(ISNA(SUMIFS(INDEX(Inputs!$B$2:$AZ$190,,MATCH(SUBSTITUTE(L$3,"Q","T"),Inputs!$B$2:$AZ$2,0)),Inputs!$B$2:$B$190,$B177)*Inputs!$D$1),"",SUMIFS(INDEX(Inputs!$B$2:$AZ$190,,MATCH(SUBSTITUTE(L$3,"Q","T"),Inputs!$B$2:$AZ$2,0)),Inputs!$B$2:$B$190,$B177)*Inputs!$D$1)</f>
        <v>0</v>
      </c>
      <c r="M177" s="57">
        <f>IF(ISNA(SUMIFS(INDEX(Inputs!$B$2:$AZ$190,,MATCH(SUBSTITUTE(M$3,"Q","T"),Inputs!$B$2:$AZ$2,0)),Inputs!$B$2:$B$190,$B177)*Inputs!$D$1),"",SUMIFS(INDEX(Inputs!$B$2:$AZ$190,,MATCH(SUBSTITUTE(M$3,"Q","T"),Inputs!$B$2:$AZ$2,0)),Inputs!$B$2:$B$190,$B177)*Inputs!$D$1)</f>
        <v>0</v>
      </c>
      <c r="N177" s="58">
        <f>SUM(J177:M177)</f>
        <v>0</v>
      </c>
      <c r="O177" s="57">
        <f>IF(ISNA(SUMIFS(INDEX(Inputs!$B$2:$AZ$190,,MATCH(SUBSTITUTE(O$3,"Q","T"),Inputs!$B$2:$AZ$2,0)),Inputs!$B$2:$B$190,$B177)*Inputs!$D$1),"",SUMIFS(INDEX(Inputs!$B$2:$AZ$190,,MATCH(SUBSTITUTE(O$3,"Q","T"),Inputs!$B$2:$AZ$2,0)),Inputs!$B$2:$B$190,$B177)*Inputs!$D$1)</f>
        <v>0</v>
      </c>
      <c r="P177" s="57">
        <f>IF(ISNA(SUMIFS(INDEX(Inputs!$B$2:$AZ$190,,MATCH(SUBSTITUTE(P$3,"Q","T"),Inputs!$B$2:$AZ$2,0)),Inputs!$B$2:$B$190,$B177)*Inputs!$D$1),"",SUMIFS(INDEX(Inputs!$B$2:$AZ$190,,MATCH(SUBSTITUTE(P$3,"Q","T"),Inputs!$B$2:$AZ$2,0)),Inputs!$B$2:$B$190,$B177)*Inputs!$D$1)</f>
        <v>0</v>
      </c>
      <c r="Q177" s="57">
        <f>IF(ISNA(SUMIFS(INDEX(Inputs!$B$2:$AZ$190,,MATCH(SUBSTITUTE(Q$3,"Q","T"),Inputs!$B$2:$AZ$2,0)),Inputs!$B$2:$B$190,$B177)*Inputs!$D$1),"",SUMIFS(INDEX(Inputs!$B$2:$AZ$190,,MATCH(SUBSTITUTE(Q$3,"Q","T"),Inputs!$B$2:$AZ$2,0)),Inputs!$B$2:$B$190,$B177)*Inputs!$D$1)</f>
        <v>0</v>
      </c>
      <c r="R177" s="57">
        <f>IF(ISNA(SUMIFS(INDEX(Inputs!$B$2:$AZ$190,,MATCH(SUBSTITUTE(R$3,"Q","T"),Inputs!$B$2:$AZ$2,0)),Inputs!$B$2:$B$190,$B177)*Inputs!$D$1),"",SUMIFS(INDEX(Inputs!$B$2:$AZ$190,,MATCH(SUBSTITUTE(R$3,"Q","T"),Inputs!$B$2:$AZ$2,0)),Inputs!$B$2:$B$190,$B177)*Inputs!$D$1)</f>
        <v>0</v>
      </c>
      <c r="S177" s="58">
        <f>SUM(O177:R177)</f>
        <v>0</v>
      </c>
      <c r="T177" s="57">
        <f>IF(ISNA(SUMIFS(INDEX(Inputs!$B$2:$AZ$190,,MATCH(SUBSTITUTE(T$3,"Q","T"),Inputs!$B$2:$AZ$2,0)),Inputs!$B$2:$B$190,$B177)*Inputs!$D$1),"",SUMIFS(INDEX(Inputs!$B$2:$AZ$190,,MATCH(SUBSTITUTE(T$3,"Q","T"),Inputs!$B$2:$AZ$2,0)),Inputs!$B$2:$B$190,$B177)*Inputs!$D$1)</f>
        <v>0</v>
      </c>
      <c r="U177" s="57">
        <f>IF(ISNA(SUMIFS(INDEX(Inputs!$B$2:$AZ$190,,MATCH(SUBSTITUTE(U$3,"Q","T"),Inputs!$B$2:$AZ$2,0)),Inputs!$B$2:$B$190,$B177)*Inputs!$D$1),"",SUMIFS(INDEX(Inputs!$B$2:$AZ$190,,MATCH(SUBSTITUTE(U$3,"Q","T"),Inputs!$B$2:$AZ$2,0)),Inputs!$B$2:$B$190,$B177)*Inputs!$D$1)</f>
        <v>0</v>
      </c>
      <c r="V177" s="57">
        <f>IF(ISNA(SUMIFS(INDEX(Inputs!$B$2:$AZ$190,,MATCH(SUBSTITUTE(V$3,"Q","T"),Inputs!$B$2:$AZ$2,0)),Inputs!$B$2:$B$190,$B177)*Inputs!$D$1),"",SUMIFS(INDEX(Inputs!$B$2:$AZ$190,,MATCH(SUBSTITUTE(V$3,"Q","T"),Inputs!$B$2:$AZ$2,0)),Inputs!$B$2:$B$190,$B177)*Inputs!$D$1)</f>
        <v>0</v>
      </c>
      <c r="W177" s="57">
        <f>IF(ISNA(SUMIFS(INDEX(Inputs!$B$2:$AZ$190,,MATCH(SUBSTITUTE(W$3,"Q","T"),Inputs!$B$2:$AZ$2,0)),Inputs!$B$2:$B$190,$B177)*Inputs!$D$1),"",SUMIFS(INDEX(Inputs!$B$2:$AZ$190,,MATCH(SUBSTITUTE(W$3,"Q","T"),Inputs!$B$2:$AZ$2,0)),Inputs!$B$2:$B$190,$B177)*Inputs!$D$1)</f>
        <v>0</v>
      </c>
      <c r="X177" s="58">
        <f>SUM(T177:W177)</f>
        <v>0</v>
      </c>
      <c r="Y177" s="57">
        <f>IF(ISNA(SUMIFS(INDEX(Inputs!$B$2:$AZ$190,,MATCH(SUBSTITUTE(Y$3,"Q","T"),Inputs!$B$2:$AZ$2,0)),Inputs!$B$2:$B$190,$B177)*Inputs!$D$1),"",SUMIFS(INDEX(Inputs!$B$2:$AZ$190,,MATCH(SUBSTITUTE(Y$3,"Q","T"),Inputs!$B$2:$AZ$2,0)),Inputs!$B$2:$B$190,$B177)*Inputs!$D$1)</f>
        <v>0</v>
      </c>
      <c r="Z177" s="57">
        <f>IF(ISNA(SUMIFS(INDEX(Inputs!$B$2:$AZ$190,,MATCH(SUBSTITUTE(Z$3,"Q","T"),Inputs!$B$2:$AZ$2,0)),Inputs!$B$2:$B$190,$B177)*Inputs!$D$1),"",SUMIFS(INDEX(Inputs!$B$2:$AZ$190,,MATCH(SUBSTITUTE(Z$3,"Q","T"),Inputs!$B$2:$AZ$2,0)),Inputs!$B$2:$B$190,$B177)*Inputs!$D$1)</f>
        <v>0</v>
      </c>
      <c r="AA177" s="57">
        <f>IF(ISNA(SUMIFS(INDEX(Inputs!$B$2:$AZ$190,,MATCH(SUBSTITUTE(AA$3,"Q","T"),Inputs!$B$2:$AZ$2,0)),Inputs!$B$2:$B$190,$B177)*Inputs!$D$1),"",SUMIFS(INDEX(Inputs!$B$2:$AZ$190,,MATCH(SUBSTITUTE(AA$3,"Q","T"),Inputs!$B$2:$AZ$2,0)),Inputs!$B$2:$B$190,$B177)*Inputs!$D$1)</f>
        <v>0</v>
      </c>
      <c r="AB177" s="57">
        <f>IF(ISNA(SUMIFS(INDEX(Inputs!$B$2:$AZ$190,,MATCH(SUBSTITUTE(AB$3,"Q","T"),Inputs!$B$2:$AZ$2,0)),Inputs!$B$2:$B$190,$B177)*Inputs!$D$1),"",SUMIFS(INDEX(Inputs!$B$2:$AZ$190,,MATCH(SUBSTITUTE(AB$3,"Q","T"),Inputs!$B$2:$AZ$2,0)),Inputs!$B$2:$B$190,$B177)*Inputs!$D$1)</f>
        <v>0</v>
      </c>
      <c r="AC177" s="58">
        <f>SUM(Y177:AB177)</f>
        <v>0</v>
      </c>
      <c r="AD177" s="57">
        <f>IF(ISNA(SUMIFS(INDEX(Inputs!$B$2:$AZ$190,,MATCH(SUBSTITUTE(AD$3,"Q","T"),Inputs!$B$2:$AZ$2,0)),Inputs!$B$2:$B$190,$B177)*Inputs!$D$1),"",SUMIFS(INDEX(Inputs!$B$2:$AZ$190,,MATCH(SUBSTITUTE(AD$3,"Q","T"),Inputs!$B$2:$AZ$2,0)),Inputs!$B$2:$B$190,$B177)*Inputs!$D$1)</f>
        <v>0</v>
      </c>
      <c r="AE177" s="57">
        <f>IF(ISNA(SUMIFS(INDEX(Inputs!$B$2:$AZ$190,,MATCH(SUBSTITUTE(AE$3,"Q","T"),Inputs!$B$2:$AZ$2,0)),Inputs!$B$2:$B$190,$B177)*Inputs!$D$1),"",SUMIFS(INDEX(Inputs!$B$2:$AZ$190,,MATCH(SUBSTITUTE(AE$3,"Q","T"),Inputs!$B$2:$AZ$2,0)),Inputs!$B$2:$B$190,$B177)*Inputs!$D$1)</f>
        <v>0</v>
      </c>
      <c r="AF177" s="57">
        <f>IF(ISNA(SUMIFS(INDEX(Inputs!$B$2:$AZ$190,,MATCH(SUBSTITUTE(AF$3,"Q","T"),Inputs!$B$2:$AZ$2,0)),Inputs!$B$2:$B$190,$B177)*Inputs!$D$1),"",SUMIFS(INDEX(Inputs!$B$2:$AZ$190,,MATCH(SUBSTITUTE(AF$3,"Q","T"),Inputs!$B$2:$AZ$2,0)),Inputs!$B$2:$B$190,$B177)*Inputs!$D$1)</f>
        <v>0</v>
      </c>
      <c r="AG177" s="57">
        <f>IF(ISNA(SUMIFS(INDEX(Inputs!$B$2:$AZ$190,,MATCH(SUBSTITUTE(AG$3,"Q","T"),Inputs!$B$2:$AZ$2,0)),Inputs!$B$2:$B$190,$B177)*Inputs!$D$1),"",SUMIFS(INDEX(Inputs!$B$2:$AZ$190,,MATCH(SUBSTITUTE(AG$3,"Q","T"),Inputs!$B$2:$AZ$2,0)),Inputs!$B$2:$B$190,$B177)*Inputs!$D$1)</f>
        <v>0</v>
      </c>
      <c r="AH177" s="58">
        <f>SUM(AD177:AG177)</f>
        <v>0</v>
      </c>
      <c r="AI177" s="57">
        <f>IF(ISNA(SUMIFS(INDEX(Inputs!$B$2:$AZ$190,,MATCH(SUBSTITUTE(AI$3,"Q","T"),Inputs!$B$2:$AZ$2,0)),Inputs!$B$2:$B$190,$B177)*Inputs!$D$1),"",SUMIFS(INDEX(Inputs!$B$2:$AZ$190,,MATCH(SUBSTITUTE(AI$3,"Q","T"),Inputs!$B$2:$AZ$2,0)),Inputs!$B$2:$B$190,$B177)*Inputs!$D$1)</f>
        <v>0</v>
      </c>
      <c r="AJ177" s="57">
        <f>IF(ISNA(SUMIFS(INDEX(Inputs!$B$2:$AZ$190,,MATCH(SUBSTITUTE(AJ$3,"Q","T"),Inputs!$B$2:$AZ$2,0)),Inputs!$B$2:$B$190,$B177)*Inputs!$D$1),"",SUMIFS(INDEX(Inputs!$B$2:$AZ$190,,MATCH(SUBSTITUTE(AJ$3,"Q","T"),Inputs!$B$2:$AZ$2,0)),Inputs!$B$2:$B$190,$B177)*Inputs!$D$1)</f>
        <v>0</v>
      </c>
      <c r="AK177" s="57">
        <f>IF(ISNA(SUMIFS(INDEX(Inputs!$B$2:$AZ$190,,MATCH(SUBSTITUTE(AK$3,"Q","T"),Inputs!$B$2:$AZ$2,0)),Inputs!$B$2:$B$190,$B177)*Inputs!$D$1),"",SUMIFS(INDEX(Inputs!$B$2:$AZ$190,,MATCH(SUBSTITUTE(AK$3,"Q","T"),Inputs!$B$2:$AZ$2,0)),Inputs!$B$2:$B$190,$B177)*Inputs!$D$1)</f>
        <v>0</v>
      </c>
      <c r="AL177" s="57">
        <f>IF(ISNA(SUMIFS(INDEX(Inputs!$B$2:$AZ$190,,MATCH(SUBSTITUTE(AL$3,"Q","T"),Inputs!$B$2:$AZ$2,0)),Inputs!$B$2:$B$190,$B177)*Inputs!$D$1),"",SUMIFS(INDEX(Inputs!$B$2:$AZ$190,,MATCH(SUBSTITUTE(AL$3,"Q","T"),Inputs!$B$2:$AZ$2,0)),Inputs!$B$2:$B$190,$B177)*Inputs!$D$1)</f>
        <v>0</v>
      </c>
      <c r="AM177" s="58">
        <f>SUM(AI177:AL177)</f>
        <v>0</v>
      </c>
      <c r="AN177" s="57">
        <f>IF(ISNA(SUMIFS(INDEX(Inputs!$B$2:$AZ$190,,MATCH(SUBSTITUTE(AN$3,"Q","T"),Inputs!$B$2:$AZ$2,0)),Inputs!$B$2:$B$190,$B177)*Inputs!$D$1),"",SUMIFS(INDEX(Inputs!$B$2:$AZ$190,,MATCH(SUBSTITUTE(AN$3,"Q","T"),Inputs!$B$2:$AZ$2,0)),Inputs!$B$2:$B$190,$B177)*Inputs!$D$1)</f>
        <v>0</v>
      </c>
      <c r="AO177" s="57">
        <f>IF(ISNA(SUMIFS(INDEX(Inputs!$B$2:$AZ$190,,MATCH(SUBSTITUTE(AO$3,"Q","T"),Inputs!$B$2:$AZ$2,0)),Inputs!$B$2:$B$190,$B177)*Inputs!$D$1),"",SUMIFS(INDEX(Inputs!$B$2:$AZ$190,,MATCH(SUBSTITUTE(AO$3,"Q","T"),Inputs!$B$2:$AZ$2,0)),Inputs!$B$2:$B$190,$B177)*Inputs!$D$1)</f>
        <v>0</v>
      </c>
      <c r="AP177" s="57">
        <f>IF(ISNA(SUMIFS(INDEX(Inputs!$B$2:$AZ$190,,MATCH(SUBSTITUTE(AP$3,"Q","T"),Inputs!$B$2:$AZ$2,0)),Inputs!$B$2:$B$190,$B177)*Inputs!$D$1),"",SUMIFS(INDEX(Inputs!$B$2:$AZ$190,,MATCH(SUBSTITUTE(AP$3,"Q","T"),Inputs!$B$2:$AZ$2,0)),Inputs!$B$2:$B$190,$B177)*Inputs!$D$1)</f>
        <v>0</v>
      </c>
      <c r="AQ177" s="57">
        <f>IF(ISNA(SUMIFS(INDEX(Inputs!$B$2:$AZ$190,,MATCH(SUBSTITUTE(AQ$3,"Q","T"),Inputs!$B$2:$AZ$2,0)),Inputs!$B$2:$B$190,$B177)*Inputs!$D$1),"",SUMIFS(INDEX(Inputs!$B$2:$AZ$190,,MATCH(SUBSTITUTE(AQ$3,"Q","T"),Inputs!$B$2:$AZ$2,0)),Inputs!$B$2:$B$190,$B177)*Inputs!$D$1)</f>
        <v>0</v>
      </c>
      <c r="AR177" s="58">
        <f>SUM(AN177:AQ177)</f>
        <v>0</v>
      </c>
      <c r="AS177" s="57">
        <f>IF(ISNA(SUMIFS(INDEX(Inputs!$B$2:$AZ$190,,MATCH(SUBSTITUTE(AS$3,"Q","T"),Inputs!$B$2:$AZ$2,0)),Inputs!$B$2:$B$190,$B177)*Inputs!$D$1),"",SUMIFS(INDEX(Inputs!$B$2:$AZ$190,,MATCH(SUBSTITUTE(AS$3,"Q","T"),Inputs!$B$2:$AZ$2,0)),Inputs!$B$2:$B$190,$B177)*Inputs!$D$1)</f>
        <v>0</v>
      </c>
      <c r="AT177" s="57">
        <f>IF(ISNA(SUMIFS(INDEX(Inputs!$B$2:$AZ$190,,MATCH(SUBSTITUTE(AT$3,"Q","T"),Inputs!$B$2:$AZ$2,0)),Inputs!$B$2:$B$190,$B177)*Inputs!$D$1),"",SUMIFS(INDEX(Inputs!$B$2:$AZ$190,,MATCH(SUBSTITUTE(AT$3,"Q","T"),Inputs!$B$2:$AZ$2,0)),Inputs!$B$2:$B$190,$B177)*Inputs!$D$1)</f>
        <v>0</v>
      </c>
      <c r="AU177" s="57">
        <f>IF(ISNA(SUMIFS(INDEX(Inputs!$B$2:$AZ$190,,MATCH(SUBSTITUTE(AU$3,"Q","T"),Inputs!$B$2:$AZ$2,0)),Inputs!$B$2:$B$190,$B177)*Inputs!$D$1),"",SUMIFS(INDEX(Inputs!$B$2:$AZ$190,,MATCH(SUBSTITUTE(AU$3,"Q","T"),Inputs!$B$2:$AZ$2,0)),Inputs!$B$2:$B$190,$B177)*Inputs!$D$1)</f>
        <v>0</v>
      </c>
      <c r="AV177" s="57">
        <f>IF(ISNA(SUMIFS(INDEX(Inputs!$B$2:$AZ$190,,MATCH(SUBSTITUTE(AV$3,"Q","T"),Inputs!$B$2:$AZ$2,0)),Inputs!$B$2:$B$190,$B177)*Inputs!$D$1),"",SUMIFS(INDEX(Inputs!$B$2:$AZ$190,,MATCH(SUBSTITUTE(AV$3,"Q","T"),Inputs!$B$2:$AZ$2,0)),Inputs!$B$2:$B$190,$B177)*Inputs!$D$1)</f>
        <v>0</v>
      </c>
      <c r="AW177" s="58">
        <f>SUM(AS177:AV177)</f>
        <v>0</v>
      </c>
      <c r="AX177" s="57">
        <f>IF(ISNA(SUMIFS(INDEX(Inputs!$B$2:$AZ$190,,MATCH(SUBSTITUTE(AX$3,"Q","T"),Inputs!$B$2:$AZ$2,0)),Inputs!$B$2:$B$190,$B177)*Inputs!$D$1),"",SUMIFS(INDEX(Inputs!$B$2:$AZ$190,,MATCH(SUBSTITUTE(AX$3,"Q","T"),Inputs!$B$2:$AZ$2,0)),Inputs!$B$2:$B$190,$B177)*Inputs!$D$1)</f>
        <v>0</v>
      </c>
      <c r="AY177" s="57">
        <f>IF(ISNA(SUMIFS(INDEX(Inputs!$B$2:$AZ$190,,MATCH(SUBSTITUTE(AY$3,"Q","T"),Inputs!$B$2:$AZ$2,0)),Inputs!$B$2:$B$190,$B177)*Inputs!$D$1),"",SUMIFS(INDEX(Inputs!$B$2:$AZ$190,,MATCH(SUBSTITUTE(AY$3,"Q","T"),Inputs!$B$2:$AZ$2,0)),Inputs!$B$2:$B$190,$B177)*Inputs!$D$1)</f>
        <v>0</v>
      </c>
      <c r="AZ177" s="57">
        <f>IF(ISNA(SUMIFS(INDEX(Inputs!$B$2:$AZ$190,,MATCH(SUBSTITUTE(AZ$3,"Q","T"),Inputs!$B$2:$AZ$2,0)),Inputs!$B$2:$B$190,$B177)*Inputs!$D$1),"",SUMIFS(INDEX(Inputs!$B$2:$AZ$190,,MATCH(SUBSTITUTE(AZ$3,"Q","T"),Inputs!$B$2:$AZ$2,0)),Inputs!$B$2:$B$190,$B177)*Inputs!$D$1)</f>
        <v>0</v>
      </c>
      <c r="BA177" s="57">
        <f>IF(ISNA(SUMIFS(INDEX(Inputs!$B$2:$AZ$190,,MATCH(SUBSTITUTE(BA$3,"Q","T"),Inputs!$B$2:$AZ$2,0)),Inputs!$B$2:$B$190,$B177)*Inputs!$D$1),"",SUMIFS(INDEX(Inputs!$B$2:$AZ$190,,MATCH(SUBSTITUTE(BA$3,"Q","T"),Inputs!$B$2:$AZ$2,0)),Inputs!$B$2:$B$190,$B177)*Inputs!$D$1)</f>
        <v>0</v>
      </c>
      <c r="BB177" s="58">
        <f>SUM(AX177:BA177)</f>
        <v>0</v>
      </c>
      <c r="BC177" s="57">
        <f>IF(ISNA(SUMIFS(INDEX(Inputs!$B$2:$AZ$190,,MATCH(SUBSTITUTE(BC$3,"Q","T"),Inputs!$B$2:$AZ$2,0)),Inputs!$B$2:$B$190,$B177)*Inputs!$D$1),"",SUMIFS(INDEX(Inputs!$B$2:$AZ$190,,MATCH(SUBSTITUTE(BC$3,"Q","T"),Inputs!$B$2:$AZ$2,0)),Inputs!$B$2:$B$190,$B177)*Inputs!$D$1)</f>
        <v>0</v>
      </c>
      <c r="BD177" s="57">
        <f>IF(ISNA(SUMIFS(INDEX(Inputs!$B$2:$AZ$190,,MATCH(SUBSTITUTE(BD$3,"Q","T"),Inputs!$B$2:$AZ$2,0)),Inputs!$B$2:$B$190,$B177)*Inputs!$D$1),"",SUMIFS(INDEX(Inputs!$B$2:$AZ$190,,MATCH(SUBSTITUTE(BD$3,"Q","T"),Inputs!$B$2:$AZ$2,0)),Inputs!$B$2:$B$190,$B177)*Inputs!$D$1)</f>
        <v>0</v>
      </c>
      <c r="BE177" s="57">
        <f>IF(ISNA(SUMIFS(INDEX(Inputs!$B$2:$AZ$190,,MATCH(SUBSTITUTE(BE$3,"Q","T"),Inputs!$B$2:$AZ$2,0)),Inputs!$B$2:$B$190,$B177)*Inputs!$D$1),"",SUMIFS(INDEX(Inputs!$B$2:$AZ$190,,MATCH(SUBSTITUTE(BE$3,"Q","T"),Inputs!$B$2:$AZ$2,0)),Inputs!$B$2:$B$190,$B177)*Inputs!$D$1)</f>
        <v>0</v>
      </c>
      <c r="BF177" s="57">
        <f>IF(ISNA(SUMIFS(INDEX(Inputs!$B$2:$AZ$190,,MATCH(SUBSTITUTE(BF$3,"Q","T"),Inputs!$B$2:$AZ$2,0)),Inputs!$B$2:$B$190,$B177)*Inputs!$D$1),"",SUMIFS(INDEX(Inputs!$B$2:$AZ$190,,MATCH(SUBSTITUTE(BF$3,"Q","T"),Inputs!$B$2:$AZ$2,0)),Inputs!$B$2:$B$190,$B177)*Inputs!$D$1)</f>
        <v>0</v>
      </c>
      <c r="BG177" s="58">
        <f>SUM(BC177:BF177)</f>
        <v>0</v>
      </c>
    </row>
    <row r="178" hidden="1" outlineLevel="1">
      <c r="B178" s="56" t="inlineStr">
        <is>
          <t>fee_lend_dep</t>
        </is>
      </c>
      <c r="C178" s="11" t="inlineStr">
        <is>
          <t>Tarifas de empréstimos e depósitos</t>
        </is>
      </c>
      <c r="D178" s="12" t="inlineStr">
        <is>
          <t>Lending- and deposit-related fees</t>
        </is>
      </c>
      <c r="E178" s="57">
        <f>IF(ISNA(SUMIFS(INDEX(Inputs!$B$2:$AZ$190,,MATCH(SUBSTITUTE(E$3,"Q","T"),Inputs!$B$2:$AZ$2,0)),Inputs!$B$2:$B$190,$B178)*Inputs!$D$1),"",SUMIFS(INDEX(Inputs!$B$2:$AZ$190,,MATCH(SUBSTITUTE(E$3,"Q","T"),Inputs!$B$2:$AZ$2,0)),Inputs!$B$2:$B$190,$B178)*Inputs!$D$1)</f>
        <v>0</v>
      </c>
      <c r="F178" s="57">
        <f>IF(ISNA(SUMIFS(INDEX(Inputs!$B$2:$AZ$190,,MATCH(SUBSTITUTE(F$3,"Q","T"),Inputs!$B$2:$AZ$2,0)),Inputs!$B$2:$B$190,$B178)*Inputs!$D$1),"",SUMIFS(INDEX(Inputs!$B$2:$AZ$190,,MATCH(SUBSTITUTE(F$3,"Q","T"),Inputs!$B$2:$AZ$2,0)),Inputs!$B$2:$B$190,$B178)*Inputs!$D$1)</f>
        <v>0</v>
      </c>
      <c r="G178" s="57">
        <f>IF(ISNA(SUMIFS(INDEX(Inputs!$B$2:$AZ$190,,MATCH(SUBSTITUTE(G$3,"Q","T"),Inputs!$B$2:$AZ$2,0)),Inputs!$B$2:$B$190,$B178)*Inputs!$D$1),"",SUMIFS(INDEX(Inputs!$B$2:$AZ$190,,MATCH(SUBSTITUTE(G$3,"Q","T"),Inputs!$B$2:$AZ$2,0)),Inputs!$B$2:$B$190,$B178)*Inputs!$D$1)</f>
        <v>0</v>
      </c>
      <c r="H178" s="57">
        <f>IF(ISNA(SUMIFS(INDEX(Inputs!$B$2:$AZ$190,,MATCH(SUBSTITUTE(H$3,"Q","T"),Inputs!$B$2:$AZ$2,0)),Inputs!$B$2:$B$190,$B178)*Inputs!$D$1),"",SUMIFS(INDEX(Inputs!$B$2:$AZ$190,,MATCH(SUBSTITUTE(H$3,"Q","T"),Inputs!$B$2:$AZ$2,0)),Inputs!$B$2:$B$190,$B178)*Inputs!$D$1)</f>
        <v>0</v>
      </c>
      <c r="I178" s="58">
        <f>SUM(E178:H178)</f>
        <v>0</v>
      </c>
      <c r="J178" s="57">
        <f>IF(ISNA(SUMIFS(INDEX(Inputs!$B$2:$AZ$190,,MATCH(SUBSTITUTE(J$3,"Q","T"),Inputs!$B$2:$AZ$2,0)),Inputs!$B$2:$B$190,$B178)*Inputs!$D$1),"",SUMIFS(INDEX(Inputs!$B$2:$AZ$190,,MATCH(SUBSTITUTE(J$3,"Q","T"),Inputs!$B$2:$AZ$2,0)),Inputs!$B$2:$B$190,$B178)*Inputs!$D$1)</f>
        <v>0</v>
      </c>
      <c r="K178" s="57">
        <f>IF(ISNA(SUMIFS(INDEX(Inputs!$B$2:$AZ$190,,MATCH(SUBSTITUTE(K$3,"Q","T"),Inputs!$B$2:$AZ$2,0)),Inputs!$B$2:$B$190,$B178)*Inputs!$D$1),"",SUMIFS(INDEX(Inputs!$B$2:$AZ$190,,MATCH(SUBSTITUTE(K$3,"Q","T"),Inputs!$B$2:$AZ$2,0)),Inputs!$B$2:$B$190,$B178)*Inputs!$D$1)</f>
        <v>0</v>
      </c>
      <c r="L178" s="57">
        <f>IF(ISNA(SUMIFS(INDEX(Inputs!$B$2:$AZ$190,,MATCH(SUBSTITUTE(L$3,"Q","T"),Inputs!$B$2:$AZ$2,0)),Inputs!$B$2:$B$190,$B178)*Inputs!$D$1),"",SUMIFS(INDEX(Inputs!$B$2:$AZ$190,,MATCH(SUBSTITUTE(L$3,"Q","T"),Inputs!$B$2:$AZ$2,0)),Inputs!$B$2:$B$190,$B178)*Inputs!$D$1)</f>
        <v>0</v>
      </c>
      <c r="M178" s="57">
        <f>IF(ISNA(SUMIFS(INDEX(Inputs!$B$2:$AZ$190,,MATCH(SUBSTITUTE(M$3,"Q","T"),Inputs!$B$2:$AZ$2,0)),Inputs!$B$2:$B$190,$B178)*Inputs!$D$1),"",SUMIFS(INDEX(Inputs!$B$2:$AZ$190,,MATCH(SUBSTITUTE(M$3,"Q","T"),Inputs!$B$2:$AZ$2,0)),Inputs!$B$2:$B$190,$B178)*Inputs!$D$1)</f>
        <v>0</v>
      </c>
      <c r="N178" s="58">
        <f>SUM(J178:M178)</f>
        <v>0</v>
      </c>
      <c r="O178" s="57">
        <f>IF(ISNA(SUMIFS(INDEX(Inputs!$B$2:$AZ$190,,MATCH(SUBSTITUTE(O$3,"Q","T"),Inputs!$B$2:$AZ$2,0)),Inputs!$B$2:$B$190,$B178)*Inputs!$D$1),"",SUMIFS(INDEX(Inputs!$B$2:$AZ$190,,MATCH(SUBSTITUTE(O$3,"Q","T"),Inputs!$B$2:$AZ$2,0)),Inputs!$B$2:$B$190,$B178)*Inputs!$D$1)</f>
        <v>0</v>
      </c>
      <c r="P178" s="57">
        <f>IF(ISNA(SUMIFS(INDEX(Inputs!$B$2:$AZ$190,,MATCH(SUBSTITUTE(P$3,"Q","T"),Inputs!$B$2:$AZ$2,0)),Inputs!$B$2:$B$190,$B178)*Inputs!$D$1),"",SUMIFS(INDEX(Inputs!$B$2:$AZ$190,,MATCH(SUBSTITUTE(P$3,"Q","T"),Inputs!$B$2:$AZ$2,0)),Inputs!$B$2:$B$190,$B178)*Inputs!$D$1)</f>
        <v>0</v>
      </c>
      <c r="Q178" s="57">
        <f>IF(ISNA(SUMIFS(INDEX(Inputs!$B$2:$AZ$190,,MATCH(SUBSTITUTE(Q$3,"Q","T"),Inputs!$B$2:$AZ$2,0)),Inputs!$B$2:$B$190,$B178)*Inputs!$D$1),"",SUMIFS(INDEX(Inputs!$B$2:$AZ$190,,MATCH(SUBSTITUTE(Q$3,"Q","T"),Inputs!$B$2:$AZ$2,0)),Inputs!$B$2:$B$190,$B178)*Inputs!$D$1)</f>
        <v>0</v>
      </c>
      <c r="R178" s="57">
        <f>IF(ISNA(SUMIFS(INDEX(Inputs!$B$2:$AZ$190,,MATCH(SUBSTITUTE(R$3,"Q","T"),Inputs!$B$2:$AZ$2,0)),Inputs!$B$2:$B$190,$B178)*Inputs!$D$1),"",SUMIFS(INDEX(Inputs!$B$2:$AZ$190,,MATCH(SUBSTITUTE(R$3,"Q","T"),Inputs!$B$2:$AZ$2,0)),Inputs!$B$2:$B$190,$B178)*Inputs!$D$1)</f>
        <v>0</v>
      </c>
      <c r="S178" s="58">
        <f>SUM(O178:R178)</f>
        <v>0</v>
      </c>
      <c r="T178" s="57">
        <f>IF(ISNA(SUMIFS(INDEX(Inputs!$B$2:$AZ$190,,MATCH(SUBSTITUTE(T$3,"Q","T"),Inputs!$B$2:$AZ$2,0)),Inputs!$B$2:$B$190,$B178)*Inputs!$D$1),"",SUMIFS(INDEX(Inputs!$B$2:$AZ$190,,MATCH(SUBSTITUTE(T$3,"Q","T"),Inputs!$B$2:$AZ$2,0)),Inputs!$B$2:$B$190,$B178)*Inputs!$D$1)</f>
        <v>0</v>
      </c>
      <c r="U178" s="57">
        <f>IF(ISNA(SUMIFS(INDEX(Inputs!$B$2:$AZ$190,,MATCH(SUBSTITUTE(U$3,"Q","T"),Inputs!$B$2:$AZ$2,0)),Inputs!$B$2:$B$190,$B178)*Inputs!$D$1),"",SUMIFS(INDEX(Inputs!$B$2:$AZ$190,,MATCH(SUBSTITUTE(U$3,"Q","T"),Inputs!$B$2:$AZ$2,0)),Inputs!$B$2:$B$190,$B178)*Inputs!$D$1)</f>
        <v>0</v>
      </c>
      <c r="V178" s="57">
        <f>IF(ISNA(SUMIFS(INDEX(Inputs!$B$2:$AZ$190,,MATCH(SUBSTITUTE(V$3,"Q","T"),Inputs!$B$2:$AZ$2,0)),Inputs!$B$2:$B$190,$B178)*Inputs!$D$1),"",SUMIFS(INDEX(Inputs!$B$2:$AZ$190,,MATCH(SUBSTITUTE(V$3,"Q","T"),Inputs!$B$2:$AZ$2,0)),Inputs!$B$2:$B$190,$B178)*Inputs!$D$1)</f>
        <v>0</v>
      </c>
      <c r="W178" s="57">
        <f>IF(ISNA(SUMIFS(INDEX(Inputs!$B$2:$AZ$190,,MATCH(SUBSTITUTE(W$3,"Q","T"),Inputs!$B$2:$AZ$2,0)),Inputs!$B$2:$B$190,$B178)*Inputs!$D$1),"",SUMIFS(INDEX(Inputs!$B$2:$AZ$190,,MATCH(SUBSTITUTE(W$3,"Q","T"),Inputs!$B$2:$AZ$2,0)),Inputs!$B$2:$B$190,$B178)*Inputs!$D$1)</f>
        <v>0</v>
      </c>
      <c r="X178" s="58">
        <f>SUM(T178:W178)</f>
        <v>0</v>
      </c>
      <c r="Y178" s="57">
        <f>IF(ISNA(SUMIFS(INDEX(Inputs!$B$2:$AZ$190,,MATCH(SUBSTITUTE(Y$3,"Q","T"),Inputs!$B$2:$AZ$2,0)),Inputs!$B$2:$B$190,$B178)*Inputs!$D$1),"",SUMIFS(INDEX(Inputs!$B$2:$AZ$190,,MATCH(SUBSTITUTE(Y$3,"Q","T"),Inputs!$B$2:$AZ$2,0)),Inputs!$B$2:$B$190,$B178)*Inputs!$D$1)</f>
        <v>0</v>
      </c>
      <c r="Z178" s="57">
        <f>IF(ISNA(SUMIFS(INDEX(Inputs!$B$2:$AZ$190,,MATCH(SUBSTITUTE(Z$3,"Q","T"),Inputs!$B$2:$AZ$2,0)),Inputs!$B$2:$B$190,$B178)*Inputs!$D$1),"",SUMIFS(INDEX(Inputs!$B$2:$AZ$190,,MATCH(SUBSTITUTE(Z$3,"Q","T"),Inputs!$B$2:$AZ$2,0)),Inputs!$B$2:$B$190,$B178)*Inputs!$D$1)</f>
        <v>0</v>
      </c>
      <c r="AA178" s="57">
        <f>IF(ISNA(SUMIFS(INDEX(Inputs!$B$2:$AZ$190,,MATCH(SUBSTITUTE(AA$3,"Q","T"),Inputs!$B$2:$AZ$2,0)),Inputs!$B$2:$B$190,$B178)*Inputs!$D$1),"",SUMIFS(INDEX(Inputs!$B$2:$AZ$190,,MATCH(SUBSTITUTE(AA$3,"Q","T"),Inputs!$B$2:$AZ$2,0)),Inputs!$B$2:$B$190,$B178)*Inputs!$D$1)</f>
        <v>0</v>
      </c>
      <c r="AB178" s="57">
        <f>IF(ISNA(SUMIFS(INDEX(Inputs!$B$2:$AZ$190,,MATCH(SUBSTITUTE(AB$3,"Q","T"),Inputs!$B$2:$AZ$2,0)),Inputs!$B$2:$B$190,$B178)*Inputs!$D$1),"",SUMIFS(INDEX(Inputs!$B$2:$AZ$190,,MATCH(SUBSTITUTE(AB$3,"Q","T"),Inputs!$B$2:$AZ$2,0)),Inputs!$B$2:$B$190,$B178)*Inputs!$D$1)</f>
        <v>0</v>
      </c>
      <c r="AC178" s="58">
        <f>SUM(Y178:AB178)</f>
        <v>0</v>
      </c>
      <c r="AD178" s="57">
        <f>IF(ISNA(SUMIFS(INDEX(Inputs!$B$2:$AZ$190,,MATCH(SUBSTITUTE(AD$3,"Q","T"),Inputs!$B$2:$AZ$2,0)),Inputs!$B$2:$B$190,$B178)*Inputs!$D$1),"",SUMIFS(INDEX(Inputs!$B$2:$AZ$190,,MATCH(SUBSTITUTE(AD$3,"Q","T"),Inputs!$B$2:$AZ$2,0)),Inputs!$B$2:$B$190,$B178)*Inputs!$D$1)</f>
        <v>0</v>
      </c>
      <c r="AE178" s="57">
        <f>IF(ISNA(SUMIFS(INDEX(Inputs!$B$2:$AZ$190,,MATCH(SUBSTITUTE(AE$3,"Q","T"),Inputs!$B$2:$AZ$2,0)),Inputs!$B$2:$B$190,$B178)*Inputs!$D$1),"",SUMIFS(INDEX(Inputs!$B$2:$AZ$190,,MATCH(SUBSTITUTE(AE$3,"Q","T"),Inputs!$B$2:$AZ$2,0)),Inputs!$B$2:$B$190,$B178)*Inputs!$D$1)</f>
        <v>0</v>
      </c>
      <c r="AF178" s="57">
        <f>IF(ISNA(SUMIFS(INDEX(Inputs!$B$2:$AZ$190,,MATCH(SUBSTITUTE(AF$3,"Q","T"),Inputs!$B$2:$AZ$2,0)),Inputs!$B$2:$B$190,$B178)*Inputs!$D$1),"",SUMIFS(INDEX(Inputs!$B$2:$AZ$190,,MATCH(SUBSTITUTE(AF$3,"Q","T"),Inputs!$B$2:$AZ$2,0)),Inputs!$B$2:$B$190,$B178)*Inputs!$D$1)</f>
        <v>0</v>
      </c>
      <c r="AG178" s="57">
        <f>IF(ISNA(SUMIFS(INDEX(Inputs!$B$2:$AZ$190,,MATCH(SUBSTITUTE(AG$3,"Q","T"),Inputs!$B$2:$AZ$2,0)),Inputs!$B$2:$B$190,$B178)*Inputs!$D$1),"",SUMIFS(INDEX(Inputs!$B$2:$AZ$190,,MATCH(SUBSTITUTE(AG$3,"Q","T"),Inputs!$B$2:$AZ$2,0)),Inputs!$B$2:$B$190,$B178)*Inputs!$D$1)</f>
        <v>0</v>
      </c>
      <c r="AH178" s="58">
        <f>SUM(AD178:AG178)</f>
        <v>0</v>
      </c>
      <c r="AI178" s="57">
        <f>IF(ISNA(SUMIFS(INDEX(Inputs!$B$2:$AZ$190,,MATCH(SUBSTITUTE(AI$3,"Q","T"),Inputs!$B$2:$AZ$2,0)),Inputs!$B$2:$B$190,$B178)*Inputs!$D$1),"",SUMIFS(INDEX(Inputs!$B$2:$AZ$190,,MATCH(SUBSTITUTE(AI$3,"Q","T"),Inputs!$B$2:$AZ$2,0)),Inputs!$B$2:$B$190,$B178)*Inputs!$D$1)</f>
        <v>0</v>
      </c>
      <c r="AJ178" s="57">
        <f>IF(ISNA(SUMIFS(INDEX(Inputs!$B$2:$AZ$190,,MATCH(SUBSTITUTE(AJ$3,"Q","T"),Inputs!$B$2:$AZ$2,0)),Inputs!$B$2:$B$190,$B178)*Inputs!$D$1),"",SUMIFS(INDEX(Inputs!$B$2:$AZ$190,,MATCH(SUBSTITUTE(AJ$3,"Q","T"),Inputs!$B$2:$AZ$2,0)),Inputs!$B$2:$B$190,$B178)*Inputs!$D$1)</f>
        <v>0</v>
      </c>
      <c r="AK178" s="57">
        <f>IF(ISNA(SUMIFS(INDEX(Inputs!$B$2:$AZ$190,,MATCH(SUBSTITUTE(AK$3,"Q","T"),Inputs!$B$2:$AZ$2,0)),Inputs!$B$2:$B$190,$B178)*Inputs!$D$1),"",SUMIFS(INDEX(Inputs!$B$2:$AZ$190,,MATCH(SUBSTITUTE(AK$3,"Q","T"),Inputs!$B$2:$AZ$2,0)),Inputs!$B$2:$B$190,$B178)*Inputs!$D$1)</f>
        <v>0</v>
      </c>
      <c r="AL178" s="57">
        <f>IF(ISNA(SUMIFS(INDEX(Inputs!$B$2:$AZ$190,,MATCH(SUBSTITUTE(AL$3,"Q","T"),Inputs!$B$2:$AZ$2,0)),Inputs!$B$2:$B$190,$B178)*Inputs!$D$1),"",SUMIFS(INDEX(Inputs!$B$2:$AZ$190,,MATCH(SUBSTITUTE(AL$3,"Q","T"),Inputs!$B$2:$AZ$2,0)),Inputs!$B$2:$B$190,$B178)*Inputs!$D$1)</f>
        <v>0</v>
      </c>
      <c r="AM178" s="58">
        <f>SUM(AI178:AL178)</f>
        <v>0</v>
      </c>
      <c r="AN178" s="57">
        <f>IF(ISNA(SUMIFS(INDEX(Inputs!$B$2:$AZ$190,,MATCH(SUBSTITUTE(AN$3,"Q","T"),Inputs!$B$2:$AZ$2,0)),Inputs!$B$2:$B$190,$B178)*Inputs!$D$1),"",SUMIFS(INDEX(Inputs!$B$2:$AZ$190,,MATCH(SUBSTITUTE(AN$3,"Q","T"),Inputs!$B$2:$AZ$2,0)),Inputs!$B$2:$B$190,$B178)*Inputs!$D$1)</f>
        <v>0</v>
      </c>
      <c r="AO178" s="57">
        <f>IF(ISNA(SUMIFS(INDEX(Inputs!$B$2:$AZ$190,,MATCH(SUBSTITUTE(AO$3,"Q","T"),Inputs!$B$2:$AZ$2,0)),Inputs!$B$2:$B$190,$B178)*Inputs!$D$1),"",SUMIFS(INDEX(Inputs!$B$2:$AZ$190,,MATCH(SUBSTITUTE(AO$3,"Q","T"),Inputs!$B$2:$AZ$2,0)),Inputs!$B$2:$B$190,$B178)*Inputs!$D$1)</f>
        <v>0</v>
      </c>
      <c r="AP178" s="57">
        <f>IF(ISNA(SUMIFS(INDEX(Inputs!$B$2:$AZ$190,,MATCH(SUBSTITUTE(AP$3,"Q","T"),Inputs!$B$2:$AZ$2,0)),Inputs!$B$2:$B$190,$B178)*Inputs!$D$1),"",SUMIFS(INDEX(Inputs!$B$2:$AZ$190,,MATCH(SUBSTITUTE(AP$3,"Q","T"),Inputs!$B$2:$AZ$2,0)),Inputs!$B$2:$B$190,$B178)*Inputs!$D$1)</f>
        <v>0</v>
      </c>
      <c r="AQ178" s="57">
        <f>IF(ISNA(SUMIFS(INDEX(Inputs!$B$2:$AZ$190,,MATCH(SUBSTITUTE(AQ$3,"Q","T"),Inputs!$B$2:$AZ$2,0)),Inputs!$B$2:$B$190,$B178)*Inputs!$D$1),"",SUMIFS(INDEX(Inputs!$B$2:$AZ$190,,MATCH(SUBSTITUTE(AQ$3,"Q","T"),Inputs!$B$2:$AZ$2,0)),Inputs!$B$2:$B$190,$B178)*Inputs!$D$1)</f>
        <v>0</v>
      </c>
      <c r="AR178" s="58">
        <f>SUM(AN178:AQ178)</f>
        <v>0</v>
      </c>
      <c r="AS178" s="57">
        <f>IF(ISNA(SUMIFS(INDEX(Inputs!$B$2:$AZ$190,,MATCH(SUBSTITUTE(AS$3,"Q","T"),Inputs!$B$2:$AZ$2,0)),Inputs!$B$2:$B$190,$B178)*Inputs!$D$1),"",SUMIFS(INDEX(Inputs!$B$2:$AZ$190,,MATCH(SUBSTITUTE(AS$3,"Q","T"),Inputs!$B$2:$AZ$2,0)),Inputs!$B$2:$B$190,$B178)*Inputs!$D$1)</f>
        <v>0</v>
      </c>
      <c r="AT178" s="57">
        <f>IF(ISNA(SUMIFS(INDEX(Inputs!$B$2:$AZ$190,,MATCH(SUBSTITUTE(AT$3,"Q","T"),Inputs!$B$2:$AZ$2,0)),Inputs!$B$2:$B$190,$B178)*Inputs!$D$1),"",SUMIFS(INDEX(Inputs!$B$2:$AZ$190,,MATCH(SUBSTITUTE(AT$3,"Q","T"),Inputs!$B$2:$AZ$2,0)),Inputs!$B$2:$B$190,$B178)*Inputs!$D$1)</f>
        <v>0</v>
      </c>
      <c r="AU178" s="57">
        <f>IF(ISNA(SUMIFS(INDEX(Inputs!$B$2:$AZ$190,,MATCH(SUBSTITUTE(AU$3,"Q","T"),Inputs!$B$2:$AZ$2,0)),Inputs!$B$2:$B$190,$B178)*Inputs!$D$1),"",SUMIFS(INDEX(Inputs!$B$2:$AZ$190,,MATCH(SUBSTITUTE(AU$3,"Q","T"),Inputs!$B$2:$AZ$2,0)),Inputs!$B$2:$B$190,$B178)*Inputs!$D$1)</f>
        <v>0</v>
      </c>
      <c r="AV178" s="57">
        <f>IF(ISNA(SUMIFS(INDEX(Inputs!$B$2:$AZ$190,,MATCH(SUBSTITUTE(AV$3,"Q","T"),Inputs!$B$2:$AZ$2,0)),Inputs!$B$2:$B$190,$B178)*Inputs!$D$1),"",SUMIFS(INDEX(Inputs!$B$2:$AZ$190,,MATCH(SUBSTITUTE(AV$3,"Q","T"),Inputs!$B$2:$AZ$2,0)),Inputs!$B$2:$B$190,$B178)*Inputs!$D$1)</f>
        <v>0</v>
      </c>
      <c r="AW178" s="58">
        <f>SUM(AS178:AV178)</f>
        <v>0</v>
      </c>
      <c r="AX178" s="57">
        <f>IF(ISNA(SUMIFS(INDEX(Inputs!$B$2:$AZ$190,,MATCH(SUBSTITUTE(AX$3,"Q","T"),Inputs!$B$2:$AZ$2,0)),Inputs!$B$2:$B$190,$B178)*Inputs!$D$1),"",SUMIFS(INDEX(Inputs!$B$2:$AZ$190,,MATCH(SUBSTITUTE(AX$3,"Q","T"),Inputs!$B$2:$AZ$2,0)),Inputs!$B$2:$B$190,$B178)*Inputs!$D$1)</f>
        <v>0</v>
      </c>
      <c r="AY178" s="57">
        <f>IF(ISNA(SUMIFS(INDEX(Inputs!$B$2:$AZ$190,,MATCH(SUBSTITUTE(AY$3,"Q","T"),Inputs!$B$2:$AZ$2,0)),Inputs!$B$2:$B$190,$B178)*Inputs!$D$1),"",SUMIFS(INDEX(Inputs!$B$2:$AZ$190,,MATCH(SUBSTITUTE(AY$3,"Q","T"),Inputs!$B$2:$AZ$2,0)),Inputs!$B$2:$B$190,$B178)*Inputs!$D$1)</f>
        <v>0</v>
      </c>
      <c r="AZ178" s="57">
        <f>IF(ISNA(SUMIFS(INDEX(Inputs!$B$2:$AZ$190,,MATCH(SUBSTITUTE(AZ$3,"Q","T"),Inputs!$B$2:$AZ$2,0)),Inputs!$B$2:$B$190,$B178)*Inputs!$D$1),"",SUMIFS(INDEX(Inputs!$B$2:$AZ$190,,MATCH(SUBSTITUTE(AZ$3,"Q","T"),Inputs!$B$2:$AZ$2,0)),Inputs!$B$2:$B$190,$B178)*Inputs!$D$1)</f>
        <v>0</v>
      </c>
      <c r="BA178" s="57">
        <f>IF(ISNA(SUMIFS(INDEX(Inputs!$B$2:$AZ$190,,MATCH(SUBSTITUTE(BA$3,"Q","T"),Inputs!$B$2:$AZ$2,0)),Inputs!$B$2:$B$190,$B178)*Inputs!$D$1),"",SUMIFS(INDEX(Inputs!$B$2:$AZ$190,,MATCH(SUBSTITUTE(BA$3,"Q","T"),Inputs!$B$2:$AZ$2,0)),Inputs!$B$2:$B$190,$B178)*Inputs!$D$1)</f>
        <v>0</v>
      </c>
      <c r="BB178" s="58">
        <f>SUM(AX178:BA178)</f>
        <v>0</v>
      </c>
      <c r="BC178" s="57">
        <f>IF(ISNA(SUMIFS(INDEX(Inputs!$B$2:$AZ$190,,MATCH(SUBSTITUTE(BC$3,"Q","T"),Inputs!$B$2:$AZ$2,0)),Inputs!$B$2:$B$190,$B178)*Inputs!$D$1),"",SUMIFS(INDEX(Inputs!$B$2:$AZ$190,,MATCH(SUBSTITUTE(BC$3,"Q","T"),Inputs!$B$2:$AZ$2,0)),Inputs!$B$2:$B$190,$B178)*Inputs!$D$1)</f>
        <v>0</v>
      </c>
      <c r="BD178" s="57">
        <f>IF(ISNA(SUMIFS(INDEX(Inputs!$B$2:$AZ$190,,MATCH(SUBSTITUTE(BD$3,"Q","T"),Inputs!$B$2:$AZ$2,0)),Inputs!$B$2:$B$190,$B178)*Inputs!$D$1),"",SUMIFS(INDEX(Inputs!$B$2:$AZ$190,,MATCH(SUBSTITUTE(BD$3,"Q","T"),Inputs!$B$2:$AZ$2,0)),Inputs!$B$2:$B$190,$B178)*Inputs!$D$1)</f>
        <v>0</v>
      </c>
      <c r="BE178" s="57">
        <f>IF(ISNA(SUMIFS(INDEX(Inputs!$B$2:$AZ$190,,MATCH(SUBSTITUTE(BE$3,"Q","T"),Inputs!$B$2:$AZ$2,0)),Inputs!$B$2:$B$190,$B178)*Inputs!$D$1),"",SUMIFS(INDEX(Inputs!$B$2:$AZ$190,,MATCH(SUBSTITUTE(BE$3,"Q","T"),Inputs!$B$2:$AZ$2,0)),Inputs!$B$2:$B$190,$B178)*Inputs!$D$1)</f>
        <v>0</v>
      </c>
      <c r="BF178" s="57">
        <f>IF(ISNA(SUMIFS(INDEX(Inputs!$B$2:$AZ$190,,MATCH(SUBSTITUTE(BF$3,"Q","T"),Inputs!$B$2:$AZ$2,0)),Inputs!$B$2:$B$190,$B178)*Inputs!$D$1),"",SUMIFS(INDEX(Inputs!$B$2:$AZ$190,,MATCH(SUBSTITUTE(BF$3,"Q","T"),Inputs!$B$2:$AZ$2,0)),Inputs!$B$2:$B$190,$B178)*Inputs!$D$1)</f>
        <v>0</v>
      </c>
      <c r="BG178" s="58">
        <f>SUM(BC178:BF178)</f>
        <v>0</v>
      </c>
    </row>
    <row r="179" hidden="1" outlineLevel="1">
      <c r="B179" s="56" t="inlineStr">
        <is>
          <t>fee_am</t>
        </is>
      </c>
      <c r="C179" s="11" t="inlineStr">
        <is>
          <t>Gestão de ativos (asset management fees)</t>
        </is>
      </c>
      <c r="D179" s="12" t="inlineStr">
        <is>
          <t>Asset management fees</t>
        </is>
      </c>
      <c r="E179" s="57">
        <f>IF(ISNA(SUMIFS(INDEX(Inputs!$B$2:$AZ$190,,MATCH(SUBSTITUTE(E$3,"Q","T"),Inputs!$B$2:$AZ$2,0)),Inputs!$B$2:$B$190,$B179)*Inputs!$D$1),"",SUMIFS(INDEX(Inputs!$B$2:$AZ$190,,MATCH(SUBSTITUTE(E$3,"Q","T"),Inputs!$B$2:$AZ$2,0)),Inputs!$B$2:$B$190,$B179)*Inputs!$D$1)</f>
        <v>0</v>
      </c>
      <c r="F179" s="57">
        <f>IF(ISNA(SUMIFS(INDEX(Inputs!$B$2:$AZ$190,,MATCH(SUBSTITUTE(F$3,"Q","T"),Inputs!$B$2:$AZ$2,0)),Inputs!$B$2:$B$190,$B179)*Inputs!$D$1),"",SUMIFS(INDEX(Inputs!$B$2:$AZ$190,,MATCH(SUBSTITUTE(F$3,"Q","T"),Inputs!$B$2:$AZ$2,0)),Inputs!$B$2:$B$190,$B179)*Inputs!$D$1)</f>
        <v>0</v>
      </c>
      <c r="G179" s="57">
        <f>IF(ISNA(SUMIFS(INDEX(Inputs!$B$2:$AZ$190,,MATCH(SUBSTITUTE(G$3,"Q","T"),Inputs!$B$2:$AZ$2,0)),Inputs!$B$2:$B$190,$B179)*Inputs!$D$1),"",SUMIFS(INDEX(Inputs!$B$2:$AZ$190,,MATCH(SUBSTITUTE(G$3,"Q","T"),Inputs!$B$2:$AZ$2,0)),Inputs!$B$2:$B$190,$B179)*Inputs!$D$1)</f>
        <v>0</v>
      </c>
      <c r="H179" s="57">
        <f>IF(ISNA(SUMIFS(INDEX(Inputs!$B$2:$AZ$190,,MATCH(SUBSTITUTE(H$3,"Q","T"),Inputs!$B$2:$AZ$2,0)),Inputs!$B$2:$B$190,$B179)*Inputs!$D$1),"",SUMIFS(INDEX(Inputs!$B$2:$AZ$190,,MATCH(SUBSTITUTE(H$3,"Q","T"),Inputs!$B$2:$AZ$2,0)),Inputs!$B$2:$B$190,$B179)*Inputs!$D$1)</f>
        <v>0</v>
      </c>
      <c r="I179" s="58">
        <f>SUM(E179:H179)</f>
        <v>0</v>
      </c>
      <c r="J179" s="57">
        <f>IF(ISNA(SUMIFS(INDEX(Inputs!$B$2:$AZ$190,,MATCH(SUBSTITUTE(J$3,"Q","T"),Inputs!$B$2:$AZ$2,0)),Inputs!$B$2:$B$190,$B179)*Inputs!$D$1),"",SUMIFS(INDEX(Inputs!$B$2:$AZ$190,,MATCH(SUBSTITUTE(J$3,"Q","T"),Inputs!$B$2:$AZ$2,0)),Inputs!$B$2:$B$190,$B179)*Inputs!$D$1)</f>
        <v>0</v>
      </c>
      <c r="K179" s="57">
        <f>IF(ISNA(SUMIFS(INDEX(Inputs!$B$2:$AZ$190,,MATCH(SUBSTITUTE(K$3,"Q","T"),Inputs!$B$2:$AZ$2,0)),Inputs!$B$2:$B$190,$B179)*Inputs!$D$1),"",SUMIFS(INDEX(Inputs!$B$2:$AZ$190,,MATCH(SUBSTITUTE(K$3,"Q","T"),Inputs!$B$2:$AZ$2,0)),Inputs!$B$2:$B$190,$B179)*Inputs!$D$1)</f>
        <v>0</v>
      </c>
      <c r="L179" s="57">
        <f>IF(ISNA(SUMIFS(INDEX(Inputs!$B$2:$AZ$190,,MATCH(SUBSTITUTE(L$3,"Q","T"),Inputs!$B$2:$AZ$2,0)),Inputs!$B$2:$B$190,$B179)*Inputs!$D$1),"",SUMIFS(INDEX(Inputs!$B$2:$AZ$190,,MATCH(SUBSTITUTE(L$3,"Q","T"),Inputs!$B$2:$AZ$2,0)),Inputs!$B$2:$B$190,$B179)*Inputs!$D$1)</f>
        <v>0</v>
      </c>
      <c r="M179" s="57">
        <f>IF(ISNA(SUMIFS(INDEX(Inputs!$B$2:$AZ$190,,MATCH(SUBSTITUTE(M$3,"Q","T"),Inputs!$B$2:$AZ$2,0)),Inputs!$B$2:$B$190,$B179)*Inputs!$D$1),"",SUMIFS(INDEX(Inputs!$B$2:$AZ$190,,MATCH(SUBSTITUTE(M$3,"Q","T"),Inputs!$B$2:$AZ$2,0)),Inputs!$B$2:$B$190,$B179)*Inputs!$D$1)</f>
        <v>0</v>
      </c>
      <c r="N179" s="58">
        <f>SUM(J179:M179)</f>
        <v>0</v>
      </c>
      <c r="O179" s="57">
        <f>IF(ISNA(SUMIFS(INDEX(Inputs!$B$2:$AZ$190,,MATCH(SUBSTITUTE(O$3,"Q","T"),Inputs!$B$2:$AZ$2,0)),Inputs!$B$2:$B$190,$B179)*Inputs!$D$1),"",SUMIFS(INDEX(Inputs!$B$2:$AZ$190,,MATCH(SUBSTITUTE(O$3,"Q","T"),Inputs!$B$2:$AZ$2,0)),Inputs!$B$2:$B$190,$B179)*Inputs!$D$1)</f>
        <v>0</v>
      </c>
      <c r="P179" s="57">
        <f>IF(ISNA(SUMIFS(INDEX(Inputs!$B$2:$AZ$190,,MATCH(SUBSTITUTE(P$3,"Q","T"),Inputs!$B$2:$AZ$2,0)),Inputs!$B$2:$B$190,$B179)*Inputs!$D$1),"",SUMIFS(INDEX(Inputs!$B$2:$AZ$190,,MATCH(SUBSTITUTE(P$3,"Q","T"),Inputs!$B$2:$AZ$2,0)),Inputs!$B$2:$B$190,$B179)*Inputs!$D$1)</f>
        <v>0</v>
      </c>
      <c r="Q179" s="57">
        <f>IF(ISNA(SUMIFS(INDEX(Inputs!$B$2:$AZ$190,,MATCH(SUBSTITUTE(Q$3,"Q","T"),Inputs!$B$2:$AZ$2,0)),Inputs!$B$2:$B$190,$B179)*Inputs!$D$1),"",SUMIFS(INDEX(Inputs!$B$2:$AZ$190,,MATCH(SUBSTITUTE(Q$3,"Q","T"),Inputs!$B$2:$AZ$2,0)),Inputs!$B$2:$B$190,$B179)*Inputs!$D$1)</f>
        <v>0</v>
      </c>
      <c r="R179" s="57">
        <f>IF(ISNA(SUMIFS(INDEX(Inputs!$B$2:$AZ$190,,MATCH(SUBSTITUTE(R$3,"Q","T"),Inputs!$B$2:$AZ$2,0)),Inputs!$B$2:$B$190,$B179)*Inputs!$D$1),"",SUMIFS(INDEX(Inputs!$B$2:$AZ$190,,MATCH(SUBSTITUTE(R$3,"Q","T"),Inputs!$B$2:$AZ$2,0)),Inputs!$B$2:$B$190,$B179)*Inputs!$D$1)</f>
        <v>0</v>
      </c>
      <c r="S179" s="58">
        <f>SUM(O179:R179)</f>
        <v>0</v>
      </c>
      <c r="T179" s="57">
        <f>IF(ISNA(SUMIFS(INDEX(Inputs!$B$2:$AZ$190,,MATCH(SUBSTITUTE(T$3,"Q","T"),Inputs!$B$2:$AZ$2,0)),Inputs!$B$2:$B$190,$B179)*Inputs!$D$1),"",SUMIFS(INDEX(Inputs!$B$2:$AZ$190,,MATCH(SUBSTITUTE(T$3,"Q","T"),Inputs!$B$2:$AZ$2,0)),Inputs!$B$2:$B$190,$B179)*Inputs!$D$1)</f>
        <v>0</v>
      </c>
      <c r="U179" s="57">
        <f>IF(ISNA(SUMIFS(INDEX(Inputs!$B$2:$AZ$190,,MATCH(SUBSTITUTE(U$3,"Q","T"),Inputs!$B$2:$AZ$2,0)),Inputs!$B$2:$B$190,$B179)*Inputs!$D$1),"",SUMIFS(INDEX(Inputs!$B$2:$AZ$190,,MATCH(SUBSTITUTE(U$3,"Q","T"),Inputs!$B$2:$AZ$2,0)),Inputs!$B$2:$B$190,$B179)*Inputs!$D$1)</f>
        <v>0</v>
      </c>
      <c r="V179" s="57">
        <f>IF(ISNA(SUMIFS(INDEX(Inputs!$B$2:$AZ$190,,MATCH(SUBSTITUTE(V$3,"Q","T"),Inputs!$B$2:$AZ$2,0)),Inputs!$B$2:$B$190,$B179)*Inputs!$D$1),"",SUMIFS(INDEX(Inputs!$B$2:$AZ$190,,MATCH(SUBSTITUTE(V$3,"Q","T"),Inputs!$B$2:$AZ$2,0)),Inputs!$B$2:$B$190,$B179)*Inputs!$D$1)</f>
        <v>0</v>
      </c>
      <c r="W179" s="57">
        <f>IF(ISNA(SUMIFS(INDEX(Inputs!$B$2:$AZ$190,,MATCH(SUBSTITUTE(W$3,"Q","T"),Inputs!$B$2:$AZ$2,0)),Inputs!$B$2:$B$190,$B179)*Inputs!$D$1),"",SUMIFS(INDEX(Inputs!$B$2:$AZ$190,,MATCH(SUBSTITUTE(W$3,"Q","T"),Inputs!$B$2:$AZ$2,0)),Inputs!$B$2:$B$190,$B179)*Inputs!$D$1)</f>
        <v>0</v>
      </c>
      <c r="X179" s="58">
        <f>SUM(T179:W179)</f>
        <v>0</v>
      </c>
      <c r="Y179" s="57">
        <f>IF(ISNA(SUMIFS(INDEX(Inputs!$B$2:$AZ$190,,MATCH(SUBSTITUTE(Y$3,"Q","T"),Inputs!$B$2:$AZ$2,0)),Inputs!$B$2:$B$190,$B179)*Inputs!$D$1),"",SUMIFS(INDEX(Inputs!$B$2:$AZ$190,,MATCH(SUBSTITUTE(Y$3,"Q","T"),Inputs!$B$2:$AZ$2,0)),Inputs!$B$2:$B$190,$B179)*Inputs!$D$1)</f>
        <v>0</v>
      </c>
      <c r="Z179" s="57">
        <f>IF(ISNA(SUMIFS(INDEX(Inputs!$B$2:$AZ$190,,MATCH(SUBSTITUTE(Z$3,"Q","T"),Inputs!$B$2:$AZ$2,0)),Inputs!$B$2:$B$190,$B179)*Inputs!$D$1),"",SUMIFS(INDEX(Inputs!$B$2:$AZ$190,,MATCH(SUBSTITUTE(Z$3,"Q","T"),Inputs!$B$2:$AZ$2,0)),Inputs!$B$2:$B$190,$B179)*Inputs!$D$1)</f>
        <v>0</v>
      </c>
      <c r="AA179" s="57">
        <f>IF(ISNA(SUMIFS(INDEX(Inputs!$B$2:$AZ$190,,MATCH(SUBSTITUTE(AA$3,"Q","T"),Inputs!$B$2:$AZ$2,0)),Inputs!$B$2:$B$190,$B179)*Inputs!$D$1),"",SUMIFS(INDEX(Inputs!$B$2:$AZ$190,,MATCH(SUBSTITUTE(AA$3,"Q","T"),Inputs!$B$2:$AZ$2,0)),Inputs!$B$2:$B$190,$B179)*Inputs!$D$1)</f>
        <v>0</v>
      </c>
      <c r="AB179" s="57">
        <f>IF(ISNA(SUMIFS(INDEX(Inputs!$B$2:$AZ$190,,MATCH(SUBSTITUTE(AB$3,"Q","T"),Inputs!$B$2:$AZ$2,0)),Inputs!$B$2:$B$190,$B179)*Inputs!$D$1),"",SUMIFS(INDEX(Inputs!$B$2:$AZ$190,,MATCH(SUBSTITUTE(AB$3,"Q","T"),Inputs!$B$2:$AZ$2,0)),Inputs!$B$2:$B$190,$B179)*Inputs!$D$1)</f>
        <v>0</v>
      </c>
      <c r="AC179" s="58">
        <f>SUM(Y179:AB179)</f>
        <v>0</v>
      </c>
      <c r="AD179" s="57">
        <f>IF(ISNA(SUMIFS(INDEX(Inputs!$B$2:$AZ$190,,MATCH(SUBSTITUTE(AD$3,"Q","T"),Inputs!$B$2:$AZ$2,0)),Inputs!$B$2:$B$190,$B179)*Inputs!$D$1),"",SUMIFS(INDEX(Inputs!$B$2:$AZ$190,,MATCH(SUBSTITUTE(AD$3,"Q","T"),Inputs!$B$2:$AZ$2,0)),Inputs!$B$2:$B$190,$B179)*Inputs!$D$1)</f>
        <v>0</v>
      </c>
      <c r="AE179" s="57">
        <f>IF(ISNA(SUMIFS(INDEX(Inputs!$B$2:$AZ$190,,MATCH(SUBSTITUTE(AE$3,"Q","T"),Inputs!$B$2:$AZ$2,0)),Inputs!$B$2:$B$190,$B179)*Inputs!$D$1),"",SUMIFS(INDEX(Inputs!$B$2:$AZ$190,,MATCH(SUBSTITUTE(AE$3,"Q","T"),Inputs!$B$2:$AZ$2,0)),Inputs!$B$2:$B$190,$B179)*Inputs!$D$1)</f>
        <v>0</v>
      </c>
      <c r="AF179" s="57">
        <f>IF(ISNA(SUMIFS(INDEX(Inputs!$B$2:$AZ$190,,MATCH(SUBSTITUTE(AF$3,"Q","T"),Inputs!$B$2:$AZ$2,0)),Inputs!$B$2:$B$190,$B179)*Inputs!$D$1),"",SUMIFS(INDEX(Inputs!$B$2:$AZ$190,,MATCH(SUBSTITUTE(AF$3,"Q","T"),Inputs!$B$2:$AZ$2,0)),Inputs!$B$2:$B$190,$B179)*Inputs!$D$1)</f>
        <v>0</v>
      </c>
      <c r="AG179" s="57">
        <f>IF(ISNA(SUMIFS(INDEX(Inputs!$B$2:$AZ$190,,MATCH(SUBSTITUTE(AG$3,"Q","T"),Inputs!$B$2:$AZ$2,0)),Inputs!$B$2:$B$190,$B179)*Inputs!$D$1),"",SUMIFS(INDEX(Inputs!$B$2:$AZ$190,,MATCH(SUBSTITUTE(AG$3,"Q","T"),Inputs!$B$2:$AZ$2,0)),Inputs!$B$2:$B$190,$B179)*Inputs!$D$1)</f>
        <v>0</v>
      </c>
      <c r="AH179" s="58">
        <f>SUM(AD179:AG179)</f>
        <v>0</v>
      </c>
      <c r="AI179" s="57">
        <f>IF(ISNA(SUMIFS(INDEX(Inputs!$B$2:$AZ$190,,MATCH(SUBSTITUTE(AI$3,"Q","T"),Inputs!$B$2:$AZ$2,0)),Inputs!$B$2:$B$190,$B179)*Inputs!$D$1),"",SUMIFS(INDEX(Inputs!$B$2:$AZ$190,,MATCH(SUBSTITUTE(AI$3,"Q","T"),Inputs!$B$2:$AZ$2,0)),Inputs!$B$2:$B$190,$B179)*Inputs!$D$1)</f>
        <v>0</v>
      </c>
      <c r="AJ179" s="57">
        <f>IF(ISNA(SUMIFS(INDEX(Inputs!$B$2:$AZ$190,,MATCH(SUBSTITUTE(AJ$3,"Q","T"),Inputs!$B$2:$AZ$2,0)),Inputs!$B$2:$B$190,$B179)*Inputs!$D$1),"",SUMIFS(INDEX(Inputs!$B$2:$AZ$190,,MATCH(SUBSTITUTE(AJ$3,"Q","T"),Inputs!$B$2:$AZ$2,0)),Inputs!$B$2:$B$190,$B179)*Inputs!$D$1)</f>
        <v>0</v>
      </c>
      <c r="AK179" s="57">
        <f>IF(ISNA(SUMIFS(INDEX(Inputs!$B$2:$AZ$190,,MATCH(SUBSTITUTE(AK$3,"Q","T"),Inputs!$B$2:$AZ$2,0)),Inputs!$B$2:$B$190,$B179)*Inputs!$D$1),"",SUMIFS(INDEX(Inputs!$B$2:$AZ$190,,MATCH(SUBSTITUTE(AK$3,"Q","T"),Inputs!$B$2:$AZ$2,0)),Inputs!$B$2:$B$190,$B179)*Inputs!$D$1)</f>
        <v>0</v>
      </c>
      <c r="AL179" s="57">
        <f>IF(ISNA(SUMIFS(INDEX(Inputs!$B$2:$AZ$190,,MATCH(SUBSTITUTE(AL$3,"Q","T"),Inputs!$B$2:$AZ$2,0)),Inputs!$B$2:$B$190,$B179)*Inputs!$D$1),"",SUMIFS(INDEX(Inputs!$B$2:$AZ$190,,MATCH(SUBSTITUTE(AL$3,"Q","T"),Inputs!$B$2:$AZ$2,0)),Inputs!$B$2:$B$190,$B179)*Inputs!$D$1)</f>
        <v>0</v>
      </c>
      <c r="AM179" s="58">
        <f>SUM(AI179:AL179)</f>
        <v>0</v>
      </c>
      <c r="AN179" s="57">
        <f>IF(ISNA(SUMIFS(INDEX(Inputs!$B$2:$AZ$190,,MATCH(SUBSTITUTE(AN$3,"Q","T"),Inputs!$B$2:$AZ$2,0)),Inputs!$B$2:$B$190,$B179)*Inputs!$D$1),"",SUMIFS(INDEX(Inputs!$B$2:$AZ$190,,MATCH(SUBSTITUTE(AN$3,"Q","T"),Inputs!$B$2:$AZ$2,0)),Inputs!$B$2:$B$190,$B179)*Inputs!$D$1)</f>
        <v>0</v>
      </c>
      <c r="AO179" s="57">
        <f>IF(ISNA(SUMIFS(INDEX(Inputs!$B$2:$AZ$190,,MATCH(SUBSTITUTE(AO$3,"Q","T"),Inputs!$B$2:$AZ$2,0)),Inputs!$B$2:$B$190,$B179)*Inputs!$D$1),"",SUMIFS(INDEX(Inputs!$B$2:$AZ$190,,MATCH(SUBSTITUTE(AO$3,"Q","T"),Inputs!$B$2:$AZ$2,0)),Inputs!$B$2:$B$190,$B179)*Inputs!$D$1)</f>
        <v>0</v>
      </c>
      <c r="AP179" s="57">
        <f>IF(ISNA(SUMIFS(INDEX(Inputs!$B$2:$AZ$190,,MATCH(SUBSTITUTE(AP$3,"Q","T"),Inputs!$B$2:$AZ$2,0)),Inputs!$B$2:$B$190,$B179)*Inputs!$D$1),"",SUMIFS(INDEX(Inputs!$B$2:$AZ$190,,MATCH(SUBSTITUTE(AP$3,"Q","T"),Inputs!$B$2:$AZ$2,0)),Inputs!$B$2:$B$190,$B179)*Inputs!$D$1)</f>
        <v>0</v>
      </c>
      <c r="AQ179" s="57">
        <f>IF(ISNA(SUMIFS(INDEX(Inputs!$B$2:$AZ$190,,MATCH(SUBSTITUTE(AQ$3,"Q","T"),Inputs!$B$2:$AZ$2,0)),Inputs!$B$2:$B$190,$B179)*Inputs!$D$1),"",SUMIFS(INDEX(Inputs!$B$2:$AZ$190,,MATCH(SUBSTITUTE(AQ$3,"Q","T"),Inputs!$B$2:$AZ$2,0)),Inputs!$B$2:$B$190,$B179)*Inputs!$D$1)</f>
        <v>0</v>
      </c>
      <c r="AR179" s="58">
        <f>SUM(AN179:AQ179)</f>
        <v>0</v>
      </c>
      <c r="AS179" s="57">
        <f>IF(ISNA(SUMIFS(INDEX(Inputs!$B$2:$AZ$190,,MATCH(SUBSTITUTE(AS$3,"Q","T"),Inputs!$B$2:$AZ$2,0)),Inputs!$B$2:$B$190,$B179)*Inputs!$D$1),"",SUMIFS(INDEX(Inputs!$B$2:$AZ$190,,MATCH(SUBSTITUTE(AS$3,"Q","T"),Inputs!$B$2:$AZ$2,0)),Inputs!$B$2:$B$190,$B179)*Inputs!$D$1)</f>
        <v>0</v>
      </c>
      <c r="AT179" s="57">
        <f>IF(ISNA(SUMIFS(INDEX(Inputs!$B$2:$AZ$190,,MATCH(SUBSTITUTE(AT$3,"Q","T"),Inputs!$B$2:$AZ$2,0)),Inputs!$B$2:$B$190,$B179)*Inputs!$D$1),"",SUMIFS(INDEX(Inputs!$B$2:$AZ$190,,MATCH(SUBSTITUTE(AT$3,"Q","T"),Inputs!$B$2:$AZ$2,0)),Inputs!$B$2:$B$190,$B179)*Inputs!$D$1)</f>
        <v>0</v>
      </c>
      <c r="AU179" s="57">
        <f>IF(ISNA(SUMIFS(INDEX(Inputs!$B$2:$AZ$190,,MATCH(SUBSTITUTE(AU$3,"Q","T"),Inputs!$B$2:$AZ$2,0)),Inputs!$B$2:$B$190,$B179)*Inputs!$D$1),"",SUMIFS(INDEX(Inputs!$B$2:$AZ$190,,MATCH(SUBSTITUTE(AU$3,"Q","T"),Inputs!$B$2:$AZ$2,0)),Inputs!$B$2:$B$190,$B179)*Inputs!$D$1)</f>
        <v>0</v>
      </c>
      <c r="AV179" s="57">
        <f>IF(ISNA(SUMIFS(INDEX(Inputs!$B$2:$AZ$190,,MATCH(SUBSTITUTE(AV$3,"Q","T"),Inputs!$B$2:$AZ$2,0)),Inputs!$B$2:$B$190,$B179)*Inputs!$D$1),"",SUMIFS(INDEX(Inputs!$B$2:$AZ$190,,MATCH(SUBSTITUTE(AV$3,"Q","T"),Inputs!$B$2:$AZ$2,0)),Inputs!$B$2:$B$190,$B179)*Inputs!$D$1)</f>
        <v>0</v>
      </c>
      <c r="AW179" s="58">
        <f>SUM(AS179:AV179)</f>
        <v>0</v>
      </c>
      <c r="AX179" s="57">
        <f>IF(ISNA(SUMIFS(INDEX(Inputs!$B$2:$AZ$190,,MATCH(SUBSTITUTE(AX$3,"Q","T"),Inputs!$B$2:$AZ$2,0)),Inputs!$B$2:$B$190,$B179)*Inputs!$D$1),"",SUMIFS(INDEX(Inputs!$B$2:$AZ$190,,MATCH(SUBSTITUTE(AX$3,"Q","T"),Inputs!$B$2:$AZ$2,0)),Inputs!$B$2:$B$190,$B179)*Inputs!$D$1)</f>
        <v>0</v>
      </c>
      <c r="AY179" s="57">
        <f>IF(ISNA(SUMIFS(INDEX(Inputs!$B$2:$AZ$190,,MATCH(SUBSTITUTE(AY$3,"Q","T"),Inputs!$B$2:$AZ$2,0)),Inputs!$B$2:$B$190,$B179)*Inputs!$D$1),"",SUMIFS(INDEX(Inputs!$B$2:$AZ$190,,MATCH(SUBSTITUTE(AY$3,"Q","T"),Inputs!$B$2:$AZ$2,0)),Inputs!$B$2:$B$190,$B179)*Inputs!$D$1)</f>
        <v>0</v>
      </c>
      <c r="AZ179" s="57">
        <f>IF(ISNA(SUMIFS(INDEX(Inputs!$B$2:$AZ$190,,MATCH(SUBSTITUTE(AZ$3,"Q","T"),Inputs!$B$2:$AZ$2,0)),Inputs!$B$2:$B$190,$B179)*Inputs!$D$1),"",SUMIFS(INDEX(Inputs!$B$2:$AZ$190,,MATCH(SUBSTITUTE(AZ$3,"Q","T"),Inputs!$B$2:$AZ$2,0)),Inputs!$B$2:$B$190,$B179)*Inputs!$D$1)</f>
        <v>0</v>
      </c>
      <c r="BA179" s="57">
        <f>IF(ISNA(SUMIFS(INDEX(Inputs!$B$2:$AZ$190,,MATCH(SUBSTITUTE(BA$3,"Q","T"),Inputs!$B$2:$AZ$2,0)),Inputs!$B$2:$B$190,$B179)*Inputs!$D$1),"",SUMIFS(INDEX(Inputs!$B$2:$AZ$190,,MATCH(SUBSTITUTE(BA$3,"Q","T"),Inputs!$B$2:$AZ$2,0)),Inputs!$B$2:$B$190,$B179)*Inputs!$D$1)</f>
        <v>0</v>
      </c>
      <c r="BB179" s="58">
        <f>SUM(AX179:BA179)</f>
        <v>0</v>
      </c>
      <c r="BC179" s="57">
        <f>IF(ISNA(SUMIFS(INDEX(Inputs!$B$2:$AZ$190,,MATCH(SUBSTITUTE(BC$3,"Q","T"),Inputs!$B$2:$AZ$2,0)),Inputs!$B$2:$B$190,$B179)*Inputs!$D$1),"",SUMIFS(INDEX(Inputs!$B$2:$AZ$190,,MATCH(SUBSTITUTE(BC$3,"Q","T"),Inputs!$B$2:$AZ$2,0)),Inputs!$B$2:$B$190,$B179)*Inputs!$D$1)</f>
        <v>0</v>
      </c>
      <c r="BD179" s="57">
        <f>IF(ISNA(SUMIFS(INDEX(Inputs!$B$2:$AZ$190,,MATCH(SUBSTITUTE(BD$3,"Q","T"),Inputs!$B$2:$AZ$2,0)),Inputs!$B$2:$B$190,$B179)*Inputs!$D$1),"",SUMIFS(INDEX(Inputs!$B$2:$AZ$190,,MATCH(SUBSTITUTE(BD$3,"Q","T"),Inputs!$B$2:$AZ$2,0)),Inputs!$B$2:$B$190,$B179)*Inputs!$D$1)</f>
        <v>0</v>
      </c>
      <c r="BE179" s="57">
        <f>IF(ISNA(SUMIFS(INDEX(Inputs!$B$2:$AZ$190,,MATCH(SUBSTITUTE(BE$3,"Q","T"),Inputs!$B$2:$AZ$2,0)),Inputs!$B$2:$B$190,$B179)*Inputs!$D$1),"",SUMIFS(INDEX(Inputs!$B$2:$AZ$190,,MATCH(SUBSTITUTE(BE$3,"Q","T"),Inputs!$B$2:$AZ$2,0)),Inputs!$B$2:$B$190,$B179)*Inputs!$D$1)</f>
        <v>0</v>
      </c>
      <c r="BF179" s="57">
        <f>IF(ISNA(SUMIFS(INDEX(Inputs!$B$2:$AZ$190,,MATCH(SUBSTITUTE(BF$3,"Q","T"),Inputs!$B$2:$AZ$2,0)),Inputs!$B$2:$B$190,$B179)*Inputs!$D$1),"",SUMIFS(INDEX(Inputs!$B$2:$AZ$190,,MATCH(SUBSTITUTE(BF$3,"Q","T"),Inputs!$B$2:$AZ$2,0)),Inputs!$B$2:$B$190,$B179)*Inputs!$D$1)</f>
        <v>0</v>
      </c>
      <c r="BG179" s="58">
        <f>SUM(BC179:BF179)</f>
        <v>0</v>
      </c>
    </row>
    <row r="180" hidden="1" outlineLevel="1">
      <c r="B180" s="56" t="inlineStr">
        <is>
          <t>fee_comm</t>
        </is>
      </c>
      <c r="C180" s="11" t="inlineStr">
        <is>
          <t>Comissões e outras tarifas</t>
        </is>
      </c>
      <c r="D180" s="12" t="inlineStr">
        <is>
          <t>Commissions and other fees</t>
        </is>
      </c>
      <c r="E180" s="57">
        <f>IF(ISNA(SUMIFS(INDEX(Inputs!$B$2:$AZ$190,,MATCH(SUBSTITUTE(E$3,"Q","T"),Inputs!$B$2:$AZ$2,0)),Inputs!$B$2:$B$190,$B180)*Inputs!$D$1),"",SUMIFS(INDEX(Inputs!$B$2:$AZ$190,,MATCH(SUBSTITUTE(E$3,"Q","T"),Inputs!$B$2:$AZ$2,0)),Inputs!$B$2:$B$190,$B180)*Inputs!$D$1)</f>
        <v>0</v>
      </c>
      <c r="F180" s="57">
        <f>IF(ISNA(SUMIFS(INDEX(Inputs!$B$2:$AZ$190,,MATCH(SUBSTITUTE(F$3,"Q","T"),Inputs!$B$2:$AZ$2,0)),Inputs!$B$2:$B$190,$B180)*Inputs!$D$1),"",SUMIFS(INDEX(Inputs!$B$2:$AZ$190,,MATCH(SUBSTITUTE(F$3,"Q","T"),Inputs!$B$2:$AZ$2,0)),Inputs!$B$2:$B$190,$B180)*Inputs!$D$1)</f>
        <v>0</v>
      </c>
      <c r="G180" s="57">
        <f>IF(ISNA(SUMIFS(INDEX(Inputs!$B$2:$AZ$190,,MATCH(SUBSTITUTE(G$3,"Q","T"),Inputs!$B$2:$AZ$2,0)),Inputs!$B$2:$B$190,$B180)*Inputs!$D$1),"",SUMIFS(INDEX(Inputs!$B$2:$AZ$190,,MATCH(SUBSTITUTE(G$3,"Q","T"),Inputs!$B$2:$AZ$2,0)),Inputs!$B$2:$B$190,$B180)*Inputs!$D$1)</f>
        <v>0</v>
      </c>
      <c r="H180" s="57">
        <f>IF(ISNA(SUMIFS(INDEX(Inputs!$B$2:$AZ$190,,MATCH(SUBSTITUTE(H$3,"Q","T"),Inputs!$B$2:$AZ$2,0)),Inputs!$B$2:$B$190,$B180)*Inputs!$D$1),"",SUMIFS(INDEX(Inputs!$B$2:$AZ$190,,MATCH(SUBSTITUTE(H$3,"Q","T"),Inputs!$B$2:$AZ$2,0)),Inputs!$B$2:$B$190,$B180)*Inputs!$D$1)</f>
        <v>0</v>
      </c>
      <c r="I180" s="58">
        <f>SUM(E180:H180)</f>
        <v>0</v>
      </c>
      <c r="J180" s="57">
        <f>IF(ISNA(SUMIFS(INDEX(Inputs!$B$2:$AZ$190,,MATCH(SUBSTITUTE(J$3,"Q","T"),Inputs!$B$2:$AZ$2,0)),Inputs!$B$2:$B$190,$B180)*Inputs!$D$1),"",SUMIFS(INDEX(Inputs!$B$2:$AZ$190,,MATCH(SUBSTITUTE(J$3,"Q","T"),Inputs!$B$2:$AZ$2,0)),Inputs!$B$2:$B$190,$B180)*Inputs!$D$1)</f>
        <v>0</v>
      </c>
      <c r="K180" s="57">
        <f>IF(ISNA(SUMIFS(INDEX(Inputs!$B$2:$AZ$190,,MATCH(SUBSTITUTE(K$3,"Q","T"),Inputs!$B$2:$AZ$2,0)),Inputs!$B$2:$B$190,$B180)*Inputs!$D$1),"",SUMIFS(INDEX(Inputs!$B$2:$AZ$190,,MATCH(SUBSTITUTE(K$3,"Q","T"),Inputs!$B$2:$AZ$2,0)),Inputs!$B$2:$B$190,$B180)*Inputs!$D$1)</f>
        <v>0</v>
      </c>
      <c r="L180" s="57">
        <f>IF(ISNA(SUMIFS(INDEX(Inputs!$B$2:$AZ$190,,MATCH(SUBSTITUTE(L$3,"Q","T"),Inputs!$B$2:$AZ$2,0)),Inputs!$B$2:$B$190,$B180)*Inputs!$D$1),"",SUMIFS(INDEX(Inputs!$B$2:$AZ$190,,MATCH(SUBSTITUTE(L$3,"Q","T"),Inputs!$B$2:$AZ$2,0)),Inputs!$B$2:$B$190,$B180)*Inputs!$D$1)</f>
        <v>0</v>
      </c>
      <c r="M180" s="57">
        <f>IF(ISNA(SUMIFS(INDEX(Inputs!$B$2:$AZ$190,,MATCH(SUBSTITUTE(M$3,"Q","T"),Inputs!$B$2:$AZ$2,0)),Inputs!$B$2:$B$190,$B180)*Inputs!$D$1),"",SUMIFS(INDEX(Inputs!$B$2:$AZ$190,,MATCH(SUBSTITUTE(M$3,"Q","T"),Inputs!$B$2:$AZ$2,0)),Inputs!$B$2:$B$190,$B180)*Inputs!$D$1)</f>
        <v>0</v>
      </c>
      <c r="N180" s="58">
        <f>SUM(J180:M180)</f>
        <v>0</v>
      </c>
      <c r="O180" s="57">
        <f>IF(ISNA(SUMIFS(INDEX(Inputs!$B$2:$AZ$190,,MATCH(SUBSTITUTE(O$3,"Q","T"),Inputs!$B$2:$AZ$2,0)),Inputs!$B$2:$B$190,$B180)*Inputs!$D$1),"",SUMIFS(INDEX(Inputs!$B$2:$AZ$190,,MATCH(SUBSTITUTE(O$3,"Q","T"),Inputs!$B$2:$AZ$2,0)),Inputs!$B$2:$B$190,$B180)*Inputs!$D$1)</f>
        <v>0</v>
      </c>
      <c r="P180" s="57">
        <f>IF(ISNA(SUMIFS(INDEX(Inputs!$B$2:$AZ$190,,MATCH(SUBSTITUTE(P$3,"Q","T"),Inputs!$B$2:$AZ$2,0)),Inputs!$B$2:$B$190,$B180)*Inputs!$D$1),"",SUMIFS(INDEX(Inputs!$B$2:$AZ$190,,MATCH(SUBSTITUTE(P$3,"Q","T"),Inputs!$B$2:$AZ$2,0)),Inputs!$B$2:$B$190,$B180)*Inputs!$D$1)</f>
        <v>0</v>
      </c>
      <c r="Q180" s="57">
        <f>IF(ISNA(SUMIFS(INDEX(Inputs!$B$2:$AZ$190,,MATCH(SUBSTITUTE(Q$3,"Q","T"),Inputs!$B$2:$AZ$2,0)),Inputs!$B$2:$B$190,$B180)*Inputs!$D$1),"",SUMIFS(INDEX(Inputs!$B$2:$AZ$190,,MATCH(SUBSTITUTE(Q$3,"Q","T"),Inputs!$B$2:$AZ$2,0)),Inputs!$B$2:$B$190,$B180)*Inputs!$D$1)</f>
        <v>0</v>
      </c>
      <c r="R180" s="57">
        <f>IF(ISNA(SUMIFS(INDEX(Inputs!$B$2:$AZ$190,,MATCH(SUBSTITUTE(R$3,"Q","T"),Inputs!$B$2:$AZ$2,0)),Inputs!$B$2:$B$190,$B180)*Inputs!$D$1),"",SUMIFS(INDEX(Inputs!$B$2:$AZ$190,,MATCH(SUBSTITUTE(R$3,"Q","T"),Inputs!$B$2:$AZ$2,0)),Inputs!$B$2:$B$190,$B180)*Inputs!$D$1)</f>
        <v>0</v>
      </c>
      <c r="S180" s="58">
        <f>SUM(O180:R180)</f>
        <v>0</v>
      </c>
      <c r="T180" s="57">
        <f>IF(ISNA(SUMIFS(INDEX(Inputs!$B$2:$AZ$190,,MATCH(SUBSTITUTE(T$3,"Q","T"),Inputs!$B$2:$AZ$2,0)),Inputs!$B$2:$B$190,$B180)*Inputs!$D$1),"",SUMIFS(INDEX(Inputs!$B$2:$AZ$190,,MATCH(SUBSTITUTE(T$3,"Q","T"),Inputs!$B$2:$AZ$2,0)),Inputs!$B$2:$B$190,$B180)*Inputs!$D$1)</f>
        <v>0</v>
      </c>
      <c r="U180" s="57">
        <f>IF(ISNA(SUMIFS(INDEX(Inputs!$B$2:$AZ$190,,MATCH(SUBSTITUTE(U$3,"Q","T"),Inputs!$B$2:$AZ$2,0)),Inputs!$B$2:$B$190,$B180)*Inputs!$D$1),"",SUMIFS(INDEX(Inputs!$B$2:$AZ$190,,MATCH(SUBSTITUTE(U$3,"Q","T"),Inputs!$B$2:$AZ$2,0)),Inputs!$B$2:$B$190,$B180)*Inputs!$D$1)</f>
        <v>0</v>
      </c>
      <c r="V180" s="57">
        <f>IF(ISNA(SUMIFS(INDEX(Inputs!$B$2:$AZ$190,,MATCH(SUBSTITUTE(V$3,"Q","T"),Inputs!$B$2:$AZ$2,0)),Inputs!$B$2:$B$190,$B180)*Inputs!$D$1),"",SUMIFS(INDEX(Inputs!$B$2:$AZ$190,,MATCH(SUBSTITUTE(V$3,"Q","T"),Inputs!$B$2:$AZ$2,0)),Inputs!$B$2:$B$190,$B180)*Inputs!$D$1)</f>
        <v>0</v>
      </c>
      <c r="W180" s="57">
        <f>IF(ISNA(SUMIFS(INDEX(Inputs!$B$2:$AZ$190,,MATCH(SUBSTITUTE(W$3,"Q","T"),Inputs!$B$2:$AZ$2,0)),Inputs!$B$2:$B$190,$B180)*Inputs!$D$1),"",SUMIFS(INDEX(Inputs!$B$2:$AZ$190,,MATCH(SUBSTITUTE(W$3,"Q","T"),Inputs!$B$2:$AZ$2,0)),Inputs!$B$2:$B$190,$B180)*Inputs!$D$1)</f>
        <v>0</v>
      </c>
      <c r="X180" s="58">
        <f>SUM(T180:W180)</f>
        <v>0</v>
      </c>
      <c r="Y180" s="57">
        <f>IF(ISNA(SUMIFS(INDEX(Inputs!$B$2:$AZ$190,,MATCH(SUBSTITUTE(Y$3,"Q","T"),Inputs!$B$2:$AZ$2,0)),Inputs!$B$2:$B$190,$B180)*Inputs!$D$1),"",SUMIFS(INDEX(Inputs!$B$2:$AZ$190,,MATCH(SUBSTITUTE(Y$3,"Q","T"),Inputs!$B$2:$AZ$2,0)),Inputs!$B$2:$B$190,$B180)*Inputs!$D$1)</f>
        <v>0</v>
      </c>
      <c r="Z180" s="57">
        <f>IF(ISNA(SUMIFS(INDEX(Inputs!$B$2:$AZ$190,,MATCH(SUBSTITUTE(Z$3,"Q","T"),Inputs!$B$2:$AZ$2,0)),Inputs!$B$2:$B$190,$B180)*Inputs!$D$1),"",SUMIFS(INDEX(Inputs!$B$2:$AZ$190,,MATCH(SUBSTITUTE(Z$3,"Q","T"),Inputs!$B$2:$AZ$2,0)),Inputs!$B$2:$B$190,$B180)*Inputs!$D$1)</f>
        <v>0</v>
      </c>
      <c r="AA180" s="57">
        <f>IF(ISNA(SUMIFS(INDEX(Inputs!$B$2:$AZ$190,,MATCH(SUBSTITUTE(AA$3,"Q","T"),Inputs!$B$2:$AZ$2,0)),Inputs!$B$2:$B$190,$B180)*Inputs!$D$1),"",SUMIFS(INDEX(Inputs!$B$2:$AZ$190,,MATCH(SUBSTITUTE(AA$3,"Q","T"),Inputs!$B$2:$AZ$2,0)),Inputs!$B$2:$B$190,$B180)*Inputs!$D$1)</f>
        <v>0</v>
      </c>
      <c r="AB180" s="57">
        <f>IF(ISNA(SUMIFS(INDEX(Inputs!$B$2:$AZ$190,,MATCH(SUBSTITUTE(AB$3,"Q","T"),Inputs!$B$2:$AZ$2,0)),Inputs!$B$2:$B$190,$B180)*Inputs!$D$1),"",SUMIFS(INDEX(Inputs!$B$2:$AZ$190,,MATCH(SUBSTITUTE(AB$3,"Q","T"),Inputs!$B$2:$AZ$2,0)),Inputs!$B$2:$B$190,$B180)*Inputs!$D$1)</f>
        <v>0</v>
      </c>
      <c r="AC180" s="58">
        <f>SUM(Y180:AB180)</f>
        <v>0</v>
      </c>
      <c r="AD180" s="57">
        <f>IF(ISNA(SUMIFS(INDEX(Inputs!$B$2:$AZ$190,,MATCH(SUBSTITUTE(AD$3,"Q","T"),Inputs!$B$2:$AZ$2,0)),Inputs!$B$2:$B$190,$B180)*Inputs!$D$1),"",SUMIFS(INDEX(Inputs!$B$2:$AZ$190,,MATCH(SUBSTITUTE(AD$3,"Q","T"),Inputs!$B$2:$AZ$2,0)),Inputs!$B$2:$B$190,$B180)*Inputs!$D$1)</f>
        <v>0</v>
      </c>
      <c r="AE180" s="57">
        <f>IF(ISNA(SUMIFS(INDEX(Inputs!$B$2:$AZ$190,,MATCH(SUBSTITUTE(AE$3,"Q","T"),Inputs!$B$2:$AZ$2,0)),Inputs!$B$2:$B$190,$B180)*Inputs!$D$1),"",SUMIFS(INDEX(Inputs!$B$2:$AZ$190,,MATCH(SUBSTITUTE(AE$3,"Q","T"),Inputs!$B$2:$AZ$2,0)),Inputs!$B$2:$B$190,$B180)*Inputs!$D$1)</f>
        <v>0</v>
      </c>
      <c r="AF180" s="57">
        <f>IF(ISNA(SUMIFS(INDEX(Inputs!$B$2:$AZ$190,,MATCH(SUBSTITUTE(AF$3,"Q","T"),Inputs!$B$2:$AZ$2,0)),Inputs!$B$2:$B$190,$B180)*Inputs!$D$1),"",SUMIFS(INDEX(Inputs!$B$2:$AZ$190,,MATCH(SUBSTITUTE(AF$3,"Q","T"),Inputs!$B$2:$AZ$2,0)),Inputs!$B$2:$B$190,$B180)*Inputs!$D$1)</f>
        <v>0</v>
      </c>
      <c r="AG180" s="57">
        <f>IF(ISNA(SUMIFS(INDEX(Inputs!$B$2:$AZ$190,,MATCH(SUBSTITUTE(AG$3,"Q","T"),Inputs!$B$2:$AZ$2,0)),Inputs!$B$2:$B$190,$B180)*Inputs!$D$1),"",SUMIFS(INDEX(Inputs!$B$2:$AZ$190,,MATCH(SUBSTITUTE(AG$3,"Q","T"),Inputs!$B$2:$AZ$2,0)),Inputs!$B$2:$B$190,$B180)*Inputs!$D$1)</f>
        <v>0</v>
      </c>
      <c r="AH180" s="58">
        <f>SUM(AD180:AG180)</f>
        <v>0</v>
      </c>
      <c r="AI180" s="57">
        <f>IF(ISNA(SUMIFS(INDEX(Inputs!$B$2:$AZ$190,,MATCH(SUBSTITUTE(AI$3,"Q","T"),Inputs!$B$2:$AZ$2,0)),Inputs!$B$2:$B$190,$B180)*Inputs!$D$1),"",SUMIFS(INDEX(Inputs!$B$2:$AZ$190,,MATCH(SUBSTITUTE(AI$3,"Q","T"),Inputs!$B$2:$AZ$2,0)),Inputs!$B$2:$B$190,$B180)*Inputs!$D$1)</f>
        <v>0</v>
      </c>
      <c r="AJ180" s="57">
        <f>IF(ISNA(SUMIFS(INDEX(Inputs!$B$2:$AZ$190,,MATCH(SUBSTITUTE(AJ$3,"Q","T"),Inputs!$B$2:$AZ$2,0)),Inputs!$B$2:$B$190,$B180)*Inputs!$D$1),"",SUMIFS(INDEX(Inputs!$B$2:$AZ$190,,MATCH(SUBSTITUTE(AJ$3,"Q","T"),Inputs!$B$2:$AZ$2,0)),Inputs!$B$2:$B$190,$B180)*Inputs!$D$1)</f>
        <v>0</v>
      </c>
      <c r="AK180" s="57">
        <f>IF(ISNA(SUMIFS(INDEX(Inputs!$B$2:$AZ$190,,MATCH(SUBSTITUTE(AK$3,"Q","T"),Inputs!$B$2:$AZ$2,0)),Inputs!$B$2:$B$190,$B180)*Inputs!$D$1),"",SUMIFS(INDEX(Inputs!$B$2:$AZ$190,,MATCH(SUBSTITUTE(AK$3,"Q","T"),Inputs!$B$2:$AZ$2,0)),Inputs!$B$2:$B$190,$B180)*Inputs!$D$1)</f>
        <v>0</v>
      </c>
      <c r="AL180" s="57">
        <f>IF(ISNA(SUMIFS(INDEX(Inputs!$B$2:$AZ$190,,MATCH(SUBSTITUTE(AL$3,"Q","T"),Inputs!$B$2:$AZ$2,0)),Inputs!$B$2:$B$190,$B180)*Inputs!$D$1),"",SUMIFS(INDEX(Inputs!$B$2:$AZ$190,,MATCH(SUBSTITUTE(AL$3,"Q","T"),Inputs!$B$2:$AZ$2,0)),Inputs!$B$2:$B$190,$B180)*Inputs!$D$1)</f>
        <v>0</v>
      </c>
      <c r="AM180" s="58">
        <f>SUM(AI180:AL180)</f>
        <v>0</v>
      </c>
      <c r="AN180" s="57">
        <f>IF(ISNA(SUMIFS(INDEX(Inputs!$B$2:$AZ$190,,MATCH(SUBSTITUTE(AN$3,"Q","T"),Inputs!$B$2:$AZ$2,0)),Inputs!$B$2:$B$190,$B180)*Inputs!$D$1),"",SUMIFS(INDEX(Inputs!$B$2:$AZ$190,,MATCH(SUBSTITUTE(AN$3,"Q","T"),Inputs!$B$2:$AZ$2,0)),Inputs!$B$2:$B$190,$B180)*Inputs!$D$1)</f>
        <v>0</v>
      </c>
      <c r="AO180" s="57">
        <f>IF(ISNA(SUMIFS(INDEX(Inputs!$B$2:$AZ$190,,MATCH(SUBSTITUTE(AO$3,"Q","T"),Inputs!$B$2:$AZ$2,0)),Inputs!$B$2:$B$190,$B180)*Inputs!$D$1),"",SUMIFS(INDEX(Inputs!$B$2:$AZ$190,,MATCH(SUBSTITUTE(AO$3,"Q","T"),Inputs!$B$2:$AZ$2,0)),Inputs!$B$2:$B$190,$B180)*Inputs!$D$1)</f>
        <v>0</v>
      </c>
      <c r="AP180" s="57">
        <f>IF(ISNA(SUMIFS(INDEX(Inputs!$B$2:$AZ$190,,MATCH(SUBSTITUTE(AP$3,"Q","T"),Inputs!$B$2:$AZ$2,0)),Inputs!$B$2:$B$190,$B180)*Inputs!$D$1),"",SUMIFS(INDEX(Inputs!$B$2:$AZ$190,,MATCH(SUBSTITUTE(AP$3,"Q","T"),Inputs!$B$2:$AZ$2,0)),Inputs!$B$2:$B$190,$B180)*Inputs!$D$1)</f>
        <v>0</v>
      </c>
      <c r="AQ180" s="57">
        <f>IF(ISNA(SUMIFS(INDEX(Inputs!$B$2:$AZ$190,,MATCH(SUBSTITUTE(AQ$3,"Q","T"),Inputs!$B$2:$AZ$2,0)),Inputs!$B$2:$B$190,$B180)*Inputs!$D$1),"",SUMIFS(INDEX(Inputs!$B$2:$AZ$190,,MATCH(SUBSTITUTE(AQ$3,"Q","T"),Inputs!$B$2:$AZ$2,0)),Inputs!$B$2:$B$190,$B180)*Inputs!$D$1)</f>
        <v>0</v>
      </c>
      <c r="AR180" s="58">
        <f>SUM(AN180:AQ180)</f>
        <v>0</v>
      </c>
      <c r="AS180" s="57">
        <f>IF(ISNA(SUMIFS(INDEX(Inputs!$B$2:$AZ$190,,MATCH(SUBSTITUTE(AS$3,"Q","T"),Inputs!$B$2:$AZ$2,0)),Inputs!$B$2:$B$190,$B180)*Inputs!$D$1),"",SUMIFS(INDEX(Inputs!$B$2:$AZ$190,,MATCH(SUBSTITUTE(AS$3,"Q","T"),Inputs!$B$2:$AZ$2,0)),Inputs!$B$2:$B$190,$B180)*Inputs!$D$1)</f>
        <v>0</v>
      </c>
      <c r="AT180" s="57">
        <f>IF(ISNA(SUMIFS(INDEX(Inputs!$B$2:$AZ$190,,MATCH(SUBSTITUTE(AT$3,"Q","T"),Inputs!$B$2:$AZ$2,0)),Inputs!$B$2:$B$190,$B180)*Inputs!$D$1),"",SUMIFS(INDEX(Inputs!$B$2:$AZ$190,,MATCH(SUBSTITUTE(AT$3,"Q","T"),Inputs!$B$2:$AZ$2,0)),Inputs!$B$2:$B$190,$B180)*Inputs!$D$1)</f>
        <v>0</v>
      </c>
      <c r="AU180" s="57">
        <f>IF(ISNA(SUMIFS(INDEX(Inputs!$B$2:$AZ$190,,MATCH(SUBSTITUTE(AU$3,"Q","T"),Inputs!$B$2:$AZ$2,0)),Inputs!$B$2:$B$190,$B180)*Inputs!$D$1),"",SUMIFS(INDEX(Inputs!$B$2:$AZ$190,,MATCH(SUBSTITUTE(AU$3,"Q","T"),Inputs!$B$2:$AZ$2,0)),Inputs!$B$2:$B$190,$B180)*Inputs!$D$1)</f>
        <v>0</v>
      </c>
      <c r="AV180" s="57">
        <f>IF(ISNA(SUMIFS(INDEX(Inputs!$B$2:$AZ$190,,MATCH(SUBSTITUTE(AV$3,"Q","T"),Inputs!$B$2:$AZ$2,0)),Inputs!$B$2:$B$190,$B180)*Inputs!$D$1),"",SUMIFS(INDEX(Inputs!$B$2:$AZ$190,,MATCH(SUBSTITUTE(AV$3,"Q","T"),Inputs!$B$2:$AZ$2,0)),Inputs!$B$2:$B$190,$B180)*Inputs!$D$1)</f>
        <v>0</v>
      </c>
      <c r="AW180" s="58">
        <f>SUM(AS180:AV180)</f>
        <v>0</v>
      </c>
      <c r="AX180" s="57">
        <f>IF(ISNA(SUMIFS(INDEX(Inputs!$B$2:$AZ$190,,MATCH(SUBSTITUTE(AX$3,"Q","T"),Inputs!$B$2:$AZ$2,0)),Inputs!$B$2:$B$190,$B180)*Inputs!$D$1),"",SUMIFS(INDEX(Inputs!$B$2:$AZ$190,,MATCH(SUBSTITUTE(AX$3,"Q","T"),Inputs!$B$2:$AZ$2,0)),Inputs!$B$2:$B$190,$B180)*Inputs!$D$1)</f>
        <v>0</v>
      </c>
      <c r="AY180" s="57">
        <f>IF(ISNA(SUMIFS(INDEX(Inputs!$B$2:$AZ$190,,MATCH(SUBSTITUTE(AY$3,"Q","T"),Inputs!$B$2:$AZ$2,0)),Inputs!$B$2:$B$190,$B180)*Inputs!$D$1),"",SUMIFS(INDEX(Inputs!$B$2:$AZ$190,,MATCH(SUBSTITUTE(AY$3,"Q","T"),Inputs!$B$2:$AZ$2,0)),Inputs!$B$2:$B$190,$B180)*Inputs!$D$1)</f>
        <v>0</v>
      </c>
      <c r="AZ180" s="57">
        <f>IF(ISNA(SUMIFS(INDEX(Inputs!$B$2:$AZ$190,,MATCH(SUBSTITUTE(AZ$3,"Q","T"),Inputs!$B$2:$AZ$2,0)),Inputs!$B$2:$B$190,$B180)*Inputs!$D$1),"",SUMIFS(INDEX(Inputs!$B$2:$AZ$190,,MATCH(SUBSTITUTE(AZ$3,"Q","T"),Inputs!$B$2:$AZ$2,0)),Inputs!$B$2:$B$190,$B180)*Inputs!$D$1)</f>
        <v>0</v>
      </c>
      <c r="BA180" s="57">
        <f>IF(ISNA(SUMIFS(INDEX(Inputs!$B$2:$AZ$190,,MATCH(SUBSTITUTE(BA$3,"Q","T"),Inputs!$B$2:$AZ$2,0)),Inputs!$B$2:$B$190,$B180)*Inputs!$D$1),"",SUMIFS(INDEX(Inputs!$B$2:$AZ$190,,MATCH(SUBSTITUTE(BA$3,"Q","T"),Inputs!$B$2:$AZ$2,0)),Inputs!$B$2:$B$190,$B180)*Inputs!$D$1)</f>
        <v>0</v>
      </c>
      <c r="BB180" s="58">
        <f>SUM(AX180:BA180)</f>
        <v>0</v>
      </c>
      <c r="BC180" s="57">
        <f>IF(ISNA(SUMIFS(INDEX(Inputs!$B$2:$AZ$190,,MATCH(SUBSTITUTE(BC$3,"Q","T"),Inputs!$B$2:$AZ$2,0)),Inputs!$B$2:$B$190,$B180)*Inputs!$D$1),"",SUMIFS(INDEX(Inputs!$B$2:$AZ$190,,MATCH(SUBSTITUTE(BC$3,"Q","T"),Inputs!$B$2:$AZ$2,0)),Inputs!$B$2:$B$190,$B180)*Inputs!$D$1)</f>
        <v>0</v>
      </c>
      <c r="BD180" s="57">
        <f>IF(ISNA(SUMIFS(INDEX(Inputs!$B$2:$AZ$190,,MATCH(SUBSTITUTE(BD$3,"Q","T"),Inputs!$B$2:$AZ$2,0)),Inputs!$B$2:$B$190,$B180)*Inputs!$D$1),"",SUMIFS(INDEX(Inputs!$B$2:$AZ$190,,MATCH(SUBSTITUTE(BD$3,"Q","T"),Inputs!$B$2:$AZ$2,0)),Inputs!$B$2:$B$190,$B180)*Inputs!$D$1)</f>
        <v>0</v>
      </c>
      <c r="BE180" s="57">
        <f>IF(ISNA(SUMIFS(INDEX(Inputs!$B$2:$AZ$190,,MATCH(SUBSTITUTE(BE$3,"Q","T"),Inputs!$B$2:$AZ$2,0)),Inputs!$B$2:$B$190,$B180)*Inputs!$D$1),"",SUMIFS(INDEX(Inputs!$B$2:$AZ$190,,MATCH(SUBSTITUTE(BE$3,"Q","T"),Inputs!$B$2:$AZ$2,0)),Inputs!$B$2:$B$190,$B180)*Inputs!$D$1)</f>
        <v>0</v>
      </c>
      <c r="BF180" s="57">
        <f>IF(ISNA(SUMIFS(INDEX(Inputs!$B$2:$AZ$190,,MATCH(SUBSTITUTE(BF$3,"Q","T"),Inputs!$B$2:$AZ$2,0)),Inputs!$B$2:$B$190,$B180)*Inputs!$D$1),"",SUMIFS(INDEX(Inputs!$B$2:$AZ$190,,MATCH(SUBSTITUTE(BF$3,"Q","T"),Inputs!$B$2:$AZ$2,0)),Inputs!$B$2:$B$190,$B180)*Inputs!$D$1)</f>
        <v>0</v>
      </c>
      <c r="BG180" s="58">
        <f>SUM(BC180:BF180)</f>
        <v>0</v>
      </c>
    </row>
    <row r="181" hidden="1" outlineLevel="1">
      <c r="B181" s="56" t="inlineStr">
        <is>
          <t>fee_card</t>
        </is>
      </c>
      <c r="C181" s="11" t="inlineStr">
        <is>
          <t>Cartão (card income, líquido de rewards)</t>
        </is>
      </c>
      <c r="D181" s="12" t="inlineStr">
        <is>
          <t>Card income</t>
        </is>
      </c>
      <c r="E181" s="57">
        <f>IF(ISNA(SUMIFS(INDEX(Inputs!$B$2:$AZ$190,,MATCH(SUBSTITUTE(E$3,"Q","T"),Inputs!$B$2:$AZ$2,0)),Inputs!$B$2:$B$190,$B181)*Inputs!$D$1),"",SUMIFS(INDEX(Inputs!$B$2:$AZ$190,,MATCH(SUBSTITUTE(E$3,"Q","T"),Inputs!$B$2:$AZ$2,0)),Inputs!$B$2:$B$190,$B181)*Inputs!$D$1)</f>
        <v>0</v>
      </c>
      <c r="F181" s="57">
        <f>IF(ISNA(SUMIFS(INDEX(Inputs!$B$2:$AZ$190,,MATCH(SUBSTITUTE(F$3,"Q","T"),Inputs!$B$2:$AZ$2,0)),Inputs!$B$2:$B$190,$B181)*Inputs!$D$1),"",SUMIFS(INDEX(Inputs!$B$2:$AZ$190,,MATCH(SUBSTITUTE(F$3,"Q","T"),Inputs!$B$2:$AZ$2,0)),Inputs!$B$2:$B$190,$B181)*Inputs!$D$1)</f>
        <v>0</v>
      </c>
      <c r="G181" s="57">
        <f>IF(ISNA(SUMIFS(INDEX(Inputs!$B$2:$AZ$190,,MATCH(SUBSTITUTE(G$3,"Q","T"),Inputs!$B$2:$AZ$2,0)),Inputs!$B$2:$B$190,$B181)*Inputs!$D$1),"",SUMIFS(INDEX(Inputs!$B$2:$AZ$190,,MATCH(SUBSTITUTE(G$3,"Q","T"),Inputs!$B$2:$AZ$2,0)),Inputs!$B$2:$B$190,$B181)*Inputs!$D$1)</f>
        <v>0</v>
      </c>
      <c r="H181" s="57">
        <f>IF(ISNA(SUMIFS(INDEX(Inputs!$B$2:$AZ$190,,MATCH(SUBSTITUTE(H$3,"Q","T"),Inputs!$B$2:$AZ$2,0)),Inputs!$B$2:$B$190,$B181)*Inputs!$D$1),"",SUMIFS(INDEX(Inputs!$B$2:$AZ$190,,MATCH(SUBSTITUTE(H$3,"Q","T"),Inputs!$B$2:$AZ$2,0)),Inputs!$B$2:$B$190,$B181)*Inputs!$D$1)</f>
        <v>0</v>
      </c>
      <c r="I181" s="58">
        <f>SUM(E181:H181)</f>
        <v>0</v>
      </c>
      <c r="J181" s="57">
        <f>IF(ISNA(SUMIFS(INDEX(Inputs!$B$2:$AZ$190,,MATCH(SUBSTITUTE(J$3,"Q","T"),Inputs!$B$2:$AZ$2,0)),Inputs!$B$2:$B$190,$B181)*Inputs!$D$1),"",SUMIFS(INDEX(Inputs!$B$2:$AZ$190,,MATCH(SUBSTITUTE(J$3,"Q","T"),Inputs!$B$2:$AZ$2,0)),Inputs!$B$2:$B$190,$B181)*Inputs!$D$1)</f>
        <v>0</v>
      </c>
      <c r="K181" s="57">
        <f>IF(ISNA(SUMIFS(INDEX(Inputs!$B$2:$AZ$190,,MATCH(SUBSTITUTE(K$3,"Q","T"),Inputs!$B$2:$AZ$2,0)),Inputs!$B$2:$B$190,$B181)*Inputs!$D$1),"",SUMIFS(INDEX(Inputs!$B$2:$AZ$190,,MATCH(SUBSTITUTE(K$3,"Q","T"),Inputs!$B$2:$AZ$2,0)),Inputs!$B$2:$B$190,$B181)*Inputs!$D$1)</f>
        <v>0</v>
      </c>
      <c r="L181" s="57">
        <f>IF(ISNA(SUMIFS(INDEX(Inputs!$B$2:$AZ$190,,MATCH(SUBSTITUTE(L$3,"Q","T"),Inputs!$B$2:$AZ$2,0)),Inputs!$B$2:$B$190,$B181)*Inputs!$D$1),"",SUMIFS(INDEX(Inputs!$B$2:$AZ$190,,MATCH(SUBSTITUTE(L$3,"Q","T"),Inputs!$B$2:$AZ$2,0)),Inputs!$B$2:$B$190,$B181)*Inputs!$D$1)</f>
        <v>0</v>
      </c>
      <c r="M181" s="57">
        <f>IF(ISNA(SUMIFS(INDEX(Inputs!$B$2:$AZ$190,,MATCH(SUBSTITUTE(M$3,"Q","T"),Inputs!$B$2:$AZ$2,0)),Inputs!$B$2:$B$190,$B181)*Inputs!$D$1),"",SUMIFS(INDEX(Inputs!$B$2:$AZ$190,,MATCH(SUBSTITUTE(M$3,"Q","T"),Inputs!$B$2:$AZ$2,0)),Inputs!$B$2:$B$190,$B181)*Inputs!$D$1)</f>
        <v>0</v>
      </c>
      <c r="N181" s="58">
        <f>SUM(J181:M181)</f>
        <v>0</v>
      </c>
      <c r="O181" s="57">
        <f>IF(ISNA(SUMIFS(INDEX(Inputs!$B$2:$AZ$190,,MATCH(SUBSTITUTE(O$3,"Q","T"),Inputs!$B$2:$AZ$2,0)),Inputs!$B$2:$B$190,$B181)*Inputs!$D$1),"",SUMIFS(INDEX(Inputs!$B$2:$AZ$190,,MATCH(SUBSTITUTE(O$3,"Q","T"),Inputs!$B$2:$AZ$2,0)),Inputs!$B$2:$B$190,$B181)*Inputs!$D$1)</f>
        <v>0</v>
      </c>
      <c r="P181" s="57">
        <f>IF(ISNA(SUMIFS(INDEX(Inputs!$B$2:$AZ$190,,MATCH(SUBSTITUTE(P$3,"Q","T"),Inputs!$B$2:$AZ$2,0)),Inputs!$B$2:$B$190,$B181)*Inputs!$D$1),"",SUMIFS(INDEX(Inputs!$B$2:$AZ$190,,MATCH(SUBSTITUTE(P$3,"Q","T"),Inputs!$B$2:$AZ$2,0)),Inputs!$B$2:$B$190,$B181)*Inputs!$D$1)</f>
        <v>0</v>
      </c>
      <c r="Q181" s="57">
        <f>IF(ISNA(SUMIFS(INDEX(Inputs!$B$2:$AZ$190,,MATCH(SUBSTITUTE(Q$3,"Q","T"),Inputs!$B$2:$AZ$2,0)),Inputs!$B$2:$B$190,$B181)*Inputs!$D$1),"",SUMIFS(INDEX(Inputs!$B$2:$AZ$190,,MATCH(SUBSTITUTE(Q$3,"Q","T"),Inputs!$B$2:$AZ$2,0)),Inputs!$B$2:$B$190,$B181)*Inputs!$D$1)</f>
        <v>0</v>
      </c>
      <c r="R181" s="57">
        <f>IF(ISNA(SUMIFS(INDEX(Inputs!$B$2:$AZ$190,,MATCH(SUBSTITUTE(R$3,"Q","T"),Inputs!$B$2:$AZ$2,0)),Inputs!$B$2:$B$190,$B181)*Inputs!$D$1),"",SUMIFS(INDEX(Inputs!$B$2:$AZ$190,,MATCH(SUBSTITUTE(R$3,"Q","T"),Inputs!$B$2:$AZ$2,0)),Inputs!$B$2:$B$190,$B181)*Inputs!$D$1)</f>
        <v>0</v>
      </c>
      <c r="S181" s="58">
        <f>SUM(O181:R181)</f>
        <v>0</v>
      </c>
      <c r="T181" s="57">
        <f>IF(ISNA(SUMIFS(INDEX(Inputs!$B$2:$AZ$190,,MATCH(SUBSTITUTE(T$3,"Q","T"),Inputs!$B$2:$AZ$2,0)),Inputs!$B$2:$B$190,$B181)*Inputs!$D$1),"",SUMIFS(INDEX(Inputs!$B$2:$AZ$190,,MATCH(SUBSTITUTE(T$3,"Q","T"),Inputs!$B$2:$AZ$2,0)),Inputs!$B$2:$B$190,$B181)*Inputs!$D$1)</f>
        <v>0</v>
      </c>
      <c r="U181" s="57">
        <f>IF(ISNA(SUMIFS(INDEX(Inputs!$B$2:$AZ$190,,MATCH(SUBSTITUTE(U$3,"Q","T"),Inputs!$B$2:$AZ$2,0)),Inputs!$B$2:$B$190,$B181)*Inputs!$D$1),"",SUMIFS(INDEX(Inputs!$B$2:$AZ$190,,MATCH(SUBSTITUTE(U$3,"Q","T"),Inputs!$B$2:$AZ$2,0)),Inputs!$B$2:$B$190,$B181)*Inputs!$D$1)</f>
        <v>0</v>
      </c>
      <c r="V181" s="57">
        <f>IF(ISNA(SUMIFS(INDEX(Inputs!$B$2:$AZ$190,,MATCH(SUBSTITUTE(V$3,"Q","T"),Inputs!$B$2:$AZ$2,0)),Inputs!$B$2:$B$190,$B181)*Inputs!$D$1),"",SUMIFS(INDEX(Inputs!$B$2:$AZ$190,,MATCH(SUBSTITUTE(V$3,"Q","T"),Inputs!$B$2:$AZ$2,0)),Inputs!$B$2:$B$190,$B181)*Inputs!$D$1)</f>
        <v>0</v>
      </c>
      <c r="W181" s="57">
        <f>IF(ISNA(SUMIFS(INDEX(Inputs!$B$2:$AZ$190,,MATCH(SUBSTITUTE(W$3,"Q","T"),Inputs!$B$2:$AZ$2,0)),Inputs!$B$2:$B$190,$B181)*Inputs!$D$1),"",SUMIFS(INDEX(Inputs!$B$2:$AZ$190,,MATCH(SUBSTITUTE(W$3,"Q","T"),Inputs!$B$2:$AZ$2,0)),Inputs!$B$2:$B$190,$B181)*Inputs!$D$1)</f>
        <v>0</v>
      </c>
      <c r="X181" s="58">
        <f>SUM(T181:W181)</f>
        <v>0</v>
      </c>
      <c r="Y181" s="57">
        <f>IF(ISNA(SUMIFS(INDEX(Inputs!$B$2:$AZ$190,,MATCH(SUBSTITUTE(Y$3,"Q","T"),Inputs!$B$2:$AZ$2,0)),Inputs!$B$2:$B$190,$B181)*Inputs!$D$1),"",SUMIFS(INDEX(Inputs!$B$2:$AZ$190,,MATCH(SUBSTITUTE(Y$3,"Q","T"),Inputs!$B$2:$AZ$2,0)),Inputs!$B$2:$B$190,$B181)*Inputs!$D$1)</f>
        <v>0</v>
      </c>
      <c r="Z181" s="57">
        <f>IF(ISNA(SUMIFS(INDEX(Inputs!$B$2:$AZ$190,,MATCH(SUBSTITUTE(Z$3,"Q","T"),Inputs!$B$2:$AZ$2,0)),Inputs!$B$2:$B$190,$B181)*Inputs!$D$1),"",SUMIFS(INDEX(Inputs!$B$2:$AZ$190,,MATCH(SUBSTITUTE(Z$3,"Q","T"),Inputs!$B$2:$AZ$2,0)),Inputs!$B$2:$B$190,$B181)*Inputs!$D$1)</f>
        <v>0</v>
      </c>
      <c r="AA181" s="57">
        <f>IF(ISNA(SUMIFS(INDEX(Inputs!$B$2:$AZ$190,,MATCH(SUBSTITUTE(AA$3,"Q","T"),Inputs!$B$2:$AZ$2,0)),Inputs!$B$2:$B$190,$B181)*Inputs!$D$1),"",SUMIFS(INDEX(Inputs!$B$2:$AZ$190,,MATCH(SUBSTITUTE(AA$3,"Q","T"),Inputs!$B$2:$AZ$2,0)),Inputs!$B$2:$B$190,$B181)*Inputs!$D$1)</f>
        <v>0</v>
      </c>
      <c r="AB181" s="57">
        <f>IF(ISNA(SUMIFS(INDEX(Inputs!$B$2:$AZ$190,,MATCH(SUBSTITUTE(AB$3,"Q","T"),Inputs!$B$2:$AZ$2,0)),Inputs!$B$2:$B$190,$B181)*Inputs!$D$1),"",SUMIFS(INDEX(Inputs!$B$2:$AZ$190,,MATCH(SUBSTITUTE(AB$3,"Q","T"),Inputs!$B$2:$AZ$2,0)),Inputs!$B$2:$B$190,$B181)*Inputs!$D$1)</f>
        <v>0</v>
      </c>
      <c r="AC181" s="58">
        <f>SUM(Y181:AB181)</f>
        <v>0</v>
      </c>
      <c r="AD181" s="57">
        <f>IF(ISNA(SUMIFS(INDEX(Inputs!$B$2:$AZ$190,,MATCH(SUBSTITUTE(AD$3,"Q","T"),Inputs!$B$2:$AZ$2,0)),Inputs!$B$2:$B$190,$B181)*Inputs!$D$1),"",SUMIFS(INDEX(Inputs!$B$2:$AZ$190,,MATCH(SUBSTITUTE(AD$3,"Q","T"),Inputs!$B$2:$AZ$2,0)),Inputs!$B$2:$B$190,$B181)*Inputs!$D$1)</f>
        <v>0</v>
      </c>
      <c r="AE181" s="57">
        <f>IF(ISNA(SUMIFS(INDEX(Inputs!$B$2:$AZ$190,,MATCH(SUBSTITUTE(AE$3,"Q","T"),Inputs!$B$2:$AZ$2,0)),Inputs!$B$2:$B$190,$B181)*Inputs!$D$1),"",SUMIFS(INDEX(Inputs!$B$2:$AZ$190,,MATCH(SUBSTITUTE(AE$3,"Q","T"),Inputs!$B$2:$AZ$2,0)),Inputs!$B$2:$B$190,$B181)*Inputs!$D$1)</f>
        <v>0</v>
      </c>
      <c r="AF181" s="57">
        <f>IF(ISNA(SUMIFS(INDEX(Inputs!$B$2:$AZ$190,,MATCH(SUBSTITUTE(AF$3,"Q","T"),Inputs!$B$2:$AZ$2,0)),Inputs!$B$2:$B$190,$B181)*Inputs!$D$1),"",SUMIFS(INDEX(Inputs!$B$2:$AZ$190,,MATCH(SUBSTITUTE(AF$3,"Q","T"),Inputs!$B$2:$AZ$2,0)),Inputs!$B$2:$B$190,$B181)*Inputs!$D$1)</f>
        <v>0</v>
      </c>
      <c r="AG181" s="57">
        <f>IF(ISNA(SUMIFS(INDEX(Inputs!$B$2:$AZ$190,,MATCH(SUBSTITUTE(AG$3,"Q","T"),Inputs!$B$2:$AZ$2,0)),Inputs!$B$2:$B$190,$B181)*Inputs!$D$1),"",SUMIFS(INDEX(Inputs!$B$2:$AZ$190,,MATCH(SUBSTITUTE(AG$3,"Q","T"),Inputs!$B$2:$AZ$2,0)),Inputs!$B$2:$B$190,$B181)*Inputs!$D$1)</f>
        <v>0</v>
      </c>
      <c r="AH181" s="58">
        <f>SUM(AD181:AG181)</f>
        <v>0</v>
      </c>
      <c r="AI181" s="57">
        <f>IF(ISNA(SUMIFS(INDEX(Inputs!$B$2:$AZ$190,,MATCH(SUBSTITUTE(AI$3,"Q","T"),Inputs!$B$2:$AZ$2,0)),Inputs!$B$2:$B$190,$B181)*Inputs!$D$1),"",SUMIFS(INDEX(Inputs!$B$2:$AZ$190,,MATCH(SUBSTITUTE(AI$3,"Q","T"),Inputs!$B$2:$AZ$2,0)),Inputs!$B$2:$B$190,$B181)*Inputs!$D$1)</f>
        <v>0</v>
      </c>
      <c r="AJ181" s="57">
        <f>IF(ISNA(SUMIFS(INDEX(Inputs!$B$2:$AZ$190,,MATCH(SUBSTITUTE(AJ$3,"Q","T"),Inputs!$B$2:$AZ$2,0)),Inputs!$B$2:$B$190,$B181)*Inputs!$D$1),"",SUMIFS(INDEX(Inputs!$B$2:$AZ$190,,MATCH(SUBSTITUTE(AJ$3,"Q","T"),Inputs!$B$2:$AZ$2,0)),Inputs!$B$2:$B$190,$B181)*Inputs!$D$1)</f>
        <v>0</v>
      </c>
      <c r="AK181" s="57">
        <f>IF(ISNA(SUMIFS(INDEX(Inputs!$B$2:$AZ$190,,MATCH(SUBSTITUTE(AK$3,"Q","T"),Inputs!$B$2:$AZ$2,0)),Inputs!$B$2:$B$190,$B181)*Inputs!$D$1),"",SUMIFS(INDEX(Inputs!$B$2:$AZ$190,,MATCH(SUBSTITUTE(AK$3,"Q","T"),Inputs!$B$2:$AZ$2,0)),Inputs!$B$2:$B$190,$B181)*Inputs!$D$1)</f>
        <v>0</v>
      </c>
      <c r="AL181" s="57">
        <f>IF(ISNA(SUMIFS(INDEX(Inputs!$B$2:$AZ$190,,MATCH(SUBSTITUTE(AL$3,"Q","T"),Inputs!$B$2:$AZ$2,0)),Inputs!$B$2:$B$190,$B181)*Inputs!$D$1),"",SUMIFS(INDEX(Inputs!$B$2:$AZ$190,,MATCH(SUBSTITUTE(AL$3,"Q","T"),Inputs!$B$2:$AZ$2,0)),Inputs!$B$2:$B$190,$B181)*Inputs!$D$1)</f>
        <v>0</v>
      </c>
      <c r="AM181" s="58">
        <f>SUM(AI181:AL181)</f>
        <v>0</v>
      </c>
      <c r="AN181" s="57">
        <f>IF(ISNA(SUMIFS(INDEX(Inputs!$B$2:$AZ$190,,MATCH(SUBSTITUTE(AN$3,"Q","T"),Inputs!$B$2:$AZ$2,0)),Inputs!$B$2:$B$190,$B181)*Inputs!$D$1),"",SUMIFS(INDEX(Inputs!$B$2:$AZ$190,,MATCH(SUBSTITUTE(AN$3,"Q","T"),Inputs!$B$2:$AZ$2,0)),Inputs!$B$2:$B$190,$B181)*Inputs!$D$1)</f>
        <v>0</v>
      </c>
      <c r="AO181" s="57">
        <f>IF(ISNA(SUMIFS(INDEX(Inputs!$B$2:$AZ$190,,MATCH(SUBSTITUTE(AO$3,"Q","T"),Inputs!$B$2:$AZ$2,0)),Inputs!$B$2:$B$190,$B181)*Inputs!$D$1),"",SUMIFS(INDEX(Inputs!$B$2:$AZ$190,,MATCH(SUBSTITUTE(AO$3,"Q","T"),Inputs!$B$2:$AZ$2,0)),Inputs!$B$2:$B$190,$B181)*Inputs!$D$1)</f>
        <v>0</v>
      </c>
      <c r="AP181" s="57">
        <f>IF(ISNA(SUMIFS(INDEX(Inputs!$B$2:$AZ$190,,MATCH(SUBSTITUTE(AP$3,"Q","T"),Inputs!$B$2:$AZ$2,0)),Inputs!$B$2:$B$190,$B181)*Inputs!$D$1),"",SUMIFS(INDEX(Inputs!$B$2:$AZ$190,,MATCH(SUBSTITUTE(AP$3,"Q","T"),Inputs!$B$2:$AZ$2,0)),Inputs!$B$2:$B$190,$B181)*Inputs!$D$1)</f>
        <v>0</v>
      </c>
      <c r="AQ181" s="57">
        <f>IF(ISNA(SUMIFS(INDEX(Inputs!$B$2:$AZ$190,,MATCH(SUBSTITUTE(AQ$3,"Q","T"),Inputs!$B$2:$AZ$2,0)),Inputs!$B$2:$B$190,$B181)*Inputs!$D$1),"",SUMIFS(INDEX(Inputs!$B$2:$AZ$190,,MATCH(SUBSTITUTE(AQ$3,"Q","T"),Inputs!$B$2:$AZ$2,0)),Inputs!$B$2:$B$190,$B181)*Inputs!$D$1)</f>
        <v>0</v>
      </c>
      <c r="AR181" s="58">
        <f>SUM(AN181:AQ181)</f>
        <v>0</v>
      </c>
      <c r="AS181" s="57">
        <f>IF(ISNA(SUMIFS(INDEX(Inputs!$B$2:$AZ$190,,MATCH(SUBSTITUTE(AS$3,"Q","T"),Inputs!$B$2:$AZ$2,0)),Inputs!$B$2:$B$190,$B181)*Inputs!$D$1),"",SUMIFS(INDEX(Inputs!$B$2:$AZ$190,,MATCH(SUBSTITUTE(AS$3,"Q","T"),Inputs!$B$2:$AZ$2,0)),Inputs!$B$2:$B$190,$B181)*Inputs!$D$1)</f>
        <v>0</v>
      </c>
      <c r="AT181" s="57">
        <f>IF(ISNA(SUMIFS(INDEX(Inputs!$B$2:$AZ$190,,MATCH(SUBSTITUTE(AT$3,"Q","T"),Inputs!$B$2:$AZ$2,0)),Inputs!$B$2:$B$190,$B181)*Inputs!$D$1),"",SUMIFS(INDEX(Inputs!$B$2:$AZ$190,,MATCH(SUBSTITUTE(AT$3,"Q","T"),Inputs!$B$2:$AZ$2,0)),Inputs!$B$2:$B$190,$B181)*Inputs!$D$1)</f>
        <v>0</v>
      </c>
      <c r="AU181" s="57">
        <f>IF(ISNA(SUMIFS(INDEX(Inputs!$B$2:$AZ$190,,MATCH(SUBSTITUTE(AU$3,"Q","T"),Inputs!$B$2:$AZ$2,0)),Inputs!$B$2:$B$190,$B181)*Inputs!$D$1),"",SUMIFS(INDEX(Inputs!$B$2:$AZ$190,,MATCH(SUBSTITUTE(AU$3,"Q","T"),Inputs!$B$2:$AZ$2,0)),Inputs!$B$2:$B$190,$B181)*Inputs!$D$1)</f>
        <v>0</v>
      </c>
      <c r="AV181" s="57">
        <f>IF(ISNA(SUMIFS(INDEX(Inputs!$B$2:$AZ$190,,MATCH(SUBSTITUTE(AV$3,"Q","T"),Inputs!$B$2:$AZ$2,0)),Inputs!$B$2:$B$190,$B181)*Inputs!$D$1),"",SUMIFS(INDEX(Inputs!$B$2:$AZ$190,,MATCH(SUBSTITUTE(AV$3,"Q","T"),Inputs!$B$2:$AZ$2,0)),Inputs!$B$2:$B$190,$B181)*Inputs!$D$1)</f>
        <v>0</v>
      </c>
      <c r="AW181" s="58">
        <f>SUM(AS181:AV181)</f>
        <v>0</v>
      </c>
      <c r="AX181" s="57">
        <f>IF(ISNA(SUMIFS(INDEX(Inputs!$B$2:$AZ$190,,MATCH(SUBSTITUTE(AX$3,"Q","T"),Inputs!$B$2:$AZ$2,0)),Inputs!$B$2:$B$190,$B181)*Inputs!$D$1),"",SUMIFS(INDEX(Inputs!$B$2:$AZ$190,,MATCH(SUBSTITUTE(AX$3,"Q","T"),Inputs!$B$2:$AZ$2,0)),Inputs!$B$2:$B$190,$B181)*Inputs!$D$1)</f>
        <v>0</v>
      </c>
      <c r="AY181" s="57">
        <f>IF(ISNA(SUMIFS(INDEX(Inputs!$B$2:$AZ$190,,MATCH(SUBSTITUTE(AY$3,"Q","T"),Inputs!$B$2:$AZ$2,0)),Inputs!$B$2:$B$190,$B181)*Inputs!$D$1),"",SUMIFS(INDEX(Inputs!$B$2:$AZ$190,,MATCH(SUBSTITUTE(AY$3,"Q","T"),Inputs!$B$2:$AZ$2,0)),Inputs!$B$2:$B$190,$B181)*Inputs!$D$1)</f>
        <v>0</v>
      </c>
      <c r="AZ181" s="57">
        <f>IF(ISNA(SUMIFS(INDEX(Inputs!$B$2:$AZ$190,,MATCH(SUBSTITUTE(AZ$3,"Q","T"),Inputs!$B$2:$AZ$2,0)),Inputs!$B$2:$B$190,$B181)*Inputs!$D$1),"",SUMIFS(INDEX(Inputs!$B$2:$AZ$190,,MATCH(SUBSTITUTE(AZ$3,"Q","T"),Inputs!$B$2:$AZ$2,0)),Inputs!$B$2:$B$190,$B181)*Inputs!$D$1)</f>
        <v>0</v>
      </c>
      <c r="BA181" s="57">
        <f>IF(ISNA(SUMIFS(INDEX(Inputs!$B$2:$AZ$190,,MATCH(SUBSTITUTE(BA$3,"Q","T"),Inputs!$B$2:$AZ$2,0)),Inputs!$B$2:$B$190,$B181)*Inputs!$D$1),"",SUMIFS(INDEX(Inputs!$B$2:$AZ$190,,MATCH(SUBSTITUTE(BA$3,"Q","T"),Inputs!$B$2:$AZ$2,0)),Inputs!$B$2:$B$190,$B181)*Inputs!$D$1)</f>
        <v>0</v>
      </c>
      <c r="BB181" s="58">
        <f>SUM(AX181:BA181)</f>
        <v>0</v>
      </c>
      <c r="BC181" s="57">
        <f>IF(ISNA(SUMIFS(INDEX(Inputs!$B$2:$AZ$190,,MATCH(SUBSTITUTE(BC$3,"Q","T"),Inputs!$B$2:$AZ$2,0)),Inputs!$B$2:$B$190,$B181)*Inputs!$D$1),"",SUMIFS(INDEX(Inputs!$B$2:$AZ$190,,MATCH(SUBSTITUTE(BC$3,"Q","T"),Inputs!$B$2:$AZ$2,0)),Inputs!$B$2:$B$190,$B181)*Inputs!$D$1)</f>
        <v>0</v>
      </c>
      <c r="BD181" s="57">
        <f>IF(ISNA(SUMIFS(INDEX(Inputs!$B$2:$AZ$190,,MATCH(SUBSTITUTE(BD$3,"Q","T"),Inputs!$B$2:$AZ$2,0)),Inputs!$B$2:$B$190,$B181)*Inputs!$D$1),"",SUMIFS(INDEX(Inputs!$B$2:$AZ$190,,MATCH(SUBSTITUTE(BD$3,"Q","T"),Inputs!$B$2:$AZ$2,0)),Inputs!$B$2:$B$190,$B181)*Inputs!$D$1)</f>
        <v>0</v>
      </c>
      <c r="BE181" s="57">
        <f>IF(ISNA(SUMIFS(INDEX(Inputs!$B$2:$AZ$190,,MATCH(SUBSTITUTE(BE$3,"Q","T"),Inputs!$B$2:$AZ$2,0)),Inputs!$B$2:$B$190,$B181)*Inputs!$D$1),"",SUMIFS(INDEX(Inputs!$B$2:$AZ$190,,MATCH(SUBSTITUTE(BE$3,"Q","T"),Inputs!$B$2:$AZ$2,0)),Inputs!$B$2:$B$190,$B181)*Inputs!$D$1)</f>
        <v>0</v>
      </c>
      <c r="BF181" s="57">
        <f>IF(ISNA(SUMIFS(INDEX(Inputs!$B$2:$AZ$190,,MATCH(SUBSTITUTE(BF$3,"Q","T"),Inputs!$B$2:$AZ$2,0)),Inputs!$B$2:$B$190,$B181)*Inputs!$D$1),"",SUMIFS(INDEX(Inputs!$B$2:$AZ$190,,MATCH(SUBSTITUTE(BF$3,"Q","T"),Inputs!$B$2:$AZ$2,0)),Inputs!$B$2:$B$190,$B181)*Inputs!$D$1)</f>
        <v>0</v>
      </c>
      <c r="BG181" s="58">
        <f>SUM(BC181:BF181)</f>
        <v>0</v>
      </c>
    </row>
    <row r="182" hidden="1" outlineLevel="1">
      <c r="B182" s="56" t="inlineStr">
        <is>
          <t>fee_mort</t>
        </is>
      </c>
      <c r="C182" s="11" t="inlineStr">
        <is>
          <t>Hipotecas (mortgage fees) e demais tarifas</t>
        </is>
      </c>
      <c r="D182" s="12" t="inlineStr">
        <is>
          <t>Mortgage fees and other</t>
        </is>
      </c>
      <c r="E182" s="57">
        <f>IF(ISNA(SUMIFS(INDEX(Inputs!$B$2:$AZ$190,,MATCH(SUBSTITUTE(E$3,"Q","T"),Inputs!$B$2:$AZ$2,0)),Inputs!$B$2:$B$190,$B182)*Inputs!$D$1),"",SUMIFS(INDEX(Inputs!$B$2:$AZ$190,,MATCH(SUBSTITUTE(E$3,"Q","T"),Inputs!$B$2:$AZ$2,0)),Inputs!$B$2:$B$190,$B182)*Inputs!$D$1)</f>
        <v>0</v>
      </c>
      <c r="F182" s="57">
        <f>IF(ISNA(SUMIFS(INDEX(Inputs!$B$2:$AZ$190,,MATCH(SUBSTITUTE(F$3,"Q","T"),Inputs!$B$2:$AZ$2,0)),Inputs!$B$2:$B$190,$B182)*Inputs!$D$1),"",SUMIFS(INDEX(Inputs!$B$2:$AZ$190,,MATCH(SUBSTITUTE(F$3,"Q","T"),Inputs!$B$2:$AZ$2,0)),Inputs!$B$2:$B$190,$B182)*Inputs!$D$1)</f>
        <v>0</v>
      </c>
      <c r="G182" s="57">
        <f>IF(ISNA(SUMIFS(INDEX(Inputs!$B$2:$AZ$190,,MATCH(SUBSTITUTE(G$3,"Q","T"),Inputs!$B$2:$AZ$2,0)),Inputs!$B$2:$B$190,$B182)*Inputs!$D$1),"",SUMIFS(INDEX(Inputs!$B$2:$AZ$190,,MATCH(SUBSTITUTE(G$3,"Q","T"),Inputs!$B$2:$AZ$2,0)),Inputs!$B$2:$B$190,$B182)*Inputs!$D$1)</f>
        <v>0</v>
      </c>
      <c r="H182" s="57">
        <f>IF(ISNA(SUMIFS(INDEX(Inputs!$B$2:$AZ$190,,MATCH(SUBSTITUTE(H$3,"Q","T"),Inputs!$B$2:$AZ$2,0)),Inputs!$B$2:$B$190,$B182)*Inputs!$D$1),"",SUMIFS(INDEX(Inputs!$B$2:$AZ$190,,MATCH(SUBSTITUTE(H$3,"Q","T"),Inputs!$B$2:$AZ$2,0)),Inputs!$B$2:$B$190,$B182)*Inputs!$D$1)</f>
        <v>0</v>
      </c>
      <c r="I182" s="58">
        <f>SUM(E182:H182)</f>
        <v>0</v>
      </c>
      <c r="J182" s="57">
        <f>IF(ISNA(SUMIFS(INDEX(Inputs!$B$2:$AZ$190,,MATCH(SUBSTITUTE(J$3,"Q","T"),Inputs!$B$2:$AZ$2,0)),Inputs!$B$2:$B$190,$B182)*Inputs!$D$1),"",SUMIFS(INDEX(Inputs!$B$2:$AZ$190,,MATCH(SUBSTITUTE(J$3,"Q","T"),Inputs!$B$2:$AZ$2,0)),Inputs!$B$2:$B$190,$B182)*Inputs!$D$1)</f>
        <v>0</v>
      </c>
      <c r="K182" s="57">
        <f>IF(ISNA(SUMIFS(INDEX(Inputs!$B$2:$AZ$190,,MATCH(SUBSTITUTE(K$3,"Q","T"),Inputs!$B$2:$AZ$2,0)),Inputs!$B$2:$B$190,$B182)*Inputs!$D$1),"",SUMIFS(INDEX(Inputs!$B$2:$AZ$190,,MATCH(SUBSTITUTE(K$3,"Q","T"),Inputs!$B$2:$AZ$2,0)),Inputs!$B$2:$B$190,$B182)*Inputs!$D$1)</f>
        <v>0</v>
      </c>
      <c r="L182" s="57">
        <f>IF(ISNA(SUMIFS(INDEX(Inputs!$B$2:$AZ$190,,MATCH(SUBSTITUTE(L$3,"Q","T"),Inputs!$B$2:$AZ$2,0)),Inputs!$B$2:$B$190,$B182)*Inputs!$D$1),"",SUMIFS(INDEX(Inputs!$B$2:$AZ$190,,MATCH(SUBSTITUTE(L$3,"Q","T"),Inputs!$B$2:$AZ$2,0)),Inputs!$B$2:$B$190,$B182)*Inputs!$D$1)</f>
        <v>0</v>
      </c>
      <c r="M182" s="57">
        <f>IF(ISNA(SUMIFS(INDEX(Inputs!$B$2:$AZ$190,,MATCH(SUBSTITUTE(M$3,"Q","T"),Inputs!$B$2:$AZ$2,0)),Inputs!$B$2:$B$190,$B182)*Inputs!$D$1),"",SUMIFS(INDEX(Inputs!$B$2:$AZ$190,,MATCH(SUBSTITUTE(M$3,"Q","T"),Inputs!$B$2:$AZ$2,0)),Inputs!$B$2:$B$190,$B182)*Inputs!$D$1)</f>
        <v>0</v>
      </c>
      <c r="N182" s="58">
        <f>SUM(J182:M182)</f>
        <v>0</v>
      </c>
      <c r="O182" s="57">
        <f>IF(ISNA(SUMIFS(INDEX(Inputs!$B$2:$AZ$190,,MATCH(SUBSTITUTE(O$3,"Q","T"),Inputs!$B$2:$AZ$2,0)),Inputs!$B$2:$B$190,$B182)*Inputs!$D$1),"",SUMIFS(INDEX(Inputs!$B$2:$AZ$190,,MATCH(SUBSTITUTE(O$3,"Q","T"),Inputs!$B$2:$AZ$2,0)),Inputs!$B$2:$B$190,$B182)*Inputs!$D$1)</f>
        <v>0</v>
      </c>
      <c r="P182" s="57">
        <f>IF(ISNA(SUMIFS(INDEX(Inputs!$B$2:$AZ$190,,MATCH(SUBSTITUTE(P$3,"Q","T"),Inputs!$B$2:$AZ$2,0)),Inputs!$B$2:$B$190,$B182)*Inputs!$D$1),"",SUMIFS(INDEX(Inputs!$B$2:$AZ$190,,MATCH(SUBSTITUTE(P$3,"Q","T"),Inputs!$B$2:$AZ$2,0)),Inputs!$B$2:$B$190,$B182)*Inputs!$D$1)</f>
        <v>0</v>
      </c>
      <c r="Q182" s="57">
        <f>IF(ISNA(SUMIFS(INDEX(Inputs!$B$2:$AZ$190,,MATCH(SUBSTITUTE(Q$3,"Q","T"),Inputs!$B$2:$AZ$2,0)),Inputs!$B$2:$B$190,$B182)*Inputs!$D$1),"",SUMIFS(INDEX(Inputs!$B$2:$AZ$190,,MATCH(SUBSTITUTE(Q$3,"Q","T"),Inputs!$B$2:$AZ$2,0)),Inputs!$B$2:$B$190,$B182)*Inputs!$D$1)</f>
        <v>0</v>
      </c>
      <c r="R182" s="57">
        <f>IF(ISNA(SUMIFS(INDEX(Inputs!$B$2:$AZ$190,,MATCH(SUBSTITUTE(R$3,"Q","T"),Inputs!$B$2:$AZ$2,0)),Inputs!$B$2:$B$190,$B182)*Inputs!$D$1),"",SUMIFS(INDEX(Inputs!$B$2:$AZ$190,,MATCH(SUBSTITUTE(R$3,"Q","T"),Inputs!$B$2:$AZ$2,0)),Inputs!$B$2:$B$190,$B182)*Inputs!$D$1)</f>
        <v>0</v>
      </c>
      <c r="S182" s="58">
        <f>SUM(O182:R182)</f>
        <v>0</v>
      </c>
      <c r="T182" s="57">
        <f>IF(ISNA(SUMIFS(INDEX(Inputs!$B$2:$AZ$190,,MATCH(SUBSTITUTE(T$3,"Q","T"),Inputs!$B$2:$AZ$2,0)),Inputs!$B$2:$B$190,$B182)*Inputs!$D$1),"",SUMIFS(INDEX(Inputs!$B$2:$AZ$190,,MATCH(SUBSTITUTE(T$3,"Q","T"),Inputs!$B$2:$AZ$2,0)),Inputs!$B$2:$B$190,$B182)*Inputs!$D$1)</f>
        <v>0</v>
      </c>
      <c r="U182" s="57">
        <f>IF(ISNA(SUMIFS(INDEX(Inputs!$B$2:$AZ$190,,MATCH(SUBSTITUTE(U$3,"Q","T"),Inputs!$B$2:$AZ$2,0)),Inputs!$B$2:$B$190,$B182)*Inputs!$D$1),"",SUMIFS(INDEX(Inputs!$B$2:$AZ$190,,MATCH(SUBSTITUTE(U$3,"Q","T"),Inputs!$B$2:$AZ$2,0)),Inputs!$B$2:$B$190,$B182)*Inputs!$D$1)</f>
        <v>0</v>
      </c>
      <c r="V182" s="57">
        <f>IF(ISNA(SUMIFS(INDEX(Inputs!$B$2:$AZ$190,,MATCH(SUBSTITUTE(V$3,"Q","T"),Inputs!$B$2:$AZ$2,0)),Inputs!$B$2:$B$190,$B182)*Inputs!$D$1),"",SUMIFS(INDEX(Inputs!$B$2:$AZ$190,,MATCH(SUBSTITUTE(V$3,"Q","T"),Inputs!$B$2:$AZ$2,0)),Inputs!$B$2:$B$190,$B182)*Inputs!$D$1)</f>
        <v>0</v>
      </c>
      <c r="W182" s="57">
        <f>IF(ISNA(SUMIFS(INDEX(Inputs!$B$2:$AZ$190,,MATCH(SUBSTITUTE(W$3,"Q","T"),Inputs!$B$2:$AZ$2,0)),Inputs!$B$2:$B$190,$B182)*Inputs!$D$1),"",SUMIFS(INDEX(Inputs!$B$2:$AZ$190,,MATCH(SUBSTITUTE(W$3,"Q","T"),Inputs!$B$2:$AZ$2,0)),Inputs!$B$2:$B$190,$B182)*Inputs!$D$1)</f>
        <v>0</v>
      </c>
      <c r="X182" s="58">
        <f>SUM(T182:W182)</f>
        <v>0</v>
      </c>
      <c r="Y182" s="57">
        <f>IF(ISNA(SUMIFS(INDEX(Inputs!$B$2:$AZ$190,,MATCH(SUBSTITUTE(Y$3,"Q","T"),Inputs!$B$2:$AZ$2,0)),Inputs!$B$2:$B$190,$B182)*Inputs!$D$1),"",SUMIFS(INDEX(Inputs!$B$2:$AZ$190,,MATCH(SUBSTITUTE(Y$3,"Q","T"),Inputs!$B$2:$AZ$2,0)),Inputs!$B$2:$B$190,$B182)*Inputs!$D$1)</f>
        <v>0</v>
      </c>
      <c r="Z182" s="57">
        <f>IF(ISNA(SUMIFS(INDEX(Inputs!$B$2:$AZ$190,,MATCH(SUBSTITUTE(Z$3,"Q","T"),Inputs!$B$2:$AZ$2,0)),Inputs!$B$2:$B$190,$B182)*Inputs!$D$1),"",SUMIFS(INDEX(Inputs!$B$2:$AZ$190,,MATCH(SUBSTITUTE(Z$3,"Q","T"),Inputs!$B$2:$AZ$2,0)),Inputs!$B$2:$B$190,$B182)*Inputs!$D$1)</f>
        <v>0</v>
      </c>
      <c r="AA182" s="57">
        <f>IF(ISNA(SUMIFS(INDEX(Inputs!$B$2:$AZ$190,,MATCH(SUBSTITUTE(AA$3,"Q","T"),Inputs!$B$2:$AZ$2,0)),Inputs!$B$2:$B$190,$B182)*Inputs!$D$1),"",SUMIFS(INDEX(Inputs!$B$2:$AZ$190,,MATCH(SUBSTITUTE(AA$3,"Q","T"),Inputs!$B$2:$AZ$2,0)),Inputs!$B$2:$B$190,$B182)*Inputs!$D$1)</f>
        <v>0</v>
      </c>
      <c r="AB182" s="57">
        <f>IF(ISNA(SUMIFS(INDEX(Inputs!$B$2:$AZ$190,,MATCH(SUBSTITUTE(AB$3,"Q","T"),Inputs!$B$2:$AZ$2,0)),Inputs!$B$2:$B$190,$B182)*Inputs!$D$1),"",SUMIFS(INDEX(Inputs!$B$2:$AZ$190,,MATCH(SUBSTITUTE(AB$3,"Q","T"),Inputs!$B$2:$AZ$2,0)),Inputs!$B$2:$B$190,$B182)*Inputs!$D$1)</f>
        <v>0</v>
      </c>
      <c r="AC182" s="58">
        <f>SUM(Y182:AB182)</f>
        <v>0</v>
      </c>
      <c r="AD182" s="57">
        <f>IF(ISNA(SUMIFS(INDEX(Inputs!$B$2:$AZ$190,,MATCH(SUBSTITUTE(AD$3,"Q","T"),Inputs!$B$2:$AZ$2,0)),Inputs!$B$2:$B$190,$B182)*Inputs!$D$1),"",SUMIFS(INDEX(Inputs!$B$2:$AZ$190,,MATCH(SUBSTITUTE(AD$3,"Q","T"),Inputs!$B$2:$AZ$2,0)),Inputs!$B$2:$B$190,$B182)*Inputs!$D$1)</f>
        <v>0</v>
      </c>
      <c r="AE182" s="57">
        <f>IF(ISNA(SUMIFS(INDEX(Inputs!$B$2:$AZ$190,,MATCH(SUBSTITUTE(AE$3,"Q","T"),Inputs!$B$2:$AZ$2,0)),Inputs!$B$2:$B$190,$B182)*Inputs!$D$1),"",SUMIFS(INDEX(Inputs!$B$2:$AZ$190,,MATCH(SUBSTITUTE(AE$3,"Q","T"),Inputs!$B$2:$AZ$2,0)),Inputs!$B$2:$B$190,$B182)*Inputs!$D$1)</f>
        <v>0</v>
      </c>
      <c r="AF182" s="57">
        <f>IF(ISNA(SUMIFS(INDEX(Inputs!$B$2:$AZ$190,,MATCH(SUBSTITUTE(AF$3,"Q","T"),Inputs!$B$2:$AZ$2,0)),Inputs!$B$2:$B$190,$B182)*Inputs!$D$1),"",SUMIFS(INDEX(Inputs!$B$2:$AZ$190,,MATCH(SUBSTITUTE(AF$3,"Q","T"),Inputs!$B$2:$AZ$2,0)),Inputs!$B$2:$B$190,$B182)*Inputs!$D$1)</f>
        <v>0</v>
      </c>
      <c r="AG182" s="57">
        <f>IF(ISNA(SUMIFS(INDEX(Inputs!$B$2:$AZ$190,,MATCH(SUBSTITUTE(AG$3,"Q","T"),Inputs!$B$2:$AZ$2,0)),Inputs!$B$2:$B$190,$B182)*Inputs!$D$1),"",SUMIFS(INDEX(Inputs!$B$2:$AZ$190,,MATCH(SUBSTITUTE(AG$3,"Q","T"),Inputs!$B$2:$AZ$2,0)),Inputs!$B$2:$B$190,$B182)*Inputs!$D$1)</f>
        <v>0</v>
      </c>
      <c r="AH182" s="58">
        <f>SUM(AD182:AG182)</f>
        <v>0</v>
      </c>
      <c r="AI182" s="57">
        <f>IF(ISNA(SUMIFS(INDEX(Inputs!$B$2:$AZ$190,,MATCH(SUBSTITUTE(AI$3,"Q","T"),Inputs!$B$2:$AZ$2,0)),Inputs!$B$2:$B$190,$B182)*Inputs!$D$1),"",SUMIFS(INDEX(Inputs!$B$2:$AZ$190,,MATCH(SUBSTITUTE(AI$3,"Q","T"),Inputs!$B$2:$AZ$2,0)),Inputs!$B$2:$B$190,$B182)*Inputs!$D$1)</f>
        <v>0</v>
      </c>
      <c r="AJ182" s="57">
        <f>IF(ISNA(SUMIFS(INDEX(Inputs!$B$2:$AZ$190,,MATCH(SUBSTITUTE(AJ$3,"Q","T"),Inputs!$B$2:$AZ$2,0)),Inputs!$B$2:$B$190,$B182)*Inputs!$D$1),"",SUMIFS(INDEX(Inputs!$B$2:$AZ$190,,MATCH(SUBSTITUTE(AJ$3,"Q","T"),Inputs!$B$2:$AZ$2,0)),Inputs!$B$2:$B$190,$B182)*Inputs!$D$1)</f>
        <v>0</v>
      </c>
      <c r="AK182" s="57">
        <f>IF(ISNA(SUMIFS(INDEX(Inputs!$B$2:$AZ$190,,MATCH(SUBSTITUTE(AK$3,"Q","T"),Inputs!$B$2:$AZ$2,0)),Inputs!$B$2:$B$190,$B182)*Inputs!$D$1),"",SUMIFS(INDEX(Inputs!$B$2:$AZ$190,,MATCH(SUBSTITUTE(AK$3,"Q","T"),Inputs!$B$2:$AZ$2,0)),Inputs!$B$2:$B$190,$B182)*Inputs!$D$1)</f>
        <v>0</v>
      </c>
      <c r="AL182" s="57">
        <f>IF(ISNA(SUMIFS(INDEX(Inputs!$B$2:$AZ$190,,MATCH(SUBSTITUTE(AL$3,"Q","T"),Inputs!$B$2:$AZ$2,0)),Inputs!$B$2:$B$190,$B182)*Inputs!$D$1),"",SUMIFS(INDEX(Inputs!$B$2:$AZ$190,,MATCH(SUBSTITUTE(AL$3,"Q","T"),Inputs!$B$2:$AZ$2,0)),Inputs!$B$2:$B$190,$B182)*Inputs!$D$1)</f>
        <v>0</v>
      </c>
      <c r="AM182" s="58">
        <f>SUM(AI182:AL182)</f>
        <v>0</v>
      </c>
      <c r="AN182" s="57">
        <f>IF(ISNA(SUMIFS(INDEX(Inputs!$B$2:$AZ$190,,MATCH(SUBSTITUTE(AN$3,"Q","T"),Inputs!$B$2:$AZ$2,0)),Inputs!$B$2:$B$190,$B182)*Inputs!$D$1),"",SUMIFS(INDEX(Inputs!$B$2:$AZ$190,,MATCH(SUBSTITUTE(AN$3,"Q","T"),Inputs!$B$2:$AZ$2,0)),Inputs!$B$2:$B$190,$B182)*Inputs!$D$1)</f>
        <v>0</v>
      </c>
      <c r="AO182" s="57">
        <f>IF(ISNA(SUMIFS(INDEX(Inputs!$B$2:$AZ$190,,MATCH(SUBSTITUTE(AO$3,"Q","T"),Inputs!$B$2:$AZ$2,0)),Inputs!$B$2:$B$190,$B182)*Inputs!$D$1),"",SUMIFS(INDEX(Inputs!$B$2:$AZ$190,,MATCH(SUBSTITUTE(AO$3,"Q","T"),Inputs!$B$2:$AZ$2,0)),Inputs!$B$2:$B$190,$B182)*Inputs!$D$1)</f>
        <v>0</v>
      </c>
      <c r="AP182" s="57">
        <f>IF(ISNA(SUMIFS(INDEX(Inputs!$B$2:$AZ$190,,MATCH(SUBSTITUTE(AP$3,"Q","T"),Inputs!$B$2:$AZ$2,0)),Inputs!$B$2:$B$190,$B182)*Inputs!$D$1),"",SUMIFS(INDEX(Inputs!$B$2:$AZ$190,,MATCH(SUBSTITUTE(AP$3,"Q","T"),Inputs!$B$2:$AZ$2,0)),Inputs!$B$2:$B$190,$B182)*Inputs!$D$1)</f>
        <v>0</v>
      </c>
      <c r="AQ182" s="57">
        <f>IF(ISNA(SUMIFS(INDEX(Inputs!$B$2:$AZ$190,,MATCH(SUBSTITUTE(AQ$3,"Q","T"),Inputs!$B$2:$AZ$2,0)),Inputs!$B$2:$B$190,$B182)*Inputs!$D$1),"",SUMIFS(INDEX(Inputs!$B$2:$AZ$190,,MATCH(SUBSTITUTE(AQ$3,"Q","T"),Inputs!$B$2:$AZ$2,0)),Inputs!$B$2:$B$190,$B182)*Inputs!$D$1)</f>
        <v>0</v>
      </c>
      <c r="AR182" s="58">
        <f>SUM(AN182:AQ182)</f>
        <v>0</v>
      </c>
      <c r="AS182" s="57">
        <f>IF(ISNA(SUMIFS(INDEX(Inputs!$B$2:$AZ$190,,MATCH(SUBSTITUTE(AS$3,"Q","T"),Inputs!$B$2:$AZ$2,0)),Inputs!$B$2:$B$190,$B182)*Inputs!$D$1),"",SUMIFS(INDEX(Inputs!$B$2:$AZ$190,,MATCH(SUBSTITUTE(AS$3,"Q","T"),Inputs!$B$2:$AZ$2,0)),Inputs!$B$2:$B$190,$B182)*Inputs!$D$1)</f>
        <v>0</v>
      </c>
      <c r="AT182" s="57">
        <f>IF(ISNA(SUMIFS(INDEX(Inputs!$B$2:$AZ$190,,MATCH(SUBSTITUTE(AT$3,"Q","T"),Inputs!$B$2:$AZ$2,0)),Inputs!$B$2:$B$190,$B182)*Inputs!$D$1),"",SUMIFS(INDEX(Inputs!$B$2:$AZ$190,,MATCH(SUBSTITUTE(AT$3,"Q","T"),Inputs!$B$2:$AZ$2,0)),Inputs!$B$2:$B$190,$B182)*Inputs!$D$1)</f>
        <v>0</v>
      </c>
      <c r="AU182" s="57">
        <f>IF(ISNA(SUMIFS(INDEX(Inputs!$B$2:$AZ$190,,MATCH(SUBSTITUTE(AU$3,"Q","T"),Inputs!$B$2:$AZ$2,0)),Inputs!$B$2:$B$190,$B182)*Inputs!$D$1),"",SUMIFS(INDEX(Inputs!$B$2:$AZ$190,,MATCH(SUBSTITUTE(AU$3,"Q","T"),Inputs!$B$2:$AZ$2,0)),Inputs!$B$2:$B$190,$B182)*Inputs!$D$1)</f>
        <v>0</v>
      </c>
      <c r="AV182" s="57">
        <f>IF(ISNA(SUMIFS(INDEX(Inputs!$B$2:$AZ$190,,MATCH(SUBSTITUTE(AV$3,"Q","T"),Inputs!$B$2:$AZ$2,0)),Inputs!$B$2:$B$190,$B182)*Inputs!$D$1),"",SUMIFS(INDEX(Inputs!$B$2:$AZ$190,,MATCH(SUBSTITUTE(AV$3,"Q","T"),Inputs!$B$2:$AZ$2,0)),Inputs!$B$2:$B$190,$B182)*Inputs!$D$1)</f>
        <v>0</v>
      </c>
      <c r="AW182" s="58">
        <f>SUM(AS182:AV182)</f>
        <v>0</v>
      </c>
      <c r="AX182" s="57">
        <f>IF(ISNA(SUMIFS(INDEX(Inputs!$B$2:$AZ$190,,MATCH(SUBSTITUTE(AX$3,"Q","T"),Inputs!$B$2:$AZ$2,0)),Inputs!$B$2:$B$190,$B182)*Inputs!$D$1),"",SUMIFS(INDEX(Inputs!$B$2:$AZ$190,,MATCH(SUBSTITUTE(AX$3,"Q","T"),Inputs!$B$2:$AZ$2,0)),Inputs!$B$2:$B$190,$B182)*Inputs!$D$1)</f>
        <v>0</v>
      </c>
      <c r="AY182" s="57">
        <f>IF(ISNA(SUMIFS(INDEX(Inputs!$B$2:$AZ$190,,MATCH(SUBSTITUTE(AY$3,"Q","T"),Inputs!$B$2:$AZ$2,0)),Inputs!$B$2:$B$190,$B182)*Inputs!$D$1),"",SUMIFS(INDEX(Inputs!$B$2:$AZ$190,,MATCH(SUBSTITUTE(AY$3,"Q","T"),Inputs!$B$2:$AZ$2,0)),Inputs!$B$2:$B$190,$B182)*Inputs!$D$1)</f>
        <v>0</v>
      </c>
      <c r="AZ182" s="57">
        <f>IF(ISNA(SUMIFS(INDEX(Inputs!$B$2:$AZ$190,,MATCH(SUBSTITUTE(AZ$3,"Q","T"),Inputs!$B$2:$AZ$2,0)),Inputs!$B$2:$B$190,$B182)*Inputs!$D$1),"",SUMIFS(INDEX(Inputs!$B$2:$AZ$190,,MATCH(SUBSTITUTE(AZ$3,"Q","T"),Inputs!$B$2:$AZ$2,0)),Inputs!$B$2:$B$190,$B182)*Inputs!$D$1)</f>
        <v>0</v>
      </c>
      <c r="BA182" s="57">
        <f>IF(ISNA(SUMIFS(INDEX(Inputs!$B$2:$AZ$190,,MATCH(SUBSTITUTE(BA$3,"Q","T"),Inputs!$B$2:$AZ$2,0)),Inputs!$B$2:$B$190,$B182)*Inputs!$D$1),"",SUMIFS(INDEX(Inputs!$B$2:$AZ$190,,MATCH(SUBSTITUTE(BA$3,"Q","T"),Inputs!$B$2:$AZ$2,0)),Inputs!$B$2:$B$190,$B182)*Inputs!$D$1)</f>
        <v>0</v>
      </c>
      <c r="BB182" s="58">
        <f>SUM(AX182:BA182)</f>
        <v>0</v>
      </c>
      <c r="BC182" s="57">
        <f>IF(ISNA(SUMIFS(INDEX(Inputs!$B$2:$AZ$190,,MATCH(SUBSTITUTE(BC$3,"Q","T"),Inputs!$B$2:$AZ$2,0)),Inputs!$B$2:$B$190,$B182)*Inputs!$D$1),"",SUMIFS(INDEX(Inputs!$B$2:$AZ$190,,MATCH(SUBSTITUTE(BC$3,"Q","T"),Inputs!$B$2:$AZ$2,0)),Inputs!$B$2:$B$190,$B182)*Inputs!$D$1)</f>
        <v>0</v>
      </c>
      <c r="BD182" s="57">
        <f>IF(ISNA(SUMIFS(INDEX(Inputs!$B$2:$AZ$190,,MATCH(SUBSTITUTE(BD$3,"Q","T"),Inputs!$B$2:$AZ$2,0)),Inputs!$B$2:$B$190,$B182)*Inputs!$D$1),"",SUMIFS(INDEX(Inputs!$B$2:$AZ$190,,MATCH(SUBSTITUTE(BD$3,"Q","T"),Inputs!$B$2:$AZ$2,0)),Inputs!$B$2:$B$190,$B182)*Inputs!$D$1)</f>
        <v>0</v>
      </c>
      <c r="BE182" s="57">
        <f>IF(ISNA(SUMIFS(INDEX(Inputs!$B$2:$AZ$190,,MATCH(SUBSTITUTE(BE$3,"Q","T"),Inputs!$B$2:$AZ$2,0)),Inputs!$B$2:$B$190,$B182)*Inputs!$D$1),"",SUMIFS(INDEX(Inputs!$B$2:$AZ$190,,MATCH(SUBSTITUTE(BE$3,"Q","T"),Inputs!$B$2:$AZ$2,0)),Inputs!$B$2:$B$190,$B182)*Inputs!$D$1)</f>
        <v>0</v>
      </c>
      <c r="BF182" s="57">
        <f>IF(ISNA(SUMIFS(INDEX(Inputs!$B$2:$AZ$190,,MATCH(SUBSTITUTE(BF$3,"Q","T"),Inputs!$B$2:$AZ$2,0)),Inputs!$B$2:$B$190,$B182)*Inputs!$D$1),"",SUMIFS(INDEX(Inputs!$B$2:$AZ$190,,MATCH(SUBSTITUTE(BF$3,"Q","T"),Inputs!$B$2:$AZ$2,0)),Inputs!$B$2:$B$190,$B182)*Inputs!$D$1)</f>
        <v>0</v>
      </c>
      <c r="BG182" s="58">
        <f>SUM(BC182:BF182)</f>
        <v>0</v>
      </c>
    </row>
    <row r="184">
      <c r="B184" s="29" t="n"/>
      <c r="C184" s="29" t="inlineStr">
        <is>
          <t>Despesas de pessoal por natureza</t>
        </is>
      </c>
      <c r="D184" s="29" t="inlineStr">
        <is>
          <t>Compensation by nature</t>
        </is>
      </c>
      <c r="E184" s="29" t="n"/>
      <c r="F184" s="29" t="n"/>
      <c r="G184" s="29" t="n"/>
      <c r="H184" s="29" t="n"/>
      <c r="I184" s="29" t="n"/>
      <c r="J184" s="29" t="n"/>
      <c r="K184" s="29" t="n"/>
      <c r="L184" s="29" t="n"/>
      <c r="M184" s="29" t="n"/>
      <c r="N184" s="29" t="n"/>
      <c r="O184" s="29" t="n"/>
      <c r="P184" s="29" t="n"/>
      <c r="Q184" s="29" t="n"/>
      <c r="R184" s="29" t="n"/>
      <c r="S184" s="29" t="n"/>
      <c r="T184" s="29" t="n"/>
      <c r="U184" s="29" t="n"/>
      <c r="V184" s="29" t="n"/>
      <c r="W184" s="29" t="n"/>
      <c r="X184" s="29" t="n"/>
      <c r="Y184" s="29" t="n"/>
      <c r="Z184" s="29" t="n"/>
      <c r="AA184" s="29" t="n"/>
      <c r="AB184" s="29" t="n"/>
      <c r="AC184" s="29" t="n"/>
      <c r="AD184" s="29" t="n"/>
      <c r="AE184" s="29" t="n"/>
      <c r="AF184" s="29" t="n"/>
      <c r="AG184" s="29" t="n"/>
      <c r="AH184" s="29" t="n"/>
      <c r="AI184" s="29" t="n"/>
      <c r="AJ184" s="29" t="n"/>
      <c r="AK184" s="29" t="n"/>
      <c r="AL184" s="29" t="n"/>
      <c r="AM184" s="29" t="n"/>
      <c r="AN184" s="29" t="n"/>
      <c r="AO184" s="29" t="n"/>
      <c r="AP184" s="29" t="n"/>
      <c r="AQ184" s="29" t="n"/>
      <c r="AR184" s="29" t="n"/>
      <c r="AS184" s="29" t="n"/>
      <c r="AT184" s="29" t="n"/>
      <c r="AU184" s="29" t="n"/>
      <c r="AV184" s="29" t="n"/>
      <c r="AW184" s="29" t="n"/>
      <c r="AX184" s="29" t="n"/>
      <c r="AY184" s="29" t="n"/>
      <c r="AZ184" s="29" t="n"/>
      <c r="BA184" s="29" t="n"/>
      <c r="BB184" s="29" t="n"/>
      <c r="BC184" s="29" t="n"/>
      <c r="BD184" s="29" t="n"/>
      <c r="BE184" s="29" t="n"/>
      <c r="BF184" s="29" t="n"/>
      <c r="BG184" s="29" t="n"/>
      <c r="BH184" s="29" t="n"/>
      <c r="BI184" s="29" t="n"/>
    </row>
    <row r="185" hidden="1" outlineLevel="1">
      <c r="B185" s="56" t="inlineStr">
        <is>
          <t>comp_sal</t>
        </is>
      </c>
      <c r="C185" s="11" t="inlineStr">
        <is>
          <t>(Salários)</t>
        </is>
      </c>
      <c r="D185" s="12" t="inlineStr">
        <is>
          <t>(Salaries)</t>
        </is>
      </c>
      <c r="E185" s="57">
        <f>IF(ISNA(SUMIFS(INDEX(Inputs!$B$2:$AZ$190,,MATCH(SUBSTITUTE(E$3,"Q","T"),Inputs!$B$2:$AZ$2,0)),Inputs!$B$2:$B$190,$B185)*Inputs!$D$1),"",SUMIFS(INDEX(Inputs!$B$2:$AZ$190,,MATCH(SUBSTITUTE(E$3,"Q","T"),Inputs!$B$2:$AZ$2,0)),Inputs!$B$2:$B$190,$B185)*Inputs!$D$1)</f>
        <v>0</v>
      </c>
      <c r="F185" s="57">
        <f>IF(ISNA(SUMIFS(INDEX(Inputs!$B$2:$AZ$190,,MATCH(SUBSTITUTE(F$3,"Q","T"),Inputs!$B$2:$AZ$2,0)),Inputs!$B$2:$B$190,$B185)*Inputs!$D$1),"",SUMIFS(INDEX(Inputs!$B$2:$AZ$190,,MATCH(SUBSTITUTE(F$3,"Q","T"),Inputs!$B$2:$AZ$2,0)),Inputs!$B$2:$B$190,$B185)*Inputs!$D$1)</f>
        <v>0</v>
      </c>
      <c r="G185" s="57">
        <f>IF(ISNA(SUMIFS(INDEX(Inputs!$B$2:$AZ$190,,MATCH(SUBSTITUTE(G$3,"Q","T"),Inputs!$B$2:$AZ$2,0)),Inputs!$B$2:$B$190,$B185)*Inputs!$D$1),"",SUMIFS(INDEX(Inputs!$B$2:$AZ$190,,MATCH(SUBSTITUTE(G$3,"Q","T"),Inputs!$B$2:$AZ$2,0)),Inputs!$B$2:$B$190,$B185)*Inputs!$D$1)</f>
        <v>0</v>
      </c>
      <c r="H185" s="57">
        <f>IF(ISNA(SUMIFS(INDEX(Inputs!$B$2:$AZ$190,,MATCH(SUBSTITUTE(H$3,"Q","T"),Inputs!$B$2:$AZ$2,0)),Inputs!$B$2:$B$190,$B185)*Inputs!$D$1),"",SUMIFS(INDEX(Inputs!$B$2:$AZ$190,,MATCH(SUBSTITUTE(H$3,"Q","T"),Inputs!$B$2:$AZ$2,0)),Inputs!$B$2:$B$190,$B185)*Inputs!$D$1)</f>
        <v>0</v>
      </c>
      <c r="I185" s="58">
        <f>SUM(E185:H185)</f>
        <v>0</v>
      </c>
      <c r="J185" s="57">
        <f>IF(ISNA(SUMIFS(INDEX(Inputs!$B$2:$AZ$190,,MATCH(SUBSTITUTE(J$3,"Q","T"),Inputs!$B$2:$AZ$2,0)),Inputs!$B$2:$B$190,$B185)*Inputs!$D$1),"",SUMIFS(INDEX(Inputs!$B$2:$AZ$190,,MATCH(SUBSTITUTE(J$3,"Q","T"),Inputs!$B$2:$AZ$2,0)),Inputs!$B$2:$B$190,$B185)*Inputs!$D$1)</f>
        <v>0</v>
      </c>
      <c r="K185" s="57">
        <f>IF(ISNA(SUMIFS(INDEX(Inputs!$B$2:$AZ$190,,MATCH(SUBSTITUTE(K$3,"Q","T"),Inputs!$B$2:$AZ$2,0)),Inputs!$B$2:$B$190,$B185)*Inputs!$D$1),"",SUMIFS(INDEX(Inputs!$B$2:$AZ$190,,MATCH(SUBSTITUTE(K$3,"Q","T"),Inputs!$B$2:$AZ$2,0)),Inputs!$B$2:$B$190,$B185)*Inputs!$D$1)</f>
        <v>0</v>
      </c>
      <c r="L185" s="57">
        <f>IF(ISNA(SUMIFS(INDEX(Inputs!$B$2:$AZ$190,,MATCH(SUBSTITUTE(L$3,"Q","T"),Inputs!$B$2:$AZ$2,0)),Inputs!$B$2:$B$190,$B185)*Inputs!$D$1),"",SUMIFS(INDEX(Inputs!$B$2:$AZ$190,,MATCH(SUBSTITUTE(L$3,"Q","T"),Inputs!$B$2:$AZ$2,0)),Inputs!$B$2:$B$190,$B185)*Inputs!$D$1)</f>
        <v>0</v>
      </c>
      <c r="M185" s="57">
        <f>IF(ISNA(SUMIFS(INDEX(Inputs!$B$2:$AZ$190,,MATCH(SUBSTITUTE(M$3,"Q","T"),Inputs!$B$2:$AZ$2,0)),Inputs!$B$2:$B$190,$B185)*Inputs!$D$1),"",SUMIFS(INDEX(Inputs!$B$2:$AZ$190,,MATCH(SUBSTITUTE(M$3,"Q","T"),Inputs!$B$2:$AZ$2,0)),Inputs!$B$2:$B$190,$B185)*Inputs!$D$1)</f>
        <v>0</v>
      </c>
      <c r="N185" s="58">
        <f>SUM(J185:M185)</f>
        <v>0</v>
      </c>
      <c r="O185" s="57">
        <f>IF(ISNA(SUMIFS(INDEX(Inputs!$B$2:$AZ$190,,MATCH(SUBSTITUTE(O$3,"Q","T"),Inputs!$B$2:$AZ$2,0)),Inputs!$B$2:$B$190,$B185)*Inputs!$D$1),"",SUMIFS(INDEX(Inputs!$B$2:$AZ$190,,MATCH(SUBSTITUTE(O$3,"Q","T"),Inputs!$B$2:$AZ$2,0)),Inputs!$B$2:$B$190,$B185)*Inputs!$D$1)</f>
        <v>0</v>
      </c>
      <c r="P185" s="57">
        <f>IF(ISNA(SUMIFS(INDEX(Inputs!$B$2:$AZ$190,,MATCH(SUBSTITUTE(P$3,"Q","T"),Inputs!$B$2:$AZ$2,0)),Inputs!$B$2:$B$190,$B185)*Inputs!$D$1),"",SUMIFS(INDEX(Inputs!$B$2:$AZ$190,,MATCH(SUBSTITUTE(P$3,"Q","T"),Inputs!$B$2:$AZ$2,0)),Inputs!$B$2:$B$190,$B185)*Inputs!$D$1)</f>
        <v>0</v>
      </c>
      <c r="Q185" s="57">
        <f>IF(ISNA(SUMIFS(INDEX(Inputs!$B$2:$AZ$190,,MATCH(SUBSTITUTE(Q$3,"Q","T"),Inputs!$B$2:$AZ$2,0)),Inputs!$B$2:$B$190,$B185)*Inputs!$D$1),"",SUMIFS(INDEX(Inputs!$B$2:$AZ$190,,MATCH(SUBSTITUTE(Q$3,"Q","T"),Inputs!$B$2:$AZ$2,0)),Inputs!$B$2:$B$190,$B185)*Inputs!$D$1)</f>
        <v>0</v>
      </c>
      <c r="R185" s="57">
        <f>IF(ISNA(SUMIFS(INDEX(Inputs!$B$2:$AZ$190,,MATCH(SUBSTITUTE(R$3,"Q","T"),Inputs!$B$2:$AZ$2,0)),Inputs!$B$2:$B$190,$B185)*Inputs!$D$1),"",SUMIFS(INDEX(Inputs!$B$2:$AZ$190,,MATCH(SUBSTITUTE(R$3,"Q","T"),Inputs!$B$2:$AZ$2,0)),Inputs!$B$2:$B$190,$B185)*Inputs!$D$1)</f>
        <v>0</v>
      </c>
      <c r="S185" s="58">
        <f>SUM(O185:R185)</f>
        <v>0</v>
      </c>
      <c r="T185" s="57">
        <f>IF(ISNA(SUMIFS(INDEX(Inputs!$B$2:$AZ$190,,MATCH(SUBSTITUTE(T$3,"Q","T"),Inputs!$B$2:$AZ$2,0)),Inputs!$B$2:$B$190,$B185)*Inputs!$D$1),"",SUMIFS(INDEX(Inputs!$B$2:$AZ$190,,MATCH(SUBSTITUTE(T$3,"Q","T"),Inputs!$B$2:$AZ$2,0)),Inputs!$B$2:$B$190,$B185)*Inputs!$D$1)</f>
        <v>0</v>
      </c>
      <c r="U185" s="57">
        <f>IF(ISNA(SUMIFS(INDEX(Inputs!$B$2:$AZ$190,,MATCH(SUBSTITUTE(U$3,"Q","T"),Inputs!$B$2:$AZ$2,0)),Inputs!$B$2:$B$190,$B185)*Inputs!$D$1),"",SUMIFS(INDEX(Inputs!$B$2:$AZ$190,,MATCH(SUBSTITUTE(U$3,"Q","T"),Inputs!$B$2:$AZ$2,0)),Inputs!$B$2:$B$190,$B185)*Inputs!$D$1)</f>
        <v>0</v>
      </c>
      <c r="V185" s="57">
        <f>IF(ISNA(SUMIFS(INDEX(Inputs!$B$2:$AZ$190,,MATCH(SUBSTITUTE(V$3,"Q","T"),Inputs!$B$2:$AZ$2,0)),Inputs!$B$2:$B$190,$B185)*Inputs!$D$1),"",SUMIFS(INDEX(Inputs!$B$2:$AZ$190,,MATCH(SUBSTITUTE(V$3,"Q","T"),Inputs!$B$2:$AZ$2,0)),Inputs!$B$2:$B$190,$B185)*Inputs!$D$1)</f>
        <v>0</v>
      </c>
      <c r="W185" s="57">
        <f>IF(ISNA(SUMIFS(INDEX(Inputs!$B$2:$AZ$190,,MATCH(SUBSTITUTE(W$3,"Q","T"),Inputs!$B$2:$AZ$2,0)),Inputs!$B$2:$B$190,$B185)*Inputs!$D$1),"",SUMIFS(INDEX(Inputs!$B$2:$AZ$190,,MATCH(SUBSTITUTE(W$3,"Q","T"),Inputs!$B$2:$AZ$2,0)),Inputs!$B$2:$B$190,$B185)*Inputs!$D$1)</f>
        <v>0</v>
      </c>
      <c r="X185" s="58">
        <f>SUM(T185:W185)</f>
        <v>0</v>
      </c>
      <c r="Y185" s="57">
        <f>IF(ISNA(SUMIFS(INDEX(Inputs!$B$2:$AZ$190,,MATCH(SUBSTITUTE(Y$3,"Q","T"),Inputs!$B$2:$AZ$2,0)),Inputs!$B$2:$B$190,$B185)*Inputs!$D$1),"",SUMIFS(INDEX(Inputs!$B$2:$AZ$190,,MATCH(SUBSTITUTE(Y$3,"Q","T"),Inputs!$B$2:$AZ$2,0)),Inputs!$B$2:$B$190,$B185)*Inputs!$D$1)</f>
        <v>0</v>
      </c>
      <c r="Z185" s="57">
        <f>IF(ISNA(SUMIFS(INDEX(Inputs!$B$2:$AZ$190,,MATCH(SUBSTITUTE(Z$3,"Q","T"),Inputs!$B$2:$AZ$2,0)),Inputs!$B$2:$B$190,$B185)*Inputs!$D$1),"",SUMIFS(INDEX(Inputs!$B$2:$AZ$190,,MATCH(SUBSTITUTE(Z$3,"Q","T"),Inputs!$B$2:$AZ$2,0)),Inputs!$B$2:$B$190,$B185)*Inputs!$D$1)</f>
        <v>0</v>
      </c>
      <c r="AA185" s="57">
        <f>IF(ISNA(SUMIFS(INDEX(Inputs!$B$2:$AZ$190,,MATCH(SUBSTITUTE(AA$3,"Q","T"),Inputs!$B$2:$AZ$2,0)),Inputs!$B$2:$B$190,$B185)*Inputs!$D$1),"",SUMIFS(INDEX(Inputs!$B$2:$AZ$190,,MATCH(SUBSTITUTE(AA$3,"Q","T"),Inputs!$B$2:$AZ$2,0)),Inputs!$B$2:$B$190,$B185)*Inputs!$D$1)</f>
        <v>0</v>
      </c>
      <c r="AB185" s="57">
        <f>IF(ISNA(SUMIFS(INDEX(Inputs!$B$2:$AZ$190,,MATCH(SUBSTITUTE(AB$3,"Q","T"),Inputs!$B$2:$AZ$2,0)),Inputs!$B$2:$B$190,$B185)*Inputs!$D$1),"",SUMIFS(INDEX(Inputs!$B$2:$AZ$190,,MATCH(SUBSTITUTE(AB$3,"Q","T"),Inputs!$B$2:$AZ$2,0)),Inputs!$B$2:$B$190,$B185)*Inputs!$D$1)</f>
        <v>0</v>
      </c>
      <c r="AC185" s="58">
        <f>SUM(Y185:AB185)</f>
        <v>0</v>
      </c>
      <c r="AD185" s="57">
        <f>IF(ISNA(SUMIFS(INDEX(Inputs!$B$2:$AZ$190,,MATCH(SUBSTITUTE(AD$3,"Q","T"),Inputs!$B$2:$AZ$2,0)),Inputs!$B$2:$B$190,$B185)*Inputs!$D$1),"",SUMIFS(INDEX(Inputs!$B$2:$AZ$190,,MATCH(SUBSTITUTE(AD$3,"Q","T"),Inputs!$B$2:$AZ$2,0)),Inputs!$B$2:$B$190,$B185)*Inputs!$D$1)</f>
        <v>0</v>
      </c>
      <c r="AE185" s="57">
        <f>IF(ISNA(SUMIFS(INDEX(Inputs!$B$2:$AZ$190,,MATCH(SUBSTITUTE(AE$3,"Q","T"),Inputs!$B$2:$AZ$2,0)),Inputs!$B$2:$B$190,$B185)*Inputs!$D$1),"",SUMIFS(INDEX(Inputs!$B$2:$AZ$190,,MATCH(SUBSTITUTE(AE$3,"Q","T"),Inputs!$B$2:$AZ$2,0)),Inputs!$B$2:$B$190,$B185)*Inputs!$D$1)</f>
        <v>0</v>
      </c>
      <c r="AF185" s="57">
        <f>IF(ISNA(SUMIFS(INDEX(Inputs!$B$2:$AZ$190,,MATCH(SUBSTITUTE(AF$3,"Q","T"),Inputs!$B$2:$AZ$2,0)),Inputs!$B$2:$B$190,$B185)*Inputs!$D$1),"",SUMIFS(INDEX(Inputs!$B$2:$AZ$190,,MATCH(SUBSTITUTE(AF$3,"Q","T"),Inputs!$B$2:$AZ$2,0)),Inputs!$B$2:$B$190,$B185)*Inputs!$D$1)</f>
        <v>0</v>
      </c>
      <c r="AG185" s="57">
        <f>IF(ISNA(SUMIFS(INDEX(Inputs!$B$2:$AZ$190,,MATCH(SUBSTITUTE(AG$3,"Q","T"),Inputs!$B$2:$AZ$2,0)),Inputs!$B$2:$B$190,$B185)*Inputs!$D$1),"",SUMIFS(INDEX(Inputs!$B$2:$AZ$190,,MATCH(SUBSTITUTE(AG$3,"Q","T"),Inputs!$B$2:$AZ$2,0)),Inputs!$B$2:$B$190,$B185)*Inputs!$D$1)</f>
        <v>0</v>
      </c>
      <c r="AH185" s="58">
        <f>SUM(AD185:AG185)</f>
        <v>0</v>
      </c>
      <c r="AI185" s="57">
        <f>IF(ISNA(SUMIFS(INDEX(Inputs!$B$2:$AZ$190,,MATCH(SUBSTITUTE(AI$3,"Q","T"),Inputs!$B$2:$AZ$2,0)),Inputs!$B$2:$B$190,$B185)*Inputs!$D$1),"",SUMIFS(INDEX(Inputs!$B$2:$AZ$190,,MATCH(SUBSTITUTE(AI$3,"Q","T"),Inputs!$B$2:$AZ$2,0)),Inputs!$B$2:$B$190,$B185)*Inputs!$D$1)</f>
        <v>0</v>
      </c>
      <c r="AJ185" s="57">
        <f>IF(ISNA(SUMIFS(INDEX(Inputs!$B$2:$AZ$190,,MATCH(SUBSTITUTE(AJ$3,"Q","T"),Inputs!$B$2:$AZ$2,0)),Inputs!$B$2:$B$190,$B185)*Inputs!$D$1),"",SUMIFS(INDEX(Inputs!$B$2:$AZ$190,,MATCH(SUBSTITUTE(AJ$3,"Q","T"),Inputs!$B$2:$AZ$2,0)),Inputs!$B$2:$B$190,$B185)*Inputs!$D$1)</f>
        <v>0</v>
      </c>
      <c r="AK185" s="57">
        <f>IF(ISNA(SUMIFS(INDEX(Inputs!$B$2:$AZ$190,,MATCH(SUBSTITUTE(AK$3,"Q","T"),Inputs!$B$2:$AZ$2,0)),Inputs!$B$2:$B$190,$B185)*Inputs!$D$1),"",SUMIFS(INDEX(Inputs!$B$2:$AZ$190,,MATCH(SUBSTITUTE(AK$3,"Q","T"),Inputs!$B$2:$AZ$2,0)),Inputs!$B$2:$B$190,$B185)*Inputs!$D$1)</f>
        <v>0</v>
      </c>
      <c r="AL185" s="57">
        <f>IF(ISNA(SUMIFS(INDEX(Inputs!$B$2:$AZ$190,,MATCH(SUBSTITUTE(AL$3,"Q","T"),Inputs!$B$2:$AZ$2,0)),Inputs!$B$2:$B$190,$B185)*Inputs!$D$1),"",SUMIFS(INDEX(Inputs!$B$2:$AZ$190,,MATCH(SUBSTITUTE(AL$3,"Q","T"),Inputs!$B$2:$AZ$2,0)),Inputs!$B$2:$B$190,$B185)*Inputs!$D$1)</f>
        <v>0</v>
      </c>
      <c r="AM185" s="58">
        <f>SUM(AI185:AL185)</f>
        <v>0</v>
      </c>
      <c r="AN185" s="57">
        <f>IF(ISNA(SUMIFS(INDEX(Inputs!$B$2:$AZ$190,,MATCH(SUBSTITUTE(AN$3,"Q","T"),Inputs!$B$2:$AZ$2,0)),Inputs!$B$2:$B$190,$B185)*Inputs!$D$1),"",SUMIFS(INDEX(Inputs!$B$2:$AZ$190,,MATCH(SUBSTITUTE(AN$3,"Q","T"),Inputs!$B$2:$AZ$2,0)),Inputs!$B$2:$B$190,$B185)*Inputs!$D$1)</f>
        <v>0</v>
      </c>
      <c r="AO185" s="57">
        <f>IF(ISNA(SUMIFS(INDEX(Inputs!$B$2:$AZ$190,,MATCH(SUBSTITUTE(AO$3,"Q","T"),Inputs!$B$2:$AZ$2,0)),Inputs!$B$2:$B$190,$B185)*Inputs!$D$1),"",SUMIFS(INDEX(Inputs!$B$2:$AZ$190,,MATCH(SUBSTITUTE(AO$3,"Q","T"),Inputs!$B$2:$AZ$2,0)),Inputs!$B$2:$B$190,$B185)*Inputs!$D$1)</f>
        <v>0</v>
      </c>
      <c r="AP185" s="57">
        <f>IF(ISNA(SUMIFS(INDEX(Inputs!$B$2:$AZ$190,,MATCH(SUBSTITUTE(AP$3,"Q","T"),Inputs!$B$2:$AZ$2,0)),Inputs!$B$2:$B$190,$B185)*Inputs!$D$1),"",SUMIFS(INDEX(Inputs!$B$2:$AZ$190,,MATCH(SUBSTITUTE(AP$3,"Q","T"),Inputs!$B$2:$AZ$2,0)),Inputs!$B$2:$B$190,$B185)*Inputs!$D$1)</f>
        <v>0</v>
      </c>
      <c r="AQ185" s="57">
        <f>IF(ISNA(SUMIFS(INDEX(Inputs!$B$2:$AZ$190,,MATCH(SUBSTITUTE(AQ$3,"Q","T"),Inputs!$B$2:$AZ$2,0)),Inputs!$B$2:$B$190,$B185)*Inputs!$D$1),"",SUMIFS(INDEX(Inputs!$B$2:$AZ$190,,MATCH(SUBSTITUTE(AQ$3,"Q","T"),Inputs!$B$2:$AZ$2,0)),Inputs!$B$2:$B$190,$B185)*Inputs!$D$1)</f>
        <v>0</v>
      </c>
      <c r="AR185" s="58">
        <f>SUM(AN185:AQ185)</f>
        <v>0</v>
      </c>
      <c r="AS185" s="57">
        <f>IF(ISNA(SUMIFS(INDEX(Inputs!$B$2:$AZ$190,,MATCH(SUBSTITUTE(AS$3,"Q","T"),Inputs!$B$2:$AZ$2,0)),Inputs!$B$2:$B$190,$B185)*Inputs!$D$1),"",SUMIFS(INDEX(Inputs!$B$2:$AZ$190,,MATCH(SUBSTITUTE(AS$3,"Q","T"),Inputs!$B$2:$AZ$2,0)),Inputs!$B$2:$B$190,$B185)*Inputs!$D$1)</f>
        <v>0</v>
      </c>
      <c r="AT185" s="57">
        <f>IF(ISNA(SUMIFS(INDEX(Inputs!$B$2:$AZ$190,,MATCH(SUBSTITUTE(AT$3,"Q","T"),Inputs!$B$2:$AZ$2,0)),Inputs!$B$2:$B$190,$B185)*Inputs!$D$1),"",SUMIFS(INDEX(Inputs!$B$2:$AZ$190,,MATCH(SUBSTITUTE(AT$3,"Q","T"),Inputs!$B$2:$AZ$2,0)),Inputs!$B$2:$B$190,$B185)*Inputs!$D$1)</f>
        <v>0</v>
      </c>
      <c r="AU185" s="57">
        <f>IF(ISNA(SUMIFS(INDEX(Inputs!$B$2:$AZ$190,,MATCH(SUBSTITUTE(AU$3,"Q","T"),Inputs!$B$2:$AZ$2,0)),Inputs!$B$2:$B$190,$B185)*Inputs!$D$1),"",SUMIFS(INDEX(Inputs!$B$2:$AZ$190,,MATCH(SUBSTITUTE(AU$3,"Q","T"),Inputs!$B$2:$AZ$2,0)),Inputs!$B$2:$B$190,$B185)*Inputs!$D$1)</f>
        <v>0</v>
      </c>
      <c r="AV185" s="57">
        <f>IF(ISNA(SUMIFS(INDEX(Inputs!$B$2:$AZ$190,,MATCH(SUBSTITUTE(AV$3,"Q","T"),Inputs!$B$2:$AZ$2,0)),Inputs!$B$2:$B$190,$B185)*Inputs!$D$1),"",SUMIFS(INDEX(Inputs!$B$2:$AZ$190,,MATCH(SUBSTITUTE(AV$3,"Q","T"),Inputs!$B$2:$AZ$2,0)),Inputs!$B$2:$B$190,$B185)*Inputs!$D$1)</f>
        <v>0</v>
      </c>
      <c r="AW185" s="58">
        <f>SUM(AS185:AV185)</f>
        <v>0</v>
      </c>
      <c r="AX185" s="57">
        <f>IF(ISNA(SUMIFS(INDEX(Inputs!$B$2:$AZ$190,,MATCH(SUBSTITUTE(AX$3,"Q","T"),Inputs!$B$2:$AZ$2,0)),Inputs!$B$2:$B$190,$B185)*Inputs!$D$1),"",SUMIFS(INDEX(Inputs!$B$2:$AZ$190,,MATCH(SUBSTITUTE(AX$3,"Q","T"),Inputs!$B$2:$AZ$2,0)),Inputs!$B$2:$B$190,$B185)*Inputs!$D$1)</f>
        <v>0</v>
      </c>
      <c r="AY185" s="57">
        <f>IF(ISNA(SUMIFS(INDEX(Inputs!$B$2:$AZ$190,,MATCH(SUBSTITUTE(AY$3,"Q","T"),Inputs!$B$2:$AZ$2,0)),Inputs!$B$2:$B$190,$B185)*Inputs!$D$1),"",SUMIFS(INDEX(Inputs!$B$2:$AZ$190,,MATCH(SUBSTITUTE(AY$3,"Q","T"),Inputs!$B$2:$AZ$2,0)),Inputs!$B$2:$B$190,$B185)*Inputs!$D$1)</f>
        <v>0</v>
      </c>
      <c r="AZ185" s="57">
        <f>IF(ISNA(SUMIFS(INDEX(Inputs!$B$2:$AZ$190,,MATCH(SUBSTITUTE(AZ$3,"Q","T"),Inputs!$B$2:$AZ$2,0)),Inputs!$B$2:$B$190,$B185)*Inputs!$D$1),"",SUMIFS(INDEX(Inputs!$B$2:$AZ$190,,MATCH(SUBSTITUTE(AZ$3,"Q","T"),Inputs!$B$2:$AZ$2,0)),Inputs!$B$2:$B$190,$B185)*Inputs!$D$1)</f>
        <v>0</v>
      </c>
      <c r="BA185" s="57">
        <f>IF(ISNA(SUMIFS(INDEX(Inputs!$B$2:$AZ$190,,MATCH(SUBSTITUTE(BA$3,"Q","T"),Inputs!$B$2:$AZ$2,0)),Inputs!$B$2:$B$190,$B185)*Inputs!$D$1),"",SUMIFS(INDEX(Inputs!$B$2:$AZ$190,,MATCH(SUBSTITUTE(BA$3,"Q","T"),Inputs!$B$2:$AZ$2,0)),Inputs!$B$2:$B$190,$B185)*Inputs!$D$1)</f>
        <v>0</v>
      </c>
      <c r="BB185" s="58">
        <f>SUM(AX185:BA185)</f>
        <v>0</v>
      </c>
      <c r="BC185" s="57">
        <f>IF(ISNA(SUMIFS(INDEX(Inputs!$B$2:$AZ$190,,MATCH(SUBSTITUTE(BC$3,"Q","T"),Inputs!$B$2:$AZ$2,0)),Inputs!$B$2:$B$190,$B185)*Inputs!$D$1),"",SUMIFS(INDEX(Inputs!$B$2:$AZ$190,,MATCH(SUBSTITUTE(BC$3,"Q","T"),Inputs!$B$2:$AZ$2,0)),Inputs!$B$2:$B$190,$B185)*Inputs!$D$1)</f>
        <v>0</v>
      </c>
      <c r="BD185" s="57">
        <f>IF(ISNA(SUMIFS(INDEX(Inputs!$B$2:$AZ$190,,MATCH(SUBSTITUTE(BD$3,"Q","T"),Inputs!$B$2:$AZ$2,0)),Inputs!$B$2:$B$190,$B185)*Inputs!$D$1),"",SUMIFS(INDEX(Inputs!$B$2:$AZ$190,,MATCH(SUBSTITUTE(BD$3,"Q","T"),Inputs!$B$2:$AZ$2,0)),Inputs!$B$2:$B$190,$B185)*Inputs!$D$1)</f>
        <v>0</v>
      </c>
      <c r="BE185" s="57">
        <f>IF(ISNA(SUMIFS(INDEX(Inputs!$B$2:$AZ$190,,MATCH(SUBSTITUTE(BE$3,"Q","T"),Inputs!$B$2:$AZ$2,0)),Inputs!$B$2:$B$190,$B185)*Inputs!$D$1),"",SUMIFS(INDEX(Inputs!$B$2:$AZ$190,,MATCH(SUBSTITUTE(BE$3,"Q","T"),Inputs!$B$2:$AZ$2,0)),Inputs!$B$2:$B$190,$B185)*Inputs!$D$1)</f>
        <v>0</v>
      </c>
      <c r="BF185" s="57">
        <f>IF(ISNA(SUMIFS(INDEX(Inputs!$B$2:$AZ$190,,MATCH(SUBSTITUTE(BF$3,"Q","T"),Inputs!$B$2:$AZ$2,0)),Inputs!$B$2:$B$190,$B185)*Inputs!$D$1),"",SUMIFS(INDEX(Inputs!$B$2:$AZ$190,,MATCH(SUBSTITUTE(BF$3,"Q","T"),Inputs!$B$2:$AZ$2,0)),Inputs!$B$2:$B$190,$B185)*Inputs!$D$1)</f>
        <v>0</v>
      </c>
      <c r="BG185" s="58">
        <f>SUM(BC185:BF185)</f>
        <v>0</v>
      </c>
    </row>
    <row r="186" hidden="1" outlineLevel="1">
      <c r="B186" s="56" t="inlineStr">
        <is>
          <t>comp_ben</t>
        </is>
      </c>
      <c r="C186" s="11" t="inlineStr">
        <is>
          <t>(Benefícios)</t>
        </is>
      </c>
      <c r="D186" s="12" t="inlineStr">
        <is>
          <t>(Benefits)</t>
        </is>
      </c>
      <c r="E186" s="57">
        <f>IF(ISNA(SUMIFS(INDEX(Inputs!$B$2:$AZ$190,,MATCH(SUBSTITUTE(E$3,"Q","T"),Inputs!$B$2:$AZ$2,0)),Inputs!$B$2:$B$190,$B186)*Inputs!$D$1),"",SUMIFS(INDEX(Inputs!$B$2:$AZ$190,,MATCH(SUBSTITUTE(E$3,"Q","T"),Inputs!$B$2:$AZ$2,0)),Inputs!$B$2:$B$190,$B186)*Inputs!$D$1)</f>
        <v>0</v>
      </c>
      <c r="F186" s="57">
        <f>IF(ISNA(SUMIFS(INDEX(Inputs!$B$2:$AZ$190,,MATCH(SUBSTITUTE(F$3,"Q","T"),Inputs!$B$2:$AZ$2,0)),Inputs!$B$2:$B$190,$B186)*Inputs!$D$1),"",SUMIFS(INDEX(Inputs!$B$2:$AZ$190,,MATCH(SUBSTITUTE(F$3,"Q","T"),Inputs!$B$2:$AZ$2,0)),Inputs!$B$2:$B$190,$B186)*Inputs!$D$1)</f>
        <v>0</v>
      </c>
      <c r="G186" s="57">
        <f>IF(ISNA(SUMIFS(INDEX(Inputs!$B$2:$AZ$190,,MATCH(SUBSTITUTE(G$3,"Q","T"),Inputs!$B$2:$AZ$2,0)),Inputs!$B$2:$B$190,$B186)*Inputs!$D$1),"",SUMIFS(INDEX(Inputs!$B$2:$AZ$190,,MATCH(SUBSTITUTE(G$3,"Q","T"),Inputs!$B$2:$AZ$2,0)),Inputs!$B$2:$B$190,$B186)*Inputs!$D$1)</f>
        <v>0</v>
      </c>
      <c r="H186" s="57">
        <f>IF(ISNA(SUMIFS(INDEX(Inputs!$B$2:$AZ$190,,MATCH(SUBSTITUTE(H$3,"Q","T"),Inputs!$B$2:$AZ$2,0)),Inputs!$B$2:$B$190,$B186)*Inputs!$D$1),"",SUMIFS(INDEX(Inputs!$B$2:$AZ$190,,MATCH(SUBSTITUTE(H$3,"Q","T"),Inputs!$B$2:$AZ$2,0)),Inputs!$B$2:$B$190,$B186)*Inputs!$D$1)</f>
        <v>0</v>
      </c>
      <c r="I186" s="58">
        <f>SUM(E186:H186)</f>
        <v>0</v>
      </c>
      <c r="J186" s="57">
        <f>IF(ISNA(SUMIFS(INDEX(Inputs!$B$2:$AZ$190,,MATCH(SUBSTITUTE(J$3,"Q","T"),Inputs!$B$2:$AZ$2,0)),Inputs!$B$2:$B$190,$B186)*Inputs!$D$1),"",SUMIFS(INDEX(Inputs!$B$2:$AZ$190,,MATCH(SUBSTITUTE(J$3,"Q","T"),Inputs!$B$2:$AZ$2,0)),Inputs!$B$2:$B$190,$B186)*Inputs!$D$1)</f>
        <v>0</v>
      </c>
      <c r="K186" s="57">
        <f>IF(ISNA(SUMIFS(INDEX(Inputs!$B$2:$AZ$190,,MATCH(SUBSTITUTE(K$3,"Q","T"),Inputs!$B$2:$AZ$2,0)),Inputs!$B$2:$B$190,$B186)*Inputs!$D$1),"",SUMIFS(INDEX(Inputs!$B$2:$AZ$190,,MATCH(SUBSTITUTE(K$3,"Q","T"),Inputs!$B$2:$AZ$2,0)),Inputs!$B$2:$B$190,$B186)*Inputs!$D$1)</f>
        <v>0</v>
      </c>
      <c r="L186" s="57">
        <f>IF(ISNA(SUMIFS(INDEX(Inputs!$B$2:$AZ$190,,MATCH(SUBSTITUTE(L$3,"Q","T"),Inputs!$B$2:$AZ$2,0)),Inputs!$B$2:$B$190,$B186)*Inputs!$D$1),"",SUMIFS(INDEX(Inputs!$B$2:$AZ$190,,MATCH(SUBSTITUTE(L$3,"Q","T"),Inputs!$B$2:$AZ$2,0)),Inputs!$B$2:$B$190,$B186)*Inputs!$D$1)</f>
        <v>0</v>
      </c>
      <c r="M186" s="57">
        <f>IF(ISNA(SUMIFS(INDEX(Inputs!$B$2:$AZ$190,,MATCH(SUBSTITUTE(M$3,"Q","T"),Inputs!$B$2:$AZ$2,0)),Inputs!$B$2:$B$190,$B186)*Inputs!$D$1),"",SUMIFS(INDEX(Inputs!$B$2:$AZ$190,,MATCH(SUBSTITUTE(M$3,"Q","T"),Inputs!$B$2:$AZ$2,0)),Inputs!$B$2:$B$190,$B186)*Inputs!$D$1)</f>
        <v>0</v>
      </c>
      <c r="N186" s="58">
        <f>SUM(J186:M186)</f>
        <v>0</v>
      </c>
      <c r="O186" s="57">
        <f>IF(ISNA(SUMIFS(INDEX(Inputs!$B$2:$AZ$190,,MATCH(SUBSTITUTE(O$3,"Q","T"),Inputs!$B$2:$AZ$2,0)),Inputs!$B$2:$B$190,$B186)*Inputs!$D$1),"",SUMIFS(INDEX(Inputs!$B$2:$AZ$190,,MATCH(SUBSTITUTE(O$3,"Q","T"),Inputs!$B$2:$AZ$2,0)),Inputs!$B$2:$B$190,$B186)*Inputs!$D$1)</f>
        <v>0</v>
      </c>
      <c r="P186" s="57">
        <f>IF(ISNA(SUMIFS(INDEX(Inputs!$B$2:$AZ$190,,MATCH(SUBSTITUTE(P$3,"Q","T"),Inputs!$B$2:$AZ$2,0)),Inputs!$B$2:$B$190,$B186)*Inputs!$D$1),"",SUMIFS(INDEX(Inputs!$B$2:$AZ$190,,MATCH(SUBSTITUTE(P$3,"Q","T"),Inputs!$B$2:$AZ$2,0)),Inputs!$B$2:$B$190,$B186)*Inputs!$D$1)</f>
        <v>0</v>
      </c>
      <c r="Q186" s="57">
        <f>IF(ISNA(SUMIFS(INDEX(Inputs!$B$2:$AZ$190,,MATCH(SUBSTITUTE(Q$3,"Q","T"),Inputs!$B$2:$AZ$2,0)),Inputs!$B$2:$B$190,$B186)*Inputs!$D$1),"",SUMIFS(INDEX(Inputs!$B$2:$AZ$190,,MATCH(SUBSTITUTE(Q$3,"Q","T"),Inputs!$B$2:$AZ$2,0)),Inputs!$B$2:$B$190,$B186)*Inputs!$D$1)</f>
        <v>0</v>
      </c>
      <c r="R186" s="57">
        <f>IF(ISNA(SUMIFS(INDEX(Inputs!$B$2:$AZ$190,,MATCH(SUBSTITUTE(R$3,"Q","T"),Inputs!$B$2:$AZ$2,0)),Inputs!$B$2:$B$190,$B186)*Inputs!$D$1),"",SUMIFS(INDEX(Inputs!$B$2:$AZ$190,,MATCH(SUBSTITUTE(R$3,"Q","T"),Inputs!$B$2:$AZ$2,0)),Inputs!$B$2:$B$190,$B186)*Inputs!$D$1)</f>
        <v>0</v>
      </c>
      <c r="S186" s="58">
        <f>SUM(O186:R186)</f>
        <v>0</v>
      </c>
      <c r="T186" s="57">
        <f>IF(ISNA(SUMIFS(INDEX(Inputs!$B$2:$AZ$190,,MATCH(SUBSTITUTE(T$3,"Q","T"),Inputs!$B$2:$AZ$2,0)),Inputs!$B$2:$B$190,$B186)*Inputs!$D$1),"",SUMIFS(INDEX(Inputs!$B$2:$AZ$190,,MATCH(SUBSTITUTE(T$3,"Q","T"),Inputs!$B$2:$AZ$2,0)),Inputs!$B$2:$B$190,$B186)*Inputs!$D$1)</f>
        <v>0</v>
      </c>
      <c r="U186" s="57">
        <f>IF(ISNA(SUMIFS(INDEX(Inputs!$B$2:$AZ$190,,MATCH(SUBSTITUTE(U$3,"Q","T"),Inputs!$B$2:$AZ$2,0)),Inputs!$B$2:$B$190,$B186)*Inputs!$D$1),"",SUMIFS(INDEX(Inputs!$B$2:$AZ$190,,MATCH(SUBSTITUTE(U$3,"Q","T"),Inputs!$B$2:$AZ$2,0)),Inputs!$B$2:$B$190,$B186)*Inputs!$D$1)</f>
        <v>0</v>
      </c>
      <c r="V186" s="57">
        <f>IF(ISNA(SUMIFS(INDEX(Inputs!$B$2:$AZ$190,,MATCH(SUBSTITUTE(V$3,"Q","T"),Inputs!$B$2:$AZ$2,0)),Inputs!$B$2:$B$190,$B186)*Inputs!$D$1),"",SUMIFS(INDEX(Inputs!$B$2:$AZ$190,,MATCH(SUBSTITUTE(V$3,"Q","T"),Inputs!$B$2:$AZ$2,0)),Inputs!$B$2:$B$190,$B186)*Inputs!$D$1)</f>
        <v>0</v>
      </c>
      <c r="W186" s="57">
        <f>IF(ISNA(SUMIFS(INDEX(Inputs!$B$2:$AZ$190,,MATCH(SUBSTITUTE(W$3,"Q","T"),Inputs!$B$2:$AZ$2,0)),Inputs!$B$2:$B$190,$B186)*Inputs!$D$1),"",SUMIFS(INDEX(Inputs!$B$2:$AZ$190,,MATCH(SUBSTITUTE(W$3,"Q","T"),Inputs!$B$2:$AZ$2,0)),Inputs!$B$2:$B$190,$B186)*Inputs!$D$1)</f>
        <v>0</v>
      </c>
      <c r="X186" s="58">
        <f>SUM(T186:W186)</f>
        <v>0</v>
      </c>
      <c r="Y186" s="57">
        <f>IF(ISNA(SUMIFS(INDEX(Inputs!$B$2:$AZ$190,,MATCH(SUBSTITUTE(Y$3,"Q","T"),Inputs!$B$2:$AZ$2,0)),Inputs!$B$2:$B$190,$B186)*Inputs!$D$1),"",SUMIFS(INDEX(Inputs!$B$2:$AZ$190,,MATCH(SUBSTITUTE(Y$3,"Q","T"),Inputs!$B$2:$AZ$2,0)),Inputs!$B$2:$B$190,$B186)*Inputs!$D$1)</f>
        <v>0</v>
      </c>
      <c r="Z186" s="57">
        <f>IF(ISNA(SUMIFS(INDEX(Inputs!$B$2:$AZ$190,,MATCH(SUBSTITUTE(Z$3,"Q","T"),Inputs!$B$2:$AZ$2,0)),Inputs!$B$2:$B$190,$B186)*Inputs!$D$1),"",SUMIFS(INDEX(Inputs!$B$2:$AZ$190,,MATCH(SUBSTITUTE(Z$3,"Q","T"),Inputs!$B$2:$AZ$2,0)),Inputs!$B$2:$B$190,$B186)*Inputs!$D$1)</f>
        <v>0</v>
      </c>
      <c r="AA186" s="57">
        <f>IF(ISNA(SUMIFS(INDEX(Inputs!$B$2:$AZ$190,,MATCH(SUBSTITUTE(AA$3,"Q","T"),Inputs!$B$2:$AZ$2,0)),Inputs!$B$2:$B$190,$B186)*Inputs!$D$1),"",SUMIFS(INDEX(Inputs!$B$2:$AZ$190,,MATCH(SUBSTITUTE(AA$3,"Q","T"),Inputs!$B$2:$AZ$2,0)),Inputs!$B$2:$B$190,$B186)*Inputs!$D$1)</f>
        <v>0</v>
      </c>
      <c r="AB186" s="57">
        <f>IF(ISNA(SUMIFS(INDEX(Inputs!$B$2:$AZ$190,,MATCH(SUBSTITUTE(AB$3,"Q","T"),Inputs!$B$2:$AZ$2,0)),Inputs!$B$2:$B$190,$B186)*Inputs!$D$1),"",SUMIFS(INDEX(Inputs!$B$2:$AZ$190,,MATCH(SUBSTITUTE(AB$3,"Q","T"),Inputs!$B$2:$AZ$2,0)),Inputs!$B$2:$B$190,$B186)*Inputs!$D$1)</f>
        <v>0</v>
      </c>
      <c r="AC186" s="58">
        <f>SUM(Y186:AB186)</f>
        <v>0</v>
      </c>
      <c r="AD186" s="57">
        <f>IF(ISNA(SUMIFS(INDEX(Inputs!$B$2:$AZ$190,,MATCH(SUBSTITUTE(AD$3,"Q","T"),Inputs!$B$2:$AZ$2,0)),Inputs!$B$2:$B$190,$B186)*Inputs!$D$1),"",SUMIFS(INDEX(Inputs!$B$2:$AZ$190,,MATCH(SUBSTITUTE(AD$3,"Q","T"),Inputs!$B$2:$AZ$2,0)),Inputs!$B$2:$B$190,$B186)*Inputs!$D$1)</f>
        <v>0</v>
      </c>
      <c r="AE186" s="57">
        <f>IF(ISNA(SUMIFS(INDEX(Inputs!$B$2:$AZ$190,,MATCH(SUBSTITUTE(AE$3,"Q","T"),Inputs!$B$2:$AZ$2,0)),Inputs!$B$2:$B$190,$B186)*Inputs!$D$1),"",SUMIFS(INDEX(Inputs!$B$2:$AZ$190,,MATCH(SUBSTITUTE(AE$3,"Q","T"),Inputs!$B$2:$AZ$2,0)),Inputs!$B$2:$B$190,$B186)*Inputs!$D$1)</f>
        <v>0</v>
      </c>
      <c r="AF186" s="57">
        <f>IF(ISNA(SUMIFS(INDEX(Inputs!$B$2:$AZ$190,,MATCH(SUBSTITUTE(AF$3,"Q","T"),Inputs!$B$2:$AZ$2,0)),Inputs!$B$2:$B$190,$B186)*Inputs!$D$1),"",SUMIFS(INDEX(Inputs!$B$2:$AZ$190,,MATCH(SUBSTITUTE(AF$3,"Q","T"),Inputs!$B$2:$AZ$2,0)),Inputs!$B$2:$B$190,$B186)*Inputs!$D$1)</f>
        <v>0</v>
      </c>
      <c r="AG186" s="57">
        <f>IF(ISNA(SUMIFS(INDEX(Inputs!$B$2:$AZ$190,,MATCH(SUBSTITUTE(AG$3,"Q","T"),Inputs!$B$2:$AZ$2,0)),Inputs!$B$2:$B$190,$B186)*Inputs!$D$1),"",SUMIFS(INDEX(Inputs!$B$2:$AZ$190,,MATCH(SUBSTITUTE(AG$3,"Q","T"),Inputs!$B$2:$AZ$2,0)),Inputs!$B$2:$B$190,$B186)*Inputs!$D$1)</f>
        <v>0</v>
      </c>
      <c r="AH186" s="58">
        <f>SUM(AD186:AG186)</f>
        <v>0</v>
      </c>
      <c r="AI186" s="57">
        <f>IF(ISNA(SUMIFS(INDEX(Inputs!$B$2:$AZ$190,,MATCH(SUBSTITUTE(AI$3,"Q","T"),Inputs!$B$2:$AZ$2,0)),Inputs!$B$2:$B$190,$B186)*Inputs!$D$1),"",SUMIFS(INDEX(Inputs!$B$2:$AZ$190,,MATCH(SUBSTITUTE(AI$3,"Q","T"),Inputs!$B$2:$AZ$2,0)),Inputs!$B$2:$B$190,$B186)*Inputs!$D$1)</f>
        <v>0</v>
      </c>
      <c r="AJ186" s="57">
        <f>IF(ISNA(SUMIFS(INDEX(Inputs!$B$2:$AZ$190,,MATCH(SUBSTITUTE(AJ$3,"Q","T"),Inputs!$B$2:$AZ$2,0)),Inputs!$B$2:$B$190,$B186)*Inputs!$D$1),"",SUMIFS(INDEX(Inputs!$B$2:$AZ$190,,MATCH(SUBSTITUTE(AJ$3,"Q","T"),Inputs!$B$2:$AZ$2,0)),Inputs!$B$2:$B$190,$B186)*Inputs!$D$1)</f>
        <v>0</v>
      </c>
      <c r="AK186" s="57">
        <f>IF(ISNA(SUMIFS(INDEX(Inputs!$B$2:$AZ$190,,MATCH(SUBSTITUTE(AK$3,"Q","T"),Inputs!$B$2:$AZ$2,0)),Inputs!$B$2:$B$190,$B186)*Inputs!$D$1),"",SUMIFS(INDEX(Inputs!$B$2:$AZ$190,,MATCH(SUBSTITUTE(AK$3,"Q","T"),Inputs!$B$2:$AZ$2,0)),Inputs!$B$2:$B$190,$B186)*Inputs!$D$1)</f>
        <v>0</v>
      </c>
      <c r="AL186" s="57">
        <f>IF(ISNA(SUMIFS(INDEX(Inputs!$B$2:$AZ$190,,MATCH(SUBSTITUTE(AL$3,"Q","T"),Inputs!$B$2:$AZ$2,0)),Inputs!$B$2:$B$190,$B186)*Inputs!$D$1),"",SUMIFS(INDEX(Inputs!$B$2:$AZ$190,,MATCH(SUBSTITUTE(AL$3,"Q","T"),Inputs!$B$2:$AZ$2,0)),Inputs!$B$2:$B$190,$B186)*Inputs!$D$1)</f>
        <v>0</v>
      </c>
      <c r="AM186" s="58">
        <f>SUM(AI186:AL186)</f>
        <v>0</v>
      </c>
      <c r="AN186" s="57">
        <f>IF(ISNA(SUMIFS(INDEX(Inputs!$B$2:$AZ$190,,MATCH(SUBSTITUTE(AN$3,"Q","T"),Inputs!$B$2:$AZ$2,0)),Inputs!$B$2:$B$190,$B186)*Inputs!$D$1),"",SUMIFS(INDEX(Inputs!$B$2:$AZ$190,,MATCH(SUBSTITUTE(AN$3,"Q","T"),Inputs!$B$2:$AZ$2,0)),Inputs!$B$2:$B$190,$B186)*Inputs!$D$1)</f>
        <v>0</v>
      </c>
      <c r="AO186" s="57">
        <f>IF(ISNA(SUMIFS(INDEX(Inputs!$B$2:$AZ$190,,MATCH(SUBSTITUTE(AO$3,"Q","T"),Inputs!$B$2:$AZ$2,0)),Inputs!$B$2:$B$190,$B186)*Inputs!$D$1),"",SUMIFS(INDEX(Inputs!$B$2:$AZ$190,,MATCH(SUBSTITUTE(AO$3,"Q","T"),Inputs!$B$2:$AZ$2,0)),Inputs!$B$2:$B$190,$B186)*Inputs!$D$1)</f>
        <v>0</v>
      </c>
      <c r="AP186" s="57">
        <f>IF(ISNA(SUMIFS(INDEX(Inputs!$B$2:$AZ$190,,MATCH(SUBSTITUTE(AP$3,"Q","T"),Inputs!$B$2:$AZ$2,0)),Inputs!$B$2:$B$190,$B186)*Inputs!$D$1),"",SUMIFS(INDEX(Inputs!$B$2:$AZ$190,,MATCH(SUBSTITUTE(AP$3,"Q","T"),Inputs!$B$2:$AZ$2,0)),Inputs!$B$2:$B$190,$B186)*Inputs!$D$1)</f>
        <v>0</v>
      </c>
      <c r="AQ186" s="57">
        <f>IF(ISNA(SUMIFS(INDEX(Inputs!$B$2:$AZ$190,,MATCH(SUBSTITUTE(AQ$3,"Q","T"),Inputs!$B$2:$AZ$2,0)),Inputs!$B$2:$B$190,$B186)*Inputs!$D$1),"",SUMIFS(INDEX(Inputs!$B$2:$AZ$190,,MATCH(SUBSTITUTE(AQ$3,"Q","T"),Inputs!$B$2:$AZ$2,0)),Inputs!$B$2:$B$190,$B186)*Inputs!$D$1)</f>
        <v>0</v>
      </c>
      <c r="AR186" s="58">
        <f>SUM(AN186:AQ186)</f>
        <v>0</v>
      </c>
      <c r="AS186" s="57">
        <f>IF(ISNA(SUMIFS(INDEX(Inputs!$B$2:$AZ$190,,MATCH(SUBSTITUTE(AS$3,"Q","T"),Inputs!$B$2:$AZ$2,0)),Inputs!$B$2:$B$190,$B186)*Inputs!$D$1),"",SUMIFS(INDEX(Inputs!$B$2:$AZ$190,,MATCH(SUBSTITUTE(AS$3,"Q","T"),Inputs!$B$2:$AZ$2,0)),Inputs!$B$2:$B$190,$B186)*Inputs!$D$1)</f>
        <v>0</v>
      </c>
      <c r="AT186" s="57">
        <f>IF(ISNA(SUMIFS(INDEX(Inputs!$B$2:$AZ$190,,MATCH(SUBSTITUTE(AT$3,"Q","T"),Inputs!$B$2:$AZ$2,0)),Inputs!$B$2:$B$190,$B186)*Inputs!$D$1),"",SUMIFS(INDEX(Inputs!$B$2:$AZ$190,,MATCH(SUBSTITUTE(AT$3,"Q","T"),Inputs!$B$2:$AZ$2,0)),Inputs!$B$2:$B$190,$B186)*Inputs!$D$1)</f>
        <v>0</v>
      </c>
      <c r="AU186" s="57">
        <f>IF(ISNA(SUMIFS(INDEX(Inputs!$B$2:$AZ$190,,MATCH(SUBSTITUTE(AU$3,"Q","T"),Inputs!$B$2:$AZ$2,0)),Inputs!$B$2:$B$190,$B186)*Inputs!$D$1),"",SUMIFS(INDEX(Inputs!$B$2:$AZ$190,,MATCH(SUBSTITUTE(AU$3,"Q","T"),Inputs!$B$2:$AZ$2,0)),Inputs!$B$2:$B$190,$B186)*Inputs!$D$1)</f>
        <v>0</v>
      </c>
      <c r="AV186" s="57">
        <f>IF(ISNA(SUMIFS(INDEX(Inputs!$B$2:$AZ$190,,MATCH(SUBSTITUTE(AV$3,"Q","T"),Inputs!$B$2:$AZ$2,0)),Inputs!$B$2:$B$190,$B186)*Inputs!$D$1),"",SUMIFS(INDEX(Inputs!$B$2:$AZ$190,,MATCH(SUBSTITUTE(AV$3,"Q","T"),Inputs!$B$2:$AZ$2,0)),Inputs!$B$2:$B$190,$B186)*Inputs!$D$1)</f>
        <v>0</v>
      </c>
      <c r="AW186" s="58">
        <f>SUM(AS186:AV186)</f>
        <v>0</v>
      </c>
      <c r="AX186" s="57">
        <f>IF(ISNA(SUMIFS(INDEX(Inputs!$B$2:$AZ$190,,MATCH(SUBSTITUTE(AX$3,"Q","T"),Inputs!$B$2:$AZ$2,0)),Inputs!$B$2:$B$190,$B186)*Inputs!$D$1),"",SUMIFS(INDEX(Inputs!$B$2:$AZ$190,,MATCH(SUBSTITUTE(AX$3,"Q","T"),Inputs!$B$2:$AZ$2,0)),Inputs!$B$2:$B$190,$B186)*Inputs!$D$1)</f>
        <v>0</v>
      </c>
      <c r="AY186" s="57">
        <f>IF(ISNA(SUMIFS(INDEX(Inputs!$B$2:$AZ$190,,MATCH(SUBSTITUTE(AY$3,"Q","T"),Inputs!$B$2:$AZ$2,0)),Inputs!$B$2:$B$190,$B186)*Inputs!$D$1),"",SUMIFS(INDEX(Inputs!$B$2:$AZ$190,,MATCH(SUBSTITUTE(AY$3,"Q","T"),Inputs!$B$2:$AZ$2,0)),Inputs!$B$2:$B$190,$B186)*Inputs!$D$1)</f>
        <v>0</v>
      </c>
      <c r="AZ186" s="57">
        <f>IF(ISNA(SUMIFS(INDEX(Inputs!$B$2:$AZ$190,,MATCH(SUBSTITUTE(AZ$3,"Q","T"),Inputs!$B$2:$AZ$2,0)),Inputs!$B$2:$B$190,$B186)*Inputs!$D$1),"",SUMIFS(INDEX(Inputs!$B$2:$AZ$190,,MATCH(SUBSTITUTE(AZ$3,"Q","T"),Inputs!$B$2:$AZ$2,0)),Inputs!$B$2:$B$190,$B186)*Inputs!$D$1)</f>
        <v>0</v>
      </c>
      <c r="BA186" s="57">
        <f>IF(ISNA(SUMIFS(INDEX(Inputs!$B$2:$AZ$190,,MATCH(SUBSTITUTE(BA$3,"Q","T"),Inputs!$B$2:$AZ$2,0)),Inputs!$B$2:$B$190,$B186)*Inputs!$D$1),"",SUMIFS(INDEX(Inputs!$B$2:$AZ$190,,MATCH(SUBSTITUTE(BA$3,"Q","T"),Inputs!$B$2:$AZ$2,0)),Inputs!$B$2:$B$190,$B186)*Inputs!$D$1)</f>
        <v>0</v>
      </c>
      <c r="BB186" s="58">
        <f>SUM(AX186:BA186)</f>
        <v>0</v>
      </c>
      <c r="BC186" s="57">
        <f>IF(ISNA(SUMIFS(INDEX(Inputs!$B$2:$AZ$190,,MATCH(SUBSTITUTE(BC$3,"Q","T"),Inputs!$B$2:$AZ$2,0)),Inputs!$B$2:$B$190,$B186)*Inputs!$D$1),"",SUMIFS(INDEX(Inputs!$B$2:$AZ$190,,MATCH(SUBSTITUTE(BC$3,"Q","T"),Inputs!$B$2:$AZ$2,0)),Inputs!$B$2:$B$190,$B186)*Inputs!$D$1)</f>
        <v>0</v>
      </c>
      <c r="BD186" s="57">
        <f>IF(ISNA(SUMIFS(INDEX(Inputs!$B$2:$AZ$190,,MATCH(SUBSTITUTE(BD$3,"Q","T"),Inputs!$B$2:$AZ$2,0)),Inputs!$B$2:$B$190,$B186)*Inputs!$D$1),"",SUMIFS(INDEX(Inputs!$B$2:$AZ$190,,MATCH(SUBSTITUTE(BD$3,"Q","T"),Inputs!$B$2:$AZ$2,0)),Inputs!$B$2:$B$190,$B186)*Inputs!$D$1)</f>
        <v>0</v>
      </c>
      <c r="BE186" s="57">
        <f>IF(ISNA(SUMIFS(INDEX(Inputs!$B$2:$AZ$190,,MATCH(SUBSTITUTE(BE$3,"Q","T"),Inputs!$B$2:$AZ$2,0)),Inputs!$B$2:$B$190,$B186)*Inputs!$D$1),"",SUMIFS(INDEX(Inputs!$B$2:$AZ$190,,MATCH(SUBSTITUTE(BE$3,"Q","T"),Inputs!$B$2:$AZ$2,0)),Inputs!$B$2:$B$190,$B186)*Inputs!$D$1)</f>
        <v>0</v>
      </c>
      <c r="BF186" s="57">
        <f>IF(ISNA(SUMIFS(INDEX(Inputs!$B$2:$AZ$190,,MATCH(SUBSTITUTE(BF$3,"Q","T"),Inputs!$B$2:$AZ$2,0)),Inputs!$B$2:$B$190,$B186)*Inputs!$D$1),"",SUMIFS(INDEX(Inputs!$B$2:$AZ$190,,MATCH(SUBSTITUTE(BF$3,"Q","T"),Inputs!$B$2:$AZ$2,0)),Inputs!$B$2:$B$190,$B186)*Inputs!$D$1)</f>
        <v>0</v>
      </c>
      <c r="BG186" s="58">
        <f>SUM(BC186:BF186)</f>
        <v>0</v>
      </c>
    </row>
    <row r="187" hidden="1" outlineLevel="1">
      <c r="B187" s="56" t="inlineStr">
        <is>
          <t>comp_inc</t>
        </is>
      </c>
      <c r="C187" s="11" t="inlineStr">
        <is>
          <t>(Remuneração variável)</t>
        </is>
      </c>
      <c r="D187" s="12" t="inlineStr">
        <is>
          <t>(Incentive compensation)</t>
        </is>
      </c>
      <c r="E187" s="57">
        <f>IF(ISNA(SUMIFS(INDEX(Inputs!$B$2:$AZ$190,,MATCH(SUBSTITUTE(E$3,"Q","T"),Inputs!$B$2:$AZ$2,0)),Inputs!$B$2:$B$190,$B187)*Inputs!$D$1),"",SUMIFS(INDEX(Inputs!$B$2:$AZ$190,,MATCH(SUBSTITUTE(E$3,"Q","T"),Inputs!$B$2:$AZ$2,0)),Inputs!$B$2:$B$190,$B187)*Inputs!$D$1)</f>
        <v>0</v>
      </c>
      <c r="F187" s="57">
        <f>IF(ISNA(SUMIFS(INDEX(Inputs!$B$2:$AZ$190,,MATCH(SUBSTITUTE(F$3,"Q","T"),Inputs!$B$2:$AZ$2,0)),Inputs!$B$2:$B$190,$B187)*Inputs!$D$1),"",SUMIFS(INDEX(Inputs!$B$2:$AZ$190,,MATCH(SUBSTITUTE(F$3,"Q","T"),Inputs!$B$2:$AZ$2,0)),Inputs!$B$2:$B$190,$B187)*Inputs!$D$1)</f>
        <v>0</v>
      </c>
      <c r="G187" s="57">
        <f>IF(ISNA(SUMIFS(INDEX(Inputs!$B$2:$AZ$190,,MATCH(SUBSTITUTE(G$3,"Q","T"),Inputs!$B$2:$AZ$2,0)),Inputs!$B$2:$B$190,$B187)*Inputs!$D$1),"",SUMIFS(INDEX(Inputs!$B$2:$AZ$190,,MATCH(SUBSTITUTE(G$3,"Q","T"),Inputs!$B$2:$AZ$2,0)),Inputs!$B$2:$B$190,$B187)*Inputs!$D$1)</f>
        <v>0</v>
      </c>
      <c r="H187" s="57">
        <f>IF(ISNA(SUMIFS(INDEX(Inputs!$B$2:$AZ$190,,MATCH(SUBSTITUTE(H$3,"Q","T"),Inputs!$B$2:$AZ$2,0)),Inputs!$B$2:$B$190,$B187)*Inputs!$D$1),"",SUMIFS(INDEX(Inputs!$B$2:$AZ$190,,MATCH(SUBSTITUTE(H$3,"Q","T"),Inputs!$B$2:$AZ$2,0)),Inputs!$B$2:$B$190,$B187)*Inputs!$D$1)</f>
        <v>0</v>
      </c>
      <c r="I187" s="58">
        <f>SUM(E187:H187)</f>
        <v>0</v>
      </c>
      <c r="J187" s="57">
        <f>IF(ISNA(SUMIFS(INDEX(Inputs!$B$2:$AZ$190,,MATCH(SUBSTITUTE(J$3,"Q","T"),Inputs!$B$2:$AZ$2,0)),Inputs!$B$2:$B$190,$B187)*Inputs!$D$1),"",SUMIFS(INDEX(Inputs!$B$2:$AZ$190,,MATCH(SUBSTITUTE(J$3,"Q","T"),Inputs!$B$2:$AZ$2,0)),Inputs!$B$2:$B$190,$B187)*Inputs!$D$1)</f>
        <v>0</v>
      </c>
      <c r="K187" s="57">
        <f>IF(ISNA(SUMIFS(INDEX(Inputs!$B$2:$AZ$190,,MATCH(SUBSTITUTE(K$3,"Q","T"),Inputs!$B$2:$AZ$2,0)),Inputs!$B$2:$B$190,$B187)*Inputs!$D$1),"",SUMIFS(INDEX(Inputs!$B$2:$AZ$190,,MATCH(SUBSTITUTE(K$3,"Q","T"),Inputs!$B$2:$AZ$2,0)),Inputs!$B$2:$B$190,$B187)*Inputs!$D$1)</f>
        <v>0</v>
      </c>
      <c r="L187" s="57">
        <f>IF(ISNA(SUMIFS(INDEX(Inputs!$B$2:$AZ$190,,MATCH(SUBSTITUTE(L$3,"Q","T"),Inputs!$B$2:$AZ$2,0)),Inputs!$B$2:$B$190,$B187)*Inputs!$D$1),"",SUMIFS(INDEX(Inputs!$B$2:$AZ$190,,MATCH(SUBSTITUTE(L$3,"Q","T"),Inputs!$B$2:$AZ$2,0)),Inputs!$B$2:$B$190,$B187)*Inputs!$D$1)</f>
        <v>0</v>
      </c>
      <c r="M187" s="57">
        <f>IF(ISNA(SUMIFS(INDEX(Inputs!$B$2:$AZ$190,,MATCH(SUBSTITUTE(M$3,"Q","T"),Inputs!$B$2:$AZ$2,0)),Inputs!$B$2:$B$190,$B187)*Inputs!$D$1),"",SUMIFS(INDEX(Inputs!$B$2:$AZ$190,,MATCH(SUBSTITUTE(M$3,"Q","T"),Inputs!$B$2:$AZ$2,0)),Inputs!$B$2:$B$190,$B187)*Inputs!$D$1)</f>
        <v>0</v>
      </c>
      <c r="N187" s="58">
        <f>SUM(J187:M187)</f>
        <v>0</v>
      </c>
      <c r="O187" s="57">
        <f>IF(ISNA(SUMIFS(INDEX(Inputs!$B$2:$AZ$190,,MATCH(SUBSTITUTE(O$3,"Q","T"),Inputs!$B$2:$AZ$2,0)),Inputs!$B$2:$B$190,$B187)*Inputs!$D$1),"",SUMIFS(INDEX(Inputs!$B$2:$AZ$190,,MATCH(SUBSTITUTE(O$3,"Q","T"),Inputs!$B$2:$AZ$2,0)),Inputs!$B$2:$B$190,$B187)*Inputs!$D$1)</f>
        <v>0</v>
      </c>
      <c r="P187" s="57">
        <f>IF(ISNA(SUMIFS(INDEX(Inputs!$B$2:$AZ$190,,MATCH(SUBSTITUTE(P$3,"Q","T"),Inputs!$B$2:$AZ$2,0)),Inputs!$B$2:$B$190,$B187)*Inputs!$D$1),"",SUMIFS(INDEX(Inputs!$B$2:$AZ$190,,MATCH(SUBSTITUTE(P$3,"Q","T"),Inputs!$B$2:$AZ$2,0)),Inputs!$B$2:$B$190,$B187)*Inputs!$D$1)</f>
        <v>0</v>
      </c>
      <c r="Q187" s="57">
        <f>IF(ISNA(SUMIFS(INDEX(Inputs!$B$2:$AZ$190,,MATCH(SUBSTITUTE(Q$3,"Q","T"),Inputs!$B$2:$AZ$2,0)),Inputs!$B$2:$B$190,$B187)*Inputs!$D$1),"",SUMIFS(INDEX(Inputs!$B$2:$AZ$190,,MATCH(SUBSTITUTE(Q$3,"Q","T"),Inputs!$B$2:$AZ$2,0)),Inputs!$B$2:$B$190,$B187)*Inputs!$D$1)</f>
        <v>0</v>
      </c>
      <c r="R187" s="57">
        <f>IF(ISNA(SUMIFS(INDEX(Inputs!$B$2:$AZ$190,,MATCH(SUBSTITUTE(R$3,"Q","T"),Inputs!$B$2:$AZ$2,0)),Inputs!$B$2:$B$190,$B187)*Inputs!$D$1),"",SUMIFS(INDEX(Inputs!$B$2:$AZ$190,,MATCH(SUBSTITUTE(R$3,"Q","T"),Inputs!$B$2:$AZ$2,0)),Inputs!$B$2:$B$190,$B187)*Inputs!$D$1)</f>
        <v>0</v>
      </c>
      <c r="S187" s="58">
        <f>SUM(O187:R187)</f>
        <v>0</v>
      </c>
      <c r="T187" s="57">
        <f>IF(ISNA(SUMIFS(INDEX(Inputs!$B$2:$AZ$190,,MATCH(SUBSTITUTE(T$3,"Q","T"),Inputs!$B$2:$AZ$2,0)),Inputs!$B$2:$B$190,$B187)*Inputs!$D$1),"",SUMIFS(INDEX(Inputs!$B$2:$AZ$190,,MATCH(SUBSTITUTE(T$3,"Q","T"),Inputs!$B$2:$AZ$2,0)),Inputs!$B$2:$B$190,$B187)*Inputs!$D$1)</f>
        <v>0</v>
      </c>
      <c r="U187" s="57">
        <f>IF(ISNA(SUMIFS(INDEX(Inputs!$B$2:$AZ$190,,MATCH(SUBSTITUTE(U$3,"Q","T"),Inputs!$B$2:$AZ$2,0)),Inputs!$B$2:$B$190,$B187)*Inputs!$D$1),"",SUMIFS(INDEX(Inputs!$B$2:$AZ$190,,MATCH(SUBSTITUTE(U$3,"Q","T"),Inputs!$B$2:$AZ$2,0)),Inputs!$B$2:$B$190,$B187)*Inputs!$D$1)</f>
        <v>0</v>
      </c>
      <c r="V187" s="57">
        <f>IF(ISNA(SUMIFS(INDEX(Inputs!$B$2:$AZ$190,,MATCH(SUBSTITUTE(V$3,"Q","T"),Inputs!$B$2:$AZ$2,0)),Inputs!$B$2:$B$190,$B187)*Inputs!$D$1),"",SUMIFS(INDEX(Inputs!$B$2:$AZ$190,,MATCH(SUBSTITUTE(V$3,"Q","T"),Inputs!$B$2:$AZ$2,0)),Inputs!$B$2:$B$190,$B187)*Inputs!$D$1)</f>
        <v>0</v>
      </c>
      <c r="W187" s="57">
        <f>IF(ISNA(SUMIFS(INDEX(Inputs!$B$2:$AZ$190,,MATCH(SUBSTITUTE(W$3,"Q","T"),Inputs!$B$2:$AZ$2,0)),Inputs!$B$2:$B$190,$B187)*Inputs!$D$1),"",SUMIFS(INDEX(Inputs!$B$2:$AZ$190,,MATCH(SUBSTITUTE(W$3,"Q","T"),Inputs!$B$2:$AZ$2,0)),Inputs!$B$2:$B$190,$B187)*Inputs!$D$1)</f>
        <v>0</v>
      </c>
      <c r="X187" s="58">
        <f>SUM(T187:W187)</f>
        <v>0</v>
      </c>
      <c r="Y187" s="57">
        <f>IF(ISNA(SUMIFS(INDEX(Inputs!$B$2:$AZ$190,,MATCH(SUBSTITUTE(Y$3,"Q","T"),Inputs!$B$2:$AZ$2,0)),Inputs!$B$2:$B$190,$B187)*Inputs!$D$1),"",SUMIFS(INDEX(Inputs!$B$2:$AZ$190,,MATCH(SUBSTITUTE(Y$3,"Q","T"),Inputs!$B$2:$AZ$2,0)),Inputs!$B$2:$B$190,$B187)*Inputs!$D$1)</f>
        <v>0</v>
      </c>
      <c r="Z187" s="57">
        <f>IF(ISNA(SUMIFS(INDEX(Inputs!$B$2:$AZ$190,,MATCH(SUBSTITUTE(Z$3,"Q","T"),Inputs!$B$2:$AZ$2,0)),Inputs!$B$2:$B$190,$B187)*Inputs!$D$1),"",SUMIFS(INDEX(Inputs!$B$2:$AZ$190,,MATCH(SUBSTITUTE(Z$3,"Q","T"),Inputs!$B$2:$AZ$2,0)),Inputs!$B$2:$B$190,$B187)*Inputs!$D$1)</f>
        <v>0</v>
      </c>
      <c r="AA187" s="57">
        <f>IF(ISNA(SUMIFS(INDEX(Inputs!$B$2:$AZ$190,,MATCH(SUBSTITUTE(AA$3,"Q","T"),Inputs!$B$2:$AZ$2,0)),Inputs!$B$2:$B$190,$B187)*Inputs!$D$1),"",SUMIFS(INDEX(Inputs!$B$2:$AZ$190,,MATCH(SUBSTITUTE(AA$3,"Q","T"),Inputs!$B$2:$AZ$2,0)),Inputs!$B$2:$B$190,$B187)*Inputs!$D$1)</f>
        <v>0</v>
      </c>
      <c r="AB187" s="57">
        <f>IF(ISNA(SUMIFS(INDEX(Inputs!$B$2:$AZ$190,,MATCH(SUBSTITUTE(AB$3,"Q","T"),Inputs!$B$2:$AZ$2,0)),Inputs!$B$2:$B$190,$B187)*Inputs!$D$1),"",SUMIFS(INDEX(Inputs!$B$2:$AZ$190,,MATCH(SUBSTITUTE(AB$3,"Q","T"),Inputs!$B$2:$AZ$2,0)),Inputs!$B$2:$B$190,$B187)*Inputs!$D$1)</f>
        <v>0</v>
      </c>
      <c r="AC187" s="58">
        <f>SUM(Y187:AB187)</f>
        <v>0</v>
      </c>
      <c r="AD187" s="57">
        <f>IF(ISNA(SUMIFS(INDEX(Inputs!$B$2:$AZ$190,,MATCH(SUBSTITUTE(AD$3,"Q","T"),Inputs!$B$2:$AZ$2,0)),Inputs!$B$2:$B$190,$B187)*Inputs!$D$1),"",SUMIFS(INDEX(Inputs!$B$2:$AZ$190,,MATCH(SUBSTITUTE(AD$3,"Q","T"),Inputs!$B$2:$AZ$2,0)),Inputs!$B$2:$B$190,$B187)*Inputs!$D$1)</f>
        <v>0</v>
      </c>
      <c r="AE187" s="57">
        <f>IF(ISNA(SUMIFS(INDEX(Inputs!$B$2:$AZ$190,,MATCH(SUBSTITUTE(AE$3,"Q","T"),Inputs!$B$2:$AZ$2,0)),Inputs!$B$2:$B$190,$B187)*Inputs!$D$1),"",SUMIFS(INDEX(Inputs!$B$2:$AZ$190,,MATCH(SUBSTITUTE(AE$3,"Q","T"),Inputs!$B$2:$AZ$2,0)),Inputs!$B$2:$B$190,$B187)*Inputs!$D$1)</f>
        <v>0</v>
      </c>
      <c r="AF187" s="57">
        <f>IF(ISNA(SUMIFS(INDEX(Inputs!$B$2:$AZ$190,,MATCH(SUBSTITUTE(AF$3,"Q","T"),Inputs!$B$2:$AZ$2,0)),Inputs!$B$2:$B$190,$B187)*Inputs!$D$1),"",SUMIFS(INDEX(Inputs!$B$2:$AZ$190,,MATCH(SUBSTITUTE(AF$3,"Q","T"),Inputs!$B$2:$AZ$2,0)),Inputs!$B$2:$B$190,$B187)*Inputs!$D$1)</f>
        <v>0</v>
      </c>
      <c r="AG187" s="57">
        <f>IF(ISNA(SUMIFS(INDEX(Inputs!$B$2:$AZ$190,,MATCH(SUBSTITUTE(AG$3,"Q","T"),Inputs!$B$2:$AZ$2,0)),Inputs!$B$2:$B$190,$B187)*Inputs!$D$1),"",SUMIFS(INDEX(Inputs!$B$2:$AZ$190,,MATCH(SUBSTITUTE(AG$3,"Q","T"),Inputs!$B$2:$AZ$2,0)),Inputs!$B$2:$B$190,$B187)*Inputs!$D$1)</f>
        <v>0</v>
      </c>
      <c r="AH187" s="58">
        <f>SUM(AD187:AG187)</f>
        <v>0</v>
      </c>
      <c r="AI187" s="57">
        <f>IF(ISNA(SUMIFS(INDEX(Inputs!$B$2:$AZ$190,,MATCH(SUBSTITUTE(AI$3,"Q","T"),Inputs!$B$2:$AZ$2,0)),Inputs!$B$2:$B$190,$B187)*Inputs!$D$1),"",SUMIFS(INDEX(Inputs!$B$2:$AZ$190,,MATCH(SUBSTITUTE(AI$3,"Q","T"),Inputs!$B$2:$AZ$2,0)),Inputs!$B$2:$B$190,$B187)*Inputs!$D$1)</f>
        <v>0</v>
      </c>
      <c r="AJ187" s="57">
        <f>IF(ISNA(SUMIFS(INDEX(Inputs!$B$2:$AZ$190,,MATCH(SUBSTITUTE(AJ$3,"Q","T"),Inputs!$B$2:$AZ$2,0)),Inputs!$B$2:$B$190,$B187)*Inputs!$D$1),"",SUMIFS(INDEX(Inputs!$B$2:$AZ$190,,MATCH(SUBSTITUTE(AJ$3,"Q","T"),Inputs!$B$2:$AZ$2,0)),Inputs!$B$2:$B$190,$B187)*Inputs!$D$1)</f>
        <v>0</v>
      </c>
      <c r="AK187" s="57">
        <f>IF(ISNA(SUMIFS(INDEX(Inputs!$B$2:$AZ$190,,MATCH(SUBSTITUTE(AK$3,"Q","T"),Inputs!$B$2:$AZ$2,0)),Inputs!$B$2:$B$190,$B187)*Inputs!$D$1),"",SUMIFS(INDEX(Inputs!$B$2:$AZ$190,,MATCH(SUBSTITUTE(AK$3,"Q","T"),Inputs!$B$2:$AZ$2,0)),Inputs!$B$2:$B$190,$B187)*Inputs!$D$1)</f>
        <v>0</v>
      </c>
      <c r="AL187" s="57">
        <f>IF(ISNA(SUMIFS(INDEX(Inputs!$B$2:$AZ$190,,MATCH(SUBSTITUTE(AL$3,"Q","T"),Inputs!$B$2:$AZ$2,0)),Inputs!$B$2:$B$190,$B187)*Inputs!$D$1),"",SUMIFS(INDEX(Inputs!$B$2:$AZ$190,,MATCH(SUBSTITUTE(AL$3,"Q","T"),Inputs!$B$2:$AZ$2,0)),Inputs!$B$2:$B$190,$B187)*Inputs!$D$1)</f>
        <v>0</v>
      </c>
      <c r="AM187" s="58">
        <f>SUM(AI187:AL187)</f>
        <v>0</v>
      </c>
      <c r="AN187" s="57">
        <f>IF(ISNA(SUMIFS(INDEX(Inputs!$B$2:$AZ$190,,MATCH(SUBSTITUTE(AN$3,"Q","T"),Inputs!$B$2:$AZ$2,0)),Inputs!$B$2:$B$190,$B187)*Inputs!$D$1),"",SUMIFS(INDEX(Inputs!$B$2:$AZ$190,,MATCH(SUBSTITUTE(AN$3,"Q","T"),Inputs!$B$2:$AZ$2,0)),Inputs!$B$2:$B$190,$B187)*Inputs!$D$1)</f>
        <v>0</v>
      </c>
      <c r="AO187" s="57">
        <f>IF(ISNA(SUMIFS(INDEX(Inputs!$B$2:$AZ$190,,MATCH(SUBSTITUTE(AO$3,"Q","T"),Inputs!$B$2:$AZ$2,0)),Inputs!$B$2:$B$190,$B187)*Inputs!$D$1),"",SUMIFS(INDEX(Inputs!$B$2:$AZ$190,,MATCH(SUBSTITUTE(AO$3,"Q","T"),Inputs!$B$2:$AZ$2,0)),Inputs!$B$2:$B$190,$B187)*Inputs!$D$1)</f>
        <v>0</v>
      </c>
      <c r="AP187" s="57">
        <f>IF(ISNA(SUMIFS(INDEX(Inputs!$B$2:$AZ$190,,MATCH(SUBSTITUTE(AP$3,"Q","T"),Inputs!$B$2:$AZ$2,0)),Inputs!$B$2:$B$190,$B187)*Inputs!$D$1),"",SUMIFS(INDEX(Inputs!$B$2:$AZ$190,,MATCH(SUBSTITUTE(AP$3,"Q","T"),Inputs!$B$2:$AZ$2,0)),Inputs!$B$2:$B$190,$B187)*Inputs!$D$1)</f>
        <v>0</v>
      </c>
      <c r="AQ187" s="57">
        <f>IF(ISNA(SUMIFS(INDEX(Inputs!$B$2:$AZ$190,,MATCH(SUBSTITUTE(AQ$3,"Q","T"),Inputs!$B$2:$AZ$2,0)),Inputs!$B$2:$B$190,$B187)*Inputs!$D$1),"",SUMIFS(INDEX(Inputs!$B$2:$AZ$190,,MATCH(SUBSTITUTE(AQ$3,"Q","T"),Inputs!$B$2:$AZ$2,0)),Inputs!$B$2:$B$190,$B187)*Inputs!$D$1)</f>
        <v>0</v>
      </c>
      <c r="AR187" s="58">
        <f>SUM(AN187:AQ187)</f>
        <v>0</v>
      </c>
      <c r="AS187" s="57">
        <f>IF(ISNA(SUMIFS(INDEX(Inputs!$B$2:$AZ$190,,MATCH(SUBSTITUTE(AS$3,"Q","T"),Inputs!$B$2:$AZ$2,0)),Inputs!$B$2:$B$190,$B187)*Inputs!$D$1),"",SUMIFS(INDEX(Inputs!$B$2:$AZ$190,,MATCH(SUBSTITUTE(AS$3,"Q","T"),Inputs!$B$2:$AZ$2,0)),Inputs!$B$2:$B$190,$B187)*Inputs!$D$1)</f>
        <v>0</v>
      </c>
      <c r="AT187" s="57">
        <f>IF(ISNA(SUMIFS(INDEX(Inputs!$B$2:$AZ$190,,MATCH(SUBSTITUTE(AT$3,"Q","T"),Inputs!$B$2:$AZ$2,0)),Inputs!$B$2:$B$190,$B187)*Inputs!$D$1),"",SUMIFS(INDEX(Inputs!$B$2:$AZ$190,,MATCH(SUBSTITUTE(AT$3,"Q","T"),Inputs!$B$2:$AZ$2,0)),Inputs!$B$2:$B$190,$B187)*Inputs!$D$1)</f>
        <v>0</v>
      </c>
      <c r="AU187" s="57">
        <f>IF(ISNA(SUMIFS(INDEX(Inputs!$B$2:$AZ$190,,MATCH(SUBSTITUTE(AU$3,"Q","T"),Inputs!$B$2:$AZ$2,0)),Inputs!$B$2:$B$190,$B187)*Inputs!$D$1),"",SUMIFS(INDEX(Inputs!$B$2:$AZ$190,,MATCH(SUBSTITUTE(AU$3,"Q","T"),Inputs!$B$2:$AZ$2,0)),Inputs!$B$2:$B$190,$B187)*Inputs!$D$1)</f>
        <v>0</v>
      </c>
      <c r="AV187" s="57">
        <f>IF(ISNA(SUMIFS(INDEX(Inputs!$B$2:$AZ$190,,MATCH(SUBSTITUTE(AV$3,"Q","T"),Inputs!$B$2:$AZ$2,0)),Inputs!$B$2:$B$190,$B187)*Inputs!$D$1),"",SUMIFS(INDEX(Inputs!$B$2:$AZ$190,,MATCH(SUBSTITUTE(AV$3,"Q","T"),Inputs!$B$2:$AZ$2,0)),Inputs!$B$2:$B$190,$B187)*Inputs!$D$1)</f>
        <v>0</v>
      </c>
      <c r="AW187" s="58">
        <f>SUM(AS187:AV187)</f>
        <v>0</v>
      </c>
      <c r="AX187" s="57">
        <f>IF(ISNA(SUMIFS(INDEX(Inputs!$B$2:$AZ$190,,MATCH(SUBSTITUTE(AX$3,"Q","T"),Inputs!$B$2:$AZ$2,0)),Inputs!$B$2:$B$190,$B187)*Inputs!$D$1),"",SUMIFS(INDEX(Inputs!$B$2:$AZ$190,,MATCH(SUBSTITUTE(AX$3,"Q","T"),Inputs!$B$2:$AZ$2,0)),Inputs!$B$2:$B$190,$B187)*Inputs!$D$1)</f>
        <v>0</v>
      </c>
      <c r="AY187" s="57">
        <f>IF(ISNA(SUMIFS(INDEX(Inputs!$B$2:$AZ$190,,MATCH(SUBSTITUTE(AY$3,"Q","T"),Inputs!$B$2:$AZ$2,0)),Inputs!$B$2:$B$190,$B187)*Inputs!$D$1),"",SUMIFS(INDEX(Inputs!$B$2:$AZ$190,,MATCH(SUBSTITUTE(AY$3,"Q","T"),Inputs!$B$2:$AZ$2,0)),Inputs!$B$2:$B$190,$B187)*Inputs!$D$1)</f>
        <v>0</v>
      </c>
      <c r="AZ187" s="57">
        <f>IF(ISNA(SUMIFS(INDEX(Inputs!$B$2:$AZ$190,,MATCH(SUBSTITUTE(AZ$3,"Q","T"),Inputs!$B$2:$AZ$2,0)),Inputs!$B$2:$B$190,$B187)*Inputs!$D$1),"",SUMIFS(INDEX(Inputs!$B$2:$AZ$190,,MATCH(SUBSTITUTE(AZ$3,"Q","T"),Inputs!$B$2:$AZ$2,0)),Inputs!$B$2:$B$190,$B187)*Inputs!$D$1)</f>
        <v>0</v>
      </c>
      <c r="BA187" s="57">
        <f>IF(ISNA(SUMIFS(INDEX(Inputs!$B$2:$AZ$190,,MATCH(SUBSTITUTE(BA$3,"Q","T"),Inputs!$B$2:$AZ$2,0)),Inputs!$B$2:$B$190,$B187)*Inputs!$D$1),"",SUMIFS(INDEX(Inputs!$B$2:$AZ$190,,MATCH(SUBSTITUTE(BA$3,"Q","T"),Inputs!$B$2:$AZ$2,0)),Inputs!$B$2:$B$190,$B187)*Inputs!$D$1)</f>
        <v>0</v>
      </c>
      <c r="BB187" s="58">
        <f>SUM(AX187:BA187)</f>
        <v>0</v>
      </c>
      <c r="BC187" s="57">
        <f>IF(ISNA(SUMIFS(INDEX(Inputs!$B$2:$AZ$190,,MATCH(SUBSTITUTE(BC$3,"Q","T"),Inputs!$B$2:$AZ$2,0)),Inputs!$B$2:$B$190,$B187)*Inputs!$D$1),"",SUMIFS(INDEX(Inputs!$B$2:$AZ$190,,MATCH(SUBSTITUTE(BC$3,"Q","T"),Inputs!$B$2:$AZ$2,0)),Inputs!$B$2:$B$190,$B187)*Inputs!$D$1)</f>
        <v>0</v>
      </c>
      <c r="BD187" s="57">
        <f>IF(ISNA(SUMIFS(INDEX(Inputs!$B$2:$AZ$190,,MATCH(SUBSTITUTE(BD$3,"Q","T"),Inputs!$B$2:$AZ$2,0)),Inputs!$B$2:$B$190,$B187)*Inputs!$D$1),"",SUMIFS(INDEX(Inputs!$B$2:$AZ$190,,MATCH(SUBSTITUTE(BD$3,"Q","T"),Inputs!$B$2:$AZ$2,0)),Inputs!$B$2:$B$190,$B187)*Inputs!$D$1)</f>
        <v>0</v>
      </c>
      <c r="BE187" s="57">
        <f>IF(ISNA(SUMIFS(INDEX(Inputs!$B$2:$AZ$190,,MATCH(SUBSTITUTE(BE$3,"Q","T"),Inputs!$B$2:$AZ$2,0)),Inputs!$B$2:$B$190,$B187)*Inputs!$D$1),"",SUMIFS(INDEX(Inputs!$B$2:$AZ$190,,MATCH(SUBSTITUTE(BE$3,"Q","T"),Inputs!$B$2:$AZ$2,0)),Inputs!$B$2:$B$190,$B187)*Inputs!$D$1)</f>
        <v>0</v>
      </c>
      <c r="BF187" s="57">
        <f>IF(ISNA(SUMIFS(INDEX(Inputs!$B$2:$AZ$190,,MATCH(SUBSTITUTE(BF$3,"Q","T"),Inputs!$B$2:$AZ$2,0)),Inputs!$B$2:$B$190,$B187)*Inputs!$D$1),"",SUMIFS(INDEX(Inputs!$B$2:$AZ$190,,MATCH(SUBSTITUTE(BF$3,"Q","T"),Inputs!$B$2:$AZ$2,0)),Inputs!$B$2:$B$190,$B187)*Inputs!$D$1)</f>
        <v>0</v>
      </c>
      <c r="BG187" s="58">
        <f>SUM(BC187:BF187)</f>
        <v>0</v>
      </c>
    </row>
    <row r="188" hidden="1" outlineLevel="1">
      <c r="B188" s="56" t="inlineStr">
        <is>
          <t>comp_oth</t>
        </is>
      </c>
      <c r="C188" s="11" t="inlineStr">
        <is>
          <t>(Demais despesas de pessoal)</t>
        </is>
      </c>
      <c r="D188" s="12" t="inlineStr">
        <is>
          <t>(Other compensation)</t>
        </is>
      </c>
      <c r="E188" s="57">
        <f>IF(ISNA(SUMIFS(INDEX(Inputs!$B$2:$AZ$190,,MATCH(SUBSTITUTE(E$3,"Q","T"),Inputs!$B$2:$AZ$2,0)),Inputs!$B$2:$B$190,$B188)*Inputs!$D$1),"",SUMIFS(INDEX(Inputs!$B$2:$AZ$190,,MATCH(SUBSTITUTE(E$3,"Q","T"),Inputs!$B$2:$AZ$2,0)),Inputs!$B$2:$B$190,$B188)*Inputs!$D$1)</f>
        <v>0</v>
      </c>
      <c r="F188" s="57">
        <f>IF(ISNA(SUMIFS(INDEX(Inputs!$B$2:$AZ$190,,MATCH(SUBSTITUTE(F$3,"Q","T"),Inputs!$B$2:$AZ$2,0)),Inputs!$B$2:$B$190,$B188)*Inputs!$D$1),"",SUMIFS(INDEX(Inputs!$B$2:$AZ$190,,MATCH(SUBSTITUTE(F$3,"Q","T"),Inputs!$B$2:$AZ$2,0)),Inputs!$B$2:$B$190,$B188)*Inputs!$D$1)</f>
        <v>0</v>
      </c>
      <c r="G188" s="57">
        <f>IF(ISNA(SUMIFS(INDEX(Inputs!$B$2:$AZ$190,,MATCH(SUBSTITUTE(G$3,"Q","T"),Inputs!$B$2:$AZ$2,0)),Inputs!$B$2:$B$190,$B188)*Inputs!$D$1),"",SUMIFS(INDEX(Inputs!$B$2:$AZ$190,,MATCH(SUBSTITUTE(G$3,"Q","T"),Inputs!$B$2:$AZ$2,0)),Inputs!$B$2:$B$190,$B188)*Inputs!$D$1)</f>
        <v>0</v>
      </c>
      <c r="H188" s="57">
        <f>IF(ISNA(SUMIFS(INDEX(Inputs!$B$2:$AZ$190,,MATCH(SUBSTITUTE(H$3,"Q","T"),Inputs!$B$2:$AZ$2,0)),Inputs!$B$2:$B$190,$B188)*Inputs!$D$1),"",SUMIFS(INDEX(Inputs!$B$2:$AZ$190,,MATCH(SUBSTITUTE(H$3,"Q","T"),Inputs!$B$2:$AZ$2,0)),Inputs!$B$2:$B$190,$B188)*Inputs!$D$1)</f>
        <v>0</v>
      </c>
      <c r="I188" s="58">
        <f>SUM(E188:H188)</f>
        <v>0</v>
      </c>
      <c r="J188" s="57">
        <f>IF(ISNA(SUMIFS(INDEX(Inputs!$B$2:$AZ$190,,MATCH(SUBSTITUTE(J$3,"Q","T"),Inputs!$B$2:$AZ$2,0)),Inputs!$B$2:$B$190,$B188)*Inputs!$D$1),"",SUMIFS(INDEX(Inputs!$B$2:$AZ$190,,MATCH(SUBSTITUTE(J$3,"Q","T"),Inputs!$B$2:$AZ$2,0)),Inputs!$B$2:$B$190,$B188)*Inputs!$D$1)</f>
        <v>0</v>
      </c>
      <c r="K188" s="57">
        <f>IF(ISNA(SUMIFS(INDEX(Inputs!$B$2:$AZ$190,,MATCH(SUBSTITUTE(K$3,"Q","T"),Inputs!$B$2:$AZ$2,0)),Inputs!$B$2:$B$190,$B188)*Inputs!$D$1),"",SUMIFS(INDEX(Inputs!$B$2:$AZ$190,,MATCH(SUBSTITUTE(K$3,"Q","T"),Inputs!$B$2:$AZ$2,0)),Inputs!$B$2:$B$190,$B188)*Inputs!$D$1)</f>
        <v>0</v>
      </c>
      <c r="L188" s="57">
        <f>IF(ISNA(SUMIFS(INDEX(Inputs!$B$2:$AZ$190,,MATCH(SUBSTITUTE(L$3,"Q","T"),Inputs!$B$2:$AZ$2,0)),Inputs!$B$2:$B$190,$B188)*Inputs!$D$1),"",SUMIFS(INDEX(Inputs!$B$2:$AZ$190,,MATCH(SUBSTITUTE(L$3,"Q","T"),Inputs!$B$2:$AZ$2,0)),Inputs!$B$2:$B$190,$B188)*Inputs!$D$1)</f>
        <v>0</v>
      </c>
      <c r="M188" s="57">
        <f>IF(ISNA(SUMIFS(INDEX(Inputs!$B$2:$AZ$190,,MATCH(SUBSTITUTE(M$3,"Q","T"),Inputs!$B$2:$AZ$2,0)),Inputs!$B$2:$B$190,$B188)*Inputs!$D$1),"",SUMIFS(INDEX(Inputs!$B$2:$AZ$190,,MATCH(SUBSTITUTE(M$3,"Q","T"),Inputs!$B$2:$AZ$2,0)),Inputs!$B$2:$B$190,$B188)*Inputs!$D$1)</f>
        <v>0</v>
      </c>
      <c r="N188" s="58">
        <f>SUM(J188:M188)</f>
        <v>0</v>
      </c>
      <c r="O188" s="57">
        <f>IF(ISNA(SUMIFS(INDEX(Inputs!$B$2:$AZ$190,,MATCH(SUBSTITUTE(O$3,"Q","T"),Inputs!$B$2:$AZ$2,0)),Inputs!$B$2:$B$190,$B188)*Inputs!$D$1),"",SUMIFS(INDEX(Inputs!$B$2:$AZ$190,,MATCH(SUBSTITUTE(O$3,"Q","T"),Inputs!$B$2:$AZ$2,0)),Inputs!$B$2:$B$190,$B188)*Inputs!$D$1)</f>
        <v>0</v>
      </c>
      <c r="P188" s="57">
        <f>IF(ISNA(SUMIFS(INDEX(Inputs!$B$2:$AZ$190,,MATCH(SUBSTITUTE(P$3,"Q","T"),Inputs!$B$2:$AZ$2,0)),Inputs!$B$2:$B$190,$B188)*Inputs!$D$1),"",SUMIFS(INDEX(Inputs!$B$2:$AZ$190,,MATCH(SUBSTITUTE(P$3,"Q","T"),Inputs!$B$2:$AZ$2,0)),Inputs!$B$2:$B$190,$B188)*Inputs!$D$1)</f>
        <v>0</v>
      </c>
      <c r="Q188" s="57">
        <f>IF(ISNA(SUMIFS(INDEX(Inputs!$B$2:$AZ$190,,MATCH(SUBSTITUTE(Q$3,"Q","T"),Inputs!$B$2:$AZ$2,0)),Inputs!$B$2:$B$190,$B188)*Inputs!$D$1),"",SUMIFS(INDEX(Inputs!$B$2:$AZ$190,,MATCH(SUBSTITUTE(Q$3,"Q","T"),Inputs!$B$2:$AZ$2,0)),Inputs!$B$2:$B$190,$B188)*Inputs!$D$1)</f>
        <v>0</v>
      </c>
      <c r="R188" s="57">
        <f>IF(ISNA(SUMIFS(INDEX(Inputs!$B$2:$AZ$190,,MATCH(SUBSTITUTE(R$3,"Q","T"),Inputs!$B$2:$AZ$2,0)),Inputs!$B$2:$B$190,$B188)*Inputs!$D$1),"",SUMIFS(INDEX(Inputs!$B$2:$AZ$190,,MATCH(SUBSTITUTE(R$3,"Q","T"),Inputs!$B$2:$AZ$2,0)),Inputs!$B$2:$B$190,$B188)*Inputs!$D$1)</f>
        <v>0</v>
      </c>
      <c r="S188" s="58">
        <f>SUM(O188:R188)</f>
        <v>0</v>
      </c>
      <c r="T188" s="57">
        <f>IF(ISNA(SUMIFS(INDEX(Inputs!$B$2:$AZ$190,,MATCH(SUBSTITUTE(T$3,"Q","T"),Inputs!$B$2:$AZ$2,0)),Inputs!$B$2:$B$190,$B188)*Inputs!$D$1),"",SUMIFS(INDEX(Inputs!$B$2:$AZ$190,,MATCH(SUBSTITUTE(T$3,"Q","T"),Inputs!$B$2:$AZ$2,0)),Inputs!$B$2:$B$190,$B188)*Inputs!$D$1)</f>
        <v>0</v>
      </c>
      <c r="U188" s="57">
        <f>IF(ISNA(SUMIFS(INDEX(Inputs!$B$2:$AZ$190,,MATCH(SUBSTITUTE(U$3,"Q","T"),Inputs!$B$2:$AZ$2,0)),Inputs!$B$2:$B$190,$B188)*Inputs!$D$1),"",SUMIFS(INDEX(Inputs!$B$2:$AZ$190,,MATCH(SUBSTITUTE(U$3,"Q","T"),Inputs!$B$2:$AZ$2,0)),Inputs!$B$2:$B$190,$B188)*Inputs!$D$1)</f>
        <v>0</v>
      </c>
      <c r="V188" s="57">
        <f>IF(ISNA(SUMIFS(INDEX(Inputs!$B$2:$AZ$190,,MATCH(SUBSTITUTE(V$3,"Q","T"),Inputs!$B$2:$AZ$2,0)),Inputs!$B$2:$B$190,$B188)*Inputs!$D$1),"",SUMIFS(INDEX(Inputs!$B$2:$AZ$190,,MATCH(SUBSTITUTE(V$3,"Q","T"),Inputs!$B$2:$AZ$2,0)),Inputs!$B$2:$B$190,$B188)*Inputs!$D$1)</f>
        <v>0</v>
      </c>
      <c r="W188" s="57">
        <f>IF(ISNA(SUMIFS(INDEX(Inputs!$B$2:$AZ$190,,MATCH(SUBSTITUTE(W$3,"Q","T"),Inputs!$B$2:$AZ$2,0)),Inputs!$B$2:$B$190,$B188)*Inputs!$D$1),"",SUMIFS(INDEX(Inputs!$B$2:$AZ$190,,MATCH(SUBSTITUTE(W$3,"Q","T"),Inputs!$B$2:$AZ$2,0)),Inputs!$B$2:$B$190,$B188)*Inputs!$D$1)</f>
        <v>0</v>
      </c>
      <c r="X188" s="58">
        <f>SUM(T188:W188)</f>
        <v>0</v>
      </c>
      <c r="Y188" s="57">
        <f>IF(ISNA(SUMIFS(INDEX(Inputs!$B$2:$AZ$190,,MATCH(SUBSTITUTE(Y$3,"Q","T"),Inputs!$B$2:$AZ$2,0)),Inputs!$B$2:$B$190,$B188)*Inputs!$D$1),"",SUMIFS(INDEX(Inputs!$B$2:$AZ$190,,MATCH(SUBSTITUTE(Y$3,"Q","T"),Inputs!$B$2:$AZ$2,0)),Inputs!$B$2:$B$190,$B188)*Inputs!$D$1)</f>
        <v>0</v>
      </c>
      <c r="Z188" s="57">
        <f>IF(ISNA(SUMIFS(INDEX(Inputs!$B$2:$AZ$190,,MATCH(SUBSTITUTE(Z$3,"Q","T"),Inputs!$B$2:$AZ$2,0)),Inputs!$B$2:$B$190,$B188)*Inputs!$D$1),"",SUMIFS(INDEX(Inputs!$B$2:$AZ$190,,MATCH(SUBSTITUTE(Z$3,"Q","T"),Inputs!$B$2:$AZ$2,0)),Inputs!$B$2:$B$190,$B188)*Inputs!$D$1)</f>
        <v>0</v>
      </c>
      <c r="AA188" s="57">
        <f>IF(ISNA(SUMIFS(INDEX(Inputs!$B$2:$AZ$190,,MATCH(SUBSTITUTE(AA$3,"Q","T"),Inputs!$B$2:$AZ$2,0)),Inputs!$B$2:$B$190,$B188)*Inputs!$D$1),"",SUMIFS(INDEX(Inputs!$B$2:$AZ$190,,MATCH(SUBSTITUTE(AA$3,"Q","T"),Inputs!$B$2:$AZ$2,0)),Inputs!$B$2:$B$190,$B188)*Inputs!$D$1)</f>
        <v>0</v>
      </c>
      <c r="AB188" s="57">
        <f>IF(ISNA(SUMIFS(INDEX(Inputs!$B$2:$AZ$190,,MATCH(SUBSTITUTE(AB$3,"Q","T"),Inputs!$B$2:$AZ$2,0)),Inputs!$B$2:$B$190,$B188)*Inputs!$D$1),"",SUMIFS(INDEX(Inputs!$B$2:$AZ$190,,MATCH(SUBSTITUTE(AB$3,"Q","T"),Inputs!$B$2:$AZ$2,0)),Inputs!$B$2:$B$190,$B188)*Inputs!$D$1)</f>
        <v>0</v>
      </c>
      <c r="AC188" s="58">
        <f>SUM(Y188:AB188)</f>
        <v>0</v>
      </c>
      <c r="AD188" s="57">
        <f>IF(ISNA(SUMIFS(INDEX(Inputs!$B$2:$AZ$190,,MATCH(SUBSTITUTE(AD$3,"Q","T"),Inputs!$B$2:$AZ$2,0)),Inputs!$B$2:$B$190,$B188)*Inputs!$D$1),"",SUMIFS(INDEX(Inputs!$B$2:$AZ$190,,MATCH(SUBSTITUTE(AD$3,"Q","T"),Inputs!$B$2:$AZ$2,0)),Inputs!$B$2:$B$190,$B188)*Inputs!$D$1)</f>
        <v>0</v>
      </c>
      <c r="AE188" s="57">
        <f>IF(ISNA(SUMIFS(INDEX(Inputs!$B$2:$AZ$190,,MATCH(SUBSTITUTE(AE$3,"Q","T"),Inputs!$B$2:$AZ$2,0)),Inputs!$B$2:$B$190,$B188)*Inputs!$D$1),"",SUMIFS(INDEX(Inputs!$B$2:$AZ$190,,MATCH(SUBSTITUTE(AE$3,"Q","T"),Inputs!$B$2:$AZ$2,0)),Inputs!$B$2:$B$190,$B188)*Inputs!$D$1)</f>
        <v>0</v>
      </c>
      <c r="AF188" s="57">
        <f>IF(ISNA(SUMIFS(INDEX(Inputs!$B$2:$AZ$190,,MATCH(SUBSTITUTE(AF$3,"Q","T"),Inputs!$B$2:$AZ$2,0)),Inputs!$B$2:$B$190,$B188)*Inputs!$D$1),"",SUMIFS(INDEX(Inputs!$B$2:$AZ$190,,MATCH(SUBSTITUTE(AF$3,"Q","T"),Inputs!$B$2:$AZ$2,0)),Inputs!$B$2:$B$190,$B188)*Inputs!$D$1)</f>
        <v>0</v>
      </c>
      <c r="AG188" s="57">
        <f>IF(ISNA(SUMIFS(INDEX(Inputs!$B$2:$AZ$190,,MATCH(SUBSTITUTE(AG$3,"Q","T"),Inputs!$B$2:$AZ$2,0)),Inputs!$B$2:$B$190,$B188)*Inputs!$D$1),"",SUMIFS(INDEX(Inputs!$B$2:$AZ$190,,MATCH(SUBSTITUTE(AG$3,"Q","T"),Inputs!$B$2:$AZ$2,0)),Inputs!$B$2:$B$190,$B188)*Inputs!$D$1)</f>
        <v>0</v>
      </c>
      <c r="AH188" s="58">
        <f>SUM(AD188:AG188)</f>
        <v>0</v>
      </c>
      <c r="AI188" s="57">
        <f>IF(ISNA(SUMIFS(INDEX(Inputs!$B$2:$AZ$190,,MATCH(SUBSTITUTE(AI$3,"Q","T"),Inputs!$B$2:$AZ$2,0)),Inputs!$B$2:$B$190,$B188)*Inputs!$D$1),"",SUMIFS(INDEX(Inputs!$B$2:$AZ$190,,MATCH(SUBSTITUTE(AI$3,"Q","T"),Inputs!$B$2:$AZ$2,0)),Inputs!$B$2:$B$190,$B188)*Inputs!$D$1)</f>
        <v>0</v>
      </c>
      <c r="AJ188" s="57">
        <f>IF(ISNA(SUMIFS(INDEX(Inputs!$B$2:$AZ$190,,MATCH(SUBSTITUTE(AJ$3,"Q","T"),Inputs!$B$2:$AZ$2,0)),Inputs!$B$2:$B$190,$B188)*Inputs!$D$1),"",SUMIFS(INDEX(Inputs!$B$2:$AZ$190,,MATCH(SUBSTITUTE(AJ$3,"Q","T"),Inputs!$B$2:$AZ$2,0)),Inputs!$B$2:$B$190,$B188)*Inputs!$D$1)</f>
        <v>0</v>
      </c>
      <c r="AK188" s="57">
        <f>IF(ISNA(SUMIFS(INDEX(Inputs!$B$2:$AZ$190,,MATCH(SUBSTITUTE(AK$3,"Q","T"),Inputs!$B$2:$AZ$2,0)),Inputs!$B$2:$B$190,$B188)*Inputs!$D$1),"",SUMIFS(INDEX(Inputs!$B$2:$AZ$190,,MATCH(SUBSTITUTE(AK$3,"Q","T"),Inputs!$B$2:$AZ$2,0)),Inputs!$B$2:$B$190,$B188)*Inputs!$D$1)</f>
        <v>0</v>
      </c>
      <c r="AL188" s="57">
        <f>IF(ISNA(SUMIFS(INDEX(Inputs!$B$2:$AZ$190,,MATCH(SUBSTITUTE(AL$3,"Q","T"),Inputs!$B$2:$AZ$2,0)),Inputs!$B$2:$B$190,$B188)*Inputs!$D$1),"",SUMIFS(INDEX(Inputs!$B$2:$AZ$190,,MATCH(SUBSTITUTE(AL$3,"Q","T"),Inputs!$B$2:$AZ$2,0)),Inputs!$B$2:$B$190,$B188)*Inputs!$D$1)</f>
        <v>0</v>
      </c>
      <c r="AM188" s="58">
        <f>SUM(AI188:AL188)</f>
        <v>0</v>
      </c>
      <c r="AN188" s="57">
        <f>IF(ISNA(SUMIFS(INDEX(Inputs!$B$2:$AZ$190,,MATCH(SUBSTITUTE(AN$3,"Q","T"),Inputs!$B$2:$AZ$2,0)),Inputs!$B$2:$B$190,$B188)*Inputs!$D$1),"",SUMIFS(INDEX(Inputs!$B$2:$AZ$190,,MATCH(SUBSTITUTE(AN$3,"Q","T"),Inputs!$B$2:$AZ$2,0)),Inputs!$B$2:$B$190,$B188)*Inputs!$D$1)</f>
        <v>0</v>
      </c>
      <c r="AO188" s="57">
        <f>IF(ISNA(SUMIFS(INDEX(Inputs!$B$2:$AZ$190,,MATCH(SUBSTITUTE(AO$3,"Q","T"),Inputs!$B$2:$AZ$2,0)),Inputs!$B$2:$B$190,$B188)*Inputs!$D$1),"",SUMIFS(INDEX(Inputs!$B$2:$AZ$190,,MATCH(SUBSTITUTE(AO$3,"Q","T"),Inputs!$B$2:$AZ$2,0)),Inputs!$B$2:$B$190,$B188)*Inputs!$D$1)</f>
        <v>0</v>
      </c>
      <c r="AP188" s="57">
        <f>IF(ISNA(SUMIFS(INDEX(Inputs!$B$2:$AZ$190,,MATCH(SUBSTITUTE(AP$3,"Q","T"),Inputs!$B$2:$AZ$2,0)),Inputs!$B$2:$B$190,$B188)*Inputs!$D$1),"",SUMIFS(INDEX(Inputs!$B$2:$AZ$190,,MATCH(SUBSTITUTE(AP$3,"Q","T"),Inputs!$B$2:$AZ$2,0)),Inputs!$B$2:$B$190,$B188)*Inputs!$D$1)</f>
        <v>0</v>
      </c>
      <c r="AQ188" s="57">
        <f>IF(ISNA(SUMIFS(INDEX(Inputs!$B$2:$AZ$190,,MATCH(SUBSTITUTE(AQ$3,"Q","T"),Inputs!$B$2:$AZ$2,0)),Inputs!$B$2:$B$190,$B188)*Inputs!$D$1),"",SUMIFS(INDEX(Inputs!$B$2:$AZ$190,,MATCH(SUBSTITUTE(AQ$3,"Q","T"),Inputs!$B$2:$AZ$2,0)),Inputs!$B$2:$B$190,$B188)*Inputs!$D$1)</f>
        <v>0</v>
      </c>
      <c r="AR188" s="58">
        <f>SUM(AN188:AQ188)</f>
        <v>0</v>
      </c>
      <c r="AS188" s="57">
        <f>IF(ISNA(SUMIFS(INDEX(Inputs!$B$2:$AZ$190,,MATCH(SUBSTITUTE(AS$3,"Q","T"),Inputs!$B$2:$AZ$2,0)),Inputs!$B$2:$B$190,$B188)*Inputs!$D$1),"",SUMIFS(INDEX(Inputs!$B$2:$AZ$190,,MATCH(SUBSTITUTE(AS$3,"Q","T"),Inputs!$B$2:$AZ$2,0)),Inputs!$B$2:$B$190,$B188)*Inputs!$D$1)</f>
        <v>0</v>
      </c>
      <c r="AT188" s="57">
        <f>IF(ISNA(SUMIFS(INDEX(Inputs!$B$2:$AZ$190,,MATCH(SUBSTITUTE(AT$3,"Q","T"),Inputs!$B$2:$AZ$2,0)),Inputs!$B$2:$B$190,$B188)*Inputs!$D$1),"",SUMIFS(INDEX(Inputs!$B$2:$AZ$190,,MATCH(SUBSTITUTE(AT$3,"Q","T"),Inputs!$B$2:$AZ$2,0)),Inputs!$B$2:$B$190,$B188)*Inputs!$D$1)</f>
        <v>0</v>
      </c>
      <c r="AU188" s="57">
        <f>IF(ISNA(SUMIFS(INDEX(Inputs!$B$2:$AZ$190,,MATCH(SUBSTITUTE(AU$3,"Q","T"),Inputs!$B$2:$AZ$2,0)),Inputs!$B$2:$B$190,$B188)*Inputs!$D$1),"",SUMIFS(INDEX(Inputs!$B$2:$AZ$190,,MATCH(SUBSTITUTE(AU$3,"Q","T"),Inputs!$B$2:$AZ$2,0)),Inputs!$B$2:$B$190,$B188)*Inputs!$D$1)</f>
        <v>0</v>
      </c>
      <c r="AV188" s="57">
        <f>IF(ISNA(SUMIFS(INDEX(Inputs!$B$2:$AZ$190,,MATCH(SUBSTITUTE(AV$3,"Q","T"),Inputs!$B$2:$AZ$2,0)),Inputs!$B$2:$B$190,$B188)*Inputs!$D$1),"",SUMIFS(INDEX(Inputs!$B$2:$AZ$190,,MATCH(SUBSTITUTE(AV$3,"Q","T"),Inputs!$B$2:$AZ$2,0)),Inputs!$B$2:$B$190,$B188)*Inputs!$D$1)</f>
        <v>0</v>
      </c>
      <c r="AW188" s="58">
        <f>SUM(AS188:AV188)</f>
        <v>0</v>
      </c>
      <c r="AX188" s="57">
        <f>IF(ISNA(SUMIFS(INDEX(Inputs!$B$2:$AZ$190,,MATCH(SUBSTITUTE(AX$3,"Q","T"),Inputs!$B$2:$AZ$2,0)),Inputs!$B$2:$B$190,$B188)*Inputs!$D$1),"",SUMIFS(INDEX(Inputs!$B$2:$AZ$190,,MATCH(SUBSTITUTE(AX$3,"Q","T"),Inputs!$B$2:$AZ$2,0)),Inputs!$B$2:$B$190,$B188)*Inputs!$D$1)</f>
        <v>0</v>
      </c>
      <c r="AY188" s="57">
        <f>IF(ISNA(SUMIFS(INDEX(Inputs!$B$2:$AZ$190,,MATCH(SUBSTITUTE(AY$3,"Q","T"),Inputs!$B$2:$AZ$2,0)),Inputs!$B$2:$B$190,$B188)*Inputs!$D$1),"",SUMIFS(INDEX(Inputs!$B$2:$AZ$190,,MATCH(SUBSTITUTE(AY$3,"Q","T"),Inputs!$B$2:$AZ$2,0)),Inputs!$B$2:$B$190,$B188)*Inputs!$D$1)</f>
        <v>0</v>
      </c>
      <c r="AZ188" s="57">
        <f>IF(ISNA(SUMIFS(INDEX(Inputs!$B$2:$AZ$190,,MATCH(SUBSTITUTE(AZ$3,"Q","T"),Inputs!$B$2:$AZ$2,0)),Inputs!$B$2:$B$190,$B188)*Inputs!$D$1),"",SUMIFS(INDEX(Inputs!$B$2:$AZ$190,,MATCH(SUBSTITUTE(AZ$3,"Q","T"),Inputs!$B$2:$AZ$2,0)),Inputs!$B$2:$B$190,$B188)*Inputs!$D$1)</f>
        <v>0</v>
      </c>
      <c r="BA188" s="57">
        <f>IF(ISNA(SUMIFS(INDEX(Inputs!$B$2:$AZ$190,,MATCH(SUBSTITUTE(BA$3,"Q","T"),Inputs!$B$2:$AZ$2,0)),Inputs!$B$2:$B$190,$B188)*Inputs!$D$1),"",SUMIFS(INDEX(Inputs!$B$2:$AZ$190,,MATCH(SUBSTITUTE(BA$3,"Q","T"),Inputs!$B$2:$AZ$2,0)),Inputs!$B$2:$B$190,$B188)*Inputs!$D$1)</f>
        <v>0</v>
      </c>
      <c r="BB188" s="58">
        <f>SUM(AX188:BA188)</f>
        <v>0</v>
      </c>
      <c r="BC188" s="57">
        <f>IF(ISNA(SUMIFS(INDEX(Inputs!$B$2:$AZ$190,,MATCH(SUBSTITUTE(BC$3,"Q","T"),Inputs!$B$2:$AZ$2,0)),Inputs!$B$2:$B$190,$B188)*Inputs!$D$1),"",SUMIFS(INDEX(Inputs!$B$2:$AZ$190,,MATCH(SUBSTITUTE(BC$3,"Q","T"),Inputs!$B$2:$AZ$2,0)),Inputs!$B$2:$B$190,$B188)*Inputs!$D$1)</f>
        <v>0</v>
      </c>
      <c r="BD188" s="57">
        <f>IF(ISNA(SUMIFS(INDEX(Inputs!$B$2:$AZ$190,,MATCH(SUBSTITUTE(BD$3,"Q","T"),Inputs!$B$2:$AZ$2,0)),Inputs!$B$2:$B$190,$B188)*Inputs!$D$1),"",SUMIFS(INDEX(Inputs!$B$2:$AZ$190,,MATCH(SUBSTITUTE(BD$3,"Q","T"),Inputs!$B$2:$AZ$2,0)),Inputs!$B$2:$B$190,$B188)*Inputs!$D$1)</f>
        <v>0</v>
      </c>
      <c r="BE188" s="57">
        <f>IF(ISNA(SUMIFS(INDEX(Inputs!$B$2:$AZ$190,,MATCH(SUBSTITUTE(BE$3,"Q","T"),Inputs!$B$2:$AZ$2,0)),Inputs!$B$2:$B$190,$B188)*Inputs!$D$1),"",SUMIFS(INDEX(Inputs!$B$2:$AZ$190,,MATCH(SUBSTITUTE(BE$3,"Q","T"),Inputs!$B$2:$AZ$2,0)),Inputs!$B$2:$B$190,$B188)*Inputs!$D$1)</f>
        <v>0</v>
      </c>
      <c r="BF188" s="57">
        <f>IF(ISNA(SUMIFS(INDEX(Inputs!$B$2:$AZ$190,,MATCH(SUBSTITUTE(BF$3,"Q","T"),Inputs!$B$2:$AZ$2,0)),Inputs!$B$2:$B$190,$B188)*Inputs!$D$1),"",SUMIFS(INDEX(Inputs!$B$2:$AZ$190,,MATCH(SUBSTITUTE(BF$3,"Q","T"),Inputs!$B$2:$AZ$2,0)),Inputs!$B$2:$B$190,$B188)*Inputs!$D$1)</f>
        <v>0</v>
      </c>
      <c r="BG188" s="58">
        <f>SUM(BC188:BF188)</f>
        <v>0</v>
      </c>
    </row>
    <row r="190">
      <c r="B190" s="29" t="n"/>
      <c r="C190" s="29" t="inlineStr">
        <is>
          <t>Despesas não-juros por natureza</t>
        </is>
      </c>
      <c r="D190" s="29" t="inlineStr">
        <is>
          <t>Noninterest expense by nature</t>
        </is>
      </c>
      <c r="E190" s="29" t="n"/>
      <c r="F190" s="29" t="n"/>
      <c r="G190" s="29" t="n"/>
      <c r="H190" s="29" t="n"/>
      <c r="I190" s="29" t="n"/>
      <c r="J190" s="29" t="n"/>
      <c r="K190" s="29" t="n"/>
      <c r="L190" s="29" t="n"/>
      <c r="M190" s="29" t="n"/>
      <c r="N190" s="29" t="n"/>
      <c r="O190" s="29" t="n"/>
      <c r="P190" s="29" t="n"/>
      <c r="Q190" s="29" t="n"/>
      <c r="R190" s="29" t="n"/>
      <c r="S190" s="29" t="n"/>
      <c r="T190" s="29" t="n"/>
      <c r="U190" s="29" t="n"/>
      <c r="V190" s="29" t="n"/>
      <c r="W190" s="29" t="n"/>
      <c r="X190" s="29" t="n"/>
      <c r="Y190" s="29" t="n"/>
      <c r="Z190" s="29" t="n"/>
      <c r="AA190" s="29" t="n"/>
      <c r="AB190" s="29" t="n"/>
      <c r="AC190" s="29" t="n"/>
      <c r="AD190" s="29" t="n"/>
      <c r="AE190" s="29" t="n"/>
      <c r="AF190" s="29" t="n"/>
      <c r="AG190" s="29" t="n"/>
      <c r="AH190" s="29" t="n"/>
      <c r="AI190" s="29" t="n"/>
      <c r="AJ190" s="29" t="n"/>
      <c r="AK190" s="29" t="n"/>
      <c r="AL190" s="29" t="n"/>
      <c r="AM190" s="29" t="n"/>
      <c r="AN190" s="29" t="n"/>
      <c r="AO190" s="29" t="n"/>
      <c r="AP190" s="29" t="n"/>
      <c r="AQ190" s="29" t="n"/>
      <c r="AR190" s="29" t="n"/>
      <c r="AS190" s="29" t="n"/>
      <c r="AT190" s="29" t="n"/>
      <c r="AU190" s="29" t="n"/>
      <c r="AV190" s="29" t="n"/>
      <c r="AW190" s="29" t="n"/>
      <c r="AX190" s="29" t="n"/>
      <c r="AY190" s="29" t="n"/>
      <c r="AZ190" s="29" t="n"/>
      <c r="BA190" s="29" t="n"/>
      <c r="BB190" s="29" t="n"/>
      <c r="BC190" s="29" t="n"/>
      <c r="BD190" s="29" t="n"/>
      <c r="BE190" s="29" t="n"/>
      <c r="BF190" s="29" t="n"/>
      <c r="BG190" s="29" t="n"/>
      <c r="BH190" s="29" t="n"/>
      <c r="BI190" s="29" t="n"/>
    </row>
    <row r="191" hidden="1" outlineLevel="1">
      <c r="B191" s="56" t="inlineStr">
        <is>
          <t>tech</t>
        </is>
      </c>
      <c r="C191" s="11" t="inlineStr">
        <is>
          <t>(Tecnologia, comunicações e equipamentos)</t>
        </is>
      </c>
      <c r="D191" s="12" t="inlineStr">
        <is>
          <t>(Technology, communications and equipment)</t>
        </is>
      </c>
      <c r="E191" s="57">
        <f>IF(ISNA(SUMIFS(INDEX(Inputs!$B$2:$AZ$190,,MATCH(SUBSTITUTE(E$3,"Q","T"),Inputs!$B$2:$AZ$2,0)),Inputs!$B$2:$B$190,$B191)*Inputs!$D$1),"",SUMIFS(INDEX(Inputs!$B$2:$AZ$190,,MATCH(SUBSTITUTE(E$3,"Q","T"),Inputs!$B$2:$AZ$2,0)),Inputs!$B$2:$B$190,$B191)*Inputs!$D$1)</f>
        <v>0</v>
      </c>
      <c r="F191" s="57">
        <f>IF(ISNA(SUMIFS(INDEX(Inputs!$B$2:$AZ$190,,MATCH(SUBSTITUTE(F$3,"Q","T"),Inputs!$B$2:$AZ$2,0)),Inputs!$B$2:$B$190,$B191)*Inputs!$D$1),"",SUMIFS(INDEX(Inputs!$B$2:$AZ$190,,MATCH(SUBSTITUTE(F$3,"Q","T"),Inputs!$B$2:$AZ$2,0)),Inputs!$B$2:$B$190,$B191)*Inputs!$D$1)</f>
        <v>0</v>
      </c>
      <c r="G191" s="57">
        <f>IF(ISNA(SUMIFS(INDEX(Inputs!$B$2:$AZ$190,,MATCH(SUBSTITUTE(G$3,"Q","T"),Inputs!$B$2:$AZ$2,0)),Inputs!$B$2:$B$190,$B191)*Inputs!$D$1),"",SUMIFS(INDEX(Inputs!$B$2:$AZ$190,,MATCH(SUBSTITUTE(G$3,"Q","T"),Inputs!$B$2:$AZ$2,0)),Inputs!$B$2:$B$190,$B191)*Inputs!$D$1)</f>
        <v>0</v>
      </c>
      <c r="H191" s="57">
        <f>IF(ISNA(SUMIFS(INDEX(Inputs!$B$2:$AZ$190,,MATCH(SUBSTITUTE(H$3,"Q","T"),Inputs!$B$2:$AZ$2,0)),Inputs!$B$2:$B$190,$B191)*Inputs!$D$1),"",SUMIFS(INDEX(Inputs!$B$2:$AZ$190,,MATCH(SUBSTITUTE(H$3,"Q","T"),Inputs!$B$2:$AZ$2,0)),Inputs!$B$2:$B$190,$B191)*Inputs!$D$1)</f>
        <v>0</v>
      </c>
      <c r="I191" s="58">
        <f>SUM(E191:H191)</f>
        <v>0</v>
      </c>
      <c r="J191" s="57">
        <f>IF(ISNA(SUMIFS(INDEX(Inputs!$B$2:$AZ$190,,MATCH(SUBSTITUTE(J$3,"Q","T"),Inputs!$B$2:$AZ$2,0)),Inputs!$B$2:$B$190,$B191)*Inputs!$D$1),"",SUMIFS(INDEX(Inputs!$B$2:$AZ$190,,MATCH(SUBSTITUTE(J$3,"Q","T"),Inputs!$B$2:$AZ$2,0)),Inputs!$B$2:$B$190,$B191)*Inputs!$D$1)</f>
        <v>0</v>
      </c>
      <c r="K191" s="57">
        <f>IF(ISNA(SUMIFS(INDEX(Inputs!$B$2:$AZ$190,,MATCH(SUBSTITUTE(K$3,"Q","T"),Inputs!$B$2:$AZ$2,0)),Inputs!$B$2:$B$190,$B191)*Inputs!$D$1),"",SUMIFS(INDEX(Inputs!$B$2:$AZ$190,,MATCH(SUBSTITUTE(K$3,"Q","T"),Inputs!$B$2:$AZ$2,0)),Inputs!$B$2:$B$190,$B191)*Inputs!$D$1)</f>
        <v>0</v>
      </c>
      <c r="L191" s="57">
        <f>IF(ISNA(SUMIFS(INDEX(Inputs!$B$2:$AZ$190,,MATCH(SUBSTITUTE(L$3,"Q","T"),Inputs!$B$2:$AZ$2,0)),Inputs!$B$2:$B$190,$B191)*Inputs!$D$1),"",SUMIFS(INDEX(Inputs!$B$2:$AZ$190,,MATCH(SUBSTITUTE(L$3,"Q","T"),Inputs!$B$2:$AZ$2,0)),Inputs!$B$2:$B$190,$B191)*Inputs!$D$1)</f>
        <v>0</v>
      </c>
      <c r="M191" s="57">
        <f>IF(ISNA(SUMIFS(INDEX(Inputs!$B$2:$AZ$190,,MATCH(SUBSTITUTE(M$3,"Q","T"),Inputs!$B$2:$AZ$2,0)),Inputs!$B$2:$B$190,$B191)*Inputs!$D$1),"",SUMIFS(INDEX(Inputs!$B$2:$AZ$190,,MATCH(SUBSTITUTE(M$3,"Q","T"),Inputs!$B$2:$AZ$2,0)),Inputs!$B$2:$B$190,$B191)*Inputs!$D$1)</f>
        <v>0</v>
      </c>
      <c r="N191" s="58">
        <f>SUM(J191:M191)</f>
        <v>0</v>
      </c>
      <c r="O191" s="57">
        <f>IF(ISNA(SUMIFS(INDEX(Inputs!$B$2:$AZ$190,,MATCH(SUBSTITUTE(O$3,"Q","T"),Inputs!$B$2:$AZ$2,0)),Inputs!$B$2:$B$190,$B191)*Inputs!$D$1),"",SUMIFS(INDEX(Inputs!$B$2:$AZ$190,,MATCH(SUBSTITUTE(O$3,"Q","T"),Inputs!$B$2:$AZ$2,0)),Inputs!$B$2:$B$190,$B191)*Inputs!$D$1)</f>
        <v>0</v>
      </c>
      <c r="P191" s="57">
        <f>IF(ISNA(SUMIFS(INDEX(Inputs!$B$2:$AZ$190,,MATCH(SUBSTITUTE(P$3,"Q","T"),Inputs!$B$2:$AZ$2,0)),Inputs!$B$2:$B$190,$B191)*Inputs!$D$1),"",SUMIFS(INDEX(Inputs!$B$2:$AZ$190,,MATCH(SUBSTITUTE(P$3,"Q","T"),Inputs!$B$2:$AZ$2,0)),Inputs!$B$2:$B$190,$B191)*Inputs!$D$1)</f>
        <v>0</v>
      </c>
      <c r="Q191" s="57">
        <f>IF(ISNA(SUMIFS(INDEX(Inputs!$B$2:$AZ$190,,MATCH(SUBSTITUTE(Q$3,"Q","T"),Inputs!$B$2:$AZ$2,0)),Inputs!$B$2:$B$190,$B191)*Inputs!$D$1),"",SUMIFS(INDEX(Inputs!$B$2:$AZ$190,,MATCH(SUBSTITUTE(Q$3,"Q","T"),Inputs!$B$2:$AZ$2,0)),Inputs!$B$2:$B$190,$B191)*Inputs!$D$1)</f>
        <v>0</v>
      </c>
      <c r="R191" s="57">
        <f>IF(ISNA(SUMIFS(INDEX(Inputs!$B$2:$AZ$190,,MATCH(SUBSTITUTE(R$3,"Q","T"),Inputs!$B$2:$AZ$2,0)),Inputs!$B$2:$B$190,$B191)*Inputs!$D$1),"",SUMIFS(INDEX(Inputs!$B$2:$AZ$190,,MATCH(SUBSTITUTE(R$3,"Q","T"),Inputs!$B$2:$AZ$2,0)),Inputs!$B$2:$B$190,$B191)*Inputs!$D$1)</f>
        <v>0</v>
      </c>
      <c r="S191" s="58">
        <f>SUM(O191:R191)</f>
        <v>0</v>
      </c>
      <c r="T191" s="57">
        <f>IF(ISNA(SUMIFS(INDEX(Inputs!$B$2:$AZ$190,,MATCH(SUBSTITUTE(T$3,"Q","T"),Inputs!$B$2:$AZ$2,0)),Inputs!$B$2:$B$190,$B191)*Inputs!$D$1),"",SUMIFS(INDEX(Inputs!$B$2:$AZ$190,,MATCH(SUBSTITUTE(T$3,"Q","T"),Inputs!$B$2:$AZ$2,0)),Inputs!$B$2:$B$190,$B191)*Inputs!$D$1)</f>
        <v>0</v>
      </c>
      <c r="U191" s="57">
        <f>IF(ISNA(SUMIFS(INDEX(Inputs!$B$2:$AZ$190,,MATCH(SUBSTITUTE(U$3,"Q","T"),Inputs!$B$2:$AZ$2,0)),Inputs!$B$2:$B$190,$B191)*Inputs!$D$1),"",SUMIFS(INDEX(Inputs!$B$2:$AZ$190,,MATCH(SUBSTITUTE(U$3,"Q","T"),Inputs!$B$2:$AZ$2,0)),Inputs!$B$2:$B$190,$B191)*Inputs!$D$1)</f>
        <v>0</v>
      </c>
      <c r="V191" s="57">
        <f>IF(ISNA(SUMIFS(INDEX(Inputs!$B$2:$AZ$190,,MATCH(SUBSTITUTE(V$3,"Q","T"),Inputs!$B$2:$AZ$2,0)),Inputs!$B$2:$B$190,$B191)*Inputs!$D$1),"",SUMIFS(INDEX(Inputs!$B$2:$AZ$190,,MATCH(SUBSTITUTE(V$3,"Q","T"),Inputs!$B$2:$AZ$2,0)),Inputs!$B$2:$B$190,$B191)*Inputs!$D$1)</f>
        <v>0</v>
      </c>
      <c r="W191" s="57">
        <f>IF(ISNA(SUMIFS(INDEX(Inputs!$B$2:$AZ$190,,MATCH(SUBSTITUTE(W$3,"Q","T"),Inputs!$B$2:$AZ$2,0)),Inputs!$B$2:$B$190,$B191)*Inputs!$D$1),"",SUMIFS(INDEX(Inputs!$B$2:$AZ$190,,MATCH(SUBSTITUTE(W$3,"Q","T"),Inputs!$B$2:$AZ$2,0)),Inputs!$B$2:$B$190,$B191)*Inputs!$D$1)</f>
        <v>0</v>
      </c>
      <c r="X191" s="58">
        <f>SUM(T191:W191)</f>
        <v>0</v>
      </c>
      <c r="Y191" s="57">
        <f>IF(ISNA(SUMIFS(INDEX(Inputs!$B$2:$AZ$190,,MATCH(SUBSTITUTE(Y$3,"Q","T"),Inputs!$B$2:$AZ$2,0)),Inputs!$B$2:$B$190,$B191)*Inputs!$D$1),"",SUMIFS(INDEX(Inputs!$B$2:$AZ$190,,MATCH(SUBSTITUTE(Y$3,"Q","T"),Inputs!$B$2:$AZ$2,0)),Inputs!$B$2:$B$190,$B191)*Inputs!$D$1)</f>
        <v>0</v>
      </c>
      <c r="Z191" s="57">
        <f>IF(ISNA(SUMIFS(INDEX(Inputs!$B$2:$AZ$190,,MATCH(SUBSTITUTE(Z$3,"Q","T"),Inputs!$B$2:$AZ$2,0)),Inputs!$B$2:$B$190,$B191)*Inputs!$D$1),"",SUMIFS(INDEX(Inputs!$B$2:$AZ$190,,MATCH(SUBSTITUTE(Z$3,"Q","T"),Inputs!$B$2:$AZ$2,0)),Inputs!$B$2:$B$190,$B191)*Inputs!$D$1)</f>
        <v>0</v>
      </c>
      <c r="AA191" s="57">
        <f>IF(ISNA(SUMIFS(INDEX(Inputs!$B$2:$AZ$190,,MATCH(SUBSTITUTE(AA$3,"Q","T"),Inputs!$B$2:$AZ$2,0)),Inputs!$B$2:$B$190,$B191)*Inputs!$D$1),"",SUMIFS(INDEX(Inputs!$B$2:$AZ$190,,MATCH(SUBSTITUTE(AA$3,"Q","T"),Inputs!$B$2:$AZ$2,0)),Inputs!$B$2:$B$190,$B191)*Inputs!$D$1)</f>
        <v>0</v>
      </c>
      <c r="AB191" s="57">
        <f>IF(ISNA(SUMIFS(INDEX(Inputs!$B$2:$AZ$190,,MATCH(SUBSTITUTE(AB$3,"Q","T"),Inputs!$B$2:$AZ$2,0)),Inputs!$B$2:$B$190,$B191)*Inputs!$D$1),"",SUMIFS(INDEX(Inputs!$B$2:$AZ$190,,MATCH(SUBSTITUTE(AB$3,"Q","T"),Inputs!$B$2:$AZ$2,0)),Inputs!$B$2:$B$190,$B191)*Inputs!$D$1)</f>
        <v>0</v>
      </c>
      <c r="AC191" s="58">
        <f>SUM(Y191:AB191)</f>
        <v>0</v>
      </c>
      <c r="AD191" s="57">
        <f>IF(ISNA(SUMIFS(INDEX(Inputs!$B$2:$AZ$190,,MATCH(SUBSTITUTE(AD$3,"Q","T"),Inputs!$B$2:$AZ$2,0)),Inputs!$B$2:$B$190,$B191)*Inputs!$D$1),"",SUMIFS(INDEX(Inputs!$B$2:$AZ$190,,MATCH(SUBSTITUTE(AD$3,"Q","T"),Inputs!$B$2:$AZ$2,0)),Inputs!$B$2:$B$190,$B191)*Inputs!$D$1)</f>
        <v>0</v>
      </c>
      <c r="AE191" s="57">
        <f>IF(ISNA(SUMIFS(INDEX(Inputs!$B$2:$AZ$190,,MATCH(SUBSTITUTE(AE$3,"Q","T"),Inputs!$B$2:$AZ$2,0)),Inputs!$B$2:$B$190,$B191)*Inputs!$D$1),"",SUMIFS(INDEX(Inputs!$B$2:$AZ$190,,MATCH(SUBSTITUTE(AE$3,"Q","T"),Inputs!$B$2:$AZ$2,0)),Inputs!$B$2:$B$190,$B191)*Inputs!$D$1)</f>
        <v>0</v>
      </c>
      <c r="AF191" s="57">
        <f>IF(ISNA(SUMIFS(INDEX(Inputs!$B$2:$AZ$190,,MATCH(SUBSTITUTE(AF$3,"Q","T"),Inputs!$B$2:$AZ$2,0)),Inputs!$B$2:$B$190,$B191)*Inputs!$D$1),"",SUMIFS(INDEX(Inputs!$B$2:$AZ$190,,MATCH(SUBSTITUTE(AF$3,"Q","T"),Inputs!$B$2:$AZ$2,0)),Inputs!$B$2:$B$190,$B191)*Inputs!$D$1)</f>
        <v>0</v>
      </c>
      <c r="AG191" s="57">
        <f>IF(ISNA(SUMIFS(INDEX(Inputs!$B$2:$AZ$190,,MATCH(SUBSTITUTE(AG$3,"Q","T"),Inputs!$B$2:$AZ$2,0)),Inputs!$B$2:$B$190,$B191)*Inputs!$D$1),"",SUMIFS(INDEX(Inputs!$B$2:$AZ$190,,MATCH(SUBSTITUTE(AG$3,"Q","T"),Inputs!$B$2:$AZ$2,0)),Inputs!$B$2:$B$190,$B191)*Inputs!$D$1)</f>
        <v>0</v>
      </c>
      <c r="AH191" s="58">
        <f>SUM(AD191:AG191)</f>
        <v>0</v>
      </c>
      <c r="AI191" s="57">
        <f>IF(ISNA(SUMIFS(INDEX(Inputs!$B$2:$AZ$190,,MATCH(SUBSTITUTE(AI$3,"Q","T"),Inputs!$B$2:$AZ$2,0)),Inputs!$B$2:$B$190,$B191)*Inputs!$D$1),"",SUMIFS(INDEX(Inputs!$B$2:$AZ$190,,MATCH(SUBSTITUTE(AI$3,"Q","T"),Inputs!$B$2:$AZ$2,0)),Inputs!$B$2:$B$190,$B191)*Inputs!$D$1)</f>
        <v>0</v>
      </c>
      <c r="AJ191" s="57">
        <f>IF(ISNA(SUMIFS(INDEX(Inputs!$B$2:$AZ$190,,MATCH(SUBSTITUTE(AJ$3,"Q","T"),Inputs!$B$2:$AZ$2,0)),Inputs!$B$2:$B$190,$B191)*Inputs!$D$1),"",SUMIFS(INDEX(Inputs!$B$2:$AZ$190,,MATCH(SUBSTITUTE(AJ$3,"Q","T"),Inputs!$B$2:$AZ$2,0)),Inputs!$B$2:$B$190,$B191)*Inputs!$D$1)</f>
        <v>0</v>
      </c>
      <c r="AK191" s="57">
        <f>IF(ISNA(SUMIFS(INDEX(Inputs!$B$2:$AZ$190,,MATCH(SUBSTITUTE(AK$3,"Q","T"),Inputs!$B$2:$AZ$2,0)),Inputs!$B$2:$B$190,$B191)*Inputs!$D$1),"",SUMIFS(INDEX(Inputs!$B$2:$AZ$190,,MATCH(SUBSTITUTE(AK$3,"Q","T"),Inputs!$B$2:$AZ$2,0)),Inputs!$B$2:$B$190,$B191)*Inputs!$D$1)</f>
        <v>0</v>
      </c>
      <c r="AL191" s="57">
        <f>IF(ISNA(SUMIFS(INDEX(Inputs!$B$2:$AZ$190,,MATCH(SUBSTITUTE(AL$3,"Q","T"),Inputs!$B$2:$AZ$2,0)),Inputs!$B$2:$B$190,$B191)*Inputs!$D$1),"",SUMIFS(INDEX(Inputs!$B$2:$AZ$190,,MATCH(SUBSTITUTE(AL$3,"Q","T"),Inputs!$B$2:$AZ$2,0)),Inputs!$B$2:$B$190,$B191)*Inputs!$D$1)</f>
        <v>0</v>
      </c>
      <c r="AM191" s="58">
        <f>SUM(AI191:AL191)</f>
        <v>0</v>
      </c>
      <c r="AN191" s="57">
        <f>IF(ISNA(SUMIFS(INDEX(Inputs!$B$2:$AZ$190,,MATCH(SUBSTITUTE(AN$3,"Q","T"),Inputs!$B$2:$AZ$2,0)),Inputs!$B$2:$B$190,$B191)*Inputs!$D$1),"",SUMIFS(INDEX(Inputs!$B$2:$AZ$190,,MATCH(SUBSTITUTE(AN$3,"Q","T"),Inputs!$B$2:$AZ$2,0)),Inputs!$B$2:$B$190,$B191)*Inputs!$D$1)</f>
        <v>0</v>
      </c>
      <c r="AO191" s="57">
        <f>IF(ISNA(SUMIFS(INDEX(Inputs!$B$2:$AZ$190,,MATCH(SUBSTITUTE(AO$3,"Q","T"),Inputs!$B$2:$AZ$2,0)),Inputs!$B$2:$B$190,$B191)*Inputs!$D$1),"",SUMIFS(INDEX(Inputs!$B$2:$AZ$190,,MATCH(SUBSTITUTE(AO$3,"Q","T"),Inputs!$B$2:$AZ$2,0)),Inputs!$B$2:$B$190,$B191)*Inputs!$D$1)</f>
        <v>0</v>
      </c>
      <c r="AP191" s="57">
        <f>IF(ISNA(SUMIFS(INDEX(Inputs!$B$2:$AZ$190,,MATCH(SUBSTITUTE(AP$3,"Q","T"),Inputs!$B$2:$AZ$2,0)),Inputs!$B$2:$B$190,$B191)*Inputs!$D$1),"",SUMIFS(INDEX(Inputs!$B$2:$AZ$190,,MATCH(SUBSTITUTE(AP$3,"Q","T"),Inputs!$B$2:$AZ$2,0)),Inputs!$B$2:$B$190,$B191)*Inputs!$D$1)</f>
        <v>0</v>
      </c>
      <c r="AQ191" s="57">
        <f>IF(ISNA(SUMIFS(INDEX(Inputs!$B$2:$AZ$190,,MATCH(SUBSTITUTE(AQ$3,"Q","T"),Inputs!$B$2:$AZ$2,0)),Inputs!$B$2:$B$190,$B191)*Inputs!$D$1),"",SUMIFS(INDEX(Inputs!$B$2:$AZ$190,,MATCH(SUBSTITUTE(AQ$3,"Q","T"),Inputs!$B$2:$AZ$2,0)),Inputs!$B$2:$B$190,$B191)*Inputs!$D$1)</f>
        <v>0</v>
      </c>
      <c r="AR191" s="58">
        <f>SUM(AN191:AQ191)</f>
        <v>0</v>
      </c>
      <c r="AS191" s="57">
        <f>IF(ISNA(SUMIFS(INDEX(Inputs!$B$2:$AZ$190,,MATCH(SUBSTITUTE(AS$3,"Q","T"),Inputs!$B$2:$AZ$2,0)),Inputs!$B$2:$B$190,$B191)*Inputs!$D$1),"",SUMIFS(INDEX(Inputs!$B$2:$AZ$190,,MATCH(SUBSTITUTE(AS$3,"Q","T"),Inputs!$B$2:$AZ$2,0)),Inputs!$B$2:$B$190,$B191)*Inputs!$D$1)</f>
        <v>0</v>
      </c>
      <c r="AT191" s="57">
        <f>IF(ISNA(SUMIFS(INDEX(Inputs!$B$2:$AZ$190,,MATCH(SUBSTITUTE(AT$3,"Q","T"),Inputs!$B$2:$AZ$2,0)),Inputs!$B$2:$B$190,$B191)*Inputs!$D$1),"",SUMIFS(INDEX(Inputs!$B$2:$AZ$190,,MATCH(SUBSTITUTE(AT$3,"Q","T"),Inputs!$B$2:$AZ$2,0)),Inputs!$B$2:$B$190,$B191)*Inputs!$D$1)</f>
        <v>0</v>
      </c>
      <c r="AU191" s="57">
        <f>IF(ISNA(SUMIFS(INDEX(Inputs!$B$2:$AZ$190,,MATCH(SUBSTITUTE(AU$3,"Q","T"),Inputs!$B$2:$AZ$2,0)),Inputs!$B$2:$B$190,$B191)*Inputs!$D$1),"",SUMIFS(INDEX(Inputs!$B$2:$AZ$190,,MATCH(SUBSTITUTE(AU$3,"Q","T"),Inputs!$B$2:$AZ$2,0)),Inputs!$B$2:$B$190,$B191)*Inputs!$D$1)</f>
        <v>0</v>
      </c>
      <c r="AV191" s="57">
        <f>IF(ISNA(SUMIFS(INDEX(Inputs!$B$2:$AZ$190,,MATCH(SUBSTITUTE(AV$3,"Q","T"),Inputs!$B$2:$AZ$2,0)),Inputs!$B$2:$B$190,$B191)*Inputs!$D$1),"",SUMIFS(INDEX(Inputs!$B$2:$AZ$190,,MATCH(SUBSTITUTE(AV$3,"Q","T"),Inputs!$B$2:$AZ$2,0)),Inputs!$B$2:$B$190,$B191)*Inputs!$D$1)</f>
        <v>0</v>
      </c>
      <c r="AW191" s="58">
        <f>SUM(AS191:AV191)</f>
        <v>0</v>
      </c>
      <c r="AX191" s="57">
        <f>IF(ISNA(SUMIFS(INDEX(Inputs!$B$2:$AZ$190,,MATCH(SUBSTITUTE(AX$3,"Q","T"),Inputs!$B$2:$AZ$2,0)),Inputs!$B$2:$B$190,$B191)*Inputs!$D$1),"",SUMIFS(INDEX(Inputs!$B$2:$AZ$190,,MATCH(SUBSTITUTE(AX$3,"Q","T"),Inputs!$B$2:$AZ$2,0)),Inputs!$B$2:$B$190,$B191)*Inputs!$D$1)</f>
        <v>0</v>
      </c>
      <c r="AY191" s="57">
        <f>IF(ISNA(SUMIFS(INDEX(Inputs!$B$2:$AZ$190,,MATCH(SUBSTITUTE(AY$3,"Q","T"),Inputs!$B$2:$AZ$2,0)),Inputs!$B$2:$B$190,$B191)*Inputs!$D$1),"",SUMIFS(INDEX(Inputs!$B$2:$AZ$190,,MATCH(SUBSTITUTE(AY$3,"Q","T"),Inputs!$B$2:$AZ$2,0)),Inputs!$B$2:$B$190,$B191)*Inputs!$D$1)</f>
        <v>0</v>
      </c>
      <c r="AZ191" s="57">
        <f>IF(ISNA(SUMIFS(INDEX(Inputs!$B$2:$AZ$190,,MATCH(SUBSTITUTE(AZ$3,"Q","T"),Inputs!$B$2:$AZ$2,0)),Inputs!$B$2:$B$190,$B191)*Inputs!$D$1),"",SUMIFS(INDEX(Inputs!$B$2:$AZ$190,,MATCH(SUBSTITUTE(AZ$3,"Q","T"),Inputs!$B$2:$AZ$2,0)),Inputs!$B$2:$B$190,$B191)*Inputs!$D$1)</f>
        <v>0</v>
      </c>
      <c r="BA191" s="57">
        <f>IF(ISNA(SUMIFS(INDEX(Inputs!$B$2:$AZ$190,,MATCH(SUBSTITUTE(BA$3,"Q","T"),Inputs!$B$2:$AZ$2,0)),Inputs!$B$2:$B$190,$B191)*Inputs!$D$1),"",SUMIFS(INDEX(Inputs!$B$2:$AZ$190,,MATCH(SUBSTITUTE(BA$3,"Q","T"),Inputs!$B$2:$AZ$2,0)),Inputs!$B$2:$B$190,$B191)*Inputs!$D$1)</f>
        <v>0</v>
      </c>
      <c r="BB191" s="58">
        <f>SUM(AX191:BA191)</f>
        <v>0</v>
      </c>
      <c r="BC191" s="57">
        <f>IF(ISNA(SUMIFS(INDEX(Inputs!$B$2:$AZ$190,,MATCH(SUBSTITUTE(BC$3,"Q","T"),Inputs!$B$2:$AZ$2,0)),Inputs!$B$2:$B$190,$B191)*Inputs!$D$1),"",SUMIFS(INDEX(Inputs!$B$2:$AZ$190,,MATCH(SUBSTITUTE(BC$3,"Q","T"),Inputs!$B$2:$AZ$2,0)),Inputs!$B$2:$B$190,$B191)*Inputs!$D$1)</f>
        <v>0</v>
      </c>
      <c r="BD191" s="57">
        <f>IF(ISNA(SUMIFS(INDEX(Inputs!$B$2:$AZ$190,,MATCH(SUBSTITUTE(BD$3,"Q","T"),Inputs!$B$2:$AZ$2,0)),Inputs!$B$2:$B$190,$B191)*Inputs!$D$1),"",SUMIFS(INDEX(Inputs!$B$2:$AZ$190,,MATCH(SUBSTITUTE(BD$3,"Q","T"),Inputs!$B$2:$AZ$2,0)),Inputs!$B$2:$B$190,$B191)*Inputs!$D$1)</f>
        <v>0</v>
      </c>
      <c r="BE191" s="57">
        <f>IF(ISNA(SUMIFS(INDEX(Inputs!$B$2:$AZ$190,,MATCH(SUBSTITUTE(BE$3,"Q","T"),Inputs!$B$2:$AZ$2,0)),Inputs!$B$2:$B$190,$B191)*Inputs!$D$1),"",SUMIFS(INDEX(Inputs!$B$2:$AZ$190,,MATCH(SUBSTITUTE(BE$3,"Q","T"),Inputs!$B$2:$AZ$2,0)),Inputs!$B$2:$B$190,$B191)*Inputs!$D$1)</f>
        <v>0</v>
      </c>
      <c r="BF191" s="57">
        <f>IF(ISNA(SUMIFS(INDEX(Inputs!$B$2:$AZ$190,,MATCH(SUBSTITUTE(BF$3,"Q","T"),Inputs!$B$2:$AZ$2,0)),Inputs!$B$2:$B$190,$B191)*Inputs!$D$1),"",SUMIFS(INDEX(Inputs!$B$2:$AZ$190,,MATCH(SUBSTITUTE(BF$3,"Q","T"),Inputs!$B$2:$AZ$2,0)),Inputs!$B$2:$B$190,$B191)*Inputs!$D$1)</f>
        <v>0</v>
      </c>
      <c r="BG191" s="58">
        <f>SUM(BC191:BF191)</f>
        <v>0</v>
      </c>
    </row>
    <row r="192" hidden="1" outlineLevel="1">
      <c r="B192" s="56" t="inlineStr">
        <is>
          <t>occupancy</t>
        </is>
      </c>
      <c r="C192" s="11" t="inlineStr">
        <is>
          <t>(Ocupação)</t>
        </is>
      </c>
      <c r="D192" s="12" t="inlineStr">
        <is>
          <t>(Occupancy)</t>
        </is>
      </c>
      <c r="E192" s="57">
        <f>IF(ISNA(SUMIFS(INDEX(Inputs!$B$2:$AZ$190,,MATCH(SUBSTITUTE(E$3,"Q","T"),Inputs!$B$2:$AZ$2,0)),Inputs!$B$2:$B$190,$B192)*Inputs!$D$1),"",SUMIFS(INDEX(Inputs!$B$2:$AZ$190,,MATCH(SUBSTITUTE(E$3,"Q","T"),Inputs!$B$2:$AZ$2,0)),Inputs!$B$2:$B$190,$B192)*Inputs!$D$1)</f>
        <v>0</v>
      </c>
      <c r="F192" s="57">
        <f>IF(ISNA(SUMIFS(INDEX(Inputs!$B$2:$AZ$190,,MATCH(SUBSTITUTE(F$3,"Q","T"),Inputs!$B$2:$AZ$2,0)),Inputs!$B$2:$B$190,$B192)*Inputs!$D$1),"",SUMIFS(INDEX(Inputs!$B$2:$AZ$190,,MATCH(SUBSTITUTE(F$3,"Q","T"),Inputs!$B$2:$AZ$2,0)),Inputs!$B$2:$B$190,$B192)*Inputs!$D$1)</f>
        <v>0</v>
      </c>
      <c r="G192" s="57">
        <f>IF(ISNA(SUMIFS(INDEX(Inputs!$B$2:$AZ$190,,MATCH(SUBSTITUTE(G$3,"Q","T"),Inputs!$B$2:$AZ$2,0)),Inputs!$B$2:$B$190,$B192)*Inputs!$D$1),"",SUMIFS(INDEX(Inputs!$B$2:$AZ$190,,MATCH(SUBSTITUTE(G$3,"Q","T"),Inputs!$B$2:$AZ$2,0)),Inputs!$B$2:$B$190,$B192)*Inputs!$D$1)</f>
        <v>0</v>
      </c>
      <c r="H192" s="57">
        <f>IF(ISNA(SUMIFS(INDEX(Inputs!$B$2:$AZ$190,,MATCH(SUBSTITUTE(H$3,"Q","T"),Inputs!$B$2:$AZ$2,0)),Inputs!$B$2:$B$190,$B192)*Inputs!$D$1),"",SUMIFS(INDEX(Inputs!$B$2:$AZ$190,,MATCH(SUBSTITUTE(H$3,"Q","T"),Inputs!$B$2:$AZ$2,0)),Inputs!$B$2:$B$190,$B192)*Inputs!$D$1)</f>
        <v>0</v>
      </c>
      <c r="I192" s="58">
        <f>SUM(E192:H192)</f>
        <v>0</v>
      </c>
      <c r="J192" s="57">
        <f>IF(ISNA(SUMIFS(INDEX(Inputs!$B$2:$AZ$190,,MATCH(SUBSTITUTE(J$3,"Q","T"),Inputs!$B$2:$AZ$2,0)),Inputs!$B$2:$B$190,$B192)*Inputs!$D$1),"",SUMIFS(INDEX(Inputs!$B$2:$AZ$190,,MATCH(SUBSTITUTE(J$3,"Q","T"),Inputs!$B$2:$AZ$2,0)),Inputs!$B$2:$B$190,$B192)*Inputs!$D$1)</f>
        <v>0</v>
      </c>
      <c r="K192" s="57">
        <f>IF(ISNA(SUMIFS(INDEX(Inputs!$B$2:$AZ$190,,MATCH(SUBSTITUTE(K$3,"Q","T"),Inputs!$B$2:$AZ$2,0)),Inputs!$B$2:$B$190,$B192)*Inputs!$D$1),"",SUMIFS(INDEX(Inputs!$B$2:$AZ$190,,MATCH(SUBSTITUTE(K$3,"Q","T"),Inputs!$B$2:$AZ$2,0)),Inputs!$B$2:$B$190,$B192)*Inputs!$D$1)</f>
        <v>0</v>
      </c>
      <c r="L192" s="57">
        <f>IF(ISNA(SUMIFS(INDEX(Inputs!$B$2:$AZ$190,,MATCH(SUBSTITUTE(L$3,"Q","T"),Inputs!$B$2:$AZ$2,0)),Inputs!$B$2:$B$190,$B192)*Inputs!$D$1),"",SUMIFS(INDEX(Inputs!$B$2:$AZ$190,,MATCH(SUBSTITUTE(L$3,"Q","T"),Inputs!$B$2:$AZ$2,0)),Inputs!$B$2:$B$190,$B192)*Inputs!$D$1)</f>
        <v>0</v>
      </c>
      <c r="M192" s="57">
        <f>IF(ISNA(SUMIFS(INDEX(Inputs!$B$2:$AZ$190,,MATCH(SUBSTITUTE(M$3,"Q","T"),Inputs!$B$2:$AZ$2,0)),Inputs!$B$2:$B$190,$B192)*Inputs!$D$1),"",SUMIFS(INDEX(Inputs!$B$2:$AZ$190,,MATCH(SUBSTITUTE(M$3,"Q","T"),Inputs!$B$2:$AZ$2,0)),Inputs!$B$2:$B$190,$B192)*Inputs!$D$1)</f>
        <v>0</v>
      </c>
      <c r="N192" s="58">
        <f>SUM(J192:M192)</f>
        <v>0</v>
      </c>
      <c r="O192" s="57">
        <f>IF(ISNA(SUMIFS(INDEX(Inputs!$B$2:$AZ$190,,MATCH(SUBSTITUTE(O$3,"Q","T"),Inputs!$B$2:$AZ$2,0)),Inputs!$B$2:$B$190,$B192)*Inputs!$D$1),"",SUMIFS(INDEX(Inputs!$B$2:$AZ$190,,MATCH(SUBSTITUTE(O$3,"Q","T"),Inputs!$B$2:$AZ$2,0)),Inputs!$B$2:$B$190,$B192)*Inputs!$D$1)</f>
        <v>0</v>
      </c>
      <c r="P192" s="57">
        <f>IF(ISNA(SUMIFS(INDEX(Inputs!$B$2:$AZ$190,,MATCH(SUBSTITUTE(P$3,"Q","T"),Inputs!$B$2:$AZ$2,0)),Inputs!$B$2:$B$190,$B192)*Inputs!$D$1),"",SUMIFS(INDEX(Inputs!$B$2:$AZ$190,,MATCH(SUBSTITUTE(P$3,"Q","T"),Inputs!$B$2:$AZ$2,0)),Inputs!$B$2:$B$190,$B192)*Inputs!$D$1)</f>
        <v>0</v>
      </c>
      <c r="Q192" s="57">
        <f>IF(ISNA(SUMIFS(INDEX(Inputs!$B$2:$AZ$190,,MATCH(SUBSTITUTE(Q$3,"Q","T"),Inputs!$B$2:$AZ$2,0)),Inputs!$B$2:$B$190,$B192)*Inputs!$D$1),"",SUMIFS(INDEX(Inputs!$B$2:$AZ$190,,MATCH(SUBSTITUTE(Q$3,"Q","T"),Inputs!$B$2:$AZ$2,0)),Inputs!$B$2:$B$190,$B192)*Inputs!$D$1)</f>
        <v>0</v>
      </c>
      <c r="R192" s="57">
        <f>IF(ISNA(SUMIFS(INDEX(Inputs!$B$2:$AZ$190,,MATCH(SUBSTITUTE(R$3,"Q","T"),Inputs!$B$2:$AZ$2,0)),Inputs!$B$2:$B$190,$B192)*Inputs!$D$1),"",SUMIFS(INDEX(Inputs!$B$2:$AZ$190,,MATCH(SUBSTITUTE(R$3,"Q","T"),Inputs!$B$2:$AZ$2,0)),Inputs!$B$2:$B$190,$B192)*Inputs!$D$1)</f>
        <v>0</v>
      </c>
      <c r="S192" s="58">
        <f>SUM(O192:R192)</f>
        <v>0</v>
      </c>
      <c r="T192" s="57">
        <f>IF(ISNA(SUMIFS(INDEX(Inputs!$B$2:$AZ$190,,MATCH(SUBSTITUTE(T$3,"Q","T"),Inputs!$B$2:$AZ$2,0)),Inputs!$B$2:$B$190,$B192)*Inputs!$D$1),"",SUMIFS(INDEX(Inputs!$B$2:$AZ$190,,MATCH(SUBSTITUTE(T$3,"Q","T"),Inputs!$B$2:$AZ$2,0)),Inputs!$B$2:$B$190,$B192)*Inputs!$D$1)</f>
        <v>0</v>
      </c>
      <c r="U192" s="57">
        <f>IF(ISNA(SUMIFS(INDEX(Inputs!$B$2:$AZ$190,,MATCH(SUBSTITUTE(U$3,"Q","T"),Inputs!$B$2:$AZ$2,0)),Inputs!$B$2:$B$190,$B192)*Inputs!$D$1),"",SUMIFS(INDEX(Inputs!$B$2:$AZ$190,,MATCH(SUBSTITUTE(U$3,"Q","T"),Inputs!$B$2:$AZ$2,0)),Inputs!$B$2:$B$190,$B192)*Inputs!$D$1)</f>
        <v>0</v>
      </c>
      <c r="V192" s="57">
        <f>IF(ISNA(SUMIFS(INDEX(Inputs!$B$2:$AZ$190,,MATCH(SUBSTITUTE(V$3,"Q","T"),Inputs!$B$2:$AZ$2,0)),Inputs!$B$2:$B$190,$B192)*Inputs!$D$1),"",SUMIFS(INDEX(Inputs!$B$2:$AZ$190,,MATCH(SUBSTITUTE(V$3,"Q","T"),Inputs!$B$2:$AZ$2,0)),Inputs!$B$2:$B$190,$B192)*Inputs!$D$1)</f>
        <v>0</v>
      </c>
      <c r="W192" s="57">
        <f>IF(ISNA(SUMIFS(INDEX(Inputs!$B$2:$AZ$190,,MATCH(SUBSTITUTE(W$3,"Q","T"),Inputs!$B$2:$AZ$2,0)),Inputs!$B$2:$B$190,$B192)*Inputs!$D$1),"",SUMIFS(INDEX(Inputs!$B$2:$AZ$190,,MATCH(SUBSTITUTE(W$3,"Q","T"),Inputs!$B$2:$AZ$2,0)),Inputs!$B$2:$B$190,$B192)*Inputs!$D$1)</f>
        <v>0</v>
      </c>
      <c r="X192" s="58">
        <f>SUM(T192:W192)</f>
        <v>0</v>
      </c>
      <c r="Y192" s="57">
        <f>IF(ISNA(SUMIFS(INDEX(Inputs!$B$2:$AZ$190,,MATCH(SUBSTITUTE(Y$3,"Q","T"),Inputs!$B$2:$AZ$2,0)),Inputs!$B$2:$B$190,$B192)*Inputs!$D$1),"",SUMIFS(INDEX(Inputs!$B$2:$AZ$190,,MATCH(SUBSTITUTE(Y$3,"Q","T"),Inputs!$B$2:$AZ$2,0)),Inputs!$B$2:$B$190,$B192)*Inputs!$D$1)</f>
        <v>0</v>
      </c>
      <c r="Z192" s="57">
        <f>IF(ISNA(SUMIFS(INDEX(Inputs!$B$2:$AZ$190,,MATCH(SUBSTITUTE(Z$3,"Q","T"),Inputs!$B$2:$AZ$2,0)),Inputs!$B$2:$B$190,$B192)*Inputs!$D$1),"",SUMIFS(INDEX(Inputs!$B$2:$AZ$190,,MATCH(SUBSTITUTE(Z$3,"Q","T"),Inputs!$B$2:$AZ$2,0)),Inputs!$B$2:$B$190,$B192)*Inputs!$D$1)</f>
        <v>0</v>
      </c>
      <c r="AA192" s="57">
        <f>IF(ISNA(SUMIFS(INDEX(Inputs!$B$2:$AZ$190,,MATCH(SUBSTITUTE(AA$3,"Q","T"),Inputs!$B$2:$AZ$2,0)),Inputs!$B$2:$B$190,$B192)*Inputs!$D$1),"",SUMIFS(INDEX(Inputs!$B$2:$AZ$190,,MATCH(SUBSTITUTE(AA$3,"Q","T"),Inputs!$B$2:$AZ$2,0)),Inputs!$B$2:$B$190,$B192)*Inputs!$D$1)</f>
        <v>0</v>
      </c>
      <c r="AB192" s="57">
        <f>IF(ISNA(SUMIFS(INDEX(Inputs!$B$2:$AZ$190,,MATCH(SUBSTITUTE(AB$3,"Q","T"),Inputs!$B$2:$AZ$2,0)),Inputs!$B$2:$B$190,$B192)*Inputs!$D$1),"",SUMIFS(INDEX(Inputs!$B$2:$AZ$190,,MATCH(SUBSTITUTE(AB$3,"Q","T"),Inputs!$B$2:$AZ$2,0)),Inputs!$B$2:$B$190,$B192)*Inputs!$D$1)</f>
        <v>0</v>
      </c>
      <c r="AC192" s="58">
        <f>SUM(Y192:AB192)</f>
        <v>0</v>
      </c>
      <c r="AD192" s="57">
        <f>IF(ISNA(SUMIFS(INDEX(Inputs!$B$2:$AZ$190,,MATCH(SUBSTITUTE(AD$3,"Q","T"),Inputs!$B$2:$AZ$2,0)),Inputs!$B$2:$B$190,$B192)*Inputs!$D$1),"",SUMIFS(INDEX(Inputs!$B$2:$AZ$190,,MATCH(SUBSTITUTE(AD$3,"Q","T"),Inputs!$B$2:$AZ$2,0)),Inputs!$B$2:$B$190,$B192)*Inputs!$D$1)</f>
        <v>0</v>
      </c>
      <c r="AE192" s="57">
        <f>IF(ISNA(SUMIFS(INDEX(Inputs!$B$2:$AZ$190,,MATCH(SUBSTITUTE(AE$3,"Q","T"),Inputs!$B$2:$AZ$2,0)),Inputs!$B$2:$B$190,$B192)*Inputs!$D$1),"",SUMIFS(INDEX(Inputs!$B$2:$AZ$190,,MATCH(SUBSTITUTE(AE$3,"Q","T"),Inputs!$B$2:$AZ$2,0)),Inputs!$B$2:$B$190,$B192)*Inputs!$D$1)</f>
        <v>0</v>
      </c>
      <c r="AF192" s="57">
        <f>IF(ISNA(SUMIFS(INDEX(Inputs!$B$2:$AZ$190,,MATCH(SUBSTITUTE(AF$3,"Q","T"),Inputs!$B$2:$AZ$2,0)),Inputs!$B$2:$B$190,$B192)*Inputs!$D$1),"",SUMIFS(INDEX(Inputs!$B$2:$AZ$190,,MATCH(SUBSTITUTE(AF$3,"Q","T"),Inputs!$B$2:$AZ$2,0)),Inputs!$B$2:$B$190,$B192)*Inputs!$D$1)</f>
        <v>0</v>
      </c>
      <c r="AG192" s="57">
        <f>IF(ISNA(SUMIFS(INDEX(Inputs!$B$2:$AZ$190,,MATCH(SUBSTITUTE(AG$3,"Q","T"),Inputs!$B$2:$AZ$2,0)),Inputs!$B$2:$B$190,$B192)*Inputs!$D$1),"",SUMIFS(INDEX(Inputs!$B$2:$AZ$190,,MATCH(SUBSTITUTE(AG$3,"Q","T"),Inputs!$B$2:$AZ$2,0)),Inputs!$B$2:$B$190,$B192)*Inputs!$D$1)</f>
        <v>0</v>
      </c>
      <c r="AH192" s="58">
        <f>SUM(AD192:AG192)</f>
        <v>0</v>
      </c>
      <c r="AI192" s="57">
        <f>IF(ISNA(SUMIFS(INDEX(Inputs!$B$2:$AZ$190,,MATCH(SUBSTITUTE(AI$3,"Q","T"),Inputs!$B$2:$AZ$2,0)),Inputs!$B$2:$B$190,$B192)*Inputs!$D$1),"",SUMIFS(INDEX(Inputs!$B$2:$AZ$190,,MATCH(SUBSTITUTE(AI$3,"Q","T"),Inputs!$B$2:$AZ$2,0)),Inputs!$B$2:$B$190,$B192)*Inputs!$D$1)</f>
        <v>0</v>
      </c>
      <c r="AJ192" s="57">
        <f>IF(ISNA(SUMIFS(INDEX(Inputs!$B$2:$AZ$190,,MATCH(SUBSTITUTE(AJ$3,"Q","T"),Inputs!$B$2:$AZ$2,0)),Inputs!$B$2:$B$190,$B192)*Inputs!$D$1),"",SUMIFS(INDEX(Inputs!$B$2:$AZ$190,,MATCH(SUBSTITUTE(AJ$3,"Q","T"),Inputs!$B$2:$AZ$2,0)),Inputs!$B$2:$B$190,$B192)*Inputs!$D$1)</f>
        <v>0</v>
      </c>
      <c r="AK192" s="57">
        <f>IF(ISNA(SUMIFS(INDEX(Inputs!$B$2:$AZ$190,,MATCH(SUBSTITUTE(AK$3,"Q","T"),Inputs!$B$2:$AZ$2,0)),Inputs!$B$2:$B$190,$B192)*Inputs!$D$1),"",SUMIFS(INDEX(Inputs!$B$2:$AZ$190,,MATCH(SUBSTITUTE(AK$3,"Q","T"),Inputs!$B$2:$AZ$2,0)),Inputs!$B$2:$B$190,$B192)*Inputs!$D$1)</f>
        <v>0</v>
      </c>
      <c r="AL192" s="57">
        <f>IF(ISNA(SUMIFS(INDEX(Inputs!$B$2:$AZ$190,,MATCH(SUBSTITUTE(AL$3,"Q","T"),Inputs!$B$2:$AZ$2,0)),Inputs!$B$2:$B$190,$B192)*Inputs!$D$1),"",SUMIFS(INDEX(Inputs!$B$2:$AZ$190,,MATCH(SUBSTITUTE(AL$3,"Q","T"),Inputs!$B$2:$AZ$2,0)),Inputs!$B$2:$B$190,$B192)*Inputs!$D$1)</f>
        <v>0</v>
      </c>
      <c r="AM192" s="58">
        <f>SUM(AI192:AL192)</f>
        <v>0</v>
      </c>
      <c r="AN192" s="57">
        <f>IF(ISNA(SUMIFS(INDEX(Inputs!$B$2:$AZ$190,,MATCH(SUBSTITUTE(AN$3,"Q","T"),Inputs!$B$2:$AZ$2,0)),Inputs!$B$2:$B$190,$B192)*Inputs!$D$1),"",SUMIFS(INDEX(Inputs!$B$2:$AZ$190,,MATCH(SUBSTITUTE(AN$3,"Q","T"),Inputs!$B$2:$AZ$2,0)),Inputs!$B$2:$B$190,$B192)*Inputs!$D$1)</f>
        <v>0</v>
      </c>
      <c r="AO192" s="57">
        <f>IF(ISNA(SUMIFS(INDEX(Inputs!$B$2:$AZ$190,,MATCH(SUBSTITUTE(AO$3,"Q","T"),Inputs!$B$2:$AZ$2,0)),Inputs!$B$2:$B$190,$B192)*Inputs!$D$1),"",SUMIFS(INDEX(Inputs!$B$2:$AZ$190,,MATCH(SUBSTITUTE(AO$3,"Q","T"),Inputs!$B$2:$AZ$2,0)),Inputs!$B$2:$B$190,$B192)*Inputs!$D$1)</f>
        <v>0</v>
      </c>
      <c r="AP192" s="57">
        <f>IF(ISNA(SUMIFS(INDEX(Inputs!$B$2:$AZ$190,,MATCH(SUBSTITUTE(AP$3,"Q","T"),Inputs!$B$2:$AZ$2,0)),Inputs!$B$2:$B$190,$B192)*Inputs!$D$1),"",SUMIFS(INDEX(Inputs!$B$2:$AZ$190,,MATCH(SUBSTITUTE(AP$3,"Q","T"),Inputs!$B$2:$AZ$2,0)),Inputs!$B$2:$B$190,$B192)*Inputs!$D$1)</f>
        <v>0</v>
      </c>
      <c r="AQ192" s="57">
        <f>IF(ISNA(SUMIFS(INDEX(Inputs!$B$2:$AZ$190,,MATCH(SUBSTITUTE(AQ$3,"Q","T"),Inputs!$B$2:$AZ$2,0)),Inputs!$B$2:$B$190,$B192)*Inputs!$D$1),"",SUMIFS(INDEX(Inputs!$B$2:$AZ$190,,MATCH(SUBSTITUTE(AQ$3,"Q","T"),Inputs!$B$2:$AZ$2,0)),Inputs!$B$2:$B$190,$B192)*Inputs!$D$1)</f>
        <v>0</v>
      </c>
      <c r="AR192" s="58">
        <f>SUM(AN192:AQ192)</f>
        <v>0</v>
      </c>
      <c r="AS192" s="57">
        <f>IF(ISNA(SUMIFS(INDEX(Inputs!$B$2:$AZ$190,,MATCH(SUBSTITUTE(AS$3,"Q","T"),Inputs!$B$2:$AZ$2,0)),Inputs!$B$2:$B$190,$B192)*Inputs!$D$1),"",SUMIFS(INDEX(Inputs!$B$2:$AZ$190,,MATCH(SUBSTITUTE(AS$3,"Q","T"),Inputs!$B$2:$AZ$2,0)),Inputs!$B$2:$B$190,$B192)*Inputs!$D$1)</f>
        <v>0</v>
      </c>
      <c r="AT192" s="57">
        <f>IF(ISNA(SUMIFS(INDEX(Inputs!$B$2:$AZ$190,,MATCH(SUBSTITUTE(AT$3,"Q","T"),Inputs!$B$2:$AZ$2,0)),Inputs!$B$2:$B$190,$B192)*Inputs!$D$1),"",SUMIFS(INDEX(Inputs!$B$2:$AZ$190,,MATCH(SUBSTITUTE(AT$3,"Q","T"),Inputs!$B$2:$AZ$2,0)),Inputs!$B$2:$B$190,$B192)*Inputs!$D$1)</f>
        <v>0</v>
      </c>
      <c r="AU192" s="57">
        <f>IF(ISNA(SUMIFS(INDEX(Inputs!$B$2:$AZ$190,,MATCH(SUBSTITUTE(AU$3,"Q","T"),Inputs!$B$2:$AZ$2,0)),Inputs!$B$2:$B$190,$B192)*Inputs!$D$1),"",SUMIFS(INDEX(Inputs!$B$2:$AZ$190,,MATCH(SUBSTITUTE(AU$3,"Q","T"),Inputs!$B$2:$AZ$2,0)),Inputs!$B$2:$B$190,$B192)*Inputs!$D$1)</f>
        <v>0</v>
      </c>
      <c r="AV192" s="57">
        <f>IF(ISNA(SUMIFS(INDEX(Inputs!$B$2:$AZ$190,,MATCH(SUBSTITUTE(AV$3,"Q","T"),Inputs!$B$2:$AZ$2,0)),Inputs!$B$2:$B$190,$B192)*Inputs!$D$1),"",SUMIFS(INDEX(Inputs!$B$2:$AZ$190,,MATCH(SUBSTITUTE(AV$3,"Q","T"),Inputs!$B$2:$AZ$2,0)),Inputs!$B$2:$B$190,$B192)*Inputs!$D$1)</f>
        <v>0</v>
      </c>
      <c r="AW192" s="58">
        <f>SUM(AS192:AV192)</f>
        <v>0</v>
      </c>
      <c r="AX192" s="57">
        <f>IF(ISNA(SUMIFS(INDEX(Inputs!$B$2:$AZ$190,,MATCH(SUBSTITUTE(AX$3,"Q","T"),Inputs!$B$2:$AZ$2,0)),Inputs!$B$2:$B$190,$B192)*Inputs!$D$1),"",SUMIFS(INDEX(Inputs!$B$2:$AZ$190,,MATCH(SUBSTITUTE(AX$3,"Q","T"),Inputs!$B$2:$AZ$2,0)),Inputs!$B$2:$B$190,$B192)*Inputs!$D$1)</f>
        <v>0</v>
      </c>
      <c r="AY192" s="57">
        <f>IF(ISNA(SUMIFS(INDEX(Inputs!$B$2:$AZ$190,,MATCH(SUBSTITUTE(AY$3,"Q","T"),Inputs!$B$2:$AZ$2,0)),Inputs!$B$2:$B$190,$B192)*Inputs!$D$1),"",SUMIFS(INDEX(Inputs!$B$2:$AZ$190,,MATCH(SUBSTITUTE(AY$3,"Q","T"),Inputs!$B$2:$AZ$2,0)),Inputs!$B$2:$B$190,$B192)*Inputs!$D$1)</f>
        <v>0</v>
      </c>
      <c r="AZ192" s="57">
        <f>IF(ISNA(SUMIFS(INDEX(Inputs!$B$2:$AZ$190,,MATCH(SUBSTITUTE(AZ$3,"Q","T"),Inputs!$B$2:$AZ$2,0)),Inputs!$B$2:$B$190,$B192)*Inputs!$D$1),"",SUMIFS(INDEX(Inputs!$B$2:$AZ$190,,MATCH(SUBSTITUTE(AZ$3,"Q","T"),Inputs!$B$2:$AZ$2,0)),Inputs!$B$2:$B$190,$B192)*Inputs!$D$1)</f>
        <v>0</v>
      </c>
      <c r="BA192" s="57">
        <f>IF(ISNA(SUMIFS(INDEX(Inputs!$B$2:$AZ$190,,MATCH(SUBSTITUTE(BA$3,"Q","T"),Inputs!$B$2:$AZ$2,0)),Inputs!$B$2:$B$190,$B192)*Inputs!$D$1),"",SUMIFS(INDEX(Inputs!$B$2:$AZ$190,,MATCH(SUBSTITUTE(BA$3,"Q","T"),Inputs!$B$2:$AZ$2,0)),Inputs!$B$2:$B$190,$B192)*Inputs!$D$1)</f>
        <v>0</v>
      </c>
      <c r="BB192" s="58">
        <f>SUM(AX192:BA192)</f>
        <v>0</v>
      </c>
      <c r="BC192" s="57">
        <f>IF(ISNA(SUMIFS(INDEX(Inputs!$B$2:$AZ$190,,MATCH(SUBSTITUTE(BC$3,"Q","T"),Inputs!$B$2:$AZ$2,0)),Inputs!$B$2:$B$190,$B192)*Inputs!$D$1),"",SUMIFS(INDEX(Inputs!$B$2:$AZ$190,,MATCH(SUBSTITUTE(BC$3,"Q","T"),Inputs!$B$2:$AZ$2,0)),Inputs!$B$2:$B$190,$B192)*Inputs!$D$1)</f>
        <v>0</v>
      </c>
      <c r="BD192" s="57">
        <f>IF(ISNA(SUMIFS(INDEX(Inputs!$B$2:$AZ$190,,MATCH(SUBSTITUTE(BD$3,"Q","T"),Inputs!$B$2:$AZ$2,0)),Inputs!$B$2:$B$190,$B192)*Inputs!$D$1),"",SUMIFS(INDEX(Inputs!$B$2:$AZ$190,,MATCH(SUBSTITUTE(BD$3,"Q","T"),Inputs!$B$2:$AZ$2,0)),Inputs!$B$2:$B$190,$B192)*Inputs!$D$1)</f>
        <v>0</v>
      </c>
      <c r="BE192" s="57">
        <f>IF(ISNA(SUMIFS(INDEX(Inputs!$B$2:$AZ$190,,MATCH(SUBSTITUTE(BE$3,"Q","T"),Inputs!$B$2:$AZ$2,0)),Inputs!$B$2:$B$190,$B192)*Inputs!$D$1),"",SUMIFS(INDEX(Inputs!$B$2:$AZ$190,,MATCH(SUBSTITUTE(BE$3,"Q","T"),Inputs!$B$2:$AZ$2,0)),Inputs!$B$2:$B$190,$B192)*Inputs!$D$1)</f>
        <v>0</v>
      </c>
      <c r="BF192" s="57">
        <f>IF(ISNA(SUMIFS(INDEX(Inputs!$B$2:$AZ$190,,MATCH(SUBSTITUTE(BF$3,"Q","T"),Inputs!$B$2:$AZ$2,0)),Inputs!$B$2:$B$190,$B192)*Inputs!$D$1),"",SUMIFS(INDEX(Inputs!$B$2:$AZ$190,,MATCH(SUBSTITUTE(BF$3,"Q","T"),Inputs!$B$2:$AZ$2,0)),Inputs!$B$2:$B$190,$B192)*Inputs!$D$1)</f>
        <v>0</v>
      </c>
      <c r="BG192" s="58">
        <f>SUM(BC192:BF192)</f>
        <v>0</v>
      </c>
    </row>
    <row r="193" hidden="1" outlineLevel="1">
      <c r="B193" s="56" t="inlineStr">
        <is>
          <t>marketing</t>
        </is>
      </c>
      <c r="C193" s="11" t="inlineStr">
        <is>
          <t>(Marketing)</t>
        </is>
      </c>
      <c r="D193" s="12" t="inlineStr">
        <is>
          <t>(Marketing)</t>
        </is>
      </c>
      <c r="E193" s="57">
        <f>IF(ISNA(SUMIFS(INDEX(Inputs!$B$2:$AZ$190,,MATCH(SUBSTITUTE(E$3,"Q","T"),Inputs!$B$2:$AZ$2,0)),Inputs!$B$2:$B$190,$B193)*Inputs!$D$1),"",SUMIFS(INDEX(Inputs!$B$2:$AZ$190,,MATCH(SUBSTITUTE(E$3,"Q","T"),Inputs!$B$2:$AZ$2,0)),Inputs!$B$2:$B$190,$B193)*Inputs!$D$1)</f>
        <v>0</v>
      </c>
      <c r="F193" s="57">
        <f>IF(ISNA(SUMIFS(INDEX(Inputs!$B$2:$AZ$190,,MATCH(SUBSTITUTE(F$3,"Q","T"),Inputs!$B$2:$AZ$2,0)),Inputs!$B$2:$B$190,$B193)*Inputs!$D$1),"",SUMIFS(INDEX(Inputs!$B$2:$AZ$190,,MATCH(SUBSTITUTE(F$3,"Q","T"),Inputs!$B$2:$AZ$2,0)),Inputs!$B$2:$B$190,$B193)*Inputs!$D$1)</f>
        <v>0</v>
      </c>
      <c r="G193" s="57">
        <f>IF(ISNA(SUMIFS(INDEX(Inputs!$B$2:$AZ$190,,MATCH(SUBSTITUTE(G$3,"Q","T"),Inputs!$B$2:$AZ$2,0)),Inputs!$B$2:$B$190,$B193)*Inputs!$D$1),"",SUMIFS(INDEX(Inputs!$B$2:$AZ$190,,MATCH(SUBSTITUTE(G$3,"Q","T"),Inputs!$B$2:$AZ$2,0)),Inputs!$B$2:$B$190,$B193)*Inputs!$D$1)</f>
        <v>0</v>
      </c>
      <c r="H193" s="57">
        <f>IF(ISNA(SUMIFS(INDEX(Inputs!$B$2:$AZ$190,,MATCH(SUBSTITUTE(H$3,"Q","T"),Inputs!$B$2:$AZ$2,0)),Inputs!$B$2:$B$190,$B193)*Inputs!$D$1),"",SUMIFS(INDEX(Inputs!$B$2:$AZ$190,,MATCH(SUBSTITUTE(H$3,"Q","T"),Inputs!$B$2:$AZ$2,0)),Inputs!$B$2:$B$190,$B193)*Inputs!$D$1)</f>
        <v>0</v>
      </c>
      <c r="I193" s="58">
        <f>SUM(E193:H193)</f>
        <v>0</v>
      </c>
      <c r="J193" s="57">
        <f>IF(ISNA(SUMIFS(INDEX(Inputs!$B$2:$AZ$190,,MATCH(SUBSTITUTE(J$3,"Q","T"),Inputs!$B$2:$AZ$2,0)),Inputs!$B$2:$B$190,$B193)*Inputs!$D$1),"",SUMIFS(INDEX(Inputs!$B$2:$AZ$190,,MATCH(SUBSTITUTE(J$3,"Q","T"),Inputs!$B$2:$AZ$2,0)),Inputs!$B$2:$B$190,$B193)*Inputs!$D$1)</f>
        <v>0</v>
      </c>
      <c r="K193" s="57">
        <f>IF(ISNA(SUMIFS(INDEX(Inputs!$B$2:$AZ$190,,MATCH(SUBSTITUTE(K$3,"Q","T"),Inputs!$B$2:$AZ$2,0)),Inputs!$B$2:$B$190,$B193)*Inputs!$D$1),"",SUMIFS(INDEX(Inputs!$B$2:$AZ$190,,MATCH(SUBSTITUTE(K$3,"Q","T"),Inputs!$B$2:$AZ$2,0)),Inputs!$B$2:$B$190,$B193)*Inputs!$D$1)</f>
        <v>0</v>
      </c>
      <c r="L193" s="57">
        <f>IF(ISNA(SUMIFS(INDEX(Inputs!$B$2:$AZ$190,,MATCH(SUBSTITUTE(L$3,"Q","T"),Inputs!$B$2:$AZ$2,0)),Inputs!$B$2:$B$190,$B193)*Inputs!$D$1),"",SUMIFS(INDEX(Inputs!$B$2:$AZ$190,,MATCH(SUBSTITUTE(L$3,"Q","T"),Inputs!$B$2:$AZ$2,0)),Inputs!$B$2:$B$190,$B193)*Inputs!$D$1)</f>
        <v>0</v>
      </c>
      <c r="M193" s="57">
        <f>IF(ISNA(SUMIFS(INDEX(Inputs!$B$2:$AZ$190,,MATCH(SUBSTITUTE(M$3,"Q","T"),Inputs!$B$2:$AZ$2,0)),Inputs!$B$2:$B$190,$B193)*Inputs!$D$1),"",SUMIFS(INDEX(Inputs!$B$2:$AZ$190,,MATCH(SUBSTITUTE(M$3,"Q","T"),Inputs!$B$2:$AZ$2,0)),Inputs!$B$2:$B$190,$B193)*Inputs!$D$1)</f>
        <v>0</v>
      </c>
      <c r="N193" s="58">
        <f>SUM(J193:M193)</f>
        <v>0</v>
      </c>
      <c r="O193" s="57">
        <f>IF(ISNA(SUMIFS(INDEX(Inputs!$B$2:$AZ$190,,MATCH(SUBSTITUTE(O$3,"Q","T"),Inputs!$B$2:$AZ$2,0)),Inputs!$B$2:$B$190,$B193)*Inputs!$D$1),"",SUMIFS(INDEX(Inputs!$B$2:$AZ$190,,MATCH(SUBSTITUTE(O$3,"Q","T"),Inputs!$B$2:$AZ$2,0)),Inputs!$B$2:$B$190,$B193)*Inputs!$D$1)</f>
        <v>0</v>
      </c>
      <c r="P193" s="57">
        <f>IF(ISNA(SUMIFS(INDEX(Inputs!$B$2:$AZ$190,,MATCH(SUBSTITUTE(P$3,"Q","T"),Inputs!$B$2:$AZ$2,0)),Inputs!$B$2:$B$190,$B193)*Inputs!$D$1),"",SUMIFS(INDEX(Inputs!$B$2:$AZ$190,,MATCH(SUBSTITUTE(P$3,"Q","T"),Inputs!$B$2:$AZ$2,0)),Inputs!$B$2:$B$190,$B193)*Inputs!$D$1)</f>
        <v>0</v>
      </c>
      <c r="Q193" s="57">
        <f>IF(ISNA(SUMIFS(INDEX(Inputs!$B$2:$AZ$190,,MATCH(SUBSTITUTE(Q$3,"Q","T"),Inputs!$B$2:$AZ$2,0)),Inputs!$B$2:$B$190,$B193)*Inputs!$D$1),"",SUMIFS(INDEX(Inputs!$B$2:$AZ$190,,MATCH(SUBSTITUTE(Q$3,"Q","T"),Inputs!$B$2:$AZ$2,0)),Inputs!$B$2:$B$190,$B193)*Inputs!$D$1)</f>
        <v>0</v>
      </c>
      <c r="R193" s="57">
        <f>IF(ISNA(SUMIFS(INDEX(Inputs!$B$2:$AZ$190,,MATCH(SUBSTITUTE(R$3,"Q","T"),Inputs!$B$2:$AZ$2,0)),Inputs!$B$2:$B$190,$B193)*Inputs!$D$1),"",SUMIFS(INDEX(Inputs!$B$2:$AZ$190,,MATCH(SUBSTITUTE(R$3,"Q","T"),Inputs!$B$2:$AZ$2,0)),Inputs!$B$2:$B$190,$B193)*Inputs!$D$1)</f>
        <v>0</v>
      </c>
      <c r="S193" s="58">
        <f>SUM(O193:R193)</f>
        <v>0</v>
      </c>
      <c r="T193" s="57">
        <f>IF(ISNA(SUMIFS(INDEX(Inputs!$B$2:$AZ$190,,MATCH(SUBSTITUTE(T$3,"Q","T"),Inputs!$B$2:$AZ$2,0)),Inputs!$B$2:$B$190,$B193)*Inputs!$D$1),"",SUMIFS(INDEX(Inputs!$B$2:$AZ$190,,MATCH(SUBSTITUTE(T$3,"Q","T"),Inputs!$B$2:$AZ$2,0)),Inputs!$B$2:$B$190,$B193)*Inputs!$D$1)</f>
        <v>0</v>
      </c>
      <c r="U193" s="57">
        <f>IF(ISNA(SUMIFS(INDEX(Inputs!$B$2:$AZ$190,,MATCH(SUBSTITUTE(U$3,"Q","T"),Inputs!$B$2:$AZ$2,0)),Inputs!$B$2:$B$190,$B193)*Inputs!$D$1),"",SUMIFS(INDEX(Inputs!$B$2:$AZ$190,,MATCH(SUBSTITUTE(U$3,"Q","T"),Inputs!$B$2:$AZ$2,0)),Inputs!$B$2:$B$190,$B193)*Inputs!$D$1)</f>
        <v>0</v>
      </c>
      <c r="V193" s="57">
        <f>IF(ISNA(SUMIFS(INDEX(Inputs!$B$2:$AZ$190,,MATCH(SUBSTITUTE(V$3,"Q","T"),Inputs!$B$2:$AZ$2,0)),Inputs!$B$2:$B$190,$B193)*Inputs!$D$1),"",SUMIFS(INDEX(Inputs!$B$2:$AZ$190,,MATCH(SUBSTITUTE(V$3,"Q","T"),Inputs!$B$2:$AZ$2,0)),Inputs!$B$2:$B$190,$B193)*Inputs!$D$1)</f>
        <v>0</v>
      </c>
      <c r="W193" s="57">
        <f>IF(ISNA(SUMIFS(INDEX(Inputs!$B$2:$AZ$190,,MATCH(SUBSTITUTE(W$3,"Q","T"),Inputs!$B$2:$AZ$2,0)),Inputs!$B$2:$B$190,$B193)*Inputs!$D$1),"",SUMIFS(INDEX(Inputs!$B$2:$AZ$190,,MATCH(SUBSTITUTE(W$3,"Q","T"),Inputs!$B$2:$AZ$2,0)),Inputs!$B$2:$B$190,$B193)*Inputs!$D$1)</f>
        <v>0</v>
      </c>
      <c r="X193" s="58">
        <f>SUM(T193:W193)</f>
        <v>0</v>
      </c>
      <c r="Y193" s="57">
        <f>IF(ISNA(SUMIFS(INDEX(Inputs!$B$2:$AZ$190,,MATCH(SUBSTITUTE(Y$3,"Q","T"),Inputs!$B$2:$AZ$2,0)),Inputs!$B$2:$B$190,$B193)*Inputs!$D$1),"",SUMIFS(INDEX(Inputs!$B$2:$AZ$190,,MATCH(SUBSTITUTE(Y$3,"Q","T"),Inputs!$B$2:$AZ$2,0)),Inputs!$B$2:$B$190,$B193)*Inputs!$D$1)</f>
        <v>0</v>
      </c>
      <c r="Z193" s="57">
        <f>IF(ISNA(SUMIFS(INDEX(Inputs!$B$2:$AZ$190,,MATCH(SUBSTITUTE(Z$3,"Q","T"),Inputs!$B$2:$AZ$2,0)),Inputs!$B$2:$B$190,$B193)*Inputs!$D$1),"",SUMIFS(INDEX(Inputs!$B$2:$AZ$190,,MATCH(SUBSTITUTE(Z$3,"Q","T"),Inputs!$B$2:$AZ$2,0)),Inputs!$B$2:$B$190,$B193)*Inputs!$D$1)</f>
        <v>0</v>
      </c>
      <c r="AA193" s="57">
        <f>IF(ISNA(SUMIFS(INDEX(Inputs!$B$2:$AZ$190,,MATCH(SUBSTITUTE(AA$3,"Q","T"),Inputs!$B$2:$AZ$2,0)),Inputs!$B$2:$B$190,$B193)*Inputs!$D$1),"",SUMIFS(INDEX(Inputs!$B$2:$AZ$190,,MATCH(SUBSTITUTE(AA$3,"Q","T"),Inputs!$B$2:$AZ$2,0)),Inputs!$B$2:$B$190,$B193)*Inputs!$D$1)</f>
        <v>0</v>
      </c>
      <c r="AB193" s="57">
        <f>IF(ISNA(SUMIFS(INDEX(Inputs!$B$2:$AZ$190,,MATCH(SUBSTITUTE(AB$3,"Q","T"),Inputs!$B$2:$AZ$2,0)),Inputs!$B$2:$B$190,$B193)*Inputs!$D$1),"",SUMIFS(INDEX(Inputs!$B$2:$AZ$190,,MATCH(SUBSTITUTE(AB$3,"Q","T"),Inputs!$B$2:$AZ$2,0)),Inputs!$B$2:$B$190,$B193)*Inputs!$D$1)</f>
        <v>0</v>
      </c>
      <c r="AC193" s="58">
        <f>SUM(Y193:AB193)</f>
        <v>0</v>
      </c>
      <c r="AD193" s="57">
        <f>IF(ISNA(SUMIFS(INDEX(Inputs!$B$2:$AZ$190,,MATCH(SUBSTITUTE(AD$3,"Q","T"),Inputs!$B$2:$AZ$2,0)),Inputs!$B$2:$B$190,$B193)*Inputs!$D$1),"",SUMIFS(INDEX(Inputs!$B$2:$AZ$190,,MATCH(SUBSTITUTE(AD$3,"Q","T"),Inputs!$B$2:$AZ$2,0)),Inputs!$B$2:$B$190,$B193)*Inputs!$D$1)</f>
        <v>0</v>
      </c>
      <c r="AE193" s="57">
        <f>IF(ISNA(SUMIFS(INDEX(Inputs!$B$2:$AZ$190,,MATCH(SUBSTITUTE(AE$3,"Q","T"),Inputs!$B$2:$AZ$2,0)),Inputs!$B$2:$B$190,$B193)*Inputs!$D$1),"",SUMIFS(INDEX(Inputs!$B$2:$AZ$190,,MATCH(SUBSTITUTE(AE$3,"Q","T"),Inputs!$B$2:$AZ$2,0)),Inputs!$B$2:$B$190,$B193)*Inputs!$D$1)</f>
        <v>0</v>
      </c>
      <c r="AF193" s="57">
        <f>IF(ISNA(SUMIFS(INDEX(Inputs!$B$2:$AZ$190,,MATCH(SUBSTITUTE(AF$3,"Q","T"),Inputs!$B$2:$AZ$2,0)),Inputs!$B$2:$B$190,$B193)*Inputs!$D$1),"",SUMIFS(INDEX(Inputs!$B$2:$AZ$190,,MATCH(SUBSTITUTE(AF$3,"Q","T"),Inputs!$B$2:$AZ$2,0)),Inputs!$B$2:$B$190,$B193)*Inputs!$D$1)</f>
        <v>0</v>
      </c>
      <c r="AG193" s="57">
        <f>IF(ISNA(SUMIFS(INDEX(Inputs!$B$2:$AZ$190,,MATCH(SUBSTITUTE(AG$3,"Q","T"),Inputs!$B$2:$AZ$2,0)),Inputs!$B$2:$B$190,$B193)*Inputs!$D$1),"",SUMIFS(INDEX(Inputs!$B$2:$AZ$190,,MATCH(SUBSTITUTE(AG$3,"Q","T"),Inputs!$B$2:$AZ$2,0)),Inputs!$B$2:$B$190,$B193)*Inputs!$D$1)</f>
        <v>0</v>
      </c>
      <c r="AH193" s="58">
        <f>SUM(AD193:AG193)</f>
        <v>0</v>
      </c>
      <c r="AI193" s="57">
        <f>IF(ISNA(SUMIFS(INDEX(Inputs!$B$2:$AZ$190,,MATCH(SUBSTITUTE(AI$3,"Q","T"),Inputs!$B$2:$AZ$2,0)),Inputs!$B$2:$B$190,$B193)*Inputs!$D$1),"",SUMIFS(INDEX(Inputs!$B$2:$AZ$190,,MATCH(SUBSTITUTE(AI$3,"Q","T"),Inputs!$B$2:$AZ$2,0)),Inputs!$B$2:$B$190,$B193)*Inputs!$D$1)</f>
        <v>0</v>
      </c>
      <c r="AJ193" s="57">
        <f>IF(ISNA(SUMIFS(INDEX(Inputs!$B$2:$AZ$190,,MATCH(SUBSTITUTE(AJ$3,"Q","T"),Inputs!$B$2:$AZ$2,0)),Inputs!$B$2:$B$190,$B193)*Inputs!$D$1),"",SUMIFS(INDEX(Inputs!$B$2:$AZ$190,,MATCH(SUBSTITUTE(AJ$3,"Q","T"),Inputs!$B$2:$AZ$2,0)),Inputs!$B$2:$B$190,$B193)*Inputs!$D$1)</f>
        <v>0</v>
      </c>
      <c r="AK193" s="57">
        <f>IF(ISNA(SUMIFS(INDEX(Inputs!$B$2:$AZ$190,,MATCH(SUBSTITUTE(AK$3,"Q","T"),Inputs!$B$2:$AZ$2,0)),Inputs!$B$2:$B$190,$B193)*Inputs!$D$1),"",SUMIFS(INDEX(Inputs!$B$2:$AZ$190,,MATCH(SUBSTITUTE(AK$3,"Q","T"),Inputs!$B$2:$AZ$2,0)),Inputs!$B$2:$B$190,$B193)*Inputs!$D$1)</f>
        <v>0</v>
      </c>
      <c r="AL193" s="57">
        <f>IF(ISNA(SUMIFS(INDEX(Inputs!$B$2:$AZ$190,,MATCH(SUBSTITUTE(AL$3,"Q","T"),Inputs!$B$2:$AZ$2,0)),Inputs!$B$2:$B$190,$B193)*Inputs!$D$1),"",SUMIFS(INDEX(Inputs!$B$2:$AZ$190,,MATCH(SUBSTITUTE(AL$3,"Q","T"),Inputs!$B$2:$AZ$2,0)),Inputs!$B$2:$B$190,$B193)*Inputs!$D$1)</f>
        <v>0</v>
      </c>
      <c r="AM193" s="58">
        <f>SUM(AI193:AL193)</f>
        <v>0</v>
      </c>
      <c r="AN193" s="57">
        <f>IF(ISNA(SUMIFS(INDEX(Inputs!$B$2:$AZ$190,,MATCH(SUBSTITUTE(AN$3,"Q","T"),Inputs!$B$2:$AZ$2,0)),Inputs!$B$2:$B$190,$B193)*Inputs!$D$1),"",SUMIFS(INDEX(Inputs!$B$2:$AZ$190,,MATCH(SUBSTITUTE(AN$3,"Q","T"),Inputs!$B$2:$AZ$2,0)),Inputs!$B$2:$B$190,$B193)*Inputs!$D$1)</f>
        <v>0</v>
      </c>
      <c r="AO193" s="57">
        <f>IF(ISNA(SUMIFS(INDEX(Inputs!$B$2:$AZ$190,,MATCH(SUBSTITUTE(AO$3,"Q","T"),Inputs!$B$2:$AZ$2,0)),Inputs!$B$2:$B$190,$B193)*Inputs!$D$1),"",SUMIFS(INDEX(Inputs!$B$2:$AZ$190,,MATCH(SUBSTITUTE(AO$3,"Q","T"),Inputs!$B$2:$AZ$2,0)),Inputs!$B$2:$B$190,$B193)*Inputs!$D$1)</f>
        <v>0</v>
      </c>
      <c r="AP193" s="57">
        <f>IF(ISNA(SUMIFS(INDEX(Inputs!$B$2:$AZ$190,,MATCH(SUBSTITUTE(AP$3,"Q","T"),Inputs!$B$2:$AZ$2,0)),Inputs!$B$2:$B$190,$B193)*Inputs!$D$1),"",SUMIFS(INDEX(Inputs!$B$2:$AZ$190,,MATCH(SUBSTITUTE(AP$3,"Q","T"),Inputs!$B$2:$AZ$2,0)),Inputs!$B$2:$B$190,$B193)*Inputs!$D$1)</f>
        <v>0</v>
      </c>
      <c r="AQ193" s="57">
        <f>IF(ISNA(SUMIFS(INDEX(Inputs!$B$2:$AZ$190,,MATCH(SUBSTITUTE(AQ$3,"Q","T"),Inputs!$B$2:$AZ$2,0)),Inputs!$B$2:$B$190,$B193)*Inputs!$D$1),"",SUMIFS(INDEX(Inputs!$B$2:$AZ$190,,MATCH(SUBSTITUTE(AQ$3,"Q","T"),Inputs!$B$2:$AZ$2,0)),Inputs!$B$2:$B$190,$B193)*Inputs!$D$1)</f>
        <v>0</v>
      </c>
      <c r="AR193" s="58">
        <f>SUM(AN193:AQ193)</f>
        <v>0</v>
      </c>
      <c r="AS193" s="57">
        <f>IF(ISNA(SUMIFS(INDEX(Inputs!$B$2:$AZ$190,,MATCH(SUBSTITUTE(AS$3,"Q","T"),Inputs!$B$2:$AZ$2,0)),Inputs!$B$2:$B$190,$B193)*Inputs!$D$1),"",SUMIFS(INDEX(Inputs!$B$2:$AZ$190,,MATCH(SUBSTITUTE(AS$3,"Q","T"),Inputs!$B$2:$AZ$2,0)),Inputs!$B$2:$B$190,$B193)*Inputs!$D$1)</f>
        <v>0</v>
      </c>
      <c r="AT193" s="57">
        <f>IF(ISNA(SUMIFS(INDEX(Inputs!$B$2:$AZ$190,,MATCH(SUBSTITUTE(AT$3,"Q","T"),Inputs!$B$2:$AZ$2,0)),Inputs!$B$2:$B$190,$B193)*Inputs!$D$1),"",SUMIFS(INDEX(Inputs!$B$2:$AZ$190,,MATCH(SUBSTITUTE(AT$3,"Q","T"),Inputs!$B$2:$AZ$2,0)),Inputs!$B$2:$B$190,$B193)*Inputs!$D$1)</f>
        <v>0</v>
      </c>
      <c r="AU193" s="57">
        <f>IF(ISNA(SUMIFS(INDEX(Inputs!$B$2:$AZ$190,,MATCH(SUBSTITUTE(AU$3,"Q","T"),Inputs!$B$2:$AZ$2,0)),Inputs!$B$2:$B$190,$B193)*Inputs!$D$1),"",SUMIFS(INDEX(Inputs!$B$2:$AZ$190,,MATCH(SUBSTITUTE(AU$3,"Q","T"),Inputs!$B$2:$AZ$2,0)),Inputs!$B$2:$B$190,$B193)*Inputs!$D$1)</f>
        <v>0</v>
      </c>
      <c r="AV193" s="57">
        <f>IF(ISNA(SUMIFS(INDEX(Inputs!$B$2:$AZ$190,,MATCH(SUBSTITUTE(AV$3,"Q","T"),Inputs!$B$2:$AZ$2,0)),Inputs!$B$2:$B$190,$B193)*Inputs!$D$1),"",SUMIFS(INDEX(Inputs!$B$2:$AZ$190,,MATCH(SUBSTITUTE(AV$3,"Q","T"),Inputs!$B$2:$AZ$2,0)),Inputs!$B$2:$B$190,$B193)*Inputs!$D$1)</f>
        <v>0</v>
      </c>
      <c r="AW193" s="58">
        <f>SUM(AS193:AV193)</f>
        <v>0</v>
      </c>
      <c r="AX193" s="57">
        <f>IF(ISNA(SUMIFS(INDEX(Inputs!$B$2:$AZ$190,,MATCH(SUBSTITUTE(AX$3,"Q","T"),Inputs!$B$2:$AZ$2,0)),Inputs!$B$2:$B$190,$B193)*Inputs!$D$1),"",SUMIFS(INDEX(Inputs!$B$2:$AZ$190,,MATCH(SUBSTITUTE(AX$3,"Q","T"),Inputs!$B$2:$AZ$2,0)),Inputs!$B$2:$B$190,$B193)*Inputs!$D$1)</f>
        <v>0</v>
      </c>
      <c r="AY193" s="57">
        <f>IF(ISNA(SUMIFS(INDEX(Inputs!$B$2:$AZ$190,,MATCH(SUBSTITUTE(AY$3,"Q","T"),Inputs!$B$2:$AZ$2,0)),Inputs!$B$2:$B$190,$B193)*Inputs!$D$1),"",SUMIFS(INDEX(Inputs!$B$2:$AZ$190,,MATCH(SUBSTITUTE(AY$3,"Q","T"),Inputs!$B$2:$AZ$2,0)),Inputs!$B$2:$B$190,$B193)*Inputs!$D$1)</f>
        <v>0</v>
      </c>
      <c r="AZ193" s="57">
        <f>IF(ISNA(SUMIFS(INDEX(Inputs!$B$2:$AZ$190,,MATCH(SUBSTITUTE(AZ$3,"Q","T"),Inputs!$B$2:$AZ$2,0)),Inputs!$B$2:$B$190,$B193)*Inputs!$D$1),"",SUMIFS(INDEX(Inputs!$B$2:$AZ$190,,MATCH(SUBSTITUTE(AZ$3,"Q","T"),Inputs!$B$2:$AZ$2,0)),Inputs!$B$2:$B$190,$B193)*Inputs!$D$1)</f>
        <v>0</v>
      </c>
      <c r="BA193" s="57">
        <f>IF(ISNA(SUMIFS(INDEX(Inputs!$B$2:$AZ$190,,MATCH(SUBSTITUTE(BA$3,"Q","T"),Inputs!$B$2:$AZ$2,0)),Inputs!$B$2:$B$190,$B193)*Inputs!$D$1),"",SUMIFS(INDEX(Inputs!$B$2:$AZ$190,,MATCH(SUBSTITUTE(BA$3,"Q","T"),Inputs!$B$2:$AZ$2,0)),Inputs!$B$2:$B$190,$B193)*Inputs!$D$1)</f>
        <v>0</v>
      </c>
      <c r="BB193" s="58">
        <f>SUM(AX193:BA193)</f>
        <v>0</v>
      </c>
      <c r="BC193" s="57">
        <f>IF(ISNA(SUMIFS(INDEX(Inputs!$B$2:$AZ$190,,MATCH(SUBSTITUTE(BC$3,"Q","T"),Inputs!$B$2:$AZ$2,0)),Inputs!$B$2:$B$190,$B193)*Inputs!$D$1),"",SUMIFS(INDEX(Inputs!$B$2:$AZ$190,,MATCH(SUBSTITUTE(BC$3,"Q","T"),Inputs!$B$2:$AZ$2,0)),Inputs!$B$2:$B$190,$B193)*Inputs!$D$1)</f>
        <v>0</v>
      </c>
      <c r="BD193" s="57">
        <f>IF(ISNA(SUMIFS(INDEX(Inputs!$B$2:$AZ$190,,MATCH(SUBSTITUTE(BD$3,"Q","T"),Inputs!$B$2:$AZ$2,0)),Inputs!$B$2:$B$190,$B193)*Inputs!$D$1),"",SUMIFS(INDEX(Inputs!$B$2:$AZ$190,,MATCH(SUBSTITUTE(BD$3,"Q","T"),Inputs!$B$2:$AZ$2,0)),Inputs!$B$2:$B$190,$B193)*Inputs!$D$1)</f>
        <v>0</v>
      </c>
      <c r="BE193" s="57">
        <f>IF(ISNA(SUMIFS(INDEX(Inputs!$B$2:$AZ$190,,MATCH(SUBSTITUTE(BE$3,"Q","T"),Inputs!$B$2:$AZ$2,0)),Inputs!$B$2:$B$190,$B193)*Inputs!$D$1),"",SUMIFS(INDEX(Inputs!$B$2:$AZ$190,,MATCH(SUBSTITUTE(BE$3,"Q","T"),Inputs!$B$2:$AZ$2,0)),Inputs!$B$2:$B$190,$B193)*Inputs!$D$1)</f>
        <v>0</v>
      </c>
      <c r="BF193" s="57">
        <f>IF(ISNA(SUMIFS(INDEX(Inputs!$B$2:$AZ$190,,MATCH(SUBSTITUTE(BF$3,"Q","T"),Inputs!$B$2:$AZ$2,0)),Inputs!$B$2:$B$190,$B193)*Inputs!$D$1),"",SUMIFS(INDEX(Inputs!$B$2:$AZ$190,,MATCH(SUBSTITUTE(BF$3,"Q","T"),Inputs!$B$2:$AZ$2,0)),Inputs!$B$2:$B$190,$B193)*Inputs!$D$1)</f>
        <v>0</v>
      </c>
      <c r="BG193" s="58">
        <f>SUM(BC193:BF193)</f>
        <v>0</v>
      </c>
    </row>
    <row r="194" hidden="1" outlineLevel="1">
      <c r="B194" s="56" t="inlineStr">
        <is>
          <t>prof_serv</t>
        </is>
      </c>
      <c r="C194" s="11" t="inlineStr">
        <is>
          <t>(Serviços profissionais e terceirizados)</t>
        </is>
      </c>
      <c r="D194" s="12" t="inlineStr">
        <is>
          <t>(Professional and outside services)</t>
        </is>
      </c>
      <c r="E194" s="57">
        <f>IF(ISNA(SUMIFS(INDEX(Inputs!$B$2:$AZ$190,,MATCH(SUBSTITUTE(E$3,"Q","T"),Inputs!$B$2:$AZ$2,0)),Inputs!$B$2:$B$190,$B194)*Inputs!$D$1),"",SUMIFS(INDEX(Inputs!$B$2:$AZ$190,,MATCH(SUBSTITUTE(E$3,"Q","T"),Inputs!$B$2:$AZ$2,0)),Inputs!$B$2:$B$190,$B194)*Inputs!$D$1)</f>
        <v>0</v>
      </c>
      <c r="F194" s="57">
        <f>IF(ISNA(SUMIFS(INDEX(Inputs!$B$2:$AZ$190,,MATCH(SUBSTITUTE(F$3,"Q","T"),Inputs!$B$2:$AZ$2,0)),Inputs!$B$2:$B$190,$B194)*Inputs!$D$1),"",SUMIFS(INDEX(Inputs!$B$2:$AZ$190,,MATCH(SUBSTITUTE(F$3,"Q","T"),Inputs!$B$2:$AZ$2,0)),Inputs!$B$2:$B$190,$B194)*Inputs!$D$1)</f>
        <v>0</v>
      </c>
      <c r="G194" s="57">
        <f>IF(ISNA(SUMIFS(INDEX(Inputs!$B$2:$AZ$190,,MATCH(SUBSTITUTE(G$3,"Q","T"),Inputs!$B$2:$AZ$2,0)),Inputs!$B$2:$B$190,$B194)*Inputs!$D$1),"",SUMIFS(INDEX(Inputs!$B$2:$AZ$190,,MATCH(SUBSTITUTE(G$3,"Q","T"),Inputs!$B$2:$AZ$2,0)),Inputs!$B$2:$B$190,$B194)*Inputs!$D$1)</f>
        <v>0</v>
      </c>
      <c r="H194" s="57">
        <f>IF(ISNA(SUMIFS(INDEX(Inputs!$B$2:$AZ$190,,MATCH(SUBSTITUTE(H$3,"Q","T"),Inputs!$B$2:$AZ$2,0)),Inputs!$B$2:$B$190,$B194)*Inputs!$D$1),"",SUMIFS(INDEX(Inputs!$B$2:$AZ$190,,MATCH(SUBSTITUTE(H$3,"Q","T"),Inputs!$B$2:$AZ$2,0)),Inputs!$B$2:$B$190,$B194)*Inputs!$D$1)</f>
        <v>0</v>
      </c>
      <c r="I194" s="58">
        <f>SUM(E194:H194)</f>
        <v>0</v>
      </c>
      <c r="J194" s="57">
        <f>IF(ISNA(SUMIFS(INDEX(Inputs!$B$2:$AZ$190,,MATCH(SUBSTITUTE(J$3,"Q","T"),Inputs!$B$2:$AZ$2,0)),Inputs!$B$2:$B$190,$B194)*Inputs!$D$1),"",SUMIFS(INDEX(Inputs!$B$2:$AZ$190,,MATCH(SUBSTITUTE(J$3,"Q","T"),Inputs!$B$2:$AZ$2,0)),Inputs!$B$2:$B$190,$B194)*Inputs!$D$1)</f>
        <v>0</v>
      </c>
      <c r="K194" s="57">
        <f>IF(ISNA(SUMIFS(INDEX(Inputs!$B$2:$AZ$190,,MATCH(SUBSTITUTE(K$3,"Q","T"),Inputs!$B$2:$AZ$2,0)),Inputs!$B$2:$B$190,$B194)*Inputs!$D$1),"",SUMIFS(INDEX(Inputs!$B$2:$AZ$190,,MATCH(SUBSTITUTE(K$3,"Q","T"),Inputs!$B$2:$AZ$2,0)),Inputs!$B$2:$B$190,$B194)*Inputs!$D$1)</f>
        <v>0</v>
      </c>
      <c r="L194" s="57">
        <f>IF(ISNA(SUMIFS(INDEX(Inputs!$B$2:$AZ$190,,MATCH(SUBSTITUTE(L$3,"Q","T"),Inputs!$B$2:$AZ$2,0)),Inputs!$B$2:$B$190,$B194)*Inputs!$D$1),"",SUMIFS(INDEX(Inputs!$B$2:$AZ$190,,MATCH(SUBSTITUTE(L$3,"Q","T"),Inputs!$B$2:$AZ$2,0)),Inputs!$B$2:$B$190,$B194)*Inputs!$D$1)</f>
        <v>0</v>
      </c>
      <c r="M194" s="57">
        <f>IF(ISNA(SUMIFS(INDEX(Inputs!$B$2:$AZ$190,,MATCH(SUBSTITUTE(M$3,"Q","T"),Inputs!$B$2:$AZ$2,0)),Inputs!$B$2:$B$190,$B194)*Inputs!$D$1),"",SUMIFS(INDEX(Inputs!$B$2:$AZ$190,,MATCH(SUBSTITUTE(M$3,"Q","T"),Inputs!$B$2:$AZ$2,0)),Inputs!$B$2:$B$190,$B194)*Inputs!$D$1)</f>
        <v>0</v>
      </c>
      <c r="N194" s="58">
        <f>SUM(J194:M194)</f>
        <v>0</v>
      </c>
      <c r="O194" s="57">
        <f>IF(ISNA(SUMIFS(INDEX(Inputs!$B$2:$AZ$190,,MATCH(SUBSTITUTE(O$3,"Q","T"),Inputs!$B$2:$AZ$2,0)),Inputs!$B$2:$B$190,$B194)*Inputs!$D$1),"",SUMIFS(INDEX(Inputs!$B$2:$AZ$190,,MATCH(SUBSTITUTE(O$3,"Q","T"),Inputs!$B$2:$AZ$2,0)),Inputs!$B$2:$B$190,$B194)*Inputs!$D$1)</f>
        <v>0</v>
      </c>
      <c r="P194" s="57">
        <f>IF(ISNA(SUMIFS(INDEX(Inputs!$B$2:$AZ$190,,MATCH(SUBSTITUTE(P$3,"Q","T"),Inputs!$B$2:$AZ$2,0)),Inputs!$B$2:$B$190,$B194)*Inputs!$D$1),"",SUMIFS(INDEX(Inputs!$B$2:$AZ$190,,MATCH(SUBSTITUTE(P$3,"Q","T"),Inputs!$B$2:$AZ$2,0)),Inputs!$B$2:$B$190,$B194)*Inputs!$D$1)</f>
        <v>0</v>
      </c>
      <c r="Q194" s="57">
        <f>IF(ISNA(SUMIFS(INDEX(Inputs!$B$2:$AZ$190,,MATCH(SUBSTITUTE(Q$3,"Q","T"),Inputs!$B$2:$AZ$2,0)),Inputs!$B$2:$B$190,$B194)*Inputs!$D$1),"",SUMIFS(INDEX(Inputs!$B$2:$AZ$190,,MATCH(SUBSTITUTE(Q$3,"Q","T"),Inputs!$B$2:$AZ$2,0)),Inputs!$B$2:$B$190,$B194)*Inputs!$D$1)</f>
        <v>0</v>
      </c>
      <c r="R194" s="57">
        <f>IF(ISNA(SUMIFS(INDEX(Inputs!$B$2:$AZ$190,,MATCH(SUBSTITUTE(R$3,"Q","T"),Inputs!$B$2:$AZ$2,0)),Inputs!$B$2:$B$190,$B194)*Inputs!$D$1),"",SUMIFS(INDEX(Inputs!$B$2:$AZ$190,,MATCH(SUBSTITUTE(R$3,"Q","T"),Inputs!$B$2:$AZ$2,0)),Inputs!$B$2:$B$190,$B194)*Inputs!$D$1)</f>
        <v>0</v>
      </c>
      <c r="S194" s="58">
        <f>SUM(O194:R194)</f>
        <v>0</v>
      </c>
      <c r="T194" s="57">
        <f>IF(ISNA(SUMIFS(INDEX(Inputs!$B$2:$AZ$190,,MATCH(SUBSTITUTE(T$3,"Q","T"),Inputs!$B$2:$AZ$2,0)),Inputs!$B$2:$B$190,$B194)*Inputs!$D$1),"",SUMIFS(INDEX(Inputs!$B$2:$AZ$190,,MATCH(SUBSTITUTE(T$3,"Q","T"),Inputs!$B$2:$AZ$2,0)),Inputs!$B$2:$B$190,$B194)*Inputs!$D$1)</f>
        <v>0</v>
      </c>
      <c r="U194" s="57">
        <f>IF(ISNA(SUMIFS(INDEX(Inputs!$B$2:$AZ$190,,MATCH(SUBSTITUTE(U$3,"Q","T"),Inputs!$B$2:$AZ$2,0)),Inputs!$B$2:$B$190,$B194)*Inputs!$D$1),"",SUMIFS(INDEX(Inputs!$B$2:$AZ$190,,MATCH(SUBSTITUTE(U$3,"Q","T"),Inputs!$B$2:$AZ$2,0)),Inputs!$B$2:$B$190,$B194)*Inputs!$D$1)</f>
        <v>0</v>
      </c>
      <c r="V194" s="57">
        <f>IF(ISNA(SUMIFS(INDEX(Inputs!$B$2:$AZ$190,,MATCH(SUBSTITUTE(V$3,"Q","T"),Inputs!$B$2:$AZ$2,0)),Inputs!$B$2:$B$190,$B194)*Inputs!$D$1),"",SUMIFS(INDEX(Inputs!$B$2:$AZ$190,,MATCH(SUBSTITUTE(V$3,"Q","T"),Inputs!$B$2:$AZ$2,0)),Inputs!$B$2:$B$190,$B194)*Inputs!$D$1)</f>
        <v>0</v>
      </c>
      <c r="W194" s="57">
        <f>IF(ISNA(SUMIFS(INDEX(Inputs!$B$2:$AZ$190,,MATCH(SUBSTITUTE(W$3,"Q","T"),Inputs!$B$2:$AZ$2,0)),Inputs!$B$2:$B$190,$B194)*Inputs!$D$1),"",SUMIFS(INDEX(Inputs!$B$2:$AZ$190,,MATCH(SUBSTITUTE(W$3,"Q","T"),Inputs!$B$2:$AZ$2,0)),Inputs!$B$2:$B$190,$B194)*Inputs!$D$1)</f>
        <v>0</v>
      </c>
      <c r="X194" s="58">
        <f>SUM(T194:W194)</f>
        <v>0</v>
      </c>
      <c r="Y194" s="57">
        <f>IF(ISNA(SUMIFS(INDEX(Inputs!$B$2:$AZ$190,,MATCH(SUBSTITUTE(Y$3,"Q","T"),Inputs!$B$2:$AZ$2,0)),Inputs!$B$2:$B$190,$B194)*Inputs!$D$1),"",SUMIFS(INDEX(Inputs!$B$2:$AZ$190,,MATCH(SUBSTITUTE(Y$3,"Q","T"),Inputs!$B$2:$AZ$2,0)),Inputs!$B$2:$B$190,$B194)*Inputs!$D$1)</f>
        <v>0</v>
      </c>
      <c r="Z194" s="57">
        <f>IF(ISNA(SUMIFS(INDEX(Inputs!$B$2:$AZ$190,,MATCH(SUBSTITUTE(Z$3,"Q","T"),Inputs!$B$2:$AZ$2,0)),Inputs!$B$2:$B$190,$B194)*Inputs!$D$1),"",SUMIFS(INDEX(Inputs!$B$2:$AZ$190,,MATCH(SUBSTITUTE(Z$3,"Q","T"),Inputs!$B$2:$AZ$2,0)),Inputs!$B$2:$B$190,$B194)*Inputs!$D$1)</f>
        <v>0</v>
      </c>
      <c r="AA194" s="57">
        <f>IF(ISNA(SUMIFS(INDEX(Inputs!$B$2:$AZ$190,,MATCH(SUBSTITUTE(AA$3,"Q","T"),Inputs!$B$2:$AZ$2,0)),Inputs!$B$2:$B$190,$B194)*Inputs!$D$1),"",SUMIFS(INDEX(Inputs!$B$2:$AZ$190,,MATCH(SUBSTITUTE(AA$3,"Q","T"),Inputs!$B$2:$AZ$2,0)),Inputs!$B$2:$B$190,$B194)*Inputs!$D$1)</f>
        <v>0</v>
      </c>
      <c r="AB194" s="57">
        <f>IF(ISNA(SUMIFS(INDEX(Inputs!$B$2:$AZ$190,,MATCH(SUBSTITUTE(AB$3,"Q","T"),Inputs!$B$2:$AZ$2,0)),Inputs!$B$2:$B$190,$B194)*Inputs!$D$1),"",SUMIFS(INDEX(Inputs!$B$2:$AZ$190,,MATCH(SUBSTITUTE(AB$3,"Q","T"),Inputs!$B$2:$AZ$2,0)),Inputs!$B$2:$B$190,$B194)*Inputs!$D$1)</f>
        <v>0</v>
      </c>
      <c r="AC194" s="58">
        <f>SUM(Y194:AB194)</f>
        <v>0</v>
      </c>
      <c r="AD194" s="57">
        <f>IF(ISNA(SUMIFS(INDEX(Inputs!$B$2:$AZ$190,,MATCH(SUBSTITUTE(AD$3,"Q","T"),Inputs!$B$2:$AZ$2,0)),Inputs!$B$2:$B$190,$B194)*Inputs!$D$1),"",SUMIFS(INDEX(Inputs!$B$2:$AZ$190,,MATCH(SUBSTITUTE(AD$3,"Q","T"),Inputs!$B$2:$AZ$2,0)),Inputs!$B$2:$B$190,$B194)*Inputs!$D$1)</f>
        <v>0</v>
      </c>
      <c r="AE194" s="57">
        <f>IF(ISNA(SUMIFS(INDEX(Inputs!$B$2:$AZ$190,,MATCH(SUBSTITUTE(AE$3,"Q","T"),Inputs!$B$2:$AZ$2,0)),Inputs!$B$2:$B$190,$B194)*Inputs!$D$1),"",SUMIFS(INDEX(Inputs!$B$2:$AZ$190,,MATCH(SUBSTITUTE(AE$3,"Q","T"),Inputs!$B$2:$AZ$2,0)),Inputs!$B$2:$B$190,$B194)*Inputs!$D$1)</f>
        <v>0</v>
      </c>
      <c r="AF194" s="57">
        <f>IF(ISNA(SUMIFS(INDEX(Inputs!$B$2:$AZ$190,,MATCH(SUBSTITUTE(AF$3,"Q","T"),Inputs!$B$2:$AZ$2,0)),Inputs!$B$2:$B$190,$B194)*Inputs!$D$1),"",SUMIFS(INDEX(Inputs!$B$2:$AZ$190,,MATCH(SUBSTITUTE(AF$3,"Q","T"),Inputs!$B$2:$AZ$2,0)),Inputs!$B$2:$B$190,$B194)*Inputs!$D$1)</f>
        <v>0</v>
      </c>
      <c r="AG194" s="57">
        <f>IF(ISNA(SUMIFS(INDEX(Inputs!$B$2:$AZ$190,,MATCH(SUBSTITUTE(AG$3,"Q","T"),Inputs!$B$2:$AZ$2,0)),Inputs!$B$2:$B$190,$B194)*Inputs!$D$1),"",SUMIFS(INDEX(Inputs!$B$2:$AZ$190,,MATCH(SUBSTITUTE(AG$3,"Q","T"),Inputs!$B$2:$AZ$2,0)),Inputs!$B$2:$B$190,$B194)*Inputs!$D$1)</f>
        <v>0</v>
      </c>
      <c r="AH194" s="58">
        <f>SUM(AD194:AG194)</f>
        <v>0</v>
      </c>
      <c r="AI194" s="57">
        <f>IF(ISNA(SUMIFS(INDEX(Inputs!$B$2:$AZ$190,,MATCH(SUBSTITUTE(AI$3,"Q","T"),Inputs!$B$2:$AZ$2,0)),Inputs!$B$2:$B$190,$B194)*Inputs!$D$1),"",SUMIFS(INDEX(Inputs!$B$2:$AZ$190,,MATCH(SUBSTITUTE(AI$3,"Q","T"),Inputs!$B$2:$AZ$2,0)),Inputs!$B$2:$B$190,$B194)*Inputs!$D$1)</f>
        <v>0</v>
      </c>
      <c r="AJ194" s="57">
        <f>IF(ISNA(SUMIFS(INDEX(Inputs!$B$2:$AZ$190,,MATCH(SUBSTITUTE(AJ$3,"Q","T"),Inputs!$B$2:$AZ$2,0)),Inputs!$B$2:$B$190,$B194)*Inputs!$D$1),"",SUMIFS(INDEX(Inputs!$B$2:$AZ$190,,MATCH(SUBSTITUTE(AJ$3,"Q","T"),Inputs!$B$2:$AZ$2,0)),Inputs!$B$2:$B$190,$B194)*Inputs!$D$1)</f>
        <v>0</v>
      </c>
      <c r="AK194" s="57">
        <f>IF(ISNA(SUMIFS(INDEX(Inputs!$B$2:$AZ$190,,MATCH(SUBSTITUTE(AK$3,"Q","T"),Inputs!$B$2:$AZ$2,0)),Inputs!$B$2:$B$190,$B194)*Inputs!$D$1),"",SUMIFS(INDEX(Inputs!$B$2:$AZ$190,,MATCH(SUBSTITUTE(AK$3,"Q","T"),Inputs!$B$2:$AZ$2,0)),Inputs!$B$2:$B$190,$B194)*Inputs!$D$1)</f>
        <v>0</v>
      </c>
      <c r="AL194" s="57">
        <f>IF(ISNA(SUMIFS(INDEX(Inputs!$B$2:$AZ$190,,MATCH(SUBSTITUTE(AL$3,"Q","T"),Inputs!$B$2:$AZ$2,0)),Inputs!$B$2:$B$190,$B194)*Inputs!$D$1),"",SUMIFS(INDEX(Inputs!$B$2:$AZ$190,,MATCH(SUBSTITUTE(AL$3,"Q","T"),Inputs!$B$2:$AZ$2,0)),Inputs!$B$2:$B$190,$B194)*Inputs!$D$1)</f>
        <v>0</v>
      </c>
      <c r="AM194" s="58">
        <f>SUM(AI194:AL194)</f>
        <v>0</v>
      </c>
      <c r="AN194" s="57">
        <f>IF(ISNA(SUMIFS(INDEX(Inputs!$B$2:$AZ$190,,MATCH(SUBSTITUTE(AN$3,"Q","T"),Inputs!$B$2:$AZ$2,0)),Inputs!$B$2:$B$190,$B194)*Inputs!$D$1),"",SUMIFS(INDEX(Inputs!$B$2:$AZ$190,,MATCH(SUBSTITUTE(AN$3,"Q","T"),Inputs!$B$2:$AZ$2,0)),Inputs!$B$2:$B$190,$B194)*Inputs!$D$1)</f>
        <v>0</v>
      </c>
      <c r="AO194" s="57">
        <f>IF(ISNA(SUMIFS(INDEX(Inputs!$B$2:$AZ$190,,MATCH(SUBSTITUTE(AO$3,"Q","T"),Inputs!$B$2:$AZ$2,0)),Inputs!$B$2:$B$190,$B194)*Inputs!$D$1),"",SUMIFS(INDEX(Inputs!$B$2:$AZ$190,,MATCH(SUBSTITUTE(AO$3,"Q","T"),Inputs!$B$2:$AZ$2,0)),Inputs!$B$2:$B$190,$B194)*Inputs!$D$1)</f>
        <v>0</v>
      </c>
      <c r="AP194" s="57">
        <f>IF(ISNA(SUMIFS(INDEX(Inputs!$B$2:$AZ$190,,MATCH(SUBSTITUTE(AP$3,"Q","T"),Inputs!$B$2:$AZ$2,0)),Inputs!$B$2:$B$190,$B194)*Inputs!$D$1),"",SUMIFS(INDEX(Inputs!$B$2:$AZ$190,,MATCH(SUBSTITUTE(AP$3,"Q","T"),Inputs!$B$2:$AZ$2,0)),Inputs!$B$2:$B$190,$B194)*Inputs!$D$1)</f>
        <v>0</v>
      </c>
      <c r="AQ194" s="57">
        <f>IF(ISNA(SUMIFS(INDEX(Inputs!$B$2:$AZ$190,,MATCH(SUBSTITUTE(AQ$3,"Q","T"),Inputs!$B$2:$AZ$2,0)),Inputs!$B$2:$B$190,$B194)*Inputs!$D$1),"",SUMIFS(INDEX(Inputs!$B$2:$AZ$190,,MATCH(SUBSTITUTE(AQ$3,"Q","T"),Inputs!$B$2:$AZ$2,0)),Inputs!$B$2:$B$190,$B194)*Inputs!$D$1)</f>
        <v>0</v>
      </c>
      <c r="AR194" s="58">
        <f>SUM(AN194:AQ194)</f>
        <v>0</v>
      </c>
      <c r="AS194" s="57">
        <f>IF(ISNA(SUMIFS(INDEX(Inputs!$B$2:$AZ$190,,MATCH(SUBSTITUTE(AS$3,"Q","T"),Inputs!$B$2:$AZ$2,0)),Inputs!$B$2:$B$190,$B194)*Inputs!$D$1),"",SUMIFS(INDEX(Inputs!$B$2:$AZ$190,,MATCH(SUBSTITUTE(AS$3,"Q","T"),Inputs!$B$2:$AZ$2,0)),Inputs!$B$2:$B$190,$B194)*Inputs!$D$1)</f>
        <v>0</v>
      </c>
      <c r="AT194" s="57">
        <f>IF(ISNA(SUMIFS(INDEX(Inputs!$B$2:$AZ$190,,MATCH(SUBSTITUTE(AT$3,"Q","T"),Inputs!$B$2:$AZ$2,0)),Inputs!$B$2:$B$190,$B194)*Inputs!$D$1),"",SUMIFS(INDEX(Inputs!$B$2:$AZ$190,,MATCH(SUBSTITUTE(AT$3,"Q","T"),Inputs!$B$2:$AZ$2,0)),Inputs!$B$2:$B$190,$B194)*Inputs!$D$1)</f>
        <v>0</v>
      </c>
      <c r="AU194" s="57">
        <f>IF(ISNA(SUMIFS(INDEX(Inputs!$B$2:$AZ$190,,MATCH(SUBSTITUTE(AU$3,"Q","T"),Inputs!$B$2:$AZ$2,0)),Inputs!$B$2:$B$190,$B194)*Inputs!$D$1),"",SUMIFS(INDEX(Inputs!$B$2:$AZ$190,,MATCH(SUBSTITUTE(AU$3,"Q","T"),Inputs!$B$2:$AZ$2,0)),Inputs!$B$2:$B$190,$B194)*Inputs!$D$1)</f>
        <v>0</v>
      </c>
      <c r="AV194" s="57">
        <f>IF(ISNA(SUMIFS(INDEX(Inputs!$B$2:$AZ$190,,MATCH(SUBSTITUTE(AV$3,"Q","T"),Inputs!$B$2:$AZ$2,0)),Inputs!$B$2:$B$190,$B194)*Inputs!$D$1),"",SUMIFS(INDEX(Inputs!$B$2:$AZ$190,,MATCH(SUBSTITUTE(AV$3,"Q","T"),Inputs!$B$2:$AZ$2,0)),Inputs!$B$2:$B$190,$B194)*Inputs!$D$1)</f>
        <v>0</v>
      </c>
      <c r="AW194" s="58">
        <f>SUM(AS194:AV194)</f>
        <v>0</v>
      </c>
      <c r="AX194" s="57">
        <f>IF(ISNA(SUMIFS(INDEX(Inputs!$B$2:$AZ$190,,MATCH(SUBSTITUTE(AX$3,"Q","T"),Inputs!$B$2:$AZ$2,0)),Inputs!$B$2:$B$190,$B194)*Inputs!$D$1),"",SUMIFS(INDEX(Inputs!$B$2:$AZ$190,,MATCH(SUBSTITUTE(AX$3,"Q","T"),Inputs!$B$2:$AZ$2,0)),Inputs!$B$2:$B$190,$B194)*Inputs!$D$1)</f>
        <v>0</v>
      </c>
      <c r="AY194" s="57">
        <f>IF(ISNA(SUMIFS(INDEX(Inputs!$B$2:$AZ$190,,MATCH(SUBSTITUTE(AY$3,"Q","T"),Inputs!$B$2:$AZ$2,0)),Inputs!$B$2:$B$190,$B194)*Inputs!$D$1),"",SUMIFS(INDEX(Inputs!$B$2:$AZ$190,,MATCH(SUBSTITUTE(AY$3,"Q","T"),Inputs!$B$2:$AZ$2,0)),Inputs!$B$2:$B$190,$B194)*Inputs!$D$1)</f>
        <v>0</v>
      </c>
      <c r="AZ194" s="57">
        <f>IF(ISNA(SUMIFS(INDEX(Inputs!$B$2:$AZ$190,,MATCH(SUBSTITUTE(AZ$3,"Q","T"),Inputs!$B$2:$AZ$2,0)),Inputs!$B$2:$B$190,$B194)*Inputs!$D$1),"",SUMIFS(INDEX(Inputs!$B$2:$AZ$190,,MATCH(SUBSTITUTE(AZ$3,"Q","T"),Inputs!$B$2:$AZ$2,0)),Inputs!$B$2:$B$190,$B194)*Inputs!$D$1)</f>
        <v>0</v>
      </c>
      <c r="BA194" s="57">
        <f>IF(ISNA(SUMIFS(INDEX(Inputs!$B$2:$AZ$190,,MATCH(SUBSTITUTE(BA$3,"Q","T"),Inputs!$B$2:$AZ$2,0)),Inputs!$B$2:$B$190,$B194)*Inputs!$D$1),"",SUMIFS(INDEX(Inputs!$B$2:$AZ$190,,MATCH(SUBSTITUTE(BA$3,"Q","T"),Inputs!$B$2:$AZ$2,0)),Inputs!$B$2:$B$190,$B194)*Inputs!$D$1)</f>
        <v>0</v>
      </c>
      <c r="BB194" s="58">
        <f>SUM(AX194:BA194)</f>
        <v>0</v>
      </c>
      <c r="BC194" s="57">
        <f>IF(ISNA(SUMIFS(INDEX(Inputs!$B$2:$AZ$190,,MATCH(SUBSTITUTE(BC$3,"Q","T"),Inputs!$B$2:$AZ$2,0)),Inputs!$B$2:$B$190,$B194)*Inputs!$D$1),"",SUMIFS(INDEX(Inputs!$B$2:$AZ$190,,MATCH(SUBSTITUTE(BC$3,"Q","T"),Inputs!$B$2:$AZ$2,0)),Inputs!$B$2:$B$190,$B194)*Inputs!$D$1)</f>
        <v>0</v>
      </c>
      <c r="BD194" s="57">
        <f>IF(ISNA(SUMIFS(INDEX(Inputs!$B$2:$AZ$190,,MATCH(SUBSTITUTE(BD$3,"Q","T"),Inputs!$B$2:$AZ$2,0)),Inputs!$B$2:$B$190,$B194)*Inputs!$D$1),"",SUMIFS(INDEX(Inputs!$B$2:$AZ$190,,MATCH(SUBSTITUTE(BD$3,"Q","T"),Inputs!$B$2:$AZ$2,0)),Inputs!$B$2:$B$190,$B194)*Inputs!$D$1)</f>
        <v>0</v>
      </c>
      <c r="BE194" s="57">
        <f>IF(ISNA(SUMIFS(INDEX(Inputs!$B$2:$AZ$190,,MATCH(SUBSTITUTE(BE$3,"Q","T"),Inputs!$B$2:$AZ$2,0)),Inputs!$B$2:$B$190,$B194)*Inputs!$D$1),"",SUMIFS(INDEX(Inputs!$B$2:$AZ$190,,MATCH(SUBSTITUTE(BE$3,"Q","T"),Inputs!$B$2:$AZ$2,0)),Inputs!$B$2:$B$190,$B194)*Inputs!$D$1)</f>
        <v>0</v>
      </c>
      <c r="BF194" s="57">
        <f>IF(ISNA(SUMIFS(INDEX(Inputs!$B$2:$AZ$190,,MATCH(SUBSTITUTE(BF$3,"Q","T"),Inputs!$B$2:$AZ$2,0)),Inputs!$B$2:$B$190,$B194)*Inputs!$D$1),"",SUMIFS(INDEX(Inputs!$B$2:$AZ$190,,MATCH(SUBSTITUTE(BF$3,"Q","T"),Inputs!$B$2:$AZ$2,0)),Inputs!$B$2:$B$190,$B194)*Inputs!$D$1)</f>
        <v>0</v>
      </c>
      <c r="BG194" s="58">
        <f>SUM(BC194:BF194)</f>
        <v>0</v>
      </c>
    </row>
    <row r="195" hidden="1" outlineLevel="1">
      <c r="B195" s="56" t="inlineStr">
        <is>
          <t>adm_da</t>
        </is>
      </c>
      <c r="C195" s="11" t="inlineStr">
        <is>
          <t>(Depreciação e amortização, quando à parte)</t>
        </is>
      </c>
      <c r="D195" s="12" t="inlineStr">
        <is>
          <t>(Depreciation and amortization, if separate)</t>
        </is>
      </c>
      <c r="E195" s="57">
        <f>IF(ISNA(SUMIFS(INDEX(Inputs!$B$2:$AZ$190,,MATCH(SUBSTITUTE(E$3,"Q","T"),Inputs!$B$2:$AZ$2,0)),Inputs!$B$2:$B$190,$B195)*Inputs!$D$1),"",SUMIFS(INDEX(Inputs!$B$2:$AZ$190,,MATCH(SUBSTITUTE(E$3,"Q","T"),Inputs!$B$2:$AZ$2,0)),Inputs!$B$2:$B$190,$B195)*Inputs!$D$1)</f>
        <v>0</v>
      </c>
      <c r="F195" s="57">
        <f>IF(ISNA(SUMIFS(INDEX(Inputs!$B$2:$AZ$190,,MATCH(SUBSTITUTE(F$3,"Q","T"),Inputs!$B$2:$AZ$2,0)),Inputs!$B$2:$B$190,$B195)*Inputs!$D$1),"",SUMIFS(INDEX(Inputs!$B$2:$AZ$190,,MATCH(SUBSTITUTE(F$3,"Q","T"),Inputs!$B$2:$AZ$2,0)),Inputs!$B$2:$B$190,$B195)*Inputs!$D$1)</f>
        <v>0</v>
      </c>
      <c r="G195" s="57">
        <f>IF(ISNA(SUMIFS(INDEX(Inputs!$B$2:$AZ$190,,MATCH(SUBSTITUTE(G$3,"Q","T"),Inputs!$B$2:$AZ$2,0)),Inputs!$B$2:$B$190,$B195)*Inputs!$D$1),"",SUMIFS(INDEX(Inputs!$B$2:$AZ$190,,MATCH(SUBSTITUTE(G$3,"Q","T"),Inputs!$B$2:$AZ$2,0)),Inputs!$B$2:$B$190,$B195)*Inputs!$D$1)</f>
        <v>0</v>
      </c>
      <c r="H195" s="57">
        <f>IF(ISNA(SUMIFS(INDEX(Inputs!$B$2:$AZ$190,,MATCH(SUBSTITUTE(H$3,"Q","T"),Inputs!$B$2:$AZ$2,0)),Inputs!$B$2:$B$190,$B195)*Inputs!$D$1),"",SUMIFS(INDEX(Inputs!$B$2:$AZ$190,,MATCH(SUBSTITUTE(H$3,"Q","T"),Inputs!$B$2:$AZ$2,0)),Inputs!$B$2:$B$190,$B195)*Inputs!$D$1)</f>
        <v>0</v>
      </c>
      <c r="I195" s="58">
        <f>SUM(E195:H195)</f>
        <v>0</v>
      </c>
      <c r="J195" s="57">
        <f>IF(ISNA(SUMIFS(INDEX(Inputs!$B$2:$AZ$190,,MATCH(SUBSTITUTE(J$3,"Q","T"),Inputs!$B$2:$AZ$2,0)),Inputs!$B$2:$B$190,$B195)*Inputs!$D$1),"",SUMIFS(INDEX(Inputs!$B$2:$AZ$190,,MATCH(SUBSTITUTE(J$3,"Q","T"),Inputs!$B$2:$AZ$2,0)),Inputs!$B$2:$B$190,$B195)*Inputs!$D$1)</f>
        <v>0</v>
      </c>
      <c r="K195" s="57">
        <f>IF(ISNA(SUMIFS(INDEX(Inputs!$B$2:$AZ$190,,MATCH(SUBSTITUTE(K$3,"Q","T"),Inputs!$B$2:$AZ$2,0)),Inputs!$B$2:$B$190,$B195)*Inputs!$D$1),"",SUMIFS(INDEX(Inputs!$B$2:$AZ$190,,MATCH(SUBSTITUTE(K$3,"Q","T"),Inputs!$B$2:$AZ$2,0)),Inputs!$B$2:$B$190,$B195)*Inputs!$D$1)</f>
        <v>0</v>
      </c>
      <c r="L195" s="57">
        <f>IF(ISNA(SUMIFS(INDEX(Inputs!$B$2:$AZ$190,,MATCH(SUBSTITUTE(L$3,"Q","T"),Inputs!$B$2:$AZ$2,0)),Inputs!$B$2:$B$190,$B195)*Inputs!$D$1),"",SUMIFS(INDEX(Inputs!$B$2:$AZ$190,,MATCH(SUBSTITUTE(L$3,"Q","T"),Inputs!$B$2:$AZ$2,0)),Inputs!$B$2:$B$190,$B195)*Inputs!$D$1)</f>
        <v>0</v>
      </c>
      <c r="M195" s="57">
        <f>IF(ISNA(SUMIFS(INDEX(Inputs!$B$2:$AZ$190,,MATCH(SUBSTITUTE(M$3,"Q","T"),Inputs!$B$2:$AZ$2,0)),Inputs!$B$2:$B$190,$B195)*Inputs!$D$1),"",SUMIFS(INDEX(Inputs!$B$2:$AZ$190,,MATCH(SUBSTITUTE(M$3,"Q","T"),Inputs!$B$2:$AZ$2,0)),Inputs!$B$2:$B$190,$B195)*Inputs!$D$1)</f>
        <v>0</v>
      </c>
      <c r="N195" s="58">
        <f>SUM(J195:M195)</f>
        <v>0</v>
      </c>
      <c r="O195" s="57">
        <f>IF(ISNA(SUMIFS(INDEX(Inputs!$B$2:$AZ$190,,MATCH(SUBSTITUTE(O$3,"Q","T"),Inputs!$B$2:$AZ$2,0)),Inputs!$B$2:$B$190,$B195)*Inputs!$D$1),"",SUMIFS(INDEX(Inputs!$B$2:$AZ$190,,MATCH(SUBSTITUTE(O$3,"Q","T"),Inputs!$B$2:$AZ$2,0)),Inputs!$B$2:$B$190,$B195)*Inputs!$D$1)</f>
        <v>0</v>
      </c>
      <c r="P195" s="57">
        <f>IF(ISNA(SUMIFS(INDEX(Inputs!$B$2:$AZ$190,,MATCH(SUBSTITUTE(P$3,"Q","T"),Inputs!$B$2:$AZ$2,0)),Inputs!$B$2:$B$190,$B195)*Inputs!$D$1),"",SUMIFS(INDEX(Inputs!$B$2:$AZ$190,,MATCH(SUBSTITUTE(P$3,"Q","T"),Inputs!$B$2:$AZ$2,0)),Inputs!$B$2:$B$190,$B195)*Inputs!$D$1)</f>
        <v>0</v>
      </c>
      <c r="Q195" s="57">
        <f>IF(ISNA(SUMIFS(INDEX(Inputs!$B$2:$AZ$190,,MATCH(SUBSTITUTE(Q$3,"Q","T"),Inputs!$B$2:$AZ$2,0)),Inputs!$B$2:$B$190,$B195)*Inputs!$D$1),"",SUMIFS(INDEX(Inputs!$B$2:$AZ$190,,MATCH(SUBSTITUTE(Q$3,"Q","T"),Inputs!$B$2:$AZ$2,0)),Inputs!$B$2:$B$190,$B195)*Inputs!$D$1)</f>
        <v>0</v>
      </c>
      <c r="R195" s="57">
        <f>IF(ISNA(SUMIFS(INDEX(Inputs!$B$2:$AZ$190,,MATCH(SUBSTITUTE(R$3,"Q","T"),Inputs!$B$2:$AZ$2,0)),Inputs!$B$2:$B$190,$B195)*Inputs!$D$1),"",SUMIFS(INDEX(Inputs!$B$2:$AZ$190,,MATCH(SUBSTITUTE(R$3,"Q","T"),Inputs!$B$2:$AZ$2,0)),Inputs!$B$2:$B$190,$B195)*Inputs!$D$1)</f>
        <v>0</v>
      </c>
      <c r="S195" s="58">
        <f>SUM(O195:R195)</f>
        <v>0</v>
      </c>
      <c r="T195" s="57">
        <f>IF(ISNA(SUMIFS(INDEX(Inputs!$B$2:$AZ$190,,MATCH(SUBSTITUTE(T$3,"Q","T"),Inputs!$B$2:$AZ$2,0)),Inputs!$B$2:$B$190,$B195)*Inputs!$D$1),"",SUMIFS(INDEX(Inputs!$B$2:$AZ$190,,MATCH(SUBSTITUTE(T$3,"Q","T"),Inputs!$B$2:$AZ$2,0)),Inputs!$B$2:$B$190,$B195)*Inputs!$D$1)</f>
        <v>0</v>
      </c>
      <c r="U195" s="57">
        <f>IF(ISNA(SUMIFS(INDEX(Inputs!$B$2:$AZ$190,,MATCH(SUBSTITUTE(U$3,"Q","T"),Inputs!$B$2:$AZ$2,0)),Inputs!$B$2:$B$190,$B195)*Inputs!$D$1),"",SUMIFS(INDEX(Inputs!$B$2:$AZ$190,,MATCH(SUBSTITUTE(U$3,"Q","T"),Inputs!$B$2:$AZ$2,0)),Inputs!$B$2:$B$190,$B195)*Inputs!$D$1)</f>
        <v>0</v>
      </c>
      <c r="V195" s="57">
        <f>IF(ISNA(SUMIFS(INDEX(Inputs!$B$2:$AZ$190,,MATCH(SUBSTITUTE(V$3,"Q","T"),Inputs!$B$2:$AZ$2,0)),Inputs!$B$2:$B$190,$B195)*Inputs!$D$1),"",SUMIFS(INDEX(Inputs!$B$2:$AZ$190,,MATCH(SUBSTITUTE(V$3,"Q","T"),Inputs!$B$2:$AZ$2,0)),Inputs!$B$2:$B$190,$B195)*Inputs!$D$1)</f>
        <v>0</v>
      </c>
      <c r="W195" s="57">
        <f>IF(ISNA(SUMIFS(INDEX(Inputs!$B$2:$AZ$190,,MATCH(SUBSTITUTE(W$3,"Q","T"),Inputs!$B$2:$AZ$2,0)),Inputs!$B$2:$B$190,$B195)*Inputs!$D$1),"",SUMIFS(INDEX(Inputs!$B$2:$AZ$190,,MATCH(SUBSTITUTE(W$3,"Q","T"),Inputs!$B$2:$AZ$2,0)),Inputs!$B$2:$B$190,$B195)*Inputs!$D$1)</f>
        <v>0</v>
      </c>
      <c r="X195" s="58">
        <f>SUM(T195:W195)</f>
        <v>0</v>
      </c>
      <c r="Y195" s="57">
        <f>IF(ISNA(SUMIFS(INDEX(Inputs!$B$2:$AZ$190,,MATCH(SUBSTITUTE(Y$3,"Q","T"),Inputs!$B$2:$AZ$2,0)),Inputs!$B$2:$B$190,$B195)*Inputs!$D$1),"",SUMIFS(INDEX(Inputs!$B$2:$AZ$190,,MATCH(SUBSTITUTE(Y$3,"Q","T"),Inputs!$B$2:$AZ$2,0)),Inputs!$B$2:$B$190,$B195)*Inputs!$D$1)</f>
        <v>0</v>
      </c>
      <c r="Z195" s="57">
        <f>IF(ISNA(SUMIFS(INDEX(Inputs!$B$2:$AZ$190,,MATCH(SUBSTITUTE(Z$3,"Q","T"),Inputs!$B$2:$AZ$2,0)),Inputs!$B$2:$B$190,$B195)*Inputs!$D$1),"",SUMIFS(INDEX(Inputs!$B$2:$AZ$190,,MATCH(SUBSTITUTE(Z$3,"Q","T"),Inputs!$B$2:$AZ$2,0)),Inputs!$B$2:$B$190,$B195)*Inputs!$D$1)</f>
        <v>0</v>
      </c>
      <c r="AA195" s="57">
        <f>IF(ISNA(SUMIFS(INDEX(Inputs!$B$2:$AZ$190,,MATCH(SUBSTITUTE(AA$3,"Q","T"),Inputs!$B$2:$AZ$2,0)),Inputs!$B$2:$B$190,$B195)*Inputs!$D$1),"",SUMIFS(INDEX(Inputs!$B$2:$AZ$190,,MATCH(SUBSTITUTE(AA$3,"Q","T"),Inputs!$B$2:$AZ$2,0)),Inputs!$B$2:$B$190,$B195)*Inputs!$D$1)</f>
        <v>0</v>
      </c>
      <c r="AB195" s="57">
        <f>IF(ISNA(SUMIFS(INDEX(Inputs!$B$2:$AZ$190,,MATCH(SUBSTITUTE(AB$3,"Q","T"),Inputs!$B$2:$AZ$2,0)),Inputs!$B$2:$B$190,$B195)*Inputs!$D$1),"",SUMIFS(INDEX(Inputs!$B$2:$AZ$190,,MATCH(SUBSTITUTE(AB$3,"Q","T"),Inputs!$B$2:$AZ$2,0)),Inputs!$B$2:$B$190,$B195)*Inputs!$D$1)</f>
        <v>0</v>
      </c>
      <c r="AC195" s="58">
        <f>SUM(Y195:AB195)</f>
        <v>0</v>
      </c>
      <c r="AD195" s="57">
        <f>IF(ISNA(SUMIFS(INDEX(Inputs!$B$2:$AZ$190,,MATCH(SUBSTITUTE(AD$3,"Q","T"),Inputs!$B$2:$AZ$2,0)),Inputs!$B$2:$B$190,$B195)*Inputs!$D$1),"",SUMIFS(INDEX(Inputs!$B$2:$AZ$190,,MATCH(SUBSTITUTE(AD$3,"Q","T"),Inputs!$B$2:$AZ$2,0)),Inputs!$B$2:$B$190,$B195)*Inputs!$D$1)</f>
        <v>0</v>
      </c>
      <c r="AE195" s="57">
        <f>IF(ISNA(SUMIFS(INDEX(Inputs!$B$2:$AZ$190,,MATCH(SUBSTITUTE(AE$3,"Q","T"),Inputs!$B$2:$AZ$2,0)),Inputs!$B$2:$B$190,$B195)*Inputs!$D$1),"",SUMIFS(INDEX(Inputs!$B$2:$AZ$190,,MATCH(SUBSTITUTE(AE$3,"Q","T"),Inputs!$B$2:$AZ$2,0)),Inputs!$B$2:$B$190,$B195)*Inputs!$D$1)</f>
        <v>0</v>
      </c>
      <c r="AF195" s="57">
        <f>IF(ISNA(SUMIFS(INDEX(Inputs!$B$2:$AZ$190,,MATCH(SUBSTITUTE(AF$3,"Q","T"),Inputs!$B$2:$AZ$2,0)),Inputs!$B$2:$B$190,$B195)*Inputs!$D$1),"",SUMIFS(INDEX(Inputs!$B$2:$AZ$190,,MATCH(SUBSTITUTE(AF$3,"Q","T"),Inputs!$B$2:$AZ$2,0)),Inputs!$B$2:$B$190,$B195)*Inputs!$D$1)</f>
        <v>0</v>
      </c>
      <c r="AG195" s="57">
        <f>IF(ISNA(SUMIFS(INDEX(Inputs!$B$2:$AZ$190,,MATCH(SUBSTITUTE(AG$3,"Q","T"),Inputs!$B$2:$AZ$2,0)),Inputs!$B$2:$B$190,$B195)*Inputs!$D$1),"",SUMIFS(INDEX(Inputs!$B$2:$AZ$190,,MATCH(SUBSTITUTE(AG$3,"Q","T"),Inputs!$B$2:$AZ$2,0)),Inputs!$B$2:$B$190,$B195)*Inputs!$D$1)</f>
        <v>0</v>
      </c>
      <c r="AH195" s="58">
        <f>SUM(AD195:AG195)</f>
        <v>0</v>
      </c>
      <c r="AI195" s="57">
        <f>IF(ISNA(SUMIFS(INDEX(Inputs!$B$2:$AZ$190,,MATCH(SUBSTITUTE(AI$3,"Q","T"),Inputs!$B$2:$AZ$2,0)),Inputs!$B$2:$B$190,$B195)*Inputs!$D$1),"",SUMIFS(INDEX(Inputs!$B$2:$AZ$190,,MATCH(SUBSTITUTE(AI$3,"Q","T"),Inputs!$B$2:$AZ$2,0)),Inputs!$B$2:$B$190,$B195)*Inputs!$D$1)</f>
        <v>0</v>
      </c>
      <c r="AJ195" s="57">
        <f>IF(ISNA(SUMIFS(INDEX(Inputs!$B$2:$AZ$190,,MATCH(SUBSTITUTE(AJ$3,"Q","T"),Inputs!$B$2:$AZ$2,0)),Inputs!$B$2:$B$190,$B195)*Inputs!$D$1),"",SUMIFS(INDEX(Inputs!$B$2:$AZ$190,,MATCH(SUBSTITUTE(AJ$3,"Q","T"),Inputs!$B$2:$AZ$2,0)),Inputs!$B$2:$B$190,$B195)*Inputs!$D$1)</f>
        <v>0</v>
      </c>
      <c r="AK195" s="57">
        <f>IF(ISNA(SUMIFS(INDEX(Inputs!$B$2:$AZ$190,,MATCH(SUBSTITUTE(AK$3,"Q","T"),Inputs!$B$2:$AZ$2,0)),Inputs!$B$2:$B$190,$B195)*Inputs!$D$1),"",SUMIFS(INDEX(Inputs!$B$2:$AZ$190,,MATCH(SUBSTITUTE(AK$3,"Q","T"),Inputs!$B$2:$AZ$2,0)),Inputs!$B$2:$B$190,$B195)*Inputs!$D$1)</f>
        <v>0</v>
      </c>
      <c r="AL195" s="57">
        <f>IF(ISNA(SUMIFS(INDEX(Inputs!$B$2:$AZ$190,,MATCH(SUBSTITUTE(AL$3,"Q","T"),Inputs!$B$2:$AZ$2,0)),Inputs!$B$2:$B$190,$B195)*Inputs!$D$1),"",SUMIFS(INDEX(Inputs!$B$2:$AZ$190,,MATCH(SUBSTITUTE(AL$3,"Q","T"),Inputs!$B$2:$AZ$2,0)),Inputs!$B$2:$B$190,$B195)*Inputs!$D$1)</f>
        <v>0</v>
      </c>
      <c r="AM195" s="58">
        <f>SUM(AI195:AL195)</f>
        <v>0</v>
      </c>
      <c r="AN195" s="57">
        <f>IF(ISNA(SUMIFS(INDEX(Inputs!$B$2:$AZ$190,,MATCH(SUBSTITUTE(AN$3,"Q","T"),Inputs!$B$2:$AZ$2,0)),Inputs!$B$2:$B$190,$B195)*Inputs!$D$1),"",SUMIFS(INDEX(Inputs!$B$2:$AZ$190,,MATCH(SUBSTITUTE(AN$3,"Q","T"),Inputs!$B$2:$AZ$2,0)),Inputs!$B$2:$B$190,$B195)*Inputs!$D$1)</f>
        <v>0</v>
      </c>
      <c r="AO195" s="57">
        <f>IF(ISNA(SUMIFS(INDEX(Inputs!$B$2:$AZ$190,,MATCH(SUBSTITUTE(AO$3,"Q","T"),Inputs!$B$2:$AZ$2,0)),Inputs!$B$2:$B$190,$B195)*Inputs!$D$1),"",SUMIFS(INDEX(Inputs!$B$2:$AZ$190,,MATCH(SUBSTITUTE(AO$3,"Q","T"),Inputs!$B$2:$AZ$2,0)),Inputs!$B$2:$B$190,$B195)*Inputs!$D$1)</f>
        <v>0</v>
      </c>
      <c r="AP195" s="57">
        <f>IF(ISNA(SUMIFS(INDEX(Inputs!$B$2:$AZ$190,,MATCH(SUBSTITUTE(AP$3,"Q","T"),Inputs!$B$2:$AZ$2,0)),Inputs!$B$2:$B$190,$B195)*Inputs!$D$1),"",SUMIFS(INDEX(Inputs!$B$2:$AZ$190,,MATCH(SUBSTITUTE(AP$3,"Q","T"),Inputs!$B$2:$AZ$2,0)),Inputs!$B$2:$B$190,$B195)*Inputs!$D$1)</f>
        <v>0</v>
      </c>
      <c r="AQ195" s="57">
        <f>IF(ISNA(SUMIFS(INDEX(Inputs!$B$2:$AZ$190,,MATCH(SUBSTITUTE(AQ$3,"Q","T"),Inputs!$B$2:$AZ$2,0)),Inputs!$B$2:$B$190,$B195)*Inputs!$D$1),"",SUMIFS(INDEX(Inputs!$B$2:$AZ$190,,MATCH(SUBSTITUTE(AQ$3,"Q","T"),Inputs!$B$2:$AZ$2,0)),Inputs!$B$2:$B$190,$B195)*Inputs!$D$1)</f>
        <v>0</v>
      </c>
      <c r="AR195" s="58">
        <f>SUM(AN195:AQ195)</f>
        <v>0</v>
      </c>
      <c r="AS195" s="57">
        <f>IF(ISNA(SUMIFS(INDEX(Inputs!$B$2:$AZ$190,,MATCH(SUBSTITUTE(AS$3,"Q","T"),Inputs!$B$2:$AZ$2,0)),Inputs!$B$2:$B$190,$B195)*Inputs!$D$1),"",SUMIFS(INDEX(Inputs!$B$2:$AZ$190,,MATCH(SUBSTITUTE(AS$3,"Q","T"),Inputs!$B$2:$AZ$2,0)),Inputs!$B$2:$B$190,$B195)*Inputs!$D$1)</f>
        <v>0</v>
      </c>
      <c r="AT195" s="57">
        <f>IF(ISNA(SUMIFS(INDEX(Inputs!$B$2:$AZ$190,,MATCH(SUBSTITUTE(AT$3,"Q","T"),Inputs!$B$2:$AZ$2,0)),Inputs!$B$2:$B$190,$B195)*Inputs!$D$1),"",SUMIFS(INDEX(Inputs!$B$2:$AZ$190,,MATCH(SUBSTITUTE(AT$3,"Q","T"),Inputs!$B$2:$AZ$2,0)),Inputs!$B$2:$B$190,$B195)*Inputs!$D$1)</f>
        <v>0</v>
      </c>
      <c r="AU195" s="57">
        <f>IF(ISNA(SUMIFS(INDEX(Inputs!$B$2:$AZ$190,,MATCH(SUBSTITUTE(AU$3,"Q","T"),Inputs!$B$2:$AZ$2,0)),Inputs!$B$2:$B$190,$B195)*Inputs!$D$1),"",SUMIFS(INDEX(Inputs!$B$2:$AZ$190,,MATCH(SUBSTITUTE(AU$3,"Q","T"),Inputs!$B$2:$AZ$2,0)),Inputs!$B$2:$B$190,$B195)*Inputs!$D$1)</f>
        <v>0</v>
      </c>
      <c r="AV195" s="57">
        <f>IF(ISNA(SUMIFS(INDEX(Inputs!$B$2:$AZ$190,,MATCH(SUBSTITUTE(AV$3,"Q","T"),Inputs!$B$2:$AZ$2,0)),Inputs!$B$2:$B$190,$B195)*Inputs!$D$1),"",SUMIFS(INDEX(Inputs!$B$2:$AZ$190,,MATCH(SUBSTITUTE(AV$3,"Q","T"),Inputs!$B$2:$AZ$2,0)),Inputs!$B$2:$B$190,$B195)*Inputs!$D$1)</f>
        <v>0</v>
      </c>
      <c r="AW195" s="58">
        <f>SUM(AS195:AV195)</f>
        <v>0</v>
      </c>
      <c r="AX195" s="57">
        <f>IF(ISNA(SUMIFS(INDEX(Inputs!$B$2:$AZ$190,,MATCH(SUBSTITUTE(AX$3,"Q","T"),Inputs!$B$2:$AZ$2,0)),Inputs!$B$2:$B$190,$B195)*Inputs!$D$1),"",SUMIFS(INDEX(Inputs!$B$2:$AZ$190,,MATCH(SUBSTITUTE(AX$3,"Q","T"),Inputs!$B$2:$AZ$2,0)),Inputs!$B$2:$B$190,$B195)*Inputs!$D$1)</f>
        <v>0</v>
      </c>
      <c r="AY195" s="57">
        <f>IF(ISNA(SUMIFS(INDEX(Inputs!$B$2:$AZ$190,,MATCH(SUBSTITUTE(AY$3,"Q","T"),Inputs!$B$2:$AZ$2,0)),Inputs!$B$2:$B$190,$B195)*Inputs!$D$1),"",SUMIFS(INDEX(Inputs!$B$2:$AZ$190,,MATCH(SUBSTITUTE(AY$3,"Q","T"),Inputs!$B$2:$AZ$2,0)),Inputs!$B$2:$B$190,$B195)*Inputs!$D$1)</f>
        <v>0</v>
      </c>
      <c r="AZ195" s="57">
        <f>IF(ISNA(SUMIFS(INDEX(Inputs!$B$2:$AZ$190,,MATCH(SUBSTITUTE(AZ$3,"Q","T"),Inputs!$B$2:$AZ$2,0)),Inputs!$B$2:$B$190,$B195)*Inputs!$D$1),"",SUMIFS(INDEX(Inputs!$B$2:$AZ$190,,MATCH(SUBSTITUTE(AZ$3,"Q","T"),Inputs!$B$2:$AZ$2,0)),Inputs!$B$2:$B$190,$B195)*Inputs!$D$1)</f>
        <v>0</v>
      </c>
      <c r="BA195" s="57">
        <f>IF(ISNA(SUMIFS(INDEX(Inputs!$B$2:$AZ$190,,MATCH(SUBSTITUTE(BA$3,"Q","T"),Inputs!$B$2:$AZ$2,0)),Inputs!$B$2:$B$190,$B195)*Inputs!$D$1),"",SUMIFS(INDEX(Inputs!$B$2:$AZ$190,,MATCH(SUBSTITUTE(BA$3,"Q","T"),Inputs!$B$2:$AZ$2,0)),Inputs!$B$2:$B$190,$B195)*Inputs!$D$1)</f>
        <v>0</v>
      </c>
      <c r="BB195" s="58">
        <f>SUM(AX195:BA195)</f>
        <v>0</v>
      </c>
      <c r="BC195" s="57">
        <f>IF(ISNA(SUMIFS(INDEX(Inputs!$B$2:$AZ$190,,MATCH(SUBSTITUTE(BC$3,"Q","T"),Inputs!$B$2:$AZ$2,0)),Inputs!$B$2:$B$190,$B195)*Inputs!$D$1),"",SUMIFS(INDEX(Inputs!$B$2:$AZ$190,,MATCH(SUBSTITUTE(BC$3,"Q","T"),Inputs!$B$2:$AZ$2,0)),Inputs!$B$2:$B$190,$B195)*Inputs!$D$1)</f>
        <v>0</v>
      </c>
      <c r="BD195" s="57">
        <f>IF(ISNA(SUMIFS(INDEX(Inputs!$B$2:$AZ$190,,MATCH(SUBSTITUTE(BD$3,"Q","T"),Inputs!$B$2:$AZ$2,0)),Inputs!$B$2:$B$190,$B195)*Inputs!$D$1),"",SUMIFS(INDEX(Inputs!$B$2:$AZ$190,,MATCH(SUBSTITUTE(BD$3,"Q","T"),Inputs!$B$2:$AZ$2,0)),Inputs!$B$2:$B$190,$B195)*Inputs!$D$1)</f>
        <v>0</v>
      </c>
      <c r="BE195" s="57">
        <f>IF(ISNA(SUMIFS(INDEX(Inputs!$B$2:$AZ$190,,MATCH(SUBSTITUTE(BE$3,"Q","T"),Inputs!$B$2:$AZ$2,0)),Inputs!$B$2:$B$190,$B195)*Inputs!$D$1),"",SUMIFS(INDEX(Inputs!$B$2:$AZ$190,,MATCH(SUBSTITUTE(BE$3,"Q","T"),Inputs!$B$2:$AZ$2,0)),Inputs!$B$2:$B$190,$B195)*Inputs!$D$1)</f>
        <v>0</v>
      </c>
      <c r="BF195" s="57">
        <f>IF(ISNA(SUMIFS(INDEX(Inputs!$B$2:$AZ$190,,MATCH(SUBSTITUTE(BF$3,"Q","T"),Inputs!$B$2:$AZ$2,0)),Inputs!$B$2:$B$190,$B195)*Inputs!$D$1),"",SUMIFS(INDEX(Inputs!$B$2:$AZ$190,,MATCH(SUBSTITUTE(BF$3,"Q","T"),Inputs!$B$2:$AZ$2,0)),Inputs!$B$2:$B$190,$B195)*Inputs!$D$1)</f>
        <v>0</v>
      </c>
      <c r="BG195" s="58">
        <f>SUM(BC195:BF195)</f>
        <v>0</v>
      </c>
    </row>
    <row r="196" hidden="1" outlineLevel="1">
      <c r="B196" s="56" t="inlineStr">
        <is>
          <t>adm_oth</t>
        </is>
      </c>
      <c r="C196" s="11" t="inlineStr">
        <is>
          <t>(Demais despesas administrativas)</t>
        </is>
      </c>
      <c r="D196" s="12" t="inlineStr">
        <is>
          <t>(Other administrative expense)</t>
        </is>
      </c>
      <c r="E196" s="57">
        <f>IF(ISNA(SUMIFS(INDEX(Inputs!$B$2:$AZ$190,,MATCH(SUBSTITUTE(E$3,"Q","T"),Inputs!$B$2:$AZ$2,0)),Inputs!$B$2:$B$190,$B196)*Inputs!$D$1),"",SUMIFS(INDEX(Inputs!$B$2:$AZ$190,,MATCH(SUBSTITUTE(E$3,"Q","T"),Inputs!$B$2:$AZ$2,0)),Inputs!$B$2:$B$190,$B196)*Inputs!$D$1)</f>
        <v>0</v>
      </c>
      <c r="F196" s="57">
        <f>IF(ISNA(SUMIFS(INDEX(Inputs!$B$2:$AZ$190,,MATCH(SUBSTITUTE(F$3,"Q","T"),Inputs!$B$2:$AZ$2,0)),Inputs!$B$2:$B$190,$B196)*Inputs!$D$1),"",SUMIFS(INDEX(Inputs!$B$2:$AZ$190,,MATCH(SUBSTITUTE(F$3,"Q","T"),Inputs!$B$2:$AZ$2,0)),Inputs!$B$2:$B$190,$B196)*Inputs!$D$1)</f>
        <v>0</v>
      </c>
      <c r="G196" s="57">
        <f>IF(ISNA(SUMIFS(INDEX(Inputs!$B$2:$AZ$190,,MATCH(SUBSTITUTE(G$3,"Q","T"),Inputs!$B$2:$AZ$2,0)),Inputs!$B$2:$B$190,$B196)*Inputs!$D$1),"",SUMIFS(INDEX(Inputs!$B$2:$AZ$190,,MATCH(SUBSTITUTE(G$3,"Q","T"),Inputs!$B$2:$AZ$2,0)),Inputs!$B$2:$B$190,$B196)*Inputs!$D$1)</f>
        <v>0</v>
      </c>
      <c r="H196" s="57">
        <f>IF(ISNA(SUMIFS(INDEX(Inputs!$B$2:$AZ$190,,MATCH(SUBSTITUTE(H$3,"Q","T"),Inputs!$B$2:$AZ$2,0)),Inputs!$B$2:$B$190,$B196)*Inputs!$D$1),"",SUMIFS(INDEX(Inputs!$B$2:$AZ$190,,MATCH(SUBSTITUTE(H$3,"Q","T"),Inputs!$B$2:$AZ$2,0)),Inputs!$B$2:$B$190,$B196)*Inputs!$D$1)</f>
        <v>0</v>
      </c>
      <c r="I196" s="58">
        <f>SUM(E196:H196)</f>
        <v>0</v>
      </c>
      <c r="J196" s="57">
        <f>IF(ISNA(SUMIFS(INDEX(Inputs!$B$2:$AZ$190,,MATCH(SUBSTITUTE(J$3,"Q","T"),Inputs!$B$2:$AZ$2,0)),Inputs!$B$2:$B$190,$B196)*Inputs!$D$1),"",SUMIFS(INDEX(Inputs!$B$2:$AZ$190,,MATCH(SUBSTITUTE(J$3,"Q","T"),Inputs!$B$2:$AZ$2,0)),Inputs!$B$2:$B$190,$B196)*Inputs!$D$1)</f>
        <v>0</v>
      </c>
      <c r="K196" s="57">
        <f>IF(ISNA(SUMIFS(INDEX(Inputs!$B$2:$AZ$190,,MATCH(SUBSTITUTE(K$3,"Q","T"),Inputs!$B$2:$AZ$2,0)),Inputs!$B$2:$B$190,$B196)*Inputs!$D$1),"",SUMIFS(INDEX(Inputs!$B$2:$AZ$190,,MATCH(SUBSTITUTE(K$3,"Q","T"),Inputs!$B$2:$AZ$2,0)),Inputs!$B$2:$B$190,$B196)*Inputs!$D$1)</f>
        <v>0</v>
      </c>
      <c r="L196" s="57">
        <f>IF(ISNA(SUMIFS(INDEX(Inputs!$B$2:$AZ$190,,MATCH(SUBSTITUTE(L$3,"Q","T"),Inputs!$B$2:$AZ$2,0)),Inputs!$B$2:$B$190,$B196)*Inputs!$D$1),"",SUMIFS(INDEX(Inputs!$B$2:$AZ$190,,MATCH(SUBSTITUTE(L$3,"Q","T"),Inputs!$B$2:$AZ$2,0)),Inputs!$B$2:$B$190,$B196)*Inputs!$D$1)</f>
        <v>0</v>
      </c>
      <c r="M196" s="57">
        <f>IF(ISNA(SUMIFS(INDEX(Inputs!$B$2:$AZ$190,,MATCH(SUBSTITUTE(M$3,"Q","T"),Inputs!$B$2:$AZ$2,0)),Inputs!$B$2:$B$190,$B196)*Inputs!$D$1),"",SUMIFS(INDEX(Inputs!$B$2:$AZ$190,,MATCH(SUBSTITUTE(M$3,"Q","T"),Inputs!$B$2:$AZ$2,0)),Inputs!$B$2:$B$190,$B196)*Inputs!$D$1)</f>
        <v>0</v>
      </c>
      <c r="N196" s="58">
        <f>SUM(J196:M196)</f>
        <v>0</v>
      </c>
      <c r="O196" s="57">
        <f>IF(ISNA(SUMIFS(INDEX(Inputs!$B$2:$AZ$190,,MATCH(SUBSTITUTE(O$3,"Q","T"),Inputs!$B$2:$AZ$2,0)),Inputs!$B$2:$B$190,$B196)*Inputs!$D$1),"",SUMIFS(INDEX(Inputs!$B$2:$AZ$190,,MATCH(SUBSTITUTE(O$3,"Q","T"),Inputs!$B$2:$AZ$2,0)),Inputs!$B$2:$B$190,$B196)*Inputs!$D$1)</f>
        <v>0</v>
      </c>
      <c r="P196" s="57">
        <f>IF(ISNA(SUMIFS(INDEX(Inputs!$B$2:$AZ$190,,MATCH(SUBSTITUTE(P$3,"Q","T"),Inputs!$B$2:$AZ$2,0)),Inputs!$B$2:$B$190,$B196)*Inputs!$D$1),"",SUMIFS(INDEX(Inputs!$B$2:$AZ$190,,MATCH(SUBSTITUTE(P$3,"Q","T"),Inputs!$B$2:$AZ$2,0)),Inputs!$B$2:$B$190,$B196)*Inputs!$D$1)</f>
        <v>0</v>
      </c>
      <c r="Q196" s="57">
        <f>IF(ISNA(SUMIFS(INDEX(Inputs!$B$2:$AZ$190,,MATCH(SUBSTITUTE(Q$3,"Q","T"),Inputs!$B$2:$AZ$2,0)),Inputs!$B$2:$B$190,$B196)*Inputs!$D$1),"",SUMIFS(INDEX(Inputs!$B$2:$AZ$190,,MATCH(SUBSTITUTE(Q$3,"Q","T"),Inputs!$B$2:$AZ$2,0)),Inputs!$B$2:$B$190,$B196)*Inputs!$D$1)</f>
        <v>0</v>
      </c>
      <c r="R196" s="57">
        <f>IF(ISNA(SUMIFS(INDEX(Inputs!$B$2:$AZ$190,,MATCH(SUBSTITUTE(R$3,"Q","T"),Inputs!$B$2:$AZ$2,0)),Inputs!$B$2:$B$190,$B196)*Inputs!$D$1),"",SUMIFS(INDEX(Inputs!$B$2:$AZ$190,,MATCH(SUBSTITUTE(R$3,"Q","T"),Inputs!$B$2:$AZ$2,0)),Inputs!$B$2:$B$190,$B196)*Inputs!$D$1)</f>
        <v>0</v>
      </c>
      <c r="S196" s="58">
        <f>SUM(O196:R196)</f>
        <v>0</v>
      </c>
      <c r="T196" s="57">
        <f>IF(ISNA(SUMIFS(INDEX(Inputs!$B$2:$AZ$190,,MATCH(SUBSTITUTE(T$3,"Q","T"),Inputs!$B$2:$AZ$2,0)),Inputs!$B$2:$B$190,$B196)*Inputs!$D$1),"",SUMIFS(INDEX(Inputs!$B$2:$AZ$190,,MATCH(SUBSTITUTE(T$3,"Q","T"),Inputs!$B$2:$AZ$2,0)),Inputs!$B$2:$B$190,$B196)*Inputs!$D$1)</f>
        <v>0</v>
      </c>
      <c r="U196" s="57">
        <f>IF(ISNA(SUMIFS(INDEX(Inputs!$B$2:$AZ$190,,MATCH(SUBSTITUTE(U$3,"Q","T"),Inputs!$B$2:$AZ$2,0)),Inputs!$B$2:$B$190,$B196)*Inputs!$D$1),"",SUMIFS(INDEX(Inputs!$B$2:$AZ$190,,MATCH(SUBSTITUTE(U$3,"Q","T"),Inputs!$B$2:$AZ$2,0)),Inputs!$B$2:$B$190,$B196)*Inputs!$D$1)</f>
        <v>0</v>
      </c>
      <c r="V196" s="57">
        <f>IF(ISNA(SUMIFS(INDEX(Inputs!$B$2:$AZ$190,,MATCH(SUBSTITUTE(V$3,"Q","T"),Inputs!$B$2:$AZ$2,0)),Inputs!$B$2:$B$190,$B196)*Inputs!$D$1),"",SUMIFS(INDEX(Inputs!$B$2:$AZ$190,,MATCH(SUBSTITUTE(V$3,"Q","T"),Inputs!$B$2:$AZ$2,0)),Inputs!$B$2:$B$190,$B196)*Inputs!$D$1)</f>
        <v>0</v>
      </c>
      <c r="W196" s="57">
        <f>IF(ISNA(SUMIFS(INDEX(Inputs!$B$2:$AZ$190,,MATCH(SUBSTITUTE(W$3,"Q","T"),Inputs!$B$2:$AZ$2,0)),Inputs!$B$2:$B$190,$B196)*Inputs!$D$1),"",SUMIFS(INDEX(Inputs!$B$2:$AZ$190,,MATCH(SUBSTITUTE(W$3,"Q","T"),Inputs!$B$2:$AZ$2,0)),Inputs!$B$2:$B$190,$B196)*Inputs!$D$1)</f>
        <v>0</v>
      </c>
      <c r="X196" s="58">
        <f>SUM(T196:W196)</f>
        <v>0</v>
      </c>
      <c r="Y196" s="57">
        <f>IF(ISNA(SUMIFS(INDEX(Inputs!$B$2:$AZ$190,,MATCH(SUBSTITUTE(Y$3,"Q","T"),Inputs!$B$2:$AZ$2,0)),Inputs!$B$2:$B$190,$B196)*Inputs!$D$1),"",SUMIFS(INDEX(Inputs!$B$2:$AZ$190,,MATCH(SUBSTITUTE(Y$3,"Q","T"),Inputs!$B$2:$AZ$2,0)),Inputs!$B$2:$B$190,$B196)*Inputs!$D$1)</f>
        <v>0</v>
      </c>
      <c r="Z196" s="57">
        <f>IF(ISNA(SUMIFS(INDEX(Inputs!$B$2:$AZ$190,,MATCH(SUBSTITUTE(Z$3,"Q","T"),Inputs!$B$2:$AZ$2,0)),Inputs!$B$2:$B$190,$B196)*Inputs!$D$1),"",SUMIFS(INDEX(Inputs!$B$2:$AZ$190,,MATCH(SUBSTITUTE(Z$3,"Q","T"),Inputs!$B$2:$AZ$2,0)),Inputs!$B$2:$B$190,$B196)*Inputs!$D$1)</f>
        <v>0</v>
      </c>
      <c r="AA196" s="57">
        <f>IF(ISNA(SUMIFS(INDEX(Inputs!$B$2:$AZ$190,,MATCH(SUBSTITUTE(AA$3,"Q","T"),Inputs!$B$2:$AZ$2,0)),Inputs!$B$2:$B$190,$B196)*Inputs!$D$1),"",SUMIFS(INDEX(Inputs!$B$2:$AZ$190,,MATCH(SUBSTITUTE(AA$3,"Q","T"),Inputs!$B$2:$AZ$2,0)),Inputs!$B$2:$B$190,$B196)*Inputs!$D$1)</f>
        <v>0</v>
      </c>
      <c r="AB196" s="57">
        <f>IF(ISNA(SUMIFS(INDEX(Inputs!$B$2:$AZ$190,,MATCH(SUBSTITUTE(AB$3,"Q","T"),Inputs!$B$2:$AZ$2,0)),Inputs!$B$2:$B$190,$B196)*Inputs!$D$1),"",SUMIFS(INDEX(Inputs!$B$2:$AZ$190,,MATCH(SUBSTITUTE(AB$3,"Q","T"),Inputs!$B$2:$AZ$2,0)),Inputs!$B$2:$B$190,$B196)*Inputs!$D$1)</f>
        <v>0</v>
      </c>
      <c r="AC196" s="58">
        <f>SUM(Y196:AB196)</f>
        <v>0</v>
      </c>
      <c r="AD196" s="57">
        <f>IF(ISNA(SUMIFS(INDEX(Inputs!$B$2:$AZ$190,,MATCH(SUBSTITUTE(AD$3,"Q","T"),Inputs!$B$2:$AZ$2,0)),Inputs!$B$2:$B$190,$B196)*Inputs!$D$1),"",SUMIFS(INDEX(Inputs!$B$2:$AZ$190,,MATCH(SUBSTITUTE(AD$3,"Q","T"),Inputs!$B$2:$AZ$2,0)),Inputs!$B$2:$B$190,$B196)*Inputs!$D$1)</f>
        <v>0</v>
      </c>
      <c r="AE196" s="57">
        <f>IF(ISNA(SUMIFS(INDEX(Inputs!$B$2:$AZ$190,,MATCH(SUBSTITUTE(AE$3,"Q","T"),Inputs!$B$2:$AZ$2,0)),Inputs!$B$2:$B$190,$B196)*Inputs!$D$1),"",SUMIFS(INDEX(Inputs!$B$2:$AZ$190,,MATCH(SUBSTITUTE(AE$3,"Q","T"),Inputs!$B$2:$AZ$2,0)),Inputs!$B$2:$B$190,$B196)*Inputs!$D$1)</f>
        <v>0</v>
      </c>
      <c r="AF196" s="57">
        <f>IF(ISNA(SUMIFS(INDEX(Inputs!$B$2:$AZ$190,,MATCH(SUBSTITUTE(AF$3,"Q","T"),Inputs!$B$2:$AZ$2,0)),Inputs!$B$2:$B$190,$B196)*Inputs!$D$1),"",SUMIFS(INDEX(Inputs!$B$2:$AZ$190,,MATCH(SUBSTITUTE(AF$3,"Q","T"),Inputs!$B$2:$AZ$2,0)),Inputs!$B$2:$B$190,$B196)*Inputs!$D$1)</f>
        <v>0</v>
      </c>
      <c r="AG196" s="57">
        <f>IF(ISNA(SUMIFS(INDEX(Inputs!$B$2:$AZ$190,,MATCH(SUBSTITUTE(AG$3,"Q","T"),Inputs!$B$2:$AZ$2,0)),Inputs!$B$2:$B$190,$B196)*Inputs!$D$1),"",SUMIFS(INDEX(Inputs!$B$2:$AZ$190,,MATCH(SUBSTITUTE(AG$3,"Q","T"),Inputs!$B$2:$AZ$2,0)),Inputs!$B$2:$B$190,$B196)*Inputs!$D$1)</f>
        <v>0</v>
      </c>
      <c r="AH196" s="58">
        <f>SUM(AD196:AG196)</f>
        <v>0</v>
      </c>
      <c r="AI196" s="57">
        <f>IF(ISNA(SUMIFS(INDEX(Inputs!$B$2:$AZ$190,,MATCH(SUBSTITUTE(AI$3,"Q","T"),Inputs!$B$2:$AZ$2,0)),Inputs!$B$2:$B$190,$B196)*Inputs!$D$1),"",SUMIFS(INDEX(Inputs!$B$2:$AZ$190,,MATCH(SUBSTITUTE(AI$3,"Q","T"),Inputs!$B$2:$AZ$2,0)),Inputs!$B$2:$B$190,$B196)*Inputs!$D$1)</f>
        <v>0</v>
      </c>
      <c r="AJ196" s="57">
        <f>IF(ISNA(SUMIFS(INDEX(Inputs!$B$2:$AZ$190,,MATCH(SUBSTITUTE(AJ$3,"Q","T"),Inputs!$B$2:$AZ$2,0)),Inputs!$B$2:$B$190,$B196)*Inputs!$D$1),"",SUMIFS(INDEX(Inputs!$B$2:$AZ$190,,MATCH(SUBSTITUTE(AJ$3,"Q","T"),Inputs!$B$2:$AZ$2,0)),Inputs!$B$2:$B$190,$B196)*Inputs!$D$1)</f>
        <v>0</v>
      </c>
      <c r="AK196" s="57">
        <f>IF(ISNA(SUMIFS(INDEX(Inputs!$B$2:$AZ$190,,MATCH(SUBSTITUTE(AK$3,"Q","T"),Inputs!$B$2:$AZ$2,0)),Inputs!$B$2:$B$190,$B196)*Inputs!$D$1),"",SUMIFS(INDEX(Inputs!$B$2:$AZ$190,,MATCH(SUBSTITUTE(AK$3,"Q","T"),Inputs!$B$2:$AZ$2,0)),Inputs!$B$2:$B$190,$B196)*Inputs!$D$1)</f>
        <v>0</v>
      </c>
      <c r="AL196" s="57">
        <f>IF(ISNA(SUMIFS(INDEX(Inputs!$B$2:$AZ$190,,MATCH(SUBSTITUTE(AL$3,"Q","T"),Inputs!$B$2:$AZ$2,0)),Inputs!$B$2:$B$190,$B196)*Inputs!$D$1),"",SUMIFS(INDEX(Inputs!$B$2:$AZ$190,,MATCH(SUBSTITUTE(AL$3,"Q","T"),Inputs!$B$2:$AZ$2,0)),Inputs!$B$2:$B$190,$B196)*Inputs!$D$1)</f>
        <v>0</v>
      </c>
      <c r="AM196" s="58">
        <f>SUM(AI196:AL196)</f>
        <v>0</v>
      </c>
      <c r="AN196" s="57">
        <f>IF(ISNA(SUMIFS(INDEX(Inputs!$B$2:$AZ$190,,MATCH(SUBSTITUTE(AN$3,"Q","T"),Inputs!$B$2:$AZ$2,0)),Inputs!$B$2:$B$190,$B196)*Inputs!$D$1),"",SUMIFS(INDEX(Inputs!$B$2:$AZ$190,,MATCH(SUBSTITUTE(AN$3,"Q","T"),Inputs!$B$2:$AZ$2,0)),Inputs!$B$2:$B$190,$B196)*Inputs!$D$1)</f>
        <v>0</v>
      </c>
      <c r="AO196" s="57">
        <f>IF(ISNA(SUMIFS(INDEX(Inputs!$B$2:$AZ$190,,MATCH(SUBSTITUTE(AO$3,"Q","T"),Inputs!$B$2:$AZ$2,0)),Inputs!$B$2:$B$190,$B196)*Inputs!$D$1),"",SUMIFS(INDEX(Inputs!$B$2:$AZ$190,,MATCH(SUBSTITUTE(AO$3,"Q","T"),Inputs!$B$2:$AZ$2,0)),Inputs!$B$2:$B$190,$B196)*Inputs!$D$1)</f>
        <v>0</v>
      </c>
      <c r="AP196" s="57">
        <f>IF(ISNA(SUMIFS(INDEX(Inputs!$B$2:$AZ$190,,MATCH(SUBSTITUTE(AP$3,"Q","T"),Inputs!$B$2:$AZ$2,0)),Inputs!$B$2:$B$190,$B196)*Inputs!$D$1),"",SUMIFS(INDEX(Inputs!$B$2:$AZ$190,,MATCH(SUBSTITUTE(AP$3,"Q","T"),Inputs!$B$2:$AZ$2,0)),Inputs!$B$2:$B$190,$B196)*Inputs!$D$1)</f>
        <v>0</v>
      </c>
      <c r="AQ196" s="57">
        <f>IF(ISNA(SUMIFS(INDEX(Inputs!$B$2:$AZ$190,,MATCH(SUBSTITUTE(AQ$3,"Q","T"),Inputs!$B$2:$AZ$2,0)),Inputs!$B$2:$B$190,$B196)*Inputs!$D$1),"",SUMIFS(INDEX(Inputs!$B$2:$AZ$190,,MATCH(SUBSTITUTE(AQ$3,"Q","T"),Inputs!$B$2:$AZ$2,0)),Inputs!$B$2:$B$190,$B196)*Inputs!$D$1)</f>
        <v>0</v>
      </c>
      <c r="AR196" s="58">
        <f>SUM(AN196:AQ196)</f>
        <v>0</v>
      </c>
      <c r="AS196" s="57">
        <f>IF(ISNA(SUMIFS(INDEX(Inputs!$B$2:$AZ$190,,MATCH(SUBSTITUTE(AS$3,"Q","T"),Inputs!$B$2:$AZ$2,0)),Inputs!$B$2:$B$190,$B196)*Inputs!$D$1),"",SUMIFS(INDEX(Inputs!$B$2:$AZ$190,,MATCH(SUBSTITUTE(AS$3,"Q","T"),Inputs!$B$2:$AZ$2,0)),Inputs!$B$2:$B$190,$B196)*Inputs!$D$1)</f>
        <v>0</v>
      </c>
      <c r="AT196" s="57">
        <f>IF(ISNA(SUMIFS(INDEX(Inputs!$B$2:$AZ$190,,MATCH(SUBSTITUTE(AT$3,"Q","T"),Inputs!$B$2:$AZ$2,0)),Inputs!$B$2:$B$190,$B196)*Inputs!$D$1),"",SUMIFS(INDEX(Inputs!$B$2:$AZ$190,,MATCH(SUBSTITUTE(AT$3,"Q","T"),Inputs!$B$2:$AZ$2,0)),Inputs!$B$2:$B$190,$B196)*Inputs!$D$1)</f>
        <v>0</v>
      </c>
      <c r="AU196" s="57">
        <f>IF(ISNA(SUMIFS(INDEX(Inputs!$B$2:$AZ$190,,MATCH(SUBSTITUTE(AU$3,"Q","T"),Inputs!$B$2:$AZ$2,0)),Inputs!$B$2:$B$190,$B196)*Inputs!$D$1),"",SUMIFS(INDEX(Inputs!$B$2:$AZ$190,,MATCH(SUBSTITUTE(AU$3,"Q","T"),Inputs!$B$2:$AZ$2,0)),Inputs!$B$2:$B$190,$B196)*Inputs!$D$1)</f>
        <v>0</v>
      </c>
      <c r="AV196" s="57">
        <f>IF(ISNA(SUMIFS(INDEX(Inputs!$B$2:$AZ$190,,MATCH(SUBSTITUTE(AV$3,"Q","T"),Inputs!$B$2:$AZ$2,0)),Inputs!$B$2:$B$190,$B196)*Inputs!$D$1),"",SUMIFS(INDEX(Inputs!$B$2:$AZ$190,,MATCH(SUBSTITUTE(AV$3,"Q","T"),Inputs!$B$2:$AZ$2,0)),Inputs!$B$2:$B$190,$B196)*Inputs!$D$1)</f>
        <v>0</v>
      </c>
      <c r="AW196" s="58">
        <f>SUM(AS196:AV196)</f>
        <v>0</v>
      </c>
      <c r="AX196" s="57">
        <f>IF(ISNA(SUMIFS(INDEX(Inputs!$B$2:$AZ$190,,MATCH(SUBSTITUTE(AX$3,"Q","T"),Inputs!$B$2:$AZ$2,0)),Inputs!$B$2:$B$190,$B196)*Inputs!$D$1),"",SUMIFS(INDEX(Inputs!$B$2:$AZ$190,,MATCH(SUBSTITUTE(AX$3,"Q","T"),Inputs!$B$2:$AZ$2,0)),Inputs!$B$2:$B$190,$B196)*Inputs!$D$1)</f>
        <v>0</v>
      </c>
      <c r="AY196" s="57">
        <f>IF(ISNA(SUMIFS(INDEX(Inputs!$B$2:$AZ$190,,MATCH(SUBSTITUTE(AY$3,"Q","T"),Inputs!$B$2:$AZ$2,0)),Inputs!$B$2:$B$190,$B196)*Inputs!$D$1),"",SUMIFS(INDEX(Inputs!$B$2:$AZ$190,,MATCH(SUBSTITUTE(AY$3,"Q","T"),Inputs!$B$2:$AZ$2,0)),Inputs!$B$2:$B$190,$B196)*Inputs!$D$1)</f>
        <v>0</v>
      </c>
      <c r="AZ196" s="57">
        <f>IF(ISNA(SUMIFS(INDEX(Inputs!$B$2:$AZ$190,,MATCH(SUBSTITUTE(AZ$3,"Q","T"),Inputs!$B$2:$AZ$2,0)),Inputs!$B$2:$B$190,$B196)*Inputs!$D$1),"",SUMIFS(INDEX(Inputs!$B$2:$AZ$190,,MATCH(SUBSTITUTE(AZ$3,"Q","T"),Inputs!$B$2:$AZ$2,0)),Inputs!$B$2:$B$190,$B196)*Inputs!$D$1)</f>
        <v>0</v>
      </c>
      <c r="BA196" s="57">
        <f>IF(ISNA(SUMIFS(INDEX(Inputs!$B$2:$AZ$190,,MATCH(SUBSTITUTE(BA$3,"Q","T"),Inputs!$B$2:$AZ$2,0)),Inputs!$B$2:$B$190,$B196)*Inputs!$D$1),"",SUMIFS(INDEX(Inputs!$B$2:$AZ$190,,MATCH(SUBSTITUTE(BA$3,"Q","T"),Inputs!$B$2:$AZ$2,0)),Inputs!$B$2:$B$190,$B196)*Inputs!$D$1)</f>
        <v>0</v>
      </c>
      <c r="BB196" s="58">
        <f>SUM(AX196:BA196)</f>
        <v>0</v>
      </c>
      <c r="BC196" s="57">
        <f>IF(ISNA(SUMIFS(INDEX(Inputs!$B$2:$AZ$190,,MATCH(SUBSTITUTE(BC$3,"Q","T"),Inputs!$B$2:$AZ$2,0)),Inputs!$B$2:$B$190,$B196)*Inputs!$D$1),"",SUMIFS(INDEX(Inputs!$B$2:$AZ$190,,MATCH(SUBSTITUTE(BC$3,"Q","T"),Inputs!$B$2:$AZ$2,0)),Inputs!$B$2:$B$190,$B196)*Inputs!$D$1)</f>
        <v>0</v>
      </c>
      <c r="BD196" s="57">
        <f>IF(ISNA(SUMIFS(INDEX(Inputs!$B$2:$AZ$190,,MATCH(SUBSTITUTE(BD$3,"Q","T"),Inputs!$B$2:$AZ$2,0)),Inputs!$B$2:$B$190,$B196)*Inputs!$D$1),"",SUMIFS(INDEX(Inputs!$B$2:$AZ$190,,MATCH(SUBSTITUTE(BD$3,"Q","T"),Inputs!$B$2:$AZ$2,0)),Inputs!$B$2:$B$190,$B196)*Inputs!$D$1)</f>
        <v>0</v>
      </c>
      <c r="BE196" s="57">
        <f>IF(ISNA(SUMIFS(INDEX(Inputs!$B$2:$AZ$190,,MATCH(SUBSTITUTE(BE$3,"Q","T"),Inputs!$B$2:$AZ$2,0)),Inputs!$B$2:$B$190,$B196)*Inputs!$D$1),"",SUMIFS(INDEX(Inputs!$B$2:$AZ$190,,MATCH(SUBSTITUTE(BE$3,"Q","T"),Inputs!$B$2:$AZ$2,0)),Inputs!$B$2:$B$190,$B196)*Inputs!$D$1)</f>
        <v>0</v>
      </c>
      <c r="BF196" s="57">
        <f>IF(ISNA(SUMIFS(INDEX(Inputs!$B$2:$AZ$190,,MATCH(SUBSTITUTE(BF$3,"Q","T"),Inputs!$B$2:$AZ$2,0)),Inputs!$B$2:$B$190,$B196)*Inputs!$D$1),"",SUMIFS(INDEX(Inputs!$B$2:$AZ$190,,MATCH(SUBSTITUTE(BF$3,"Q","T"),Inputs!$B$2:$AZ$2,0)),Inputs!$B$2:$B$190,$B196)*Inputs!$D$1)</f>
        <v>0</v>
      </c>
      <c r="BG196" s="58">
        <f>SUM(BC196:BF196)</f>
        <v>0</v>
      </c>
    </row>
    <row r="199">
      <c r="B199" s="29" t="n"/>
      <c r="C199" s="29" t="inlineStr">
        <is>
          <t>CHECKS DO REPORTADO</t>
        </is>
      </c>
      <c r="D199" s="29" t="inlineStr">
        <is>
          <t>REPORTED DATA CHECKS</t>
        </is>
      </c>
      <c r="E199" s="29" t="n"/>
      <c r="F199" s="29" t="n"/>
      <c r="G199" s="29" t="n"/>
      <c r="H199" s="29" t="n"/>
      <c r="I199" s="29" t="n"/>
      <c r="J199" s="29" t="n"/>
      <c r="K199" s="29" t="n"/>
      <c r="L199" s="29" t="n"/>
      <c r="M199" s="29" t="n"/>
      <c r="N199" s="29" t="n"/>
      <c r="O199" s="29" t="n"/>
      <c r="P199" s="29" t="n"/>
      <c r="Q199" s="29" t="n"/>
      <c r="R199" s="29" t="n"/>
      <c r="S199" s="29" t="n"/>
      <c r="T199" s="29" t="n"/>
      <c r="U199" s="29" t="n"/>
      <c r="V199" s="29" t="n"/>
      <c r="W199" s="29" t="n"/>
      <c r="X199" s="29" t="n"/>
      <c r="Y199" s="29" t="n"/>
      <c r="Z199" s="29" t="n"/>
      <c r="AA199" s="29" t="n"/>
      <c r="AB199" s="29" t="n"/>
      <c r="AC199" s="29" t="n"/>
      <c r="AD199" s="29" t="n"/>
      <c r="AE199" s="29" t="n"/>
      <c r="AF199" s="29" t="n"/>
      <c r="AG199" s="29" t="n"/>
      <c r="AH199" s="29" t="n"/>
      <c r="AI199" s="29" t="n"/>
      <c r="AJ199" s="29" t="n"/>
      <c r="AK199" s="29" t="n"/>
      <c r="AL199" s="29" t="n"/>
      <c r="AM199" s="29" t="n"/>
      <c r="AN199" s="29" t="n"/>
      <c r="AO199" s="29" t="n"/>
      <c r="AP199" s="29" t="n"/>
      <c r="AQ199" s="29" t="n"/>
      <c r="AR199" s="29" t="n"/>
      <c r="AS199" s="29" t="n"/>
      <c r="AT199" s="29" t="n"/>
      <c r="AU199" s="29" t="n"/>
      <c r="AV199" s="29" t="n"/>
      <c r="AW199" s="29" t="n"/>
      <c r="AX199" s="29" t="n"/>
      <c r="AY199" s="29" t="n"/>
      <c r="AZ199" s="29" t="n"/>
      <c r="BA199" s="29" t="n"/>
      <c r="BB199" s="29" t="n"/>
      <c r="BC199" s="29" t="n"/>
      <c r="BD199" s="29" t="n"/>
      <c r="BE199" s="29" t="n"/>
      <c r="BF199" s="29" t="n"/>
      <c r="BG199" s="29" t="n"/>
      <c r="BH199" s="29" t="n"/>
      <c r="BI199" s="29" t="n"/>
    </row>
    <row r="200" hidden="1" outlineLevel="1">
      <c r="C200" s="11" t="inlineStr">
        <is>
          <t>Ativo – Passivo + PL (deve ser zero)</t>
        </is>
      </c>
      <c r="D200" s="12" t="inlineStr">
        <is>
          <t>Assets less Liabilities and Equity</t>
        </is>
      </c>
      <c r="E200" s="74">
        <f>IFERROR(ROUND(E29-E68,0),"")</f>
        <v>0</v>
      </c>
      <c r="F200" s="74">
        <f>IFERROR(ROUND(F29-F68,0),"")</f>
        <v>0</v>
      </c>
      <c r="G200" s="74">
        <f>IFERROR(ROUND(G29-G68,0),"")</f>
        <v>0</v>
      </c>
      <c r="H200" s="74">
        <f>IFERROR(ROUND(H29-H68,0),"")</f>
        <v>0</v>
      </c>
      <c r="I200" s="74">
        <f>IFERROR(ROUND(I29-I68,0),"")</f>
        <v>0</v>
      </c>
      <c r="J200" s="74">
        <f>IFERROR(ROUND(J29-J68,0),"")</f>
        <v>0</v>
      </c>
      <c r="K200" s="74">
        <f>IFERROR(ROUND(K29-K68,0),"")</f>
        <v>0</v>
      </c>
      <c r="L200" s="74">
        <f>IFERROR(ROUND(L29-L68,0),"")</f>
        <v>0</v>
      </c>
      <c r="M200" s="74">
        <f>IFERROR(ROUND(M29-M68,0),"")</f>
        <v>0</v>
      </c>
      <c r="N200" s="74">
        <f>IFERROR(ROUND(N29-N68,0),"")</f>
        <v>0</v>
      </c>
      <c r="O200" s="74">
        <f>IFERROR(ROUND(O29-O68,0),"")</f>
        <v>0</v>
      </c>
      <c r="P200" s="74">
        <f>IFERROR(ROUND(P29-P68,0),"")</f>
        <v>0</v>
      </c>
      <c r="Q200" s="74">
        <f>IFERROR(ROUND(Q29-Q68,0),"")</f>
        <v>0</v>
      </c>
      <c r="R200" s="74">
        <f>IFERROR(ROUND(R29-R68,0),"")</f>
        <v>0</v>
      </c>
      <c r="S200" s="74">
        <f>IFERROR(ROUND(S29-S68,0),"")</f>
        <v>0</v>
      </c>
      <c r="T200" s="74">
        <f>IFERROR(ROUND(T29-T68,0),"")</f>
        <v>0</v>
      </c>
      <c r="U200" s="74">
        <f>IFERROR(ROUND(U29-U68,0),"")</f>
        <v>0</v>
      </c>
      <c r="V200" s="74">
        <f>IFERROR(ROUND(V29-V68,0),"")</f>
        <v>0</v>
      </c>
      <c r="W200" s="74">
        <f>IFERROR(ROUND(W29-W68,0),"")</f>
        <v>0</v>
      </c>
      <c r="X200" s="74">
        <f>IFERROR(ROUND(X29-X68,0),"")</f>
        <v>0</v>
      </c>
      <c r="Y200" s="74">
        <f>IFERROR(ROUND(Y29-Y68,0),"")</f>
        <v>0</v>
      </c>
      <c r="Z200" s="74">
        <f>IFERROR(ROUND(Z29-Z68,0),"")</f>
        <v>0</v>
      </c>
      <c r="AA200" s="74">
        <f>IFERROR(ROUND(AA29-AA68,0),"")</f>
        <v>0</v>
      </c>
      <c r="AB200" s="74">
        <f>IFERROR(ROUND(AB29-AB68,0),"")</f>
        <v>0</v>
      </c>
      <c r="AC200" s="74">
        <f>IFERROR(ROUND(AC29-AC68,0),"")</f>
        <v>0</v>
      </c>
      <c r="AD200" s="74">
        <f>IFERROR(ROUND(AD29-AD68,0),"")</f>
        <v>0</v>
      </c>
      <c r="AE200" s="74">
        <f>IFERROR(ROUND(AE29-AE68,0),"")</f>
        <v>0</v>
      </c>
      <c r="AF200" s="74">
        <f>IFERROR(ROUND(AF29-AF68,0),"")</f>
        <v>0</v>
      </c>
      <c r="AG200" s="74">
        <f>IFERROR(ROUND(AG29-AG68,0),"")</f>
        <v>0</v>
      </c>
      <c r="AH200" s="74">
        <f>IFERROR(ROUND(AH29-AH68,0),"")</f>
        <v>0</v>
      </c>
      <c r="AI200" s="74">
        <f>IFERROR(ROUND(AI29-AI68,0),"")</f>
        <v>0</v>
      </c>
      <c r="AJ200" s="74">
        <f>IFERROR(ROUND(AJ29-AJ68,0),"")</f>
        <v>0</v>
      </c>
      <c r="AK200" s="74">
        <f>IFERROR(ROUND(AK29-AK68,0),"")</f>
        <v>0</v>
      </c>
      <c r="AL200" s="74">
        <f>IFERROR(ROUND(AL29-AL68,0),"")</f>
        <v>0</v>
      </c>
      <c r="AM200" s="74">
        <f>IFERROR(ROUND(AM29-AM68,0),"")</f>
        <v>0</v>
      </c>
      <c r="AN200" s="74">
        <f>IFERROR(ROUND(AN29-AN68,0),"")</f>
        <v>0</v>
      </c>
      <c r="AO200" s="74">
        <f>IFERROR(ROUND(AO29-AO68,0),"")</f>
        <v>0</v>
      </c>
      <c r="AP200" s="74">
        <f>IFERROR(ROUND(AP29-AP68,0),"")</f>
        <v>0</v>
      </c>
      <c r="AQ200" s="74">
        <f>IFERROR(ROUND(AQ29-AQ68,0),"")</f>
        <v>0</v>
      </c>
      <c r="AR200" s="74">
        <f>IFERROR(ROUND(AR29-AR68,0),"")</f>
        <v>0</v>
      </c>
      <c r="AS200" s="74">
        <f>IFERROR(ROUND(AS29-AS68,0),"")</f>
        <v>0</v>
      </c>
      <c r="AT200" s="74">
        <f>IFERROR(ROUND(AT29-AT68,0),"")</f>
        <v>0</v>
      </c>
      <c r="AU200" s="74">
        <f>IFERROR(ROUND(AU29-AU68,0),"")</f>
        <v>0</v>
      </c>
      <c r="AV200" s="74">
        <f>IFERROR(ROUND(AV29-AV68,0),"")</f>
        <v>0</v>
      </c>
      <c r="AW200" s="74">
        <f>IFERROR(ROUND(AW29-AW68,0),"")</f>
        <v>0</v>
      </c>
      <c r="AX200" s="74">
        <f>IFERROR(ROUND(AX29-AX68,0),"")</f>
        <v>0</v>
      </c>
      <c r="AY200" s="74">
        <f>IFERROR(ROUND(AY29-AY68,0),"")</f>
        <v>0</v>
      </c>
      <c r="AZ200" s="74">
        <f>IFERROR(ROUND(AZ29-AZ68,0),"")</f>
        <v>0</v>
      </c>
      <c r="BA200" s="74">
        <f>IFERROR(ROUND(BA29-BA68,0),"")</f>
        <v>0</v>
      </c>
      <c r="BB200" s="74">
        <f>IFERROR(ROUND(BB29-BB68,0),"")</f>
        <v>0</v>
      </c>
      <c r="BC200" s="74">
        <f>IFERROR(ROUND(BC29-BC68,0),"")</f>
        <v>0</v>
      </c>
      <c r="BD200" s="74">
        <f>IFERROR(ROUND(BD29-BD68,0),"")</f>
        <v>0</v>
      </c>
      <c r="BE200" s="74">
        <f>IFERROR(ROUND(BE29-BE68,0),"")</f>
        <v>0</v>
      </c>
      <c r="BF200" s="74">
        <f>IFERROR(ROUND(BF29-BF68,0),"")</f>
        <v>0</v>
      </c>
      <c r="BG200" s="74">
        <f>IFERROR(ROUND(BG29-BG68,0),"")</f>
        <v>0</v>
      </c>
    </row>
    <row r="201" hidden="1" outlineLevel="1">
      <c r="C201" s="11" t="inlineStr">
        <is>
          <t>Empréstimos totais – soma dos portfólios</t>
        </is>
      </c>
      <c r="D201" s="12" t="inlineStr">
        <is>
          <t>Total loans less sum of portfolios</t>
        </is>
      </c>
      <c r="E201" s="74" t="str">
        <f>IFERROR(IF(N(E115+E116+E117)=0,"",ROUND(E114-(E115+E116+E117),0)),"")</f>
        <v/>
      </c>
      <c r="F201" s="74" t="str">
        <f>IFERROR(IF(N(F115+F116+F117)=0,"",ROUND(F114-(F115+F116+F117),0)),"")</f>
        <v/>
      </c>
      <c r="G201" s="74" t="str">
        <f>IFERROR(IF(N(G115+G116+G117)=0,"",ROUND(G114-(G115+G116+G117),0)),"")</f>
        <v/>
      </c>
      <c r="H201" s="74" t="str">
        <f>IFERROR(IF(N(H115+H116+H117)=0,"",ROUND(H114-(H115+H116+H117),0)),"")</f>
        <v/>
      </c>
      <c r="I201" s="74" t="str">
        <f>IFERROR(IF(N(I115+I116+I117)=0,"",ROUND(I114-(I115+I116+I117),0)),"")</f>
        <v/>
      </c>
      <c r="J201" s="74" t="str">
        <f>IFERROR(IF(N(J115+J116+J117)=0,"",ROUND(J114-(J115+J116+J117),0)),"")</f>
        <v/>
      </c>
      <c r="K201" s="74" t="str">
        <f>IFERROR(IF(N(K115+K116+K117)=0,"",ROUND(K114-(K115+K116+K117),0)),"")</f>
        <v/>
      </c>
      <c r="L201" s="74" t="str">
        <f>IFERROR(IF(N(L115+L116+L117)=0,"",ROUND(L114-(L115+L116+L117),0)),"")</f>
        <v/>
      </c>
      <c r="M201" s="74" t="str">
        <f>IFERROR(IF(N(M115+M116+M117)=0,"",ROUND(M114-(M115+M116+M117),0)),"")</f>
        <v/>
      </c>
      <c r="N201" s="74" t="str">
        <f>IFERROR(IF(N(N115+N116+N117)=0,"",ROUND(N114-(N115+N116+N117),0)),"")</f>
        <v/>
      </c>
      <c r="O201" s="74" t="str">
        <f>IFERROR(IF(N(O115+O116+O117)=0,"",ROUND(O114-(O115+O116+O117),0)),"")</f>
        <v/>
      </c>
      <c r="P201" s="74" t="str">
        <f>IFERROR(IF(N(P115+P116+P117)=0,"",ROUND(P114-(P115+P116+P117),0)),"")</f>
        <v/>
      </c>
      <c r="Q201" s="74" t="str">
        <f>IFERROR(IF(N(Q115+Q116+Q117)=0,"",ROUND(Q114-(Q115+Q116+Q117),0)),"")</f>
        <v/>
      </c>
      <c r="R201" s="74" t="str">
        <f>IFERROR(IF(N(R115+R116+R117)=0,"",ROUND(R114-(R115+R116+R117),0)),"")</f>
        <v/>
      </c>
      <c r="S201" s="74" t="str">
        <f>IFERROR(IF(N(S115+S116+S117)=0,"",ROUND(S114-(S115+S116+S117),0)),"")</f>
        <v/>
      </c>
      <c r="T201" s="74" t="str">
        <f>IFERROR(IF(N(T115+T116+T117)=0,"",ROUND(T114-(T115+T116+T117),0)),"")</f>
        <v/>
      </c>
      <c r="U201" s="74" t="str">
        <f>IFERROR(IF(N(U115+U116+U117)=0,"",ROUND(U114-(U115+U116+U117),0)),"")</f>
        <v/>
      </c>
      <c r="V201" s="74" t="str">
        <f>IFERROR(IF(N(V115+V116+V117)=0,"",ROUND(V114-(V115+V116+V117),0)),"")</f>
        <v/>
      </c>
      <c r="W201" s="74" t="str">
        <f>IFERROR(IF(N(W115+W116+W117)=0,"",ROUND(W114-(W115+W116+W117),0)),"")</f>
        <v/>
      </c>
      <c r="X201" s="74" t="str">
        <f>IFERROR(IF(N(X115+X116+X117)=0,"",ROUND(X114-(X115+X116+X117),0)),"")</f>
        <v/>
      </c>
      <c r="Y201" s="74" t="str">
        <f>IFERROR(IF(N(Y115+Y116+Y117)=0,"",ROUND(Y114-(Y115+Y116+Y117),0)),"")</f>
        <v/>
      </c>
      <c r="Z201" s="74" t="str">
        <f>IFERROR(IF(N(Z115+Z116+Z117)=0,"",ROUND(Z114-(Z115+Z116+Z117),0)),"")</f>
        <v/>
      </c>
      <c r="AA201" s="74" t="str">
        <f>IFERROR(IF(N(AA115+AA116+AA117)=0,"",ROUND(AA114-(AA115+AA116+AA117),0)),"")</f>
        <v/>
      </c>
      <c r="AB201" s="74" t="str">
        <f>IFERROR(IF(N(AB115+AB116+AB117)=0,"",ROUND(AB114-(AB115+AB116+AB117),0)),"")</f>
        <v/>
      </c>
      <c r="AC201" s="74" t="str">
        <f>IFERROR(IF(N(AC115+AC116+AC117)=0,"",ROUND(AC114-(AC115+AC116+AC117),0)),"")</f>
        <v/>
      </c>
      <c r="AD201" s="74" t="str">
        <f>IFERROR(IF(N(AD115+AD116+AD117)=0,"",ROUND(AD114-(AD115+AD116+AD117),0)),"")</f>
        <v/>
      </c>
      <c r="AE201" s="74" t="str">
        <f>IFERROR(IF(N(AE115+AE116+AE117)=0,"",ROUND(AE114-(AE115+AE116+AE117),0)),"")</f>
        <v/>
      </c>
      <c r="AF201" s="74" t="str">
        <f>IFERROR(IF(N(AF115+AF116+AF117)=0,"",ROUND(AF114-(AF115+AF116+AF117),0)),"")</f>
        <v/>
      </c>
      <c r="AG201" s="74" t="str">
        <f>IFERROR(IF(N(AG115+AG116+AG117)=0,"",ROUND(AG114-(AG115+AG116+AG117),0)),"")</f>
        <v/>
      </c>
      <c r="AH201" s="74" t="str">
        <f>IFERROR(IF(N(AH115+AH116+AH117)=0,"",ROUND(AH114-(AH115+AH116+AH117),0)),"")</f>
        <v/>
      </c>
      <c r="AI201" s="74" t="str">
        <f>IFERROR(IF(N(AI115+AI116+AI117)=0,"",ROUND(AI114-(AI115+AI116+AI117),0)),"")</f>
        <v/>
      </c>
      <c r="AJ201" s="74" t="str">
        <f>IFERROR(IF(N(AJ115+AJ116+AJ117)=0,"",ROUND(AJ114-(AJ115+AJ116+AJ117),0)),"")</f>
        <v/>
      </c>
      <c r="AK201" s="74" t="str">
        <f>IFERROR(IF(N(AK115+AK116+AK117)=0,"",ROUND(AK114-(AK115+AK116+AK117),0)),"")</f>
        <v/>
      </c>
      <c r="AL201" s="74" t="str">
        <f>IFERROR(IF(N(AL115+AL116+AL117)=0,"",ROUND(AL114-(AL115+AL116+AL117),0)),"")</f>
        <v/>
      </c>
      <c r="AM201" s="74" t="str">
        <f>IFERROR(IF(N(AM115+AM116+AM117)=0,"",ROUND(AM114-(AM115+AM116+AM117),0)),"")</f>
        <v/>
      </c>
      <c r="AN201" s="74" t="str">
        <f>IFERROR(IF(N(AN115+AN116+AN117)=0,"",ROUND(AN114-(AN115+AN116+AN117),0)),"")</f>
        <v/>
      </c>
      <c r="AO201" s="74" t="str">
        <f>IFERROR(IF(N(AO115+AO116+AO117)=0,"",ROUND(AO114-(AO115+AO116+AO117),0)),"")</f>
        <v/>
      </c>
      <c r="AP201" s="74" t="str">
        <f>IFERROR(IF(N(AP115+AP116+AP117)=0,"",ROUND(AP114-(AP115+AP116+AP117),0)),"")</f>
        <v/>
      </c>
      <c r="AQ201" s="74" t="str">
        <f>IFERROR(IF(N(AQ115+AQ116+AQ117)=0,"",ROUND(AQ114-(AQ115+AQ116+AQ117),0)),"")</f>
        <v/>
      </c>
      <c r="AR201" s="74" t="str">
        <f>IFERROR(IF(N(AR115+AR116+AR117)=0,"",ROUND(AR114-(AR115+AR116+AR117),0)),"")</f>
        <v/>
      </c>
      <c r="AS201" s="74" t="str">
        <f>IFERROR(IF(N(AS115+AS116+AS117)=0,"",ROUND(AS114-(AS115+AS116+AS117),0)),"")</f>
        <v/>
      </c>
      <c r="AT201" s="74" t="str">
        <f>IFERROR(IF(N(AT115+AT116+AT117)=0,"",ROUND(AT114-(AT115+AT116+AT117),0)),"")</f>
        <v/>
      </c>
      <c r="AU201" s="74" t="str">
        <f>IFERROR(IF(N(AU115+AU116+AU117)=0,"",ROUND(AU114-(AU115+AU116+AU117),0)),"")</f>
        <v/>
      </c>
      <c r="AV201" s="74" t="str">
        <f>IFERROR(IF(N(AV115+AV116+AV117)=0,"",ROUND(AV114-(AV115+AV116+AV117),0)),"")</f>
        <v/>
      </c>
      <c r="AW201" s="74" t="str">
        <f>IFERROR(IF(N(AW115+AW116+AW117)=0,"",ROUND(AW114-(AW115+AW116+AW117),0)),"")</f>
        <v/>
      </c>
      <c r="AX201" s="74" t="str">
        <f>IFERROR(IF(N(AX115+AX116+AX117)=0,"",ROUND(AX114-(AX115+AX116+AX117),0)),"")</f>
        <v/>
      </c>
      <c r="AY201" s="74" t="str">
        <f>IFERROR(IF(N(AY115+AY116+AY117)=0,"",ROUND(AY114-(AY115+AY116+AY117),0)),"")</f>
        <v/>
      </c>
      <c r="AZ201" s="74" t="str">
        <f>IFERROR(IF(N(AZ115+AZ116+AZ117)=0,"",ROUND(AZ114-(AZ115+AZ116+AZ117),0)),"")</f>
        <v/>
      </c>
      <c r="BA201" s="74" t="str">
        <f>IFERROR(IF(N(BA115+BA116+BA117)=0,"",ROUND(BA114-(BA115+BA116+BA117),0)),"")</f>
        <v/>
      </c>
      <c r="BB201" s="74" t="str">
        <f>IFERROR(IF(N(BB115+BB116+BB117)=0,"",ROUND(BB114-(BB115+BB116+BB117),0)),"")</f>
        <v/>
      </c>
      <c r="BC201" s="74" t="str">
        <f>IFERROR(IF(N(BC115+BC116+BC117)=0,"",ROUND(BC114-(BC115+BC116+BC117),0)),"")</f>
        <v/>
      </c>
      <c r="BD201" s="74" t="str">
        <f>IFERROR(IF(N(BD115+BD116+BD117)=0,"",ROUND(BD114-(BD115+BD116+BD117),0)),"")</f>
        <v/>
      </c>
      <c r="BE201" s="74" t="str">
        <f>IFERROR(IF(N(BE115+BE116+BE117)=0,"",ROUND(BE114-(BE115+BE116+BE117),0)),"")</f>
        <v/>
      </c>
      <c r="BF201" s="74" t="str">
        <f>IFERROR(IF(N(BF115+BF116+BF117)=0,"",ROUND(BF114-(BF115+BF116+BF117),0)),"")</f>
        <v/>
      </c>
      <c r="BG201" s="74" t="str">
        <f>IFERROR(IF(N(BG115+BG116+BG117)=0,"",ROUND(BG114-(BG115+BG116+BG117),0)),"")</f>
        <v/>
      </c>
      <c r="BI201" s="14" t="inlineStr">
        <is>
          <t>Fica em branco quando a fonte não abre a carteira por estágio da 4.966.</t>
        </is>
      </c>
    </row>
    <row r="202" hidden="1" outlineLevel="1">
      <c r="C202" s="11" t="inlineStr">
        <is>
          <t>ACL do balanço – ACL total informada</t>
        </is>
      </c>
      <c r="D202" s="12" t="inlineStr">
        <is>
          <t>Balance-sheet ACL less reported ACL</t>
        </is>
      </c>
      <c r="E202" s="74" t="str">
        <f>IFERROR(IF(OR(N(E123)=0,N(E20)=0),"",ROUND(ABS(E20)-ABS(E123),0)),"")</f>
        <v/>
      </c>
      <c r="F202" s="74" t="str">
        <f>IFERROR(IF(OR(N(F123)=0,N(F20)=0),"",ROUND(ABS(F20)-ABS(F123),0)),"")</f>
        <v/>
      </c>
      <c r="G202" s="74" t="str">
        <f>IFERROR(IF(OR(N(G123)=0,N(G20)=0),"",ROUND(ABS(G20)-ABS(G123),0)),"")</f>
        <v/>
      </c>
      <c r="H202" s="74" t="str">
        <f>IFERROR(IF(OR(N(H123)=0,N(H20)=0),"",ROUND(ABS(H20)-ABS(H123),0)),"")</f>
        <v/>
      </c>
      <c r="I202" s="74" t="str">
        <f>IFERROR(IF(OR(N(I123)=0,N(I20)=0),"",ROUND(ABS(I20)-ABS(I123),0)),"")</f>
        <v/>
      </c>
      <c r="J202" s="74" t="str">
        <f>IFERROR(IF(OR(N(J123)=0,N(J20)=0),"",ROUND(ABS(J20)-ABS(J123),0)),"")</f>
        <v/>
      </c>
      <c r="K202" s="74" t="str">
        <f>IFERROR(IF(OR(N(K123)=0,N(K20)=0),"",ROUND(ABS(K20)-ABS(K123),0)),"")</f>
        <v/>
      </c>
      <c r="L202" s="74" t="str">
        <f>IFERROR(IF(OR(N(L123)=0,N(L20)=0),"",ROUND(ABS(L20)-ABS(L123),0)),"")</f>
        <v/>
      </c>
      <c r="M202" s="74" t="str">
        <f>IFERROR(IF(OR(N(M123)=0,N(M20)=0),"",ROUND(ABS(M20)-ABS(M123),0)),"")</f>
        <v/>
      </c>
      <c r="N202" s="74" t="str">
        <f>IFERROR(IF(OR(N(N123)=0,N(N20)=0),"",ROUND(ABS(N20)-ABS(N123),0)),"")</f>
        <v/>
      </c>
      <c r="O202" s="74" t="str">
        <f>IFERROR(IF(OR(N(O123)=0,N(O20)=0),"",ROUND(ABS(O20)-ABS(O123),0)),"")</f>
        <v/>
      </c>
      <c r="P202" s="74" t="str">
        <f>IFERROR(IF(OR(N(P123)=0,N(P20)=0),"",ROUND(ABS(P20)-ABS(P123),0)),"")</f>
        <v/>
      </c>
      <c r="Q202" s="74" t="str">
        <f>IFERROR(IF(OR(N(Q123)=0,N(Q20)=0),"",ROUND(ABS(Q20)-ABS(Q123),0)),"")</f>
        <v/>
      </c>
      <c r="R202" s="74" t="str">
        <f>IFERROR(IF(OR(N(R123)=0,N(R20)=0),"",ROUND(ABS(R20)-ABS(R123),0)),"")</f>
        <v/>
      </c>
      <c r="S202" s="74" t="str">
        <f>IFERROR(IF(OR(N(S123)=0,N(S20)=0),"",ROUND(ABS(S20)-ABS(S123),0)),"")</f>
        <v/>
      </c>
      <c r="T202" s="74" t="str">
        <f>IFERROR(IF(OR(N(T123)=0,N(T20)=0),"",ROUND(ABS(T20)-ABS(T123),0)),"")</f>
        <v/>
      </c>
      <c r="U202" s="74" t="str">
        <f>IFERROR(IF(OR(N(U123)=0,N(U20)=0),"",ROUND(ABS(U20)-ABS(U123),0)),"")</f>
        <v/>
      </c>
      <c r="V202" s="74" t="str">
        <f>IFERROR(IF(OR(N(V123)=0,N(V20)=0),"",ROUND(ABS(V20)-ABS(V123),0)),"")</f>
        <v/>
      </c>
      <c r="W202" s="74" t="str">
        <f>IFERROR(IF(OR(N(W123)=0,N(W20)=0),"",ROUND(ABS(W20)-ABS(W123),0)),"")</f>
        <v/>
      </c>
      <c r="X202" s="74" t="str">
        <f>IFERROR(IF(OR(N(X123)=0,N(X20)=0),"",ROUND(ABS(X20)-ABS(X123),0)),"")</f>
        <v/>
      </c>
      <c r="Y202" s="74" t="str">
        <f>IFERROR(IF(OR(N(Y123)=0,N(Y20)=0),"",ROUND(ABS(Y20)-ABS(Y123),0)),"")</f>
        <v/>
      </c>
      <c r="Z202" s="74" t="str">
        <f>IFERROR(IF(OR(N(Z123)=0,N(Z20)=0),"",ROUND(ABS(Z20)-ABS(Z123),0)),"")</f>
        <v/>
      </c>
      <c r="AA202" s="74" t="str">
        <f>IFERROR(IF(OR(N(AA123)=0,N(AA20)=0),"",ROUND(ABS(AA20)-ABS(AA123),0)),"")</f>
        <v/>
      </c>
      <c r="AB202" s="74" t="str">
        <f>IFERROR(IF(OR(N(AB123)=0,N(AB20)=0),"",ROUND(ABS(AB20)-ABS(AB123),0)),"")</f>
        <v/>
      </c>
      <c r="AC202" s="74" t="str">
        <f>IFERROR(IF(OR(N(AC123)=0,N(AC20)=0),"",ROUND(ABS(AC20)-ABS(AC123),0)),"")</f>
        <v/>
      </c>
      <c r="AD202" s="74" t="str">
        <f>IFERROR(IF(OR(N(AD123)=0,N(AD20)=0),"",ROUND(ABS(AD20)-ABS(AD123),0)),"")</f>
        <v/>
      </c>
      <c r="AE202" s="74" t="str">
        <f>IFERROR(IF(OR(N(AE123)=0,N(AE20)=0),"",ROUND(ABS(AE20)-ABS(AE123),0)),"")</f>
        <v/>
      </c>
      <c r="AF202" s="74" t="str">
        <f>IFERROR(IF(OR(N(AF123)=0,N(AF20)=0),"",ROUND(ABS(AF20)-ABS(AF123),0)),"")</f>
        <v/>
      </c>
      <c r="AG202" s="74" t="str">
        <f>IFERROR(IF(OR(N(AG123)=0,N(AG20)=0),"",ROUND(ABS(AG20)-ABS(AG123),0)),"")</f>
        <v/>
      </c>
      <c r="AH202" s="74" t="str">
        <f>IFERROR(IF(OR(N(AH123)=0,N(AH20)=0),"",ROUND(ABS(AH20)-ABS(AH123),0)),"")</f>
        <v/>
      </c>
      <c r="AI202" s="74" t="str">
        <f>IFERROR(IF(OR(N(AI123)=0,N(AI20)=0),"",ROUND(ABS(AI20)-ABS(AI123),0)),"")</f>
        <v/>
      </c>
      <c r="AJ202" s="74" t="str">
        <f>IFERROR(IF(OR(N(AJ123)=0,N(AJ20)=0),"",ROUND(ABS(AJ20)-ABS(AJ123),0)),"")</f>
        <v/>
      </c>
      <c r="AK202" s="74" t="str">
        <f>IFERROR(IF(OR(N(AK123)=0,N(AK20)=0),"",ROUND(ABS(AK20)-ABS(AK123),0)),"")</f>
        <v/>
      </c>
      <c r="AL202" s="74" t="str">
        <f>IFERROR(IF(OR(N(AL123)=0,N(AL20)=0),"",ROUND(ABS(AL20)-ABS(AL123),0)),"")</f>
        <v/>
      </c>
      <c r="AM202" s="74" t="str">
        <f>IFERROR(IF(OR(N(AM123)=0,N(AM20)=0),"",ROUND(ABS(AM20)-ABS(AM123),0)),"")</f>
        <v/>
      </c>
      <c r="AN202" s="74" t="str">
        <f>IFERROR(IF(OR(N(AN123)=0,N(AN20)=0),"",ROUND(ABS(AN20)-ABS(AN123),0)),"")</f>
        <v/>
      </c>
      <c r="AO202" s="74" t="str">
        <f>IFERROR(IF(OR(N(AO123)=0,N(AO20)=0),"",ROUND(ABS(AO20)-ABS(AO123),0)),"")</f>
        <v/>
      </c>
      <c r="AP202" s="74" t="str">
        <f>IFERROR(IF(OR(N(AP123)=0,N(AP20)=0),"",ROUND(ABS(AP20)-ABS(AP123),0)),"")</f>
        <v/>
      </c>
      <c r="AQ202" s="74" t="str">
        <f>IFERROR(IF(OR(N(AQ123)=0,N(AQ20)=0),"",ROUND(ABS(AQ20)-ABS(AQ123),0)),"")</f>
        <v/>
      </c>
      <c r="AR202" s="74" t="str">
        <f>IFERROR(IF(OR(N(AR123)=0,N(AR20)=0),"",ROUND(ABS(AR20)-ABS(AR123),0)),"")</f>
        <v/>
      </c>
      <c r="AS202" s="74" t="str">
        <f>IFERROR(IF(OR(N(AS123)=0,N(AS20)=0),"",ROUND(ABS(AS20)-ABS(AS123),0)),"")</f>
        <v/>
      </c>
      <c r="AT202" s="74" t="str">
        <f>IFERROR(IF(OR(N(AT123)=0,N(AT20)=0),"",ROUND(ABS(AT20)-ABS(AT123),0)),"")</f>
        <v/>
      </c>
      <c r="AU202" s="74" t="str">
        <f>IFERROR(IF(OR(N(AU123)=0,N(AU20)=0),"",ROUND(ABS(AU20)-ABS(AU123),0)),"")</f>
        <v/>
      </c>
      <c r="AV202" s="74" t="str">
        <f>IFERROR(IF(OR(N(AV123)=0,N(AV20)=0),"",ROUND(ABS(AV20)-ABS(AV123),0)),"")</f>
        <v/>
      </c>
      <c r="AW202" s="74" t="str">
        <f>IFERROR(IF(OR(N(AW123)=0,N(AW20)=0),"",ROUND(ABS(AW20)-ABS(AW123),0)),"")</f>
        <v/>
      </c>
      <c r="AX202" s="74" t="str">
        <f>IFERROR(IF(OR(N(AX123)=0,N(AX20)=0),"",ROUND(ABS(AX20)-ABS(AX123),0)),"")</f>
        <v/>
      </c>
      <c r="AY202" s="74" t="str">
        <f>IFERROR(IF(OR(N(AY123)=0,N(AY20)=0),"",ROUND(ABS(AY20)-ABS(AY123),0)),"")</f>
        <v/>
      </c>
      <c r="AZ202" s="74" t="str">
        <f>IFERROR(IF(OR(N(AZ123)=0,N(AZ20)=0),"",ROUND(ABS(AZ20)-ABS(AZ123),0)),"")</f>
        <v/>
      </c>
      <c r="BA202" s="74" t="str">
        <f>IFERROR(IF(OR(N(BA123)=0,N(BA20)=0),"",ROUND(ABS(BA20)-ABS(BA123),0)),"")</f>
        <v/>
      </c>
      <c r="BB202" s="74" t="str">
        <f>IFERROR(IF(OR(N(BB123)=0,N(BB20)=0),"",ROUND(ABS(BB20)-ABS(BB123),0)),"")</f>
        <v/>
      </c>
      <c r="BC202" s="74" t="str">
        <f>IFERROR(IF(OR(N(BC123)=0,N(BC20)=0),"",ROUND(ABS(BC20)-ABS(BC123),0)),"")</f>
        <v/>
      </c>
      <c r="BD202" s="74" t="str">
        <f>IFERROR(IF(OR(N(BD123)=0,N(BD20)=0),"",ROUND(ABS(BD20)-ABS(BD123),0)),"")</f>
        <v/>
      </c>
      <c r="BE202" s="74" t="str">
        <f>IFERROR(IF(OR(N(BE123)=0,N(BE20)=0),"",ROUND(ABS(BE20)-ABS(BE123),0)),"")</f>
        <v/>
      </c>
      <c r="BF202" s="74" t="str">
        <f>IFERROR(IF(OR(N(BF123)=0,N(BF20)=0),"",ROUND(ABS(BF20)-ABS(BF123),0)),"")</f>
        <v/>
      </c>
      <c r="BG202" s="74" t="str">
        <f>IFERROR(IF(OR(N(BG123)=0,N(BG20)=0),"",ROUND(ABS(BG20)-ABS(BG123),0)),"")</f>
        <v/>
      </c>
      <c r="BI202" s="14" t="inlineStr">
        <is>
          <t>Comparação em valor absoluto: a provisão do balanço entra negativa e a abertura por estágio costuma ser divulgada positiva. Em branco quando a fonte não abre.</t>
        </is>
      </c>
    </row>
  </sheetData>
  <conditionalFormatting sqref="E200:BG202">
    <cfRule type="cellIs" priority="1" operator="notBetween" dxfId="0">
      <formula>-50</formula>
      <formula>50</formula>
    </cfRule>
  </conditionalFormatting>
  <printOptions horizontalCentered="1"/>
  <pageMargins left="0.75" right="0.75" top="1" bottom="1" header="0.5" footer="0.5"/>
  <pageSetup orientation="landscape"/>
</worksheet>
</file>

<file path=xl/worksheets/sheet3.xml><?xml version="1.0" encoding="utf-8"?>
<worksheet xmlns="http://schemas.openxmlformats.org/spreadsheetml/2006/main">
  <sheetPr>
    <tabColor rgb="FF2F5597"/>
    <outlinePr summaryBelow="1" summaryRight="1"/>
    <pageSetUpPr/>
  </sheetPr>
  <dimension ref="A2:BI234"/>
  <sheetViews>
    <sheetView showGridLines="0" workbookViewId="0">
      <pane xSplit="4" ySplit="14" topLeftCell="E15" activePane="bottomRight" state="frozen"/>
      <selection pane="topRight" activeCell="A1" sqref="A1"/>
      <selection pane="bottomLeft" activeCell="A1" sqref="A1"/>
      <selection pane="bottomRight" activeCell="H43" sqref="H43"/>
    </sheetView>
  </sheetViews>
  <sheetFormatPr baseColWidth="8" defaultRowHeight="15" outlineLevelRow="2"/>
  <cols>
    <col width="2.42578125" customWidth="1" min="1" max="1"/>
    <col width="5" customWidth="1" min="2" max="2"/>
    <col width="58" customWidth="1" min="3" max="3"/>
    <col width="46" customWidth="1" min="4" max="4"/>
    <col outlineLevel="1" width="11.42578125" customWidth="1" min="5" max="8"/>
    <col width="11.42578125" customWidth="1" min="9" max="9"/>
    <col outlineLevel="1" width="11.42578125" customWidth="1" min="10" max="13"/>
    <col width="11.42578125" customWidth="1" min="14" max="14"/>
    <col outlineLevel="1" width="11.42578125" customWidth="1" min="15" max="18"/>
    <col width="11.42578125" customWidth="1" min="19" max="19"/>
    <col outlineLevel="1" width="11.42578125" customWidth="1" min="20" max="23"/>
    <col width="11.42578125" customWidth="1" min="24" max="24"/>
    <col outlineLevel="1" width="11.42578125" customWidth="1" min="25" max="28"/>
    <col width="11.42578125" customWidth="1" min="29" max="29"/>
    <col outlineLevel="1" width="11.42578125" customWidth="1" min="30" max="33"/>
    <col width="11.42578125" customWidth="1" min="34" max="34"/>
    <col outlineLevel="1" width="11.42578125" customWidth="1" min="35" max="38"/>
    <col width="11.42578125" customWidth="1" min="39" max="39"/>
    <col outlineLevel="1" width="11.42578125" customWidth="1" min="40" max="43"/>
    <col width="11.42578125" customWidth="1" min="44" max="44"/>
    <col outlineLevel="1" width="11.42578125" customWidth="1" min="45" max="48"/>
    <col width="11.42578125" customWidth="1" min="49" max="49"/>
    <col outlineLevel="1" width="11.42578125" customWidth="1" min="50" max="53"/>
    <col width="11.42578125" customWidth="1" min="54" max="54"/>
    <col outlineLevel="1" width="11.42578125" customWidth="1" min="55" max="58"/>
    <col width="11.42578125" customWidth="1" min="59" max="59"/>
    <col width="2" customWidth="1" min="60" max="60"/>
    <col width="58" customWidth="1" min="61" max="61"/>
  </cols>
  <sheetData>
    <row r="2" ht="18" customHeight="1">
      <c r="C2" s="75" t="inlineStr">
        <is>
          <t>MODELO OPERACIONAL — BALANÇO, RESULTADO E INDICADORES (BANCO DOS EUA, US GAAP)</t>
        </is>
      </c>
    </row>
    <row r="3">
      <c r="C3" s="76" t="str">
        <f>"Todos os valores monetários em "&amp;Inputs!$E$202&amp;". Percentuais, múltiplos e métricas por ação seguem a unidade indicada em cada linha."</f>
        <v>Todos os valores monetários em US$ milhões. Percentuais, múltiplos e métricas por ação seguem a unidade indicada em cada linha.</v>
      </c>
    </row>
    <row r="4">
      <c r="B4" s="7" t="n"/>
      <c r="C4" s="7" t="inlineStr">
        <is>
          <t>CHECKS</t>
        </is>
      </c>
      <c r="D4" s="7" t="inlineStr">
        <is>
          <t>INTEGRITY CHECKS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  <c r="R4" s="7" t="n"/>
      <c r="S4" s="7" t="n"/>
      <c r="T4" s="7" t="n"/>
      <c r="U4" s="7" t="n"/>
      <c r="V4" s="7" t="n"/>
      <c r="W4" s="7" t="n"/>
      <c r="X4" s="7" t="n"/>
      <c r="Y4" s="7" t="n"/>
      <c r="Z4" s="7" t="n"/>
      <c r="AA4" s="7" t="n"/>
      <c r="AB4" s="7" t="n"/>
      <c r="AC4" s="7" t="n"/>
      <c r="AD4" s="7" t="n"/>
      <c r="AE4" s="7" t="n"/>
      <c r="AF4" s="7" t="n"/>
      <c r="AG4" s="7" t="n"/>
      <c r="AH4" s="7" t="n"/>
      <c r="AI4" s="7" t="n"/>
      <c r="AJ4" s="7" t="n"/>
      <c r="AK4" s="7" t="n"/>
      <c r="AL4" s="7" t="n"/>
      <c r="AM4" s="7" t="n"/>
      <c r="AN4" s="7" t="n"/>
      <c r="AO4" s="7" t="n"/>
      <c r="AP4" s="7" t="n"/>
      <c r="AQ4" s="7" t="n"/>
      <c r="AR4" s="7" t="n"/>
      <c r="AS4" s="7" t="n"/>
      <c r="AT4" s="7" t="n"/>
      <c r="AU4" s="7" t="n"/>
      <c r="AV4" s="7" t="n"/>
      <c r="AW4" s="7" t="n"/>
      <c r="AX4" s="7" t="n"/>
      <c r="AY4" s="7" t="n"/>
      <c r="AZ4" s="7" t="n"/>
      <c r="BA4" s="7" t="n"/>
      <c r="BB4" s="7" t="n"/>
      <c r="BC4" s="7" t="n"/>
      <c r="BD4" s="7" t="n"/>
      <c r="BE4" s="7" t="n"/>
      <c r="BF4" s="7" t="n"/>
      <c r="BG4" s="7" t="n"/>
      <c r="BH4" s="7" t="n"/>
      <c r="BI4" s="7" t="n"/>
    </row>
    <row r="5" hidden="1" outlineLevel="1">
      <c r="C5" s="11" t="inlineStr">
        <is>
          <t>Balanço: Ativo – (Passivo + PL)</t>
        </is>
      </c>
      <c r="D5" s="12" t="inlineStr">
        <is>
          <t>Balance sheet tie-out</t>
        </is>
      </c>
      <c r="E5" s="74">
        <f>ROUND(E42-E80,0)</f>
        <v>0</v>
      </c>
      <c r="F5" s="74">
        <f>ROUND(F42-F80,0)</f>
        <v>0</v>
      </c>
      <c r="G5" s="74">
        <f>ROUND(G42-G80,0)</f>
        <v>0</v>
      </c>
      <c r="H5" s="74">
        <f>ROUND(H42-H80,0)</f>
        <v>0</v>
      </c>
      <c r="I5" s="77">
        <f>ROUND(I42-I80,0)</f>
        <v>0</v>
      </c>
      <c r="J5" s="74">
        <f>ROUND(J42-J80,0)</f>
        <v>0</v>
      </c>
      <c r="K5" s="74">
        <f>ROUND(K42-K80,0)</f>
        <v>0</v>
      </c>
      <c r="L5" s="74">
        <f>ROUND(L42-L80,0)</f>
        <v>0</v>
      </c>
      <c r="M5" s="74">
        <f>ROUND(M42-M80,0)</f>
        <v>0</v>
      </c>
      <c r="N5" s="77">
        <f>ROUND(N42-N80,0)</f>
        <v>0</v>
      </c>
      <c r="O5" s="74">
        <f>ROUND(O42-O80,0)</f>
        <v>0</v>
      </c>
      <c r="P5" s="74">
        <f>ROUND(P42-P80,0)</f>
        <v>0</v>
      </c>
      <c r="Q5" s="74">
        <f>ROUND(Q42-Q80,0)</f>
        <v>0</v>
      </c>
      <c r="R5" s="74">
        <f>ROUND(R42-R80,0)</f>
        <v>0</v>
      </c>
      <c r="S5" s="77">
        <f>ROUND(S42-S80,0)</f>
        <v>0</v>
      </c>
      <c r="T5" s="74">
        <f>ROUND(T42-T80,0)</f>
        <v>0</v>
      </c>
      <c r="U5" s="74">
        <f>ROUND(U42-U80,0)</f>
        <v>0</v>
      </c>
      <c r="V5" s="74">
        <f>ROUND(V42-V80,0)</f>
        <v>0</v>
      </c>
      <c r="W5" s="74">
        <f>ROUND(W42-W80,0)</f>
        <v>0</v>
      </c>
      <c r="X5" s="77">
        <f>ROUND(X42-X80,0)</f>
        <v>0</v>
      </c>
      <c r="Y5" s="74">
        <f>ROUND(Y42-Y80,0)</f>
        <v>0</v>
      </c>
      <c r="Z5" s="74">
        <f>ROUND(Z42-Z80,0)</f>
        <v>0</v>
      </c>
      <c r="AA5" s="74">
        <f>ROUND(AA42-AA80,0)</f>
        <v>0</v>
      </c>
      <c r="AB5" s="74">
        <f>ROUND(AB42-AB80,0)</f>
        <v>0</v>
      </c>
      <c r="AC5" s="77">
        <f>ROUND(AC42-AC80,0)</f>
        <v>0</v>
      </c>
      <c r="AD5" s="74">
        <f>ROUND(AD42-AD80,0)</f>
        <v>0</v>
      </c>
      <c r="AE5" s="74">
        <f>ROUND(AE42-AE80,0)</f>
        <v>0</v>
      </c>
      <c r="AF5" s="74">
        <f>ROUND(AF42-AF80,0)</f>
        <v>0</v>
      </c>
      <c r="AG5" s="74">
        <f>ROUND(AG42-AG80,0)</f>
        <v>0</v>
      </c>
      <c r="AH5" s="77">
        <f>ROUND(AH42-AH80,0)</f>
        <v>0</v>
      </c>
      <c r="AI5" s="74">
        <f>ROUND(AI42-AI80,0)</f>
        <v>0</v>
      </c>
      <c r="AJ5" s="74">
        <f>ROUND(AJ42-AJ80,0)</f>
        <v>0</v>
      </c>
      <c r="AK5" s="74">
        <f>ROUND(AK42-AK80,0)</f>
        <v>0</v>
      </c>
      <c r="AL5" s="74">
        <f>ROUND(AL42-AL80,0)</f>
        <v>0</v>
      </c>
      <c r="AM5" s="77">
        <f>ROUND(AM42-AM80,0)</f>
        <v>0</v>
      </c>
      <c r="AN5" s="74">
        <f>ROUND(AN42-AN80,0)</f>
        <v>0</v>
      </c>
      <c r="AO5" s="74">
        <f>ROUND(AO42-AO80,0)</f>
        <v>0</v>
      </c>
      <c r="AP5" s="74">
        <f>ROUND(AP42-AP80,0)</f>
        <v>0</v>
      </c>
      <c r="AQ5" s="74">
        <f>ROUND(AQ42-AQ80,0)</f>
        <v>0</v>
      </c>
      <c r="AR5" s="77">
        <f>ROUND(AR42-AR80,0)</f>
        <v>0</v>
      </c>
      <c r="AS5" s="74">
        <f>ROUND(AS42-AS80,0)</f>
        <v>0</v>
      </c>
      <c r="AT5" s="74">
        <f>ROUND(AT42-AT80,0)</f>
        <v>0</v>
      </c>
      <c r="AU5" s="74">
        <f>ROUND(AU42-AU80,0)</f>
        <v>0</v>
      </c>
      <c r="AV5" s="74">
        <f>ROUND(AV42-AV80,0)</f>
        <v>0</v>
      </c>
      <c r="AW5" s="77">
        <f>ROUND(AW42-AW80,0)</f>
        <v>0</v>
      </c>
      <c r="AX5" s="74">
        <f>ROUND(AX42-AX80,0)</f>
        <v>0</v>
      </c>
      <c r="AY5" s="74">
        <f>ROUND(AY42-AY80,0)</f>
        <v>0</v>
      </c>
      <c r="AZ5" s="74">
        <f>ROUND(AZ42-AZ80,0)</f>
        <v>0</v>
      </c>
      <c r="BA5" s="74">
        <f>ROUND(BA42-BA80,0)</f>
        <v>0</v>
      </c>
      <c r="BB5" s="77">
        <f>ROUND(BB42-BB80,0)</f>
        <v>0</v>
      </c>
      <c r="BC5" s="74">
        <f>ROUND(BC42-BC80,0)</f>
        <v>0</v>
      </c>
      <c r="BD5" s="74">
        <f>ROUND(BD42-BD80,0)</f>
        <v>0</v>
      </c>
      <c r="BE5" s="74">
        <f>ROUND(BE42-BE80,0)</f>
        <v>0</v>
      </c>
      <c r="BF5" s="74">
        <f>ROUND(BF42-BF80,0)</f>
        <v>0</v>
      </c>
      <c r="BG5" s="77">
        <f>ROUND(BG42-BG80,0)</f>
        <v>0</v>
      </c>
    </row>
    <row r="6" hidden="1" outlineLevel="1">
      <c r="C6" s="11" t="inlineStr">
        <is>
          <t>DRE: lucro do modelo – lucro reportado</t>
        </is>
      </c>
      <c r="D6" s="12" t="inlineStr">
        <is>
          <t>Income statement tie-out</t>
        </is>
      </c>
      <c r="E6" s="74">
        <f>IF(E$14=1,ROUND(E127-'Inputs (2)'!E105,0),0)</f>
        <v>0</v>
      </c>
      <c r="F6" s="74">
        <f>IF(F$14=1,ROUND(F127-'Inputs (2)'!F105,0),0)</f>
        <v>0</v>
      </c>
      <c r="G6" s="74">
        <f>IF(G$14=1,ROUND(G127-'Inputs (2)'!G105,0),0)</f>
        <v>0</v>
      </c>
      <c r="H6" s="74">
        <f>IF(H$14=1,ROUND(H127-'Inputs (2)'!H105,0),0)</f>
        <v>0</v>
      </c>
      <c r="I6" s="77">
        <f>IF(I$14=1,ROUND(I127-'Inputs (2)'!I105,0),0)</f>
        <v>0</v>
      </c>
      <c r="J6" s="74">
        <f>IF(J$14=1,ROUND(J127-'Inputs (2)'!J105,0),0)</f>
        <v>0</v>
      </c>
      <c r="K6" s="74">
        <f>IF(K$14=1,ROUND(K127-'Inputs (2)'!K105,0),0)</f>
        <v>0</v>
      </c>
      <c r="L6" s="74">
        <f>IF(L$14=1,ROUND(L127-'Inputs (2)'!L105,0),0)</f>
        <v>0</v>
      </c>
      <c r="M6" s="74">
        <f>IF(M$14=1,ROUND(M127-'Inputs (2)'!M105,0),0)</f>
        <v>0</v>
      </c>
      <c r="N6" s="77">
        <f>IF(N$14=1,ROUND(N127-'Inputs (2)'!N105,0),0)</f>
        <v>0</v>
      </c>
      <c r="O6" s="74">
        <f>IF(O$14=1,ROUND(O127-'Inputs (2)'!O105,0),0)</f>
        <v>0</v>
      </c>
      <c r="P6" s="74">
        <f>IF(P$14=1,ROUND(P127-'Inputs (2)'!P105,0),0)</f>
        <v>0</v>
      </c>
      <c r="Q6" s="74">
        <f>IF(Q$14=1,ROUND(Q127-'Inputs (2)'!Q105,0),0)</f>
        <v>0</v>
      </c>
      <c r="R6" s="74">
        <f>IF(R$14=1,ROUND(R127-'Inputs (2)'!R105,0),0)</f>
        <v>0</v>
      </c>
      <c r="S6" s="77">
        <f>IF(S$14=1,ROUND(S127-'Inputs (2)'!S105,0),0)</f>
        <v>0</v>
      </c>
      <c r="T6" s="74">
        <f>IF(T$14=1,ROUND(T127-'Inputs (2)'!T105,0),0)</f>
        <v>0</v>
      </c>
      <c r="U6" s="74">
        <f>IF(U$14=1,ROUND(U127-'Inputs (2)'!U105,0),0)</f>
        <v>0</v>
      </c>
      <c r="V6" s="74">
        <f>IF(V$14=1,ROUND(V127-'Inputs (2)'!V105,0),0)</f>
        <v>0</v>
      </c>
      <c r="W6" s="74">
        <f>IF(W$14=1,ROUND(W127-'Inputs (2)'!W105,0),0)</f>
        <v>0</v>
      </c>
      <c r="X6" s="77">
        <f>IF(X$14=1,ROUND(X127-'Inputs (2)'!X105,0),0)</f>
        <v>0</v>
      </c>
      <c r="Y6" s="74">
        <f>IF(Y$14=1,ROUND(Y127-'Inputs (2)'!Y105,0),0)</f>
        <v>0</v>
      </c>
      <c r="Z6" s="74">
        <f>IF(Z$14=1,ROUND(Z127-'Inputs (2)'!Z105,0),0)</f>
        <v>0</v>
      </c>
      <c r="AA6" s="74">
        <f>IF(AA$14=1,ROUND(AA127-'Inputs (2)'!AA105,0),0)</f>
        <v>0</v>
      </c>
      <c r="AB6" s="74">
        <f>IF(AB$14=1,ROUND(AB127-'Inputs (2)'!AB105,0),0)</f>
        <v>0</v>
      </c>
      <c r="AC6" s="77">
        <f>IF(AC$14=1,ROUND(AC127-'Inputs (2)'!AC105,0),0)</f>
        <v>0</v>
      </c>
      <c r="AD6" s="74">
        <f>IF(AD$14=1,ROUND(AD127-'Inputs (2)'!AD105,0),0)</f>
        <v>0</v>
      </c>
      <c r="AE6" s="74">
        <f>IF(AE$14=1,ROUND(AE127-'Inputs (2)'!AE105,0),0)</f>
        <v>0</v>
      </c>
      <c r="AF6" s="74">
        <f>IF(AF$14=1,ROUND(AF127-'Inputs (2)'!AF105,0),0)</f>
        <v>0</v>
      </c>
      <c r="AG6" s="74">
        <f>IF(AG$14=1,ROUND(AG127-'Inputs (2)'!AG105,0),0)</f>
        <v>0</v>
      </c>
      <c r="AH6" s="77">
        <f>IF(AH$14=1,ROUND(AH127-'Inputs (2)'!AH105,0),0)</f>
        <v>0</v>
      </c>
      <c r="AI6" s="74">
        <f>IF(AI$14=1,ROUND(AI127-'Inputs (2)'!AI105,0),0)</f>
        <v>0</v>
      </c>
      <c r="AJ6" s="74">
        <f>IF(AJ$14=1,ROUND(AJ127-'Inputs (2)'!AJ105,0),0)</f>
        <v>0</v>
      </c>
      <c r="AK6" s="74">
        <f>IF(AK$14=1,ROUND(AK127-'Inputs (2)'!AK105,0),0)</f>
        <v>0</v>
      </c>
      <c r="AL6" s="74">
        <f>IF(AL$14=1,ROUND(AL127-'Inputs (2)'!AL105,0),0)</f>
        <v>0</v>
      </c>
      <c r="AM6" s="77">
        <f>IF(AM$14=1,ROUND(AM127-'Inputs (2)'!AM105,0),0)</f>
        <v>0</v>
      </c>
      <c r="AN6" s="74">
        <f>IF(AN$14=1,ROUND(AN127-'Inputs (2)'!AN105,0),0)</f>
        <v>0</v>
      </c>
      <c r="AO6" s="74">
        <f>IF(AO$14=1,ROUND(AO127-'Inputs (2)'!AO105,0),0)</f>
        <v>0</v>
      </c>
      <c r="AP6" s="74">
        <f>IF(AP$14=1,ROUND(AP127-'Inputs (2)'!AP105,0),0)</f>
        <v>0</v>
      </c>
      <c r="AQ6" s="74">
        <f>IF(AQ$14=1,ROUND(AQ127-'Inputs (2)'!AQ105,0),0)</f>
        <v>0</v>
      </c>
      <c r="AR6" s="77">
        <f>IF(AR$14=1,ROUND(AR127-'Inputs (2)'!AR105,0),0)</f>
        <v>0</v>
      </c>
      <c r="AS6" s="74">
        <f>IF(AS$14=1,ROUND(AS127-'Inputs (2)'!AS105,0),0)</f>
        <v>0</v>
      </c>
      <c r="AT6" s="74">
        <f>IF(AT$14=1,ROUND(AT127-'Inputs (2)'!AT105,0),0)</f>
        <v>0</v>
      </c>
      <c r="AU6" s="74">
        <f>IF(AU$14=1,ROUND(AU127-'Inputs (2)'!AU105,0),0)</f>
        <v>0</v>
      </c>
      <c r="AV6" s="74">
        <f>IF(AV$14=1,ROUND(AV127-'Inputs (2)'!AV105,0),0)</f>
        <v>0</v>
      </c>
      <c r="AW6" s="77">
        <f>IF(AW$14=1,ROUND(AW127-'Inputs (2)'!AW105,0),0)</f>
        <v>0</v>
      </c>
      <c r="AX6" s="74">
        <f>IF(AX$14=1,ROUND(AX127-'Inputs (2)'!AX105,0),0)</f>
        <v>0</v>
      </c>
      <c r="AY6" s="74">
        <f>IF(AY$14=1,ROUND(AY127-'Inputs (2)'!AY105,0),0)</f>
        <v>0</v>
      </c>
      <c r="AZ6" s="74">
        <f>IF(AZ$14=1,ROUND(AZ127-'Inputs (2)'!AZ105,0),0)</f>
        <v>0</v>
      </c>
      <c r="BA6" s="74">
        <f>IF(BA$14=1,ROUND(BA127-'Inputs (2)'!BA105,0),0)</f>
        <v>0</v>
      </c>
      <c r="BB6" s="77">
        <f>IF(BB$14=1,ROUND(BB127-'Inputs (2)'!BB105,0),0)</f>
        <v>0</v>
      </c>
      <c r="BC6" s="74">
        <f>IF(BC$14=1,ROUND(BC127-'Inputs (2)'!BC105,0),0)</f>
        <v>0</v>
      </c>
      <c r="BD6" s="74">
        <f>IF(BD$14=1,ROUND(BD127-'Inputs (2)'!BD105,0),0)</f>
        <v>0</v>
      </c>
      <c r="BE6" s="74">
        <f>IF(BE$14=1,ROUND(BE127-'Inputs (2)'!BE105,0),0)</f>
        <v>0</v>
      </c>
      <c r="BF6" s="74">
        <f>IF(BF$14=1,ROUND(BF127-'Inputs (2)'!BF105,0),0)</f>
        <v>0</v>
      </c>
      <c r="BG6" s="77">
        <f>IF(BG$14=1,ROUND(BG127-'Inputs (2)'!BG105,0),0)</f>
        <v>0</v>
      </c>
    </row>
    <row r="7" hidden="1" outlineLevel="1">
      <c r="C7" s="11" t="inlineStr">
        <is>
          <t>PL: saldo final – roll-forward</t>
        </is>
      </c>
      <c r="D7" s="12" t="inlineStr">
        <is>
          <t>Equity roll-forward tie-out</t>
        </is>
      </c>
      <c r="E7" s="74">
        <f>ROUND(E79-E90,0)</f>
        <v>0</v>
      </c>
      <c r="F7" s="74">
        <f>ROUND(F79-F90,0)</f>
        <v>0</v>
      </c>
      <c r="G7" s="74">
        <f>ROUND(G79-G90,0)</f>
        <v>0</v>
      </c>
      <c r="H7" s="74">
        <f>ROUND(H79-H90,0)</f>
        <v>0</v>
      </c>
      <c r="I7" s="77">
        <f>ROUND(I79-I90,0)</f>
        <v>0</v>
      </c>
      <c r="J7" s="74">
        <f>ROUND(J79-J90,0)</f>
        <v>0</v>
      </c>
      <c r="K7" s="74">
        <f>ROUND(K79-K90,0)</f>
        <v>0</v>
      </c>
      <c r="L7" s="74">
        <f>ROUND(L79-L90,0)</f>
        <v>0</v>
      </c>
      <c r="M7" s="74">
        <f>ROUND(M79-M90,0)</f>
        <v>0</v>
      </c>
      <c r="N7" s="77">
        <f>ROUND(N79-N90,0)</f>
        <v>0</v>
      </c>
      <c r="O7" s="74">
        <f>ROUND(O79-O90,0)</f>
        <v>0</v>
      </c>
      <c r="P7" s="74">
        <f>ROUND(P79-P90,0)</f>
        <v>0</v>
      </c>
      <c r="Q7" s="74">
        <f>ROUND(Q79-Q90,0)</f>
        <v>0</v>
      </c>
      <c r="R7" s="74">
        <f>ROUND(R79-R90,0)</f>
        <v>0</v>
      </c>
      <c r="S7" s="77">
        <f>ROUND(S79-S90,0)</f>
        <v>0</v>
      </c>
      <c r="T7" s="74">
        <f>ROUND(T79-T90,0)</f>
        <v>0</v>
      </c>
      <c r="U7" s="74">
        <f>ROUND(U79-U90,0)</f>
        <v>0</v>
      </c>
      <c r="V7" s="74">
        <f>ROUND(V79-V90,0)</f>
        <v>0</v>
      </c>
      <c r="W7" s="74">
        <f>ROUND(W79-W90,0)</f>
        <v>0</v>
      </c>
      <c r="X7" s="77">
        <f>ROUND(X79-X90,0)</f>
        <v>0</v>
      </c>
      <c r="Y7" s="74">
        <f>ROUND(Y79-Y90,0)</f>
        <v>0</v>
      </c>
      <c r="Z7" s="74">
        <f>ROUND(Z79-Z90,0)</f>
        <v>0</v>
      </c>
      <c r="AA7" s="74">
        <f>ROUND(AA79-AA90,0)</f>
        <v>0</v>
      </c>
      <c r="AB7" s="74">
        <f>ROUND(AB79-AB90,0)</f>
        <v>0</v>
      </c>
      <c r="AC7" s="77">
        <f>ROUND(AC79-AC90,0)</f>
        <v>0</v>
      </c>
      <c r="AD7" s="74">
        <f>ROUND(AD79-AD90,0)</f>
        <v>0</v>
      </c>
      <c r="AE7" s="74">
        <f>ROUND(AE79-AE90,0)</f>
        <v>0</v>
      </c>
      <c r="AF7" s="74">
        <f>ROUND(AF79-AF90,0)</f>
        <v>0</v>
      </c>
      <c r="AG7" s="74">
        <f>ROUND(AG79-AG90,0)</f>
        <v>0</v>
      </c>
      <c r="AH7" s="77">
        <f>ROUND(AH79-AH90,0)</f>
        <v>0</v>
      </c>
      <c r="AI7" s="74">
        <f>ROUND(AI79-AI90,0)</f>
        <v>0</v>
      </c>
      <c r="AJ7" s="74">
        <f>ROUND(AJ79-AJ90,0)</f>
        <v>0</v>
      </c>
      <c r="AK7" s="74">
        <f>ROUND(AK79-AK90,0)</f>
        <v>0</v>
      </c>
      <c r="AL7" s="74">
        <f>ROUND(AL79-AL90,0)</f>
        <v>0</v>
      </c>
      <c r="AM7" s="77">
        <f>ROUND(AM79-AM90,0)</f>
        <v>0</v>
      </c>
      <c r="AN7" s="74">
        <f>ROUND(AN79-AN90,0)</f>
        <v>0</v>
      </c>
      <c r="AO7" s="74">
        <f>ROUND(AO79-AO90,0)</f>
        <v>0</v>
      </c>
      <c r="AP7" s="74">
        <f>ROUND(AP79-AP90,0)</f>
        <v>0</v>
      </c>
      <c r="AQ7" s="74">
        <f>ROUND(AQ79-AQ90,0)</f>
        <v>0</v>
      </c>
      <c r="AR7" s="77">
        <f>ROUND(AR79-AR90,0)</f>
        <v>0</v>
      </c>
      <c r="AS7" s="74">
        <f>ROUND(AS79-AS90,0)</f>
        <v>0</v>
      </c>
      <c r="AT7" s="74">
        <f>ROUND(AT79-AT90,0)</f>
        <v>0</v>
      </c>
      <c r="AU7" s="74">
        <f>ROUND(AU79-AU90,0)</f>
        <v>0</v>
      </c>
      <c r="AV7" s="74">
        <f>ROUND(AV79-AV90,0)</f>
        <v>0</v>
      </c>
      <c r="AW7" s="77">
        <f>ROUND(AW79-AW90,0)</f>
        <v>0</v>
      </c>
      <c r="AX7" s="74">
        <f>ROUND(AX79-AX90,0)</f>
        <v>0</v>
      </c>
      <c r="AY7" s="74">
        <f>ROUND(AY79-AY90,0)</f>
        <v>0</v>
      </c>
      <c r="AZ7" s="74">
        <f>ROUND(AZ79-AZ90,0)</f>
        <v>0</v>
      </c>
      <c r="BA7" s="74">
        <f>ROUND(BA79-BA90,0)</f>
        <v>0</v>
      </c>
      <c r="BB7" s="77">
        <f>ROUND(BB79-BB90,0)</f>
        <v>0</v>
      </c>
      <c r="BC7" s="74">
        <f>ROUND(BC79-BC90,0)</f>
        <v>0</v>
      </c>
      <c r="BD7" s="74">
        <f>ROUND(BD79-BD90,0)</f>
        <v>0</v>
      </c>
      <c r="BE7" s="74">
        <f>ROUND(BE79-BE90,0)</f>
        <v>0</v>
      </c>
      <c r="BF7" s="74">
        <f>ROUND(BF79-BF90,0)</f>
        <v>0</v>
      </c>
      <c r="BG7" s="77">
        <f>ROUND(BG79-BG90,0)</f>
        <v>0</v>
      </c>
    </row>
    <row r="8" collapsed="1">
      <c r="C8" s="15" t="inlineStr">
        <is>
          <t>STATUS DO MODELO</t>
        </is>
      </c>
      <c r="D8" s="78" t="n">
        <v>5</v>
      </c>
      <c r="E8" s="79" t="str">
        <f>IF(AND(MAX(E5:BG7)&lt;=$D$8,MIN(E5:BG7)&gt;=-$D$8),"MODELO CONSISTENTE","VERIFICAR CHECKS ACIMA")</f>
        <v>MODELO CONSISTENTE</v>
      </c>
      <c r="BI8" s="14" t="inlineStr">
        <is>
          <t>A célula amarela é a tolerância de arredondamento aceita, na mesma unidade das demonstrações. Diferença acima dela acende o alerta.</t>
        </is>
      </c>
    </row>
    <row r="10">
      <c r="B10" s="7" t="n"/>
      <c r="C10" s="7" t="inlineStr">
        <is>
          <t>GRADE DE PERÍODOS</t>
        </is>
      </c>
      <c r="D10" s="7" t="inlineStr">
        <is>
          <t>PERIOD GRID</t>
        </is>
      </c>
      <c r="E10" s="7" t="n"/>
      <c r="F10" s="7" t="n"/>
      <c r="G10" s="7" t="n"/>
      <c r="H10" s="7" t="n"/>
      <c r="I10" s="7" t="n"/>
      <c r="J10" s="7" t="n"/>
      <c r="K10" s="7" t="n"/>
      <c r="L10" s="7" t="n"/>
      <c r="M10" s="7" t="n"/>
      <c r="N10" s="7" t="n"/>
      <c r="O10" s="7" t="n"/>
      <c r="P10" s="7" t="n"/>
      <c r="Q10" s="7" t="n"/>
      <c r="R10" s="7" t="n"/>
      <c r="S10" s="7" t="n"/>
      <c r="T10" s="7" t="n"/>
      <c r="U10" s="7" t="n"/>
      <c r="V10" s="7" t="n"/>
      <c r="W10" s="7" t="n"/>
      <c r="X10" s="7" t="n"/>
      <c r="Y10" s="7" t="n"/>
      <c r="Z10" s="7" t="n"/>
      <c r="AA10" s="7" t="n"/>
      <c r="AB10" s="7" t="n"/>
      <c r="AC10" s="7" t="n"/>
      <c r="AD10" s="7" t="n"/>
      <c r="AE10" s="7" t="n"/>
      <c r="AF10" s="7" t="n"/>
      <c r="AG10" s="7" t="n"/>
      <c r="AH10" s="7" t="n"/>
      <c r="AI10" s="7" t="n"/>
      <c r="AJ10" s="7" t="n"/>
      <c r="AK10" s="7" t="n"/>
      <c r="AL10" s="7" t="n"/>
      <c r="AM10" s="7" t="n"/>
      <c r="AN10" s="7" t="n"/>
      <c r="AO10" s="7" t="n"/>
      <c r="AP10" s="7" t="n"/>
      <c r="AQ10" s="7" t="n"/>
      <c r="AR10" s="7" t="n"/>
      <c r="AS10" s="7" t="n"/>
      <c r="AT10" s="7" t="n"/>
      <c r="AU10" s="7" t="n"/>
      <c r="AV10" s="7" t="n"/>
      <c r="AW10" s="7" t="n"/>
      <c r="AX10" s="7" t="n"/>
      <c r="AY10" s="7" t="n"/>
      <c r="AZ10" s="7" t="n"/>
      <c r="BA10" s="7" t="n"/>
      <c r="BB10" s="7" t="n"/>
      <c r="BC10" s="7" t="n"/>
      <c r="BD10" s="7" t="n"/>
      <c r="BE10" s="7" t="n"/>
      <c r="BF10" s="7" t="n"/>
      <c r="BG10" s="7" t="n"/>
      <c r="BH10" s="7" t="n"/>
      <c r="BI10" s="7" t="n"/>
    </row>
    <row r="11">
      <c r="C11" s="11" t="inlineStr">
        <is>
          <t>Data de fechamento</t>
        </is>
      </c>
      <c r="D11" s="12" t="inlineStr">
        <is>
          <t>Period end</t>
        </is>
      </c>
      <c r="E11" s="23">
        <f>DATE(2020,4,1)-1</f>
        <v>43921.0</v>
      </c>
      <c r="F11" s="23">
        <f>DATE(2020,7,1)-1</f>
        <v>44012.0</v>
      </c>
      <c r="G11" s="23">
        <f>DATE(2020,10,1)-1</f>
        <v>44104.0</v>
      </c>
      <c r="H11" s="23">
        <f>DATE(2020,13,1)-1</f>
        <v>44196.0</v>
      </c>
      <c r="I11" s="23">
        <f>H11</f>
        <v>44196.0</v>
      </c>
      <c r="J11" s="23">
        <f>DATE(2021,4,1)-1</f>
        <v>44286.0</v>
      </c>
      <c r="K11" s="23">
        <f>DATE(2021,7,1)-1</f>
        <v>44377.0</v>
      </c>
      <c r="L11" s="23">
        <f>DATE(2021,10,1)-1</f>
        <v>44469.0</v>
      </c>
      <c r="M11" s="23">
        <f>DATE(2021,13,1)-1</f>
        <v>44561.0</v>
      </c>
      <c r="N11" s="23">
        <f>M11</f>
        <v>44561.0</v>
      </c>
      <c r="O11" s="23">
        <f>DATE(2022,4,1)-1</f>
        <v>44651.0</v>
      </c>
      <c r="P11" s="23">
        <f>DATE(2022,7,1)-1</f>
        <v>44742.0</v>
      </c>
      <c r="Q11" s="23">
        <f>DATE(2022,10,1)-1</f>
        <v>44834.0</v>
      </c>
      <c r="R11" s="23">
        <f>DATE(2022,13,1)-1</f>
        <v>44926.0</v>
      </c>
      <c r="S11" s="23">
        <f>R11</f>
        <v>44926.0</v>
      </c>
      <c r="T11" s="23">
        <f>DATE(2023,4,1)-1</f>
        <v>45016.0</v>
      </c>
      <c r="U11" s="23">
        <f>DATE(2023,7,1)-1</f>
        <v>45107.0</v>
      </c>
      <c r="V11" s="23">
        <f>DATE(2023,10,1)-1</f>
        <v>45199.0</v>
      </c>
      <c r="W11" s="23">
        <f>DATE(2023,13,1)-1</f>
        <v>45291.0</v>
      </c>
      <c r="X11" s="23">
        <f>W11</f>
        <v>45291.0</v>
      </c>
      <c r="Y11" s="23">
        <f>DATE(2024,4,1)-1</f>
        <v>45382.0</v>
      </c>
      <c r="Z11" s="23">
        <f>DATE(2024,7,1)-1</f>
        <v>45473.0</v>
      </c>
      <c r="AA11" s="23">
        <f>DATE(2024,10,1)-1</f>
        <v>45565.0</v>
      </c>
      <c r="AB11" s="23">
        <f>DATE(2024,13,1)-1</f>
        <v>45657.0</v>
      </c>
      <c r="AC11" s="23">
        <f>AB11</f>
        <v>45657.0</v>
      </c>
      <c r="AD11" s="23">
        <f>DATE(2025,4,1)-1</f>
        <v>45747.0</v>
      </c>
      <c r="AE11" s="23">
        <f>DATE(2025,7,1)-1</f>
        <v>45838.0</v>
      </c>
      <c r="AF11" s="23">
        <f>DATE(2025,10,1)-1</f>
        <v>45930.0</v>
      </c>
      <c r="AG11" s="23">
        <f>DATE(2025,13,1)-1</f>
        <v>46022.0</v>
      </c>
      <c r="AH11" s="23">
        <f>AG11</f>
        <v>46022.0</v>
      </c>
      <c r="AI11" s="23">
        <f>DATE(2026,4,1)-1</f>
        <v>46112.0</v>
      </c>
      <c r="AJ11" s="23">
        <f>DATE(2026,7,1)-1</f>
        <v>46203.0</v>
      </c>
      <c r="AK11" s="23">
        <f>DATE(2026,10,1)-1</f>
        <v>46295.0</v>
      </c>
      <c r="AL11" s="23">
        <f>DATE(2026,13,1)-1</f>
        <v>46387.0</v>
      </c>
      <c r="AM11" s="23">
        <f>AL11</f>
        <v>46387.0</v>
      </c>
      <c r="AN11" s="23">
        <f>DATE(2027,4,1)-1</f>
        <v>46477.0</v>
      </c>
      <c r="AO11" s="23">
        <f>DATE(2027,7,1)-1</f>
        <v>46568.0</v>
      </c>
      <c r="AP11" s="23">
        <f>DATE(2027,10,1)-1</f>
        <v>46660.0</v>
      </c>
      <c r="AQ11" s="23">
        <f>DATE(2027,13,1)-1</f>
        <v>46752.0</v>
      </c>
      <c r="AR11" s="23">
        <f>AQ11</f>
        <v>46752.0</v>
      </c>
      <c r="AS11" s="23">
        <f>DATE(2028,4,1)-1</f>
        <v>46843.0</v>
      </c>
      <c r="AT11" s="23">
        <f>DATE(2028,7,1)-1</f>
        <v>46934.0</v>
      </c>
      <c r="AU11" s="23">
        <f>DATE(2028,10,1)-1</f>
        <v>47026.0</v>
      </c>
      <c r="AV11" s="23">
        <f>DATE(2028,13,1)-1</f>
        <v>47118.0</v>
      </c>
      <c r="AW11" s="23">
        <f>AV11</f>
        <v>47118.0</v>
      </c>
      <c r="AX11" s="23">
        <f>DATE(2029,4,1)-1</f>
        <v>47208.0</v>
      </c>
      <c r="AY11" s="23">
        <f>DATE(2029,7,1)-1</f>
        <v>47299.0</v>
      </c>
      <c r="AZ11" s="23">
        <f>DATE(2029,10,1)-1</f>
        <v>47391.0</v>
      </c>
      <c r="BA11" s="23">
        <f>DATE(2029,13,1)-1</f>
        <v>47483.0</v>
      </c>
      <c r="BB11" s="23">
        <f>BA11</f>
        <v>47483.0</v>
      </c>
      <c r="BC11" s="23">
        <f>DATE(2030,4,1)-1</f>
        <v>47573.0</v>
      </c>
      <c r="BD11" s="23">
        <f>DATE(2030,7,1)-1</f>
        <v>47664.0</v>
      </c>
      <c r="BE11" s="23">
        <f>DATE(2030,10,1)-1</f>
        <v>47756.0</v>
      </c>
      <c r="BF11" s="23">
        <f>DATE(2030,13,1)-1</f>
        <v>47848.0</v>
      </c>
      <c r="BG11" s="23">
        <f>BF11</f>
        <v>47848.0</v>
      </c>
    </row>
    <row r="12" hidden="1">
      <c r="E12" s="24" t="n">
        <v>2020</v>
      </c>
      <c r="F12" s="24" t="n">
        <v>2020</v>
      </c>
      <c r="G12" s="24" t="n">
        <v>2020</v>
      </c>
      <c r="H12" s="24" t="n">
        <v>2020</v>
      </c>
      <c r="I12" s="24" t="n">
        <v>2020</v>
      </c>
      <c r="J12" s="24" t="n">
        <v>2021</v>
      </c>
      <c r="K12" s="24" t="n">
        <v>2021</v>
      </c>
      <c r="L12" s="24" t="n">
        <v>2021</v>
      </c>
      <c r="M12" s="24" t="n">
        <v>2021</v>
      </c>
      <c r="N12" s="24" t="n">
        <v>2021</v>
      </c>
      <c r="O12" s="24" t="n">
        <v>2022</v>
      </c>
      <c r="P12" s="24" t="n">
        <v>2022</v>
      </c>
      <c r="Q12" s="24" t="n">
        <v>2022</v>
      </c>
      <c r="R12" s="24" t="n">
        <v>2022</v>
      </c>
      <c r="S12" s="24" t="n">
        <v>2022</v>
      </c>
      <c r="T12" s="24" t="n">
        <v>2023</v>
      </c>
      <c r="U12" s="24" t="n">
        <v>2023</v>
      </c>
      <c r="V12" s="24" t="n">
        <v>2023</v>
      </c>
      <c r="W12" s="24" t="n">
        <v>2023</v>
      </c>
      <c r="X12" s="24" t="n">
        <v>2023</v>
      </c>
      <c r="Y12" s="24" t="n">
        <v>2024</v>
      </c>
      <c r="Z12" s="24" t="n">
        <v>2024</v>
      </c>
      <c r="AA12" s="24" t="n">
        <v>2024</v>
      </c>
      <c r="AB12" s="24" t="n">
        <v>2024</v>
      </c>
      <c r="AC12" s="24" t="n">
        <v>2024</v>
      </c>
      <c r="AD12" s="24" t="n">
        <v>2025</v>
      </c>
      <c r="AE12" s="24" t="n">
        <v>2025</v>
      </c>
      <c r="AF12" s="24" t="n">
        <v>2025</v>
      </c>
      <c r="AG12" s="24" t="n">
        <v>2025</v>
      </c>
      <c r="AH12" s="24" t="n">
        <v>2025</v>
      </c>
      <c r="AI12" s="24" t="n">
        <v>2026</v>
      </c>
      <c r="AJ12" s="24" t="n">
        <v>2026</v>
      </c>
      <c r="AK12" s="24" t="n">
        <v>2026</v>
      </c>
      <c r="AL12" s="24" t="n">
        <v>2026</v>
      </c>
      <c r="AM12" s="24" t="n">
        <v>2026</v>
      </c>
      <c r="AN12" s="24" t="n">
        <v>2027</v>
      </c>
      <c r="AO12" s="24" t="n">
        <v>2027</v>
      </c>
      <c r="AP12" s="24" t="n">
        <v>2027</v>
      </c>
      <c r="AQ12" s="24" t="n">
        <v>2027</v>
      </c>
      <c r="AR12" s="24" t="n">
        <v>2027</v>
      </c>
      <c r="AS12" s="24" t="n">
        <v>2028</v>
      </c>
      <c r="AT12" s="24" t="n">
        <v>2028</v>
      </c>
      <c r="AU12" s="24" t="n">
        <v>2028</v>
      </c>
      <c r="AV12" s="24" t="n">
        <v>2028</v>
      </c>
      <c r="AW12" s="24" t="n">
        <v>2028</v>
      </c>
      <c r="AX12" s="24" t="n">
        <v>2029</v>
      </c>
      <c r="AY12" s="24" t="n">
        <v>2029</v>
      </c>
      <c r="AZ12" s="24" t="n">
        <v>2029</v>
      </c>
      <c r="BA12" s="24" t="n">
        <v>2029</v>
      </c>
      <c r="BB12" s="24" t="n">
        <v>2029</v>
      </c>
      <c r="BC12" s="24" t="n">
        <v>2030</v>
      </c>
      <c r="BD12" s="24" t="n">
        <v>2030</v>
      </c>
      <c r="BE12" s="24" t="n">
        <v>2030</v>
      </c>
      <c r="BF12" s="24" t="n">
        <v>2030</v>
      </c>
      <c r="BG12" s="24" t="n">
        <v>2030</v>
      </c>
    </row>
    <row r="13">
      <c r="C13" s="15" t="inlineStr">
        <is>
          <t>Período</t>
        </is>
      </c>
      <c r="D13" s="16" t="inlineStr">
        <is>
          <t>Period</t>
        </is>
      </c>
      <c r="E13" s="129" t="str">
        <f>"1Q"&amp;RIGHT(E12,2)</f>
        <v>1Q20</v>
      </c>
      <c r="F13" s="129" t="str">
        <f>"2Q"&amp;RIGHT(F12,2)</f>
        <v>2Q20</v>
      </c>
      <c r="G13" s="129" t="str">
        <f>"3Q"&amp;RIGHT(G12,2)</f>
        <v>3Q20</v>
      </c>
      <c r="H13" s="129" t="str">
        <f>"4Q"&amp;RIGHT(H12,2)</f>
        <v>4Q20</v>
      </c>
      <c r="I13" s="129" t="str">
        <f>"FY"&amp;RIGHT(I12,2)</f>
        <v>FY20</v>
      </c>
      <c r="J13" s="129" t="str">
        <f>"1Q"&amp;RIGHT(J12,2)</f>
        <v>1Q21</v>
      </c>
      <c r="K13" s="129" t="str">
        <f>"2Q"&amp;RIGHT(K12,2)</f>
        <v>2Q21</v>
      </c>
      <c r="L13" s="129" t="str">
        <f>"3Q"&amp;RIGHT(L12,2)</f>
        <v>3Q21</v>
      </c>
      <c r="M13" s="129" t="str">
        <f>"4Q"&amp;RIGHT(M12,2)</f>
        <v>4Q21</v>
      </c>
      <c r="N13" s="129" t="str">
        <f>"FY"&amp;RIGHT(N12,2)</f>
        <v>FY21</v>
      </c>
      <c r="O13" s="129" t="str">
        <f>"1Q"&amp;RIGHT(O12,2)</f>
        <v>1Q22</v>
      </c>
      <c r="P13" s="129" t="str">
        <f>"2Q"&amp;RIGHT(P12,2)</f>
        <v>2Q22</v>
      </c>
      <c r="Q13" s="129" t="str">
        <f>"3Q"&amp;RIGHT(Q12,2)</f>
        <v>3Q22</v>
      </c>
      <c r="R13" s="129" t="str">
        <f>"4Q"&amp;RIGHT(R12,2)</f>
        <v>4Q22</v>
      </c>
      <c r="S13" s="129" t="str">
        <f>"FY"&amp;RIGHT(S12,2)</f>
        <v>FY22</v>
      </c>
      <c r="T13" s="129" t="str">
        <f>"1Q"&amp;RIGHT(T12,2)</f>
        <v>1Q23</v>
      </c>
      <c r="U13" s="129" t="str">
        <f>"2Q"&amp;RIGHT(U12,2)</f>
        <v>2Q23</v>
      </c>
      <c r="V13" s="129" t="str">
        <f>"3Q"&amp;RIGHT(V12,2)</f>
        <v>3Q23</v>
      </c>
      <c r="W13" s="129" t="str">
        <f>"4Q"&amp;RIGHT(W12,2)</f>
        <v>4Q23</v>
      </c>
      <c r="X13" s="129" t="str">
        <f>"FY"&amp;RIGHT(X12,2)</f>
        <v>FY23</v>
      </c>
      <c r="Y13" s="129" t="str">
        <f>"1Q"&amp;RIGHT(Y12,2)</f>
        <v>1Q24</v>
      </c>
      <c r="Z13" s="129" t="str">
        <f>"2Q"&amp;RIGHT(Z12,2)</f>
        <v>2Q24</v>
      </c>
      <c r="AA13" s="129" t="str">
        <f>"3Q"&amp;RIGHT(AA12,2)</f>
        <v>3Q24</v>
      </c>
      <c r="AB13" s="129" t="str">
        <f>"4Q"&amp;RIGHT(AB12,2)</f>
        <v>4Q24</v>
      </c>
      <c r="AC13" s="129" t="str">
        <f>"FY"&amp;RIGHT(AC12,2)</f>
        <v>FY24</v>
      </c>
      <c r="AD13" s="129" t="str">
        <f>"1Q"&amp;RIGHT(AD12,2)</f>
        <v>1Q25</v>
      </c>
      <c r="AE13" s="129" t="str">
        <f>"2Q"&amp;RIGHT(AE12,2)</f>
        <v>2Q25</v>
      </c>
      <c r="AF13" s="129" t="str">
        <f>"3Q"&amp;RIGHT(AF12,2)</f>
        <v>3Q25</v>
      </c>
      <c r="AG13" s="129" t="str">
        <f>"4Q"&amp;RIGHT(AG12,2)</f>
        <v>4Q25</v>
      </c>
      <c r="AH13" s="129" t="str">
        <f>"FY"&amp;RIGHT(AH12,2)</f>
        <v>FY25</v>
      </c>
      <c r="AI13" s="129" t="str">
        <f>"1Q"&amp;RIGHT(AI12,2)</f>
        <v>1Q26</v>
      </c>
      <c r="AJ13" s="129" t="str">
        <f>"2Q"&amp;RIGHT(AJ12,2)</f>
        <v>2Q26</v>
      </c>
      <c r="AK13" s="6" t="str">
        <f>"3Q"&amp;RIGHT(AK12,2)</f>
        <v>3Q26</v>
      </c>
      <c r="AL13" s="6" t="str">
        <f>"4Q"&amp;RIGHT(AL12,2)</f>
        <v>4Q26</v>
      </c>
      <c r="AM13" s="25" t="str">
        <f>"FY"&amp;RIGHT(AM12,2)</f>
        <v>FY26</v>
      </c>
      <c r="AN13" s="6" t="str">
        <f>"1Q"&amp;RIGHT(AN12,2)</f>
        <v>1Q27</v>
      </c>
      <c r="AO13" s="6" t="str">
        <f>"2Q"&amp;RIGHT(AO12,2)</f>
        <v>2Q27</v>
      </c>
      <c r="AP13" s="6" t="str">
        <f>"3Q"&amp;RIGHT(AP12,2)</f>
        <v>3Q27</v>
      </c>
      <c r="AQ13" s="6" t="str">
        <f>"4Q"&amp;RIGHT(AQ12,2)</f>
        <v>4Q27</v>
      </c>
      <c r="AR13" s="25" t="str">
        <f>"FY"&amp;RIGHT(AR12,2)</f>
        <v>FY27</v>
      </c>
      <c r="AS13" s="6" t="str">
        <f>"1Q"&amp;RIGHT(AS12,2)</f>
        <v>1Q28</v>
      </c>
      <c r="AT13" s="6" t="str">
        <f>"2Q"&amp;RIGHT(AT12,2)</f>
        <v>2Q28</v>
      </c>
      <c r="AU13" s="6" t="str">
        <f>"3Q"&amp;RIGHT(AU12,2)</f>
        <v>3Q28</v>
      </c>
      <c r="AV13" s="6" t="str">
        <f>"4Q"&amp;RIGHT(AV12,2)</f>
        <v>4Q28</v>
      </c>
      <c r="AW13" s="25" t="str">
        <f>"FY"&amp;RIGHT(AW12,2)</f>
        <v>FY28</v>
      </c>
      <c r="AX13" s="6" t="str">
        <f>"1Q"&amp;RIGHT(AX12,2)</f>
        <v>1Q29</v>
      </c>
      <c r="AY13" s="6" t="str">
        <f>"2Q"&amp;RIGHT(AY12,2)</f>
        <v>2Q29</v>
      </c>
      <c r="AZ13" s="6" t="str">
        <f>"3Q"&amp;RIGHT(AZ12,2)</f>
        <v>3Q29</v>
      </c>
      <c r="BA13" s="6" t="str">
        <f>"4Q"&amp;RIGHT(BA12,2)</f>
        <v>4Q29</v>
      </c>
      <c r="BB13" s="25" t="str">
        <f>"FY"&amp;RIGHT(BB12,2)</f>
        <v>FY29</v>
      </c>
      <c r="BC13" s="6" t="str">
        <f>"1Q"&amp;RIGHT(BC12,2)</f>
        <v>1Q30</v>
      </c>
      <c r="BD13" s="6" t="str">
        <f>"2Q"&amp;RIGHT(BD12,2)</f>
        <v>2Q30</v>
      </c>
      <c r="BE13" s="6" t="str">
        <f>"3Q"&amp;RIGHT(BE12,2)</f>
        <v>3Q30</v>
      </c>
      <c r="BF13" s="6" t="str">
        <f>"4Q"&amp;RIGHT(BF12,2)</f>
        <v>4Q30</v>
      </c>
      <c r="BG13" s="25" t="str">
        <f>"FY"&amp;RIGHT(BG12,2)</f>
        <v>FY30</v>
      </c>
    </row>
    <row r="14">
      <c r="C14" s="26" t="inlineStr">
        <is>
          <t>Realizado (1) / Projetado (0)</t>
        </is>
      </c>
      <c r="D14" s="12" t="inlineStr">
        <is>
          <t>Actual / Forecast</t>
        </is>
      </c>
      <c r="E14" s="27">
        <f>IF(AND(E11&gt;=Inputs!$E$204,E11&lt;=Inputs!$E$203),1,0)</f>
        <v>0</v>
      </c>
      <c r="F14" s="27">
        <f>IF(AND(F11&gt;=Inputs!$E$204,F11&lt;=Inputs!$E$203),1,0)</f>
        <v>0</v>
      </c>
      <c r="G14" s="27">
        <f>IF(AND(G11&gt;=Inputs!$E$204,G11&lt;=Inputs!$E$203),1,0)</f>
        <v>0</v>
      </c>
      <c r="H14" s="27">
        <f>IF(AND(H11&gt;=Inputs!$E$204,H11&lt;=Inputs!$E$203),1,0)</f>
        <v>0</v>
      </c>
      <c r="I14" s="27">
        <f>IF(AND(I11&gt;=Inputs!$E$204,I11&lt;=Inputs!$E$203),1,0)</f>
        <v>0</v>
      </c>
      <c r="J14" s="27">
        <f>IF(AND(J11&gt;=Inputs!$E$204,J11&lt;=Inputs!$E$203),1,0)</f>
        <v>0</v>
      </c>
      <c r="K14" s="27">
        <f>IF(AND(K11&gt;=Inputs!$E$204,K11&lt;=Inputs!$E$203),1,0)</f>
        <v>0</v>
      </c>
      <c r="L14" s="27">
        <f>IF(AND(L11&gt;=Inputs!$E$204,L11&lt;=Inputs!$E$203),1,0)</f>
        <v>0</v>
      </c>
      <c r="M14" s="27">
        <f>IF(AND(M11&gt;=Inputs!$E$204,M11&lt;=Inputs!$E$203),1,0)</f>
        <v>0</v>
      </c>
      <c r="N14" s="27">
        <f>IF(AND(N11&gt;=Inputs!$E$204,N11&lt;=Inputs!$E$203),1,0)</f>
        <v>0</v>
      </c>
      <c r="O14" s="27">
        <f>IF(AND(O11&gt;=Inputs!$E$204,O11&lt;=Inputs!$E$203),1,0)</f>
        <v>0</v>
      </c>
      <c r="P14" s="27">
        <f>IF(AND(P11&gt;=Inputs!$E$204,P11&lt;=Inputs!$E$203),1,0)</f>
        <v>0</v>
      </c>
      <c r="Q14" s="27">
        <f>IF(AND(Q11&gt;=Inputs!$E$204,Q11&lt;=Inputs!$E$203),1,0)</f>
        <v>0</v>
      </c>
      <c r="R14" s="27">
        <f>IF(AND(R11&gt;=Inputs!$E$204,R11&lt;=Inputs!$E$203),1,0)</f>
        <v>0</v>
      </c>
      <c r="S14" s="27">
        <f>IF(AND(S11&gt;=Inputs!$E$204,S11&lt;=Inputs!$E$203),1,0)</f>
        <v>0</v>
      </c>
      <c r="T14" s="27">
        <f>IF(AND(T11&gt;=Inputs!$E$204,T11&lt;=Inputs!$E$203),1,0)</f>
        <v>0</v>
      </c>
      <c r="U14" s="27">
        <f>IF(AND(U11&gt;=Inputs!$E$204,U11&lt;=Inputs!$E$203),1,0)</f>
        <v>0</v>
      </c>
      <c r="V14" s="27">
        <f>IF(AND(V11&gt;=Inputs!$E$204,V11&lt;=Inputs!$E$203),1,0)</f>
        <v>0</v>
      </c>
      <c r="W14" s="27">
        <f>IF(AND(W11&gt;=Inputs!$E$204,W11&lt;=Inputs!$E$203),1,0)</f>
        <v>0</v>
      </c>
      <c r="X14" s="27">
        <f>IF(AND(X11&gt;=Inputs!$E$204,X11&lt;=Inputs!$E$203),1,0)</f>
        <v>0</v>
      </c>
      <c r="Y14" s="27">
        <f>IF(AND(Y11&gt;=Inputs!$E$204,Y11&lt;=Inputs!$E$203),1,0)</f>
        <v>0</v>
      </c>
      <c r="Z14" s="27">
        <f>IF(AND(Z11&gt;=Inputs!$E$204,Z11&lt;=Inputs!$E$203),1,0)</f>
        <v>0</v>
      </c>
      <c r="AA14" s="27">
        <f>IF(AND(AA11&gt;=Inputs!$E$204,AA11&lt;=Inputs!$E$203),1,0)</f>
        <v>0</v>
      </c>
      <c r="AB14" s="27">
        <f>IF(AND(AB11&gt;=Inputs!$E$204,AB11&lt;=Inputs!$E$203),1,0)</f>
        <v>0</v>
      </c>
      <c r="AC14" s="27">
        <f>IF(AND(AC11&gt;=Inputs!$E$204,AC11&lt;=Inputs!$E$203),1,0)</f>
        <v>0</v>
      </c>
      <c r="AD14" s="27">
        <f>IF(AND(AD11&gt;=Inputs!$E$204,AD11&lt;=Inputs!$E$203),1,0)</f>
        <v>0</v>
      </c>
      <c r="AE14" s="27">
        <f>IF(AND(AE11&gt;=Inputs!$E$204,AE11&lt;=Inputs!$E$203),1,0)</f>
        <v>0</v>
      </c>
      <c r="AF14" s="27">
        <f>IF(AND(AF11&gt;=Inputs!$E$204,AF11&lt;=Inputs!$E$203),1,0)</f>
        <v>0</v>
      </c>
      <c r="AG14" s="27">
        <f>IF(AND(AG11&gt;=Inputs!$E$204,AG11&lt;=Inputs!$E$203),1,0)</f>
        <v>0</v>
      </c>
      <c r="AH14" s="27">
        <f>IF(AND(AH11&gt;=Inputs!$E$204,AH11&lt;=Inputs!$E$203),1,0)</f>
        <v>0</v>
      </c>
      <c r="AI14" s="27">
        <f>IF(AND(AI11&gt;=Inputs!$E$204,AI11&lt;=Inputs!$E$203),1,0)</f>
        <v>0</v>
      </c>
      <c r="AJ14" s="27">
        <f>IF(AND(AJ11&gt;=Inputs!$E$204,AJ11&lt;=Inputs!$E$203),1,0)</f>
        <v>0</v>
      </c>
      <c r="AK14" s="27">
        <f>IF(AND(AK11&gt;=Inputs!$E$204,AK11&lt;=Inputs!$E$203),1,0)</f>
        <v>0</v>
      </c>
      <c r="AL14" s="27">
        <f>IF(AND(AL11&gt;=Inputs!$E$204,AL11&lt;=Inputs!$E$203),1,0)</f>
        <v>0</v>
      </c>
      <c r="AM14" s="27">
        <f>IF(AND(AM11&gt;=Inputs!$E$204,AM11&lt;=Inputs!$E$203),1,0)</f>
        <v>0</v>
      </c>
      <c r="AN14" s="27">
        <f>IF(AND(AN11&gt;=Inputs!$E$204,AN11&lt;=Inputs!$E$203),1,0)</f>
        <v>0</v>
      </c>
      <c r="AO14" s="27">
        <f>IF(AND(AO11&gt;=Inputs!$E$204,AO11&lt;=Inputs!$E$203),1,0)</f>
        <v>0</v>
      </c>
      <c r="AP14" s="27">
        <f>IF(AND(AP11&gt;=Inputs!$E$204,AP11&lt;=Inputs!$E$203),1,0)</f>
        <v>0</v>
      </c>
      <c r="AQ14" s="27">
        <f>IF(AND(AQ11&gt;=Inputs!$E$204,AQ11&lt;=Inputs!$E$203),1,0)</f>
        <v>0</v>
      </c>
      <c r="AR14" s="27">
        <f>IF(AND(AR11&gt;=Inputs!$E$204,AR11&lt;=Inputs!$E$203),1,0)</f>
        <v>0</v>
      </c>
      <c r="AS14" s="27">
        <f>IF(AND(AS11&gt;=Inputs!$E$204,AS11&lt;=Inputs!$E$203),1,0)</f>
        <v>0</v>
      </c>
      <c r="AT14" s="27">
        <f>IF(AND(AT11&gt;=Inputs!$E$204,AT11&lt;=Inputs!$E$203),1,0)</f>
        <v>0</v>
      </c>
      <c r="AU14" s="27">
        <f>IF(AND(AU11&gt;=Inputs!$E$204,AU11&lt;=Inputs!$E$203),1,0)</f>
        <v>0</v>
      </c>
      <c r="AV14" s="27">
        <f>IF(AND(AV11&gt;=Inputs!$E$204,AV11&lt;=Inputs!$E$203),1,0)</f>
        <v>0</v>
      </c>
      <c r="AW14" s="27">
        <f>IF(AND(AW11&gt;=Inputs!$E$204,AW11&lt;=Inputs!$E$203),1,0)</f>
        <v>0</v>
      </c>
      <c r="AX14" s="27">
        <f>IF(AND(AX11&gt;=Inputs!$E$204,AX11&lt;=Inputs!$E$203),1,0)</f>
        <v>0</v>
      </c>
      <c r="AY14" s="27">
        <f>IF(AND(AY11&gt;=Inputs!$E$204,AY11&lt;=Inputs!$E$203),1,0)</f>
        <v>0</v>
      </c>
      <c r="AZ14" s="27">
        <f>IF(AND(AZ11&gt;=Inputs!$E$204,AZ11&lt;=Inputs!$E$203),1,0)</f>
        <v>0</v>
      </c>
      <c r="BA14" s="27">
        <f>IF(AND(BA11&gt;=Inputs!$E$204,BA11&lt;=Inputs!$E$203),1,0)</f>
        <v>0</v>
      </c>
      <c r="BB14" s="27">
        <f>IF(AND(BB11&gt;=Inputs!$E$204,BB11&lt;=Inputs!$E$203),1,0)</f>
        <v>0</v>
      </c>
      <c r="BC14" s="27">
        <f>IF(AND(BC11&gt;=Inputs!$E$204,BC11&lt;=Inputs!$E$203),1,0)</f>
        <v>0</v>
      </c>
      <c r="BD14" s="27">
        <f>IF(AND(BD11&gt;=Inputs!$E$204,BD11&lt;=Inputs!$E$203),1,0)</f>
        <v>0</v>
      </c>
      <c r="BE14" s="27">
        <f>IF(AND(BE11&gt;=Inputs!$E$204,BE11&lt;=Inputs!$E$203),1,0)</f>
        <v>0</v>
      </c>
      <c r="BF14" s="27">
        <f>IF(AND(BF11&gt;=Inputs!$E$204,BF11&lt;=Inputs!$E$203),1,0)</f>
        <v>0</v>
      </c>
      <c r="BG14" s="27">
        <f>IF(AND(BG11&gt;=Inputs!$E$204,BG11&lt;=Inputs!$E$203),1,0)</f>
        <v>0</v>
      </c>
    </row>
    <row r="16">
      <c r="B16" s="7" t="n"/>
      <c r="C16" s="7" t="str">
        <f>"BALANÇO PATRIMONIAL ("&amp;Inputs!$E$202&amp;")"</f>
        <v>BALANÇO PATRIMONIAL (US$ milhões)</v>
      </c>
      <c r="D16" s="7" t="inlineStr">
        <is>
          <t>BALANCE SHEET</t>
        </is>
      </c>
      <c r="E16" s="7" t="n"/>
      <c r="F16" s="7" t="n"/>
      <c r="G16" s="7" t="n"/>
      <c r="H16" s="7" t="n"/>
      <c r="I16" s="7" t="n"/>
      <c r="J16" s="7" t="n"/>
      <c r="K16" s="7" t="n"/>
      <c r="L16" s="7" t="n"/>
      <c r="M16" s="7" t="n"/>
      <c r="N16" s="7" t="n"/>
      <c r="O16" s="7" t="n"/>
      <c r="P16" s="7" t="n"/>
      <c r="Q16" s="7" t="n"/>
      <c r="R16" s="7" t="n"/>
      <c r="S16" s="7" t="n"/>
      <c r="T16" s="7" t="n"/>
      <c r="U16" s="7" t="n"/>
      <c r="V16" s="7" t="n"/>
      <c r="W16" s="7" t="n"/>
      <c r="X16" s="7" t="n"/>
      <c r="Y16" s="7" t="n"/>
      <c r="Z16" s="7" t="n"/>
      <c r="AA16" s="7" t="n"/>
      <c r="AB16" s="7" t="n"/>
      <c r="AC16" s="7" t="n"/>
      <c r="AD16" s="7" t="n"/>
      <c r="AE16" s="7" t="n"/>
      <c r="AF16" s="7" t="n"/>
      <c r="AG16" s="7" t="n"/>
      <c r="AH16" s="7" t="n"/>
      <c r="AI16" s="7" t="n"/>
      <c r="AJ16" s="7" t="n"/>
      <c r="AK16" s="7" t="n"/>
      <c r="AL16" s="7" t="n"/>
      <c r="AM16" s="7" t="n"/>
      <c r="AN16" s="7" t="n"/>
      <c r="AO16" s="7" t="n"/>
      <c r="AP16" s="7" t="n"/>
      <c r="AQ16" s="7" t="n"/>
      <c r="AR16" s="7" t="n"/>
      <c r="AS16" s="7" t="n"/>
      <c r="AT16" s="7" t="n"/>
      <c r="AU16" s="7" t="n"/>
      <c r="AV16" s="7" t="n"/>
      <c r="AW16" s="7" t="n"/>
      <c r="AX16" s="7" t="n"/>
      <c r="AY16" s="7" t="n"/>
      <c r="AZ16" s="7" t="n"/>
      <c r="BA16" s="7" t="n"/>
      <c r="BB16" s="7" t="n"/>
      <c r="BC16" s="7" t="n"/>
      <c r="BD16" s="7" t="n"/>
      <c r="BE16" s="7" t="n"/>
      <c r="BF16" s="7" t="n"/>
      <c r="BG16" s="7" t="n"/>
      <c r="BH16" s="7" t="n"/>
      <c r="BI16" s="7" t="n"/>
    </row>
    <row r="17">
      <c r="B17" s="29" t="n"/>
      <c r="C17" s="29" t="inlineStr">
        <is>
          <t>Ativo</t>
        </is>
      </c>
      <c r="D17" s="29" t="inlineStr">
        <is>
          <t>Assets</t>
        </is>
      </c>
      <c r="E17" s="29" t="n"/>
      <c r="F17" s="29" t="n"/>
      <c r="G17" s="29" t="n"/>
      <c r="H17" s="29" t="n"/>
      <c r="I17" s="29" t="n"/>
      <c r="J17" s="29" t="n"/>
      <c r="K17" s="29" t="n"/>
      <c r="L17" s="29" t="n"/>
      <c r="M17" s="29" t="n"/>
      <c r="N17" s="29" t="n"/>
      <c r="O17" s="29" t="n"/>
      <c r="P17" s="29" t="n"/>
      <c r="Q17" s="29" t="n"/>
      <c r="R17" s="29" t="n"/>
      <c r="S17" s="29" t="n"/>
      <c r="T17" s="29" t="n"/>
      <c r="U17" s="29" t="n"/>
      <c r="V17" s="29" t="n"/>
      <c r="W17" s="29" t="n"/>
      <c r="X17" s="29" t="n"/>
      <c r="Y17" s="29" t="n"/>
      <c r="Z17" s="29" t="n"/>
      <c r="AA17" s="29" t="n"/>
      <c r="AB17" s="29" t="n"/>
      <c r="AC17" s="29" t="n"/>
      <c r="AD17" s="29" t="n"/>
      <c r="AE17" s="29" t="n"/>
      <c r="AF17" s="29" t="n"/>
      <c r="AG17" s="29" t="n"/>
      <c r="AH17" s="29" t="n"/>
      <c r="AI17" s="29" t="n"/>
      <c r="AJ17" s="29" t="n"/>
      <c r="AK17" s="29" t="n"/>
      <c r="AL17" s="29" t="n"/>
      <c r="AM17" s="29" t="n"/>
      <c r="AN17" s="29" t="n"/>
      <c r="AO17" s="29" t="n"/>
      <c r="AP17" s="29" t="n"/>
      <c r="AQ17" s="29" t="n"/>
      <c r="AR17" s="29" t="n"/>
      <c r="AS17" s="29" t="n"/>
      <c r="AT17" s="29" t="n"/>
      <c r="AU17" s="29" t="n"/>
      <c r="AV17" s="29" t="n"/>
      <c r="AW17" s="29" t="n"/>
      <c r="AX17" s="29" t="n"/>
      <c r="AY17" s="29" t="n"/>
      <c r="AZ17" s="29" t="n"/>
      <c r="BA17" s="29" t="n"/>
      <c r="BB17" s="29" t="n"/>
      <c r="BC17" s="29" t="n"/>
      <c r="BD17" s="29" t="n"/>
      <c r="BE17" s="29" t="n"/>
      <c r="BF17" s="29" t="n"/>
      <c r="BG17" s="29" t="n"/>
      <c r="BH17" s="29" t="n"/>
      <c r="BI17" s="29" t="n"/>
    </row>
    <row r="18">
      <c r="C18" s="80" t="inlineStr">
        <is>
          <t>Caixa e depósitos não remunerados em bancos</t>
        </is>
      </c>
      <c r="D18" s="81" t="inlineStr">
        <is>
          <t>Cash and due from banks</t>
        </is>
      </c>
      <c r="E18" s="82">
        <f>'Inputs (2)'!E5</f>
        <v>0</v>
      </c>
      <c r="F18" s="82">
        <f>IF(F$14=1,'Inputs (2)'!F5,E18*(1+Inputs!F$282))</f>
        <v>0</v>
      </c>
      <c r="G18" s="82">
        <f>IF(G$14=1,'Inputs (2)'!G5,F18*(1+Inputs!G$282))</f>
        <v>0</v>
      </c>
      <c r="H18" s="82">
        <f>IF(H$14=1,'Inputs (2)'!H5,G18*(1+Inputs!H$282))</f>
        <v>0</v>
      </c>
      <c r="I18" s="77">
        <f>H18</f>
        <v>0</v>
      </c>
      <c r="J18" s="82">
        <f>IF(J$14=1,'Inputs (2)'!J5,H18*(1+Inputs!J$282))</f>
        <v>0</v>
      </c>
      <c r="K18" s="82">
        <f>IF(K$14=1,'Inputs (2)'!K5,J18*(1+Inputs!K$282))</f>
        <v>0</v>
      </c>
      <c r="L18" s="82">
        <f>IF(L$14=1,'Inputs (2)'!L5,K18*(1+Inputs!L$282))</f>
        <v>0</v>
      </c>
      <c r="M18" s="82">
        <f>IF(M$14=1,'Inputs (2)'!M5,L18*(1+Inputs!M$282))</f>
        <v>0</v>
      </c>
      <c r="N18" s="77">
        <f>M18</f>
        <v>0</v>
      </c>
      <c r="O18" s="82">
        <f>IF(O$14=1,'Inputs (2)'!O5,M18*(1+Inputs!O$282))</f>
        <v>0</v>
      </c>
      <c r="P18" s="82">
        <f>IF(P$14=1,'Inputs (2)'!P5,O18*(1+Inputs!P$282))</f>
        <v>0</v>
      </c>
      <c r="Q18" s="82">
        <f>IF(Q$14=1,'Inputs (2)'!Q5,P18*(1+Inputs!Q$282))</f>
        <v>0</v>
      </c>
      <c r="R18" s="82">
        <f>IF(R$14=1,'Inputs (2)'!R5,Q18*(1+Inputs!R$282))</f>
        <v>0</v>
      </c>
      <c r="S18" s="77">
        <f>R18</f>
        <v>0</v>
      </c>
      <c r="T18" s="82">
        <f>IF(T$14=1,'Inputs (2)'!T5,R18*(1+Inputs!T$282))</f>
        <v>0</v>
      </c>
      <c r="U18" s="82">
        <f>IF(U$14=1,'Inputs (2)'!U5,T18*(1+Inputs!U$282))</f>
        <v>0</v>
      </c>
      <c r="V18" s="82">
        <f>IF(V$14=1,'Inputs (2)'!V5,U18*(1+Inputs!V$282))</f>
        <v>0</v>
      </c>
      <c r="W18" s="82">
        <f>IF(W$14=1,'Inputs (2)'!W5,V18*(1+Inputs!W$282))</f>
        <v>0</v>
      </c>
      <c r="X18" s="77">
        <f>W18</f>
        <v>0</v>
      </c>
      <c r="Y18" s="82">
        <f>IF(Y$14=1,'Inputs (2)'!Y5,W18*(1+Inputs!Y$282))</f>
        <v>0</v>
      </c>
      <c r="Z18" s="82">
        <f>IF(Z$14=1,'Inputs (2)'!Z5,Y18*(1+Inputs!Z$282))</f>
        <v>0</v>
      </c>
      <c r="AA18" s="82">
        <f>IF(AA$14=1,'Inputs (2)'!AA5,Z18*(1+Inputs!AA$282))</f>
        <v>0</v>
      </c>
      <c r="AB18" s="82">
        <f>IF(AB$14=1,'Inputs (2)'!AB5,AA18*(1+Inputs!AB$282))</f>
        <v>0</v>
      </c>
      <c r="AC18" s="77">
        <f>AB18</f>
        <v>0</v>
      </c>
      <c r="AD18" s="82">
        <f>IF(AD$14=1,'Inputs (2)'!AD5,AB18*(1+Inputs!AD$282))</f>
        <v>0</v>
      </c>
      <c r="AE18" s="82">
        <f>IF(AE$14=1,'Inputs (2)'!AE5,AD18*(1+Inputs!AE$282))</f>
        <v>0</v>
      </c>
      <c r="AF18" s="82">
        <f>IF(AF$14=1,'Inputs (2)'!AF5,AE18*(1+Inputs!AF$282))</f>
        <v>0</v>
      </c>
      <c r="AG18" s="82">
        <f>IF(AG$14=1,'Inputs (2)'!AG5,AF18*(1+Inputs!AG$282))</f>
        <v>0</v>
      </c>
      <c r="AH18" s="77">
        <f>AG18</f>
        <v>0</v>
      </c>
      <c r="AI18" s="82">
        <f>IF(AI$14=1,'Inputs (2)'!AI5,AG18*(1+Inputs!AI$282))</f>
        <v>0</v>
      </c>
      <c r="AJ18" s="82">
        <f>IF(AJ$14=1,'Inputs (2)'!AJ5,AI18*(1+Inputs!AJ$282))</f>
        <v>0</v>
      </c>
      <c r="AK18" s="82">
        <f>IF(AK$14=1,'Inputs (2)'!AK5,AJ18*(1+Inputs!AK$282))</f>
        <v>0</v>
      </c>
      <c r="AL18" s="82">
        <f>IF(AL$14=1,'Inputs (2)'!AL5,AK18*(1+Inputs!AL$282))</f>
        <v>0</v>
      </c>
      <c r="AM18" s="77">
        <f>AL18</f>
        <v>0</v>
      </c>
      <c r="AN18" s="82">
        <f>IF(AN$14=1,'Inputs (2)'!AN5,AL18*(1+Inputs!AN$282))</f>
        <v>0</v>
      </c>
      <c r="AO18" s="82">
        <f>IF(AO$14=1,'Inputs (2)'!AO5,AN18*(1+Inputs!AO$282))</f>
        <v>0</v>
      </c>
      <c r="AP18" s="82">
        <f>IF(AP$14=1,'Inputs (2)'!AP5,AO18*(1+Inputs!AP$282))</f>
        <v>0</v>
      </c>
      <c r="AQ18" s="82">
        <f>IF(AQ$14=1,'Inputs (2)'!AQ5,AP18*(1+Inputs!AQ$282))</f>
        <v>0</v>
      </c>
      <c r="AR18" s="77">
        <f>AQ18</f>
        <v>0</v>
      </c>
      <c r="AS18" s="82">
        <f>IF(AS$14=1,'Inputs (2)'!AS5,AQ18*(1+Inputs!AS$282))</f>
        <v>0</v>
      </c>
      <c r="AT18" s="82">
        <f>IF(AT$14=1,'Inputs (2)'!AT5,AS18*(1+Inputs!AT$282))</f>
        <v>0</v>
      </c>
      <c r="AU18" s="82">
        <f>IF(AU$14=1,'Inputs (2)'!AU5,AT18*(1+Inputs!AU$282))</f>
        <v>0</v>
      </c>
      <c r="AV18" s="82">
        <f>IF(AV$14=1,'Inputs (2)'!AV5,AU18*(1+Inputs!AV$282))</f>
        <v>0</v>
      </c>
      <c r="AW18" s="77">
        <f>AV18</f>
        <v>0</v>
      </c>
      <c r="AX18" s="82">
        <f>IF(AX$14=1,'Inputs (2)'!AX5,AV18*(1+Inputs!AX$282))</f>
        <v>0</v>
      </c>
      <c r="AY18" s="82">
        <f>IF(AY$14=1,'Inputs (2)'!AY5,AX18*(1+Inputs!AY$282))</f>
        <v>0</v>
      </c>
      <c r="AZ18" s="82">
        <f>IF(AZ$14=1,'Inputs (2)'!AZ5,AY18*(1+Inputs!AZ$282))</f>
        <v>0</v>
      </c>
      <c r="BA18" s="82">
        <f>IF(BA$14=1,'Inputs (2)'!BA5,AZ18*(1+Inputs!BA$282))</f>
        <v>0</v>
      </c>
      <c r="BB18" s="77">
        <f>BA18</f>
        <v>0</v>
      </c>
      <c r="BC18" s="82">
        <f>IF(BC$14=1,'Inputs (2)'!BC5,BA18*(1+Inputs!BC$282))</f>
        <v>0</v>
      </c>
      <c r="BD18" s="82">
        <f>IF(BD$14=1,'Inputs (2)'!BD5,BC18*(1+Inputs!BD$282))</f>
        <v>0</v>
      </c>
      <c r="BE18" s="82">
        <f>IF(BE$14=1,'Inputs (2)'!BE5,BD18*(1+Inputs!BE$282))</f>
        <v>0</v>
      </c>
      <c r="BF18" s="82">
        <f>IF(BF$14=1,'Inputs (2)'!BF5,BE18*(1+Inputs!BF$282))</f>
        <v>0</v>
      </c>
      <c r="BG18" s="77">
        <f>BF18</f>
        <v>0</v>
      </c>
    </row>
    <row r="19">
      <c r="C19" s="83" t="inlineStr">
        <is>
          <t>Aplicações de liquidez</t>
        </is>
      </c>
      <c r="D19" s="84" t="inlineStr">
        <is>
          <t>Liquidity placements</t>
        </is>
      </c>
      <c r="E19" s="85">
        <f>E20+E21+E22+E23</f>
        <v>0</v>
      </c>
      <c r="F19" s="85">
        <f>F20+F21+F22+F23</f>
        <v>0</v>
      </c>
      <c r="G19" s="85">
        <f>G20+G21+G22+G23</f>
        <v>0</v>
      </c>
      <c r="H19" s="85">
        <f>H20+H21+H22+H23</f>
        <v>0</v>
      </c>
      <c r="I19" s="60">
        <f>H19</f>
        <v>0</v>
      </c>
      <c r="J19" s="85">
        <f>J20+J21+J22+J23</f>
        <v>0</v>
      </c>
      <c r="K19" s="85">
        <f>K20+K21+K22+K23</f>
        <v>0</v>
      </c>
      <c r="L19" s="85">
        <f>L20+L21+L22+L23</f>
        <v>0</v>
      </c>
      <c r="M19" s="85">
        <f>M20+M21+M22+M23</f>
        <v>0</v>
      </c>
      <c r="N19" s="60">
        <f>M19</f>
        <v>0</v>
      </c>
      <c r="O19" s="85">
        <f>O20+O21+O22+O23</f>
        <v>0</v>
      </c>
      <c r="P19" s="85">
        <f>P20+P21+P22+P23</f>
        <v>0</v>
      </c>
      <c r="Q19" s="85">
        <f>Q20+Q21+Q22+Q23</f>
        <v>0</v>
      </c>
      <c r="R19" s="85">
        <f>R20+R21+R22+R23</f>
        <v>0</v>
      </c>
      <c r="S19" s="60">
        <f>R19</f>
        <v>0</v>
      </c>
      <c r="T19" s="85">
        <f>T20+T21+T22+T23</f>
        <v>0</v>
      </c>
      <c r="U19" s="85">
        <f>U20+U21+U22+U23</f>
        <v>0</v>
      </c>
      <c r="V19" s="85">
        <f>V20+V21+V22+V23</f>
        <v>0</v>
      </c>
      <c r="W19" s="85">
        <f>W20+W21+W22+W23</f>
        <v>0</v>
      </c>
      <c r="X19" s="60">
        <f>W19</f>
        <v>0</v>
      </c>
      <c r="Y19" s="85">
        <f>Y20+Y21+Y22+Y23</f>
        <v>0</v>
      </c>
      <c r="Z19" s="85">
        <f>Z20+Z21+Z22+Z23</f>
        <v>0</v>
      </c>
      <c r="AA19" s="85">
        <f>AA20+AA21+AA22+AA23</f>
        <v>0</v>
      </c>
      <c r="AB19" s="85">
        <f>AB20+AB21+AB22+AB23</f>
        <v>0</v>
      </c>
      <c r="AC19" s="60">
        <f>AB19</f>
        <v>0</v>
      </c>
      <c r="AD19" s="85">
        <f>AD20+AD21+AD22+AD23</f>
        <v>0</v>
      </c>
      <c r="AE19" s="85">
        <f>AE20+AE21+AE22+AE23</f>
        <v>0</v>
      </c>
      <c r="AF19" s="85">
        <f>AF20+AF21+AF22+AF23</f>
        <v>0</v>
      </c>
      <c r="AG19" s="85">
        <f>AG20+AG21+AG22+AG23</f>
        <v>0</v>
      </c>
      <c r="AH19" s="60">
        <f>AG19</f>
        <v>0</v>
      </c>
      <c r="AI19" s="85">
        <f>AI20+AI21+AI22+AI23</f>
        <v>0</v>
      </c>
      <c r="AJ19" s="85">
        <f>AJ20+AJ21+AJ22+AJ23</f>
        <v>0</v>
      </c>
      <c r="AK19" s="85">
        <f>AK20+AK21+AK22+AK23</f>
        <v>0</v>
      </c>
      <c r="AL19" s="85">
        <f>AL20+AL21+AL22+AL23</f>
        <v>0</v>
      </c>
      <c r="AM19" s="60">
        <f>AL19</f>
        <v>0</v>
      </c>
      <c r="AN19" s="85">
        <f>AN20+AN21+AN22+AN23</f>
        <v>0</v>
      </c>
      <c r="AO19" s="85">
        <f>AO20+AO21+AO22+AO23</f>
        <v>0</v>
      </c>
      <c r="AP19" s="85">
        <f>AP20+AP21+AP22+AP23</f>
        <v>0</v>
      </c>
      <c r="AQ19" s="85">
        <f>AQ20+AQ21+AQ22+AQ23</f>
        <v>0</v>
      </c>
      <c r="AR19" s="60">
        <f>AQ19</f>
        <v>0</v>
      </c>
      <c r="AS19" s="85">
        <f>AS20+AS21+AS22+AS23</f>
        <v>0</v>
      </c>
      <c r="AT19" s="85">
        <f>AT20+AT21+AT22+AT23</f>
        <v>0</v>
      </c>
      <c r="AU19" s="85">
        <f>AU20+AU21+AU22+AU23</f>
        <v>0</v>
      </c>
      <c r="AV19" s="85">
        <f>AV20+AV21+AV22+AV23</f>
        <v>0</v>
      </c>
      <c r="AW19" s="60">
        <f>AV19</f>
        <v>0</v>
      </c>
      <c r="AX19" s="85">
        <f>AX20+AX21+AX22+AX23</f>
        <v>0</v>
      </c>
      <c r="AY19" s="85">
        <f>AY20+AY21+AY22+AY23</f>
        <v>0</v>
      </c>
      <c r="AZ19" s="85">
        <f>AZ20+AZ21+AZ22+AZ23</f>
        <v>0</v>
      </c>
      <c r="BA19" s="85">
        <f>BA20+BA21+BA22+BA23</f>
        <v>0</v>
      </c>
      <c r="BB19" s="60">
        <f>BA19</f>
        <v>0</v>
      </c>
      <c r="BC19" s="85">
        <f>BC20+BC21+BC22+BC23</f>
        <v>0</v>
      </c>
      <c r="BD19" s="85">
        <f>BD20+BD21+BD22+BD23</f>
        <v>0</v>
      </c>
      <c r="BE19" s="85">
        <f>BE20+BE21+BE22+BE23</f>
        <v>0</v>
      </c>
      <c r="BF19" s="85">
        <f>BF20+BF21+BF22+BF23</f>
        <v>0</v>
      </c>
      <c r="BG19" s="60">
        <f>BF19</f>
        <v>0</v>
      </c>
    </row>
    <row r="20" hidden="1" outlineLevel="1">
      <c r="C20" s="61" t="inlineStr">
        <is>
          <t>Fed funds vendidos e compromissadas reversas</t>
        </is>
      </c>
      <c r="D20" s="62" t="inlineStr">
        <is>
          <t>Fed funds sold and resale agreements</t>
        </is>
      </c>
      <c r="E20" s="57">
        <f>'Inputs (2)'!E7</f>
        <v>0</v>
      </c>
      <c r="F20" s="57">
        <f>IF(F$14=1,'Inputs (2)'!F7,E20*(1+Inputs!F$276))</f>
        <v>0</v>
      </c>
      <c r="G20" s="57">
        <f>IF(G$14=1,'Inputs (2)'!G7,F20*(1+Inputs!G$276))</f>
        <v>0</v>
      </c>
      <c r="H20" s="57">
        <f>IF(H$14=1,'Inputs (2)'!H7,G20*(1+Inputs!H$276))</f>
        <v>0</v>
      </c>
      <c r="I20" s="77">
        <f>H20</f>
        <v>0</v>
      </c>
      <c r="J20" s="57">
        <f>IF(J$14=1,'Inputs (2)'!J7,H20*(1+Inputs!J$276))</f>
        <v>0</v>
      </c>
      <c r="K20" s="57">
        <f>IF(K$14=1,'Inputs (2)'!K7,J20*(1+Inputs!K$276))</f>
        <v>0</v>
      </c>
      <c r="L20" s="57">
        <f>IF(L$14=1,'Inputs (2)'!L7,K20*(1+Inputs!L$276))</f>
        <v>0</v>
      </c>
      <c r="M20" s="57">
        <f>IF(M$14=1,'Inputs (2)'!M7,L20*(1+Inputs!M$276))</f>
        <v>0</v>
      </c>
      <c r="N20" s="77">
        <f>M20</f>
        <v>0</v>
      </c>
      <c r="O20" s="57">
        <f>IF(O$14=1,'Inputs (2)'!O7,M20*(1+Inputs!O$276))</f>
        <v>0</v>
      </c>
      <c r="P20" s="57">
        <f>IF(P$14=1,'Inputs (2)'!P7,O20*(1+Inputs!P$276))</f>
        <v>0</v>
      </c>
      <c r="Q20" s="57">
        <f>IF(Q$14=1,'Inputs (2)'!Q7,P20*(1+Inputs!Q$276))</f>
        <v>0</v>
      </c>
      <c r="R20" s="57">
        <f>IF(R$14=1,'Inputs (2)'!R7,Q20*(1+Inputs!R$276))</f>
        <v>0</v>
      </c>
      <c r="S20" s="77">
        <f>R20</f>
        <v>0</v>
      </c>
      <c r="T20" s="57">
        <f>IF(T$14=1,'Inputs (2)'!T7,R20*(1+Inputs!T$276))</f>
        <v>0</v>
      </c>
      <c r="U20" s="57">
        <f>IF(U$14=1,'Inputs (2)'!U7,T20*(1+Inputs!U$276))</f>
        <v>0</v>
      </c>
      <c r="V20" s="57">
        <f>IF(V$14=1,'Inputs (2)'!V7,U20*(1+Inputs!V$276))</f>
        <v>0</v>
      </c>
      <c r="W20" s="57">
        <f>IF(W$14=1,'Inputs (2)'!W7,V20*(1+Inputs!W$276))</f>
        <v>0</v>
      </c>
      <c r="X20" s="77">
        <f>W20</f>
        <v>0</v>
      </c>
      <c r="Y20" s="57">
        <f>IF(Y$14=1,'Inputs (2)'!Y7,W20*(1+Inputs!Y$276))</f>
        <v>0</v>
      </c>
      <c r="Z20" s="57">
        <f>IF(Z$14=1,'Inputs (2)'!Z7,Y20*(1+Inputs!Z$276))</f>
        <v>0</v>
      </c>
      <c r="AA20" s="57">
        <f>IF(AA$14=1,'Inputs (2)'!AA7,Z20*(1+Inputs!AA$276))</f>
        <v>0</v>
      </c>
      <c r="AB20" s="57">
        <f>IF(AB$14=1,'Inputs (2)'!AB7,AA20*(1+Inputs!AB$276))</f>
        <v>0</v>
      </c>
      <c r="AC20" s="77">
        <f>AB20</f>
        <v>0</v>
      </c>
      <c r="AD20" s="57">
        <f>IF(AD$14=1,'Inputs (2)'!AD7,AB20*(1+Inputs!AD$276))</f>
        <v>0</v>
      </c>
      <c r="AE20" s="57">
        <f>IF(AE$14=1,'Inputs (2)'!AE7,AD20*(1+Inputs!AE$276))</f>
        <v>0</v>
      </c>
      <c r="AF20" s="57">
        <f>IF(AF$14=1,'Inputs (2)'!AF7,AE20*(1+Inputs!AF$276))</f>
        <v>0</v>
      </c>
      <c r="AG20" s="57">
        <f>IF(AG$14=1,'Inputs (2)'!AG7,AF20*(1+Inputs!AG$276))</f>
        <v>0</v>
      </c>
      <c r="AH20" s="77">
        <f>AG20</f>
        <v>0</v>
      </c>
      <c r="AI20" s="57">
        <f>IF(AI$14=1,'Inputs (2)'!AI7,AG20*(1+Inputs!AI$276))</f>
        <v>0</v>
      </c>
      <c r="AJ20" s="57">
        <f>IF(AJ$14=1,'Inputs (2)'!AJ7,AI20*(1+Inputs!AJ$276))</f>
        <v>0</v>
      </c>
      <c r="AK20" s="57">
        <f>IF(AK$14=1,'Inputs (2)'!AK7,AJ20*(1+Inputs!AK$276))</f>
        <v>0</v>
      </c>
      <c r="AL20" s="57">
        <f>IF(AL$14=1,'Inputs (2)'!AL7,AK20*(1+Inputs!AL$276))</f>
        <v>0</v>
      </c>
      <c r="AM20" s="77">
        <f>AL20</f>
        <v>0</v>
      </c>
      <c r="AN20" s="57">
        <f>IF(AN$14=1,'Inputs (2)'!AN7,AL20*(1+Inputs!AN$276))</f>
        <v>0</v>
      </c>
      <c r="AO20" s="57">
        <f>IF(AO$14=1,'Inputs (2)'!AO7,AN20*(1+Inputs!AO$276))</f>
        <v>0</v>
      </c>
      <c r="AP20" s="57">
        <f>IF(AP$14=1,'Inputs (2)'!AP7,AO20*(1+Inputs!AP$276))</f>
        <v>0</v>
      </c>
      <c r="AQ20" s="57">
        <f>IF(AQ$14=1,'Inputs (2)'!AQ7,AP20*(1+Inputs!AQ$276))</f>
        <v>0</v>
      </c>
      <c r="AR20" s="77">
        <f>AQ20</f>
        <v>0</v>
      </c>
      <c r="AS20" s="57">
        <f>IF(AS$14=1,'Inputs (2)'!AS7,AQ20*(1+Inputs!AS$276))</f>
        <v>0</v>
      </c>
      <c r="AT20" s="57">
        <f>IF(AT$14=1,'Inputs (2)'!AT7,AS20*(1+Inputs!AT$276))</f>
        <v>0</v>
      </c>
      <c r="AU20" s="57">
        <f>IF(AU$14=1,'Inputs (2)'!AU7,AT20*(1+Inputs!AU$276))</f>
        <v>0</v>
      </c>
      <c r="AV20" s="57">
        <f>IF(AV$14=1,'Inputs (2)'!AV7,AU20*(1+Inputs!AV$276))</f>
        <v>0</v>
      </c>
      <c r="AW20" s="77">
        <f>AV20</f>
        <v>0</v>
      </c>
      <c r="AX20" s="57">
        <f>IF(AX$14=1,'Inputs (2)'!AX7,AV20*(1+Inputs!AX$276))</f>
        <v>0</v>
      </c>
      <c r="AY20" s="57">
        <f>IF(AY$14=1,'Inputs (2)'!AY7,AX20*(1+Inputs!AY$276))</f>
        <v>0</v>
      </c>
      <c r="AZ20" s="57">
        <f>IF(AZ$14=1,'Inputs (2)'!AZ7,AY20*(1+Inputs!AZ$276))</f>
        <v>0</v>
      </c>
      <c r="BA20" s="57">
        <f>IF(BA$14=1,'Inputs (2)'!BA7,AZ20*(1+Inputs!BA$276))</f>
        <v>0</v>
      </c>
      <c r="BB20" s="77">
        <f>BA20</f>
        <v>0</v>
      </c>
      <c r="BC20" s="57">
        <f>IF(BC$14=1,'Inputs (2)'!BC7,BA20*(1+Inputs!BC$276))</f>
        <v>0</v>
      </c>
      <c r="BD20" s="57">
        <f>IF(BD$14=1,'Inputs (2)'!BD7,BC20*(1+Inputs!BD$276))</f>
        <v>0</v>
      </c>
      <c r="BE20" s="57">
        <f>IF(BE$14=1,'Inputs (2)'!BE7,BD20*(1+Inputs!BE$276))</f>
        <v>0</v>
      </c>
      <c r="BF20" s="57">
        <f>IF(BF$14=1,'Inputs (2)'!BF7,BE20*(1+Inputs!BF$276))</f>
        <v>0</v>
      </c>
      <c r="BG20" s="77">
        <f>BF20</f>
        <v>0</v>
      </c>
    </row>
    <row r="21" hidden="1" outlineLevel="1">
      <c r="C21" s="61" t="inlineStr">
        <is>
          <t>Depósitos remunerados em bancos</t>
        </is>
      </c>
      <c r="D21" s="62" t="inlineStr">
        <is>
          <t>Deposits with banks</t>
        </is>
      </c>
      <c r="E21" s="57">
        <f>'Inputs (2)'!E8</f>
        <v>0</v>
      </c>
      <c r="F21" s="57">
        <f>IF(F$14=1,'Inputs (2)'!F8,E21*(1+Inputs!F$276))</f>
        <v>0</v>
      </c>
      <c r="G21" s="57">
        <f>IF(G$14=1,'Inputs (2)'!G8,F21*(1+Inputs!G$276))</f>
        <v>0</v>
      </c>
      <c r="H21" s="57">
        <f>IF(H$14=1,'Inputs (2)'!H8,G21*(1+Inputs!H$276))</f>
        <v>0</v>
      </c>
      <c r="I21" s="77">
        <f>H21</f>
        <v>0</v>
      </c>
      <c r="J21" s="57">
        <f>IF(J$14=1,'Inputs (2)'!J8,H21*(1+Inputs!J$276))</f>
        <v>0</v>
      </c>
      <c r="K21" s="57">
        <f>IF(K$14=1,'Inputs (2)'!K8,J21*(1+Inputs!K$276))</f>
        <v>0</v>
      </c>
      <c r="L21" s="57">
        <f>IF(L$14=1,'Inputs (2)'!L8,K21*(1+Inputs!L$276))</f>
        <v>0</v>
      </c>
      <c r="M21" s="57">
        <f>IF(M$14=1,'Inputs (2)'!M8,L21*(1+Inputs!M$276))</f>
        <v>0</v>
      </c>
      <c r="N21" s="77">
        <f>M21</f>
        <v>0</v>
      </c>
      <c r="O21" s="57">
        <f>IF(O$14=1,'Inputs (2)'!O8,M21*(1+Inputs!O$276))</f>
        <v>0</v>
      </c>
      <c r="P21" s="57">
        <f>IF(P$14=1,'Inputs (2)'!P8,O21*(1+Inputs!P$276))</f>
        <v>0</v>
      </c>
      <c r="Q21" s="57">
        <f>IF(Q$14=1,'Inputs (2)'!Q8,P21*(1+Inputs!Q$276))</f>
        <v>0</v>
      </c>
      <c r="R21" s="57">
        <f>IF(R$14=1,'Inputs (2)'!R8,Q21*(1+Inputs!R$276))</f>
        <v>0</v>
      </c>
      <c r="S21" s="77">
        <f>R21</f>
        <v>0</v>
      </c>
      <c r="T21" s="57">
        <f>IF(T$14=1,'Inputs (2)'!T8,R21*(1+Inputs!T$276))</f>
        <v>0</v>
      </c>
      <c r="U21" s="57">
        <f>IF(U$14=1,'Inputs (2)'!U8,T21*(1+Inputs!U$276))</f>
        <v>0</v>
      </c>
      <c r="V21" s="57">
        <f>IF(V$14=1,'Inputs (2)'!V8,U21*(1+Inputs!V$276))</f>
        <v>0</v>
      </c>
      <c r="W21" s="57">
        <f>IF(W$14=1,'Inputs (2)'!W8,V21*(1+Inputs!W$276))</f>
        <v>0</v>
      </c>
      <c r="X21" s="77">
        <f>W21</f>
        <v>0</v>
      </c>
      <c r="Y21" s="57">
        <f>IF(Y$14=1,'Inputs (2)'!Y8,W21*(1+Inputs!Y$276))</f>
        <v>0</v>
      </c>
      <c r="Z21" s="57">
        <f>IF(Z$14=1,'Inputs (2)'!Z8,Y21*(1+Inputs!Z$276))</f>
        <v>0</v>
      </c>
      <c r="AA21" s="57">
        <f>IF(AA$14=1,'Inputs (2)'!AA8,Z21*(1+Inputs!AA$276))</f>
        <v>0</v>
      </c>
      <c r="AB21" s="57">
        <f>IF(AB$14=1,'Inputs (2)'!AB8,AA21*(1+Inputs!AB$276))</f>
        <v>0</v>
      </c>
      <c r="AC21" s="77">
        <f>AB21</f>
        <v>0</v>
      </c>
      <c r="AD21" s="57">
        <f>IF(AD$14=1,'Inputs (2)'!AD8,AB21*(1+Inputs!AD$276))</f>
        <v>0</v>
      </c>
      <c r="AE21" s="57">
        <f>IF(AE$14=1,'Inputs (2)'!AE8,AD21*(1+Inputs!AE$276))</f>
        <v>0</v>
      </c>
      <c r="AF21" s="57">
        <f>IF(AF$14=1,'Inputs (2)'!AF8,AE21*(1+Inputs!AF$276))</f>
        <v>0</v>
      </c>
      <c r="AG21" s="57">
        <f>IF(AG$14=1,'Inputs (2)'!AG8,AF21*(1+Inputs!AG$276))</f>
        <v>0</v>
      </c>
      <c r="AH21" s="77">
        <f>AG21</f>
        <v>0</v>
      </c>
      <c r="AI21" s="57">
        <f>IF(AI$14=1,'Inputs (2)'!AI8,AG21*(1+Inputs!AI$276))</f>
        <v>0</v>
      </c>
      <c r="AJ21" s="57">
        <f>IF(AJ$14=1,'Inputs (2)'!AJ8,AI21*(1+Inputs!AJ$276))</f>
        <v>0</v>
      </c>
      <c r="AK21" s="57">
        <f>IF(AK$14=1,'Inputs (2)'!AK8,AJ21*(1+Inputs!AK$276))</f>
        <v>0</v>
      </c>
      <c r="AL21" s="57">
        <f>IF(AL$14=1,'Inputs (2)'!AL8,AK21*(1+Inputs!AL$276))</f>
        <v>0</v>
      </c>
      <c r="AM21" s="77">
        <f>AL21</f>
        <v>0</v>
      </c>
      <c r="AN21" s="57">
        <f>IF(AN$14=1,'Inputs (2)'!AN8,AL21*(1+Inputs!AN$276))</f>
        <v>0</v>
      </c>
      <c r="AO21" s="57">
        <f>IF(AO$14=1,'Inputs (2)'!AO8,AN21*(1+Inputs!AO$276))</f>
        <v>0</v>
      </c>
      <c r="AP21" s="57">
        <f>IF(AP$14=1,'Inputs (2)'!AP8,AO21*(1+Inputs!AP$276))</f>
        <v>0</v>
      </c>
      <c r="AQ21" s="57">
        <f>IF(AQ$14=1,'Inputs (2)'!AQ8,AP21*(1+Inputs!AQ$276))</f>
        <v>0</v>
      </c>
      <c r="AR21" s="77">
        <f>AQ21</f>
        <v>0</v>
      </c>
      <c r="AS21" s="57">
        <f>IF(AS$14=1,'Inputs (2)'!AS8,AQ21*(1+Inputs!AS$276))</f>
        <v>0</v>
      </c>
      <c r="AT21" s="57">
        <f>IF(AT$14=1,'Inputs (2)'!AT8,AS21*(1+Inputs!AT$276))</f>
        <v>0</v>
      </c>
      <c r="AU21" s="57">
        <f>IF(AU$14=1,'Inputs (2)'!AU8,AT21*(1+Inputs!AU$276))</f>
        <v>0</v>
      </c>
      <c r="AV21" s="57">
        <f>IF(AV$14=1,'Inputs (2)'!AV8,AU21*(1+Inputs!AV$276))</f>
        <v>0</v>
      </c>
      <c r="AW21" s="77">
        <f>AV21</f>
        <v>0</v>
      </c>
      <c r="AX21" s="57">
        <f>IF(AX$14=1,'Inputs (2)'!AX8,AV21*(1+Inputs!AX$276))</f>
        <v>0</v>
      </c>
      <c r="AY21" s="57">
        <f>IF(AY$14=1,'Inputs (2)'!AY8,AX21*(1+Inputs!AY$276))</f>
        <v>0</v>
      </c>
      <c r="AZ21" s="57">
        <f>IF(AZ$14=1,'Inputs (2)'!AZ8,AY21*(1+Inputs!AZ$276))</f>
        <v>0</v>
      </c>
      <c r="BA21" s="57">
        <f>IF(BA$14=1,'Inputs (2)'!BA8,AZ21*(1+Inputs!BA$276))</f>
        <v>0</v>
      </c>
      <c r="BB21" s="77">
        <f>BA21</f>
        <v>0</v>
      </c>
      <c r="BC21" s="57">
        <f>IF(BC$14=1,'Inputs (2)'!BC8,BA21*(1+Inputs!BC$276))</f>
        <v>0</v>
      </c>
      <c r="BD21" s="57">
        <f>IF(BD$14=1,'Inputs (2)'!BD8,BC21*(1+Inputs!BD$276))</f>
        <v>0</v>
      </c>
      <c r="BE21" s="57">
        <f>IF(BE$14=1,'Inputs (2)'!BE8,BD21*(1+Inputs!BE$276))</f>
        <v>0</v>
      </c>
      <c r="BF21" s="57">
        <f>IF(BF$14=1,'Inputs (2)'!BF8,BE21*(1+Inputs!BF$276))</f>
        <v>0</v>
      </c>
      <c r="BG21" s="77">
        <f>BF21</f>
        <v>0</v>
      </c>
    </row>
    <row r="22" hidden="1" outlineLevel="1">
      <c r="C22" s="61" t="inlineStr">
        <is>
          <t>Títulos tomados em empréstimo (securities borrowed)</t>
        </is>
      </c>
      <c r="D22" s="62" t="inlineStr">
        <is>
          <t>Securities borrowed</t>
        </is>
      </c>
      <c r="E22" s="57">
        <f>'Inputs (2)'!E9</f>
        <v>0</v>
      </c>
      <c r="F22" s="57">
        <f>IF(F$14=1,'Inputs (2)'!F9,E22)</f>
        <v>0</v>
      </c>
      <c r="G22" s="57">
        <f>IF(G$14=1,'Inputs (2)'!G9,F22)</f>
        <v>0</v>
      </c>
      <c r="H22" s="57">
        <f>IF(H$14=1,'Inputs (2)'!H9,G22)</f>
        <v>0</v>
      </c>
      <c r="I22" s="77">
        <f>H22</f>
        <v>0</v>
      </c>
      <c r="J22" s="57">
        <f>IF(J$14=1,'Inputs (2)'!J9,H22)</f>
        <v>0</v>
      </c>
      <c r="K22" s="57">
        <f>IF(K$14=1,'Inputs (2)'!K9,J22)</f>
        <v>0</v>
      </c>
      <c r="L22" s="57">
        <f>IF(L$14=1,'Inputs (2)'!L9,K22)</f>
        <v>0</v>
      </c>
      <c r="M22" s="57">
        <f>IF(M$14=1,'Inputs (2)'!M9,L22)</f>
        <v>0</v>
      </c>
      <c r="N22" s="77">
        <f>M22</f>
        <v>0</v>
      </c>
      <c r="O22" s="57">
        <f>IF(O$14=1,'Inputs (2)'!O9,M22)</f>
        <v>0</v>
      </c>
      <c r="P22" s="57">
        <f>IF(P$14=1,'Inputs (2)'!P9,O22)</f>
        <v>0</v>
      </c>
      <c r="Q22" s="57">
        <f>IF(Q$14=1,'Inputs (2)'!Q9,P22)</f>
        <v>0</v>
      </c>
      <c r="R22" s="57">
        <f>IF(R$14=1,'Inputs (2)'!R9,Q22)</f>
        <v>0</v>
      </c>
      <c r="S22" s="77">
        <f>R22</f>
        <v>0</v>
      </c>
      <c r="T22" s="57">
        <f>IF(T$14=1,'Inputs (2)'!T9,R22)</f>
        <v>0</v>
      </c>
      <c r="U22" s="57">
        <f>IF(U$14=1,'Inputs (2)'!U9,T22)</f>
        <v>0</v>
      </c>
      <c r="V22" s="57">
        <f>IF(V$14=1,'Inputs (2)'!V9,U22)</f>
        <v>0</v>
      </c>
      <c r="W22" s="57">
        <f>IF(W$14=1,'Inputs (2)'!W9,V22)</f>
        <v>0</v>
      </c>
      <c r="X22" s="77">
        <f>W22</f>
        <v>0</v>
      </c>
      <c r="Y22" s="57">
        <f>IF(Y$14=1,'Inputs (2)'!Y9,W22)</f>
        <v>0</v>
      </c>
      <c r="Z22" s="57">
        <f>IF(Z$14=1,'Inputs (2)'!Z9,Y22)</f>
        <v>0</v>
      </c>
      <c r="AA22" s="57">
        <f>IF(AA$14=1,'Inputs (2)'!AA9,Z22)</f>
        <v>0</v>
      </c>
      <c r="AB22" s="57">
        <f>IF(AB$14=1,'Inputs (2)'!AB9,AA22)</f>
        <v>0</v>
      </c>
      <c r="AC22" s="77">
        <f>AB22</f>
        <v>0</v>
      </c>
      <c r="AD22" s="57">
        <f>IF(AD$14=1,'Inputs (2)'!AD9,AB22)</f>
        <v>0</v>
      </c>
      <c r="AE22" s="57">
        <f>IF(AE$14=1,'Inputs (2)'!AE9,AD22)</f>
        <v>0</v>
      </c>
      <c r="AF22" s="57">
        <f>IF(AF$14=1,'Inputs (2)'!AF9,AE22)</f>
        <v>0</v>
      </c>
      <c r="AG22" s="57">
        <f>IF(AG$14=1,'Inputs (2)'!AG9,AF22)</f>
        <v>0</v>
      </c>
      <c r="AH22" s="77">
        <f>AG22</f>
        <v>0</v>
      </c>
      <c r="AI22" s="57">
        <f>IF(AI$14=1,'Inputs (2)'!AI9,AG22)</f>
        <v>0</v>
      </c>
      <c r="AJ22" s="57">
        <f>IF(AJ$14=1,'Inputs (2)'!AJ9,AI22)</f>
        <v>0</v>
      </c>
      <c r="AK22" s="57">
        <f>IF(AK$14=1,'Inputs (2)'!AK9,AJ22)</f>
        <v>0</v>
      </c>
      <c r="AL22" s="57">
        <f>IF(AL$14=1,'Inputs (2)'!AL9,AK22)</f>
        <v>0</v>
      </c>
      <c r="AM22" s="77">
        <f>AL22</f>
        <v>0</v>
      </c>
      <c r="AN22" s="57">
        <f>IF(AN$14=1,'Inputs (2)'!AN9,AL22)</f>
        <v>0</v>
      </c>
      <c r="AO22" s="57">
        <f>IF(AO$14=1,'Inputs (2)'!AO9,AN22)</f>
        <v>0</v>
      </c>
      <c r="AP22" s="57">
        <f>IF(AP$14=1,'Inputs (2)'!AP9,AO22)</f>
        <v>0</v>
      </c>
      <c r="AQ22" s="57">
        <f>IF(AQ$14=1,'Inputs (2)'!AQ9,AP22)</f>
        <v>0</v>
      </c>
      <c r="AR22" s="77">
        <f>AQ22</f>
        <v>0</v>
      </c>
      <c r="AS22" s="57">
        <f>IF(AS$14=1,'Inputs (2)'!AS9,AQ22)</f>
        <v>0</v>
      </c>
      <c r="AT22" s="57">
        <f>IF(AT$14=1,'Inputs (2)'!AT9,AS22)</f>
        <v>0</v>
      </c>
      <c r="AU22" s="57">
        <f>IF(AU$14=1,'Inputs (2)'!AU9,AT22)</f>
        <v>0</v>
      </c>
      <c r="AV22" s="57">
        <f>IF(AV$14=1,'Inputs (2)'!AV9,AU22)</f>
        <v>0</v>
      </c>
      <c r="AW22" s="77">
        <f>AV22</f>
        <v>0</v>
      </c>
      <c r="AX22" s="57">
        <f>IF(AX$14=1,'Inputs (2)'!AX9,AV22)</f>
        <v>0</v>
      </c>
      <c r="AY22" s="57">
        <f>IF(AY$14=1,'Inputs (2)'!AY9,AX22)</f>
        <v>0</v>
      </c>
      <c r="AZ22" s="57">
        <f>IF(AZ$14=1,'Inputs (2)'!AZ9,AY22)</f>
        <v>0</v>
      </c>
      <c r="BA22" s="57">
        <f>IF(BA$14=1,'Inputs (2)'!BA9,AZ22)</f>
        <v>0</v>
      </c>
      <c r="BB22" s="77">
        <f>BA22</f>
        <v>0</v>
      </c>
      <c r="BC22" s="57">
        <f>IF(BC$14=1,'Inputs (2)'!BC9,BA22)</f>
        <v>0</v>
      </c>
      <c r="BD22" s="57">
        <f>IF(BD$14=1,'Inputs (2)'!BD9,BC22)</f>
        <v>0</v>
      </c>
      <c r="BE22" s="57">
        <f>IF(BE$14=1,'Inputs (2)'!BE9,BD22)</f>
        <v>0</v>
      </c>
      <c r="BF22" s="57">
        <f>IF(BF$14=1,'Inputs (2)'!BF9,BE22)</f>
        <v>0</v>
      </c>
      <c r="BG22" s="77">
        <f>BF22</f>
        <v>0</v>
      </c>
    </row>
    <row r="23" hidden="1" outlineLevel="1">
      <c r="C23" s="61" t="inlineStr">
        <is>
          <t>(Provisão para perdas — aplicações)</t>
        </is>
      </c>
      <c r="D23" s="62" t="inlineStr">
        <is>
          <t>(Allowance)</t>
        </is>
      </c>
      <c r="E23" s="57">
        <f>'Inputs (2)'!E10</f>
        <v>0</v>
      </c>
      <c r="F23" s="57">
        <f>IF(F$14=1,'Inputs (2)'!F10,E23)</f>
        <v>0</v>
      </c>
      <c r="G23" s="57">
        <f>IF(G$14=1,'Inputs (2)'!G10,F23)</f>
        <v>0</v>
      </c>
      <c r="H23" s="57">
        <f>IF(H$14=1,'Inputs (2)'!H10,G23)</f>
        <v>0</v>
      </c>
      <c r="I23" s="77">
        <f>H23</f>
        <v>0</v>
      </c>
      <c r="J23" s="57">
        <f>IF(J$14=1,'Inputs (2)'!J10,H23)</f>
        <v>0</v>
      </c>
      <c r="K23" s="57">
        <f>IF(K$14=1,'Inputs (2)'!K10,J23)</f>
        <v>0</v>
      </c>
      <c r="L23" s="57">
        <f>IF(L$14=1,'Inputs (2)'!L10,K23)</f>
        <v>0</v>
      </c>
      <c r="M23" s="57">
        <f>IF(M$14=1,'Inputs (2)'!M10,L23)</f>
        <v>0</v>
      </c>
      <c r="N23" s="77">
        <f>M23</f>
        <v>0</v>
      </c>
      <c r="O23" s="57">
        <f>IF(O$14=1,'Inputs (2)'!O10,M23)</f>
        <v>0</v>
      </c>
      <c r="P23" s="57">
        <f>IF(P$14=1,'Inputs (2)'!P10,O23)</f>
        <v>0</v>
      </c>
      <c r="Q23" s="57">
        <f>IF(Q$14=1,'Inputs (2)'!Q10,P23)</f>
        <v>0</v>
      </c>
      <c r="R23" s="57">
        <f>IF(R$14=1,'Inputs (2)'!R10,Q23)</f>
        <v>0</v>
      </c>
      <c r="S23" s="77">
        <f>R23</f>
        <v>0</v>
      </c>
      <c r="T23" s="57">
        <f>IF(T$14=1,'Inputs (2)'!T10,R23)</f>
        <v>0</v>
      </c>
      <c r="U23" s="57">
        <f>IF(U$14=1,'Inputs (2)'!U10,T23)</f>
        <v>0</v>
      </c>
      <c r="V23" s="57">
        <f>IF(V$14=1,'Inputs (2)'!V10,U23)</f>
        <v>0</v>
      </c>
      <c r="W23" s="57">
        <f>IF(W$14=1,'Inputs (2)'!W10,V23)</f>
        <v>0</v>
      </c>
      <c r="X23" s="77">
        <f>W23</f>
        <v>0</v>
      </c>
      <c r="Y23" s="57">
        <f>IF(Y$14=1,'Inputs (2)'!Y10,W23)</f>
        <v>0</v>
      </c>
      <c r="Z23" s="57">
        <f>IF(Z$14=1,'Inputs (2)'!Z10,Y23)</f>
        <v>0</v>
      </c>
      <c r="AA23" s="57">
        <f>IF(AA$14=1,'Inputs (2)'!AA10,Z23)</f>
        <v>0</v>
      </c>
      <c r="AB23" s="57">
        <f>IF(AB$14=1,'Inputs (2)'!AB10,AA23)</f>
        <v>0</v>
      </c>
      <c r="AC23" s="77">
        <f>AB23</f>
        <v>0</v>
      </c>
      <c r="AD23" s="57">
        <f>IF(AD$14=1,'Inputs (2)'!AD10,AB23)</f>
        <v>0</v>
      </c>
      <c r="AE23" s="57">
        <f>IF(AE$14=1,'Inputs (2)'!AE10,AD23)</f>
        <v>0</v>
      </c>
      <c r="AF23" s="57">
        <f>IF(AF$14=1,'Inputs (2)'!AF10,AE23)</f>
        <v>0</v>
      </c>
      <c r="AG23" s="57">
        <f>IF(AG$14=1,'Inputs (2)'!AG10,AF23)</f>
        <v>0</v>
      </c>
      <c r="AH23" s="77">
        <f>AG23</f>
        <v>0</v>
      </c>
      <c r="AI23" s="57">
        <f>IF(AI$14=1,'Inputs (2)'!AI10,AG23)</f>
        <v>0</v>
      </c>
      <c r="AJ23" s="57">
        <f>IF(AJ$14=1,'Inputs (2)'!AJ10,AI23)</f>
        <v>0</v>
      </c>
      <c r="AK23" s="57">
        <f>IF(AK$14=1,'Inputs (2)'!AK10,AJ23)</f>
        <v>0</v>
      </c>
      <c r="AL23" s="57">
        <f>IF(AL$14=1,'Inputs (2)'!AL10,AK23)</f>
        <v>0</v>
      </c>
      <c r="AM23" s="77">
        <f>AL23</f>
        <v>0</v>
      </c>
      <c r="AN23" s="57">
        <f>IF(AN$14=1,'Inputs (2)'!AN10,AL23)</f>
        <v>0</v>
      </c>
      <c r="AO23" s="57">
        <f>IF(AO$14=1,'Inputs (2)'!AO10,AN23)</f>
        <v>0</v>
      </c>
      <c r="AP23" s="57">
        <f>IF(AP$14=1,'Inputs (2)'!AP10,AO23)</f>
        <v>0</v>
      </c>
      <c r="AQ23" s="57">
        <f>IF(AQ$14=1,'Inputs (2)'!AQ10,AP23)</f>
        <v>0</v>
      </c>
      <c r="AR23" s="77">
        <f>AQ23</f>
        <v>0</v>
      </c>
      <c r="AS23" s="57">
        <f>IF(AS$14=1,'Inputs (2)'!AS10,AQ23)</f>
        <v>0</v>
      </c>
      <c r="AT23" s="57">
        <f>IF(AT$14=1,'Inputs (2)'!AT10,AS23)</f>
        <v>0</v>
      </c>
      <c r="AU23" s="57">
        <f>IF(AU$14=1,'Inputs (2)'!AU10,AT23)</f>
        <v>0</v>
      </c>
      <c r="AV23" s="57">
        <f>IF(AV$14=1,'Inputs (2)'!AV10,AU23)</f>
        <v>0</v>
      </c>
      <c r="AW23" s="77">
        <f>AV23</f>
        <v>0</v>
      </c>
      <c r="AX23" s="57">
        <f>IF(AX$14=1,'Inputs (2)'!AX10,AV23)</f>
        <v>0</v>
      </c>
      <c r="AY23" s="57">
        <f>IF(AY$14=1,'Inputs (2)'!AY10,AX23)</f>
        <v>0</v>
      </c>
      <c r="AZ23" s="57">
        <f>IF(AZ$14=1,'Inputs (2)'!AZ10,AY23)</f>
        <v>0</v>
      </c>
      <c r="BA23" s="57">
        <f>IF(BA$14=1,'Inputs (2)'!BA10,AZ23)</f>
        <v>0</v>
      </c>
      <c r="BB23" s="77">
        <f>BA23</f>
        <v>0</v>
      </c>
      <c r="BC23" s="57">
        <f>IF(BC$14=1,'Inputs (2)'!BC10,BA23)</f>
        <v>0</v>
      </c>
      <c r="BD23" s="57">
        <f>IF(BD$14=1,'Inputs (2)'!BD10,BC23)</f>
        <v>0</v>
      </c>
      <c r="BE23" s="57">
        <f>IF(BE$14=1,'Inputs (2)'!BE10,BD23)</f>
        <v>0</v>
      </c>
      <c r="BF23" s="57">
        <f>IF(BF$14=1,'Inputs (2)'!BF10,BE23)</f>
        <v>0</v>
      </c>
      <c r="BG23" s="77">
        <f>BF23</f>
        <v>0</v>
      </c>
    </row>
    <row r="24" collapsed="1">
      <c r="C24" s="83" t="inlineStr">
        <is>
          <t>Títulos e ativos de trading</t>
        </is>
      </c>
      <c r="D24" s="84" t="inlineStr">
        <is>
          <t>Securities and trading assets</t>
        </is>
      </c>
      <c r="E24" s="85">
        <f>E25+E26+E27+E28</f>
        <v>0</v>
      </c>
      <c r="F24" s="85">
        <f>F25+F26+F27+F28</f>
        <v>0</v>
      </c>
      <c r="G24" s="85">
        <f>G25+G26+G27+G28</f>
        <v>0</v>
      </c>
      <c r="H24" s="85">
        <f>H25+H26+H27+H28</f>
        <v>0</v>
      </c>
      <c r="I24" s="60">
        <f>H24</f>
        <v>0</v>
      </c>
      <c r="J24" s="85">
        <f>J25+J26+J27+J28</f>
        <v>0</v>
      </c>
      <c r="K24" s="85">
        <f>K25+K26+K27+K28</f>
        <v>0</v>
      </c>
      <c r="L24" s="85">
        <f>L25+L26+L27+L28</f>
        <v>0</v>
      </c>
      <c r="M24" s="85">
        <f>M25+M26+M27+M28</f>
        <v>0</v>
      </c>
      <c r="N24" s="60">
        <f>M24</f>
        <v>0</v>
      </c>
      <c r="O24" s="85">
        <f>O25+O26+O27+O28</f>
        <v>0</v>
      </c>
      <c r="P24" s="85">
        <f>P25+P26+P27+P28</f>
        <v>0</v>
      </c>
      <c r="Q24" s="85">
        <f>Q25+Q26+Q27+Q28</f>
        <v>0</v>
      </c>
      <c r="R24" s="85">
        <f>R25+R26+R27+R28</f>
        <v>0</v>
      </c>
      <c r="S24" s="60">
        <f>R24</f>
        <v>0</v>
      </c>
      <c r="T24" s="85">
        <f>T25+T26+T27+T28</f>
        <v>0</v>
      </c>
      <c r="U24" s="85">
        <f>U25+U26+U27+U28</f>
        <v>0</v>
      </c>
      <c r="V24" s="85">
        <f>V25+V26+V27+V28</f>
        <v>0</v>
      </c>
      <c r="W24" s="85">
        <f>W25+W26+W27+W28</f>
        <v>0</v>
      </c>
      <c r="X24" s="60">
        <f>W24</f>
        <v>0</v>
      </c>
      <c r="Y24" s="85">
        <f>Y25+Y26+Y27+Y28</f>
        <v>0</v>
      </c>
      <c r="Z24" s="85">
        <f>Z25+Z26+Z27+Z28</f>
        <v>0</v>
      </c>
      <c r="AA24" s="85">
        <f>AA25+AA26+AA27+AA28</f>
        <v>0</v>
      </c>
      <c r="AB24" s="85">
        <f>AB25+AB26+AB27+AB28</f>
        <v>0</v>
      </c>
      <c r="AC24" s="60">
        <f>AB24</f>
        <v>0</v>
      </c>
      <c r="AD24" s="85">
        <f>AD25+AD26+AD27+AD28</f>
        <v>0</v>
      </c>
      <c r="AE24" s="85">
        <f>AE25+AE26+AE27+AE28</f>
        <v>0</v>
      </c>
      <c r="AF24" s="85">
        <f>AF25+AF26+AF27+AF28</f>
        <v>0</v>
      </c>
      <c r="AG24" s="85">
        <f>AG25+AG26+AG27+AG28</f>
        <v>0</v>
      </c>
      <c r="AH24" s="60">
        <f>AG24</f>
        <v>0</v>
      </c>
      <c r="AI24" s="85">
        <f>AI25+AI26+AI27+AI28</f>
        <v>0</v>
      </c>
      <c r="AJ24" s="85">
        <f>AJ25+AJ26+AJ27+AJ28</f>
        <v>0</v>
      </c>
      <c r="AK24" s="85">
        <f>AK25+AK26+AK27+AK28</f>
        <v>0</v>
      </c>
      <c r="AL24" s="85">
        <f>AL25+AL26+AL27+AL28</f>
        <v>0</v>
      </c>
      <c r="AM24" s="60">
        <f>AL24</f>
        <v>0</v>
      </c>
      <c r="AN24" s="85">
        <f>AN25+AN26+AN27+AN28</f>
        <v>0</v>
      </c>
      <c r="AO24" s="85">
        <f>AO25+AO26+AO27+AO28</f>
        <v>0</v>
      </c>
      <c r="AP24" s="85">
        <f>AP25+AP26+AP27+AP28</f>
        <v>0</v>
      </c>
      <c r="AQ24" s="85">
        <f>AQ25+AQ26+AQ27+AQ28</f>
        <v>0</v>
      </c>
      <c r="AR24" s="60">
        <f>AQ24</f>
        <v>0</v>
      </c>
      <c r="AS24" s="85">
        <f>AS25+AS26+AS27+AS28</f>
        <v>0</v>
      </c>
      <c r="AT24" s="85">
        <f>AT25+AT26+AT27+AT28</f>
        <v>0</v>
      </c>
      <c r="AU24" s="85">
        <f>AU25+AU26+AU27+AU28</f>
        <v>0</v>
      </c>
      <c r="AV24" s="85">
        <f>AV25+AV26+AV27+AV28</f>
        <v>0</v>
      </c>
      <c r="AW24" s="60">
        <f>AV24</f>
        <v>0</v>
      </c>
      <c r="AX24" s="85">
        <f>AX25+AX26+AX27+AX28</f>
        <v>0</v>
      </c>
      <c r="AY24" s="85">
        <f>AY25+AY26+AY27+AY28</f>
        <v>0</v>
      </c>
      <c r="AZ24" s="85">
        <f>AZ25+AZ26+AZ27+AZ28</f>
        <v>0</v>
      </c>
      <c r="BA24" s="85">
        <f>BA25+BA26+BA27+BA28</f>
        <v>0</v>
      </c>
      <c r="BB24" s="60">
        <f>BA24</f>
        <v>0</v>
      </c>
      <c r="BC24" s="85">
        <f>BC25+BC26+BC27+BC28</f>
        <v>0</v>
      </c>
      <c r="BD24" s="85">
        <f>BD25+BD26+BD27+BD28</f>
        <v>0</v>
      </c>
      <c r="BE24" s="85">
        <f>BE25+BE26+BE27+BE28</f>
        <v>0</v>
      </c>
      <c r="BF24" s="85">
        <f>BF25+BF26+BF27+BF28</f>
        <v>0</v>
      </c>
      <c r="BG24" s="60">
        <f>BF24</f>
        <v>0</v>
      </c>
    </row>
    <row r="25" hidden="1" outlineLevel="1">
      <c r="C25" s="61" t="inlineStr">
        <is>
          <t>Ativos de trading</t>
        </is>
      </c>
      <c r="D25" s="62" t="inlineStr">
        <is>
          <t>Trading assets</t>
        </is>
      </c>
      <c r="E25" s="57">
        <f>'Inputs (2)'!E12</f>
        <v>0</v>
      </c>
      <c r="F25" s="57">
        <f>IF(F$14=1,'Inputs (2)'!F12,E25*(1+Inputs!F$276))</f>
        <v>0</v>
      </c>
      <c r="G25" s="57">
        <f>IF(G$14=1,'Inputs (2)'!G12,F25*(1+Inputs!G$276))</f>
        <v>0</v>
      </c>
      <c r="H25" s="57">
        <f>IF(H$14=1,'Inputs (2)'!H12,G25*(1+Inputs!H$276))</f>
        <v>0</v>
      </c>
      <c r="I25" s="77">
        <f>H25</f>
        <v>0</v>
      </c>
      <c r="J25" s="57">
        <f>IF(J$14=1,'Inputs (2)'!J12,H25*(1+Inputs!J$276))</f>
        <v>0</v>
      </c>
      <c r="K25" s="57">
        <f>IF(K$14=1,'Inputs (2)'!K12,J25*(1+Inputs!K$276))</f>
        <v>0</v>
      </c>
      <c r="L25" s="57">
        <f>IF(L$14=1,'Inputs (2)'!L12,K25*(1+Inputs!L$276))</f>
        <v>0</v>
      </c>
      <c r="M25" s="57">
        <f>IF(M$14=1,'Inputs (2)'!M12,L25*(1+Inputs!M$276))</f>
        <v>0</v>
      </c>
      <c r="N25" s="77">
        <f>M25</f>
        <v>0</v>
      </c>
      <c r="O25" s="57">
        <f>IF(O$14=1,'Inputs (2)'!O12,M25*(1+Inputs!O$276))</f>
        <v>0</v>
      </c>
      <c r="P25" s="57">
        <f>IF(P$14=1,'Inputs (2)'!P12,O25*(1+Inputs!P$276))</f>
        <v>0</v>
      </c>
      <c r="Q25" s="57">
        <f>IF(Q$14=1,'Inputs (2)'!Q12,P25*(1+Inputs!Q$276))</f>
        <v>0</v>
      </c>
      <c r="R25" s="57">
        <f>IF(R$14=1,'Inputs (2)'!R12,Q25*(1+Inputs!R$276))</f>
        <v>0</v>
      </c>
      <c r="S25" s="77">
        <f>R25</f>
        <v>0</v>
      </c>
      <c r="T25" s="57">
        <f>IF(T$14=1,'Inputs (2)'!T12,R25*(1+Inputs!T$276))</f>
        <v>0</v>
      </c>
      <c r="U25" s="57">
        <f>IF(U$14=1,'Inputs (2)'!U12,T25*(1+Inputs!U$276))</f>
        <v>0</v>
      </c>
      <c r="V25" s="57">
        <f>IF(V$14=1,'Inputs (2)'!V12,U25*(1+Inputs!V$276))</f>
        <v>0</v>
      </c>
      <c r="W25" s="57">
        <f>IF(W$14=1,'Inputs (2)'!W12,V25*(1+Inputs!W$276))</f>
        <v>0</v>
      </c>
      <c r="X25" s="77">
        <f>W25</f>
        <v>0</v>
      </c>
      <c r="Y25" s="57">
        <f>IF(Y$14=1,'Inputs (2)'!Y12,W25*(1+Inputs!Y$276))</f>
        <v>0</v>
      </c>
      <c r="Z25" s="57">
        <f>IF(Z$14=1,'Inputs (2)'!Z12,Y25*(1+Inputs!Z$276))</f>
        <v>0</v>
      </c>
      <c r="AA25" s="57">
        <f>IF(AA$14=1,'Inputs (2)'!AA12,Z25*(1+Inputs!AA$276))</f>
        <v>0</v>
      </c>
      <c r="AB25" s="57">
        <f>IF(AB$14=1,'Inputs (2)'!AB12,AA25*(1+Inputs!AB$276))</f>
        <v>0</v>
      </c>
      <c r="AC25" s="77">
        <f>AB25</f>
        <v>0</v>
      </c>
      <c r="AD25" s="57">
        <f>IF(AD$14=1,'Inputs (2)'!AD12,AB25*(1+Inputs!AD$276))</f>
        <v>0</v>
      </c>
      <c r="AE25" s="57">
        <f>IF(AE$14=1,'Inputs (2)'!AE12,AD25*(1+Inputs!AE$276))</f>
        <v>0</v>
      </c>
      <c r="AF25" s="57">
        <f>IF(AF$14=1,'Inputs (2)'!AF12,AE25*(1+Inputs!AF$276))</f>
        <v>0</v>
      </c>
      <c r="AG25" s="57">
        <f>IF(AG$14=1,'Inputs (2)'!AG12,AF25*(1+Inputs!AG$276))</f>
        <v>0</v>
      </c>
      <c r="AH25" s="77">
        <f>AG25</f>
        <v>0</v>
      </c>
      <c r="AI25" s="57">
        <f>IF(AI$14=1,'Inputs (2)'!AI12,AG25*(1+Inputs!AI$276))</f>
        <v>0</v>
      </c>
      <c r="AJ25" s="57">
        <f>IF(AJ$14=1,'Inputs (2)'!AJ12,AI25*(1+Inputs!AJ$276))</f>
        <v>0</v>
      </c>
      <c r="AK25" s="57">
        <f>IF(AK$14=1,'Inputs (2)'!AK12,AJ25*(1+Inputs!AK$276))</f>
        <v>0</v>
      </c>
      <c r="AL25" s="57">
        <f>IF(AL$14=1,'Inputs (2)'!AL12,AK25*(1+Inputs!AL$276))</f>
        <v>0</v>
      </c>
      <c r="AM25" s="77">
        <f>AL25</f>
        <v>0</v>
      </c>
      <c r="AN25" s="57">
        <f>IF(AN$14=1,'Inputs (2)'!AN12,AL25*(1+Inputs!AN$276))</f>
        <v>0</v>
      </c>
      <c r="AO25" s="57">
        <f>IF(AO$14=1,'Inputs (2)'!AO12,AN25*(1+Inputs!AO$276))</f>
        <v>0</v>
      </c>
      <c r="AP25" s="57">
        <f>IF(AP$14=1,'Inputs (2)'!AP12,AO25*(1+Inputs!AP$276))</f>
        <v>0</v>
      </c>
      <c r="AQ25" s="57">
        <f>IF(AQ$14=1,'Inputs (2)'!AQ12,AP25*(1+Inputs!AQ$276))</f>
        <v>0</v>
      </c>
      <c r="AR25" s="77">
        <f>AQ25</f>
        <v>0</v>
      </c>
      <c r="AS25" s="57">
        <f>IF(AS$14=1,'Inputs (2)'!AS12,AQ25*(1+Inputs!AS$276))</f>
        <v>0</v>
      </c>
      <c r="AT25" s="57">
        <f>IF(AT$14=1,'Inputs (2)'!AT12,AS25*(1+Inputs!AT$276))</f>
        <v>0</v>
      </c>
      <c r="AU25" s="57">
        <f>IF(AU$14=1,'Inputs (2)'!AU12,AT25*(1+Inputs!AU$276))</f>
        <v>0</v>
      </c>
      <c r="AV25" s="57">
        <f>IF(AV$14=1,'Inputs (2)'!AV12,AU25*(1+Inputs!AV$276))</f>
        <v>0</v>
      </c>
      <c r="AW25" s="77">
        <f>AV25</f>
        <v>0</v>
      </c>
      <c r="AX25" s="57">
        <f>IF(AX$14=1,'Inputs (2)'!AX12,AV25*(1+Inputs!AX$276))</f>
        <v>0</v>
      </c>
      <c r="AY25" s="57">
        <f>IF(AY$14=1,'Inputs (2)'!AY12,AX25*(1+Inputs!AY$276))</f>
        <v>0</v>
      </c>
      <c r="AZ25" s="57">
        <f>IF(AZ$14=1,'Inputs (2)'!AZ12,AY25*(1+Inputs!AZ$276))</f>
        <v>0</v>
      </c>
      <c r="BA25" s="57">
        <f>IF(BA$14=1,'Inputs (2)'!BA12,AZ25*(1+Inputs!BA$276))</f>
        <v>0</v>
      </c>
      <c r="BB25" s="77">
        <f>BA25</f>
        <v>0</v>
      </c>
      <c r="BC25" s="57">
        <f>IF(BC$14=1,'Inputs (2)'!BC12,BA25*(1+Inputs!BC$276))</f>
        <v>0</v>
      </c>
      <c r="BD25" s="57">
        <f>IF(BD$14=1,'Inputs (2)'!BD12,BC25*(1+Inputs!BD$276))</f>
        <v>0</v>
      </c>
      <c r="BE25" s="57">
        <f>IF(BE$14=1,'Inputs (2)'!BE12,BD25*(1+Inputs!BE$276))</f>
        <v>0</v>
      </c>
      <c r="BF25" s="57">
        <f>IF(BF$14=1,'Inputs (2)'!BF12,BE25*(1+Inputs!BF$276))</f>
        <v>0</v>
      </c>
      <c r="BG25" s="77">
        <f>BF25</f>
        <v>0</v>
      </c>
    </row>
    <row r="26" hidden="1" outlineLevel="1">
      <c r="C26" s="61" t="inlineStr">
        <is>
          <t>Títulos AFS (valor justo)</t>
        </is>
      </c>
      <c r="D26" s="62" t="inlineStr">
        <is>
          <t>AFS securities</t>
        </is>
      </c>
      <c r="E26" s="57">
        <f>'Inputs (2)'!E13</f>
        <v>0</v>
      </c>
      <c r="F26" s="57">
        <f>IF(F$14=1,'Inputs (2)'!F13,E26*(1+Inputs!F$276))</f>
        <v>0</v>
      </c>
      <c r="G26" s="57">
        <f>IF(G$14=1,'Inputs (2)'!G13,F26*(1+Inputs!G$276))</f>
        <v>0</v>
      </c>
      <c r="H26" s="57">
        <f>IF(H$14=1,'Inputs (2)'!H13,G26*(1+Inputs!H$276))</f>
        <v>0</v>
      </c>
      <c r="I26" s="77">
        <f>H26</f>
        <v>0</v>
      </c>
      <c r="J26" s="57">
        <f>IF(J$14=1,'Inputs (2)'!J13,H26*(1+Inputs!J$276))</f>
        <v>0</v>
      </c>
      <c r="K26" s="57">
        <f>IF(K$14=1,'Inputs (2)'!K13,J26*(1+Inputs!K$276))</f>
        <v>0</v>
      </c>
      <c r="L26" s="57">
        <f>IF(L$14=1,'Inputs (2)'!L13,K26*(1+Inputs!L$276))</f>
        <v>0</v>
      </c>
      <c r="M26" s="57">
        <f>IF(M$14=1,'Inputs (2)'!M13,L26*(1+Inputs!M$276))</f>
        <v>0</v>
      </c>
      <c r="N26" s="77">
        <f>M26</f>
        <v>0</v>
      </c>
      <c r="O26" s="57">
        <f>IF(O$14=1,'Inputs (2)'!O13,M26*(1+Inputs!O$276))</f>
        <v>0</v>
      </c>
      <c r="P26" s="57">
        <f>IF(P$14=1,'Inputs (2)'!P13,O26*(1+Inputs!P$276))</f>
        <v>0</v>
      </c>
      <c r="Q26" s="57">
        <f>IF(Q$14=1,'Inputs (2)'!Q13,P26*(1+Inputs!Q$276))</f>
        <v>0</v>
      </c>
      <c r="R26" s="57">
        <f>IF(R$14=1,'Inputs (2)'!R13,Q26*(1+Inputs!R$276))</f>
        <v>0</v>
      </c>
      <c r="S26" s="77">
        <f>R26</f>
        <v>0</v>
      </c>
      <c r="T26" s="57">
        <f>IF(T$14=1,'Inputs (2)'!T13,R26*(1+Inputs!T$276))</f>
        <v>0</v>
      </c>
      <c r="U26" s="57">
        <f>IF(U$14=1,'Inputs (2)'!U13,T26*(1+Inputs!U$276))</f>
        <v>0</v>
      </c>
      <c r="V26" s="57">
        <f>IF(V$14=1,'Inputs (2)'!V13,U26*(1+Inputs!V$276))</f>
        <v>0</v>
      </c>
      <c r="W26" s="57">
        <f>IF(W$14=1,'Inputs (2)'!W13,V26*(1+Inputs!W$276))</f>
        <v>0</v>
      </c>
      <c r="X26" s="77">
        <f>W26</f>
        <v>0</v>
      </c>
      <c r="Y26" s="57">
        <f>IF(Y$14=1,'Inputs (2)'!Y13,W26*(1+Inputs!Y$276))</f>
        <v>0</v>
      </c>
      <c r="Z26" s="57">
        <f>IF(Z$14=1,'Inputs (2)'!Z13,Y26*(1+Inputs!Z$276))</f>
        <v>0</v>
      </c>
      <c r="AA26" s="57">
        <f>IF(AA$14=1,'Inputs (2)'!AA13,Z26*(1+Inputs!AA$276))</f>
        <v>0</v>
      </c>
      <c r="AB26" s="57">
        <f>IF(AB$14=1,'Inputs (2)'!AB13,AA26*(1+Inputs!AB$276))</f>
        <v>0</v>
      </c>
      <c r="AC26" s="77">
        <f>AB26</f>
        <v>0</v>
      </c>
      <c r="AD26" s="57">
        <f>IF(AD$14=1,'Inputs (2)'!AD13,AB26*(1+Inputs!AD$276))</f>
        <v>0</v>
      </c>
      <c r="AE26" s="57">
        <f>IF(AE$14=1,'Inputs (2)'!AE13,AD26*(1+Inputs!AE$276))</f>
        <v>0</v>
      </c>
      <c r="AF26" s="57">
        <f>IF(AF$14=1,'Inputs (2)'!AF13,AE26*(1+Inputs!AF$276))</f>
        <v>0</v>
      </c>
      <c r="AG26" s="57">
        <f>IF(AG$14=1,'Inputs (2)'!AG13,AF26*(1+Inputs!AG$276))</f>
        <v>0</v>
      </c>
      <c r="AH26" s="77">
        <f>AG26</f>
        <v>0</v>
      </c>
      <c r="AI26" s="57">
        <f>IF(AI$14=1,'Inputs (2)'!AI13,AG26*(1+Inputs!AI$276))</f>
        <v>0</v>
      </c>
      <c r="AJ26" s="57">
        <f>IF(AJ$14=1,'Inputs (2)'!AJ13,AI26*(1+Inputs!AJ$276))</f>
        <v>0</v>
      </c>
      <c r="AK26" s="57">
        <f>IF(AK$14=1,'Inputs (2)'!AK13,AJ26*(1+Inputs!AK$276))</f>
        <v>0</v>
      </c>
      <c r="AL26" s="57">
        <f>IF(AL$14=1,'Inputs (2)'!AL13,AK26*(1+Inputs!AL$276))</f>
        <v>0</v>
      </c>
      <c r="AM26" s="77">
        <f>AL26</f>
        <v>0</v>
      </c>
      <c r="AN26" s="57">
        <f>IF(AN$14=1,'Inputs (2)'!AN13,AL26*(1+Inputs!AN$276))</f>
        <v>0</v>
      </c>
      <c r="AO26" s="57">
        <f>IF(AO$14=1,'Inputs (2)'!AO13,AN26*(1+Inputs!AO$276))</f>
        <v>0</v>
      </c>
      <c r="AP26" s="57">
        <f>IF(AP$14=1,'Inputs (2)'!AP13,AO26*(1+Inputs!AP$276))</f>
        <v>0</v>
      </c>
      <c r="AQ26" s="57">
        <f>IF(AQ$14=1,'Inputs (2)'!AQ13,AP26*(1+Inputs!AQ$276))</f>
        <v>0</v>
      </c>
      <c r="AR26" s="77">
        <f>AQ26</f>
        <v>0</v>
      </c>
      <c r="AS26" s="57">
        <f>IF(AS$14=1,'Inputs (2)'!AS13,AQ26*(1+Inputs!AS$276))</f>
        <v>0</v>
      </c>
      <c r="AT26" s="57">
        <f>IF(AT$14=1,'Inputs (2)'!AT13,AS26*(1+Inputs!AT$276))</f>
        <v>0</v>
      </c>
      <c r="AU26" s="57">
        <f>IF(AU$14=1,'Inputs (2)'!AU13,AT26*(1+Inputs!AU$276))</f>
        <v>0</v>
      </c>
      <c r="AV26" s="57">
        <f>IF(AV$14=1,'Inputs (2)'!AV13,AU26*(1+Inputs!AV$276))</f>
        <v>0</v>
      </c>
      <c r="AW26" s="77">
        <f>AV26</f>
        <v>0</v>
      </c>
      <c r="AX26" s="57">
        <f>IF(AX$14=1,'Inputs (2)'!AX13,AV26*(1+Inputs!AX$276))</f>
        <v>0</v>
      </c>
      <c r="AY26" s="57">
        <f>IF(AY$14=1,'Inputs (2)'!AY13,AX26*(1+Inputs!AY$276))</f>
        <v>0</v>
      </c>
      <c r="AZ26" s="57">
        <f>IF(AZ$14=1,'Inputs (2)'!AZ13,AY26*(1+Inputs!AZ$276))</f>
        <v>0</v>
      </c>
      <c r="BA26" s="57">
        <f>IF(BA$14=1,'Inputs (2)'!BA13,AZ26*(1+Inputs!BA$276))</f>
        <v>0</v>
      </c>
      <c r="BB26" s="77">
        <f>BA26</f>
        <v>0</v>
      </c>
      <c r="BC26" s="57">
        <f>IF(BC$14=1,'Inputs (2)'!BC13,BA26*(1+Inputs!BC$276))</f>
        <v>0</v>
      </c>
      <c r="BD26" s="57">
        <f>IF(BD$14=1,'Inputs (2)'!BD13,BC26*(1+Inputs!BD$276))</f>
        <v>0</v>
      </c>
      <c r="BE26" s="57">
        <f>IF(BE$14=1,'Inputs (2)'!BE13,BD26*(1+Inputs!BE$276))</f>
        <v>0</v>
      </c>
      <c r="BF26" s="57">
        <f>IF(BF$14=1,'Inputs (2)'!BF13,BE26*(1+Inputs!BF$276))</f>
        <v>0</v>
      </c>
      <c r="BG26" s="77">
        <f>BF26</f>
        <v>0</v>
      </c>
    </row>
    <row r="27" hidden="1" outlineLevel="1">
      <c r="C27" s="61" t="inlineStr">
        <is>
          <t>Títulos HTM (custo amortizado)</t>
        </is>
      </c>
      <c r="D27" s="62" t="inlineStr">
        <is>
          <t>HTM securities</t>
        </is>
      </c>
      <c r="E27" s="57">
        <f>'Inputs (2)'!E14</f>
        <v>0</v>
      </c>
      <c r="F27" s="57">
        <f>IF(F$14=1,'Inputs (2)'!F14,E27)</f>
        <v>0</v>
      </c>
      <c r="G27" s="57">
        <f>IF(G$14=1,'Inputs (2)'!G14,F27)</f>
        <v>0</v>
      </c>
      <c r="H27" s="57">
        <f>IF(H$14=1,'Inputs (2)'!H14,G27)</f>
        <v>0</v>
      </c>
      <c r="I27" s="77">
        <f>H27</f>
        <v>0</v>
      </c>
      <c r="J27" s="57">
        <f>IF(J$14=1,'Inputs (2)'!J14,H27)</f>
        <v>0</v>
      </c>
      <c r="K27" s="57">
        <f>IF(K$14=1,'Inputs (2)'!K14,J27)</f>
        <v>0</v>
      </c>
      <c r="L27" s="57">
        <f>IF(L$14=1,'Inputs (2)'!L14,K27)</f>
        <v>0</v>
      </c>
      <c r="M27" s="57">
        <f>IF(M$14=1,'Inputs (2)'!M14,L27)</f>
        <v>0</v>
      </c>
      <c r="N27" s="77">
        <f>M27</f>
        <v>0</v>
      </c>
      <c r="O27" s="57">
        <f>IF(O$14=1,'Inputs (2)'!O14,M27)</f>
        <v>0</v>
      </c>
      <c r="P27" s="57">
        <f>IF(P$14=1,'Inputs (2)'!P14,O27)</f>
        <v>0</v>
      </c>
      <c r="Q27" s="57">
        <f>IF(Q$14=1,'Inputs (2)'!Q14,P27)</f>
        <v>0</v>
      </c>
      <c r="R27" s="57">
        <f>IF(R$14=1,'Inputs (2)'!R14,Q27)</f>
        <v>0</v>
      </c>
      <c r="S27" s="77">
        <f>R27</f>
        <v>0</v>
      </c>
      <c r="T27" s="57">
        <f>IF(T$14=1,'Inputs (2)'!T14,R27)</f>
        <v>0</v>
      </c>
      <c r="U27" s="57">
        <f>IF(U$14=1,'Inputs (2)'!U14,T27)</f>
        <v>0</v>
      </c>
      <c r="V27" s="57">
        <f>IF(V$14=1,'Inputs (2)'!V14,U27)</f>
        <v>0</v>
      </c>
      <c r="W27" s="57">
        <f>IF(W$14=1,'Inputs (2)'!W14,V27)</f>
        <v>0</v>
      </c>
      <c r="X27" s="77">
        <f>W27</f>
        <v>0</v>
      </c>
      <c r="Y27" s="57">
        <f>IF(Y$14=1,'Inputs (2)'!Y14,W27)</f>
        <v>0</v>
      </c>
      <c r="Z27" s="57">
        <f>IF(Z$14=1,'Inputs (2)'!Z14,Y27)</f>
        <v>0</v>
      </c>
      <c r="AA27" s="57">
        <f>IF(AA$14=1,'Inputs (2)'!AA14,Z27)</f>
        <v>0</v>
      </c>
      <c r="AB27" s="57">
        <f>IF(AB$14=1,'Inputs (2)'!AB14,AA27)</f>
        <v>0</v>
      </c>
      <c r="AC27" s="77">
        <f>AB27</f>
        <v>0</v>
      </c>
      <c r="AD27" s="57">
        <f>IF(AD$14=1,'Inputs (2)'!AD14,AB27)</f>
        <v>0</v>
      </c>
      <c r="AE27" s="57">
        <f>IF(AE$14=1,'Inputs (2)'!AE14,AD27)</f>
        <v>0</v>
      </c>
      <c r="AF27" s="57">
        <f>IF(AF$14=1,'Inputs (2)'!AF14,AE27)</f>
        <v>0</v>
      </c>
      <c r="AG27" s="57">
        <f>IF(AG$14=1,'Inputs (2)'!AG14,AF27)</f>
        <v>0</v>
      </c>
      <c r="AH27" s="77">
        <f>AG27</f>
        <v>0</v>
      </c>
      <c r="AI27" s="57">
        <f>IF(AI$14=1,'Inputs (2)'!AI14,AG27)</f>
        <v>0</v>
      </c>
      <c r="AJ27" s="57">
        <f>IF(AJ$14=1,'Inputs (2)'!AJ14,AI27)</f>
        <v>0</v>
      </c>
      <c r="AK27" s="57">
        <f>IF(AK$14=1,'Inputs (2)'!AK14,AJ27)</f>
        <v>0</v>
      </c>
      <c r="AL27" s="57">
        <f>IF(AL$14=1,'Inputs (2)'!AL14,AK27)</f>
        <v>0</v>
      </c>
      <c r="AM27" s="77">
        <f>AL27</f>
        <v>0</v>
      </c>
      <c r="AN27" s="57">
        <f>IF(AN$14=1,'Inputs (2)'!AN14,AL27)</f>
        <v>0</v>
      </c>
      <c r="AO27" s="57">
        <f>IF(AO$14=1,'Inputs (2)'!AO14,AN27)</f>
        <v>0</v>
      </c>
      <c r="AP27" s="57">
        <f>IF(AP$14=1,'Inputs (2)'!AP14,AO27)</f>
        <v>0</v>
      </c>
      <c r="AQ27" s="57">
        <f>IF(AQ$14=1,'Inputs (2)'!AQ14,AP27)</f>
        <v>0</v>
      </c>
      <c r="AR27" s="77">
        <f>AQ27</f>
        <v>0</v>
      </c>
      <c r="AS27" s="57">
        <f>IF(AS$14=1,'Inputs (2)'!AS14,AQ27)</f>
        <v>0</v>
      </c>
      <c r="AT27" s="57">
        <f>IF(AT$14=1,'Inputs (2)'!AT14,AS27)</f>
        <v>0</v>
      </c>
      <c r="AU27" s="57">
        <f>IF(AU$14=1,'Inputs (2)'!AU14,AT27)</f>
        <v>0</v>
      </c>
      <c r="AV27" s="57">
        <f>IF(AV$14=1,'Inputs (2)'!AV14,AU27)</f>
        <v>0</v>
      </c>
      <c r="AW27" s="77">
        <f>AV27</f>
        <v>0</v>
      </c>
      <c r="AX27" s="57">
        <f>IF(AX$14=1,'Inputs (2)'!AX14,AV27)</f>
        <v>0</v>
      </c>
      <c r="AY27" s="57">
        <f>IF(AY$14=1,'Inputs (2)'!AY14,AX27)</f>
        <v>0</v>
      </c>
      <c r="AZ27" s="57">
        <f>IF(AZ$14=1,'Inputs (2)'!AZ14,AY27)</f>
        <v>0</v>
      </c>
      <c r="BA27" s="57">
        <f>IF(BA$14=1,'Inputs (2)'!BA14,AZ27)</f>
        <v>0</v>
      </c>
      <c r="BB27" s="77">
        <f>BA27</f>
        <v>0</v>
      </c>
      <c r="BC27" s="57">
        <f>IF(BC$14=1,'Inputs (2)'!BC14,BA27)</f>
        <v>0</v>
      </c>
      <c r="BD27" s="57">
        <f>IF(BD$14=1,'Inputs (2)'!BD14,BC27)</f>
        <v>0</v>
      </c>
      <c r="BE27" s="57">
        <f>IF(BE$14=1,'Inputs (2)'!BE14,BD27)</f>
        <v>0</v>
      </c>
      <c r="BF27" s="57">
        <f>IF(BF$14=1,'Inputs (2)'!BF14,BE27)</f>
        <v>0</v>
      </c>
      <c r="BG27" s="77">
        <f>BF27</f>
        <v>0</v>
      </c>
    </row>
    <row r="28" hidden="1" outlineLevel="1">
      <c r="C28" s="61" t="inlineStr">
        <is>
          <t>(Provisão para perdas — títulos)</t>
        </is>
      </c>
      <c r="D28" s="62" t="inlineStr">
        <is>
          <t>(Allowance — securities)</t>
        </is>
      </c>
      <c r="E28" s="57">
        <f>'Inputs (2)'!E15</f>
        <v>0</v>
      </c>
      <c r="F28" s="57">
        <f>IF(F$14=1,'Inputs (2)'!F15,E28)</f>
        <v>0</v>
      </c>
      <c r="G28" s="57">
        <f>IF(G$14=1,'Inputs (2)'!G15,F28)</f>
        <v>0</v>
      </c>
      <c r="H28" s="57">
        <f>IF(H$14=1,'Inputs (2)'!H15,G28)</f>
        <v>0</v>
      </c>
      <c r="I28" s="77">
        <f>H28</f>
        <v>0</v>
      </c>
      <c r="J28" s="57">
        <f>IF(J$14=1,'Inputs (2)'!J15,H28)</f>
        <v>0</v>
      </c>
      <c r="K28" s="57">
        <f>IF(K$14=1,'Inputs (2)'!K15,J28)</f>
        <v>0</v>
      </c>
      <c r="L28" s="57">
        <f>IF(L$14=1,'Inputs (2)'!L15,K28)</f>
        <v>0</v>
      </c>
      <c r="M28" s="57">
        <f>IF(M$14=1,'Inputs (2)'!M15,L28)</f>
        <v>0</v>
      </c>
      <c r="N28" s="77">
        <f>M28</f>
        <v>0</v>
      </c>
      <c r="O28" s="57">
        <f>IF(O$14=1,'Inputs (2)'!O15,M28)</f>
        <v>0</v>
      </c>
      <c r="P28" s="57">
        <f>IF(P$14=1,'Inputs (2)'!P15,O28)</f>
        <v>0</v>
      </c>
      <c r="Q28" s="57">
        <f>IF(Q$14=1,'Inputs (2)'!Q15,P28)</f>
        <v>0</v>
      </c>
      <c r="R28" s="57">
        <f>IF(R$14=1,'Inputs (2)'!R15,Q28)</f>
        <v>0</v>
      </c>
      <c r="S28" s="77">
        <f>R28</f>
        <v>0</v>
      </c>
      <c r="T28" s="57">
        <f>IF(T$14=1,'Inputs (2)'!T15,R28)</f>
        <v>0</v>
      </c>
      <c r="U28" s="57">
        <f>IF(U$14=1,'Inputs (2)'!U15,T28)</f>
        <v>0</v>
      </c>
      <c r="V28" s="57">
        <f>IF(V$14=1,'Inputs (2)'!V15,U28)</f>
        <v>0</v>
      </c>
      <c r="W28" s="57">
        <f>IF(W$14=1,'Inputs (2)'!W15,V28)</f>
        <v>0</v>
      </c>
      <c r="X28" s="77">
        <f>W28</f>
        <v>0</v>
      </c>
      <c r="Y28" s="57">
        <f>IF(Y$14=1,'Inputs (2)'!Y15,W28)</f>
        <v>0</v>
      </c>
      <c r="Z28" s="57">
        <f>IF(Z$14=1,'Inputs (2)'!Z15,Y28)</f>
        <v>0</v>
      </c>
      <c r="AA28" s="57">
        <f>IF(AA$14=1,'Inputs (2)'!AA15,Z28)</f>
        <v>0</v>
      </c>
      <c r="AB28" s="57">
        <f>IF(AB$14=1,'Inputs (2)'!AB15,AA28)</f>
        <v>0</v>
      </c>
      <c r="AC28" s="77">
        <f>AB28</f>
        <v>0</v>
      </c>
      <c r="AD28" s="57">
        <f>IF(AD$14=1,'Inputs (2)'!AD15,AB28)</f>
        <v>0</v>
      </c>
      <c r="AE28" s="57">
        <f>IF(AE$14=1,'Inputs (2)'!AE15,AD28)</f>
        <v>0</v>
      </c>
      <c r="AF28" s="57">
        <f>IF(AF$14=1,'Inputs (2)'!AF15,AE28)</f>
        <v>0</v>
      </c>
      <c r="AG28" s="57">
        <f>IF(AG$14=1,'Inputs (2)'!AG15,AF28)</f>
        <v>0</v>
      </c>
      <c r="AH28" s="77">
        <f>AG28</f>
        <v>0</v>
      </c>
      <c r="AI28" s="57">
        <f>IF(AI$14=1,'Inputs (2)'!AI15,AG28)</f>
        <v>0</v>
      </c>
      <c r="AJ28" s="57">
        <f>IF(AJ$14=1,'Inputs (2)'!AJ15,AI28)</f>
        <v>0</v>
      </c>
      <c r="AK28" s="57">
        <f>IF(AK$14=1,'Inputs (2)'!AK15,AJ28)</f>
        <v>0</v>
      </c>
      <c r="AL28" s="57">
        <f>IF(AL$14=1,'Inputs (2)'!AL15,AK28)</f>
        <v>0</v>
      </c>
      <c r="AM28" s="77">
        <f>AL28</f>
        <v>0</v>
      </c>
      <c r="AN28" s="57">
        <f>IF(AN$14=1,'Inputs (2)'!AN15,AL28)</f>
        <v>0</v>
      </c>
      <c r="AO28" s="57">
        <f>IF(AO$14=1,'Inputs (2)'!AO15,AN28)</f>
        <v>0</v>
      </c>
      <c r="AP28" s="57">
        <f>IF(AP$14=1,'Inputs (2)'!AP15,AO28)</f>
        <v>0</v>
      </c>
      <c r="AQ28" s="57">
        <f>IF(AQ$14=1,'Inputs (2)'!AQ15,AP28)</f>
        <v>0</v>
      </c>
      <c r="AR28" s="77">
        <f>AQ28</f>
        <v>0</v>
      </c>
      <c r="AS28" s="57">
        <f>IF(AS$14=1,'Inputs (2)'!AS15,AQ28)</f>
        <v>0</v>
      </c>
      <c r="AT28" s="57">
        <f>IF(AT$14=1,'Inputs (2)'!AT15,AS28)</f>
        <v>0</v>
      </c>
      <c r="AU28" s="57">
        <f>IF(AU$14=1,'Inputs (2)'!AU15,AT28)</f>
        <v>0</v>
      </c>
      <c r="AV28" s="57">
        <f>IF(AV$14=1,'Inputs (2)'!AV15,AU28)</f>
        <v>0</v>
      </c>
      <c r="AW28" s="77">
        <f>AV28</f>
        <v>0</v>
      </c>
      <c r="AX28" s="57">
        <f>IF(AX$14=1,'Inputs (2)'!AX15,AV28)</f>
        <v>0</v>
      </c>
      <c r="AY28" s="57">
        <f>IF(AY$14=1,'Inputs (2)'!AY15,AX28)</f>
        <v>0</v>
      </c>
      <c r="AZ28" s="57">
        <f>IF(AZ$14=1,'Inputs (2)'!AZ15,AY28)</f>
        <v>0</v>
      </c>
      <c r="BA28" s="57">
        <f>IF(BA$14=1,'Inputs (2)'!BA15,AZ28)</f>
        <v>0</v>
      </c>
      <c r="BB28" s="77">
        <f>BA28</f>
        <v>0</v>
      </c>
      <c r="BC28" s="57">
        <f>IF(BC$14=1,'Inputs (2)'!BC15,BA28)</f>
        <v>0</v>
      </c>
      <c r="BD28" s="57">
        <f>IF(BD$14=1,'Inputs (2)'!BD15,BC28)</f>
        <v>0</v>
      </c>
      <c r="BE28" s="57">
        <f>IF(BE$14=1,'Inputs (2)'!BE15,BD28)</f>
        <v>0</v>
      </c>
      <c r="BF28" s="57">
        <f>IF(BF$14=1,'Inputs (2)'!BF15,BE28)</f>
        <v>0</v>
      </c>
      <c r="BG28" s="77">
        <f>BF28</f>
        <v>0</v>
      </c>
    </row>
    <row r="29" collapsed="1">
      <c r="C29" s="80" t="inlineStr">
        <is>
          <t>Derivativos a receber (quando fora de trading)</t>
        </is>
      </c>
      <c r="D29" s="81" t="inlineStr">
        <is>
          <t>Derivative receivables</t>
        </is>
      </c>
      <c r="E29" s="82">
        <f>'Inputs (2)'!E16</f>
        <v>0</v>
      </c>
      <c r="F29" s="82">
        <f>IF(F$14=1,'Inputs (2)'!F16,E29)</f>
        <v>0</v>
      </c>
      <c r="G29" s="82">
        <f>IF(G$14=1,'Inputs (2)'!G16,F29)</f>
        <v>0</v>
      </c>
      <c r="H29" s="82">
        <f>IF(H$14=1,'Inputs (2)'!H16,G29)</f>
        <v>0</v>
      </c>
      <c r="I29" s="77">
        <f>H29</f>
        <v>0</v>
      </c>
      <c r="J29" s="82">
        <f>IF(J$14=1,'Inputs (2)'!J16,H29)</f>
        <v>0</v>
      </c>
      <c r="K29" s="82">
        <f>IF(K$14=1,'Inputs (2)'!K16,J29)</f>
        <v>0</v>
      </c>
      <c r="L29" s="82">
        <f>IF(L$14=1,'Inputs (2)'!L16,K29)</f>
        <v>0</v>
      </c>
      <c r="M29" s="82">
        <f>IF(M$14=1,'Inputs (2)'!M16,L29)</f>
        <v>0</v>
      </c>
      <c r="N29" s="77">
        <f>M29</f>
        <v>0</v>
      </c>
      <c r="O29" s="82">
        <f>IF(O$14=1,'Inputs (2)'!O16,M29)</f>
        <v>0</v>
      </c>
      <c r="P29" s="82">
        <f>IF(P$14=1,'Inputs (2)'!P16,O29)</f>
        <v>0</v>
      </c>
      <c r="Q29" s="82">
        <f>IF(Q$14=1,'Inputs (2)'!Q16,P29)</f>
        <v>0</v>
      </c>
      <c r="R29" s="82">
        <f>IF(R$14=1,'Inputs (2)'!R16,Q29)</f>
        <v>0</v>
      </c>
      <c r="S29" s="77">
        <f>R29</f>
        <v>0</v>
      </c>
      <c r="T29" s="82">
        <f>IF(T$14=1,'Inputs (2)'!T16,R29)</f>
        <v>0</v>
      </c>
      <c r="U29" s="82">
        <f>IF(U$14=1,'Inputs (2)'!U16,T29)</f>
        <v>0</v>
      </c>
      <c r="V29" s="82">
        <f>IF(V$14=1,'Inputs (2)'!V16,U29)</f>
        <v>0</v>
      </c>
      <c r="W29" s="82">
        <f>IF(W$14=1,'Inputs (2)'!W16,V29)</f>
        <v>0</v>
      </c>
      <c r="X29" s="77">
        <f>W29</f>
        <v>0</v>
      </c>
      <c r="Y29" s="82">
        <f>IF(Y$14=1,'Inputs (2)'!Y16,W29)</f>
        <v>0</v>
      </c>
      <c r="Z29" s="82">
        <f>IF(Z$14=1,'Inputs (2)'!Z16,Y29)</f>
        <v>0</v>
      </c>
      <c r="AA29" s="82">
        <f>IF(AA$14=1,'Inputs (2)'!AA16,Z29)</f>
        <v>0</v>
      </c>
      <c r="AB29" s="82">
        <f>IF(AB$14=1,'Inputs (2)'!AB16,AA29)</f>
        <v>0</v>
      </c>
      <c r="AC29" s="77">
        <f>AB29</f>
        <v>0</v>
      </c>
      <c r="AD29" s="82">
        <f>IF(AD$14=1,'Inputs (2)'!AD16,AB29)</f>
        <v>0</v>
      </c>
      <c r="AE29" s="82">
        <f>IF(AE$14=1,'Inputs (2)'!AE16,AD29)</f>
        <v>0</v>
      </c>
      <c r="AF29" s="82">
        <f>IF(AF$14=1,'Inputs (2)'!AF16,AE29)</f>
        <v>0</v>
      </c>
      <c r="AG29" s="82">
        <f>IF(AG$14=1,'Inputs (2)'!AG16,AF29)</f>
        <v>0</v>
      </c>
      <c r="AH29" s="77">
        <f>AG29</f>
        <v>0</v>
      </c>
      <c r="AI29" s="82">
        <f>IF(AI$14=1,'Inputs (2)'!AI16,AG29)</f>
        <v>0</v>
      </c>
      <c r="AJ29" s="82">
        <f>IF(AJ$14=1,'Inputs (2)'!AJ16,AI29)</f>
        <v>0</v>
      </c>
      <c r="AK29" s="82">
        <f>IF(AK$14=1,'Inputs (2)'!AK16,AJ29)</f>
        <v>0</v>
      </c>
      <c r="AL29" s="82">
        <f>IF(AL$14=1,'Inputs (2)'!AL16,AK29)</f>
        <v>0</v>
      </c>
      <c r="AM29" s="77">
        <f>AL29</f>
        <v>0</v>
      </c>
      <c r="AN29" s="82">
        <f>IF(AN$14=1,'Inputs (2)'!AN16,AL29)</f>
        <v>0</v>
      </c>
      <c r="AO29" s="82">
        <f>IF(AO$14=1,'Inputs (2)'!AO16,AN29)</f>
        <v>0</v>
      </c>
      <c r="AP29" s="82">
        <f>IF(AP$14=1,'Inputs (2)'!AP16,AO29)</f>
        <v>0</v>
      </c>
      <c r="AQ29" s="82">
        <f>IF(AQ$14=1,'Inputs (2)'!AQ16,AP29)</f>
        <v>0</v>
      </c>
      <c r="AR29" s="77">
        <f>AQ29</f>
        <v>0</v>
      </c>
      <c r="AS29" s="82">
        <f>IF(AS$14=1,'Inputs (2)'!AS16,AQ29)</f>
        <v>0</v>
      </c>
      <c r="AT29" s="82">
        <f>IF(AT$14=1,'Inputs (2)'!AT16,AS29)</f>
        <v>0</v>
      </c>
      <c r="AU29" s="82">
        <f>IF(AU$14=1,'Inputs (2)'!AU16,AT29)</f>
        <v>0</v>
      </c>
      <c r="AV29" s="82">
        <f>IF(AV$14=1,'Inputs (2)'!AV16,AU29)</f>
        <v>0</v>
      </c>
      <c r="AW29" s="77">
        <f>AV29</f>
        <v>0</v>
      </c>
      <c r="AX29" s="82">
        <f>IF(AX$14=1,'Inputs (2)'!AX16,AV29)</f>
        <v>0</v>
      </c>
      <c r="AY29" s="82">
        <f>IF(AY$14=1,'Inputs (2)'!AY16,AX29)</f>
        <v>0</v>
      </c>
      <c r="AZ29" s="82">
        <f>IF(AZ$14=1,'Inputs (2)'!AZ16,AY29)</f>
        <v>0</v>
      </c>
      <c r="BA29" s="82">
        <f>IF(BA$14=1,'Inputs (2)'!BA16,AZ29)</f>
        <v>0</v>
      </c>
      <c r="BB29" s="77">
        <f>BA29</f>
        <v>0</v>
      </c>
      <c r="BC29" s="82">
        <f>IF(BC$14=1,'Inputs (2)'!BC16,BA29)</f>
        <v>0</v>
      </c>
      <c r="BD29" s="82">
        <f>IF(BD$14=1,'Inputs (2)'!BD16,BC29)</f>
        <v>0</v>
      </c>
      <c r="BE29" s="82">
        <f>IF(BE$14=1,'Inputs (2)'!BE16,BD29)</f>
        <v>0</v>
      </c>
      <c r="BF29" s="82">
        <f>IF(BF$14=1,'Inputs (2)'!BF16,BE29)</f>
        <v>0</v>
      </c>
      <c r="BG29" s="77">
        <f>BF29</f>
        <v>0</v>
      </c>
    </row>
    <row r="30">
      <c r="C30" s="83" t="inlineStr">
        <is>
          <t>Empréstimos, líquidos de ACL</t>
        </is>
      </c>
      <c r="D30" s="84" t="inlineStr">
        <is>
          <t>Loans, net of allowance</t>
        </is>
      </c>
      <c r="E30" s="85">
        <f>E31+E32+E33</f>
        <v>0</v>
      </c>
      <c r="F30" s="85">
        <f>F31+F32+F33</f>
        <v>0</v>
      </c>
      <c r="G30" s="85">
        <f>G31+G32+G33</f>
        <v>0</v>
      </c>
      <c r="H30" s="85">
        <f>H31+H32+H33</f>
        <v>0</v>
      </c>
      <c r="I30" s="60">
        <f>H30</f>
        <v>0</v>
      </c>
      <c r="J30" s="85">
        <f>J31+J32+J33</f>
        <v>0</v>
      </c>
      <c r="K30" s="85">
        <f>K31+K32+K33</f>
        <v>0</v>
      </c>
      <c r="L30" s="85">
        <f>L31+L32+L33</f>
        <v>0</v>
      </c>
      <c r="M30" s="85">
        <f>M31+M32+M33</f>
        <v>0</v>
      </c>
      <c r="N30" s="60">
        <f>M30</f>
        <v>0</v>
      </c>
      <c r="O30" s="85">
        <f>O31+O32+O33</f>
        <v>0</v>
      </c>
      <c r="P30" s="85">
        <f>P31+P32+P33</f>
        <v>0</v>
      </c>
      <c r="Q30" s="85">
        <f>Q31+Q32+Q33</f>
        <v>0</v>
      </c>
      <c r="R30" s="85">
        <f>R31+R32+R33</f>
        <v>0</v>
      </c>
      <c r="S30" s="60">
        <f>R30</f>
        <v>0</v>
      </c>
      <c r="T30" s="85">
        <f>T31+T32+T33</f>
        <v>0</v>
      </c>
      <c r="U30" s="85">
        <f>U31+U32+U33</f>
        <v>0</v>
      </c>
      <c r="V30" s="85">
        <f>V31+V32+V33</f>
        <v>0</v>
      </c>
      <c r="W30" s="85">
        <f>W31+W32+W33</f>
        <v>0</v>
      </c>
      <c r="X30" s="60">
        <f>W30</f>
        <v>0</v>
      </c>
      <c r="Y30" s="85">
        <f>Y31+Y32+Y33</f>
        <v>0</v>
      </c>
      <c r="Z30" s="85">
        <f>Z31+Z32+Z33</f>
        <v>0</v>
      </c>
      <c r="AA30" s="85">
        <f>AA31+AA32+AA33</f>
        <v>0</v>
      </c>
      <c r="AB30" s="85">
        <f>AB31+AB32+AB33</f>
        <v>0</v>
      </c>
      <c r="AC30" s="60">
        <f>AB30</f>
        <v>0</v>
      </c>
      <c r="AD30" s="85">
        <f>AD31+AD32+AD33</f>
        <v>0</v>
      </c>
      <c r="AE30" s="85">
        <f>AE31+AE32+AE33</f>
        <v>0</v>
      </c>
      <c r="AF30" s="85">
        <f>AF31+AF32+AF33</f>
        <v>0</v>
      </c>
      <c r="AG30" s="85">
        <f>AG31+AG32+AG33</f>
        <v>0</v>
      </c>
      <c r="AH30" s="60">
        <f>AG30</f>
        <v>0</v>
      </c>
      <c r="AI30" s="85">
        <f>AI31+AI32+AI33</f>
        <v>0</v>
      </c>
      <c r="AJ30" s="85">
        <f>AJ31+AJ32+AJ33</f>
        <v>0</v>
      </c>
      <c r="AK30" s="85">
        <f>AK31+AK32+AK33</f>
        <v>0</v>
      </c>
      <c r="AL30" s="85">
        <f>AL31+AL32+AL33</f>
        <v>0</v>
      </c>
      <c r="AM30" s="60">
        <f>AL30</f>
        <v>0</v>
      </c>
      <c r="AN30" s="85">
        <f>AN31+AN32+AN33</f>
        <v>0</v>
      </c>
      <c r="AO30" s="85">
        <f>AO31+AO32+AO33</f>
        <v>0</v>
      </c>
      <c r="AP30" s="85">
        <f>AP31+AP32+AP33</f>
        <v>0</v>
      </c>
      <c r="AQ30" s="85">
        <f>AQ31+AQ32+AQ33</f>
        <v>0</v>
      </c>
      <c r="AR30" s="60">
        <f>AQ30</f>
        <v>0</v>
      </c>
      <c r="AS30" s="85">
        <f>AS31+AS32+AS33</f>
        <v>0</v>
      </c>
      <c r="AT30" s="85">
        <f>AT31+AT32+AT33</f>
        <v>0</v>
      </c>
      <c r="AU30" s="85">
        <f>AU31+AU32+AU33</f>
        <v>0</v>
      </c>
      <c r="AV30" s="85">
        <f>AV31+AV32+AV33</f>
        <v>0</v>
      </c>
      <c r="AW30" s="60">
        <f>AV30</f>
        <v>0</v>
      </c>
      <c r="AX30" s="85">
        <f>AX31+AX32+AX33</f>
        <v>0</v>
      </c>
      <c r="AY30" s="85">
        <f>AY31+AY32+AY33</f>
        <v>0</v>
      </c>
      <c r="AZ30" s="85">
        <f>AZ31+AZ32+AZ33</f>
        <v>0</v>
      </c>
      <c r="BA30" s="85">
        <f>BA31+BA32+BA33</f>
        <v>0</v>
      </c>
      <c r="BB30" s="60">
        <f>BA30</f>
        <v>0</v>
      </c>
      <c r="BC30" s="85">
        <f>BC31+BC32+BC33</f>
        <v>0</v>
      </c>
      <c r="BD30" s="85">
        <f>BD31+BD32+BD33</f>
        <v>0</v>
      </c>
      <c r="BE30" s="85">
        <f>BE31+BE32+BE33</f>
        <v>0</v>
      </c>
      <c r="BF30" s="85">
        <f>BF31+BF32+BF33</f>
        <v>0</v>
      </c>
      <c r="BG30" s="60">
        <f>BF30</f>
        <v>0</v>
      </c>
    </row>
    <row r="31" hidden="1" outlineLevel="1">
      <c r="C31" s="61" t="inlineStr">
        <is>
          <t>Empréstimos</t>
        </is>
      </c>
      <c r="D31" s="62" t="inlineStr">
        <is>
          <t>Loans</t>
        </is>
      </c>
      <c r="E31" s="57">
        <f>'Inputs (2)'!E18</f>
        <v>0</v>
      </c>
      <c r="F31" s="57">
        <f>IF(F$14=1,'Inputs (2)'!F18,E31*(1+Inputs!F$271))</f>
        <v>0</v>
      </c>
      <c r="G31" s="57">
        <f>IF(G$14=1,'Inputs (2)'!G18,F31*(1+Inputs!G$271))</f>
        <v>0</v>
      </c>
      <c r="H31" s="57">
        <f>IF(H$14=1,'Inputs (2)'!H18,G31*(1+Inputs!H$271))</f>
        <v>0</v>
      </c>
      <c r="I31" s="77">
        <f>H31</f>
        <v>0</v>
      </c>
      <c r="J31" s="57">
        <f>IF(J$14=1,'Inputs (2)'!J18,H31*(1+Inputs!J$271))</f>
        <v>0</v>
      </c>
      <c r="K31" s="57">
        <f>IF(K$14=1,'Inputs (2)'!K18,J31*(1+Inputs!K$271))</f>
        <v>0</v>
      </c>
      <c r="L31" s="57">
        <f>IF(L$14=1,'Inputs (2)'!L18,K31*(1+Inputs!L$271))</f>
        <v>0</v>
      </c>
      <c r="M31" s="57">
        <f>IF(M$14=1,'Inputs (2)'!M18,L31*(1+Inputs!M$271))</f>
        <v>0</v>
      </c>
      <c r="N31" s="77">
        <f>M31</f>
        <v>0</v>
      </c>
      <c r="O31" s="57">
        <f>IF(O$14=1,'Inputs (2)'!O18,M31*(1+Inputs!O$271))</f>
        <v>0</v>
      </c>
      <c r="P31" s="57">
        <f>IF(P$14=1,'Inputs (2)'!P18,O31*(1+Inputs!P$271))</f>
        <v>0</v>
      </c>
      <c r="Q31" s="57">
        <f>IF(Q$14=1,'Inputs (2)'!Q18,P31*(1+Inputs!Q$271))</f>
        <v>0</v>
      </c>
      <c r="R31" s="57">
        <f>IF(R$14=1,'Inputs (2)'!R18,Q31*(1+Inputs!R$271))</f>
        <v>0</v>
      </c>
      <c r="S31" s="77">
        <f>R31</f>
        <v>0</v>
      </c>
      <c r="T31" s="57">
        <f>IF(T$14=1,'Inputs (2)'!T18,R31*(1+Inputs!T$271))</f>
        <v>0</v>
      </c>
      <c r="U31" s="57">
        <f>IF(U$14=1,'Inputs (2)'!U18,T31*(1+Inputs!U$271))</f>
        <v>0</v>
      </c>
      <c r="V31" s="57">
        <f>IF(V$14=1,'Inputs (2)'!V18,U31*(1+Inputs!V$271))</f>
        <v>0</v>
      </c>
      <c r="W31" s="57">
        <f>IF(W$14=1,'Inputs (2)'!W18,V31*(1+Inputs!W$271))</f>
        <v>0</v>
      </c>
      <c r="X31" s="77">
        <f>W31</f>
        <v>0</v>
      </c>
      <c r="Y31" s="57">
        <f>IF(Y$14=1,'Inputs (2)'!Y18,W31*(1+Inputs!Y$271))</f>
        <v>0</v>
      </c>
      <c r="Z31" s="57">
        <f>IF(Z$14=1,'Inputs (2)'!Z18,Y31*(1+Inputs!Z$271))</f>
        <v>0</v>
      </c>
      <c r="AA31" s="57">
        <f>IF(AA$14=1,'Inputs (2)'!AA18,Z31*(1+Inputs!AA$271))</f>
        <v>0</v>
      </c>
      <c r="AB31" s="57">
        <f>IF(AB$14=1,'Inputs (2)'!AB18,AA31*(1+Inputs!AB$271))</f>
        <v>0</v>
      </c>
      <c r="AC31" s="77">
        <f>AB31</f>
        <v>0</v>
      </c>
      <c r="AD31" s="57">
        <f>IF(AD$14=1,'Inputs (2)'!AD18,AB31*(1+Inputs!AD$271))</f>
        <v>0</v>
      </c>
      <c r="AE31" s="57">
        <f>IF(AE$14=1,'Inputs (2)'!AE18,AD31*(1+Inputs!AE$271))</f>
        <v>0</v>
      </c>
      <c r="AF31" s="57">
        <f>IF(AF$14=1,'Inputs (2)'!AF18,AE31*(1+Inputs!AF$271))</f>
        <v>0</v>
      </c>
      <c r="AG31" s="57">
        <f>IF(AG$14=1,'Inputs (2)'!AG18,AF31*(1+Inputs!AG$271))</f>
        <v>0</v>
      </c>
      <c r="AH31" s="77">
        <f>AG31</f>
        <v>0</v>
      </c>
      <c r="AI31" s="57">
        <f>IF(AI$14=1,'Inputs (2)'!AI18,AG31*(1+Inputs!AI$271))</f>
        <v>0</v>
      </c>
      <c r="AJ31" s="57">
        <f>IF(AJ$14=1,'Inputs (2)'!AJ18,AI31*(1+Inputs!AJ$271))</f>
        <v>0</v>
      </c>
      <c r="AK31" s="57">
        <f>IF(AK$14=1,'Inputs (2)'!AK18,AJ31*(1+Inputs!AK$271))</f>
        <v>0</v>
      </c>
      <c r="AL31" s="57">
        <f>IF(AL$14=1,'Inputs (2)'!AL18,AK31*(1+Inputs!AL$271))</f>
        <v>0</v>
      </c>
      <c r="AM31" s="77">
        <f>AL31</f>
        <v>0</v>
      </c>
      <c r="AN31" s="57">
        <f>IF(AN$14=1,'Inputs (2)'!AN18,AL31*(1+Inputs!AN$271))</f>
        <v>0</v>
      </c>
      <c r="AO31" s="57">
        <f>IF(AO$14=1,'Inputs (2)'!AO18,AN31*(1+Inputs!AO$271))</f>
        <v>0</v>
      </c>
      <c r="AP31" s="57">
        <f>IF(AP$14=1,'Inputs (2)'!AP18,AO31*(1+Inputs!AP$271))</f>
        <v>0</v>
      </c>
      <c r="AQ31" s="57">
        <f>IF(AQ$14=1,'Inputs (2)'!AQ18,AP31*(1+Inputs!AQ$271))</f>
        <v>0</v>
      </c>
      <c r="AR31" s="77">
        <f>AQ31</f>
        <v>0</v>
      </c>
      <c r="AS31" s="57">
        <f>IF(AS$14=1,'Inputs (2)'!AS18,AQ31*(1+Inputs!AS$271))</f>
        <v>0</v>
      </c>
      <c r="AT31" s="57">
        <f>IF(AT$14=1,'Inputs (2)'!AT18,AS31*(1+Inputs!AT$271))</f>
        <v>0</v>
      </c>
      <c r="AU31" s="57">
        <f>IF(AU$14=1,'Inputs (2)'!AU18,AT31*(1+Inputs!AU$271))</f>
        <v>0</v>
      </c>
      <c r="AV31" s="57">
        <f>IF(AV$14=1,'Inputs (2)'!AV18,AU31*(1+Inputs!AV$271))</f>
        <v>0</v>
      </c>
      <c r="AW31" s="77">
        <f>AV31</f>
        <v>0</v>
      </c>
      <c r="AX31" s="57">
        <f>IF(AX$14=1,'Inputs (2)'!AX18,AV31*(1+Inputs!AX$271))</f>
        <v>0</v>
      </c>
      <c r="AY31" s="57">
        <f>IF(AY$14=1,'Inputs (2)'!AY18,AX31*(1+Inputs!AY$271))</f>
        <v>0</v>
      </c>
      <c r="AZ31" s="57">
        <f>IF(AZ$14=1,'Inputs (2)'!AZ18,AY31*(1+Inputs!AZ$271))</f>
        <v>0</v>
      </c>
      <c r="BA31" s="57">
        <f>IF(BA$14=1,'Inputs (2)'!BA18,AZ31*(1+Inputs!BA$271))</f>
        <v>0</v>
      </c>
      <c r="BB31" s="77">
        <f>BA31</f>
        <v>0</v>
      </c>
      <c r="BC31" s="57">
        <f>IF(BC$14=1,'Inputs (2)'!BC18,BA31*(1+Inputs!BC$271))</f>
        <v>0</v>
      </c>
      <c r="BD31" s="57">
        <f>IF(BD$14=1,'Inputs (2)'!BD18,BC31*(1+Inputs!BD$271))</f>
        <v>0</v>
      </c>
      <c r="BE31" s="57">
        <f>IF(BE$14=1,'Inputs (2)'!BE18,BD31*(1+Inputs!BE$271))</f>
        <v>0</v>
      </c>
      <c r="BF31" s="57">
        <f>IF(BF$14=1,'Inputs (2)'!BF18,BE31*(1+Inputs!BF$271))</f>
        <v>0</v>
      </c>
      <c r="BG31" s="77">
        <f>BF31</f>
        <v>0</v>
      </c>
    </row>
    <row r="32" hidden="1" outlineLevel="1">
      <c r="C32" s="61" t="inlineStr">
        <is>
          <t>Empréstimos a valor justo / mantidos para venda</t>
        </is>
      </c>
      <c r="D32" s="62" t="inlineStr">
        <is>
          <t>Loans at fair value / held for sale</t>
        </is>
      </c>
      <c r="E32" s="57">
        <f>'Inputs (2)'!E19</f>
        <v>0</v>
      </c>
      <c r="F32" s="57">
        <f>IF(F$14=1,'Inputs (2)'!F19,E32*(1+Inputs!F$271))</f>
        <v>0</v>
      </c>
      <c r="G32" s="57">
        <f>IF(G$14=1,'Inputs (2)'!G19,F32*(1+Inputs!G$271))</f>
        <v>0</v>
      </c>
      <c r="H32" s="57">
        <f>IF(H$14=1,'Inputs (2)'!H19,G32*(1+Inputs!H$271))</f>
        <v>0</v>
      </c>
      <c r="I32" s="77">
        <f>H32</f>
        <v>0</v>
      </c>
      <c r="J32" s="57">
        <f>IF(J$14=1,'Inputs (2)'!J19,H32*(1+Inputs!J$271))</f>
        <v>0</v>
      </c>
      <c r="K32" s="57">
        <f>IF(K$14=1,'Inputs (2)'!K19,J32*(1+Inputs!K$271))</f>
        <v>0</v>
      </c>
      <c r="L32" s="57">
        <f>IF(L$14=1,'Inputs (2)'!L19,K32*(1+Inputs!L$271))</f>
        <v>0</v>
      </c>
      <c r="M32" s="57">
        <f>IF(M$14=1,'Inputs (2)'!M19,L32*(1+Inputs!M$271))</f>
        <v>0</v>
      </c>
      <c r="N32" s="77">
        <f>M32</f>
        <v>0</v>
      </c>
      <c r="O32" s="57">
        <f>IF(O$14=1,'Inputs (2)'!O19,M32*(1+Inputs!O$271))</f>
        <v>0</v>
      </c>
      <c r="P32" s="57">
        <f>IF(P$14=1,'Inputs (2)'!P19,O32*(1+Inputs!P$271))</f>
        <v>0</v>
      </c>
      <c r="Q32" s="57">
        <f>IF(Q$14=1,'Inputs (2)'!Q19,P32*(1+Inputs!Q$271))</f>
        <v>0</v>
      </c>
      <c r="R32" s="57">
        <f>IF(R$14=1,'Inputs (2)'!R19,Q32*(1+Inputs!R$271))</f>
        <v>0</v>
      </c>
      <c r="S32" s="77">
        <f>R32</f>
        <v>0</v>
      </c>
      <c r="T32" s="57">
        <f>IF(T$14=1,'Inputs (2)'!T19,R32*(1+Inputs!T$271))</f>
        <v>0</v>
      </c>
      <c r="U32" s="57">
        <f>IF(U$14=1,'Inputs (2)'!U19,T32*(1+Inputs!U$271))</f>
        <v>0</v>
      </c>
      <c r="V32" s="57">
        <f>IF(V$14=1,'Inputs (2)'!V19,U32*(1+Inputs!V$271))</f>
        <v>0</v>
      </c>
      <c r="W32" s="57">
        <f>IF(W$14=1,'Inputs (2)'!W19,V32*(1+Inputs!W$271))</f>
        <v>0</v>
      </c>
      <c r="X32" s="77">
        <f>W32</f>
        <v>0</v>
      </c>
      <c r="Y32" s="57">
        <f>IF(Y$14=1,'Inputs (2)'!Y19,W32*(1+Inputs!Y$271))</f>
        <v>0</v>
      </c>
      <c r="Z32" s="57">
        <f>IF(Z$14=1,'Inputs (2)'!Z19,Y32*(1+Inputs!Z$271))</f>
        <v>0</v>
      </c>
      <c r="AA32" s="57">
        <f>IF(AA$14=1,'Inputs (2)'!AA19,Z32*(1+Inputs!AA$271))</f>
        <v>0</v>
      </c>
      <c r="AB32" s="57">
        <f>IF(AB$14=1,'Inputs (2)'!AB19,AA32*(1+Inputs!AB$271))</f>
        <v>0</v>
      </c>
      <c r="AC32" s="77">
        <f>AB32</f>
        <v>0</v>
      </c>
      <c r="AD32" s="57">
        <f>IF(AD$14=1,'Inputs (2)'!AD19,AB32*(1+Inputs!AD$271))</f>
        <v>0</v>
      </c>
      <c r="AE32" s="57">
        <f>IF(AE$14=1,'Inputs (2)'!AE19,AD32*(1+Inputs!AE$271))</f>
        <v>0</v>
      </c>
      <c r="AF32" s="57">
        <f>IF(AF$14=1,'Inputs (2)'!AF19,AE32*(1+Inputs!AF$271))</f>
        <v>0</v>
      </c>
      <c r="AG32" s="57">
        <f>IF(AG$14=1,'Inputs (2)'!AG19,AF32*(1+Inputs!AG$271))</f>
        <v>0</v>
      </c>
      <c r="AH32" s="77">
        <f>AG32</f>
        <v>0</v>
      </c>
      <c r="AI32" s="57">
        <f>IF(AI$14=1,'Inputs (2)'!AI19,AG32*(1+Inputs!AI$271))</f>
        <v>0</v>
      </c>
      <c r="AJ32" s="57">
        <f>IF(AJ$14=1,'Inputs (2)'!AJ19,AI32*(1+Inputs!AJ$271))</f>
        <v>0</v>
      </c>
      <c r="AK32" s="57">
        <f>IF(AK$14=1,'Inputs (2)'!AK19,AJ32*(1+Inputs!AK$271))</f>
        <v>0</v>
      </c>
      <c r="AL32" s="57">
        <f>IF(AL$14=1,'Inputs (2)'!AL19,AK32*(1+Inputs!AL$271))</f>
        <v>0</v>
      </c>
      <c r="AM32" s="77">
        <f>AL32</f>
        <v>0</v>
      </c>
      <c r="AN32" s="57">
        <f>IF(AN$14=1,'Inputs (2)'!AN19,AL32*(1+Inputs!AN$271))</f>
        <v>0</v>
      </c>
      <c r="AO32" s="57">
        <f>IF(AO$14=1,'Inputs (2)'!AO19,AN32*(1+Inputs!AO$271))</f>
        <v>0</v>
      </c>
      <c r="AP32" s="57">
        <f>IF(AP$14=1,'Inputs (2)'!AP19,AO32*(1+Inputs!AP$271))</f>
        <v>0</v>
      </c>
      <c r="AQ32" s="57">
        <f>IF(AQ$14=1,'Inputs (2)'!AQ19,AP32*(1+Inputs!AQ$271))</f>
        <v>0</v>
      </c>
      <c r="AR32" s="77">
        <f>AQ32</f>
        <v>0</v>
      </c>
      <c r="AS32" s="57">
        <f>IF(AS$14=1,'Inputs (2)'!AS19,AQ32*(1+Inputs!AS$271))</f>
        <v>0</v>
      </c>
      <c r="AT32" s="57">
        <f>IF(AT$14=1,'Inputs (2)'!AT19,AS32*(1+Inputs!AT$271))</f>
        <v>0</v>
      </c>
      <c r="AU32" s="57">
        <f>IF(AU$14=1,'Inputs (2)'!AU19,AT32*(1+Inputs!AU$271))</f>
        <v>0</v>
      </c>
      <c r="AV32" s="57">
        <f>IF(AV$14=1,'Inputs (2)'!AV19,AU32*(1+Inputs!AV$271))</f>
        <v>0</v>
      </c>
      <c r="AW32" s="77">
        <f>AV32</f>
        <v>0</v>
      </c>
      <c r="AX32" s="57">
        <f>IF(AX$14=1,'Inputs (2)'!AX19,AV32*(1+Inputs!AX$271))</f>
        <v>0</v>
      </c>
      <c r="AY32" s="57">
        <f>IF(AY$14=1,'Inputs (2)'!AY19,AX32*(1+Inputs!AY$271))</f>
        <v>0</v>
      </c>
      <c r="AZ32" s="57">
        <f>IF(AZ$14=1,'Inputs (2)'!AZ19,AY32*(1+Inputs!AZ$271))</f>
        <v>0</v>
      </c>
      <c r="BA32" s="57">
        <f>IF(BA$14=1,'Inputs (2)'!BA19,AZ32*(1+Inputs!BA$271))</f>
        <v>0</v>
      </c>
      <c r="BB32" s="77">
        <f>BA32</f>
        <v>0</v>
      </c>
      <c r="BC32" s="57">
        <f>IF(BC$14=1,'Inputs (2)'!BC19,BA32*(1+Inputs!BC$271))</f>
        <v>0</v>
      </c>
      <c r="BD32" s="57">
        <f>IF(BD$14=1,'Inputs (2)'!BD19,BC32*(1+Inputs!BD$271))</f>
        <v>0</v>
      </c>
      <c r="BE32" s="57">
        <f>IF(BE$14=1,'Inputs (2)'!BE19,BD32*(1+Inputs!BE$271))</f>
        <v>0</v>
      </c>
      <c r="BF32" s="57">
        <f>IF(BF$14=1,'Inputs (2)'!BF19,BE32*(1+Inputs!BF$271))</f>
        <v>0</v>
      </c>
      <c r="BG32" s="77">
        <f>BF32</f>
        <v>0</v>
      </c>
    </row>
    <row r="33" hidden="1" outlineLevel="1">
      <c r="C33" s="61" t="inlineStr">
        <is>
          <t>(Provisão para perdas de crédito — ACL)</t>
        </is>
      </c>
      <c r="D33" s="62" t="inlineStr">
        <is>
          <t>(Allowance for loan losses)</t>
        </is>
      </c>
      <c r="E33" s="57">
        <f>'Inputs (2)'!E20</f>
        <v>0</v>
      </c>
      <c r="F33" s="57">
        <f>IF(F$14=1,'Inputs (2)'!F20,E33+F105+F171)</f>
        <v>0</v>
      </c>
      <c r="G33" s="57">
        <f>IF(G$14=1,'Inputs (2)'!G20,F33+G105+G171)</f>
        <v>0</v>
      </c>
      <c r="H33" s="57">
        <f>IF(H$14=1,'Inputs (2)'!H20,G33+H105+H171)</f>
        <v>0</v>
      </c>
      <c r="I33" s="77">
        <f>H33</f>
        <v>0</v>
      </c>
      <c r="J33" s="57">
        <f>IF(J$14=1,'Inputs (2)'!J20,H33+J105+J171)</f>
        <v>0</v>
      </c>
      <c r="K33" s="57">
        <f>IF(K$14=1,'Inputs (2)'!K20,J33+K105+K171)</f>
        <v>0</v>
      </c>
      <c r="L33" s="57">
        <f>IF(L$14=1,'Inputs (2)'!L20,K33+L105+L171)</f>
        <v>0</v>
      </c>
      <c r="M33" s="57">
        <f>IF(M$14=1,'Inputs (2)'!M20,L33+M105+M171)</f>
        <v>0</v>
      </c>
      <c r="N33" s="77">
        <f>M33</f>
        <v>0</v>
      </c>
      <c r="O33" s="57">
        <f>IF(O$14=1,'Inputs (2)'!O20,M33+O105+O171)</f>
        <v>0</v>
      </c>
      <c r="P33" s="57">
        <f>IF(P$14=1,'Inputs (2)'!P20,O33+P105+P171)</f>
        <v>0</v>
      </c>
      <c r="Q33" s="57">
        <f>IF(Q$14=1,'Inputs (2)'!Q20,P33+Q105+Q171)</f>
        <v>0</v>
      </c>
      <c r="R33" s="57">
        <f>IF(R$14=1,'Inputs (2)'!R20,Q33+R105+R171)</f>
        <v>0</v>
      </c>
      <c r="S33" s="77">
        <f>R33</f>
        <v>0</v>
      </c>
      <c r="T33" s="57">
        <f>IF(T$14=1,'Inputs (2)'!T20,R33+T105+T171)</f>
        <v>0</v>
      </c>
      <c r="U33" s="57">
        <f>IF(U$14=1,'Inputs (2)'!U20,T33+U105+U171)</f>
        <v>0</v>
      </c>
      <c r="V33" s="57">
        <f>IF(V$14=1,'Inputs (2)'!V20,U33+V105+V171)</f>
        <v>0</v>
      </c>
      <c r="W33" s="57">
        <f>IF(W$14=1,'Inputs (2)'!W20,V33+W105+W171)</f>
        <v>0</v>
      </c>
      <c r="X33" s="77">
        <f>W33</f>
        <v>0</v>
      </c>
      <c r="Y33" s="57">
        <f>IF(Y$14=1,'Inputs (2)'!Y20,W33+Y105+Y171)</f>
        <v>0</v>
      </c>
      <c r="Z33" s="57">
        <f>IF(Z$14=1,'Inputs (2)'!Z20,Y33+Z105+Z171)</f>
        <v>0</v>
      </c>
      <c r="AA33" s="57">
        <f>IF(AA$14=1,'Inputs (2)'!AA20,Z33+AA105+AA171)</f>
        <v>0</v>
      </c>
      <c r="AB33" s="57">
        <f>IF(AB$14=1,'Inputs (2)'!AB20,AA33+AB105+AB171)</f>
        <v>0</v>
      </c>
      <c r="AC33" s="77">
        <f>AB33</f>
        <v>0</v>
      </c>
      <c r="AD33" s="57">
        <f>IF(AD$14=1,'Inputs (2)'!AD20,AB33+AD105+AD171)</f>
        <v>0</v>
      </c>
      <c r="AE33" s="57">
        <f>IF(AE$14=1,'Inputs (2)'!AE20,AD33+AE105+AE171)</f>
        <v>0</v>
      </c>
      <c r="AF33" s="57">
        <f>IF(AF$14=1,'Inputs (2)'!AF20,AE33+AF105+AF171)</f>
        <v>0</v>
      </c>
      <c r="AG33" s="57">
        <f>IF(AG$14=1,'Inputs (2)'!AG20,AF33+AG105+AG171)</f>
        <v>0</v>
      </c>
      <c r="AH33" s="77">
        <f>AG33</f>
        <v>0</v>
      </c>
      <c r="AI33" s="57">
        <f>IF(AI$14=1,'Inputs (2)'!AI20,AG33+AI105+AI171)</f>
        <v>0</v>
      </c>
      <c r="AJ33" s="57">
        <f>IF(AJ$14=1,'Inputs (2)'!AJ20,AI33+AJ105+AJ171)</f>
        <v>0</v>
      </c>
      <c r="AK33" s="57">
        <f>IF(AK$14=1,'Inputs (2)'!AK20,AJ33+AK105+AK171)</f>
        <v>0</v>
      </c>
      <c r="AL33" s="57">
        <f>IF(AL$14=1,'Inputs (2)'!AL20,AK33+AL105+AL171)</f>
        <v>0</v>
      </c>
      <c r="AM33" s="77">
        <f>AL33</f>
        <v>0</v>
      </c>
      <c r="AN33" s="57">
        <f>IF(AN$14=1,'Inputs (2)'!AN20,AL33+AN105+AN171)</f>
        <v>0</v>
      </c>
      <c r="AO33" s="57">
        <f>IF(AO$14=1,'Inputs (2)'!AO20,AN33+AO105+AO171)</f>
        <v>0</v>
      </c>
      <c r="AP33" s="57">
        <f>IF(AP$14=1,'Inputs (2)'!AP20,AO33+AP105+AP171)</f>
        <v>0</v>
      </c>
      <c r="AQ33" s="57">
        <f>IF(AQ$14=1,'Inputs (2)'!AQ20,AP33+AQ105+AQ171)</f>
        <v>0</v>
      </c>
      <c r="AR33" s="77">
        <f>AQ33</f>
        <v>0</v>
      </c>
      <c r="AS33" s="57">
        <f>IF(AS$14=1,'Inputs (2)'!AS20,AQ33+AS105+AS171)</f>
        <v>0</v>
      </c>
      <c r="AT33" s="57">
        <f>IF(AT$14=1,'Inputs (2)'!AT20,AS33+AT105+AT171)</f>
        <v>0</v>
      </c>
      <c r="AU33" s="57">
        <f>IF(AU$14=1,'Inputs (2)'!AU20,AT33+AU105+AU171)</f>
        <v>0</v>
      </c>
      <c r="AV33" s="57">
        <f>IF(AV$14=1,'Inputs (2)'!AV20,AU33+AV105+AV171)</f>
        <v>0</v>
      </c>
      <c r="AW33" s="77">
        <f>AV33</f>
        <v>0</v>
      </c>
      <c r="AX33" s="57">
        <f>IF(AX$14=1,'Inputs (2)'!AX20,AV33+AX105+AX171)</f>
        <v>0</v>
      </c>
      <c r="AY33" s="57">
        <f>IF(AY$14=1,'Inputs (2)'!AY20,AX33+AY105+AY171)</f>
        <v>0</v>
      </c>
      <c r="AZ33" s="57">
        <f>IF(AZ$14=1,'Inputs (2)'!AZ20,AY33+AZ105+AZ171)</f>
        <v>0</v>
      </c>
      <c r="BA33" s="57">
        <f>IF(BA$14=1,'Inputs (2)'!BA20,AZ33+BA105+BA171)</f>
        <v>0</v>
      </c>
      <c r="BB33" s="77">
        <f>BA33</f>
        <v>0</v>
      </c>
      <c r="BC33" s="57">
        <f>IF(BC$14=1,'Inputs (2)'!BC20,BA33+BC105+BC171)</f>
        <v>0</v>
      </c>
      <c r="BD33" s="57">
        <f>IF(BD$14=1,'Inputs (2)'!BD20,BC33+BD105+BD171)</f>
        <v>0</v>
      </c>
      <c r="BE33" s="57">
        <f>IF(BE$14=1,'Inputs (2)'!BE20,BD33+BE105+BE171)</f>
        <v>0</v>
      </c>
      <c r="BF33" s="57">
        <f>IF(BF$14=1,'Inputs (2)'!BF20,BE33+BF105+BF171)</f>
        <v>0</v>
      </c>
      <c r="BG33" s="77">
        <f>BF33</f>
        <v>0</v>
      </c>
      <c r="BI33" s="14" t="inlineStr">
        <is>
          <t>Projeção por roll-forward: saldo anterior + despesa de PDD do trimestre + write-off.</t>
        </is>
      </c>
    </row>
    <row r="34" collapsed="1">
      <c r="C34" s="80" t="inlineStr">
        <is>
          <t>Juros e contas a receber</t>
        </is>
      </c>
      <c r="D34" s="81" t="inlineStr">
        <is>
          <t>Accrued interest and accounts receivable</t>
        </is>
      </c>
      <c r="E34" s="82">
        <f>'Inputs (2)'!E21</f>
        <v>0</v>
      </c>
      <c r="F34" s="82">
        <f>IF(F$14=1,'Inputs (2)'!F21,E34*(1+Inputs!F$282))</f>
        <v>0</v>
      </c>
      <c r="G34" s="82">
        <f>IF(G$14=1,'Inputs (2)'!G21,F34*(1+Inputs!G$282))</f>
        <v>0</v>
      </c>
      <c r="H34" s="82">
        <f>IF(H$14=1,'Inputs (2)'!H21,G34*(1+Inputs!H$282))</f>
        <v>0</v>
      </c>
      <c r="I34" s="77">
        <f>H34</f>
        <v>0</v>
      </c>
      <c r="J34" s="82">
        <f>IF(J$14=1,'Inputs (2)'!J21,H34*(1+Inputs!J$282))</f>
        <v>0</v>
      </c>
      <c r="K34" s="82">
        <f>IF(K$14=1,'Inputs (2)'!K21,J34*(1+Inputs!K$282))</f>
        <v>0</v>
      </c>
      <c r="L34" s="82">
        <f>IF(L$14=1,'Inputs (2)'!L21,K34*(1+Inputs!L$282))</f>
        <v>0</v>
      </c>
      <c r="M34" s="82">
        <f>IF(M$14=1,'Inputs (2)'!M21,L34*(1+Inputs!M$282))</f>
        <v>0</v>
      </c>
      <c r="N34" s="77">
        <f>M34</f>
        <v>0</v>
      </c>
      <c r="O34" s="82">
        <f>IF(O$14=1,'Inputs (2)'!O21,M34*(1+Inputs!O$282))</f>
        <v>0</v>
      </c>
      <c r="P34" s="82">
        <f>IF(P$14=1,'Inputs (2)'!P21,O34*(1+Inputs!P$282))</f>
        <v>0</v>
      </c>
      <c r="Q34" s="82">
        <f>IF(Q$14=1,'Inputs (2)'!Q21,P34*(1+Inputs!Q$282))</f>
        <v>0</v>
      </c>
      <c r="R34" s="82">
        <f>IF(R$14=1,'Inputs (2)'!R21,Q34*(1+Inputs!R$282))</f>
        <v>0</v>
      </c>
      <c r="S34" s="77">
        <f>R34</f>
        <v>0</v>
      </c>
      <c r="T34" s="82">
        <f>IF(T$14=1,'Inputs (2)'!T21,R34*(1+Inputs!T$282))</f>
        <v>0</v>
      </c>
      <c r="U34" s="82">
        <f>IF(U$14=1,'Inputs (2)'!U21,T34*(1+Inputs!U$282))</f>
        <v>0</v>
      </c>
      <c r="V34" s="82">
        <f>IF(V$14=1,'Inputs (2)'!V21,U34*(1+Inputs!V$282))</f>
        <v>0</v>
      </c>
      <c r="W34" s="82">
        <f>IF(W$14=1,'Inputs (2)'!W21,V34*(1+Inputs!W$282))</f>
        <v>0</v>
      </c>
      <c r="X34" s="77">
        <f>W34</f>
        <v>0</v>
      </c>
      <c r="Y34" s="82">
        <f>IF(Y$14=1,'Inputs (2)'!Y21,W34*(1+Inputs!Y$282))</f>
        <v>0</v>
      </c>
      <c r="Z34" s="82">
        <f>IF(Z$14=1,'Inputs (2)'!Z21,Y34*(1+Inputs!Z$282))</f>
        <v>0</v>
      </c>
      <c r="AA34" s="82">
        <f>IF(AA$14=1,'Inputs (2)'!AA21,Z34*(1+Inputs!AA$282))</f>
        <v>0</v>
      </c>
      <c r="AB34" s="82">
        <f>IF(AB$14=1,'Inputs (2)'!AB21,AA34*(1+Inputs!AB$282))</f>
        <v>0</v>
      </c>
      <c r="AC34" s="77">
        <f>AB34</f>
        <v>0</v>
      </c>
      <c r="AD34" s="82">
        <f>IF(AD$14=1,'Inputs (2)'!AD21,AB34*(1+Inputs!AD$282))</f>
        <v>0</v>
      </c>
      <c r="AE34" s="82">
        <f>IF(AE$14=1,'Inputs (2)'!AE21,AD34*(1+Inputs!AE$282))</f>
        <v>0</v>
      </c>
      <c r="AF34" s="82">
        <f>IF(AF$14=1,'Inputs (2)'!AF21,AE34*(1+Inputs!AF$282))</f>
        <v>0</v>
      </c>
      <c r="AG34" s="82">
        <f>IF(AG$14=1,'Inputs (2)'!AG21,AF34*(1+Inputs!AG$282))</f>
        <v>0</v>
      </c>
      <c r="AH34" s="77">
        <f>AG34</f>
        <v>0</v>
      </c>
      <c r="AI34" s="82">
        <f>IF(AI$14=1,'Inputs (2)'!AI21,AG34*(1+Inputs!AI$282))</f>
        <v>0</v>
      </c>
      <c r="AJ34" s="82">
        <f>IF(AJ$14=1,'Inputs (2)'!AJ21,AI34*(1+Inputs!AJ$282))</f>
        <v>0</v>
      </c>
      <c r="AK34" s="82">
        <f>IF(AK$14=1,'Inputs (2)'!AK21,AJ34*(1+Inputs!AK$282))</f>
        <v>0</v>
      </c>
      <c r="AL34" s="82">
        <f>IF(AL$14=1,'Inputs (2)'!AL21,AK34*(1+Inputs!AL$282))</f>
        <v>0</v>
      </c>
      <c r="AM34" s="77">
        <f>AL34</f>
        <v>0</v>
      </c>
      <c r="AN34" s="82">
        <f>IF(AN$14=1,'Inputs (2)'!AN21,AL34*(1+Inputs!AN$282))</f>
        <v>0</v>
      </c>
      <c r="AO34" s="82">
        <f>IF(AO$14=1,'Inputs (2)'!AO21,AN34*(1+Inputs!AO$282))</f>
        <v>0</v>
      </c>
      <c r="AP34" s="82">
        <f>IF(AP$14=1,'Inputs (2)'!AP21,AO34*(1+Inputs!AP$282))</f>
        <v>0</v>
      </c>
      <c r="AQ34" s="82">
        <f>IF(AQ$14=1,'Inputs (2)'!AQ21,AP34*(1+Inputs!AQ$282))</f>
        <v>0</v>
      </c>
      <c r="AR34" s="77">
        <f>AQ34</f>
        <v>0</v>
      </c>
      <c r="AS34" s="82">
        <f>IF(AS$14=1,'Inputs (2)'!AS21,AQ34*(1+Inputs!AS$282))</f>
        <v>0</v>
      </c>
      <c r="AT34" s="82">
        <f>IF(AT$14=1,'Inputs (2)'!AT21,AS34*(1+Inputs!AT$282))</f>
        <v>0</v>
      </c>
      <c r="AU34" s="82">
        <f>IF(AU$14=1,'Inputs (2)'!AU21,AT34*(1+Inputs!AU$282))</f>
        <v>0</v>
      </c>
      <c r="AV34" s="82">
        <f>IF(AV$14=1,'Inputs (2)'!AV21,AU34*(1+Inputs!AV$282))</f>
        <v>0</v>
      </c>
      <c r="AW34" s="77">
        <f>AV34</f>
        <v>0</v>
      </c>
      <c r="AX34" s="82">
        <f>IF(AX$14=1,'Inputs (2)'!AX21,AV34*(1+Inputs!AX$282))</f>
        <v>0</v>
      </c>
      <c r="AY34" s="82">
        <f>IF(AY$14=1,'Inputs (2)'!AY21,AX34*(1+Inputs!AY$282))</f>
        <v>0</v>
      </c>
      <c r="AZ34" s="82">
        <f>IF(AZ$14=1,'Inputs (2)'!AZ21,AY34*(1+Inputs!AZ$282))</f>
        <v>0</v>
      </c>
      <c r="BA34" s="82">
        <f>IF(BA$14=1,'Inputs (2)'!BA21,AZ34*(1+Inputs!BA$282))</f>
        <v>0</v>
      </c>
      <c r="BB34" s="77">
        <f>BA34</f>
        <v>0</v>
      </c>
      <c r="BC34" s="82">
        <f>IF(BC$14=1,'Inputs (2)'!BC21,BA34*(1+Inputs!BC$282))</f>
        <v>0</v>
      </c>
      <c r="BD34" s="82">
        <f>IF(BD$14=1,'Inputs (2)'!BD21,BC34*(1+Inputs!BD$282))</f>
        <v>0</v>
      </c>
      <c r="BE34" s="82">
        <f>IF(BE$14=1,'Inputs (2)'!BE21,BD34*(1+Inputs!BE$282))</f>
        <v>0</v>
      </c>
      <c r="BF34" s="82">
        <f>IF(BF$14=1,'Inputs (2)'!BF21,BE34*(1+Inputs!BF$282))</f>
        <v>0</v>
      </c>
      <c r="BG34" s="77">
        <f>BF34</f>
        <v>0</v>
      </c>
    </row>
    <row r="35">
      <c r="C35" s="80" t="inlineStr">
        <is>
          <t>Impostos diferidos ativos</t>
        </is>
      </c>
      <c r="D35" s="81" t="inlineStr">
        <is>
          <t>Deferred tax assets</t>
        </is>
      </c>
      <c r="E35" s="82">
        <f>'Inputs (2)'!E22</f>
        <v>0</v>
      </c>
      <c r="F35" s="82">
        <f>IF(F$14=1,'Inputs (2)'!F22,E35)</f>
        <v>0</v>
      </c>
      <c r="G35" s="82">
        <f>IF(G$14=1,'Inputs (2)'!G22,F35)</f>
        <v>0</v>
      </c>
      <c r="H35" s="82">
        <f>IF(H$14=1,'Inputs (2)'!H22,G35)</f>
        <v>0</v>
      </c>
      <c r="I35" s="77">
        <f>H35</f>
        <v>0</v>
      </c>
      <c r="J35" s="82">
        <f>IF(J$14=1,'Inputs (2)'!J22,H35)</f>
        <v>0</v>
      </c>
      <c r="K35" s="82">
        <f>IF(K$14=1,'Inputs (2)'!K22,J35)</f>
        <v>0</v>
      </c>
      <c r="L35" s="82">
        <f>IF(L$14=1,'Inputs (2)'!L22,K35)</f>
        <v>0</v>
      </c>
      <c r="M35" s="82">
        <f>IF(M$14=1,'Inputs (2)'!M22,L35)</f>
        <v>0</v>
      </c>
      <c r="N35" s="77">
        <f>M35</f>
        <v>0</v>
      </c>
      <c r="O35" s="82">
        <f>IF(O$14=1,'Inputs (2)'!O22,M35)</f>
        <v>0</v>
      </c>
      <c r="P35" s="82">
        <f>IF(P$14=1,'Inputs (2)'!P22,O35)</f>
        <v>0</v>
      </c>
      <c r="Q35" s="82">
        <f>IF(Q$14=1,'Inputs (2)'!Q22,P35)</f>
        <v>0</v>
      </c>
      <c r="R35" s="82">
        <f>IF(R$14=1,'Inputs (2)'!R22,Q35)</f>
        <v>0</v>
      </c>
      <c r="S35" s="77">
        <f>R35</f>
        <v>0</v>
      </c>
      <c r="T35" s="82">
        <f>IF(T$14=1,'Inputs (2)'!T22,R35)</f>
        <v>0</v>
      </c>
      <c r="U35" s="82">
        <f>IF(U$14=1,'Inputs (2)'!U22,T35)</f>
        <v>0</v>
      </c>
      <c r="V35" s="82">
        <f>IF(V$14=1,'Inputs (2)'!V22,U35)</f>
        <v>0</v>
      </c>
      <c r="W35" s="82">
        <f>IF(W$14=1,'Inputs (2)'!W22,V35)</f>
        <v>0</v>
      </c>
      <c r="X35" s="77">
        <f>W35</f>
        <v>0</v>
      </c>
      <c r="Y35" s="82">
        <f>IF(Y$14=1,'Inputs (2)'!Y22,W35)</f>
        <v>0</v>
      </c>
      <c r="Z35" s="82">
        <f>IF(Z$14=1,'Inputs (2)'!Z22,Y35)</f>
        <v>0</v>
      </c>
      <c r="AA35" s="82">
        <f>IF(AA$14=1,'Inputs (2)'!AA22,Z35)</f>
        <v>0</v>
      </c>
      <c r="AB35" s="82">
        <f>IF(AB$14=1,'Inputs (2)'!AB22,AA35)</f>
        <v>0</v>
      </c>
      <c r="AC35" s="77">
        <f>AB35</f>
        <v>0</v>
      </c>
      <c r="AD35" s="82">
        <f>IF(AD$14=1,'Inputs (2)'!AD22,AB35)</f>
        <v>0</v>
      </c>
      <c r="AE35" s="82">
        <f>IF(AE$14=1,'Inputs (2)'!AE22,AD35)</f>
        <v>0</v>
      </c>
      <c r="AF35" s="82">
        <f>IF(AF$14=1,'Inputs (2)'!AF22,AE35)</f>
        <v>0</v>
      </c>
      <c r="AG35" s="82">
        <f>IF(AG$14=1,'Inputs (2)'!AG22,AF35)</f>
        <v>0</v>
      </c>
      <c r="AH35" s="77">
        <f>AG35</f>
        <v>0</v>
      </c>
      <c r="AI35" s="82">
        <f>IF(AI$14=1,'Inputs (2)'!AI22,AG35)</f>
        <v>0</v>
      </c>
      <c r="AJ35" s="82">
        <f>IF(AJ$14=1,'Inputs (2)'!AJ22,AI35)</f>
        <v>0</v>
      </c>
      <c r="AK35" s="82">
        <f>IF(AK$14=1,'Inputs (2)'!AK22,AJ35)</f>
        <v>0</v>
      </c>
      <c r="AL35" s="82">
        <f>IF(AL$14=1,'Inputs (2)'!AL22,AK35)</f>
        <v>0</v>
      </c>
      <c r="AM35" s="77">
        <f>AL35</f>
        <v>0</v>
      </c>
      <c r="AN35" s="82">
        <f>IF(AN$14=1,'Inputs (2)'!AN22,AL35)</f>
        <v>0</v>
      </c>
      <c r="AO35" s="82">
        <f>IF(AO$14=1,'Inputs (2)'!AO22,AN35)</f>
        <v>0</v>
      </c>
      <c r="AP35" s="82">
        <f>IF(AP$14=1,'Inputs (2)'!AP22,AO35)</f>
        <v>0</v>
      </c>
      <c r="AQ35" s="82">
        <f>IF(AQ$14=1,'Inputs (2)'!AQ22,AP35)</f>
        <v>0</v>
      </c>
      <c r="AR35" s="77">
        <f>AQ35</f>
        <v>0</v>
      </c>
      <c r="AS35" s="82">
        <f>IF(AS$14=1,'Inputs (2)'!AS22,AQ35)</f>
        <v>0</v>
      </c>
      <c r="AT35" s="82">
        <f>IF(AT$14=1,'Inputs (2)'!AT22,AS35)</f>
        <v>0</v>
      </c>
      <c r="AU35" s="82">
        <f>IF(AU$14=1,'Inputs (2)'!AU22,AT35)</f>
        <v>0</v>
      </c>
      <c r="AV35" s="82">
        <f>IF(AV$14=1,'Inputs (2)'!AV22,AU35)</f>
        <v>0</v>
      </c>
      <c r="AW35" s="77">
        <f>AV35</f>
        <v>0</v>
      </c>
      <c r="AX35" s="82">
        <f>IF(AX$14=1,'Inputs (2)'!AX22,AV35)</f>
        <v>0</v>
      </c>
      <c r="AY35" s="82">
        <f>IF(AY$14=1,'Inputs (2)'!AY22,AX35)</f>
        <v>0</v>
      </c>
      <c r="AZ35" s="82">
        <f>IF(AZ$14=1,'Inputs (2)'!AZ22,AY35)</f>
        <v>0</v>
      </c>
      <c r="BA35" s="82">
        <f>IF(BA$14=1,'Inputs (2)'!BA22,AZ35)</f>
        <v>0</v>
      </c>
      <c r="BB35" s="77">
        <f>BA35</f>
        <v>0</v>
      </c>
      <c r="BC35" s="82">
        <f>IF(BC$14=1,'Inputs (2)'!BC22,BA35)</f>
        <v>0</v>
      </c>
      <c r="BD35" s="82">
        <f>IF(BD$14=1,'Inputs (2)'!BD22,BC35)</f>
        <v>0</v>
      </c>
      <c r="BE35" s="82">
        <f>IF(BE$14=1,'Inputs (2)'!BE22,BD35)</f>
        <v>0</v>
      </c>
      <c r="BF35" s="82">
        <f>IF(BF$14=1,'Inputs (2)'!BF22,BE35)</f>
        <v>0</v>
      </c>
      <c r="BG35" s="77">
        <f>BF35</f>
        <v>0</v>
      </c>
    </row>
    <row r="36">
      <c r="C36" s="80" t="inlineStr">
        <is>
          <t>Outros ativos</t>
        </is>
      </c>
      <c r="D36" s="81" t="inlineStr">
        <is>
          <t>Other assets</t>
        </is>
      </c>
      <c r="E36" s="82">
        <f>'Inputs (2)'!E23</f>
        <v>0</v>
      </c>
      <c r="F36" s="82">
        <f>IF(F$14=1,'Inputs (2)'!F23,E36*(1+Inputs!F$282))</f>
        <v>0</v>
      </c>
      <c r="G36" s="82">
        <f>IF(G$14=1,'Inputs (2)'!G23,F36*(1+Inputs!G$282))</f>
        <v>0</v>
      </c>
      <c r="H36" s="82">
        <f>IF(H$14=1,'Inputs (2)'!H23,G36*(1+Inputs!H$282))</f>
        <v>0</v>
      </c>
      <c r="I36" s="77">
        <f>H36</f>
        <v>0</v>
      </c>
      <c r="J36" s="82">
        <f>IF(J$14=1,'Inputs (2)'!J23,H36*(1+Inputs!J$282))</f>
        <v>0</v>
      </c>
      <c r="K36" s="82">
        <f>IF(K$14=1,'Inputs (2)'!K23,J36*(1+Inputs!K$282))</f>
        <v>0</v>
      </c>
      <c r="L36" s="82">
        <f>IF(L$14=1,'Inputs (2)'!L23,K36*(1+Inputs!L$282))</f>
        <v>0</v>
      </c>
      <c r="M36" s="82">
        <f>IF(M$14=1,'Inputs (2)'!M23,L36*(1+Inputs!M$282))</f>
        <v>0</v>
      </c>
      <c r="N36" s="77">
        <f>M36</f>
        <v>0</v>
      </c>
      <c r="O36" s="82">
        <f>IF(O$14=1,'Inputs (2)'!O23,M36*(1+Inputs!O$282))</f>
        <v>0</v>
      </c>
      <c r="P36" s="82">
        <f>IF(P$14=1,'Inputs (2)'!P23,O36*(1+Inputs!P$282))</f>
        <v>0</v>
      </c>
      <c r="Q36" s="82">
        <f>IF(Q$14=1,'Inputs (2)'!Q23,P36*(1+Inputs!Q$282))</f>
        <v>0</v>
      </c>
      <c r="R36" s="82">
        <f>IF(R$14=1,'Inputs (2)'!R23,Q36*(1+Inputs!R$282))</f>
        <v>0</v>
      </c>
      <c r="S36" s="77">
        <f>R36</f>
        <v>0</v>
      </c>
      <c r="T36" s="82">
        <f>IF(T$14=1,'Inputs (2)'!T23,R36*(1+Inputs!T$282))</f>
        <v>0</v>
      </c>
      <c r="U36" s="82">
        <f>IF(U$14=1,'Inputs (2)'!U23,T36*(1+Inputs!U$282))</f>
        <v>0</v>
      </c>
      <c r="V36" s="82">
        <f>IF(V$14=1,'Inputs (2)'!V23,U36*(1+Inputs!V$282))</f>
        <v>0</v>
      </c>
      <c r="W36" s="82">
        <f>IF(W$14=1,'Inputs (2)'!W23,V36*(1+Inputs!W$282))</f>
        <v>0</v>
      </c>
      <c r="X36" s="77">
        <f>W36</f>
        <v>0</v>
      </c>
      <c r="Y36" s="82">
        <f>IF(Y$14=1,'Inputs (2)'!Y23,W36*(1+Inputs!Y$282))</f>
        <v>0</v>
      </c>
      <c r="Z36" s="82">
        <f>IF(Z$14=1,'Inputs (2)'!Z23,Y36*(1+Inputs!Z$282))</f>
        <v>0</v>
      </c>
      <c r="AA36" s="82">
        <f>IF(AA$14=1,'Inputs (2)'!AA23,Z36*(1+Inputs!AA$282))</f>
        <v>0</v>
      </c>
      <c r="AB36" s="82">
        <f>IF(AB$14=1,'Inputs (2)'!AB23,AA36*(1+Inputs!AB$282))</f>
        <v>0</v>
      </c>
      <c r="AC36" s="77">
        <f>AB36</f>
        <v>0</v>
      </c>
      <c r="AD36" s="82">
        <f>IF(AD$14=1,'Inputs (2)'!AD23,AB36*(1+Inputs!AD$282))</f>
        <v>0</v>
      </c>
      <c r="AE36" s="82">
        <f>IF(AE$14=1,'Inputs (2)'!AE23,AD36*(1+Inputs!AE$282))</f>
        <v>0</v>
      </c>
      <c r="AF36" s="82">
        <f>IF(AF$14=1,'Inputs (2)'!AF23,AE36*(1+Inputs!AF$282))</f>
        <v>0</v>
      </c>
      <c r="AG36" s="82">
        <f>IF(AG$14=1,'Inputs (2)'!AG23,AF36*(1+Inputs!AG$282))</f>
        <v>0</v>
      </c>
      <c r="AH36" s="77">
        <f>AG36</f>
        <v>0</v>
      </c>
      <c r="AI36" s="82">
        <f>IF(AI$14=1,'Inputs (2)'!AI23,AG36*(1+Inputs!AI$282))</f>
        <v>0</v>
      </c>
      <c r="AJ36" s="82">
        <f>IF(AJ$14=1,'Inputs (2)'!AJ23,AI36*(1+Inputs!AJ$282))</f>
        <v>0</v>
      </c>
      <c r="AK36" s="82">
        <f>IF(AK$14=1,'Inputs (2)'!AK23,AJ36*(1+Inputs!AK$282))</f>
        <v>0</v>
      </c>
      <c r="AL36" s="82">
        <f>IF(AL$14=1,'Inputs (2)'!AL23,AK36*(1+Inputs!AL$282))</f>
        <v>0</v>
      </c>
      <c r="AM36" s="77">
        <f>AL36</f>
        <v>0</v>
      </c>
      <c r="AN36" s="82">
        <f>IF(AN$14=1,'Inputs (2)'!AN23,AL36*(1+Inputs!AN$282))</f>
        <v>0</v>
      </c>
      <c r="AO36" s="82">
        <f>IF(AO$14=1,'Inputs (2)'!AO23,AN36*(1+Inputs!AO$282))</f>
        <v>0</v>
      </c>
      <c r="AP36" s="82">
        <f>IF(AP$14=1,'Inputs (2)'!AP23,AO36*(1+Inputs!AP$282))</f>
        <v>0</v>
      </c>
      <c r="AQ36" s="82">
        <f>IF(AQ$14=1,'Inputs (2)'!AQ23,AP36*(1+Inputs!AQ$282))</f>
        <v>0</v>
      </c>
      <c r="AR36" s="77">
        <f>AQ36</f>
        <v>0</v>
      </c>
      <c r="AS36" s="82">
        <f>IF(AS$14=1,'Inputs (2)'!AS23,AQ36*(1+Inputs!AS$282))</f>
        <v>0</v>
      </c>
      <c r="AT36" s="82">
        <f>IF(AT$14=1,'Inputs (2)'!AT23,AS36*(1+Inputs!AT$282))</f>
        <v>0</v>
      </c>
      <c r="AU36" s="82">
        <f>IF(AU$14=1,'Inputs (2)'!AU23,AT36*(1+Inputs!AU$282))</f>
        <v>0</v>
      </c>
      <c r="AV36" s="82">
        <f>IF(AV$14=1,'Inputs (2)'!AV23,AU36*(1+Inputs!AV$282))</f>
        <v>0</v>
      </c>
      <c r="AW36" s="77">
        <f>AV36</f>
        <v>0</v>
      </c>
      <c r="AX36" s="82">
        <f>IF(AX$14=1,'Inputs (2)'!AX23,AV36*(1+Inputs!AX$282))</f>
        <v>0</v>
      </c>
      <c r="AY36" s="82">
        <f>IF(AY$14=1,'Inputs (2)'!AY23,AX36*(1+Inputs!AY$282))</f>
        <v>0</v>
      </c>
      <c r="AZ36" s="82">
        <f>IF(AZ$14=1,'Inputs (2)'!AZ23,AY36*(1+Inputs!AZ$282))</f>
        <v>0</v>
      </c>
      <c r="BA36" s="82">
        <f>IF(BA$14=1,'Inputs (2)'!BA23,AZ36*(1+Inputs!BA$282))</f>
        <v>0</v>
      </c>
      <c r="BB36" s="77">
        <f>BA36</f>
        <v>0</v>
      </c>
      <c r="BC36" s="82">
        <f>IF(BC$14=1,'Inputs (2)'!BC23,BA36*(1+Inputs!BC$282))</f>
        <v>0</v>
      </c>
      <c r="BD36" s="82">
        <f>IF(BD$14=1,'Inputs (2)'!BD23,BC36*(1+Inputs!BD$282))</f>
        <v>0</v>
      </c>
      <c r="BE36" s="82">
        <f>IF(BE$14=1,'Inputs (2)'!BE23,BD36*(1+Inputs!BE$282))</f>
        <v>0</v>
      </c>
      <c r="BF36" s="82">
        <f>IF(BF$14=1,'Inputs (2)'!BF23,BE36*(1+Inputs!BF$282))</f>
        <v>0</v>
      </c>
      <c r="BG36" s="77">
        <f>BF36</f>
        <v>0</v>
      </c>
    </row>
    <row r="37">
      <c r="C37" s="83" t="inlineStr">
        <is>
          <t>Investimentos</t>
        </is>
      </c>
      <c r="D37" s="84" t="inlineStr">
        <is>
          <t>Investments</t>
        </is>
      </c>
      <c r="E37" s="85">
        <f>E38+E39</f>
        <v>0</v>
      </c>
      <c r="F37" s="85">
        <f>F38+F39</f>
        <v>0</v>
      </c>
      <c r="G37" s="85">
        <f>G38+G39</f>
        <v>0</v>
      </c>
      <c r="H37" s="85">
        <f>H38+H39</f>
        <v>0</v>
      </c>
      <c r="I37" s="60">
        <f>H37</f>
        <v>0</v>
      </c>
      <c r="J37" s="85">
        <f>J38+J39</f>
        <v>0</v>
      </c>
      <c r="K37" s="85">
        <f>K38+K39</f>
        <v>0</v>
      </c>
      <c r="L37" s="85">
        <f>L38+L39</f>
        <v>0</v>
      </c>
      <c r="M37" s="85">
        <f>M38+M39</f>
        <v>0</v>
      </c>
      <c r="N37" s="60">
        <f>M37</f>
        <v>0</v>
      </c>
      <c r="O37" s="85">
        <f>O38+O39</f>
        <v>0</v>
      </c>
      <c r="P37" s="85">
        <f>P38+P39</f>
        <v>0</v>
      </c>
      <c r="Q37" s="85">
        <f>Q38+Q39</f>
        <v>0</v>
      </c>
      <c r="R37" s="85">
        <f>R38+R39</f>
        <v>0</v>
      </c>
      <c r="S37" s="60">
        <f>R37</f>
        <v>0</v>
      </c>
      <c r="T37" s="85">
        <f>T38+T39</f>
        <v>0</v>
      </c>
      <c r="U37" s="85">
        <f>U38+U39</f>
        <v>0</v>
      </c>
      <c r="V37" s="85">
        <f>V38+V39</f>
        <v>0</v>
      </c>
      <c r="W37" s="85">
        <f>W38+W39</f>
        <v>0</v>
      </c>
      <c r="X37" s="60">
        <f>W37</f>
        <v>0</v>
      </c>
      <c r="Y37" s="85">
        <f>Y38+Y39</f>
        <v>0</v>
      </c>
      <c r="Z37" s="85">
        <f>Z38+Z39</f>
        <v>0</v>
      </c>
      <c r="AA37" s="85">
        <f>AA38+AA39</f>
        <v>0</v>
      </c>
      <c r="AB37" s="85">
        <f>AB38+AB39</f>
        <v>0</v>
      </c>
      <c r="AC37" s="60">
        <f>AB37</f>
        <v>0</v>
      </c>
      <c r="AD37" s="85">
        <f>AD38+AD39</f>
        <v>0</v>
      </c>
      <c r="AE37" s="85">
        <f>AE38+AE39</f>
        <v>0</v>
      </c>
      <c r="AF37" s="85">
        <f>AF38+AF39</f>
        <v>0</v>
      </c>
      <c r="AG37" s="85">
        <f>AG38+AG39</f>
        <v>0</v>
      </c>
      <c r="AH37" s="60">
        <f>AG37</f>
        <v>0</v>
      </c>
      <c r="AI37" s="85">
        <f>AI38+AI39</f>
        <v>0</v>
      </c>
      <c r="AJ37" s="85">
        <f>AJ38+AJ39</f>
        <v>0</v>
      </c>
      <c r="AK37" s="85">
        <f>AK38+AK39</f>
        <v>0</v>
      </c>
      <c r="AL37" s="85">
        <f>AL38+AL39</f>
        <v>0</v>
      </c>
      <c r="AM37" s="60">
        <f>AL37</f>
        <v>0</v>
      </c>
      <c r="AN37" s="85">
        <f>AN38+AN39</f>
        <v>0</v>
      </c>
      <c r="AO37" s="85">
        <f>AO38+AO39</f>
        <v>0</v>
      </c>
      <c r="AP37" s="85">
        <f>AP38+AP39</f>
        <v>0</v>
      </c>
      <c r="AQ37" s="85">
        <f>AQ38+AQ39</f>
        <v>0</v>
      </c>
      <c r="AR37" s="60">
        <f>AQ37</f>
        <v>0</v>
      </c>
      <c r="AS37" s="85">
        <f>AS38+AS39</f>
        <v>0</v>
      </c>
      <c r="AT37" s="85">
        <f>AT38+AT39</f>
        <v>0</v>
      </c>
      <c r="AU37" s="85">
        <f>AU38+AU39</f>
        <v>0</v>
      </c>
      <c r="AV37" s="85">
        <f>AV38+AV39</f>
        <v>0</v>
      </c>
      <c r="AW37" s="60">
        <f>AV37</f>
        <v>0</v>
      </c>
      <c r="AX37" s="85">
        <f>AX38+AX39</f>
        <v>0</v>
      </c>
      <c r="AY37" s="85">
        <f>AY38+AY39</f>
        <v>0</v>
      </c>
      <c r="AZ37" s="85">
        <f>AZ38+AZ39</f>
        <v>0</v>
      </c>
      <c r="BA37" s="85">
        <f>BA38+BA39</f>
        <v>0</v>
      </c>
      <c r="BB37" s="60">
        <f>BA37</f>
        <v>0</v>
      </c>
      <c r="BC37" s="85">
        <f>BC38+BC39</f>
        <v>0</v>
      </c>
      <c r="BD37" s="85">
        <f>BD38+BD39</f>
        <v>0</v>
      </c>
      <c r="BE37" s="85">
        <f>BE38+BE39</f>
        <v>0</v>
      </c>
      <c r="BF37" s="85">
        <f>BF38+BF39</f>
        <v>0</v>
      </c>
      <c r="BG37" s="60">
        <f>BF37</f>
        <v>0</v>
      </c>
    </row>
    <row r="38" hidden="1" outlineLevel="1">
      <c r="C38" s="61" t="inlineStr">
        <is>
          <t>Investimentos por equivalência</t>
        </is>
      </c>
      <c r="D38" s="62" t="inlineStr">
        <is>
          <t>Equity-method investments</t>
        </is>
      </c>
      <c r="E38" s="57">
        <f>'Inputs (2)'!E25</f>
        <v>0</v>
      </c>
      <c r="F38" s="57">
        <f>IF(F$14=1,'Inputs (2)'!F25,E38)</f>
        <v>0</v>
      </c>
      <c r="G38" s="57">
        <f>IF(G$14=1,'Inputs (2)'!G25,F38)</f>
        <v>0</v>
      </c>
      <c r="H38" s="57">
        <f>IF(H$14=1,'Inputs (2)'!H25,G38)</f>
        <v>0</v>
      </c>
      <c r="I38" s="77">
        <f>H38</f>
        <v>0</v>
      </c>
      <c r="J38" s="57">
        <f>IF(J$14=1,'Inputs (2)'!J25,H38)</f>
        <v>0</v>
      </c>
      <c r="K38" s="57">
        <f>IF(K$14=1,'Inputs (2)'!K25,J38)</f>
        <v>0</v>
      </c>
      <c r="L38" s="57">
        <f>IF(L$14=1,'Inputs (2)'!L25,K38)</f>
        <v>0</v>
      </c>
      <c r="M38" s="57">
        <f>IF(M$14=1,'Inputs (2)'!M25,L38)</f>
        <v>0</v>
      </c>
      <c r="N38" s="77">
        <f>M38</f>
        <v>0</v>
      </c>
      <c r="O38" s="57">
        <f>IF(O$14=1,'Inputs (2)'!O25,M38)</f>
        <v>0</v>
      </c>
      <c r="P38" s="57">
        <f>IF(P$14=1,'Inputs (2)'!P25,O38)</f>
        <v>0</v>
      </c>
      <c r="Q38" s="57">
        <f>IF(Q$14=1,'Inputs (2)'!Q25,P38)</f>
        <v>0</v>
      </c>
      <c r="R38" s="57">
        <f>IF(R$14=1,'Inputs (2)'!R25,Q38)</f>
        <v>0</v>
      </c>
      <c r="S38" s="77">
        <f>R38</f>
        <v>0</v>
      </c>
      <c r="T38" s="57">
        <f>IF(T$14=1,'Inputs (2)'!T25,R38)</f>
        <v>0</v>
      </c>
      <c r="U38" s="57">
        <f>IF(U$14=1,'Inputs (2)'!U25,T38)</f>
        <v>0</v>
      </c>
      <c r="V38" s="57">
        <f>IF(V$14=1,'Inputs (2)'!V25,U38)</f>
        <v>0</v>
      </c>
      <c r="W38" s="57">
        <f>IF(W$14=1,'Inputs (2)'!W25,V38)</f>
        <v>0</v>
      </c>
      <c r="X38" s="77">
        <f>W38</f>
        <v>0</v>
      </c>
      <c r="Y38" s="57">
        <f>IF(Y$14=1,'Inputs (2)'!Y25,W38)</f>
        <v>0</v>
      </c>
      <c r="Z38" s="57">
        <f>IF(Z$14=1,'Inputs (2)'!Z25,Y38)</f>
        <v>0</v>
      </c>
      <c r="AA38" s="57">
        <f>IF(AA$14=1,'Inputs (2)'!AA25,Z38)</f>
        <v>0</v>
      </c>
      <c r="AB38" s="57">
        <f>IF(AB$14=1,'Inputs (2)'!AB25,AA38)</f>
        <v>0</v>
      </c>
      <c r="AC38" s="77">
        <f>AB38</f>
        <v>0</v>
      </c>
      <c r="AD38" s="57">
        <f>IF(AD$14=1,'Inputs (2)'!AD25,AB38)</f>
        <v>0</v>
      </c>
      <c r="AE38" s="57">
        <f>IF(AE$14=1,'Inputs (2)'!AE25,AD38)</f>
        <v>0</v>
      </c>
      <c r="AF38" s="57">
        <f>IF(AF$14=1,'Inputs (2)'!AF25,AE38)</f>
        <v>0</v>
      </c>
      <c r="AG38" s="57">
        <f>IF(AG$14=1,'Inputs (2)'!AG25,AF38)</f>
        <v>0</v>
      </c>
      <c r="AH38" s="77">
        <f>AG38</f>
        <v>0</v>
      </c>
      <c r="AI38" s="57">
        <f>IF(AI$14=1,'Inputs (2)'!AI25,AG38)</f>
        <v>0</v>
      </c>
      <c r="AJ38" s="57">
        <f>IF(AJ$14=1,'Inputs (2)'!AJ25,AI38)</f>
        <v>0</v>
      </c>
      <c r="AK38" s="57">
        <f>IF(AK$14=1,'Inputs (2)'!AK25,AJ38)</f>
        <v>0</v>
      </c>
      <c r="AL38" s="57">
        <f>IF(AL$14=1,'Inputs (2)'!AL25,AK38)</f>
        <v>0</v>
      </c>
      <c r="AM38" s="77">
        <f>AL38</f>
        <v>0</v>
      </c>
      <c r="AN38" s="57">
        <f>IF(AN$14=1,'Inputs (2)'!AN25,AL38)</f>
        <v>0</v>
      </c>
      <c r="AO38" s="57">
        <f>IF(AO$14=1,'Inputs (2)'!AO25,AN38)</f>
        <v>0</v>
      </c>
      <c r="AP38" s="57">
        <f>IF(AP$14=1,'Inputs (2)'!AP25,AO38)</f>
        <v>0</v>
      </c>
      <c r="AQ38" s="57">
        <f>IF(AQ$14=1,'Inputs (2)'!AQ25,AP38)</f>
        <v>0</v>
      </c>
      <c r="AR38" s="77">
        <f>AQ38</f>
        <v>0</v>
      </c>
      <c r="AS38" s="57">
        <f>IF(AS$14=1,'Inputs (2)'!AS25,AQ38)</f>
        <v>0</v>
      </c>
      <c r="AT38" s="57">
        <f>IF(AT$14=1,'Inputs (2)'!AT25,AS38)</f>
        <v>0</v>
      </c>
      <c r="AU38" s="57">
        <f>IF(AU$14=1,'Inputs (2)'!AU25,AT38)</f>
        <v>0</v>
      </c>
      <c r="AV38" s="57">
        <f>IF(AV$14=1,'Inputs (2)'!AV25,AU38)</f>
        <v>0</v>
      </c>
      <c r="AW38" s="77">
        <f>AV38</f>
        <v>0</v>
      </c>
      <c r="AX38" s="57">
        <f>IF(AX$14=1,'Inputs (2)'!AX25,AV38)</f>
        <v>0</v>
      </c>
      <c r="AY38" s="57">
        <f>IF(AY$14=1,'Inputs (2)'!AY25,AX38)</f>
        <v>0</v>
      </c>
      <c r="AZ38" s="57">
        <f>IF(AZ$14=1,'Inputs (2)'!AZ25,AY38)</f>
        <v>0</v>
      </c>
      <c r="BA38" s="57">
        <f>IF(BA$14=1,'Inputs (2)'!BA25,AZ38)</f>
        <v>0</v>
      </c>
      <c r="BB38" s="77">
        <f>BA38</f>
        <v>0</v>
      </c>
      <c r="BC38" s="57">
        <f>IF(BC$14=1,'Inputs (2)'!BC25,BA38)</f>
        <v>0</v>
      </c>
      <c r="BD38" s="57">
        <f>IF(BD$14=1,'Inputs (2)'!BD25,BC38)</f>
        <v>0</v>
      </c>
      <c r="BE38" s="57">
        <f>IF(BE$14=1,'Inputs (2)'!BE25,BD38)</f>
        <v>0</v>
      </c>
      <c r="BF38" s="57">
        <f>IF(BF$14=1,'Inputs (2)'!BF25,BE38)</f>
        <v>0</v>
      </c>
      <c r="BG38" s="77">
        <f>BF38</f>
        <v>0</v>
      </c>
    </row>
    <row r="39" hidden="1" outlineLevel="1">
      <c r="C39" s="61" t="inlineStr">
        <is>
          <t>Outros Investimentos</t>
        </is>
      </c>
      <c r="D39" s="62" t="inlineStr">
        <is>
          <t>Other Investments</t>
        </is>
      </c>
      <c r="E39" s="57">
        <f>'Inputs (2)'!E26</f>
        <v>0</v>
      </c>
      <c r="F39" s="57">
        <f>IF(F$14=1,'Inputs (2)'!F26,E39)</f>
        <v>0</v>
      </c>
      <c r="G39" s="57">
        <f>IF(G$14=1,'Inputs (2)'!G26,F39)</f>
        <v>0</v>
      </c>
      <c r="H39" s="57">
        <f>IF(H$14=1,'Inputs (2)'!H26,G39)</f>
        <v>0</v>
      </c>
      <c r="I39" s="77">
        <f>H39</f>
        <v>0</v>
      </c>
      <c r="J39" s="57">
        <f>IF(J$14=1,'Inputs (2)'!J26,H39)</f>
        <v>0</v>
      </c>
      <c r="K39" s="57">
        <f>IF(K$14=1,'Inputs (2)'!K26,J39)</f>
        <v>0</v>
      </c>
      <c r="L39" s="57">
        <f>IF(L$14=1,'Inputs (2)'!L26,K39)</f>
        <v>0</v>
      </c>
      <c r="M39" s="57">
        <f>IF(M$14=1,'Inputs (2)'!M26,L39)</f>
        <v>0</v>
      </c>
      <c r="N39" s="77">
        <f>M39</f>
        <v>0</v>
      </c>
      <c r="O39" s="57">
        <f>IF(O$14=1,'Inputs (2)'!O26,M39)</f>
        <v>0</v>
      </c>
      <c r="P39" s="57">
        <f>IF(P$14=1,'Inputs (2)'!P26,O39)</f>
        <v>0</v>
      </c>
      <c r="Q39" s="57">
        <f>IF(Q$14=1,'Inputs (2)'!Q26,P39)</f>
        <v>0</v>
      </c>
      <c r="R39" s="57">
        <f>IF(R$14=1,'Inputs (2)'!R26,Q39)</f>
        <v>0</v>
      </c>
      <c r="S39" s="77">
        <f>R39</f>
        <v>0</v>
      </c>
      <c r="T39" s="57">
        <f>IF(T$14=1,'Inputs (2)'!T26,R39)</f>
        <v>0</v>
      </c>
      <c r="U39" s="57">
        <f>IF(U$14=1,'Inputs (2)'!U26,T39)</f>
        <v>0</v>
      </c>
      <c r="V39" s="57">
        <f>IF(V$14=1,'Inputs (2)'!V26,U39)</f>
        <v>0</v>
      </c>
      <c r="W39" s="57">
        <f>IF(W$14=1,'Inputs (2)'!W26,V39)</f>
        <v>0</v>
      </c>
      <c r="X39" s="77">
        <f>W39</f>
        <v>0</v>
      </c>
      <c r="Y39" s="57">
        <f>IF(Y$14=1,'Inputs (2)'!Y26,W39)</f>
        <v>0</v>
      </c>
      <c r="Z39" s="57">
        <f>IF(Z$14=1,'Inputs (2)'!Z26,Y39)</f>
        <v>0</v>
      </c>
      <c r="AA39" s="57">
        <f>IF(AA$14=1,'Inputs (2)'!AA26,Z39)</f>
        <v>0</v>
      </c>
      <c r="AB39" s="57">
        <f>IF(AB$14=1,'Inputs (2)'!AB26,AA39)</f>
        <v>0</v>
      </c>
      <c r="AC39" s="77">
        <f>AB39</f>
        <v>0</v>
      </c>
      <c r="AD39" s="57">
        <f>IF(AD$14=1,'Inputs (2)'!AD26,AB39)</f>
        <v>0</v>
      </c>
      <c r="AE39" s="57">
        <f>IF(AE$14=1,'Inputs (2)'!AE26,AD39)</f>
        <v>0</v>
      </c>
      <c r="AF39" s="57">
        <f>IF(AF$14=1,'Inputs (2)'!AF26,AE39)</f>
        <v>0</v>
      </c>
      <c r="AG39" s="57">
        <f>IF(AG$14=1,'Inputs (2)'!AG26,AF39)</f>
        <v>0</v>
      </c>
      <c r="AH39" s="77">
        <f>AG39</f>
        <v>0</v>
      </c>
      <c r="AI39" s="57">
        <f>IF(AI$14=1,'Inputs (2)'!AI26,AG39)</f>
        <v>0</v>
      </c>
      <c r="AJ39" s="57">
        <f>IF(AJ$14=1,'Inputs (2)'!AJ26,AI39)</f>
        <v>0</v>
      </c>
      <c r="AK39" s="57">
        <f>IF(AK$14=1,'Inputs (2)'!AK26,AJ39)</f>
        <v>0</v>
      </c>
      <c r="AL39" s="57">
        <f>IF(AL$14=1,'Inputs (2)'!AL26,AK39)</f>
        <v>0</v>
      </c>
      <c r="AM39" s="77">
        <f>AL39</f>
        <v>0</v>
      </c>
      <c r="AN39" s="57">
        <f>IF(AN$14=1,'Inputs (2)'!AN26,AL39)</f>
        <v>0</v>
      </c>
      <c r="AO39" s="57">
        <f>IF(AO$14=1,'Inputs (2)'!AO26,AN39)</f>
        <v>0</v>
      </c>
      <c r="AP39" s="57">
        <f>IF(AP$14=1,'Inputs (2)'!AP26,AO39)</f>
        <v>0</v>
      </c>
      <c r="AQ39" s="57">
        <f>IF(AQ$14=1,'Inputs (2)'!AQ26,AP39)</f>
        <v>0</v>
      </c>
      <c r="AR39" s="77">
        <f>AQ39</f>
        <v>0</v>
      </c>
      <c r="AS39" s="57">
        <f>IF(AS$14=1,'Inputs (2)'!AS26,AQ39)</f>
        <v>0</v>
      </c>
      <c r="AT39" s="57">
        <f>IF(AT$14=1,'Inputs (2)'!AT26,AS39)</f>
        <v>0</v>
      </c>
      <c r="AU39" s="57">
        <f>IF(AU$14=1,'Inputs (2)'!AU26,AT39)</f>
        <v>0</v>
      </c>
      <c r="AV39" s="57">
        <f>IF(AV$14=1,'Inputs (2)'!AV26,AU39)</f>
        <v>0</v>
      </c>
      <c r="AW39" s="77">
        <f>AV39</f>
        <v>0</v>
      </c>
      <c r="AX39" s="57">
        <f>IF(AX$14=1,'Inputs (2)'!AX26,AV39)</f>
        <v>0</v>
      </c>
      <c r="AY39" s="57">
        <f>IF(AY$14=1,'Inputs (2)'!AY26,AX39)</f>
        <v>0</v>
      </c>
      <c r="AZ39" s="57">
        <f>IF(AZ$14=1,'Inputs (2)'!AZ26,AY39)</f>
        <v>0</v>
      </c>
      <c r="BA39" s="57">
        <f>IF(BA$14=1,'Inputs (2)'!BA26,AZ39)</f>
        <v>0</v>
      </c>
      <c r="BB39" s="77">
        <f>BA39</f>
        <v>0</v>
      </c>
      <c r="BC39" s="57">
        <f>IF(BC$14=1,'Inputs (2)'!BC26,BA39)</f>
        <v>0</v>
      </c>
      <c r="BD39" s="57">
        <f>IF(BD$14=1,'Inputs (2)'!BD26,BC39)</f>
        <v>0</v>
      </c>
      <c r="BE39" s="57">
        <f>IF(BE$14=1,'Inputs (2)'!BE26,BD39)</f>
        <v>0</v>
      </c>
      <c r="BF39" s="57">
        <f>IF(BF$14=1,'Inputs (2)'!BF26,BE39)</f>
        <v>0</v>
      </c>
      <c r="BG39" s="77">
        <f>BF39</f>
        <v>0</v>
      </c>
    </row>
    <row r="40" collapsed="1">
      <c r="C40" s="80" t="inlineStr">
        <is>
          <t>Imóveis e equipamentos</t>
        </is>
      </c>
      <c r="D40" s="81" t="inlineStr">
        <is>
          <t>Premises and equipment</t>
        </is>
      </c>
      <c r="E40" s="82">
        <f>'Inputs (2)'!E27</f>
        <v>0</v>
      </c>
      <c r="F40" s="82">
        <f>IF(F$14=1,'Inputs (2)'!F27,E40)</f>
        <v>0</v>
      </c>
      <c r="G40" s="82">
        <f>IF(G$14=1,'Inputs (2)'!G27,F40)</f>
        <v>0</v>
      </c>
      <c r="H40" s="82">
        <f>IF(H$14=1,'Inputs (2)'!H27,G40)</f>
        <v>0</v>
      </c>
      <c r="I40" s="77">
        <f>H40</f>
        <v>0</v>
      </c>
      <c r="J40" s="82">
        <f>IF(J$14=1,'Inputs (2)'!J27,H40)</f>
        <v>0</v>
      </c>
      <c r="K40" s="82">
        <f>IF(K$14=1,'Inputs (2)'!K27,J40)</f>
        <v>0</v>
      </c>
      <c r="L40" s="82">
        <f>IF(L$14=1,'Inputs (2)'!L27,K40)</f>
        <v>0</v>
      </c>
      <c r="M40" s="82">
        <f>IF(M$14=1,'Inputs (2)'!M27,L40)</f>
        <v>0</v>
      </c>
      <c r="N40" s="77">
        <f>M40</f>
        <v>0</v>
      </c>
      <c r="O40" s="82">
        <f>IF(O$14=1,'Inputs (2)'!O27,M40)</f>
        <v>0</v>
      </c>
      <c r="P40" s="82">
        <f>IF(P$14=1,'Inputs (2)'!P27,O40)</f>
        <v>0</v>
      </c>
      <c r="Q40" s="82">
        <f>IF(Q$14=1,'Inputs (2)'!Q27,P40)</f>
        <v>0</v>
      </c>
      <c r="R40" s="82">
        <f>IF(R$14=1,'Inputs (2)'!R27,Q40)</f>
        <v>0</v>
      </c>
      <c r="S40" s="77">
        <f>R40</f>
        <v>0</v>
      </c>
      <c r="T40" s="82">
        <f>IF(T$14=1,'Inputs (2)'!T27,R40)</f>
        <v>0</v>
      </c>
      <c r="U40" s="82">
        <f>IF(U$14=1,'Inputs (2)'!U27,T40)</f>
        <v>0</v>
      </c>
      <c r="V40" s="82">
        <f>IF(V$14=1,'Inputs (2)'!V27,U40)</f>
        <v>0</v>
      </c>
      <c r="W40" s="82">
        <f>IF(W$14=1,'Inputs (2)'!W27,V40)</f>
        <v>0</v>
      </c>
      <c r="X40" s="77">
        <f>W40</f>
        <v>0</v>
      </c>
      <c r="Y40" s="82">
        <f>IF(Y$14=1,'Inputs (2)'!Y27,W40)</f>
        <v>0</v>
      </c>
      <c r="Z40" s="82">
        <f>IF(Z$14=1,'Inputs (2)'!Z27,Y40)</f>
        <v>0</v>
      </c>
      <c r="AA40" s="82">
        <f>IF(AA$14=1,'Inputs (2)'!AA27,Z40)</f>
        <v>0</v>
      </c>
      <c r="AB40" s="82">
        <f>IF(AB$14=1,'Inputs (2)'!AB27,AA40)</f>
        <v>0</v>
      </c>
      <c r="AC40" s="77">
        <f>AB40</f>
        <v>0</v>
      </c>
      <c r="AD40" s="82">
        <f>IF(AD$14=1,'Inputs (2)'!AD27,AB40)</f>
        <v>0</v>
      </c>
      <c r="AE40" s="82">
        <f>IF(AE$14=1,'Inputs (2)'!AE27,AD40)</f>
        <v>0</v>
      </c>
      <c r="AF40" s="82">
        <f>IF(AF$14=1,'Inputs (2)'!AF27,AE40)</f>
        <v>0</v>
      </c>
      <c r="AG40" s="82">
        <f>IF(AG$14=1,'Inputs (2)'!AG27,AF40)</f>
        <v>0</v>
      </c>
      <c r="AH40" s="77">
        <f>AG40</f>
        <v>0</v>
      </c>
      <c r="AI40" s="82">
        <f>IF(AI$14=1,'Inputs (2)'!AI27,AG40)</f>
        <v>0</v>
      </c>
      <c r="AJ40" s="82">
        <f>IF(AJ$14=1,'Inputs (2)'!AJ27,AI40)</f>
        <v>0</v>
      </c>
      <c r="AK40" s="82">
        <f>IF(AK$14=1,'Inputs (2)'!AK27,AJ40)</f>
        <v>0</v>
      </c>
      <c r="AL40" s="82">
        <f>IF(AL$14=1,'Inputs (2)'!AL27,AK40)</f>
        <v>0</v>
      </c>
      <c r="AM40" s="77">
        <f>AL40</f>
        <v>0</v>
      </c>
      <c r="AN40" s="82">
        <f>IF(AN$14=1,'Inputs (2)'!AN27,AL40)</f>
        <v>0</v>
      </c>
      <c r="AO40" s="82">
        <f>IF(AO$14=1,'Inputs (2)'!AO27,AN40)</f>
        <v>0</v>
      </c>
      <c r="AP40" s="82">
        <f>IF(AP$14=1,'Inputs (2)'!AP27,AO40)</f>
        <v>0</v>
      </c>
      <c r="AQ40" s="82">
        <f>IF(AQ$14=1,'Inputs (2)'!AQ27,AP40)</f>
        <v>0</v>
      </c>
      <c r="AR40" s="77">
        <f>AQ40</f>
        <v>0</v>
      </c>
      <c r="AS40" s="82">
        <f>IF(AS$14=1,'Inputs (2)'!AS27,AQ40)</f>
        <v>0</v>
      </c>
      <c r="AT40" s="82">
        <f>IF(AT$14=1,'Inputs (2)'!AT27,AS40)</f>
        <v>0</v>
      </c>
      <c r="AU40" s="82">
        <f>IF(AU$14=1,'Inputs (2)'!AU27,AT40)</f>
        <v>0</v>
      </c>
      <c r="AV40" s="82">
        <f>IF(AV$14=1,'Inputs (2)'!AV27,AU40)</f>
        <v>0</v>
      </c>
      <c r="AW40" s="77">
        <f>AV40</f>
        <v>0</v>
      </c>
      <c r="AX40" s="82">
        <f>IF(AX$14=1,'Inputs (2)'!AX27,AV40)</f>
        <v>0</v>
      </c>
      <c r="AY40" s="82">
        <f>IF(AY$14=1,'Inputs (2)'!AY27,AX40)</f>
        <v>0</v>
      </c>
      <c r="AZ40" s="82">
        <f>IF(AZ$14=1,'Inputs (2)'!AZ27,AY40)</f>
        <v>0</v>
      </c>
      <c r="BA40" s="82">
        <f>IF(BA$14=1,'Inputs (2)'!BA27,AZ40)</f>
        <v>0</v>
      </c>
      <c r="BB40" s="77">
        <f>BA40</f>
        <v>0</v>
      </c>
      <c r="BC40" s="82">
        <f>IF(BC$14=1,'Inputs (2)'!BC27,BA40)</f>
        <v>0</v>
      </c>
      <c r="BD40" s="82">
        <f>IF(BD$14=1,'Inputs (2)'!BD27,BC40)</f>
        <v>0</v>
      </c>
      <c r="BE40" s="82">
        <f>IF(BE$14=1,'Inputs (2)'!BE27,BD40)</f>
        <v>0</v>
      </c>
      <c r="BF40" s="82">
        <f>IF(BF$14=1,'Inputs (2)'!BF27,BE40)</f>
        <v>0</v>
      </c>
      <c r="BG40" s="77">
        <f>BF40</f>
        <v>0</v>
      </c>
    </row>
    <row r="41">
      <c r="C41" s="80" t="inlineStr">
        <is>
          <t>Goodwill, MSRs e outros intangíveis</t>
        </is>
      </c>
      <c r="D41" s="81" t="inlineStr">
        <is>
          <t>Goodwill, MSRs and other intangibles</t>
        </is>
      </c>
      <c r="E41" s="82">
        <f>'Inputs (2)'!E28</f>
        <v>0</v>
      </c>
      <c r="F41" s="82">
        <f>IF(F$14=1,'Inputs (2)'!F28,E41)</f>
        <v>0</v>
      </c>
      <c r="G41" s="82">
        <f>IF(G$14=1,'Inputs (2)'!G28,F41)</f>
        <v>0</v>
      </c>
      <c r="H41" s="82">
        <f>IF(H$14=1,'Inputs (2)'!H28,G41)</f>
        <v>0</v>
      </c>
      <c r="I41" s="77">
        <f>H41</f>
        <v>0</v>
      </c>
      <c r="J41" s="82">
        <f>IF(J$14=1,'Inputs (2)'!J28,H41)</f>
        <v>0</v>
      </c>
      <c r="K41" s="82">
        <f>IF(K$14=1,'Inputs (2)'!K28,J41)</f>
        <v>0</v>
      </c>
      <c r="L41" s="82">
        <f>IF(L$14=1,'Inputs (2)'!L28,K41)</f>
        <v>0</v>
      </c>
      <c r="M41" s="82">
        <f>IF(M$14=1,'Inputs (2)'!M28,L41)</f>
        <v>0</v>
      </c>
      <c r="N41" s="77">
        <f>M41</f>
        <v>0</v>
      </c>
      <c r="O41" s="82">
        <f>IF(O$14=1,'Inputs (2)'!O28,M41)</f>
        <v>0</v>
      </c>
      <c r="P41" s="82">
        <f>IF(P$14=1,'Inputs (2)'!P28,O41)</f>
        <v>0</v>
      </c>
      <c r="Q41" s="82">
        <f>IF(Q$14=1,'Inputs (2)'!Q28,P41)</f>
        <v>0</v>
      </c>
      <c r="R41" s="82">
        <f>IF(R$14=1,'Inputs (2)'!R28,Q41)</f>
        <v>0</v>
      </c>
      <c r="S41" s="77">
        <f>R41</f>
        <v>0</v>
      </c>
      <c r="T41" s="82">
        <f>IF(T$14=1,'Inputs (2)'!T28,R41)</f>
        <v>0</v>
      </c>
      <c r="U41" s="82">
        <f>IF(U$14=1,'Inputs (2)'!U28,T41)</f>
        <v>0</v>
      </c>
      <c r="V41" s="82">
        <f>IF(V$14=1,'Inputs (2)'!V28,U41)</f>
        <v>0</v>
      </c>
      <c r="W41" s="82">
        <f>IF(W$14=1,'Inputs (2)'!W28,V41)</f>
        <v>0</v>
      </c>
      <c r="X41" s="77">
        <f>W41</f>
        <v>0</v>
      </c>
      <c r="Y41" s="82">
        <f>IF(Y$14=1,'Inputs (2)'!Y28,W41)</f>
        <v>0</v>
      </c>
      <c r="Z41" s="82">
        <f>IF(Z$14=1,'Inputs (2)'!Z28,Y41)</f>
        <v>0</v>
      </c>
      <c r="AA41" s="82">
        <f>IF(AA$14=1,'Inputs (2)'!AA28,Z41)</f>
        <v>0</v>
      </c>
      <c r="AB41" s="82">
        <f>IF(AB$14=1,'Inputs (2)'!AB28,AA41)</f>
        <v>0</v>
      </c>
      <c r="AC41" s="77">
        <f>AB41</f>
        <v>0</v>
      </c>
      <c r="AD41" s="82">
        <f>IF(AD$14=1,'Inputs (2)'!AD28,AB41)</f>
        <v>0</v>
      </c>
      <c r="AE41" s="82">
        <f>IF(AE$14=1,'Inputs (2)'!AE28,AD41)</f>
        <v>0</v>
      </c>
      <c r="AF41" s="82">
        <f>IF(AF$14=1,'Inputs (2)'!AF28,AE41)</f>
        <v>0</v>
      </c>
      <c r="AG41" s="82">
        <f>IF(AG$14=1,'Inputs (2)'!AG28,AF41)</f>
        <v>0</v>
      </c>
      <c r="AH41" s="77">
        <f>AG41</f>
        <v>0</v>
      </c>
      <c r="AI41" s="82">
        <f>IF(AI$14=1,'Inputs (2)'!AI28,AG41)</f>
        <v>0</v>
      </c>
      <c r="AJ41" s="82">
        <f>IF(AJ$14=1,'Inputs (2)'!AJ28,AI41)</f>
        <v>0</v>
      </c>
      <c r="AK41" s="82">
        <f>IF(AK$14=1,'Inputs (2)'!AK28,AJ41)</f>
        <v>0</v>
      </c>
      <c r="AL41" s="82">
        <f>IF(AL$14=1,'Inputs (2)'!AL28,AK41)</f>
        <v>0</v>
      </c>
      <c r="AM41" s="77">
        <f>AL41</f>
        <v>0</v>
      </c>
      <c r="AN41" s="82">
        <f>IF(AN$14=1,'Inputs (2)'!AN28,AL41)</f>
        <v>0</v>
      </c>
      <c r="AO41" s="82">
        <f>IF(AO$14=1,'Inputs (2)'!AO28,AN41)</f>
        <v>0</v>
      </c>
      <c r="AP41" s="82">
        <f>IF(AP$14=1,'Inputs (2)'!AP28,AO41)</f>
        <v>0</v>
      </c>
      <c r="AQ41" s="82">
        <f>IF(AQ$14=1,'Inputs (2)'!AQ28,AP41)</f>
        <v>0</v>
      </c>
      <c r="AR41" s="77">
        <f>AQ41</f>
        <v>0</v>
      </c>
      <c r="AS41" s="82">
        <f>IF(AS$14=1,'Inputs (2)'!AS28,AQ41)</f>
        <v>0</v>
      </c>
      <c r="AT41" s="82">
        <f>IF(AT$14=1,'Inputs (2)'!AT28,AS41)</f>
        <v>0</v>
      </c>
      <c r="AU41" s="82">
        <f>IF(AU$14=1,'Inputs (2)'!AU28,AT41)</f>
        <v>0</v>
      </c>
      <c r="AV41" s="82">
        <f>IF(AV$14=1,'Inputs (2)'!AV28,AU41)</f>
        <v>0</v>
      </c>
      <c r="AW41" s="77">
        <f>AV41</f>
        <v>0</v>
      </c>
      <c r="AX41" s="82">
        <f>IF(AX$14=1,'Inputs (2)'!AX28,AV41)</f>
        <v>0</v>
      </c>
      <c r="AY41" s="82">
        <f>IF(AY$14=1,'Inputs (2)'!AY28,AX41)</f>
        <v>0</v>
      </c>
      <c r="AZ41" s="82">
        <f>IF(AZ$14=1,'Inputs (2)'!AZ28,AY41)</f>
        <v>0</v>
      </c>
      <c r="BA41" s="82">
        <f>IF(BA$14=1,'Inputs (2)'!BA28,AZ41)</f>
        <v>0</v>
      </c>
      <c r="BB41" s="77">
        <f>BA41</f>
        <v>0</v>
      </c>
      <c r="BC41" s="82">
        <f>IF(BC$14=1,'Inputs (2)'!BC28,BA41)</f>
        <v>0</v>
      </c>
      <c r="BD41" s="82">
        <f>IF(BD$14=1,'Inputs (2)'!BD28,BC41)</f>
        <v>0</v>
      </c>
      <c r="BE41" s="82">
        <f>IF(BE$14=1,'Inputs (2)'!BE28,BD41)</f>
        <v>0</v>
      </c>
      <c r="BF41" s="82">
        <f>IF(BF$14=1,'Inputs (2)'!BF28,BE41)</f>
        <v>0</v>
      </c>
      <c r="BG41" s="77">
        <f>BF41</f>
        <v>0</v>
      </c>
    </row>
    <row r="42">
      <c r="C42" s="53" t="inlineStr">
        <is>
          <t>TOTAL DO ATIVO</t>
        </is>
      </c>
      <c r="D42" s="54" t="inlineStr">
        <is>
          <t>TOTAL ASSETS</t>
        </is>
      </c>
      <c r="E42" s="59">
        <f>E18+E19+E24+E29+E30+E34+E35+E36+E37+E40+E41</f>
        <v>0</v>
      </c>
      <c r="F42" s="59">
        <f>F18+F19+F24+F29+F30+F34+F35+F36+F37+F40+F41</f>
        <v>0</v>
      </c>
      <c r="G42" s="59">
        <f>G18+G19+G24+G29+G30+G34+G35+G36+G37+G40+G41</f>
        <v>0</v>
      </c>
      <c r="H42" s="59">
        <f>H18+H19+H24+H29+H30+H34+H35+H36+H37+H40+H41</f>
        <v>0</v>
      </c>
      <c r="I42" s="60">
        <f>H42</f>
        <v>0</v>
      </c>
      <c r="J42" s="59">
        <f>J18+J19+J24+J29+J30+J34+J35+J36+J37+J40+J41</f>
        <v>0</v>
      </c>
      <c r="K42" s="59">
        <f>K18+K19+K24+K29+K30+K34+K35+K36+K37+K40+K41</f>
        <v>0</v>
      </c>
      <c r="L42" s="59">
        <f>L18+L19+L24+L29+L30+L34+L35+L36+L37+L40+L41</f>
        <v>0</v>
      </c>
      <c r="M42" s="59">
        <f>M18+M19+M24+M29+M30+M34+M35+M36+M37+M40+M41</f>
        <v>0</v>
      </c>
      <c r="N42" s="60">
        <f>M42</f>
        <v>0</v>
      </c>
      <c r="O42" s="59">
        <f>O18+O19+O24+O29+O30+O34+O35+O36+O37+O40+O41</f>
        <v>0</v>
      </c>
      <c r="P42" s="59">
        <f>P18+P19+P24+P29+P30+P34+P35+P36+P37+P40+P41</f>
        <v>0</v>
      </c>
      <c r="Q42" s="59">
        <f>Q18+Q19+Q24+Q29+Q30+Q34+Q35+Q36+Q37+Q40+Q41</f>
        <v>0</v>
      </c>
      <c r="R42" s="59">
        <f>R18+R19+R24+R29+R30+R34+R35+R36+R37+R40+R41</f>
        <v>0</v>
      </c>
      <c r="S42" s="60">
        <f>R42</f>
        <v>0</v>
      </c>
      <c r="T42" s="59">
        <f>T18+T19+T24+T29+T30+T34+T35+T36+T37+T40+T41</f>
        <v>0</v>
      </c>
      <c r="U42" s="59">
        <f>U18+U19+U24+U29+U30+U34+U35+U36+U37+U40+U41</f>
        <v>0</v>
      </c>
      <c r="V42" s="59">
        <f>V18+V19+V24+V29+V30+V34+V35+V36+V37+V40+V41</f>
        <v>0</v>
      </c>
      <c r="W42" s="59">
        <f>W18+W19+W24+W29+W30+W34+W35+W36+W37+W40+W41</f>
        <v>0</v>
      </c>
      <c r="X42" s="60">
        <f>W42</f>
        <v>0</v>
      </c>
      <c r="Y42" s="59">
        <f>Y18+Y19+Y24+Y29+Y30+Y34+Y35+Y36+Y37+Y40+Y41</f>
        <v>0</v>
      </c>
      <c r="Z42" s="59">
        <f>Z18+Z19+Z24+Z29+Z30+Z34+Z35+Z36+Z37+Z40+Z41</f>
        <v>0</v>
      </c>
      <c r="AA42" s="59">
        <f>AA18+AA19+AA24+AA29+AA30+AA34+AA35+AA36+AA37+AA40+AA41</f>
        <v>0</v>
      </c>
      <c r="AB42" s="59">
        <f>AB18+AB19+AB24+AB29+AB30+AB34+AB35+AB36+AB37+AB40+AB41</f>
        <v>0</v>
      </c>
      <c r="AC42" s="60">
        <f>AB42</f>
        <v>0</v>
      </c>
      <c r="AD42" s="59">
        <f>AD18+AD19+AD24+AD29+AD30+AD34+AD35+AD36+AD37+AD40+AD41</f>
        <v>0</v>
      </c>
      <c r="AE42" s="59">
        <f>AE18+AE19+AE24+AE29+AE30+AE34+AE35+AE36+AE37+AE40+AE41</f>
        <v>0</v>
      </c>
      <c r="AF42" s="59">
        <f>AF18+AF19+AF24+AF29+AF30+AF34+AF35+AF36+AF37+AF40+AF41</f>
        <v>0</v>
      </c>
      <c r="AG42" s="59">
        <f>AG18+AG19+AG24+AG29+AG30+AG34+AG35+AG36+AG37+AG40+AG41</f>
        <v>0</v>
      </c>
      <c r="AH42" s="60">
        <f>AG42</f>
        <v>0</v>
      </c>
      <c r="AI42" s="59">
        <f>AI18+AI19+AI24+AI29+AI30+AI34+AI35+AI36+AI37+AI40+AI41</f>
        <v>0</v>
      </c>
      <c r="AJ42" s="59">
        <f>AJ18+AJ19+AJ24+AJ29+AJ30+AJ34+AJ35+AJ36+AJ37+AJ40+AJ41</f>
        <v>0</v>
      </c>
      <c r="AK42" s="59">
        <f>AK18+AK19+AK24+AK29+AK30+AK34+AK35+AK36+AK37+AK40+AK41</f>
        <v>0</v>
      </c>
      <c r="AL42" s="59">
        <f>AL18+AL19+AL24+AL29+AL30+AL34+AL35+AL36+AL37+AL40+AL41</f>
        <v>0</v>
      </c>
      <c r="AM42" s="60">
        <f>AL42</f>
        <v>0</v>
      </c>
      <c r="AN42" s="59">
        <f>AN18+AN19+AN24+AN29+AN30+AN34+AN35+AN36+AN37+AN40+AN41</f>
        <v>0</v>
      </c>
      <c r="AO42" s="59">
        <f>AO18+AO19+AO24+AO29+AO30+AO34+AO35+AO36+AO37+AO40+AO41</f>
        <v>0</v>
      </c>
      <c r="AP42" s="59">
        <f>AP18+AP19+AP24+AP29+AP30+AP34+AP35+AP36+AP37+AP40+AP41</f>
        <v>0</v>
      </c>
      <c r="AQ42" s="59">
        <f>AQ18+AQ19+AQ24+AQ29+AQ30+AQ34+AQ35+AQ36+AQ37+AQ40+AQ41</f>
        <v>0</v>
      </c>
      <c r="AR42" s="60">
        <f>AQ42</f>
        <v>0</v>
      </c>
      <c r="AS42" s="59">
        <f>AS18+AS19+AS24+AS29+AS30+AS34+AS35+AS36+AS37+AS40+AS41</f>
        <v>0</v>
      </c>
      <c r="AT42" s="59">
        <f>AT18+AT19+AT24+AT29+AT30+AT34+AT35+AT36+AT37+AT40+AT41</f>
        <v>0</v>
      </c>
      <c r="AU42" s="59">
        <f>AU18+AU19+AU24+AU29+AU30+AU34+AU35+AU36+AU37+AU40+AU41</f>
        <v>0</v>
      </c>
      <c r="AV42" s="59">
        <f>AV18+AV19+AV24+AV29+AV30+AV34+AV35+AV36+AV37+AV40+AV41</f>
        <v>0</v>
      </c>
      <c r="AW42" s="60">
        <f>AV42</f>
        <v>0</v>
      </c>
      <c r="AX42" s="59">
        <f>AX18+AX19+AX24+AX29+AX30+AX34+AX35+AX36+AX37+AX40+AX41</f>
        <v>0</v>
      </c>
      <c r="AY42" s="59">
        <f>AY18+AY19+AY24+AY29+AY30+AY34+AY35+AY36+AY37+AY40+AY41</f>
        <v>0</v>
      </c>
      <c r="AZ42" s="59">
        <f>AZ18+AZ19+AZ24+AZ29+AZ30+AZ34+AZ35+AZ36+AZ37+AZ40+AZ41</f>
        <v>0</v>
      </c>
      <c r="BA42" s="59">
        <f>BA18+BA19+BA24+BA29+BA30+BA34+BA35+BA36+BA37+BA40+BA41</f>
        <v>0</v>
      </c>
      <c r="BB42" s="60">
        <f>BA42</f>
        <v>0</v>
      </c>
      <c r="BC42" s="59">
        <f>BC18+BC19+BC24+BC29+BC30+BC34+BC35+BC36+BC37+BC40+BC41</f>
        <v>0</v>
      </c>
      <c r="BD42" s="59">
        <f>BD18+BD19+BD24+BD29+BD30+BD34+BD35+BD36+BD37+BD40+BD41</f>
        <v>0</v>
      </c>
      <c r="BE42" s="59">
        <f>BE18+BE19+BE24+BE29+BE30+BE34+BE35+BE36+BE37+BE40+BE41</f>
        <v>0</v>
      </c>
      <c r="BF42" s="59">
        <f>BF18+BF19+BF24+BF29+BF30+BF34+BF35+BF36+BF37+BF40+BF41</f>
        <v>0</v>
      </c>
      <c r="BG42" s="60">
        <f>BF42</f>
        <v>0</v>
      </c>
    </row>
    <row r="43">
      <c r="B43" s="29" t="n"/>
      <c r="C43" s="29" t="inlineStr">
        <is>
          <t>Passivo</t>
        </is>
      </c>
      <c r="D43" s="29" t="inlineStr">
        <is>
          <t>Liabilities</t>
        </is>
      </c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  <c r="R43" s="29" t="n"/>
      <c r="S43" s="29" t="n"/>
      <c r="T43" s="29" t="n"/>
      <c r="U43" s="29" t="n"/>
      <c r="V43" s="29" t="n"/>
      <c r="W43" s="29" t="n"/>
      <c r="X43" s="29" t="n"/>
      <c r="Y43" s="29" t="n"/>
      <c r="Z43" s="29" t="n"/>
      <c r="AA43" s="29" t="n"/>
      <c r="AB43" s="29" t="n"/>
      <c r="AC43" s="29" t="n"/>
      <c r="AD43" s="29" t="n"/>
      <c r="AE43" s="29" t="n"/>
      <c r="AF43" s="29" t="n"/>
      <c r="AG43" s="29" t="n"/>
      <c r="AH43" s="29" t="n"/>
      <c r="AI43" s="29" t="n"/>
      <c r="AJ43" s="29" t="n"/>
      <c r="AK43" s="29" t="n"/>
      <c r="AL43" s="29" t="n"/>
      <c r="AM43" s="29" t="n"/>
      <c r="AN43" s="29" t="n"/>
      <c r="AO43" s="29" t="n"/>
      <c r="AP43" s="29" t="n"/>
      <c r="AQ43" s="29" t="n"/>
      <c r="AR43" s="29" t="n"/>
      <c r="AS43" s="29" t="n"/>
      <c r="AT43" s="29" t="n"/>
      <c r="AU43" s="29" t="n"/>
      <c r="AV43" s="29" t="n"/>
      <c r="AW43" s="29" t="n"/>
      <c r="AX43" s="29" t="n"/>
      <c r="AY43" s="29" t="n"/>
      <c r="AZ43" s="29" t="n"/>
      <c r="BA43" s="29" t="n"/>
      <c r="BB43" s="29" t="n"/>
      <c r="BC43" s="29" t="n"/>
      <c r="BD43" s="29" t="n"/>
      <c r="BE43" s="29" t="n"/>
      <c r="BF43" s="29" t="n"/>
      <c r="BG43" s="29" t="n"/>
      <c r="BH43" s="29" t="n"/>
      <c r="BI43" s="29" t="n"/>
    </row>
    <row r="44">
      <c r="C44" s="83" t="inlineStr">
        <is>
          <t>Depósitos</t>
        </is>
      </c>
      <c r="D44" s="84" t="inlineStr">
        <is>
          <t>Deposits</t>
        </is>
      </c>
      <c r="E44" s="85">
        <f>E45+E46+E47+E48+E49</f>
        <v>0</v>
      </c>
      <c r="F44" s="85">
        <f>F45+F46+F47+F48+F49</f>
        <v>0</v>
      </c>
      <c r="G44" s="85">
        <f>G45+G46+G47+G48+G49</f>
        <v>0</v>
      </c>
      <c r="H44" s="85">
        <f>H45+H46+H47+H48+H49</f>
        <v>0</v>
      </c>
      <c r="I44" s="60">
        <f>H44</f>
        <v>0</v>
      </c>
      <c r="J44" s="85">
        <f>J45+J46+J47+J48+J49</f>
        <v>0</v>
      </c>
      <c r="K44" s="85">
        <f>K45+K46+K47+K48+K49</f>
        <v>0</v>
      </c>
      <c r="L44" s="85">
        <f>L45+L46+L47+L48+L49</f>
        <v>0</v>
      </c>
      <c r="M44" s="85">
        <f>M45+M46+M47+M48+M49</f>
        <v>0</v>
      </c>
      <c r="N44" s="60">
        <f>M44</f>
        <v>0</v>
      </c>
      <c r="O44" s="85">
        <f>O45+O46+O47+O48+O49</f>
        <v>0</v>
      </c>
      <c r="P44" s="85">
        <f>P45+P46+P47+P48+P49</f>
        <v>0</v>
      </c>
      <c r="Q44" s="85">
        <f>Q45+Q46+Q47+Q48+Q49</f>
        <v>0</v>
      </c>
      <c r="R44" s="85">
        <f>R45+R46+R47+R48+R49</f>
        <v>0</v>
      </c>
      <c r="S44" s="60">
        <f>R44</f>
        <v>0</v>
      </c>
      <c r="T44" s="85">
        <f>T45+T46+T47+T48+T49</f>
        <v>0</v>
      </c>
      <c r="U44" s="85">
        <f>U45+U46+U47+U48+U49</f>
        <v>0</v>
      </c>
      <c r="V44" s="85">
        <f>V45+V46+V47+V48+V49</f>
        <v>0</v>
      </c>
      <c r="W44" s="85">
        <f>W45+W46+W47+W48+W49</f>
        <v>0</v>
      </c>
      <c r="X44" s="60">
        <f>W44</f>
        <v>0</v>
      </c>
      <c r="Y44" s="85">
        <f>Y45+Y46+Y47+Y48+Y49</f>
        <v>0</v>
      </c>
      <c r="Z44" s="85">
        <f>Z45+Z46+Z47+Z48+Z49</f>
        <v>0</v>
      </c>
      <c r="AA44" s="85">
        <f>AA45+AA46+AA47+AA48+AA49</f>
        <v>0</v>
      </c>
      <c r="AB44" s="85">
        <f>AB45+AB46+AB47+AB48+AB49</f>
        <v>0</v>
      </c>
      <c r="AC44" s="60">
        <f>AB44</f>
        <v>0</v>
      </c>
      <c r="AD44" s="85">
        <f>AD45+AD46+AD47+AD48+AD49</f>
        <v>0</v>
      </c>
      <c r="AE44" s="85">
        <f>AE45+AE46+AE47+AE48+AE49</f>
        <v>0</v>
      </c>
      <c r="AF44" s="85">
        <f>AF45+AF46+AF47+AF48+AF49</f>
        <v>0</v>
      </c>
      <c r="AG44" s="85">
        <f>AG45+AG46+AG47+AG48+AG49</f>
        <v>0</v>
      </c>
      <c r="AH44" s="60">
        <f>AG44</f>
        <v>0</v>
      </c>
      <c r="AI44" s="85">
        <f>AI45+AI46+AI47+AI48+AI49</f>
        <v>0</v>
      </c>
      <c r="AJ44" s="85">
        <f>AJ45+AJ46+AJ47+AJ48+AJ49</f>
        <v>0</v>
      </c>
      <c r="AK44" s="85">
        <f>AK45+AK46+AK47+AK48+AK49</f>
        <v>0</v>
      </c>
      <c r="AL44" s="85">
        <f>AL45+AL46+AL47+AL48+AL49</f>
        <v>0</v>
      </c>
      <c r="AM44" s="60">
        <f>AL44</f>
        <v>0</v>
      </c>
      <c r="AN44" s="85">
        <f>AN45+AN46+AN47+AN48+AN49</f>
        <v>0</v>
      </c>
      <c r="AO44" s="85">
        <f>AO45+AO46+AO47+AO48+AO49</f>
        <v>0</v>
      </c>
      <c r="AP44" s="85">
        <f>AP45+AP46+AP47+AP48+AP49</f>
        <v>0</v>
      </c>
      <c r="AQ44" s="85">
        <f>AQ45+AQ46+AQ47+AQ48+AQ49</f>
        <v>0</v>
      </c>
      <c r="AR44" s="60">
        <f>AQ44</f>
        <v>0</v>
      </c>
      <c r="AS44" s="85">
        <f>AS45+AS46+AS47+AS48+AS49</f>
        <v>0</v>
      </c>
      <c r="AT44" s="85">
        <f>AT45+AT46+AT47+AT48+AT49</f>
        <v>0</v>
      </c>
      <c r="AU44" s="85">
        <f>AU45+AU46+AU47+AU48+AU49</f>
        <v>0</v>
      </c>
      <c r="AV44" s="85">
        <f>AV45+AV46+AV47+AV48+AV49</f>
        <v>0</v>
      </c>
      <c r="AW44" s="60">
        <f>AV44</f>
        <v>0</v>
      </c>
      <c r="AX44" s="85">
        <f>AX45+AX46+AX47+AX48+AX49</f>
        <v>0</v>
      </c>
      <c r="AY44" s="85">
        <f>AY45+AY46+AY47+AY48+AY49</f>
        <v>0</v>
      </c>
      <c r="AZ44" s="85">
        <f>AZ45+AZ46+AZ47+AZ48+AZ49</f>
        <v>0</v>
      </c>
      <c r="BA44" s="85">
        <f>BA45+BA46+BA47+BA48+BA49</f>
        <v>0</v>
      </c>
      <c r="BB44" s="60">
        <f>BA44</f>
        <v>0</v>
      </c>
      <c r="BC44" s="85">
        <f>BC45+BC46+BC47+BC48+BC49</f>
        <v>0</v>
      </c>
      <c r="BD44" s="85">
        <f>BD45+BD46+BD47+BD48+BD49</f>
        <v>0</v>
      </c>
      <c r="BE44" s="85">
        <f>BE45+BE46+BE47+BE48+BE49</f>
        <v>0</v>
      </c>
      <c r="BF44" s="85">
        <f>BF45+BF46+BF47+BF48+BF49</f>
        <v>0</v>
      </c>
      <c r="BG44" s="60">
        <f>BF44</f>
        <v>0</v>
      </c>
    </row>
    <row r="45" hidden="1" outlineLevel="1">
      <c r="C45" s="61" t="inlineStr">
        <is>
          <t>Depósitos sem juros</t>
        </is>
      </c>
      <c r="D45" s="62" t="inlineStr">
        <is>
          <t>Noninterest-bearing deposits</t>
        </is>
      </c>
      <c r="E45" s="57">
        <f>'Inputs (2)'!E33</f>
        <v>0</v>
      </c>
      <c r="F45" s="57">
        <f>IF(F$14=1,'Inputs (2)'!F33,E45*(1+Inputs!F$278))</f>
        <v>0</v>
      </c>
      <c r="G45" s="57">
        <f>IF(G$14=1,'Inputs (2)'!G33,F45*(1+Inputs!G$278))</f>
        <v>0</v>
      </c>
      <c r="H45" s="57">
        <f>IF(H$14=1,'Inputs (2)'!H33,G45*(1+Inputs!H$278))</f>
        <v>0</v>
      </c>
      <c r="I45" s="77">
        <f>H45</f>
        <v>0</v>
      </c>
      <c r="J45" s="57">
        <f>IF(J$14=1,'Inputs (2)'!J33,H45*(1+Inputs!J$278))</f>
        <v>0</v>
      </c>
      <c r="K45" s="57">
        <f>IF(K$14=1,'Inputs (2)'!K33,J45*(1+Inputs!K$278))</f>
        <v>0</v>
      </c>
      <c r="L45" s="57">
        <f>IF(L$14=1,'Inputs (2)'!L33,K45*(1+Inputs!L$278))</f>
        <v>0</v>
      </c>
      <c r="M45" s="57">
        <f>IF(M$14=1,'Inputs (2)'!M33,L45*(1+Inputs!M$278))</f>
        <v>0</v>
      </c>
      <c r="N45" s="77">
        <f>M45</f>
        <v>0</v>
      </c>
      <c r="O45" s="57">
        <f>IF(O$14=1,'Inputs (2)'!O33,M45*(1+Inputs!O$278))</f>
        <v>0</v>
      </c>
      <c r="P45" s="57">
        <f>IF(P$14=1,'Inputs (2)'!P33,O45*(1+Inputs!P$278))</f>
        <v>0</v>
      </c>
      <c r="Q45" s="57">
        <f>IF(Q$14=1,'Inputs (2)'!Q33,P45*(1+Inputs!Q$278))</f>
        <v>0</v>
      </c>
      <c r="R45" s="57">
        <f>IF(R$14=1,'Inputs (2)'!R33,Q45*(1+Inputs!R$278))</f>
        <v>0</v>
      </c>
      <c r="S45" s="77">
        <f>R45</f>
        <v>0</v>
      </c>
      <c r="T45" s="57">
        <f>IF(T$14=1,'Inputs (2)'!T33,R45*(1+Inputs!T$278))</f>
        <v>0</v>
      </c>
      <c r="U45" s="57">
        <f>IF(U$14=1,'Inputs (2)'!U33,T45*(1+Inputs!U$278))</f>
        <v>0</v>
      </c>
      <c r="V45" s="57">
        <f>IF(V$14=1,'Inputs (2)'!V33,U45*(1+Inputs!V$278))</f>
        <v>0</v>
      </c>
      <c r="W45" s="57">
        <f>IF(W$14=1,'Inputs (2)'!W33,V45*(1+Inputs!W$278))</f>
        <v>0</v>
      </c>
      <c r="X45" s="77">
        <f>W45</f>
        <v>0</v>
      </c>
      <c r="Y45" s="57">
        <f>IF(Y$14=1,'Inputs (2)'!Y33,W45*(1+Inputs!Y$278))</f>
        <v>0</v>
      </c>
      <c r="Z45" s="57">
        <f>IF(Z$14=1,'Inputs (2)'!Z33,Y45*(1+Inputs!Z$278))</f>
        <v>0</v>
      </c>
      <c r="AA45" s="57">
        <f>IF(AA$14=1,'Inputs (2)'!AA33,Z45*(1+Inputs!AA$278))</f>
        <v>0</v>
      </c>
      <c r="AB45" s="57">
        <f>IF(AB$14=1,'Inputs (2)'!AB33,AA45*(1+Inputs!AB$278))</f>
        <v>0</v>
      </c>
      <c r="AC45" s="77">
        <f>AB45</f>
        <v>0</v>
      </c>
      <c r="AD45" s="57">
        <f>IF(AD$14=1,'Inputs (2)'!AD33,AB45*(1+Inputs!AD$278))</f>
        <v>0</v>
      </c>
      <c r="AE45" s="57">
        <f>IF(AE$14=1,'Inputs (2)'!AE33,AD45*(1+Inputs!AE$278))</f>
        <v>0</v>
      </c>
      <c r="AF45" s="57">
        <f>IF(AF$14=1,'Inputs (2)'!AF33,AE45*(1+Inputs!AF$278))</f>
        <v>0</v>
      </c>
      <c r="AG45" s="57">
        <f>IF(AG$14=1,'Inputs (2)'!AG33,AF45*(1+Inputs!AG$278))</f>
        <v>0</v>
      </c>
      <c r="AH45" s="77">
        <f>AG45</f>
        <v>0</v>
      </c>
      <c r="AI45" s="57">
        <f>IF(AI$14=1,'Inputs (2)'!AI33,AG45*(1+Inputs!AI$278))</f>
        <v>0</v>
      </c>
      <c r="AJ45" s="57">
        <f>IF(AJ$14=1,'Inputs (2)'!AJ33,AI45*(1+Inputs!AJ$278))</f>
        <v>0</v>
      </c>
      <c r="AK45" s="57">
        <f>IF(AK$14=1,'Inputs (2)'!AK33,AJ45*(1+Inputs!AK$278))</f>
        <v>0</v>
      </c>
      <c r="AL45" s="57">
        <f>IF(AL$14=1,'Inputs (2)'!AL33,AK45*(1+Inputs!AL$278))</f>
        <v>0</v>
      </c>
      <c r="AM45" s="77">
        <f>AL45</f>
        <v>0</v>
      </c>
      <c r="AN45" s="57">
        <f>IF(AN$14=1,'Inputs (2)'!AN33,AL45*(1+Inputs!AN$278))</f>
        <v>0</v>
      </c>
      <c r="AO45" s="57">
        <f>IF(AO$14=1,'Inputs (2)'!AO33,AN45*(1+Inputs!AO$278))</f>
        <v>0</v>
      </c>
      <c r="AP45" s="57">
        <f>IF(AP$14=1,'Inputs (2)'!AP33,AO45*(1+Inputs!AP$278))</f>
        <v>0</v>
      </c>
      <c r="AQ45" s="57">
        <f>IF(AQ$14=1,'Inputs (2)'!AQ33,AP45*(1+Inputs!AQ$278))</f>
        <v>0</v>
      </c>
      <c r="AR45" s="77">
        <f>AQ45</f>
        <v>0</v>
      </c>
      <c r="AS45" s="57">
        <f>IF(AS$14=1,'Inputs (2)'!AS33,AQ45*(1+Inputs!AS$278))</f>
        <v>0</v>
      </c>
      <c r="AT45" s="57">
        <f>IF(AT$14=1,'Inputs (2)'!AT33,AS45*(1+Inputs!AT$278))</f>
        <v>0</v>
      </c>
      <c r="AU45" s="57">
        <f>IF(AU$14=1,'Inputs (2)'!AU33,AT45*(1+Inputs!AU$278))</f>
        <v>0</v>
      </c>
      <c r="AV45" s="57">
        <f>IF(AV$14=1,'Inputs (2)'!AV33,AU45*(1+Inputs!AV$278))</f>
        <v>0</v>
      </c>
      <c r="AW45" s="77">
        <f>AV45</f>
        <v>0</v>
      </c>
      <c r="AX45" s="57">
        <f>IF(AX$14=1,'Inputs (2)'!AX33,AV45*(1+Inputs!AX$278))</f>
        <v>0</v>
      </c>
      <c r="AY45" s="57">
        <f>IF(AY$14=1,'Inputs (2)'!AY33,AX45*(1+Inputs!AY$278))</f>
        <v>0</v>
      </c>
      <c r="AZ45" s="57">
        <f>IF(AZ$14=1,'Inputs (2)'!AZ33,AY45*(1+Inputs!AZ$278))</f>
        <v>0</v>
      </c>
      <c r="BA45" s="57">
        <f>IF(BA$14=1,'Inputs (2)'!BA33,AZ45*(1+Inputs!BA$278))</f>
        <v>0</v>
      </c>
      <c r="BB45" s="77">
        <f>BA45</f>
        <v>0</v>
      </c>
      <c r="BC45" s="57">
        <f>IF(BC$14=1,'Inputs (2)'!BC33,BA45*(1+Inputs!BC$278))</f>
        <v>0</v>
      </c>
      <c r="BD45" s="57">
        <f>IF(BD$14=1,'Inputs (2)'!BD33,BC45*(1+Inputs!BD$278))</f>
        <v>0</v>
      </c>
      <c r="BE45" s="57">
        <f>IF(BE$14=1,'Inputs (2)'!BE33,BD45*(1+Inputs!BE$278))</f>
        <v>0</v>
      </c>
      <c r="BF45" s="57">
        <f>IF(BF$14=1,'Inputs (2)'!BF33,BE45*(1+Inputs!BF$278))</f>
        <v>0</v>
      </c>
      <c r="BG45" s="77">
        <f>BF45</f>
        <v>0</v>
      </c>
    </row>
    <row r="46" hidden="1" outlineLevel="1">
      <c r="C46" s="61" t="inlineStr">
        <is>
          <t>Depósitos com juros</t>
        </is>
      </c>
      <c r="D46" s="62" t="inlineStr">
        <is>
          <t>Interest-bearing deposits</t>
        </is>
      </c>
      <c r="E46" s="57">
        <f>'Inputs (2)'!E34</f>
        <v>0</v>
      </c>
      <c r="F46" s="57">
        <f>IF(F$14=1,'Inputs (2)'!F34,E46*(1+Inputs!F$278))</f>
        <v>0</v>
      </c>
      <c r="G46" s="57">
        <f>IF(G$14=1,'Inputs (2)'!G34,F46*(1+Inputs!G$278))</f>
        <v>0</v>
      </c>
      <c r="H46" s="57">
        <f>IF(H$14=1,'Inputs (2)'!H34,G46*(1+Inputs!H$278))</f>
        <v>0</v>
      </c>
      <c r="I46" s="77">
        <f>H46</f>
        <v>0</v>
      </c>
      <c r="J46" s="57">
        <f>IF(J$14=1,'Inputs (2)'!J34,H46*(1+Inputs!J$278))</f>
        <v>0</v>
      </c>
      <c r="K46" s="57">
        <f>IF(K$14=1,'Inputs (2)'!K34,J46*(1+Inputs!K$278))</f>
        <v>0</v>
      </c>
      <c r="L46" s="57">
        <f>IF(L$14=1,'Inputs (2)'!L34,K46*(1+Inputs!L$278))</f>
        <v>0</v>
      </c>
      <c r="M46" s="57">
        <f>IF(M$14=1,'Inputs (2)'!M34,L46*(1+Inputs!M$278))</f>
        <v>0</v>
      </c>
      <c r="N46" s="77">
        <f>M46</f>
        <v>0</v>
      </c>
      <c r="O46" s="57">
        <f>IF(O$14=1,'Inputs (2)'!O34,M46*(1+Inputs!O$278))</f>
        <v>0</v>
      </c>
      <c r="P46" s="57">
        <f>IF(P$14=1,'Inputs (2)'!P34,O46*(1+Inputs!P$278))</f>
        <v>0</v>
      </c>
      <c r="Q46" s="57">
        <f>IF(Q$14=1,'Inputs (2)'!Q34,P46*(1+Inputs!Q$278))</f>
        <v>0</v>
      </c>
      <c r="R46" s="57">
        <f>IF(R$14=1,'Inputs (2)'!R34,Q46*(1+Inputs!R$278))</f>
        <v>0</v>
      </c>
      <c r="S46" s="77">
        <f>R46</f>
        <v>0</v>
      </c>
      <c r="T46" s="57">
        <f>IF(T$14=1,'Inputs (2)'!T34,R46*(1+Inputs!T$278))</f>
        <v>0</v>
      </c>
      <c r="U46" s="57">
        <f>IF(U$14=1,'Inputs (2)'!U34,T46*(1+Inputs!U$278))</f>
        <v>0</v>
      </c>
      <c r="V46" s="57">
        <f>IF(V$14=1,'Inputs (2)'!V34,U46*(1+Inputs!V$278))</f>
        <v>0</v>
      </c>
      <c r="W46" s="57">
        <f>IF(W$14=1,'Inputs (2)'!W34,V46*(1+Inputs!W$278))</f>
        <v>0</v>
      </c>
      <c r="X46" s="77">
        <f>W46</f>
        <v>0</v>
      </c>
      <c r="Y46" s="57">
        <f>IF(Y$14=1,'Inputs (2)'!Y34,W46*(1+Inputs!Y$278))</f>
        <v>0</v>
      </c>
      <c r="Z46" s="57">
        <f>IF(Z$14=1,'Inputs (2)'!Z34,Y46*(1+Inputs!Z$278))</f>
        <v>0</v>
      </c>
      <c r="AA46" s="57">
        <f>IF(AA$14=1,'Inputs (2)'!AA34,Z46*(1+Inputs!AA$278))</f>
        <v>0</v>
      </c>
      <c r="AB46" s="57">
        <f>IF(AB$14=1,'Inputs (2)'!AB34,AA46*(1+Inputs!AB$278))</f>
        <v>0</v>
      </c>
      <c r="AC46" s="77">
        <f>AB46</f>
        <v>0</v>
      </c>
      <c r="AD46" s="57">
        <f>IF(AD$14=1,'Inputs (2)'!AD34,AB46*(1+Inputs!AD$278))</f>
        <v>0</v>
      </c>
      <c r="AE46" s="57">
        <f>IF(AE$14=1,'Inputs (2)'!AE34,AD46*(1+Inputs!AE$278))</f>
        <v>0</v>
      </c>
      <c r="AF46" s="57">
        <f>IF(AF$14=1,'Inputs (2)'!AF34,AE46*(1+Inputs!AF$278))</f>
        <v>0</v>
      </c>
      <c r="AG46" s="57">
        <f>IF(AG$14=1,'Inputs (2)'!AG34,AF46*(1+Inputs!AG$278))</f>
        <v>0</v>
      </c>
      <c r="AH46" s="77">
        <f>AG46</f>
        <v>0</v>
      </c>
      <c r="AI46" s="57">
        <f>IF(AI$14=1,'Inputs (2)'!AI34,AG46*(1+Inputs!AI$278))</f>
        <v>0</v>
      </c>
      <c r="AJ46" s="57">
        <f>IF(AJ$14=1,'Inputs (2)'!AJ34,AI46*(1+Inputs!AJ$278))</f>
        <v>0</v>
      </c>
      <c r="AK46" s="57">
        <f>IF(AK$14=1,'Inputs (2)'!AK34,AJ46*(1+Inputs!AK$278))</f>
        <v>0</v>
      </c>
      <c r="AL46" s="57">
        <f>IF(AL$14=1,'Inputs (2)'!AL34,AK46*(1+Inputs!AL$278))</f>
        <v>0</v>
      </c>
      <c r="AM46" s="77">
        <f>AL46</f>
        <v>0</v>
      </c>
      <c r="AN46" s="57">
        <f>IF(AN$14=1,'Inputs (2)'!AN34,AL46*(1+Inputs!AN$278))</f>
        <v>0</v>
      </c>
      <c r="AO46" s="57">
        <f>IF(AO$14=1,'Inputs (2)'!AO34,AN46*(1+Inputs!AO$278))</f>
        <v>0</v>
      </c>
      <c r="AP46" s="57">
        <f>IF(AP$14=1,'Inputs (2)'!AP34,AO46*(1+Inputs!AP$278))</f>
        <v>0</v>
      </c>
      <c r="AQ46" s="57">
        <f>IF(AQ$14=1,'Inputs (2)'!AQ34,AP46*(1+Inputs!AQ$278))</f>
        <v>0</v>
      </c>
      <c r="AR46" s="77">
        <f>AQ46</f>
        <v>0</v>
      </c>
      <c r="AS46" s="57">
        <f>IF(AS$14=1,'Inputs (2)'!AS34,AQ46*(1+Inputs!AS$278))</f>
        <v>0</v>
      </c>
      <c r="AT46" s="57">
        <f>IF(AT$14=1,'Inputs (2)'!AT34,AS46*(1+Inputs!AT$278))</f>
        <v>0</v>
      </c>
      <c r="AU46" s="57">
        <f>IF(AU$14=1,'Inputs (2)'!AU34,AT46*(1+Inputs!AU$278))</f>
        <v>0</v>
      </c>
      <c r="AV46" s="57">
        <f>IF(AV$14=1,'Inputs (2)'!AV34,AU46*(1+Inputs!AV$278))</f>
        <v>0</v>
      </c>
      <c r="AW46" s="77">
        <f>AV46</f>
        <v>0</v>
      </c>
      <c r="AX46" s="57">
        <f>IF(AX$14=1,'Inputs (2)'!AX34,AV46*(1+Inputs!AX$278))</f>
        <v>0</v>
      </c>
      <c r="AY46" s="57">
        <f>IF(AY$14=1,'Inputs (2)'!AY34,AX46*(1+Inputs!AY$278))</f>
        <v>0</v>
      </c>
      <c r="AZ46" s="57">
        <f>IF(AZ$14=1,'Inputs (2)'!AZ34,AY46*(1+Inputs!AZ$278))</f>
        <v>0</v>
      </c>
      <c r="BA46" s="57">
        <f>IF(BA$14=1,'Inputs (2)'!BA34,AZ46*(1+Inputs!BA$278))</f>
        <v>0</v>
      </c>
      <c r="BB46" s="77">
        <f>BA46</f>
        <v>0</v>
      </c>
      <c r="BC46" s="57">
        <f>IF(BC$14=1,'Inputs (2)'!BC34,BA46*(1+Inputs!BC$278))</f>
        <v>0</v>
      </c>
      <c r="BD46" s="57">
        <f>IF(BD$14=1,'Inputs (2)'!BD34,BC46*(1+Inputs!BD$278))</f>
        <v>0</v>
      </c>
      <c r="BE46" s="57">
        <f>IF(BE$14=1,'Inputs (2)'!BE34,BD46*(1+Inputs!BE$278))</f>
        <v>0</v>
      </c>
      <c r="BF46" s="57">
        <f>IF(BF$14=1,'Inputs (2)'!BF34,BE46*(1+Inputs!BF$278))</f>
        <v>0</v>
      </c>
      <c r="BG46" s="77">
        <f>BF46</f>
        <v>0</v>
      </c>
    </row>
    <row r="47" hidden="1" outlineLevel="1">
      <c r="C47" s="61" t="inlineStr">
        <is>
          <t>Depósitos — abertura adicional</t>
        </is>
      </c>
      <c r="D47" s="62" t="inlineStr">
        <is>
          <t>Deposits — additional split</t>
        </is>
      </c>
      <c r="E47" s="57">
        <f>'Inputs (2)'!E35</f>
        <v>0</v>
      </c>
      <c r="F47" s="57">
        <f>IF(F$14=1,'Inputs (2)'!F35,E47*(1+Inputs!F$278))</f>
        <v>0</v>
      </c>
      <c r="G47" s="57">
        <f>IF(G$14=1,'Inputs (2)'!G35,F47*(1+Inputs!G$278))</f>
        <v>0</v>
      </c>
      <c r="H47" s="57">
        <f>IF(H$14=1,'Inputs (2)'!H35,G47*(1+Inputs!H$278))</f>
        <v>0</v>
      </c>
      <c r="I47" s="77">
        <f>H47</f>
        <v>0</v>
      </c>
      <c r="J47" s="57">
        <f>IF(J$14=1,'Inputs (2)'!J35,H47*(1+Inputs!J$278))</f>
        <v>0</v>
      </c>
      <c r="K47" s="57">
        <f>IF(K$14=1,'Inputs (2)'!K35,J47*(1+Inputs!K$278))</f>
        <v>0</v>
      </c>
      <c r="L47" s="57">
        <f>IF(L$14=1,'Inputs (2)'!L35,K47*(1+Inputs!L$278))</f>
        <v>0</v>
      </c>
      <c r="M47" s="57">
        <f>IF(M$14=1,'Inputs (2)'!M35,L47*(1+Inputs!M$278))</f>
        <v>0</v>
      </c>
      <c r="N47" s="77">
        <f>M47</f>
        <v>0</v>
      </c>
      <c r="O47" s="57">
        <f>IF(O$14=1,'Inputs (2)'!O35,M47*(1+Inputs!O$278))</f>
        <v>0</v>
      </c>
      <c r="P47" s="57">
        <f>IF(P$14=1,'Inputs (2)'!P35,O47*(1+Inputs!P$278))</f>
        <v>0</v>
      </c>
      <c r="Q47" s="57">
        <f>IF(Q$14=1,'Inputs (2)'!Q35,P47*(1+Inputs!Q$278))</f>
        <v>0</v>
      </c>
      <c r="R47" s="57">
        <f>IF(R$14=1,'Inputs (2)'!R35,Q47*(1+Inputs!R$278))</f>
        <v>0</v>
      </c>
      <c r="S47" s="77">
        <f>R47</f>
        <v>0</v>
      </c>
      <c r="T47" s="57">
        <f>IF(T$14=1,'Inputs (2)'!T35,R47*(1+Inputs!T$278))</f>
        <v>0</v>
      </c>
      <c r="U47" s="57">
        <f>IF(U$14=1,'Inputs (2)'!U35,T47*(1+Inputs!U$278))</f>
        <v>0</v>
      </c>
      <c r="V47" s="57">
        <f>IF(V$14=1,'Inputs (2)'!V35,U47*(1+Inputs!V$278))</f>
        <v>0</v>
      </c>
      <c r="W47" s="57">
        <f>IF(W$14=1,'Inputs (2)'!W35,V47*(1+Inputs!W$278))</f>
        <v>0</v>
      </c>
      <c r="X47" s="77">
        <f>W47</f>
        <v>0</v>
      </c>
      <c r="Y47" s="57">
        <f>IF(Y$14=1,'Inputs (2)'!Y35,W47*(1+Inputs!Y$278))</f>
        <v>0</v>
      </c>
      <c r="Z47" s="57">
        <f>IF(Z$14=1,'Inputs (2)'!Z35,Y47*(1+Inputs!Z$278))</f>
        <v>0</v>
      </c>
      <c r="AA47" s="57">
        <f>IF(AA$14=1,'Inputs (2)'!AA35,Z47*(1+Inputs!AA$278))</f>
        <v>0</v>
      </c>
      <c r="AB47" s="57">
        <f>IF(AB$14=1,'Inputs (2)'!AB35,AA47*(1+Inputs!AB$278))</f>
        <v>0</v>
      </c>
      <c r="AC47" s="77">
        <f>AB47</f>
        <v>0</v>
      </c>
      <c r="AD47" s="57">
        <f>IF(AD$14=1,'Inputs (2)'!AD35,AB47*(1+Inputs!AD$278))</f>
        <v>0</v>
      </c>
      <c r="AE47" s="57">
        <f>IF(AE$14=1,'Inputs (2)'!AE35,AD47*(1+Inputs!AE$278))</f>
        <v>0</v>
      </c>
      <c r="AF47" s="57">
        <f>IF(AF$14=1,'Inputs (2)'!AF35,AE47*(1+Inputs!AF$278))</f>
        <v>0</v>
      </c>
      <c r="AG47" s="57">
        <f>IF(AG$14=1,'Inputs (2)'!AG35,AF47*(1+Inputs!AG$278))</f>
        <v>0</v>
      </c>
      <c r="AH47" s="77">
        <f>AG47</f>
        <v>0</v>
      </c>
      <c r="AI47" s="57">
        <f>IF(AI$14=1,'Inputs (2)'!AI35,AG47*(1+Inputs!AI$278))</f>
        <v>0</v>
      </c>
      <c r="AJ47" s="57">
        <f>IF(AJ$14=1,'Inputs (2)'!AJ35,AI47*(1+Inputs!AJ$278))</f>
        <v>0</v>
      </c>
      <c r="AK47" s="57">
        <f>IF(AK$14=1,'Inputs (2)'!AK35,AJ47*(1+Inputs!AK$278))</f>
        <v>0</v>
      </c>
      <c r="AL47" s="57">
        <f>IF(AL$14=1,'Inputs (2)'!AL35,AK47*(1+Inputs!AL$278))</f>
        <v>0</v>
      </c>
      <c r="AM47" s="77">
        <f>AL47</f>
        <v>0</v>
      </c>
      <c r="AN47" s="57">
        <f>IF(AN$14=1,'Inputs (2)'!AN35,AL47*(1+Inputs!AN$278))</f>
        <v>0</v>
      </c>
      <c r="AO47" s="57">
        <f>IF(AO$14=1,'Inputs (2)'!AO35,AN47*(1+Inputs!AO$278))</f>
        <v>0</v>
      </c>
      <c r="AP47" s="57">
        <f>IF(AP$14=1,'Inputs (2)'!AP35,AO47*(1+Inputs!AP$278))</f>
        <v>0</v>
      </c>
      <c r="AQ47" s="57">
        <f>IF(AQ$14=1,'Inputs (2)'!AQ35,AP47*(1+Inputs!AQ$278))</f>
        <v>0</v>
      </c>
      <c r="AR47" s="77">
        <f>AQ47</f>
        <v>0</v>
      </c>
      <c r="AS47" s="57">
        <f>IF(AS$14=1,'Inputs (2)'!AS35,AQ47*(1+Inputs!AS$278))</f>
        <v>0</v>
      </c>
      <c r="AT47" s="57">
        <f>IF(AT$14=1,'Inputs (2)'!AT35,AS47*(1+Inputs!AT$278))</f>
        <v>0</v>
      </c>
      <c r="AU47" s="57">
        <f>IF(AU$14=1,'Inputs (2)'!AU35,AT47*(1+Inputs!AU$278))</f>
        <v>0</v>
      </c>
      <c r="AV47" s="57">
        <f>IF(AV$14=1,'Inputs (2)'!AV35,AU47*(1+Inputs!AV$278))</f>
        <v>0</v>
      </c>
      <c r="AW47" s="77">
        <f>AV47</f>
        <v>0</v>
      </c>
      <c r="AX47" s="57">
        <f>IF(AX$14=1,'Inputs (2)'!AX35,AV47*(1+Inputs!AX$278))</f>
        <v>0</v>
      </c>
      <c r="AY47" s="57">
        <f>IF(AY$14=1,'Inputs (2)'!AY35,AX47*(1+Inputs!AY$278))</f>
        <v>0</v>
      </c>
      <c r="AZ47" s="57">
        <f>IF(AZ$14=1,'Inputs (2)'!AZ35,AY47*(1+Inputs!AZ$278))</f>
        <v>0</v>
      </c>
      <c r="BA47" s="57">
        <f>IF(BA$14=1,'Inputs (2)'!BA35,AZ47*(1+Inputs!BA$278))</f>
        <v>0</v>
      </c>
      <c r="BB47" s="77">
        <f>BA47</f>
        <v>0</v>
      </c>
      <c r="BC47" s="57">
        <f>IF(BC$14=1,'Inputs (2)'!BC35,BA47*(1+Inputs!BC$278))</f>
        <v>0</v>
      </c>
      <c r="BD47" s="57">
        <f>IF(BD$14=1,'Inputs (2)'!BD35,BC47*(1+Inputs!BD$278))</f>
        <v>0</v>
      </c>
      <c r="BE47" s="57">
        <f>IF(BE$14=1,'Inputs (2)'!BE35,BD47*(1+Inputs!BE$278))</f>
        <v>0</v>
      </c>
      <c r="BF47" s="57">
        <f>IF(BF$14=1,'Inputs (2)'!BF35,BE47*(1+Inputs!BF$278))</f>
        <v>0</v>
      </c>
      <c r="BG47" s="77">
        <f>BF47</f>
        <v>0</v>
      </c>
    </row>
    <row r="48" hidden="1" outlineLevel="1">
      <c r="C48" s="61" t="inlineStr">
        <is>
          <t>Depósitos a prazo</t>
        </is>
      </c>
      <c r="D48" s="62" t="inlineStr">
        <is>
          <t>Time deposits</t>
        </is>
      </c>
      <c r="E48" s="57">
        <f>'Inputs (2)'!E36</f>
        <v>0</v>
      </c>
      <c r="F48" s="57">
        <f>IF(F$14=1,'Inputs (2)'!F36,E48*(1+Inputs!F$278))</f>
        <v>0</v>
      </c>
      <c r="G48" s="57">
        <f>IF(G$14=1,'Inputs (2)'!G36,F48*(1+Inputs!G$278))</f>
        <v>0</v>
      </c>
      <c r="H48" s="57">
        <f>IF(H$14=1,'Inputs (2)'!H36,G48*(1+Inputs!H$278))</f>
        <v>0</v>
      </c>
      <c r="I48" s="77">
        <f>H48</f>
        <v>0</v>
      </c>
      <c r="J48" s="57">
        <f>IF(J$14=1,'Inputs (2)'!J36,H48*(1+Inputs!J$278))</f>
        <v>0</v>
      </c>
      <c r="K48" s="57">
        <f>IF(K$14=1,'Inputs (2)'!K36,J48*(1+Inputs!K$278))</f>
        <v>0</v>
      </c>
      <c r="L48" s="57">
        <f>IF(L$14=1,'Inputs (2)'!L36,K48*(1+Inputs!L$278))</f>
        <v>0</v>
      </c>
      <c r="M48" s="57">
        <f>IF(M$14=1,'Inputs (2)'!M36,L48*(1+Inputs!M$278))</f>
        <v>0</v>
      </c>
      <c r="N48" s="77">
        <f>M48</f>
        <v>0</v>
      </c>
      <c r="O48" s="57">
        <f>IF(O$14=1,'Inputs (2)'!O36,M48*(1+Inputs!O$278))</f>
        <v>0</v>
      </c>
      <c r="P48" s="57">
        <f>IF(P$14=1,'Inputs (2)'!P36,O48*(1+Inputs!P$278))</f>
        <v>0</v>
      </c>
      <c r="Q48" s="57">
        <f>IF(Q$14=1,'Inputs (2)'!Q36,P48*(1+Inputs!Q$278))</f>
        <v>0</v>
      </c>
      <c r="R48" s="57">
        <f>IF(R$14=1,'Inputs (2)'!R36,Q48*(1+Inputs!R$278))</f>
        <v>0</v>
      </c>
      <c r="S48" s="77">
        <f>R48</f>
        <v>0</v>
      </c>
      <c r="T48" s="57">
        <f>IF(T$14=1,'Inputs (2)'!T36,R48*(1+Inputs!T$278))</f>
        <v>0</v>
      </c>
      <c r="U48" s="57">
        <f>IF(U$14=1,'Inputs (2)'!U36,T48*(1+Inputs!U$278))</f>
        <v>0</v>
      </c>
      <c r="V48" s="57">
        <f>IF(V$14=1,'Inputs (2)'!V36,U48*(1+Inputs!V$278))</f>
        <v>0</v>
      </c>
      <c r="W48" s="57">
        <f>IF(W$14=1,'Inputs (2)'!W36,V48*(1+Inputs!W$278))</f>
        <v>0</v>
      </c>
      <c r="X48" s="77">
        <f>W48</f>
        <v>0</v>
      </c>
      <c r="Y48" s="57">
        <f>IF(Y$14=1,'Inputs (2)'!Y36,W48*(1+Inputs!Y$278))</f>
        <v>0</v>
      </c>
      <c r="Z48" s="57">
        <f>IF(Z$14=1,'Inputs (2)'!Z36,Y48*(1+Inputs!Z$278))</f>
        <v>0</v>
      </c>
      <c r="AA48" s="57">
        <f>IF(AA$14=1,'Inputs (2)'!AA36,Z48*(1+Inputs!AA$278))</f>
        <v>0</v>
      </c>
      <c r="AB48" s="57">
        <f>IF(AB$14=1,'Inputs (2)'!AB36,AA48*(1+Inputs!AB$278))</f>
        <v>0</v>
      </c>
      <c r="AC48" s="77">
        <f>AB48</f>
        <v>0</v>
      </c>
      <c r="AD48" s="57">
        <f>IF(AD$14=1,'Inputs (2)'!AD36,AB48*(1+Inputs!AD$278))</f>
        <v>0</v>
      </c>
      <c r="AE48" s="57">
        <f>IF(AE$14=1,'Inputs (2)'!AE36,AD48*(1+Inputs!AE$278))</f>
        <v>0</v>
      </c>
      <c r="AF48" s="57">
        <f>IF(AF$14=1,'Inputs (2)'!AF36,AE48*(1+Inputs!AF$278))</f>
        <v>0</v>
      </c>
      <c r="AG48" s="57">
        <f>IF(AG$14=1,'Inputs (2)'!AG36,AF48*(1+Inputs!AG$278))</f>
        <v>0</v>
      </c>
      <c r="AH48" s="77">
        <f>AG48</f>
        <v>0</v>
      </c>
      <c r="AI48" s="57">
        <f>IF(AI$14=1,'Inputs (2)'!AI36,AG48*(1+Inputs!AI$278))</f>
        <v>0</v>
      </c>
      <c r="AJ48" s="57">
        <f>IF(AJ$14=1,'Inputs (2)'!AJ36,AI48*(1+Inputs!AJ$278))</f>
        <v>0</v>
      </c>
      <c r="AK48" s="57">
        <f>IF(AK$14=1,'Inputs (2)'!AK36,AJ48*(1+Inputs!AK$278))</f>
        <v>0</v>
      </c>
      <c r="AL48" s="57">
        <f>IF(AL$14=1,'Inputs (2)'!AL36,AK48*(1+Inputs!AL$278))</f>
        <v>0</v>
      </c>
      <c r="AM48" s="77">
        <f>AL48</f>
        <v>0</v>
      </c>
      <c r="AN48" s="57">
        <f>IF(AN$14=1,'Inputs (2)'!AN36,AL48*(1+Inputs!AN$278))</f>
        <v>0</v>
      </c>
      <c r="AO48" s="57">
        <f>IF(AO$14=1,'Inputs (2)'!AO36,AN48*(1+Inputs!AO$278))</f>
        <v>0</v>
      </c>
      <c r="AP48" s="57">
        <f>IF(AP$14=1,'Inputs (2)'!AP36,AO48*(1+Inputs!AP$278))</f>
        <v>0</v>
      </c>
      <c r="AQ48" s="57">
        <f>IF(AQ$14=1,'Inputs (2)'!AQ36,AP48*(1+Inputs!AQ$278))</f>
        <v>0</v>
      </c>
      <c r="AR48" s="77">
        <f>AQ48</f>
        <v>0</v>
      </c>
      <c r="AS48" s="57">
        <f>IF(AS$14=1,'Inputs (2)'!AS36,AQ48*(1+Inputs!AS$278))</f>
        <v>0</v>
      </c>
      <c r="AT48" s="57">
        <f>IF(AT$14=1,'Inputs (2)'!AT36,AS48*(1+Inputs!AT$278))</f>
        <v>0</v>
      </c>
      <c r="AU48" s="57">
        <f>IF(AU$14=1,'Inputs (2)'!AU36,AT48*(1+Inputs!AU$278))</f>
        <v>0</v>
      </c>
      <c r="AV48" s="57">
        <f>IF(AV$14=1,'Inputs (2)'!AV36,AU48*(1+Inputs!AV$278))</f>
        <v>0</v>
      </c>
      <c r="AW48" s="77">
        <f>AV48</f>
        <v>0</v>
      </c>
      <c r="AX48" s="57">
        <f>IF(AX$14=1,'Inputs (2)'!AX36,AV48*(1+Inputs!AX$278))</f>
        <v>0</v>
      </c>
      <c r="AY48" s="57">
        <f>IF(AY$14=1,'Inputs (2)'!AY36,AX48*(1+Inputs!AY$278))</f>
        <v>0</v>
      </c>
      <c r="AZ48" s="57">
        <f>IF(AZ$14=1,'Inputs (2)'!AZ36,AY48*(1+Inputs!AZ$278))</f>
        <v>0</v>
      </c>
      <c r="BA48" s="57">
        <f>IF(BA$14=1,'Inputs (2)'!BA36,AZ48*(1+Inputs!BA$278))</f>
        <v>0</v>
      </c>
      <c r="BB48" s="77">
        <f>BA48</f>
        <v>0</v>
      </c>
      <c r="BC48" s="57">
        <f>IF(BC$14=1,'Inputs (2)'!BC36,BA48*(1+Inputs!BC$278))</f>
        <v>0</v>
      </c>
      <c r="BD48" s="57">
        <f>IF(BD$14=1,'Inputs (2)'!BD36,BC48*(1+Inputs!BD$278))</f>
        <v>0</v>
      </c>
      <c r="BE48" s="57">
        <f>IF(BE$14=1,'Inputs (2)'!BE36,BD48*(1+Inputs!BE$278))</f>
        <v>0</v>
      </c>
      <c r="BF48" s="57">
        <f>IF(BF$14=1,'Inputs (2)'!BF36,BE48*(1+Inputs!BF$278))</f>
        <v>0</v>
      </c>
      <c r="BG48" s="77">
        <f>BF48</f>
        <v>0</v>
      </c>
    </row>
    <row r="49" hidden="1" outlineLevel="1">
      <c r="C49" s="61" t="inlineStr">
        <is>
          <t>Outros depósitos</t>
        </is>
      </c>
      <c r="D49" s="62" t="inlineStr">
        <is>
          <t>Other deposits</t>
        </is>
      </c>
      <c r="E49" s="57">
        <f>'Inputs (2)'!E37</f>
        <v>0</v>
      </c>
      <c r="F49" s="57">
        <f>IF(F$14=1,'Inputs (2)'!F37,E49*(1+Inputs!F$278))</f>
        <v>0</v>
      </c>
      <c r="G49" s="57">
        <f>IF(G$14=1,'Inputs (2)'!G37,F49*(1+Inputs!G$278))</f>
        <v>0</v>
      </c>
      <c r="H49" s="57">
        <f>IF(H$14=1,'Inputs (2)'!H37,G49*(1+Inputs!H$278))</f>
        <v>0</v>
      </c>
      <c r="I49" s="77">
        <f>H49</f>
        <v>0</v>
      </c>
      <c r="J49" s="57">
        <f>IF(J$14=1,'Inputs (2)'!J37,H49*(1+Inputs!J$278))</f>
        <v>0</v>
      </c>
      <c r="K49" s="57">
        <f>IF(K$14=1,'Inputs (2)'!K37,J49*(1+Inputs!K$278))</f>
        <v>0</v>
      </c>
      <c r="L49" s="57">
        <f>IF(L$14=1,'Inputs (2)'!L37,K49*(1+Inputs!L$278))</f>
        <v>0</v>
      </c>
      <c r="M49" s="57">
        <f>IF(M$14=1,'Inputs (2)'!M37,L49*(1+Inputs!M$278))</f>
        <v>0</v>
      </c>
      <c r="N49" s="77">
        <f>M49</f>
        <v>0</v>
      </c>
      <c r="O49" s="57">
        <f>IF(O$14=1,'Inputs (2)'!O37,M49*(1+Inputs!O$278))</f>
        <v>0</v>
      </c>
      <c r="P49" s="57">
        <f>IF(P$14=1,'Inputs (2)'!P37,O49*(1+Inputs!P$278))</f>
        <v>0</v>
      </c>
      <c r="Q49" s="57">
        <f>IF(Q$14=1,'Inputs (2)'!Q37,P49*(1+Inputs!Q$278))</f>
        <v>0</v>
      </c>
      <c r="R49" s="57">
        <f>IF(R$14=1,'Inputs (2)'!R37,Q49*(1+Inputs!R$278))</f>
        <v>0</v>
      </c>
      <c r="S49" s="77">
        <f>R49</f>
        <v>0</v>
      </c>
      <c r="T49" s="57">
        <f>IF(T$14=1,'Inputs (2)'!T37,R49*(1+Inputs!T$278))</f>
        <v>0</v>
      </c>
      <c r="U49" s="57">
        <f>IF(U$14=1,'Inputs (2)'!U37,T49*(1+Inputs!U$278))</f>
        <v>0</v>
      </c>
      <c r="V49" s="57">
        <f>IF(V$14=1,'Inputs (2)'!V37,U49*(1+Inputs!V$278))</f>
        <v>0</v>
      </c>
      <c r="W49" s="57">
        <f>IF(W$14=1,'Inputs (2)'!W37,V49*(1+Inputs!W$278))</f>
        <v>0</v>
      </c>
      <c r="X49" s="77">
        <f>W49</f>
        <v>0</v>
      </c>
      <c r="Y49" s="57">
        <f>IF(Y$14=1,'Inputs (2)'!Y37,W49*(1+Inputs!Y$278))</f>
        <v>0</v>
      </c>
      <c r="Z49" s="57">
        <f>IF(Z$14=1,'Inputs (2)'!Z37,Y49*(1+Inputs!Z$278))</f>
        <v>0</v>
      </c>
      <c r="AA49" s="57">
        <f>IF(AA$14=1,'Inputs (2)'!AA37,Z49*(1+Inputs!AA$278))</f>
        <v>0</v>
      </c>
      <c r="AB49" s="57">
        <f>IF(AB$14=1,'Inputs (2)'!AB37,AA49*(1+Inputs!AB$278))</f>
        <v>0</v>
      </c>
      <c r="AC49" s="77">
        <f>AB49</f>
        <v>0</v>
      </c>
      <c r="AD49" s="57">
        <f>IF(AD$14=1,'Inputs (2)'!AD37,AB49*(1+Inputs!AD$278))</f>
        <v>0</v>
      </c>
      <c r="AE49" s="57">
        <f>IF(AE$14=1,'Inputs (2)'!AE37,AD49*(1+Inputs!AE$278))</f>
        <v>0</v>
      </c>
      <c r="AF49" s="57">
        <f>IF(AF$14=1,'Inputs (2)'!AF37,AE49*(1+Inputs!AF$278))</f>
        <v>0</v>
      </c>
      <c r="AG49" s="57">
        <f>IF(AG$14=1,'Inputs (2)'!AG37,AF49*(1+Inputs!AG$278))</f>
        <v>0</v>
      </c>
      <c r="AH49" s="77">
        <f>AG49</f>
        <v>0</v>
      </c>
      <c r="AI49" s="57">
        <f>IF(AI$14=1,'Inputs (2)'!AI37,AG49*(1+Inputs!AI$278))</f>
        <v>0</v>
      </c>
      <c r="AJ49" s="57">
        <f>IF(AJ$14=1,'Inputs (2)'!AJ37,AI49*(1+Inputs!AJ$278))</f>
        <v>0</v>
      </c>
      <c r="AK49" s="57">
        <f>IF(AK$14=1,'Inputs (2)'!AK37,AJ49*(1+Inputs!AK$278))</f>
        <v>0</v>
      </c>
      <c r="AL49" s="57">
        <f>IF(AL$14=1,'Inputs (2)'!AL37,AK49*(1+Inputs!AL$278))</f>
        <v>0</v>
      </c>
      <c r="AM49" s="77">
        <f>AL49</f>
        <v>0</v>
      </c>
      <c r="AN49" s="57">
        <f>IF(AN$14=1,'Inputs (2)'!AN37,AL49*(1+Inputs!AN$278))</f>
        <v>0</v>
      </c>
      <c r="AO49" s="57">
        <f>IF(AO$14=1,'Inputs (2)'!AO37,AN49*(1+Inputs!AO$278))</f>
        <v>0</v>
      </c>
      <c r="AP49" s="57">
        <f>IF(AP$14=1,'Inputs (2)'!AP37,AO49*(1+Inputs!AP$278))</f>
        <v>0</v>
      </c>
      <c r="AQ49" s="57">
        <f>IF(AQ$14=1,'Inputs (2)'!AQ37,AP49*(1+Inputs!AQ$278))</f>
        <v>0</v>
      </c>
      <c r="AR49" s="77">
        <f>AQ49</f>
        <v>0</v>
      </c>
      <c r="AS49" s="57">
        <f>IF(AS$14=1,'Inputs (2)'!AS37,AQ49*(1+Inputs!AS$278))</f>
        <v>0</v>
      </c>
      <c r="AT49" s="57">
        <f>IF(AT$14=1,'Inputs (2)'!AT37,AS49*(1+Inputs!AT$278))</f>
        <v>0</v>
      </c>
      <c r="AU49" s="57">
        <f>IF(AU$14=1,'Inputs (2)'!AU37,AT49*(1+Inputs!AU$278))</f>
        <v>0</v>
      </c>
      <c r="AV49" s="57">
        <f>IF(AV$14=1,'Inputs (2)'!AV37,AU49*(1+Inputs!AV$278))</f>
        <v>0</v>
      </c>
      <c r="AW49" s="77">
        <f>AV49</f>
        <v>0</v>
      </c>
      <c r="AX49" s="57">
        <f>IF(AX$14=1,'Inputs (2)'!AX37,AV49*(1+Inputs!AX$278))</f>
        <v>0</v>
      </c>
      <c r="AY49" s="57">
        <f>IF(AY$14=1,'Inputs (2)'!AY37,AX49*(1+Inputs!AY$278))</f>
        <v>0</v>
      </c>
      <c r="AZ49" s="57">
        <f>IF(AZ$14=1,'Inputs (2)'!AZ37,AY49*(1+Inputs!AZ$278))</f>
        <v>0</v>
      </c>
      <c r="BA49" s="57">
        <f>IF(BA$14=1,'Inputs (2)'!BA37,AZ49*(1+Inputs!BA$278))</f>
        <v>0</v>
      </c>
      <c r="BB49" s="77">
        <f>BA49</f>
        <v>0</v>
      </c>
      <c r="BC49" s="57">
        <f>IF(BC$14=1,'Inputs (2)'!BC37,BA49*(1+Inputs!BC$278))</f>
        <v>0</v>
      </c>
      <c r="BD49" s="57">
        <f>IF(BD$14=1,'Inputs (2)'!BD37,BC49*(1+Inputs!BD$278))</f>
        <v>0</v>
      </c>
      <c r="BE49" s="57">
        <f>IF(BE$14=1,'Inputs (2)'!BE37,BD49*(1+Inputs!BE$278))</f>
        <v>0</v>
      </c>
      <c r="BF49" s="57">
        <f>IF(BF$14=1,'Inputs (2)'!BF37,BE49*(1+Inputs!BF$278))</f>
        <v>0</v>
      </c>
      <c r="BG49" s="77">
        <f>BF49</f>
        <v>0</v>
      </c>
    </row>
    <row r="50" collapsed="1">
      <c r="C50" s="83" t="inlineStr">
        <is>
          <t>Compromissadas e captações de curto prazo</t>
        </is>
      </c>
      <c r="D50" s="84" t="inlineStr">
        <is>
          <t>Repos and short-term funding</t>
        </is>
      </c>
      <c r="E50" s="85">
        <f>E51+E52+E53</f>
        <v>0</v>
      </c>
      <c r="F50" s="85">
        <f>F51+F52+F53</f>
        <v>0</v>
      </c>
      <c r="G50" s="85">
        <f>G51+G52+G53</f>
        <v>0</v>
      </c>
      <c r="H50" s="85">
        <f>H51+H52+H53</f>
        <v>0</v>
      </c>
      <c r="I50" s="60">
        <f>H50</f>
        <v>0</v>
      </c>
      <c r="J50" s="85">
        <f>J51+J52+J53</f>
        <v>0</v>
      </c>
      <c r="K50" s="85">
        <f>K51+K52+K53</f>
        <v>0</v>
      </c>
      <c r="L50" s="85">
        <f>L51+L52+L53</f>
        <v>0</v>
      </c>
      <c r="M50" s="85">
        <f>M51+M52+M53</f>
        <v>0</v>
      </c>
      <c r="N50" s="60">
        <f>M50</f>
        <v>0</v>
      </c>
      <c r="O50" s="85">
        <f>O51+O52+O53</f>
        <v>0</v>
      </c>
      <c r="P50" s="85">
        <f>P51+P52+P53</f>
        <v>0</v>
      </c>
      <c r="Q50" s="85">
        <f>Q51+Q52+Q53</f>
        <v>0</v>
      </c>
      <c r="R50" s="85">
        <f>R51+R52+R53</f>
        <v>0</v>
      </c>
      <c r="S50" s="60">
        <f>R50</f>
        <v>0</v>
      </c>
      <c r="T50" s="85">
        <f>T51+T52+T53</f>
        <v>0</v>
      </c>
      <c r="U50" s="85">
        <f>U51+U52+U53</f>
        <v>0</v>
      </c>
      <c r="V50" s="85">
        <f>V51+V52+V53</f>
        <v>0</v>
      </c>
      <c r="W50" s="85">
        <f>W51+W52+W53</f>
        <v>0</v>
      </c>
      <c r="X50" s="60">
        <f>W50</f>
        <v>0</v>
      </c>
      <c r="Y50" s="85">
        <f>Y51+Y52+Y53</f>
        <v>0</v>
      </c>
      <c r="Z50" s="85">
        <f>Z51+Z52+Z53</f>
        <v>0</v>
      </c>
      <c r="AA50" s="85">
        <f>AA51+AA52+AA53</f>
        <v>0</v>
      </c>
      <c r="AB50" s="85">
        <f>AB51+AB52+AB53</f>
        <v>0</v>
      </c>
      <c r="AC50" s="60">
        <f>AB50</f>
        <v>0</v>
      </c>
      <c r="AD50" s="85">
        <f>AD51+AD52+AD53</f>
        <v>0</v>
      </c>
      <c r="AE50" s="85">
        <f>AE51+AE52+AE53</f>
        <v>0</v>
      </c>
      <c r="AF50" s="85">
        <f>AF51+AF52+AF53</f>
        <v>0</v>
      </c>
      <c r="AG50" s="85">
        <f>AG51+AG52+AG53</f>
        <v>0</v>
      </c>
      <c r="AH50" s="60">
        <f>AG50</f>
        <v>0</v>
      </c>
      <c r="AI50" s="85">
        <f>AI51+AI52+AI53</f>
        <v>0</v>
      </c>
      <c r="AJ50" s="85">
        <f>AJ51+AJ52+AJ53</f>
        <v>0</v>
      </c>
      <c r="AK50" s="85">
        <f>AK51+AK52+AK53</f>
        <v>0</v>
      </c>
      <c r="AL50" s="85">
        <f>AL51+AL52+AL53</f>
        <v>0</v>
      </c>
      <c r="AM50" s="60">
        <f>AL50</f>
        <v>0</v>
      </c>
      <c r="AN50" s="85">
        <f>AN51+AN52+AN53</f>
        <v>0</v>
      </c>
      <c r="AO50" s="85">
        <f>AO51+AO52+AO53</f>
        <v>0</v>
      </c>
      <c r="AP50" s="85">
        <f>AP51+AP52+AP53</f>
        <v>0</v>
      </c>
      <c r="AQ50" s="85">
        <f>AQ51+AQ52+AQ53</f>
        <v>0</v>
      </c>
      <c r="AR50" s="60">
        <f>AQ50</f>
        <v>0</v>
      </c>
      <c r="AS50" s="85">
        <f>AS51+AS52+AS53</f>
        <v>0</v>
      </c>
      <c r="AT50" s="85">
        <f>AT51+AT52+AT53</f>
        <v>0</v>
      </c>
      <c r="AU50" s="85">
        <f>AU51+AU52+AU53</f>
        <v>0</v>
      </c>
      <c r="AV50" s="85">
        <f>AV51+AV52+AV53</f>
        <v>0</v>
      </c>
      <c r="AW50" s="60">
        <f>AV50</f>
        <v>0</v>
      </c>
      <c r="AX50" s="85">
        <f>AX51+AX52+AX53</f>
        <v>0</v>
      </c>
      <c r="AY50" s="85">
        <f>AY51+AY52+AY53</f>
        <v>0</v>
      </c>
      <c r="AZ50" s="85">
        <f>AZ51+AZ52+AZ53</f>
        <v>0</v>
      </c>
      <c r="BA50" s="85">
        <f>BA51+BA52+BA53</f>
        <v>0</v>
      </c>
      <c r="BB50" s="60">
        <f>BA50</f>
        <v>0</v>
      </c>
      <c r="BC50" s="85">
        <f>BC51+BC52+BC53</f>
        <v>0</v>
      </c>
      <c r="BD50" s="85">
        <f>BD51+BD52+BD53</f>
        <v>0</v>
      </c>
      <c r="BE50" s="85">
        <f>BE51+BE52+BE53</f>
        <v>0</v>
      </c>
      <c r="BF50" s="85">
        <f>BF51+BF52+BF53</f>
        <v>0</v>
      </c>
      <c r="BG50" s="60">
        <f>BF50</f>
        <v>0</v>
      </c>
    </row>
    <row r="51" hidden="1" outlineLevel="1">
      <c r="C51" s="61" t="inlineStr">
        <is>
          <t>Fed funds comprados e compromissadas (repos)  ← PLUG DE FUNDING</t>
        </is>
      </c>
      <c r="D51" s="62" t="inlineStr">
        <is>
          <t>Repos (funding plug)</t>
        </is>
      </c>
      <c r="E51" s="57">
        <f>IF(E$14=1,'Inputs (2)'!E39,E42-E79-(E44+E52+E53+E54+E59+E62+E63+E64+E65+E66+E67+E68))</f>
        <v>0</v>
      </c>
      <c r="F51" s="57">
        <f>IF(F$14=1,'Inputs (2)'!F39,F42-F79-(F44+F52+F53+F54+F59+F62+F63+F64+F65+F66+F67+F68))</f>
        <v>0</v>
      </c>
      <c r="G51" s="57">
        <f>IF(G$14=1,'Inputs (2)'!G39,G42-G79-(G44+G52+G53+G54+G59+G62+G63+G64+G65+G66+G67+G68))</f>
        <v>0</v>
      </c>
      <c r="H51" s="57">
        <f>IF(H$14=1,'Inputs (2)'!H39,H42-H79-(H44+H52+H53+H54+H59+H62+H63+H64+H65+H66+H67+H68))</f>
        <v>0</v>
      </c>
      <c r="I51" s="77">
        <f>H51</f>
        <v>0</v>
      </c>
      <c r="J51" s="57">
        <f>IF(J$14=1,'Inputs (2)'!J39,J42-J79-(J44+J52+J53+J54+J59+J62+J63+J64+J65+J66+J67+J68))</f>
        <v>0</v>
      </c>
      <c r="K51" s="57">
        <f>IF(K$14=1,'Inputs (2)'!K39,K42-K79-(K44+K52+K53+K54+K59+K62+K63+K64+K65+K66+K67+K68))</f>
        <v>0</v>
      </c>
      <c r="L51" s="57">
        <f>IF(L$14=1,'Inputs (2)'!L39,L42-L79-(L44+L52+L53+L54+L59+L62+L63+L64+L65+L66+L67+L68))</f>
        <v>0</v>
      </c>
      <c r="M51" s="57">
        <f>IF(M$14=1,'Inputs (2)'!M39,M42-M79-(M44+M52+M53+M54+M59+M62+M63+M64+M65+M66+M67+M68))</f>
        <v>0</v>
      </c>
      <c r="N51" s="77">
        <f>M51</f>
        <v>0</v>
      </c>
      <c r="O51" s="57">
        <f>IF(O$14=1,'Inputs (2)'!O39,O42-O79-(O44+O52+O53+O54+O59+O62+O63+O64+O65+O66+O67+O68))</f>
        <v>0</v>
      </c>
      <c r="P51" s="57">
        <f>IF(P$14=1,'Inputs (2)'!P39,P42-P79-(P44+P52+P53+P54+P59+P62+P63+P64+P65+P66+P67+P68))</f>
        <v>0</v>
      </c>
      <c r="Q51" s="57">
        <f>IF(Q$14=1,'Inputs (2)'!Q39,Q42-Q79-(Q44+Q52+Q53+Q54+Q59+Q62+Q63+Q64+Q65+Q66+Q67+Q68))</f>
        <v>0</v>
      </c>
      <c r="R51" s="57">
        <f>IF(R$14=1,'Inputs (2)'!R39,R42-R79-(R44+R52+R53+R54+R59+R62+R63+R64+R65+R66+R67+R68))</f>
        <v>0</v>
      </c>
      <c r="S51" s="77">
        <f>R51</f>
        <v>0</v>
      </c>
      <c r="T51" s="57">
        <f>IF(T$14=1,'Inputs (2)'!T39,T42-T79-(T44+T52+T53+T54+T59+T62+T63+T64+T65+T66+T67+T68))</f>
        <v>0</v>
      </c>
      <c r="U51" s="57">
        <f>IF(U$14=1,'Inputs (2)'!U39,U42-U79-(U44+U52+U53+U54+U59+U62+U63+U64+U65+U66+U67+U68))</f>
        <v>0</v>
      </c>
      <c r="V51" s="57">
        <f>IF(V$14=1,'Inputs (2)'!V39,V42-V79-(V44+V52+V53+V54+V59+V62+V63+V64+V65+V66+V67+V68))</f>
        <v>0</v>
      </c>
      <c r="W51" s="57">
        <f>IF(W$14=1,'Inputs (2)'!W39,W42-W79-(W44+W52+W53+W54+W59+W62+W63+W64+W65+W66+W67+W68))</f>
        <v>0</v>
      </c>
      <c r="X51" s="77">
        <f>W51</f>
        <v>0</v>
      </c>
      <c r="Y51" s="57">
        <f>IF(Y$14=1,'Inputs (2)'!Y39,Y42-Y79-(Y44+Y52+Y53+Y54+Y59+Y62+Y63+Y64+Y65+Y66+Y67+Y68))</f>
        <v>0</v>
      </c>
      <c r="Z51" s="57">
        <f>IF(Z$14=1,'Inputs (2)'!Z39,Z42-Z79-(Z44+Z52+Z53+Z54+Z59+Z62+Z63+Z64+Z65+Z66+Z67+Z68))</f>
        <v>0</v>
      </c>
      <c r="AA51" s="57">
        <f>IF(AA$14=1,'Inputs (2)'!AA39,AA42-AA79-(AA44+AA52+AA53+AA54+AA59+AA62+AA63+AA64+AA65+AA66+AA67+AA68))</f>
        <v>0</v>
      </c>
      <c r="AB51" s="57">
        <f>IF(AB$14=1,'Inputs (2)'!AB39,AB42-AB79-(AB44+AB52+AB53+AB54+AB59+AB62+AB63+AB64+AB65+AB66+AB67+AB68))</f>
        <v>0</v>
      </c>
      <c r="AC51" s="77">
        <f>AB51</f>
        <v>0</v>
      </c>
      <c r="AD51" s="57">
        <f>IF(AD$14=1,'Inputs (2)'!AD39,AD42-AD79-(AD44+AD52+AD53+AD54+AD59+AD62+AD63+AD64+AD65+AD66+AD67+AD68))</f>
        <v>0</v>
      </c>
      <c r="AE51" s="57">
        <f>IF(AE$14=1,'Inputs (2)'!AE39,AE42-AE79-(AE44+AE52+AE53+AE54+AE59+AE62+AE63+AE64+AE65+AE66+AE67+AE68))</f>
        <v>0</v>
      </c>
      <c r="AF51" s="57">
        <f>IF(AF$14=1,'Inputs (2)'!AF39,AF42-AF79-(AF44+AF52+AF53+AF54+AF59+AF62+AF63+AF64+AF65+AF66+AF67+AF68))</f>
        <v>0</v>
      </c>
      <c r="AG51" s="57">
        <f>IF(AG$14=1,'Inputs (2)'!AG39,AG42-AG79-(AG44+AG52+AG53+AG54+AG59+AG62+AG63+AG64+AG65+AG66+AG67+AG68))</f>
        <v>0</v>
      </c>
      <c r="AH51" s="77">
        <f>AG51</f>
        <v>0</v>
      </c>
      <c r="AI51" s="57">
        <f>IF(AI$14=1,'Inputs (2)'!AI39,AI42-AI79-(AI44+AI52+AI53+AI54+AI59+AI62+AI63+AI64+AI65+AI66+AI67+AI68))</f>
        <v>0</v>
      </c>
      <c r="AJ51" s="57">
        <f>IF(AJ$14=1,'Inputs (2)'!AJ39,AJ42-AJ79-(AJ44+AJ52+AJ53+AJ54+AJ59+AJ62+AJ63+AJ64+AJ65+AJ66+AJ67+AJ68))</f>
        <v>0</v>
      </c>
      <c r="AK51" s="57">
        <f>IF(AK$14=1,'Inputs (2)'!AK39,AK42-AK79-(AK44+AK52+AK53+AK54+AK59+AK62+AK63+AK64+AK65+AK66+AK67+AK68))</f>
        <v>0</v>
      </c>
      <c r="AL51" s="57">
        <f>IF(AL$14=1,'Inputs (2)'!AL39,AL42-AL79-(AL44+AL52+AL53+AL54+AL59+AL62+AL63+AL64+AL65+AL66+AL67+AL68))</f>
        <v>0</v>
      </c>
      <c r="AM51" s="77">
        <f>AL51</f>
        <v>0</v>
      </c>
      <c r="AN51" s="57">
        <f>IF(AN$14=1,'Inputs (2)'!AN39,AN42-AN79-(AN44+AN52+AN53+AN54+AN59+AN62+AN63+AN64+AN65+AN66+AN67+AN68))</f>
        <v>0</v>
      </c>
      <c r="AO51" s="57">
        <f>IF(AO$14=1,'Inputs (2)'!AO39,AO42-AO79-(AO44+AO52+AO53+AO54+AO59+AO62+AO63+AO64+AO65+AO66+AO67+AO68))</f>
        <v>0</v>
      </c>
      <c r="AP51" s="57">
        <f>IF(AP$14=1,'Inputs (2)'!AP39,AP42-AP79-(AP44+AP52+AP53+AP54+AP59+AP62+AP63+AP64+AP65+AP66+AP67+AP68))</f>
        <v>0</v>
      </c>
      <c r="AQ51" s="57">
        <f>IF(AQ$14=1,'Inputs (2)'!AQ39,AQ42-AQ79-(AQ44+AQ52+AQ53+AQ54+AQ59+AQ62+AQ63+AQ64+AQ65+AQ66+AQ67+AQ68))</f>
        <v>0</v>
      </c>
      <c r="AR51" s="77">
        <f>AQ51</f>
        <v>0</v>
      </c>
      <c r="AS51" s="57">
        <f>IF(AS$14=1,'Inputs (2)'!AS39,AS42-AS79-(AS44+AS52+AS53+AS54+AS59+AS62+AS63+AS64+AS65+AS66+AS67+AS68))</f>
        <v>0</v>
      </c>
      <c r="AT51" s="57">
        <f>IF(AT$14=1,'Inputs (2)'!AT39,AT42-AT79-(AT44+AT52+AT53+AT54+AT59+AT62+AT63+AT64+AT65+AT66+AT67+AT68))</f>
        <v>0</v>
      </c>
      <c r="AU51" s="57">
        <f>IF(AU$14=1,'Inputs (2)'!AU39,AU42-AU79-(AU44+AU52+AU53+AU54+AU59+AU62+AU63+AU64+AU65+AU66+AU67+AU68))</f>
        <v>0</v>
      </c>
      <c r="AV51" s="57">
        <f>IF(AV$14=1,'Inputs (2)'!AV39,AV42-AV79-(AV44+AV52+AV53+AV54+AV59+AV62+AV63+AV64+AV65+AV66+AV67+AV68))</f>
        <v>0</v>
      </c>
      <c r="AW51" s="77">
        <f>AV51</f>
        <v>0</v>
      </c>
      <c r="AX51" s="57">
        <f>IF(AX$14=1,'Inputs (2)'!AX39,AX42-AX79-(AX44+AX52+AX53+AX54+AX59+AX62+AX63+AX64+AX65+AX66+AX67+AX68))</f>
        <v>0</v>
      </c>
      <c r="AY51" s="57">
        <f>IF(AY$14=1,'Inputs (2)'!AY39,AY42-AY79-(AY44+AY52+AY53+AY54+AY59+AY62+AY63+AY64+AY65+AY66+AY67+AY68))</f>
        <v>0</v>
      </c>
      <c r="AZ51" s="57">
        <f>IF(AZ$14=1,'Inputs (2)'!AZ39,AZ42-AZ79-(AZ44+AZ52+AZ53+AZ54+AZ59+AZ62+AZ63+AZ64+AZ65+AZ66+AZ67+AZ68))</f>
        <v>0</v>
      </c>
      <c r="BA51" s="57">
        <f>IF(BA$14=1,'Inputs (2)'!BA39,BA42-BA79-(BA44+BA52+BA53+BA54+BA59+BA62+BA63+BA64+BA65+BA66+BA67+BA68))</f>
        <v>0</v>
      </c>
      <c r="BB51" s="77">
        <f>BA51</f>
        <v>0</v>
      </c>
      <c r="BC51" s="57">
        <f>IF(BC$14=1,'Inputs (2)'!BC39,BC42-BC79-(BC44+BC52+BC53+BC54+BC59+BC62+BC63+BC64+BC65+BC66+BC67+BC68))</f>
        <v>0</v>
      </c>
      <c r="BD51" s="57">
        <f>IF(BD$14=1,'Inputs (2)'!BD39,BD42-BD79-(BD44+BD52+BD53+BD54+BD59+BD62+BD63+BD64+BD65+BD66+BD67+BD68))</f>
        <v>0</v>
      </c>
      <c r="BE51" s="57">
        <f>IF(BE$14=1,'Inputs (2)'!BE39,BE42-BE79-(BE44+BE52+BE53+BE54+BE59+BE62+BE63+BE64+BE65+BE66+BE67+BE68))</f>
        <v>0</v>
      </c>
      <c r="BF51" s="57">
        <f>IF(BF$14=1,'Inputs (2)'!BF39,BF42-BF79-(BF44+BF52+BF53+BF54+BF59+BF62+BF63+BF64+BF65+BF66+BF67+BF68))</f>
        <v>0</v>
      </c>
      <c r="BG51" s="77">
        <f>BF51</f>
        <v>0</v>
      </c>
      <c r="BI51" s="14" t="inlineStr">
        <is>
          <t>Linha de fechamento do balanço na projeção: absorve a diferença entre ativo, demais passivos e patrimônio líquido. Se ficar negativa, revise os drivers de funding.</t>
        </is>
      </c>
    </row>
    <row r="52" hidden="1" outlineLevel="1">
      <c r="C52" s="61" t="inlineStr">
        <is>
          <t>Captações de curto prazo</t>
        </is>
      </c>
      <c r="D52" s="62" t="inlineStr">
        <is>
          <t>Short-term borrowings</t>
        </is>
      </c>
      <c r="E52" s="57">
        <f>'Inputs (2)'!E40</f>
        <v>0</v>
      </c>
      <c r="F52" s="57">
        <f>IF(F$14=1,'Inputs (2)'!F40,E52)</f>
        <v>0</v>
      </c>
      <c r="G52" s="57">
        <f>IF(G$14=1,'Inputs (2)'!G40,F52)</f>
        <v>0</v>
      </c>
      <c r="H52" s="57">
        <f>IF(H$14=1,'Inputs (2)'!H40,G52)</f>
        <v>0</v>
      </c>
      <c r="I52" s="77">
        <f>H52</f>
        <v>0</v>
      </c>
      <c r="J52" s="57">
        <f>IF(J$14=1,'Inputs (2)'!J40,H52)</f>
        <v>0</v>
      </c>
      <c r="K52" s="57">
        <f>IF(K$14=1,'Inputs (2)'!K40,J52)</f>
        <v>0</v>
      </c>
      <c r="L52" s="57">
        <f>IF(L$14=1,'Inputs (2)'!L40,K52)</f>
        <v>0</v>
      </c>
      <c r="M52" s="57">
        <f>IF(M$14=1,'Inputs (2)'!M40,L52)</f>
        <v>0</v>
      </c>
      <c r="N52" s="77">
        <f>M52</f>
        <v>0</v>
      </c>
      <c r="O52" s="57">
        <f>IF(O$14=1,'Inputs (2)'!O40,M52)</f>
        <v>0</v>
      </c>
      <c r="P52" s="57">
        <f>IF(P$14=1,'Inputs (2)'!P40,O52)</f>
        <v>0</v>
      </c>
      <c r="Q52" s="57">
        <f>IF(Q$14=1,'Inputs (2)'!Q40,P52)</f>
        <v>0</v>
      </c>
      <c r="R52" s="57">
        <f>IF(R$14=1,'Inputs (2)'!R40,Q52)</f>
        <v>0</v>
      </c>
      <c r="S52" s="77">
        <f>R52</f>
        <v>0</v>
      </c>
      <c r="T52" s="57">
        <f>IF(T$14=1,'Inputs (2)'!T40,R52)</f>
        <v>0</v>
      </c>
      <c r="U52" s="57">
        <f>IF(U$14=1,'Inputs (2)'!U40,T52)</f>
        <v>0</v>
      </c>
      <c r="V52" s="57">
        <f>IF(V$14=1,'Inputs (2)'!V40,U52)</f>
        <v>0</v>
      </c>
      <c r="W52" s="57">
        <f>IF(W$14=1,'Inputs (2)'!W40,V52)</f>
        <v>0</v>
      </c>
      <c r="X52" s="77">
        <f>W52</f>
        <v>0</v>
      </c>
      <c r="Y52" s="57">
        <f>IF(Y$14=1,'Inputs (2)'!Y40,W52)</f>
        <v>0</v>
      </c>
      <c r="Z52" s="57">
        <f>IF(Z$14=1,'Inputs (2)'!Z40,Y52)</f>
        <v>0</v>
      </c>
      <c r="AA52" s="57">
        <f>IF(AA$14=1,'Inputs (2)'!AA40,Z52)</f>
        <v>0</v>
      </c>
      <c r="AB52" s="57">
        <f>IF(AB$14=1,'Inputs (2)'!AB40,AA52)</f>
        <v>0</v>
      </c>
      <c r="AC52" s="77">
        <f>AB52</f>
        <v>0</v>
      </c>
      <c r="AD52" s="57">
        <f>IF(AD$14=1,'Inputs (2)'!AD40,AB52)</f>
        <v>0</v>
      </c>
      <c r="AE52" s="57">
        <f>IF(AE$14=1,'Inputs (2)'!AE40,AD52)</f>
        <v>0</v>
      </c>
      <c r="AF52" s="57">
        <f>IF(AF$14=1,'Inputs (2)'!AF40,AE52)</f>
        <v>0</v>
      </c>
      <c r="AG52" s="57">
        <f>IF(AG$14=1,'Inputs (2)'!AG40,AF52)</f>
        <v>0</v>
      </c>
      <c r="AH52" s="77">
        <f>AG52</f>
        <v>0</v>
      </c>
      <c r="AI52" s="57">
        <f>IF(AI$14=1,'Inputs (2)'!AI40,AG52)</f>
        <v>0</v>
      </c>
      <c r="AJ52" s="57">
        <f>IF(AJ$14=1,'Inputs (2)'!AJ40,AI52)</f>
        <v>0</v>
      </c>
      <c r="AK52" s="57">
        <f>IF(AK$14=1,'Inputs (2)'!AK40,AJ52)</f>
        <v>0</v>
      </c>
      <c r="AL52" s="57">
        <f>IF(AL$14=1,'Inputs (2)'!AL40,AK52)</f>
        <v>0</v>
      </c>
      <c r="AM52" s="77">
        <f>AL52</f>
        <v>0</v>
      </c>
      <c r="AN52" s="57">
        <f>IF(AN$14=1,'Inputs (2)'!AN40,AL52)</f>
        <v>0</v>
      </c>
      <c r="AO52" s="57">
        <f>IF(AO$14=1,'Inputs (2)'!AO40,AN52)</f>
        <v>0</v>
      </c>
      <c r="AP52" s="57">
        <f>IF(AP$14=1,'Inputs (2)'!AP40,AO52)</f>
        <v>0</v>
      </c>
      <c r="AQ52" s="57">
        <f>IF(AQ$14=1,'Inputs (2)'!AQ40,AP52)</f>
        <v>0</v>
      </c>
      <c r="AR52" s="77">
        <f>AQ52</f>
        <v>0</v>
      </c>
      <c r="AS52" s="57">
        <f>IF(AS$14=1,'Inputs (2)'!AS40,AQ52)</f>
        <v>0</v>
      </c>
      <c r="AT52" s="57">
        <f>IF(AT$14=1,'Inputs (2)'!AT40,AS52)</f>
        <v>0</v>
      </c>
      <c r="AU52" s="57">
        <f>IF(AU$14=1,'Inputs (2)'!AU40,AT52)</f>
        <v>0</v>
      </c>
      <c r="AV52" s="57">
        <f>IF(AV$14=1,'Inputs (2)'!AV40,AU52)</f>
        <v>0</v>
      </c>
      <c r="AW52" s="77">
        <f>AV52</f>
        <v>0</v>
      </c>
      <c r="AX52" s="57">
        <f>IF(AX$14=1,'Inputs (2)'!AX40,AV52)</f>
        <v>0</v>
      </c>
      <c r="AY52" s="57">
        <f>IF(AY$14=1,'Inputs (2)'!AY40,AX52)</f>
        <v>0</v>
      </c>
      <c r="AZ52" s="57">
        <f>IF(AZ$14=1,'Inputs (2)'!AZ40,AY52)</f>
        <v>0</v>
      </c>
      <c r="BA52" s="57">
        <f>IF(BA$14=1,'Inputs (2)'!BA40,AZ52)</f>
        <v>0</v>
      </c>
      <c r="BB52" s="77">
        <f>BA52</f>
        <v>0</v>
      </c>
      <c r="BC52" s="57">
        <f>IF(BC$14=1,'Inputs (2)'!BC40,BA52)</f>
        <v>0</v>
      </c>
      <c r="BD52" s="57">
        <f>IF(BD$14=1,'Inputs (2)'!BD40,BC52)</f>
        <v>0</v>
      </c>
      <c r="BE52" s="57">
        <f>IF(BE$14=1,'Inputs (2)'!BE40,BD52)</f>
        <v>0</v>
      </c>
      <c r="BF52" s="57">
        <f>IF(BF$14=1,'Inputs (2)'!BF40,BE52)</f>
        <v>0</v>
      </c>
      <c r="BG52" s="77">
        <f>BF52</f>
        <v>0</v>
      </c>
    </row>
    <row r="53" hidden="1" outlineLevel="1">
      <c r="C53" s="61" t="inlineStr">
        <is>
          <t>Títulos emprestados (securities loaned)</t>
        </is>
      </c>
      <c r="D53" s="62" t="inlineStr">
        <is>
          <t>Securities loaned</t>
        </is>
      </c>
      <c r="E53" s="57">
        <f>'Inputs (2)'!E41</f>
        <v>0</v>
      </c>
      <c r="F53" s="57">
        <f>IF(F$14=1,'Inputs (2)'!F41,E53)</f>
        <v>0</v>
      </c>
      <c r="G53" s="57">
        <f>IF(G$14=1,'Inputs (2)'!G41,F53)</f>
        <v>0</v>
      </c>
      <c r="H53" s="57">
        <f>IF(H$14=1,'Inputs (2)'!H41,G53)</f>
        <v>0</v>
      </c>
      <c r="I53" s="77">
        <f>H53</f>
        <v>0</v>
      </c>
      <c r="J53" s="57">
        <f>IF(J$14=1,'Inputs (2)'!J41,H53)</f>
        <v>0</v>
      </c>
      <c r="K53" s="57">
        <f>IF(K$14=1,'Inputs (2)'!K41,J53)</f>
        <v>0</v>
      </c>
      <c r="L53" s="57">
        <f>IF(L$14=1,'Inputs (2)'!L41,K53)</f>
        <v>0</v>
      </c>
      <c r="M53" s="57">
        <f>IF(M$14=1,'Inputs (2)'!M41,L53)</f>
        <v>0</v>
      </c>
      <c r="N53" s="77">
        <f>M53</f>
        <v>0</v>
      </c>
      <c r="O53" s="57">
        <f>IF(O$14=1,'Inputs (2)'!O41,M53)</f>
        <v>0</v>
      </c>
      <c r="P53" s="57">
        <f>IF(P$14=1,'Inputs (2)'!P41,O53)</f>
        <v>0</v>
      </c>
      <c r="Q53" s="57">
        <f>IF(Q$14=1,'Inputs (2)'!Q41,P53)</f>
        <v>0</v>
      </c>
      <c r="R53" s="57">
        <f>IF(R$14=1,'Inputs (2)'!R41,Q53)</f>
        <v>0</v>
      </c>
      <c r="S53" s="77">
        <f>R53</f>
        <v>0</v>
      </c>
      <c r="T53" s="57">
        <f>IF(T$14=1,'Inputs (2)'!T41,R53)</f>
        <v>0</v>
      </c>
      <c r="U53" s="57">
        <f>IF(U$14=1,'Inputs (2)'!U41,T53)</f>
        <v>0</v>
      </c>
      <c r="V53" s="57">
        <f>IF(V$14=1,'Inputs (2)'!V41,U53)</f>
        <v>0</v>
      </c>
      <c r="W53" s="57">
        <f>IF(W$14=1,'Inputs (2)'!W41,V53)</f>
        <v>0</v>
      </c>
      <c r="X53" s="77">
        <f>W53</f>
        <v>0</v>
      </c>
      <c r="Y53" s="57">
        <f>IF(Y$14=1,'Inputs (2)'!Y41,W53)</f>
        <v>0</v>
      </c>
      <c r="Z53" s="57">
        <f>IF(Z$14=1,'Inputs (2)'!Z41,Y53)</f>
        <v>0</v>
      </c>
      <c r="AA53" s="57">
        <f>IF(AA$14=1,'Inputs (2)'!AA41,Z53)</f>
        <v>0</v>
      </c>
      <c r="AB53" s="57">
        <f>IF(AB$14=1,'Inputs (2)'!AB41,AA53)</f>
        <v>0</v>
      </c>
      <c r="AC53" s="77">
        <f>AB53</f>
        <v>0</v>
      </c>
      <c r="AD53" s="57">
        <f>IF(AD$14=1,'Inputs (2)'!AD41,AB53)</f>
        <v>0</v>
      </c>
      <c r="AE53" s="57">
        <f>IF(AE$14=1,'Inputs (2)'!AE41,AD53)</f>
        <v>0</v>
      </c>
      <c r="AF53" s="57">
        <f>IF(AF$14=1,'Inputs (2)'!AF41,AE53)</f>
        <v>0</v>
      </c>
      <c r="AG53" s="57">
        <f>IF(AG$14=1,'Inputs (2)'!AG41,AF53)</f>
        <v>0</v>
      </c>
      <c r="AH53" s="77">
        <f>AG53</f>
        <v>0</v>
      </c>
      <c r="AI53" s="57">
        <f>IF(AI$14=1,'Inputs (2)'!AI41,AG53)</f>
        <v>0</v>
      </c>
      <c r="AJ53" s="57">
        <f>IF(AJ$14=1,'Inputs (2)'!AJ41,AI53)</f>
        <v>0</v>
      </c>
      <c r="AK53" s="57">
        <f>IF(AK$14=1,'Inputs (2)'!AK41,AJ53)</f>
        <v>0</v>
      </c>
      <c r="AL53" s="57">
        <f>IF(AL$14=1,'Inputs (2)'!AL41,AK53)</f>
        <v>0</v>
      </c>
      <c r="AM53" s="77">
        <f>AL53</f>
        <v>0</v>
      </c>
      <c r="AN53" s="57">
        <f>IF(AN$14=1,'Inputs (2)'!AN41,AL53)</f>
        <v>0</v>
      </c>
      <c r="AO53" s="57">
        <f>IF(AO$14=1,'Inputs (2)'!AO41,AN53)</f>
        <v>0</v>
      </c>
      <c r="AP53" s="57">
        <f>IF(AP$14=1,'Inputs (2)'!AP41,AO53)</f>
        <v>0</v>
      </c>
      <c r="AQ53" s="57">
        <f>IF(AQ$14=1,'Inputs (2)'!AQ41,AP53)</f>
        <v>0</v>
      </c>
      <c r="AR53" s="77">
        <f>AQ53</f>
        <v>0</v>
      </c>
      <c r="AS53" s="57">
        <f>IF(AS$14=1,'Inputs (2)'!AS41,AQ53)</f>
        <v>0</v>
      </c>
      <c r="AT53" s="57">
        <f>IF(AT$14=1,'Inputs (2)'!AT41,AS53)</f>
        <v>0</v>
      </c>
      <c r="AU53" s="57">
        <f>IF(AU$14=1,'Inputs (2)'!AU41,AT53)</f>
        <v>0</v>
      </c>
      <c r="AV53" s="57">
        <f>IF(AV$14=1,'Inputs (2)'!AV41,AU53)</f>
        <v>0</v>
      </c>
      <c r="AW53" s="77">
        <f>AV53</f>
        <v>0</v>
      </c>
      <c r="AX53" s="57">
        <f>IF(AX$14=1,'Inputs (2)'!AX41,AV53)</f>
        <v>0</v>
      </c>
      <c r="AY53" s="57">
        <f>IF(AY$14=1,'Inputs (2)'!AY41,AX53)</f>
        <v>0</v>
      </c>
      <c r="AZ53" s="57">
        <f>IF(AZ$14=1,'Inputs (2)'!AZ41,AY53)</f>
        <v>0</v>
      </c>
      <c r="BA53" s="57">
        <f>IF(BA$14=1,'Inputs (2)'!BA41,AZ53)</f>
        <v>0</v>
      </c>
      <c r="BB53" s="77">
        <f>BA53</f>
        <v>0</v>
      </c>
      <c r="BC53" s="57">
        <f>IF(BC$14=1,'Inputs (2)'!BC41,BA53)</f>
        <v>0</v>
      </c>
      <c r="BD53" s="57">
        <f>IF(BD$14=1,'Inputs (2)'!BD41,BC53)</f>
        <v>0</v>
      </c>
      <c r="BE53" s="57">
        <f>IF(BE$14=1,'Inputs (2)'!BE41,BD53)</f>
        <v>0</v>
      </c>
      <c r="BF53" s="57">
        <f>IF(BF$14=1,'Inputs (2)'!BF41,BE53)</f>
        <v>0</v>
      </c>
      <c r="BG53" s="77">
        <f>BF53</f>
        <v>0</v>
      </c>
    </row>
    <row r="54" collapsed="1">
      <c r="C54" s="83" t="inlineStr">
        <is>
          <t>Dívida de longo prazo e VIEs</t>
        </is>
      </c>
      <c r="D54" s="84" t="inlineStr">
        <is>
          <t>Long-term debt and VIEs</t>
        </is>
      </c>
      <c r="E54" s="85">
        <f>E55+E56+E57+E58</f>
        <v>0</v>
      </c>
      <c r="F54" s="85">
        <f>F55+F56+F57+F58</f>
        <v>0</v>
      </c>
      <c r="G54" s="85">
        <f>G55+G56+G57+G58</f>
        <v>0</v>
      </c>
      <c r="H54" s="85">
        <f>H55+H56+H57+H58</f>
        <v>0</v>
      </c>
      <c r="I54" s="60">
        <f>H54</f>
        <v>0</v>
      </c>
      <c r="J54" s="85">
        <f>J55+J56+J57+J58</f>
        <v>0</v>
      </c>
      <c r="K54" s="85">
        <f>K55+K56+K57+K58</f>
        <v>0</v>
      </c>
      <c r="L54" s="85">
        <f>L55+L56+L57+L58</f>
        <v>0</v>
      </c>
      <c r="M54" s="85">
        <f>M55+M56+M57+M58</f>
        <v>0</v>
      </c>
      <c r="N54" s="60">
        <f>M54</f>
        <v>0</v>
      </c>
      <c r="O54" s="85">
        <f>O55+O56+O57+O58</f>
        <v>0</v>
      </c>
      <c r="P54" s="85">
        <f>P55+P56+P57+P58</f>
        <v>0</v>
      </c>
      <c r="Q54" s="85">
        <f>Q55+Q56+Q57+Q58</f>
        <v>0</v>
      </c>
      <c r="R54" s="85">
        <f>R55+R56+R57+R58</f>
        <v>0</v>
      </c>
      <c r="S54" s="60">
        <f>R54</f>
        <v>0</v>
      </c>
      <c r="T54" s="85">
        <f>T55+T56+T57+T58</f>
        <v>0</v>
      </c>
      <c r="U54" s="85">
        <f>U55+U56+U57+U58</f>
        <v>0</v>
      </c>
      <c r="V54" s="85">
        <f>V55+V56+V57+V58</f>
        <v>0</v>
      </c>
      <c r="W54" s="85">
        <f>W55+W56+W57+W58</f>
        <v>0</v>
      </c>
      <c r="X54" s="60">
        <f>W54</f>
        <v>0</v>
      </c>
      <c r="Y54" s="85">
        <f>Y55+Y56+Y57+Y58</f>
        <v>0</v>
      </c>
      <c r="Z54" s="85">
        <f>Z55+Z56+Z57+Z58</f>
        <v>0</v>
      </c>
      <c r="AA54" s="85">
        <f>AA55+AA56+AA57+AA58</f>
        <v>0</v>
      </c>
      <c r="AB54" s="85">
        <f>AB55+AB56+AB57+AB58</f>
        <v>0</v>
      </c>
      <c r="AC54" s="60">
        <f>AB54</f>
        <v>0</v>
      </c>
      <c r="AD54" s="85">
        <f>AD55+AD56+AD57+AD58</f>
        <v>0</v>
      </c>
      <c r="AE54" s="85">
        <f>AE55+AE56+AE57+AE58</f>
        <v>0</v>
      </c>
      <c r="AF54" s="85">
        <f>AF55+AF56+AF57+AF58</f>
        <v>0</v>
      </c>
      <c r="AG54" s="85">
        <f>AG55+AG56+AG57+AG58</f>
        <v>0</v>
      </c>
      <c r="AH54" s="60">
        <f>AG54</f>
        <v>0</v>
      </c>
      <c r="AI54" s="85">
        <f>AI55+AI56+AI57+AI58</f>
        <v>0</v>
      </c>
      <c r="AJ54" s="85">
        <f>AJ55+AJ56+AJ57+AJ58</f>
        <v>0</v>
      </c>
      <c r="AK54" s="85">
        <f>AK55+AK56+AK57+AK58</f>
        <v>0</v>
      </c>
      <c r="AL54" s="85">
        <f>AL55+AL56+AL57+AL58</f>
        <v>0</v>
      </c>
      <c r="AM54" s="60">
        <f>AL54</f>
        <v>0</v>
      </c>
      <c r="AN54" s="85">
        <f>AN55+AN56+AN57+AN58</f>
        <v>0</v>
      </c>
      <c r="AO54" s="85">
        <f>AO55+AO56+AO57+AO58</f>
        <v>0</v>
      </c>
      <c r="AP54" s="85">
        <f>AP55+AP56+AP57+AP58</f>
        <v>0</v>
      </c>
      <c r="AQ54" s="85">
        <f>AQ55+AQ56+AQ57+AQ58</f>
        <v>0</v>
      </c>
      <c r="AR54" s="60">
        <f>AQ54</f>
        <v>0</v>
      </c>
      <c r="AS54" s="85">
        <f>AS55+AS56+AS57+AS58</f>
        <v>0</v>
      </c>
      <c r="AT54" s="85">
        <f>AT55+AT56+AT57+AT58</f>
        <v>0</v>
      </c>
      <c r="AU54" s="85">
        <f>AU55+AU56+AU57+AU58</f>
        <v>0</v>
      </c>
      <c r="AV54" s="85">
        <f>AV55+AV56+AV57+AV58</f>
        <v>0</v>
      </c>
      <c r="AW54" s="60">
        <f>AV54</f>
        <v>0</v>
      </c>
      <c r="AX54" s="85">
        <f>AX55+AX56+AX57+AX58</f>
        <v>0</v>
      </c>
      <c r="AY54" s="85">
        <f>AY55+AY56+AY57+AY58</f>
        <v>0</v>
      </c>
      <c r="AZ54" s="85">
        <f>AZ55+AZ56+AZ57+AZ58</f>
        <v>0</v>
      </c>
      <c r="BA54" s="85">
        <f>BA55+BA56+BA57+BA58</f>
        <v>0</v>
      </c>
      <c r="BB54" s="60">
        <f>BA54</f>
        <v>0</v>
      </c>
      <c r="BC54" s="85">
        <f>BC55+BC56+BC57+BC58</f>
        <v>0</v>
      </c>
      <c r="BD54" s="85">
        <f>BD55+BD56+BD57+BD58</f>
        <v>0</v>
      </c>
      <c r="BE54" s="85">
        <f>BE55+BE56+BE57+BE58</f>
        <v>0</v>
      </c>
      <c r="BF54" s="85">
        <f>BF55+BF56+BF57+BF58</f>
        <v>0</v>
      </c>
      <c r="BG54" s="60">
        <f>BF54</f>
        <v>0</v>
      </c>
    </row>
    <row r="55" hidden="1" outlineLevel="1">
      <c r="C55" s="61" t="inlineStr">
        <is>
          <t>Dívida de longo prazo</t>
        </is>
      </c>
      <c r="D55" s="62" t="inlineStr">
        <is>
          <t>Long-term debt</t>
        </is>
      </c>
      <c r="E55" s="57">
        <f>'Inputs (2)'!E43</f>
        <v>0</v>
      </c>
      <c r="F55" s="57">
        <f>IF(F$14=1,'Inputs (2)'!F43,E55*(1+Inputs!F$279))</f>
        <v>0</v>
      </c>
      <c r="G55" s="57">
        <f>IF(G$14=1,'Inputs (2)'!G43,F55*(1+Inputs!G$279))</f>
        <v>0</v>
      </c>
      <c r="H55" s="57">
        <f>IF(H$14=1,'Inputs (2)'!H43,G55*(1+Inputs!H$279))</f>
        <v>0</v>
      </c>
      <c r="I55" s="77">
        <f>H55</f>
        <v>0</v>
      </c>
      <c r="J55" s="57">
        <f>IF(J$14=1,'Inputs (2)'!J43,H55*(1+Inputs!J$279))</f>
        <v>0</v>
      </c>
      <c r="K55" s="57">
        <f>IF(K$14=1,'Inputs (2)'!K43,J55*(1+Inputs!K$279))</f>
        <v>0</v>
      </c>
      <c r="L55" s="57">
        <f>IF(L$14=1,'Inputs (2)'!L43,K55*(1+Inputs!L$279))</f>
        <v>0</v>
      </c>
      <c r="M55" s="57">
        <f>IF(M$14=1,'Inputs (2)'!M43,L55*(1+Inputs!M$279))</f>
        <v>0</v>
      </c>
      <c r="N55" s="77">
        <f>M55</f>
        <v>0</v>
      </c>
      <c r="O55" s="57">
        <f>IF(O$14=1,'Inputs (2)'!O43,M55*(1+Inputs!O$279))</f>
        <v>0</v>
      </c>
      <c r="P55" s="57">
        <f>IF(P$14=1,'Inputs (2)'!P43,O55*(1+Inputs!P$279))</f>
        <v>0</v>
      </c>
      <c r="Q55" s="57">
        <f>IF(Q$14=1,'Inputs (2)'!Q43,P55*(1+Inputs!Q$279))</f>
        <v>0</v>
      </c>
      <c r="R55" s="57">
        <f>IF(R$14=1,'Inputs (2)'!R43,Q55*(1+Inputs!R$279))</f>
        <v>0</v>
      </c>
      <c r="S55" s="77">
        <f>R55</f>
        <v>0</v>
      </c>
      <c r="T55" s="57">
        <f>IF(T$14=1,'Inputs (2)'!T43,R55*(1+Inputs!T$279))</f>
        <v>0</v>
      </c>
      <c r="U55" s="57">
        <f>IF(U$14=1,'Inputs (2)'!U43,T55*(1+Inputs!U$279))</f>
        <v>0</v>
      </c>
      <c r="V55" s="57">
        <f>IF(V$14=1,'Inputs (2)'!V43,U55*(1+Inputs!V$279))</f>
        <v>0</v>
      </c>
      <c r="W55" s="57">
        <f>IF(W$14=1,'Inputs (2)'!W43,V55*(1+Inputs!W$279))</f>
        <v>0</v>
      </c>
      <c r="X55" s="77">
        <f>W55</f>
        <v>0</v>
      </c>
      <c r="Y55" s="57">
        <f>IF(Y$14=1,'Inputs (2)'!Y43,W55*(1+Inputs!Y$279))</f>
        <v>0</v>
      </c>
      <c r="Z55" s="57">
        <f>IF(Z$14=1,'Inputs (2)'!Z43,Y55*(1+Inputs!Z$279))</f>
        <v>0</v>
      </c>
      <c r="AA55" s="57">
        <f>IF(AA$14=1,'Inputs (2)'!AA43,Z55*(1+Inputs!AA$279))</f>
        <v>0</v>
      </c>
      <c r="AB55" s="57">
        <f>IF(AB$14=1,'Inputs (2)'!AB43,AA55*(1+Inputs!AB$279))</f>
        <v>0</v>
      </c>
      <c r="AC55" s="77">
        <f>AB55</f>
        <v>0</v>
      </c>
      <c r="AD55" s="57">
        <f>IF(AD$14=1,'Inputs (2)'!AD43,AB55*(1+Inputs!AD$279))</f>
        <v>0</v>
      </c>
      <c r="AE55" s="57">
        <f>IF(AE$14=1,'Inputs (2)'!AE43,AD55*(1+Inputs!AE$279))</f>
        <v>0</v>
      </c>
      <c r="AF55" s="57">
        <f>IF(AF$14=1,'Inputs (2)'!AF43,AE55*(1+Inputs!AF$279))</f>
        <v>0</v>
      </c>
      <c r="AG55" s="57">
        <f>IF(AG$14=1,'Inputs (2)'!AG43,AF55*(1+Inputs!AG$279))</f>
        <v>0</v>
      </c>
      <c r="AH55" s="77">
        <f>AG55</f>
        <v>0</v>
      </c>
      <c r="AI55" s="57">
        <f>IF(AI$14=1,'Inputs (2)'!AI43,AG55*(1+Inputs!AI$279))</f>
        <v>0</v>
      </c>
      <c r="AJ55" s="57">
        <f>IF(AJ$14=1,'Inputs (2)'!AJ43,AI55*(1+Inputs!AJ$279))</f>
        <v>0</v>
      </c>
      <c r="AK55" s="57">
        <f>IF(AK$14=1,'Inputs (2)'!AK43,AJ55*(1+Inputs!AK$279))</f>
        <v>0</v>
      </c>
      <c r="AL55" s="57">
        <f>IF(AL$14=1,'Inputs (2)'!AL43,AK55*(1+Inputs!AL$279))</f>
        <v>0</v>
      </c>
      <c r="AM55" s="77">
        <f>AL55</f>
        <v>0</v>
      </c>
      <c r="AN55" s="57">
        <f>IF(AN$14=1,'Inputs (2)'!AN43,AL55*(1+Inputs!AN$279))</f>
        <v>0</v>
      </c>
      <c r="AO55" s="57">
        <f>IF(AO$14=1,'Inputs (2)'!AO43,AN55*(1+Inputs!AO$279))</f>
        <v>0</v>
      </c>
      <c r="AP55" s="57">
        <f>IF(AP$14=1,'Inputs (2)'!AP43,AO55*(1+Inputs!AP$279))</f>
        <v>0</v>
      </c>
      <c r="AQ55" s="57">
        <f>IF(AQ$14=1,'Inputs (2)'!AQ43,AP55*(1+Inputs!AQ$279))</f>
        <v>0</v>
      </c>
      <c r="AR55" s="77">
        <f>AQ55</f>
        <v>0</v>
      </c>
      <c r="AS55" s="57">
        <f>IF(AS$14=1,'Inputs (2)'!AS43,AQ55*(1+Inputs!AS$279))</f>
        <v>0</v>
      </c>
      <c r="AT55" s="57">
        <f>IF(AT$14=1,'Inputs (2)'!AT43,AS55*(1+Inputs!AT$279))</f>
        <v>0</v>
      </c>
      <c r="AU55" s="57">
        <f>IF(AU$14=1,'Inputs (2)'!AU43,AT55*(1+Inputs!AU$279))</f>
        <v>0</v>
      </c>
      <c r="AV55" s="57">
        <f>IF(AV$14=1,'Inputs (2)'!AV43,AU55*(1+Inputs!AV$279))</f>
        <v>0</v>
      </c>
      <c r="AW55" s="77">
        <f>AV55</f>
        <v>0</v>
      </c>
      <c r="AX55" s="57">
        <f>IF(AX$14=1,'Inputs (2)'!AX43,AV55*(1+Inputs!AX$279))</f>
        <v>0</v>
      </c>
      <c r="AY55" s="57">
        <f>IF(AY$14=1,'Inputs (2)'!AY43,AX55*(1+Inputs!AY$279))</f>
        <v>0</v>
      </c>
      <c r="AZ55" s="57">
        <f>IF(AZ$14=1,'Inputs (2)'!AZ43,AY55*(1+Inputs!AZ$279))</f>
        <v>0</v>
      </c>
      <c r="BA55" s="57">
        <f>IF(BA$14=1,'Inputs (2)'!BA43,AZ55*(1+Inputs!BA$279))</f>
        <v>0</v>
      </c>
      <c r="BB55" s="77">
        <f>BA55</f>
        <v>0</v>
      </c>
      <c r="BC55" s="57">
        <f>IF(BC$14=1,'Inputs (2)'!BC43,BA55*(1+Inputs!BC$279))</f>
        <v>0</v>
      </c>
      <c r="BD55" s="57">
        <f>IF(BD$14=1,'Inputs (2)'!BD43,BC55*(1+Inputs!BD$279))</f>
        <v>0</v>
      </c>
      <c r="BE55" s="57">
        <f>IF(BE$14=1,'Inputs (2)'!BE43,BD55*(1+Inputs!BE$279))</f>
        <v>0</v>
      </c>
      <c r="BF55" s="57">
        <f>IF(BF$14=1,'Inputs (2)'!BF43,BE55*(1+Inputs!BF$279))</f>
        <v>0</v>
      </c>
      <c r="BG55" s="77">
        <f>BF55</f>
        <v>0</v>
      </c>
    </row>
    <row r="56" hidden="1" outlineLevel="1">
      <c r="C56" s="61" t="inlineStr">
        <is>
          <t>Participações emitidas por VIEs consolidadas</t>
        </is>
      </c>
      <c r="D56" s="62" t="inlineStr">
        <is>
          <t>Beneficial interests issued by consolidated VIEs</t>
        </is>
      </c>
      <c r="E56" s="57">
        <f>'Inputs (2)'!E44</f>
        <v>0</v>
      </c>
      <c r="F56" s="57">
        <f>IF(F$14=1,'Inputs (2)'!F44,E56*(1+Inputs!F$279))</f>
        <v>0</v>
      </c>
      <c r="G56" s="57">
        <f>IF(G$14=1,'Inputs (2)'!G44,F56*(1+Inputs!G$279))</f>
        <v>0</v>
      </c>
      <c r="H56" s="57">
        <f>IF(H$14=1,'Inputs (2)'!H44,G56*(1+Inputs!H$279))</f>
        <v>0</v>
      </c>
      <c r="I56" s="77">
        <f>H56</f>
        <v>0</v>
      </c>
      <c r="J56" s="57">
        <f>IF(J$14=1,'Inputs (2)'!J44,H56*(1+Inputs!J$279))</f>
        <v>0</v>
      </c>
      <c r="K56" s="57">
        <f>IF(K$14=1,'Inputs (2)'!K44,J56*(1+Inputs!K$279))</f>
        <v>0</v>
      </c>
      <c r="L56" s="57">
        <f>IF(L$14=1,'Inputs (2)'!L44,K56*(1+Inputs!L$279))</f>
        <v>0</v>
      </c>
      <c r="M56" s="57">
        <f>IF(M$14=1,'Inputs (2)'!M44,L56*(1+Inputs!M$279))</f>
        <v>0</v>
      </c>
      <c r="N56" s="77">
        <f>M56</f>
        <v>0</v>
      </c>
      <c r="O56" s="57">
        <f>IF(O$14=1,'Inputs (2)'!O44,M56*(1+Inputs!O$279))</f>
        <v>0</v>
      </c>
      <c r="P56" s="57">
        <f>IF(P$14=1,'Inputs (2)'!P44,O56*(1+Inputs!P$279))</f>
        <v>0</v>
      </c>
      <c r="Q56" s="57">
        <f>IF(Q$14=1,'Inputs (2)'!Q44,P56*(1+Inputs!Q$279))</f>
        <v>0</v>
      </c>
      <c r="R56" s="57">
        <f>IF(R$14=1,'Inputs (2)'!R44,Q56*(1+Inputs!R$279))</f>
        <v>0</v>
      </c>
      <c r="S56" s="77">
        <f>R56</f>
        <v>0</v>
      </c>
      <c r="T56" s="57">
        <f>IF(T$14=1,'Inputs (2)'!T44,R56*(1+Inputs!T$279))</f>
        <v>0</v>
      </c>
      <c r="U56" s="57">
        <f>IF(U$14=1,'Inputs (2)'!U44,T56*(1+Inputs!U$279))</f>
        <v>0</v>
      </c>
      <c r="V56" s="57">
        <f>IF(V$14=1,'Inputs (2)'!V44,U56*(1+Inputs!V$279))</f>
        <v>0</v>
      </c>
      <c r="W56" s="57">
        <f>IF(W$14=1,'Inputs (2)'!W44,V56*(1+Inputs!W$279))</f>
        <v>0</v>
      </c>
      <c r="X56" s="77">
        <f>W56</f>
        <v>0</v>
      </c>
      <c r="Y56" s="57">
        <f>IF(Y$14=1,'Inputs (2)'!Y44,W56*(1+Inputs!Y$279))</f>
        <v>0</v>
      </c>
      <c r="Z56" s="57">
        <f>IF(Z$14=1,'Inputs (2)'!Z44,Y56*(1+Inputs!Z$279))</f>
        <v>0</v>
      </c>
      <c r="AA56" s="57">
        <f>IF(AA$14=1,'Inputs (2)'!AA44,Z56*(1+Inputs!AA$279))</f>
        <v>0</v>
      </c>
      <c r="AB56" s="57">
        <f>IF(AB$14=1,'Inputs (2)'!AB44,AA56*(1+Inputs!AB$279))</f>
        <v>0</v>
      </c>
      <c r="AC56" s="77">
        <f>AB56</f>
        <v>0</v>
      </c>
      <c r="AD56" s="57">
        <f>IF(AD$14=1,'Inputs (2)'!AD44,AB56*(1+Inputs!AD$279))</f>
        <v>0</v>
      </c>
      <c r="AE56" s="57">
        <f>IF(AE$14=1,'Inputs (2)'!AE44,AD56*(1+Inputs!AE$279))</f>
        <v>0</v>
      </c>
      <c r="AF56" s="57">
        <f>IF(AF$14=1,'Inputs (2)'!AF44,AE56*(1+Inputs!AF$279))</f>
        <v>0</v>
      </c>
      <c r="AG56" s="57">
        <f>IF(AG$14=1,'Inputs (2)'!AG44,AF56*(1+Inputs!AG$279))</f>
        <v>0</v>
      </c>
      <c r="AH56" s="77">
        <f>AG56</f>
        <v>0</v>
      </c>
      <c r="AI56" s="57">
        <f>IF(AI$14=1,'Inputs (2)'!AI44,AG56*(1+Inputs!AI$279))</f>
        <v>0</v>
      </c>
      <c r="AJ56" s="57">
        <f>IF(AJ$14=1,'Inputs (2)'!AJ44,AI56*(1+Inputs!AJ$279))</f>
        <v>0</v>
      </c>
      <c r="AK56" s="57">
        <f>IF(AK$14=1,'Inputs (2)'!AK44,AJ56*(1+Inputs!AK$279))</f>
        <v>0</v>
      </c>
      <c r="AL56" s="57">
        <f>IF(AL$14=1,'Inputs (2)'!AL44,AK56*(1+Inputs!AL$279))</f>
        <v>0</v>
      </c>
      <c r="AM56" s="77">
        <f>AL56</f>
        <v>0</v>
      </c>
      <c r="AN56" s="57">
        <f>IF(AN$14=1,'Inputs (2)'!AN44,AL56*(1+Inputs!AN$279))</f>
        <v>0</v>
      </c>
      <c r="AO56" s="57">
        <f>IF(AO$14=1,'Inputs (2)'!AO44,AN56*(1+Inputs!AO$279))</f>
        <v>0</v>
      </c>
      <c r="AP56" s="57">
        <f>IF(AP$14=1,'Inputs (2)'!AP44,AO56*(1+Inputs!AP$279))</f>
        <v>0</v>
      </c>
      <c r="AQ56" s="57">
        <f>IF(AQ$14=1,'Inputs (2)'!AQ44,AP56*(1+Inputs!AQ$279))</f>
        <v>0</v>
      </c>
      <c r="AR56" s="77">
        <f>AQ56</f>
        <v>0</v>
      </c>
      <c r="AS56" s="57">
        <f>IF(AS$14=1,'Inputs (2)'!AS44,AQ56*(1+Inputs!AS$279))</f>
        <v>0</v>
      </c>
      <c r="AT56" s="57">
        <f>IF(AT$14=1,'Inputs (2)'!AT44,AS56*(1+Inputs!AT$279))</f>
        <v>0</v>
      </c>
      <c r="AU56" s="57">
        <f>IF(AU$14=1,'Inputs (2)'!AU44,AT56*(1+Inputs!AU$279))</f>
        <v>0</v>
      </c>
      <c r="AV56" s="57">
        <f>IF(AV$14=1,'Inputs (2)'!AV44,AU56*(1+Inputs!AV$279))</f>
        <v>0</v>
      </c>
      <c r="AW56" s="77">
        <f>AV56</f>
        <v>0</v>
      </c>
      <c r="AX56" s="57">
        <f>IF(AX$14=1,'Inputs (2)'!AX44,AV56*(1+Inputs!AX$279))</f>
        <v>0</v>
      </c>
      <c r="AY56" s="57">
        <f>IF(AY$14=1,'Inputs (2)'!AY44,AX56*(1+Inputs!AY$279))</f>
        <v>0</v>
      </c>
      <c r="AZ56" s="57">
        <f>IF(AZ$14=1,'Inputs (2)'!AZ44,AY56*(1+Inputs!AZ$279))</f>
        <v>0</v>
      </c>
      <c r="BA56" s="57">
        <f>IF(BA$14=1,'Inputs (2)'!BA44,AZ56*(1+Inputs!BA$279))</f>
        <v>0</v>
      </c>
      <c r="BB56" s="77">
        <f>BA56</f>
        <v>0</v>
      </c>
      <c r="BC56" s="57">
        <f>IF(BC$14=1,'Inputs (2)'!BC44,BA56*(1+Inputs!BC$279))</f>
        <v>0</v>
      </c>
      <c r="BD56" s="57">
        <f>IF(BD$14=1,'Inputs (2)'!BD44,BC56*(1+Inputs!BD$279))</f>
        <v>0</v>
      </c>
      <c r="BE56" s="57">
        <f>IF(BE$14=1,'Inputs (2)'!BE44,BD56*(1+Inputs!BE$279))</f>
        <v>0</v>
      </c>
      <c r="BF56" s="57">
        <f>IF(BF$14=1,'Inputs (2)'!BF44,BE56*(1+Inputs!BF$279))</f>
        <v>0</v>
      </c>
      <c r="BG56" s="77">
        <f>BF56</f>
        <v>0</v>
      </c>
    </row>
    <row r="57" hidden="1" outlineLevel="1">
      <c r="C57" s="61" t="inlineStr">
        <is>
          <t>Outras emissões</t>
        </is>
      </c>
      <c r="D57" s="62" t="inlineStr">
        <is>
          <t>Other issuances</t>
        </is>
      </c>
      <c r="E57" s="57">
        <f>'Inputs (2)'!E45</f>
        <v>0</v>
      </c>
      <c r="F57" s="57">
        <f>IF(F$14=1,'Inputs (2)'!F45,E57*(1+Inputs!F$279))</f>
        <v>0</v>
      </c>
      <c r="G57" s="57">
        <f>IF(G$14=1,'Inputs (2)'!G45,F57*(1+Inputs!G$279))</f>
        <v>0</v>
      </c>
      <c r="H57" s="57">
        <f>IF(H$14=1,'Inputs (2)'!H45,G57*(1+Inputs!H$279))</f>
        <v>0</v>
      </c>
      <c r="I57" s="77">
        <f>H57</f>
        <v>0</v>
      </c>
      <c r="J57" s="57">
        <f>IF(J$14=1,'Inputs (2)'!J45,H57*(1+Inputs!J$279))</f>
        <v>0</v>
      </c>
      <c r="K57" s="57">
        <f>IF(K$14=1,'Inputs (2)'!K45,J57*(1+Inputs!K$279))</f>
        <v>0</v>
      </c>
      <c r="L57" s="57">
        <f>IF(L$14=1,'Inputs (2)'!L45,K57*(1+Inputs!L$279))</f>
        <v>0</v>
      </c>
      <c r="M57" s="57">
        <f>IF(M$14=1,'Inputs (2)'!M45,L57*(1+Inputs!M$279))</f>
        <v>0</v>
      </c>
      <c r="N57" s="77">
        <f>M57</f>
        <v>0</v>
      </c>
      <c r="O57" s="57">
        <f>IF(O$14=1,'Inputs (2)'!O45,M57*(1+Inputs!O$279))</f>
        <v>0</v>
      </c>
      <c r="P57" s="57">
        <f>IF(P$14=1,'Inputs (2)'!P45,O57*(1+Inputs!P$279))</f>
        <v>0</v>
      </c>
      <c r="Q57" s="57">
        <f>IF(Q$14=1,'Inputs (2)'!Q45,P57*(1+Inputs!Q$279))</f>
        <v>0</v>
      </c>
      <c r="R57" s="57">
        <f>IF(R$14=1,'Inputs (2)'!R45,Q57*(1+Inputs!R$279))</f>
        <v>0</v>
      </c>
      <c r="S57" s="77">
        <f>R57</f>
        <v>0</v>
      </c>
      <c r="T57" s="57">
        <f>IF(T$14=1,'Inputs (2)'!T45,R57*(1+Inputs!T$279))</f>
        <v>0</v>
      </c>
      <c r="U57" s="57">
        <f>IF(U$14=1,'Inputs (2)'!U45,T57*(1+Inputs!U$279))</f>
        <v>0</v>
      </c>
      <c r="V57" s="57">
        <f>IF(V$14=1,'Inputs (2)'!V45,U57*(1+Inputs!V$279))</f>
        <v>0</v>
      </c>
      <c r="W57" s="57">
        <f>IF(W$14=1,'Inputs (2)'!W45,V57*(1+Inputs!W$279))</f>
        <v>0</v>
      </c>
      <c r="X57" s="77">
        <f>W57</f>
        <v>0</v>
      </c>
      <c r="Y57" s="57">
        <f>IF(Y$14=1,'Inputs (2)'!Y45,W57*(1+Inputs!Y$279))</f>
        <v>0</v>
      </c>
      <c r="Z57" s="57">
        <f>IF(Z$14=1,'Inputs (2)'!Z45,Y57*(1+Inputs!Z$279))</f>
        <v>0</v>
      </c>
      <c r="AA57" s="57">
        <f>IF(AA$14=1,'Inputs (2)'!AA45,Z57*(1+Inputs!AA$279))</f>
        <v>0</v>
      </c>
      <c r="AB57" s="57">
        <f>IF(AB$14=1,'Inputs (2)'!AB45,AA57*(1+Inputs!AB$279))</f>
        <v>0</v>
      </c>
      <c r="AC57" s="77">
        <f>AB57</f>
        <v>0</v>
      </c>
      <c r="AD57" s="57">
        <f>IF(AD$14=1,'Inputs (2)'!AD45,AB57*(1+Inputs!AD$279))</f>
        <v>0</v>
      </c>
      <c r="AE57" s="57">
        <f>IF(AE$14=1,'Inputs (2)'!AE45,AD57*(1+Inputs!AE$279))</f>
        <v>0</v>
      </c>
      <c r="AF57" s="57">
        <f>IF(AF$14=1,'Inputs (2)'!AF45,AE57*(1+Inputs!AF$279))</f>
        <v>0</v>
      </c>
      <c r="AG57" s="57">
        <f>IF(AG$14=1,'Inputs (2)'!AG45,AF57*(1+Inputs!AG$279))</f>
        <v>0</v>
      </c>
      <c r="AH57" s="77">
        <f>AG57</f>
        <v>0</v>
      </c>
      <c r="AI57" s="57">
        <f>IF(AI$14=1,'Inputs (2)'!AI45,AG57*(1+Inputs!AI$279))</f>
        <v>0</v>
      </c>
      <c r="AJ57" s="57">
        <f>IF(AJ$14=1,'Inputs (2)'!AJ45,AI57*(1+Inputs!AJ$279))</f>
        <v>0</v>
      </c>
      <c r="AK57" s="57">
        <f>IF(AK$14=1,'Inputs (2)'!AK45,AJ57*(1+Inputs!AK$279))</f>
        <v>0</v>
      </c>
      <c r="AL57" s="57">
        <f>IF(AL$14=1,'Inputs (2)'!AL45,AK57*(1+Inputs!AL$279))</f>
        <v>0</v>
      </c>
      <c r="AM57" s="77">
        <f>AL57</f>
        <v>0</v>
      </c>
      <c r="AN57" s="57">
        <f>IF(AN$14=1,'Inputs (2)'!AN45,AL57*(1+Inputs!AN$279))</f>
        <v>0</v>
      </c>
      <c r="AO57" s="57">
        <f>IF(AO$14=1,'Inputs (2)'!AO45,AN57*(1+Inputs!AO$279))</f>
        <v>0</v>
      </c>
      <c r="AP57" s="57">
        <f>IF(AP$14=1,'Inputs (2)'!AP45,AO57*(1+Inputs!AP$279))</f>
        <v>0</v>
      </c>
      <c r="AQ57" s="57">
        <f>IF(AQ$14=1,'Inputs (2)'!AQ45,AP57*(1+Inputs!AQ$279))</f>
        <v>0</v>
      </c>
      <c r="AR57" s="77">
        <f>AQ57</f>
        <v>0</v>
      </c>
      <c r="AS57" s="57">
        <f>IF(AS$14=1,'Inputs (2)'!AS45,AQ57*(1+Inputs!AS$279))</f>
        <v>0</v>
      </c>
      <c r="AT57" s="57">
        <f>IF(AT$14=1,'Inputs (2)'!AT45,AS57*(1+Inputs!AT$279))</f>
        <v>0</v>
      </c>
      <c r="AU57" s="57">
        <f>IF(AU$14=1,'Inputs (2)'!AU45,AT57*(1+Inputs!AU$279))</f>
        <v>0</v>
      </c>
      <c r="AV57" s="57">
        <f>IF(AV$14=1,'Inputs (2)'!AV45,AU57*(1+Inputs!AV$279))</f>
        <v>0</v>
      </c>
      <c r="AW57" s="77">
        <f>AV57</f>
        <v>0</v>
      </c>
      <c r="AX57" s="57">
        <f>IF(AX$14=1,'Inputs (2)'!AX45,AV57*(1+Inputs!AX$279))</f>
        <v>0</v>
      </c>
      <c r="AY57" s="57">
        <f>IF(AY$14=1,'Inputs (2)'!AY45,AX57*(1+Inputs!AY$279))</f>
        <v>0</v>
      </c>
      <c r="AZ57" s="57">
        <f>IF(AZ$14=1,'Inputs (2)'!AZ45,AY57*(1+Inputs!AZ$279))</f>
        <v>0</v>
      </c>
      <c r="BA57" s="57">
        <f>IF(BA$14=1,'Inputs (2)'!BA45,AZ57*(1+Inputs!BA$279))</f>
        <v>0</v>
      </c>
      <c r="BB57" s="77">
        <f>BA57</f>
        <v>0</v>
      </c>
      <c r="BC57" s="57">
        <f>IF(BC$14=1,'Inputs (2)'!BC45,BA57*(1+Inputs!BC$279))</f>
        <v>0</v>
      </c>
      <c r="BD57" s="57">
        <f>IF(BD$14=1,'Inputs (2)'!BD45,BC57*(1+Inputs!BD$279))</f>
        <v>0</v>
      </c>
      <c r="BE57" s="57">
        <f>IF(BE$14=1,'Inputs (2)'!BE45,BD57*(1+Inputs!BE$279))</f>
        <v>0</v>
      </c>
      <c r="BF57" s="57">
        <f>IF(BF$14=1,'Inputs (2)'!BF45,BE57*(1+Inputs!BF$279))</f>
        <v>0</v>
      </c>
      <c r="BG57" s="77">
        <f>BF57</f>
        <v>0</v>
      </c>
    </row>
    <row r="58" hidden="1" outlineLevel="1">
      <c r="C58" s="61" t="inlineStr">
        <is>
          <t>Dívida subordinada (quando à parte)</t>
        </is>
      </c>
      <c r="D58" s="62" t="inlineStr">
        <is>
          <t>Subordinated debt</t>
        </is>
      </c>
      <c r="E58" s="57">
        <f>'Inputs (2)'!E46</f>
        <v>0</v>
      </c>
      <c r="F58" s="57">
        <f>IF(F$14=1,'Inputs (2)'!F46,E58*(1+Inputs!F$279))</f>
        <v>0</v>
      </c>
      <c r="G58" s="57">
        <f>IF(G$14=1,'Inputs (2)'!G46,F58*(1+Inputs!G$279))</f>
        <v>0</v>
      </c>
      <c r="H58" s="57">
        <f>IF(H$14=1,'Inputs (2)'!H46,G58*(1+Inputs!H$279))</f>
        <v>0</v>
      </c>
      <c r="I58" s="77">
        <f>H58</f>
        <v>0</v>
      </c>
      <c r="J58" s="57">
        <f>IF(J$14=1,'Inputs (2)'!J46,H58*(1+Inputs!J$279))</f>
        <v>0</v>
      </c>
      <c r="K58" s="57">
        <f>IF(K$14=1,'Inputs (2)'!K46,J58*(1+Inputs!K$279))</f>
        <v>0</v>
      </c>
      <c r="L58" s="57">
        <f>IF(L$14=1,'Inputs (2)'!L46,K58*(1+Inputs!L$279))</f>
        <v>0</v>
      </c>
      <c r="M58" s="57">
        <f>IF(M$14=1,'Inputs (2)'!M46,L58*(1+Inputs!M$279))</f>
        <v>0</v>
      </c>
      <c r="N58" s="77">
        <f>M58</f>
        <v>0</v>
      </c>
      <c r="O58" s="57">
        <f>IF(O$14=1,'Inputs (2)'!O46,M58*(1+Inputs!O$279))</f>
        <v>0</v>
      </c>
      <c r="P58" s="57">
        <f>IF(P$14=1,'Inputs (2)'!P46,O58*(1+Inputs!P$279))</f>
        <v>0</v>
      </c>
      <c r="Q58" s="57">
        <f>IF(Q$14=1,'Inputs (2)'!Q46,P58*(1+Inputs!Q$279))</f>
        <v>0</v>
      </c>
      <c r="R58" s="57">
        <f>IF(R$14=1,'Inputs (2)'!R46,Q58*(1+Inputs!R$279))</f>
        <v>0</v>
      </c>
      <c r="S58" s="77">
        <f>R58</f>
        <v>0</v>
      </c>
      <c r="T58" s="57">
        <f>IF(T$14=1,'Inputs (2)'!T46,R58*(1+Inputs!T$279))</f>
        <v>0</v>
      </c>
      <c r="U58" s="57">
        <f>IF(U$14=1,'Inputs (2)'!U46,T58*(1+Inputs!U$279))</f>
        <v>0</v>
      </c>
      <c r="V58" s="57">
        <f>IF(V$14=1,'Inputs (2)'!V46,U58*(1+Inputs!V$279))</f>
        <v>0</v>
      </c>
      <c r="W58" s="57">
        <f>IF(W$14=1,'Inputs (2)'!W46,V58*(1+Inputs!W$279))</f>
        <v>0</v>
      </c>
      <c r="X58" s="77">
        <f>W58</f>
        <v>0</v>
      </c>
      <c r="Y58" s="57">
        <f>IF(Y$14=1,'Inputs (2)'!Y46,W58*(1+Inputs!Y$279))</f>
        <v>0</v>
      </c>
      <c r="Z58" s="57">
        <f>IF(Z$14=1,'Inputs (2)'!Z46,Y58*(1+Inputs!Z$279))</f>
        <v>0</v>
      </c>
      <c r="AA58" s="57">
        <f>IF(AA$14=1,'Inputs (2)'!AA46,Z58*(1+Inputs!AA$279))</f>
        <v>0</v>
      </c>
      <c r="AB58" s="57">
        <f>IF(AB$14=1,'Inputs (2)'!AB46,AA58*(1+Inputs!AB$279))</f>
        <v>0</v>
      </c>
      <c r="AC58" s="77">
        <f>AB58</f>
        <v>0</v>
      </c>
      <c r="AD58" s="57">
        <f>IF(AD$14=1,'Inputs (2)'!AD46,AB58*(1+Inputs!AD$279))</f>
        <v>0</v>
      </c>
      <c r="AE58" s="57">
        <f>IF(AE$14=1,'Inputs (2)'!AE46,AD58*(1+Inputs!AE$279))</f>
        <v>0</v>
      </c>
      <c r="AF58" s="57">
        <f>IF(AF$14=1,'Inputs (2)'!AF46,AE58*(1+Inputs!AF$279))</f>
        <v>0</v>
      </c>
      <c r="AG58" s="57">
        <f>IF(AG$14=1,'Inputs (2)'!AG46,AF58*(1+Inputs!AG$279))</f>
        <v>0</v>
      </c>
      <c r="AH58" s="77">
        <f>AG58</f>
        <v>0</v>
      </c>
      <c r="AI58" s="57">
        <f>IF(AI$14=1,'Inputs (2)'!AI46,AG58*(1+Inputs!AI$279))</f>
        <v>0</v>
      </c>
      <c r="AJ58" s="57">
        <f>IF(AJ$14=1,'Inputs (2)'!AJ46,AI58*(1+Inputs!AJ$279))</f>
        <v>0</v>
      </c>
      <c r="AK58" s="57">
        <f>IF(AK$14=1,'Inputs (2)'!AK46,AJ58*(1+Inputs!AK$279))</f>
        <v>0</v>
      </c>
      <c r="AL58" s="57">
        <f>IF(AL$14=1,'Inputs (2)'!AL46,AK58*(1+Inputs!AL$279))</f>
        <v>0</v>
      </c>
      <c r="AM58" s="77">
        <f>AL58</f>
        <v>0</v>
      </c>
      <c r="AN58" s="57">
        <f>IF(AN$14=1,'Inputs (2)'!AN46,AL58*(1+Inputs!AN$279))</f>
        <v>0</v>
      </c>
      <c r="AO58" s="57">
        <f>IF(AO$14=1,'Inputs (2)'!AO46,AN58*(1+Inputs!AO$279))</f>
        <v>0</v>
      </c>
      <c r="AP58" s="57">
        <f>IF(AP$14=1,'Inputs (2)'!AP46,AO58*(1+Inputs!AP$279))</f>
        <v>0</v>
      </c>
      <c r="AQ58" s="57">
        <f>IF(AQ$14=1,'Inputs (2)'!AQ46,AP58*(1+Inputs!AQ$279))</f>
        <v>0</v>
      </c>
      <c r="AR58" s="77">
        <f>AQ58</f>
        <v>0</v>
      </c>
      <c r="AS58" s="57">
        <f>IF(AS$14=1,'Inputs (2)'!AS46,AQ58*(1+Inputs!AS$279))</f>
        <v>0</v>
      </c>
      <c r="AT58" s="57">
        <f>IF(AT$14=1,'Inputs (2)'!AT46,AS58*(1+Inputs!AT$279))</f>
        <v>0</v>
      </c>
      <c r="AU58" s="57">
        <f>IF(AU$14=1,'Inputs (2)'!AU46,AT58*(1+Inputs!AU$279))</f>
        <v>0</v>
      </c>
      <c r="AV58" s="57">
        <f>IF(AV$14=1,'Inputs (2)'!AV46,AU58*(1+Inputs!AV$279))</f>
        <v>0</v>
      </c>
      <c r="AW58" s="77">
        <f>AV58</f>
        <v>0</v>
      </c>
      <c r="AX58" s="57">
        <f>IF(AX$14=1,'Inputs (2)'!AX46,AV58*(1+Inputs!AX$279))</f>
        <v>0</v>
      </c>
      <c r="AY58" s="57">
        <f>IF(AY$14=1,'Inputs (2)'!AY46,AX58*(1+Inputs!AY$279))</f>
        <v>0</v>
      </c>
      <c r="AZ58" s="57">
        <f>IF(AZ$14=1,'Inputs (2)'!AZ46,AY58*(1+Inputs!AZ$279))</f>
        <v>0</v>
      </c>
      <c r="BA58" s="57">
        <f>IF(BA$14=1,'Inputs (2)'!BA46,AZ58*(1+Inputs!BA$279))</f>
        <v>0</v>
      </c>
      <c r="BB58" s="77">
        <f>BA58</f>
        <v>0</v>
      </c>
      <c r="BC58" s="57">
        <f>IF(BC$14=1,'Inputs (2)'!BC46,BA58*(1+Inputs!BC$279))</f>
        <v>0</v>
      </c>
      <c r="BD58" s="57">
        <f>IF(BD$14=1,'Inputs (2)'!BD46,BC58*(1+Inputs!BD$279))</f>
        <v>0</v>
      </c>
      <c r="BE58" s="57">
        <f>IF(BE$14=1,'Inputs (2)'!BE46,BD58*(1+Inputs!BE$279))</f>
        <v>0</v>
      </c>
      <c r="BF58" s="57">
        <f>IF(BF$14=1,'Inputs (2)'!BF46,BE58*(1+Inputs!BF$279))</f>
        <v>0</v>
      </c>
      <c r="BG58" s="77">
        <f>BF58</f>
        <v>0</v>
      </c>
    </row>
    <row r="59" collapsed="1">
      <c r="C59" s="83" t="inlineStr">
        <is>
          <t>Outros empréstimos tomados</t>
        </is>
      </c>
      <c r="D59" s="84" t="inlineStr">
        <is>
          <t>Other borrowings</t>
        </is>
      </c>
      <c r="E59" s="85">
        <f>E60+E61</f>
        <v>0</v>
      </c>
      <c r="F59" s="85">
        <f>F60+F61</f>
        <v>0</v>
      </c>
      <c r="G59" s="85">
        <f>G60+G61</f>
        <v>0</v>
      </c>
      <c r="H59" s="85">
        <f>H60+H61</f>
        <v>0</v>
      </c>
      <c r="I59" s="60">
        <f>H59</f>
        <v>0</v>
      </c>
      <c r="J59" s="85">
        <f>J60+J61</f>
        <v>0</v>
      </c>
      <c r="K59" s="85">
        <f>K60+K61</f>
        <v>0</v>
      </c>
      <c r="L59" s="85">
        <f>L60+L61</f>
        <v>0</v>
      </c>
      <c r="M59" s="85">
        <f>M60+M61</f>
        <v>0</v>
      </c>
      <c r="N59" s="60">
        <f>M59</f>
        <v>0</v>
      </c>
      <c r="O59" s="85">
        <f>O60+O61</f>
        <v>0</v>
      </c>
      <c r="P59" s="85">
        <f>P60+P61</f>
        <v>0</v>
      </c>
      <c r="Q59" s="85">
        <f>Q60+Q61</f>
        <v>0</v>
      </c>
      <c r="R59" s="85">
        <f>R60+R61</f>
        <v>0</v>
      </c>
      <c r="S59" s="60">
        <f>R59</f>
        <v>0</v>
      </c>
      <c r="T59" s="85">
        <f>T60+T61</f>
        <v>0</v>
      </c>
      <c r="U59" s="85">
        <f>U60+U61</f>
        <v>0</v>
      </c>
      <c r="V59" s="85">
        <f>V60+V61</f>
        <v>0</v>
      </c>
      <c r="W59" s="85">
        <f>W60+W61</f>
        <v>0</v>
      </c>
      <c r="X59" s="60">
        <f>W59</f>
        <v>0</v>
      </c>
      <c r="Y59" s="85">
        <f>Y60+Y61</f>
        <v>0</v>
      </c>
      <c r="Z59" s="85">
        <f>Z60+Z61</f>
        <v>0</v>
      </c>
      <c r="AA59" s="85">
        <f>AA60+AA61</f>
        <v>0</v>
      </c>
      <c r="AB59" s="85">
        <f>AB60+AB61</f>
        <v>0</v>
      </c>
      <c r="AC59" s="60">
        <f>AB59</f>
        <v>0</v>
      </c>
      <c r="AD59" s="85">
        <f>AD60+AD61</f>
        <v>0</v>
      </c>
      <c r="AE59" s="85">
        <f>AE60+AE61</f>
        <v>0</v>
      </c>
      <c r="AF59" s="85">
        <f>AF60+AF61</f>
        <v>0</v>
      </c>
      <c r="AG59" s="85">
        <f>AG60+AG61</f>
        <v>0</v>
      </c>
      <c r="AH59" s="60">
        <f>AG59</f>
        <v>0</v>
      </c>
      <c r="AI59" s="85">
        <f>AI60+AI61</f>
        <v>0</v>
      </c>
      <c r="AJ59" s="85">
        <f>AJ60+AJ61</f>
        <v>0</v>
      </c>
      <c r="AK59" s="85">
        <f>AK60+AK61</f>
        <v>0</v>
      </c>
      <c r="AL59" s="85">
        <f>AL60+AL61</f>
        <v>0</v>
      </c>
      <c r="AM59" s="60">
        <f>AL59</f>
        <v>0</v>
      </c>
      <c r="AN59" s="85">
        <f>AN60+AN61</f>
        <v>0</v>
      </c>
      <c r="AO59" s="85">
        <f>AO60+AO61</f>
        <v>0</v>
      </c>
      <c r="AP59" s="85">
        <f>AP60+AP61</f>
        <v>0</v>
      </c>
      <c r="AQ59" s="85">
        <f>AQ60+AQ61</f>
        <v>0</v>
      </c>
      <c r="AR59" s="60">
        <f>AQ59</f>
        <v>0</v>
      </c>
      <c r="AS59" s="85">
        <f>AS60+AS61</f>
        <v>0</v>
      </c>
      <c r="AT59" s="85">
        <f>AT60+AT61</f>
        <v>0</v>
      </c>
      <c r="AU59" s="85">
        <f>AU60+AU61</f>
        <v>0</v>
      </c>
      <c r="AV59" s="85">
        <f>AV60+AV61</f>
        <v>0</v>
      </c>
      <c r="AW59" s="60">
        <f>AV59</f>
        <v>0</v>
      </c>
      <c r="AX59" s="85">
        <f>AX60+AX61</f>
        <v>0</v>
      </c>
      <c r="AY59" s="85">
        <f>AY60+AY61</f>
        <v>0</v>
      </c>
      <c r="AZ59" s="85">
        <f>AZ60+AZ61</f>
        <v>0</v>
      </c>
      <c r="BA59" s="85">
        <f>BA60+BA61</f>
        <v>0</v>
      </c>
      <c r="BB59" s="60">
        <f>BA59</f>
        <v>0</v>
      </c>
      <c r="BC59" s="85">
        <f>BC60+BC61</f>
        <v>0</v>
      </c>
      <c r="BD59" s="85">
        <f>BD60+BD61</f>
        <v>0</v>
      </c>
      <c r="BE59" s="85">
        <f>BE60+BE61</f>
        <v>0</v>
      </c>
      <c r="BF59" s="85">
        <f>BF60+BF61</f>
        <v>0</v>
      </c>
      <c r="BG59" s="60">
        <f>BF59</f>
        <v>0</v>
      </c>
    </row>
    <row r="60" hidden="1" outlineLevel="1">
      <c r="C60" s="61" t="inlineStr">
        <is>
          <t>Adiantamentos do FHLB e outros</t>
        </is>
      </c>
      <c r="D60" s="62" t="inlineStr">
        <is>
          <t>FHLB advances and other</t>
        </is>
      </c>
      <c r="E60" s="57">
        <f>'Inputs (2)'!E48</f>
        <v>0</v>
      </c>
      <c r="F60" s="57">
        <f>IF(F$14=1,'Inputs (2)'!F48,E60*(1+Inputs!F$280))</f>
        <v>0</v>
      </c>
      <c r="G60" s="57">
        <f>IF(G$14=1,'Inputs (2)'!G48,F60*(1+Inputs!G$280))</f>
        <v>0</v>
      </c>
      <c r="H60" s="57">
        <f>IF(H$14=1,'Inputs (2)'!H48,G60*(1+Inputs!H$280))</f>
        <v>0</v>
      </c>
      <c r="I60" s="77">
        <f>H60</f>
        <v>0</v>
      </c>
      <c r="J60" s="57">
        <f>IF(J$14=1,'Inputs (2)'!J48,H60*(1+Inputs!J$280))</f>
        <v>0</v>
      </c>
      <c r="K60" s="57">
        <f>IF(K$14=1,'Inputs (2)'!K48,J60*(1+Inputs!K$280))</f>
        <v>0</v>
      </c>
      <c r="L60" s="57">
        <f>IF(L$14=1,'Inputs (2)'!L48,K60*(1+Inputs!L$280))</f>
        <v>0</v>
      </c>
      <c r="M60" s="57">
        <f>IF(M$14=1,'Inputs (2)'!M48,L60*(1+Inputs!M$280))</f>
        <v>0</v>
      </c>
      <c r="N60" s="77">
        <f>M60</f>
        <v>0</v>
      </c>
      <c r="O60" s="57">
        <f>IF(O$14=1,'Inputs (2)'!O48,M60*(1+Inputs!O$280))</f>
        <v>0</v>
      </c>
      <c r="P60" s="57">
        <f>IF(P$14=1,'Inputs (2)'!P48,O60*(1+Inputs!P$280))</f>
        <v>0</v>
      </c>
      <c r="Q60" s="57">
        <f>IF(Q$14=1,'Inputs (2)'!Q48,P60*(1+Inputs!Q$280))</f>
        <v>0</v>
      </c>
      <c r="R60" s="57">
        <f>IF(R$14=1,'Inputs (2)'!R48,Q60*(1+Inputs!R$280))</f>
        <v>0</v>
      </c>
      <c r="S60" s="77">
        <f>R60</f>
        <v>0</v>
      </c>
      <c r="T60" s="57">
        <f>IF(T$14=1,'Inputs (2)'!T48,R60*(1+Inputs!T$280))</f>
        <v>0</v>
      </c>
      <c r="U60" s="57">
        <f>IF(U$14=1,'Inputs (2)'!U48,T60*(1+Inputs!U$280))</f>
        <v>0</v>
      </c>
      <c r="V60" s="57">
        <f>IF(V$14=1,'Inputs (2)'!V48,U60*(1+Inputs!V$280))</f>
        <v>0</v>
      </c>
      <c r="W60" s="57">
        <f>IF(W$14=1,'Inputs (2)'!W48,V60*(1+Inputs!W$280))</f>
        <v>0</v>
      </c>
      <c r="X60" s="77">
        <f>W60</f>
        <v>0</v>
      </c>
      <c r="Y60" s="57">
        <f>IF(Y$14=1,'Inputs (2)'!Y48,W60*(1+Inputs!Y$280))</f>
        <v>0</v>
      </c>
      <c r="Z60" s="57">
        <f>IF(Z$14=1,'Inputs (2)'!Z48,Y60*(1+Inputs!Z$280))</f>
        <v>0</v>
      </c>
      <c r="AA60" s="57">
        <f>IF(AA$14=1,'Inputs (2)'!AA48,Z60*(1+Inputs!AA$280))</f>
        <v>0</v>
      </c>
      <c r="AB60" s="57">
        <f>IF(AB$14=1,'Inputs (2)'!AB48,AA60*(1+Inputs!AB$280))</f>
        <v>0</v>
      </c>
      <c r="AC60" s="77">
        <f>AB60</f>
        <v>0</v>
      </c>
      <c r="AD60" s="57">
        <f>IF(AD$14=1,'Inputs (2)'!AD48,AB60*(1+Inputs!AD$280))</f>
        <v>0</v>
      </c>
      <c r="AE60" s="57">
        <f>IF(AE$14=1,'Inputs (2)'!AE48,AD60*(1+Inputs!AE$280))</f>
        <v>0</v>
      </c>
      <c r="AF60" s="57">
        <f>IF(AF$14=1,'Inputs (2)'!AF48,AE60*(1+Inputs!AF$280))</f>
        <v>0</v>
      </c>
      <c r="AG60" s="57">
        <f>IF(AG$14=1,'Inputs (2)'!AG48,AF60*(1+Inputs!AG$280))</f>
        <v>0</v>
      </c>
      <c r="AH60" s="77">
        <f>AG60</f>
        <v>0</v>
      </c>
      <c r="AI60" s="57">
        <f>IF(AI$14=1,'Inputs (2)'!AI48,AG60*(1+Inputs!AI$280))</f>
        <v>0</v>
      </c>
      <c r="AJ60" s="57">
        <f>IF(AJ$14=1,'Inputs (2)'!AJ48,AI60*(1+Inputs!AJ$280))</f>
        <v>0</v>
      </c>
      <c r="AK60" s="57">
        <f>IF(AK$14=1,'Inputs (2)'!AK48,AJ60*(1+Inputs!AK$280))</f>
        <v>0</v>
      </c>
      <c r="AL60" s="57">
        <f>IF(AL$14=1,'Inputs (2)'!AL48,AK60*(1+Inputs!AL$280))</f>
        <v>0</v>
      </c>
      <c r="AM60" s="77">
        <f>AL60</f>
        <v>0</v>
      </c>
      <c r="AN60" s="57">
        <f>IF(AN$14=1,'Inputs (2)'!AN48,AL60*(1+Inputs!AN$280))</f>
        <v>0</v>
      </c>
      <c r="AO60" s="57">
        <f>IF(AO$14=1,'Inputs (2)'!AO48,AN60*(1+Inputs!AO$280))</f>
        <v>0</v>
      </c>
      <c r="AP60" s="57">
        <f>IF(AP$14=1,'Inputs (2)'!AP48,AO60*(1+Inputs!AP$280))</f>
        <v>0</v>
      </c>
      <c r="AQ60" s="57">
        <f>IF(AQ$14=1,'Inputs (2)'!AQ48,AP60*(1+Inputs!AQ$280))</f>
        <v>0</v>
      </c>
      <c r="AR60" s="77">
        <f>AQ60</f>
        <v>0</v>
      </c>
      <c r="AS60" s="57">
        <f>IF(AS$14=1,'Inputs (2)'!AS48,AQ60*(1+Inputs!AS$280))</f>
        <v>0</v>
      </c>
      <c r="AT60" s="57">
        <f>IF(AT$14=1,'Inputs (2)'!AT48,AS60*(1+Inputs!AT$280))</f>
        <v>0</v>
      </c>
      <c r="AU60" s="57">
        <f>IF(AU$14=1,'Inputs (2)'!AU48,AT60*(1+Inputs!AU$280))</f>
        <v>0</v>
      </c>
      <c r="AV60" s="57">
        <f>IF(AV$14=1,'Inputs (2)'!AV48,AU60*(1+Inputs!AV$280))</f>
        <v>0</v>
      </c>
      <c r="AW60" s="77">
        <f>AV60</f>
        <v>0</v>
      </c>
      <c r="AX60" s="57">
        <f>IF(AX$14=1,'Inputs (2)'!AX48,AV60*(1+Inputs!AX$280))</f>
        <v>0</v>
      </c>
      <c r="AY60" s="57">
        <f>IF(AY$14=1,'Inputs (2)'!AY48,AX60*(1+Inputs!AY$280))</f>
        <v>0</v>
      </c>
      <c r="AZ60" s="57">
        <f>IF(AZ$14=1,'Inputs (2)'!AZ48,AY60*(1+Inputs!AZ$280))</f>
        <v>0</v>
      </c>
      <c r="BA60" s="57">
        <f>IF(BA$14=1,'Inputs (2)'!BA48,AZ60*(1+Inputs!BA$280))</f>
        <v>0</v>
      </c>
      <c r="BB60" s="77">
        <f>BA60</f>
        <v>0</v>
      </c>
      <c r="BC60" s="57">
        <f>IF(BC$14=1,'Inputs (2)'!BC48,BA60*(1+Inputs!BC$280))</f>
        <v>0</v>
      </c>
      <c r="BD60" s="57">
        <f>IF(BD$14=1,'Inputs (2)'!BD48,BC60*(1+Inputs!BD$280))</f>
        <v>0</v>
      </c>
      <c r="BE60" s="57">
        <f>IF(BE$14=1,'Inputs (2)'!BE48,BD60*(1+Inputs!BE$280))</f>
        <v>0</v>
      </c>
      <c r="BF60" s="57">
        <f>IF(BF$14=1,'Inputs (2)'!BF48,BE60*(1+Inputs!BF$280))</f>
        <v>0</v>
      </c>
      <c r="BG60" s="77">
        <f>BF60</f>
        <v>0</v>
      </c>
    </row>
    <row r="61" hidden="1" outlineLevel="1">
      <c r="C61" s="61" t="inlineStr">
        <is>
          <t>Outros empréstimos</t>
        </is>
      </c>
      <c r="D61" s="62" t="inlineStr">
        <is>
          <t>Other borrowings</t>
        </is>
      </c>
      <c r="E61" s="57">
        <f>'Inputs (2)'!E49</f>
        <v>0</v>
      </c>
      <c r="F61" s="57">
        <f>IF(F$14=1,'Inputs (2)'!F49,E61*(1+Inputs!F$280))</f>
        <v>0</v>
      </c>
      <c r="G61" s="57">
        <f>IF(G$14=1,'Inputs (2)'!G49,F61*(1+Inputs!G$280))</f>
        <v>0</v>
      </c>
      <c r="H61" s="57">
        <f>IF(H$14=1,'Inputs (2)'!H49,G61*(1+Inputs!H$280))</f>
        <v>0</v>
      </c>
      <c r="I61" s="77">
        <f>H61</f>
        <v>0</v>
      </c>
      <c r="J61" s="57">
        <f>IF(J$14=1,'Inputs (2)'!J49,H61*(1+Inputs!J$280))</f>
        <v>0</v>
      </c>
      <c r="K61" s="57">
        <f>IF(K$14=1,'Inputs (2)'!K49,J61*(1+Inputs!K$280))</f>
        <v>0</v>
      </c>
      <c r="L61" s="57">
        <f>IF(L$14=1,'Inputs (2)'!L49,K61*(1+Inputs!L$280))</f>
        <v>0</v>
      </c>
      <c r="M61" s="57">
        <f>IF(M$14=1,'Inputs (2)'!M49,L61*(1+Inputs!M$280))</f>
        <v>0</v>
      </c>
      <c r="N61" s="77">
        <f>M61</f>
        <v>0</v>
      </c>
      <c r="O61" s="57">
        <f>IF(O$14=1,'Inputs (2)'!O49,M61*(1+Inputs!O$280))</f>
        <v>0</v>
      </c>
      <c r="P61" s="57">
        <f>IF(P$14=1,'Inputs (2)'!P49,O61*(1+Inputs!P$280))</f>
        <v>0</v>
      </c>
      <c r="Q61" s="57">
        <f>IF(Q$14=1,'Inputs (2)'!Q49,P61*(1+Inputs!Q$280))</f>
        <v>0</v>
      </c>
      <c r="R61" s="57">
        <f>IF(R$14=1,'Inputs (2)'!R49,Q61*(1+Inputs!R$280))</f>
        <v>0</v>
      </c>
      <c r="S61" s="77">
        <f>R61</f>
        <v>0</v>
      </c>
      <c r="T61" s="57">
        <f>IF(T$14=1,'Inputs (2)'!T49,R61*(1+Inputs!T$280))</f>
        <v>0</v>
      </c>
      <c r="U61" s="57">
        <f>IF(U$14=1,'Inputs (2)'!U49,T61*(1+Inputs!U$280))</f>
        <v>0</v>
      </c>
      <c r="V61" s="57">
        <f>IF(V$14=1,'Inputs (2)'!V49,U61*(1+Inputs!V$280))</f>
        <v>0</v>
      </c>
      <c r="W61" s="57">
        <f>IF(W$14=1,'Inputs (2)'!W49,V61*(1+Inputs!W$280))</f>
        <v>0</v>
      </c>
      <c r="X61" s="77">
        <f>W61</f>
        <v>0</v>
      </c>
      <c r="Y61" s="57">
        <f>IF(Y$14=1,'Inputs (2)'!Y49,W61*(1+Inputs!Y$280))</f>
        <v>0</v>
      </c>
      <c r="Z61" s="57">
        <f>IF(Z$14=1,'Inputs (2)'!Z49,Y61*(1+Inputs!Z$280))</f>
        <v>0</v>
      </c>
      <c r="AA61" s="57">
        <f>IF(AA$14=1,'Inputs (2)'!AA49,Z61*(1+Inputs!AA$280))</f>
        <v>0</v>
      </c>
      <c r="AB61" s="57">
        <f>IF(AB$14=1,'Inputs (2)'!AB49,AA61*(1+Inputs!AB$280))</f>
        <v>0</v>
      </c>
      <c r="AC61" s="77">
        <f>AB61</f>
        <v>0</v>
      </c>
      <c r="AD61" s="57">
        <f>IF(AD$14=1,'Inputs (2)'!AD49,AB61*(1+Inputs!AD$280))</f>
        <v>0</v>
      </c>
      <c r="AE61" s="57">
        <f>IF(AE$14=1,'Inputs (2)'!AE49,AD61*(1+Inputs!AE$280))</f>
        <v>0</v>
      </c>
      <c r="AF61" s="57">
        <f>IF(AF$14=1,'Inputs (2)'!AF49,AE61*(1+Inputs!AF$280))</f>
        <v>0</v>
      </c>
      <c r="AG61" s="57">
        <f>IF(AG$14=1,'Inputs (2)'!AG49,AF61*(1+Inputs!AG$280))</f>
        <v>0</v>
      </c>
      <c r="AH61" s="77">
        <f>AG61</f>
        <v>0</v>
      </c>
      <c r="AI61" s="57">
        <f>IF(AI$14=1,'Inputs (2)'!AI49,AG61*(1+Inputs!AI$280))</f>
        <v>0</v>
      </c>
      <c r="AJ61" s="57">
        <f>IF(AJ$14=1,'Inputs (2)'!AJ49,AI61*(1+Inputs!AJ$280))</f>
        <v>0</v>
      </c>
      <c r="AK61" s="57">
        <f>IF(AK$14=1,'Inputs (2)'!AK49,AJ61*(1+Inputs!AK$280))</f>
        <v>0</v>
      </c>
      <c r="AL61" s="57">
        <f>IF(AL$14=1,'Inputs (2)'!AL49,AK61*(1+Inputs!AL$280))</f>
        <v>0</v>
      </c>
      <c r="AM61" s="77">
        <f>AL61</f>
        <v>0</v>
      </c>
      <c r="AN61" s="57">
        <f>IF(AN$14=1,'Inputs (2)'!AN49,AL61*(1+Inputs!AN$280))</f>
        <v>0</v>
      </c>
      <c r="AO61" s="57">
        <f>IF(AO$14=1,'Inputs (2)'!AO49,AN61*(1+Inputs!AO$280))</f>
        <v>0</v>
      </c>
      <c r="AP61" s="57">
        <f>IF(AP$14=1,'Inputs (2)'!AP49,AO61*(1+Inputs!AP$280))</f>
        <v>0</v>
      </c>
      <c r="AQ61" s="57">
        <f>IF(AQ$14=1,'Inputs (2)'!AQ49,AP61*(1+Inputs!AQ$280))</f>
        <v>0</v>
      </c>
      <c r="AR61" s="77">
        <f>AQ61</f>
        <v>0</v>
      </c>
      <c r="AS61" s="57">
        <f>IF(AS$14=1,'Inputs (2)'!AS49,AQ61*(1+Inputs!AS$280))</f>
        <v>0</v>
      </c>
      <c r="AT61" s="57">
        <f>IF(AT$14=1,'Inputs (2)'!AT49,AS61*(1+Inputs!AT$280))</f>
        <v>0</v>
      </c>
      <c r="AU61" s="57">
        <f>IF(AU$14=1,'Inputs (2)'!AU49,AT61*(1+Inputs!AU$280))</f>
        <v>0</v>
      </c>
      <c r="AV61" s="57">
        <f>IF(AV$14=1,'Inputs (2)'!AV49,AU61*(1+Inputs!AV$280))</f>
        <v>0</v>
      </c>
      <c r="AW61" s="77">
        <f>AV61</f>
        <v>0</v>
      </c>
      <c r="AX61" s="57">
        <f>IF(AX$14=1,'Inputs (2)'!AX49,AV61*(1+Inputs!AX$280))</f>
        <v>0</v>
      </c>
      <c r="AY61" s="57">
        <f>IF(AY$14=1,'Inputs (2)'!AY49,AX61*(1+Inputs!AY$280))</f>
        <v>0</v>
      </c>
      <c r="AZ61" s="57">
        <f>IF(AZ$14=1,'Inputs (2)'!AZ49,AY61*(1+Inputs!AZ$280))</f>
        <v>0</v>
      </c>
      <c r="BA61" s="57">
        <f>IF(BA$14=1,'Inputs (2)'!BA49,AZ61*(1+Inputs!BA$280))</f>
        <v>0</v>
      </c>
      <c r="BB61" s="77">
        <f>BA61</f>
        <v>0</v>
      </c>
      <c r="BC61" s="57">
        <f>IF(BC$14=1,'Inputs (2)'!BC49,BA61*(1+Inputs!BC$280))</f>
        <v>0</v>
      </c>
      <c r="BD61" s="57">
        <f>IF(BD$14=1,'Inputs (2)'!BD49,BC61*(1+Inputs!BD$280))</f>
        <v>0</v>
      </c>
      <c r="BE61" s="57">
        <f>IF(BE$14=1,'Inputs (2)'!BE49,BD61*(1+Inputs!BE$280))</f>
        <v>0</v>
      </c>
      <c r="BF61" s="57">
        <f>IF(BF$14=1,'Inputs (2)'!BF49,BE61*(1+Inputs!BF$280))</f>
        <v>0</v>
      </c>
      <c r="BG61" s="77">
        <f>BF61</f>
        <v>0</v>
      </c>
    </row>
    <row r="62" collapsed="1">
      <c r="C62" s="80" t="inlineStr">
        <is>
          <t>Passivos de trading (inclui derivativos a pagar)</t>
        </is>
      </c>
      <c r="D62" s="81" t="inlineStr">
        <is>
          <t>Trading liabilities</t>
        </is>
      </c>
      <c r="E62" s="82">
        <f>'Inputs (2)'!E50</f>
        <v>0</v>
      </c>
      <c r="F62" s="82">
        <f>IF(F$14=1,'Inputs (2)'!F50,E62)</f>
        <v>0</v>
      </c>
      <c r="G62" s="82">
        <f>IF(G$14=1,'Inputs (2)'!G50,F62)</f>
        <v>0</v>
      </c>
      <c r="H62" s="82">
        <f>IF(H$14=1,'Inputs (2)'!H50,G62)</f>
        <v>0</v>
      </c>
      <c r="I62" s="77">
        <f>H62</f>
        <v>0</v>
      </c>
      <c r="J62" s="82">
        <f>IF(J$14=1,'Inputs (2)'!J50,H62)</f>
        <v>0</v>
      </c>
      <c r="K62" s="82">
        <f>IF(K$14=1,'Inputs (2)'!K50,J62)</f>
        <v>0</v>
      </c>
      <c r="L62" s="82">
        <f>IF(L$14=1,'Inputs (2)'!L50,K62)</f>
        <v>0</v>
      </c>
      <c r="M62" s="82">
        <f>IF(M$14=1,'Inputs (2)'!M50,L62)</f>
        <v>0</v>
      </c>
      <c r="N62" s="77">
        <f>M62</f>
        <v>0</v>
      </c>
      <c r="O62" s="82">
        <f>IF(O$14=1,'Inputs (2)'!O50,M62)</f>
        <v>0</v>
      </c>
      <c r="P62" s="82">
        <f>IF(P$14=1,'Inputs (2)'!P50,O62)</f>
        <v>0</v>
      </c>
      <c r="Q62" s="82">
        <f>IF(Q$14=1,'Inputs (2)'!Q50,P62)</f>
        <v>0</v>
      </c>
      <c r="R62" s="82">
        <f>IF(R$14=1,'Inputs (2)'!R50,Q62)</f>
        <v>0</v>
      </c>
      <c r="S62" s="77">
        <f>R62</f>
        <v>0</v>
      </c>
      <c r="T62" s="82">
        <f>IF(T$14=1,'Inputs (2)'!T50,R62)</f>
        <v>0</v>
      </c>
      <c r="U62" s="82">
        <f>IF(U$14=1,'Inputs (2)'!U50,T62)</f>
        <v>0</v>
      </c>
      <c r="V62" s="82">
        <f>IF(V$14=1,'Inputs (2)'!V50,U62)</f>
        <v>0</v>
      </c>
      <c r="W62" s="82">
        <f>IF(W$14=1,'Inputs (2)'!W50,V62)</f>
        <v>0</v>
      </c>
      <c r="X62" s="77">
        <f>W62</f>
        <v>0</v>
      </c>
      <c r="Y62" s="82">
        <f>IF(Y$14=1,'Inputs (2)'!Y50,W62)</f>
        <v>0</v>
      </c>
      <c r="Z62" s="82">
        <f>IF(Z$14=1,'Inputs (2)'!Z50,Y62)</f>
        <v>0</v>
      </c>
      <c r="AA62" s="82">
        <f>IF(AA$14=1,'Inputs (2)'!AA50,Z62)</f>
        <v>0</v>
      </c>
      <c r="AB62" s="82">
        <f>IF(AB$14=1,'Inputs (2)'!AB50,AA62)</f>
        <v>0</v>
      </c>
      <c r="AC62" s="77">
        <f>AB62</f>
        <v>0</v>
      </c>
      <c r="AD62" s="82">
        <f>IF(AD$14=1,'Inputs (2)'!AD50,AB62)</f>
        <v>0</v>
      </c>
      <c r="AE62" s="82">
        <f>IF(AE$14=1,'Inputs (2)'!AE50,AD62)</f>
        <v>0</v>
      </c>
      <c r="AF62" s="82">
        <f>IF(AF$14=1,'Inputs (2)'!AF50,AE62)</f>
        <v>0</v>
      </c>
      <c r="AG62" s="82">
        <f>IF(AG$14=1,'Inputs (2)'!AG50,AF62)</f>
        <v>0</v>
      </c>
      <c r="AH62" s="77">
        <f>AG62</f>
        <v>0</v>
      </c>
      <c r="AI62" s="82">
        <f>IF(AI$14=1,'Inputs (2)'!AI50,AG62)</f>
        <v>0</v>
      </c>
      <c r="AJ62" s="82">
        <f>IF(AJ$14=1,'Inputs (2)'!AJ50,AI62)</f>
        <v>0</v>
      </c>
      <c r="AK62" s="82">
        <f>IF(AK$14=1,'Inputs (2)'!AK50,AJ62)</f>
        <v>0</v>
      </c>
      <c r="AL62" s="82">
        <f>IF(AL$14=1,'Inputs (2)'!AL50,AK62)</f>
        <v>0</v>
      </c>
      <c r="AM62" s="77">
        <f>AL62</f>
        <v>0</v>
      </c>
      <c r="AN62" s="82">
        <f>IF(AN$14=1,'Inputs (2)'!AN50,AL62)</f>
        <v>0</v>
      </c>
      <c r="AO62" s="82">
        <f>IF(AO$14=1,'Inputs (2)'!AO50,AN62)</f>
        <v>0</v>
      </c>
      <c r="AP62" s="82">
        <f>IF(AP$14=1,'Inputs (2)'!AP50,AO62)</f>
        <v>0</v>
      </c>
      <c r="AQ62" s="82">
        <f>IF(AQ$14=1,'Inputs (2)'!AQ50,AP62)</f>
        <v>0</v>
      </c>
      <c r="AR62" s="77">
        <f>AQ62</f>
        <v>0</v>
      </c>
      <c r="AS62" s="82">
        <f>IF(AS$14=1,'Inputs (2)'!AS50,AQ62)</f>
        <v>0</v>
      </c>
      <c r="AT62" s="82">
        <f>IF(AT$14=1,'Inputs (2)'!AT50,AS62)</f>
        <v>0</v>
      </c>
      <c r="AU62" s="82">
        <f>IF(AU$14=1,'Inputs (2)'!AU50,AT62)</f>
        <v>0</v>
      </c>
      <c r="AV62" s="82">
        <f>IF(AV$14=1,'Inputs (2)'!AV50,AU62)</f>
        <v>0</v>
      </c>
      <c r="AW62" s="77">
        <f>AV62</f>
        <v>0</v>
      </c>
      <c r="AX62" s="82">
        <f>IF(AX$14=1,'Inputs (2)'!AX50,AV62)</f>
        <v>0</v>
      </c>
      <c r="AY62" s="82">
        <f>IF(AY$14=1,'Inputs (2)'!AY50,AX62)</f>
        <v>0</v>
      </c>
      <c r="AZ62" s="82">
        <f>IF(AZ$14=1,'Inputs (2)'!AZ50,AY62)</f>
        <v>0</v>
      </c>
      <c r="BA62" s="82">
        <f>IF(BA$14=1,'Inputs (2)'!BA50,AZ62)</f>
        <v>0</v>
      </c>
      <c r="BB62" s="77">
        <f>BA62</f>
        <v>0</v>
      </c>
      <c r="BC62" s="82">
        <f>IF(BC$14=1,'Inputs (2)'!BC50,BA62)</f>
        <v>0</v>
      </c>
      <c r="BD62" s="82">
        <f>IF(BD$14=1,'Inputs (2)'!BD50,BC62)</f>
        <v>0</v>
      </c>
      <c r="BE62" s="82">
        <f>IF(BE$14=1,'Inputs (2)'!BE50,BD62)</f>
        <v>0</v>
      </c>
      <c r="BF62" s="82">
        <f>IF(BF$14=1,'Inputs (2)'!BF50,BE62)</f>
        <v>0</v>
      </c>
      <c r="BG62" s="77">
        <f>BF62</f>
        <v>0</v>
      </c>
    </row>
    <row r="63">
      <c r="C63" s="80" t="inlineStr">
        <is>
          <t>Obrigações com corretoras e clientes</t>
        </is>
      </c>
      <c r="D63" s="81" t="inlineStr">
        <is>
          <t>Payables to brokers and customers</t>
        </is>
      </c>
      <c r="E63" s="82">
        <f>'Inputs (2)'!E51</f>
        <v>0</v>
      </c>
      <c r="F63" s="82">
        <f>IF(F$14=1,'Inputs (2)'!F51,E63*(1+Inputs!F$283))</f>
        <v>0</v>
      </c>
      <c r="G63" s="82">
        <f>IF(G$14=1,'Inputs (2)'!G51,F63*(1+Inputs!G$283))</f>
        <v>0</v>
      </c>
      <c r="H63" s="82">
        <f>IF(H$14=1,'Inputs (2)'!H51,G63*(1+Inputs!H$283))</f>
        <v>0</v>
      </c>
      <c r="I63" s="77">
        <f>H63</f>
        <v>0</v>
      </c>
      <c r="J63" s="82">
        <f>IF(J$14=1,'Inputs (2)'!J51,H63*(1+Inputs!J$283))</f>
        <v>0</v>
      </c>
      <c r="K63" s="82">
        <f>IF(K$14=1,'Inputs (2)'!K51,J63*(1+Inputs!K$283))</f>
        <v>0</v>
      </c>
      <c r="L63" s="82">
        <f>IF(L$14=1,'Inputs (2)'!L51,K63*(1+Inputs!L$283))</f>
        <v>0</v>
      </c>
      <c r="M63" s="82">
        <f>IF(M$14=1,'Inputs (2)'!M51,L63*(1+Inputs!M$283))</f>
        <v>0</v>
      </c>
      <c r="N63" s="77">
        <f>M63</f>
        <v>0</v>
      </c>
      <c r="O63" s="82">
        <f>IF(O$14=1,'Inputs (2)'!O51,M63*(1+Inputs!O$283))</f>
        <v>0</v>
      </c>
      <c r="P63" s="82">
        <f>IF(P$14=1,'Inputs (2)'!P51,O63*(1+Inputs!P$283))</f>
        <v>0</v>
      </c>
      <c r="Q63" s="82">
        <f>IF(Q$14=1,'Inputs (2)'!Q51,P63*(1+Inputs!Q$283))</f>
        <v>0</v>
      </c>
      <c r="R63" s="82">
        <f>IF(R$14=1,'Inputs (2)'!R51,Q63*(1+Inputs!R$283))</f>
        <v>0</v>
      </c>
      <c r="S63" s="77">
        <f>R63</f>
        <v>0</v>
      </c>
      <c r="T63" s="82">
        <f>IF(T$14=1,'Inputs (2)'!T51,R63*(1+Inputs!T$283))</f>
        <v>0</v>
      </c>
      <c r="U63" s="82">
        <f>IF(U$14=1,'Inputs (2)'!U51,T63*(1+Inputs!U$283))</f>
        <v>0</v>
      </c>
      <c r="V63" s="82">
        <f>IF(V$14=1,'Inputs (2)'!V51,U63*(1+Inputs!V$283))</f>
        <v>0</v>
      </c>
      <c r="W63" s="82">
        <f>IF(W$14=1,'Inputs (2)'!W51,V63*(1+Inputs!W$283))</f>
        <v>0</v>
      </c>
      <c r="X63" s="77">
        <f>W63</f>
        <v>0</v>
      </c>
      <c r="Y63" s="82">
        <f>IF(Y$14=1,'Inputs (2)'!Y51,W63*(1+Inputs!Y$283))</f>
        <v>0</v>
      </c>
      <c r="Z63" s="82">
        <f>IF(Z$14=1,'Inputs (2)'!Z51,Y63*(1+Inputs!Z$283))</f>
        <v>0</v>
      </c>
      <c r="AA63" s="82">
        <f>IF(AA$14=1,'Inputs (2)'!AA51,Z63*(1+Inputs!AA$283))</f>
        <v>0</v>
      </c>
      <c r="AB63" s="82">
        <f>IF(AB$14=1,'Inputs (2)'!AB51,AA63*(1+Inputs!AB$283))</f>
        <v>0</v>
      </c>
      <c r="AC63" s="77">
        <f>AB63</f>
        <v>0</v>
      </c>
      <c r="AD63" s="82">
        <f>IF(AD$14=1,'Inputs (2)'!AD51,AB63*(1+Inputs!AD$283))</f>
        <v>0</v>
      </c>
      <c r="AE63" s="82">
        <f>IF(AE$14=1,'Inputs (2)'!AE51,AD63*(1+Inputs!AE$283))</f>
        <v>0</v>
      </c>
      <c r="AF63" s="82">
        <f>IF(AF$14=1,'Inputs (2)'!AF51,AE63*(1+Inputs!AF$283))</f>
        <v>0</v>
      </c>
      <c r="AG63" s="82">
        <f>IF(AG$14=1,'Inputs (2)'!AG51,AF63*(1+Inputs!AG$283))</f>
        <v>0</v>
      </c>
      <c r="AH63" s="77">
        <f>AG63</f>
        <v>0</v>
      </c>
      <c r="AI63" s="82">
        <f>IF(AI$14=1,'Inputs (2)'!AI51,AG63*(1+Inputs!AI$283))</f>
        <v>0</v>
      </c>
      <c r="AJ63" s="82">
        <f>IF(AJ$14=1,'Inputs (2)'!AJ51,AI63*(1+Inputs!AJ$283))</f>
        <v>0</v>
      </c>
      <c r="AK63" s="82">
        <f>IF(AK$14=1,'Inputs (2)'!AK51,AJ63*(1+Inputs!AK$283))</f>
        <v>0</v>
      </c>
      <c r="AL63" s="82">
        <f>IF(AL$14=1,'Inputs (2)'!AL51,AK63*(1+Inputs!AL$283))</f>
        <v>0</v>
      </c>
      <c r="AM63" s="77">
        <f>AL63</f>
        <v>0</v>
      </c>
      <c r="AN63" s="82">
        <f>IF(AN$14=1,'Inputs (2)'!AN51,AL63*(1+Inputs!AN$283))</f>
        <v>0</v>
      </c>
      <c r="AO63" s="82">
        <f>IF(AO$14=1,'Inputs (2)'!AO51,AN63*(1+Inputs!AO$283))</f>
        <v>0</v>
      </c>
      <c r="AP63" s="82">
        <f>IF(AP$14=1,'Inputs (2)'!AP51,AO63*(1+Inputs!AP$283))</f>
        <v>0</v>
      </c>
      <c r="AQ63" s="82">
        <f>IF(AQ$14=1,'Inputs (2)'!AQ51,AP63*(1+Inputs!AQ$283))</f>
        <v>0</v>
      </c>
      <c r="AR63" s="77">
        <f>AQ63</f>
        <v>0</v>
      </c>
      <c r="AS63" s="82">
        <f>IF(AS$14=1,'Inputs (2)'!AS51,AQ63*(1+Inputs!AS$283))</f>
        <v>0</v>
      </c>
      <c r="AT63" s="82">
        <f>IF(AT$14=1,'Inputs (2)'!AT51,AS63*(1+Inputs!AT$283))</f>
        <v>0</v>
      </c>
      <c r="AU63" s="82">
        <f>IF(AU$14=1,'Inputs (2)'!AU51,AT63*(1+Inputs!AU$283))</f>
        <v>0</v>
      </c>
      <c r="AV63" s="82">
        <f>IF(AV$14=1,'Inputs (2)'!AV51,AU63*(1+Inputs!AV$283))</f>
        <v>0</v>
      </c>
      <c r="AW63" s="77">
        <f>AV63</f>
        <v>0</v>
      </c>
      <c r="AX63" s="82">
        <f>IF(AX$14=1,'Inputs (2)'!AX51,AV63*(1+Inputs!AX$283))</f>
        <v>0</v>
      </c>
      <c r="AY63" s="82">
        <f>IF(AY$14=1,'Inputs (2)'!AY51,AX63*(1+Inputs!AY$283))</f>
        <v>0</v>
      </c>
      <c r="AZ63" s="82">
        <f>IF(AZ$14=1,'Inputs (2)'!AZ51,AY63*(1+Inputs!AZ$283))</f>
        <v>0</v>
      </c>
      <c r="BA63" s="82">
        <f>IF(BA$14=1,'Inputs (2)'!BA51,AZ63*(1+Inputs!BA$283))</f>
        <v>0</v>
      </c>
      <c r="BB63" s="77">
        <f>BA63</f>
        <v>0</v>
      </c>
      <c r="BC63" s="82">
        <f>IF(BC$14=1,'Inputs (2)'!BC51,BA63*(1+Inputs!BC$283))</f>
        <v>0</v>
      </c>
      <c r="BD63" s="82">
        <f>IF(BD$14=1,'Inputs (2)'!BD51,BC63*(1+Inputs!BD$283))</f>
        <v>0</v>
      </c>
      <c r="BE63" s="82">
        <f>IF(BE$14=1,'Inputs (2)'!BE51,BD63*(1+Inputs!BE$283))</f>
        <v>0</v>
      </c>
      <c r="BF63" s="82">
        <f>IF(BF$14=1,'Inputs (2)'!BF51,BE63*(1+Inputs!BF$283))</f>
        <v>0</v>
      </c>
      <c r="BG63" s="77">
        <f>BF63</f>
        <v>0</v>
      </c>
    </row>
    <row r="64">
      <c r="C64" s="80" t="inlineStr">
        <is>
          <t>Provisão para compromissos de crédito</t>
        </is>
      </c>
      <c r="D64" s="81" t="inlineStr">
        <is>
          <t>Allowance for lending-related commitments</t>
        </is>
      </c>
      <c r="E64" s="82">
        <f>'Inputs (2)'!E52</f>
        <v>0</v>
      </c>
      <c r="F64" s="82">
        <f>IF(F$14=1,'Inputs (2)'!F52,E64)</f>
        <v>0</v>
      </c>
      <c r="G64" s="82">
        <f>IF(G$14=1,'Inputs (2)'!G52,F64)</f>
        <v>0</v>
      </c>
      <c r="H64" s="82">
        <f>IF(H$14=1,'Inputs (2)'!H52,G64)</f>
        <v>0</v>
      </c>
      <c r="I64" s="77">
        <f>H64</f>
        <v>0</v>
      </c>
      <c r="J64" s="82">
        <f>IF(J$14=1,'Inputs (2)'!J52,H64)</f>
        <v>0</v>
      </c>
      <c r="K64" s="82">
        <f>IF(K$14=1,'Inputs (2)'!K52,J64)</f>
        <v>0</v>
      </c>
      <c r="L64" s="82">
        <f>IF(L$14=1,'Inputs (2)'!L52,K64)</f>
        <v>0</v>
      </c>
      <c r="M64" s="82">
        <f>IF(M$14=1,'Inputs (2)'!M52,L64)</f>
        <v>0</v>
      </c>
      <c r="N64" s="77">
        <f>M64</f>
        <v>0</v>
      </c>
      <c r="O64" s="82">
        <f>IF(O$14=1,'Inputs (2)'!O52,M64)</f>
        <v>0</v>
      </c>
      <c r="P64" s="82">
        <f>IF(P$14=1,'Inputs (2)'!P52,O64)</f>
        <v>0</v>
      </c>
      <c r="Q64" s="82">
        <f>IF(Q$14=1,'Inputs (2)'!Q52,P64)</f>
        <v>0</v>
      </c>
      <c r="R64" s="82">
        <f>IF(R$14=1,'Inputs (2)'!R52,Q64)</f>
        <v>0</v>
      </c>
      <c r="S64" s="77">
        <f>R64</f>
        <v>0</v>
      </c>
      <c r="T64" s="82">
        <f>IF(T$14=1,'Inputs (2)'!T52,R64)</f>
        <v>0</v>
      </c>
      <c r="U64" s="82">
        <f>IF(U$14=1,'Inputs (2)'!U52,T64)</f>
        <v>0</v>
      </c>
      <c r="V64" s="82">
        <f>IF(V$14=1,'Inputs (2)'!V52,U64)</f>
        <v>0</v>
      </c>
      <c r="W64" s="82">
        <f>IF(W$14=1,'Inputs (2)'!W52,V64)</f>
        <v>0</v>
      </c>
      <c r="X64" s="77">
        <f>W64</f>
        <v>0</v>
      </c>
      <c r="Y64" s="82">
        <f>IF(Y$14=1,'Inputs (2)'!Y52,W64)</f>
        <v>0</v>
      </c>
      <c r="Z64" s="82">
        <f>IF(Z$14=1,'Inputs (2)'!Z52,Y64)</f>
        <v>0</v>
      </c>
      <c r="AA64" s="82">
        <f>IF(AA$14=1,'Inputs (2)'!AA52,Z64)</f>
        <v>0</v>
      </c>
      <c r="AB64" s="82">
        <f>IF(AB$14=1,'Inputs (2)'!AB52,AA64)</f>
        <v>0</v>
      </c>
      <c r="AC64" s="77">
        <f>AB64</f>
        <v>0</v>
      </c>
      <c r="AD64" s="82">
        <f>IF(AD$14=1,'Inputs (2)'!AD52,AB64)</f>
        <v>0</v>
      </c>
      <c r="AE64" s="82">
        <f>IF(AE$14=1,'Inputs (2)'!AE52,AD64)</f>
        <v>0</v>
      </c>
      <c r="AF64" s="82">
        <f>IF(AF$14=1,'Inputs (2)'!AF52,AE64)</f>
        <v>0</v>
      </c>
      <c r="AG64" s="82">
        <f>IF(AG$14=1,'Inputs (2)'!AG52,AF64)</f>
        <v>0</v>
      </c>
      <c r="AH64" s="77">
        <f>AG64</f>
        <v>0</v>
      </c>
      <c r="AI64" s="82">
        <f>IF(AI$14=1,'Inputs (2)'!AI52,AG64)</f>
        <v>0</v>
      </c>
      <c r="AJ64" s="82">
        <f>IF(AJ$14=1,'Inputs (2)'!AJ52,AI64)</f>
        <v>0</v>
      </c>
      <c r="AK64" s="82">
        <f>IF(AK$14=1,'Inputs (2)'!AK52,AJ64)</f>
        <v>0</v>
      </c>
      <c r="AL64" s="82">
        <f>IF(AL$14=1,'Inputs (2)'!AL52,AK64)</f>
        <v>0</v>
      </c>
      <c r="AM64" s="77">
        <f>AL64</f>
        <v>0</v>
      </c>
      <c r="AN64" s="82">
        <f>IF(AN$14=1,'Inputs (2)'!AN52,AL64)</f>
        <v>0</v>
      </c>
      <c r="AO64" s="82">
        <f>IF(AO$14=1,'Inputs (2)'!AO52,AN64)</f>
        <v>0</v>
      </c>
      <c r="AP64" s="82">
        <f>IF(AP$14=1,'Inputs (2)'!AP52,AO64)</f>
        <v>0</v>
      </c>
      <c r="AQ64" s="82">
        <f>IF(AQ$14=1,'Inputs (2)'!AQ52,AP64)</f>
        <v>0</v>
      </c>
      <c r="AR64" s="77">
        <f>AQ64</f>
        <v>0</v>
      </c>
      <c r="AS64" s="82">
        <f>IF(AS$14=1,'Inputs (2)'!AS52,AQ64)</f>
        <v>0</v>
      </c>
      <c r="AT64" s="82">
        <f>IF(AT$14=1,'Inputs (2)'!AT52,AS64)</f>
        <v>0</v>
      </c>
      <c r="AU64" s="82">
        <f>IF(AU$14=1,'Inputs (2)'!AU52,AT64)</f>
        <v>0</v>
      </c>
      <c r="AV64" s="82">
        <f>IF(AV$14=1,'Inputs (2)'!AV52,AU64)</f>
        <v>0</v>
      </c>
      <c r="AW64" s="77">
        <f>AV64</f>
        <v>0</v>
      </c>
      <c r="AX64" s="82">
        <f>IF(AX$14=1,'Inputs (2)'!AX52,AV64)</f>
        <v>0</v>
      </c>
      <c r="AY64" s="82">
        <f>IF(AY$14=1,'Inputs (2)'!AY52,AX64)</f>
        <v>0</v>
      </c>
      <c r="AZ64" s="82">
        <f>IF(AZ$14=1,'Inputs (2)'!AZ52,AY64)</f>
        <v>0</v>
      </c>
      <c r="BA64" s="82">
        <f>IF(BA$14=1,'Inputs (2)'!BA52,AZ64)</f>
        <v>0</v>
      </c>
      <c r="BB64" s="77">
        <f>BA64</f>
        <v>0</v>
      </c>
      <c r="BC64" s="82">
        <f>IF(BC$14=1,'Inputs (2)'!BC52,BA64)</f>
        <v>0</v>
      </c>
      <c r="BD64" s="82">
        <f>IF(BD$14=1,'Inputs (2)'!BD52,BC64)</f>
        <v>0</v>
      </c>
      <c r="BE64" s="82">
        <f>IF(BE$14=1,'Inputs (2)'!BE52,BD64)</f>
        <v>0</v>
      </c>
      <c r="BF64" s="82">
        <f>IF(BF$14=1,'Inputs (2)'!BF52,BE64)</f>
        <v>0</v>
      </c>
      <c r="BG64" s="77">
        <f>BF64</f>
        <v>0</v>
      </c>
    </row>
    <row r="65">
      <c r="C65" s="80" t="inlineStr">
        <is>
          <t>Reservas de seguros</t>
        </is>
      </c>
      <c r="D65" s="81" t="inlineStr">
        <is>
          <t>Insurance reserves</t>
        </is>
      </c>
      <c r="E65" s="82">
        <f>'Inputs (2)'!E53</f>
        <v>0</v>
      </c>
      <c r="F65" s="82">
        <f>IF(F$14=1,'Inputs (2)'!F53,E65*(1+Inputs!F$283))</f>
        <v>0</v>
      </c>
      <c r="G65" s="82">
        <f>IF(G$14=1,'Inputs (2)'!G53,F65*(1+Inputs!G$283))</f>
        <v>0</v>
      </c>
      <c r="H65" s="82">
        <f>IF(H$14=1,'Inputs (2)'!H53,G65*(1+Inputs!H$283))</f>
        <v>0</v>
      </c>
      <c r="I65" s="77">
        <f>H65</f>
        <v>0</v>
      </c>
      <c r="J65" s="82">
        <f>IF(J$14=1,'Inputs (2)'!J53,H65*(1+Inputs!J$283))</f>
        <v>0</v>
      </c>
      <c r="K65" s="82">
        <f>IF(K$14=1,'Inputs (2)'!K53,J65*(1+Inputs!K$283))</f>
        <v>0</v>
      </c>
      <c r="L65" s="82">
        <f>IF(L$14=1,'Inputs (2)'!L53,K65*(1+Inputs!L$283))</f>
        <v>0</v>
      </c>
      <c r="M65" s="82">
        <f>IF(M$14=1,'Inputs (2)'!M53,L65*(1+Inputs!M$283))</f>
        <v>0</v>
      </c>
      <c r="N65" s="77">
        <f>M65</f>
        <v>0</v>
      </c>
      <c r="O65" s="82">
        <f>IF(O$14=1,'Inputs (2)'!O53,M65*(1+Inputs!O$283))</f>
        <v>0</v>
      </c>
      <c r="P65" s="82">
        <f>IF(P$14=1,'Inputs (2)'!P53,O65*(1+Inputs!P$283))</f>
        <v>0</v>
      </c>
      <c r="Q65" s="82">
        <f>IF(Q$14=1,'Inputs (2)'!Q53,P65*(1+Inputs!Q$283))</f>
        <v>0</v>
      </c>
      <c r="R65" s="82">
        <f>IF(R$14=1,'Inputs (2)'!R53,Q65*(1+Inputs!R$283))</f>
        <v>0</v>
      </c>
      <c r="S65" s="77">
        <f>R65</f>
        <v>0</v>
      </c>
      <c r="T65" s="82">
        <f>IF(T$14=1,'Inputs (2)'!T53,R65*(1+Inputs!T$283))</f>
        <v>0</v>
      </c>
      <c r="U65" s="82">
        <f>IF(U$14=1,'Inputs (2)'!U53,T65*(1+Inputs!U$283))</f>
        <v>0</v>
      </c>
      <c r="V65" s="82">
        <f>IF(V$14=1,'Inputs (2)'!V53,U65*(1+Inputs!V$283))</f>
        <v>0</v>
      </c>
      <c r="W65" s="82">
        <f>IF(W$14=1,'Inputs (2)'!W53,V65*(1+Inputs!W$283))</f>
        <v>0</v>
      </c>
      <c r="X65" s="77">
        <f>W65</f>
        <v>0</v>
      </c>
      <c r="Y65" s="82">
        <f>IF(Y$14=1,'Inputs (2)'!Y53,W65*(1+Inputs!Y$283))</f>
        <v>0</v>
      </c>
      <c r="Z65" s="82">
        <f>IF(Z$14=1,'Inputs (2)'!Z53,Y65*(1+Inputs!Z$283))</f>
        <v>0</v>
      </c>
      <c r="AA65" s="82">
        <f>IF(AA$14=1,'Inputs (2)'!AA53,Z65*(1+Inputs!AA$283))</f>
        <v>0</v>
      </c>
      <c r="AB65" s="82">
        <f>IF(AB$14=1,'Inputs (2)'!AB53,AA65*(1+Inputs!AB$283))</f>
        <v>0</v>
      </c>
      <c r="AC65" s="77">
        <f>AB65</f>
        <v>0</v>
      </c>
      <c r="AD65" s="82">
        <f>IF(AD$14=1,'Inputs (2)'!AD53,AB65*(1+Inputs!AD$283))</f>
        <v>0</v>
      </c>
      <c r="AE65" s="82">
        <f>IF(AE$14=1,'Inputs (2)'!AE53,AD65*(1+Inputs!AE$283))</f>
        <v>0</v>
      </c>
      <c r="AF65" s="82">
        <f>IF(AF$14=1,'Inputs (2)'!AF53,AE65*(1+Inputs!AF$283))</f>
        <v>0</v>
      </c>
      <c r="AG65" s="82">
        <f>IF(AG$14=1,'Inputs (2)'!AG53,AF65*(1+Inputs!AG$283))</f>
        <v>0</v>
      </c>
      <c r="AH65" s="77">
        <f>AG65</f>
        <v>0</v>
      </c>
      <c r="AI65" s="82">
        <f>IF(AI$14=1,'Inputs (2)'!AI53,AG65*(1+Inputs!AI$283))</f>
        <v>0</v>
      </c>
      <c r="AJ65" s="82">
        <f>IF(AJ$14=1,'Inputs (2)'!AJ53,AI65*(1+Inputs!AJ$283))</f>
        <v>0</v>
      </c>
      <c r="AK65" s="82">
        <f>IF(AK$14=1,'Inputs (2)'!AK53,AJ65*(1+Inputs!AK$283))</f>
        <v>0</v>
      </c>
      <c r="AL65" s="82">
        <f>IF(AL$14=1,'Inputs (2)'!AL53,AK65*(1+Inputs!AL$283))</f>
        <v>0</v>
      </c>
      <c r="AM65" s="77">
        <f>AL65</f>
        <v>0</v>
      </c>
      <c r="AN65" s="82">
        <f>IF(AN$14=1,'Inputs (2)'!AN53,AL65*(1+Inputs!AN$283))</f>
        <v>0</v>
      </c>
      <c r="AO65" s="82">
        <f>IF(AO$14=1,'Inputs (2)'!AO53,AN65*(1+Inputs!AO$283))</f>
        <v>0</v>
      </c>
      <c r="AP65" s="82">
        <f>IF(AP$14=1,'Inputs (2)'!AP53,AO65*(1+Inputs!AP$283))</f>
        <v>0</v>
      </c>
      <c r="AQ65" s="82">
        <f>IF(AQ$14=1,'Inputs (2)'!AQ53,AP65*(1+Inputs!AQ$283))</f>
        <v>0</v>
      </c>
      <c r="AR65" s="77">
        <f>AQ65</f>
        <v>0</v>
      </c>
      <c r="AS65" s="82">
        <f>IF(AS$14=1,'Inputs (2)'!AS53,AQ65*(1+Inputs!AS$283))</f>
        <v>0</v>
      </c>
      <c r="AT65" s="82">
        <f>IF(AT$14=1,'Inputs (2)'!AT53,AS65*(1+Inputs!AT$283))</f>
        <v>0</v>
      </c>
      <c r="AU65" s="82">
        <f>IF(AU$14=1,'Inputs (2)'!AU53,AT65*(1+Inputs!AU$283))</f>
        <v>0</v>
      </c>
      <c r="AV65" s="82">
        <f>IF(AV$14=1,'Inputs (2)'!AV53,AU65*(1+Inputs!AV$283))</f>
        <v>0</v>
      </c>
      <c r="AW65" s="77">
        <f>AV65</f>
        <v>0</v>
      </c>
      <c r="AX65" s="82">
        <f>IF(AX$14=1,'Inputs (2)'!AX53,AV65*(1+Inputs!AX$283))</f>
        <v>0</v>
      </c>
      <c r="AY65" s="82">
        <f>IF(AY$14=1,'Inputs (2)'!AY53,AX65*(1+Inputs!AY$283))</f>
        <v>0</v>
      </c>
      <c r="AZ65" s="82">
        <f>IF(AZ$14=1,'Inputs (2)'!AZ53,AY65*(1+Inputs!AZ$283))</f>
        <v>0</v>
      </c>
      <c r="BA65" s="82">
        <f>IF(BA$14=1,'Inputs (2)'!BA53,AZ65*(1+Inputs!BA$283))</f>
        <v>0</v>
      </c>
      <c r="BB65" s="77">
        <f>BA65</f>
        <v>0</v>
      </c>
      <c r="BC65" s="82">
        <f>IF(BC$14=1,'Inputs (2)'!BC53,BA65*(1+Inputs!BC$283))</f>
        <v>0</v>
      </c>
      <c r="BD65" s="82">
        <f>IF(BD$14=1,'Inputs (2)'!BD53,BC65*(1+Inputs!BD$283))</f>
        <v>0</v>
      </c>
      <c r="BE65" s="82">
        <f>IF(BE$14=1,'Inputs (2)'!BE53,BD65*(1+Inputs!BE$283))</f>
        <v>0</v>
      </c>
      <c r="BF65" s="82">
        <f>IF(BF$14=1,'Inputs (2)'!BF53,BE65*(1+Inputs!BF$283))</f>
        <v>0</v>
      </c>
      <c r="BG65" s="77">
        <f>BF65</f>
        <v>0</v>
      </c>
    </row>
    <row r="66">
      <c r="C66" s="80" t="inlineStr">
        <is>
          <t>Demais provisões</t>
        </is>
      </c>
      <c r="D66" s="81" t="inlineStr">
        <is>
          <t>Other provisions</t>
        </is>
      </c>
      <c r="E66" s="82">
        <f>'Inputs (2)'!E54</f>
        <v>0</v>
      </c>
      <c r="F66" s="82">
        <f>IF(F$14=1,'Inputs (2)'!F54,E66)</f>
        <v>0</v>
      </c>
      <c r="G66" s="82">
        <f>IF(G$14=1,'Inputs (2)'!G54,F66)</f>
        <v>0</v>
      </c>
      <c r="H66" s="82">
        <f>IF(H$14=1,'Inputs (2)'!H54,G66)</f>
        <v>0</v>
      </c>
      <c r="I66" s="77">
        <f>H66</f>
        <v>0</v>
      </c>
      <c r="J66" s="82">
        <f>IF(J$14=1,'Inputs (2)'!J54,H66)</f>
        <v>0</v>
      </c>
      <c r="K66" s="82">
        <f>IF(K$14=1,'Inputs (2)'!K54,J66)</f>
        <v>0</v>
      </c>
      <c r="L66" s="82">
        <f>IF(L$14=1,'Inputs (2)'!L54,K66)</f>
        <v>0</v>
      </c>
      <c r="M66" s="82">
        <f>IF(M$14=1,'Inputs (2)'!M54,L66)</f>
        <v>0</v>
      </c>
      <c r="N66" s="77">
        <f>M66</f>
        <v>0</v>
      </c>
      <c r="O66" s="82">
        <f>IF(O$14=1,'Inputs (2)'!O54,M66)</f>
        <v>0</v>
      </c>
      <c r="P66" s="82">
        <f>IF(P$14=1,'Inputs (2)'!P54,O66)</f>
        <v>0</v>
      </c>
      <c r="Q66" s="82">
        <f>IF(Q$14=1,'Inputs (2)'!Q54,P66)</f>
        <v>0</v>
      </c>
      <c r="R66" s="82">
        <f>IF(R$14=1,'Inputs (2)'!R54,Q66)</f>
        <v>0</v>
      </c>
      <c r="S66" s="77">
        <f>R66</f>
        <v>0</v>
      </c>
      <c r="T66" s="82">
        <f>IF(T$14=1,'Inputs (2)'!T54,R66)</f>
        <v>0</v>
      </c>
      <c r="U66" s="82">
        <f>IF(U$14=1,'Inputs (2)'!U54,T66)</f>
        <v>0</v>
      </c>
      <c r="V66" s="82">
        <f>IF(V$14=1,'Inputs (2)'!V54,U66)</f>
        <v>0</v>
      </c>
      <c r="W66" s="82">
        <f>IF(W$14=1,'Inputs (2)'!W54,V66)</f>
        <v>0</v>
      </c>
      <c r="X66" s="77">
        <f>W66</f>
        <v>0</v>
      </c>
      <c r="Y66" s="82">
        <f>IF(Y$14=1,'Inputs (2)'!Y54,W66)</f>
        <v>0</v>
      </c>
      <c r="Z66" s="82">
        <f>IF(Z$14=1,'Inputs (2)'!Z54,Y66)</f>
        <v>0</v>
      </c>
      <c r="AA66" s="82">
        <f>IF(AA$14=1,'Inputs (2)'!AA54,Z66)</f>
        <v>0</v>
      </c>
      <c r="AB66" s="82">
        <f>IF(AB$14=1,'Inputs (2)'!AB54,AA66)</f>
        <v>0</v>
      </c>
      <c r="AC66" s="77">
        <f>AB66</f>
        <v>0</v>
      </c>
      <c r="AD66" s="82">
        <f>IF(AD$14=1,'Inputs (2)'!AD54,AB66)</f>
        <v>0</v>
      </c>
      <c r="AE66" s="82">
        <f>IF(AE$14=1,'Inputs (2)'!AE54,AD66)</f>
        <v>0</v>
      </c>
      <c r="AF66" s="82">
        <f>IF(AF$14=1,'Inputs (2)'!AF54,AE66)</f>
        <v>0</v>
      </c>
      <c r="AG66" s="82">
        <f>IF(AG$14=1,'Inputs (2)'!AG54,AF66)</f>
        <v>0</v>
      </c>
      <c r="AH66" s="77">
        <f>AG66</f>
        <v>0</v>
      </c>
      <c r="AI66" s="82">
        <f>IF(AI$14=1,'Inputs (2)'!AI54,AG66)</f>
        <v>0</v>
      </c>
      <c r="AJ66" s="82">
        <f>IF(AJ$14=1,'Inputs (2)'!AJ54,AI66)</f>
        <v>0</v>
      </c>
      <c r="AK66" s="82">
        <f>IF(AK$14=1,'Inputs (2)'!AK54,AJ66)</f>
        <v>0</v>
      </c>
      <c r="AL66" s="82">
        <f>IF(AL$14=1,'Inputs (2)'!AL54,AK66)</f>
        <v>0</v>
      </c>
      <c r="AM66" s="77">
        <f>AL66</f>
        <v>0</v>
      </c>
      <c r="AN66" s="82">
        <f>IF(AN$14=1,'Inputs (2)'!AN54,AL66)</f>
        <v>0</v>
      </c>
      <c r="AO66" s="82">
        <f>IF(AO$14=1,'Inputs (2)'!AO54,AN66)</f>
        <v>0</v>
      </c>
      <c r="AP66" s="82">
        <f>IF(AP$14=1,'Inputs (2)'!AP54,AO66)</f>
        <v>0</v>
      </c>
      <c r="AQ66" s="82">
        <f>IF(AQ$14=1,'Inputs (2)'!AQ54,AP66)</f>
        <v>0</v>
      </c>
      <c r="AR66" s="77">
        <f>AQ66</f>
        <v>0</v>
      </c>
      <c r="AS66" s="82">
        <f>IF(AS$14=1,'Inputs (2)'!AS54,AQ66)</f>
        <v>0</v>
      </c>
      <c r="AT66" s="82">
        <f>IF(AT$14=1,'Inputs (2)'!AT54,AS66)</f>
        <v>0</v>
      </c>
      <c r="AU66" s="82">
        <f>IF(AU$14=1,'Inputs (2)'!AU54,AT66)</f>
        <v>0</v>
      </c>
      <c r="AV66" s="82">
        <f>IF(AV$14=1,'Inputs (2)'!AV54,AU66)</f>
        <v>0</v>
      </c>
      <c r="AW66" s="77">
        <f>AV66</f>
        <v>0</v>
      </c>
      <c r="AX66" s="82">
        <f>IF(AX$14=1,'Inputs (2)'!AX54,AV66)</f>
        <v>0</v>
      </c>
      <c r="AY66" s="82">
        <f>IF(AY$14=1,'Inputs (2)'!AY54,AX66)</f>
        <v>0</v>
      </c>
      <c r="AZ66" s="82">
        <f>IF(AZ$14=1,'Inputs (2)'!AZ54,AY66)</f>
        <v>0</v>
      </c>
      <c r="BA66" s="82">
        <f>IF(BA$14=1,'Inputs (2)'!BA54,AZ66)</f>
        <v>0</v>
      </c>
      <c r="BB66" s="77">
        <f>BA66</f>
        <v>0</v>
      </c>
      <c r="BC66" s="82">
        <f>IF(BC$14=1,'Inputs (2)'!BC54,BA66)</f>
        <v>0</v>
      </c>
      <c r="BD66" s="82">
        <f>IF(BD$14=1,'Inputs (2)'!BD54,BC66)</f>
        <v>0</v>
      </c>
      <c r="BE66" s="82">
        <f>IF(BE$14=1,'Inputs (2)'!BE54,BD66)</f>
        <v>0</v>
      </c>
      <c r="BF66" s="82">
        <f>IF(BF$14=1,'Inputs (2)'!BF54,BE66)</f>
        <v>0</v>
      </c>
      <c r="BG66" s="77">
        <f>BF66</f>
        <v>0</v>
      </c>
    </row>
    <row r="67">
      <c r="C67" s="80" t="inlineStr">
        <is>
          <t>Impostos a pagar e diferidos</t>
        </is>
      </c>
      <c r="D67" s="81" t="inlineStr">
        <is>
          <t>Taxes payable and deferred</t>
        </is>
      </c>
      <c r="E67" s="82">
        <f>'Inputs (2)'!E55</f>
        <v>0</v>
      </c>
      <c r="F67" s="82">
        <f>IF(F$14=1,'Inputs (2)'!F55,E67)</f>
        <v>0</v>
      </c>
      <c r="G67" s="82">
        <f>IF(G$14=1,'Inputs (2)'!G55,F67)</f>
        <v>0</v>
      </c>
      <c r="H67" s="82">
        <f>IF(H$14=1,'Inputs (2)'!H55,G67)</f>
        <v>0</v>
      </c>
      <c r="I67" s="77">
        <f>H67</f>
        <v>0</v>
      </c>
      <c r="J67" s="82">
        <f>IF(J$14=1,'Inputs (2)'!J55,H67)</f>
        <v>0</v>
      </c>
      <c r="K67" s="82">
        <f>IF(K$14=1,'Inputs (2)'!K55,J67)</f>
        <v>0</v>
      </c>
      <c r="L67" s="82">
        <f>IF(L$14=1,'Inputs (2)'!L55,K67)</f>
        <v>0</v>
      </c>
      <c r="M67" s="82">
        <f>IF(M$14=1,'Inputs (2)'!M55,L67)</f>
        <v>0</v>
      </c>
      <c r="N67" s="77">
        <f>M67</f>
        <v>0</v>
      </c>
      <c r="O67" s="82">
        <f>IF(O$14=1,'Inputs (2)'!O55,M67)</f>
        <v>0</v>
      </c>
      <c r="P67" s="82">
        <f>IF(P$14=1,'Inputs (2)'!P55,O67)</f>
        <v>0</v>
      </c>
      <c r="Q67" s="82">
        <f>IF(Q$14=1,'Inputs (2)'!Q55,P67)</f>
        <v>0</v>
      </c>
      <c r="R67" s="82">
        <f>IF(R$14=1,'Inputs (2)'!R55,Q67)</f>
        <v>0</v>
      </c>
      <c r="S67" s="77">
        <f>R67</f>
        <v>0</v>
      </c>
      <c r="T67" s="82">
        <f>IF(T$14=1,'Inputs (2)'!T55,R67)</f>
        <v>0</v>
      </c>
      <c r="U67" s="82">
        <f>IF(U$14=1,'Inputs (2)'!U55,T67)</f>
        <v>0</v>
      </c>
      <c r="V67" s="82">
        <f>IF(V$14=1,'Inputs (2)'!V55,U67)</f>
        <v>0</v>
      </c>
      <c r="W67" s="82">
        <f>IF(W$14=1,'Inputs (2)'!W55,V67)</f>
        <v>0</v>
      </c>
      <c r="X67" s="77">
        <f>W67</f>
        <v>0</v>
      </c>
      <c r="Y67" s="82">
        <f>IF(Y$14=1,'Inputs (2)'!Y55,W67)</f>
        <v>0</v>
      </c>
      <c r="Z67" s="82">
        <f>IF(Z$14=1,'Inputs (2)'!Z55,Y67)</f>
        <v>0</v>
      </c>
      <c r="AA67" s="82">
        <f>IF(AA$14=1,'Inputs (2)'!AA55,Z67)</f>
        <v>0</v>
      </c>
      <c r="AB67" s="82">
        <f>IF(AB$14=1,'Inputs (2)'!AB55,AA67)</f>
        <v>0</v>
      </c>
      <c r="AC67" s="77">
        <f>AB67</f>
        <v>0</v>
      </c>
      <c r="AD67" s="82">
        <f>IF(AD$14=1,'Inputs (2)'!AD55,AB67)</f>
        <v>0</v>
      </c>
      <c r="AE67" s="82">
        <f>IF(AE$14=1,'Inputs (2)'!AE55,AD67)</f>
        <v>0</v>
      </c>
      <c r="AF67" s="82">
        <f>IF(AF$14=1,'Inputs (2)'!AF55,AE67)</f>
        <v>0</v>
      </c>
      <c r="AG67" s="82">
        <f>IF(AG$14=1,'Inputs (2)'!AG55,AF67)</f>
        <v>0</v>
      </c>
      <c r="AH67" s="77">
        <f>AG67</f>
        <v>0</v>
      </c>
      <c r="AI67" s="82">
        <f>IF(AI$14=1,'Inputs (2)'!AI55,AG67)</f>
        <v>0</v>
      </c>
      <c r="AJ67" s="82">
        <f>IF(AJ$14=1,'Inputs (2)'!AJ55,AI67)</f>
        <v>0</v>
      </c>
      <c r="AK67" s="82">
        <f>IF(AK$14=1,'Inputs (2)'!AK55,AJ67)</f>
        <v>0</v>
      </c>
      <c r="AL67" s="82">
        <f>IF(AL$14=1,'Inputs (2)'!AL55,AK67)</f>
        <v>0</v>
      </c>
      <c r="AM67" s="77">
        <f>AL67</f>
        <v>0</v>
      </c>
      <c r="AN67" s="82">
        <f>IF(AN$14=1,'Inputs (2)'!AN55,AL67)</f>
        <v>0</v>
      </c>
      <c r="AO67" s="82">
        <f>IF(AO$14=1,'Inputs (2)'!AO55,AN67)</f>
        <v>0</v>
      </c>
      <c r="AP67" s="82">
        <f>IF(AP$14=1,'Inputs (2)'!AP55,AO67)</f>
        <v>0</v>
      </c>
      <c r="AQ67" s="82">
        <f>IF(AQ$14=1,'Inputs (2)'!AQ55,AP67)</f>
        <v>0</v>
      </c>
      <c r="AR67" s="77">
        <f>AQ67</f>
        <v>0</v>
      </c>
      <c r="AS67" s="82">
        <f>IF(AS$14=1,'Inputs (2)'!AS55,AQ67)</f>
        <v>0</v>
      </c>
      <c r="AT67" s="82">
        <f>IF(AT$14=1,'Inputs (2)'!AT55,AS67)</f>
        <v>0</v>
      </c>
      <c r="AU67" s="82">
        <f>IF(AU$14=1,'Inputs (2)'!AU55,AT67)</f>
        <v>0</v>
      </c>
      <c r="AV67" s="82">
        <f>IF(AV$14=1,'Inputs (2)'!AV55,AU67)</f>
        <v>0</v>
      </c>
      <c r="AW67" s="77">
        <f>AV67</f>
        <v>0</v>
      </c>
      <c r="AX67" s="82">
        <f>IF(AX$14=1,'Inputs (2)'!AX55,AV67)</f>
        <v>0</v>
      </c>
      <c r="AY67" s="82">
        <f>IF(AY$14=1,'Inputs (2)'!AY55,AX67)</f>
        <v>0</v>
      </c>
      <c r="AZ67" s="82">
        <f>IF(AZ$14=1,'Inputs (2)'!AZ55,AY67)</f>
        <v>0</v>
      </c>
      <c r="BA67" s="82">
        <f>IF(BA$14=1,'Inputs (2)'!BA55,AZ67)</f>
        <v>0</v>
      </c>
      <c r="BB67" s="77">
        <f>BA67</f>
        <v>0</v>
      </c>
      <c r="BC67" s="82">
        <f>IF(BC$14=1,'Inputs (2)'!BC55,BA67)</f>
        <v>0</v>
      </c>
      <c r="BD67" s="82">
        <f>IF(BD$14=1,'Inputs (2)'!BD55,BC67)</f>
        <v>0</v>
      </c>
      <c r="BE67" s="82">
        <f>IF(BE$14=1,'Inputs (2)'!BE55,BD67)</f>
        <v>0</v>
      </c>
      <c r="BF67" s="82">
        <f>IF(BF$14=1,'Inputs (2)'!BF55,BE67)</f>
        <v>0</v>
      </c>
      <c r="BG67" s="77">
        <f>BF67</f>
        <v>0</v>
      </c>
    </row>
    <row r="68">
      <c r="C68" s="80" t="inlineStr">
        <is>
          <t>Contas a pagar e outros passivos</t>
        </is>
      </c>
      <c r="D68" s="81" t="inlineStr">
        <is>
          <t>Accounts payable and other liabilities</t>
        </is>
      </c>
      <c r="E68" s="82">
        <f>'Inputs (2)'!E56</f>
        <v>0</v>
      </c>
      <c r="F68" s="82">
        <f>IF(F$14=1,'Inputs (2)'!F56,E68*(1+Inputs!F$283))</f>
        <v>0</v>
      </c>
      <c r="G68" s="82">
        <f>IF(G$14=1,'Inputs (2)'!G56,F68*(1+Inputs!G$283))</f>
        <v>0</v>
      </c>
      <c r="H68" s="82">
        <f>IF(H$14=1,'Inputs (2)'!H56,G68*(1+Inputs!H$283))</f>
        <v>0</v>
      </c>
      <c r="I68" s="77">
        <f>H68</f>
        <v>0</v>
      </c>
      <c r="J68" s="82">
        <f>IF(J$14=1,'Inputs (2)'!J56,H68*(1+Inputs!J$283))</f>
        <v>0</v>
      </c>
      <c r="K68" s="82">
        <f>IF(K$14=1,'Inputs (2)'!K56,J68*(1+Inputs!K$283))</f>
        <v>0</v>
      </c>
      <c r="L68" s="82">
        <f>IF(L$14=1,'Inputs (2)'!L56,K68*(1+Inputs!L$283))</f>
        <v>0</v>
      </c>
      <c r="M68" s="82">
        <f>IF(M$14=1,'Inputs (2)'!M56,L68*(1+Inputs!M$283))</f>
        <v>0</v>
      </c>
      <c r="N68" s="77">
        <f>M68</f>
        <v>0</v>
      </c>
      <c r="O68" s="82">
        <f>IF(O$14=1,'Inputs (2)'!O56,M68*(1+Inputs!O$283))</f>
        <v>0</v>
      </c>
      <c r="P68" s="82">
        <f>IF(P$14=1,'Inputs (2)'!P56,O68*(1+Inputs!P$283))</f>
        <v>0</v>
      </c>
      <c r="Q68" s="82">
        <f>IF(Q$14=1,'Inputs (2)'!Q56,P68*(1+Inputs!Q$283))</f>
        <v>0</v>
      </c>
      <c r="R68" s="82">
        <f>IF(R$14=1,'Inputs (2)'!R56,Q68*(1+Inputs!R$283))</f>
        <v>0</v>
      </c>
      <c r="S68" s="77">
        <f>R68</f>
        <v>0</v>
      </c>
      <c r="T68" s="82">
        <f>IF(T$14=1,'Inputs (2)'!T56,R68*(1+Inputs!T$283))</f>
        <v>0</v>
      </c>
      <c r="U68" s="82">
        <f>IF(U$14=1,'Inputs (2)'!U56,T68*(1+Inputs!U$283))</f>
        <v>0</v>
      </c>
      <c r="V68" s="82">
        <f>IF(V$14=1,'Inputs (2)'!V56,U68*(1+Inputs!V$283))</f>
        <v>0</v>
      </c>
      <c r="W68" s="82">
        <f>IF(W$14=1,'Inputs (2)'!W56,V68*(1+Inputs!W$283))</f>
        <v>0</v>
      </c>
      <c r="X68" s="77">
        <f>W68</f>
        <v>0</v>
      </c>
      <c r="Y68" s="82">
        <f>IF(Y$14=1,'Inputs (2)'!Y56,W68*(1+Inputs!Y$283))</f>
        <v>0</v>
      </c>
      <c r="Z68" s="82">
        <f>IF(Z$14=1,'Inputs (2)'!Z56,Y68*(1+Inputs!Z$283))</f>
        <v>0</v>
      </c>
      <c r="AA68" s="82">
        <f>IF(AA$14=1,'Inputs (2)'!AA56,Z68*(1+Inputs!AA$283))</f>
        <v>0</v>
      </c>
      <c r="AB68" s="82">
        <f>IF(AB$14=1,'Inputs (2)'!AB56,AA68*(1+Inputs!AB$283))</f>
        <v>0</v>
      </c>
      <c r="AC68" s="77">
        <f>AB68</f>
        <v>0</v>
      </c>
      <c r="AD68" s="82">
        <f>IF(AD$14=1,'Inputs (2)'!AD56,AB68*(1+Inputs!AD$283))</f>
        <v>0</v>
      </c>
      <c r="AE68" s="82">
        <f>IF(AE$14=1,'Inputs (2)'!AE56,AD68*(1+Inputs!AE$283))</f>
        <v>0</v>
      </c>
      <c r="AF68" s="82">
        <f>IF(AF$14=1,'Inputs (2)'!AF56,AE68*(1+Inputs!AF$283))</f>
        <v>0</v>
      </c>
      <c r="AG68" s="82">
        <f>IF(AG$14=1,'Inputs (2)'!AG56,AF68*(1+Inputs!AG$283))</f>
        <v>0</v>
      </c>
      <c r="AH68" s="77">
        <f>AG68</f>
        <v>0</v>
      </c>
      <c r="AI68" s="82">
        <f>IF(AI$14=1,'Inputs (2)'!AI56,AG68*(1+Inputs!AI$283))</f>
        <v>0</v>
      </c>
      <c r="AJ68" s="82">
        <f>IF(AJ$14=1,'Inputs (2)'!AJ56,AI68*(1+Inputs!AJ$283))</f>
        <v>0</v>
      </c>
      <c r="AK68" s="82">
        <f>IF(AK$14=1,'Inputs (2)'!AK56,AJ68*(1+Inputs!AK$283))</f>
        <v>0</v>
      </c>
      <c r="AL68" s="82">
        <f>IF(AL$14=1,'Inputs (2)'!AL56,AK68*(1+Inputs!AL$283))</f>
        <v>0</v>
      </c>
      <c r="AM68" s="77">
        <f>AL68</f>
        <v>0</v>
      </c>
      <c r="AN68" s="82">
        <f>IF(AN$14=1,'Inputs (2)'!AN56,AL68*(1+Inputs!AN$283))</f>
        <v>0</v>
      </c>
      <c r="AO68" s="82">
        <f>IF(AO$14=1,'Inputs (2)'!AO56,AN68*(1+Inputs!AO$283))</f>
        <v>0</v>
      </c>
      <c r="AP68" s="82">
        <f>IF(AP$14=1,'Inputs (2)'!AP56,AO68*(1+Inputs!AP$283))</f>
        <v>0</v>
      </c>
      <c r="AQ68" s="82">
        <f>IF(AQ$14=1,'Inputs (2)'!AQ56,AP68*(1+Inputs!AQ$283))</f>
        <v>0</v>
      </c>
      <c r="AR68" s="77">
        <f>AQ68</f>
        <v>0</v>
      </c>
      <c r="AS68" s="82">
        <f>IF(AS$14=1,'Inputs (2)'!AS56,AQ68*(1+Inputs!AS$283))</f>
        <v>0</v>
      </c>
      <c r="AT68" s="82">
        <f>IF(AT$14=1,'Inputs (2)'!AT56,AS68*(1+Inputs!AT$283))</f>
        <v>0</v>
      </c>
      <c r="AU68" s="82">
        <f>IF(AU$14=1,'Inputs (2)'!AU56,AT68*(1+Inputs!AU$283))</f>
        <v>0</v>
      </c>
      <c r="AV68" s="82">
        <f>IF(AV$14=1,'Inputs (2)'!AV56,AU68*(1+Inputs!AV$283))</f>
        <v>0</v>
      </c>
      <c r="AW68" s="77">
        <f>AV68</f>
        <v>0</v>
      </c>
      <c r="AX68" s="82">
        <f>IF(AX$14=1,'Inputs (2)'!AX56,AV68*(1+Inputs!AX$283))</f>
        <v>0</v>
      </c>
      <c r="AY68" s="82">
        <f>IF(AY$14=1,'Inputs (2)'!AY56,AX68*(1+Inputs!AY$283))</f>
        <v>0</v>
      </c>
      <c r="AZ68" s="82">
        <f>IF(AZ$14=1,'Inputs (2)'!AZ56,AY68*(1+Inputs!AZ$283))</f>
        <v>0</v>
      </c>
      <c r="BA68" s="82">
        <f>IF(BA$14=1,'Inputs (2)'!BA56,AZ68*(1+Inputs!BA$283))</f>
        <v>0</v>
      </c>
      <c r="BB68" s="77">
        <f>BA68</f>
        <v>0</v>
      </c>
      <c r="BC68" s="82">
        <f>IF(BC$14=1,'Inputs (2)'!BC56,BA68*(1+Inputs!BC$283))</f>
        <v>0</v>
      </c>
      <c r="BD68" s="82">
        <f>IF(BD$14=1,'Inputs (2)'!BD56,BC68*(1+Inputs!BD$283))</f>
        <v>0</v>
      </c>
      <c r="BE68" s="82">
        <f>IF(BE$14=1,'Inputs (2)'!BE56,BD68*(1+Inputs!BE$283))</f>
        <v>0</v>
      </c>
      <c r="BF68" s="82">
        <f>IF(BF$14=1,'Inputs (2)'!BF56,BE68*(1+Inputs!BF$283))</f>
        <v>0</v>
      </c>
      <c r="BG68" s="77">
        <f>BF68</f>
        <v>0</v>
      </c>
    </row>
    <row r="69">
      <c r="C69" s="53" t="inlineStr">
        <is>
          <t>TOTAL DO PASSIVO (EXCETO PL)</t>
        </is>
      </c>
      <c r="D69" s="54" t="inlineStr">
        <is>
          <t>TOTAL LIABILITIES</t>
        </is>
      </c>
      <c r="E69" s="59">
        <f>E44+E50+E54+E59+E62+E63+E64+E65+E66+E67+E68</f>
        <v>0</v>
      </c>
      <c r="F69" s="59">
        <f>F44+F50+F54+F59+F62+F63+F64+F65+F66+F67+F68</f>
        <v>0</v>
      </c>
      <c r="G69" s="59">
        <f>G44+G50+G54+G59+G62+G63+G64+G65+G66+G67+G68</f>
        <v>0</v>
      </c>
      <c r="H69" s="59">
        <f>H44+H50+H54+H59+H62+H63+H64+H65+H66+H67+H68</f>
        <v>0</v>
      </c>
      <c r="I69" s="60">
        <f>H69</f>
        <v>0</v>
      </c>
      <c r="J69" s="59">
        <f>J44+J50+J54+J59+J62+J63+J64+J65+J66+J67+J68</f>
        <v>0</v>
      </c>
      <c r="K69" s="59">
        <f>K44+K50+K54+K59+K62+K63+K64+K65+K66+K67+K68</f>
        <v>0</v>
      </c>
      <c r="L69" s="59">
        <f>L44+L50+L54+L59+L62+L63+L64+L65+L66+L67+L68</f>
        <v>0</v>
      </c>
      <c r="M69" s="59">
        <f>M44+M50+M54+M59+M62+M63+M64+M65+M66+M67+M68</f>
        <v>0</v>
      </c>
      <c r="N69" s="60">
        <f>M69</f>
        <v>0</v>
      </c>
      <c r="O69" s="59">
        <f>O44+O50+O54+O59+O62+O63+O64+O65+O66+O67+O68</f>
        <v>0</v>
      </c>
      <c r="P69" s="59">
        <f>P44+P50+P54+P59+P62+P63+P64+P65+P66+P67+P68</f>
        <v>0</v>
      </c>
      <c r="Q69" s="59">
        <f>Q44+Q50+Q54+Q59+Q62+Q63+Q64+Q65+Q66+Q67+Q68</f>
        <v>0</v>
      </c>
      <c r="R69" s="59">
        <f>R44+R50+R54+R59+R62+R63+R64+R65+R66+R67+R68</f>
        <v>0</v>
      </c>
      <c r="S69" s="60">
        <f>R69</f>
        <v>0</v>
      </c>
      <c r="T69" s="59">
        <f>T44+T50+T54+T59+T62+T63+T64+T65+T66+T67+T68</f>
        <v>0</v>
      </c>
      <c r="U69" s="59">
        <f>U44+U50+U54+U59+U62+U63+U64+U65+U66+U67+U68</f>
        <v>0</v>
      </c>
      <c r="V69" s="59">
        <f>V44+V50+V54+V59+V62+V63+V64+V65+V66+V67+V68</f>
        <v>0</v>
      </c>
      <c r="W69" s="59">
        <f>W44+W50+W54+W59+W62+W63+W64+W65+W66+W67+W68</f>
        <v>0</v>
      </c>
      <c r="X69" s="60">
        <f>W69</f>
        <v>0</v>
      </c>
      <c r="Y69" s="59">
        <f>Y44+Y50+Y54+Y59+Y62+Y63+Y64+Y65+Y66+Y67+Y68</f>
        <v>0</v>
      </c>
      <c r="Z69" s="59">
        <f>Z44+Z50+Z54+Z59+Z62+Z63+Z64+Z65+Z66+Z67+Z68</f>
        <v>0</v>
      </c>
      <c r="AA69" s="59">
        <f>AA44+AA50+AA54+AA59+AA62+AA63+AA64+AA65+AA66+AA67+AA68</f>
        <v>0</v>
      </c>
      <c r="AB69" s="59">
        <f>AB44+AB50+AB54+AB59+AB62+AB63+AB64+AB65+AB66+AB67+AB68</f>
        <v>0</v>
      </c>
      <c r="AC69" s="60">
        <f>AB69</f>
        <v>0</v>
      </c>
      <c r="AD69" s="59">
        <f>AD44+AD50+AD54+AD59+AD62+AD63+AD64+AD65+AD66+AD67+AD68</f>
        <v>0</v>
      </c>
      <c r="AE69" s="59">
        <f>AE44+AE50+AE54+AE59+AE62+AE63+AE64+AE65+AE66+AE67+AE68</f>
        <v>0</v>
      </c>
      <c r="AF69" s="59">
        <f>AF44+AF50+AF54+AF59+AF62+AF63+AF64+AF65+AF66+AF67+AF68</f>
        <v>0</v>
      </c>
      <c r="AG69" s="59">
        <f>AG44+AG50+AG54+AG59+AG62+AG63+AG64+AG65+AG66+AG67+AG68</f>
        <v>0</v>
      </c>
      <c r="AH69" s="60">
        <f>AG69</f>
        <v>0</v>
      </c>
      <c r="AI69" s="59">
        <f>AI44+AI50+AI54+AI59+AI62+AI63+AI64+AI65+AI66+AI67+AI68</f>
        <v>0</v>
      </c>
      <c r="AJ69" s="59">
        <f>AJ44+AJ50+AJ54+AJ59+AJ62+AJ63+AJ64+AJ65+AJ66+AJ67+AJ68</f>
        <v>0</v>
      </c>
      <c r="AK69" s="59">
        <f>AK44+AK50+AK54+AK59+AK62+AK63+AK64+AK65+AK66+AK67+AK68</f>
        <v>0</v>
      </c>
      <c r="AL69" s="59">
        <f>AL44+AL50+AL54+AL59+AL62+AL63+AL64+AL65+AL66+AL67+AL68</f>
        <v>0</v>
      </c>
      <c r="AM69" s="60">
        <f>AL69</f>
        <v>0</v>
      </c>
      <c r="AN69" s="59">
        <f>AN44+AN50+AN54+AN59+AN62+AN63+AN64+AN65+AN66+AN67+AN68</f>
        <v>0</v>
      </c>
      <c r="AO69" s="59">
        <f>AO44+AO50+AO54+AO59+AO62+AO63+AO64+AO65+AO66+AO67+AO68</f>
        <v>0</v>
      </c>
      <c r="AP69" s="59">
        <f>AP44+AP50+AP54+AP59+AP62+AP63+AP64+AP65+AP66+AP67+AP68</f>
        <v>0</v>
      </c>
      <c r="AQ69" s="59">
        <f>AQ44+AQ50+AQ54+AQ59+AQ62+AQ63+AQ64+AQ65+AQ66+AQ67+AQ68</f>
        <v>0</v>
      </c>
      <c r="AR69" s="60">
        <f>AQ69</f>
        <v>0</v>
      </c>
      <c r="AS69" s="59">
        <f>AS44+AS50+AS54+AS59+AS62+AS63+AS64+AS65+AS66+AS67+AS68</f>
        <v>0</v>
      </c>
      <c r="AT69" s="59">
        <f>AT44+AT50+AT54+AT59+AT62+AT63+AT64+AT65+AT66+AT67+AT68</f>
        <v>0</v>
      </c>
      <c r="AU69" s="59">
        <f>AU44+AU50+AU54+AU59+AU62+AU63+AU64+AU65+AU66+AU67+AU68</f>
        <v>0</v>
      </c>
      <c r="AV69" s="59">
        <f>AV44+AV50+AV54+AV59+AV62+AV63+AV64+AV65+AV66+AV67+AV68</f>
        <v>0</v>
      </c>
      <c r="AW69" s="60">
        <f>AV69</f>
        <v>0</v>
      </c>
      <c r="AX69" s="59">
        <f>AX44+AX50+AX54+AX59+AX62+AX63+AX64+AX65+AX66+AX67+AX68</f>
        <v>0</v>
      </c>
      <c r="AY69" s="59">
        <f>AY44+AY50+AY54+AY59+AY62+AY63+AY64+AY65+AY66+AY67+AY68</f>
        <v>0</v>
      </c>
      <c r="AZ69" s="59">
        <f>AZ44+AZ50+AZ54+AZ59+AZ62+AZ63+AZ64+AZ65+AZ66+AZ67+AZ68</f>
        <v>0</v>
      </c>
      <c r="BA69" s="59">
        <f>BA44+BA50+BA54+BA59+BA62+BA63+BA64+BA65+BA66+BA67+BA68</f>
        <v>0</v>
      </c>
      <c r="BB69" s="60">
        <f>BA69</f>
        <v>0</v>
      </c>
      <c r="BC69" s="59">
        <f>BC44+BC50+BC54+BC59+BC62+BC63+BC64+BC65+BC66+BC67+BC68</f>
        <v>0</v>
      </c>
      <c r="BD69" s="59">
        <f>BD44+BD50+BD54+BD59+BD62+BD63+BD64+BD65+BD66+BD67+BD68</f>
        <v>0</v>
      </c>
      <c r="BE69" s="59">
        <f>BE44+BE50+BE54+BE59+BE62+BE63+BE64+BE65+BE66+BE67+BE68</f>
        <v>0</v>
      </c>
      <c r="BF69" s="59">
        <f>BF44+BF50+BF54+BF59+BF62+BF63+BF64+BF65+BF66+BF67+BF68</f>
        <v>0</v>
      </c>
      <c r="BG69" s="60">
        <f>BF69</f>
        <v>0</v>
      </c>
    </row>
    <row r="70">
      <c r="B70" s="29" t="n"/>
      <c r="C70" s="29" t="inlineStr">
        <is>
          <t>Patrimônio Líquido</t>
        </is>
      </c>
      <c r="D70" s="29" t="inlineStr">
        <is>
          <t>Equity</t>
        </is>
      </c>
      <c r="E70" s="29" t="n"/>
      <c r="F70" s="29" t="n"/>
      <c r="G70" s="29" t="n"/>
      <c r="H70" s="29" t="n"/>
      <c r="I70" s="29" t="n"/>
      <c r="J70" s="29" t="n"/>
      <c r="K70" s="29" t="n"/>
      <c r="L70" s="29" t="n"/>
      <c r="M70" s="29" t="n"/>
      <c r="N70" s="29" t="n"/>
      <c r="O70" s="29" t="n"/>
      <c r="P70" s="29" t="n"/>
      <c r="Q70" s="29" t="n"/>
      <c r="R70" s="29" t="n"/>
      <c r="S70" s="29" t="n"/>
      <c r="T70" s="29" t="n"/>
      <c r="U70" s="29" t="n"/>
      <c r="V70" s="29" t="n"/>
      <c r="W70" s="29" t="n"/>
      <c r="X70" s="29" t="n"/>
      <c r="Y70" s="29" t="n"/>
      <c r="Z70" s="29" t="n"/>
      <c r="AA70" s="29" t="n"/>
      <c r="AB70" s="29" t="n"/>
      <c r="AC70" s="29" t="n"/>
      <c r="AD70" s="29" t="n"/>
      <c r="AE70" s="29" t="n"/>
      <c r="AF70" s="29" t="n"/>
      <c r="AG70" s="29" t="n"/>
      <c r="AH70" s="29" t="n"/>
      <c r="AI70" s="29" t="n"/>
      <c r="AJ70" s="29" t="n"/>
      <c r="AK70" s="29" t="n"/>
      <c r="AL70" s="29" t="n"/>
      <c r="AM70" s="29" t="n"/>
      <c r="AN70" s="29" t="n"/>
      <c r="AO70" s="29" t="n"/>
      <c r="AP70" s="29" t="n"/>
      <c r="AQ70" s="29" t="n"/>
      <c r="AR70" s="29" t="n"/>
      <c r="AS70" s="29" t="n"/>
      <c r="AT70" s="29" t="n"/>
      <c r="AU70" s="29" t="n"/>
      <c r="AV70" s="29" t="n"/>
      <c r="AW70" s="29" t="n"/>
      <c r="AX70" s="29" t="n"/>
      <c r="AY70" s="29" t="n"/>
      <c r="AZ70" s="29" t="n"/>
      <c r="BA70" s="29" t="n"/>
      <c r="BB70" s="29" t="n"/>
      <c r="BC70" s="29" t="n"/>
      <c r="BD70" s="29" t="n"/>
      <c r="BE70" s="29" t="n"/>
      <c r="BF70" s="29" t="n"/>
      <c r="BG70" s="29" t="n"/>
      <c r="BH70" s="29" t="n"/>
      <c r="BI70" s="29" t="n"/>
    </row>
    <row r="71">
      <c r="C71" s="83" t="inlineStr">
        <is>
          <t>Patrimônio líquido da companhia (ordinário + preferencial)</t>
        </is>
      </c>
      <c r="D71" s="84" t="inlineStr">
        <is>
          <t>Total stockholders’ equity</t>
        </is>
      </c>
      <c r="E71" s="85">
        <f>E72+E73+E74+E75+E76+E77</f>
        <v>0</v>
      </c>
      <c r="F71" s="85">
        <f>F72+F73+F74+F75+F76+F77</f>
        <v>0</v>
      </c>
      <c r="G71" s="85">
        <f>G72+G73+G74+G75+G76+G77</f>
        <v>0</v>
      </c>
      <c r="H71" s="85">
        <f>H72+H73+H74+H75+H76+H77</f>
        <v>0</v>
      </c>
      <c r="I71" s="60">
        <f>H71</f>
        <v>0</v>
      </c>
      <c r="J71" s="85">
        <f>J72+J73+J74+J75+J76+J77</f>
        <v>0</v>
      </c>
      <c r="K71" s="85">
        <f>K72+K73+K74+K75+K76+K77</f>
        <v>0</v>
      </c>
      <c r="L71" s="85">
        <f>L72+L73+L74+L75+L76+L77</f>
        <v>0</v>
      </c>
      <c r="M71" s="85">
        <f>M72+M73+M74+M75+M76+M77</f>
        <v>0</v>
      </c>
      <c r="N71" s="60">
        <f>M71</f>
        <v>0</v>
      </c>
      <c r="O71" s="85">
        <f>O72+O73+O74+O75+O76+O77</f>
        <v>0</v>
      </c>
      <c r="P71" s="85">
        <f>P72+P73+P74+P75+P76+P77</f>
        <v>0</v>
      </c>
      <c r="Q71" s="85">
        <f>Q72+Q73+Q74+Q75+Q76+Q77</f>
        <v>0</v>
      </c>
      <c r="R71" s="85">
        <f>R72+R73+R74+R75+R76+R77</f>
        <v>0</v>
      </c>
      <c r="S71" s="60">
        <f>R71</f>
        <v>0</v>
      </c>
      <c r="T71" s="85">
        <f>T72+T73+T74+T75+T76+T77</f>
        <v>0</v>
      </c>
      <c r="U71" s="85">
        <f>U72+U73+U74+U75+U76+U77</f>
        <v>0</v>
      </c>
      <c r="V71" s="85">
        <f>V72+V73+V74+V75+V76+V77</f>
        <v>0</v>
      </c>
      <c r="W71" s="85">
        <f>W72+W73+W74+W75+W76+W77</f>
        <v>0</v>
      </c>
      <c r="X71" s="60">
        <f>W71</f>
        <v>0</v>
      </c>
      <c r="Y71" s="85">
        <f>Y72+Y73+Y74+Y75+Y76+Y77</f>
        <v>0</v>
      </c>
      <c r="Z71" s="85">
        <f>Z72+Z73+Z74+Z75+Z76+Z77</f>
        <v>0</v>
      </c>
      <c r="AA71" s="85">
        <f>AA72+AA73+AA74+AA75+AA76+AA77</f>
        <v>0</v>
      </c>
      <c r="AB71" s="85">
        <f>AB72+AB73+AB74+AB75+AB76+AB77</f>
        <v>0</v>
      </c>
      <c r="AC71" s="60">
        <f>AB71</f>
        <v>0</v>
      </c>
      <c r="AD71" s="85">
        <f>AD72+AD73+AD74+AD75+AD76+AD77</f>
        <v>0</v>
      </c>
      <c r="AE71" s="85">
        <f>AE72+AE73+AE74+AE75+AE76+AE77</f>
        <v>0</v>
      </c>
      <c r="AF71" s="85">
        <f>AF72+AF73+AF74+AF75+AF76+AF77</f>
        <v>0</v>
      </c>
      <c r="AG71" s="85">
        <f>AG72+AG73+AG74+AG75+AG76+AG77</f>
        <v>0</v>
      </c>
      <c r="AH71" s="60">
        <f>AG71</f>
        <v>0</v>
      </c>
      <c r="AI71" s="85">
        <f>AI72+AI73+AI74+AI75+AI76+AI77</f>
        <v>0</v>
      </c>
      <c r="AJ71" s="85">
        <f>AJ72+AJ73+AJ74+AJ75+AJ76+AJ77</f>
        <v>0</v>
      </c>
      <c r="AK71" s="85">
        <f>AK72+AK73+AK74+AK75+AK76+AK77</f>
        <v>0</v>
      </c>
      <c r="AL71" s="85">
        <f>AL72+AL73+AL74+AL75+AL76+AL77</f>
        <v>0</v>
      </c>
      <c r="AM71" s="60">
        <f>AL71</f>
        <v>0</v>
      </c>
      <c r="AN71" s="85">
        <f>AN72+AN73+AN74+AN75+AN76+AN77</f>
        <v>0</v>
      </c>
      <c r="AO71" s="85">
        <f>AO72+AO73+AO74+AO75+AO76+AO77</f>
        <v>0</v>
      </c>
      <c r="AP71" s="85">
        <f>AP72+AP73+AP74+AP75+AP76+AP77</f>
        <v>0</v>
      </c>
      <c r="AQ71" s="85">
        <f>AQ72+AQ73+AQ74+AQ75+AQ76+AQ77</f>
        <v>0</v>
      </c>
      <c r="AR71" s="60">
        <f>AQ71</f>
        <v>0</v>
      </c>
      <c r="AS71" s="85">
        <f>AS72+AS73+AS74+AS75+AS76+AS77</f>
        <v>0</v>
      </c>
      <c r="AT71" s="85">
        <f>AT72+AT73+AT74+AT75+AT76+AT77</f>
        <v>0</v>
      </c>
      <c r="AU71" s="85">
        <f>AU72+AU73+AU74+AU75+AU76+AU77</f>
        <v>0</v>
      </c>
      <c r="AV71" s="85">
        <f>AV72+AV73+AV74+AV75+AV76+AV77</f>
        <v>0</v>
      </c>
      <c r="AW71" s="60">
        <f>AV71</f>
        <v>0</v>
      </c>
      <c r="AX71" s="85">
        <f>AX72+AX73+AX74+AX75+AX76+AX77</f>
        <v>0</v>
      </c>
      <c r="AY71" s="85">
        <f>AY72+AY73+AY74+AY75+AY76+AY77</f>
        <v>0</v>
      </c>
      <c r="AZ71" s="85">
        <f>AZ72+AZ73+AZ74+AZ75+AZ76+AZ77</f>
        <v>0</v>
      </c>
      <c r="BA71" s="85">
        <f>BA72+BA73+BA74+BA75+BA76+BA77</f>
        <v>0</v>
      </c>
      <c r="BB71" s="60">
        <f>BA71</f>
        <v>0</v>
      </c>
      <c r="BC71" s="85">
        <f>BC72+BC73+BC74+BC75+BC76+BC77</f>
        <v>0</v>
      </c>
      <c r="BD71" s="85">
        <f>BD72+BD73+BD74+BD75+BD76+BD77</f>
        <v>0</v>
      </c>
      <c r="BE71" s="85">
        <f>BE72+BE73+BE74+BE75+BE76+BE77</f>
        <v>0</v>
      </c>
      <c r="BF71" s="85">
        <f>BF72+BF73+BF74+BF75+BF76+BF77</f>
        <v>0</v>
      </c>
      <c r="BG71" s="60">
        <f>BF71</f>
        <v>0</v>
      </c>
    </row>
    <row r="72" hidden="1" outlineLevel="1">
      <c r="C72" s="61" t="inlineStr">
        <is>
          <t>Ações ordinárias (valor nominal)</t>
        </is>
      </c>
      <c r="D72" s="62" t="inlineStr">
        <is>
          <t>Common stock</t>
        </is>
      </c>
      <c r="E72" s="57">
        <f>'Inputs (2)'!E60</f>
        <v>0</v>
      </c>
      <c r="F72" s="57">
        <f>IF(F$14=1,'Inputs (2)'!F60,E72+Inputs!F$306)</f>
        <v>0</v>
      </c>
      <c r="G72" s="57">
        <f>IF(G$14=1,'Inputs (2)'!G60,F72+Inputs!G$306)</f>
        <v>0</v>
      </c>
      <c r="H72" s="57">
        <f>IF(H$14=1,'Inputs (2)'!H60,G72+Inputs!H$306)</f>
        <v>0</v>
      </c>
      <c r="I72" s="77">
        <f>H72</f>
        <v>0</v>
      </c>
      <c r="J72" s="57">
        <f>IF(J$14=1,'Inputs (2)'!J60,H72+Inputs!J$306)</f>
        <v>0</v>
      </c>
      <c r="K72" s="57">
        <f>IF(K$14=1,'Inputs (2)'!K60,J72+Inputs!K$306)</f>
        <v>0</v>
      </c>
      <c r="L72" s="57">
        <f>IF(L$14=1,'Inputs (2)'!L60,K72+Inputs!L$306)</f>
        <v>0</v>
      </c>
      <c r="M72" s="57">
        <f>IF(M$14=1,'Inputs (2)'!M60,L72+Inputs!M$306)</f>
        <v>0</v>
      </c>
      <c r="N72" s="77">
        <f>M72</f>
        <v>0</v>
      </c>
      <c r="O72" s="57">
        <f>IF(O$14=1,'Inputs (2)'!O60,M72+Inputs!O$306)</f>
        <v>0</v>
      </c>
      <c r="P72" s="57">
        <f>IF(P$14=1,'Inputs (2)'!P60,O72+Inputs!P$306)</f>
        <v>0</v>
      </c>
      <c r="Q72" s="57">
        <f>IF(Q$14=1,'Inputs (2)'!Q60,P72+Inputs!Q$306)</f>
        <v>0</v>
      </c>
      <c r="R72" s="57">
        <f>IF(R$14=1,'Inputs (2)'!R60,Q72+Inputs!R$306)</f>
        <v>0</v>
      </c>
      <c r="S72" s="77">
        <f>R72</f>
        <v>0</v>
      </c>
      <c r="T72" s="57">
        <f>IF(T$14=1,'Inputs (2)'!T60,R72+Inputs!T$306)</f>
        <v>0</v>
      </c>
      <c r="U72" s="57">
        <f>IF(U$14=1,'Inputs (2)'!U60,T72+Inputs!U$306)</f>
        <v>0</v>
      </c>
      <c r="V72" s="57">
        <f>IF(V$14=1,'Inputs (2)'!V60,U72+Inputs!V$306)</f>
        <v>0</v>
      </c>
      <c r="W72" s="57">
        <f>IF(W$14=1,'Inputs (2)'!W60,V72+Inputs!W$306)</f>
        <v>0</v>
      </c>
      <c r="X72" s="77">
        <f>W72</f>
        <v>0</v>
      </c>
      <c r="Y72" s="57">
        <f>IF(Y$14=1,'Inputs (2)'!Y60,W72+Inputs!Y$306)</f>
        <v>0</v>
      </c>
      <c r="Z72" s="57">
        <f>IF(Z$14=1,'Inputs (2)'!Z60,Y72+Inputs!Z$306)</f>
        <v>0</v>
      </c>
      <c r="AA72" s="57">
        <f>IF(AA$14=1,'Inputs (2)'!AA60,Z72+Inputs!AA$306)</f>
        <v>0</v>
      </c>
      <c r="AB72" s="57">
        <f>IF(AB$14=1,'Inputs (2)'!AB60,AA72+Inputs!AB$306)</f>
        <v>0</v>
      </c>
      <c r="AC72" s="77">
        <f>AB72</f>
        <v>0</v>
      </c>
      <c r="AD72" s="57">
        <f>IF(AD$14=1,'Inputs (2)'!AD60,AB72+Inputs!AD$306)</f>
        <v>0</v>
      </c>
      <c r="AE72" s="57">
        <f>IF(AE$14=1,'Inputs (2)'!AE60,AD72+Inputs!AE$306)</f>
        <v>0</v>
      </c>
      <c r="AF72" s="57">
        <f>IF(AF$14=1,'Inputs (2)'!AF60,AE72+Inputs!AF$306)</f>
        <v>0</v>
      </c>
      <c r="AG72" s="57">
        <f>IF(AG$14=1,'Inputs (2)'!AG60,AF72+Inputs!AG$306)</f>
        <v>0</v>
      </c>
      <c r="AH72" s="77">
        <f>AG72</f>
        <v>0</v>
      </c>
      <c r="AI72" s="57">
        <f>IF(AI$14=1,'Inputs (2)'!AI60,AG72+Inputs!AI$306)</f>
        <v>0</v>
      </c>
      <c r="AJ72" s="57">
        <f>IF(AJ$14=1,'Inputs (2)'!AJ60,AI72+Inputs!AJ$306)</f>
        <v>0</v>
      </c>
      <c r="AK72" s="57">
        <f>IF(AK$14=1,'Inputs (2)'!AK60,AJ72+Inputs!AK$306)</f>
        <v>0</v>
      </c>
      <c r="AL72" s="57">
        <f>IF(AL$14=1,'Inputs (2)'!AL60,AK72+Inputs!AL$306)</f>
        <v>0</v>
      </c>
      <c r="AM72" s="77">
        <f>AL72</f>
        <v>0</v>
      </c>
      <c r="AN72" s="57">
        <f>IF(AN$14=1,'Inputs (2)'!AN60,AL72+Inputs!AN$306)</f>
        <v>0</v>
      </c>
      <c r="AO72" s="57">
        <f>IF(AO$14=1,'Inputs (2)'!AO60,AN72+Inputs!AO$306)</f>
        <v>0</v>
      </c>
      <c r="AP72" s="57">
        <f>IF(AP$14=1,'Inputs (2)'!AP60,AO72+Inputs!AP$306)</f>
        <v>0</v>
      </c>
      <c r="AQ72" s="57">
        <f>IF(AQ$14=1,'Inputs (2)'!AQ60,AP72+Inputs!AQ$306)</f>
        <v>0</v>
      </c>
      <c r="AR72" s="77">
        <f>AQ72</f>
        <v>0</v>
      </c>
      <c r="AS72" s="57">
        <f>IF(AS$14=1,'Inputs (2)'!AS60,AQ72+Inputs!AS$306)</f>
        <v>0</v>
      </c>
      <c r="AT72" s="57">
        <f>IF(AT$14=1,'Inputs (2)'!AT60,AS72+Inputs!AT$306)</f>
        <v>0</v>
      </c>
      <c r="AU72" s="57">
        <f>IF(AU$14=1,'Inputs (2)'!AU60,AT72+Inputs!AU$306)</f>
        <v>0</v>
      </c>
      <c r="AV72" s="57">
        <f>IF(AV$14=1,'Inputs (2)'!AV60,AU72+Inputs!AV$306)</f>
        <v>0</v>
      </c>
      <c r="AW72" s="77">
        <f>AV72</f>
        <v>0</v>
      </c>
      <c r="AX72" s="57">
        <f>IF(AX$14=1,'Inputs (2)'!AX60,AV72+Inputs!AX$306)</f>
        <v>0</v>
      </c>
      <c r="AY72" s="57">
        <f>IF(AY$14=1,'Inputs (2)'!AY60,AX72+Inputs!AY$306)</f>
        <v>0</v>
      </c>
      <c r="AZ72" s="57">
        <f>IF(AZ$14=1,'Inputs (2)'!AZ60,AY72+Inputs!AZ$306)</f>
        <v>0</v>
      </c>
      <c r="BA72" s="57">
        <f>IF(BA$14=1,'Inputs (2)'!BA60,AZ72+Inputs!BA$306)</f>
        <v>0</v>
      </c>
      <c r="BB72" s="77">
        <f>BA72</f>
        <v>0</v>
      </c>
      <c r="BC72" s="57">
        <f>IF(BC$14=1,'Inputs (2)'!BC60,BA72+Inputs!BC$306)</f>
        <v>0</v>
      </c>
      <c r="BD72" s="57">
        <f>IF(BD$14=1,'Inputs (2)'!BD60,BC72+Inputs!BD$306)</f>
        <v>0</v>
      </c>
      <c r="BE72" s="57">
        <f>IF(BE$14=1,'Inputs (2)'!BE60,BD72+Inputs!BE$306)</f>
        <v>0</v>
      </c>
      <c r="BF72" s="57">
        <f>IF(BF$14=1,'Inputs (2)'!BF60,BE72+Inputs!BF$306)</f>
        <v>0</v>
      </c>
      <c r="BG72" s="77">
        <f>BF72</f>
        <v>0</v>
      </c>
    </row>
    <row r="73" hidden="1" outlineLevel="1">
      <c r="C73" s="61" t="inlineStr">
        <is>
          <t>Capital adicional integralizado (APIC) e outros</t>
        </is>
      </c>
      <c r="D73" s="62" t="inlineStr">
        <is>
          <t>Additional paid-in capital</t>
        </is>
      </c>
      <c r="E73" s="57">
        <f>'Inputs (2)'!E61</f>
        <v>0</v>
      </c>
      <c r="F73" s="57">
        <f>IF(F$14=1,'Inputs (2)'!F61,E73)</f>
        <v>0</v>
      </c>
      <c r="G73" s="57">
        <f>IF(G$14=1,'Inputs (2)'!G61,F73)</f>
        <v>0</v>
      </c>
      <c r="H73" s="57">
        <f>IF(H$14=1,'Inputs (2)'!H61,G73)</f>
        <v>0</v>
      </c>
      <c r="I73" s="77">
        <f>H73</f>
        <v>0</v>
      </c>
      <c r="J73" s="57">
        <f>IF(J$14=1,'Inputs (2)'!J61,H73)</f>
        <v>0</v>
      </c>
      <c r="K73" s="57">
        <f>IF(K$14=1,'Inputs (2)'!K61,J73)</f>
        <v>0</v>
      </c>
      <c r="L73" s="57">
        <f>IF(L$14=1,'Inputs (2)'!L61,K73)</f>
        <v>0</v>
      </c>
      <c r="M73" s="57">
        <f>IF(M$14=1,'Inputs (2)'!M61,L73)</f>
        <v>0</v>
      </c>
      <c r="N73" s="77">
        <f>M73</f>
        <v>0</v>
      </c>
      <c r="O73" s="57">
        <f>IF(O$14=1,'Inputs (2)'!O61,M73)</f>
        <v>0</v>
      </c>
      <c r="P73" s="57">
        <f>IF(P$14=1,'Inputs (2)'!P61,O73)</f>
        <v>0</v>
      </c>
      <c r="Q73" s="57">
        <f>IF(Q$14=1,'Inputs (2)'!Q61,P73)</f>
        <v>0</v>
      </c>
      <c r="R73" s="57">
        <f>IF(R$14=1,'Inputs (2)'!R61,Q73)</f>
        <v>0</v>
      </c>
      <c r="S73" s="77">
        <f>R73</f>
        <v>0</v>
      </c>
      <c r="T73" s="57">
        <f>IF(T$14=1,'Inputs (2)'!T61,R73)</f>
        <v>0</v>
      </c>
      <c r="U73" s="57">
        <f>IF(U$14=1,'Inputs (2)'!U61,T73)</f>
        <v>0</v>
      </c>
      <c r="V73" s="57">
        <f>IF(V$14=1,'Inputs (2)'!V61,U73)</f>
        <v>0</v>
      </c>
      <c r="W73" s="57">
        <f>IF(W$14=1,'Inputs (2)'!W61,V73)</f>
        <v>0</v>
      </c>
      <c r="X73" s="77">
        <f>W73</f>
        <v>0</v>
      </c>
      <c r="Y73" s="57">
        <f>IF(Y$14=1,'Inputs (2)'!Y61,W73)</f>
        <v>0</v>
      </c>
      <c r="Z73" s="57">
        <f>IF(Z$14=1,'Inputs (2)'!Z61,Y73)</f>
        <v>0</v>
      </c>
      <c r="AA73" s="57">
        <f>IF(AA$14=1,'Inputs (2)'!AA61,Z73)</f>
        <v>0</v>
      </c>
      <c r="AB73" s="57">
        <f>IF(AB$14=1,'Inputs (2)'!AB61,AA73)</f>
        <v>0</v>
      </c>
      <c r="AC73" s="77">
        <f>AB73</f>
        <v>0</v>
      </c>
      <c r="AD73" s="57">
        <f>IF(AD$14=1,'Inputs (2)'!AD61,AB73)</f>
        <v>0</v>
      </c>
      <c r="AE73" s="57">
        <f>IF(AE$14=1,'Inputs (2)'!AE61,AD73)</f>
        <v>0</v>
      </c>
      <c r="AF73" s="57">
        <f>IF(AF$14=1,'Inputs (2)'!AF61,AE73)</f>
        <v>0</v>
      </c>
      <c r="AG73" s="57">
        <f>IF(AG$14=1,'Inputs (2)'!AG61,AF73)</f>
        <v>0</v>
      </c>
      <c r="AH73" s="77">
        <f>AG73</f>
        <v>0</v>
      </c>
      <c r="AI73" s="57">
        <f>IF(AI$14=1,'Inputs (2)'!AI61,AG73)</f>
        <v>0</v>
      </c>
      <c r="AJ73" s="57">
        <f>IF(AJ$14=1,'Inputs (2)'!AJ61,AI73)</f>
        <v>0</v>
      </c>
      <c r="AK73" s="57">
        <f>IF(AK$14=1,'Inputs (2)'!AK61,AJ73)</f>
        <v>0</v>
      </c>
      <c r="AL73" s="57">
        <f>IF(AL$14=1,'Inputs (2)'!AL61,AK73)</f>
        <v>0</v>
      </c>
      <c r="AM73" s="77">
        <f>AL73</f>
        <v>0</v>
      </c>
      <c r="AN73" s="57">
        <f>IF(AN$14=1,'Inputs (2)'!AN61,AL73)</f>
        <v>0</v>
      </c>
      <c r="AO73" s="57">
        <f>IF(AO$14=1,'Inputs (2)'!AO61,AN73)</f>
        <v>0</v>
      </c>
      <c r="AP73" s="57">
        <f>IF(AP$14=1,'Inputs (2)'!AP61,AO73)</f>
        <v>0</v>
      </c>
      <c r="AQ73" s="57">
        <f>IF(AQ$14=1,'Inputs (2)'!AQ61,AP73)</f>
        <v>0</v>
      </c>
      <c r="AR73" s="77">
        <f>AQ73</f>
        <v>0</v>
      </c>
      <c r="AS73" s="57">
        <f>IF(AS$14=1,'Inputs (2)'!AS61,AQ73)</f>
        <v>0</v>
      </c>
      <c r="AT73" s="57">
        <f>IF(AT$14=1,'Inputs (2)'!AT61,AS73)</f>
        <v>0</v>
      </c>
      <c r="AU73" s="57">
        <f>IF(AU$14=1,'Inputs (2)'!AU61,AT73)</f>
        <v>0</v>
      </c>
      <c r="AV73" s="57">
        <f>IF(AV$14=1,'Inputs (2)'!AV61,AU73)</f>
        <v>0</v>
      </c>
      <c r="AW73" s="77">
        <f>AV73</f>
        <v>0</v>
      </c>
      <c r="AX73" s="57">
        <f>IF(AX$14=1,'Inputs (2)'!AX61,AV73)</f>
        <v>0</v>
      </c>
      <c r="AY73" s="57">
        <f>IF(AY$14=1,'Inputs (2)'!AY61,AX73)</f>
        <v>0</v>
      </c>
      <c r="AZ73" s="57">
        <f>IF(AZ$14=1,'Inputs (2)'!AZ61,AY73)</f>
        <v>0</v>
      </c>
      <c r="BA73" s="57">
        <f>IF(BA$14=1,'Inputs (2)'!BA61,AZ73)</f>
        <v>0</v>
      </c>
      <c r="BB73" s="77">
        <f>BA73</f>
        <v>0</v>
      </c>
      <c r="BC73" s="57">
        <f>IF(BC$14=1,'Inputs (2)'!BC61,BA73)</f>
        <v>0</v>
      </c>
      <c r="BD73" s="57">
        <f>IF(BD$14=1,'Inputs (2)'!BD61,BC73)</f>
        <v>0</v>
      </c>
      <c r="BE73" s="57">
        <f>IF(BE$14=1,'Inputs (2)'!BE61,BD73)</f>
        <v>0</v>
      </c>
      <c r="BF73" s="57">
        <f>IF(BF$14=1,'Inputs (2)'!BF61,BE73)</f>
        <v>0</v>
      </c>
      <c r="BG73" s="77">
        <f>BF73</f>
        <v>0</v>
      </c>
    </row>
    <row r="74" hidden="1" outlineLevel="1">
      <c r="C74" s="61" t="inlineStr">
        <is>
          <t>Lucros retidos</t>
        </is>
      </c>
      <c r="D74" s="62" t="inlineStr">
        <is>
          <t>Retained earnings</t>
        </is>
      </c>
      <c r="E74" s="57">
        <f>'Inputs (2)'!E62</f>
        <v>0</v>
      </c>
      <c r="F74" s="57">
        <f>IF(F$14=1,'Inputs (2)'!F62,E74+F129+F85)</f>
        <v>0</v>
      </c>
      <c r="G74" s="57">
        <f>IF(G$14=1,'Inputs (2)'!G62,F74+G129+G85)</f>
        <v>0</v>
      </c>
      <c r="H74" s="57">
        <f>IF(H$14=1,'Inputs (2)'!H62,G74+H129+H85)</f>
        <v>0</v>
      </c>
      <c r="I74" s="77">
        <f>H74</f>
        <v>0</v>
      </c>
      <c r="J74" s="57">
        <f>IF(J$14=1,'Inputs (2)'!J62,H74+J129+J85)</f>
        <v>0</v>
      </c>
      <c r="K74" s="57">
        <f>IF(K$14=1,'Inputs (2)'!K62,J74+K129+K85)</f>
        <v>0</v>
      </c>
      <c r="L74" s="57">
        <f>IF(L$14=1,'Inputs (2)'!L62,K74+L129+L85)</f>
        <v>0</v>
      </c>
      <c r="M74" s="57">
        <f>IF(M$14=1,'Inputs (2)'!M62,L74+M129+M85)</f>
        <v>0</v>
      </c>
      <c r="N74" s="77">
        <f>M74</f>
        <v>0</v>
      </c>
      <c r="O74" s="57">
        <f>IF(O$14=1,'Inputs (2)'!O62,M74+O129+O85)</f>
        <v>0</v>
      </c>
      <c r="P74" s="57">
        <f>IF(P$14=1,'Inputs (2)'!P62,O74+P129+P85)</f>
        <v>0</v>
      </c>
      <c r="Q74" s="57">
        <f>IF(Q$14=1,'Inputs (2)'!Q62,P74+Q129+Q85)</f>
        <v>0</v>
      </c>
      <c r="R74" s="57">
        <f>IF(R$14=1,'Inputs (2)'!R62,Q74+R129+R85)</f>
        <v>0</v>
      </c>
      <c r="S74" s="77">
        <f>R74</f>
        <v>0</v>
      </c>
      <c r="T74" s="57">
        <f>IF(T$14=1,'Inputs (2)'!T62,R74+T129+T85)</f>
        <v>0</v>
      </c>
      <c r="U74" s="57">
        <f>IF(U$14=1,'Inputs (2)'!U62,T74+U129+U85)</f>
        <v>0</v>
      </c>
      <c r="V74" s="57">
        <f>IF(V$14=1,'Inputs (2)'!V62,U74+V129+V85)</f>
        <v>0</v>
      </c>
      <c r="W74" s="57">
        <f>IF(W$14=1,'Inputs (2)'!W62,V74+W129+W85)</f>
        <v>0</v>
      </c>
      <c r="X74" s="77">
        <f>W74</f>
        <v>0</v>
      </c>
      <c r="Y74" s="57">
        <f>IF(Y$14=1,'Inputs (2)'!Y62,W74+Y129+Y85)</f>
        <v>0</v>
      </c>
      <c r="Z74" s="57">
        <f>IF(Z$14=1,'Inputs (2)'!Z62,Y74+Z129+Z85)</f>
        <v>0</v>
      </c>
      <c r="AA74" s="57">
        <f>IF(AA$14=1,'Inputs (2)'!AA62,Z74+AA129+AA85)</f>
        <v>0</v>
      </c>
      <c r="AB74" s="57">
        <f>IF(AB$14=1,'Inputs (2)'!AB62,AA74+AB129+AB85)</f>
        <v>0</v>
      </c>
      <c r="AC74" s="77">
        <f>AB74</f>
        <v>0</v>
      </c>
      <c r="AD74" s="57">
        <f>IF(AD$14=1,'Inputs (2)'!AD62,AB74+AD129+AD85)</f>
        <v>0</v>
      </c>
      <c r="AE74" s="57">
        <f>IF(AE$14=1,'Inputs (2)'!AE62,AD74+AE129+AE85)</f>
        <v>0</v>
      </c>
      <c r="AF74" s="57">
        <f>IF(AF$14=1,'Inputs (2)'!AF62,AE74+AF129+AF85)</f>
        <v>0</v>
      </c>
      <c r="AG74" s="57">
        <f>IF(AG$14=1,'Inputs (2)'!AG62,AF74+AG129+AG85)</f>
        <v>0</v>
      </c>
      <c r="AH74" s="77">
        <f>AG74</f>
        <v>0</v>
      </c>
      <c r="AI74" s="57">
        <f>IF(AI$14=1,'Inputs (2)'!AI62,AG74+AI129+AI85)</f>
        <v>0</v>
      </c>
      <c r="AJ74" s="57">
        <f>IF(AJ$14=1,'Inputs (2)'!AJ62,AI74+AJ129+AJ85)</f>
        <v>0</v>
      </c>
      <c r="AK74" s="57">
        <f>IF(AK$14=1,'Inputs (2)'!AK62,AJ74+AK129+AK85)</f>
        <v>0</v>
      </c>
      <c r="AL74" s="57">
        <f>IF(AL$14=1,'Inputs (2)'!AL62,AK74+AL129+AL85)</f>
        <v>0</v>
      </c>
      <c r="AM74" s="77">
        <f>AL74</f>
        <v>0</v>
      </c>
      <c r="AN74" s="57">
        <f>IF(AN$14=1,'Inputs (2)'!AN62,AL74+AN129+AN85)</f>
        <v>0</v>
      </c>
      <c r="AO74" s="57">
        <f>IF(AO$14=1,'Inputs (2)'!AO62,AN74+AO129+AO85)</f>
        <v>0</v>
      </c>
      <c r="AP74" s="57">
        <f>IF(AP$14=1,'Inputs (2)'!AP62,AO74+AP129+AP85)</f>
        <v>0</v>
      </c>
      <c r="AQ74" s="57">
        <f>IF(AQ$14=1,'Inputs (2)'!AQ62,AP74+AQ129+AQ85)</f>
        <v>0</v>
      </c>
      <c r="AR74" s="77">
        <f>AQ74</f>
        <v>0</v>
      </c>
      <c r="AS74" s="57">
        <f>IF(AS$14=1,'Inputs (2)'!AS62,AQ74+AS129+AS85)</f>
        <v>0</v>
      </c>
      <c r="AT74" s="57">
        <f>IF(AT$14=1,'Inputs (2)'!AT62,AS74+AT129+AT85)</f>
        <v>0</v>
      </c>
      <c r="AU74" s="57">
        <f>IF(AU$14=1,'Inputs (2)'!AU62,AT74+AU129+AU85)</f>
        <v>0</v>
      </c>
      <c r="AV74" s="57">
        <f>IF(AV$14=1,'Inputs (2)'!AV62,AU74+AV129+AV85)</f>
        <v>0</v>
      </c>
      <c r="AW74" s="77">
        <f>AV74</f>
        <v>0</v>
      </c>
      <c r="AX74" s="57">
        <f>IF(AX$14=1,'Inputs (2)'!AX62,AV74+AX129+AX85)</f>
        <v>0</v>
      </c>
      <c r="AY74" s="57">
        <f>IF(AY$14=1,'Inputs (2)'!AY62,AX74+AY129+AY85)</f>
        <v>0</v>
      </c>
      <c r="AZ74" s="57">
        <f>IF(AZ$14=1,'Inputs (2)'!AZ62,AY74+AZ129+AZ85)</f>
        <v>0</v>
      </c>
      <c r="BA74" s="57">
        <f>IF(BA$14=1,'Inputs (2)'!BA62,AZ74+BA129+BA85)</f>
        <v>0</v>
      </c>
      <c r="BB74" s="77">
        <f>BA74</f>
        <v>0</v>
      </c>
      <c r="BC74" s="57">
        <f>IF(BC$14=1,'Inputs (2)'!BC62,BA74+BC129+BC85)</f>
        <v>0</v>
      </c>
      <c r="BD74" s="57">
        <f>IF(BD$14=1,'Inputs (2)'!BD62,BC74+BD129+BD85)</f>
        <v>0</v>
      </c>
      <c r="BE74" s="57">
        <f>IF(BE$14=1,'Inputs (2)'!BE62,BD74+BE129+BE85)</f>
        <v>0</v>
      </c>
      <c r="BF74" s="57">
        <f>IF(BF$14=1,'Inputs (2)'!BF62,BE74+BF129+BF85)</f>
        <v>0</v>
      </c>
      <c r="BG74" s="77">
        <f>BF74</f>
        <v>0</v>
      </c>
    </row>
    <row r="75" hidden="1" outlineLevel="1">
      <c r="C75" s="61" t="inlineStr">
        <is>
          <t>Outros resultados abrangentes acumulados (AOCI)</t>
        </is>
      </c>
      <c r="D75" s="62" t="inlineStr">
        <is>
          <t>AOCI</t>
        </is>
      </c>
      <c r="E75" s="57">
        <f>'Inputs (2)'!E63</f>
        <v>0</v>
      </c>
      <c r="F75" s="57">
        <f>IF(F$14=1,'Inputs (2)'!F63,E75+Inputs!F$305)</f>
        <v>0</v>
      </c>
      <c r="G75" s="57">
        <f>IF(G$14=1,'Inputs (2)'!G63,F75+Inputs!G$305)</f>
        <v>0</v>
      </c>
      <c r="H75" s="57">
        <f>IF(H$14=1,'Inputs (2)'!H63,G75+Inputs!H$305)</f>
        <v>0</v>
      </c>
      <c r="I75" s="77">
        <f>H75</f>
        <v>0</v>
      </c>
      <c r="J75" s="57">
        <f>IF(J$14=1,'Inputs (2)'!J63,H75+Inputs!J$305)</f>
        <v>0</v>
      </c>
      <c r="K75" s="57">
        <f>IF(K$14=1,'Inputs (2)'!K63,J75+Inputs!K$305)</f>
        <v>0</v>
      </c>
      <c r="L75" s="57">
        <f>IF(L$14=1,'Inputs (2)'!L63,K75+Inputs!L$305)</f>
        <v>0</v>
      </c>
      <c r="M75" s="57">
        <f>IF(M$14=1,'Inputs (2)'!M63,L75+Inputs!M$305)</f>
        <v>0</v>
      </c>
      <c r="N75" s="77">
        <f>M75</f>
        <v>0</v>
      </c>
      <c r="O75" s="57">
        <f>IF(O$14=1,'Inputs (2)'!O63,M75+Inputs!O$305)</f>
        <v>0</v>
      </c>
      <c r="P75" s="57">
        <f>IF(P$14=1,'Inputs (2)'!P63,O75+Inputs!P$305)</f>
        <v>0</v>
      </c>
      <c r="Q75" s="57">
        <f>IF(Q$14=1,'Inputs (2)'!Q63,P75+Inputs!Q$305)</f>
        <v>0</v>
      </c>
      <c r="R75" s="57">
        <f>IF(R$14=1,'Inputs (2)'!R63,Q75+Inputs!R$305)</f>
        <v>0</v>
      </c>
      <c r="S75" s="77">
        <f>R75</f>
        <v>0</v>
      </c>
      <c r="T75" s="57">
        <f>IF(T$14=1,'Inputs (2)'!T63,R75+Inputs!T$305)</f>
        <v>0</v>
      </c>
      <c r="U75" s="57">
        <f>IF(U$14=1,'Inputs (2)'!U63,T75+Inputs!U$305)</f>
        <v>0</v>
      </c>
      <c r="V75" s="57">
        <f>IF(V$14=1,'Inputs (2)'!V63,U75+Inputs!V$305)</f>
        <v>0</v>
      </c>
      <c r="W75" s="57">
        <f>IF(W$14=1,'Inputs (2)'!W63,V75+Inputs!W$305)</f>
        <v>0</v>
      </c>
      <c r="X75" s="77">
        <f>W75</f>
        <v>0</v>
      </c>
      <c r="Y75" s="57">
        <f>IF(Y$14=1,'Inputs (2)'!Y63,W75+Inputs!Y$305)</f>
        <v>0</v>
      </c>
      <c r="Z75" s="57">
        <f>IF(Z$14=1,'Inputs (2)'!Z63,Y75+Inputs!Z$305)</f>
        <v>0</v>
      </c>
      <c r="AA75" s="57">
        <f>IF(AA$14=1,'Inputs (2)'!AA63,Z75+Inputs!AA$305)</f>
        <v>0</v>
      </c>
      <c r="AB75" s="57">
        <f>IF(AB$14=1,'Inputs (2)'!AB63,AA75+Inputs!AB$305)</f>
        <v>0</v>
      </c>
      <c r="AC75" s="77">
        <f>AB75</f>
        <v>0</v>
      </c>
      <c r="AD75" s="57">
        <f>IF(AD$14=1,'Inputs (2)'!AD63,AB75+Inputs!AD$305)</f>
        <v>0</v>
      </c>
      <c r="AE75" s="57">
        <f>IF(AE$14=1,'Inputs (2)'!AE63,AD75+Inputs!AE$305)</f>
        <v>0</v>
      </c>
      <c r="AF75" s="57">
        <f>IF(AF$14=1,'Inputs (2)'!AF63,AE75+Inputs!AF$305)</f>
        <v>0</v>
      </c>
      <c r="AG75" s="57">
        <f>IF(AG$14=1,'Inputs (2)'!AG63,AF75+Inputs!AG$305)</f>
        <v>0</v>
      </c>
      <c r="AH75" s="77">
        <f>AG75</f>
        <v>0</v>
      </c>
      <c r="AI75" s="57">
        <f>IF(AI$14=1,'Inputs (2)'!AI63,AG75+Inputs!AI$305)</f>
        <v>0</v>
      </c>
      <c r="AJ75" s="57">
        <f>IF(AJ$14=1,'Inputs (2)'!AJ63,AI75+Inputs!AJ$305)</f>
        <v>0</v>
      </c>
      <c r="AK75" s="57">
        <f>IF(AK$14=1,'Inputs (2)'!AK63,AJ75+Inputs!AK$305)</f>
        <v>0</v>
      </c>
      <c r="AL75" s="57">
        <f>IF(AL$14=1,'Inputs (2)'!AL63,AK75+Inputs!AL$305)</f>
        <v>0</v>
      </c>
      <c r="AM75" s="77">
        <f>AL75</f>
        <v>0</v>
      </c>
      <c r="AN75" s="57">
        <f>IF(AN$14=1,'Inputs (2)'!AN63,AL75+Inputs!AN$305)</f>
        <v>0</v>
      </c>
      <c r="AO75" s="57">
        <f>IF(AO$14=1,'Inputs (2)'!AO63,AN75+Inputs!AO$305)</f>
        <v>0</v>
      </c>
      <c r="AP75" s="57">
        <f>IF(AP$14=1,'Inputs (2)'!AP63,AO75+Inputs!AP$305)</f>
        <v>0</v>
      </c>
      <c r="AQ75" s="57">
        <f>IF(AQ$14=1,'Inputs (2)'!AQ63,AP75+Inputs!AQ$305)</f>
        <v>0</v>
      </c>
      <c r="AR75" s="77">
        <f>AQ75</f>
        <v>0</v>
      </c>
      <c r="AS75" s="57">
        <f>IF(AS$14=1,'Inputs (2)'!AS63,AQ75+Inputs!AS$305)</f>
        <v>0</v>
      </c>
      <c r="AT75" s="57">
        <f>IF(AT$14=1,'Inputs (2)'!AT63,AS75+Inputs!AT$305)</f>
        <v>0</v>
      </c>
      <c r="AU75" s="57">
        <f>IF(AU$14=1,'Inputs (2)'!AU63,AT75+Inputs!AU$305)</f>
        <v>0</v>
      </c>
      <c r="AV75" s="57">
        <f>IF(AV$14=1,'Inputs (2)'!AV63,AU75+Inputs!AV$305)</f>
        <v>0</v>
      </c>
      <c r="AW75" s="77">
        <f>AV75</f>
        <v>0</v>
      </c>
      <c r="AX75" s="57">
        <f>IF(AX$14=1,'Inputs (2)'!AX63,AV75+Inputs!AX$305)</f>
        <v>0</v>
      </c>
      <c r="AY75" s="57">
        <f>IF(AY$14=1,'Inputs (2)'!AY63,AX75+Inputs!AY$305)</f>
        <v>0</v>
      </c>
      <c r="AZ75" s="57">
        <f>IF(AZ$14=1,'Inputs (2)'!AZ63,AY75+Inputs!AZ$305)</f>
        <v>0</v>
      </c>
      <c r="BA75" s="57">
        <f>IF(BA$14=1,'Inputs (2)'!BA63,AZ75+Inputs!BA$305)</f>
        <v>0</v>
      </c>
      <c r="BB75" s="77">
        <f>BA75</f>
        <v>0</v>
      </c>
      <c r="BC75" s="57">
        <f>IF(BC$14=1,'Inputs (2)'!BC63,BA75+Inputs!BC$305)</f>
        <v>0</v>
      </c>
      <c r="BD75" s="57">
        <f>IF(BD$14=1,'Inputs (2)'!BD63,BC75+Inputs!BD$305)</f>
        <v>0</v>
      </c>
      <c r="BE75" s="57">
        <f>IF(BE$14=1,'Inputs (2)'!BE63,BD75+Inputs!BE$305)</f>
        <v>0</v>
      </c>
      <c r="BF75" s="57">
        <f>IF(BF$14=1,'Inputs (2)'!BF63,BE75+Inputs!BF$305)</f>
        <v>0</v>
      </c>
      <c r="BG75" s="77">
        <f>BF75</f>
        <v>0</v>
      </c>
    </row>
    <row r="76" hidden="1" outlineLevel="1">
      <c r="C76" s="61" t="inlineStr">
        <is>
          <t>(Ações em tesouraria, a custo)</t>
        </is>
      </c>
      <c r="D76" s="62" t="inlineStr">
        <is>
          <t>(Treasury stock)</t>
        </is>
      </c>
      <c r="E76" s="57">
        <f>'Inputs (2)'!E64</f>
        <v>0</v>
      </c>
      <c r="F76" s="57">
        <f>IF(F$14=1,'Inputs (2)'!F64,E76+F86)</f>
        <v>0</v>
      </c>
      <c r="G76" s="57">
        <f>IF(G$14=1,'Inputs (2)'!G64,F76+G86)</f>
        <v>0</v>
      </c>
      <c r="H76" s="57">
        <f>IF(H$14=1,'Inputs (2)'!H64,G76+H86)</f>
        <v>0</v>
      </c>
      <c r="I76" s="77">
        <f>H76</f>
        <v>0</v>
      </c>
      <c r="J76" s="57">
        <f>IF(J$14=1,'Inputs (2)'!J64,H76+J86)</f>
        <v>0</v>
      </c>
      <c r="K76" s="57">
        <f>IF(K$14=1,'Inputs (2)'!K64,J76+K86)</f>
        <v>0</v>
      </c>
      <c r="L76" s="57">
        <f>IF(L$14=1,'Inputs (2)'!L64,K76+L86)</f>
        <v>0</v>
      </c>
      <c r="M76" s="57">
        <f>IF(M$14=1,'Inputs (2)'!M64,L76+M86)</f>
        <v>0</v>
      </c>
      <c r="N76" s="77">
        <f>M76</f>
        <v>0</v>
      </c>
      <c r="O76" s="57">
        <f>IF(O$14=1,'Inputs (2)'!O64,M76+O86)</f>
        <v>0</v>
      </c>
      <c r="P76" s="57">
        <f>IF(P$14=1,'Inputs (2)'!P64,O76+P86)</f>
        <v>0</v>
      </c>
      <c r="Q76" s="57">
        <f>IF(Q$14=1,'Inputs (2)'!Q64,P76+Q86)</f>
        <v>0</v>
      </c>
      <c r="R76" s="57">
        <f>IF(R$14=1,'Inputs (2)'!R64,Q76+R86)</f>
        <v>0</v>
      </c>
      <c r="S76" s="77">
        <f>R76</f>
        <v>0</v>
      </c>
      <c r="T76" s="57">
        <f>IF(T$14=1,'Inputs (2)'!T64,R76+T86)</f>
        <v>0</v>
      </c>
      <c r="U76" s="57">
        <f>IF(U$14=1,'Inputs (2)'!U64,T76+U86)</f>
        <v>0</v>
      </c>
      <c r="V76" s="57">
        <f>IF(V$14=1,'Inputs (2)'!V64,U76+V86)</f>
        <v>0</v>
      </c>
      <c r="W76" s="57">
        <f>IF(W$14=1,'Inputs (2)'!W64,V76+W86)</f>
        <v>0</v>
      </c>
      <c r="X76" s="77">
        <f>W76</f>
        <v>0</v>
      </c>
      <c r="Y76" s="57">
        <f>IF(Y$14=1,'Inputs (2)'!Y64,W76+Y86)</f>
        <v>0</v>
      </c>
      <c r="Z76" s="57">
        <f>IF(Z$14=1,'Inputs (2)'!Z64,Y76+Z86)</f>
        <v>0</v>
      </c>
      <c r="AA76" s="57">
        <f>IF(AA$14=1,'Inputs (2)'!AA64,Z76+AA86)</f>
        <v>0</v>
      </c>
      <c r="AB76" s="57">
        <f>IF(AB$14=1,'Inputs (2)'!AB64,AA76+AB86)</f>
        <v>0</v>
      </c>
      <c r="AC76" s="77">
        <f>AB76</f>
        <v>0</v>
      </c>
      <c r="AD76" s="57">
        <f>IF(AD$14=1,'Inputs (2)'!AD64,AB76+AD86)</f>
        <v>0</v>
      </c>
      <c r="AE76" s="57">
        <f>IF(AE$14=1,'Inputs (2)'!AE64,AD76+AE86)</f>
        <v>0</v>
      </c>
      <c r="AF76" s="57">
        <f>IF(AF$14=1,'Inputs (2)'!AF64,AE76+AF86)</f>
        <v>0</v>
      </c>
      <c r="AG76" s="57">
        <f>IF(AG$14=1,'Inputs (2)'!AG64,AF76+AG86)</f>
        <v>0</v>
      </c>
      <c r="AH76" s="77">
        <f>AG76</f>
        <v>0</v>
      </c>
      <c r="AI76" s="57">
        <f>IF(AI$14=1,'Inputs (2)'!AI64,AG76+AI86)</f>
        <v>0</v>
      </c>
      <c r="AJ76" s="57">
        <f>IF(AJ$14=1,'Inputs (2)'!AJ64,AI76+AJ86)</f>
        <v>0</v>
      </c>
      <c r="AK76" s="57">
        <f>IF(AK$14=1,'Inputs (2)'!AK64,AJ76+AK86)</f>
        <v>0</v>
      </c>
      <c r="AL76" s="57">
        <f>IF(AL$14=1,'Inputs (2)'!AL64,AK76+AL86)</f>
        <v>0</v>
      </c>
      <c r="AM76" s="77">
        <f>AL76</f>
        <v>0</v>
      </c>
      <c r="AN76" s="57">
        <f>IF(AN$14=1,'Inputs (2)'!AN64,AL76+AN86)</f>
        <v>0</v>
      </c>
      <c r="AO76" s="57">
        <f>IF(AO$14=1,'Inputs (2)'!AO64,AN76+AO86)</f>
        <v>0</v>
      </c>
      <c r="AP76" s="57">
        <f>IF(AP$14=1,'Inputs (2)'!AP64,AO76+AP86)</f>
        <v>0</v>
      </c>
      <c r="AQ76" s="57">
        <f>IF(AQ$14=1,'Inputs (2)'!AQ64,AP76+AQ86)</f>
        <v>0</v>
      </c>
      <c r="AR76" s="77">
        <f>AQ76</f>
        <v>0</v>
      </c>
      <c r="AS76" s="57">
        <f>IF(AS$14=1,'Inputs (2)'!AS64,AQ76+AS86)</f>
        <v>0</v>
      </c>
      <c r="AT76" s="57">
        <f>IF(AT$14=1,'Inputs (2)'!AT64,AS76+AT86)</f>
        <v>0</v>
      </c>
      <c r="AU76" s="57">
        <f>IF(AU$14=1,'Inputs (2)'!AU64,AT76+AU86)</f>
        <v>0</v>
      </c>
      <c r="AV76" s="57">
        <f>IF(AV$14=1,'Inputs (2)'!AV64,AU76+AV86)</f>
        <v>0</v>
      </c>
      <c r="AW76" s="77">
        <f>AV76</f>
        <v>0</v>
      </c>
      <c r="AX76" s="57">
        <f>IF(AX$14=1,'Inputs (2)'!AX64,AV76+AX86)</f>
        <v>0</v>
      </c>
      <c r="AY76" s="57">
        <f>IF(AY$14=1,'Inputs (2)'!AY64,AX76+AY86)</f>
        <v>0</v>
      </c>
      <c r="AZ76" s="57">
        <f>IF(AZ$14=1,'Inputs (2)'!AZ64,AY76+AZ86)</f>
        <v>0</v>
      </c>
      <c r="BA76" s="57">
        <f>IF(BA$14=1,'Inputs (2)'!BA64,AZ76+BA86)</f>
        <v>0</v>
      </c>
      <c r="BB76" s="77">
        <f>BA76</f>
        <v>0</v>
      </c>
      <c r="BC76" s="57">
        <f>IF(BC$14=1,'Inputs (2)'!BC64,BA76+BC86)</f>
        <v>0</v>
      </c>
      <c r="BD76" s="57">
        <f>IF(BD$14=1,'Inputs (2)'!BD64,BC76+BD86)</f>
        <v>0</v>
      </c>
      <c r="BE76" s="57">
        <f>IF(BE$14=1,'Inputs (2)'!BE64,BD76+BE86)</f>
        <v>0</v>
      </c>
      <c r="BF76" s="57">
        <f>IF(BF$14=1,'Inputs (2)'!BF64,BE76+BF86)</f>
        <v>0</v>
      </c>
      <c r="BG76" s="77">
        <f>BF76</f>
        <v>0</v>
      </c>
    </row>
    <row r="77">
      <c r="C77" s="61" t="inlineStr">
        <is>
          <t>Ações preferenciais</t>
        </is>
      </c>
      <c r="D77" s="62" t="inlineStr">
        <is>
          <t>Preferred stock</t>
        </is>
      </c>
      <c r="E77" s="57">
        <f>IF(E$14=1,'Inputs (2)'!E65,0)</f>
        <v>0</v>
      </c>
      <c r="F77" s="57">
        <f>IF(F$14=1,'Inputs (2)'!F65,E77)</f>
        <v>0</v>
      </c>
      <c r="G77" s="57">
        <f>IF(G$14=1,'Inputs (2)'!G65,F77)</f>
        <v>0</v>
      </c>
      <c r="H77" s="57">
        <f>IF(H$14=1,'Inputs (2)'!H65,G77)</f>
        <v>0</v>
      </c>
      <c r="I77" s="77">
        <f>H77</f>
        <v>0</v>
      </c>
      <c r="J77" s="57">
        <f>IF(J$14=1,'Inputs (2)'!J65,H77)</f>
        <v>0</v>
      </c>
      <c r="K77" s="57">
        <f>IF(K$14=1,'Inputs (2)'!K65,J77)</f>
        <v>0</v>
      </c>
      <c r="L77" s="57">
        <f>IF(L$14=1,'Inputs (2)'!L65,K77)</f>
        <v>0</v>
      </c>
      <c r="M77" s="57">
        <f>IF(M$14=1,'Inputs (2)'!M65,L77)</f>
        <v>0</v>
      </c>
      <c r="N77" s="77">
        <f>M77</f>
        <v>0</v>
      </c>
      <c r="O77" s="57">
        <f>IF(O$14=1,'Inputs (2)'!O65,M77)</f>
        <v>0</v>
      </c>
      <c r="P77" s="57">
        <f>IF(P$14=1,'Inputs (2)'!P65,O77)</f>
        <v>0</v>
      </c>
      <c r="Q77" s="57">
        <f>IF(Q$14=1,'Inputs (2)'!Q65,P77)</f>
        <v>0</v>
      </c>
      <c r="R77" s="57">
        <f>IF(R$14=1,'Inputs (2)'!R65,Q77)</f>
        <v>0</v>
      </c>
      <c r="S77" s="77">
        <f>R77</f>
        <v>0</v>
      </c>
      <c r="T77" s="57">
        <f>IF(T$14=1,'Inputs (2)'!T65,R77)</f>
        <v>0</v>
      </c>
      <c r="U77" s="57">
        <f>IF(U$14=1,'Inputs (2)'!U65,T77)</f>
        <v>0</v>
      </c>
      <c r="V77" s="57">
        <f>IF(V$14=1,'Inputs (2)'!V65,U77)</f>
        <v>0</v>
      </c>
      <c r="W77" s="57">
        <f>IF(W$14=1,'Inputs (2)'!W65,V77)</f>
        <v>0</v>
      </c>
      <c r="X77" s="77">
        <f>W77</f>
        <v>0</v>
      </c>
      <c r="Y77" s="57">
        <f>IF(Y$14=1,'Inputs (2)'!Y65,W77)</f>
        <v>0</v>
      </c>
      <c r="Z77" s="57">
        <f>IF(Z$14=1,'Inputs (2)'!Z65,Y77)</f>
        <v>0</v>
      </c>
      <c r="AA77" s="57">
        <f>IF(AA$14=1,'Inputs (2)'!AA65,Z77)</f>
        <v>0</v>
      </c>
      <c r="AB77" s="57">
        <f>IF(AB$14=1,'Inputs (2)'!AB65,AA77)</f>
        <v>0</v>
      </c>
      <c r="AC77" s="77">
        <f>AB77</f>
        <v>0</v>
      </c>
      <c r="AD77" s="57">
        <f>IF(AD$14=1,'Inputs (2)'!AD65,AB77)</f>
        <v>0</v>
      </c>
      <c r="AE77" s="57">
        <f>IF(AE$14=1,'Inputs (2)'!AE65,AD77)</f>
        <v>0</v>
      </c>
      <c r="AF77" s="57">
        <f>IF(AF$14=1,'Inputs (2)'!AF65,AE77)</f>
        <v>0</v>
      </c>
      <c r="AG77" s="57">
        <f>IF(AG$14=1,'Inputs (2)'!AG65,AF77)</f>
        <v>0</v>
      </c>
      <c r="AH77" s="77">
        <f>AG77</f>
        <v>0</v>
      </c>
      <c r="AI77" s="57">
        <f>IF(AI$14=1,'Inputs (2)'!AI65,AG77)</f>
        <v>0</v>
      </c>
      <c r="AJ77" s="57">
        <f>IF(AJ$14=1,'Inputs (2)'!AJ65,AI77)</f>
        <v>0</v>
      </c>
      <c r="AK77" s="57">
        <f>IF(AK$14=1,'Inputs (2)'!AK65,AJ77)</f>
        <v>0</v>
      </c>
      <c r="AL77" s="57">
        <f>IF(AL$14=1,'Inputs (2)'!AL65,AK77)</f>
        <v>0</v>
      </c>
      <c r="AM77" s="77">
        <f>AL77</f>
        <v>0</v>
      </c>
      <c r="AN77" s="57">
        <f>IF(AN$14=1,'Inputs (2)'!AN65,AL77)</f>
        <v>0</v>
      </c>
      <c r="AO77" s="57">
        <f>IF(AO$14=1,'Inputs (2)'!AO65,AN77)</f>
        <v>0</v>
      </c>
      <c r="AP77" s="57">
        <f>IF(AP$14=1,'Inputs (2)'!AP65,AO77)</f>
        <v>0</v>
      </c>
      <c r="AQ77" s="57">
        <f>IF(AQ$14=1,'Inputs (2)'!AQ65,AP77)</f>
        <v>0</v>
      </c>
      <c r="AR77" s="77">
        <f>AQ77</f>
        <v>0</v>
      </c>
      <c r="AS77" s="57">
        <f>IF(AS$14=1,'Inputs (2)'!AS65,AQ77)</f>
        <v>0</v>
      </c>
      <c r="AT77" s="57">
        <f>IF(AT$14=1,'Inputs (2)'!AT65,AS77)</f>
        <v>0</v>
      </c>
      <c r="AU77" s="57">
        <f>IF(AU$14=1,'Inputs (2)'!AU65,AT77)</f>
        <v>0</v>
      </c>
      <c r="AV77" s="57">
        <f>IF(AV$14=1,'Inputs (2)'!AV65,AU77)</f>
        <v>0</v>
      </c>
      <c r="AW77" s="77">
        <f>AV77</f>
        <v>0</v>
      </c>
      <c r="AX77" s="57">
        <f>IF(AX$14=1,'Inputs (2)'!AX65,AV77)</f>
        <v>0</v>
      </c>
      <c r="AY77" s="57">
        <f>IF(AY$14=1,'Inputs (2)'!AY65,AX77)</f>
        <v>0</v>
      </c>
      <c r="AZ77" s="57">
        <f>IF(AZ$14=1,'Inputs (2)'!AZ65,AY77)</f>
        <v>0</v>
      </c>
      <c r="BA77" s="57">
        <f>IF(BA$14=1,'Inputs (2)'!BA65,AZ77)</f>
        <v>0</v>
      </c>
      <c r="BB77" s="77">
        <f>BA77</f>
        <v>0</v>
      </c>
      <c r="BC77" s="57">
        <f>IF(BC$14=1,'Inputs (2)'!BC65,BA77)</f>
        <v>0</v>
      </c>
      <c r="BD77" s="57">
        <f>IF(BD$14=1,'Inputs (2)'!BD65,BC77)</f>
        <v>0</v>
      </c>
      <c r="BE77" s="57">
        <f>IF(BE$14=1,'Inputs (2)'!BE65,BD77)</f>
        <v>0</v>
      </c>
      <c r="BF77" s="57">
        <f>IF(BF$14=1,'Inputs (2)'!BF65,BE77)</f>
        <v>0</v>
      </c>
      <c r="BG77" s="77">
        <f>BF77</f>
        <v>0</v>
      </c>
    </row>
    <row r="78" collapsed="1">
      <c r="C78" s="80" t="inlineStr">
        <is>
          <t>Participação de Acionistas Não Controladores</t>
        </is>
      </c>
      <c r="D78" s="81" t="inlineStr">
        <is>
          <t>Non-Controlling Interests</t>
        </is>
      </c>
      <c r="E78" s="82">
        <f>'Inputs (2)'!E66</f>
        <v>0</v>
      </c>
      <c r="F78" s="82">
        <f>IF(F$14=1,'Inputs (2)'!F66,E78-F128)</f>
        <v>0</v>
      </c>
      <c r="G78" s="82">
        <f>IF(G$14=1,'Inputs (2)'!G66,F78-G128)</f>
        <v>0</v>
      </c>
      <c r="H78" s="82">
        <f>IF(H$14=1,'Inputs (2)'!H66,G78-H128)</f>
        <v>0</v>
      </c>
      <c r="I78" s="77">
        <f>H78</f>
        <v>0</v>
      </c>
      <c r="J78" s="82">
        <f>IF(J$14=1,'Inputs (2)'!J66,H78-J128)</f>
        <v>0</v>
      </c>
      <c r="K78" s="82">
        <f>IF(K$14=1,'Inputs (2)'!K66,J78-K128)</f>
        <v>0</v>
      </c>
      <c r="L78" s="82">
        <f>IF(L$14=1,'Inputs (2)'!L66,K78-L128)</f>
        <v>0</v>
      </c>
      <c r="M78" s="82">
        <f>IF(M$14=1,'Inputs (2)'!M66,L78-M128)</f>
        <v>0</v>
      </c>
      <c r="N78" s="77">
        <f>M78</f>
        <v>0</v>
      </c>
      <c r="O78" s="82">
        <f>IF(O$14=1,'Inputs (2)'!O66,M78-O128)</f>
        <v>0</v>
      </c>
      <c r="P78" s="82">
        <f>IF(P$14=1,'Inputs (2)'!P66,O78-P128)</f>
        <v>0</v>
      </c>
      <c r="Q78" s="82">
        <f>IF(Q$14=1,'Inputs (2)'!Q66,P78-Q128)</f>
        <v>0</v>
      </c>
      <c r="R78" s="82">
        <f>IF(R$14=1,'Inputs (2)'!R66,Q78-R128)</f>
        <v>0</v>
      </c>
      <c r="S78" s="77">
        <f>R78</f>
        <v>0</v>
      </c>
      <c r="T78" s="82">
        <f>IF(T$14=1,'Inputs (2)'!T66,R78-T128)</f>
        <v>0</v>
      </c>
      <c r="U78" s="82">
        <f>IF(U$14=1,'Inputs (2)'!U66,T78-U128)</f>
        <v>0</v>
      </c>
      <c r="V78" s="82">
        <f>IF(V$14=1,'Inputs (2)'!V66,U78-V128)</f>
        <v>0</v>
      </c>
      <c r="W78" s="82">
        <f>IF(W$14=1,'Inputs (2)'!W66,V78-W128)</f>
        <v>0</v>
      </c>
      <c r="X78" s="77">
        <f>W78</f>
        <v>0</v>
      </c>
      <c r="Y78" s="82">
        <f>IF(Y$14=1,'Inputs (2)'!Y66,W78-Y128)</f>
        <v>0</v>
      </c>
      <c r="Z78" s="82">
        <f>IF(Z$14=1,'Inputs (2)'!Z66,Y78-Z128)</f>
        <v>0</v>
      </c>
      <c r="AA78" s="82">
        <f>IF(AA$14=1,'Inputs (2)'!AA66,Z78-AA128)</f>
        <v>0</v>
      </c>
      <c r="AB78" s="82">
        <f>IF(AB$14=1,'Inputs (2)'!AB66,AA78-AB128)</f>
        <v>0</v>
      </c>
      <c r="AC78" s="77">
        <f>AB78</f>
        <v>0</v>
      </c>
      <c r="AD78" s="82">
        <f>IF(AD$14=1,'Inputs (2)'!AD66,AB78-AD128)</f>
        <v>0</v>
      </c>
      <c r="AE78" s="82">
        <f>IF(AE$14=1,'Inputs (2)'!AE66,AD78-AE128)</f>
        <v>0</v>
      </c>
      <c r="AF78" s="82">
        <f>IF(AF$14=1,'Inputs (2)'!AF66,AE78-AF128)</f>
        <v>0</v>
      </c>
      <c r="AG78" s="82">
        <f>IF(AG$14=1,'Inputs (2)'!AG66,AF78-AG128)</f>
        <v>0</v>
      </c>
      <c r="AH78" s="77">
        <f>AG78</f>
        <v>0</v>
      </c>
      <c r="AI78" s="82">
        <f>IF(AI$14=1,'Inputs (2)'!AI66,AG78-AI128)</f>
        <v>0</v>
      </c>
      <c r="AJ78" s="82">
        <f>IF(AJ$14=1,'Inputs (2)'!AJ66,AI78-AJ128)</f>
        <v>0</v>
      </c>
      <c r="AK78" s="82">
        <f>IF(AK$14=1,'Inputs (2)'!AK66,AJ78-AK128)</f>
        <v>0</v>
      </c>
      <c r="AL78" s="82">
        <f>IF(AL$14=1,'Inputs (2)'!AL66,AK78-AL128)</f>
        <v>0</v>
      </c>
      <c r="AM78" s="77">
        <f>AL78</f>
        <v>0</v>
      </c>
      <c r="AN78" s="82">
        <f>IF(AN$14=1,'Inputs (2)'!AN66,AL78-AN128)</f>
        <v>0</v>
      </c>
      <c r="AO78" s="82">
        <f>IF(AO$14=1,'Inputs (2)'!AO66,AN78-AO128)</f>
        <v>0</v>
      </c>
      <c r="AP78" s="82">
        <f>IF(AP$14=1,'Inputs (2)'!AP66,AO78-AP128)</f>
        <v>0</v>
      </c>
      <c r="AQ78" s="82">
        <f>IF(AQ$14=1,'Inputs (2)'!AQ66,AP78-AQ128)</f>
        <v>0</v>
      </c>
      <c r="AR78" s="77">
        <f>AQ78</f>
        <v>0</v>
      </c>
      <c r="AS78" s="82">
        <f>IF(AS$14=1,'Inputs (2)'!AS66,AQ78-AS128)</f>
        <v>0</v>
      </c>
      <c r="AT78" s="82">
        <f>IF(AT$14=1,'Inputs (2)'!AT66,AS78-AT128)</f>
        <v>0</v>
      </c>
      <c r="AU78" s="82">
        <f>IF(AU$14=1,'Inputs (2)'!AU66,AT78-AU128)</f>
        <v>0</v>
      </c>
      <c r="AV78" s="82">
        <f>IF(AV$14=1,'Inputs (2)'!AV66,AU78-AV128)</f>
        <v>0</v>
      </c>
      <c r="AW78" s="77">
        <f>AV78</f>
        <v>0</v>
      </c>
      <c r="AX78" s="82">
        <f>IF(AX$14=1,'Inputs (2)'!AX66,AV78-AX128)</f>
        <v>0</v>
      </c>
      <c r="AY78" s="82">
        <f>IF(AY$14=1,'Inputs (2)'!AY66,AX78-AY128)</f>
        <v>0</v>
      </c>
      <c r="AZ78" s="82">
        <f>IF(AZ$14=1,'Inputs (2)'!AZ66,AY78-AZ128)</f>
        <v>0</v>
      </c>
      <c r="BA78" s="82">
        <f>IF(BA$14=1,'Inputs (2)'!BA66,AZ78-BA128)</f>
        <v>0</v>
      </c>
      <c r="BB78" s="77">
        <f>BA78</f>
        <v>0</v>
      </c>
      <c r="BC78" s="82">
        <f>IF(BC$14=1,'Inputs (2)'!BC66,BA78-BC128)</f>
        <v>0</v>
      </c>
      <c r="BD78" s="82">
        <f>IF(BD$14=1,'Inputs (2)'!BD66,BC78-BD128)</f>
        <v>0</v>
      </c>
      <c r="BE78" s="82">
        <f>IF(BE$14=1,'Inputs (2)'!BE66,BD78-BE128)</f>
        <v>0</v>
      </c>
      <c r="BF78" s="82">
        <f>IF(BF$14=1,'Inputs (2)'!BF66,BE78-BF128)</f>
        <v>0</v>
      </c>
      <c r="BG78" s="77">
        <f>BF78</f>
        <v>0</v>
      </c>
    </row>
    <row r="79">
      <c r="C79" s="53" t="inlineStr">
        <is>
          <t>TOTAL DO PATRIMÔNIO LÍQUIDO</t>
        </is>
      </c>
      <c r="D79" s="54" t="inlineStr">
        <is>
          <t>TOTAL EQUITY</t>
        </is>
      </c>
      <c r="E79" s="59">
        <f>E71+E78</f>
        <v>0</v>
      </c>
      <c r="F79" s="59">
        <f>F71+F78</f>
        <v>0</v>
      </c>
      <c r="G79" s="59">
        <f>G71+G78</f>
        <v>0</v>
      </c>
      <c r="H79" s="59">
        <f>H71+H78</f>
        <v>0</v>
      </c>
      <c r="I79" s="60">
        <f>H79</f>
        <v>0</v>
      </c>
      <c r="J79" s="59">
        <f>J71+J78</f>
        <v>0</v>
      </c>
      <c r="K79" s="59">
        <f>K71+K78</f>
        <v>0</v>
      </c>
      <c r="L79" s="59">
        <f>L71+L78</f>
        <v>0</v>
      </c>
      <c r="M79" s="59">
        <f>M71+M78</f>
        <v>0</v>
      </c>
      <c r="N79" s="60">
        <f>M79</f>
        <v>0</v>
      </c>
      <c r="O79" s="59">
        <f>O71+O78</f>
        <v>0</v>
      </c>
      <c r="P79" s="59">
        <f>P71+P78</f>
        <v>0</v>
      </c>
      <c r="Q79" s="59">
        <f>Q71+Q78</f>
        <v>0</v>
      </c>
      <c r="R79" s="59">
        <f>R71+R78</f>
        <v>0</v>
      </c>
      <c r="S79" s="60">
        <f>R79</f>
        <v>0</v>
      </c>
      <c r="T79" s="59">
        <f>T71+T78</f>
        <v>0</v>
      </c>
      <c r="U79" s="59">
        <f>U71+U78</f>
        <v>0</v>
      </c>
      <c r="V79" s="59">
        <f>V71+V78</f>
        <v>0</v>
      </c>
      <c r="W79" s="59">
        <f>W71+W78</f>
        <v>0</v>
      </c>
      <c r="X79" s="60">
        <f>W79</f>
        <v>0</v>
      </c>
      <c r="Y79" s="59">
        <f>Y71+Y78</f>
        <v>0</v>
      </c>
      <c r="Z79" s="59">
        <f>Z71+Z78</f>
        <v>0</v>
      </c>
      <c r="AA79" s="59">
        <f>AA71+AA78</f>
        <v>0</v>
      </c>
      <c r="AB79" s="59">
        <f>AB71+AB78</f>
        <v>0</v>
      </c>
      <c r="AC79" s="60">
        <f>AB79</f>
        <v>0</v>
      </c>
      <c r="AD79" s="59">
        <f>AD71+AD78</f>
        <v>0</v>
      </c>
      <c r="AE79" s="59">
        <f>AE71+AE78</f>
        <v>0</v>
      </c>
      <c r="AF79" s="59">
        <f>AF71+AF78</f>
        <v>0</v>
      </c>
      <c r="AG79" s="59">
        <f>AG71+AG78</f>
        <v>0</v>
      </c>
      <c r="AH79" s="60">
        <f>AG79</f>
        <v>0</v>
      </c>
      <c r="AI79" s="59">
        <f>AI71+AI78</f>
        <v>0</v>
      </c>
      <c r="AJ79" s="59">
        <f>AJ71+AJ78</f>
        <v>0</v>
      </c>
      <c r="AK79" s="59">
        <f>AK71+AK78</f>
        <v>0</v>
      </c>
      <c r="AL79" s="59">
        <f>AL71+AL78</f>
        <v>0</v>
      </c>
      <c r="AM79" s="60">
        <f>AL79</f>
        <v>0</v>
      </c>
      <c r="AN79" s="59">
        <f>AN71+AN78</f>
        <v>0</v>
      </c>
      <c r="AO79" s="59">
        <f>AO71+AO78</f>
        <v>0</v>
      </c>
      <c r="AP79" s="59">
        <f>AP71+AP78</f>
        <v>0</v>
      </c>
      <c r="AQ79" s="59">
        <f>AQ71+AQ78</f>
        <v>0</v>
      </c>
      <c r="AR79" s="60">
        <f>AQ79</f>
        <v>0</v>
      </c>
      <c r="AS79" s="59">
        <f>AS71+AS78</f>
        <v>0</v>
      </c>
      <c r="AT79" s="59">
        <f>AT71+AT78</f>
        <v>0</v>
      </c>
      <c r="AU79" s="59">
        <f>AU71+AU78</f>
        <v>0</v>
      </c>
      <c r="AV79" s="59">
        <f>AV71+AV78</f>
        <v>0</v>
      </c>
      <c r="AW79" s="60">
        <f>AV79</f>
        <v>0</v>
      </c>
      <c r="AX79" s="59">
        <f>AX71+AX78</f>
        <v>0</v>
      </c>
      <c r="AY79" s="59">
        <f>AY71+AY78</f>
        <v>0</v>
      </c>
      <c r="AZ79" s="59">
        <f>AZ71+AZ78</f>
        <v>0</v>
      </c>
      <c r="BA79" s="59">
        <f>BA71+BA78</f>
        <v>0</v>
      </c>
      <c r="BB79" s="60">
        <f>BA79</f>
        <v>0</v>
      </c>
      <c r="BC79" s="59">
        <f>BC71+BC78</f>
        <v>0</v>
      </c>
      <c r="BD79" s="59">
        <f>BD71+BD78</f>
        <v>0</v>
      </c>
      <c r="BE79" s="59">
        <f>BE71+BE78</f>
        <v>0</v>
      </c>
      <c r="BF79" s="59">
        <f>BF71+BF78</f>
        <v>0</v>
      </c>
      <c r="BG79" s="60">
        <f>BF79</f>
        <v>0</v>
      </c>
    </row>
    <row r="80">
      <c r="C80" s="53" t="inlineStr">
        <is>
          <t>TOTAL DO PASSIVO E DO PATRIMÔNIO LÍQUIDO</t>
        </is>
      </c>
      <c r="D80" s="54" t="inlineStr">
        <is>
          <t>TOTAL LIABILITIES AND EQUITY</t>
        </is>
      </c>
      <c r="E80" s="59">
        <f>E69+E79</f>
        <v>0</v>
      </c>
      <c r="F80" s="59">
        <f>F69+F79</f>
        <v>0</v>
      </c>
      <c r="G80" s="59">
        <f>G69+G79</f>
        <v>0</v>
      </c>
      <c r="H80" s="59">
        <f>H69+H79</f>
        <v>0</v>
      </c>
      <c r="I80" s="60">
        <f>H80</f>
        <v>0</v>
      </c>
      <c r="J80" s="59">
        <f>J69+J79</f>
        <v>0</v>
      </c>
      <c r="K80" s="59">
        <f>K69+K79</f>
        <v>0</v>
      </c>
      <c r="L80" s="59">
        <f>L69+L79</f>
        <v>0</v>
      </c>
      <c r="M80" s="59">
        <f>M69+M79</f>
        <v>0</v>
      </c>
      <c r="N80" s="60">
        <f>M80</f>
        <v>0</v>
      </c>
      <c r="O80" s="59">
        <f>O69+O79</f>
        <v>0</v>
      </c>
      <c r="P80" s="59">
        <f>P69+P79</f>
        <v>0</v>
      </c>
      <c r="Q80" s="59">
        <f>Q69+Q79</f>
        <v>0</v>
      </c>
      <c r="R80" s="59">
        <f>R69+R79</f>
        <v>0</v>
      </c>
      <c r="S80" s="60">
        <f>R80</f>
        <v>0</v>
      </c>
      <c r="T80" s="59">
        <f>T69+T79</f>
        <v>0</v>
      </c>
      <c r="U80" s="59">
        <f>U69+U79</f>
        <v>0</v>
      </c>
      <c r="V80" s="59">
        <f>V69+V79</f>
        <v>0</v>
      </c>
      <c r="W80" s="59">
        <f>W69+W79</f>
        <v>0</v>
      </c>
      <c r="X80" s="60">
        <f>W80</f>
        <v>0</v>
      </c>
      <c r="Y80" s="59">
        <f>Y69+Y79</f>
        <v>0</v>
      </c>
      <c r="Z80" s="59">
        <f>Z69+Z79</f>
        <v>0</v>
      </c>
      <c r="AA80" s="59">
        <f>AA69+AA79</f>
        <v>0</v>
      </c>
      <c r="AB80" s="59">
        <f>AB69+AB79</f>
        <v>0</v>
      </c>
      <c r="AC80" s="60">
        <f>AB80</f>
        <v>0</v>
      </c>
      <c r="AD80" s="59">
        <f>AD69+AD79</f>
        <v>0</v>
      </c>
      <c r="AE80" s="59">
        <f>AE69+AE79</f>
        <v>0</v>
      </c>
      <c r="AF80" s="59">
        <f>AF69+AF79</f>
        <v>0</v>
      </c>
      <c r="AG80" s="59">
        <f>AG69+AG79</f>
        <v>0</v>
      </c>
      <c r="AH80" s="60">
        <f>AG80</f>
        <v>0</v>
      </c>
      <c r="AI80" s="59">
        <f>AI69+AI79</f>
        <v>0</v>
      </c>
      <c r="AJ80" s="59">
        <f>AJ69+AJ79</f>
        <v>0</v>
      </c>
      <c r="AK80" s="59">
        <f>AK69+AK79</f>
        <v>0</v>
      </c>
      <c r="AL80" s="59">
        <f>AL69+AL79</f>
        <v>0</v>
      </c>
      <c r="AM80" s="60">
        <f>AL80</f>
        <v>0</v>
      </c>
      <c r="AN80" s="59">
        <f>AN69+AN79</f>
        <v>0</v>
      </c>
      <c r="AO80" s="59">
        <f>AO69+AO79</f>
        <v>0</v>
      </c>
      <c r="AP80" s="59">
        <f>AP69+AP79</f>
        <v>0</v>
      </c>
      <c r="AQ80" s="59">
        <f>AQ69+AQ79</f>
        <v>0</v>
      </c>
      <c r="AR80" s="60">
        <f>AQ80</f>
        <v>0</v>
      </c>
      <c r="AS80" s="59">
        <f>AS69+AS79</f>
        <v>0</v>
      </c>
      <c r="AT80" s="59">
        <f>AT69+AT79</f>
        <v>0</v>
      </c>
      <c r="AU80" s="59">
        <f>AU69+AU79</f>
        <v>0</v>
      </c>
      <c r="AV80" s="59">
        <f>AV69+AV79</f>
        <v>0</v>
      </c>
      <c r="AW80" s="60">
        <f>AV80</f>
        <v>0</v>
      </c>
      <c r="AX80" s="59">
        <f>AX69+AX79</f>
        <v>0</v>
      </c>
      <c r="AY80" s="59">
        <f>AY69+AY79</f>
        <v>0</v>
      </c>
      <c r="AZ80" s="59">
        <f>AZ69+AZ79</f>
        <v>0</v>
      </c>
      <c r="BA80" s="59">
        <f>BA69+BA79</f>
        <v>0</v>
      </c>
      <c r="BB80" s="60">
        <f>BA80</f>
        <v>0</v>
      </c>
      <c r="BC80" s="59">
        <f>BC69+BC79</f>
        <v>0</v>
      </c>
      <c r="BD80" s="59">
        <f>BD69+BD79</f>
        <v>0</v>
      </c>
      <c r="BE80" s="59">
        <f>BE69+BE79</f>
        <v>0</v>
      </c>
      <c r="BF80" s="59">
        <f>BF69+BF79</f>
        <v>0</v>
      </c>
      <c r="BG80" s="60">
        <f>BF80</f>
        <v>0</v>
      </c>
    </row>
    <row r="82">
      <c r="B82" s="7" t="n"/>
      <c r="C82" s="7" t="str">
        <f>"RECONCILIAÇÃO DO PATRIMÔNIO LÍQUIDO ("&amp;Inputs!$E$202&amp;")"</f>
        <v>RECONCILIAÇÃO DO PATRIMÔNIO LÍQUIDO (US$ milhões)</v>
      </c>
      <c r="D82" s="7" t="inlineStr">
        <is>
          <t>EQUITY ROLL-FORWARD</t>
        </is>
      </c>
      <c r="E82" s="7" t="n"/>
      <c r="F82" s="7" t="n"/>
      <c r="G82" s="7" t="n"/>
      <c r="H82" s="7" t="n"/>
      <c r="I82" s="7" t="n"/>
      <c r="J82" s="7" t="n"/>
      <c r="K82" s="7" t="n"/>
      <c r="L82" s="7" t="n"/>
      <c r="M82" s="7" t="n"/>
      <c r="N82" s="7" t="n"/>
      <c r="O82" s="7" t="n"/>
      <c r="P82" s="7" t="n"/>
      <c r="Q82" s="7" t="n"/>
      <c r="R82" s="7" t="n"/>
      <c r="S82" s="7" t="n"/>
      <c r="T82" s="7" t="n"/>
      <c r="U82" s="7" t="n"/>
      <c r="V82" s="7" t="n"/>
      <c r="W82" s="7" t="n"/>
      <c r="X82" s="7" t="n"/>
      <c r="Y82" s="7" t="n"/>
      <c r="Z82" s="7" t="n"/>
      <c r="AA82" s="7" t="n"/>
      <c r="AB82" s="7" t="n"/>
      <c r="AC82" s="7" t="n"/>
      <c r="AD82" s="7" t="n"/>
      <c r="AE82" s="7" t="n"/>
      <c r="AF82" s="7" t="n"/>
      <c r="AG82" s="7" t="n"/>
      <c r="AH82" s="7" t="n"/>
      <c r="AI82" s="7" t="n"/>
      <c r="AJ82" s="7" t="n"/>
      <c r="AK82" s="7" t="n"/>
      <c r="AL82" s="7" t="n"/>
      <c r="AM82" s="7" t="n"/>
      <c r="AN82" s="7" t="n"/>
      <c r="AO82" s="7" t="n"/>
      <c r="AP82" s="7" t="n"/>
      <c r="AQ82" s="7" t="n"/>
      <c r="AR82" s="7" t="n"/>
      <c r="AS82" s="7" t="n"/>
      <c r="AT82" s="7" t="n"/>
      <c r="AU82" s="7" t="n"/>
      <c r="AV82" s="7" t="n"/>
      <c r="AW82" s="7" t="n"/>
      <c r="AX82" s="7" t="n"/>
      <c r="AY82" s="7" t="n"/>
      <c r="AZ82" s="7" t="n"/>
      <c r="BA82" s="7" t="n"/>
      <c r="BB82" s="7" t="n"/>
      <c r="BC82" s="7" t="n"/>
      <c r="BD82" s="7" t="n"/>
      <c r="BE82" s="7" t="n"/>
      <c r="BF82" s="7" t="n"/>
      <c r="BG82" s="7" t="n"/>
      <c r="BH82" s="7" t="n"/>
      <c r="BI82" s="7" t="n"/>
    </row>
    <row r="83">
      <c r="C83" s="11" t="inlineStr">
        <is>
          <t>Patrimônio líquido inicial</t>
        </is>
      </c>
      <c r="D83" s="12" t="inlineStr">
        <is>
          <t>Opening equity</t>
        </is>
      </c>
      <c r="E83" s="37">
        <f>E79-E84</f>
        <v>0</v>
      </c>
      <c r="F83" s="37">
        <f>E79</f>
        <v>0</v>
      </c>
      <c r="G83" s="37">
        <f>F79</f>
        <v>0</v>
      </c>
      <c r="H83" s="37">
        <f>G79</f>
        <v>0</v>
      </c>
      <c r="I83" s="38">
        <f>E83</f>
        <v>0</v>
      </c>
      <c r="J83" s="37">
        <f>H79</f>
        <v>0</v>
      </c>
      <c r="K83" s="37">
        <f>J79</f>
        <v>0</v>
      </c>
      <c r="L83" s="37">
        <f>K79</f>
        <v>0</v>
      </c>
      <c r="M83" s="37">
        <f>L79</f>
        <v>0</v>
      </c>
      <c r="N83" s="38">
        <f>J83</f>
        <v>0</v>
      </c>
      <c r="O83" s="37">
        <f>M79</f>
        <v>0</v>
      </c>
      <c r="P83" s="37">
        <f>O79</f>
        <v>0</v>
      </c>
      <c r="Q83" s="37">
        <f>P79</f>
        <v>0</v>
      </c>
      <c r="R83" s="37">
        <f>Q79</f>
        <v>0</v>
      </c>
      <c r="S83" s="38">
        <f>O83</f>
        <v>0</v>
      </c>
      <c r="T83" s="37">
        <f>R79</f>
        <v>0</v>
      </c>
      <c r="U83" s="37">
        <f>T79</f>
        <v>0</v>
      </c>
      <c r="V83" s="37">
        <f>U79</f>
        <v>0</v>
      </c>
      <c r="W83" s="37">
        <f>V79</f>
        <v>0</v>
      </c>
      <c r="X83" s="38">
        <f>T83</f>
        <v>0</v>
      </c>
      <c r="Y83" s="37">
        <f>W79</f>
        <v>0</v>
      </c>
      <c r="Z83" s="37">
        <f>Y79</f>
        <v>0</v>
      </c>
      <c r="AA83" s="37">
        <f>Z79</f>
        <v>0</v>
      </c>
      <c r="AB83" s="37">
        <f>AA79</f>
        <v>0</v>
      </c>
      <c r="AC83" s="38">
        <f>Y83</f>
        <v>0</v>
      </c>
      <c r="AD83" s="37">
        <f>AB79</f>
        <v>0</v>
      </c>
      <c r="AE83" s="37">
        <f>AD79</f>
        <v>0</v>
      </c>
      <c r="AF83" s="37">
        <f>AE79</f>
        <v>0</v>
      </c>
      <c r="AG83" s="37">
        <f>AF79</f>
        <v>0</v>
      </c>
      <c r="AH83" s="38">
        <f>AD83</f>
        <v>0</v>
      </c>
      <c r="AI83" s="37">
        <f>AG79</f>
        <v>0</v>
      </c>
      <c r="AJ83" s="37">
        <f>AI79</f>
        <v>0</v>
      </c>
      <c r="AK83" s="37">
        <f>AJ79</f>
        <v>0</v>
      </c>
      <c r="AL83" s="37">
        <f>AK79</f>
        <v>0</v>
      </c>
      <c r="AM83" s="38">
        <f>AI83</f>
        <v>0</v>
      </c>
      <c r="AN83" s="37">
        <f>AL79</f>
        <v>0</v>
      </c>
      <c r="AO83" s="37">
        <f>AN79</f>
        <v>0</v>
      </c>
      <c r="AP83" s="37">
        <f>AO79</f>
        <v>0</v>
      </c>
      <c r="AQ83" s="37">
        <f>AP79</f>
        <v>0</v>
      </c>
      <c r="AR83" s="38">
        <f>AN83</f>
        <v>0</v>
      </c>
      <c r="AS83" s="37">
        <f>AQ79</f>
        <v>0</v>
      </c>
      <c r="AT83" s="37">
        <f>AS79</f>
        <v>0</v>
      </c>
      <c r="AU83" s="37">
        <f>AT79</f>
        <v>0</v>
      </c>
      <c r="AV83" s="37">
        <f>AU79</f>
        <v>0</v>
      </c>
      <c r="AW83" s="38">
        <f>AS83</f>
        <v>0</v>
      </c>
      <c r="AX83" s="37">
        <f>AV79</f>
        <v>0</v>
      </c>
      <c r="AY83" s="37">
        <f>AX79</f>
        <v>0</v>
      </c>
      <c r="AZ83" s="37">
        <f>AY79</f>
        <v>0</v>
      </c>
      <c r="BA83" s="37">
        <f>AZ79</f>
        <v>0</v>
      </c>
      <c r="BB83" s="38">
        <f>AX83</f>
        <v>0</v>
      </c>
      <c r="BC83" s="37">
        <f>BA79</f>
        <v>0</v>
      </c>
      <c r="BD83" s="37">
        <f>BC79</f>
        <v>0</v>
      </c>
      <c r="BE83" s="37">
        <f>BD79</f>
        <v>0</v>
      </c>
      <c r="BF83" s="37">
        <f>BE79</f>
        <v>0</v>
      </c>
      <c r="BG83" s="38">
        <f>BC83</f>
        <v>0</v>
      </c>
    </row>
    <row r="84">
      <c r="C84" s="11" t="inlineStr">
        <is>
          <t>(+) Lucro líquido do período</t>
        </is>
      </c>
      <c r="D84" s="12" t="inlineStr">
        <is>
          <t>(+) Net income</t>
        </is>
      </c>
      <c r="E84" s="37">
        <f>E127</f>
        <v>0</v>
      </c>
      <c r="F84" s="37">
        <f>F127</f>
        <v>0</v>
      </c>
      <c r="G84" s="37">
        <f>G127</f>
        <v>0</v>
      </c>
      <c r="H84" s="37">
        <f>H127</f>
        <v>0</v>
      </c>
      <c r="I84" s="38">
        <f>SUM(E84:H84)</f>
        <v>0</v>
      </c>
      <c r="J84" s="37">
        <f>J127</f>
        <v>0</v>
      </c>
      <c r="K84" s="37">
        <f>K127</f>
        <v>0</v>
      </c>
      <c r="L84" s="37">
        <f>L127</f>
        <v>0</v>
      </c>
      <c r="M84" s="37">
        <f>M127</f>
        <v>0</v>
      </c>
      <c r="N84" s="38">
        <f>SUM(J84:M84)</f>
        <v>0</v>
      </c>
      <c r="O84" s="37">
        <f>O127</f>
        <v>0</v>
      </c>
      <c r="P84" s="37">
        <f>P127</f>
        <v>0</v>
      </c>
      <c r="Q84" s="37">
        <f>Q127</f>
        <v>0</v>
      </c>
      <c r="R84" s="37">
        <f>R127</f>
        <v>0</v>
      </c>
      <c r="S84" s="38">
        <f>SUM(O84:R84)</f>
        <v>0</v>
      </c>
      <c r="T84" s="37">
        <f>T127</f>
        <v>0</v>
      </c>
      <c r="U84" s="37">
        <f>U127</f>
        <v>0</v>
      </c>
      <c r="V84" s="37">
        <f>V127</f>
        <v>0</v>
      </c>
      <c r="W84" s="37">
        <f>W127</f>
        <v>0</v>
      </c>
      <c r="X84" s="38">
        <f>SUM(T84:W84)</f>
        <v>0</v>
      </c>
      <c r="Y84" s="37">
        <f>Y127</f>
        <v>0</v>
      </c>
      <c r="Z84" s="37">
        <f>Z127</f>
        <v>0</v>
      </c>
      <c r="AA84" s="37">
        <f>AA127</f>
        <v>0</v>
      </c>
      <c r="AB84" s="37">
        <f>AB127</f>
        <v>0</v>
      </c>
      <c r="AC84" s="38">
        <f>SUM(Y84:AB84)</f>
        <v>0</v>
      </c>
      <c r="AD84" s="37">
        <f>AD127</f>
        <v>0</v>
      </c>
      <c r="AE84" s="37">
        <f>AE127</f>
        <v>0</v>
      </c>
      <c r="AF84" s="37">
        <f>AF127</f>
        <v>0</v>
      </c>
      <c r="AG84" s="37">
        <f>AG127</f>
        <v>0</v>
      </c>
      <c r="AH84" s="38">
        <f>SUM(AD84:AG84)</f>
        <v>0</v>
      </c>
      <c r="AI84" s="37">
        <f>AI127</f>
        <v>0</v>
      </c>
      <c r="AJ84" s="37">
        <f>AJ127</f>
        <v>0</v>
      </c>
      <c r="AK84" s="37">
        <f>AK127</f>
        <v>0</v>
      </c>
      <c r="AL84" s="37">
        <f>AL127</f>
        <v>0</v>
      </c>
      <c r="AM84" s="38">
        <f>SUM(AI84:AL84)</f>
        <v>0</v>
      </c>
      <c r="AN84" s="37">
        <f>AN127</f>
        <v>0</v>
      </c>
      <c r="AO84" s="37">
        <f>AO127</f>
        <v>0</v>
      </c>
      <c r="AP84" s="37">
        <f>AP127</f>
        <v>0</v>
      </c>
      <c r="AQ84" s="37">
        <f>AQ127</f>
        <v>0</v>
      </c>
      <c r="AR84" s="38">
        <f>SUM(AN84:AQ84)</f>
        <v>0</v>
      </c>
      <c r="AS84" s="37">
        <f>AS127</f>
        <v>0</v>
      </c>
      <c r="AT84" s="37">
        <f>AT127</f>
        <v>0</v>
      </c>
      <c r="AU84" s="37">
        <f>AU127</f>
        <v>0</v>
      </c>
      <c r="AV84" s="37">
        <f>AV127</f>
        <v>0</v>
      </c>
      <c r="AW84" s="38">
        <f>SUM(AS84:AV84)</f>
        <v>0</v>
      </c>
      <c r="AX84" s="37">
        <f>AX127</f>
        <v>0</v>
      </c>
      <c r="AY84" s="37">
        <f>AY127</f>
        <v>0</v>
      </c>
      <c r="AZ84" s="37">
        <f>AZ127</f>
        <v>0</v>
      </c>
      <c r="BA84" s="37">
        <f>BA127</f>
        <v>0</v>
      </c>
      <c r="BB84" s="38">
        <f>SUM(AX84:BA84)</f>
        <v>0</v>
      </c>
      <c r="BC84" s="37">
        <f>BC127</f>
        <v>0</v>
      </c>
      <c r="BD84" s="37">
        <f>BD127</f>
        <v>0</v>
      </c>
      <c r="BE84" s="37">
        <f>BE127</f>
        <v>0</v>
      </c>
      <c r="BF84" s="37">
        <f>BF127</f>
        <v>0</v>
      </c>
      <c r="BG84" s="38">
        <f>SUM(BC84:BF84)</f>
        <v>0</v>
      </c>
    </row>
    <row r="85">
      <c r="C85" s="11" t="inlineStr">
        <is>
          <t>(–) Dividendos declarados (ordinários e preferenciais)</t>
        </is>
      </c>
      <c r="D85" s="12" t="inlineStr">
        <is>
          <t>(–) Dividends declared (common and preferred)</t>
        </is>
      </c>
      <c r="E85" s="57">
        <f>IF(E$14=1,-N('Inputs (2)'!E156)+E130,-MAX(0,E131)*Inputs!E$299+E130)</f>
        <v>0</v>
      </c>
      <c r="F85" s="57">
        <f>IF(F$14=1,-N('Inputs (2)'!F156)+F130,-MAX(0,F131)*Inputs!F$299+F130)</f>
        <v>0</v>
      </c>
      <c r="G85" s="57">
        <f>IF(G$14=1,-N('Inputs (2)'!G156)+G130,-MAX(0,G131)*Inputs!G$299+G130)</f>
        <v>0</v>
      </c>
      <c r="H85" s="57">
        <f>IF(H$14=1,-N('Inputs (2)'!H156)+H130,-MAX(0,H131)*Inputs!H$299+H130)</f>
        <v>0</v>
      </c>
      <c r="I85" s="38">
        <f>SUM(E85:H85)</f>
        <v>0</v>
      </c>
      <c r="J85" s="57">
        <f>IF(J$14=1,-N('Inputs (2)'!J156)+J130,-MAX(0,J131)*Inputs!J$299+J130)</f>
        <v>0</v>
      </c>
      <c r="K85" s="57">
        <f>IF(K$14=1,-N('Inputs (2)'!K156)+K130,-MAX(0,K131)*Inputs!K$299+K130)</f>
        <v>0</v>
      </c>
      <c r="L85" s="57">
        <f>IF(L$14=1,-N('Inputs (2)'!L156)+L130,-MAX(0,L131)*Inputs!L$299+L130)</f>
        <v>0</v>
      </c>
      <c r="M85" s="57">
        <f>IF(M$14=1,-N('Inputs (2)'!M156)+M130,-MAX(0,M131)*Inputs!M$299+M130)</f>
        <v>0</v>
      </c>
      <c r="N85" s="38">
        <f>SUM(J85:M85)</f>
        <v>0</v>
      </c>
      <c r="O85" s="57">
        <f>IF(O$14=1,-N('Inputs (2)'!O156)+O130,-MAX(0,O131)*Inputs!O$299+O130)</f>
        <v>0</v>
      </c>
      <c r="P85" s="57">
        <f>IF(P$14=1,-N('Inputs (2)'!P156)+P130,-MAX(0,P131)*Inputs!P$299+P130)</f>
        <v>0</v>
      </c>
      <c r="Q85" s="57">
        <f>IF(Q$14=1,-N('Inputs (2)'!Q156)+Q130,-MAX(0,Q131)*Inputs!Q$299+Q130)</f>
        <v>0</v>
      </c>
      <c r="R85" s="57">
        <f>IF(R$14=1,-N('Inputs (2)'!R156)+R130,-MAX(0,R131)*Inputs!R$299+R130)</f>
        <v>0</v>
      </c>
      <c r="S85" s="38">
        <f>SUM(O85:R85)</f>
        <v>0</v>
      </c>
      <c r="T85" s="57">
        <f>IF(T$14=1,-N('Inputs (2)'!T156)+T130,-MAX(0,T131)*Inputs!T$299+T130)</f>
        <v>0</v>
      </c>
      <c r="U85" s="57">
        <f>IF(U$14=1,-N('Inputs (2)'!U156)+U130,-MAX(0,U131)*Inputs!U$299+U130)</f>
        <v>0</v>
      </c>
      <c r="V85" s="57">
        <f>IF(V$14=1,-N('Inputs (2)'!V156)+V130,-MAX(0,V131)*Inputs!V$299+V130)</f>
        <v>0</v>
      </c>
      <c r="W85" s="57">
        <f>IF(W$14=1,-N('Inputs (2)'!W156)+W130,-MAX(0,W131)*Inputs!W$299+W130)</f>
        <v>0</v>
      </c>
      <c r="X85" s="38">
        <f>SUM(T85:W85)</f>
        <v>0</v>
      </c>
      <c r="Y85" s="57">
        <f>IF(Y$14=1,-N('Inputs (2)'!Y156)+Y130,-MAX(0,Y131)*Inputs!Y$299+Y130)</f>
        <v>0</v>
      </c>
      <c r="Z85" s="57">
        <f>IF(Z$14=1,-N('Inputs (2)'!Z156)+Z130,-MAX(0,Z131)*Inputs!Z$299+Z130)</f>
        <v>0</v>
      </c>
      <c r="AA85" s="57">
        <f>IF(AA$14=1,-N('Inputs (2)'!AA156)+AA130,-MAX(0,AA131)*Inputs!AA$299+AA130)</f>
        <v>0</v>
      </c>
      <c r="AB85" s="57">
        <f>IF(AB$14=1,-N('Inputs (2)'!AB156)+AB130,-MAX(0,AB131)*Inputs!AB$299+AB130)</f>
        <v>0</v>
      </c>
      <c r="AC85" s="38">
        <f>SUM(Y85:AB85)</f>
        <v>0</v>
      </c>
      <c r="AD85" s="57">
        <f>IF(AD$14=1,-N('Inputs (2)'!AD156)+AD130,-MAX(0,AD131)*Inputs!AD$299+AD130)</f>
        <v>0</v>
      </c>
      <c r="AE85" s="57">
        <f>IF(AE$14=1,-N('Inputs (2)'!AE156)+AE130,-MAX(0,AE131)*Inputs!AE$299+AE130)</f>
        <v>0</v>
      </c>
      <c r="AF85" s="57">
        <f>IF(AF$14=1,-N('Inputs (2)'!AF156)+AF130,-MAX(0,AF131)*Inputs!AF$299+AF130)</f>
        <v>0</v>
      </c>
      <c r="AG85" s="57">
        <f>IF(AG$14=1,-N('Inputs (2)'!AG156)+AG130,-MAX(0,AG131)*Inputs!AG$299+AG130)</f>
        <v>0</v>
      </c>
      <c r="AH85" s="38">
        <f>SUM(AD85:AG85)</f>
        <v>0</v>
      </c>
      <c r="AI85" s="57">
        <f>IF(AI$14=1,-N('Inputs (2)'!AI156)+AI130,-MAX(0,AI131)*Inputs!AI$299+AI130)</f>
        <v>0</v>
      </c>
      <c r="AJ85" s="57">
        <f>IF(AJ$14=1,-N('Inputs (2)'!AJ156)+AJ130,-MAX(0,AJ131)*Inputs!AJ$299+AJ130)</f>
        <v>0</v>
      </c>
      <c r="AK85" s="57">
        <f>IF(AK$14=1,-N('Inputs (2)'!AK156)+AK130,-MAX(0,AK131)*Inputs!AK$299+AK130)</f>
        <v>0</v>
      </c>
      <c r="AL85" s="57">
        <f>IF(AL$14=1,-N('Inputs (2)'!AL156)+AL130,-MAX(0,AL131)*Inputs!AL$299+AL130)</f>
        <v>0</v>
      </c>
      <c r="AM85" s="38">
        <f>SUM(AI85:AL85)</f>
        <v>0</v>
      </c>
      <c r="AN85" s="57">
        <f>IF(AN$14=1,-N('Inputs (2)'!AN156)+AN130,-MAX(0,AN131)*Inputs!AN$299+AN130)</f>
        <v>0</v>
      </c>
      <c r="AO85" s="57">
        <f>IF(AO$14=1,-N('Inputs (2)'!AO156)+AO130,-MAX(0,AO131)*Inputs!AO$299+AO130)</f>
        <v>0</v>
      </c>
      <c r="AP85" s="57">
        <f>IF(AP$14=1,-N('Inputs (2)'!AP156)+AP130,-MAX(0,AP131)*Inputs!AP$299+AP130)</f>
        <v>0</v>
      </c>
      <c r="AQ85" s="57">
        <f>IF(AQ$14=1,-N('Inputs (2)'!AQ156)+AQ130,-MAX(0,AQ131)*Inputs!AQ$299+AQ130)</f>
        <v>0</v>
      </c>
      <c r="AR85" s="38">
        <f>SUM(AN85:AQ85)</f>
        <v>0</v>
      </c>
      <c r="AS85" s="57">
        <f>IF(AS$14=1,-N('Inputs (2)'!AS156)+AS130,-MAX(0,AS131)*Inputs!AS$299+AS130)</f>
        <v>0</v>
      </c>
      <c r="AT85" s="57">
        <f>IF(AT$14=1,-N('Inputs (2)'!AT156)+AT130,-MAX(0,AT131)*Inputs!AT$299+AT130)</f>
        <v>0</v>
      </c>
      <c r="AU85" s="57">
        <f>IF(AU$14=1,-N('Inputs (2)'!AU156)+AU130,-MAX(0,AU131)*Inputs!AU$299+AU130)</f>
        <v>0</v>
      </c>
      <c r="AV85" s="57">
        <f>IF(AV$14=1,-N('Inputs (2)'!AV156)+AV130,-MAX(0,AV131)*Inputs!AV$299+AV130)</f>
        <v>0</v>
      </c>
      <c r="AW85" s="38">
        <f>SUM(AS85:AV85)</f>
        <v>0</v>
      </c>
      <c r="AX85" s="57">
        <f>IF(AX$14=1,-N('Inputs (2)'!AX156)+AX130,-MAX(0,AX131)*Inputs!AX$299+AX130)</f>
        <v>0</v>
      </c>
      <c r="AY85" s="57">
        <f>IF(AY$14=1,-N('Inputs (2)'!AY156)+AY130,-MAX(0,AY131)*Inputs!AY$299+AY130)</f>
        <v>0</v>
      </c>
      <c r="AZ85" s="57">
        <f>IF(AZ$14=1,-N('Inputs (2)'!AZ156)+AZ130,-MAX(0,AZ131)*Inputs!AZ$299+AZ130)</f>
        <v>0</v>
      </c>
      <c r="BA85" s="57">
        <f>IF(BA$14=1,-N('Inputs (2)'!BA156)+BA130,-MAX(0,BA131)*Inputs!BA$299+BA130)</f>
        <v>0</v>
      </c>
      <c r="BB85" s="38">
        <f>SUM(AX85:BA85)</f>
        <v>0</v>
      </c>
      <c r="BC85" s="57">
        <f>IF(BC$14=1,-N('Inputs (2)'!BC156)+BC130,-MAX(0,BC131)*Inputs!BC$299+BC130)</f>
        <v>0</v>
      </c>
      <c r="BD85" s="57">
        <f>IF(BD$14=1,-N('Inputs (2)'!BD156)+BD130,-MAX(0,BD131)*Inputs!BD$299+BD130)</f>
        <v>0</v>
      </c>
      <c r="BE85" s="57">
        <f>IF(BE$14=1,-N('Inputs (2)'!BE156)+BE130,-MAX(0,BE131)*Inputs!BE$299+BE130)</f>
        <v>0</v>
      </c>
      <c r="BF85" s="57">
        <f>IF(BF$14=1,-N('Inputs (2)'!BF156)+BF130,-MAX(0,BF131)*Inputs!BF$299+BF130)</f>
        <v>0</v>
      </c>
      <c r="BG85" s="38">
        <f>SUM(BC85:BF85)</f>
        <v>0</v>
      </c>
    </row>
    <row r="86">
      <c r="C86" s="11" t="inlineStr">
        <is>
          <t>(–) Recompras de ações ordinárias</t>
        </is>
      </c>
      <c r="D86" s="12" t="inlineStr">
        <is>
          <t>(–) Common stock repurchases</t>
        </is>
      </c>
      <c r="E86" s="57">
        <f>IF(E$14=1,-N('Inputs (2)'!E157),-MAX(0,E131)*Inputs!E$300)</f>
        <v>0</v>
      </c>
      <c r="F86" s="57">
        <f>IF(F$14=1,-N('Inputs (2)'!F157),-MAX(0,F131)*Inputs!F$300)</f>
        <v>0</v>
      </c>
      <c r="G86" s="57">
        <f>IF(G$14=1,-N('Inputs (2)'!G157),-MAX(0,G131)*Inputs!G$300)</f>
        <v>0</v>
      </c>
      <c r="H86" s="57">
        <f>IF(H$14=1,-N('Inputs (2)'!H157),-MAX(0,H131)*Inputs!H$300)</f>
        <v>0</v>
      </c>
      <c r="I86" s="38">
        <f>SUM(E86:H86)</f>
        <v>0</v>
      </c>
      <c r="J86" s="57">
        <f>IF(J$14=1,-N('Inputs (2)'!J157),-MAX(0,J131)*Inputs!J$300)</f>
        <v>0</v>
      </c>
      <c r="K86" s="57">
        <f>IF(K$14=1,-N('Inputs (2)'!K157),-MAX(0,K131)*Inputs!K$300)</f>
        <v>0</v>
      </c>
      <c r="L86" s="57">
        <f>IF(L$14=1,-N('Inputs (2)'!L157),-MAX(0,L131)*Inputs!L$300)</f>
        <v>0</v>
      </c>
      <c r="M86" s="57">
        <f>IF(M$14=1,-N('Inputs (2)'!M157),-MAX(0,M131)*Inputs!M$300)</f>
        <v>0</v>
      </c>
      <c r="N86" s="38">
        <f>SUM(J86:M86)</f>
        <v>0</v>
      </c>
      <c r="O86" s="57">
        <f>IF(O$14=1,-N('Inputs (2)'!O157),-MAX(0,O131)*Inputs!O$300)</f>
        <v>0</v>
      </c>
      <c r="P86" s="57">
        <f>IF(P$14=1,-N('Inputs (2)'!P157),-MAX(0,P131)*Inputs!P$300)</f>
        <v>0</v>
      </c>
      <c r="Q86" s="57">
        <f>IF(Q$14=1,-N('Inputs (2)'!Q157),-MAX(0,Q131)*Inputs!Q$300)</f>
        <v>0</v>
      </c>
      <c r="R86" s="57">
        <f>IF(R$14=1,-N('Inputs (2)'!R157),-MAX(0,R131)*Inputs!R$300)</f>
        <v>0</v>
      </c>
      <c r="S86" s="38">
        <f>SUM(O86:R86)</f>
        <v>0</v>
      </c>
      <c r="T86" s="57">
        <f>IF(T$14=1,-N('Inputs (2)'!T157),-MAX(0,T131)*Inputs!T$300)</f>
        <v>0</v>
      </c>
      <c r="U86" s="57">
        <f>IF(U$14=1,-N('Inputs (2)'!U157),-MAX(0,U131)*Inputs!U$300)</f>
        <v>0</v>
      </c>
      <c r="V86" s="57">
        <f>IF(V$14=1,-N('Inputs (2)'!V157),-MAX(0,V131)*Inputs!V$300)</f>
        <v>0</v>
      </c>
      <c r="W86" s="57">
        <f>IF(W$14=1,-N('Inputs (2)'!W157),-MAX(0,W131)*Inputs!W$300)</f>
        <v>0</v>
      </c>
      <c r="X86" s="38">
        <f>SUM(T86:W86)</f>
        <v>0</v>
      </c>
      <c r="Y86" s="57">
        <f>IF(Y$14=1,-N('Inputs (2)'!Y157),-MAX(0,Y131)*Inputs!Y$300)</f>
        <v>0</v>
      </c>
      <c r="Z86" s="57">
        <f>IF(Z$14=1,-N('Inputs (2)'!Z157),-MAX(0,Z131)*Inputs!Z$300)</f>
        <v>0</v>
      </c>
      <c r="AA86" s="57">
        <f>IF(AA$14=1,-N('Inputs (2)'!AA157),-MAX(0,AA131)*Inputs!AA$300)</f>
        <v>0</v>
      </c>
      <c r="AB86" s="57">
        <f>IF(AB$14=1,-N('Inputs (2)'!AB157),-MAX(0,AB131)*Inputs!AB$300)</f>
        <v>0</v>
      </c>
      <c r="AC86" s="38">
        <f>SUM(Y86:AB86)</f>
        <v>0</v>
      </c>
      <c r="AD86" s="57">
        <f>IF(AD$14=1,-N('Inputs (2)'!AD157),-MAX(0,AD131)*Inputs!AD$300)</f>
        <v>0</v>
      </c>
      <c r="AE86" s="57">
        <f>IF(AE$14=1,-N('Inputs (2)'!AE157),-MAX(0,AE131)*Inputs!AE$300)</f>
        <v>0</v>
      </c>
      <c r="AF86" s="57">
        <f>IF(AF$14=1,-N('Inputs (2)'!AF157),-MAX(0,AF131)*Inputs!AF$300)</f>
        <v>0</v>
      </c>
      <c r="AG86" s="57">
        <f>IF(AG$14=1,-N('Inputs (2)'!AG157),-MAX(0,AG131)*Inputs!AG$300)</f>
        <v>0</v>
      </c>
      <c r="AH86" s="38">
        <f>SUM(AD86:AG86)</f>
        <v>0</v>
      </c>
      <c r="AI86" s="57">
        <f>IF(AI$14=1,-N('Inputs (2)'!AI157),-MAX(0,AI131)*Inputs!AI$300)</f>
        <v>0</v>
      </c>
      <c r="AJ86" s="57">
        <f>IF(AJ$14=1,-N('Inputs (2)'!AJ157),-MAX(0,AJ131)*Inputs!AJ$300)</f>
        <v>0</v>
      </c>
      <c r="AK86" s="57">
        <f>IF(AK$14=1,-N('Inputs (2)'!AK157),-MAX(0,AK131)*Inputs!AK$300)</f>
        <v>0</v>
      </c>
      <c r="AL86" s="57">
        <f>IF(AL$14=1,-N('Inputs (2)'!AL157),-MAX(0,AL131)*Inputs!AL$300)</f>
        <v>0</v>
      </c>
      <c r="AM86" s="38">
        <f>SUM(AI86:AL86)</f>
        <v>0</v>
      </c>
      <c r="AN86" s="57">
        <f>IF(AN$14=1,-N('Inputs (2)'!AN157),-MAX(0,AN131)*Inputs!AN$300)</f>
        <v>0</v>
      </c>
      <c r="AO86" s="57">
        <f>IF(AO$14=1,-N('Inputs (2)'!AO157),-MAX(0,AO131)*Inputs!AO$300)</f>
        <v>0</v>
      </c>
      <c r="AP86" s="57">
        <f>IF(AP$14=1,-N('Inputs (2)'!AP157),-MAX(0,AP131)*Inputs!AP$300)</f>
        <v>0</v>
      </c>
      <c r="AQ86" s="57">
        <f>IF(AQ$14=1,-N('Inputs (2)'!AQ157),-MAX(0,AQ131)*Inputs!AQ$300)</f>
        <v>0</v>
      </c>
      <c r="AR86" s="38">
        <f>SUM(AN86:AQ86)</f>
        <v>0</v>
      </c>
      <c r="AS86" s="57">
        <f>IF(AS$14=1,-N('Inputs (2)'!AS157),-MAX(0,AS131)*Inputs!AS$300)</f>
        <v>0</v>
      </c>
      <c r="AT86" s="57">
        <f>IF(AT$14=1,-N('Inputs (2)'!AT157),-MAX(0,AT131)*Inputs!AT$300)</f>
        <v>0</v>
      </c>
      <c r="AU86" s="57">
        <f>IF(AU$14=1,-N('Inputs (2)'!AU157),-MAX(0,AU131)*Inputs!AU$300)</f>
        <v>0</v>
      </c>
      <c r="AV86" s="57">
        <f>IF(AV$14=1,-N('Inputs (2)'!AV157),-MAX(0,AV131)*Inputs!AV$300)</f>
        <v>0</v>
      </c>
      <c r="AW86" s="38">
        <f>SUM(AS86:AV86)</f>
        <v>0</v>
      </c>
      <c r="AX86" s="57">
        <f>IF(AX$14=1,-N('Inputs (2)'!AX157),-MAX(0,AX131)*Inputs!AX$300)</f>
        <v>0</v>
      </c>
      <c r="AY86" s="57">
        <f>IF(AY$14=1,-N('Inputs (2)'!AY157),-MAX(0,AY131)*Inputs!AY$300)</f>
        <v>0</v>
      </c>
      <c r="AZ86" s="57">
        <f>IF(AZ$14=1,-N('Inputs (2)'!AZ157),-MAX(0,AZ131)*Inputs!AZ$300)</f>
        <v>0</v>
      </c>
      <c r="BA86" s="57">
        <f>IF(BA$14=1,-N('Inputs (2)'!BA157),-MAX(0,BA131)*Inputs!BA$300)</f>
        <v>0</v>
      </c>
      <c r="BB86" s="38">
        <f>SUM(AX86:BA86)</f>
        <v>0</v>
      </c>
      <c r="BC86" s="57">
        <f>IF(BC$14=1,-N('Inputs (2)'!BC157),-MAX(0,BC131)*Inputs!BC$300)</f>
        <v>0</v>
      </c>
      <c r="BD86" s="57">
        <f>IF(BD$14=1,-N('Inputs (2)'!BD157),-MAX(0,BD131)*Inputs!BD$300)</f>
        <v>0</v>
      </c>
      <c r="BE86" s="57">
        <f>IF(BE$14=1,-N('Inputs (2)'!BE157),-MAX(0,BE131)*Inputs!BE$300)</f>
        <v>0</v>
      </c>
      <c r="BF86" s="57">
        <f>IF(BF$14=1,-N('Inputs (2)'!BF157),-MAX(0,BF131)*Inputs!BF$300)</f>
        <v>0</v>
      </c>
      <c r="BG86" s="38">
        <f>SUM(BC86:BF86)</f>
        <v>0</v>
      </c>
    </row>
    <row r="87">
      <c r="C87" s="11" t="inlineStr">
        <is>
          <t>(+/–) Outros resultados abrangentes</t>
        </is>
      </c>
      <c r="D87" s="12" t="inlineStr">
        <is>
          <t>(+/–) OCI</t>
        </is>
      </c>
      <c r="E87" s="57">
        <f>Inputs!E$305</f>
        <v>0</v>
      </c>
      <c r="F87" s="57">
        <f>IF(F$14=1,F75-E75,Inputs!F$305)</f>
        <v>0</v>
      </c>
      <c r="G87" s="57">
        <f>IF(G$14=1,G75-F75,Inputs!G$305)</f>
        <v>0</v>
      </c>
      <c r="H87" s="57">
        <f>IF(H$14=1,H75-G75,Inputs!H$305)</f>
        <v>0</v>
      </c>
      <c r="I87" s="38">
        <f>SUM(E87:H87)</f>
        <v>0</v>
      </c>
      <c r="J87" s="57">
        <f>IF(J$14=1,J75-H75,Inputs!J$305)</f>
        <v>0</v>
      </c>
      <c r="K87" s="57">
        <f>IF(K$14=1,K75-J75,Inputs!K$305)</f>
        <v>0</v>
      </c>
      <c r="L87" s="57">
        <f>IF(L$14=1,L75-K75,Inputs!L$305)</f>
        <v>0</v>
      </c>
      <c r="M87" s="57">
        <f>IF(M$14=1,M75-L75,Inputs!M$305)</f>
        <v>0</v>
      </c>
      <c r="N87" s="38">
        <f>SUM(J87:M87)</f>
        <v>0</v>
      </c>
      <c r="O87" s="57">
        <f>IF(O$14=1,O75-M75,Inputs!O$305)</f>
        <v>0</v>
      </c>
      <c r="P87" s="57">
        <f>IF(P$14=1,P75-O75,Inputs!P$305)</f>
        <v>0</v>
      </c>
      <c r="Q87" s="57">
        <f>IF(Q$14=1,Q75-P75,Inputs!Q$305)</f>
        <v>0</v>
      </c>
      <c r="R87" s="57">
        <f>IF(R$14=1,R75-Q75,Inputs!R$305)</f>
        <v>0</v>
      </c>
      <c r="S87" s="38">
        <f>SUM(O87:R87)</f>
        <v>0</v>
      </c>
      <c r="T87" s="57">
        <f>IF(T$14=1,T75-R75,Inputs!T$305)</f>
        <v>0</v>
      </c>
      <c r="U87" s="57">
        <f>IF(U$14=1,U75-T75,Inputs!U$305)</f>
        <v>0</v>
      </c>
      <c r="V87" s="57">
        <f>IF(V$14=1,V75-U75,Inputs!V$305)</f>
        <v>0</v>
      </c>
      <c r="W87" s="57">
        <f>IF(W$14=1,W75-V75,Inputs!W$305)</f>
        <v>0</v>
      </c>
      <c r="X87" s="38">
        <f>SUM(T87:W87)</f>
        <v>0</v>
      </c>
      <c r="Y87" s="57">
        <f>IF(Y$14=1,Y75-W75,Inputs!Y$305)</f>
        <v>0</v>
      </c>
      <c r="Z87" s="57">
        <f>IF(Z$14=1,Z75-Y75,Inputs!Z$305)</f>
        <v>0</v>
      </c>
      <c r="AA87" s="57">
        <f>IF(AA$14=1,AA75-Z75,Inputs!AA$305)</f>
        <v>0</v>
      </c>
      <c r="AB87" s="57">
        <f>IF(AB$14=1,AB75-AA75,Inputs!AB$305)</f>
        <v>0</v>
      </c>
      <c r="AC87" s="38">
        <f>SUM(Y87:AB87)</f>
        <v>0</v>
      </c>
      <c r="AD87" s="57">
        <f>IF(AD$14=1,AD75-AB75,Inputs!AD$305)</f>
        <v>0</v>
      </c>
      <c r="AE87" s="57">
        <f>IF(AE$14=1,AE75-AD75,Inputs!AE$305)</f>
        <v>0</v>
      </c>
      <c r="AF87" s="57">
        <f>IF(AF$14=1,AF75-AE75,Inputs!AF$305)</f>
        <v>0</v>
      </c>
      <c r="AG87" s="57">
        <f>IF(AG$14=1,AG75-AF75,Inputs!AG$305)</f>
        <v>0</v>
      </c>
      <c r="AH87" s="38">
        <f>SUM(AD87:AG87)</f>
        <v>0</v>
      </c>
      <c r="AI87" s="57">
        <f>IF(AI$14=1,AI75-AG75,Inputs!AI$305)</f>
        <v>0</v>
      </c>
      <c r="AJ87" s="57">
        <f>IF(AJ$14=1,AJ75-AI75,Inputs!AJ$305)</f>
        <v>0</v>
      </c>
      <c r="AK87" s="57">
        <f>IF(AK$14=1,AK75-AJ75,Inputs!AK$305)</f>
        <v>0</v>
      </c>
      <c r="AL87" s="57">
        <f>IF(AL$14=1,AL75-AK75,Inputs!AL$305)</f>
        <v>0</v>
      </c>
      <c r="AM87" s="38">
        <f>SUM(AI87:AL87)</f>
        <v>0</v>
      </c>
      <c r="AN87" s="57">
        <f>IF(AN$14=1,AN75-AL75,Inputs!AN$305)</f>
        <v>0</v>
      </c>
      <c r="AO87" s="57">
        <f>IF(AO$14=1,AO75-AN75,Inputs!AO$305)</f>
        <v>0</v>
      </c>
      <c r="AP87" s="57">
        <f>IF(AP$14=1,AP75-AO75,Inputs!AP$305)</f>
        <v>0</v>
      </c>
      <c r="AQ87" s="57">
        <f>IF(AQ$14=1,AQ75-AP75,Inputs!AQ$305)</f>
        <v>0</v>
      </c>
      <c r="AR87" s="38">
        <f>SUM(AN87:AQ87)</f>
        <v>0</v>
      </c>
      <c r="AS87" s="57">
        <f>IF(AS$14=1,AS75-AQ75,Inputs!AS$305)</f>
        <v>0</v>
      </c>
      <c r="AT87" s="57">
        <f>IF(AT$14=1,AT75-AS75,Inputs!AT$305)</f>
        <v>0</v>
      </c>
      <c r="AU87" s="57">
        <f>IF(AU$14=1,AU75-AT75,Inputs!AU$305)</f>
        <v>0</v>
      </c>
      <c r="AV87" s="57">
        <f>IF(AV$14=1,AV75-AU75,Inputs!AV$305)</f>
        <v>0</v>
      </c>
      <c r="AW87" s="38">
        <f>SUM(AS87:AV87)</f>
        <v>0</v>
      </c>
      <c r="AX87" s="57">
        <f>IF(AX$14=1,AX75-AV75,Inputs!AX$305)</f>
        <v>0</v>
      </c>
      <c r="AY87" s="57">
        <f>IF(AY$14=1,AY75-AX75,Inputs!AY$305)</f>
        <v>0</v>
      </c>
      <c r="AZ87" s="57">
        <f>IF(AZ$14=1,AZ75-AY75,Inputs!AZ$305)</f>
        <v>0</v>
      </c>
      <c r="BA87" s="57">
        <f>IF(BA$14=1,BA75-AZ75,Inputs!BA$305)</f>
        <v>0</v>
      </c>
      <c r="BB87" s="38">
        <f>SUM(AX87:BA87)</f>
        <v>0</v>
      </c>
      <c r="BC87" s="57">
        <f>IF(BC$14=1,BC75-BA75,Inputs!BC$305)</f>
        <v>0</v>
      </c>
      <c r="BD87" s="57">
        <f>IF(BD$14=1,BD75-BC75,Inputs!BD$305)</f>
        <v>0</v>
      </c>
      <c r="BE87" s="57">
        <f>IF(BE$14=1,BE75-BD75,Inputs!BE$305)</f>
        <v>0</v>
      </c>
      <c r="BF87" s="57">
        <f>IF(BF$14=1,BF75-BE75,Inputs!BF$305)</f>
        <v>0</v>
      </c>
      <c r="BG87" s="38">
        <f>SUM(BC87:BF87)</f>
        <v>0</v>
      </c>
    </row>
    <row r="88">
      <c r="C88" s="11" t="inlineStr">
        <is>
          <t>(+/–) Variação de capital (ações, APIC e preferenciais)</t>
        </is>
      </c>
      <c r="D88" s="12" t="inlineStr">
        <is>
          <t>(+/–) Capital changes</t>
        </is>
      </c>
      <c r="E88" s="57">
        <f>Inputs!E$306</f>
        <v>0</v>
      </c>
      <c r="F88" s="57">
        <f>IF(F$14=1,F72-E72,Inputs!F$306)</f>
        <v>0</v>
      </c>
      <c r="G88" s="57">
        <f>IF(G$14=1,G72-F72,Inputs!G$306)</f>
        <v>0</v>
      </c>
      <c r="H88" s="57">
        <f>IF(H$14=1,H72-G72,Inputs!H$306)</f>
        <v>0</v>
      </c>
      <c r="I88" s="38">
        <f>SUM(E88:H88)</f>
        <v>0</v>
      </c>
      <c r="J88" s="57">
        <f>IF(J$14=1,J72-H72,Inputs!J$306)</f>
        <v>0</v>
      </c>
      <c r="K88" s="57">
        <f>IF(K$14=1,K72-J72,Inputs!K$306)</f>
        <v>0</v>
      </c>
      <c r="L88" s="57">
        <f>IF(L$14=1,L72-K72,Inputs!L$306)</f>
        <v>0</v>
      </c>
      <c r="M88" s="57">
        <f>IF(M$14=1,M72-L72,Inputs!M$306)</f>
        <v>0</v>
      </c>
      <c r="N88" s="38">
        <f>SUM(J88:M88)</f>
        <v>0</v>
      </c>
      <c r="O88" s="57">
        <f>IF(O$14=1,O72-M72,Inputs!O$306)</f>
        <v>0</v>
      </c>
      <c r="P88" s="57">
        <f>IF(P$14=1,P72-O72,Inputs!P$306)</f>
        <v>0</v>
      </c>
      <c r="Q88" s="57">
        <f>IF(Q$14=1,Q72-P72,Inputs!Q$306)</f>
        <v>0</v>
      </c>
      <c r="R88" s="57">
        <f>IF(R$14=1,R72-Q72,Inputs!R$306)</f>
        <v>0</v>
      </c>
      <c r="S88" s="38">
        <f>SUM(O88:R88)</f>
        <v>0</v>
      </c>
      <c r="T88" s="57">
        <f>IF(T$14=1,T72-R72,Inputs!T$306)</f>
        <v>0</v>
      </c>
      <c r="U88" s="57">
        <f>IF(U$14=1,U72-T72,Inputs!U$306)</f>
        <v>0</v>
      </c>
      <c r="V88" s="57">
        <f>IF(V$14=1,V72-U72,Inputs!V$306)</f>
        <v>0</v>
      </c>
      <c r="W88" s="57">
        <f>IF(W$14=1,W72-V72,Inputs!W$306)</f>
        <v>0</v>
      </c>
      <c r="X88" s="38">
        <f>SUM(T88:W88)</f>
        <v>0</v>
      </c>
      <c r="Y88" s="57">
        <f>IF(Y$14=1,Y72-W72,Inputs!Y$306)</f>
        <v>0</v>
      </c>
      <c r="Z88" s="57">
        <f>IF(Z$14=1,Z72-Y72,Inputs!Z$306)</f>
        <v>0</v>
      </c>
      <c r="AA88" s="57">
        <f>IF(AA$14=1,AA72-Z72,Inputs!AA$306)</f>
        <v>0</v>
      </c>
      <c r="AB88" s="57">
        <f>IF(AB$14=1,AB72-AA72,Inputs!AB$306)</f>
        <v>0</v>
      </c>
      <c r="AC88" s="38">
        <f>SUM(Y88:AB88)</f>
        <v>0</v>
      </c>
      <c r="AD88" s="57">
        <f>IF(AD$14=1,AD72-AB72,Inputs!AD$306)</f>
        <v>0</v>
      </c>
      <c r="AE88" s="57">
        <f>IF(AE$14=1,AE72-AD72,Inputs!AE$306)</f>
        <v>0</v>
      </c>
      <c r="AF88" s="57">
        <f>IF(AF$14=1,AF72-AE72,Inputs!AF$306)</f>
        <v>0</v>
      </c>
      <c r="AG88" s="57">
        <f>IF(AG$14=1,AG72-AF72,Inputs!AG$306)</f>
        <v>0</v>
      </c>
      <c r="AH88" s="38">
        <f>SUM(AD88:AG88)</f>
        <v>0</v>
      </c>
      <c r="AI88" s="57">
        <f>IF(AI$14=1,AI72-AG72,Inputs!AI$306)</f>
        <v>0</v>
      </c>
      <c r="AJ88" s="57">
        <f>IF(AJ$14=1,AJ72-AI72,Inputs!AJ$306)</f>
        <v>0</v>
      </c>
      <c r="AK88" s="57">
        <f>IF(AK$14=1,AK72-AJ72,Inputs!AK$306)</f>
        <v>0</v>
      </c>
      <c r="AL88" s="57">
        <f>IF(AL$14=1,AL72-AK72,Inputs!AL$306)</f>
        <v>0</v>
      </c>
      <c r="AM88" s="38">
        <f>SUM(AI88:AL88)</f>
        <v>0</v>
      </c>
      <c r="AN88" s="57">
        <f>IF(AN$14=1,AN72-AL72,Inputs!AN$306)</f>
        <v>0</v>
      </c>
      <c r="AO88" s="57">
        <f>IF(AO$14=1,AO72-AN72,Inputs!AO$306)</f>
        <v>0</v>
      </c>
      <c r="AP88" s="57">
        <f>IF(AP$14=1,AP72-AO72,Inputs!AP$306)</f>
        <v>0</v>
      </c>
      <c r="AQ88" s="57">
        <f>IF(AQ$14=1,AQ72-AP72,Inputs!AQ$306)</f>
        <v>0</v>
      </c>
      <c r="AR88" s="38">
        <f>SUM(AN88:AQ88)</f>
        <v>0</v>
      </c>
      <c r="AS88" s="57">
        <f>IF(AS$14=1,AS72-AQ72,Inputs!AS$306)</f>
        <v>0</v>
      </c>
      <c r="AT88" s="57">
        <f>IF(AT$14=1,AT72-AS72,Inputs!AT$306)</f>
        <v>0</v>
      </c>
      <c r="AU88" s="57">
        <f>IF(AU$14=1,AU72-AT72,Inputs!AU$306)</f>
        <v>0</v>
      </c>
      <c r="AV88" s="57">
        <f>IF(AV$14=1,AV72-AU72,Inputs!AV$306)</f>
        <v>0</v>
      </c>
      <c r="AW88" s="38">
        <f>SUM(AS88:AV88)</f>
        <v>0</v>
      </c>
      <c r="AX88" s="57">
        <f>IF(AX$14=1,AX72-AV72,Inputs!AX$306)</f>
        <v>0</v>
      </c>
      <c r="AY88" s="57">
        <f>IF(AY$14=1,AY72-AX72,Inputs!AY$306)</f>
        <v>0</v>
      </c>
      <c r="AZ88" s="57">
        <f>IF(AZ$14=1,AZ72-AY72,Inputs!AZ$306)</f>
        <v>0</v>
      </c>
      <c r="BA88" s="57">
        <f>IF(BA$14=1,BA72-AZ72,Inputs!BA$306)</f>
        <v>0</v>
      </c>
      <c r="BB88" s="38">
        <f>SUM(AX88:BA88)</f>
        <v>0</v>
      </c>
      <c r="BC88" s="57">
        <f>IF(BC$14=1,BC72-BA72,Inputs!BC$306)</f>
        <v>0</v>
      </c>
      <c r="BD88" s="57">
        <f>IF(BD$14=1,BD72-BC72,Inputs!BD$306)</f>
        <v>0</v>
      </c>
      <c r="BE88" s="57">
        <f>IF(BE$14=1,BE72-BD72,Inputs!BE$306)</f>
        <v>0</v>
      </c>
      <c r="BF88" s="57">
        <f>IF(BF$14=1,BF72-BE72,Inputs!BF$306)</f>
        <v>0</v>
      </c>
      <c r="BG88" s="38">
        <f>SUM(BC88:BF88)</f>
        <v>0</v>
      </c>
    </row>
    <row r="89">
      <c r="C89" s="11" t="inlineStr">
        <is>
          <t>(+/–) Ajuste de conciliação (períodos realizados)</t>
        </is>
      </c>
      <c r="D89" s="12" t="inlineStr">
        <is>
          <t>(+/–) Reconciling item</t>
        </is>
      </c>
      <c r="E89" s="37">
        <f>E79-(E83+E84+E85+E86+E87+E88)</f>
        <v>0</v>
      </c>
      <c r="F89" s="37">
        <f>F79-(F83+F84+F85+F86+F87+F88)</f>
        <v>0</v>
      </c>
      <c r="G89" s="37">
        <f>G79-(G83+G84+G85+G86+G87+G88)</f>
        <v>0</v>
      </c>
      <c r="H89" s="37">
        <f>H79-(H83+H84+H85+H86+H87+H88)</f>
        <v>0</v>
      </c>
      <c r="I89" s="38">
        <f>SUM(E89:H89)</f>
        <v>0</v>
      </c>
      <c r="J89" s="37">
        <f>J79-(J83+J84+J85+J86+J87+J88)</f>
        <v>0</v>
      </c>
      <c r="K89" s="37">
        <f>K79-(K83+K84+K85+K86+K87+K88)</f>
        <v>0</v>
      </c>
      <c r="L89" s="37">
        <f>L79-(L83+L84+L85+L86+L87+L88)</f>
        <v>0</v>
      </c>
      <c r="M89" s="37">
        <f>M79-(M83+M84+M85+M86+M87+M88)</f>
        <v>0</v>
      </c>
      <c r="N89" s="38">
        <f>SUM(J89:M89)</f>
        <v>0</v>
      </c>
      <c r="O89" s="37">
        <f>O79-(O83+O84+O85+O86+O87+O88)</f>
        <v>0</v>
      </c>
      <c r="P89" s="37">
        <f>P79-(P83+P84+P85+P86+P87+P88)</f>
        <v>0</v>
      </c>
      <c r="Q89" s="37">
        <f>Q79-(Q83+Q84+Q85+Q86+Q87+Q88)</f>
        <v>0</v>
      </c>
      <c r="R89" s="37">
        <f>R79-(R83+R84+R85+R86+R87+R88)</f>
        <v>0</v>
      </c>
      <c r="S89" s="38">
        <f>SUM(O89:R89)</f>
        <v>0</v>
      </c>
      <c r="T89" s="37">
        <f>T79-(T83+T84+T85+T86+T87+T88)</f>
        <v>0</v>
      </c>
      <c r="U89" s="37">
        <f>U79-(U83+U84+U85+U86+U87+U88)</f>
        <v>0</v>
      </c>
      <c r="V89" s="37">
        <f>V79-(V83+V84+V85+V86+V87+V88)</f>
        <v>0</v>
      </c>
      <c r="W89" s="37">
        <f>W79-(W83+W84+W85+W86+W87+W88)</f>
        <v>0</v>
      </c>
      <c r="X89" s="38">
        <f>SUM(T89:W89)</f>
        <v>0</v>
      </c>
      <c r="Y89" s="37">
        <f>Y79-(Y83+Y84+Y85+Y86+Y87+Y88)</f>
        <v>0</v>
      </c>
      <c r="Z89" s="37">
        <f>Z79-(Z83+Z84+Z85+Z86+Z87+Z88)</f>
        <v>0</v>
      </c>
      <c r="AA89" s="37">
        <f>AA79-(AA83+AA84+AA85+AA86+AA87+AA88)</f>
        <v>0</v>
      </c>
      <c r="AB89" s="37">
        <f>AB79-(AB83+AB84+AB85+AB86+AB87+AB88)</f>
        <v>0</v>
      </c>
      <c r="AC89" s="38">
        <f>SUM(Y89:AB89)</f>
        <v>0</v>
      </c>
      <c r="AD89" s="37">
        <f>AD79-(AD83+AD84+AD85+AD86+AD87+AD88)</f>
        <v>0</v>
      </c>
      <c r="AE89" s="37">
        <f>AE79-(AE83+AE84+AE85+AE86+AE87+AE88)</f>
        <v>0</v>
      </c>
      <c r="AF89" s="37">
        <f>AF79-(AF83+AF84+AF85+AF86+AF87+AF88)</f>
        <v>0</v>
      </c>
      <c r="AG89" s="37">
        <f>AG79-(AG83+AG84+AG85+AG86+AG87+AG88)</f>
        <v>0</v>
      </c>
      <c r="AH89" s="38">
        <f>SUM(AD89:AG89)</f>
        <v>0</v>
      </c>
      <c r="AI89" s="37">
        <f>AI79-(AI83+AI84+AI85+AI86+AI87+AI88)</f>
        <v>0</v>
      </c>
      <c r="AJ89" s="37">
        <f>AJ79-(AJ83+AJ84+AJ85+AJ86+AJ87+AJ88)</f>
        <v>0</v>
      </c>
      <c r="AK89" s="37">
        <f>AK79-(AK83+AK84+AK85+AK86+AK87+AK88)</f>
        <v>0</v>
      </c>
      <c r="AL89" s="37">
        <f>AL79-(AL83+AL84+AL85+AL86+AL87+AL88)</f>
        <v>0</v>
      </c>
      <c r="AM89" s="38">
        <f>SUM(AI89:AL89)</f>
        <v>0</v>
      </c>
      <c r="AN89" s="37">
        <f>AN79-(AN83+AN84+AN85+AN86+AN87+AN88)</f>
        <v>0</v>
      </c>
      <c r="AO89" s="37">
        <f>AO79-(AO83+AO84+AO85+AO86+AO87+AO88)</f>
        <v>0</v>
      </c>
      <c r="AP89" s="37">
        <f>AP79-(AP83+AP84+AP85+AP86+AP87+AP88)</f>
        <v>0</v>
      </c>
      <c r="AQ89" s="37">
        <f>AQ79-(AQ83+AQ84+AQ85+AQ86+AQ87+AQ88)</f>
        <v>0</v>
      </c>
      <c r="AR89" s="38">
        <f>SUM(AN89:AQ89)</f>
        <v>0</v>
      </c>
      <c r="AS89" s="37">
        <f>AS79-(AS83+AS84+AS85+AS86+AS87+AS88)</f>
        <v>0</v>
      </c>
      <c r="AT89" s="37">
        <f>AT79-(AT83+AT84+AT85+AT86+AT87+AT88)</f>
        <v>0</v>
      </c>
      <c r="AU89" s="37">
        <f>AU79-(AU83+AU84+AU85+AU86+AU87+AU88)</f>
        <v>0</v>
      </c>
      <c r="AV89" s="37">
        <f>AV79-(AV83+AV84+AV85+AV86+AV87+AV88)</f>
        <v>0</v>
      </c>
      <c r="AW89" s="38">
        <f>SUM(AS89:AV89)</f>
        <v>0</v>
      </c>
      <c r="AX89" s="37">
        <f>AX79-(AX83+AX84+AX85+AX86+AX87+AX88)</f>
        <v>0</v>
      </c>
      <c r="AY89" s="37">
        <f>AY79-(AY83+AY84+AY85+AY86+AY87+AY88)</f>
        <v>0</v>
      </c>
      <c r="AZ89" s="37">
        <f>AZ79-(AZ83+AZ84+AZ85+AZ86+AZ87+AZ88)</f>
        <v>0</v>
      </c>
      <c r="BA89" s="37">
        <f>BA79-(BA83+BA84+BA85+BA86+BA87+BA88)</f>
        <v>0</v>
      </c>
      <c r="BB89" s="38">
        <f>SUM(AX89:BA89)</f>
        <v>0</v>
      </c>
      <c r="BC89" s="37">
        <f>BC79-(BC83+BC84+BC85+BC86+BC87+BC88)</f>
        <v>0</v>
      </c>
      <c r="BD89" s="37">
        <f>BD79-(BD83+BD84+BD85+BD86+BD87+BD88)</f>
        <v>0</v>
      </c>
      <c r="BE89" s="37">
        <f>BE79-(BE83+BE84+BE85+BE86+BE87+BE88)</f>
        <v>0</v>
      </c>
      <c r="BF89" s="37">
        <f>BF79-(BF83+BF84+BF85+BF86+BF87+BF88)</f>
        <v>0</v>
      </c>
      <c r="BG89" s="38">
        <f>SUM(BC89:BF89)</f>
        <v>0</v>
      </c>
      <c r="BI89" s="14" t="inlineStr">
        <is>
          <t>Nos períodos realizados absorve reclassificações do PL. Na projeção fica zerado por construção.</t>
        </is>
      </c>
    </row>
    <row r="90">
      <c r="C90" s="15" t="inlineStr">
        <is>
          <t>Patrimônio líquido final</t>
        </is>
      </c>
      <c r="D90" s="16" t="inlineStr">
        <is>
          <t>Closing equity</t>
        </is>
      </c>
      <c r="E90" s="59">
        <f>SUM(E83:E89)</f>
        <v>0</v>
      </c>
      <c r="F90" s="59">
        <f>SUM(F83:F89)</f>
        <v>0</v>
      </c>
      <c r="G90" s="59">
        <f>SUM(G83:G89)</f>
        <v>0</v>
      </c>
      <c r="H90" s="59">
        <f>SUM(H83:H89)</f>
        <v>0</v>
      </c>
      <c r="I90" s="60">
        <f>SUM(I83:I89)</f>
        <v>0</v>
      </c>
      <c r="J90" s="59">
        <f>SUM(J83:J89)</f>
        <v>0</v>
      </c>
      <c r="K90" s="59">
        <f>SUM(K83:K89)</f>
        <v>0</v>
      </c>
      <c r="L90" s="59">
        <f>SUM(L83:L89)</f>
        <v>0</v>
      </c>
      <c r="M90" s="59">
        <f>SUM(M83:M89)</f>
        <v>0</v>
      </c>
      <c r="N90" s="60">
        <f>SUM(N83:N89)</f>
        <v>0</v>
      </c>
      <c r="O90" s="59">
        <f>SUM(O83:O89)</f>
        <v>0</v>
      </c>
      <c r="P90" s="59">
        <f>SUM(P83:P89)</f>
        <v>0</v>
      </c>
      <c r="Q90" s="59">
        <f>SUM(Q83:Q89)</f>
        <v>0</v>
      </c>
      <c r="R90" s="59">
        <f>SUM(R83:R89)</f>
        <v>0</v>
      </c>
      <c r="S90" s="60">
        <f>SUM(S83:S89)</f>
        <v>0</v>
      </c>
      <c r="T90" s="59">
        <f>SUM(T83:T89)</f>
        <v>0</v>
      </c>
      <c r="U90" s="59">
        <f>SUM(U83:U89)</f>
        <v>0</v>
      </c>
      <c r="V90" s="59">
        <f>SUM(V83:V89)</f>
        <v>0</v>
      </c>
      <c r="W90" s="59">
        <f>SUM(W83:W89)</f>
        <v>0</v>
      </c>
      <c r="X90" s="60">
        <f>SUM(X83:X89)</f>
        <v>0</v>
      </c>
      <c r="Y90" s="59">
        <f>SUM(Y83:Y89)</f>
        <v>0</v>
      </c>
      <c r="Z90" s="59">
        <f>SUM(Z83:Z89)</f>
        <v>0</v>
      </c>
      <c r="AA90" s="59">
        <f>SUM(AA83:AA89)</f>
        <v>0</v>
      </c>
      <c r="AB90" s="59">
        <f>SUM(AB83:AB89)</f>
        <v>0</v>
      </c>
      <c r="AC90" s="60">
        <f>SUM(AC83:AC89)</f>
        <v>0</v>
      </c>
      <c r="AD90" s="59">
        <f>SUM(AD83:AD89)</f>
        <v>0</v>
      </c>
      <c r="AE90" s="59">
        <f>SUM(AE83:AE89)</f>
        <v>0</v>
      </c>
      <c r="AF90" s="59">
        <f>SUM(AF83:AF89)</f>
        <v>0</v>
      </c>
      <c r="AG90" s="59">
        <f>SUM(AG83:AG89)</f>
        <v>0</v>
      </c>
      <c r="AH90" s="60">
        <f>SUM(AH83:AH89)</f>
        <v>0</v>
      </c>
      <c r="AI90" s="59">
        <f>SUM(AI83:AI89)</f>
        <v>0</v>
      </c>
      <c r="AJ90" s="59">
        <f>SUM(AJ83:AJ89)</f>
        <v>0</v>
      </c>
      <c r="AK90" s="59">
        <f>SUM(AK83:AK89)</f>
        <v>0</v>
      </c>
      <c r="AL90" s="59">
        <f>SUM(AL83:AL89)</f>
        <v>0</v>
      </c>
      <c r="AM90" s="60">
        <f>SUM(AM83:AM89)</f>
        <v>0</v>
      </c>
      <c r="AN90" s="59">
        <f>SUM(AN83:AN89)</f>
        <v>0</v>
      </c>
      <c r="AO90" s="59">
        <f>SUM(AO83:AO89)</f>
        <v>0</v>
      </c>
      <c r="AP90" s="59">
        <f>SUM(AP83:AP89)</f>
        <v>0</v>
      </c>
      <c r="AQ90" s="59">
        <f>SUM(AQ83:AQ89)</f>
        <v>0</v>
      </c>
      <c r="AR90" s="60">
        <f>SUM(AR83:AR89)</f>
        <v>0</v>
      </c>
      <c r="AS90" s="59">
        <f>SUM(AS83:AS89)</f>
        <v>0</v>
      </c>
      <c r="AT90" s="59">
        <f>SUM(AT83:AT89)</f>
        <v>0</v>
      </c>
      <c r="AU90" s="59">
        <f>SUM(AU83:AU89)</f>
        <v>0</v>
      </c>
      <c r="AV90" s="59">
        <f>SUM(AV83:AV89)</f>
        <v>0</v>
      </c>
      <c r="AW90" s="60">
        <f>SUM(AW83:AW89)</f>
        <v>0</v>
      </c>
      <c r="AX90" s="59">
        <f>SUM(AX83:AX89)</f>
        <v>0</v>
      </c>
      <c r="AY90" s="59">
        <f>SUM(AY83:AY89)</f>
        <v>0</v>
      </c>
      <c r="AZ90" s="59">
        <f>SUM(AZ83:AZ89)</f>
        <v>0</v>
      </c>
      <c r="BA90" s="59">
        <f>SUM(BA83:BA89)</f>
        <v>0</v>
      </c>
      <c r="BB90" s="60">
        <f>SUM(BB83:BB89)</f>
        <v>0</v>
      </c>
      <c r="BC90" s="59">
        <f>SUM(BC83:BC89)</f>
        <v>0</v>
      </c>
      <c r="BD90" s="59">
        <f>SUM(BD83:BD89)</f>
        <v>0</v>
      </c>
      <c r="BE90" s="59">
        <f>SUM(BE83:BE89)</f>
        <v>0</v>
      </c>
      <c r="BF90" s="59">
        <f>SUM(BF83:BF89)</f>
        <v>0</v>
      </c>
      <c r="BG90" s="60">
        <f>SUM(BG83:BG89)</f>
        <v>0</v>
      </c>
    </row>
    <row r="92">
      <c r="B92" s="7" t="n"/>
      <c r="C92" s="7" t="str">
        <f>"DEMONSTRAÇÃO DO RESULTADO ("&amp;Inputs!$E$202&amp;")"</f>
        <v>DEMONSTRAÇÃO DO RESULTADO (US$ milhões)</v>
      </c>
      <c r="D92" s="7" t="inlineStr">
        <is>
          <t>INCOME STATEMENT</t>
        </is>
      </c>
      <c r="E92" s="7" t="n"/>
      <c r="F92" s="7" t="n"/>
      <c r="G92" s="7" t="n"/>
      <c r="H92" s="7" t="n"/>
      <c r="I92" s="7" t="n"/>
      <c r="J92" s="7" t="n"/>
      <c r="K92" s="7" t="n"/>
      <c r="L92" s="7" t="n"/>
      <c r="M92" s="7" t="n"/>
      <c r="N92" s="7" t="n"/>
      <c r="O92" s="7" t="n"/>
      <c r="P92" s="7" t="n"/>
      <c r="Q92" s="7" t="n"/>
      <c r="R92" s="7" t="n"/>
      <c r="S92" s="7" t="n"/>
      <c r="T92" s="7" t="n"/>
      <c r="U92" s="7" t="n"/>
      <c r="V92" s="7" t="n"/>
      <c r="W92" s="7" t="n"/>
      <c r="X92" s="7" t="n"/>
      <c r="Y92" s="7" t="n"/>
      <c r="Z92" s="7" t="n"/>
      <c r="AA92" s="7" t="n"/>
      <c r="AB92" s="7" t="n"/>
      <c r="AC92" s="7" t="n"/>
      <c r="AD92" s="7" t="n"/>
      <c r="AE92" s="7" t="n"/>
      <c r="AF92" s="7" t="n"/>
      <c r="AG92" s="7" t="n"/>
      <c r="AH92" s="7" t="n"/>
      <c r="AI92" s="7" t="n"/>
      <c r="AJ92" s="7" t="n"/>
      <c r="AK92" s="7" t="n"/>
      <c r="AL92" s="7" t="n"/>
      <c r="AM92" s="7" t="n"/>
      <c r="AN92" s="7" t="n"/>
      <c r="AO92" s="7" t="n"/>
      <c r="AP92" s="7" t="n"/>
      <c r="AQ92" s="7" t="n"/>
      <c r="AR92" s="7" t="n"/>
      <c r="AS92" s="7" t="n"/>
      <c r="AT92" s="7" t="n"/>
      <c r="AU92" s="7" t="n"/>
      <c r="AV92" s="7" t="n"/>
      <c r="AW92" s="7" t="n"/>
      <c r="AX92" s="7" t="n"/>
      <c r="AY92" s="7" t="n"/>
      <c r="AZ92" s="7" t="n"/>
      <c r="BA92" s="7" t="n"/>
      <c r="BB92" s="7" t="n"/>
      <c r="BC92" s="7" t="n"/>
      <c r="BD92" s="7" t="n"/>
      <c r="BE92" s="7" t="n"/>
      <c r="BF92" s="7" t="n"/>
      <c r="BG92" s="7" t="n"/>
      <c r="BH92" s="7" t="n"/>
      <c r="BI92" s="7" t="n"/>
    </row>
    <row r="93">
      <c r="C93" s="83" t="inlineStr">
        <is>
          <t>Receita de juros</t>
        </is>
      </c>
      <c r="D93" s="84" t="inlineStr">
        <is>
          <t>Interest income</t>
        </is>
      </c>
      <c r="E93" s="85">
        <f>E94+E95+E96+E97</f>
        <v>0</v>
      </c>
      <c r="F93" s="85">
        <f>F94+F95+F96+F97</f>
        <v>0</v>
      </c>
      <c r="G93" s="85">
        <f>G94+G95+G96+G97</f>
        <v>0</v>
      </c>
      <c r="H93" s="85">
        <f>H94+H95+H96+H97</f>
        <v>0</v>
      </c>
      <c r="I93" s="60">
        <f>SUM(E93:H93)</f>
        <v>0</v>
      </c>
      <c r="J93" s="85">
        <f>J94+J95+J96+J97</f>
        <v>0</v>
      </c>
      <c r="K93" s="85">
        <f>K94+K95+K96+K97</f>
        <v>0</v>
      </c>
      <c r="L93" s="85">
        <f>L94+L95+L96+L97</f>
        <v>0</v>
      </c>
      <c r="M93" s="85">
        <f>M94+M95+M96+M97</f>
        <v>0</v>
      </c>
      <c r="N93" s="60">
        <f>SUM(J93:M93)</f>
        <v>0</v>
      </c>
      <c r="O93" s="85">
        <f>O94+O95+O96+O97</f>
        <v>0</v>
      </c>
      <c r="P93" s="85">
        <f>P94+P95+P96+P97</f>
        <v>0</v>
      </c>
      <c r="Q93" s="85">
        <f>Q94+Q95+Q96+Q97</f>
        <v>0</v>
      </c>
      <c r="R93" s="85">
        <f>R94+R95+R96+R97</f>
        <v>0</v>
      </c>
      <c r="S93" s="60">
        <f>SUM(O93:R93)</f>
        <v>0</v>
      </c>
      <c r="T93" s="85">
        <f>T94+T95+T96+T97</f>
        <v>0</v>
      </c>
      <c r="U93" s="85">
        <f>U94+U95+U96+U97</f>
        <v>0</v>
      </c>
      <c r="V93" s="85">
        <f>V94+V95+V96+V97</f>
        <v>0</v>
      </c>
      <c r="W93" s="85">
        <f>W94+W95+W96+W97</f>
        <v>0</v>
      </c>
      <c r="X93" s="60">
        <f>SUM(T93:W93)</f>
        <v>0</v>
      </c>
      <c r="Y93" s="85">
        <f>Y94+Y95+Y96+Y97</f>
        <v>0</v>
      </c>
      <c r="Z93" s="85">
        <f>Z94+Z95+Z96+Z97</f>
        <v>0</v>
      </c>
      <c r="AA93" s="85">
        <f>AA94+AA95+AA96+AA97</f>
        <v>0</v>
      </c>
      <c r="AB93" s="85">
        <f>AB94+AB95+AB96+AB97</f>
        <v>0</v>
      </c>
      <c r="AC93" s="60">
        <f>SUM(Y93:AB93)</f>
        <v>0</v>
      </c>
      <c r="AD93" s="85">
        <f>AD94+AD95+AD96+AD97</f>
        <v>0</v>
      </c>
      <c r="AE93" s="85">
        <f>AE94+AE95+AE96+AE97</f>
        <v>0</v>
      </c>
      <c r="AF93" s="85">
        <f>AF94+AF95+AF96+AF97</f>
        <v>0</v>
      </c>
      <c r="AG93" s="85">
        <f>AG94+AG95+AG96+AG97</f>
        <v>0</v>
      </c>
      <c r="AH93" s="60">
        <f>SUM(AD93:AG93)</f>
        <v>0</v>
      </c>
      <c r="AI93" s="85">
        <f>AI94+AI95+AI96+AI97</f>
        <v>0</v>
      </c>
      <c r="AJ93" s="85">
        <f>AJ94+AJ95+AJ96+AJ97</f>
        <v>0</v>
      </c>
      <c r="AK93" s="85">
        <f>AK94+AK95+AK96+AK97</f>
        <v>0</v>
      </c>
      <c r="AL93" s="85">
        <f>AL94+AL95+AL96+AL97</f>
        <v>0</v>
      </c>
      <c r="AM93" s="60">
        <f>SUM(AI93:AL93)</f>
        <v>0</v>
      </c>
      <c r="AN93" s="85">
        <f>AN94+AN95+AN96+AN97</f>
        <v>0</v>
      </c>
      <c r="AO93" s="85">
        <f>AO94+AO95+AO96+AO97</f>
        <v>0</v>
      </c>
      <c r="AP93" s="85">
        <f>AP94+AP95+AP96+AP97</f>
        <v>0</v>
      </c>
      <c r="AQ93" s="85">
        <f>AQ94+AQ95+AQ96+AQ97</f>
        <v>0</v>
      </c>
      <c r="AR93" s="60">
        <f>SUM(AN93:AQ93)</f>
        <v>0</v>
      </c>
      <c r="AS93" s="85">
        <f>AS94+AS95+AS96+AS97</f>
        <v>0</v>
      </c>
      <c r="AT93" s="85">
        <f>AT94+AT95+AT96+AT97</f>
        <v>0</v>
      </c>
      <c r="AU93" s="85">
        <f>AU94+AU95+AU96+AU97</f>
        <v>0</v>
      </c>
      <c r="AV93" s="85">
        <f>AV94+AV95+AV96+AV97</f>
        <v>0</v>
      </c>
      <c r="AW93" s="60">
        <f>SUM(AS93:AV93)</f>
        <v>0</v>
      </c>
      <c r="AX93" s="85">
        <f>AX94+AX95+AX96+AX97</f>
        <v>0</v>
      </c>
      <c r="AY93" s="85">
        <f>AY94+AY95+AY96+AY97</f>
        <v>0</v>
      </c>
      <c r="AZ93" s="85">
        <f>AZ94+AZ95+AZ96+AZ97</f>
        <v>0</v>
      </c>
      <c r="BA93" s="85">
        <f>BA94+BA95+BA96+BA97</f>
        <v>0</v>
      </c>
      <c r="BB93" s="60">
        <f>SUM(AX93:BA93)</f>
        <v>0</v>
      </c>
      <c r="BC93" s="85">
        <f>BC94+BC95+BC96+BC97</f>
        <v>0</v>
      </c>
      <c r="BD93" s="85">
        <f>BD94+BD95+BD96+BD97</f>
        <v>0</v>
      </c>
      <c r="BE93" s="85">
        <f>BE94+BE95+BE96+BE97</f>
        <v>0</v>
      </c>
      <c r="BF93" s="85">
        <f>BF94+BF95+BF96+BF97</f>
        <v>0</v>
      </c>
      <c r="BG93" s="60">
        <f>SUM(BC93:BF93)</f>
        <v>0</v>
      </c>
    </row>
    <row r="94" hidden="1" outlineLevel="1">
      <c r="C94" s="61" t="inlineStr">
        <is>
          <t>Juros de empréstimos</t>
        </is>
      </c>
      <c r="D94" s="62" t="inlineStr">
        <is>
          <t>Loans</t>
        </is>
      </c>
      <c r="E94" s="57">
        <f>IF(E$14=1,'Inputs (2)'!E72,E138*Inputs!E$272/4)</f>
        <v>0</v>
      </c>
      <c r="F94" s="57">
        <f>IF(F$14=1,'Inputs (2)'!F72,F138*Inputs!F$272/4)</f>
        <v>0</v>
      </c>
      <c r="G94" s="57">
        <f>IF(G$14=1,'Inputs (2)'!G72,G138*Inputs!G$272/4)</f>
        <v>0</v>
      </c>
      <c r="H94" s="57">
        <f>IF(H$14=1,'Inputs (2)'!H72,H138*Inputs!H$272/4)</f>
        <v>0</v>
      </c>
      <c r="I94" s="77">
        <f>SUM(E94:H94)</f>
        <v>0</v>
      </c>
      <c r="J94" s="57">
        <f>IF(J$14=1,'Inputs (2)'!J72,J138*Inputs!J$272/4)</f>
        <v>0</v>
      </c>
      <c r="K94" s="57">
        <f>IF(K$14=1,'Inputs (2)'!K72,K138*Inputs!K$272/4)</f>
        <v>0</v>
      </c>
      <c r="L94" s="57">
        <f>IF(L$14=1,'Inputs (2)'!L72,L138*Inputs!L$272/4)</f>
        <v>0</v>
      </c>
      <c r="M94" s="57">
        <f>IF(M$14=1,'Inputs (2)'!M72,M138*Inputs!M$272/4)</f>
        <v>0</v>
      </c>
      <c r="N94" s="77">
        <f>SUM(J94:M94)</f>
        <v>0</v>
      </c>
      <c r="O94" s="57">
        <f>IF(O$14=1,'Inputs (2)'!O72,O138*Inputs!O$272/4)</f>
        <v>0</v>
      </c>
      <c r="P94" s="57">
        <f>IF(P$14=1,'Inputs (2)'!P72,P138*Inputs!P$272/4)</f>
        <v>0</v>
      </c>
      <c r="Q94" s="57">
        <f>IF(Q$14=1,'Inputs (2)'!Q72,Q138*Inputs!Q$272/4)</f>
        <v>0</v>
      </c>
      <c r="R94" s="57">
        <f>IF(R$14=1,'Inputs (2)'!R72,R138*Inputs!R$272/4)</f>
        <v>0</v>
      </c>
      <c r="S94" s="77">
        <f>SUM(O94:R94)</f>
        <v>0</v>
      </c>
      <c r="T94" s="57">
        <f>IF(T$14=1,'Inputs (2)'!T72,T138*Inputs!T$272/4)</f>
        <v>0</v>
      </c>
      <c r="U94" s="57">
        <f>IF(U$14=1,'Inputs (2)'!U72,U138*Inputs!U$272/4)</f>
        <v>0</v>
      </c>
      <c r="V94" s="57">
        <f>IF(V$14=1,'Inputs (2)'!V72,V138*Inputs!V$272/4)</f>
        <v>0</v>
      </c>
      <c r="W94" s="57">
        <f>IF(W$14=1,'Inputs (2)'!W72,W138*Inputs!W$272/4)</f>
        <v>0</v>
      </c>
      <c r="X94" s="77">
        <f>SUM(T94:W94)</f>
        <v>0</v>
      </c>
      <c r="Y94" s="57">
        <f>IF(Y$14=1,'Inputs (2)'!Y72,Y138*Inputs!Y$272/4)</f>
        <v>0</v>
      </c>
      <c r="Z94" s="57">
        <f>IF(Z$14=1,'Inputs (2)'!Z72,Z138*Inputs!Z$272/4)</f>
        <v>0</v>
      </c>
      <c r="AA94" s="57">
        <f>IF(AA$14=1,'Inputs (2)'!AA72,AA138*Inputs!AA$272/4)</f>
        <v>0</v>
      </c>
      <c r="AB94" s="57">
        <f>IF(AB$14=1,'Inputs (2)'!AB72,AB138*Inputs!AB$272/4)</f>
        <v>0</v>
      </c>
      <c r="AC94" s="77">
        <f>SUM(Y94:AB94)</f>
        <v>0</v>
      </c>
      <c r="AD94" s="57">
        <f>IF(AD$14=1,'Inputs (2)'!AD72,AD138*Inputs!AD$272/4)</f>
        <v>0</v>
      </c>
      <c r="AE94" s="57">
        <f>IF(AE$14=1,'Inputs (2)'!AE72,AE138*Inputs!AE$272/4)</f>
        <v>0</v>
      </c>
      <c r="AF94" s="57">
        <f>IF(AF$14=1,'Inputs (2)'!AF72,AF138*Inputs!AF$272/4)</f>
        <v>0</v>
      </c>
      <c r="AG94" s="57">
        <f>IF(AG$14=1,'Inputs (2)'!AG72,AG138*Inputs!AG$272/4)</f>
        <v>0</v>
      </c>
      <c r="AH94" s="77">
        <f>SUM(AD94:AG94)</f>
        <v>0</v>
      </c>
      <c r="AI94" s="57">
        <f>IF(AI$14=1,'Inputs (2)'!AI72,AI138*Inputs!AI$272/4)</f>
        <v>0</v>
      </c>
      <c r="AJ94" s="57">
        <f>IF(AJ$14=1,'Inputs (2)'!AJ72,AJ138*Inputs!AJ$272/4)</f>
        <v>0</v>
      </c>
      <c r="AK94" s="57">
        <f>IF(AK$14=1,'Inputs (2)'!AK72,AK138*Inputs!AK$272/4)</f>
        <v>0</v>
      </c>
      <c r="AL94" s="57">
        <f>IF(AL$14=1,'Inputs (2)'!AL72,AL138*Inputs!AL$272/4)</f>
        <v>0</v>
      </c>
      <c r="AM94" s="77">
        <f>SUM(AI94:AL94)</f>
        <v>0</v>
      </c>
      <c r="AN94" s="57">
        <f>IF(AN$14=1,'Inputs (2)'!AN72,AN138*Inputs!AN$272/4)</f>
        <v>0</v>
      </c>
      <c r="AO94" s="57">
        <f>IF(AO$14=1,'Inputs (2)'!AO72,AO138*Inputs!AO$272/4)</f>
        <v>0</v>
      </c>
      <c r="AP94" s="57">
        <f>IF(AP$14=1,'Inputs (2)'!AP72,AP138*Inputs!AP$272/4)</f>
        <v>0</v>
      </c>
      <c r="AQ94" s="57">
        <f>IF(AQ$14=1,'Inputs (2)'!AQ72,AQ138*Inputs!AQ$272/4)</f>
        <v>0</v>
      </c>
      <c r="AR94" s="77">
        <f>SUM(AN94:AQ94)</f>
        <v>0</v>
      </c>
      <c r="AS94" s="57">
        <f>IF(AS$14=1,'Inputs (2)'!AS72,AS138*Inputs!AS$272/4)</f>
        <v>0</v>
      </c>
      <c r="AT94" s="57">
        <f>IF(AT$14=1,'Inputs (2)'!AT72,AT138*Inputs!AT$272/4)</f>
        <v>0</v>
      </c>
      <c r="AU94" s="57">
        <f>IF(AU$14=1,'Inputs (2)'!AU72,AU138*Inputs!AU$272/4)</f>
        <v>0</v>
      </c>
      <c r="AV94" s="57">
        <f>IF(AV$14=1,'Inputs (2)'!AV72,AV138*Inputs!AV$272/4)</f>
        <v>0</v>
      </c>
      <c r="AW94" s="77">
        <f>SUM(AS94:AV94)</f>
        <v>0</v>
      </c>
      <c r="AX94" s="57">
        <f>IF(AX$14=1,'Inputs (2)'!AX72,AX138*Inputs!AX$272/4)</f>
        <v>0</v>
      </c>
      <c r="AY94" s="57">
        <f>IF(AY$14=1,'Inputs (2)'!AY72,AY138*Inputs!AY$272/4)</f>
        <v>0</v>
      </c>
      <c r="AZ94" s="57">
        <f>IF(AZ$14=1,'Inputs (2)'!AZ72,AZ138*Inputs!AZ$272/4)</f>
        <v>0</v>
      </c>
      <c r="BA94" s="57">
        <f>IF(BA$14=1,'Inputs (2)'!BA72,BA138*Inputs!BA$272/4)</f>
        <v>0</v>
      </c>
      <c r="BB94" s="77">
        <f>SUM(AX94:BA94)</f>
        <v>0</v>
      </c>
      <c r="BC94" s="57">
        <f>IF(BC$14=1,'Inputs (2)'!BC72,BC138*Inputs!BC$272/4)</f>
        <v>0</v>
      </c>
      <c r="BD94" s="57">
        <f>IF(BD$14=1,'Inputs (2)'!BD72,BD138*Inputs!BD$272/4)</f>
        <v>0</v>
      </c>
      <c r="BE94" s="57">
        <f>IF(BE$14=1,'Inputs (2)'!BE72,BE138*Inputs!BE$272/4)</f>
        <v>0</v>
      </c>
      <c r="BF94" s="57">
        <f>IF(BF$14=1,'Inputs (2)'!BF72,BF138*Inputs!BF$272/4)</f>
        <v>0</v>
      </c>
      <c r="BG94" s="77">
        <f>SUM(BC94:BF94)</f>
        <v>0</v>
      </c>
    </row>
    <row r="95" hidden="1" outlineLevel="1">
      <c r="C95" s="61" t="inlineStr">
        <is>
          <t>Juros de títulos e ativos de trading</t>
        </is>
      </c>
      <c r="D95" s="62" t="inlineStr">
        <is>
          <t>Securities and trading assets</t>
        </is>
      </c>
      <c r="E95" s="57">
        <f>'Inputs (2)'!E73</f>
        <v>0</v>
      </c>
      <c r="F95" s="57">
        <f>IF(F$14=1,'Inputs (2)'!F73,AVERAGE(E24+E29,F24+F29)*Inputs!F$277/4)</f>
        <v>0</v>
      </c>
      <c r="G95" s="57">
        <f>IF(G$14=1,'Inputs (2)'!G73,AVERAGE(F24+F29,G24+G29)*Inputs!G$277/4)</f>
        <v>0</v>
      </c>
      <c r="H95" s="57">
        <f>IF(H$14=1,'Inputs (2)'!H73,AVERAGE(G24+G29,H24+H29)*Inputs!H$277/4)</f>
        <v>0</v>
      </c>
      <c r="I95" s="77">
        <f>SUM(E95:H95)</f>
        <v>0</v>
      </c>
      <c r="J95" s="57">
        <f>IF(J$14=1,'Inputs (2)'!J73,AVERAGE(H24+H29,J24+J29)*Inputs!J$277/4)</f>
        <v>0</v>
      </c>
      <c r="K95" s="57">
        <f>IF(K$14=1,'Inputs (2)'!K73,AVERAGE(J24+J29,K24+K29)*Inputs!K$277/4)</f>
        <v>0</v>
      </c>
      <c r="L95" s="57">
        <f>IF(L$14=1,'Inputs (2)'!L73,AVERAGE(K24+K29,L24+L29)*Inputs!L$277/4)</f>
        <v>0</v>
      </c>
      <c r="M95" s="57">
        <f>IF(M$14=1,'Inputs (2)'!M73,AVERAGE(L24+L29,M24+M29)*Inputs!M$277/4)</f>
        <v>0</v>
      </c>
      <c r="N95" s="77">
        <f>SUM(J95:M95)</f>
        <v>0</v>
      </c>
      <c r="O95" s="57">
        <f>IF(O$14=1,'Inputs (2)'!O73,AVERAGE(M24+M29,O24+O29)*Inputs!O$277/4)</f>
        <v>0</v>
      </c>
      <c r="P95" s="57">
        <f>IF(P$14=1,'Inputs (2)'!P73,AVERAGE(O24+O29,P24+P29)*Inputs!P$277/4)</f>
        <v>0</v>
      </c>
      <c r="Q95" s="57">
        <f>IF(Q$14=1,'Inputs (2)'!Q73,AVERAGE(P24+P29,Q24+Q29)*Inputs!Q$277/4)</f>
        <v>0</v>
      </c>
      <c r="R95" s="57">
        <f>IF(R$14=1,'Inputs (2)'!R73,AVERAGE(Q24+Q29,R24+R29)*Inputs!R$277/4)</f>
        <v>0</v>
      </c>
      <c r="S95" s="77">
        <f>SUM(O95:R95)</f>
        <v>0</v>
      </c>
      <c r="T95" s="57">
        <f>IF(T$14=1,'Inputs (2)'!T73,AVERAGE(R24+R29,T24+T29)*Inputs!T$277/4)</f>
        <v>0</v>
      </c>
      <c r="U95" s="57">
        <f>IF(U$14=1,'Inputs (2)'!U73,AVERAGE(T24+T29,U24+U29)*Inputs!U$277/4)</f>
        <v>0</v>
      </c>
      <c r="V95" s="57">
        <f>IF(V$14=1,'Inputs (2)'!V73,AVERAGE(U24+U29,V24+V29)*Inputs!V$277/4)</f>
        <v>0</v>
      </c>
      <c r="W95" s="57">
        <f>IF(W$14=1,'Inputs (2)'!W73,AVERAGE(V24+V29,W24+W29)*Inputs!W$277/4)</f>
        <v>0</v>
      </c>
      <c r="X95" s="77">
        <f>SUM(T95:W95)</f>
        <v>0</v>
      </c>
      <c r="Y95" s="57">
        <f>IF(Y$14=1,'Inputs (2)'!Y73,AVERAGE(W24+W29,Y24+Y29)*Inputs!Y$277/4)</f>
        <v>0</v>
      </c>
      <c r="Z95" s="57">
        <f>IF(Z$14=1,'Inputs (2)'!Z73,AVERAGE(Y24+Y29,Z24+Z29)*Inputs!Z$277/4)</f>
        <v>0</v>
      </c>
      <c r="AA95" s="57">
        <f>IF(AA$14=1,'Inputs (2)'!AA73,AVERAGE(Z24+Z29,AA24+AA29)*Inputs!AA$277/4)</f>
        <v>0</v>
      </c>
      <c r="AB95" s="57">
        <f>IF(AB$14=1,'Inputs (2)'!AB73,AVERAGE(AA24+AA29,AB24+AB29)*Inputs!AB$277/4)</f>
        <v>0</v>
      </c>
      <c r="AC95" s="77">
        <f>SUM(Y95:AB95)</f>
        <v>0</v>
      </c>
      <c r="AD95" s="57">
        <f>IF(AD$14=1,'Inputs (2)'!AD73,AVERAGE(AB24+AB29,AD24+AD29)*Inputs!AD$277/4)</f>
        <v>0</v>
      </c>
      <c r="AE95" s="57">
        <f>IF(AE$14=1,'Inputs (2)'!AE73,AVERAGE(AD24+AD29,AE24+AE29)*Inputs!AE$277/4)</f>
        <v>0</v>
      </c>
      <c r="AF95" s="57">
        <f>IF(AF$14=1,'Inputs (2)'!AF73,AVERAGE(AE24+AE29,AF24+AF29)*Inputs!AF$277/4)</f>
        <v>0</v>
      </c>
      <c r="AG95" s="57">
        <f>IF(AG$14=1,'Inputs (2)'!AG73,AVERAGE(AF24+AF29,AG24+AG29)*Inputs!AG$277/4)</f>
        <v>0</v>
      </c>
      <c r="AH95" s="77">
        <f>SUM(AD95:AG95)</f>
        <v>0</v>
      </c>
      <c r="AI95" s="57">
        <f>IF(AI$14=1,'Inputs (2)'!AI73,AVERAGE(AG24+AG29,AI24+AI29)*Inputs!AI$277/4)</f>
        <v>0</v>
      </c>
      <c r="AJ95" s="57">
        <f>IF(AJ$14=1,'Inputs (2)'!AJ73,AVERAGE(AI24+AI29,AJ24+AJ29)*Inputs!AJ$277/4)</f>
        <v>0</v>
      </c>
      <c r="AK95" s="57">
        <f>IF(AK$14=1,'Inputs (2)'!AK73,AVERAGE(AJ24+AJ29,AK24+AK29)*Inputs!AK$277/4)</f>
        <v>0</v>
      </c>
      <c r="AL95" s="57">
        <f>IF(AL$14=1,'Inputs (2)'!AL73,AVERAGE(AK24+AK29,AL24+AL29)*Inputs!AL$277/4)</f>
        <v>0</v>
      </c>
      <c r="AM95" s="77">
        <f>SUM(AI95:AL95)</f>
        <v>0</v>
      </c>
      <c r="AN95" s="57">
        <f>IF(AN$14=1,'Inputs (2)'!AN73,AVERAGE(AL24+AL29,AN24+AN29)*Inputs!AN$277/4)</f>
        <v>0</v>
      </c>
      <c r="AO95" s="57">
        <f>IF(AO$14=1,'Inputs (2)'!AO73,AVERAGE(AN24+AN29,AO24+AO29)*Inputs!AO$277/4)</f>
        <v>0</v>
      </c>
      <c r="AP95" s="57">
        <f>IF(AP$14=1,'Inputs (2)'!AP73,AVERAGE(AO24+AO29,AP24+AP29)*Inputs!AP$277/4)</f>
        <v>0</v>
      </c>
      <c r="AQ95" s="57">
        <f>IF(AQ$14=1,'Inputs (2)'!AQ73,AVERAGE(AP24+AP29,AQ24+AQ29)*Inputs!AQ$277/4)</f>
        <v>0</v>
      </c>
      <c r="AR95" s="77">
        <f>SUM(AN95:AQ95)</f>
        <v>0</v>
      </c>
      <c r="AS95" s="57">
        <f>IF(AS$14=1,'Inputs (2)'!AS73,AVERAGE(AQ24+AQ29,AS24+AS29)*Inputs!AS$277/4)</f>
        <v>0</v>
      </c>
      <c r="AT95" s="57">
        <f>IF(AT$14=1,'Inputs (2)'!AT73,AVERAGE(AS24+AS29,AT24+AT29)*Inputs!AT$277/4)</f>
        <v>0</v>
      </c>
      <c r="AU95" s="57">
        <f>IF(AU$14=1,'Inputs (2)'!AU73,AVERAGE(AT24+AT29,AU24+AU29)*Inputs!AU$277/4)</f>
        <v>0</v>
      </c>
      <c r="AV95" s="57">
        <f>IF(AV$14=1,'Inputs (2)'!AV73,AVERAGE(AU24+AU29,AV24+AV29)*Inputs!AV$277/4)</f>
        <v>0</v>
      </c>
      <c r="AW95" s="77">
        <f>SUM(AS95:AV95)</f>
        <v>0</v>
      </c>
      <c r="AX95" s="57">
        <f>IF(AX$14=1,'Inputs (2)'!AX73,AVERAGE(AV24+AV29,AX24+AX29)*Inputs!AX$277/4)</f>
        <v>0</v>
      </c>
      <c r="AY95" s="57">
        <f>IF(AY$14=1,'Inputs (2)'!AY73,AVERAGE(AX24+AX29,AY24+AY29)*Inputs!AY$277/4)</f>
        <v>0</v>
      </c>
      <c r="AZ95" s="57">
        <f>IF(AZ$14=1,'Inputs (2)'!AZ73,AVERAGE(AY24+AY29,AZ24+AZ29)*Inputs!AZ$277/4)</f>
        <v>0</v>
      </c>
      <c r="BA95" s="57">
        <f>IF(BA$14=1,'Inputs (2)'!BA73,AVERAGE(AZ24+AZ29,BA24+BA29)*Inputs!BA$277/4)</f>
        <v>0</v>
      </c>
      <c r="BB95" s="77">
        <f>SUM(AX95:BA95)</f>
        <v>0</v>
      </c>
      <c r="BC95" s="57">
        <f>IF(BC$14=1,'Inputs (2)'!BC73,AVERAGE(BA24+BA29,BC24+BC29)*Inputs!BC$277/4)</f>
        <v>0</v>
      </c>
      <c r="BD95" s="57">
        <f>IF(BD$14=1,'Inputs (2)'!BD73,AVERAGE(BC24+BC29,BD24+BD29)*Inputs!BD$277/4)</f>
        <v>0</v>
      </c>
      <c r="BE95" s="57">
        <f>IF(BE$14=1,'Inputs (2)'!BE73,AVERAGE(BD24+BD29,BE24+BE29)*Inputs!BE$277/4)</f>
        <v>0</v>
      </c>
      <c r="BF95" s="57">
        <f>IF(BF$14=1,'Inputs (2)'!BF73,AVERAGE(BE24+BE29,BF24+BF29)*Inputs!BF$277/4)</f>
        <v>0</v>
      </c>
      <c r="BG95" s="77">
        <f>SUM(BC95:BF95)</f>
        <v>0</v>
      </c>
    </row>
    <row r="96" hidden="1" outlineLevel="1">
      <c r="C96" s="61" t="inlineStr">
        <is>
          <t>Juros de compromissadas reversas e securities borrowed</t>
        </is>
      </c>
      <c r="D96" s="62" t="inlineStr">
        <is>
          <t>Resale agreements and securities borrowed</t>
        </is>
      </c>
      <c r="E96" s="57">
        <f>'Inputs (2)'!E74</f>
        <v>0</v>
      </c>
      <c r="F96" s="57">
        <f>IF(F$14=1,'Inputs (2)'!F74,E96)</f>
        <v>0</v>
      </c>
      <c r="G96" s="57">
        <f>IF(G$14=1,'Inputs (2)'!G74,F96)</f>
        <v>0</v>
      </c>
      <c r="H96" s="57">
        <f>IF(H$14=1,'Inputs (2)'!H74,G96)</f>
        <v>0</v>
      </c>
      <c r="I96" s="77">
        <f>SUM(E96:H96)</f>
        <v>0</v>
      </c>
      <c r="J96" s="57">
        <f>IF(J$14=1,'Inputs (2)'!J74,H96)</f>
        <v>0</v>
      </c>
      <c r="K96" s="57">
        <f>IF(K$14=1,'Inputs (2)'!K74,J96)</f>
        <v>0</v>
      </c>
      <c r="L96" s="57">
        <f>IF(L$14=1,'Inputs (2)'!L74,K96)</f>
        <v>0</v>
      </c>
      <c r="M96" s="57">
        <f>IF(M$14=1,'Inputs (2)'!M74,L96)</f>
        <v>0</v>
      </c>
      <c r="N96" s="77">
        <f>SUM(J96:M96)</f>
        <v>0</v>
      </c>
      <c r="O96" s="57">
        <f>IF(O$14=1,'Inputs (2)'!O74,M96)</f>
        <v>0</v>
      </c>
      <c r="P96" s="57">
        <f>IF(P$14=1,'Inputs (2)'!P74,O96)</f>
        <v>0</v>
      </c>
      <c r="Q96" s="57">
        <f>IF(Q$14=1,'Inputs (2)'!Q74,P96)</f>
        <v>0</v>
      </c>
      <c r="R96" s="57">
        <f>IF(R$14=1,'Inputs (2)'!R74,Q96)</f>
        <v>0</v>
      </c>
      <c r="S96" s="77">
        <f>SUM(O96:R96)</f>
        <v>0</v>
      </c>
      <c r="T96" s="57">
        <f>IF(T$14=1,'Inputs (2)'!T74,R96)</f>
        <v>0</v>
      </c>
      <c r="U96" s="57">
        <f>IF(U$14=1,'Inputs (2)'!U74,T96)</f>
        <v>0</v>
      </c>
      <c r="V96" s="57">
        <f>IF(V$14=1,'Inputs (2)'!V74,U96)</f>
        <v>0</v>
      </c>
      <c r="W96" s="57">
        <f>IF(W$14=1,'Inputs (2)'!W74,V96)</f>
        <v>0</v>
      </c>
      <c r="X96" s="77">
        <f>SUM(T96:W96)</f>
        <v>0</v>
      </c>
      <c r="Y96" s="57">
        <f>IF(Y$14=1,'Inputs (2)'!Y74,W96)</f>
        <v>0</v>
      </c>
      <c r="Z96" s="57">
        <f>IF(Z$14=1,'Inputs (2)'!Z74,Y96)</f>
        <v>0</v>
      </c>
      <c r="AA96" s="57">
        <f>IF(AA$14=1,'Inputs (2)'!AA74,Z96)</f>
        <v>0</v>
      </c>
      <c r="AB96" s="57">
        <f>IF(AB$14=1,'Inputs (2)'!AB74,AA96)</f>
        <v>0</v>
      </c>
      <c r="AC96" s="77">
        <f>SUM(Y96:AB96)</f>
        <v>0</v>
      </c>
      <c r="AD96" s="57">
        <f>IF(AD$14=1,'Inputs (2)'!AD74,AB96)</f>
        <v>0</v>
      </c>
      <c r="AE96" s="57">
        <f>IF(AE$14=1,'Inputs (2)'!AE74,AD96)</f>
        <v>0</v>
      </c>
      <c r="AF96" s="57">
        <f>IF(AF$14=1,'Inputs (2)'!AF74,AE96)</f>
        <v>0</v>
      </c>
      <c r="AG96" s="57">
        <f>IF(AG$14=1,'Inputs (2)'!AG74,AF96)</f>
        <v>0</v>
      </c>
      <c r="AH96" s="77">
        <f>SUM(AD96:AG96)</f>
        <v>0</v>
      </c>
      <c r="AI96" s="57">
        <f>IF(AI$14=1,'Inputs (2)'!AI74,AG96)</f>
        <v>0</v>
      </c>
      <c r="AJ96" s="57">
        <f>IF(AJ$14=1,'Inputs (2)'!AJ74,AI96)</f>
        <v>0</v>
      </c>
      <c r="AK96" s="57">
        <f>IF(AK$14=1,'Inputs (2)'!AK74,AJ96)</f>
        <v>0</v>
      </c>
      <c r="AL96" s="57">
        <f>IF(AL$14=1,'Inputs (2)'!AL74,AK96)</f>
        <v>0</v>
      </c>
      <c r="AM96" s="77">
        <f>SUM(AI96:AL96)</f>
        <v>0</v>
      </c>
      <c r="AN96" s="57">
        <f>IF(AN$14=1,'Inputs (2)'!AN74,AL96)</f>
        <v>0</v>
      </c>
      <c r="AO96" s="57">
        <f>IF(AO$14=1,'Inputs (2)'!AO74,AN96)</f>
        <v>0</v>
      </c>
      <c r="AP96" s="57">
        <f>IF(AP$14=1,'Inputs (2)'!AP74,AO96)</f>
        <v>0</v>
      </c>
      <c r="AQ96" s="57">
        <f>IF(AQ$14=1,'Inputs (2)'!AQ74,AP96)</f>
        <v>0</v>
      </c>
      <c r="AR96" s="77">
        <f>SUM(AN96:AQ96)</f>
        <v>0</v>
      </c>
      <c r="AS96" s="57">
        <f>IF(AS$14=1,'Inputs (2)'!AS74,AQ96)</f>
        <v>0</v>
      </c>
      <c r="AT96" s="57">
        <f>IF(AT$14=1,'Inputs (2)'!AT74,AS96)</f>
        <v>0</v>
      </c>
      <c r="AU96" s="57">
        <f>IF(AU$14=1,'Inputs (2)'!AU74,AT96)</f>
        <v>0</v>
      </c>
      <c r="AV96" s="57">
        <f>IF(AV$14=1,'Inputs (2)'!AV74,AU96)</f>
        <v>0</v>
      </c>
      <c r="AW96" s="77">
        <f>SUM(AS96:AV96)</f>
        <v>0</v>
      </c>
      <c r="AX96" s="57">
        <f>IF(AX$14=1,'Inputs (2)'!AX74,AV96)</f>
        <v>0</v>
      </c>
      <c r="AY96" s="57">
        <f>IF(AY$14=1,'Inputs (2)'!AY74,AX96)</f>
        <v>0</v>
      </c>
      <c r="AZ96" s="57">
        <f>IF(AZ$14=1,'Inputs (2)'!AZ74,AY96)</f>
        <v>0</v>
      </c>
      <c r="BA96" s="57">
        <f>IF(BA$14=1,'Inputs (2)'!BA74,AZ96)</f>
        <v>0</v>
      </c>
      <c r="BB96" s="77">
        <f>SUM(AX96:BA96)</f>
        <v>0</v>
      </c>
      <c r="BC96" s="57">
        <f>IF(BC$14=1,'Inputs (2)'!BC74,BA96)</f>
        <v>0</v>
      </c>
      <c r="BD96" s="57">
        <f>IF(BD$14=1,'Inputs (2)'!BD74,BC96)</f>
        <v>0</v>
      </c>
      <c r="BE96" s="57">
        <f>IF(BE$14=1,'Inputs (2)'!BE74,BD96)</f>
        <v>0</v>
      </c>
      <c r="BF96" s="57">
        <f>IF(BF$14=1,'Inputs (2)'!BF74,BE96)</f>
        <v>0</v>
      </c>
      <c r="BG96" s="77">
        <f>SUM(BC96:BF96)</f>
        <v>0</v>
      </c>
    </row>
    <row r="97" hidden="1" outlineLevel="1">
      <c r="C97" s="61" t="inlineStr">
        <is>
          <t>Juros de depósitos em bancos e outros</t>
        </is>
      </c>
      <c r="D97" s="62" t="inlineStr">
        <is>
          <t>Deposits with banks and other</t>
        </is>
      </c>
      <c r="E97" s="57">
        <f>'Inputs (2)'!E75</f>
        <v>0</v>
      </c>
      <c r="F97" s="57">
        <f>IF(F$14=1,'Inputs (2)'!F75,AVERAGE(E19,F19)*Inputs!F$263)</f>
        <v>0</v>
      </c>
      <c r="G97" s="57">
        <f>IF(G$14=1,'Inputs (2)'!G75,AVERAGE(F19,G19)*Inputs!G$263)</f>
        <v>0</v>
      </c>
      <c r="H97" s="57">
        <f>IF(H$14=1,'Inputs (2)'!H75,AVERAGE(G19,H19)*Inputs!H$263)</f>
        <v>0</v>
      </c>
      <c r="I97" s="77">
        <f>SUM(E97:H97)</f>
        <v>0</v>
      </c>
      <c r="J97" s="57">
        <f>IF(J$14=1,'Inputs (2)'!J75,AVERAGE(H19,J19)*Inputs!J$263)</f>
        <v>0</v>
      </c>
      <c r="K97" s="57">
        <f>IF(K$14=1,'Inputs (2)'!K75,AVERAGE(J19,K19)*Inputs!K$263)</f>
        <v>0</v>
      </c>
      <c r="L97" s="57">
        <f>IF(L$14=1,'Inputs (2)'!L75,AVERAGE(K19,L19)*Inputs!L$263)</f>
        <v>0</v>
      </c>
      <c r="M97" s="57">
        <f>IF(M$14=1,'Inputs (2)'!M75,AVERAGE(L19,M19)*Inputs!M$263)</f>
        <v>0</v>
      </c>
      <c r="N97" s="77">
        <f>SUM(J97:M97)</f>
        <v>0</v>
      </c>
      <c r="O97" s="57">
        <f>IF(O$14=1,'Inputs (2)'!O75,AVERAGE(M19,O19)*Inputs!O$263)</f>
        <v>0</v>
      </c>
      <c r="P97" s="57">
        <f>IF(P$14=1,'Inputs (2)'!P75,AVERAGE(O19,P19)*Inputs!P$263)</f>
        <v>0</v>
      </c>
      <c r="Q97" s="57">
        <f>IF(Q$14=1,'Inputs (2)'!Q75,AVERAGE(P19,Q19)*Inputs!Q$263)</f>
        <v>0</v>
      </c>
      <c r="R97" s="57">
        <f>IF(R$14=1,'Inputs (2)'!R75,AVERAGE(Q19,R19)*Inputs!R$263)</f>
        <v>0</v>
      </c>
      <c r="S97" s="77">
        <f>SUM(O97:R97)</f>
        <v>0</v>
      </c>
      <c r="T97" s="57">
        <f>IF(T$14=1,'Inputs (2)'!T75,AVERAGE(R19,T19)*Inputs!T$263)</f>
        <v>0</v>
      </c>
      <c r="U97" s="57">
        <f>IF(U$14=1,'Inputs (2)'!U75,AVERAGE(T19,U19)*Inputs!U$263)</f>
        <v>0</v>
      </c>
      <c r="V97" s="57">
        <f>IF(V$14=1,'Inputs (2)'!V75,AVERAGE(U19,V19)*Inputs!V$263)</f>
        <v>0</v>
      </c>
      <c r="W97" s="57">
        <f>IF(W$14=1,'Inputs (2)'!W75,AVERAGE(V19,W19)*Inputs!W$263)</f>
        <v>0</v>
      </c>
      <c r="X97" s="77">
        <f>SUM(T97:W97)</f>
        <v>0</v>
      </c>
      <c r="Y97" s="57">
        <f>IF(Y$14=1,'Inputs (2)'!Y75,AVERAGE(W19,Y19)*Inputs!Y$263)</f>
        <v>0</v>
      </c>
      <c r="Z97" s="57">
        <f>IF(Z$14=1,'Inputs (2)'!Z75,AVERAGE(Y19,Z19)*Inputs!Z$263)</f>
        <v>0</v>
      </c>
      <c r="AA97" s="57">
        <f>IF(AA$14=1,'Inputs (2)'!AA75,AVERAGE(Z19,AA19)*Inputs!AA$263)</f>
        <v>0</v>
      </c>
      <c r="AB97" s="57">
        <f>IF(AB$14=1,'Inputs (2)'!AB75,AVERAGE(AA19,AB19)*Inputs!AB$263)</f>
        <v>0</v>
      </c>
      <c r="AC97" s="77">
        <f>SUM(Y97:AB97)</f>
        <v>0</v>
      </c>
      <c r="AD97" s="57">
        <f>IF(AD$14=1,'Inputs (2)'!AD75,AVERAGE(AB19,AD19)*Inputs!AD$263)</f>
        <v>0</v>
      </c>
      <c r="AE97" s="57">
        <f>IF(AE$14=1,'Inputs (2)'!AE75,AVERAGE(AD19,AE19)*Inputs!AE$263)</f>
        <v>0</v>
      </c>
      <c r="AF97" s="57">
        <f>IF(AF$14=1,'Inputs (2)'!AF75,AVERAGE(AE19,AF19)*Inputs!AF$263)</f>
        <v>0</v>
      </c>
      <c r="AG97" s="57">
        <f>IF(AG$14=1,'Inputs (2)'!AG75,AVERAGE(AF19,AG19)*Inputs!AG$263)</f>
        <v>0</v>
      </c>
      <c r="AH97" s="77">
        <f>SUM(AD97:AG97)</f>
        <v>0</v>
      </c>
      <c r="AI97" s="57">
        <f>IF(AI$14=1,'Inputs (2)'!AI75,AVERAGE(AG19,AI19)*Inputs!AI$263)</f>
        <v>0</v>
      </c>
      <c r="AJ97" s="57">
        <f>IF(AJ$14=1,'Inputs (2)'!AJ75,AVERAGE(AI19,AJ19)*Inputs!AJ$263)</f>
        <v>0</v>
      </c>
      <c r="AK97" s="57">
        <f>IF(AK$14=1,'Inputs (2)'!AK75,AVERAGE(AJ19,AK19)*Inputs!AK$263)</f>
        <v>0</v>
      </c>
      <c r="AL97" s="57">
        <f>IF(AL$14=1,'Inputs (2)'!AL75,AVERAGE(AK19,AL19)*Inputs!AL$263)</f>
        <v>0</v>
      </c>
      <c r="AM97" s="77">
        <f>SUM(AI97:AL97)</f>
        <v>0</v>
      </c>
      <c r="AN97" s="57">
        <f>IF(AN$14=1,'Inputs (2)'!AN75,AVERAGE(AL19,AN19)*Inputs!AN$263)</f>
        <v>0</v>
      </c>
      <c r="AO97" s="57">
        <f>IF(AO$14=1,'Inputs (2)'!AO75,AVERAGE(AN19,AO19)*Inputs!AO$263)</f>
        <v>0</v>
      </c>
      <c r="AP97" s="57">
        <f>IF(AP$14=1,'Inputs (2)'!AP75,AVERAGE(AO19,AP19)*Inputs!AP$263)</f>
        <v>0</v>
      </c>
      <c r="AQ97" s="57">
        <f>IF(AQ$14=1,'Inputs (2)'!AQ75,AVERAGE(AP19,AQ19)*Inputs!AQ$263)</f>
        <v>0</v>
      </c>
      <c r="AR97" s="77">
        <f>SUM(AN97:AQ97)</f>
        <v>0</v>
      </c>
      <c r="AS97" s="57">
        <f>IF(AS$14=1,'Inputs (2)'!AS75,AVERAGE(AQ19,AS19)*Inputs!AS$263)</f>
        <v>0</v>
      </c>
      <c r="AT97" s="57">
        <f>IF(AT$14=1,'Inputs (2)'!AT75,AVERAGE(AS19,AT19)*Inputs!AT$263)</f>
        <v>0</v>
      </c>
      <c r="AU97" s="57">
        <f>IF(AU$14=1,'Inputs (2)'!AU75,AVERAGE(AT19,AU19)*Inputs!AU$263)</f>
        <v>0</v>
      </c>
      <c r="AV97" s="57">
        <f>IF(AV$14=1,'Inputs (2)'!AV75,AVERAGE(AU19,AV19)*Inputs!AV$263)</f>
        <v>0</v>
      </c>
      <c r="AW97" s="77">
        <f>SUM(AS97:AV97)</f>
        <v>0</v>
      </c>
      <c r="AX97" s="57">
        <f>IF(AX$14=1,'Inputs (2)'!AX75,AVERAGE(AV19,AX19)*Inputs!AX$263)</f>
        <v>0</v>
      </c>
      <c r="AY97" s="57">
        <f>IF(AY$14=1,'Inputs (2)'!AY75,AVERAGE(AX19,AY19)*Inputs!AY$263)</f>
        <v>0</v>
      </c>
      <c r="AZ97" s="57">
        <f>IF(AZ$14=1,'Inputs (2)'!AZ75,AVERAGE(AY19,AZ19)*Inputs!AZ$263)</f>
        <v>0</v>
      </c>
      <c r="BA97" s="57">
        <f>IF(BA$14=1,'Inputs (2)'!BA75,AVERAGE(AZ19,BA19)*Inputs!BA$263)</f>
        <v>0</v>
      </c>
      <c r="BB97" s="77">
        <f>SUM(AX97:BA97)</f>
        <v>0</v>
      </c>
      <c r="BC97" s="57">
        <f>IF(BC$14=1,'Inputs (2)'!BC75,AVERAGE(BA19,BC19)*Inputs!BC$263)</f>
        <v>0</v>
      </c>
      <c r="BD97" s="57">
        <f>IF(BD$14=1,'Inputs (2)'!BD75,AVERAGE(BC19,BD19)*Inputs!BD$263)</f>
        <v>0</v>
      </c>
      <c r="BE97" s="57">
        <f>IF(BE$14=1,'Inputs (2)'!BE75,AVERAGE(BD19,BE19)*Inputs!BE$263)</f>
        <v>0</v>
      </c>
      <c r="BF97" s="57">
        <f>IF(BF$14=1,'Inputs (2)'!BF75,AVERAGE(BE19,BF19)*Inputs!BF$263)</f>
        <v>0</v>
      </c>
      <c r="BG97" s="77">
        <f>SUM(BC97:BF97)</f>
        <v>0</v>
      </c>
    </row>
    <row r="98" collapsed="1">
      <c r="C98" s="83" t="inlineStr">
        <is>
          <t>(Despesa de juros)</t>
        </is>
      </c>
      <c r="D98" s="84" t="inlineStr">
        <is>
          <t>(Interest expense)</t>
        </is>
      </c>
      <c r="E98" s="85">
        <f>E99+E100+E101+E102</f>
        <v>0</v>
      </c>
      <c r="F98" s="85">
        <f>F99+F100+F101+F102</f>
        <v>0</v>
      </c>
      <c r="G98" s="85">
        <f>G99+G100+G101+G102</f>
        <v>0</v>
      </c>
      <c r="H98" s="85">
        <f>H99+H100+H101+H102</f>
        <v>0</v>
      </c>
      <c r="I98" s="60">
        <f>SUM(E98:H98)</f>
        <v>0</v>
      </c>
      <c r="J98" s="85">
        <f>J99+J100+J101+J102</f>
        <v>0</v>
      </c>
      <c r="K98" s="85">
        <f>K99+K100+K101+K102</f>
        <v>0</v>
      </c>
      <c r="L98" s="85">
        <f>L99+L100+L101+L102</f>
        <v>0</v>
      </c>
      <c r="M98" s="85">
        <f>M99+M100+M101+M102</f>
        <v>0</v>
      </c>
      <c r="N98" s="60">
        <f>SUM(J98:M98)</f>
        <v>0</v>
      </c>
      <c r="O98" s="85">
        <f>O99+O100+O101+O102</f>
        <v>0</v>
      </c>
      <c r="P98" s="85">
        <f>P99+P100+P101+P102</f>
        <v>0</v>
      </c>
      <c r="Q98" s="85">
        <f>Q99+Q100+Q101+Q102</f>
        <v>0</v>
      </c>
      <c r="R98" s="85">
        <f>R99+R100+R101+R102</f>
        <v>0</v>
      </c>
      <c r="S98" s="60">
        <f>SUM(O98:R98)</f>
        <v>0</v>
      </c>
      <c r="T98" s="85">
        <f>T99+T100+T101+T102</f>
        <v>0</v>
      </c>
      <c r="U98" s="85">
        <f>U99+U100+U101+U102</f>
        <v>0</v>
      </c>
      <c r="V98" s="85">
        <f>V99+V100+V101+V102</f>
        <v>0</v>
      </c>
      <c r="W98" s="85">
        <f>W99+W100+W101+W102</f>
        <v>0</v>
      </c>
      <c r="X98" s="60">
        <f>SUM(T98:W98)</f>
        <v>0</v>
      </c>
      <c r="Y98" s="85">
        <f>Y99+Y100+Y101+Y102</f>
        <v>0</v>
      </c>
      <c r="Z98" s="85">
        <f>Z99+Z100+Z101+Z102</f>
        <v>0</v>
      </c>
      <c r="AA98" s="85">
        <f>AA99+AA100+AA101+AA102</f>
        <v>0</v>
      </c>
      <c r="AB98" s="85">
        <f>AB99+AB100+AB101+AB102</f>
        <v>0</v>
      </c>
      <c r="AC98" s="60">
        <f>SUM(Y98:AB98)</f>
        <v>0</v>
      </c>
      <c r="AD98" s="85">
        <f>AD99+AD100+AD101+AD102</f>
        <v>0</v>
      </c>
      <c r="AE98" s="85">
        <f>AE99+AE100+AE101+AE102</f>
        <v>0</v>
      </c>
      <c r="AF98" s="85">
        <f>AF99+AF100+AF101+AF102</f>
        <v>0</v>
      </c>
      <c r="AG98" s="85">
        <f>AG99+AG100+AG101+AG102</f>
        <v>0</v>
      </c>
      <c r="AH98" s="60">
        <f>SUM(AD98:AG98)</f>
        <v>0</v>
      </c>
      <c r="AI98" s="85">
        <f>AI99+AI100+AI101+AI102</f>
        <v>0</v>
      </c>
      <c r="AJ98" s="85">
        <f>AJ99+AJ100+AJ101+AJ102</f>
        <v>0</v>
      </c>
      <c r="AK98" s="85">
        <f>AK99+AK100+AK101+AK102</f>
        <v>0</v>
      </c>
      <c r="AL98" s="85">
        <f>AL99+AL100+AL101+AL102</f>
        <v>0</v>
      </c>
      <c r="AM98" s="60">
        <f>SUM(AI98:AL98)</f>
        <v>0</v>
      </c>
      <c r="AN98" s="85">
        <f>AN99+AN100+AN101+AN102</f>
        <v>0</v>
      </c>
      <c r="AO98" s="85">
        <f>AO99+AO100+AO101+AO102</f>
        <v>0</v>
      </c>
      <c r="AP98" s="85">
        <f>AP99+AP100+AP101+AP102</f>
        <v>0</v>
      </c>
      <c r="AQ98" s="85">
        <f>AQ99+AQ100+AQ101+AQ102</f>
        <v>0</v>
      </c>
      <c r="AR98" s="60">
        <f>SUM(AN98:AQ98)</f>
        <v>0</v>
      </c>
      <c r="AS98" s="85">
        <f>AS99+AS100+AS101+AS102</f>
        <v>0</v>
      </c>
      <c r="AT98" s="85">
        <f>AT99+AT100+AT101+AT102</f>
        <v>0</v>
      </c>
      <c r="AU98" s="85">
        <f>AU99+AU100+AU101+AU102</f>
        <v>0</v>
      </c>
      <c r="AV98" s="85">
        <f>AV99+AV100+AV101+AV102</f>
        <v>0</v>
      </c>
      <c r="AW98" s="60">
        <f>SUM(AS98:AV98)</f>
        <v>0</v>
      </c>
      <c r="AX98" s="85">
        <f>AX99+AX100+AX101+AX102</f>
        <v>0</v>
      </c>
      <c r="AY98" s="85">
        <f>AY99+AY100+AY101+AY102</f>
        <v>0</v>
      </c>
      <c r="AZ98" s="85">
        <f>AZ99+AZ100+AZ101+AZ102</f>
        <v>0</v>
      </c>
      <c r="BA98" s="85">
        <f>BA99+BA100+BA101+BA102</f>
        <v>0</v>
      </c>
      <c r="BB98" s="60">
        <f>SUM(AX98:BA98)</f>
        <v>0</v>
      </c>
      <c r="BC98" s="85">
        <f>BC99+BC100+BC101+BC102</f>
        <v>0</v>
      </c>
      <c r="BD98" s="85">
        <f>BD99+BD100+BD101+BD102</f>
        <v>0</v>
      </c>
      <c r="BE98" s="85">
        <f>BE99+BE100+BE101+BE102</f>
        <v>0</v>
      </c>
      <c r="BF98" s="85">
        <f>BF99+BF100+BF101+BF102</f>
        <v>0</v>
      </c>
      <c r="BG98" s="60">
        <f>SUM(BC98:BF98)</f>
        <v>0</v>
      </c>
    </row>
    <row r="99" hidden="1" outlineLevel="1">
      <c r="C99" s="61" t="inlineStr">
        <is>
          <t>(Depósitos)</t>
        </is>
      </c>
      <c r="D99" s="62" t="inlineStr">
        <is>
          <t>(Deposits)</t>
        </is>
      </c>
      <c r="E99" s="57">
        <f>'Inputs (2)'!E77</f>
        <v>0</v>
      </c>
      <c r="F99" s="57">
        <f>IF(F$14=1,'Inputs (2)'!F77,-(AVERAGE(E44,F44)+E50)*Inputs!F$281/4)</f>
        <v>0</v>
      </c>
      <c r="G99" s="57">
        <f>IF(G$14=1,'Inputs (2)'!G77,-(AVERAGE(F44,G44)+F50)*Inputs!G$281/4)</f>
        <v>0</v>
      </c>
      <c r="H99" s="57">
        <f>IF(H$14=1,'Inputs (2)'!H77,-(AVERAGE(G44,H44)+G50)*Inputs!H$281/4)</f>
        <v>0</v>
      </c>
      <c r="I99" s="77">
        <f>SUM(E99:H99)</f>
        <v>0</v>
      </c>
      <c r="J99" s="57">
        <f>IF(J$14=1,'Inputs (2)'!J77,-(AVERAGE(H44,J44)+H50)*Inputs!J$281/4)</f>
        <v>0</v>
      </c>
      <c r="K99" s="57">
        <f>IF(K$14=1,'Inputs (2)'!K77,-(AVERAGE(J44,K44)+J50)*Inputs!K$281/4)</f>
        <v>0</v>
      </c>
      <c r="L99" s="57">
        <f>IF(L$14=1,'Inputs (2)'!L77,-(AVERAGE(K44,L44)+K50)*Inputs!L$281/4)</f>
        <v>0</v>
      </c>
      <c r="M99" s="57">
        <f>IF(M$14=1,'Inputs (2)'!M77,-(AVERAGE(L44,M44)+L50)*Inputs!M$281/4)</f>
        <v>0</v>
      </c>
      <c r="N99" s="77">
        <f>SUM(J99:M99)</f>
        <v>0</v>
      </c>
      <c r="O99" s="57">
        <f>IF(O$14=1,'Inputs (2)'!O77,-(AVERAGE(M44,O44)+M50)*Inputs!O$281/4)</f>
        <v>0</v>
      </c>
      <c r="P99" s="57">
        <f>IF(P$14=1,'Inputs (2)'!P77,-(AVERAGE(O44,P44)+O50)*Inputs!P$281/4)</f>
        <v>0</v>
      </c>
      <c r="Q99" s="57">
        <f>IF(Q$14=1,'Inputs (2)'!Q77,-(AVERAGE(P44,Q44)+P50)*Inputs!Q$281/4)</f>
        <v>0</v>
      </c>
      <c r="R99" s="57">
        <f>IF(R$14=1,'Inputs (2)'!R77,-(AVERAGE(Q44,R44)+Q50)*Inputs!R$281/4)</f>
        <v>0</v>
      </c>
      <c r="S99" s="77">
        <f>SUM(O99:R99)</f>
        <v>0</v>
      </c>
      <c r="T99" s="57">
        <f>IF(T$14=1,'Inputs (2)'!T77,-(AVERAGE(R44,T44)+R50)*Inputs!T$281/4)</f>
        <v>0</v>
      </c>
      <c r="U99" s="57">
        <f>IF(U$14=1,'Inputs (2)'!U77,-(AVERAGE(T44,U44)+T50)*Inputs!U$281/4)</f>
        <v>0</v>
      </c>
      <c r="V99" s="57">
        <f>IF(V$14=1,'Inputs (2)'!V77,-(AVERAGE(U44,V44)+U50)*Inputs!V$281/4)</f>
        <v>0</v>
      </c>
      <c r="W99" s="57">
        <f>IF(W$14=1,'Inputs (2)'!W77,-(AVERAGE(V44,W44)+V50)*Inputs!W$281/4)</f>
        <v>0</v>
      </c>
      <c r="X99" s="77">
        <f>SUM(T99:W99)</f>
        <v>0</v>
      </c>
      <c r="Y99" s="57">
        <f>IF(Y$14=1,'Inputs (2)'!Y77,-(AVERAGE(W44,Y44)+W50)*Inputs!Y$281/4)</f>
        <v>0</v>
      </c>
      <c r="Z99" s="57">
        <f>IF(Z$14=1,'Inputs (2)'!Z77,-(AVERAGE(Y44,Z44)+Y50)*Inputs!Z$281/4)</f>
        <v>0</v>
      </c>
      <c r="AA99" s="57">
        <f>IF(AA$14=1,'Inputs (2)'!AA77,-(AVERAGE(Z44,AA44)+Z50)*Inputs!AA$281/4)</f>
        <v>0</v>
      </c>
      <c r="AB99" s="57">
        <f>IF(AB$14=1,'Inputs (2)'!AB77,-(AVERAGE(AA44,AB44)+AA50)*Inputs!AB$281/4)</f>
        <v>0</v>
      </c>
      <c r="AC99" s="77">
        <f>SUM(Y99:AB99)</f>
        <v>0</v>
      </c>
      <c r="AD99" s="57">
        <f>IF(AD$14=1,'Inputs (2)'!AD77,-(AVERAGE(AB44,AD44)+AB50)*Inputs!AD$281/4)</f>
        <v>0</v>
      </c>
      <c r="AE99" s="57">
        <f>IF(AE$14=1,'Inputs (2)'!AE77,-(AVERAGE(AD44,AE44)+AD50)*Inputs!AE$281/4)</f>
        <v>0</v>
      </c>
      <c r="AF99" s="57">
        <f>IF(AF$14=1,'Inputs (2)'!AF77,-(AVERAGE(AE44,AF44)+AE50)*Inputs!AF$281/4)</f>
        <v>0</v>
      </c>
      <c r="AG99" s="57">
        <f>IF(AG$14=1,'Inputs (2)'!AG77,-(AVERAGE(AF44,AG44)+AF50)*Inputs!AG$281/4)</f>
        <v>0</v>
      </c>
      <c r="AH99" s="77">
        <f>SUM(AD99:AG99)</f>
        <v>0</v>
      </c>
      <c r="AI99" s="57">
        <f>IF(AI$14=1,'Inputs (2)'!AI77,-(AVERAGE(AG44,AI44)+AG50)*Inputs!AI$281/4)</f>
        <v>0</v>
      </c>
      <c r="AJ99" s="57">
        <f>IF(AJ$14=1,'Inputs (2)'!AJ77,-(AVERAGE(AI44,AJ44)+AI50)*Inputs!AJ$281/4)</f>
        <v>0</v>
      </c>
      <c r="AK99" s="57">
        <f>IF(AK$14=1,'Inputs (2)'!AK77,-(AVERAGE(AJ44,AK44)+AJ50)*Inputs!AK$281/4)</f>
        <v>0</v>
      </c>
      <c r="AL99" s="57">
        <f>IF(AL$14=1,'Inputs (2)'!AL77,-(AVERAGE(AK44,AL44)+AK50)*Inputs!AL$281/4)</f>
        <v>0</v>
      </c>
      <c r="AM99" s="77">
        <f>SUM(AI99:AL99)</f>
        <v>0</v>
      </c>
      <c r="AN99" s="57">
        <f>IF(AN$14=1,'Inputs (2)'!AN77,-(AVERAGE(AL44,AN44)+AL50)*Inputs!AN$281/4)</f>
        <v>0</v>
      </c>
      <c r="AO99" s="57">
        <f>IF(AO$14=1,'Inputs (2)'!AO77,-(AVERAGE(AN44,AO44)+AN50)*Inputs!AO$281/4)</f>
        <v>0</v>
      </c>
      <c r="AP99" s="57">
        <f>IF(AP$14=1,'Inputs (2)'!AP77,-(AVERAGE(AO44,AP44)+AO50)*Inputs!AP$281/4)</f>
        <v>0</v>
      </c>
      <c r="AQ99" s="57">
        <f>IF(AQ$14=1,'Inputs (2)'!AQ77,-(AVERAGE(AP44,AQ44)+AP50)*Inputs!AQ$281/4)</f>
        <v>0</v>
      </c>
      <c r="AR99" s="77">
        <f>SUM(AN99:AQ99)</f>
        <v>0</v>
      </c>
      <c r="AS99" s="57">
        <f>IF(AS$14=1,'Inputs (2)'!AS77,-(AVERAGE(AQ44,AS44)+AQ50)*Inputs!AS$281/4)</f>
        <v>0</v>
      </c>
      <c r="AT99" s="57">
        <f>IF(AT$14=1,'Inputs (2)'!AT77,-(AVERAGE(AS44,AT44)+AS50)*Inputs!AT$281/4)</f>
        <v>0</v>
      </c>
      <c r="AU99" s="57">
        <f>IF(AU$14=1,'Inputs (2)'!AU77,-(AVERAGE(AT44,AU44)+AT50)*Inputs!AU$281/4)</f>
        <v>0</v>
      </c>
      <c r="AV99" s="57">
        <f>IF(AV$14=1,'Inputs (2)'!AV77,-(AVERAGE(AU44,AV44)+AU50)*Inputs!AV$281/4)</f>
        <v>0</v>
      </c>
      <c r="AW99" s="77">
        <f>SUM(AS99:AV99)</f>
        <v>0</v>
      </c>
      <c r="AX99" s="57">
        <f>IF(AX$14=1,'Inputs (2)'!AX77,-(AVERAGE(AV44,AX44)+AV50)*Inputs!AX$281/4)</f>
        <v>0</v>
      </c>
      <c r="AY99" s="57">
        <f>IF(AY$14=1,'Inputs (2)'!AY77,-(AVERAGE(AX44,AY44)+AX50)*Inputs!AY$281/4)</f>
        <v>0</v>
      </c>
      <c r="AZ99" s="57">
        <f>IF(AZ$14=1,'Inputs (2)'!AZ77,-(AVERAGE(AY44,AZ44)+AY50)*Inputs!AZ$281/4)</f>
        <v>0</v>
      </c>
      <c r="BA99" s="57">
        <f>IF(BA$14=1,'Inputs (2)'!BA77,-(AVERAGE(AZ44,BA44)+AZ50)*Inputs!BA$281/4)</f>
        <v>0</v>
      </c>
      <c r="BB99" s="77">
        <f>SUM(AX99:BA99)</f>
        <v>0</v>
      </c>
      <c r="BC99" s="57">
        <f>IF(BC$14=1,'Inputs (2)'!BC77,-(AVERAGE(BA44,BC44)+BA50)*Inputs!BC$281/4)</f>
        <v>0</v>
      </c>
      <c r="BD99" s="57">
        <f>IF(BD$14=1,'Inputs (2)'!BD77,-(AVERAGE(BC44,BD44)+BC50)*Inputs!BD$281/4)</f>
        <v>0</v>
      </c>
      <c r="BE99" s="57">
        <f>IF(BE$14=1,'Inputs (2)'!BE77,-(AVERAGE(BD44,BE44)+BD50)*Inputs!BE$281/4)</f>
        <v>0</v>
      </c>
      <c r="BF99" s="57">
        <f>IF(BF$14=1,'Inputs (2)'!BF77,-(AVERAGE(BE44,BF44)+BE50)*Inputs!BF$281/4)</f>
        <v>0</v>
      </c>
      <c r="BG99" s="77">
        <f>SUM(BC99:BF99)</f>
        <v>0</v>
      </c>
    </row>
    <row r="100" hidden="1" outlineLevel="1">
      <c r="C100" s="61" t="inlineStr">
        <is>
          <t>(Dívida de longo prazo e VIEs)</t>
        </is>
      </c>
      <c r="D100" s="62" t="inlineStr">
        <is>
          <t>(Long-term debt and VIEs)</t>
        </is>
      </c>
      <c r="E100" s="57">
        <f>'Inputs (2)'!E78</f>
        <v>0</v>
      </c>
      <c r="F100" s="57">
        <f>IF(F$14=1,'Inputs (2)'!F78,-AVERAGE(E54,F54)*(Inputs!F$281+0.01)/4)</f>
        <v>0</v>
      </c>
      <c r="G100" s="57">
        <f>IF(G$14=1,'Inputs (2)'!G78,-AVERAGE(F54,G54)*(Inputs!G$281+0.01)/4)</f>
        <v>0</v>
      </c>
      <c r="H100" s="57">
        <f>IF(H$14=1,'Inputs (2)'!H78,-AVERAGE(G54,H54)*(Inputs!H$281+0.01)/4)</f>
        <v>0</v>
      </c>
      <c r="I100" s="77">
        <f>SUM(E100:H100)</f>
        <v>0</v>
      </c>
      <c r="J100" s="57">
        <f>IF(J$14=1,'Inputs (2)'!J78,-AVERAGE(H54,J54)*(Inputs!J$281+0.01)/4)</f>
        <v>0</v>
      </c>
      <c r="K100" s="57">
        <f>IF(K$14=1,'Inputs (2)'!K78,-AVERAGE(J54,K54)*(Inputs!K$281+0.01)/4)</f>
        <v>0</v>
      </c>
      <c r="L100" s="57">
        <f>IF(L$14=1,'Inputs (2)'!L78,-AVERAGE(K54,L54)*(Inputs!L$281+0.01)/4)</f>
        <v>0</v>
      </c>
      <c r="M100" s="57">
        <f>IF(M$14=1,'Inputs (2)'!M78,-AVERAGE(L54,M54)*(Inputs!M$281+0.01)/4)</f>
        <v>0</v>
      </c>
      <c r="N100" s="77">
        <f>SUM(J100:M100)</f>
        <v>0</v>
      </c>
      <c r="O100" s="57">
        <f>IF(O$14=1,'Inputs (2)'!O78,-AVERAGE(M54,O54)*(Inputs!O$281+0.01)/4)</f>
        <v>0</v>
      </c>
      <c r="P100" s="57">
        <f>IF(P$14=1,'Inputs (2)'!P78,-AVERAGE(O54,P54)*(Inputs!P$281+0.01)/4)</f>
        <v>0</v>
      </c>
      <c r="Q100" s="57">
        <f>IF(Q$14=1,'Inputs (2)'!Q78,-AVERAGE(P54,Q54)*(Inputs!Q$281+0.01)/4)</f>
        <v>0</v>
      </c>
      <c r="R100" s="57">
        <f>IF(R$14=1,'Inputs (2)'!R78,-AVERAGE(Q54,R54)*(Inputs!R$281+0.01)/4)</f>
        <v>0</v>
      </c>
      <c r="S100" s="77">
        <f>SUM(O100:R100)</f>
        <v>0</v>
      </c>
      <c r="T100" s="57">
        <f>IF(T$14=1,'Inputs (2)'!T78,-AVERAGE(R54,T54)*(Inputs!T$281+0.01)/4)</f>
        <v>0</v>
      </c>
      <c r="U100" s="57">
        <f>IF(U$14=1,'Inputs (2)'!U78,-AVERAGE(T54,U54)*(Inputs!U$281+0.01)/4)</f>
        <v>0</v>
      </c>
      <c r="V100" s="57">
        <f>IF(V$14=1,'Inputs (2)'!V78,-AVERAGE(U54,V54)*(Inputs!V$281+0.01)/4)</f>
        <v>0</v>
      </c>
      <c r="W100" s="57">
        <f>IF(W$14=1,'Inputs (2)'!W78,-AVERAGE(V54,W54)*(Inputs!W$281+0.01)/4)</f>
        <v>0</v>
      </c>
      <c r="X100" s="77">
        <f>SUM(T100:W100)</f>
        <v>0</v>
      </c>
      <c r="Y100" s="57">
        <f>IF(Y$14=1,'Inputs (2)'!Y78,-AVERAGE(W54,Y54)*(Inputs!Y$281+0.01)/4)</f>
        <v>0</v>
      </c>
      <c r="Z100" s="57">
        <f>IF(Z$14=1,'Inputs (2)'!Z78,-AVERAGE(Y54,Z54)*(Inputs!Z$281+0.01)/4)</f>
        <v>0</v>
      </c>
      <c r="AA100" s="57">
        <f>IF(AA$14=1,'Inputs (2)'!AA78,-AVERAGE(Z54,AA54)*(Inputs!AA$281+0.01)/4)</f>
        <v>0</v>
      </c>
      <c r="AB100" s="57">
        <f>IF(AB$14=1,'Inputs (2)'!AB78,-AVERAGE(AA54,AB54)*(Inputs!AB$281+0.01)/4)</f>
        <v>0</v>
      </c>
      <c r="AC100" s="77">
        <f>SUM(Y100:AB100)</f>
        <v>0</v>
      </c>
      <c r="AD100" s="57">
        <f>IF(AD$14=1,'Inputs (2)'!AD78,-AVERAGE(AB54,AD54)*(Inputs!AD$281+0.01)/4)</f>
        <v>0</v>
      </c>
      <c r="AE100" s="57">
        <f>IF(AE$14=1,'Inputs (2)'!AE78,-AVERAGE(AD54,AE54)*(Inputs!AE$281+0.01)/4)</f>
        <v>0</v>
      </c>
      <c r="AF100" s="57">
        <f>IF(AF$14=1,'Inputs (2)'!AF78,-AVERAGE(AE54,AF54)*(Inputs!AF$281+0.01)/4)</f>
        <v>0</v>
      </c>
      <c r="AG100" s="57">
        <f>IF(AG$14=1,'Inputs (2)'!AG78,-AVERAGE(AF54,AG54)*(Inputs!AG$281+0.01)/4)</f>
        <v>0</v>
      </c>
      <c r="AH100" s="77">
        <f>SUM(AD100:AG100)</f>
        <v>0</v>
      </c>
      <c r="AI100" s="57">
        <f>IF(AI$14=1,'Inputs (2)'!AI78,-AVERAGE(AG54,AI54)*(Inputs!AI$281+0.01)/4)</f>
        <v>0</v>
      </c>
      <c r="AJ100" s="57">
        <f>IF(AJ$14=1,'Inputs (2)'!AJ78,-AVERAGE(AI54,AJ54)*(Inputs!AJ$281+0.01)/4)</f>
        <v>0</v>
      </c>
      <c r="AK100" s="57">
        <f>IF(AK$14=1,'Inputs (2)'!AK78,-AVERAGE(AJ54,AK54)*(Inputs!AK$281+0.01)/4)</f>
        <v>0</v>
      </c>
      <c r="AL100" s="57">
        <f>IF(AL$14=1,'Inputs (2)'!AL78,-AVERAGE(AK54,AL54)*(Inputs!AL$281+0.01)/4)</f>
        <v>0</v>
      </c>
      <c r="AM100" s="77">
        <f>SUM(AI100:AL100)</f>
        <v>0</v>
      </c>
      <c r="AN100" s="57">
        <f>IF(AN$14=1,'Inputs (2)'!AN78,-AVERAGE(AL54,AN54)*(Inputs!AN$281+0.01)/4)</f>
        <v>0</v>
      </c>
      <c r="AO100" s="57">
        <f>IF(AO$14=1,'Inputs (2)'!AO78,-AVERAGE(AN54,AO54)*(Inputs!AO$281+0.01)/4)</f>
        <v>0</v>
      </c>
      <c r="AP100" s="57">
        <f>IF(AP$14=1,'Inputs (2)'!AP78,-AVERAGE(AO54,AP54)*(Inputs!AP$281+0.01)/4)</f>
        <v>0</v>
      </c>
      <c r="AQ100" s="57">
        <f>IF(AQ$14=1,'Inputs (2)'!AQ78,-AVERAGE(AP54,AQ54)*(Inputs!AQ$281+0.01)/4)</f>
        <v>0</v>
      </c>
      <c r="AR100" s="77">
        <f>SUM(AN100:AQ100)</f>
        <v>0</v>
      </c>
      <c r="AS100" s="57">
        <f>IF(AS$14=1,'Inputs (2)'!AS78,-AVERAGE(AQ54,AS54)*(Inputs!AS$281+0.01)/4)</f>
        <v>0</v>
      </c>
      <c r="AT100" s="57">
        <f>IF(AT$14=1,'Inputs (2)'!AT78,-AVERAGE(AS54,AT54)*(Inputs!AT$281+0.01)/4)</f>
        <v>0</v>
      </c>
      <c r="AU100" s="57">
        <f>IF(AU$14=1,'Inputs (2)'!AU78,-AVERAGE(AT54,AU54)*(Inputs!AU$281+0.01)/4)</f>
        <v>0</v>
      </c>
      <c r="AV100" s="57">
        <f>IF(AV$14=1,'Inputs (2)'!AV78,-AVERAGE(AU54,AV54)*(Inputs!AV$281+0.01)/4)</f>
        <v>0</v>
      </c>
      <c r="AW100" s="77">
        <f>SUM(AS100:AV100)</f>
        <v>0</v>
      </c>
      <c r="AX100" s="57">
        <f>IF(AX$14=1,'Inputs (2)'!AX78,-AVERAGE(AV54,AX54)*(Inputs!AX$281+0.01)/4)</f>
        <v>0</v>
      </c>
      <c r="AY100" s="57">
        <f>IF(AY$14=1,'Inputs (2)'!AY78,-AVERAGE(AX54,AY54)*(Inputs!AY$281+0.01)/4)</f>
        <v>0</v>
      </c>
      <c r="AZ100" s="57">
        <f>IF(AZ$14=1,'Inputs (2)'!AZ78,-AVERAGE(AY54,AZ54)*(Inputs!AZ$281+0.01)/4)</f>
        <v>0</v>
      </c>
      <c r="BA100" s="57">
        <f>IF(BA$14=1,'Inputs (2)'!BA78,-AVERAGE(AZ54,BA54)*(Inputs!BA$281+0.01)/4)</f>
        <v>0</v>
      </c>
      <c r="BB100" s="77">
        <f>SUM(AX100:BA100)</f>
        <v>0</v>
      </c>
      <c r="BC100" s="57">
        <f>IF(BC$14=1,'Inputs (2)'!BC78,-AVERAGE(BA54,BC54)*(Inputs!BC$281+0.01)/4)</f>
        <v>0</v>
      </c>
      <c r="BD100" s="57">
        <f>IF(BD$14=1,'Inputs (2)'!BD78,-AVERAGE(BC54,BD54)*(Inputs!BD$281+0.01)/4)</f>
        <v>0</v>
      </c>
      <c r="BE100" s="57">
        <f>IF(BE$14=1,'Inputs (2)'!BE78,-AVERAGE(BD54,BE54)*(Inputs!BE$281+0.01)/4)</f>
        <v>0</v>
      </c>
      <c r="BF100" s="57">
        <f>IF(BF$14=1,'Inputs (2)'!BF78,-AVERAGE(BE54,BF54)*(Inputs!BF$281+0.01)/4)</f>
        <v>0</v>
      </c>
      <c r="BG100" s="77">
        <f>SUM(BC100:BF100)</f>
        <v>0</v>
      </c>
    </row>
    <row r="101" hidden="1" outlineLevel="1">
      <c r="C101" s="61" t="inlineStr">
        <is>
          <t>(Compromissadas, curto prazo, trading e outros)</t>
        </is>
      </c>
      <c r="D101" s="62" t="inlineStr">
        <is>
          <t>(Repos, short-term, trading and other)</t>
        </is>
      </c>
      <c r="E101" s="57">
        <f>'Inputs (2)'!E79</f>
        <v>0</v>
      </c>
      <c r="F101" s="57">
        <f>IF(F$14=1,'Inputs (2)'!F79,-AVERAGE(E59,F59)*Inputs!F$268/4)</f>
        <v>0</v>
      </c>
      <c r="G101" s="57">
        <f>IF(G$14=1,'Inputs (2)'!G79,-AVERAGE(F59,G59)*Inputs!G$268/4)</f>
        <v>0</v>
      </c>
      <c r="H101" s="57">
        <f>IF(H$14=1,'Inputs (2)'!H79,-AVERAGE(G59,H59)*Inputs!H$268/4)</f>
        <v>0</v>
      </c>
      <c r="I101" s="77">
        <f>SUM(E101:H101)</f>
        <v>0</v>
      </c>
      <c r="J101" s="57">
        <f>IF(J$14=1,'Inputs (2)'!J79,-AVERAGE(H59,J59)*Inputs!J$268/4)</f>
        <v>0</v>
      </c>
      <c r="K101" s="57">
        <f>IF(K$14=1,'Inputs (2)'!K79,-AVERAGE(J59,K59)*Inputs!K$268/4)</f>
        <v>0</v>
      </c>
      <c r="L101" s="57">
        <f>IF(L$14=1,'Inputs (2)'!L79,-AVERAGE(K59,L59)*Inputs!L$268/4)</f>
        <v>0</v>
      </c>
      <c r="M101" s="57">
        <f>IF(M$14=1,'Inputs (2)'!M79,-AVERAGE(L59,M59)*Inputs!M$268/4)</f>
        <v>0</v>
      </c>
      <c r="N101" s="77">
        <f>SUM(J101:M101)</f>
        <v>0</v>
      </c>
      <c r="O101" s="57">
        <f>IF(O$14=1,'Inputs (2)'!O79,-AVERAGE(M59,O59)*Inputs!O$268/4)</f>
        <v>0</v>
      </c>
      <c r="P101" s="57">
        <f>IF(P$14=1,'Inputs (2)'!P79,-AVERAGE(O59,P59)*Inputs!P$268/4)</f>
        <v>0</v>
      </c>
      <c r="Q101" s="57">
        <f>IF(Q$14=1,'Inputs (2)'!Q79,-AVERAGE(P59,Q59)*Inputs!Q$268/4)</f>
        <v>0</v>
      </c>
      <c r="R101" s="57">
        <f>IF(R$14=1,'Inputs (2)'!R79,-AVERAGE(Q59,R59)*Inputs!R$268/4)</f>
        <v>0</v>
      </c>
      <c r="S101" s="77">
        <f>SUM(O101:R101)</f>
        <v>0</v>
      </c>
      <c r="T101" s="57">
        <f>IF(T$14=1,'Inputs (2)'!T79,-AVERAGE(R59,T59)*Inputs!T$268/4)</f>
        <v>0</v>
      </c>
      <c r="U101" s="57">
        <f>IF(U$14=1,'Inputs (2)'!U79,-AVERAGE(T59,U59)*Inputs!U$268/4)</f>
        <v>0</v>
      </c>
      <c r="V101" s="57">
        <f>IF(V$14=1,'Inputs (2)'!V79,-AVERAGE(U59,V59)*Inputs!V$268/4)</f>
        <v>0</v>
      </c>
      <c r="W101" s="57">
        <f>IF(W$14=1,'Inputs (2)'!W79,-AVERAGE(V59,W59)*Inputs!W$268/4)</f>
        <v>0</v>
      </c>
      <c r="X101" s="77">
        <f>SUM(T101:W101)</f>
        <v>0</v>
      </c>
      <c r="Y101" s="57">
        <f>IF(Y$14=1,'Inputs (2)'!Y79,-AVERAGE(W59,Y59)*Inputs!Y$268/4)</f>
        <v>0</v>
      </c>
      <c r="Z101" s="57">
        <f>IF(Z$14=1,'Inputs (2)'!Z79,-AVERAGE(Y59,Z59)*Inputs!Z$268/4)</f>
        <v>0</v>
      </c>
      <c r="AA101" s="57">
        <f>IF(AA$14=1,'Inputs (2)'!AA79,-AVERAGE(Z59,AA59)*Inputs!AA$268/4)</f>
        <v>0</v>
      </c>
      <c r="AB101" s="57">
        <f>IF(AB$14=1,'Inputs (2)'!AB79,-AVERAGE(AA59,AB59)*Inputs!AB$268/4)</f>
        <v>0</v>
      </c>
      <c r="AC101" s="77">
        <f>SUM(Y101:AB101)</f>
        <v>0</v>
      </c>
      <c r="AD101" s="57">
        <f>IF(AD$14=1,'Inputs (2)'!AD79,-AVERAGE(AB59,AD59)*Inputs!AD$268/4)</f>
        <v>0</v>
      </c>
      <c r="AE101" s="57">
        <f>IF(AE$14=1,'Inputs (2)'!AE79,-AVERAGE(AD59,AE59)*Inputs!AE$268/4)</f>
        <v>0</v>
      </c>
      <c r="AF101" s="57">
        <f>IF(AF$14=1,'Inputs (2)'!AF79,-AVERAGE(AE59,AF59)*Inputs!AF$268/4)</f>
        <v>0</v>
      </c>
      <c r="AG101" s="57">
        <f>IF(AG$14=1,'Inputs (2)'!AG79,-AVERAGE(AF59,AG59)*Inputs!AG$268/4)</f>
        <v>0</v>
      </c>
      <c r="AH101" s="77">
        <f>SUM(AD101:AG101)</f>
        <v>0</v>
      </c>
      <c r="AI101" s="57">
        <f>IF(AI$14=1,'Inputs (2)'!AI79,-AVERAGE(AG59,AI59)*Inputs!AI$268/4)</f>
        <v>0</v>
      </c>
      <c r="AJ101" s="57">
        <f>IF(AJ$14=1,'Inputs (2)'!AJ79,-AVERAGE(AI59,AJ59)*Inputs!AJ$268/4)</f>
        <v>0</v>
      </c>
      <c r="AK101" s="57">
        <f>IF(AK$14=1,'Inputs (2)'!AK79,-AVERAGE(AJ59,AK59)*Inputs!AK$268/4)</f>
        <v>0</v>
      </c>
      <c r="AL101" s="57">
        <f>IF(AL$14=1,'Inputs (2)'!AL79,-AVERAGE(AK59,AL59)*Inputs!AL$268/4)</f>
        <v>0</v>
      </c>
      <c r="AM101" s="77">
        <f>SUM(AI101:AL101)</f>
        <v>0</v>
      </c>
      <c r="AN101" s="57">
        <f>IF(AN$14=1,'Inputs (2)'!AN79,-AVERAGE(AL59,AN59)*Inputs!AN$268/4)</f>
        <v>0</v>
      </c>
      <c r="AO101" s="57">
        <f>IF(AO$14=1,'Inputs (2)'!AO79,-AVERAGE(AN59,AO59)*Inputs!AO$268/4)</f>
        <v>0</v>
      </c>
      <c r="AP101" s="57">
        <f>IF(AP$14=1,'Inputs (2)'!AP79,-AVERAGE(AO59,AP59)*Inputs!AP$268/4)</f>
        <v>0</v>
      </c>
      <c r="AQ101" s="57">
        <f>IF(AQ$14=1,'Inputs (2)'!AQ79,-AVERAGE(AP59,AQ59)*Inputs!AQ$268/4)</f>
        <v>0</v>
      </c>
      <c r="AR101" s="77">
        <f>SUM(AN101:AQ101)</f>
        <v>0</v>
      </c>
      <c r="AS101" s="57">
        <f>IF(AS$14=1,'Inputs (2)'!AS79,-AVERAGE(AQ59,AS59)*Inputs!AS$268/4)</f>
        <v>0</v>
      </c>
      <c r="AT101" s="57">
        <f>IF(AT$14=1,'Inputs (2)'!AT79,-AVERAGE(AS59,AT59)*Inputs!AT$268/4)</f>
        <v>0</v>
      </c>
      <c r="AU101" s="57">
        <f>IF(AU$14=1,'Inputs (2)'!AU79,-AVERAGE(AT59,AU59)*Inputs!AU$268/4)</f>
        <v>0</v>
      </c>
      <c r="AV101" s="57">
        <f>IF(AV$14=1,'Inputs (2)'!AV79,-AVERAGE(AU59,AV59)*Inputs!AV$268/4)</f>
        <v>0</v>
      </c>
      <c r="AW101" s="77">
        <f>SUM(AS101:AV101)</f>
        <v>0</v>
      </c>
      <c r="AX101" s="57">
        <f>IF(AX$14=1,'Inputs (2)'!AX79,-AVERAGE(AV59,AX59)*Inputs!AX$268/4)</f>
        <v>0</v>
      </c>
      <c r="AY101" s="57">
        <f>IF(AY$14=1,'Inputs (2)'!AY79,-AVERAGE(AX59,AY59)*Inputs!AY$268/4)</f>
        <v>0</v>
      </c>
      <c r="AZ101" s="57">
        <f>IF(AZ$14=1,'Inputs (2)'!AZ79,-AVERAGE(AY59,AZ59)*Inputs!AZ$268/4)</f>
        <v>0</v>
      </c>
      <c r="BA101" s="57">
        <f>IF(BA$14=1,'Inputs (2)'!BA79,-AVERAGE(AZ59,BA59)*Inputs!BA$268/4)</f>
        <v>0</v>
      </c>
      <c r="BB101" s="77">
        <f>SUM(AX101:BA101)</f>
        <v>0</v>
      </c>
      <c r="BC101" s="57">
        <f>IF(BC$14=1,'Inputs (2)'!BC79,-AVERAGE(BA59,BC59)*Inputs!BC$268/4)</f>
        <v>0</v>
      </c>
      <c r="BD101" s="57">
        <f>IF(BD$14=1,'Inputs (2)'!BD79,-AVERAGE(BC59,BD59)*Inputs!BD$268/4)</f>
        <v>0</v>
      </c>
      <c r="BE101" s="57">
        <f>IF(BE$14=1,'Inputs (2)'!BE79,-AVERAGE(BD59,BE59)*Inputs!BE$268/4)</f>
        <v>0</v>
      </c>
      <c r="BF101" s="57">
        <f>IF(BF$14=1,'Inputs (2)'!BF79,-AVERAGE(BE59,BF59)*Inputs!BF$268/4)</f>
        <v>0</v>
      </c>
      <c r="BG101" s="77">
        <f>SUM(BC101:BF101)</f>
        <v>0</v>
      </c>
    </row>
    <row r="102" hidden="1" outlineLevel="1">
      <c r="C102" s="61" t="inlineStr">
        <is>
          <t>(Outras despesas de juros)</t>
        </is>
      </c>
      <c r="D102" s="62" t="inlineStr">
        <is>
          <t>(Other interest expense)</t>
        </is>
      </c>
      <c r="E102" s="57">
        <f>'Inputs (2)'!E80</f>
        <v>0</v>
      </c>
      <c r="F102" s="57">
        <f>IF(F$14=1,'Inputs (2)'!F80,-AVERAGE(E65,F65)*Inputs!F$263)</f>
        <v>0</v>
      </c>
      <c r="G102" s="57">
        <f>IF(G$14=1,'Inputs (2)'!G80,-AVERAGE(F65,G65)*Inputs!G$263)</f>
        <v>0</v>
      </c>
      <c r="H102" s="57">
        <f>IF(H$14=1,'Inputs (2)'!H80,-AVERAGE(G65,H65)*Inputs!H$263)</f>
        <v>0</v>
      </c>
      <c r="I102" s="77">
        <f>SUM(E102:H102)</f>
        <v>0</v>
      </c>
      <c r="J102" s="57">
        <f>IF(J$14=1,'Inputs (2)'!J80,-AVERAGE(H65,J65)*Inputs!J$263)</f>
        <v>0</v>
      </c>
      <c r="K102" s="57">
        <f>IF(K$14=1,'Inputs (2)'!K80,-AVERAGE(J65,K65)*Inputs!K$263)</f>
        <v>0</v>
      </c>
      <c r="L102" s="57">
        <f>IF(L$14=1,'Inputs (2)'!L80,-AVERAGE(K65,L65)*Inputs!L$263)</f>
        <v>0</v>
      </c>
      <c r="M102" s="57">
        <f>IF(M$14=1,'Inputs (2)'!M80,-AVERAGE(L65,M65)*Inputs!M$263)</f>
        <v>0</v>
      </c>
      <c r="N102" s="77">
        <f>SUM(J102:M102)</f>
        <v>0</v>
      </c>
      <c r="O102" s="57">
        <f>IF(O$14=1,'Inputs (2)'!O80,-AVERAGE(M65,O65)*Inputs!O$263)</f>
        <v>0</v>
      </c>
      <c r="P102" s="57">
        <f>IF(P$14=1,'Inputs (2)'!P80,-AVERAGE(O65,P65)*Inputs!P$263)</f>
        <v>0</v>
      </c>
      <c r="Q102" s="57">
        <f>IF(Q$14=1,'Inputs (2)'!Q80,-AVERAGE(P65,Q65)*Inputs!Q$263)</f>
        <v>0</v>
      </c>
      <c r="R102" s="57">
        <f>IF(R$14=1,'Inputs (2)'!R80,-AVERAGE(Q65,R65)*Inputs!R$263)</f>
        <v>0</v>
      </c>
      <c r="S102" s="77">
        <f>SUM(O102:R102)</f>
        <v>0</v>
      </c>
      <c r="T102" s="57">
        <f>IF(T$14=1,'Inputs (2)'!T80,-AVERAGE(R65,T65)*Inputs!T$263)</f>
        <v>0</v>
      </c>
      <c r="U102" s="57">
        <f>IF(U$14=1,'Inputs (2)'!U80,-AVERAGE(T65,U65)*Inputs!U$263)</f>
        <v>0</v>
      </c>
      <c r="V102" s="57">
        <f>IF(V$14=1,'Inputs (2)'!V80,-AVERAGE(U65,V65)*Inputs!V$263)</f>
        <v>0</v>
      </c>
      <c r="W102" s="57">
        <f>IF(W$14=1,'Inputs (2)'!W80,-AVERAGE(V65,W65)*Inputs!W$263)</f>
        <v>0</v>
      </c>
      <c r="X102" s="77">
        <f>SUM(T102:W102)</f>
        <v>0</v>
      </c>
      <c r="Y102" s="57">
        <f>IF(Y$14=1,'Inputs (2)'!Y80,-AVERAGE(W65,Y65)*Inputs!Y$263)</f>
        <v>0</v>
      </c>
      <c r="Z102" s="57">
        <f>IF(Z$14=1,'Inputs (2)'!Z80,-AVERAGE(Y65,Z65)*Inputs!Z$263)</f>
        <v>0</v>
      </c>
      <c r="AA102" s="57">
        <f>IF(AA$14=1,'Inputs (2)'!AA80,-AVERAGE(Z65,AA65)*Inputs!AA$263)</f>
        <v>0</v>
      </c>
      <c r="AB102" s="57">
        <f>IF(AB$14=1,'Inputs (2)'!AB80,-AVERAGE(AA65,AB65)*Inputs!AB$263)</f>
        <v>0</v>
      </c>
      <c r="AC102" s="77">
        <f>SUM(Y102:AB102)</f>
        <v>0</v>
      </c>
      <c r="AD102" s="57">
        <f>IF(AD$14=1,'Inputs (2)'!AD80,-AVERAGE(AB65,AD65)*Inputs!AD$263)</f>
        <v>0</v>
      </c>
      <c r="AE102" s="57">
        <f>IF(AE$14=1,'Inputs (2)'!AE80,-AVERAGE(AD65,AE65)*Inputs!AE$263)</f>
        <v>0</v>
      </c>
      <c r="AF102" s="57">
        <f>IF(AF$14=1,'Inputs (2)'!AF80,-AVERAGE(AE65,AF65)*Inputs!AF$263)</f>
        <v>0</v>
      </c>
      <c r="AG102" s="57">
        <f>IF(AG$14=1,'Inputs (2)'!AG80,-AVERAGE(AF65,AG65)*Inputs!AG$263)</f>
        <v>0</v>
      </c>
      <c r="AH102" s="77">
        <f>SUM(AD102:AG102)</f>
        <v>0</v>
      </c>
      <c r="AI102" s="57">
        <f>IF(AI$14=1,'Inputs (2)'!AI80,-AVERAGE(AG65,AI65)*Inputs!AI$263)</f>
        <v>0</v>
      </c>
      <c r="AJ102" s="57">
        <f>IF(AJ$14=1,'Inputs (2)'!AJ80,-AVERAGE(AI65,AJ65)*Inputs!AJ$263)</f>
        <v>0</v>
      </c>
      <c r="AK102" s="57">
        <f>IF(AK$14=1,'Inputs (2)'!AK80,-AVERAGE(AJ65,AK65)*Inputs!AK$263)</f>
        <v>0</v>
      </c>
      <c r="AL102" s="57">
        <f>IF(AL$14=1,'Inputs (2)'!AL80,-AVERAGE(AK65,AL65)*Inputs!AL$263)</f>
        <v>0</v>
      </c>
      <c r="AM102" s="77">
        <f>SUM(AI102:AL102)</f>
        <v>0</v>
      </c>
      <c r="AN102" s="57">
        <f>IF(AN$14=1,'Inputs (2)'!AN80,-AVERAGE(AL65,AN65)*Inputs!AN$263)</f>
        <v>0</v>
      </c>
      <c r="AO102" s="57">
        <f>IF(AO$14=1,'Inputs (2)'!AO80,-AVERAGE(AN65,AO65)*Inputs!AO$263)</f>
        <v>0</v>
      </c>
      <c r="AP102" s="57">
        <f>IF(AP$14=1,'Inputs (2)'!AP80,-AVERAGE(AO65,AP65)*Inputs!AP$263)</f>
        <v>0</v>
      </c>
      <c r="AQ102" s="57">
        <f>IF(AQ$14=1,'Inputs (2)'!AQ80,-AVERAGE(AP65,AQ65)*Inputs!AQ$263)</f>
        <v>0</v>
      </c>
      <c r="AR102" s="77">
        <f>SUM(AN102:AQ102)</f>
        <v>0</v>
      </c>
      <c r="AS102" s="57">
        <f>IF(AS$14=1,'Inputs (2)'!AS80,-AVERAGE(AQ65,AS65)*Inputs!AS$263)</f>
        <v>0</v>
      </c>
      <c r="AT102" s="57">
        <f>IF(AT$14=1,'Inputs (2)'!AT80,-AVERAGE(AS65,AT65)*Inputs!AT$263)</f>
        <v>0</v>
      </c>
      <c r="AU102" s="57">
        <f>IF(AU$14=1,'Inputs (2)'!AU80,-AVERAGE(AT65,AU65)*Inputs!AU$263)</f>
        <v>0</v>
      </c>
      <c r="AV102" s="57">
        <f>IF(AV$14=1,'Inputs (2)'!AV80,-AVERAGE(AU65,AV65)*Inputs!AV$263)</f>
        <v>0</v>
      </c>
      <c r="AW102" s="77">
        <f>SUM(AS102:AV102)</f>
        <v>0</v>
      </c>
      <c r="AX102" s="57">
        <f>IF(AX$14=1,'Inputs (2)'!AX80,-AVERAGE(AV65,AX65)*Inputs!AX$263)</f>
        <v>0</v>
      </c>
      <c r="AY102" s="57">
        <f>IF(AY$14=1,'Inputs (2)'!AY80,-AVERAGE(AX65,AY65)*Inputs!AY$263)</f>
        <v>0</v>
      </c>
      <c r="AZ102" s="57">
        <f>IF(AZ$14=1,'Inputs (2)'!AZ80,-AVERAGE(AY65,AZ65)*Inputs!AZ$263)</f>
        <v>0</v>
      </c>
      <c r="BA102" s="57">
        <f>IF(BA$14=1,'Inputs (2)'!BA80,-AVERAGE(AZ65,BA65)*Inputs!BA$263)</f>
        <v>0</v>
      </c>
      <c r="BB102" s="77">
        <f>SUM(AX102:BA102)</f>
        <v>0</v>
      </c>
      <c r="BC102" s="57">
        <f>IF(BC$14=1,'Inputs (2)'!BC80,-AVERAGE(BA65,BC65)*Inputs!BC$263)</f>
        <v>0</v>
      </c>
      <c r="BD102" s="57">
        <f>IF(BD$14=1,'Inputs (2)'!BD80,-AVERAGE(BC65,BD65)*Inputs!BD$263)</f>
        <v>0</v>
      </c>
      <c r="BE102" s="57">
        <f>IF(BE$14=1,'Inputs (2)'!BE80,-AVERAGE(BD65,BE65)*Inputs!BE$263)</f>
        <v>0</v>
      </c>
      <c r="BF102" s="57">
        <f>IF(BF$14=1,'Inputs (2)'!BF80,-AVERAGE(BE65,BF65)*Inputs!BF$263)</f>
        <v>0</v>
      </c>
      <c r="BG102" s="77">
        <f>SUM(BC102:BF102)</f>
        <v>0</v>
      </c>
    </row>
    <row r="103" collapsed="1">
      <c r="C103" s="53" t="inlineStr">
        <is>
          <t>Receita líquida de juros (NII)</t>
        </is>
      </c>
      <c r="D103" s="54" t="inlineStr">
        <is>
          <t>Net interest income</t>
        </is>
      </c>
      <c r="E103" s="59">
        <f>E93+E98</f>
        <v>0</v>
      </c>
      <c r="F103" s="59">
        <f>F93+F98</f>
        <v>0</v>
      </c>
      <c r="G103" s="59">
        <f>G93+G98</f>
        <v>0</v>
      </c>
      <c r="H103" s="59">
        <f>H93+H98</f>
        <v>0</v>
      </c>
      <c r="I103" s="60">
        <f>SUM(E103:H103)</f>
        <v>0</v>
      </c>
      <c r="J103" s="59">
        <f>J93+J98</f>
        <v>0</v>
      </c>
      <c r="K103" s="59">
        <f>K93+K98</f>
        <v>0</v>
      </c>
      <c r="L103" s="59">
        <f>L93+L98</f>
        <v>0</v>
      </c>
      <c r="M103" s="59">
        <f>M93+M98</f>
        <v>0</v>
      </c>
      <c r="N103" s="60">
        <f>SUM(J103:M103)</f>
        <v>0</v>
      </c>
      <c r="O103" s="59">
        <f>O93+O98</f>
        <v>0</v>
      </c>
      <c r="P103" s="59">
        <f>P93+P98</f>
        <v>0</v>
      </c>
      <c r="Q103" s="59">
        <f>Q93+Q98</f>
        <v>0</v>
      </c>
      <c r="R103" s="59">
        <f>R93+R98</f>
        <v>0</v>
      </c>
      <c r="S103" s="60">
        <f>SUM(O103:R103)</f>
        <v>0</v>
      </c>
      <c r="T103" s="59">
        <f>T93+T98</f>
        <v>0</v>
      </c>
      <c r="U103" s="59">
        <f>U93+U98</f>
        <v>0</v>
      </c>
      <c r="V103" s="59">
        <f>V93+V98</f>
        <v>0</v>
      </c>
      <c r="W103" s="59">
        <f>W93+W98</f>
        <v>0</v>
      </c>
      <c r="X103" s="60">
        <f>SUM(T103:W103)</f>
        <v>0</v>
      </c>
      <c r="Y103" s="59">
        <f>Y93+Y98</f>
        <v>0</v>
      </c>
      <c r="Z103" s="59">
        <f>Z93+Z98</f>
        <v>0</v>
      </c>
      <c r="AA103" s="59">
        <f>AA93+AA98</f>
        <v>0</v>
      </c>
      <c r="AB103" s="59">
        <f>AB93+AB98</f>
        <v>0</v>
      </c>
      <c r="AC103" s="60">
        <f>SUM(Y103:AB103)</f>
        <v>0</v>
      </c>
      <c r="AD103" s="59">
        <f>AD93+AD98</f>
        <v>0</v>
      </c>
      <c r="AE103" s="59">
        <f>AE93+AE98</f>
        <v>0</v>
      </c>
      <c r="AF103" s="59">
        <f>AF93+AF98</f>
        <v>0</v>
      </c>
      <c r="AG103" s="59">
        <f>AG93+AG98</f>
        <v>0</v>
      </c>
      <c r="AH103" s="60">
        <f>SUM(AD103:AG103)</f>
        <v>0</v>
      </c>
      <c r="AI103" s="59">
        <f>AI93+AI98</f>
        <v>0</v>
      </c>
      <c r="AJ103" s="59">
        <f>AJ93+AJ98</f>
        <v>0</v>
      </c>
      <c r="AK103" s="59">
        <f>AK93+AK98</f>
        <v>0</v>
      </c>
      <c r="AL103" s="59">
        <f>AL93+AL98</f>
        <v>0</v>
      </c>
      <c r="AM103" s="60">
        <f>SUM(AI103:AL103)</f>
        <v>0</v>
      </c>
      <c r="AN103" s="59">
        <f>AN93+AN98</f>
        <v>0</v>
      </c>
      <c r="AO103" s="59">
        <f>AO93+AO98</f>
        <v>0</v>
      </c>
      <c r="AP103" s="59">
        <f>AP93+AP98</f>
        <v>0</v>
      </c>
      <c r="AQ103" s="59">
        <f>AQ93+AQ98</f>
        <v>0</v>
      </c>
      <c r="AR103" s="60">
        <f>SUM(AN103:AQ103)</f>
        <v>0</v>
      </c>
      <c r="AS103" s="59">
        <f>AS93+AS98</f>
        <v>0</v>
      </c>
      <c r="AT103" s="59">
        <f>AT93+AT98</f>
        <v>0</v>
      </c>
      <c r="AU103" s="59">
        <f>AU93+AU98</f>
        <v>0</v>
      </c>
      <c r="AV103" s="59">
        <f>AV93+AV98</f>
        <v>0</v>
      </c>
      <c r="AW103" s="60">
        <f>SUM(AS103:AV103)</f>
        <v>0</v>
      </c>
      <c r="AX103" s="59">
        <f>AX93+AX98</f>
        <v>0</v>
      </c>
      <c r="AY103" s="59">
        <f>AY93+AY98</f>
        <v>0</v>
      </c>
      <c r="AZ103" s="59">
        <f>AZ93+AZ98</f>
        <v>0</v>
      </c>
      <c r="BA103" s="59">
        <f>BA93+BA98</f>
        <v>0</v>
      </c>
      <c r="BB103" s="60">
        <f>SUM(AX103:BA103)</f>
        <v>0</v>
      </c>
      <c r="BC103" s="59">
        <f>BC93+BC98</f>
        <v>0</v>
      </c>
      <c r="BD103" s="59">
        <f>BD93+BD98</f>
        <v>0</v>
      </c>
      <c r="BE103" s="59">
        <f>BE93+BE98</f>
        <v>0</v>
      </c>
      <c r="BF103" s="59">
        <f>BF93+BF98</f>
        <v>0</v>
      </c>
      <c r="BG103" s="60">
        <f>SUM(BC103:BF103)</f>
        <v>0</v>
      </c>
    </row>
    <row r="104">
      <c r="C104" s="83" t="inlineStr">
        <is>
          <t>Provisão para perdas de crédito</t>
        </is>
      </c>
      <c r="D104" s="84" t="inlineStr">
        <is>
          <t>Provision for credit losses</t>
        </is>
      </c>
      <c r="E104" s="85">
        <f>E105+E106</f>
        <v>0</v>
      </c>
      <c r="F104" s="85">
        <f>F105+F106</f>
        <v>0</v>
      </c>
      <c r="G104" s="85">
        <f>G105+G106</f>
        <v>0</v>
      </c>
      <c r="H104" s="85">
        <f>H105+H106</f>
        <v>0</v>
      </c>
      <c r="I104" s="60">
        <f>SUM(E104:H104)</f>
        <v>0</v>
      </c>
      <c r="J104" s="85">
        <f>J105+J106</f>
        <v>0</v>
      </c>
      <c r="K104" s="85">
        <f>K105+K106</f>
        <v>0</v>
      </c>
      <c r="L104" s="85">
        <f>L105+L106</f>
        <v>0</v>
      </c>
      <c r="M104" s="85">
        <f>M105+M106</f>
        <v>0</v>
      </c>
      <c r="N104" s="60">
        <f>SUM(J104:M104)</f>
        <v>0</v>
      </c>
      <c r="O104" s="85">
        <f>O105+O106</f>
        <v>0</v>
      </c>
      <c r="P104" s="85">
        <f>P105+P106</f>
        <v>0</v>
      </c>
      <c r="Q104" s="85">
        <f>Q105+Q106</f>
        <v>0</v>
      </c>
      <c r="R104" s="85">
        <f>R105+R106</f>
        <v>0</v>
      </c>
      <c r="S104" s="60">
        <f>SUM(O104:R104)</f>
        <v>0</v>
      </c>
      <c r="T104" s="85">
        <f>T105+T106</f>
        <v>0</v>
      </c>
      <c r="U104" s="85">
        <f>U105+U106</f>
        <v>0</v>
      </c>
      <c r="V104" s="85">
        <f>V105+V106</f>
        <v>0</v>
      </c>
      <c r="W104" s="85">
        <f>W105+W106</f>
        <v>0</v>
      </c>
      <c r="X104" s="60">
        <f>SUM(T104:W104)</f>
        <v>0</v>
      </c>
      <c r="Y104" s="85">
        <f>Y105+Y106</f>
        <v>0</v>
      </c>
      <c r="Z104" s="85">
        <f>Z105+Z106</f>
        <v>0</v>
      </c>
      <c r="AA104" s="85">
        <f>AA105+AA106</f>
        <v>0</v>
      </c>
      <c r="AB104" s="85">
        <f>AB105+AB106</f>
        <v>0</v>
      </c>
      <c r="AC104" s="60">
        <f>SUM(Y104:AB104)</f>
        <v>0</v>
      </c>
      <c r="AD104" s="85">
        <f>AD105+AD106</f>
        <v>0</v>
      </c>
      <c r="AE104" s="85">
        <f>AE105+AE106</f>
        <v>0</v>
      </c>
      <c r="AF104" s="85">
        <f>AF105+AF106</f>
        <v>0</v>
      </c>
      <c r="AG104" s="85">
        <f>AG105+AG106</f>
        <v>0</v>
      </c>
      <c r="AH104" s="60">
        <f>SUM(AD104:AG104)</f>
        <v>0</v>
      </c>
      <c r="AI104" s="85">
        <f>AI105+AI106</f>
        <v>0</v>
      </c>
      <c r="AJ104" s="85">
        <f>AJ105+AJ106</f>
        <v>0</v>
      </c>
      <c r="AK104" s="85">
        <f>AK105+AK106</f>
        <v>0</v>
      </c>
      <c r="AL104" s="85">
        <f>AL105+AL106</f>
        <v>0</v>
      </c>
      <c r="AM104" s="60">
        <f>SUM(AI104:AL104)</f>
        <v>0</v>
      </c>
      <c r="AN104" s="85">
        <f>AN105+AN106</f>
        <v>0</v>
      </c>
      <c r="AO104" s="85">
        <f>AO105+AO106</f>
        <v>0</v>
      </c>
      <c r="AP104" s="85">
        <f>AP105+AP106</f>
        <v>0</v>
      </c>
      <c r="AQ104" s="85">
        <f>AQ105+AQ106</f>
        <v>0</v>
      </c>
      <c r="AR104" s="60">
        <f>SUM(AN104:AQ104)</f>
        <v>0</v>
      </c>
      <c r="AS104" s="85">
        <f>AS105+AS106</f>
        <v>0</v>
      </c>
      <c r="AT104" s="85">
        <f>AT105+AT106</f>
        <v>0</v>
      </c>
      <c r="AU104" s="85">
        <f>AU105+AU106</f>
        <v>0</v>
      </c>
      <c r="AV104" s="85">
        <f>AV105+AV106</f>
        <v>0</v>
      </c>
      <c r="AW104" s="60">
        <f>SUM(AS104:AV104)</f>
        <v>0</v>
      </c>
      <c r="AX104" s="85">
        <f>AX105+AX106</f>
        <v>0</v>
      </c>
      <c r="AY104" s="85">
        <f>AY105+AY106</f>
        <v>0</v>
      </c>
      <c r="AZ104" s="85">
        <f>AZ105+AZ106</f>
        <v>0</v>
      </c>
      <c r="BA104" s="85">
        <f>BA105+BA106</f>
        <v>0</v>
      </c>
      <c r="BB104" s="60">
        <f>SUM(AX104:BA104)</f>
        <v>0</v>
      </c>
      <c r="BC104" s="85">
        <f>BC105+BC106</f>
        <v>0</v>
      </c>
      <c r="BD104" s="85">
        <f>BD105+BD106</f>
        <v>0</v>
      </c>
      <c r="BE104" s="85">
        <f>BE105+BE106</f>
        <v>0</v>
      </c>
      <c r="BF104" s="85">
        <f>BF105+BF106</f>
        <v>0</v>
      </c>
      <c r="BG104" s="60">
        <f>SUM(BC104:BF104)</f>
        <v>0</v>
      </c>
    </row>
    <row r="105" hidden="1" outlineLevel="1">
      <c r="C105" s="61" t="inlineStr">
        <is>
          <t>(Provisão para perdas de crédito)</t>
        </is>
      </c>
      <c r="D105" s="62" t="inlineStr">
        <is>
          <t>(Provision for credit losses)</t>
        </is>
      </c>
      <c r="E105" s="57">
        <f>IF(E$14=1,'Inputs (2)'!E83,-E138*Inputs!E$273/4)</f>
        <v>0</v>
      </c>
      <c r="F105" s="57">
        <f>IF(F$14=1,'Inputs (2)'!F83,-F138*Inputs!F$273/4)</f>
        <v>0</v>
      </c>
      <c r="G105" s="57">
        <f>IF(G$14=1,'Inputs (2)'!G83,-G138*Inputs!G$273/4)</f>
        <v>0</v>
      </c>
      <c r="H105" s="57">
        <f>IF(H$14=1,'Inputs (2)'!H83,-H138*Inputs!H$273/4)</f>
        <v>0</v>
      </c>
      <c r="I105" s="77">
        <f>SUM(E105:H105)</f>
        <v>0</v>
      </c>
      <c r="J105" s="57">
        <f>IF(J$14=1,'Inputs (2)'!J83,-J138*Inputs!J$273/4)</f>
        <v>0</v>
      </c>
      <c r="K105" s="57">
        <f>IF(K$14=1,'Inputs (2)'!K83,-K138*Inputs!K$273/4)</f>
        <v>0</v>
      </c>
      <c r="L105" s="57">
        <f>IF(L$14=1,'Inputs (2)'!L83,-L138*Inputs!L$273/4)</f>
        <v>0</v>
      </c>
      <c r="M105" s="57">
        <f>IF(M$14=1,'Inputs (2)'!M83,-M138*Inputs!M$273/4)</f>
        <v>0</v>
      </c>
      <c r="N105" s="77">
        <f>SUM(J105:M105)</f>
        <v>0</v>
      </c>
      <c r="O105" s="57">
        <f>IF(O$14=1,'Inputs (2)'!O83,-O138*Inputs!O$273/4)</f>
        <v>0</v>
      </c>
      <c r="P105" s="57">
        <f>IF(P$14=1,'Inputs (2)'!P83,-P138*Inputs!P$273/4)</f>
        <v>0</v>
      </c>
      <c r="Q105" s="57">
        <f>IF(Q$14=1,'Inputs (2)'!Q83,-Q138*Inputs!Q$273/4)</f>
        <v>0</v>
      </c>
      <c r="R105" s="57">
        <f>IF(R$14=1,'Inputs (2)'!R83,-R138*Inputs!R$273/4)</f>
        <v>0</v>
      </c>
      <c r="S105" s="77">
        <f>SUM(O105:R105)</f>
        <v>0</v>
      </c>
      <c r="T105" s="57">
        <f>IF(T$14=1,'Inputs (2)'!T83,-T138*Inputs!T$273/4)</f>
        <v>0</v>
      </c>
      <c r="U105" s="57">
        <f>IF(U$14=1,'Inputs (2)'!U83,-U138*Inputs!U$273/4)</f>
        <v>0</v>
      </c>
      <c r="V105" s="57">
        <f>IF(V$14=1,'Inputs (2)'!V83,-V138*Inputs!V$273/4)</f>
        <v>0</v>
      </c>
      <c r="W105" s="57">
        <f>IF(W$14=1,'Inputs (2)'!W83,-W138*Inputs!W$273/4)</f>
        <v>0</v>
      </c>
      <c r="X105" s="77">
        <f>SUM(T105:W105)</f>
        <v>0</v>
      </c>
      <c r="Y105" s="57">
        <f>IF(Y$14=1,'Inputs (2)'!Y83,-Y138*Inputs!Y$273/4)</f>
        <v>0</v>
      </c>
      <c r="Z105" s="57">
        <f>IF(Z$14=1,'Inputs (2)'!Z83,-Z138*Inputs!Z$273/4)</f>
        <v>0</v>
      </c>
      <c r="AA105" s="57">
        <f>IF(AA$14=1,'Inputs (2)'!AA83,-AA138*Inputs!AA$273/4)</f>
        <v>0</v>
      </c>
      <c r="AB105" s="57">
        <f>IF(AB$14=1,'Inputs (2)'!AB83,-AB138*Inputs!AB$273/4)</f>
        <v>0</v>
      </c>
      <c r="AC105" s="77">
        <f>SUM(Y105:AB105)</f>
        <v>0</v>
      </c>
      <c r="AD105" s="57">
        <f>IF(AD$14=1,'Inputs (2)'!AD83,-AD138*Inputs!AD$273/4)</f>
        <v>0</v>
      </c>
      <c r="AE105" s="57">
        <f>IF(AE$14=1,'Inputs (2)'!AE83,-AE138*Inputs!AE$273/4)</f>
        <v>0</v>
      </c>
      <c r="AF105" s="57">
        <f>IF(AF$14=1,'Inputs (2)'!AF83,-AF138*Inputs!AF$273/4)</f>
        <v>0</v>
      </c>
      <c r="AG105" s="57">
        <f>IF(AG$14=1,'Inputs (2)'!AG83,-AG138*Inputs!AG$273/4)</f>
        <v>0</v>
      </c>
      <c r="AH105" s="77">
        <f>SUM(AD105:AG105)</f>
        <v>0</v>
      </c>
      <c r="AI105" s="57">
        <f>IF(AI$14=1,'Inputs (2)'!AI83,-AI138*Inputs!AI$273/4)</f>
        <v>0</v>
      </c>
      <c r="AJ105" s="57">
        <f>IF(AJ$14=1,'Inputs (2)'!AJ83,-AJ138*Inputs!AJ$273/4)</f>
        <v>0</v>
      </c>
      <c r="AK105" s="57">
        <f>IF(AK$14=1,'Inputs (2)'!AK83,-AK138*Inputs!AK$273/4)</f>
        <v>0</v>
      </c>
      <c r="AL105" s="57">
        <f>IF(AL$14=1,'Inputs (2)'!AL83,-AL138*Inputs!AL$273/4)</f>
        <v>0</v>
      </c>
      <c r="AM105" s="77">
        <f>SUM(AI105:AL105)</f>
        <v>0</v>
      </c>
      <c r="AN105" s="57">
        <f>IF(AN$14=1,'Inputs (2)'!AN83,-AN138*Inputs!AN$273/4)</f>
        <v>0</v>
      </c>
      <c r="AO105" s="57">
        <f>IF(AO$14=1,'Inputs (2)'!AO83,-AO138*Inputs!AO$273/4)</f>
        <v>0</v>
      </c>
      <c r="AP105" s="57">
        <f>IF(AP$14=1,'Inputs (2)'!AP83,-AP138*Inputs!AP$273/4)</f>
        <v>0</v>
      </c>
      <c r="AQ105" s="57">
        <f>IF(AQ$14=1,'Inputs (2)'!AQ83,-AQ138*Inputs!AQ$273/4)</f>
        <v>0</v>
      </c>
      <c r="AR105" s="77">
        <f>SUM(AN105:AQ105)</f>
        <v>0</v>
      </c>
      <c r="AS105" s="57">
        <f>IF(AS$14=1,'Inputs (2)'!AS83,-AS138*Inputs!AS$273/4)</f>
        <v>0</v>
      </c>
      <c r="AT105" s="57">
        <f>IF(AT$14=1,'Inputs (2)'!AT83,-AT138*Inputs!AT$273/4)</f>
        <v>0</v>
      </c>
      <c r="AU105" s="57">
        <f>IF(AU$14=1,'Inputs (2)'!AU83,-AU138*Inputs!AU$273/4)</f>
        <v>0</v>
      </c>
      <c r="AV105" s="57">
        <f>IF(AV$14=1,'Inputs (2)'!AV83,-AV138*Inputs!AV$273/4)</f>
        <v>0</v>
      </c>
      <c r="AW105" s="77">
        <f>SUM(AS105:AV105)</f>
        <v>0</v>
      </c>
      <c r="AX105" s="57">
        <f>IF(AX$14=1,'Inputs (2)'!AX83,-AX138*Inputs!AX$273/4)</f>
        <v>0</v>
      </c>
      <c r="AY105" s="57">
        <f>IF(AY$14=1,'Inputs (2)'!AY83,-AY138*Inputs!AY$273/4)</f>
        <v>0</v>
      </c>
      <c r="AZ105" s="57">
        <f>IF(AZ$14=1,'Inputs (2)'!AZ83,-AZ138*Inputs!AZ$273/4)</f>
        <v>0</v>
      </c>
      <c r="BA105" s="57">
        <f>IF(BA$14=1,'Inputs (2)'!BA83,-BA138*Inputs!BA$273/4)</f>
        <v>0</v>
      </c>
      <c r="BB105" s="77">
        <f>SUM(AX105:BA105)</f>
        <v>0</v>
      </c>
      <c r="BC105" s="57">
        <f>IF(BC$14=1,'Inputs (2)'!BC83,-BC138*Inputs!BC$273/4)</f>
        <v>0</v>
      </c>
      <c r="BD105" s="57">
        <f>IF(BD$14=1,'Inputs (2)'!BD83,-BD138*Inputs!BD$273/4)</f>
        <v>0</v>
      </c>
      <c r="BE105" s="57">
        <f>IF(BE$14=1,'Inputs (2)'!BE83,-BE138*Inputs!BE$273/4)</f>
        <v>0</v>
      </c>
      <c r="BF105" s="57">
        <f>IF(BF$14=1,'Inputs (2)'!BF83,-BF138*Inputs!BF$273/4)</f>
        <v>0</v>
      </c>
      <c r="BG105" s="77">
        <f>SUM(BC105:BF105)</f>
        <v>0</v>
      </c>
    </row>
    <row r="106" hidden="1" outlineLevel="1">
      <c r="C106" s="61" t="inlineStr">
        <is>
          <t>Recuperações (quando à parte)</t>
        </is>
      </c>
      <c r="D106" s="62" t="inlineStr">
        <is>
          <t>Recoveries</t>
        </is>
      </c>
      <c r="E106" s="57">
        <f>IF(E$14=1,'Inputs (2)'!E84,-E105*Inputs!E$275)</f>
        <v>0</v>
      </c>
      <c r="F106" s="57">
        <f>IF(F$14=1,'Inputs (2)'!F84,-F105*Inputs!F$275)</f>
        <v>0</v>
      </c>
      <c r="G106" s="57">
        <f>IF(G$14=1,'Inputs (2)'!G84,-G105*Inputs!G$275)</f>
        <v>0</v>
      </c>
      <c r="H106" s="57">
        <f>IF(H$14=1,'Inputs (2)'!H84,-H105*Inputs!H$275)</f>
        <v>0</v>
      </c>
      <c r="I106" s="77">
        <f>SUM(E106:H106)</f>
        <v>0</v>
      </c>
      <c r="J106" s="57">
        <f>IF(J$14=1,'Inputs (2)'!J84,-J105*Inputs!J$275)</f>
        <v>0</v>
      </c>
      <c r="K106" s="57">
        <f>IF(K$14=1,'Inputs (2)'!K84,-K105*Inputs!K$275)</f>
        <v>0</v>
      </c>
      <c r="L106" s="57">
        <f>IF(L$14=1,'Inputs (2)'!L84,-L105*Inputs!L$275)</f>
        <v>0</v>
      </c>
      <c r="M106" s="57">
        <f>IF(M$14=1,'Inputs (2)'!M84,-M105*Inputs!M$275)</f>
        <v>0</v>
      </c>
      <c r="N106" s="77">
        <f>SUM(J106:M106)</f>
        <v>0</v>
      </c>
      <c r="O106" s="57">
        <f>IF(O$14=1,'Inputs (2)'!O84,-O105*Inputs!O$275)</f>
        <v>0</v>
      </c>
      <c r="P106" s="57">
        <f>IF(P$14=1,'Inputs (2)'!P84,-P105*Inputs!P$275)</f>
        <v>0</v>
      </c>
      <c r="Q106" s="57">
        <f>IF(Q$14=1,'Inputs (2)'!Q84,-Q105*Inputs!Q$275)</f>
        <v>0</v>
      </c>
      <c r="R106" s="57">
        <f>IF(R$14=1,'Inputs (2)'!R84,-R105*Inputs!R$275)</f>
        <v>0</v>
      </c>
      <c r="S106" s="77">
        <f>SUM(O106:R106)</f>
        <v>0</v>
      </c>
      <c r="T106" s="57">
        <f>IF(T$14=1,'Inputs (2)'!T84,-T105*Inputs!T$275)</f>
        <v>0</v>
      </c>
      <c r="U106" s="57">
        <f>IF(U$14=1,'Inputs (2)'!U84,-U105*Inputs!U$275)</f>
        <v>0</v>
      </c>
      <c r="V106" s="57">
        <f>IF(V$14=1,'Inputs (2)'!V84,-V105*Inputs!V$275)</f>
        <v>0</v>
      </c>
      <c r="W106" s="57">
        <f>IF(W$14=1,'Inputs (2)'!W84,-W105*Inputs!W$275)</f>
        <v>0</v>
      </c>
      <c r="X106" s="77">
        <f>SUM(T106:W106)</f>
        <v>0</v>
      </c>
      <c r="Y106" s="57">
        <f>IF(Y$14=1,'Inputs (2)'!Y84,-Y105*Inputs!Y$275)</f>
        <v>0</v>
      </c>
      <c r="Z106" s="57">
        <f>IF(Z$14=1,'Inputs (2)'!Z84,-Z105*Inputs!Z$275)</f>
        <v>0</v>
      </c>
      <c r="AA106" s="57">
        <f>IF(AA$14=1,'Inputs (2)'!AA84,-AA105*Inputs!AA$275)</f>
        <v>0</v>
      </c>
      <c r="AB106" s="57">
        <f>IF(AB$14=1,'Inputs (2)'!AB84,-AB105*Inputs!AB$275)</f>
        <v>0</v>
      </c>
      <c r="AC106" s="77">
        <f>SUM(Y106:AB106)</f>
        <v>0</v>
      </c>
      <c r="AD106" s="57">
        <f>IF(AD$14=1,'Inputs (2)'!AD84,-AD105*Inputs!AD$275)</f>
        <v>0</v>
      </c>
      <c r="AE106" s="57">
        <f>IF(AE$14=1,'Inputs (2)'!AE84,-AE105*Inputs!AE$275)</f>
        <v>0</v>
      </c>
      <c r="AF106" s="57">
        <f>IF(AF$14=1,'Inputs (2)'!AF84,-AF105*Inputs!AF$275)</f>
        <v>0</v>
      </c>
      <c r="AG106" s="57">
        <f>IF(AG$14=1,'Inputs (2)'!AG84,-AG105*Inputs!AG$275)</f>
        <v>0</v>
      </c>
      <c r="AH106" s="77">
        <f>SUM(AD106:AG106)</f>
        <v>0</v>
      </c>
      <c r="AI106" s="57">
        <f>IF(AI$14=1,'Inputs (2)'!AI84,-AI105*Inputs!AI$275)</f>
        <v>0</v>
      </c>
      <c r="AJ106" s="57">
        <f>IF(AJ$14=1,'Inputs (2)'!AJ84,-AJ105*Inputs!AJ$275)</f>
        <v>0</v>
      </c>
      <c r="AK106" s="57">
        <f>IF(AK$14=1,'Inputs (2)'!AK84,-AK105*Inputs!AK$275)</f>
        <v>0</v>
      </c>
      <c r="AL106" s="57">
        <f>IF(AL$14=1,'Inputs (2)'!AL84,-AL105*Inputs!AL$275)</f>
        <v>0</v>
      </c>
      <c r="AM106" s="77">
        <f>SUM(AI106:AL106)</f>
        <v>0</v>
      </c>
      <c r="AN106" s="57">
        <f>IF(AN$14=1,'Inputs (2)'!AN84,-AN105*Inputs!AN$275)</f>
        <v>0</v>
      </c>
      <c r="AO106" s="57">
        <f>IF(AO$14=1,'Inputs (2)'!AO84,-AO105*Inputs!AO$275)</f>
        <v>0</v>
      </c>
      <c r="AP106" s="57">
        <f>IF(AP$14=1,'Inputs (2)'!AP84,-AP105*Inputs!AP$275)</f>
        <v>0</v>
      </c>
      <c r="AQ106" s="57">
        <f>IF(AQ$14=1,'Inputs (2)'!AQ84,-AQ105*Inputs!AQ$275)</f>
        <v>0</v>
      </c>
      <c r="AR106" s="77">
        <f>SUM(AN106:AQ106)</f>
        <v>0</v>
      </c>
      <c r="AS106" s="57">
        <f>IF(AS$14=1,'Inputs (2)'!AS84,-AS105*Inputs!AS$275)</f>
        <v>0</v>
      </c>
      <c r="AT106" s="57">
        <f>IF(AT$14=1,'Inputs (2)'!AT84,-AT105*Inputs!AT$275)</f>
        <v>0</v>
      </c>
      <c r="AU106" s="57">
        <f>IF(AU$14=1,'Inputs (2)'!AU84,-AU105*Inputs!AU$275)</f>
        <v>0</v>
      </c>
      <c r="AV106" s="57">
        <f>IF(AV$14=1,'Inputs (2)'!AV84,-AV105*Inputs!AV$275)</f>
        <v>0</v>
      </c>
      <c r="AW106" s="77">
        <f>SUM(AS106:AV106)</f>
        <v>0</v>
      </c>
      <c r="AX106" s="57">
        <f>IF(AX$14=1,'Inputs (2)'!AX84,-AX105*Inputs!AX$275)</f>
        <v>0</v>
      </c>
      <c r="AY106" s="57">
        <f>IF(AY$14=1,'Inputs (2)'!AY84,-AY105*Inputs!AY$275)</f>
        <v>0</v>
      </c>
      <c r="AZ106" s="57">
        <f>IF(AZ$14=1,'Inputs (2)'!AZ84,-AZ105*Inputs!AZ$275)</f>
        <v>0</v>
      </c>
      <c r="BA106" s="57">
        <f>IF(BA$14=1,'Inputs (2)'!BA84,-BA105*Inputs!BA$275)</f>
        <v>0</v>
      </c>
      <c r="BB106" s="77">
        <f>SUM(AX106:BA106)</f>
        <v>0</v>
      </c>
      <c r="BC106" s="57">
        <f>IF(BC$14=1,'Inputs (2)'!BC84,-BC105*Inputs!BC$275)</f>
        <v>0</v>
      </c>
      <c r="BD106" s="57">
        <f>IF(BD$14=1,'Inputs (2)'!BD84,-BD105*Inputs!BD$275)</f>
        <v>0</v>
      </c>
      <c r="BE106" s="57">
        <f>IF(BE$14=1,'Inputs (2)'!BE84,-BE105*Inputs!BE$275)</f>
        <v>0</v>
      </c>
      <c r="BF106" s="57">
        <f>IF(BF$14=1,'Inputs (2)'!BF84,-BF105*Inputs!BF$275)</f>
        <v>0</v>
      </c>
      <c r="BG106" s="77">
        <f>SUM(BC106:BF106)</f>
        <v>0</v>
      </c>
    </row>
    <row r="107" collapsed="1">
      <c r="C107" s="53" t="inlineStr">
        <is>
          <t>NII após provisão</t>
        </is>
      </c>
      <c r="D107" s="54" t="inlineStr">
        <is>
          <t>NII after provision</t>
        </is>
      </c>
      <c r="E107" s="59">
        <f>E103+E104</f>
        <v>0</v>
      </c>
      <c r="F107" s="59">
        <f>F103+F104</f>
        <v>0</v>
      </c>
      <c r="G107" s="59">
        <f>G103+G104</f>
        <v>0</v>
      </c>
      <c r="H107" s="59">
        <f>H103+H104</f>
        <v>0</v>
      </c>
      <c r="I107" s="60">
        <f>SUM(E107:H107)</f>
        <v>0</v>
      </c>
      <c r="J107" s="59">
        <f>J103+J104</f>
        <v>0</v>
      </c>
      <c r="K107" s="59">
        <f>K103+K104</f>
        <v>0</v>
      </c>
      <c r="L107" s="59">
        <f>L103+L104</f>
        <v>0</v>
      </c>
      <c r="M107" s="59">
        <f>M103+M104</f>
        <v>0</v>
      </c>
      <c r="N107" s="60">
        <f>SUM(J107:M107)</f>
        <v>0</v>
      </c>
      <c r="O107" s="59">
        <f>O103+O104</f>
        <v>0</v>
      </c>
      <c r="P107" s="59">
        <f>P103+P104</f>
        <v>0</v>
      </c>
      <c r="Q107" s="59">
        <f>Q103+Q104</f>
        <v>0</v>
      </c>
      <c r="R107" s="59">
        <f>R103+R104</f>
        <v>0</v>
      </c>
      <c r="S107" s="60">
        <f>SUM(O107:R107)</f>
        <v>0</v>
      </c>
      <c r="T107" s="59">
        <f>T103+T104</f>
        <v>0</v>
      </c>
      <c r="U107" s="59">
        <f>U103+U104</f>
        <v>0</v>
      </c>
      <c r="V107" s="59">
        <f>V103+V104</f>
        <v>0</v>
      </c>
      <c r="W107" s="59">
        <f>W103+W104</f>
        <v>0</v>
      </c>
      <c r="X107" s="60">
        <f>SUM(T107:W107)</f>
        <v>0</v>
      </c>
      <c r="Y107" s="59">
        <f>Y103+Y104</f>
        <v>0</v>
      </c>
      <c r="Z107" s="59">
        <f>Z103+Z104</f>
        <v>0</v>
      </c>
      <c r="AA107" s="59">
        <f>AA103+AA104</f>
        <v>0</v>
      </c>
      <c r="AB107" s="59">
        <f>AB103+AB104</f>
        <v>0</v>
      </c>
      <c r="AC107" s="60">
        <f>SUM(Y107:AB107)</f>
        <v>0</v>
      </c>
      <c r="AD107" s="59">
        <f>AD103+AD104</f>
        <v>0</v>
      </c>
      <c r="AE107" s="59">
        <f>AE103+AE104</f>
        <v>0</v>
      </c>
      <c r="AF107" s="59">
        <f>AF103+AF104</f>
        <v>0</v>
      </c>
      <c r="AG107" s="59">
        <f>AG103+AG104</f>
        <v>0</v>
      </c>
      <c r="AH107" s="60">
        <f>SUM(AD107:AG107)</f>
        <v>0</v>
      </c>
      <c r="AI107" s="59">
        <f>AI103+AI104</f>
        <v>0</v>
      </c>
      <c r="AJ107" s="59">
        <f>AJ103+AJ104</f>
        <v>0</v>
      </c>
      <c r="AK107" s="59">
        <f>AK103+AK104</f>
        <v>0</v>
      </c>
      <c r="AL107" s="59">
        <f>AL103+AL104</f>
        <v>0</v>
      </c>
      <c r="AM107" s="60">
        <f>SUM(AI107:AL107)</f>
        <v>0</v>
      </c>
      <c r="AN107" s="59">
        <f>AN103+AN104</f>
        <v>0</v>
      </c>
      <c r="AO107" s="59">
        <f>AO103+AO104</f>
        <v>0</v>
      </c>
      <c r="AP107" s="59">
        <f>AP103+AP104</f>
        <v>0</v>
      </c>
      <c r="AQ107" s="59">
        <f>AQ103+AQ104</f>
        <v>0</v>
      </c>
      <c r="AR107" s="60">
        <f>SUM(AN107:AQ107)</f>
        <v>0</v>
      </c>
      <c r="AS107" s="59">
        <f>AS103+AS104</f>
        <v>0</v>
      </c>
      <c r="AT107" s="59">
        <f>AT103+AT104</f>
        <v>0</v>
      </c>
      <c r="AU107" s="59">
        <f>AU103+AU104</f>
        <v>0</v>
      </c>
      <c r="AV107" s="59">
        <f>AV103+AV104</f>
        <v>0</v>
      </c>
      <c r="AW107" s="60">
        <f>SUM(AS107:AV107)</f>
        <v>0</v>
      </c>
      <c r="AX107" s="59">
        <f>AX103+AX104</f>
        <v>0</v>
      </c>
      <c r="AY107" s="59">
        <f>AY103+AY104</f>
        <v>0</v>
      </c>
      <c r="AZ107" s="59">
        <f>AZ103+AZ104</f>
        <v>0</v>
      </c>
      <c r="BA107" s="59">
        <f>BA103+BA104</f>
        <v>0</v>
      </c>
      <c r="BB107" s="60">
        <f>SUM(AX107:BA107)</f>
        <v>0</v>
      </c>
      <c r="BC107" s="59">
        <f>BC103+BC104</f>
        <v>0</v>
      </c>
      <c r="BD107" s="59">
        <f>BD103+BD104</f>
        <v>0</v>
      </c>
      <c r="BE107" s="59">
        <f>BE103+BE104</f>
        <v>0</v>
      </c>
      <c r="BF107" s="59">
        <f>BF103+BF104</f>
        <v>0</v>
      </c>
      <c r="BG107" s="60">
        <f>SUM(BC107:BF107)</f>
        <v>0</v>
      </c>
    </row>
    <row r="108">
      <c r="C108" s="83" t="inlineStr">
        <is>
          <t>Receitas e despesas não-juros</t>
        </is>
      </c>
      <c r="D108" s="84" t="inlineStr">
        <is>
          <t>Noninterest revenue and expense</t>
        </is>
      </c>
      <c r="E108" s="85">
        <f>E109+E110+E111+E112+E113+E117+E118+E119+E120</f>
        <v>0</v>
      </c>
      <c r="F108" s="85">
        <f>F109+F110+F111+F112+F113+F117+F118+F119+F120</f>
        <v>0</v>
      </c>
      <c r="G108" s="85">
        <f>G109+G110+G111+G112+G113+G117+G118+G119+G120</f>
        <v>0</v>
      </c>
      <c r="H108" s="85">
        <f>H109+H110+H111+H112+H113+H117+H118+H119+H120</f>
        <v>0</v>
      </c>
      <c r="I108" s="60">
        <f>SUM(E108:H108)</f>
        <v>0</v>
      </c>
      <c r="J108" s="85">
        <f>J109+J110+J111+J112+J113+J117+J118+J119+J120</f>
        <v>0</v>
      </c>
      <c r="K108" s="85">
        <f>K109+K110+K111+K112+K113+K117+K118+K119+K120</f>
        <v>0</v>
      </c>
      <c r="L108" s="85">
        <f>L109+L110+L111+L112+L113+L117+L118+L119+L120</f>
        <v>0</v>
      </c>
      <c r="M108" s="85">
        <f>M109+M110+M111+M112+M113+M117+M118+M119+M120</f>
        <v>0</v>
      </c>
      <c r="N108" s="60">
        <f>SUM(J108:M108)</f>
        <v>0</v>
      </c>
      <c r="O108" s="85">
        <f>O109+O110+O111+O112+O113+O117+O118+O119+O120</f>
        <v>0</v>
      </c>
      <c r="P108" s="85">
        <f>P109+P110+P111+P112+P113+P117+P118+P119+P120</f>
        <v>0</v>
      </c>
      <c r="Q108" s="85">
        <f>Q109+Q110+Q111+Q112+Q113+Q117+Q118+Q119+Q120</f>
        <v>0</v>
      </c>
      <c r="R108" s="85">
        <f>R109+R110+R111+R112+R113+R117+R118+R119+R120</f>
        <v>0</v>
      </c>
      <c r="S108" s="60">
        <f>SUM(O108:R108)</f>
        <v>0</v>
      </c>
      <c r="T108" s="85">
        <f>T109+T110+T111+T112+T113+T117+T118+T119+T120</f>
        <v>0</v>
      </c>
      <c r="U108" s="85">
        <f>U109+U110+U111+U112+U113+U117+U118+U119+U120</f>
        <v>0</v>
      </c>
      <c r="V108" s="85">
        <f>V109+V110+V111+V112+V113+V117+V118+V119+V120</f>
        <v>0</v>
      </c>
      <c r="W108" s="85">
        <f>W109+W110+W111+W112+W113+W117+W118+W119+W120</f>
        <v>0</v>
      </c>
      <c r="X108" s="60">
        <f>SUM(T108:W108)</f>
        <v>0</v>
      </c>
      <c r="Y108" s="85">
        <f>Y109+Y110+Y111+Y112+Y113+Y117+Y118+Y119+Y120</f>
        <v>0</v>
      </c>
      <c r="Z108" s="85">
        <f>Z109+Z110+Z111+Z112+Z113+Z117+Z118+Z119+Z120</f>
        <v>0</v>
      </c>
      <c r="AA108" s="85">
        <f>AA109+AA110+AA111+AA112+AA113+AA117+AA118+AA119+AA120</f>
        <v>0</v>
      </c>
      <c r="AB108" s="85">
        <f>AB109+AB110+AB111+AB112+AB113+AB117+AB118+AB119+AB120</f>
        <v>0</v>
      </c>
      <c r="AC108" s="60">
        <f>SUM(Y108:AB108)</f>
        <v>0</v>
      </c>
      <c r="AD108" s="85">
        <f>AD109+AD110+AD111+AD112+AD113+AD117+AD118+AD119+AD120</f>
        <v>0</v>
      </c>
      <c r="AE108" s="85">
        <f>AE109+AE110+AE111+AE112+AE113+AE117+AE118+AE119+AE120</f>
        <v>0</v>
      </c>
      <c r="AF108" s="85">
        <f>AF109+AF110+AF111+AF112+AF113+AF117+AF118+AF119+AF120</f>
        <v>0</v>
      </c>
      <c r="AG108" s="85">
        <f>AG109+AG110+AG111+AG112+AG113+AG117+AG118+AG119+AG120</f>
        <v>0</v>
      </c>
      <c r="AH108" s="60">
        <f>SUM(AD108:AG108)</f>
        <v>0</v>
      </c>
      <c r="AI108" s="85">
        <f>AI109+AI110+AI111+AI112+AI113+AI117+AI118+AI119+AI120</f>
        <v>0</v>
      </c>
      <c r="AJ108" s="85">
        <f>AJ109+AJ110+AJ111+AJ112+AJ113+AJ117+AJ118+AJ119+AJ120</f>
        <v>0</v>
      </c>
      <c r="AK108" s="85">
        <f>AK109+AK110+AK111+AK112+AK113+AK117+AK118+AK119+AK120</f>
        <v>0</v>
      </c>
      <c r="AL108" s="85">
        <f>AL109+AL110+AL111+AL112+AL113+AL117+AL118+AL119+AL120</f>
        <v>0</v>
      </c>
      <c r="AM108" s="60">
        <f>SUM(AI108:AL108)</f>
        <v>0</v>
      </c>
      <c r="AN108" s="85">
        <f>AN109+AN110+AN111+AN112+AN113+AN117+AN118+AN119+AN120</f>
        <v>0</v>
      </c>
      <c r="AO108" s="85">
        <f>AO109+AO110+AO111+AO112+AO113+AO117+AO118+AO119+AO120</f>
        <v>0</v>
      </c>
      <c r="AP108" s="85">
        <f>AP109+AP110+AP111+AP112+AP113+AP117+AP118+AP119+AP120</f>
        <v>0</v>
      </c>
      <c r="AQ108" s="85">
        <f>AQ109+AQ110+AQ111+AQ112+AQ113+AQ117+AQ118+AQ119+AQ120</f>
        <v>0</v>
      </c>
      <c r="AR108" s="60">
        <f>SUM(AN108:AQ108)</f>
        <v>0</v>
      </c>
      <c r="AS108" s="85">
        <f>AS109+AS110+AS111+AS112+AS113+AS117+AS118+AS119+AS120</f>
        <v>0</v>
      </c>
      <c r="AT108" s="85">
        <f>AT109+AT110+AT111+AT112+AT113+AT117+AT118+AT119+AT120</f>
        <v>0</v>
      </c>
      <c r="AU108" s="85">
        <f>AU109+AU110+AU111+AU112+AU113+AU117+AU118+AU119+AU120</f>
        <v>0</v>
      </c>
      <c r="AV108" s="85">
        <f>AV109+AV110+AV111+AV112+AV113+AV117+AV118+AV119+AV120</f>
        <v>0</v>
      </c>
      <c r="AW108" s="60">
        <f>SUM(AS108:AV108)</f>
        <v>0</v>
      </c>
      <c r="AX108" s="85">
        <f>AX109+AX110+AX111+AX112+AX113+AX117+AX118+AX119+AX120</f>
        <v>0</v>
      </c>
      <c r="AY108" s="85">
        <f>AY109+AY110+AY111+AY112+AY113+AY117+AY118+AY119+AY120</f>
        <v>0</v>
      </c>
      <c r="AZ108" s="85">
        <f>AZ109+AZ110+AZ111+AZ112+AZ113+AZ117+AZ118+AZ119+AZ120</f>
        <v>0</v>
      </c>
      <c r="BA108" s="85">
        <f>BA109+BA110+BA111+BA112+BA113+BA117+BA118+BA119+BA120</f>
        <v>0</v>
      </c>
      <c r="BB108" s="60">
        <f>SUM(AX108:BA108)</f>
        <v>0</v>
      </c>
      <c r="BC108" s="85">
        <f>BC109+BC110+BC111+BC112+BC113+BC117+BC118+BC119+BC120</f>
        <v>0</v>
      </c>
      <c r="BD108" s="85">
        <f>BD109+BD110+BD111+BD112+BD113+BD117+BD118+BD119+BD120</f>
        <v>0</v>
      </c>
      <c r="BE108" s="85">
        <f>BE109+BE110+BE111+BE112+BE113+BE117+BE118+BE119+BE120</f>
        <v>0</v>
      </c>
      <c r="BF108" s="85">
        <f>BF109+BF110+BF111+BF112+BF113+BF117+BF118+BF119+BF120</f>
        <v>0</v>
      </c>
      <c r="BG108" s="60">
        <f>SUM(BC108:BF108)</f>
        <v>0</v>
      </c>
    </row>
    <row r="109" hidden="1" outlineLevel="1">
      <c r="C109" s="61" t="inlineStr">
        <is>
          <t>Receitas de tarifas e comissões</t>
        </is>
      </c>
      <c r="D109" s="62" t="inlineStr">
        <is>
          <t>Fees and commissions</t>
        </is>
      </c>
      <c r="E109" s="57">
        <f>'Inputs (2)'!E87</f>
        <v>0</v>
      </c>
      <c r="F109" s="57">
        <f>'Inputs (2)'!F87</f>
        <v>0</v>
      </c>
      <c r="G109" s="57">
        <f>'Inputs (2)'!G87</f>
        <v>0</v>
      </c>
      <c r="H109" s="57">
        <f>'Inputs (2)'!H87</f>
        <v>0</v>
      </c>
      <c r="I109" s="77">
        <f>SUM(E109:H109)</f>
        <v>0</v>
      </c>
      <c r="J109" s="57">
        <f>IF(J$14=1,'Inputs (2)'!J87,E109*(1+Inputs!J$286))</f>
        <v>0</v>
      </c>
      <c r="K109" s="57">
        <f>IF(K$14=1,'Inputs (2)'!K87,F109*(1+Inputs!K$286))</f>
        <v>0</v>
      </c>
      <c r="L109" s="57">
        <f>IF(L$14=1,'Inputs (2)'!L87,G109*(1+Inputs!L$286))</f>
        <v>0</v>
      </c>
      <c r="M109" s="57">
        <f>IF(M$14=1,'Inputs (2)'!M87,H109*(1+Inputs!M$286))</f>
        <v>0</v>
      </c>
      <c r="N109" s="77">
        <f>SUM(J109:M109)</f>
        <v>0</v>
      </c>
      <c r="O109" s="57">
        <f>IF(O$14=1,'Inputs (2)'!O87,J109*(1+Inputs!O$286))</f>
        <v>0</v>
      </c>
      <c r="P109" s="57">
        <f>IF(P$14=1,'Inputs (2)'!P87,K109*(1+Inputs!P$286))</f>
        <v>0</v>
      </c>
      <c r="Q109" s="57">
        <f>IF(Q$14=1,'Inputs (2)'!Q87,L109*(1+Inputs!Q$286))</f>
        <v>0</v>
      </c>
      <c r="R109" s="57">
        <f>IF(R$14=1,'Inputs (2)'!R87,M109*(1+Inputs!R$286))</f>
        <v>0</v>
      </c>
      <c r="S109" s="77">
        <f>SUM(O109:R109)</f>
        <v>0</v>
      </c>
      <c r="T109" s="57">
        <f>IF(T$14=1,'Inputs (2)'!T87,O109*(1+Inputs!T$286))</f>
        <v>0</v>
      </c>
      <c r="U109" s="57">
        <f>IF(U$14=1,'Inputs (2)'!U87,P109*(1+Inputs!U$286))</f>
        <v>0</v>
      </c>
      <c r="V109" s="57">
        <f>IF(V$14=1,'Inputs (2)'!V87,Q109*(1+Inputs!V$286))</f>
        <v>0</v>
      </c>
      <c r="W109" s="57">
        <f>IF(W$14=1,'Inputs (2)'!W87,R109*(1+Inputs!W$286))</f>
        <v>0</v>
      </c>
      <c r="X109" s="77">
        <f>SUM(T109:W109)</f>
        <v>0</v>
      </c>
      <c r="Y109" s="57">
        <f>IF(Y$14=1,'Inputs (2)'!Y87,T109*(1+Inputs!Y$286))</f>
        <v>0</v>
      </c>
      <c r="Z109" s="57">
        <f>IF(Z$14=1,'Inputs (2)'!Z87,U109*(1+Inputs!Z$286))</f>
        <v>0</v>
      </c>
      <c r="AA109" s="57">
        <f>IF(AA$14=1,'Inputs (2)'!AA87,V109*(1+Inputs!AA$286))</f>
        <v>0</v>
      </c>
      <c r="AB109" s="57">
        <f>IF(AB$14=1,'Inputs (2)'!AB87,W109*(1+Inputs!AB$286))</f>
        <v>0</v>
      </c>
      <c r="AC109" s="77">
        <f>SUM(Y109:AB109)</f>
        <v>0</v>
      </c>
      <c r="AD109" s="57">
        <f>IF(AD$14=1,'Inputs (2)'!AD87,Y109*(1+Inputs!AD$286))</f>
        <v>0</v>
      </c>
      <c r="AE109" s="57">
        <f>IF(AE$14=1,'Inputs (2)'!AE87,Z109*(1+Inputs!AE$286))</f>
        <v>0</v>
      </c>
      <c r="AF109" s="57">
        <f>IF(AF$14=1,'Inputs (2)'!AF87,AA109*(1+Inputs!AF$286))</f>
        <v>0</v>
      </c>
      <c r="AG109" s="57">
        <f>IF(AG$14=1,'Inputs (2)'!AG87,AB109*(1+Inputs!AG$286))</f>
        <v>0</v>
      </c>
      <c r="AH109" s="77">
        <f>SUM(AD109:AG109)</f>
        <v>0</v>
      </c>
      <c r="AI109" s="57">
        <f>IF(AI$14=1,'Inputs (2)'!AI87,AD109*(1+Inputs!AI$286))</f>
        <v>0</v>
      </c>
      <c r="AJ109" s="57">
        <f>IF(AJ$14=1,'Inputs (2)'!AJ87,AE109*(1+Inputs!AJ$286))</f>
        <v>0</v>
      </c>
      <c r="AK109" s="57">
        <f>IF(AK$14=1,'Inputs (2)'!AK87,AF109*(1+Inputs!AK$286))</f>
        <v>0</v>
      </c>
      <c r="AL109" s="57">
        <f>IF(AL$14=1,'Inputs (2)'!AL87,AG109*(1+Inputs!AL$286))</f>
        <v>0</v>
      </c>
      <c r="AM109" s="77">
        <f>SUM(AI109:AL109)</f>
        <v>0</v>
      </c>
      <c r="AN109" s="57">
        <f>IF(AN$14=1,'Inputs (2)'!AN87,AI109*(1+Inputs!AN$286))</f>
        <v>0</v>
      </c>
      <c r="AO109" s="57">
        <f>IF(AO$14=1,'Inputs (2)'!AO87,AJ109*(1+Inputs!AO$286))</f>
        <v>0</v>
      </c>
      <c r="AP109" s="57">
        <f>IF(AP$14=1,'Inputs (2)'!AP87,AK109*(1+Inputs!AP$286))</f>
        <v>0</v>
      </c>
      <c r="AQ109" s="57">
        <f>IF(AQ$14=1,'Inputs (2)'!AQ87,AL109*(1+Inputs!AQ$286))</f>
        <v>0</v>
      </c>
      <c r="AR109" s="77">
        <f>SUM(AN109:AQ109)</f>
        <v>0</v>
      </c>
      <c r="AS109" s="57">
        <f>IF(AS$14=1,'Inputs (2)'!AS87,AN109*(1+Inputs!AS$286))</f>
        <v>0</v>
      </c>
      <c r="AT109" s="57">
        <f>IF(AT$14=1,'Inputs (2)'!AT87,AO109*(1+Inputs!AT$286))</f>
        <v>0</v>
      </c>
      <c r="AU109" s="57">
        <f>IF(AU$14=1,'Inputs (2)'!AU87,AP109*(1+Inputs!AU$286))</f>
        <v>0</v>
      </c>
      <c r="AV109" s="57">
        <f>IF(AV$14=1,'Inputs (2)'!AV87,AQ109*(1+Inputs!AV$286))</f>
        <v>0</v>
      </c>
      <c r="AW109" s="77">
        <f>SUM(AS109:AV109)</f>
        <v>0</v>
      </c>
      <c r="AX109" s="57">
        <f>IF(AX$14=1,'Inputs (2)'!AX87,AS109*(1+Inputs!AX$286))</f>
        <v>0</v>
      </c>
      <c r="AY109" s="57">
        <f>IF(AY$14=1,'Inputs (2)'!AY87,AT109*(1+Inputs!AY$286))</f>
        <v>0</v>
      </c>
      <c r="AZ109" s="57">
        <f>IF(AZ$14=1,'Inputs (2)'!AZ87,AU109*(1+Inputs!AZ$286))</f>
        <v>0</v>
      </c>
      <c r="BA109" s="57">
        <f>IF(BA$14=1,'Inputs (2)'!BA87,AV109*(1+Inputs!BA$286))</f>
        <v>0</v>
      </c>
      <c r="BB109" s="77">
        <f>SUM(AX109:BA109)</f>
        <v>0</v>
      </c>
      <c r="BC109" s="57">
        <f>IF(BC$14=1,'Inputs (2)'!BC87,AX109*(1+Inputs!BC$286))</f>
        <v>0</v>
      </c>
      <c r="BD109" s="57">
        <f>IF(BD$14=1,'Inputs (2)'!BD87,AY109*(1+Inputs!BD$286))</f>
        <v>0</v>
      </c>
      <c r="BE109" s="57">
        <f>IF(BE$14=1,'Inputs (2)'!BE87,AZ109*(1+Inputs!BE$286))</f>
        <v>0</v>
      </c>
      <c r="BF109" s="57">
        <f>IF(BF$14=1,'Inputs (2)'!BF87,BA109*(1+Inputs!BF$286))</f>
        <v>0</v>
      </c>
      <c r="BG109" s="77">
        <f>SUM(BC109:BF109)</f>
        <v>0</v>
      </c>
    </row>
    <row r="110" hidden="1" outlineLevel="1">
      <c r="C110" s="61" t="inlineStr">
        <is>
          <t>Resultado de trading (principal transactions)</t>
        </is>
      </c>
      <c r="D110" s="62" t="inlineStr">
        <is>
          <t>Principal transactions</t>
        </is>
      </c>
      <c r="E110" s="57">
        <f>'Inputs (2)'!E88</f>
        <v>0</v>
      </c>
      <c r="F110" s="57">
        <f>'Inputs (2)'!F88</f>
        <v>0</v>
      </c>
      <c r="G110" s="57">
        <f>'Inputs (2)'!G88</f>
        <v>0</v>
      </c>
      <c r="H110" s="57">
        <f>'Inputs (2)'!H88</f>
        <v>0</v>
      </c>
      <c r="I110" s="77">
        <f>SUM(E110:H110)</f>
        <v>0</v>
      </c>
      <c r="J110" s="57">
        <f>IF(J$14=1,'Inputs (2)'!J88,E110*(1+Inputs!J$287))</f>
        <v>0</v>
      </c>
      <c r="K110" s="57">
        <f>IF(K$14=1,'Inputs (2)'!K88,F110*(1+Inputs!K$287))</f>
        <v>0</v>
      </c>
      <c r="L110" s="57">
        <f>IF(L$14=1,'Inputs (2)'!L88,G110*(1+Inputs!L$287))</f>
        <v>0</v>
      </c>
      <c r="M110" s="57">
        <f>IF(M$14=1,'Inputs (2)'!M88,H110*(1+Inputs!M$287))</f>
        <v>0</v>
      </c>
      <c r="N110" s="77">
        <f>SUM(J110:M110)</f>
        <v>0</v>
      </c>
      <c r="O110" s="57">
        <f>IF(O$14=1,'Inputs (2)'!O88,J110*(1+Inputs!O$287))</f>
        <v>0</v>
      </c>
      <c r="P110" s="57">
        <f>IF(P$14=1,'Inputs (2)'!P88,K110*(1+Inputs!P$287))</f>
        <v>0</v>
      </c>
      <c r="Q110" s="57">
        <f>IF(Q$14=1,'Inputs (2)'!Q88,L110*(1+Inputs!Q$287))</f>
        <v>0</v>
      </c>
      <c r="R110" s="57">
        <f>IF(R$14=1,'Inputs (2)'!R88,M110*(1+Inputs!R$287))</f>
        <v>0</v>
      </c>
      <c r="S110" s="77">
        <f>SUM(O110:R110)</f>
        <v>0</v>
      </c>
      <c r="T110" s="57">
        <f>IF(T$14=1,'Inputs (2)'!T88,O110*(1+Inputs!T$287))</f>
        <v>0</v>
      </c>
      <c r="U110" s="57">
        <f>IF(U$14=1,'Inputs (2)'!U88,P110*(1+Inputs!U$287))</f>
        <v>0</v>
      </c>
      <c r="V110" s="57">
        <f>IF(V$14=1,'Inputs (2)'!V88,Q110*(1+Inputs!V$287))</f>
        <v>0</v>
      </c>
      <c r="W110" s="57">
        <f>IF(W$14=1,'Inputs (2)'!W88,R110*(1+Inputs!W$287))</f>
        <v>0</v>
      </c>
      <c r="X110" s="77">
        <f>SUM(T110:W110)</f>
        <v>0</v>
      </c>
      <c r="Y110" s="57">
        <f>IF(Y$14=1,'Inputs (2)'!Y88,T110*(1+Inputs!Y$287))</f>
        <v>0</v>
      </c>
      <c r="Z110" s="57">
        <f>IF(Z$14=1,'Inputs (2)'!Z88,U110*(1+Inputs!Z$287))</f>
        <v>0</v>
      </c>
      <c r="AA110" s="57">
        <f>IF(AA$14=1,'Inputs (2)'!AA88,V110*(1+Inputs!AA$287))</f>
        <v>0</v>
      </c>
      <c r="AB110" s="57">
        <f>IF(AB$14=1,'Inputs (2)'!AB88,W110*(1+Inputs!AB$287))</f>
        <v>0</v>
      </c>
      <c r="AC110" s="77">
        <f>SUM(Y110:AB110)</f>
        <v>0</v>
      </c>
      <c r="AD110" s="57">
        <f>IF(AD$14=1,'Inputs (2)'!AD88,Y110*(1+Inputs!AD$287))</f>
        <v>0</v>
      </c>
      <c r="AE110" s="57">
        <f>IF(AE$14=1,'Inputs (2)'!AE88,Z110*(1+Inputs!AE$287))</f>
        <v>0</v>
      </c>
      <c r="AF110" s="57">
        <f>IF(AF$14=1,'Inputs (2)'!AF88,AA110*(1+Inputs!AF$287))</f>
        <v>0</v>
      </c>
      <c r="AG110" s="57">
        <f>IF(AG$14=1,'Inputs (2)'!AG88,AB110*(1+Inputs!AG$287))</f>
        <v>0</v>
      </c>
      <c r="AH110" s="77">
        <f>SUM(AD110:AG110)</f>
        <v>0</v>
      </c>
      <c r="AI110" s="57">
        <f>IF(AI$14=1,'Inputs (2)'!AI88,AD110*(1+Inputs!AI$287))</f>
        <v>0</v>
      </c>
      <c r="AJ110" s="57">
        <f>IF(AJ$14=1,'Inputs (2)'!AJ88,AE110*(1+Inputs!AJ$287))</f>
        <v>0</v>
      </c>
      <c r="AK110" s="57">
        <f>IF(AK$14=1,'Inputs (2)'!AK88,AF110*(1+Inputs!AK$287))</f>
        <v>0</v>
      </c>
      <c r="AL110" s="57">
        <f>IF(AL$14=1,'Inputs (2)'!AL88,AG110*(1+Inputs!AL$287))</f>
        <v>0</v>
      </c>
      <c r="AM110" s="77">
        <f>SUM(AI110:AL110)</f>
        <v>0</v>
      </c>
      <c r="AN110" s="57">
        <f>IF(AN$14=1,'Inputs (2)'!AN88,AI110*(1+Inputs!AN$287))</f>
        <v>0</v>
      </c>
      <c r="AO110" s="57">
        <f>IF(AO$14=1,'Inputs (2)'!AO88,AJ110*(1+Inputs!AO$287))</f>
        <v>0</v>
      </c>
      <c r="AP110" s="57">
        <f>IF(AP$14=1,'Inputs (2)'!AP88,AK110*(1+Inputs!AP$287))</f>
        <v>0</v>
      </c>
      <c r="AQ110" s="57">
        <f>IF(AQ$14=1,'Inputs (2)'!AQ88,AL110*(1+Inputs!AQ$287))</f>
        <v>0</v>
      </c>
      <c r="AR110" s="77">
        <f>SUM(AN110:AQ110)</f>
        <v>0</v>
      </c>
      <c r="AS110" s="57">
        <f>IF(AS$14=1,'Inputs (2)'!AS88,AN110*(1+Inputs!AS$287))</f>
        <v>0</v>
      </c>
      <c r="AT110" s="57">
        <f>IF(AT$14=1,'Inputs (2)'!AT88,AO110*(1+Inputs!AT$287))</f>
        <v>0</v>
      </c>
      <c r="AU110" s="57">
        <f>IF(AU$14=1,'Inputs (2)'!AU88,AP110*(1+Inputs!AU$287))</f>
        <v>0</v>
      </c>
      <c r="AV110" s="57">
        <f>IF(AV$14=1,'Inputs (2)'!AV88,AQ110*(1+Inputs!AV$287))</f>
        <v>0</v>
      </c>
      <c r="AW110" s="77">
        <f>SUM(AS110:AV110)</f>
        <v>0</v>
      </c>
      <c r="AX110" s="57">
        <f>IF(AX$14=1,'Inputs (2)'!AX88,AS110*(1+Inputs!AX$287))</f>
        <v>0</v>
      </c>
      <c r="AY110" s="57">
        <f>IF(AY$14=1,'Inputs (2)'!AY88,AT110*(1+Inputs!AY$287))</f>
        <v>0</v>
      </c>
      <c r="AZ110" s="57">
        <f>IF(AZ$14=1,'Inputs (2)'!AZ88,AU110*(1+Inputs!AZ$287))</f>
        <v>0</v>
      </c>
      <c r="BA110" s="57">
        <f>IF(BA$14=1,'Inputs (2)'!BA88,AV110*(1+Inputs!BA$287))</f>
        <v>0</v>
      </c>
      <c r="BB110" s="77">
        <f>SUM(AX110:BA110)</f>
        <v>0</v>
      </c>
      <c r="BC110" s="57">
        <f>IF(BC$14=1,'Inputs (2)'!BC88,AX110*(1+Inputs!BC$287))</f>
        <v>0</v>
      </c>
      <c r="BD110" s="57">
        <f>IF(BD$14=1,'Inputs (2)'!BD88,AY110*(1+Inputs!BD$287))</f>
        <v>0</v>
      </c>
      <c r="BE110" s="57">
        <f>IF(BE$14=1,'Inputs (2)'!BE88,AZ110*(1+Inputs!BE$287))</f>
        <v>0</v>
      </c>
      <c r="BF110" s="57">
        <f>IF(BF$14=1,'Inputs (2)'!BF88,BA110*(1+Inputs!BF$287))</f>
        <v>0</v>
      </c>
      <c r="BG110" s="77">
        <f>SUM(BC110:BF110)</f>
        <v>0</v>
      </c>
    </row>
    <row r="111" hidden="1" outlineLevel="1">
      <c r="C111" s="61" t="inlineStr">
        <is>
          <t>(Remuneração e benefícios)</t>
        </is>
      </c>
      <c r="D111" s="62" t="inlineStr">
        <is>
          <t>(Compensation)</t>
        </is>
      </c>
      <c r="E111" s="57">
        <f>'Inputs (2)'!E89</f>
        <v>0</v>
      </c>
      <c r="F111" s="57">
        <f>'Inputs (2)'!F89</f>
        <v>0</v>
      </c>
      <c r="G111" s="57">
        <f>'Inputs (2)'!G89</f>
        <v>0</v>
      </c>
      <c r="H111" s="57">
        <f>'Inputs (2)'!H89</f>
        <v>0</v>
      </c>
      <c r="I111" s="77">
        <f>SUM(E111:H111)</f>
        <v>0</v>
      </c>
      <c r="J111" s="57">
        <f>IF(J$14=1,'Inputs (2)'!J89,E111*(1+Inputs!J$288))</f>
        <v>0</v>
      </c>
      <c r="K111" s="57">
        <f>IF(K$14=1,'Inputs (2)'!K89,F111*(1+Inputs!K$288))</f>
        <v>0</v>
      </c>
      <c r="L111" s="57">
        <f>IF(L$14=1,'Inputs (2)'!L89,G111*(1+Inputs!L$288))</f>
        <v>0</v>
      </c>
      <c r="M111" s="57">
        <f>IF(M$14=1,'Inputs (2)'!M89,H111*(1+Inputs!M$288))</f>
        <v>0</v>
      </c>
      <c r="N111" s="77">
        <f>SUM(J111:M111)</f>
        <v>0</v>
      </c>
      <c r="O111" s="57">
        <f>IF(O$14=1,'Inputs (2)'!O89,J111*(1+Inputs!O$288))</f>
        <v>0</v>
      </c>
      <c r="P111" s="57">
        <f>IF(P$14=1,'Inputs (2)'!P89,K111*(1+Inputs!P$288))</f>
        <v>0</v>
      </c>
      <c r="Q111" s="57">
        <f>IF(Q$14=1,'Inputs (2)'!Q89,L111*(1+Inputs!Q$288))</f>
        <v>0</v>
      </c>
      <c r="R111" s="57">
        <f>IF(R$14=1,'Inputs (2)'!R89,M111*(1+Inputs!R$288))</f>
        <v>0</v>
      </c>
      <c r="S111" s="77">
        <f>SUM(O111:R111)</f>
        <v>0</v>
      </c>
      <c r="T111" s="57">
        <f>IF(T$14=1,'Inputs (2)'!T89,O111*(1+Inputs!T$288))</f>
        <v>0</v>
      </c>
      <c r="U111" s="57">
        <f>IF(U$14=1,'Inputs (2)'!U89,P111*(1+Inputs!U$288))</f>
        <v>0</v>
      </c>
      <c r="V111" s="57">
        <f>IF(V$14=1,'Inputs (2)'!V89,Q111*(1+Inputs!V$288))</f>
        <v>0</v>
      </c>
      <c r="W111" s="57">
        <f>IF(W$14=1,'Inputs (2)'!W89,R111*(1+Inputs!W$288))</f>
        <v>0</v>
      </c>
      <c r="X111" s="77">
        <f>SUM(T111:W111)</f>
        <v>0</v>
      </c>
      <c r="Y111" s="57">
        <f>IF(Y$14=1,'Inputs (2)'!Y89,T111*(1+Inputs!Y$288))</f>
        <v>0</v>
      </c>
      <c r="Z111" s="57">
        <f>IF(Z$14=1,'Inputs (2)'!Z89,U111*(1+Inputs!Z$288))</f>
        <v>0</v>
      </c>
      <c r="AA111" s="57">
        <f>IF(AA$14=1,'Inputs (2)'!AA89,V111*(1+Inputs!AA$288))</f>
        <v>0</v>
      </c>
      <c r="AB111" s="57">
        <f>IF(AB$14=1,'Inputs (2)'!AB89,W111*(1+Inputs!AB$288))</f>
        <v>0</v>
      </c>
      <c r="AC111" s="77">
        <f>SUM(Y111:AB111)</f>
        <v>0</v>
      </c>
      <c r="AD111" s="57">
        <f>IF(AD$14=1,'Inputs (2)'!AD89,Y111*(1+Inputs!AD$288))</f>
        <v>0</v>
      </c>
      <c r="AE111" s="57">
        <f>IF(AE$14=1,'Inputs (2)'!AE89,Z111*(1+Inputs!AE$288))</f>
        <v>0</v>
      </c>
      <c r="AF111" s="57">
        <f>IF(AF$14=1,'Inputs (2)'!AF89,AA111*(1+Inputs!AF$288))</f>
        <v>0</v>
      </c>
      <c r="AG111" s="57">
        <f>IF(AG$14=1,'Inputs (2)'!AG89,AB111*(1+Inputs!AG$288))</f>
        <v>0</v>
      </c>
      <c r="AH111" s="77">
        <f>SUM(AD111:AG111)</f>
        <v>0</v>
      </c>
      <c r="AI111" s="57">
        <f>IF(AI$14=1,'Inputs (2)'!AI89,AD111*(1+Inputs!AI$288))</f>
        <v>0</v>
      </c>
      <c r="AJ111" s="57">
        <f>IF(AJ$14=1,'Inputs (2)'!AJ89,AE111*(1+Inputs!AJ$288))</f>
        <v>0</v>
      </c>
      <c r="AK111" s="57">
        <f>IF(AK$14=1,'Inputs (2)'!AK89,AF111*(1+Inputs!AK$288))</f>
        <v>0</v>
      </c>
      <c r="AL111" s="57">
        <f>IF(AL$14=1,'Inputs (2)'!AL89,AG111*(1+Inputs!AL$288))</f>
        <v>0</v>
      </c>
      <c r="AM111" s="77">
        <f>SUM(AI111:AL111)</f>
        <v>0</v>
      </c>
      <c r="AN111" s="57">
        <f>IF(AN$14=1,'Inputs (2)'!AN89,AI111*(1+Inputs!AN$288))</f>
        <v>0</v>
      </c>
      <c r="AO111" s="57">
        <f>IF(AO$14=1,'Inputs (2)'!AO89,AJ111*(1+Inputs!AO$288))</f>
        <v>0</v>
      </c>
      <c r="AP111" s="57">
        <f>IF(AP$14=1,'Inputs (2)'!AP89,AK111*(1+Inputs!AP$288))</f>
        <v>0</v>
      </c>
      <c r="AQ111" s="57">
        <f>IF(AQ$14=1,'Inputs (2)'!AQ89,AL111*(1+Inputs!AQ$288))</f>
        <v>0</v>
      </c>
      <c r="AR111" s="77">
        <f>SUM(AN111:AQ111)</f>
        <v>0</v>
      </c>
      <c r="AS111" s="57">
        <f>IF(AS$14=1,'Inputs (2)'!AS89,AN111*(1+Inputs!AS$288))</f>
        <v>0</v>
      </c>
      <c r="AT111" s="57">
        <f>IF(AT$14=1,'Inputs (2)'!AT89,AO111*(1+Inputs!AT$288))</f>
        <v>0</v>
      </c>
      <c r="AU111" s="57">
        <f>IF(AU$14=1,'Inputs (2)'!AU89,AP111*(1+Inputs!AU$288))</f>
        <v>0</v>
      </c>
      <c r="AV111" s="57">
        <f>IF(AV$14=1,'Inputs (2)'!AV89,AQ111*(1+Inputs!AV$288))</f>
        <v>0</v>
      </c>
      <c r="AW111" s="77">
        <f>SUM(AS111:AV111)</f>
        <v>0</v>
      </c>
      <c r="AX111" s="57">
        <f>IF(AX$14=1,'Inputs (2)'!AX89,AS111*(1+Inputs!AX$288))</f>
        <v>0</v>
      </c>
      <c r="AY111" s="57">
        <f>IF(AY$14=1,'Inputs (2)'!AY89,AT111*(1+Inputs!AY$288))</f>
        <v>0</v>
      </c>
      <c r="AZ111" s="57">
        <f>IF(AZ$14=1,'Inputs (2)'!AZ89,AU111*(1+Inputs!AZ$288))</f>
        <v>0</v>
      </c>
      <c r="BA111" s="57">
        <f>IF(BA$14=1,'Inputs (2)'!BA89,AV111*(1+Inputs!BA$288))</f>
        <v>0</v>
      </c>
      <c r="BB111" s="77">
        <f>SUM(AX111:BA111)</f>
        <v>0</v>
      </c>
      <c r="BC111" s="57">
        <f>IF(BC$14=1,'Inputs (2)'!BC89,AX111*(1+Inputs!BC$288))</f>
        <v>0</v>
      </c>
      <c r="BD111" s="57">
        <f>IF(BD$14=1,'Inputs (2)'!BD89,AY111*(1+Inputs!BD$288))</f>
        <v>0</v>
      </c>
      <c r="BE111" s="57">
        <f>IF(BE$14=1,'Inputs (2)'!BE89,AZ111*(1+Inputs!BE$288))</f>
        <v>0</v>
      </c>
      <c r="BF111" s="57">
        <f>IF(BF$14=1,'Inputs (2)'!BF89,BA111*(1+Inputs!BF$288))</f>
        <v>0</v>
      </c>
      <c r="BG111" s="77">
        <f>SUM(BC111:BF111)</f>
        <v>0</v>
      </c>
    </row>
    <row r="112" hidden="1" outlineLevel="1">
      <c r="C112" s="61" t="inlineStr">
        <is>
          <t>(Ocupação, tecnologia, serviços profissionais e marketing)</t>
        </is>
      </c>
      <c r="D112" s="62" t="inlineStr">
        <is>
          <t>(Occupancy, technology, professional services, marketing)</t>
        </is>
      </c>
      <c r="E112" s="57">
        <f>'Inputs (2)'!E90</f>
        <v>0</v>
      </c>
      <c r="F112" s="57">
        <f>'Inputs (2)'!F90</f>
        <v>0</v>
      </c>
      <c r="G112" s="57">
        <f>'Inputs (2)'!G90</f>
        <v>0</v>
      </c>
      <c r="H112" s="57">
        <f>'Inputs (2)'!H90</f>
        <v>0</v>
      </c>
      <c r="I112" s="77">
        <f>SUM(E112:H112)</f>
        <v>0</v>
      </c>
      <c r="J112" s="57">
        <f>IF(J$14=1,'Inputs (2)'!J90,E112*(1+Inputs!J$289))</f>
        <v>0</v>
      </c>
      <c r="K112" s="57">
        <f>IF(K$14=1,'Inputs (2)'!K90,F112*(1+Inputs!K$289))</f>
        <v>0</v>
      </c>
      <c r="L112" s="57">
        <f>IF(L$14=1,'Inputs (2)'!L90,G112*(1+Inputs!L$289))</f>
        <v>0</v>
      </c>
      <c r="M112" s="57">
        <f>IF(M$14=1,'Inputs (2)'!M90,H112*(1+Inputs!M$289))</f>
        <v>0</v>
      </c>
      <c r="N112" s="77">
        <f>SUM(J112:M112)</f>
        <v>0</v>
      </c>
      <c r="O112" s="57">
        <f>IF(O$14=1,'Inputs (2)'!O90,J112*(1+Inputs!O$289))</f>
        <v>0</v>
      </c>
      <c r="P112" s="57">
        <f>IF(P$14=1,'Inputs (2)'!P90,K112*(1+Inputs!P$289))</f>
        <v>0</v>
      </c>
      <c r="Q112" s="57">
        <f>IF(Q$14=1,'Inputs (2)'!Q90,L112*(1+Inputs!Q$289))</f>
        <v>0</v>
      </c>
      <c r="R112" s="57">
        <f>IF(R$14=1,'Inputs (2)'!R90,M112*(1+Inputs!R$289))</f>
        <v>0</v>
      </c>
      <c r="S112" s="77">
        <f>SUM(O112:R112)</f>
        <v>0</v>
      </c>
      <c r="T112" s="57">
        <f>IF(T$14=1,'Inputs (2)'!T90,O112*(1+Inputs!T$289))</f>
        <v>0</v>
      </c>
      <c r="U112" s="57">
        <f>IF(U$14=1,'Inputs (2)'!U90,P112*(1+Inputs!U$289))</f>
        <v>0</v>
      </c>
      <c r="V112" s="57">
        <f>IF(V$14=1,'Inputs (2)'!V90,Q112*(1+Inputs!V$289))</f>
        <v>0</v>
      </c>
      <c r="W112" s="57">
        <f>IF(W$14=1,'Inputs (2)'!W90,R112*(1+Inputs!W$289))</f>
        <v>0</v>
      </c>
      <c r="X112" s="77">
        <f>SUM(T112:W112)</f>
        <v>0</v>
      </c>
      <c r="Y112" s="57">
        <f>IF(Y$14=1,'Inputs (2)'!Y90,T112*(1+Inputs!Y$289))</f>
        <v>0</v>
      </c>
      <c r="Z112" s="57">
        <f>IF(Z$14=1,'Inputs (2)'!Z90,U112*(1+Inputs!Z$289))</f>
        <v>0</v>
      </c>
      <c r="AA112" s="57">
        <f>IF(AA$14=1,'Inputs (2)'!AA90,V112*(1+Inputs!AA$289))</f>
        <v>0</v>
      </c>
      <c r="AB112" s="57">
        <f>IF(AB$14=1,'Inputs (2)'!AB90,W112*(1+Inputs!AB$289))</f>
        <v>0</v>
      </c>
      <c r="AC112" s="77">
        <f>SUM(Y112:AB112)</f>
        <v>0</v>
      </c>
      <c r="AD112" s="57">
        <f>IF(AD$14=1,'Inputs (2)'!AD90,Y112*(1+Inputs!AD$289))</f>
        <v>0</v>
      </c>
      <c r="AE112" s="57">
        <f>IF(AE$14=1,'Inputs (2)'!AE90,Z112*(1+Inputs!AE$289))</f>
        <v>0</v>
      </c>
      <c r="AF112" s="57">
        <f>IF(AF$14=1,'Inputs (2)'!AF90,AA112*(1+Inputs!AF$289))</f>
        <v>0</v>
      </c>
      <c r="AG112" s="57">
        <f>IF(AG$14=1,'Inputs (2)'!AG90,AB112*(1+Inputs!AG$289))</f>
        <v>0</v>
      </c>
      <c r="AH112" s="77">
        <f>SUM(AD112:AG112)</f>
        <v>0</v>
      </c>
      <c r="AI112" s="57">
        <f>IF(AI$14=1,'Inputs (2)'!AI90,AD112*(1+Inputs!AI$289))</f>
        <v>0</v>
      </c>
      <c r="AJ112" s="57">
        <f>IF(AJ$14=1,'Inputs (2)'!AJ90,AE112*(1+Inputs!AJ$289))</f>
        <v>0</v>
      </c>
      <c r="AK112" s="57">
        <f>IF(AK$14=1,'Inputs (2)'!AK90,AF112*(1+Inputs!AK$289))</f>
        <v>0</v>
      </c>
      <c r="AL112" s="57">
        <f>IF(AL$14=1,'Inputs (2)'!AL90,AG112*(1+Inputs!AL$289))</f>
        <v>0</v>
      </c>
      <c r="AM112" s="77">
        <f>SUM(AI112:AL112)</f>
        <v>0</v>
      </c>
      <c r="AN112" s="57">
        <f>IF(AN$14=1,'Inputs (2)'!AN90,AI112*(1+Inputs!AN$289))</f>
        <v>0</v>
      </c>
      <c r="AO112" s="57">
        <f>IF(AO$14=1,'Inputs (2)'!AO90,AJ112*(1+Inputs!AO$289))</f>
        <v>0</v>
      </c>
      <c r="AP112" s="57">
        <f>IF(AP$14=1,'Inputs (2)'!AP90,AK112*(1+Inputs!AP$289))</f>
        <v>0</v>
      </c>
      <c r="AQ112" s="57">
        <f>IF(AQ$14=1,'Inputs (2)'!AQ90,AL112*(1+Inputs!AQ$289))</f>
        <v>0</v>
      </c>
      <c r="AR112" s="77">
        <f>SUM(AN112:AQ112)</f>
        <v>0</v>
      </c>
      <c r="AS112" s="57">
        <f>IF(AS$14=1,'Inputs (2)'!AS90,AN112*(1+Inputs!AS$289))</f>
        <v>0</v>
      </c>
      <c r="AT112" s="57">
        <f>IF(AT$14=1,'Inputs (2)'!AT90,AO112*(1+Inputs!AT$289))</f>
        <v>0</v>
      </c>
      <c r="AU112" s="57">
        <f>IF(AU$14=1,'Inputs (2)'!AU90,AP112*(1+Inputs!AU$289))</f>
        <v>0</v>
      </c>
      <c r="AV112" s="57">
        <f>IF(AV$14=1,'Inputs (2)'!AV90,AQ112*(1+Inputs!AV$289))</f>
        <v>0</v>
      </c>
      <c r="AW112" s="77">
        <f>SUM(AS112:AV112)</f>
        <v>0</v>
      </c>
      <c r="AX112" s="57">
        <f>IF(AX$14=1,'Inputs (2)'!AX90,AS112*(1+Inputs!AX$289))</f>
        <v>0</v>
      </c>
      <c r="AY112" s="57">
        <f>IF(AY$14=1,'Inputs (2)'!AY90,AT112*(1+Inputs!AY$289))</f>
        <v>0</v>
      </c>
      <c r="AZ112" s="57">
        <f>IF(AZ$14=1,'Inputs (2)'!AZ90,AU112*(1+Inputs!AZ$289))</f>
        <v>0</v>
      </c>
      <c r="BA112" s="57">
        <f>IF(BA$14=1,'Inputs (2)'!BA90,AV112*(1+Inputs!BA$289))</f>
        <v>0</v>
      </c>
      <c r="BB112" s="77">
        <f>SUM(AX112:BA112)</f>
        <v>0</v>
      </c>
      <c r="BC112" s="57">
        <f>IF(BC$14=1,'Inputs (2)'!BC90,AX112*(1+Inputs!BC$289))</f>
        <v>0</v>
      </c>
      <c r="BD112" s="57">
        <f>IF(BD$14=1,'Inputs (2)'!BD90,AY112*(1+Inputs!BD$289))</f>
        <v>0</v>
      </c>
      <c r="BE112" s="57">
        <f>IF(BE$14=1,'Inputs (2)'!BE90,AZ112*(1+Inputs!BE$289))</f>
        <v>0</v>
      </c>
      <c r="BF112" s="57">
        <f>IF(BF$14=1,'Inputs (2)'!BF90,BA112*(1+Inputs!BF$289))</f>
        <v>0</v>
      </c>
      <c r="BG112" s="77">
        <f>SUM(BC112:BF112)</f>
        <v>0</v>
      </c>
    </row>
    <row r="113" hidden="1" outlineLevel="1">
      <c r="C113" s="63" t="inlineStr">
        <is>
          <t>(Provisões jurídicas e outras, quando à parte)</t>
        </is>
      </c>
      <c r="D113" s="64" t="inlineStr">
        <is>
          <t>(Legal and other provisions)</t>
        </is>
      </c>
      <c r="E113" s="86">
        <f>IF(E$14=1,E114+E115+E116,-E149*Inputs!E$290)</f>
        <v>0</v>
      </c>
      <c r="F113" s="86">
        <f>IF(F$14=1,F114+F115+F116,-F149*Inputs!F$290)</f>
        <v>0</v>
      </c>
      <c r="G113" s="86">
        <f>IF(G$14=1,G114+G115+G116,-G149*Inputs!G$290)</f>
        <v>0</v>
      </c>
      <c r="H113" s="86">
        <f>IF(H$14=1,H114+H115+H116,-H149*Inputs!H$290)</f>
        <v>0</v>
      </c>
      <c r="I113" s="60">
        <f>SUM(E113:H113)</f>
        <v>0</v>
      </c>
      <c r="J113" s="86">
        <f>IF(J$14=1,J114+J115+J116,-J149*Inputs!J$290)</f>
        <v>0</v>
      </c>
      <c r="K113" s="86">
        <f>IF(K$14=1,K114+K115+K116,-K149*Inputs!K$290)</f>
        <v>0</v>
      </c>
      <c r="L113" s="86">
        <f>IF(L$14=1,L114+L115+L116,-L149*Inputs!L$290)</f>
        <v>0</v>
      </c>
      <c r="M113" s="86">
        <f>IF(M$14=1,M114+M115+M116,-M149*Inputs!M$290)</f>
        <v>0</v>
      </c>
      <c r="N113" s="60">
        <f>SUM(J113:M113)</f>
        <v>0</v>
      </c>
      <c r="O113" s="86">
        <f>IF(O$14=1,O114+O115+O116,-O149*Inputs!O$290)</f>
        <v>0</v>
      </c>
      <c r="P113" s="86">
        <f>IF(P$14=1,P114+P115+P116,-P149*Inputs!P$290)</f>
        <v>0</v>
      </c>
      <c r="Q113" s="86">
        <f>IF(Q$14=1,Q114+Q115+Q116,-Q149*Inputs!Q$290)</f>
        <v>0</v>
      </c>
      <c r="R113" s="86">
        <f>IF(R$14=1,R114+R115+R116,-R149*Inputs!R$290)</f>
        <v>0</v>
      </c>
      <c r="S113" s="60">
        <f>SUM(O113:R113)</f>
        <v>0</v>
      </c>
      <c r="T113" s="86">
        <f>IF(T$14=1,T114+T115+T116,-T149*Inputs!T$290)</f>
        <v>0</v>
      </c>
      <c r="U113" s="86">
        <f>IF(U$14=1,U114+U115+U116,-U149*Inputs!U$290)</f>
        <v>0</v>
      </c>
      <c r="V113" s="86">
        <f>IF(V$14=1,V114+V115+V116,-V149*Inputs!V$290)</f>
        <v>0</v>
      </c>
      <c r="W113" s="86">
        <f>IF(W$14=1,W114+W115+W116,-W149*Inputs!W$290)</f>
        <v>0</v>
      </c>
      <c r="X113" s="60">
        <f>SUM(T113:W113)</f>
        <v>0</v>
      </c>
      <c r="Y113" s="86">
        <f>IF(Y$14=1,Y114+Y115+Y116,-Y149*Inputs!Y$290)</f>
        <v>0</v>
      </c>
      <c r="Z113" s="86">
        <f>IF(Z$14=1,Z114+Z115+Z116,-Z149*Inputs!Z$290)</f>
        <v>0</v>
      </c>
      <c r="AA113" s="86">
        <f>IF(AA$14=1,AA114+AA115+AA116,-AA149*Inputs!AA$290)</f>
        <v>0</v>
      </c>
      <c r="AB113" s="86">
        <f>IF(AB$14=1,AB114+AB115+AB116,-AB149*Inputs!AB$290)</f>
        <v>0</v>
      </c>
      <c r="AC113" s="60">
        <f>SUM(Y113:AB113)</f>
        <v>0</v>
      </c>
      <c r="AD113" s="86">
        <f>IF(AD$14=1,AD114+AD115+AD116,-AD149*Inputs!AD$290)</f>
        <v>0</v>
      </c>
      <c r="AE113" s="86">
        <f>IF(AE$14=1,AE114+AE115+AE116,-AE149*Inputs!AE$290)</f>
        <v>0</v>
      </c>
      <c r="AF113" s="86">
        <f>IF(AF$14=1,AF114+AF115+AF116,-AF149*Inputs!AF$290)</f>
        <v>0</v>
      </c>
      <c r="AG113" s="86">
        <f>IF(AG$14=1,AG114+AG115+AG116,-AG149*Inputs!AG$290)</f>
        <v>0</v>
      </c>
      <c r="AH113" s="60">
        <f>SUM(AD113:AG113)</f>
        <v>0</v>
      </c>
      <c r="AI113" s="86">
        <f>IF(AI$14=1,AI114+AI115+AI116,-AI149*Inputs!AI$290)</f>
        <v>0</v>
      </c>
      <c r="AJ113" s="86">
        <f>IF(AJ$14=1,AJ114+AJ115+AJ116,-AJ149*Inputs!AJ$290)</f>
        <v>0</v>
      </c>
      <c r="AK113" s="86">
        <f>IF(AK$14=1,AK114+AK115+AK116,-AK149*Inputs!AK$290)</f>
        <v>0</v>
      </c>
      <c r="AL113" s="86">
        <f>IF(AL$14=1,AL114+AL115+AL116,-AL149*Inputs!AL$290)</f>
        <v>0</v>
      </c>
      <c r="AM113" s="60">
        <f>SUM(AI113:AL113)</f>
        <v>0</v>
      </c>
      <c r="AN113" s="86">
        <f>IF(AN$14=1,AN114+AN115+AN116,-AN149*Inputs!AN$290)</f>
        <v>0</v>
      </c>
      <c r="AO113" s="86">
        <f>IF(AO$14=1,AO114+AO115+AO116,-AO149*Inputs!AO$290)</f>
        <v>0</v>
      </c>
      <c r="AP113" s="86">
        <f>IF(AP$14=1,AP114+AP115+AP116,-AP149*Inputs!AP$290)</f>
        <v>0</v>
      </c>
      <c r="AQ113" s="86">
        <f>IF(AQ$14=1,AQ114+AQ115+AQ116,-AQ149*Inputs!AQ$290)</f>
        <v>0</v>
      </c>
      <c r="AR113" s="60">
        <f>SUM(AN113:AQ113)</f>
        <v>0</v>
      </c>
      <c r="AS113" s="86">
        <f>IF(AS$14=1,AS114+AS115+AS116,-AS149*Inputs!AS$290)</f>
        <v>0</v>
      </c>
      <c r="AT113" s="86">
        <f>IF(AT$14=1,AT114+AT115+AT116,-AT149*Inputs!AT$290)</f>
        <v>0</v>
      </c>
      <c r="AU113" s="86">
        <f>IF(AU$14=1,AU114+AU115+AU116,-AU149*Inputs!AU$290)</f>
        <v>0</v>
      </c>
      <c r="AV113" s="86">
        <f>IF(AV$14=1,AV114+AV115+AV116,-AV149*Inputs!AV$290)</f>
        <v>0</v>
      </c>
      <c r="AW113" s="60">
        <f>SUM(AS113:AV113)</f>
        <v>0</v>
      </c>
      <c r="AX113" s="86">
        <f>IF(AX$14=1,AX114+AX115+AX116,-AX149*Inputs!AX$290)</f>
        <v>0</v>
      </c>
      <c r="AY113" s="86">
        <f>IF(AY$14=1,AY114+AY115+AY116,-AY149*Inputs!AY$290)</f>
        <v>0</v>
      </c>
      <c r="AZ113" s="86">
        <f>IF(AZ$14=1,AZ114+AZ115+AZ116,-AZ149*Inputs!AZ$290)</f>
        <v>0</v>
      </c>
      <c r="BA113" s="86">
        <f>IF(BA$14=1,BA114+BA115+BA116,-BA149*Inputs!BA$290)</f>
        <v>0</v>
      </c>
      <c r="BB113" s="60">
        <f>SUM(AX113:BA113)</f>
        <v>0</v>
      </c>
      <c r="BC113" s="86">
        <f>IF(BC$14=1,BC114+BC115+BC116,-BC149*Inputs!BC$290)</f>
        <v>0</v>
      </c>
      <c r="BD113" s="86">
        <f>IF(BD$14=1,BD114+BD115+BD116,-BD149*Inputs!BD$290)</f>
        <v>0</v>
      </c>
      <c r="BE113" s="86">
        <f>IF(BE$14=1,BE114+BE115+BE116,-BE149*Inputs!BE$290)</f>
        <v>0</v>
      </c>
      <c r="BF113" s="86">
        <f>IF(BF$14=1,BF114+BF115+BF116,-BF149*Inputs!BF$290)</f>
        <v>0</v>
      </c>
      <c r="BG113" s="60">
        <f>SUM(BC113:BF113)</f>
        <v>0</v>
      </c>
      <c r="BI113" s="14" t="inlineStr">
        <is>
          <t>No realizado soma cível + trabalhista + fiscal. Na projeção usa o driver de % da receita operacional, sem abrir por natureza.</t>
        </is>
      </c>
    </row>
    <row r="114" hidden="1" outlineLevel="2">
      <c r="C114" s="65" t="inlineStr">
        <is>
          <t>(Despesas jurídicas)</t>
        </is>
      </c>
      <c r="D114" s="66" t="inlineStr">
        <is>
          <t>(Legal expense)</t>
        </is>
      </c>
      <c r="E114" s="57">
        <f>IF(E$14=1,'Inputs (2)'!E92,0)</f>
        <v>0</v>
      </c>
      <c r="F114" s="57">
        <f>IF(F$14=1,'Inputs (2)'!F92,0)</f>
        <v>0</v>
      </c>
      <c r="G114" s="57">
        <f>IF(G$14=1,'Inputs (2)'!G92,0)</f>
        <v>0</v>
      </c>
      <c r="H114" s="57">
        <f>IF(H$14=1,'Inputs (2)'!H92,0)</f>
        <v>0</v>
      </c>
      <c r="I114" s="77">
        <f>SUM(E114:H114)</f>
        <v>0</v>
      </c>
      <c r="J114" s="57">
        <f>IF(J$14=1,'Inputs (2)'!J92,0)</f>
        <v>0</v>
      </c>
      <c r="K114" s="57">
        <f>IF(K$14=1,'Inputs (2)'!K92,0)</f>
        <v>0</v>
      </c>
      <c r="L114" s="57">
        <f>IF(L$14=1,'Inputs (2)'!L92,0)</f>
        <v>0</v>
      </c>
      <c r="M114" s="57">
        <f>IF(M$14=1,'Inputs (2)'!M92,0)</f>
        <v>0</v>
      </c>
      <c r="N114" s="77">
        <f>SUM(J114:M114)</f>
        <v>0</v>
      </c>
      <c r="O114" s="57">
        <f>IF(O$14=1,'Inputs (2)'!O92,0)</f>
        <v>0</v>
      </c>
      <c r="P114" s="57">
        <f>IF(P$14=1,'Inputs (2)'!P92,0)</f>
        <v>0</v>
      </c>
      <c r="Q114" s="57">
        <f>IF(Q$14=1,'Inputs (2)'!Q92,0)</f>
        <v>0</v>
      </c>
      <c r="R114" s="57">
        <f>IF(R$14=1,'Inputs (2)'!R92,0)</f>
        <v>0</v>
      </c>
      <c r="S114" s="77">
        <f>SUM(O114:R114)</f>
        <v>0</v>
      </c>
      <c r="T114" s="57">
        <f>IF(T$14=1,'Inputs (2)'!T92,0)</f>
        <v>0</v>
      </c>
      <c r="U114" s="57">
        <f>IF(U$14=1,'Inputs (2)'!U92,0)</f>
        <v>0</v>
      </c>
      <c r="V114" s="57">
        <f>IF(V$14=1,'Inputs (2)'!V92,0)</f>
        <v>0</v>
      </c>
      <c r="W114" s="57">
        <f>IF(W$14=1,'Inputs (2)'!W92,0)</f>
        <v>0</v>
      </c>
      <c r="X114" s="77">
        <f>SUM(T114:W114)</f>
        <v>0</v>
      </c>
      <c r="Y114" s="57">
        <f>IF(Y$14=1,'Inputs (2)'!Y92,0)</f>
        <v>0</v>
      </c>
      <c r="Z114" s="57">
        <f>IF(Z$14=1,'Inputs (2)'!Z92,0)</f>
        <v>0</v>
      </c>
      <c r="AA114" s="57">
        <f>IF(AA$14=1,'Inputs (2)'!AA92,0)</f>
        <v>0</v>
      </c>
      <c r="AB114" s="57">
        <f>IF(AB$14=1,'Inputs (2)'!AB92,0)</f>
        <v>0</v>
      </c>
      <c r="AC114" s="77">
        <f>SUM(Y114:AB114)</f>
        <v>0</v>
      </c>
      <c r="AD114" s="57">
        <f>IF(AD$14=1,'Inputs (2)'!AD92,0)</f>
        <v>0</v>
      </c>
      <c r="AE114" s="57">
        <f>IF(AE$14=1,'Inputs (2)'!AE92,0)</f>
        <v>0</v>
      </c>
      <c r="AF114" s="57">
        <f>IF(AF$14=1,'Inputs (2)'!AF92,0)</f>
        <v>0</v>
      </c>
      <c r="AG114" s="57">
        <f>IF(AG$14=1,'Inputs (2)'!AG92,0)</f>
        <v>0</v>
      </c>
      <c r="AH114" s="77">
        <f>SUM(AD114:AG114)</f>
        <v>0</v>
      </c>
      <c r="AI114" s="57">
        <f>IF(AI$14=1,'Inputs (2)'!AI92,0)</f>
        <v>0</v>
      </c>
      <c r="AJ114" s="57">
        <f>IF(AJ$14=1,'Inputs (2)'!AJ92,0)</f>
        <v>0</v>
      </c>
      <c r="AK114" s="57">
        <f>IF(AK$14=1,'Inputs (2)'!AK92,0)</f>
        <v>0</v>
      </c>
      <c r="AL114" s="57">
        <f>IF(AL$14=1,'Inputs (2)'!AL92,0)</f>
        <v>0</v>
      </c>
      <c r="AM114" s="77">
        <f>SUM(AI114:AL114)</f>
        <v>0</v>
      </c>
      <c r="AN114" s="57">
        <f>IF(AN$14=1,'Inputs (2)'!AN92,0)</f>
        <v>0</v>
      </c>
      <c r="AO114" s="57">
        <f>IF(AO$14=1,'Inputs (2)'!AO92,0)</f>
        <v>0</v>
      </c>
      <c r="AP114" s="57">
        <f>IF(AP$14=1,'Inputs (2)'!AP92,0)</f>
        <v>0</v>
      </c>
      <c r="AQ114" s="57">
        <f>IF(AQ$14=1,'Inputs (2)'!AQ92,0)</f>
        <v>0</v>
      </c>
      <c r="AR114" s="77">
        <f>SUM(AN114:AQ114)</f>
        <v>0</v>
      </c>
      <c r="AS114" s="57">
        <f>IF(AS$14=1,'Inputs (2)'!AS92,0)</f>
        <v>0</v>
      </c>
      <c r="AT114" s="57">
        <f>IF(AT$14=1,'Inputs (2)'!AT92,0)</f>
        <v>0</v>
      </c>
      <c r="AU114" s="57">
        <f>IF(AU$14=1,'Inputs (2)'!AU92,0)</f>
        <v>0</v>
      </c>
      <c r="AV114" s="57">
        <f>IF(AV$14=1,'Inputs (2)'!AV92,0)</f>
        <v>0</v>
      </c>
      <c r="AW114" s="77">
        <f>SUM(AS114:AV114)</f>
        <v>0</v>
      </c>
      <c r="AX114" s="57">
        <f>IF(AX$14=1,'Inputs (2)'!AX92,0)</f>
        <v>0</v>
      </c>
      <c r="AY114" s="57">
        <f>IF(AY$14=1,'Inputs (2)'!AY92,0)</f>
        <v>0</v>
      </c>
      <c r="AZ114" s="57">
        <f>IF(AZ$14=1,'Inputs (2)'!AZ92,0)</f>
        <v>0</v>
      </c>
      <c r="BA114" s="57">
        <f>IF(BA$14=1,'Inputs (2)'!BA92,0)</f>
        <v>0</v>
      </c>
      <c r="BB114" s="77">
        <f>SUM(AX114:BA114)</f>
        <v>0</v>
      </c>
      <c r="BC114" s="57">
        <f>IF(BC$14=1,'Inputs (2)'!BC92,0)</f>
        <v>0</v>
      </c>
      <c r="BD114" s="57">
        <f>IF(BD$14=1,'Inputs (2)'!BD92,0)</f>
        <v>0</v>
      </c>
      <c r="BE114" s="57">
        <f>IF(BE$14=1,'Inputs (2)'!BE92,0)</f>
        <v>0</v>
      </c>
      <c r="BF114" s="57">
        <f>IF(BF$14=1,'Inputs (2)'!BF92,0)</f>
        <v>0</v>
      </c>
      <c r="BG114" s="77">
        <f>SUM(BC114:BF114)</f>
        <v>0</v>
      </c>
    </row>
    <row r="115" hidden="1" outlineLevel="2">
      <c r="C115" s="65" t="inlineStr">
        <is>
          <t>(Outras provisões)</t>
        </is>
      </c>
      <c r="D115" s="66" t="inlineStr">
        <is>
          <t>(Other provisions)</t>
        </is>
      </c>
      <c r="E115" s="57">
        <f>IF(E$14=1,'Inputs (2)'!E93,0)</f>
        <v>0</v>
      </c>
      <c r="F115" s="57">
        <f>IF(F$14=1,'Inputs (2)'!F93,0)</f>
        <v>0</v>
      </c>
      <c r="G115" s="57">
        <f>IF(G$14=1,'Inputs (2)'!G93,0)</f>
        <v>0</v>
      </c>
      <c r="H115" s="57">
        <f>IF(H$14=1,'Inputs (2)'!H93,0)</f>
        <v>0</v>
      </c>
      <c r="I115" s="77">
        <f>SUM(E115:H115)</f>
        <v>0</v>
      </c>
      <c r="J115" s="57">
        <f>IF(J$14=1,'Inputs (2)'!J93,0)</f>
        <v>0</v>
      </c>
      <c r="K115" s="57">
        <f>IF(K$14=1,'Inputs (2)'!K93,0)</f>
        <v>0</v>
      </c>
      <c r="L115" s="57">
        <f>IF(L$14=1,'Inputs (2)'!L93,0)</f>
        <v>0</v>
      </c>
      <c r="M115" s="57">
        <f>IF(M$14=1,'Inputs (2)'!M93,0)</f>
        <v>0</v>
      </c>
      <c r="N115" s="77">
        <f>SUM(J115:M115)</f>
        <v>0</v>
      </c>
      <c r="O115" s="57">
        <f>IF(O$14=1,'Inputs (2)'!O93,0)</f>
        <v>0</v>
      </c>
      <c r="P115" s="57">
        <f>IF(P$14=1,'Inputs (2)'!P93,0)</f>
        <v>0</v>
      </c>
      <c r="Q115" s="57">
        <f>IF(Q$14=1,'Inputs (2)'!Q93,0)</f>
        <v>0</v>
      </c>
      <c r="R115" s="57">
        <f>IF(R$14=1,'Inputs (2)'!R93,0)</f>
        <v>0</v>
      </c>
      <c r="S115" s="77">
        <f>SUM(O115:R115)</f>
        <v>0</v>
      </c>
      <c r="T115" s="57">
        <f>IF(T$14=1,'Inputs (2)'!T93,0)</f>
        <v>0</v>
      </c>
      <c r="U115" s="57">
        <f>IF(U$14=1,'Inputs (2)'!U93,0)</f>
        <v>0</v>
      </c>
      <c r="V115" s="57">
        <f>IF(V$14=1,'Inputs (2)'!V93,0)</f>
        <v>0</v>
      </c>
      <c r="W115" s="57">
        <f>IF(W$14=1,'Inputs (2)'!W93,0)</f>
        <v>0</v>
      </c>
      <c r="X115" s="77">
        <f>SUM(T115:W115)</f>
        <v>0</v>
      </c>
      <c r="Y115" s="57">
        <f>IF(Y$14=1,'Inputs (2)'!Y93,0)</f>
        <v>0</v>
      </c>
      <c r="Z115" s="57">
        <f>IF(Z$14=1,'Inputs (2)'!Z93,0)</f>
        <v>0</v>
      </c>
      <c r="AA115" s="57">
        <f>IF(AA$14=1,'Inputs (2)'!AA93,0)</f>
        <v>0</v>
      </c>
      <c r="AB115" s="57">
        <f>IF(AB$14=1,'Inputs (2)'!AB93,0)</f>
        <v>0</v>
      </c>
      <c r="AC115" s="77">
        <f>SUM(Y115:AB115)</f>
        <v>0</v>
      </c>
      <c r="AD115" s="57">
        <f>IF(AD$14=1,'Inputs (2)'!AD93,0)</f>
        <v>0</v>
      </c>
      <c r="AE115" s="57">
        <f>IF(AE$14=1,'Inputs (2)'!AE93,0)</f>
        <v>0</v>
      </c>
      <c r="AF115" s="57">
        <f>IF(AF$14=1,'Inputs (2)'!AF93,0)</f>
        <v>0</v>
      </c>
      <c r="AG115" s="57">
        <f>IF(AG$14=1,'Inputs (2)'!AG93,0)</f>
        <v>0</v>
      </c>
      <c r="AH115" s="77">
        <f>SUM(AD115:AG115)</f>
        <v>0</v>
      </c>
      <c r="AI115" s="57">
        <f>IF(AI$14=1,'Inputs (2)'!AI93,0)</f>
        <v>0</v>
      </c>
      <c r="AJ115" s="57">
        <f>IF(AJ$14=1,'Inputs (2)'!AJ93,0)</f>
        <v>0</v>
      </c>
      <c r="AK115" s="57">
        <f>IF(AK$14=1,'Inputs (2)'!AK93,0)</f>
        <v>0</v>
      </c>
      <c r="AL115" s="57">
        <f>IF(AL$14=1,'Inputs (2)'!AL93,0)</f>
        <v>0</v>
      </c>
      <c r="AM115" s="77">
        <f>SUM(AI115:AL115)</f>
        <v>0</v>
      </c>
      <c r="AN115" s="57">
        <f>IF(AN$14=1,'Inputs (2)'!AN93,0)</f>
        <v>0</v>
      </c>
      <c r="AO115" s="57">
        <f>IF(AO$14=1,'Inputs (2)'!AO93,0)</f>
        <v>0</v>
      </c>
      <c r="AP115" s="57">
        <f>IF(AP$14=1,'Inputs (2)'!AP93,0)</f>
        <v>0</v>
      </c>
      <c r="AQ115" s="57">
        <f>IF(AQ$14=1,'Inputs (2)'!AQ93,0)</f>
        <v>0</v>
      </c>
      <c r="AR115" s="77">
        <f>SUM(AN115:AQ115)</f>
        <v>0</v>
      </c>
      <c r="AS115" s="57">
        <f>IF(AS$14=1,'Inputs (2)'!AS93,0)</f>
        <v>0</v>
      </c>
      <c r="AT115" s="57">
        <f>IF(AT$14=1,'Inputs (2)'!AT93,0)</f>
        <v>0</v>
      </c>
      <c r="AU115" s="57">
        <f>IF(AU$14=1,'Inputs (2)'!AU93,0)</f>
        <v>0</v>
      </c>
      <c r="AV115" s="57">
        <f>IF(AV$14=1,'Inputs (2)'!AV93,0)</f>
        <v>0</v>
      </c>
      <c r="AW115" s="77">
        <f>SUM(AS115:AV115)</f>
        <v>0</v>
      </c>
      <c r="AX115" s="57">
        <f>IF(AX$14=1,'Inputs (2)'!AX93,0)</f>
        <v>0</v>
      </c>
      <c r="AY115" s="57">
        <f>IF(AY$14=1,'Inputs (2)'!AY93,0)</f>
        <v>0</v>
      </c>
      <c r="AZ115" s="57">
        <f>IF(AZ$14=1,'Inputs (2)'!AZ93,0)</f>
        <v>0</v>
      </c>
      <c r="BA115" s="57">
        <f>IF(BA$14=1,'Inputs (2)'!BA93,0)</f>
        <v>0</v>
      </c>
      <c r="BB115" s="77">
        <f>SUM(AX115:BA115)</f>
        <v>0</v>
      </c>
      <c r="BC115" s="57">
        <f>IF(BC$14=1,'Inputs (2)'!BC93,0)</f>
        <v>0</v>
      </c>
      <c r="BD115" s="57">
        <f>IF(BD$14=1,'Inputs (2)'!BD93,0)</f>
        <v>0</v>
      </c>
      <c r="BE115" s="57">
        <f>IF(BE$14=1,'Inputs (2)'!BE93,0)</f>
        <v>0</v>
      </c>
      <c r="BF115" s="57">
        <f>IF(BF$14=1,'Inputs (2)'!BF93,0)</f>
        <v>0</v>
      </c>
      <c r="BG115" s="77">
        <f>SUM(BC115:BF115)</f>
        <v>0</v>
      </c>
    </row>
    <row r="116" hidden="1" outlineLevel="2">
      <c r="C116" s="65" t="inlineStr">
        <is>
          <t>(Outras provisões)</t>
        </is>
      </c>
      <c r="D116" s="66" t="inlineStr">
        <is>
          <t>(Other provisions)</t>
        </is>
      </c>
      <c r="E116" s="57">
        <f>IF(E$14=1,'Inputs (2)'!E94,0)</f>
        <v>0</v>
      </c>
      <c r="F116" s="57">
        <f>IF(F$14=1,'Inputs (2)'!F94,0)</f>
        <v>0</v>
      </c>
      <c r="G116" s="57">
        <f>IF(G$14=1,'Inputs (2)'!G94,0)</f>
        <v>0</v>
      </c>
      <c r="H116" s="57">
        <f>IF(H$14=1,'Inputs (2)'!H94,0)</f>
        <v>0</v>
      </c>
      <c r="I116" s="77">
        <f>SUM(E116:H116)</f>
        <v>0</v>
      </c>
      <c r="J116" s="57">
        <f>IF(J$14=1,'Inputs (2)'!J94,0)</f>
        <v>0</v>
      </c>
      <c r="K116" s="57">
        <f>IF(K$14=1,'Inputs (2)'!K94,0)</f>
        <v>0</v>
      </c>
      <c r="L116" s="57">
        <f>IF(L$14=1,'Inputs (2)'!L94,0)</f>
        <v>0</v>
      </c>
      <c r="M116" s="57">
        <f>IF(M$14=1,'Inputs (2)'!M94,0)</f>
        <v>0</v>
      </c>
      <c r="N116" s="77">
        <f>SUM(J116:M116)</f>
        <v>0</v>
      </c>
      <c r="O116" s="57">
        <f>IF(O$14=1,'Inputs (2)'!O94,0)</f>
        <v>0</v>
      </c>
      <c r="P116" s="57">
        <f>IF(P$14=1,'Inputs (2)'!P94,0)</f>
        <v>0</v>
      </c>
      <c r="Q116" s="57">
        <f>IF(Q$14=1,'Inputs (2)'!Q94,0)</f>
        <v>0</v>
      </c>
      <c r="R116" s="57">
        <f>IF(R$14=1,'Inputs (2)'!R94,0)</f>
        <v>0</v>
      </c>
      <c r="S116" s="77">
        <f>SUM(O116:R116)</f>
        <v>0</v>
      </c>
      <c r="T116" s="57">
        <f>IF(T$14=1,'Inputs (2)'!T94,0)</f>
        <v>0</v>
      </c>
      <c r="U116" s="57">
        <f>IF(U$14=1,'Inputs (2)'!U94,0)</f>
        <v>0</v>
      </c>
      <c r="V116" s="57">
        <f>IF(V$14=1,'Inputs (2)'!V94,0)</f>
        <v>0</v>
      </c>
      <c r="W116" s="57">
        <f>IF(W$14=1,'Inputs (2)'!W94,0)</f>
        <v>0</v>
      </c>
      <c r="X116" s="77">
        <f>SUM(T116:W116)</f>
        <v>0</v>
      </c>
      <c r="Y116" s="57">
        <f>IF(Y$14=1,'Inputs (2)'!Y94,0)</f>
        <v>0</v>
      </c>
      <c r="Z116" s="57">
        <f>IF(Z$14=1,'Inputs (2)'!Z94,0)</f>
        <v>0</v>
      </c>
      <c r="AA116" s="57">
        <f>IF(AA$14=1,'Inputs (2)'!AA94,0)</f>
        <v>0</v>
      </c>
      <c r="AB116" s="57">
        <f>IF(AB$14=1,'Inputs (2)'!AB94,0)</f>
        <v>0</v>
      </c>
      <c r="AC116" s="77">
        <f>SUM(Y116:AB116)</f>
        <v>0</v>
      </c>
      <c r="AD116" s="57">
        <f>IF(AD$14=1,'Inputs (2)'!AD94,0)</f>
        <v>0</v>
      </c>
      <c r="AE116" s="57">
        <f>IF(AE$14=1,'Inputs (2)'!AE94,0)</f>
        <v>0</v>
      </c>
      <c r="AF116" s="57">
        <f>IF(AF$14=1,'Inputs (2)'!AF94,0)</f>
        <v>0</v>
      </c>
      <c r="AG116" s="57">
        <f>IF(AG$14=1,'Inputs (2)'!AG94,0)</f>
        <v>0</v>
      </c>
      <c r="AH116" s="77">
        <f>SUM(AD116:AG116)</f>
        <v>0</v>
      </c>
      <c r="AI116" s="57">
        <f>IF(AI$14=1,'Inputs (2)'!AI94,0)</f>
        <v>0</v>
      </c>
      <c r="AJ116" s="57">
        <f>IF(AJ$14=1,'Inputs (2)'!AJ94,0)</f>
        <v>0</v>
      </c>
      <c r="AK116" s="57">
        <f>IF(AK$14=1,'Inputs (2)'!AK94,0)</f>
        <v>0</v>
      </c>
      <c r="AL116" s="57">
        <f>IF(AL$14=1,'Inputs (2)'!AL94,0)</f>
        <v>0</v>
      </c>
      <c r="AM116" s="77">
        <f>SUM(AI116:AL116)</f>
        <v>0</v>
      </c>
      <c r="AN116" s="57">
        <f>IF(AN$14=1,'Inputs (2)'!AN94,0)</f>
        <v>0</v>
      </c>
      <c r="AO116" s="57">
        <f>IF(AO$14=1,'Inputs (2)'!AO94,0)</f>
        <v>0</v>
      </c>
      <c r="AP116" s="57">
        <f>IF(AP$14=1,'Inputs (2)'!AP94,0)</f>
        <v>0</v>
      </c>
      <c r="AQ116" s="57">
        <f>IF(AQ$14=1,'Inputs (2)'!AQ94,0)</f>
        <v>0</v>
      </c>
      <c r="AR116" s="77">
        <f>SUM(AN116:AQ116)</f>
        <v>0</v>
      </c>
      <c r="AS116" s="57">
        <f>IF(AS$14=1,'Inputs (2)'!AS94,0)</f>
        <v>0</v>
      </c>
      <c r="AT116" s="57">
        <f>IF(AT$14=1,'Inputs (2)'!AT94,0)</f>
        <v>0</v>
      </c>
      <c r="AU116" s="57">
        <f>IF(AU$14=1,'Inputs (2)'!AU94,0)</f>
        <v>0</v>
      </c>
      <c r="AV116" s="57">
        <f>IF(AV$14=1,'Inputs (2)'!AV94,0)</f>
        <v>0</v>
      </c>
      <c r="AW116" s="77">
        <f>SUM(AS116:AV116)</f>
        <v>0</v>
      </c>
      <c r="AX116" s="57">
        <f>IF(AX$14=1,'Inputs (2)'!AX94,0)</f>
        <v>0</v>
      </c>
      <c r="AY116" s="57">
        <f>IF(AY$14=1,'Inputs (2)'!AY94,0)</f>
        <v>0</v>
      </c>
      <c r="AZ116" s="57">
        <f>IF(AZ$14=1,'Inputs (2)'!AZ94,0)</f>
        <v>0</v>
      </c>
      <c r="BA116" s="57">
        <f>IF(BA$14=1,'Inputs (2)'!BA94,0)</f>
        <v>0</v>
      </c>
      <c r="BB116" s="77">
        <f>SUM(AX116:BA116)</f>
        <v>0</v>
      </c>
      <c r="BC116" s="57">
        <f>IF(BC$14=1,'Inputs (2)'!BC94,0)</f>
        <v>0</v>
      </c>
      <c r="BD116" s="57">
        <f>IF(BD$14=1,'Inputs (2)'!BD94,0)</f>
        <v>0</v>
      </c>
      <c r="BE116" s="57">
        <f>IF(BE$14=1,'Inputs (2)'!BE94,0)</f>
        <v>0</v>
      </c>
      <c r="BF116" s="57">
        <f>IF(BF$14=1,'Inputs (2)'!BF94,0)</f>
        <v>0</v>
      </c>
      <c r="BG116" s="77">
        <f>SUM(BC116:BF116)</f>
        <v>0</v>
      </c>
    </row>
    <row r="117" hidden="1" outlineLevel="1">
      <c r="C117" s="61" t="inlineStr">
        <is>
          <t>(FDIC e contribuições regulatórias, quando à parte)</t>
        </is>
      </c>
      <c r="D117" s="62" t="inlineStr">
        <is>
          <t>(FDIC and regulatory assessments)</t>
        </is>
      </c>
      <c r="E117" s="57">
        <f>IF(E$14=1,'Inputs (2)'!E95,-E149*Inputs!E$291)</f>
        <v>0</v>
      </c>
      <c r="F117" s="57">
        <f>IF(F$14=1,'Inputs (2)'!F95,-F149*Inputs!F$291)</f>
        <v>0</v>
      </c>
      <c r="G117" s="57">
        <f>IF(G$14=1,'Inputs (2)'!G95,-G149*Inputs!G$291)</f>
        <v>0</v>
      </c>
      <c r="H117" s="57">
        <f>IF(H$14=1,'Inputs (2)'!H95,-H149*Inputs!H$291)</f>
        <v>0</v>
      </c>
      <c r="I117" s="77">
        <f>SUM(E117:H117)</f>
        <v>0</v>
      </c>
      <c r="J117" s="57">
        <f>IF(J$14=1,'Inputs (2)'!J95,-J149*Inputs!J$291)</f>
        <v>0</v>
      </c>
      <c r="K117" s="57">
        <f>IF(K$14=1,'Inputs (2)'!K95,-K149*Inputs!K$291)</f>
        <v>0</v>
      </c>
      <c r="L117" s="57">
        <f>IF(L$14=1,'Inputs (2)'!L95,-L149*Inputs!L$291)</f>
        <v>0</v>
      </c>
      <c r="M117" s="57">
        <f>IF(M$14=1,'Inputs (2)'!M95,-M149*Inputs!M$291)</f>
        <v>0</v>
      </c>
      <c r="N117" s="77">
        <f>SUM(J117:M117)</f>
        <v>0</v>
      </c>
      <c r="O117" s="57">
        <f>IF(O$14=1,'Inputs (2)'!O95,-O149*Inputs!O$291)</f>
        <v>0</v>
      </c>
      <c r="P117" s="57">
        <f>IF(P$14=1,'Inputs (2)'!P95,-P149*Inputs!P$291)</f>
        <v>0</v>
      </c>
      <c r="Q117" s="57">
        <f>IF(Q$14=1,'Inputs (2)'!Q95,-Q149*Inputs!Q$291)</f>
        <v>0</v>
      </c>
      <c r="R117" s="57">
        <f>IF(R$14=1,'Inputs (2)'!R95,-R149*Inputs!R$291)</f>
        <v>0</v>
      </c>
      <c r="S117" s="77">
        <f>SUM(O117:R117)</f>
        <v>0</v>
      </c>
      <c r="T117" s="57">
        <f>IF(T$14=1,'Inputs (2)'!T95,-T149*Inputs!T$291)</f>
        <v>0</v>
      </c>
      <c r="U117" s="57">
        <f>IF(U$14=1,'Inputs (2)'!U95,-U149*Inputs!U$291)</f>
        <v>0</v>
      </c>
      <c r="V117" s="57">
        <f>IF(V$14=1,'Inputs (2)'!V95,-V149*Inputs!V$291)</f>
        <v>0</v>
      </c>
      <c r="W117" s="57">
        <f>IF(W$14=1,'Inputs (2)'!W95,-W149*Inputs!W$291)</f>
        <v>0</v>
      </c>
      <c r="X117" s="77">
        <f>SUM(T117:W117)</f>
        <v>0</v>
      </c>
      <c r="Y117" s="57">
        <f>IF(Y$14=1,'Inputs (2)'!Y95,-Y149*Inputs!Y$291)</f>
        <v>0</v>
      </c>
      <c r="Z117" s="57">
        <f>IF(Z$14=1,'Inputs (2)'!Z95,-Z149*Inputs!Z$291)</f>
        <v>0</v>
      </c>
      <c r="AA117" s="57">
        <f>IF(AA$14=1,'Inputs (2)'!AA95,-AA149*Inputs!AA$291)</f>
        <v>0</v>
      </c>
      <c r="AB117" s="57">
        <f>IF(AB$14=1,'Inputs (2)'!AB95,-AB149*Inputs!AB$291)</f>
        <v>0</v>
      </c>
      <c r="AC117" s="77">
        <f>SUM(Y117:AB117)</f>
        <v>0</v>
      </c>
      <c r="AD117" s="57">
        <f>IF(AD$14=1,'Inputs (2)'!AD95,-AD149*Inputs!AD$291)</f>
        <v>0</v>
      </c>
      <c r="AE117" s="57">
        <f>IF(AE$14=1,'Inputs (2)'!AE95,-AE149*Inputs!AE$291)</f>
        <v>0</v>
      </c>
      <c r="AF117" s="57">
        <f>IF(AF$14=1,'Inputs (2)'!AF95,-AF149*Inputs!AF$291)</f>
        <v>0</v>
      </c>
      <c r="AG117" s="57">
        <f>IF(AG$14=1,'Inputs (2)'!AG95,-AG149*Inputs!AG$291)</f>
        <v>0</v>
      </c>
      <c r="AH117" s="77">
        <f>SUM(AD117:AG117)</f>
        <v>0</v>
      </c>
      <c r="AI117" s="57">
        <f>IF(AI$14=1,'Inputs (2)'!AI95,-AI149*Inputs!AI$291)</f>
        <v>0</v>
      </c>
      <c r="AJ117" s="57">
        <f>IF(AJ$14=1,'Inputs (2)'!AJ95,-AJ149*Inputs!AJ$291)</f>
        <v>0</v>
      </c>
      <c r="AK117" s="57">
        <f>IF(AK$14=1,'Inputs (2)'!AK95,-AK149*Inputs!AK$291)</f>
        <v>0</v>
      </c>
      <c r="AL117" s="57">
        <f>IF(AL$14=1,'Inputs (2)'!AL95,-AL149*Inputs!AL$291)</f>
        <v>0</v>
      </c>
      <c r="AM117" s="77">
        <f>SUM(AI117:AL117)</f>
        <v>0</v>
      </c>
      <c r="AN117" s="57">
        <f>IF(AN$14=1,'Inputs (2)'!AN95,-AN149*Inputs!AN$291)</f>
        <v>0</v>
      </c>
      <c r="AO117" s="57">
        <f>IF(AO$14=1,'Inputs (2)'!AO95,-AO149*Inputs!AO$291)</f>
        <v>0</v>
      </c>
      <c r="AP117" s="57">
        <f>IF(AP$14=1,'Inputs (2)'!AP95,-AP149*Inputs!AP$291)</f>
        <v>0</v>
      </c>
      <c r="AQ117" s="57">
        <f>IF(AQ$14=1,'Inputs (2)'!AQ95,-AQ149*Inputs!AQ$291)</f>
        <v>0</v>
      </c>
      <c r="AR117" s="77">
        <f>SUM(AN117:AQ117)</f>
        <v>0</v>
      </c>
      <c r="AS117" s="57">
        <f>IF(AS$14=1,'Inputs (2)'!AS95,-AS149*Inputs!AS$291)</f>
        <v>0</v>
      </c>
      <c r="AT117" s="57">
        <f>IF(AT$14=1,'Inputs (2)'!AT95,-AT149*Inputs!AT$291)</f>
        <v>0</v>
      </c>
      <c r="AU117" s="57">
        <f>IF(AU$14=1,'Inputs (2)'!AU95,-AU149*Inputs!AU$291)</f>
        <v>0</v>
      </c>
      <c r="AV117" s="57">
        <f>IF(AV$14=1,'Inputs (2)'!AV95,-AV149*Inputs!AV$291)</f>
        <v>0</v>
      </c>
      <c r="AW117" s="77">
        <f>SUM(AS117:AV117)</f>
        <v>0</v>
      </c>
      <c r="AX117" s="57">
        <f>IF(AX$14=1,'Inputs (2)'!AX95,-AX149*Inputs!AX$291)</f>
        <v>0</v>
      </c>
      <c r="AY117" s="57">
        <f>IF(AY$14=1,'Inputs (2)'!AY95,-AY149*Inputs!AY$291)</f>
        <v>0</v>
      </c>
      <c r="AZ117" s="57">
        <f>IF(AZ$14=1,'Inputs (2)'!AZ95,-AZ149*Inputs!AZ$291)</f>
        <v>0</v>
      </c>
      <c r="BA117" s="57">
        <f>IF(BA$14=1,'Inputs (2)'!BA95,-BA149*Inputs!BA$291)</f>
        <v>0</v>
      </c>
      <c r="BB117" s="77">
        <f>SUM(AX117:BA117)</f>
        <v>0</v>
      </c>
      <c r="BC117" s="57">
        <f>IF(BC$14=1,'Inputs (2)'!BC95,-BC149*Inputs!BC$291)</f>
        <v>0</v>
      </c>
      <c r="BD117" s="57">
        <f>IF(BD$14=1,'Inputs (2)'!BD95,-BD149*Inputs!BD$291)</f>
        <v>0</v>
      </c>
      <c r="BE117" s="57">
        <f>IF(BE$14=1,'Inputs (2)'!BE95,-BE149*Inputs!BE$291)</f>
        <v>0</v>
      </c>
      <c r="BF117" s="57">
        <f>IF(BF$14=1,'Inputs (2)'!BF95,-BF149*Inputs!BF$291)</f>
        <v>0</v>
      </c>
      <c r="BG117" s="77">
        <f>SUM(BC117:BF117)</f>
        <v>0</v>
      </c>
    </row>
    <row r="118" hidden="1" outlineLevel="1">
      <c r="C118" s="61" t="inlineStr">
        <is>
          <t>Resultado de equivalência patrimonial</t>
        </is>
      </c>
      <c r="D118" s="62" t="inlineStr">
        <is>
          <t>Equity-method income</t>
        </is>
      </c>
      <c r="E118" s="57">
        <f>IF(E$14=1,'Inputs (2)'!E96,Inputs!E$292)</f>
        <v>0</v>
      </c>
      <c r="F118" s="57">
        <f>IF(F$14=1,'Inputs (2)'!F96,Inputs!F$292)</f>
        <v>0</v>
      </c>
      <c r="G118" s="57">
        <f>IF(G$14=1,'Inputs (2)'!G96,Inputs!G$292)</f>
        <v>0</v>
      </c>
      <c r="H118" s="57">
        <f>IF(H$14=1,'Inputs (2)'!H96,Inputs!H$292)</f>
        <v>0</v>
      </c>
      <c r="I118" s="77">
        <f>SUM(E118:H118)</f>
        <v>0</v>
      </c>
      <c r="J118" s="57">
        <f>IF(J$14=1,'Inputs (2)'!J96,Inputs!J$292)</f>
        <v>0</v>
      </c>
      <c r="K118" s="57">
        <f>IF(K$14=1,'Inputs (2)'!K96,Inputs!K$292)</f>
        <v>0</v>
      </c>
      <c r="L118" s="57">
        <f>IF(L$14=1,'Inputs (2)'!L96,Inputs!L$292)</f>
        <v>0</v>
      </c>
      <c r="M118" s="57">
        <f>IF(M$14=1,'Inputs (2)'!M96,Inputs!M$292)</f>
        <v>0</v>
      </c>
      <c r="N118" s="77">
        <f>SUM(J118:M118)</f>
        <v>0</v>
      </c>
      <c r="O118" s="57">
        <f>IF(O$14=1,'Inputs (2)'!O96,Inputs!O$292)</f>
        <v>0</v>
      </c>
      <c r="P118" s="57">
        <f>IF(P$14=1,'Inputs (2)'!P96,Inputs!P$292)</f>
        <v>0</v>
      </c>
      <c r="Q118" s="57">
        <f>IF(Q$14=1,'Inputs (2)'!Q96,Inputs!Q$292)</f>
        <v>0</v>
      </c>
      <c r="R118" s="57">
        <f>IF(R$14=1,'Inputs (2)'!R96,Inputs!R$292)</f>
        <v>0</v>
      </c>
      <c r="S118" s="77">
        <f>SUM(O118:R118)</f>
        <v>0</v>
      </c>
      <c r="T118" s="57">
        <f>IF(T$14=1,'Inputs (2)'!T96,Inputs!T$292)</f>
        <v>0</v>
      </c>
      <c r="U118" s="57">
        <f>IF(U$14=1,'Inputs (2)'!U96,Inputs!U$292)</f>
        <v>0</v>
      </c>
      <c r="V118" s="57">
        <f>IF(V$14=1,'Inputs (2)'!V96,Inputs!V$292)</f>
        <v>0</v>
      </c>
      <c r="W118" s="57">
        <f>IF(W$14=1,'Inputs (2)'!W96,Inputs!W$292)</f>
        <v>0</v>
      </c>
      <c r="X118" s="77">
        <f>SUM(T118:W118)</f>
        <v>0</v>
      </c>
      <c r="Y118" s="57">
        <f>IF(Y$14=1,'Inputs (2)'!Y96,Inputs!Y$292)</f>
        <v>0</v>
      </c>
      <c r="Z118" s="57">
        <f>IF(Z$14=1,'Inputs (2)'!Z96,Inputs!Z$292)</f>
        <v>0</v>
      </c>
      <c r="AA118" s="57">
        <f>IF(AA$14=1,'Inputs (2)'!AA96,Inputs!AA$292)</f>
        <v>0</v>
      </c>
      <c r="AB118" s="57">
        <f>IF(AB$14=1,'Inputs (2)'!AB96,Inputs!AB$292)</f>
        <v>0</v>
      </c>
      <c r="AC118" s="77">
        <f>SUM(Y118:AB118)</f>
        <v>0</v>
      </c>
      <c r="AD118" s="57">
        <f>IF(AD$14=1,'Inputs (2)'!AD96,Inputs!AD$292)</f>
        <v>0</v>
      </c>
      <c r="AE118" s="57">
        <f>IF(AE$14=1,'Inputs (2)'!AE96,Inputs!AE$292)</f>
        <v>0</v>
      </c>
      <c r="AF118" s="57">
        <f>IF(AF$14=1,'Inputs (2)'!AF96,Inputs!AF$292)</f>
        <v>0</v>
      </c>
      <c r="AG118" s="57">
        <f>IF(AG$14=1,'Inputs (2)'!AG96,Inputs!AG$292)</f>
        <v>0</v>
      </c>
      <c r="AH118" s="77">
        <f>SUM(AD118:AG118)</f>
        <v>0</v>
      </c>
      <c r="AI118" s="57">
        <f>IF(AI$14=1,'Inputs (2)'!AI96,Inputs!AI$292)</f>
        <v>0</v>
      </c>
      <c r="AJ118" s="57">
        <f>IF(AJ$14=1,'Inputs (2)'!AJ96,Inputs!AJ$292)</f>
        <v>0</v>
      </c>
      <c r="AK118" s="57">
        <f>IF(AK$14=1,'Inputs (2)'!AK96,Inputs!AK$292)</f>
        <v>0</v>
      </c>
      <c r="AL118" s="57">
        <f>IF(AL$14=1,'Inputs (2)'!AL96,Inputs!AL$292)</f>
        <v>0</v>
      </c>
      <c r="AM118" s="77">
        <f>SUM(AI118:AL118)</f>
        <v>0</v>
      </c>
      <c r="AN118" s="57">
        <f>IF(AN$14=1,'Inputs (2)'!AN96,Inputs!AN$292)</f>
        <v>0</v>
      </c>
      <c r="AO118" s="57">
        <f>IF(AO$14=1,'Inputs (2)'!AO96,Inputs!AO$292)</f>
        <v>0</v>
      </c>
      <c r="AP118" s="57">
        <f>IF(AP$14=1,'Inputs (2)'!AP96,Inputs!AP$292)</f>
        <v>0</v>
      </c>
      <c r="AQ118" s="57">
        <f>IF(AQ$14=1,'Inputs (2)'!AQ96,Inputs!AQ$292)</f>
        <v>0</v>
      </c>
      <c r="AR118" s="77">
        <f>SUM(AN118:AQ118)</f>
        <v>0</v>
      </c>
      <c r="AS118" s="57">
        <f>IF(AS$14=1,'Inputs (2)'!AS96,Inputs!AS$292)</f>
        <v>0</v>
      </c>
      <c r="AT118" s="57">
        <f>IF(AT$14=1,'Inputs (2)'!AT96,Inputs!AT$292)</f>
        <v>0</v>
      </c>
      <c r="AU118" s="57">
        <f>IF(AU$14=1,'Inputs (2)'!AU96,Inputs!AU$292)</f>
        <v>0</v>
      </c>
      <c r="AV118" s="57">
        <f>IF(AV$14=1,'Inputs (2)'!AV96,Inputs!AV$292)</f>
        <v>0</v>
      </c>
      <c r="AW118" s="77">
        <f>SUM(AS118:AV118)</f>
        <v>0</v>
      </c>
      <c r="AX118" s="57">
        <f>IF(AX$14=1,'Inputs (2)'!AX96,Inputs!AX$292)</f>
        <v>0</v>
      </c>
      <c r="AY118" s="57">
        <f>IF(AY$14=1,'Inputs (2)'!AY96,Inputs!AY$292)</f>
        <v>0</v>
      </c>
      <c r="AZ118" s="57">
        <f>IF(AZ$14=1,'Inputs (2)'!AZ96,Inputs!AZ$292)</f>
        <v>0</v>
      </c>
      <c r="BA118" s="57">
        <f>IF(BA$14=1,'Inputs (2)'!BA96,Inputs!BA$292)</f>
        <v>0</v>
      </c>
      <c r="BB118" s="77">
        <f>SUM(AX118:BA118)</f>
        <v>0</v>
      </c>
      <c r="BC118" s="57">
        <f>IF(BC$14=1,'Inputs (2)'!BC96,Inputs!BC$292)</f>
        <v>0</v>
      </c>
      <c r="BD118" s="57">
        <f>IF(BD$14=1,'Inputs (2)'!BD96,Inputs!BD$292)</f>
        <v>0</v>
      </c>
      <c r="BE118" s="57">
        <f>IF(BE$14=1,'Inputs (2)'!BE96,Inputs!BE$292)</f>
        <v>0</v>
      </c>
      <c r="BF118" s="57">
        <f>IF(BF$14=1,'Inputs (2)'!BF96,Inputs!BF$292)</f>
        <v>0</v>
      </c>
      <c r="BG118" s="77">
        <f>SUM(BC118:BF118)</f>
        <v>0</v>
      </c>
    </row>
    <row r="119" hidden="1" outlineLevel="1">
      <c r="C119" s="61" t="inlineStr">
        <is>
          <t>Outras receitas não-juros</t>
        </is>
      </c>
      <c r="D119" s="62" t="inlineStr">
        <is>
          <t>Other noninterest revenue</t>
        </is>
      </c>
      <c r="E119" s="57">
        <f>'Inputs (2)'!E97</f>
        <v>0</v>
      </c>
      <c r="F119" s="57">
        <f>IF(F$14=1,'Inputs (2)'!F97,E119)</f>
        <v>0</v>
      </c>
      <c r="G119" s="57">
        <f>IF(G$14=1,'Inputs (2)'!G97,F119)</f>
        <v>0</v>
      </c>
      <c r="H119" s="57">
        <f>IF(H$14=1,'Inputs (2)'!H97,G119)</f>
        <v>0</v>
      </c>
      <c r="I119" s="77">
        <f>SUM(E119:H119)</f>
        <v>0</v>
      </c>
      <c r="J119" s="57">
        <f>IF(J$14=1,'Inputs (2)'!J97,H119)</f>
        <v>0</v>
      </c>
      <c r="K119" s="57">
        <f>IF(K$14=1,'Inputs (2)'!K97,J119)</f>
        <v>0</v>
      </c>
      <c r="L119" s="57">
        <f>IF(L$14=1,'Inputs (2)'!L97,K119)</f>
        <v>0</v>
      </c>
      <c r="M119" s="57">
        <f>IF(M$14=1,'Inputs (2)'!M97,L119)</f>
        <v>0</v>
      </c>
      <c r="N119" s="77">
        <f>SUM(J119:M119)</f>
        <v>0</v>
      </c>
      <c r="O119" s="57">
        <f>IF(O$14=1,'Inputs (2)'!O97,M119)</f>
        <v>0</v>
      </c>
      <c r="P119" s="57">
        <f>IF(P$14=1,'Inputs (2)'!P97,O119)</f>
        <v>0</v>
      </c>
      <c r="Q119" s="57">
        <f>IF(Q$14=1,'Inputs (2)'!Q97,P119)</f>
        <v>0</v>
      </c>
      <c r="R119" s="57">
        <f>IF(R$14=1,'Inputs (2)'!R97,Q119)</f>
        <v>0</v>
      </c>
      <c r="S119" s="77">
        <f>SUM(O119:R119)</f>
        <v>0</v>
      </c>
      <c r="T119" s="57">
        <f>IF(T$14=1,'Inputs (2)'!T97,R119)</f>
        <v>0</v>
      </c>
      <c r="U119" s="57">
        <f>IF(U$14=1,'Inputs (2)'!U97,T119)</f>
        <v>0</v>
      </c>
      <c r="V119" s="57">
        <f>IF(V$14=1,'Inputs (2)'!V97,U119)</f>
        <v>0</v>
      </c>
      <c r="W119" s="57">
        <f>IF(W$14=1,'Inputs (2)'!W97,V119)</f>
        <v>0</v>
      </c>
      <c r="X119" s="77">
        <f>SUM(T119:W119)</f>
        <v>0</v>
      </c>
      <c r="Y119" s="57">
        <f>IF(Y$14=1,'Inputs (2)'!Y97,W119)</f>
        <v>0</v>
      </c>
      <c r="Z119" s="57">
        <f>IF(Z$14=1,'Inputs (2)'!Z97,Y119)</f>
        <v>0</v>
      </c>
      <c r="AA119" s="57">
        <f>IF(AA$14=1,'Inputs (2)'!AA97,Z119)</f>
        <v>0</v>
      </c>
      <c r="AB119" s="57">
        <f>IF(AB$14=1,'Inputs (2)'!AB97,AA119)</f>
        <v>0</v>
      </c>
      <c r="AC119" s="77">
        <f>SUM(Y119:AB119)</f>
        <v>0</v>
      </c>
      <c r="AD119" s="57">
        <f>IF(AD$14=1,'Inputs (2)'!AD97,AB119)</f>
        <v>0</v>
      </c>
      <c r="AE119" s="57">
        <f>IF(AE$14=1,'Inputs (2)'!AE97,AD119)</f>
        <v>0</v>
      </c>
      <c r="AF119" s="57">
        <f>IF(AF$14=1,'Inputs (2)'!AF97,AE119)</f>
        <v>0</v>
      </c>
      <c r="AG119" s="57">
        <f>IF(AG$14=1,'Inputs (2)'!AG97,AF119)</f>
        <v>0</v>
      </c>
      <c r="AH119" s="77">
        <f>SUM(AD119:AG119)</f>
        <v>0</v>
      </c>
      <c r="AI119" s="57">
        <f>IF(AI$14=1,'Inputs (2)'!AI97,AG119)</f>
        <v>0</v>
      </c>
      <c r="AJ119" s="57">
        <f>IF(AJ$14=1,'Inputs (2)'!AJ97,AI119)</f>
        <v>0</v>
      </c>
      <c r="AK119" s="57">
        <f>IF(AK$14=1,'Inputs (2)'!AK97,AJ119)</f>
        <v>0</v>
      </c>
      <c r="AL119" s="57">
        <f>IF(AL$14=1,'Inputs (2)'!AL97,AK119)</f>
        <v>0</v>
      </c>
      <c r="AM119" s="77">
        <f>SUM(AI119:AL119)</f>
        <v>0</v>
      </c>
      <c r="AN119" s="57">
        <f>IF(AN$14=1,'Inputs (2)'!AN97,AL119)</f>
        <v>0</v>
      </c>
      <c r="AO119" s="57">
        <f>IF(AO$14=1,'Inputs (2)'!AO97,AN119)</f>
        <v>0</v>
      </c>
      <c r="AP119" s="57">
        <f>IF(AP$14=1,'Inputs (2)'!AP97,AO119)</f>
        <v>0</v>
      </c>
      <c r="AQ119" s="57">
        <f>IF(AQ$14=1,'Inputs (2)'!AQ97,AP119)</f>
        <v>0</v>
      </c>
      <c r="AR119" s="77">
        <f>SUM(AN119:AQ119)</f>
        <v>0</v>
      </c>
      <c r="AS119" s="57">
        <f>IF(AS$14=1,'Inputs (2)'!AS97,AQ119)</f>
        <v>0</v>
      </c>
      <c r="AT119" s="57">
        <f>IF(AT$14=1,'Inputs (2)'!AT97,AS119)</f>
        <v>0</v>
      </c>
      <c r="AU119" s="57">
        <f>IF(AU$14=1,'Inputs (2)'!AU97,AT119)</f>
        <v>0</v>
      </c>
      <c r="AV119" s="57">
        <f>IF(AV$14=1,'Inputs (2)'!AV97,AU119)</f>
        <v>0</v>
      </c>
      <c r="AW119" s="77">
        <f>SUM(AS119:AV119)</f>
        <v>0</v>
      </c>
      <c r="AX119" s="57">
        <f>IF(AX$14=1,'Inputs (2)'!AX97,AV119)</f>
        <v>0</v>
      </c>
      <c r="AY119" s="57">
        <f>IF(AY$14=1,'Inputs (2)'!AY97,AX119)</f>
        <v>0</v>
      </c>
      <c r="AZ119" s="57">
        <f>IF(AZ$14=1,'Inputs (2)'!AZ97,AY119)</f>
        <v>0</v>
      </c>
      <c r="BA119" s="57">
        <f>IF(BA$14=1,'Inputs (2)'!BA97,AZ119)</f>
        <v>0</v>
      </c>
      <c r="BB119" s="77">
        <f>SUM(AX119:BA119)</f>
        <v>0</v>
      </c>
      <c r="BC119" s="57">
        <f>IF(BC$14=1,'Inputs (2)'!BC97,BA119)</f>
        <v>0</v>
      </c>
      <c r="BD119" s="57">
        <f>IF(BD$14=1,'Inputs (2)'!BD97,BC119)</f>
        <v>0</v>
      </c>
      <c r="BE119" s="57">
        <f>IF(BE$14=1,'Inputs (2)'!BE97,BD119)</f>
        <v>0</v>
      </c>
      <c r="BF119" s="57">
        <f>IF(BF$14=1,'Inputs (2)'!BF97,BE119)</f>
        <v>0</v>
      </c>
      <c r="BG119" s="77">
        <f>SUM(BC119:BF119)</f>
        <v>0</v>
      </c>
    </row>
    <row r="120" hidden="1" outlineLevel="1">
      <c r="C120" s="61" t="inlineStr">
        <is>
          <t>(Outras despesas não-juros)</t>
        </is>
      </c>
      <c r="D120" s="62" t="inlineStr">
        <is>
          <t>(Other noninterest expense)</t>
        </is>
      </c>
      <c r="E120" s="57">
        <f>IF(E$14=1,'Inputs (2)'!E98,-E149*Inputs!E$293)</f>
        <v>0</v>
      </c>
      <c r="F120" s="57">
        <f>IF(F$14=1,'Inputs (2)'!F98,-F149*Inputs!F$293)</f>
        <v>0</v>
      </c>
      <c r="G120" s="57">
        <f>IF(G$14=1,'Inputs (2)'!G98,-G149*Inputs!G$293)</f>
        <v>0</v>
      </c>
      <c r="H120" s="57">
        <f>IF(H$14=1,'Inputs (2)'!H98,-H149*Inputs!H$293)</f>
        <v>0</v>
      </c>
      <c r="I120" s="77">
        <f>SUM(E120:H120)</f>
        <v>0</v>
      </c>
      <c r="J120" s="57">
        <f>IF(J$14=1,'Inputs (2)'!J98,-J149*Inputs!J$293)</f>
        <v>0</v>
      </c>
      <c r="K120" s="57">
        <f>IF(K$14=1,'Inputs (2)'!K98,-K149*Inputs!K$293)</f>
        <v>0</v>
      </c>
      <c r="L120" s="57">
        <f>IF(L$14=1,'Inputs (2)'!L98,-L149*Inputs!L$293)</f>
        <v>0</v>
      </c>
      <c r="M120" s="57">
        <f>IF(M$14=1,'Inputs (2)'!M98,-M149*Inputs!M$293)</f>
        <v>0</v>
      </c>
      <c r="N120" s="77">
        <f>SUM(J120:M120)</f>
        <v>0</v>
      </c>
      <c r="O120" s="57">
        <f>IF(O$14=1,'Inputs (2)'!O98,-O149*Inputs!O$293)</f>
        <v>0</v>
      </c>
      <c r="P120" s="57">
        <f>IF(P$14=1,'Inputs (2)'!P98,-P149*Inputs!P$293)</f>
        <v>0</v>
      </c>
      <c r="Q120" s="57">
        <f>IF(Q$14=1,'Inputs (2)'!Q98,-Q149*Inputs!Q$293)</f>
        <v>0</v>
      </c>
      <c r="R120" s="57">
        <f>IF(R$14=1,'Inputs (2)'!R98,-R149*Inputs!R$293)</f>
        <v>0</v>
      </c>
      <c r="S120" s="77">
        <f>SUM(O120:R120)</f>
        <v>0</v>
      </c>
      <c r="T120" s="57">
        <f>IF(T$14=1,'Inputs (2)'!T98,-T149*Inputs!T$293)</f>
        <v>0</v>
      </c>
      <c r="U120" s="57">
        <f>IF(U$14=1,'Inputs (2)'!U98,-U149*Inputs!U$293)</f>
        <v>0</v>
      </c>
      <c r="V120" s="57">
        <f>IF(V$14=1,'Inputs (2)'!V98,-V149*Inputs!V$293)</f>
        <v>0</v>
      </c>
      <c r="W120" s="57">
        <f>IF(W$14=1,'Inputs (2)'!W98,-W149*Inputs!W$293)</f>
        <v>0</v>
      </c>
      <c r="X120" s="77">
        <f>SUM(T120:W120)</f>
        <v>0</v>
      </c>
      <c r="Y120" s="57">
        <f>IF(Y$14=1,'Inputs (2)'!Y98,-Y149*Inputs!Y$293)</f>
        <v>0</v>
      </c>
      <c r="Z120" s="57">
        <f>IF(Z$14=1,'Inputs (2)'!Z98,-Z149*Inputs!Z$293)</f>
        <v>0</v>
      </c>
      <c r="AA120" s="57">
        <f>IF(AA$14=1,'Inputs (2)'!AA98,-AA149*Inputs!AA$293)</f>
        <v>0</v>
      </c>
      <c r="AB120" s="57">
        <f>IF(AB$14=1,'Inputs (2)'!AB98,-AB149*Inputs!AB$293)</f>
        <v>0</v>
      </c>
      <c r="AC120" s="77">
        <f>SUM(Y120:AB120)</f>
        <v>0</v>
      </c>
      <c r="AD120" s="57">
        <f>IF(AD$14=1,'Inputs (2)'!AD98,-AD149*Inputs!AD$293)</f>
        <v>0</v>
      </c>
      <c r="AE120" s="57">
        <f>IF(AE$14=1,'Inputs (2)'!AE98,-AE149*Inputs!AE$293)</f>
        <v>0</v>
      </c>
      <c r="AF120" s="57">
        <f>IF(AF$14=1,'Inputs (2)'!AF98,-AF149*Inputs!AF$293)</f>
        <v>0</v>
      </c>
      <c r="AG120" s="57">
        <f>IF(AG$14=1,'Inputs (2)'!AG98,-AG149*Inputs!AG$293)</f>
        <v>0</v>
      </c>
      <c r="AH120" s="77">
        <f>SUM(AD120:AG120)</f>
        <v>0</v>
      </c>
      <c r="AI120" s="57">
        <f>IF(AI$14=1,'Inputs (2)'!AI98,-AI149*Inputs!AI$293)</f>
        <v>0</v>
      </c>
      <c r="AJ120" s="57">
        <f>IF(AJ$14=1,'Inputs (2)'!AJ98,-AJ149*Inputs!AJ$293)</f>
        <v>0</v>
      </c>
      <c r="AK120" s="57">
        <f>IF(AK$14=1,'Inputs (2)'!AK98,-AK149*Inputs!AK$293)</f>
        <v>0</v>
      </c>
      <c r="AL120" s="57">
        <f>IF(AL$14=1,'Inputs (2)'!AL98,-AL149*Inputs!AL$293)</f>
        <v>0</v>
      </c>
      <c r="AM120" s="77">
        <f>SUM(AI120:AL120)</f>
        <v>0</v>
      </c>
      <c r="AN120" s="57">
        <f>IF(AN$14=1,'Inputs (2)'!AN98,-AN149*Inputs!AN$293)</f>
        <v>0</v>
      </c>
      <c r="AO120" s="57">
        <f>IF(AO$14=1,'Inputs (2)'!AO98,-AO149*Inputs!AO$293)</f>
        <v>0</v>
      </c>
      <c r="AP120" s="57">
        <f>IF(AP$14=1,'Inputs (2)'!AP98,-AP149*Inputs!AP$293)</f>
        <v>0</v>
      </c>
      <c r="AQ120" s="57">
        <f>IF(AQ$14=1,'Inputs (2)'!AQ98,-AQ149*Inputs!AQ$293)</f>
        <v>0</v>
      </c>
      <c r="AR120" s="77">
        <f>SUM(AN120:AQ120)</f>
        <v>0</v>
      </c>
      <c r="AS120" s="57">
        <f>IF(AS$14=1,'Inputs (2)'!AS98,-AS149*Inputs!AS$293)</f>
        <v>0</v>
      </c>
      <c r="AT120" s="57">
        <f>IF(AT$14=1,'Inputs (2)'!AT98,-AT149*Inputs!AT$293)</f>
        <v>0</v>
      </c>
      <c r="AU120" s="57">
        <f>IF(AU$14=1,'Inputs (2)'!AU98,-AU149*Inputs!AU$293)</f>
        <v>0</v>
      </c>
      <c r="AV120" s="57">
        <f>IF(AV$14=1,'Inputs (2)'!AV98,-AV149*Inputs!AV$293)</f>
        <v>0</v>
      </c>
      <c r="AW120" s="77">
        <f>SUM(AS120:AV120)</f>
        <v>0</v>
      </c>
      <c r="AX120" s="57">
        <f>IF(AX$14=1,'Inputs (2)'!AX98,-AX149*Inputs!AX$293)</f>
        <v>0</v>
      </c>
      <c r="AY120" s="57">
        <f>IF(AY$14=1,'Inputs (2)'!AY98,-AY149*Inputs!AY$293)</f>
        <v>0</v>
      </c>
      <c r="AZ120" s="57">
        <f>IF(AZ$14=1,'Inputs (2)'!AZ98,-AZ149*Inputs!AZ$293)</f>
        <v>0</v>
      </c>
      <c r="BA120" s="57">
        <f>IF(BA$14=1,'Inputs (2)'!BA98,-BA149*Inputs!BA$293)</f>
        <v>0</v>
      </c>
      <c r="BB120" s="77">
        <f>SUM(AX120:BA120)</f>
        <v>0</v>
      </c>
      <c r="BC120" s="57">
        <f>IF(BC$14=1,'Inputs (2)'!BC98,-BC149*Inputs!BC$293)</f>
        <v>0</v>
      </c>
      <c r="BD120" s="57">
        <f>IF(BD$14=1,'Inputs (2)'!BD98,-BD149*Inputs!BD$293)</f>
        <v>0</v>
      </c>
      <c r="BE120" s="57">
        <f>IF(BE$14=1,'Inputs (2)'!BE98,-BE149*Inputs!BE$293)</f>
        <v>0</v>
      </c>
      <c r="BF120" s="57">
        <f>IF(BF$14=1,'Inputs (2)'!BF98,-BF149*Inputs!BF$293)</f>
        <v>0</v>
      </c>
      <c r="BG120" s="77">
        <f>SUM(BC120:BF120)</f>
        <v>0</v>
      </c>
    </row>
    <row r="121" collapsed="1">
      <c r="C121" s="53" t="inlineStr">
        <is>
          <t>Resultado operacional</t>
        </is>
      </c>
      <c r="D121" s="54" t="inlineStr">
        <is>
          <t>Operating result</t>
        </is>
      </c>
      <c r="E121" s="59">
        <f>E107+E108</f>
        <v>0</v>
      </c>
      <c r="F121" s="59">
        <f>F107+F108</f>
        <v>0</v>
      </c>
      <c r="G121" s="59">
        <f>G107+G108</f>
        <v>0</v>
      </c>
      <c r="H121" s="59">
        <f>H107+H108</f>
        <v>0</v>
      </c>
      <c r="I121" s="60">
        <f>SUM(E121:H121)</f>
        <v>0</v>
      </c>
      <c r="J121" s="59">
        <f>J107+J108</f>
        <v>0</v>
      </c>
      <c r="K121" s="59">
        <f>K107+K108</f>
        <v>0</v>
      </c>
      <c r="L121" s="59">
        <f>L107+L108</f>
        <v>0</v>
      </c>
      <c r="M121" s="59">
        <f>M107+M108</f>
        <v>0</v>
      </c>
      <c r="N121" s="60">
        <f>SUM(J121:M121)</f>
        <v>0</v>
      </c>
      <c r="O121" s="59">
        <f>O107+O108</f>
        <v>0</v>
      </c>
      <c r="P121" s="59">
        <f>P107+P108</f>
        <v>0</v>
      </c>
      <c r="Q121" s="59">
        <f>Q107+Q108</f>
        <v>0</v>
      </c>
      <c r="R121" s="59">
        <f>R107+R108</f>
        <v>0</v>
      </c>
      <c r="S121" s="60">
        <f>SUM(O121:R121)</f>
        <v>0</v>
      </c>
      <c r="T121" s="59">
        <f>T107+T108</f>
        <v>0</v>
      </c>
      <c r="U121" s="59">
        <f>U107+U108</f>
        <v>0</v>
      </c>
      <c r="V121" s="59">
        <f>V107+V108</f>
        <v>0</v>
      </c>
      <c r="W121" s="59">
        <f>W107+W108</f>
        <v>0</v>
      </c>
      <c r="X121" s="60">
        <f>SUM(T121:W121)</f>
        <v>0</v>
      </c>
      <c r="Y121" s="59">
        <f>Y107+Y108</f>
        <v>0</v>
      </c>
      <c r="Z121" s="59">
        <f>Z107+Z108</f>
        <v>0</v>
      </c>
      <c r="AA121" s="59">
        <f>AA107+AA108</f>
        <v>0</v>
      </c>
      <c r="AB121" s="59">
        <f>AB107+AB108</f>
        <v>0</v>
      </c>
      <c r="AC121" s="60">
        <f>SUM(Y121:AB121)</f>
        <v>0</v>
      </c>
      <c r="AD121" s="59">
        <f>AD107+AD108</f>
        <v>0</v>
      </c>
      <c r="AE121" s="59">
        <f>AE107+AE108</f>
        <v>0</v>
      </c>
      <c r="AF121" s="59">
        <f>AF107+AF108</f>
        <v>0</v>
      </c>
      <c r="AG121" s="59">
        <f>AG107+AG108</f>
        <v>0</v>
      </c>
      <c r="AH121" s="60">
        <f>SUM(AD121:AG121)</f>
        <v>0</v>
      </c>
      <c r="AI121" s="59">
        <f>AI107+AI108</f>
        <v>0</v>
      </c>
      <c r="AJ121" s="59">
        <f>AJ107+AJ108</f>
        <v>0</v>
      </c>
      <c r="AK121" s="59">
        <f>AK107+AK108</f>
        <v>0</v>
      </c>
      <c r="AL121" s="59">
        <f>AL107+AL108</f>
        <v>0</v>
      </c>
      <c r="AM121" s="60">
        <f>SUM(AI121:AL121)</f>
        <v>0</v>
      </c>
      <c r="AN121" s="59">
        <f>AN107+AN108</f>
        <v>0</v>
      </c>
      <c r="AO121" s="59">
        <f>AO107+AO108</f>
        <v>0</v>
      </c>
      <c r="AP121" s="59">
        <f>AP107+AP108</f>
        <v>0</v>
      </c>
      <c r="AQ121" s="59">
        <f>AQ107+AQ108</f>
        <v>0</v>
      </c>
      <c r="AR121" s="60">
        <f>SUM(AN121:AQ121)</f>
        <v>0</v>
      </c>
      <c r="AS121" s="59">
        <f>AS107+AS108</f>
        <v>0</v>
      </c>
      <c r="AT121" s="59">
        <f>AT107+AT108</f>
        <v>0</v>
      </c>
      <c r="AU121" s="59">
        <f>AU107+AU108</f>
        <v>0</v>
      </c>
      <c r="AV121" s="59">
        <f>AV107+AV108</f>
        <v>0</v>
      </c>
      <c r="AW121" s="60">
        <f>SUM(AS121:AV121)</f>
        <v>0</v>
      </c>
      <c r="AX121" s="59">
        <f>AX107+AX108</f>
        <v>0</v>
      </c>
      <c r="AY121" s="59">
        <f>AY107+AY108</f>
        <v>0</v>
      </c>
      <c r="AZ121" s="59">
        <f>AZ107+AZ108</f>
        <v>0</v>
      </c>
      <c r="BA121" s="59">
        <f>BA107+BA108</f>
        <v>0</v>
      </c>
      <c r="BB121" s="60">
        <f>SUM(AX121:BA121)</f>
        <v>0</v>
      </c>
      <c r="BC121" s="59">
        <f>BC107+BC108</f>
        <v>0</v>
      </c>
      <c r="BD121" s="59">
        <f>BD107+BD108</f>
        <v>0</v>
      </c>
      <c r="BE121" s="59">
        <f>BE107+BE108</f>
        <v>0</v>
      </c>
      <c r="BF121" s="59">
        <f>BF107+BF108</f>
        <v>0</v>
      </c>
      <c r="BG121" s="60">
        <f>SUM(BC121:BF121)</f>
        <v>0</v>
      </c>
    </row>
    <row r="122">
      <c r="C122" s="80" t="inlineStr">
        <is>
          <t>Resultado não operacional</t>
        </is>
      </c>
      <c r="D122" s="81" t="inlineStr">
        <is>
          <t>Non-operating result</t>
        </is>
      </c>
      <c r="E122" s="82">
        <f>IF(E$14=1,'Inputs (2)'!E100,Inputs!E$294)</f>
        <v>0</v>
      </c>
      <c r="F122" s="82">
        <f>IF(F$14=1,'Inputs (2)'!F100,Inputs!F$294)</f>
        <v>0</v>
      </c>
      <c r="G122" s="82">
        <f>IF(G$14=1,'Inputs (2)'!G100,Inputs!G$294)</f>
        <v>0</v>
      </c>
      <c r="H122" s="82">
        <f>IF(H$14=1,'Inputs (2)'!H100,Inputs!H$294)</f>
        <v>0</v>
      </c>
      <c r="I122" s="77">
        <f>SUM(E122:H122)</f>
        <v>0</v>
      </c>
      <c r="J122" s="82">
        <f>IF(J$14=1,'Inputs (2)'!J100,Inputs!J$294)</f>
        <v>0</v>
      </c>
      <c r="K122" s="82">
        <f>IF(K$14=1,'Inputs (2)'!K100,Inputs!K$294)</f>
        <v>0</v>
      </c>
      <c r="L122" s="82">
        <f>IF(L$14=1,'Inputs (2)'!L100,Inputs!L$294)</f>
        <v>0</v>
      </c>
      <c r="M122" s="82">
        <f>IF(M$14=1,'Inputs (2)'!M100,Inputs!M$294)</f>
        <v>0</v>
      </c>
      <c r="N122" s="77">
        <f>SUM(J122:M122)</f>
        <v>0</v>
      </c>
      <c r="O122" s="82">
        <f>IF(O$14=1,'Inputs (2)'!O100,Inputs!O$294)</f>
        <v>0</v>
      </c>
      <c r="P122" s="82">
        <f>IF(P$14=1,'Inputs (2)'!P100,Inputs!P$294)</f>
        <v>0</v>
      </c>
      <c r="Q122" s="82">
        <f>IF(Q$14=1,'Inputs (2)'!Q100,Inputs!Q$294)</f>
        <v>0</v>
      </c>
      <c r="R122" s="82">
        <f>IF(R$14=1,'Inputs (2)'!R100,Inputs!R$294)</f>
        <v>0</v>
      </c>
      <c r="S122" s="77">
        <f>SUM(O122:R122)</f>
        <v>0</v>
      </c>
      <c r="T122" s="82">
        <f>IF(T$14=1,'Inputs (2)'!T100,Inputs!T$294)</f>
        <v>0</v>
      </c>
      <c r="U122" s="82">
        <f>IF(U$14=1,'Inputs (2)'!U100,Inputs!U$294)</f>
        <v>0</v>
      </c>
      <c r="V122" s="82">
        <f>IF(V$14=1,'Inputs (2)'!V100,Inputs!V$294)</f>
        <v>0</v>
      </c>
      <c r="W122" s="82">
        <f>IF(W$14=1,'Inputs (2)'!W100,Inputs!W$294)</f>
        <v>0</v>
      </c>
      <c r="X122" s="77">
        <f>SUM(T122:W122)</f>
        <v>0</v>
      </c>
      <c r="Y122" s="82">
        <f>IF(Y$14=1,'Inputs (2)'!Y100,Inputs!Y$294)</f>
        <v>0</v>
      </c>
      <c r="Z122" s="82">
        <f>IF(Z$14=1,'Inputs (2)'!Z100,Inputs!Z$294)</f>
        <v>0</v>
      </c>
      <c r="AA122" s="82">
        <f>IF(AA$14=1,'Inputs (2)'!AA100,Inputs!AA$294)</f>
        <v>0</v>
      </c>
      <c r="AB122" s="82">
        <f>IF(AB$14=1,'Inputs (2)'!AB100,Inputs!AB$294)</f>
        <v>0</v>
      </c>
      <c r="AC122" s="77">
        <f>SUM(Y122:AB122)</f>
        <v>0</v>
      </c>
      <c r="AD122" s="82">
        <f>IF(AD$14=1,'Inputs (2)'!AD100,Inputs!AD$294)</f>
        <v>0</v>
      </c>
      <c r="AE122" s="82">
        <f>IF(AE$14=1,'Inputs (2)'!AE100,Inputs!AE$294)</f>
        <v>0</v>
      </c>
      <c r="AF122" s="82">
        <f>IF(AF$14=1,'Inputs (2)'!AF100,Inputs!AF$294)</f>
        <v>0</v>
      </c>
      <c r="AG122" s="82">
        <f>IF(AG$14=1,'Inputs (2)'!AG100,Inputs!AG$294)</f>
        <v>0</v>
      </c>
      <c r="AH122" s="77">
        <f>SUM(AD122:AG122)</f>
        <v>0</v>
      </c>
      <c r="AI122" s="82">
        <f>IF(AI$14=1,'Inputs (2)'!AI100,Inputs!AI$294)</f>
        <v>0</v>
      </c>
      <c r="AJ122" s="82">
        <f>IF(AJ$14=1,'Inputs (2)'!AJ100,Inputs!AJ$294)</f>
        <v>0</v>
      </c>
      <c r="AK122" s="82">
        <f>IF(AK$14=1,'Inputs (2)'!AK100,Inputs!AK$294)</f>
        <v>0</v>
      </c>
      <c r="AL122" s="82">
        <f>IF(AL$14=1,'Inputs (2)'!AL100,Inputs!AL$294)</f>
        <v>0</v>
      </c>
      <c r="AM122" s="77">
        <f>SUM(AI122:AL122)</f>
        <v>0</v>
      </c>
      <c r="AN122" s="82">
        <f>IF(AN$14=1,'Inputs (2)'!AN100,Inputs!AN$294)</f>
        <v>0</v>
      </c>
      <c r="AO122" s="82">
        <f>IF(AO$14=1,'Inputs (2)'!AO100,Inputs!AO$294)</f>
        <v>0</v>
      </c>
      <c r="AP122" s="82">
        <f>IF(AP$14=1,'Inputs (2)'!AP100,Inputs!AP$294)</f>
        <v>0</v>
      </c>
      <c r="AQ122" s="82">
        <f>IF(AQ$14=1,'Inputs (2)'!AQ100,Inputs!AQ$294)</f>
        <v>0</v>
      </c>
      <c r="AR122" s="77">
        <f>SUM(AN122:AQ122)</f>
        <v>0</v>
      </c>
      <c r="AS122" s="82">
        <f>IF(AS$14=1,'Inputs (2)'!AS100,Inputs!AS$294)</f>
        <v>0</v>
      </c>
      <c r="AT122" s="82">
        <f>IF(AT$14=1,'Inputs (2)'!AT100,Inputs!AT$294)</f>
        <v>0</v>
      </c>
      <c r="AU122" s="82">
        <f>IF(AU$14=1,'Inputs (2)'!AU100,Inputs!AU$294)</f>
        <v>0</v>
      </c>
      <c r="AV122" s="82">
        <f>IF(AV$14=1,'Inputs (2)'!AV100,Inputs!AV$294)</f>
        <v>0</v>
      </c>
      <c r="AW122" s="77">
        <f>SUM(AS122:AV122)</f>
        <v>0</v>
      </c>
      <c r="AX122" s="82">
        <f>IF(AX$14=1,'Inputs (2)'!AX100,Inputs!AX$294)</f>
        <v>0</v>
      </c>
      <c r="AY122" s="82">
        <f>IF(AY$14=1,'Inputs (2)'!AY100,Inputs!AY$294)</f>
        <v>0</v>
      </c>
      <c r="AZ122" s="82">
        <f>IF(AZ$14=1,'Inputs (2)'!AZ100,Inputs!AZ$294)</f>
        <v>0</v>
      </c>
      <c r="BA122" s="82">
        <f>IF(BA$14=1,'Inputs (2)'!BA100,Inputs!BA$294)</f>
        <v>0</v>
      </c>
      <c r="BB122" s="77">
        <f>SUM(AX122:BA122)</f>
        <v>0</v>
      </c>
      <c r="BC122" s="82">
        <f>IF(BC$14=1,'Inputs (2)'!BC100,Inputs!BC$294)</f>
        <v>0</v>
      </c>
      <c r="BD122" s="82">
        <f>IF(BD$14=1,'Inputs (2)'!BD100,Inputs!BD$294)</f>
        <v>0</v>
      </c>
      <c r="BE122" s="82">
        <f>IF(BE$14=1,'Inputs (2)'!BE100,Inputs!BE$294)</f>
        <v>0</v>
      </c>
      <c r="BF122" s="82">
        <f>IF(BF$14=1,'Inputs (2)'!BF100,Inputs!BF$294)</f>
        <v>0</v>
      </c>
      <c r="BG122" s="77">
        <f>SUM(BC122:BF122)</f>
        <v>0</v>
      </c>
    </row>
    <row r="123">
      <c r="C123" s="53" t="inlineStr">
        <is>
          <t>Lucro antes do imposto de renda</t>
        </is>
      </c>
      <c r="D123" s="54" t="inlineStr">
        <is>
          <t>Income before income taxes</t>
        </is>
      </c>
      <c r="E123" s="59">
        <f>E121+E122</f>
        <v>0</v>
      </c>
      <c r="F123" s="59">
        <f>F121+F122</f>
        <v>0</v>
      </c>
      <c r="G123" s="59">
        <f>G121+G122</f>
        <v>0</v>
      </c>
      <c r="H123" s="59">
        <f>H121+H122</f>
        <v>0</v>
      </c>
      <c r="I123" s="60">
        <f>SUM(E123:H123)</f>
        <v>0</v>
      </c>
      <c r="J123" s="59">
        <f>J121+J122</f>
        <v>0</v>
      </c>
      <c r="K123" s="59">
        <f>K121+K122</f>
        <v>0</v>
      </c>
      <c r="L123" s="59">
        <f>L121+L122</f>
        <v>0</v>
      </c>
      <c r="M123" s="59">
        <f>M121+M122</f>
        <v>0</v>
      </c>
      <c r="N123" s="60">
        <f>SUM(J123:M123)</f>
        <v>0</v>
      </c>
      <c r="O123" s="59">
        <f>O121+O122</f>
        <v>0</v>
      </c>
      <c r="P123" s="59">
        <f>P121+P122</f>
        <v>0</v>
      </c>
      <c r="Q123" s="59">
        <f>Q121+Q122</f>
        <v>0</v>
      </c>
      <c r="R123" s="59">
        <f>R121+R122</f>
        <v>0</v>
      </c>
      <c r="S123" s="60">
        <f>SUM(O123:R123)</f>
        <v>0</v>
      </c>
      <c r="T123" s="59">
        <f>T121+T122</f>
        <v>0</v>
      </c>
      <c r="U123" s="59">
        <f>U121+U122</f>
        <v>0</v>
      </c>
      <c r="V123" s="59">
        <f>V121+V122</f>
        <v>0</v>
      </c>
      <c r="W123" s="59">
        <f>W121+W122</f>
        <v>0</v>
      </c>
      <c r="X123" s="60">
        <f>SUM(T123:W123)</f>
        <v>0</v>
      </c>
      <c r="Y123" s="59">
        <f>Y121+Y122</f>
        <v>0</v>
      </c>
      <c r="Z123" s="59">
        <f>Z121+Z122</f>
        <v>0</v>
      </c>
      <c r="AA123" s="59">
        <f>AA121+AA122</f>
        <v>0</v>
      </c>
      <c r="AB123" s="59">
        <f>AB121+AB122</f>
        <v>0</v>
      </c>
      <c r="AC123" s="60">
        <f>SUM(Y123:AB123)</f>
        <v>0</v>
      </c>
      <c r="AD123" s="59">
        <f>AD121+AD122</f>
        <v>0</v>
      </c>
      <c r="AE123" s="59">
        <f>AE121+AE122</f>
        <v>0</v>
      </c>
      <c r="AF123" s="59">
        <f>AF121+AF122</f>
        <v>0</v>
      </c>
      <c r="AG123" s="59">
        <f>AG121+AG122</f>
        <v>0</v>
      </c>
      <c r="AH123" s="60">
        <f>SUM(AD123:AG123)</f>
        <v>0</v>
      </c>
      <c r="AI123" s="59">
        <f>AI121+AI122</f>
        <v>0</v>
      </c>
      <c r="AJ123" s="59">
        <f>AJ121+AJ122</f>
        <v>0</v>
      </c>
      <c r="AK123" s="59">
        <f>AK121+AK122</f>
        <v>0</v>
      </c>
      <c r="AL123" s="59">
        <f>AL121+AL122</f>
        <v>0</v>
      </c>
      <c r="AM123" s="60">
        <f>SUM(AI123:AL123)</f>
        <v>0</v>
      </c>
      <c r="AN123" s="59">
        <f>AN121+AN122</f>
        <v>0</v>
      </c>
      <c r="AO123" s="59">
        <f>AO121+AO122</f>
        <v>0</v>
      </c>
      <c r="AP123" s="59">
        <f>AP121+AP122</f>
        <v>0</v>
      </c>
      <c r="AQ123" s="59">
        <f>AQ121+AQ122</f>
        <v>0</v>
      </c>
      <c r="AR123" s="60">
        <f>SUM(AN123:AQ123)</f>
        <v>0</v>
      </c>
      <c r="AS123" s="59">
        <f>AS121+AS122</f>
        <v>0</v>
      </c>
      <c r="AT123" s="59">
        <f>AT121+AT122</f>
        <v>0</v>
      </c>
      <c r="AU123" s="59">
        <f>AU121+AU122</f>
        <v>0</v>
      </c>
      <c r="AV123" s="59">
        <f>AV121+AV122</f>
        <v>0</v>
      </c>
      <c r="AW123" s="60">
        <f>SUM(AS123:AV123)</f>
        <v>0</v>
      </c>
      <c r="AX123" s="59">
        <f>AX121+AX122</f>
        <v>0</v>
      </c>
      <c r="AY123" s="59">
        <f>AY121+AY122</f>
        <v>0</v>
      </c>
      <c r="AZ123" s="59">
        <f>AZ121+AZ122</f>
        <v>0</v>
      </c>
      <c r="BA123" s="59">
        <f>BA121+BA122</f>
        <v>0</v>
      </c>
      <c r="BB123" s="60">
        <f>SUM(AX123:BA123)</f>
        <v>0</v>
      </c>
      <c r="BC123" s="59">
        <f>BC121+BC122</f>
        <v>0</v>
      </c>
      <c r="BD123" s="59">
        <f>BD121+BD122</f>
        <v>0</v>
      </c>
      <c r="BE123" s="59">
        <f>BE121+BE122</f>
        <v>0</v>
      </c>
      <c r="BF123" s="59">
        <f>BF121+BF122</f>
        <v>0</v>
      </c>
      <c r="BG123" s="60">
        <f>SUM(BC123:BF123)</f>
        <v>0</v>
      </c>
    </row>
    <row r="124">
      <c r="C124" s="83" t="inlineStr">
        <is>
          <t>Imposto de renda</t>
        </is>
      </c>
      <c r="D124" s="84" t="inlineStr">
        <is>
          <t>Income tax expense</t>
        </is>
      </c>
      <c r="E124" s="87">
        <f>IF(E$14=1,E125+E126,-E123*Inputs!E$295)</f>
        <v>0</v>
      </c>
      <c r="F124" s="87">
        <f>IF(F$14=1,F125+F126,-F123*Inputs!F$295)</f>
        <v>0</v>
      </c>
      <c r="G124" s="87">
        <f>IF(G$14=1,G125+G126,-G123*Inputs!G$295)</f>
        <v>0</v>
      </c>
      <c r="H124" s="87">
        <f>IF(H$14=1,H125+H126,-H123*Inputs!H$295)</f>
        <v>0</v>
      </c>
      <c r="I124" s="60">
        <f>SUM(E124:H124)</f>
        <v>0</v>
      </c>
      <c r="J124" s="87">
        <f>IF(J$14=1,J125+J126,-J123*Inputs!J$295)</f>
        <v>0</v>
      </c>
      <c r="K124" s="87">
        <f>IF(K$14=1,K125+K126,-K123*Inputs!K$295)</f>
        <v>0</v>
      </c>
      <c r="L124" s="87">
        <f>IF(L$14=1,L125+L126,-L123*Inputs!L$295)</f>
        <v>0</v>
      </c>
      <c r="M124" s="87">
        <f>IF(M$14=1,M125+M126,-M123*Inputs!M$295)</f>
        <v>0</v>
      </c>
      <c r="N124" s="60">
        <f>SUM(J124:M124)</f>
        <v>0</v>
      </c>
      <c r="O124" s="87">
        <f>IF(O$14=1,O125+O126,-O123*Inputs!O$295)</f>
        <v>0</v>
      </c>
      <c r="P124" s="87">
        <f>IF(P$14=1,P125+P126,-P123*Inputs!P$295)</f>
        <v>0</v>
      </c>
      <c r="Q124" s="87">
        <f>IF(Q$14=1,Q125+Q126,-Q123*Inputs!Q$295)</f>
        <v>0</v>
      </c>
      <c r="R124" s="87">
        <f>IF(R$14=1,R125+R126,-R123*Inputs!R$295)</f>
        <v>0</v>
      </c>
      <c r="S124" s="60">
        <f>SUM(O124:R124)</f>
        <v>0</v>
      </c>
      <c r="T124" s="87">
        <f>IF(T$14=1,T125+T126,-T123*Inputs!T$295)</f>
        <v>0</v>
      </c>
      <c r="U124" s="87">
        <f>IF(U$14=1,U125+U126,-U123*Inputs!U$295)</f>
        <v>0</v>
      </c>
      <c r="V124" s="87">
        <f>IF(V$14=1,V125+V126,-V123*Inputs!V$295)</f>
        <v>0</v>
      </c>
      <c r="W124" s="87">
        <f>IF(W$14=1,W125+W126,-W123*Inputs!W$295)</f>
        <v>0</v>
      </c>
      <c r="X124" s="60">
        <f>SUM(T124:W124)</f>
        <v>0</v>
      </c>
      <c r="Y124" s="87">
        <f>IF(Y$14=1,Y125+Y126,-Y123*Inputs!Y$295)</f>
        <v>0</v>
      </c>
      <c r="Z124" s="87">
        <f>IF(Z$14=1,Z125+Z126,-Z123*Inputs!Z$295)</f>
        <v>0</v>
      </c>
      <c r="AA124" s="87">
        <f>IF(AA$14=1,AA125+AA126,-AA123*Inputs!AA$295)</f>
        <v>0</v>
      </c>
      <c r="AB124" s="87">
        <f>IF(AB$14=1,AB125+AB126,-AB123*Inputs!AB$295)</f>
        <v>0</v>
      </c>
      <c r="AC124" s="60">
        <f>SUM(Y124:AB124)</f>
        <v>0</v>
      </c>
      <c r="AD124" s="87">
        <f>IF(AD$14=1,AD125+AD126,-AD123*Inputs!AD$295)</f>
        <v>0</v>
      </c>
      <c r="AE124" s="87">
        <f>IF(AE$14=1,AE125+AE126,-AE123*Inputs!AE$295)</f>
        <v>0</v>
      </c>
      <c r="AF124" s="87">
        <f>IF(AF$14=1,AF125+AF126,-AF123*Inputs!AF$295)</f>
        <v>0</v>
      </c>
      <c r="AG124" s="87">
        <f>IF(AG$14=1,AG125+AG126,-AG123*Inputs!AG$295)</f>
        <v>0</v>
      </c>
      <c r="AH124" s="60">
        <f>SUM(AD124:AG124)</f>
        <v>0</v>
      </c>
      <c r="AI124" s="87">
        <f>IF(AI$14=1,AI125+AI126,-AI123*Inputs!AI$295)</f>
        <v>0</v>
      </c>
      <c r="AJ124" s="87">
        <f>IF(AJ$14=1,AJ125+AJ126,-AJ123*Inputs!AJ$295)</f>
        <v>0</v>
      </c>
      <c r="AK124" s="87">
        <f>IF(AK$14=1,AK125+AK126,-AK123*Inputs!AK$295)</f>
        <v>0</v>
      </c>
      <c r="AL124" s="87">
        <f>IF(AL$14=1,AL125+AL126,-AL123*Inputs!AL$295)</f>
        <v>0</v>
      </c>
      <c r="AM124" s="60">
        <f>SUM(AI124:AL124)</f>
        <v>0</v>
      </c>
      <c r="AN124" s="87">
        <f>IF(AN$14=1,AN125+AN126,-AN123*Inputs!AN$295)</f>
        <v>0</v>
      </c>
      <c r="AO124" s="87">
        <f>IF(AO$14=1,AO125+AO126,-AO123*Inputs!AO$295)</f>
        <v>0</v>
      </c>
      <c r="AP124" s="87">
        <f>IF(AP$14=1,AP125+AP126,-AP123*Inputs!AP$295)</f>
        <v>0</v>
      </c>
      <c r="AQ124" s="87">
        <f>IF(AQ$14=1,AQ125+AQ126,-AQ123*Inputs!AQ$295)</f>
        <v>0</v>
      </c>
      <c r="AR124" s="60">
        <f>SUM(AN124:AQ124)</f>
        <v>0</v>
      </c>
      <c r="AS124" s="87">
        <f>IF(AS$14=1,AS125+AS126,-AS123*Inputs!AS$295)</f>
        <v>0</v>
      </c>
      <c r="AT124" s="87">
        <f>IF(AT$14=1,AT125+AT126,-AT123*Inputs!AT$295)</f>
        <v>0</v>
      </c>
      <c r="AU124" s="87">
        <f>IF(AU$14=1,AU125+AU126,-AU123*Inputs!AU$295)</f>
        <v>0</v>
      </c>
      <c r="AV124" s="87">
        <f>IF(AV$14=1,AV125+AV126,-AV123*Inputs!AV$295)</f>
        <v>0</v>
      </c>
      <c r="AW124" s="60">
        <f>SUM(AS124:AV124)</f>
        <v>0</v>
      </c>
      <c r="AX124" s="87">
        <f>IF(AX$14=1,AX125+AX126,-AX123*Inputs!AX$295)</f>
        <v>0</v>
      </c>
      <c r="AY124" s="87">
        <f>IF(AY$14=1,AY125+AY126,-AY123*Inputs!AY$295)</f>
        <v>0</v>
      </c>
      <c r="AZ124" s="87">
        <f>IF(AZ$14=1,AZ125+AZ126,-AZ123*Inputs!AZ$295)</f>
        <v>0</v>
      </c>
      <c r="BA124" s="87">
        <f>IF(BA$14=1,BA125+BA126,-BA123*Inputs!BA$295)</f>
        <v>0</v>
      </c>
      <c r="BB124" s="60">
        <f>SUM(AX124:BA124)</f>
        <v>0</v>
      </c>
      <c r="BC124" s="87">
        <f>IF(BC$14=1,BC125+BC126,-BC123*Inputs!BC$295)</f>
        <v>0</v>
      </c>
      <c r="BD124" s="87">
        <f>IF(BD$14=1,BD125+BD126,-BD123*Inputs!BD$295)</f>
        <v>0</v>
      </c>
      <c r="BE124" s="87">
        <f>IF(BE$14=1,BE125+BE126,-BE123*Inputs!BE$295)</f>
        <v>0</v>
      </c>
      <c r="BF124" s="87">
        <f>IF(BF$14=1,BF125+BF126,-BF123*Inputs!BF$295)</f>
        <v>0</v>
      </c>
      <c r="BG124" s="60">
        <f>SUM(BC124:BF124)</f>
        <v>0</v>
      </c>
      <c r="BI124" s="14" t="inlineStr">
        <is>
          <t>No realizado soma corrente + diferido. Na projeção aplica a alíquota efetiva sobre o LAIR.</t>
        </is>
      </c>
    </row>
    <row r="125" hidden="1" outlineLevel="1">
      <c r="C125" s="61" t="inlineStr">
        <is>
          <t>(Imposto de renda)</t>
        </is>
      </c>
      <c r="D125" s="62" t="inlineStr">
        <is>
          <t>(Income tax)</t>
        </is>
      </c>
      <c r="E125" s="57">
        <f>IF(E$14=1,'Inputs (2)'!E103,0)</f>
        <v>0</v>
      </c>
      <c r="F125" s="57">
        <f>IF(F$14=1,'Inputs (2)'!F103,0)</f>
        <v>0</v>
      </c>
      <c r="G125" s="57">
        <f>IF(G$14=1,'Inputs (2)'!G103,0)</f>
        <v>0</v>
      </c>
      <c r="H125" s="57">
        <f>IF(H$14=1,'Inputs (2)'!H103,0)</f>
        <v>0</v>
      </c>
      <c r="I125" s="77">
        <f>SUM(E125:H125)</f>
        <v>0</v>
      </c>
      <c r="J125" s="57">
        <f>IF(J$14=1,'Inputs (2)'!J103,0)</f>
        <v>0</v>
      </c>
      <c r="K125" s="57">
        <f>IF(K$14=1,'Inputs (2)'!K103,0)</f>
        <v>0</v>
      </c>
      <c r="L125" s="57">
        <f>IF(L$14=1,'Inputs (2)'!L103,0)</f>
        <v>0</v>
      </c>
      <c r="M125" s="57">
        <f>IF(M$14=1,'Inputs (2)'!M103,0)</f>
        <v>0</v>
      </c>
      <c r="N125" s="77">
        <f>SUM(J125:M125)</f>
        <v>0</v>
      </c>
      <c r="O125" s="57">
        <f>IF(O$14=1,'Inputs (2)'!O103,0)</f>
        <v>0</v>
      </c>
      <c r="P125" s="57">
        <f>IF(P$14=1,'Inputs (2)'!P103,0)</f>
        <v>0</v>
      </c>
      <c r="Q125" s="57">
        <f>IF(Q$14=1,'Inputs (2)'!Q103,0)</f>
        <v>0</v>
      </c>
      <c r="R125" s="57">
        <f>IF(R$14=1,'Inputs (2)'!R103,0)</f>
        <v>0</v>
      </c>
      <c r="S125" s="77">
        <f>SUM(O125:R125)</f>
        <v>0</v>
      </c>
      <c r="T125" s="57">
        <f>IF(T$14=1,'Inputs (2)'!T103,0)</f>
        <v>0</v>
      </c>
      <c r="U125" s="57">
        <f>IF(U$14=1,'Inputs (2)'!U103,0)</f>
        <v>0</v>
      </c>
      <c r="V125" s="57">
        <f>IF(V$14=1,'Inputs (2)'!V103,0)</f>
        <v>0</v>
      </c>
      <c r="W125" s="57">
        <f>IF(W$14=1,'Inputs (2)'!W103,0)</f>
        <v>0</v>
      </c>
      <c r="X125" s="77">
        <f>SUM(T125:W125)</f>
        <v>0</v>
      </c>
      <c r="Y125" s="57">
        <f>IF(Y$14=1,'Inputs (2)'!Y103,0)</f>
        <v>0</v>
      </c>
      <c r="Z125" s="57">
        <f>IF(Z$14=1,'Inputs (2)'!Z103,0)</f>
        <v>0</v>
      </c>
      <c r="AA125" s="57">
        <f>IF(AA$14=1,'Inputs (2)'!AA103,0)</f>
        <v>0</v>
      </c>
      <c r="AB125" s="57">
        <f>IF(AB$14=1,'Inputs (2)'!AB103,0)</f>
        <v>0</v>
      </c>
      <c r="AC125" s="77">
        <f>SUM(Y125:AB125)</f>
        <v>0</v>
      </c>
      <c r="AD125" s="57">
        <f>IF(AD$14=1,'Inputs (2)'!AD103,0)</f>
        <v>0</v>
      </c>
      <c r="AE125" s="57">
        <f>IF(AE$14=1,'Inputs (2)'!AE103,0)</f>
        <v>0</v>
      </c>
      <c r="AF125" s="57">
        <f>IF(AF$14=1,'Inputs (2)'!AF103,0)</f>
        <v>0</v>
      </c>
      <c r="AG125" s="57">
        <f>IF(AG$14=1,'Inputs (2)'!AG103,0)</f>
        <v>0</v>
      </c>
      <c r="AH125" s="77">
        <f>SUM(AD125:AG125)</f>
        <v>0</v>
      </c>
      <c r="AI125" s="57">
        <f>IF(AI$14=1,'Inputs (2)'!AI103,0)</f>
        <v>0</v>
      </c>
      <c r="AJ125" s="57">
        <f>IF(AJ$14=1,'Inputs (2)'!AJ103,0)</f>
        <v>0</v>
      </c>
      <c r="AK125" s="57">
        <f>IF(AK$14=1,'Inputs (2)'!AK103,0)</f>
        <v>0</v>
      </c>
      <c r="AL125" s="57">
        <f>IF(AL$14=1,'Inputs (2)'!AL103,0)</f>
        <v>0</v>
      </c>
      <c r="AM125" s="77">
        <f>SUM(AI125:AL125)</f>
        <v>0</v>
      </c>
      <c r="AN125" s="57">
        <f>IF(AN$14=1,'Inputs (2)'!AN103,0)</f>
        <v>0</v>
      </c>
      <c r="AO125" s="57">
        <f>IF(AO$14=1,'Inputs (2)'!AO103,0)</f>
        <v>0</v>
      </c>
      <c r="AP125" s="57">
        <f>IF(AP$14=1,'Inputs (2)'!AP103,0)</f>
        <v>0</v>
      </c>
      <c r="AQ125" s="57">
        <f>IF(AQ$14=1,'Inputs (2)'!AQ103,0)</f>
        <v>0</v>
      </c>
      <c r="AR125" s="77">
        <f>SUM(AN125:AQ125)</f>
        <v>0</v>
      </c>
      <c r="AS125" s="57">
        <f>IF(AS$14=1,'Inputs (2)'!AS103,0)</f>
        <v>0</v>
      </c>
      <c r="AT125" s="57">
        <f>IF(AT$14=1,'Inputs (2)'!AT103,0)</f>
        <v>0</v>
      </c>
      <c r="AU125" s="57">
        <f>IF(AU$14=1,'Inputs (2)'!AU103,0)</f>
        <v>0</v>
      </c>
      <c r="AV125" s="57">
        <f>IF(AV$14=1,'Inputs (2)'!AV103,0)</f>
        <v>0</v>
      </c>
      <c r="AW125" s="77">
        <f>SUM(AS125:AV125)</f>
        <v>0</v>
      </c>
      <c r="AX125" s="57">
        <f>IF(AX$14=1,'Inputs (2)'!AX103,0)</f>
        <v>0</v>
      </c>
      <c r="AY125" s="57">
        <f>IF(AY$14=1,'Inputs (2)'!AY103,0)</f>
        <v>0</v>
      </c>
      <c r="AZ125" s="57">
        <f>IF(AZ$14=1,'Inputs (2)'!AZ103,0)</f>
        <v>0</v>
      </c>
      <c r="BA125" s="57">
        <f>IF(BA$14=1,'Inputs (2)'!BA103,0)</f>
        <v>0</v>
      </c>
      <c r="BB125" s="77">
        <f>SUM(AX125:BA125)</f>
        <v>0</v>
      </c>
      <c r="BC125" s="57">
        <f>IF(BC$14=1,'Inputs (2)'!BC103,0)</f>
        <v>0</v>
      </c>
      <c r="BD125" s="57">
        <f>IF(BD$14=1,'Inputs (2)'!BD103,0)</f>
        <v>0</v>
      </c>
      <c r="BE125" s="57">
        <f>IF(BE$14=1,'Inputs (2)'!BE103,0)</f>
        <v>0</v>
      </c>
      <c r="BF125" s="57">
        <f>IF(BF$14=1,'Inputs (2)'!BF103,0)</f>
        <v>0</v>
      </c>
      <c r="BG125" s="77">
        <f>SUM(BC125:BF125)</f>
        <v>0</v>
      </c>
    </row>
    <row r="126" hidden="1" outlineLevel="1">
      <c r="C126" s="61" t="inlineStr">
        <is>
          <t>Imposto diferido (quando à parte)</t>
        </is>
      </c>
      <c r="D126" s="62" t="inlineStr">
        <is>
          <t>Deferred tax</t>
        </is>
      </c>
      <c r="E126" s="57">
        <f>IF(E$14=1,'Inputs (2)'!E104,0)</f>
        <v>0</v>
      </c>
      <c r="F126" s="57">
        <f>IF(F$14=1,'Inputs (2)'!F104,0)</f>
        <v>0</v>
      </c>
      <c r="G126" s="57">
        <f>IF(G$14=1,'Inputs (2)'!G104,0)</f>
        <v>0</v>
      </c>
      <c r="H126" s="57">
        <f>IF(H$14=1,'Inputs (2)'!H104,0)</f>
        <v>0</v>
      </c>
      <c r="I126" s="77">
        <f>SUM(E126:H126)</f>
        <v>0</v>
      </c>
      <c r="J126" s="57">
        <f>IF(J$14=1,'Inputs (2)'!J104,0)</f>
        <v>0</v>
      </c>
      <c r="K126" s="57">
        <f>IF(K$14=1,'Inputs (2)'!K104,0)</f>
        <v>0</v>
      </c>
      <c r="L126" s="57">
        <f>IF(L$14=1,'Inputs (2)'!L104,0)</f>
        <v>0</v>
      </c>
      <c r="M126" s="57">
        <f>IF(M$14=1,'Inputs (2)'!M104,0)</f>
        <v>0</v>
      </c>
      <c r="N126" s="77">
        <f>SUM(J126:M126)</f>
        <v>0</v>
      </c>
      <c r="O126" s="57">
        <f>IF(O$14=1,'Inputs (2)'!O104,0)</f>
        <v>0</v>
      </c>
      <c r="P126" s="57">
        <f>IF(P$14=1,'Inputs (2)'!P104,0)</f>
        <v>0</v>
      </c>
      <c r="Q126" s="57">
        <f>IF(Q$14=1,'Inputs (2)'!Q104,0)</f>
        <v>0</v>
      </c>
      <c r="R126" s="57">
        <f>IF(R$14=1,'Inputs (2)'!R104,0)</f>
        <v>0</v>
      </c>
      <c r="S126" s="77">
        <f>SUM(O126:R126)</f>
        <v>0</v>
      </c>
      <c r="T126" s="57">
        <f>IF(T$14=1,'Inputs (2)'!T104,0)</f>
        <v>0</v>
      </c>
      <c r="U126" s="57">
        <f>IF(U$14=1,'Inputs (2)'!U104,0)</f>
        <v>0</v>
      </c>
      <c r="V126" s="57">
        <f>IF(V$14=1,'Inputs (2)'!V104,0)</f>
        <v>0</v>
      </c>
      <c r="W126" s="57">
        <f>IF(W$14=1,'Inputs (2)'!W104,0)</f>
        <v>0</v>
      </c>
      <c r="X126" s="77">
        <f>SUM(T126:W126)</f>
        <v>0</v>
      </c>
      <c r="Y126" s="57">
        <f>IF(Y$14=1,'Inputs (2)'!Y104,0)</f>
        <v>0</v>
      </c>
      <c r="Z126" s="57">
        <f>IF(Z$14=1,'Inputs (2)'!Z104,0)</f>
        <v>0</v>
      </c>
      <c r="AA126" s="57">
        <f>IF(AA$14=1,'Inputs (2)'!AA104,0)</f>
        <v>0</v>
      </c>
      <c r="AB126" s="57">
        <f>IF(AB$14=1,'Inputs (2)'!AB104,0)</f>
        <v>0</v>
      </c>
      <c r="AC126" s="77">
        <f>SUM(Y126:AB126)</f>
        <v>0</v>
      </c>
      <c r="AD126" s="57">
        <f>IF(AD$14=1,'Inputs (2)'!AD104,0)</f>
        <v>0</v>
      </c>
      <c r="AE126" s="57">
        <f>IF(AE$14=1,'Inputs (2)'!AE104,0)</f>
        <v>0</v>
      </c>
      <c r="AF126" s="57">
        <f>IF(AF$14=1,'Inputs (2)'!AF104,0)</f>
        <v>0</v>
      </c>
      <c r="AG126" s="57">
        <f>IF(AG$14=1,'Inputs (2)'!AG104,0)</f>
        <v>0</v>
      </c>
      <c r="AH126" s="77">
        <f>SUM(AD126:AG126)</f>
        <v>0</v>
      </c>
      <c r="AI126" s="57">
        <f>IF(AI$14=1,'Inputs (2)'!AI104,0)</f>
        <v>0</v>
      </c>
      <c r="AJ126" s="57">
        <f>IF(AJ$14=1,'Inputs (2)'!AJ104,0)</f>
        <v>0</v>
      </c>
      <c r="AK126" s="57">
        <f>IF(AK$14=1,'Inputs (2)'!AK104,0)</f>
        <v>0</v>
      </c>
      <c r="AL126" s="57">
        <f>IF(AL$14=1,'Inputs (2)'!AL104,0)</f>
        <v>0</v>
      </c>
      <c r="AM126" s="77">
        <f>SUM(AI126:AL126)</f>
        <v>0</v>
      </c>
      <c r="AN126" s="57">
        <f>IF(AN$14=1,'Inputs (2)'!AN104,0)</f>
        <v>0</v>
      </c>
      <c r="AO126" s="57">
        <f>IF(AO$14=1,'Inputs (2)'!AO104,0)</f>
        <v>0</v>
      </c>
      <c r="AP126" s="57">
        <f>IF(AP$14=1,'Inputs (2)'!AP104,0)</f>
        <v>0</v>
      </c>
      <c r="AQ126" s="57">
        <f>IF(AQ$14=1,'Inputs (2)'!AQ104,0)</f>
        <v>0</v>
      </c>
      <c r="AR126" s="77">
        <f>SUM(AN126:AQ126)</f>
        <v>0</v>
      </c>
      <c r="AS126" s="57">
        <f>IF(AS$14=1,'Inputs (2)'!AS104,0)</f>
        <v>0</v>
      </c>
      <c r="AT126" s="57">
        <f>IF(AT$14=1,'Inputs (2)'!AT104,0)</f>
        <v>0</v>
      </c>
      <c r="AU126" s="57">
        <f>IF(AU$14=1,'Inputs (2)'!AU104,0)</f>
        <v>0</v>
      </c>
      <c r="AV126" s="57">
        <f>IF(AV$14=1,'Inputs (2)'!AV104,0)</f>
        <v>0</v>
      </c>
      <c r="AW126" s="77">
        <f>SUM(AS126:AV126)</f>
        <v>0</v>
      </c>
      <c r="AX126" s="57">
        <f>IF(AX$14=1,'Inputs (2)'!AX104,0)</f>
        <v>0</v>
      </c>
      <c r="AY126" s="57">
        <f>IF(AY$14=1,'Inputs (2)'!AY104,0)</f>
        <v>0</v>
      </c>
      <c r="AZ126" s="57">
        <f>IF(AZ$14=1,'Inputs (2)'!AZ104,0)</f>
        <v>0</v>
      </c>
      <c r="BA126" s="57">
        <f>IF(BA$14=1,'Inputs (2)'!BA104,0)</f>
        <v>0</v>
      </c>
      <c r="BB126" s="77">
        <f>SUM(AX126:BA126)</f>
        <v>0</v>
      </c>
      <c r="BC126" s="57">
        <f>IF(BC$14=1,'Inputs (2)'!BC104,0)</f>
        <v>0</v>
      </c>
      <c r="BD126" s="57">
        <f>IF(BD$14=1,'Inputs (2)'!BD104,0)</f>
        <v>0</v>
      </c>
      <c r="BE126" s="57">
        <f>IF(BE$14=1,'Inputs (2)'!BE104,0)</f>
        <v>0</v>
      </c>
      <c r="BF126" s="57">
        <f>IF(BF$14=1,'Inputs (2)'!BF104,0)</f>
        <v>0</v>
      </c>
      <c r="BG126" s="77">
        <f>SUM(BC126:BF126)</f>
        <v>0</v>
      </c>
    </row>
    <row r="127" collapsed="1">
      <c r="C127" s="53" t="inlineStr">
        <is>
          <t>LUCRO LÍQUIDO</t>
        </is>
      </c>
      <c r="D127" s="54" t="inlineStr">
        <is>
          <t>NET INCOME</t>
        </is>
      </c>
      <c r="E127" s="59">
        <f>E123+E124</f>
        <v>0</v>
      </c>
      <c r="F127" s="59">
        <f>F123+F124</f>
        <v>0</v>
      </c>
      <c r="G127" s="59">
        <f>G123+G124</f>
        <v>0</v>
      </c>
      <c r="H127" s="59">
        <f>H123+H124</f>
        <v>0</v>
      </c>
      <c r="I127" s="60">
        <f>SUM(E127:H127)</f>
        <v>0</v>
      </c>
      <c r="J127" s="59">
        <f>J123+J124</f>
        <v>0</v>
      </c>
      <c r="K127" s="59">
        <f>K123+K124</f>
        <v>0</v>
      </c>
      <c r="L127" s="59">
        <f>L123+L124</f>
        <v>0</v>
      </c>
      <c r="M127" s="59">
        <f>M123+M124</f>
        <v>0</v>
      </c>
      <c r="N127" s="60">
        <f>SUM(J127:M127)</f>
        <v>0</v>
      </c>
      <c r="O127" s="59">
        <f>O123+O124</f>
        <v>0</v>
      </c>
      <c r="P127" s="59">
        <f>P123+P124</f>
        <v>0</v>
      </c>
      <c r="Q127" s="59">
        <f>Q123+Q124</f>
        <v>0</v>
      </c>
      <c r="R127" s="59">
        <f>R123+R124</f>
        <v>0</v>
      </c>
      <c r="S127" s="60">
        <f>SUM(O127:R127)</f>
        <v>0</v>
      </c>
      <c r="T127" s="59">
        <f>T123+T124</f>
        <v>0</v>
      </c>
      <c r="U127" s="59">
        <f>U123+U124</f>
        <v>0</v>
      </c>
      <c r="V127" s="59">
        <f>V123+V124</f>
        <v>0</v>
      </c>
      <c r="W127" s="59">
        <f>W123+W124</f>
        <v>0</v>
      </c>
      <c r="X127" s="60">
        <f>SUM(T127:W127)</f>
        <v>0</v>
      </c>
      <c r="Y127" s="59">
        <f>Y123+Y124</f>
        <v>0</v>
      </c>
      <c r="Z127" s="59">
        <f>Z123+Z124</f>
        <v>0</v>
      </c>
      <c r="AA127" s="59">
        <f>AA123+AA124</f>
        <v>0</v>
      </c>
      <c r="AB127" s="59">
        <f>AB123+AB124</f>
        <v>0</v>
      </c>
      <c r="AC127" s="60">
        <f>SUM(Y127:AB127)</f>
        <v>0</v>
      </c>
      <c r="AD127" s="59">
        <f>AD123+AD124</f>
        <v>0</v>
      </c>
      <c r="AE127" s="59">
        <f>AE123+AE124</f>
        <v>0</v>
      </c>
      <c r="AF127" s="59">
        <f>AF123+AF124</f>
        <v>0</v>
      </c>
      <c r="AG127" s="59">
        <f>AG123+AG124</f>
        <v>0</v>
      </c>
      <c r="AH127" s="60">
        <f>SUM(AD127:AG127)</f>
        <v>0</v>
      </c>
      <c r="AI127" s="59">
        <f>AI123+AI124</f>
        <v>0</v>
      </c>
      <c r="AJ127" s="59">
        <f>AJ123+AJ124</f>
        <v>0</v>
      </c>
      <c r="AK127" s="59">
        <f>AK123+AK124</f>
        <v>0</v>
      </c>
      <c r="AL127" s="59">
        <f>AL123+AL124</f>
        <v>0</v>
      </c>
      <c r="AM127" s="60">
        <f>SUM(AI127:AL127)</f>
        <v>0</v>
      </c>
      <c r="AN127" s="59">
        <f>AN123+AN124</f>
        <v>0</v>
      </c>
      <c r="AO127" s="59">
        <f>AO123+AO124</f>
        <v>0</v>
      </c>
      <c r="AP127" s="59">
        <f>AP123+AP124</f>
        <v>0</v>
      </c>
      <c r="AQ127" s="59">
        <f>AQ123+AQ124</f>
        <v>0</v>
      </c>
      <c r="AR127" s="60">
        <f>SUM(AN127:AQ127)</f>
        <v>0</v>
      </c>
      <c r="AS127" s="59">
        <f>AS123+AS124</f>
        <v>0</v>
      </c>
      <c r="AT127" s="59">
        <f>AT123+AT124</f>
        <v>0</v>
      </c>
      <c r="AU127" s="59">
        <f>AU123+AU124</f>
        <v>0</v>
      </c>
      <c r="AV127" s="59">
        <f>AV123+AV124</f>
        <v>0</v>
      </c>
      <c r="AW127" s="60">
        <f>SUM(AS127:AV127)</f>
        <v>0</v>
      </c>
      <c r="AX127" s="59">
        <f>AX123+AX124</f>
        <v>0</v>
      </c>
      <c r="AY127" s="59">
        <f>AY123+AY124</f>
        <v>0</v>
      </c>
      <c r="AZ127" s="59">
        <f>AZ123+AZ124</f>
        <v>0</v>
      </c>
      <c r="BA127" s="59">
        <f>BA123+BA124</f>
        <v>0</v>
      </c>
      <c r="BB127" s="60">
        <f>SUM(AX127:BA127)</f>
        <v>0</v>
      </c>
      <c r="BC127" s="59">
        <f>BC123+BC124</f>
        <v>0</v>
      </c>
      <c r="BD127" s="59">
        <f>BD123+BD124</f>
        <v>0</v>
      </c>
      <c r="BE127" s="59">
        <f>BE123+BE124</f>
        <v>0</v>
      </c>
      <c r="BF127" s="59">
        <f>BF123+BF124</f>
        <v>0</v>
      </c>
      <c r="BG127" s="60">
        <f>SUM(BC127:BF127)</f>
        <v>0</v>
      </c>
    </row>
    <row r="128">
      <c r="C128" s="80" t="inlineStr">
        <is>
          <t>(Lucro atribuído a não controladores)</t>
        </is>
      </c>
      <c r="D128" s="81" t="inlineStr">
        <is>
          <t>(Noncontrolling interests)</t>
        </is>
      </c>
      <c r="E128" s="82">
        <f>IF(E$14=1,'Inputs (2)'!E106,-E127*Inputs!E$296)</f>
        <v>0</v>
      </c>
      <c r="F128" s="82">
        <f>IF(F$14=1,'Inputs (2)'!F106,-F127*Inputs!F$296)</f>
        <v>0</v>
      </c>
      <c r="G128" s="82">
        <f>IF(G$14=1,'Inputs (2)'!G106,-G127*Inputs!G$296)</f>
        <v>0</v>
      </c>
      <c r="H128" s="82">
        <f>IF(H$14=1,'Inputs (2)'!H106,-H127*Inputs!H$296)</f>
        <v>0</v>
      </c>
      <c r="I128" s="77">
        <f>SUM(E128:H128)</f>
        <v>0</v>
      </c>
      <c r="J128" s="82">
        <f>IF(J$14=1,'Inputs (2)'!J106,-J127*Inputs!J$296)</f>
        <v>0</v>
      </c>
      <c r="K128" s="82">
        <f>IF(K$14=1,'Inputs (2)'!K106,-K127*Inputs!K$296)</f>
        <v>0</v>
      </c>
      <c r="L128" s="82">
        <f>IF(L$14=1,'Inputs (2)'!L106,-L127*Inputs!L$296)</f>
        <v>0</v>
      </c>
      <c r="M128" s="82">
        <f>IF(M$14=1,'Inputs (2)'!M106,-M127*Inputs!M$296)</f>
        <v>0</v>
      </c>
      <c r="N128" s="77">
        <f>SUM(J128:M128)</f>
        <v>0</v>
      </c>
      <c r="O128" s="82">
        <f>IF(O$14=1,'Inputs (2)'!O106,-O127*Inputs!O$296)</f>
        <v>0</v>
      </c>
      <c r="P128" s="82">
        <f>IF(P$14=1,'Inputs (2)'!P106,-P127*Inputs!P$296)</f>
        <v>0</v>
      </c>
      <c r="Q128" s="82">
        <f>IF(Q$14=1,'Inputs (2)'!Q106,-Q127*Inputs!Q$296)</f>
        <v>0</v>
      </c>
      <c r="R128" s="82">
        <f>IF(R$14=1,'Inputs (2)'!R106,-R127*Inputs!R$296)</f>
        <v>0</v>
      </c>
      <c r="S128" s="77">
        <f>SUM(O128:R128)</f>
        <v>0</v>
      </c>
      <c r="T128" s="82">
        <f>IF(T$14=1,'Inputs (2)'!T106,-T127*Inputs!T$296)</f>
        <v>0</v>
      </c>
      <c r="U128" s="82">
        <f>IF(U$14=1,'Inputs (2)'!U106,-U127*Inputs!U$296)</f>
        <v>0</v>
      </c>
      <c r="V128" s="82">
        <f>IF(V$14=1,'Inputs (2)'!V106,-V127*Inputs!V$296)</f>
        <v>0</v>
      </c>
      <c r="W128" s="82">
        <f>IF(W$14=1,'Inputs (2)'!W106,-W127*Inputs!W$296)</f>
        <v>0</v>
      </c>
      <c r="X128" s="77">
        <f>SUM(T128:W128)</f>
        <v>0</v>
      </c>
      <c r="Y128" s="82">
        <f>IF(Y$14=1,'Inputs (2)'!Y106,-Y127*Inputs!Y$296)</f>
        <v>0</v>
      </c>
      <c r="Z128" s="82">
        <f>IF(Z$14=1,'Inputs (2)'!Z106,-Z127*Inputs!Z$296)</f>
        <v>0</v>
      </c>
      <c r="AA128" s="82">
        <f>IF(AA$14=1,'Inputs (2)'!AA106,-AA127*Inputs!AA$296)</f>
        <v>0</v>
      </c>
      <c r="AB128" s="82">
        <f>IF(AB$14=1,'Inputs (2)'!AB106,-AB127*Inputs!AB$296)</f>
        <v>0</v>
      </c>
      <c r="AC128" s="77">
        <f>SUM(Y128:AB128)</f>
        <v>0</v>
      </c>
      <c r="AD128" s="82">
        <f>IF(AD$14=1,'Inputs (2)'!AD106,-AD127*Inputs!AD$296)</f>
        <v>0</v>
      </c>
      <c r="AE128" s="82">
        <f>IF(AE$14=1,'Inputs (2)'!AE106,-AE127*Inputs!AE$296)</f>
        <v>0</v>
      </c>
      <c r="AF128" s="82">
        <f>IF(AF$14=1,'Inputs (2)'!AF106,-AF127*Inputs!AF$296)</f>
        <v>0</v>
      </c>
      <c r="AG128" s="82">
        <f>IF(AG$14=1,'Inputs (2)'!AG106,-AG127*Inputs!AG$296)</f>
        <v>0</v>
      </c>
      <c r="AH128" s="77">
        <f>SUM(AD128:AG128)</f>
        <v>0</v>
      </c>
      <c r="AI128" s="82">
        <f>IF(AI$14=1,'Inputs (2)'!AI106,-AI127*Inputs!AI$296)</f>
        <v>0</v>
      </c>
      <c r="AJ128" s="82">
        <f>IF(AJ$14=1,'Inputs (2)'!AJ106,-AJ127*Inputs!AJ$296)</f>
        <v>0</v>
      </c>
      <c r="AK128" s="82">
        <f>IF(AK$14=1,'Inputs (2)'!AK106,-AK127*Inputs!AK$296)</f>
        <v>0</v>
      </c>
      <c r="AL128" s="82">
        <f>IF(AL$14=1,'Inputs (2)'!AL106,-AL127*Inputs!AL$296)</f>
        <v>0</v>
      </c>
      <c r="AM128" s="77">
        <f>SUM(AI128:AL128)</f>
        <v>0</v>
      </c>
      <c r="AN128" s="82">
        <f>IF(AN$14=1,'Inputs (2)'!AN106,-AN127*Inputs!AN$296)</f>
        <v>0</v>
      </c>
      <c r="AO128" s="82">
        <f>IF(AO$14=1,'Inputs (2)'!AO106,-AO127*Inputs!AO$296)</f>
        <v>0</v>
      </c>
      <c r="AP128" s="82">
        <f>IF(AP$14=1,'Inputs (2)'!AP106,-AP127*Inputs!AP$296)</f>
        <v>0</v>
      </c>
      <c r="AQ128" s="82">
        <f>IF(AQ$14=1,'Inputs (2)'!AQ106,-AQ127*Inputs!AQ$296)</f>
        <v>0</v>
      </c>
      <c r="AR128" s="77">
        <f>SUM(AN128:AQ128)</f>
        <v>0</v>
      </c>
      <c r="AS128" s="82">
        <f>IF(AS$14=1,'Inputs (2)'!AS106,-AS127*Inputs!AS$296)</f>
        <v>0</v>
      </c>
      <c r="AT128" s="82">
        <f>IF(AT$14=1,'Inputs (2)'!AT106,-AT127*Inputs!AT$296)</f>
        <v>0</v>
      </c>
      <c r="AU128" s="82">
        <f>IF(AU$14=1,'Inputs (2)'!AU106,-AU127*Inputs!AU$296)</f>
        <v>0</v>
      </c>
      <c r="AV128" s="82">
        <f>IF(AV$14=1,'Inputs (2)'!AV106,-AV127*Inputs!AV$296)</f>
        <v>0</v>
      </c>
      <c r="AW128" s="77">
        <f>SUM(AS128:AV128)</f>
        <v>0</v>
      </c>
      <c r="AX128" s="82">
        <f>IF(AX$14=1,'Inputs (2)'!AX106,-AX127*Inputs!AX$296)</f>
        <v>0</v>
      </c>
      <c r="AY128" s="82">
        <f>IF(AY$14=1,'Inputs (2)'!AY106,-AY127*Inputs!AY$296)</f>
        <v>0</v>
      </c>
      <c r="AZ128" s="82">
        <f>IF(AZ$14=1,'Inputs (2)'!AZ106,-AZ127*Inputs!AZ$296)</f>
        <v>0</v>
      </c>
      <c r="BA128" s="82">
        <f>IF(BA$14=1,'Inputs (2)'!BA106,-BA127*Inputs!BA$296)</f>
        <v>0</v>
      </c>
      <c r="BB128" s="77">
        <f>SUM(AX128:BA128)</f>
        <v>0</v>
      </c>
      <c r="BC128" s="82">
        <f>IF(BC$14=1,'Inputs (2)'!BC106,-BC127*Inputs!BC$296)</f>
        <v>0</v>
      </c>
      <c r="BD128" s="82">
        <f>IF(BD$14=1,'Inputs (2)'!BD106,-BD127*Inputs!BD$296)</f>
        <v>0</v>
      </c>
      <c r="BE128" s="82">
        <f>IF(BE$14=1,'Inputs (2)'!BE106,-BE127*Inputs!BE$296)</f>
        <v>0</v>
      </c>
      <c r="BF128" s="82">
        <f>IF(BF$14=1,'Inputs (2)'!BF106,-BF127*Inputs!BF$296)</f>
        <v>0</v>
      </c>
      <c r="BG128" s="77">
        <f>SUM(BC128:BF128)</f>
        <v>0</v>
      </c>
    </row>
    <row r="129">
      <c r="C129" s="53" t="inlineStr">
        <is>
          <t>LUCRO LÍQUIDO ATRIBUÍVEL À COMPANHIA</t>
        </is>
      </c>
      <c r="D129" s="54" t="inlineStr">
        <is>
          <t>NET INCOME ATTRIBUTABLE TO THE COMPANY</t>
        </is>
      </c>
      <c r="E129" s="59">
        <f>E127+E128</f>
        <v>0</v>
      </c>
      <c r="F129" s="59">
        <f>F127+F128</f>
        <v>0</v>
      </c>
      <c r="G129" s="59">
        <f>G127+G128</f>
        <v>0</v>
      </c>
      <c r="H129" s="59">
        <f>H127+H128</f>
        <v>0</v>
      </c>
      <c r="I129" s="60">
        <f>SUM(E129:H129)</f>
        <v>0</v>
      </c>
      <c r="J129" s="59">
        <f>J127+J128</f>
        <v>0</v>
      </c>
      <c r="K129" s="59">
        <f>K127+K128</f>
        <v>0</v>
      </c>
      <c r="L129" s="59">
        <f>L127+L128</f>
        <v>0</v>
      </c>
      <c r="M129" s="59">
        <f>M127+M128</f>
        <v>0</v>
      </c>
      <c r="N129" s="60">
        <f>SUM(J129:M129)</f>
        <v>0</v>
      </c>
      <c r="O129" s="59">
        <f>O127+O128</f>
        <v>0</v>
      </c>
      <c r="P129" s="59">
        <f>P127+P128</f>
        <v>0</v>
      </c>
      <c r="Q129" s="59">
        <f>Q127+Q128</f>
        <v>0</v>
      </c>
      <c r="R129" s="59">
        <f>R127+R128</f>
        <v>0</v>
      </c>
      <c r="S129" s="60">
        <f>SUM(O129:R129)</f>
        <v>0</v>
      </c>
      <c r="T129" s="59">
        <f>T127+T128</f>
        <v>0</v>
      </c>
      <c r="U129" s="59">
        <f>U127+U128</f>
        <v>0</v>
      </c>
      <c r="V129" s="59">
        <f>V127+V128</f>
        <v>0</v>
      </c>
      <c r="W129" s="59">
        <f>W127+W128</f>
        <v>0</v>
      </c>
      <c r="X129" s="60">
        <f>SUM(T129:W129)</f>
        <v>0</v>
      </c>
      <c r="Y129" s="59">
        <f>Y127+Y128</f>
        <v>0</v>
      </c>
      <c r="Z129" s="59">
        <f>Z127+Z128</f>
        <v>0</v>
      </c>
      <c r="AA129" s="59">
        <f>AA127+AA128</f>
        <v>0</v>
      </c>
      <c r="AB129" s="59">
        <f>AB127+AB128</f>
        <v>0</v>
      </c>
      <c r="AC129" s="60">
        <f>SUM(Y129:AB129)</f>
        <v>0</v>
      </c>
      <c r="AD129" s="59">
        <f>AD127+AD128</f>
        <v>0</v>
      </c>
      <c r="AE129" s="59">
        <f>AE127+AE128</f>
        <v>0</v>
      </c>
      <c r="AF129" s="59">
        <f>AF127+AF128</f>
        <v>0</v>
      </c>
      <c r="AG129" s="59">
        <f>AG127+AG128</f>
        <v>0</v>
      </c>
      <c r="AH129" s="60">
        <f>SUM(AD129:AG129)</f>
        <v>0</v>
      </c>
      <c r="AI129" s="59">
        <f>AI127+AI128</f>
        <v>0</v>
      </c>
      <c r="AJ129" s="59">
        <f>AJ127+AJ128</f>
        <v>0</v>
      </c>
      <c r="AK129" s="59">
        <f>AK127+AK128</f>
        <v>0</v>
      </c>
      <c r="AL129" s="59">
        <f>AL127+AL128</f>
        <v>0</v>
      </c>
      <c r="AM129" s="60">
        <f>SUM(AI129:AL129)</f>
        <v>0</v>
      </c>
      <c r="AN129" s="59">
        <f>AN127+AN128</f>
        <v>0</v>
      </c>
      <c r="AO129" s="59">
        <f>AO127+AO128</f>
        <v>0</v>
      </c>
      <c r="AP129" s="59">
        <f>AP127+AP128</f>
        <v>0</v>
      </c>
      <c r="AQ129" s="59">
        <f>AQ127+AQ128</f>
        <v>0</v>
      </c>
      <c r="AR129" s="60">
        <f>SUM(AN129:AQ129)</f>
        <v>0</v>
      </c>
      <c r="AS129" s="59">
        <f>AS127+AS128</f>
        <v>0</v>
      </c>
      <c r="AT129" s="59">
        <f>AT127+AT128</f>
        <v>0</v>
      </c>
      <c r="AU129" s="59">
        <f>AU127+AU128</f>
        <v>0</v>
      </c>
      <c r="AV129" s="59">
        <f>AV127+AV128</f>
        <v>0</v>
      </c>
      <c r="AW129" s="60">
        <f>SUM(AS129:AV129)</f>
        <v>0</v>
      </c>
      <c r="AX129" s="59">
        <f>AX127+AX128</f>
        <v>0</v>
      </c>
      <c r="AY129" s="59">
        <f>AY127+AY128</f>
        <v>0</v>
      </c>
      <c r="AZ129" s="59">
        <f>AZ127+AZ128</f>
        <v>0</v>
      </c>
      <c r="BA129" s="59">
        <f>BA127+BA128</f>
        <v>0</v>
      </c>
      <c r="BB129" s="60">
        <f>SUM(AX129:BA129)</f>
        <v>0</v>
      </c>
      <c r="BC129" s="59">
        <f>BC127+BC128</f>
        <v>0</v>
      </c>
      <c r="BD129" s="59">
        <f>BD127+BD128</f>
        <v>0</v>
      </c>
      <c r="BE129" s="59">
        <f>BE127+BE128</f>
        <v>0</v>
      </c>
      <c r="BF129" s="59">
        <f>BF127+BF128</f>
        <v>0</v>
      </c>
      <c r="BG129" s="60">
        <f>SUM(BC129:BF129)</f>
        <v>0</v>
      </c>
    </row>
    <row r="130">
      <c r="C130" s="80" t="inlineStr">
        <is>
          <t>(Dividendos preferenciais e alocação a títulos participantes)</t>
        </is>
      </c>
      <c r="D130" s="81" t="inlineStr">
        <is>
          <t>(Preferred dividends)</t>
        </is>
      </c>
      <c r="E130" s="82">
        <f>IF(E$14=1,N('Inputs (2)'!E108),0)</f>
        <v>0</v>
      </c>
      <c r="F130" s="82">
        <f>IF(F$14=1,N('Inputs (2)'!F108),E130)</f>
        <v>0</v>
      </c>
      <c r="G130" s="82">
        <f>IF(G$14=1,N('Inputs (2)'!G108),F130)</f>
        <v>0</v>
      </c>
      <c r="H130" s="82">
        <f>IF(H$14=1,N('Inputs (2)'!H108),G130)</f>
        <v>0</v>
      </c>
      <c r="I130" s="77">
        <f>SUM(E130:H130)</f>
        <v>0</v>
      </c>
      <c r="J130" s="82">
        <f>IF(J$14=1,N('Inputs (2)'!J108),H130)</f>
        <v>0</v>
      </c>
      <c r="K130" s="82">
        <f>IF(K$14=1,N('Inputs (2)'!K108),J130)</f>
        <v>0</v>
      </c>
      <c r="L130" s="82">
        <f>IF(L$14=1,N('Inputs (2)'!L108),K130)</f>
        <v>0</v>
      </c>
      <c r="M130" s="82">
        <f>IF(M$14=1,N('Inputs (2)'!M108),L130)</f>
        <v>0</v>
      </c>
      <c r="N130" s="77">
        <f>SUM(J130:M130)</f>
        <v>0</v>
      </c>
      <c r="O130" s="82">
        <f>IF(O$14=1,N('Inputs (2)'!O108),M130)</f>
        <v>0</v>
      </c>
      <c r="P130" s="82">
        <f>IF(P$14=1,N('Inputs (2)'!P108),O130)</f>
        <v>0</v>
      </c>
      <c r="Q130" s="82">
        <f>IF(Q$14=1,N('Inputs (2)'!Q108),P130)</f>
        <v>0</v>
      </c>
      <c r="R130" s="82">
        <f>IF(R$14=1,N('Inputs (2)'!R108),Q130)</f>
        <v>0</v>
      </c>
      <c r="S130" s="77">
        <f>SUM(O130:R130)</f>
        <v>0</v>
      </c>
      <c r="T130" s="82">
        <f>IF(T$14=1,N('Inputs (2)'!T108),R130)</f>
        <v>0</v>
      </c>
      <c r="U130" s="82">
        <f>IF(U$14=1,N('Inputs (2)'!U108),T130)</f>
        <v>0</v>
      </c>
      <c r="V130" s="82">
        <f>IF(V$14=1,N('Inputs (2)'!V108),U130)</f>
        <v>0</v>
      </c>
      <c r="W130" s="82">
        <f>IF(W$14=1,N('Inputs (2)'!W108),V130)</f>
        <v>0</v>
      </c>
      <c r="X130" s="77">
        <f>SUM(T130:W130)</f>
        <v>0</v>
      </c>
      <c r="Y130" s="82">
        <f>IF(Y$14=1,N('Inputs (2)'!Y108),W130)</f>
        <v>0</v>
      </c>
      <c r="Z130" s="82">
        <f>IF(Z$14=1,N('Inputs (2)'!Z108),Y130)</f>
        <v>0</v>
      </c>
      <c r="AA130" s="82">
        <f>IF(AA$14=1,N('Inputs (2)'!AA108),Z130)</f>
        <v>0</v>
      </c>
      <c r="AB130" s="82">
        <f>IF(AB$14=1,N('Inputs (2)'!AB108),AA130)</f>
        <v>0</v>
      </c>
      <c r="AC130" s="77">
        <f>SUM(Y130:AB130)</f>
        <v>0</v>
      </c>
      <c r="AD130" s="82">
        <f>IF(AD$14=1,N('Inputs (2)'!AD108),AB130)</f>
        <v>0</v>
      </c>
      <c r="AE130" s="82">
        <f>IF(AE$14=1,N('Inputs (2)'!AE108),AD130)</f>
        <v>0</v>
      </c>
      <c r="AF130" s="82">
        <f>IF(AF$14=1,N('Inputs (2)'!AF108),AE130)</f>
        <v>0</v>
      </c>
      <c r="AG130" s="82">
        <f>IF(AG$14=1,N('Inputs (2)'!AG108),AF130)</f>
        <v>0</v>
      </c>
      <c r="AH130" s="77">
        <f>SUM(AD130:AG130)</f>
        <v>0</v>
      </c>
      <c r="AI130" s="82">
        <f>IF(AI$14=1,N('Inputs (2)'!AI108),AG130)</f>
        <v>0</v>
      </c>
      <c r="AJ130" s="82">
        <f>IF(AJ$14=1,N('Inputs (2)'!AJ108),AI130)</f>
        <v>0</v>
      </c>
      <c r="AK130" s="82">
        <f>IF(AK$14=1,N('Inputs (2)'!AK108),AJ130)</f>
        <v>0</v>
      </c>
      <c r="AL130" s="82">
        <f>IF(AL$14=1,N('Inputs (2)'!AL108),AK130)</f>
        <v>0</v>
      </c>
      <c r="AM130" s="77">
        <f>SUM(AI130:AL130)</f>
        <v>0</v>
      </c>
      <c r="AN130" s="82">
        <f>IF(AN$14=1,N('Inputs (2)'!AN108),AL130)</f>
        <v>0</v>
      </c>
      <c r="AO130" s="82">
        <f>IF(AO$14=1,N('Inputs (2)'!AO108),AN130)</f>
        <v>0</v>
      </c>
      <c r="AP130" s="82">
        <f>IF(AP$14=1,N('Inputs (2)'!AP108),AO130)</f>
        <v>0</v>
      </c>
      <c r="AQ130" s="82">
        <f>IF(AQ$14=1,N('Inputs (2)'!AQ108),AP130)</f>
        <v>0</v>
      </c>
      <c r="AR130" s="77">
        <f>SUM(AN130:AQ130)</f>
        <v>0</v>
      </c>
      <c r="AS130" s="82">
        <f>IF(AS$14=1,N('Inputs (2)'!AS108),AQ130)</f>
        <v>0</v>
      </c>
      <c r="AT130" s="82">
        <f>IF(AT$14=1,N('Inputs (2)'!AT108),AS130)</f>
        <v>0</v>
      </c>
      <c r="AU130" s="82">
        <f>IF(AU$14=1,N('Inputs (2)'!AU108),AT130)</f>
        <v>0</v>
      </c>
      <c r="AV130" s="82">
        <f>IF(AV$14=1,N('Inputs (2)'!AV108),AU130)</f>
        <v>0</v>
      </c>
      <c r="AW130" s="77">
        <f>SUM(AS130:AV130)</f>
        <v>0</v>
      </c>
      <c r="AX130" s="82">
        <f>IF(AX$14=1,N('Inputs (2)'!AX108),AV130)</f>
        <v>0</v>
      </c>
      <c r="AY130" s="82">
        <f>IF(AY$14=1,N('Inputs (2)'!AY108),AX130)</f>
        <v>0</v>
      </c>
      <c r="AZ130" s="82">
        <f>IF(AZ$14=1,N('Inputs (2)'!AZ108),AY130)</f>
        <v>0</v>
      </c>
      <c r="BA130" s="82">
        <f>IF(BA$14=1,N('Inputs (2)'!BA108),AZ130)</f>
        <v>0</v>
      </c>
      <c r="BB130" s="77">
        <f>SUM(AX130:BA130)</f>
        <v>0</v>
      </c>
      <c r="BC130" s="82">
        <f>IF(BC$14=1,N('Inputs (2)'!BC108),BA130)</f>
        <v>0</v>
      </c>
      <c r="BD130" s="82">
        <f>IF(BD$14=1,N('Inputs (2)'!BD108),BC130)</f>
        <v>0</v>
      </c>
      <c r="BE130" s="82">
        <f>IF(BE$14=1,N('Inputs (2)'!BE108),BD130)</f>
        <v>0</v>
      </c>
      <c r="BF130" s="82">
        <f>IF(BF$14=1,N('Inputs (2)'!BF108),BE130)</f>
        <v>0</v>
      </c>
      <c r="BG130" s="77">
        <f>SUM(BC130:BF130)</f>
        <v>0</v>
      </c>
    </row>
    <row r="131">
      <c r="C131" s="53" t="inlineStr">
        <is>
          <t>LUCRO LÍQUIDO AO ACIONISTA COMUM</t>
        </is>
      </c>
      <c r="D131" s="54" t="inlineStr">
        <is>
          <t>NET INCOME APPLICABLE TO COMMON</t>
        </is>
      </c>
      <c r="E131" s="59">
        <f>E129+E130</f>
        <v>0</v>
      </c>
      <c r="F131" s="59">
        <f>F129+F130</f>
        <v>0</v>
      </c>
      <c r="G131" s="59">
        <f>G129+G130</f>
        <v>0</v>
      </c>
      <c r="H131" s="59">
        <f>H129+H130</f>
        <v>0</v>
      </c>
      <c r="I131" s="60">
        <f>I129+I130</f>
        <v>0</v>
      </c>
      <c r="J131" s="59">
        <f>J129+J130</f>
        <v>0</v>
      </c>
      <c r="K131" s="59">
        <f>K129+K130</f>
        <v>0</v>
      </c>
      <c r="L131" s="59">
        <f>L129+L130</f>
        <v>0</v>
      </c>
      <c r="M131" s="59">
        <f>M129+M130</f>
        <v>0</v>
      </c>
      <c r="N131" s="60">
        <f>N129+N130</f>
        <v>0</v>
      </c>
      <c r="O131" s="59">
        <f>O129+O130</f>
        <v>0</v>
      </c>
      <c r="P131" s="59">
        <f>P129+P130</f>
        <v>0</v>
      </c>
      <c r="Q131" s="59">
        <f>Q129+Q130</f>
        <v>0</v>
      </c>
      <c r="R131" s="59">
        <f>R129+R130</f>
        <v>0</v>
      </c>
      <c r="S131" s="60">
        <f>S129+S130</f>
        <v>0</v>
      </c>
      <c r="T131" s="59">
        <f>T129+T130</f>
        <v>0</v>
      </c>
      <c r="U131" s="59">
        <f>U129+U130</f>
        <v>0</v>
      </c>
      <c r="V131" s="59">
        <f>V129+V130</f>
        <v>0</v>
      </c>
      <c r="W131" s="59">
        <f>W129+W130</f>
        <v>0</v>
      </c>
      <c r="X131" s="60">
        <f>X129+X130</f>
        <v>0</v>
      </c>
      <c r="Y131" s="59">
        <f>Y129+Y130</f>
        <v>0</v>
      </c>
      <c r="Z131" s="59">
        <f>Z129+Z130</f>
        <v>0</v>
      </c>
      <c r="AA131" s="59">
        <f>AA129+AA130</f>
        <v>0</v>
      </c>
      <c r="AB131" s="59">
        <f>AB129+AB130</f>
        <v>0</v>
      </c>
      <c r="AC131" s="60">
        <f>AC129+AC130</f>
        <v>0</v>
      </c>
      <c r="AD131" s="59">
        <f>AD129+AD130</f>
        <v>0</v>
      </c>
      <c r="AE131" s="59">
        <f>AE129+AE130</f>
        <v>0</v>
      </c>
      <c r="AF131" s="59">
        <f>AF129+AF130</f>
        <v>0</v>
      </c>
      <c r="AG131" s="59">
        <f>AG129+AG130</f>
        <v>0</v>
      </c>
      <c r="AH131" s="60">
        <f>AH129+AH130</f>
        <v>0</v>
      </c>
      <c r="AI131" s="59">
        <f>AI129+AI130</f>
        <v>0</v>
      </c>
      <c r="AJ131" s="59">
        <f>AJ129+AJ130</f>
        <v>0</v>
      </c>
      <c r="AK131" s="59">
        <f>AK129+AK130</f>
        <v>0</v>
      </c>
      <c r="AL131" s="59">
        <f>AL129+AL130</f>
        <v>0</v>
      </c>
      <c r="AM131" s="60">
        <f>AM129+AM130</f>
        <v>0</v>
      </c>
      <c r="AN131" s="59">
        <f>AN129+AN130</f>
        <v>0</v>
      </c>
      <c r="AO131" s="59">
        <f>AO129+AO130</f>
        <v>0</v>
      </c>
      <c r="AP131" s="59">
        <f>AP129+AP130</f>
        <v>0</v>
      </c>
      <c r="AQ131" s="59">
        <f>AQ129+AQ130</f>
        <v>0</v>
      </c>
      <c r="AR131" s="60">
        <f>AR129+AR130</f>
        <v>0</v>
      </c>
      <c r="AS131" s="59">
        <f>AS129+AS130</f>
        <v>0</v>
      </c>
      <c r="AT131" s="59">
        <f>AT129+AT130</f>
        <v>0</v>
      </c>
      <c r="AU131" s="59">
        <f>AU129+AU130</f>
        <v>0</v>
      </c>
      <c r="AV131" s="59">
        <f>AV129+AV130</f>
        <v>0</v>
      </c>
      <c r="AW131" s="60">
        <f>AW129+AW130</f>
        <v>0</v>
      </c>
      <c r="AX131" s="59">
        <f>AX129+AX130</f>
        <v>0</v>
      </c>
      <c r="AY131" s="59">
        <f>AY129+AY130</f>
        <v>0</v>
      </c>
      <c r="AZ131" s="59">
        <f>AZ129+AZ130</f>
        <v>0</v>
      </c>
      <c r="BA131" s="59">
        <f>BA129+BA130</f>
        <v>0</v>
      </c>
      <c r="BB131" s="60">
        <f>BB129+BB130</f>
        <v>0</v>
      </c>
      <c r="BC131" s="59">
        <f>BC129+BC130</f>
        <v>0</v>
      </c>
      <c r="BD131" s="59">
        <f>BD129+BD130</f>
        <v>0</v>
      </c>
      <c r="BE131" s="59">
        <f>BE129+BE130</f>
        <v>0</v>
      </c>
      <c r="BF131" s="59">
        <f>BF129+BF130</f>
        <v>0</v>
      </c>
      <c r="BG131" s="60">
        <f>BG129+BG130</f>
        <v>0</v>
      </c>
    </row>
    <row r="133">
      <c r="B133" s="7" t="n"/>
      <c r="C133" s="7" t="str">
        <f>"BASES DE CÁLCULO E MARGEM FINANCEIRA ("&amp;Inputs!$E$202&amp;")"</f>
        <v>BASES DE CÁLCULO E MARGEM FINANCEIRA (US$ milhões)</v>
      </c>
      <c r="D133" s="7" t="inlineStr">
        <is>
          <t>CALCULATION BASES &amp; NII</t>
        </is>
      </c>
      <c r="E133" s="7" t="n"/>
      <c r="F133" s="7" t="n"/>
      <c r="G133" s="7" t="n"/>
      <c r="H133" s="7" t="n"/>
      <c r="I133" s="7" t="n"/>
      <c r="J133" s="7" t="n"/>
      <c r="K133" s="7" t="n"/>
      <c r="L133" s="7" t="n"/>
      <c r="M133" s="7" t="n"/>
      <c r="N133" s="7" t="n"/>
      <c r="O133" s="7" t="n"/>
      <c r="P133" s="7" t="n"/>
      <c r="Q133" s="7" t="n"/>
      <c r="R133" s="7" t="n"/>
      <c r="S133" s="7" t="n"/>
      <c r="T133" s="7" t="n"/>
      <c r="U133" s="7" t="n"/>
      <c r="V133" s="7" t="n"/>
      <c r="W133" s="7" t="n"/>
      <c r="X133" s="7" t="n"/>
      <c r="Y133" s="7" t="n"/>
      <c r="Z133" s="7" t="n"/>
      <c r="AA133" s="7" t="n"/>
      <c r="AB133" s="7" t="n"/>
      <c r="AC133" s="7" t="n"/>
      <c r="AD133" s="7" t="n"/>
      <c r="AE133" s="7" t="n"/>
      <c r="AF133" s="7" t="n"/>
      <c r="AG133" s="7" t="n"/>
      <c r="AH133" s="7" t="n"/>
      <c r="AI133" s="7" t="n"/>
      <c r="AJ133" s="7" t="n"/>
      <c r="AK133" s="7" t="n"/>
      <c r="AL133" s="7" t="n"/>
      <c r="AM133" s="7" t="n"/>
      <c r="AN133" s="7" t="n"/>
      <c r="AO133" s="7" t="n"/>
      <c r="AP133" s="7" t="n"/>
      <c r="AQ133" s="7" t="n"/>
      <c r="AR133" s="7" t="n"/>
      <c r="AS133" s="7" t="n"/>
      <c r="AT133" s="7" t="n"/>
      <c r="AU133" s="7" t="n"/>
      <c r="AV133" s="7" t="n"/>
      <c r="AW133" s="7" t="n"/>
      <c r="AX133" s="7" t="n"/>
      <c r="AY133" s="7" t="n"/>
      <c r="AZ133" s="7" t="n"/>
      <c r="BA133" s="7" t="n"/>
      <c r="BB133" s="7" t="n"/>
      <c r="BC133" s="7" t="n"/>
      <c r="BD133" s="7" t="n"/>
      <c r="BE133" s="7" t="n"/>
      <c r="BF133" s="7" t="n"/>
      <c r="BG133" s="7" t="n"/>
      <c r="BH133" s="7" t="n"/>
      <c r="BI133" s="7" t="n"/>
    </row>
    <row r="134">
      <c r="C134" s="11" t="inlineStr">
        <is>
          <t>Ativos rentáveis — saldo final</t>
        </is>
      </c>
      <c r="D134" s="12" t="inlineStr">
        <is>
          <t>Earning assets, eop</t>
        </is>
      </c>
      <c r="E134" s="74">
        <f>E19+E24+E29+E30</f>
        <v>0</v>
      </c>
      <c r="F134" s="74">
        <f>F19+F24+F29+F30</f>
        <v>0</v>
      </c>
      <c r="G134" s="74">
        <f>G19+G24+G29+G30</f>
        <v>0</v>
      </c>
      <c r="H134" s="74">
        <f>H19+H24+H29+H30</f>
        <v>0</v>
      </c>
      <c r="I134" s="77">
        <f>H134</f>
        <v>0</v>
      </c>
      <c r="J134" s="74">
        <f>J19+J24+J29+J30</f>
        <v>0</v>
      </c>
      <c r="K134" s="74">
        <f>K19+K24+K29+K30</f>
        <v>0</v>
      </c>
      <c r="L134" s="74">
        <f>L19+L24+L29+L30</f>
        <v>0</v>
      </c>
      <c r="M134" s="74">
        <f>M19+M24+M29+M30</f>
        <v>0</v>
      </c>
      <c r="N134" s="77">
        <f>M134</f>
        <v>0</v>
      </c>
      <c r="O134" s="74">
        <f>O19+O24+O29+O30</f>
        <v>0</v>
      </c>
      <c r="P134" s="74">
        <f>P19+P24+P29+P30</f>
        <v>0</v>
      </c>
      <c r="Q134" s="74">
        <f>Q19+Q24+Q29+Q30</f>
        <v>0</v>
      </c>
      <c r="R134" s="74">
        <f>R19+R24+R29+R30</f>
        <v>0</v>
      </c>
      <c r="S134" s="77">
        <f>R134</f>
        <v>0</v>
      </c>
      <c r="T134" s="74">
        <f>T19+T24+T29+T30</f>
        <v>0</v>
      </c>
      <c r="U134" s="74">
        <f>U19+U24+U29+U30</f>
        <v>0</v>
      </c>
      <c r="V134" s="74">
        <f>V19+V24+V29+V30</f>
        <v>0</v>
      </c>
      <c r="W134" s="74">
        <f>W19+W24+W29+W30</f>
        <v>0</v>
      </c>
      <c r="X134" s="77">
        <f>W134</f>
        <v>0</v>
      </c>
      <c r="Y134" s="74">
        <f>Y19+Y24+Y29+Y30</f>
        <v>0</v>
      </c>
      <c r="Z134" s="74">
        <f>Z19+Z24+Z29+Z30</f>
        <v>0</v>
      </c>
      <c r="AA134" s="74">
        <f>AA19+AA24+AA29+AA30</f>
        <v>0</v>
      </c>
      <c r="AB134" s="74">
        <f>AB19+AB24+AB29+AB30</f>
        <v>0</v>
      </c>
      <c r="AC134" s="77">
        <f>AB134</f>
        <v>0</v>
      </c>
      <c r="AD134" s="74">
        <f>AD19+AD24+AD29+AD30</f>
        <v>0</v>
      </c>
      <c r="AE134" s="74">
        <f>AE19+AE24+AE29+AE30</f>
        <v>0</v>
      </c>
      <c r="AF134" s="74">
        <f>AF19+AF24+AF29+AF30</f>
        <v>0</v>
      </c>
      <c r="AG134" s="74">
        <f>AG19+AG24+AG29+AG30</f>
        <v>0</v>
      </c>
      <c r="AH134" s="77">
        <f>AG134</f>
        <v>0</v>
      </c>
      <c r="AI134" s="74">
        <f>AI19+AI24+AI29+AI30</f>
        <v>0</v>
      </c>
      <c r="AJ134" s="74">
        <f>AJ19+AJ24+AJ29+AJ30</f>
        <v>0</v>
      </c>
      <c r="AK134" s="74">
        <f>AK19+AK24+AK29+AK30</f>
        <v>0</v>
      </c>
      <c r="AL134" s="74">
        <f>AL19+AL24+AL29+AL30</f>
        <v>0</v>
      </c>
      <c r="AM134" s="77">
        <f>AL134</f>
        <v>0</v>
      </c>
      <c r="AN134" s="74">
        <f>AN19+AN24+AN29+AN30</f>
        <v>0</v>
      </c>
      <c r="AO134" s="74">
        <f>AO19+AO24+AO29+AO30</f>
        <v>0</v>
      </c>
      <c r="AP134" s="74">
        <f>AP19+AP24+AP29+AP30</f>
        <v>0</v>
      </c>
      <c r="AQ134" s="74">
        <f>AQ19+AQ24+AQ29+AQ30</f>
        <v>0</v>
      </c>
      <c r="AR134" s="77">
        <f>AQ134</f>
        <v>0</v>
      </c>
      <c r="AS134" s="74">
        <f>AS19+AS24+AS29+AS30</f>
        <v>0</v>
      </c>
      <c r="AT134" s="74">
        <f>AT19+AT24+AT29+AT30</f>
        <v>0</v>
      </c>
      <c r="AU134" s="74">
        <f>AU19+AU24+AU29+AU30</f>
        <v>0</v>
      </c>
      <c r="AV134" s="74">
        <f>AV19+AV24+AV29+AV30</f>
        <v>0</v>
      </c>
      <c r="AW134" s="77">
        <f>AV134</f>
        <v>0</v>
      </c>
      <c r="AX134" s="74">
        <f>AX19+AX24+AX29+AX30</f>
        <v>0</v>
      </c>
      <c r="AY134" s="74">
        <f>AY19+AY24+AY29+AY30</f>
        <v>0</v>
      </c>
      <c r="AZ134" s="74">
        <f>AZ19+AZ24+AZ29+AZ30</f>
        <v>0</v>
      </c>
      <c r="BA134" s="74">
        <f>BA19+BA24+BA29+BA30</f>
        <v>0</v>
      </c>
      <c r="BB134" s="77">
        <f>BA134</f>
        <v>0</v>
      </c>
      <c r="BC134" s="74">
        <f>BC19+BC24+BC29+BC30</f>
        <v>0</v>
      </c>
      <c r="BD134" s="74">
        <f>BD19+BD24+BD29+BD30</f>
        <v>0</v>
      </c>
      <c r="BE134" s="74">
        <f>BE19+BE24+BE29+BE30</f>
        <v>0</v>
      </c>
      <c r="BF134" s="74">
        <f>BF19+BF24+BF29+BF30</f>
        <v>0</v>
      </c>
      <c r="BG134" s="77">
        <f>BF134</f>
        <v>0</v>
      </c>
    </row>
    <row r="135">
      <c r="C135" s="11" t="inlineStr">
        <is>
          <t>Ativos rentáveis — saldo médio</t>
        </is>
      </c>
      <c r="D135" s="12" t="inlineStr">
        <is>
          <t>Earning assets, average</t>
        </is>
      </c>
      <c r="E135" s="74">
        <f>E134</f>
        <v>0</v>
      </c>
      <c r="F135" s="74">
        <f>AVERAGE(E134,F134)</f>
        <v>0</v>
      </c>
      <c r="G135" s="74">
        <f>AVERAGE(F134,G134)</f>
        <v>0</v>
      </c>
      <c r="H135" s="74">
        <f>AVERAGE(G134,H134)</f>
        <v>0</v>
      </c>
      <c r="I135" s="77">
        <f>AVERAGE(E135:H135)</f>
        <v>0</v>
      </c>
      <c r="J135" s="74">
        <f>AVERAGE(H134,J134)</f>
        <v>0</v>
      </c>
      <c r="K135" s="74">
        <f>AVERAGE(J134,K134)</f>
        <v>0</v>
      </c>
      <c r="L135" s="74">
        <f>AVERAGE(K134,L134)</f>
        <v>0</v>
      </c>
      <c r="M135" s="74">
        <f>AVERAGE(L134,M134)</f>
        <v>0</v>
      </c>
      <c r="N135" s="77">
        <f>AVERAGE(J135:M135)</f>
        <v>0</v>
      </c>
      <c r="O135" s="74">
        <f>AVERAGE(M134,O134)</f>
        <v>0</v>
      </c>
      <c r="P135" s="74">
        <f>AVERAGE(O134,P134)</f>
        <v>0</v>
      </c>
      <c r="Q135" s="74">
        <f>AVERAGE(P134,Q134)</f>
        <v>0</v>
      </c>
      <c r="R135" s="74">
        <f>AVERAGE(Q134,R134)</f>
        <v>0</v>
      </c>
      <c r="S135" s="77">
        <f>AVERAGE(O135:R135)</f>
        <v>0</v>
      </c>
      <c r="T135" s="74">
        <f>AVERAGE(R134,T134)</f>
        <v>0</v>
      </c>
      <c r="U135" s="74">
        <f>AVERAGE(T134,U134)</f>
        <v>0</v>
      </c>
      <c r="V135" s="74">
        <f>AVERAGE(U134,V134)</f>
        <v>0</v>
      </c>
      <c r="W135" s="74">
        <f>AVERAGE(V134,W134)</f>
        <v>0</v>
      </c>
      <c r="X135" s="77">
        <f>AVERAGE(T135:W135)</f>
        <v>0</v>
      </c>
      <c r="Y135" s="74">
        <f>AVERAGE(W134,Y134)</f>
        <v>0</v>
      </c>
      <c r="Z135" s="74">
        <f>AVERAGE(Y134,Z134)</f>
        <v>0</v>
      </c>
      <c r="AA135" s="74">
        <f>AVERAGE(Z134,AA134)</f>
        <v>0</v>
      </c>
      <c r="AB135" s="74">
        <f>AVERAGE(AA134,AB134)</f>
        <v>0</v>
      </c>
      <c r="AC135" s="77">
        <f>AVERAGE(Y135:AB135)</f>
        <v>0</v>
      </c>
      <c r="AD135" s="74">
        <f>AVERAGE(AB134,AD134)</f>
        <v>0</v>
      </c>
      <c r="AE135" s="74">
        <f>AVERAGE(AD134,AE134)</f>
        <v>0</v>
      </c>
      <c r="AF135" s="74">
        <f>AVERAGE(AE134,AF134)</f>
        <v>0</v>
      </c>
      <c r="AG135" s="74">
        <f>AVERAGE(AF134,AG134)</f>
        <v>0</v>
      </c>
      <c r="AH135" s="77">
        <f>AVERAGE(AD135:AG135)</f>
        <v>0</v>
      </c>
      <c r="AI135" s="74">
        <f>AVERAGE(AG134,AI134)</f>
        <v>0</v>
      </c>
      <c r="AJ135" s="74">
        <f>AVERAGE(AI134,AJ134)</f>
        <v>0</v>
      </c>
      <c r="AK135" s="74">
        <f>AVERAGE(AJ134,AK134)</f>
        <v>0</v>
      </c>
      <c r="AL135" s="74">
        <f>AVERAGE(AK134,AL134)</f>
        <v>0</v>
      </c>
      <c r="AM135" s="77">
        <f>AVERAGE(AI135:AL135)</f>
        <v>0</v>
      </c>
      <c r="AN135" s="74">
        <f>AVERAGE(AL134,AN134)</f>
        <v>0</v>
      </c>
      <c r="AO135" s="74">
        <f>AVERAGE(AN134,AO134)</f>
        <v>0</v>
      </c>
      <c r="AP135" s="74">
        <f>AVERAGE(AO134,AP134)</f>
        <v>0</v>
      </c>
      <c r="AQ135" s="74">
        <f>AVERAGE(AP134,AQ134)</f>
        <v>0</v>
      </c>
      <c r="AR135" s="77">
        <f>AVERAGE(AN135:AQ135)</f>
        <v>0</v>
      </c>
      <c r="AS135" s="74">
        <f>AVERAGE(AQ134,AS134)</f>
        <v>0</v>
      </c>
      <c r="AT135" s="74">
        <f>AVERAGE(AS134,AT134)</f>
        <v>0</v>
      </c>
      <c r="AU135" s="74">
        <f>AVERAGE(AT134,AU134)</f>
        <v>0</v>
      </c>
      <c r="AV135" s="74">
        <f>AVERAGE(AU134,AV134)</f>
        <v>0</v>
      </c>
      <c r="AW135" s="77">
        <f>AVERAGE(AS135:AV135)</f>
        <v>0</v>
      </c>
      <c r="AX135" s="74">
        <f>AVERAGE(AV134,AX134)</f>
        <v>0</v>
      </c>
      <c r="AY135" s="74">
        <f>AVERAGE(AX134,AY134)</f>
        <v>0</v>
      </c>
      <c r="AZ135" s="74">
        <f>AVERAGE(AY134,AZ134)</f>
        <v>0</v>
      </c>
      <c r="BA135" s="74">
        <f>AVERAGE(AZ134,BA134)</f>
        <v>0</v>
      </c>
      <c r="BB135" s="77">
        <f>AVERAGE(AX135:BA135)</f>
        <v>0</v>
      </c>
      <c r="BC135" s="74">
        <f>AVERAGE(BA134,BC134)</f>
        <v>0</v>
      </c>
      <c r="BD135" s="74">
        <f>AVERAGE(BC134,BD134)</f>
        <v>0</v>
      </c>
      <c r="BE135" s="74">
        <f>AVERAGE(BD134,BE134)</f>
        <v>0</v>
      </c>
      <c r="BF135" s="74">
        <f>AVERAGE(BE134,BF134)</f>
        <v>0</v>
      </c>
      <c r="BG135" s="77">
        <f>AVERAGE(BC135:BF135)</f>
        <v>0</v>
      </c>
    </row>
    <row r="136">
      <c r="C136" s="11" t="inlineStr">
        <is>
          <t>Passivos onerosos — saldo final</t>
        </is>
      </c>
      <c r="D136" s="12" t="inlineStr">
        <is>
          <t>Interest-bearing liabilities, eop</t>
        </is>
      </c>
      <c r="E136" s="74">
        <f>E44+E50+E54+E59</f>
        <v>0</v>
      </c>
      <c r="F136" s="74">
        <f>F44+F50+F54+F59</f>
        <v>0</v>
      </c>
      <c r="G136" s="74">
        <f>G44+G50+G54+G59</f>
        <v>0</v>
      </c>
      <c r="H136" s="74">
        <f>H44+H50+H54+H59</f>
        <v>0</v>
      </c>
      <c r="I136" s="77">
        <f>H136</f>
        <v>0</v>
      </c>
      <c r="J136" s="74">
        <f>J44+J50+J54+J59</f>
        <v>0</v>
      </c>
      <c r="K136" s="74">
        <f>K44+K50+K54+K59</f>
        <v>0</v>
      </c>
      <c r="L136" s="74">
        <f>L44+L50+L54+L59</f>
        <v>0</v>
      </c>
      <c r="M136" s="74">
        <f>M44+M50+M54+M59</f>
        <v>0</v>
      </c>
      <c r="N136" s="77">
        <f>M136</f>
        <v>0</v>
      </c>
      <c r="O136" s="74">
        <f>O44+O50+O54+O59</f>
        <v>0</v>
      </c>
      <c r="P136" s="74">
        <f>P44+P50+P54+P59</f>
        <v>0</v>
      </c>
      <c r="Q136" s="74">
        <f>Q44+Q50+Q54+Q59</f>
        <v>0</v>
      </c>
      <c r="R136" s="74">
        <f>R44+R50+R54+R59</f>
        <v>0</v>
      </c>
      <c r="S136" s="77">
        <f>R136</f>
        <v>0</v>
      </c>
      <c r="T136" s="74">
        <f>T44+T50+T54+T59</f>
        <v>0</v>
      </c>
      <c r="U136" s="74">
        <f>U44+U50+U54+U59</f>
        <v>0</v>
      </c>
      <c r="V136" s="74">
        <f>V44+V50+V54+V59</f>
        <v>0</v>
      </c>
      <c r="W136" s="74">
        <f>W44+W50+W54+W59</f>
        <v>0</v>
      </c>
      <c r="X136" s="77">
        <f>W136</f>
        <v>0</v>
      </c>
      <c r="Y136" s="74">
        <f>Y44+Y50+Y54+Y59</f>
        <v>0</v>
      </c>
      <c r="Z136" s="74">
        <f>Z44+Z50+Z54+Z59</f>
        <v>0</v>
      </c>
      <c r="AA136" s="74">
        <f>AA44+AA50+AA54+AA59</f>
        <v>0</v>
      </c>
      <c r="AB136" s="74">
        <f>AB44+AB50+AB54+AB59</f>
        <v>0</v>
      </c>
      <c r="AC136" s="77">
        <f>AB136</f>
        <v>0</v>
      </c>
      <c r="AD136" s="74">
        <f>AD44+AD50+AD54+AD59</f>
        <v>0</v>
      </c>
      <c r="AE136" s="74">
        <f>AE44+AE50+AE54+AE59</f>
        <v>0</v>
      </c>
      <c r="AF136" s="74">
        <f>AF44+AF50+AF54+AF59</f>
        <v>0</v>
      </c>
      <c r="AG136" s="74">
        <f>AG44+AG50+AG54+AG59</f>
        <v>0</v>
      </c>
      <c r="AH136" s="77">
        <f>AG136</f>
        <v>0</v>
      </c>
      <c r="AI136" s="74">
        <f>AI44+AI50+AI54+AI59</f>
        <v>0</v>
      </c>
      <c r="AJ136" s="74">
        <f>AJ44+AJ50+AJ54+AJ59</f>
        <v>0</v>
      </c>
      <c r="AK136" s="74">
        <f>AK44+AK50+AK54+AK59</f>
        <v>0</v>
      </c>
      <c r="AL136" s="74">
        <f>AL44+AL50+AL54+AL59</f>
        <v>0</v>
      </c>
      <c r="AM136" s="77">
        <f>AL136</f>
        <v>0</v>
      </c>
      <c r="AN136" s="74">
        <f>AN44+AN50+AN54+AN59</f>
        <v>0</v>
      </c>
      <c r="AO136" s="74">
        <f>AO44+AO50+AO54+AO59</f>
        <v>0</v>
      </c>
      <c r="AP136" s="74">
        <f>AP44+AP50+AP54+AP59</f>
        <v>0</v>
      </c>
      <c r="AQ136" s="74">
        <f>AQ44+AQ50+AQ54+AQ59</f>
        <v>0</v>
      </c>
      <c r="AR136" s="77">
        <f>AQ136</f>
        <v>0</v>
      </c>
      <c r="AS136" s="74">
        <f>AS44+AS50+AS54+AS59</f>
        <v>0</v>
      </c>
      <c r="AT136" s="74">
        <f>AT44+AT50+AT54+AT59</f>
        <v>0</v>
      </c>
      <c r="AU136" s="74">
        <f>AU44+AU50+AU54+AU59</f>
        <v>0</v>
      </c>
      <c r="AV136" s="74">
        <f>AV44+AV50+AV54+AV59</f>
        <v>0</v>
      </c>
      <c r="AW136" s="77">
        <f>AV136</f>
        <v>0</v>
      </c>
      <c r="AX136" s="74">
        <f>AX44+AX50+AX54+AX59</f>
        <v>0</v>
      </c>
      <c r="AY136" s="74">
        <f>AY44+AY50+AY54+AY59</f>
        <v>0</v>
      </c>
      <c r="AZ136" s="74">
        <f>AZ44+AZ50+AZ54+AZ59</f>
        <v>0</v>
      </c>
      <c r="BA136" s="74">
        <f>BA44+BA50+BA54+BA59</f>
        <v>0</v>
      </c>
      <c r="BB136" s="77">
        <f>BA136</f>
        <v>0</v>
      </c>
      <c r="BC136" s="74">
        <f>BC44+BC50+BC54+BC59</f>
        <v>0</v>
      </c>
      <c r="BD136" s="74">
        <f>BD44+BD50+BD54+BD59</f>
        <v>0</v>
      </c>
      <c r="BE136" s="74">
        <f>BE44+BE50+BE54+BE59</f>
        <v>0</v>
      </c>
      <c r="BF136" s="74">
        <f>BF44+BF50+BF54+BF59</f>
        <v>0</v>
      </c>
      <c r="BG136" s="77">
        <f>BF136</f>
        <v>0</v>
      </c>
    </row>
    <row r="137">
      <c r="C137" s="11" t="inlineStr">
        <is>
          <t>Passivos onerosos — saldo médio</t>
        </is>
      </c>
      <c r="D137" s="12" t="inlineStr">
        <is>
          <t>Interest-bearing liabilities, average</t>
        </is>
      </c>
      <c r="E137" s="74">
        <f>E136</f>
        <v>0</v>
      </c>
      <c r="F137" s="74">
        <f>AVERAGE(E136,F136)</f>
        <v>0</v>
      </c>
      <c r="G137" s="74">
        <f>AVERAGE(F136,G136)</f>
        <v>0</v>
      </c>
      <c r="H137" s="74">
        <f>AVERAGE(G136,H136)</f>
        <v>0</v>
      </c>
      <c r="I137" s="77">
        <f>AVERAGE(E137:H137)</f>
        <v>0</v>
      </c>
      <c r="J137" s="74">
        <f>AVERAGE(H136,J136)</f>
        <v>0</v>
      </c>
      <c r="K137" s="74">
        <f>AVERAGE(J136,K136)</f>
        <v>0</v>
      </c>
      <c r="L137" s="74">
        <f>AVERAGE(K136,L136)</f>
        <v>0</v>
      </c>
      <c r="M137" s="74">
        <f>AVERAGE(L136,M136)</f>
        <v>0</v>
      </c>
      <c r="N137" s="77">
        <f>AVERAGE(J137:M137)</f>
        <v>0</v>
      </c>
      <c r="O137" s="74">
        <f>AVERAGE(M136,O136)</f>
        <v>0</v>
      </c>
      <c r="P137" s="74">
        <f>AVERAGE(O136,P136)</f>
        <v>0</v>
      </c>
      <c r="Q137" s="74">
        <f>AVERAGE(P136,Q136)</f>
        <v>0</v>
      </c>
      <c r="R137" s="74">
        <f>AVERAGE(Q136,R136)</f>
        <v>0</v>
      </c>
      <c r="S137" s="77">
        <f>AVERAGE(O137:R137)</f>
        <v>0</v>
      </c>
      <c r="T137" s="74">
        <f>AVERAGE(R136,T136)</f>
        <v>0</v>
      </c>
      <c r="U137" s="74">
        <f>AVERAGE(T136,U136)</f>
        <v>0</v>
      </c>
      <c r="V137" s="74">
        <f>AVERAGE(U136,V136)</f>
        <v>0</v>
      </c>
      <c r="W137" s="74">
        <f>AVERAGE(V136,W136)</f>
        <v>0</v>
      </c>
      <c r="X137" s="77">
        <f>AVERAGE(T137:W137)</f>
        <v>0</v>
      </c>
      <c r="Y137" s="74">
        <f>AVERAGE(W136,Y136)</f>
        <v>0</v>
      </c>
      <c r="Z137" s="74">
        <f>AVERAGE(Y136,Z136)</f>
        <v>0</v>
      </c>
      <c r="AA137" s="74">
        <f>AVERAGE(Z136,AA136)</f>
        <v>0</v>
      </c>
      <c r="AB137" s="74">
        <f>AVERAGE(AA136,AB136)</f>
        <v>0</v>
      </c>
      <c r="AC137" s="77">
        <f>AVERAGE(Y137:AB137)</f>
        <v>0</v>
      </c>
      <c r="AD137" s="74">
        <f>AVERAGE(AB136,AD136)</f>
        <v>0</v>
      </c>
      <c r="AE137" s="74">
        <f>AVERAGE(AD136,AE136)</f>
        <v>0</v>
      </c>
      <c r="AF137" s="74">
        <f>AVERAGE(AE136,AF136)</f>
        <v>0</v>
      </c>
      <c r="AG137" s="74">
        <f>AVERAGE(AF136,AG136)</f>
        <v>0</v>
      </c>
      <c r="AH137" s="77">
        <f>AVERAGE(AD137:AG137)</f>
        <v>0</v>
      </c>
      <c r="AI137" s="74">
        <f>AVERAGE(AG136,AI136)</f>
        <v>0</v>
      </c>
      <c r="AJ137" s="74">
        <f>AVERAGE(AI136,AJ136)</f>
        <v>0</v>
      </c>
      <c r="AK137" s="74">
        <f>AVERAGE(AJ136,AK136)</f>
        <v>0</v>
      </c>
      <c r="AL137" s="74">
        <f>AVERAGE(AK136,AL136)</f>
        <v>0</v>
      </c>
      <c r="AM137" s="77">
        <f>AVERAGE(AI137:AL137)</f>
        <v>0</v>
      </c>
      <c r="AN137" s="74">
        <f>AVERAGE(AL136,AN136)</f>
        <v>0</v>
      </c>
      <c r="AO137" s="74">
        <f>AVERAGE(AN136,AO136)</f>
        <v>0</v>
      </c>
      <c r="AP137" s="74">
        <f>AVERAGE(AO136,AP136)</f>
        <v>0</v>
      </c>
      <c r="AQ137" s="74">
        <f>AVERAGE(AP136,AQ136)</f>
        <v>0</v>
      </c>
      <c r="AR137" s="77">
        <f>AVERAGE(AN137:AQ137)</f>
        <v>0</v>
      </c>
      <c r="AS137" s="74">
        <f>AVERAGE(AQ136,AS136)</f>
        <v>0</v>
      </c>
      <c r="AT137" s="74">
        <f>AVERAGE(AS136,AT136)</f>
        <v>0</v>
      </c>
      <c r="AU137" s="74">
        <f>AVERAGE(AT136,AU136)</f>
        <v>0</v>
      </c>
      <c r="AV137" s="74">
        <f>AVERAGE(AU136,AV136)</f>
        <v>0</v>
      </c>
      <c r="AW137" s="77">
        <f>AVERAGE(AS137:AV137)</f>
        <v>0</v>
      </c>
      <c r="AX137" s="74">
        <f>AVERAGE(AV136,AX136)</f>
        <v>0</v>
      </c>
      <c r="AY137" s="74">
        <f>AVERAGE(AX136,AY136)</f>
        <v>0</v>
      </c>
      <c r="AZ137" s="74">
        <f>AVERAGE(AY136,AZ136)</f>
        <v>0</v>
      </c>
      <c r="BA137" s="74">
        <f>AVERAGE(AZ136,BA136)</f>
        <v>0</v>
      </c>
      <c r="BB137" s="77">
        <f>AVERAGE(AX137:BA137)</f>
        <v>0</v>
      </c>
      <c r="BC137" s="74">
        <f>AVERAGE(BA136,BC136)</f>
        <v>0</v>
      </c>
      <c r="BD137" s="74">
        <f>AVERAGE(BC136,BD136)</f>
        <v>0</v>
      </c>
      <c r="BE137" s="74">
        <f>AVERAGE(BD136,BE136)</f>
        <v>0</v>
      </c>
      <c r="BF137" s="74">
        <f>AVERAGE(BE136,BF136)</f>
        <v>0</v>
      </c>
      <c r="BG137" s="77">
        <f>AVERAGE(BC137:BF137)</f>
        <v>0</v>
      </c>
    </row>
    <row r="138">
      <c r="C138" s="11" t="inlineStr">
        <is>
          <t>Carteira de crédito bruta — saldo médio</t>
        </is>
      </c>
      <c r="D138" s="12" t="inlineStr">
        <is>
          <t>Gross loan book, average</t>
        </is>
      </c>
      <c r="E138" s="74">
        <f>E31+E32</f>
        <v>0</v>
      </c>
      <c r="F138" s="74">
        <f>AVERAGE(E31+E32,F31+F32)</f>
        <v>0</v>
      </c>
      <c r="G138" s="74">
        <f>AVERAGE(F31+F32,G31+G32)</f>
        <v>0</v>
      </c>
      <c r="H138" s="74">
        <f>AVERAGE(G31+G32,H31+H32)</f>
        <v>0</v>
      </c>
      <c r="I138" s="77">
        <f>AVERAGE(E138:H138)</f>
        <v>0</v>
      </c>
      <c r="J138" s="74">
        <f>AVERAGE(H31+H32,J31+J32)</f>
        <v>0</v>
      </c>
      <c r="K138" s="74">
        <f>AVERAGE(J31+J32,K31+K32)</f>
        <v>0</v>
      </c>
      <c r="L138" s="74">
        <f>AVERAGE(K31+K32,L31+L32)</f>
        <v>0</v>
      </c>
      <c r="M138" s="74">
        <f>AVERAGE(L31+L32,M31+M32)</f>
        <v>0</v>
      </c>
      <c r="N138" s="77">
        <f>AVERAGE(J138:M138)</f>
        <v>0</v>
      </c>
      <c r="O138" s="74">
        <f>AVERAGE(M31+M32,O31+O32)</f>
        <v>0</v>
      </c>
      <c r="P138" s="74">
        <f>AVERAGE(O31+O32,P31+P32)</f>
        <v>0</v>
      </c>
      <c r="Q138" s="74">
        <f>AVERAGE(P31+P32,Q31+Q32)</f>
        <v>0</v>
      </c>
      <c r="R138" s="74">
        <f>AVERAGE(Q31+Q32,R31+R32)</f>
        <v>0</v>
      </c>
      <c r="S138" s="77">
        <f>AVERAGE(O138:R138)</f>
        <v>0</v>
      </c>
      <c r="T138" s="74">
        <f>AVERAGE(R31+R32,T31+T32)</f>
        <v>0</v>
      </c>
      <c r="U138" s="74">
        <f>AVERAGE(T31+T32,U31+U32)</f>
        <v>0</v>
      </c>
      <c r="V138" s="74">
        <f>AVERAGE(U31+U32,V31+V32)</f>
        <v>0</v>
      </c>
      <c r="W138" s="74">
        <f>AVERAGE(V31+V32,W31+W32)</f>
        <v>0</v>
      </c>
      <c r="X138" s="77">
        <f>AVERAGE(T138:W138)</f>
        <v>0</v>
      </c>
      <c r="Y138" s="74">
        <f>AVERAGE(W31+W32,Y31+Y32)</f>
        <v>0</v>
      </c>
      <c r="Z138" s="74">
        <f>AVERAGE(Y31+Y32,Z31+Z32)</f>
        <v>0</v>
      </c>
      <c r="AA138" s="74">
        <f>AVERAGE(Z31+Z32,AA31+AA32)</f>
        <v>0</v>
      </c>
      <c r="AB138" s="74">
        <f>AVERAGE(AA31+AA32,AB31+AB32)</f>
        <v>0</v>
      </c>
      <c r="AC138" s="77">
        <f>AVERAGE(Y138:AB138)</f>
        <v>0</v>
      </c>
      <c r="AD138" s="74">
        <f>AVERAGE(AB31+AB32,AD31+AD32)</f>
        <v>0</v>
      </c>
      <c r="AE138" s="74">
        <f>AVERAGE(AD31+AD32,AE31+AE32)</f>
        <v>0</v>
      </c>
      <c r="AF138" s="74">
        <f>AVERAGE(AE31+AE32,AF31+AF32)</f>
        <v>0</v>
      </c>
      <c r="AG138" s="74">
        <f>AVERAGE(AF31+AF32,AG31+AG32)</f>
        <v>0</v>
      </c>
      <c r="AH138" s="77">
        <f>AVERAGE(AD138:AG138)</f>
        <v>0</v>
      </c>
      <c r="AI138" s="74">
        <f>AVERAGE(AG31+AG32,AI31+AI32)</f>
        <v>0</v>
      </c>
      <c r="AJ138" s="74">
        <f>AVERAGE(AI31+AI32,AJ31+AJ32)</f>
        <v>0</v>
      </c>
      <c r="AK138" s="74">
        <f>AVERAGE(AJ31+AJ32,AK31+AK32)</f>
        <v>0</v>
      </c>
      <c r="AL138" s="74">
        <f>AVERAGE(AK31+AK32,AL31+AL32)</f>
        <v>0</v>
      </c>
      <c r="AM138" s="77">
        <f>AVERAGE(AI138:AL138)</f>
        <v>0</v>
      </c>
      <c r="AN138" s="74">
        <f>AVERAGE(AL31+AL32,AN31+AN32)</f>
        <v>0</v>
      </c>
      <c r="AO138" s="74">
        <f>AVERAGE(AN31+AN32,AO31+AO32)</f>
        <v>0</v>
      </c>
      <c r="AP138" s="74">
        <f>AVERAGE(AO31+AO32,AP31+AP32)</f>
        <v>0</v>
      </c>
      <c r="AQ138" s="74">
        <f>AVERAGE(AP31+AP32,AQ31+AQ32)</f>
        <v>0</v>
      </c>
      <c r="AR138" s="77">
        <f>AVERAGE(AN138:AQ138)</f>
        <v>0</v>
      </c>
      <c r="AS138" s="74">
        <f>AVERAGE(AQ31+AQ32,AS31+AS32)</f>
        <v>0</v>
      </c>
      <c r="AT138" s="74">
        <f>AVERAGE(AS31+AS32,AT31+AT32)</f>
        <v>0</v>
      </c>
      <c r="AU138" s="74">
        <f>AVERAGE(AT31+AT32,AU31+AU32)</f>
        <v>0</v>
      </c>
      <c r="AV138" s="74">
        <f>AVERAGE(AU31+AU32,AV31+AV32)</f>
        <v>0</v>
      </c>
      <c r="AW138" s="77">
        <f>AVERAGE(AS138:AV138)</f>
        <v>0</v>
      </c>
      <c r="AX138" s="74">
        <f>AVERAGE(AV31+AV32,AX31+AX32)</f>
        <v>0</v>
      </c>
      <c r="AY138" s="74">
        <f>AVERAGE(AX31+AX32,AY31+AY32)</f>
        <v>0</v>
      </c>
      <c r="AZ138" s="74">
        <f>AVERAGE(AY31+AY32,AZ31+AZ32)</f>
        <v>0</v>
      </c>
      <c r="BA138" s="74">
        <f>AVERAGE(AZ31+AZ32,BA31+BA32)</f>
        <v>0</v>
      </c>
      <c r="BB138" s="77">
        <f>AVERAGE(AX138:BA138)</f>
        <v>0</v>
      </c>
      <c r="BC138" s="74">
        <f>AVERAGE(BA31+BA32,BC31+BC32)</f>
        <v>0</v>
      </c>
      <c r="BD138" s="74">
        <f>AVERAGE(BC31+BC32,BD31+BD32)</f>
        <v>0</v>
      </c>
      <c r="BE138" s="74">
        <f>AVERAGE(BD31+BD32,BE31+BE32)</f>
        <v>0</v>
      </c>
      <c r="BF138" s="74">
        <f>AVERAGE(BE31+BE32,BF31+BF32)</f>
        <v>0</v>
      </c>
      <c r="BG138" s="77">
        <f>AVERAGE(BC138:BF138)</f>
        <v>0</v>
      </c>
    </row>
    <row r="139">
      <c r="C139" s="11" t="inlineStr">
        <is>
          <t>Ativo total — saldo médio</t>
        </is>
      </c>
      <c r="D139" s="12" t="inlineStr">
        <is>
          <t>Total assets, average</t>
        </is>
      </c>
      <c r="E139" s="74">
        <f>E42</f>
        <v>0</v>
      </c>
      <c r="F139" s="74">
        <f>AVERAGE(E42,F42)</f>
        <v>0</v>
      </c>
      <c r="G139" s="74">
        <f>AVERAGE(F42,G42)</f>
        <v>0</v>
      </c>
      <c r="H139" s="74">
        <f>AVERAGE(G42,H42)</f>
        <v>0</v>
      </c>
      <c r="I139" s="77">
        <f>AVERAGE(E139:H139)</f>
        <v>0</v>
      </c>
      <c r="J139" s="74">
        <f>AVERAGE(H42,J42)</f>
        <v>0</v>
      </c>
      <c r="K139" s="74">
        <f>AVERAGE(J42,K42)</f>
        <v>0</v>
      </c>
      <c r="L139" s="74">
        <f>AVERAGE(K42,L42)</f>
        <v>0</v>
      </c>
      <c r="M139" s="74">
        <f>AVERAGE(L42,M42)</f>
        <v>0</v>
      </c>
      <c r="N139" s="77">
        <f>AVERAGE(J139:M139)</f>
        <v>0</v>
      </c>
      <c r="O139" s="74">
        <f>AVERAGE(M42,O42)</f>
        <v>0</v>
      </c>
      <c r="P139" s="74">
        <f>AVERAGE(O42,P42)</f>
        <v>0</v>
      </c>
      <c r="Q139" s="74">
        <f>AVERAGE(P42,Q42)</f>
        <v>0</v>
      </c>
      <c r="R139" s="74">
        <f>AVERAGE(Q42,R42)</f>
        <v>0</v>
      </c>
      <c r="S139" s="77">
        <f>AVERAGE(O139:R139)</f>
        <v>0</v>
      </c>
      <c r="T139" s="74">
        <f>AVERAGE(R42,T42)</f>
        <v>0</v>
      </c>
      <c r="U139" s="74">
        <f>AVERAGE(T42,U42)</f>
        <v>0</v>
      </c>
      <c r="V139" s="74">
        <f>AVERAGE(U42,V42)</f>
        <v>0</v>
      </c>
      <c r="W139" s="74">
        <f>AVERAGE(V42,W42)</f>
        <v>0</v>
      </c>
      <c r="X139" s="77">
        <f>AVERAGE(T139:W139)</f>
        <v>0</v>
      </c>
      <c r="Y139" s="74">
        <f>AVERAGE(W42,Y42)</f>
        <v>0</v>
      </c>
      <c r="Z139" s="74">
        <f>AVERAGE(Y42,Z42)</f>
        <v>0</v>
      </c>
      <c r="AA139" s="74">
        <f>AVERAGE(Z42,AA42)</f>
        <v>0</v>
      </c>
      <c r="AB139" s="74">
        <f>AVERAGE(AA42,AB42)</f>
        <v>0</v>
      </c>
      <c r="AC139" s="77">
        <f>AVERAGE(Y139:AB139)</f>
        <v>0</v>
      </c>
      <c r="AD139" s="74">
        <f>AVERAGE(AB42,AD42)</f>
        <v>0</v>
      </c>
      <c r="AE139" s="74">
        <f>AVERAGE(AD42,AE42)</f>
        <v>0</v>
      </c>
      <c r="AF139" s="74">
        <f>AVERAGE(AE42,AF42)</f>
        <v>0</v>
      </c>
      <c r="AG139" s="74">
        <f>AVERAGE(AF42,AG42)</f>
        <v>0</v>
      </c>
      <c r="AH139" s="77">
        <f>AVERAGE(AD139:AG139)</f>
        <v>0</v>
      </c>
      <c r="AI139" s="74">
        <f>AVERAGE(AG42,AI42)</f>
        <v>0</v>
      </c>
      <c r="AJ139" s="74">
        <f>AVERAGE(AI42,AJ42)</f>
        <v>0</v>
      </c>
      <c r="AK139" s="74">
        <f>AVERAGE(AJ42,AK42)</f>
        <v>0</v>
      </c>
      <c r="AL139" s="74">
        <f>AVERAGE(AK42,AL42)</f>
        <v>0</v>
      </c>
      <c r="AM139" s="77">
        <f>AVERAGE(AI139:AL139)</f>
        <v>0</v>
      </c>
      <c r="AN139" s="74">
        <f>AVERAGE(AL42,AN42)</f>
        <v>0</v>
      </c>
      <c r="AO139" s="74">
        <f>AVERAGE(AN42,AO42)</f>
        <v>0</v>
      </c>
      <c r="AP139" s="74">
        <f>AVERAGE(AO42,AP42)</f>
        <v>0</v>
      </c>
      <c r="AQ139" s="74">
        <f>AVERAGE(AP42,AQ42)</f>
        <v>0</v>
      </c>
      <c r="AR139" s="77">
        <f>AVERAGE(AN139:AQ139)</f>
        <v>0</v>
      </c>
      <c r="AS139" s="74">
        <f>AVERAGE(AQ42,AS42)</f>
        <v>0</v>
      </c>
      <c r="AT139" s="74">
        <f>AVERAGE(AS42,AT42)</f>
        <v>0</v>
      </c>
      <c r="AU139" s="74">
        <f>AVERAGE(AT42,AU42)</f>
        <v>0</v>
      </c>
      <c r="AV139" s="74">
        <f>AVERAGE(AU42,AV42)</f>
        <v>0</v>
      </c>
      <c r="AW139" s="77">
        <f>AVERAGE(AS139:AV139)</f>
        <v>0</v>
      </c>
      <c r="AX139" s="74">
        <f>AVERAGE(AV42,AX42)</f>
        <v>0</v>
      </c>
      <c r="AY139" s="74">
        <f>AVERAGE(AX42,AY42)</f>
        <v>0</v>
      </c>
      <c r="AZ139" s="74">
        <f>AVERAGE(AY42,AZ42)</f>
        <v>0</v>
      </c>
      <c r="BA139" s="74">
        <f>AVERAGE(AZ42,BA42)</f>
        <v>0</v>
      </c>
      <c r="BB139" s="77">
        <f>AVERAGE(AX139:BA139)</f>
        <v>0</v>
      </c>
      <c r="BC139" s="74">
        <f>AVERAGE(BA42,BC42)</f>
        <v>0</v>
      </c>
      <c r="BD139" s="74">
        <f>AVERAGE(BC42,BD42)</f>
        <v>0</v>
      </c>
      <c r="BE139" s="74">
        <f>AVERAGE(BD42,BE42)</f>
        <v>0</v>
      </c>
      <c r="BF139" s="74">
        <f>AVERAGE(BE42,BF42)</f>
        <v>0</v>
      </c>
      <c r="BG139" s="77">
        <f>AVERAGE(BC139:BF139)</f>
        <v>0</v>
      </c>
    </row>
    <row r="140">
      <c r="C140" s="11" t="inlineStr">
        <is>
          <t>PL da companhia — saldo médio</t>
        </is>
      </c>
      <c r="D140" s="12" t="inlineStr">
        <is>
          <t>Total equity, average</t>
        </is>
      </c>
      <c r="E140" s="74">
        <f>E71</f>
        <v>0</v>
      </c>
      <c r="F140" s="74">
        <f>AVERAGE(E71,F71)</f>
        <v>0</v>
      </c>
      <c r="G140" s="74">
        <f>AVERAGE(F71,G71)</f>
        <v>0</v>
      </c>
      <c r="H140" s="74">
        <f>AVERAGE(G71,H71)</f>
        <v>0</v>
      </c>
      <c r="I140" s="77">
        <f>AVERAGE(E140:H140)</f>
        <v>0</v>
      </c>
      <c r="J140" s="74">
        <f>AVERAGE(H71,J71)</f>
        <v>0</v>
      </c>
      <c r="K140" s="74">
        <f>AVERAGE(J71,K71)</f>
        <v>0</v>
      </c>
      <c r="L140" s="74">
        <f>AVERAGE(K71,L71)</f>
        <v>0</v>
      </c>
      <c r="M140" s="74">
        <f>AVERAGE(L71,M71)</f>
        <v>0</v>
      </c>
      <c r="N140" s="77">
        <f>AVERAGE(J140:M140)</f>
        <v>0</v>
      </c>
      <c r="O140" s="74">
        <f>AVERAGE(M71,O71)</f>
        <v>0</v>
      </c>
      <c r="P140" s="74">
        <f>AVERAGE(O71,P71)</f>
        <v>0</v>
      </c>
      <c r="Q140" s="74">
        <f>AVERAGE(P71,Q71)</f>
        <v>0</v>
      </c>
      <c r="R140" s="74">
        <f>AVERAGE(Q71,R71)</f>
        <v>0</v>
      </c>
      <c r="S140" s="77">
        <f>AVERAGE(O140:R140)</f>
        <v>0</v>
      </c>
      <c r="T140" s="74">
        <f>AVERAGE(R71,T71)</f>
        <v>0</v>
      </c>
      <c r="U140" s="74">
        <f>AVERAGE(T71,U71)</f>
        <v>0</v>
      </c>
      <c r="V140" s="74">
        <f>AVERAGE(U71,V71)</f>
        <v>0</v>
      </c>
      <c r="W140" s="74">
        <f>AVERAGE(V71,W71)</f>
        <v>0</v>
      </c>
      <c r="X140" s="77">
        <f>AVERAGE(T140:W140)</f>
        <v>0</v>
      </c>
      <c r="Y140" s="74">
        <f>AVERAGE(W71,Y71)</f>
        <v>0</v>
      </c>
      <c r="Z140" s="74">
        <f>AVERAGE(Y71,Z71)</f>
        <v>0</v>
      </c>
      <c r="AA140" s="74">
        <f>AVERAGE(Z71,AA71)</f>
        <v>0</v>
      </c>
      <c r="AB140" s="74">
        <f>AVERAGE(AA71,AB71)</f>
        <v>0</v>
      </c>
      <c r="AC140" s="77">
        <f>AVERAGE(Y140:AB140)</f>
        <v>0</v>
      </c>
      <c r="AD140" s="74">
        <f>AVERAGE(AB71,AD71)</f>
        <v>0</v>
      </c>
      <c r="AE140" s="74">
        <f>AVERAGE(AD71,AE71)</f>
        <v>0</v>
      </c>
      <c r="AF140" s="74">
        <f>AVERAGE(AE71,AF71)</f>
        <v>0</v>
      </c>
      <c r="AG140" s="74">
        <f>AVERAGE(AF71,AG71)</f>
        <v>0</v>
      </c>
      <c r="AH140" s="77">
        <f>AVERAGE(AD140:AG140)</f>
        <v>0</v>
      </c>
      <c r="AI140" s="74">
        <f>AVERAGE(AG71,AI71)</f>
        <v>0</v>
      </c>
      <c r="AJ140" s="74">
        <f>AVERAGE(AI71,AJ71)</f>
        <v>0</v>
      </c>
      <c r="AK140" s="74">
        <f>AVERAGE(AJ71,AK71)</f>
        <v>0</v>
      </c>
      <c r="AL140" s="74">
        <f>AVERAGE(AK71,AL71)</f>
        <v>0</v>
      </c>
      <c r="AM140" s="77">
        <f>AVERAGE(AI140:AL140)</f>
        <v>0</v>
      </c>
      <c r="AN140" s="74">
        <f>AVERAGE(AL71,AN71)</f>
        <v>0</v>
      </c>
      <c r="AO140" s="74">
        <f>AVERAGE(AN71,AO71)</f>
        <v>0</v>
      </c>
      <c r="AP140" s="74">
        <f>AVERAGE(AO71,AP71)</f>
        <v>0</v>
      </c>
      <c r="AQ140" s="74">
        <f>AVERAGE(AP71,AQ71)</f>
        <v>0</v>
      </c>
      <c r="AR140" s="77">
        <f>AVERAGE(AN140:AQ140)</f>
        <v>0</v>
      </c>
      <c r="AS140" s="74">
        <f>AVERAGE(AQ71,AS71)</f>
        <v>0</v>
      </c>
      <c r="AT140" s="74">
        <f>AVERAGE(AS71,AT71)</f>
        <v>0</v>
      </c>
      <c r="AU140" s="74">
        <f>AVERAGE(AT71,AU71)</f>
        <v>0</v>
      </c>
      <c r="AV140" s="74">
        <f>AVERAGE(AU71,AV71)</f>
        <v>0</v>
      </c>
      <c r="AW140" s="77">
        <f>AVERAGE(AS140:AV140)</f>
        <v>0</v>
      </c>
      <c r="AX140" s="74">
        <f>AVERAGE(AV71,AX71)</f>
        <v>0</v>
      </c>
      <c r="AY140" s="74">
        <f>AVERAGE(AX71,AY71)</f>
        <v>0</v>
      </c>
      <c r="AZ140" s="74">
        <f>AVERAGE(AY71,AZ71)</f>
        <v>0</v>
      </c>
      <c r="BA140" s="74">
        <f>AVERAGE(AZ71,BA71)</f>
        <v>0</v>
      </c>
      <c r="BB140" s="77">
        <f>AVERAGE(AX140:BA140)</f>
        <v>0</v>
      </c>
      <c r="BC140" s="74">
        <f>AVERAGE(BA71,BC71)</f>
        <v>0</v>
      </c>
      <c r="BD140" s="74">
        <f>AVERAGE(BC71,BD71)</f>
        <v>0</v>
      </c>
      <c r="BE140" s="74">
        <f>AVERAGE(BD71,BE71)</f>
        <v>0</v>
      </c>
      <c r="BF140" s="74">
        <f>AVERAGE(BE71,BF71)</f>
        <v>0</v>
      </c>
      <c r="BG140" s="77">
        <f>AVERAGE(BC140:BF140)</f>
        <v>0</v>
      </c>
    </row>
    <row r="141">
      <c r="C141" s="11" t="inlineStr">
        <is>
          <t>PL ordinário (ex-preferenciais) — saldo final</t>
        </is>
      </c>
      <c r="D141" s="12" t="inlineStr">
        <is>
          <t>Common equity, eop</t>
        </is>
      </c>
      <c r="E141" s="74">
        <f>E71-E77</f>
        <v>0</v>
      </c>
      <c r="F141" s="74">
        <f>F71-F77</f>
        <v>0</v>
      </c>
      <c r="G141" s="74">
        <f>G71-G77</f>
        <v>0</v>
      </c>
      <c r="H141" s="74">
        <f>H71-H77</f>
        <v>0</v>
      </c>
      <c r="I141" s="77">
        <f>H141</f>
        <v>0</v>
      </c>
      <c r="J141" s="74">
        <f>J71-J77</f>
        <v>0</v>
      </c>
      <c r="K141" s="74">
        <f>K71-K77</f>
        <v>0</v>
      </c>
      <c r="L141" s="74">
        <f>L71-L77</f>
        <v>0</v>
      </c>
      <c r="M141" s="74">
        <f>M71-M77</f>
        <v>0</v>
      </c>
      <c r="N141" s="77">
        <f>M141</f>
        <v>0</v>
      </c>
      <c r="O141" s="74">
        <f>O71-O77</f>
        <v>0</v>
      </c>
      <c r="P141" s="74">
        <f>P71-P77</f>
        <v>0</v>
      </c>
      <c r="Q141" s="74">
        <f>Q71-Q77</f>
        <v>0</v>
      </c>
      <c r="R141" s="74">
        <f>R71-R77</f>
        <v>0</v>
      </c>
      <c r="S141" s="77">
        <f>R141</f>
        <v>0</v>
      </c>
      <c r="T141" s="74">
        <f>T71-T77</f>
        <v>0</v>
      </c>
      <c r="U141" s="74">
        <f>U71-U77</f>
        <v>0</v>
      </c>
      <c r="V141" s="74">
        <f>V71-V77</f>
        <v>0</v>
      </c>
      <c r="W141" s="74">
        <f>W71-W77</f>
        <v>0</v>
      </c>
      <c r="X141" s="77">
        <f>W141</f>
        <v>0</v>
      </c>
      <c r="Y141" s="74">
        <f>Y71-Y77</f>
        <v>0</v>
      </c>
      <c r="Z141" s="74">
        <f>Z71-Z77</f>
        <v>0</v>
      </c>
      <c r="AA141" s="74">
        <f>AA71-AA77</f>
        <v>0</v>
      </c>
      <c r="AB141" s="74">
        <f>AB71-AB77</f>
        <v>0</v>
      </c>
      <c r="AC141" s="77">
        <f>AB141</f>
        <v>0</v>
      </c>
      <c r="AD141" s="74">
        <f>AD71-AD77</f>
        <v>0</v>
      </c>
      <c r="AE141" s="74">
        <f>AE71-AE77</f>
        <v>0</v>
      </c>
      <c r="AF141" s="74">
        <f>AF71-AF77</f>
        <v>0</v>
      </c>
      <c r="AG141" s="74">
        <f>AG71-AG77</f>
        <v>0</v>
      </c>
      <c r="AH141" s="77">
        <f>AG141</f>
        <v>0</v>
      </c>
      <c r="AI141" s="74">
        <f>AI71-AI77</f>
        <v>0</v>
      </c>
      <c r="AJ141" s="74">
        <f>AJ71-AJ77</f>
        <v>0</v>
      </c>
      <c r="AK141" s="74">
        <f>AK71-AK77</f>
        <v>0</v>
      </c>
      <c r="AL141" s="74">
        <f>AL71-AL77</f>
        <v>0</v>
      </c>
      <c r="AM141" s="77">
        <f>AL141</f>
        <v>0</v>
      </c>
      <c r="AN141" s="74">
        <f>AN71-AN77</f>
        <v>0</v>
      </c>
      <c r="AO141" s="74">
        <f>AO71-AO77</f>
        <v>0</v>
      </c>
      <c r="AP141" s="74">
        <f>AP71-AP77</f>
        <v>0</v>
      </c>
      <c r="AQ141" s="74">
        <f>AQ71-AQ77</f>
        <v>0</v>
      </c>
      <c r="AR141" s="77">
        <f>AQ141</f>
        <v>0</v>
      </c>
      <c r="AS141" s="74">
        <f>AS71-AS77</f>
        <v>0</v>
      </c>
      <c r="AT141" s="74">
        <f>AT71-AT77</f>
        <v>0</v>
      </c>
      <c r="AU141" s="74">
        <f>AU71-AU77</f>
        <v>0</v>
      </c>
      <c r="AV141" s="74">
        <f>AV71-AV77</f>
        <v>0</v>
      </c>
      <c r="AW141" s="77">
        <f>AV141</f>
        <v>0</v>
      </c>
      <c r="AX141" s="74">
        <f>AX71-AX77</f>
        <v>0</v>
      </c>
      <c r="AY141" s="74">
        <f>AY71-AY77</f>
        <v>0</v>
      </c>
      <c r="AZ141" s="74">
        <f>AZ71-AZ77</f>
        <v>0</v>
      </c>
      <c r="BA141" s="74">
        <f>BA71-BA77</f>
        <v>0</v>
      </c>
      <c r="BB141" s="77">
        <f>BA141</f>
        <v>0</v>
      </c>
      <c r="BC141" s="74">
        <f>BC71-BC77</f>
        <v>0</v>
      </c>
      <c r="BD141" s="74">
        <f>BD71-BD77</f>
        <v>0</v>
      </c>
      <c r="BE141" s="74">
        <f>BE71-BE77</f>
        <v>0</v>
      </c>
      <c r="BF141" s="74">
        <f>BF71-BF77</f>
        <v>0</v>
      </c>
      <c r="BG141" s="77">
        <f>BF141</f>
        <v>0</v>
      </c>
    </row>
    <row r="142">
      <c r="C142" s="11" t="inlineStr">
        <is>
          <t>PL ordinário — saldo médio</t>
        </is>
      </c>
      <c r="D142" s="12" t="inlineStr">
        <is>
          <t>Common equity, average</t>
        </is>
      </c>
      <c r="E142" s="74">
        <f>E141</f>
        <v>0</v>
      </c>
      <c r="F142" s="74">
        <f>AVERAGE(E141,F141)</f>
        <v>0</v>
      </c>
      <c r="G142" s="74">
        <f>AVERAGE(F141,G141)</f>
        <v>0</v>
      </c>
      <c r="H142" s="74">
        <f>AVERAGE(G141,H141)</f>
        <v>0</v>
      </c>
      <c r="I142" s="77">
        <f>AVERAGE(E142:H142)</f>
        <v>0</v>
      </c>
      <c r="J142" s="74">
        <f>AVERAGE(H141,J141)</f>
        <v>0</v>
      </c>
      <c r="K142" s="74">
        <f>AVERAGE(J141,K141)</f>
        <v>0</v>
      </c>
      <c r="L142" s="74">
        <f>AVERAGE(K141,L141)</f>
        <v>0</v>
      </c>
      <c r="M142" s="74">
        <f>AVERAGE(L141,M141)</f>
        <v>0</v>
      </c>
      <c r="N142" s="77">
        <f>AVERAGE(J142:M142)</f>
        <v>0</v>
      </c>
      <c r="O142" s="74">
        <f>AVERAGE(M141,O141)</f>
        <v>0</v>
      </c>
      <c r="P142" s="74">
        <f>AVERAGE(O141,P141)</f>
        <v>0</v>
      </c>
      <c r="Q142" s="74">
        <f>AVERAGE(P141,Q141)</f>
        <v>0</v>
      </c>
      <c r="R142" s="74">
        <f>AVERAGE(Q141,R141)</f>
        <v>0</v>
      </c>
      <c r="S142" s="77">
        <f>AVERAGE(O142:R142)</f>
        <v>0</v>
      </c>
      <c r="T142" s="74">
        <f>AVERAGE(R141,T141)</f>
        <v>0</v>
      </c>
      <c r="U142" s="74">
        <f>AVERAGE(T141,U141)</f>
        <v>0</v>
      </c>
      <c r="V142" s="74">
        <f>AVERAGE(U141,V141)</f>
        <v>0</v>
      </c>
      <c r="W142" s="74">
        <f>AVERAGE(V141,W141)</f>
        <v>0</v>
      </c>
      <c r="X142" s="77">
        <f>AVERAGE(T142:W142)</f>
        <v>0</v>
      </c>
      <c r="Y142" s="74">
        <f>AVERAGE(W141,Y141)</f>
        <v>0</v>
      </c>
      <c r="Z142" s="74">
        <f>AVERAGE(Y141,Z141)</f>
        <v>0</v>
      </c>
      <c r="AA142" s="74">
        <f>AVERAGE(Z141,AA141)</f>
        <v>0</v>
      </c>
      <c r="AB142" s="74">
        <f>AVERAGE(AA141,AB141)</f>
        <v>0</v>
      </c>
      <c r="AC142" s="77">
        <f>AVERAGE(Y142:AB142)</f>
        <v>0</v>
      </c>
      <c r="AD142" s="74">
        <f>AVERAGE(AB141,AD141)</f>
        <v>0</v>
      </c>
      <c r="AE142" s="74">
        <f>AVERAGE(AD141,AE141)</f>
        <v>0</v>
      </c>
      <c r="AF142" s="74">
        <f>AVERAGE(AE141,AF141)</f>
        <v>0</v>
      </c>
      <c r="AG142" s="74">
        <f>AVERAGE(AF141,AG141)</f>
        <v>0</v>
      </c>
      <c r="AH142" s="77">
        <f>AVERAGE(AD142:AG142)</f>
        <v>0</v>
      </c>
      <c r="AI142" s="74">
        <f>AVERAGE(AG141,AI141)</f>
        <v>0</v>
      </c>
      <c r="AJ142" s="74">
        <f>AVERAGE(AI141,AJ141)</f>
        <v>0</v>
      </c>
      <c r="AK142" s="74">
        <f>AVERAGE(AJ141,AK141)</f>
        <v>0</v>
      </c>
      <c r="AL142" s="74">
        <f>AVERAGE(AK141,AL141)</f>
        <v>0</v>
      </c>
      <c r="AM142" s="77">
        <f>AVERAGE(AI142:AL142)</f>
        <v>0</v>
      </c>
      <c r="AN142" s="74">
        <f>AVERAGE(AL141,AN141)</f>
        <v>0</v>
      </c>
      <c r="AO142" s="74">
        <f>AVERAGE(AN141,AO141)</f>
        <v>0</v>
      </c>
      <c r="AP142" s="74">
        <f>AVERAGE(AO141,AP141)</f>
        <v>0</v>
      </c>
      <c r="AQ142" s="74">
        <f>AVERAGE(AP141,AQ141)</f>
        <v>0</v>
      </c>
      <c r="AR142" s="77">
        <f>AVERAGE(AN142:AQ142)</f>
        <v>0</v>
      </c>
      <c r="AS142" s="74">
        <f>AVERAGE(AQ141,AS141)</f>
        <v>0</v>
      </c>
      <c r="AT142" s="74">
        <f>AVERAGE(AS141,AT141)</f>
        <v>0</v>
      </c>
      <c r="AU142" s="74">
        <f>AVERAGE(AT141,AU141)</f>
        <v>0</v>
      </c>
      <c r="AV142" s="74">
        <f>AVERAGE(AU141,AV141)</f>
        <v>0</v>
      </c>
      <c r="AW142" s="77">
        <f>AVERAGE(AS142:AV142)</f>
        <v>0</v>
      </c>
      <c r="AX142" s="74">
        <f>AVERAGE(AV141,AX141)</f>
        <v>0</v>
      </c>
      <c r="AY142" s="74">
        <f>AVERAGE(AX141,AY141)</f>
        <v>0</v>
      </c>
      <c r="AZ142" s="74">
        <f>AVERAGE(AY141,AZ141)</f>
        <v>0</v>
      </c>
      <c r="BA142" s="74">
        <f>AVERAGE(AZ141,BA141)</f>
        <v>0</v>
      </c>
      <c r="BB142" s="77">
        <f>AVERAGE(AX142:BA142)</f>
        <v>0</v>
      </c>
      <c r="BC142" s="74">
        <f>AVERAGE(BA141,BC141)</f>
        <v>0</v>
      </c>
      <c r="BD142" s="74">
        <f>AVERAGE(BC141,BD141)</f>
        <v>0</v>
      </c>
      <c r="BE142" s="74">
        <f>AVERAGE(BD141,BE141)</f>
        <v>0</v>
      </c>
      <c r="BF142" s="74">
        <f>AVERAGE(BE141,BF141)</f>
        <v>0</v>
      </c>
      <c r="BG142" s="77">
        <f>AVERAGE(BC142:BF142)</f>
        <v>0</v>
      </c>
    </row>
    <row r="143">
      <c r="C143" s="11" t="inlineStr">
        <is>
          <t>MSRs (dentro de goodwill e intangíveis; não deduzidos do TCE)</t>
        </is>
      </c>
      <c r="D143" s="12" t="inlineStr">
        <is>
          <t>MSRs</t>
        </is>
      </c>
      <c r="E143" s="74">
        <f>IF(E$14=1,'Inputs (2)'!E152,0)</f>
        <v>0</v>
      </c>
      <c r="F143" s="74">
        <f>IF(F$14=1,'Inputs (2)'!F152,E143)</f>
        <v>0</v>
      </c>
      <c r="G143" s="74">
        <f>IF(G$14=1,'Inputs (2)'!G152,F143)</f>
        <v>0</v>
      </c>
      <c r="H143" s="74">
        <f>IF(H$14=1,'Inputs (2)'!H152,G143)</f>
        <v>0</v>
      </c>
      <c r="I143" s="77">
        <f>H143</f>
        <v>0</v>
      </c>
      <c r="J143" s="74">
        <f>IF(J$14=1,'Inputs (2)'!J152,H143)</f>
        <v>0</v>
      </c>
      <c r="K143" s="74">
        <f>IF(K$14=1,'Inputs (2)'!K152,J143)</f>
        <v>0</v>
      </c>
      <c r="L143" s="74">
        <f>IF(L$14=1,'Inputs (2)'!L152,K143)</f>
        <v>0</v>
      </c>
      <c r="M143" s="74">
        <f>IF(M$14=1,'Inputs (2)'!M152,L143)</f>
        <v>0</v>
      </c>
      <c r="N143" s="77">
        <f>M143</f>
        <v>0</v>
      </c>
      <c r="O143" s="74">
        <f>IF(O$14=1,'Inputs (2)'!O152,M143)</f>
        <v>0</v>
      </c>
      <c r="P143" s="74">
        <f>IF(P$14=1,'Inputs (2)'!P152,O143)</f>
        <v>0</v>
      </c>
      <c r="Q143" s="74">
        <f>IF(Q$14=1,'Inputs (2)'!Q152,P143)</f>
        <v>0</v>
      </c>
      <c r="R143" s="74">
        <f>IF(R$14=1,'Inputs (2)'!R152,Q143)</f>
        <v>0</v>
      </c>
      <c r="S143" s="77">
        <f>R143</f>
        <v>0</v>
      </c>
      <c r="T143" s="74">
        <f>IF(T$14=1,'Inputs (2)'!T152,R143)</f>
        <v>0</v>
      </c>
      <c r="U143" s="74">
        <f>IF(U$14=1,'Inputs (2)'!U152,T143)</f>
        <v>0</v>
      </c>
      <c r="V143" s="74">
        <f>IF(V$14=1,'Inputs (2)'!V152,U143)</f>
        <v>0</v>
      </c>
      <c r="W143" s="74">
        <f>IF(W$14=1,'Inputs (2)'!W152,V143)</f>
        <v>0</v>
      </c>
      <c r="X143" s="77">
        <f>W143</f>
        <v>0</v>
      </c>
      <c r="Y143" s="74">
        <f>IF(Y$14=1,'Inputs (2)'!Y152,W143)</f>
        <v>0</v>
      </c>
      <c r="Z143" s="74">
        <f>IF(Z$14=1,'Inputs (2)'!Z152,Y143)</f>
        <v>0</v>
      </c>
      <c r="AA143" s="74">
        <f>IF(AA$14=1,'Inputs (2)'!AA152,Z143)</f>
        <v>0</v>
      </c>
      <c r="AB143" s="74">
        <f>IF(AB$14=1,'Inputs (2)'!AB152,AA143)</f>
        <v>0</v>
      </c>
      <c r="AC143" s="77">
        <f>AB143</f>
        <v>0</v>
      </c>
      <c r="AD143" s="74">
        <f>IF(AD$14=1,'Inputs (2)'!AD152,AB143)</f>
        <v>0</v>
      </c>
      <c r="AE143" s="74">
        <f>IF(AE$14=1,'Inputs (2)'!AE152,AD143)</f>
        <v>0</v>
      </c>
      <c r="AF143" s="74">
        <f>IF(AF$14=1,'Inputs (2)'!AF152,AE143)</f>
        <v>0</v>
      </c>
      <c r="AG143" s="74">
        <f>IF(AG$14=1,'Inputs (2)'!AG152,AF143)</f>
        <v>0</v>
      </c>
      <c r="AH143" s="77">
        <f>AG143</f>
        <v>0</v>
      </c>
      <c r="AI143" s="74">
        <f>IF(AI$14=1,'Inputs (2)'!AI152,AG143)</f>
        <v>0</v>
      </c>
      <c r="AJ143" s="74">
        <f>IF(AJ$14=1,'Inputs (2)'!AJ152,AI143)</f>
        <v>0</v>
      </c>
      <c r="AK143" s="74">
        <f>IF(AK$14=1,'Inputs (2)'!AK152,AJ143)</f>
        <v>0</v>
      </c>
      <c r="AL143" s="74">
        <f>IF(AL$14=1,'Inputs (2)'!AL152,AK143)</f>
        <v>0</v>
      </c>
      <c r="AM143" s="77">
        <f>AL143</f>
        <v>0</v>
      </c>
      <c r="AN143" s="74">
        <f>IF(AN$14=1,'Inputs (2)'!AN152,AL143)</f>
        <v>0</v>
      </c>
      <c r="AO143" s="74">
        <f>IF(AO$14=1,'Inputs (2)'!AO152,AN143)</f>
        <v>0</v>
      </c>
      <c r="AP143" s="74">
        <f>IF(AP$14=1,'Inputs (2)'!AP152,AO143)</f>
        <v>0</v>
      </c>
      <c r="AQ143" s="74">
        <f>IF(AQ$14=1,'Inputs (2)'!AQ152,AP143)</f>
        <v>0</v>
      </c>
      <c r="AR143" s="77">
        <f>AQ143</f>
        <v>0</v>
      </c>
      <c r="AS143" s="74">
        <f>IF(AS$14=1,'Inputs (2)'!AS152,AQ143)</f>
        <v>0</v>
      </c>
      <c r="AT143" s="74">
        <f>IF(AT$14=1,'Inputs (2)'!AT152,AS143)</f>
        <v>0</v>
      </c>
      <c r="AU143" s="74">
        <f>IF(AU$14=1,'Inputs (2)'!AU152,AT143)</f>
        <v>0</v>
      </c>
      <c r="AV143" s="74">
        <f>IF(AV$14=1,'Inputs (2)'!AV152,AU143)</f>
        <v>0</v>
      </c>
      <c r="AW143" s="77">
        <f>AV143</f>
        <v>0</v>
      </c>
      <c r="AX143" s="74">
        <f>IF(AX$14=1,'Inputs (2)'!AX152,AV143)</f>
        <v>0</v>
      </c>
      <c r="AY143" s="74">
        <f>IF(AY$14=1,'Inputs (2)'!AY152,AX143)</f>
        <v>0</v>
      </c>
      <c r="AZ143" s="74">
        <f>IF(AZ$14=1,'Inputs (2)'!AZ152,AY143)</f>
        <v>0</v>
      </c>
      <c r="BA143" s="74">
        <f>IF(BA$14=1,'Inputs (2)'!BA152,AZ143)</f>
        <v>0</v>
      </c>
      <c r="BB143" s="77">
        <f>BA143</f>
        <v>0</v>
      </c>
      <c r="BC143" s="74">
        <f>IF(BC$14=1,'Inputs (2)'!BC152,BA143)</f>
        <v>0</v>
      </c>
      <c r="BD143" s="74">
        <f>IF(BD$14=1,'Inputs (2)'!BD152,BC143)</f>
        <v>0</v>
      </c>
      <c r="BE143" s="74">
        <f>IF(BE$14=1,'Inputs (2)'!BE152,BD143)</f>
        <v>0</v>
      </c>
      <c r="BF143" s="74">
        <f>IF(BF$14=1,'Inputs (2)'!BF152,BE143)</f>
        <v>0</v>
      </c>
      <c r="BG143" s="77">
        <f>BF143</f>
        <v>0</v>
      </c>
    </row>
    <row r="144">
      <c r="C144" s="11" t="inlineStr">
        <is>
          <t>PL tangível ordinário (TCE) — saldo final</t>
        </is>
      </c>
      <c r="D144" s="12" t="inlineStr">
        <is>
          <t>Tangible common equity, eop</t>
        </is>
      </c>
      <c r="E144" s="74">
        <f>E141-(E41-E143)</f>
        <v>0</v>
      </c>
      <c r="F144" s="74">
        <f>F141-(F41-F143)</f>
        <v>0</v>
      </c>
      <c r="G144" s="74">
        <f>G141-(G41-G143)</f>
        <v>0</v>
      </c>
      <c r="H144" s="74">
        <f>H141-(H41-H143)</f>
        <v>0</v>
      </c>
      <c r="I144" s="77">
        <f>H144</f>
        <v>0</v>
      </c>
      <c r="J144" s="74">
        <f>J141-(J41-J143)</f>
        <v>0</v>
      </c>
      <c r="K144" s="74">
        <f>K141-(K41-K143)</f>
        <v>0</v>
      </c>
      <c r="L144" s="74">
        <f>L141-(L41-L143)</f>
        <v>0</v>
      </c>
      <c r="M144" s="74">
        <f>M141-(M41-M143)</f>
        <v>0</v>
      </c>
      <c r="N144" s="77">
        <f>M144</f>
        <v>0</v>
      </c>
      <c r="O144" s="74">
        <f>O141-(O41-O143)</f>
        <v>0</v>
      </c>
      <c r="P144" s="74">
        <f>P141-(P41-P143)</f>
        <v>0</v>
      </c>
      <c r="Q144" s="74">
        <f>Q141-(Q41-Q143)</f>
        <v>0</v>
      </c>
      <c r="R144" s="74">
        <f>R141-(R41-R143)</f>
        <v>0</v>
      </c>
      <c r="S144" s="77">
        <f>R144</f>
        <v>0</v>
      </c>
      <c r="T144" s="74">
        <f>T141-(T41-T143)</f>
        <v>0</v>
      </c>
      <c r="U144" s="74">
        <f>U141-(U41-U143)</f>
        <v>0</v>
      </c>
      <c r="V144" s="74">
        <f>V141-(V41-V143)</f>
        <v>0</v>
      </c>
      <c r="W144" s="74">
        <f>W141-(W41-W143)</f>
        <v>0</v>
      </c>
      <c r="X144" s="77">
        <f>W144</f>
        <v>0</v>
      </c>
      <c r="Y144" s="74">
        <f>Y141-(Y41-Y143)</f>
        <v>0</v>
      </c>
      <c r="Z144" s="74">
        <f>Z141-(Z41-Z143)</f>
        <v>0</v>
      </c>
      <c r="AA144" s="74">
        <f>AA141-(AA41-AA143)</f>
        <v>0</v>
      </c>
      <c r="AB144" s="74">
        <f>AB141-(AB41-AB143)</f>
        <v>0</v>
      </c>
      <c r="AC144" s="77">
        <f>AB144</f>
        <v>0</v>
      </c>
      <c r="AD144" s="74">
        <f>AD141-(AD41-AD143)</f>
        <v>0</v>
      </c>
      <c r="AE144" s="74">
        <f>AE141-(AE41-AE143)</f>
        <v>0</v>
      </c>
      <c r="AF144" s="74">
        <f>AF141-(AF41-AF143)</f>
        <v>0</v>
      </c>
      <c r="AG144" s="74">
        <f>AG141-(AG41-AG143)</f>
        <v>0</v>
      </c>
      <c r="AH144" s="77">
        <f>AG144</f>
        <v>0</v>
      </c>
      <c r="AI144" s="74">
        <f>AI141-(AI41-AI143)</f>
        <v>0</v>
      </c>
      <c r="AJ144" s="74">
        <f>AJ141-(AJ41-AJ143)</f>
        <v>0</v>
      </c>
      <c r="AK144" s="74">
        <f>AK141-(AK41-AK143)</f>
        <v>0</v>
      </c>
      <c r="AL144" s="74">
        <f>AL141-(AL41-AL143)</f>
        <v>0</v>
      </c>
      <c r="AM144" s="77">
        <f>AL144</f>
        <v>0</v>
      </c>
      <c r="AN144" s="74">
        <f>AN141-(AN41-AN143)</f>
        <v>0</v>
      </c>
      <c r="AO144" s="74">
        <f>AO141-(AO41-AO143)</f>
        <v>0</v>
      </c>
      <c r="AP144" s="74">
        <f>AP141-(AP41-AP143)</f>
        <v>0</v>
      </c>
      <c r="AQ144" s="74">
        <f>AQ141-(AQ41-AQ143)</f>
        <v>0</v>
      </c>
      <c r="AR144" s="77">
        <f>AQ144</f>
        <v>0</v>
      </c>
      <c r="AS144" s="74">
        <f>AS141-(AS41-AS143)</f>
        <v>0</v>
      </c>
      <c r="AT144" s="74">
        <f>AT141-(AT41-AT143)</f>
        <v>0</v>
      </c>
      <c r="AU144" s="74">
        <f>AU141-(AU41-AU143)</f>
        <v>0</v>
      </c>
      <c r="AV144" s="74">
        <f>AV141-(AV41-AV143)</f>
        <v>0</v>
      </c>
      <c r="AW144" s="77">
        <f>AV144</f>
        <v>0</v>
      </c>
      <c r="AX144" s="74">
        <f>AX141-(AX41-AX143)</f>
        <v>0</v>
      </c>
      <c r="AY144" s="74">
        <f>AY141-(AY41-AY143)</f>
        <v>0</v>
      </c>
      <c r="AZ144" s="74">
        <f>AZ141-(AZ41-AZ143)</f>
        <v>0</v>
      </c>
      <c r="BA144" s="74">
        <f>BA141-(BA41-BA143)</f>
        <v>0</v>
      </c>
      <c r="BB144" s="77">
        <f>BA144</f>
        <v>0</v>
      </c>
      <c r="BC144" s="74">
        <f>BC141-(BC41-BC143)</f>
        <v>0</v>
      </c>
      <c r="BD144" s="74">
        <f>BD141-(BD41-BD143)</f>
        <v>0</v>
      </c>
      <c r="BE144" s="74">
        <f>BE141-(BE41-BE143)</f>
        <v>0</v>
      </c>
      <c r="BF144" s="74">
        <f>BF141-(BF41-BF143)</f>
        <v>0</v>
      </c>
      <c r="BG144" s="77">
        <f>BF144</f>
        <v>0</v>
      </c>
    </row>
    <row r="145">
      <c r="C145" s="11" t="inlineStr">
        <is>
          <t>TCE — saldo médio</t>
        </is>
      </c>
      <c r="D145" s="12" t="inlineStr">
        <is>
          <t>Tangible common equity, average</t>
        </is>
      </c>
      <c r="E145" s="74">
        <f>E144</f>
        <v>0</v>
      </c>
      <c r="F145" s="74">
        <f>AVERAGE(E144,F144)</f>
        <v>0</v>
      </c>
      <c r="G145" s="74">
        <f>AVERAGE(F144,G144)</f>
        <v>0</v>
      </c>
      <c r="H145" s="74">
        <f>AVERAGE(G144,H144)</f>
        <v>0</v>
      </c>
      <c r="I145" s="77">
        <f>AVERAGE(E145:H145)</f>
        <v>0</v>
      </c>
      <c r="J145" s="74">
        <f>AVERAGE(H144,J144)</f>
        <v>0</v>
      </c>
      <c r="K145" s="74">
        <f>AVERAGE(J144,K144)</f>
        <v>0</v>
      </c>
      <c r="L145" s="74">
        <f>AVERAGE(K144,L144)</f>
        <v>0</v>
      </c>
      <c r="M145" s="74">
        <f>AVERAGE(L144,M144)</f>
        <v>0</v>
      </c>
      <c r="N145" s="77">
        <f>AVERAGE(J145:M145)</f>
        <v>0</v>
      </c>
      <c r="O145" s="74">
        <f>AVERAGE(M144,O144)</f>
        <v>0</v>
      </c>
      <c r="P145" s="74">
        <f>AVERAGE(O144,P144)</f>
        <v>0</v>
      </c>
      <c r="Q145" s="74">
        <f>AVERAGE(P144,Q144)</f>
        <v>0</v>
      </c>
      <c r="R145" s="74">
        <f>AVERAGE(Q144,R144)</f>
        <v>0</v>
      </c>
      <c r="S145" s="77">
        <f>AVERAGE(O145:R145)</f>
        <v>0</v>
      </c>
      <c r="T145" s="74">
        <f>AVERAGE(R144,T144)</f>
        <v>0</v>
      </c>
      <c r="U145" s="74">
        <f>AVERAGE(T144,U144)</f>
        <v>0</v>
      </c>
      <c r="V145" s="74">
        <f>AVERAGE(U144,V144)</f>
        <v>0</v>
      </c>
      <c r="W145" s="74">
        <f>AVERAGE(V144,W144)</f>
        <v>0</v>
      </c>
      <c r="X145" s="77">
        <f>AVERAGE(T145:W145)</f>
        <v>0</v>
      </c>
      <c r="Y145" s="74">
        <f>AVERAGE(W144,Y144)</f>
        <v>0</v>
      </c>
      <c r="Z145" s="74">
        <f>AVERAGE(Y144,Z144)</f>
        <v>0</v>
      </c>
      <c r="AA145" s="74">
        <f>AVERAGE(Z144,AA144)</f>
        <v>0</v>
      </c>
      <c r="AB145" s="74">
        <f>AVERAGE(AA144,AB144)</f>
        <v>0</v>
      </c>
      <c r="AC145" s="77">
        <f>AVERAGE(Y145:AB145)</f>
        <v>0</v>
      </c>
      <c r="AD145" s="74">
        <f>AVERAGE(AB144,AD144)</f>
        <v>0</v>
      </c>
      <c r="AE145" s="74">
        <f>AVERAGE(AD144,AE144)</f>
        <v>0</v>
      </c>
      <c r="AF145" s="74">
        <f>AVERAGE(AE144,AF144)</f>
        <v>0</v>
      </c>
      <c r="AG145" s="74">
        <f>AVERAGE(AF144,AG144)</f>
        <v>0</v>
      </c>
      <c r="AH145" s="77">
        <f>AVERAGE(AD145:AG145)</f>
        <v>0</v>
      </c>
      <c r="AI145" s="74">
        <f>AVERAGE(AG144,AI144)</f>
        <v>0</v>
      </c>
      <c r="AJ145" s="74">
        <f>AVERAGE(AI144,AJ144)</f>
        <v>0</v>
      </c>
      <c r="AK145" s="74">
        <f>AVERAGE(AJ144,AK144)</f>
        <v>0</v>
      </c>
      <c r="AL145" s="74">
        <f>AVERAGE(AK144,AL144)</f>
        <v>0</v>
      </c>
      <c r="AM145" s="77">
        <f>AVERAGE(AI145:AL145)</f>
        <v>0</v>
      </c>
      <c r="AN145" s="74">
        <f>AVERAGE(AL144,AN144)</f>
        <v>0</v>
      </c>
      <c r="AO145" s="74">
        <f>AVERAGE(AN144,AO144)</f>
        <v>0</v>
      </c>
      <c r="AP145" s="74">
        <f>AVERAGE(AO144,AP144)</f>
        <v>0</v>
      </c>
      <c r="AQ145" s="74">
        <f>AVERAGE(AP144,AQ144)</f>
        <v>0</v>
      </c>
      <c r="AR145" s="77">
        <f>AVERAGE(AN145:AQ145)</f>
        <v>0</v>
      </c>
      <c r="AS145" s="74">
        <f>AVERAGE(AQ144,AS144)</f>
        <v>0</v>
      </c>
      <c r="AT145" s="74">
        <f>AVERAGE(AS144,AT144)</f>
        <v>0</v>
      </c>
      <c r="AU145" s="74">
        <f>AVERAGE(AT144,AU144)</f>
        <v>0</v>
      </c>
      <c r="AV145" s="74">
        <f>AVERAGE(AU144,AV144)</f>
        <v>0</v>
      </c>
      <c r="AW145" s="77">
        <f>AVERAGE(AS145:AV145)</f>
        <v>0</v>
      </c>
      <c r="AX145" s="74">
        <f>AVERAGE(AV144,AX144)</f>
        <v>0</v>
      </c>
      <c r="AY145" s="74">
        <f>AVERAGE(AX144,AY144)</f>
        <v>0</v>
      </c>
      <c r="AZ145" s="74">
        <f>AVERAGE(AY144,AZ144)</f>
        <v>0</v>
      </c>
      <c r="BA145" s="74">
        <f>AVERAGE(AZ144,BA144)</f>
        <v>0</v>
      </c>
      <c r="BB145" s="77">
        <f>AVERAGE(AX145:BA145)</f>
        <v>0</v>
      </c>
      <c r="BC145" s="74">
        <f>AVERAGE(BA144,BC144)</f>
        <v>0</v>
      </c>
      <c r="BD145" s="74">
        <f>AVERAGE(BC144,BD144)</f>
        <v>0</v>
      </c>
      <c r="BE145" s="74">
        <f>AVERAGE(BD144,BE144)</f>
        <v>0</v>
      </c>
      <c r="BF145" s="74">
        <f>AVERAGE(BE144,BF144)</f>
        <v>0</v>
      </c>
      <c r="BG145" s="77">
        <f>AVERAGE(BC145:BF145)</f>
        <v>0</v>
      </c>
    </row>
    <row r="146">
      <c r="C146" s="11" t="inlineStr">
        <is>
          <t>Receita líquida de juros (NII)</t>
        </is>
      </c>
      <c r="D146" s="12" t="inlineStr">
        <is>
          <t>Net interest income</t>
        </is>
      </c>
      <c r="E146" s="74">
        <f>E103</f>
        <v>0</v>
      </c>
      <c r="F146" s="74">
        <f>F103</f>
        <v>0</v>
      </c>
      <c r="G146" s="74">
        <f>G103</f>
        <v>0</v>
      </c>
      <c r="H146" s="74">
        <f>H103</f>
        <v>0</v>
      </c>
      <c r="I146" s="77">
        <f>SUM(E146:H146)</f>
        <v>0</v>
      </c>
      <c r="J146" s="74">
        <f>J103</f>
        <v>0</v>
      </c>
      <c r="K146" s="74">
        <f>K103</f>
        <v>0</v>
      </c>
      <c r="L146" s="74">
        <f>L103</f>
        <v>0</v>
      </c>
      <c r="M146" s="74">
        <f>M103</f>
        <v>0</v>
      </c>
      <c r="N146" s="77">
        <f>SUM(J146:M146)</f>
        <v>0</v>
      </c>
      <c r="O146" s="74">
        <f>O103</f>
        <v>0</v>
      </c>
      <c r="P146" s="74">
        <f>P103</f>
        <v>0</v>
      </c>
      <c r="Q146" s="74">
        <f>Q103</f>
        <v>0</v>
      </c>
      <c r="R146" s="74">
        <f>R103</f>
        <v>0</v>
      </c>
      <c r="S146" s="77">
        <f>SUM(O146:R146)</f>
        <v>0</v>
      </c>
      <c r="T146" s="74">
        <f>T103</f>
        <v>0</v>
      </c>
      <c r="U146" s="74">
        <f>U103</f>
        <v>0</v>
      </c>
      <c r="V146" s="74">
        <f>V103</f>
        <v>0</v>
      </c>
      <c r="W146" s="74">
        <f>W103</f>
        <v>0</v>
      </c>
      <c r="X146" s="77">
        <f>SUM(T146:W146)</f>
        <v>0</v>
      </c>
      <c r="Y146" s="74">
        <f>Y103</f>
        <v>0</v>
      </c>
      <c r="Z146" s="74">
        <f>Z103</f>
        <v>0</v>
      </c>
      <c r="AA146" s="74">
        <f>AA103</f>
        <v>0</v>
      </c>
      <c r="AB146" s="74">
        <f>AB103</f>
        <v>0</v>
      </c>
      <c r="AC146" s="77">
        <f>SUM(Y146:AB146)</f>
        <v>0</v>
      </c>
      <c r="AD146" s="74">
        <f>AD103</f>
        <v>0</v>
      </c>
      <c r="AE146" s="74">
        <f>AE103</f>
        <v>0</v>
      </c>
      <c r="AF146" s="74">
        <f>AF103</f>
        <v>0</v>
      </c>
      <c r="AG146" s="74">
        <f>AG103</f>
        <v>0</v>
      </c>
      <c r="AH146" s="77">
        <f>SUM(AD146:AG146)</f>
        <v>0</v>
      </c>
      <c r="AI146" s="74">
        <f>AI103</f>
        <v>0</v>
      </c>
      <c r="AJ146" s="74">
        <f>AJ103</f>
        <v>0</v>
      </c>
      <c r="AK146" s="74">
        <f>AK103</f>
        <v>0</v>
      </c>
      <c r="AL146" s="74">
        <f>AL103</f>
        <v>0</v>
      </c>
      <c r="AM146" s="77">
        <f>SUM(AI146:AL146)</f>
        <v>0</v>
      </c>
      <c r="AN146" s="74">
        <f>AN103</f>
        <v>0</v>
      </c>
      <c r="AO146" s="74">
        <f>AO103</f>
        <v>0</v>
      </c>
      <c r="AP146" s="74">
        <f>AP103</f>
        <v>0</v>
      </c>
      <c r="AQ146" s="74">
        <f>AQ103</f>
        <v>0</v>
      </c>
      <c r="AR146" s="77">
        <f>SUM(AN146:AQ146)</f>
        <v>0</v>
      </c>
      <c r="AS146" s="74">
        <f>AS103</f>
        <v>0</v>
      </c>
      <c r="AT146" s="74">
        <f>AT103</f>
        <v>0</v>
      </c>
      <c r="AU146" s="74">
        <f>AU103</f>
        <v>0</v>
      </c>
      <c r="AV146" s="74">
        <f>AV103</f>
        <v>0</v>
      </c>
      <c r="AW146" s="77">
        <f>SUM(AS146:AV146)</f>
        <v>0</v>
      </c>
      <c r="AX146" s="74">
        <f>AX103</f>
        <v>0</v>
      </c>
      <c r="AY146" s="74">
        <f>AY103</f>
        <v>0</v>
      </c>
      <c r="AZ146" s="74">
        <f>AZ103</f>
        <v>0</v>
      </c>
      <c r="BA146" s="74">
        <f>BA103</f>
        <v>0</v>
      </c>
      <c r="BB146" s="77">
        <f>SUM(AX146:BA146)</f>
        <v>0</v>
      </c>
      <c r="BC146" s="74">
        <f>BC103</f>
        <v>0</v>
      </c>
      <c r="BD146" s="74">
        <f>BD103</f>
        <v>0</v>
      </c>
      <c r="BE146" s="74">
        <f>BE103</f>
        <v>0</v>
      </c>
      <c r="BF146" s="74">
        <f>BF103</f>
        <v>0</v>
      </c>
      <c r="BG146" s="77">
        <f>SUM(BC146:BF146)</f>
        <v>0</v>
      </c>
    </row>
    <row r="147">
      <c r="C147" s="11" t="inlineStr">
        <is>
          <t>NII ex-Markets (reportado; senão juros de empréstimos – juros de depósitos)</t>
        </is>
      </c>
      <c r="D147" s="12" t="inlineStr">
        <is>
          <t>NII ex-Markets</t>
        </is>
      </c>
      <c r="E147" s="57">
        <f>IF(AND(E$14=1,ISNUMBER('Inputs (2)'!E130),'Inputs (2)'!E130&lt;&gt;0),'Inputs (2)'!E130,E94+E99)</f>
        <v>0</v>
      </c>
      <c r="F147" s="57">
        <f>IF(AND(F$14=1,ISNUMBER('Inputs (2)'!F130),'Inputs (2)'!F130&lt;&gt;0),'Inputs (2)'!F130,F94+F99)</f>
        <v>0</v>
      </c>
      <c r="G147" s="57">
        <f>IF(AND(G$14=1,ISNUMBER('Inputs (2)'!G130),'Inputs (2)'!G130&lt;&gt;0),'Inputs (2)'!G130,G94+G99)</f>
        <v>0</v>
      </c>
      <c r="H147" s="57">
        <f>IF(AND(H$14=1,ISNUMBER('Inputs (2)'!H130),'Inputs (2)'!H130&lt;&gt;0),'Inputs (2)'!H130,H94+H99)</f>
        <v>0</v>
      </c>
      <c r="I147" s="77">
        <f>SUM(E147:H147)</f>
        <v>0</v>
      </c>
      <c r="J147" s="57">
        <f>IF(AND(J$14=1,ISNUMBER('Inputs (2)'!J130),'Inputs (2)'!J130&lt;&gt;0),'Inputs (2)'!J130,J94+J99)</f>
        <v>0</v>
      </c>
      <c r="K147" s="57">
        <f>IF(AND(K$14=1,ISNUMBER('Inputs (2)'!K130),'Inputs (2)'!K130&lt;&gt;0),'Inputs (2)'!K130,K94+K99)</f>
        <v>0</v>
      </c>
      <c r="L147" s="57">
        <f>IF(AND(L$14=1,ISNUMBER('Inputs (2)'!L130),'Inputs (2)'!L130&lt;&gt;0),'Inputs (2)'!L130,L94+L99)</f>
        <v>0</v>
      </c>
      <c r="M147" s="57">
        <f>IF(AND(M$14=1,ISNUMBER('Inputs (2)'!M130),'Inputs (2)'!M130&lt;&gt;0),'Inputs (2)'!M130,M94+M99)</f>
        <v>0</v>
      </c>
      <c r="N147" s="77">
        <f>SUM(J147:M147)</f>
        <v>0</v>
      </c>
      <c r="O147" s="57">
        <f>IF(AND(O$14=1,ISNUMBER('Inputs (2)'!O130),'Inputs (2)'!O130&lt;&gt;0),'Inputs (2)'!O130,O94+O99)</f>
        <v>0</v>
      </c>
      <c r="P147" s="57">
        <f>IF(AND(P$14=1,ISNUMBER('Inputs (2)'!P130),'Inputs (2)'!P130&lt;&gt;0),'Inputs (2)'!P130,P94+P99)</f>
        <v>0</v>
      </c>
      <c r="Q147" s="57">
        <f>IF(AND(Q$14=1,ISNUMBER('Inputs (2)'!Q130),'Inputs (2)'!Q130&lt;&gt;0),'Inputs (2)'!Q130,Q94+Q99)</f>
        <v>0</v>
      </c>
      <c r="R147" s="57">
        <f>IF(AND(R$14=1,ISNUMBER('Inputs (2)'!R130),'Inputs (2)'!R130&lt;&gt;0),'Inputs (2)'!R130,R94+R99)</f>
        <v>0</v>
      </c>
      <c r="S147" s="77">
        <f>SUM(O147:R147)</f>
        <v>0</v>
      </c>
      <c r="T147" s="57">
        <f>IF(AND(T$14=1,ISNUMBER('Inputs (2)'!T130),'Inputs (2)'!T130&lt;&gt;0),'Inputs (2)'!T130,T94+T99)</f>
        <v>0</v>
      </c>
      <c r="U147" s="57">
        <f>IF(AND(U$14=1,ISNUMBER('Inputs (2)'!U130),'Inputs (2)'!U130&lt;&gt;0),'Inputs (2)'!U130,U94+U99)</f>
        <v>0</v>
      </c>
      <c r="V147" s="57">
        <f>IF(AND(V$14=1,ISNUMBER('Inputs (2)'!V130),'Inputs (2)'!V130&lt;&gt;0),'Inputs (2)'!V130,V94+V99)</f>
        <v>0</v>
      </c>
      <c r="W147" s="57">
        <f>IF(AND(W$14=1,ISNUMBER('Inputs (2)'!W130),'Inputs (2)'!W130&lt;&gt;0),'Inputs (2)'!W130,W94+W99)</f>
        <v>0</v>
      </c>
      <c r="X147" s="77">
        <f>SUM(T147:W147)</f>
        <v>0</v>
      </c>
      <c r="Y147" s="57">
        <f>IF(AND(Y$14=1,ISNUMBER('Inputs (2)'!Y130),'Inputs (2)'!Y130&lt;&gt;0),'Inputs (2)'!Y130,Y94+Y99)</f>
        <v>0</v>
      </c>
      <c r="Z147" s="57">
        <f>IF(AND(Z$14=1,ISNUMBER('Inputs (2)'!Z130),'Inputs (2)'!Z130&lt;&gt;0),'Inputs (2)'!Z130,Z94+Z99)</f>
        <v>0</v>
      </c>
      <c r="AA147" s="57">
        <f>IF(AND(AA$14=1,ISNUMBER('Inputs (2)'!AA130),'Inputs (2)'!AA130&lt;&gt;0),'Inputs (2)'!AA130,AA94+AA99)</f>
        <v>0</v>
      </c>
      <c r="AB147" s="57">
        <f>IF(AND(AB$14=1,ISNUMBER('Inputs (2)'!AB130),'Inputs (2)'!AB130&lt;&gt;0),'Inputs (2)'!AB130,AB94+AB99)</f>
        <v>0</v>
      </c>
      <c r="AC147" s="77">
        <f>SUM(Y147:AB147)</f>
        <v>0</v>
      </c>
      <c r="AD147" s="57">
        <f>IF(AND(AD$14=1,ISNUMBER('Inputs (2)'!AD130),'Inputs (2)'!AD130&lt;&gt;0),'Inputs (2)'!AD130,AD94+AD99)</f>
        <v>0</v>
      </c>
      <c r="AE147" s="57">
        <f>IF(AND(AE$14=1,ISNUMBER('Inputs (2)'!AE130),'Inputs (2)'!AE130&lt;&gt;0),'Inputs (2)'!AE130,AE94+AE99)</f>
        <v>0</v>
      </c>
      <c r="AF147" s="57">
        <f>IF(AND(AF$14=1,ISNUMBER('Inputs (2)'!AF130),'Inputs (2)'!AF130&lt;&gt;0),'Inputs (2)'!AF130,AF94+AF99)</f>
        <v>0</v>
      </c>
      <c r="AG147" s="57">
        <f>IF(AND(AG$14=1,ISNUMBER('Inputs (2)'!AG130),'Inputs (2)'!AG130&lt;&gt;0),'Inputs (2)'!AG130,AG94+AG99)</f>
        <v>0</v>
      </c>
      <c r="AH147" s="77">
        <f>SUM(AD147:AG147)</f>
        <v>0</v>
      </c>
      <c r="AI147" s="57">
        <f>IF(AND(AI$14=1,ISNUMBER('Inputs (2)'!AI130),'Inputs (2)'!AI130&lt;&gt;0),'Inputs (2)'!AI130,AI94+AI99)</f>
        <v>0</v>
      </c>
      <c r="AJ147" s="57">
        <f>IF(AND(AJ$14=1,ISNUMBER('Inputs (2)'!AJ130),'Inputs (2)'!AJ130&lt;&gt;0),'Inputs (2)'!AJ130,AJ94+AJ99)</f>
        <v>0</v>
      </c>
      <c r="AK147" s="57">
        <f>IF(AND(AK$14=1,ISNUMBER('Inputs (2)'!AK130),'Inputs (2)'!AK130&lt;&gt;0),'Inputs (2)'!AK130,AK94+AK99)</f>
        <v>0</v>
      </c>
      <c r="AL147" s="57">
        <f>IF(AND(AL$14=1,ISNUMBER('Inputs (2)'!AL130),'Inputs (2)'!AL130&lt;&gt;0),'Inputs (2)'!AL130,AL94+AL99)</f>
        <v>0</v>
      </c>
      <c r="AM147" s="77">
        <f>SUM(AI147:AL147)</f>
        <v>0</v>
      </c>
      <c r="AN147" s="57">
        <f>IF(AND(AN$14=1,ISNUMBER('Inputs (2)'!AN130),'Inputs (2)'!AN130&lt;&gt;0),'Inputs (2)'!AN130,AN94+AN99)</f>
        <v>0</v>
      </c>
      <c r="AO147" s="57">
        <f>IF(AND(AO$14=1,ISNUMBER('Inputs (2)'!AO130),'Inputs (2)'!AO130&lt;&gt;0),'Inputs (2)'!AO130,AO94+AO99)</f>
        <v>0</v>
      </c>
      <c r="AP147" s="57">
        <f>IF(AND(AP$14=1,ISNUMBER('Inputs (2)'!AP130),'Inputs (2)'!AP130&lt;&gt;0),'Inputs (2)'!AP130,AP94+AP99)</f>
        <v>0</v>
      </c>
      <c r="AQ147" s="57">
        <f>IF(AND(AQ$14=1,ISNUMBER('Inputs (2)'!AQ130),'Inputs (2)'!AQ130&lt;&gt;0),'Inputs (2)'!AQ130,AQ94+AQ99)</f>
        <v>0</v>
      </c>
      <c r="AR147" s="77">
        <f>SUM(AN147:AQ147)</f>
        <v>0</v>
      </c>
      <c r="AS147" s="57">
        <f>IF(AND(AS$14=1,ISNUMBER('Inputs (2)'!AS130),'Inputs (2)'!AS130&lt;&gt;0),'Inputs (2)'!AS130,AS94+AS99)</f>
        <v>0</v>
      </c>
      <c r="AT147" s="57">
        <f>IF(AND(AT$14=1,ISNUMBER('Inputs (2)'!AT130),'Inputs (2)'!AT130&lt;&gt;0),'Inputs (2)'!AT130,AT94+AT99)</f>
        <v>0</v>
      </c>
      <c r="AU147" s="57">
        <f>IF(AND(AU$14=1,ISNUMBER('Inputs (2)'!AU130),'Inputs (2)'!AU130&lt;&gt;0),'Inputs (2)'!AU130,AU94+AU99)</f>
        <v>0</v>
      </c>
      <c r="AV147" s="57">
        <f>IF(AND(AV$14=1,ISNUMBER('Inputs (2)'!AV130),'Inputs (2)'!AV130&lt;&gt;0),'Inputs (2)'!AV130,AV94+AV99)</f>
        <v>0</v>
      </c>
      <c r="AW147" s="77">
        <f>SUM(AS147:AV147)</f>
        <v>0</v>
      </c>
      <c r="AX147" s="57">
        <f>IF(AND(AX$14=1,ISNUMBER('Inputs (2)'!AX130),'Inputs (2)'!AX130&lt;&gt;0),'Inputs (2)'!AX130,AX94+AX99)</f>
        <v>0</v>
      </c>
      <c r="AY147" s="57">
        <f>IF(AND(AY$14=1,ISNUMBER('Inputs (2)'!AY130),'Inputs (2)'!AY130&lt;&gt;0),'Inputs (2)'!AY130,AY94+AY99)</f>
        <v>0</v>
      </c>
      <c r="AZ147" s="57">
        <f>IF(AND(AZ$14=1,ISNUMBER('Inputs (2)'!AZ130),'Inputs (2)'!AZ130&lt;&gt;0),'Inputs (2)'!AZ130,AZ94+AZ99)</f>
        <v>0</v>
      </c>
      <c r="BA147" s="57">
        <f>IF(AND(BA$14=1,ISNUMBER('Inputs (2)'!BA130),'Inputs (2)'!BA130&lt;&gt;0),'Inputs (2)'!BA130,BA94+BA99)</f>
        <v>0</v>
      </c>
      <c r="BB147" s="77">
        <f>SUM(AX147:BA147)</f>
        <v>0</v>
      </c>
      <c r="BC147" s="57">
        <f>IF(AND(BC$14=1,ISNUMBER('Inputs (2)'!BC130),'Inputs (2)'!BC130&lt;&gt;0),'Inputs (2)'!BC130,BC94+BC99)</f>
        <v>0</v>
      </c>
      <c r="BD147" s="57">
        <f>IF(AND(BD$14=1,ISNUMBER('Inputs (2)'!BD130),'Inputs (2)'!BD130&lt;&gt;0),'Inputs (2)'!BD130,BD94+BD99)</f>
        <v>0</v>
      </c>
      <c r="BE147" s="57">
        <f>IF(AND(BE$14=1,ISNUMBER('Inputs (2)'!BE130),'Inputs (2)'!BE130&lt;&gt;0),'Inputs (2)'!BE130,BE94+BE99)</f>
        <v>0</v>
      </c>
      <c r="BF147" s="57">
        <f>IF(AND(BF$14=1,ISNUMBER('Inputs (2)'!BF130),'Inputs (2)'!BF130&lt;&gt;0),'Inputs (2)'!BF130,BF94+BF99)</f>
        <v>0</v>
      </c>
      <c r="BG147" s="77">
        <f>SUM(BC147:BF147)</f>
        <v>0</v>
      </c>
      <c r="BI147" s="14" t="inlineStr">
        <is>
          <t>Usa a abertura reportada quando ela existe em Inputs (2); caso contrário aproxima por receita de crédito menos despesa de captação.</t>
        </is>
      </c>
    </row>
    <row r="148">
      <c r="C148" s="11" t="inlineStr">
        <is>
          <t>NII de Markets e tesouraria (por diferença)</t>
        </is>
      </c>
      <c r="D148" s="12" t="inlineStr">
        <is>
          <t>Markets and treasury NII</t>
        </is>
      </c>
      <c r="E148" s="74">
        <f>E146-E147</f>
        <v>0</v>
      </c>
      <c r="F148" s="74">
        <f>F146-F147</f>
        <v>0</v>
      </c>
      <c r="G148" s="74">
        <f>G146-G147</f>
        <v>0</v>
      </c>
      <c r="H148" s="74">
        <f>H146-H147</f>
        <v>0</v>
      </c>
      <c r="I148" s="77">
        <f>SUM(E148:H148)</f>
        <v>0</v>
      </c>
      <c r="J148" s="74">
        <f>J146-J147</f>
        <v>0</v>
      </c>
      <c r="K148" s="74">
        <f>K146-K147</f>
        <v>0</v>
      </c>
      <c r="L148" s="74">
        <f>L146-L147</f>
        <v>0</v>
      </c>
      <c r="M148" s="74">
        <f>M146-M147</f>
        <v>0</v>
      </c>
      <c r="N148" s="77">
        <f>SUM(J148:M148)</f>
        <v>0</v>
      </c>
      <c r="O148" s="74">
        <f>O146-O147</f>
        <v>0</v>
      </c>
      <c r="P148" s="74">
        <f>P146-P147</f>
        <v>0</v>
      </c>
      <c r="Q148" s="74">
        <f>Q146-Q147</f>
        <v>0</v>
      </c>
      <c r="R148" s="74">
        <f>R146-R147</f>
        <v>0</v>
      </c>
      <c r="S148" s="77">
        <f>SUM(O148:R148)</f>
        <v>0</v>
      </c>
      <c r="T148" s="74">
        <f>T146-T147</f>
        <v>0</v>
      </c>
      <c r="U148" s="74">
        <f>U146-U147</f>
        <v>0</v>
      </c>
      <c r="V148" s="74">
        <f>V146-V147</f>
        <v>0</v>
      </c>
      <c r="W148" s="74">
        <f>W146-W147</f>
        <v>0</v>
      </c>
      <c r="X148" s="77">
        <f>SUM(T148:W148)</f>
        <v>0</v>
      </c>
      <c r="Y148" s="74">
        <f>Y146-Y147</f>
        <v>0</v>
      </c>
      <c r="Z148" s="74">
        <f>Z146-Z147</f>
        <v>0</v>
      </c>
      <c r="AA148" s="74">
        <f>AA146-AA147</f>
        <v>0</v>
      </c>
      <c r="AB148" s="74">
        <f>AB146-AB147</f>
        <v>0</v>
      </c>
      <c r="AC148" s="77">
        <f>SUM(Y148:AB148)</f>
        <v>0</v>
      </c>
      <c r="AD148" s="74">
        <f>AD146-AD147</f>
        <v>0</v>
      </c>
      <c r="AE148" s="74">
        <f>AE146-AE147</f>
        <v>0</v>
      </c>
      <c r="AF148" s="74">
        <f>AF146-AF147</f>
        <v>0</v>
      </c>
      <c r="AG148" s="74">
        <f>AG146-AG147</f>
        <v>0</v>
      </c>
      <c r="AH148" s="77">
        <f>SUM(AD148:AG148)</f>
        <v>0</v>
      </c>
      <c r="AI148" s="74">
        <f>AI146-AI147</f>
        <v>0</v>
      </c>
      <c r="AJ148" s="74">
        <f>AJ146-AJ147</f>
        <v>0</v>
      </c>
      <c r="AK148" s="74">
        <f>AK146-AK147</f>
        <v>0</v>
      </c>
      <c r="AL148" s="74">
        <f>AL146-AL147</f>
        <v>0</v>
      </c>
      <c r="AM148" s="77">
        <f>SUM(AI148:AL148)</f>
        <v>0</v>
      </c>
      <c r="AN148" s="74">
        <f>AN146-AN147</f>
        <v>0</v>
      </c>
      <c r="AO148" s="74">
        <f>AO146-AO147</f>
        <v>0</v>
      </c>
      <c r="AP148" s="74">
        <f>AP146-AP147</f>
        <v>0</v>
      </c>
      <c r="AQ148" s="74">
        <f>AQ146-AQ147</f>
        <v>0</v>
      </c>
      <c r="AR148" s="77">
        <f>SUM(AN148:AQ148)</f>
        <v>0</v>
      </c>
      <c r="AS148" s="74">
        <f>AS146-AS147</f>
        <v>0</v>
      </c>
      <c r="AT148" s="74">
        <f>AT146-AT147</f>
        <v>0</v>
      </c>
      <c r="AU148" s="74">
        <f>AU146-AU147</f>
        <v>0</v>
      </c>
      <c r="AV148" s="74">
        <f>AV146-AV147</f>
        <v>0</v>
      </c>
      <c r="AW148" s="77">
        <f>SUM(AS148:AV148)</f>
        <v>0</v>
      </c>
      <c r="AX148" s="74">
        <f>AX146-AX147</f>
        <v>0</v>
      </c>
      <c r="AY148" s="74">
        <f>AY146-AY147</f>
        <v>0</v>
      </c>
      <c r="AZ148" s="74">
        <f>AZ146-AZ147</f>
        <v>0</v>
      </c>
      <c r="BA148" s="74">
        <f>BA146-BA147</f>
        <v>0</v>
      </c>
      <c r="BB148" s="77">
        <f>SUM(AX148:BA148)</f>
        <v>0</v>
      </c>
      <c r="BC148" s="74">
        <f>BC146-BC147</f>
        <v>0</v>
      </c>
      <c r="BD148" s="74">
        <f>BD146-BD147</f>
        <v>0</v>
      </c>
      <c r="BE148" s="74">
        <f>BE146-BE147</f>
        <v>0</v>
      </c>
      <c r="BF148" s="74">
        <f>BF146-BF147</f>
        <v>0</v>
      </c>
      <c r="BG148" s="77">
        <f>SUM(BC148:BF148)</f>
        <v>0</v>
      </c>
    </row>
    <row r="149">
      <c r="C149" s="11" t="inlineStr">
        <is>
          <t>Receita líquida total (total net revenue)</t>
        </is>
      </c>
      <c r="D149" s="12" t="inlineStr">
        <is>
          <t>Total net revenue</t>
        </is>
      </c>
      <c r="E149" s="74">
        <f>E103+E109+E110+E119</f>
        <v>0</v>
      </c>
      <c r="F149" s="74">
        <f>F103+F109+F110+F119</f>
        <v>0</v>
      </c>
      <c r="G149" s="74">
        <f>G103+G109+G110+G119</f>
        <v>0</v>
      </c>
      <c r="H149" s="74">
        <f>H103+H109+H110+H119</f>
        <v>0</v>
      </c>
      <c r="I149" s="77">
        <f>SUM(E149:H149)</f>
        <v>0</v>
      </c>
      <c r="J149" s="74">
        <f>J103+J109+J110+J119</f>
        <v>0</v>
      </c>
      <c r="K149" s="74">
        <f>K103+K109+K110+K119</f>
        <v>0</v>
      </c>
      <c r="L149" s="74">
        <f>L103+L109+L110+L119</f>
        <v>0</v>
      </c>
      <c r="M149" s="74">
        <f>M103+M109+M110+M119</f>
        <v>0</v>
      </c>
      <c r="N149" s="77">
        <f>SUM(J149:M149)</f>
        <v>0</v>
      </c>
      <c r="O149" s="74">
        <f>O103+O109+O110+O119</f>
        <v>0</v>
      </c>
      <c r="P149" s="74">
        <f>P103+P109+P110+P119</f>
        <v>0</v>
      </c>
      <c r="Q149" s="74">
        <f>Q103+Q109+Q110+Q119</f>
        <v>0</v>
      </c>
      <c r="R149" s="74">
        <f>R103+R109+R110+R119</f>
        <v>0</v>
      </c>
      <c r="S149" s="77">
        <f>SUM(O149:R149)</f>
        <v>0</v>
      </c>
      <c r="T149" s="74">
        <f>T103+T109+T110+T119</f>
        <v>0</v>
      </c>
      <c r="U149" s="74">
        <f>U103+U109+U110+U119</f>
        <v>0</v>
      </c>
      <c r="V149" s="74">
        <f>V103+V109+V110+V119</f>
        <v>0</v>
      </c>
      <c r="W149" s="74">
        <f>W103+W109+W110+W119</f>
        <v>0</v>
      </c>
      <c r="X149" s="77">
        <f>SUM(T149:W149)</f>
        <v>0</v>
      </c>
      <c r="Y149" s="74">
        <f>Y103+Y109+Y110+Y119</f>
        <v>0</v>
      </c>
      <c r="Z149" s="74">
        <f>Z103+Z109+Z110+Z119</f>
        <v>0</v>
      </c>
      <c r="AA149" s="74">
        <f>AA103+AA109+AA110+AA119</f>
        <v>0</v>
      </c>
      <c r="AB149" s="74">
        <f>AB103+AB109+AB110+AB119</f>
        <v>0</v>
      </c>
      <c r="AC149" s="77">
        <f>SUM(Y149:AB149)</f>
        <v>0</v>
      </c>
      <c r="AD149" s="74">
        <f>AD103+AD109+AD110+AD119</f>
        <v>0</v>
      </c>
      <c r="AE149" s="74">
        <f>AE103+AE109+AE110+AE119</f>
        <v>0</v>
      </c>
      <c r="AF149" s="74">
        <f>AF103+AF109+AF110+AF119</f>
        <v>0</v>
      </c>
      <c r="AG149" s="74">
        <f>AG103+AG109+AG110+AG119</f>
        <v>0</v>
      </c>
      <c r="AH149" s="77">
        <f>SUM(AD149:AG149)</f>
        <v>0</v>
      </c>
      <c r="AI149" s="74">
        <f>AI103+AI109+AI110+AI119</f>
        <v>0</v>
      </c>
      <c r="AJ149" s="74">
        <f>AJ103+AJ109+AJ110+AJ119</f>
        <v>0</v>
      </c>
      <c r="AK149" s="74">
        <f>AK103+AK109+AK110+AK119</f>
        <v>0</v>
      </c>
      <c r="AL149" s="74">
        <f>AL103+AL109+AL110+AL119</f>
        <v>0</v>
      </c>
      <c r="AM149" s="77">
        <f>SUM(AI149:AL149)</f>
        <v>0</v>
      </c>
      <c r="AN149" s="74">
        <f>AN103+AN109+AN110+AN119</f>
        <v>0</v>
      </c>
      <c r="AO149" s="74">
        <f>AO103+AO109+AO110+AO119</f>
        <v>0</v>
      </c>
      <c r="AP149" s="74">
        <f>AP103+AP109+AP110+AP119</f>
        <v>0</v>
      </c>
      <c r="AQ149" s="74">
        <f>AQ103+AQ109+AQ110+AQ119</f>
        <v>0</v>
      </c>
      <c r="AR149" s="77">
        <f>SUM(AN149:AQ149)</f>
        <v>0</v>
      </c>
      <c r="AS149" s="74">
        <f>AS103+AS109+AS110+AS119</f>
        <v>0</v>
      </c>
      <c r="AT149" s="74">
        <f>AT103+AT109+AT110+AT119</f>
        <v>0</v>
      </c>
      <c r="AU149" s="74">
        <f>AU103+AU109+AU110+AU119</f>
        <v>0</v>
      </c>
      <c r="AV149" s="74">
        <f>AV103+AV109+AV110+AV119</f>
        <v>0</v>
      </c>
      <c r="AW149" s="77">
        <f>SUM(AS149:AV149)</f>
        <v>0</v>
      </c>
      <c r="AX149" s="74">
        <f>AX103+AX109+AX110+AX119</f>
        <v>0</v>
      </c>
      <c r="AY149" s="74">
        <f>AY103+AY109+AY110+AY119</f>
        <v>0</v>
      </c>
      <c r="AZ149" s="74">
        <f>AZ103+AZ109+AZ110+AZ119</f>
        <v>0</v>
      </c>
      <c r="BA149" s="74">
        <f>BA103+BA109+BA110+BA119</f>
        <v>0</v>
      </c>
      <c r="BB149" s="77">
        <f>SUM(AX149:BA149)</f>
        <v>0</v>
      </c>
      <c r="BC149" s="74">
        <f>BC103+BC109+BC110+BC119</f>
        <v>0</v>
      </c>
      <c r="BD149" s="74">
        <f>BD103+BD109+BD110+BD119</f>
        <v>0</v>
      </c>
      <c r="BE149" s="74">
        <f>BE103+BE109+BE110+BE119</f>
        <v>0</v>
      </c>
      <c r="BF149" s="74">
        <f>BF103+BF109+BF110+BF119</f>
        <v>0</v>
      </c>
      <c r="BG149" s="77">
        <f>SUM(BC149:BF149)</f>
        <v>0</v>
      </c>
      <c r="BI149" s="14" t="inlineStr">
        <is>
          <t>Base do índice de eficiência: margem financeira bruta + serviços + seguros + outras receitas operacionais.</t>
        </is>
      </c>
    </row>
    <row r="150">
      <c r="C150" s="11" t="inlineStr">
        <is>
          <t>Despesas não-juros (noninterest expense)</t>
        </is>
      </c>
      <c r="D150" s="12" t="inlineStr">
        <is>
          <t>Noninterest expense</t>
        </is>
      </c>
      <c r="E150" s="74">
        <f>-(E111+E112+E117+E120)</f>
        <v>0</v>
      </c>
      <c r="F150" s="74">
        <f>-(F111+F112+F117+F120)</f>
        <v>0</v>
      </c>
      <c r="G150" s="74">
        <f>-(G111+G112+G117+G120)</f>
        <v>0</v>
      </c>
      <c r="H150" s="74">
        <f>-(H111+H112+H117+H120)</f>
        <v>0</v>
      </c>
      <c r="I150" s="77">
        <f>SUM(E150:H150)</f>
        <v>0</v>
      </c>
      <c r="J150" s="74">
        <f>-(J111+J112+J117+J120)</f>
        <v>0</v>
      </c>
      <c r="K150" s="74">
        <f>-(K111+K112+K117+K120)</f>
        <v>0</v>
      </c>
      <c r="L150" s="74">
        <f>-(L111+L112+L117+L120)</f>
        <v>0</v>
      </c>
      <c r="M150" s="74">
        <f>-(M111+M112+M117+M120)</f>
        <v>0</v>
      </c>
      <c r="N150" s="77">
        <f>SUM(J150:M150)</f>
        <v>0</v>
      </c>
      <c r="O150" s="74">
        <f>-(O111+O112+O117+O120)</f>
        <v>0</v>
      </c>
      <c r="P150" s="74">
        <f>-(P111+P112+P117+P120)</f>
        <v>0</v>
      </c>
      <c r="Q150" s="74">
        <f>-(Q111+Q112+Q117+Q120)</f>
        <v>0</v>
      </c>
      <c r="R150" s="74">
        <f>-(R111+R112+R117+R120)</f>
        <v>0</v>
      </c>
      <c r="S150" s="77">
        <f>SUM(O150:R150)</f>
        <v>0</v>
      </c>
      <c r="T150" s="74">
        <f>-(T111+T112+T117+T120)</f>
        <v>0</v>
      </c>
      <c r="U150" s="74">
        <f>-(U111+U112+U117+U120)</f>
        <v>0</v>
      </c>
      <c r="V150" s="74">
        <f>-(V111+V112+V117+V120)</f>
        <v>0</v>
      </c>
      <c r="W150" s="74">
        <f>-(W111+W112+W117+W120)</f>
        <v>0</v>
      </c>
      <c r="X150" s="77">
        <f>SUM(T150:W150)</f>
        <v>0</v>
      </c>
      <c r="Y150" s="74">
        <f>-(Y111+Y112+Y117+Y120)</f>
        <v>0</v>
      </c>
      <c r="Z150" s="74">
        <f>-(Z111+Z112+Z117+Z120)</f>
        <v>0</v>
      </c>
      <c r="AA150" s="74">
        <f>-(AA111+AA112+AA117+AA120)</f>
        <v>0</v>
      </c>
      <c r="AB150" s="74">
        <f>-(AB111+AB112+AB117+AB120)</f>
        <v>0</v>
      </c>
      <c r="AC150" s="77">
        <f>SUM(Y150:AB150)</f>
        <v>0</v>
      </c>
      <c r="AD150" s="74">
        <f>-(AD111+AD112+AD117+AD120)</f>
        <v>0</v>
      </c>
      <c r="AE150" s="74">
        <f>-(AE111+AE112+AE117+AE120)</f>
        <v>0</v>
      </c>
      <c r="AF150" s="74">
        <f>-(AF111+AF112+AF117+AF120)</f>
        <v>0</v>
      </c>
      <c r="AG150" s="74">
        <f>-(AG111+AG112+AG117+AG120)</f>
        <v>0</v>
      </c>
      <c r="AH150" s="77">
        <f>SUM(AD150:AG150)</f>
        <v>0</v>
      </c>
      <c r="AI150" s="74">
        <f>-(AI111+AI112+AI117+AI120)</f>
        <v>0</v>
      </c>
      <c r="AJ150" s="74">
        <f>-(AJ111+AJ112+AJ117+AJ120)</f>
        <v>0</v>
      </c>
      <c r="AK150" s="74">
        <f>-(AK111+AK112+AK117+AK120)</f>
        <v>0</v>
      </c>
      <c r="AL150" s="74">
        <f>-(AL111+AL112+AL117+AL120)</f>
        <v>0</v>
      </c>
      <c r="AM150" s="77">
        <f>SUM(AI150:AL150)</f>
        <v>0</v>
      </c>
      <c r="AN150" s="74">
        <f>-(AN111+AN112+AN117+AN120)</f>
        <v>0</v>
      </c>
      <c r="AO150" s="74">
        <f>-(AO111+AO112+AO117+AO120)</f>
        <v>0</v>
      </c>
      <c r="AP150" s="74">
        <f>-(AP111+AP112+AP117+AP120)</f>
        <v>0</v>
      </c>
      <c r="AQ150" s="74">
        <f>-(AQ111+AQ112+AQ117+AQ120)</f>
        <v>0</v>
      </c>
      <c r="AR150" s="77">
        <f>SUM(AN150:AQ150)</f>
        <v>0</v>
      </c>
      <c r="AS150" s="74">
        <f>-(AS111+AS112+AS117+AS120)</f>
        <v>0</v>
      </c>
      <c r="AT150" s="74">
        <f>-(AT111+AT112+AT117+AT120)</f>
        <v>0</v>
      </c>
      <c r="AU150" s="74">
        <f>-(AU111+AU112+AU117+AU120)</f>
        <v>0</v>
      </c>
      <c r="AV150" s="74">
        <f>-(AV111+AV112+AV117+AV120)</f>
        <v>0</v>
      </c>
      <c r="AW150" s="77">
        <f>SUM(AS150:AV150)</f>
        <v>0</v>
      </c>
      <c r="AX150" s="74">
        <f>-(AX111+AX112+AX117+AX120)</f>
        <v>0</v>
      </c>
      <c r="AY150" s="74">
        <f>-(AY111+AY112+AY117+AY120)</f>
        <v>0</v>
      </c>
      <c r="AZ150" s="74">
        <f>-(AZ111+AZ112+AZ117+AZ120)</f>
        <v>0</v>
      </c>
      <c r="BA150" s="74">
        <f>-(BA111+BA112+BA117+BA120)</f>
        <v>0</v>
      </c>
      <c r="BB150" s="77">
        <f>SUM(AX150:BA150)</f>
        <v>0</v>
      </c>
      <c r="BC150" s="74">
        <f>-(BC111+BC112+BC117+BC120)</f>
        <v>0</v>
      </c>
      <c r="BD150" s="74">
        <f>-(BD111+BD112+BD117+BD120)</f>
        <v>0</v>
      </c>
      <c r="BE150" s="74">
        <f>-(BE111+BE112+BE117+BE120)</f>
        <v>0</v>
      </c>
      <c r="BF150" s="74">
        <f>-(BF111+BF112+BF117+BF120)</f>
        <v>0</v>
      </c>
      <c r="BG150" s="77">
        <f>SUM(BC150:BF150)</f>
        <v>0</v>
      </c>
    </row>
    <row r="152">
      <c r="B152" s="7" t="n"/>
      <c r="C152" s="7" t="str">
        <f>"SEGMENTOS DE NEGÓCIO — histórico reportado ("&amp;Inputs!$E$202&amp;"; projeção fica a critério do analista)"</f>
        <v>SEGMENTOS DE NEGÓCIO — histórico reportado (US$ milhões; projeção fica a critério do analista)</v>
      </c>
      <c r="D152" s="7" t="inlineStr">
        <is>
          <t>BUSINESS SEGMENTS</t>
        </is>
      </c>
      <c r="E152" s="7" t="n"/>
      <c r="F152" s="7" t="n"/>
      <c r="G152" s="7" t="n"/>
      <c r="H152" s="7" t="n"/>
      <c r="I152" s="7" t="n"/>
      <c r="J152" s="7" t="n"/>
      <c r="K152" s="7" t="n"/>
      <c r="L152" s="7" t="n"/>
      <c r="M152" s="7" t="n"/>
      <c r="N152" s="7" t="n"/>
      <c r="O152" s="7" t="n"/>
      <c r="P152" s="7" t="n"/>
      <c r="Q152" s="7" t="n"/>
      <c r="R152" s="7" t="n"/>
      <c r="S152" s="7" t="n"/>
      <c r="T152" s="7" t="n"/>
      <c r="U152" s="7" t="n"/>
      <c r="V152" s="7" t="n"/>
      <c r="W152" s="7" t="n"/>
      <c r="X152" s="7" t="n"/>
      <c r="Y152" s="7" t="n"/>
      <c r="Z152" s="7" t="n"/>
      <c r="AA152" s="7" t="n"/>
      <c r="AB152" s="7" t="n"/>
      <c r="AC152" s="7" t="n"/>
      <c r="AD152" s="7" t="n"/>
      <c r="AE152" s="7" t="n"/>
      <c r="AF152" s="7" t="n"/>
      <c r="AG152" s="7" t="n"/>
      <c r="AH152" s="7" t="n"/>
      <c r="AI152" s="7" t="n"/>
      <c r="AJ152" s="7" t="n"/>
      <c r="AK152" s="7" t="n"/>
      <c r="AL152" s="7" t="n"/>
      <c r="AM152" s="7" t="n"/>
      <c r="AN152" s="7" t="n"/>
      <c r="AO152" s="7" t="n"/>
      <c r="AP152" s="7" t="n"/>
      <c r="AQ152" s="7" t="n"/>
      <c r="AR152" s="7" t="n"/>
      <c r="AS152" s="7" t="n"/>
      <c r="AT152" s="7" t="n"/>
      <c r="AU152" s="7" t="n"/>
      <c r="AV152" s="7" t="n"/>
      <c r="AW152" s="7" t="n"/>
      <c r="AX152" s="7" t="n"/>
      <c r="AY152" s="7" t="n"/>
      <c r="AZ152" s="7" t="n"/>
      <c r="BA152" s="7" t="n"/>
      <c r="BB152" s="7" t="n"/>
      <c r="BC152" s="7" t="n"/>
      <c r="BD152" s="7" t="n"/>
      <c r="BE152" s="7" t="n"/>
      <c r="BF152" s="7" t="n"/>
      <c r="BG152" s="7" t="n"/>
      <c r="BH152" s="7" t="n"/>
      <c r="BI152" s="7" t="n"/>
    </row>
    <row r="153">
      <c r="C153" s="11" t="inlineStr">
        <is>
          <t>Segmento 1 — receita líquida</t>
        </is>
      </c>
      <c r="D153" s="12" t="inlineStr">
        <is>
          <t>Segment 1 revenue</t>
        </is>
      </c>
      <c r="E153" s="74" t="str">
        <f>IF(E$14=1,IF(ISNUMBER('Inputs (2)'!E166),'Inputs (2)'!E166,""),"")</f>
        <v/>
      </c>
      <c r="F153" s="74" t="str">
        <f>IF(F$14=1,IF(ISNUMBER('Inputs (2)'!F166),'Inputs (2)'!F166,""),"")</f>
        <v/>
      </c>
      <c r="G153" s="74" t="str">
        <f>IF(G$14=1,IF(ISNUMBER('Inputs (2)'!G166),'Inputs (2)'!G166,""),"")</f>
        <v/>
      </c>
      <c r="H153" s="74" t="str">
        <f>IF(H$14=1,IF(ISNUMBER('Inputs (2)'!H166),'Inputs (2)'!H166,""),"")</f>
        <v/>
      </c>
      <c r="I153" s="77" t="str">
        <f>IF(COUNT(E153:H153)=4,SUM(E153:H153),"")</f>
        <v/>
      </c>
      <c r="J153" s="74" t="str">
        <f>IF(J$14=1,IF(ISNUMBER('Inputs (2)'!J166),'Inputs (2)'!J166,""),"")</f>
        <v/>
      </c>
      <c r="K153" s="74" t="str">
        <f>IF(K$14=1,IF(ISNUMBER('Inputs (2)'!K166),'Inputs (2)'!K166,""),"")</f>
        <v/>
      </c>
      <c r="L153" s="74" t="str">
        <f>IF(L$14=1,IF(ISNUMBER('Inputs (2)'!L166),'Inputs (2)'!L166,""),"")</f>
        <v/>
      </c>
      <c r="M153" s="74" t="str">
        <f>IF(M$14=1,IF(ISNUMBER('Inputs (2)'!M166),'Inputs (2)'!M166,""),"")</f>
        <v/>
      </c>
      <c r="N153" s="77" t="str">
        <f>IF(COUNT(J153:M153)=4,SUM(J153:M153),"")</f>
        <v/>
      </c>
      <c r="O153" s="74" t="str">
        <f>IF(O$14=1,IF(ISNUMBER('Inputs (2)'!O166),'Inputs (2)'!O166,""),"")</f>
        <v/>
      </c>
      <c r="P153" s="74" t="str">
        <f>IF(P$14=1,IF(ISNUMBER('Inputs (2)'!P166),'Inputs (2)'!P166,""),"")</f>
        <v/>
      </c>
      <c r="Q153" s="74" t="str">
        <f>IF(Q$14=1,IF(ISNUMBER('Inputs (2)'!Q166),'Inputs (2)'!Q166,""),"")</f>
        <v/>
      </c>
      <c r="R153" s="74" t="str">
        <f>IF(R$14=1,IF(ISNUMBER('Inputs (2)'!R166),'Inputs (2)'!R166,""),"")</f>
        <v/>
      </c>
      <c r="S153" s="77" t="str">
        <f>IF(COUNT(O153:R153)=4,SUM(O153:R153),"")</f>
        <v/>
      </c>
      <c r="T153" s="74" t="str">
        <f>IF(T$14=1,IF(ISNUMBER('Inputs (2)'!T166),'Inputs (2)'!T166,""),"")</f>
        <v/>
      </c>
      <c r="U153" s="74" t="str">
        <f>IF(U$14=1,IF(ISNUMBER('Inputs (2)'!U166),'Inputs (2)'!U166,""),"")</f>
        <v/>
      </c>
      <c r="V153" s="74" t="str">
        <f>IF(V$14=1,IF(ISNUMBER('Inputs (2)'!V166),'Inputs (2)'!V166,""),"")</f>
        <v/>
      </c>
      <c r="W153" s="74" t="str">
        <f>IF(W$14=1,IF(ISNUMBER('Inputs (2)'!W166),'Inputs (2)'!W166,""),"")</f>
        <v/>
      </c>
      <c r="X153" s="77" t="str">
        <f>IF(COUNT(T153:W153)=4,SUM(T153:W153),"")</f>
        <v/>
      </c>
      <c r="Y153" s="74" t="str">
        <f>IF(Y$14=1,IF(ISNUMBER('Inputs (2)'!Y166),'Inputs (2)'!Y166,""),"")</f>
        <v/>
      </c>
      <c r="Z153" s="74" t="str">
        <f>IF(Z$14=1,IF(ISNUMBER('Inputs (2)'!Z166),'Inputs (2)'!Z166,""),"")</f>
        <v/>
      </c>
      <c r="AA153" s="74" t="str">
        <f>IF(AA$14=1,IF(ISNUMBER('Inputs (2)'!AA166),'Inputs (2)'!AA166,""),"")</f>
        <v/>
      </c>
      <c r="AB153" s="74" t="str">
        <f>IF(AB$14=1,IF(ISNUMBER('Inputs (2)'!AB166),'Inputs (2)'!AB166,""),"")</f>
        <v/>
      </c>
      <c r="AC153" s="77" t="str">
        <f>IF(COUNT(Y153:AB153)=4,SUM(Y153:AB153),"")</f>
        <v/>
      </c>
      <c r="AD153" s="74" t="str">
        <f>IF(AD$14=1,IF(ISNUMBER('Inputs (2)'!AD166),'Inputs (2)'!AD166,""),"")</f>
        <v/>
      </c>
      <c r="AE153" s="74" t="str">
        <f>IF(AE$14=1,IF(ISNUMBER('Inputs (2)'!AE166),'Inputs (2)'!AE166,""),"")</f>
        <v/>
      </c>
      <c r="AF153" s="74" t="str">
        <f>IF(AF$14=1,IF(ISNUMBER('Inputs (2)'!AF166),'Inputs (2)'!AF166,""),"")</f>
        <v/>
      </c>
      <c r="AG153" s="74" t="str">
        <f>IF(AG$14=1,IF(ISNUMBER('Inputs (2)'!AG166),'Inputs (2)'!AG166,""),"")</f>
        <v/>
      </c>
      <c r="AH153" s="77" t="str">
        <f>IF(COUNT(AD153:AG153)=4,SUM(AD153:AG153),"")</f>
        <v/>
      </c>
      <c r="AI153" s="74" t="str">
        <f>IF(AI$14=1,IF(ISNUMBER('Inputs (2)'!AI166),'Inputs (2)'!AI166,""),"")</f>
        <v/>
      </c>
      <c r="AJ153" s="74" t="str">
        <f>IF(AJ$14=1,IF(ISNUMBER('Inputs (2)'!AJ166),'Inputs (2)'!AJ166,""),"")</f>
        <v/>
      </c>
      <c r="AK153" s="74" t="str">
        <f>IF(AK$14=1,IF(ISNUMBER('Inputs (2)'!AK166),'Inputs (2)'!AK166,""),"")</f>
        <v/>
      </c>
      <c r="AL153" s="74" t="str">
        <f>IF(AL$14=1,IF(ISNUMBER('Inputs (2)'!AL166),'Inputs (2)'!AL166,""),"")</f>
        <v/>
      </c>
      <c r="AM153" s="77" t="str">
        <f>IF(COUNT(AI153:AL153)=4,SUM(AI153:AL153),"")</f>
        <v/>
      </c>
      <c r="AN153" s="74" t="str">
        <f>IF(AN$14=1,IF(ISNUMBER('Inputs (2)'!AN166),'Inputs (2)'!AN166,""),"")</f>
        <v/>
      </c>
      <c r="AO153" s="74" t="str">
        <f>IF(AO$14=1,IF(ISNUMBER('Inputs (2)'!AO166),'Inputs (2)'!AO166,""),"")</f>
        <v/>
      </c>
      <c r="AP153" s="74" t="str">
        <f>IF(AP$14=1,IF(ISNUMBER('Inputs (2)'!AP166),'Inputs (2)'!AP166,""),"")</f>
        <v/>
      </c>
      <c r="AQ153" s="74" t="str">
        <f>IF(AQ$14=1,IF(ISNUMBER('Inputs (2)'!AQ166),'Inputs (2)'!AQ166,""),"")</f>
        <v/>
      </c>
      <c r="AR153" s="77" t="str">
        <f>IF(COUNT(AN153:AQ153)=4,SUM(AN153:AQ153),"")</f>
        <v/>
      </c>
      <c r="AS153" s="74" t="str">
        <f>IF(AS$14=1,IF(ISNUMBER('Inputs (2)'!AS166),'Inputs (2)'!AS166,""),"")</f>
        <v/>
      </c>
      <c r="AT153" s="74" t="str">
        <f>IF(AT$14=1,IF(ISNUMBER('Inputs (2)'!AT166),'Inputs (2)'!AT166,""),"")</f>
        <v/>
      </c>
      <c r="AU153" s="74" t="str">
        <f>IF(AU$14=1,IF(ISNUMBER('Inputs (2)'!AU166),'Inputs (2)'!AU166,""),"")</f>
        <v/>
      </c>
      <c r="AV153" s="74" t="str">
        <f>IF(AV$14=1,IF(ISNUMBER('Inputs (2)'!AV166),'Inputs (2)'!AV166,""),"")</f>
        <v/>
      </c>
      <c r="AW153" s="77" t="str">
        <f>IF(COUNT(AS153:AV153)=4,SUM(AS153:AV153),"")</f>
        <v/>
      </c>
      <c r="AX153" s="74" t="str">
        <f>IF(AX$14=1,IF(ISNUMBER('Inputs (2)'!AX166),'Inputs (2)'!AX166,""),"")</f>
        <v/>
      </c>
      <c r="AY153" s="74" t="str">
        <f>IF(AY$14=1,IF(ISNUMBER('Inputs (2)'!AY166),'Inputs (2)'!AY166,""),"")</f>
        <v/>
      </c>
      <c r="AZ153" s="74" t="str">
        <f>IF(AZ$14=1,IF(ISNUMBER('Inputs (2)'!AZ166),'Inputs (2)'!AZ166,""),"")</f>
        <v/>
      </c>
      <c r="BA153" s="74" t="str">
        <f>IF(BA$14=1,IF(ISNUMBER('Inputs (2)'!BA166),'Inputs (2)'!BA166,""),"")</f>
        <v/>
      </c>
      <c r="BB153" s="77" t="str">
        <f>IF(COUNT(AX153:BA153)=4,SUM(AX153:BA153),"")</f>
        <v/>
      </c>
      <c r="BC153" s="74" t="str">
        <f>IF(BC$14=1,IF(ISNUMBER('Inputs (2)'!BC166),'Inputs (2)'!BC166,""),"")</f>
        <v/>
      </c>
      <c r="BD153" s="74" t="str">
        <f>IF(BD$14=1,IF(ISNUMBER('Inputs (2)'!BD166),'Inputs (2)'!BD166,""),"")</f>
        <v/>
      </c>
      <c r="BE153" s="74" t="str">
        <f>IF(BE$14=1,IF(ISNUMBER('Inputs (2)'!BE166),'Inputs (2)'!BE166,""),"")</f>
        <v/>
      </c>
      <c r="BF153" s="74" t="str">
        <f>IF(BF$14=1,IF(ISNUMBER('Inputs (2)'!BF166),'Inputs (2)'!BF166,""),"")</f>
        <v/>
      </c>
      <c r="BG153" s="77" t="str">
        <f>IF(COUNT(BC153:BF153)=4,SUM(BC153:BF153),"")</f>
        <v/>
      </c>
      <c r="BI153" s="14" t="n"/>
    </row>
    <row r="154">
      <c r="C154" s="11" t="inlineStr">
        <is>
          <t>Segmento 2 — receita líquida</t>
        </is>
      </c>
      <c r="D154" s="12" t="inlineStr">
        <is>
          <t>Segment 2 revenue</t>
        </is>
      </c>
      <c r="E154" s="74" t="str">
        <f>IF(E$14=1,IF(ISNUMBER('Inputs (2)'!E167),'Inputs (2)'!E167,""),"")</f>
        <v/>
      </c>
      <c r="F154" s="74" t="str">
        <f>IF(F$14=1,IF(ISNUMBER('Inputs (2)'!F167),'Inputs (2)'!F167,""),"")</f>
        <v/>
      </c>
      <c r="G154" s="74" t="str">
        <f>IF(G$14=1,IF(ISNUMBER('Inputs (2)'!G167),'Inputs (2)'!G167,""),"")</f>
        <v/>
      </c>
      <c r="H154" s="74" t="str">
        <f>IF(H$14=1,IF(ISNUMBER('Inputs (2)'!H167),'Inputs (2)'!H167,""),"")</f>
        <v/>
      </c>
      <c r="I154" s="77" t="str">
        <f>IF(COUNT(E154:H154)=4,SUM(E154:H154),"")</f>
        <v/>
      </c>
      <c r="J154" s="74" t="str">
        <f>IF(J$14=1,IF(ISNUMBER('Inputs (2)'!J167),'Inputs (2)'!J167,""),"")</f>
        <v/>
      </c>
      <c r="K154" s="74" t="str">
        <f>IF(K$14=1,IF(ISNUMBER('Inputs (2)'!K167),'Inputs (2)'!K167,""),"")</f>
        <v/>
      </c>
      <c r="L154" s="74" t="str">
        <f>IF(L$14=1,IF(ISNUMBER('Inputs (2)'!L167),'Inputs (2)'!L167,""),"")</f>
        <v/>
      </c>
      <c r="M154" s="74" t="str">
        <f>IF(M$14=1,IF(ISNUMBER('Inputs (2)'!M167),'Inputs (2)'!M167,""),"")</f>
        <v/>
      </c>
      <c r="N154" s="77" t="str">
        <f>IF(COUNT(J154:M154)=4,SUM(J154:M154),"")</f>
        <v/>
      </c>
      <c r="O154" s="74" t="str">
        <f>IF(O$14=1,IF(ISNUMBER('Inputs (2)'!O167),'Inputs (2)'!O167,""),"")</f>
        <v/>
      </c>
      <c r="P154" s="74" t="str">
        <f>IF(P$14=1,IF(ISNUMBER('Inputs (2)'!P167),'Inputs (2)'!P167,""),"")</f>
        <v/>
      </c>
      <c r="Q154" s="74" t="str">
        <f>IF(Q$14=1,IF(ISNUMBER('Inputs (2)'!Q167),'Inputs (2)'!Q167,""),"")</f>
        <v/>
      </c>
      <c r="R154" s="74" t="str">
        <f>IF(R$14=1,IF(ISNUMBER('Inputs (2)'!R167),'Inputs (2)'!R167,""),"")</f>
        <v/>
      </c>
      <c r="S154" s="77" t="str">
        <f>IF(COUNT(O154:R154)=4,SUM(O154:R154),"")</f>
        <v/>
      </c>
      <c r="T154" s="74" t="str">
        <f>IF(T$14=1,IF(ISNUMBER('Inputs (2)'!T167),'Inputs (2)'!T167,""),"")</f>
        <v/>
      </c>
      <c r="U154" s="74" t="str">
        <f>IF(U$14=1,IF(ISNUMBER('Inputs (2)'!U167),'Inputs (2)'!U167,""),"")</f>
        <v/>
      </c>
      <c r="V154" s="74" t="str">
        <f>IF(V$14=1,IF(ISNUMBER('Inputs (2)'!V167),'Inputs (2)'!V167,""),"")</f>
        <v/>
      </c>
      <c r="W154" s="74" t="str">
        <f>IF(W$14=1,IF(ISNUMBER('Inputs (2)'!W167),'Inputs (2)'!W167,""),"")</f>
        <v/>
      </c>
      <c r="X154" s="77" t="str">
        <f>IF(COUNT(T154:W154)=4,SUM(T154:W154),"")</f>
        <v/>
      </c>
      <c r="Y154" s="74" t="str">
        <f>IF(Y$14=1,IF(ISNUMBER('Inputs (2)'!Y167),'Inputs (2)'!Y167,""),"")</f>
        <v/>
      </c>
      <c r="Z154" s="74" t="str">
        <f>IF(Z$14=1,IF(ISNUMBER('Inputs (2)'!Z167),'Inputs (2)'!Z167,""),"")</f>
        <v/>
      </c>
      <c r="AA154" s="74" t="str">
        <f>IF(AA$14=1,IF(ISNUMBER('Inputs (2)'!AA167),'Inputs (2)'!AA167,""),"")</f>
        <v/>
      </c>
      <c r="AB154" s="74" t="str">
        <f>IF(AB$14=1,IF(ISNUMBER('Inputs (2)'!AB167),'Inputs (2)'!AB167,""),"")</f>
        <v/>
      </c>
      <c r="AC154" s="77" t="str">
        <f>IF(COUNT(Y154:AB154)=4,SUM(Y154:AB154),"")</f>
        <v/>
      </c>
      <c r="AD154" s="74" t="str">
        <f>IF(AD$14=1,IF(ISNUMBER('Inputs (2)'!AD167),'Inputs (2)'!AD167,""),"")</f>
        <v/>
      </c>
      <c r="AE154" s="74" t="str">
        <f>IF(AE$14=1,IF(ISNUMBER('Inputs (2)'!AE167),'Inputs (2)'!AE167,""),"")</f>
        <v/>
      </c>
      <c r="AF154" s="74" t="str">
        <f>IF(AF$14=1,IF(ISNUMBER('Inputs (2)'!AF167),'Inputs (2)'!AF167,""),"")</f>
        <v/>
      </c>
      <c r="AG154" s="74" t="str">
        <f>IF(AG$14=1,IF(ISNUMBER('Inputs (2)'!AG167),'Inputs (2)'!AG167,""),"")</f>
        <v/>
      </c>
      <c r="AH154" s="77" t="str">
        <f>IF(COUNT(AD154:AG154)=4,SUM(AD154:AG154),"")</f>
        <v/>
      </c>
      <c r="AI154" s="74" t="str">
        <f>IF(AI$14=1,IF(ISNUMBER('Inputs (2)'!AI167),'Inputs (2)'!AI167,""),"")</f>
        <v/>
      </c>
      <c r="AJ154" s="74" t="str">
        <f>IF(AJ$14=1,IF(ISNUMBER('Inputs (2)'!AJ167),'Inputs (2)'!AJ167,""),"")</f>
        <v/>
      </c>
      <c r="AK154" s="74" t="str">
        <f>IF(AK$14=1,IF(ISNUMBER('Inputs (2)'!AK167),'Inputs (2)'!AK167,""),"")</f>
        <v/>
      </c>
      <c r="AL154" s="74" t="str">
        <f>IF(AL$14=1,IF(ISNUMBER('Inputs (2)'!AL167),'Inputs (2)'!AL167,""),"")</f>
        <v/>
      </c>
      <c r="AM154" s="77" t="str">
        <f>IF(COUNT(AI154:AL154)=4,SUM(AI154:AL154),"")</f>
        <v/>
      </c>
      <c r="AN154" s="74" t="str">
        <f>IF(AN$14=1,IF(ISNUMBER('Inputs (2)'!AN167),'Inputs (2)'!AN167,""),"")</f>
        <v/>
      </c>
      <c r="AO154" s="74" t="str">
        <f>IF(AO$14=1,IF(ISNUMBER('Inputs (2)'!AO167),'Inputs (2)'!AO167,""),"")</f>
        <v/>
      </c>
      <c r="AP154" s="74" t="str">
        <f>IF(AP$14=1,IF(ISNUMBER('Inputs (2)'!AP167),'Inputs (2)'!AP167,""),"")</f>
        <v/>
      </c>
      <c r="AQ154" s="74" t="str">
        <f>IF(AQ$14=1,IF(ISNUMBER('Inputs (2)'!AQ167),'Inputs (2)'!AQ167,""),"")</f>
        <v/>
      </c>
      <c r="AR154" s="77" t="str">
        <f>IF(COUNT(AN154:AQ154)=4,SUM(AN154:AQ154),"")</f>
        <v/>
      </c>
      <c r="AS154" s="74" t="str">
        <f>IF(AS$14=1,IF(ISNUMBER('Inputs (2)'!AS167),'Inputs (2)'!AS167,""),"")</f>
        <v/>
      </c>
      <c r="AT154" s="74" t="str">
        <f>IF(AT$14=1,IF(ISNUMBER('Inputs (2)'!AT167),'Inputs (2)'!AT167,""),"")</f>
        <v/>
      </c>
      <c r="AU154" s="74" t="str">
        <f>IF(AU$14=1,IF(ISNUMBER('Inputs (2)'!AU167),'Inputs (2)'!AU167,""),"")</f>
        <v/>
      </c>
      <c r="AV154" s="74" t="str">
        <f>IF(AV$14=1,IF(ISNUMBER('Inputs (2)'!AV167),'Inputs (2)'!AV167,""),"")</f>
        <v/>
      </c>
      <c r="AW154" s="77" t="str">
        <f>IF(COUNT(AS154:AV154)=4,SUM(AS154:AV154),"")</f>
        <v/>
      </c>
      <c r="AX154" s="74" t="str">
        <f>IF(AX$14=1,IF(ISNUMBER('Inputs (2)'!AX167),'Inputs (2)'!AX167,""),"")</f>
        <v/>
      </c>
      <c r="AY154" s="74" t="str">
        <f>IF(AY$14=1,IF(ISNUMBER('Inputs (2)'!AY167),'Inputs (2)'!AY167,""),"")</f>
        <v/>
      </c>
      <c r="AZ154" s="74" t="str">
        <f>IF(AZ$14=1,IF(ISNUMBER('Inputs (2)'!AZ167),'Inputs (2)'!AZ167,""),"")</f>
        <v/>
      </c>
      <c r="BA154" s="74" t="str">
        <f>IF(BA$14=1,IF(ISNUMBER('Inputs (2)'!BA167),'Inputs (2)'!BA167,""),"")</f>
        <v/>
      </c>
      <c r="BB154" s="77" t="str">
        <f>IF(COUNT(AX154:BA154)=4,SUM(AX154:BA154),"")</f>
        <v/>
      </c>
      <c r="BC154" s="74" t="str">
        <f>IF(BC$14=1,IF(ISNUMBER('Inputs (2)'!BC167),'Inputs (2)'!BC167,""),"")</f>
        <v/>
      </c>
      <c r="BD154" s="74" t="str">
        <f>IF(BD$14=1,IF(ISNUMBER('Inputs (2)'!BD167),'Inputs (2)'!BD167,""),"")</f>
        <v/>
      </c>
      <c r="BE154" s="74" t="str">
        <f>IF(BE$14=1,IF(ISNUMBER('Inputs (2)'!BE167),'Inputs (2)'!BE167,""),"")</f>
        <v/>
      </c>
      <c r="BF154" s="74" t="str">
        <f>IF(BF$14=1,IF(ISNUMBER('Inputs (2)'!BF167),'Inputs (2)'!BF167,""),"")</f>
        <v/>
      </c>
      <c r="BG154" s="77" t="str">
        <f>IF(COUNT(BC154:BF154)=4,SUM(BC154:BF154),"")</f>
        <v/>
      </c>
      <c r="BI154" s="14" t="n"/>
    </row>
    <row r="155">
      <c r="C155" s="11" t="inlineStr">
        <is>
          <t>Segmento 3 — receita líquida</t>
        </is>
      </c>
      <c r="D155" s="12" t="inlineStr">
        <is>
          <t>Segment 3 revenue</t>
        </is>
      </c>
      <c r="E155" s="74" t="str">
        <f>IF(E$14=1,IF(ISNUMBER('Inputs (2)'!E168),'Inputs (2)'!E168,""),"")</f>
        <v/>
      </c>
      <c r="F155" s="74" t="str">
        <f>IF(F$14=1,IF(ISNUMBER('Inputs (2)'!F168),'Inputs (2)'!F168,""),"")</f>
        <v/>
      </c>
      <c r="G155" s="74" t="str">
        <f>IF(G$14=1,IF(ISNUMBER('Inputs (2)'!G168),'Inputs (2)'!G168,""),"")</f>
        <v/>
      </c>
      <c r="H155" s="74" t="str">
        <f>IF(H$14=1,IF(ISNUMBER('Inputs (2)'!H168),'Inputs (2)'!H168,""),"")</f>
        <v/>
      </c>
      <c r="I155" s="77" t="str">
        <f>IF(COUNT(E155:H155)=4,SUM(E155:H155),"")</f>
        <v/>
      </c>
      <c r="J155" s="74" t="str">
        <f>IF(J$14=1,IF(ISNUMBER('Inputs (2)'!J168),'Inputs (2)'!J168,""),"")</f>
        <v/>
      </c>
      <c r="K155" s="74" t="str">
        <f>IF(K$14=1,IF(ISNUMBER('Inputs (2)'!K168),'Inputs (2)'!K168,""),"")</f>
        <v/>
      </c>
      <c r="L155" s="74" t="str">
        <f>IF(L$14=1,IF(ISNUMBER('Inputs (2)'!L168),'Inputs (2)'!L168,""),"")</f>
        <v/>
      </c>
      <c r="M155" s="74" t="str">
        <f>IF(M$14=1,IF(ISNUMBER('Inputs (2)'!M168),'Inputs (2)'!M168,""),"")</f>
        <v/>
      </c>
      <c r="N155" s="77" t="str">
        <f>IF(COUNT(J155:M155)=4,SUM(J155:M155),"")</f>
        <v/>
      </c>
      <c r="O155" s="74" t="str">
        <f>IF(O$14=1,IF(ISNUMBER('Inputs (2)'!O168),'Inputs (2)'!O168,""),"")</f>
        <v/>
      </c>
      <c r="P155" s="74" t="str">
        <f>IF(P$14=1,IF(ISNUMBER('Inputs (2)'!P168),'Inputs (2)'!P168,""),"")</f>
        <v/>
      </c>
      <c r="Q155" s="74" t="str">
        <f>IF(Q$14=1,IF(ISNUMBER('Inputs (2)'!Q168),'Inputs (2)'!Q168,""),"")</f>
        <v/>
      </c>
      <c r="R155" s="74" t="str">
        <f>IF(R$14=1,IF(ISNUMBER('Inputs (2)'!R168),'Inputs (2)'!R168,""),"")</f>
        <v/>
      </c>
      <c r="S155" s="77" t="str">
        <f>IF(COUNT(O155:R155)=4,SUM(O155:R155),"")</f>
        <v/>
      </c>
      <c r="T155" s="74" t="str">
        <f>IF(T$14=1,IF(ISNUMBER('Inputs (2)'!T168),'Inputs (2)'!T168,""),"")</f>
        <v/>
      </c>
      <c r="U155" s="74" t="str">
        <f>IF(U$14=1,IF(ISNUMBER('Inputs (2)'!U168),'Inputs (2)'!U168,""),"")</f>
        <v/>
      </c>
      <c r="V155" s="74" t="str">
        <f>IF(V$14=1,IF(ISNUMBER('Inputs (2)'!V168),'Inputs (2)'!V168,""),"")</f>
        <v/>
      </c>
      <c r="W155" s="74" t="str">
        <f>IF(W$14=1,IF(ISNUMBER('Inputs (2)'!W168),'Inputs (2)'!W168,""),"")</f>
        <v/>
      </c>
      <c r="X155" s="77" t="str">
        <f>IF(COUNT(T155:W155)=4,SUM(T155:W155),"")</f>
        <v/>
      </c>
      <c r="Y155" s="74" t="str">
        <f>IF(Y$14=1,IF(ISNUMBER('Inputs (2)'!Y168),'Inputs (2)'!Y168,""),"")</f>
        <v/>
      </c>
      <c r="Z155" s="74" t="str">
        <f>IF(Z$14=1,IF(ISNUMBER('Inputs (2)'!Z168),'Inputs (2)'!Z168,""),"")</f>
        <v/>
      </c>
      <c r="AA155" s="74" t="str">
        <f>IF(AA$14=1,IF(ISNUMBER('Inputs (2)'!AA168),'Inputs (2)'!AA168,""),"")</f>
        <v/>
      </c>
      <c r="AB155" s="74" t="str">
        <f>IF(AB$14=1,IF(ISNUMBER('Inputs (2)'!AB168),'Inputs (2)'!AB168,""),"")</f>
        <v/>
      </c>
      <c r="AC155" s="77" t="str">
        <f>IF(COUNT(Y155:AB155)=4,SUM(Y155:AB155),"")</f>
        <v/>
      </c>
      <c r="AD155" s="74" t="str">
        <f>IF(AD$14=1,IF(ISNUMBER('Inputs (2)'!AD168),'Inputs (2)'!AD168,""),"")</f>
        <v/>
      </c>
      <c r="AE155" s="74" t="str">
        <f>IF(AE$14=1,IF(ISNUMBER('Inputs (2)'!AE168),'Inputs (2)'!AE168,""),"")</f>
        <v/>
      </c>
      <c r="AF155" s="74" t="str">
        <f>IF(AF$14=1,IF(ISNUMBER('Inputs (2)'!AF168),'Inputs (2)'!AF168,""),"")</f>
        <v/>
      </c>
      <c r="AG155" s="74" t="str">
        <f>IF(AG$14=1,IF(ISNUMBER('Inputs (2)'!AG168),'Inputs (2)'!AG168,""),"")</f>
        <v/>
      </c>
      <c r="AH155" s="77" t="str">
        <f>IF(COUNT(AD155:AG155)=4,SUM(AD155:AG155),"")</f>
        <v/>
      </c>
      <c r="AI155" s="74" t="str">
        <f>IF(AI$14=1,IF(ISNUMBER('Inputs (2)'!AI168),'Inputs (2)'!AI168,""),"")</f>
        <v/>
      </c>
      <c r="AJ155" s="74" t="str">
        <f>IF(AJ$14=1,IF(ISNUMBER('Inputs (2)'!AJ168),'Inputs (2)'!AJ168,""),"")</f>
        <v/>
      </c>
      <c r="AK155" s="74" t="str">
        <f>IF(AK$14=1,IF(ISNUMBER('Inputs (2)'!AK168),'Inputs (2)'!AK168,""),"")</f>
        <v/>
      </c>
      <c r="AL155" s="74" t="str">
        <f>IF(AL$14=1,IF(ISNUMBER('Inputs (2)'!AL168),'Inputs (2)'!AL168,""),"")</f>
        <v/>
      </c>
      <c r="AM155" s="77" t="str">
        <f>IF(COUNT(AI155:AL155)=4,SUM(AI155:AL155),"")</f>
        <v/>
      </c>
      <c r="AN155" s="74" t="str">
        <f>IF(AN$14=1,IF(ISNUMBER('Inputs (2)'!AN168),'Inputs (2)'!AN168,""),"")</f>
        <v/>
      </c>
      <c r="AO155" s="74" t="str">
        <f>IF(AO$14=1,IF(ISNUMBER('Inputs (2)'!AO168),'Inputs (2)'!AO168,""),"")</f>
        <v/>
      </c>
      <c r="AP155" s="74" t="str">
        <f>IF(AP$14=1,IF(ISNUMBER('Inputs (2)'!AP168),'Inputs (2)'!AP168,""),"")</f>
        <v/>
      </c>
      <c r="AQ155" s="74" t="str">
        <f>IF(AQ$14=1,IF(ISNUMBER('Inputs (2)'!AQ168),'Inputs (2)'!AQ168,""),"")</f>
        <v/>
      </c>
      <c r="AR155" s="77" t="str">
        <f>IF(COUNT(AN155:AQ155)=4,SUM(AN155:AQ155),"")</f>
        <v/>
      </c>
      <c r="AS155" s="74" t="str">
        <f>IF(AS$14=1,IF(ISNUMBER('Inputs (2)'!AS168),'Inputs (2)'!AS168,""),"")</f>
        <v/>
      </c>
      <c r="AT155" s="74" t="str">
        <f>IF(AT$14=1,IF(ISNUMBER('Inputs (2)'!AT168),'Inputs (2)'!AT168,""),"")</f>
        <v/>
      </c>
      <c r="AU155" s="74" t="str">
        <f>IF(AU$14=1,IF(ISNUMBER('Inputs (2)'!AU168),'Inputs (2)'!AU168,""),"")</f>
        <v/>
      </c>
      <c r="AV155" s="74" t="str">
        <f>IF(AV$14=1,IF(ISNUMBER('Inputs (2)'!AV168),'Inputs (2)'!AV168,""),"")</f>
        <v/>
      </c>
      <c r="AW155" s="77" t="str">
        <f>IF(COUNT(AS155:AV155)=4,SUM(AS155:AV155),"")</f>
        <v/>
      </c>
      <c r="AX155" s="74" t="str">
        <f>IF(AX$14=1,IF(ISNUMBER('Inputs (2)'!AX168),'Inputs (2)'!AX168,""),"")</f>
        <v/>
      </c>
      <c r="AY155" s="74" t="str">
        <f>IF(AY$14=1,IF(ISNUMBER('Inputs (2)'!AY168),'Inputs (2)'!AY168,""),"")</f>
        <v/>
      </c>
      <c r="AZ155" s="74" t="str">
        <f>IF(AZ$14=1,IF(ISNUMBER('Inputs (2)'!AZ168),'Inputs (2)'!AZ168,""),"")</f>
        <v/>
      </c>
      <c r="BA155" s="74" t="str">
        <f>IF(BA$14=1,IF(ISNUMBER('Inputs (2)'!BA168),'Inputs (2)'!BA168,""),"")</f>
        <v/>
      </c>
      <c r="BB155" s="77" t="str">
        <f>IF(COUNT(AX155:BA155)=4,SUM(AX155:BA155),"")</f>
        <v/>
      </c>
      <c r="BC155" s="74" t="str">
        <f>IF(BC$14=1,IF(ISNUMBER('Inputs (2)'!BC168),'Inputs (2)'!BC168,""),"")</f>
        <v/>
      </c>
      <c r="BD155" s="74" t="str">
        <f>IF(BD$14=1,IF(ISNUMBER('Inputs (2)'!BD168),'Inputs (2)'!BD168,""),"")</f>
        <v/>
      </c>
      <c r="BE155" s="74" t="str">
        <f>IF(BE$14=1,IF(ISNUMBER('Inputs (2)'!BE168),'Inputs (2)'!BE168,""),"")</f>
        <v/>
      </c>
      <c r="BF155" s="74" t="str">
        <f>IF(BF$14=1,IF(ISNUMBER('Inputs (2)'!BF168),'Inputs (2)'!BF168,""),"")</f>
        <v/>
      </c>
      <c r="BG155" s="77" t="str">
        <f>IF(COUNT(BC155:BF155)=4,SUM(BC155:BF155),"")</f>
        <v/>
      </c>
      <c r="BI155" s="14" t="n"/>
    </row>
    <row r="156">
      <c r="C156" s="11" t="inlineStr">
        <is>
          <t>Segmento 4 — receita líquida</t>
        </is>
      </c>
      <c r="D156" s="12" t="inlineStr">
        <is>
          <t>Segment 4 revenue</t>
        </is>
      </c>
      <c r="E156" s="74" t="str">
        <f>IF(E$14=1,IF(ISNUMBER('Inputs (2)'!E169),'Inputs (2)'!E169,""),"")</f>
        <v/>
      </c>
      <c r="F156" s="74" t="str">
        <f>IF(F$14=1,IF(ISNUMBER('Inputs (2)'!F169),'Inputs (2)'!F169,""),"")</f>
        <v/>
      </c>
      <c r="G156" s="74" t="str">
        <f>IF(G$14=1,IF(ISNUMBER('Inputs (2)'!G169),'Inputs (2)'!G169,""),"")</f>
        <v/>
      </c>
      <c r="H156" s="74" t="str">
        <f>IF(H$14=1,IF(ISNUMBER('Inputs (2)'!H169),'Inputs (2)'!H169,""),"")</f>
        <v/>
      </c>
      <c r="I156" s="77" t="str">
        <f>IF(COUNT(E156:H156)=4,SUM(E156:H156),"")</f>
        <v/>
      </c>
      <c r="J156" s="74" t="str">
        <f>IF(J$14=1,IF(ISNUMBER('Inputs (2)'!J169),'Inputs (2)'!J169,""),"")</f>
        <v/>
      </c>
      <c r="K156" s="74" t="str">
        <f>IF(K$14=1,IF(ISNUMBER('Inputs (2)'!K169),'Inputs (2)'!K169,""),"")</f>
        <v/>
      </c>
      <c r="L156" s="74" t="str">
        <f>IF(L$14=1,IF(ISNUMBER('Inputs (2)'!L169),'Inputs (2)'!L169,""),"")</f>
        <v/>
      </c>
      <c r="M156" s="74" t="str">
        <f>IF(M$14=1,IF(ISNUMBER('Inputs (2)'!M169),'Inputs (2)'!M169,""),"")</f>
        <v/>
      </c>
      <c r="N156" s="77" t="str">
        <f>IF(COUNT(J156:M156)=4,SUM(J156:M156),"")</f>
        <v/>
      </c>
      <c r="O156" s="74" t="str">
        <f>IF(O$14=1,IF(ISNUMBER('Inputs (2)'!O169),'Inputs (2)'!O169,""),"")</f>
        <v/>
      </c>
      <c r="P156" s="74" t="str">
        <f>IF(P$14=1,IF(ISNUMBER('Inputs (2)'!P169),'Inputs (2)'!P169,""),"")</f>
        <v/>
      </c>
      <c r="Q156" s="74" t="str">
        <f>IF(Q$14=1,IF(ISNUMBER('Inputs (2)'!Q169),'Inputs (2)'!Q169,""),"")</f>
        <v/>
      </c>
      <c r="R156" s="74" t="str">
        <f>IF(R$14=1,IF(ISNUMBER('Inputs (2)'!R169),'Inputs (2)'!R169,""),"")</f>
        <v/>
      </c>
      <c r="S156" s="77" t="str">
        <f>IF(COUNT(O156:R156)=4,SUM(O156:R156),"")</f>
        <v/>
      </c>
      <c r="T156" s="74" t="str">
        <f>IF(T$14=1,IF(ISNUMBER('Inputs (2)'!T169),'Inputs (2)'!T169,""),"")</f>
        <v/>
      </c>
      <c r="U156" s="74" t="str">
        <f>IF(U$14=1,IF(ISNUMBER('Inputs (2)'!U169),'Inputs (2)'!U169,""),"")</f>
        <v/>
      </c>
      <c r="V156" s="74" t="str">
        <f>IF(V$14=1,IF(ISNUMBER('Inputs (2)'!V169),'Inputs (2)'!V169,""),"")</f>
        <v/>
      </c>
      <c r="W156" s="74" t="str">
        <f>IF(W$14=1,IF(ISNUMBER('Inputs (2)'!W169),'Inputs (2)'!W169,""),"")</f>
        <v/>
      </c>
      <c r="X156" s="77" t="str">
        <f>IF(COUNT(T156:W156)=4,SUM(T156:W156),"")</f>
        <v/>
      </c>
      <c r="Y156" s="74" t="str">
        <f>IF(Y$14=1,IF(ISNUMBER('Inputs (2)'!Y169),'Inputs (2)'!Y169,""),"")</f>
        <v/>
      </c>
      <c r="Z156" s="74" t="str">
        <f>IF(Z$14=1,IF(ISNUMBER('Inputs (2)'!Z169),'Inputs (2)'!Z169,""),"")</f>
        <v/>
      </c>
      <c r="AA156" s="74" t="str">
        <f>IF(AA$14=1,IF(ISNUMBER('Inputs (2)'!AA169),'Inputs (2)'!AA169,""),"")</f>
        <v/>
      </c>
      <c r="AB156" s="74" t="str">
        <f>IF(AB$14=1,IF(ISNUMBER('Inputs (2)'!AB169),'Inputs (2)'!AB169,""),"")</f>
        <v/>
      </c>
      <c r="AC156" s="77" t="str">
        <f>IF(COUNT(Y156:AB156)=4,SUM(Y156:AB156),"")</f>
        <v/>
      </c>
      <c r="AD156" s="74" t="str">
        <f>IF(AD$14=1,IF(ISNUMBER('Inputs (2)'!AD169),'Inputs (2)'!AD169,""),"")</f>
        <v/>
      </c>
      <c r="AE156" s="74" t="str">
        <f>IF(AE$14=1,IF(ISNUMBER('Inputs (2)'!AE169),'Inputs (2)'!AE169,""),"")</f>
        <v/>
      </c>
      <c r="AF156" s="74" t="str">
        <f>IF(AF$14=1,IF(ISNUMBER('Inputs (2)'!AF169),'Inputs (2)'!AF169,""),"")</f>
        <v/>
      </c>
      <c r="AG156" s="74" t="str">
        <f>IF(AG$14=1,IF(ISNUMBER('Inputs (2)'!AG169),'Inputs (2)'!AG169,""),"")</f>
        <v/>
      </c>
      <c r="AH156" s="77" t="str">
        <f>IF(COUNT(AD156:AG156)=4,SUM(AD156:AG156),"")</f>
        <v/>
      </c>
      <c r="AI156" s="74" t="str">
        <f>IF(AI$14=1,IF(ISNUMBER('Inputs (2)'!AI169),'Inputs (2)'!AI169,""),"")</f>
        <v/>
      </c>
      <c r="AJ156" s="74" t="str">
        <f>IF(AJ$14=1,IF(ISNUMBER('Inputs (2)'!AJ169),'Inputs (2)'!AJ169,""),"")</f>
        <v/>
      </c>
      <c r="AK156" s="74" t="str">
        <f>IF(AK$14=1,IF(ISNUMBER('Inputs (2)'!AK169),'Inputs (2)'!AK169,""),"")</f>
        <v/>
      </c>
      <c r="AL156" s="74" t="str">
        <f>IF(AL$14=1,IF(ISNUMBER('Inputs (2)'!AL169),'Inputs (2)'!AL169,""),"")</f>
        <v/>
      </c>
      <c r="AM156" s="77" t="str">
        <f>IF(COUNT(AI156:AL156)=4,SUM(AI156:AL156),"")</f>
        <v/>
      </c>
      <c r="AN156" s="74" t="str">
        <f>IF(AN$14=1,IF(ISNUMBER('Inputs (2)'!AN169),'Inputs (2)'!AN169,""),"")</f>
        <v/>
      </c>
      <c r="AO156" s="74" t="str">
        <f>IF(AO$14=1,IF(ISNUMBER('Inputs (2)'!AO169),'Inputs (2)'!AO169,""),"")</f>
        <v/>
      </c>
      <c r="AP156" s="74" t="str">
        <f>IF(AP$14=1,IF(ISNUMBER('Inputs (2)'!AP169),'Inputs (2)'!AP169,""),"")</f>
        <v/>
      </c>
      <c r="AQ156" s="74" t="str">
        <f>IF(AQ$14=1,IF(ISNUMBER('Inputs (2)'!AQ169),'Inputs (2)'!AQ169,""),"")</f>
        <v/>
      </c>
      <c r="AR156" s="77" t="str">
        <f>IF(COUNT(AN156:AQ156)=4,SUM(AN156:AQ156),"")</f>
        <v/>
      </c>
      <c r="AS156" s="74" t="str">
        <f>IF(AS$14=1,IF(ISNUMBER('Inputs (2)'!AS169),'Inputs (2)'!AS169,""),"")</f>
        <v/>
      </c>
      <c r="AT156" s="74" t="str">
        <f>IF(AT$14=1,IF(ISNUMBER('Inputs (2)'!AT169),'Inputs (2)'!AT169,""),"")</f>
        <v/>
      </c>
      <c r="AU156" s="74" t="str">
        <f>IF(AU$14=1,IF(ISNUMBER('Inputs (2)'!AU169),'Inputs (2)'!AU169,""),"")</f>
        <v/>
      </c>
      <c r="AV156" s="74" t="str">
        <f>IF(AV$14=1,IF(ISNUMBER('Inputs (2)'!AV169),'Inputs (2)'!AV169,""),"")</f>
        <v/>
      </c>
      <c r="AW156" s="77" t="str">
        <f>IF(COUNT(AS156:AV156)=4,SUM(AS156:AV156),"")</f>
        <v/>
      </c>
      <c r="AX156" s="74" t="str">
        <f>IF(AX$14=1,IF(ISNUMBER('Inputs (2)'!AX169),'Inputs (2)'!AX169,""),"")</f>
        <v/>
      </c>
      <c r="AY156" s="74" t="str">
        <f>IF(AY$14=1,IF(ISNUMBER('Inputs (2)'!AY169),'Inputs (2)'!AY169,""),"")</f>
        <v/>
      </c>
      <c r="AZ156" s="74" t="str">
        <f>IF(AZ$14=1,IF(ISNUMBER('Inputs (2)'!AZ169),'Inputs (2)'!AZ169,""),"")</f>
        <v/>
      </c>
      <c r="BA156" s="74" t="str">
        <f>IF(BA$14=1,IF(ISNUMBER('Inputs (2)'!BA169),'Inputs (2)'!BA169,""),"")</f>
        <v/>
      </c>
      <c r="BB156" s="77" t="str">
        <f>IF(COUNT(AX156:BA156)=4,SUM(AX156:BA156),"")</f>
        <v/>
      </c>
      <c r="BC156" s="74" t="str">
        <f>IF(BC$14=1,IF(ISNUMBER('Inputs (2)'!BC169),'Inputs (2)'!BC169,""),"")</f>
        <v/>
      </c>
      <c r="BD156" s="74" t="str">
        <f>IF(BD$14=1,IF(ISNUMBER('Inputs (2)'!BD169),'Inputs (2)'!BD169,""),"")</f>
        <v/>
      </c>
      <c r="BE156" s="74" t="str">
        <f>IF(BE$14=1,IF(ISNUMBER('Inputs (2)'!BE169),'Inputs (2)'!BE169,""),"")</f>
        <v/>
      </c>
      <c r="BF156" s="74" t="str">
        <f>IF(BF$14=1,IF(ISNUMBER('Inputs (2)'!BF169),'Inputs (2)'!BF169,""),"")</f>
        <v/>
      </c>
      <c r="BG156" s="77" t="str">
        <f>IF(COUNT(BC156:BF156)=4,SUM(BC156:BF156),"")</f>
        <v/>
      </c>
      <c r="BI156" s="14" t="n"/>
    </row>
    <row r="157">
      <c r="C157" s="11" t="inlineStr">
        <is>
          <t>Ajustes de reconciliação (FTE e outros)</t>
        </is>
      </c>
      <c r="D157" s="12" t="inlineStr">
        <is>
          <t>Reconciling items</t>
        </is>
      </c>
      <c r="E157" s="74" t="str">
        <f>IF(E$14=1,IF(ISNUMBER('Inputs (2)'!E170),'Inputs (2)'!E170,""),"")</f>
        <v/>
      </c>
      <c r="F157" s="74" t="str">
        <f>IF(F$14=1,IF(ISNUMBER('Inputs (2)'!F170),'Inputs (2)'!F170,""),"")</f>
        <v/>
      </c>
      <c r="G157" s="74" t="str">
        <f>IF(G$14=1,IF(ISNUMBER('Inputs (2)'!G170),'Inputs (2)'!G170,""),"")</f>
        <v/>
      </c>
      <c r="H157" s="74" t="str">
        <f>IF(H$14=1,IF(ISNUMBER('Inputs (2)'!H170),'Inputs (2)'!H170,""),"")</f>
        <v/>
      </c>
      <c r="I157" s="77" t="str">
        <f>IF(COUNT(E157:H157)=4,SUM(E157:H157),"")</f>
        <v/>
      </c>
      <c r="J157" s="74" t="str">
        <f>IF(J$14=1,IF(ISNUMBER('Inputs (2)'!J170),'Inputs (2)'!J170,""),"")</f>
        <v/>
      </c>
      <c r="K157" s="74" t="str">
        <f>IF(K$14=1,IF(ISNUMBER('Inputs (2)'!K170),'Inputs (2)'!K170,""),"")</f>
        <v/>
      </c>
      <c r="L157" s="74" t="str">
        <f>IF(L$14=1,IF(ISNUMBER('Inputs (2)'!L170),'Inputs (2)'!L170,""),"")</f>
        <v/>
      </c>
      <c r="M157" s="74" t="str">
        <f>IF(M$14=1,IF(ISNUMBER('Inputs (2)'!M170),'Inputs (2)'!M170,""),"")</f>
        <v/>
      </c>
      <c r="N157" s="77" t="str">
        <f>IF(COUNT(J157:M157)=4,SUM(J157:M157),"")</f>
        <v/>
      </c>
      <c r="O157" s="74" t="str">
        <f>IF(O$14=1,IF(ISNUMBER('Inputs (2)'!O170),'Inputs (2)'!O170,""),"")</f>
        <v/>
      </c>
      <c r="P157" s="74" t="str">
        <f>IF(P$14=1,IF(ISNUMBER('Inputs (2)'!P170),'Inputs (2)'!P170,""),"")</f>
        <v/>
      </c>
      <c r="Q157" s="74" t="str">
        <f>IF(Q$14=1,IF(ISNUMBER('Inputs (2)'!Q170),'Inputs (2)'!Q170,""),"")</f>
        <v/>
      </c>
      <c r="R157" s="74" t="str">
        <f>IF(R$14=1,IF(ISNUMBER('Inputs (2)'!R170),'Inputs (2)'!R170,""),"")</f>
        <v/>
      </c>
      <c r="S157" s="77" t="str">
        <f>IF(COUNT(O157:R157)=4,SUM(O157:R157),"")</f>
        <v/>
      </c>
      <c r="T157" s="74" t="str">
        <f>IF(T$14=1,IF(ISNUMBER('Inputs (2)'!T170),'Inputs (2)'!T170,""),"")</f>
        <v/>
      </c>
      <c r="U157" s="74" t="str">
        <f>IF(U$14=1,IF(ISNUMBER('Inputs (2)'!U170),'Inputs (2)'!U170,""),"")</f>
        <v/>
      </c>
      <c r="V157" s="74" t="str">
        <f>IF(V$14=1,IF(ISNUMBER('Inputs (2)'!V170),'Inputs (2)'!V170,""),"")</f>
        <v/>
      </c>
      <c r="W157" s="74" t="str">
        <f>IF(W$14=1,IF(ISNUMBER('Inputs (2)'!W170),'Inputs (2)'!W170,""),"")</f>
        <v/>
      </c>
      <c r="X157" s="77" t="str">
        <f>IF(COUNT(T157:W157)=4,SUM(T157:W157),"")</f>
        <v/>
      </c>
      <c r="Y157" s="74" t="str">
        <f>IF(Y$14=1,IF(ISNUMBER('Inputs (2)'!Y170),'Inputs (2)'!Y170,""),"")</f>
        <v/>
      </c>
      <c r="Z157" s="74" t="str">
        <f>IF(Z$14=1,IF(ISNUMBER('Inputs (2)'!Z170),'Inputs (2)'!Z170,""),"")</f>
        <v/>
      </c>
      <c r="AA157" s="74" t="str">
        <f>IF(AA$14=1,IF(ISNUMBER('Inputs (2)'!AA170),'Inputs (2)'!AA170,""),"")</f>
        <v/>
      </c>
      <c r="AB157" s="74" t="str">
        <f>IF(AB$14=1,IF(ISNUMBER('Inputs (2)'!AB170),'Inputs (2)'!AB170,""),"")</f>
        <v/>
      </c>
      <c r="AC157" s="77" t="str">
        <f>IF(COUNT(Y157:AB157)=4,SUM(Y157:AB157),"")</f>
        <v/>
      </c>
      <c r="AD157" s="74" t="str">
        <f>IF(AD$14=1,IF(ISNUMBER('Inputs (2)'!AD170),'Inputs (2)'!AD170,""),"")</f>
        <v/>
      </c>
      <c r="AE157" s="74" t="str">
        <f>IF(AE$14=1,IF(ISNUMBER('Inputs (2)'!AE170),'Inputs (2)'!AE170,""),"")</f>
        <v/>
      </c>
      <c r="AF157" s="74" t="str">
        <f>IF(AF$14=1,IF(ISNUMBER('Inputs (2)'!AF170),'Inputs (2)'!AF170,""),"")</f>
        <v/>
      </c>
      <c r="AG157" s="74" t="str">
        <f>IF(AG$14=1,IF(ISNUMBER('Inputs (2)'!AG170),'Inputs (2)'!AG170,""),"")</f>
        <v/>
      </c>
      <c r="AH157" s="77" t="str">
        <f>IF(COUNT(AD157:AG157)=4,SUM(AD157:AG157),"")</f>
        <v/>
      </c>
      <c r="AI157" s="74" t="str">
        <f>IF(AI$14=1,IF(ISNUMBER('Inputs (2)'!AI170),'Inputs (2)'!AI170,""),"")</f>
        <v/>
      </c>
      <c r="AJ157" s="74" t="str">
        <f>IF(AJ$14=1,IF(ISNUMBER('Inputs (2)'!AJ170),'Inputs (2)'!AJ170,""),"")</f>
        <v/>
      </c>
      <c r="AK157" s="74" t="str">
        <f>IF(AK$14=1,IF(ISNUMBER('Inputs (2)'!AK170),'Inputs (2)'!AK170,""),"")</f>
        <v/>
      </c>
      <c r="AL157" s="74" t="str">
        <f>IF(AL$14=1,IF(ISNUMBER('Inputs (2)'!AL170),'Inputs (2)'!AL170,""),"")</f>
        <v/>
      </c>
      <c r="AM157" s="77" t="str">
        <f>IF(COUNT(AI157:AL157)=4,SUM(AI157:AL157),"")</f>
        <v/>
      </c>
      <c r="AN157" s="74" t="str">
        <f>IF(AN$14=1,IF(ISNUMBER('Inputs (2)'!AN170),'Inputs (2)'!AN170,""),"")</f>
        <v/>
      </c>
      <c r="AO157" s="74" t="str">
        <f>IF(AO$14=1,IF(ISNUMBER('Inputs (2)'!AO170),'Inputs (2)'!AO170,""),"")</f>
        <v/>
      </c>
      <c r="AP157" s="74" t="str">
        <f>IF(AP$14=1,IF(ISNUMBER('Inputs (2)'!AP170),'Inputs (2)'!AP170,""),"")</f>
        <v/>
      </c>
      <c r="AQ157" s="74" t="str">
        <f>IF(AQ$14=1,IF(ISNUMBER('Inputs (2)'!AQ170),'Inputs (2)'!AQ170,""),"")</f>
        <v/>
      </c>
      <c r="AR157" s="77" t="str">
        <f>IF(COUNT(AN157:AQ157)=4,SUM(AN157:AQ157),"")</f>
        <v/>
      </c>
      <c r="AS157" s="74" t="str">
        <f>IF(AS$14=1,IF(ISNUMBER('Inputs (2)'!AS170),'Inputs (2)'!AS170,""),"")</f>
        <v/>
      </c>
      <c r="AT157" s="74" t="str">
        <f>IF(AT$14=1,IF(ISNUMBER('Inputs (2)'!AT170),'Inputs (2)'!AT170,""),"")</f>
        <v/>
      </c>
      <c r="AU157" s="74" t="str">
        <f>IF(AU$14=1,IF(ISNUMBER('Inputs (2)'!AU170),'Inputs (2)'!AU170,""),"")</f>
        <v/>
      </c>
      <c r="AV157" s="74" t="str">
        <f>IF(AV$14=1,IF(ISNUMBER('Inputs (2)'!AV170),'Inputs (2)'!AV170,""),"")</f>
        <v/>
      </c>
      <c r="AW157" s="77" t="str">
        <f>IF(COUNT(AS157:AV157)=4,SUM(AS157:AV157),"")</f>
        <v/>
      </c>
      <c r="AX157" s="74" t="str">
        <f>IF(AX$14=1,IF(ISNUMBER('Inputs (2)'!AX170),'Inputs (2)'!AX170,""),"")</f>
        <v/>
      </c>
      <c r="AY157" s="74" t="str">
        <f>IF(AY$14=1,IF(ISNUMBER('Inputs (2)'!AY170),'Inputs (2)'!AY170,""),"")</f>
        <v/>
      </c>
      <c r="AZ157" s="74" t="str">
        <f>IF(AZ$14=1,IF(ISNUMBER('Inputs (2)'!AZ170),'Inputs (2)'!AZ170,""),"")</f>
        <v/>
      </c>
      <c r="BA157" s="74" t="str">
        <f>IF(BA$14=1,IF(ISNUMBER('Inputs (2)'!BA170),'Inputs (2)'!BA170,""),"")</f>
        <v/>
      </c>
      <c r="BB157" s="77" t="str">
        <f>IF(COUNT(AX157:BA157)=4,SUM(AX157:BA157),"")</f>
        <v/>
      </c>
      <c r="BC157" s="74" t="str">
        <f>IF(BC$14=1,IF(ISNUMBER('Inputs (2)'!BC170),'Inputs (2)'!BC170,""),"")</f>
        <v/>
      </c>
      <c r="BD157" s="74" t="str">
        <f>IF(BD$14=1,IF(ISNUMBER('Inputs (2)'!BD170),'Inputs (2)'!BD170,""),"")</f>
        <v/>
      </c>
      <c r="BE157" s="74" t="str">
        <f>IF(BE$14=1,IF(ISNUMBER('Inputs (2)'!BE170),'Inputs (2)'!BE170,""),"")</f>
        <v/>
      </c>
      <c r="BF157" s="74" t="str">
        <f>IF(BF$14=1,IF(ISNUMBER('Inputs (2)'!BF170),'Inputs (2)'!BF170,""),"")</f>
        <v/>
      </c>
      <c r="BG157" s="77" t="str">
        <f>IF(COUNT(BC157:BF157)=4,SUM(BC157:BF157),"")</f>
        <v/>
      </c>
      <c r="BI157" s="14" t="n"/>
    </row>
    <row r="158">
      <c r="C158" s="11" t="inlineStr">
        <is>
          <t>Check: receita líquida total – (segmentos + reconciliação)</t>
        </is>
      </c>
      <c r="D158" s="12" t="inlineStr">
        <is>
          <t>Check: revenue less segments</t>
        </is>
      </c>
      <c r="E158" s="74" t="str">
        <f>IF(COUNT(E153:E157)=0,"",ROUND(E149-SUM(E153:E157),0))</f>
        <v/>
      </c>
      <c r="F158" s="74" t="str">
        <f>IF(COUNT(F153:F157)=0,"",ROUND(F149-SUM(F153:F157),0))</f>
        <v/>
      </c>
      <c r="G158" s="74" t="str">
        <f>IF(COUNT(G153:G157)=0,"",ROUND(G149-SUM(G153:G157),0))</f>
        <v/>
      </c>
      <c r="H158" s="74" t="str">
        <f>IF(COUNT(H153:H157)=0,"",ROUND(H149-SUM(H153:H157),0))</f>
        <v/>
      </c>
      <c r="I158" s="77" t="str">
        <f>IF(COUNT(I153:I157)=0,"",ROUND(I149-SUM(I153:I157),0))</f>
        <v/>
      </c>
      <c r="J158" s="74" t="str">
        <f>IF(COUNT(J153:J157)=0,"",ROUND(J149-SUM(J153:J157),0))</f>
        <v/>
      </c>
      <c r="K158" s="74" t="str">
        <f>IF(COUNT(K153:K157)=0,"",ROUND(K149-SUM(K153:K157),0))</f>
        <v/>
      </c>
      <c r="L158" s="74" t="str">
        <f>IF(COUNT(L153:L157)=0,"",ROUND(L149-SUM(L153:L157),0))</f>
        <v/>
      </c>
      <c r="M158" s="74" t="str">
        <f>IF(COUNT(M153:M157)=0,"",ROUND(M149-SUM(M153:M157),0))</f>
        <v/>
      </c>
      <c r="N158" s="77" t="str">
        <f>IF(COUNT(N153:N157)=0,"",ROUND(N149-SUM(N153:N157),0))</f>
        <v/>
      </c>
      <c r="O158" s="74" t="str">
        <f>IF(COUNT(O153:O157)=0,"",ROUND(O149-SUM(O153:O157),0))</f>
        <v/>
      </c>
      <c r="P158" s="74" t="str">
        <f>IF(COUNT(P153:P157)=0,"",ROUND(P149-SUM(P153:P157),0))</f>
        <v/>
      </c>
      <c r="Q158" s="74" t="str">
        <f>IF(COUNT(Q153:Q157)=0,"",ROUND(Q149-SUM(Q153:Q157),0))</f>
        <v/>
      </c>
      <c r="R158" s="74" t="str">
        <f>IF(COUNT(R153:R157)=0,"",ROUND(R149-SUM(R153:R157),0))</f>
        <v/>
      </c>
      <c r="S158" s="77" t="str">
        <f>IF(COUNT(S153:S157)=0,"",ROUND(S149-SUM(S153:S157),0))</f>
        <v/>
      </c>
      <c r="T158" s="74" t="str">
        <f>IF(COUNT(T153:T157)=0,"",ROUND(T149-SUM(T153:T157),0))</f>
        <v/>
      </c>
      <c r="U158" s="74" t="str">
        <f>IF(COUNT(U153:U157)=0,"",ROUND(U149-SUM(U153:U157),0))</f>
        <v/>
      </c>
      <c r="V158" s="74" t="str">
        <f>IF(COUNT(V153:V157)=0,"",ROUND(V149-SUM(V153:V157),0))</f>
        <v/>
      </c>
      <c r="W158" s="74" t="str">
        <f>IF(COUNT(W153:W157)=0,"",ROUND(W149-SUM(W153:W157),0))</f>
        <v/>
      </c>
      <c r="X158" s="77" t="str">
        <f>IF(COUNT(X153:X157)=0,"",ROUND(X149-SUM(X153:X157),0))</f>
        <v/>
      </c>
      <c r="Y158" s="74" t="str">
        <f>IF(COUNT(Y153:Y157)=0,"",ROUND(Y149-SUM(Y153:Y157),0))</f>
        <v/>
      </c>
      <c r="Z158" s="74" t="str">
        <f>IF(COUNT(Z153:Z157)=0,"",ROUND(Z149-SUM(Z153:Z157),0))</f>
        <v/>
      </c>
      <c r="AA158" s="74" t="str">
        <f>IF(COUNT(AA153:AA157)=0,"",ROUND(AA149-SUM(AA153:AA157),0))</f>
        <v/>
      </c>
      <c r="AB158" s="74" t="str">
        <f>IF(COUNT(AB153:AB157)=0,"",ROUND(AB149-SUM(AB153:AB157),0))</f>
        <v/>
      </c>
      <c r="AC158" s="77" t="str">
        <f>IF(COUNT(AC153:AC157)=0,"",ROUND(AC149-SUM(AC153:AC157),0))</f>
        <v/>
      </c>
      <c r="AD158" s="74" t="str">
        <f>IF(COUNT(AD153:AD157)=0,"",ROUND(AD149-SUM(AD153:AD157),0))</f>
        <v/>
      </c>
      <c r="AE158" s="74" t="str">
        <f>IF(COUNT(AE153:AE157)=0,"",ROUND(AE149-SUM(AE153:AE157),0))</f>
        <v/>
      </c>
      <c r="AF158" s="74" t="str">
        <f>IF(COUNT(AF153:AF157)=0,"",ROUND(AF149-SUM(AF153:AF157),0))</f>
        <v/>
      </c>
      <c r="AG158" s="74" t="str">
        <f>IF(COUNT(AG153:AG157)=0,"",ROUND(AG149-SUM(AG153:AG157),0))</f>
        <v/>
      </c>
      <c r="AH158" s="77" t="str">
        <f>IF(COUNT(AH153:AH157)=0,"",ROUND(AH149-SUM(AH153:AH157),0))</f>
        <v/>
      </c>
      <c r="AI158" s="74" t="str">
        <f>IF(COUNT(AI153:AI157)=0,"",ROUND(AI149-SUM(AI153:AI157),0))</f>
        <v/>
      </c>
      <c r="AJ158" s="74" t="str">
        <f>IF(COUNT(AJ153:AJ157)=0,"",ROUND(AJ149-SUM(AJ153:AJ157),0))</f>
        <v/>
      </c>
      <c r="AK158" s="74" t="str">
        <f>IF(COUNT(AK153:AK157)=0,"",ROUND(AK149-SUM(AK153:AK157),0))</f>
        <v/>
      </c>
      <c r="AL158" s="74" t="str">
        <f>IF(COUNT(AL153:AL157)=0,"",ROUND(AL149-SUM(AL153:AL157),0))</f>
        <v/>
      </c>
      <c r="AM158" s="77" t="str">
        <f>IF(COUNT(AM153:AM157)=0,"",ROUND(AM149-SUM(AM153:AM157),0))</f>
        <v/>
      </c>
      <c r="AN158" s="74" t="str">
        <f>IF(COUNT(AN153:AN157)=0,"",ROUND(AN149-SUM(AN153:AN157),0))</f>
        <v/>
      </c>
      <c r="AO158" s="74" t="str">
        <f>IF(COUNT(AO153:AO157)=0,"",ROUND(AO149-SUM(AO153:AO157),0))</f>
        <v/>
      </c>
      <c r="AP158" s="74" t="str">
        <f>IF(COUNT(AP153:AP157)=0,"",ROUND(AP149-SUM(AP153:AP157),0))</f>
        <v/>
      </c>
      <c r="AQ158" s="74" t="str">
        <f>IF(COUNT(AQ153:AQ157)=0,"",ROUND(AQ149-SUM(AQ153:AQ157),0))</f>
        <v/>
      </c>
      <c r="AR158" s="77" t="str">
        <f>IF(COUNT(AR153:AR157)=0,"",ROUND(AR149-SUM(AR153:AR157),0))</f>
        <v/>
      </c>
      <c r="AS158" s="74" t="str">
        <f>IF(COUNT(AS153:AS157)=0,"",ROUND(AS149-SUM(AS153:AS157),0))</f>
        <v/>
      </c>
      <c r="AT158" s="74" t="str">
        <f>IF(COUNT(AT153:AT157)=0,"",ROUND(AT149-SUM(AT153:AT157),0))</f>
        <v/>
      </c>
      <c r="AU158" s="74" t="str">
        <f>IF(COUNT(AU153:AU157)=0,"",ROUND(AU149-SUM(AU153:AU157),0))</f>
        <v/>
      </c>
      <c r="AV158" s="74" t="str">
        <f>IF(COUNT(AV153:AV157)=0,"",ROUND(AV149-SUM(AV153:AV157),0))</f>
        <v/>
      </c>
      <c r="AW158" s="77" t="str">
        <f>IF(COUNT(AW153:AW157)=0,"",ROUND(AW149-SUM(AW153:AW157),0))</f>
        <v/>
      </c>
      <c r="AX158" s="74" t="str">
        <f>IF(COUNT(AX153:AX157)=0,"",ROUND(AX149-SUM(AX153:AX157),0))</f>
        <v/>
      </c>
      <c r="AY158" s="74" t="str">
        <f>IF(COUNT(AY153:AY157)=0,"",ROUND(AY149-SUM(AY153:AY157),0))</f>
        <v/>
      </c>
      <c r="AZ158" s="74" t="str">
        <f>IF(COUNT(AZ153:AZ157)=0,"",ROUND(AZ149-SUM(AZ153:AZ157),0))</f>
        <v/>
      </c>
      <c r="BA158" s="74" t="str">
        <f>IF(COUNT(BA153:BA157)=0,"",ROUND(BA149-SUM(BA153:BA157),0))</f>
        <v/>
      </c>
      <c r="BB158" s="77" t="str">
        <f>IF(COUNT(BB153:BB157)=0,"",ROUND(BB149-SUM(BB153:BB157),0))</f>
        <v/>
      </c>
      <c r="BC158" s="74" t="str">
        <f>IF(COUNT(BC153:BC157)=0,"",ROUND(BC149-SUM(BC153:BC157),0))</f>
        <v/>
      </c>
      <c r="BD158" s="74" t="str">
        <f>IF(COUNT(BD153:BD157)=0,"",ROUND(BD149-SUM(BD153:BD157),0))</f>
        <v/>
      </c>
      <c r="BE158" s="74" t="str">
        <f>IF(COUNT(BE153:BE157)=0,"",ROUND(BE149-SUM(BE153:BE157),0))</f>
        <v/>
      </c>
      <c r="BF158" s="74" t="str">
        <f>IF(COUNT(BF153:BF157)=0,"",ROUND(BF149-SUM(BF153:BF157),0))</f>
        <v/>
      </c>
      <c r="BG158" s="77" t="str">
        <f>IF(COUNT(BG153:BG157)=0,"",ROUND(BG149-SUM(BG153:BG157),0))</f>
        <v/>
      </c>
      <c r="BI158" s="14" t="n"/>
    </row>
    <row r="159">
      <c r="C159" s="11" t="inlineStr">
        <is>
          <t>Segmento 1 — lucro líquido</t>
        </is>
      </c>
      <c r="D159" s="12" t="inlineStr">
        <is>
          <t>Segment 1 net income</t>
        </is>
      </c>
      <c r="E159" s="74" t="str">
        <f>IF(E$14=1,IF(ISNUMBER('Inputs (2)'!E171),'Inputs (2)'!E171,""),"")</f>
        <v/>
      </c>
      <c r="F159" s="74" t="str">
        <f>IF(F$14=1,IF(ISNUMBER('Inputs (2)'!F171),'Inputs (2)'!F171,""),"")</f>
        <v/>
      </c>
      <c r="G159" s="74" t="str">
        <f>IF(G$14=1,IF(ISNUMBER('Inputs (2)'!G171),'Inputs (2)'!G171,""),"")</f>
        <v/>
      </c>
      <c r="H159" s="74" t="str">
        <f>IF(H$14=1,IF(ISNUMBER('Inputs (2)'!H171),'Inputs (2)'!H171,""),"")</f>
        <v/>
      </c>
      <c r="I159" s="77" t="str">
        <f>IF(COUNT(E159:H159)=4,SUM(E159:H159),"")</f>
        <v/>
      </c>
      <c r="J159" s="74" t="str">
        <f>IF(J$14=1,IF(ISNUMBER('Inputs (2)'!J171),'Inputs (2)'!J171,""),"")</f>
        <v/>
      </c>
      <c r="K159" s="74" t="str">
        <f>IF(K$14=1,IF(ISNUMBER('Inputs (2)'!K171),'Inputs (2)'!K171,""),"")</f>
        <v/>
      </c>
      <c r="L159" s="74" t="str">
        <f>IF(L$14=1,IF(ISNUMBER('Inputs (2)'!L171),'Inputs (2)'!L171,""),"")</f>
        <v/>
      </c>
      <c r="M159" s="74" t="str">
        <f>IF(M$14=1,IF(ISNUMBER('Inputs (2)'!M171),'Inputs (2)'!M171,""),"")</f>
        <v/>
      </c>
      <c r="N159" s="77" t="str">
        <f>IF(COUNT(J159:M159)=4,SUM(J159:M159),"")</f>
        <v/>
      </c>
      <c r="O159" s="74" t="str">
        <f>IF(O$14=1,IF(ISNUMBER('Inputs (2)'!O171),'Inputs (2)'!O171,""),"")</f>
        <v/>
      </c>
      <c r="P159" s="74" t="str">
        <f>IF(P$14=1,IF(ISNUMBER('Inputs (2)'!P171),'Inputs (2)'!P171,""),"")</f>
        <v/>
      </c>
      <c r="Q159" s="74" t="str">
        <f>IF(Q$14=1,IF(ISNUMBER('Inputs (2)'!Q171),'Inputs (2)'!Q171,""),"")</f>
        <v/>
      </c>
      <c r="R159" s="74" t="str">
        <f>IF(R$14=1,IF(ISNUMBER('Inputs (2)'!R171),'Inputs (2)'!R171,""),"")</f>
        <v/>
      </c>
      <c r="S159" s="77" t="str">
        <f>IF(COUNT(O159:R159)=4,SUM(O159:R159),"")</f>
        <v/>
      </c>
      <c r="T159" s="74" t="str">
        <f>IF(T$14=1,IF(ISNUMBER('Inputs (2)'!T171),'Inputs (2)'!T171,""),"")</f>
        <v/>
      </c>
      <c r="U159" s="74" t="str">
        <f>IF(U$14=1,IF(ISNUMBER('Inputs (2)'!U171),'Inputs (2)'!U171,""),"")</f>
        <v/>
      </c>
      <c r="V159" s="74" t="str">
        <f>IF(V$14=1,IF(ISNUMBER('Inputs (2)'!V171),'Inputs (2)'!V171,""),"")</f>
        <v/>
      </c>
      <c r="W159" s="74" t="str">
        <f>IF(W$14=1,IF(ISNUMBER('Inputs (2)'!W171),'Inputs (2)'!W171,""),"")</f>
        <v/>
      </c>
      <c r="X159" s="77" t="str">
        <f>IF(COUNT(T159:W159)=4,SUM(T159:W159),"")</f>
        <v/>
      </c>
      <c r="Y159" s="74" t="str">
        <f>IF(Y$14=1,IF(ISNUMBER('Inputs (2)'!Y171),'Inputs (2)'!Y171,""),"")</f>
        <v/>
      </c>
      <c r="Z159" s="74" t="str">
        <f>IF(Z$14=1,IF(ISNUMBER('Inputs (2)'!Z171),'Inputs (2)'!Z171,""),"")</f>
        <v/>
      </c>
      <c r="AA159" s="74" t="str">
        <f>IF(AA$14=1,IF(ISNUMBER('Inputs (2)'!AA171),'Inputs (2)'!AA171,""),"")</f>
        <v/>
      </c>
      <c r="AB159" s="74" t="str">
        <f>IF(AB$14=1,IF(ISNUMBER('Inputs (2)'!AB171),'Inputs (2)'!AB171,""),"")</f>
        <v/>
      </c>
      <c r="AC159" s="77" t="str">
        <f>IF(COUNT(Y159:AB159)=4,SUM(Y159:AB159),"")</f>
        <v/>
      </c>
      <c r="AD159" s="74" t="str">
        <f>IF(AD$14=1,IF(ISNUMBER('Inputs (2)'!AD171),'Inputs (2)'!AD171,""),"")</f>
        <v/>
      </c>
      <c r="AE159" s="74" t="str">
        <f>IF(AE$14=1,IF(ISNUMBER('Inputs (2)'!AE171),'Inputs (2)'!AE171,""),"")</f>
        <v/>
      </c>
      <c r="AF159" s="74" t="str">
        <f>IF(AF$14=1,IF(ISNUMBER('Inputs (2)'!AF171),'Inputs (2)'!AF171,""),"")</f>
        <v/>
      </c>
      <c r="AG159" s="74" t="str">
        <f>IF(AG$14=1,IF(ISNUMBER('Inputs (2)'!AG171),'Inputs (2)'!AG171,""),"")</f>
        <v/>
      </c>
      <c r="AH159" s="77" t="str">
        <f>IF(COUNT(AD159:AG159)=4,SUM(AD159:AG159),"")</f>
        <v/>
      </c>
      <c r="AI159" s="74" t="str">
        <f>IF(AI$14=1,IF(ISNUMBER('Inputs (2)'!AI171),'Inputs (2)'!AI171,""),"")</f>
        <v/>
      </c>
      <c r="AJ159" s="74" t="str">
        <f>IF(AJ$14=1,IF(ISNUMBER('Inputs (2)'!AJ171),'Inputs (2)'!AJ171,""),"")</f>
        <v/>
      </c>
      <c r="AK159" s="74" t="str">
        <f>IF(AK$14=1,IF(ISNUMBER('Inputs (2)'!AK171),'Inputs (2)'!AK171,""),"")</f>
        <v/>
      </c>
      <c r="AL159" s="74" t="str">
        <f>IF(AL$14=1,IF(ISNUMBER('Inputs (2)'!AL171),'Inputs (2)'!AL171,""),"")</f>
        <v/>
      </c>
      <c r="AM159" s="77" t="str">
        <f>IF(COUNT(AI159:AL159)=4,SUM(AI159:AL159),"")</f>
        <v/>
      </c>
      <c r="AN159" s="74" t="str">
        <f>IF(AN$14=1,IF(ISNUMBER('Inputs (2)'!AN171),'Inputs (2)'!AN171,""),"")</f>
        <v/>
      </c>
      <c r="AO159" s="74" t="str">
        <f>IF(AO$14=1,IF(ISNUMBER('Inputs (2)'!AO171),'Inputs (2)'!AO171,""),"")</f>
        <v/>
      </c>
      <c r="AP159" s="74" t="str">
        <f>IF(AP$14=1,IF(ISNUMBER('Inputs (2)'!AP171),'Inputs (2)'!AP171,""),"")</f>
        <v/>
      </c>
      <c r="AQ159" s="74" t="str">
        <f>IF(AQ$14=1,IF(ISNUMBER('Inputs (2)'!AQ171),'Inputs (2)'!AQ171,""),"")</f>
        <v/>
      </c>
      <c r="AR159" s="77" t="str">
        <f>IF(COUNT(AN159:AQ159)=4,SUM(AN159:AQ159),"")</f>
        <v/>
      </c>
      <c r="AS159" s="74" t="str">
        <f>IF(AS$14=1,IF(ISNUMBER('Inputs (2)'!AS171),'Inputs (2)'!AS171,""),"")</f>
        <v/>
      </c>
      <c r="AT159" s="74" t="str">
        <f>IF(AT$14=1,IF(ISNUMBER('Inputs (2)'!AT171),'Inputs (2)'!AT171,""),"")</f>
        <v/>
      </c>
      <c r="AU159" s="74" t="str">
        <f>IF(AU$14=1,IF(ISNUMBER('Inputs (2)'!AU171),'Inputs (2)'!AU171,""),"")</f>
        <v/>
      </c>
      <c r="AV159" s="74" t="str">
        <f>IF(AV$14=1,IF(ISNUMBER('Inputs (2)'!AV171),'Inputs (2)'!AV171,""),"")</f>
        <v/>
      </c>
      <c r="AW159" s="77" t="str">
        <f>IF(COUNT(AS159:AV159)=4,SUM(AS159:AV159),"")</f>
        <v/>
      </c>
      <c r="AX159" s="74" t="str">
        <f>IF(AX$14=1,IF(ISNUMBER('Inputs (2)'!AX171),'Inputs (2)'!AX171,""),"")</f>
        <v/>
      </c>
      <c r="AY159" s="74" t="str">
        <f>IF(AY$14=1,IF(ISNUMBER('Inputs (2)'!AY171),'Inputs (2)'!AY171,""),"")</f>
        <v/>
      </c>
      <c r="AZ159" s="74" t="str">
        <f>IF(AZ$14=1,IF(ISNUMBER('Inputs (2)'!AZ171),'Inputs (2)'!AZ171,""),"")</f>
        <v/>
      </c>
      <c r="BA159" s="74" t="str">
        <f>IF(BA$14=1,IF(ISNUMBER('Inputs (2)'!BA171),'Inputs (2)'!BA171,""),"")</f>
        <v/>
      </c>
      <c r="BB159" s="77" t="str">
        <f>IF(COUNT(AX159:BA159)=4,SUM(AX159:BA159),"")</f>
        <v/>
      </c>
      <c r="BC159" s="74" t="str">
        <f>IF(BC$14=1,IF(ISNUMBER('Inputs (2)'!BC171),'Inputs (2)'!BC171,""),"")</f>
        <v/>
      </c>
      <c r="BD159" s="74" t="str">
        <f>IF(BD$14=1,IF(ISNUMBER('Inputs (2)'!BD171),'Inputs (2)'!BD171,""),"")</f>
        <v/>
      </c>
      <c r="BE159" s="74" t="str">
        <f>IF(BE$14=1,IF(ISNUMBER('Inputs (2)'!BE171),'Inputs (2)'!BE171,""),"")</f>
        <v/>
      </c>
      <c r="BF159" s="74" t="str">
        <f>IF(BF$14=1,IF(ISNUMBER('Inputs (2)'!BF171),'Inputs (2)'!BF171,""),"")</f>
        <v/>
      </c>
      <c r="BG159" s="77" t="str">
        <f>IF(COUNT(BC159:BF159)=4,SUM(BC159:BF159),"")</f>
        <v/>
      </c>
      <c r="BI159" s="14" t="n"/>
    </row>
    <row r="160">
      <c r="C160" s="11" t="inlineStr">
        <is>
          <t>Segmento 2 — lucro líquido</t>
        </is>
      </c>
      <c r="D160" s="12" t="inlineStr">
        <is>
          <t>Segment 2 net income</t>
        </is>
      </c>
      <c r="E160" s="74" t="str">
        <f>IF(E$14=1,IF(ISNUMBER('Inputs (2)'!E172),'Inputs (2)'!E172,""),"")</f>
        <v/>
      </c>
      <c r="F160" s="74" t="str">
        <f>IF(F$14=1,IF(ISNUMBER('Inputs (2)'!F172),'Inputs (2)'!F172,""),"")</f>
        <v/>
      </c>
      <c r="G160" s="74" t="str">
        <f>IF(G$14=1,IF(ISNUMBER('Inputs (2)'!G172),'Inputs (2)'!G172,""),"")</f>
        <v/>
      </c>
      <c r="H160" s="74" t="str">
        <f>IF(H$14=1,IF(ISNUMBER('Inputs (2)'!H172),'Inputs (2)'!H172,""),"")</f>
        <v/>
      </c>
      <c r="I160" s="77" t="str">
        <f>IF(COUNT(E160:H160)=4,SUM(E160:H160),"")</f>
        <v/>
      </c>
      <c r="J160" s="74" t="str">
        <f>IF(J$14=1,IF(ISNUMBER('Inputs (2)'!J172),'Inputs (2)'!J172,""),"")</f>
        <v/>
      </c>
      <c r="K160" s="74" t="str">
        <f>IF(K$14=1,IF(ISNUMBER('Inputs (2)'!K172),'Inputs (2)'!K172,""),"")</f>
        <v/>
      </c>
      <c r="L160" s="74" t="str">
        <f>IF(L$14=1,IF(ISNUMBER('Inputs (2)'!L172),'Inputs (2)'!L172,""),"")</f>
        <v/>
      </c>
      <c r="M160" s="74" t="str">
        <f>IF(M$14=1,IF(ISNUMBER('Inputs (2)'!M172),'Inputs (2)'!M172,""),"")</f>
        <v/>
      </c>
      <c r="N160" s="77" t="str">
        <f>IF(COUNT(J160:M160)=4,SUM(J160:M160),"")</f>
        <v/>
      </c>
      <c r="O160" s="74" t="str">
        <f>IF(O$14=1,IF(ISNUMBER('Inputs (2)'!O172),'Inputs (2)'!O172,""),"")</f>
        <v/>
      </c>
      <c r="P160" s="74" t="str">
        <f>IF(P$14=1,IF(ISNUMBER('Inputs (2)'!P172),'Inputs (2)'!P172,""),"")</f>
        <v/>
      </c>
      <c r="Q160" s="74" t="str">
        <f>IF(Q$14=1,IF(ISNUMBER('Inputs (2)'!Q172),'Inputs (2)'!Q172,""),"")</f>
        <v/>
      </c>
      <c r="R160" s="74" t="str">
        <f>IF(R$14=1,IF(ISNUMBER('Inputs (2)'!R172),'Inputs (2)'!R172,""),"")</f>
        <v/>
      </c>
      <c r="S160" s="77" t="str">
        <f>IF(COUNT(O160:R160)=4,SUM(O160:R160),"")</f>
        <v/>
      </c>
      <c r="T160" s="74" t="str">
        <f>IF(T$14=1,IF(ISNUMBER('Inputs (2)'!T172),'Inputs (2)'!T172,""),"")</f>
        <v/>
      </c>
      <c r="U160" s="74" t="str">
        <f>IF(U$14=1,IF(ISNUMBER('Inputs (2)'!U172),'Inputs (2)'!U172,""),"")</f>
        <v/>
      </c>
      <c r="V160" s="74" t="str">
        <f>IF(V$14=1,IF(ISNUMBER('Inputs (2)'!V172),'Inputs (2)'!V172,""),"")</f>
        <v/>
      </c>
      <c r="W160" s="74" t="str">
        <f>IF(W$14=1,IF(ISNUMBER('Inputs (2)'!W172),'Inputs (2)'!W172,""),"")</f>
        <v/>
      </c>
      <c r="X160" s="77" t="str">
        <f>IF(COUNT(T160:W160)=4,SUM(T160:W160),"")</f>
        <v/>
      </c>
      <c r="Y160" s="74" t="str">
        <f>IF(Y$14=1,IF(ISNUMBER('Inputs (2)'!Y172),'Inputs (2)'!Y172,""),"")</f>
        <v/>
      </c>
      <c r="Z160" s="74" t="str">
        <f>IF(Z$14=1,IF(ISNUMBER('Inputs (2)'!Z172),'Inputs (2)'!Z172,""),"")</f>
        <v/>
      </c>
      <c r="AA160" s="74" t="str">
        <f>IF(AA$14=1,IF(ISNUMBER('Inputs (2)'!AA172),'Inputs (2)'!AA172,""),"")</f>
        <v/>
      </c>
      <c r="AB160" s="74" t="str">
        <f>IF(AB$14=1,IF(ISNUMBER('Inputs (2)'!AB172),'Inputs (2)'!AB172,""),"")</f>
        <v/>
      </c>
      <c r="AC160" s="77" t="str">
        <f>IF(COUNT(Y160:AB160)=4,SUM(Y160:AB160),"")</f>
        <v/>
      </c>
      <c r="AD160" s="74" t="str">
        <f>IF(AD$14=1,IF(ISNUMBER('Inputs (2)'!AD172),'Inputs (2)'!AD172,""),"")</f>
        <v/>
      </c>
      <c r="AE160" s="74" t="str">
        <f>IF(AE$14=1,IF(ISNUMBER('Inputs (2)'!AE172),'Inputs (2)'!AE172,""),"")</f>
        <v/>
      </c>
      <c r="AF160" s="74" t="str">
        <f>IF(AF$14=1,IF(ISNUMBER('Inputs (2)'!AF172),'Inputs (2)'!AF172,""),"")</f>
        <v/>
      </c>
      <c r="AG160" s="74" t="str">
        <f>IF(AG$14=1,IF(ISNUMBER('Inputs (2)'!AG172),'Inputs (2)'!AG172,""),"")</f>
        <v/>
      </c>
      <c r="AH160" s="77" t="str">
        <f>IF(COUNT(AD160:AG160)=4,SUM(AD160:AG160),"")</f>
        <v/>
      </c>
      <c r="AI160" s="74" t="str">
        <f>IF(AI$14=1,IF(ISNUMBER('Inputs (2)'!AI172),'Inputs (2)'!AI172,""),"")</f>
        <v/>
      </c>
      <c r="AJ160" s="74" t="str">
        <f>IF(AJ$14=1,IF(ISNUMBER('Inputs (2)'!AJ172),'Inputs (2)'!AJ172,""),"")</f>
        <v/>
      </c>
      <c r="AK160" s="74" t="str">
        <f>IF(AK$14=1,IF(ISNUMBER('Inputs (2)'!AK172),'Inputs (2)'!AK172,""),"")</f>
        <v/>
      </c>
      <c r="AL160" s="74" t="str">
        <f>IF(AL$14=1,IF(ISNUMBER('Inputs (2)'!AL172),'Inputs (2)'!AL172,""),"")</f>
        <v/>
      </c>
      <c r="AM160" s="77" t="str">
        <f>IF(COUNT(AI160:AL160)=4,SUM(AI160:AL160),"")</f>
        <v/>
      </c>
      <c r="AN160" s="74" t="str">
        <f>IF(AN$14=1,IF(ISNUMBER('Inputs (2)'!AN172),'Inputs (2)'!AN172,""),"")</f>
        <v/>
      </c>
      <c r="AO160" s="74" t="str">
        <f>IF(AO$14=1,IF(ISNUMBER('Inputs (2)'!AO172),'Inputs (2)'!AO172,""),"")</f>
        <v/>
      </c>
      <c r="AP160" s="74" t="str">
        <f>IF(AP$14=1,IF(ISNUMBER('Inputs (2)'!AP172),'Inputs (2)'!AP172,""),"")</f>
        <v/>
      </c>
      <c r="AQ160" s="74" t="str">
        <f>IF(AQ$14=1,IF(ISNUMBER('Inputs (2)'!AQ172),'Inputs (2)'!AQ172,""),"")</f>
        <v/>
      </c>
      <c r="AR160" s="77" t="str">
        <f>IF(COUNT(AN160:AQ160)=4,SUM(AN160:AQ160),"")</f>
        <v/>
      </c>
      <c r="AS160" s="74" t="str">
        <f>IF(AS$14=1,IF(ISNUMBER('Inputs (2)'!AS172),'Inputs (2)'!AS172,""),"")</f>
        <v/>
      </c>
      <c r="AT160" s="74" t="str">
        <f>IF(AT$14=1,IF(ISNUMBER('Inputs (2)'!AT172),'Inputs (2)'!AT172,""),"")</f>
        <v/>
      </c>
      <c r="AU160" s="74" t="str">
        <f>IF(AU$14=1,IF(ISNUMBER('Inputs (2)'!AU172),'Inputs (2)'!AU172,""),"")</f>
        <v/>
      </c>
      <c r="AV160" s="74" t="str">
        <f>IF(AV$14=1,IF(ISNUMBER('Inputs (2)'!AV172),'Inputs (2)'!AV172,""),"")</f>
        <v/>
      </c>
      <c r="AW160" s="77" t="str">
        <f>IF(COUNT(AS160:AV160)=4,SUM(AS160:AV160),"")</f>
        <v/>
      </c>
      <c r="AX160" s="74" t="str">
        <f>IF(AX$14=1,IF(ISNUMBER('Inputs (2)'!AX172),'Inputs (2)'!AX172,""),"")</f>
        <v/>
      </c>
      <c r="AY160" s="74" t="str">
        <f>IF(AY$14=1,IF(ISNUMBER('Inputs (2)'!AY172),'Inputs (2)'!AY172,""),"")</f>
        <v/>
      </c>
      <c r="AZ160" s="74" t="str">
        <f>IF(AZ$14=1,IF(ISNUMBER('Inputs (2)'!AZ172),'Inputs (2)'!AZ172,""),"")</f>
        <v/>
      </c>
      <c r="BA160" s="74" t="str">
        <f>IF(BA$14=1,IF(ISNUMBER('Inputs (2)'!BA172),'Inputs (2)'!BA172,""),"")</f>
        <v/>
      </c>
      <c r="BB160" s="77" t="str">
        <f>IF(COUNT(AX160:BA160)=4,SUM(AX160:BA160),"")</f>
        <v/>
      </c>
      <c r="BC160" s="74" t="str">
        <f>IF(BC$14=1,IF(ISNUMBER('Inputs (2)'!BC172),'Inputs (2)'!BC172,""),"")</f>
        <v/>
      </c>
      <c r="BD160" s="74" t="str">
        <f>IF(BD$14=1,IF(ISNUMBER('Inputs (2)'!BD172),'Inputs (2)'!BD172,""),"")</f>
        <v/>
      </c>
      <c r="BE160" s="74" t="str">
        <f>IF(BE$14=1,IF(ISNUMBER('Inputs (2)'!BE172),'Inputs (2)'!BE172,""),"")</f>
        <v/>
      </c>
      <c r="BF160" s="74" t="str">
        <f>IF(BF$14=1,IF(ISNUMBER('Inputs (2)'!BF172),'Inputs (2)'!BF172,""),"")</f>
        <v/>
      </c>
      <c r="BG160" s="77" t="str">
        <f>IF(COUNT(BC160:BF160)=4,SUM(BC160:BF160),"")</f>
        <v/>
      </c>
      <c r="BI160" s="14" t="n"/>
    </row>
    <row r="161">
      <c r="C161" s="11" t="inlineStr">
        <is>
          <t>Segmento 3 — lucro líquido</t>
        </is>
      </c>
      <c r="D161" s="12" t="inlineStr">
        <is>
          <t>Segment 3 net income</t>
        </is>
      </c>
      <c r="E161" s="74" t="str">
        <f>IF(E$14=1,IF(ISNUMBER('Inputs (2)'!E173),'Inputs (2)'!E173,""),"")</f>
        <v/>
      </c>
      <c r="F161" s="74" t="str">
        <f>IF(F$14=1,IF(ISNUMBER('Inputs (2)'!F173),'Inputs (2)'!F173,""),"")</f>
        <v/>
      </c>
      <c r="G161" s="74" t="str">
        <f>IF(G$14=1,IF(ISNUMBER('Inputs (2)'!G173),'Inputs (2)'!G173,""),"")</f>
        <v/>
      </c>
      <c r="H161" s="74" t="str">
        <f>IF(H$14=1,IF(ISNUMBER('Inputs (2)'!H173),'Inputs (2)'!H173,""),"")</f>
        <v/>
      </c>
      <c r="I161" s="77" t="str">
        <f>IF(COUNT(E161:H161)=4,SUM(E161:H161),"")</f>
        <v/>
      </c>
      <c r="J161" s="74" t="str">
        <f>IF(J$14=1,IF(ISNUMBER('Inputs (2)'!J173),'Inputs (2)'!J173,""),"")</f>
        <v/>
      </c>
      <c r="K161" s="74" t="str">
        <f>IF(K$14=1,IF(ISNUMBER('Inputs (2)'!K173),'Inputs (2)'!K173,""),"")</f>
        <v/>
      </c>
      <c r="L161" s="74" t="str">
        <f>IF(L$14=1,IF(ISNUMBER('Inputs (2)'!L173),'Inputs (2)'!L173,""),"")</f>
        <v/>
      </c>
      <c r="M161" s="74" t="str">
        <f>IF(M$14=1,IF(ISNUMBER('Inputs (2)'!M173),'Inputs (2)'!M173,""),"")</f>
        <v/>
      </c>
      <c r="N161" s="77" t="str">
        <f>IF(COUNT(J161:M161)=4,SUM(J161:M161),"")</f>
        <v/>
      </c>
      <c r="O161" s="74" t="str">
        <f>IF(O$14=1,IF(ISNUMBER('Inputs (2)'!O173),'Inputs (2)'!O173,""),"")</f>
        <v/>
      </c>
      <c r="P161" s="74" t="str">
        <f>IF(P$14=1,IF(ISNUMBER('Inputs (2)'!P173),'Inputs (2)'!P173,""),"")</f>
        <v/>
      </c>
      <c r="Q161" s="74" t="str">
        <f>IF(Q$14=1,IF(ISNUMBER('Inputs (2)'!Q173),'Inputs (2)'!Q173,""),"")</f>
        <v/>
      </c>
      <c r="R161" s="74" t="str">
        <f>IF(R$14=1,IF(ISNUMBER('Inputs (2)'!R173),'Inputs (2)'!R173,""),"")</f>
        <v/>
      </c>
      <c r="S161" s="77" t="str">
        <f>IF(COUNT(O161:R161)=4,SUM(O161:R161),"")</f>
        <v/>
      </c>
      <c r="T161" s="74" t="str">
        <f>IF(T$14=1,IF(ISNUMBER('Inputs (2)'!T173),'Inputs (2)'!T173,""),"")</f>
        <v/>
      </c>
      <c r="U161" s="74" t="str">
        <f>IF(U$14=1,IF(ISNUMBER('Inputs (2)'!U173),'Inputs (2)'!U173,""),"")</f>
        <v/>
      </c>
      <c r="V161" s="74" t="str">
        <f>IF(V$14=1,IF(ISNUMBER('Inputs (2)'!V173),'Inputs (2)'!V173,""),"")</f>
        <v/>
      </c>
      <c r="W161" s="74" t="str">
        <f>IF(W$14=1,IF(ISNUMBER('Inputs (2)'!W173),'Inputs (2)'!W173,""),"")</f>
        <v/>
      </c>
      <c r="X161" s="77" t="str">
        <f>IF(COUNT(T161:W161)=4,SUM(T161:W161),"")</f>
        <v/>
      </c>
      <c r="Y161" s="74" t="str">
        <f>IF(Y$14=1,IF(ISNUMBER('Inputs (2)'!Y173),'Inputs (2)'!Y173,""),"")</f>
        <v/>
      </c>
      <c r="Z161" s="74" t="str">
        <f>IF(Z$14=1,IF(ISNUMBER('Inputs (2)'!Z173),'Inputs (2)'!Z173,""),"")</f>
        <v/>
      </c>
      <c r="AA161" s="74" t="str">
        <f>IF(AA$14=1,IF(ISNUMBER('Inputs (2)'!AA173),'Inputs (2)'!AA173,""),"")</f>
        <v/>
      </c>
      <c r="AB161" s="74" t="str">
        <f>IF(AB$14=1,IF(ISNUMBER('Inputs (2)'!AB173),'Inputs (2)'!AB173,""),"")</f>
        <v/>
      </c>
      <c r="AC161" s="77" t="str">
        <f>IF(COUNT(Y161:AB161)=4,SUM(Y161:AB161),"")</f>
        <v/>
      </c>
      <c r="AD161" s="74" t="str">
        <f>IF(AD$14=1,IF(ISNUMBER('Inputs (2)'!AD173),'Inputs (2)'!AD173,""),"")</f>
        <v/>
      </c>
      <c r="AE161" s="74" t="str">
        <f>IF(AE$14=1,IF(ISNUMBER('Inputs (2)'!AE173),'Inputs (2)'!AE173,""),"")</f>
        <v/>
      </c>
      <c r="AF161" s="74" t="str">
        <f>IF(AF$14=1,IF(ISNUMBER('Inputs (2)'!AF173),'Inputs (2)'!AF173,""),"")</f>
        <v/>
      </c>
      <c r="AG161" s="74" t="str">
        <f>IF(AG$14=1,IF(ISNUMBER('Inputs (2)'!AG173),'Inputs (2)'!AG173,""),"")</f>
        <v/>
      </c>
      <c r="AH161" s="77" t="str">
        <f>IF(COUNT(AD161:AG161)=4,SUM(AD161:AG161),"")</f>
        <v/>
      </c>
      <c r="AI161" s="74" t="str">
        <f>IF(AI$14=1,IF(ISNUMBER('Inputs (2)'!AI173),'Inputs (2)'!AI173,""),"")</f>
        <v/>
      </c>
      <c r="AJ161" s="74" t="str">
        <f>IF(AJ$14=1,IF(ISNUMBER('Inputs (2)'!AJ173),'Inputs (2)'!AJ173,""),"")</f>
        <v/>
      </c>
      <c r="AK161" s="74" t="str">
        <f>IF(AK$14=1,IF(ISNUMBER('Inputs (2)'!AK173),'Inputs (2)'!AK173,""),"")</f>
        <v/>
      </c>
      <c r="AL161" s="74" t="str">
        <f>IF(AL$14=1,IF(ISNUMBER('Inputs (2)'!AL173),'Inputs (2)'!AL173,""),"")</f>
        <v/>
      </c>
      <c r="AM161" s="77" t="str">
        <f>IF(COUNT(AI161:AL161)=4,SUM(AI161:AL161),"")</f>
        <v/>
      </c>
      <c r="AN161" s="74" t="str">
        <f>IF(AN$14=1,IF(ISNUMBER('Inputs (2)'!AN173),'Inputs (2)'!AN173,""),"")</f>
        <v/>
      </c>
      <c r="AO161" s="74" t="str">
        <f>IF(AO$14=1,IF(ISNUMBER('Inputs (2)'!AO173),'Inputs (2)'!AO173,""),"")</f>
        <v/>
      </c>
      <c r="AP161" s="74" t="str">
        <f>IF(AP$14=1,IF(ISNUMBER('Inputs (2)'!AP173),'Inputs (2)'!AP173,""),"")</f>
        <v/>
      </c>
      <c r="AQ161" s="74" t="str">
        <f>IF(AQ$14=1,IF(ISNUMBER('Inputs (2)'!AQ173),'Inputs (2)'!AQ173,""),"")</f>
        <v/>
      </c>
      <c r="AR161" s="77" t="str">
        <f>IF(COUNT(AN161:AQ161)=4,SUM(AN161:AQ161),"")</f>
        <v/>
      </c>
      <c r="AS161" s="74" t="str">
        <f>IF(AS$14=1,IF(ISNUMBER('Inputs (2)'!AS173),'Inputs (2)'!AS173,""),"")</f>
        <v/>
      </c>
      <c r="AT161" s="74" t="str">
        <f>IF(AT$14=1,IF(ISNUMBER('Inputs (2)'!AT173),'Inputs (2)'!AT173,""),"")</f>
        <v/>
      </c>
      <c r="AU161" s="74" t="str">
        <f>IF(AU$14=1,IF(ISNUMBER('Inputs (2)'!AU173),'Inputs (2)'!AU173,""),"")</f>
        <v/>
      </c>
      <c r="AV161" s="74" t="str">
        <f>IF(AV$14=1,IF(ISNUMBER('Inputs (2)'!AV173),'Inputs (2)'!AV173,""),"")</f>
        <v/>
      </c>
      <c r="AW161" s="77" t="str">
        <f>IF(COUNT(AS161:AV161)=4,SUM(AS161:AV161),"")</f>
        <v/>
      </c>
      <c r="AX161" s="74" t="str">
        <f>IF(AX$14=1,IF(ISNUMBER('Inputs (2)'!AX173),'Inputs (2)'!AX173,""),"")</f>
        <v/>
      </c>
      <c r="AY161" s="74" t="str">
        <f>IF(AY$14=1,IF(ISNUMBER('Inputs (2)'!AY173),'Inputs (2)'!AY173,""),"")</f>
        <v/>
      </c>
      <c r="AZ161" s="74" t="str">
        <f>IF(AZ$14=1,IF(ISNUMBER('Inputs (2)'!AZ173),'Inputs (2)'!AZ173,""),"")</f>
        <v/>
      </c>
      <c r="BA161" s="74" t="str">
        <f>IF(BA$14=1,IF(ISNUMBER('Inputs (2)'!BA173),'Inputs (2)'!BA173,""),"")</f>
        <v/>
      </c>
      <c r="BB161" s="77" t="str">
        <f>IF(COUNT(AX161:BA161)=4,SUM(AX161:BA161),"")</f>
        <v/>
      </c>
      <c r="BC161" s="74" t="str">
        <f>IF(BC$14=1,IF(ISNUMBER('Inputs (2)'!BC173),'Inputs (2)'!BC173,""),"")</f>
        <v/>
      </c>
      <c r="BD161" s="74" t="str">
        <f>IF(BD$14=1,IF(ISNUMBER('Inputs (2)'!BD173),'Inputs (2)'!BD173,""),"")</f>
        <v/>
      </c>
      <c r="BE161" s="74" t="str">
        <f>IF(BE$14=1,IF(ISNUMBER('Inputs (2)'!BE173),'Inputs (2)'!BE173,""),"")</f>
        <v/>
      </c>
      <c r="BF161" s="74" t="str">
        <f>IF(BF$14=1,IF(ISNUMBER('Inputs (2)'!BF173),'Inputs (2)'!BF173,""),"")</f>
        <v/>
      </c>
      <c r="BG161" s="77" t="str">
        <f>IF(COUNT(BC161:BF161)=4,SUM(BC161:BF161),"")</f>
        <v/>
      </c>
      <c r="BI161" s="14" t="n"/>
    </row>
    <row r="162">
      <c r="C162" s="11" t="inlineStr">
        <is>
          <t>Segmento 4 — lucro líquido</t>
        </is>
      </c>
      <c r="D162" s="12" t="inlineStr">
        <is>
          <t>Segment 4 net income</t>
        </is>
      </c>
      <c r="E162" s="74" t="str">
        <f>IF(E$14=1,IF(ISNUMBER('Inputs (2)'!E174),'Inputs (2)'!E174,""),"")</f>
        <v/>
      </c>
      <c r="F162" s="74" t="str">
        <f>IF(F$14=1,IF(ISNUMBER('Inputs (2)'!F174),'Inputs (2)'!F174,""),"")</f>
        <v/>
      </c>
      <c r="G162" s="74" t="str">
        <f>IF(G$14=1,IF(ISNUMBER('Inputs (2)'!G174),'Inputs (2)'!G174,""),"")</f>
        <v/>
      </c>
      <c r="H162" s="74" t="str">
        <f>IF(H$14=1,IF(ISNUMBER('Inputs (2)'!H174),'Inputs (2)'!H174,""),"")</f>
        <v/>
      </c>
      <c r="I162" s="77" t="str">
        <f>IF(COUNT(E162:H162)=4,SUM(E162:H162),"")</f>
        <v/>
      </c>
      <c r="J162" s="74" t="str">
        <f>IF(J$14=1,IF(ISNUMBER('Inputs (2)'!J174),'Inputs (2)'!J174,""),"")</f>
        <v/>
      </c>
      <c r="K162" s="74" t="str">
        <f>IF(K$14=1,IF(ISNUMBER('Inputs (2)'!K174),'Inputs (2)'!K174,""),"")</f>
        <v/>
      </c>
      <c r="L162" s="74" t="str">
        <f>IF(L$14=1,IF(ISNUMBER('Inputs (2)'!L174),'Inputs (2)'!L174,""),"")</f>
        <v/>
      </c>
      <c r="M162" s="74" t="str">
        <f>IF(M$14=1,IF(ISNUMBER('Inputs (2)'!M174),'Inputs (2)'!M174,""),"")</f>
        <v/>
      </c>
      <c r="N162" s="77" t="str">
        <f>IF(COUNT(J162:M162)=4,SUM(J162:M162),"")</f>
        <v/>
      </c>
      <c r="O162" s="74" t="str">
        <f>IF(O$14=1,IF(ISNUMBER('Inputs (2)'!O174),'Inputs (2)'!O174,""),"")</f>
        <v/>
      </c>
      <c r="P162" s="74" t="str">
        <f>IF(P$14=1,IF(ISNUMBER('Inputs (2)'!P174),'Inputs (2)'!P174,""),"")</f>
        <v/>
      </c>
      <c r="Q162" s="74" t="str">
        <f>IF(Q$14=1,IF(ISNUMBER('Inputs (2)'!Q174),'Inputs (2)'!Q174,""),"")</f>
        <v/>
      </c>
      <c r="R162" s="74" t="str">
        <f>IF(R$14=1,IF(ISNUMBER('Inputs (2)'!R174),'Inputs (2)'!R174,""),"")</f>
        <v/>
      </c>
      <c r="S162" s="77" t="str">
        <f>IF(COUNT(O162:R162)=4,SUM(O162:R162),"")</f>
        <v/>
      </c>
      <c r="T162" s="74" t="str">
        <f>IF(T$14=1,IF(ISNUMBER('Inputs (2)'!T174),'Inputs (2)'!T174,""),"")</f>
        <v/>
      </c>
      <c r="U162" s="74" t="str">
        <f>IF(U$14=1,IF(ISNUMBER('Inputs (2)'!U174),'Inputs (2)'!U174,""),"")</f>
        <v/>
      </c>
      <c r="V162" s="74" t="str">
        <f>IF(V$14=1,IF(ISNUMBER('Inputs (2)'!V174),'Inputs (2)'!V174,""),"")</f>
        <v/>
      </c>
      <c r="W162" s="74" t="str">
        <f>IF(W$14=1,IF(ISNUMBER('Inputs (2)'!W174),'Inputs (2)'!W174,""),"")</f>
        <v/>
      </c>
      <c r="X162" s="77" t="str">
        <f>IF(COUNT(T162:W162)=4,SUM(T162:W162),"")</f>
        <v/>
      </c>
      <c r="Y162" s="74" t="str">
        <f>IF(Y$14=1,IF(ISNUMBER('Inputs (2)'!Y174),'Inputs (2)'!Y174,""),"")</f>
        <v/>
      </c>
      <c r="Z162" s="74" t="str">
        <f>IF(Z$14=1,IF(ISNUMBER('Inputs (2)'!Z174),'Inputs (2)'!Z174,""),"")</f>
        <v/>
      </c>
      <c r="AA162" s="74" t="str">
        <f>IF(AA$14=1,IF(ISNUMBER('Inputs (2)'!AA174),'Inputs (2)'!AA174,""),"")</f>
        <v/>
      </c>
      <c r="AB162" s="74" t="str">
        <f>IF(AB$14=1,IF(ISNUMBER('Inputs (2)'!AB174),'Inputs (2)'!AB174,""),"")</f>
        <v/>
      </c>
      <c r="AC162" s="77" t="str">
        <f>IF(COUNT(Y162:AB162)=4,SUM(Y162:AB162),"")</f>
        <v/>
      </c>
      <c r="AD162" s="74" t="str">
        <f>IF(AD$14=1,IF(ISNUMBER('Inputs (2)'!AD174),'Inputs (2)'!AD174,""),"")</f>
        <v/>
      </c>
      <c r="AE162" s="74" t="str">
        <f>IF(AE$14=1,IF(ISNUMBER('Inputs (2)'!AE174),'Inputs (2)'!AE174,""),"")</f>
        <v/>
      </c>
      <c r="AF162" s="74" t="str">
        <f>IF(AF$14=1,IF(ISNUMBER('Inputs (2)'!AF174),'Inputs (2)'!AF174,""),"")</f>
        <v/>
      </c>
      <c r="AG162" s="74" t="str">
        <f>IF(AG$14=1,IF(ISNUMBER('Inputs (2)'!AG174),'Inputs (2)'!AG174,""),"")</f>
        <v/>
      </c>
      <c r="AH162" s="77" t="str">
        <f>IF(COUNT(AD162:AG162)=4,SUM(AD162:AG162),"")</f>
        <v/>
      </c>
      <c r="AI162" s="74" t="str">
        <f>IF(AI$14=1,IF(ISNUMBER('Inputs (2)'!AI174),'Inputs (2)'!AI174,""),"")</f>
        <v/>
      </c>
      <c r="AJ162" s="74" t="str">
        <f>IF(AJ$14=1,IF(ISNUMBER('Inputs (2)'!AJ174),'Inputs (2)'!AJ174,""),"")</f>
        <v/>
      </c>
      <c r="AK162" s="74" t="str">
        <f>IF(AK$14=1,IF(ISNUMBER('Inputs (2)'!AK174),'Inputs (2)'!AK174,""),"")</f>
        <v/>
      </c>
      <c r="AL162" s="74" t="str">
        <f>IF(AL$14=1,IF(ISNUMBER('Inputs (2)'!AL174),'Inputs (2)'!AL174,""),"")</f>
        <v/>
      </c>
      <c r="AM162" s="77" t="str">
        <f>IF(COUNT(AI162:AL162)=4,SUM(AI162:AL162),"")</f>
        <v/>
      </c>
      <c r="AN162" s="74" t="str">
        <f>IF(AN$14=1,IF(ISNUMBER('Inputs (2)'!AN174),'Inputs (2)'!AN174,""),"")</f>
        <v/>
      </c>
      <c r="AO162" s="74" t="str">
        <f>IF(AO$14=1,IF(ISNUMBER('Inputs (2)'!AO174),'Inputs (2)'!AO174,""),"")</f>
        <v/>
      </c>
      <c r="AP162" s="74" t="str">
        <f>IF(AP$14=1,IF(ISNUMBER('Inputs (2)'!AP174),'Inputs (2)'!AP174,""),"")</f>
        <v/>
      </c>
      <c r="AQ162" s="74" t="str">
        <f>IF(AQ$14=1,IF(ISNUMBER('Inputs (2)'!AQ174),'Inputs (2)'!AQ174,""),"")</f>
        <v/>
      </c>
      <c r="AR162" s="77" t="str">
        <f>IF(COUNT(AN162:AQ162)=4,SUM(AN162:AQ162),"")</f>
        <v/>
      </c>
      <c r="AS162" s="74" t="str">
        <f>IF(AS$14=1,IF(ISNUMBER('Inputs (2)'!AS174),'Inputs (2)'!AS174,""),"")</f>
        <v/>
      </c>
      <c r="AT162" s="74" t="str">
        <f>IF(AT$14=1,IF(ISNUMBER('Inputs (2)'!AT174),'Inputs (2)'!AT174,""),"")</f>
        <v/>
      </c>
      <c r="AU162" s="74" t="str">
        <f>IF(AU$14=1,IF(ISNUMBER('Inputs (2)'!AU174),'Inputs (2)'!AU174,""),"")</f>
        <v/>
      </c>
      <c r="AV162" s="74" t="str">
        <f>IF(AV$14=1,IF(ISNUMBER('Inputs (2)'!AV174),'Inputs (2)'!AV174,""),"")</f>
        <v/>
      </c>
      <c r="AW162" s="77" t="str">
        <f>IF(COUNT(AS162:AV162)=4,SUM(AS162:AV162),"")</f>
        <v/>
      </c>
      <c r="AX162" s="74" t="str">
        <f>IF(AX$14=1,IF(ISNUMBER('Inputs (2)'!AX174),'Inputs (2)'!AX174,""),"")</f>
        <v/>
      </c>
      <c r="AY162" s="74" t="str">
        <f>IF(AY$14=1,IF(ISNUMBER('Inputs (2)'!AY174),'Inputs (2)'!AY174,""),"")</f>
        <v/>
      </c>
      <c r="AZ162" s="74" t="str">
        <f>IF(AZ$14=1,IF(ISNUMBER('Inputs (2)'!AZ174),'Inputs (2)'!AZ174,""),"")</f>
        <v/>
      </c>
      <c r="BA162" s="74" t="str">
        <f>IF(BA$14=1,IF(ISNUMBER('Inputs (2)'!BA174),'Inputs (2)'!BA174,""),"")</f>
        <v/>
      </c>
      <c r="BB162" s="77" t="str">
        <f>IF(COUNT(AX162:BA162)=4,SUM(AX162:BA162),"")</f>
        <v/>
      </c>
      <c r="BC162" s="74" t="str">
        <f>IF(BC$14=1,IF(ISNUMBER('Inputs (2)'!BC174),'Inputs (2)'!BC174,""),"")</f>
        <v/>
      </c>
      <c r="BD162" s="74" t="str">
        <f>IF(BD$14=1,IF(ISNUMBER('Inputs (2)'!BD174),'Inputs (2)'!BD174,""),"")</f>
        <v/>
      </c>
      <c r="BE162" s="74" t="str">
        <f>IF(BE$14=1,IF(ISNUMBER('Inputs (2)'!BE174),'Inputs (2)'!BE174,""),"")</f>
        <v/>
      </c>
      <c r="BF162" s="74" t="str">
        <f>IF(BF$14=1,IF(ISNUMBER('Inputs (2)'!BF174),'Inputs (2)'!BF174,""),"")</f>
        <v/>
      </c>
      <c r="BG162" s="77" t="str">
        <f>IF(COUNT(BC162:BF162)=4,SUM(BC162:BF162),"")</f>
        <v/>
      </c>
      <c r="BI162" s="14" t="n"/>
    </row>
    <row r="164">
      <c r="B164" s="7" t="n"/>
      <c r="C164" s="7" t="str">
        <f>"QUALIDADE DE CRÉDITO ("&amp;Inputs!$E$202&amp;")"</f>
        <v>QUALIDADE DE CRÉDITO (US$ milhões)</v>
      </c>
      <c r="D164" s="7" t="inlineStr">
        <is>
          <t>ASSET QUALITY</t>
        </is>
      </c>
      <c r="E164" s="7" t="n"/>
      <c r="F164" s="7" t="n"/>
      <c r="G164" s="7" t="n"/>
      <c r="H164" s="7" t="n"/>
      <c r="I164" s="7" t="n"/>
      <c r="J164" s="7" t="n"/>
      <c r="K164" s="7" t="n"/>
      <c r="L164" s="7" t="n"/>
      <c r="M164" s="7" t="n"/>
      <c r="N164" s="7" t="n"/>
      <c r="O164" s="7" t="n"/>
      <c r="P164" s="7" t="n"/>
      <c r="Q164" s="7" t="n"/>
      <c r="R164" s="7" t="n"/>
      <c r="S164" s="7" t="n"/>
      <c r="T164" s="7" t="n"/>
      <c r="U164" s="7" t="n"/>
      <c r="V164" s="7" t="n"/>
      <c r="W164" s="7" t="n"/>
      <c r="X164" s="7" t="n"/>
      <c r="Y164" s="7" t="n"/>
      <c r="Z164" s="7" t="n"/>
      <c r="AA164" s="7" t="n"/>
      <c r="AB164" s="7" t="n"/>
      <c r="AC164" s="7" t="n"/>
      <c r="AD164" s="7" t="n"/>
      <c r="AE164" s="7" t="n"/>
      <c r="AF164" s="7" t="n"/>
      <c r="AG164" s="7" t="n"/>
      <c r="AH164" s="7" t="n"/>
      <c r="AI164" s="7" t="n"/>
      <c r="AJ164" s="7" t="n"/>
      <c r="AK164" s="7" t="n"/>
      <c r="AL164" s="7" t="n"/>
      <c r="AM164" s="7" t="n"/>
      <c r="AN164" s="7" t="n"/>
      <c r="AO164" s="7" t="n"/>
      <c r="AP164" s="7" t="n"/>
      <c r="AQ164" s="7" t="n"/>
      <c r="AR164" s="7" t="n"/>
      <c r="AS164" s="7" t="n"/>
      <c r="AT164" s="7" t="n"/>
      <c r="AU164" s="7" t="n"/>
      <c r="AV164" s="7" t="n"/>
      <c r="AW164" s="7" t="n"/>
      <c r="AX164" s="7" t="n"/>
      <c r="AY164" s="7" t="n"/>
      <c r="AZ164" s="7" t="n"/>
      <c r="BA164" s="7" t="n"/>
      <c r="BB164" s="7" t="n"/>
      <c r="BC164" s="7" t="n"/>
      <c r="BD164" s="7" t="n"/>
      <c r="BE164" s="7" t="n"/>
      <c r="BF164" s="7" t="n"/>
      <c r="BG164" s="7" t="n"/>
      <c r="BH164" s="7" t="n"/>
      <c r="BI164" s="7" t="n"/>
    </row>
    <row r="165">
      <c r="C165" s="80" t="inlineStr">
        <is>
          <t>Empréstimos totais</t>
        </is>
      </c>
      <c r="D165" s="81" t="inlineStr">
        <is>
          <t>Total loans</t>
        </is>
      </c>
      <c r="E165" s="82">
        <f>'Inputs (2)'!E114</f>
        <v>0</v>
      </c>
      <c r="F165" s="82">
        <f>IF(F$14=1,'Inputs (2)'!F114,E165*(1+Inputs!F$271))</f>
        <v>0</v>
      </c>
      <c r="G165" s="82">
        <f>IF(G$14=1,'Inputs (2)'!G114,F165*(1+Inputs!G$271))</f>
        <v>0</v>
      </c>
      <c r="H165" s="82">
        <f>IF(H$14=1,'Inputs (2)'!H114,G165*(1+Inputs!H$271))</f>
        <v>0</v>
      </c>
      <c r="I165" s="77">
        <f>H165</f>
        <v>0</v>
      </c>
      <c r="J165" s="82">
        <f>IF(J$14=1,'Inputs (2)'!J114,H165*(1+Inputs!J$271))</f>
        <v>0</v>
      </c>
      <c r="K165" s="82">
        <f>IF(K$14=1,'Inputs (2)'!K114,J165*(1+Inputs!K$271))</f>
        <v>0</v>
      </c>
      <c r="L165" s="82">
        <f>IF(L$14=1,'Inputs (2)'!L114,K165*(1+Inputs!L$271))</f>
        <v>0</v>
      </c>
      <c r="M165" s="82">
        <f>IF(M$14=1,'Inputs (2)'!M114,L165*(1+Inputs!M$271))</f>
        <v>0</v>
      </c>
      <c r="N165" s="77">
        <f>M165</f>
        <v>0</v>
      </c>
      <c r="O165" s="82">
        <f>IF(O$14=1,'Inputs (2)'!O114,M165*(1+Inputs!O$271))</f>
        <v>0</v>
      </c>
      <c r="P165" s="82">
        <f>IF(P$14=1,'Inputs (2)'!P114,O165*(1+Inputs!P$271))</f>
        <v>0</v>
      </c>
      <c r="Q165" s="82">
        <f>IF(Q$14=1,'Inputs (2)'!Q114,P165*(1+Inputs!Q$271))</f>
        <v>0</v>
      </c>
      <c r="R165" s="82">
        <f>IF(R$14=1,'Inputs (2)'!R114,Q165*(1+Inputs!R$271))</f>
        <v>0</v>
      </c>
      <c r="S165" s="77">
        <f>R165</f>
        <v>0</v>
      </c>
      <c r="T165" s="82">
        <f>IF(T$14=1,'Inputs (2)'!T114,R165*(1+Inputs!T$271))</f>
        <v>0</v>
      </c>
      <c r="U165" s="82">
        <f>IF(U$14=1,'Inputs (2)'!U114,T165*(1+Inputs!U$271))</f>
        <v>0</v>
      </c>
      <c r="V165" s="82">
        <f>IF(V$14=1,'Inputs (2)'!V114,U165*(1+Inputs!V$271))</f>
        <v>0</v>
      </c>
      <c r="W165" s="82">
        <f>IF(W$14=1,'Inputs (2)'!W114,V165*(1+Inputs!W$271))</f>
        <v>0</v>
      </c>
      <c r="X165" s="77">
        <f>W165</f>
        <v>0</v>
      </c>
      <c r="Y165" s="82">
        <f>IF(Y$14=1,'Inputs (2)'!Y114,W165*(1+Inputs!Y$271))</f>
        <v>0</v>
      </c>
      <c r="Z165" s="82">
        <f>IF(Z$14=1,'Inputs (2)'!Z114,Y165*(1+Inputs!Z$271))</f>
        <v>0</v>
      </c>
      <c r="AA165" s="82">
        <f>IF(AA$14=1,'Inputs (2)'!AA114,Z165*(1+Inputs!AA$271))</f>
        <v>0</v>
      </c>
      <c r="AB165" s="82">
        <f>IF(AB$14=1,'Inputs (2)'!AB114,AA165*(1+Inputs!AB$271))</f>
        <v>0</v>
      </c>
      <c r="AC165" s="77">
        <f>AB165</f>
        <v>0</v>
      </c>
      <c r="AD165" s="82">
        <f>IF(AD$14=1,'Inputs (2)'!AD114,AB165*(1+Inputs!AD$271))</f>
        <v>0</v>
      </c>
      <c r="AE165" s="82">
        <f>IF(AE$14=1,'Inputs (2)'!AE114,AD165*(1+Inputs!AE$271))</f>
        <v>0</v>
      </c>
      <c r="AF165" s="82">
        <f>IF(AF$14=1,'Inputs (2)'!AF114,AE165*(1+Inputs!AF$271))</f>
        <v>0</v>
      </c>
      <c r="AG165" s="82">
        <f>IF(AG$14=1,'Inputs (2)'!AG114,AF165*(1+Inputs!AG$271))</f>
        <v>0</v>
      </c>
      <c r="AH165" s="77">
        <f>AG165</f>
        <v>0</v>
      </c>
      <c r="AI165" s="82">
        <f>IF(AI$14=1,'Inputs (2)'!AI114,AG165*(1+Inputs!AI$271))</f>
        <v>0</v>
      </c>
      <c r="AJ165" s="82">
        <f>IF(AJ$14=1,'Inputs (2)'!AJ114,AI165*(1+Inputs!AJ$271))</f>
        <v>0</v>
      </c>
      <c r="AK165" s="82">
        <f>IF(AK$14=1,'Inputs (2)'!AK114,AJ165*(1+Inputs!AK$271))</f>
        <v>0</v>
      </c>
      <c r="AL165" s="82">
        <f>IF(AL$14=1,'Inputs (2)'!AL114,AK165*(1+Inputs!AL$271))</f>
        <v>0</v>
      </c>
      <c r="AM165" s="77">
        <f>AL165</f>
        <v>0</v>
      </c>
      <c r="AN165" s="82">
        <f>IF(AN$14=1,'Inputs (2)'!AN114,AL165*(1+Inputs!AN$271))</f>
        <v>0</v>
      </c>
      <c r="AO165" s="82">
        <f>IF(AO$14=1,'Inputs (2)'!AO114,AN165*(1+Inputs!AO$271))</f>
        <v>0</v>
      </c>
      <c r="AP165" s="82">
        <f>IF(AP$14=1,'Inputs (2)'!AP114,AO165*(1+Inputs!AP$271))</f>
        <v>0</v>
      </c>
      <c r="AQ165" s="82">
        <f>IF(AQ$14=1,'Inputs (2)'!AQ114,AP165*(1+Inputs!AQ$271))</f>
        <v>0</v>
      </c>
      <c r="AR165" s="77">
        <f>AQ165</f>
        <v>0</v>
      </c>
      <c r="AS165" s="82">
        <f>IF(AS$14=1,'Inputs (2)'!AS114,AQ165*(1+Inputs!AS$271))</f>
        <v>0</v>
      </c>
      <c r="AT165" s="82">
        <f>IF(AT$14=1,'Inputs (2)'!AT114,AS165*(1+Inputs!AT$271))</f>
        <v>0</v>
      </c>
      <c r="AU165" s="82">
        <f>IF(AU$14=1,'Inputs (2)'!AU114,AT165*(1+Inputs!AU$271))</f>
        <v>0</v>
      </c>
      <c r="AV165" s="82">
        <f>IF(AV$14=1,'Inputs (2)'!AV114,AU165*(1+Inputs!AV$271))</f>
        <v>0</v>
      </c>
      <c r="AW165" s="77">
        <f>AV165</f>
        <v>0</v>
      </c>
      <c r="AX165" s="82">
        <f>IF(AX$14=1,'Inputs (2)'!AX114,AV165*(1+Inputs!AX$271))</f>
        <v>0</v>
      </c>
      <c r="AY165" s="82">
        <f>IF(AY$14=1,'Inputs (2)'!AY114,AX165*(1+Inputs!AY$271))</f>
        <v>0</v>
      </c>
      <c r="AZ165" s="82">
        <f>IF(AZ$14=1,'Inputs (2)'!AZ114,AY165*(1+Inputs!AZ$271))</f>
        <v>0</v>
      </c>
      <c r="BA165" s="82">
        <f>IF(BA$14=1,'Inputs (2)'!BA114,AZ165*(1+Inputs!BA$271))</f>
        <v>0</v>
      </c>
      <c r="BB165" s="77">
        <f>BA165</f>
        <v>0</v>
      </c>
      <c r="BC165" s="82">
        <f>IF(BC$14=1,'Inputs (2)'!BC114,BA165*(1+Inputs!BC$271))</f>
        <v>0</v>
      </c>
      <c r="BD165" s="82">
        <f>IF(BD$14=1,'Inputs (2)'!BD114,BC165*(1+Inputs!BD$271))</f>
        <v>0</v>
      </c>
      <c r="BE165" s="82">
        <f>IF(BE$14=1,'Inputs (2)'!BE114,BD165*(1+Inputs!BE$271))</f>
        <v>0</v>
      </c>
      <c r="BF165" s="82">
        <f>IF(BF$14=1,'Inputs (2)'!BF114,BE165*(1+Inputs!BF$271))</f>
        <v>0</v>
      </c>
      <c r="BG165" s="77">
        <f>BF165</f>
        <v>0</v>
      </c>
    </row>
    <row r="166">
      <c r="C166" s="80" t="inlineStr">
        <is>
          <t>ACL de empréstimos</t>
        </is>
      </c>
      <c r="D166" s="81" t="inlineStr">
        <is>
          <t>Allowance for loan losses</t>
        </is>
      </c>
      <c r="E166" s="82">
        <f>-E33</f>
        <v>0</v>
      </c>
      <c r="F166" s="82">
        <f>-F33</f>
        <v>0</v>
      </c>
      <c r="G166" s="82">
        <f>-G33</f>
        <v>0</v>
      </c>
      <c r="H166" s="82">
        <f>-H33</f>
        <v>0</v>
      </c>
      <c r="I166" s="77">
        <f>H166</f>
        <v>0</v>
      </c>
      <c r="J166" s="82">
        <f>-J33</f>
        <v>0</v>
      </c>
      <c r="K166" s="82">
        <f>-K33</f>
        <v>0</v>
      </c>
      <c r="L166" s="82">
        <f>-L33</f>
        <v>0</v>
      </c>
      <c r="M166" s="82">
        <f>-M33</f>
        <v>0</v>
      </c>
      <c r="N166" s="77">
        <f>M166</f>
        <v>0</v>
      </c>
      <c r="O166" s="82">
        <f>-O33</f>
        <v>0</v>
      </c>
      <c r="P166" s="82">
        <f>-P33</f>
        <v>0</v>
      </c>
      <c r="Q166" s="82">
        <f>-Q33</f>
        <v>0</v>
      </c>
      <c r="R166" s="82">
        <f>-R33</f>
        <v>0</v>
      </c>
      <c r="S166" s="77">
        <f>R166</f>
        <v>0</v>
      </c>
      <c r="T166" s="82">
        <f>-T33</f>
        <v>0</v>
      </c>
      <c r="U166" s="82">
        <f>-U33</f>
        <v>0</v>
      </c>
      <c r="V166" s="82">
        <f>-V33</f>
        <v>0</v>
      </c>
      <c r="W166" s="82">
        <f>-W33</f>
        <v>0</v>
      </c>
      <c r="X166" s="77">
        <f>W166</f>
        <v>0</v>
      </c>
      <c r="Y166" s="82">
        <f>-Y33</f>
        <v>0</v>
      </c>
      <c r="Z166" s="82">
        <f>-Z33</f>
        <v>0</v>
      </c>
      <c r="AA166" s="82">
        <f>-AA33</f>
        <v>0</v>
      </c>
      <c r="AB166" s="82">
        <f>-AB33</f>
        <v>0</v>
      </c>
      <c r="AC166" s="77">
        <f>AB166</f>
        <v>0</v>
      </c>
      <c r="AD166" s="82">
        <f>-AD33</f>
        <v>0</v>
      </c>
      <c r="AE166" s="82">
        <f>-AE33</f>
        <v>0</v>
      </c>
      <c r="AF166" s="82">
        <f>-AF33</f>
        <v>0</v>
      </c>
      <c r="AG166" s="82">
        <f>-AG33</f>
        <v>0</v>
      </c>
      <c r="AH166" s="77">
        <f>AG166</f>
        <v>0</v>
      </c>
      <c r="AI166" s="82">
        <f>-AI33</f>
        <v>0</v>
      </c>
      <c r="AJ166" s="82">
        <f>-AJ33</f>
        <v>0</v>
      </c>
      <c r="AK166" s="82">
        <f>-AK33</f>
        <v>0</v>
      </c>
      <c r="AL166" s="82">
        <f>-AL33</f>
        <v>0</v>
      </c>
      <c r="AM166" s="77">
        <f>AL166</f>
        <v>0</v>
      </c>
      <c r="AN166" s="82">
        <f>-AN33</f>
        <v>0</v>
      </c>
      <c r="AO166" s="82">
        <f>-AO33</f>
        <v>0</v>
      </c>
      <c r="AP166" s="82">
        <f>-AP33</f>
        <v>0</v>
      </c>
      <c r="AQ166" s="82">
        <f>-AQ33</f>
        <v>0</v>
      </c>
      <c r="AR166" s="77">
        <f>AQ166</f>
        <v>0</v>
      </c>
      <c r="AS166" s="82">
        <f>-AS33</f>
        <v>0</v>
      </c>
      <c r="AT166" s="82">
        <f>-AT33</f>
        <v>0</v>
      </c>
      <c r="AU166" s="82">
        <f>-AU33</f>
        <v>0</v>
      </c>
      <c r="AV166" s="82">
        <f>-AV33</f>
        <v>0</v>
      </c>
      <c r="AW166" s="77">
        <f>AV166</f>
        <v>0</v>
      </c>
      <c r="AX166" s="82">
        <f>-AX33</f>
        <v>0</v>
      </c>
      <c r="AY166" s="82">
        <f>-AY33</f>
        <v>0</v>
      </c>
      <c r="AZ166" s="82">
        <f>-AZ33</f>
        <v>0</v>
      </c>
      <c r="BA166" s="82">
        <f>-BA33</f>
        <v>0</v>
      </c>
      <c r="BB166" s="77">
        <f>BA166</f>
        <v>0</v>
      </c>
      <c r="BC166" s="82">
        <f>-BC33</f>
        <v>0</v>
      </c>
      <c r="BD166" s="82">
        <f>-BD33</f>
        <v>0</v>
      </c>
      <c r="BE166" s="82">
        <f>-BE33</f>
        <v>0</v>
      </c>
      <c r="BF166" s="82">
        <f>-BF33</f>
        <v>0</v>
      </c>
      <c r="BG166" s="77">
        <f>BF166</f>
        <v>0</v>
      </c>
    </row>
    <row r="167">
      <c r="C167" s="80" t="inlineStr">
        <is>
          <t>Empréstimos em nonaccrual</t>
        </is>
      </c>
      <c r="D167" s="81" t="inlineStr">
        <is>
          <t>Nonaccrual loans</t>
        </is>
      </c>
      <c r="E167" s="82">
        <f>'Inputs (2)'!E118</f>
        <v>0</v>
      </c>
      <c r="F167" s="82">
        <f>IF(F$14=1,'Inputs (2)'!F118,E167*(1+Inputs!F$271))</f>
        <v>0</v>
      </c>
      <c r="G167" s="82">
        <f>IF(G$14=1,'Inputs (2)'!G118,F167*(1+Inputs!G$271))</f>
        <v>0</v>
      </c>
      <c r="H167" s="82">
        <f>IF(H$14=1,'Inputs (2)'!H118,G167*(1+Inputs!H$271))</f>
        <v>0</v>
      </c>
      <c r="I167" s="77">
        <f>H167</f>
        <v>0</v>
      </c>
      <c r="J167" s="82">
        <f>IF(J$14=1,'Inputs (2)'!J118,H167*(1+Inputs!J$271))</f>
        <v>0</v>
      </c>
      <c r="K167" s="82">
        <f>IF(K$14=1,'Inputs (2)'!K118,J167*(1+Inputs!K$271))</f>
        <v>0</v>
      </c>
      <c r="L167" s="82">
        <f>IF(L$14=1,'Inputs (2)'!L118,K167*(1+Inputs!L$271))</f>
        <v>0</v>
      </c>
      <c r="M167" s="82">
        <f>IF(M$14=1,'Inputs (2)'!M118,L167*(1+Inputs!M$271))</f>
        <v>0</v>
      </c>
      <c r="N167" s="77">
        <f>M167</f>
        <v>0</v>
      </c>
      <c r="O167" s="82">
        <f>IF(O$14=1,'Inputs (2)'!O118,M167*(1+Inputs!O$271))</f>
        <v>0</v>
      </c>
      <c r="P167" s="82">
        <f>IF(P$14=1,'Inputs (2)'!P118,O167*(1+Inputs!P$271))</f>
        <v>0</v>
      </c>
      <c r="Q167" s="82">
        <f>IF(Q$14=1,'Inputs (2)'!Q118,P167*(1+Inputs!Q$271))</f>
        <v>0</v>
      </c>
      <c r="R167" s="82">
        <f>IF(R$14=1,'Inputs (2)'!R118,Q167*(1+Inputs!R$271))</f>
        <v>0</v>
      </c>
      <c r="S167" s="77">
        <f>R167</f>
        <v>0</v>
      </c>
      <c r="T167" s="82">
        <f>IF(T$14=1,'Inputs (2)'!T118,R167*(1+Inputs!T$271))</f>
        <v>0</v>
      </c>
      <c r="U167" s="82">
        <f>IF(U$14=1,'Inputs (2)'!U118,T167*(1+Inputs!U$271))</f>
        <v>0</v>
      </c>
      <c r="V167" s="82">
        <f>IF(V$14=1,'Inputs (2)'!V118,U167*(1+Inputs!V$271))</f>
        <v>0</v>
      </c>
      <c r="W167" s="82">
        <f>IF(W$14=1,'Inputs (2)'!W118,V167*(1+Inputs!W$271))</f>
        <v>0</v>
      </c>
      <c r="X167" s="77">
        <f>W167</f>
        <v>0</v>
      </c>
      <c r="Y167" s="82">
        <f>IF(Y$14=1,'Inputs (2)'!Y118,W167*(1+Inputs!Y$271))</f>
        <v>0</v>
      </c>
      <c r="Z167" s="82">
        <f>IF(Z$14=1,'Inputs (2)'!Z118,Y167*(1+Inputs!Z$271))</f>
        <v>0</v>
      </c>
      <c r="AA167" s="82">
        <f>IF(AA$14=1,'Inputs (2)'!AA118,Z167*(1+Inputs!AA$271))</f>
        <v>0</v>
      </c>
      <c r="AB167" s="82">
        <f>IF(AB$14=1,'Inputs (2)'!AB118,AA167*(1+Inputs!AB$271))</f>
        <v>0</v>
      </c>
      <c r="AC167" s="77">
        <f>AB167</f>
        <v>0</v>
      </c>
      <c r="AD167" s="82">
        <f>IF(AD$14=1,'Inputs (2)'!AD118,AB167*(1+Inputs!AD$271))</f>
        <v>0</v>
      </c>
      <c r="AE167" s="82">
        <f>IF(AE$14=1,'Inputs (2)'!AE118,AD167*(1+Inputs!AE$271))</f>
        <v>0</v>
      </c>
      <c r="AF167" s="82">
        <f>IF(AF$14=1,'Inputs (2)'!AF118,AE167*(1+Inputs!AF$271))</f>
        <v>0</v>
      </c>
      <c r="AG167" s="82">
        <f>IF(AG$14=1,'Inputs (2)'!AG118,AF167*(1+Inputs!AG$271))</f>
        <v>0</v>
      </c>
      <c r="AH167" s="77">
        <f>AG167</f>
        <v>0</v>
      </c>
      <c r="AI167" s="82">
        <f>IF(AI$14=1,'Inputs (2)'!AI118,AG167*(1+Inputs!AI$271))</f>
        <v>0</v>
      </c>
      <c r="AJ167" s="82">
        <f>IF(AJ$14=1,'Inputs (2)'!AJ118,AI167*(1+Inputs!AJ$271))</f>
        <v>0</v>
      </c>
      <c r="AK167" s="82">
        <f>IF(AK$14=1,'Inputs (2)'!AK118,AJ167*(1+Inputs!AK$271))</f>
        <v>0</v>
      </c>
      <c r="AL167" s="82">
        <f>IF(AL$14=1,'Inputs (2)'!AL118,AK167*(1+Inputs!AL$271))</f>
        <v>0</v>
      </c>
      <c r="AM167" s="77">
        <f>AL167</f>
        <v>0</v>
      </c>
      <c r="AN167" s="82">
        <f>IF(AN$14=1,'Inputs (2)'!AN118,AL167*(1+Inputs!AN$271))</f>
        <v>0</v>
      </c>
      <c r="AO167" s="82">
        <f>IF(AO$14=1,'Inputs (2)'!AO118,AN167*(1+Inputs!AO$271))</f>
        <v>0</v>
      </c>
      <c r="AP167" s="82">
        <f>IF(AP$14=1,'Inputs (2)'!AP118,AO167*(1+Inputs!AP$271))</f>
        <v>0</v>
      </c>
      <c r="AQ167" s="82">
        <f>IF(AQ$14=1,'Inputs (2)'!AQ118,AP167*(1+Inputs!AQ$271))</f>
        <v>0</v>
      </c>
      <c r="AR167" s="77">
        <f>AQ167</f>
        <v>0</v>
      </c>
      <c r="AS167" s="82">
        <f>IF(AS$14=1,'Inputs (2)'!AS118,AQ167*(1+Inputs!AS$271))</f>
        <v>0</v>
      </c>
      <c r="AT167" s="82">
        <f>IF(AT$14=1,'Inputs (2)'!AT118,AS167*(1+Inputs!AT$271))</f>
        <v>0</v>
      </c>
      <c r="AU167" s="82">
        <f>IF(AU$14=1,'Inputs (2)'!AU118,AT167*(1+Inputs!AU$271))</f>
        <v>0</v>
      </c>
      <c r="AV167" s="82">
        <f>IF(AV$14=1,'Inputs (2)'!AV118,AU167*(1+Inputs!AV$271))</f>
        <v>0</v>
      </c>
      <c r="AW167" s="77">
        <f>AV167</f>
        <v>0</v>
      </c>
      <c r="AX167" s="82">
        <f>IF(AX$14=1,'Inputs (2)'!AX118,AV167*(1+Inputs!AX$271))</f>
        <v>0</v>
      </c>
      <c r="AY167" s="82">
        <f>IF(AY$14=1,'Inputs (2)'!AY118,AX167*(1+Inputs!AY$271))</f>
        <v>0</v>
      </c>
      <c r="AZ167" s="82">
        <f>IF(AZ$14=1,'Inputs (2)'!AZ118,AY167*(1+Inputs!AZ$271))</f>
        <v>0</v>
      </c>
      <c r="BA167" s="82">
        <f>IF(BA$14=1,'Inputs (2)'!BA118,AZ167*(1+Inputs!BA$271))</f>
        <v>0</v>
      </c>
      <c r="BB167" s="77">
        <f>BA167</f>
        <v>0</v>
      </c>
      <c r="BC167" s="82">
        <f>IF(BC$14=1,'Inputs (2)'!BC118,BA167*(1+Inputs!BC$271))</f>
        <v>0</v>
      </c>
      <c r="BD167" s="82">
        <f>IF(BD$14=1,'Inputs (2)'!BD118,BC167*(1+Inputs!BD$271))</f>
        <v>0</v>
      </c>
      <c r="BE167" s="82">
        <f>IF(BE$14=1,'Inputs (2)'!BE118,BD167*(1+Inputs!BE$271))</f>
        <v>0</v>
      </c>
      <c r="BF167" s="82">
        <f>IF(BF$14=1,'Inputs (2)'!BF118,BE167*(1+Inputs!BF$271))</f>
        <v>0</v>
      </c>
      <c r="BG167" s="77">
        <f>BF167</f>
        <v>0</v>
      </c>
    </row>
    <row r="168">
      <c r="C168" s="80" t="inlineStr">
        <is>
          <t>Ativos não performados (NPA)</t>
        </is>
      </c>
      <c r="D168" s="81" t="inlineStr">
        <is>
          <t>Nonperforming assets</t>
        </is>
      </c>
      <c r="E168" s="82">
        <f>'Inputs (2)'!E119</f>
        <v>0</v>
      </c>
      <c r="F168" s="82">
        <f>IF(F$14=1,'Inputs (2)'!F119,E168*(1+Inputs!F$271))</f>
        <v>0</v>
      </c>
      <c r="G168" s="82">
        <f>IF(G$14=1,'Inputs (2)'!G119,F168*(1+Inputs!G$271))</f>
        <v>0</v>
      </c>
      <c r="H168" s="82">
        <f>IF(H$14=1,'Inputs (2)'!H119,G168*(1+Inputs!H$271))</f>
        <v>0</v>
      </c>
      <c r="I168" s="77">
        <f>H168</f>
        <v>0</v>
      </c>
      <c r="J168" s="82">
        <f>IF(J$14=1,'Inputs (2)'!J119,H168*(1+Inputs!J$271))</f>
        <v>0</v>
      </c>
      <c r="K168" s="82">
        <f>IF(K$14=1,'Inputs (2)'!K119,J168*(1+Inputs!K$271))</f>
        <v>0</v>
      </c>
      <c r="L168" s="82">
        <f>IF(L$14=1,'Inputs (2)'!L119,K168*(1+Inputs!L$271))</f>
        <v>0</v>
      </c>
      <c r="M168" s="82">
        <f>IF(M$14=1,'Inputs (2)'!M119,L168*(1+Inputs!M$271))</f>
        <v>0</v>
      </c>
      <c r="N168" s="77">
        <f>M168</f>
        <v>0</v>
      </c>
      <c r="O168" s="82">
        <f>IF(O$14=1,'Inputs (2)'!O119,M168*(1+Inputs!O$271))</f>
        <v>0</v>
      </c>
      <c r="P168" s="82">
        <f>IF(P$14=1,'Inputs (2)'!P119,O168*(1+Inputs!P$271))</f>
        <v>0</v>
      </c>
      <c r="Q168" s="82">
        <f>IF(Q$14=1,'Inputs (2)'!Q119,P168*(1+Inputs!Q$271))</f>
        <v>0</v>
      </c>
      <c r="R168" s="82">
        <f>IF(R$14=1,'Inputs (2)'!R119,Q168*(1+Inputs!R$271))</f>
        <v>0</v>
      </c>
      <c r="S168" s="77">
        <f>R168</f>
        <v>0</v>
      </c>
      <c r="T168" s="82">
        <f>IF(T$14=1,'Inputs (2)'!T119,R168*(1+Inputs!T$271))</f>
        <v>0</v>
      </c>
      <c r="U168" s="82">
        <f>IF(U$14=1,'Inputs (2)'!U119,T168*(1+Inputs!U$271))</f>
        <v>0</v>
      </c>
      <c r="V168" s="82">
        <f>IF(V$14=1,'Inputs (2)'!V119,U168*(1+Inputs!V$271))</f>
        <v>0</v>
      </c>
      <c r="W168" s="82">
        <f>IF(W$14=1,'Inputs (2)'!W119,V168*(1+Inputs!W$271))</f>
        <v>0</v>
      </c>
      <c r="X168" s="77">
        <f>W168</f>
        <v>0</v>
      </c>
      <c r="Y168" s="82">
        <f>IF(Y$14=1,'Inputs (2)'!Y119,W168*(1+Inputs!Y$271))</f>
        <v>0</v>
      </c>
      <c r="Z168" s="82">
        <f>IF(Z$14=1,'Inputs (2)'!Z119,Y168*(1+Inputs!Z$271))</f>
        <v>0</v>
      </c>
      <c r="AA168" s="82">
        <f>IF(AA$14=1,'Inputs (2)'!AA119,Z168*(1+Inputs!AA$271))</f>
        <v>0</v>
      </c>
      <c r="AB168" s="82">
        <f>IF(AB$14=1,'Inputs (2)'!AB119,AA168*(1+Inputs!AB$271))</f>
        <v>0</v>
      </c>
      <c r="AC168" s="77">
        <f>AB168</f>
        <v>0</v>
      </c>
      <c r="AD168" s="82">
        <f>IF(AD$14=1,'Inputs (2)'!AD119,AB168*(1+Inputs!AD$271))</f>
        <v>0</v>
      </c>
      <c r="AE168" s="82">
        <f>IF(AE$14=1,'Inputs (2)'!AE119,AD168*(1+Inputs!AE$271))</f>
        <v>0</v>
      </c>
      <c r="AF168" s="82">
        <f>IF(AF$14=1,'Inputs (2)'!AF119,AE168*(1+Inputs!AF$271))</f>
        <v>0</v>
      </c>
      <c r="AG168" s="82">
        <f>IF(AG$14=1,'Inputs (2)'!AG119,AF168*(1+Inputs!AG$271))</f>
        <v>0</v>
      </c>
      <c r="AH168" s="77">
        <f>AG168</f>
        <v>0</v>
      </c>
      <c r="AI168" s="82">
        <f>IF(AI$14=1,'Inputs (2)'!AI119,AG168*(1+Inputs!AI$271))</f>
        <v>0</v>
      </c>
      <c r="AJ168" s="82">
        <f>IF(AJ$14=1,'Inputs (2)'!AJ119,AI168*(1+Inputs!AJ$271))</f>
        <v>0</v>
      </c>
      <c r="AK168" s="82">
        <f>IF(AK$14=1,'Inputs (2)'!AK119,AJ168*(1+Inputs!AK$271))</f>
        <v>0</v>
      </c>
      <c r="AL168" s="82">
        <f>IF(AL$14=1,'Inputs (2)'!AL119,AK168*(1+Inputs!AL$271))</f>
        <v>0</v>
      </c>
      <c r="AM168" s="77">
        <f>AL168</f>
        <v>0</v>
      </c>
      <c r="AN168" s="82">
        <f>IF(AN$14=1,'Inputs (2)'!AN119,AL168*(1+Inputs!AN$271))</f>
        <v>0</v>
      </c>
      <c r="AO168" s="82">
        <f>IF(AO$14=1,'Inputs (2)'!AO119,AN168*(1+Inputs!AO$271))</f>
        <v>0</v>
      </c>
      <c r="AP168" s="82">
        <f>IF(AP$14=1,'Inputs (2)'!AP119,AO168*(1+Inputs!AP$271))</f>
        <v>0</v>
      </c>
      <c r="AQ168" s="82">
        <f>IF(AQ$14=1,'Inputs (2)'!AQ119,AP168*(1+Inputs!AQ$271))</f>
        <v>0</v>
      </c>
      <c r="AR168" s="77">
        <f>AQ168</f>
        <v>0</v>
      </c>
      <c r="AS168" s="82">
        <f>IF(AS$14=1,'Inputs (2)'!AS119,AQ168*(1+Inputs!AS$271))</f>
        <v>0</v>
      </c>
      <c r="AT168" s="82">
        <f>IF(AT$14=1,'Inputs (2)'!AT119,AS168*(1+Inputs!AT$271))</f>
        <v>0</v>
      </c>
      <c r="AU168" s="82">
        <f>IF(AU$14=1,'Inputs (2)'!AU119,AT168*(1+Inputs!AU$271))</f>
        <v>0</v>
      </c>
      <c r="AV168" s="82">
        <f>IF(AV$14=1,'Inputs (2)'!AV119,AU168*(1+Inputs!AV$271))</f>
        <v>0</v>
      </c>
      <c r="AW168" s="77">
        <f>AV168</f>
        <v>0</v>
      </c>
      <c r="AX168" s="82">
        <f>IF(AX$14=1,'Inputs (2)'!AX119,AV168*(1+Inputs!AX$271))</f>
        <v>0</v>
      </c>
      <c r="AY168" s="82">
        <f>IF(AY$14=1,'Inputs (2)'!AY119,AX168*(1+Inputs!AY$271))</f>
        <v>0</v>
      </c>
      <c r="AZ168" s="82">
        <f>IF(AZ$14=1,'Inputs (2)'!AZ119,AY168*(1+Inputs!AZ$271))</f>
        <v>0</v>
      </c>
      <c r="BA168" s="82">
        <f>IF(BA$14=1,'Inputs (2)'!BA119,AZ168*(1+Inputs!BA$271))</f>
        <v>0</v>
      </c>
      <c r="BB168" s="77">
        <f>BA168</f>
        <v>0</v>
      </c>
      <c r="BC168" s="82">
        <f>IF(BC$14=1,'Inputs (2)'!BC119,BA168*(1+Inputs!BC$271))</f>
        <v>0</v>
      </c>
      <c r="BD168" s="82">
        <f>IF(BD$14=1,'Inputs (2)'!BD119,BC168*(1+Inputs!BD$271))</f>
        <v>0</v>
      </c>
      <c r="BE168" s="82">
        <f>IF(BE$14=1,'Inputs (2)'!BE119,BD168*(1+Inputs!BE$271))</f>
        <v>0</v>
      </c>
      <c r="BF168" s="82">
        <f>IF(BF$14=1,'Inputs (2)'!BF119,BE168*(1+Inputs!BF$271))</f>
        <v>0</v>
      </c>
      <c r="BG168" s="77">
        <f>BF168</f>
        <v>0</v>
      </c>
    </row>
    <row r="169">
      <c r="C169" s="80" t="inlineStr">
        <is>
          <t>Vencidos há 90+ dias ainda acumulando juros</t>
        </is>
      </c>
      <c r="D169" s="81" t="inlineStr">
        <is>
          <t>90+ days past due, still accruing</t>
        </is>
      </c>
      <c r="E169" s="82">
        <f>'Inputs (2)'!E124</f>
        <v>0</v>
      </c>
      <c r="F169" s="82">
        <f>IF(F$14=1,'Inputs (2)'!F124,E169*(1+Inputs!F$271))</f>
        <v>0</v>
      </c>
      <c r="G169" s="82">
        <f>IF(G$14=1,'Inputs (2)'!G124,F169*(1+Inputs!G$271))</f>
        <v>0</v>
      </c>
      <c r="H169" s="82">
        <f>IF(H$14=1,'Inputs (2)'!H124,G169*(1+Inputs!H$271))</f>
        <v>0</v>
      </c>
      <c r="I169" s="77">
        <f>H169</f>
        <v>0</v>
      </c>
      <c r="J169" s="82">
        <f>IF(J$14=1,'Inputs (2)'!J124,H169*(1+Inputs!J$271))</f>
        <v>0</v>
      </c>
      <c r="K169" s="82">
        <f>IF(K$14=1,'Inputs (2)'!K124,J169*(1+Inputs!K$271))</f>
        <v>0</v>
      </c>
      <c r="L169" s="82">
        <f>IF(L$14=1,'Inputs (2)'!L124,K169*(1+Inputs!L$271))</f>
        <v>0</v>
      </c>
      <c r="M169" s="82">
        <f>IF(M$14=1,'Inputs (2)'!M124,L169*(1+Inputs!M$271))</f>
        <v>0</v>
      </c>
      <c r="N169" s="77">
        <f>M169</f>
        <v>0</v>
      </c>
      <c r="O169" s="82">
        <f>IF(O$14=1,'Inputs (2)'!O124,M169*(1+Inputs!O$271))</f>
        <v>0</v>
      </c>
      <c r="P169" s="82">
        <f>IF(P$14=1,'Inputs (2)'!P124,O169*(1+Inputs!P$271))</f>
        <v>0</v>
      </c>
      <c r="Q169" s="82">
        <f>IF(Q$14=1,'Inputs (2)'!Q124,P169*(1+Inputs!Q$271))</f>
        <v>0</v>
      </c>
      <c r="R169" s="82">
        <f>IF(R$14=1,'Inputs (2)'!R124,Q169*(1+Inputs!R$271))</f>
        <v>0</v>
      </c>
      <c r="S169" s="77">
        <f>R169</f>
        <v>0</v>
      </c>
      <c r="T169" s="82">
        <f>IF(T$14=1,'Inputs (2)'!T124,R169*(1+Inputs!T$271))</f>
        <v>0</v>
      </c>
      <c r="U169" s="82">
        <f>IF(U$14=1,'Inputs (2)'!U124,T169*(1+Inputs!U$271))</f>
        <v>0</v>
      </c>
      <c r="V169" s="82">
        <f>IF(V$14=1,'Inputs (2)'!V124,U169*(1+Inputs!V$271))</f>
        <v>0</v>
      </c>
      <c r="W169" s="82">
        <f>IF(W$14=1,'Inputs (2)'!W124,V169*(1+Inputs!W$271))</f>
        <v>0</v>
      </c>
      <c r="X169" s="77">
        <f>W169</f>
        <v>0</v>
      </c>
      <c r="Y169" s="82">
        <f>IF(Y$14=1,'Inputs (2)'!Y124,W169*(1+Inputs!Y$271))</f>
        <v>0</v>
      </c>
      <c r="Z169" s="82">
        <f>IF(Z$14=1,'Inputs (2)'!Z124,Y169*(1+Inputs!Z$271))</f>
        <v>0</v>
      </c>
      <c r="AA169" s="82">
        <f>IF(AA$14=1,'Inputs (2)'!AA124,Z169*(1+Inputs!AA$271))</f>
        <v>0</v>
      </c>
      <c r="AB169" s="82">
        <f>IF(AB$14=1,'Inputs (2)'!AB124,AA169*(1+Inputs!AB$271))</f>
        <v>0</v>
      </c>
      <c r="AC169" s="77">
        <f>AB169</f>
        <v>0</v>
      </c>
      <c r="AD169" s="82">
        <f>IF(AD$14=1,'Inputs (2)'!AD124,AB169*(1+Inputs!AD$271))</f>
        <v>0</v>
      </c>
      <c r="AE169" s="82">
        <f>IF(AE$14=1,'Inputs (2)'!AE124,AD169*(1+Inputs!AE$271))</f>
        <v>0</v>
      </c>
      <c r="AF169" s="82">
        <f>IF(AF$14=1,'Inputs (2)'!AF124,AE169*(1+Inputs!AF$271))</f>
        <v>0</v>
      </c>
      <c r="AG169" s="82">
        <f>IF(AG$14=1,'Inputs (2)'!AG124,AF169*(1+Inputs!AG$271))</f>
        <v>0</v>
      </c>
      <c r="AH169" s="77">
        <f>AG169</f>
        <v>0</v>
      </c>
      <c r="AI169" s="82">
        <f>IF(AI$14=1,'Inputs (2)'!AI124,AG169*(1+Inputs!AI$271))</f>
        <v>0</v>
      </c>
      <c r="AJ169" s="82">
        <f>IF(AJ$14=1,'Inputs (2)'!AJ124,AI169*(1+Inputs!AJ$271))</f>
        <v>0</v>
      </c>
      <c r="AK169" s="82">
        <f>IF(AK$14=1,'Inputs (2)'!AK124,AJ169*(1+Inputs!AK$271))</f>
        <v>0</v>
      </c>
      <c r="AL169" s="82">
        <f>IF(AL$14=1,'Inputs (2)'!AL124,AK169*(1+Inputs!AL$271))</f>
        <v>0</v>
      </c>
      <c r="AM169" s="77">
        <f>AL169</f>
        <v>0</v>
      </c>
      <c r="AN169" s="82">
        <f>IF(AN$14=1,'Inputs (2)'!AN124,AL169*(1+Inputs!AN$271))</f>
        <v>0</v>
      </c>
      <c r="AO169" s="82">
        <f>IF(AO$14=1,'Inputs (2)'!AO124,AN169*(1+Inputs!AO$271))</f>
        <v>0</v>
      </c>
      <c r="AP169" s="82">
        <f>IF(AP$14=1,'Inputs (2)'!AP124,AO169*(1+Inputs!AP$271))</f>
        <v>0</v>
      </c>
      <c r="AQ169" s="82">
        <f>IF(AQ$14=1,'Inputs (2)'!AQ124,AP169*(1+Inputs!AQ$271))</f>
        <v>0</v>
      </c>
      <c r="AR169" s="77">
        <f>AQ169</f>
        <v>0</v>
      </c>
      <c r="AS169" s="82">
        <f>IF(AS$14=1,'Inputs (2)'!AS124,AQ169*(1+Inputs!AS$271))</f>
        <v>0</v>
      </c>
      <c r="AT169" s="82">
        <f>IF(AT$14=1,'Inputs (2)'!AT124,AS169*(1+Inputs!AT$271))</f>
        <v>0</v>
      </c>
      <c r="AU169" s="82">
        <f>IF(AU$14=1,'Inputs (2)'!AU124,AT169*(1+Inputs!AU$271))</f>
        <v>0</v>
      </c>
      <c r="AV169" s="82">
        <f>IF(AV$14=1,'Inputs (2)'!AV124,AU169*(1+Inputs!AV$271))</f>
        <v>0</v>
      </c>
      <c r="AW169" s="77">
        <f>AV169</f>
        <v>0</v>
      </c>
      <c r="AX169" s="82">
        <f>IF(AX$14=1,'Inputs (2)'!AX124,AV169*(1+Inputs!AX$271))</f>
        <v>0</v>
      </c>
      <c r="AY169" s="82">
        <f>IF(AY$14=1,'Inputs (2)'!AY124,AX169*(1+Inputs!AY$271))</f>
        <v>0</v>
      </c>
      <c r="AZ169" s="82">
        <f>IF(AZ$14=1,'Inputs (2)'!AZ124,AY169*(1+Inputs!AZ$271))</f>
        <v>0</v>
      </c>
      <c r="BA169" s="82">
        <f>IF(BA$14=1,'Inputs (2)'!BA124,AZ169*(1+Inputs!BA$271))</f>
        <v>0</v>
      </c>
      <c r="BB169" s="77">
        <f>BA169</f>
        <v>0</v>
      </c>
      <c r="BC169" s="82">
        <f>IF(BC$14=1,'Inputs (2)'!BC124,BA169*(1+Inputs!BC$271))</f>
        <v>0</v>
      </c>
      <c r="BD169" s="82">
        <f>IF(BD$14=1,'Inputs (2)'!BD124,BC169*(1+Inputs!BD$271))</f>
        <v>0</v>
      </c>
      <c r="BE169" s="82">
        <f>IF(BE$14=1,'Inputs (2)'!BE124,BD169*(1+Inputs!BE$271))</f>
        <v>0</v>
      </c>
      <c r="BF169" s="82">
        <f>IF(BF$14=1,'Inputs (2)'!BF124,BE169*(1+Inputs!BF$271))</f>
        <v>0</v>
      </c>
      <c r="BG169" s="77">
        <f>BF169</f>
        <v>0</v>
      </c>
    </row>
    <row r="170">
      <c r="C170" s="80" t="inlineStr">
        <is>
          <t>Vencidos de 30 a 89 dias</t>
        </is>
      </c>
      <c r="D170" s="81" t="inlineStr">
        <is>
          <t>30-89 days past due</t>
        </is>
      </c>
      <c r="E170" s="82">
        <f>'Inputs (2)'!E125</f>
        <v>0</v>
      </c>
      <c r="F170" s="82">
        <f>IF(F$14=1,'Inputs (2)'!F125,E170*(1+Inputs!F$271))</f>
        <v>0</v>
      </c>
      <c r="G170" s="82">
        <f>IF(G$14=1,'Inputs (2)'!G125,F170*(1+Inputs!G$271))</f>
        <v>0</v>
      </c>
      <c r="H170" s="82">
        <f>IF(H$14=1,'Inputs (2)'!H125,G170*(1+Inputs!H$271))</f>
        <v>0</v>
      </c>
      <c r="I170" s="77">
        <f>H170</f>
        <v>0</v>
      </c>
      <c r="J170" s="82">
        <f>IF(J$14=1,'Inputs (2)'!J125,H170*(1+Inputs!J$271))</f>
        <v>0</v>
      </c>
      <c r="K170" s="82">
        <f>IF(K$14=1,'Inputs (2)'!K125,J170*(1+Inputs!K$271))</f>
        <v>0</v>
      </c>
      <c r="L170" s="82">
        <f>IF(L$14=1,'Inputs (2)'!L125,K170*(1+Inputs!L$271))</f>
        <v>0</v>
      </c>
      <c r="M170" s="82">
        <f>IF(M$14=1,'Inputs (2)'!M125,L170*(1+Inputs!M$271))</f>
        <v>0</v>
      </c>
      <c r="N170" s="77">
        <f>M170</f>
        <v>0</v>
      </c>
      <c r="O170" s="82">
        <f>IF(O$14=1,'Inputs (2)'!O125,M170*(1+Inputs!O$271))</f>
        <v>0</v>
      </c>
      <c r="P170" s="82">
        <f>IF(P$14=1,'Inputs (2)'!P125,O170*(1+Inputs!P$271))</f>
        <v>0</v>
      </c>
      <c r="Q170" s="82">
        <f>IF(Q$14=1,'Inputs (2)'!Q125,P170*(1+Inputs!Q$271))</f>
        <v>0</v>
      </c>
      <c r="R170" s="82">
        <f>IF(R$14=1,'Inputs (2)'!R125,Q170*(1+Inputs!R$271))</f>
        <v>0</v>
      </c>
      <c r="S170" s="77">
        <f>R170</f>
        <v>0</v>
      </c>
      <c r="T170" s="82">
        <f>IF(T$14=1,'Inputs (2)'!T125,R170*(1+Inputs!T$271))</f>
        <v>0</v>
      </c>
      <c r="U170" s="82">
        <f>IF(U$14=1,'Inputs (2)'!U125,T170*(1+Inputs!U$271))</f>
        <v>0</v>
      </c>
      <c r="V170" s="82">
        <f>IF(V$14=1,'Inputs (2)'!V125,U170*(1+Inputs!V$271))</f>
        <v>0</v>
      </c>
      <c r="W170" s="82">
        <f>IF(W$14=1,'Inputs (2)'!W125,V170*(1+Inputs!W$271))</f>
        <v>0</v>
      </c>
      <c r="X170" s="77">
        <f>W170</f>
        <v>0</v>
      </c>
      <c r="Y170" s="82">
        <f>IF(Y$14=1,'Inputs (2)'!Y125,W170*(1+Inputs!Y$271))</f>
        <v>0</v>
      </c>
      <c r="Z170" s="82">
        <f>IF(Z$14=1,'Inputs (2)'!Z125,Y170*(1+Inputs!Z$271))</f>
        <v>0</v>
      </c>
      <c r="AA170" s="82">
        <f>IF(AA$14=1,'Inputs (2)'!AA125,Z170*(1+Inputs!AA$271))</f>
        <v>0</v>
      </c>
      <c r="AB170" s="82">
        <f>IF(AB$14=1,'Inputs (2)'!AB125,AA170*(1+Inputs!AB$271))</f>
        <v>0</v>
      </c>
      <c r="AC170" s="77">
        <f>AB170</f>
        <v>0</v>
      </c>
      <c r="AD170" s="82">
        <f>IF(AD$14=1,'Inputs (2)'!AD125,AB170*(1+Inputs!AD$271))</f>
        <v>0</v>
      </c>
      <c r="AE170" s="82">
        <f>IF(AE$14=1,'Inputs (2)'!AE125,AD170*(1+Inputs!AE$271))</f>
        <v>0</v>
      </c>
      <c r="AF170" s="82">
        <f>IF(AF$14=1,'Inputs (2)'!AF125,AE170*(1+Inputs!AF$271))</f>
        <v>0</v>
      </c>
      <c r="AG170" s="82">
        <f>IF(AG$14=1,'Inputs (2)'!AG125,AF170*(1+Inputs!AG$271))</f>
        <v>0</v>
      </c>
      <c r="AH170" s="77">
        <f>AG170</f>
        <v>0</v>
      </c>
      <c r="AI170" s="82">
        <f>IF(AI$14=1,'Inputs (2)'!AI125,AG170*(1+Inputs!AI$271))</f>
        <v>0</v>
      </c>
      <c r="AJ170" s="82">
        <f>IF(AJ$14=1,'Inputs (2)'!AJ125,AI170*(1+Inputs!AJ$271))</f>
        <v>0</v>
      </c>
      <c r="AK170" s="82">
        <f>IF(AK$14=1,'Inputs (2)'!AK125,AJ170*(1+Inputs!AK$271))</f>
        <v>0</v>
      </c>
      <c r="AL170" s="82">
        <f>IF(AL$14=1,'Inputs (2)'!AL125,AK170*(1+Inputs!AL$271))</f>
        <v>0</v>
      </c>
      <c r="AM170" s="77">
        <f>AL170</f>
        <v>0</v>
      </c>
      <c r="AN170" s="82">
        <f>IF(AN$14=1,'Inputs (2)'!AN125,AL170*(1+Inputs!AN$271))</f>
        <v>0</v>
      </c>
      <c r="AO170" s="82">
        <f>IF(AO$14=1,'Inputs (2)'!AO125,AN170*(1+Inputs!AO$271))</f>
        <v>0</v>
      </c>
      <c r="AP170" s="82">
        <f>IF(AP$14=1,'Inputs (2)'!AP125,AO170*(1+Inputs!AP$271))</f>
        <v>0</v>
      </c>
      <c r="AQ170" s="82">
        <f>IF(AQ$14=1,'Inputs (2)'!AQ125,AP170*(1+Inputs!AQ$271))</f>
        <v>0</v>
      </c>
      <c r="AR170" s="77">
        <f>AQ170</f>
        <v>0</v>
      </c>
      <c r="AS170" s="82">
        <f>IF(AS$14=1,'Inputs (2)'!AS125,AQ170*(1+Inputs!AS$271))</f>
        <v>0</v>
      </c>
      <c r="AT170" s="82">
        <f>IF(AT$14=1,'Inputs (2)'!AT125,AS170*(1+Inputs!AT$271))</f>
        <v>0</v>
      </c>
      <c r="AU170" s="82">
        <f>IF(AU$14=1,'Inputs (2)'!AU125,AT170*(1+Inputs!AU$271))</f>
        <v>0</v>
      </c>
      <c r="AV170" s="82">
        <f>IF(AV$14=1,'Inputs (2)'!AV125,AU170*(1+Inputs!AV$271))</f>
        <v>0</v>
      </c>
      <c r="AW170" s="77">
        <f>AV170</f>
        <v>0</v>
      </c>
      <c r="AX170" s="82">
        <f>IF(AX$14=1,'Inputs (2)'!AX125,AV170*(1+Inputs!AX$271))</f>
        <v>0</v>
      </c>
      <c r="AY170" s="82">
        <f>IF(AY$14=1,'Inputs (2)'!AY125,AX170*(1+Inputs!AY$271))</f>
        <v>0</v>
      </c>
      <c r="AZ170" s="82">
        <f>IF(AZ$14=1,'Inputs (2)'!AZ125,AY170*(1+Inputs!AZ$271))</f>
        <v>0</v>
      </c>
      <c r="BA170" s="82">
        <f>IF(BA$14=1,'Inputs (2)'!BA125,AZ170*(1+Inputs!BA$271))</f>
        <v>0</v>
      </c>
      <c r="BB170" s="77">
        <f>BA170</f>
        <v>0</v>
      </c>
      <c r="BC170" s="82">
        <f>IF(BC$14=1,'Inputs (2)'!BC125,BA170*(1+Inputs!BC$271))</f>
        <v>0</v>
      </c>
      <c r="BD170" s="82">
        <f>IF(BD$14=1,'Inputs (2)'!BD125,BC170*(1+Inputs!BD$271))</f>
        <v>0</v>
      </c>
      <c r="BE170" s="82">
        <f>IF(BE$14=1,'Inputs (2)'!BE125,BD170*(1+Inputs!BE$271))</f>
        <v>0</v>
      </c>
      <c r="BF170" s="82">
        <f>IF(BF$14=1,'Inputs (2)'!BF125,BE170*(1+Inputs!BF$271))</f>
        <v>0</v>
      </c>
      <c r="BG170" s="77">
        <f>BF170</f>
        <v>0</v>
      </c>
    </row>
    <row r="171">
      <c r="C171" s="80" t="inlineStr">
        <is>
          <t>Baixas líquidas (net charge-offs)</t>
        </is>
      </c>
      <c r="D171" s="81" t="inlineStr">
        <is>
          <t>Net charge-offs</t>
        </is>
      </c>
      <c r="E171" s="82">
        <f>IF(E$14=1,'Inputs (2)'!E126,E138*Inputs!E$274/4)</f>
        <v>0</v>
      </c>
      <c r="F171" s="82">
        <f>IF(F$14=1,'Inputs (2)'!F126,F138*Inputs!F$274/4)</f>
        <v>0</v>
      </c>
      <c r="G171" s="82">
        <f>IF(G$14=1,'Inputs (2)'!G126,G138*Inputs!G$274/4)</f>
        <v>0</v>
      </c>
      <c r="H171" s="82">
        <f>IF(H$14=1,'Inputs (2)'!H126,H138*Inputs!H$274/4)</f>
        <v>0</v>
      </c>
      <c r="I171" s="77">
        <f>SUM(E171:H171)</f>
        <v>0</v>
      </c>
      <c r="J171" s="82">
        <f>IF(J$14=1,'Inputs (2)'!J126,J138*Inputs!J$274/4)</f>
        <v>0</v>
      </c>
      <c r="K171" s="82">
        <f>IF(K$14=1,'Inputs (2)'!K126,K138*Inputs!K$274/4)</f>
        <v>0</v>
      </c>
      <c r="L171" s="82">
        <f>IF(L$14=1,'Inputs (2)'!L126,L138*Inputs!L$274/4)</f>
        <v>0</v>
      </c>
      <c r="M171" s="82">
        <f>IF(M$14=1,'Inputs (2)'!M126,M138*Inputs!M$274/4)</f>
        <v>0</v>
      </c>
      <c r="N171" s="77">
        <f>SUM(J171:M171)</f>
        <v>0</v>
      </c>
      <c r="O171" s="82">
        <f>IF(O$14=1,'Inputs (2)'!O126,O138*Inputs!O$274/4)</f>
        <v>0</v>
      </c>
      <c r="P171" s="82">
        <f>IF(P$14=1,'Inputs (2)'!P126,P138*Inputs!P$274/4)</f>
        <v>0</v>
      </c>
      <c r="Q171" s="82">
        <f>IF(Q$14=1,'Inputs (2)'!Q126,Q138*Inputs!Q$274/4)</f>
        <v>0</v>
      </c>
      <c r="R171" s="82">
        <f>IF(R$14=1,'Inputs (2)'!R126,R138*Inputs!R$274/4)</f>
        <v>0</v>
      </c>
      <c r="S171" s="77">
        <f>SUM(O171:R171)</f>
        <v>0</v>
      </c>
      <c r="T171" s="82">
        <f>IF(T$14=1,'Inputs (2)'!T126,T138*Inputs!T$274/4)</f>
        <v>0</v>
      </c>
      <c r="U171" s="82">
        <f>IF(U$14=1,'Inputs (2)'!U126,U138*Inputs!U$274/4)</f>
        <v>0</v>
      </c>
      <c r="V171" s="82">
        <f>IF(V$14=1,'Inputs (2)'!V126,V138*Inputs!V$274/4)</f>
        <v>0</v>
      </c>
      <c r="W171" s="82">
        <f>IF(W$14=1,'Inputs (2)'!W126,W138*Inputs!W$274/4)</f>
        <v>0</v>
      </c>
      <c r="X171" s="77">
        <f>SUM(T171:W171)</f>
        <v>0</v>
      </c>
      <c r="Y171" s="82">
        <f>IF(Y$14=1,'Inputs (2)'!Y126,Y138*Inputs!Y$274/4)</f>
        <v>0</v>
      </c>
      <c r="Z171" s="82">
        <f>IF(Z$14=1,'Inputs (2)'!Z126,Z138*Inputs!Z$274/4)</f>
        <v>0</v>
      </c>
      <c r="AA171" s="82">
        <f>IF(AA$14=1,'Inputs (2)'!AA126,AA138*Inputs!AA$274/4)</f>
        <v>0</v>
      </c>
      <c r="AB171" s="82">
        <f>IF(AB$14=1,'Inputs (2)'!AB126,AB138*Inputs!AB$274/4)</f>
        <v>0</v>
      </c>
      <c r="AC171" s="77">
        <f>SUM(Y171:AB171)</f>
        <v>0</v>
      </c>
      <c r="AD171" s="82">
        <f>IF(AD$14=1,'Inputs (2)'!AD126,AD138*Inputs!AD$274/4)</f>
        <v>0</v>
      </c>
      <c r="AE171" s="82">
        <f>IF(AE$14=1,'Inputs (2)'!AE126,AE138*Inputs!AE$274/4)</f>
        <v>0</v>
      </c>
      <c r="AF171" s="82">
        <f>IF(AF$14=1,'Inputs (2)'!AF126,AF138*Inputs!AF$274/4)</f>
        <v>0</v>
      </c>
      <c r="AG171" s="82">
        <f>IF(AG$14=1,'Inputs (2)'!AG126,AG138*Inputs!AG$274/4)</f>
        <v>0</v>
      </c>
      <c r="AH171" s="77">
        <f>SUM(AD171:AG171)</f>
        <v>0</v>
      </c>
      <c r="AI171" s="82">
        <f>IF(AI$14=1,'Inputs (2)'!AI126,AI138*Inputs!AI$274/4)</f>
        <v>0</v>
      </c>
      <c r="AJ171" s="82">
        <f>IF(AJ$14=1,'Inputs (2)'!AJ126,AJ138*Inputs!AJ$274/4)</f>
        <v>0</v>
      </c>
      <c r="AK171" s="82">
        <f>IF(AK$14=1,'Inputs (2)'!AK126,AK138*Inputs!AK$274/4)</f>
        <v>0</v>
      </c>
      <c r="AL171" s="82">
        <f>IF(AL$14=1,'Inputs (2)'!AL126,AL138*Inputs!AL$274/4)</f>
        <v>0</v>
      </c>
      <c r="AM171" s="77">
        <f>SUM(AI171:AL171)</f>
        <v>0</v>
      </c>
      <c r="AN171" s="82">
        <f>IF(AN$14=1,'Inputs (2)'!AN126,AN138*Inputs!AN$274/4)</f>
        <v>0</v>
      </c>
      <c r="AO171" s="82">
        <f>IF(AO$14=1,'Inputs (2)'!AO126,AO138*Inputs!AO$274/4)</f>
        <v>0</v>
      </c>
      <c r="AP171" s="82">
        <f>IF(AP$14=1,'Inputs (2)'!AP126,AP138*Inputs!AP$274/4)</f>
        <v>0</v>
      </c>
      <c r="AQ171" s="82">
        <f>IF(AQ$14=1,'Inputs (2)'!AQ126,AQ138*Inputs!AQ$274/4)</f>
        <v>0</v>
      </c>
      <c r="AR171" s="77">
        <f>SUM(AN171:AQ171)</f>
        <v>0</v>
      </c>
      <c r="AS171" s="82">
        <f>IF(AS$14=1,'Inputs (2)'!AS126,AS138*Inputs!AS$274/4)</f>
        <v>0</v>
      </c>
      <c r="AT171" s="82">
        <f>IF(AT$14=1,'Inputs (2)'!AT126,AT138*Inputs!AT$274/4)</f>
        <v>0</v>
      </c>
      <c r="AU171" s="82">
        <f>IF(AU$14=1,'Inputs (2)'!AU126,AU138*Inputs!AU$274/4)</f>
        <v>0</v>
      </c>
      <c r="AV171" s="82">
        <f>IF(AV$14=1,'Inputs (2)'!AV126,AV138*Inputs!AV$274/4)</f>
        <v>0</v>
      </c>
      <c r="AW171" s="77">
        <f>SUM(AS171:AV171)</f>
        <v>0</v>
      </c>
      <c r="AX171" s="82">
        <f>IF(AX$14=1,'Inputs (2)'!AX126,AX138*Inputs!AX$274/4)</f>
        <v>0</v>
      </c>
      <c r="AY171" s="82">
        <f>IF(AY$14=1,'Inputs (2)'!AY126,AY138*Inputs!AY$274/4)</f>
        <v>0</v>
      </c>
      <c r="AZ171" s="82">
        <f>IF(AZ$14=1,'Inputs (2)'!AZ126,AZ138*Inputs!AZ$274/4)</f>
        <v>0</v>
      </c>
      <c r="BA171" s="82">
        <f>IF(BA$14=1,'Inputs (2)'!BA126,BA138*Inputs!BA$274/4)</f>
        <v>0</v>
      </c>
      <c r="BB171" s="77">
        <f>SUM(AX171:BA171)</f>
        <v>0</v>
      </c>
      <c r="BC171" s="82">
        <f>IF(BC$14=1,'Inputs (2)'!BC126,BC138*Inputs!BC$274/4)</f>
        <v>0</v>
      </c>
      <c r="BD171" s="82">
        <f>IF(BD$14=1,'Inputs (2)'!BD126,BD138*Inputs!BD$274/4)</f>
        <v>0</v>
      </c>
      <c r="BE171" s="82">
        <f>IF(BE$14=1,'Inputs (2)'!BE126,BE138*Inputs!BE$274/4)</f>
        <v>0</v>
      </c>
      <c r="BF171" s="82">
        <f>IF(BF$14=1,'Inputs (2)'!BF126,BF138*Inputs!BF$274/4)</f>
        <v>0</v>
      </c>
      <c r="BG171" s="77">
        <f>SUM(BC171:BF171)</f>
        <v>0</v>
      </c>
    </row>
    <row r="172">
      <c r="C172" s="80" t="inlineStr">
        <is>
          <t>ACL de compromissos de crédito (fora do balanço)</t>
        </is>
      </c>
      <c r="D172" s="81" t="inlineStr">
        <is>
          <t>ACL — lending-related commitments</t>
        </is>
      </c>
      <c r="E172" s="82">
        <f>'Inputs (2)'!E121</f>
        <v>0</v>
      </c>
      <c r="F172" s="82">
        <f>IF(F$14=1,'Inputs (2)'!F121,E172*(1+Inputs!F$271))</f>
        <v>0</v>
      </c>
      <c r="G172" s="82">
        <f>IF(G$14=1,'Inputs (2)'!G121,F172*(1+Inputs!G$271))</f>
        <v>0</v>
      </c>
      <c r="H172" s="82">
        <f>IF(H$14=1,'Inputs (2)'!H121,G172*(1+Inputs!H$271))</f>
        <v>0</v>
      </c>
      <c r="I172" s="77">
        <f>H172</f>
        <v>0</v>
      </c>
      <c r="J172" s="82">
        <f>IF(J$14=1,'Inputs (2)'!J121,H172*(1+Inputs!J$271))</f>
        <v>0</v>
      </c>
      <c r="K172" s="82">
        <f>IF(K$14=1,'Inputs (2)'!K121,J172*(1+Inputs!K$271))</f>
        <v>0</v>
      </c>
      <c r="L172" s="82">
        <f>IF(L$14=1,'Inputs (2)'!L121,K172*(1+Inputs!L$271))</f>
        <v>0</v>
      </c>
      <c r="M172" s="82">
        <f>IF(M$14=1,'Inputs (2)'!M121,L172*(1+Inputs!M$271))</f>
        <v>0</v>
      </c>
      <c r="N172" s="77">
        <f>M172</f>
        <v>0</v>
      </c>
      <c r="O172" s="82">
        <f>IF(O$14=1,'Inputs (2)'!O121,M172*(1+Inputs!O$271))</f>
        <v>0</v>
      </c>
      <c r="P172" s="82">
        <f>IF(P$14=1,'Inputs (2)'!P121,O172*(1+Inputs!P$271))</f>
        <v>0</v>
      </c>
      <c r="Q172" s="82">
        <f>IF(Q$14=1,'Inputs (2)'!Q121,P172*(1+Inputs!Q$271))</f>
        <v>0</v>
      </c>
      <c r="R172" s="82">
        <f>IF(R$14=1,'Inputs (2)'!R121,Q172*(1+Inputs!R$271))</f>
        <v>0</v>
      </c>
      <c r="S172" s="77">
        <f>R172</f>
        <v>0</v>
      </c>
      <c r="T172" s="82">
        <f>IF(T$14=1,'Inputs (2)'!T121,R172*(1+Inputs!T$271))</f>
        <v>0</v>
      </c>
      <c r="U172" s="82">
        <f>IF(U$14=1,'Inputs (2)'!U121,T172*(1+Inputs!U$271))</f>
        <v>0</v>
      </c>
      <c r="V172" s="82">
        <f>IF(V$14=1,'Inputs (2)'!V121,U172*(1+Inputs!V$271))</f>
        <v>0</v>
      </c>
      <c r="W172" s="82">
        <f>IF(W$14=1,'Inputs (2)'!W121,V172*(1+Inputs!W$271))</f>
        <v>0</v>
      </c>
      <c r="X172" s="77">
        <f>W172</f>
        <v>0</v>
      </c>
      <c r="Y172" s="82">
        <f>IF(Y$14=1,'Inputs (2)'!Y121,W172*(1+Inputs!Y$271))</f>
        <v>0</v>
      </c>
      <c r="Z172" s="82">
        <f>IF(Z$14=1,'Inputs (2)'!Z121,Y172*(1+Inputs!Z$271))</f>
        <v>0</v>
      </c>
      <c r="AA172" s="82">
        <f>IF(AA$14=1,'Inputs (2)'!AA121,Z172*(1+Inputs!AA$271))</f>
        <v>0</v>
      </c>
      <c r="AB172" s="82">
        <f>IF(AB$14=1,'Inputs (2)'!AB121,AA172*(1+Inputs!AB$271))</f>
        <v>0</v>
      </c>
      <c r="AC172" s="77">
        <f>AB172</f>
        <v>0</v>
      </c>
      <c r="AD172" s="82">
        <f>IF(AD$14=1,'Inputs (2)'!AD121,AB172*(1+Inputs!AD$271))</f>
        <v>0</v>
      </c>
      <c r="AE172" s="82">
        <f>IF(AE$14=1,'Inputs (2)'!AE121,AD172*(1+Inputs!AE$271))</f>
        <v>0</v>
      </c>
      <c r="AF172" s="82">
        <f>IF(AF$14=1,'Inputs (2)'!AF121,AE172*(1+Inputs!AF$271))</f>
        <v>0</v>
      </c>
      <c r="AG172" s="82">
        <f>IF(AG$14=1,'Inputs (2)'!AG121,AF172*(1+Inputs!AG$271))</f>
        <v>0</v>
      </c>
      <c r="AH172" s="77">
        <f>AG172</f>
        <v>0</v>
      </c>
      <c r="AI172" s="82">
        <f>IF(AI$14=1,'Inputs (2)'!AI121,AG172*(1+Inputs!AI$271))</f>
        <v>0</v>
      </c>
      <c r="AJ172" s="82">
        <f>IF(AJ$14=1,'Inputs (2)'!AJ121,AI172*(1+Inputs!AJ$271))</f>
        <v>0</v>
      </c>
      <c r="AK172" s="82">
        <f>IF(AK$14=1,'Inputs (2)'!AK121,AJ172*(1+Inputs!AK$271))</f>
        <v>0</v>
      </c>
      <c r="AL172" s="82">
        <f>IF(AL$14=1,'Inputs (2)'!AL121,AK172*(1+Inputs!AL$271))</f>
        <v>0</v>
      </c>
      <c r="AM172" s="77">
        <f>AL172</f>
        <v>0</v>
      </c>
      <c r="AN172" s="82">
        <f>IF(AN$14=1,'Inputs (2)'!AN121,AL172*(1+Inputs!AN$271))</f>
        <v>0</v>
      </c>
      <c r="AO172" s="82">
        <f>IF(AO$14=1,'Inputs (2)'!AO121,AN172*(1+Inputs!AO$271))</f>
        <v>0</v>
      </c>
      <c r="AP172" s="82">
        <f>IF(AP$14=1,'Inputs (2)'!AP121,AO172*(1+Inputs!AP$271))</f>
        <v>0</v>
      </c>
      <c r="AQ172" s="82">
        <f>IF(AQ$14=1,'Inputs (2)'!AQ121,AP172*(1+Inputs!AQ$271))</f>
        <v>0</v>
      </c>
      <c r="AR172" s="77">
        <f>AQ172</f>
        <v>0</v>
      </c>
      <c r="AS172" s="82">
        <f>IF(AS$14=1,'Inputs (2)'!AS121,AQ172*(1+Inputs!AS$271))</f>
        <v>0</v>
      </c>
      <c r="AT172" s="82">
        <f>IF(AT$14=1,'Inputs (2)'!AT121,AS172*(1+Inputs!AT$271))</f>
        <v>0</v>
      </c>
      <c r="AU172" s="82">
        <f>IF(AU$14=1,'Inputs (2)'!AU121,AT172*(1+Inputs!AU$271))</f>
        <v>0</v>
      </c>
      <c r="AV172" s="82">
        <f>IF(AV$14=1,'Inputs (2)'!AV121,AU172*(1+Inputs!AV$271))</f>
        <v>0</v>
      </c>
      <c r="AW172" s="77">
        <f>AV172</f>
        <v>0</v>
      </c>
      <c r="AX172" s="82">
        <f>IF(AX$14=1,'Inputs (2)'!AX121,AV172*(1+Inputs!AX$271))</f>
        <v>0</v>
      </c>
      <c r="AY172" s="82">
        <f>IF(AY$14=1,'Inputs (2)'!AY121,AX172*(1+Inputs!AY$271))</f>
        <v>0</v>
      </c>
      <c r="AZ172" s="82">
        <f>IF(AZ$14=1,'Inputs (2)'!AZ121,AY172*(1+Inputs!AZ$271))</f>
        <v>0</v>
      </c>
      <c r="BA172" s="82">
        <f>IF(BA$14=1,'Inputs (2)'!BA121,AZ172*(1+Inputs!BA$271))</f>
        <v>0</v>
      </c>
      <c r="BB172" s="77">
        <f>BA172</f>
        <v>0</v>
      </c>
      <c r="BC172" s="82">
        <f>IF(BC$14=1,'Inputs (2)'!BC121,BA172*(1+Inputs!BC$271))</f>
        <v>0</v>
      </c>
      <c r="BD172" s="82">
        <f>IF(BD$14=1,'Inputs (2)'!BD121,BC172*(1+Inputs!BD$271))</f>
        <v>0</v>
      </c>
      <c r="BE172" s="82">
        <f>IF(BE$14=1,'Inputs (2)'!BE121,BD172*(1+Inputs!BE$271))</f>
        <v>0</v>
      </c>
      <c r="BF172" s="82">
        <f>IF(BF$14=1,'Inputs (2)'!BF121,BE172*(1+Inputs!BF$271))</f>
        <v>0</v>
      </c>
      <c r="BG172" s="77">
        <f>BF172</f>
        <v>0</v>
      </c>
    </row>
    <row r="173">
      <c r="C173" s="80" t="inlineStr">
        <is>
          <t>ACL de títulos (AFS e HTM)</t>
        </is>
      </c>
      <c r="D173" s="81" t="inlineStr">
        <is>
          <t>ACL — securities</t>
        </is>
      </c>
      <c r="E173" s="82">
        <f>'Inputs (2)'!E122</f>
        <v>0</v>
      </c>
      <c r="F173" s="82">
        <f>IF(F$14=1,'Inputs (2)'!F122,E173*(1+Inputs!F$271))</f>
        <v>0</v>
      </c>
      <c r="G173" s="82">
        <f>IF(G$14=1,'Inputs (2)'!G122,F173*(1+Inputs!G$271))</f>
        <v>0</v>
      </c>
      <c r="H173" s="82">
        <f>IF(H$14=1,'Inputs (2)'!H122,G173*(1+Inputs!H$271))</f>
        <v>0</v>
      </c>
      <c r="I173" s="77">
        <f>H173</f>
        <v>0</v>
      </c>
      <c r="J173" s="82">
        <f>IF(J$14=1,'Inputs (2)'!J122,H173*(1+Inputs!J$271))</f>
        <v>0</v>
      </c>
      <c r="K173" s="82">
        <f>IF(K$14=1,'Inputs (2)'!K122,J173*(1+Inputs!K$271))</f>
        <v>0</v>
      </c>
      <c r="L173" s="82">
        <f>IF(L$14=1,'Inputs (2)'!L122,K173*(1+Inputs!L$271))</f>
        <v>0</v>
      </c>
      <c r="M173" s="82">
        <f>IF(M$14=1,'Inputs (2)'!M122,L173*(1+Inputs!M$271))</f>
        <v>0</v>
      </c>
      <c r="N173" s="77">
        <f>M173</f>
        <v>0</v>
      </c>
      <c r="O173" s="82">
        <f>IF(O$14=1,'Inputs (2)'!O122,M173*(1+Inputs!O$271))</f>
        <v>0</v>
      </c>
      <c r="P173" s="82">
        <f>IF(P$14=1,'Inputs (2)'!P122,O173*(1+Inputs!P$271))</f>
        <v>0</v>
      </c>
      <c r="Q173" s="82">
        <f>IF(Q$14=1,'Inputs (2)'!Q122,P173*(1+Inputs!Q$271))</f>
        <v>0</v>
      </c>
      <c r="R173" s="82">
        <f>IF(R$14=1,'Inputs (2)'!R122,Q173*(1+Inputs!R$271))</f>
        <v>0</v>
      </c>
      <c r="S173" s="77">
        <f>R173</f>
        <v>0</v>
      </c>
      <c r="T173" s="82">
        <f>IF(T$14=1,'Inputs (2)'!T122,R173*(1+Inputs!T$271))</f>
        <v>0</v>
      </c>
      <c r="U173" s="82">
        <f>IF(U$14=1,'Inputs (2)'!U122,T173*(1+Inputs!U$271))</f>
        <v>0</v>
      </c>
      <c r="V173" s="82">
        <f>IF(V$14=1,'Inputs (2)'!V122,U173*(1+Inputs!V$271))</f>
        <v>0</v>
      </c>
      <c r="W173" s="82">
        <f>IF(W$14=1,'Inputs (2)'!W122,V173*(1+Inputs!W$271))</f>
        <v>0</v>
      </c>
      <c r="X173" s="77">
        <f>W173</f>
        <v>0</v>
      </c>
      <c r="Y173" s="82">
        <f>IF(Y$14=1,'Inputs (2)'!Y122,W173*(1+Inputs!Y$271))</f>
        <v>0</v>
      </c>
      <c r="Z173" s="82">
        <f>IF(Z$14=1,'Inputs (2)'!Z122,Y173*(1+Inputs!Z$271))</f>
        <v>0</v>
      </c>
      <c r="AA173" s="82">
        <f>IF(AA$14=1,'Inputs (2)'!AA122,Z173*(1+Inputs!AA$271))</f>
        <v>0</v>
      </c>
      <c r="AB173" s="82">
        <f>IF(AB$14=1,'Inputs (2)'!AB122,AA173*(1+Inputs!AB$271))</f>
        <v>0</v>
      </c>
      <c r="AC173" s="77">
        <f>AB173</f>
        <v>0</v>
      </c>
      <c r="AD173" s="82">
        <f>IF(AD$14=1,'Inputs (2)'!AD122,AB173*(1+Inputs!AD$271))</f>
        <v>0</v>
      </c>
      <c r="AE173" s="82">
        <f>IF(AE$14=1,'Inputs (2)'!AE122,AD173*(1+Inputs!AE$271))</f>
        <v>0</v>
      </c>
      <c r="AF173" s="82">
        <f>IF(AF$14=1,'Inputs (2)'!AF122,AE173*(1+Inputs!AF$271))</f>
        <v>0</v>
      </c>
      <c r="AG173" s="82">
        <f>IF(AG$14=1,'Inputs (2)'!AG122,AF173*(1+Inputs!AG$271))</f>
        <v>0</v>
      </c>
      <c r="AH173" s="77">
        <f>AG173</f>
        <v>0</v>
      </c>
      <c r="AI173" s="82">
        <f>IF(AI$14=1,'Inputs (2)'!AI122,AG173*(1+Inputs!AI$271))</f>
        <v>0</v>
      </c>
      <c r="AJ173" s="82">
        <f>IF(AJ$14=1,'Inputs (2)'!AJ122,AI173*(1+Inputs!AJ$271))</f>
        <v>0</v>
      </c>
      <c r="AK173" s="82">
        <f>IF(AK$14=1,'Inputs (2)'!AK122,AJ173*(1+Inputs!AK$271))</f>
        <v>0</v>
      </c>
      <c r="AL173" s="82">
        <f>IF(AL$14=1,'Inputs (2)'!AL122,AK173*(1+Inputs!AL$271))</f>
        <v>0</v>
      </c>
      <c r="AM173" s="77">
        <f>AL173</f>
        <v>0</v>
      </c>
      <c r="AN173" s="82">
        <f>IF(AN$14=1,'Inputs (2)'!AN122,AL173*(1+Inputs!AN$271))</f>
        <v>0</v>
      </c>
      <c r="AO173" s="82">
        <f>IF(AO$14=1,'Inputs (2)'!AO122,AN173*(1+Inputs!AO$271))</f>
        <v>0</v>
      </c>
      <c r="AP173" s="82">
        <f>IF(AP$14=1,'Inputs (2)'!AP122,AO173*(1+Inputs!AP$271))</f>
        <v>0</v>
      </c>
      <c r="AQ173" s="82">
        <f>IF(AQ$14=1,'Inputs (2)'!AQ122,AP173*(1+Inputs!AQ$271))</f>
        <v>0</v>
      </c>
      <c r="AR173" s="77">
        <f>AQ173</f>
        <v>0</v>
      </c>
      <c r="AS173" s="82">
        <f>IF(AS$14=1,'Inputs (2)'!AS122,AQ173*(1+Inputs!AS$271))</f>
        <v>0</v>
      </c>
      <c r="AT173" s="82">
        <f>IF(AT$14=1,'Inputs (2)'!AT122,AS173*(1+Inputs!AT$271))</f>
        <v>0</v>
      </c>
      <c r="AU173" s="82">
        <f>IF(AU$14=1,'Inputs (2)'!AU122,AT173*(1+Inputs!AU$271))</f>
        <v>0</v>
      </c>
      <c r="AV173" s="82">
        <f>IF(AV$14=1,'Inputs (2)'!AV122,AU173*(1+Inputs!AV$271))</f>
        <v>0</v>
      </c>
      <c r="AW173" s="77">
        <f>AV173</f>
        <v>0</v>
      </c>
      <c r="AX173" s="82">
        <f>IF(AX$14=1,'Inputs (2)'!AX122,AV173*(1+Inputs!AX$271))</f>
        <v>0</v>
      </c>
      <c r="AY173" s="82">
        <f>IF(AY$14=1,'Inputs (2)'!AY122,AX173*(1+Inputs!AY$271))</f>
        <v>0</v>
      </c>
      <c r="AZ173" s="82">
        <f>IF(AZ$14=1,'Inputs (2)'!AZ122,AY173*(1+Inputs!AZ$271))</f>
        <v>0</v>
      </c>
      <c r="BA173" s="82">
        <f>IF(BA$14=1,'Inputs (2)'!BA122,AZ173*(1+Inputs!BA$271))</f>
        <v>0</v>
      </c>
      <c r="BB173" s="77">
        <f>BA173</f>
        <v>0</v>
      </c>
      <c r="BC173" s="82">
        <f>IF(BC$14=1,'Inputs (2)'!BC122,BA173*(1+Inputs!BC$271))</f>
        <v>0</v>
      </c>
      <c r="BD173" s="82">
        <f>IF(BD$14=1,'Inputs (2)'!BD122,BC173*(1+Inputs!BD$271))</f>
        <v>0</v>
      </c>
      <c r="BE173" s="82">
        <f>IF(BE$14=1,'Inputs (2)'!BE122,BD173*(1+Inputs!BE$271))</f>
        <v>0</v>
      </c>
      <c r="BF173" s="82">
        <f>IF(BF$14=1,'Inputs (2)'!BF122,BE173*(1+Inputs!BF$271))</f>
        <v>0</v>
      </c>
      <c r="BG173" s="77">
        <f>BF173</f>
        <v>0</v>
      </c>
    </row>
    <row r="175">
      <c r="B175" s="7" t="n"/>
      <c r="C175" s="7" t="str">
        <f>"CAPITAL REGULATÓRIO ("&amp;Inputs!$E$202&amp;")"</f>
        <v>CAPITAL REGULATÓRIO (US$ milhões)</v>
      </c>
      <c r="D175" s="7" t="inlineStr">
        <is>
          <t>REGULATORY CAPITAL</t>
        </is>
      </c>
      <c r="E175" s="7" t="n"/>
      <c r="F175" s="7" t="n"/>
      <c r="G175" s="7" t="n"/>
      <c r="H175" s="7" t="n"/>
      <c r="I175" s="7" t="n"/>
      <c r="J175" s="7" t="n"/>
      <c r="K175" s="7" t="n"/>
      <c r="L175" s="7" t="n"/>
      <c r="M175" s="7" t="n"/>
      <c r="N175" s="7" t="n"/>
      <c r="O175" s="7" t="n"/>
      <c r="P175" s="7" t="n"/>
      <c r="Q175" s="7" t="n"/>
      <c r="R175" s="7" t="n"/>
      <c r="S175" s="7" t="n"/>
      <c r="T175" s="7" t="n"/>
      <c r="U175" s="7" t="n"/>
      <c r="V175" s="7" t="n"/>
      <c r="W175" s="7" t="n"/>
      <c r="X175" s="7" t="n"/>
      <c r="Y175" s="7" t="n"/>
      <c r="Z175" s="7" t="n"/>
      <c r="AA175" s="7" t="n"/>
      <c r="AB175" s="7" t="n"/>
      <c r="AC175" s="7" t="n"/>
      <c r="AD175" s="7" t="n"/>
      <c r="AE175" s="7" t="n"/>
      <c r="AF175" s="7" t="n"/>
      <c r="AG175" s="7" t="n"/>
      <c r="AH175" s="7" t="n"/>
      <c r="AI175" s="7" t="n"/>
      <c r="AJ175" s="7" t="n"/>
      <c r="AK175" s="7" t="n"/>
      <c r="AL175" s="7" t="n"/>
      <c r="AM175" s="7" t="n"/>
      <c r="AN175" s="7" t="n"/>
      <c r="AO175" s="7" t="n"/>
      <c r="AP175" s="7" t="n"/>
      <c r="AQ175" s="7" t="n"/>
      <c r="AR175" s="7" t="n"/>
      <c r="AS175" s="7" t="n"/>
      <c r="AT175" s="7" t="n"/>
      <c r="AU175" s="7" t="n"/>
      <c r="AV175" s="7" t="n"/>
      <c r="AW175" s="7" t="n"/>
      <c r="AX175" s="7" t="n"/>
      <c r="AY175" s="7" t="n"/>
      <c r="AZ175" s="7" t="n"/>
      <c r="BA175" s="7" t="n"/>
      <c r="BB175" s="7" t="n"/>
      <c r="BC175" s="7" t="n"/>
      <c r="BD175" s="7" t="n"/>
      <c r="BE175" s="7" t="n"/>
      <c r="BF175" s="7" t="n"/>
      <c r="BG175" s="7" t="n"/>
      <c r="BH175" s="7" t="n"/>
      <c r="BI175" s="7" t="n"/>
    </row>
    <row r="176">
      <c r="C176" s="11" t="inlineStr">
        <is>
          <t>RWA — abordagem padronizada (Standardized)</t>
        </is>
      </c>
      <c r="D176" s="12" t="inlineStr">
        <is>
          <t>RWA — Standardized</t>
        </is>
      </c>
      <c r="E176" s="57">
        <f>IF(AND(E$14=1,ISNUMBER('Inputs (2)'!E136),'Inputs (2)'!E136&lt;&gt;0),'Inputs (2)'!E136,E42*Inputs!E$301)</f>
        <v>0</v>
      </c>
      <c r="F176" s="57">
        <f>IF(AND(F$14=1,ISNUMBER('Inputs (2)'!F136),'Inputs (2)'!F136&lt;&gt;0),'Inputs (2)'!F136,F42*Inputs!F$301)</f>
        <v>0</v>
      </c>
      <c r="G176" s="57">
        <f>IF(AND(G$14=1,ISNUMBER('Inputs (2)'!G136),'Inputs (2)'!G136&lt;&gt;0),'Inputs (2)'!G136,G42*Inputs!G$301)</f>
        <v>0</v>
      </c>
      <c r="H176" s="57">
        <f>IF(AND(H$14=1,ISNUMBER('Inputs (2)'!H136),'Inputs (2)'!H136&lt;&gt;0),'Inputs (2)'!H136,H42*Inputs!H$301)</f>
        <v>0</v>
      </c>
      <c r="I176" s="77">
        <f>H176</f>
        <v>0</v>
      </c>
      <c r="J176" s="57">
        <f>IF(AND(J$14=1,ISNUMBER('Inputs (2)'!J136),'Inputs (2)'!J136&lt;&gt;0),'Inputs (2)'!J136,J42*Inputs!J$301)</f>
        <v>0</v>
      </c>
      <c r="K176" s="57">
        <f>IF(AND(K$14=1,ISNUMBER('Inputs (2)'!K136),'Inputs (2)'!K136&lt;&gt;0),'Inputs (2)'!K136,K42*Inputs!K$301)</f>
        <v>0</v>
      </c>
      <c r="L176" s="57">
        <f>IF(AND(L$14=1,ISNUMBER('Inputs (2)'!L136),'Inputs (2)'!L136&lt;&gt;0),'Inputs (2)'!L136,L42*Inputs!L$301)</f>
        <v>0</v>
      </c>
      <c r="M176" s="57">
        <f>IF(AND(M$14=1,ISNUMBER('Inputs (2)'!M136),'Inputs (2)'!M136&lt;&gt;0),'Inputs (2)'!M136,M42*Inputs!M$301)</f>
        <v>0</v>
      </c>
      <c r="N176" s="77">
        <f>M176</f>
        <v>0</v>
      </c>
      <c r="O176" s="57">
        <f>IF(AND(O$14=1,ISNUMBER('Inputs (2)'!O136),'Inputs (2)'!O136&lt;&gt;0),'Inputs (2)'!O136,O42*Inputs!O$301)</f>
        <v>0</v>
      </c>
      <c r="P176" s="57">
        <f>IF(AND(P$14=1,ISNUMBER('Inputs (2)'!P136),'Inputs (2)'!P136&lt;&gt;0),'Inputs (2)'!P136,P42*Inputs!P$301)</f>
        <v>0</v>
      </c>
      <c r="Q176" s="57">
        <f>IF(AND(Q$14=1,ISNUMBER('Inputs (2)'!Q136),'Inputs (2)'!Q136&lt;&gt;0),'Inputs (2)'!Q136,Q42*Inputs!Q$301)</f>
        <v>0</v>
      </c>
      <c r="R176" s="57">
        <f>IF(AND(R$14=1,ISNUMBER('Inputs (2)'!R136),'Inputs (2)'!R136&lt;&gt;0),'Inputs (2)'!R136,R42*Inputs!R$301)</f>
        <v>0</v>
      </c>
      <c r="S176" s="77">
        <f>R176</f>
        <v>0</v>
      </c>
      <c r="T176" s="57">
        <f>IF(AND(T$14=1,ISNUMBER('Inputs (2)'!T136),'Inputs (2)'!T136&lt;&gt;0),'Inputs (2)'!T136,T42*Inputs!T$301)</f>
        <v>0</v>
      </c>
      <c r="U176" s="57">
        <f>IF(AND(U$14=1,ISNUMBER('Inputs (2)'!U136),'Inputs (2)'!U136&lt;&gt;0),'Inputs (2)'!U136,U42*Inputs!U$301)</f>
        <v>0</v>
      </c>
      <c r="V176" s="57">
        <f>IF(AND(V$14=1,ISNUMBER('Inputs (2)'!V136),'Inputs (2)'!V136&lt;&gt;0),'Inputs (2)'!V136,V42*Inputs!V$301)</f>
        <v>0</v>
      </c>
      <c r="W176" s="57">
        <f>IF(AND(W$14=1,ISNUMBER('Inputs (2)'!W136),'Inputs (2)'!W136&lt;&gt;0),'Inputs (2)'!W136,W42*Inputs!W$301)</f>
        <v>0</v>
      </c>
      <c r="X176" s="77">
        <f>W176</f>
        <v>0</v>
      </c>
      <c r="Y176" s="57">
        <f>IF(AND(Y$14=1,ISNUMBER('Inputs (2)'!Y136),'Inputs (2)'!Y136&lt;&gt;0),'Inputs (2)'!Y136,Y42*Inputs!Y$301)</f>
        <v>0</v>
      </c>
      <c r="Z176" s="57">
        <f>IF(AND(Z$14=1,ISNUMBER('Inputs (2)'!Z136),'Inputs (2)'!Z136&lt;&gt;0),'Inputs (2)'!Z136,Z42*Inputs!Z$301)</f>
        <v>0</v>
      </c>
      <c r="AA176" s="57">
        <f>IF(AND(AA$14=1,ISNUMBER('Inputs (2)'!AA136),'Inputs (2)'!AA136&lt;&gt;0),'Inputs (2)'!AA136,AA42*Inputs!AA$301)</f>
        <v>0</v>
      </c>
      <c r="AB176" s="57">
        <f>IF(AND(AB$14=1,ISNUMBER('Inputs (2)'!AB136),'Inputs (2)'!AB136&lt;&gt;0),'Inputs (2)'!AB136,AB42*Inputs!AB$301)</f>
        <v>0</v>
      </c>
      <c r="AC176" s="77">
        <f>AB176</f>
        <v>0</v>
      </c>
      <c r="AD176" s="57">
        <f>IF(AND(AD$14=1,ISNUMBER('Inputs (2)'!AD136),'Inputs (2)'!AD136&lt;&gt;0),'Inputs (2)'!AD136,AD42*Inputs!AD$301)</f>
        <v>0</v>
      </c>
      <c r="AE176" s="57">
        <f>IF(AND(AE$14=1,ISNUMBER('Inputs (2)'!AE136),'Inputs (2)'!AE136&lt;&gt;0),'Inputs (2)'!AE136,AE42*Inputs!AE$301)</f>
        <v>0</v>
      </c>
      <c r="AF176" s="57">
        <f>IF(AND(AF$14=1,ISNUMBER('Inputs (2)'!AF136),'Inputs (2)'!AF136&lt;&gt;0),'Inputs (2)'!AF136,AF42*Inputs!AF$301)</f>
        <v>0</v>
      </c>
      <c r="AG176" s="57">
        <f>IF(AND(AG$14=1,ISNUMBER('Inputs (2)'!AG136),'Inputs (2)'!AG136&lt;&gt;0),'Inputs (2)'!AG136,AG42*Inputs!AG$301)</f>
        <v>0</v>
      </c>
      <c r="AH176" s="77">
        <f>AG176</f>
        <v>0</v>
      </c>
      <c r="AI176" s="57">
        <f>IF(AND(AI$14=1,ISNUMBER('Inputs (2)'!AI136),'Inputs (2)'!AI136&lt;&gt;0),'Inputs (2)'!AI136,AI42*Inputs!AI$301)</f>
        <v>0</v>
      </c>
      <c r="AJ176" s="57">
        <f>IF(AND(AJ$14=1,ISNUMBER('Inputs (2)'!AJ136),'Inputs (2)'!AJ136&lt;&gt;0),'Inputs (2)'!AJ136,AJ42*Inputs!AJ$301)</f>
        <v>0</v>
      </c>
      <c r="AK176" s="57">
        <f>IF(AND(AK$14=1,ISNUMBER('Inputs (2)'!AK136),'Inputs (2)'!AK136&lt;&gt;0),'Inputs (2)'!AK136,AK42*Inputs!AK$301)</f>
        <v>0</v>
      </c>
      <c r="AL176" s="57">
        <f>IF(AND(AL$14=1,ISNUMBER('Inputs (2)'!AL136),'Inputs (2)'!AL136&lt;&gt;0),'Inputs (2)'!AL136,AL42*Inputs!AL$301)</f>
        <v>0</v>
      </c>
      <c r="AM176" s="77">
        <f>AL176</f>
        <v>0</v>
      </c>
      <c r="AN176" s="57">
        <f>IF(AND(AN$14=1,ISNUMBER('Inputs (2)'!AN136),'Inputs (2)'!AN136&lt;&gt;0),'Inputs (2)'!AN136,AN42*Inputs!AN$301)</f>
        <v>0</v>
      </c>
      <c r="AO176" s="57">
        <f>IF(AND(AO$14=1,ISNUMBER('Inputs (2)'!AO136),'Inputs (2)'!AO136&lt;&gt;0),'Inputs (2)'!AO136,AO42*Inputs!AO$301)</f>
        <v>0</v>
      </c>
      <c r="AP176" s="57">
        <f>IF(AND(AP$14=1,ISNUMBER('Inputs (2)'!AP136),'Inputs (2)'!AP136&lt;&gt;0),'Inputs (2)'!AP136,AP42*Inputs!AP$301)</f>
        <v>0</v>
      </c>
      <c r="AQ176" s="57">
        <f>IF(AND(AQ$14=1,ISNUMBER('Inputs (2)'!AQ136),'Inputs (2)'!AQ136&lt;&gt;0),'Inputs (2)'!AQ136,AQ42*Inputs!AQ$301)</f>
        <v>0</v>
      </c>
      <c r="AR176" s="77">
        <f>AQ176</f>
        <v>0</v>
      </c>
      <c r="AS176" s="57">
        <f>IF(AND(AS$14=1,ISNUMBER('Inputs (2)'!AS136),'Inputs (2)'!AS136&lt;&gt;0),'Inputs (2)'!AS136,AS42*Inputs!AS$301)</f>
        <v>0</v>
      </c>
      <c r="AT176" s="57">
        <f>IF(AND(AT$14=1,ISNUMBER('Inputs (2)'!AT136),'Inputs (2)'!AT136&lt;&gt;0),'Inputs (2)'!AT136,AT42*Inputs!AT$301)</f>
        <v>0</v>
      </c>
      <c r="AU176" s="57">
        <f>IF(AND(AU$14=1,ISNUMBER('Inputs (2)'!AU136),'Inputs (2)'!AU136&lt;&gt;0),'Inputs (2)'!AU136,AU42*Inputs!AU$301)</f>
        <v>0</v>
      </c>
      <c r="AV176" s="57">
        <f>IF(AND(AV$14=1,ISNUMBER('Inputs (2)'!AV136),'Inputs (2)'!AV136&lt;&gt;0),'Inputs (2)'!AV136,AV42*Inputs!AV$301)</f>
        <v>0</v>
      </c>
      <c r="AW176" s="77">
        <f>AV176</f>
        <v>0</v>
      </c>
      <c r="AX176" s="57">
        <f>IF(AND(AX$14=1,ISNUMBER('Inputs (2)'!AX136),'Inputs (2)'!AX136&lt;&gt;0),'Inputs (2)'!AX136,AX42*Inputs!AX$301)</f>
        <v>0</v>
      </c>
      <c r="AY176" s="57">
        <f>IF(AND(AY$14=1,ISNUMBER('Inputs (2)'!AY136),'Inputs (2)'!AY136&lt;&gt;0),'Inputs (2)'!AY136,AY42*Inputs!AY$301)</f>
        <v>0</v>
      </c>
      <c r="AZ176" s="57">
        <f>IF(AND(AZ$14=1,ISNUMBER('Inputs (2)'!AZ136),'Inputs (2)'!AZ136&lt;&gt;0),'Inputs (2)'!AZ136,AZ42*Inputs!AZ$301)</f>
        <v>0</v>
      </c>
      <c r="BA176" s="57">
        <f>IF(AND(BA$14=1,ISNUMBER('Inputs (2)'!BA136),'Inputs (2)'!BA136&lt;&gt;0),'Inputs (2)'!BA136,BA42*Inputs!BA$301)</f>
        <v>0</v>
      </c>
      <c r="BB176" s="77">
        <f>BA176</f>
        <v>0</v>
      </c>
      <c r="BC176" s="57">
        <f>IF(AND(BC$14=1,ISNUMBER('Inputs (2)'!BC136),'Inputs (2)'!BC136&lt;&gt;0),'Inputs (2)'!BC136,BC42*Inputs!BC$301)</f>
        <v>0</v>
      </c>
      <c r="BD176" s="57">
        <f>IF(AND(BD$14=1,ISNUMBER('Inputs (2)'!BD136),'Inputs (2)'!BD136&lt;&gt;0),'Inputs (2)'!BD136,BD42*Inputs!BD$301)</f>
        <v>0</v>
      </c>
      <c r="BE176" s="57">
        <f>IF(AND(BE$14=1,ISNUMBER('Inputs (2)'!BE136),'Inputs (2)'!BE136&lt;&gt;0),'Inputs (2)'!BE136,BE42*Inputs!BE$301)</f>
        <v>0</v>
      </c>
      <c r="BF176" s="57">
        <f>IF(AND(BF$14=1,ISNUMBER('Inputs (2)'!BF136),'Inputs (2)'!BF136&lt;&gt;0),'Inputs (2)'!BF136,BF42*Inputs!BF$301)</f>
        <v>0</v>
      </c>
      <c r="BG176" s="77">
        <f>BF176</f>
        <v>0</v>
      </c>
    </row>
    <row r="177">
      <c r="C177" s="11" t="inlineStr">
        <is>
          <t>Capital total</t>
        </is>
      </c>
      <c r="D177" s="12" t="inlineStr">
        <is>
          <t>Total capital</t>
        </is>
      </c>
      <c r="E177" s="57">
        <f>IF(AND(E$14=1,ISNUMBER('Inputs (2)'!E140),'Inputs (2)'!E140&lt;&gt;0),'Inputs (2)'!E140,E176*Inputs!E$302)</f>
        <v>0</v>
      </c>
      <c r="F177" s="57">
        <f>IF(AND(F$14=1,ISNUMBER('Inputs (2)'!F140),'Inputs (2)'!F140&lt;&gt;0),'Inputs (2)'!F140,F176*Inputs!F$302)</f>
        <v>0</v>
      </c>
      <c r="G177" s="57">
        <f>IF(AND(G$14=1,ISNUMBER('Inputs (2)'!G140),'Inputs (2)'!G140&lt;&gt;0),'Inputs (2)'!G140,G176*Inputs!G$302)</f>
        <v>0</v>
      </c>
      <c r="H177" s="57">
        <f>IF(AND(H$14=1,ISNUMBER('Inputs (2)'!H140),'Inputs (2)'!H140&lt;&gt;0),'Inputs (2)'!H140,H176*Inputs!H$302)</f>
        <v>0</v>
      </c>
      <c r="I177" s="77">
        <f>H177</f>
        <v>0</v>
      </c>
      <c r="J177" s="57">
        <f>IF(AND(J$14=1,ISNUMBER('Inputs (2)'!J140),'Inputs (2)'!J140&lt;&gt;0),'Inputs (2)'!J140,J176*Inputs!J$302)</f>
        <v>0</v>
      </c>
      <c r="K177" s="57">
        <f>IF(AND(K$14=1,ISNUMBER('Inputs (2)'!K140),'Inputs (2)'!K140&lt;&gt;0),'Inputs (2)'!K140,K176*Inputs!K$302)</f>
        <v>0</v>
      </c>
      <c r="L177" s="57">
        <f>IF(AND(L$14=1,ISNUMBER('Inputs (2)'!L140),'Inputs (2)'!L140&lt;&gt;0),'Inputs (2)'!L140,L176*Inputs!L$302)</f>
        <v>0</v>
      </c>
      <c r="M177" s="57">
        <f>IF(AND(M$14=1,ISNUMBER('Inputs (2)'!M140),'Inputs (2)'!M140&lt;&gt;0),'Inputs (2)'!M140,M176*Inputs!M$302)</f>
        <v>0</v>
      </c>
      <c r="N177" s="77">
        <f>M177</f>
        <v>0</v>
      </c>
      <c r="O177" s="57">
        <f>IF(AND(O$14=1,ISNUMBER('Inputs (2)'!O140),'Inputs (2)'!O140&lt;&gt;0),'Inputs (2)'!O140,O176*Inputs!O$302)</f>
        <v>0</v>
      </c>
      <c r="P177" s="57">
        <f>IF(AND(P$14=1,ISNUMBER('Inputs (2)'!P140),'Inputs (2)'!P140&lt;&gt;0),'Inputs (2)'!P140,P176*Inputs!P$302)</f>
        <v>0</v>
      </c>
      <c r="Q177" s="57">
        <f>IF(AND(Q$14=1,ISNUMBER('Inputs (2)'!Q140),'Inputs (2)'!Q140&lt;&gt;0),'Inputs (2)'!Q140,Q176*Inputs!Q$302)</f>
        <v>0</v>
      </c>
      <c r="R177" s="57">
        <f>IF(AND(R$14=1,ISNUMBER('Inputs (2)'!R140),'Inputs (2)'!R140&lt;&gt;0),'Inputs (2)'!R140,R176*Inputs!R$302)</f>
        <v>0</v>
      </c>
      <c r="S177" s="77">
        <f>R177</f>
        <v>0</v>
      </c>
      <c r="T177" s="57">
        <f>IF(AND(T$14=1,ISNUMBER('Inputs (2)'!T140),'Inputs (2)'!T140&lt;&gt;0),'Inputs (2)'!T140,T176*Inputs!T$302)</f>
        <v>0</v>
      </c>
      <c r="U177" s="57">
        <f>IF(AND(U$14=1,ISNUMBER('Inputs (2)'!U140),'Inputs (2)'!U140&lt;&gt;0),'Inputs (2)'!U140,U176*Inputs!U$302)</f>
        <v>0</v>
      </c>
      <c r="V177" s="57">
        <f>IF(AND(V$14=1,ISNUMBER('Inputs (2)'!V140),'Inputs (2)'!V140&lt;&gt;0),'Inputs (2)'!V140,V176*Inputs!V$302)</f>
        <v>0</v>
      </c>
      <c r="W177" s="57">
        <f>IF(AND(W$14=1,ISNUMBER('Inputs (2)'!W140),'Inputs (2)'!W140&lt;&gt;0),'Inputs (2)'!W140,W176*Inputs!W$302)</f>
        <v>0</v>
      </c>
      <c r="X177" s="77">
        <f>W177</f>
        <v>0</v>
      </c>
      <c r="Y177" s="57">
        <f>IF(AND(Y$14=1,ISNUMBER('Inputs (2)'!Y140),'Inputs (2)'!Y140&lt;&gt;0),'Inputs (2)'!Y140,Y176*Inputs!Y$302)</f>
        <v>0</v>
      </c>
      <c r="Z177" s="57">
        <f>IF(AND(Z$14=1,ISNUMBER('Inputs (2)'!Z140),'Inputs (2)'!Z140&lt;&gt;0),'Inputs (2)'!Z140,Z176*Inputs!Z$302)</f>
        <v>0</v>
      </c>
      <c r="AA177" s="57">
        <f>IF(AND(AA$14=1,ISNUMBER('Inputs (2)'!AA140),'Inputs (2)'!AA140&lt;&gt;0),'Inputs (2)'!AA140,AA176*Inputs!AA$302)</f>
        <v>0</v>
      </c>
      <c r="AB177" s="57">
        <f>IF(AND(AB$14=1,ISNUMBER('Inputs (2)'!AB140),'Inputs (2)'!AB140&lt;&gt;0),'Inputs (2)'!AB140,AB176*Inputs!AB$302)</f>
        <v>0</v>
      </c>
      <c r="AC177" s="77">
        <f>AB177</f>
        <v>0</v>
      </c>
      <c r="AD177" s="57">
        <f>IF(AND(AD$14=1,ISNUMBER('Inputs (2)'!AD140),'Inputs (2)'!AD140&lt;&gt;0),'Inputs (2)'!AD140,AD176*Inputs!AD$302)</f>
        <v>0</v>
      </c>
      <c r="AE177" s="57">
        <f>IF(AND(AE$14=1,ISNUMBER('Inputs (2)'!AE140),'Inputs (2)'!AE140&lt;&gt;0),'Inputs (2)'!AE140,AE176*Inputs!AE$302)</f>
        <v>0</v>
      </c>
      <c r="AF177" s="57">
        <f>IF(AND(AF$14=1,ISNUMBER('Inputs (2)'!AF140),'Inputs (2)'!AF140&lt;&gt;0),'Inputs (2)'!AF140,AF176*Inputs!AF$302)</f>
        <v>0</v>
      </c>
      <c r="AG177" s="57">
        <f>IF(AND(AG$14=1,ISNUMBER('Inputs (2)'!AG140),'Inputs (2)'!AG140&lt;&gt;0),'Inputs (2)'!AG140,AG176*Inputs!AG$302)</f>
        <v>0</v>
      </c>
      <c r="AH177" s="77">
        <f>AG177</f>
        <v>0</v>
      </c>
      <c r="AI177" s="57">
        <f>IF(AND(AI$14=1,ISNUMBER('Inputs (2)'!AI140),'Inputs (2)'!AI140&lt;&gt;0),'Inputs (2)'!AI140,AI176*Inputs!AI$302)</f>
        <v>0</v>
      </c>
      <c r="AJ177" s="57">
        <f>IF(AND(AJ$14=1,ISNUMBER('Inputs (2)'!AJ140),'Inputs (2)'!AJ140&lt;&gt;0),'Inputs (2)'!AJ140,AJ176*Inputs!AJ$302)</f>
        <v>0</v>
      </c>
      <c r="AK177" s="57">
        <f>IF(AND(AK$14=1,ISNUMBER('Inputs (2)'!AK140),'Inputs (2)'!AK140&lt;&gt;0),'Inputs (2)'!AK140,AK176*Inputs!AK$302)</f>
        <v>0</v>
      </c>
      <c r="AL177" s="57">
        <f>IF(AND(AL$14=1,ISNUMBER('Inputs (2)'!AL140),'Inputs (2)'!AL140&lt;&gt;0),'Inputs (2)'!AL140,AL176*Inputs!AL$302)</f>
        <v>0</v>
      </c>
      <c r="AM177" s="77">
        <f>AL177</f>
        <v>0</v>
      </c>
      <c r="AN177" s="57">
        <f>IF(AND(AN$14=1,ISNUMBER('Inputs (2)'!AN140),'Inputs (2)'!AN140&lt;&gt;0),'Inputs (2)'!AN140,AN176*Inputs!AN$302)</f>
        <v>0</v>
      </c>
      <c r="AO177" s="57">
        <f>IF(AND(AO$14=1,ISNUMBER('Inputs (2)'!AO140),'Inputs (2)'!AO140&lt;&gt;0),'Inputs (2)'!AO140,AO176*Inputs!AO$302)</f>
        <v>0</v>
      </c>
      <c r="AP177" s="57">
        <f>IF(AND(AP$14=1,ISNUMBER('Inputs (2)'!AP140),'Inputs (2)'!AP140&lt;&gt;0),'Inputs (2)'!AP140,AP176*Inputs!AP$302)</f>
        <v>0</v>
      </c>
      <c r="AQ177" s="57">
        <f>IF(AND(AQ$14=1,ISNUMBER('Inputs (2)'!AQ140),'Inputs (2)'!AQ140&lt;&gt;0),'Inputs (2)'!AQ140,AQ176*Inputs!AQ$302)</f>
        <v>0</v>
      </c>
      <c r="AR177" s="77">
        <f>AQ177</f>
        <v>0</v>
      </c>
      <c r="AS177" s="57">
        <f>IF(AND(AS$14=1,ISNUMBER('Inputs (2)'!AS140),'Inputs (2)'!AS140&lt;&gt;0),'Inputs (2)'!AS140,AS176*Inputs!AS$302)</f>
        <v>0</v>
      </c>
      <c r="AT177" s="57">
        <f>IF(AND(AT$14=1,ISNUMBER('Inputs (2)'!AT140),'Inputs (2)'!AT140&lt;&gt;0),'Inputs (2)'!AT140,AT176*Inputs!AT$302)</f>
        <v>0</v>
      </c>
      <c r="AU177" s="57">
        <f>IF(AND(AU$14=1,ISNUMBER('Inputs (2)'!AU140),'Inputs (2)'!AU140&lt;&gt;0),'Inputs (2)'!AU140,AU176*Inputs!AU$302)</f>
        <v>0</v>
      </c>
      <c r="AV177" s="57">
        <f>IF(AND(AV$14=1,ISNUMBER('Inputs (2)'!AV140),'Inputs (2)'!AV140&lt;&gt;0),'Inputs (2)'!AV140,AV176*Inputs!AV$302)</f>
        <v>0</v>
      </c>
      <c r="AW177" s="77">
        <f>AV177</f>
        <v>0</v>
      </c>
      <c r="AX177" s="57">
        <f>IF(AND(AX$14=1,ISNUMBER('Inputs (2)'!AX140),'Inputs (2)'!AX140&lt;&gt;0),'Inputs (2)'!AX140,AX176*Inputs!AX$302)</f>
        <v>0</v>
      </c>
      <c r="AY177" s="57">
        <f>IF(AND(AY$14=1,ISNUMBER('Inputs (2)'!AY140),'Inputs (2)'!AY140&lt;&gt;0),'Inputs (2)'!AY140,AY176*Inputs!AY$302)</f>
        <v>0</v>
      </c>
      <c r="AZ177" s="57">
        <f>IF(AND(AZ$14=1,ISNUMBER('Inputs (2)'!AZ140),'Inputs (2)'!AZ140&lt;&gt;0),'Inputs (2)'!AZ140,AZ176*Inputs!AZ$302)</f>
        <v>0</v>
      </c>
      <c r="BA177" s="57">
        <f>IF(AND(BA$14=1,ISNUMBER('Inputs (2)'!BA140),'Inputs (2)'!BA140&lt;&gt;0),'Inputs (2)'!BA140,BA176*Inputs!BA$302)</f>
        <v>0</v>
      </c>
      <c r="BB177" s="77">
        <f>BA177</f>
        <v>0</v>
      </c>
      <c r="BC177" s="57">
        <f>IF(AND(BC$14=1,ISNUMBER('Inputs (2)'!BC140),'Inputs (2)'!BC140&lt;&gt;0),'Inputs (2)'!BC140,BC176*Inputs!BC$302)</f>
        <v>0</v>
      </c>
      <c r="BD177" s="57">
        <f>IF(AND(BD$14=1,ISNUMBER('Inputs (2)'!BD140),'Inputs (2)'!BD140&lt;&gt;0),'Inputs (2)'!BD140,BD176*Inputs!BD$302)</f>
        <v>0</v>
      </c>
      <c r="BE177" s="57">
        <f>IF(AND(BE$14=1,ISNUMBER('Inputs (2)'!BE140),'Inputs (2)'!BE140&lt;&gt;0),'Inputs (2)'!BE140,BE176*Inputs!BE$302)</f>
        <v>0</v>
      </c>
      <c r="BF177" s="57">
        <f>IF(AND(BF$14=1,ISNUMBER('Inputs (2)'!BF140),'Inputs (2)'!BF140&lt;&gt;0),'Inputs (2)'!BF140,BF176*Inputs!BF$302)</f>
        <v>0</v>
      </c>
      <c r="BG177" s="77">
        <f>BF177</f>
        <v>0</v>
      </c>
    </row>
    <row r="178">
      <c r="C178" s="11" t="inlineStr">
        <is>
          <t>Capital Nível 1 (Tier 1)</t>
        </is>
      </c>
      <c r="D178" s="12" t="inlineStr">
        <is>
          <t>Tier 1 capital</t>
        </is>
      </c>
      <c r="E178" s="57">
        <f>IF(AND(E$14=1,ISNUMBER('Inputs (2)'!E141),'Inputs (2)'!E141&lt;&gt;0),'Inputs (2)'!E141,E176*Inputs!E$303)</f>
        <v>0</v>
      </c>
      <c r="F178" s="57">
        <f>IF(AND(F$14=1,ISNUMBER('Inputs (2)'!F141),'Inputs (2)'!F141&lt;&gt;0),'Inputs (2)'!F141,F176*Inputs!F$303)</f>
        <v>0</v>
      </c>
      <c r="G178" s="57">
        <f>IF(AND(G$14=1,ISNUMBER('Inputs (2)'!G141),'Inputs (2)'!G141&lt;&gt;0),'Inputs (2)'!G141,G176*Inputs!G$303)</f>
        <v>0</v>
      </c>
      <c r="H178" s="57">
        <f>IF(AND(H$14=1,ISNUMBER('Inputs (2)'!H141),'Inputs (2)'!H141&lt;&gt;0),'Inputs (2)'!H141,H176*Inputs!H$303)</f>
        <v>0</v>
      </c>
      <c r="I178" s="77">
        <f>H178</f>
        <v>0</v>
      </c>
      <c r="J178" s="57">
        <f>IF(AND(J$14=1,ISNUMBER('Inputs (2)'!J141),'Inputs (2)'!J141&lt;&gt;0),'Inputs (2)'!J141,J176*Inputs!J$303)</f>
        <v>0</v>
      </c>
      <c r="K178" s="57">
        <f>IF(AND(K$14=1,ISNUMBER('Inputs (2)'!K141),'Inputs (2)'!K141&lt;&gt;0),'Inputs (2)'!K141,K176*Inputs!K$303)</f>
        <v>0</v>
      </c>
      <c r="L178" s="57">
        <f>IF(AND(L$14=1,ISNUMBER('Inputs (2)'!L141),'Inputs (2)'!L141&lt;&gt;0),'Inputs (2)'!L141,L176*Inputs!L$303)</f>
        <v>0</v>
      </c>
      <c r="M178" s="57">
        <f>IF(AND(M$14=1,ISNUMBER('Inputs (2)'!M141),'Inputs (2)'!M141&lt;&gt;0),'Inputs (2)'!M141,M176*Inputs!M$303)</f>
        <v>0</v>
      </c>
      <c r="N178" s="77">
        <f>M178</f>
        <v>0</v>
      </c>
      <c r="O178" s="57">
        <f>IF(AND(O$14=1,ISNUMBER('Inputs (2)'!O141),'Inputs (2)'!O141&lt;&gt;0),'Inputs (2)'!O141,O176*Inputs!O$303)</f>
        <v>0</v>
      </c>
      <c r="P178" s="57">
        <f>IF(AND(P$14=1,ISNUMBER('Inputs (2)'!P141),'Inputs (2)'!P141&lt;&gt;0),'Inputs (2)'!P141,P176*Inputs!P$303)</f>
        <v>0</v>
      </c>
      <c r="Q178" s="57">
        <f>IF(AND(Q$14=1,ISNUMBER('Inputs (2)'!Q141),'Inputs (2)'!Q141&lt;&gt;0),'Inputs (2)'!Q141,Q176*Inputs!Q$303)</f>
        <v>0</v>
      </c>
      <c r="R178" s="57">
        <f>IF(AND(R$14=1,ISNUMBER('Inputs (2)'!R141),'Inputs (2)'!R141&lt;&gt;0),'Inputs (2)'!R141,R176*Inputs!R$303)</f>
        <v>0</v>
      </c>
      <c r="S178" s="77">
        <f>R178</f>
        <v>0</v>
      </c>
      <c r="T178" s="57">
        <f>IF(AND(T$14=1,ISNUMBER('Inputs (2)'!T141),'Inputs (2)'!T141&lt;&gt;0),'Inputs (2)'!T141,T176*Inputs!T$303)</f>
        <v>0</v>
      </c>
      <c r="U178" s="57">
        <f>IF(AND(U$14=1,ISNUMBER('Inputs (2)'!U141),'Inputs (2)'!U141&lt;&gt;0),'Inputs (2)'!U141,U176*Inputs!U$303)</f>
        <v>0</v>
      </c>
      <c r="V178" s="57">
        <f>IF(AND(V$14=1,ISNUMBER('Inputs (2)'!V141),'Inputs (2)'!V141&lt;&gt;0),'Inputs (2)'!V141,V176*Inputs!V$303)</f>
        <v>0</v>
      </c>
      <c r="W178" s="57">
        <f>IF(AND(W$14=1,ISNUMBER('Inputs (2)'!W141),'Inputs (2)'!W141&lt;&gt;0),'Inputs (2)'!W141,W176*Inputs!W$303)</f>
        <v>0</v>
      </c>
      <c r="X178" s="77">
        <f>W178</f>
        <v>0</v>
      </c>
      <c r="Y178" s="57">
        <f>IF(AND(Y$14=1,ISNUMBER('Inputs (2)'!Y141),'Inputs (2)'!Y141&lt;&gt;0),'Inputs (2)'!Y141,Y176*Inputs!Y$303)</f>
        <v>0</v>
      </c>
      <c r="Z178" s="57">
        <f>IF(AND(Z$14=1,ISNUMBER('Inputs (2)'!Z141),'Inputs (2)'!Z141&lt;&gt;0),'Inputs (2)'!Z141,Z176*Inputs!Z$303)</f>
        <v>0</v>
      </c>
      <c r="AA178" s="57">
        <f>IF(AND(AA$14=1,ISNUMBER('Inputs (2)'!AA141),'Inputs (2)'!AA141&lt;&gt;0),'Inputs (2)'!AA141,AA176*Inputs!AA$303)</f>
        <v>0</v>
      </c>
      <c r="AB178" s="57">
        <f>IF(AND(AB$14=1,ISNUMBER('Inputs (2)'!AB141),'Inputs (2)'!AB141&lt;&gt;0),'Inputs (2)'!AB141,AB176*Inputs!AB$303)</f>
        <v>0</v>
      </c>
      <c r="AC178" s="77">
        <f>AB178</f>
        <v>0</v>
      </c>
      <c r="AD178" s="57">
        <f>IF(AND(AD$14=1,ISNUMBER('Inputs (2)'!AD141),'Inputs (2)'!AD141&lt;&gt;0),'Inputs (2)'!AD141,AD176*Inputs!AD$303)</f>
        <v>0</v>
      </c>
      <c r="AE178" s="57">
        <f>IF(AND(AE$14=1,ISNUMBER('Inputs (2)'!AE141),'Inputs (2)'!AE141&lt;&gt;0),'Inputs (2)'!AE141,AE176*Inputs!AE$303)</f>
        <v>0</v>
      </c>
      <c r="AF178" s="57">
        <f>IF(AND(AF$14=1,ISNUMBER('Inputs (2)'!AF141),'Inputs (2)'!AF141&lt;&gt;0),'Inputs (2)'!AF141,AF176*Inputs!AF$303)</f>
        <v>0</v>
      </c>
      <c r="AG178" s="57">
        <f>IF(AND(AG$14=1,ISNUMBER('Inputs (2)'!AG141),'Inputs (2)'!AG141&lt;&gt;0),'Inputs (2)'!AG141,AG176*Inputs!AG$303)</f>
        <v>0</v>
      </c>
      <c r="AH178" s="77">
        <f>AG178</f>
        <v>0</v>
      </c>
      <c r="AI178" s="57">
        <f>IF(AND(AI$14=1,ISNUMBER('Inputs (2)'!AI141),'Inputs (2)'!AI141&lt;&gt;0),'Inputs (2)'!AI141,AI176*Inputs!AI$303)</f>
        <v>0</v>
      </c>
      <c r="AJ178" s="57">
        <f>IF(AND(AJ$14=1,ISNUMBER('Inputs (2)'!AJ141),'Inputs (2)'!AJ141&lt;&gt;0),'Inputs (2)'!AJ141,AJ176*Inputs!AJ$303)</f>
        <v>0</v>
      </c>
      <c r="AK178" s="57">
        <f>IF(AND(AK$14=1,ISNUMBER('Inputs (2)'!AK141),'Inputs (2)'!AK141&lt;&gt;0),'Inputs (2)'!AK141,AK176*Inputs!AK$303)</f>
        <v>0</v>
      </c>
      <c r="AL178" s="57">
        <f>IF(AND(AL$14=1,ISNUMBER('Inputs (2)'!AL141),'Inputs (2)'!AL141&lt;&gt;0),'Inputs (2)'!AL141,AL176*Inputs!AL$303)</f>
        <v>0</v>
      </c>
      <c r="AM178" s="77">
        <f>AL178</f>
        <v>0</v>
      </c>
      <c r="AN178" s="57">
        <f>IF(AND(AN$14=1,ISNUMBER('Inputs (2)'!AN141),'Inputs (2)'!AN141&lt;&gt;0),'Inputs (2)'!AN141,AN176*Inputs!AN$303)</f>
        <v>0</v>
      </c>
      <c r="AO178" s="57">
        <f>IF(AND(AO$14=1,ISNUMBER('Inputs (2)'!AO141),'Inputs (2)'!AO141&lt;&gt;0),'Inputs (2)'!AO141,AO176*Inputs!AO$303)</f>
        <v>0</v>
      </c>
      <c r="AP178" s="57">
        <f>IF(AND(AP$14=1,ISNUMBER('Inputs (2)'!AP141),'Inputs (2)'!AP141&lt;&gt;0),'Inputs (2)'!AP141,AP176*Inputs!AP$303)</f>
        <v>0</v>
      </c>
      <c r="AQ178" s="57">
        <f>IF(AND(AQ$14=1,ISNUMBER('Inputs (2)'!AQ141),'Inputs (2)'!AQ141&lt;&gt;0),'Inputs (2)'!AQ141,AQ176*Inputs!AQ$303)</f>
        <v>0</v>
      </c>
      <c r="AR178" s="77">
        <f>AQ178</f>
        <v>0</v>
      </c>
      <c r="AS178" s="57">
        <f>IF(AND(AS$14=1,ISNUMBER('Inputs (2)'!AS141),'Inputs (2)'!AS141&lt;&gt;0),'Inputs (2)'!AS141,AS176*Inputs!AS$303)</f>
        <v>0</v>
      </c>
      <c r="AT178" s="57">
        <f>IF(AND(AT$14=1,ISNUMBER('Inputs (2)'!AT141),'Inputs (2)'!AT141&lt;&gt;0),'Inputs (2)'!AT141,AT176*Inputs!AT$303)</f>
        <v>0</v>
      </c>
      <c r="AU178" s="57">
        <f>IF(AND(AU$14=1,ISNUMBER('Inputs (2)'!AU141),'Inputs (2)'!AU141&lt;&gt;0),'Inputs (2)'!AU141,AU176*Inputs!AU$303)</f>
        <v>0</v>
      </c>
      <c r="AV178" s="57">
        <f>IF(AND(AV$14=1,ISNUMBER('Inputs (2)'!AV141),'Inputs (2)'!AV141&lt;&gt;0),'Inputs (2)'!AV141,AV176*Inputs!AV$303)</f>
        <v>0</v>
      </c>
      <c r="AW178" s="77">
        <f>AV178</f>
        <v>0</v>
      </c>
      <c r="AX178" s="57">
        <f>IF(AND(AX$14=1,ISNUMBER('Inputs (2)'!AX141),'Inputs (2)'!AX141&lt;&gt;0),'Inputs (2)'!AX141,AX176*Inputs!AX$303)</f>
        <v>0</v>
      </c>
      <c r="AY178" s="57">
        <f>IF(AND(AY$14=1,ISNUMBER('Inputs (2)'!AY141),'Inputs (2)'!AY141&lt;&gt;0),'Inputs (2)'!AY141,AY176*Inputs!AY$303)</f>
        <v>0</v>
      </c>
      <c r="AZ178" s="57">
        <f>IF(AND(AZ$14=1,ISNUMBER('Inputs (2)'!AZ141),'Inputs (2)'!AZ141&lt;&gt;0),'Inputs (2)'!AZ141,AZ176*Inputs!AZ$303)</f>
        <v>0</v>
      </c>
      <c r="BA178" s="57">
        <f>IF(AND(BA$14=1,ISNUMBER('Inputs (2)'!BA141),'Inputs (2)'!BA141&lt;&gt;0),'Inputs (2)'!BA141,BA176*Inputs!BA$303)</f>
        <v>0</v>
      </c>
      <c r="BB178" s="77">
        <f>BA178</f>
        <v>0</v>
      </c>
      <c r="BC178" s="57">
        <f>IF(AND(BC$14=1,ISNUMBER('Inputs (2)'!BC141),'Inputs (2)'!BC141&lt;&gt;0),'Inputs (2)'!BC141,BC176*Inputs!BC$303)</f>
        <v>0</v>
      </c>
      <c r="BD178" s="57">
        <f>IF(AND(BD$14=1,ISNUMBER('Inputs (2)'!BD141),'Inputs (2)'!BD141&lt;&gt;0),'Inputs (2)'!BD141,BD176*Inputs!BD$303)</f>
        <v>0</v>
      </c>
      <c r="BE178" s="57">
        <f>IF(AND(BE$14=1,ISNUMBER('Inputs (2)'!BE141),'Inputs (2)'!BE141&lt;&gt;0),'Inputs (2)'!BE141,BE176*Inputs!BE$303)</f>
        <v>0</v>
      </c>
      <c r="BF178" s="57">
        <f>IF(AND(BF$14=1,ISNUMBER('Inputs (2)'!BF141),'Inputs (2)'!BF141&lt;&gt;0),'Inputs (2)'!BF141,BF176*Inputs!BF$303)</f>
        <v>0</v>
      </c>
      <c r="BG178" s="77">
        <f>BF178</f>
        <v>0</v>
      </c>
    </row>
    <row r="179">
      <c r="C179" s="11" t="inlineStr">
        <is>
          <t>Índice de capital total</t>
        </is>
      </c>
      <c r="D179" s="12" t="inlineStr">
        <is>
          <t>Total capital ratio</t>
        </is>
      </c>
      <c r="E179" s="88">
        <f>IFERROR(E177/E176,0)</f>
        <v>0</v>
      </c>
      <c r="F179" s="88">
        <f>IFERROR(F177/F176,0)</f>
        <v>0</v>
      </c>
      <c r="G179" s="88">
        <f>IFERROR(G177/G176,0)</f>
        <v>0</v>
      </c>
      <c r="H179" s="88">
        <f>IFERROR(H177/H176,0)</f>
        <v>0</v>
      </c>
      <c r="I179" s="89">
        <f>H179</f>
        <v>0</v>
      </c>
      <c r="J179" s="88">
        <f>IFERROR(J177/J176,0)</f>
        <v>0</v>
      </c>
      <c r="K179" s="88">
        <f>IFERROR(K177/K176,0)</f>
        <v>0</v>
      </c>
      <c r="L179" s="88">
        <f>IFERROR(L177/L176,0)</f>
        <v>0</v>
      </c>
      <c r="M179" s="88">
        <f>IFERROR(M177/M176,0)</f>
        <v>0</v>
      </c>
      <c r="N179" s="89">
        <f>M179</f>
        <v>0</v>
      </c>
      <c r="O179" s="88">
        <f>IFERROR(O177/O176,0)</f>
        <v>0</v>
      </c>
      <c r="P179" s="88">
        <f>IFERROR(P177/P176,0)</f>
        <v>0</v>
      </c>
      <c r="Q179" s="88">
        <f>IFERROR(Q177/Q176,0)</f>
        <v>0</v>
      </c>
      <c r="R179" s="88">
        <f>IFERROR(R177/R176,0)</f>
        <v>0</v>
      </c>
      <c r="S179" s="89">
        <f>R179</f>
        <v>0</v>
      </c>
      <c r="T179" s="88">
        <f>IFERROR(T177/T176,0)</f>
        <v>0</v>
      </c>
      <c r="U179" s="88">
        <f>IFERROR(U177/U176,0)</f>
        <v>0</v>
      </c>
      <c r="V179" s="88">
        <f>IFERROR(V177/V176,0)</f>
        <v>0</v>
      </c>
      <c r="W179" s="88">
        <f>IFERROR(W177/W176,0)</f>
        <v>0</v>
      </c>
      <c r="X179" s="89">
        <f>W179</f>
        <v>0</v>
      </c>
      <c r="Y179" s="88">
        <f>IFERROR(Y177/Y176,0)</f>
        <v>0</v>
      </c>
      <c r="Z179" s="88">
        <f>IFERROR(Z177/Z176,0)</f>
        <v>0</v>
      </c>
      <c r="AA179" s="88">
        <f>IFERROR(AA177/AA176,0)</f>
        <v>0</v>
      </c>
      <c r="AB179" s="88">
        <f>IFERROR(AB177/AB176,0)</f>
        <v>0</v>
      </c>
      <c r="AC179" s="89">
        <f>AB179</f>
        <v>0</v>
      </c>
      <c r="AD179" s="88">
        <f>IFERROR(AD177/AD176,0)</f>
        <v>0</v>
      </c>
      <c r="AE179" s="88">
        <f>IFERROR(AE177/AE176,0)</f>
        <v>0</v>
      </c>
      <c r="AF179" s="88">
        <f>IFERROR(AF177/AF176,0)</f>
        <v>0</v>
      </c>
      <c r="AG179" s="88">
        <f>IFERROR(AG177/AG176,0)</f>
        <v>0</v>
      </c>
      <c r="AH179" s="89">
        <f>AG179</f>
        <v>0</v>
      </c>
      <c r="AI179" s="88">
        <f>IFERROR(AI177/AI176,0)</f>
        <v>0</v>
      </c>
      <c r="AJ179" s="88">
        <f>IFERROR(AJ177/AJ176,0)</f>
        <v>0</v>
      </c>
      <c r="AK179" s="88">
        <f>IFERROR(AK177/AK176,0)</f>
        <v>0</v>
      </c>
      <c r="AL179" s="88">
        <f>IFERROR(AL177/AL176,0)</f>
        <v>0</v>
      </c>
      <c r="AM179" s="89">
        <f>AL179</f>
        <v>0</v>
      </c>
      <c r="AN179" s="88">
        <f>IFERROR(AN177/AN176,0)</f>
        <v>0</v>
      </c>
      <c r="AO179" s="88">
        <f>IFERROR(AO177/AO176,0)</f>
        <v>0</v>
      </c>
      <c r="AP179" s="88">
        <f>IFERROR(AP177/AP176,0)</f>
        <v>0</v>
      </c>
      <c r="AQ179" s="88">
        <f>IFERROR(AQ177/AQ176,0)</f>
        <v>0</v>
      </c>
      <c r="AR179" s="89">
        <f>AQ179</f>
        <v>0</v>
      </c>
      <c r="AS179" s="88">
        <f>IFERROR(AS177/AS176,0)</f>
        <v>0</v>
      </c>
      <c r="AT179" s="88">
        <f>IFERROR(AT177/AT176,0)</f>
        <v>0</v>
      </c>
      <c r="AU179" s="88">
        <f>IFERROR(AU177/AU176,0)</f>
        <v>0</v>
      </c>
      <c r="AV179" s="88">
        <f>IFERROR(AV177/AV176,0)</f>
        <v>0</v>
      </c>
      <c r="AW179" s="89">
        <f>AV179</f>
        <v>0</v>
      </c>
      <c r="AX179" s="88">
        <f>IFERROR(AX177/AX176,0)</f>
        <v>0</v>
      </c>
      <c r="AY179" s="88">
        <f>IFERROR(AY177/AY176,0)</f>
        <v>0</v>
      </c>
      <c r="AZ179" s="88">
        <f>IFERROR(AZ177/AZ176,0)</f>
        <v>0</v>
      </c>
      <c r="BA179" s="88">
        <f>IFERROR(BA177/BA176,0)</f>
        <v>0</v>
      </c>
      <c r="BB179" s="89">
        <f>BA179</f>
        <v>0</v>
      </c>
      <c r="BC179" s="88">
        <f>IFERROR(BC177/BC176,0)</f>
        <v>0</v>
      </c>
      <c r="BD179" s="88">
        <f>IFERROR(BD177/BD176,0)</f>
        <v>0</v>
      </c>
      <c r="BE179" s="88">
        <f>IFERROR(BE177/BE176,0)</f>
        <v>0</v>
      </c>
      <c r="BF179" s="88">
        <f>IFERROR(BF177/BF176,0)</f>
        <v>0</v>
      </c>
      <c r="BG179" s="89">
        <f>BF179</f>
        <v>0</v>
      </c>
    </row>
    <row r="180">
      <c r="C180" s="11" t="inlineStr">
        <is>
          <t>Índice Tier 1</t>
        </is>
      </c>
      <c r="D180" s="12" t="inlineStr">
        <is>
          <t>Tier 1 ratio</t>
        </is>
      </c>
      <c r="E180" s="88">
        <f>IFERROR(E178/E176,0)</f>
        <v>0</v>
      </c>
      <c r="F180" s="88">
        <f>IFERROR(F178/F176,0)</f>
        <v>0</v>
      </c>
      <c r="G180" s="88">
        <f>IFERROR(G178/G176,0)</f>
        <v>0</v>
      </c>
      <c r="H180" s="88">
        <f>IFERROR(H178/H176,0)</f>
        <v>0</v>
      </c>
      <c r="I180" s="89">
        <f>H180</f>
        <v>0</v>
      </c>
      <c r="J180" s="88">
        <f>IFERROR(J178/J176,0)</f>
        <v>0</v>
      </c>
      <c r="K180" s="88">
        <f>IFERROR(K178/K176,0)</f>
        <v>0</v>
      </c>
      <c r="L180" s="88">
        <f>IFERROR(L178/L176,0)</f>
        <v>0</v>
      </c>
      <c r="M180" s="88">
        <f>IFERROR(M178/M176,0)</f>
        <v>0</v>
      </c>
      <c r="N180" s="89">
        <f>M180</f>
        <v>0</v>
      </c>
      <c r="O180" s="88">
        <f>IFERROR(O178/O176,0)</f>
        <v>0</v>
      </c>
      <c r="P180" s="88">
        <f>IFERROR(P178/P176,0)</f>
        <v>0</v>
      </c>
      <c r="Q180" s="88">
        <f>IFERROR(Q178/Q176,0)</f>
        <v>0</v>
      </c>
      <c r="R180" s="88">
        <f>IFERROR(R178/R176,0)</f>
        <v>0</v>
      </c>
      <c r="S180" s="89">
        <f>R180</f>
        <v>0</v>
      </c>
      <c r="T180" s="88">
        <f>IFERROR(T178/T176,0)</f>
        <v>0</v>
      </c>
      <c r="U180" s="88">
        <f>IFERROR(U178/U176,0)</f>
        <v>0</v>
      </c>
      <c r="V180" s="88">
        <f>IFERROR(V178/V176,0)</f>
        <v>0</v>
      </c>
      <c r="W180" s="88">
        <f>IFERROR(W178/W176,0)</f>
        <v>0</v>
      </c>
      <c r="X180" s="89">
        <f>W180</f>
        <v>0</v>
      </c>
      <c r="Y180" s="88">
        <f>IFERROR(Y178/Y176,0)</f>
        <v>0</v>
      </c>
      <c r="Z180" s="88">
        <f>IFERROR(Z178/Z176,0)</f>
        <v>0</v>
      </c>
      <c r="AA180" s="88">
        <f>IFERROR(AA178/AA176,0)</f>
        <v>0</v>
      </c>
      <c r="AB180" s="88">
        <f>IFERROR(AB178/AB176,0)</f>
        <v>0</v>
      </c>
      <c r="AC180" s="89">
        <f>AB180</f>
        <v>0</v>
      </c>
      <c r="AD180" s="88">
        <f>IFERROR(AD178/AD176,0)</f>
        <v>0</v>
      </c>
      <c r="AE180" s="88">
        <f>IFERROR(AE178/AE176,0)</f>
        <v>0</v>
      </c>
      <c r="AF180" s="88">
        <f>IFERROR(AF178/AF176,0)</f>
        <v>0</v>
      </c>
      <c r="AG180" s="88">
        <f>IFERROR(AG178/AG176,0)</f>
        <v>0</v>
      </c>
      <c r="AH180" s="89">
        <f>AG180</f>
        <v>0</v>
      </c>
      <c r="AI180" s="88">
        <f>IFERROR(AI178/AI176,0)</f>
        <v>0</v>
      </c>
      <c r="AJ180" s="88">
        <f>IFERROR(AJ178/AJ176,0)</f>
        <v>0</v>
      </c>
      <c r="AK180" s="88">
        <f>IFERROR(AK178/AK176,0)</f>
        <v>0</v>
      </c>
      <c r="AL180" s="88">
        <f>IFERROR(AL178/AL176,0)</f>
        <v>0</v>
      </c>
      <c r="AM180" s="89">
        <f>AL180</f>
        <v>0</v>
      </c>
      <c r="AN180" s="88">
        <f>IFERROR(AN178/AN176,0)</f>
        <v>0</v>
      </c>
      <c r="AO180" s="88">
        <f>IFERROR(AO178/AO176,0)</f>
        <v>0</v>
      </c>
      <c r="AP180" s="88">
        <f>IFERROR(AP178/AP176,0)</f>
        <v>0</v>
      </c>
      <c r="AQ180" s="88">
        <f>IFERROR(AQ178/AQ176,0)</f>
        <v>0</v>
      </c>
      <c r="AR180" s="89">
        <f>AQ180</f>
        <v>0</v>
      </c>
      <c r="AS180" s="88">
        <f>IFERROR(AS178/AS176,0)</f>
        <v>0</v>
      </c>
      <c r="AT180" s="88">
        <f>IFERROR(AT178/AT176,0)</f>
        <v>0</v>
      </c>
      <c r="AU180" s="88">
        <f>IFERROR(AU178/AU176,0)</f>
        <v>0</v>
      </c>
      <c r="AV180" s="88">
        <f>IFERROR(AV178/AV176,0)</f>
        <v>0</v>
      </c>
      <c r="AW180" s="89">
        <f>AV180</f>
        <v>0</v>
      </c>
      <c r="AX180" s="88">
        <f>IFERROR(AX178/AX176,0)</f>
        <v>0</v>
      </c>
      <c r="AY180" s="88">
        <f>IFERROR(AY178/AY176,0)</f>
        <v>0</v>
      </c>
      <c r="AZ180" s="88">
        <f>IFERROR(AZ178/AZ176,0)</f>
        <v>0</v>
      </c>
      <c r="BA180" s="88">
        <f>IFERROR(BA178/BA176,0)</f>
        <v>0</v>
      </c>
      <c r="BB180" s="89">
        <f>BA180</f>
        <v>0</v>
      </c>
      <c r="BC180" s="88">
        <f>IFERROR(BC178/BC176,0)</f>
        <v>0</v>
      </c>
      <c r="BD180" s="88">
        <f>IFERROR(BD178/BD176,0)</f>
        <v>0</v>
      </c>
      <c r="BE180" s="88">
        <f>IFERROR(BE178/BE176,0)</f>
        <v>0</v>
      </c>
      <c r="BF180" s="88">
        <f>IFERROR(BF178/BF176,0)</f>
        <v>0</v>
      </c>
      <c r="BG180" s="89">
        <f>BF180</f>
        <v>0</v>
      </c>
    </row>
    <row r="181">
      <c r="C181" s="11" t="inlineStr">
        <is>
          <t>Capital principal (CET1)</t>
        </is>
      </c>
      <c r="D181" s="12" t="inlineStr">
        <is>
          <t>CET1 capital</t>
        </is>
      </c>
      <c r="E181" s="57">
        <f>IF(AND(E$14=1,ISNUMBER('Inputs (2)'!E142),'Inputs (2)'!E142&lt;&gt;0),'Inputs (2)'!E142,E176*Inputs!E$304)</f>
        <v>0</v>
      </c>
      <c r="F181" s="57">
        <f>IF(AND(F$14=1,ISNUMBER('Inputs (2)'!F142),'Inputs (2)'!F142&lt;&gt;0),'Inputs (2)'!F142,F176*Inputs!F$304)</f>
        <v>0</v>
      </c>
      <c r="G181" s="57">
        <f>IF(AND(G$14=1,ISNUMBER('Inputs (2)'!G142),'Inputs (2)'!G142&lt;&gt;0),'Inputs (2)'!G142,G176*Inputs!G$304)</f>
        <v>0</v>
      </c>
      <c r="H181" s="57">
        <f>IF(AND(H$14=1,ISNUMBER('Inputs (2)'!H142),'Inputs (2)'!H142&lt;&gt;0),'Inputs (2)'!H142,H176*Inputs!H$304)</f>
        <v>0</v>
      </c>
      <c r="I181" s="77">
        <f>H181</f>
        <v>0</v>
      </c>
      <c r="J181" s="57">
        <f>IF(AND(J$14=1,ISNUMBER('Inputs (2)'!J142),'Inputs (2)'!J142&lt;&gt;0),'Inputs (2)'!J142,J176*Inputs!J$304)</f>
        <v>0</v>
      </c>
      <c r="K181" s="57">
        <f>IF(AND(K$14=1,ISNUMBER('Inputs (2)'!K142),'Inputs (2)'!K142&lt;&gt;0),'Inputs (2)'!K142,K176*Inputs!K$304)</f>
        <v>0</v>
      </c>
      <c r="L181" s="57">
        <f>IF(AND(L$14=1,ISNUMBER('Inputs (2)'!L142),'Inputs (2)'!L142&lt;&gt;0),'Inputs (2)'!L142,L176*Inputs!L$304)</f>
        <v>0</v>
      </c>
      <c r="M181" s="57">
        <f>IF(AND(M$14=1,ISNUMBER('Inputs (2)'!M142),'Inputs (2)'!M142&lt;&gt;0),'Inputs (2)'!M142,M176*Inputs!M$304)</f>
        <v>0</v>
      </c>
      <c r="N181" s="77">
        <f>M181</f>
        <v>0</v>
      </c>
      <c r="O181" s="57">
        <f>IF(AND(O$14=1,ISNUMBER('Inputs (2)'!O142),'Inputs (2)'!O142&lt;&gt;0),'Inputs (2)'!O142,O176*Inputs!O$304)</f>
        <v>0</v>
      </c>
      <c r="P181" s="57">
        <f>IF(AND(P$14=1,ISNUMBER('Inputs (2)'!P142),'Inputs (2)'!P142&lt;&gt;0),'Inputs (2)'!P142,P176*Inputs!P$304)</f>
        <v>0</v>
      </c>
      <c r="Q181" s="57">
        <f>IF(AND(Q$14=1,ISNUMBER('Inputs (2)'!Q142),'Inputs (2)'!Q142&lt;&gt;0),'Inputs (2)'!Q142,Q176*Inputs!Q$304)</f>
        <v>0</v>
      </c>
      <c r="R181" s="57">
        <f>IF(AND(R$14=1,ISNUMBER('Inputs (2)'!R142),'Inputs (2)'!R142&lt;&gt;0),'Inputs (2)'!R142,R176*Inputs!R$304)</f>
        <v>0</v>
      </c>
      <c r="S181" s="77">
        <f>R181</f>
        <v>0</v>
      </c>
      <c r="T181" s="57">
        <f>IF(AND(T$14=1,ISNUMBER('Inputs (2)'!T142),'Inputs (2)'!T142&lt;&gt;0),'Inputs (2)'!T142,T176*Inputs!T$304)</f>
        <v>0</v>
      </c>
      <c r="U181" s="57">
        <f>IF(AND(U$14=1,ISNUMBER('Inputs (2)'!U142),'Inputs (2)'!U142&lt;&gt;0),'Inputs (2)'!U142,U176*Inputs!U$304)</f>
        <v>0</v>
      </c>
      <c r="V181" s="57">
        <f>IF(AND(V$14=1,ISNUMBER('Inputs (2)'!V142),'Inputs (2)'!V142&lt;&gt;0),'Inputs (2)'!V142,V176*Inputs!V$304)</f>
        <v>0</v>
      </c>
      <c r="W181" s="57">
        <f>IF(AND(W$14=1,ISNUMBER('Inputs (2)'!W142),'Inputs (2)'!W142&lt;&gt;0),'Inputs (2)'!W142,W176*Inputs!W$304)</f>
        <v>0</v>
      </c>
      <c r="X181" s="77">
        <f>W181</f>
        <v>0</v>
      </c>
      <c r="Y181" s="57">
        <f>IF(AND(Y$14=1,ISNUMBER('Inputs (2)'!Y142),'Inputs (2)'!Y142&lt;&gt;0),'Inputs (2)'!Y142,Y176*Inputs!Y$304)</f>
        <v>0</v>
      </c>
      <c r="Z181" s="57">
        <f>IF(AND(Z$14=1,ISNUMBER('Inputs (2)'!Z142),'Inputs (2)'!Z142&lt;&gt;0),'Inputs (2)'!Z142,Z176*Inputs!Z$304)</f>
        <v>0</v>
      </c>
      <c r="AA181" s="57">
        <f>IF(AND(AA$14=1,ISNUMBER('Inputs (2)'!AA142),'Inputs (2)'!AA142&lt;&gt;0),'Inputs (2)'!AA142,AA176*Inputs!AA$304)</f>
        <v>0</v>
      </c>
      <c r="AB181" s="57">
        <f>IF(AND(AB$14=1,ISNUMBER('Inputs (2)'!AB142),'Inputs (2)'!AB142&lt;&gt;0),'Inputs (2)'!AB142,AB176*Inputs!AB$304)</f>
        <v>0</v>
      </c>
      <c r="AC181" s="77">
        <f>AB181</f>
        <v>0</v>
      </c>
      <c r="AD181" s="57">
        <f>IF(AND(AD$14=1,ISNUMBER('Inputs (2)'!AD142),'Inputs (2)'!AD142&lt;&gt;0),'Inputs (2)'!AD142,AD176*Inputs!AD$304)</f>
        <v>0</v>
      </c>
      <c r="AE181" s="57">
        <f>IF(AND(AE$14=1,ISNUMBER('Inputs (2)'!AE142),'Inputs (2)'!AE142&lt;&gt;0),'Inputs (2)'!AE142,AE176*Inputs!AE$304)</f>
        <v>0</v>
      </c>
      <c r="AF181" s="57">
        <f>IF(AND(AF$14=1,ISNUMBER('Inputs (2)'!AF142),'Inputs (2)'!AF142&lt;&gt;0),'Inputs (2)'!AF142,AF176*Inputs!AF$304)</f>
        <v>0</v>
      </c>
      <c r="AG181" s="57">
        <f>IF(AND(AG$14=1,ISNUMBER('Inputs (2)'!AG142),'Inputs (2)'!AG142&lt;&gt;0),'Inputs (2)'!AG142,AG176*Inputs!AG$304)</f>
        <v>0</v>
      </c>
      <c r="AH181" s="77">
        <f>AG181</f>
        <v>0</v>
      </c>
      <c r="AI181" s="57">
        <f>IF(AND(AI$14=1,ISNUMBER('Inputs (2)'!AI142),'Inputs (2)'!AI142&lt;&gt;0),'Inputs (2)'!AI142,AI176*Inputs!AI$304)</f>
        <v>0</v>
      </c>
      <c r="AJ181" s="57">
        <f>IF(AND(AJ$14=1,ISNUMBER('Inputs (2)'!AJ142),'Inputs (2)'!AJ142&lt;&gt;0),'Inputs (2)'!AJ142,AJ176*Inputs!AJ$304)</f>
        <v>0</v>
      </c>
      <c r="AK181" s="57">
        <f>IF(AND(AK$14=1,ISNUMBER('Inputs (2)'!AK142),'Inputs (2)'!AK142&lt;&gt;0),'Inputs (2)'!AK142,AK176*Inputs!AK$304)</f>
        <v>0</v>
      </c>
      <c r="AL181" s="57">
        <f>IF(AND(AL$14=1,ISNUMBER('Inputs (2)'!AL142),'Inputs (2)'!AL142&lt;&gt;0),'Inputs (2)'!AL142,AL176*Inputs!AL$304)</f>
        <v>0</v>
      </c>
      <c r="AM181" s="77">
        <f>AL181</f>
        <v>0</v>
      </c>
      <c r="AN181" s="57">
        <f>IF(AND(AN$14=1,ISNUMBER('Inputs (2)'!AN142),'Inputs (2)'!AN142&lt;&gt;0),'Inputs (2)'!AN142,AN176*Inputs!AN$304)</f>
        <v>0</v>
      </c>
      <c r="AO181" s="57">
        <f>IF(AND(AO$14=1,ISNUMBER('Inputs (2)'!AO142),'Inputs (2)'!AO142&lt;&gt;0),'Inputs (2)'!AO142,AO176*Inputs!AO$304)</f>
        <v>0</v>
      </c>
      <c r="AP181" s="57">
        <f>IF(AND(AP$14=1,ISNUMBER('Inputs (2)'!AP142),'Inputs (2)'!AP142&lt;&gt;0),'Inputs (2)'!AP142,AP176*Inputs!AP$304)</f>
        <v>0</v>
      </c>
      <c r="AQ181" s="57">
        <f>IF(AND(AQ$14=1,ISNUMBER('Inputs (2)'!AQ142),'Inputs (2)'!AQ142&lt;&gt;0),'Inputs (2)'!AQ142,AQ176*Inputs!AQ$304)</f>
        <v>0</v>
      </c>
      <c r="AR181" s="77">
        <f>AQ181</f>
        <v>0</v>
      </c>
      <c r="AS181" s="57">
        <f>IF(AND(AS$14=1,ISNUMBER('Inputs (2)'!AS142),'Inputs (2)'!AS142&lt;&gt;0),'Inputs (2)'!AS142,AS176*Inputs!AS$304)</f>
        <v>0</v>
      </c>
      <c r="AT181" s="57">
        <f>IF(AND(AT$14=1,ISNUMBER('Inputs (2)'!AT142),'Inputs (2)'!AT142&lt;&gt;0),'Inputs (2)'!AT142,AT176*Inputs!AT$304)</f>
        <v>0</v>
      </c>
      <c r="AU181" s="57">
        <f>IF(AND(AU$14=1,ISNUMBER('Inputs (2)'!AU142),'Inputs (2)'!AU142&lt;&gt;0),'Inputs (2)'!AU142,AU176*Inputs!AU$304)</f>
        <v>0</v>
      </c>
      <c r="AV181" s="57">
        <f>IF(AND(AV$14=1,ISNUMBER('Inputs (2)'!AV142),'Inputs (2)'!AV142&lt;&gt;0),'Inputs (2)'!AV142,AV176*Inputs!AV$304)</f>
        <v>0</v>
      </c>
      <c r="AW181" s="77">
        <f>AV181</f>
        <v>0</v>
      </c>
      <c r="AX181" s="57">
        <f>IF(AND(AX$14=1,ISNUMBER('Inputs (2)'!AX142),'Inputs (2)'!AX142&lt;&gt;0),'Inputs (2)'!AX142,AX176*Inputs!AX$304)</f>
        <v>0</v>
      </c>
      <c r="AY181" s="57">
        <f>IF(AND(AY$14=1,ISNUMBER('Inputs (2)'!AY142),'Inputs (2)'!AY142&lt;&gt;0),'Inputs (2)'!AY142,AY176*Inputs!AY$304)</f>
        <v>0</v>
      </c>
      <c r="AZ181" s="57">
        <f>IF(AND(AZ$14=1,ISNUMBER('Inputs (2)'!AZ142),'Inputs (2)'!AZ142&lt;&gt;0),'Inputs (2)'!AZ142,AZ176*Inputs!AZ$304)</f>
        <v>0</v>
      </c>
      <c r="BA181" s="57">
        <f>IF(AND(BA$14=1,ISNUMBER('Inputs (2)'!BA142),'Inputs (2)'!BA142&lt;&gt;0),'Inputs (2)'!BA142,BA176*Inputs!BA$304)</f>
        <v>0</v>
      </c>
      <c r="BB181" s="77">
        <f>BA181</f>
        <v>0</v>
      </c>
      <c r="BC181" s="57">
        <f>IF(AND(BC$14=1,ISNUMBER('Inputs (2)'!BC142),'Inputs (2)'!BC142&lt;&gt;0),'Inputs (2)'!BC142,BC176*Inputs!BC$304)</f>
        <v>0</v>
      </c>
      <c r="BD181" s="57">
        <f>IF(AND(BD$14=1,ISNUMBER('Inputs (2)'!BD142),'Inputs (2)'!BD142&lt;&gt;0),'Inputs (2)'!BD142,BD176*Inputs!BD$304)</f>
        <v>0</v>
      </c>
      <c r="BE181" s="57">
        <f>IF(AND(BE$14=1,ISNUMBER('Inputs (2)'!BE142),'Inputs (2)'!BE142&lt;&gt;0),'Inputs (2)'!BE142,BE176*Inputs!BE$304)</f>
        <v>0</v>
      </c>
      <c r="BF181" s="57">
        <f>IF(AND(BF$14=1,ISNUMBER('Inputs (2)'!BF142),'Inputs (2)'!BF142&lt;&gt;0),'Inputs (2)'!BF142,BF176*Inputs!BF$304)</f>
        <v>0</v>
      </c>
      <c r="BG181" s="77">
        <f>BF181</f>
        <v>0</v>
      </c>
    </row>
    <row r="182">
      <c r="C182" s="11" t="inlineStr">
        <is>
          <t>Índice CET1 — Standardized</t>
        </is>
      </c>
      <c r="D182" s="12" t="inlineStr">
        <is>
          <t>CET1 ratio — Standardized</t>
        </is>
      </c>
      <c r="E182" s="88">
        <f>IFERROR(E181/E176,0)</f>
        <v>0</v>
      </c>
      <c r="F182" s="88">
        <f>IFERROR(F181/F176,0)</f>
        <v>0</v>
      </c>
      <c r="G182" s="88">
        <f>IFERROR(G181/G176,0)</f>
        <v>0</v>
      </c>
      <c r="H182" s="88">
        <f>IFERROR(H181/H176,0)</f>
        <v>0</v>
      </c>
      <c r="I182" s="89">
        <f>IFERROR(I181/I176,0)</f>
        <v>0</v>
      </c>
      <c r="J182" s="88">
        <f>IFERROR(J181/J176,0)</f>
        <v>0</v>
      </c>
      <c r="K182" s="88">
        <f>IFERROR(K181/K176,0)</f>
        <v>0</v>
      </c>
      <c r="L182" s="88">
        <f>IFERROR(L181/L176,0)</f>
        <v>0</v>
      </c>
      <c r="M182" s="88">
        <f>IFERROR(M181/M176,0)</f>
        <v>0</v>
      </c>
      <c r="N182" s="89">
        <f>IFERROR(N181/N176,0)</f>
        <v>0</v>
      </c>
      <c r="O182" s="88">
        <f>IFERROR(O181/O176,0)</f>
        <v>0</v>
      </c>
      <c r="P182" s="88">
        <f>IFERROR(P181/P176,0)</f>
        <v>0</v>
      </c>
      <c r="Q182" s="88">
        <f>IFERROR(Q181/Q176,0)</f>
        <v>0</v>
      </c>
      <c r="R182" s="88">
        <f>IFERROR(R181/R176,0)</f>
        <v>0</v>
      </c>
      <c r="S182" s="89">
        <f>IFERROR(S181/S176,0)</f>
        <v>0</v>
      </c>
      <c r="T182" s="88">
        <f>IFERROR(T181/T176,0)</f>
        <v>0</v>
      </c>
      <c r="U182" s="88">
        <f>IFERROR(U181/U176,0)</f>
        <v>0</v>
      </c>
      <c r="V182" s="88">
        <f>IFERROR(V181/V176,0)</f>
        <v>0</v>
      </c>
      <c r="W182" s="88">
        <f>IFERROR(W181/W176,0)</f>
        <v>0</v>
      </c>
      <c r="X182" s="89">
        <f>IFERROR(X181/X176,0)</f>
        <v>0</v>
      </c>
      <c r="Y182" s="88">
        <f>IFERROR(Y181/Y176,0)</f>
        <v>0</v>
      </c>
      <c r="Z182" s="88">
        <f>IFERROR(Z181/Z176,0)</f>
        <v>0</v>
      </c>
      <c r="AA182" s="88">
        <f>IFERROR(AA181/AA176,0)</f>
        <v>0</v>
      </c>
      <c r="AB182" s="88">
        <f>IFERROR(AB181/AB176,0)</f>
        <v>0</v>
      </c>
      <c r="AC182" s="89">
        <f>IFERROR(AC181/AC176,0)</f>
        <v>0</v>
      </c>
      <c r="AD182" s="88">
        <f>IFERROR(AD181/AD176,0)</f>
        <v>0</v>
      </c>
      <c r="AE182" s="88">
        <f>IFERROR(AE181/AE176,0)</f>
        <v>0</v>
      </c>
      <c r="AF182" s="88">
        <f>IFERROR(AF181/AF176,0)</f>
        <v>0</v>
      </c>
      <c r="AG182" s="88">
        <f>IFERROR(AG181/AG176,0)</f>
        <v>0</v>
      </c>
      <c r="AH182" s="89">
        <f>IFERROR(AH181/AH176,0)</f>
        <v>0</v>
      </c>
      <c r="AI182" s="88">
        <f>IFERROR(AI181/AI176,0)</f>
        <v>0</v>
      </c>
      <c r="AJ182" s="88">
        <f>IFERROR(AJ181/AJ176,0)</f>
        <v>0</v>
      </c>
      <c r="AK182" s="88">
        <f>IFERROR(AK181/AK176,0)</f>
        <v>0</v>
      </c>
      <c r="AL182" s="88">
        <f>IFERROR(AL181/AL176,0)</f>
        <v>0</v>
      </c>
      <c r="AM182" s="89">
        <f>IFERROR(AM181/AM176,0)</f>
        <v>0</v>
      </c>
      <c r="AN182" s="88">
        <f>IFERROR(AN181/AN176,0)</f>
        <v>0</v>
      </c>
      <c r="AO182" s="88">
        <f>IFERROR(AO181/AO176,0)</f>
        <v>0</v>
      </c>
      <c r="AP182" s="88">
        <f>IFERROR(AP181/AP176,0)</f>
        <v>0</v>
      </c>
      <c r="AQ182" s="88">
        <f>IFERROR(AQ181/AQ176,0)</f>
        <v>0</v>
      </c>
      <c r="AR182" s="89">
        <f>IFERROR(AR181/AR176,0)</f>
        <v>0</v>
      </c>
      <c r="AS182" s="88">
        <f>IFERROR(AS181/AS176,0)</f>
        <v>0</v>
      </c>
      <c r="AT182" s="88">
        <f>IFERROR(AT181/AT176,0)</f>
        <v>0</v>
      </c>
      <c r="AU182" s="88">
        <f>IFERROR(AU181/AU176,0)</f>
        <v>0</v>
      </c>
      <c r="AV182" s="88">
        <f>IFERROR(AV181/AV176,0)</f>
        <v>0</v>
      </c>
      <c r="AW182" s="89">
        <f>IFERROR(AW181/AW176,0)</f>
        <v>0</v>
      </c>
      <c r="AX182" s="88">
        <f>IFERROR(AX181/AX176,0)</f>
        <v>0</v>
      </c>
      <c r="AY182" s="88">
        <f>IFERROR(AY181/AY176,0)</f>
        <v>0</v>
      </c>
      <c r="AZ182" s="88">
        <f>IFERROR(AZ181/AZ176,0)</f>
        <v>0</v>
      </c>
      <c r="BA182" s="88">
        <f>IFERROR(BA181/BA176,0)</f>
        <v>0</v>
      </c>
      <c r="BB182" s="89">
        <f>IFERROR(BB181/BB176,0)</f>
        <v>0</v>
      </c>
      <c r="BC182" s="88">
        <f>IFERROR(BC181/BC176,0)</f>
        <v>0</v>
      </c>
      <c r="BD182" s="88">
        <f>IFERROR(BD181/BD176,0)</f>
        <v>0</v>
      </c>
      <c r="BE182" s="88">
        <f>IFERROR(BE181/BE176,0)</f>
        <v>0</v>
      </c>
      <c r="BF182" s="88">
        <f>IFERROR(BF181/BF176,0)</f>
        <v>0</v>
      </c>
      <c r="BG182" s="89">
        <f>IFERROR(BG181/BG176,0)</f>
        <v>0</v>
      </c>
    </row>
    <row r="183">
      <c r="C183" s="11" t="inlineStr">
        <is>
          <t>Índice CET1 — Advanced (reportado)</t>
        </is>
      </c>
      <c r="D183" s="12" t="inlineStr">
        <is>
          <t>CET1 ratio — Advanced (reported)</t>
        </is>
      </c>
      <c r="E183" s="88" t="str">
        <f>IF(E$14=1,IF(ISNUMBER('Inputs (2)'!E151),'Inputs (2)'!E151,""),"")</f>
        <v/>
      </c>
      <c r="F183" s="88" t="str">
        <f>IF(F$14=1,IF(ISNUMBER('Inputs (2)'!F151),'Inputs (2)'!F151,""),"")</f>
        <v/>
      </c>
      <c r="G183" s="88" t="str">
        <f>IF(G$14=1,IF(ISNUMBER('Inputs (2)'!G151),'Inputs (2)'!G151,""),"")</f>
        <v/>
      </c>
      <c r="H183" s="88" t="str">
        <f>IF(H$14=1,IF(ISNUMBER('Inputs (2)'!H151),'Inputs (2)'!H151,""),"")</f>
        <v/>
      </c>
      <c r="I183" s="89" t="str">
        <f>H183</f>
        <v/>
      </c>
      <c r="J183" s="88" t="str">
        <f>IF(J$14=1,IF(ISNUMBER('Inputs (2)'!J151),'Inputs (2)'!J151,""),"")</f>
        <v/>
      </c>
      <c r="K183" s="88" t="str">
        <f>IF(K$14=1,IF(ISNUMBER('Inputs (2)'!K151),'Inputs (2)'!K151,""),"")</f>
        <v/>
      </c>
      <c r="L183" s="88" t="str">
        <f>IF(L$14=1,IF(ISNUMBER('Inputs (2)'!L151),'Inputs (2)'!L151,""),"")</f>
        <v/>
      </c>
      <c r="M183" s="88" t="str">
        <f>IF(M$14=1,IF(ISNUMBER('Inputs (2)'!M151),'Inputs (2)'!M151,""),"")</f>
        <v/>
      </c>
      <c r="N183" s="89" t="str">
        <f>M183</f>
        <v/>
      </c>
      <c r="O183" s="88" t="str">
        <f>IF(O$14=1,IF(ISNUMBER('Inputs (2)'!O151),'Inputs (2)'!O151,""),"")</f>
        <v/>
      </c>
      <c r="P183" s="88" t="str">
        <f>IF(P$14=1,IF(ISNUMBER('Inputs (2)'!P151),'Inputs (2)'!P151,""),"")</f>
        <v/>
      </c>
      <c r="Q183" s="88" t="str">
        <f>IF(Q$14=1,IF(ISNUMBER('Inputs (2)'!Q151),'Inputs (2)'!Q151,""),"")</f>
        <v/>
      </c>
      <c r="R183" s="88" t="str">
        <f>IF(R$14=1,IF(ISNUMBER('Inputs (2)'!R151),'Inputs (2)'!R151,""),"")</f>
        <v/>
      </c>
      <c r="S183" s="89" t="str">
        <f>R183</f>
        <v/>
      </c>
      <c r="T183" s="88" t="str">
        <f>IF(T$14=1,IF(ISNUMBER('Inputs (2)'!T151),'Inputs (2)'!T151,""),"")</f>
        <v/>
      </c>
      <c r="U183" s="88" t="str">
        <f>IF(U$14=1,IF(ISNUMBER('Inputs (2)'!U151),'Inputs (2)'!U151,""),"")</f>
        <v/>
      </c>
      <c r="V183" s="88" t="str">
        <f>IF(V$14=1,IF(ISNUMBER('Inputs (2)'!V151),'Inputs (2)'!V151,""),"")</f>
        <v/>
      </c>
      <c r="W183" s="88" t="str">
        <f>IF(W$14=1,IF(ISNUMBER('Inputs (2)'!W151),'Inputs (2)'!W151,""),"")</f>
        <v/>
      </c>
      <c r="X183" s="89" t="str">
        <f>W183</f>
        <v/>
      </c>
      <c r="Y183" s="88" t="str">
        <f>IF(Y$14=1,IF(ISNUMBER('Inputs (2)'!Y151),'Inputs (2)'!Y151,""),"")</f>
        <v/>
      </c>
      <c r="Z183" s="88" t="str">
        <f>IF(Z$14=1,IF(ISNUMBER('Inputs (2)'!Z151),'Inputs (2)'!Z151,""),"")</f>
        <v/>
      </c>
      <c r="AA183" s="88" t="str">
        <f>IF(AA$14=1,IF(ISNUMBER('Inputs (2)'!AA151),'Inputs (2)'!AA151,""),"")</f>
        <v/>
      </c>
      <c r="AB183" s="88" t="str">
        <f>IF(AB$14=1,IF(ISNUMBER('Inputs (2)'!AB151),'Inputs (2)'!AB151,""),"")</f>
        <v/>
      </c>
      <c r="AC183" s="89" t="str">
        <f>AB183</f>
        <v/>
      </c>
      <c r="AD183" s="88" t="str">
        <f>IF(AD$14=1,IF(ISNUMBER('Inputs (2)'!AD151),'Inputs (2)'!AD151,""),"")</f>
        <v/>
      </c>
      <c r="AE183" s="88" t="str">
        <f>IF(AE$14=1,IF(ISNUMBER('Inputs (2)'!AE151),'Inputs (2)'!AE151,""),"")</f>
        <v/>
      </c>
      <c r="AF183" s="88" t="str">
        <f>IF(AF$14=1,IF(ISNUMBER('Inputs (2)'!AF151),'Inputs (2)'!AF151,""),"")</f>
        <v/>
      </c>
      <c r="AG183" s="88" t="str">
        <f>IF(AG$14=1,IF(ISNUMBER('Inputs (2)'!AG151),'Inputs (2)'!AG151,""),"")</f>
        <v/>
      </c>
      <c r="AH183" s="89" t="str">
        <f>AG183</f>
        <v/>
      </c>
      <c r="AI183" s="88" t="str">
        <f>IF(AI$14=1,IF(ISNUMBER('Inputs (2)'!AI151),'Inputs (2)'!AI151,""),"")</f>
        <v/>
      </c>
      <c r="AJ183" s="88" t="str">
        <f>IF(AJ$14=1,IF(ISNUMBER('Inputs (2)'!AJ151),'Inputs (2)'!AJ151,""),"")</f>
        <v/>
      </c>
      <c r="AK183" s="88" t="str">
        <f>IF(AK$14=1,IF(ISNUMBER('Inputs (2)'!AK151),'Inputs (2)'!AK151,""),"")</f>
        <v/>
      </c>
      <c r="AL183" s="88" t="str">
        <f>IF(AL$14=1,IF(ISNUMBER('Inputs (2)'!AL151),'Inputs (2)'!AL151,""),"")</f>
        <v/>
      </c>
      <c r="AM183" s="89" t="str">
        <f>AL183</f>
        <v/>
      </c>
      <c r="AN183" s="88" t="str">
        <f>IF(AN$14=1,IF(ISNUMBER('Inputs (2)'!AN151),'Inputs (2)'!AN151,""),"")</f>
        <v/>
      </c>
      <c r="AO183" s="88" t="str">
        <f>IF(AO$14=1,IF(ISNUMBER('Inputs (2)'!AO151),'Inputs (2)'!AO151,""),"")</f>
        <v/>
      </c>
      <c r="AP183" s="88" t="str">
        <f>IF(AP$14=1,IF(ISNUMBER('Inputs (2)'!AP151),'Inputs (2)'!AP151,""),"")</f>
        <v/>
      </c>
      <c r="AQ183" s="88" t="str">
        <f>IF(AQ$14=1,IF(ISNUMBER('Inputs (2)'!AQ151),'Inputs (2)'!AQ151,""),"")</f>
        <v/>
      </c>
      <c r="AR183" s="89" t="str">
        <f>AQ183</f>
        <v/>
      </c>
      <c r="AS183" s="88" t="str">
        <f>IF(AS$14=1,IF(ISNUMBER('Inputs (2)'!AS151),'Inputs (2)'!AS151,""),"")</f>
        <v/>
      </c>
      <c r="AT183" s="88" t="str">
        <f>IF(AT$14=1,IF(ISNUMBER('Inputs (2)'!AT151),'Inputs (2)'!AT151,""),"")</f>
        <v/>
      </c>
      <c r="AU183" s="88" t="str">
        <f>IF(AU$14=1,IF(ISNUMBER('Inputs (2)'!AU151),'Inputs (2)'!AU151,""),"")</f>
        <v/>
      </c>
      <c r="AV183" s="88" t="str">
        <f>IF(AV$14=1,IF(ISNUMBER('Inputs (2)'!AV151),'Inputs (2)'!AV151,""),"")</f>
        <v/>
      </c>
      <c r="AW183" s="89" t="str">
        <f>AV183</f>
        <v/>
      </c>
      <c r="AX183" s="88" t="str">
        <f>IF(AX$14=1,IF(ISNUMBER('Inputs (2)'!AX151),'Inputs (2)'!AX151,""),"")</f>
        <v/>
      </c>
      <c r="AY183" s="88" t="str">
        <f>IF(AY$14=1,IF(ISNUMBER('Inputs (2)'!AY151),'Inputs (2)'!AY151,""),"")</f>
        <v/>
      </c>
      <c r="AZ183" s="88" t="str">
        <f>IF(AZ$14=1,IF(ISNUMBER('Inputs (2)'!AZ151),'Inputs (2)'!AZ151,""),"")</f>
        <v/>
      </c>
      <c r="BA183" s="88" t="str">
        <f>IF(BA$14=1,IF(ISNUMBER('Inputs (2)'!BA151),'Inputs (2)'!BA151,""),"")</f>
        <v/>
      </c>
      <c r="BB183" s="89" t="str">
        <f>BA183</f>
        <v/>
      </c>
      <c r="BC183" s="88" t="str">
        <f>IF(BC$14=1,IF(ISNUMBER('Inputs (2)'!BC151),'Inputs (2)'!BC151,""),"")</f>
        <v/>
      </c>
      <c r="BD183" s="88" t="str">
        <f>IF(BD$14=1,IF(ISNUMBER('Inputs (2)'!BD151),'Inputs (2)'!BD151,""),"")</f>
        <v/>
      </c>
      <c r="BE183" s="88" t="str">
        <f>IF(BE$14=1,IF(ISNUMBER('Inputs (2)'!BE151),'Inputs (2)'!BE151,""),"")</f>
        <v/>
      </c>
      <c r="BF183" s="88" t="str">
        <f>IF(BF$14=1,IF(ISNUMBER('Inputs (2)'!BF151),'Inputs (2)'!BF151,""),"")</f>
        <v/>
      </c>
      <c r="BG183" s="89" t="str">
        <f>BF183</f>
        <v/>
      </c>
    </row>
    <row r="184">
      <c r="C184" s="11" t="inlineStr">
        <is>
          <t>Supplementary leverage ratio — SLR (reportado)</t>
        </is>
      </c>
      <c r="D184" s="12" t="inlineStr">
        <is>
          <t>SLR (reported)</t>
        </is>
      </c>
      <c r="E184" s="88" t="str">
        <f>IF(E$14=1,IF(ISNUMBER('Inputs (2)'!E149),'Inputs (2)'!E149,""),"")</f>
        <v/>
      </c>
      <c r="F184" s="88" t="str">
        <f>IF(F$14=1,IF(ISNUMBER('Inputs (2)'!F149),'Inputs (2)'!F149,""),"")</f>
        <v/>
      </c>
      <c r="G184" s="88" t="str">
        <f>IF(G$14=1,IF(ISNUMBER('Inputs (2)'!G149),'Inputs (2)'!G149,""),"")</f>
        <v/>
      </c>
      <c r="H184" s="88" t="str">
        <f>IF(H$14=1,IF(ISNUMBER('Inputs (2)'!H149),'Inputs (2)'!H149,""),"")</f>
        <v/>
      </c>
      <c r="I184" s="89" t="str">
        <f>H184</f>
        <v/>
      </c>
      <c r="J184" s="88" t="str">
        <f>IF(J$14=1,IF(ISNUMBER('Inputs (2)'!J149),'Inputs (2)'!J149,""),"")</f>
        <v/>
      </c>
      <c r="K184" s="88" t="str">
        <f>IF(K$14=1,IF(ISNUMBER('Inputs (2)'!K149),'Inputs (2)'!K149,""),"")</f>
        <v/>
      </c>
      <c r="L184" s="88" t="str">
        <f>IF(L$14=1,IF(ISNUMBER('Inputs (2)'!L149),'Inputs (2)'!L149,""),"")</f>
        <v/>
      </c>
      <c r="M184" s="88" t="str">
        <f>IF(M$14=1,IF(ISNUMBER('Inputs (2)'!M149),'Inputs (2)'!M149,""),"")</f>
        <v/>
      </c>
      <c r="N184" s="89" t="str">
        <f>M184</f>
        <v/>
      </c>
      <c r="O184" s="88" t="str">
        <f>IF(O$14=1,IF(ISNUMBER('Inputs (2)'!O149),'Inputs (2)'!O149,""),"")</f>
        <v/>
      </c>
      <c r="P184" s="88" t="str">
        <f>IF(P$14=1,IF(ISNUMBER('Inputs (2)'!P149),'Inputs (2)'!P149,""),"")</f>
        <v/>
      </c>
      <c r="Q184" s="88" t="str">
        <f>IF(Q$14=1,IF(ISNUMBER('Inputs (2)'!Q149),'Inputs (2)'!Q149,""),"")</f>
        <v/>
      </c>
      <c r="R184" s="88" t="str">
        <f>IF(R$14=1,IF(ISNUMBER('Inputs (2)'!R149),'Inputs (2)'!R149,""),"")</f>
        <v/>
      </c>
      <c r="S184" s="89" t="str">
        <f>R184</f>
        <v/>
      </c>
      <c r="T184" s="88" t="str">
        <f>IF(T$14=1,IF(ISNUMBER('Inputs (2)'!T149),'Inputs (2)'!T149,""),"")</f>
        <v/>
      </c>
      <c r="U184" s="88" t="str">
        <f>IF(U$14=1,IF(ISNUMBER('Inputs (2)'!U149),'Inputs (2)'!U149,""),"")</f>
        <v/>
      </c>
      <c r="V184" s="88" t="str">
        <f>IF(V$14=1,IF(ISNUMBER('Inputs (2)'!V149),'Inputs (2)'!V149,""),"")</f>
        <v/>
      </c>
      <c r="W184" s="88" t="str">
        <f>IF(W$14=1,IF(ISNUMBER('Inputs (2)'!W149),'Inputs (2)'!W149,""),"")</f>
        <v/>
      </c>
      <c r="X184" s="89" t="str">
        <f>W184</f>
        <v/>
      </c>
      <c r="Y184" s="88" t="str">
        <f>IF(Y$14=1,IF(ISNUMBER('Inputs (2)'!Y149),'Inputs (2)'!Y149,""),"")</f>
        <v/>
      </c>
      <c r="Z184" s="88" t="str">
        <f>IF(Z$14=1,IF(ISNUMBER('Inputs (2)'!Z149),'Inputs (2)'!Z149,""),"")</f>
        <v/>
      </c>
      <c r="AA184" s="88" t="str">
        <f>IF(AA$14=1,IF(ISNUMBER('Inputs (2)'!AA149),'Inputs (2)'!AA149,""),"")</f>
        <v/>
      </c>
      <c r="AB184" s="88" t="str">
        <f>IF(AB$14=1,IF(ISNUMBER('Inputs (2)'!AB149),'Inputs (2)'!AB149,""),"")</f>
        <v/>
      </c>
      <c r="AC184" s="89" t="str">
        <f>AB184</f>
        <v/>
      </c>
      <c r="AD184" s="88" t="str">
        <f>IF(AD$14=1,IF(ISNUMBER('Inputs (2)'!AD149),'Inputs (2)'!AD149,""),"")</f>
        <v/>
      </c>
      <c r="AE184" s="88" t="str">
        <f>IF(AE$14=1,IF(ISNUMBER('Inputs (2)'!AE149),'Inputs (2)'!AE149,""),"")</f>
        <v/>
      </c>
      <c r="AF184" s="88" t="str">
        <f>IF(AF$14=1,IF(ISNUMBER('Inputs (2)'!AF149),'Inputs (2)'!AF149,""),"")</f>
        <v/>
      </c>
      <c r="AG184" s="88" t="str">
        <f>IF(AG$14=1,IF(ISNUMBER('Inputs (2)'!AG149),'Inputs (2)'!AG149,""),"")</f>
        <v/>
      </c>
      <c r="AH184" s="89" t="str">
        <f>AG184</f>
        <v/>
      </c>
      <c r="AI184" s="88" t="str">
        <f>IF(AI$14=1,IF(ISNUMBER('Inputs (2)'!AI149),'Inputs (2)'!AI149,""),"")</f>
        <v/>
      </c>
      <c r="AJ184" s="88" t="str">
        <f>IF(AJ$14=1,IF(ISNUMBER('Inputs (2)'!AJ149),'Inputs (2)'!AJ149,""),"")</f>
        <v/>
      </c>
      <c r="AK184" s="88" t="str">
        <f>IF(AK$14=1,IF(ISNUMBER('Inputs (2)'!AK149),'Inputs (2)'!AK149,""),"")</f>
        <v/>
      </c>
      <c r="AL184" s="88" t="str">
        <f>IF(AL$14=1,IF(ISNUMBER('Inputs (2)'!AL149),'Inputs (2)'!AL149,""),"")</f>
        <v/>
      </c>
      <c r="AM184" s="89" t="str">
        <f>AL184</f>
        <v/>
      </c>
      <c r="AN184" s="88" t="str">
        <f>IF(AN$14=1,IF(ISNUMBER('Inputs (2)'!AN149),'Inputs (2)'!AN149,""),"")</f>
        <v/>
      </c>
      <c r="AO184" s="88" t="str">
        <f>IF(AO$14=1,IF(ISNUMBER('Inputs (2)'!AO149),'Inputs (2)'!AO149,""),"")</f>
        <v/>
      </c>
      <c r="AP184" s="88" t="str">
        <f>IF(AP$14=1,IF(ISNUMBER('Inputs (2)'!AP149),'Inputs (2)'!AP149,""),"")</f>
        <v/>
      </c>
      <c r="AQ184" s="88" t="str">
        <f>IF(AQ$14=1,IF(ISNUMBER('Inputs (2)'!AQ149),'Inputs (2)'!AQ149,""),"")</f>
        <v/>
      </c>
      <c r="AR184" s="89" t="str">
        <f>AQ184</f>
        <v/>
      </c>
      <c r="AS184" s="88" t="str">
        <f>IF(AS$14=1,IF(ISNUMBER('Inputs (2)'!AS149),'Inputs (2)'!AS149,""),"")</f>
        <v/>
      </c>
      <c r="AT184" s="88" t="str">
        <f>IF(AT$14=1,IF(ISNUMBER('Inputs (2)'!AT149),'Inputs (2)'!AT149,""),"")</f>
        <v/>
      </c>
      <c r="AU184" s="88" t="str">
        <f>IF(AU$14=1,IF(ISNUMBER('Inputs (2)'!AU149),'Inputs (2)'!AU149,""),"")</f>
        <v/>
      </c>
      <c r="AV184" s="88" t="str">
        <f>IF(AV$14=1,IF(ISNUMBER('Inputs (2)'!AV149),'Inputs (2)'!AV149,""),"")</f>
        <v/>
      </c>
      <c r="AW184" s="89" t="str">
        <f>AV184</f>
        <v/>
      </c>
      <c r="AX184" s="88" t="str">
        <f>IF(AX$14=1,IF(ISNUMBER('Inputs (2)'!AX149),'Inputs (2)'!AX149,""),"")</f>
        <v/>
      </c>
      <c r="AY184" s="88" t="str">
        <f>IF(AY$14=1,IF(ISNUMBER('Inputs (2)'!AY149),'Inputs (2)'!AY149,""),"")</f>
        <v/>
      </c>
      <c r="AZ184" s="88" t="str">
        <f>IF(AZ$14=1,IF(ISNUMBER('Inputs (2)'!AZ149),'Inputs (2)'!AZ149,""),"")</f>
        <v/>
      </c>
      <c r="BA184" s="88" t="str">
        <f>IF(BA$14=1,IF(ISNUMBER('Inputs (2)'!BA149),'Inputs (2)'!BA149,""),"")</f>
        <v/>
      </c>
      <c r="BB184" s="89" t="str">
        <f>BA184</f>
        <v/>
      </c>
      <c r="BC184" s="88" t="str">
        <f>IF(BC$14=1,IF(ISNUMBER('Inputs (2)'!BC149),'Inputs (2)'!BC149,""),"")</f>
        <v/>
      </c>
      <c r="BD184" s="88" t="str">
        <f>IF(BD$14=1,IF(ISNUMBER('Inputs (2)'!BD149),'Inputs (2)'!BD149,""),"")</f>
        <v/>
      </c>
      <c r="BE184" s="88" t="str">
        <f>IF(BE$14=1,IF(ISNUMBER('Inputs (2)'!BE149),'Inputs (2)'!BE149,""),"")</f>
        <v/>
      </c>
      <c r="BF184" s="88" t="str">
        <f>IF(BF$14=1,IF(ISNUMBER('Inputs (2)'!BF149),'Inputs (2)'!BF149,""),"")</f>
        <v/>
      </c>
      <c r="BG184" s="89" t="str">
        <f>BF184</f>
        <v/>
      </c>
    </row>
    <row r="185">
      <c r="C185" s="11" t="inlineStr">
        <is>
          <t>Tier 1 leverage ratio (reportado)</t>
        </is>
      </c>
      <c r="D185" s="12" t="inlineStr">
        <is>
          <t>Tier 1 leverage (reported)</t>
        </is>
      </c>
      <c r="E185" s="88" t="str">
        <f>IF(E$14=1,IF(ISNUMBER('Inputs (2)'!E146),'Inputs (2)'!E146,""),"")</f>
        <v/>
      </c>
      <c r="F185" s="88" t="str">
        <f>IF(F$14=1,IF(ISNUMBER('Inputs (2)'!F146),'Inputs (2)'!F146,""),"")</f>
        <v/>
      </c>
      <c r="G185" s="88" t="str">
        <f>IF(G$14=1,IF(ISNUMBER('Inputs (2)'!G146),'Inputs (2)'!G146,""),"")</f>
        <v/>
      </c>
      <c r="H185" s="88" t="str">
        <f>IF(H$14=1,IF(ISNUMBER('Inputs (2)'!H146),'Inputs (2)'!H146,""),"")</f>
        <v/>
      </c>
      <c r="I185" s="89" t="str">
        <f>H185</f>
        <v/>
      </c>
      <c r="J185" s="88" t="str">
        <f>IF(J$14=1,IF(ISNUMBER('Inputs (2)'!J146),'Inputs (2)'!J146,""),"")</f>
        <v/>
      </c>
      <c r="K185" s="88" t="str">
        <f>IF(K$14=1,IF(ISNUMBER('Inputs (2)'!K146),'Inputs (2)'!K146,""),"")</f>
        <v/>
      </c>
      <c r="L185" s="88" t="str">
        <f>IF(L$14=1,IF(ISNUMBER('Inputs (2)'!L146),'Inputs (2)'!L146,""),"")</f>
        <v/>
      </c>
      <c r="M185" s="88" t="str">
        <f>IF(M$14=1,IF(ISNUMBER('Inputs (2)'!M146),'Inputs (2)'!M146,""),"")</f>
        <v/>
      </c>
      <c r="N185" s="89" t="str">
        <f>M185</f>
        <v/>
      </c>
      <c r="O185" s="88" t="str">
        <f>IF(O$14=1,IF(ISNUMBER('Inputs (2)'!O146),'Inputs (2)'!O146,""),"")</f>
        <v/>
      </c>
      <c r="P185" s="88" t="str">
        <f>IF(P$14=1,IF(ISNUMBER('Inputs (2)'!P146),'Inputs (2)'!P146,""),"")</f>
        <v/>
      </c>
      <c r="Q185" s="88" t="str">
        <f>IF(Q$14=1,IF(ISNUMBER('Inputs (2)'!Q146),'Inputs (2)'!Q146,""),"")</f>
        <v/>
      </c>
      <c r="R185" s="88" t="str">
        <f>IF(R$14=1,IF(ISNUMBER('Inputs (2)'!R146),'Inputs (2)'!R146,""),"")</f>
        <v/>
      </c>
      <c r="S185" s="89" t="str">
        <f>R185</f>
        <v/>
      </c>
      <c r="T185" s="88" t="str">
        <f>IF(T$14=1,IF(ISNUMBER('Inputs (2)'!T146),'Inputs (2)'!T146,""),"")</f>
        <v/>
      </c>
      <c r="U185" s="88" t="str">
        <f>IF(U$14=1,IF(ISNUMBER('Inputs (2)'!U146),'Inputs (2)'!U146,""),"")</f>
        <v/>
      </c>
      <c r="V185" s="88" t="str">
        <f>IF(V$14=1,IF(ISNUMBER('Inputs (2)'!V146),'Inputs (2)'!V146,""),"")</f>
        <v/>
      </c>
      <c r="W185" s="88" t="str">
        <f>IF(W$14=1,IF(ISNUMBER('Inputs (2)'!W146),'Inputs (2)'!W146,""),"")</f>
        <v/>
      </c>
      <c r="X185" s="89" t="str">
        <f>W185</f>
        <v/>
      </c>
      <c r="Y185" s="88" t="str">
        <f>IF(Y$14=1,IF(ISNUMBER('Inputs (2)'!Y146),'Inputs (2)'!Y146,""),"")</f>
        <v/>
      </c>
      <c r="Z185" s="88" t="str">
        <f>IF(Z$14=1,IF(ISNUMBER('Inputs (2)'!Z146),'Inputs (2)'!Z146,""),"")</f>
        <v/>
      </c>
      <c r="AA185" s="88" t="str">
        <f>IF(AA$14=1,IF(ISNUMBER('Inputs (2)'!AA146),'Inputs (2)'!AA146,""),"")</f>
        <v/>
      </c>
      <c r="AB185" s="88" t="str">
        <f>IF(AB$14=1,IF(ISNUMBER('Inputs (2)'!AB146),'Inputs (2)'!AB146,""),"")</f>
        <v/>
      </c>
      <c r="AC185" s="89" t="str">
        <f>AB185</f>
        <v/>
      </c>
      <c r="AD185" s="88" t="str">
        <f>IF(AD$14=1,IF(ISNUMBER('Inputs (2)'!AD146),'Inputs (2)'!AD146,""),"")</f>
        <v/>
      </c>
      <c r="AE185" s="88" t="str">
        <f>IF(AE$14=1,IF(ISNUMBER('Inputs (2)'!AE146),'Inputs (2)'!AE146,""),"")</f>
        <v/>
      </c>
      <c r="AF185" s="88" t="str">
        <f>IF(AF$14=1,IF(ISNUMBER('Inputs (2)'!AF146),'Inputs (2)'!AF146,""),"")</f>
        <v/>
      </c>
      <c r="AG185" s="88" t="str">
        <f>IF(AG$14=1,IF(ISNUMBER('Inputs (2)'!AG146),'Inputs (2)'!AG146,""),"")</f>
        <v/>
      </c>
      <c r="AH185" s="89" t="str">
        <f>AG185</f>
        <v/>
      </c>
      <c r="AI185" s="88" t="str">
        <f>IF(AI$14=1,IF(ISNUMBER('Inputs (2)'!AI146),'Inputs (2)'!AI146,""),"")</f>
        <v/>
      </c>
      <c r="AJ185" s="88" t="str">
        <f>IF(AJ$14=1,IF(ISNUMBER('Inputs (2)'!AJ146),'Inputs (2)'!AJ146,""),"")</f>
        <v/>
      </c>
      <c r="AK185" s="88" t="str">
        <f>IF(AK$14=1,IF(ISNUMBER('Inputs (2)'!AK146),'Inputs (2)'!AK146,""),"")</f>
        <v/>
      </c>
      <c r="AL185" s="88" t="str">
        <f>IF(AL$14=1,IF(ISNUMBER('Inputs (2)'!AL146),'Inputs (2)'!AL146,""),"")</f>
        <v/>
      </c>
      <c r="AM185" s="89" t="str">
        <f>AL185</f>
        <v/>
      </c>
      <c r="AN185" s="88" t="str">
        <f>IF(AN$14=1,IF(ISNUMBER('Inputs (2)'!AN146),'Inputs (2)'!AN146,""),"")</f>
        <v/>
      </c>
      <c r="AO185" s="88" t="str">
        <f>IF(AO$14=1,IF(ISNUMBER('Inputs (2)'!AO146),'Inputs (2)'!AO146,""),"")</f>
        <v/>
      </c>
      <c r="AP185" s="88" t="str">
        <f>IF(AP$14=1,IF(ISNUMBER('Inputs (2)'!AP146),'Inputs (2)'!AP146,""),"")</f>
        <v/>
      </c>
      <c r="AQ185" s="88" t="str">
        <f>IF(AQ$14=1,IF(ISNUMBER('Inputs (2)'!AQ146),'Inputs (2)'!AQ146,""),"")</f>
        <v/>
      </c>
      <c r="AR185" s="89" t="str">
        <f>AQ185</f>
        <v/>
      </c>
      <c r="AS185" s="88" t="str">
        <f>IF(AS$14=1,IF(ISNUMBER('Inputs (2)'!AS146),'Inputs (2)'!AS146,""),"")</f>
        <v/>
      </c>
      <c r="AT185" s="88" t="str">
        <f>IF(AT$14=1,IF(ISNUMBER('Inputs (2)'!AT146),'Inputs (2)'!AT146,""),"")</f>
        <v/>
      </c>
      <c r="AU185" s="88" t="str">
        <f>IF(AU$14=1,IF(ISNUMBER('Inputs (2)'!AU146),'Inputs (2)'!AU146,""),"")</f>
        <v/>
      </c>
      <c r="AV185" s="88" t="str">
        <f>IF(AV$14=1,IF(ISNUMBER('Inputs (2)'!AV146),'Inputs (2)'!AV146,""),"")</f>
        <v/>
      </c>
      <c r="AW185" s="89" t="str">
        <f>AV185</f>
        <v/>
      </c>
      <c r="AX185" s="88" t="str">
        <f>IF(AX$14=1,IF(ISNUMBER('Inputs (2)'!AX146),'Inputs (2)'!AX146,""),"")</f>
        <v/>
      </c>
      <c r="AY185" s="88" t="str">
        <f>IF(AY$14=1,IF(ISNUMBER('Inputs (2)'!AY146),'Inputs (2)'!AY146,""),"")</f>
        <v/>
      </c>
      <c r="AZ185" s="88" t="str">
        <f>IF(AZ$14=1,IF(ISNUMBER('Inputs (2)'!AZ146),'Inputs (2)'!AZ146,""),"")</f>
        <v/>
      </c>
      <c r="BA185" s="88" t="str">
        <f>IF(BA$14=1,IF(ISNUMBER('Inputs (2)'!BA146),'Inputs (2)'!BA146,""),"")</f>
        <v/>
      </c>
      <c r="BB185" s="89" t="str">
        <f>BA185</f>
        <v/>
      </c>
      <c r="BC185" s="88" t="str">
        <f>IF(BC$14=1,IF(ISNUMBER('Inputs (2)'!BC146),'Inputs (2)'!BC146,""),"")</f>
        <v/>
      </c>
      <c r="BD185" s="88" t="str">
        <f>IF(BD$14=1,IF(ISNUMBER('Inputs (2)'!BD146),'Inputs (2)'!BD146,""),"")</f>
        <v/>
      </c>
      <c r="BE185" s="88" t="str">
        <f>IF(BE$14=1,IF(ISNUMBER('Inputs (2)'!BE146),'Inputs (2)'!BE146,""),"")</f>
        <v/>
      </c>
      <c r="BF185" s="88" t="str">
        <f>IF(BF$14=1,IF(ISNUMBER('Inputs (2)'!BF146),'Inputs (2)'!BF146,""),"")</f>
        <v/>
      </c>
      <c r="BG185" s="89" t="str">
        <f>BF185</f>
        <v/>
      </c>
    </row>
    <row r="186">
      <c r="C186" s="11" t="inlineStr">
        <is>
          <t>LCR — liquidity coverage ratio (reportado)</t>
        </is>
      </c>
      <c r="D186" s="12" t="inlineStr">
        <is>
          <t>LCR (reported)</t>
        </is>
      </c>
      <c r="E186" s="88" t="str">
        <f>IF(E$14=1,IF(ISNUMBER('Inputs (2)'!E147),'Inputs (2)'!E147,""),"")</f>
        <v/>
      </c>
      <c r="F186" s="88" t="str">
        <f>IF(F$14=1,IF(ISNUMBER('Inputs (2)'!F147),'Inputs (2)'!F147,""),"")</f>
        <v/>
      </c>
      <c r="G186" s="88" t="str">
        <f>IF(G$14=1,IF(ISNUMBER('Inputs (2)'!G147),'Inputs (2)'!G147,""),"")</f>
        <v/>
      </c>
      <c r="H186" s="88" t="str">
        <f>IF(H$14=1,IF(ISNUMBER('Inputs (2)'!H147),'Inputs (2)'!H147,""),"")</f>
        <v/>
      </c>
      <c r="I186" s="89" t="str">
        <f>H186</f>
        <v/>
      </c>
      <c r="J186" s="88" t="str">
        <f>IF(J$14=1,IF(ISNUMBER('Inputs (2)'!J147),'Inputs (2)'!J147,""),"")</f>
        <v/>
      </c>
      <c r="K186" s="88" t="str">
        <f>IF(K$14=1,IF(ISNUMBER('Inputs (2)'!K147),'Inputs (2)'!K147,""),"")</f>
        <v/>
      </c>
      <c r="L186" s="88" t="str">
        <f>IF(L$14=1,IF(ISNUMBER('Inputs (2)'!L147),'Inputs (2)'!L147,""),"")</f>
        <v/>
      </c>
      <c r="M186" s="88" t="str">
        <f>IF(M$14=1,IF(ISNUMBER('Inputs (2)'!M147),'Inputs (2)'!M147,""),"")</f>
        <v/>
      </c>
      <c r="N186" s="89" t="str">
        <f>M186</f>
        <v/>
      </c>
      <c r="O186" s="88" t="str">
        <f>IF(O$14=1,IF(ISNUMBER('Inputs (2)'!O147),'Inputs (2)'!O147,""),"")</f>
        <v/>
      </c>
      <c r="P186" s="88" t="str">
        <f>IF(P$14=1,IF(ISNUMBER('Inputs (2)'!P147),'Inputs (2)'!P147,""),"")</f>
        <v/>
      </c>
      <c r="Q186" s="88" t="str">
        <f>IF(Q$14=1,IF(ISNUMBER('Inputs (2)'!Q147),'Inputs (2)'!Q147,""),"")</f>
        <v/>
      </c>
      <c r="R186" s="88" t="str">
        <f>IF(R$14=1,IF(ISNUMBER('Inputs (2)'!R147),'Inputs (2)'!R147,""),"")</f>
        <v/>
      </c>
      <c r="S186" s="89" t="str">
        <f>R186</f>
        <v/>
      </c>
      <c r="T186" s="88" t="str">
        <f>IF(T$14=1,IF(ISNUMBER('Inputs (2)'!T147),'Inputs (2)'!T147,""),"")</f>
        <v/>
      </c>
      <c r="U186" s="88" t="str">
        <f>IF(U$14=1,IF(ISNUMBER('Inputs (2)'!U147),'Inputs (2)'!U147,""),"")</f>
        <v/>
      </c>
      <c r="V186" s="88" t="str">
        <f>IF(V$14=1,IF(ISNUMBER('Inputs (2)'!V147),'Inputs (2)'!V147,""),"")</f>
        <v/>
      </c>
      <c r="W186" s="88" t="str">
        <f>IF(W$14=1,IF(ISNUMBER('Inputs (2)'!W147),'Inputs (2)'!W147,""),"")</f>
        <v/>
      </c>
      <c r="X186" s="89" t="str">
        <f>W186</f>
        <v/>
      </c>
      <c r="Y186" s="88" t="str">
        <f>IF(Y$14=1,IF(ISNUMBER('Inputs (2)'!Y147),'Inputs (2)'!Y147,""),"")</f>
        <v/>
      </c>
      <c r="Z186" s="88" t="str">
        <f>IF(Z$14=1,IF(ISNUMBER('Inputs (2)'!Z147),'Inputs (2)'!Z147,""),"")</f>
        <v/>
      </c>
      <c r="AA186" s="88" t="str">
        <f>IF(AA$14=1,IF(ISNUMBER('Inputs (2)'!AA147),'Inputs (2)'!AA147,""),"")</f>
        <v/>
      </c>
      <c r="AB186" s="88" t="str">
        <f>IF(AB$14=1,IF(ISNUMBER('Inputs (2)'!AB147),'Inputs (2)'!AB147,""),"")</f>
        <v/>
      </c>
      <c r="AC186" s="89" t="str">
        <f>AB186</f>
        <v/>
      </c>
      <c r="AD186" s="88" t="str">
        <f>IF(AD$14=1,IF(ISNUMBER('Inputs (2)'!AD147),'Inputs (2)'!AD147,""),"")</f>
        <v/>
      </c>
      <c r="AE186" s="88" t="str">
        <f>IF(AE$14=1,IF(ISNUMBER('Inputs (2)'!AE147),'Inputs (2)'!AE147,""),"")</f>
        <v/>
      </c>
      <c r="AF186" s="88" t="str">
        <f>IF(AF$14=1,IF(ISNUMBER('Inputs (2)'!AF147),'Inputs (2)'!AF147,""),"")</f>
        <v/>
      </c>
      <c r="AG186" s="88" t="str">
        <f>IF(AG$14=1,IF(ISNUMBER('Inputs (2)'!AG147),'Inputs (2)'!AG147,""),"")</f>
        <v/>
      </c>
      <c r="AH186" s="89" t="str">
        <f>AG186</f>
        <v/>
      </c>
      <c r="AI186" s="88" t="str">
        <f>IF(AI$14=1,IF(ISNUMBER('Inputs (2)'!AI147),'Inputs (2)'!AI147,""),"")</f>
        <v/>
      </c>
      <c r="AJ186" s="88" t="str">
        <f>IF(AJ$14=1,IF(ISNUMBER('Inputs (2)'!AJ147),'Inputs (2)'!AJ147,""),"")</f>
        <v/>
      </c>
      <c r="AK186" s="88" t="str">
        <f>IF(AK$14=1,IF(ISNUMBER('Inputs (2)'!AK147),'Inputs (2)'!AK147,""),"")</f>
        <v/>
      </c>
      <c r="AL186" s="88" t="str">
        <f>IF(AL$14=1,IF(ISNUMBER('Inputs (2)'!AL147),'Inputs (2)'!AL147,""),"")</f>
        <v/>
      </c>
      <c r="AM186" s="89" t="str">
        <f>AL186</f>
        <v/>
      </c>
      <c r="AN186" s="88" t="str">
        <f>IF(AN$14=1,IF(ISNUMBER('Inputs (2)'!AN147),'Inputs (2)'!AN147,""),"")</f>
        <v/>
      </c>
      <c r="AO186" s="88" t="str">
        <f>IF(AO$14=1,IF(ISNUMBER('Inputs (2)'!AO147),'Inputs (2)'!AO147,""),"")</f>
        <v/>
      </c>
      <c r="AP186" s="88" t="str">
        <f>IF(AP$14=1,IF(ISNUMBER('Inputs (2)'!AP147),'Inputs (2)'!AP147,""),"")</f>
        <v/>
      </c>
      <c r="AQ186" s="88" t="str">
        <f>IF(AQ$14=1,IF(ISNUMBER('Inputs (2)'!AQ147),'Inputs (2)'!AQ147,""),"")</f>
        <v/>
      </c>
      <c r="AR186" s="89" t="str">
        <f>AQ186</f>
        <v/>
      </c>
      <c r="AS186" s="88" t="str">
        <f>IF(AS$14=1,IF(ISNUMBER('Inputs (2)'!AS147),'Inputs (2)'!AS147,""),"")</f>
        <v/>
      </c>
      <c r="AT186" s="88" t="str">
        <f>IF(AT$14=1,IF(ISNUMBER('Inputs (2)'!AT147),'Inputs (2)'!AT147,""),"")</f>
        <v/>
      </c>
      <c r="AU186" s="88" t="str">
        <f>IF(AU$14=1,IF(ISNUMBER('Inputs (2)'!AU147),'Inputs (2)'!AU147,""),"")</f>
        <v/>
      </c>
      <c r="AV186" s="88" t="str">
        <f>IF(AV$14=1,IF(ISNUMBER('Inputs (2)'!AV147),'Inputs (2)'!AV147,""),"")</f>
        <v/>
      </c>
      <c r="AW186" s="89" t="str">
        <f>AV186</f>
        <v/>
      </c>
      <c r="AX186" s="88" t="str">
        <f>IF(AX$14=1,IF(ISNUMBER('Inputs (2)'!AX147),'Inputs (2)'!AX147,""),"")</f>
        <v/>
      </c>
      <c r="AY186" s="88" t="str">
        <f>IF(AY$14=1,IF(ISNUMBER('Inputs (2)'!AY147),'Inputs (2)'!AY147,""),"")</f>
        <v/>
      </c>
      <c r="AZ186" s="88" t="str">
        <f>IF(AZ$14=1,IF(ISNUMBER('Inputs (2)'!AZ147),'Inputs (2)'!AZ147,""),"")</f>
        <v/>
      </c>
      <c r="BA186" s="88" t="str">
        <f>IF(BA$14=1,IF(ISNUMBER('Inputs (2)'!BA147),'Inputs (2)'!BA147,""),"")</f>
        <v/>
      </c>
      <c r="BB186" s="89" t="str">
        <f>BA186</f>
        <v/>
      </c>
      <c r="BC186" s="88" t="str">
        <f>IF(BC$14=1,IF(ISNUMBER('Inputs (2)'!BC147),'Inputs (2)'!BC147,""),"")</f>
        <v/>
      </c>
      <c r="BD186" s="88" t="str">
        <f>IF(BD$14=1,IF(ISNUMBER('Inputs (2)'!BD147),'Inputs (2)'!BD147,""),"")</f>
        <v/>
      </c>
      <c r="BE186" s="88" t="str">
        <f>IF(BE$14=1,IF(ISNUMBER('Inputs (2)'!BE147),'Inputs (2)'!BE147,""),"")</f>
        <v/>
      </c>
      <c r="BF186" s="88" t="str">
        <f>IF(BF$14=1,IF(ISNUMBER('Inputs (2)'!BF147),'Inputs (2)'!BF147,""),"")</f>
        <v/>
      </c>
      <c r="BG186" s="89" t="str">
        <f>BF186</f>
        <v/>
      </c>
    </row>
    <row r="187">
      <c r="B187" s="7" t="n"/>
      <c r="C187" s="7" t="str">
        <f>"INDICADORES (percentuais, múltiplos e "&amp;Inputs!$E$202&amp;")"</f>
        <v>INDICADORES (percentuais, múltiplos e US$ milhões)</v>
      </c>
      <c r="D187" s="7" t="inlineStr">
        <is>
          <t>RATIO ANALYSIS</t>
        </is>
      </c>
      <c r="E187" s="7" t="n"/>
      <c r="F187" s="7" t="n"/>
      <c r="G187" s="7" t="n"/>
      <c r="H187" s="7" t="n"/>
      <c r="I187" s="7" t="n"/>
      <c r="J187" s="7" t="n"/>
      <c r="K187" s="7" t="n"/>
      <c r="L187" s="7" t="n"/>
      <c r="M187" s="7" t="n"/>
      <c r="N187" s="7" t="n"/>
      <c r="O187" s="7" t="n"/>
      <c r="P187" s="7" t="n"/>
      <c r="Q187" s="7" t="n"/>
      <c r="R187" s="7" t="n"/>
      <c r="S187" s="7" t="n"/>
      <c r="T187" s="7" t="n"/>
      <c r="U187" s="7" t="n"/>
      <c r="V187" s="7" t="n"/>
      <c r="W187" s="7" t="n"/>
      <c r="X187" s="7" t="n"/>
      <c r="Y187" s="7" t="n"/>
      <c r="Z187" s="7" t="n"/>
      <c r="AA187" s="7" t="n"/>
      <c r="AB187" s="7" t="n"/>
      <c r="AC187" s="7" t="n"/>
      <c r="AD187" s="7" t="n"/>
      <c r="AE187" s="7" t="n"/>
      <c r="AF187" s="7" t="n"/>
      <c r="AG187" s="7" t="n"/>
      <c r="AH187" s="7" t="n"/>
      <c r="AI187" s="7" t="n"/>
      <c r="AJ187" s="7" t="n"/>
      <c r="AK187" s="7" t="n"/>
      <c r="AL187" s="7" t="n"/>
      <c r="AM187" s="7" t="n"/>
      <c r="AN187" s="7" t="n"/>
      <c r="AO187" s="7" t="n"/>
      <c r="AP187" s="7" t="n"/>
      <c r="AQ187" s="7" t="n"/>
      <c r="AR187" s="7" t="n"/>
      <c r="AS187" s="7" t="n"/>
      <c r="AT187" s="7" t="n"/>
      <c r="AU187" s="7" t="n"/>
      <c r="AV187" s="7" t="n"/>
      <c r="AW187" s="7" t="n"/>
      <c r="AX187" s="7" t="n"/>
      <c r="AY187" s="7" t="n"/>
      <c r="AZ187" s="7" t="n"/>
      <c r="BA187" s="7" t="n"/>
      <c r="BB187" s="7" t="n"/>
      <c r="BC187" s="7" t="n"/>
      <c r="BD187" s="7" t="n"/>
      <c r="BE187" s="7" t="n"/>
      <c r="BF187" s="7" t="n"/>
      <c r="BG187" s="7" t="n"/>
      <c r="BH187" s="7" t="n"/>
      <c r="BI187" s="7" t="n"/>
    </row>
    <row r="188">
      <c r="B188" s="29" t="n"/>
      <c r="C188" s="29" t="inlineStr">
        <is>
          <t>Rentabilidade e margem</t>
        </is>
      </c>
      <c r="D188" s="29" t="inlineStr">
        <is>
          <t>Profitability and margin</t>
        </is>
      </c>
      <c r="E188" s="29" t="n"/>
      <c r="F188" s="29" t="n"/>
      <c r="G188" s="29" t="n"/>
      <c r="H188" s="29" t="n"/>
      <c r="I188" s="29" t="n"/>
      <c r="J188" s="29" t="n"/>
      <c r="K188" s="29" t="n"/>
      <c r="L188" s="29" t="n"/>
      <c r="M188" s="29" t="n"/>
      <c r="N188" s="29" t="n"/>
      <c r="O188" s="29" t="n"/>
      <c r="P188" s="29" t="n"/>
      <c r="Q188" s="29" t="n"/>
      <c r="R188" s="29" t="n"/>
      <c r="S188" s="29" t="n"/>
      <c r="T188" s="29" t="n"/>
      <c r="U188" s="29" t="n"/>
      <c r="V188" s="29" t="n"/>
      <c r="W188" s="29" t="n"/>
      <c r="X188" s="29" t="n"/>
      <c r="Y188" s="29" t="n"/>
      <c r="Z188" s="29" t="n"/>
      <c r="AA188" s="29" t="n"/>
      <c r="AB188" s="29" t="n"/>
      <c r="AC188" s="29" t="n"/>
      <c r="AD188" s="29" t="n"/>
      <c r="AE188" s="29" t="n"/>
      <c r="AF188" s="29" t="n"/>
      <c r="AG188" s="29" t="n"/>
      <c r="AH188" s="29" t="n"/>
      <c r="AI188" s="29" t="n"/>
      <c r="AJ188" s="29" t="n"/>
      <c r="AK188" s="29" t="n"/>
      <c r="AL188" s="29" t="n"/>
      <c r="AM188" s="29" t="n"/>
      <c r="AN188" s="29" t="n"/>
      <c r="AO188" s="29" t="n"/>
      <c r="AP188" s="29" t="n"/>
      <c r="AQ188" s="29" t="n"/>
      <c r="AR188" s="29" t="n"/>
      <c r="AS188" s="29" t="n"/>
      <c r="AT188" s="29" t="n"/>
      <c r="AU188" s="29" t="n"/>
      <c r="AV188" s="29" t="n"/>
      <c r="AW188" s="29" t="n"/>
      <c r="AX188" s="29" t="n"/>
      <c r="AY188" s="29" t="n"/>
      <c r="AZ188" s="29" t="n"/>
      <c r="BA188" s="29" t="n"/>
      <c r="BB188" s="29" t="n"/>
      <c r="BC188" s="29" t="n"/>
      <c r="BD188" s="29" t="n"/>
      <c r="BE188" s="29" t="n"/>
      <c r="BF188" s="29" t="n"/>
      <c r="BG188" s="29" t="n"/>
      <c r="BH188" s="29" t="n"/>
      <c r="BI188" s="29" t="n"/>
    </row>
    <row r="189">
      <c r="C189" s="11" t="inlineStr">
        <is>
          <t>ROE — sobre o PL total da companhia (inclui preferenciais)</t>
        </is>
      </c>
      <c r="D189" s="12" t="inlineStr">
        <is>
          <t>ROE on total equity</t>
        </is>
      </c>
      <c r="E189" s="88">
        <f>IFERROR(E129*4/E140,0)</f>
        <v>0</v>
      </c>
      <c r="F189" s="88">
        <f>IFERROR(F129*4/F140,0)</f>
        <v>0</v>
      </c>
      <c r="G189" s="88">
        <f>IFERROR(G129*4/G140,0)</f>
        <v>0</v>
      </c>
      <c r="H189" s="88">
        <f>IFERROR(H129*4/H140,0)</f>
        <v>0</v>
      </c>
      <c r="I189" s="89">
        <f>IFERROR(I129*1/I140,0)</f>
        <v>0</v>
      </c>
      <c r="J189" s="88">
        <f>IFERROR(J129*4/J140,0)</f>
        <v>0</v>
      </c>
      <c r="K189" s="88">
        <f>IFERROR(K129*4/K140,0)</f>
        <v>0</v>
      </c>
      <c r="L189" s="88">
        <f>IFERROR(L129*4/L140,0)</f>
        <v>0</v>
      </c>
      <c r="M189" s="88">
        <f>IFERROR(M129*4/M140,0)</f>
        <v>0</v>
      </c>
      <c r="N189" s="89">
        <f>IFERROR(N129*1/N140,0)</f>
        <v>0</v>
      </c>
      <c r="O189" s="88">
        <f>IFERROR(O129*4/O140,0)</f>
        <v>0</v>
      </c>
      <c r="P189" s="88">
        <f>IFERROR(P129*4/P140,0)</f>
        <v>0</v>
      </c>
      <c r="Q189" s="88">
        <f>IFERROR(Q129*4/Q140,0)</f>
        <v>0</v>
      </c>
      <c r="R189" s="88">
        <f>IFERROR(R129*4/R140,0)</f>
        <v>0</v>
      </c>
      <c r="S189" s="89">
        <f>IFERROR(S129*1/S140,0)</f>
        <v>0</v>
      </c>
      <c r="T189" s="88">
        <f>IFERROR(T129*4/T140,0)</f>
        <v>0</v>
      </c>
      <c r="U189" s="88">
        <f>IFERROR(U129*4/U140,0)</f>
        <v>0</v>
      </c>
      <c r="V189" s="88">
        <f>IFERROR(V129*4/V140,0)</f>
        <v>0</v>
      </c>
      <c r="W189" s="88">
        <f>IFERROR(W129*4/W140,0)</f>
        <v>0</v>
      </c>
      <c r="X189" s="89">
        <f>IFERROR(X129*1/X140,0)</f>
        <v>0</v>
      </c>
      <c r="Y189" s="88">
        <f>IFERROR(Y129*4/Y140,0)</f>
        <v>0</v>
      </c>
      <c r="Z189" s="88">
        <f>IFERROR(Z129*4/Z140,0)</f>
        <v>0</v>
      </c>
      <c r="AA189" s="88">
        <f>IFERROR(AA129*4/AA140,0)</f>
        <v>0</v>
      </c>
      <c r="AB189" s="88">
        <f>IFERROR(AB129*4/AB140,0)</f>
        <v>0</v>
      </c>
      <c r="AC189" s="89">
        <f>IFERROR(AC129*1/AC140,0)</f>
        <v>0</v>
      </c>
      <c r="AD189" s="88">
        <f>IFERROR(AD129*4/AD140,0)</f>
        <v>0</v>
      </c>
      <c r="AE189" s="88">
        <f>IFERROR(AE129*4/AE140,0)</f>
        <v>0</v>
      </c>
      <c r="AF189" s="88">
        <f>IFERROR(AF129*4/AF140,0)</f>
        <v>0</v>
      </c>
      <c r="AG189" s="88">
        <f>IFERROR(AG129*4/AG140,0)</f>
        <v>0</v>
      </c>
      <c r="AH189" s="89">
        <f>IFERROR(AH129*1/AH140,0)</f>
        <v>0</v>
      </c>
      <c r="AI189" s="88">
        <f>IFERROR(AI129*4/AI140,0)</f>
        <v>0</v>
      </c>
      <c r="AJ189" s="88">
        <f>IFERROR(AJ129*4/AJ140,0)</f>
        <v>0</v>
      </c>
      <c r="AK189" s="88">
        <f>IFERROR(AK129*4/AK140,0)</f>
        <v>0</v>
      </c>
      <c r="AL189" s="88">
        <f>IFERROR(AL129*4/AL140,0)</f>
        <v>0</v>
      </c>
      <c r="AM189" s="89">
        <f>IFERROR(AM129*1/AM140,0)</f>
        <v>0</v>
      </c>
      <c r="AN189" s="88">
        <f>IFERROR(AN129*4/AN140,0)</f>
        <v>0</v>
      </c>
      <c r="AO189" s="88">
        <f>IFERROR(AO129*4/AO140,0)</f>
        <v>0</v>
      </c>
      <c r="AP189" s="88">
        <f>IFERROR(AP129*4/AP140,0)</f>
        <v>0</v>
      </c>
      <c r="AQ189" s="88">
        <f>IFERROR(AQ129*4/AQ140,0)</f>
        <v>0</v>
      </c>
      <c r="AR189" s="89">
        <f>IFERROR(AR129*1/AR140,0)</f>
        <v>0</v>
      </c>
      <c r="AS189" s="88">
        <f>IFERROR(AS129*4/AS140,0)</f>
        <v>0</v>
      </c>
      <c r="AT189" s="88">
        <f>IFERROR(AT129*4/AT140,0)</f>
        <v>0</v>
      </c>
      <c r="AU189" s="88">
        <f>IFERROR(AU129*4/AU140,0)</f>
        <v>0</v>
      </c>
      <c r="AV189" s="88">
        <f>IFERROR(AV129*4/AV140,0)</f>
        <v>0</v>
      </c>
      <c r="AW189" s="89">
        <f>IFERROR(AW129*1/AW140,0)</f>
        <v>0</v>
      </c>
      <c r="AX189" s="88">
        <f>IFERROR(AX129*4/AX140,0)</f>
        <v>0</v>
      </c>
      <c r="AY189" s="88">
        <f>IFERROR(AY129*4/AY140,0)</f>
        <v>0</v>
      </c>
      <c r="AZ189" s="88">
        <f>IFERROR(AZ129*4/AZ140,0)</f>
        <v>0</v>
      </c>
      <c r="BA189" s="88">
        <f>IFERROR(BA129*4/BA140,0)</f>
        <v>0</v>
      </c>
      <c r="BB189" s="89">
        <f>IFERROR(BB129*1/BB140,0)</f>
        <v>0</v>
      </c>
      <c r="BC189" s="88">
        <f>IFERROR(BC129*4/BC140,0)</f>
        <v>0</v>
      </c>
      <c r="BD189" s="88">
        <f>IFERROR(BD129*4/BD140,0)</f>
        <v>0</v>
      </c>
      <c r="BE189" s="88">
        <f>IFERROR(BE129*4/BE140,0)</f>
        <v>0</v>
      </c>
      <c r="BF189" s="88">
        <f>IFERROR(BF129*4/BF140,0)</f>
        <v>0</v>
      </c>
      <c r="BG189" s="89">
        <f>IFERROR(BG129*1/BG140,0)</f>
        <v>0</v>
      </c>
      <c r="BI189" s="14" t="inlineStr">
        <is>
          <t>Trimestres são anualizados por 4. Colunas FY usam o resultado acumulado do ano.</t>
        </is>
      </c>
    </row>
    <row r="190">
      <c r="C190" s="11" t="inlineStr">
        <is>
          <t>ROE ordinário — lucro ao acionista comum / PL ordinário médio (% a.a.)</t>
        </is>
      </c>
      <c r="D190" s="12" t="inlineStr">
        <is>
          <t>Return on common equity</t>
        </is>
      </c>
      <c r="E190" s="88">
        <f>IFERROR(E131*4/E142,0)</f>
        <v>0</v>
      </c>
      <c r="F190" s="88">
        <f>IFERROR(F131*4/F142,0)</f>
        <v>0</v>
      </c>
      <c r="G190" s="88">
        <f>IFERROR(G131*4/G142,0)</f>
        <v>0</v>
      </c>
      <c r="H190" s="88">
        <f>IFERROR(H131*4/H142,0)</f>
        <v>0</v>
      </c>
      <c r="I190" s="89">
        <f>IFERROR(I131/I142,0)</f>
        <v>0</v>
      </c>
      <c r="J190" s="88">
        <f>IFERROR(J131*4/J142,0)</f>
        <v>0</v>
      </c>
      <c r="K190" s="88">
        <f>IFERROR(K131*4/K142,0)</f>
        <v>0</v>
      </c>
      <c r="L190" s="88">
        <f>IFERROR(L131*4/L142,0)</f>
        <v>0</v>
      </c>
      <c r="M190" s="88">
        <f>IFERROR(M131*4/M142,0)</f>
        <v>0</v>
      </c>
      <c r="N190" s="89">
        <f>IFERROR(N131/N142,0)</f>
        <v>0</v>
      </c>
      <c r="O190" s="88">
        <f>IFERROR(O131*4/O142,0)</f>
        <v>0</v>
      </c>
      <c r="P190" s="88">
        <f>IFERROR(P131*4/P142,0)</f>
        <v>0</v>
      </c>
      <c r="Q190" s="88">
        <f>IFERROR(Q131*4/Q142,0)</f>
        <v>0</v>
      </c>
      <c r="R190" s="88">
        <f>IFERROR(R131*4/R142,0)</f>
        <v>0</v>
      </c>
      <c r="S190" s="89">
        <f>IFERROR(S131/S142,0)</f>
        <v>0</v>
      </c>
      <c r="T190" s="88">
        <f>IFERROR(T131*4/T142,0)</f>
        <v>0</v>
      </c>
      <c r="U190" s="88">
        <f>IFERROR(U131*4/U142,0)</f>
        <v>0</v>
      </c>
      <c r="V190" s="88">
        <f>IFERROR(V131*4/V142,0)</f>
        <v>0</v>
      </c>
      <c r="W190" s="88">
        <f>IFERROR(W131*4/W142,0)</f>
        <v>0</v>
      </c>
      <c r="X190" s="89">
        <f>IFERROR(X131/X142,0)</f>
        <v>0</v>
      </c>
      <c r="Y190" s="88">
        <f>IFERROR(Y131*4/Y142,0)</f>
        <v>0</v>
      </c>
      <c r="Z190" s="88">
        <f>IFERROR(Z131*4/Z142,0)</f>
        <v>0</v>
      </c>
      <c r="AA190" s="88">
        <f>IFERROR(AA131*4/AA142,0)</f>
        <v>0</v>
      </c>
      <c r="AB190" s="88">
        <f>IFERROR(AB131*4/AB142,0)</f>
        <v>0</v>
      </c>
      <c r="AC190" s="89">
        <f>IFERROR(AC131/AC142,0)</f>
        <v>0</v>
      </c>
      <c r="AD190" s="88">
        <f>IFERROR(AD131*4/AD142,0)</f>
        <v>0</v>
      </c>
      <c r="AE190" s="88">
        <f>IFERROR(AE131*4/AE142,0)</f>
        <v>0</v>
      </c>
      <c r="AF190" s="88">
        <f>IFERROR(AF131*4/AF142,0)</f>
        <v>0</v>
      </c>
      <c r="AG190" s="88">
        <f>IFERROR(AG131*4/AG142,0)</f>
        <v>0</v>
      </c>
      <c r="AH190" s="89">
        <f>IFERROR(AH131/AH142,0)</f>
        <v>0</v>
      </c>
      <c r="AI190" s="88">
        <f>IFERROR(AI131*4/AI142,0)</f>
        <v>0</v>
      </c>
      <c r="AJ190" s="88">
        <f>IFERROR(AJ131*4/AJ142,0)</f>
        <v>0</v>
      </c>
      <c r="AK190" s="88">
        <f>IFERROR(AK131*4/AK142,0)</f>
        <v>0</v>
      </c>
      <c r="AL190" s="88">
        <f>IFERROR(AL131*4/AL142,0)</f>
        <v>0</v>
      </c>
      <c r="AM190" s="89">
        <f>IFERROR(AM131/AM142,0)</f>
        <v>0</v>
      </c>
      <c r="AN190" s="88">
        <f>IFERROR(AN131*4/AN142,0)</f>
        <v>0</v>
      </c>
      <c r="AO190" s="88">
        <f>IFERROR(AO131*4/AO142,0)</f>
        <v>0</v>
      </c>
      <c r="AP190" s="88">
        <f>IFERROR(AP131*4/AP142,0)</f>
        <v>0</v>
      </c>
      <c r="AQ190" s="88">
        <f>IFERROR(AQ131*4/AQ142,0)</f>
        <v>0</v>
      </c>
      <c r="AR190" s="89">
        <f>IFERROR(AR131/AR142,0)</f>
        <v>0</v>
      </c>
      <c r="AS190" s="88">
        <f>IFERROR(AS131*4/AS142,0)</f>
        <v>0</v>
      </c>
      <c r="AT190" s="88">
        <f>IFERROR(AT131*4/AT142,0)</f>
        <v>0</v>
      </c>
      <c r="AU190" s="88">
        <f>IFERROR(AU131*4/AU142,0)</f>
        <v>0</v>
      </c>
      <c r="AV190" s="88">
        <f>IFERROR(AV131*4/AV142,0)</f>
        <v>0</v>
      </c>
      <c r="AW190" s="89">
        <f>IFERROR(AW131/AW142,0)</f>
        <v>0</v>
      </c>
      <c r="AX190" s="88">
        <f>IFERROR(AX131*4/AX142,0)</f>
        <v>0</v>
      </c>
      <c r="AY190" s="88">
        <f>IFERROR(AY131*4/AY142,0)</f>
        <v>0</v>
      </c>
      <c r="AZ190" s="88">
        <f>IFERROR(AZ131*4/AZ142,0)</f>
        <v>0</v>
      </c>
      <c r="BA190" s="88">
        <f>IFERROR(BA131*4/BA142,0)</f>
        <v>0</v>
      </c>
      <c r="BB190" s="89">
        <f>IFERROR(BB131/BB142,0)</f>
        <v>0</v>
      </c>
      <c r="BC190" s="88">
        <f>IFERROR(BC131*4/BC142,0)</f>
        <v>0</v>
      </c>
      <c r="BD190" s="88">
        <f>IFERROR(BD131*4/BD142,0)</f>
        <v>0</v>
      </c>
      <c r="BE190" s="88">
        <f>IFERROR(BE131*4/BE142,0)</f>
        <v>0</v>
      </c>
      <c r="BF190" s="88">
        <f>IFERROR(BF131*4/BF142,0)</f>
        <v>0</v>
      </c>
      <c r="BG190" s="89">
        <f>IFERROR(BG131/BG142,0)</f>
        <v>0</v>
      </c>
      <c r="BI190" s="14" t="n"/>
    </row>
    <row r="191">
      <c r="C191" s="11" t="inlineStr">
        <is>
          <t>ROTCE — lucro ao acionista comum / TCE médio (% a.a.)</t>
        </is>
      </c>
      <c r="D191" s="12" t="inlineStr">
        <is>
          <t>Return on tangible common equity</t>
        </is>
      </c>
      <c r="E191" s="88">
        <f>IFERROR(E131*4/E145,0)</f>
        <v>0</v>
      </c>
      <c r="F191" s="88">
        <f>IFERROR(F131*4/F145,0)</f>
        <v>0</v>
      </c>
      <c r="G191" s="88">
        <f>IFERROR(G131*4/G145,0)</f>
        <v>0</v>
      </c>
      <c r="H191" s="88">
        <f>IFERROR(H131*4/H145,0)</f>
        <v>0</v>
      </c>
      <c r="I191" s="89">
        <f>IFERROR(I131/I145,0)</f>
        <v>0</v>
      </c>
      <c r="J191" s="88">
        <f>IFERROR(J131*4/J145,0)</f>
        <v>0</v>
      </c>
      <c r="K191" s="88">
        <f>IFERROR(K131*4/K145,0)</f>
        <v>0</v>
      </c>
      <c r="L191" s="88">
        <f>IFERROR(L131*4/L145,0)</f>
        <v>0</v>
      </c>
      <c r="M191" s="88">
        <f>IFERROR(M131*4/M145,0)</f>
        <v>0</v>
      </c>
      <c r="N191" s="89">
        <f>IFERROR(N131/N145,0)</f>
        <v>0</v>
      </c>
      <c r="O191" s="88">
        <f>IFERROR(O131*4/O145,0)</f>
        <v>0</v>
      </c>
      <c r="P191" s="88">
        <f>IFERROR(P131*4/P145,0)</f>
        <v>0</v>
      </c>
      <c r="Q191" s="88">
        <f>IFERROR(Q131*4/Q145,0)</f>
        <v>0</v>
      </c>
      <c r="R191" s="88">
        <f>IFERROR(R131*4/R145,0)</f>
        <v>0</v>
      </c>
      <c r="S191" s="89">
        <f>IFERROR(S131/S145,0)</f>
        <v>0</v>
      </c>
      <c r="T191" s="88">
        <f>IFERROR(T131*4/T145,0)</f>
        <v>0</v>
      </c>
      <c r="U191" s="88">
        <f>IFERROR(U131*4/U145,0)</f>
        <v>0</v>
      </c>
      <c r="V191" s="88">
        <f>IFERROR(V131*4/V145,0)</f>
        <v>0</v>
      </c>
      <c r="W191" s="88">
        <f>IFERROR(W131*4/W145,0)</f>
        <v>0</v>
      </c>
      <c r="X191" s="89">
        <f>IFERROR(X131/X145,0)</f>
        <v>0</v>
      </c>
      <c r="Y191" s="88">
        <f>IFERROR(Y131*4/Y145,0)</f>
        <v>0</v>
      </c>
      <c r="Z191" s="88">
        <f>IFERROR(Z131*4/Z145,0)</f>
        <v>0</v>
      </c>
      <c r="AA191" s="88">
        <f>IFERROR(AA131*4/AA145,0)</f>
        <v>0</v>
      </c>
      <c r="AB191" s="88">
        <f>IFERROR(AB131*4/AB145,0)</f>
        <v>0</v>
      </c>
      <c r="AC191" s="89">
        <f>IFERROR(AC131/AC145,0)</f>
        <v>0</v>
      </c>
      <c r="AD191" s="88">
        <f>IFERROR(AD131*4/AD145,0)</f>
        <v>0</v>
      </c>
      <c r="AE191" s="88">
        <f>IFERROR(AE131*4/AE145,0)</f>
        <v>0</v>
      </c>
      <c r="AF191" s="88">
        <f>IFERROR(AF131*4/AF145,0)</f>
        <v>0</v>
      </c>
      <c r="AG191" s="88">
        <f>IFERROR(AG131*4/AG145,0)</f>
        <v>0</v>
      </c>
      <c r="AH191" s="89">
        <f>IFERROR(AH131/AH145,0)</f>
        <v>0</v>
      </c>
      <c r="AI191" s="88">
        <f>IFERROR(AI131*4/AI145,0)</f>
        <v>0</v>
      </c>
      <c r="AJ191" s="88">
        <f>IFERROR(AJ131*4/AJ145,0)</f>
        <v>0</v>
      </c>
      <c r="AK191" s="88">
        <f>IFERROR(AK131*4/AK145,0)</f>
        <v>0</v>
      </c>
      <c r="AL191" s="88">
        <f>IFERROR(AL131*4/AL145,0)</f>
        <v>0</v>
      </c>
      <c r="AM191" s="89">
        <f>IFERROR(AM131/AM145,0)</f>
        <v>0</v>
      </c>
      <c r="AN191" s="88">
        <f>IFERROR(AN131*4/AN145,0)</f>
        <v>0</v>
      </c>
      <c r="AO191" s="88">
        <f>IFERROR(AO131*4/AO145,0)</f>
        <v>0</v>
      </c>
      <c r="AP191" s="88">
        <f>IFERROR(AP131*4/AP145,0)</f>
        <v>0</v>
      </c>
      <c r="AQ191" s="88">
        <f>IFERROR(AQ131*4/AQ145,0)</f>
        <v>0</v>
      </c>
      <c r="AR191" s="89">
        <f>IFERROR(AR131/AR145,0)</f>
        <v>0</v>
      </c>
      <c r="AS191" s="88">
        <f>IFERROR(AS131*4/AS145,0)</f>
        <v>0</v>
      </c>
      <c r="AT191" s="88">
        <f>IFERROR(AT131*4/AT145,0)</f>
        <v>0</v>
      </c>
      <c r="AU191" s="88">
        <f>IFERROR(AU131*4/AU145,0)</f>
        <v>0</v>
      </c>
      <c r="AV191" s="88">
        <f>IFERROR(AV131*4/AV145,0)</f>
        <v>0</v>
      </c>
      <c r="AW191" s="89">
        <f>IFERROR(AW131/AW145,0)</f>
        <v>0</v>
      </c>
      <c r="AX191" s="88">
        <f>IFERROR(AX131*4/AX145,0)</f>
        <v>0</v>
      </c>
      <c r="AY191" s="88">
        <f>IFERROR(AY131*4/AY145,0)</f>
        <v>0</v>
      </c>
      <c r="AZ191" s="88">
        <f>IFERROR(AZ131*4/AZ145,0)</f>
        <v>0</v>
      </c>
      <c r="BA191" s="88">
        <f>IFERROR(BA131*4/BA145,0)</f>
        <v>0</v>
      </c>
      <c r="BB191" s="89">
        <f>IFERROR(BB131/BB145,0)</f>
        <v>0</v>
      </c>
      <c r="BC191" s="88">
        <f>IFERROR(BC131*4/BC145,0)</f>
        <v>0</v>
      </c>
      <c r="BD191" s="88">
        <f>IFERROR(BD131*4/BD145,0)</f>
        <v>0</v>
      </c>
      <c r="BE191" s="88">
        <f>IFERROR(BE131*4/BE145,0)</f>
        <v>0</v>
      </c>
      <c r="BF191" s="88">
        <f>IFERROR(BF131*4/BF145,0)</f>
        <v>0</v>
      </c>
      <c r="BG191" s="89">
        <f>IFERROR(BG131/BG145,0)</f>
        <v>0</v>
      </c>
      <c r="BI191" s="14" t="n"/>
    </row>
    <row r="192">
      <c r="C192" s="11" t="inlineStr">
        <is>
          <t>ROA — retorno sobre o ativo médio (% a.a.)</t>
        </is>
      </c>
      <c r="D192" s="12" t="inlineStr">
        <is>
          <t>Return on average assets</t>
        </is>
      </c>
      <c r="E192" s="88">
        <f>IFERROR(E127*4/E139,0)</f>
        <v>0</v>
      </c>
      <c r="F192" s="88">
        <f>IFERROR(F127*4/F139,0)</f>
        <v>0</v>
      </c>
      <c r="G192" s="88">
        <f>IFERROR(G127*4/G139,0)</f>
        <v>0</v>
      </c>
      <c r="H192" s="88">
        <f>IFERROR(H127*4/H139,0)</f>
        <v>0</v>
      </c>
      <c r="I192" s="89">
        <f>IFERROR(I127*1/I139,0)</f>
        <v>0</v>
      </c>
      <c r="J192" s="88">
        <f>IFERROR(J127*4/J139,0)</f>
        <v>0</v>
      </c>
      <c r="K192" s="88">
        <f>IFERROR(K127*4/K139,0)</f>
        <v>0</v>
      </c>
      <c r="L192" s="88">
        <f>IFERROR(L127*4/L139,0)</f>
        <v>0</v>
      </c>
      <c r="M192" s="88">
        <f>IFERROR(M127*4/M139,0)</f>
        <v>0</v>
      </c>
      <c r="N192" s="89">
        <f>IFERROR(N127*1/N139,0)</f>
        <v>0</v>
      </c>
      <c r="O192" s="88">
        <f>IFERROR(O127*4/O139,0)</f>
        <v>0</v>
      </c>
      <c r="P192" s="88">
        <f>IFERROR(P127*4/P139,0)</f>
        <v>0</v>
      </c>
      <c r="Q192" s="88">
        <f>IFERROR(Q127*4/Q139,0)</f>
        <v>0</v>
      </c>
      <c r="R192" s="88">
        <f>IFERROR(R127*4/R139,0)</f>
        <v>0</v>
      </c>
      <c r="S192" s="89">
        <f>IFERROR(S127*1/S139,0)</f>
        <v>0</v>
      </c>
      <c r="T192" s="88">
        <f>IFERROR(T127*4/T139,0)</f>
        <v>0</v>
      </c>
      <c r="U192" s="88">
        <f>IFERROR(U127*4/U139,0)</f>
        <v>0</v>
      </c>
      <c r="V192" s="88">
        <f>IFERROR(V127*4/V139,0)</f>
        <v>0</v>
      </c>
      <c r="W192" s="88">
        <f>IFERROR(W127*4/W139,0)</f>
        <v>0</v>
      </c>
      <c r="X192" s="89">
        <f>IFERROR(X127*1/X139,0)</f>
        <v>0</v>
      </c>
      <c r="Y192" s="88">
        <f>IFERROR(Y127*4/Y139,0)</f>
        <v>0</v>
      </c>
      <c r="Z192" s="88">
        <f>IFERROR(Z127*4/Z139,0)</f>
        <v>0</v>
      </c>
      <c r="AA192" s="88">
        <f>IFERROR(AA127*4/AA139,0)</f>
        <v>0</v>
      </c>
      <c r="AB192" s="88">
        <f>IFERROR(AB127*4/AB139,0)</f>
        <v>0</v>
      </c>
      <c r="AC192" s="89">
        <f>IFERROR(AC127*1/AC139,0)</f>
        <v>0</v>
      </c>
      <c r="AD192" s="88">
        <f>IFERROR(AD127*4/AD139,0)</f>
        <v>0</v>
      </c>
      <c r="AE192" s="88">
        <f>IFERROR(AE127*4/AE139,0)</f>
        <v>0</v>
      </c>
      <c r="AF192" s="88">
        <f>IFERROR(AF127*4/AF139,0)</f>
        <v>0</v>
      </c>
      <c r="AG192" s="88">
        <f>IFERROR(AG127*4/AG139,0)</f>
        <v>0</v>
      </c>
      <c r="AH192" s="89">
        <f>IFERROR(AH127*1/AH139,0)</f>
        <v>0</v>
      </c>
      <c r="AI192" s="88">
        <f>IFERROR(AI127*4/AI139,0)</f>
        <v>0</v>
      </c>
      <c r="AJ192" s="88">
        <f>IFERROR(AJ127*4/AJ139,0)</f>
        <v>0</v>
      </c>
      <c r="AK192" s="88">
        <f>IFERROR(AK127*4/AK139,0)</f>
        <v>0</v>
      </c>
      <c r="AL192" s="88">
        <f>IFERROR(AL127*4/AL139,0)</f>
        <v>0</v>
      </c>
      <c r="AM192" s="89">
        <f>IFERROR(AM127*1/AM139,0)</f>
        <v>0</v>
      </c>
      <c r="AN192" s="88">
        <f>IFERROR(AN127*4/AN139,0)</f>
        <v>0</v>
      </c>
      <c r="AO192" s="88">
        <f>IFERROR(AO127*4/AO139,0)</f>
        <v>0</v>
      </c>
      <c r="AP192" s="88">
        <f>IFERROR(AP127*4/AP139,0)</f>
        <v>0</v>
      </c>
      <c r="AQ192" s="88">
        <f>IFERROR(AQ127*4/AQ139,0)</f>
        <v>0</v>
      </c>
      <c r="AR192" s="89">
        <f>IFERROR(AR127*1/AR139,0)</f>
        <v>0</v>
      </c>
      <c r="AS192" s="88">
        <f>IFERROR(AS127*4/AS139,0)</f>
        <v>0</v>
      </c>
      <c r="AT192" s="88">
        <f>IFERROR(AT127*4/AT139,0)</f>
        <v>0</v>
      </c>
      <c r="AU192" s="88">
        <f>IFERROR(AU127*4/AU139,0)</f>
        <v>0</v>
      </c>
      <c r="AV192" s="88">
        <f>IFERROR(AV127*4/AV139,0)</f>
        <v>0</v>
      </c>
      <c r="AW192" s="89">
        <f>IFERROR(AW127*1/AW139,0)</f>
        <v>0</v>
      </c>
      <c r="AX192" s="88">
        <f>IFERROR(AX127*4/AX139,0)</f>
        <v>0</v>
      </c>
      <c r="AY192" s="88">
        <f>IFERROR(AY127*4/AY139,0)</f>
        <v>0</v>
      </c>
      <c r="AZ192" s="88">
        <f>IFERROR(AZ127*4/AZ139,0)</f>
        <v>0</v>
      </c>
      <c r="BA192" s="88">
        <f>IFERROR(BA127*4/BA139,0)</f>
        <v>0</v>
      </c>
      <c r="BB192" s="89">
        <f>IFERROR(BB127*1/BB139,0)</f>
        <v>0</v>
      </c>
      <c r="BC192" s="88">
        <f>IFERROR(BC127*4/BC139,0)</f>
        <v>0</v>
      </c>
      <c r="BD192" s="88">
        <f>IFERROR(BD127*4/BD139,0)</f>
        <v>0</v>
      </c>
      <c r="BE192" s="88">
        <f>IFERROR(BE127*4/BE139,0)</f>
        <v>0</v>
      </c>
      <c r="BF192" s="88">
        <f>IFERROR(BF127*4/BF139,0)</f>
        <v>0</v>
      </c>
      <c r="BG192" s="89">
        <f>IFERROR(BG127*1/BG139,0)</f>
        <v>0</v>
      </c>
    </row>
    <row r="193">
      <c r="C193" s="11" t="inlineStr">
        <is>
          <t>NIM — margem financeira bruta / ativos rentáveis médios (% a.a.)</t>
        </is>
      </c>
      <c r="D193" s="12" t="inlineStr">
        <is>
          <t>Net interest margin</t>
        </is>
      </c>
      <c r="E193" s="88">
        <f>IFERROR(E146*4/E135,0)</f>
        <v>0</v>
      </c>
      <c r="F193" s="88">
        <f>IFERROR(F146*4/F135,0)</f>
        <v>0</v>
      </c>
      <c r="G193" s="88">
        <f>IFERROR(G146*4/G135,0)</f>
        <v>0</v>
      </c>
      <c r="H193" s="88">
        <f>IFERROR(H146*4/H135,0)</f>
        <v>0</v>
      </c>
      <c r="I193" s="89">
        <f>IFERROR(I146*1/I135,0)</f>
        <v>0</v>
      </c>
      <c r="J193" s="88">
        <f>IFERROR(J146*4/J135,0)</f>
        <v>0</v>
      </c>
      <c r="K193" s="88">
        <f>IFERROR(K146*4/K135,0)</f>
        <v>0</v>
      </c>
      <c r="L193" s="88">
        <f>IFERROR(L146*4/L135,0)</f>
        <v>0</v>
      </c>
      <c r="M193" s="88">
        <f>IFERROR(M146*4/M135,0)</f>
        <v>0</v>
      </c>
      <c r="N193" s="89">
        <f>IFERROR(N146*1/N135,0)</f>
        <v>0</v>
      </c>
      <c r="O193" s="88">
        <f>IFERROR(O146*4/O135,0)</f>
        <v>0</v>
      </c>
      <c r="P193" s="88">
        <f>IFERROR(P146*4/P135,0)</f>
        <v>0</v>
      </c>
      <c r="Q193" s="88">
        <f>IFERROR(Q146*4/Q135,0)</f>
        <v>0</v>
      </c>
      <c r="R193" s="88">
        <f>IFERROR(R146*4/R135,0)</f>
        <v>0</v>
      </c>
      <c r="S193" s="89">
        <f>IFERROR(S146*1/S135,0)</f>
        <v>0</v>
      </c>
      <c r="T193" s="88">
        <f>IFERROR(T146*4/T135,0)</f>
        <v>0</v>
      </c>
      <c r="U193" s="88">
        <f>IFERROR(U146*4/U135,0)</f>
        <v>0</v>
      </c>
      <c r="V193" s="88">
        <f>IFERROR(V146*4/V135,0)</f>
        <v>0</v>
      </c>
      <c r="W193" s="88">
        <f>IFERROR(W146*4/W135,0)</f>
        <v>0</v>
      </c>
      <c r="X193" s="89">
        <f>IFERROR(X146*1/X135,0)</f>
        <v>0</v>
      </c>
      <c r="Y193" s="88">
        <f>IFERROR(Y146*4/Y135,0)</f>
        <v>0</v>
      </c>
      <c r="Z193" s="88">
        <f>IFERROR(Z146*4/Z135,0)</f>
        <v>0</v>
      </c>
      <c r="AA193" s="88">
        <f>IFERROR(AA146*4/AA135,0)</f>
        <v>0</v>
      </c>
      <c r="AB193" s="88">
        <f>IFERROR(AB146*4/AB135,0)</f>
        <v>0</v>
      </c>
      <c r="AC193" s="89">
        <f>IFERROR(AC146*1/AC135,0)</f>
        <v>0</v>
      </c>
      <c r="AD193" s="88">
        <f>IFERROR(AD146*4/AD135,0)</f>
        <v>0</v>
      </c>
      <c r="AE193" s="88">
        <f>IFERROR(AE146*4/AE135,0)</f>
        <v>0</v>
      </c>
      <c r="AF193" s="88">
        <f>IFERROR(AF146*4/AF135,0)</f>
        <v>0</v>
      </c>
      <c r="AG193" s="88">
        <f>IFERROR(AG146*4/AG135,0)</f>
        <v>0</v>
      </c>
      <c r="AH193" s="89">
        <f>IFERROR(AH146*1/AH135,0)</f>
        <v>0</v>
      </c>
      <c r="AI193" s="88">
        <f>IFERROR(AI146*4/AI135,0)</f>
        <v>0</v>
      </c>
      <c r="AJ193" s="88">
        <f>IFERROR(AJ146*4/AJ135,0)</f>
        <v>0</v>
      </c>
      <c r="AK193" s="88">
        <f>IFERROR(AK146*4/AK135,0)</f>
        <v>0</v>
      </c>
      <c r="AL193" s="88">
        <f>IFERROR(AL146*4/AL135,0)</f>
        <v>0</v>
      </c>
      <c r="AM193" s="89">
        <f>IFERROR(AM146*1/AM135,0)</f>
        <v>0</v>
      </c>
      <c r="AN193" s="88">
        <f>IFERROR(AN146*4/AN135,0)</f>
        <v>0</v>
      </c>
      <c r="AO193" s="88">
        <f>IFERROR(AO146*4/AO135,0)</f>
        <v>0</v>
      </c>
      <c r="AP193" s="88">
        <f>IFERROR(AP146*4/AP135,0)</f>
        <v>0</v>
      </c>
      <c r="AQ193" s="88">
        <f>IFERROR(AQ146*4/AQ135,0)</f>
        <v>0</v>
      </c>
      <c r="AR193" s="89">
        <f>IFERROR(AR146*1/AR135,0)</f>
        <v>0</v>
      </c>
      <c r="AS193" s="88">
        <f>IFERROR(AS146*4/AS135,0)</f>
        <v>0</v>
      </c>
      <c r="AT193" s="88">
        <f>IFERROR(AT146*4/AT135,0)</f>
        <v>0</v>
      </c>
      <c r="AU193" s="88">
        <f>IFERROR(AU146*4/AU135,0)</f>
        <v>0</v>
      </c>
      <c r="AV193" s="88">
        <f>IFERROR(AV146*4/AV135,0)</f>
        <v>0</v>
      </c>
      <c r="AW193" s="89">
        <f>IFERROR(AW146*1/AW135,0)</f>
        <v>0</v>
      </c>
      <c r="AX193" s="88">
        <f>IFERROR(AX146*4/AX135,0)</f>
        <v>0</v>
      </c>
      <c r="AY193" s="88">
        <f>IFERROR(AY146*4/AY135,0)</f>
        <v>0</v>
      </c>
      <c r="AZ193" s="88">
        <f>IFERROR(AZ146*4/AZ135,0)</f>
        <v>0</v>
      </c>
      <c r="BA193" s="88">
        <f>IFERROR(BA146*4/BA135,0)</f>
        <v>0</v>
      </c>
      <c r="BB193" s="89">
        <f>IFERROR(BB146*1/BB135,0)</f>
        <v>0</v>
      </c>
      <c r="BC193" s="88">
        <f>IFERROR(BC146*4/BC135,0)</f>
        <v>0</v>
      </c>
      <c r="BD193" s="88">
        <f>IFERROR(BD146*4/BD135,0)</f>
        <v>0</v>
      </c>
      <c r="BE193" s="88">
        <f>IFERROR(BE146*4/BE135,0)</f>
        <v>0</v>
      </c>
      <c r="BF193" s="88">
        <f>IFERROR(BF146*4/BF135,0)</f>
        <v>0</v>
      </c>
      <c r="BG193" s="89">
        <f>IFERROR(BG146*1/BG135,0)</f>
        <v>0</v>
      </c>
    </row>
    <row r="194">
      <c r="C194" s="11" t="inlineStr">
        <is>
          <t>NIM ex-Markets — sobre empréstimos médios (% a.a.)</t>
        </is>
      </c>
      <c r="D194" s="12" t="inlineStr">
        <is>
          <t>NII ex-Markets over average loans</t>
        </is>
      </c>
      <c r="E194" s="88">
        <f>IFERROR(E147*4/E138,0)</f>
        <v>0</v>
      </c>
      <c r="F194" s="88">
        <f>IFERROR(F147*4/F138,0)</f>
        <v>0</v>
      </c>
      <c r="G194" s="88">
        <f>IFERROR(G147*4/G138,0)</f>
        <v>0</v>
      </c>
      <c r="H194" s="88">
        <f>IFERROR(H147*4/H138,0)</f>
        <v>0</v>
      </c>
      <c r="I194" s="89">
        <f>IFERROR(I147*1/I138,0)</f>
        <v>0</v>
      </c>
      <c r="J194" s="88">
        <f>IFERROR(J147*4/J138,0)</f>
        <v>0</v>
      </c>
      <c r="K194" s="88">
        <f>IFERROR(K147*4/K138,0)</f>
        <v>0</v>
      </c>
      <c r="L194" s="88">
        <f>IFERROR(L147*4/L138,0)</f>
        <v>0</v>
      </c>
      <c r="M194" s="88">
        <f>IFERROR(M147*4/M138,0)</f>
        <v>0</v>
      </c>
      <c r="N194" s="89">
        <f>IFERROR(N147*1/N138,0)</f>
        <v>0</v>
      </c>
      <c r="O194" s="88">
        <f>IFERROR(O147*4/O138,0)</f>
        <v>0</v>
      </c>
      <c r="P194" s="88">
        <f>IFERROR(P147*4/P138,0)</f>
        <v>0</v>
      </c>
      <c r="Q194" s="88">
        <f>IFERROR(Q147*4/Q138,0)</f>
        <v>0</v>
      </c>
      <c r="R194" s="88">
        <f>IFERROR(R147*4/R138,0)</f>
        <v>0</v>
      </c>
      <c r="S194" s="89">
        <f>IFERROR(S147*1/S138,0)</f>
        <v>0</v>
      </c>
      <c r="T194" s="88">
        <f>IFERROR(T147*4/T138,0)</f>
        <v>0</v>
      </c>
      <c r="U194" s="88">
        <f>IFERROR(U147*4/U138,0)</f>
        <v>0</v>
      </c>
      <c r="V194" s="88">
        <f>IFERROR(V147*4/V138,0)</f>
        <v>0</v>
      </c>
      <c r="W194" s="88">
        <f>IFERROR(W147*4/W138,0)</f>
        <v>0</v>
      </c>
      <c r="X194" s="89">
        <f>IFERROR(X147*1/X138,0)</f>
        <v>0</v>
      </c>
      <c r="Y194" s="88">
        <f>IFERROR(Y147*4/Y138,0)</f>
        <v>0</v>
      </c>
      <c r="Z194" s="88">
        <f>IFERROR(Z147*4/Z138,0)</f>
        <v>0</v>
      </c>
      <c r="AA194" s="88">
        <f>IFERROR(AA147*4/AA138,0)</f>
        <v>0</v>
      </c>
      <c r="AB194" s="88">
        <f>IFERROR(AB147*4/AB138,0)</f>
        <v>0</v>
      </c>
      <c r="AC194" s="89">
        <f>IFERROR(AC147*1/AC138,0)</f>
        <v>0</v>
      </c>
      <c r="AD194" s="88">
        <f>IFERROR(AD147*4/AD138,0)</f>
        <v>0</v>
      </c>
      <c r="AE194" s="88">
        <f>IFERROR(AE147*4/AE138,0)</f>
        <v>0</v>
      </c>
      <c r="AF194" s="88">
        <f>IFERROR(AF147*4/AF138,0)</f>
        <v>0</v>
      </c>
      <c r="AG194" s="88">
        <f>IFERROR(AG147*4/AG138,0)</f>
        <v>0</v>
      </c>
      <c r="AH194" s="89">
        <f>IFERROR(AH147*1/AH138,0)</f>
        <v>0</v>
      </c>
      <c r="AI194" s="88">
        <f>IFERROR(AI147*4/AI138,0)</f>
        <v>0</v>
      </c>
      <c r="AJ194" s="88">
        <f>IFERROR(AJ147*4/AJ138,0)</f>
        <v>0</v>
      </c>
      <c r="AK194" s="88">
        <f>IFERROR(AK147*4/AK138,0)</f>
        <v>0</v>
      </c>
      <c r="AL194" s="88">
        <f>IFERROR(AL147*4/AL138,0)</f>
        <v>0</v>
      </c>
      <c r="AM194" s="89">
        <f>IFERROR(AM147*1/AM138,0)</f>
        <v>0</v>
      </c>
      <c r="AN194" s="88">
        <f>IFERROR(AN147*4/AN138,0)</f>
        <v>0</v>
      </c>
      <c r="AO194" s="88">
        <f>IFERROR(AO147*4/AO138,0)</f>
        <v>0</v>
      </c>
      <c r="AP194" s="88">
        <f>IFERROR(AP147*4/AP138,0)</f>
        <v>0</v>
      </c>
      <c r="AQ194" s="88">
        <f>IFERROR(AQ147*4/AQ138,0)</f>
        <v>0</v>
      </c>
      <c r="AR194" s="89">
        <f>IFERROR(AR147*1/AR138,0)</f>
        <v>0</v>
      </c>
      <c r="AS194" s="88">
        <f>IFERROR(AS147*4/AS138,0)</f>
        <v>0</v>
      </c>
      <c r="AT194" s="88">
        <f>IFERROR(AT147*4/AT138,0)</f>
        <v>0</v>
      </c>
      <c r="AU194" s="88">
        <f>IFERROR(AU147*4/AU138,0)</f>
        <v>0</v>
      </c>
      <c r="AV194" s="88">
        <f>IFERROR(AV147*4/AV138,0)</f>
        <v>0</v>
      </c>
      <c r="AW194" s="89">
        <f>IFERROR(AW147*1/AW138,0)</f>
        <v>0</v>
      </c>
      <c r="AX194" s="88">
        <f>IFERROR(AX147*4/AX138,0)</f>
        <v>0</v>
      </c>
      <c r="AY194" s="88">
        <f>IFERROR(AY147*4/AY138,0)</f>
        <v>0</v>
      </c>
      <c r="AZ194" s="88">
        <f>IFERROR(AZ147*4/AZ138,0)</f>
        <v>0</v>
      </c>
      <c r="BA194" s="88">
        <f>IFERROR(BA147*4/BA138,0)</f>
        <v>0</v>
      </c>
      <c r="BB194" s="89">
        <f>IFERROR(BB147*1/BB138,0)</f>
        <v>0</v>
      </c>
      <c r="BC194" s="88">
        <f>IFERROR(BC147*4/BC138,0)</f>
        <v>0</v>
      </c>
      <c r="BD194" s="88">
        <f>IFERROR(BD147*4/BD138,0)</f>
        <v>0</v>
      </c>
      <c r="BE194" s="88">
        <f>IFERROR(BE147*4/BE138,0)</f>
        <v>0</v>
      </c>
      <c r="BF194" s="88">
        <f>IFERROR(BF147*4/BF138,0)</f>
        <v>0</v>
      </c>
      <c r="BG194" s="89">
        <f>IFERROR(BG147*1/BG138,0)</f>
        <v>0</v>
      </c>
    </row>
    <row r="195">
      <c r="C195" s="11" t="inlineStr">
        <is>
          <t>NIM de Markets e tesouraria (% a.a.)</t>
        </is>
      </c>
      <c r="D195" s="12" t="inlineStr">
        <is>
          <t>Markets and treasury NIM</t>
        </is>
      </c>
      <c r="E195" s="88">
        <f>IFERROR(E148*4/(E135-E138),0)</f>
        <v>0</v>
      </c>
      <c r="F195" s="88">
        <f>IFERROR(F148*4/(F135-F138),0)</f>
        <v>0</v>
      </c>
      <c r="G195" s="88">
        <f>IFERROR(G148*4/(G135-G138),0)</f>
        <v>0</v>
      </c>
      <c r="H195" s="88">
        <f>IFERROR(H148*4/(H135-H138),0)</f>
        <v>0</v>
      </c>
      <c r="I195" s="89">
        <f>IFERROR(I148*1/(I135-I138),0)</f>
        <v>0</v>
      </c>
      <c r="J195" s="88">
        <f>IFERROR(J148*4/(J135-J138),0)</f>
        <v>0</v>
      </c>
      <c r="K195" s="88">
        <f>IFERROR(K148*4/(K135-K138),0)</f>
        <v>0</v>
      </c>
      <c r="L195" s="88">
        <f>IFERROR(L148*4/(L135-L138),0)</f>
        <v>0</v>
      </c>
      <c r="M195" s="88">
        <f>IFERROR(M148*4/(M135-M138),0)</f>
        <v>0</v>
      </c>
      <c r="N195" s="89">
        <f>IFERROR(N148*1/(N135-N138),0)</f>
        <v>0</v>
      </c>
      <c r="O195" s="88">
        <f>IFERROR(O148*4/(O135-O138),0)</f>
        <v>0</v>
      </c>
      <c r="P195" s="88">
        <f>IFERROR(P148*4/(P135-P138),0)</f>
        <v>0</v>
      </c>
      <c r="Q195" s="88">
        <f>IFERROR(Q148*4/(Q135-Q138),0)</f>
        <v>0</v>
      </c>
      <c r="R195" s="88">
        <f>IFERROR(R148*4/(R135-R138),0)</f>
        <v>0</v>
      </c>
      <c r="S195" s="89">
        <f>IFERROR(S148*1/(S135-S138),0)</f>
        <v>0</v>
      </c>
      <c r="T195" s="88">
        <f>IFERROR(T148*4/(T135-T138),0)</f>
        <v>0</v>
      </c>
      <c r="U195" s="88">
        <f>IFERROR(U148*4/(U135-U138),0)</f>
        <v>0</v>
      </c>
      <c r="V195" s="88">
        <f>IFERROR(V148*4/(V135-V138),0)</f>
        <v>0</v>
      </c>
      <c r="W195" s="88">
        <f>IFERROR(W148*4/(W135-W138),0)</f>
        <v>0</v>
      </c>
      <c r="X195" s="89">
        <f>IFERROR(X148*1/(X135-X138),0)</f>
        <v>0</v>
      </c>
      <c r="Y195" s="88">
        <f>IFERROR(Y148*4/(Y135-Y138),0)</f>
        <v>0</v>
      </c>
      <c r="Z195" s="88">
        <f>IFERROR(Z148*4/(Z135-Z138),0)</f>
        <v>0</v>
      </c>
      <c r="AA195" s="88">
        <f>IFERROR(AA148*4/(AA135-AA138),0)</f>
        <v>0</v>
      </c>
      <c r="AB195" s="88">
        <f>IFERROR(AB148*4/(AB135-AB138),0)</f>
        <v>0</v>
      </c>
      <c r="AC195" s="89">
        <f>IFERROR(AC148*1/(AC135-AC138),0)</f>
        <v>0</v>
      </c>
      <c r="AD195" s="88">
        <f>IFERROR(AD148*4/(AD135-AD138),0)</f>
        <v>0</v>
      </c>
      <c r="AE195" s="88">
        <f>IFERROR(AE148*4/(AE135-AE138),0)</f>
        <v>0</v>
      </c>
      <c r="AF195" s="88">
        <f>IFERROR(AF148*4/(AF135-AF138),0)</f>
        <v>0</v>
      </c>
      <c r="AG195" s="88">
        <f>IFERROR(AG148*4/(AG135-AG138),0)</f>
        <v>0</v>
      </c>
      <c r="AH195" s="89">
        <f>IFERROR(AH148*1/(AH135-AH138),0)</f>
        <v>0</v>
      </c>
      <c r="AI195" s="88">
        <f>IFERROR(AI148*4/(AI135-AI138),0)</f>
        <v>0</v>
      </c>
      <c r="AJ195" s="88">
        <f>IFERROR(AJ148*4/(AJ135-AJ138),0)</f>
        <v>0</v>
      </c>
      <c r="AK195" s="88">
        <f>IFERROR(AK148*4/(AK135-AK138),0)</f>
        <v>0</v>
      </c>
      <c r="AL195" s="88">
        <f>IFERROR(AL148*4/(AL135-AL138),0)</f>
        <v>0</v>
      </c>
      <c r="AM195" s="89">
        <f>IFERROR(AM148*1/(AM135-AM138),0)</f>
        <v>0</v>
      </c>
      <c r="AN195" s="88">
        <f>IFERROR(AN148*4/(AN135-AN138),0)</f>
        <v>0</v>
      </c>
      <c r="AO195" s="88">
        <f>IFERROR(AO148*4/(AO135-AO138),0)</f>
        <v>0</v>
      </c>
      <c r="AP195" s="88">
        <f>IFERROR(AP148*4/(AP135-AP138),0)</f>
        <v>0</v>
      </c>
      <c r="AQ195" s="88">
        <f>IFERROR(AQ148*4/(AQ135-AQ138),0)</f>
        <v>0</v>
      </c>
      <c r="AR195" s="89">
        <f>IFERROR(AR148*1/(AR135-AR138),0)</f>
        <v>0</v>
      </c>
      <c r="AS195" s="88">
        <f>IFERROR(AS148*4/(AS135-AS138),0)</f>
        <v>0</v>
      </c>
      <c r="AT195" s="88">
        <f>IFERROR(AT148*4/(AT135-AT138),0)</f>
        <v>0</v>
      </c>
      <c r="AU195" s="88">
        <f>IFERROR(AU148*4/(AU135-AU138),0)</f>
        <v>0</v>
      </c>
      <c r="AV195" s="88">
        <f>IFERROR(AV148*4/(AV135-AV138),0)</f>
        <v>0</v>
      </c>
      <c r="AW195" s="89">
        <f>IFERROR(AW148*1/(AW135-AW138),0)</f>
        <v>0</v>
      </c>
      <c r="AX195" s="88">
        <f>IFERROR(AX148*4/(AX135-AX138),0)</f>
        <v>0</v>
      </c>
      <c r="AY195" s="88">
        <f>IFERROR(AY148*4/(AY135-AY138),0)</f>
        <v>0</v>
      </c>
      <c r="AZ195" s="88">
        <f>IFERROR(AZ148*4/(AZ135-AZ138),0)</f>
        <v>0</v>
      </c>
      <c r="BA195" s="88">
        <f>IFERROR(BA148*4/(BA135-BA138),0)</f>
        <v>0</v>
      </c>
      <c r="BB195" s="89">
        <f>IFERROR(BB148*1/(BB135-BB138),0)</f>
        <v>0</v>
      </c>
      <c r="BC195" s="88">
        <f>IFERROR(BC148*4/(BC135-BC138),0)</f>
        <v>0</v>
      </c>
      <c r="BD195" s="88">
        <f>IFERROR(BD148*4/(BD135-BD138),0)</f>
        <v>0</v>
      </c>
      <c r="BE195" s="88">
        <f>IFERROR(BE148*4/(BE135-BE138),0)</f>
        <v>0</v>
      </c>
      <c r="BF195" s="88">
        <f>IFERROR(BF148*4/(BF135-BF138),0)</f>
        <v>0</v>
      </c>
      <c r="BG195" s="89">
        <f>IFERROR(BG148*1/(BG135-BG138),0)</f>
        <v>0</v>
      </c>
    </row>
    <row r="196">
      <c r="C196" s="11" t="inlineStr">
        <is>
          <t>Custo médio do funding (% a.a.)</t>
        </is>
      </c>
      <c r="D196" s="12" t="inlineStr">
        <is>
          <t>Average cost of funding</t>
        </is>
      </c>
      <c r="E196" s="88">
        <f>IFERROR(-E98*4/E137,0)</f>
        <v>0</v>
      </c>
      <c r="F196" s="88">
        <f>IFERROR(-F98*4/F137,0)</f>
        <v>0</v>
      </c>
      <c r="G196" s="88">
        <f>IFERROR(-G98*4/G137,0)</f>
        <v>0</v>
      </c>
      <c r="H196" s="88">
        <f>IFERROR(-H98*4/H137,0)</f>
        <v>0</v>
      </c>
      <c r="I196" s="89">
        <f>IFERROR(-I98*1/I137,0)</f>
        <v>0</v>
      </c>
      <c r="J196" s="88">
        <f>IFERROR(-J98*4/J137,0)</f>
        <v>0</v>
      </c>
      <c r="K196" s="88">
        <f>IFERROR(-K98*4/K137,0)</f>
        <v>0</v>
      </c>
      <c r="L196" s="88">
        <f>IFERROR(-L98*4/L137,0)</f>
        <v>0</v>
      </c>
      <c r="M196" s="88">
        <f>IFERROR(-M98*4/M137,0)</f>
        <v>0</v>
      </c>
      <c r="N196" s="89">
        <f>IFERROR(-N98*1/N137,0)</f>
        <v>0</v>
      </c>
      <c r="O196" s="88">
        <f>IFERROR(-O98*4/O137,0)</f>
        <v>0</v>
      </c>
      <c r="P196" s="88">
        <f>IFERROR(-P98*4/P137,0)</f>
        <v>0</v>
      </c>
      <c r="Q196" s="88">
        <f>IFERROR(-Q98*4/Q137,0)</f>
        <v>0</v>
      </c>
      <c r="R196" s="88">
        <f>IFERROR(-R98*4/R137,0)</f>
        <v>0</v>
      </c>
      <c r="S196" s="89">
        <f>IFERROR(-S98*1/S137,0)</f>
        <v>0</v>
      </c>
      <c r="T196" s="88">
        <f>IFERROR(-T98*4/T137,0)</f>
        <v>0</v>
      </c>
      <c r="U196" s="88">
        <f>IFERROR(-U98*4/U137,0)</f>
        <v>0</v>
      </c>
      <c r="V196" s="88">
        <f>IFERROR(-V98*4/V137,0)</f>
        <v>0</v>
      </c>
      <c r="W196" s="88">
        <f>IFERROR(-W98*4/W137,0)</f>
        <v>0</v>
      </c>
      <c r="X196" s="89">
        <f>IFERROR(-X98*1/X137,0)</f>
        <v>0</v>
      </c>
      <c r="Y196" s="88">
        <f>IFERROR(-Y98*4/Y137,0)</f>
        <v>0</v>
      </c>
      <c r="Z196" s="88">
        <f>IFERROR(-Z98*4/Z137,0)</f>
        <v>0</v>
      </c>
      <c r="AA196" s="88">
        <f>IFERROR(-AA98*4/AA137,0)</f>
        <v>0</v>
      </c>
      <c r="AB196" s="88">
        <f>IFERROR(-AB98*4/AB137,0)</f>
        <v>0</v>
      </c>
      <c r="AC196" s="89">
        <f>IFERROR(-AC98*1/AC137,0)</f>
        <v>0</v>
      </c>
      <c r="AD196" s="88">
        <f>IFERROR(-AD98*4/AD137,0)</f>
        <v>0</v>
      </c>
      <c r="AE196" s="88">
        <f>IFERROR(-AE98*4/AE137,0)</f>
        <v>0</v>
      </c>
      <c r="AF196" s="88">
        <f>IFERROR(-AF98*4/AF137,0)</f>
        <v>0</v>
      </c>
      <c r="AG196" s="88">
        <f>IFERROR(-AG98*4/AG137,0)</f>
        <v>0</v>
      </c>
      <c r="AH196" s="89">
        <f>IFERROR(-AH98*1/AH137,0)</f>
        <v>0</v>
      </c>
      <c r="AI196" s="88">
        <f>IFERROR(-AI98*4/AI137,0)</f>
        <v>0</v>
      </c>
      <c r="AJ196" s="88">
        <f>IFERROR(-AJ98*4/AJ137,0)</f>
        <v>0</v>
      </c>
      <c r="AK196" s="88">
        <f>IFERROR(-AK98*4/AK137,0)</f>
        <v>0</v>
      </c>
      <c r="AL196" s="88">
        <f>IFERROR(-AL98*4/AL137,0)</f>
        <v>0</v>
      </c>
      <c r="AM196" s="89">
        <f>IFERROR(-AM98*1/AM137,0)</f>
        <v>0</v>
      </c>
      <c r="AN196" s="88">
        <f>IFERROR(-AN98*4/AN137,0)</f>
        <v>0</v>
      </c>
      <c r="AO196" s="88">
        <f>IFERROR(-AO98*4/AO137,0)</f>
        <v>0</v>
      </c>
      <c r="AP196" s="88">
        <f>IFERROR(-AP98*4/AP137,0)</f>
        <v>0</v>
      </c>
      <c r="AQ196" s="88">
        <f>IFERROR(-AQ98*4/AQ137,0)</f>
        <v>0</v>
      </c>
      <c r="AR196" s="89">
        <f>IFERROR(-AR98*1/AR137,0)</f>
        <v>0</v>
      </c>
      <c r="AS196" s="88">
        <f>IFERROR(-AS98*4/AS137,0)</f>
        <v>0</v>
      </c>
      <c r="AT196" s="88">
        <f>IFERROR(-AT98*4/AT137,0)</f>
        <v>0</v>
      </c>
      <c r="AU196" s="88">
        <f>IFERROR(-AU98*4/AU137,0)</f>
        <v>0</v>
      </c>
      <c r="AV196" s="88">
        <f>IFERROR(-AV98*4/AV137,0)</f>
        <v>0</v>
      </c>
      <c r="AW196" s="89">
        <f>IFERROR(-AW98*1/AW137,0)</f>
        <v>0</v>
      </c>
      <c r="AX196" s="88">
        <f>IFERROR(-AX98*4/AX137,0)</f>
        <v>0</v>
      </c>
      <c r="AY196" s="88">
        <f>IFERROR(-AY98*4/AY137,0)</f>
        <v>0</v>
      </c>
      <c r="AZ196" s="88">
        <f>IFERROR(-AZ98*4/AZ137,0)</f>
        <v>0</v>
      </c>
      <c r="BA196" s="88">
        <f>IFERROR(-BA98*4/BA137,0)</f>
        <v>0</v>
      </c>
      <c r="BB196" s="89">
        <f>IFERROR(-BB98*1/BB137,0)</f>
        <v>0</v>
      </c>
      <c r="BC196" s="88">
        <f>IFERROR(-BC98*4/BC137,0)</f>
        <v>0</v>
      </c>
      <c r="BD196" s="88">
        <f>IFERROR(-BD98*4/BD137,0)</f>
        <v>0</v>
      </c>
      <c r="BE196" s="88">
        <f>IFERROR(-BE98*4/BE137,0)</f>
        <v>0</v>
      </c>
      <c r="BF196" s="88">
        <f>IFERROR(-BF98*4/BF137,0)</f>
        <v>0</v>
      </c>
      <c r="BG196" s="89">
        <f>IFERROR(-BG98*1/BG137,0)</f>
        <v>0</v>
      </c>
    </row>
    <row r="197">
      <c r="C197" s="11" t="inlineStr">
        <is>
          <t>Spread bruto (p.p.)</t>
        </is>
      </c>
      <c r="D197" s="12" t="inlineStr">
        <is>
          <t>Gross spread</t>
        </is>
      </c>
      <c r="E197" s="88">
        <f>IFERROR(E194-E196,0)</f>
        <v>0</v>
      </c>
      <c r="F197" s="88">
        <f>IFERROR(F194-F196,0)</f>
        <v>0</v>
      </c>
      <c r="G197" s="88">
        <f>IFERROR(G194-G196,0)</f>
        <v>0</v>
      </c>
      <c r="H197" s="88">
        <f>IFERROR(H194-H196,0)</f>
        <v>0</v>
      </c>
      <c r="I197" s="89">
        <f>IFERROR(I194-I196,0)</f>
        <v>0</v>
      </c>
      <c r="J197" s="88">
        <f>IFERROR(J194-J196,0)</f>
        <v>0</v>
      </c>
      <c r="K197" s="88">
        <f>IFERROR(K194-K196,0)</f>
        <v>0</v>
      </c>
      <c r="L197" s="88">
        <f>IFERROR(L194-L196,0)</f>
        <v>0</v>
      </c>
      <c r="M197" s="88">
        <f>IFERROR(M194-M196,0)</f>
        <v>0</v>
      </c>
      <c r="N197" s="89">
        <f>IFERROR(N194-N196,0)</f>
        <v>0</v>
      </c>
      <c r="O197" s="88">
        <f>IFERROR(O194-O196,0)</f>
        <v>0</v>
      </c>
      <c r="P197" s="88">
        <f>IFERROR(P194-P196,0)</f>
        <v>0</v>
      </c>
      <c r="Q197" s="88">
        <f>IFERROR(Q194-Q196,0)</f>
        <v>0</v>
      </c>
      <c r="R197" s="88">
        <f>IFERROR(R194-R196,0)</f>
        <v>0</v>
      </c>
      <c r="S197" s="89">
        <f>IFERROR(S194-S196,0)</f>
        <v>0</v>
      </c>
      <c r="T197" s="88">
        <f>IFERROR(T194-T196,0)</f>
        <v>0</v>
      </c>
      <c r="U197" s="88">
        <f>IFERROR(U194-U196,0)</f>
        <v>0</v>
      </c>
      <c r="V197" s="88">
        <f>IFERROR(V194-V196,0)</f>
        <v>0</v>
      </c>
      <c r="W197" s="88">
        <f>IFERROR(W194-W196,0)</f>
        <v>0</v>
      </c>
      <c r="X197" s="89">
        <f>IFERROR(X194-X196,0)</f>
        <v>0</v>
      </c>
      <c r="Y197" s="88">
        <f>IFERROR(Y194-Y196,0)</f>
        <v>0</v>
      </c>
      <c r="Z197" s="88">
        <f>IFERROR(Z194-Z196,0)</f>
        <v>0</v>
      </c>
      <c r="AA197" s="88">
        <f>IFERROR(AA194-AA196,0)</f>
        <v>0</v>
      </c>
      <c r="AB197" s="88">
        <f>IFERROR(AB194-AB196,0)</f>
        <v>0</v>
      </c>
      <c r="AC197" s="89">
        <f>IFERROR(AC194-AC196,0)</f>
        <v>0</v>
      </c>
      <c r="AD197" s="88">
        <f>IFERROR(AD194-AD196,0)</f>
        <v>0</v>
      </c>
      <c r="AE197" s="88">
        <f>IFERROR(AE194-AE196,0)</f>
        <v>0</v>
      </c>
      <c r="AF197" s="88">
        <f>IFERROR(AF194-AF196,0)</f>
        <v>0</v>
      </c>
      <c r="AG197" s="88">
        <f>IFERROR(AG194-AG196,0)</f>
        <v>0</v>
      </c>
      <c r="AH197" s="89">
        <f>IFERROR(AH194-AH196,0)</f>
        <v>0</v>
      </c>
      <c r="AI197" s="88">
        <f>IFERROR(AI194-AI196,0)</f>
        <v>0</v>
      </c>
      <c r="AJ197" s="88">
        <f>IFERROR(AJ194-AJ196,0)</f>
        <v>0</v>
      </c>
      <c r="AK197" s="88">
        <f>IFERROR(AK194-AK196,0)</f>
        <v>0</v>
      </c>
      <c r="AL197" s="88">
        <f>IFERROR(AL194-AL196,0)</f>
        <v>0</v>
      </c>
      <c r="AM197" s="89">
        <f>IFERROR(AM194-AM196,0)</f>
        <v>0</v>
      </c>
      <c r="AN197" s="88">
        <f>IFERROR(AN194-AN196,0)</f>
        <v>0</v>
      </c>
      <c r="AO197" s="88">
        <f>IFERROR(AO194-AO196,0)</f>
        <v>0</v>
      </c>
      <c r="AP197" s="88">
        <f>IFERROR(AP194-AP196,0)</f>
        <v>0</v>
      </c>
      <c r="AQ197" s="88">
        <f>IFERROR(AQ194-AQ196,0)</f>
        <v>0</v>
      </c>
      <c r="AR197" s="89">
        <f>IFERROR(AR194-AR196,0)</f>
        <v>0</v>
      </c>
      <c r="AS197" s="88">
        <f>IFERROR(AS194-AS196,0)</f>
        <v>0</v>
      </c>
      <c r="AT197" s="88">
        <f>IFERROR(AT194-AT196,0)</f>
        <v>0</v>
      </c>
      <c r="AU197" s="88">
        <f>IFERROR(AU194-AU196,0)</f>
        <v>0</v>
      </c>
      <c r="AV197" s="88">
        <f>IFERROR(AV194-AV196,0)</f>
        <v>0</v>
      </c>
      <c r="AW197" s="89">
        <f>IFERROR(AW194-AW196,0)</f>
        <v>0</v>
      </c>
      <c r="AX197" s="88">
        <f>IFERROR(AX194-AX196,0)</f>
        <v>0</v>
      </c>
      <c r="AY197" s="88">
        <f>IFERROR(AY194-AY196,0)</f>
        <v>0</v>
      </c>
      <c r="AZ197" s="88">
        <f>IFERROR(AZ194-AZ196,0)</f>
        <v>0</v>
      </c>
      <c r="BA197" s="88">
        <f>IFERROR(BA194-BA196,0)</f>
        <v>0</v>
      </c>
      <c r="BB197" s="89">
        <f>IFERROR(BB194-BB196,0)</f>
        <v>0</v>
      </c>
      <c r="BC197" s="88">
        <f>IFERROR(BC194-BC196,0)</f>
        <v>0</v>
      </c>
      <c r="BD197" s="88">
        <f>IFERROR(BD194-BD196,0)</f>
        <v>0</v>
      </c>
      <c r="BE197" s="88">
        <f>IFERROR(BE194-BE196,0)</f>
        <v>0</v>
      </c>
      <c r="BF197" s="88">
        <f>IFERROR(BF194-BF196,0)</f>
        <v>0</v>
      </c>
      <c r="BG197" s="89">
        <f>IFERROR(BG194-BG196,0)</f>
        <v>0</v>
      </c>
    </row>
    <row r="198">
      <c r="B198" s="29" t="n"/>
      <c r="C198" s="29" t="inlineStr">
        <is>
          <t>Eficiência</t>
        </is>
      </c>
      <c r="D198" s="29" t="inlineStr">
        <is>
          <t>Efficiency</t>
        </is>
      </c>
      <c r="E198" s="29" t="n"/>
      <c r="F198" s="29" t="n"/>
      <c r="G198" s="29" t="n"/>
      <c r="H198" s="29" t="n"/>
      <c r="I198" s="29" t="n"/>
      <c r="J198" s="29" t="n"/>
      <c r="K198" s="29" t="n"/>
      <c r="L198" s="29" t="n"/>
      <c r="M198" s="29" t="n"/>
      <c r="N198" s="29" t="n"/>
      <c r="O198" s="29" t="n"/>
      <c r="P198" s="29" t="n"/>
      <c r="Q198" s="29" t="n"/>
      <c r="R198" s="29" t="n"/>
      <c r="S198" s="29" t="n"/>
      <c r="T198" s="29" t="n"/>
      <c r="U198" s="29" t="n"/>
      <c r="V198" s="29" t="n"/>
      <c r="W198" s="29" t="n"/>
      <c r="X198" s="29" t="n"/>
      <c r="Y198" s="29" t="n"/>
      <c r="Z198" s="29" t="n"/>
      <c r="AA198" s="29" t="n"/>
      <c r="AB198" s="29" t="n"/>
      <c r="AC198" s="29" t="n"/>
      <c r="AD198" s="29" t="n"/>
      <c r="AE198" s="29" t="n"/>
      <c r="AF198" s="29" t="n"/>
      <c r="AG198" s="29" t="n"/>
      <c r="AH198" s="29" t="n"/>
      <c r="AI198" s="29" t="n"/>
      <c r="AJ198" s="29" t="n"/>
      <c r="AK198" s="29" t="n"/>
      <c r="AL198" s="29" t="n"/>
      <c r="AM198" s="29" t="n"/>
      <c r="AN198" s="29" t="n"/>
      <c r="AO198" s="29" t="n"/>
      <c r="AP198" s="29" t="n"/>
      <c r="AQ198" s="29" t="n"/>
      <c r="AR198" s="29" t="n"/>
      <c r="AS198" s="29" t="n"/>
      <c r="AT198" s="29" t="n"/>
      <c r="AU198" s="29" t="n"/>
      <c r="AV198" s="29" t="n"/>
      <c r="AW198" s="29" t="n"/>
      <c r="AX198" s="29" t="n"/>
      <c r="AY198" s="29" t="n"/>
      <c r="AZ198" s="29" t="n"/>
      <c r="BA198" s="29" t="n"/>
      <c r="BB198" s="29" t="n"/>
      <c r="BC198" s="29" t="n"/>
      <c r="BD198" s="29" t="n"/>
      <c r="BE198" s="29" t="n"/>
      <c r="BF198" s="29" t="n"/>
      <c r="BG198" s="29" t="n"/>
      <c r="BH198" s="29" t="n"/>
      <c r="BI198" s="29" t="n"/>
    </row>
    <row r="199">
      <c r="C199" s="11" t="inlineStr">
        <is>
          <t>Índice de eficiência (overhead ratio)</t>
        </is>
      </c>
      <c r="D199" s="12" t="inlineStr">
        <is>
          <t>Overhead ratio</t>
        </is>
      </c>
      <c r="E199" s="88">
        <f>IFERROR(E150/E149,0)</f>
        <v>0</v>
      </c>
      <c r="F199" s="88">
        <f>IFERROR(F150/F149,0)</f>
        <v>0</v>
      </c>
      <c r="G199" s="88">
        <f>IFERROR(G150/G149,0)</f>
        <v>0</v>
      </c>
      <c r="H199" s="88">
        <f>IFERROR(H150/H149,0)</f>
        <v>0</v>
      </c>
      <c r="I199" s="89">
        <f>IFERROR(I150/I149,0)</f>
        <v>0</v>
      </c>
      <c r="J199" s="88">
        <f>IFERROR(J150/J149,0)</f>
        <v>0</v>
      </c>
      <c r="K199" s="88">
        <f>IFERROR(K150/K149,0)</f>
        <v>0</v>
      </c>
      <c r="L199" s="88">
        <f>IFERROR(L150/L149,0)</f>
        <v>0</v>
      </c>
      <c r="M199" s="88">
        <f>IFERROR(M150/M149,0)</f>
        <v>0</v>
      </c>
      <c r="N199" s="89">
        <f>IFERROR(N150/N149,0)</f>
        <v>0</v>
      </c>
      <c r="O199" s="88">
        <f>IFERROR(O150/O149,0)</f>
        <v>0</v>
      </c>
      <c r="P199" s="88">
        <f>IFERROR(P150/P149,0)</f>
        <v>0</v>
      </c>
      <c r="Q199" s="88">
        <f>IFERROR(Q150/Q149,0)</f>
        <v>0</v>
      </c>
      <c r="R199" s="88">
        <f>IFERROR(R150/R149,0)</f>
        <v>0</v>
      </c>
      <c r="S199" s="89">
        <f>IFERROR(S150/S149,0)</f>
        <v>0</v>
      </c>
      <c r="T199" s="88">
        <f>IFERROR(T150/T149,0)</f>
        <v>0</v>
      </c>
      <c r="U199" s="88">
        <f>IFERROR(U150/U149,0)</f>
        <v>0</v>
      </c>
      <c r="V199" s="88">
        <f>IFERROR(V150/V149,0)</f>
        <v>0</v>
      </c>
      <c r="W199" s="88">
        <f>IFERROR(W150/W149,0)</f>
        <v>0</v>
      </c>
      <c r="X199" s="89">
        <f>IFERROR(X150/X149,0)</f>
        <v>0</v>
      </c>
      <c r="Y199" s="88">
        <f>IFERROR(Y150/Y149,0)</f>
        <v>0</v>
      </c>
      <c r="Z199" s="88">
        <f>IFERROR(Z150/Z149,0)</f>
        <v>0</v>
      </c>
      <c r="AA199" s="88">
        <f>IFERROR(AA150/AA149,0)</f>
        <v>0</v>
      </c>
      <c r="AB199" s="88">
        <f>IFERROR(AB150/AB149,0)</f>
        <v>0</v>
      </c>
      <c r="AC199" s="89">
        <f>IFERROR(AC150/AC149,0)</f>
        <v>0</v>
      </c>
      <c r="AD199" s="88">
        <f>IFERROR(AD150/AD149,0)</f>
        <v>0</v>
      </c>
      <c r="AE199" s="88">
        <f>IFERROR(AE150/AE149,0)</f>
        <v>0</v>
      </c>
      <c r="AF199" s="88">
        <f>IFERROR(AF150/AF149,0)</f>
        <v>0</v>
      </c>
      <c r="AG199" s="88">
        <f>IFERROR(AG150/AG149,0)</f>
        <v>0</v>
      </c>
      <c r="AH199" s="89">
        <f>IFERROR(AH150/AH149,0)</f>
        <v>0</v>
      </c>
      <c r="AI199" s="88">
        <f>IFERROR(AI150/AI149,0)</f>
        <v>0</v>
      </c>
      <c r="AJ199" s="88">
        <f>IFERROR(AJ150/AJ149,0)</f>
        <v>0</v>
      </c>
      <c r="AK199" s="88">
        <f>IFERROR(AK150/AK149,0)</f>
        <v>0</v>
      </c>
      <c r="AL199" s="88">
        <f>IFERROR(AL150/AL149,0)</f>
        <v>0</v>
      </c>
      <c r="AM199" s="89">
        <f>IFERROR(AM150/AM149,0)</f>
        <v>0</v>
      </c>
      <c r="AN199" s="88">
        <f>IFERROR(AN150/AN149,0)</f>
        <v>0</v>
      </c>
      <c r="AO199" s="88">
        <f>IFERROR(AO150/AO149,0)</f>
        <v>0</v>
      </c>
      <c r="AP199" s="88">
        <f>IFERROR(AP150/AP149,0)</f>
        <v>0</v>
      </c>
      <c r="AQ199" s="88">
        <f>IFERROR(AQ150/AQ149,0)</f>
        <v>0</v>
      </c>
      <c r="AR199" s="89">
        <f>IFERROR(AR150/AR149,0)</f>
        <v>0</v>
      </c>
      <c r="AS199" s="88">
        <f>IFERROR(AS150/AS149,0)</f>
        <v>0</v>
      </c>
      <c r="AT199" s="88">
        <f>IFERROR(AT150/AT149,0)</f>
        <v>0</v>
      </c>
      <c r="AU199" s="88">
        <f>IFERROR(AU150/AU149,0)</f>
        <v>0</v>
      </c>
      <c r="AV199" s="88">
        <f>IFERROR(AV150/AV149,0)</f>
        <v>0</v>
      </c>
      <c r="AW199" s="89">
        <f>IFERROR(AW150/AW149,0)</f>
        <v>0</v>
      </c>
      <c r="AX199" s="88">
        <f>IFERROR(AX150/AX149,0)</f>
        <v>0</v>
      </c>
      <c r="AY199" s="88">
        <f>IFERROR(AY150/AY149,0)</f>
        <v>0</v>
      </c>
      <c r="AZ199" s="88">
        <f>IFERROR(AZ150/AZ149,0)</f>
        <v>0</v>
      </c>
      <c r="BA199" s="88">
        <f>IFERROR(BA150/BA149,0)</f>
        <v>0</v>
      </c>
      <c r="BB199" s="89">
        <f>IFERROR(BB150/BB149,0)</f>
        <v>0</v>
      </c>
      <c r="BC199" s="88">
        <f>IFERROR(BC150/BC149,0)</f>
        <v>0</v>
      </c>
      <c r="BD199" s="88">
        <f>IFERROR(BD150/BD149,0)</f>
        <v>0</v>
      </c>
      <c r="BE199" s="88">
        <f>IFERROR(BE150/BE149,0)</f>
        <v>0</v>
      </c>
      <c r="BF199" s="88">
        <f>IFERROR(BF150/BF149,0)</f>
        <v>0</v>
      </c>
      <c r="BG199" s="89">
        <f>IFERROR(BG150/BG149,0)</f>
        <v>0</v>
      </c>
      <c r="BI199" s="14" t="inlineStr">
        <is>
          <t>Despesas de pessoal + administrativas + tributárias + outras despesas operacionais sobre a receita operacional total. Quanto menor, melhor.</t>
        </is>
      </c>
    </row>
    <row r="200">
      <c r="C200" s="11" t="inlineStr">
        <is>
          <t>Remuneração / receita líquida</t>
        </is>
      </c>
      <c r="D200" s="12" t="inlineStr">
        <is>
          <t>Compensation over revenue</t>
        </is>
      </c>
      <c r="E200" s="88">
        <f>IFERROR(-E111/E149,0)</f>
        <v>0</v>
      </c>
      <c r="F200" s="88">
        <f>IFERROR(-F111/F149,0)</f>
        <v>0</v>
      </c>
      <c r="G200" s="88">
        <f>IFERROR(-G111/G149,0)</f>
        <v>0</v>
      </c>
      <c r="H200" s="88">
        <f>IFERROR(-H111/H149,0)</f>
        <v>0</v>
      </c>
      <c r="I200" s="89">
        <f>IFERROR(-I111/I149,0)</f>
        <v>0</v>
      </c>
      <c r="J200" s="88">
        <f>IFERROR(-J111/J149,0)</f>
        <v>0</v>
      </c>
      <c r="K200" s="88">
        <f>IFERROR(-K111/K149,0)</f>
        <v>0</v>
      </c>
      <c r="L200" s="88">
        <f>IFERROR(-L111/L149,0)</f>
        <v>0</v>
      </c>
      <c r="M200" s="88">
        <f>IFERROR(-M111/M149,0)</f>
        <v>0</v>
      </c>
      <c r="N200" s="89">
        <f>IFERROR(-N111/N149,0)</f>
        <v>0</v>
      </c>
      <c r="O200" s="88">
        <f>IFERROR(-O111/O149,0)</f>
        <v>0</v>
      </c>
      <c r="P200" s="88">
        <f>IFERROR(-P111/P149,0)</f>
        <v>0</v>
      </c>
      <c r="Q200" s="88">
        <f>IFERROR(-Q111/Q149,0)</f>
        <v>0</v>
      </c>
      <c r="R200" s="88">
        <f>IFERROR(-R111/R149,0)</f>
        <v>0</v>
      </c>
      <c r="S200" s="89">
        <f>IFERROR(-S111/S149,0)</f>
        <v>0</v>
      </c>
      <c r="T200" s="88">
        <f>IFERROR(-T111/T149,0)</f>
        <v>0</v>
      </c>
      <c r="U200" s="88">
        <f>IFERROR(-U111/U149,0)</f>
        <v>0</v>
      </c>
      <c r="V200" s="88">
        <f>IFERROR(-V111/V149,0)</f>
        <v>0</v>
      </c>
      <c r="W200" s="88">
        <f>IFERROR(-W111/W149,0)</f>
        <v>0</v>
      </c>
      <c r="X200" s="89">
        <f>IFERROR(-X111/X149,0)</f>
        <v>0</v>
      </c>
      <c r="Y200" s="88">
        <f>IFERROR(-Y111/Y149,0)</f>
        <v>0</v>
      </c>
      <c r="Z200" s="88">
        <f>IFERROR(-Z111/Z149,0)</f>
        <v>0</v>
      </c>
      <c r="AA200" s="88">
        <f>IFERROR(-AA111/AA149,0)</f>
        <v>0</v>
      </c>
      <c r="AB200" s="88">
        <f>IFERROR(-AB111/AB149,0)</f>
        <v>0</v>
      </c>
      <c r="AC200" s="89">
        <f>IFERROR(-AC111/AC149,0)</f>
        <v>0</v>
      </c>
      <c r="AD200" s="88">
        <f>IFERROR(-AD111/AD149,0)</f>
        <v>0</v>
      </c>
      <c r="AE200" s="88">
        <f>IFERROR(-AE111/AE149,0)</f>
        <v>0</v>
      </c>
      <c r="AF200" s="88">
        <f>IFERROR(-AF111/AF149,0)</f>
        <v>0</v>
      </c>
      <c r="AG200" s="88">
        <f>IFERROR(-AG111/AG149,0)</f>
        <v>0</v>
      </c>
      <c r="AH200" s="89">
        <f>IFERROR(-AH111/AH149,0)</f>
        <v>0</v>
      </c>
      <c r="AI200" s="88">
        <f>IFERROR(-AI111/AI149,0)</f>
        <v>0</v>
      </c>
      <c r="AJ200" s="88">
        <f>IFERROR(-AJ111/AJ149,0)</f>
        <v>0</v>
      </c>
      <c r="AK200" s="88">
        <f>IFERROR(-AK111/AK149,0)</f>
        <v>0</v>
      </c>
      <c r="AL200" s="88">
        <f>IFERROR(-AL111/AL149,0)</f>
        <v>0</v>
      </c>
      <c r="AM200" s="89">
        <f>IFERROR(-AM111/AM149,0)</f>
        <v>0</v>
      </c>
      <c r="AN200" s="88">
        <f>IFERROR(-AN111/AN149,0)</f>
        <v>0</v>
      </c>
      <c r="AO200" s="88">
        <f>IFERROR(-AO111/AO149,0)</f>
        <v>0</v>
      </c>
      <c r="AP200" s="88">
        <f>IFERROR(-AP111/AP149,0)</f>
        <v>0</v>
      </c>
      <c r="AQ200" s="88">
        <f>IFERROR(-AQ111/AQ149,0)</f>
        <v>0</v>
      </c>
      <c r="AR200" s="89">
        <f>IFERROR(-AR111/AR149,0)</f>
        <v>0</v>
      </c>
      <c r="AS200" s="88">
        <f>IFERROR(-AS111/AS149,0)</f>
        <v>0</v>
      </c>
      <c r="AT200" s="88">
        <f>IFERROR(-AT111/AT149,0)</f>
        <v>0</v>
      </c>
      <c r="AU200" s="88">
        <f>IFERROR(-AU111/AU149,0)</f>
        <v>0</v>
      </c>
      <c r="AV200" s="88">
        <f>IFERROR(-AV111/AV149,0)</f>
        <v>0</v>
      </c>
      <c r="AW200" s="89">
        <f>IFERROR(-AW111/AW149,0)</f>
        <v>0</v>
      </c>
      <c r="AX200" s="88">
        <f>IFERROR(-AX111/AX149,0)</f>
        <v>0</v>
      </c>
      <c r="AY200" s="88">
        <f>IFERROR(-AY111/AY149,0)</f>
        <v>0</v>
      </c>
      <c r="AZ200" s="88">
        <f>IFERROR(-AZ111/AZ149,0)</f>
        <v>0</v>
      </c>
      <c r="BA200" s="88">
        <f>IFERROR(-BA111/BA149,0)</f>
        <v>0</v>
      </c>
      <c r="BB200" s="89">
        <f>IFERROR(-BB111/BB149,0)</f>
        <v>0</v>
      </c>
      <c r="BC200" s="88">
        <f>IFERROR(-BC111/BC149,0)</f>
        <v>0</v>
      </c>
      <c r="BD200" s="88">
        <f>IFERROR(-BD111/BD149,0)</f>
        <v>0</v>
      </c>
      <c r="BE200" s="88">
        <f>IFERROR(-BE111/BE149,0)</f>
        <v>0</v>
      </c>
      <c r="BF200" s="88">
        <f>IFERROR(-BF111/BF149,0)</f>
        <v>0</v>
      </c>
      <c r="BG200" s="89">
        <f>IFERROR(-BG111/BG149,0)</f>
        <v>0</v>
      </c>
    </row>
    <row r="201">
      <c r="C201" s="11" t="inlineStr">
        <is>
          <t>Outras despesas administrativas / receita líquida</t>
        </is>
      </c>
      <c r="D201" s="12" t="inlineStr">
        <is>
          <t>Admin over revenue</t>
        </is>
      </c>
      <c r="E201" s="88">
        <f>IFERROR(-E112/E149,0)</f>
        <v>0</v>
      </c>
      <c r="F201" s="88">
        <f>IFERROR(-F112/F149,0)</f>
        <v>0</v>
      </c>
      <c r="G201" s="88">
        <f>IFERROR(-G112/G149,0)</f>
        <v>0</v>
      </c>
      <c r="H201" s="88">
        <f>IFERROR(-H112/H149,0)</f>
        <v>0</v>
      </c>
      <c r="I201" s="89">
        <f>IFERROR(-I112/I149,0)</f>
        <v>0</v>
      </c>
      <c r="J201" s="88">
        <f>IFERROR(-J112/J149,0)</f>
        <v>0</v>
      </c>
      <c r="K201" s="88">
        <f>IFERROR(-K112/K149,0)</f>
        <v>0</v>
      </c>
      <c r="L201" s="88">
        <f>IFERROR(-L112/L149,0)</f>
        <v>0</v>
      </c>
      <c r="M201" s="88">
        <f>IFERROR(-M112/M149,0)</f>
        <v>0</v>
      </c>
      <c r="N201" s="89">
        <f>IFERROR(-N112/N149,0)</f>
        <v>0</v>
      </c>
      <c r="O201" s="88">
        <f>IFERROR(-O112/O149,0)</f>
        <v>0</v>
      </c>
      <c r="P201" s="88">
        <f>IFERROR(-P112/P149,0)</f>
        <v>0</v>
      </c>
      <c r="Q201" s="88">
        <f>IFERROR(-Q112/Q149,0)</f>
        <v>0</v>
      </c>
      <c r="R201" s="88">
        <f>IFERROR(-R112/R149,0)</f>
        <v>0</v>
      </c>
      <c r="S201" s="89">
        <f>IFERROR(-S112/S149,0)</f>
        <v>0</v>
      </c>
      <c r="T201" s="88">
        <f>IFERROR(-T112/T149,0)</f>
        <v>0</v>
      </c>
      <c r="U201" s="88">
        <f>IFERROR(-U112/U149,0)</f>
        <v>0</v>
      </c>
      <c r="V201" s="88">
        <f>IFERROR(-V112/V149,0)</f>
        <v>0</v>
      </c>
      <c r="W201" s="88">
        <f>IFERROR(-W112/W149,0)</f>
        <v>0</v>
      </c>
      <c r="X201" s="89">
        <f>IFERROR(-X112/X149,0)</f>
        <v>0</v>
      </c>
      <c r="Y201" s="88">
        <f>IFERROR(-Y112/Y149,0)</f>
        <v>0</v>
      </c>
      <c r="Z201" s="88">
        <f>IFERROR(-Z112/Z149,0)</f>
        <v>0</v>
      </c>
      <c r="AA201" s="88">
        <f>IFERROR(-AA112/AA149,0)</f>
        <v>0</v>
      </c>
      <c r="AB201" s="88">
        <f>IFERROR(-AB112/AB149,0)</f>
        <v>0</v>
      </c>
      <c r="AC201" s="89">
        <f>IFERROR(-AC112/AC149,0)</f>
        <v>0</v>
      </c>
      <c r="AD201" s="88">
        <f>IFERROR(-AD112/AD149,0)</f>
        <v>0</v>
      </c>
      <c r="AE201" s="88">
        <f>IFERROR(-AE112/AE149,0)</f>
        <v>0</v>
      </c>
      <c r="AF201" s="88">
        <f>IFERROR(-AF112/AF149,0)</f>
        <v>0</v>
      </c>
      <c r="AG201" s="88">
        <f>IFERROR(-AG112/AG149,0)</f>
        <v>0</v>
      </c>
      <c r="AH201" s="89">
        <f>IFERROR(-AH112/AH149,0)</f>
        <v>0</v>
      </c>
      <c r="AI201" s="88">
        <f>IFERROR(-AI112/AI149,0)</f>
        <v>0</v>
      </c>
      <c r="AJ201" s="88">
        <f>IFERROR(-AJ112/AJ149,0)</f>
        <v>0</v>
      </c>
      <c r="AK201" s="88">
        <f>IFERROR(-AK112/AK149,0)</f>
        <v>0</v>
      </c>
      <c r="AL201" s="88">
        <f>IFERROR(-AL112/AL149,0)</f>
        <v>0</v>
      </c>
      <c r="AM201" s="89">
        <f>IFERROR(-AM112/AM149,0)</f>
        <v>0</v>
      </c>
      <c r="AN201" s="88">
        <f>IFERROR(-AN112/AN149,0)</f>
        <v>0</v>
      </c>
      <c r="AO201" s="88">
        <f>IFERROR(-AO112/AO149,0)</f>
        <v>0</v>
      </c>
      <c r="AP201" s="88">
        <f>IFERROR(-AP112/AP149,0)</f>
        <v>0</v>
      </c>
      <c r="AQ201" s="88">
        <f>IFERROR(-AQ112/AQ149,0)</f>
        <v>0</v>
      </c>
      <c r="AR201" s="89">
        <f>IFERROR(-AR112/AR149,0)</f>
        <v>0</v>
      </c>
      <c r="AS201" s="88">
        <f>IFERROR(-AS112/AS149,0)</f>
        <v>0</v>
      </c>
      <c r="AT201" s="88">
        <f>IFERROR(-AT112/AT149,0)</f>
        <v>0</v>
      </c>
      <c r="AU201" s="88">
        <f>IFERROR(-AU112/AU149,0)</f>
        <v>0</v>
      </c>
      <c r="AV201" s="88">
        <f>IFERROR(-AV112/AV149,0)</f>
        <v>0</v>
      </c>
      <c r="AW201" s="89">
        <f>IFERROR(-AW112/AW149,0)</f>
        <v>0</v>
      </c>
      <c r="AX201" s="88">
        <f>IFERROR(-AX112/AX149,0)</f>
        <v>0</v>
      </c>
      <c r="AY201" s="88">
        <f>IFERROR(-AY112/AY149,0)</f>
        <v>0</v>
      </c>
      <c r="AZ201" s="88">
        <f>IFERROR(-AZ112/AZ149,0)</f>
        <v>0</v>
      </c>
      <c r="BA201" s="88">
        <f>IFERROR(-BA112/BA149,0)</f>
        <v>0</v>
      </c>
      <c r="BB201" s="89">
        <f>IFERROR(-BB112/BB149,0)</f>
        <v>0</v>
      </c>
      <c r="BC201" s="88">
        <f>IFERROR(-BC112/BC149,0)</f>
        <v>0</v>
      </c>
      <c r="BD201" s="88">
        <f>IFERROR(-BD112/BD149,0)</f>
        <v>0</v>
      </c>
      <c r="BE201" s="88">
        <f>IFERROR(-BE112/BE149,0)</f>
        <v>0</v>
      </c>
      <c r="BF201" s="88">
        <f>IFERROR(-BF112/BF149,0)</f>
        <v>0</v>
      </c>
      <c r="BG201" s="89">
        <f>IFERROR(-BG112/BG149,0)</f>
        <v>0</v>
      </c>
    </row>
    <row r="202">
      <c r="C202" s="11" t="inlineStr">
        <is>
          <t>Cobertura da remuneração pelas tarifas</t>
        </is>
      </c>
      <c r="D202" s="12" t="inlineStr">
        <is>
          <t>Fee coverage of compensation</t>
        </is>
      </c>
      <c r="E202" s="88">
        <f>IFERROR(E109/-E111,0)</f>
        <v>0</v>
      </c>
      <c r="F202" s="88">
        <f>IFERROR(F109/-F111,0)</f>
        <v>0</v>
      </c>
      <c r="G202" s="88">
        <f>IFERROR(G109/-G111,0)</f>
        <v>0</v>
      </c>
      <c r="H202" s="88">
        <f>IFERROR(H109/-H111,0)</f>
        <v>0</v>
      </c>
      <c r="I202" s="89">
        <f>IFERROR(I109/-I111,0)</f>
        <v>0</v>
      </c>
      <c r="J202" s="88">
        <f>IFERROR(J109/-J111,0)</f>
        <v>0</v>
      </c>
      <c r="K202" s="88">
        <f>IFERROR(K109/-K111,0)</f>
        <v>0</v>
      </c>
      <c r="L202" s="88">
        <f>IFERROR(L109/-L111,0)</f>
        <v>0</v>
      </c>
      <c r="M202" s="88">
        <f>IFERROR(M109/-M111,0)</f>
        <v>0</v>
      </c>
      <c r="N202" s="89">
        <f>IFERROR(N109/-N111,0)</f>
        <v>0</v>
      </c>
      <c r="O202" s="88">
        <f>IFERROR(O109/-O111,0)</f>
        <v>0</v>
      </c>
      <c r="P202" s="88">
        <f>IFERROR(P109/-P111,0)</f>
        <v>0</v>
      </c>
      <c r="Q202" s="88">
        <f>IFERROR(Q109/-Q111,0)</f>
        <v>0</v>
      </c>
      <c r="R202" s="88">
        <f>IFERROR(R109/-R111,0)</f>
        <v>0</v>
      </c>
      <c r="S202" s="89">
        <f>IFERROR(S109/-S111,0)</f>
        <v>0</v>
      </c>
      <c r="T202" s="88">
        <f>IFERROR(T109/-T111,0)</f>
        <v>0</v>
      </c>
      <c r="U202" s="88">
        <f>IFERROR(U109/-U111,0)</f>
        <v>0</v>
      </c>
      <c r="V202" s="88">
        <f>IFERROR(V109/-V111,0)</f>
        <v>0</v>
      </c>
      <c r="W202" s="88">
        <f>IFERROR(W109/-W111,0)</f>
        <v>0</v>
      </c>
      <c r="X202" s="89">
        <f>IFERROR(X109/-X111,0)</f>
        <v>0</v>
      </c>
      <c r="Y202" s="88">
        <f>IFERROR(Y109/-Y111,0)</f>
        <v>0</v>
      </c>
      <c r="Z202" s="88">
        <f>IFERROR(Z109/-Z111,0)</f>
        <v>0</v>
      </c>
      <c r="AA202" s="88">
        <f>IFERROR(AA109/-AA111,0)</f>
        <v>0</v>
      </c>
      <c r="AB202" s="88">
        <f>IFERROR(AB109/-AB111,0)</f>
        <v>0</v>
      </c>
      <c r="AC202" s="89">
        <f>IFERROR(AC109/-AC111,0)</f>
        <v>0</v>
      </c>
      <c r="AD202" s="88">
        <f>IFERROR(AD109/-AD111,0)</f>
        <v>0</v>
      </c>
      <c r="AE202" s="88">
        <f>IFERROR(AE109/-AE111,0)</f>
        <v>0</v>
      </c>
      <c r="AF202" s="88">
        <f>IFERROR(AF109/-AF111,0)</f>
        <v>0</v>
      </c>
      <c r="AG202" s="88">
        <f>IFERROR(AG109/-AG111,0)</f>
        <v>0</v>
      </c>
      <c r="AH202" s="89">
        <f>IFERROR(AH109/-AH111,0)</f>
        <v>0</v>
      </c>
      <c r="AI202" s="88">
        <f>IFERROR(AI109/-AI111,0)</f>
        <v>0</v>
      </c>
      <c r="AJ202" s="88">
        <f>IFERROR(AJ109/-AJ111,0)</f>
        <v>0</v>
      </c>
      <c r="AK202" s="88">
        <f>IFERROR(AK109/-AK111,0)</f>
        <v>0</v>
      </c>
      <c r="AL202" s="88">
        <f>IFERROR(AL109/-AL111,0)</f>
        <v>0</v>
      </c>
      <c r="AM202" s="89">
        <f>IFERROR(AM109/-AM111,0)</f>
        <v>0</v>
      </c>
      <c r="AN202" s="88">
        <f>IFERROR(AN109/-AN111,0)</f>
        <v>0</v>
      </c>
      <c r="AO202" s="88">
        <f>IFERROR(AO109/-AO111,0)</f>
        <v>0</v>
      </c>
      <c r="AP202" s="88">
        <f>IFERROR(AP109/-AP111,0)</f>
        <v>0</v>
      </c>
      <c r="AQ202" s="88">
        <f>IFERROR(AQ109/-AQ111,0)</f>
        <v>0</v>
      </c>
      <c r="AR202" s="89">
        <f>IFERROR(AR109/-AR111,0)</f>
        <v>0</v>
      </c>
      <c r="AS202" s="88">
        <f>IFERROR(AS109/-AS111,0)</f>
        <v>0</v>
      </c>
      <c r="AT202" s="88">
        <f>IFERROR(AT109/-AT111,0)</f>
        <v>0</v>
      </c>
      <c r="AU202" s="88">
        <f>IFERROR(AU109/-AU111,0)</f>
        <v>0</v>
      </c>
      <c r="AV202" s="88">
        <f>IFERROR(AV109/-AV111,0)</f>
        <v>0</v>
      </c>
      <c r="AW202" s="89">
        <f>IFERROR(AW109/-AW111,0)</f>
        <v>0</v>
      </c>
      <c r="AX202" s="88">
        <f>IFERROR(AX109/-AX111,0)</f>
        <v>0</v>
      </c>
      <c r="AY202" s="88">
        <f>IFERROR(AY109/-AY111,0)</f>
        <v>0</v>
      </c>
      <c r="AZ202" s="88">
        <f>IFERROR(AZ109/-AZ111,0)</f>
        <v>0</v>
      </c>
      <c r="BA202" s="88">
        <f>IFERROR(BA109/-BA111,0)</f>
        <v>0</v>
      </c>
      <c r="BB202" s="89">
        <f>IFERROR(BB109/-BB111,0)</f>
        <v>0</v>
      </c>
      <c r="BC202" s="88">
        <f>IFERROR(BC109/-BC111,0)</f>
        <v>0</v>
      </c>
      <c r="BD202" s="88">
        <f>IFERROR(BD109/-BD111,0)</f>
        <v>0</v>
      </c>
      <c r="BE202" s="88">
        <f>IFERROR(BE109/-BE111,0)</f>
        <v>0</v>
      </c>
      <c r="BF202" s="88">
        <f>IFERROR(BF109/-BF111,0)</f>
        <v>0</v>
      </c>
      <c r="BG202" s="89">
        <f>IFERROR(BG109/-BG111,0)</f>
        <v>0</v>
      </c>
    </row>
    <row r="203">
      <c r="B203" s="29" t="n"/>
      <c r="C203" s="29" t="inlineStr">
        <is>
          <t>Crescimento</t>
        </is>
      </c>
      <c r="D203" s="29" t="inlineStr">
        <is>
          <t>Growth</t>
        </is>
      </c>
      <c r="E203" s="29" t="n"/>
      <c r="F203" s="29" t="n"/>
      <c r="G203" s="29" t="n"/>
      <c r="H203" s="29" t="n"/>
      <c r="I203" s="29" t="n"/>
      <c r="J203" s="29" t="n"/>
      <c r="K203" s="29" t="n"/>
      <c r="L203" s="29" t="n"/>
      <c r="M203" s="29" t="n"/>
      <c r="N203" s="29" t="n"/>
      <c r="O203" s="29" t="n"/>
      <c r="P203" s="29" t="n"/>
      <c r="Q203" s="29" t="n"/>
      <c r="R203" s="29" t="n"/>
      <c r="S203" s="29" t="n"/>
      <c r="T203" s="29" t="n"/>
      <c r="U203" s="29" t="n"/>
      <c r="V203" s="29" t="n"/>
      <c r="W203" s="29" t="n"/>
      <c r="X203" s="29" t="n"/>
      <c r="Y203" s="29" t="n"/>
      <c r="Z203" s="29" t="n"/>
      <c r="AA203" s="29" t="n"/>
      <c r="AB203" s="29" t="n"/>
      <c r="AC203" s="29" t="n"/>
      <c r="AD203" s="29" t="n"/>
      <c r="AE203" s="29" t="n"/>
      <c r="AF203" s="29" t="n"/>
      <c r="AG203" s="29" t="n"/>
      <c r="AH203" s="29" t="n"/>
      <c r="AI203" s="29" t="n"/>
      <c r="AJ203" s="29" t="n"/>
      <c r="AK203" s="29" t="n"/>
      <c r="AL203" s="29" t="n"/>
      <c r="AM203" s="29" t="n"/>
      <c r="AN203" s="29" t="n"/>
      <c r="AO203" s="29" t="n"/>
      <c r="AP203" s="29" t="n"/>
      <c r="AQ203" s="29" t="n"/>
      <c r="AR203" s="29" t="n"/>
      <c r="AS203" s="29" t="n"/>
      <c r="AT203" s="29" t="n"/>
      <c r="AU203" s="29" t="n"/>
      <c r="AV203" s="29" t="n"/>
      <c r="AW203" s="29" t="n"/>
      <c r="AX203" s="29" t="n"/>
      <c r="AY203" s="29" t="n"/>
      <c r="AZ203" s="29" t="n"/>
      <c r="BA203" s="29" t="n"/>
      <c r="BB203" s="29" t="n"/>
      <c r="BC203" s="29" t="n"/>
      <c r="BD203" s="29" t="n"/>
      <c r="BE203" s="29" t="n"/>
      <c r="BF203" s="29" t="n"/>
      <c r="BG203" s="29" t="n"/>
      <c r="BH203" s="29" t="n"/>
      <c r="BI203" s="29" t="n"/>
    </row>
    <row r="204">
      <c r="C204" s="11" t="inlineStr">
        <is>
          <t>Receita líquida total — % YoY</t>
        </is>
      </c>
      <c r="D204" s="12" t="inlineStr">
        <is>
          <t>Total net revenue growth YoY</t>
        </is>
      </c>
      <c r="E204" s="88" t="n">
        <v>0</v>
      </c>
      <c r="F204" s="88" t="n">
        <v>0</v>
      </c>
      <c r="G204" s="88" t="n">
        <v>0</v>
      </c>
      <c r="H204" s="88" t="n">
        <v>0</v>
      </c>
      <c r="I204" s="89" t="n">
        <v>0</v>
      </c>
      <c r="J204" s="88">
        <f>IFERROR(J149/E149-1,0)</f>
        <v>0</v>
      </c>
      <c r="K204" s="88">
        <f>IFERROR(K149/F149-1,0)</f>
        <v>0</v>
      </c>
      <c r="L204" s="88">
        <f>IFERROR(L149/G149-1,0)</f>
        <v>0</v>
      </c>
      <c r="M204" s="88">
        <f>IFERROR(M149/H149-1,0)</f>
        <v>0</v>
      </c>
      <c r="N204" s="89">
        <f>IFERROR(N149/I149-1,0)</f>
        <v>0</v>
      </c>
      <c r="O204" s="88">
        <f>IFERROR(O149/J149-1,0)</f>
        <v>0</v>
      </c>
      <c r="P204" s="88">
        <f>IFERROR(P149/K149-1,0)</f>
        <v>0</v>
      </c>
      <c r="Q204" s="88">
        <f>IFERROR(Q149/L149-1,0)</f>
        <v>0</v>
      </c>
      <c r="R204" s="88">
        <f>IFERROR(R149/M149-1,0)</f>
        <v>0</v>
      </c>
      <c r="S204" s="89">
        <f>IFERROR(S149/N149-1,0)</f>
        <v>0</v>
      </c>
      <c r="T204" s="88">
        <f>IFERROR(T149/O149-1,0)</f>
        <v>0</v>
      </c>
      <c r="U204" s="88">
        <f>IFERROR(U149/P149-1,0)</f>
        <v>0</v>
      </c>
      <c r="V204" s="88">
        <f>IFERROR(V149/Q149-1,0)</f>
        <v>0</v>
      </c>
      <c r="W204" s="88">
        <f>IFERROR(W149/R149-1,0)</f>
        <v>0</v>
      </c>
      <c r="X204" s="89">
        <f>IFERROR(X149/S149-1,0)</f>
        <v>0</v>
      </c>
      <c r="Y204" s="88">
        <f>IFERROR(Y149/T149-1,0)</f>
        <v>0</v>
      </c>
      <c r="Z204" s="88">
        <f>IFERROR(Z149/U149-1,0)</f>
        <v>0</v>
      </c>
      <c r="AA204" s="88">
        <f>IFERROR(AA149/V149-1,0)</f>
        <v>0</v>
      </c>
      <c r="AB204" s="88">
        <f>IFERROR(AB149/W149-1,0)</f>
        <v>0</v>
      </c>
      <c r="AC204" s="89">
        <f>IFERROR(AC149/X149-1,0)</f>
        <v>0</v>
      </c>
      <c r="AD204" s="88">
        <f>IFERROR(AD149/Y149-1,0)</f>
        <v>0</v>
      </c>
      <c r="AE204" s="88">
        <f>IFERROR(AE149/Z149-1,0)</f>
        <v>0</v>
      </c>
      <c r="AF204" s="88">
        <f>IFERROR(AF149/AA149-1,0)</f>
        <v>0</v>
      </c>
      <c r="AG204" s="88">
        <f>IFERROR(AG149/AB149-1,0)</f>
        <v>0</v>
      </c>
      <c r="AH204" s="89">
        <f>IFERROR(AH149/AC149-1,0)</f>
        <v>0</v>
      </c>
      <c r="AI204" s="88">
        <f>IFERROR(AI149/AD149-1,0)</f>
        <v>0</v>
      </c>
      <c r="AJ204" s="88">
        <f>IFERROR(AJ149/AE149-1,0)</f>
        <v>0</v>
      </c>
      <c r="AK204" s="88">
        <f>IFERROR(AK149/AF149-1,0)</f>
        <v>0</v>
      </c>
      <c r="AL204" s="88">
        <f>IFERROR(AL149/AG149-1,0)</f>
        <v>0</v>
      </c>
      <c r="AM204" s="89">
        <f>IFERROR(AM149/AH149-1,0)</f>
        <v>0</v>
      </c>
      <c r="AN204" s="88">
        <f>IFERROR(AN149/AI149-1,0)</f>
        <v>0</v>
      </c>
      <c r="AO204" s="88">
        <f>IFERROR(AO149/AJ149-1,0)</f>
        <v>0</v>
      </c>
      <c r="AP204" s="88">
        <f>IFERROR(AP149/AK149-1,0)</f>
        <v>0</v>
      </c>
      <c r="AQ204" s="88">
        <f>IFERROR(AQ149/AL149-1,0)</f>
        <v>0</v>
      </c>
      <c r="AR204" s="89">
        <f>IFERROR(AR149/AM149-1,0)</f>
        <v>0</v>
      </c>
      <c r="AS204" s="88">
        <f>IFERROR(AS149/AN149-1,0)</f>
        <v>0</v>
      </c>
      <c r="AT204" s="88">
        <f>IFERROR(AT149/AO149-1,0)</f>
        <v>0</v>
      </c>
      <c r="AU204" s="88">
        <f>IFERROR(AU149/AP149-1,0)</f>
        <v>0</v>
      </c>
      <c r="AV204" s="88">
        <f>IFERROR(AV149/AQ149-1,0)</f>
        <v>0</v>
      </c>
      <c r="AW204" s="89">
        <f>IFERROR(AW149/AR149-1,0)</f>
        <v>0</v>
      </c>
      <c r="AX204" s="88">
        <f>IFERROR(AX149/AS149-1,0)</f>
        <v>0</v>
      </c>
      <c r="AY204" s="88">
        <f>IFERROR(AY149/AT149-1,0)</f>
        <v>0</v>
      </c>
      <c r="AZ204" s="88">
        <f>IFERROR(AZ149/AU149-1,0)</f>
        <v>0</v>
      </c>
      <c r="BA204" s="88">
        <f>IFERROR(BA149/AV149-1,0)</f>
        <v>0</v>
      </c>
      <c r="BB204" s="89">
        <f>IFERROR(BB149/AW149-1,0)</f>
        <v>0</v>
      </c>
      <c r="BC204" s="88">
        <f>IFERROR(BC149/AX149-1,0)</f>
        <v>0</v>
      </c>
      <c r="BD204" s="88">
        <f>IFERROR(BD149/AY149-1,0)</f>
        <v>0</v>
      </c>
      <c r="BE204" s="88">
        <f>IFERROR(BE149/AZ149-1,0)</f>
        <v>0</v>
      </c>
      <c r="BF204" s="88">
        <f>IFERROR(BF149/BA149-1,0)</f>
        <v>0</v>
      </c>
      <c r="BG204" s="89">
        <f>IFERROR(BG149/BB149-1,0)</f>
        <v>0</v>
      </c>
    </row>
    <row r="205">
      <c r="C205" s="11" t="inlineStr">
        <is>
          <t>NII — % YoY</t>
        </is>
      </c>
      <c r="D205" s="12" t="inlineStr">
        <is>
          <t>NII growth YoY</t>
        </is>
      </c>
      <c r="E205" s="88" t="n">
        <v>0</v>
      </c>
      <c r="F205" s="88" t="n">
        <v>0</v>
      </c>
      <c r="G205" s="88" t="n">
        <v>0</v>
      </c>
      <c r="H205" s="88" t="n">
        <v>0</v>
      </c>
      <c r="I205" s="89" t="n">
        <v>0</v>
      </c>
      <c r="J205" s="88">
        <f>IFERROR(J146/E146-1,0)</f>
        <v>0</v>
      </c>
      <c r="K205" s="88">
        <f>IFERROR(K146/F146-1,0)</f>
        <v>0</v>
      </c>
      <c r="L205" s="88">
        <f>IFERROR(L146/G146-1,0)</f>
        <v>0</v>
      </c>
      <c r="M205" s="88">
        <f>IFERROR(M146/H146-1,0)</f>
        <v>0</v>
      </c>
      <c r="N205" s="89">
        <f>IFERROR(N146/I146-1,0)</f>
        <v>0</v>
      </c>
      <c r="O205" s="88">
        <f>IFERROR(O146/J146-1,0)</f>
        <v>0</v>
      </c>
      <c r="P205" s="88">
        <f>IFERROR(P146/K146-1,0)</f>
        <v>0</v>
      </c>
      <c r="Q205" s="88">
        <f>IFERROR(Q146/L146-1,0)</f>
        <v>0</v>
      </c>
      <c r="R205" s="88">
        <f>IFERROR(R146/M146-1,0)</f>
        <v>0</v>
      </c>
      <c r="S205" s="89">
        <f>IFERROR(S146/N146-1,0)</f>
        <v>0</v>
      </c>
      <c r="T205" s="88">
        <f>IFERROR(T146/O146-1,0)</f>
        <v>0</v>
      </c>
      <c r="U205" s="88">
        <f>IFERROR(U146/P146-1,0)</f>
        <v>0</v>
      </c>
      <c r="V205" s="88">
        <f>IFERROR(V146/Q146-1,0)</f>
        <v>0</v>
      </c>
      <c r="W205" s="88">
        <f>IFERROR(W146/R146-1,0)</f>
        <v>0</v>
      </c>
      <c r="X205" s="89">
        <f>IFERROR(X146/S146-1,0)</f>
        <v>0</v>
      </c>
      <c r="Y205" s="88">
        <f>IFERROR(Y146/T146-1,0)</f>
        <v>0</v>
      </c>
      <c r="Z205" s="88">
        <f>IFERROR(Z146/U146-1,0)</f>
        <v>0</v>
      </c>
      <c r="AA205" s="88">
        <f>IFERROR(AA146/V146-1,0)</f>
        <v>0</v>
      </c>
      <c r="AB205" s="88">
        <f>IFERROR(AB146/W146-1,0)</f>
        <v>0</v>
      </c>
      <c r="AC205" s="89">
        <f>IFERROR(AC146/X146-1,0)</f>
        <v>0</v>
      </c>
      <c r="AD205" s="88">
        <f>IFERROR(AD146/Y146-1,0)</f>
        <v>0</v>
      </c>
      <c r="AE205" s="88">
        <f>IFERROR(AE146/Z146-1,0)</f>
        <v>0</v>
      </c>
      <c r="AF205" s="88">
        <f>IFERROR(AF146/AA146-1,0)</f>
        <v>0</v>
      </c>
      <c r="AG205" s="88">
        <f>IFERROR(AG146/AB146-1,0)</f>
        <v>0</v>
      </c>
      <c r="AH205" s="89">
        <f>IFERROR(AH146/AC146-1,0)</f>
        <v>0</v>
      </c>
      <c r="AI205" s="88">
        <f>IFERROR(AI146/AD146-1,0)</f>
        <v>0</v>
      </c>
      <c r="AJ205" s="88">
        <f>IFERROR(AJ146/AE146-1,0)</f>
        <v>0</v>
      </c>
      <c r="AK205" s="88">
        <f>IFERROR(AK146/AF146-1,0)</f>
        <v>0</v>
      </c>
      <c r="AL205" s="88">
        <f>IFERROR(AL146/AG146-1,0)</f>
        <v>0</v>
      </c>
      <c r="AM205" s="89">
        <f>IFERROR(AM146/AH146-1,0)</f>
        <v>0</v>
      </c>
      <c r="AN205" s="88">
        <f>IFERROR(AN146/AI146-1,0)</f>
        <v>0</v>
      </c>
      <c r="AO205" s="88">
        <f>IFERROR(AO146/AJ146-1,0)</f>
        <v>0</v>
      </c>
      <c r="AP205" s="88">
        <f>IFERROR(AP146/AK146-1,0)</f>
        <v>0</v>
      </c>
      <c r="AQ205" s="88">
        <f>IFERROR(AQ146/AL146-1,0)</f>
        <v>0</v>
      </c>
      <c r="AR205" s="89">
        <f>IFERROR(AR146/AM146-1,0)</f>
        <v>0</v>
      </c>
      <c r="AS205" s="88">
        <f>IFERROR(AS146/AN146-1,0)</f>
        <v>0</v>
      </c>
      <c r="AT205" s="88">
        <f>IFERROR(AT146/AO146-1,0)</f>
        <v>0</v>
      </c>
      <c r="AU205" s="88">
        <f>IFERROR(AU146/AP146-1,0)</f>
        <v>0</v>
      </c>
      <c r="AV205" s="88">
        <f>IFERROR(AV146/AQ146-1,0)</f>
        <v>0</v>
      </c>
      <c r="AW205" s="89">
        <f>IFERROR(AW146/AR146-1,0)</f>
        <v>0</v>
      </c>
      <c r="AX205" s="88">
        <f>IFERROR(AX146/AS146-1,0)</f>
        <v>0</v>
      </c>
      <c r="AY205" s="88">
        <f>IFERROR(AY146/AT146-1,0)</f>
        <v>0</v>
      </c>
      <c r="AZ205" s="88">
        <f>IFERROR(AZ146/AU146-1,0)</f>
        <v>0</v>
      </c>
      <c r="BA205" s="88">
        <f>IFERROR(BA146/AV146-1,0)</f>
        <v>0</v>
      </c>
      <c r="BB205" s="89">
        <f>IFERROR(BB146/AW146-1,0)</f>
        <v>0</v>
      </c>
      <c r="BC205" s="88">
        <f>IFERROR(BC146/AX146-1,0)</f>
        <v>0</v>
      </c>
      <c r="BD205" s="88">
        <f>IFERROR(BD146/AY146-1,0)</f>
        <v>0</v>
      </c>
      <c r="BE205" s="88">
        <f>IFERROR(BE146/AZ146-1,0)</f>
        <v>0</v>
      </c>
      <c r="BF205" s="88">
        <f>IFERROR(BF146/BA146-1,0)</f>
        <v>0</v>
      </c>
      <c r="BG205" s="89">
        <f>IFERROR(BG146/BB146-1,0)</f>
        <v>0</v>
      </c>
    </row>
    <row r="206">
      <c r="C206" s="11" t="inlineStr">
        <is>
          <t>Empréstimos líquidos — % QoQ</t>
        </is>
      </c>
      <c r="D206" s="12" t="inlineStr">
        <is>
          <t>Loan growth QoQ</t>
        </is>
      </c>
      <c r="E206" s="88" t="n">
        <v>0</v>
      </c>
      <c r="F206" s="88">
        <f>IFERROR(F30/E30-1,0)</f>
        <v>0</v>
      </c>
      <c r="G206" s="88">
        <f>IFERROR(G30/F30-1,0)</f>
        <v>0</v>
      </c>
      <c r="H206" s="88">
        <f>IFERROR(H30/G30-1,0)</f>
        <v>0</v>
      </c>
      <c r="I206" s="89" t="n">
        <v>0</v>
      </c>
      <c r="J206" s="88">
        <f>IFERROR(J30/H30-1,0)</f>
        <v>0</v>
      </c>
      <c r="K206" s="88">
        <f>IFERROR(K30/J30-1,0)</f>
        <v>0</v>
      </c>
      <c r="L206" s="88">
        <f>IFERROR(L30/K30-1,0)</f>
        <v>0</v>
      </c>
      <c r="M206" s="88">
        <f>IFERROR(M30/L30-1,0)</f>
        <v>0</v>
      </c>
      <c r="N206" s="89">
        <f>IFERROR(N30/I30-1,0)</f>
        <v>0</v>
      </c>
      <c r="O206" s="88">
        <f>IFERROR(O30/M30-1,0)</f>
        <v>0</v>
      </c>
      <c r="P206" s="88">
        <f>IFERROR(P30/O30-1,0)</f>
        <v>0</v>
      </c>
      <c r="Q206" s="88">
        <f>IFERROR(Q30/P30-1,0)</f>
        <v>0</v>
      </c>
      <c r="R206" s="88">
        <f>IFERROR(R30/Q30-1,0)</f>
        <v>0</v>
      </c>
      <c r="S206" s="89">
        <f>IFERROR(S30/N30-1,0)</f>
        <v>0</v>
      </c>
      <c r="T206" s="88">
        <f>IFERROR(T30/R30-1,0)</f>
        <v>0</v>
      </c>
      <c r="U206" s="88">
        <f>IFERROR(U30/T30-1,0)</f>
        <v>0</v>
      </c>
      <c r="V206" s="88">
        <f>IFERROR(V30/U30-1,0)</f>
        <v>0</v>
      </c>
      <c r="W206" s="88">
        <f>IFERROR(W30/V30-1,0)</f>
        <v>0</v>
      </c>
      <c r="X206" s="89">
        <f>IFERROR(X30/S30-1,0)</f>
        <v>0</v>
      </c>
      <c r="Y206" s="88">
        <f>IFERROR(Y30/W30-1,0)</f>
        <v>0</v>
      </c>
      <c r="Z206" s="88">
        <f>IFERROR(Z30/Y30-1,0)</f>
        <v>0</v>
      </c>
      <c r="AA206" s="88">
        <f>IFERROR(AA30/Z30-1,0)</f>
        <v>0</v>
      </c>
      <c r="AB206" s="88">
        <f>IFERROR(AB30/AA30-1,0)</f>
        <v>0</v>
      </c>
      <c r="AC206" s="89">
        <f>IFERROR(AC30/X30-1,0)</f>
        <v>0</v>
      </c>
      <c r="AD206" s="88">
        <f>IFERROR(AD30/AB30-1,0)</f>
        <v>0</v>
      </c>
      <c r="AE206" s="88">
        <f>IFERROR(AE30/AD30-1,0)</f>
        <v>0</v>
      </c>
      <c r="AF206" s="88">
        <f>IFERROR(AF30/AE30-1,0)</f>
        <v>0</v>
      </c>
      <c r="AG206" s="88">
        <f>IFERROR(AG30/AF30-1,0)</f>
        <v>0</v>
      </c>
      <c r="AH206" s="89">
        <f>IFERROR(AH30/AC30-1,0)</f>
        <v>0</v>
      </c>
      <c r="AI206" s="88">
        <f>IFERROR(AI30/AG30-1,0)</f>
        <v>0</v>
      </c>
      <c r="AJ206" s="88">
        <f>IFERROR(AJ30/AI30-1,0)</f>
        <v>0</v>
      </c>
      <c r="AK206" s="88">
        <f>IFERROR(AK30/AJ30-1,0)</f>
        <v>0</v>
      </c>
      <c r="AL206" s="88">
        <f>IFERROR(AL30/AK30-1,0)</f>
        <v>0</v>
      </c>
      <c r="AM206" s="89">
        <f>IFERROR(AM30/AH30-1,0)</f>
        <v>0</v>
      </c>
      <c r="AN206" s="88">
        <f>IFERROR(AN30/AL30-1,0)</f>
        <v>0</v>
      </c>
      <c r="AO206" s="88">
        <f>IFERROR(AO30/AN30-1,0)</f>
        <v>0</v>
      </c>
      <c r="AP206" s="88">
        <f>IFERROR(AP30/AO30-1,0)</f>
        <v>0</v>
      </c>
      <c r="AQ206" s="88">
        <f>IFERROR(AQ30/AP30-1,0)</f>
        <v>0</v>
      </c>
      <c r="AR206" s="89">
        <f>IFERROR(AR30/AM30-1,0)</f>
        <v>0</v>
      </c>
      <c r="AS206" s="88">
        <f>IFERROR(AS30/AQ30-1,0)</f>
        <v>0</v>
      </c>
      <c r="AT206" s="88">
        <f>IFERROR(AT30/AS30-1,0)</f>
        <v>0</v>
      </c>
      <c r="AU206" s="88">
        <f>IFERROR(AU30/AT30-1,0)</f>
        <v>0</v>
      </c>
      <c r="AV206" s="88">
        <f>IFERROR(AV30/AU30-1,0)</f>
        <v>0</v>
      </c>
      <c r="AW206" s="89">
        <f>IFERROR(AW30/AR30-1,0)</f>
        <v>0</v>
      </c>
      <c r="AX206" s="88">
        <f>IFERROR(AX30/AV30-1,0)</f>
        <v>0</v>
      </c>
      <c r="AY206" s="88">
        <f>IFERROR(AY30/AX30-1,0)</f>
        <v>0</v>
      </c>
      <c r="AZ206" s="88">
        <f>IFERROR(AZ30/AY30-1,0)</f>
        <v>0</v>
      </c>
      <c r="BA206" s="88">
        <f>IFERROR(BA30/AZ30-1,0)</f>
        <v>0</v>
      </c>
      <c r="BB206" s="89">
        <f>IFERROR(BB30/AW30-1,0)</f>
        <v>0</v>
      </c>
      <c r="BC206" s="88">
        <f>IFERROR(BC30/BA30-1,0)</f>
        <v>0</v>
      </c>
      <c r="BD206" s="88">
        <f>IFERROR(BD30/BC30-1,0)</f>
        <v>0</v>
      </c>
      <c r="BE206" s="88">
        <f>IFERROR(BE30/BD30-1,0)</f>
        <v>0</v>
      </c>
      <c r="BF206" s="88">
        <f>IFERROR(BF30/BE30-1,0)</f>
        <v>0</v>
      </c>
      <c r="BG206" s="89">
        <f>IFERROR(BG30/BB30-1,0)</f>
        <v>0</v>
      </c>
    </row>
    <row r="207">
      <c r="C207" s="11" t="inlineStr">
        <is>
          <t>Empréstimos líquidos — % YoY</t>
        </is>
      </c>
      <c r="D207" s="12" t="inlineStr">
        <is>
          <t>Loan growth YoY</t>
        </is>
      </c>
      <c r="E207" s="88" t="n">
        <v>0</v>
      </c>
      <c r="F207" s="88" t="n">
        <v>0</v>
      </c>
      <c r="G207" s="88" t="n">
        <v>0</v>
      </c>
      <c r="H207" s="88" t="n">
        <v>0</v>
      </c>
      <c r="I207" s="89" t="n">
        <v>0</v>
      </c>
      <c r="J207" s="88">
        <f>IFERROR(J30/E30-1,0)</f>
        <v>0</v>
      </c>
      <c r="K207" s="88">
        <f>IFERROR(K30/F30-1,0)</f>
        <v>0</v>
      </c>
      <c r="L207" s="88">
        <f>IFERROR(L30/G30-1,0)</f>
        <v>0</v>
      </c>
      <c r="M207" s="88">
        <f>IFERROR(M30/H30-1,0)</f>
        <v>0</v>
      </c>
      <c r="N207" s="89">
        <f>IFERROR(N30/I30-1,0)</f>
        <v>0</v>
      </c>
      <c r="O207" s="88">
        <f>IFERROR(O30/J30-1,0)</f>
        <v>0</v>
      </c>
      <c r="P207" s="88">
        <f>IFERROR(P30/K30-1,0)</f>
        <v>0</v>
      </c>
      <c r="Q207" s="88">
        <f>IFERROR(Q30/L30-1,0)</f>
        <v>0</v>
      </c>
      <c r="R207" s="88">
        <f>IFERROR(R30/M30-1,0)</f>
        <v>0</v>
      </c>
      <c r="S207" s="89">
        <f>IFERROR(S30/N30-1,0)</f>
        <v>0</v>
      </c>
      <c r="T207" s="88">
        <f>IFERROR(T30/O30-1,0)</f>
        <v>0</v>
      </c>
      <c r="U207" s="88">
        <f>IFERROR(U30/P30-1,0)</f>
        <v>0</v>
      </c>
      <c r="V207" s="88">
        <f>IFERROR(V30/Q30-1,0)</f>
        <v>0</v>
      </c>
      <c r="W207" s="88">
        <f>IFERROR(W30/R30-1,0)</f>
        <v>0</v>
      </c>
      <c r="X207" s="89">
        <f>IFERROR(X30/S30-1,0)</f>
        <v>0</v>
      </c>
      <c r="Y207" s="88">
        <f>IFERROR(Y30/T30-1,0)</f>
        <v>0</v>
      </c>
      <c r="Z207" s="88">
        <f>IFERROR(Z30/U30-1,0)</f>
        <v>0</v>
      </c>
      <c r="AA207" s="88">
        <f>IFERROR(AA30/V30-1,0)</f>
        <v>0</v>
      </c>
      <c r="AB207" s="88">
        <f>IFERROR(AB30/W30-1,0)</f>
        <v>0</v>
      </c>
      <c r="AC207" s="89">
        <f>IFERROR(AC30/X30-1,0)</f>
        <v>0</v>
      </c>
      <c r="AD207" s="88">
        <f>IFERROR(AD30/Y30-1,0)</f>
        <v>0</v>
      </c>
      <c r="AE207" s="88">
        <f>IFERROR(AE30/Z30-1,0)</f>
        <v>0</v>
      </c>
      <c r="AF207" s="88">
        <f>IFERROR(AF30/AA30-1,0)</f>
        <v>0</v>
      </c>
      <c r="AG207" s="88">
        <f>IFERROR(AG30/AB30-1,0)</f>
        <v>0</v>
      </c>
      <c r="AH207" s="89">
        <f>IFERROR(AH30/AC30-1,0)</f>
        <v>0</v>
      </c>
      <c r="AI207" s="88">
        <f>IFERROR(AI30/AD30-1,0)</f>
        <v>0</v>
      </c>
      <c r="AJ207" s="88">
        <f>IFERROR(AJ30/AE30-1,0)</f>
        <v>0</v>
      </c>
      <c r="AK207" s="88">
        <f>IFERROR(AK30/AF30-1,0)</f>
        <v>0</v>
      </c>
      <c r="AL207" s="88">
        <f>IFERROR(AL30/AG30-1,0)</f>
        <v>0</v>
      </c>
      <c r="AM207" s="89">
        <f>IFERROR(AM30/AH30-1,0)</f>
        <v>0</v>
      </c>
      <c r="AN207" s="88">
        <f>IFERROR(AN30/AI30-1,0)</f>
        <v>0</v>
      </c>
      <c r="AO207" s="88">
        <f>IFERROR(AO30/AJ30-1,0)</f>
        <v>0</v>
      </c>
      <c r="AP207" s="88">
        <f>IFERROR(AP30/AK30-1,0)</f>
        <v>0</v>
      </c>
      <c r="AQ207" s="88">
        <f>IFERROR(AQ30/AL30-1,0)</f>
        <v>0</v>
      </c>
      <c r="AR207" s="89">
        <f>IFERROR(AR30/AM30-1,0)</f>
        <v>0</v>
      </c>
      <c r="AS207" s="88">
        <f>IFERROR(AS30/AN30-1,0)</f>
        <v>0</v>
      </c>
      <c r="AT207" s="88">
        <f>IFERROR(AT30/AO30-1,0)</f>
        <v>0</v>
      </c>
      <c r="AU207" s="88">
        <f>IFERROR(AU30/AP30-1,0)</f>
        <v>0</v>
      </c>
      <c r="AV207" s="88">
        <f>IFERROR(AV30/AQ30-1,0)</f>
        <v>0</v>
      </c>
      <c r="AW207" s="89">
        <f>IFERROR(AW30/AR30-1,0)</f>
        <v>0</v>
      </c>
      <c r="AX207" s="88">
        <f>IFERROR(AX30/AS30-1,0)</f>
        <v>0</v>
      </c>
      <c r="AY207" s="88">
        <f>IFERROR(AY30/AT30-1,0)</f>
        <v>0</v>
      </c>
      <c r="AZ207" s="88">
        <f>IFERROR(AZ30/AU30-1,0)</f>
        <v>0</v>
      </c>
      <c r="BA207" s="88">
        <f>IFERROR(BA30/AV30-1,0)</f>
        <v>0</v>
      </c>
      <c r="BB207" s="89">
        <f>IFERROR(BB30/AW30-1,0)</f>
        <v>0</v>
      </c>
      <c r="BC207" s="88">
        <f>IFERROR(BC30/AX30-1,0)</f>
        <v>0</v>
      </c>
      <c r="BD207" s="88">
        <f>IFERROR(BD30/AY30-1,0)</f>
        <v>0</v>
      </c>
      <c r="BE207" s="88">
        <f>IFERROR(BE30/AZ30-1,0)</f>
        <v>0</v>
      </c>
      <c r="BF207" s="88">
        <f>IFERROR(BF30/BA30-1,0)</f>
        <v>0</v>
      </c>
      <c r="BG207" s="89">
        <f>IFERROR(BG30/BB30-1,0)</f>
        <v>0</v>
      </c>
    </row>
    <row r="208">
      <c r="C208" s="11" t="inlineStr">
        <is>
          <t>Lucro líquido — % YoY</t>
        </is>
      </c>
      <c r="D208" s="12" t="inlineStr">
        <is>
          <t>Net income growth YoY</t>
        </is>
      </c>
      <c r="E208" s="88" t="n">
        <v>0</v>
      </c>
      <c r="F208" s="88" t="n">
        <v>0</v>
      </c>
      <c r="G208" s="88" t="n">
        <v>0</v>
      </c>
      <c r="H208" s="88" t="n">
        <v>0</v>
      </c>
      <c r="I208" s="89" t="n">
        <v>0</v>
      </c>
      <c r="J208" s="88">
        <f>IFERROR(J129/E129-1,0)</f>
        <v>0</v>
      </c>
      <c r="K208" s="88">
        <f>IFERROR(K129/F129-1,0)</f>
        <v>0</v>
      </c>
      <c r="L208" s="88">
        <f>IFERROR(L129/G129-1,0)</f>
        <v>0</v>
      </c>
      <c r="M208" s="88">
        <f>IFERROR(M129/H129-1,0)</f>
        <v>0</v>
      </c>
      <c r="N208" s="89">
        <f>IFERROR(N129/I129-1,0)</f>
        <v>0</v>
      </c>
      <c r="O208" s="88">
        <f>IFERROR(O129/J129-1,0)</f>
        <v>0</v>
      </c>
      <c r="P208" s="88">
        <f>IFERROR(P129/K129-1,0)</f>
        <v>0</v>
      </c>
      <c r="Q208" s="88">
        <f>IFERROR(Q129/L129-1,0)</f>
        <v>0</v>
      </c>
      <c r="R208" s="88">
        <f>IFERROR(R129/M129-1,0)</f>
        <v>0</v>
      </c>
      <c r="S208" s="89">
        <f>IFERROR(S129/N129-1,0)</f>
        <v>0</v>
      </c>
      <c r="T208" s="88">
        <f>IFERROR(T129/O129-1,0)</f>
        <v>0</v>
      </c>
      <c r="U208" s="88">
        <f>IFERROR(U129/P129-1,0)</f>
        <v>0</v>
      </c>
      <c r="V208" s="88">
        <f>IFERROR(V129/Q129-1,0)</f>
        <v>0</v>
      </c>
      <c r="W208" s="88">
        <f>IFERROR(W129/R129-1,0)</f>
        <v>0</v>
      </c>
      <c r="X208" s="89">
        <f>IFERROR(X129/S129-1,0)</f>
        <v>0</v>
      </c>
      <c r="Y208" s="88">
        <f>IFERROR(Y129/T129-1,0)</f>
        <v>0</v>
      </c>
      <c r="Z208" s="88">
        <f>IFERROR(Z129/U129-1,0)</f>
        <v>0</v>
      </c>
      <c r="AA208" s="88">
        <f>IFERROR(AA129/V129-1,0)</f>
        <v>0</v>
      </c>
      <c r="AB208" s="88">
        <f>IFERROR(AB129/W129-1,0)</f>
        <v>0</v>
      </c>
      <c r="AC208" s="89">
        <f>IFERROR(AC129/X129-1,0)</f>
        <v>0</v>
      </c>
      <c r="AD208" s="88">
        <f>IFERROR(AD129/Y129-1,0)</f>
        <v>0</v>
      </c>
      <c r="AE208" s="88">
        <f>IFERROR(AE129/Z129-1,0)</f>
        <v>0</v>
      </c>
      <c r="AF208" s="88">
        <f>IFERROR(AF129/AA129-1,0)</f>
        <v>0</v>
      </c>
      <c r="AG208" s="88">
        <f>IFERROR(AG129/AB129-1,0)</f>
        <v>0</v>
      </c>
      <c r="AH208" s="89">
        <f>IFERROR(AH129/AC129-1,0)</f>
        <v>0</v>
      </c>
      <c r="AI208" s="88">
        <f>IFERROR(AI129/AD129-1,0)</f>
        <v>0</v>
      </c>
      <c r="AJ208" s="88">
        <f>IFERROR(AJ129/AE129-1,0)</f>
        <v>0</v>
      </c>
      <c r="AK208" s="88">
        <f>IFERROR(AK129/AF129-1,0)</f>
        <v>0</v>
      </c>
      <c r="AL208" s="88">
        <f>IFERROR(AL129/AG129-1,0)</f>
        <v>0</v>
      </c>
      <c r="AM208" s="89">
        <f>IFERROR(AM129/AH129-1,0)</f>
        <v>0</v>
      </c>
      <c r="AN208" s="88">
        <f>IFERROR(AN129/AI129-1,0)</f>
        <v>0</v>
      </c>
      <c r="AO208" s="88">
        <f>IFERROR(AO129/AJ129-1,0)</f>
        <v>0</v>
      </c>
      <c r="AP208" s="88">
        <f>IFERROR(AP129/AK129-1,0)</f>
        <v>0</v>
      </c>
      <c r="AQ208" s="88">
        <f>IFERROR(AQ129/AL129-1,0)</f>
        <v>0</v>
      </c>
      <c r="AR208" s="89">
        <f>IFERROR(AR129/AM129-1,0)</f>
        <v>0</v>
      </c>
      <c r="AS208" s="88">
        <f>IFERROR(AS129/AN129-1,0)</f>
        <v>0</v>
      </c>
      <c r="AT208" s="88">
        <f>IFERROR(AT129/AO129-1,0)</f>
        <v>0</v>
      </c>
      <c r="AU208" s="88">
        <f>IFERROR(AU129/AP129-1,0)</f>
        <v>0</v>
      </c>
      <c r="AV208" s="88">
        <f>IFERROR(AV129/AQ129-1,0)</f>
        <v>0</v>
      </c>
      <c r="AW208" s="89">
        <f>IFERROR(AW129/AR129-1,0)</f>
        <v>0</v>
      </c>
      <c r="AX208" s="88">
        <f>IFERROR(AX129/AS129-1,0)</f>
        <v>0</v>
      </c>
      <c r="AY208" s="88">
        <f>IFERROR(AY129/AT129-1,0)</f>
        <v>0</v>
      </c>
      <c r="AZ208" s="88">
        <f>IFERROR(AZ129/AU129-1,0)</f>
        <v>0</v>
      </c>
      <c r="BA208" s="88">
        <f>IFERROR(BA129/AV129-1,0)</f>
        <v>0</v>
      </c>
      <c r="BB208" s="89">
        <f>IFERROR(BB129/AW129-1,0)</f>
        <v>0</v>
      </c>
      <c r="BC208" s="88">
        <f>IFERROR(BC129/AX129-1,0)</f>
        <v>0</v>
      </c>
      <c r="BD208" s="88">
        <f>IFERROR(BD129/AY129-1,0)</f>
        <v>0</v>
      </c>
      <c r="BE208" s="88">
        <f>IFERROR(BE129/AZ129-1,0)</f>
        <v>0</v>
      </c>
      <c r="BF208" s="88">
        <f>IFERROR(BF129/BA129-1,0)</f>
        <v>0</v>
      </c>
      <c r="BG208" s="89">
        <f>IFERROR(BG129/BB129-1,0)</f>
        <v>0</v>
      </c>
    </row>
    <row r="209">
      <c r="B209" s="29" t="n"/>
      <c r="C209" s="29" t="inlineStr">
        <is>
          <t>Qualidade de crédito</t>
        </is>
      </c>
      <c r="D209" s="29" t="inlineStr">
        <is>
          <t>Asset quality</t>
        </is>
      </c>
      <c r="E209" s="29" t="n"/>
      <c r="F209" s="29" t="n"/>
      <c r="G209" s="29" t="n"/>
      <c r="H209" s="29" t="n"/>
      <c r="I209" s="29" t="n"/>
      <c r="J209" s="29" t="n"/>
      <c r="K209" s="29" t="n"/>
      <c r="L209" s="29" t="n"/>
      <c r="M209" s="29" t="n"/>
      <c r="N209" s="29" t="n"/>
      <c r="O209" s="29" t="n"/>
      <c r="P209" s="29" t="n"/>
      <c r="Q209" s="29" t="n"/>
      <c r="R209" s="29" t="n"/>
      <c r="S209" s="29" t="n"/>
      <c r="T209" s="29" t="n"/>
      <c r="U209" s="29" t="n"/>
      <c r="V209" s="29" t="n"/>
      <c r="W209" s="29" t="n"/>
      <c r="X209" s="29" t="n"/>
      <c r="Y209" s="29" t="n"/>
      <c r="Z209" s="29" t="n"/>
      <c r="AA209" s="29" t="n"/>
      <c r="AB209" s="29" t="n"/>
      <c r="AC209" s="29" t="n"/>
      <c r="AD209" s="29" t="n"/>
      <c r="AE209" s="29" t="n"/>
      <c r="AF209" s="29" t="n"/>
      <c r="AG209" s="29" t="n"/>
      <c r="AH209" s="29" t="n"/>
      <c r="AI209" s="29" t="n"/>
      <c r="AJ209" s="29" t="n"/>
      <c r="AK209" s="29" t="n"/>
      <c r="AL209" s="29" t="n"/>
      <c r="AM209" s="29" t="n"/>
      <c r="AN209" s="29" t="n"/>
      <c r="AO209" s="29" t="n"/>
      <c r="AP209" s="29" t="n"/>
      <c r="AQ209" s="29" t="n"/>
      <c r="AR209" s="29" t="n"/>
      <c r="AS209" s="29" t="n"/>
      <c r="AT209" s="29" t="n"/>
      <c r="AU209" s="29" t="n"/>
      <c r="AV209" s="29" t="n"/>
      <c r="AW209" s="29" t="n"/>
      <c r="AX209" s="29" t="n"/>
      <c r="AY209" s="29" t="n"/>
      <c r="AZ209" s="29" t="n"/>
      <c r="BA209" s="29" t="n"/>
      <c r="BB209" s="29" t="n"/>
      <c r="BC209" s="29" t="n"/>
      <c r="BD209" s="29" t="n"/>
      <c r="BE209" s="29" t="n"/>
      <c r="BF209" s="29" t="n"/>
      <c r="BG209" s="29" t="n"/>
      <c r="BH209" s="29" t="n"/>
      <c r="BI209" s="29" t="n"/>
    </row>
    <row r="210">
      <c r="C210" s="11" t="inlineStr">
        <is>
          <t>Vencidos 90+ ainda acumulando (% dos empréstimos)</t>
        </is>
      </c>
      <c r="D210" s="12" t="inlineStr">
        <is>
          <t>90+ DPD still accruing</t>
        </is>
      </c>
      <c r="E210" s="88" t="str">
        <f>IF(N(E169)=0,"",IFERROR(E169/E165,0))</f>
        <v/>
      </c>
      <c r="F210" s="88" t="str">
        <f>IF(N(F169)=0,"",IFERROR(F169/F165,0))</f>
        <v/>
      </c>
      <c r="G210" s="88" t="str">
        <f>IF(N(G169)=0,"",IFERROR(G169/G165,0))</f>
        <v/>
      </c>
      <c r="H210" s="88" t="str">
        <f>IF(N(H169)=0,"",IFERROR(H169/H165,0))</f>
        <v/>
      </c>
      <c r="I210" s="89" t="str">
        <f>IF(N(I169)=0,"",IFERROR(I169/I165,0))</f>
        <v/>
      </c>
      <c r="J210" s="88" t="str">
        <f>IF(N(J169)=0,"",IFERROR(J169/J165,0))</f>
        <v/>
      </c>
      <c r="K210" s="88" t="str">
        <f>IF(N(K169)=0,"",IFERROR(K169/K165,0))</f>
        <v/>
      </c>
      <c r="L210" s="88" t="str">
        <f>IF(N(L169)=0,"",IFERROR(L169/L165,0))</f>
        <v/>
      </c>
      <c r="M210" s="88" t="str">
        <f>IF(N(M169)=0,"",IFERROR(M169/M165,0))</f>
        <v/>
      </c>
      <c r="N210" s="89" t="str">
        <f>IF(N(N169)=0,"",IFERROR(N169/N165,0))</f>
        <v/>
      </c>
      <c r="O210" s="88" t="str">
        <f>IF(N(O169)=0,"",IFERROR(O169/O165,0))</f>
        <v/>
      </c>
      <c r="P210" s="88" t="str">
        <f>IF(N(P169)=0,"",IFERROR(P169/P165,0))</f>
        <v/>
      </c>
      <c r="Q210" s="88" t="str">
        <f>IF(N(Q169)=0,"",IFERROR(Q169/Q165,0))</f>
        <v/>
      </c>
      <c r="R210" s="88" t="str">
        <f>IF(N(R169)=0,"",IFERROR(R169/R165,0))</f>
        <v/>
      </c>
      <c r="S210" s="89" t="str">
        <f>IF(N(S169)=0,"",IFERROR(S169/S165,0))</f>
        <v/>
      </c>
      <c r="T210" s="88" t="str">
        <f>IF(N(T169)=0,"",IFERROR(T169/T165,0))</f>
        <v/>
      </c>
      <c r="U210" s="88" t="str">
        <f>IF(N(U169)=0,"",IFERROR(U169/U165,0))</f>
        <v/>
      </c>
      <c r="V210" s="88" t="str">
        <f>IF(N(V169)=0,"",IFERROR(V169/V165,0))</f>
        <v/>
      </c>
      <c r="W210" s="88" t="str">
        <f>IF(N(W169)=0,"",IFERROR(W169/W165,0))</f>
        <v/>
      </c>
      <c r="X210" s="89" t="str">
        <f>IF(N(X169)=0,"",IFERROR(X169/X165,0))</f>
        <v/>
      </c>
      <c r="Y210" s="88" t="str">
        <f>IF(N(Y169)=0,"",IFERROR(Y169/Y165,0))</f>
        <v/>
      </c>
      <c r="Z210" s="88" t="str">
        <f>IF(N(Z169)=0,"",IFERROR(Z169/Z165,0))</f>
        <v/>
      </c>
      <c r="AA210" s="88" t="str">
        <f>IF(N(AA169)=0,"",IFERROR(AA169/AA165,0))</f>
        <v/>
      </c>
      <c r="AB210" s="88" t="str">
        <f>IF(N(AB169)=0,"",IFERROR(AB169/AB165,0))</f>
        <v/>
      </c>
      <c r="AC210" s="89" t="str">
        <f>IF(N(AC169)=0,"",IFERROR(AC169/AC165,0))</f>
        <v/>
      </c>
      <c r="AD210" s="88" t="str">
        <f>IF(N(AD169)=0,"",IFERROR(AD169/AD165,0))</f>
        <v/>
      </c>
      <c r="AE210" s="88" t="str">
        <f>IF(N(AE169)=0,"",IFERROR(AE169/AE165,0))</f>
        <v/>
      </c>
      <c r="AF210" s="88" t="str">
        <f>IF(N(AF169)=0,"",IFERROR(AF169/AF165,0))</f>
        <v/>
      </c>
      <c r="AG210" s="88" t="str">
        <f>IF(N(AG169)=0,"",IFERROR(AG169/AG165,0))</f>
        <v/>
      </c>
      <c r="AH210" s="89" t="str">
        <f>IF(N(AH169)=0,"",IFERROR(AH169/AH165,0))</f>
        <v/>
      </c>
      <c r="AI210" s="88" t="str">
        <f>IF(N(AI169)=0,"",IFERROR(AI169/AI165,0))</f>
        <v/>
      </c>
      <c r="AJ210" s="88" t="str">
        <f>IF(N(AJ169)=0,"",IFERROR(AJ169/AJ165,0))</f>
        <v/>
      </c>
      <c r="AK210" s="88" t="str">
        <f>IF(N(AK169)=0,"",IFERROR(AK169/AK165,0))</f>
        <v/>
      </c>
      <c r="AL210" s="88" t="str">
        <f>IF(N(AL169)=0,"",IFERROR(AL169/AL165,0))</f>
        <v/>
      </c>
      <c r="AM210" s="89" t="str">
        <f>IF(N(AM169)=0,"",IFERROR(AM169/AM165,0))</f>
        <v/>
      </c>
      <c r="AN210" s="88" t="str">
        <f>IF(N(AN169)=0,"",IFERROR(AN169/AN165,0))</f>
        <v/>
      </c>
      <c r="AO210" s="88" t="str">
        <f>IF(N(AO169)=0,"",IFERROR(AO169/AO165,0))</f>
        <v/>
      </c>
      <c r="AP210" s="88" t="str">
        <f>IF(N(AP169)=0,"",IFERROR(AP169/AP165,0))</f>
        <v/>
      </c>
      <c r="AQ210" s="88" t="str">
        <f>IF(N(AQ169)=0,"",IFERROR(AQ169/AQ165,0))</f>
        <v/>
      </c>
      <c r="AR210" s="89" t="str">
        <f>IF(N(AR169)=0,"",IFERROR(AR169/AR165,0))</f>
        <v/>
      </c>
      <c r="AS210" s="88" t="str">
        <f>IF(N(AS169)=0,"",IFERROR(AS169/AS165,0))</f>
        <v/>
      </c>
      <c r="AT210" s="88" t="str">
        <f>IF(N(AT169)=0,"",IFERROR(AT169/AT165,0))</f>
        <v/>
      </c>
      <c r="AU210" s="88" t="str">
        <f>IF(N(AU169)=0,"",IFERROR(AU169/AU165,0))</f>
        <v/>
      </c>
      <c r="AV210" s="88" t="str">
        <f>IF(N(AV169)=0,"",IFERROR(AV169/AV165,0))</f>
        <v/>
      </c>
      <c r="AW210" s="89" t="str">
        <f>IF(N(AW169)=0,"",IFERROR(AW169/AW165,0))</f>
        <v/>
      </c>
      <c r="AX210" s="88" t="str">
        <f>IF(N(AX169)=0,"",IFERROR(AX169/AX165,0))</f>
        <v/>
      </c>
      <c r="AY210" s="88" t="str">
        <f>IF(N(AY169)=0,"",IFERROR(AY169/AY165,0))</f>
        <v/>
      </c>
      <c r="AZ210" s="88" t="str">
        <f>IF(N(AZ169)=0,"",IFERROR(AZ169/AZ165,0))</f>
        <v/>
      </c>
      <c r="BA210" s="88" t="str">
        <f>IF(N(BA169)=0,"",IFERROR(BA169/BA165,0))</f>
        <v/>
      </c>
      <c r="BB210" s="89" t="str">
        <f>IF(N(BB169)=0,"",IFERROR(BB169/BB165,0))</f>
        <v/>
      </c>
      <c r="BC210" s="88" t="str">
        <f>IF(N(BC169)=0,"",IFERROR(BC169/BC165,0))</f>
        <v/>
      </c>
      <c r="BD210" s="88" t="str">
        <f>IF(N(BD169)=0,"",IFERROR(BD169/BD165,0))</f>
        <v/>
      </c>
      <c r="BE210" s="88" t="str">
        <f>IF(N(BE169)=0,"",IFERROR(BE169/BE165,0))</f>
        <v/>
      </c>
      <c r="BF210" s="88" t="str">
        <f>IF(N(BF169)=0,"",IFERROR(BF169/BF165,0))</f>
        <v/>
      </c>
      <c r="BG210" s="89" t="str">
        <f>IF(N(BG169)=0,"",IFERROR(BG169/BG165,0))</f>
        <v/>
      </c>
    </row>
    <row r="211">
      <c r="C211" s="11" t="inlineStr">
        <is>
          <t>Vencidos de 30 a 89 dias (% dos empréstimos)</t>
        </is>
      </c>
      <c r="D211" s="12" t="inlineStr">
        <is>
          <t>30-89 DPD</t>
        </is>
      </c>
      <c r="E211" s="88" t="str">
        <f>IF(N(E170)=0,"",IFERROR(E170/E165,0))</f>
        <v/>
      </c>
      <c r="F211" s="88" t="str">
        <f>IF(N(F170)=0,"",IFERROR(F170/F165,0))</f>
        <v/>
      </c>
      <c r="G211" s="88" t="str">
        <f>IF(N(G170)=0,"",IFERROR(G170/G165,0))</f>
        <v/>
      </c>
      <c r="H211" s="88" t="str">
        <f>IF(N(H170)=0,"",IFERROR(H170/H165,0))</f>
        <v/>
      </c>
      <c r="I211" s="89" t="str">
        <f>IF(N(I170)=0,"",IFERROR(I170/I165,0))</f>
        <v/>
      </c>
      <c r="J211" s="88" t="str">
        <f>IF(N(J170)=0,"",IFERROR(J170/J165,0))</f>
        <v/>
      </c>
      <c r="K211" s="88" t="str">
        <f>IF(N(K170)=0,"",IFERROR(K170/K165,0))</f>
        <v/>
      </c>
      <c r="L211" s="88" t="str">
        <f>IF(N(L170)=0,"",IFERROR(L170/L165,0))</f>
        <v/>
      </c>
      <c r="M211" s="88" t="str">
        <f>IF(N(M170)=0,"",IFERROR(M170/M165,0))</f>
        <v/>
      </c>
      <c r="N211" s="89" t="str">
        <f>IF(N(N170)=0,"",IFERROR(N170/N165,0))</f>
        <v/>
      </c>
      <c r="O211" s="88" t="str">
        <f>IF(N(O170)=0,"",IFERROR(O170/O165,0))</f>
        <v/>
      </c>
      <c r="P211" s="88" t="str">
        <f>IF(N(P170)=0,"",IFERROR(P170/P165,0))</f>
        <v/>
      </c>
      <c r="Q211" s="88" t="str">
        <f>IF(N(Q170)=0,"",IFERROR(Q170/Q165,0))</f>
        <v/>
      </c>
      <c r="R211" s="88" t="str">
        <f>IF(N(R170)=0,"",IFERROR(R170/R165,0))</f>
        <v/>
      </c>
      <c r="S211" s="89" t="str">
        <f>IF(N(S170)=0,"",IFERROR(S170/S165,0))</f>
        <v/>
      </c>
      <c r="T211" s="88" t="str">
        <f>IF(N(T170)=0,"",IFERROR(T170/T165,0))</f>
        <v/>
      </c>
      <c r="U211" s="88" t="str">
        <f>IF(N(U170)=0,"",IFERROR(U170/U165,0))</f>
        <v/>
      </c>
      <c r="V211" s="88" t="str">
        <f>IF(N(V170)=0,"",IFERROR(V170/V165,0))</f>
        <v/>
      </c>
      <c r="W211" s="88" t="str">
        <f>IF(N(W170)=0,"",IFERROR(W170/W165,0))</f>
        <v/>
      </c>
      <c r="X211" s="89" t="str">
        <f>IF(N(X170)=0,"",IFERROR(X170/X165,0))</f>
        <v/>
      </c>
      <c r="Y211" s="88" t="str">
        <f>IF(N(Y170)=0,"",IFERROR(Y170/Y165,0))</f>
        <v/>
      </c>
      <c r="Z211" s="88" t="str">
        <f>IF(N(Z170)=0,"",IFERROR(Z170/Z165,0))</f>
        <v/>
      </c>
      <c r="AA211" s="88" t="str">
        <f>IF(N(AA170)=0,"",IFERROR(AA170/AA165,0))</f>
        <v/>
      </c>
      <c r="AB211" s="88" t="str">
        <f>IF(N(AB170)=0,"",IFERROR(AB170/AB165,0))</f>
        <v/>
      </c>
      <c r="AC211" s="89" t="str">
        <f>IF(N(AC170)=0,"",IFERROR(AC170/AC165,0))</f>
        <v/>
      </c>
      <c r="AD211" s="88" t="str">
        <f>IF(N(AD170)=0,"",IFERROR(AD170/AD165,0))</f>
        <v/>
      </c>
      <c r="AE211" s="88" t="str">
        <f>IF(N(AE170)=0,"",IFERROR(AE170/AE165,0))</f>
        <v/>
      </c>
      <c r="AF211" s="88" t="str">
        <f>IF(N(AF170)=0,"",IFERROR(AF170/AF165,0))</f>
        <v/>
      </c>
      <c r="AG211" s="88" t="str">
        <f>IF(N(AG170)=0,"",IFERROR(AG170/AG165,0))</f>
        <v/>
      </c>
      <c r="AH211" s="89" t="str">
        <f>IF(N(AH170)=0,"",IFERROR(AH170/AH165,0))</f>
        <v/>
      </c>
      <c r="AI211" s="88" t="str">
        <f>IF(N(AI170)=0,"",IFERROR(AI170/AI165,0))</f>
        <v/>
      </c>
      <c r="AJ211" s="88" t="str">
        <f>IF(N(AJ170)=0,"",IFERROR(AJ170/AJ165,0))</f>
        <v/>
      </c>
      <c r="AK211" s="88" t="str">
        <f>IF(N(AK170)=0,"",IFERROR(AK170/AK165,0))</f>
        <v/>
      </c>
      <c r="AL211" s="88" t="str">
        <f>IF(N(AL170)=0,"",IFERROR(AL170/AL165,0))</f>
        <v/>
      </c>
      <c r="AM211" s="89" t="str">
        <f>IF(N(AM170)=0,"",IFERROR(AM170/AM165,0))</f>
        <v/>
      </c>
      <c r="AN211" s="88" t="str">
        <f>IF(N(AN170)=0,"",IFERROR(AN170/AN165,0))</f>
        <v/>
      </c>
      <c r="AO211" s="88" t="str">
        <f>IF(N(AO170)=0,"",IFERROR(AO170/AO165,0))</f>
        <v/>
      </c>
      <c r="AP211" s="88" t="str">
        <f>IF(N(AP170)=0,"",IFERROR(AP170/AP165,0))</f>
        <v/>
      </c>
      <c r="AQ211" s="88" t="str">
        <f>IF(N(AQ170)=0,"",IFERROR(AQ170/AQ165,0))</f>
        <v/>
      </c>
      <c r="AR211" s="89" t="str">
        <f>IF(N(AR170)=0,"",IFERROR(AR170/AR165,0))</f>
        <v/>
      </c>
      <c r="AS211" s="88" t="str">
        <f>IF(N(AS170)=0,"",IFERROR(AS170/AS165,0))</f>
        <v/>
      </c>
      <c r="AT211" s="88" t="str">
        <f>IF(N(AT170)=0,"",IFERROR(AT170/AT165,0))</f>
        <v/>
      </c>
      <c r="AU211" s="88" t="str">
        <f>IF(N(AU170)=0,"",IFERROR(AU170/AU165,0))</f>
        <v/>
      </c>
      <c r="AV211" s="88" t="str">
        <f>IF(N(AV170)=0,"",IFERROR(AV170/AV165,0))</f>
        <v/>
      </c>
      <c r="AW211" s="89" t="str">
        <f>IF(N(AW170)=0,"",IFERROR(AW170/AW165,0))</f>
        <v/>
      </c>
      <c r="AX211" s="88" t="str">
        <f>IF(N(AX170)=0,"",IFERROR(AX170/AX165,0))</f>
        <v/>
      </c>
      <c r="AY211" s="88" t="str">
        <f>IF(N(AY170)=0,"",IFERROR(AY170/AY165,0))</f>
        <v/>
      </c>
      <c r="AZ211" s="88" t="str">
        <f>IF(N(AZ170)=0,"",IFERROR(AZ170/AZ165,0))</f>
        <v/>
      </c>
      <c r="BA211" s="88" t="str">
        <f>IF(N(BA170)=0,"",IFERROR(BA170/BA165,0))</f>
        <v/>
      </c>
      <c r="BB211" s="89" t="str">
        <f>IF(N(BB170)=0,"",IFERROR(BB170/BB165,0))</f>
        <v/>
      </c>
      <c r="BC211" s="88" t="str">
        <f>IF(N(BC170)=0,"",IFERROR(BC170/BC165,0))</f>
        <v/>
      </c>
      <c r="BD211" s="88" t="str">
        <f>IF(N(BD170)=0,"",IFERROR(BD170/BD165,0))</f>
        <v/>
      </c>
      <c r="BE211" s="88" t="str">
        <f>IF(N(BE170)=0,"",IFERROR(BE170/BE165,0))</f>
        <v/>
      </c>
      <c r="BF211" s="88" t="str">
        <f>IF(N(BF170)=0,"",IFERROR(BF170/BF165,0))</f>
        <v/>
      </c>
      <c r="BG211" s="89" t="str">
        <f>IF(N(BG170)=0,"",IFERROR(BG170/BG165,0))</f>
        <v/>
      </c>
    </row>
    <row r="212">
      <c r="C212" s="11" t="inlineStr">
        <is>
          <t>Nonaccrual (% dos empréstimos)</t>
        </is>
      </c>
      <c r="D212" s="12" t="inlineStr">
        <is>
          <t>Nonaccrual ratio</t>
        </is>
      </c>
      <c r="E212" s="88" t="str">
        <f>IF(N(E167)=0,"",IFERROR(E167/E165,0))</f>
        <v/>
      </c>
      <c r="F212" s="88" t="str">
        <f>IF(N(F167)=0,"",IFERROR(F167/F165,0))</f>
        <v/>
      </c>
      <c r="G212" s="88" t="str">
        <f>IF(N(G167)=0,"",IFERROR(G167/G165,0))</f>
        <v/>
      </c>
      <c r="H212" s="88" t="str">
        <f>IF(N(H167)=0,"",IFERROR(H167/H165,0))</f>
        <v/>
      </c>
      <c r="I212" s="89" t="str">
        <f>IF(N(I167)=0,"",IFERROR(I167/I165,0))</f>
        <v/>
      </c>
      <c r="J212" s="88" t="str">
        <f>IF(N(J167)=0,"",IFERROR(J167/J165,0))</f>
        <v/>
      </c>
      <c r="K212" s="88" t="str">
        <f>IF(N(K167)=0,"",IFERROR(K167/K165,0))</f>
        <v/>
      </c>
      <c r="L212" s="88" t="str">
        <f>IF(N(L167)=0,"",IFERROR(L167/L165,0))</f>
        <v/>
      </c>
      <c r="M212" s="88" t="str">
        <f>IF(N(M167)=0,"",IFERROR(M167/M165,0))</f>
        <v/>
      </c>
      <c r="N212" s="89" t="str">
        <f>IF(N(N167)=0,"",IFERROR(N167/N165,0))</f>
        <v/>
      </c>
      <c r="O212" s="88" t="str">
        <f>IF(N(O167)=0,"",IFERROR(O167/O165,0))</f>
        <v/>
      </c>
      <c r="P212" s="88" t="str">
        <f>IF(N(P167)=0,"",IFERROR(P167/P165,0))</f>
        <v/>
      </c>
      <c r="Q212" s="88" t="str">
        <f>IF(N(Q167)=0,"",IFERROR(Q167/Q165,0))</f>
        <v/>
      </c>
      <c r="R212" s="88" t="str">
        <f>IF(N(R167)=0,"",IFERROR(R167/R165,0))</f>
        <v/>
      </c>
      <c r="S212" s="89" t="str">
        <f>IF(N(S167)=0,"",IFERROR(S167/S165,0))</f>
        <v/>
      </c>
      <c r="T212" s="88" t="str">
        <f>IF(N(T167)=0,"",IFERROR(T167/T165,0))</f>
        <v/>
      </c>
      <c r="U212" s="88" t="str">
        <f>IF(N(U167)=0,"",IFERROR(U167/U165,0))</f>
        <v/>
      </c>
      <c r="V212" s="88" t="str">
        <f>IF(N(V167)=0,"",IFERROR(V167/V165,0))</f>
        <v/>
      </c>
      <c r="W212" s="88" t="str">
        <f>IF(N(W167)=0,"",IFERROR(W167/W165,0))</f>
        <v/>
      </c>
      <c r="X212" s="89" t="str">
        <f>IF(N(X167)=0,"",IFERROR(X167/X165,0))</f>
        <v/>
      </c>
      <c r="Y212" s="88" t="str">
        <f>IF(N(Y167)=0,"",IFERROR(Y167/Y165,0))</f>
        <v/>
      </c>
      <c r="Z212" s="88" t="str">
        <f>IF(N(Z167)=0,"",IFERROR(Z167/Z165,0))</f>
        <v/>
      </c>
      <c r="AA212" s="88" t="str">
        <f>IF(N(AA167)=0,"",IFERROR(AA167/AA165,0))</f>
        <v/>
      </c>
      <c r="AB212" s="88" t="str">
        <f>IF(N(AB167)=0,"",IFERROR(AB167/AB165,0))</f>
        <v/>
      </c>
      <c r="AC212" s="89" t="str">
        <f>IF(N(AC167)=0,"",IFERROR(AC167/AC165,0))</f>
        <v/>
      </c>
      <c r="AD212" s="88" t="str">
        <f>IF(N(AD167)=0,"",IFERROR(AD167/AD165,0))</f>
        <v/>
      </c>
      <c r="AE212" s="88" t="str">
        <f>IF(N(AE167)=0,"",IFERROR(AE167/AE165,0))</f>
        <v/>
      </c>
      <c r="AF212" s="88" t="str">
        <f>IF(N(AF167)=0,"",IFERROR(AF167/AF165,0))</f>
        <v/>
      </c>
      <c r="AG212" s="88" t="str">
        <f>IF(N(AG167)=0,"",IFERROR(AG167/AG165,0))</f>
        <v/>
      </c>
      <c r="AH212" s="89" t="str">
        <f>IF(N(AH167)=0,"",IFERROR(AH167/AH165,0))</f>
        <v/>
      </c>
      <c r="AI212" s="88" t="str">
        <f>IF(N(AI167)=0,"",IFERROR(AI167/AI165,0))</f>
        <v/>
      </c>
      <c r="AJ212" s="88" t="str">
        <f>IF(N(AJ167)=0,"",IFERROR(AJ167/AJ165,0))</f>
        <v/>
      </c>
      <c r="AK212" s="88" t="str">
        <f>IF(N(AK167)=0,"",IFERROR(AK167/AK165,0))</f>
        <v/>
      </c>
      <c r="AL212" s="88" t="str">
        <f>IF(N(AL167)=0,"",IFERROR(AL167/AL165,0))</f>
        <v/>
      </c>
      <c r="AM212" s="89" t="str">
        <f>IF(N(AM167)=0,"",IFERROR(AM167/AM165,0))</f>
        <v/>
      </c>
      <c r="AN212" s="88" t="str">
        <f>IF(N(AN167)=0,"",IFERROR(AN167/AN165,0))</f>
        <v/>
      </c>
      <c r="AO212" s="88" t="str">
        <f>IF(N(AO167)=0,"",IFERROR(AO167/AO165,0))</f>
        <v/>
      </c>
      <c r="AP212" s="88" t="str">
        <f>IF(N(AP167)=0,"",IFERROR(AP167/AP165,0))</f>
        <v/>
      </c>
      <c r="AQ212" s="88" t="str">
        <f>IF(N(AQ167)=0,"",IFERROR(AQ167/AQ165,0))</f>
        <v/>
      </c>
      <c r="AR212" s="89" t="str">
        <f>IF(N(AR167)=0,"",IFERROR(AR167/AR165,0))</f>
        <v/>
      </c>
      <c r="AS212" s="88" t="str">
        <f>IF(N(AS167)=0,"",IFERROR(AS167/AS165,0))</f>
        <v/>
      </c>
      <c r="AT212" s="88" t="str">
        <f>IF(N(AT167)=0,"",IFERROR(AT167/AT165,0))</f>
        <v/>
      </c>
      <c r="AU212" s="88" t="str">
        <f>IF(N(AU167)=0,"",IFERROR(AU167/AU165,0))</f>
        <v/>
      </c>
      <c r="AV212" s="88" t="str">
        <f>IF(N(AV167)=0,"",IFERROR(AV167/AV165,0))</f>
        <v/>
      </c>
      <c r="AW212" s="89" t="str">
        <f>IF(N(AW167)=0,"",IFERROR(AW167/AW165,0))</f>
        <v/>
      </c>
      <c r="AX212" s="88" t="str">
        <f>IF(N(AX167)=0,"",IFERROR(AX167/AX165,0))</f>
        <v/>
      </c>
      <c r="AY212" s="88" t="str">
        <f>IF(N(AY167)=0,"",IFERROR(AY167/AY165,0))</f>
        <v/>
      </c>
      <c r="AZ212" s="88" t="str">
        <f>IF(N(AZ167)=0,"",IFERROR(AZ167/AZ165,0))</f>
        <v/>
      </c>
      <c r="BA212" s="88" t="str">
        <f>IF(N(BA167)=0,"",IFERROR(BA167/BA165,0))</f>
        <v/>
      </c>
      <c r="BB212" s="89" t="str">
        <f>IF(N(BB167)=0,"",IFERROR(BB167/BB165,0))</f>
        <v/>
      </c>
      <c r="BC212" s="88" t="str">
        <f>IF(N(BC167)=0,"",IFERROR(BC167/BC165,0))</f>
        <v/>
      </c>
      <c r="BD212" s="88" t="str">
        <f>IF(N(BD167)=0,"",IFERROR(BD167/BD165,0))</f>
        <v/>
      </c>
      <c r="BE212" s="88" t="str">
        <f>IF(N(BE167)=0,"",IFERROR(BE167/BE165,0))</f>
        <v/>
      </c>
      <c r="BF212" s="88" t="str">
        <f>IF(N(BF167)=0,"",IFERROR(BF167/BF165,0))</f>
        <v/>
      </c>
      <c r="BG212" s="89" t="str">
        <f>IF(N(BG167)=0,"",IFERROR(BG167/BG165,0))</f>
        <v/>
      </c>
    </row>
    <row r="213">
      <c r="C213" s="11" t="inlineStr">
        <is>
          <t>NPA (% dos empréstimos)</t>
        </is>
      </c>
      <c r="D213" s="12" t="inlineStr">
        <is>
          <t>NPA ratio</t>
        </is>
      </c>
      <c r="E213" s="88" t="str">
        <f>IF(N(E168)=0,"",IFERROR(E168/E165,0))</f>
        <v/>
      </c>
      <c r="F213" s="88" t="str">
        <f>IF(N(F168)=0,"",IFERROR(F168/F165,0))</f>
        <v/>
      </c>
      <c r="G213" s="88" t="str">
        <f>IF(N(G168)=0,"",IFERROR(G168/G165,0))</f>
        <v/>
      </c>
      <c r="H213" s="88" t="str">
        <f>IF(N(H168)=0,"",IFERROR(H168/H165,0))</f>
        <v/>
      </c>
      <c r="I213" s="89" t="str">
        <f>IF(N(I168)=0,"",IFERROR(I168/I165,0))</f>
        <v/>
      </c>
      <c r="J213" s="88" t="str">
        <f>IF(N(J168)=0,"",IFERROR(J168/J165,0))</f>
        <v/>
      </c>
      <c r="K213" s="88" t="str">
        <f>IF(N(K168)=0,"",IFERROR(K168/K165,0))</f>
        <v/>
      </c>
      <c r="L213" s="88" t="str">
        <f>IF(N(L168)=0,"",IFERROR(L168/L165,0))</f>
        <v/>
      </c>
      <c r="M213" s="88" t="str">
        <f>IF(N(M168)=0,"",IFERROR(M168/M165,0))</f>
        <v/>
      </c>
      <c r="N213" s="89" t="str">
        <f>IF(N(N168)=0,"",IFERROR(N168/N165,0))</f>
        <v/>
      </c>
      <c r="O213" s="88" t="str">
        <f>IF(N(O168)=0,"",IFERROR(O168/O165,0))</f>
        <v/>
      </c>
      <c r="P213" s="88" t="str">
        <f>IF(N(P168)=0,"",IFERROR(P168/P165,0))</f>
        <v/>
      </c>
      <c r="Q213" s="88" t="str">
        <f>IF(N(Q168)=0,"",IFERROR(Q168/Q165,0))</f>
        <v/>
      </c>
      <c r="R213" s="88" t="str">
        <f>IF(N(R168)=0,"",IFERROR(R168/R165,0))</f>
        <v/>
      </c>
      <c r="S213" s="89" t="str">
        <f>IF(N(S168)=0,"",IFERROR(S168/S165,0))</f>
        <v/>
      </c>
      <c r="T213" s="88" t="str">
        <f>IF(N(T168)=0,"",IFERROR(T168/T165,0))</f>
        <v/>
      </c>
      <c r="U213" s="88" t="str">
        <f>IF(N(U168)=0,"",IFERROR(U168/U165,0))</f>
        <v/>
      </c>
      <c r="V213" s="88" t="str">
        <f>IF(N(V168)=0,"",IFERROR(V168/V165,0))</f>
        <v/>
      </c>
      <c r="W213" s="88" t="str">
        <f>IF(N(W168)=0,"",IFERROR(W168/W165,0))</f>
        <v/>
      </c>
      <c r="X213" s="89" t="str">
        <f>IF(N(X168)=0,"",IFERROR(X168/X165,0))</f>
        <v/>
      </c>
      <c r="Y213" s="88" t="str">
        <f>IF(N(Y168)=0,"",IFERROR(Y168/Y165,0))</f>
        <v/>
      </c>
      <c r="Z213" s="88" t="str">
        <f>IF(N(Z168)=0,"",IFERROR(Z168/Z165,0))</f>
        <v/>
      </c>
      <c r="AA213" s="88" t="str">
        <f>IF(N(AA168)=0,"",IFERROR(AA168/AA165,0))</f>
        <v/>
      </c>
      <c r="AB213" s="88" t="str">
        <f>IF(N(AB168)=0,"",IFERROR(AB168/AB165,0))</f>
        <v/>
      </c>
      <c r="AC213" s="89" t="str">
        <f>IF(N(AC168)=0,"",IFERROR(AC168/AC165,0))</f>
        <v/>
      </c>
      <c r="AD213" s="88" t="str">
        <f>IF(N(AD168)=0,"",IFERROR(AD168/AD165,0))</f>
        <v/>
      </c>
      <c r="AE213" s="88" t="str">
        <f>IF(N(AE168)=0,"",IFERROR(AE168/AE165,0))</f>
        <v/>
      </c>
      <c r="AF213" s="88" t="str">
        <f>IF(N(AF168)=0,"",IFERROR(AF168/AF165,0))</f>
        <v/>
      </c>
      <c r="AG213" s="88" t="str">
        <f>IF(N(AG168)=0,"",IFERROR(AG168/AG165,0))</f>
        <v/>
      </c>
      <c r="AH213" s="89" t="str">
        <f>IF(N(AH168)=0,"",IFERROR(AH168/AH165,0))</f>
        <v/>
      </c>
      <c r="AI213" s="88" t="str">
        <f>IF(N(AI168)=0,"",IFERROR(AI168/AI165,0))</f>
        <v/>
      </c>
      <c r="AJ213" s="88" t="str">
        <f>IF(N(AJ168)=0,"",IFERROR(AJ168/AJ165,0))</f>
        <v/>
      </c>
      <c r="AK213" s="88" t="str">
        <f>IF(N(AK168)=0,"",IFERROR(AK168/AK165,0))</f>
        <v/>
      </c>
      <c r="AL213" s="88" t="str">
        <f>IF(N(AL168)=0,"",IFERROR(AL168/AL165,0))</f>
        <v/>
      </c>
      <c r="AM213" s="89" t="str">
        <f>IF(N(AM168)=0,"",IFERROR(AM168/AM165,0))</f>
        <v/>
      </c>
      <c r="AN213" s="88" t="str">
        <f>IF(N(AN168)=0,"",IFERROR(AN168/AN165,0))</f>
        <v/>
      </c>
      <c r="AO213" s="88" t="str">
        <f>IF(N(AO168)=0,"",IFERROR(AO168/AO165,0))</f>
        <v/>
      </c>
      <c r="AP213" s="88" t="str">
        <f>IF(N(AP168)=0,"",IFERROR(AP168/AP165,0))</f>
        <v/>
      </c>
      <c r="AQ213" s="88" t="str">
        <f>IF(N(AQ168)=0,"",IFERROR(AQ168/AQ165,0))</f>
        <v/>
      </c>
      <c r="AR213" s="89" t="str">
        <f>IF(N(AR168)=0,"",IFERROR(AR168/AR165,0))</f>
        <v/>
      </c>
      <c r="AS213" s="88" t="str">
        <f>IF(N(AS168)=0,"",IFERROR(AS168/AS165,0))</f>
        <v/>
      </c>
      <c r="AT213" s="88" t="str">
        <f>IF(N(AT168)=0,"",IFERROR(AT168/AT165,0))</f>
        <v/>
      </c>
      <c r="AU213" s="88" t="str">
        <f>IF(N(AU168)=0,"",IFERROR(AU168/AU165,0))</f>
        <v/>
      </c>
      <c r="AV213" s="88" t="str">
        <f>IF(N(AV168)=0,"",IFERROR(AV168/AV165,0))</f>
        <v/>
      </c>
      <c r="AW213" s="89" t="str">
        <f>IF(N(AW168)=0,"",IFERROR(AW168/AW165,0))</f>
        <v/>
      </c>
      <c r="AX213" s="88" t="str">
        <f>IF(N(AX168)=0,"",IFERROR(AX168/AX165,0))</f>
        <v/>
      </c>
      <c r="AY213" s="88" t="str">
        <f>IF(N(AY168)=0,"",IFERROR(AY168/AY165,0))</f>
        <v/>
      </c>
      <c r="AZ213" s="88" t="str">
        <f>IF(N(AZ168)=0,"",IFERROR(AZ168/AZ165,0))</f>
        <v/>
      </c>
      <c r="BA213" s="88" t="str">
        <f>IF(N(BA168)=0,"",IFERROR(BA168/BA165,0))</f>
        <v/>
      </c>
      <c r="BB213" s="89" t="str">
        <f>IF(N(BB168)=0,"",IFERROR(BB168/BB165,0))</f>
        <v/>
      </c>
      <c r="BC213" s="88" t="str">
        <f>IF(N(BC168)=0,"",IFERROR(BC168/BC165,0))</f>
        <v/>
      </c>
      <c r="BD213" s="88" t="str">
        <f>IF(N(BD168)=0,"",IFERROR(BD168/BD165,0))</f>
        <v/>
      </c>
      <c r="BE213" s="88" t="str">
        <f>IF(N(BE168)=0,"",IFERROR(BE168/BE165,0))</f>
        <v/>
      </c>
      <c r="BF213" s="88" t="str">
        <f>IF(N(BF168)=0,"",IFERROR(BF168/BF165,0))</f>
        <v/>
      </c>
      <c r="BG213" s="89" t="str">
        <f>IF(N(BG168)=0,"",IFERROR(BG168/BG165,0))</f>
        <v/>
      </c>
    </row>
    <row r="214">
      <c r="C214" s="11" t="inlineStr">
        <is>
          <t>Cobertura do nonaccrual (ACL / nonaccrual)</t>
        </is>
      </c>
      <c r="D214" s="12" t="inlineStr">
        <is>
          <t>ACL over nonaccrual</t>
        </is>
      </c>
      <c r="E214" s="88" t="str">
        <f>IF(N(E167)=0,"",IFERROR(E166/E167,0))</f>
        <v/>
      </c>
      <c r="F214" s="88" t="str">
        <f>IF(N(F167)=0,"",IFERROR(F166/F167,0))</f>
        <v/>
      </c>
      <c r="G214" s="88" t="str">
        <f>IF(N(G167)=0,"",IFERROR(G166/G167,0))</f>
        <v/>
      </c>
      <c r="H214" s="88" t="str">
        <f>IF(N(H167)=0,"",IFERROR(H166/H167,0))</f>
        <v/>
      </c>
      <c r="I214" s="89" t="str">
        <f>IF(N(I167)=0,"",IFERROR(I166/I167,0))</f>
        <v/>
      </c>
      <c r="J214" s="88" t="str">
        <f>IF(N(J167)=0,"",IFERROR(J166/J167,0))</f>
        <v/>
      </c>
      <c r="K214" s="88" t="str">
        <f>IF(N(K167)=0,"",IFERROR(K166/K167,0))</f>
        <v/>
      </c>
      <c r="L214" s="88" t="str">
        <f>IF(N(L167)=0,"",IFERROR(L166/L167,0))</f>
        <v/>
      </c>
      <c r="M214" s="88" t="str">
        <f>IF(N(M167)=0,"",IFERROR(M166/M167,0))</f>
        <v/>
      </c>
      <c r="N214" s="89" t="str">
        <f>IF(N(N167)=0,"",IFERROR(N166/N167,0))</f>
        <v/>
      </c>
      <c r="O214" s="88" t="str">
        <f>IF(N(O167)=0,"",IFERROR(O166/O167,0))</f>
        <v/>
      </c>
      <c r="P214" s="88" t="str">
        <f>IF(N(P167)=0,"",IFERROR(P166/P167,0))</f>
        <v/>
      </c>
      <c r="Q214" s="88" t="str">
        <f>IF(N(Q167)=0,"",IFERROR(Q166/Q167,0))</f>
        <v/>
      </c>
      <c r="R214" s="88" t="str">
        <f>IF(N(R167)=0,"",IFERROR(R166/R167,0))</f>
        <v/>
      </c>
      <c r="S214" s="89" t="str">
        <f>IF(N(S167)=0,"",IFERROR(S166/S167,0))</f>
        <v/>
      </c>
      <c r="T214" s="88" t="str">
        <f>IF(N(T167)=0,"",IFERROR(T166/T167,0))</f>
        <v/>
      </c>
      <c r="U214" s="88" t="str">
        <f>IF(N(U167)=0,"",IFERROR(U166/U167,0))</f>
        <v/>
      </c>
      <c r="V214" s="88" t="str">
        <f>IF(N(V167)=0,"",IFERROR(V166/V167,0))</f>
        <v/>
      </c>
      <c r="W214" s="88" t="str">
        <f>IF(N(W167)=0,"",IFERROR(W166/W167,0))</f>
        <v/>
      </c>
      <c r="X214" s="89" t="str">
        <f>IF(N(X167)=0,"",IFERROR(X166/X167,0))</f>
        <v/>
      </c>
      <c r="Y214" s="88" t="str">
        <f>IF(N(Y167)=0,"",IFERROR(Y166/Y167,0))</f>
        <v/>
      </c>
      <c r="Z214" s="88" t="str">
        <f>IF(N(Z167)=0,"",IFERROR(Z166/Z167,0))</f>
        <v/>
      </c>
      <c r="AA214" s="88" t="str">
        <f>IF(N(AA167)=0,"",IFERROR(AA166/AA167,0))</f>
        <v/>
      </c>
      <c r="AB214" s="88" t="str">
        <f>IF(N(AB167)=0,"",IFERROR(AB166/AB167,0))</f>
        <v/>
      </c>
      <c r="AC214" s="89" t="str">
        <f>IF(N(AC167)=0,"",IFERROR(AC166/AC167,0))</f>
        <v/>
      </c>
      <c r="AD214" s="88" t="str">
        <f>IF(N(AD167)=0,"",IFERROR(AD166/AD167,0))</f>
        <v/>
      </c>
      <c r="AE214" s="88" t="str">
        <f>IF(N(AE167)=0,"",IFERROR(AE166/AE167,0))</f>
        <v/>
      </c>
      <c r="AF214" s="88" t="str">
        <f>IF(N(AF167)=0,"",IFERROR(AF166/AF167,0))</f>
        <v/>
      </c>
      <c r="AG214" s="88" t="str">
        <f>IF(N(AG167)=0,"",IFERROR(AG166/AG167,0))</f>
        <v/>
      </c>
      <c r="AH214" s="89" t="str">
        <f>IF(N(AH167)=0,"",IFERROR(AH166/AH167,0))</f>
        <v/>
      </c>
      <c r="AI214" s="88" t="str">
        <f>IF(N(AI167)=0,"",IFERROR(AI166/AI167,0))</f>
        <v/>
      </c>
      <c r="AJ214" s="88" t="str">
        <f>IF(N(AJ167)=0,"",IFERROR(AJ166/AJ167,0))</f>
        <v/>
      </c>
      <c r="AK214" s="88" t="str">
        <f>IF(N(AK167)=0,"",IFERROR(AK166/AK167,0))</f>
        <v/>
      </c>
      <c r="AL214" s="88" t="str">
        <f>IF(N(AL167)=0,"",IFERROR(AL166/AL167,0))</f>
        <v/>
      </c>
      <c r="AM214" s="89" t="str">
        <f>IF(N(AM167)=0,"",IFERROR(AM166/AM167,0))</f>
        <v/>
      </c>
      <c r="AN214" s="88" t="str">
        <f>IF(N(AN167)=0,"",IFERROR(AN166/AN167,0))</f>
        <v/>
      </c>
      <c r="AO214" s="88" t="str">
        <f>IF(N(AO167)=0,"",IFERROR(AO166/AO167,0))</f>
        <v/>
      </c>
      <c r="AP214" s="88" t="str">
        <f>IF(N(AP167)=0,"",IFERROR(AP166/AP167,0))</f>
        <v/>
      </c>
      <c r="AQ214" s="88" t="str">
        <f>IF(N(AQ167)=0,"",IFERROR(AQ166/AQ167,0))</f>
        <v/>
      </c>
      <c r="AR214" s="89" t="str">
        <f>IF(N(AR167)=0,"",IFERROR(AR166/AR167,0))</f>
        <v/>
      </c>
      <c r="AS214" s="88" t="str">
        <f>IF(N(AS167)=0,"",IFERROR(AS166/AS167,0))</f>
        <v/>
      </c>
      <c r="AT214" s="88" t="str">
        <f>IF(N(AT167)=0,"",IFERROR(AT166/AT167,0))</f>
        <v/>
      </c>
      <c r="AU214" s="88" t="str">
        <f>IF(N(AU167)=0,"",IFERROR(AU166/AU167,0))</f>
        <v/>
      </c>
      <c r="AV214" s="88" t="str">
        <f>IF(N(AV167)=0,"",IFERROR(AV166/AV167,0))</f>
        <v/>
      </c>
      <c r="AW214" s="89" t="str">
        <f>IF(N(AW167)=0,"",IFERROR(AW166/AW167,0))</f>
        <v/>
      </c>
      <c r="AX214" s="88" t="str">
        <f>IF(N(AX167)=0,"",IFERROR(AX166/AX167,0))</f>
        <v/>
      </c>
      <c r="AY214" s="88" t="str">
        <f>IF(N(AY167)=0,"",IFERROR(AY166/AY167,0))</f>
        <v/>
      </c>
      <c r="AZ214" s="88" t="str">
        <f>IF(N(AZ167)=0,"",IFERROR(AZ166/AZ167,0))</f>
        <v/>
      </c>
      <c r="BA214" s="88" t="str">
        <f>IF(N(BA167)=0,"",IFERROR(BA166/BA167,0))</f>
        <v/>
      </c>
      <c r="BB214" s="89" t="str">
        <f>IF(N(BB167)=0,"",IFERROR(BB166/BB167,0))</f>
        <v/>
      </c>
      <c r="BC214" s="88" t="str">
        <f>IF(N(BC167)=0,"",IFERROR(BC166/BC167,0))</f>
        <v/>
      </c>
      <c r="BD214" s="88" t="str">
        <f>IF(N(BD167)=0,"",IFERROR(BD166/BD167,0))</f>
        <v/>
      </c>
      <c r="BE214" s="88" t="str">
        <f>IF(N(BE167)=0,"",IFERROR(BE166/BE167,0))</f>
        <v/>
      </c>
      <c r="BF214" s="88" t="str">
        <f>IF(N(BF167)=0,"",IFERROR(BF166/BF167,0))</f>
        <v/>
      </c>
      <c r="BG214" s="89" t="str">
        <f>IF(N(BG167)=0,"",IFERROR(BG166/BG167,0))</f>
        <v/>
      </c>
    </row>
    <row r="215">
      <c r="C215" s="11" t="inlineStr">
        <is>
          <t>ACL total, incluindo compromissos (% dos empréstimos)</t>
        </is>
      </c>
      <c r="D215" s="12" t="inlineStr">
        <is>
          <t>Total ACL incl. commitments over loans</t>
        </is>
      </c>
      <c r="E215" s="88">
        <f>IFERROR((E166+E172)/E165,0)</f>
        <v>0</v>
      </c>
      <c r="F215" s="88">
        <f>IFERROR((F166+F172)/F165,0)</f>
        <v>0</v>
      </c>
      <c r="G215" s="88">
        <f>IFERROR((G166+G172)/G165,0)</f>
        <v>0</v>
      </c>
      <c r="H215" s="88">
        <f>IFERROR((H166+H172)/H165,0)</f>
        <v>0</v>
      </c>
      <c r="I215" s="89">
        <f>IFERROR((I166+I172)/I165,0)</f>
        <v>0</v>
      </c>
      <c r="J215" s="88">
        <f>IFERROR((J166+J172)/J165,0)</f>
        <v>0</v>
      </c>
      <c r="K215" s="88">
        <f>IFERROR((K166+K172)/K165,0)</f>
        <v>0</v>
      </c>
      <c r="L215" s="88">
        <f>IFERROR((L166+L172)/L165,0)</f>
        <v>0</v>
      </c>
      <c r="M215" s="88">
        <f>IFERROR((M166+M172)/M165,0)</f>
        <v>0</v>
      </c>
      <c r="N215" s="89">
        <f>IFERROR((N166+N172)/N165,0)</f>
        <v>0</v>
      </c>
      <c r="O215" s="88">
        <f>IFERROR((O166+O172)/O165,0)</f>
        <v>0</v>
      </c>
      <c r="P215" s="88">
        <f>IFERROR((P166+P172)/P165,0)</f>
        <v>0</v>
      </c>
      <c r="Q215" s="88">
        <f>IFERROR((Q166+Q172)/Q165,0)</f>
        <v>0</v>
      </c>
      <c r="R215" s="88">
        <f>IFERROR((R166+R172)/R165,0)</f>
        <v>0</v>
      </c>
      <c r="S215" s="89">
        <f>IFERROR((S166+S172)/S165,0)</f>
        <v>0</v>
      </c>
      <c r="T215" s="88">
        <f>IFERROR((T166+T172)/T165,0)</f>
        <v>0</v>
      </c>
      <c r="U215" s="88">
        <f>IFERROR((U166+U172)/U165,0)</f>
        <v>0</v>
      </c>
      <c r="V215" s="88">
        <f>IFERROR((V166+V172)/V165,0)</f>
        <v>0</v>
      </c>
      <c r="W215" s="88">
        <f>IFERROR((W166+W172)/W165,0)</f>
        <v>0</v>
      </c>
      <c r="X215" s="89">
        <f>IFERROR((X166+X172)/X165,0)</f>
        <v>0</v>
      </c>
      <c r="Y215" s="88">
        <f>IFERROR((Y166+Y172)/Y165,0)</f>
        <v>0</v>
      </c>
      <c r="Z215" s="88">
        <f>IFERROR((Z166+Z172)/Z165,0)</f>
        <v>0</v>
      </c>
      <c r="AA215" s="88">
        <f>IFERROR((AA166+AA172)/AA165,0)</f>
        <v>0</v>
      </c>
      <c r="AB215" s="88">
        <f>IFERROR((AB166+AB172)/AB165,0)</f>
        <v>0</v>
      </c>
      <c r="AC215" s="89">
        <f>IFERROR((AC166+AC172)/AC165,0)</f>
        <v>0</v>
      </c>
      <c r="AD215" s="88">
        <f>IFERROR((AD166+AD172)/AD165,0)</f>
        <v>0</v>
      </c>
      <c r="AE215" s="88">
        <f>IFERROR((AE166+AE172)/AE165,0)</f>
        <v>0</v>
      </c>
      <c r="AF215" s="88">
        <f>IFERROR((AF166+AF172)/AF165,0)</f>
        <v>0</v>
      </c>
      <c r="AG215" s="88">
        <f>IFERROR((AG166+AG172)/AG165,0)</f>
        <v>0</v>
      </c>
      <c r="AH215" s="89">
        <f>IFERROR((AH166+AH172)/AH165,0)</f>
        <v>0</v>
      </c>
      <c r="AI215" s="88">
        <f>IFERROR((AI166+AI172)/AI165,0)</f>
        <v>0</v>
      </c>
      <c r="AJ215" s="88">
        <f>IFERROR((AJ166+AJ172)/AJ165,0)</f>
        <v>0</v>
      </c>
      <c r="AK215" s="88">
        <f>IFERROR((AK166+AK172)/AK165,0)</f>
        <v>0</v>
      </c>
      <c r="AL215" s="88">
        <f>IFERROR((AL166+AL172)/AL165,0)</f>
        <v>0</v>
      </c>
      <c r="AM215" s="89">
        <f>IFERROR((AM166+AM172)/AM165,0)</f>
        <v>0</v>
      </c>
      <c r="AN215" s="88">
        <f>IFERROR((AN166+AN172)/AN165,0)</f>
        <v>0</v>
      </c>
      <c r="AO215" s="88">
        <f>IFERROR((AO166+AO172)/AO165,0)</f>
        <v>0</v>
      </c>
      <c r="AP215" s="88">
        <f>IFERROR((AP166+AP172)/AP165,0)</f>
        <v>0</v>
      </c>
      <c r="AQ215" s="88">
        <f>IFERROR((AQ166+AQ172)/AQ165,0)</f>
        <v>0</v>
      </c>
      <c r="AR215" s="89">
        <f>IFERROR((AR166+AR172)/AR165,0)</f>
        <v>0</v>
      </c>
      <c r="AS215" s="88">
        <f>IFERROR((AS166+AS172)/AS165,0)</f>
        <v>0</v>
      </c>
      <c r="AT215" s="88">
        <f>IFERROR((AT166+AT172)/AT165,0)</f>
        <v>0</v>
      </c>
      <c r="AU215" s="88">
        <f>IFERROR((AU166+AU172)/AU165,0)</f>
        <v>0</v>
      </c>
      <c r="AV215" s="88">
        <f>IFERROR((AV166+AV172)/AV165,0)</f>
        <v>0</v>
      </c>
      <c r="AW215" s="89">
        <f>IFERROR((AW166+AW172)/AW165,0)</f>
        <v>0</v>
      </c>
      <c r="AX215" s="88">
        <f>IFERROR((AX166+AX172)/AX165,0)</f>
        <v>0</v>
      </c>
      <c r="AY215" s="88">
        <f>IFERROR((AY166+AY172)/AY165,0)</f>
        <v>0</v>
      </c>
      <c r="AZ215" s="88">
        <f>IFERROR((AZ166+AZ172)/AZ165,0)</f>
        <v>0</v>
      </c>
      <c r="BA215" s="88">
        <f>IFERROR((BA166+BA172)/BA165,0)</f>
        <v>0</v>
      </c>
      <c r="BB215" s="89">
        <f>IFERROR((BB166+BB172)/BB165,0)</f>
        <v>0</v>
      </c>
      <c r="BC215" s="88">
        <f>IFERROR((BC166+BC172)/BC165,0)</f>
        <v>0</v>
      </c>
      <c r="BD215" s="88">
        <f>IFERROR((BD166+BD172)/BD165,0)</f>
        <v>0</v>
      </c>
      <c r="BE215" s="88">
        <f>IFERROR((BE166+BE172)/BE165,0)</f>
        <v>0</v>
      </c>
      <c r="BF215" s="88">
        <f>IFERROR((BF166+BF172)/BF165,0)</f>
        <v>0</v>
      </c>
      <c r="BG215" s="89">
        <f>IFERROR((BG166+BG172)/BG165,0)</f>
        <v>0</v>
      </c>
      <c r="BI215" s="14" t="inlineStr">
        <is>
          <t>Na projeção o saldo de provisão de cada estágio cresce junto com a carteira, mantendo a cobertura do último trimestre reportado.</t>
        </is>
      </c>
    </row>
    <row r="216">
      <c r="C216" s="11" t="inlineStr">
        <is>
          <t>Cobertura de NPA (ACL / NPA)</t>
        </is>
      </c>
      <c r="D216" s="12" t="inlineStr">
        <is>
          <t>ACL over NPA</t>
        </is>
      </c>
      <c r="E216" s="88" t="str">
        <f>IF(N(E168)=0,"",IFERROR(E166/E168,0))</f>
        <v/>
      </c>
      <c r="F216" s="88" t="str">
        <f>IF(N(F168)=0,"",IFERROR(F166/F168,0))</f>
        <v/>
      </c>
      <c r="G216" s="88" t="str">
        <f>IF(N(G168)=0,"",IFERROR(G166/G168,0))</f>
        <v/>
      </c>
      <c r="H216" s="88" t="str">
        <f>IF(N(H168)=0,"",IFERROR(H166/H168,0))</f>
        <v/>
      </c>
      <c r="I216" s="89" t="str">
        <f>IF(N(I168)=0,"",IFERROR(I166/I168,0))</f>
        <v/>
      </c>
      <c r="J216" s="88" t="str">
        <f>IF(N(J168)=0,"",IFERROR(J166/J168,0))</f>
        <v/>
      </c>
      <c r="K216" s="88" t="str">
        <f>IF(N(K168)=0,"",IFERROR(K166/K168,0))</f>
        <v/>
      </c>
      <c r="L216" s="88" t="str">
        <f>IF(N(L168)=0,"",IFERROR(L166/L168,0))</f>
        <v/>
      </c>
      <c r="M216" s="88" t="str">
        <f>IF(N(M168)=0,"",IFERROR(M166/M168,0))</f>
        <v/>
      </c>
      <c r="N216" s="89" t="str">
        <f>IF(N(N168)=0,"",IFERROR(N166/N168,0))</f>
        <v/>
      </c>
      <c r="O216" s="88" t="str">
        <f>IF(N(O168)=0,"",IFERROR(O166/O168,0))</f>
        <v/>
      </c>
      <c r="P216" s="88" t="str">
        <f>IF(N(P168)=0,"",IFERROR(P166/P168,0))</f>
        <v/>
      </c>
      <c r="Q216" s="88" t="str">
        <f>IF(N(Q168)=0,"",IFERROR(Q166/Q168,0))</f>
        <v/>
      </c>
      <c r="R216" s="88" t="str">
        <f>IF(N(R168)=0,"",IFERROR(R166/R168,0))</f>
        <v/>
      </c>
      <c r="S216" s="89" t="str">
        <f>IF(N(S168)=0,"",IFERROR(S166/S168,0))</f>
        <v/>
      </c>
      <c r="T216" s="88" t="str">
        <f>IF(N(T168)=0,"",IFERROR(T166/T168,0))</f>
        <v/>
      </c>
      <c r="U216" s="88" t="str">
        <f>IF(N(U168)=0,"",IFERROR(U166/U168,0))</f>
        <v/>
      </c>
      <c r="V216" s="88" t="str">
        <f>IF(N(V168)=0,"",IFERROR(V166/V168,0))</f>
        <v/>
      </c>
      <c r="W216" s="88" t="str">
        <f>IF(N(W168)=0,"",IFERROR(W166/W168,0))</f>
        <v/>
      </c>
      <c r="X216" s="89" t="str">
        <f>IF(N(X168)=0,"",IFERROR(X166/X168,0))</f>
        <v/>
      </c>
      <c r="Y216" s="88" t="str">
        <f>IF(N(Y168)=0,"",IFERROR(Y166/Y168,0))</f>
        <v/>
      </c>
      <c r="Z216" s="88" t="str">
        <f>IF(N(Z168)=0,"",IFERROR(Z166/Z168,0))</f>
        <v/>
      </c>
      <c r="AA216" s="88" t="str">
        <f>IF(N(AA168)=0,"",IFERROR(AA166/AA168,0))</f>
        <v/>
      </c>
      <c r="AB216" s="88" t="str">
        <f>IF(N(AB168)=0,"",IFERROR(AB166/AB168,0))</f>
        <v/>
      </c>
      <c r="AC216" s="89" t="str">
        <f>IF(N(AC168)=0,"",IFERROR(AC166/AC168,0))</f>
        <v/>
      </c>
      <c r="AD216" s="88" t="str">
        <f>IF(N(AD168)=0,"",IFERROR(AD166/AD168,0))</f>
        <v/>
      </c>
      <c r="AE216" s="88" t="str">
        <f>IF(N(AE168)=0,"",IFERROR(AE166/AE168,0))</f>
        <v/>
      </c>
      <c r="AF216" s="88" t="str">
        <f>IF(N(AF168)=0,"",IFERROR(AF166/AF168,0))</f>
        <v/>
      </c>
      <c r="AG216" s="88" t="str">
        <f>IF(N(AG168)=0,"",IFERROR(AG166/AG168,0))</f>
        <v/>
      </c>
      <c r="AH216" s="89" t="str">
        <f>IF(N(AH168)=0,"",IFERROR(AH166/AH168,0))</f>
        <v/>
      </c>
      <c r="AI216" s="88" t="str">
        <f>IF(N(AI168)=0,"",IFERROR(AI166/AI168,0))</f>
        <v/>
      </c>
      <c r="AJ216" s="88" t="str">
        <f>IF(N(AJ168)=0,"",IFERROR(AJ166/AJ168,0))</f>
        <v/>
      </c>
      <c r="AK216" s="88" t="str">
        <f>IF(N(AK168)=0,"",IFERROR(AK166/AK168,0))</f>
        <v/>
      </c>
      <c r="AL216" s="88" t="str">
        <f>IF(N(AL168)=0,"",IFERROR(AL166/AL168,0))</f>
        <v/>
      </c>
      <c r="AM216" s="89" t="str">
        <f>IF(N(AM168)=0,"",IFERROR(AM166/AM168,0))</f>
        <v/>
      </c>
      <c r="AN216" s="88" t="str">
        <f>IF(N(AN168)=0,"",IFERROR(AN166/AN168,0))</f>
        <v/>
      </c>
      <c r="AO216" s="88" t="str">
        <f>IF(N(AO168)=0,"",IFERROR(AO166/AO168,0))</f>
        <v/>
      </c>
      <c r="AP216" s="88" t="str">
        <f>IF(N(AP168)=0,"",IFERROR(AP166/AP168,0))</f>
        <v/>
      </c>
      <c r="AQ216" s="88" t="str">
        <f>IF(N(AQ168)=0,"",IFERROR(AQ166/AQ168,0))</f>
        <v/>
      </c>
      <c r="AR216" s="89" t="str">
        <f>IF(N(AR168)=0,"",IFERROR(AR166/AR168,0))</f>
        <v/>
      </c>
      <c r="AS216" s="88" t="str">
        <f>IF(N(AS168)=0,"",IFERROR(AS166/AS168,0))</f>
        <v/>
      </c>
      <c r="AT216" s="88" t="str">
        <f>IF(N(AT168)=0,"",IFERROR(AT166/AT168,0))</f>
        <v/>
      </c>
      <c r="AU216" s="88" t="str">
        <f>IF(N(AU168)=0,"",IFERROR(AU166/AU168,0))</f>
        <v/>
      </c>
      <c r="AV216" s="88" t="str">
        <f>IF(N(AV168)=0,"",IFERROR(AV166/AV168,0))</f>
        <v/>
      </c>
      <c r="AW216" s="89" t="str">
        <f>IF(N(AW168)=0,"",IFERROR(AW166/AW168,0))</f>
        <v/>
      </c>
      <c r="AX216" s="88" t="str">
        <f>IF(N(AX168)=0,"",IFERROR(AX166/AX168,0))</f>
        <v/>
      </c>
      <c r="AY216" s="88" t="str">
        <f>IF(N(AY168)=0,"",IFERROR(AY166/AY168,0))</f>
        <v/>
      </c>
      <c r="AZ216" s="88" t="str">
        <f>IF(N(AZ168)=0,"",IFERROR(AZ166/AZ168,0))</f>
        <v/>
      </c>
      <c r="BA216" s="88" t="str">
        <f>IF(N(BA168)=0,"",IFERROR(BA166/BA168,0))</f>
        <v/>
      </c>
      <c r="BB216" s="89" t="str">
        <f>IF(N(BB168)=0,"",IFERROR(BB166/BB168,0))</f>
        <v/>
      </c>
      <c r="BC216" s="88" t="str">
        <f>IF(N(BC168)=0,"",IFERROR(BC166/BC168,0))</f>
        <v/>
      </c>
      <c r="BD216" s="88" t="str">
        <f>IF(N(BD168)=0,"",IFERROR(BD166/BD168,0))</f>
        <v/>
      </c>
      <c r="BE216" s="88" t="str">
        <f>IF(N(BE168)=0,"",IFERROR(BE166/BE168,0))</f>
        <v/>
      </c>
      <c r="BF216" s="88" t="str">
        <f>IF(N(BF168)=0,"",IFERROR(BF166/BF168,0))</f>
        <v/>
      </c>
      <c r="BG216" s="89" t="str">
        <f>IF(N(BG168)=0,"",IFERROR(BG166/BG168,0))</f>
        <v/>
      </c>
    </row>
    <row r="217">
      <c r="C217" s="11" t="inlineStr">
        <is>
          <t>ACL / empréstimos (%)</t>
        </is>
      </c>
      <c r="D217" s="12" t="inlineStr">
        <is>
          <t>ACL over loans</t>
        </is>
      </c>
      <c r="E217" s="88">
        <f>IFERROR(E166/E165,0)</f>
        <v>0</v>
      </c>
      <c r="F217" s="88">
        <f>IFERROR(F166/F165,0)</f>
        <v>0</v>
      </c>
      <c r="G217" s="88">
        <f>IFERROR(G166/G165,0)</f>
        <v>0</v>
      </c>
      <c r="H217" s="88">
        <f>IFERROR(H166/H165,0)</f>
        <v>0</v>
      </c>
      <c r="I217" s="89">
        <f>IFERROR(I166/I165,0)</f>
        <v>0</v>
      </c>
      <c r="J217" s="88">
        <f>IFERROR(J166/J165,0)</f>
        <v>0</v>
      </c>
      <c r="K217" s="88">
        <f>IFERROR(K166/K165,0)</f>
        <v>0</v>
      </c>
      <c r="L217" s="88">
        <f>IFERROR(L166/L165,0)</f>
        <v>0</v>
      </c>
      <c r="M217" s="88">
        <f>IFERROR(M166/M165,0)</f>
        <v>0</v>
      </c>
      <c r="N217" s="89">
        <f>IFERROR(N166/N165,0)</f>
        <v>0</v>
      </c>
      <c r="O217" s="88">
        <f>IFERROR(O166/O165,0)</f>
        <v>0</v>
      </c>
      <c r="P217" s="88">
        <f>IFERROR(P166/P165,0)</f>
        <v>0</v>
      </c>
      <c r="Q217" s="88">
        <f>IFERROR(Q166/Q165,0)</f>
        <v>0</v>
      </c>
      <c r="R217" s="88">
        <f>IFERROR(R166/R165,0)</f>
        <v>0</v>
      </c>
      <c r="S217" s="89">
        <f>IFERROR(S166/S165,0)</f>
        <v>0</v>
      </c>
      <c r="T217" s="88">
        <f>IFERROR(T166/T165,0)</f>
        <v>0</v>
      </c>
      <c r="U217" s="88">
        <f>IFERROR(U166/U165,0)</f>
        <v>0</v>
      </c>
      <c r="V217" s="88">
        <f>IFERROR(V166/V165,0)</f>
        <v>0</v>
      </c>
      <c r="W217" s="88">
        <f>IFERROR(W166/W165,0)</f>
        <v>0</v>
      </c>
      <c r="X217" s="89">
        <f>IFERROR(X166/X165,0)</f>
        <v>0</v>
      </c>
      <c r="Y217" s="88">
        <f>IFERROR(Y166/Y165,0)</f>
        <v>0</v>
      </c>
      <c r="Z217" s="88">
        <f>IFERROR(Z166/Z165,0)</f>
        <v>0</v>
      </c>
      <c r="AA217" s="88">
        <f>IFERROR(AA166/AA165,0)</f>
        <v>0</v>
      </c>
      <c r="AB217" s="88">
        <f>IFERROR(AB166/AB165,0)</f>
        <v>0</v>
      </c>
      <c r="AC217" s="89">
        <f>IFERROR(AC166/AC165,0)</f>
        <v>0</v>
      </c>
      <c r="AD217" s="88">
        <f>IFERROR(AD166/AD165,0)</f>
        <v>0</v>
      </c>
      <c r="AE217" s="88">
        <f>IFERROR(AE166/AE165,0)</f>
        <v>0</v>
      </c>
      <c r="AF217" s="88">
        <f>IFERROR(AF166/AF165,0)</f>
        <v>0</v>
      </c>
      <c r="AG217" s="88">
        <f>IFERROR(AG166/AG165,0)</f>
        <v>0</v>
      </c>
      <c r="AH217" s="89">
        <f>IFERROR(AH166/AH165,0)</f>
        <v>0</v>
      </c>
      <c r="AI217" s="88">
        <f>IFERROR(AI166/AI165,0)</f>
        <v>0</v>
      </c>
      <c r="AJ217" s="88">
        <f>IFERROR(AJ166/AJ165,0)</f>
        <v>0</v>
      </c>
      <c r="AK217" s="88">
        <f>IFERROR(AK166/AK165,0)</f>
        <v>0</v>
      </c>
      <c r="AL217" s="88">
        <f>IFERROR(AL166/AL165,0)</f>
        <v>0</v>
      </c>
      <c r="AM217" s="89">
        <f>IFERROR(AM166/AM165,0)</f>
        <v>0</v>
      </c>
      <c r="AN217" s="88">
        <f>IFERROR(AN166/AN165,0)</f>
        <v>0</v>
      </c>
      <c r="AO217" s="88">
        <f>IFERROR(AO166/AO165,0)</f>
        <v>0</v>
      </c>
      <c r="AP217" s="88">
        <f>IFERROR(AP166/AP165,0)</f>
        <v>0</v>
      </c>
      <c r="AQ217" s="88">
        <f>IFERROR(AQ166/AQ165,0)</f>
        <v>0</v>
      </c>
      <c r="AR217" s="89">
        <f>IFERROR(AR166/AR165,0)</f>
        <v>0</v>
      </c>
      <c r="AS217" s="88">
        <f>IFERROR(AS166/AS165,0)</f>
        <v>0</v>
      </c>
      <c r="AT217" s="88">
        <f>IFERROR(AT166/AT165,0)</f>
        <v>0</v>
      </c>
      <c r="AU217" s="88">
        <f>IFERROR(AU166/AU165,0)</f>
        <v>0</v>
      </c>
      <c r="AV217" s="88">
        <f>IFERROR(AV166/AV165,0)</f>
        <v>0</v>
      </c>
      <c r="AW217" s="89">
        <f>IFERROR(AW166/AW165,0)</f>
        <v>0</v>
      </c>
      <c r="AX217" s="88">
        <f>IFERROR(AX166/AX165,0)</f>
        <v>0</v>
      </c>
      <c r="AY217" s="88">
        <f>IFERROR(AY166/AY165,0)</f>
        <v>0</v>
      </c>
      <c r="AZ217" s="88">
        <f>IFERROR(AZ166/AZ165,0)</f>
        <v>0</v>
      </c>
      <c r="BA217" s="88">
        <f>IFERROR(BA166/BA165,0)</f>
        <v>0</v>
      </c>
      <c r="BB217" s="89">
        <f>IFERROR(BB166/BB165,0)</f>
        <v>0</v>
      </c>
      <c r="BC217" s="88">
        <f>IFERROR(BC166/BC165,0)</f>
        <v>0</v>
      </c>
      <c r="BD217" s="88">
        <f>IFERROR(BD166/BD165,0)</f>
        <v>0</v>
      </c>
      <c r="BE217" s="88">
        <f>IFERROR(BE166/BE165,0)</f>
        <v>0</v>
      </c>
      <c r="BF217" s="88">
        <f>IFERROR(BF166/BF165,0)</f>
        <v>0</v>
      </c>
      <c r="BG217" s="89">
        <f>IFERROR(BG166/BG165,0)</f>
        <v>0</v>
      </c>
    </row>
    <row r="218">
      <c r="C218" s="11" t="inlineStr">
        <is>
          <t>Custo do crédito — provisão / empréstimos médios (% a.a.)</t>
        </is>
      </c>
      <c r="D218" s="12" t="inlineStr">
        <is>
          <t>Provision over average loans</t>
        </is>
      </c>
      <c r="E218" s="88">
        <f>IFERROR(-E104*4/E138,0)</f>
        <v>0</v>
      </c>
      <c r="F218" s="88">
        <f>IFERROR(-F104*4/F138,0)</f>
        <v>0</v>
      </c>
      <c r="G218" s="88">
        <f>IFERROR(-G104*4/G138,0)</f>
        <v>0</v>
      </c>
      <c r="H218" s="88">
        <f>IFERROR(-H104*4/H138,0)</f>
        <v>0</v>
      </c>
      <c r="I218" s="89">
        <f>IFERROR(-I104*1/I138,0)</f>
        <v>0</v>
      </c>
      <c r="J218" s="88">
        <f>IFERROR(-J104*4/J138,0)</f>
        <v>0</v>
      </c>
      <c r="K218" s="88">
        <f>IFERROR(-K104*4/K138,0)</f>
        <v>0</v>
      </c>
      <c r="L218" s="88">
        <f>IFERROR(-L104*4/L138,0)</f>
        <v>0</v>
      </c>
      <c r="M218" s="88">
        <f>IFERROR(-M104*4/M138,0)</f>
        <v>0</v>
      </c>
      <c r="N218" s="89">
        <f>IFERROR(-N104*1/N138,0)</f>
        <v>0</v>
      </c>
      <c r="O218" s="88">
        <f>IFERROR(-O104*4/O138,0)</f>
        <v>0</v>
      </c>
      <c r="P218" s="88">
        <f>IFERROR(-P104*4/P138,0)</f>
        <v>0</v>
      </c>
      <c r="Q218" s="88">
        <f>IFERROR(-Q104*4/Q138,0)</f>
        <v>0</v>
      </c>
      <c r="R218" s="88">
        <f>IFERROR(-R104*4/R138,0)</f>
        <v>0</v>
      </c>
      <c r="S218" s="89">
        <f>IFERROR(-S104*1/S138,0)</f>
        <v>0</v>
      </c>
      <c r="T218" s="88">
        <f>IFERROR(-T104*4/T138,0)</f>
        <v>0</v>
      </c>
      <c r="U218" s="88">
        <f>IFERROR(-U104*4/U138,0)</f>
        <v>0</v>
      </c>
      <c r="V218" s="88">
        <f>IFERROR(-V104*4/V138,0)</f>
        <v>0</v>
      </c>
      <c r="W218" s="88">
        <f>IFERROR(-W104*4/W138,0)</f>
        <v>0</v>
      </c>
      <c r="X218" s="89">
        <f>IFERROR(-X104*1/X138,0)</f>
        <v>0</v>
      </c>
      <c r="Y218" s="88">
        <f>IFERROR(-Y104*4/Y138,0)</f>
        <v>0</v>
      </c>
      <c r="Z218" s="88">
        <f>IFERROR(-Z104*4/Z138,0)</f>
        <v>0</v>
      </c>
      <c r="AA218" s="88">
        <f>IFERROR(-AA104*4/AA138,0)</f>
        <v>0</v>
      </c>
      <c r="AB218" s="88">
        <f>IFERROR(-AB104*4/AB138,0)</f>
        <v>0</v>
      </c>
      <c r="AC218" s="89">
        <f>IFERROR(-AC104*1/AC138,0)</f>
        <v>0</v>
      </c>
      <c r="AD218" s="88">
        <f>IFERROR(-AD104*4/AD138,0)</f>
        <v>0</v>
      </c>
      <c r="AE218" s="88">
        <f>IFERROR(-AE104*4/AE138,0)</f>
        <v>0</v>
      </c>
      <c r="AF218" s="88">
        <f>IFERROR(-AF104*4/AF138,0)</f>
        <v>0</v>
      </c>
      <c r="AG218" s="88">
        <f>IFERROR(-AG104*4/AG138,0)</f>
        <v>0</v>
      </c>
      <c r="AH218" s="89">
        <f>IFERROR(-AH104*1/AH138,0)</f>
        <v>0</v>
      </c>
      <c r="AI218" s="88">
        <f>IFERROR(-AI104*4/AI138,0)</f>
        <v>0</v>
      </c>
      <c r="AJ218" s="88">
        <f>IFERROR(-AJ104*4/AJ138,0)</f>
        <v>0</v>
      </c>
      <c r="AK218" s="88">
        <f>IFERROR(-AK104*4/AK138,0)</f>
        <v>0</v>
      </c>
      <c r="AL218" s="88">
        <f>IFERROR(-AL104*4/AL138,0)</f>
        <v>0</v>
      </c>
      <c r="AM218" s="89">
        <f>IFERROR(-AM104*1/AM138,0)</f>
        <v>0</v>
      </c>
      <c r="AN218" s="88">
        <f>IFERROR(-AN104*4/AN138,0)</f>
        <v>0</v>
      </c>
      <c r="AO218" s="88">
        <f>IFERROR(-AO104*4/AO138,0)</f>
        <v>0</v>
      </c>
      <c r="AP218" s="88">
        <f>IFERROR(-AP104*4/AP138,0)</f>
        <v>0</v>
      </c>
      <c r="AQ218" s="88">
        <f>IFERROR(-AQ104*4/AQ138,0)</f>
        <v>0</v>
      </c>
      <c r="AR218" s="89">
        <f>IFERROR(-AR104*1/AR138,0)</f>
        <v>0</v>
      </c>
      <c r="AS218" s="88">
        <f>IFERROR(-AS104*4/AS138,0)</f>
        <v>0</v>
      </c>
      <c r="AT218" s="88">
        <f>IFERROR(-AT104*4/AT138,0)</f>
        <v>0</v>
      </c>
      <c r="AU218" s="88">
        <f>IFERROR(-AU104*4/AU138,0)</f>
        <v>0</v>
      </c>
      <c r="AV218" s="88">
        <f>IFERROR(-AV104*4/AV138,0)</f>
        <v>0</v>
      </c>
      <c r="AW218" s="89">
        <f>IFERROR(-AW104*1/AW138,0)</f>
        <v>0</v>
      </c>
      <c r="AX218" s="88">
        <f>IFERROR(-AX104*4/AX138,0)</f>
        <v>0</v>
      </c>
      <c r="AY218" s="88">
        <f>IFERROR(-AY104*4/AY138,0)</f>
        <v>0</v>
      </c>
      <c r="AZ218" s="88">
        <f>IFERROR(-AZ104*4/AZ138,0)</f>
        <v>0</v>
      </c>
      <c r="BA218" s="88">
        <f>IFERROR(-BA104*4/BA138,0)</f>
        <v>0</v>
      </c>
      <c r="BB218" s="89">
        <f>IFERROR(-BB104*1/BB138,0)</f>
        <v>0</v>
      </c>
      <c r="BC218" s="88">
        <f>IFERROR(-BC104*4/BC138,0)</f>
        <v>0</v>
      </c>
      <c r="BD218" s="88">
        <f>IFERROR(-BD104*4/BD138,0)</f>
        <v>0</v>
      </c>
      <c r="BE218" s="88">
        <f>IFERROR(-BE104*4/BE138,0)</f>
        <v>0</v>
      </c>
      <c r="BF218" s="88">
        <f>IFERROR(-BF104*4/BF138,0)</f>
        <v>0</v>
      </c>
      <c r="BG218" s="89">
        <f>IFERROR(-BG104*1/BG138,0)</f>
        <v>0</v>
      </c>
    </row>
    <row r="219">
      <c r="C219" s="11" t="inlineStr">
        <is>
          <t>Taxa de net charge-offs (% dos empréstimos médios, a.a.)</t>
        </is>
      </c>
      <c r="D219" s="12" t="inlineStr">
        <is>
          <t>Net charge-off rate</t>
        </is>
      </c>
      <c r="E219" s="88">
        <f>IFERROR(E171*4/E138,0)</f>
        <v>0</v>
      </c>
      <c r="F219" s="88">
        <f>IFERROR(F171*4/F138,0)</f>
        <v>0</v>
      </c>
      <c r="G219" s="88">
        <f>IFERROR(G171*4/G138,0)</f>
        <v>0</v>
      </c>
      <c r="H219" s="88">
        <f>IFERROR(H171*4/H138,0)</f>
        <v>0</v>
      </c>
      <c r="I219" s="89">
        <f>IFERROR(I171*1/I138,0)</f>
        <v>0</v>
      </c>
      <c r="J219" s="88">
        <f>IFERROR(J171*4/J138,0)</f>
        <v>0</v>
      </c>
      <c r="K219" s="88">
        <f>IFERROR(K171*4/K138,0)</f>
        <v>0</v>
      </c>
      <c r="L219" s="88">
        <f>IFERROR(L171*4/L138,0)</f>
        <v>0</v>
      </c>
      <c r="M219" s="88">
        <f>IFERROR(M171*4/M138,0)</f>
        <v>0</v>
      </c>
      <c r="N219" s="89">
        <f>IFERROR(N171*1/N138,0)</f>
        <v>0</v>
      </c>
      <c r="O219" s="88">
        <f>IFERROR(O171*4/O138,0)</f>
        <v>0</v>
      </c>
      <c r="P219" s="88">
        <f>IFERROR(P171*4/P138,0)</f>
        <v>0</v>
      </c>
      <c r="Q219" s="88">
        <f>IFERROR(Q171*4/Q138,0)</f>
        <v>0</v>
      </c>
      <c r="R219" s="88">
        <f>IFERROR(R171*4/R138,0)</f>
        <v>0</v>
      </c>
      <c r="S219" s="89">
        <f>IFERROR(S171*1/S138,0)</f>
        <v>0</v>
      </c>
      <c r="T219" s="88">
        <f>IFERROR(T171*4/T138,0)</f>
        <v>0</v>
      </c>
      <c r="U219" s="88">
        <f>IFERROR(U171*4/U138,0)</f>
        <v>0</v>
      </c>
      <c r="V219" s="88">
        <f>IFERROR(V171*4/V138,0)</f>
        <v>0</v>
      </c>
      <c r="W219" s="88">
        <f>IFERROR(W171*4/W138,0)</f>
        <v>0</v>
      </c>
      <c r="X219" s="89">
        <f>IFERROR(X171*1/X138,0)</f>
        <v>0</v>
      </c>
      <c r="Y219" s="88">
        <f>IFERROR(Y171*4/Y138,0)</f>
        <v>0</v>
      </c>
      <c r="Z219" s="88">
        <f>IFERROR(Z171*4/Z138,0)</f>
        <v>0</v>
      </c>
      <c r="AA219" s="88">
        <f>IFERROR(AA171*4/AA138,0)</f>
        <v>0</v>
      </c>
      <c r="AB219" s="88">
        <f>IFERROR(AB171*4/AB138,0)</f>
        <v>0</v>
      </c>
      <c r="AC219" s="89">
        <f>IFERROR(AC171*1/AC138,0)</f>
        <v>0</v>
      </c>
      <c r="AD219" s="88">
        <f>IFERROR(AD171*4/AD138,0)</f>
        <v>0</v>
      </c>
      <c r="AE219" s="88">
        <f>IFERROR(AE171*4/AE138,0)</f>
        <v>0</v>
      </c>
      <c r="AF219" s="88">
        <f>IFERROR(AF171*4/AF138,0)</f>
        <v>0</v>
      </c>
      <c r="AG219" s="88">
        <f>IFERROR(AG171*4/AG138,0)</f>
        <v>0</v>
      </c>
      <c r="AH219" s="89">
        <f>IFERROR(AH171*1/AH138,0)</f>
        <v>0</v>
      </c>
      <c r="AI219" s="88">
        <f>IFERROR(AI171*4/AI138,0)</f>
        <v>0</v>
      </c>
      <c r="AJ219" s="88">
        <f>IFERROR(AJ171*4/AJ138,0)</f>
        <v>0</v>
      </c>
      <c r="AK219" s="88">
        <f>IFERROR(AK171*4/AK138,0)</f>
        <v>0</v>
      </c>
      <c r="AL219" s="88">
        <f>IFERROR(AL171*4/AL138,0)</f>
        <v>0</v>
      </c>
      <c r="AM219" s="89">
        <f>IFERROR(AM171*1/AM138,0)</f>
        <v>0</v>
      </c>
      <c r="AN219" s="88">
        <f>IFERROR(AN171*4/AN138,0)</f>
        <v>0</v>
      </c>
      <c r="AO219" s="88">
        <f>IFERROR(AO171*4/AO138,0)</f>
        <v>0</v>
      </c>
      <c r="AP219" s="88">
        <f>IFERROR(AP171*4/AP138,0)</f>
        <v>0</v>
      </c>
      <c r="AQ219" s="88">
        <f>IFERROR(AQ171*4/AQ138,0)</f>
        <v>0</v>
      </c>
      <c r="AR219" s="89">
        <f>IFERROR(AR171*1/AR138,0)</f>
        <v>0</v>
      </c>
      <c r="AS219" s="88">
        <f>IFERROR(AS171*4/AS138,0)</f>
        <v>0</v>
      </c>
      <c r="AT219" s="88">
        <f>IFERROR(AT171*4/AT138,0)</f>
        <v>0</v>
      </c>
      <c r="AU219" s="88">
        <f>IFERROR(AU171*4/AU138,0)</f>
        <v>0</v>
      </c>
      <c r="AV219" s="88">
        <f>IFERROR(AV171*4/AV138,0)</f>
        <v>0</v>
      </c>
      <c r="AW219" s="89">
        <f>IFERROR(AW171*1/AW138,0)</f>
        <v>0</v>
      </c>
      <c r="AX219" s="88">
        <f>IFERROR(AX171*4/AX138,0)</f>
        <v>0</v>
      </c>
      <c r="AY219" s="88">
        <f>IFERROR(AY171*4/AY138,0)</f>
        <v>0</v>
      </c>
      <c r="AZ219" s="88">
        <f>IFERROR(AZ171*4/AZ138,0)</f>
        <v>0</v>
      </c>
      <c r="BA219" s="88">
        <f>IFERROR(BA171*4/BA138,0)</f>
        <v>0</v>
      </c>
      <c r="BB219" s="89">
        <f>IFERROR(BB171*1/BB138,0)</f>
        <v>0</v>
      </c>
      <c r="BC219" s="88">
        <f>IFERROR(BC171*4/BC138,0)</f>
        <v>0</v>
      </c>
      <c r="BD219" s="88">
        <f>IFERROR(BD171*4/BD138,0)</f>
        <v>0</v>
      </c>
      <c r="BE219" s="88">
        <f>IFERROR(BE171*4/BE138,0)</f>
        <v>0</v>
      </c>
      <c r="BF219" s="88">
        <f>IFERROR(BF171*4/BF138,0)</f>
        <v>0</v>
      </c>
      <c r="BG219" s="89">
        <f>IFERROR(BG171*1/BG138,0)</f>
        <v>0</v>
      </c>
    </row>
    <row r="220">
      <c r="B220" s="29" t="n"/>
      <c r="C220" s="29" t="inlineStr">
        <is>
          <t>Capital, liquidez e estrutura</t>
        </is>
      </c>
      <c r="D220" s="29" t="inlineStr">
        <is>
          <t>Capital, liquidity and structure</t>
        </is>
      </c>
      <c r="E220" s="29" t="n"/>
      <c r="F220" s="29" t="n"/>
      <c r="G220" s="29" t="n"/>
      <c r="H220" s="29" t="n"/>
      <c r="I220" s="29" t="n"/>
      <c r="J220" s="29" t="n"/>
      <c r="K220" s="29" t="n"/>
      <c r="L220" s="29" t="n"/>
      <c r="M220" s="29" t="n"/>
      <c r="N220" s="29" t="n"/>
      <c r="O220" s="29" t="n"/>
      <c r="P220" s="29" t="n"/>
      <c r="Q220" s="29" t="n"/>
      <c r="R220" s="29" t="n"/>
      <c r="S220" s="29" t="n"/>
      <c r="T220" s="29" t="n"/>
      <c r="U220" s="29" t="n"/>
      <c r="V220" s="29" t="n"/>
      <c r="W220" s="29" t="n"/>
      <c r="X220" s="29" t="n"/>
      <c r="Y220" s="29" t="n"/>
      <c r="Z220" s="29" t="n"/>
      <c r="AA220" s="29" t="n"/>
      <c r="AB220" s="29" t="n"/>
      <c r="AC220" s="29" t="n"/>
      <c r="AD220" s="29" t="n"/>
      <c r="AE220" s="29" t="n"/>
      <c r="AF220" s="29" t="n"/>
      <c r="AG220" s="29" t="n"/>
      <c r="AH220" s="29" t="n"/>
      <c r="AI220" s="29" t="n"/>
      <c r="AJ220" s="29" t="n"/>
      <c r="AK220" s="29" t="n"/>
      <c r="AL220" s="29" t="n"/>
      <c r="AM220" s="29" t="n"/>
      <c r="AN220" s="29" t="n"/>
      <c r="AO220" s="29" t="n"/>
      <c r="AP220" s="29" t="n"/>
      <c r="AQ220" s="29" t="n"/>
      <c r="AR220" s="29" t="n"/>
      <c r="AS220" s="29" t="n"/>
      <c r="AT220" s="29" t="n"/>
      <c r="AU220" s="29" t="n"/>
      <c r="AV220" s="29" t="n"/>
      <c r="AW220" s="29" t="n"/>
      <c r="AX220" s="29" t="n"/>
      <c r="AY220" s="29" t="n"/>
      <c r="AZ220" s="29" t="n"/>
      <c r="BA220" s="29" t="n"/>
      <c r="BB220" s="29" t="n"/>
      <c r="BC220" s="29" t="n"/>
      <c r="BD220" s="29" t="n"/>
      <c r="BE220" s="29" t="n"/>
      <c r="BF220" s="29" t="n"/>
      <c r="BG220" s="29" t="n"/>
      <c r="BH220" s="29" t="n"/>
      <c r="BI220" s="29" t="n"/>
    </row>
    <row r="221">
      <c r="C221" s="11" t="inlineStr">
        <is>
          <t>Índice de capital total</t>
        </is>
      </c>
      <c r="D221" s="12" t="inlineStr">
        <is>
          <t>Total capital ratio</t>
        </is>
      </c>
      <c r="E221" s="88">
        <f>E179</f>
        <v>0</v>
      </c>
      <c r="F221" s="88">
        <f>F179</f>
        <v>0</v>
      </c>
      <c r="G221" s="88">
        <f>G179</f>
        <v>0</v>
      </c>
      <c r="H221" s="88">
        <f>H179</f>
        <v>0</v>
      </c>
      <c r="I221" s="89">
        <f>I179</f>
        <v>0</v>
      </c>
      <c r="J221" s="88">
        <f>J179</f>
        <v>0</v>
      </c>
      <c r="K221" s="88">
        <f>K179</f>
        <v>0</v>
      </c>
      <c r="L221" s="88">
        <f>L179</f>
        <v>0</v>
      </c>
      <c r="M221" s="88">
        <f>M179</f>
        <v>0</v>
      </c>
      <c r="N221" s="89">
        <f>N179</f>
        <v>0</v>
      </c>
      <c r="O221" s="88">
        <f>O179</f>
        <v>0</v>
      </c>
      <c r="P221" s="88">
        <f>P179</f>
        <v>0</v>
      </c>
      <c r="Q221" s="88">
        <f>Q179</f>
        <v>0</v>
      </c>
      <c r="R221" s="88">
        <f>R179</f>
        <v>0</v>
      </c>
      <c r="S221" s="89">
        <f>S179</f>
        <v>0</v>
      </c>
      <c r="T221" s="88">
        <f>T179</f>
        <v>0</v>
      </c>
      <c r="U221" s="88">
        <f>U179</f>
        <v>0</v>
      </c>
      <c r="V221" s="88">
        <f>V179</f>
        <v>0</v>
      </c>
      <c r="W221" s="88">
        <f>W179</f>
        <v>0</v>
      </c>
      <c r="X221" s="89">
        <f>X179</f>
        <v>0</v>
      </c>
      <c r="Y221" s="88">
        <f>Y179</f>
        <v>0</v>
      </c>
      <c r="Z221" s="88">
        <f>Z179</f>
        <v>0</v>
      </c>
      <c r="AA221" s="88">
        <f>AA179</f>
        <v>0</v>
      </c>
      <c r="AB221" s="88">
        <f>AB179</f>
        <v>0</v>
      </c>
      <c r="AC221" s="89">
        <f>AC179</f>
        <v>0</v>
      </c>
      <c r="AD221" s="88">
        <f>AD179</f>
        <v>0</v>
      </c>
      <c r="AE221" s="88">
        <f>AE179</f>
        <v>0</v>
      </c>
      <c r="AF221" s="88">
        <f>AF179</f>
        <v>0</v>
      </c>
      <c r="AG221" s="88">
        <f>AG179</f>
        <v>0</v>
      </c>
      <c r="AH221" s="89">
        <f>AH179</f>
        <v>0</v>
      </c>
      <c r="AI221" s="88">
        <f>AI179</f>
        <v>0</v>
      </c>
      <c r="AJ221" s="88">
        <f>AJ179</f>
        <v>0</v>
      </c>
      <c r="AK221" s="88">
        <f>AK179</f>
        <v>0</v>
      </c>
      <c r="AL221" s="88">
        <f>AL179</f>
        <v>0</v>
      </c>
      <c r="AM221" s="89">
        <f>AM179</f>
        <v>0</v>
      </c>
      <c r="AN221" s="88">
        <f>AN179</f>
        <v>0</v>
      </c>
      <c r="AO221" s="88">
        <f>AO179</f>
        <v>0</v>
      </c>
      <c r="AP221" s="88">
        <f>AP179</f>
        <v>0</v>
      </c>
      <c r="AQ221" s="88">
        <f>AQ179</f>
        <v>0</v>
      </c>
      <c r="AR221" s="89">
        <f>AR179</f>
        <v>0</v>
      </c>
      <c r="AS221" s="88">
        <f>AS179</f>
        <v>0</v>
      </c>
      <c r="AT221" s="88">
        <f>AT179</f>
        <v>0</v>
      </c>
      <c r="AU221" s="88">
        <f>AU179</f>
        <v>0</v>
      </c>
      <c r="AV221" s="88">
        <f>AV179</f>
        <v>0</v>
      </c>
      <c r="AW221" s="89">
        <f>AW179</f>
        <v>0</v>
      </c>
      <c r="AX221" s="88">
        <f>AX179</f>
        <v>0</v>
      </c>
      <c r="AY221" s="88">
        <f>AY179</f>
        <v>0</v>
      </c>
      <c r="AZ221" s="88">
        <f>AZ179</f>
        <v>0</v>
      </c>
      <c r="BA221" s="88">
        <f>BA179</f>
        <v>0</v>
      </c>
      <c r="BB221" s="89">
        <f>BB179</f>
        <v>0</v>
      </c>
      <c r="BC221" s="88">
        <f>BC179</f>
        <v>0</v>
      </c>
      <c r="BD221" s="88">
        <f>BD179</f>
        <v>0</v>
      </c>
      <c r="BE221" s="88">
        <f>BE179</f>
        <v>0</v>
      </c>
      <c r="BF221" s="88">
        <f>BF179</f>
        <v>0</v>
      </c>
      <c r="BG221" s="89">
        <f>BG179</f>
        <v>0</v>
      </c>
    </row>
    <row r="222">
      <c r="C222" s="11" t="inlineStr">
        <is>
          <t>Índice Tier 1</t>
        </is>
      </c>
      <c r="D222" s="12" t="inlineStr">
        <is>
          <t>Tier 1 ratio</t>
        </is>
      </c>
      <c r="E222" s="88">
        <f>E180</f>
        <v>0</v>
      </c>
      <c r="F222" s="88">
        <f>F180</f>
        <v>0</v>
      </c>
      <c r="G222" s="88">
        <f>G180</f>
        <v>0</v>
      </c>
      <c r="H222" s="88">
        <f>H180</f>
        <v>0</v>
      </c>
      <c r="I222" s="89">
        <f>I180</f>
        <v>0</v>
      </c>
      <c r="J222" s="88">
        <f>J180</f>
        <v>0</v>
      </c>
      <c r="K222" s="88">
        <f>K180</f>
        <v>0</v>
      </c>
      <c r="L222" s="88">
        <f>L180</f>
        <v>0</v>
      </c>
      <c r="M222" s="88">
        <f>M180</f>
        <v>0</v>
      </c>
      <c r="N222" s="89">
        <f>N180</f>
        <v>0</v>
      </c>
      <c r="O222" s="88">
        <f>O180</f>
        <v>0</v>
      </c>
      <c r="P222" s="88">
        <f>P180</f>
        <v>0</v>
      </c>
      <c r="Q222" s="88">
        <f>Q180</f>
        <v>0</v>
      </c>
      <c r="R222" s="88">
        <f>R180</f>
        <v>0</v>
      </c>
      <c r="S222" s="89">
        <f>S180</f>
        <v>0</v>
      </c>
      <c r="T222" s="88">
        <f>T180</f>
        <v>0</v>
      </c>
      <c r="U222" s="88">
        <f>U180</f>
        <v>0</v>
      </c>
      <c r="V222" s="88">
        <f>V180</f>
        <v>0</v>
      </c>
      <c r="W222" s="88">
        <f>W180</f>
        <v>0</v>
      </c>
      <c r="X222" s="89">
        <f>X180</f>
        <v>0</v>
      </c>
      <c r="Y222" s="88">
        <f>Y180</f>
        <v>0</v>
      </c>
      <c r="Z222" s="88">
        <f>Z180</f>
        <v>0</v>
      </c>
      <c r="AA222" s="88">
        <f>AA180</f>
        <v>0</v>
      </c>
      <c r="AB222" s="88">
        <f>AB180</f>
        <v>0</v>
      </c>
      <c r="AC222" s="89">
        <f>AC180</f>
        <v>0</v>
      </c>
      <c r="AD222" s="88">
        <f>AD180</f>
        <v>0</v>
      </c>
      <c r="AE222" s="88">
        <f>AE180</f>
        <v>0</v>
      </c>
      <c r="AF222" s="88">
        <f>AF180</f>
        <v>0</v>
      </c>
      <c r="AG222" s="88">
        <f>AG180</f>
        <v>0</v>
      </c>
      <c r="AH222" s="89">
        <f>AH180</f>
        <v>0</v>
      </c>
      <c r="AI222" s="88">
        <f>AI180</f>
        <v>0</v>
      </c>
      <c r="AJ222" s="88">
        <f>AJ180</f>
        <v>0</v>
      </c>
      <c r="AK222" s="88">
        <f>AK180</f>
        <v>0</v>
      </c>
      <c r="AL222" s="88">
        <f>AL180</f>
        <v>0</v>
      </c>
      <c r="AM222" s="89">
        <f>AM180</f>
        <v>0</v>
      </c>
      <c r="AN222" s="88">
        <f>AN180</f>
        <v>0</v>
      </c>
      <c r="AO222" s="88">
        <f>AO180</f>
        <v>0</v>
      </c>
      <c r="AP222" s="88">
        <f>AP180</f>
        <v>0</v>
      </c>
      <c r="AQ222" s="88">
        <f>AQ180</f>
        <v>0</v>
      </c>
      <c r="AR222" s="89">
        <f>AR180</f>
        <v>0</v>
      </c>
      <c r="AS222" s="88">
        <f>AS180</f>
        <v>0</v>
      </c>
      <c r="AT222" s="88">
        <f>AT180</f>
        <v>0</v>
      </c>
      <c r="AU222" s="88">
        <f>AU180</f>
        <v>0</v>
      </c>
      <c r="AV222" s="88">
        <f>AV180</f>
        <v>0</v>
      </c>
      <c r="AW222" s="89">
        <f>AW180</f>
        <v>0</v>
      </c>
      <c r="AX222" s="88">
        <f>AX180</f>
        <v>0</v>
      </c>
      <c r="AY222" s="88">
        <f>AY180</f>
        <v>0</v>
      </c>
      <c r="AZ222" s="88">
        <f>AZ180</f>
        <v>0</v>
      </c>
      <c r="BA222" s="88">
        <f>BA180</f>
        <v>0</v>
      </c>
      <c r="BB222" s="89">
        <f>BB180</f>
        <v>0</v>
      </c>
      <c r="BC222" s="88">
        <f>BC180</f>
        <v>0</v>
      </c>
      <c r="BD222" s="88">
        <f>BD180</f>
        <v>0</v>
      </c>
      <c r="BE222" s="88">
        <f>BE180</f>
        <v>0</v>
      </c>
      <c r="BF222" s="88">
        <f>BF180</f>
        <v>0</v>
      </c>
      <c r="BG222" s="89">
        <f>BG180</f>
        <v>0</v>
      </c>
    </row>
    <row r="223">
      <c r="C223" s="11" t="inlineStr">
        <is>
          <t>Índice CET1 — Standardized</t>
        </is>
      </c>
      <c r="D223" s="12" t="inlineStr">
        <is>
          <t>CET1 ratio</t>
        </is>
      </c>
      <c r="E223" s="88">
        <f>E182</f>
        <v>0</v>
      </c>
      <c r="F223" s="88">
        <f>F182</f>
        <v>0</v>
      </c>
      <c r="G223" s="88">
        <f>G182</f>
        <v>0</v>
      </c>
      <c r="H223" s="88">
        <f>H182</f>
        <v>0</v>
      </c>
      <c r="I223" s="89">
        <f>I182</f>
        <v>0</v>
      </c>
      <c r="J223" s="88">
        <f>J182</f>
        <v>0</v>
      </c>
      <c r="K223" s="88">
        <f>K182</f>
        <v>0</v>
      </c>
      <c r="L223" s="88">
        <f>L182</f>
        <v>0</v>
      </c>
      <c r="M223" s="88">
        <f>M182</f>
        <v>0</v>
      </c>
      <c r="N223" s="89">
        <f>N182</f>
        <v>0</v>
      </c>
      <c r="O223" s="88">
        <f>O182</f>
        <v>0</v>
      </c>
      <c r="P223" s="88">
        <f>P182</f>
        <v>0</v>
      </c>
      <c r="Q223" s="88">
        <f>Q182</f>
        <v>0</v>
      </c>
      <c r="R223" s="88">
        <f>R182</f>
        <v>0</v>
      </c>
      <c r="S223" s="89">
        <f>S182</f>
        <v>0</v>
      </c>
      <c r="T223" s="88">
        <f>T182</f>
        <v>0</v>
      </c>
      <c r="U223" s="88">
        <f>U182</f>
        <v>0</v>
      </c>
      <c r="V223" s="88">
        <f>V182</f>
        <v>0</v>
      </c>
      <c r="W223" s="88">
        <f>W182</f>
        <v>0</v>
      </c>
      <c r="X223" s="89">
        <f>X182</f>
        <v>0</v>
      </c>
      <c r="Y223" s="88">
        <f>Y182</f>
        <v>0</v>
      </c>
      <c r="Z223" s="88">
        <f>Z182</f>
        <v>0</v>
      </c>
      <c r="AA223" s="88">
        <f>AA182</f>
        <v>0</v>
      </c>
      <c r="AB223" s="88">
        <f>AB182</f>
        <v>0</v>
      </c>
      <c r="AC223" s="89">
        <f>AC182</f>
        <v>0</v>
      </c>
      <c r="AD223" s="88">
        <f>AD182</f>
        <v>0</v>
      </c>
      <c r="AE223" s="88">
        <f>AE182</f>
        <v>0</v>
      </c>
      <c r="AF223" s="88">
        <f>AF182</f>
        <v>0</v>
      </c>
      <c r="AG223" s="88">
        <f>AG182</f>
        <v>0</v>
      </c>
      <c r="AH223" s="89">
        <f>AH182</f>
        <v>0</v>
      </c>
      <c r="AI223" s="88">
        <f>AI182</f>
        <v>0</v>
      </c>
      <c r="AJ223" s="88">
        <f>AJ182</f>
        <v>0</v>
      </c>
      <c r="AK223" s="88">
        <f>AK182</f>
        <v>0</v>
      </c>
      <c r="AL223" s="88">
        <f>AL182</f>
        <v>0</v>
      </c>
      <c r="AM223" s="89">
        <f>AM182</f>
        <v>0</v>
      </c>
      <c r="AN223" s="88">
        <f>AN182</f>
        <v>0</v>
      </c>
      <c r="AO223" s="88">
        <f>AO182</f>
        <v>0</v>
      </c>
      <c r="AP223" s="88">
        <f>AP182</f>
        <v>0</v>
      </c>
      <c r="AQ223" s="88">
        <f>AQ182</f>
        <v>0</v>
      </c>
      <c r="AR223" s="89">
        <f>AR182</f>
        <v>0</v>
      </c>
      <c r="AS223" s="88">
        <f>AS182</f>
        <v>0</v>
      </c>
      <c r="AT223" s="88">
        <f>AT182</f>
        <v>0</v>
      </c>
      <c r="AU223" s="88">
        <f>AU182</f>
        <v>0</v>
      </c>
      <c r="AV223" s="88">
        <f>AV182</f>
        <v>0</v>
      </c>
      <c r="AW223" s="89">
        <f>AW182</f>
        <v>0</v>
      </c>
      <c r="AX223" s="88">
        <f>AX182</f>
        <v>0</v>
      </c>
      <c r="AY223" s="88">
        <f>AY182</f>
        <v>0</v>
      </c>
      <c r="AZ223" s="88">
        <f>AZ182</f>
        <v>0</v>
      </c>
      <c r="BA223" s="88">
        <f>BA182</f>
        <v>0</v>
      </c>
      <c r="BB223" s="89">
        <f>BB182</f>
        <v>0</v>
      </c>
      <c r="BC223" s="88">
        <f>BC182</f>
        <v>0</v>
      </c>
      <c r="BD223" s="88">
        <f>BD182</f>
        <v>0</v>
      </c>
      <c r="BE223" s="88">
        <f>BE182</f>
        <v>0</v>
      </c>
      <c r="BF223" s="88">
        <f>BF182</f>
        <v>0</v>
      </c>
      <c r="BG223" s="89">
        <f>BG182</f>
        <v>0</v>
      </c>
    </row>
    <row r="224">
      <c r="C224" s="11" t="inlineStr">
        <is>
          <t>Alavancagem — Ativo / PL</t>
        </is>
      </c>
      <c r="D224" s="12" t="inlineStr">
        <is>
          <t>Leverage (assets over equity)</t>
        </is>
      </c>
      <c r="E224" s="90">
        <f>IFERROR(E42/E79,0)</f>
        <v>0</v>
      </c>
      <c r="F224" s="90">
        <f>IFERROR(F42/F79,0)</f>
        <v>0</v>
      </c>
      <c r="G224" s="90">
        <f>IFERROR(G42/G79,0)</f>
        <v>0</v>
      </c>
      <c r="H224" s="90">
        <f>IFERROR(H42/H79,0)</f>
        <v>0</v>
      </c>
      <c r="I224" s="91">
        <f>IFERROR(I42/I79,0)</f>
        <v>0</v>
      </c>
      <c r="J224" s="90">
        <f>IFERROR(J42/J79,0)</f>
        <v>0</v>
      </c>
      <c r="K224" s="90">
        <f>IFERROR(K42/K79,0)</f>
        <v>0</v>
      </c>
      <c r="L224" s="90">
        <f>IFERROR(L42/L79,0)</f>
        <v>0</v>
      </c>
      <c r="M224" s="90">
        <f>IFERROR(M42/M79,0)</f>
        <v>0</v>
      </c>
      <c r="N224" s="91">
        <f>IFERROR(N42/N79,0)</f>
        <v>0</v>
      </c>
      <c r="O224" s="90">
        <f>IFERROR(O42/O79,0)</f>
        <v>0</v>
      </c>
      <c r="P224" s="90">
        <f>IFERROR(P42/P79,0)</f>
        <v>0</v>
      </c>
      <c r="Q224" s="90">
        <f>IFERROR(Q42/Q79,0)</f>
        <v>0</v>
      </c>
      <c r="R224" s="90">
        <f>IFERROR(R42/R79,0)</f>
        <v>0</v>
      </c>
      <c r="S224" s="91">
        <f>IFERROR(S42/S79,0)</f>
        <v>0</v>
      </c>
      <c r="T224" s="90">
        <f>IFERROR(T42/T79,0)</f>
        <v>0</v>
      </c>
      <c r="U224" s="90">
        <f>IFERROR(U42/U79,0)</f>
        <v>0</v>
      </c>
      <c r="V224" s="90">
        <f>IFERROR(V42/V79,0)</f>
        <v>0</v>
      </c>
      <c r="W224" s="90">
        <f>IFERROR(W42/W79,0)</f>
        <v>0</v>
      </c>
      <c r="X224" s="91">
        <f>IFERROR(X42/X79,0)</f>
        <v>0</v>
      </c>
      <c r="Y224" s="90">
        <f>IFERROR(Y42/Y79,0)</f>
        <v>0</v>
      </c>
      <c r="Z224" s="90">
        <f>IFERROR(Z42/Z79,0)</f>
        <v>0</v>
      </c>
      <c r="AA224" s="90">
        <f>IFERROR(AA42/AA79,0)</f>
        <v>0</v>
      </c>
      <c r="AB224" s="90">
        <f>IFERROR(AB42/AB79,0)</f>
        <v>0</v>
      </c>
      <c r="AC224" s="91">
        <f>IFERROR(AC42/AC79,0)</f>
        <v>0</v>
      </c>
      <c r="AD224" s="90">
        <f>IFERROR(AD42/AD79,0)</f>
        <v>0</v>
      </c>
      <c r="AE224" s="90">
        <f>IFERROR(AE42/AE79,0)</f>
        <v>0</v>
      </c>
      <c r="AF224" s="90">
        <f>IFERROR(AF42/AF79,0)</f>
        <v>0</v>
      </c>
      <c r="AG224" s="90">
        <f>IFERROR(AG42/AG79,0)</f>
        <v>0</v>
      </c>
      <c r="AH224" s="91">
        <f>IFERROR(AH42/AH79,0)</f>
        <v>0</v>
      </c>
      <c r="AI224" s="90">
        <f>IFERROR(AI42/AI79,0)</f>
        <v>0</v>
      </c>
      <c r="AJ224" s="90">
        <f>IFERROR(AJ42/AJ79,0)</f>
        <v>0</v>
      </c>
      <c r="AK224" s="90">
        <f>IFERROR(AK42/AK79,0)</f>
        <v>0</v>
      </c>
      <c r="AL224" s="90">
        <f>IFERROR(AL42/AL79,0)</f>
        <v>0</v>
      </c>
      <c r="AM224" s="91">
        <f>IFERROR(AM42/AM79,0)</f>
        <v>0</v>
      </c>
      <c r="AN224" s="90">
        <f>IFERROR(AN42/AN79,0)</f>
        <v>0</v>
      </c>
      <c r="AO224" s="90">
        <f>IFERROR(AO42/AO79,0)</f>
        <v>0</v>
      </c>
      <c r="AP224" s="90">
        <f>IFERROR(AP42/AP79,0)</f>
        <v>0</v>
      </c>
      <c r="AQ224" s="90">
        <f>IFERROR(AQ42/AQ79,0)</f>
        <v>0</v>
      </c>
      <c r="AR224" s="91">
        <f>IFERROR(AR42/AR79,0)</f>
        <v>0</v>
      </c>
      <c r="AS224" s="90">
        <f>IFERROR(AS42/AS79,0)</f>
        <v>0</v>
      </c>
      <c r="AT224" s="90">
        <f>IFERROR(AT42/AT79,0)</f>
        <v>0</v>
      </c>
      <c r="AU224" s="90">
        <f>IFERROR(AU42/AU79,0)</f>
        <v>0</v>
      </c>
      <c r="AV224" s="90">
        <f>IFERROR(AV42/AV79,0)</f>
        <v>0</v>
      </c>
      <c r="AW224" s="91">
        <f>IFERROR(AW42/AW79,0)</f>
        <v>0</v>
      </c>
      <c r="AX224" s="90">
        <f>IFERROR(AX42/AX79,0)</f>
        <v>0</v>
      </c>
      <c r="AY224" s="90">
        <f>IFERROR(AY42/AY79,0)</f>
        <v>0</v>
      </c>
      <c r="AZ224" s="90">
        <f>IFERROR(AZ42/AZ79,0)</f>
        <v>0</v>
      </c>
      <c r="BA224" s="90">
        <f>IFERROR(BA42/BA79,0)</f>
        <v>0</v>
      </c>
      <c r="BB224" s="91">
        <f>IFERROR(BB42/BB79,0)</f>
        <v>0</v>
      </c>
      <c r="BC224" s="90">
        <f>IFERROR(BC42/BC79,0)</f>
        <v>0</v>
      </c>
      <c r="BD224" s="90">
        <f>IFERROR(BD42/BD79,0)</f>
        <v>0</v>
      </c>
      <c r="BE224" s="90">
        <f>IFERROR(BE42/BE79,0)</f>
        <v>0</v>
      </c>
      <c r="BF224" s="90">
        <f>IFERROR(BF42/BF79,0)</f>
        <v>0</v>
      </c>
      <c r="BG224" s="91">
        <f>IFERROR(BG42/BG79,0)</f>
        <v>0</v>
      </c>
    </row>
    <row r="225">
      <c r="C225" s="11" t="inlineStr">
        <is>
          <t>Carteira de crédito / Depósitos (LDR)</t>
        </is>
      </c>
      <c r="D225" s="12" t="inlineStr">
        <is>
          <t>Loan to deposit ratio</t>
        </is>
      </c>
      <c r="E225" s="88">
        <f>IFERROR(E30/E44,0)</f>
        <v>0</v>
      </c>
      <c r="F225" s="88">
        <f>IFERROR(F30/F44,0)</f>
        <v>0</v>
      </c>
      <c r="G225" s="88">
        <f>IFERROR(G30/G44,0)</f>
        <v>0</v>
      </c>
      <c r="H225" s="88">
        <f>IFERROR(H30/H44,0)</f>
        <v>0</v>
      </c>
      <c r="I225" s="89">
        <f>IFERROR(I30/I44,0)</f>
        <v>0</v>
      </c>
      <c r="J225" s="88">
        <f>IFERROR(J30/J44,0)</f>
        <v>0</v>
      </c>
      <c r="K225" s="88">
        <f>IFERROR(K30/K44,0)</f>
        <v>0</v>
      </c>
      <c r="L225" s="88">
        <f>IFERROR(L30/L44,0)</f>
        <v>0</v>
      </c>
      <c r="M225" s="88">
        <f>IFERROR(M30/M44,0)</f>
        <v>0</v>
      </c>
      <c r="N225" s="89">
        <f>IFERROR(N30/N44,0)</f>
        <v>0</v>
      </c>
      <c r="O225" s="88">
        <f>IFERROR(O30/O44,0)</f>
        <v>0</v>
      </c>
      <c r="P225" s="88">
        <f>IFERROR(P30/P44,0)</f>
        <v>0</v>
      </c>
      <c r="Q225" s="88">
        <f>IFERROR(Q30/Q44,0)</f>
        <v>0</v>
      </c>
      <c r="R225" s="88">
        <f>IFERROR(R30/R44,0)</f>
        <v>0</v>
      </c>
      <c r="S225" s="89">
        <f>IFERROR(S30/S44,0)</f>
        <v>0</v>
      </c>
      <c r="T225" s="88">
        <f>IFERROR(T30/T44,0)</f>
        <v>0</v>
      </c>
      <c r="U225" s="88">
        <f>IFERROR(U30/U44,0)</f>
        <v>0</v>
      </c>
      <c r="V225" s="88">
        <f>IFERROR(V30/V44,0)</f>
        <v>0</v>
      </c>
      <c r="W225" s="88">
        <f>IFERROR(W30/W44,0)</f>
        <v>0</v>
      </c>
      <c r="X225" s="89">
        <f>IFERROR(X30/X44,0)</f>
        <v>0</v>
      </c>
      <c r="Y225" s="88">
        <f>IFERROR(Y30/Y44,0)</f>
        <v>0</v>
      </c>
      <c r="Z225" s="88">
        <f>IFERROR(Z30/Z44,0)</f>
        <v>0</v>
      </c>
      <c r="AA225" s="88">
        <f>IFERROR(AA30/AA44,0)</f>
        <v>0</v>
      </c>
      <c r="AB225" s="88">
        <f>IFERROR(AB30/AB44,0)</f>
        <v>0</v>
      </c>
      <c r="AC225" s="89">
        <f>IFERROR(AC30/AC44,0)</f>
        <v>0</v>
      </c>
      <c r="AD225" s="88">
        <f>IFERROR(AD30/AD44,0)</f>
        <v>0</v>
      </c>
      <c r="AE225" s="88">
        <f>IFERROR(AE30/AE44,0)</f>
        <v>0</v>
      </c>
      <c r="AF225" s="88">
        <f>IFERROR(AF30/AF44,0)</f>
        <v>0</v>
      </c>
      <c r="AG225" s="88">
        <f>IFERROR(AG30/AG44,0)</f>
        <v>0</v>
      </c>
      <c r="AH225" s="89">
        <f>IFERROR(AH30/AH44,0)</f>
        <v>0</v>
      </c>
      <c r="AI225" s="88">
        <f>IFERROR(AI30/AI44,0)</f>
        <v>0</v>
      </c>
      <c r="AJ225" s="88">
        <f>IFERROR(AJ30/AJ44,0)</f>
        <v>0</v>
      </c>
      <c r="AK225" s="88">
        <f>IFERROR(AK30/AK44,0)</f>
        <v>0</v>
      </c>
      <c r="AL225" s="88">
        <f>IFERROR(AL30/AL44,0)</f>
        <v>0</v>
      </c>
      <c r="AM225" s="89">
        <f>IFERROR(AM30/AM44,0)</f>
        <v>0</v>
      </c>
      <c r="AN225" s="88">
        <f>IFERROR(AN30/AN44,0)</f>
        <v>0</v>
      </c>
      <c r="AO225" s="88">
        <f>IFERROR(AO30/AO44,0)</f>
        <v>0</v>
      </c>
      <c r="AP225" s="88">
        <f>IFERROR(AP30/AP44,0)</f>
        <v>0</v>
      </c>
      <c r="AQ225" s="88">
        <f>IFERROR(AQ30/AQ44,0)</f>
        <v>0</v>
      </c>
      <c r="AR225" s="89">
        <f>IFERROR(AR30/AR44,0)</f>
        <v>0</v>
      </c>
      <c r="AS225" s="88">
        <f>IFERROR(AS30/AS44,0)</f>
        <v>0</v>
      </c>
      <c r="AT225" s="88">
        <f>IFERROR(AT30/AT44,0)</f>
        <v>0</v>
      </c>
      <c r="AU225" s="88">
        <f>IFERROR(AU30/AU44,0)</f>
        <v>0</v>
      </c>
      <c r="AV225" s="88">
        <f>IFERROR(AV30/AV44,0)</f>
        <v>0</v>
      </c>
      <c r="AW225" s="89">
        <f>IFERROR(AW30/AW44,0)</f>
        <v>0</v>
      </c>
      <c r="AX225" s="88">
        <f>IFERROR(AX30/AX44,0)</f>
        <v>0</v>
      </c>
      <c r="AY225" s="88">
        <f>IFERROR(AY30/AY44,0)</f>
        <v>0</v>
      </c>
      <c r="AZ225" s="88">
        <f>IFERROR(AZ30/AZ44,0)</f>
        <v>0</v>
      </c>
      <c r="BA225" s="88">
        <f>IFERROR(BA30/BA44,0)</f>
        <v>0</v>
      </c>
      <c r="BB225" s="89">
        <f>IFERROR(BB30/BB44,0)</f>
        <v>0</v>
      </c>
      <c r="BC225" s="88">
        <f>IFERROR(BC30/BC44,0)</f>
        <v>0</v>
      </c>
      <c r="BD225" s="88">
        <f>IFERROR(BD30/BD44,0)</f>
        <v>0</v>
      </c>
      <c r="BE225" s="88">
        <f>IFERROR(BE30/BE44,0)</f>
        <v>0</v>
      </c>
      <c r="BF225" s="88">
        <f>IFERROR(BF30/BF44,0)</f>
        <v>0</v>
      </c>
      <c r="BG225" s="89">
        <f>IFERROR(BG30/BG44,0)</f>
        <v>0</v>
      </c>
    </row>
    <row r="226">
      <c r="C226" s="11" t="inlineStr">
        <is>
          <t>Carteira de crédito / Ativo total</t>
        </is>
      </c>
      <c r="D226" s="12" t="inlineStr">
        <is>
          <t>Loans over total assets</t>
        </is>
      </c>
      <c r="E226" s="88">
        <f>IFERROR(E30/E42,0)</f>
        <v>0</v>
      </c>
      <c r="F226" s="88">
        <f>IFERROR(F30/F42,0)</f>
        <v>0</v>
      </c>
      <c r="G226" s="88">
        <f>IFERROR(G30/G42,0)</f>
        <v>0</v>
      </c>
      <c r="H226" s="88">
        <f>IFERROR(H30/H42,0)</f>
        <v>0</v>
      </c>
      <c r="I226" s="89">
        <f>IFERROR(I30/I42,0)</f>
        <v>0</v>
      </c>
      <c r="J226" s="88">
        <f>IFERROR(J30/J42,0)</f>
        <v>0</v>
      </c>
      <c r="K226" s="88">
        <f>IFERROR(K30/K42,0)</f>
        <v>0</v>
      </c>
      <c r="L226" s="88">
        <f>IFERROR(L30/L42,0)</f>
        <v>0</v>
      </c>
      <c r="M226" s="88">
        <f>IFERROR(M30/M42,0)</f>
        <v>0</v>
      </c>
      <c r="N226" s="89">
        <f>IFERROR(N30/N42,0)</f>
        <v>0</v>
      </c>
      <c r="O226" s="88">
        <f>IFERROR(O30/O42,0)</f>
        <v>0</v>
      </c>
      <c r="P226" s="88">
        <f>IFERROR(P30/P42,0)</f>
        <v>0</v>
      </c>
      <c r="Q226" s="88">
        <f>IFERROR(Q30/Q42,0)</f>
        <v>0</v>
      </c>
      <c r="R226" s="88">
        <f>IFERROR(R30/R42,0)</f>
        <v>0</v>
      </c>
      <c r="S226" s="89">
        <f>IFERROR(S30/S42,0)</f>
        <v>0</v>
      </c>
      <c r="T226" s="88">
        <f>IFERROR(T30/T42,0)</f>
        <v>0</v>
      </c>
      <c r="U226" s="88">
        <f>IFERROR(U30/U42,0)</f>
        <v>0</v>
      </c>
      <c r="V226" s="88">
        <f>IFERROR(V30/V42,0)</f>
        <v>0</v>
      </c>
      <c r="W226" s="88">
        <f>IFERROR(W30/W42,0)</f>
        <v>0</v>
      </c>
      <c r="X226" s="89">
        <f>IFERROR(X30/X42,0)</f>
        <v>0</v>
      </c>
      <c r="Y226" s="88">
        <f>IFERROR(Y30/Y42,0)</f>
        <v>0</v>
      </c>
      <c r="Z226" s="88">
        <f>IFERROR(Z30/Z42,0)</f>
        <v>0</v>
      </c>
      <c r="AA226" s="88">
        <f>IFERROR(AA30/AA42,0)</f>
        <v>0</v>
      </c>
      <c r="AB226" s="88">
        <f>IFERROR(AB30/AB42,0)</f>
        <v>0</v>
      </c>
      <c r="AC226" s="89">
        <f>IFERROR(AC30/AC42,0)</f>
        <v>0</v>
      </c>
      <c r="AD226" s="88">
        <f>IFERROR(AD30/AD42,0)</f>
        <v>0</v>
      </c>
      <c r="AE226" s="88">
        <f>IFERROR(AE30/AE42,0)</f>
        <v>0</v>
      </c>
      <c r="AF226" s="88">
        <f>IFERROR(AF30/AF42,0)</f>
        <v>0</v>
      </c>
      <c r="AG226" s="88">
        <f>IFERROR(AG30/AG42,0)</f>
        <v>0</v>
      </c>
      <c r="AH226" s="89">
        <f>IFERROR(AH30/AH42,0)</f>
        <v>0</v>
      </c>
      <c r="AI226" s="88">
        <f>IFERROR(AI30/AI42,0)</f>
        <v>0</v>
      </c>
      <c r="AJ226" s="88">
        <f>IFERROR(AJ30/AJ42,0)</f>
        <v>0</v>
      </c>
      <c r="AK226" s="88">
        <f>IFERROR(AK30/AK42,0)</f>
        <v>0</v>
      </c>
      <c r="AL226" s="88">
        <f>IFERROR(AL30/AL42,0)</f>
        <v>0</v>
      </c>
      <c r="AM226" s="89">
        <f>IFERROR(AM30/AM42,0)</f>
        <v>0</v>
      </c>
      <c r="AN226" s="88">
        <f>IFERROR(AN30/AN42,0)</f>
        <v>0</v>
      </c>
      <c r="AO226" s="88">
        <f>IFERROR(AO30/AO42,0)</f>
        <v>0</v>
      </c>
      <c r="AP226" s="88">
        <f>IFERROR(AP30/AP42,0)</f>
        <v>0</v>
      </c>
      <c r="AQ226" s="88">
        <f>IFERROR(AQ30/AQ42,0)</f>
        <v>0</v>
      </c>
      <c r="AR226" s="89">
        <f>IFERROR(AR30/AR42,0)</f>
        <v>0</v>
      </c>
      <c r="AS226" s="88">
        <f>IFERROR(AS30/AS42,0)</f>
        <v>0</v>
      </c>
      <c r="AT226" s="88">
        <f>IFERROR(AT30/AT42,0)</f>
        <v>0</v>
      </c>
      <c r="AU226" s="88">
        <f>IFERROR(AU30/AU42,0)</f>
        <v>0</v>
      </c>
      <c r="AV226" s="88">
        <f>IFERROR(AV30/AV42,0)</f>
        <v>0</v>
      </c>
      <c r="AW226" s="89">
        <f>IFERROR(AW30/AW42,0)</f>
        <v>0</v>
      </c>
      <c r="AX226" s="88">
        <f>IFERROR(AX30/AX42,0)</f>
        <v>0</v>
      </c>
      <c r="AY226" s="88">
        <f>IFERROR(AY30/AY42,0)</f>
        <v>0</v>
      </c>
      <c r="AZ226" s="88">
        <f>IFERROR(AZ30/AZ42,0)</f>
        <v>0</v>
      </c>
      <c r="BA226" s="88">
        <f>IFERROR(BA30/BA42,0)</f>
        <v>0</v>
      </c>
      <c r="BB226" s="89">
        <f>IFERROR(BB30/BB42,0)</f>
        <v>0</v>
      </c>
      <c r="BC226" s="88">
        <f>IFERROR(BC30/BC42,0)</f>
        <v>0</v>
      </c>
      <c r="BD226" s="88">
        <f>IFERROR(BD30/BD42,0)</f>
        <v>0</v>
      </c>
      <c r="BE226" s="88">
        <f>IFERROR(BE30/BE42,0)</f>
        <v>0</v>
      </c>
      <c r="BF226" s="88">
        <f>IFERROR(BF30/BF42,0)</f>
        <v>0</v>
      </c>
      <c r="BG226" s="89">
        <f>IFERROR(BG30/BG42,0)</f>
        <v>0</v>
      </c>
    </row>
    <row r="227">
      <c r="C227" s="11" t="str">
        <f>"Funding total ("&amp;Inputs!$E$202&amp;")"</f>
        <v>Funding total (US$ milhões)</v>
      </c>
      <c r="D227" s="12" t="inlineStr">
        <is>
          <t>Total funding</t>
        </is>
      </c>
      <c r="E227" s="74">
        <f>E136</f>
        <v>0</v>
      </c>
      <c r="F227" s="74">
        <f>F136</f>
        <v>0</v>
      </c>
      <c r="G227" s="74">
        <f>G136</f>
        <v>0</v>
      </c>
      <c r="H227" s="74">
        <f>H136</f>
        <v>0</v>
      </c>
      <c r="I227" s="77">
        <f>I136</f>
        <v>0</v>
      </c>
      <c r="J227" s="74">
        <f>J136</f>
        <v>0</v>
      </c>
      <c r="K227" s="74">
        <f>K136</f>
        <v>0</v>
      </c>
      <c r="L227" s="74">
        <f>L136</f>
        <v>0</v>
      </c>
      <c r="M227" s="74">
        <f>M136</f>
        <v>0</v>
      </c>
      <c r="N227" s="77">
        <f>N136</f>
        <v>0</v>
      </c>
      <c r="O227" s="74">
        <f>O136</f>
        <v>0</v>
      </c>
      <c r="P227" s="74">
        <f>P136</f>
        <v>0</v>
      </c>
      <c r="Q227" s="74">
        <f>Q136</f>
        <v>0</v>
      </c>
      <c r="R227" s="74">
        <f>R136</f>
        <v>0</v>
      </c>
      <c r="S227" s="77">
        <f>S136</f>
        <v>0</v>
      </c>
      <c r="T227" s="74">
        <f>T136</f>
        <v>0</v>
      </c>
      <c r="U227" s="74">
        <f>U136</f>
        <v>0</v>
      </c>
      <c r="V227" s="74">
        <f>V136</f>
        <v>0</v>
      </c>
      <c r="W227" s="74">
        <f>W136</f>
        <v>0</v>
      </c>
      <c r="X227" s="77">
        <f>X136</f>
        <v>0</v>
      </c>
      <c r="Y227" s="74">
        <f>Y136</f>
        <v>0</v>
      </c>
      <c r="Z227" s="74">
        <f>Z136</f>
        <v>0</v>
      </c>
      <c r="AA227" s="74">
        <f>AA136</f>
        <v>0</v>
      </c>
      <c r="AB227" s="74">
        <f>AB136</f>
        <v>0</v>
      </c>
      <c r="AC227" s="77">
        <f>AC136</f>
        <v>0</v>
      </c>
      <c r="AD227" s="74">
        <f>AD136</f>
        <v>0</v>
      </c>
      <c r="AE227" s="74">
        <f>AE136</f>
        <v>0</v>
      </c>
      <c r="AF227" s="74">
        <f>AF136</f>
        <v>0</v>
      </c>
      <c r="AG227" s="74">
        <f>AG136</f>
        <v>0</v>
      </c>
      <c r="AH227" s="77">
        <f>AH136</f>
        <v>0</v>
      </c>
      <c r="AI227" s="74">
        <f>AI136</f>
        <v>0</v>
      </c>
      <c r="AJ227" s="74">
        <f>AJ136</f>
        <v>0</v>
      </c>
      <c r="AK227" s="74">
        <f>AK136</f>
        <v>0</v>
      </c>
      <c r="AL227" s="74">
        <f>AL136</f>
        <v>0</v>
      </c>
      <c r="AM227" s="77">
        <f>AM136</f>
        <v>0</v>
      </c>
      <c r="AN227" s="74">
        <f>AN136</f>
        <v>0</v>
      </c>
      <c r="AO227" s="74">
        <f>AO136</f>
        <v>0</v>
      </c>
      <c r="AP227" s="74">
        <f>AP136</f>
        <v>0</v>
      </c>
      <c r="AQ227" s="74">
        <f>AQ136</f>
        <v>0</v>
      </c>
      <c r="AR227" s="77">
        <f>AR136</f>
        <v>0</v>
      </c>
      <c r="AS227" s="74">
        <f>AS136</f>
        <v>0</v>
      </c>
      <c r="AT227" s="74">
        <f>AT136</f>
        <v>0</v>
      </c>
      <c r="AU227" s="74">
        <f>AU136</f>
        <v>0</v>
      </c>
      <c r="AV227" s="74">
        <f>AV136</f>
        <v>0</v>
      </c>
      <c r="AW227" s="77">
        <f>AW136</f>
        <v>0</v>
      </c>
      <c r="AX227" s="74">
        <f>AX136</f>
        <v>0</v>
      </c>
      <c r="AY227" s="74">
        <f>AY136</f>
        <v>0</v>
      </c>
      <c r="AZ227" s="74">
        <f>AZ136</f>
        <v>0</v>
      </c>
      <c r="BA227" s="74">
        <f>BA136</f>
        <v>0</v>
      </c>
      <c r="BB227" s="77">
        <f>BB136</f>
        <v>0</v>
      </c>
      <c r="BC227" s="74">
        <f>BC136</f>
        <v>0</v>
      </c>
      <c r="BD227" s="74">
        <f>BD136</f>
        <v>0</v>
      </c>
      <c r="BE227" s="74">
        <f>BE136</f>
        <v>0</v>
      </c>
      <c r="BF227" s="74">
        <f>BF136</f>
        <v>0</v>
      </c>
      <c r="BG227" s="77">
        <f>BG136</f>
        <v>0</v>
      </c>
    </row>
    <row r="228">
      <c r="B228" s="29" t="n"/>
      <c r="C228" s="29" t="inlineStr">
        <is>
          <t>Métricas por ação</t>
        </is>
      </c>
      <c r="D228" s="29" t="inlineStr">
        <is>
          <t>Per-share metrics</t>
        </is>
      </c>
      <c r="E228" s="29" t="n"/>
      <c r="F228" s="29" t="n"/>
      <c r="G228" s="29" t="n"/>
      <c r="H228" s="29" t="n"/>
      <c r="I228" s="29" t="n"/>
      <c r="J228" s="29" t="n"/>
      <c r="K228" s="29" t="n"/>
      <c r="L228" s="29" t="n"/>
      <c r="M228" s="29" t="n"/>
      <c r="N228" s="29" t="n"/>
      <c r="O228" s="29" t="n"/>
      <c r="P228" s="29" t="n"/>
      <c r="Q228" s="29" t="n"/>
      <c r="R228" s="29" t="n"/>
      <c r="S228" s="29" t="n"/>
      <c r="T228" s="29" t="n"/>
      <c r="U228" s="29" t="n"/>
      <c r="V228" s="29" t="n"/>
      <c r="W228" s="29" t="n"/>
      <c r="X228" s="29" t="n"/>
      <c r="Y228" s="29" t="n"/>
      <c r="Z228" s="29" t="n"/>
      <c r="AA228" s="29" t="n"/>
      <c r="AB228" s="29" t="n"/>
      <c r="AC228" s="29" t="n"/>
      <c r="AD228" s="29" t="n"/>
      <c r="AE228" s="29" t="n"/>
      <c r="AF228" s="29" t="n"/>
      <c r="AG228" s="29" t="n"/>
      <c r="AH228" s="29" t="n"/>
      <c r="AI228" s="29" t="n"/>
      <c r="AJ228" s="29" t="n"/>
      <c r="AK228" s="29" t="n"/>
      <c r="AL228" s="29" t="n"/>
      <c r="AM228" s="29" t="n"/>
      <c r="AN228" s="29" t="n"/>
      <c r="AO228" s="29" t="n"/>
      <c r="AP228" s="29" t="n"/>
      <c r="AQ228" s="29" t="n"/>
      <c r="AR228" s="29" t="n"/>
      <c r="AS228" s="29" t="n"/>
      <c r="AT228" s="29" t="n"/>
      <c r="AU228" s="29" t="n"/>
      <c r="AV228" s="29" t="n"/>
      <c r="AW228" s="29" t="n"/>
      <c r="AX228" s="29" t="n"/>
      <c r="AY228" s="29" t="n"/>
      <c r="AZ228" s="29" t="n"/>
      <c r="BA228" s="29" t="n"/>
      <c r="BB228" s="29" t="n"/>
      <c r="BC228" s="29" t="n"/>
      <c r="BD228" s="29" t="n"/>
      <c r="BE228" s="29" t="n"/>
      <c r="BF228" s="29" t="n"/>
      <c r="BG228" s="29" t="n"/>
      <c r="BH228" s="29" t="n"/>
      <c r="BI228" s="29" t="n"/>
    </row>
    <row r="229">
      <c r="C229" s="11" t="inlineStr">
        <is>
          <t>Ações ordinárias em circulação (milhões)</t>
        </is>
      </c>
      <c r="D229" s="12" t="inlineStr">
        <is>
          <t>Common shares outstanding (mn)</t>
        </is>
      </c>
      <c r="E229" s="57">
        <f>IF(AND(E$14=1,ISNUMBER('Inputs (2)'!E155),'Inputs (2)'!E155&lt;&gt;0),'Inputs (2)'!E155,Inputs!$E$210)</f>
        <v>0</v>
      </c>
      <c r="F229" s="57">
        <f>IF(AND(F$14=1,ISNUMBER('Inputs (2)'!F155),'Inputs (2)'!F155&lt;&gt;0),'Inputs (2)'!F155,Inputs!$E$210)</f>
        <v>0</v>
      </c>
      <c r="G229" s="57">
        <f>IF(AND(G$14=1,ISNUMBER('Inputs (2)'!G155),'Inputs (2)'!G155&lt;&gt;0),'Inputs (2)'!G155,Inputs!$E$210)</f>
        <v>0</v>
      </c>
      <c r="H229" s="57">
        <f>IF(AND(H$14=1,ISNUMBER('Inputs (2)'!H155),'Inputs (2)'!H155&lt;&gt;0),'Inputs (2)'!H155,Inputs!$E$210)</f>
        <v>0</v>
      </c>
      <c r="I229" s="92">
        <f>IF(AND(I$14=1,ISNUMBER('Inputs (2)'!I155),'Inputs (2)'!I155&lt;&gt;0),'Inputs (2)'!I155,Inputs!$E$210)</f>
        <v>0</v>
      </c>
      <c r="J229" s="57">
        <f>IF(AND(J$14=1,ISNUMBER('Inputs (2)'!J155),'Inputs (2)'!J155&lt;&gt;0),'Inputs (2)'!J155,Inputs!$E$210)</f>
        <v>0</v>
      </c>
      <c r="K229" s="57">
        <f>IF(AND(K$14=1,ISNUMBER('Inputs (2)'!K155),'Inputs (2)'!K155&lt;&gt;0),'Inputs (2)'!K155,Inputs!$E$210)</f>
        <v>0</v>
      </c>
      <c r="L229" s="57">
        <f>IF(AND(L$14=1,ISNUMBER('Inputs (2)'!L155),'Inputs (2)'!L155&lt;&gt;0),'Inputs (2)'!L155,Inputs!$E$210)</f>
        <v>0</v>
      </c>
      <c r="M229" s="57">
        <f>IF(AND(M$14=1,ISNUMBER('Inputs (2)'!M155),'Inputs (2)'!M155&lt;&gt;0),'Inputs (2)'!M155,Inputs!$E$210)</f>
        <v>0</v>
      </c>
      <c r="N229" s="92">
        <f>IF(AND(N$14=1,ISNUMBER('Inputs (2)'!N155),'Inputs (2)'!N155&lt;&gt;0),'Inputs (2)'!N155,Inputs!$E$210)</f>
        <v>0</v>
      </c>
      <c r="O229" s="57">
        <f>IF(AND(O$14=1,ISNUMBER('Inputs (2)'!O155),'Inputs (2)'!O155&lt;&gt;0),'Inputs (2)'!O155,Inputs!$E$210)</f>
        <v>0</v>
      </c>
      <c r="P229" s="57">
        <f>IF(AND(P$14=1,ISNUMBER('Inputs (2)'!P155),'Inputs (2)'!P155&lt;&gt;0),'Inputs (2)'!P155,Inputs!$E$210)</f>
        <v>0</v>
      </c>
      <c r="Q229" s="57">
        <f>IF(AND(Q$14=1,ISNUMBER('Inputs (2)'!Q155),'Inputs (2)'!Q155&lt;&gt;0),'Inputs (2)'!Q155,Inputs!$E$210)</f>
        <v>0</v>
      </c>
      <c r="R229" s="57">
        <f>IF(AND(R$14=1,ISNUMBER('Inputs (2)'!R155),'Inputs (2)'!R155&lt;&gt;0),'Inputs (2)'!R155,Inputs!$E$210)</f>
        <v>0</v>
      </c>
      <c r="S229" s="92">
        <f>IF(AND(S$14=1,ISNUMBER('Inputs (2)'!S155),'Inputs (2)'!S155&lt;&gt;0),'Inputs (2)'!S155,Inputs!$E$210)</f>
        <v>0</v>
      </c>
      <c r="T229" s="57">
        <f>IF(AND(T$14=1,ISNUMBER('Inputs (2)'!T155),'Inputs (2)'!T155&lt;&gt;0),'Inputs (2)'!T155,Inputs!$E$210)</f>
        <v>0</v>
      </c>
      <c r="U229" s="57">
        <f>IF(AND(U$14=1,ISNUMBER('Inputs (2)'!U155),'Inputs (2)'!U155&lt;&gt;0),'Inputs (2)'!U155,Inputs!$E$210)</f>
        <v>0</v>
      </c>
      <c r="V229" s="57">
        <f>IF(AND(V$14=1,ISNUMBER('Inputs (2)'!V155),'Inputs (2)'!V155&lt;&gt;0),'Inputs (2)'!V155,Inputs!$E$210)</f>
        <v>0</v>
      </c>
      <c r="W229" s="57">
        <f>IF(AND(W$14=1,ISNUMBER('Inputs (2)'!W155),'Inputs (2)'!W155&lt;&gt;0),'Inputs (2)'!W155,Inputs!$E$210)</f>
        <v>0</v>
      </c>
      <c r="X229" s="92">
        <f>IF(AND(X$14=1,ISNUMBER('Inputs (2)'!X155),'Inputs (2)'!X155&lt;&gt;0),'Inputs (2)'!X155,Inputs!$E$210)</f>
        <v>0</v>
      </c>
      <c r="Y229" s="57">
        <f>IF(AND(Y$14=1,ISNUMBER('Inputs (2)'!Y155),'Inputs (2)'!Y155&lt;&gt;0),'Inputs (2)'!Y155,Inputs!$E$210)</f>
        <v>0</v>
      </c>
      <c r="Z229" s="57">
        <f>IF(AND(Z$14=1,ISNUMBER('Inputs (2)'!Z155),'Inputs (2)'!Z155&lt;&gt;0),'Inputs (2)'!Z155,Inputs!$E$210)</f>
        <v>0</v>
      </c>
      <c r="AA229" s="57">
        <f>IF(AND(AA$14=1,ISNUMBER('Inputs (2)'!AA155),'Inputs (2)'!AA155&lt;&gt;0),'Inputs (2)'!AA155,Inputs!$E$210)</f>
        <v>0</v>
      </c>
      <c r="AB229" s="57">
        <f>IF(AND(AB$14=1,ISNUMBER('Inputs (2)'!AB155),'Inputs (2)'!AB155&lt;&gt;0),'Inputs (2)'!AB155,Inputs!$E$210)</f>
        <v>0</v>
      </c>
      <c r="AC229" s="92">
        <f>IF(AND(AC$14=1,ISNUMBER('Inputs (2)'!AC155),'Inputs (2)'!AC155&lt;&gt;0),'Inputs (2)'!AC155,Inputs!$E$210)</f>
        <v>0</v>
      </c>
      <c r="AD229" s="57">
        <f>IF(AND(AD$14=1,ISNUMBER('Inputs (2)'!AD155),'Inputs (2)'!AD155&lt;&gt;0),'Inputs (2)'!AD155,Inputs!$E$210)</f>
        <v>0</v>
      </c>
      <c r="AE229" s="57">
        <f>IF(AND(AE$14=1,ISNUMBER('Inputs (2)'!AE155),'Inputs (2)'!AE155&lt;&gt;0),'Inputs (2)'!AE155,Inputs!$E$210)</f>
        <v>0</v>
      </c>
      <c r="AF229" s="57">
        <f>IF(AND(AF$14=1,ISNUMBER('Inputs (2)'!AF155),'Inputs (2)'!AF155&lt;&gt;0),'Inputs (2)'!AF155,Inputs!$E$210)</f>
        <v>0</v>
      </c>
      <c r="AG229" s="57">
        <f>IF(AND(AG$14=1,ISNUMBER('Inputs (2)'!AG155),'Inputs (2)'!AG155&lt;&gt;0),'Inputs (2)'!AG155,Inputs!$E$210)</f>
        <v>0</v>
      </c>
      <c r="AH229" s="92">
        <f>IF(AND(AH$14=1,ISNUMBER('Inputs (2)'!AH155),'Inputs (2)'!AH155&lt;&gt;0),'Inputs (2)'!AH155,Inputs!$E$210)</f>
        <v>0</v>
      </c>
      <c r="AI229" s="57">
        <f>IF(AND(AI$14=1,ISNUMBER('Inputs (2)'!AI155),'Inputs (2)'!AI155&lt;&gt;0),'Inputs (2)'!AI155,Inputs!$E$210)</f>
        <v>0</v>
      </c>
      <c r="AJ229" s="57">
        <f>IF(AND(AJ$14=1,ISNUMBER('Inputs (2)'!AJ155),'Inputs (2)'!AJ155&lt;&gt;0),'Inputs (2)'!AJ155,Inputs!$E$210)</f>
        <v>0</v>
      </c>
      <c r="AK229" s="57">
        <f>IF(AND(AK$14=1,ISNUMBER('Inputs (2)'!AK155),'Inputs (2)'!AK155&lt;&gt;0),'Inputs (2)'!AK155,Inputs!$E$210)</f>
        <v>0</v>
      </c>
      <c r="AL229" s="57">
        <f>IF(AND(AL$14=1,ISNUMBER('Inputs (2)'!AL155),'Inputs (2)'!AL155&lt;&gt;0),'Inputs (2)'!AL155,Inputs!$E$210)</f>
        <v>0</v>
      </c>
      <c r="AM229" s="92">
        <f>IF(AND(AM$14=1,ISNUMBER('Inputs (2)'!AM155),'Inputs (2)'!AM155&lt;&gt;0),'Inputs (2)'!AM155,Inputs!$E$210)</f>
        <v>0</v>
      </c>
      <c r="AN229" s="57">
        <f>IF(AND(AN$14=1,ISNUMBER('Inputs (2)'!AN155),'Inputs (2)'!AN155&lt;&gt;0),'Inputs (2)'!AN155,Inputs!$E$210)</f>
        <v>0</v>
      </c>
      <c r="AO229" s="57">
        <f>IF(AND(AO$14=1,ISNUMBER('Inputs (2)'!AO155),'Inputs (2)'!AO155&lt;&gt;0),'Inputs (2)'!AO155,Inputs!$E$210)</f>
        <v>0</v>
      </c>
      <c r="AP229" s="57">
        <f>IF(AND(AP$14=1,ISNUMBER('Inputs (2)'!AP155),'Inputs (2)'!AP155&lt;&gt;0),'Inputs (2)'!AP155,Inputs!$E$210)</f>
        <v>0</v>
      </c>
      <c r="AQ229" s="57">
        <f>IF(AND(AQ$14=1,ISNUMBER('Inputs (2)'!AQ155),'Inputs (2)'!AQ155&lt;&gt;0),'Inputs (2)'!AQ155,Inputs!$E$210)</f>
        <v>0</v>
      </c>
      <c r="AR229" s="92">
        <f>IF(AND(AR$14=1,ISNUMBER('Inputs (2)'!AR155),'Inputs (2)'!AR155&lt;&gt;0),'Inputs (2)'!AR155,Inputs!$E$210)</f>
        <v>0</v>
      </c>
      <c r="AS229" s="57">
        <f>IF(AND(AS$14=1,ISNUMBER('Inputs (2)'!AS155),'Inputs (2)'!AS155&lt;&gt;0),'Inputs (2)'!AS155,Inputs!$E$210)</f>
        <v>0</v>
      </c>
      <c r="AT229" s="57">
        <f>IF(AND(AT$14=1,ISNUMBER('Inputs (2)'!AT155),'Inputs (2)'!AT155&lt;&gt;0),'Inputs (2)'!AT155,Inputs!$E$210)</f>
        <v>0</v>
      </c>
      <c r="AU229" s="57">
        <f>IF(AND(AU$14=1,ISNUMBER('Inputs (2)'!AU155),'Inputs (2)'!AU155&lt;&gt;0),'Inputs (2)'!AU155,Inputs!$E$210)</f>
        <v>0</v>
      </c>
      <c r="AV229" s="57">
        <f>IF(AND(AV$14=1,ISNUMBER('Inputs (2)'!AV155),'Inputs (2)'!AV155&lt;&gt;0),'Inputs (2)'!AV155,Inputs!$E$210)</f>
        <v>0</v>
      </c>
      <c r="AW229" s="92">
        <f>IF(AND(AW$14=1,ISNUMBER('Inputs (2)'!AW155),'Inputs (2)'!AW155&lt;&gt;0),'Inputs (2)'!AW155,Inputs!$E$210)</f>
        <v>0</v>
      </c>
      <c r="AX229" s="57">
        <f>IF(AND(AX$14=1,ISNUMBER('Inputs (2)'!AX155),'Inputs (2)'!AX155&lt;&gt;0),'Inputs (2)'!AX155,Inputs!$E$210)</f>
        <v>0</v>
      </c>
      <c r="AY229" s="57">
        <f>IF(AND(AY$14=1,ISNUMBER('Inputs (2)'!AY155),'Inputs (2)'!AY155&lt;&gt;0),'Inputs (2)'!AY155,Inputs!$E$210)</f>
        <v>0</v>
      </c>
      <c r="AZ229" s="57">
        <f>IF(AND(AZ$14=1,ISNUMBER('Inputs (2)'!AZ155),'Inputs (2)'!AZ155&lt;&gt;0),'Inputs (2)'!AZ155,Inputs!$E$210)</f>
        <v>0</v>
      </c>
      <c r="BA229" s="57">
        <f>IF(AND(BA$14=1,ISNUMBER('Inputs (2)'!BA155),'Inputs (2)'!BA155&lt;&gt;0),'Inputs (2)'!BA155,Inputs!$E$210)</f>
        <v>0</v>
      </c>
      <c r="BB229" s="92">
        <f>IF(AND(BB$14=1,ISNUMBER('Inputs (2)'!BB155),'Inputs (2)'!BB155&lt;&gt;0),'Inputs (2)'!BB155,Inputs!$E$210)</f>
        <v>0</v>
      </c>
      <c r="BC229" s="57">
        <f>IF(AND(BC$14=1,ISNUMBER('Inputs (2)'!BC155),'Inputs (2)'!BC155&lt;&gt;0),'Inputs (2)'!BC155,Inputs!$E$210)</f>
        <v>0</v>
      </c>
      <c r="BD229" s="57">
        <f>IF(AND(BD$14=1,ISNUMBER('Inputs (2)'!BD155),'Inputs (2)'!BD155&lt;&gt;0),'Inputs (2)'!BD155,Inputs!$E$210)</f>
        <v>0</v>
      </c>
      <c r="BE229" s="57">
        <f>IF(AND(BE$14=1,ISNUMBER('Inputs (2)'!BE155),'Inputs (2)'!BE155&lt;&gt;0),'Inputs (2)'!BE155,Inputs!$E$210)</f>
        <v>0</v>
      </c>
      <c r="BF229" s="57">
        <f>IF(AND(BF$14=1,ISNUMBER('Inputs (2)'!BF155),'Inputs (2)'!BF155&lt;&gt;0),'Inputs (2)'!BF155,Inputs!$E$210)</f>
        <v>0</v>
      </c>
      <c r="BG229" s="92">
        <f>IF(AND(BG$14=1,ISNUMBER('Inputs (2)'!BG155),'Inputs (2)'!BG155&lt;&gt;0),'Inputs (2)'!BG155,Inputs!$E$210)</f>
        <v>0</v>
      </c>
    </row>
    <row r="230">
      <c r="C230" s="11" t="str">
        <f>"Lucro por ação ordinária — EPS ("&amp;Inputs!$E$200&amp;")"</f>
        <v>Lucro por ação ordinária — EPS (US$)</v>
      </c>
      <c r="D230" s="12" t="inlineStr">
        <is>
          <t>Earnings per share</t>
        </is>
      </c>
      <c r="E230" s="93">
        <f>IFERROR(E131/E229,0)</f>
        <v>0</v>
      </c>
      <c r="F230" s="93">
        <f>IFERROR(F131/F229,0)</f>
        <v>0</v>
      </c>
      <c r="G230" s="93">
        <f>IFERROR(G131/G229,0)</f>
        <v>0</v>
      </c>
      <c r="H230" s="93">
        <f>IFERROR(H131/H229,0)</f>
        <v>0</v>
      </c>
      <c r="I230" s="94">
        <f>IFERROR(I131/I229,0)</f>
        <v>0</v>
      </c>
      <c r="J230" s="93">
        <f>IFERROR(J131/J229,0)</f>
        <v>0</v>
      </c>
      <c r="K230" s="93">
        <f>IFERROR(K131/K229,0)</f>
        <v>0</v>
      </c>
      <c r="L230" s="93">
        <f>IFERROR(L131/L229,0)</f>
        <v>0</v>
      </c>
      <c r="M230" s="93">
        <f>IFERROR(M131/M229,0)</f>
        <v>0</v>
      </c>
      <c r="N230" s="94">
        <f>IFERROR(N131/N229,0)</f>
        <v>0</v>
      </c>
      <c r="O230" s="93">
        <f>IFERROR(O131/O229,0)</f>
        <v>0</v>
      </c>
      <c r="P230" s="93">
        <f>IFERROR(P131/P229,0)</f>
        <v>0</v>
      </c>
      <c r="Q230" s="93">
        <f>IFERROR(Q131/Q229,0)</f>
        <v>0</v>
      </c>
      <c r="R230" s="93">
        <f>IFERROR(R131/R229,0)</f>
        <v>0</v>
      </c>
      <c r="S230" s="94">
        <f>IFERROR(S131/S229,0)</f>
        <v>0</v>
      </c>
      <c r="T230" s="93">
        <f>IFERROR(T131/T229,0)</f>
        <v>0</v>
      </c>
      <c r="U230" s="93">
        <f>IFERROR(U131/U229,0)</f>
        <v>0</v>
      </c>
      <c r="V230" s="93">
        <f>IFERROR(V131/V229,0)</f>
        <v>0</v>
      </c>
      <c r="W230" s="93">
        <f>IFERROR(W131/W229,0)</f>
        <v>0</v>
      </c>
      <c r="X230" s="94">
        <f>IFERROR(X131/X229,0)</f>
        <v>0</v>
      </c>
      <c r="Y230" s="93">
        <f>IFERROR(Y131/Y229,0)</f>
        <v>0</v>
      </c>
      <c r="Z230" s="93">
        <f>IFERROR(Z131/Z229,0)</f>
        <v>0</v>
      </c>
      <c r="AA230" s="93">
        <f>IFERROR(AA131/AA229,0)</f>
        <v>0</v>
      </c>
      <c r="AB230" s="93">
        <f>IFERROR(AB131/AB229,0)</f>
        <v>0</v>
      </c>
      <c r="AC230" s="94">
        <f>IFERROR(AC131/AC229,0)</f>
        <v>0</v>
      </c>
      <c r="AD230" s="93">
        <f>IFERROR(AD131/AD229,0)</f>
        <v>0</v>
      </c>
      <c r="AE230" s="93">
        <f>IFERROR(AE131/AE229,0)</f>
        <v>0</v>
      </c>
      <c r="AF230" s="93">
        <f>IFERROR(AF131/AF229,0)</f>
        <v>0</v>
      </c>
      <c r="AG230" s="93">
        <f>IFERROR(AG131/AG229,0)</f>
        <v>0</v>
      </c>
      <c r="AH230" s="94">
        <f>IFERROR(AH131/AH229,0)</f>
        <v>0</v>
      </c>
      <c r="AI230" s="93">
        <f>IFERROR(AI131/AI229,0)</f>
        <v>0</v>
      </c>
      <c r="AJ230" s="93">
        <f>IFERROR(AJ131/AJ229,0)</f>
        <v>0</v>
      </c>
      <c r="AK230" s="93">
        <f>IFERROR(AK131/AK229,0)</f>
        <v>0</v>
      </c>
      <c r="AL230" s="93">
        <f>IFERROR(AL131/AL229,0)</f>
        <v>0</v>
      </c>
      <c r="AM230" s="94">
        <f>IFERROR(AM131/AM229,0)</f>
        <v>0</v>
      </c>
      <c r="AN230" s="93">
        <f>IFERROR(AN131/AN229,0)</f>
        <v>0</v>
      </c>
      <c r="AO230" s="93">
        <f>IFERROR(AO131/AO229,0)</f>
        <v>0</v>
      </c>
      <c r="AP230" s="93">
        <f>IFERROR(AP131/AP229,0)</f>
        <v>0</v>
      </c>
      <c r="AQ230" s="93">
        <f>IFERROR(AQ131/AQ229,0)</f>
        <v>0</v>
      </c>
      <c r="AR230" s="94">
        <f>IFERROR(AR131/AR229,0)</f>
        <v>0</v>
      </c>
      <c r="AS230" s="93">
        <f>IFERROR(AS131/AS229,0)</f>
        <v>0</v>
      </c>
      <c r="AT230" s="93">
        <f>IFERROR(AT131/AT229,0)</f>
        <v>0</v>
      </c>
      <c r="AU230" s="93">
        <f>IFERROR(AU131/AU229,0)</f>
        <v>0</v>
      </c>
      <c r="AV230" s="93">
        <f>IFERROR(AV131/AV229,0)</f>
        <v>0</v>
      </c>
      <c r="AW230" s="94">
        <f>IFERROR(AW131/AW229,0)</f>
        <v>0</v>
      </c>
      <c r="AX230" s="93">
        <f>IFERROR(AX131/AX229,0)</f>
        <v>0</v>
      </c>
      <c r="AY230" s="93">
        <f>IFERROR(AY131/AY229,0)</f>
        <v>0</v>
      </c>
      <c r="AZ230" s="93">
        <f>IFERROR(AZ131/AZ229,0)</f>
        <v>0</v>
      </c>
      <c r="BA230" s="93">
        <f>IFERROR(BA131/BA229,0)</f>
        <v>0</v>
      </c>
      <c r="BB230" s="94">
        <f>IFERROR(BB131/BB229,0)</f>
        <v>0</v>
      </c>
      <c r="BC230" s="93">
        <f>IFERROR(BC131/BC229,0)</f>
        <v>0</v>
      </c>
      <c r="BD230" s="93">
        <f>IFERROR(BD131/BD229,0)</f>
        <v>0</v>
      </c>
      <c r="BE230" s="93">
        <f>IFERROR(BE131/BE229,0)</f>
        <v>0</v>
      </c>
      <c r="BF230" s="93">
        <f>IFERROR(BF131/BF229,0)</f>
        <v>0</v>
      </c>
      <c r="BG230" s="94">
        <f>IFERROR(BG131/BG229,0)</f>
        <v>0</v>
      </c>
    </row>
    <row r="231">
      <c r="C231" s="11" t="str">
        <f>"Valor patrimonial por ação ordinária — BVPS ("&amp;Inputs!$E$200&amp;")"</f>
        <v>Valor patrimonial por ação ordinária — BVPS (US$)</v>
      </c>
      <c r="D231" s="12" t="inlineStr">
        <is>
          <t>Book value per share</t>
        </is>
      </c>
      <c r="E231" s="93">
        <f>IFERROR(E141/E229,0)</f>
        <v>0</v>
      </c>
      <c r="F231" s="93">
        <f>IFERROR(F141/F229,0)</f>
        <v>0</v>
      </c>
      <c r="G231" s="93">
        <f>IFERROR(G141/G229,0)</f>
        <v>0</v>
      </c>
      <c r="H231" s="93">
        <f>IFERROR(H141/H229,0)</f>
        <v>0</v>
      </c>
      <c r="I231" s="94">
        <f>IFERROR(I141/I229,0)</f>
        <v>0</v>
      </c>
      <c r="J231" s="93">
        <f>IFERROR(J141/J229,0)</f>
        <v>0</v>
      </c>
      <c r="K231" s="93">
        <f>IFERROR(K141/K229,0)</f>
        <v>0</v>
      </c>
      <c r="L231" s="93">
        <f>IFERROR(L141/L229,0)</f>
        <v>0</v>
      </c>
      <c r="M231" s="93">
        <f>IFERROR(M141/M229,0)</f>
        <v>0</v>
      </c>
      <c r="N231" s="94">
        <f>IFERROR(N141/N229,0)</f>
        <v>0</v>
      </c>
      <c r="O231" s="93">
        <f>IFERROR(O141/O229,0)</f>
        <v>0</v>
      </c>
      <c r="P231" s="93">
        <f>IFERROR(P141/P229,0)</f>
        <v>0</v>
      </c>
      <c r="Q231" s="93">
        <f>IFERROR(Q141/Q229,0)</f>
        <v>0</v>
      </c>
      <c r="R231" s="93">
        <f>IFERROR(R141/R229,0)</f>
        <v>0</v>
      </c>
      <c r="S231" s="94">
        <f>IFERROR(S141/S229,0)</f>
        <v>0</v>
      </c>
      <c r="T231" s="93">
        <f>IFERROR(T141/T229,0)</f>
        <v>0</v>
      </c>
      <c r="U231" s="93">
        <f>IFERROR(U141/U229,0)</f>
        <v>0</v>
      </c>
      <c r="V231" s="93">
        <f>IFERROR(V141/V229,0)</f>
        <v>0</v>
      </c>
      <c r="W231" s="93">
        <f>IFERROR(W141/W229,0)</f>
        <v>0</v>
      </c>
      <c r="X231" s="94">
        <f>IFERROR(X141/X229,0)</f>
        <v>0</v>
      </c>
      <c r="Y231" s="93">
        <f>IFERROR(Y141/Y229,0)</f>
        <v>0</v>
      </c>
      <c r="Z231" s="93">
        <f>IFERROR(Z141/Z229,0)</f>
        <v>0</v>
      </c>
      <c r="AA231" s="93">
        <f>IFERROR(AA141/AA229,0)</f>
        <v>0</v>
      </c>
      <c r="AB231" s="93">
        <f>IFERROR(AB141/AB229,0)</f>
        <v>0</v>
      </c>
      <c r="AC231" s="94">
        <f>IFERROR(AC141/AC229,0)</f>
        <v>0</v>
      </c>
      <c r="AD231" s="93">
        <f>IFERROR(AD141/AD229,0)</f>
        <v>0</v>
      </c>
      <c r="AE231" s="93">
        <f>IFERROR(AE141/AE229,0)</f>
        <v>0</v>
      </c>
      <c r="AF231" s="93">
        <f>IFERROR(AF141/AF229,0)</f>
        <v>0</v>
      </c>
      <c r="AG231" s="93">
        <f>IFERROR(AG141/AG229,0)</f>
        <v>0</v>
      </c>
      <c r="AH231" s="94">
        <f>IFERROR(AH141/AH229,0)</f>
        <v>0</v>
      </c>
      <c r="AI231" s="93">
        <f>IFERROR(AI141/AI229,0)</f>
        <v>0</v>
      </c>
      <c r="AJ231" s="93">
        <f>IFERROR(AJ141/AJ229,0)</f>
        <v>0</v>
      </c>
      <c r="AK231" s="93">
        <f>IFERROR(AK141/AK229,0)</f>
        <v>0</v>
      </c>
      <c r="AL231" s="93">
        <f>IFERROR(AL141/AL229,0)</f>
        <v>0</v>
      </c>
      <c r="AM231" s="94">
        <f>IFERROR(AM141/AM229,0)</f>
        <v>0</v>
      </c>
      <c r="AN231" s="93">
        <f>IFERROR(AN141/AN229,0)</f>
        <v>0</v>
      </c>
      <c r="AO231" s="93">
        <f>IFERROR(AO141/AO229,0)</f>
        <v>0</v>
      </c>
      <c r="AP231" s="93">
        <f>IFERROR(AP141/AP229,0)</f>
        <v>0</v>
      </c>
      <c r="AQ231" s="93">
        <f>IFERROR(AQ141/AQ229,0)</f>
        <v>0</v>
      </c>
      <c r="AR231" s="94">
        <f>IFERROR(AR141/AR229,0)</f>
        <v>0</v>
      </c>
      <c r="AS231" s="93">
        <f>IFERROR(AS141/AS229,0)</f>
        <v>0</v>
      </c>
      <c r="AT231" s="93">
        <f>IFERROR(AT141/AT229,0)</f>
        <v>0</v>
      </c>
      <c r="AU231" s="93">
        <f>IFERROR(AU141/AU229,0)</f>
        <v>0</v>
      </c>
      <c r="AV231" s="93">
        <f>IFERROR(AV141/AV229,0)</f>
        <v>0</v>
      </c>
      <c r="AW231" s="94">
        <f>IFERROR(AW141/AW229,0)</f>
        <v>0</v>
      </c>
      <c r="AX231" s="93">
        <f>IFERROR(AX141/AX229,0)</f>
        <v>0</v>
      </c>
      <c r="AY231" s="93">
        <f>IFERROR(AY141/AY229,0)</f>
        <v>0</v>
      </c>
      <c r="AZ231" s="93">
        <f>IFERROR(AZ141/AZ229,0)</f>
        <v>0</v>
      </c>
      <c r="BA231" s="93">
        <f>IFERROR(BA141/BA229,0)</f>
        <v>0</v>
      </c>
      <c r="BB231" s="94">
        <f>IFERROR(BB141/BB229,0)</f>
        <v>0</v>
      </c>
      <c r="BC231" s="93">
        <f>IFERROR(BC141/BC229,0)</f>
        <v>0</v>
      </c>
      <c r="BD231" s="93">
        <f>IFERROR(BD141/BD229,0)</f>
        <v>0</v>
      </c>
      <c r="BE231" s="93">
        <f>IFERROR(BE141/BE229,0)</f>
        <v>0</v>
      </c>
      <c r="BF231" s="93">
        <f>IFERROR(BF141/BF229,0)</f>
        <v>0</v>
      </c>
      <c r="BG231" s="94">
        <f>IFERROR(BG141/BG229,0)</f>
        <v>0</v>
      </c>
    </row>
    <row r="232">
      <c r="C232" s="11" t="str">
        <f>"Valor patrimonial tangível por ação — TBVPS ("&amp;Inputs!$E$200&amp;")"</f>
        <v>Valor patrimonial tangível por ação — TBVPS (US$)</v>
      </c>
      <c r="D232" s="12" t="inlineStr">
        <is>
          <t>Tangible book value per share</t>
        </is>
      </c>
      <c r="E232" s="93">
        <f>IFERROR(E144/E229,0)</f>
        <v>0</v>
      </c>
      <c r="F232" s="93">
        <f>IFERROR(F144/F229,0)</f>
        <v>0</v>
      </c>
      <c r="G232" s="93">
        <f>IFERROR(G144/G229,0)</f>
        <v>0</v>
      </c>
      <c r="H232" s="93">
        <f>IFERROR(H144/H229,0)</f>
        <v>0</v>
      </c>
      <c r="I232" s="94">
        <f>IFERROR(I144/I229,0)</f>
        <v>0</v>
      </c>
      <c r="J232" s="93">
        <f>IFERROR(J144/J229,0)</f>
        <v>0</v>
      </c>
      <c r="K232" s="93">
        <f>IFERROR(K144/K229,0)</f>
        <v>0</v>
      </c>
      <c r="L232" s="93">
        <f>IFERROR(L144/L229,0)</f>
        <v>0</v>
      </c>
      <c r="M232" s="93">
        <f>IFERROR(M144/M229,0)</f>
        <v>0</v>
      </c>
      <c r="N232" s="94">
        <f>IFERROR(N144/N229,0)</f>
        <v>0</v>
      </c>
      <c r="O232" s="93">
        <f>IFERROR(O144/O229,0)</f>
        <v>0</v>
      </c>
      <c r="P232" s="93">
        <f>IFERROR(P144/P229,0)</f>
        <v>0</v>
      </c>
      <c r="Q232" s="93">
        <f>IFERROR(Q144/Q229,0)</f>
        <v>0</v>
      </c>
      <c r="R232" s="93">
        <f>IFERROR(R144/R229,0)</f>
        <v>0</v>
      </c>
      <c r="S232" s="94">
        <f>IFERROR(S144/S229,0)</f>
        <v>0</v>
      </c>
      <c r="T232" s="93">
        <f>IFERROR(T144/T229,0)</f>
        <v>0</v>
      </c>
      <c r="U232" s="93">
        <f>IFERROR(U144/U229,0)</f>
        <v>0</v>
      </c>
      <c r="V232" s="93">
        <f>IFERROR(V144/V229,0)</f>
        <v>0</v>
      </c>
      <c r="W232" s="93">
        <f>IFERROR(W144/W229,0)</f>
        <v>0</v>
      </c>
      <c r="X232" s="94">
        <f>IFERROR(X144/X229,0)</f>
        <v>0</v>
      </c>
      <c r="Y232" s="93">
        <f>IFERROR(Y144/Y229,0)</f>
        <v>0</v>
      </c>
      <c r="Z232" s="93">
        <f>IFERROR(Z144/Z229,0)</f>
        <v>0</v>
      </c>
      <c r="AA232" s="93">
        <f>IFERROR(AA144/AA229,0)</f>
        <v>0</v>
      </c>
      <c r="AB232" s="93">
        <f>IFERROR(AB144/AB229,0)</f>
        <v>0</v>
      </c>
      <c r="AC232" s="94">
        <f>IFERROR(AC144/AC229,0)</f>
        <v>0</v>
      </c>
      <c r="AD232" s="93">
        <f>IFERROR(AD144/AD229,0)</f>
        <v>0</v>
      </c>
      <c r="AE232" s="93">
        <f>IFERROR(AE144/AE229,0)</f>
        <v>0</v>
      </c>
      <c r="AF232" s="93">
        <f>IFERROR(AF144/AF229,0)</f>
        <v>0</v>
      </c>
      <c r="AG232" s="93">
        <f>IFERROR(AG144/AG229,0)</f>
        <v>0</v>
      </c>
      <c r="AH232" s="94">
        <f>IFERROR(AH144/AH229,0)</f>
        <v>0</v>
      </c>
      <c r="AI232" s="93">
        <f>IFERROR(AI144/AI229,0)</f>
        <v>0</v>
      </c>
      <c r="AJ232" s="93">
        <f>IFERROR(AJ144/AJ229,0)</f>
        <v>0</v>
      </c>
      <c r="AK232" s="93">
        <f>IFERROR(AK144/AK229,0)</f>
        <v>0</v>
      </c>
      <c r="AL232" s="93">
        <f>IFERROR(AL144/AL229,0)</f>
        <v>0</v>
      </c>
      <c r="AM232" s="94">
        <f>IFERROR(AM144/AM229,0)</f>
        <v>0</v>
      </c>
      <c r="AN232" s="93">
        <f>IFERROR(AN144/AN229,0)</f>
        <v>0</v>
      </c>
      <c r="AO232" s="93">
        <f>IFERROR(AO144/AO229,0)</f>
        <v>0</v>
      </c>
      <c r="AP232" s="93">
        <f>IFERROR(AP144/AP229,0)</f>
        <v>0</v>
      </c>
      <c r="AQ232" s="93">
        <f>IFERROR(AQ144/AQ229,0)</f>
        <v>0</v>
      </c>
      <c r="AR232" s="94">
        <f>IFERROR(AR144/AR229,0)</f>
        <v>0</v>
      </c>
      <c r="AS232" s="93">
        <f>IFERROR(AS144/AS229,0)</f>
        <v>0</v>
      </c>
      <c r="AT232" s="93">
        <f>IFERROR(AT144/AT229,0)</f>
        <v>0</v>
      </c>
      <c r="AU232" s="93">
        <f>IFERROR(AU144/AU229,0)</f>
        <v>0</v>
      </c>
      <c r="AV232" s="93">
        <f>IFERROR(AV144/AV229,0)</f>
        <v>0</v>
      </c>
      <c r="AW232" s="94">
        <f>IFERROR(AW144/AW229,0)</f>
        <v>0</v>
      </c>
      <c r="AX232" s="93">
        <f>IFERROR(AX144/AX229,0)</f>
        <v>0</v>
      </c>
      <c r="AY232" s="93">
        <f>IFERROR(AY144/AY229,0)</f>
        <v>0</v>
      </c>
      <c r="AZ232" s="93">
        <f>IFERROR(AZ144/AZ229,0)</f>
        <v>0</v>
      </c>
      <c r="BA232" s="93">
        <f>IFERROR(BA144/BA229,0)</f>
        <v>0</v>
      </c>
      <c r="BB232" s="94">
        <f>IFERROR(BB144/BB229,0)</f>
        <v>0</v>
      </c>
      <c r="BC232" s="93">
        <f>IFERROR(BC144/BC229,0)</f>
        <v>0</v>
      </c>
      <c r="BD232" s="93">
        <f>IFERROR(BD144/BD229,0)</f>
        <v>0</v>
      </c>
      <c r="BE232" s="93">
        <f>IFERROR(BE144/BE229,0)</f>
        <v>0</v>
      </c>
      <c r="BF232" s="93">
        <f>IFERROR(BF144/BF229,0)</f>
        <v>0</v>
      </c>
      <c r="BG232" s="94">
        <f>IFERROR(BG144/BG229,0)</f>
        <v>0</v>
      </c>
    </row>
    <row r="233">
      <c r="C233" s="11" t="str">
        <f>"Dividendo ordinário por ação — DPS ("&amp;Inputs!$E$200&amp;")"</f>
        <v>Dividendo ordinário por ação — DPS (US$)</v>
      </c>
      <c r="D233" s="12" t="inlineStr">
        <is>
          <t>Dividends per share</t>
        </is>
      </c>
      <c r="E233" s="93">
        <f>IFERROR(-(E85-E130)/E229,0)</f>
        <v>0</v>
      </c>
      <c r="F233" s="93">
        <f>IFERROR(-(F85-F130)/F229,0)</f>
        <v>0</v>
      </c>
      <c r="G233" s="93">
        <f>IFERROR(-(G85-G130)/G229,0)</f>
        <v>0</v>
      </c>
      <c r="H233" s="93">
        <f>IFERROR(-(H85-H130)/H229,0)</f>
        <v>0</v>
      </c>
      <c r="I233" s="94">
        <f>IFERROR(-(I85-I130)/I229,0)</f>
        <v>0</v>
      </c>
      <c r="J233" s="93">
        <f>IFERROR(-(J85-J130)/J229,0)</f>
        <v>0</v>
      </c>
      <c r="K233" s="93">
        <f>IFERROR(-(K85-K130)/K229,0)</f>
        <v>0</v>
      </c>
      <c r="L233" s="93">
        <f>IFERROR(-(L85-L130)/L229,0)</f>
        <v>0</v>
      </c>
      <c r="M233" s="93">
        <f>IFERROR(-(M85-M130)/M229,0)</f>
        <v>0</v>
      </c>
      <c r="N233" s="94">
        <f>IFERROR(-(N85-N130)/N229,0)</f>
        <v>0</v>
      </c>
      <c r="O233" s="93">
        <f>IFERROR(-(O85-O130)/O229,0)</f>
        <v>0</v>
      </c>
      <c r="P233" s="93">
        <f>IFERROR(-(P85-P130)/P229,0)</f>
        <v>0</v>
      </c>
      <c r="Q233" s="93">
        <f>IFERROR(-(Q85-Q130)/Q229,0)</f>
        <v>0</v>
      </c>
      <c r="R233" s="93">
        <f>IFERROR(-(R85-R130)/R229,0)</f>
        <v>0</v>
      </c>
      <c r="S233" s="94">
        <f>IFERROR(-(S85-S130)/S229,0)</f>
        <v>0</v>
      </c>
      <c r="T233" s="93">
        <f>IFERROR(-(T85-T130)/T229,0)</f>
        <v>0</v>
      </c>
      <c r="U233" s="93">
        <f>IFERROR(-(U85-U130)/U229,0)</f>
        <v>0</v>
      </c>
      <c r="V233" s="93">
        <f>IFERROR(-(V85-V130)/V229,0)</f>
        <v>0</v>
      </c>
      <c r="W233" s="93">
        <f>IFERROR(-(W85-W130)/W229,0)</f>
        <v>0</v>
      </c>
      <c r="X233" s="94">
        <f>IFERROR(-(X85-X130)/X229,0)</f>
        <v>0</v>
      </c>
      <c r="Y233" s="93">
        <f>IFERROR(-(Y85-Y130)/Y229,0)</f>
        <v>0</v>
      </c>
      <c r="Z233" s="93">
        <f>IFERROR(-(Z85-Z130)/Z229,0)</f>
        <v>0</v>
      </c>
      <c r="AA233" s="93">
        <f>IFERROR(-(AA85-AA130)/AA229,0)</f>
        <v>0</v>
      </c>
      <c r="AB233" s="93">
        <f>IFERROR(-(AB85-AB130)/AB229,0)</f>
        <v>0</v>
      </c>
      <c r="AC233" s="94">
        <f>IFERROR(-(AC85-AC130)/AC229,0)</f>
        <v>0</v>
      </c>
      <c r="AD233" s="93">
        <f>IFERROR(-(AD85-AD130)/AD229,0)</f>
        <v>0</v>
      </c>
      <c r="AE233" s="93">
        <f>IFERROR(-(AE85-AE130)/AE229,0)</f>
        <v>0</v>
      </c>
      <c r="AF233" s="93">
        <f>IFERROR(-(AF85-AF130)/AF229,0)</f>
        <v>0</v>
      </c>
      <c r="AG233" s="93">
        <f>IFERROR(-(AG85-AG130)/AG229,0)</f>
        <v>0</v>
      </c>
      <c r="AH233" s="94">
        <f>IFERROR(-(AH85-AH130)/AH229,0)</f>
        <v>0</v>
      </c>
      <c r="AI233" s="93">
        <f>IFERROR(-(AI85-AI130)/AI229,0)</f>
        <v>0</v>
      </c>
      <c r="AJ233" s="93">
        <f>IFERROR(-(AJ85-AJ130)/AJ229,0)</f>
        <v>0</v>
      </c>
      <c r="AK233" s="93">
        <f>IFERROR(-(AK85-AK130)/AK229,0)</f>
        <v>0</v>
      </c>
      <c r="AL233" s="93">
        <f>IFERROR(-(AL85-AL130)/AL229,0)</f>
        <v>0</v>
      </c>
      <c r="AM233" s="94">
        <f>IFERROR(-(AM85-AM130)/AM229,0)</f>
        <v>0</v>
      </c>
      <c r="AN233" s="93">
        <f>IFERROR(-(AN85-AN130)/AN229,0)</f>
        <v>0</v>
      </c>
      <c r="AO233" s="93">
        <f>IFERROR(-(AO85-AO130)/AO229,0)</f>
        <v>0</v>
      </c>
      <c r="AP233" s="93">
        <f>IFERROR(-(AP85-AP130)/AP229,0)</f>
        <v>0</v>
      </c>
      <c r="AQ233" s="93">
        <f>IFERROR(-(AQ85-AQ130)/AQ229,0)</f>
        <v>0</v>
      </c>
      <c r="AR233" s="94">
        <f>IFERROR(-(AR85-AR130)/AR229,0)</f>
        <v>0</v>
      </c>
      <c r="AS233" s="93">
        <f>IFERROR(-(AS85-AS130)/AS229,0)</f>
        <v>0</v>
      </c>
      <c r="AT233" s="93">
        <f>IFERROR(-(AT85-AT130)/AT229,0)</f>
        <v>0</v>
      </c>
      <c r="AU233" s="93">
        <f>IFERROR(-(AU85-AU130)/AU229,0)</f>
        <v>0</v>
      </c>
      <c r="AV233" s="93">
        <f>IFERROR(-(AV85-AV130)/AV229,0)</f>
        <v>0</v>
      </c>
      <c r="AW233" s="94">
        <f>IFERROR(-(AW85-AW130)/AW229,0)</f>
        <v>0</v>
      </c>
      <c r="AX233" s="93">
        <f>IFERROR(-(AX85-AX130)/AX229,0)</f>
        <v>0</v>
      </c>
      <c r="AY233" s="93">
        <f>IFERROR(-(AY85-AY130)/AY229,0)</f>
        <v>0</v>
      </c>
      <c r="AZ233" s="93">
        <f>IFERROR(-(AZ85-AZ130)/AZ229,0)</f>
        <v>0</v>
      </c>
      <c r="BA233" s="93">
        <f>IFERROR(-(BA85-BA130)/BA229,0)</f>
        <v>0</v>
      </c>
      <c r="BB233" s="94">
        <f>IFERROR(-(BB85-BB130)/BB229,0)</f>
        <v>0</v>
      </c>
      <c r="BC233" s="93">
        <f>IFERROR(-(BC85-BC130)/BC229,0)</f>
        <v>0</v>
      </c>
      <c r="BD233" s="93">
        <f>IFERROR(-(BD85-BD130)/BD229,0)</f>
        <v>0</v>
      </c>
      <c r="BE233" s="93">
        <f>IFERROR(-(BE85-BE130)/BE229,0)</f>
        <v>0</v>
      </c>
      <c r="BF233" s="93">
        <f>IFERROR(-(BF85-BF130)/BF229,0)</f>
        <v>0</v>
      </c>
      <c r="BG233" s="94">
        <f>IFERROR(-(BG85-BG130)/BG229,0)</f>
        <v>0</v>
      </c>
    </row>
    <row r="234">
      <c r="C234" s="11" t="inlineStr">
        <is>
          <t>Payout total — dividendos ordinários + recompras / lucro ao acionista comum</t>
        </is>
      </c>
      <c r="D234" s="12" t="inlineStr">
        <is>
          <t>Total payout (dividends + buybacks)</t>
        </is>
      </c>
      <c r="E234" s="88">
        <f>IFERROR(-(E85-E130+E86)/E131,0)</f>
        <v>0</v>
      </c>
      <c r="F234" s="88">
        <f>IFERROR(-(F85-F130+F86)/F131,0)</f>
        <v>0</v>
      </c>
      <c r="G234" s="88">
        <f>IFERROR(-(G85-G130+G86)/G131,0)</f>
        <v>0</v>
      </c>
      <c r="H234" s="88">
        <f>IFERROR(-(H85-H130+H86)/H131,0)</f>
        <v>0</v>
      </c>
      <c r="I234" s="89">
        <f>IFERROR(-(I85-I130+I86)/I131,0)</f>
        <v>0</v>
      </c>
      <c r="J234" s="88">
        <f>IFERROR(-(J85-J130+J86)/J131,0)</f>
        <v>0</v>
      </c>
      <c r="K234" s="88">
        <f>IFERROR(-(K85-K130+K86)/K131,0)</f>
        <v>0</v>
      </c>
      <c r="L234" s="88">
        <f>IFERROR(-(L85-L130+L86)/L131,0)</f>
        <v>0</v>
      </c>
      <c r="M234" s="88">
        <f>IFERROR(-(M85-M130+M86)/M131,0)</f>
        <v>0</v>
      </c>
      <c r="N234" s="89">
        <f>IFERROR(-(N85-N130+N86)/N131,0)</f>
        <v>0</v>
      </c>
      <c r="O234" s="88">
        <f>IFERROR(-(O85-O130+O86)/O131,0)</f>
        <v>0</v>
      </c>
      <c r="P234" s="88">
        <f>IFERROR(-(P85-P130+P86)/P131,0)</f>
        <v>0</v>
      </c>
      <c r="Q234" s="88">
        <f>IFERROR(-(Q85-Q130+Q86)/Q131,0)</f>
        <v>0</v>
      </c>
      <c r="R234" s="88">
        <f>IFERROR(-(R85-R130+R86)/R131,0)</f>
        <v>0</v>
      </c>
      <c r="S234" s="89">
        <f>IFERROR(-(S85-S130+S86)/S131,0)</f>
        <v>0</v>
      </c>
      <c r="T234" s="88">
        <f>IFERROR(-(T85-T130+T86)/T131,0)</f>
        <v>0</v>
      </c>
      <c r="U234" s="88">
        <f>IFERROR(-(U85-U130+U86)/U131,0)</f>
        <v>0</v>
      </c>
      <c r="V234" s="88">
        <f>IFERROR(-(V85-V130+V86)/V131,0)</f>
        <v>0</v>
      </c>
      <c r="W234" s="88">
        <f>IFERROR(-(W85-W130+W86)/W131,0)</f>
        <v>0</v>
      </c>
      <c r="X234" s="89">
        <f>IFERROR(-(X85-X130+X86)/X131,0)</f>
        <v>0</v>
      </c>
      <c r="Y234" s="88">
        <f>IFERROR(-(Y85-Y130+Y86)/Y131,0)</f>
        <v>0</v>
      </c>
      <c r="Z234" s="88">
        <f>IFERROR(-(Z85-Z130+Z86)/Z131,0)</f>
        <v>0</v>
      </c>
      <c r="AA234" s="88">
        <f>IFERROR(-(AA85-AA130+AA86)/AA131,0)</f>
        <v>0</v>
      </c>
      <c r="AB234" s="88">
        <f>IFERROR(-(AB85-AB130+AB86)/AB131,0)</f>
        <v>0</v>
      </c>
      <c r="AC234" s="89">
        <f>IFERROR(-(AC85-AC130+AC86)/AC131,0)</f>
        <v>0</v>
      </c>
      <c r="AD234" s="88">
        <f>IFERROR(-(AD85-AD130+AD86)/AD131,0)</f>
        <v>0</v>
      </c>
      <c r="AE234" s="88">
        <f>IFERROR(-(AE85-AE130+AE86)/AE131,0)</f>
        <v>0</v>
      </c>
      <c r="AF234" s="88">
        <f>IFERROR(-(AF85-AF130+AF86)/AF131,0)</f>
        <v>0</v>
      </c>
      <c r="AG234" s="88">
        <f>IFERROR(-(AG85-AG130+AG86)/AG131,0)</f>
        <v>0</v>
      </c>
      <c r="AH234" s="89">
        <f>IFERROR(-(AH85-AH130+AH86)/AH131,0)</f>
        <v>0</v>
      </c>
      <c r="AI234" s="88">
        <f>IFERROR(-(AI85-AI130+AI86)/AI131,0)</f>
        <v>0</v>
      </c>
      <c r="AJ234" s="88">
        <f>IFERROR(-(AJ85-AJ130+AJ86)/AJ131,0)</f>
        <v>0</v>
      </c>
      <c r="AK234" s="88">
        <f>IFERROR(-(AK85-AK130+AK86)/AK131,0)</f>
        <v>0</v>
      </c>
      <c r="AL234" s="88">
        <f>IFERROR(-(AL85-AL130+AL86)/AL131,0)</f>
        <v>0</v>
      </c>
      <c r="AM234" s="89">
        <f>IFERROR(-(AM85-AM130+AM86)/AM131,0)</f>
        <v>0</v>
      </c>
      <c r="AN234" s="88">
        <f>IFERROR(-(AN85-AN130+AN86)/AN131,0)</f>
        <v>0</v>
      </c>
      <c r="AO234" s="88">
        <f>IFERROR(-(AO85-AO130+AO86)/AO131,0)</f>
        <v>0</v>
      </c>
      <c r="AP234" s="88">
        <f>IFERROR(-(AP85-AP130+AP86)/AP131,0)</f>
        <v>0</v>
      </c>
      <c r="AQ234" s="88">
        <f>IFERROR(-(AQ85-AQ130+AQ86)/AQ131,0)</f>
        <v>0</v>
      </c>
      <c r="AR234" s="89">
        <f>IFERROR(-(AR85-AR130+AR86)/AR131,0)</f>
        <v>0</v>
      </c>
      <c r="AS234" s="88">
        <f>IFERROR(-(AS85-AS130+AS86)/AS131,0)</f>
        <v>0</v>
      </c>
      <c r="AT234" s="88">
        <f>IFERROR(-(AT85-AT130+AT86)/AT131,0)</f>
        <v>0</v>
      </c>
      <c r="AU234" s="88">
        <f>IFERROR(-(AU85-AU130+AU86)/AU131,0)</f>
        <v>0</v>
      </c>
      <c r="AV234" s="88">
        <f>IFERROR(-(AV85-AV130+AV86)/AV131,0)</f>
        <v>0</v>
      </c>
      <c r="AW234" s="89">
        <f>IFERROR(-(AW85-AW130+AW86)/AW131,0)</f>
        <v>0</v>
      </c>
      <c r="AX234" s="88">
        <f>IFERROR(-(AX85-AX130+AX86)/AX131,0)</f>
        <v>0</v>
      </c>
      <c r="AY234" s="88">
        <f>IFERROR(-(AY85-AY130+AY86)/AY131,0)</f>
        <v>0</v>
      </c>
      <c r="AZ234" s="88">
        <f>IFERROR(-(AZ85-AZ130+AZ86)/AZ131,0)</f>
        <v>0</v>
      </c>
      <c r="BA234" s="88">
        <f>IFERROR(-(BA85-BA130+BA86)/BA131,0)</f>
        <v>0</v>
      </c>
      <c r="BB234" s="89">
        <f>IFERROR(-(BB85-BB130+BB86)/BB131,0)</f>
        <v>0</v>
      </c>
      <c r="BC234" s="88">
        <f>IFERROR(-(BC85-BC130+BC86)/BC131,0)</f>
        <v>0</v>
      </c>
      <c r="BD234" s="88">
        <f>IFERROR(-(BD85-BD130+BD86)/BD131,0)</f>
        <v>0</v>
      </c>
      <c r="BE234" s="88">
        <f>IFERROR(-(BE85-BE130+BE86)/BE131,0)</f>
        <v>0</v>
      </c>
      <c r="BF234" s="88">
        <f>IFERROR(-(BF85-BF130+BF86)/BF131,0)</f>
        <v>0</v>
      </c>
      <c r="BG234" s="89">
        <f>IFERROR(-(BG85-BG130+BG86)/BG131,0)</f>
        <v>0</v>
      </c>
    </row>
  </sheetData>
  <conditionalFormatting sqref="E5:BG7">
    <cfRule type="cellIs" priority="1" operator="between" dxfId="1">
      <formula>-5</formula>
      <formula>5</formula>
    </cfRule>
    <cfRule type="cellIs" priority="2" operator="notBetween" dxfId="0">
      <formula>-5</formula>
      <formula>5</formula>
    </cfRule>
  </conditionalFormatting>
  <printOptions horizontalCentered="1"/>
  <pageMargins left="0.75" right="0.75" top="1" bottom="1" header="0.5" footer="0.5"/>
  <pageSetup orientation="landscape"/>
</worksheet>
</file>

<file path=xl/worksheets/sheet4.xml><?xml version="1.0" encoding="utf-8"?>
<worksheet xmlns="http://schemas.openxmlformats.org/spreadsheetml/2006/main">
  <sheetPr>
    <tabColor rgb="FF548235"/>
    <outlinePr summaryBelow="1" summaryRight="1"/>
    <pageSetUpPr/>
  </sheetPr>
  <dimension ref="B2:Q145"/>
  <sheetViews>
    <sheetView showGridLines="0" workbookViewId="0">
      <pane xSplit="4" ySplit="28" topLeftCell="E29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42578125" customWidth="1" min="1" max="1"/>
    <col width="5" customWidth="1" min="2" max="2"/>
    <col width="54" customWidth="1" min="3" max="3"/>
    <col width="40" customWidth="1" min="4" max="4"/>
    <col width="13" customWidth="1" min="5" max="15"/>
    <col width="2" customWidth="1" min="16" max="16"/>
    <col width="56" customWidth="1" min="17" max="17"/>
  </cols>
  <sheetData>
    <row r="2" ht="18" customHeight="1">
      <c r="C2" s="75" t="str">
        <f>"VALUATION — INSTITUIÇÃO FINANCEIRA · valores em "&amp;Inputs!$E$202</f>
        <v>VALUATION — INSTITUIÇÃO FINANCEIRA · valores em US$ milhões</v>
      </c>
    </row>
    <row r="3">
      <c r="C3" s="2" t="inlineStr">
        <is>
          <t>Ke por CAPM (Treasury 10 anos + beta × ERP dos EUA). Excess Return e DDM (dividendos + recompras) como métodos primários; P/BV justificado e múltiplos como checagem. Lucro e PL referem-se ao acionista ordinário.</t>
        </is>
      </c>
    </row>
    <row r="4">
      <c r="B4" s="7" t="n"/>
      <c r="C4" s="7" t="inlineStr">
        <is>
          <t>RESUMO</t>
        </is>
      </c>
      <c r="D4" s="7" t="inlineStr">
        <is>
          <t>SUMMARY</t>
        </is>
      </c>
      <c r="E4" s="7" t="n"/>
      <c r="F4" s="7" t="n"/>
      <c r="G4" s="7" t="n"/>
      <c r="H4" s="7" t="n"/>
      <c r="I4" s="7" t="n"/>
      <c r="J4" s="7" t="n"/>
      <c r="K4" s="7" t="n"/>
      <c r="L4" s="7" t="n"/>
      <c r="M4" s="7" t="n"/>
      <c r="N4" s="7" t="n"/>
      <c r="O4" s="7" t="n"/>
      <c r="P4" s="7" t="n"/>
      <c r="Q4" s="7" t="n"/>
    </row>
    <row r="5">
      <c r="C5" s="11" t="str">
        <f>"Preço atual ("&amp;Inputs!$E$200&amp;")"</f>
        <v>Preço atual (US$)</v>
      </c>
      <c r="D5" s="12" t="inlineStr">
        <is>
          <t>Current price</t>
        </is>
      </c>
      <c r="E5" s="95">
        <f>Inputs!$E$206</f>
        <v>0</v>
      </c>
    </row>
    <row r="6">
      <c r="C6" s="15" t="str">
        <f>"Preço-alvo ponderado ("&amp;Inputs!$E$200&amp;")"</f>
        <v>Preço-alvo ponderado (US$)</v>
      </c>
      <c r="D6" s="16" t="inlineStr">
        <is>
          <t>Weighted target price</t>
        </is>
      </c>
      <c r="E6" s="96">
        <f>E108</f>
        <v>0</v>
      </c>
    </row>
    <row r="7">
      <c r="C7" s="15" t="inlineStr">
        <is>
          <t>Upside / (downside)</t>
        </is>
      </c>
      <c r="D7" s="16" t="inlineStr">
        <is>
          <t>Upside</t>
        </is>
      </c>
      <c r="E7" s="97">
        <f>IFERROR(E6/E5-1,0)</f>
        <v>0</v>
      </c>
    </row>
    <row r="8">
      <c r="C8" s="15" t="inlineStr">
        <is>
          <t>Leitura</t>
        </is>
      </c>
      <c r="D8" s="16" t="inlineStr">
        <is>
          <t>Read-through</t>
        </is>
      </c>
      <c r="E8" s="98" t="str">
        <f>IF(E7&gt;=0.2,"COMPRA",IF(E7&gt;=0.05,"ACIMA DA MÉDIA",IF(E7&gt;=-0.05,"NEUTRO","ABAIXO DA MÉDIA")))</f>
        <v>NEUTRO</v>
      </c>
      <c r="Q8" s="2" t="inlineStr">
        <is>
          <t>Classificação mecânica pelo upside. A recomendação final é sua, não da fórmula.</t>
        </is>
      </c>
    </row>
    <row r="9">
      <c r="C9" s="11" t="inlineStr">
        <is>
          <t>Custo do capital próprio (Ke)</t>
        </is>
      </c>
      <c r="D9" s="12" t="inlineStr">
        <is>
          <t>Cost of equity</t>
        </is>
      </c>
      <c r="E9" s="99">
        <f>Inputs!$E$313</f>
        <v>0</v>
      </c>
    </row>
    <row r="10">
      <c r="C10" s="11" t="inlineStr">
        <is>
          <t>Crescimento na perpetuidade (g)</t>
        </is>
      </c>
      <c r="D10" s="12" t="inlineStr">
        <is>
          <t>Terminal growth</t>
        </is>
      </c>
      <c r="E10" s="99">
        <f>Inputs!$E$314</f>
        <v>0</v>
      </c>
    </row>
    <row r="11">
      <c r="C11" s="11" t="str">
        <f>"Market cap atual ("&amp;Inputs!$E$202&amp;")"</f>
        <v>Market cap atual (US$ milhões)</v>
      </c>
      <c r="D11" s="12" t="inlineStr">
        <is>
          <t>Current market cap</t>
        </is>
      </c>
      <c r="E11" s="100">
        <f>Inputs!$E$211</f>
        <v>0</v>
      </c>
    </row>
    <row r="12">
      <c r="C12" s="11" t="str">
        <f>"Valor justo do equity ("&amp;Inputs!$E$202&amp;")"</f>
        <v>Valor justo do equity (US$ milhões)</v>
      </c>
      <c r="D12" s="12" t="inlineStr">
        <is>
          <t>Fair equity value</t>
        </is>
      </c>
      <c r="E12" s="100">
        <f>E6*Inputs!$E$210</f>
        <v>0</v>
      </c>
    </row>
    <row r="14">
      <c r="B14" s="7" t="n"/>
      <c r="C14" s="7" t="inlineStr">
        <is>
          <t>PREMISSAS</t>
        </is>
      </c>
      <c r="D14" s="7" t="inlineStr">
        <is>
          <t>ASSUMPTIONS</t>
        </is>
      </c>
      <c r="E14" s="7" t="n"/>
      <c r="F14" s="7" t="n"/>
      <c r="G14" s="7" t="n"/>
      <c r="H14" s="7" t="n"/>
      <c r="I14" s="7" t="n"/>
      <c r="J14" s="7" t="n"/>
      <c r="K14" s="7" t="n"/>
      <c r="L14" s="7" t="n"/>
      <c r="M14" s="7" t="n"/>
      <c r="N14" s="7" t="n"/>
      <c r="O14" s="7" t="n"/>
      <c r="P14" s="7" t="n"/>
      <c r="Q14" s="7" t="n"/>
    </row>
    <row r="16">
      <c r="C16" s="11" t="inlineStr">
        <is>
          <t>Taxa livre de risco — Treasury 10 anos</t>
        </is>
      </c>
      <c r="D16" s="12" t="inlineStr">
        <is>
          <t>Risk-free rate</t>
        </is>
      </c>
      <c r="E16" s="101">
        <f>Inputs!$E$309</f>
        <v>0</v>
      </c>
    </row>
    <row r="17">
      <c r="C17" s="11" t="inlineStr">
        <is>
          <t>Prêmio de risco de mercado (ERP)</t>
        </is>
      </c>
      <c r="D17" s="12" t="inlineStr">
        <is>
          <t>Equity risk premium</t>
        </is>
      </c>
      <c r="E17" s="101">
        <f>Inputs!$E$310</f>
        <v>0</v>
      </c>
    </row>
    <row r="18">
      <c r="C18" s="11" t="inlineStr">
        <is>
          <t>Beta alavancado</t>
        </is>
      </c>
      <c r="D18" s="12" t="inlineStr">
        <is>
          <t>Levered beta</t>
        </is>
      </c>
      <c r="E18" s="102">
        <f>Inputs!$E$311</f>
        <v>0</v>
      </c>
    </row>
    <row r="19">
      <c r="C19" s="11" t="inlineStr">
        <is>
          <t>Prêmio de tamanho / liquidez (normalmente zero)</t>
        </is>
      </c>
      <c r="D19" s="12" t="inlineStr">
        <is>
          <t>Size premium</t>
        </is>
      </c>
      <c r="E19" s="101">
        <f>Inputs!$E$312</f>
        <v>0</v>
      </c>
    </row>
    <row r="20">
      <c r="C20" s="15" t="inlineStr">
        <is>
          <t>Custo do capital próprio — Ke</t>
        </is>
      </c>
      <c r="D20" s="16" t="inlineStr">
        <is>
          <t>Cost of equity</t>
        </is>
      </c>
      <c r="E20" s="103">
        <f>Inputs!$E$313</f>
        <v>0</v>
      </c>
      <c r="Q20" s="2" t="inlineStr">
        <is>
          <t>Todas as premissas vêm da aba Inputs. Altere lá, não aqui.</t>
        </is>
      </c>
    </row>
    <row r="21">
      <c r="C21" s="11" t="inlineStr">
        <is>
          <t>Crescimento na perpetuidade — g</t>
        </is>
      </c>
      <c r="D21" s="12" t="inlineStr">
        <is>
          <t>Terminal growth</t>
        </is>
      </c>
      <c r="E21" s="101">
        <f>Inputs!$E$314</f>
        <v>0</v>
      </c>
      <c r="F21" s="104" t="str">
        <f>IF(E21&gt;=E20,"g &gt;= Ke: inválido",IF(E21&gt;E22,"g &gt; ROE: inconsistente","ok"))</f>
        <v>g &gt;= Ke: inválido</v>
      </c>
      <c r="Q21" s="2" t="inlineStr">
        <is>
          <t>Consistência: g não pode superar o ROE sustentável nem ficar acima do Ke.</t>
        </is>
      </c>
    </row>
    <row r="22">
      <c r="C22" s="11" t="inlineStr">
        <is>
          <t>ROE sustentável na perpetuidade</t>
        </is>
      </c>
      <c r="D22" s="12" t="inlineStr">
        <is>
          <t>Sustainable ROE</t>
        </is>
      </c>
      <c r="E22" s="101">
        <f>Inputs!$E$315</f>
        <v>0</v>
      </c>
    </row>
    <row r="23">
      <c r="C23" s="11" t="inlineStr">
        <is>
          <t>Payout implícito na perpetuidade</t>
        </is>
      </c>
      <c r="D23" s="12" t="inlineStr">
        <is>
          <t>Implied terminal payout</t>
        </is>
      </c>
      <c r="E23" s="101">
        <f>Inputs!$E$316</f>
        <v>0</v>
      </c>
    </row>
    <row r="24">
      <c r="C24" s="11" t="inlineStr">
        <is>
          <t>Ano-base do desconto (último exercício realizado)</t>
        </is>
      </c>
      <c r="D24" s="12" t="inlineStr">
        <is>
          <t>Discounting base year</t>
        </is>
      </c>
      <c r="E24" s="105">
        <f>YEAR(Inputs!$E$203)</f>
        <v>1899</v>
      </c>
    </row>
    <row r="25">
      <c r="C25" s="11" t="inlineStr">
        <is>
          <t>Ano-alvo do preço-alvo (VPA e LPA de referência)</t>
        </is>
      </c>
      <c r="D25" s="12" t="inlineStr">
        <is>
          <t>Target year for price</t>
        </is>
      </c>
      <c r="E25" s="50" t="n">
        <v>2027</v>
      </c>
    </row>
    <row r="26">
      <c r="B26" s="7" t="n"/>
      <c r="C26" s="7" t="inlineStr">
        <is>
          <t>PROJEÇÕES ANUAIS (LINK DO MODEL)</t>
        </is>
      </c>
      <c r="D26" s="7" t="inlineStr">
        <is>
          <t>ANNUAL FORECAST (FROM MODEL)</t>
        </is>
      </c>
      <c r="E26" s="7" t="n"/>
      <c r="F26" s="7" t="n"/>
      <c r="G26" s="7" t="n"/>
      <c r="H26" s="7" t="n"/>
      <c r="I26" s="7" t="n"/>
      <c r="J26" s="7" t="n"/>
      <c r="K26" s="7" t="n"/>
      <c r="L26" s="7" t="n"/>
      <c r="M26" s="7" t="n"/>
      <c r="N26" s="7" t="n"/>
      <c r="O26" s="7" t="n"/>
      <c r="P26" s="7" t="n"/>
      <c r="Q26" s="7" t="n"/>
    </row>
    <row r="27" hidden="1">
      <c r="C27" s="11" t="inlineStr">
        <is>
          <t>Ano</t>
        </is>
      </c>
      <c r="D27" s="12" t="inlineStr">
        <is>
          <t>Year</t>
        </is>
      </c>
      <c r="E27" s="24" t="n">
        <v>2020</v>
      </c>
      <c r="F27" s="24" t="n">
        <v>2021</v>
      </c>
      <c r="G27" s="24" t="n">
        <v>2022</v>
      </c>
      <c r="H27" s="24" t="n">
        <v>2023</v>
      </c>
      <c r="I27" s="24" t="n">
        <v>2024</v>
      </c>
      <c r="J27" s="24" t="n">
        <v>2025</v>
      </c>
      <c r="K27" s="24" t="n">
        <v>2026</v>
      </c>
      <c r="L27" s="24" t="n">
        <v>2027</v>
      </c>
      <c r="M27" s="24" t="n">
        <v>2028</v>
      </c>
      <c r="N27" s="24" t="n">
        <v>2029</v>
      </c>
      <c r="O27" s="24" t="n">
        <v>2030</v>
      </c>
    </row>
    <row r="28">
      <c r="C28" s="15" t="inlineStr">
        <is>
          <t>Exercício</t>
        </is>
      </c>
      <c r="D28" s="16" t="inlineStr">
        <is>
          <t>Fiscal year</t>
        </is>
      </c>
      <c r="E28" s="6" t="str">
        <f>"FY"&amp;RIGHT(2020,2)</f>
        <v>FY20</v>
      </c>
      <c r="F28" s="6" t="str">
        <f>"FY"&amp;RIGHT(2021,2)</f>
        <v>FY21</v>
      </c>
      <c r="G28" s="6" t="str">
        <f>"FY"&amp;RIGHT(2022,2)</f>
        <v>FY22</v>
      </c>
      <c r="H28" s="6" t="str">
        <f>"FY"&amp;RIGHT(2023,2)</f>
        <v>FY23</v>
      </c>
      <c r="I28" s="6" t="str">
        <f>"FY"&amp;RIGHT(2024,2)</f>
        <v>FY24</v>
      </c>
      <c r="J28" s="6" t="str">
        <f>"FY"&amp;RIGHT(2025,2)</f>
        <v>FY25</v>
      </c>
      <c r="K28" s="6" t="str">
        <f>"FY"&amp;RIGHT(2026,2)</f>
        <v>FY26</v>
      </c>
      <c r="L28" s="6" t="str">
        <f>"FY"&amp;RIGHT(2027,2)</f>
        <v>FY27</v>
      </c>
      <c r="M28" s="6" t="str">
        <f>"FY"&amp;RIGHT(2028,2)</f>
        <v>FY28</v>
      </c>
      <c r="N28" s="6" t="str">
        <f>"FY"&amp;RIGHT(2029,2)</f>
        <v>FY29</v>
      </c>
      <c r="O28" s="6" t="str">
        <f>"FY"&amp;RIGHT(2030,2)</f>
        <v>FY30</v>
      </c>
    </row>
    <row r="29">
      <c r="C29" s="11" t="inlineStr">
        <is>
          <t>Lucro líquido ao acionista comum</t>
        </is>
      </c>
      <c r="D29" s="12" t="inlineStr">
        <is>
          <t>Net income — controlling</t>
        </is>
      </c>
      <c r="E29" s="106">
        <f>Model!I131</f>
        <v>0</v>
      </c>
      <c r="F29" s="106">
        <f>Model!N131</f>
        <v>0</v>
      </c>
      <c r="G29" s="106">
        <f>Model!S131</f>
        <v>0</v>
      </c>
      <c r="H29" s="106">
        <f>Model!X131</f>
        <v>0</v>
      </c>
      <c r="I29" s="106">
        <f>Model!AC131</f>
        <v>0</v>
      </c>
      <c r="J29" s="106">
        <f>Model!AH131</f>
        <v>0</v>
      </c>
      <c r="K29" s="106">
        <f>Model!AM131</f>
        <v>0</v>
      </c>
      <c r="L29" s="106">
        <f>Model!AR131</f>
        <v>0</v>
      </c>
      <c r="M29" s="106">
        <f>Model!AW131</f>
        <v>0</v>
      </c>
      <c r="N29" s="106">
        <f>Model!BB131</f>
        <v>0</v>
      </c>
      <c r="O29" s="106">
        <f>Model!BG131</f>
        <v>0</v>
      </c>
    </row>
    <row r="30">
      <c r="C30" s="11" t="inlineStr">
        <is>
          <t>PL ordinário (final, ex-preferenciais)</t>
        </is>
      </c>
      <c r="D30" s="12" t="inlineStr">
        <is>
          <t>Closing equity</t>
        </is>
      </c>
      <c r="E30" s="106">
        <f>Model!I141</f>
        <v>0</v>
      </c>
      <c r="F30" s="106">
        <f>Model!N141</f>
        <v>0</v>
      </c>
      <c r="G30" s="106">
        <f>Model!S141</f>
        <v>0</v>
      </c>
      <c r="H30" s="106">
        <f>Model!X141</f>
        <v>0</v>
      </c>
      <c r="I30" s="106">
        <f>Model!AC141</f>
        <v>0</v>
      </c>
      <c r="J30" s="106">
        <f>Model!AH141</f>
        <v>0</v>
      </c>
      <c r="K30" s="106">
        <f>Model!AM141</f>
        <v>0</v>
      </c>
      <c r="L30" s="106">
        <f>Model!AR141</f>
        <v>0</v>
      </c>
      <c r="M30" s="106">
        <f>Model!AW141</f>
        <v>0</v>
      </c>
      <c r="N30" s="106">
        <f>Model!BB141</f>
        <v>0</v>
      </c>
      <c r="O30" s="106">
        <f>Model!BG141</f>
        <v>0</v>
      </c>
    </row>
    <row r="31">
      <c r="C31" s="11" t="inlineStr">
        <is>
          <t>PL ordinário inicial</t>
        </is>
      </c>
      <c r="D31" s="12" t="inlineStr">
        <is>
          <t>Opening equity</t>
        </is>
      </c>
      <c r="E31" s="106" t="n"/>
      <c r="F31" s="106">
        <f>E30</f>
        <v>0</v>
      </c>
      <c r="G31" s="106">
        <f>F30</f>
        <v>0</v>
      </c>
      <c r="H31" s="106">
        <f>G30</f>
        <v>0</v>
      </c>
      <c r="I31" s="106">
        <f>H30</f>
        <v>0</v>
      </c>
      <c r="J31" s="106">
        <f>I30</f>
        <v>0</v>
      </c>
      <c r="K31" s="106">
        <f>J30</f>
        <v>0</v>
      </c>
      <c r="L31" s="106">
        <f>K30</f>
        <v>0</v>
      </c>
      <c r="M31" s="106">
        <f>L30</f>
        <v>0</v>
      </c>
      <c r="N31" s="106">
        <f>M30</f>
        <v>0</v>
      </c>
      <c r="O31" s="106">
        <f>N30</f>
        <v>0</v>
      </c>
    </row>
    <row r="32">
      <c r="C32" s="11" t="inlineStr">
        <is>
          <t>ROE ordinário do exercício</t>
        </is>
      </c>
      <c r="D32" s="12" t="inlineStr">
        <is>
          <t>Return on equity</t>
        </is>
      </c>
      <c r="E32" s="107">
        <f>IFERROR(E29/AVERAGE(E31,E30),0)</f>
        <v>0</v>
      </c>
      <c r="F32" s="107">
        <f>IFERROR(F29/AVERAGE(F31,F30),0)</f>
        <v>0</v>
      </c>
      <c r="G32" s="107">
        <f>IFERROR(G29/AVERAGE(G31,G30),0)</f>
        <v>0</v>
      </c>
      <c r="H32" s="107">
        <f>IFERROR(H29/AVERAGE(H31,H30),0)</f>
        <v>0</v>
      </c>
      <c r="I32" s="107">
        <f>IFERROR(I29/AVERAGE(I31,I30),0)</f>
        <v>0</v>
      </c>
      <c r="J32" s="107">
        <f>IFERROR(J29/AVERAGE(J31,J30),0)</f>
        <v>0</v>
      </c>
      <c r="K32" s="107">
        <f>IFERROR(K29/AVERAGE(K31,K30),0)</f>
        <v>0</v>
      </c>
      <c r="L32" s="107">
        <f>IFERROR(L29/AVERAGE(L31,L30),0)</f>
        <v>0</v>
      </c>
      <c r="M32" s="107">
        <f>IFERROR(M29/AVERAGE(M31,M30),0)</f>
        <v>0</v>
      </c>
      <c r="N32" s="107">
        <f>IFERROR(N29/AVERAGE(N31,N30),0)</f>
        <v>0</v>
      </c>
      <c r="O32" s="107">
        <f>IFERROR(O29/AVERAGE(O31,O30),0)</f>
        <v>0</v>
      </c>
    </row>
    <row r="33">
      <c r="C33" s="11" t="inlineStr">
        <is>
          <t>Dividendos ordinários + recompras (retorno total ao acionista)</t>
        </is>
      </c>
      <c r="D33" s="12" t="inlineStr">
        <is>
          <t>Dividends + buybacks</t>
        </is>
      </c>
      <c r="E33" s="106">
        <f>-Model!I85+Model!I130-Model!I86</f>
        <v>0</v>
      </c>
      <c r="F33" s="106">
        <f>-Model!N85+Model!N130-Model!N86</f>
        <v>0</v>
      </c>
      <c r="G33" s="106">
        <f>-Model!S85+Model!S130-Model!S86</f>
        <v>0</v>
      </c>
      <c r="H33" s="106">
        <f>-Model!X85+Model!X130-Model!X86</f>
        <v>0</v>
      </c>
      <c r="I33" s="106">
        <f>-Model!AC85+Model!AC130-Model!AC86</f>
        <v>0</v>
      </c>
      <c r="J33" s="106">
        <f>-Model!AH85+Model!AH130-Model!AH86</f>
        <v>0</v>
      </c>
      <c r="K33" s="106">
        <f>-Model!AM85+Model!AM130-Model!AM86</f>
        <v>0</v>
      </c>
      <c r="L33" s="106">
        <f>-Model!AR85+Model!AR130-Model!AR86</f>
        <v>0</v>
      </c>
      <c r="M33" s="106">
        <f>-Model!AW85+Model!AW130-Model!AW86</f>
        <v>0</v>
      </c>
      <c r="N33" s="106">
        <f>-Model!BB85+Model!BB130-Model!BB86</f>
        <v>0</v>
      </c>
      <c r="O33" s="106">
        <f>-Model!BG85+Model!BG130-Model!BG86</f>
        <v>0</v>
      </c>
    </row>
    <row r="34">
      <c r="C34" s="11" t="inlineStr">
        <is>
          <t>Payout total (dividendos + recompras)</t>
        </is>
      </c>
      <c r="D34" s="12" t="inlineStr">
        <is>
          <t>Effective payout</t>
        </is>
      </c>
      <c r="E34" s="107">
        <f>IFERROR(E33/E29,0)</f>
        <v>0</v>
      </c>
      <c r="F34" s="107">
        <f>IFERROR(F33/F29,0)</f>
        <v>0</v>
      </c>
      <c r="G34" s="107">
        <f>IFERROR(G33/G29,0)</f>
        <v>0</v>
      </c>
      <c r="H34" s="107">
        <f>IFERROR(H33/H29,0)</f>
        <v>0</v>
      </c>
      <c r="I34" s="107">
        <f>IFERROR(I33/I29,0)</f>
        <v>0</v>
      </c>
      <c r="J34" s="107">
        <f>IFERROR(J33/J29,0)</f>
        <v>0</v>
      </c>
      <c r="K34" s="107">
        <f>IFERROR(K33/K29,0)</f>
        <v>0</v>
      </c>
      <c r="L34" s="107">
        <f>IFERROR(L33/L29,0)</f>
        <v>0</v>
      </c>
      <c r="M34" s="107">
        <f>IFERROR(M33/M29,0)</f>
        <v>0</v>
      </c>
      <c r="N34" s="107">
        <f>IFERROR(N33/N29,0)</f>
        <v>0</v>
      </c>
      <c r="O34" s="107">
        <f>IFERROR(O33/O29,0)</f>
        <v>0</v>
      </c>
    </row>
    <row r="35">
      <c r="C35" s="11" t="inlineStr">
        <is>
          <t>Ações ordinárias em circulação (milhões)</t>
        </is>
      </c>
      <c r="D35" s="12" t="inlineStr">
        <is>
          <t>Shares outstanding (mn)</t>
        </is>
      </c>
      <c r="E35" s="108">
        <f>Model!I229</f>
        <v>0</v>
      </c>
      <c r="F35" s="108">
        <f>Model!N229</f>
        <v>0</v>
      </c>
      <c r="G35" s="108">
        <f>Model!S229</f>
        <v>0</v>
      </c>
      <c r="H35" s="108">
        <f>Model!X229</f>
        <v>0</v>
      </c>
      <c r="I35" s="108">
        <f>Model!AC229</f>
        <v>0</v>
      </c>
      <c r="J35" s="108">
        <f>Model!AH229</f>
        <v>0</v>
      </c>
      <c r="K35" s="108">
        <f>Model!AM229</f>
        <v>0</v>
      </c>
      <c r="L35" s="108">
        <f>Model!AR229</f>
        <v>0</v>
      </c>
      <c r="M35" s="108">
        <f>Model!AW229</f>
        <v>0</v>
      </c>
      <c r="N35" s="108">
        <f>Model!BB229</f>
        <v>0</v>
      </c>
      <c r="O35" s="108">
        <f>Model!BG229</f>
        <v>0</v>
      </c>
    </row>
    <row r="36">
      <c r="C36" s="11" t="str">
        <f>"Lucro por ação — LPA ("&amp;Inputs!$E$200&amp;")"</f>
        <v>Lucro por ação — LPA (US$)</v>
      </c>
      <c r="D36" s="12" t="inlineStr">
        <is>
          <t>EPS</t>
        </is>
      </c>
      <c r="E36" s="109">
        <f>Model!I230</f>
        <v>0</v>
      </c>
      <c r="F36" s="109">
        <f>Model!N230</f>
        <v>0</v>
      </c>
      <c r="G36" s="109">
        <f>Model!S230</f>
        <v>0</v>
      </c>
      <c r="H36" s="109">
        <f>Model!X230</f>
        <v>0</v>
      </c>
      <c r="I36" s="109">
        <f>Model!AC230</f>
        <v>0</v>
      </c>
      <c r="J36" s="109">
        <f>Model!AH230</f>
        <v>0</v>
      </c>
      <c r="K36" s="109">
        <f>Model!AM230</f>
        <v>0</v>
      </c>
      <c r="L36" s="109">
        <f>Model!AR230</f>
        <v>0</v>
      </c>
      <c r="M36" s="109">
        <f>Model!AW230</f>
        <v>0</v>
      </c>
      <c r="N36" s="109">
        <f>Model!BB230</f>
        <v>0</v>
      </c>
      <c r="O36" s="109">
        <f>Model!BG230</f>
        <v>0</v>
      </c>
    </row>
    <row r="37">
      <c r="C37" s="11" t="str">
        <f>"Valor patrimonial por ação — VPA ("&amp;Inputs!$E$200&amp;")"</f>
        <v>Valor patrimonial por ação — VPA (US$)</v>
      </c>
      <c r="D37" s="12" t="inlineStr">
        <is>
          <t>BVPS</t>
        </is>
      </c>
      <c r="E37" s="109">
        <f>Model!I231</f>
        <v>0</v>
      </c>
      <c r="F37" s="109">
        <f>Model!N231</f>
        <v>0</v>
      </c>
      <c r="G37" s="109">
        <f>Model!S231</f>
        <v>0</v>
      </c>
      <c r="H37" s="109">
        <f>Model!X231</f>
        <v>0</v>
      </c>
      <c r="I37" s="109">
        <f>Model!AC231</f>
        <v>0</v>
      </c>
      <c r="J37" s="109">
        <f>Model!AH231</f>
        <v>0</v>
      </c>
      <c r="K37" s="109">
        <f>Model!AM231</f>
        <v>0</v>
      </c>
      <c r="L37" s="109">
        <f>Model!AR231</f>
        <v>0</v>
      </c>
      <c r="M37" s="109">
        <f>Model!AW231</f>
        <v>0</v>
      </c>
      <c r="N37" s="109">
        <f>Model!BB231</f>
        <v>0</v>
      </c>
      <c r="O37" s="109">
        <f>Model!BG231</f>
        <v>0</v>
      </c>
    </row>
    <row r="38">
      <c r="C38" s="11" t="str">
        <f>"Proventos por ação ("&amp;Inputs!$E$200&amp;")"</f>
        <v>Proventos por ação (US$)</v>
      </c>
      <c r="D38" s="12" t="inlineStr">
        <is>
          <t>DPS</t>
        </is>
      </c>
      <c r="E38" s="109">
        <f>Model!I233</f>
        <v>0</v>
      </c>
      <c r="F38" s="109">
        <f>Model!N233</f>
        <v>0</v>
      </c>
      <c r="G38" s="109">
        <f>Model!S233</f>
        <v>0</v>
      </c>
      <c r="H38" s="109">
        <f>Model!X233</f>
        <v>0</v>
      </c>
      <c r="I38" s="109">
        <f>Model!AC233</f>
        <v>0</v>
      </c>
      <c r="J38" s="109">
        <f>Model!AH233</f>
        <v>0</v>
      </c>
      <c r="K38" s="109">
        <f>Model!AM233</f>
        <v>0</v>
      </c>
      <c r="L38" s="109">
        <f>Model!AR233</f>
        <v>0</v>
      </c>
      <c r="M38" s="109">
        <f>Model!AW233</f>
        <v>0</v>
      </c>
      <c r="N38" s="109">
        <f>Model!BB233</f>
        <v>0</v>
      </c>
      <c r="O38" s="109">
        <f>Model!BG233</f>
        <v>0</v>
      </c>
    </row>
    <row r="39">
      <c r="C39" s="11" t="inlineStr">
        <is>
          <t>Período de desconto (anos)</t>
        </is>
      </c>
      <c r="D39" s="12" t="inlineStr">
        <is>
          <t>Discount period</t>
        </is>
      </c>
      <c r="E39" s="110">
        <f>MAX(0,2020-$E$24)</f>
        <v>121</v>
      </c>
      <c r="F39" s="110">
        <f>MAX(0,2021-$E$24)</f>
        <v>122</v>
      </c>
      <c r="G39" s="110">
        <f>MAX(0,2022-$E$24)</f>
        <v>123</v>
      </c>
      <c r="H39" s="110">
        <f>MAX(0,2023-$E$24)</f>
        <v>124</v>
      </c>
      <c r="I39" s="110">
        <f>MAX(0,2024-$E$24)</f>
        <v>125</v>
      </c>
      <c r="J39" s="110">
        <f>MAX(0,2025-$E$24)</f>
        <v>126</v>
      </c>
      <c r="K39" s="110">
        <f>MAX(0,2026-$E$24)</f>
        <v>127</v>
      </c>
      <c r="L39" s="110">
        <f>MAX(0,2027-$E$24)</f>
        <v>128</v>
      </c>
      <c r="M39" s="110">
        <f>MAX(0,2028-$E$24)</f>
        <v>129</v>
      </c>
      <c r="N39" s="110">
        <f>MAX(0,2029-$E$24)</f>
        <v>130</v>
      </c>
      <c r="O39" s="110">
        <f>MAX(0,2030-$E$24)</f>
        <v>131</v>
      </c>
      <c r="Q39" s="2" t="inlineStr">
        <is>
          <t>Desconto em anos cheios a partir do fim do ano-base. Exercícios até o ano-base recebem fator zero e ficam fora do fluxo: o valor encontrado é o de 31/dez do ano-base.</t>
        </is>
      </c>
    </row>
    <row r="40">
      <c r="C40" s="11" t="inlineStr">
        <is>
          <t>Fator de desconto</t>
        </is>
      </c>
      <c r="D40" s="12" t="inlineStr">
        <is>
          <t>Discount factor</t>
        </is>
      </c>
      <c r="E40" s="111">
        <f>IF(E39&lt;=0,0,1/(1+$E$20)^E39)</f>
        <v>1</v>
      </c>
      <c r="F40" s="111">
        <f>IF(F39&lt;=0,0,1/(1+$E$20)^F39)</f>
        <v>1</v>
      </c>
      <c r="G40" s="111">
        <f>IF(G39&lt;=0,0,1/(1+$E$20)^G39)</f>
        <v>1</v>
      </c>
      <c r="H40" s="111">
        <f>IF(H39&lt;=0,0,1/(1+$E$20)^H39)</f>
        <v>1</v>
      </c>
      <c r="I40" s="111">
        <f>IF(I39&lt;=0,0,1/(1+$E$20)^I39)</f>
        <v>1</v>
      </c>
      <c r="J40" s="111">
        <f>IF(J39&lt;=0,0,1/(1+$E$20)^J39)</f>
        <v>1</v>
      </c>
      <c r="K40" s="111">
        <f>IF(K39&lt;=0,0,1/(1+$E$20)^K39)</f>
        <v>1</v>
      </c>
      <c r="L40" s="111">
        <f>IF(L39&lt;=0,0,1/(1+$E$20)^L39)</f>
        <v>1</v>
      </c>
      <c r="M40" s="111">
        <f>IF(M39&lt;=0,0,1/(1+$E$20)^M39)</f>
        <v>1</v>
      </c>
      <c r="N40" s="111">
        <f>IF(N39&lt;=0,0,1/(1+$E$20)^N39)</f>
        <v>1</v>
      </c>
      <c r="O40" s="111">
        <f>IF(O39&lt;=0,0,1/(1+$E$20)^O39)</f>
        <v>1</v>
      </c>
    </row>
    <row r="42">
      <c r="B42" s="7" t="n"/>
      <c r="C42" s="7" t="inlineStr">
        <is>
          <t>MÉTODO 1 — EXCESS RETURN (LUCRO RESIDUAL)</t>
        </is>
      </c>
      <c r="D42" s="7" t="inlineStr">
        <is>
          <t>METHOD 1 — RESIDUAL INCOME</t>
        </is>
      </c>
      <c r="E42" s="7" t="n"/>
      <c r="F42" s="7" t="n"/>
      <c r="G42" s="7" t="n"/>
      <c r="H42" s="7" t="n"/>
      <c r="I42" s="7" t="n"/>
      <c r="J42" s="7" t="n"/>
      <c r="K42" s="7" t="n"/>
      <c r="L42" s="7" t="n"/>
      <c r="M42" s="7" t="n"/>
      <c r="N42" s="7" t="n"/>
      <c r="O42" s="7" t="n"/>
      <c r="P42" s="7" t="n"/>
      <c r="Q42" s="7" t="n"/>
    </row>
    <row r="43">
      <c r="B43" s="29" t="n"/>
      <c r="C43" s="29" t="inlineStr">
        <is>
          <t>Fluxo de lucro residual</t>
        </is>
      </c>
      <c r="D43" s="29" t="inlineStr">
        <is>
          <t>Residual income stream</t>
        </is>
      </c>
      <c r="E43" s="29" t="n"/>
      <c r="F43" s="29" t="n"/>
      <c r="G43" s="29" t="n"/>
      <c r="H43" s="29" t="n"/>
      <c r="I43" s="29" t="n"/>
      <c r="J43" s="29" t="n"/>
      <c r="K43" s="29" t="n"/>
      <c r="L43" s="29" t="n"/>
      <c r="M43" s="29" t="n"/>
      <c r="N43" s="29" t="n"/>
      <c r="O43" s="29" t="n"/>
      <c r="P43" s="29" t="n"/>
      <c r="Q43" s="29" t="n"/>
    </row>
    <row r="44">
      <c r="C44" s="11" t="inlineStr">
        <is>
          <t>Lucro líquido ao acionista comum</t>
        </is>
      </c>
      <c r="D44" s="12" t="inlineStr">
        <is>
          <t>Net income</t>
        </is>
      </c>
      <c r="E44" s="112">
        <f>E29</f>
        <v>0</v>
      </c>
      <c r="F44" s="112">
        <f>F29</f>
        <v>0</v>
      </c>
      <c r="G44" s="112">
        <f>G29</f>
        <v>0</v>
      </c>
      <c r="H44" s="112">
        <f>H29</f>
        <v>0</v>
      </c>
      <c r="I44" s="112">
        <f>I29</f>
        <v>0</v>
      </c>
      <c r="J44" s="112">
        <f>J29</f>
        <v>0</v>
      </c>
      <c r="K44" s="112">
        <f>K29</f>
        <v>0</v>
      </c>
      <c r="L44" s="112">
        <f>L29</f>
        <v>0</v>
      </c>
      <c r="M44" s="112">
        <f>M29</f>
        <v>0</v>
      </c>
      <c r="N44" s="112">
        <f>N29</f>
        <v>0</v>
      </c>
      <c r="O44" s="112">
        <f>O29</f>
        <v>0</v>
      </c>
    </row>
    <row r="45">
      <c r="C45" s="11" t="inlineStr">
        <is>
          <t>(–) Encargo de capital: Ke × PL ordinário inicial</t>
        </is>
      </c>
      <c r="D45" s="12" t="inlineStr">
        <is>
          <t>(–) Equity charge</t>
        </is>
      </c>
      <c r="E45" s="112">
        <f>-$E$20*E31</f>
        <v>0</v>
      </c>
      <c r="F45" s="112">
        <f>-$E$20*F31</f>
        <v>0</v>
      </c>
      <c r="G45" s="112">
        <f>-$E$20*G31</f>
        <v>0</v>
      </c>
      <c r="H45" s="112">
        <f>-$E$20*H31</f>
        <v>0</v>
      </c>
      <c r="I45" s="112">
        <f>-$E$20*I31</f>
        <v>0</v>
      </c>
      <c r="J45" s="112">
        <f>-$E$20*J31</f>
        <v>0</v>
      </c>
      <c r="K45" s="112">
        <f>-$E$20*K31</f>
        <v>0</v>
      </c>
      <c r="L45" s="112">
        <f>-$E$20*L31</f>
        <v>0</v>
      </c>
      <c r="M45" s="112">
        <f>-$E$20*M31</f>
        <v>0</v>
      </c>
      <c r="N45" s="112">
        <f>-$E$20*N31</f>
        <v>0</v>
      </c>
      <c r="O45" s="112">
        <f>-$E$20*O31</f>
        <v>0</v>
      </c>
    </row>
    <row r="46">
      <c r="C46" s="15" t="inlineStr">
        <is>
          <t>Lucro residual</t>
        </is>
      </c>
      <c r="D46" s="16" t="inlineStr">
        <is>
          <t>Residual income</t>
        </is>
      </c>
      <c r="E46" s="22">
        <f>E44+E45</f>
        <v>0</v>
      </c>
      <c r="F46" s="22">
        <f>F44+F45</f>
        <v>0</v>
      </c>
      <c r="G46" s="22">
        <f>G44+G45</f>
        <v>0</v>
      </c>
      <c r="H46" s="22">
        <f>H44+H45</f>
        <v>0</v>
      </c>
      <c r="I46" s="22">
        <f>I44+I45</f>
        <v>0</v>
      </c>
      <c r="J46" s="22">
        <f>J44+J45</f>
        <v>0</v>
      </c>
      <c r="K46" s="22">
        <f>K44+K45</f>
        <v>0</v>
      </c>
      <c r="L46" s="22">
        <f>L44+L45</f>
        <v>0</v>
      </c>
      <c r="M46" s="22">
        <f>M44+M45</f>
        <v>0</v>
      </c>
      <c r="N46" s="22">
        <f>N44+N45</f>
        <v>0</v>
      </c>
      <c r="O46" s="22">
        <f>O44+O45</f>
        <v>0</v>
      </c>
      <c r="Q46" s="2" t="inlineStr">
        <is>
          <t>Lucro residual = lucro que excede o custo do capital investido pelo acionista. É zero quando ROE = Ke, e aí o banco vale exatamente o patrimônio.</t>
        </is>
      </c>
    </row>
    <row r="47">
      <c r="C47" s="11" t="inlineStr">
        <is>
          <t>Valor presente do lucro residual</t>
        </is>
      </c>
      <c r="D47" s="12" t="inlineStr">
        <is>
          <t>PV of residual income</t>
        </is>
      </c>
      <c r="E47" s="112">
        <f>E46*E40</f>
        <v>0</v>
      </c>
      <c r="F47" s="112">
        <f>F46*F40</f>
        <v>0</v>
      </c>
      <c r="G47" s="112">
        <f>G46*G40</f>
        <v>0</v>
      </c>
      <c r="H47" s="112">
        <f>H46*H40</f>
        <v>0</v>
      </c>
      <c r="I47" s="112">
        <f>I46*I40</f>
        <v>0</v>
      </c>
      <c r="J47" s="112">
        <f>J46*J40</f>
        <v>0</v>
      </c>
      <c r="K47" s="112">
        <f>K46*K40</f>
        <v>0</v>
      </c>
      <c r="L47" s="112">
        <f>L46*L40</f>
        <v>0</v>
      </c>
      <c r="M47" s="112">
        <f>M46*M40</f>
        <v>0</v>
      </c>
      <c r="N47" s="112">
        <f>N46*N40</f>
        <v>0</v>
      </c>
      <c r="O47" s="112">
        <f>O46*O40</f>
        <v>0</v>
      </c>
    </row>
    <row r="48">
      <c r="C48" s="11" t="inlineStr">
        <is>
          <t>Soma dos valores presentes (período explícito)</t>
        </is>
      </c>
      <c r="D48" s="12" t="inlineStr">
        <is>
          <t>PV of explicit horizon</t>
        </is>
      </c>
      <c r="E48" s="112">
        <f>SUM(E47:O47)</f>
        <v>0</v>
      </c>
    </row>
    <row r="49">
      <c r="C49" s="11" t="inlineStr">
        <is>
          <t>Lucro residual do último ano projetado</t>
        </is>
      </c>
      <c r="D49" s="12" t="inlineStr">
        <is>
          <t>Terminal-year residual income</t>
        </is>
      </c>
      <c r="E49" s="112">
        <f>O46</f>
        <v>0</v>
      </c>
    </row>
    <row r="50">
      <c r="C50" s="11" t="inlineStr">
        <is>
          <t>Valor terminal do lucro residual</t>
        </is>
      </c>
      <c r="D50" s="12" t="inlineStr">
        <is>
          <t>Terminal value</t>
        </is>
      </c>
      <c r="E50" s="112">
        <f>IF($E$20&lt;=$E$21,0,O46*(1+$E$21)/($E$20-$E$21))</f>
        <v>0</v>
      </c>
    </row>
    <row r="51">
      <c r="C51" s="11" t="inlineStr">
        <is>
          <t>Valor presente do valor terminal</t>
        </is>
      </c>
      <c r="D51" s="12" t="inlineStr">
        <is>
          <t>PV of terminal value</t>
        </is>
      </c>
      <c r="E51" s="112">
        <f>E50*O40</f>
        <v>0</v>
      </c>
    </row>
    <row r="52">
      <c r="C52" s="11" t="inlineStr">
        <is>
          <t>PL ordinário na data-base</t>
        </is>
      </c>
      <c r="D52" s="12" t="inlineStr">
        <is>
          <t>Book value at valuation date</t>
        </is>
      </c>
      <c r="E52" s="112">
        <f>IFERROR(INDEX($E$30:$O$30,MATCH($E$24,$E$27:$O$27,0)),0)</f>
        <v>0</v>
      </c>
      <c r="Q52" s="2" t="inlineStr">
        <is>
          <t>Patrimônio líquido no fim do ano-base, que é o ponto de partida do lucro residual.</t>
        </is>
      </c>
    </row>
    <row r="53">
      <c r="C53" s="15" t="inlineStr">
        <is>
          <t>Valor do equity</t>
        </is>
      </c>
      <c r="D53" s="16" t="inlineStr">
        <is>
          <t>Equity value</t>
        </is>
      </c>
      <c r="E53" s="22">
        <f>E52+E48+E51</f>
        <v>0</v>
      </c>
    </row>
    <row r="54">
      <c r="C54" s="15" t="str">
        <f>"Valor por ação ("&amp;Inputs!$E$200&amp;")"</f>
        <v>Valor por ação (US$)</v>
      </c>
      <c r="D54" s="16" t="inlineStr">
        <is>
          <t>Value per share</t>
        </is>
      </c>
      <c r="E54" s="113">
        <f>IFERROR(E53/Inputs!$E$210,0)</f>
        <v>0</v>
      </c>
    </row>
    <row r="55">
      <c r="C55" s="11" t="inlineStr">
        <is>
          <t>Upside</t>
        </is>
      </c>
      <c r="D55" s="12" t="inlineStr">
        <is>
          <t>Upside</t>
        </is>
      </c>
      <c r="E55" s="107">
        <f>IFERROR(E54/E5-1,0)</f>
        <v>0</v>
      </c>
    </row>
    <row r="57">
      <c r="B57" s="7" t="n"/>
      <c r="C57" s="7" t="inlineStr">
        <is>
          <t>MÉTODO 2 — DIVIDEND DISCOUNT MODEL</t>
        </is>
      </c>
      <c r="D57" s="7" t="inlineStr">
        <is>
          <t>METHOD 2 — DDM</t>
        </is>
      </c>
      <c r="E57" s="7" t="n"/>
      <c r="F57" s="7" t="n"/>
      <c r="G57" s="7" t="n"/>
      <c r="H57" s="7" t="n"/>
      <c r="I57" s="7" t="n"/>
      <c r="J57" s="7" t="n"/>
      <c r="K57" s="7" t="n"/>
      <c r="L57" s="7" t="n"/>
      <c r="M57" s="7" t="n"/>
      <c r="N57" s="7" t="n"/>
      <c r="O57" s="7" t="n"/>
      <c r="P57" s="7" t="n"/>
      <c r="Q57" s="7" t="n"/>
    </row>
    <row r="58">
      <c r="B58" s="29" t="n"/>
      <c r="C58" s="29" t="inlineStr">
        <is>
          <t>Fluxo de retorno ao acionista (dividendos + recompras)</t>
        </is>
      </c>
      <c r="D58" s="29" t="inlineStr">
        <is>
          <t>Dividend stream</t>
        </is>
      </c>
      <c r="E58" s="29" t="n"/>
      <c r="F58" s="29" t="n"/>
      <c r="G58" s="29" t="n"/>
      <c r="H58" s="29" t="n"/>
      <c r="I58" s="29" t="n"/>
      <c r="J58" s="29" t="n"/>
      <c r="K58" s="29" t="n"/>
      <c r="L58" s="29" t="n"/>
      <c r="M58" s="29" t="n"/>
      <c r="N58" s="29" t="n"/>
      <c r="O58" s="29" t="n"/>
      <c r="P58" s="29" t="n"/>
      <c r="Q58" s="29" t="n"/>
    </row>
    <row r="59">
      <c r="C59" s="11" t="inlineStr">
        <is>
          <t>Dividendos ordinários + recompras</t>
        </is>
      </c>
      <c r="D59" s="12" t="inlineStr">
        <is>
          <t>Dividends + buybacks</t>
        </is>
      </c>
      <c r="E59" s="112">
        <f>E33</f>
        <v>0</v>
      </c>
      <c r="F59" s="112">
        <f>F33</f>
        <v>0</v>
      </c>
      <c r="G59" s="112">
        <f>G33</f>
        <v>0</v>
      </c>
      <c r="H59" s="112">
        <f>H33</f>
        <v>0</v>
      </c>
      <c r="I59" s="112">
        <f>I33</f>
        <v>0</v>
      </c>
      <c r="J59" s="112">
        <f>J33</f>
        <v>0</v>
      </c>
      <c r="K59" s="112">
        <f>K33</f>
        <v>0</v>
      </c>
      <c r="L59" s="112">
        <f>L33</f>
        <v>0</v>
      </c>
      <c r="M59" s="112">
        <f>M33</f>
        <v>0</v>
      </c>
      <c r="N59" s="112">
        <f>N33</f>
        <v>0</v>
      </c>
      <c r="O59" s="112">
        <f>O33</f>
        <v>0</v>
      </c>
    </row>
    <row r="60">
      <c r="C60" s="11" t="inlineStr">
        <is>
          <t>Valor presente do retorno ao acionista</t>
        </is>
      </c>
      <c r="D60" s="12" t="inlineStr">
        <is>
          <t>PV of dividends</t>
        </is>
      </c>
      <c r="E60" s="112">
        <f>E59*E40</f>
        <v>0</v>
      </c>
      <c r="F60" s="112">
        <f>F59*F40</f>
        <v>0</v>
      </c>
      <c r="G60" s="112">
        <f>G59*G40</f>
        <v>0</v>
      </c>
      <c r="H60" s="112">
        <f>H59*H40</f>
        <v>0</v>
      </c>
      <c r="I60" s="112">
        <f>I59*I40</f>
        <v>0</v>
      </c>
      <c r="J60" s="112">
        <f>J59*J40</f>
        <v>0</v>
      </c>
      <c r="K60" s="112">
        <f>K59*K40</f>
        <v>0</v>
      </c>
      <c r="L60" s="112">
        <f>L59*L40</f>
        <v>0</v>
      </c>
      <c r="M60" s="112">
        <f>M59*M40</f>
        <v>0</v>
      </c>
      <c r="N60" s="112">
        <f>N59*N40</f>
        <v>0</v>
      </c>
      <c r="O60" s="112">
        <f>O59*O40</f>
        <v>0</v>
      </c>
    </row>
    <row r="61">
      <c r="C61" s="11" t="inlineStr">
        <is>
          <t>Soma dos valores presentes</t>
        </is>
      </c>
      <c r="D61" s="12" t="inlineStr">
        <is>
          <t>PV of explicit horizon</t>
        </is>
      </c>
      <c r="E61" s="112">
        <f>SUM(E60:O60)</f>
        <v>0</v>
      </c>
    </row>
    <row r="62">
      <c r="C62" s="11" t="inlineStr">
        <is>
          <t>Retorno ao acionista do último ano projetado</t>
        </is>
      </c>
      <c r="D62" s="12" t="inlineStr">
        <is>
          <t>Terminal-year dividend</t>
        </is>
      </c>
      <c r="E62" s="112">
        <f>O59</f>
        <v>0</v>
      </c>
    </row>
    <row r="63">
      <c r="C63" s="11" t="inlineStr">
        <is>
          <t>Valor terminal por Gordon (payout total sustentável)</t>
        </is>
      </c>
      <c r="D63" s="12" t="inlineStr">
        <is>
          <t>Gordon terminal value</t>
        </is>
      </c>
      <c r="E63" s="112">
        <f>IF($E$20&lt;=$E$21,0,O29*(1+$E$21)*$E$23/($E$20-$E$21))</f>
        <v>0</v>
      </c>
      <c r="Q63" s="2" t="inlineStr">
        <is>
          <t>O valor terminal usa o payout consistente com g e o ROE sustentável, não o payout projetado. Sem isso o DDM subestima bancos que retêm capital para crescer.</t>
        </is>
      </c>
    </row>
    <row r="64">
      <c r="C64" s="11" t="inlineStr">
        <is>
          <t>Valor presente do valor terminal</t>
        </is>
      </c>
      <c r="D64" s="12" t="inlineStr">
        <is>
          <t>PV of terminal value</t>
        </is>
      </c>
      <c r="E64" s="112">
        <f>E63*O40</f>
        <v>0</v>
      </c>
    </row>
    <row r="65">
      <c r="C65" s="15" t="inlineStr">
        <is>
          <t>Valor do equity</t>
        </is>
      </c>
      <c r="D65" s="16" t="inlineStr">
        <is>
          <t>Equity value</t>
        </is>
      </c>
      <c r="E65" s="22">
        <f>E61+E64</f>
        <v>0</v>
      </c>
    </row>
    <row r="66">
      <c r="C66" s="15" t="str">
        <f>"Valor por ação ("&amp;Inputs!$E$200&amp;")"</f>
        <v>Valor por ação (US$)</v>
      </c>
      <c r="D66" s="16" t="inlineStr">
        <is>
          <t>Value per share</t>
        </is>
      </c>
      <c r="E66" s="113">
        <f>IFERROR(E65/Inputs!$E$210,0)</f>
        <v>0</v>
      </c>
    </row>
    <row r="67">
      <c r="C67" s="11" t="inlineStr">
        <is>
          <t>Upside</t>
        </is>
      </c>
      <c r="D67" s="12" t="inlineStr">
        <is>
          <t>Upside</t>
        </is>
      </c>
      <c r="E67" s="107">
        <f>IFERROR(E66/E5-1,0)</f>
        <v>0</v>
      </c>
    </row>
    <row r="69">
      <c r="B69" s="7" t="n"/>
      <c r="C69" s="7" t="inlineStr">
        <is>
          <t>MÉTODO 3 — P/BV JUSTIFICADO (GORDON)</t>
        </is>
      </c>
      <c r="D69" s="7" t="inlineStr">
        <is>
          <t>METHOD 3 — JUSTIFIED P/BV</t>
        </is>
      </c>
      <c r="E69" s="7" t="n"/>
      <c r="F69" s="7" t="n"/>
      <c r="G69" s="7" t="n"/>
      <c r="H69" s="7" t="n"/>
      <c r="I69" s="7" t="n"/>
      <c r="J69" s="7" t="n"/>
      <c r="K69" s="7" t="n"/>
      <c r="L69" s="7" t="n"/>
      <c r="M69" s="7" t="n"/>
      <c r="N69" s="7" t="n"/>
      <c r="O69" s="7" t="n"/>
      <c r="P69" s="7" t="n"/>
      <c r="Q69" s="7" t="n"/>
    </row>
    <row r="71">
      <c r="C71" s="11" t="inlineStr">
        <is>
          <t>ROE sustentável</t>
        </is>
      </c>
      <c r="D71" s="12" t="inlineStr">
        <is>
          <t>Sustainable ROE</t>
        </is>
      </c>
      <c r="E71" s="107">
        <f>$E$22</f>
        <v>0</v>
      </c>
    </row>
    <row r="72">
      <c r="C72" s="11" t="inlineStr">
        <is>
          <t>Crescimento na perpetuidade</t>
        </is>
      </c>
      <c r="D72" s="12" t="inlineStr">
        <is>
          <t>Terminal growth</t>
        </is>
      </c>
      <c r="E72" s="107">
        <f>$E$21</f>
        <v>0</v>
      </c>
    </row>
    <row r="73">
      <c r="C73" s="11" t="inlineStr">
        <is>
          <t>Custo do capital próprio</t>
        </is>
      </c>
      <c r="D73" s="12" t="inlineStr">
        <is>
          <t>Cost of equity</t>
        </is>
      </c>
      <c r="E73" s="107">
        <f>$E$20</f>
        <v>0</v>
      </c>
    </row>
    <row r="74">
      <c r="C74" s="15" t="inlineStr">
        <is>
          <t>P/BV justificado = (ROE – g) / (Ke – g)</t>
        </is>
      </c>
      <c r="D74" s="16" t="inlineStr">
        <is>
          <t>Justified P/BV</t>
        </is>
      </c>
      <c r="E74" s="114">
        <f>IF($E$20&lt;=$E$21,0,(E71-E72)/(E73-E72))</f>
        <v>0</v>
      </c>
      <c r="Q74" s="2" t="inlineStr">
        <is>
          <t>Relação central de banco: o múltiplo de patrimônio é função direta do spread entre ROE e custo de capital. ROE = Ke implica P/BV = 1,0x.</t>
        </is>
      </c>
    </row>
    <row r="75">
      <c r="C75" s="11" t="str">
        <f>"VPA do ano-alvo ("&amp;Inputs!$E$200&amp;")"</f>
        <v>VPA do ano-alvo (US$)</v>
      </c>
      <c r="D75" s="12" t="inlineStr">
        <is>
          <t>Target-year BVPS</t>
        </is>
      </c>
      <c r="E75" s="115">
        <f>IFERROR(INDEX($E$37:$O$37,MATCH($E$25,$E$27:$O$27,0)),0)</f>
        <v>0</v>
      </c>
    </row>
    <row r="76">
      <c r="C76" s="15" t="str">
        <f>"Valor por ação no ano-base ("&amp;Inputs!$E$200&amp;")"</f>
        <v>Valor por ação no ano-base (US$)</v>
      </c>
      <c r="D76" s="16" t="inlineStr">
        <is>
          <t>Value per share, base year</t>
        </is>
      </c>
      <c r="E76" s="113">
        <f>E74*E75*IFERROR(INDEX($E$40:$O$40,MATCH($E$25,$E$27:$O$27,0)),1)</f>
        <v>0</v>
      </c>
    </row>
    <row r="77">
      <c r="C77" s="11" t="inlineStr">
        <is>
          <t>Upside</t>
        </is>
      </c>
      <c r="D77" s="12" t="inlineStr">
        <is>
          <t>Upside</t>
        </is>
      </c>
      <c r="E77" s="107">
        <f>IFERROR(E76/E5-1,0)</f>
        <v>0</v>
      </c>
    </row>
    <row r="79">
      <c r="B79" s="7" t="n"/>
      <c r="C79" s="7" t="inlineStr">
        <is>
          <t>MÉTODO 4 — MÚLTIPLOS DE MERCADO</t>
        </is>
      </c>
      <c r="D79" s="7" t="inlineStr">
        <is>
          <t>METHOD 4 — MARKET MULTIPLES</t>
        </is>
      </c>
      <c r="E79" s="7" t="n"/>
      <c r="F79" s="7" t="n"/>
      <c r="G79" s="7" t="n"/>
      <c r="H79" s="7" t="n"/>
      <c r="I79" s="7" t="n"/>
      <c r="J79" s="7" t="n"/>
      <c r="K79" s="7" t="n"/>
      <c r="L79" s="7" t="n"/>
      <c r="M79" s="7" t="n"/>
      <c r="N79" s="7" t="n"/>
      <c r="O79" s="7" t="n"/>
      <c r="P79" s="7" t="n"/>
      <c r="Q79" s="7" t="n"/>
    </row>
    <row r="80">
      <c r="B80" s="29" t="n"/>
      <c r="C80" s="29" t="inlineStr">
        <is>
          <t>Comparáveis (preencher manualmente)</t>
        </is>
      </c>
      <c r="D80" s="29" t="inlineStr">
        <is>
          <t>Peer group (manual input)</t>
        </is>
      </c>
      <c r="E80" s="29" t="n"/>
      <c r="F80" s="29" t="n"/>
      <c r="G80" s="29" t="n"/>
      <c r="H80" s="29" t="n"/>
      <c r="I80" s="29" t="n"/>
      <c r="J80" s="29" t="n"/>
      <c r="K80" s="29" t="n"/>
      <c r="L80" s="29" t="n"/>
      <c r="M80" s="29" t="n"/>
      <c r="N80" s="29" t="n"/>
      <c r="O80" s="29" t="n"/>
      <c r="P80" s="29" t="n"/>
      <c r="Q80" s="29" t="n"/>
    </row>
    <row r="81">
      <c r="C81" s="116" t="inlineStr">
        <is>
          <t>Comparável</t>
        </is>
      </c>
      <c r="E81" s="116" t="inlineStr">
        <is>
          <t>P/E (x)</t>
        </is>
      </c>
      <c r="F81" s="116" t="inlineStr">
        <is>
          <t>P/TBV (x)</t>
        </is>
      </c>
      <c r="G81" s="116" t="inlineStr">
        <is>
          <t>ROTCE (%)</t>
        </is>
      </c>
      <c r="H81" s="116" t="inlineStr">
        <is>
          <t>Dividend yield (%)</t>
        </is>
      </c>
    </row>
    <row r="82">
      <c r="C82" s="117" t="inlineStr">
        <is>
          <t>BAC</t>
        </is>
      </c>
      <c r="E82" s="118" t="n"/>
      <c r="F82" s="118" t="n"/>
      <c r="G82" s="40" t="n"/>
      <c r="H82" s="40" t="n"/>
    </row>
    <row r="83">
      <c r="C83" s="117" t="inlineStr">
        <is>
          <t>C</t>
        </is>
      </c>
      <c r="E83" s="118" t="n"/>
      <c r="F83" s="118" t="n"/>
      <c r="G83" s="40" t="n"/>
      <c r="H83" s="40" t="n"/>
    </row>
    <row r="84">
      <c r="C84" s="117" t="inlineStr">
        <is>
          <t>WFC</t>
        </is>
      </c>
      <c r="E84" s="118" t="n"/>
      <c r="F84" s="118" t="n"/>
      <c r="G84" s="40" t="n"/>
      <c r="H84" s="40" t="n"/>
    </row>
    <row r="85">
      <c r="C85" s="117" t="inlineStr">
        <is>
          <t>GS</t>
        </is>
      </c>
      <c r="E85" s="118" t="n"/>
      <c r="F85" s="118" t="n"/>
      <c r="G85" s="40" t="n"/>
      <c r="H85" s="40" t="n"/>
    </row>
    <row r="86">
      <c r="C86" s="117" t="inlineStr">
        <is>
          <t>MS</t>
        </is>
      </c>
      <c r="E86" s="118" t="n"/>
      <c r="F86" s="118" t="n"/>
      <c r="G86" s="40" t="n"/>
      <c r="H86" s="40" t="n"/>
    </row>
    <row r="87">
      <c r="C87" s="117" t="inlineStr">
        <is>
          <t>PNC</t>
        </is>
      </c>
      <c r="E87" s="118" t="n"/>
      <c r="F87" s="118" t="n"/>
      <c r="G87" s="40" t="n"/>
      <c r="H87" s="40" t="n"/>
    </row>
    <row r="88">
      <c r="C88" s="117" t="inlineStr">
        <is>
          <t>USB</t>
        </is>
      </c>
      <c r="E88" s="118" t="n"/>
      <c r="F88" s="118" t="n"/>
      <c r="G88" s="40" t="n"/>
      <c r="H88" s="40" t="n"/>
    </row>
    <row r="90">
      <c r="C90" s="119" t="inlineStr">
        <is>
          <t>Mediana dos pares</t>
        </is>
      </c>
      <c r="E90" s="114">
        <f>IFERROR(MEDIAN(E82:E89),0)</f>
        <v>0</v>
      </c>
      <c r="F90" s="114">
        <f>IFERROR(MEDIAN(F82:F89),0)</f>
        <v>0</v>
      </c>
      <c r="G90" s="48">
        <f>IFERROR(MEDIAN(G82:G89),0)</f>
        <v>0</v>
      </c>
      <c r="H90" s="48">
        <f>IFERROR(MEDIAN(H82:H89),0)</f>
        <v>0</v>
      </c>
    </row>
    <row r="92">
      <c r="C92" s="11" t="inlineStr">
        <is>
          <t>P/E alvo (x)</t>
        </is>
      </c>
      <c r="D92" s="12" t="inlineStr">
        <is>
          <t>Target P/E</t>
        </is>
      </c>
      <c r="E92" s="120">
        <f>E90</f>
        <v>0</v>
      </c>
    </row>
    <row r="93">
      <c r="C93" s="11" t="inlineStr">
        <is>
          <t>P/TBV alvo (x) — aplicado ao TBVPS</t>
        </is>
      </c>
      <c r="D93" s="12" t="inlineStr">
        <is>
          <t>Target P/BV</t>
        </is>
      </c>
      <c r="E93" s="120">
        <f>F90</f>
        <v>0</v>
      </c>
    </row>
    <row r="94">
      <c r="C94" s="11" t="str">
        <f>"LPA do ano-alvo ("&amp;Inputs!$E$200&amp;")"</f>
        <v>LPA do ano-alvo (US$)</v>
      </c>
      <c r="D94" s="12" t="inlineStr">
        <is>
          <t>Target-year EPS</t>
        </is>
      </c>
      <c r="E94" s="115">
        <f>IFERROR(INDEX($E$36:$O$36,MATCH($E$25,$E$27:$O$27,0)),0)</f>
        <v>0</v>
      </c>
      <c r="Q94" s="2" t="inlineStr">
        <is>
          <t>Ano-alvo definido nas premissas. Os quatro métodos usam o mesmo ano, então os valores por ação são comparáveis entre si.</t>
        </is>
      </c>
    </row>
    <row r="95">
      <c r="C95" s="11" t="str">
        <f>"TBVPS do ano-alvo ("&amp;Inputs!$E$200&amp;")"</f>
        <v>TBVPS do ano-alvo (US$)</v>
      </c>
      <c r="D95" s="12" t="inlineStr">
        <is>
          <t>Target-year BVPS</t>
        </is>
      </c>
      <c r="E95" s="115">
        <f>IFERROR(INDEX($E$145:$O$145,MATCH($E$25,$E$27:$O$27,0)),0)</f>
        <v>0</v>
      </c>
    </row>
    <row r="96">
      <c r="C96" s="11" t="str">
        <f>"Valor por ação via P/E ("&amp;Inputs!$E$200&amp;")"</f>
        <v>Valor por ação via P/E (US$)</v>
      </c>
      <c r="D96" s="12" t="inlineStr">
        <is>
          <t>Value per share, P/E</t>
        </is>
      </c>
      <c r="E96" s="115">
        <f>E92*E94</f>
        <v>0</v>
      </c>
    </row>
    <row r="97">
      <c r="C97" s="11" t="str">
        <f>"Valor por ação via P/TBV ("&amp;Inputs!$E$200&amp;")"</f>
        <v>Valor por ação via P/TBV (US$)</v>
      </c>
      <c r="D97" s="12" t="inlineStr">
        <is>
          <t>Value per share, P/BV</t>
        </is>
      </c>
      <c r="E97" s="115">
        <f>E93*E95</f>
        <v>0</v>
      </c>
    </row>
    <row r="98">
      <c r="C98" s="15" t="inlineStr">
        <is>
          <t>Valor por ação no ano-base (média dos dois)</t>
        </is>
      </c>
      <c r="D98" s="16" t="inlineStr">
        <is>
          <t>Value per share, base year</t>
        </is>
      </c>
      <c r="E98" s="113">
        <f>IFERROR(AVERAGE(E96,E97)*INDEX($E$40:$O$40,MATCH($E$25,$E$27:$O$27,0)),0)</f>
        <v>0</v>
      </c>
    </row>
    <row r="99">
      <c r="C99" s="11" t="inlineStr">
        <is>
          <t>Upside</t>
        </is>
      </c>
      <c r="D99" s="12" t="inlineStr">
        <is>
          <t>Upside</t>
        </is>
      </c>
      <c r="E99" s="107">
        <f>IFERROR(E98/E5-1,0)</f>
        <v>0</v>
      </c>
    </row>
    <row r="101">
      <c r="B101" s="7" t="n"/>
      <c r="C101" s="7" t="inlineStr">
        <is>
          <t>SÍNTESE E PREÇO-ALVO</t>
        </is>
      </c>
      <c r="D101" s="7" t="inlineStr">
        <is>
          <t>SYNTHESIS AND TARGET PRICE</t>
        </is>
      </c>
      <c r="E101" s="7" t="n"/>
      <c r="F101" s="7" t="n"/>
      <c r="G101" s="7" t="n"/>
      <c r="H101" s="7" t="n"/>
      <c r="I101" s="7" t="n"/>
      <c r="J101" s="7" t="n"/>
      <c r="K101" s="7" t="n"/>
      <c r="L101" s="7" t="n"/>
      <c r="M101" s="7" t="n"/>
      <c r="N101" s="7" t="n"/>
      <c r="O101" s="7" t="n"/>
      <c r="P101" s="7" t="n"/>
      <c r="Q101" s="7" t="n"/>
    </row>
    <row r="103">
      <c r="C103" s="116" t="inlineStr">
        <is>
          <t>Método</t>
        </is>
      </c>
      <c r="E103" s="116" t="str">
        <f>"Valor por ação ("&amp;Inputs!$E$200&amp;")"</f>
        <v>Valor por ação (US$)</v>
      </c>
      <c r="F103" s="116" t="inlineStr">
        <is>
          <t>Peso</t>
        </is>
      </c>
      <c r="G103" s="116" t="str">
        <f>"Contribuição ("&amp;Inputs!$E$200&amp;")"</f>
        <v>Contribuição (US$)</v>
      </c>
    </row>
    <row r="104">
      <c r="C104" s="121" t="inlineStr">
        <is>
          <t>Excess Return</t>
        </is>
      </c>
      <c r="E104" s="122">
        <f>E54</f>
        <v>0</v>
      </c>
      <c r="F104" s="101">
        <f>Inputs!$E$320</f>
        <v>0</v>
      </c>
      <c r="G104" s="122">
        <f>E104*F104</f>
        <v>0</v>
      </c>
    </row>
    <row r="105">
      <c r="C105" s="121" t="inlineStr">
        <is>
          <t>Dividend Discount Model</t>
        </is>
      </c>
      <c r="E105" s="122">
        <f>E66</f>
        <v>0</v>
      </c>
      <c r="F105" s="101">
        <f>Inputs!$E$321</f>
        <v>0</v>
      </c>
      <c r="G105" s="122">
        <f>E105*F105</f>
        <v>0</v>
      </c>
    </row>
    <row r="106">
      <c r="C106" s="121" t="inlineStr">
        <is>
          <t>P/BV justificado</t>
        </is>
      </c>
      <c r="E106" s="122">
        <f>E76</f>
        <v>0</v>
      </c>
      <c r="F106" s="101">
        <f>Inputs!$E$322</f>
        <v>0</v>
      </c>
      <c r="G106" s="122">
        <f>E106*F106</f>
        <v>0</v>
      </c>
    </row>
    <row r="107">
      <c r="C107" s="121" t="inlineStr">
        <is>
          <t>Múltiplos de mercado</t>
        </is>
      </c>
      <c r="E107" s="122">
        <f>E98</f>
        <v>0</v>
      </c>
      <c r="F107" s="101">
        <f>Inputs!$E$323</f>
        <v>0</v>
      </c>
      <c r="G107" s="122">
        <f>E107*F107</f>
        <v>0</v>
      </c>
    </row>
    <row r="108">
      <c r="C108" s="119" t="str">
        <f>"PREÇO-ALVO PONDERADO ("&amp;Inputs!$E$200&amp;")"</f>
        <v>PREÇO-ALVO PONDERADO (US$)</v>
      </c>
      <c r="E108" s="96">
        <f>IFERROR(SUMPRODUCT(E104:E107,F104:F107)/SUMPRODUCT((E104:E107&gt;0)*F104:F107),0)</f>
        <v>0</v>
      </c>
      <c r="Q108" s="2" t="inlineStr">
        <is>
          <t>Média ponderada pelos pesos da aba Inputs, renormalizada entre os métodos que têm valor. Um método sem dado — múltiplos sem comparáveis preenchidos, por exemplo — sai da conta em vez de puxar o alvo para baixo.</t>
        </is>
      </c>
    </row>
    <row r="109">
      <c r="C109" s="121" t="str">
        <f>"Preço atual ("&amp;Inputs!$E$200&amp;")"</f>
        <v>Preço atual (US$)</v>
      </c>
      <c r="E109" s="95">
        <f>E5</f>
        <v>0</v>
      </c>
    </row>
    <row r="110">
      <c r="C110" s="119" t="inlineStr">
        <is>
          <t>Upside / (downside)</t>
        </is>
      </c>
      <c r="E110" s="97">
        <f>IFERROR(E108/E109-1,0)</f>
        <v>0</v>
      </c>
      <c r="Q110" s="2" t="inlineStr">
        <is>
          <t>Todos os quatro métodos entregam valor por ação em 31/dez do ano-base, então são diretamente comparáveis entre si e com o preço atual.</t>
        </is>
      </c>
    </row>
    <row r="111">
      <c r="C111" s="119" t="inlineStr">
        <is>
          <t>Leitura</t>
        </is>
      </c>
      <c r="E111" s="98" t="str">
        <f>E8</f>
        <v>NEUTRO</v>
      </c>
    </row>
    <row r="113">
      <c r="B113" s="7" t="n"/>
      <c r="C113" s="7" t="inlineStr">
        <is>
          <t>SENSIBILIDADE — PREÇO-ALVO POR P/BV JUSTIFICADO</t>
        </is>
      </c>
      <c r="D113" s="7" t="inlineStr">
        <is>
          <t>SENSITIVITY — JUSTIFIED P/BV</t>
        </is>
      </c>
      <c r="E113" s="7" t="n"/>
      <c r="F113" s="7" t="n"/>
      <c r="G113" s="7" t="n"/>
      <c r="H113" s="7" t="n"/>
      <c r="I113" s="7" t="n"/>
      <c r="J113" s="7" t="n"/>
      <c r="K113" s="7" t="n"/>
      <c r="L113" s="7" t="n"/>
      <c r="M113" s="7" t="n"/>
      <c r="N113" s="7" t="n"/>
      <c r="O113" s="7" t="n"/>
      <c r="P113" s="7" t="n"/>
      <c r="Q113" s="7" t="n"/>
    </row>
    <row r="114">
      <c r="C114" s="2" t="inlineStr">
        <is>
          <t>Linhas: ROE sustentável · Colunas: custo do capital próprio (Ke)</t>
        </is>
      </c>
    </row>
    <row r="115">
      <c r="D115" s="123" t="inlineStr">
        <is>
          <t>ROE \ Ke</t>
        </is>
      </c>
      <c r="E115" s="124">
        <f>$E$20+-0.02</f>
        <v>-0.02</v>
      </c>
      <c r="F115" s="124">
        <f>$E$20+-0.01</f>
        <v>-0.01</v>
      </c>
      <c r="G115" s="124">
        <f>$E$20+-0.005</f>
        <v>-0.005</v>
      </c>
      <c r="H115" s="124">
        <f>$E$20+0</f>
        <v>0</v>
      </c>
      <c r="I115" s="124">
        <f>$E$20+0.005</f>
        <v>0.005</v>
      </c>
      <c r="J115" s="124">
        <f>$E$20+0.01</f>
        <v>0.01</v>
      </c>
      <c r="K115" s="124">
        <f>$E$20+0.02</f>
        <v>0.02</v>
      </c>
    </row>
    <row r="116">
      <c r="D116" s="124">
        <f>$E$22+-0.03</f>
        <v>-0.03</v>
      </c>
      <c r="E116" s="122">
        <f>IF(($E$20+-0.02)&lt;=$E$21,0,(($E$22+-0.03)-$E$21)/(($E$20+-0.02)-$E$21)*E75)</f>
        <v>0</v>
      </c>
      <c r="F116" s="122">
        <f>IF(($E$20+-0.01)&lt;=$E$21,0,(($E$22+-0.03)-$E$21)/(($E$20+-0.01)-$E$21)*E75)</f>
        <v>0</v>
      </c>
      <c r="G116" s="122">
        <f>IF(($E$20+-0.005)&lt;=$E$21,0,(($E$22+-0.03)-$E$21)/(($E$20+-0.005)-$E$21)*E75)</f>
        <v>0</v>
      </c>
      <c r="H116" s="122">
        <f>IF(($E$20+0)&lt;=$E$21,0,(($E$22+-0.03)-$E$21)/(($E$20+0)-$E$21)*E75)</f>
        <v>0</v>
      </c>
      <c r="I116" s="122">
        <f>IF(($E$20+0.005)&lt;=$E$21,0,(($E$22+-0.03)-$E$21)/(($E$20+0.005)-$E$21)*E75)</f>
        <v>0</v>
      </c>
      <c r="J116" s="122">
        <f>IF(($E$20+0.01)&lt;=$E$21,0,(($E$22+-0.03)-$E$21)/(($E$20+0.01)-$E$21)*E75)</f>
        <v>0</v>
      </c>
      <c r="K116" s="122">
        <f>IF(($E$20+0.02)&lt;=$E$21,0,(($E$22+-0.03)-$E$21)/(($E$20+0.02)-$E$21)*E75)</f>
        <v>0</v>
      </c>
    </row>
    <row r="117">
      <c r="D117" s="124">
        <f>$E$22+-0.02</f>
        <v>-0.02</v>
      </c>
      <c r="E117" s="122">
        <f>IF(($E$20+-0.02)&lt;=$E$21,0,(($E$22+-0.02)-$E$21)/(($E$20+-0.02)-$E$21)*E75)</f>
        <v>0</v>
      </c>
      <c r="F117" s="122">
        <f>IF(($E$20+-0.01)&lt;=$E$21,0,(($E$22+-0.02)-$E$21)/(($E$20+-0.01)-$E$21)*E75)</f>
        <v>0</v>
      </c>
      <c r="G117" s="122">
        <f>IF(($E$20+-0.005)&lt;=$E$21,0,(($E$22+-0.02)-$E$21)/(($E$20+-0.005)-$E$21)*E75)</f>
        <v>0</v>
      </c>
      <c r="H117" s="122">
        <f>IF(($E$20+0)&lt;=$E$21,0,(($E$22+-0.02)-$E$21)/(($E$20+0)-$E$21)*E75)</f>
        <v>0</v>
      </c>
      <c r="I117" s="122">
        <f>IF(($E$20+0.005)&lt;=$E$21,0,(($E$22+-0.02)-$E$21)/(($E$20+0.005)-$E$21)*E75)</f>
        <v>0</v>
      </c>
      <c r="J117" s="122">
        <f>IF(($E$20+0.01)&lt;=$E$21,0,(($E$22+-0.02)-$E$21)/(($E$20+0.01)-$E$21)*E75)</f>
        <v>0</v>
      </c>
      <c r="K117" s="122">
        <f>IF(($E$20+0.02)&lt;=$E$21,0,(($E$22+-0.02)-$E$21)/(($E$20+0.02)-$E$21)*E75)</f>
        <v>0</v>
      </c>
    </row>
    <row r="118">
      <c r="D118" s="124">
        <f>$E$22+-0.01</f>
        <v>-0.01</v>
      </c>
      <c r="E118" s="122">
        <f>IF(($E$20+-0.02)&lt;=$E$21,0,(($E$22+-0.01)-$E$21)/(($E$20+-0.02)-$E$21)*E75)</f>
        <v>0</v>
      </c>
      <c r="F118" s="122">
        <f>IF(($E$20+-0.01)&lt;=$E$21,0,(($E$22+-0.01)-$E$21)/(($E$20+-0.01)-$E$21)*E75)</f>
        <v>0</v>
      </c>
      <c r="G118" s="122">
        <f>IF(($E$20+-0.005)&lt;=$E$21,0,(($E$22+-0.01)-$E$21)/(($E$20+-0.005)-$E$21)*E75)</f>
        <v>0</v>
      </c>
      <c r="H118" s="122">
        <f>IF(($E$20+0)&lt;=$E$21,0,(($E$22+-0.01)-$E$21)/(($E$20+0)-$E$21)*E75)</f>
        <v>0</v>
      </c>
      <c r="I118" s="122">
        <f>IF(($E$20+0.005)&lt;=$E$21,0,(($E$22+-0.01)-$E$21)/(($E$20+0.005)-$E$21)*E75)</f>
        <v>0</v>
      </c>
      <c r="J118" s="122">
        <f>IF(($E$20+0.01)&lt;=$E$21,0,(($E$22+-0.01)-$E$21)/(($E$20+0.01)-$E$21)*E75)</f>
        <v>0</v>
      </c>
      <c r="K118" s="122">
        <f>IF(($E$20+0.02)&lt;=$E$21,0,(($E$22+-0.01)-$E$21)/(($E$20+0.02)-$E$21)*E75)</f>
        <v>0</v>
      </c>
    </row>
    <row r="119">
      <c r="D119" s="124">
        <f>$E$22+0</f>
        <v>0</v>
      </c>
      <c r="E119" s="122">
        <f>IF(($E$20+-0.02)&lt;=$E$21,0,(($E$22+0)-$E$21)/(($E$20+-0.02)-$E$21)*E75)</f>
        <v>0</v>
      </c>
      <c r="F119" s="122">
        <f>IF(($E$20+-0.01)&lt;=$E$21,0,(($E$22+0)-$E$21)/(($E$20+-0.01)-$E$21)*E75)</f>
        <v>0</v>
      </c>
      <c r="G119" s="122">
        <f>IF(($E$20+-0.005)&lt;=$E$21,0,(($E$22+0)-$E$21)/(($E$20+-0.005)-$E$21)*E75)</f>
        <v>0</v>
      </c>
      <c r="H119" s="122">
        <f>IF(($E$20+0)&lt;=$E$21,0,(($E$22+0)-$E$21)/(($E$20+0)-$E$21)*E75)</f>
        <v>0</v>
      </c>
      <c r="I119" s="122">
        <f>IF(($E$20+0.005)&lt;=$E$21,0,(($E$22+0)-$E$21)/(($E$20+0.005)-$E$21)*E75)</f>
        <v>0</v>
      </c>
      <c r="J119" s="122">
        <f>IF(($E$20+0.01)&lt;=$E$21,0,(($E$22+0)-$E$21)/(($E$20+0.01)-$E$21)*E75)</f>
        <v>0</v>
      </c>
      <c r="K119" s="122">
        <f>IF(($E$20+0.02)&lt;=$E$21,0,(($E$22+0)-$E$21)/(($E$20+0.02)-$E$21)*E75)</f>
        <v>0</v>
      </c>
    </row>
    <row r="120">
      <c r="D120" s="124">
        <f>$E$22+0.01</f>
        <v>0.01</v>
      </c>
      <c r="E120" s="122">
        <f>IF(($E$20+-0.02)&lt;=$E$21,0,(($E$22+0.01)-$E$21)/(($E$20+-0.02)-$E$21)*E75)</f>
        <v>0</v>
      </c>
      <c r="F120" s="122">
        <f>IF(($E$20+-0.01)&lt;=$E$21,0,(($E$22+0.01)-$E$21)/(($E$20+-0.01)-$E$21)*E75)</f>
        <v>0</v>
      </c>
      <c r="G120" s="122">
        <f>IF(($E$20+-0.005)&lt;=$E$21,0,(($E$22+0.01)-$E$21)/(($E$20+-0.005)-$E$21)*E75)</f>
        <v>0</v>
      </c>
      <c r="H120" s="122">
        <f>IF(($E$20+0)&lt;=$E$21,0,(($E$22+0.01)-$E$21)/(($E$20+0)-$E$21)*E75)</f>
        <v>0</v>
      </c>
      <c r="I120" s="122">
        <f>IF(($E$20+0.005)&lt;=$E$21,0,(($E$22+0.01)-$E$21)/(($E$20+0.005)-$E$21)*E75)</f>
        <v>0</v>
      </c>
      <c r="J120" s="122">
        <f>IF(($E$20+0.01)&lt;=$E$21,0,(($E$22+0.01)-$E$21)/(($E$20+0.01)-$E$21)*E75)</f>
        <v>0</v>
      </c>
      <c r="K120" s="122">
        <f>IF(($E$20+0.02)&lt;=$E$21,0,(($E$22+0.01)-$E$21)/(($E$20+0.02)-$E$21)*E75)</f>
        <v>0</v>
      </c>
    </row>
    <row r="121">
      <c r="D121" s="124">
        <f>$E$22+0.02</f>
        <v>0.02</v>
      </c>
      <c r="E121" s="122">
        <f>IF(($E$20+-0.02)&lt;=$E$21,0,(($E$22+0.02)-$E$21)/(($E$20+-0.02)-$E$21)*E75)</f>
        <v>0</v>
      </c>
      <c r="F121" s="122">
        <f>IF(($E$20+-0.01)&lt;=$E$21,0,(($E$22+0.02)-$E$21)/(($E$20+-0.01)-$E$21)*E75)</f>
        <v>0</v>
      </c>
      <c r="G121" s="122">
        <f>IF(($E$20+-0.005)&lt;=$E$21,0,(($E$22+0.02)-$E$21)/(($E$20+-0.005)-$E$21)*E75)</f>
        <v>0</v>
      </c>
      <c r="H121" s="122">
        <f>IF(($E$20+0)&lt;=$E$21,0,(($E$22+0.02)-$E$21)/(($E$20+0)-$E$21)*E75)</f>
        <v>0</v>
      </c>
      <c r="I121" s="122">
        <f>IF(($E$20+0.005)&lt;=$E$21,0,(($E$22+0.02)-$E$21)/(($E$20+0.005)-$E$21)*E75)</f>
        <v>0</v>
      </c>
      <c r="J121" s="122">
        <f>IF(($E$20+0.01)&lt;=$E$21,0,(($E$22+0.02)-$E$21)/(($E$20+0.01)-$E$21)*E75)</f>
        <v>0</v>
      </c>
      <c r="K121" s="122">
        <f>IF(($E$20+0.02)&lt;=$E$21,0,(($E$22+0.02)-$E$21)/(($E$20+0.02)-$E$21)*E75)</f>
        <v>0</v>
      </c>
    </row>
    <row r="122">
      <c r="D122" s="124">
        <f>$E$22+0.03</f>
        <v>0.03</v>
      </c>
      <c r="E122" s="122">
        <f>IF(($E$20+-0.02)&lt;=$E$21,0,(($E$22+0.03)-$E$21)/(($E$20+-0.02)-$E$21)*E75)</f>
        <v>0</v>
      </c>
      <c r="F122" s="122">
        <f>IF(($E$20+-0.01)&lt;=$E$21,0,(($E$22+0.03)-$E$21)/(($E$20+-0.01)-$E$21)*E75)</f>
        <v>0</v>
      </c>
      <c r="G122" s="122">
        <f>IF(($E$20+-0.005)&lt;=$E$21,0,(($E$22+0.03)-$E$21)/(($E$20+-0.005)-$E$21)*E75)</f>
        <v>0</v>
      </c>
      <c r="H122" s="122">
        <f>IF(($E$20+0)&lt;=$E$21,0,(($E$22+0.03)-$E$21)/(($E$20+0)-$E$21)*E75)</f>
        <v>0</v>
      </c>
      <c r="I122" s="122">
        <f>IF(($E$20+0.005)&lt;=$E$21,0,(($E$22+0.03)-$E$21)/(($E$20+0.005)-$E$21)*E75)</f>
        <v>0</v>
      </c>
      <c r="J122" s="122">
        <f>IF(($E$20+0.01)&lt;=$E$21,0,(($E$22+0.03)-$E$21)/(($E$20+0.01)-$E$21)*E75)</f>
        <v>0</v>
      </c>
      <c r="K122" s="122">
        <f>IF(($E$20+0.02)&lt;=$E$21,0,(($E$22+0.03)-$E$21)/(($E$20+0.02)-$E$21)*E75)</f>
        <v>0</v>
      </c>
    </row>
    <row r="125">
      <c r="B125" s="7" t="n"/>
      <c r="C125" s="7" t="inlineStr">
        <is>
          <t>SENSIBILIDADE — PREÇO-ALVO POR P/BV JUSTIFICADO</t>
        </is>
      </c>
      <c r="D125" s="7" t="inlineStr">
        <is>
          <t>SENSITIVITY — GROWTH VS. KE</t>
        </is>
      </c>
      <c r="E125" s="7" t="n"/>
      <c r="F125" s="7" t="n"/>
      <c r="G125" s="7" t="n"/>
      <c r="H125" s="7" t="n"/>
      <c r="I125" s="7" t="n"/>
      <c r="J125" s="7" t="n"/>
      <c r="K125" s="7" t="n"/>
      <c r="L125" s="7" t="n"/>
      <c r="M125" s="7" t="n"/>
      <c r="N125" s="7" t="n"/>
      <c r="O125" s="7" t="n"/>
      <c r="P125" s="7" t="n"/>
      <c r="Q125" s="7" t="n"/>
    </row>
    <row r="126">
      <c r="C126" s="2" t="inlineStr">
        <is>
          <t>Linhas: crescimento na perpetuidade (g) · Colunas: Ke</t>
        </is>
      </c>
    </row>
    <row r="127">
      <c r="D127" s="123" t="inlineStr">
        <is>
          <t>g \ Ke</t>
        </is>
      </c>
      <c r="E127" s="124">
        <f>$E$20+-0.02</f>
        <v>-0.02</v>
      </c>
      <c r="F127" s="124">
        <f>$E$20+-0.01</f>
        <v>-0.01</v>
      </c>
      <c r="G127" s="124">
        <f>$E$20+-0.005</f>
        <v>-0.005</v>
      </c>
      <c r="H127" s="124">
        <f>$E$20+0</f>
        <v>0</v>
      </c>
      <c r="I127" s="124">
        <f>$E$20+0.005</f>
        <v>0.005</v>
      </c>
      <c r="J127" s="124">
        <f>$E$20+0.01</f>
        <v>0.01</v>
      </c>
      <c r="K127" s="124">
        <f>$E$20+0.02</f>
        <v>0.02</v>
      </c>
    </row>
    <row r="128">
      <c r="D128" s="124">
        <f>$E$21+-0.015</f>
        <v>-0.015</v>
      </c>
      <c r="E128" s="122">
        <f>IF(($E$20+-0.02)&lt;=($E$21+-0.015),0,($E$22-($E$21+-0.015))/(($E$20+-0.02)-($E$21+-0.015))*E75)</f>
        <v>0</v>
      </c>
      <c r="F128" s="122">
        <f>IF(($E$20+-0.01)&lt;=($E$21+-0.015),0,($E$22-($E$21+-0.015))/(($E$20+-0.01)-($E$21+-0.015))*E75)</f>
        <v>0</v>
      </c>
      <c r="G128" s="122">
        <f>IF(($E$20+-0.005)&lt;=($E$21+-0.015),0,($E$22-($E$21+-0.015))/(($E$20+-0.005)-($E$21+-0.015))*E75)</f>
        <v>0</v>
      </c>
      <c r="H128" s="122">
        <f>IF(($E$20+0)&lt;=($E$21+-0.015),0,($E$22-($E$21+-0.015))/(($E$20+0)-($E$21+-0.015))*E75)</f>
        <v>0</v>
      </c>
      <c r="I128" s="122">
        <f>IF(($E$20+0.005)&lt;=($E$21+-0.015),0,($E$22-($E$21+-0.015))/(($E$20+0.005)-($E$21+-0.015))*E75)</f>
        <v>0</v>
      </c>
      <c r="J128" s="122">
        <f>IF(($E$20+0.01)&lt;=($E$21+-0.015),0,($E$22-($E$21+-0.015))/(($E$20+0.01)-($E$21+-0.015))*E75)</f>
        <v>0</v>
      </c>
      <c r="K128" s="122">
        <f>IF(($E$20+0.02)&lt;=($E$21+-0.015),0,($E$22-($E$21+-0.015))/(($E$20+0.02)-($E$21+-0.015))*E75)</f>
        <v>0</v>
      </c>
    </row>
    <row r="129">
      <c r="D129" s="124">
        <f>$E$21+-0.01</f>
        <v>-0.01</v>
      </c>
      <c r="E129" s="122">
        <f>IF(($E$20+-0.02)&lt;=($E$21+-0.01),0,($E$22-($E$21+-0.01))/(($E$20+-0.02)-($E$21+-0.01))*E75)</f>
        <v>0</v>
      </c>
      <c r="F129" s="122">
        <f>IF(($E$20+-0.01)&lt;=($E$21+-0.01),0,($E$22-($E$21+-0.01))/(($E$20+-0.01)-($E$21+-0.01))*E75)</f>
        <v>0</v>
      </c>
      <c r="G129" s="122">
        <f>IF(($E$20+-0.005)&lt;=($E$21+-0.01),0,($E$22-($E$21+-0.01))/(($E$20+-0.005)-($E$21+-0.01))*E75)</f>
        <v>0</v>
      </c>
      <c r="H129" s="122">
        <f>IF(($E$20+0)&lt;=($E$21+-0.01),0,($E$22-($E$21+-0.01))/(($E$20+0)-($E$21+-0.01))*E75)</f>
        <v>0</v>
      </c>
      <c r="I129" s="122">
        <f>IF(($E$20+0.005)&lt;=($E$21+-0.01),0,($E$22-($E$21+-0.01))/(($E$20+0.005)-($E$21+-0.01))*E75)</f>
        <v>0</v>
      </c>
      <c r="J129" s="122">
        <f>IF(($E$20+0.01)&lt;=($E$21+-0.01),0,($E$22-($E$21+-0.01))/(($E$20+0.01)-($E$21+-0.01))*E75)</f>
        <v>0</v>
      </c>
      <c r="K129" s="122">
        <f>IF(($E$20+0.02)&lt;=($E$21+-0.01),0,($E$22-($E$21+-0.01))/(($E$20+0.02)-($E$21+-0.01))*E75)</f>
        <v>0</v>
      </c>
    </row>
    <row r="130">
      <c r="D130" s="124">
        <f>$E$21+-0.005</f>
        <v>-0.005</v>
      </c>
      <c r="E130" s="122">
        <f>IF(($E$20+-0.02)&lt;=($E$21+-0.005),0,($E$22-($E$21+-0.005))/(($E$20+-0.02)-($E$21+-0.005))*E75)</f>
        <v>0</v>
      </c>
      <c r="F130" s="122">
        <f>IF(($E$20+-0.01)&lt;=($E$21+-0.005),0,($E$22-($E$21+-0.005))/(($E$20+-0.01)-($E$21+-0.005))*E75)</f>
        <v>0</v>
      </c>
      <c r="G130" s="122">
        <f>IF(($E$20+-0.005)&lt;=($E$21+-0.005),0,($E$22-($E$21+-0.005))/(($E$20+-0.005)-($E$21+-0.005))*E75)</f>
        <v>0</v>
      </c>
      <c r="H130" s="122">
        <f>IF(($E$20+0)&lt;=($E$21+-0.005),0,($E$22-($E$21+-0.005))/(($E$20+0)-($E$21+-0.005))*E75)</f>
        <v>0</v>
      </c>
      <c r="I130" s="122">
        <f>IF(($E$20+0.005)&lt;=($E$21+-0.005),0,($E$22-($E$21+-0.005))/(($E$20+0.005)-($E$21+-0.005))*E75)</f>
        <v>0</v>
      </c>
      <c r="J130" s="122">
        <f>IF(($E$20+0.01)&lt;=($E$21+-0.005),0,($E$22-($E$21+-0.005))/(($E$20+0.01)-($E$21+-0.005))*E75)</f>
        <v>0</v>
      </c>
      <c r="K130" s="122">
        <f>IF(($E$20+0.02)&lt;=($E$21+-0.005),0,($E$22-($E$21+-0.005))/(($E$20+0.02)-($E$21+-0.005))*E75)</f>
        <v>0</v>
      </c>
    </row>
    <row r="131">
      <c r="D131" s="124">
        <f>$E$21+0</f>
        <v>0</v>
      </c>
      <c r="E131" s="122">
        <f>IF(($E$20+-0.02)&lt;=($E$21+0),0,($E$22-($E$21+0))/(($E$20+-0.02)-($E$21+0))*E75)</f>
        <v>0</v>
      </c>
      <c r="F131" s="122">
        <f>IF(($E$20+-0.01)&lt;=($E$21+0),0,($E$22-($E$21+0))/(($E$20+-0.01)-($E$21+0))*E75)</f>
        <v>0</v>
      </c>
      <c r="G131" s="122">
        <f>IF(($E$20+-0.005)&lt;=($E$21+0),0,($E$22-($E$21+0))/(($E$20+-0.005)-($E$21+0))*E75)</f>
        <v>0</v>
      </c>
      <c r="H131" s="122">
        <f>IF(($E$20+0)&lt;=($E$21+0),0,($E$22-($E$21+0))/(($E$20+0)-($E$21+0))*E75)</f>
        <v>0</v>
      </c>
      <c r="I131" s="122">
        <f>IF(($E$20+0.005)&lt;=($E$21+0),0,($E$22-($E$21+0))/(($E$20+0.005)-($E$21+0))*E75)</f>
        <v>0</v>
      </c>
      <c r="J131" s="122">
        <f>IF(($E$20+0.01)&lt;=($E$21+0),0,($E$22-($E$21+0))/(($E$20+0.01)-($E$21+0))*E75)</f>
        <v>0</v>
      </c>
      <c r="K131" s="122">
        <f>IF(($E$20+0.02)&lt;=($E$21+0),0,($E$22-($E$21+0))/(($E$20+0.02)-($E$21+0))*E75)</f>
        <v>0</v>
      </c>
    </row>
    <row r="132">
      <c r="D132" s="124">
        <f>$E$21+0.005</f>
        <v>0.005</v>
      </c>
      <c r="E132" s="122">
        <f>IF(($E$20+-0.02)&lt;=($E$21+0.005),0,($E$22-($E$21+0.005))/(($E$20+-0.02)-($E$21+0.005))*E75)</f>
        <v>0</v>
      </c>
      <c r="F132" s="122">
        <f>IF(($E$20+-0.01)&lt;=($E$21+0.005),0,($E$22-($E$21+0.005))/(($E$20+-0.01)-($E$21+0.005))*E75)</f>
        <v>0</v>
      </c>
      <c r="G132" s="122">
        <f>IF(($E$20+-0.005)&lt;=($E$21+0.005),0,($E$22-($E$21+0.005))/(($E$20+-0.005)-($E$21+0.005))*E75)</f>
        <v>0</v>
      </c>
      <c r="H132" s="122">
        <f>IF(($E$20+0)&lt;=($E$21+0.005),0,($E$22-($E$21+0.005))/(($E$20+0)-($E$21+0.005))*E75)</f>
        <v>0</v>
      </c>
      <c r="I132" s="122">
        <f>IF(($E$20+0.005)&lt;=($E$21+0.005),0,($E$22-($E$21+0.005))/(($E$20+0.005)-($E$21+0.005))*E75)</f>
        <v>0</v>
      </c>
      <c r="J132" s="122">
        <f>IF(($E$20+0.01)&lt;=($E$21+0.005),0,($E$22-($E$21+0.005))/(($E$20+0.01)-($E$21+0.005))*E75)</f>
        <v>0</v>
      </c>
      <c r="K132" s="122">
        <f>IF(($E$20+0.02)&lt;=($E$21+0.005),0,($E$22-($E$21+0.005))/(($E$20+0.02)-($E$21+0.005))*E75)</f>
        <v>0</v>
      </c>
    </row>
    <row r="133">
      <c r="D133" s="124">
        <f>$E$21+0.01</f>
        <v>0.01</v>
      </c>
      <c r="E133" s="122">
        <f>IF(($E$20+-0.02)&lt;=($E$21+0.01),0,($E$22-($E$21+0.01))/(($E$20+-0.02)-($E$21+0.01))*E75)</f>
        <v>0</v>
      </c>
      <c r="F133" s="122">
        <f>IF(($E$20+-0.01)&lt;=($E$21+0.01),0,($E$22-($E$21+0.01))/(($E$20+-0.01)-($E$21+0.01))*E75)</f>
        <v>0</v>
      </c>
      <c r="G133" s="122">
        <f>IF(($E$20+-0.005)&lt;=($E$21+0.01),0,($E$22-($E$21+0.01))/(($E$20+-0.005)-($E$21+0.01))*E75)</f>
        <v>0</v>
      </c>
      <c r="H133" s="122">
        <f>IF(($E$20+0)&lt;=($E$21+0.01),0,($E$22-($E$21+0.01))/(($E$20+0)-($E$21+0.01))*E75)</f>
        <v>0</v>
      </c>
      <c r="I133" s="122">
        <f>IF(($E$20+0.005)&lt;=($E$21+0.01),0,($E$22-($E$21+0.01))/(($E$20+0.005)-($E$21+0.01))*E75)</f>
        <v>0</v>
      </c>
      <c r="J133" s="122">
        <f>IF(($E$20+0.01)&lt;=($E$21+0.01),0,($E$22-($E$21+0.01))/(($E$20+0.01)-($E$21+0.01))*E75)</f>
        <v>0</v>
      </c>
      <c r="K133" s="122">
        <f>IF(($E$20+0.02)&lt;=($E$21+0.01),0,($E$22-($E$21+0.01))/(($E$20+0.02)-($E$21+0.01))*E75)</f>
        <v>0</v>
      </c>
    </row>
    <row r="134">
      <c r="D134" s="124">
        <f>$E$21+0.015</f>
        <v>0.015</v>
      </c>
      <c r="E134" s="122">
        <f>IF(($E$20+-0.02)&lt;=($E$21+0.015),0,($E$22-($E$21+0.015))/(($E$20+-0.02)-($E$21+0.015))*E75)</f>
        <v>0</v>
      </c>
      <c r="F134" s="122">
        <f>IF(($E$20+-0.01)&lt;=($E$21+0.015),0,($E$22-($E$21+0.015))/(($E$20+-0.01)-($E$21+0.015))*E75)</f>
        <v>0</v>
      </c>
      <c r="G134" s="122">
        <f>IF(($E$20+-0.005)&lt;=($E$21+0.015),0,($E$22-($E$21+0.015))/(($E$20+-0.005)-($E$21+0.015))*E75)</f>
        <v>0</v>
      </c>
      <c r="H134" s="122">
        <f>IF(($E$20+0)&lt;=($E$21+0.015),0,($E$22-($E$21+0.015))/(($E$20+0)-($E$21+0.015))*E75)</f>
        <v>0</v>
      </c>
      <c r="I134" s="122">
        <f>IF(($E$20+0.005)&lt;=($E$21+0.015),0,($E$22-($E$21+0.015))/(($E$20+0.005)-($E$21+0.015))*E75)</f>
        <v>0</v>
      </c>
      <c r="J134" s="122">
        <f>IF(($E$20+0.01)&lt;=($E$21+0.015),0,($E$22-($E$21+0.015))/(($E$20+0.01)-($E$21+0.015))*E75)</f>
        <v>0</v>
      </c>
      <c r="K134" s="122">
        <f>IF(($E$20+0.02)&lt;=($E$21+0.015),0,($E$22-($E$21+0.015))/(($E$20+0.02)-($E$21+0.015))*E75)</f>
        <v>0</v>
      </c>
    </row>
    <row r="137">
      <c r="B137" s="7" t="n"/>
      <c r="C137" s="7" t="inlineStr">
        <is>
          <t>MÚLTIPLOS IMPLÍCITOS NO PREÇO ATUAL</t>
        </is>
      </c>
      <c r="D137" s="7" t="inlineStr">
        <is>
          <t>IMPLIED MULTIPLES AT CURRENT PRICE</t>
        </is>
      </c>
      <c r="E137" s="7" t="n"/>
      <c r="F137" s="7" t="n"/>
      <c r="G137" s="7" t="n"/>
      <c r="H137" s="7" t="n"/>
      <c r="I137" s="7" t="n"/>
      <c r="J137" s="7" t="n"/>
      <c r="K137" s="7" t="n"/>
      <c r="L137" s="7" t="n"/>
      <c r="M137" s="7" t="n"/>
      <c r="N137" s="7" t="n"/>
      <c r="O137" s="7" t="n"/>
      <c r="P137" s="7" t="n"/>
      <c r="Q137" s="7" t="n"/>
    </row>
    <row r="139">
      <c r="C139" s="11" t="inlineStr">
        <is>
          <t>P/E (x)</t>
        </is>
      </c>
      <c r="D139" s="12" t="inlineStr">
        <is>
          <t>Price to earnings</t>
        </is>
      </c>
      <c r="E139" s="120">
        <f>IFERROR($E$5/E36,0)</f>
        <v>0</v>
      </c>
      <c r="F139" s="120">
        <f>IFERROR($E$5/F36,0)</f>
        <v>0</v>
      </c>
      <c r="G139" s="120">
        <f>IFERROR($E$5/G36,0)</f>
        <v>0</v>
      </c>
      <c r="H139" s="120">
        <f>IFERROR($E$5/H36,0)</f>
        <v>0</v>
      </c>
      <c r="I139" s="120">
        <f>IFERROR($E$5/I36,0)</f>
        <v>0</v>
      </c>
      <c r="J139" s="120">
        <f>IFERROR($E$5/J36,0)</f>
        <v>0</v>
      </c>
      <c r="K139" s="120">
        <f>IFERROR($E$5/K36,0)</f>
        <v>0</v>
      </c>
      <c r="L139" s="120">
        <f>IFERROR($E$5/L36,0)</f>
        <v>0</v>
      </c>
      <c r="M139" s="120">
        <f>IFERROR($E$5/M36,0)</f>
        <v>0</v>
      </c>
      <c r="N139" s="120">
        <f>IFERROR($E$5/N36,0)</f>
        <v>0</v>
      </c>
      <c r="O139" s="120">
        <f>IFERROR($E$5/O36,0)</f>
        <v>0</v>
      </c>
    </row>
    <row r="140">
      <c r="C140" s="11" t="inlineStr">
        <is>
          <t>P/BV (x)</t>
        </is>
      </c>
      <c r="D140" s="12" t="inlineStr">
        <is>
          <t>Price to book</t>
        </is>
      </c>
      <c r="E140" s="120">
        <f>IFERROR($E$5/E37,0)</f>
        <v>0</v>
      </c>
      <c r="F140" s="120">
        <f>IFERROR($E$5/F37,0)</f>
        <v>0</v>
      </c>
      <c r="G140" s="120">
        <f>IFERROR($E$5/G37,0)</f>
        <v>0</v>
      </c>
      <c r="H140" s="120">
        <f>IFERROR($E$5/H37,0)</f>
        <v>0</v>
      </c>
      <c r="I140" s="120">
        <f>IFERROR($E$5/I37,0)</f>
        <v>0</v>
      </c>
      <c r="J140" s="120">
        <f>IFERROR($E$5/J37,0)</f>
        <v>0</v>
      </c>
      <c r="K140" s="120">
        <f>IFERROR($E$5/K37,0)</f>
        <v>0</v>
      </c>
      <c r="L140" s="120">
        <f>IFERROR($E$5/L37,0)</f>
        <v>0</v>
      </c>
      <c r="M140" s="120">
        <f>IFERROR($E$5/M37,0)</f>
        <v>0</v>
      </c>
      <c r="N140" s="120">
        <f>IFERROR($E$5/N37,0)</f>
        <v>0</v>
      </c>
      <c r="O140" s="120">
        <f>IFERROR($E$5/O37,0)</f>
        <v>0</v>
      </c>
      <c r="Q140" s="2" t="inlineStr">
        <is>
          <t>Compare o P/BV implícito com o justificado acima: a diferença resume a tese em um número só.</t>
        </is>
      </c>
    </row>
    <row r="141">
      <c r="C141" s="11" t="inlineStr">
        <is>
          <t>Dividend yield (%)</t>
        </is>
      </c>
      <c r="D141" s="12" t="inlineStr">
        <is>
          <t>Dividend yield</t>
        </is>
      </c>
      <c r="E141" s="107">
        <f>IFERROR(E38/$E$5,0)</f>
        <v>0</v>
      </c>
      <c r="F141" s="107">
        <f>IFERROR(F38/$E$5,0)</f>
        <v>0</v>
      </c>
      <c r="G141" s="107">
        <f>IFERROR(G38/$E$5,0)</f>
        <v>0</v>
      </c>
      <c r="H141" s="107">
        <f>IFERROR(H38/$E$5,0)</f>
        <v>0</v>
      </c>
      <c r="I141" s="107">
        <f>IFERROR(I38/$E$5,0)</f>
        <v>0</v>
      </c>
      <c r="J141" s="107">
        <f>IFERROR(J38/$E$5,0)</f>
        <v>0</v>
      </c>
      <c r="K141" s="107">
        <f>IFERROR(K38/$E$5,0)</f>
        <v>0</v>
      </c>
      <c r="L141" s="107">
        <f>IFERROR(L38/$E$5,0)</f>
        <v>0</v>
      </c>
      <c r="M141" s="107">
        <f>IFERROR(M38/$E$5,0)</f>
        <v>0</v>
      </c>
      <c r="N141" s="107">
        <f>IFERROR(N38/$E$5,0)</f>
        <v>0</v>
      </c>
      <c r="O141" s="107">
        <f>IFERROR(O38/$E$5,0)</f>
        <v>0</v>
      </c>
    </row>
    <row r="142">
      <c r="C142" s="11" t="inlineStr">
        <is>
          <t>Earnings yield (%)</t>
        </is>
      </c>
      <c r="D142" s="12" t="inlineStr">
        <is>
          <t>Earnings yield</t>
        </is>
      </c>
      <c r="E142" s="107">
        <f>IFERROR(E36/$E$5,0)</f>
        <v>0</v>
      </c>
      <c r="F142" s="107">
        <f>IFERROR(F36/$E$5,0)</f>
        <v>0</v>
      </c>
      <c r="G142" s="107">
        <f>IFERROR(G36/$E$5,0)</f>
        <v>0</v>
      </c>
      <c r="H142" s="107">
        <f>IFERROR(H36/$E$5,0)</f>
        <v>0</v>
      </c>
      <c r="I142" s="107">
        <f>IFERROR(I36/$E$5,0)</f>
        <v>0</v>
      </c>
      <c r="J142" s="107">
        <f>IFERROR(J36/$E$5,0)</f>
        <v>0</v>
      </c>
      <c r="K142" s="107">
        <f>IFERROR(K36/$E$5,0)</f>
        <v>0</v>
      </c>
      <c r="L142" s="107">
        <f>IFERROR(L36/$E$5,0)</f>
        <v>0</v>
      </c>
      <c r="M142" s="107">
        <f>IFERROR(M36/$E$5,0)</f>
        <v>0</v>
      </c>
      <c r="N142" s="107">
        <f>IFERROR(N36/$E$5,0)</f>
        <v>0</v>
      </c>
      <c r="O142" s="107">
        <f>IFERROR(O36/$E$5,0)</f>
        <v>0</v>
      </c>
    </row>
    <row r="143">
      <c r="C143" t="inlineStr">
        <is>
          <t>P/TBV (x)</t>
        </is>
      </c>
      <c r="D143" t="inlineStr">
        <is>
          <t>Price to tangible book</t>
        </is>
      </c>
      <c r="E143" s="120">
        <f>IFERROR($E$5/Model!I232,0)</f>
        <v>0</v>
      </c>
      <c r="F143" s="120">
        <f>IFERROR($E$5/Model!N232,0)</f>
        <v>0</v>
      </c>
      <c r="G143" s="120">
        <f>IFERROR($E$5/Model!S232,0)</f>
        <v>0</v>
      </c>
      <c r="H143" s="120">
        <f>IFERROR($E$5/Model!X232,0)</f>
        <v>0</v>
      </c>
      <c r="I143" s="120">
        <f>IFERROR($E$5/Model!AC232,0)</f>
        <v>0</v>
      </c>
      <c r="J143" s="120">
        <f>IFERROR($E$5/Model!AH232,0)</f>
        <v>0</v>
      </c>
      <c r="K143" s="120">
        <f>IFERROR($E$5/Model!AM232,0)</f>
        <v>0</v>
      </c>
      <c r="L143" s="120">
        <f>IFERROR($E$5/Model!AR232,0)</f>
        <v>0</v>
      </c>
      <c r="M143" s="120">
        <f>IFERROR($E$5/Model!AW232,0)</f>
        <v>0</v>
      </c>
      <c r="N143" s="120">
        <f>IFERROR($E$5/Model!BB232,0)</f>
        <v>0</v>
      </c>
      <c r="O143" s="120">
        <f>IFERROR($E$5/Model!BG232,0)</f>
        <v>0</v>
      </c>
    </row>
    <row r="144">
      <c r="C144" t="inlineStr">
        <is>
          <t>ROTCE do exercício</t>
        </is>
      </c>
      <c r="D144" t="inlineStr">
        <is>
          <t>Return on tangible common equity</t>
        </is>
      </c>
      <c r="E144" s="136">
        <f>Model!I191</f>
        <v>0</v>
      </c>
      <c r="F144" s="136">
        <f>Model!N191</f>
        <v>0</v>
      </c>
      <c r="G144" s="136">
        <f>Model!S191</f>
        <v>0</v>
      </c>
      <c r="H144" s="136">
        <f>Model!X191</f>
        <v>0</v>
      </c>
      <c r="I144" s="136">
        <f>Model!AC191</f>
        <v>0</v>
      </c>
      <c r="J144" s="136">
        <f>Model!AH191</f>
        <v>0</v>
      </c>
      <c r="K144" s="136">
        <f>Model!AM191</f>
        <v>0</v>
      </c>
      <c r="L144" s="136">
        <f>Model!AR191</f>
        <v>0</v>
      </c>
      <c r="M144" s="136">
        <f>Model!AW191</f>
        <v>0</v>
      </c>
      <c r="N144" s="136">
        <f>Model!BB191</f>
        <v>0</v>
      </c>
      <c r="O144" s="136">
        <f>Model!BG191</f>
        <v>0</v>
      </c>
    </row>
    <row r="145">
      <c r="C145" t="str">
        <f>"TBVPS ("&amp;Inputs!$E$200&amp;")"</f>
        <v>TBVPS (US$)</v>
      </c>
      <c r="D145" t="inlineStr">
        <is>
          <t>TBVPS</t>
        </is>
      </c>
      <c r="E145">
        <f>Model!I232</f>
        <v>0</v>
      </c>
      <c r="F145">
        <f>Model!N232</f>
        <v>0</v>
      </c>
      <c r="G145">
        <f>Model!S232</f>
        <v>0</v>
      </c>
      <c r="H145">
        <f>Model!X232</f>
        <v>0</v>
      </c>
      <c r="I145">
        <f>Model!AC232</f>
        <v>0</v>
      </c>
      <c r="J145">
        <f>Model!AH232</f>
        <v>0</v>
      </c>
      <c r="K145">
        <f>Model!AM232</f>
        <v>0</v>
      </c>
      <c r="L145">
        <f>Model!AR232</f>
        <v>0</v>
      </c>
      <c r="M145">
        <f>Model!AW232</f>
        <v>0</v>
      </c>
      <c r="N145">
        <f>Model!BB232</f>
        <v>0</v>
      </c>
      <c r="O145">
        <f>Model!BG232</f>
        <v>0</v>
      </c>
    </row>
  </sheetData>
  <printOptions horizontalCentered="1"/>
  <pageMargins left="0.75" right="0.75" top="1" bottom="1" header="0.5" footer="0.5"/>
  <pageSetup orientation="landscape"/>
</worksheet>
</file>

<file path=xl/worksheets/sheet5.xml><?xml version="1.0" encoding="utf-8"?>
<worksheet xmlns="http://schemas.openxmlformats.org/spreadsheetml/2006/main">
  <sheetPr>
    <tabColor rgb="FFA6A6A6"/>
    <outlinePr summaryBelow="1" summaryRight="1"/>
    <pageSetUpPr/>
  </sheetPr>
  <dimension ref="C2:F39"/>
  <sheetViews>
    <sheetView showGridLines="0" workbookViewId="0">
      <pane xSplit="2" ySplit="5" topLeftCell="C6" activePane="bottomRight" state="frozen"/>
      <selection pane="topRight" activeCell="A1" sqref="A1"/>
      <selection pane="bottomLeft" activeCell="A1" sqref="A1"/>
      <selection pane="bottomRight" activeCell="A1" sqref="A1"/>
    </sheetView>
  </sheetViews>
  <sheetFormatPr baseColWidth="8" defaultRowHeight="15"/>
  <cols>
    <col width="2.42578125" customWidth="1" min="1" max="1"/>
    <col width="5" customWidth="1" min="2" max="2"/>
    <col width="38" customWidth="1" min="3" max="3"/>
    <col width="62" customWidth="1" min="4" max="4"/>
    <col width="24" customWidth="1" min="5" max="5"/>
    <col width="96" customWidth="1" min="6" max="6"/>
  </cols>
  <sheetData>
    <row r="2" ht="18" customHeight="1">
      <c r="C2" s="75" t="inlineStr">
        <is>
          <t>GLOSSÁRIO DE INDICADORES — BANCOS DOS EUA</t>
        </is>
      </c>
    </row>
    <row r="3">
      <c r="C3" s="76" t="inlineStr">
        <is>
          <t>Cada indicador com a fórmula usada, onde ele está no modelo e o que ele diz.</t>
        </is>
      </c>
    </row>
    <row r="5">
      <c r="C5" s="125" t="inlineStr">
        <is>
          <t>Indicador</t>
        </is>
      </c>
      <c r="D5" s="125" t="inlineStr">
        <is>
          <t>Fórmula no modelo</t>
        </is>
      </c>
      <c r="E5" s="125" t="inlineStr">
        <is>
          <t>Onde está</t>
        </is>
      </c>
      <c r="F5" s="125" t="inlineStr">
        <is>
          <t>Leitura</t>
        </is>
      </c>
    </row>
    <row r="6">
      <c r="C6" s="29" t="inlineStr">
        <is>
          <t>Rentabilidade</t>
        </is>
      </c>
      <c r="D6" s="29" t="n"/>
      <c r="E6" s="29" t="n"/>
      <c r="F6" s="29" t="n"/>
    </row>
    <row r="7" ht="33.95" customHeight="1">
      <c r="C7" s="126" t="inlineStr">
        <is>
          <t>ROTCE — Return on Tangible Common Equity</t>
        </is>
      </c>
      <c r="D7" s="127" t="inlineStr">
        <is>
          <t>Lucro ao acionista comum ÷ PL tangível ordinário médio (PL ordinário – goodwill e intangíveis ex-MSR), anualizado</t>
        </is>
      </c>
      <c r="E7" s="128" t="inlineStr">
        <is>
          <t>Model, linha 191</t>
        </is>
      </c>
      <c r="F7" s="127" t="inlineStr">
        <is>
          <t>Métrica-chave dos bancos dos EUA: tira o efeito de aquisições e mostra o retorno sobre o capital que de fato absorve perdas.</t>
        </is>
      </c>
    </row>
    <row r="8" ht="33.95" customHeight="1">
      <c r="C8" s="126" t="inlineStr">
        <is>
          <t>ROE ordinário</t>
        </is>
      </c>
      <c r="D8" s="127" t="inlineStr">
        <is>
          <t>Lucro ao acionista comum ÷ PL ordinário médio (ex-preferenciais), anualizado</t>
        </is>
      </c>
      <c r="E8" s="128" t="inlineStr">
        <is>
          <t>Model, linha 190</t>
        </is>
      </c>
      <c r="F8" s="127" t="inlineStr">
        <is>
          <t>Como o ROE brasileiro, mas sem as preferenciais no denominador e com o dividendo preferencial fora do lucro.</t>
        </is>
      </c>
    </row>
    <row r="9" ht="33.95" customHeight="1">
      <c r="C9" s="126" t="inlineStr">
        <is>
          <t>ROA — Return on Assets</t>
        </is>
      </c>
      <c r="D9" s="127" t="inlineStr">
        <is>
          <t>Lucro líquido ÷ ativo total médio, anualizado</t>
        </is>
      </c>
      <c r="E9" s="128" t="inlineStr">
        <is>
          <t>Model, linha 192</t>
        </is>
      </c>
      <c r="F9" s="127" t="inlineStr">
        <is>
          <t>Rentabilidade antes do efeito da alavancagem.</t>
        </is>
      </c>
    </row>
    <row r="10" ht="33.95" customHeight="1">
      <c r="C10" s="126" t="inlineStr">
        <is>
          <t>NII e NIM</t>
        </is>
      </c>
      <c r="D10" s="127" t="inlineStr">
        <is>
          <t>Receita líquida de juros ÷ ativos rentáveis médios, anualizada</t>
        </is>
      </c>
      <c r="E10" s="128" t="inlineStr">
        <is>
          <t>Model, linha 193</t>
        </is>
      </c>
      <c r="F10" s="127" t="inlineStr">
        <is>
          <t>Nos EUA o resultado de trading fica fora do NII (em principal transactions). Bancos com mesa grande divulgam o NII ex-Markets, que é o número comparável.</t>
        </is>
      </c>
    </row>
    <row r="11" ht="33.95" customHeight="1">
      <c r="C11" s="126" t="inlineStr">
        <is>
          <t>NII ex-Markets</t>
        </is>
      </c>
      <c r="D11" s="127" t="inlineStr">
        <is>
          <t>NII total – NII da área de Markets (reportado no earnings supplement)</t>
        </is>
      </c>
      <c r="E11" s="128" t="inlineStr">
        <is>
          <t>Model, linha 147</t>
        </is>
      </c>
      <c r="F11" s="127" t="inlineStr">
        <is>
          <t>Isola a margem do balanço bancário (empréstimos e depósitos) da carteira de trading, cujo NII oscila com o funding das posições.</t>
        </is>
      </c>
    </row>
    <row r="12" ht="33.95" customHeight="1">
      <c r="C12" s="29" t="inlineStr">
        <is>
          <t>Eficiência</t>
        </is>
      </c>
      <c r="D12" s="29" t="n"/>
      <c r="E12" s="29" t="n"/>
      <c r="F12" s="29" t="n"/>
    </row>
    <row r="13">
      <c r="C13" s="126" t="inlineStr">
        <is>
          <t>Overhead ratio</t>
        </is>
      </c>
      <c r="D13" s="127" t="inlineStr">
        <is>
          <t>Despesas não-juros ÷ receita líquida total</t>
        </is>
      </c>
      <c r="E13" s="128" t="inlineStr">
        <is>
          <t>Model, linha 199</t>
        </is>
      </c>
      <c r="F13" s="127" t="inlineStr">
        <is>
          <t>Equivalente ao índice de eficiência brasileiro, com a receita líquida (NII + tarifas + trading + outras) no denominador.</t>
        </is>
      </c>
    </row>
    <row r="14" ht="33.95" customHeight="1">
      <c r="C14" s="126" t="inlineStr">
        <is>
          <t>Receita líquida total</t>
        </is>
      </c>
      <c r="D14" s="127" t="inlineStr">
        <is>
          <t>NII + tarifas e comissões + principal transactions + outras receitas não-juros</t>
        </is>
      </c>
      <c r="E14" s="128" t="inlineStr">
        <is>
          <t>Model, linha 149</t>
        </is>
      </c>
      <c r="F14" s="127" t="inlineStr">
        <is>
          <t>É o "total net revenue" do release.</t>
        </is>
      </c>
    </row>
    <row r="15" ht="33.95" customHeight="1">
      <c r="C15" s="29" t="inlineStr">
        <is>
          <t>Qualidade de crédito (CECL)</t>
        </is>
      </c>
      <c r="D15" s="29" t="n"/>
      <c r="E15" s="29" t="n"/>
      <c r="F15" s="29" t="n"/>
    </row>
    <row r="16">
      <c r="C16" s="126" t="inlineStr">
        <is>
          <t>CECL</t>
        </is>
      </c>
      <c r="D16" s="127" t="inlineStr">
        <is>
          <t>Perda esperada para toda a vida do empréstimo, reconhecida na originação (ASC 326)</t>
        </is>
      </c>
      <c r="E16" s="128" t="inlineStr">
        <is>
          <t>Model, linha 166</t>
        </is>
      </c>
      <c r="F16" s="127" t="inlineStr">
        <is>
          <t>Não há estágios como na Resolução 4.966: a provisão cobre a vida inteira desde o início.</t>
        </is>
      </c>
    </row>
    <row r="17" ht="33.95" customHeight="1">
      <c r="C17" s="126" t="inlineStr">
        <is>
          <t>Nonaccrual</t>
        </is>
      </c>
      <c r="D17" s="127" t="inlineStr">
        <is>
          <t>Empréstimos que deixaram de reconhecer juros ÷ empréstimos</t>
        </is>
      </c>
      <c r="E17" s="128" t="inlineStr">
        <is>
          <t>Model, linha 212</t>
        </is>
      </c>
      <c r="F17" s="127" t="inlineStr">
        <is>
          <t>Equivale ao NPL. Cartão de crédito normalmente não entra em nonaccrual: é baixado com 180 dias de atraso.</t>
        </is>
      </c>
    </row>
    <row r="18" ht="33.95" customHeight="1">
      <c r="C18" s="126" t="inlineStr">
        <is>
          <t>Vencidos 30-89 e 90+ ainda acumulando</t>
        </is>
      </c>
      <c r="D18" s="127" t="inlineStr">
        <is>
          <t>Saldos vencidos que ainda reconhecem juros ÷ empréstimos</t>
        </is>
      </c>
      <c r="E18" s="128" t="inlineStr">
        <is>
          <t>Model, linhas 210 e 211</t>
        </is>
      </c>
      <c r="F18" s="127" t="inlineStr">
        <is>
          <t>Indicadores antecedentes, usados sobretudo em cartão.</t>
        </is>
      </c>
    </row>
    <row r="19" ht="33.95" customHeight="1">
      <c r="C19" s="126" t="inlineStr">
        <is>
          <t>Net charge-offs (NCO)</t>
        </is>
      </c>
      <c r="D19" s="127" t="inlineStr">
        <is>
          <t>Baixas – recuperações no período ÷ empréstimos médios, anualizado</t>
        </is>
      </c>
      <c r="E19" s="128" t="inlineStr">
        <is>
          <t>Model, linha 219</t>
        </is>
      </c>
      <c r="F19" s="127" t="inlineStr">
        <is>
          <t>Perda efetivamente realizada. Provisão acima do NCO = reserve build; abaixo = reserve release.</t>
        </is>
      </c>
    </row>
    <row r="20" ht="33.95" customHeight="1">
      <c r="C20" s="126" t="inlineStr">
        <is>
          <t>Custo do crédito</t>
        </is>
      </c>
      <c r="D20" s="127" t="inlineStr">
        <is>
          <t>Provisão para perdas de crédito ÷ empréstimos médios, anualizado</t>
        </is>
      </c>
      <c r="E20" s="128" t="inlineStr">
        <is>
          <t>Model, linha 218</t>
        </is>
      </c>
      <c r="F20" s="127" t="inlineStr">
        <is>
          <t>Inclui a provisão de compromissos e de títulos quando a companhia divulga só o total.</t>
        </is>
      </c>
    </row>
    <row r="21" ht="33.95" customHeight="1">
      <c r="C21" s="126" t="inlineStr">
        <is>
          <t>Cobertura</t>
        </is>
      </c>
      <c r="D21" s="127" t="inlineStr">
        <is>
          <t>ACL ÷ nonaccrual; ACL ÷ empréstimos</t>
        </is>
      </c>
      <c r="E21" s="128" t="inlineStr">
        <is>
          <t>Model, linhas 214 e 217</t>
        </is>
      </c>
      <c r="F21" s="127" t="inlineStr">
        <is>
          <t>Colchão de provisão frente à carteira problemática e ao total da carteira.</t>
        </is>
      </c>
    </row>
    <row r="22" ht="33.95" customHeight="1">
      <c r="C22" s="29" t="inlineStr">
        <is>
          <t>Capital e liquidez (Basileia III dos EUA)</t>
        </is>
      </c>
      <c r="D22" s="29" t="n"/>
      <c r="E22" s="29" t="n"/>
      <c r="F22" s="29" t="n"/>
    </row>
    <row r="23" ht="33.95" customHeight="1">
      <c r="C23" s="126" t="inlineStr">
        <is>
          <t>CET1 — Standardized e Advanced</t>
        </is>
      </c>
      <c r="D23" s="127" t="inlineStr">
        <is>
          <t>Capital principal ÷ RWA pelas duas abordagens; vale a mais restritiva</t>
        </is>
      </c>
      <c r="E23" s="128" t="inlineStr">
        <is>
          <t>Model, linhas 182 e 183</t>
        </is>
      </c>
      <c r="F23" s="127" t="inlineStr">
        <is>
          <t>Mínimo = 4,5% + stress capital buffer (SCB) + sobretaxa G-SIB. É a restrição que define recompras.</t>
        </is>
      </c>
    </row>
    <row r="24">
      <c r="C24" s="126" t="inlineStr">
        <is>
          <t>SLR — Supplementary leverage ratio</t>
        </is>
      </c>
      <c r="D24" s="127" t="inlineStr">
        <is>
          <t>Tier 1 ÷ exposição total (inclui fora do balanço)</t>
        </is>
      </c>
      <c r="E24" s="128" t="inlineStr">
        <is>
          <t>Model, linha 184</t>
        </is>
      </c>
      <c r="F24" s="127" t="inlineStr">
        <is>
          <t>Restrição de alavancagem dos grandes bancos (mínimo de 3% + buffer de 2% para G-SIBs).</t>
        </is>
      </c>
    </row>
    <row r="25" ht="33.95" customHeight="1">
      <c r="C25" s="126" t="inlineStr">
        <is>
          <t>LCR</t>
        </is>
      </c>
      <c r="D25" s="127" t="inlineStr">
        <is>
          <t>Ativos líquidos de alta qualidade ÷ saídas de caixa em 30 dias de estresse</t>
        </is>
      </c>
      <c r="E25" s="128" t="inlineStr">
        <is>
          <t>Model, linha 186</t>
        </is>
      </c>
      <c r="F25" s="127" t="inlineStr">
        <is>
          <t>Mínimo de 100%.</t>
        </is>
      </c>
    </row>
    <row r="26" ht="33.95" customHeight="1">
      <c r="C26" s="29" t="inlineStr">
        <is>
          <t>Valuation</t>
        </is>
      </c>
      <c r="D26" s="29" t="n"/>
      <c r="E26" s="29" t="n"/>
      <c r="F26" s="29" t="n"/>
    </row>
    <row r="27" ht="33.95" customHeight="1">
      <c r="C27" s="126" t="inlineStr">
        <is>
          <t>Ke — custo do capital próprio</t>
        </is>
      </c>
      <c r="D27" s="127" t="inlineStr">
        <is>
          <t>Treasury 10 anos + beta × prêmio de risco de mercado dos EUA</t>
        </is>
      </c>
      <c r="E27" s="128" t="inlineStr">
        <is>
          <t>Inputs, premissas de valuation</t>
        </is>
      </c>
      <c r="F27" s="127" t="inlineStr">
        <is>
          <t>Em banco não se usa WACC: a dívida é matéria-prima do negócio.</t>
        </is>
      </c>
    </row>
    <row r="28" ht="33.95" customHeight="1">
      <c r="C28" s="126" t="inlineStr">
        <is>
          <t>Lucro residual (Excess Return)</t>
        </is>
      </c>
      <c r="D28" s="127" t="inlineStr">
        <is>
          <t>Lucro ao acionista comum – Ke × PL ordinário inicial</t>
        </is>
      </c>
      <c r="E28" s="128" t="inlineStr">
        <is>
          <t>Valuation, Método 1</t>
        </is>
      </c>
      <c r="F28" s="127" t="inlineStr">
        <is>
          <t>Parcela do lucro acima da remuneração exigida pelo capital ordinário.</t>
        </is>
      </c>
    </row>
    <row r="29">
      <c r="C29" s="126" t="inlineStr">
        <is>
          <t>DDM com retorno total</t>
        </is>
      </c>
      <c r="D29" s="127" t="inlineStr">
        <is>
          <t>Dividendos ordinários + recompras, descontados a Ke</t>
        </is>
      </c>
      <c r="E29" s="128" t="inlineStr">
        <is>
          <t>Valuation, Método 2</t>
        </is>
      </c>
      <c r="F29" s="127" t="inlineStr">
        <is>
          <t>Bancos dos EUA devolvem a maior parte do capital via recompra. Só dividendos subestimaria o valor.</t>
        </is>
      </c>
    </row>
    <row r="30" ht="33.95" customHeight="1">
      <c r="C30" s="126" t="inlineStr">
        <is>
          <t>P/TBV e P/BV justificado</t>
        </is>
      </c>
      <c r="D30" s="127" t="inlineStr">
        <is>
          <t>(ROTCE sustentável – g) ÷ (Ke – g)</t>
        </is>
      </c>
      <c r="E30" s="128" t="inlineStr">
        <is>
          <t>Valuation, Métodos 3 e 4</t>
        </is>
      </c>
      <c r="F30" s="127" t="inlineStr">
        <is>
          <t>O mercado precifica bancos dos EUA por P/TBV contra ROTCE.</t>
        </is>
      </c>
    </row>
    <row r="31" ht="33.95" customHeight="1">
      <c r="C31" s="126" t="n"/>
      <c r="D31" s="127" t="n"/>
      <c r="E31" s="128" t="n"/>
      <c r="F31" s="127" t="n"/>
    </row>
    <row r="32" ht="33.95" customHeight="1">
      <c r="C32" s="126" t="n"/>
      <c r="D32" s="127" t="n"/>
      <c r="E32" s="128" t="n"/>
      <c r="F32" s="127" t="n"/>
    </row>
    <row r="33" ht="33.95" customHeight="1">
      <c r="C33" s="126" t="n"/>
      <c r="D33" s="127" t="n"/>
      <c r="E33" s="128" t="n"/>
      <c r="F33" s="127" t="n"/>
    </row>
    <row r="34"/>
    <row r="35"/>
    <row r="36"/>
    <row r="37"/>
    <row r="38"/>
    <row r="39"/>
  </sheetData>
  <printOptions horizontalCentered="1"/>
  <pageMargins left="0.75" right="0.75" top="1" bottom="1" header="0.5" footer="0.5"/>
  <pageSetup orientation="landscape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2026-09-24T10:03:02Z</dcterms:created>
  <dcterms:modified xmlns:dcterms="http://purl.org/dc/terms/" xmlns:xsi="http://www.w3.org/2001/XMLSchema-instance" xsi:type="dcterms:W3CDTF">2026-10-16T11:02:58Z</dcterms:modified>
  <cp:lastModifiedBy>Lucas Nascimento</cp:lastModifiedBy>
</cp:coreProperties>
</file>