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500" firstSheet="0" activeTab="1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Inputs (2)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  <sheet xmlns:r="http://schemas.openxmlformats.org/officeDocument/2006/relationships" name="Control" sheetId="5" state="visible" r:id="rId5"/>
  </sheets>
  <definedNames>
    <definedName name="aaa" hidden="1">{#N/A,#N/A,FALSE,"Aging Summary";#N/A,#N/A,FALSE,"Ratio Analysis";#N/A,#N/A,FALSE,"Test 120 Day Accts";#N/A,#N/A,FALSE,"Tickmarks"}</definedName>
    <definedName name="AAAA" hidden="1">{#N/A,#N/A,FALSE,"Aging Summary";#N/A,#N/A,FALSE,"Ratio Analysis";#N/A,#N/A,FALSE,"Test 120 Day Accts";#N/A,#N/A,FALSE,"Tickmarks"}</definedName>
    <definedName name="BalType" hidden="1">TRUE()</definedName>
    <definedName name="beta_observed">Valuation!$D$93</definedName>
    <definedName name="GrpAcct1" hidden="1">"5611"</definedName>
    <definedName name="GrpAcct2" hidden="1">"5612"</definedName>
    <definedName name="GrpLevel" hidden="1">2</definedName>
    <definedName name="last_close">Valuation!$G$7</definedName>
    <definedName name="NumofGrpAccts" hidden="1">2</definedName>
    <definedName name="nvnvnvnv" hidden="1">{#N/A,#N/A,FALSE,"Aging Summary";#N/A,#N/A,FALSE,"Ratio Analysis";#N/A,#N/A,FALSE,"Test 120 Day Accts";#N/A,#N/A,FALSE,"Tickmarks"}</definedName>
    <definedName name="RowLevel" hidden="1">1</definedName>
    <definedName name="TBdbName" hidden="1">"88D5BF544BE111D2B8C5006097494125.mdb"</definedName>
    <definedName name="TextRefCopyRangeCount" hidden="1">68</definedName>
    <definedName name="ticker">Valuation!$D$7</definedName>
    <definedName name="Useful_Life_of_Depreciable_PP_E">"PPElife"</definedName>
    <definedName name="wrn.Aging._.and._.Trend._.Analysis." hidden="1">{#N/A,#N/A,FALSE,"Aging Summary";#N/A,#N/A,FALSE,"Ratio Analysis";#N/A,#N/A,FALSE,"Test 120 Day Accts";#N/A,#N/A,FALSE,"Tickmarks"}</definedName>
    <definedName name="wrn.EXPENSES._.98._.US." hidden="1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9._.REAL." hidden="1">{"Reais 99 MKT",#N/A,TRUE,"MKT";"Reais 99 BUSS",#N/A,TRUE,"BusOper";"Reais 99 TECH",#N/A,TRUE,"Tech";"Reais 99 LOCAL",#N/A,TRUE,"LocalProg";"Reais 99 GA",#N/A,TRUE,"G&amp;A";"Reais 99 CONSOL",#N/A,TRUE,"Consolidate"}</definedName>
    <definedName name="wrn.FINANCIAL._.MONTH." hidden="1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S." hidden="1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US._.MONTH." hidden="1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S." hidden="1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grafico." hidden="1">{#N/A,#N/A,FALSE,"Graficos    ( 9 )"}</definedName>
    <definedName name="wrn.WORK._.PAPER." hidden="1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_.99." hidden="1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XRefColumnsCount" hidden="1">2</definedName>
    <definedName name="XRefCopyRangeCount" hidden="1">5</definedName>
    <definedName name="XRefPasteRangeCount" hidden="1">35</definedName>
    <definedName name="beta_observed" localSheetId="1">#REF!</definedName>
    <definedName name="ticker" localSheetId="1">#REF!</definedName>
    <definedName name="costdebtfirm" localSheetId="3">Valuation!$D$86</definedName>
    <definedName name="costequity" localSheetId="3">Valuation!$D$94</definedName>
    <definedName name="debt" localSheetId="3">Valuation!$G$88</definedName>
    <definedName name="debt_weight" localSheetId="3">Valuation!$J$88</definedName>
    <definedName name="g" localSheetId="3">Valuation!$D$63</definedName>
    <definedName name="market_equity" localSheetId="3">Valuation!$G$89</definedName>
    <definedName name="noplat_t1" localSheetId="3">Valuation!$D$65</definedName>
    <definedName name="relevered_beta" localSheetId="3">Valuation!$M$102</definedName>
    <definedName name="risk_free_rate" localSheetId="3">Valuation!$D$91</definedName>
    <definedName name="risk_premium" localSheetId="3">Valuation!$D$92</definedName>
    <definedName name="ronic" localSheetId="3">Valuation!$D$64</definedName>
    <definedName name="stub_year_fraction" localSheetId="3">Valuation!$D$11</definedName>
    <definedName name="totalcap" localSheetId="3">Valuation!$G$90</definedName>
    <definedName name="wacc" localSheetId="3">Valuation!$D$12</definedName>
  </definedNames>
  <calcPr calcId="191029" fullCalcOnLoad="1"/>
</workbook>
</file>

<file path=xl/styles.xml><?xml version="1.0" encoding="utf-8"?>
<styleSheet xmlns="http://schemas.openxmlformats.org/spreadsheetml/2006/main">
  <numFmts count="38">
    <numFmt numFmtId="164" formatCode="#,##0_ ;[Red]\-#,##0\ "/>
    <numFmt numFmtId="165" formatCode="#,##0_);[Red]\(#,##0\)"/>
    <numFmt numFmtId="166" formatCode="#,##0.0_);[Red]\(#,##0.0\)"/>
    <numFmt numFmtId="167" formatCode="#,##0.0_ ;[Red]\-#,##0.0\ "/>
    <numFmt numFmtId="168" formatCode="[$-409]d\-mmm;@"/>
    <numFmt numFmtId="169" formatCode="[$-409]d\-mmm"/>
    <numFmt numFmtId="170" formatCode="[$-416]d\-mmm"/>
    <numFmt numFmtId="171" formatCode="0.0%"/>
    <numFmt numFmtId="172" formatCode="#,##0.0;[Red]#,##0.0"/>
    <numFmt numFmtId="173" formatCode="#,##0.00_);[Red]\(#,##0.00\)"/>
    <numFmt numFmtId="174" formatCode="0.0\x"/>
    <numFmt numFmtId="175" formatCode="0.0"/>
    <numFmt numFmtId="176" formatCode="[$-409]d\-mmm\-yy;@"/>
    <numFmt numFmtId="177" formatCode="[$BRL]\ #,##0.00_);[Red]\([$BRL]\ #,##0.00\)"/>
    <numFmt numFmtId="178" formatCode="#,##0.0_);\(#,##0.0\)"/>
    <numFmt numFmtId="179" formatCode="#,##0.000_);\(#,##0.000\)"/>
    <numFmt numFmtId="180" formatCode="&quot;R$ &quot;#,##0.00"/>
    <numFmt numFmtId="181" formatCode="#,##0.0\x"/>
    <numFmt numFmtId="182" formatCode="\$#,##0.00_);&quot;($&quot;#,##0.00\)"/>
    <numFmt numFmtId="183" formatCode="#,##0.000_);[Red]\(#,##0.000\)"/>
    <numFmt numFmtId="184" formatCode="\$#,##0.00_);[Red]&quot;($&quot;#,##0.00\)"/>
    <numFmt numFmtId="185" formatCode="\$#,##0.0_);&quot;($&quot;#,##0.0\)"/>
    <numFmt numFmtId="186" formatCode="#,##0_);\(#,##0\)"/>
    <numFmt numFmtId="187" formatCode="0.0%;\(0.0%\)"/>
    <numFmt numFmtId="188" formatCode="0.000"/>
    <numFmt numFmtId="189" formatCode="#,##0.00_);\(#,##0.00\)"/>
    <numFmt numFmtId="190" formatCode="#,##0.0"/>
    <numFmt numFmtId="191" formatCode="0.00\x"/>
    <numFmt numFmtId="192" formatCode="0.0&quot;x&quot;"/>
    <numFmt numFmtId="193" formatCode="#,##0.0;\(#,##0.0\)"/>
    <numFmt numFmtId="194" formatCode="_(* #,##0.00_);_(* \(#,##0.00\);_(* \-??_);_(@_)"/>
    <numFmt numFmtId="195" formatCode="_(* #,##0_);_(* \(#,##0\);_(* \-_);_(@_)"/>
    <numFmt numFmtId="196" formatCode="_(\$* #,##0.00_);_(\$* \(#,##0.00\);_(\$* \-??_);_(@_)"/>
    <numFmt numFmtId="197" formatCode="_(\$* #,##0_);_(\$* \(#,##0\);_(\$* \-_);_(@_)"/>
    <numFmt numFmtId="198" formatCode="m/d/yyyy"/>
    <numFmt numFmtId="199" formatCode="0_);\(0\)"/>
    <numFmt numFmtId="200" formatCode="#,##0.0;(#,##0.0)"/>
    <numFmt numFmtId="201" formatCode="dd/mm/yyyy"/>
  </numFmts>
  <fonts count="26">
    <font>
      <name val="Arial"/>
      <family val="2"/>
      <sz val="10"/>
    </font>
    <font>
      <name val="Arial"/>
      <charset val="1"/>
      <sz val="10"/>
    </font>
    <font>
      <name val="Arial"/>
      <charset val="1"/>
      <b val="1"/>
      <sz val="8"/>
    </font>
    <font>
      <name val="Aptos Narrow"/>
      <charset val="1"/>
      <color theme="1"/>
      <sz val="11"/>
    </font>
    <font>
      <name val="Verdana"/>
      <charset val="1"/>
      <color theme="1"/>
      <sz val="10"/>
    </font>
    <font>
      <name val="Arial"/>
      <charset val="1"/>
      <sz val="8"/>
    </font>
    <font>
      <name val="Arial"/>
      <charset val="1"/>
      <b val="1"/>
      <color rgb="FF333333"/>
      <sz val="10"/>
    </font>
    <font>
      <name val="Calibri"/>
      <charset val="1"/>
      <color rgb="FF000000"/>
      <sz val="11"/>
    </font>
    <font>
      <name val="Cambria"/>
      <charset val="1"/>
      <b val="1"/>
      <color rgb="FFFFFFFF"/>
      <sz val="11"/>
    </font>
    <font>
      <name val="Cambria"/>
      <charset val="1"/>
      <b val="1"/>
      <color rgb="FF17365D"/>
      <sz val="11"/>
    </font>
    <font>
      <name val="Verdana"/>
      <charset val="1"/>
      <color rgb="FF0000FF"/>
      <sz val="10"/>
    </font>
    <font>
      <name val="Verdana"/>
      <charset val="1"/>
      <b val="1"/>
      <color theme="1"/>
      <sz val="10"/>
    </font>
    <font>
      <name val="Verdana"/>
      <charset val="1"/>
      <b val="1"/>
      <color rgb="FFFFFFFF"/>
      <sz val="10"/>
    </font>
    <font>
      <name val="Verdana"/>
      <charset val="1"/>
      <i val="1"/>
      <color theme="1"/>
      <sz val="10"/>
    </font>
    <font>
      <name val="Verdana"/>
      <charset val="1"/>
      <sz val="10"/>
    </font>
    <font>
      <name val="Verdana"/>
      <charset val="1"/>
      <b val="1"/>
      <color theme="0"/>
      <sz val="10"/>
    </font>
    <font>
      <name val="Verdana"/>
      <charset val="1"/>
      <b val="1"/>
      <sz val="10"/>
    </font>
    <font>
      <name val="Verdana"/>
      <charset val="1"/>
      <b val="1"/>
      <color theme="0" tint="-0.0499893185216834"/>
      <sz val="10"/>
    </font>
    <font>
      <name val="Verdana"/>
      <charset val="1"/>
      <b val="1"/>
      <color rgb="FF333333"/>
      <sz val="10"/>
    </font>
    <font>
      <name val="Verdana"/>
      <charset val="1"/>
      <b val="1"/>
      <color rgb="FF0000FF"/>
      <sz val="10"/>
    </font>
    <font>
      <name val="Verdana"/>
      <charset val="1"/>
      <color rgb="FF008000"/>
      <sz val="10"/>
    </font>
    <font>
      <name val="Cambria"/>
      <charset val="1"/>
      <b val="1"/>
      <color rgb="FFFFFFFF"/>
      <sz val="14"/>
    </font>
    <font>
      <name val="Cambria"/>
      <charset val="1"/>
      <color rgb="FF0000FF"/>
      <sz val="11"/>
    </font>
    <font>
      <name val="Verdana"/>
      <family val="2"/>
      <b val="1"/>
      <color rgb="FFFFFFFF"/>
      <sz val="10"/>
    </font>
    <font>
      <name val="Verdana"/>
      <family val="2"/>
      <b val="1"/>
      <color theme="1"/>
      <sz val="10"/>
    </font>
    <font>
      <name val="Verdana"/>
      <b val="1"/>
      <sz val="10"/>
    </font>
  </fonts>
  <fills count="18">
    <fill>
      <patternFill/>
    </fill>
    <fill>
      <patternFill patternType="gray125"/>
    </fill>
    <fill>
      <patternFill patternType="solid">
        <fgColor rgb="FFC0C0C0"/>
        <bgColor rgb="FFD8D8D8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E2F0D9"/>
      </patternFill>
    </fill>
    <fill>
      <patternFill patternType="solid">
        <fgColor rgb="FFE2F0D9"/>
        <bgColor rgb="FFD9EAF7"/>
      </patternFill>
    </fill>
    <fill>
      <patternFill patternType="solid">
        <fgColor rgb="FFFFFFCC"/>
        <bgColor rgb="FFFFF2CC"/>
      </patternFill>
    </fill>
    <fill>
      <patternFill patternType="solid">
        <fgColor rgb="FFD9D9D9"/>
        <bgColor rgb="FFD8D8D8"/>
      </patternFill>
    </fill>
    <fill>
      <patternFill patternType="solid">
        <fgColor rgb="FFD8D8D8"/>
        <bgColor rgb="FFD9D9D9"/>
      </patternFill>
    </fill>
    <fill>
      <patternFill patternType="solid">
        <fgColor rgb="FF00B050"/>
        <bgColor rgb="FF008080"/>
      </patternFill>
    </fill>
    <fill>
      <patternFill patternType="solid">
        <fgColor theme="0"/>
        <bgColor rgb="FFF2F2F2"/>
      </patternFill>
    </fill>
    <fill>
      <patternFill patternType="solid">
        <fgColor theme="4" tint="0.3998840296639912"/>
        <bgColor rgb="FF00CCFF"/>
      </patternFill>
    </fill>
    <fill>
      <patternFill patternType="solid">
        <fgColor theme="0" tint="-0.0499893185216834"/>
        <bgColor rgb="FFE2F0D9"/>
      </patternFill>
    </fill>
    <fill>
      <patternFill patternType="solid">
        <fgColor rgb="FFFFF2CC"/>
        <bgColor rgb="FFFFFFCC"/>
      </patternFill>
    </fill>
    <fill>
      <patternFill patternType="solid">
        <fgColor rgb="FF4472C4"/>
        <bgColor rgb="FF666699"/>
      </patternFill>
    </fill>
    <fill>
      <patternFill patternType="solid">
        <fgColor rgb="FF00B050"/>
        <bgColor rgb="FF00B050"/>
      </patternFill>
    </fill>
    <fill>
      <patternFill patternType="solid">
        <fgColor rgb="FFD9D9D9"/>
        <bgColor rgb="FFD9D9D9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/>
      <bottom style="medium">
        <color auto="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hair">
        <color rgb="FF0000FF"/>
      </left>
      <right style="hair">
        <color rgb="FF0000FF"/>
      </right>
      <top style="thin">
        <color auto="1"/>
      </top>
      <bottom style="hair">
        <color rgb="FF0000FF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thin">
        <color rgb="FFFFFF00"/>
      </right>
      <top/>
      <bottom style="thin">
        <color rgb="FFFFFF00"/>
      </bottom>
      <diagonal/>
    </border>
    <border>
      <left style="thin">
        <color rgb="FFFFFF00"/>
      </left>
      <right/>
      <top/>
      <bottom style="thin">
        <color rgb="FFFFFF00"/>
      </bottom>
      <diagonal/>
    </border>
    <border>
      <left/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FF00"/>
      </left>
      <right/>
      <top style="thin">
        <color rgb="FFFFFF00"/>
      </top>
      <bottom style="thin">
        <color rgb="FFFFFF00"/>
      </bottom>
      <diagonal/>
    </border>
    <border>
      <left/>
      <right style="thin">
        <color rgb="FFFFFF00"/>
      </right>
      <top/>
      <bottom style="thin">
        <color auto="1"/>
      </bottom>
      <diagonal/>
    </border>
    <border>
      <left style="thin">
        <color rgb="FFFFFF00"/>
      </left>
      <right/>
      <top/>
      <bottom style="thin">
        <color auto="1"/>
      </bottom>
      <diagonal/>
    </border>
    <border>
      <left style="medium">
        <color rgb="FF00B050"/>
      </left>
      <right style="thin">
        <color auto="1"/>
      </right>
      <top style="medium">
        <color rgb="FF00B050"/>
      </top>
      <bottom style="medium">
        <color rgb="FF00B050"/>
      </bottom>
      <diagonal/>
    </border>
    <border>
      <left/>
      <right style="thin">
        <color auto="1"/>
      </right>
      <top style="thin">
        <color rgb="FFFFFF00"/>
      </top>
      <bottom style="thin">
        <color rgb="FFFFFF00"/>
      </bottom>
      <diagonal/>
    </border>
    <border>
      <left/>
      <right style="thin">
        <color auto="1"/>
      </right>
      <top style="thin">
        <color rgb="FFFFFF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5">
    <xf numFmtId="0" fontId="0" fillId="0" borderId="0"/>
    <xf numFmtId="194" fontId="1" fillId="0" borderId="0"/>
    <xf numFmtId="194" fontId="1" fillId="0" borderId="0"/>
    <xf numFmtId="194" fontId="1" fillId="0" borderId="0"/>
    <xf numFmtId="194" fontId="1" fillId="0" borderId="0"/>
    <xf numFmtId="195" fontId="1" fillId="0" borderId="0"/>
    <xf numFmtId="195" fontId="1" fillId="0" borderId="0"/>
    <xf numFmtId="195" fontId="1" fillId="0" borderId="0"/>
    <xf numFmtId="195" fontId="1" fillId="0" borderId="0"/>
    <xf numFmtId="196" fontId="1" fillId="0" borderId="0"/>
    <xf numFmtId="196" fontId="1" fillId="0" borderId="0"/>
    <xf numFmtId="196" fontId="1" fillId="0" borderId="0"/>
    <xf numFmtId="196" fontId="1" fillId="0" borderId="0"/>
    <xf numFmtId="196" fontId="1" fillId="0" borderId="0"/>
    <xf numFmtId="197" fontId="1" fillId="0" borderId="0"/>
    <xf numFmtId="197" fontId="1" fillId="0" borderId="0"/>
    <xf numFmtId="197" fontId="1" fillId="0" borderId="0"/>
    <xf numFmtId="197" fontId="1" fillId="0" borderId="0"/>
    <xf numFmtId="198" fontId="2" fillId="0" borderId="1"/>
    <xf numFmtId="0" fontId="1" fillId="0" borderId="0"/>
    <xf numFmtId="0" fontId="1" fillId="0" borderId="0"/>
    <xf numFmtId="0" fontId="3" fillId="0" borderId="0"/>
    <xf numFmtId="0" fontId="1" fillId="0" borderId="0"/>
    <xf numFmtId="0" fontId="4" fillId="0" borderId="0"/>
    <xf numFmtId="0" fontId="3" fillId="0" borderId="0"/>
    <xf numFmtId="0" fontId="1" fillId="0" borderId="0"/>
    <xf numFmtId="0" fontId="1" fillId="0" borderId="0"/>
    <xf numFmtId="199" fontId="5" fillId="0" borderId="0"/>
    <xf numFmtId="0" fontId="6" fillId="2" borderId="2"/>
    <xf numFmtId="9" fontId="1" fillId="0" borderId="0"/>
    <xf numFmtId="9" fontId="3" fillId="0" borderId="0"/>
    <xf numFmtId="9" fontId="1" fillId="0" borderId="0"/>
    <xf numFmtId="9" fontId="1" fillId="0" borderId="0"/>
    <xf numFmtId="9" fontId="4" fillId="0" borderId="0"/>
    <xf numFmtId="194" fontId="7" fillId="0" borderId="0"/>
  </cellStyleXfs>
  <cellXfs count="279">
    <xf numFmtId="0" fontId="0" fillId="0" borderId="0" pivotButton="0" quotePrefix="0" xfId="0"/>
    <xf numFmtId="0" fontId="8" fillId="3" borderId="0" pivotButton="0" quotePrefix="0" xfId="24"/>
    <xf numFmtId="0" fontId="9" fillId="4" borderId="0" pivotButton="0" quotePrefix="0" xfId="24"/>
    <xf numFmtId="0" fontId="4" fillId="0" borderId="0" applyAlignment="1" pivotButton="0" quotePrefix="0" xfId="24">
      <alignment horizontal="center"/>
    </xf>
    <xf numFmtId="0" fontId="4" fillId="0" borderId="0" pivotButton="0" quotePrefix="0" xfId="24"/>
    <xf numFmtId="0" fontId="8" fillId="3" borderId="0" applyAlignment="1" pivotButton="0" quotePrefix="0" xfId="24">
      <alignment horizontal="center"/>
    </xf>
    <xf numFmtId="0" fontId="8" fillId="3" borderId="0" applyAlignment="1" pivotButton="0" quotePrefix="0" xfId="21">
      <alignment horizontal="center"/>
    </xf>
    <xf numFmtId="164" fontId="8" fillId="3" borderId="0" applyAlignment="1" pivotButton="0" quotePrefix="0" xfId="21">
      <alignment horizontal="center"/>
    </xf>
    <xf numFmtId="0" fontId="3" fillId="5" borderId="0" pivotButton="0" quotePrefix="0" xfId="24"/>
    <xf numFmtId="165" fontId="10" fillId="6" borderId="0" applyAlignment="1" pivotButton="0" quotePrefix="0" xfId="24">
      <alignment horizontal="center"/>
    </xf>
    <xf numFmtId="0" fontId="4" fillId="7" borderId="0" pivotButton="0" quotePrefix="0" xfId="20"/>
    <xf numFmtId="166" fontId="10" fillId="6" borderId="0" applyAlignment="1" pivotButton="0" quotePrefix="0" xfId="24">
      <alignment horizontal="center"/>
    </xf>
    <xf numFmtId="166" fontId="4" fillId="0" borderId="0" applyAlignment="1" pivotButton="0" quotePrefix="0" xfId="24">
      <alignment horizontal="center"/>
    </xf>
    <xf numFmtId="167" fontId="4" fillId="7" borderId="0" applyAlignment="1" pivotButton="0" quotePrefix="0" xfId="20">
      <alignment horizontal="left"/>
    </xf>
    <xf numFmtId="0" fontId="4" fillId="7" borderId="0" applyAlignment="1" pivotButton="0" quotePrefix="0" xfId="20">
      <alignment horizontal="left"/>
    </xf>
    <xf numFmtId="0" fontId="4" fillId="7" borderId="1" applyAlignment="1" pivotButton="0" quotePrefix="0" xfId="20">
      <alignment horizontal="left"/>
    </xf>
    <xf numFmtId="166" fontId="4" fillId="0" borderId="0" pivotButton="0" quotePrefix="0" xfId="24"/>
    <xf numFmtId="0" fontId="11" fillId="0" borderId="0" pivotButton="0" quotePrefix="0" xfId="20"/>
    <xf numFmtId="0" fontId="4" fillId="0" borderId="0" pivotButton="0" quotePrefix="0" xfId="20"/>
    <xf numFmtId="168" fontId="10" fillId="6" borderId="0" applyAlignment="1" pivotButton="0" quotePrefix="0" xfId="24">
      <alignment horizontal="center"/>
    </xf>
    <xf numFmtId="169" fontId="10" fillId="6" borderId="0" applyAlignment="1" pivotButton="0" quotePrefix="0" xfId="21">
      <alignment horizontal="center"/>
    </xf>
    <xf numFmtId="170" fontId="4" fillId="7" borderId="0" applyAlignment="1" pivotButton="0" quotePrefix="0" xfId="21">
      <alignment horizontal="center"/>
    </xf>
    <xf numFmtId="170" fontId="11" fillId="7" borderId="0" applyAlignment="1" pivotButton="0" quotePrefix="0" xfId="21">
      <alignment horizontal="center"/>
    </xf>
    <xf numFmtId="168" fontId="10" fillId="0" borderId="0" applyAlignment="1" pivotButton="0" quotePrefix="0" xfId="24">
      <alignment horizontal="center"/>
    </xf>
    <xf numFmtId="164" fontId="4" fillId="0" borderId="0" applyAlignment="1" pivotButton="0" quotePrefix="0" xfId="21">
      <alignment horizontal="center"/>
    </xf>
    <xf numFmtId="0" fontId="4" fillId="0" borderId="0" applyAlignment="1" pivotButton="0" quotePrefix="0" xfId="21">
      <alignment horizontal="center"/>
    </xf>
    <xf numFmtId="0" fontId="11" fillId="8" borderId="0" applyAlignment="1" pivotButton="0" quotePrefix="0" xfId="21">
      <alignment horizontal="center"/>
    </xf>
    <xf numFmtId="10" fontId="11" fillId="0" borderId="0" applyAlignment="1" pivotButton="0" quotePrefix="0" xfId="30">
      <alignment horizontal="center"/>
    </xf>
    <xf numFmtId="0" fontId="11" fillId="0" borderId="0" applyAlignment="1" pivotButton="0" quotePrefix="0" xfId="21">
      <alignment horizontal="center"/>
    </xf>
    <xf numFmtId="10" fontId="11" fillId="0" borderId="0" applyAlignment="1" pivotButton="0" quotePrefix="0" xfId="21">
      <alignment horizontal="center"/>
    </xf>
    <xf numFmtId="0" fontId="11" fillId="0" borderId="0" applyAlignment="1" pivotButton="0" quotePrefix="0" xfId="24">
      <alignment horizontal="center"/>
    </xf>
    <xf numFmtId="0" fontId="12" fillId="9" borderId="0" applyAlignment="1" pivotButton="0" quotePrefix="0" xfId="20">
      <alignment horizontal="left"/>
    </xf>
    <xf numFmtId="0" fontId="11" fillId="0" borderId="0" pivotButton="0" quotePrefix="0" xfId="24"/>
    <xf numFmtId="0" fontId="11" fillId="7" borderId="0" pivotButton="0" quotePrefix="0" xfId="20"/>
    <xf numFmtId="166" fontId="11" fillId="7" borderId="0" applyAlignment="1" pivotButton="0" quotePrefix="0" xfId="24">
      <alignment horizontal="center"/>
    </xf>
    <xf numFmtId="166" fontId="11" fillId="0" borderId="0" applyAlignment="1" pivotButton="0" quotePrefix="0" xfId="24">
      <alignment horizontal="center"/>
    </xf>
    <xf numFmtId="0" fontId="11" fillId="10" borderId="0" applyAlignment="1" pivotButton="0" quotePrefix="0" xfId="24">
      <alignment horizontal="center"/>
    </xf>
    <xf numFmtId="0" fontId="4" fillId="10" borderId="0" applyAlignment="1" pivotButton="0" quotePrefix="0" xfId="24">
      <alignment horizontal="center"/>
    </xf>
    <xf numFmtId="171" fontId="4" fillId="10" borderId="0" pivotButton="0" quotePrefix="0" xfId="20"/>
    <xf numFmtId="166" fontId="11" fillId="10" borderId="0" applyAlignment="1" pivotButton="0" quotePrefix="0" xfId="24">
      <alignment horizontal="center"/>
    </xf>
    <xf numFmtId="9" fontId="4" fillId="10" borderId="0" applyAlignment="1" pivotButton="0" quotePrefix="0" xfId="30">
      <alignment horizontal="center"/>
    </xf>
    <xf numFmtId="10" fontId="10" fillId="6" borderId="0" applyAlignment="1" pivotButton="0" quotePrefix="0" xfId="24">
      <alignment horizontal="center"/>
    </xf>
    <xf numFmtId="166" fontId="4" fillId="10" borderId="0" applyAlignment="1" pivotButton="0" quotePrefix="0" xfId="24">
      <alignment horizontal="center"/>
    </xf>
    <xf numFmtId="0" fontId="11" fillId="10" borderId="0" pivotButton="0" quotePrefix="0" xfId="24"/>
    <xf numFmtId="171" fontId="13" fillId="10" borderId="0" pivotButton="0" quotePrefix="0" xfId="20"/>
    <xf numFmtId="0" fontId="11" fillId="10" borderId="0" pivotButton="0" quotePrefix="0" xfId="20"/>
    <xf numFmtId="166" fontId="4" fillId="7" borderId="0" applyAlignment="1" pivotButton="0" quotePrefix="0" xfId="24">
      <alignment horizontal="center"/>
    </xf>
    <xf numFmtId="171" fontId="4" fillId="10" borderId="0" applyAlignment="1" pivotButton="0" quotePrefix="0" xfId="20">
      <alignment horizontal="left"/>
    </xf>
    <xf numFmtId="171" fontId="4" fillId="10" borderId="0" applyAlignment="1" pivotButton="0" quotePrefix="0" xfId="30">
      <alignment horizontal="center"/>
    </xf>
    <xf numFmtId="171" fontId="10" fillId="6" borderId="0" applyAlignment="1" pivotButton="0" quotePrefix="0" xfId="30">
      <alignment horizontal="center"/>
    </xf>
    <xf numFmtId="167" fontId="4" fillId="0" borderId="0" applyAlignment="1" pivotButton="0" quotePrefix="0" xfId="20">
      <alignment horizontal="left"/>
    </xf>
    <xf numFmtId="171" fontId="4" fillId="0" borderId="0" applyAlignment="1" pivotButton="0" quotePrefix="0" xfId="30">
      <alignment horizontal="center"/>
    </xf>
    <xf numFmtId="171" fontId="10" fillId="6" borderId="0" applyAlignment="1" pivotButton="0" quotePrefix="0" xfId="24">
      <alignment horizontal="center"/>
    </xf>
    <xf numFmtId="9" fontId="4" fillId="0" borderId="0" applyAlignment="1" pivotButton="0" quotePrefix="0" xfId="30">
      <alignment horizontal="center"/>
    </xf>
    <xf numFmtId="9" fontId="4" fillId="0" borderId="0" applyAlignment="1" pivotButton="0" quotePrefix="0" xfId="30">
      <alignment horizontal="left"/>
    </xf>
    <xf numFmtId="9" fontId="10" fillId="6" borderId="0" applyAlignment="1" pivotButton="0" quotePrefix="0" xfId="30">
      <alignment horizontal="center"/>
    </xf>
    <xf numFmtId="9" fontId="4" fillId="0" borderId="0" pivotButton="0" quotePrefix="0" xfId="30"/>
    <xf numFmtId="0" fontId="4" fillId="0" borderId="0" applyAlignment="1" pivotButton="0" quotePrefix="0" xfId="20">
      <alignment horizontal="left"/>
    </xf>
    <xf numFmtId="171" fontId="4" fillId="0" borderId="0" applyAlignment="1" pivotButton="0" quotePrefix="0" xfId="24">
      <alignment horizontal="center"/>
    </xf>
    <xf numFmtId="0" fontId="4" fillId="10" borderId="0" applyAlignment="1" pivotButton="0" quotePrefix="0" xfId="20">
      <alignment horizontal="left"/>
    </xf>
    <xf numFmtId="0" fontId="14" fillId="10" borderId="0" applyAlignment="1" pivotButton="0" quotePrefix="0" xfId="20">
      <alignment horizontal="left"/>
    </xf>
    <xf numFmtId="166" fontId="14" fillId="10" borderId="0" applyAlignment="1" pivotButton="0" quotePrefix="0" xfId="24">
      <alignment horizontal="center"/>
    </xf>
    <xf numFmtId="164" fontId="10" fillId="6" borderId="0" applyAlignment="1" pivotButton="0" quotePrefix="0" xfId="24">
      <alignment horizontal="center"/>
    </xf>
    <xf numFmtId="166" fontId="4" fillId="0" borderId="0" applyAlignment="1" pivotButton="0" quotePrefix="0" xfId="24">
      <alignment horizontal="center" vertical="center"/>
    </xf>
    <xf numFmtId="172" fontId="4" fillId="0" borderId="0" applyAlignment="1" pivotButton="0" quotePrefix="0" xfId="24">
      <alignment horizontal="center"/>
    </xf>
    <xf numFmtId="0" fontId="11" fillId="7" borderId="0" applyAlignment="1" pivotButton="0" quotePrefix="0" xfId="20">
      <alignment horizontal="left"/>
    </xf>
    <xf numFmtId="0" fontId="4" fillId="10" borderId="0" pivotButton="0" quotePrefix="0" xfId="24"/>
    <xf numFmtId="167" fontId="4" fillId="10" borderId="0" applyAlignment="1" pivotButton="0" quotePrefix="0" xfId="20">
      <alignment horizontal="left"/>
    </xf>
    <xf numFmtId="173" fontId="4" fillId="0" borderId="0" applyAlignment="1" pivotButton="0" quotePrefix="0" xfId="24">
      <alignment horizontal="center"/>
    </xf>
    <xf numFmtId="165" fontId="4" fillId="0" borderId="0" applyAlignment="1" pivotButton="0" quotePrefix="0" xfId="24">
      <alignment horizontal="center"/>
    </xf>
    <xf numFmtId="0" fontId="12" fillId="9" borderId="0" applyAlignment="1" pivotButton="0" quotePrefix="0" xfId="20">
      <alignment horizontal="center"/>
    </xf>
    <xf numFmtId="0" fontId="4" fillId="7" borderId="1" pivotButton="0" quotePrefix="0" xfId="20"/>
    <xf numFmtId="172" fontId="4" fillId="0" borderId="0" pivotButton="0" quotePrefix="0" xfId="24"/>
    <xf numFmtId="0" fontId="15" fillId="11" borderId="0" pivotButton="0" quotePrefix="0" xfId="24"/>
    <xf numFmtId="0" fontId="11" fillId="0" borderId="0" applyAlignment="1" pivotButton="0" quotePrefix="0" xfId="24">
      <alignment vertical="center"/>
    </xf>
    <xf numFmtId="0" fontId="11" fillId="0" borderId="0" applyAlignment="1" pivotButton="0" quotePrefix="0" xfId="24">
      <alignment horizontal="center" vertical="center"/>
    </xf>
    <xf numFmtId="0" fontId="4" fillId="0" borderId="0" applyAlignment="1" pivotButton="0" quotePrefix="0" xfId="24">
      <alignment horizontal="center" vertical="center"/>
    </xf>
    <xf numFmtId="0" fontId="4" fillId="0" borderId="0" applyAlignment="1" pivotButton="0" quotePrefix="0" xfId="24">
      <alignment vertical="center"/>
    </xf>
    <xf numFmtId="9" fontId="4" fillId="0" borderId="0" applyAlignment="1" pivotButton="0" quotePrefix="0" xfId="30">
      <alignment vertical="center"/>
    </xf>
    <xf numFmtId="9" fontId="4" fillId="0" borderId="0" applyAlignment="1" pivotButton="0" quotePrefix="0" xfId="30">
      <alignment horizontal="center" vertical="center"/>
    </xf>
    <xf numFmtId="171" fontId="4" fillId="0" borderId="0" applyAlignment="1" pivotButton="0" quotePrefix="0" xfId="24">
      <alignment horizontal="center" vertical="center"/>
    </xf>
    <xf numFmtId="171" fontId="4" fillId="0" borderId="0" applyAlignment="1" pivotButton="0" quotePrefix="0" xfId="30">
      <alignment horizontal="center" vertical="center"/>
    </xf>
    <xf numFmtId="174" fontId="4" fillId="0" borderId="0" applyAlignment="1" pivotButton="0" quotePrefix="0" xfId="24">
      <alignment horizontal="center" vertical="center"/>
    </xf>
    <xf numFmtId="174" fontId="4" fillId="0" borderId="0" applyAlignment="1" pivotButton="0" quotePrefix="0" xfId="24">
      <alignment vertical="center"/>
    </xf>
    <xf numFmtId="171" fontId="4" fillId="0" borderId="0" applyAlignment="1" pivotButton="0" quotePrefix="0" xfId="30">
      <alignment vertical="center"/>
    </xf>
    <xf numFmtId="175" fontId="4" fillId="0" borderId="0" applyAlignment="1" pivotButton="0" quotePrefix="0" xfId="24">
      <alignment horizontal="center" vertical="center"/>
    </xf>
    <xf numFmtId="166" fontId="4" fillId="0" borderId="0" applyAlignment="1" pivotButton="0" quotePrefix="0" xfId="24">
      <alignment vertical="center"/>
    </xf>
    <xf numFmtId="9" fontId="4" fillId="0" borderId="0" applyAlignment="1" pivotButton="0" quotePrefix="0" xfId="24">
      <alignment vertical="center"/>
    </xf>
    <xf numFmtId="9" fontId="4" fillId="0" borderId="0" applyAlignment="1" pivotButton="0" quotePrefix="0" xfId="24">
      <alignment horizontal="center" vertical="center"/>
    </xf>
    <xf numFmtId="172" fontId="4" fillId="0" borderId="0" applyAlignment="1" pivotButton="0" quotePrefix="0" xfId="24">
      <alignment vertical="center"/>
    </xf>
    <xf numFmtId="172" fontId="4" fillId="0" borderId="0" applyAlignment="1" pivotButton="0" quotePrefix="0" xfId="24">
      <alignment horizontal="center" vertical="center"/>
    </xf>
    <xf numFmtId="166" fontId="4" fillId="0" borderId="0" applyAlignment="1" pivotButton="0" quotePrefix="0" xfId="24">
      <alignment horizontal="right" vertical="center"/>
    </xf>
    <xf numFmtId="0" fontId="14" fillId="0" borderId="0" pivotButton="0" quotePrefix="0" xfId="22"/>
    <xf numFmtId="0" fontId="12" fillId="0" borderId="0" pivotButton="0" quotePrefix="0" xfId="22"/>
    <xf numFmtId="0" fontId="14" fillId="0" borderId="3" pivotButton="0" quotePrefix="0" xfId="22"/>
    <xf numFmtId="176" fontId="10" fillId="6" borderId="4" applyAlignment="1" pivotButton="0" quotePrefix="0" xfId="18">
      <alignment horizontal="center"/>
    </xf>
    <xf numFmtId="177" fontId="10" fillId="6" borderId="0" applyAlignment="1" pivotButton="0" quotePrefix="0" xfId="22">
      <alignment horizontal="center"/>
    </xf>
    <xf numFmtId="171" fontId="14" fillId="0" borderId="0" applyAlignment="1" pivotButton="0" quotePrefix="0" xfId="22">
      <alignment horizontal="right"/>
    </xf>
    <xf numFmtId="176" fontId="10" fillId="6" borderId="4" applyAlignment="1" pivotButton="0" quotePrefix="0" xfId="18">
      <alignment horizontal="right"/>
    </xf>
    <xf numFmtId="171" fontId="14" fillId="0" borderId="0" applyAlignment="1" pivotButton="0" quotePrefix="0" xfId="22">
      <alignment horizontal="center"/>
    </xf>
    <xf numFmtId="178" fontId="10" fillId="0" borderId="0" applyAlignment="1" pivotButton="0" quotePrefix="0" xfId="22">
      <alignment horizontal="center"/>
    </xf>
    <xf numFmtId="179" fontId="14" fillId="0" borderId="0" applyAlignment="1" pivotButton="0" quotePrefix="0" xfId="22">
      <alignment horizontal="center"/>
    </xf>
    <xf numFmtId="0" fontId="16" fillId="0" borderId="0" pivotButton="0" quotePrefix="0" xfId="22"/>
    <xf numFmtId="180" fontId="14" fillId="0" borderId="0" pivotButton="0" quotePrefix="0" xfId="22"/>
    <xf numFmtId="0" fontId="11" fillId="7" borderId="0" pivotButton="0" quotePrefix="0" xfId="22"/>
    <xf numFmtId="0" fontId="11" fillId="7" borderId="1" pivotButton="0" quotePrefix="0" xfId="22"/>
    <xf numFmtId="0" fontId="16" fillId="0" borderId="0" applyAlignment="1" pivotButton="0" quotePrefix="0" xfId="22">
      <alignment horizontal="center"/>
    </xf>
    <xf numFmtId="0" fontId="14" fillId="0" borderId="0" applyAlignment="1" pivotButton="0" quotePrefix="0" xfId="22">
      <alignment horizontal="center"/>
    </xf>
    <xf numFmtId="1" fontId="16" fillId="0" borderId="0" applyAlignment="1" pivotButton="0" quotePrefix="0" xfId="22">
      <alignment horizontal="center"/>
    </xf>
    <xf numFmtId="0" fontId="14" fillId="0" borderId="1" pivotButton="0" quotePrefix="0" xfId="22"/>
    <xf numFmtId="168" fontId="14" fillId="0" borderId="1" applyAlignment="1" pivotButton="0" quotePrefix="0" xfId="22">
      <alignment horizontal="center"/>
    </xf>
    <xf numFmtId="168" fontId="14" fillId="0" borderId="0" applyAlignment="1" pivotButton="0" quotePrefix="0" xfId="22">
      <alignment horizontal="center"/>
    </xf>
    <xf numFmtId="0" fontId="14" fillId="0" borderId="5" pivotButton="0" quotePrefix="0" xfId="22"/>
    <xf numFmtId="178" fontId="14" fillId="12" borderId="6" applyAlignment="1" pivotButton="0" quotePrefix="0" xfId="22">
      <alignment horizontal="center"/>
    </xf>
    <xf numFmtId="178" fontId="14" fillId="12" borderId="7" applyAlignment="1" pivotButton="0" quotePrefix="0" xfId="22">
      <alignment horizontal="center"/>
    </xf>
    <xf numFmtId="171" fontId="16" fillId="0" borderId="0" applyAlignment="1" pivotButton="0" quotePrefix="0" xfId="33">
      <alignment horizontal="center"/>
    </xf>
    <xf numFmtId="0" fontId="14" fillId="0" borderId="8" pivotButton="0" quotePrefix="0" xfId="22"/>
    <xf numFmtId="171" fontId="16" fillId="0" borderId="1" applyAlignment="1" pivotButton="0" quotePrefix="0" xfId="33">
      <alignment horizontal="center"/>
    </xf>
    <xf numFmtId="171" fontId="16" fillId="0" borderId="9" applyAlignment="1" pivotButton="0" quotePrefix="0" xfId="33">
      <alignment horizontal="center"/>
    </xf>
    <xf numFmtId="178" fontId="14" fillId="0" borderId="5" pivotButton="0" quotePrefix="0" xfId="22"/>
    <xf numFmtId="0" fontId="14" fillId="0" borderId="6" pivotButton="0" quotePrefix="0" xfId="22"/>
    <xf numFmtId="0" fontId="14" fillId="0" borderId="7" pivotButton="0" quotePrefix="0" xfId="22"/>
    <xf numFmtId="171" fontId="14" fillId="0" borderId="1" applyAlignment="1" pivotButton="0" quotePrefix="0" xfId="33">
      <alignment horizontal="center"/>
    </xf>
    <xf numFmtId="0" fontId="14" fillId="0" borderId="9" pivotButton="0" quotePrefix="0" xfId="22"/>
    <xf numFmtId="171" fontId="14" fillId="0" borderId="9" applyAlignment="1" pivotButton="0" quotePrefix="0" xfId="33">
      <alignment horizontal="center"/>
    </xf>
    <xf numFmtId="171" fontId="14" fillId="12" borderId="6" applyAlignment="1" pivotButton="0" quotePrefix="0" xfId="22">
      <alignment horizontal="center"/>
    </xf>
    <xf numFmtId="171" fontId="14" fillId="12" borderId="7" applyAlignment="1" pivotButton="0" quotePrefix="0" xfId="22">
      <alignment horizontal="center"/>
    </xf>
    <xf numFmtId="178" fontId="14" fillId="0" borderId="1" applyAlignment="1" pivotButton="0" quotePrefix="0" xfId="22">
      <alignment horizontal="center"/>
    </xf>
    <xf numFmtId="178" fontId="14" fillId="0" borderId="9" applyAlignment="1" pivotButton="0" quotePrefix="0" xfId="22">
      <alignment horizontal="center"/>
    </xf>
    <xf numFmtId="178" fontId="14" fillId="0" borderId="10" applyAlignment="1" pivotButton="0" quotePrefix="0" xfId="22">
      <alignment horizontal="left"/>
    </xf>
    <xf numFmtId="178" fontId="14" fillId="12" borderId="11" applyAlignment="1" pivotButton="0" quotePrefix="0" xfId="22">
      <alignment horizontal="center"/>
    </xf>
    <xf numFmtId="178" fontId="14" fillId="12" borderId="12" applyAlignment="1" pivotButton="0" quotePrefix="0" xfId="22">
      <alignment horizontal="center"/>
    </xf>
    <xf numFmtId="178" fontId="14" fillId="0" borderId="5" applyAlignment="1" pivotButton="0" quotePrefix="0" xfId="22">
      <alignment horizontal="left"/>
    </xf>
    <xf numFmtId="178" fontId="14" fillId="0" borderId="6" applyAlignment="1" pivotButton="0" quotePrefix="0" xfId="22">
      <alignment horizontal="center"/>
    </xf>
    <xf numFmtId="178" fontId="14" fillId="0" borderId="7" applyAlignment="1" pivotButton="0" quotePrefix="0" xfId="22">
      <alignment horizontal="center"/>
    </xf>
    <xf numFmtId="178" fontId="14" fillId="0" borderId="13" applyAlignment="1" pivotButton="0" quotePrefix="0" xfId="22">
      <alignment horizontal="left"/>
    </xf>
    <xf numFmtId="178" fontId="14" fillId="12" borderId="0" applyAlignment="1" pivotButton="0" quotePrefix="0" xfId="22">
      <alignment horizontal="center"/>
    </xf>
    <xf numFmtId="178" fontId="14" fillId="12" borderId="14" applyAlignment="1" pivotButton="0" quotePrefix="0" xfId="22">
      <alignment horizontal="center"/>
    </xf>
    <xf numFmtId="178" fontId="14" fillId="0" borderId="8" applyAlignment="1" pivotButton="0" quotePrefix="0" xfId="22">
      <alignment horizontal="left"/>
    </xf>
    <xf numFmtId="178" fontId="14" fillId="12" borderId="1" applyAlignment="1" pivotButton="0" quotePrefix="0" xfId="22">
      <alignment horizontal="center"/>
    </xf>
    <xf numFmtId="178" fontId="14" fillId="12" borderId="9" applyAlignment="1" pivotButton="0" quotePrefix="0" xfId="22">
      <alignment horizontal="center"/>
    </xf>
    <xf numFmtId="178" fontId="14" fillId="0" borderId="0" applyAlignment="1" pivotButton="0" quotePrefix="0" xfId="22">
      <alignment horizontal="center"/>
    </xf>
    <xf numFmtId="178" fontId="14" fillId="0" borderId="15" applyAlignment="1" pivotButton="0" quotePrefix="0" xfId="22">
      <alignment horizontal="center"/>
    </xf>
    <xf numFmtId="0" fontId="14" fillId="0" borderId="13" pivotButton="0" quotePrefix="0" xfId="22"/>
    <xf numFmtId="0" fontId="14" fillId="0" borderId="14" pivotButton="0" quotePrefix="0" xfId="22"/>
    <xf numFmtId="178" fontId="4" fillId="0" borderId="0" applyAlignment="1" pivotButton="0" quotePrefix="0" xfId="22">
      <alignment horizontal="center"/>
    </xf>
    <xf numFmtId="178" fontId="4" fillId="0" borderId="14" applyAlignment="1" pivotButton="0" quotePrefix="0" xfId="22">
      <alignment horizontal="center"/>
    </xf>
    <xf numFmtId="171" fontId="10" fillId="6" borderId="1" applyAlignment="1" pivotButton="0" quotePrefix="0" xfId="33">
      <alignment horizontal="center"/>
    </xf>
    <xf numFmtId="171" fontId="10" fillId="6" borderId="9" applyAlignment="1" pivotButton="0" quotePrefix="0" xfId="33">
      <alignment horizontal="center"/>
    </xf>
    <xf numFmtId="0" fontId="16" fillId="0" borderId="10" pivotButton="0" quotePrefix="0" xfId="22"/>
    <xf numFmtId="171" fontId="16" fillId="12" borderId="11" applyAlignment="1" pivotButton="0" quotePrefix="0" xfId="22">
      <alignment horizontal="center"/>
    </xf>
    <xf numFmtId="171" fontId="16" fillId="0" borderId="11" applyAlignment="1" pivotButton="0" quotePrefix="0" xfId="33">
      <alignment horizontal="center"/>
    </xf>
    <xf numFmtId="171" fontId="16" fillId="0" borderId="12" applyAlignment="1" pivotButton="0" quotePrefix="0" xfId="33">
      <alignment horizontal="center"/>
    </xf>
    <xf numFmtId="171" fontId="16" fillId="0" borderId="0" applyAlignment="1" pivotButton="0" quotePrefix="0" xfId="22">
      <alignment horizontal="center"/>
    </xf>
    <xf numFmtId="181" fontId="14" fillId="0" borderId="0" applyAlignment="1" pivotButton="0" quotePrefix="0" xfId="23">
      <alignment horizontal="center" vertical="center"/>
    </xf>
    <xf numFmtId="178" fontId="16" fillId="0" borderId="0" applyAlignment="1" pivotButton="0" quotePrefix="0" xfId="22">
      <alignment horizontal="center"/>
    </xf>
    <xf numFmtId="178" fontId="18" fillId="2" borderId="2" applyAlignment="1" pivotButton="0" quotePrefix="0" xfId="28">
      <alignment horizontal="center"/>
    </xf>
    <xf numFmtId="0" fontId="14" fillId="0" borderId="0" applyAlignment="1" pivotButton="0" quotePrefix="0" xfId="22">
      <alignment horizontal="left"/>
    </xf>
    <xf numFmtId="173" fontId="14" fillId="0" borderId="0" applyAlignment="1" pivotButton="0" quotePrefix="0" xfId="22">
      <alignment horizontal="center"/>
    </xf>
    <xf numFmtId="173" fontId="18" fillId="2" borderId="2" applyAlignment="1" pivotButton="0" quotePrefix="0" xfId="28">
      <alignment horizontal="center"/>
    </xf>
    <xf numFmtId="10" fontId="14" fillId="0" borderId="0" pivotButton="0" quotePrefix="0" xfId="22"/>
    <xf numFmtId="178" fontId="16" fillId="0" borderId="0" pivotButton="0" quotePrefix="0" xfId="22"/>
    <xf numFmtId="179" fontId="14" fillId="0" borderId="0" pivotButton="0" quotePrefix="0" xfId="22"/>
    <xf numFmtId="0" fontId="11" fillId="7" borderId="5" pivotButton="0" quotePrefix="0" xfId="22"/>
    <xf numFmtId="171" fontId="4" fillId="7" borderId="7" applyAlignment="1" pivotButton="0" quotePrefix="0" xfId="22">
      <alignment horizontal="center"/>
    </xf>
    <xf numFmtId="0" fontId="11" fillId="7" borderId="6" pivotButton="0" quotePrefix="0" xfId="22"/>
    <xf numFmtId="0" fontId="4" fillId="7" borderId="6" pivotButton="0" quotePrefix="0" xfId="22"/>
    <xf numFmtId="0" fontId="11" fillId="7" borderId="16" pivotButton="0" quotePrefix="0" xfId="22"/>
    <xf numFmtId="171" fontId="4" fillId="7" borderId="17" applyAlignment="1" pivotButton="0" quotePrefix="0" xfId="22">
      <alignment horizontal="center"/>
    </xf>
    <xf numFmtId="0" fontId="4" fillId="7" borderId="17" pivotButton="0" quotePrefix="0" xfId="22"/>
    <xf numFmtId="0" fontId="4" fillId="7" borderId="18" pivotButton="0" quotePrefix="0" xfId="22"/>
    <xf numFmtId="0" fontId="16" fillId="0" borderId="13" applyAlignment="1" pivotButton="0" quotePrefix="0" xfId="22">
      <alignment horizontal="left"/>
    </xf>
    <xf numFmtId="178" fontId="14" fillId="0" borderId="14" applyAlignment="1" pivotButton="0" quotePrefix="0" xfId="22">
      <alignment horizontal="right"/>
    </xf>
    <xf numFmtId="0" fontId="16" fillId="0" borderId="0" applyAlignment="1" pivotButton="0" quotePrefix="0" xfId="22">
      <alignment horizontal="left"/>
    </xf>
    <xf numFmtId="0" fontId="14" fillId="0" borderId="13" applyAlignment="1" pivotButton="0" quotePrefix="0" xfId="22">
      <alignment horizontal="left"/>
    </xf>
    <xf numFmtId="178" fontId="4" fillId="12" borderId="14" applyAlignment="1" pivotButton="0" quotePrefix="0" xfId="22">
      <alignment horizontal="center"/>
    </xf>
    <xf numFmtId="171" fontId="19" fillId="6" borderId="14" applyAlignment="1" pivotButton="0" quotePrefix="0" xfId="22">
      <alignment horizontal="center"/>
    </xf>
    <xf numFmtId="182" fontId="4" fillId="12" borderId="14" applyAlignment="1" pivotButton="0" quotePrefix="0" xfId="18">
      <alignment horizontal="center"/>
    </xf>
    <xf numFmtId="171" fontId="11" fillId="0" borderId="19" applyAlignment="1" pivotButton="0" quotePrefix="0" xfId="24">
      <alignment horizontal="center"/>
    </xf>
    <xf numFmtId="0" fontId="14" fillId="0" borderId="1" applyAlignment="1" pivotButton="0" quotePrefix="0" xfId="22">
      <alignment horizontal="left"/>
    </xf>
    <xf numFmtId="0" fontId="14" fillId="0" borderId="9" applyAlignment="1" pivotButton="0" quotePrefix="0" xfId="22">
      <alignment horizontal="right"/>
    </xf>
    <xf numFmtId="178" fontId="16" fillId="0" borderId="14" applyAlignment="1" pivotButton="0" quotePrefix="0" xfId="22">
      <alignment horizontal="center"/>
    </xf>
    <xf numFmtId="0" fontId="14" fillId="0" borderId="1" applyAlignment="1" pivotButton="0" quotePrefix="0" xfId="22">
      <alignment horizontal="right"/>
    </xf>
    <xf numFmtId="183" fontId="10" fillId="6" borderId="20" pivotButton="0" quotePrefix="0" xfId="22"/>
    <xf numFmtId="182" fontId="10" fillId="6" borderId="21" pivotButton="0" quotePrefix="0" xfId="10"/>
    <xf numFmtId="179" fontId="14" fillId="0" borderId="14" applyAlignment="1" pivotButton="0" quotePrefix="0" xfId="22">
      <alignment horizontal="right"/>
    </xf>
    <xf numFmtId="183" fontId="10" fillId="6" borderId="22" pivotButton="0" quotePrefix="0" xfId="22"/>
    <xf numFmtId="182" fontId="10" fillId="6" borderId="23" pivotButton="0" quotePrefix="0" xfId="10"/>
    <xf numFmtId="178" fontId="14" fillId="0" borderId="14" applyAlignment="1" pivotButton="0" quotePrefix="0" xfId="22">
      <alignment horizontal="center"/>
    </xf>
    <xf numFmtId="183" fontId="10" fillId="6" borderId="24" pivotButton="0" quotePrefix="0" xfId="22"/>
    <xf numFmtId="182" fontId="10" fillId="6" borderId="25" pivotButton="0" quotePrefix="0" xfId="10"/>
    <xf numFmtId="179" fontId="14" fillId="0" borderId="9" applyAlignment="1" pivotButton="0" quotePrefix="0" xfId="22">
      <alignment horizontal="right"/>
    </xf>
    <xf numFmtId="174" fontId="10" fillId="6" borderId="14" applyAlignment="1" pivotButton="0" quotePrefix="0" xfId="22">
      <alignment horizontal="center"/>
    </xf>
    <xf numFmtId="184" fontId="14" fillId="0" borderId="0" applyAlignment="1" pivotButton="0" quotePrefix="0" xfId="22">
      <alignment horizontal="right"/>
    </xf>
    <xf numFmtId="185" fontId="14" fillId="0" borderId="14" applyAlignment="1" pivotButton="0" quotePrefix="0" xfId="22">
      <alignment horizontal="right"/>
    </xf>
    <xf numFmtId="0" fontId="14" fillId="0" borderId="0" applyAlignment="1" pivotButton="0" quotePrefix="0" xfId="22">
      <alignment horizontal="right"/>
    </xf>
    <xf numFmtId="178" fontId="20" fillId="0" borderId="0" pivotButton="0" quotePrefix="0" xfId="22"/>
    <xf numFmtId="178" fontId="14" fillId="0" borderId="14" pivotButton="0" quotePrefix="0" xfId="22"/>
    <xf numFmtId="182" fontId="16" fillId="0" borderId="26" applyAlignment="1" pivotButton="0" quotePrefix="0" xfId="22">
      <alignment horizontal="center"/>
    </xf>
    <xf numFmtId="183" fontId="10" fillId="6" borderId="27" applyAlignment="1" pivotButton="0" quotePrefix="0" xfId="22">
      <alignment horizontal="right"/>
    </xf>
    <xf numFmtId="0" fontId="14" fillId="0" borderId="14" applyAlignment="1" pivotButton="0" quotePrefix="0" xfId="22">
      <alignment horizontal="right"/>
    </xf>
    <xf numFmtId="182" fontId="16" fillId="0" borderId="14" applyAlignment="1" pivotButton="0" quotePrefix="0" xfId="22">
      <alignment horizontal="center"/>
    </xf>
    <xf numFmtId="183" fontId="10" fillId="6" borderId="28" applyAlignment="1" pivotButton="0" quotePrefix="0" xfId="22">
      <alignment horizontal="right"/>
    </xf>
    <xf numFmtId="186" fontId="10" fillId="6" borderId="14" applyAlignment="1" pivotButton="0" quotePrefix="0" xfId="22">
      <alignment horizontal="right"/>
    </xf>
    <xf numFmtId="0" fontId="16" fillId="0" borderId="0" applyAlignment="1" pivotButton="0" quotePrefix="0" xfId="22">
      <alignment horizontal="right"/>
    </xf>
    <xf numFmtId="178" fontId="16" fillId="0" borderId="14" applyAlignment="1" pivotButton="0" quotePrefix="0" xfId="27">
      <alignment horizontal="right"/>
    </xf>
    <xf numFmtId="0" fontId="14" fillId="0" borderId="8" applyAlignment="1" pivotButton="0" quotePrefix="0" xfId="22">
      <alignment horizontal="left"/>
    </xf>
    <xf numFmtId="171" fontId="14" fillId="0" borderId="9" applyAlignment="1" pivotButton="0" quotePrefix="0" xfId="22">
      <alignment horizontal="right"/>
    </xf>
    <xf numFmtId="0" fontId="11" fillId="7" borderId="3" pivotButton="0" quotePrefix="0" xfId="22"/>
    <xf numFmtId="171" fontId="4" fillId="7" borderId="3" applyAlignment="1" pivotButton="0" quotePrefix="0" xfId="22">
      <alignment horizontal="center"/>
    </xf>
    <xf numFmtId="0" fontId="4" fillId="7" borderId="3" pivotButton="0" quotePrefix="0" xfId="22"/>
    <xf numFmtId="0" fontId="16" fillId="0" borderId="1" pivotButton="0" quotePrefix="0" xfId="22"/>
    <xf numFmtId="171" fontId="10" fillId="6" borderId="0" applyAlignment="1" pivotButton="0" quotePrefix="0" xfId="22">
      <alignment horizontal="center"/>
    </xf>
    <xf numFmtId="0" fontId="14" fillId="0" borderId="11" applyAlignment="1" pivotButton="0" quotePrefix="0" xfId="22">
      <alignment horizontal="right"/>
    </xf>
    <xf numFmtId="178" fontId="14" fillId="0" borderId="0" pivotButton="0" quotePrefix="0" xfId="22"/>
    <xf numFmtId="9" fontId="14" fillId="0" borderId="0" pivotButton="0" quotePrefix="0" xfId="22"/>
    <xf numFmtId="187" fontId="14" fillId="0" borderId="0" applyAlignment="1" pivotButton="0" quotePrefix="0" xfId="22">
      <alignment horizontal="center"/>
    </xf>
    <xf numFmtId="178" fontId="14" fillId="0" borderId="0" applyAlignment="1" pivotButton="0" quotePrefix="0" xfId="22">
      <alignment horizontal="right"/>
    </xf>
    <xf numFmtId="188" fontId="14" fillId="0" borderId="0" pivotButton="0" quotePrefix="0" xfId="22"/>
    <xf numFmtId="189" fontId="10" fillId="6" borderId="0" applyAlignment="1" pivotButton="0" quotePrefix="0" xfId="22">
      <alignment horizontal="center"/>
    </xf>
    <xf numFmtId="0" fontId="16" fillId="0" borderId="1" applyAlignment="1" pivotButton="0" quotePrefix="0" xfId="22">
      <alignment horizontal="left" wrapText="1"/>
    </xf>
    <xf numFmtId="0" fontId="16" fillId="0" borderId="1" applyAlignment="1" pivotButton="0" quotePrefix="0" xfId="22">
      <alignment horizontal="center" wrapText="1"/>
    </xf>
    <xf numFmtId="189" fontId="14" fillId="0" borderId="0" applyAlignment="1" pivotButton="0" quotePrefix="0" xfId="22">
      <alignment horizontal="center"/>
    </xf>
    <xf numFmtId="182" fontId="14" fillId="0" borderId="0" applyAlignment="1" pivotButton="0" quotePrefix="0" xfId="22">
      <alignment horizontal="center"/>
    </xf>
    <xf numFmtId="10" fontId="14" fillId="0" borderId="0" applyAlignment="1" pivotButton="0" quotePrefix="0" xfId="22">
      <alignment horizontal="center"/>
    </xf>
    <xf numFmtId="2" fontId="14" fillId="0" borderId="0" applyAlignment="1" pivotButton="0" quotePrefix="0" xfId="22">
      <alignment horizontal="center"/>
    </xf>
    <xf numFmtId="189" fontId="10" fillId="6" borderId="0" applyAlignment="1" pivotButton="0" quotePrefix="0" xfId="22">
      <alignment horizontal="left"/>
    </xf>
    <xf numFmtId="182" fontId="10" fillId="6" borderId="0" applyAlignment="1" pivotButton="0" quotePrefix="0" xfId="22">
      <alignment horizontal="center"/>
    </xf>
    <xf numFmtId="178" fontId="10" fillId="6" borderId="0" applyAlignment="1" pivotButton="0" quotePrefix="0" xfId="22">
      <alignment horizontal="center"/>
    </xf>
    <xf numFmtId="10" fontId="10" fillId="6" borderId="0" applyAlignment="1" pivotButton="0" quotePrefix="0" xfId="22">
      <alignment horizontal="center"/>
    </xf>
    <xf numFmtId="189" fontId="10" fillId="6" borderId="1" applyAlignment="1" pivotButton="0" quotePrefix="0" xfId="22">
      <alignment horizontal="left"/>
    </xf>
    <xf numFmtId="189" fontId="10" fillId="6" borderId="1" applyAlignment="1" pivotButton="0" quotePrefix="0" xfId="22">
      <alignment horizontal="center"/>
    </xf>
    <xf numFmtId="182" fontId="10" fillId="6" borderId="1" applyAlignment="1" pivotButton="0" quotePrefix="0" xfId="22">
      <alignment horizontal="center"/>
    </xf>
    <xf numFmtId="178" fontId="10" fillId="6" borderId="1" applyAlignment="1" pivotButton="0" quotePrefix="0" xfId="22">
      <alignment horizontal="center"/>
    </xf>
    <xf numFmtId="10" fontId="14" fillId="0" borderId="1" applyAlignment="1" pivotButton="0" quotePrefix="0" xfId="22">
      <alignment horizontal="center"/>
    </xf>
    <xf numFmtId="10" fontId="10" fillId="6" borderId="1" applyAlignment="1" pivotButton="0" quotePrefix="0" xfId="22">
      <alignment horizontal="center"/>
    </xf>
    <xf numFmtId="189" fontId="14" fillId="0" borderId="1" applyAlignment="1" pivotButton="0" quotePrefix="0" xfId="22">
      <alignment horizontal="center"/>
    </xf>
    <xf numFmtId="189" fontId="16" fillId="0" borderId="0" applyAlignment="1" pivotButton="0" quotePrefix="0" xfId="22">
      <alignment horizontal="right"/>
    </xf>
    <xf numFmtId="189" fontId="16" fillId="0" borderId="29" applyAlignment="1" pivotButton="0" quotePrefix="0" xfId="22">
      <alignment horizontal="center"/>
    </xf>
    <xf numFmtId="0" fontId="21" fillId="3" borderId="0" pivotButton="0" quotePrefix="0" xfId="24"/>
    <xf numFmtId="0" fontId="22" fillId="13" borderId="0" pivotButton="0" quotePrefix="0" xfId="24"/>
    <xf numFmtId="0" fontId="8" fillId="14" borderId="0" pivotButton="0" quotePrefix="0" xfId="24"/>
    <xf numFmtId="180" fontId="22" fillId="13" borderId="0" pivotButton="0" quotePrefix="0" xfId="24"/>
    <xf numFmtId="190" fontId="22" fillId="13" borderId="0" pivotButton="0" quotePrefix="0" xfId="24"/>
    <xf numFmtId="171" fontId="22" fillId="13" borderId="0" pivotButton="0" quotePrefix="0" xfId="24"/>
    <xf numFmtId="14" fontId="22" fillId="13" borderId="0" pivotButton="0" quotePrefix="0" xfId="24"/>
    <xf numFmtId="191" fontId="22" fillId="13" borderId="0" pivotButton="0" quotePrefix="0" xfId="24"/>
    <xf numFmtId="171" fontId="3" fillId="0" borderId="0" pivotButton="0" quotePrefix="0" xfId="24"/>
    <xf numFmtId="174" fontId="22" fillId="13" borderId="0" pivotButton="0" quotePrefix="0" xfId="24"/>
    <xf numFmtId="175" fontId="3" fillId="0" borderId="0" pivotButton="0" quotePrefix="0" xfId="24"/>
    <xf numFmtId="0" fontId="17" fillId="9" borderId="0" applyAlignment="1" pivotButton="0" quotePrefix="0" xfId="22">
      <alignment horizontal="center" wrapText="1"/>
    </xf>
    <xf numFmtId="0" fontId="14" fillId="0" borderId="0" pivotButton="0" quotePrefix="0" xfId="22"/>
    <xf numFmtId="0" fontId="16" fillId="0" borderId="1" applyAlignment="1" pivotButton="0" quotePrefix="0" xfId="22">
      <alignment horizontal="center"/>
    </xf>
    <xf numFmtId="0" fontId="0" fillId="0" borderId="1" pivotButton="0" quotePrefix="0" xfId="0"/>
    <xf numFmtId="0" fontId="16" fillId="0" borderId="10" applyAlignment="1" pivotButton="0" quotePrefix="0" xfId="22">
      <alignment horizontal="center"/>
    </xf>
    <xf numFmtId="0" fontId="0" fillId="0" borderId="11" pivotButton="0" quotePrefix="0" xfId="0"/>
    <xf numFmtId="0" fontId="15" fillId="9" borderId="1" applyAlignment="1" pivotButton="0" quotePrefix="0" xfId="22">
      <alignment horizontal="center"/>
    </xf>
    <xf numFmtId="171" fontId="4" fillId="0" borderId="0" applyAlignment="1" pivotButton="0" quotePrefix="0" xfId="30">
      <alignment horizontal="right" vertical="center"/>
    </xf>
    <xf numFmtId="171" fontId="4" fillId="0" borderId="0" applyAlignment="1" pivotButton="0" quotePrefix="0" xfId="24">
      <alignment horizontal="right" vertical="center"/>
    </xf>
    <xf numFmtId="192" fontId="4" fillId="0" borderId="0" applyAlignment="1" pivotButton="0" quotePrefix="0" xfId="24">
      <alignment horizontal="right" vertical="center"/>
    </xf>
    <xf numFmtId="193" fontId="4" fillId="0" borderId="0" applyAlignment="1" pivotButton="0" quotePrefix="0" xfId="24">
      <alignment horizontal="right" vertical="center"/>
    </xf>
    <xf numFmtId="192" fontId="4" fillId="0" borderId="0" applyAlignment="1" pivotButton="0" quotePrefix="0" xfId="30">
      <alignment horizontal="right" vertical="center"/>
    </xf>
    <xf numFmtId="192" fontId="4" fillId="0" borderId="0" applyAlignment="1" pivotButton="0" quotePrefix="0" xfId="24">
      <alignment horizontal="right" vertical="center"/>
    </xf>
    <xf numFmtId="193" fontId="4" fillId="0" borderId="0" applyAlignment="1" pivotButton="0" quotePrefix="0" xfId="24">
      <alignment horizontal="right" vertical="center"/>
    </xf>
    <xf numFmtId="192" fontId="4" fillId="0" borderId="0" applyAlignment="1" pivotButton="0" quotePrefix="0" xfId="30">
      <alignment horizontal="right" vertical="center"/>
    </xf>
    <xf numFmtId="200" fontId="0" fillId="0" borderId="0" pivotButton="0" quotePrefix="0" xfId="0"/>
    <xf numFmtId="169" fontId="11" fillId="7" borderId="0" applyAlignment="1" pivotButton="0" quotePrefix="0" xfId="21">
      <alignment horizontal="center"/>
    </xf>
    <xf numFmtId="0" fontId="23" fillId="15" borderId="0" applyAlignment="1" pivotButton="0" quotePrefix="0" xfId="0">
      <alignment horizontal="left"/>
    </xf>
    <xf numFmtId="0" fontId="24" fillId="16" borderId="0" pivotButton="0" quotePrefix="0" xfId="0"/>
    <xf numFmtId="190" fontId="24" fillId="17" borderId="0" applyAlignment="1" pivotButton="0" quotePrefix="0" xfId="0">
      <alignment horizontal="center"/>
    </xf>
    <xf numFmtId="190" fontId="24" fillId="0" borderId="0" applyAlignment="1" pivotButton="0" quotePrefix="0" xfId="0">
      <alignment horizontal="center"/>
    </xf>
    <xf numFmtId="0" fontId="25" fillId="16" borderId="0" pivotButton="0" quotePrefix="0" xfId="0"/>
    <xf numFmtId="171" fontId="24" fillId="17" borderId="0" applyAlignment="1" pivotButton="0" quotePrefix="0" xfId="0">
      <alignment horizontal="center"/>
    </xf>
    <xf numFmtId="171" fontId="24" fillId="0" borderId="0" applyAlignment="1" pivotButton="0" quotePrefix="0" xfId="0">
      <alignment horizontal="center"/>
    </xf>
    <xf numFmtId="3" fontId="24" fillId="17" borderId="0" applyAlignment="1" pivotButton="0" quotePrefix="0" xfId="0">
      <alignment horizontal="center"/>
    </xf>
    <xf numFmtId="3" fontId="24" fillId="0" borderId="0" applyAlignment="1" pivotButton="0" quotePrefix="0" xfId="0">
      <alignment horizontal="center"/>
    </xf>
    <xf numFmtId="2" fontId="24" fillId="17" borderId="0" applyAlignment="1" pivotButton="0" quotePrefix="0" xfId="0">
      <alignment horizontal="center"/>
    </xf>
    <xf numFmtId="2" fontId="24" fillId="0" borderId="0" applyAlignment="1" pivotButton="0" quotePrefix="0" xfId="0">
      <alignment horizontal="center"/>
    </xf>
    <xf numFmtId="201" fontId="22" fillId="13" borderId="0" pivotButton="0" quotePrefix="0" xfId="24"/>
  </cellXfs>
  <cellStyles count="35">
    <cellStyle name="Normal" xfId="0" builtinId="0"/>
    <cellStyle name="Comma" xfId="1"/>
    <cellStyle name="Comma 1" xfId="2"/>
    <cellStyle name="Comma 2" xfId="3"/>
    <cellStyle name="Comma 3" xfId="4"/>
    <cellStyle name="Comma [0]" xfId="5"/>
    <cellStyle name="Comma [0] 2" xfId="6"/>
    <cellStyle name="Comma [0] 3" xfId="7"/>
    <cellStyle name="Comma [0] 4" xfId="8"/>
    <cellStyle name="Currency" xfId="9"/>
    <cellStyle name="Currency 2" xfId="10"/>
    <cellStyle name="Currency 3" xfId="11"/>
    <cellStyle name="Currency 4" xfId="12"/>
    <cellStyle name="Currency 5" xfId="13"/>
    <cellStyle name="Currency [0]" xfId="14"/>
    <cellStyle name="Currency [0] 4" xfId="15"/>
    <cellStyle name="Currency [0] 5" xfId="16"/>
    <cellStyle name="Currency [0] 6" xfId="17"/>
    <cellStyle name="m/d/yy" xfId="18"/>
    <cellStyle name="Normal 3" xfId="19"/>
    <cellStyle name="Normal 2" xfId="20"/>
    <cellStyle name="Normal 2 2" xfId="21"/>
    <cellStyle name="Normal 2 3" xfId="22"/>
    <cellStyle name="Normal 4" xfId="23"/>
    <cellStyle name="Normal 5" xfId="24"/>
    <cellStyle name="Normal 6" xfId="25"/>
    <cellStyle name="Normal 7" xfId="26"/>
    <cellStyle name="Normal [3] 2" xfId="27"/>
    <cellStyle name="Output_dcfmodel" xfId="28"/>
    <cellStyle name="Percent" xfId="29"/>
    <cellStyle name="Percent 6" xfId="30"/>
    <cellStyle name="Percent 7" xfId="31"/>
    <cellStyle name="Percent 8" xfId="32"/>
    <cellStyle name="Porcentagem 3" xfId="33"/>
    <cellStyle name="Separador de milhares 2 17" xfId="34"/>
  </cellStyles>
  <dxfs count="24"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</font>
      <fill>
        <patternFill>
          <bgColor rgb="FF00B05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</font>
      <fill>
        <patternFill>
          <bgColor rgb="FF00B05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FF2CC"/>
      <rgbColor rgb="FF99CCFF"/>
      <rgbColor rgb="FFFF99CC"/>
      <rgbColor rgb="FFCC99FF"/>
      <rgbColor rgb="FFD9D9D9"/>
      <rgbColor rgb="FF4472C4"/>
      <rgbColor rgb="FF46B1E1"/>
      <rgbColor rgb="FF99CC00"/>
      <rgbColor rgb="FFFFCC00"/>
      <rgbColor rgb="FFFF9900"/>
      <rgbColor rgb="FFFF6600"/>
      <rgbColor rgb="FF666699"/>
      <rgbColor rgb="FF70AD47"/>
      <rgbColor rgb="FF17365D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None</author>
  </authors>
  <commentList>
    <comment ref="D64" authorId="0" shapeId="0">
      <text>
        <t>MG: 
- expected rate of return on new invested capital</t>
      </text>
    </comment>
  </commentList>
</comment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2"/>
  <sheetViews>
    <sheetView showGridLines="0" tabSelected="1" zoomScaleNormal="100" workbookViewId="0">
      <pane xSplit="3" ySplit="2" topLeftCell="D3" activePane="bottomRight" state="frozen"/>
      <selection activeCell="C3" sqref="C3"/>
      <selection pane="topRight" activeCell="C3" sqref="C3"/>
      <selection pane="bottomLeft" activeCell="C3" sqref="C3"/>
      <selection pane="bottomRight" activeCell="C3" sqref="C3"/>
    </sheetView>
  </sheetViews>
  <sheetFormatPr baseColWidth="8" defaultColWidth="9.7109375" defaultRowHeight="12.75"/>
  <cols>
    <col width="90" customWidth="1" min="1" max="1"/>
    <col width="10.140625" customWidth="1" min="2" max="2"/>
    <col width="45" customWidth="1" min="3" max="3"/>
    <col width="12.42578125" customWidth="1" min="4" max="33"/>
  </cols>
  <sheetData>
    <row r="1" ht="14.25" customHeight="1">
      <c r="A1" s="1" t="inlineStr">
        <is>
          <t>Base histórica normalizada (R$ mil) — convertida da máscara anterior; linhas de origem auditáveis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</row>
    <row r="2" ht="14.25" customHeight="1">
      <c r="A2" s="2" t="inlineStr">
        <is>
          <t>Fonte / conta original</t>
        </is>
      </c>
      <c r="B2" s="2" t="inlineStr">
        <is>
          <t>Código</t>
        </is>
      </c>
      <c r="C2" s="2" t="inlineStr">
        <is>
          <t>Conta padronizada</t>
        </is>
      </c>
      <c r="D2" s="2" t="inlineStr">
        <is>
          <t>1Q21</t>
        </is>
      </c>
      <c r="E2" s="2" t="inlineStr">
        <is>
          <t>2Q21</t>
        </is>
      </c>
      <c r="F2" s="2" t="inlineStr">
        <is>
          <t>3Q21</t>
        </is>
      </c>
      <c r="G2" s="2" t="inlineStr">
        <is>
          <t>4Q21</t>
        </is>
      </c>
      <c r="H2" s="2" t="inlineStr">
        <is>
          <t>2021</t>
        </is>
      </c>
      <c r="I2" s="2" t="inlineStr">
        <is>
          <t>1Q22</t>
        </is>
      </c>
      <c r="J2" s="2" t="inlineStr">
        <is>
          <t>2Q22</t>
        </is>
      </c>
      <c r="K2" s="2" t="inlineStr">
        <is>
          <t>3Q22</t>
        </is>
      </c>
      <c r="L2" s="2" t="inlineStr">
        <is>
          <t>4Q22</t>
        </is>
      </c>
      <c r="M2" s="2" t="inlineStr">
        <is>
          <t>2022</t>
        </is>
      </c>
      <c r="N2" s="2" t="inlineStr">
        <is>
          <t>1Q23</t>
        </is>
      </c>
      <c r="O2" s="2" t="inlineStr">
        <is>
          <t>2Q23</t>
        </is>
      </c>
      <c r="P2" s="2" t="inlineStr">
        <is>
          <t>3Q23</t>
        </is>
      </c>
      <c r="Q2" s="2" t="inlineStr">
        <is>
          <t>4Q23</t>
        </is>
      </c>
      <c r="R2" s="2" t="inlineStr">
        <is>
          <t>2023</t>
        </is>
      </c>
      <c r="S2" s="2" t="inlineStr">
        <is>
          <t>1Q24</t>
        </is>
      </c>
      <c r="T2" s="2" t="inlineStr">
        <is>
          <t>2Q24</t>
        </is>
      </c>
      <c r="U2" s="2" t="inlineStr">
        <is>
          <t>3Q24</t>
        </is>
      </c>
      <c r="V2" s="2" t="inlineStr">
        <is>
          <t>4Q24</t>
        </is>
      </c>
      <c r="W2" s="2" t="inlineStr">
        <is>
          <t>2024</t>
        </is>
      </c>
      <c r="X2" s="2" t="inlineStr">
        <is>
          <t>1Q25</t>
        </is>
      </c>
      <c r="Y2" s="2" t="inlineStr">
        <is>
          <t>2Q25</t>
        </is>
      </c>
      <c r="Z2" s="2" t="inlineStr">
        <is>
          <t>3Q25</t>
        </is>
      </c>
      <c r="AA2" s="2" t="inlineStr">
        <is>
          <t>4Q25</t>
        </is>
      </c>
      <c r="AB2" s="2" t="inlineStr">
        <is>
          <t>2025</t>
        </is>
      </c>
      <c r="AC2" s="2" t="inlineStr">
        <is>
          <t>1Q26</t>
        </is>
      </c>
      <c r="AD2" s="2" t="inlineStr">
        <is>
          <t>2Q26</t>
        </is>
      </c>
      <c r="AE2" s="2" t="inlineStr">
        <is>
          <t>3Q26</t>
        </is>
      </c>
      <c r="AF2" s="2" t="inlineStr">
        <is>
          <t>4Q26</t>
        </is>
      </c>
      <c r="AG2" s="2" t="inlineStr">
        <is>
          <t>2026</t>
        </is>
      </c>
    </row>
    <row r="3">
      <c r="A3" t="inlineStr">
        <is>
          <t>Fonte: ver coluna A de cada linha</t>
        </is>
      </c>
      <c r="C3" t="inlineStr">
        <is>
          <t>Unidade: R$ mil (monetário); demais unidades × 1.000</t>
        </is>
      </c>
    </row>
    <row r="4">
      <c r="A4" t="inlineStr">
        <is>
          <t>DRE - TRIMESTRE ISOLADO (aba Demonstracao de Resultados; R$ mil)</t>
        </is>
      </c>
      <c r="C4" t="inlineStr">
        <is>
          <t>[linha bruta, sem código; lançada nas linhas abaixo]</t>
        </is>
      </c>
      <c r="D4" s="265" t="n"/>
      <c r="E4" s="265" t="n"/>
      <c r="F4" s="265" t="n"/>
      <c r="G4" s="265" t="n"/>
      <c r="I4" s="265" t="n"/>
      <c r="J4" s="265" t="n"/>
      <c r="K4" s="265" t="n"/>
      <c r="L4" s="265" t="n"/>
      <c r="N4" s="265" t="n"/>
      <c r="O4" s="265" t="n"/>
      <c r="P4" s="265" t="n"/>
      <c r="Q4" s="265" t="n"/>
      <c r="S4" s="265" t="n"/>
      <c r="T4" s="265" t="n"/>
      <c r="U4" s="265" t="n"/>
      <c r="V4" s="265" t="n"/>
      <c r="X4" s="265" t="n"/>
      <c r="Y4" s="265" t="n"/>
      <c r="Z4" s="265" t="n"/>
      <c r="AA4" s="265" t="n"/>
      <c r="AC4" s="265" t="n"/>
      <c r="AD4" s="265" t="n"/>
    </row>
    <row r="5">
      <c r="A5" t="inlineStr">
        <is>
          <t>RECEITA OPERACIONAL LÍQUIDA (DRE l.5) · fonte · unid. moeda</t>
        </is>
      </c>
      <c r="B5" t="n">
        <v>1</v>
      </c>
      <c r="C5" t="inlineStr">
        <is>
          <t>Net Revenues</t>
        </is>
      </c>
      <c r="D5" s="265" t="n">
        <v>413885</v>
      </c>
      <c r="E5" s="265" t="n">
        <v>422162</v>
      </c>
      <c r="F5" s="265" t="n">
        <v>453362</v>
      </c>
      <c r="G5" s="265" t="n">
        <v>486971</v>
      </c>
      <c r="I5" s="265" t="n">
        <v>468094</v>
      </c>
      <c r="J5" s="265" t="n">
        <v>586126</v>
      </c>
      <c r="K5" s="265" t="n">
        <v>574411</v>
      </c>
      <c r="L5" s="265" t="n">
        <v>533985</v>
      </c>
      <c r="N5" s="265" t="n">
        <v>557269</v>
      </c>
      <c r="O5" s="265" t="n">
        <v>605408</v>
      </c>
      <c r="P5" s="265" t="n">
        <v>557668</v>
      </c>
      <c r="Q5" s="265" t="n">
        <v>634838</v>
      </c>
      <c r="S5" s="265" t="n">
        <v>669442</v>
      </c>
      <c r="T5" s="265" t="n">
        <v>844220</v>
      </c>
      <c r="U5" s="265" t="n">
        <v>910598</v>
      </c>
      <c r="V5" s="265" t="n">
        <v>924210</v>
      </c>
      <c r="X5" s="265" t="n">
        <v>894132</v>
      </c>
      <c r="Y5" s="265" t="n">
        <v>1065210</v>
      </c>
      <c r="Z5" s="265" t="n">
        <v>1157823</v>
      </c>
      <c r="AA5" s="265" t="n">
        <v>1225843</v>
      </c>
      <c r="AC5" s="265" t="n">
        <v>1164527</v>
      </c>
      <c r="AD5" s="265" t="n">
        <v>1279265</v>
      </c>
    </row>
    <row r="6">
      <c r="A6" t="inlineStr">
        <is>
          <t>Custo da Venda de Imóveis e Serviços Prestados (DRE l.6) (inclui juros capitalizados apropriados ao custo) · fonte · unid. moeda</t>
        </is>
      </c>
      <c r="B6" t="n">
        <v>2</v>
      </c>
      <c r="C6" t="inlineStr">
        <is>
          <t>COGS (cash)</t>
        </is>
      </c>
      <c r="D6" s="265" t="n">
        <v>-267002.297479</v>
      </c>
      <c r="E6" s="265" t="n">
        <v>-263110.639854</v>
      </c>
      <c r="F6" s="265" t="n">
        <v>-291574.268505</v>
      </c>
      <c r="G6" s="265" t="n">
        <v>-324610.794161</v>
      </c>
      <c r="I6" s="265" t="n">
        <v>-303106</v>
      </c>
      <c r="J6" s="265" t="n">
        <v>-403298</v>
      </c>
      <c r="K6" s="265" t="n">
        <v>-379234</v>
      </c>
      <c r="L6" s="265" t="n">
        <v>-343252</v>
      </c>
      <c r="N6" s="265" t="n">
        <v>-359425</v>
      </c>
      <c r="O6" s="265" t="n">
        <v>-400227</v>
      </c>
      <c r="P6" s="265" t="n">
        <v>-365299</v>
      </c>
      <c r="Q6" s="265" t="n">
        <v>-425257</v>
      </c>
      <c r="S6" s="265" t="n">
        <v>-428840</v>
      </c>
      <c r="T6" s="265" t="n">
        <v>-541592</v>
      </c>
      <c r="U6" s="265" t="n">
        <v>-577881</v>
      </c>
      <c r="V6" s="265" t="n">
        <v>-581814</v>
      </c>
      <c r="X6" s="265" t="n">
        <v>-548851</v>
      </c>
      <c r="Y6" s="265" t="n">
        <v>-650982</v>
      </c>
      <c r="Z6" s="265" t="n">
        <v>-694023</v>
      </c>
      <c r="AA6" s="265" t="n">
        <v>-726736</v>
      </c>
      <c r="AC6" s="265" t="n">
        <v>-691115</v>
      </c>
      <c r="AD6" s="265" t="n">
        <v>-767704</v>
      </c>
    </row>
    <row r="7">
      <c r="A7" t="inlineStr">
        <is>
          <t>Despesas Gerais e Administrativas (DRE l.8) (D&amp;A dentro das despesas; devolvida abaixo) · fonte · unid. moeda</t>
        </is>
      </c>
      <c r="B7" t="n">
        <v>3</v>
      </c>
      <c r="C7" t="inlineStr">
        <is>
          <t>SG&amp;A and Other (cash)</t>
        </is>
      </c>
      <c r="D7" s="265" t="n">
        <v>-30477.15932</v>
      </c>
      <c r="E7" s="265" t="n">
        <v>-33690.22859</v>
      </c>
      <c r="F7" s="265" t="n">
        <v>-33785.25017</v>
      </c>
      <c r="G7" s="265" t="n">
        <v>-34558.14986</v>
      </c>
      <c r="I7" s="265" t="n">
        <v>-35322</v>
      </c>
      <c r="J7" s="265" t="n">
        <v>-36394</v>
      </c>
      <c r="K7" s="265" t="n">
        <v>-39730</v>
      </c>
      <c r="L7" s="265" t="n">
        <v>-40183</v>
      </c>
      <c r="N7" s="265" t="n">
        <v>-41957</v>
      </c>
      <c r="O7" s="265" t="n">
        <v>-43423</v>
      </c>
      <c r="P7" s="265" t="n">
        <v>-44731.59454</v>
      </c>
      <c r="Q7" s="265" t="n">
        <v>-44598</v>
      </c>
      <c r="S7" s="265" t="n">
        <v>-49129.60124</v>
      </c>
      <c r="T7" s="265" t="n">
        <v>-52355</v>
      </c>
      <c r="U7" s="265" t="n">
        <v>-52276</v>
      </c>
      <c r="V7" s="265" t="n">
        <v>-56546</v>
      </c>
      <c r="X7" s="265" t="n">
        <v>-55133</v>
      </c>
      <c r="Y7" s="265" t="n">
        <v>-60634</v>
      </c>
      <c r="Z7" s="265" t="n">
        <v>-68636</v>
      </c>
      <c r="AA7" s="265" t="n">
        <v>-70378</v>
      </c>
      <c r="AC7" s="265" t="n">
        <v>-73565</v>
      </c>
      <c r="AD7" s="265" t="n">
        <v>-72032</v>
      </c>
    </row>
    <row r="8">
      <c r="A8" t="inlineStr">
        <is>
          <t>Despesas Comerciais (DRE l.9) · fonte · unid. moeda</t>
        </is>
      </c>
      <c r="B8" t="n">
        <v>3</v>
      </c>
      <c r="C8" t="inlineStr">
        <is>
          <t>SG&amp;A and Other (cash)</t>
        </is>
      </c>
      <c r="D8" s="265" t="n">
        <v>-42749.82038</v>
      </c>
      <c r="E8" s="265" t="n">
        <v>-45477.11349</v>
      </c>
      <c r="F8" s="265" t="n">
        <v>-49548.63671</v>
      </c>
      <c r="G8" s="265" t="n">
        <v>-53126.2818</v>
      </c>
      <c r="I8" s="265" t="n">
        <v>-44831</v>
      </c>
      <c r="J8" s="265" t="n">
        <v>-52798</v>
      </c>
      <c r="K8" s="265" t="n">
        <v>-52788</v>
      </c>
      <c r="L8" s="265" t="n">
        <v>-52665</v>
      </c>
      <c r="N8" s="265" t="n">
        <v>-43360</v>
      </c>
      <c r="O8" s="265" t="n">
        <v>-53518</v>
      </c>
      <c r="P8" s="265" t="n">
        <v>-48465.69731</v>
      </c>
      <c r="Q8" s="265" t="n">
        <v>-56898</v>
      </c>
      <c r="S8" s="265" t="n">
        <v>-55064.80531</v>
      </c>
      <c r="T8" s="265" t="n">
        <v>-71239</v>
      </c>
      <c r="U8" s="265" t="n">
        <v>-80402</v>
      </c>
      <c r="V8" s="265" t="n">
        <v>-83000</v>
      </c>
      <c r="X8" s="265" t="n">
        <v>-80985</v>
      </c>
      <c r="Y8" s="265" t="n">
        <v>-96860</v>
      </c>
      <c r="Z8" s="265" t="n">
        <v>-113940</v>
      </c>
      <c r="AA8" s="265" t="n">
        <v>-116252</v>
      </c>
      <c r="AC8" s="265" t="n">
        <v>-107345</v>
      </c>
      <c r="AD8" s="265" t="n">
        <v>-128636</v>
      </c>
    </row>
    <row r="9">
      <c r="A9" t="inlineStr">
        <is>
          <t>Outras Receitas e Despesas Operacionais (DRE l.11) · fonte · unid. moeda</t>
        </is>
      </c>
      <c r="B9" t="n">
        <v>3</v>
      </c>
      <c r="C9" t="inlineStr">
        <is>
          <t>SG&amp;A and Other (cash)</t>
        </is>
      </c>
      <c r="D9" s="265" t="n">
        <v>-12796.632</v>
      </c>
      <c r="E9" s="265" t="n">
        <v>-6099.95559</v>
      </c>
      <c r="F9" s="265" t="n">
        <v>1896.59621</v>
      </c>
      <c r="G9" s="265" t="n">
        <v>-1387.17195</v>
      </c>
      <c r="I9" s="265" t="n">
        <v>-8827</v>
      </c>
      <c r="J9" s="265" t="n">
        <v>-18234</v>
      </c>
      <c r="K9" s="265" t="n">
        <v>-21872</v>
      </c>
      <c r="L9" s="265" t="n">
        <v>23575</v>
      </c>
      <c r="N9" s="265" t="n">
        <v>-16383</v>
      </c>
      <c r="O9" s="265" t="n">
        <v>9315</v>
      </c>
      <c r="P9" s="265" t="n">
        <v>-9689.940119999999</v>
      </c>
      <c r="Q9" s="265" t="n">
        <v>-42231</v>
      </c>
      <c r="S9" s="265" t="n">
        <v>-4647.50873</v>
      </c>
      <c r="T9" s="265" t="n">
        <v>-17150</v>
      </c>
      <c r="U9" s="265" t="n">
        <v>-31522</v>
      </c>
      <c r="V9" s="265" t="n">
        <v>3441</v>
      </c>
      <c r="X9" s="265" t="n">
        <v>-25081</v>
      </c>
      <c r="Y9" s="265" t="n">
        <v>-46633</v>
      </c>
      <c r="Z9" s="265" t="n">
        <v>-14319</v>
      </c>
      <c r="AA9" s="265" t="n">
        <v>-33062</v>
      </c>
      <c r="AC9" s="265" t="n">
        <v>-12800</v>
      </c>
      <c r="AD9" s="265" t="n">
        <v>-40693</v>
      </c>
    </row>
    <row r="10">
      <c r="A10" t="inlineStr">
        <is>
          <t>Resultado com Equivalência Patrimonial (DRE l.10) (equivalencia patrimonial -&gt; cod 8) · fonte · unid. moeda</t>
        </is>
      </c>
      <c r="B10" t="n">
        <v>8</v>
      </c>
      <c r="C10" t="inlineStr">
        <is>
          <t>Equity in Income of Affiliates, after tax (enter as +)</t>
        </is>
      </c>
      <c r="D10" s="265" t="n">
        <v>2701.391939</v>
      </c>
      <c r="E10" s="265" t="n">
        <v>2536.545302</v>
      </c>
      <c r="F10" s="265" t="n">
        <v>6060.006937</v>
      </c>
      <c r="G10" s="265" t="n">
        <v>6261.055822</v>
      </c>
      <c r="I10" s="265" t="n">
        <v>3531</v>
      </c>
      <c r="J10" s="265" t="n">
        <v>4860</v>
      </c>
      <c r="K10" s="265" t="n">
        <v>8302</v>
      </c>
      <c r="L10" s="265" t="n">
        <v>5065</v>
      </c>
      <c r="N10" s="265" t="n">
        <v>6754</v>
      </c>
      <c r="O10" s="265" t="n">
        <v>11933</v>
      </c>
      <c r="P10" s="265" t="n">
        <v>19669.19318</v>
      </c>
      <c r="Q10" s="265" t="n">
        <v>15345</v>
      </c>
      <c r="S10" s="265" t="n">
        <v>26452.98203</v>
      </c>
      <c r="T10" s="265" t="n">
        <v>19423</v>
      </c>
      <c r="U10" s="265" t="n">
        <v>18500</v>
      </c>
      <c r="V10" s="265" t="n">
        <v>22152</v>
      </c>
      <c r="X10" s="265" t="n">
        <v>12368</v>
      </c>
      <c r="Y10" s="265" t="n">
        <v>14911</v>
      </c>
      <c r="Z10" s="265" t="n">
        <v>16173</v>
      </c>
      <c r="AA10" s="265" t="n">
        <v>19179</v>
      </c>
      <c r="AC10" s="265" t="n">
        <v>12932</v>
      </c>
      <c r="AD10" s="265" t="n">
        <v>18568</v>
      </c>
    </row>
    <row r="11">
      <c r="A11" t="inlineStr">
        <is>
          <t>Despesas Financeiras (DRE l.12) (despesas financeiras) · fonte · unid. moeda</t>
        </is>
      </c>
      <c r="B11" t="n">
        <v>5</v>
      </c>
      <c r="C11" t="inlineStr">
        <is>
          <t>Interest Expense</t>
        </is>
      </c>
      <c r="D11" s="265" t="n">
        <v>-28654.08838</v>
      </c>
      <c r="E11" s="265" t="n">
        <v>-26862.08838</v>
      </c>
      <c r="F11" s="265" t="n">
        <v>-39944.08838</v>
      </c>
      <c r="G11" s="265" t="n">
        <v>-61886.734859</v>
      </c>
      <c r="I11" s="265" t="n">
        <v>-60801</v>
      </c>
      <c r="J11" s="265" t="n">
        <v>-65049</v>
      </c>
      <c r="K11" s="265" t="n">
        <v>-68711</v>
      </c>
      <c r="L11" s="265" t="n">
        <v>-74805</v>
      </c>
      <c r="N11" s="265" t="n">
        <v>-69260</v>
      </c>
      <c r="O11" s="265" t="n">
        <v>-69299</v>
      </c>
      <c r="P11" s="265" t="n">
        <v>-75550.89145</v>
      </c>
      <c r="Q11" s="265" t="n">
        <v>-73935</v>
      </c>
      <c r="S11" s="265" t="n">
        <v>-40248.69382</v>
      </c>
      <c r="T11" s="265" t="n">
        <v>-65707</v>
      </c>
      <c r="U11" s="265" t="n">
        <v>-59330</v>
      </c>
      <c r="V11" s="265" t="n">
        <v>-91503</v>
      </c>
      <c r="X11" s="265" t="n">
        <v>-61290</v>
      </c>
      <c r="Y11" s="265" t="n">
        <v>-79992</v>
      </c>
      <c r="Z11" s="265" t="n">
        <v>-92014</v>
      </c>
      <c r="AA11" s="265" t="n">
        <v>-113765</v>
      </c>
      <c r="AC11" s="265" t="n">
        <v>-119807</v>
      </c>
      <c r="AD11" s="265" t="n">
        <v>-140037</v>
      </c>
    </row>
    <row r="12">
      <c r="A12" t="inlineStr">
        <is>
          <t>Receitas Financeiras (DRE l.13) (receitas financeiras) · fonte · unid. moeda</t>
        </is>
      </c>
      <c r="B12" t="n">
        <v>6</v>
      </c>
      <c r="C12" t="inlineStr">
        <is>
          <t>Nonoperating Income / (Loss)</t>
        </is>
      </c>
      <c r="D12" s="265" t="n">
        <v>8828.935289999999</v>
      </c>
      <c r="E12" s="265" t="n">
        <v>12895.79837</v>
      </c>
      <c r="F12" s="265" t="n">
        <v>20724.72756</v>
      </c>
      <c r="G12" s="265" t="n">
        <v>38182.27011</v>
      </c>
      <c r="I12" s="265" t="n">
        <v>36308</v>
      </c>
      <c r="J12" s="265" t="n">
        <v>34226</v>
      </c>
      <c r="K12" s="265" t="n">
        <v>70823</v>
      </c>
      <c r="L12" s="265" t="n">
        <v>54132</v>
      </c>
      <c r="N12" s="265" t="n">
        <v>49962</v>
      </c>
      <c r="O12" s="265" t="n">
        <v>68147</v>
      </c>
      <c r="P12" s="265" t="n">
        <v>63367.25602</v>
      </c>
      <c r="Q12" s="265" t="n">
        <v>120692</v>
      </c>
      <c r="S12" s="265" t="n">
        <v>63456.8531</v>
      </c>
      <c r="T12" s="265" t="n">
        <v>69213</v>
      </c>
      <c r="U12" s="265" t="n">
        <v>76764.07807</v>
      </c>
      <c r="V12" s="265" t="n">
        <v>84674</v>
      </c>
      <c r="X12" s="265" t="n">
        <v>77401</v>
      </c>
      <c r="Y12" s="265" t="n">
        <v>98161</v>
      </c>
      <c r="Z12" s="265" t="n">
        <v>119310</v>
      </c>
      <c r="AA12" s="265" t="n">
        <v>127549</v>
      </c>
      <c r="AC12" s="265" t="n">
        <v>119179</v>
      </c>
      <c r="AD12" s="265" t="n">
        <v>133834</v>
      </c>
    </row>
    <row r="13">
      <c r="A13" t="inlineStr">
        <is>
          <t>Imposto de Renda e Contribuição Social - Corrente e Diferido (DRE l.15) · fonte · unid. moeda</t>
        </is>
      </c>
      <c r="B13" t="n">
        <v>7</v>
      </c>
      <c r="C13" t="inlineStr">
        <is>
          <t>Taxes</t>
        </is>
      </c>
      <c r="D13" s="265" t="n">
        <v>-7956.27467</v>
      </c>
      <c r="E13" s="265" t="n">
        <v>-9448.270049999999</v>
      </c>
      <c r="F13" s="265" t="n">
        <v>-8254.54538</v>
      </c>
      <c r="G13" s="265" t="n">
        <v>-9904.060240000001</v>
      </c>
      <c r="I13" s="265" t="n">
        <v>-9805</v>
      </c>
      <c r="J13" s="265" t="n">
        <v>-12572</v>
      </c>
      <c r="K13" s="265" t="n">
        <v>-12246</v>
      </c>
      <c r="L13" s="265" t="n">
        <v>-11224</v>
      </c>
      <c r="N13" s="265" t="n">
        <v>-11335</v>
      </c>
      <c r="O13" s="265" t="n">
        <v>-13564</v>
      </c>
      <c r="P13" s="265" t="n">
        <v>-11091.37998</v>
      </c>
      <c r="Q13" s="265" t="n">
        <v>-13991</v>
      </c>
      <c r="S13" s="265" t="n">
        <v>-12423.35943</v>
      </c>
      <c r="T13" s="265" t="n">
        <v>-14901</v>
      </c>
      <c r="U13" s="265" t="n">
        <v>-19761.09439</v>
      </c>
      <c r="V13" s="265" t="n">
        <v>-17545</v>
      </c>
      <c r="X13" s="265" t="n">
        <v>-21109</v>
      </c>
      <c r="Y13" s="265" t="n">
        <v>-22538</v>
      </c>
      <c r="Z13" s="265" t="n">
        <v>-27400</v>
      </c>
      <c r="AA13" s="265" t="n">
        <v>-27756</v>
      </c>
      <c r="AC13" s="265" t="n">
        <v>-24472</v>
      </c>
      <c r="AD13" s="265" t="n">
        <v>-27137.92971</v>
      </c>
    </row>
    <row r="14">
      <c r="A14" t="inlineStr">
        <is>
          <t>Participantes em SCPs e SPEs (DRE l.17) (participantes em SCPs e SPEs = minoritarios -&gt; cod 9) · fonte · unid. moeda</t>
        </is>
      </c>
      <c r="B14" t="n">
        <v>9</v>
      </c>
      <c r="C14" t="inlineStr">
        <is>
          <t>Minority Interest Expense, after tax (enter as - )</t>
        </is>
      </c>
      <c r="D14" s="265" t="n">
        <v>-8967.411407</v>
      </c>
      <c r="E14" s="265" t="n">
        <v>-12282.841155</v>
      </c>
      <c r="F14" s="265" t="n">
        <v>-11726.429863</v>
      </c>
      <c r="G14" s="265" t="n">
        <v>-13982.317574</v>
      </c>
      <c r="I14" s="265" t="n">
        <v>-18534</v>
      </c>
      <c r="J14" s="265" t="n">
        <v>-14431</v>
      </c>
      <c r="K14" s="265" t="n">
        <v>-16681</v>
      </c>
      <c r="L14" s="265" t="n">
        <v>-16023</v>
      </c>
      <c r="N14" s="265" t="n">
        <v>-13511</v>
      </c>
      <c r="O14" s="265" t="n">
        <v>-10333</v>
      </c>
      <c r="P14" s="265" t="n">
        <v>-17112</v>
      </c>
      <c r="Q14" s="265" t="n">
        <v>-14359</v>
      </c>
      <c r="S14" s="265" t="n">
        <v>-18713.16342</v>
      </c>
      <c r="T14" s="265" t="n">
        <v>-23743</v>
      </c>
      <c r="U14" s="265" t="n">
        <v>-24226</v>
      </c>
      <c r="V14" s="265" t="n">
        <v>-22608</v>
      </c>
      <c r="X14" s="265" t="n">
        <v>-26936</v>
      </c>
      <c r="Y14" s="265" t="n">
        <v>-36901</v>
      </c>
      <c r="Z14" s="265" t="n">
        <v>-53322</v>
      </c>
      <c r="AA14" s="265" t="n">
        <v>-73191</v>
      </c>
      <c r="AC14" s="265" t="n">
        <v>-54374</v>
      </c>
      <c r="AD14" s="265" t="n">
        <v>-53778</v>
      </c>
    </row>
    <row r="15">
      <c r="A15" t="inlineStr">
        <is>
          <t>LUCRO BRUTO (DRE l.7) - memoria · memoria · unid. moeda</t>
        </is>
      </c>
      <c r="C15" t="inlineStr">
        <is>
          <t>[linha bruta, sem código; lançada nas linhas abaixo]</t>
        </is>
      </c>
      <c r="D15" s="265" t="n">
        <v>146882.702521</v>
      </c>
      <c r="E15" s="265" t="n">
        <v>159051.360146</v>
      </c>
      <c r="F15" s="265" t="n">
        <v>161787.731495</v>
      </c>
      <c r="G15" s="265" t="n">
        <v>162360.205839</v>
      </c>
      <c r="I15" s="265" t="n">
        <v>164988</v>
      </c>
      <c r="J15" s="265" t="n">
        <v>182828</v>
      </c>
      <c r="K15" s="265" t="n">
        <v>195177</v>
      </c>
      <c r="L15" s="265" t="n">
        <v>190733</v>
      </c>
      <c r="N15" s="265" t="n">
        <v>197844</v>
      </c>
      <c r="O15" s="265" t="n">
        <v>205181</v>
      </c>
      <c r="P15" s="265" t="n">
        <v>192369</v>
      </c>
      <c r="Q15" s="265" t="n">
        <v>209581</v>
      </c>
      <c r="S15" s="265" t="n">
        <v>240602</v>
      </c>
      <c r="T15" s="265" t="n">
        <v>302628</v>
      </c>
      <c r="U15" s="265" t="n">
        <v>332717</v>
      </c>
      <c r="V15" s="265" t="n">
        <v>342396</v>
      </c>
      <c r="X15" s="265" t="n">
        <v>345280.62881</v>
      </c>
      <c r="Y15" s="265" t="n">
        <v>414228</v>
      </c>
      <c r="Z15" s="265" t="n">
        <v>463800</v>
      </c>
      <c r="AA15" s="265" t="n">
        <v>499107</v>
      </c>
      <c r="AC15" s="265" t="n">
        <v>473412</v>
      </c>
      <c r="AD15" s="265" t="n">
        <v>511561</v>
      </c>
    </row>
    <row r="16">
      <c r="A16" t="inlineStr">
        <is>
          <t>RESULTADO ANTES DO IR E CSLL (DRE l.14) - memoria · memoria · unid. moeda</t>
        </is>
      </c>
      <c r="C16" t="inlineStr">
        <is>
          <t>[linha bruta, sem código; lançada nas linhas abaixo]</t>
        </is>
      </c>
      <c r="D16" s="265" t="n">
        <v>43735.329669</v>
      </c>
      <c r="E16" s="265" t="n">
        <v>62354.317767</v>
      </c>
      <c r="F16" s="265" t="n">
        <v>67191.086941</v>
      </c>
      <c r="G16" s="265" t="n">
        <v>55845.193303</v>
      </c>
      <c r="I16" s="265" t="n">
        <v>55046</v>
      </c>
      <c r="J16" s="265" t="n">
        <v>49439</v>
      </c>
      <c r="K16" s="265" t="n">
        <v>91199</v>
      </c>
      <c r="L16" s="265" t="n">
        <v>105851</v>
      </c>
      <c r="N16" s="265" t="n">
        <v>83600</v>
      </c>
      <c r="O16" s="265" t="n">
        <v>128335</v>
      </c>
      <c r="P16" s="265" t="n">
        <v>96966.32578</v>
      </c>
      <c r="Q16" s="265" t="n">
        <v>127956</v>
      </c>
      <c r="S16" s="265" t="n">
        <v>181420.22603</v>
      </c>
      <c r="T16" s="265" t="n">
        <v>184813</v>
      </c>
      <c r="U16" s="265" t="n">
        <v>204451.07807</v>
      </c>
      <c r="V16" s="265" t="n">
        <v>221614</v>
      </c>
      <c r="X16" s="265" t="n">
        <v>212561</v>
      </c>
      <c r="Y16" s="265" t="n">
        <v>243181</v>
      </c>
      <c r="Z16" s="265" t="n">
        <v>310375</v>
      </c>
      <c r="AA16" s="265" t="n">
        <v>312379</v>
      </c>
      <c r="AC16" s="265" t="n">
        <v>292006</v>
      </c>
      <c r="AD16" s="265" t="n">
        <v>282565</v>
      </c>
    </row>
    <row r="17">
      <c r="A17" t="inlineStr">
        <is>
          <t>RESULTADO LÍQUIDO ANTES DOS PARTICIPANTES EM SCPs E SPEs (DRE l.16) - memoria · memoria · unid. moeda</t>
        </is>
      </c>
      <c r="C17" t="inlineStr">
        <is>
          <t>[linha bruta, sem código; lançada nas linhas abaixo]</t>
        </is>
      </c>
      <c r="D17" s="265" t="n">
        <v>35779.054999</v>
      </c>
      <c r="E17" s="265" t="n">
        <v>52906.047717</v>
      </c>
      <c r="F17" s="265" t="n">
        <v>58936.541561</v>
      </c>
      <c r="G17" s="265" t="n">
        <v>45941.133063</v>
      </c>
      <c r="I17" s="265" t="n">
        <v>45241</v>
      </c>
      <c r="J17" s="265" t="n">
        <v>36867</v>
      </c>
      <c r="K17" s="265" t="n">
        <v>78953</v>
      </c>
      <c r="L17" s="265" t="n">
        <v>94628</v>
      </c>
      <c r="N17" s="265" t="n">
        <v>72265</v>
      </c>
      <c r="O17" s="265" t="n">
        <v>114771</v>
      </c>
      <c r="P17" s="265" t="n">
        <v>85874.9458</v>
      </c>
      <c r="Q17" s="265" t="n">
        <v>113965</v>
      </c>
      <c r="S17" s="265" t="n">
        <v>168996.8666</v>
      </c>
      <c r="T17" s="265" t="n">
        <v>169912</v>
      </c>
      <c r="U17" s="265" t="n">
        <v>184689.98368</v>
      </c>
      <c r="V17" s="265" t="n">
        <v>204069</v>
      </c>
      <c r="X17" s="265" t="n">
        <v>191452</v>
      </c>
      <c r="Y17" s="265" t="n">
        <v>220643</v>
      </c>
      <c r="Z17" s="265" t="n">
        <v>282974</v>
      </c>
      <c r="AA17" s="265" t="n">
        <v>284623</v>
      </c>
      <c r="AC17" s="265" t="n">
        <v>267534</v>
      </c>
      <c r="AD17" s="265" t="n">
        <v>255427.07029</v>
      </c>
    </row>
    <row r="18">
      <c r="A18" t="inlineStr">
        <is>
          <t>LUCRO LÍQUIDO DO PERÍODO (DRE l.18) - memoria · memoria · unid. moeda</t>
        </is>
      </c>
      <c r="C18" t="inlineStr">
        <is>
          <t>[linha bruta, sem código; lançada nas linhas abaixo]</t>
        </is>
      </c>
      <c r="D18" s="265" t="n">
        <v>26811.643592</v>
      </c>
      <c r="E18" s="265" t="n">
        <v>40623.206562</v>
      </c>
      <c r="F18" s="265" t="n">
        <v>47210.111698</v>
      </c>
      <c r="G18" s="265" t="n">
        <v>31958.815488</v>
      </c>
      <c r="I18" s="265" t="n">
        <v>26707</v>
      </c>
      <c r="J18" s="265" t="n">
        <v>22436</v>
      </c>
      <c r="K18" s="265" t="n">
        <v>62272</v>
      </c>
      <c r="L18" s="265" t="n">
        <v>78605</v>
      </c>
      <c r="N18" s="265" t="n">
        <v>58754</v>
      </c>
      <c r="O18" s="265" t="n">
        <v>104439</v>
      </c>
      <c r="P18" s="265" t="n">
        <v>68762.9458</v>
      </c>
      <c r="Q18" s="265" t="n">
        <v>99606</v>
      </c>
      <c r="S18" s="265" t="n">
        <v>150283.70318</v>
      </c>
      <c r="T18" s="265" t="n">
        <v>146169</v>
      </c>
      <c r="U18" s="265" t="n">
        <v>160463.98368</v>
      </c>
      <c r="V18" s="265" t="n">
        <v>181461</v>
      </c>
      <c r="X18" s="265" t="n">
        <v>164516</v>
      </c>
      <c r="Y18" s="265" t="n">
        <v>183742</v>
      </c>
      <c r="Z18" s="265" t="n">
        <v>229652</v>
      </c>
      <c r="AA18" s="265" t="n">
        <v>211432</v>
      </c>
      <c r="AC18" s="265" t="n">
        <v>213160</v>
      </c>
      <c r="AD18" s="265" t="n">
        <v>201649.07029</v>
      </c>
    </row>
    <row r="19">
      <c r="A19" t="inlineStr">
        <is>
          <t>D&amp;A e DIVIDENDOS - DFC consolidada dos ITR/DFP na CVM, ACUMULADO NO ANO (R$ mil). A planilha da Cia nao traz DFC nem D&amp;A</t>
        </is>
      </c>
      <c r="C19" t="inlineStr">
        <is>
          <t>[linha bruta, sem código; lançada nas linhas abaixo]</t>
        </is>
      </c>
      <c r="D19" s="265" t="n"/>
      <c r="E19" s="265" t="n"/>
      <c r="F19" s="265" t="n"/>
      <c r="G19" s="265" t="n"/>
      <c r="I19" s="265" t="n"/>
      <c r="J19" s="265" t="n"/>
      <c r="K19" s="265" t="n"/>
      <c r="L19" s="265" t="n"/>
      <c r="N19" s="265" t="n"/>
      <c r="O19" s="265" t="n"/>
      <c r="P19" s="265" t="n"/>
      <c r="Q19" s="265" t="n"/>
      <c r="S19" s="265" t="n"/>
      <c r="T19" s="265" t="n"/>
      <c r="U19" s="265" t="n"/>
      <c r="V19" s="265" t="n"/>
      <c r="X19" s="265" t="n"/>
      <c r="Y19" s="265" t="n"/>
      <c r="Z19" s="265" t="n"/>
      <c r="AA19" s="265" t="n"/>
      <c r="AC19" s="265" t="n"/>
      <c r="AD19" s="265" t="n"/>
    </row>
    <row r="20">
      <c r="A20" t="inlineStr">
        <is>
          <t>Depreciacoes e amortizacoes - acumulado no ano (CVM, DFC 6.01.01 "Depreciac..."; positivo) · memoria · unid. moeda</t>
        </is>
      </c>
      <c r="C20" t="inlineStr">
        <is>
          <t>[linha bruta, sem código; lançada nas linhas abaixo]</t>
        </is>
      </c>
      <c r="D20" s="265" t="n">
        <v>12168</v>
      </c>
      <c r="E20" s="265" t="n">
        <v>24620</v>
      </c>
      <c r="F20" s="265" t="n">
        <v>37625</v>
      </c>
      <c r="G20" s="265" t="n">
        <v>51287</v>
      </c>
      <c r="I20" s="265" t="n">
        <v>14185</v>
      </c>
      <c r="J20" s="265" t="n">
        <v>27828</v>
      </c>
      <c r="K20" s="265" t="n">
        <v>40657</v>
      </c>
      <c r="L20" s="265" t="n">
        <v>53425</v>
      </c>
      <c r="N20" s="265" t="n">
        <v>13548</v>
      </c>
      <c r="O20" s="265" t="n">
        <v>30671</v>
      </c>
      <c r="P20" s="265" t="n">
        <v>47252</v>
      </c>
      <c r="Q20" s="265" t="n">
        <v>60555</v>
      </c>
      <c r="S20" s="265" t="n">
        <v>16148</v>
      </c>
      <c r="T20" s="265" t="n">
        <v>34777</v>
      </c>
      <c r="U20" s="265" t="n">
        <v>51036</v>
      </c>
      <c r="V20" s="265" t="n">
        <v>70067</v>
      </c>
      <c r="X20" s="265" t="n">
        <v>18020</v>
      </c>
      <c r="Y20" s="265" t="n">
        <v>37748</v>
      </c>
      <c r="Z20" s="265" t="n">
        <v>58052</v>
      </c>
      <c r="AA20" s="265" t="n">
        <v>80743</v>
      </c>
      <c r="AC20" s="265" t="n">
        <v>22549</v>
      </c>
      <c r="AD20" s="265" t="n">
        <v>45988</v>
      </c>
    </row>
    <row r="21">
      <c r="A21" t="inlineStr">
        <is>
          <t>Dividendos pagos aos controladores - acumulado no ano (CVM, DFC 6.03 "Dividendos pagos"; 1S26 +4,5 = estorno, como no release) · memoria · unid. moeda</t>
        </is>
      </c>
      <c r="C21" t="inlineStr">
        <is>
          <t>[linha bruta, sem código; lançada nas linhas abaixo]</t>
        </is>
      </c>
      <c r="D21" s="265" t="n">
        <v>0</v>
      </c>
      <c r="E21" s="265" t="n">
        <v>-100135</v>
      </c>
      <c r="F21" s="265" t="n">
        <v>-100147</v>
      </c>
      <c r="G21" s="265" t="n">
        <v>-100147</v>
      </c>
      <c r="I21" s="265" t="n">
        <v>-1</v>
      </c>
      <c r="J21" s="265" t="n">
        <v>-2</v>
      </c>
      <c r="K21" s="265" t="n">
        <v>-69964</v>
      </c>
      <c r="L21" s="265" t="n">
        <v>-69964</v>
      </c>
      <c r="N21" s="265" t="n">
        <v>-104289</v>
      </c>
      <c r="O21" s="265" t="n">
        <v>-104287</v>
      </c>
      <c r="P21" s="265" t="n">
        <v>-104287</v>
      </c>
      <c r="Q21" s="265" t="n">
        <v>-104288</v>
      </c>
      <c r="S21" s="265" t="n">
        <v>-81165</v>
      </c>
      <c r="T21" s="265" t="n">
        <v>-81165</v>
      </c>
      <c r="U21" s="265" t="n">
        <v>-358370</v>
      </c>
      <c r="V21" s="265" t="n">
        <v>-358379</v>
      </c>
      <c r="X21" s="265" t="n">
        <v>-299399</v>
      </c>
      <c r="Y21" s="265" t="n">
        <v>-299399</v>
      </c>
      <c r="Z21" s="265" t="n">
        <v>-646063</v>
      </c>
      <c r="AA21" s="265" t="n">
        <v>-1450771</v>
      </c>
      <c r="AC21" s="265" t="n">
        <v>-11897</v>
      </c>
      <c r="AD21" s="265" t="n">
        <v>4513</v>
      </c>
    </row>
    <row r="22">
      <c r="A22" t="inlineStr">
        <is>
          <t>DERIVADAS (formula nesta aba)</t>
        </is>
      </c>
      <c r="C22" t="inlineStr">
        <is>
          <t>[linha bruta, sem código; lançada nas linhas abaixo]</t>
        </is>
      </c>
      <c r="D22" s="265" t="n"/>
      <c r="E22" s="265" t="n"/>
      <c r="F22" s="265" t="n"/>
      <c r="G22" s="265" t="n"/>
      <c r="I22" s="265" t="n"/>
      <c r="J22" s="265" t="n"/>
      <c r="K22" s="265" t="n"/>
      <c r="L22" s="265" t="n"/>
      <c r="N22" s="265" t="n"/>
      <c r="O22" s="265" t="n"/>
      <c r="P22" s="265" t="n"/>
      <c r="Q22" s="265" t="n"/>
      <c r="S22" s="265" t="n"/>
      <c r="T22" s="265" t="n"/>
      <c r="U22" s="265" t="n"/>
      <c r="V22" s="265" t="n"/>
      <c r="X22" s="265" t="n"/>
      <c r="Y22" s="265" t="n"/>
      <c r="Z22" s="265" t="n"/>
      <c r="AA22" s="265" t="n"/>
      <c r="AC22" s="265" t="n"/>
      <c r="AD22" s="265" t="n"/>
    </row>
    <row r="23">
      <c r="A23" t="inlineStr">
        <is>
          <t>D&amp;A trimestral (CVM, desacumulada; negativa): COD1=4 lanca; COD2=3 devolve as despesas. 2T26 23,5 x 22,5 no release (o release usa outra base) · derivada · unid. moeda</t>
        </is>
      </c>
      <c r="C23" t="inlineStr">
        <is>
          <t>[linha bruta, sem código; lançada nas linhas abaixo]</t>
        </is>
      </c>
      <c r="D23" s="265">
        <f>-N(D20)</f>
        <v>-12168</v>
      </c>
      <c r="E23" s="265">
        <f>-(N(E20)-N(D20))</f>
        <v>-12452</v>
      </c>
      <c r="F23" s="265">
        <f>-(N(F20)-N(E20))</f>
        <v>-13005</v>
      </c>
      <c r="G23" s="265">
        <f>-(N(G20)-N(F20))</f>
        <v>-13662</v>
      </c>
      <c r="I23" s="265">
        <f>-N(I20)</f>
        <v>-14185</v>
      </c>
      <c r="J23" s="265">
        <f>-(N(J20)-N(I20))</f>
        <v>-13643</v>
      </c>
      <c r="K23" s="265">
        <f>-(N(K20)-N(J20))</f>
        <v>-12829</v>
      </c>
      <c r="L23" s="265">
        <f>-(N(L20)-N(K20))</f>
        <v>-12768</v>
      </c>
      <c r="N23" s="265">
        <f>-N(N20)</f>
        <v>-13548</v>
      </c>
      <c r="O23" s="265">
        <f>-(N(O20)-N(N20))</f>
        <v>-17123</v>
      </c>
      <c r="P23" s="265">
        <f>-(N(P20)-N(O20))</f>
        <v>-16581</v>
      </c>
      <c r="Q23" s="265">
        <f>-(N(Q20)-N(P20))</f>
        <v>-13303</v>
      </c>
      <c r="S23" s="265">
        <f>-N(S20)</f>
        <v>-16148</v>
      </c>
      <c r="T23" s="265">
        <f>-(N(T20)-N(S20))</f>
        <v>-18629</v>
      </c>
      <c r="U23" s="265">
        <f>-(N(U20)-N(T20))</f>
        <v>-16259</v>
      </c>
      <c r="V23" s="265">
        <f>-(N(V20)-N(U20))</f>
        <v>-19031</v>
      </c>
      <c r="X23" s="265">
        <f>-N(X20)</f>
        <v>-18020</v>
      </c>
      <c r="Y23" s="265">
        <f>-(N(Y20)-N(X20))</f>
        <v>-19728</v>
      </c>
      <c r="Z23" s="265">
        <f>-(N(Z20)-N(Y20))</f>
        <v>-20304</v>
      </c>
      <c r="AA23" s="265">
        <f>-(N(AA20)-N(Z20))</f>
        <v>-22691</v>
      </c>
      <c r="AC23" s="265">
        <f>-N(AC20)</f>
        <v>-22549</v>
      </c>
      <c r="AD23" s="265">
        <f>-(N(AD20)-N(AC20))</f>
        <v>-23439</v>
      </c>
    </row>
    <row r="24">
      <c r="A24" t="inlineStr">
        <is>
          <t>(lançamento) código 4, sinal +1 sobre a linha bruta 23: D&amp;A trimestral (CVM, desacumulada; negativa): COD1=4 lanca; COD2=3 devolve as despesas. 2T</t>
        </is>
      </c>
      <c r="B24" t="n">
        <v>4</v>
      </c>
      <c r="C24" t="inlineStr">
        <is>
          <t>D&amp;A</t>
        </is>
      </c>
      <c r="D24" s="265">
        <f>IF(D23="","",D23)</f>
        <v>-12168</v>
      </c>
      <c r="E24" s="265">
        <f>IF(E23="","",E23)</f>
        <v>-12452</v>
      </c>
      <c r="F24" s="265">
        <f>IF(F23="","",F23)</f>
        <v>-13005</v>
      </c>
      <c r="G24" s="265">
        <f>IF(G23="","",G23)</f>
        <v>-13662</v>
      </c>
      <c r="I24" s="265">
        <f>IF(I23="","",I23)</f>
        <v>-14185</v>
      </c>
      <c r="J24" s="265">
        <f>IF(J23="","",J23)</f>
        <v>-13643</v>
      </c>
      <c r="K24" s="265">
        <f>IF(K23="","",K23)</f>
        <v>-12829</v>
      </c>
      <c r="L24" s="265">
        <f>IF(L23="","",L23)</f>
        <v>-12768</v>
      </c>
      <c r="N24" s="265">
        <f>IF(N23="","",N23)</f>
        <v>-13548</v>
      </c>
      <c r="O24" s="265">
        <f>IF(O23="","",O23)</f>
        <v>-17123</v>
      </c>
      <c r="P24" s="265">
        <f>IF(P23="","",P23)</f>
        <v>-16581</v>
      </c>
      <c r="Q24" s="265">
        <f>IF(Q23="","",Q23)</f>
        <v>-13303</v>
      </c>
      <c r="S24" s="265">
        <f>IF(S23="","",S23)</f>
        <v>-16148</v>
      </c>
      <c r="T24" s="265">
        <f>IF(T23="","",T23)</f>
        <v>-18629</v>
      </c>
      <c r="U24" s="265">
        <f>IF(U23="","",U23)</f>
        <v>-16259</v>
      </c>
      <c r="V24" s="265">
        <f>IF(V23="","",V23)</f>
        <v>-19031</v>
      </c>
      <c r="X24" s="265">
        <f>IF(X23="","",X23)</f>
        <v>-18020</v>
      </c>
      <c r="Y24" s="265">
        <f>IF(Y23="","",Y23)</f>
        <v>-19728</v>
      </c>
      <c r="Z24" s="265">
        <f>IF(Z23="","",Z23)</f>
        <v>-20304</v>
      </c>
      <c r="AA24" s="265">
        <f>IF(AA23="","",AA23)</f>
        <v>-22691</v>
      </c>
      <c r="AC24" s="265">
        <f>IF(AC23="","",AC23)</f>
        <v>-22549</v>
      </c>
      <c r="AD24" s="265">
        <f>IF(AD23="","",AD23)</f>
        <v>-23439</v>
      </c>
    </row>
    <row r="25">
      <c r="A25" t="inlineStr">
        <is>
          <t>(lançamento) código 3, sinal -1 sobre a linha bruta 23: D&amp;A trimestral (CVM, desacumulada; negativa): COD1=4 lanca; COD2=3 devolve as despesas. 2T</t>
        </is>
      </c>
      <c r="B25" t="n">
        <v>3</v>
      </c>
      <c r="C25" t="inlineStr">
        <is>
          <t>SG&amp;A and Other (cash)</t>
        </is>
      </c>
      <c r="D25" s="265">
        <f>IF(D23="","",-1*D23)</f>
        <v>12168</v>
      </c>
      <c r="E25" s="265">
        <f>IF(E23="","",-1*E23)</f>
        <v>12452</v>
      </c>
      <c r="F25" s="265">
        <f>IF(F23="","",-1*F23)</f>
        <v>13005</v>
      </c>
      <c r="G25" s="265">
        <f>IF(G23="","",-1*G23)</f>
        <v>13662</v>
      </c>
      <c r="I25" s="265">
        <f>IF(I23="","",-1*I23)</f>
        <v>14185</v>
      </c>
      <c r="J25" s="265">
        <f>IF(J23="","",-1*J23)</f>
        <v>13643</v>
      </c>
      <c r="K25" s="265">
        <f>IF(K23="","",-1*K23)</f>
        <v>12829</v>
      </c>
      <c r="L25" s="265">
        <f>IF(L23="","",-1*L23)</f>
        <v>12768</v>
      </c>
      <c r="N25" s="265">
        <f>IF(N23="","",-1*N23)</f>
        <v>13548</v>
      </c>
      <c r="O25" s="265">
        <f>IF(O23="","",-1*O23)</f>
        <v>17123</v>
      </c>
      <c r="P25" s="265">
        <f>IF(P23="","",-1*P23)</f>
        <v>16581</v>
      </c>
      <c r="Q25" s="265">
        <f>IF(Q23="","",-1*Q23)</f>
        <v>13303</v>
      </c>
      <c r="S25" s="265">
        <f>IF(S23="","",-1*S23)</f>
        <v>16148</v>
      </c>
      <c r="T25" s="265">
        <f>IF(T23="","",-1*T23)</f>
        <v>18629</v>
      </c>
      <c r="U25" s="265">
        <f>IF(U23="","",-1*U23)</f>
        <v>16259</v>
      </c>
      <c r="V25" s="265">
        <f>IF(V23="","",-1*V23)</f>
        <v>19031</v>
      </c>
      <c r="X25" s="265">
        <f>IF(X23="","",-1*X23)</f>
        <v>18020</v>
      </c>
      <c r="Y25" s="265">
        <f>IF(Y23="","",-1*Y23)</f>
        <v>19728</v>
      </c>
      <c r="Z25" s="265">
        <f>IF(Z23="","",-1*Z23)</f>
        <v>20304</v>
      </c>
      <c r="AA25" s="265">
        <f>IF(AA23="","",-1*AA23)</f>
        <v>22691</v>
      </c>
      <c r="AC25" s="265">
        <f>IF(AC23="","",-1*AC23)</f>
        <v>22549</v>
      </c>
      <c r="AD25" s="265">
        <f>IF(AD23="","",-1*AD23)</f>
        <v>23439</v>
      </c>
    </row>
    <row r="26">
      <c r="A26" t="inlineStr">
        <is>
          <t>Dividendos pagos aos controladores (trimestralizado) · derivada · unid. moeda</t>
        </is>
      </c>
      <c r="B26" t="n">
        <v>10</v>
      </c>
      <c r="C26" t="inlineStr">
        <is>
          <t>Common Dividends</t>
        </is>
      </c>
      <c r="D26" s="265">
        <f>N(D21)</f>
        <v>0</v>
      </c>
      <c r="E26" s="265">
        <f>(N(E21)-N(D21))</f>
        <v>-100135</v>
      </c>
      <c r="F26" s="265">
        <f>(N(F21)-N(E21))</f>
        <v>-12</v>
      </c>
      <c r="G26" s="265">
        <f>(N(G21)-N(F21))</f>
        <v>0</v>
      </c>
      <c r="I26" s="265">
        <f>N(I21)</f>
        <v>-1</v>
      </c>
      <c r="J26" s="265">
        <f>(N(J21)-N(I21))</f>
        <v>-1</v>
      </c>
      <c r="K26" s="265">
        <f>(N(K21)-N(J21))</f>
        <v>-69962</v>
      </c>
      <c r="L26" s="265">
        <f>(N(L21)-N(K21))</f>
        <v>0</v>
      </c>
      <c r="N26" s="265">
        <f>N(N21)</f>
        <v>-104289</v>
      </c>
      <c r="O26" s="265">
        <f>(N(O21)-N(N21))</f>
        <v>2</v>
      </c>
      <c r="P26" s="265">
        <f>(N(P21)-N(O21))</f>
        <v>0</v>
      </c>
      <c r="Q26" s="265">
        <f>(N(Q21)-N(P21))</f>
        <v>-1</v>
      </c>
      <c r="S26" s="265">
        <f>N(S21)</f>
        <v>-81165</v>
      </c>
      <c r="T26" s="265">
        <f>(N(T21)-N(S21))</f>
        <v>0</v>
      </c>
      <c r="U26" s="265">
        <f>(N(U21)-N(T21))</f>
        <v>-277205</v>
      </c>
      <c r="V26" s="265">
        <f>(N(V21)-N(U21))</f>
        <v>-9</v>
      </c>
      <c r="X26" s="265">
        <f>N(X21)</f>
        <v>-299399</v>
      </c>
      <c r="Y26" s="265">
        <f>(N(Y21)-N(X21))</f>
        <v>0</v>
      </c>
      <c r="Z26" s="265">
        <f>(N(Z21)-N(Y21))</f>
        <v>-346664</v>
      </c>
      <c r="AA26" s="265">
        <f>(N(AA21)-N(Z21))</f>
        <v>-804708</v>
      </c>
      <c r="AC26" s="265">
        <f>N(AC21)</f>
        <v>-11897</v>
      </c>
      <c r="AD26" s="265">
        <f>(N(AD21)-N(AC21))</f>
        <v>16410</v>
      </c>
    </row>
    <row r="27">
      <c r="A27" t="inlineStr">
        <is>
          <t>Lucro liquido do periodo (l.18; ja liquido dos participantes em SCPs/SPEs) - COD 44 alimenta o check IS do Model · derivada · unid. moeda</t>
        </is>
      </c>
      <c r="B27" t="n">
        <v>44</v>
      </c>
      <c r="C27" t="inlineStr">
        <is>
          <t>Lucro liquido do periodo (l.18; ja liquido dos participantes</t>
        </is>
      </c>
      <c r="D27" s="265">
        <f>D18</f>
        <v>26811.643592</v>
      </c>
      <c r="E27" s="265">
        <f>E18</f>
        <v>40623.206562</v>
      </c>
      <c r="F27" s="265">
        <f>F18</f>
        <v>47210.111698</v>
      </c>
      <c r="G27" s="265">
        <f>G18</f>
        <v>31958.815488</v>
      </c>
      <c r="I27" s="265">
        <f>I18</f>
        <v>26707</v>
      </c>
      <c r="J27" s="265">
        <f>J18</f>
        <v>22436</v>
      </c>
      <c r="K27" s="265">
        <f>K18</f>
        <v>62272</v>
      </c>
      <c r="L27" s="265">
        <f>L18</f>
        <v>78605</v>
      </c>
      <c r="N27" s="265">
        <f>N18</f>
        <v>58754</v>
      </c>
      <c r="O27" s="265">
        <f>O18</f>
        <v>104439</v>
      </c>
      <c r="P27" s="265">
        <f>P18</f>
        <v>68762.9458</v>
      </c>
      <c r="Q27" s="265">
        <f>Q18</f>
        <v>99606</v>
      </c>
      <c r="S27" s="265">
        <f>S18</f>
        <v>150283.70318</v>
      </c>
      <c r="T27" s="265">
        <f>T18</f>
        <v>146169</v>
      </c>
      <c r="U27" s="265">
        <f>U18</f>
        <v>160463.98368</v>
      </c>
      <c r="V27" s="265">
        <f>V18</f>
        <v>181461</v>
      </c>
      <c r="X27" s="265">
        <f>X18</f>
        <v>164516</v>
      </c>
      <c r="Y27" s="265">
        <f>Y18</f>
        <v>183742</v>
      </c>
      <c r="Z27" s="265">
        <f>Z18</f>
        <v>229652</v>
      </c>
      <c r="AA27" s="265">
        <f>AA18</f>
        <v>211432</v>
      </c>
      <c r="AC27" s="265">
        <f>AC18</f>
        <v>213160</v>
      </c>
      <c r="AD27" s="265">
        <f>AD18</f>
        <v>201649.07029</v>
      </c>
    </row>
    <row r="28">
      <c r="A28" t="inlineStr">
        <is>
          <t>BALANCO 1T23-2T26 (aba Balanco Patrimonial; R$ mil)</t>
        </is>
      </c>
      <c r="C28" t="inlineStr">
        <is>
          <t>[linha bruta, sem código; lançada nas linhas abaixo]</t>
        </is>
      </c>
      <c r="D28" s="265" t="n"/>
      <c r="E28" s="265" t="n"/>
      <c r="F28" s="265" t="n"/>
      <c r="G28" s="265" t="n"/>
      <c r="I28" s="265" t="n"/>
      <c r="J28" s="265" t="n"/>
      <c r="K28" s="265" t="n"/>
      <c r="L28" s="265" t="n"/>
      <c r="N28" s="265" t="n"/>
      <c r="O28" s="265" t="n"/>
      <c r="P28" s="265" t="n"/>
      <c r="Q28" s="265" t="n"/>
      <c r="S28" s="265" t="n"/>
      <c r="T28" s="265" t="n"/>
      <c r="U28" s="265" t="n"/>
      <c r="V28" s="265" t="n"/>
      <c r="X28" s="265" t="n"/>
      <c r="Y28" s="265" t="n"/>
      <c r="Z28" s="265" t="n"/>
      <c r="AA28" s="265" t="n"/>
      <c r="AC28" s="265" t="n"/>
      <c r="AD28" s="265" t="n"/>
    </row>
    <row r="29">
      <c r="A29" t="inlineStr">
        <is>
          <t>A: Caixa e equivalentes de caixa (BP l.6) · fonte · unid. moeda</t>
        </is>
      </c>
      <c r="B29" t="n">
        <v>11</v>
      </c>
      <c r="C29" t="inlineStr">
        <is>
          <t>Cash and equivalents (inc. investment securities)</t>
        </is>
      </c>
      <c r="D29" s="265" t="n"/>
      <c r="E29" s="265" t="n"/>
      <c r="F29" s="265" t="n"/>
      <c r="G29" s="265" t="n"/>
      <c r="I29" s="265" t="n"/>
      <c r="J29" s="265" t="n"/>
      <c r="K29" s="265" t="n"/>
      <c r="L29" s="265" t="n"/>
      <c r="N29" s="265" t="n">
        <v>605952</v>
      </c>
      <c r="O29" s="265" t="n">
        <v>637397</v>
      </c>
      <c r="P29" s="265" t="n">
        <v>813714</v>
      </c>
      <c r="Q29" s="265" t="n">
        <v>633978</v>
      </c>
      <c r="S29" s="265" t="n">
        <v>445832</v>
      </c>
      <c r="T29" s="265" t="n">
        <v>649740</v>
      </c>
      <c r="U29" s="265" t="n">
        <v>858169</v>
      </c>
      <c r="V29" s="265" t="n">
        <v>792054</v>
      </c>
      <c r="X29" s="265" t="n">
        <v>837999</v>
      </c>
      <c r="Y29" s="265" t="n">
        <v>1251709</v>
      </c>
      <c r="Z29" s="265" t="n">
        <v>1575523</v>
      </c>
      <c r="AA29" s="265" t="n">
        <v>1199343</v>
      </c>
      <c r="AC29" s="265" t="n">
        <v>1662196</v>
      </c>
      <c r="AD29" s="265" t="n">
        <v>1529554</v>
      </c>
    </row>
    <row r="30">
      <c r="A30" t="inlineStr">
        <is>
          <t>A: Aplicações financeiras (BP l.7) · fonte · unid. moeda</t>
        </is>
      </c>
      <c r="B30" t="n">
        <v>11</v>
      </c>
      <c r="C30" t="inlineStr">
        <is>
          <t>Cash and equivalents (inc. investment securities)</t>
        </is>
      </c>
      <c r="D30" s="265" t="n"/>
      <c r="E30" s="265" t="n"/>
      <c r="F30" s="265" t="n"/>
      <c r="G30" s="265" t="n"/>
      <c r="I30" s="265" t="n"/>
      <c r="J30" s="265" t="n"/>
      <c r="K30" s="265" t="n"/>
      <c r="L30" s="265" t="n"/>
      <c r="N30" s="265" t="n">
        <v>465975</v>
      </c>
      <c r="O30" s="265" t="n">
        <v>475806</v>
      </c>
      <c r="P30" s="265" t="n">
        <v>527447</v>
      </c>
      <c r="Q30" s="265" t="n">
        <v>693193</v>
      </c>
      <c r="S30" s="265" t="n">
        <v>730530</v>
      </c>
      <c r="T30" s="265" t="n">
        <v>772261</v>
      </c>
      <c r="U30" s="265" t="n">
        <v>687599</v>
      </c>
      <c r="V30" s="265" t="n">
        <v>823127</v>
      </c>
      <c r="X30" s="265" t="n">
        <v>791523</v>
      </c>
      <c r="Y30" s="265" t="n">
        <v>872871</v>
      </c>
      <c r="Z30" s="265" t="n">
        <v>873983</v>
      </c>
      <c r="AA30" s="265" t="n">
        <v>983456</v>
      </c>
      <c r="AC30" s="265" t="n">
        <v>758566</v>
      </c>
      <c r="AD30" s="265" t="n">
        <v>924653</v>
      </c>
    </row>
    <row r="31">
      <c r="A31" t="inlineStr">
        <is>
          <t>A: Contas a receber (BP l.8) · fonte · unid. moeda</t>
        </is>
      </c>
      <c r="B31" t="n">
        <v>12</v>
      </c>
      <c r="C31" t="inlineStr">
        <is>
          <t>Accounts receivable</t>
        </is>
      </c>
      <c r="D31" s="265" t="n"/>
      <c r="E31" s="265" t="n"/>
      <c r="F31" s="265" t="n"/>
      <c r="G31" s="265" t="n"/>
      <c r="I31" s="265" t="n"/>
      <c r="J31" s="265" t="n"/>
      <c r="K31" s="265" t="n"/>
      <c r="L31" s="265" t="n"/>
      <c r="N31" s="265" t="n">
        <v>403426.9844</v>
      </c>
      <c r="O31" s="265" t="n">
        <v>399289.03845</v>
      </c>
      <c r="P31" s="265" t="n">
        <v>407922.49728</v>
      </c>
      <c r="Q31" s="265" t="n">
        <v>521946.46011</v>
      </c>
      <c r="S31" s="265" t="n">
        <v>634970.39084</v>
      </c>
      <c r="T31" s="265" t="n">
        <v>789183.91602</v>
      </c>
      <c r="U31" s="265" t="n">
        <v>844423.4977900001</v>
      </c>
      <c r="V31" s="265" t="n">
        <v>992821</v>
      </c>
      <c r="X31" s="265" t="n">
        <v>1106026</v>
      </c>
      <c r="Y31" s="265" t="n">
        <v>1280505</v>
      </c>
      <c r="Z31" s="265" t="n">
        <v>1348006</v>
      </c>
      <c r="AA31" s="265" t="n">
        <v>1438700</v>
      </c>
      <c r="AC31" s="265" t="n">
        <v>1607700</v>
      </c>
      <c r="AD31" s="265" t="n">
        <v>1721977</v>
      </c>
    </row>
    <row r="32">
      <c r="A32" t="inlineStr">
        <is>
          <t>A: Estoques (BP l.9) · fonte · unid. moeda</t>
        </is>
      </c>
      <c r="B32" t="n">
        <v>13</v>
      </c>
      <c r="C32" t="inlineStr">
        <is>
          <t>Inventories</t>
        </is>
      </c>
      <c r="D32" s="265" t="n"/>
      <c r="E32" s="265" t="n"/>
      <c r="F32" s="265" t="n"/>
      <c r="G32" s="265" t="n"/>
      <c r="I32" s="265" t="n"/>
      <c r="J32" s="265" t="n"/>
      <c r="K32" s="265" t="n"/>
      <c r="L32" s="265" t="n"/>
      <c r="N32" s="265" t="n">
        <v>1206108</v>
      </c>
      <c r="O32" s="265" t="n">
        <v>1369589.28971</v>
      </c>
      <c r="P32" s="265" t="n">
        <v>1318928.13595</v>
      </c>
      <c r="Q32" s="265" t="n">
        <v>1420698.94769</v>
      </c>
      <c r="S32" s="265" t="n">
        <v>1222127.2162</v>
      </c>
      <c r="T32" s="265" t="n">
        <v>1710111.76042</v>
      </c>
      <c r="U32" s="265" t="n">
        <v>1570926.34862</v>
      </c>
      <c r="V32" s="265" t="n">
        <v>1643111</v>
      </c>
      <c r="X32" s="265" t="n">
        <v>1598745</v>
      </c>
      <c r="Y32" s="265" t="n">
        <v>1497527</v>
      </c>
      <c r="Z32" s="265" t="n">
        <v>1442734</v>
      </c>
      <c r="AA32" s="265" t="n">
        <v>2086835</v>
      </c>
      <c r="AC32" s="265" t="n">
        <v>2221325</v>
      </c>
      <c r="AD32" s="265" t="n">
        <v>2409708</v>
      </c>
    </row>
    <row r="33">
      <c r="A33" t="inlineStr">
        <is>
          <t>A: Terrenos disponíveis para vendas (BP l.10) · fonte · unid. moeda</t>
        </is>
      </c>
      <c r="B33" t="n">
        <v>13</v>
      </c>
      <c r="C33" t="inlineStr">
        <is>
          <t>Inventories</t>
        </is>
      </c>
      <c r="D33" s="265" t="n"/>
      <c r="E33" s="265" t="n"/>
      <c r="F33" s="265" t="n"/>
      <c r="G33" s="265" t="n"/>
      <c r="I33" s="265" t="n"/>
      <c r="J33" s="265" t="n"/>
      <c r="K33" s="265" t="n"/>
      <c r="L33" s="265" t="n"/>
      <c r="N33" s="265" t="n">
        <v>0</v>
      </c>
      <c r="O33" s="265" t="n">
        <v>0</v>
      </c>
      <c r="P33" s="265" t="n">
        <v>0</v>
      </c>
      <c r="Q33" s="265" t="n">
        <v>0</v>
      </c>
      <c r="S33" s="265" t="n">
        <v>0</v>
      </c>
      <c r="T33" s="265" t="n">
        <v>0</v>
      </c>
      <c r="U33" s="265" t="n">
        <v>0</v>
      </c>
      <c r="V33" s="265" t="n">
        <v>0</v>
      </c>
      <c r="X33" s="265" t="n">
        <v>0</v>
      </c>
      <c r="Y33" s="265" t="n">
        <v>0</v>
      </c>
      <c r="Z33" s="265" t="n">
        <v>0</v>
      </c>
      <c r="AA33" s="265" t="n">
        <v>0</v>
      </c>
      <c r="AC33" s="265" t="n">
        <v>0</v>
      </c>
      <c r="AD33" s="265" t="n">
        <v>0</v>
      </c>
    </row>
    <row r="34">
      <c r="A34" t="inlineStr">
        <is>
          <t>A: Crédito com partes relacionadas (BP l.11) · fonte · unid. moeda</t>
        </is>
      </c>
      <c r="B34" t="n">
        <v>16</v>
      </c>
      <c r="C34" t="inlineStr">
        <is>
          <t>Other current assets</t>
        </is>
      </c>
      <c r="D34" s="265" t="n"/>
      <c r="E34" s="265" t="n"/>
      <c r="F34" s="265" t="n"/>
      <c r="G34" s="265" t="n"/>
      <c r="I34" s="265" t="n"/>
      <c r="J34" s="265" t="n"/>
      <c r="K34" s="265" t="n"/>
      <c r="L34" s="265" t="n"/>
      <c r="N34" s="265" t="n">
        <v>66674.30866</v>
      </c>
      <c r="O34" s="265" t="n">
        <v>74512.34841999999</v>
      </c>
      <c r="P34" s="265" t="n">
        <v>70725.50264999999</v>
      </c>
      <c r="Q34" s="265" t="n">
        <v>67184.39032999999</v>
      </c>
      <c r="S34" s="265" t="n">
        <v>71760.29802</v>
      </c>
      <c r="T34" s="265" t="n">
        <v>81642.80176</v>
      </c>
      <c r="U34" s="265" t="n">
        <v>110101.34847</v>
      </c>
      <c r="V34" s="265" t="n">
        <v>71054</v>
      </c>
      <c r="X34" s="265" t="n">
        <v>65055</v>
      </c>
      <c r="Y34" s="265" t="n">
        <v>75761</v>
      </c>
      <c r="Z34" s="265" t="n">
        <v>80933</v>
      </c>
      <c r="AA34" s="265" t="n">
        <v>92922</v>
      </c>
      <c r="AC34" s="265" t="n">
        <v>98607</v>
      </c>
      <c r="AD34" s="265" t="n">
        <v>128263</v>
      </c>
    </row>
    <row r="35">
      <c r="A35" t="inlineStr">
        <is>
          <t>A: Tributos a recuperar (BP l.12) · fonte · unid. moeda</t>
        </is>
      </c>
      <c r="B35" t="n">
        <v>16</v>
      </c>
      <c r="C35" t="inlineStr">
        <is>
          <t>Other current assets</t>
        </is>
      </c>
      <c r="D35" s="265" t="n"/>
      <c r="E35" s="265" t="n"/>
      <c r="F35" s="265" t="n"/>
      <c r="G35" s="265" t="n"/>
      <c r="I35" s="265" t="n"/>
      <c r="J35" s="265" t="n"/>
      <c r="K35" s="265" t="n"/>
      <c r="L35" s="265" t="n"/>
      <c r="N35" s="265" t="n">
        <v>26556</v>
      </c>
      <c r="O35" s="265" t="n">
        <v>34158</v>
      </c>
      <c r="P35" s="265" t="n">
        <v>37992.24324</v>
      </c>
      <c r="Q35" s="265" t="n">
        <v>25753</v>
      </c>
      <c r="S35" s="265" t="n">
        <v>35185</v>
      </c>
      <c r="T35" s="265" t="n">
        <v>42229.62829</v>
      </c>
      <c r="U35" s="265" t="n">
        <v>49451</v>
      </c>
      <c r="V35" s="265" t="n">
        <v>37062</v>
      </c>
      <c r="X35" s="265" t="n">
        <v>42178</v>
      </c>
      <c r="Y35" s="265" t="n">
        <v>46453</v>
      </c>
      <c r="Z35" s="265" t="n">
        <v>38964</v>
      </c>
      <c r="AA35" s="265" t="n">
        <v>43855</v>
      </c>
      <c r="AC35" s="265" t="n">
        <v>46226</v>
      </c>
      <c r="AD35" s="265" t="n">
        <v>53389</v>
      </c>
    </row>
    <row r="36">
      <c r="A36" t="inlineStr">
        <is>
          <t>A: Despesas comerciais a apropriar (BP l.13) · fonte · unid. moeda</t>
        </is>
      </c>
      <c r="B36" t="n">
        <v>15</v>
      </c>
      <c r="C36" t="inlineStr">
        <is>
          <t>Prepaid expenses</t>
        </is>
      </c>
      <c r="D36" s="265" t="n"/>
      <c r="E36" s="265" t="n"/>
      <c r="F36" s="265" t="n"/>
      <c r="G36" s="265" t="n"/>
      <c r="I36" s="265" t="n"/>
      <c r="J36" s="265" t="n"/>
      <c r="K36" s="265" t="n"/>
      <c r="L36" s="265" t="n"/>
      <c r="N36" s="265" t="n">
        <v>0</v>
      </c>
      <c r="O36" s="265" t="n">
        <v>0</v>
      </c>
      <c r="P36" s="265" t="n">
        <v>0</v>
      </c>
      <c r="Q36" s="265" t="n">
        <v>0</v>
      </c>
      <c r="S36" s="265" t="n">
        <v>0</v>
      </c>
      <c r="T36" s="265" t="n">
        <v>0</v>
      </c>
      <c r="U36" s="265" t="n">
        <v>0</v>
      </c>
      <c r="V36" s="265" t="n">
        <v>0</v>
      </c>
      <c r="X36" s="265" t="n">
        <v>0</v>
      </c>
      <c r="Y36" s="265" t="n">
        <v>0</v>
      </c>
      <c r="Z36" s="265" t="n">
        <v>0</v>
      </c>
      <c r="AA36" s="265" t="n">
        <v>0</v>
      </c>
      <c r="AC36" s="265" t="n">
        <v>0</v>
      </c>
      <c r="AD36" s="265" t="n">
        <v>0</v>
      </c>
    </row>
    <row r="37">
      <c r="A37" t="inlineStr">
        <is>
          <t>A: Contas a receber por alienação de investimentos (BP l.14) · fonte · unid. moeda</t>
        </is>
      </c>
      <c r="B37" t="n">
        <v>16</v>
      </c>
      <c r="C37" t="inlineStr">
        <is>
          <t>Other current assets</t>
        </is>
      </c>
      <c r="D37" s="265" t="n"/>
      <c r="E37" s="265" t="n"/>
      <c r="F37" s="265" t="n"/>
      <c r="G37" s="265" t="n"/>
      <c r="I37" s="265" t="n"/>
      <c r="J37" s="265" t="n"/>
      <c r="K37" s="265" t="n"/>
      <c r="L37" s="265" t="n"/>
      <c r="N37" s="265" t="n">
        <v>501</v>
      </c>
      <c r="O37" s="265" t="n">
        <v>68332</v>
      </c>
      <c r="P37" s="265" t="n">
        <v>0</v>
      </c>
      <c r="Q37" s="265" t="n">
        <v>0</v>
      </c>
      <c r="S37" s="265" t="n">
        <v>0</v>
      </c>
      <c r="T37" s="265" t="n">
        <v>0</v>
      </c>
      <c r="U37" s="265" t="n">
        <v>0</v>
      </c>
      <c r="V37" s="265" t="n">
        <v>5833</v>
      </c>
      <c r="X37" s="265" t="n">
        <v>36303</v>
      </c>
      <c r="Y37" s="265" t="n">
        <v>3774</v>
      </c>
      <c r="Z37" s="265" t="n">
        <v>2744</v>
      </c>
      <c r="AA37" s="265" t="n">
        <v>1718</v>
      </c>
      <c r="AC37" s="265" t="n">
        <v>687</v>
      </c>
      <c r="AD37" s="265" t="n">
        <v>3</v>
      </c>
    </row>
    <row r="38">
      <c r="A38" t="inlineStr">
        <is>
          <t>A: Outros créditos (BP l.15) · fonte · unid. moeda</t>
        </is>
      </c>
      <c r="B38" t="n">
        <v>16</v>
      </c>
      <c r="C38" t="inlineStr">
        <is>
          <t>Other current assets</t>
        </is>
      </c>
      <c r="D38" s="265" t="n"/>
      <c r="E38" s="265" t="n"/>
      <c r="F38" s="265" t="n"/>
      <c r="G38" s="265" t="n"/>
      <c r="I38" s="265" t="n"/>
      <c r="J38" s="265" t="n"/>
      <c r="K38" s="265" t="n"/>
      <c r="L38" s="265" t="n"/>
      <c r="N38" s="265" t="n">
        <v>204311</v>
      </c>
      <c r="O38" s="265" t="n">
        <v>213370</v>
      </c>
      <c r="P38" s="265" t="n">
        <v>182516</v>
      </c>
      <c r="Q38" s="265" t="n">
        <v>220602</v>
      </c>
      <c r="S38" s="265" t="n">
        <v>216176</v>
      </c>
      <c r="T38" s="265" t="n">
        <v>235821</v>
      </c>
      <c r="U38" s="265" t="n">
        <v>210776</v>
      </c>
      <c r="V38" s="265" t="n">
        <v>206324</v>
      </c>
      <c r="X38" s="265" t="n">
        <v>207981</v>
      </c>
      <c r="Y38" s="265" t="n">
        <v>222222</v>
      </c>
      <c r="Z38" s="265" t="n">
        <v>250272</v>
      </c>
      <c r="AA38" s="265" t="n">
        <v>282005</v>
      </c>
      <c r="AC38" s="265" t="n">
        <v>271882</v>
      </c>
      <c r="AD38" s="265" t="n">
        <v>264634</v>
      </c>
    </row>
    <row r="39">
      <c r="A39" t="inlineStr">
        <is>
          <t>A: Aplicações financeiras (BP l.18) (aplicacoes LP: fora do caixa, como na divida liquida da Cia) · fonte · unid. moeda</t>
        </is>
      </c>
      <c r="B39" t="n">
        <v>22</v>
      </c>
      <c r="C39" t="inlineStr">
        <is>
          <t>Other non-current assets</t>
        </is>
      </c>
      <c r="D39" s="265" t="n"/>
      <c r="E39" s="265" t="n"/>
      <c r="F39" s="265" t="n"/>
      <c r="G39" s="265" t="n"/>
      <c r="I39" s="265" t="n"/>
      <c r="J39" s="265" t="n"/>
      <c r="K39" s="265" t="n"/>
      <c r="L39" s="265" t="n"/>
      <c r="N39" s="265" t="n">
        <v>0</v>
      </c>
      <c r="O39" s="265" t="n">
        <v>0</v>
      </c>
      <c r="P39" s="265" t="n">
        <v>0</v>
      </c>
      <c r="Q39" s="265" t="n">
        <v>0</v>
      </c>
      <c r="S39" s="265" t="n">
        <v>0</v>
      </c>
      <c r="T39" s="265" t="n">
        <v>54200</v>
      </c>
      <c r="U39" s="265" t="n">
        <v>54841.21478</v>
      </c>
      <c r="V39" s="265" t="n">
        <v>99714</v>
      </c>
      <c r="X39" s="265" t="n">
        <v>102698</v>
      </c>
      <c r="Y39" s="265" t="n">
        <v>149823</v>
      </c>
      <c r="Z39" s="265" t="n">
        <v>168215</v>
      </c>
      <c r="AA39" s="265" t="n">
        <v>230360</v>
      </c>
      <c r="AC39" s="265" t="n">
        <v>238336</v>
      </c>
      <c r="AD39" s="265" t="n">
        <v>295890</v>
      </c>
    </row>
    <row r="40">
      <c r="A40" t="inlineStr">
        <is>
          <t>A: Contas a receber (BP l.19) · fonte · unid. moeda</t>
        </is>
      </c>
      <c r="B40" t="n">
        <v>12</v>
      </c>
      <c r="C40" t="inlineStr">
        <is>
          <t>Accounts receivable</t>
        </is>
      </c>
      <c r="D40" s="265" t="n"/>
      <c r="E40" s="265" t="n"/>
      <c r="F40" s="265" t="n"/>
      <c r="G40" s="265" t="n"/>
      <c r="I40" s="265" t="n"/>
      <c r="J40" s="265" t="n"/>
      <c r="K40" s="265" t="n"/>
      <c r="L40" s="265" t="n"/>
      <c r="N40" s="265" t="n">
        <v>334608.50075</v>
      </c>
      <c r="O40" s="265" t="n">
        <v>340819.59542</v>
      </c>
      <c r="P40" s="265" t="n">
        <v>412750.70111</v>
      </c>
      <c r="Q40" s="265" t="n">
        <v>464034.95138</v>
      </c>
      <c r="S40" s="265" t="n">
        <v>574103.74227</v>
      </c>
      <c r="T40" s="265" t="n">
        <v>658009.95999</v>
      </c>
      <c r="U40" s="265" t="n">
        <v>770586.48378</v>
      </c>
      <c r="V40" s="265" t="n">
        <v>846706</v>
      </c>
      <c r="X40" s="265" t="n">
        <v>987445</v>
      </c>
      <c r="Y40" s="265" t="n">
        <v>1104148</v>
      </c>
      <c r="Z40" s="265" t="n">
        <v>1271939</v>
      </c>
      <c r="AA40" s="265" t="n">
        <v>1389073</v>
      </c>
      <c r="AC40" s="265" t="n">
        <v>1418253</v>
      </c>
      <c r="AD40" s="265" t="n">
        <v>1426941</v>
      </c>
    </row>
    <row r="41">
      <c r="A41" t="inlineStr">
        <is>
          <t>A: Estoque (BP l.20) · fonte · unid. moeda</t>
        </is>
      </c>
      <c r="B41" t="n">
        <v>13</v>
      </c>
      <c r="C41" t="inlineStr">
        <is>
          <t>Inventories</t>
        </is>
      </c>
      <c r="D41" s="265" t="n"/>
      <c r="E41" s="265" t="n"/>
      <c r="F41" s="265" t="n"/>
      <c r="G41" s="265" t="n"/>
      <c r="I41" s="265" t="n"/>
      <c r="J41" s="265" t="n"/>
      <c r="K41" s="265" t="n"/>
      <c r="L41" s="265" t="n"/>
      <c r="N41" s="265" t="n">
        <v>2777860.42692</v>
      </c>
      <c r="O41" s="265" t="n">
        <v>2774269</v>
      </c>
      <c r="P41" s="265" t="n">
        <v>2971545</v>
      </c>
      <c r="Q41" s="265" t="n">
        <v>3041218</v>
      </c>
      <c r="S41" s="265" t="n">
        <v>3378229</v>
      </c>
      <c r="T41" s="265" t="n">
        <v>3210466</v>
      </c>
      <c r="U41" s="265" t="n">
        <v>3758232.55594</v>
      </c>
      <c r="V41" s="265" t="n">
        <v>3888979</v>
      </c>
      <c r="X41" s="265" t="n">
        <v>4208796</v>
      </c>
      <c r="Y41" s="265" t="n">
        <v>4416854</v>
      </c>
      <c r="Z41" s="265" t="n">
        <v>4761035</v>
      </c>
      <c r="AA41" s="265" t="n">
        <v>4864673</v>
      </c>
      <c r="AC41" s="265" t="n">
        <v>4975637</v>
      </c>
      <c r="AD41" s="265" t="n">
        <v>5213553</v>
      </c>
    </row>
    <row r="42">
      <c r="A42" t="inlineStr">
        <is>
          <t>A: Depósitos judiciais (BP l.21) · fonte · unid. moeda</t>
        </is>
      </c>
      <c r="B42" t="n">
        <v>22</v>
      </c>
      <c r="C42" t="inlineStr">
        <is>
          <t>Other non-current assets</t>
        </is>
      </c>
      <c r="D42" s="265" t="n"/>
      <c r="E42" s="265" t="n"/>
      <c r="F42" s="265" t="n"/>
      <c r="G42" s="265" t="n"/>
      <c r="I42" s="265" t="n"/>
      <c r="J42" s="265" t="n"/>
      <c r="K42" s="265" t="n"/>
      <c r="L42" s="265" t="n"/>
      <c r="N42" s="265" t="n">
        <v>17601.35349</v>
      </c>
      <c r="O42" s="265" t="n">
        <v>17832</v>
      </c>
      <c r="P42" s="265" t="n">
        <v>17739</v>
      </c>
      <c r="Q42" s="265" t="n">
        <v>18111</v>
      </c>
      <c r="S42" s="265" t="n">
        <v>18973</v>
      </c>
      <c r="T42" s="265" t="n">
        <v>21046</v>
      </c>
      <c r="U42" s="265" t="n">
        <v>21719.03839</v>
      </c>
      <c r="V42" s="265" t="n">
        <v>21555</v>
      </c>
      <c r="X42" s="265" t="n">
        <v>22544</v>
      </c>
      <c r="Y42" s="265" t="n">
        <v>23959</v>
      </c>
      <c r="Z42" s="265" t="n">
        <v>23484</v>
      </c>
      <c r="AA42" s="265" t="n">
        <v>24277</v>
      </c>
      <c r="AC42" s="265" t="n">
        <v>24922</v>
      </c>
      <c r="AD42" s="265" t="n">
        <v>26289</v>
      </c>
    </row>
    <row r="43">
      <c r="A43" t="inlineStr">
        <is>
          <t>A: Crédito com partes relacionadas (BP l.22) · fonte · unid. moeda</t>
        </is>
      </c>
      <c r="B43" t="n">
        <v>22</v>
      </c>
      <c r="C43" t="inlineStr">
        <is>
          <t>Other non-current assets</t>
        </is>
      </c>
      <c r="D43" s="265" t="n"/>
      <c r="E43" s="265" t="n"/>
      <c r="F43" s="265" t="n"/>
      <c r="G43" s="265" t="n"/>
      <c r="I43" s="265" t="n"/>
      <c r="J43" s="265" t="n"/>
      <c r="K43" s="265" t="n"/>
      <c r="L43" s="265" t="n"/>
      <c r="N43" s="265" t="n">
        <v>0</v>
      </c>
      <c r="O43" s="265" t="n">
        <v>0</v>
      </c>
      <c r="P43" s="265" t="n">
        <v>0</v>
      </c>
      <c r="Q43" s="265" t="n">
        <v>0</v>
      </c>
      <c r="S43" s="265" t="n">
        <v>0</v>
      </c>
      <c r="T43" s="265" t="n">
        <v>0</v>
      </c>
      <c r="U43" s="265" t="n">
        <v>0</v>
      </c>
      <c r="V43" s="265" t="n">
        <v>0</v>
      </c>
      <c r="X43" s="265" t="n">
        <v>0</v>
      </c>
      <c r="Y43" s="265" t="n">
        <v>0</v>
      </c>
      <c r="Z43" s="265" t="n">
        <v>0</v>
      </c>
      <c r="AA43" s="265" t="n">
        <v>0</v>
      </c>
      <c r="AC43" s="265" t="n">
        <v>0</v>
      </c>
      <c r="AD43" s="265" t="n">
        <v>0</v>
      </c>
    </row>
    <row r="44">
      <c r="A44" t="inlineStr">
        <is>
          <t>A: Tributos a recuperar (BP l.23) · fonte · unid. moeda</t>
        </is>
      </c>
      <c r="B44" t="n">
        <v>22</v>
      </c>
      <c r="C44" t="inlineStr">
        <is>
          <t>Other non-current assets</t>
        </is>
      </c>
      <c r="D44" s="265" t="n"/>
      <c r="E44" s="265" t="n"/>
      <c r="F44" s="265" t="n"/>
      <c r="G44" s="265" t="n"/>
      <c r="I44" s="265" t="n"/>
      <c r="J44" s="265" t="n"/>
      <c r="K44" s="265" t="n"/>
      <c r="L44" s="265" t="n"/>
      <c r="N44" s="265" t="n">
        <v>6526</v>
      </c>
      <c r="O44" s="265" t="n">
        <v>6526</v>
      </c>
      <c r="P44" s="265" t="n">
        <v>6526</v>
      </c>
      <c r="Q44" s="265" t="n">
        <v>27548</v>
      </c>
      <c r="S44" s="265" t="n">
        <v>25156</v>
      </c>
      <c r="T44" s="265" t="n">
        <v>15973</v>
      </c>
      <c r="U44" s="265" t="n">
        <v>11151.78854</v>
      </c>
      <c r="V44" s="265" t="n">
        <v>20611</v>
      </c>
      <c r="X44" s="265" t="n">
        <v>10363</v>
      </c>
      <c r="Y44" s="265" t="n">
        <v>9574</v>
      </c>
      <c r="Z44" s="265" t="n">
        <v>9461</v>
      </c>
      <c r="AA44" s="265" t="n">
        <v>11059</v>
      </c>
      <c r="AC44" s="265" t="n">
        <v>11763</v>
      </c>
      <c r="AD44" s="265" t="n">
        <v>11365</v>
      </c>
    </row>
    <row r="45">
      <c r="A45" t="inlineStr">
        <is>
          <t>A: Contas a receber por alienação de investimentos (BP l.24) · fonte · unid. moeda</t>
        </is>
      </c>
      <c r="B45" t="n">
        <v>22</v>
      </c>
      <c r="C45" t="inlineStr">
        <is>
          <t>Other non-current assets</t>
        </is>
      </c>
      <c r="D45" s="265" t="n"/>
      <c r="E45" s="265" t="n"/>
      <c r="F45" s="265" t="n"/>
      <c r="G45" s="265" t="n"/>
      <c r="I45" s="265" t="n"/>
      <c r="J45" s="265" t="n"/>
      <c r="K45" s="265" t="n"/>
      <c r="L45" s="265" t="n"/>
      <c r="N45" s="265" t="n">
        <v>7129</v>
      </c>
      <c r="O45" s="265" t="n">
        <v>7129</v>
      </c>
      <c r="P45" s="265" t="n">
        <v>7630</v>
      </c>
      <c r="Q45" s="265" t="n">
        <v>7630</v>
      </c>
      <c r="S45" s="265" t="n">
        <v>7630</v>
      </c>
      <c r="T45" s="265" t="n">
        <v>7630</v>
      </c>
      <c r="U45" s="265" t="n">
        <v>7630.08412</v>
      </c>
      <c r="V45" s="265" t="n">
        <v>7630</v>
      </c>
      <c r="X45" s="265" t="n">
        <v>7630</v>
      </c>
      <c r="Y45" s="265" t="n">
        <v>5799</v>
      </c>
      <c r="Z45" s="265" t="n">
        <v>5799</v>
      </c>
      <c r="AA45" s="265" t="n">
        <v>5798</v>
      </c>
      <c r="AC45" s="265" t="n">
        <v>5798</v>
      </c>
      <c r="AD45" s="265" t="n">
        <v>5795</v>
      </c>
    </row>
    <row r="46">
      <c r="A46" t="inlineStr">
        <is>
          <t>A: Outros créditos (BP l.25) · fonte · unid. moeda</t>
        </is>
      </c>
      <c r="B46" t="n">
        <v>22</v>
      </c>
      <c r="C46" t="inlineStr">
        <is>
          <t>Other non-current assets</t>
        </is>
      </c>
      <c r="D46" s="265" t="n"/>
      <c r="E46" s="265" t="n"/>
      <c r="F46" s="265" t="n"/>
      <c r="G46" s="265" t="n"/>
      <c r="I46" s="265" t="n"/>
      <c r="J46" s="265" t="n"/>
      <c r="K46" s="265" t="n"/>
      <c r="L46" s="265" t="n"/>
      <c r="N46" s="265" t="n">
        <v>64193</v>
      </c>
      <c r="O46" s="265" t="n">
        <v>89880</v>
      </c>
      <c r="P46" s="265" t="n">
        <v>98509</v>
      </c>
      <c r="Q46" s="265" t="n">
        <v>113274</v>
      </c>
      <c r="S46" s="265" t="n">
        <v>129277</v>
      </c>
      <c r="T46" s="265" t="n">
        <v>141507</v>
      </c>
      <c r="U46" s="265" t="n">
        <v>141418.39422</v>
      </c>
      <c r="V46" s="265" t="n">
        <v>143513</v>
      </c>
      <c r="X46" s="265" t="n">
        <v>156592</v>
      </c>
      <c r="Y46" s="265" t="n">
        <v>175633</v>
      </c>
      <c r="Z46" s="265" t="n">
        <v>150924</v>
      </c>
      <c r="AA46" s="265" t="n">
        <v>148204</v>
      </c>
      <c r="AC46" s="265" t="n">
        <v>166711</v>
      </c>
      <c r="AD46" s="265" t="n">
        <v>186501</v>
      </c>
    </row>
    <row r="47">
      <c r="A47" t="inlineStr">
        <is>
          <t>A: Investimentos (BP l.27) · fonte · unid. moeda</t>
        </is>
      </c>
      <c r="B47" t="n">
        <v>17</v>
      </c>
      <c r="C47" t="inlineStr">
        <is>
          <t>Equity in affiliates</t>
        </is>
      </c>
      <c r="D47" s="265" t="n"/>
      <c r="E47" s="265" t="n"/>
      <c r="F47" s="265" t="n"/>
      <c r="G47" s="265" t="n"/>
      <c r="I47" s="265" t="n"/>
      <c r="J47" s="265" t="n"/>
      <c r="K47" s="265" t="n"/>
      <c r="L47" s="265" t="n"/>
      <c r="N47" s="265" t="n">
        <v>133771</v>
      </c>
      <c r="O47" s="265" t="n">
        <v>142090</v>
      </c>
      <c r="P47" s="265" t="n">
        <v>171047</v>
      </c>
      <c r="Q47" s="265" t="n">
        <v>169375</v>
      </c>
      <c r="S47" s="265" t="n">
        <v>174396</v>
      </c>
      <c r="T47" s="265" t="n">
        <v>193645</v>
      </c>
      <c r="U47" s="265" t="n">
        <v>193959.47081</v>
      </c>
      <c r="V47" s="265" t="n">
        <v>212504</v>
      </c>
      <c r="X47" s="265" t="n">
        <v>161671</v>
      </c>
      <c r="Y47" s="265" t="n">
        <v>138434</v>
      </c>
      <c r="Z47" s="265" t="n">
        <v>105527</v>
      </c>
      <c r="AA47" s="265" t="n">
        <v>124135</v>
      </c>
      <c r="AC47" s="265" t="n">
        <v>103621</v>
      </c>
      <c r="AD47" s="265" t="n">
        <v>125111</v>
      </c>
    </row>
    <row r="48">
      <c r="A48" t="inlineStr">
        <is>
          <t>A: Imobilizado (BP l.28) · fonte · unid. moeda</t>
        </is>
      </c>
      <c r="B48" t="n">
        <v>18</v>
      </c>
      <c r="C48" t="inlineStr">
        <is>
          <t>PP&amp;E</t>
        </is>
      </c>
      <c r="D48" s="265" t="n"/>
      <c r="E48" s="265" t="n"/>
      <c r="F48" s="265" t="n"/>
      <c r="G48" s="265" t="n"/>
      <c r="I48" s="265" t="n"/>
      <c r="J48" s="265" t="n"/>
      <c r="K48" s="265" t="n"/>
      <c r="L48" s="265" t="n"/>
      <c r="N48" s="265" t="n">
        <v>136224.84709</v>
      </c>
      <c r="O48" s="265" t="n">
        <v>129142</v>
      </c>
      <c r="P48" s="265" t="n">
        <v>113832</v>
      </c>
      <c r="Q48" s="265" t="n">
        <v>111474</v>
      </c>
      <c r="S48" s="265" t="n">
        <v>181833</v>
      </c>
      <c r="T48" s="265" t="n">
        <v>184863</v>
      </c>
      <c r="U48" s="265" t="n">
        <v>197255.89041</v>
      </c>
      <c r="V48" s="265" t="n">
        <v>220762</v>
      </c>
      <c r="X48" s="265" t="n">
        <v>230724</v>
      </c>
      <c r="Y48" s="265" t="n">
        <v>252372</v>
      </c>
      <c r="Z48" s="265" t="n">
        <v>266560</v>
      </c>
      <c r="AA48" s="265" t="n">
        <v>260159</v>
      </c>
      <c r="AC48" s="265" t="n">
        <v>273319</v>
      </c>
      <c r="AD48" s="265" t="n">
        <v>273325</v>
      </c>
    </row>
    <row r="49">
      <c r="A49" t="inlineStr">
        <is>
          <t>A: Intangível (BP l.29) · fonte · unid. moeda</t>
        </is>
      </c>
      <c r="B49" t="n">
        <v>21</v>
      </c>
      <c r="C49" t="inlineStr">
        <is>
          <t>Intangibles</t>
        </is>
      </c>
      <c r="D49" s="265" t="n"/>
      <c r="E49" s="265" t="n"/>
      <c r="F49" s="265" t="n"/>
      <c r="G49" s="265" t="n"/>
      <c r="I49" s="265" t="n"/>
      <c r="J49" s="265" t="n"/>
      <c r="K49" s="265" t="n"/>
      <c r="L49" s="265" t="n"/>
      <c r="N49" s="265" t="n">
        <v>24608.48646</v>
      </c>
      <c r="O49" s="265" t="n">
        <v>26530</v>
      </c>
      <c r="P49" s="265" t="n">
        <v>30878</v>
      </c>
      <c r="Q49" s="265" t="n">
        <v>35578</v>
      </c>
      <c r="S49" s="265" t="n">
        <v>31778</v>
      </c>
      <c r="T49" s="265" t="n">
        <v>32497</v>
      </c>
      <c r="U49" s="265" t="n">
        <v>32771.27265</v>
      </c>
      <c r="V49" s="265" t="n">
        <v>34046</v>
      </c>
      <c r="X49" s="265" t="n">
        <v>37977</v>
      </c>
      <c r="Y49" s="265" t="n">
        <v>39440</v>
      </c>
      <c r="Z49" s="265" t="n">
        <v>39631</v>
      </c>
      <c r="AA49" s="265" t="n">
        <v>33063</v>
      </c>
      <c r="AC49" s="265" t="n">
        <v>31375</v>
      </c>
      <c r="AD49" s="265" t="n">
        <v>31367</v>
      </c>
    </row>
    <row r="50">
      <c r="A50" t="inlineStr">
        <is>
          <t>A: Ativos de Direito de Uso (BP l.30) · fonte · unid. moeda</t>
        </is>
      </c>
      <c r="B50" t="n">
        <v>19</v>
      </c>
      <c r="C50" t="inlineStr">
        <is>
          <t>Right-of-use-assets</t>
        </is>
      </c>
      <c r="D50" s="265" t="n"/>
      <c r="E50" s="265" t="n"/>
      <c r="F50" s="265" t="n"/>
      <c r="G50" s="265" t="n"/>
      <c r="I50" s="265" t="n"/>
      <c r="J50" s="265" t="n"/>
      <c r="K50" s="265" t="n"/>
      <c r="L50" s="265" t="n"/>
      <c r="N50" s="265" t="n">
        <v>0</v>
      </c>
      <c r="O50" s="265" t="n">
        <v>0</v>
      </c>
      <c r="P50" s="265" t="n">
        <v>0</v>
      </c>
      <c r="Q50" s="265" t="n">
        <v>0</v>
      </c>
      <c r="S50" s="265" t="n">
        <v>0</v>
      </c>
      <c r="T50" s="265" t="n">
        <v>0</v>
      </c>
      <c r="U50" s="265" t="n">
        <v>0</v>
      </c>
      <c r="V50" s="265" t="n">
        <v>0</v>
      </c>
      <c r="X50" s="265" t="n">
        <v>0</v>
      </c>
      <c r="Y50" s="265" t="n">
        <v>0</v>
      </c>
      <c r="Z50" s="265" t="n">
        <v>0</v>
      </c>
      <c r="AA50" s="265" t="n">
        <v>0</v>
      </c>
      <c r="AC50" s="265" t="n">
        <v>0</v>
      </c>
      <c r="AD50" s="265" t="n">
        <v>0</v>
      </c>
    </row>
    <row r="51">
      <c r="A51" t="inlineStr">
        <is>
          <t>P: Empréstimos e financiamentos (BP l.34) · fonte · unid. moeda</t>
        </is>
      </c>
      <c r="B51" t="n">
        <v>27</v>
      </c>
      <c r="C51" t="inlineStr">
        <is>
          <t>Current portion of long-term debt</t>
        </is>
      </c>
      <c r="D51" s="265" t="n"/>
      <c r="E51" s="265" t="n"/>
      <c r="F51" s="265" t="n"/>
      <c r="G51" s="265" t="n"/>
      <c r="I51" s="265" t="n"/>
      <c r="J51" s="265" t="n"/>
      <c r="K51" s="265" t="n"/>
      <c r="L51" s="265" t="n"/>
      <c r="N51" s="265" t="n">
        <v>312729</v>
      </c>
      <c r="O51" s="265" t="n">
        <v>326169</v>
      </c>
      <c r="P51" s="265" t="n">
        <v>319628</v>
      </c>
      <c r="Q51" s="265" t="n">
        <v>234933</v>
      </c>
      <c r="S51" s="265" t="n">
        <v>254827</v>
      </c>
      <c r="T51" s="265" t="n">
        <v>248566</v>
      </c>
      <c r="U51" s="265" t="n">
        <v>268592.38487</v>
      </c>
      <c r="V51" s="265" t="n">
        <v>202562</v>
      </c>
      <c r="X51" s="265" t="n">
        <v>192587</v>
      </c>
      <c r="Y51" s="265" t="n">
        <v>252391</v>
      </c>
      <c r="Z51" s="265" t="n">
        <v>238164</v>
      </c>
      <c r="AA51" s="265" t="n">
        <v>274805</v>
      </c>
      <c r="AC51" s="265" t="n">
        <v>282086</v>
      </c>
      <c r="AD51" s="265" t="n">
        <v>297868</v>
      </c>
    </row>
    <row r="52">
      <c r="A52" t="inlineStr">
        <is>
          <t>P: Cessão de Recebíveis (BP l.35) (cessao de recebiveis: fora da divida, como a Cia) · fonte · unid. moeda</t>
        </is>
      </c>
      <c r="B52" t="n">
        <v>26</v>
      </c>
      <c r="C52" t="inlineStr">
        <is>
          <t>Other current liabilities (non-debt)</t>
        </is>
      </c>
      <c r="D52" s="265" t="n"/>
      <c r="E52" s="265" t="n"/>
      <c r="F52" s="265" t="n"/>
      <c r="G52" s="265" t="n"/>
      <c r="I52" s="265" t="n"/>
      <c r="J52" s="265" t="n"/>
      <c r="K52" s="265" t="n"/>
      <c r="L52" s="265" t="n"/>
      <c r="N52" s="265" t="n">
        <v>22536</v>
      </c>
      <c r="O52" s="265" t="n">
        <v>18947</v>
      </c>
      <c r="P52" s="265" t="n">
        <v>18274</v>
      </c>
      <c r="Q52" s="265" t="n">
        <v>58926</v>
      </c>
      <c r="S52" s="265" t="n">
        <v>41297</v>
      </c>
      <c r="T52" s="265" t="n">
        <v>79372</v>
      </c>
      <c r="U52" s="265" t="n">
        <v>108199</v>
      </c>
      <c r="V52" s="265" t="n">
        <v>169847</v>
      </c>
      <c r="X52" s="265" t="n">
        <v>169511</v>
      </c>
      <c r="Y52" s="265" t="n">
        <v>204067</v>
      </c>
      <c r="Z52" s="265" t="n">
        <v>198428</v>
      </c>
      <c r="AA52" s="265" t="n">
        <v>296402</v>
      </c>
      <c r="AC52" s="265" t="n">
        <v>281001</v>
      </c>
      <c r="AD52" s="265" t="n">
        <v>307136</v>
      </c>
    </row>
    <row r="53">
      <c r="A53" t="inlineStr">
        <is>
          <t>P: Fornecedores (BP l.36) · fonte · unid. moeda</t>
        </is>
      </c>
      <c r="B53" t="n">
        <v>23</v>
      </c>
      <c r="C53" t="inlineStr">
        <is>
          <t>Accounts payable</t>
        </is>
      </c>
      <c r="D53" s="265" t="n"/>
      <c r="E53" s="265" t="n"/>
      <c r="F53" s="265" t="n"/>
      <c r="G53" s="265" t="n"/>
      <c r="I53" s="265" t="n"/>
      <c r="J53" s="265" t="n"/>
      <c r="K53" s="265" t="n"/>
      <c r="L53" s="265" t="n"/>
      <c r="N53" s="265" t="n">
        <v>87224</v>
      </c>
      <c r="O53" s="265" t="n">
        <v>112545</v>
      </c>
      <c r="P53" s="265" t="n">
        <v>122771</v>
      </c>
      <c r="Q53" s="265" t="n">
        <v>121652</v>
      </c>
      <c r="S53" s="265" t="n">
        <v>128362</v>
      </c>
      <c r="T53" s="265" t="n">
        <v>144459</v>
      </c>
      <c r="U53" s="265" t="n">
        <v>155934</v>
      </c>
      <c r="V53" s="265" t="n">
        <v>128837</v>
      </c>
      <c r="X53" s="265" t="n">
        <v>133339</v>
      </c>
      <c r="Y53" s="265" t="n">
        <v>140235</v>
      </c>
      <c r="Z53" s="265" t="n">
        <v>170298</v>
      </c>
      <c r="AA53" s="265" t="n">
        <v>181281</v>
      </c>
      <c r="AC53" s="265" t="n">
        <v>170619</v>
      </c>
      <c r="AD53" s="265" t="n">
        <v>175561</v>
      </c>
    </row>
    <row r="54">
      <c r="A54" t="inlineStr">
        <is>
          <t>P: Fornecedores - Risco sacado¹ (BP l.37) (risco sacado -&gt; fornecedores, como a Cia) · fonte · unid. moeda</t>
        </is>
      </c>
      <c r="B54" t="n">
        <v>23</v>
      </c>
      <c r="C54" t="inlineStr">
        <is>
          <t>Accounts payable</t>
        </is>
      </c>
      <c r="D54" s="265" t="n"/>
      <c r="E54" s="265" t="n"/>
      <c r="F54" s="265" t="n"/>
      <c r="G54" s="265" t="n"/>
      <c r="I54" s="265" t="n"/>
      <c r="J54" s="265" t="n"/>
      <c r="K54" s="265" t="n"/>
      <c r="L54" s="265" t="n"/>
      <c r="N54" s="265" t="n">
        <v>6635</v>
      </c>
      <c r="O54" s="265" t="n">
        <v>7226</v>
      </c>
      <c r="P54" s="265" t="n">
        <v>6709</v>
      </c>
      <c r="Q54" s="265" t="n">
        <v>7879</v>
      </c>
      <c r="S54" s="265" t="n">
        <v>6664</v>
      </c>
      <c r="T54" s="265" t="n">
        <v>7445</v>
      </c>
      <c r="U54" s="265" t="n">
        <v>8885</v>
      </c>
      <c r="V54" s="265" t="n">
        <v>7576</v>
      </c>
      <c r="X54" s="265" t="n">
        <v>10506</v>
      </c>
      <c r="Y54" s="265" t="n">
        <v>12571</v>
      </c>
      <c r="Z54" s="265" t="n">
        <v>15862</v>
      </c>
      <c r="AA54" s="265" t="n">
        <v>12949</v>
      </c>
      <c r="AC54" s="265" t="n">
        <v>14823</v>
      </c>
      <c r="AD54" s="265" t="n">
        <v>19116</v>
      </c>
    </row>
    <row r="55">
      <c r="A55" t="inlineStr">
        <is>
          <t>P: Obrigações trabalhistas (BP l.38) · fonte · unid. moeda</t>
        </is>
      </c>
      <c r="B55" t="n">
        <v>24</v>
      </c>
      <c r="C55" t="inlineStr">
        <is>
          <t>Accrued expenses</t>
        </is>
      </c>
      <c r="D55" s="265" t="n"/>
      <c r="E55" s="265" t="n"/>
      <c r="F55" s="265" t="n"/>
      <c r="G55" s="265" t="n"/>
      <c r="I55" s="265" t="n"/>
      <c r="J55" s="265" t="n"/>
      <c r="K55" s="265" t="n"/>
      <c r="L55" s="265" t="n"/>
      <c r="N55" s="265" t="n">
        <v>46975</v>
      </c>
      <c r="O55" s="265" t="n">
        <v>48699</v>
      </c>
      <c r="P55" s="265" t="n">
        <v>55581</v>
      </c>
      <c r="Q55" s="265" t="n">
        <v>45411</v>
      </c>
      <c r="S55" s="265" t="n">
        <v>57288</v>
      </c>
      <c r="T55" s="265" t="n">
        <v>65472</v>
      </c>
      <c r="U55" s="265" t="n">
        <v>76038.2945</v>
      </c>
      <c r="V55" s="265" t="n">
        <v>68360</v>
      </c>
      <c r="X55" s="265" t="n">
        <v>82388</v>
      </c>
      <c r="Y55" s="265" t="n">
        <v>81795</v>
      </c>
      <c r="Z55" s="265" t="n">
        <v>103684</v>
      </c>
      <c r="AA55" s="265" t="n">
        <v>87815</v>
      </c>
      <c r="AC55" s="265" t="n">
        <v>104382</v>
      </c>
      <c r="AD55" s="265" t="n">
        <v>109279</v>
      </c>
    </row>
    <row r="56">
      <c r="A56" t="inlineStr">
        <is>
          <t>P: Obrigações tributárias (BP l.39) · fonte · unid. moeda</t>
        </is>
      </c>
      <c r="B56" t="n">
        <v>25</v>
      </c>
      <c r="C56" t="inlineStr">
        <is>
          <t>Taxes payable</t>
        </is>
      </c>
      <c r="D56" s="265" t="n"/>
      <c r="E56" s="265" t="n"/>
      <c r="F56" s="265" t="n"/>
      <c r="G56" s="265" t="n"/>
      <c r="I56" s="265" t="n"/>
      <c r="J56" s="265" t="n"/>
      <c r="K56" s="265" t="n"/>
      <c r="L56" s="265" t="n"/>
      <c r="N56" s="265" t="n">
        <v>30040</v>
      </c>
      <c r="O56" s="265" t="n">
        <v>29897</v>
      </c>
      <c r="P56" s="265" t="n">
        <v>30233</v>
      </c>
      <c r="Q56" s="265" t="n">
        <v>36179</v>
      </c>
      <c r="S56" s="265" t="n">
        <v>28771</v>
      </c>
      <c r="T56" s="265" t="n">
        <v>43321</v>
      </c>
      <c r="U56" s="265" t="n">
        <v>48861.77512</v>
      </c>
      <c r="V56" s="265" t="n">
        <v>55567</v>
      </c>
      <c r="X56" s="265" t="n">
        <v>51397</v>
      </c>
      <c r="Y56" s="265" t="n">
        <v>58918</v>
      </c>
      <c r="Z56" s="265" t="n">
        <v>58012</v>
      </c>
      <c r="AA56" s="265" t="n">
        <v>67093</v>
      </c>
      <c r="AC56" s="265" t="n">
        <v>59560</v>
      </c>
      <c r="AD56" s="265" t="n">
        <v>63979</v>
      </c>
    </row>
    <row r="57">
      <c r="A57" t="inlineStr">
        <is>
          <t>P: Impostos de Renda e Contribuição Social a pagar corrente (BP l.40) · fonte · unid. moeda</t>
        </is>
      </c>
      <c r="B57" t="n">
        <v>25</v>
      </c>
      <c r="C57" t="inlineStr">
        <is>
          <t>Taxes payable</t>
        </is>
      </c>
      <c r="D57" s="265" t="n"/>
      <c r="E57" s="265" t="n"/>
      <c r="F57" s="265" t="n"/>
      <c r="G57" s="265" t="n"/>
      <c r="I57" s="265" t="n"/>
      <c r="J57" s="265" t="n"/>
      <c r="K57" s="265" t="n"/>
      <c r="L57" s="265" t="n"/>
      <c r="N57" s="265" t="n">
        <v>0</v>
      </c>
      <c r="O57" s="265" t="n">
        <v>0</v>
      </c>
      <c r="P57" s="265" t="n">
        <v>0</v>
      </c>
      <c r="Q57" s="265" t="n">
        <v>0</v>
      </c>
      <c r="S57" s="265" t="n">
        <v>0</v>
      </c>
      <c r="T57" s="265" t="n">
        <v>0</v>
      </c>
      <c r="U57" s="265" t="n">
        <v>0</v>
      </c>
      <c r="V57" s="265" t="n">
        <v>0</v>
      </c>
      <c r="X57" s="265" t="n">
        <v>0</v>
      </c>
      <c r="Y57" s="265" t="n">
        <v>0</v>
      </c>
      <c r="Z57" s="265" t="n">
        <v>0</v>
      </c>
      <c r="AA57" s="265" t="n">
        <v>0</v>
      </c>
      <c r="AC57" s="265" t="n">
        <v>0</v>
      </c>
      <c r="AD57" s="265" t="n">
        <v>0</v>
      </c>
    </row>
    <row r="58">
      <c r="A58" t="inlineStr">
        <is>
          <t>P: Impostos de Renda e Contribuição Social a pagar diferido (BP l.41) · fonte · unid. moeda</t>
        </is>
      </c>
      <c r="B58" t="n">
        <v>25</v>
      </c>
      <c r="C58" t="inlineStr">
        <is>
          <t>Taxes payable</t>
        </is>
      </c>
      <c r="D58" s="265" t="n"/>
      <c r="E58" s="265" t="n"/>
      <c r="F58" s="265" t="n"/>
      <c r="G58" s="265" t="n"/>
      <c r="I58" s="265" t="n"/>
      <c r="J58" s="265" t="n"/>
      <c r="K58" s="265" t="n"/>
      <c r="L58" s="265" t="n"/>
      <c r="N58" s="265" t="n">
        <v>0</v>
      </c>
      <c r="O58" s="265" t="n">
        <v>0</v>
      </c>
      <c r="P58" s="265" t="n">
        <v>0</v>
      </c>
      <c r="Q58" s="265" t="n">
        <v>0</v>
      </c>
      <c r="S58" s="265" t="n">
        <v>0</v>
      </c>
      <c r="T58" s="265" t="n">
        <v>0</v>
      </c>
      <c r="U58" s="265" t="n">
        <v>0</v>
      </c>
      <c r="V58" s="265" t="n">
        <v>0</v>
      </c>
      <c r="X58" s="265" t="n">
        <v>0</v>
      </c>
      <c r="Y58" s="265" t="n">
        <v>0</v>
      </c>
      <c r="Z58" s="265" t="n">
        <v>0</v>
      </c>
      <c r="AA58" s="265" t="n">
        <v>0</v>
      </c>
      <c r="AC58" s="265" t="n">
        <v>0</v>
      </c>
      <c r="AD58" s="265" t="n">
        <v>0</v>
      </c>
    </row>
    <row r="59">
      <c r="A59" t="inlineStr">
        <is>
          <t>P: Financiamento por arrendamento (BP l.42) (arrendamento -&gt; cod 29) · fonte · unid. moeda</t>
        </is>
      </c>
      <c r="B59" t="n">
        <v>29</v>
      </c>
      <c r="C59" t="inlineStr">
        <is>
          <t>Short term operating leases</t>
        </is>
      </c>
      <c r="D59" s="265" t="n"/>
      <c r="E59" s="265" t="n"/>
      <c r="F59" s="265" t="n"/>
      <c r="G59" s="265" t="n"/>
      <c r="I59" s="265" t="n"/>
      <c r="J59" s="265" t="n"/>
      <c r="K59" s="265" t="n"/>
      <c r="L59" s="265" t="n"/>
      <c r="N59" s="265" t="n">
        <v>10885</v>
      </c>
      <c r="O59" s="265" t="n">
        <v>10632</v>
      </c>
      <c r="P59" s="265" t="n">
        <v>10456</v>
      </c>
      <c r="Q59" s="265" t="n">
        <v>7456</v>
      </c>
      <c r="S59" s="265" t="n">
        <v>8735</v>
      </c>
      <c r="T59" s="265" t="n">
        <v>8469</v>
      </c>
      <c r="U59" s="265" t="n">
        <v>8200</v>
      </c>
      <c r="V59" s="265" t="n">
        <v>7911</v>
      </c>
      <c r="X59" s="265" t="n">
        <v>9411</v>
      </c>
      <c r="Y59" s="265" t="n">
        <v>10371</v>
      </c>
      <c r="Z59" s="265" t="n">
        <v>10120</v>
      </c>
      <c r="AA59" s="265" t="n">
        <v>12686</v>
      </c>
      <c r="AC59" s="265" t="n">
        <v>11840</v>
      </c>
      <c r="AD59" s="265" t="n">
        <v>11089</v>
      </c>
    </row>
    <row r="60">
      <c r="A60" t="inlineStr">
        <is>
          <t>P: Credores por imóveis compromissados (BP l.43) · fonte · unid. moeda</t>
        </is>
      </c>
      <c r="B60" t="n">
        <v>26</v>
      </c>
      <c r="C60" t="inlineStr">
        <is>
          <t>Other current liabilities (non-debt)</t>
        </is>
      </c>
      <c r="D60" s="265" t="n"/>
      <c r="E60" s="265" t="n"/>
      <c r="F60" s="265" t="n"/>
      <c r="G60" s="265" t="n"/>
      <c r="I60" s="265" t="n"/>
      <c r="J60" s="265" t="n"/>
      <c r="K60" s="265" t="n"/>
      <c r="L60" s="265" t="n"/>
      <c r="N60" s="265" t="n">
        <v>109832</v>
      </c>
      <c r="O60" s="265" t="n">
        <v>111111</v>
      </c>
      <c r="P60" s="265" t="n">
        <v>114228</v>
      </c>
      <c r="Q60" s="265" t="n">
        <v>146827</v>
      </c>
      <c r="S60" s="265" t="n">
        <v>147741</v>
      </c>
      <c r="T60" s="265" t="n">
        <v>164882</v>
      </c>
      <c r="U60" s="265" t="n">
        <v>165984.5644</v>
      </c>
      <c r="V60" s="265" t="n">
        <v>194059</v>
      </c>
      <c r="X60" s="265" t="n">
        <v>150709</v>
      </c>
      <c r="Y60" s="265" t="n">
        <v>203878</v>
      </c>
      <c r="Z60" s="265" t="n">
        <v>127395</v>
      </c>
      <c r="AA60" s="265" t="n">
        <v>131775</v>
      </c>
      <c r="AC60" s="265" t="n">
        <v>89155</v>
      </c>
      <c r="AD60" s="265" t="n">
        <v>67844</v>
      </c>
    </row>
    <row r="61">
      <c r="A61" t="inlineStr">
        <is>
          <t>P: Adiantamento de clientes (BP l.44) · fonte · unid. moeda</t>
        </is>
      </c>
      <c r="B61" t="n">
        <v>26</v>
      </c>
      <c r="C61" t="inlineStr">
        <is>
          <t>Other current liabilities (non-debt)</t>
        </is>
      </c>
      <c r="D61" s="265" t="n"/>
      <c r="E61" s="265" t="n"/>
      <c r="F61" s="265" t="n"/>
      <c r="G61" s="265" t="n"/>
      <c r="I61" s="265" t="n"/>
      <c r="J61" s="265" t="n"/>
      <c r="K61" s="265" t="n"/>
      <c r="L61" s="265" t="n"/>
      <c r="N61" s="265" t="n">
        <v>65314</v>
      </c>
      <c r="O61" s="265" t="n">
        <v>45816</v>
      </c>
      <c r="P61" s="265" t="n">
        <v>75765</v>
      </c>
      <c r="Q61" s="265" t="n">
        <v>69264</v>
      </c>
      <c r="S61" s="265" t="n">
        <v>95612</v>
      </c>
      <c r="T61" s="265" t="n">
        <v>101555</v>
      </c>
      <c r="U61" s="265" t="n">
        <v>79973.27475</v>
      </c>
      <c r="V61" s="265" t="n">
        <v>66546</v>
      </c>
      <c r="X61" s="265" t="n">
        <v>58843</v>
      </c>
      <c r="Y61" s="265" t="n">
        <v>102423</v>
      </c>
      <c r="Z61" s="265" t="n">
        <v>96239</v>
      </c>
      <c r="AA61" s="265" t="n">
        <v>83947</v>
      </c>
      <c r="AC61" s="265" t="n">
        <v>74182</v>
      </c>
      <c r="AD61" s="265" t="n">
        <v>64903</v>
      </c>
    </row>
    <row r="62">
      <c r="A62" t="inlineStr">
        <is>
          <t>P: Outras contas a pagar (BP l.45) · fonte · unid. moeda</t>
        </is>
      </c>
      <c r="B62" t="n">
        <v>26</v>
      </c>
      <c r="C62" t="inlineStr">
        <is>
          <t>Other current liabilities (non-debt)</t>
        </is>
      </c>
      <c r="D62" s="265" t="n"/>
      <c r="E62" s="265" t="n"/>
      <c r="F62" s="265" t="n"/>
      <c r="G62" s="265" t="n"/>
      <c r="I62" s="265" t="n"/>
      <c r="J62" s="265" t="n"/>
      <c r="K62" s="265" t="n"/>
      <c r="L62" s="265" t="n"/>
      <c r="N62" s="265" t="n">
        <v>118085</v>
      </c>
      <c r="O62" s="265" t="n">
        <v>127136</v>
      </c>
      <c r="P62" s="265" t="n">
        <v>101293</v>
      </c>
      <c r="Q62" s="265" t="n">
        <v>120996</v>
      </c>
      <c r="S62" s="265" t="n">
        <v>108335</v>
      </c>
      <c r="T62" s="265" t="n">
        <v>150744</v>
      </c>
      <c r="U62" s="265" t="n">
        <v>158901</v>
      </c>
      <c r="V62" s="265" t="n">
        <v>184636</v>
      </c>
      <c r="X62" s="265" t="n">
        <v>188664</v>
      </c>
      <c r="Y62" s="265" t="n">
        <v>185879</v>
      </c>
      <c r="Z62" s="265" t="n">
        <v>203389</v>
      </c>
      <c r="AA62" s="265" t="n">
        <v>222844</v>
      </c>
      <c r="AC62" s="265" t="n">
        <v>222218</v>
      </c>
      <c r="AD62" s="265" t="n">
        <v>319401</v>
      </c>
    </row>
    <row r="63">
      <c r="A63" t="inlineStr">
        <is>
          <t>P: Dividendos a pagar (BP l.46) · fonte · unid. moeda</t>
        </is>
      </c>
      <c r="B63" t="n">
        <v>26</v>
      </c>
      <c r="C63" t="inlineStr">
        <is>
          <t>Other current liabilities (non-debt)</t>
        </is>
      </c>
      <c r="D63" s="265" t="n"/>
      <c r="E63" s="265" t="n"/>
      <c r="F63" s="265" t="n"/>
      <c r="G63" s="265" t="n"/>
      <c r="I63" s="265" t="n"/>
      <c r="J63" s="265" t="n"/>
      <c r="K63" s="265" t="n"/>
      <c r="L63" s="265" t="n"/>
      <c r="N63" s="265" t="n">
        <v>0</v>
      </c>
      <c r="O63" s="265" t="n">
        <v>0</v>
      </c>
      <c r="P63" s="265" t="n">
        <v>0</v>
      </c>
      <c r="Q63" s="265" t="n">
        <v>81162</v>
      </c>
      <c r="S63" s="265" t="n">
        <v>0</v>
      </c>
      <c r="T63" s="265" t="n">
        <v>0</v>
      </c>
      <c r="U63" s="265" t="n">
        <v>79700</v>
      </c>
      <c r="V63" s="265" t="n">
        <v>299399</v>
      </c>
      <c r="X63" s="265" t="n">
        <v>0</v>
      </c>
      <c r="Y63" s="265" t="n">
        <v>346664</v>
      </c>
      <c r="Z63" s="265" t="n">
        <v>0</v>
      </c>
      <c r="AA63" s="265" t="n">
        <v>11519</v>
      </c>
      <c r="AC63" s="265" t="n">
        <v>0</v>
      </c>
      <c r="AD63" s="265" t="n">
        <v>16410</v>
      </c>
    </row>
    <row r="64">
      <c r="A64" t="inlineStr">
        <is>
          <t>P: Provisão para garantia (BP l.47) · fonte · unid. moeda</t>
        </is>
      </c>
      <c r="B64" t="n">
        <v>26</v>
      </c>
      <c r="C64" t="inlineStr">
        <is>
          <t>Other current liabilities (non-debt)</t>
        </is>
      </c>
      <c r="D64" s="265" t="n"/>
      <c r="E64" s="265" t="n"/>
      <c r="F64" s="265" t="n"/>
      <c r="G64" s="265" t="n"/>
      <c r="I64" s="265" t="n"/>
      <c r="J64" s="265" t="n"/>
      <c r="K64" s="265" t="n"/>
      <c r="L64" s="265" t="n"/>
      <c r="N64" s="265" t="n">
        <v>25972</v>
      </c>
      <c r="O64" s="265" t="n">
        <v>25934</v>
      </c>
      <c r="P64" s="265" t="n">
        <v>21940</v>
      </c>
      <c r="Q64" s="265" t="n">
        <v>24259</v>
      </c>
      <c r="S64" s="265" t="n">
        <v>23035</v>
      </c>
      <c r="T64" s="265" t="n">
        <v>21920</v>
      </c>
      <c r="U64" s="265" t="n">
        <v>22506</v>
      </c>
      <c r="V64" s="265" t="n">
        <v>21964</v>
      </c>
      <c r="X64" s="265" t="n">
        <v>22386</v>
      </c>
      <c r="Y64" s="265" t="n">
        <v>22561</v>
      </c>
      <c r="Z64" s="265" t="n">
        <v>23488</v>
      </c>
      <c r="AA64" s="265" t="n">
        <v>23533</v>
      </c>
      <c r="AC64" s="265" t="n">
        <v>22784</v>
      </c>
      <c r="AD64" s="265" t="n">
        <v>18550</v>
      </c>
    </row>
    <row r="65">
      <c r="A65" t="inlineStr">
        <is>
          <t>P: Débitos com partes relacionadas (BP l.48) · fonte · unid. moeda</t>
        </is>
      </c>
      <c r="B65" t="n">
        <v>26</v>
      </c>
      <c r="C65" t="inlineStr">
        <is>
          <t>Other current liabilities (non-debt)</t>
        </is>
      </c>
      <c r="D65" s="265" t="n"/>
      <c r="E65" s="265" t="n"/>
      <c r="F65" s="265" t="n"/>
      <c r="G65" s="265" t="n"/>
      <c r="I65" s="265" t="n"/>
      <c r="J65" s="265" t="n"/>
      <c r="K65" s="265" t="n"/>
      <c r="L65" s="265" t="n"/>
      <c r="N65" s="265" t="n">
        <v>32938</v>
      </c>
      <c r="O65" s="265" t="n">
        <v>41277</v>
      </c>
      <c r="P65" s="265" t="n">
        <v>65675</v>
      </c>
      <c r="Q65" s="265" t="n">
        <v>87822</v>
      </c>
      <c r="S65" s="265" t="n">
        <v>90374</v>
      </c>
      <c r="T65" s="265" t="n">
        <v>100991</v>
      </c>
      <c r="U65" s="265" t="n">
        <v>101101</v>
      </c>
      <c r="V65" s="265" t="n">
        <v>101094</v>
      </c>
      <c r="X65" s="265" t="n">
        <v>155939</v>
      </c>
      <c r="Y65" s="265" t="n">
        <v>169507</v>
      </c>
      <c r="Z65" s="265" t="n">
        <v>182317</v>
      </c>
      <c r="AA65" s="265" t="n">
        <v>214534</v>
      </c>
      <c r="AC65" s="265" t="n">
        <v>233607</v>
      </c>
      <c r="AD65" s="265" t="n">
        <v>213315</v>
      </c>
    </row>
    <row r="66">
      <c r="A66" t="inlineStr">
        <is>
          <t>P: Empréstimos e financiamentos (BP l.50) · fonte · unid. moeda</t>
        </is>
      </c>
      <c r="B66" t="n">
        <v>30</v>
      </c>
      <c r="C66" t="inlineStr">
        <is>
          <t>Long term debt</t>
        </is>
      </c>
      <c r="D66" s="265" t="n"/>
      <c r="E66" s="265" t="n"/>
      <c r="F66" s="265" t="n"/>
      <c r="G66" s="265" t="n"/>
      <c r="I66" s="265" t="n"/>
      <c r="J66" s="265" t="n"/>
      <c r="K66" s="265" t="n"/>
      <c r="L66" s="265" t="n"/>
      <c r="N66" s="265" t="n">
        <v>1070985</v>
      </c>
      <c r="O66" s="265" t="n">
        <v>1118460</v>
      </c>
      <c r="P66" s="265" t="n">
        <v>971640</v>
      </c>
      <c r="Q66" s="265" t="n">
        <v>1088111</v>
      </c>
      <c r="S66" s="265" t="n">
        <v>1061373</v>
      </c>
      <c r="T66" s="265" t="n">
        <v>1088924</v>
      </c>
      <c r="U66" s="265" t="n">
        <v>1412044</v>
      </c>
      <c r="V66" s="265" t="n">
        <v>1347099</v>
      </c>
      <c r="X66" s="265" t="n">
        <v>1701507</v>
      </c>
      <c r="Y66" s="265" t="n">
        <v>1774509</v>
      </c>
      <c r="Z66" s="265" t="n">
        <v>2341473</v>
      </c>
      <c r="AA66" s="265" t="n">
        <v>2483542</v>
      </c>
      <c r="AC66" s="265" t="n">
        <v>2794176</v>
      </c>
      <c r="AD66" s="265" t="n">
        <v>2658251</v>
      </c>
    </row>
    <row r="67">
      <c r="A67" t="inlineStr">
        <is>
          <t>P: Cessão de Recebíveis (BP l.51) (cessao de recebiveis) · fonte · unid. moeda</t>
        </is>
      </c>
      <c r="B67" t="n">
        <v>34</v>
      </c>
      <c r="C67" t="inlineStr">
        <is>
          <t>Other non-current liabilities</t>
        </is>
      </c>
      <c r="D67" s="265" t="n"/>
      <c r="E67" s="265" t="n"/>
      <c r="F67" s="265" t="n"/>
      <c r="G67" s="265" t="n"/>
      <c r="I67" s="265" t="n"/>
      <c r="J67" s="265" t="n"/>
      <c r="K67" s="265" t="n"/>
      <c r="L67" s="265" t="n"/>
      <c r="N67" s="265" t="n">
        <v>110701</v>
      </c>
      <c r="O67" s="265" t="n">
        <v>98691</v>
      </c>
      <c r="P67" s="265" t="n">
        <v>93820</v>
      </c>
      <c r="Q67" s="265" t="n">
        <v>128260</v>
      </c>
      <c r="S67" s="265" t="n">
        <v>127621</v>
      </c>
      <c r="T67" s="265" t="n">
        <v>358077</v>
      </c>
      <c r="U67" s="265" t="n">
        <v>401624</v>
      </c>
      <c r="V67" s="265" t="n">
        <v>524452</v>
      </c>
      <c r="X67" s="265" t="n">
        <v>501570</v>
      </c>
      <c r="Y67" s="265" t="n">
        <v>673029</v>
      </c>
      <c r="Z67" s="265" t="n">
        <v>708838</v>
      </c>
      <c r="AA67" s="265" t="n">
        <v>900748</v>
      </c>
      <c r="AC67" s="265" t="n">
        <v>843825</v>
      </c>
      <c r="AD67" s="265" t="n">
        <v>957157</v>
      </c>
    </row>
    <row r="68">
      <c r="A68" t="inlineStr">
        <is>
          <t>P: Fornecedores (BP l.52) · fonte · unid. moeda</t>
        </is>
      </c>
      <c r="B68" t="n">
        <v>34</v>
      </c>
      <c r="C68" t="inlineStr">
        <is>
          <t>Other non-current liabilities</t>
        </is>
      </c>
      <c r="D68" s="265" t="n"/>
      <c r="E68" s="265" t="n"/>
      <c r="F68" s="265" t="n"/>
      <c r="G68" s="265" t="n"/>
      <c r="I68" s="265" t="n"/>
      <c r="J68" s="265" t="n"/>
      <c r="K68" s="265" t="n"/>
      <c r="L68" s="265" t="n"/>
      <c r="N68" s="265" t="n">
        <v>9196</v>
      </c>
      <c r="O68" s="265" t="n">
        <v>8742</v>
      </c>
      <c r="P68" s="265" t="n">
        <v>9284</v>
      </c>
      <c r="Q68" s="265" t="n">
        <v>10004</v>
      </c>
      <c r="S68" s="265" t="n">
        <v>10285</v>
      </c>
      <c r="T68" s="265" t="n">
        <v>9977</v>
      </c>
      <c r="U68" s="265" t="n">
        <v>10950</v>
      </c>
      <c r="V68" s="265" t="n">
        <v>11116</v>
      </c>
      <c r="X68" s="265" t="n">
        <v>14538</v>
      </c>
      <c r="Y68" s="265" t="n">
        <v>12878</v>
      </c>
      <c r="Z68" s="265" t="n">
        <v>13970</v>
      </c>
      <c r="AA68" s="265" t="n">
        <v>14082</v>
      </c>
      <c r="AC68" s="265" t="n">
        <v>13072</v>
      </c>
      <c r="AD68" s="265" t="n">
        <v>15721</v>
      </c>
    </row>
    <row r="69">
      <c r="A69" t="inlineStr">
        <is>
          <t>P: Obrigações tributárias (BP l.53) · fonte · unid. moeda</t>
        </is>
      </c>
      <c r="B69" t="n">
        <v>34</v>
      </c>
      <c r="C69" t="inlineStr">
        <is>
          <t>Other non-current liabilities</t>
        </is>
      </c>
      <c r="D69" s="265" t="n"/>
      <c r="E69" s="265" t="n"/>
      <c r="F69" s="265" t="n"/>
      <c r="G69" s="265" t="n"/>
      <c r="I69" s="265" t="n"/>
      <c r="J69" s="265" t="n"/>
      <c r="K69" s="265" t="n"/>
      <c r="L69" s="265" t="n"/>
      <c r="N69" s="265" t="n">
        <v>13275</v>
      </c>
      <c r="O69" s="265" t="n">
        <v>14535</v>
      </c>
      <c r="P69" s="265" t="n">
        <v>16117</v>
      </c>
      <c r="Q69" s="265" t="n">
        <v>18589</v>
      </c>
      <c r="S69" s="265" t="n">
        <v>29817</v>
      </c>
      <c r="T69" s="265" t="n">
        <v>24107</v>
      </c>
      <c r="U69" s="265" t="n">
        <v>31136</v>
      </c>
      <c r="V69" s="265" t="n">
        <v>28523</v>
      </c>
      <c r="X69" s="265" t="n">
        <v>42832</v>
      </c>
      <c r="Y69" s="265" t="n">
        <v>47551</v>
      </c>
      <c r="Z69" s="265" t="n">
        <v>59310</v>
      </c>
      <c r="AA69" s="265" t="n">
        <v>60531</v>
      </c>
      <c r="AC69" s="265" t="n">
        <v>70988</v>
      </c>
      <c r="AD69" s="265" t="n">
        <v>70791</v>
      </c>
    </row>
    <row r="70">
      <c r="A70" t="inlineStr">
        <is>
          <t>P: Impostos de Renda e Contribuição Social a pagar diferido (BP l.54) · fonte · unid. moeda</t>
        </is>
      </c>
      <c r="B70" t="n">
        <v>34</v>
      </c>
      <c r="C70" t="inlineStr">
        <is>
          <t>Other non-current liabilities</t>
        </is>
      </c>
      <c r="D70" s="265" t="n"/>
      <c r="E70" s="265" t="n"/>
      <c r="F70" s="265" t="n"/>
      <c r="G70" s="265" t="n"/>
      <c r="I70" s="265" t="n"/>
      <c r="J70" s="265" t="n"/>
      <c r="K70" s="265" t="n"/>
      <c r="L70" s="265" t="n"/>
      <c r="N70" s="265" t="n">
        <v>0</v>
      </c>
      <c r="O70" s="265" t="n">
        <v>0</v>
      </c>
      <c r="P70" s="265" t="n">
        <v>0</v>
      </c>
      <c r="Q70" s="265" t="n">
        <v>0</v>
      </c>
      <c r="S70" s="265" t="n">
        <v>0</v>
      </c>
      <c r="T70" s="265" t="n">
        <v>0</v>
      </c>
      <c r="U70" s="265" t="n">
        <v>0</v>
      </c>
      <c r="V70" s="265" t="n">
        <v>0</v>
      </c>
      <c r="X70" s="265" t="n">
        <v>0</v>
      </c>
      <c r="Y70" s="265" t="n">
        <v>0</v>
      </c>
      <c r="Z70" s="265" t="n">
        <v>0</v>
      </c>
      <c r="AA70" s="265" t="n">
        <v>0</v>
      </c>
      <c r="AC70" s="265" t="n">
        <v>0</v>
      </c>
      <c r="AD70" s="265" t="n">
        <v>0</v>
      </c>
    </row>
    <row r="71">
      <c r="A71" t="inlineStr">
        <is>
          <t>P: Financiamento por arrendamento (BP l.55) (arrendamento -&gt; cod 31) · fonte · unid. moeda</t>
        </is>
      </c>
      <c r="B71" t="n">
        <v>31</v>
      </c>
      <c r="C71" t="inlineStr">
        <is>
          <t>Long term operating leases</t>
        </is>
      </c>
      <c r="D71" s="265" t="n"/>
      <c r="E71" s="265" t="n"/>
      <c r="F71" s="265" t="n"/>
      <c r="G71" s="265" t="n"/>
      <c r="I71" s="265" t="n"/>
      <c r="J71" s="265" t="n"/>
      <c r="K71" s="265" t="n"/>
      <c r="L71" s="265" t="n"/>
      <c r="N71" s="265" t="n">
        <v>18235</v>
      </c>
      <c r="O71" s="265" t="n">
        <v>16657</v>
      </c>
      <c r="P71" s="265" t="n">
        <v>15139</v>
      </c>
      <c r="Q71" s="265" t="n">
        <v>13648</v>
      </c>
      <c r="S71" s="265" t="n">
        <v>77451</v>
      </c>
      <c r="T71" s="265" t="n">
        <v>76896</v>
      </c>
      <c r="U71" s="265" t="n">
        <v>76332</v>
      </c>
      <c r="V71" s="265" t="n">
        <v>75773</v>
      </c>
      <c r="X71" s="265" t="n">
        <v>76530</v>
      </c>
      <c r="Y71" s="265" t="n">
        <v>78332</v>
      </c>
      <c r="Z71" s="265" t="n">
        <v>77318</v>
      </c>
      <c r="AA71" s="265" t="n">
        <v>76290</v>
      </c>
      <c r="AC71" s="265" t="n">
        <v>75254</v>
      </c>
      <c r="AD71" s="265" t="n">
        <v>74202</v>
      </c>
    </row>
    <row r="72">
      <c r="A72" t="inlineStr">
        <is>
          <t>P: Credores por imóveis compromissados (BP l.56) (credores por imoveis compromissados = permutas/terrenos) · fonte · unid. moeda</t>
        </is>
      </c>
      <c r="B72" t="n">
        <v>34</v>
      </c>
      <c r="C72" t="inlineStr">
        <is>
          <t>Other non-current liabilities</t>
        </is>
      </c>
      <c r="D72" s="265" t="n"/>
      <c r="E72" s="265" t="n"/>
      <c r="F72" s="265" t="n"/>
      <c r="G72" s="265" t="n"/>
      <c r="I72" s="265" t="n"/>
      <c r="J72" s="265" t="n"/>
      <c r="K72" s="265" t="n"/>
      <c r="L72" s="265" t="n"/>
      <c r="N72" s="265" t="n">
        <v>2343511</v>
      </c>
      <c r="O72" s="265" t="n">
        <v>2495295</v>
      </c>
      <c r="P72" s="265" t="n">
        <v>2544262</v>
      </c>
      <c r="Q72" s="265" t="n">
        <v>2668090</v>
      </c>
      <c r="S72" s="265" t="n">
        <v>2757846</v>
      </c>
      <c r="T72" s="265" t="n">
        <v>3061010</v>
      </c>
      <c r="U72" s="265" t="n">
        <v>3450635</v>
      </c>
      <c r="V72" s="265" t="n">
        <v>3655700</v>
      </c>
      <c r="X72" s="265" t="n">
        <v>3972236</v>
      </c>
      <c r="Y72" s="265" t="n">
        <v>4001081</v>
      </c>
      <c r="Z72" s="265" t="n">
        <v>4287585</v>
      </c>
      <c r="AA72" s="265" t="n">
        <v>5088473</v>
      </c>
      <c r="AC72" s="265" t="n">
        <v>5345435</v>
      </c>
      <c r="AD72" s="265" t="n">
        <v>5770262</v>
      </c>
    </row>
    <row r="73">
      <c r="A73" t="inlineStr">
        <is>
          <t>P: Adiantamento de clientes (BP l.57) · fonte · unid. moeda</t>
        </is>
      </c>
      <c r="B73" t="n">
        <v>34</v>
      </c>
      <c r="C73" t="inlineStr">
        <is>
          <t>Other non-current liabilities</t>
        </is>
      </c>
      <c r="D73" s="265" t="n"/>
      <c r="E73" s="265" t="n"/>
      <c r="F73" s="265" t="n"/>
      <c r="G73" s="265" t="n"/>
      <c r="I73" s="265" t="n"/>
      <c r="J73" s="265" t="n"/>
      <c r="K73" s="265" t="n"/>
      <c r="L73" s="265" t="n"/>
      <c r="N73" s="265" t="n">
        <v>395989</v>
      </c>
      <c r="O73" s="265" t="n">
        <v>397131</v>
      </c>
      <c r="P73" s="265" t="n">
        <v>360703</v>
      </c>
      <c r="Q73" s="265" t="n">
        <v>378427</v>
      </c>
      <c r="S73" s="265" t="n">
        <v>435679</v>
      </c>
      <c r="T73" s="265" t="n">
        <v>490847</v>
      </c>
      <c r="U73" s="265" t="n">
        <v>495137</v>
      </c>
      <c r="V73" s="265" t="n">
        <v>568086</v>
      </c>
      <c r="X73" s="265" t="n">
        <v>568812</v>
      </c>
      <c r="Y73" s="265" t="n">
        <v>573462</v>
      </c>
      <c r="Z73" s="265" t="n">
        <v>632661</v>
      </c>
      <c r="AA73" s="265" t="n">
        <v>521793</v>
      </c>
      <c r="AC73" s="265" t="n">
        <v>523564</v>
      </c>
      <c r="AD73" s="265" t="n">
        <v>526375</v>
      </c>
    </row>
    <row r="74">
      <c r="A74" t="inlineStr">
        <is>
          <t>P: Provisão para garantia (BP l.58) · fonte · unid. moeda</t>
        </is>
      </c>
      <c r="B74" t="n">
        <v>34</v>
      </c>
      <c r="C74" t="inlineStr">
        <is>
          <t>Other non-current liabilities</t>
        </is>
      </c>
      <c r="D74" s="265" t="n"/>
      <c r="E74" s="265" t="n"/>
      <c r="F74" s="265" t="n"/>
      <c r="G74" s="265" t="n"/>
      <c r="I74" s="265" t="n"/>
      <c r="J74" s="265" t="n"/>
      <c r="K74" s="265" t="n"/>
      <c r="L74" s="265" t="n"/>
      <c r="N74" s="265" t="n">
        <v>16772</v>
      </c>
      <c r="O74" s="265" t="n">
        <v>16056</v>
      </c>
      <c r="P74" s="265" t="n">
        <v>19576</v>
      </c>
      <c r="Q74" s="265" t="n">
        <v>16303</v>
      </c>
      <c r="S74" s="265" t="n">
        <v>16745</v>
      </c>
      <c r="T74" s="265" t="n">
        <v>17517</v>
      </c>
      <c r="U74" s="265" t="n">
        <v>18525</v>
      </c>
      <c r="V74" s="265" t="n">
        <v>21072</v>
      </c>
      <c r="X74" s="265" t="n">
        <v>22775</v>
      </c>
      <c r="Y74" s="265" t="n">
        <v>23985</v>
      </c>
      <c r="Z74" s="265" t="n">
        <v>25483</v>
      </c>
      <c r="AA74" s="265" t="n">
        <v>24866</v>
      </c>
      <c r="AC74" s="265" t="n">
        <v>29063</v>
      </c>
      <c r="AD74" s="265" t="n">
        <v>34614</v>
      </c>
    </row>
    <row r="75">
      <c r="A75" t="inlineStr">
        <is>
          <t>P: Provisão p/riscos tributários, trabalhistas e cíveis (BP l.59) · fonte · unid. moeda</t>
        </is>
      </c>
      <c r="B75" t="n">
        <v>34</v>
      </c>
      <c r="C75" t="inlineStr">
        <is>
          <t>Other non-current liabilities</t>
        </is>
      </c>
      <c r="D75" s="265" t="n"/>
      <c r="E75" s="265" t="n"/>
      <c r="F75" s="265" t="n"/>
      <c r="G75" s="265" t="n"/>
      <c r="I75" s="265" t="n"/>
      <c r="J75" s="265" t="n"/>
      <c r="K75" s="265" t="n"/>
      <c r="L75" s="265" t="n"/>
      <c r="N75" s="265" t="n">
        <v>27814</v>
      </c>
      <c r="O75" s="265" t="n">
        <v>29713</v>
      </c>
      <c r="P75" s="265" t="n">
        <v>27705</v>
      </c>
      <c r="Q75" s="265" t="n">
        <v>27657</v>
      </c>
      <c r="S75" s="265" t="n">
        <v>29712</v>
      </c>
      <c r="T75" s="265" t="n">
        <v>28554</v>
      </c>
      <c r="U75" s="265" t="n">
        <v>27141</v>
      </c>
      <c r="V75" s="265" t="n">
        <v>34319</v>
      </c>
      <c r="X75" s="265" t="n">
        <v>37254</v>
      </c>
      <c r="Y75" s="265" t="n">
        <v>38316</v>
      </c>
      <c r="Z75" s="265" t="n">
        <v>39713</v>
      </c>
      <c r="AA75" s="265" t="n">
        <v>39280</v>
      </c>
      <c r="AC75" s="265" t="n">
        <v>41884</v>
      </c>
      <c r="AD75" s="265" t="n">
        <v>42628</v>
      </c>
    </row>
    <row r="76">
      <c r="A76" t="inlineStr">
        <is>
          <t>P: Outras contas a pagar (BP l.60) · fonte · unid. moeda</t>
        </is>
      </c>
      <c r="B76" t="n">
        <v>34</v>
      </c>
      <c r="C76" t="inlineStr">
        <is>
          <t>Other non-current liabilities</t>
        </is>
      </c>
      <c r="D76" s="265" t="n"/>
      <c r="E76" s="265" t="n"/>
      <c r="F76" s="265" t="n"/>
      <c r="G76" s="265" t="n"/>
      <c r="I76" s="265" t="n"/>
      <c r="J76" s="265" t="n"/>
      <c r="K76" s="265" t="n"/>
      <c r="L76" s="265" t="n"/>
      <c r="N76" s="265" t="n">
        <v>95392</v>
      </c>
      <c r="O76" s="265" t="n">
        <v>95392</v>
      </c>
      <c r="P76" s="265" t="n">
        <v>95392</v>
      </c>
      <c r="Q76" s="265" t="n">
        <v>69157</v>
      </c>
      <c r="S76" s="265" t="n">
        <v>69157</v>
      </c>
      <c r="T76" s="265" t="n">
        <v>69157</v>
      </c>
      <c r="U76" s="265" t="n">
        <v>69155</v>
      </c>
      <c r="V76" s="265" t="n">
        <v>69157</v>
      </c>
      <c r="X76" s="265" t="n">
        <v>81806</v>
      </c>
      <c r="Y76" s="265" t="n">
        <v>81805</v>
      </c>
      <c r="Z76" s="265" t="n">
        <v>81805</v>
      </c>
      <c r="AA76" s="265" t="n">
        <v>68696</v>
      </c>
      <c r="AC76" s="265" t="n">
        <v>63268</v>
      </c>
      <c r="AD76" s="265" t="n">
        <v>56724</v>
      </c>
    </row>
    <row r="77">
      <c r="A77" t="inlineStr">
        <is>
          <t>P: Partes relacionadas (BP l.61) · fonte · unid. moeda</t>
        </is>
      </c>
      <c r="B77" t="n">
        <v>34</v>
      </c>
      <c r="C77" t="inlineStr">
        <is>
          <t>Other non-current liabilities</t>
        </is>
      </c>
      <c r="D77" s="265" t="n"/>
      <c r="E77" s="265" t="n"/>
      <c r="F77" s="265" t="n"/>
      <c r="G77" s="265" t="n"/>
      <c r="I77" s="265" t="n"/>
      <c r="J77" s="265" t="n"/>
      <c r="K77" s="265" t="n"/>
      <c r="L77" s="265" t="n"/>
      <c r="N77" s="265" t="n">
        <v>0</v>
      </c>
      <c r="O77" s="265" t="n">
        <v>0</v>
      </c>
      <c r="P77" s="265" t="n">
        <v>0</v>
      </c>
      <c r="Q77" s="265" t="n">
        <v>0</v>
      </c>
      <c r="S77" s="265" t="n">
        <v>0</v>
      </c>
      <c r="T77" s="265" t="n">
        <v>0</v>
      </c>
      <c r="U77" s="265" t="n">
        <v>0</v>
      </c>
      <c r="V77" s="265" t="n">
        <v>0</v>
      </c>
      <c r="X77" s="265" t="n">
        <v>0</v>
      </c>
      <c r="Y77" s="265" t="n">
        <v>0</v>
      </c>
      <c r="Z77" s="265" t="n">
        <v>0</v>
      </c>
      <c r="AA77" s="265" t="n">
        <v>0</v>
      </c>
      <c r="AC77" s="265" t="n">
        <v>0</v>
      </c>
      <c r="AD77" s="265" t="n">
        <v>0</v>
      </c>
    </row>
    <row r="78">
      <c r="A78" t="inlineStr">
        <is>
          <t>PL: Capital social (BP l.63) · fonte · unid. moeda</t>
        </is>
      </c>
      <c r="B78" t="n">
        <v>37</v>
      </c>
      <c r="C78" t="inlineStr">
        <is>
          <t>Common Stock and APIC</t>
        </is>
      </c>
      <c r="D78" s="265" t="n"/>
      <c r="E78" s="265" t="n"/>
      <c r="F78" s="265" t="n"/>
      <c r="G78" s="265" t="n"/>
      <c r="I78" s="265" t="n"/>
      <c r="J78" s="265" t="n"/>
      <c r="K78" s="265" t="n"/>
      <c r="L78" s="265" t="n"/>
      <c r="N78" s="265" t="n">
        <v>752982</v>
      </c>
      <c r="O78" s="265" t="n">
        <v>752982</v>
      </c>
      <c r="P78" s="265" t="n">
        <v>1181857</v>
      </c>
      <c r="Q78" s="265" t="n">
        <v>1181857</v>
      </c>
      <c r="S78" s="265" t="n">
        <v>1181857</v>
      </c>
      <c r="T78" s="265" t="n">
        <v>1181857</v>
      </c>
      <c r="U78" s="265" t="n">
        <v>1181857</v>
      </c>
      <c r="V78" s="265" t="n">
        <v>1181857</v>
      </c>
      <c r="X78" s="265" t="n">
        <v>1181857</v>
      </c>
      <c r="Y78" s="265" t="n">
        <v>1181857</v>
      </c>
      <c r="Z78" s="265" t="n">
        <v>1181857</v>
      </c>
      <c r="AA78" s="265" t="n">
        <v>1181857</v>
      </c>
      <c r="AC78" s="265" t="n">
        <v>1181857</v>
      </c>
      <c r="AD78" s="265" t="n">
        <v>1181857</v>
      </c>
    </row>
    <row r="79">
      <c r="A79" t="inlineStr">
        <is>
          <t>PL: Gastos com emissões de ações (BP l.64) · fonte · unid. moeda</t>
        </is>
      </c>
      <c r="B79" t="n">
        <v>37</v>
      </c>
      <c r="C79" t="inlineStr">
        <is>
          <t>Common Stock and APIC</t>
        </is>
      </c>
      <c r="D79" s="265" t="n"/>
      <c r="E79" s="265" t="n"/>
      <c r="F79" s="265" t="n"/>
      <c r="G79" s="265" t="n"/>
      <c r="I79" s="265" t="n"/>
      <c r="J79" s="265" t="n"/>
      <c r="K79" s="265" t="n"/>
      <c r="L79" s="265" t="n"/>
      <c r="N79" s="265" t="n">
        <v>0</v>
      </c>
      <c r="O79" s="265" t="n">
        <v>0</v>
      </c>
      <c r="P79" s="265" t="n">
        <v>-20766</v>
      </c>
      <c r="Q79" s="265" t="n">
        <v>-21994</v>
      </c>
      <c r="S79" s="265" t="n">
        <v>-21994</v>
      </c>
      <c r="T79" s="265" t="n">
        <v>-21994</v>
      </c>
      <c r="U79" s="265" t="n">
        <v>-21994</v>
      </c>
      <c r="V79" s="265" t="n">
        <v>-21994</v>
      </c>
      <c r="X79" s="265" t="n">
        <v>-21994</v>
      </c>
      <c r="Y79" s="265" t="n">
        <v>-21994</v>
      </c>
      <c r="Z79" s="265" t="n">
        <v>-21994</v>
      </c>
      <c r="AA79" s="265" t="n">
        <v>-21994</v>
      </c>
      <c r="AC79" s="265" t="n">
        <v>-21994</v>
      </c>
      <c r="AD79" s="265" t="n">
        <v>-21994</v>
      </c>
    </row>
    <row r="80">
      <c r="A80" t="inlineStr">
        <is>
          <t>PL: Ações em tesouraria (BP l.65) · fonte · unid. moeda</t>
        </is>
      </c>
      <c r="B80" t="n">
        <v>38</v>
      </c>
      <c r="C80" t="inlineStr">
        <is>
          <t>Treasury stock (contra account)</t>
        </is>
      </c>
      <c r="D80" s="265" t="n"/>
      <c r="E80" s="265" t="n"/>
      <c r="F80" s="265" t="n"/>
      <c r="G80" s="265" t="n"/>
      <c r="I80" s="265" t="n"/>
      <c r="J80" s="265" t="n"/>
      <c r="K80" s="265" t="n"/>
      <c r="L80" s="265" t="n"/>
      <c r="N80" s="265" t="n">
        <v>-9749</v>
      </c>
      <c r="O80" s="265" t="n">
        <v>-7748</v>
      </c>
      <c r="P80" s="265" t="n">
        <v>-7748</v>
      </c>
      <c r="Q80" s="265" t="n">
        <v>-7748</v>
      </c>
      <c r="S80" s="265" t="n">
        <v>-2301</v>
      </c>
      <c r="T80" s="265" t="n">
        <v>-2301</v>
      </c>
      <c r="U80" s="265" t="n">
        <v>-2301</v>
      </c>
      <c r="V80" s="265" t="n">
        <v>-9536</v>
      </c>
      <c r="X80" s="265" t="n">
        <v>-4065</v>
      </c>
      <c r="Y80" s="265" t="n">
        <v>-4065</v>
      </c>
      <c r="Z80" s="265" t="n">
        <v>-8042</v>
      </c>
      <c r="AA80" s="265" t="n">
        <v>-22571</v>
      </c>
      <c r="AC80" s="265" t="n">
        <v>-2141</v>
      </c>
      <c r="AD80" s="265" t="n">
        <v>-6583</v>
      </c>
    </row>
    <row r="81">
      <c r="A81" t="inlineStr">
        <is>
          <t>PL: Reservas de capital (BP l.66) · fonte · unid. moeda</t>
        </is>
      </c>
      <c r="B81" t="n">
        <v>37</v>
      </c>
      <c r="C81" t="inlineStr">
        <is>
          <t>Common Stock and APIC</t>
        </is>
      </c>
      <c r="D81" s="265" t="n"/>
      <c r="E81" s="265" t="n"/>
      <c r="F81" s="265" t="n"/>
      <c r="G81" s="265" t="n"/>
      <c r="I81" s="265" t="n"/>
      <c r="J81" s="265" t="n"/>
      <c r="K81" s="265" t="n"/>
      <c r="L81" s="265" t="n"/>
      <c r="N81" s="265" t="n">
        <v>149880</v>
      </c>
      <c r="O81" s="265" t="n">
        <v>149179</v>
      </c>
      <c r="P81" s="265" t="n">
        <v>150757</v>
      </c>
      <c r="Q81" s="265" t="n">
        <v>184240</v>
      </c>
      <c r="S81" s="265" t="n">
        <v>147249</v>
      </c>
      <c r="T81" s="265" t="n">
        <v>148551</v>
      </c>
      <c r="U81" s="265" t="n">
        <v>151029</v>
      </c>
      <c r="V81" s="265" t="n">
        <v>185178</v>
      </c>
      <c r="X81" s="265" t="n">
        <v>182348</v>
      </c>
      <c r="Y81" s="265" t="n">
        <v>185540</v>
      </c>
      <c r="Z81" s="265" t="n">
        <v>185857</v>
      </c>
      <c r="AA81" s="265" t="n">
        <v>192734</v>
      </c>
      <c r="AC81" s="265" t="n">
        <v>187677</v>
      </c>
      <c r="AD81" s="265" t="n">
        <v>188872</v>
      </c>
    </row>
    <row r="82">
      <c r="A82" t="inlineStr">
        <is>
          <t>PL: Outorga de opção de ações (BP l.67) · fonte · unid. moeda</t>
        </is>
      </c>
      <c r="B82" t="n">
        <v>37</v>
      </c>
      <c r="C82" t="inlineStr">
        <is>
          <t>Common Stock and APIC</t>
        </is>
      </c>
      <c r="D82" s="265" t="n"/>
      <c r="E82" s="265" t="n"/>
      <c r="F82" s="265" t="n"/>
      <c r="G82" s="265" t="n"/>
      <c r="I82" s="265" t="n"/>
      <c r="J82" s="265" t="n"/>
      <c r="K82" s="265" t="n"/>
      <c r="L82" s="265" t="n"/>
      <c r="N82" s="265" t="n">
        <v>0</v>
      </c>
      <c r="O82" s="265" t="n">
        <v>0</v>
      </c>
      <c r="P82" s="265" t="n">
        <v>0</v>
      </c>
      <c r="Q82" s="265" t="n">
        <v>0</v>
      </c>
      <c r="S82" s="265" t="n">
        <v>0</v>
      </c>
      <c r="T82" s="265" t="n">
        <v>0</v>
      </c>
      <c r="U82" s="265" t="n">
        <v>0</v>
      </c>
      <c r="V82" s="265" t="n">
        <v>0</v>
      </c>
      <c r="X82" s="265" t="n">
        <v>0</v>
      </c>
      <c r="Y82" s="265" t="n">
        <v>0</v>
      </c>
      <c r="Z82" s="265" t="n">
        <v>0</v>
      </c>
      <c r="AA82" s="265" t="n">
        <v>0</v>
      </c>
      <c r="AC82" s="265" t="n">
        <v>0</v>
      </c>
      <c r="AD82" s="265" t="n">
        <v>0</v>
      </c>
    </row>
    <row r="83">
      <c r="A83" t="inlineStr">
        <is>
          <t>PL: Ajuste de avaliação patrimonial (BP l.68) · fonte · unid. moeda</t>
        </is>
      </c>
      <c r="B83" t="n">
        <v>39</v>
      </c>
      <c r="C83" t="inlineStr">
        <is>
          <t>Comprehensive (accumulated) loss</t>
        </is>
      </c>
      <c r="D83" s="265" t="n"/>
      <c r="E83" s="265" t="n"/>
      <c r="F83" s="265" t="n"/>
      <c r="G83" s="265" t="n"/>
      <c r="I83" s="265" t="n"/>
      <c r="J83" s="265" t="n"/>
      <c r="K83" s="265" t="n"/>
      <c r="L83" s="265" t="n"/>
      <c r="N83" s="265" t="n">
        <v>0</v>
      </c>
      <c r="O83" s="265" t="n">
        <v>0</v>
      </c>
      <c r="P83" s="265" t="n">
        <v>0</v>
      </c>
      <c r="Q83" s="265" t="n">
        <v>-31760</v>
      </c>
      <c r="S83" s="265" t="n">
        <v>0</v>
      </c>
      <c r="T83" s="265" t="n">
        <v>0</v>
      </c>
      <c r="U83" s="265" t="n">
        <v>0</v>
      </c>
      <c r="V83" s="265" t="n">
        <v>-31759</v>
      </c>
      <c r="X83" s="265" t="n">
        <v>-33268</v>
      </c>
      <c r="Y83" s="265" t="n">
        <v>151699</v>
      </c>
      <c r="Z83" s="265" t="n">
        <v>167444</v>
      </c>
      <c r="AA83" s="265" t="n">
        <v>238956</v>
      </c>
      <c r="AC83" s="265" t="n">
        <v>235951</v>
      </c>
      <c r="AD83" s="265" t="n">
        <v>235951</v>
      </c>
    </row>
    <row r="84">
      <c r="A84" t="inlineStr">
        <is>
          <t>PL: Reservas de lucros (BP l.69) · fonte · unid. moeda</t>
        </is>
      </c>
      <c r="B84" t="n">
        <v>41</v>
      </c>
      <c r="C84" t="inlineStr">
        <is>
          <t>Retained earnings</t>
        </is>
      </c>
      <c r="D84" s="265" t="n"/>
      <c r="E84" s="265" t="n"/>
      <c r="F84" s="265" t="n"/>
      <c r="G84" s="265" t="n"/>
      <c r="I84" s="265" t="n"/>
      <c r="J84" s="265" t="n"/>
      <c r="K84" s="265" t="n"/>
      <c r="L84" s="265" t="n"/>
      <c r="N84" s="265" t="n">
        <v>398423</v>
      </c>
      <c r="O84" s="265" t="n">
        <v>398425</v>
      </c>
      <c r="P84" s="265" t="n">
        <v>398412</v>
      </c>
      <c r="Q84" s="265" t="n">
        <v>648810</v>
      </c>
      <c r="S84" s="265" t="n">
        <v>649917</v>
      </c>
      <c r="T84" s="265" t="n">
        <v>649925</v>
      </c>
      <c r="U84" s="265" t="n">
        <v>649936</v>
      </c>
      <c r="V84" s="265" t="n">
        <v>711711</v>
      </c>
      <c r="X84" s="265" t="n">
        <v>708997</v>
      </c>
      <c r="Y84" s="265" t="n">
        <v>362333</v>
      </c>
      <c r="Z84" s="265" t="n">
        <v>362661</v>
      </c>
      <c r="AA84" s="265" t="n">
        <v>347639</v>
      </c>
      <c r="AC84" s="265" t="n">
        <v>335038</v>
      </c>
      <c r="AD84" s="265" t="n">
        <v>333953</v>
      </c>
    </row>
    <row r="85">
      <c r="A85" t="inlineStr">
        <is>
          <t>PL: Dividendos adicionais propostos (BP l.70) · fonte · unid. moeda</t>
        </is>
      </c>
      <c r="B85" t="n">
        <v>41</v>
      </c>
      <c r="C85" t="inlineStr">
        <is>
          <t>Retained earnings</t>
        </is>
      </c>
      <c r="D85" s="265" t="n"/>
      <c r="E85" s="265" t="n"/>
      <c r="F85" s="265" t="n"/>
      <c r="G85" s="265" t="n"/>
      <c r="I85" s="265" t="n"/>
      <c r="J85" s="265" t="n"/>
      <c r="K85" s="265" t="n"/>
      <c r="L85" s="265" t="n"/>
      <c r="N85" s="265" t="n">
        <v>0</v>
      </c>
      <c r="O85" s="265" t="n">
        <v>0</v>
      </c>
      <c r="P85" s="265" t="n">
        <v>0</v>
      </c>
      <c r="Q85" s="265" t="n">
        <v>0</v>
      </c>
      <c r="S85" s="265" t="n">
        <v>0</v>
      </c>
      <c r="T85" s="265" t="n">
        <v>0</v>
      </c>
      <c r="U85" s="265" t="n">
        <v>0</v>
      </c>
      <c r="V85" s="265" t="n">
        <v>0</v>
      </c>
      <c r="X85" s="265" t="n">
        <v>0</v>
      </c>
      <c r="Y85" s="265" t="n">
        <v>0</v>
      </c>
      <c r="Z85" s="265" t="n">
        <v>0</v>
      </c>
      <c r="AA85" s="265" t="n">
        <v>0</v>
      </c>
      <c r="AC85" s="265" t="n">
        <v>0</v>
      </c>
      <c r="AD85" s="265" t="n">
        <v>0</v>
      </c>
    </row>
    <row r="86">
      <c r="A86" t="inlineStr">
        <is>
          <t>PL: Lucros acumulados (BP l.71) · fonte · unid. moeda</t>
        </is>
      </c>
      <c r="B86" t="n">
        <v>41</v>
      </c>
      <c r="C86" t="inlineStr">
        <is>
          <t>Retained earnings</t>
        </is>
      </c>
      <c r="D86" s="265" t="n"/>
      <c r="E86" s="265" t="n"/>
      <c r="F86" s="265" t="n"/>
      <c r="G86" s="265" t="n"/>
      <c r="I86" s="265" t="n"/>
      <c r="J86" s="265" t="n"/>
      <c r="K86" s="265" t="n"/>
      <c r="L86" s="265" t="n"/>
      <c r="N86" s="265" t="n">
        <v>58754</v>
      </c>
      <c r="O86" s="265" t="n">
        <v>163193</v>
      </c>
      <c r="P86" s="265" t="n">
        <v>231954</v>
      </c>
      <c r="Q86" s="265" t="n">
        <v>0</v>
      </c>
      <c r="S86" s="265" t="n">
        <v>150284</v>
      </c>
      <c r="T86" s="265" t="n">
        <v>296453</v>
      </c>
      <c r="U86" s="265" t="n">
        <v>100001</v>
      </c>
      <c r="V86" s="265" t="n">
        <v>0</v>
      </c>
      <c r="X86" s="265" t="n">
        <v>164516</v>
      </c>
      <c r="Y86" s="265" t="n">
        <v>348258</v>
      </c>
      <c r="Z86" s="265" t="n">
        <v>577910</v>
      </c>
      <c r="AA86" s="265" t="n">
        <v>0</v>
      </c>
      <c r="AC86" s="265" t="n">
        <v>213160</v>
      </c>
      <c r="AD86" s="265" t="n">
        <v>414809</v>
      </c>
    </row>
    <row r="87">
      <c r="A87" t="inlineStr">
        <is>
          <t>PL: Participantes em SCPs e SPEs (BP l.72) (participantes em SCPs e SPEs = minoritarios) · fonte · unid. moeda</t>
        </is>
      </c>
      <c r="B87" t="n">
        <v>35</v>
      </c>
      <c r="C87" t="inlineStr">
        <is>
          <t>Minority interest</t>
        </is>
      </c>
      <c r="D87" s="265" t="n"/>
      <c r="E87" s="265" t="n"/>
      <c r="F87" s="265" t="n"/>
      <c r="G87" s="265" t="n"/>
      <c r="I87" s="265" t="n"/>
      <c r="J87" s="265" t="n"/>
      <c r="K87" s="265" t="n"/>
      <c r="L87" s="265" t="n"/>
      <c r="N87" s="265" t="n">
        <v>160701</v>
      </c>
      <c r="O87" s="265" t="n">
        <v>154579</v>
      </c>
      <c r="P87" s="265" t="n">
        <v>159045</v>
      </c>
      <c r="Q87" s="265" t="n">
        <v>157181</v>
      </c>
      <c r="S87" s="265" t="n">
        <v>166217</v>
      </c>
      <c r="T87" s="265" t="n">
        <v>186075</v>
      </c>
      <c r="U87" s="265" t="n">
        <v>186929</v>
      </c>
      <c r="V87" s="265" t="n">
        <v>208294</v>
      </c>
      <c r="X87" s="265" t="n">
        <v>188319</v>
      </c>
      <c r="Y87" s="265" t="n">
        <v>267022</v>
      </c>
      <c r="Z87" s="265" t="n">
        <v>274489</v>
      </c>
      <c r="AA87" s="265" t="n">
        <v>403530</v>
      </c>
      <c r="AC87" s="265" t="n">
        <v>420590</v>
      </c>
      <c r="AD87" s="265" t="n">
        <v>410277</v>
      </c>
    </row>
    <row r="88">
      <c r="A88" t="inlineStr">
        <is>
          <t>BALANCO 1T20-4T22 (ITR/DFP consolidados na CVM, R$ mil): a planilha so traz dez/20-22. Mapeado por conta-padrao CVM (restos = conta-mae menos filhas)</t>
        </is>
      </c>
      <c r="C88" t="inlineStr">
        <is>
          <t>[linha bruta, sem código; lançada nas linhas abaixo]</t>
        </is>
      </c>
      <c r="D88" s="265" t="n"/>
      <c r="E88" s="265" t="n"/>
      <c r="F88" s="265" t="n"/>
      <c r="G88" s="265" t="n"/>
      <c r="I88" s="265" t="n"/>
      <c r="J88" s="265" t="n"/>
      <c r="K88" s="265" t="n"/>
      <c r="L88" s="265" t="n"/>
      <c r="N88" s="265" t="n"/>
      <c r="O88" s="265" t="n"/>
      <c r="P88" s="265" t="n"/>
      <c r="Q88" s="265" t="n"/>
      <c r="S88" s="265" t="n"/>
      <c r="T88" s="265" t="n"/>
      <c r="U88" s="265" t="n"/>
      <c r="V88" s="265" t="n"/>
      <c r="X88" s="265" t="n"/>
      <c r="Y88" s="265" t="n"/>
      <c r="Z88" s="265" t="n"/>
      <c r="AA88" s="265" t="n"/>
      <c r="AC88" s="265" t="n"/>
      <c r="AD88" s="265" t="n"/>
    </row>
    <row r="89">
      <c r="A89" t="inlineStr">
        <is>
          <t>A CVM: Caixa + aplicacoes CP (1.01.01 + 1.01.02) · fonte · unid. moeda</t>
        </is>
      </c>
      <c r="B89" t="n">
        <v>11</v>
      </c>
      <c r="C89" t="inlineStr">
        <is>
          <t>Cash and equivalents (inc. investment securities)</t>
        </is>
      </c>
      <c r="D89" s="265" t="n">
        <v>974980</v>
      </c>
      <c r="E89" s="265" t="n">
        <v>946589</v>
      </c>
      <c r="F89" s="265" t="n">
        <v>934763</v>
      </c>
      <c r="G89" s="265" t="n">
        <v>1049160</v>
      </c>
      <c r="I89" s="265" t="n">
        <v>1060253</v>
      </c>
      <c r="J89" s="265" t="n">
        <v>959132</v>
      </c>
      <c r="K89" s="265" t="n">
        <v>1179820</v>
      </c>
      <c r="L89" s="265" t="n">
        <v>1187372</v>
      </c>
      <c r="N89" s="265" t="n"/>
      <c r="O89" s="265" t="n"/>
      <c r="P89" s="265" t="n"/>
      <c r="Q89" s="265" t="n"/>
      <c r="S89" s="265" t="n"/>
      <c r="T89" s="265" t="n"/>
      <c r="U89" s="265" t="n"/>
      <c r="V89" s="265" t="n"/>
      <c r="X89" s="265" t="n"/>
      <c r="Y89" s="265" t="n"/>
      <c r="Z89" s="265" t="n"/>
      <c r="AA89" s="265" t="n"/>
      <c r="AC89" s="265" t="n"/>
      <c r="AD89" s="265" t="n"/>
    </row>
    <row r="90">
      <c r="A90" t="inlineStr">
        <is>
          <t>A CVM: Contas a receber CP + LP (1.01.03 + 1.02.01.04) · fonte · unid. moeda</t>
        </is>
      </c>
      <c r="B90" t="n">
        <v>12</v>
      </c>
      <c r="C90" t="inlineStr">
        <is>
          <t>Accounts receivable</t>
        </is>
      </c>
      <c r="D90" s="265" t="n">
        <v>460185</v>
      </c>
      <c r="E90" s="265" t="n">
        <v>489828</v>
      </c>
      <c r="F90" s="265" t="n">
        <v>536650</v>
      </c>
      <c r="G90" s="265" t="n">
        <v>476346</v>
      </c>
      <c r="I90" s="265" t="n">
        <v>533588</v>
      </c>
      <c r="J90" s="265" t="n">
        <v>556609</v>
      </c>
      <c r="K90" s="265" t="n">
        <v>651799</v>
      </c>
      <c r="L90" s="265" t="n">
        <v>685314</v>
      </c>
      <c r="N90" s="265" t="n"/>
      <c r="O90" s="265" t="n"/>
      <c r="P90" s="265" t="n"/>
      <c r="Q90" s="265" t="n"/>
      <c r="S90" s="265" t="n"/>
      <c r="T90" s="265" t="n"/>
      <c r="U90" s="265" t="n"/>
      <c r="V90" s="265" t="n"/>
      <c r="X90" s="265" t="n"/>
      <c r="Y90" s="265" t="n"/>
      <c r="Z90" s="265" t="n"/>
      <c r="AA90" s="265" t="n"/>
      <c r="AC90" s="265" t="n"/>
      <c r="AD90" s="265" t="n"/>
    </row>
    <row r="91">
      <c r="A91" t="inlineStr">
        <is>
          <t>A CVM: Estoques CP + LP (1.01.04 + 1.02.01.05) · fonte · unid. moeda</t>
        </is>
      </c>
      <c r="B91" t="n">
        <v>13</v>
      </c>
      <c r="C91" t="inlineStr">
        <is>
          <t>Inventories</t>
        </is>
      </c>
      <c r="D91" s="265" t="n">
        <v>3317028</v>
      </c>
      <c r="E91" s="265" t="n">
        <v>3526757</v>
      </c>
      <c r="F91" s="265" t="n">
        <v>3560234</v>
      </c>
      <c r="G91" s="265" t="n">
        <v>3534027</v>
      </c>
      <c r="I91" s="265" t="n">
        <v>3569100</v>
      </c>
      <c r="J91" s="265" t="n">
        <v>3566376</v>
      </c>
      <c r="K91" s="265" t="n">
        <v>3671333</v>
      </c>
      <c r="L91" s="265" t="n">
        <v>3978256</v>
      </c>
      <c r="N91" s="265" t="n"/>
      <c r="O91" s="265" t="n"/>
      <c r="P91" s="265" t="n"/>
      <c r="Q91" s="265" t="n"/>
      <c r="S91" s="265" t="n"/>
      <c r="T91" s="265" t="n"/>
      <c r="U91" s="265" t="n"/>
      <c r="V91" s="265" t="n"/>
      <c r="X91" s="265" t="n"/>
      <c r="Y91" s="265" t="n"/>
      <c r="Z91" s="265" t="n"/>
      <c r="AA91" s="265" t="n"/>
      <c r="AC91" s="265" t="n"/>
      <c r="AD91" s="265" t="n"/>
    </row>
    <row r="92">
      <c r="A92" t="inlineStr">
        <is>
          <t>A CVM: Despesas antecipadas (1.01.07) · fonte · unid. moeda</t>
        </is>
      </c>
      <c r="B92" t="n">
        <v>15</v>
      </c>
      <c r="C92" t="inlineStr">
        <is>
          <t>Prepaid expenses</t>
        </is>
      </c>
      <c r="D92" s="265" t="n">
        <v>0</v>
      </c>
      <c r="E92" s="265" t="n">
        <v>0</v>
      </c>
      <c r="F92" s="265" t="n">
        <v>0</v>
      </c>
      <c r="G92" s="265" t="n">
        <v>0</v>
      </c>
      <c r="I92" s="265" t="n">
        <v>0</v>
      </c>
      <c r="J92" s="265" t="n">
        <v>0</v>
      </c>
      <c r="K92" s="265" t="n">
        <v>0</v>
      </c>
      <c r="L92" s="265" t="n">
        <v>0</v>
      </c>
      <c r="N92" s="265" t="n"/>
      <c r="O92" s="265" t="n"/>
      <c r="P92" s="265" t="n"/>
      <c r="Q92" s="265" t="n"/>
      <c r="S92" s="265" t="n"/>
      <c r="T92" s="265" t="n"/>
      <c r="U92" s="265" t="n"/>
      <c r="V92" s="265" t="n"/>
      <c r="X92" s="265" t="n"/>
      <c r="Y92" s="265" t="n"/>
      <c r="Z92" s="265" t="n"/>
      <c r="AA92" s="265" t="n"/>
      <c r="AC92" s="265" t="n"/>
      <c r="AD92" s="265" t="n"/>
    </row>
    <row r="93">
      <c r="A93" t="inlineStr">
        <is>
          <t>A CVM: Outros ativos circulantes (resto de 1.01) · fonte · unid. moeda</t>
        </is>
      </c>
      <c r="B93" t="n">
        <v>16</v>
      </c>
      <c r="C93" t="inlineStr">
        <is>
          <t>Other current assets</t>
        </is>
      </c>
      <c r="D93" s="265" t="n">
        <v>189000</v>
      </c>
      <c r="E93" s="265" t="n">
        <v>223627</v>
      </c>
      <c r="F93" s="265" t="n">
        <v>226319</v>
      </c>
      <c r="G93" s="265" t="n">
        <v>344828</v>
      </c>
      <c r="I93" s="265" t="n">
        <v>370969</v>
      </c>
      <c r="J93" s="265" t="n">
        <v>361173</v>
      </c>
      <c r="K93" s="265" t="n">
        <v>378623</v>
      </c>
      <c r="L93" s="265" t="n">
        <v>266224</v>
      </c>
      <c r="N93" s="265" t="n"/>
      <c r="O93" s="265" t="n"/>
      <c r="P93" s="265" t="n"/>
      <c r="Q93" s="265" t="n"/>
      <c r="S93" s="265" t="n"/>
      <c r="T93" s="265" t="n"/>
      <c r="U93" s="265" t="n"/>
      <c r="V93" s="265" t="n"/>
      <c r="X93" s="265" t="n"/>
      <c r="Y93" s="265" t="n"/>
      <c r="Z93" s="265" t="n"/>
      <c r="AA93" s="265" t="n"/>
      <c r="AC93" s="265" t="n"/>
      <c r="AD93" s="265" t="n"/>
    </row>
    <row r="94">
      <c r="A94" t="inlineStr">
        <is>
          <t>A CVM: Investimentos (1.02.02) · fonte · unid. moeda</t>
        </is>
      </c>
      <c r="B94" t="n">
        <v>17</v>
      </c>
      <c r="C94" t="inlineStr">
        <is>
          <t>Equity in affiliates</t>
        </is>
      </c>
      <c r="D94" s="265" t="n">
        <v>77661</v>
      </c>
      <c r="E94" s="265" t="n">
        <v>117386</v>
      </c>
      <c r="F94" s="265" t="n">
        <v>123181</v>
      </c>
      <c r="G94" s="265" t="n">
        <v>117980</v>
      </c>
      <c r="I94" s="265" t="n">
        <v>119611</v>
      </c>
      <c r="J94" s="265" t="n">
        <v>126559</v>
      </c>
      <c r="K94" s="265" t="n">
        <v>128210</v>
      </c>
      <c r="L94" s="265" t="n">
        <v>143717</v>
      </c>
      <c r="N94" s="265" t="n"/>
      <c r="O94" s="265" t="n"/>
      <c r="P94" s="265" t="n"/>
      <c r="Q94" s="265" t="n"/>
      <c r="S94" s="265" t="n"/>
      <c r="T94" s="265" t="n"/>
      <c r="U94" s="265" t="n"/>
      <c r="V94" s="265" t="n"/>
      <c r="X94" s="265" t="n"/>
      <c r="Y94" s="265" t="n"/>
      <c r="Z94" s="265" t="n"/>
      <c r="AA94" s="265" t="n"/>
      <c r="AC94" s="265" t="n"/>
      <c r="AD94" s="265" t="n"/>
    </row>
    <row r="95">
      <c r="A95" t="inlineStr">
        <is>
          <t>A CVM: Imobilizado, inclui direito de uso (1.02.03) · fonte · unid. moeda</t>
        </is>
      </c>
      <c r="B95" t="n">
        <v>18</v>
      </c>
      <c r="C95" t="inlineStr">
        <is>
          <t>PP&amp;E</t>
        </is>
      </c>
      <c r="D95" s="265" t="n">
        <v>84771</v>
      </c>
      <c r="E95" s="265" t="n">
        <v>84920</v>
      </c>
      <c r="F95" s="265" t="n">
        <v>86763</v>
      </c>
      <c r="G95" s="265" t="n">
        <v>99075</v>
      </c>
      <c r="I95" s="265" t="n">
        <v>103721</v>
      </c>
      <c r="J95" s="265" t="n">
        <v>110185</v>
      </c>
      <c r="K95" s="265" t="n">
        <v>135843</v>
      </c>
      <c r="L95" s="265" t="n">
        <v>140115</v>
      </c>
      <c r="N95" s="265" t="n"/>
      <c r="O95" s="265" t="n"/>
      <c r="P95" s="265" t="n"/>
      <c r="Q95" s="265" t="n"/>
      <c r="S95" s="265" t="n"/>
      <c r="T95" s="265" t="n"/>
      <c r="U95" s="265" t="n"/>
      <c r="V95" s="265" t="n"/>
      <c r="X95" s="265" t="n"/>
      <c r="Y95" s="265" t="n"/>
      <c r="Z95" s="265" t="n"/>
      <c r="AA95" s="265" t="n"/>
      <c r="AC95" s="265" t="n"/>
      <c r="AD95" s="265" t="n"/>
    </row>
    <row r="96">
      <c r="A96" t="inlineStr">
        <is>
          <t>A CVM: Intangivel (1.02.04) · fonte · unid. moeda</t>
        </is>
      </c>
      <c r="B96" t="n">
        <v>21</v>
      </c>
      <c r="C96" t="inlineStr">
        <is>
          <t>Intangibles</t>
        </is>
      </c>
      <c r="D96" s="265" t="n">
        <v>18879</v>
      </c>
      <c r="E96" s="265" t="n">
        <v>17016</v>
      </c>
      <c r="F96" s="265" t="n">
        <v>17101</v>
      </c>
      <c r="G96" s="265" t="n">
        <v>19013</v>
      </c>
      <c r="I96" s="265" t="n">
        <v>20756</v>
      </c>
      <c r="J96" s="265" t="n">
        <v>20539</v>
      </c>
      <c r="K96" s="265" t="n">
        <v>20707</v>
      </c>
      <c r="L96" s="265" t="n">
        <v>20948</v>
      </c>
      <c r="N96" s="265" t="n"/>
      <c r="O96" s="265" t="n"/>
      <c r="P96" s="265" t="n"/>
      <c r="Q96" s="265" t="n"/>
      <c r="S96" s="265" t="n"/>
      <c r="T96" s="265" t="n"/>
      <c r="U96" s="265" t="n"/>
      <c r="V96" s="265" t="n"/>
      <c r="X96" s="265" t="n"/>
      <c r="Y96" s="265" t="n"/>
      <c r="Z96" s="265" t="n"/>
      <c r="AA96" s="265" t="n"/>
      <c r="AC96" s="265" t="n"/>
      <c r="AD96" s="265" t="n"/>
    </row>
    <row r="97">
      <c r="A97" t="inlineStr">
        <is>
          <t>A CVM: Outros nao circulantes: aplicacoes LP + resto do RLP (1.02.01 - 1.02.01.04 - 1.02.01.05) · fonte · unid. moeda</t>
        </is>
      </c>
      <c r="B97" t="n">
        <v>22</v>
      </c>
      <c r="C97" t="inlineStr">
        <is>
          <t>Other non-current assets</t>
        </is>
      </c>
      <c r="D97" s="265" t="n">
        <v>27603</v>
      </c>
      <c r="E97" s="265" t="n">
        <v>30326</v>
      </c>
      <c r="F97" s="265" t="n">
        <v>35915</v>
      </c>
      <c r="G97" s="265" t="n">
        <v>39190</v>
      </c>
      <c r="I97" s="265" t="n">
        <v>39674</v>
      </c>
      <c r="J97" s="265" t="n">
        <v>52722</v>
      </c>
      <c r="K97" s="265" t="n">
        <v>43181</v>
      </c>
      <c r="L97" s="265" t="n">
        <v>67469</v>
      </c>
      <c r="N97" s="265" t="n"/>
      <c r="O97" s="265" t="n"/>
      <c r="P97" s="265" t="n"/>
      <c r="Q97" s="265" t="n"/>
      <c r="S97" s="265" t="n"/>
      <c r="T97" s="265" t="n"/>
      <c r="U97" s="265" t="n"/>
      <c r="V97" s="265" t="n"/>
      <c r="X97" s="265" t="n"/>
      <c r="Y97" s="265" t="n"/>
      <c r="Z97" s="265" t="n"/>
      <c r="AA97" s="265" t="n"/>
      <c r="AC97" s="265" t="n"/>
      <c r="AD97" s="265" t="n"/>
    </row>
    <row r="98">
      <c r="A98" t="inlineStr">
        <is>
          <t>P CVM: Fornecedores (2.01.02) · fonte · unid. moeda</t>
        </is>
      </c>
      <c r="B98" t="n">
        <v>23</v>
      </c>
      <c r="C98" t="inlineStr">
        <is>
          <t>Accounts payable</t>
        </is>
      </c>
      <c r="D98" s="265" t="n">
        <v>80266</v>
      </c>
      <c r="E98" s="265" t="n">
        <v>88375</v>
      </c>
      <c r="F98" s="265" t="n">
        <v>108310</v>
      </c>
      <c r="G98" s="265" t="n">
        <v>92054</v>
      </c>
      <c r="I98" s="265" t="n">
        <v>90528</v>
      </c>
      <c r="J98" s="265" t="n">
        <v>101161</v>
      </c>
      <c r="K98" s="265" t="n">
        <v>105049</v>
      </c>
      <c r="L98" s="265" t="n">
        <v>122694</v>
      </c>
      <c r="N98" s="265" t="n"/>
      <c r="O98" s="265" t="n"/>
      <c r="P98" s="265" t="n"/>
      <c r="Q98" s="265" t="n"/>
      <c r="S98" s="265" t="n"/>
      <c r="T98" s="265" t="n"/>
      <c r="U98" s="265" t="n"/>
      <c r="V98" s="265" t="n"/>
      <c r="X98" s="265" t="n"/>
      <c r="Y98" s="265" t="n"/>
      <c r="Z98" s="265" t="n"/>
      <c r="AA98" s="265" t="n"/>
      <c r="AC98" s="265" t="n"/>
      <c r="AD98" s="265" t="n"/>
    </row>
    <row r="99">
      <c r="A99" t="inlineStr">
        <is>
          <t>P CVM: Obrigacoes trabalhistas (2.01.01) · fonte · unid. moeda</t>
        </is>
      </c>
      <c r="B99" t="n">
        <v>24</v>
      </c>
      <c r="C99" t="inlineStr">
        <is>
          <t>Accrued expenses</t>
        </is>
      </c>
      <c r="D99" s="265" t="n">
        <v>31737</v>
      </c>
      <c r="E99" s="265" t="n">
        <v>33542</v>
      </c>
      <c r="F99" s="265" t="n">
        <v>34232</v>
      </c>
      <c r="G99" s="265" t="n">
        <v>31827</v>
      </c>
      <c r="I99" s="265" t="n">
        <v>38047</v>
      </c>
      <c r="J99" s="265" t="n">
        <v>45393</v>
      </c>
      <c r="K99" s="265" t="n">
        <v>49692</v>
      </c>
      <c r="L99" s="265" t="n">
        <v>39233</v>
      </c>
      <c r="N99" s="265" t="n"/>
      <c r="O99" s="265" t="n"/>
      <c r="P99" s="265" t="n"/>
      <c r="Q99" s="265" t="n"/>
      <c r="S99" s="265" t="n"/>
      <c r="T99" s="265" t="n"/>
      <c r="U99" s="265" t="n"/>
      <c r="V99" s="265" t="n"/>
      <c r="X99" s="265" t="n"/>
      <c r="Y99" s="265" t="n"/>
      <c r="Z99" s="265" t="n"/>
      <c r="AA99" s="265" t="n"/>
      <c r="AC99" s="265" t="n"/>
      <c r="AD99" s="265" t="n"/>
    </row>
    <row r="100">
      <c r="A100" t="inlineStr">
        <is>
          <t>P CVM: Obrigacoes fiscais (2.01.03) · fonte · unid. moeda</t>
        </is>
      </c>
      <c r="B100" t="n">
        <v>25</v>
      </c>
      <c r="C100" t="inlineStr">
        <is>
          <t>Taxes payable</t>
        </is>
      </c>
      <c r="D100" s="265" t="n">
        <v>21877</v>
      </c>
      <c r="E100" s="265" t="n">
        <v>19265</v>
      </c>
      <c r="F100" s="265" t="n">
        <v>19105</v>
      </c>
      <c r="G100" s="265" t="n">
        <v>25094</v>
      </c>
      <c r="I100" s="265" t="n">
        <v>24061</v>
      </c>
      <c r="J100" s="265" t="n">
        <v>29073</v>
      </c>
      <c r="K100" s="265" t="n">
        <v>27585</v>
      </c>
      <c r="L100" s="265" t="n">
        <v>28690</v>
      </c>
      <c r="N100" s="265" t="n"/>
      <c r="O100" s="265" t="n"/>
      <c r="P100" s="265" t="n"/>
      <c r="Q100" s="265" t="n"/>
      <c r="S100" s="265" t="n"/>
      <c r="T100" s="265" t="n"/>
      <c r="U100" s="265" t="n"/>
      <c r="V100" s="265" t="n"/>
      <c r="X100" s="265" t="n"/>
      <c r="Y100" s="265" t="n"/>
      <c r="Z100" s="265" t="n"/>
      <c r="AA100" s="265" t="n"/>
      <c r="AC100" s="265" t="n"/>
      <c r="AD100" s="265" t="n"/>
    </row>
    <row r="101">
      <c r="A101" t="inlineStr">
        <is>
          <t>P CVM: Outras obrigacoes CP: cessao, credores por imoveis, adiantamentos, provisoes etc. (resto de 2.01) · fonte · unid. moeda</t>
        </is>
      </c>
      <c r="B101" t="n">
        <v>26</v>
      </c>
      <c r="C101" t="inlineStr">
        <is>
          <t>Other current liabilities (non-debt)</t>
        </is>
      </c>
      <c r="D101" s="265" t="n">
        <v>218856</v>
      </c>
      <c r="E101" s="265" t="n">
        <v>229513</v>
      </c>
      <c r="F101" s="265" t="n">
        <v>215793</v>
      </c>
      <c r="G101" s="265" t="n">
        <v>210573</v>
      </c>
      <c r="I101" s="265" t="n">
        <v>281125</v>
      </c>
      <c r="J101" s="265" t="n">
        <v>318676</v>
      </c>
      <c r="K101" s="265" t="n">
        <v>349526</v>
      </c>
      <c r="L101" s="265" t="n">
        <v>406553</v>
      </c>
      <c r="N101" s="265" t="n"/>
      <c r="O101" s="265" t="n"/>
      <c r="P101" s="265" t="n"/>
      <c r="Q101" s="265" t="n"/>
      <c r="S101" s="265" t="n"/>
      <c r="T101" s="265" t="n"/>
      <c r="U101" s="265" t="n"/>
      <c r="V101" s="265" t="n"/>
      <c r="X101" s="265" t="n"/>
      <c r="Y101" s="265" t="n"/>
      <c r="Z101" s="265" t="n"/>
      <c r="AA101" s="265" t="n"/>
      <c r="AC101" s="265" t="n"/>
      <c r="AD101" s="265" t="n"/>
    </row>
    <row r="102">
      <c r="A102" t="inlineStr">
        <is>
          <t>P CVM: Emprestimos CP (2.01.04 - arrendamento) · fonte · unid. moeda</t>
        </is>
      </c>
      <c r="B102" t="n">
        <v>27</v>
      </c>
      <c r="C102" t="inlineStr">
        <is>
          <t>Current portion of long-term debt</t>
        </is>
      </c>
      <c r="D102" s="265" t="n">
        <v>193649</v>
      </c>
      <c r="E102" s="265" t="n">
        <v>122243</v>
      </c>
      <c r="F102" s="265" t="n">
        <v>151780</v>
      </c>
      <c r="G102" s="265" t="n">
        <v>127205</v>
      </c>
      <c r="I102" s="265" t="n">
        <v>178275</v>
      </c>
      <c r="J102" s="265" t="n">
        <v>139362</v>
      </c>
      <c r="K102" s="265" t="n">
        <v>296727</v>
      </c>
      <c r="L102" s="265" t="n">
        <v>309722</v>
      </c>
      <c r="N102" s="265" t="n"/>
      <c r="O102" s="265" t="n"/>
      <c r="P102" s="265" t="n"/>
      <c r="Q102" s="265" t="n"/>
      <c r="S102" s="265" t="n"/>
      <c r="T102" s="265" t="n"/>
      <c r="U102" s="265" t="n"/>
      <c r="V102" s="265" t="n"/>
      <c r="X102" s="265" t="n"/>
      <c r="Y102" s="265" t="n"/>
      <c r="Z102" s="265" t="n"/>
      <c r="AA102" s="265" t="n"/>
      <c r="AC102" s="265" t="n"/>
      <c r="AD102" s="265" t="n"/>
    </row>
    <row r="103">
      <c r="A103" t="inlineStr">
        <is>
          <t>P CVM: Arrendamento CP (2.01.04.03) · fonte · unid. moeda</t>
        </is>
      </c>
      <c r="B103" t="n">
        <v>29</v>
      </c>
      <c r="C103" t="inlineStr">
        <is>
          <t>Short term operating leases</t>
        </is>
      </c>
      <c r="D103" s="265" t="n">
        <v>9564</v>
      </c>
      <c r="E103" s="265" t="n">
        <v>9630</v>
      </c>
      <c r="F103" s="265" t="n">
        <v>9471</v>
      </c>
      <c r="G103" s="265" t="n">
        <v>10088</v>
      </c>
      <c r="I103" s="265" t="n">
        <v>10188</v>
      </c>
      <c r="J103" s="265" t="n">
        <v>9952</v>
      </c>
      <c r="K103" s="265" t="n">
        <v>9795</v>
      </c>
      <c r="L103" s="265" t="n">
        <v>11324</v>
      </c>
      <c r="N103" s="265" t="n"/>
      <c r="O103" s="265" t="n"/>
      <c r="P103" s="265" t="n"/>
      <c r="Q103" s="265" t="n"/>
      <c r="S103" s="265" t="n"/>
      <c r="T103" s="265" t="n"/>
      <c r="U103" s="265" t="n"/>
      <c r="V103" s="265" t="n"/>
      <c r="X103" s="265" t="n"/>
      <c r="Y103" s="265" t="n"/>
      <c r="Z103" s="265" t="n"/>
      <c r="AA103" s="265" t="n"/>
      <c r="AC103" s="265" t="n"/>
      <c r="AD103" s="265" t="n"/>
    </row>
    <row r="104">
      <c r="A104" t="inlineStr">
        <is>
          <t>P CVM: Emprestimos LP (2.02.01 - arrendamento) · fonte · unid. moeda</t>
        </is>
      </c>
      <c r="B104" t="n">
        <v>30</v>
      </c>
      <c r="C104" t="inlineStr">
        <is>
          <t>Long term debt</t>
        </is>
      </c>
      <c r="D104" s="265" t="n">
        <v>883530</v>
      </c>
      <c r="E104" s="265" t="n">
        <v>1068396</v>
      </c>
      <c r="F104" s="265" t="n">
        <v>1049421</v>
      </c>
      <c r="G104" s="265" t="n">
        <v>1114197</v>
      </c>
      <c r="I104" s="265" t="n">
        <v>1112674</v>
      </c>
      <c r="J104" s="265" t="n">
        <v>1035098</v>
      </c>
      <c r="K104" s="265" t="n">
        <v>1180793</v>
      </c>
      <c r="L104" s="265" t="n">
        <v>1080104</v>
      </c>
      <c r="N104" s="265" t="n"/>
      <c r="O104" s="265" t="n"/>
      <c r="P104" s="265" t="n"/>
      <c r="Q104" s="265" t="n"/>
      <c r="S104" s="265" t="n"/>
      <c r="T104" s="265" t="n"/>
      <c r="U104" s="265" t="n"/>
      <c r="V104" s="265" t="n"/>
      <c r="X104" s="265" t="n"/>
      <c r="Y104" s="265" t="n"/>
      <c r="Z104" s="265" t="n"/>
      <c r="AA104" s="265" t="n"/>
      <c r="AC104" s="265" t="n"/>
      <c r="AD104" s="265" t="n"/>
    </row>
    <row r="105">
      <c r="A105" t="inlineStr">
        <is>
          <t>P CVM: Arrendamento LP (2.02.01.03) · fonte · unid. moeda</t>
        </is>
      </c>
      <c r="B105" t="n">
        <v>31</v>
      </c>
      <c r="C105" t="inlineStr">
        <is>
          <t>Long term operating leases</t>
        </is>
      </c>
      <c r="D105" s="265" t="n">
        <v>28194</v>
      </c>
      <c r="E105" s="265" t="n">
        <v>28075</v>
      </c>
      <c r="F105" s="265" t="n">
        <v>26540</v>
      </c>
      <c r="G105" s="265" t="n">
        <v>25129</v>
      </c>
      <c r="I105" s="265" t="n">
        <v>23687</v>
      </c>
      <c r="J105" s="265" t="n">
        <v>22264</v>
      </c>
      <c r="K105" s="265" t="n">
        <v>20842</v>
      </c>
      <c r="L105" s="265" t="n">
        <v>19821</v>
      </c>
      <c r="N105" s="265" t="n"/>
      <c r="O105" s="265" t="n"/>
      <c r="P105" s="265" t="n"/>
      <c r="Q105" s="265" t="n"/>
      <c r="S105" s="265" t="n"/>
      <c r="T105" s="265" t="n"/>
      <c r="U105" s="265" t="n"/>
      <c r="V105" s="265" t="n"/>
      <c r="X105" s="265" t="n"/>
      <c r="Y105" s="265" t="n"/>
      <c r="Z105" s="265" t="n"/>
      <c r="AA105" s="265" t="n"/>
      <c r="AC105" s="265" t="n"/>
      <c r="AD105" s="265" t="n"/>
    </row>
    <row r="106">
      <c r="A106" t="inlineStr">
        <is>
          <t>P CVM: Tributos diferidos (2.02.03) · fonte · unid. moeda</t>
        </is>
      </c>
      <c r="B106" t="n">
        <v>33</v>
      </c>
      <c r="C106" t="inlineStr">
        <is>
          <t>Deferred income taxes</t>
        </is>
      </c>
      <c r="D106" s="265" t="n">
        <v>3849</v>
      </c>
      <c r="E106" s="265" t="n">
        <v>8127</v>
      </c>
      <c r="F106" s="265" t="n">
        <v>11013</v>
      </c>
      <c r="G106" s="265" t="n">
        <v>9701</v>
      </c>
      <c r="I106" s="265" t="n">
        <v>8834</v>
      </c>
      <c r="J106" s="265" t="n">
        <v>7882</v>
      </c>
      <c r="K106" s="265" t="n">
        <v>11785</v>
      </c>
      <c r="L106" s="265" t="n">
        <v>12737</v>
      </c>
      <c r="N106" s="265" t="n"/>
      <c r="O106" s="265" t="n"/>
      <c r="P106" s="265" t="n"/>
      <c r="Q106" s="265" t="n"/>
      <c r="S106" s="265" t="n"/>
      <c r="T106" s="265" t="n"/>
      <c r="U106" s="265" t="n"/>
      <c r="V106" s="265" t="n"/>
      <c r="X106" s="265" t="n"/>
      <c r="Y106" s="265" t="n"/>
      <c r="Z106" s="265" t="n"/>
      <c r="AA106" s="265" t="n"/>
      <c r="AC106" s="265" t="n"/>
      <c r="AD106" s="265" t="n"/>
    </row>
    <row r="107">
      <c r="A107" t="inlineStr">
        <is>
          <t>P CVM: Outras obrigacoes LP (resto de 2.02) · fonte · unid. moeda</t>
        </is>
      </c>
      <c r="B107" t="n">
        <v>34</v>
      </c>
      <c r="C107" t="inlineStr">
        <is>
          <t>Other non-current liabilities</t>
        </is>
      </c>
      <c r="D107" s="265" t="n">
        <v>2329598</v>
      </c>
      <c r="E107" s="265" t="n">
        <v>2531486</v>
      </c>
      <c r="F107" s="265" t="n">
        <v>2538767</v>
      </c>
      <c r="G107" s="265" t="n">
        <v>2574971</v>
      </c>
      <c r="I107" s="265" t="n">
        <v>2559066</v>
      </c>
      <c r="J107" s="265" t="n">
        <v>2509985</v>
      </c>
      <c r="K107" s="265" t="n">
        <v>2632304</v>
      </c>
      <c r="L107" s="265" t="n">
        <v>3008842</v>
      </c>
      <c r="N107" s="265" t="n"/>
      <c r="O107" s="265" t="n"/>
      <c r="P107" s="265" t="n"/>
      <c r="Q107" s="265" t="n"/>
      <c r="S107" s="265" t="n"/>
      <c r="T107" s="265" t="n"/>
      <c r="U107" s="265" t="n"/>
      <c r="V107" s="265" t="n"/>
      <c r="X107" s="265" t="n"/>
      <c r="Y107" s="265" t="n"/>
      <c r="Z107" s="265" t="n"/>
      <c r="AA107" s="265" t="n"/>
      <c r="AC107" s="265" t="n"/>
      <c r="AD107" s="265" t="n"/>
    </row>
    <row r="108">
      <c r="A108" t="inlineStr">
        <is>
          <t>PL CVM: Nao controladores (2.03.09) · fonte · unid. moeda</t>
        </is>
      </c>
      <c r="B108" t="n">
        <v>35</v>
      </c>
      <c r="C108" t="inlineStr">
        <is>
          <t>Minority interest</t>
        </is>
      </c>
      <c r="D108" s="265" t="n">
        <v>115731</v>
      </c>
      <c r="E108" s="265" t="n">
        <v>128546</v>
      </c>
      <c r="F108" s="265" t="n">
        <v>141716</v>
      </c>
      <c r="G108" s="265" t="n">
        <v>158903</v>
      </c>
      <c r="I108" s="265" t="n">
        <v>162974</v>
      </c>
      <c r="J108" s="265" t="n">
        <v>170287</v>
      </c>
      <c r="K108" s="265" t="n">
        <v>167295</v>
      </c>
      <c r="L108" s="265" t="n">
        <v>159714</v>
      </c>
      <c r="N108" s="265" t="n"/>
      <c r="O108" s="265" t="n"/>
      <c r="P108" s="265" t="n"/>
      <c r="Q108" s="265" t="n"/>
      <c r="S108" s="265" t="n"/>
      <c r="T108" s="265" t="n"/>
      <c r="U108" s="265" t="n"/>
      <c r="V108" s="265" t="n"/>
      <c r="X108" s="265" t="n"/>
      <c r="Y108" s="265" t="n"/>
      <c r="Z108" s="265" t="n"/>
      <c r="AA108" s="265" t="n"/>
      <c r="AC108" s="265" t="n"/>
      <c r="AD108" s="265" t="n"/>
    </row>
    <row r="109">
      <c r="A109" t="inlineStr">
        <is>
          <t>PL CVM: Capital + reservas de capital ex-tesouraria (2.03.01 + 2.03.02 - 2.03.02.05) · fonte · unid. moeda</t>
        </is>
      </c>
      <c r="B109" t="n">
        <v>37</v>
      </c>
      <c r="C109" t="inlineStr">
        <is>
          <t>Common Stock and APIC</t>
        </is>
      </c>
      <c r="D109" s="265" t="n">
        <v>962448</v>
      </c>
      <c r="E109" s="265" t="n">
        <v>932939</v>
      </c>
      <c r="F109" s="265" t="n">
        <v>933787</v>
      </c>
      <c r="G109" s="265" t="n">
        <v>932931</v>
      </c>
      <c r="I109" s="265" t="n">
        <v>931902</v>
      </c>
      <c r="J109" s="265" t="n">
        <v>932641</v>
      </c>
      <c r="K109" s="265" t="n">
        <v>932501</v>
      </c>
      <c r="L109" s="265" t="n">
        <v>933185</v>
      </c>
      <c r="N109" s="265" t="n"/>
      <c r="O109" s="265" t="n"/>
      <c r="P109" s="265" t="n"/>
      <c r="Q109" s="265" t="n"/>
      <c r="S109" s="265" t="n"/>
      <c r="T109" s="265" t="n"/>
      <c r="U109" s="265" t="n"/>
      <c r="V109" s="265" t="n"/>
      <c r="X109" s="265" t="n"/>
      <c r="Y109" s="265" t="n"/>
      <c r="Z109" s="265" t="n"/>
      <c r="AA109" s="265" t="n"/>
      <c r="AC109" s="265" t="n"/>
      <c r="AD109" s="265" t="n"/>
    </row>
    <row r="110">
      <c r="A110" t="inlineStr">
        <is>
          <t>PL CVM: Acoes em tesouraria (2.03.02.05) · fonte · unid. moeda</t>
        </is>
      </c>
      <c r="B110" t="n">
        <v>38</v>
      </c>
      <c r="C110" t="inlineStr">
        <is>
          <t>Treasury stock (contra account)</t>
        </is>
      </c>
      <c r="D110" s="265" t="n">
        <v>-68856</v>
      </c>
      <c r="E110" s="265" t="n">
        <v>-43907</v>
      </c>
      <c r="F110" s="265" t="n">
        <v>-45737</v>
      </c>
      <c r="G110" s="265" t="n">
        <v>-7360</v>
      </c>
      <c r="I110" s="265" t="n">
        <v>-5407</v>
      </c>
      <c r="J110" s="265" t="n">
        <v>-10946</v>
      </c>
      <c r="K110" s="265" t="n">
        <v>-9749</v>
      </c>
      <c r="L110" s="265" t="n">
        <v>-9749</v>
      </c>
      <c r="N110" s="265" t="n"/>
      <c r="O110" s="265" t="n"/>
      <c r="P110" s="265" t="n"/>
      <c r="Q110" s="265" t="n"/>
      <c r="S110" s="265" t="n"/>
      <c r="T110" s="265" t="n"/>
      <c r="U110" s="265" t="n"/>
      <c r="V110" s="265" t="n"/>
      <c r="X110" s="265" t="n"/>
      <c r="Y110" s="265" t="n"/>
      <c r="Z110" s="265" t="n"/>
      <c r="AA110" s="265" t="n"/>
      <c r="AC110" s="265" t="n"/>
      <c r="AD110" s="265" t="n"/>
    </row>
    <row r="111">
      <c r="A111" t="inlineStr">
        <is>
          <t>PL CVM: Ajustes de avaliacao patrimonial / ORA (2.03.06 + 2.03.08) · fonte · unid. moeda</t>
        </is>
      </c>
      <c r="B111" t="n">
        <v>39</v>
      </c>
      <c r="C111" t="inlineStr">
        <is>
          <t>Comprehensive (accumulated) loss</t>
        </is>
      </c>
      <c r="D111" s="265" t="n">
        <v>-18470</v>
      </c>
      <c r="E111" s="265" t="n">
        <v>-18470</v>
      </c>
      <c r="F111" s="265" t="n">
        <v>-19108</v>
      </c>
      <c r="G111" s="265" t="n">
        <v>-29847</v>
      </c>
      <c r="I111" s="265" t="n">
        <v>-29685</v>
      </c>
      <c r="J111" s="265" t="n">
        <v>-30208</v>
      </c>
      <c r="K111" s="265" t="n">
        <v>-30296</v>
      </c>
      <c r="L111" s="265" t="n">
        <v>-31880</v>
      </c>
      <c r="N111" s="265" t="n"/>
      <c r="O111" s="265" t="n"/>
      <c r="P111" s="265" t="n"/>
      <c r="Q111" s="265" t="n"/>
      <c r="S111" s="265" t="n"/>
      <c r="T111" s="265" t="n"/>
      <c r="U111" s="265" t="n"/>
      <c r="V111" s="265" t="n"/>
      <c r="X111" s="265" t="n"/>
      <c r="Y111" s="265" t="n"/>
      <c r="Z111" s="265" t="n"/>
      <c r="AA111" s="265" t="n"/>
      <c r="AC111" s="265" t="n"/>
      <c r="AD111" s="265" t="n"/>
    </row>
    <row r="112">
      <c r="A112" t="inlineStr">
        <is>
          <t>PL CVM: Outros do PL (resto de 2.03) · fonte · unid. moeda</t>
        </is>
      </c>
      <c r="B112" t="n">
        <v>40</v>
      </c>
      <c r="C112" t="inlineStr">
        <is>
          <t>Other equity account</t>
        </is>
      </c>
      <c r="D112" s="265" t="n">
        <v>0</v>
      </c>
      <c r="E112" s="265" t="n">
        <v>0</v>
      </c>
      <c r="F112" s="265" t="n">
        <v>0</v>
      </c>
      <c r="G112" s="265" t="n">
        <v>0</v>
      </c>
      <c r="I112" s="265" t="n">
        <v>0</v>
      </c>
      <c r="J112" s="265" t="n">
        <v>0</v>
      </c>
      <c r="K112" s="265" t="n">
        <v>0</v>
      </c>
      <c r="L112" s="265" t="n">
        <v>0</v>
      </c>
      <c r="N112" s="265" t="n"/>
      <c r="O112" s="265" t="n"/>
      <c r="P112" s="265" t="n"/>
      <c r="Q112" s="265" t="n"/>
      <c r="S112" s="265" t="n"/>
      <c r="T112" s="265" t="n"/>
      <c r="U112" s="265" t="n"/>
      <c r="V112" s="265" t="n"/>
      <c r="X112" s="265" t="n"/>
      <c r="Y112" s="265" t="n"/>
      <c r="Z112" s="265" t="n"/>
      <c r="AA112" s="265" t="n"/>
      <c r="AC112" s="265" t="n"/>
      <c r="AD112" s="265" t="n"/>
    </row>
    <row r="113">
      <c r="A113" t="inlineStr">
        <is>
          <t>PL CVM: Reservas de lucros + lucros acumulados (2.03.04 + 2.03.05) · fonte · unid. moeda</t>
        </is>
      </c>
      <c r="B113" t="n">
        <v>41</v>
      </c>
      <c r="C113" t="inlineStr">
        <is>
          <t>Retained earnings</t>
        </is>
      </c>
      <c r="D113" s="265" t="n">
        <v>358134</v>
      </c>
      <c r="E113" s="265" t="n">
        <v>298689</v>
      </c>
      <c r="F113" s="265" t="n">
        <v>345836</v>
      </c>
      <c r="G113" s="265" t="n">
        <v>404153</v>
      </c>
      <c r="I113" s="265" t="n">
        <v>431403</v>
      </c>
      <c r="J113" s="265" t="n">
        <v>472675</v>
      </c>
      <c r="K113" s="265" t="n">
        <v>465667</v>
      </c>
      <c r="L113" s="265" t="n">
        <v>398425</v>
      </c>
      <c r="N113" s="265" t="n"/>
      <c r="O113" s="265" t="n"/>
      <c r="P113" s="265" t="n"/>
      <c r="Q113" s="265" t="n"/>
      <c r="S113" s="265" t="n"/>
      <c r="T113" s="265" t="n"/>
      <c r="U113" s="265" t="n"/>
      <c r="V113" s="265" t="n"/>
      <c r="X113" s="265" t="n"/>
      <c r="Y113" s="265" t="n"/>
      <c r="Z113" s="265" t="n"/>
      <c r="AA113" s="265" t="n"/>
      <c r="AC113" s="265" t="n"/>
      <c r="AD113" s="265" t="n"/>
    </row>
    <row r="114">
      <c r="A114" t="inlineStr">
        <is>
          <t>Cod 33 sem linha na planilha 1T23+ (zeros, para o Model somar o balanco) · derivada · unid. moeda</t>
        </is>
      </c>
      <c r="B114" t="n">
        <v>33</v>
      </c>
      <c r="C114" t="inlineStr">
        <is>
          <t>Deferred income taxes</t>
        </is>
      </c>
      <c r="D114" s="265" t="n"/>
      <c r="E114" s="265" t="n"/>
      <c r="F114" s="265" t="n"/>
      <c r="G114" s="265" t="n"/>
      <c r="I114" s="265" t="n"/>
      <c r="J114" s="265" t="n"/>
      <c r="K114" s="265" t="n"/>
      <c r="L114" s="265" t="n"/>
      <c r="N114" s="265" t="n">
        <v>0</v>
      </c>
      <c r="O114" s="265" t="n">
        <v>0</v>
      </c>
      <c r="P114" s="265" t="n">
        <v>0</v>
      </c>
      <c r="Q114" s="265" t="n">
        <v>0</v>
      </c>
      <c r="S114" s="265" t="n">
        <v>0</v>
      </c>
      <c r="T114" s="265" t="n">
        <v>0</v>
      </c>
      <c r="U114" s="265" t="n">
        <v>0</v>
      </c>
      <c r="V114" s="265" t="n">
        <v>0</v>
      </c>
      <c r="X114" s="265" t="n">
        <v>0</v>
      </c>
      <c r="Y114" s="265" t="n">
        <v>0</v>
      </c>
      <c r="Z114" s="265" t="n">
        <v>0</v>
      </c>
      <c r="AA114" s="265" t="n">
        <v>0</v>
      </c>
      <c r="AC114" s="265" t="n">
        <v>0</v>
      </c>
      <c r="AD114" s="265" t="n">
        <v>0</v>
      </c>
    </row>
    <row r="115">
      <c r="A115" t="inlineStr">
        <is>
          <t>Cod 40 sem linha na planilha 1T23+ (zeros, para o Model somar o balanco) · derivada · unid. moeda</t>
        </is>
      </c>
      <c r="B115" t="n">
        <v>40</v>
      </c>
      <c r="C115" t="inlineStr">
        <is>
          <t>Other equity account</t>
        </is>
      </c>
      <c r="D115" s="265" t="n"/>
      <c r="E115" s="265" t="n"/>
      <c r="F115" s="265" t="n"/>
      <c r="G115" s="265" t="n"/>
      <c r="I115" s="265" t="n"/>
      <c r="J115" s="265" t="n"/>
      <c r="K115" s="265" t="n"/>
      <c r="L115" s="265" t="n"/>
      <c r="N115" s="265" t="n">
        <v>0</v>
      </c>
      <c r="O115" s="265" t="n">
        <v>0</v>
      </c>
      <c r="P115" s="265" t="n">
        <v>0</v>
      </c>
      <c r="Q115" s="265" t="n">
        <v>0</v>
      </c>
      <c r="S115" s="265" t="n">
        <v>0</v>
      </c>
      <c r="T115" s="265" t="n">
        <v>0</v>
      </c>
      <c r="U115" s="265" t="n">
        <v>0</v>
      </c>
      <c r="V115" s="265" t="n">
        <v>0</v>
      </c>
      <c r="X115" s="265" t="n">
        <v>0</v>
      </c>
      <c r="Y115" s="265" t="n">
        <v>0</v>
      </c>
      <c r="Z115" s="265" t="n">
        <v>0</v>
      </c>
      <c r="AA115" s="265" t="n">
        <v>0</v>
      </c>
      <c r="AC115" s="265" t="n">
        <v>0</v>
      </c>
      <c r="AD115" s="265" t="n">
        <v>0</v>
      </c>
    </row>
    <row r="116">
      <c r="A116" t="inlineStr">
        <is>
          <t>Cod 19 sem conta propria na CVM 2020-22 (zeros, para o Model somar o balanco) · derivada · unid. moeda</t>
        </is>
      </c>
      <c r="B116" t="n">
        <v>19</v>
      </c>
      <c r="C116" t="inlineStr">
        <is>
          <t>Right-of-use-assets</t>
        </is>
      </c>
      <c r="D116" s="265" t="n">
        <v>0</v>
      </c>
      <c r="E116" s="265" t="n">
        <v>0</v>
      </c>
      <c r="F116" s="265" t="n">
        <v>0</v>
      </c>
      <c r="G116" s="265" t="n">
        <v>0</v>
      </c>
      <c r="I116" s="265" t="n">
        <v>0</v>
      </c>
      <c r="J116" s="265" t="n">
        <v>0</v>
      </c>
      <c r="K116" s="265" t="n">
        <v>0</v>
      </c>
      <c r="L116" s="265" t="n">
        <v>0</v>
      </c>
      <c r="N116" s="265" t="n"/>
      <c r="O116" s="265" t="n"/>
      <c r="P116" s="265" t="n"/>
      <c r="Q116" s="265" t="n"/>
      <c r="S116" s="265" t="n"/>
      <c r="T116" s="265" t="n"/>
      <c r="U116" s="265" t="n"/>
      <c r="V116" s="265" t="n"/>
      <c r="X116" s="265" t="n"/>
      <c r="Y116" s="265" t="n"/>
      <c r="Z116" s="265" t="n"/>
      <c r="AA116" s="265" t="n"/>
      <c r="AC116" s="265" t="n"/>
      <c r="AD116" s="265" t="n"/>
    </row>
    <row r="117">
      <c r="A117" t="inlineStr">
        <is>
          <t>BALANCO - totais divulgados (memoria; 1T20-4T22 CVM, 1T23+ planilha)</t>
        </is>
      </c>
      <c r="C117" t="inlineStr">
        <is>
          <t>[linha bruta, sem código; lançada nas linhas abaixo]</t>
        </is>
      </c>
      <c r="D117" s="265" t="n"/>
      <c r="E117" s="265" t="n"/>
      <c r="F117" s="265" t="n"/>
      <c r="G117" s="265" t="n"/>
      <c r="I117" s="265" t="n"/>
      <c r="J117" s="265" t="n"/>
      <c r="K117" s="265" t="n"/>
      <c r="L117" s="265" t="n"/>
      <c r="N117" s="265" t="n"/>
      <c r="O117" s="265" t="n"/>
      <c r="P117" s="265" t="n"/>
      <c r="Q117" s="265" t="n"/>
      <c r="S117" s="265" t="n"/>
      <c r="T117" s="265" t="n"/>
      <c r="U117" s="265" t="n"/>
      <c r="V117" s="265" t="n"/>
      <c r="X117" s="265" t="n"/>
      <c r="Y117" s="265" t="n"/>
      <c r="Z117" s="265" t="n"/>
      <c r="AA117" s="265" t="n"/>
      <c r="AC117" s="265" t="n"/>
      <c r="AD117" s="265" t="n"/>
    </row>
    <row r="118">
      <c r="A118" t="inlineStr">
        <is>
          <t>Ativo total · memoria · unid. moeda</t>
        </is>
      </c>
      <c r="C118" t="inlineStr">
        <is>
          <t>[linha bruta, sem código; lançada nas linhas abaixo]</t>
        </is>
      </c>
      <c r="D118" s="265" t="n">
        <v>5150107</v>
      </c>
      <c r="E118" s="265" t="n">
        <v>5436449</v>
      </c>
      <c r="F118" s="265" t="n">
        <v>5520926</v>
      </c>
      <c r="G118" s="265" t="n">
        <v>5679619</v>
      </c>
      <c r="I118" s="265" t="n">
        <v>5817672</v>
      </c>
      <c r="J118" s="265" t="n">
        <v>5753295</v>
      </c>
      <c r="K118" s="265" t="n">
        <v>6209516</v>
      </c>
      <c r="L118" s="265" t="n">
        <v>6489415</v>
      </c>
      <c r="N118" s="265" t="n">
        <v>6482025.90777</v>
      </c>
      <c r="O118" s="265" t="n">
        <v>6806671.272</v>
      </c>
      <c r="P118" s="265" t="n">
        <v>7189702.08023</v>
      </c>
      <c r="Q118" s="265" t="n">
        <v>7571597.74951</v>
      </c>
      <c r="S118" s="265" t="n">
        <v>7877955.64733</v>
      </c>
      <c r="T118" s="265" t="n">
        <v>8800828.06648</v>
      </c>
      <c r="U118" s="265" t="n">
        <v>9521012.388520001</v>
      </c>
      <c r="V118" s="265" t="n">
        <v>10067406</v>
      </c>
      <c r="X118" s="265" t="n">
        <v>10612250</v>
      </c>
      <c r="Y118" s="265" t="n">
        <v>11566858</v>
      </c>
      <c r="Z118" s="265" t="n">
        <v>12415734</v>
      </c>
      <c r="AA118" s="265" t="n">
        <v>13219635</v>
      </c>
      <c r="AC118" s="265" t="n">
        <v>13916924</v>
      </c>
      <c r="AD118" s="265" t="n">
        <v>14628318</v>
      </c>
    </row>
    <row r="119">
      <c r="A119" t="inlineStr">
        <is>
          <t>Total do passivo e PL · memoria · unid. moeda</t>
        </is>
      </c>
      <c r="C119" t="inlineStr">
        <is>
          <t>[linha bruta, sem código; lançada nas linhas abaixo]</t>
        </is>
      </c>
      <c r="D119" s="265" t="n">
        <v>5150107</v>
      </c>
      <c r="E119" s="265" t="n">
        <v>5436449</v>
      </c>
      <c r="F119" s="265" t="n">
        <v>5520926</v>
      </c>
      <c r="G119" s="265" t="n">
        <v>5679619</v>
      </c>
      <c r="I119" s="265" t="n">
        <v>5817672</v>
      </c>
      <c r="J119" s="265" t="n">
        <v>5753295</v>
      </c>
      <c r="K119" s="265" t="n">
        <v>6209516</v>
      </c>
      <c r="L119" s="265" t="n">
        <v>6489415</v>
      </c>
      <c r="N119" s="265" t="n">
        <v>6482026</v>
      </c>
      <c r="O119" s="265" t="n">
        <v>6806671</v>
      </c>
      <c r="P119" s="265" t="n">
        <v>7189702</v>
      </c>
      <c r="Q119" s="265" t="n">
        <v>7571598</v>
      </c>
      <c r="S119" s="265" t="n">
        <v>7877956</v>
      </c>
      <c r="T119" s="265" t="n">
        <v>8800828</v>
      </c>
      <c r="U119" s="265" t="n">
        <v>9521012.293640001</v>
      </c>
      <c r="V119" s="265" t="n">
        <v>10067406</v>
      </c>
      <c r="X119" s="265" t="n">
        <v>10612250</v>
      </c>
      <c r="Y119" s="265" t="n">
        <v>11566858</v>
      </c>
      <c r="Z119" s="265" t="n">
        <v>12415734</v>
      </c>
      <c r="AA119" s="265" t="n">
        <v>13219635</v>
      </c>
      <c r="AC119" s="265" t="n">
        <v>13916924</v>
      </c>
      <c r="AD119" s="265" t="n">
        <v>14628318</v>
      </c>
    </row>
    <row r="120">
      <c r="A120" t="inlineStr">
        <is>
          <t>CHECKS (devem ser 0)</t>
        </is>
      </c>
      <c r="C120" t="inlineStr">
        <is>
          <t>[linha bruta, sem código; lançada nas linhas abaixo]</t>
        </is>
      </c>
      <c r="D120" s="265" t="n"/>
      <c r="E120" s="265" t="n"/>
      <c r="F120" s="265" t="n"/>
      <c r="G120" s="265" t="n"/>
      <c r="I120" s="265" t="n"/>
      <c r="J120" s="265" t="n"/>
      <c r="K120" s="265" t="n"/>
      <c r="L120" s="265" t="n"/>
      <c r="N120" s="265" t="n"/>
      <c r="O120" s="265" t="n"/>
      <c r="P120" s="265" t="n"/>
      <c r="Q120" s="265" t="n"/>
      <c r="S120" s="265" t="n"/>
      <c r="T120" s="265" t="n"/>
      <c r="U120" s="265" t="n"/>
      <c r="V120" s="265" t="n"/>
      <c r="X120" s="265" t="n"/>
      <c r="Y120" s="265" t="n"/>
      <c r="Z120" s="265" t="n"/>
      <c r="AA120" s="265" t="n"/>
      <c r="AC120" s="265" t="n"/>
      <c r="AD120" s="265" t="n"/>
    </row>
    <row r="121">
      <c r="A121" t="inlineStr">
        <is>
          <t>CHECK: receita + custos + despesas + equivalencia + financeiro + IR + participantes - lucro liquido (R$ mil) · derivada · unid. moeda</t>
        </is>
      </c>
      <c r="C121" t="inlineStr">
        <is>
          <t>[linha bruta, sem código; lançada nas linhas abaixo]</t>
        </is>
      </c>
      <c r="D121" s="265">
        <f>ROUND(N(D5)+N(D6)+N(D7)+N(D8)+N(D9)+N(D10)+N(D11)+N(D12)+N(D13)+N(D14)-D27,0)</f>
        <v>0</v>
      </c>
      <c r="E121" s="265">
        <f>ROUND(N(E5)+N(E6)+N(E7)+N(E8)+N(E9)+N(E10)+N(E11)+N(E12)+N(E13)+N(E14)-E27,0)</f>
        <v>0</v>
      </c>
      <c r="F121" s="265">
        <f>ROUND(N(F5)+N(F6)+N(F7)+N(F8)+N(F9)+N(F10)+N(F11)+N(F12)+N(F13)+N(F14)-F27,0)</f>
        <v>0</v>
      </c>
      <c r="G121" s="265">
        <f>ROUND(N(G5)+N(G6)+N(G7)+N(G8)+N(G9)+N(G10)+N(G11)+N(G12)+N(G13)+N(G14)-G27,0)</f>
        <v>0</v>
      </c>
      <c r="I121" s="265">
        <f>ROUND(N(I5)+N(I6)+N(I7)+N(I8)+N(I9)+N(I10)+N(I11)+N(I12)+N(I13)+N(I14)-I27,0)</f>
        <v>0</v>
      </c>
      <c r="J121" s="265">
        <f>ROUND(N(J5)+N(J6)+N(J7)+N(J8)+N(J9)+N(J10)+N(J11)+N(J12)+N(J13)+N(J14)-J27,0)</f>
        <v>0</v>
      </c>
      <c r="K121" s="265">
        <f>ROUND(N(K5)+N(K6)+N(K7)+N(K8)+N(K9)+N(K10)+N(K11)+N(K12)+N(K13)+N(K14)-K27,0)</f>
        <v>2</v>
      </c>
      <c r="L121" s="265">
        <f>ROUND(N(L5)+N(L6)+N(L7)+N(L8)+N(L9)+N(L10)+N(L11)+N(L12)+N(L13)+N(L14)-L27,0)</f>
        <v>0</v>
      </c>
      <c r="N121" s="265">
        <f>ROUND(N(N5)+N(N6)+N(N7)+N(N8)+N(N9)+N(N10)+N(N11)+N(N12)+N(N13)+N(N14)-N27,0)</f>
        <v>0</v>
      </c>
      <c r="O121" s="265">
        <f>ROUND(N(O5)+N(O6)+N(O7)+N(O8)+N(O9)+N(O10)+N(O11)+N(O12)+N(O13)+N(O14)-O27,0)</f>
        <v>0</v>
      </c>
      <c r="P121" s="265">
        <f>ROUND(N(P5)+N(P6)+N(P7)+N(P8)+N(P9)+N(P10)+N(P11)+N(P12)+N(P13)+N(P14)-P27,0)</f>
        <v>1</v>
      </c>
      <c r="Q121" s="265">
        <f>ROUND(N(Q5)+N(Q6)+N(Q7)+N(Q8)+N(Q9)+N(Q10)+N(Q11)+N(Q12)+N(Q13)+N(Q14)-Q27,0)</f>
        <v>0</v>
      </c>
      <c r="S121" s="265">
        <f>ROUND(N(S5)+N(S6)+N(S7)+N(S8)+N(S9)+N(S10)+N(S11)+N(S12)+N(S13)+N(S14)-S27,0)</f>
        <v>1</v>
      </c>
      <c r="T121" s="265">
        <f>ROUND(N(T5)+N(T6)+N(T7)+N(T8)+N(T9)+N(T10)+N(T11)+N(T12)+N(T13)+N(T14)-T27,0)</f>
        <v>0</v>
      </c>
      <c r="U121" s="265">
        <f>ROUND(N(U5)+N(U6)+N(U7)+N(U8)+N(U9)+N(U10)+N(U11)+N(U12)+N(U13)+N(U14)-U27,0)</f>
        <v>0</v>
      </c>
      <c r="V121" s="265">
        <f>ROUND(N(V5)+N(V6)+N(V7)+N(V8)+N(V9)+N(V10)+N(V11)+N(V12)+N(V13)+N(V14)-V27,0)</f>
        <v>0</v>
      </c>
      <c r="X121" s="265">
        <f>ROUND(N(X5)+N(X6)+N(X7)+N(X8)+N(X9)+N(X10)+N(X11)+N(X12)+N(X13)+N(X14)-X27,0)</f>
        <v>0</v>
      </c>
      <c r="Y121" s="265">
        <f>ROUND(N(Y5)+N(Y6)+N(Y7)+N(Y8)+N(Y9)+N(Y10)+N(Y11)+N(Y12)+N(Y13)+N(Y14)-Y27,0)</f>
        <v>0</v>
      </c>
      <c r="Z121" s="265">
        <f>ROUND(N(Z5)+N(Z6)+N(Z7)+N(Z8)+N(Z9)+N(Z10)+N(Z11)+N(Z12)+N(Z13)+N(Z14)-Z27,0)</f>
        <v>0</v>
      </c>
      <c r="AA121" s="265">
        <f>ROUND(N(AA5)+N(AA6)+N(AA7)+N(AA8)+N(AA9)+N(AA10)+N(AA11)+N(AA12)+N(AA13)+N(AA14)-AA27,0)</f>
        <v>-1</v>
      </c>
      <c r="AC121" s="265">
        <f>ROUND(N(AC5)+N(AC6)+N(AC7)+N(AC8)+N(AC9)+N(AC10)+N(AC11)+N(AC12)+N(AC13)+N(AC14)-AC27,0)</f>
        <v>0</v>
      </c>
      <c r="AD121" s="265">
        <f>ROUND(N(AD5)+N(AD6)+N(AD7)+N(AD8)+N(AD9)+N(AD10)+N(AD11)+N(AD12)+N(AD13)+N(AD14)-AD27,0)</f>
        <v>0</v>
      </c>
    </row>
    <row r="122">
      <c r="A122" t="inlineStr">
        <is>
          <t>CHECK: contas de ativo - ativo total (R$ mil) · derivada · unid. moeda</t>
        </is>
      </c>
      <c r="C122" t="inlineStr">
        <is>
          <t>[linha bruta, sem código; lançada nas linhas abaixo]</t>
        </is>
      </c>
      <c r="D122" s="265">
        <f>ROUND(N(D29)+N(D30)+N(D31)+N(D32)+N(D33)+N(D34)+N(D35)+N(D36)+N(D37)+N(D38)+N(D39)+N(D40)+N(D41)+N(D42)+N(D43)+N(D44)+N(D45)+N(D46)+N(D47)+N(D48)+N(D49)+N(D50)+N(D89)+N(D90)+N(D91)+N(D92)+N(D93)+N(D94)+N(D95)+N(D96)+N(D97)-D118,0)</f>
        <v>0</v>
      </c>
      <c r="E122" s="265">
        <f>ROUND(N(E29)+N(E30)+N(E31)+N(E32)+N(E33)+N(E34)+N(E35)+N(E36)+N(E37)+N(E38)+N(E39)+N(E40)+N(E41)+N(E42)+N(E43)+N(E44)+N(E45)+N(E46)+N(E47)+N(E48)+N(E49)+N(E50)+N(E89)+N(E90)+N(E91)+N(E92)+N(E93)+N(E94)+N(E95)+N(E96)+N(E97)-E118,0)</f>
        <v>0</v>
      </c>
      <c r="F122" s="265">
        <f>ROUND(N(F29)+N(F30)+N(F31)+N(F32)+N(F33)+N(F34)+N(F35)+N(F36)+N(F37)+N(F38)+N(F39)+N(F40)+N(F41)+N(F42)+N(F43)+N(F44)+N(F45)+N(F46)+N(F47)+N(F48)+N(F49)+N(F50)+N(F89)+N(F90)+N(F91)+N(F92)+N(F93)+N(F94)+N(F95)+N(F96)+N(F97)-F118,0)</f>
        <v>0</v>
      </c>
      <c r="G122" s="265">
        <f>ROUND(N(G29)+N(G30)+N(G31)+N(G32)+N(G33)+N(G34)+N(G35)+N(G36)+N(G37)+N(G38)+N(G39)+N(G40)+N(G41)+N(G42)+N(G43)+N(G44)+N(G45)+N(G46)+N(G47)+N(G48)+N(G49)+N(G50)+N(G89)+N(G90)+N(G91)+N(G92)+N(G93)+N(G94)+N(G95)+N(G96)+N(G97)-G118,0)</f>
        <v>0</v>
      </c>
      <c r="I122" s="265">
        <f>ROUND(N(I29)+N(I30)+N(I31)+N(I32)+N(I33)+N(I34)+N(I35)+N(I36)+N(I37)+N(I38)+N(I39)+N(I40)+N(I41)+N(I42)+N(I43)+N(I44)+N(I45)+N(I46)+N(I47)+N(I48)+N(I49)+N(I50)+N(I89)+N(I90)+N(I91)+N(I92)+N(I93)+N(I94)+N(I95)+N(I96)+N(I97)-I118,0)</f>
        <v>0</v>
      </c>
      <c r="J122" s="265">
        <f>ROUND(N(J29)+N(J30)+N(J31)+N(J32)+N(J33)+N(J34)+N(J35)+N(J36)+N(J37)+N(J38)+N(J39)+N(J40)+N(J41)+N(J42)+N(J43)+N(J44)+N(J45)+N(J46)+N(J47)+N(J48)+N(J49)+N(J50)+N(J89)+N(J90)+N(J91)+N(J92)+N(J93)+N(J94)+N(J95)+N(J96)+N(J97)-J118,0)</f>
        <v>0</v>
      </c>
      <c r="K122" s="265">
        <f>ROUND(N(K29)+N(K30)+N(K31)+N(K32)+N(K33)+N(K34)+N(K35)+N(K36)+N(K37)+N(K38)+N(K39)+N(K40)+N(K41)+N(K42)+N(K43)+N(K44)+N(K45)+N(K46)+N(K47)+N(K48)+N(K49)+N(K50)+N(K89)+N(K90)+N(K91)+N(K92)+N(K93)+N(K94)+N(K95)+N(K96)+N(K97)-K118,0)</f>
        <v>0</v>
      </c>
      <c r="L122" s="265">
        <f>ROUND(N(L29)+N(L30)+N(L31)+N(L32)+N(L33)+N(L34)+N(L35)+N(L36)+N(L37)+N(L38)+N(L39)+N(L40)+N(L41)+N(L42)+N(L43)+N(L44)+N(L45)+N(L46)+N(L47)+N(L48)+N(L49)+N(L50)+N(L89)+N(L90)+N(L91)+N(L92)+N(L93)+N(L94)+N(L95)+N(L96)+N(L97)-L118,0)</f>
        <v>0</v>
      </c>
      <c r="N122" s="265">
        <f>ROUND(N(N29)+N(N30)+N(N31)+N(N32)+N(N33)+N(N34)+N(N35)+N(N36)+N(N37)+N(N38)+N(N39)+N(N40)+N(N41)+N(N42)+N(N43)+N(N44)+N(N45)+N(N46)+N(N47)+N(N48)+N(N49)+N(N50)+N(N89)+N(N90)+N(N91)+N(N92)+N(N93)+N(N94)+N(N95)+N(N96)+N(N97)-N118,0)</f>
        <v>1</v>
      </c>
      <c r="O122" s="265">
        <f>ROUND(N(O29)+N(O30)+N(O31)+N(O32)+N(O33)+N(O34)+N(O35)+N(O36)+N(O37)+N(O38)+N(O39)+N(O40)+N(O41)+N(O42)+N(O43)+N(O44)+N(O45)+N(O46)+N(O47)+N(O48)+N(O49)+N(O50)+N(O89)+N(O90)+N(O91)+N(O92)+N(O93)+N(O94)+N(O95)+N(O96)+N(O97)-O118,0)</f>
        <v>0</v>
      </c>
      <c r="P122" s="265">
        <f>ROUND(N(P29)+N(P30)+N(P31)+N(P32)+N(P33)+N(P34)+N(P35)+N(P36)+N(P37)+N(P38)+N(P39)+N(P40)+N(P41)+N(P42)+N(P43)+N(P44)+N(P45)+N(P46)+N(P47)+N(P48)+N(P49)+N(P50)+N(P89)+N(P90)+N(P91)+N(P92)+N(P93)+N(P94)+N(P95)+N(P96)+N(P97)-P118,0)</f>
        <v>0</v>
      </c>
      <c r="Q122" s="265">
        <f>ROUND(N(Q29)+N(Q30)+N(Q31)+N(Q32)+N(Q33)+N(Q34)+N(Q35)+N(Q36)+N(Q37)+N(Q38)+N(Q39)+N(Q40)+N(Q41)+N(Q42)+N(Q43)+N(Q44)+N(Q45)+N(Q46)+N(Q47)+N(Q48)+N(Q49)+N(Q50)+N(Q89)+N(Q90)+N(Q91)+N(Q92)+N(Q93)+N(Q94)+N(Q95)+N(Q96)+N(Q97)-Q118,0)</f>
        <v>1</v>
      </c>
      <c r="S122" s="265">
        <f>ROUND(N(S29)+N(S30)+N(S31)+N(S32)+N(S33)+N(S34)+N(S35)+N(S36)+N(S37)+N(S38)+N(S39)+N(S40)+N(S41)+N(S42)+N(S43)+N(S44)+N(S45)+N(S46)+N(S47)+N(S48)+N(S49)+N(S50)+N(S89)+N(S90)+N(S91)+N(S92)+N(S93)+N(S94)+N(S95)+N(S96)+N(S97)-S118,0)</f>
        <v>1</v>
      </c>
      <c r="T122" s="265">
        <f>ROUND(N(T29)+N(T30)+N(T31)+N(T32)+N(T33)+N(T34)+N(T35)+N(T36)+N(T37)+N(T38)+N(T39)+N(T40)+N(T41)+N(T42)+N(T43)+N(T44)+N(T45)+N(T46)+N(T47)+N(T48)+N(T49)+N(T50)+N(T89)+N(T90)+N(T91)+N(T92)+N(T93)+N(T94)+N(T95)+N(T96)+N(T97)-T118,0)</f>
        <v>-1</v>
      </c>
      <c r="U122" s="265">
        <f>ROUND(N(U29)+N(U30)+N(U31)+N(U32)+N(U33)+N(U34)+N(U35)+N(U36)+N(U37)+N(U38)+N(U39)+N(U40)+N(U41)+N(U42)+N(U43)+N(U44)+N(U45)+N(U46)+N(U47)+N(U48)+N(U49)+N(U50)+N(U89)+N(U90)+N(U91)+N(U92)+N(U93)+N(U94)+N(U95)+N(U96)+N(U97)-U118,0)</f>
        <v>0</v>
      </c>
      <c r="V122" s="265">
        <f>ROUND(N(V29)+N(V30)+N(V31)+N(V32)+N(V33)+N(V34)+N(V35)+N(V36)+N(V37)+N(V38)+N(V39)+N(V40)+N(V41)+N(V42)+N(V43)+N(V44)+N(V45)+N(V46)+N(V47)+N(V48)+N(V49)+N(V50)+N(V89)+N(V90)+N(V91)+N(V92)+N(V93)+N(V94)+N(V95)+N(V96)+N(V97)-V118,0)</f>
        <v>0</v>
      </c>
      <c r="X122" s="265">
        <f>ROUND(N(X29)+N(X30)+N(X31)+N(X32)+N(X33)+N(X34)+N(X35)+N(X36)+N(X37)+N(X38)+N(X39)+N(X40)+N(X41)+N(X42)+N(X43)+N(X44)+N(X45)+N(X46)+N(X47)+N(X48)+N(X49)+N(X50)+N(X89)+N(X90)+N(X91)+N(X92)+N(X93)+N(X94)+N(X95)+N(X96)+N(X97)-X118,0)</f>
        <v>0</v>
      </c>
      <c r="Y122" s="265">
        <f>ROUND(N(Y29)+N(Y30)+N(Y31)+N(Y32)+N(Y33)+N(Y34)+N(Y35)+N(Y36)+N(Y37)+N(Y38)+N(Y39)+N(Y40)+N(Y41)+N(Y42)+N(Y43)+N(Y44)+N(Y45)+N(Y46)+N(Y47)+N(Y48)+N(Y49)+N(Y50)+N(Y89)+N(Y90)+N(Y91)+N(Y92)+N(Y93)+N(Y94)+N(Y95)+N(Y96)+N(Y97)-Y118,0)</f>
        <v>0</v>
      </c>
      <c r="Z122" s="265">
        <f>ROUND(N(Z29)+N(Z30)+N(Z31)+N(Z32)+N(Z33)+N(Z34)+N(Z35)+N(Z36)+N(Z37)+N(Z38)+N(Z39)+N(Z40)+N(Z41)+N(Z42)+N(Z43)+N(Z44)+N(Z45)+N(Z46)+N(Z47)+N(Z48)+N(Z49)+N(Z50)+N(Z89)+N(Z90)+N(Z91)+N(Z92)+N(Z93)+N(Z94)+N(Z95)+N(Z96)+N(Z97)-Z118,0)</f>
        <v>0</v>
      </c>
      <c r="AA122" s="265">
        <f>ROUND(N(AA29)+N(AA30)+N(AA31)+N(AA32)+N(AA33)+N(AA34)+N(AA35)+N(AA36)+N(AA37)+N(AA38)+N(AA39)+N(AA40)+N(AA41)+N(AA42)+N(AA43)+N(AA44)+N(AA45)+N(AA46)+N(AA47)+N(AA48)+N(AA49)+N(AA50)+N(AA89)+N(AA90)+N(AA91)+N(AA92)+N(AA93)+N(AA94)+N(AA95)+N(AA96)+N(AA97)-AA118,0)</f>
        <v>0</v>
      </c>
      <c r="AC122" s="265">
        <f>ROUND(N(AC29)+N(AC30)+N(AC31)+N(AC32)+N(AC33)+N(AC34)+N(AC35)+N(AC36)+N(AC37)+N(AC38)+N(AC39)+N(AC40)+N(AC41)+N(AC42)+N(AC43)+N(AC44)+N(AC45)+N(AC46)+N(AC47)+N(AC48)+N(AC49)+N(AC50)+N(AC89)+N(AC90)+N(AC91)+N(AC92)+N(AC93)+N(AC94)+N(AC95)+N(AC96)+N(AC97)-AC118,0)</f>
        <v>0</v>
      </c>
      <c r="AD122" s="265">
        <f>ROUND(N(AD29)+N(AD30)+N(AD31)+N(AD32)+N(AD33)+N(AD34)+N(AD35)+N(AD36)+N(AD37)+N(AD38)+N(AD39)+N(AD40)+N(AD41)+N(AD42)+N(AD43)+N(AD44)+N(AD45)+N(AD46)+N(AD47)+N(AD48)+N(AD49)+N(AD50)+N(AD89)+N(AD90)+N(AD91)+N(AD92)+N(AD93)+N(AD94)+N(AD95)+N(AD96)+N(AD97)-AD118,0)</f>
        <v>0</v>
      </c>
    </row>
    <row r="123">
      <c r="A123" t="inlineStr">
        <is>
          <t>CHECK: passivo + PL - passivo total (R$ mil) · derivada · unid. moeda</t>
        </is>
      </c>
      <c r="C123" t="inlineStr">
        <is>
          <t>[linha bruta, sem código; lançada nas linhas abaixo]</t>
        </is>
      </c>
      <c r="D123" s="265">
        <f>ROUND(N(D51)+N(D52)+N(D53)+N(D54)+N(D55)+N(D56)+N(D57)+N(D58)+N(D59)+N(D60)+N(D61)+N(D62)+N(D63)+N(D64)+N(D65)+N(D66)+N(D67)+N(D68)+N(D69)+N(D70)+N(D71)+N(D72)+N(D73)+N(D74)+N(D75)+N(D76)+N(D77)+N(D78)+N(D79)+N(D80)+N(D81)+N(D82)+N(D83)+N(D84)+N(D85)+N(D86)+N(D87)+N(D98)+N(D99)+N(D100)+N(D101)+N(D102)+N(D103)+N(D104)+N(D105)+N(D106)+N(D107)+N(D108)+N(D109)+N(D110)+N(D111)+N(D112)+N(D113)-D119,0)</f>
        <v>0</v>
      </c>
      <c r="E123" s="265">
        <f>ROUND(N(E51)+N(E52)+N(E53)+N(E54)+N(E55)+N(E56)+N(E57)+N(E58)+N(E59)+N(E60)+N(E61)+N(E62)+N(E63)+N(E64)+N(E65)+N(E66)+N(E67)+N(E68)+N(E69)+N(E70)+N(E71)+N(E72)+N(E73)+N(E74)+N(E75)+N(E76)+N(E77)+N(E78)+N(E79)+N(E80)+N(E81)+N(E82)+N(E83)+N(E84)+N(E85)+N(E86)+N(E87)+N(E98)+N(E99)+N(E100)+N(E101)+N(E102)+N(E103)+N(E104)+N(E105)+N(E106)+N(E107)+N(E108)+N(E109)+N(E110)+N(E111)+N(E112)+N(E113)-E119,0)</f>
        <v>0</v>
      </c>
      <c r="F123" s="265">
        <f>ROUND(N(F51)+N(F52)+N(F53)+N(F54)+N(F55)+N(F56)+N(F57)+N(F58)+N(F59)+N(F60)+N(F61)+N(F62)+N(F63)+N(F64)+N(F65)+N(F66)+N(F67)+N(F68)+N(F69)+N(F70)+N(F71)+N(F72)+N(F73)+N(F74)+N(F75)+N(F76)+N(F77)+N(F78)+N(F79)+N(F80)+N(F81)+N(F82)+N(F83)+N(F84)+N(F85)+N(F86)+N(F87)+N(F98)+N(F99)+N(F100)+N(F101)+N(F102)+N(F103)+N(F104)+N(F105)+N(F106)+N(F107)+N(F108)+N(F109)+N(F110)+N(F111)+N(F112)+N(F113)-F119,0)</f>
        <v>0</v>
      </c>
      <c r="G123" s="265">
        <f>ROUND(N(G51)+N(G52)+N(G53)+N(G54)+N(G55)+N(G56)+N(G57)+N(G58)+N(G59)+N(G60)+N(G61)+N(G62)+N(G63)+N(G64)+N(G65)+N(G66)+N(G67)+N(G68)+N(G69)+N(G70)+N(G71)+N(G72)+N(G73)+N(G74)+N(G75)+N(G76)+N(G77)+N(G78)+N(G79)+N(G80)+N(G81)+N(G82)+N(G83)+N(G84)+N(G85)+N(G86)+N(G87)+N(G98)+N(G99)+N(G100)+N(G101)+N(G102)+N(G103)+N(G104)+N(G105)+N(G106)+N(G107)+N(G108)+N(G109)+N(G110)+N(G111)+N(G112)+N(G113)-G119,0)</f>
        <v>0</v>
      </c>
      <c r="I123" s="265">
        <f>ROUND(N(I51)+N(I52)+N(I53)+N(I54)+N(I55)+N(I56)+N(I57)+N(I58)+N(I59)+N(I60)+N(I61)+N(I62)+N(I63)+N(I64)+N(I65)+N(I66)+N(I67)+N(I68)+N(I69)+N(I70)+N(I71)+N(I72)+N(I73)+N(I74)+N(I75)+N(I76)+N(I77)+N(I78)+N(I79)+N(I80)+N(I81)+N(I82)+N(I83)+N(I84)+N(I85)+N(I86)+N(I87)+N(I98)+N(I99)+N(I100)+N(I101)+N(I102)+N(I103)+N(I104)+N(I105)+N(I106)+N(I107)+N(I108)+N(I109)+N(I110)+N(I111)+N(I112)+N(I113)-I119,0)</f>
        <v>0</v>
      </c>
      <c r="J123" s="265">
        <f>ROUND(N(J51)+N(J52)+N(J53)+N(J54)+N(J55)+N(J56)+N(J57)+N(J58)+N(J59)+N(J60)+N(J61)+N(J62)+N(J63)+N(J64)+N(J65)+N(J66)+N(J67)+N(J68)+N(J69)+N(J70)+N(J71)+N(J72)+N(J73)+N(J74)+N(J75)+N(J76)+N(J77)+N(J78)+N(J79)+N(J80)+N(J81)+N(J82)+N(J83)+N(J84)+N(J85)+N(J86)+N(J87)+N(J98)+N(J99)+N(J100)+N(J101)+N(J102)+N(J103)+N(J104)+N(J105)+N(J106)+N(J107)+N(J108)+N(J109)+N(J110)+N(J111)+N(J112)+N(J113)-J119,0)</f>
        <v>0</v>
      </c>
      <c r="K123" s="265">
        <f>ROUND(N(K51)+N(K52)+N(K53)+N(K54)+N(K55)+N(K56)+N(K57)+N(K58)+N(K59)+N(K60)+N(K61)+N(K62)+N(K63)+N(K64)+N(K65)+N(K66)+N(K67)+N(K68)+N(K69)+N(K70)+N(K71)+N(K72)+N(K73)+N(K74)+N(K75)+N(K76)+N(K77)+N(K78)+N(K79)+N(K80)+N(K81)+N(K82)+N(K83)+N(K84)+N(K85)+N(K86)+N(K87)+N(K98)+N(K99)+N(K100)+N(K101)+N(K102)+N(K103)+N(K104)+N(K105)+N(K106)+N(K107)+N(K108)+N(K109)+N(K110)+N(K111)+N(K112)+N(K113)-K119,0)</f>
        <v>0</v>
      </c>
      <c r="L123" s="265">
        <f>ROUND(N(L51)+N(L52)+N(L53)+N(L54)+N(L55)+N(L56)+N(L57)+N(L58)+N(L59)+N(L60)+N(L61)+N(L62)+N(L63)+N(L64)+N(L65)+N(L66)+N(L67)+N(L68)+N(L69)+N(L70)+N(L71)+N(L72)+N(L73)+N(L74)+N(L75)+N(L76)+N(L77)+N(L78)+N(L79)+N(L80)+N(L81)+N(L82)+N(L83)+N(L84)+N(L85)+N(L86)+N(L87)+N(L98)+N(L99)+N(L100)+N(L101)+N(L102)+N(L103)+N(L104)+N(L105)+N(L106)+N(L107)+N(L108)+N(L109)+N(L110)+N(L111)+N(L112)+N(L113)-L119,0)</f>
        <v>0</v>
      </c>
      <c r="N123" s="265">
        <f>ROUND(N(N51)+N(N52)+N(N53)+N(N54)+N(N55)+N(N56)+N(N57)+N(N58)+N(N59)+N(N60)+N(N61)+N(N62)+N(N63)+N(N64)+N(N65)+N(N66)+N(N67)+N(N68)+N(N69)+N(N70)+N(N71)+N(N72)+N(N73)+N(N74)+N(N75)+N(N76)+N(N77)+N(N78)+N(N79)+N(N80)+N(N81)+N(N82)+N(N83)+N(N84)+N(N85)+N(N86)+N(N87)+N(N98)+N(N99)+N(N100)+N(N101)+N(N102)+N(N103)+N(N104)+N(N105)+N(N106)+N(N107)+N(N108)+N(N109)+N(N110)+N(N111)+N(N112)+N(N113)-N119,0)</f>
        <v>0</v>
      </c>
      <c r="O123" s="265">
        <f>ROUND(N(O51)+N(O52)+N(O53)+N(O54)+N(O55)+N(O56)+N(O57)+N(O58)+N(O59)+N(O60)+N(O61)+N(O62)+N(O63)+N(O64)+N(O65)+N(O66)+N(O67)+N(O68)+N(O69)+N(O70)+N(O71)+N(O72)+N(O73)+N(O74)+N(O75)+N(O76)+N(O77)+N(O78)+N(O79)+N(O80)+N(O81)+N(O82)+N(O83)+N(O84)+N(O85)+N(O86)+N(O87)+N(O98)+N(O99)+N(O100)+N(O101)+N(O102)+N(O103)+N(O104)+N(O105)+N(O106)+N(O107)+N(O108)+N(O109)+N(O110)+N(O111)+N(O112)+N(O113)-O119,0)</f>
        <v>0</v>
      </c>
      <c r="P123" s="265">
        <f>ROUND(N(P51)+N(P52)+N(P53)+N(P54)+N(P55)+N(P56)+N(P57)+N(P58)+N(P59)+N(P60)+N(P61)+N(P62)+N(P63)+N(P64)+N(P65)+N(P66)+N(P67)+N(P68)+N(P69)+N(P70)+N(P71)+N(P72)+N(P73)+N(P74)+N(P75)+N(P76)+N(P77)+N(P78)+N(P79)+N(P80)+N(P81)+N(P82)+N(P83)+N(P84)+N(P85)+N(P86)+N(P87)+N(P98)+N(P99)+N(P100)+N(P101)+N(P102)+N(P103)+N(P104)+N(P105)+N(P106)+N(P107)+N(P108)+N(P109)+N(P110)+N(P111)+N(P112)+N(P113)-P119,0)</f>
        <v>0</v>
      </c>
      <c r="Q123" s="265">
        <f>ROUND(N(Q51)+N(Q52)+N(Q53)+N(Q54)+N(Q55)+N(Q56)+N(Q57)+N(Q58)+N(Q59)+N(Q60)+N(Q61)+N(Q62)+N(Q63)+N(Q64)+N(Q65)+N(Q66)+N(Q67)+N(Q68)+N(Q69)+N(Q70)+N(Q71)+N(Q72)+N(Q73)+N(Q74)+N(Q75)+N(Q76)+N(Q77)+N(Q78)+N(Q79)+N(Q80)+N(Q81)+N(Q82)+N(Q83)+N(Q84)+N(Q85)+N(Q86)+N(Q87)+N(Q98)+N(Q99)+N(Q100)+N(Q101)+N(Q102)+N(Q103)+N(Q104)+N(Q105)+N(Q106)+N(Q107)+N(Q108)+N(Q109)+N(Q110)+N(Q111)+N(Q112)+N(Q113)-Q119,0)</f>
        <v>0</v>
      </c>
      <c r="S123" s="265">
        <f>ROUND(N(S51)+N(S52)+N(S53)+N(S54)+N(S55)+N(S56)+N(S57)+N(S58)+N(S59)+N(S60)+N(S61)+N(S62)+N(S63)+N(S64)+N(S65)+N(S66)+N(S67)+N(S68)+N(S69)+N(S70)+N(S71)+N(S72)+N(S73)+N(S74)+N(S75)+N(S76)+N(S77)+N(S78)+N(S79)+N(S80)+N(S81)+N(S82)+N(S83)+N(S84)+N(S85)+N(S86)+N(S87)+N(S98)+N(S99)+N(S100)+N(S101)+N(S102)+N(S103)+N(S104)+N(S105)+N(S106)+N(S107)+N(S108)+N(S109)+N(S110)+N(S111)+N(S112)+N(S113)-S119,0)</f>
        <v>0</v>
      </c>
      <c r="T123" s="265">
        <f>ROUND(N(T51)+N(T52)+N(T53)+N(T54)+N(T55)+N(T56)+N(T57)+N(T58)+N(T59)+N(T60)+N(T61)+N(T62)+N(T63)+N(T64)+N(T65)+N(T66)+N(T67)+N(T68)+N(T69)+N(T70)+N(T71)+N(T72)+N(T73)+N(T74)+N(T75)+N(T76)+N(T77)+N(T78)+N(T79)+N(T80)+N(T81)+N(T82)+N(T83)+N(T84)+N(T85)+N(T86)+N(T87)+N(T98)+N(T99)+N(T100)+N(T101)+N(T102)+N(T103)+N(T104)+N(T105)+N(T106)+N(T107)+N(T108)+N(T109)+N(T110)+N(T111)+N(T112)+N(T113)-T119,0)</f>
        <v>0</v>
      </c>
      <c r="U123" s="265">
        <f>ROUND(N(U51)+N(U52)+N(U53)+N(U54)+N(U55)+N(U56)+N(U57)+N(U58)+N(U59)+N(U60)+N(U61)+N(U62)+N(U63)+N(U64)+N(U65)+N(U66)+N(U67)+N(U68)+N(U69)+N(U70)+N(U71)+N(U72)+N(U73)+N(U74)+N(U75)+N(U76)+N(U77)+N(U78)+N(U79)+N(U80)+N(U81)+N(U82)+N(U83)+N(U84)+N(U85)+N(U86)+N(U87)+N(U98)+N(U99)+N(U100)+N(U101)+N(U102)+N(U103)+N(U104)+N(U105)+N(U106)+N(U107)+N(U108)+N(U109)+N(U110)+N(U111)+N(U112)+N(U113)-U119,0)</f>
        <v>0</v>
      </c>
      <c r="V123" s="265">
        <f>ROUND(N(V51)+N(V52)+N(V53)+N(V54)+N(V55)+N(V56)+N(V57)+N(V58)+N(V59)+N(V60)+N(V61)+N(V62)+N(V63)+N(V64)+N(V65)+N(V66)+N(V67)+N(V68)+N(V69)+N(V70)+N(V71)+N(V72)+N(V73)+N(V74)+N(V75)+N(V76)+N(V77)+N(V78)+N(V79)+N(V80)+N(V81)+N(V82)+N(V83)+N(V84)+N(V85)+N(V86)+N(V87)+N(V98)+N(V99)+N(V100)+N(V101)+N(V102)+N(V103)+N(V104)+N(V105)+N(V106)+N(V107)+N(V108)+N(V109)+N(V110)+N(V111)+N(V112)+N(V113)-V119,0)</f>
        <v>0</v>
      </c>
      <c r="X123" s="265">
        <f>ROUND(N(X51)+N(X52)+N(X53)+N(X54)+N(X55)+N(X56)+N(X57)+N(X58)+N(X59)+N(X60)+N(X61)+N(X62)+N(X63)+N(X64)+N(X65)+N(X66)+N(X67)+N(X68)+N(X69)+N(X70)+N(X71)+N(X72)+N(X73)+N(X74)+N(X75)+N(X76)+N(X77)+N(X78)+N(X79)+N(X80)+N(X81)+N(X82)+N(X83)+N(X84)+N(X85)+N(X86)+N(X87)+N(X98)+N(X99)+N(X100)+N(X101)+N(X102)+N(X103)+N(X104)+N(X105)+N(X106)+N(X107)+N(X108)+N(X109)+N(X110)+N(X111)+N(X112)+N(X113)-X119,0)</f>
        <v>0</v>
      </c>
      <c r="Y123" s="265">
        <f>ROUND(N(Y51)+N(Y52)+N(Y53)+N(Y54)+N(Y55)+N(Y56)+N(Y57)+N(Y58)+N(Y59)+N(Y60)+N(Y61)+N(Y62)+N(Y63)+N(Y64)+N(Y65)+N(Y66)+N(Y67)+N(Y68)+N(Y69)+N(Y70)+N(Y71)+N(Y72)+N(Y73)+N(Y74)+N(Y75)+N(Y76)+N(Y77)+N(Y78)+N(Y79)+N(Y80)+N(Y81)+N(Y82)+N(Y83)+N(Y84)+N(Y85)+N(Y86)+N(Y87)+N(Y98)+N(Y99)+N(Y100)+N(Y101)+N(Y102)+N(Y103)+N(Y104)+N(Y105)+N(Y106)+N(Y107)+N(Y108)+N(Y109)+N(Y110)+N(Y111)+N(Y112)+N(Y113)-Y119,0)</f>
        <v>0</v>
      </c>
      <c r="Z123" s="265">
        <f>ROUND(N(Z51)+N(Z52)+N(Z53)+N(Z54)+N(Z55)+N(Z56)+N(Z57)+N(Z58)+N(Z59)+N(Z60)+N(Z61)+N(Z62)+N(Z63)+N(Z64)+N(Z65)+N(Z66)+N(Z67)+N(Z68)+N(Z69)+N(Z70)+N(Z71)+N(Z72)+N(Z73)+N(Z74)+N(Z75)+N(Z76)+N(Z77)+N(Z78)+N(Z79)+N(Z80)+N(Z81)+N(Z82)+N(Z83)+N(Z84)+N(Z85)+N(Z86)+N(Z87)+N(Z98)+N(Z99)+N(Z100)+N(Z101)+N(Z102)+N(Z103)+N(Z104)+N(Z105)+N(Z106)+N(Z107)+N(Z108)+N(Z109)+N(Z110)+N(Z111)+N(Z112)+N(Z113)-Z119,0)</f>
        <v>0</v>
      </c>
      <c r="AA123" s="265">
        <f>ROUND(N(AA51)+N(AA52)+N(AA53)+N(AA54)+N(AA55)+N(AA56)+N(AA57)+N(AA58)+N(AA59)+N(AA60)+N(AA61)+N(AA62)+N(AA63)+N(AA64)+N(AA65)+N(AA66)+N(AA67)+N(AA68)+N(AA69)+N(AA70)+N(AA71)+N(AA72)+N(AA73)+N(AA74)+N(AA75)+N(AA76)+N(AA77)+N(AA78)+N(AA79)+N(AA80)+N(AA81)+N(AA82)+N(AA83)+N(AA84)+N(AA85)+N(AA86)+N(AA87)+N(AA98)+N(AA99)+N(AA100)+N(AA101)+N(AA102)+N(AA103)+N(AA104)+N(AA105)+N(AA106)+N(AA107)+N(AA108)+N(AA109)+N(AA110)+N(AA111)+N(AA112)+N(AA113)-AA119,0)</f>
        <v>0</v>
      </c>
      <c r="AC123" s="265">
        <f>ROUND(N(AC51)+N(AC52)+N(AC53)+N(AC54)+N(AC55)+N(AC56)+N(AC57)+N(AC58)+N(AC59)+N(AC60)+N(AC61)+N(AC62)+N(AC63)+N(AC64)+N(AC65)+N(AC66)+N(AC67)+N(AC68)+N(AC69)+N(AC70)+N(AC71)+N(AC72)+N(AC73)+N(AC74)+N(AC75)+N(AC76)+N(AC77)+N(AC78)+N(AC79)+N(AC80)+N(AC81)+N(AC82)+N(AC83)+N(AC84)+N(AC85)+N(AC86)+N(AC87)+N(AC98)+N(AC99)+N(AC100)+N(AC101)+N(AC102)+N(AC103)+N(AC104)+N(AC105)+N(AC106)+N(AC107)+N(AC108)+N(AC109)+N(AC110)+N(AC111)+N(AC112)+N(AC113)-AC119,0)</f>
        <v>0</v>
      </c>
      <c r="AD123" s="265">
        <f>ROUND(N(AD51)+N(AD52)+N(AD53)+N(AD54)+N(AD55)+N(AD56)+N(AD57)+N(AD58)+N(AD59)+N(AD60)+N(AD61)+N(AD62)+N(AD63)+N(AD64)+N(AD65)+N(AD66)+N(AD67)+N(AD68)+N(AD69)+N(AD70)+N(AD71)+N(AD72)+N(AD73)+N(AD74)+N(AD75)+N(AD76)+N(AD77)+N(AD78)+N(AD79)+N(AD80)+N(AD81)+N(AD82)+N(AD83)+N(AD84)+N(AD85)+N(AD86)+N(AD87)+N(AD98)+N(AD99)+N(AD100)+N(AD101)+N(AD102)+N(AD103)+N(AD104)+N(AD105)+N(AD106)+N(AD107)+N(AD108)+N(AD109)+N(AD110)+N(AD111)+N(AD112)+N(AD113)-AD119,0)</f>
        <v>0</v>
      </c>
    </row>
    <row r="124">
      <c r="A124" t="inlineStr">
        <is>
          <t>[vazio] cod 14 IR diferido ativo: dentro de outros</t>
        </is>
      </c>
      <c r="C124" t="inlineStr">
        <is>
          <t>[linha bruta, sem código; lançada nas linhas abaixo]</t>
        </is>
      </c>
      <c r="D124" s="265" t="n"/>
      <c r="E124" s="265" t="n"/>
      <c r="F124" s="265" t="n"/>
      <c r="G124" s="265" t="n"/>
      <c r="I124" s="265" t="n"/>
      <c r="J124" s="265" t="n"/>
      <c r="K124" s="265" t="n"/>
      <c r="L124" s="265" t="n"/>
      <c r="N124" s="265" t="n"/>
      <c r="O124" s="265" t="n"/>
      <c r="P124" s="265" t="n"/>
      <c r="Q124" s="265" t="n"/>
      <c r="S124" s="265" t="n"/>
      <c r="T124" s="265" t="n"/>
      <c r="U124" s="265" t="n"/>
      <c r="V124" s="265" t="n"/>
      <c r="X124" s="265" t="n"/>
      <c r="Y124" s="265" t="n"/>
      <c r="Z124" s="265" t="n"/>
      <c r="AA124" s="265" t="n"/>
      <c r="AC124" s="265" t="n"/>
      <c r="AD124" s="265" t="n"/>
    </row>
    <row r="125">
      <c r="A125" t="inlineStr">
        <is>
          <t>[vazio] cod 20 Goodwill: dentro do intangivel</t>
        </is>
      </c>
      <c r="C125" t="inlineStr">
        <is>
          <t>[linha bruta, sem código; lançada nas linhas abaixo]</t>
        </is>
      </c>
      <c r="D125" s="265" t="n"/>
      <c r="E125" s="265" t="n"/>
      <c r="F125" s="265" t="n"/>
      <c r="G125" s="265" t="n"/>
      <c r="I125" s="265" t="n"/>
      <c r="J125" s="265" t="n"/>
      <c r="K125" s="265" t="n"/>
      <c r="L125" s="265" t="n"/>
      <c r="N125" s="265" t="n"/>
      <c r="O125" s="265" t="n"/>
      <c r="P125" s="265" t="n"/>
      <c r="Q125" s="265" t="n"/>
      <c r="S125" s="265" t="n"/>
      <c r="T125" s="265" t="n"/>
      <c r="U125" s="265" t="n"/>
      <c r="V125" s="265" t="n"/>
      <c r="X125" s="265" t="n"/>
      <c r="Y125" s="265" t="n"/>
      <c r="Z125" s="265" t="n"/>
      <c r="AA125" s="265" t="n"/>
      <c r="AC125" s="265" t="n"/>
      <c r="AD125" s="265" t="n"/>
    </row>
    <row r="126">
      <c r="A126" t="inlineStr">
        <is>
          <t>[vazio] cod 28 Revolver: sem linha propria</t>
        </is>
      </c>
      <c r="C126" t="inlineStr">
        <is>
          <t>[linha bruta, sem código; lançada nas linhas abaixo]</t>
        </is>
      </c>
      <c r="D126" s="265" t="n"/>
      <c r="E126" s="265" t="n"/>
      <c r="F126" s="265" t="n"/>
      <c r="G126" s="265" t="n"/>
      <c r="I126" s="265" t="n"/>
      <c r="J126" s="265" t="n"/>
      <c r="K126" s="265" t="n"/>
      <c r="L126" s="265" t="n"/>
      <c r="N126" s="265" t="n"/>
      <c r="O126" s="265" t="n"/>
      <c r="P126" s="265" t="n"/>
      <c r="Q126" s="265" t="n"/>
      <c r="S126" s="265" t="n"/>
      <c r="T126" s="265" t="n"/>
      <c r="U126" s="265" t="n"/>
      <c r="V126" s="265" t="n"/>
      <c r="X126" s="265" t="n"/>
      <c r="Y126" s="265" t="n"/>
      <c r="Z126" s="265" t="n"/>
      <c r="AA126" s="265" t="n"/>
      <c r="AC126" s="265" t="n"/>
      <c r="AD126" s="265" t="n"/>
    </row>
    <row r="127">
      <c r="A127" t="inlineStr">
        <is>
          <t>[vazio] cod 32 Convertible debt: inexistente</t>
        </is>
      </c>
      <c r="C127" t="inlineStr">
        <is>
          <t>[linha bruta, sem código; lançada nas linhas abaixo]</t>
        </is>
      </c>
      <c r="D127" s="265" t="n"/>
      <c r="E127" s="265" t="n"/>
      <c r="F127" s="265" t="n"/>
      <c r="G127" s="265" t="n"/>
      <c r="I127" s="265" t="n"/>
      <c r="J127" s="265" t="n"/>
      <c r="K127" s="265" t="n"/>
      <c r="L127" s="265" t="n"/>
      <c r="N127" s="265" t="n"/>
      <c r="O127" s="265" t="n"/>
      <c r="P127" s="265" t="n"/>
      <c r="Q127" s="265" t="n"/>
      <c r="S127" s="265" t="n"/>
      <c r="T127" s="265" t="n"/>
      <c r="U127" s="265" t="n"/>
      <c r="V127" s="265" t="n"/>
      <c r="X127" s="265" t="n"/>
      <c r="Y127" s="265" t="n"/>
      <c r="Z127" s="265" t="n"/>
      <c r="AA127" s="265" t="n"/>
      <c r="AC127" s="265" t="n"/>
      <c r="AD127" s="265" t="n"/>
    </row>
    <row r="128">
      <c r="A128" t="inlineStr">
        <is>
          <t>[vazio] cod 36 Convertible Preferred Stock: inexistente</t>
        </is>
      </c>
      <c r="C128" t="inlineStr">
        <is>
          <t>[linha bruta, sem código; lançada nas linhas abaixo]</t>
        </is>
      </c>
      <c r="D128" s="265" t="n"/>
      <c r="E128" s="265" t="n"/>
      <c r="F128" s="265" t="n"/>
      <c r="G128" s="265" t="n"/>
      <c r="I128" s="265" t="n"/>
      <c r="J128" s="265" t="n"/>
      <c r="K128" s="265" t="n"/>
      <c r="L128" s="265" t="n"/>
      <c r="N128" s="265" t="n"/>
      <c r="O128" s="265" t="n"/>
      <c r="P128" s="265" t="n"/>
      <c r="Q128" s="265" t="n"/>
      <c r="S128" s="265" t="n"/>
      <c r="T128" s="265" t="n"/>
      <c r="U128" s="265" t="n"/>
      <c r="V128" s="265" t="n"/>
      <c r="X128" s="265" t="n"/>
      <c r="Y128" s="265" t="n"/>
      <c r="Z128" s="265" t="n"/>
      <c r="AA128" s="265" t="n"/>
      <c r="AC128" s="265" t="n"/>
      <c r="AD128" s="265" t="n"/>
    </row>
    <row r="129">
      <c r="A129" t="inlineStr">
        <is>
          <t>Notas: divida = so emprestimos e financiamentos (CRI, SFH, FINAME), como na divida liquida da Cia; cessao de recebiveis, credores por imoveis e adiantamentos ficam em outros passivos. Caixa = caixa + aplicacoes CP (aplicacoes LP em outros ativos, como a Cia). EBITDA do Model exclui a equivalencia patrimonial (a Cia inclui). Balanco 2020-22 da CVM difere da planilha em reclassificacoes pequenas entre linhas (totais iguais).</t>
        </is>
      </c>
      <c r="C129" t="inlineStr">
        <is>
          <t>[linha bruta, sem código; lançada nas linhas abaixo]</t>
        </is>
      </c>
      <c r="D129" s="265" t="n"/>
      <c r="E129" s="265" t="n"/>
      <c r="F129" s="265" t="n"/>
      <c r="G129" s="265" t="n"/>
      <c r="I129" s="265" t="n"/>
      <c r="J129" s="265" t="n"/>
      <c r="K129" s="265" t="n"/>
      <c r="L129" s="265" t="n"/>
      <c r="N129" s="265" t="n"/>
      <c r="O129" s="265" t="n"/>
      <c r="P129" s="265" t="n"/>
      <c r="Q129" s="265" t="n"/>
      <c r="S129" s="265" t="n"/>
      <c r="T129" s="265" t="n"/>
      <c r="U129" s="265" t="n"/>
      <c r="V129" s="265" t="n"/>
      <c r="X129" s="265" t="n"/>
      <c r="Y129" s="265" t="n"/>
      <c r="Z129" s="265" t="n"/>
      <c r="AA129" s="265" t="n"/>
      <c r="AC129" s="265" t="n"/>
      <c r="AD129" s="265" t="n"/>
    </row>
    <row r="130">
      <c r="D130" s="265" t="n"/>
      <c r="E130" s="265" t="n"/>
      <c r="F130" s="265" t="n"/>
      <c r="G130" s="265" t="n"/>
      <c r="I130" s="265" t="n"/>
      <c r="J130" s="265" t="n"/>
      <c r="K130" s="265" t="n"/>
      <c r="L130" s="265" t="n"/>
      <c r="N130" s="265" t="n"/>
      <c r="O130" s="265" t="n"/>
      <c r="P130" s="265" t="n"/>
      <c r="Q130" s="265" t="n"/>
      <c r="S130" s="265" t="n"/>
      <c r="T130" s="265" t="n"/>
      <c r="U130" s="265" t="n"/>
      <c r="V130" s="265" t="n"/>
      <c r="X130" s="265" t="n"/>
      <c r="Y130" s="265" t="n"/>
      <c r="Z130" s="265" t="n"/>
      <c r="AA130" s="265" t="n"/>
      <c r="AC130" s="265" t="n"/>
      <c r="AD130" s="265" t="n"/>
    </row>
    <row r="131">
      <c r="A131" t="inlineStr">
        <is>
          <t>DRIVERS DE RECEITA (codigos 45+): receita por marca (Direcional x Riva), lancamentos, vendas, VSO, repasses, estoque e land bank da Planilha Interativa da Direcional (R$ mil com fator 0,001; unidades e % sem fator).</t>
        </is>
      </c>
      <c r="C131" t="inlineStr">
        <is>
          <t>[linha bruta, sem código; lançada nas linhas abaixo]</t>
        </is>
      </c>
      <c r="D131" s="265" t="n"/>
      <c r="E131" s="265" t="n"/>
      <c r="F131" s="265" t="n"/>
      <c r="G131" s="265" t="n"/>
      <c r="I131" s="265" t="n"/>
      <c r="J131" s="265" t="n"/>
      <c r="K131" s="265" t="n"/>
      <c r="L131" s="265" t="n"/>
      <c r="N131" s="265" t="n"/>
      <c r="O131" s="265" t="n"/>
      <c r="P131" s="265" t="n"/>
      <c r="Q131" s="265" t="n"/>
      <c r="S131" s="265" t="n"/>
      <c r="T131" s="265" t="n"/>
      <c r="U131" s="265" t="n"/>
      <c r="V131" s="265" t="n"/>
      <c r="X131" s="265" t="n"/>
      <c r="Y131" s="265" t="n"/>
      <c r="Z131" s="265" t="n"/>
      <c r="AA131" s="265" t="n"/>
      <c r="AC131" s="265" t="n"/>
      <c r="AD131" s="265" t="n"/>
    </row>
    <row r="132">
      <c r="A132" t="inlineStr">
        <is>
          <t>Receita liquida Riva (R$ mil; aba RIVA - DRE l.5; desde 1T24) · fonte · unid. moeda</t>
        </is>
      </c>
      <c r="B132" t="n">
        <v>45</v>
      </c>
      <c r="C132" t="inlineStr">
        <is>
          <t>Receita liquida Riva (R$ mil; aba RIVA - DRE l.5; desde 1T24</t>
        </is>
      </c>
      <c r="D132" s="265" t="n"/>
      <c r="E132" s="265" t="n"/>
      <c r="F132" s="265" t="n"/>
      <c r="G132" s="265" t="n"/>
      <c r="I132" s="265" t="n"/>
      <c r="J132" s="265" t="n"/>
      <c r="K132" s="265" t="n"/>
      <c r="L132" s="265" t="n"/>
      <c r="N132" s="265" t="n"/>
      <c r="O132" s="265" t="n"/>
      <c r="P132" s="265" t="n"/>
      <c r="Q132" s="265" t="n"/>
      <c r="S132" s="265" t="n">
        <v>243305</v>
      </c>
      <c r="T132" s="265" t="n">
        <v>279665</v>
      </c>
      <c r="U132" s="265" t="n">
        <v>323832</v>
      </c>
      <c r="V132" s="265" t="n">
        <v>345642</v>
      </c>
      <c r="X132" s="265" t="n">
        <v>325734</v>
      </c>
      <c r="Y132" s="265" t="n">
        <v>365306</v>
      </c>
      <c r="Z132" s="265" t="n">
        <v>487159</v>
      </c>
      <c r="AA132" s="265" t="n">
        <v>499877</v>
      </c>
      <c r="AC132" s="265" t="n">
        <v>405447</v>
      </c>
      <c r="AD132" s="265" t="n">
        <v>430256</v>
      </c>
    </row>
    <row r="133">
      <c r="A133" t="inlineStr">
        <is>
          <t>Lucro bruto Riva (RIVA - DRE l.7) · fonte · unid. moeda</t>
        </is>
      </c>
      <c r="B133" t="n">
        <v>46</v>
      </c>
      <c r="C133" t="inlineStr">
        <is>
          <t>Lucro bruto Riva (RIVA - DRE l.7)</t>
        </is>
      </c>
      <c r="D133" s="265" t="n"/>
      <c r="E133" s="265" t="n"/>
      <c r="F133" s="265" t="n"/>
      <c r="G133" s="265" t="n"/>
      <c r="I133" s="265" t="n"/>
      <c r="J133" s="265" t="n"/>
      <c r="K133" s="265" t="n"/>
      <c r="L133" s="265" t="n"/>
      <c r="N133" s="265" t="n"/>
      <c r="O133" s="265" t="n"/>
      <c r="P133" s="265" t="n"/>
      <c r="Q133" s="265" t="n"/>
      <c r="S133" s="265" t="n">
        <v>87480</v>
      </c>
      <c r="T133" s="265" t="n">
        <v>96385</v>
      </c>
      <c r="U133" s="265" t="n">
        <v>121079</v>
      </c>
      <c r="V133" s="265" t="n">
        <v>122862</v>
      </c>
      <c r="X133" s="265" t="n">
        <v>130916</v>
      </c>
      <c r="Y133" s="265" t="n">
        <v>142403</v>
      </c>
      <c r="Z133" s="265" t="n">
        <v>203345</v>
      </c>
      <c r="AA133" s="265" t="n">
        <v>204351</v>
      </c>
      <c r="AC133" s="265" t="n">
        <v>175421</v>
      </c>
      <c r="AD133" s="265" t="n">
        <v>184690</v>
      </c>
    </row>
    <row r="134">
      <c r="A134" t="inlineStr">
        <is>
          <t>Lucro liquido Riva (RIVA - DRE l.16) · fonte · unid. moeda</t>
        </is>
      </c>
      <c r="B134" t="n">
        <v>47</v>
      </c>
      <c r="C134" t="inlineStr">
        <is>
          <t>Lucro liquido Riva (RIVA - DRE l.16)</t>
        </is>
      </c>
      <c r="D134" s="265" t="n"/>
      <c r="E134" s="265" t="n"/>
      <c r="F134" s="265" t="n"/>
      <c r="G134" s="265" t="n"/>
      <c r="I134" s="265" t="n"/>
      <c r="J134" s="265" t="n"/>
      <c r="K134" s="265" t="n"/>
      <c r="L134" s="265" t="n"/>
      <c r="N134" s="265" t="n"/>
      <c r="O134" s="265" t="n"/>
      <c r="P134" s="265" t="n"/>
      <c r="Q134" s="265" t="n"/>
      <c r="S134" s="265" t="n">
        <v>68821</v>
      </c>
      <c r="T134" s="265" t="n">
        <v>55180</v>
      </c>
      <c r="U134" s="265" t="n">
        <v>80237</v>
      </c>
      <c r="V134" s="265" t="n">
        <v>75033</v>
      </c>
      <c r="X134" s="265" t="n">
        <v>84148</v>
      </c>
      <c r="Y134" s="265" t="n">
        <v>90625</v>
      </c>
      <c r="Z134" s="265" t="n">
        <v>140509</v>
      </c>
      <c r="AA134" s="265" t="n">
        <v>142441</v>
      </c>
      <c r="AC134" s="265" t="n">
        <v>119516</v>
      </c>
      <c r="AD134" s="265" t="n">
        <v>109816</v>
      </c>
    </row>
    <row r="135">
      <c r="A135" t="inlineStr">
        <is>
          <t>VGV lancado 100% (R$ mil; Dados Operacionais l.6) · fonte · unid. moeda</t>
        </is>
      </c>
      <c r="B135" t="n">
        <v>48</v>
      </c>
      <c r="C135" t="inlineStr">
        <is>
          <t>VGV lancado 100% (R$ mil; Dados Operacionais l.6)</t>
        </is>
      </c>
      <c r="D135" s="265" t="n">
        <v>577059.8</v>
      </c>
      <c r="E135" s="265" t="n">
        <v>786922.92007</v>
      </c>
      <c r="F135" s="265" t="n">
        <v>1080620.34292</v>
      </c>
      <c r="G135" s="265" t="n">
        <v>693380.72</v>
      </c>
      <c r="I135" s="265" t="n">
        <v>599068.62859</v>
      </c>
      <c r="J135" s="265" t="n">
        <v>790369.125</v>
      </c>
      <c r="K135" s="265" t="n">
        <v>1189068.08314</v>
      </c>
      <c r="L135" s="265" t="n">
        <v>1057713.07189</v>
      </c>
      <c r="N135" s="265" t="n">
        <v>611190.0334</v>
      </c>
      <c r="O135" s="265" t="n">
        <v>1456646.112</v>
      </c>
      <c r="P135" s="265" t="n">
        <v>1399420.22859</v>
      </c>
      <c r="Q135" s="265" t="n">
        <v>1390197.00323</v>
      </c>
      <c r="S135" s="265" t="n">
        <v>896517.01352</v>
      </c>
      <c r="T135" s="265" t="n">
        <v>1360653.02559</v>
      </c>
      <c r="U135" s="265" t="n">
        <v>1664372.7112</v>
      </c>
      <c r="V135" s="265" t="n">
        <v>1833172.66758</v>
      </c>
      <c r="X135" s="265" t="n">
        <v>901161.78275</v>
      </c>
      <c r="Y135" s="265" t="n">
        <v>1903899.2369</v>
      </c>
      <c r="Z135" s="265" t="n">
        <v>2151576.71448</v>
      </c>
      <c r="AA135" s="265" t="n">
        <v>1900910.3</v>
      </c>
      <c r="AC135" s="265" t="n">
        <v>1005785</v>
      </c>
      <c r="AD135" s="265" t="n">
        <v>2065164</v>
      </c>
    </row>
    <row r="136">
      <c r="A136" t="inlineStr">
        <is>
          <t>VGV lancado % Direcional (l.9) · fonte · unid. moeda</t>
        </is>
      </c>
      <c r="B136" t="n">
        <v>49</v>
      </c>
      <c r="C136" t="inlineStr">
        <is>
          <t>VGV lancado % Direcional (l.9)</t>
        </is>
      </c>
      <c r="D136" s="265" t="n">
        <v>454229.59572</v>
      </c>
      <c r="E136" s="265" t="n">
        <v>662360.56157</v>
      </c>
      <c r="F136" s="265" t="n">
        <v>927227.63362</v>
      </c>
      <c r="G136" s="265" t="n">
        <v>633816.74</v>
      </c>
      <c r="I136" s="265" t="n">
        <v>557281.255095</v>
      </c>
      <c r="J136" s="265" t="n">
        <v>703651.42544</v>
      </c>
      <c r="K136" s="265" t="n">
        <v>966706.773992</v>
      </c>
      <c r="L136" s="265" t="n">
        <v>896097.375091</v>
      </c>
      <c r="N136" s="265" t="n">
        <v>610454.4330280001</v>
      </c>
      <c r="O136" s="265" t="n">
        <v>1088942.385855</v>
      </c>
      <c r="P136" s="265" t="n">
        <v>1259316.986795</v>
      </c>
      <c r="Q136" s="265" t="n">
        <v>1336559.42202</v>
      </c>
      <c r="S136" s="265" t="n">
        <v>653483.05326</v>
      </c>
      <c r="T136" s="265" t="n">
        <v>1196750.544249</v>
      </c>
      <c r="U136" s="265" t="n">
        <v>1444222.8212</v>
      </c>
      <c r="V136" s="265" t="n">
        <v>1405792.280641</v>
      </c>
      <c r="X136" s="265" t="n">
        <v>802421.661667</v>
      </c>
      <c r="Y136" s="265" t="n">
        <v>1392984.586238</v>
      </c>
      <c r="Z136" s="265" t="n">
        <v>2017616.73808</v>
      </c>
      <c r="AA136" s="265" t="n">
        <v>1680227</v>
      </c>
      <c r="AC136" s="265" t="n">
        <v>862450</v>
      </c>
      <c r="AD136" s="265" t="n">
        <v>1565821</v>
      </c>
    </row>
    <row r="137">
      <c r="A137" t="inlineStr">
        <is>
          <t>Unidades lancadas (l.12) · fonte · unid. un</t>
        </is>
      </c>
      <c r="B137" t="n">
        <v>50</v>
      </c>
      <c r="C137" t="inlineStr">
        <is>
          <t>Unidades lancadas (l.12)</t>
        </is>
      </c>
      <c r="D137" s="265" t="n">
        <v>2471000</v>
      </c>
      <c r="E137" s="265" t="n">
        <v>4153000</v>
      </c>
      <c r="F137" s="265" t="n">
        <v>3764000</v>
      </c>
      <c r="G137" s="265" t="n">
        <v>3146000</v>
      </c>
      <c r="I137" s="265" t="n">
        <v>2831000</v>
      </c>
      <c r="J137" s="265" t="n">
        <v>3261000</v>
      </c>
      <c r="K137" s="265" t="n">
        <v>4113000</v>
      </c>
      <c r="L137" s="265" t="n">
        <v>4320000</v>
      </c>
      <c r="N137" s="265" t="n">
        <v>2762000</v>
      </c>
      <c r="O137" s="265" t="n">
        <v>5268000</v>
      </c>
      <c r="P137" s="265" t="n">
        <v>4152000</v>
      </c>
      <c r="Q137" s="265" t="n">
        <v>4998000</v>
      </c>
      <c r="S137" s="265" t="n">
        <v>2238000</v>
      </c>
      <c r="T137" s="265" t="n">
        <v>4187000</v>
      </c>
      <c r="U137" s="265" t="n">
        <v>5947000</v>
      </c>
      <c r="V137" s="265" t="n">
        <v>5763000</v>
      </c>
      <c r="X137" s="265" t="n">
        <v>3424000</v>
      </c>
      <c r="Y137" s="265" t="n">
        <v>5096000</v>
      </c>
      <c r="Z137" s="265" t="n">
        <v>6449000</v>
      </c>
      <c r="AA137" s="265" t="n">
        <v>4780000</v>
      </c>
      <c r="AC137" s="265" t="n">
        <v>3109000</v>
      </c>
      <c r="AD137" s="265" t="n">
        <v>5511000</v>
      </c>
    </row>
    <row r="138">
      <c r="A138" t="inlineStr">
        <is>
          <t>Preco medio lancado (R$/unidade; l.16) · fonte · unid. un</t>
        </is>
      </c>
      <c r="B138" t="n">
        <v>51</v>
      </c>
      <c r="C138" t="inlineStr">
        <is>
          <t>Preco medio lancado (R$/unidade; l.16)</t>
        </is>
      </c>
      <c r="D138" s="265" t="n">
        <v>233532901.659247</v>
      </c>
      <c r="E138" s="265" t="n">
        <v>189483005.073441</v>
      </c>
      <c r="F138" s="265" t="n">
        <v>287093608.639745</v>
      </c>
      <c r="G138" s="265" t="n">
        <v>220400737.444374</v>
      </c>
      <c r="I138" s="265" t="n">
        <v>211610253.829036</v>
      </c>
      <c r="J138" s="265" t="n">
        <v>242370170.193192</v>
      </c>
      <c r="K138" s="265" t="n">
        <v>289099947.274496</v>
      </c>
      <c r="L138" s="265" t="n">
        <v>244840988.863426</v>
      </c>
      <c r="N138" s="265" t="n">
        <v>221285312.599565</v>
      </c>
      <c r="O138" s="265" t="n">
        <v>276508373.57631</v>
      </c>
      <c r="P138" s="265" t="n">
        <v>337047261.221098</v>
      </c>
      <c r="Q138" s="265" t="n">
        <v>278150660.910364</v>
      </c>
      <c r="S138" s="265" t="n">
        <v>400588477.890974</v>
      </c>
      <c r="T138" s="265" t="n">
        <v>324970868.304275</v>
      </c>
      <c r="U138" s="265" t="n">
        <v>279867615.806289</v>
      </c>
      <c r="V138" s="265" t="n">
        <v>318093469.994794</v>
      </c>
      <c r="X138" s="265" t="n">
        <v>263189772.999416</v>
      </c>
      <c r="Y138" s="265" t="n">
        <v>373606600.647567</v>
      </c>
      <c r="Z138" s="265" t="n">
        <v>333629510.696232</v>
      </c>
      <c r="AA138" s="265" t="n">
        <v>397679980</v>
      </c>
      <c r="AC138" s="265" t="n">
        <v>323507600</v>
      </c>
      <c r="AD138" s="265" t="n">
        <v>374734890</v>
      </c>
    </row>
    <row r="139">
      <c r="A139" t="inlineStr">
        <is>
          <t>VGV contratado (vendas liquidas) 100% (l.19) · fonte · unid. moeda</t>
        </is>
      </c>
      <c r="B139" t="n">
        <v>52</v>
      </c>
      <c r="C139" t="inlineStr">
        <is>
          <t>VGV contratado (vendas liquidas) 100% (l.19)</t>
        </is>
      </c>
      <c r="D139" s="265" t="n">
        <v>514964.29321</v>
      </c>
      <c r="E139" s="265" t="n">
        <v>614495.92772</v>
      </c>
      <c r="F139" s="265" t="n">
        <v>642716.11535</v>
      </c>
      <c r="G139" s="265" t="n">
        <v>667757.72329</v>
      </c>
      <c r="I139" s="265" t="n">
        <v>621941.51429</v>
      </c>
      <c r="J139" s="265" t="n">
        <v>835691.46071</v>
      </c>
      <c r="K139" s="265" t="n">
        <v>846854.9811</v>
      </c>
      <c r="L139" s="265" t="n">
        <v>694367.82004</v>
      </c>
      <c r="N139" s="265" t="n">
        <v>803359.60702</v>
      </c>
      <c r="O139" s="265" t="n">
        <v>962491.65053</v>
      </c>
      <c r="P139" s="265" t="n">
        <v>1004596.72406</v>
      </c>
      <c r="Q139" s="265" t="n">
        <v>1220638.67293</v>
      </c>
      <c r="S139" s="265" t="n">
        <v>1307668.87624</v>
      </c>
      <c r="T139" s="265" t="n">
        <v>1618771.66108</v>
      </c>
      <c r="U139" s="265" t="n">
        <v>1765137.24784</v>
      </c>
      <c r="V139" s="265" t="n">
        <v>1579892.9994</v>
      </c>
      <c r="X139" s="265" t="n">
        <v>1326500.89124</v>
      </c>
      <c r="Y139" s="265" t="n">
        <v>1677312.5024</v>
      </c>
      <c r="Z139" s="265" t="n">
        <v>1641806.92455</v>
      </c>
      <c r="AA139" s="265" t="n">
        <v>1517513.37883</v>
      </c>
      <c r="AC139" s="265" t="n">
        <v>1581960</v>
      </c>
      <c r="AD139" s="265" t="n">
        <v>1654909</v>
      </c>
    </row>
    <row r="140">
      <c r="A140" t="inlineStr">
        <is>
          <t>VGV contratado % Direcional (l.22) · fonte · unid. moeda</t>
        </is>
      </c>
      <c r="B140" t="n">
        <v>53</v>
      </c>
      <c r="C140" t="inlineStr">
        <is>
          <t>VGV contratado % Direcional (l.22)</t>
        </is>
      </c>
      <c r="D140" s="265" t="n">
        <v>438944.362522</v>
      </c>
      <c r="E140" s="265" t="n">
        <v>515664.985837</v>
      </c>
      <c r="F140" s="265" t="n">
        <v>525001.786572</v>
      </c>
      <c r="G140" s="265" t="n">
        <v>537662.337039</v>
      </c>
      <c r="I140" s="265" t="n">
        <v>507990.549733</v>
      </c>
      <c r="J140" s="265" t="n">
        <v>674214.811965</v>
      </c>
      <c r="K140" s="265" t="n">
        <v>682313.56675</v>
      </c>
      <c r="L140" s="265" t="n">
        <v>551492.174402</v>
      </c>
      <c r="N140" s="265" t="n">
        <v>642883.35642</v>
      </c>
      <c r="O140" s="265" t="n">
        <v>733884.741178</v>
      </c>
      <c r="P140" s="265" t="n">
        <v>751415.722451</v>
      </c>
      <c r="Q140" s="265" t="n">
        <v>994436.039633</v>
      </c>
      <c r="S140" s="265" t="n">
        <v>1004200.856644</v>
      </c>
      <c r="T140" s="265" t="n">
        <v>1260095.633997</v>
      </c>
      <c r="U140" s="265" t="n">
        <v>1373024.765702</v>
      </c>
      <c r="V140" s="265" t="n">
        <v>1242920.081275</v>
      </c>
      <c r="X140" s="265" t="n">
        <v>1099774.665268</v>
      </c>
      <c r="Y140" s="265" t="n">
        <v>1296399.62358</v>
      </c>
      <c r="Z140" s="265" t="n">
        <v>1435255.241371</v>
      </c>
      <c r="AA140" s="265" t="n">
        <v>1305147.508199</v>
      </c>
      <c r="AC140" s="265" t="n">
        <v>1351956</v>
      </c>
      <c r="AD140" s="265" t="n">
        <v>1371609</v>
      </c>
    </row>
    <row r="141">
      <c r="A141" t="inlineStr">
        <is>
          <t>Unidades contratadas (l.25) · fonte · unid. un</t>
        </is>
      </c>
      <c r="B141" t="n">
        <v>54</v>
      </c>
      <c r="C141" t="inlineStr">
        <is>
          <t>Unidades contratadas (l.25)</t>
        </is>
      </c>
      <c r="D141" s="265" t="n">
        <v>2702000</v>
      </c>
      <c r="E141" s="265" t="n">
        <v>3168000</v>
      </c>
      <c r="F141" s="265" t="n">
        <v>3211000</v>
      </c>
      <c r="G141" s="265" t="n">
        <v>3146000</v>
      </c>
      <c r="I141" s="265" t="n">
        <v>2945000</v>
      </c>
      <c r="J141" s="265" t="n">
        <v>3920000</v>
      </c>
      <c r="K141" s="265" t="n">
        <v>3403000</v>
      </c>
      <c r="L141" s="265" t="n">
        <v>2899000</v>
      </c>
      <c r="N141" s="265" t="n">
        <v>3246000</v>
      </c>
      <c r="O141" s="265" t="n">
        <v>3575000</v>
      </c>
      <c r="P141" s="265" t="n">
        <v>3458000</v>
      </c>
      <c r="Q141" s="265" t="n">
        <v>4506000</v>
      </c>
      <c r="S141" s="265" t="n">
        <v>4227000</v>
      </c>
      <c r="T141" s="265" t="n">
        <v>5354000</v>
      </c>
      <c r="U141" s="265" t="n">
        <v>6293000</v>
      </c>
      <c r="V141" s="265" t="n">
        <v>5186000</v>
      </c>
      <c r="X141" s="265" t="n">
        <v>4330000</v>
      </c>
      <c r="Y141" s="265" t="n">
        <v>5176000</v>
      </c>
      <c r="Z141" s="265" t="n">
        <v>4857000</v>
      </c>
      <c r="AA141" s="265" t="n">
        <v>4227000</v>
      </c>
      <c r="AC141" s="265" t="n">
        <v>4848000</v>
      </c>
      <c r="AD141" s="265" t="n">
        <v>4955000</v>
      </c>
    </row>
    <row r="142">
      <c r="A142" t="inlineStr">
        <is>
          <t>Preco medio contratado (R$/unidade; l.28) · fonte · unid. un</t>
        </is>
      </c>
      <c r="B142" t="n">
        <v>55</v>
      </c>
      <c r="C142" t="inlineStr">
        <is>
          <t>Preco medio contratado (R$/unidade; l.28)</t>
        </is>
      </c>
      <c r="D142" s="265" t="n">
        <v>190586340.936344</v>
      </c>
      <c r="E142" s="265" t="n">
        <v>193969674.15404</v>
      </c>
      <c r="F142" s="265" t="n">
        <v>200160733.525382</v>
      </c>
      <c r="G142" s="265" t="n">
        <v>212256110.390972</v>
      </c>
      <c r="I142" s="265" t="n">
        <v>211185573.612902</v>
      </c>
      <c r="J142" s="265" t="n">
        <v>213186597.119898</v>
      </c>
      <c r="K142" s="265" t="n">
        <v>248855416.132824</v>
      </c>
      <c r="L142" s="265" t="n">
        <v>239519772.349086</v>
      </c>
      <c r="N142" s="265" t="n">
        <v>247492177.147258</v>
      </c>
      <c r="O142" s="265" t="n">
        <v>269228433.714686</v>
      </c>
      <c r="P142" s="265" t="n">
        <v>290513801.058415</v>
      </c>
      <c r="Q142" s="265" t="n">
        <v>270891849.296494</v>
      </c>
      <c r="S142" s="265" t="n">
        <v>309360983.259995</v>
      </c>
      <c r="T142" s="265" t="n">
        <v>302348087.612999</v>
      </c>
      <c r="U142" s="265" t="n">
        <v>280492173.500715</v>
      </c>
      <c r="V142" s="265" t="n">
        <v>304645776.976475</v>
      </c>
      <c r="X142" s="265" t="n">
        <v>306351245.090069</v>
      </c>
      <c r="Y142" s="265" t="n">
        <v>324055738.485317</v>
      </c>
      <c r="Z142" s="265" t="n">
        <v>338029014.731316</v>
      </c>
      <c r="AA142" s="265" t="n">
        <v>359004821.109535</v>
      </c>
      <c r="AC142" s="265" t="n">
        <v>326311900</v>
      </c>
      <c r="AD142" s="265" t="n">
        <v>333987700</v>
      </c>
    </row>
    <row r="143">
      <c r="A143" t="inlineStr">
        <is>
          <t>VSO consolidada (l.30) · fonte · unid. un</t>
        </is>
      </c>
      <c r="B143" t="n">
        <v>56</v>
      </c>
      <c r="C143" t="inlineStr">
        <is>
          <t>VSO consolidada (l.30)</t>
        </is>
      </c>
      <c r="D143" s="265" t="n">
        <v>167</v>
      </c>
      <c r="E143" s="265" t="n">
        <v>184</v>
      </c>
      <c r="F143" s="265" t="n">
        <v>169</v>
      </c>
      <c r="G143" s="265" t="n">
        <v>172</v>
      </c>
      <c r="I143" s="265" t="n">
        <v>161.278813</v>
      </c>
      <c r="J143" s="265" t="n">
        <v>203.791113</v>
      </c>
      <c r="K143" s="265" t="n">
        <v>190.089161</v>
      </c>
      <c r="L143" s="265" t="n">
        <v>146.153226</v>
      </c>
      <c r="N143" s="265" t="n">
        <v>166.865631</v>
      </c>
      <c r="O143" s="265" t="n">
        <v>175.021897</v>
      </c>
      <c r="P143" s="265" t="n">
        <v>167.931783</v>
      </c>
      <c r="Q143" s="265" t="n">
        <v>163.509254</v>
      </c>
      <c r="S143" s="265" t="n">
        <v>216.398953</v>
      </c>
      <c r="T143" s="265" t="n">
        <v>263.717601</v>
      </c>
      <c r="U143" s="265" t="n">
        <v>249.636786</v>
      </c>
      <c r="V143" s="265" t="n">
        <v>249.787961</v>
      </c>
      <c r="X143" s="265" t="n">
        <v>233.201291</v>
      </c>
      <c r="Y143" s="265" t="n">
        <v>263.655743</v>
      </c>
      <c r="Z143" s="265" t="n">
        <v>239</v>
      </c>
      <c r="AA143" s="265" t="n">
        <v>211</v>
      </c>
      <c r="AC143" s="265" t="n">
        <v>236</v>
      </c>
      <c r="AD143" s="265" t="n">
        <v>228.49</v>
      </c>
    </row>
    <row r="144">
      <c r="A144" t="inlineStr">
        <is>
          <t>Repasses - VGV (R$ mil; l.45) · fonte · unid. moeda</t>
        </is>
      </c>
      <c r="B144" t="n">
        <v>57</v>
      </c>
      <c r="C144" t="inlineStr">
        <is>
          <t>Repasses - VGV (R$ mil; l.45)</t>
        </is>
      </c>
      <c r="D144" s="265" t="n">
        <v>456373.50922</v>
      </c>
      <c r="E144" s="265" t="n">
        <v>550091.1314900001</v>
      </c>
      <c r="F144" s="265" t="n">
        <v>536881.22653</v>
      </c>
      <c r="G144" s="265" t="n">
        <v>502298.87541</v>
      </c>
      <c r="I144" s="265" t="n">
        <v>460728.68308</v>
      </c>
      <c r="J144" s="265" t="n">
        <v>776957.53773</v>
      </c>
      <c r="K144" s="265" t="n">
        <v>647319.68171</v>
      </c>
      <c r="L144" s="265" t="n">
        <v>491082.74038</v>
      </c>
      <c r="N144" s="265" t="n">
        <v>500689.54238</v>
      </c>
      <c r="O144" s="265" t="n">
        <v>631928.8867499999</v>
      </c>
      <c r="P144" s="265" t="n">
        <v>556142.8075699999</v>
      </c>
      <c r="Q144" s="265" t="n">
        <v>539876.4484699999</v>
      </c>
      <c r="S144" s="265" t="n">
        <v>550138.5841</v>
      </c>
      <c r="T144" s="265" t="n">
        <v>1028917.42224</v>
      </c>
      <c r="U144" s="265" t="n">
        <v>899363.82257</v>
      </c>
      <c r="V144" s="265" t="n">
        <v>885069.65955</v>
      </c>
      <c r="X144" s="265" t="n">
        <v>773989.77536</v>
      </c>
      <c r="Y144" s="265" t="n">
        <v>1129328.69135</v>
      </c>
      <c r="Z144" s="265" t="n">
        <v>1075231</v>
      </c>
      <c r="AA144" s="265" t="n">
        <v>1195024.2</v>
      </c>
      <c r="AC144" s="265" t="n">
        <v>988230.4</v>
      </c>
      <c r="AD144" s="265" t="n">
        <v>1245197.1</v>
      </c>
    </row>
    <row r="145">
      <c r="A145" t="inlineStr">
        <is>
          <t>Repasses - unidades (l.46) · fonte · unid. un</t>
        </is>
      </c>
      <c r="B145" t="n">
        <v>58</v>
      </c>
      <c r="C145" t="inlineStr">
        <is>
          <t>Repasses - unidades (l.46)</t>
        </is>
      </c>
      <c r="D145" s="265" t="n">
        <v>2609000</v>
      </c>
      <c r="E145" s="265" t="n">
        <v>2963000</v>
      </c>
      <c r="F145" s="265" t="n">
        <v>2985000</v>
      </c>
      <c r="G145" s="265" t="n">
        <v>2707000</v>
      </c>
      <c r="I145" s="265" t="n">
        <v>2223000</v>
      </c>
      <c r="J145" s="265" t="n">
        <v>3851000</v>
      </c>
      <c r="K145" s="265" t="n">
        <v>3052000</v>
      </c>
      <c r="L145" s="265" t="n">
        <v>2287000</v>
      </c>
      <c r="N145" s="265" t="n">
        <v>2254000</v>
      </c>
      <c r="O145" s="265" t="n">
        <v>2746000</v>
      </c>
      <c r="P145" s="265" t="n">
        <v>2370000</v>
      </c>
      <c r="Q145" s="265" t="n">
        <v>2129000</v>
      </c>
      <c r="S145" s="265" t="n">
        <v>2209000</v>
      </c>
      <c r="T145" s="265" t="n">
        <v>3727000</v>
      </c>
      <c r="U145" s="265" t="n">
        <v>3275000</v>
      </c>
      <c r="V145" s="265" t="n">
        <v>3093000</v>
      </c>
      <c r="X145" s="265" t="n">
        <v>2753000</v>
      </c>
      <c r="Y145" s="265" t="n">
        <v>3817000</v>
      </c>
      <c r="Z145" s="265" t="n">
        <v>3632000</v>
      </c>
      <c r="AA145" s="265" t="n">
        <v>3856000</v>
      </c>
      <c r="AC145" s="265" t="n">
        <v>3478000</v>
      </c>
      <c r="AD145" s="265" t="n">
        <v>4203000</v>
      </c>
    </row>
    <row r="146">
      <c r="A146" t="inlineStr">
        <is>
          <t>Estoque a valor de mercado 100% - fim do periodo (R$ mil; l.33) · fonte · unid. moeda</t>
        </is>
      </c>
      <c r="B146" t="n">
        <v>59</v>
      </c>
      <c r="C146" t="inlineStr">
        <is>
          <t>Estoque a valor de mercado 100% - fim do periodo (R$ mil; l.</t>
        </is>
      </c>
      <c r="D146" s="265" t="n">
        <v>2555988.86928</v>
      </c>
      <c r="E146" s="265" t="n">
        <v>2721703.381054</v>
      </c>
      <c r="F146" s="265" t="n">
        <v>3178010.917451</v>
      </c>
      <c r="G146" s="265" t="n">
        <v>3257243.95374</v>
      </c>
      <c r="I146" s="265" t="n">
        <v>3310356.60503</v>
      </c>
      <c r="J146" s="265" t="n">
        <v>3265972.79136</v>
      </c>
      <c r="K146" s="265" t="n">
        <v>3693244.79427</v>
      </c>
      <c r="L146" s="265" t="n">
        <v>4203220.24421</v>
      </c>
      <c r="N146" s="265" t="n">
        <v>4042618.07696</v>
      </c>
      <c r="O146" s="265" t="n">
        <v>4582751.2716</v>
      </c>
      <c r="P146" s="265" t="n">
        <v>5021448.69219</v>
      </c>
      <c r="Q146" s="265" t="n">
        <v>5146344.3553</v>
      </c>
      <c r="S146" s="265" t="n">
        <v>4777623.880986</v>
      </c>
      <c r="T146" s="265" t="n">
        <v>4591683.87343</v>
      </c>
      <c r="U146" s="265" t="n">
        <v>4491763.85823</v>
      </c>
      <c r="V146" s="265" t="n">
        <v>4787060.97712</v>
      </c>
      <c r="X146" s="265" t="n">
        <v>4457852.95483</v>
      </c>
      <c r="Y146" s="265" t="n">
        <v>4716030.0404</v>
      </c>
      <c r="Z146" s="265" t="n">
        <v>5296306.79496</v>
      </c>
      <c r="AA146" s="265" t="n">
        <v>5696074.3</v>
      </c>
      <c r="AC146" s="265" t="n">
        <v>5177786</v>
      </c>
      <c r="AD146" s="265" t="n">
        <v>5611545</v>
      </c>
    </row>
    <row r="147">
      <c r="A147" t="inlineStr">
        <is>
          <t>Unidades em estoque (l.35) · fonte · unid. un</t>
        </is>
      </c>
      <c r="B147" t="n">
        <v>60</v>
      </c>
      <c r="C147" t="inlineStr">
        <is>
          <t>Unidades em estoque (l.35)</t>
        </is>
      </c>
      <c r="D147" s="265" t="n">
        <v>13112000</v>
      </c>
      <c r="E147" s="265" t="n">
        <v>14045000</v>
      </c>
      <c r="F147" s="265" t="n">
        <v>14573000</v>
      </c>
      <c r="G147" s="265" t="n">
        <v>14627000</v>
      </c>
      <c r="I147" s="265" t="n">
        <v>14513000</v>
      </c>
      <c r="J147" s="265" t="n">
        <v>13676000</v>
      </c>
      <c r="K147" s="265" t="n">
        <v>14386000</v>
      </c>
      <c r="L147" s="265" t="n">
        <v>15781000</v>
      </c>
      <c r="N147" s="265" t="n">
        <v>15224000</v>
      </c>
      <c r="O147" s="265" t="n">
        <v>16923000</v>
      </c>
      <c r="P147" s="265" t="n">
        <v>17617000</v>
      </c>
      <c r="Q147" s="265" t="n">
        <v>17734000</v>
      </c>
      <c r="S147" s="265" t="n">
        <v>15747000</v>
      </c>
      <c r="T147" s="265" t="n">
        <v>14580000</v>
      </c>
      <c r="U147" s="265" t="n">
        <v>14121000</v>
      </c>
      <c r="V147" s="265" t="n">
        <v>14730000</v>
      </c>
      <c r="X147" s="265" t="n">
        <v>13801000</v>
      </c>
      <c r="Y147" s="265" t="n">
        <v>13709000</v>
      </c>
      <c r="Z147" s="265" t="n">
        <v>15284000</v>
      </c>
      <c r="AA147" s="265" t="n">
        <v>15844000</v>
      </c>
      <c r="AC147" s="265" t="n">
        <v>14120000</v>
      </c>
      <c r="AD147" s="265" t="n">
        <v>14716000</v>
      </c>
    </row>
    <row r="148">
      <c r="A148" t="inlineStr">
        <is>
          <t>Land bank 100% - fim do periodo (R$ mil; l.40) · fonte · unid. moeda</t>
        </is>
      </c>
      <c r="B148" t="n">
        <v>61</v>
      </c>
      <c r="C148" t="inlineStr">
        <is>
          <t>Land bank 100% - fim do periodo (R$ mil; l.40)</t>
        </is>
      </c>
      <c r="D148" s="265" t="n">
        <v>24936828.786436</v>
      </c>
      <c r="E148" s="265" t="n">
        <v>26486851.593264</v>
      </c>
      <c r="F148" s="265" t="n">
        <v>25474474.688302</v>
      </c>
      <c r="G148" s="265" t="n">
        <v>26806721.715994</v>
      </c>
      <c r="I148" s="265" t="n">
        <v>27797920.787737</v>
      </c>
      <c r="J148" s="265" t="n">
        <v>28203972.840656</v>
      </c>
      <c r="K148" s="265" t="n">
        <v>28896880.767143</v>
      </c>
      <c r="L148" s="265" t="n">
        <v>32458539.903538</v>
      </c>
      <c r="N148" s="265" t="n">
        <v>32505330.711433</v>
      </c>
      <c r="O148" s="265" t="n">
        <v>35133506.181113</v>
      </c>
      <c r="P148" s="265" t="n">
        <v>35769587.296003</v>
      </c>
      <c r="Q148" s="265" t="n">
        <v>36301444.675461</v>
      </c>
      <c r="S148" s="265" t="n">
        <v>37282561.035461</v>
      </c>
      <c r="T148" s="265" t="n">
        <v>39678348.02647</v>
      </c>
      <c r="U148" s="265" t="n">
        <v>43238920.42152</v>
      </c>
      <c r="V148" s="265" t="n">
        <v>46239914.401028</v>
      </c>
      <c r="X148" s="265" t="n">
        <v>46253335.528174</v>
      </c>
      <c r="Y148" s="265" t="n">
        <v>49901268.066826</v>
      </c>
      <c r="Z148" s="265" t="n">
        <v>51251929</v>
      </c>
      <c r="AA148" s="265" t="n">
        <v>58452264.2</v>
      </c>
      <c r="AC148" s="265" t="n">
        <v>59955735.3</v>
      </c>
      <c r="AD148" s="265" t="n">
        <v>63148569.7</v>
      </c>
    </row>
    <row r="149">
      <c r="A149" t="inlineStr">
        <is>
          <t>Land bank - unidades (l.42) · fonte · unid. un</t>
        </is>
      </c>
      <c r="B149" t="n">
        <v>62</v>
      </c>
      <c r="C149" t="inlineStr">
        <is>
          <t>Land bank - unidades (l.42)</t>
        </is>
      </c>
      <c r="D149" s="265" t="n">
        <v>144223000</v>
      </c>
      <c r="E149" s="265" t="n">
        <v>151357000</v>
      </c>
      <c r="F149" s="265" t="n">
        <v>147702000</v>
      </c>
      <c r="G149" s="265" t="n">
        <v>151744000</v>
      </c>
      <c r="I149" s="265" t="n">
        <v>156004000</v>
      </c>
      <c r="J149" s="265" t="n">
        <v>156148000</v>
      </c>
      <c r="K149" s="265" t="n">
        <v>158073000</v>
      </c>
      <c r="L149" s="265" t="n">
        <v>170693000</v>
      </c>
      <c r="N149" s="265" t="n">
        <v>169819000</v>
      </c>
      <c r="O149" s="265" t="n">
        <v>179670000</v>
      </c>
      <c r="P149" s="265" t="n">
        <v>181036000</v>
      </c>
      <c r="Q149" s="265" t="n">
        <v>181519000</v>
      </c>
      <c r="S149" s="265" t="n">
        <v>186181000</v>
      </c>
      <c r="T149" s="265" t="n">
        <v>195189000</v>
      </c>
      <c r="U149" s="265" t="n">
        <v>205534000</v>
      </c>
      <c r="V149" s="265" t="n">
        <v>209504000</v>
      </c>
      <c r="X149" s="265" t="n">
        <v>198296000</v>
      </c>
      <c r="Y149" s="265" t="n">
        <v>217749000</v>
      </c>
      <c r="Z149" s="265" t="n">
        <v>220267000</v>
      </c>
      <c r="AA149" s="265" t="n">
        <v>241470000</v>
      </c>
      <c r="AC149" s="265" t="n">
        <v>245749000</v>
      </c>
      <c r="AD149" s="265" t="n">
        <v>254458000</v>
      </c>
    </row>
    <row r="150">
      <c r="A150" t="inlineStr">
        <is>
          <t>Notas: Riva aberta pela Cia so desde 1T24; dados operacionais consolidados (a planilha nao abre Direcional x Riva nos operacionais).</t>
        </is>
      </c>
      <c r="C150" t="inlineStr">
        <is>
          <t>[linha bruta, sem código; lançada nas linhas abaixo]</t>
        </is>
      </c>
      <c r="D150" s="265" t="n"/>
      <c r="E150" s="265" t="n"/>
      <c r="F150" s="265" t="n"/>
      <c r="G150" s="265" t="n"/>
      <c r="I150" s="265" t="n"/>
      <c r="J150" s="265" t="n"/>
      <c r="K150" s="265" t="n"/>
      <c r="L150" s="265" t="n"/>
      <c r="N150" s="265" t="n"/>
      <c r="O150" s="265" t="n"/>
      <c r="P150" s="265" t="n"/>
      <c r="Q150" s="265" t="n"/>
      <c r="S150" s="265" t="n"/>
      <c r="T150" s="265" t="n"/>
      <c r="U150" s="265" t="n"/>
      <c r="V150" s="265" t="n"/>
      <c r="X150" s="265" t="n"/>
      <c r="Y150" s="265" t="n"/>
      <c r="Z150" s="265" t="n"/>
      <c r="AA150" s="265" t="n"/>
      <c r="AC150" s="265" t="n"/>
      <c r="AD150" s="265" t="n"/>
    </row>
    <row r="152">
      <c r="A152" t="inlineStr">
        <is>
          <t>Linhas de origem: 4 a 150. A Inputs (2) varre as linhas 4 a 200; as linhas 151 a 200 estão livres. Linhas "(lançamento)" aplicam código e sinal sobre a linha bruta indicada (a máscara tem uma só coluna de código).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0"/>
  <sheetViews>
    <sheetView showGridLines="0" tabSelected="1" zoomScaleNormal="100" workbookViewId="0">
      <pane xSplit="3" ySplit="3" topLeftCell="D4" activePane="bottomRight" state="frozen"/>
      <selection activeCell="C3" sqref="C3"/>
      <selection pane="topRight" activeCell="C3" sqref="C3"/>
      <selection pane="bottomLeft" activeCell="C3" sqref="C3"/>
      <selection pane="bottomRight" activeCell="C3" sqref="C3"/>
    </sheetView>
  </sheetViews>
  <sheetFormatPr baseColWidth="8" defaultColWidth="10.42578125" defaultRowHeight="12.75"/>
  <cols>
    <col width="14.7109375" customWidth="1" style="3" min="1" max="1"/>
    <col width="10.140625" customWidth="1" style="3" min="2" max="2"/>
    <col width="50" customWidth="1" style="4" min="3" max="3"/>
    <col width="12.42578125" customWidth="1" style="3" min="4" max="33"/>
    <col width="10.42578125" customWidth="1" style="4" min="34" max="54"/>
    <col width="11" customWidth="1" style="4" min="55" max="55"/>
    <col width="10.42578125" customWidth="1" style="4" min="56" max="58"/>
    <col width="10.42578125" customWidth="1" style="4" min="59" max="16384"/>
  </cols>
  <sheetData>
    <row r="1" ht="14.25" customFormat="1" customHeight="1" s="3">
      <c r="A1" s="5" t="str">
        <f>IF(Control!B3="","EMPRESA",Control!B3)</f>
        <v>Direcional</v>
      </c>
      <c r="B1" s="5" t="inlineStr">
        <is>
          <t>Código</t>
        </is>
      </c>
      <c r="C1" s="1" t="inlineStr">
        <is>
          <t>Conta padronizada</t>
        </is>
      </c>
      <c r="D1" s="1" t="n">
        <v>2021</v>
      </c>
      <c r="E1" s="1" t="n">
        <v>2021</v>
      </c>
      <c r="F1" s="1" t="n">
        <v>2021</v>
      </c>
      <c r="G1" s="1" t="n">
        <v>2021</v>
      </c>
      <c r="H1" s="1" t="n">
        <v>2021</v>
      </c>
      <c r="I1" s="1" t="n">
        <v>2022</v>
      </c>
      <c r="J1" s="1" t="n">
        <v>2022</v>
      </c>
      <c r="K1" s="1" t="n">
        <v>2022</v>
      </c>
      <c r="L1" s="1" t="n">
        <v>2022</v>
      </c>
      <c r="M1" s="1" t="n">
        <v>2022</v>
      </c>
      <c r="N1" s="1" t="n">
        <v>2023</v>
      </c>
      <c r="O1" s="1" t="n">
        <v>2023</v>
      </c>
      <c r="P1" s="1" t="n">
        <v>2023</v>
      </c>
      <c r="Q1" s="1" t="n">
        <v>2023</v>
      </c>
      <c r="R1" s="1" t="n">
        <v>2023</v>
      </c>
      <c r="S1" s="1" t="n">
        <v>2024</v>
      </c>
      <c r="T1" s="1" t="n">
        <v>2024</v>
      </c>
      <c r="U1" s="1" t="n">
        <v>2024</v>
      </c>
      <c r="V1" s="1" t="n">
        <v>2024</v>
      </c>
      <c r="W1" s="1" t="n">
        <v>2024</v>
      </c>
      <c r="X1" s="1" t="n">
        <v>2025</v>
      </c>
      <c r="Y1" s="1" t="n">
        <v>2025</v>
      </c>
      <c r="Z1" s="1" t="n">
        <v>2025</v>
      </c>
      <c r="AA1" s="1" t="n">
        <v>2025</v>
      </c>
      <c r="AB1" s="1" t="n">
        <v>2025</v>
      </c>
      <c r="AC1" s="1" t="n">
        <v>2026</v>
      </c>
      <c r="AD1" s="1" t="n">
        <v>2026</v>
      </c>
      <c r="AE1" s="1" t="n">
        <v>2026</v>
      </c>
      <c r="AF1" s="1" t="n">
        <v>2026</v>
      </c>
      <c r="AG1" s="1" t="n">
        <v>2026</v>
      </c>
    </row>
    <row r="2" ht="14.25" customHeight="1">
      <c r="A2" s="1" t="inlineStr">
        <is>
          <t>R$ milhões</t>
        </is>
      </c>
      <c r="B2" s="1" t="n"/>
      <c r="C2" s="1" t="inlineStr">
        <is>
          <t>Período</t>
        </is>
      </c>
      <c r="D2" s="6" t="inlineStr">
        <is>
          <t>1Q21</t>
        </is>
      </c>
      <c r="E2" s="6" t="inlineStr">
        <is>
          <t>2Q21</t>
        </is>
      </c>
      <c r="F2" s="6" t="inlineStr">
        <is>
          <t>3Q21</t>
        </is>
      </c>
      <c r="G2" s="6" t="inlineStr">
        <is>
          <t>4Q21</t>
        </is>
      </c>
      <c r="H2" s="7" t="inlineStr">
        <is>
          <t>2021</t>
        </is>
      </c>
      <c r="I2" s="6" t="inlineStr">
        <is>
          <t>1Q22</t>
        </is>
      </c>
      <c r="J2" s="6" t="inlineStr">
        <is>
          <t>2Q22</t>
        </is>
      </c>
      <c r="K2" s="6" t="inlineStr">
        <is>
          <t>3Q22</t>
        </is>
      </c>
      <c r="L2" s="6" t="inlineStr">
        <is>
          <t>4Q22</t>
        </is>
      </c>
      <c r="M2" s="7" t="inlineStr">
        <is>
          <t>2022</t>
        </is>
      </c>
      <c r="N2" s="6" t="inlineStr">
        <is>
          <t>1Q23</t>
        </is>
      </c>
      <c r="O2" s="6" t="inlineStr">
        <is>
          <t>2Q23</t>
        </is>
      </c>
      <c r="P2" s="6" t="inlineStr">
        <is>
          <t>3Q23</t>
        </is>
      </c>
      <c r="Q2" s="6" t="inlineStr">
        <is>
          <t>4Q23</t>
        </is>
      </c>
      <c r="R2" s="7" t="inlineStr">
        <is>
          <t>2023</t>
        </is>
      </c>
      <c r="S2" s="6" t="inlineStr">
        <is>
          <t>1Q24</t>
        </is>
      </c>
      <c r="T2" s="6" t="inlineStr">
        <is>
          <t>2Q24</t>
        </is>
      </c>
      <c r="U2" s="6" t="inlineStr">
        <is>
          <t>3Q24</t>
        </is>
      </c>
      <c r="V2" s="6" t="inlineStr">
        <is>
          <t>4Q24</t>
        </is>
      </c>
      <c r="W2" s="7" t="inlineStr">
        <is>
          <t>2024</t>
        </is>
      </c>
      <c r="X2" s="6" t="inlineStr">
        <is>
          <t>1Q25</t>
        </is>
      </c>
      <c r="Y2" s="6" t="inlineStr">
        <is>
          <t>2Q25</t>
        </is>
      </c>
      <c r="Z2" s="6" t="inlineStr">
        <is>
          <t>3Q25</t>
        </is>
      </c>
      <c r="AA2" s="6" t="inlineStr">
        <is>
          <t>4Q25</t>
        </is>
      </c>
      <c r="AB2" s="7" t="inlineStr">
        <is>
          <t>2025</t>
        </is>
      </c>
      <c r="AC2" s="6" t="inlineStr">
        <is>
          <t>1Q26</t>
        </is>
      </c>
      <c r="AD2" s="6" t="inlineStr">
        <is>
          <t>2Q26</t>
        </is>
      </c>
      <c r="AE2" s="6" t="inlineStr">
        <is>
          <t>3Q26</t>
        </is>
      </c>
      <c r="AF2" s="6" t="inlineStr">
        <is>
          <t>4Q26</t>
        </is>
      </c>
      <c r="AG2" s="7" t="inlineStr">
        <is>
          <t>2026</t>
        </is>
      </c>
    </row>
    <row r="3" ht="15" customHeight="1">
      <c r="A3" s="8" t="inlineStr">
        <is>
          <t>Actual flag</t>
        </is>
      </c>
      <c r="B3" s="8" t="n"/>
      <c r="C3" s="8" t="inlineStr">
        <is>
          <t>0 = sem dados / 1 = realizado</t>
        </is>
      </c>
      <c r="D3" s="8" t="n">
        <v>1</v>
      </c>
      <c r="E3" s="8" t="n">
        <v>1</v>
      </c>
      <c r="F3" s="8" t="n">
        <v>1</v>
      </c>
      <c r="G3" s="8" t="n">
        <v>1</v>
      </c>
      <c r="H3" s="8" t="n">
        <v>1</v>
      </c>
      <c r="I3" s="8" t="n">
        <v>1</v>
      </c>
      <c r="J3" s="8" t="n">
        <v>1</v>
      </c>
      <c r="K3" s="8" t="n">
        <v>1</v>
      </c>
      <c r="L3" s="8" t="n">
        <v>1</v>
      </c>
      <c r="M3" s="8" t="n">
        <v>1</v>
      </c>
      <c r="N3" s="8" t="n">
        <v>1</v>
      </c>
      <c r="O3" s="8" t="n">
        <v>1</v>
      </c>
      <c r="P3" s="8" t="n">
        <v>1</v>
      </c>
      <c r="Q3" s="8" t="n">
        <v>1</v>
      </c>
      <c r="R3" s="8" t="n">
        <v>1</v>
      </c>
      <c r="S3" s="8" t="n">
        <v>1</v>
      </c>
      <c r="T3" s="8" t="n">
        <v>1</v>
      </c>
      <c r="U3" s="8" t="n">
        <v>1</v>
      </c>
      <c r="V3" s="8" t="n">
        <v>1</v>
      </c>
      <c r="W3" s="8" t="n">
        <v>1</v>
      </c>
      <c r="X3" s="8" t="n">
        <v>1</v>
      </c>
      <c r="Y3" s="8" t="n">
        <v>1</v>
      </c>
      <c r="Z3" s="8" t="n">
        <v>1</v>
      </c>
      <c r="AA3" s="8" t="n">
        <v>1</v>
      </c>
      <c r="AB3" s="8" t="n">
        <v>1</v>
      </c>
      <c r="AC3" s="8" t="n">
        <v>1</v>
      </c>
      <c r="AD3" s="8" t="n">
        <v>1</v>
      </c>
      <c r="AE3" s="8" t="n">
        <v>0</v>
      </c>
      <c r="AF3" s="8" t="n">
        <v>0</v>
      </c>
      <c r="AG3" s="8" t="n">
        <v>0</v>
      </c>
    </row>
    <row r="4">
      <c r="B4" s="9" t="n">
        <v>1</v>
      </c>
      <c r="C4" s="10" t="inlineStr">
        <is>
          <t>Net Revenues</t>
        </is>
      </c>
      <c r="D4" s="11">
        <f>IF(D$3=0,"",SUMIFS(INDEX(Inputs!$D$4:$AG$200,0,MATCH(D$2,Inputs!$D$2:$AG$2,0)),Inputs!$B$4:$B$200,$B4)/1000)</f>
        <v>413.885</v>
      </c>
      <c r="E4" s="11">
        <f>IF(E$3=0,"",SUMIFS(INDEX(Inputs!$D$4:$AG$200,0,MATCH(E$2,Inputs!$D$2:$AG$2,0)),Inputs!$B$4:$B$200,$B4)/1000)</f>
        <v>422.162</v>
      </c>
      <c r="F4" s="11">
        <f>IF(F$3=0,"",SUMIFS(INDEX(Inputs!$D$4:$AG$200,0,MATCH(F$2,Inputs!$D$2:$AG$2,0)),Inputs!$B$4:$B$200,$B4)/1000)</f>
        <v>453.362</v>
      </c>
      <c r="G4" s="11">
        <f>IF(G$3=0,"",SUMIFS(INDEX(Inputs!$D$4:$AG$200,0,MATCH(G$2,Inputs!$D$2:$AG$2,0)),Inputs!$B$4:$B$200,$B4)/1000)</f>
        <v>486.971</v>
      </c>
      <c r="H4" s="12">
        <f>IF(COUNT(D4:G4)=4,SUM(D4:G4),"")</f>
        <v>1776.38</v>
      </c>
      <c r="I4" s="11">
        <f>IF(I$3=0,"",SUMIFS(INDEX(Inputs!$D$4:$AG$200,0,MATCH(I$2,Inputs!$D$2:$AG$2,0)),Inputs!$B$4:$B$200,$B4)/1000)</f>
        <v>468.094</v>
      </c>
      <c r="J4" s="11">
        <f>IF(J$3=0,"",SUMIFS(INDEX(Inputs!$D$4:$AG$200,0,MATCH(J$2,Inputs!$D$2:$AG$2,0)),Inputs!$B$4:$B$200,$B4)/1000)</f>
        <v>586.126</v>
      </c>
      <c r="K4" s="11">
        <f>IF(K$3=0,"",SUMIFS(INDEX(Inputs!$D$4:$AG$200,0,MATCH(K$2,Inputs!$D$2:$AG$2,0)),Inputs!$B$4:$B$200,$B4)/1000)</f>
        <v>574.411</v>
      </c>
      <c r="L4" s="11">
        <f>IF(L$3=0,"",SUMIFS(INDEX(Inputs!$D$4:$AG$200,0,MATCH(L$2,Inputs!$D$2:$AG$2,0)),Inputs!$B$4:$B$200,$B4)/1000)</f>
        <v>533.985</v>
      </c>
      <c r="M4" s="12">
        <f>IF(COUNT(I4:L4)=4,SUM(I4:L4),"")</f>
        <v>2162.616</v>
      </c>
      <c r="N4" s="11">
        <f>IF(N$3=0,"",SUMIFS(INDEX(Inputs!$D$4:$AG$200,0,MATCH(N$2,Inputs!$D$2:$AG$2,0)),Inputs!$B$4:$B$200,$B4)/1000)</f>
        <v>557.269</v>
      </c>
      <c r="O4" s="11">
        <f>IF(O$3=0,"",SUMIFS(INDEX(Inputs!$D$4:$AG$200,0,MATCH(O$2,Inputs!$D$2:$AG$2,0)),Inputs!$B$4:$B$200,$B4)/1000)</f>
        <v>605.408</v>
      </c>
      <c r="P4" s="11">
        <f>IF(P$3=0,"",SUMIFS(INDEX(Inputs!$D$4:$AG$200,0,MATCH(P$2,Inputs!$D$2:$AG$2,0)),Inputs!$B$4:$B$200,$B4)/1000)</f>
        <v>557.668</v>
      </c>
      <c r="Q4" s="11">
        <f>IF(Q$3=0,"",SUMIFS(INDEX(Inputs!$D$4:$AG$200,0,MATCH(Q$2,Inputs!$D$2:$AG$2,0)),Inputs!$B$4:$B$200,$B4)/1000)</f>
        <v>634.838</v>
      </c>
      <c r="R4" s="12">
        <f>IF(COUNT(N4:Q4)=4,SUM(N4:Q4),"")</f>
        <v>2355.183</v>
      </c>
      <c r="S4" s="11">
        <f>IF(S$3=0,"",SUMIFS(INDEX(Inputs!$D$4:$AG$200,0,MATCH(S$2,Inputs!$D$2:$AG$2,0)),Inputs!$B$4:$B$200,$B4)/1000)</f>
        <v>669.442</v>
      </c>
      <c r="T4" s="11">
        <f>IF(T$3=0,"",SUMIFS(INDEX(Inputs!$D$4:$AG$200,0,MATCH(T$2,Inputs!$D$2:$AG$2,0)),Inputs!$B$4:$B$200,$B4)/1000)</f>
        <v>844.22</v>
      </c>
      <c r="U4" s="11">
        <f>IF(U$3=0,"",SUMIFS(INDEX(Inputs!$D$4:$AG$200,0,MATCH(U$2,Inputs!$D$2:$AG$2,0)),Inputs!$B$4:$B$200,$B4)/1000)</f>
        <v>910.598</v>
      </c>
      <c r="V4" s="11">
        <f>IF(V$3=0,"",SUMIFS(INDEX(Inputs!$D$4:$AG$200,0,MATCH(V$2,Inputs!$D$2:$AG$2,0)),Inputs!$B$4:$B$200,$B4)/1000)</f>
        <v>924.21</v>
      </c>
      <c r="W4" s="12">
        <f>IF(COUNT(S4:V4)=4,SUM(S4:V4),"")</f>
        <v>3348.47</v>
      </c>
      <c r="X4" s="11">
        <f>IF(X$3=0,"",SUMIFS(INDEX(Inputs!$D$4:$AG$200,0,MATCH(X$2,Inputs!$D$2:$AG$2,0)),Inputs!$B$4:$B$200,$B4)/1000)</f>
        <v>894.132</v>
      </c>
      <c r="Y4" s="11">
        <f>IF(Y$3=0,"",SUMIFS(INDEX(Inputs!$D$4:$AG$200,0,MATCH(Y$2,Inputs!$D$2:$AG$2,0)),Inputs!$B$4:$B$200,$B4)/1000)</f>
        <v>1065.21</v>
      </c>
      <c r="Z4" s="11">
        <f>IF(Z$3=0,"",SUMIFS(INDEX(Inputs!$D$4:$AG$200,0,MATCH(Z$2,Inputs!$D$2:$AG$2,0)),Inputs!$B$4:$B$200,$B4)/1000)</f>
        <v>1157.823</v>
      </c>
      <c r="AA4" s="11">
        <f>IF(AA$3=0,"",SUMIFS(INDEX(Inputs!$D$4:$AG$200,0,MATCH(AA$2,Inputs!$D$2:$AG$2,0)),Inputs!$B$4:$B$200,$B4)/1000)</f>
        <v>1225.843</v>
      </c>
      <c r="AB4" s="12">
        <f>IF(COUNT(X4:AA4)=4,SUM(X4:AA4),"")</f>
        <v>4343.008</v>
      </c>
      <c r="AC4" s="11">
        <f>IF(AC$3=0,"",SUMIFS(INDEX(Inputs!$D$4:$AG$200,0,MATCH(AC$2,Inputs!$D$2:$AG$2,0)),Inputs!$B$4:$B$200,$B4)/1000)</f>
        <v>1164.527</v>
      </c>
      <c r="AD4" s="11">
        <f>IF(AD$3=0,"",SUMIFS(INDEX(Inputs!$D$4:$AG$200,0,MATCH(AD$2,Inputs!$D$2:$AG$2,0)),Inputs!$B$4:$B$200,$B4)/1000)</f>
        <v>1279.265</v>
      </c>
      <c r="AE4" s="11" t="str">
        <f>IF(AE$3=0,"",SUMIFS(INDEX(Inputs!$D$4:$AG$200,0,MATCH(AE$2,Inputs!$D$2:$AG$2,0)),Inputs!$B$4:$B$200,$B4)/1000)</f>
        <v/>
      </c>
      <c r="AF4" s="11" t="str">
        <f>IF(AF$3=0,"",SUMIFS(INDEX(Inputs!$D$4:$AG$200,0,MATCH(AF$2,Inputs!$D$2:$AG$2,0)),Inputs!$B$4:$B$200,$B4)/1000)</f>
        <v/>
      </c>
      <c r="AG4" s="12" t="str">
        <f>IF(COUNT(AC4:AF4)=4,SUM(AC4:AF4),"")</f>
        <v/>
      </c>
    </row>
    <row r="5">
      <c r="B5" s="9" t="n">
        <v>2</v>
      </c>
      <c r="C5" s="13" t="inlineStr">
        <is>
          <t>COGS (cash)</t>
        </is>
      </c>
      <c r="D5" s="11">
        <f>IF(D$3=0,"",SUMIFS(INDEX(Inputs!$D$4:$AG$200,0,MATCH(D$2,Inputs!$D$2:$AG$2,0)),Inputs!$B$4:$B$200,$B5)/1000)</f>
        <v>-267.002297479</v>
      </c>
      <c r="E5" s="11">
        <f>IF(E$3=0,"",SUMIFS(INDEX(Inputs!$D$4:$AG$200,0,MATCH(E$2,Inputs!$D$2:$AG$2,0)),Inputs!$B$4:$B$200,$B5)/1000)</f>
        <v>-263.110639854</v>
      </c>
      <c r="F5" s="11">
        <f>IF(F$3=0,"",SUMIFS(INDEX(Inputs!$D$4:$AG$200,0,MATCH(F$2,Inputs!$D$2:$AG$2,0)),Inputs!$B$4:$B$200,$B5)/1000)</f>
        <v>-291.574268505</v>
      </c>
      <c r="G5" s="11">
        <f>IF(G$3=0,"",SUMIFS(INDEX(Inputs!$D$4:$AG$200,0,MATCH(G$2,Inputs!$D$2:$AG$2,0)),Inputs!$B$4:$B$200,$B5)/1000)</f>
        <v>-324.610794161</v>
      </c>
      <c r="H5" s="12">
        <f>IF(COUNT(D5:G5)=4,SUM(D5:G5),"")</f>
        <v>-1146.297999999</v>
      </c>
      <c r="I5" s="11">
        <f>IF(I$3=0,"",SUMIFS(INDEX(Inputs!$D$4:$AG$200,0,MATCH(I$2,Inputs!$D$2:$AG$2,0)),Inputs!$B$4:$B$200,$B5)/1000)</f>
        <v>-303.106</v>
      </c>
      <c r="J5" s="11">
        <f>IF(J$3=0,"",SUMIFS(INDEX(Inputs!$D$4:$AG$200,0,MATCH(J$2,Inputs!$D$2:$AG$2,0)),Inputs!$B$4:$B$200,$B5)/1000)</f>
        <v>-403.298</v>
      </c>
      <c r="K5" s="11">
        <f>IF(K$3=0,"",SUMIFS(INDEX(Inputs!$D$4:$AG$200,0,MATCH(K$2,Inputs!$D$2:$AG$2,0)),Inputs!$B$4:$B$200,$B5)/1000)</f>
        <v>-379.234</v>
      </c>
      <c r="L5" s="11">
        <f>IF(L$3=0,"",SUMIFS(INDEX(Inputs!$D$4:$AG$200,0,MATCH(L$2,Inputs!$D$2:$AG$2,0)),Inputs!$B$4:$B$200,$B5)/1000)</f>
        <v>-343.252</v>
      </c>
      <c r="M5" s="12">
        <f>IF(COUNT(I5:L5)=4,SUM(I5:L5),"")</f>
        <v>-1428.89</v>
      </c>
      <c r="N5" s="11">
        <f>IF(N$3=0,"",SUMIFS(INDEX(Inputs!$D$4:$AG$200,0,MATCH(N$2,Inputs!$D$2:$AG$2,0)),Inputs!$B$4:$B$200,$B5)/1000)</f>
        <v>-359.425</v>
      </c>
      <c r="O5" s="11">
        <f>IF(O$3=0,"",SUMIFS(INDEX(Inputs!$D$4:$AG$200,0,MATCH(O$2,Inputs!$D$2:$AG$2,0)),Inputs!$B$4:$B$200,$B5)/1000)</f>
        <v>-400.227</v>
      </c>
      <c r="P5" s="11">
        <f>IF(P$3=0,"",SUMIFS(INDEX(Inputs!$D$4:$AG$200,0,MATCH(P$2,Inputs!$D$2:$AG$2,0)),Inputs!$B$4:$B$200,$B5)/1000)</f>
        <v>-365.299</v>
      </c>
      <c r="Q5" s="11">
        <f>IF(Q$3=0,"",SUMIFS(INDEX(Inputs!$D$4:$AG$200,0,MATCH(Q$2,Inputs!$D$2:$AG$2,0)),Inputs!$B$4:$B$200,$B5)/1000)</f>
        <v>-425.257</v>
      </c>
      <c r="R5" s="12">
        <f>IF(COUNT(N5:Q5)=4,SUM(N5:Q5),"")</f>
        <v>-1550.208</v>
      </c>
      <c r="S5" s="11">
        <f>IF(S$3=0,"",SUMIFS(INDEX(Inputs!$D$4:$AG$200,0,MATCH(S$2,Inputs!$D$2:$AG$2,0)),Inputs!$B$4:$B$200,$B5)/1000)</f>
        <v>-428.84</v>
      </c>
      <c r="T5" s="11">
        <f>IF(T$3=0,"",SUMIFS(INDEX(Inputs!$D$4:$AG$200,0,MATCH(T$2,Inputs!$D$2:$AG$2,0)),Inputs!$B$4:$B$200,$B5)/1000)</f>
        <v>-541.592</v>
      </c>
      <c r="U5" s="11">
        <f>IF(U$3=0,"",SUMIFS(INDEX(Inputs!$D$4:$AG$200,0,MATCH(U$2,Inputs!$D$2:$AG$2,0)),Inputs!$B$4:$B$200,$B5)/1000)</f>
        <v>-577.881</v>
      </c>
      <c r="V5" s="11">
        <f>IF(V$3=0,"",SUMIFS(INDEX(Inputs!$D$4:$AG$200,0,MATCH(V$2,Inputs!$D$2:$AG$2,0)),Inputs!$B$4:$B$200,$B5)/1000)</f>
        <v>-581.814</v>
      </c>
      <c r="W5" s="12">
        <f>IF(COUNT(S5:V5)=4,SUM(S5:V5),"")</f>
        <v>-2130.127</v>
      </c>
      <c r="X5" s="11">
        <f>IF(X$3=0,"",SUMIFS(INDEX(Inputs!$D$4:$AG$200,0,MATCH(X$2,Inputs!$D$2:$AG$2,0)),Inputs!$B$4:$B$200,$B5)/1000)</f>
        <v>-548.851</v>
      </c>
      <c r="Y5" s="11">
        <f>IF(Y$3=0,"",SUMIFS(INDEX(Inputs!$D$4:$AG$200,0,MATCH(Y$2,Inputs!$D$2:$AG$2,0)),Inputs!$B$4:$B$200,$B5)/1000)</f>
        <v>-650.982</v>
      </c>
      <c r="Z5" s="11">
        <f>IF(Z$3=0,"",SUMIFS(INDEX(Inputs!$D$4:$AG$200,0,MATCH(Z$2,Inputs!$D$2:$AG$2,0)),Inputs!$B$4:$B$200,$B5)/1000)</f>
        <v>-694.023</v>
      </c>
      <c r="AA5" s="11">
        <f>IF(AA$3=0,"",SUMIFS(INDEX(Inputs!$D$4:$AG$200,0,MATCH(AA$2,Inputs!$D$2:$AG$2,0)),Inputs!$B$4:$B$200,$B5)/1000)</f>
        <v>-726.736</v>
      </c>
      <c r="AB5" s="12">
        <f>IF(COUNT(X5:AA5)=4,SUM(X5:AA5),"")</f>
        <v>-2620.592</v>
      </c>
      <c r="AC5" s="11">
        <f>IF(AC$3=0,"",SUMIFS(INDEX(Inputs!$D$4:$AG$200,0,MATCH(AC$2,Inputs!$D$2:$AG$2,0)),Inputs!$B$4:$B$200,$B5)/1000)</f>
        <v>-691.115</v>
      </c>
      <c r="AD5" s="11">
        <f>IF(AD$3=0,"",SUMIFS(INDEX(Inputs!$D$4:$AG$200,0,MATCH(AD$2,Inputs!$D$2:$AG$2,0)),Inputs!$B$4:$B$200,$B5)/1000)</f>
        <v>-767.704</v>
      </c>
      <c r="AE5" s="11" t="str">
        <f>IF(AE$3=0,"",SUMIFS(INDEX(Inputs!$D$4:$AG$200,0,MATCH(AE$2,Inputs!$D$2:$AG$2,0)),Inputs!$B$4:$B$200,$B5)/1000)</f>
        <v/>
      </c>
      <c r="AF5" s="11" t="str">
        <f>IF(AF$3=0,"",SUMIFS(INDEX(Inputs!$D$4:$AG$200,0,MATCH(AF$2,Inputs!$D$2:$AG$2,0)),Inputs!$B$4:$B$200,$B5)/1000)</f>
        <v/>
      </c>
      <c r="AG5" s="12" t="str">
        <f>IF(COUNT(AC5:AF5)=4,SUM(AC5:AF5),"")</f>
        <v/>
      </c>
    </row>
    <row r="6">
      <c r="B6" s="9" t="n">
        <v>3</v>
      </c>
      <c r="C6" s="13" t="inlineStr">
        <is>
          <t>SG&amp;A and Other (cash)</t>
        </is>
      </c>
      <c r="D6" s="11">
        <f>IF(D$3=0,"",SUMIFS(INDEX(Inputs!$D$4:$AG$200,0,MATCH(D$2,Inputs!$D$2:$AG$2,0)),Inputs!$B$4:$B$200,$B6)/1000)</f>
        <v>-73.8556117</v>
      </c>
      <c r="E6" s="11">
        <f>IF(E$3=0,"",SUMIFS(INDEX(Inputs!$D$4:$AG$200,0,MATCH(E$2,Inputs!$D$2:$AG$2,0)),Inputs!$B$4:$B$200,$B6)/1000)</f>
        <v>-72.81529767</v>
      </c>
      <c r="F6" s="11">
        <f>IF(F$3=0,"",SUMIFS(INDEX(Inputs!$D$4:$AG$200,0,MATCH(F$2,Inputs!$D$2:$AG$2,0)),Inputs!$B$4:$B$200,$B6)/1000)</f>
        <v>-68.43229067</v>
      </c>
      <c r="G6" s="11">
        <f>IF(G$3=0,"",SUMIFS(INDEX(Inputs!$D$4:$AG$200,0,MATCH(G$2,Inputs!$D$2:$AG$2,0)),Inputs!$B$4:$B$200,$B6)/1000)</f>
        <v>-75.40960361</v>
      </c>
      <c r="H6" s="12">
        <f>IF(COUNT(D6:G6)=4,SUM(D6:G6),"")</f>
        <v>-290.51280365</v>
      </c>
      <c r="I6" s="11">
        <f>IF(I$3=0,"",SUMIFS(INDEX(Inputs!$D$4:$AG$200,0,MATCH(I$2,Inputs!$D$2:$AG$2,0)),Inputs!$B$4:$B$200,$B6)/1000)</f>
        <v>-74.795</v>
      </c>
      <c r="J6" s="11">
        <f>IF(J$3=0,"",SUMIFS(INDEX(Inputs!$D$4:$AG$200,0,MATCH(J$2,Inputs!$D$2:$AG$2,0)),Inputs!$B$4:$B$200,$B6)/1000)</f>
        <v>-93.783</v>
      </c>
      <c r="K6" s="11">
        <f>IF(K$3=0,"",SUMIFS(INDEX(Inputs!$D$4:$AG$200,0,MATCH(K$2,Inputs!$D$2:$AG$2,0)),Inputs!$B$4:$B$200,$B6)/1000)</f>
        <v>-101.561</v>
      </c>
      <c r="L6" s="11">
        <f>IF(L$3=0,"",SUMIFS(INDEX(Inputs!$D$4:$AG$200,0,MATCH(L$2,Inputs!$D$2:$AG$2,0)),Inputs!$B$4:$B$200,$B6)/1000)</f>
        <v>-56.505</v>
      </c>
      <c r="M6" s="12">
        <f>IF(COUNT(I6:L6)=4,SUM(I6:L6),"")</f>
        <v>-326.644</v>
      </c>
      <c r="N6" s="11">
        <f>IF(N$3=0,"",SUMIFS(INDEX(Inputs!$D$4:$AG$200,0,MATCH(N$2,Inputs!$D$2:$AG$2,0)),Inputs!$B$4:$B$200,$B6)/1000)</f>
        <v>-88.152</v>
      </c>
      <c r="O6" s="11">
        <f>IF(O$3=0,"",SUMIFS(INDEX(Inputs!$D$4:$AG$200,0,MATCH(O$2,Inputs!$D$2:$AG$2,0)),Inputs!$B$4:$B$200,$B6)/1000)</f>
        <v>-70.503</v>
      </c>
      <c r="P6" s="11">
        <f>IF(P$3=0,"",SUMIFS(INDEX(Inputs!$D$4:$AG$200,0,MATCH(P$2,Inputs!$D$2:$AG$2,0)),Inputs!$B$4:$B$200,$B6)/1000)</f>
        <v>-86.30623197</v>
      </c>
      <c r="Q6" s="11">
        <f>IF(Q$3=0,"",SUMIFS(INDEX(Inputs!$D$4:$AG$200,0,MATCH(Q$2,Inputs!$D$2:$AG$2,0)),Inputs!$B$4:$B$200,$B6)/1000)</f>
        <v>-130.424</v>
      </c>
      <c r="R6" s="12">
        <f>IF(COUNT(N6:Q6)=4,SUM(N6:Q6),"")</f>
        <v>-375.38523197</v>
      </c>
      <c r="S6" s="11">
        <f>IF(S$3=0,"",SUMIFS(INDEX(Inputs!$D$4:$AG$200,0,MATCH(S$2,Inputs!$D$2:$AG$2,0)),Inputs!$B$4:$B$200,$B6)/1000)</f>
        <v>-92.69391528</v>
      </c>
      <c r="T6" s="11">
        <f>IF(T$3=0,"",SUMIFS(INDEX(Inputs!$D$4:$AG$200,0,MATCH(T$2,Inputs!$D$2:$AG$2,0)),Inputs!$B$4:$B$200,$B6)/1000)</f>
        <v>-122.115</v>
      </c>
      <c r="U6" s="11">
        <f>IF(U$3=0,"",SUMIFS(INDEX(Inputs!$D$4:$AG$200,0,MATCH(U$2,Inputs!$D$2:$AG$2,0)),Inputs!$B$4:$B$200,$B6)/1000)</f>
        <v>-147.941</v>
      </c>
      <c r="V6" s="11">
        <f>IF(V$3=0,"",SUMIFS(INDEX(Inputs!$D$4:$AG$200,0,MATCH(V$2,Inputs!$D$2:$AG$2,0)),Inputs!$B$4:$B$200,$B6)/1000)</f>
        <v>-117.074</v>
      </c>
      <c r="W6" s="12">
        <f>IF(COUNT(S6:V6)=4,SUM(S6:V6),"")</f>
        <v>-479.82391528</v>
      </c>
      <c r="X6" s="11">
        <f>IF(X$3=0,"",SUMIFS(INDEX(Inputs!$D$4:$AG$200,0,MATCH(X$2,Inputs!$D$2:$AG$2,0)),Inputs!$B$4:$B$200,$B6)/1000)</f>
        <v>-143.179</v>
      </c>
      <c r="Y6" s="11">
        <f>IF(Y$3=0,"",SUMIFS(INDEX(Inputs!$D$4:$AG$200,0,MATCH(Y$2,Inputs!$D$2:$AG$2,0)),Inputs!$B$4:$B$200,$B6)/1000)</f>
        <v>-184.399</v>
      </c>
      <c r="Z6" s="11">
        <f>IF(Z$3=0,"",SUMIFS(INDEX(Inputs!$D$4:$AG$200,0,MATCH(Z$2,Inputs!$D$2:$AG$2,0)),Inputs!$B$4:$B$200,$B6)/1000)</f>
        <v>-176.591</v>
      </c>
      <c r="AA6" s="11">
        <f>IF(AA$3=0,"",SUMIFS(INDEX(Inputs!$D$4:$AG$200,0,MATCH(AA$2,Inputs!$D$2:$AG$2,0)),Inputs!$B$4:$B$200,$B6)/1000)</f>
        <v>-197.001</v>
      </c>
      <c r="AB6" s="12">
        <f>IF(COUNT(X6:AA6)=4,SUM(X6:AA6),"")</f>
        <v>-701.17</v>
      </c>
      <c r="AC6" s="11">
        <f>IF(AC$3=0,"",SUMIFS(INDEX(Inputs!$D$4:$AG$200,0,MATCH(AC$2,Inputs!$D$2:$AG$2,0)),Inputs!$B$4:$B$200,$B6)/1000)</f>
        <v>-171.161</v>
      </c>
      <c r="AD6" s="11">
        <f>IF(AD$3=0,"",SUMIFS(INDEX(Inputs!$D$4:$AG$200,0,MATCH(AD$2,Inputs!$D$2:$AG$2,0)),Inputs!$B$4:$B$200,$B6)/1000)</f>
        <v>-217.922</v>
      </c>
      <c r="AE6" s="11" t="str">
        <f>IF(AE$3=0,"",SUMIFS(INDEX(Inputs!$D$4:$AG$200,0,MATCH(AE$2,Inputs!$D$2:$AG$2,0)),Inputs!$B$4:$B$200,$B6)/1000)</f>
        <v/>
      </c>
      <c r="AF6" s="11" t="str">
        <f>IF(AF$3=0,"",SUMIFS(INDEX(Inputs!$D$4:$AG$200,0,MATCH(AF$2,Inputs!$D$2:$AG$2,0)),Inputs!$B$4:$B$200,$B6)/1000)</f>
        <v/>
      </c>
      <c r="AG6" s="12" t="str">
        <f>IF(COUNT(AC6:AF6)=4,SUM(AC6:AF6),"")</f>
        <v/>
      </c>
    </row>
    <row r="7">
      <c r="B7" s="9" t="n">
        <v>4</v>
      </c>
      <c r="C7" s="13" t="inlineStr">
        <is>
          <t>D&amp;A</t>
        </is>
      </c>
      <c r="D7" s="11">
        <f>IF(D$3=0,"",SUMIFS(INDEX(Inputs!$D$4:$AG$200,0,MATCH(D$2,Inputs!$D$2:$AG$2,0)),Inputs!$B$4:$B$200,$B7)/1000)</f>
        <v>-12.168</v>
      </c>
      <c r="E7" s="11">
        <f>IF(E$3=0,"",SUMIFS(INDEX(Inputs!$D$4:$AG$200,0,MATCH(E$2,Inputs!$D$2:$AG$2,0)),Inputs!$B$4:$B$200,$B7)/1000)</f>
        <v>-12.452</v>
      </c>
      <c r="F7" s="11">
        <f>IF(F$3=0,"",SUMIFS(INDEX(Inputs!$D$4:$AG$200,0,MATCH(F$2,Inputs!$D$2:$AG$2,0)),Inputs!$B$4:$B$200,$B7)/1000)</f>
        <v>-13.005</v>
      </c>
      <c r="G7" s="11">
        <f>IF(G$3=0,"",SUMIFS(INDEX(Inputs!$D$4:$AG$200,0,MATCH(G$2,Inputs!$D$2:$AG$2,0)),Inputs!$B$4:$B$200,$B7)/1000)</f>
        <v>-13.662</v>
      </c>
      <c r="H7" s="12">
        <f>IF(COUNT(D7:G7)=4,SUM(D7:G7),"")</f>
        <v>-51.287</v>
      </c>
      <c r="I7" s="11">
        <f>IF(I$3=0,"",SUMIFS(INDEX(Inputs!$D$4:$AG$200,0,MATCH(I$2,Inputs!$D$2:$AG$2,0)),Inputs!$B$4:$B$200,$B7)/1000)</f>
        <v>-14.185</v>
      </c>
      <c r="J7" s="11">
        <f>IF(J$3=0,"",SUMIFS(INDEX(Inputs!$D$4:$AG$200,0,MATCH(J$2,Inputs!$D$2:$AG$2,0)),Inputs!$B$4:$B$200,$B7)/1000)</f>
        <v>-13.643</v>
      </c>
      <c r="K7" s="11">
        <f>IF(K$3=0,"",SUMIFS(INDEX(Inputs!$D$4:$AG$200,0,MATCH(K$2,Inputs!$D$2:$AG$2,0)),Inputs!$B$4:$B$200,$B7)/1000)</f>
        <v>-12.829</v>
      </c>
      <c r="L7" s="11">
        <f>IF(L$3=0,"",SUMIFS(INDEX(Inputs!$D$4:$AG$200,0,MATCH(L$2,Inputs!$D$2:$AG$2,0)),Inputs!$B$4:$B$200,$B7)/1000)</f>
        <v>-12.768</v>
      </c>
      <c r="M7" s="12">
        <f>IF(COUNT(I7:L7)=4,SUM(I7:L7),"")</f>
        <v>-53.425</v>
      </c>
      <c r="N7" s="11">
        <f>IF(N$3=0,"",SUMIFS(INDEX(Inputs!$D$4:$AG$200,0,MATCH(N$2,Inputs!$D$2:$AG$2,0)),Inputs!$B$4:$B$200,$B7)/1000)</f>
        <v>-13.548</v>
      </c>
      <c r="O7" s="11">
        <f>IF(O$3=0,"",SUMIFS(INDEX(Inputs!$D$4:$AG$200,0,MATCH(O$2,Inputs!$D$2:$AG$2,0)),Inputs!$B$4:$B$200,$B7)/1000)</f>
        <v>-17.123</v>
      </c>
      <c r="P7" s="11">
        <f>IF(P$3=0,"",SUMIFS(INDEX(Inputs!$D$4:$AG$200,0,MATCH(P$2,Inputs!$D$2:$AG$2,0)),Inputs!$B$4:$B$200,$B7)/1000)</f>
        <v>-16.581</v>
      </c>
      <c r="Q7" s="11">
        <f>IF(Q$3=0,"",SUMIFS(INDEX(Inputs!$D$4:$AG$200,0,MATCH(Q$2,Inputs!$D$2:$AG$2,0)),Inputs!$B$4:$B$200,$B7)/1000)</f>
        <v>-13.303</v>
      </c>
      <c r="R7" s="12">
        <f>IF(COUNT(N7:Q7)=4,SUM(N7:Q7),"")</f>
        <v>-60.555</v>
      </c>
      <c r="S7" s="11">
        <f>IF(S$3=0,"",SUMIFS(INDEX(Inputs!$D$4:$AG$200,0,MATCH(S$2,Inputs!$D$2:$AG$2,0)),Inputs!$B$4:$B$200,$B7)/1000)</f>
        <v>-16.148</v>
      </c>
      <c r="T7" s="11">
        <f>IF(T$3=0,"",SUMIFS(INDEX(Inputs!$D$4:$AG$200,0,MATCH(T$2,Inputs!$D$2:$AG$2,0)),Inputs!$B$4:$B$200,$B7)/1000)</f>
        <v>-18.629</v>
      </c>
      <c r="U7" s="11">
        <f>IF(U$3=0,"",SUMIFS(INDEX(Inputs!$D$4:$AG$200,0,MATCH(U$2,Inputs!$D$2:$AG$2,0)),Inputs!$B$4:$B$200,$B7)/1000)</f>
        <v>-16.259</v>
      </c>
      <c r="V7" s="11">
        <f>IF(V$3=0,"",SUMIFS(INDEX(Inputs!$D$4:$AG$200,0,MATCH(V$2,Inputs!$D$2:$AG$2,0)),Inputs!$B$4:$B$200,$B7)/1000)</f>
        <v>-19.031</v>
      </c>
      <c r="W7" s="12">
        <f>IF(COUNT(S7:V7)=4,SUM(S7:V7),"")</f>
        <v>-70.067</v>
      </c>
      <c r="X7" s="11">
        <f>IF(X$3=0,"",SUMIFS(INDEX(Inputs!$D$4:$AG$200,0,MATCH(X$2,Inputs!$D$2:$AG$2,0)),Inputs!$B$4:$B$200,$B7)/1000)</f>
        <v>-18.02</v>
      </c>
      <c r="Y7" s="11">
        <f>IF(Y$3=0,"",SUMIFS(INDEX(Inputs!$D$4:$AG$200,0,MATCH(Y$2,Inputs!$D$2:$AG$2,0)),Inputs!$B$4:$B$200,$B7)/1000)</f>
        <v>-19.728</v>
      </c>
      <c r="Z7" s="11">
        <f>IF(Z$3=0,"",SUMIFS(INDEX(Inputs!$D$4:$AG$200,0,MATCH(Z$2,Inputs!$D$2:$AG$2,0)),Inputs!$B$4:$B$200,$B7)/1000)</f>
        <v>-20.304</v>
      </c>
      <c r="AA7" s="11">
        <f>IF(AA$3=0,"",SUMIFS(INDEX(Inputs!$D$4:$AG$200,0,MATCH(AA$2,Inputs!$D$2:$AG$2,0)),Inputs!$B$4:$B$200,$B7)/1000)</f>
        <v>-22.691</v>
      </c>
      <c r="AB7" s="12">
        <f>IF(COUNT(X7:AA7)=4,SUM(X7:AA7),"")</f>
        <v>-80.743</v>
      </c>
      <c r="AC7" s="11">
        <f>IF(AC$3=0,"",SUMIFS(INDEX(Inputs!$D$4:$AG$200,0,MATCH(AC$2,Inputs!$D$2:$AG$2,0)),Inputs!$B$4:$B$200,$B7)/1000)</f>
        <v>-22.549</v>
      </c>
      <c r="AD7" s="11">
        <f>IF(AD$3=0,"",SUMIFS(INDEX(Inputs!$D$4:$AG$200,0,MATCH(AD$2,Inputs!$D$2:$AG$2,0)),Inputs!$B$4:$B$200,$B7)/1000)</f>
        <v>-23.439</v>
      </c>
      <c r="AE7" s="11" t="str">
        <f>IF(AE$3=0,"",SUMIFS(INDEX(Inputs!$D$4:$AG$200,0,MATCH(AE$2,Inputs!$D$2:$AG$2,0)),Inputs!$B$4:$B$200,$B7)/1000)</f>
        <v/>
      </c>
      <c r="AF7" s="11" t="str">
        <f>IF(AF$3=0,"",SUMIFS(INDEX(Inputs!$D$4:$AG$200,0,MATCH(AF$2,Inputs!$D$2:$AG$2,0)),Inputs!$B$4:$B$200,$B7)/1000)</f>
        <v/>
      </c>
      <c r="AG7" s="12" t="str">
        <f>IF(COUNT(AC7:AF7)=4,SUM(AC7:AF7),"")</f>
        <v/>
      </c>
    </row>
    <row r="8">
      <c r="B8" s="9" t="n">
        <v>5</v>
      </c>
      <c r="C8" s="14" t="inlineStr">
        <is>
          <t>Interest Expense</t>
        </is>
      </c>
      <c r="D8" s="11">
        <f>IF(D$3=0,"",SUMIFS(INDEX(Inputs!$D$4:$AG$200,0,MATCH(D$2,Inputs!$D$2:$AG$2,0)),Inputs!$B$4:$B$200,$B8)/1000)</f>
        <v>-28.65408838</v>
      </c>
      <c r="E8" s="11">
        <f>IF(E$3=0,"",SUMIFS(INDEX(Inputs!$D$4:$AG$200,0,MATCH(E$2,Inputs!$D$2:$AG$2,0)),Inputs!$B$4:$B$200,$B8)/1000)</f>
        <v>-26.86208838</v>
      </c>
      <c r="F8" s="11">
        <f>IF(F$3=0,"",SUMIFS(INDEX(Inputs!$D$4:$AG$200,0,MATCH(F$2,Inputs!$D$2:$AG$2,0)),Inputs!$B$4:$B$200,$B8)/1000)</f>
        <v>-39.94408838</v>
      </c>
      <c r="G8" s="11">
        <f>IF(G$3=0,"",SUMIFS(INDEX(Inputs!$D$4:$AG$200,0,MATCH(G$2,Inputs!$D$2:$AG$2,0)),Inputs!$B$4:$B$200,$B8)/1000)</f>
        <v>-61.886734859</v>
      </c>
      <c r="H8" s="12">
        <f>IF(COUNT(D8:G8)=4,SUM(D8:G8),"")</f>
        <v>-157.346999999</v>
      </c>
      <c r="I8" s="11">
        <f>IF(I$3=0,"",SUMIFS(INDEX(Inputs!$D$4:$AG$200,0,MATCH(I$2,Inputs!$D$2:$AG$2,0)),Inputs!$B$4:$B$200,$B8)/1000)</f>
        <v>-60.801</v>
      </c>
      <c r="J8" s="11">
        <f>IF(J$3=0,"",SUMIFS(INDEX(Inputs!$D$4:$AG$200,0,MATCH(J$2,Inputs!$D$2:$AG$2,0)),Inputs!$B$4:$B$200,$B8)/1000)</f>
        <v>-65.049</v>
      </c>
      <c r="K8" s="11">
        <f>IF(K$3=0,"",SUMIFS(INDEX(Inputs!$D$4:$AG$200,0,MATCH(K$2,Inputs!$D$2:$AG$2,0)),Inputs!$B$4:$B$200,$B8)/1000)</f>
        <v>-68.711</v>
      </c>
      <c r="L8" s="11">
        <f>IF(L$3=0,"",SUMIFS(INDEX(Inputs!$D$4:$AG$200,0,MATCH(L$2,Inputs!$D$2:$AG$2,0)),Inputs!$B$4:$B$200,$B8)/1000)</f>
        <v>-74.805</v>
      </c>
      <c r="M8" s="12">
        <f>IF(COUNT(I8:L8)=4,SUM(I8:L8),"")</f>
        <v>-269.366</v>
      </c>
      <c r="N8" s="11">
        <f>IF(N$3=0,"",SUMIFS(INDEX(Inputs!$D$4:$AG$200,0,MATCH(N$2,Inputs!$D$2:$AG$2,0)),Inputs!$B$4:$B$200,$B8)/1000)</f>
        <v>-69.26</v>
      </c>
      <c r="O8" s="11">
        <f>IF(O$3=0,"",SUMIFS(INDEX(Inputs!$D$4:$AG$200,0,MATCH(O$2,Inputs!$D$2:$AG$2,0)),Inputs!$B$4:$B$200,$B8)/1000)</f>
        <v>-69.299</v>
      </c>
      <c r="P8" s="11">
        <f>IF(P$3=0,"",SUMIFS(INDEX(Inputs!$D$4:$AG$200,0,MATCH(P$2,Inputs!$D$2:$AG$2,0)),Inputs!$B$4:$B$200,$B8)/1000)</f>
        <v>-75.55089145</v>
      </c>
      <c r="Q8" s="11">
        <f>IF(Q$3=0,"",SUMIFS(INDEX(Inputs!$D$4:$AG$200,0,MATCH(Q$2,Inputs!$D$2:$AG$2,0)),Inputs!$B$4:$B$200,$B8)/1000)</f>
        <v>-73.935</v>
      </c>
      <c r="R8" s="12">
        <f>IF(COUNT(N8:Q8)=4,SUM(N8:Q8),"")</f>
        <v>-288.04489145</v>
      </c>
      <c r="S8" s="11">
        <f>IF(S$3=0,"",SUMIFS(INDEX(Inputs!$D$4:$AG$200,0,MATCH(S$2,Inputs!$D$2:$AG$2,0)),Inputs!$B$4:$B$200,$B8)/1000)</f>
        <v>-40.24869382</v>
      </c>
      <c r="T8" s="11">
        <f>IF(T$3=0,"",SUMIFS(INDEX(Inputs!$D$4:$AG$200,0,MATCH(T$2,Inputs!$D$2:$AG$2,0)),Inputs!$B$4:$B$200,$B8)/1000)</f>
        <v>-65.707</v>
      </c>
      <c r="U8" s="11">
        <f>IF(U$3=0,"",SUMIFS(INDEX(Inputs!$D$4:$AG$200,0,MATCH(U$2,Inputs!$D$2:$AG$2,0)),Inputs!$B$4:$B$200,$B8)/1000)</f>
        <v>-59.33</v>
      </c>
      <c r="V8" s="11">
        <f>IF(V$3=0,"",SUMIFS(INDEX(Inputs!$D$4:$AG$200,0,MATCH(V$2,Inputs!$D$2:$AG$2,0)),Inputs!$B$4:$B$200,$B8)/1000)</f>
        <v>-91.503</v>
      </c>
      <c r="W8" s="12">
        <f>IF(COUNT(S8:V8)=4,SUM(S8:V8),"")</f>
        <v>-256.78869382</v>
      </c>
      <c r="X8" s="11">
        <f>IF(X$3=0,"",SUMIFS(INDEX(Inputs!$D$4:$AG$200,0,MATCH(X$2,Inputs!$D$2:$AG$2,0)),Inputs!$B$4:$B$200,$B8)/1000)</f>
        <v>-61.29</v>
      </c>
      <c r="Y8" s="11">
        <f>IF(Y$3=0,"",SUMIFS(INDEX(Inputs!$D$4:$AG$200,0,MATCH(Y$2,Inputs!$D$2:$AG$2,0)),Inputs!$B$4:$B$200,$B8)/1000)</f>
        <v>-79.992</v>
      </c>
      <c r="Z8" s="11">
        <f>IF(Z$3=0,"",SUMIFS(INDEX(Inputs!$D$4:$AG$200,0,MATCH(Z$2,Inputs!$D$2:$AG$2,0)),Inputs!$B$4:$B$200,$B8)/1000)</f>
        <v>-92.014</v>
      </c>
      <c r="AA8" s="11">
        <f>IF(AA$3=0,"",SUMIFS(INDEX(Inputs!$D$4:$AG$200,0,MATCH(AA$2,Inputs!$D$2:$AG$2,0)),Inputs!$B$4:$B$200,$B8)/1000)</f>
        <v>-113.765</v>
      </c>
      <c r="AB8" s="12">
        <f>IF(COUNT(X8:AA8)=4,SUM(X8:AA8),"")</f>
        <v>-347.061</v>
      </c>
      <c r="AC8" s="11">
        <f>IF(AC$3=0,"",SUMIFS(INDEX(Inputs!$D$4:$AG$200,0,MATCH(AC$2,Inputs!$D$2:$AG$2,0)),Inputs!$B$4:$B$200,$B8)/1000)</f>
        <v>-119.807</v>
      </c>
      <c r="AD8" s="11">
        <f>IF(AD$3=0,"",SUMIFS(INDEX(Inputs!$D$4:$AG$200,0,MATCH(AD$2,Inputs!$D$2:$AG$2,0)),Inputs!$B$4:$B$200,$B8)/1000)</f>
        <v>-140.037</v>
      </c>
      <c r="AE8" s="11" t="str">
        <f>IF(AE$3=0,"",SUMIFS(INDEX(Inputs!$D$4:$AG$200,0,MATCH(AE$2,Inputs!$D$2:$AG$2,0)),Inputs!$B$4:$B$200,$B8)/1000)</f>
        <v/>
      </c>
      <c r="AF8" s="11" t="str">
        <f>IF(AF$3=0,"",SUMIFS(INDEX(Inputs!$D$4:$AG$200,0,MATCH(AF$2,Inputs!$D$2:$AG$2,0)),Inputs!$B$4:$B$200,$B8)/1000)</f>
        <v/>
      </c>
      <c r="AG8" s="12" t="str">
        <f>IF(COUNT(AC8:AF8)=4,SUM(AC8:AF8),"")</f>
        <v/>
      </c>
    </row>
    <row r="9">
      <c r="B9" s="9" t="n">
        <v>6</v>
      </c>
      <c r="C9" s="14" t="inlineStr">
        <is>
          <t>Nonoperating Income / (Loss)</t>
        </is>
      </c>
      <c r="D9" s="11">
        <f>IF(D$3=0,"",SUMIFS(INDEX(Inputs!$D$4:$AG$200,0,MATCH(D$2,Inputs!$D$2:$AG$2,0)),Inputs!$B$4:$B$200,$B9)/1000)</f>
        <v>8.82893529</v>
      </c>
      <c r="E9" s="11">
        <f>IF(E$3=0,"",SUMIFS(INDEX(Inputs!$D$4:$AG$200,0,MATCH(E$2,Inputs!$D$2:$AG$2,0)),Inputs!$B$4:$B$200,$B9)/1000)</f>
        <v>12.89579837</v>
      </c>
      <c r="F9" s="11">
        <f>IF(F$3=0,"",SUMIFS(INDEX(Inputs!$D$4:$AG$200,0,MATCH(F$2,Inputs!$D$2:$AG$2,0)),Inputs!$B$4:$B$200,$B9)/1000)</f>
        <v>20.72472756</v>
      </c>
      <c r="G9" s="11">
        <f>IF(G$3=0,"",SUMIFS(INDEX(Inputs!$D$4:$AG$200,0,MATCH(G$2,Inputs!$D$2:$AG$2,0)),Inputs!$B$4:$B$200,$B9)/1000)</f>
        <v>38.18227011</v>
      </c>
      <c r="H9" s="12">
        <f>IF(COUNT(D9:G9)=4,SUM(D9:G9),"")</f>
        <v>80.63173133</v>
      </c>
      <c r="I9" s="11">
        <f>IF(I$3=0,"",SUMIFS(INDEX(Inputs!$D$4:$AG$200,0,MATCH(I$2,Inputs!$D$2:$AG$2,0)),Inputs!$B$4:$B$200,$B9)/1000)</f>
        <v>36.308</v>
      </c>
      <c r="J9" s="11">
        <f>IF(J$3=0,"",SUMIFS(INDEX(Inputs!$D$4:$AG$200,0,MATCH(J$2,Inputs!$D$2:$AG$2,0)),Inputs!$B$4:$B$200,$B9)/1000)</f>
        <v>34.226</v>
      </c>
      <c r="K9" s="11">
        <f>IF(K$3=0,"",SUMIFS(INDEX(Inputs!$D$4:$AG$200,0,MATCH(K$2,Inputs!$D$2:$AG$2,0)),Inputs!$B$4:$B$200,$B9)/1000)</f>
        <v>70.823</v>
      </c>
      <c r="L9" s="11">
        <f>IF(L$3=0,"",SUMIFS(INDEX(Inputs!$D$4:$AG$200,0,MATCH(L$2,Inputs!$D$2:$AG$2,0)),Inputs!$B$4:$B$200,$B9)/1000)</f>
        <v>54.132</v>
      </c>
      <c r="M9" s="12">
        <f>IF(COUNT(I9:L9)=4,SUM(I9:L9),"")</f>
        <v>195.489</v>
      </c>
      <c r="N9" s="11">
        <f>IF(N$3=0,"",SUMIFS(INDEX(Inputs!$D$4:$AG$200,0,MATCH(N$2,Inputs!$D$2:$AG$2,0)),Inputs!$B$4:$B$200,$B9)/1000)</f>
        <v>49.962</v>
      </c>
      <c r="O9" s="11">
        <f>IF(O$3=0,"",SUMIFS(INDEX(Inputs!$D$4:$AG$200,0,MATCH(O$2,Inputs!$D$2:$AG$2,0)),Inputs!$B$4:$B$200,$B9)/1000)</f>
        <v>68.147</v>
      </c>
      <c r="P9" s="11">
        <f>IF(P$3=0,"",SUMIFS(INDEX(Inputs!$D$4:$AG$200,0,MATCH(P$2,Inputs!$D$2:$AG$2,0)),Inputs!$B$4:$B$200,$B9)/1000)</f>
        <v>63.36725602</v>
      </c>
      <c r="Q9" s="11">
        <f>IF(Q$3=0,"",SUMIFS(INDEX(Inputs!$D$4:$AG$200,0,MATCH(Q$2,Inputs!$D$2:$AG$2,0)),Inputs!$B$4:$B$200,$B9)/1000)</f>
        <v>120.692</v>
      </c>
      <c r="R9" s="12">
        <f>IF(COUNT(N9:Q9)=4,SUM(N9:Q9),"")</f>
        <v>302.16825602</v>
      </c>
      <c r="S9" s="11">
        <f>IF(S$3=0,"",SUMIFS(INDEX(Inputs!$D$4:$AG$200,0,MATCH(S$2,Inputs!$D$2:$AG$2,0)),Inputs!$B$4:$B$200,$B9)/1000)</f>
        <v>63.4568531</v>
      </c>
      <c r="T9" s="11">
        <f>IF(T$3=0,"",SUMIFS(INDEX(Inputs!$D$4:$AG$200,0,MATCH(T$2,Inputs!$D$2:$AG$2,0)),Inputs!$B$4:$B$200,$B9)/1000)</f>
        <v>69.213</v>
      </c>
      <c r="U9" s="11">
        <f>IF(U$3=0,"",SUMIFS(INDEX(Inputs!$D$4:$AG$200,0,MATCH(U$2,Inputs!$D$2:$AG$2,0)),Inputs!$B$4:$B$200,$B9)/1000)</f>
        <v>76.76407807</v>
      </c>
      <c r="V9" s="11">
        <f>IF(V$3=0,"",SUMIFS(INDEX(Inputs!$D$4:$AG$200,0,MATCH(V$2,Inputs!$D$2:$AG$2,0)),Inputs!$B$4:$B$200,$B9)/1000)</f>
        <v>84.674</v>
      </c>
      <c r="W9" s="12">
        <f>IF(COUNT(S9:V9)=4,SUM(S9:V9),"")</f>
        <v>294.10793117</v>
      </c>
      <c r="X9" s="11">
        <f>IF(X$3=0,"",SUMIFS(INDEX(Inputs!$D$4:$AG$200,0,MATCH(X$2,Inputs!$D$2:$AG$2,0)),Inputs!$B$4:$B$200,$B9)/1000)</f>
        <v>77.401</v>
      </c>
      <c r="Y9" s="11">
        <f>IF(Y$3=0,"",SUMIFS(INDEX(Inputs!$D$4:$AG$200,0,MATCH(Y$2,Inputs!$D$2:$AG$2,0)),Inputs!$B$4:$B$200,$B9)/1000)</f>
        <v>98.161</v>
      </c>
      <c r="Z9" s="11">
        <f>IF(Z$3=0,"",SUMIFS(INDEX(Inputs!$D$4:$AG$200,0,MATCH(Z$2,Inputs!$D$2:$AG$2,0)),Inputs!$B$4:$B$200,$B9)/1000)</f>
        <v>119.31</v>
      </c>
      <c r="AA9" s="11">
        <f>IF(AA$3=0,"",SUMIFS(INDEX(Inputs!$D$4:$AG$200,0,MATCH(AA$2,Inputs!$D$2:$AG$2,0)),Inputs!$B$4:$B$200,$B9)/1000)</f>
        <v>127.549</v>
      </c>
      <c r="AB9" s="12">
        <f>IF(COUNT(X9:AA9)=4,SUM(X9:AA9),"")</f>
        <v>422.421</v>
      </c>
      <c r="AC9" s="11">
        <f>IF(AC$3=0,"",SUMIFS(INDEX(Inputs!$D$4:$AG$200,0,MATCH(AC$2,Inputs!$D$2:$AG$2,0)),Inputs!$B$4:$B$200,$B9)/1000)</f>
        <v>119.179</v>
      </c>
      <c r="AD9" s="11">
        <f>IF(AD$3=0,"",SUMIFS(INDEX(Inputs!$D$4:$AG$200,0,MATCH(AD$2,Inputs!$D$2:$AG$2,0)),Inputs!$B$4:$B$200,$B9)/1000)</f>
        <v>133.834</v>
      </c>
      <c r="AE9" s="11" t="str">
        <f>IF(AE$3=0,"",SUMIFS(INDEX(Inputs!$D$4:$AG$200,0,MATCH(AE$2,Inputs!$D$2:$AG$2,0)),Inputs!$B$4:$B$200,$B9)/1000)</f>
        <v/>
      </c>
      <c r="AF9" s="11" t="str">
        <f>IF(AF$3=0,"",SUMIFS(INDEX(Inputs!$D$4:$AG$200,0,MATCH(AF$2,Inputs!$D$2:$AG$2,0)),Inputs!$B$4:$B$200,$B9)/1000)</f>
        <v/>
      </c>
      <c r="AG9" s="12" t="str">
        <f>IF(COUNT(AC9:AF9)=4,SUM(AC9:AF9),"")</f>
        <v/>
      </c>
    </row>
    <row r="10">
      <c r="B10" s="9" t="n">
        <v>7</v>
      </c>
      <c r="C10" s="14" t="inlineStr">
        <is>
          <t>Taxes</t>
        </is>
      </c>
      <c r="D10" s="11">
        <f>IF(D$3=0,"",SUMIFS(INDEX(Inputs!$D$4:$AG$200,0,MATCH(D$2,Inputs!$D$2:$AG$2,0)),Inputs!$B$4:$B$200,$B10)/1000)</f>
        <v>-7.95627467</v>
      </c>
      <c r="E10" s="11">
        <f>IF(E$3=0,"",SUMIFS(INDEX(Inputs!$D$4:$AG$200,0,MATCH(E$2,Inputs!$D$2:$AG$2,0)),Inputs!$B$4:$B$200,$B10)/1000)</f>
        <v>-9.44827005</v>
      </c>
      <c r="F10" s="11">
        <f>IF(F$3=0,"",SUMIFS(INDEX(Inputs!$D$4:$AG$200,0,MATCH(F$2,Inputs!$D$2:$AG$2,0)),Inputs!$B$4:$B$200,$B10)/1000)</f>
        <v>-8.25454538</v>
      </c>
      <c r="G10" s="11">
        <f>IF(G$3=0,"",SUMIFS(INDEX(Inputs!$D$4:$AG$200,0,MATCH(G$2,Inputs!$D$2:$AG$2,0)),Inputs!$B$4:$B$200,$B10)/1000)</f>
        <v>-9.90406024</v>
      </c>
      <c r="H10" s="12">
        <f>IF(COUNT(D10:G10)=4,SUM(D10:G10),"")</f>
        <v>-35.56315034</v>
      </c>
      <c r="I10" s="11">
        <f>IF(I$3=0,"",SUMIFS(INDEX(Inputs!$D$4:$AG$200,0,MATCH(I$2,Inputs!$D$2:$AG$2,0)),Inputs!$B$4:$B$200,$B10)/1000)</f>
        <v>-9.805</v>
      </c>
      <c r="J10" s="11">
        <f>IF(J$3=0,"",SUMIFS(INDEX(Inputs!$D$4:$AG$200,0,MATCH(J$2,Inputs!$D$2:$AG$2,0)),Inputs!$B$4:$B$200,$B10)/1000)</f>
        <v>-12.572</v>
      </c>
      <c r="K10" s="11">
        <f>IF(K$3=0,"",SUMIFS(INDEX(Inputs!$D$4:$AG$200,0,MATCH(K$2,Inputs!$D$2:$AG$2,0)),Inputs!$B$4:$B$200,$B10)/1000)</f>
        <v>-12.246</v>
      </c>
      <c r="L10" s="11">
        <f>IF(L$3=0,"",SUMIFS(INDEX(Inputs!$D$4:$AG$200,0,MATCH(L$2,Inputs!$D$2:$AG$2,0)),Inputs!$B$4:$B$200,$B10)/1000)</f>
        <v>-11.224</v>
      </c>
      <c r="M10" s="12">
        <f>IF(COUNT(I10:L10)=4,SUM(I10:L10),"")</f>
        <v>-45.847</v>
      </c>
      <c r="N10" s="11">
        <f>IF(N$3=0,"",SUMIFS(INDEX(Inputs!$D$4:$AG$200,0,MATCH(N$2,Inputs!$D$2:$AG$2,0)),Inputs!$B$4:$B$200,$B10)/1000)</f>
        <v>-11.335</v>
      </c>
      <c r="O10" s="11">
        <f>IF(O$3=0,"",SUMIFS(INDEX(Inputs!$D$4:$AG$200,0,MATCH(O$2,Inputs!$D$2:$AG$2,0)),Inputs!$B$4:$B$200,$B10)/1000)</f>
        <v>-13.564</v>
      </c>
      <c r="P10" s="11">
        <f>IF(P$3=0,"",SUMIFS(INDEX(Inputs!$D$4:$AG$200,0,MATCH(P$2,Inputs!$D$2:$AG$2,0)),Inputs!$B$4:$B$200,$B10)/1000)</f>
        <v>-11.09137998</v>
      </c>
      <c r="Q10" s="11">
        <f>IF(Q$3=0,"",SUMIFS(INDEX(Inputs!$D$4:$AG$200,0,MATCH(Q$2,Inputs!$D$2:$AG$2,0)),Inputs!$B$4:$B$200,$B10)/1000)</f>
        <v>-13.991</v>
      </c>
      <c r="R10" s="12">
        <f>IF(COUNT(N10:Q10)=4,SUM(N10:Q10),"")</f>
        <v>-49.98137998</v>
      </c>
      <c r="S10" s="11">
        <f>IF(S$3=0,"",SUMIFS(INDEX(Inputs!$D$4:$AG$200,0,MATCH(S$2,Inputs!$D$2:$AG$2,0)),Inputs!$B$4:$B$200,$B10)/1000)</f>
        <v>-12.42335943</v>
      </c>
      <c r="T10" s="11">
        <f>IF(T$3=0,"",SUMIFS(INDEX(Inputs!$D$4:$AG$200,0,MATCH(T$2,Inputs!$D$2:$AG$2,0)),Inputs!$B$4:$B$200,$B10)/1000)</f>
        <v>-14.901</v>
      </c>
      <c r="U10" s="11">
        <f>IF(U$3=0,"",SUMIFS(INDEX(Inputs!$D$4:$AG$200,0,MATCH(U$2,Inputs!$D$2:$AG$2,0)),Inputs!$B$4:$B$200,$B10)/1000)</f>
        <v>-19.76109439</v>
      </c>
      <c r="V10" s="11">
        <f>IF(V$3=0,"",SUMIFS(INDEX(Inputs!$D$4:$AG$200,0,MATCH(V$2,Inputs!$D$2:$AG$2,0)),Inputs!$B$4:$B$200,$B10)/1000)</f>
        <v>-17.545</v>
      </c>
      <c r="W10" s="12">
        <f>IF(COUNT(S10:V10)=4,SUM(S10:V10),"")</f>
        <v>-64.63045382</v>
      </c>
      <c r="X10" s="11">
        <f>IF(X$3=0,"",SUMIFS(INDEX(Inputs!$D$4:$AG$200,0,MATCH(X$2,Inputs!$D$2:$AG$2,0)),Inputs!$B$4:$B$200,$B10)/1000)</f>
        <v>-21.109</v>
      </c>
      <c r="Y10" s="11">
        <f>IF(Y$3=0,"",SUMIFS(INDEX(Inputs!$D$4:$AG$200,0,MATCH(Y$2,Inputs!$D$2:$AG$2,0)),Inputs!$B$4:$B$200,$B10)/1000)</f>
        <v>-22.538</v>
      </c>
      <c r="Z10" s="11">
        <f>IF(Z$3=0,"",SUMIFS(INDEX(Inputs!$D$4:$AG$200,0,MATCH(Z$2,Inputs!$D$2:$AG$2,0)),Inputs!$B$4:$B$200,$B10)/1000)</f>
        <v>-27.4</v>
      </c>
      <c r="AA10" s="11">
        <f>IF(AA$3=0,"",SUMIFS(INDEX(Inputs!$D$4:$AG$200,0,MATCH(AA$2,Inputs!$D$2:$AG$2,0)),Inputs!$B$4:$B$200,$B10)/1000)</f>
        <v>-27.756</v>
      </c>
      <c r="AB10" s="12">
        <f>IF(COUNT(X10:AA10)=4,SUM(X10:AA10),"")</f>
        <v>-98.803</v>
      </c>
      <c r="AC10" s="11">
        <f>IF(AC$3=0,"",SUMIFS(INDEX(Inputs!$D$4:$AG$200,0,MATCH(AC$2,Inputs!$D$2:$AG$2,0)),Inputs!$B$4:$B$200,$B10)/1000)</f>
        <v>-24.472</v>
      </c>
      <c r="AD10" s="11">
        <f>IF(AD$3=0,"",SUMIFS(INDEX(Inputs!$D$4:$AG$200,0,MATCH(AD$2,Inputs!$D$2:$AG$2,0)),Inputs!$B$4:$B$200,$B10)/1000)</f>
        <v>-27.13792971</v>
      </c>
      <c r="AE10" s="11" t="str">
        <f>IF(AE$3=0,"",SUMIFS(INDEX(Inputs!$D$4:$AG$200,0,MATCH(AE$2,Inputs!$D$2:$AG$2,0)),Inputs!$B$4:$B$200,$B10)/1000)</f>
        <v/>
      </c>
      <c r="AF10" s="11" t="str">
        <f>IF(AF$3=0,"",SUMIFS(INDEX(Inputs!$D$4:$AG$200,0,MATCH(AF$2,Inputs!$D$2:$AG$2,0)),Inputs!$B$4:$B$200,$B10)/1000)</f>
        <v/>
      </c>
      <c r="AG10" s="12" t="str">
        <f>IF(COUNT(AC10:AF10)=4,SUM(AC10:AF10),"")</f>
        <v/>
      </c>
    </row>
    <row r="11">
      <c r="B11" s="9" t="n">
        <v>8</v>
      </c>
      <c r="C11" s="14" t="inlineStr">
        <is>
          <t>Equity in Income of Affiliates, after tax (enter as +)</t>
        </is>
      </c>
      <c r="D11" s="11">
        <f>IF(D$3=0,"",SUMIFS(INDEX(Inputs!$D$4:$AG$200,0,MATCH(D$2,Inputs!$D$2:$AG$2,0)),Inputs!$B$4:$B$200,$B11)/1000)</f>
        <v>2.701391939</v>
      </c>
      <c r="E11" s="11">
        <f>IF(E$3=0,"",SUMIFS(INDEX(Inputs!$D$4:$AG$200,0,MATCH(E$2,Inputs!$D$2:$AG$2,0)),Inputs!$B$4:$B$200,$B11)/1000)</f>
        <v>2.536545302</v>
      </c>
      <c r="F11" s="11">
        <f>IF(F$3=0,"",SUMIFS(INDEX(Inputs!$D$4:$AG$200,0,MATCH(F$2,Inputs!$D$2:$AG$2,0)),Inputs!$B$4:$B$200,$B11)/1000)</f>
        <v>6.060006937</v>
      </c>
      <c r="G11" s="11">
        <f>IF(G$3=0,"",SUMIFS(INDEX(Inputs!$D$4:$AG$200,0,MATCH(G$2,Inputs!$D$2:$AG$2,0)),Inputs!$B$4:$B$200,$B11)/1000)</f>
        <v>6.261055822</v>
      </c>
      <c r="H11" s="12">
        <f>IF(COUNT(D11:G11)=4,SUM(D11:G11),"")</f>
        <v>17.559</v>
      </c>
      <c r="I11" s="11">
        <f>IF(I$3=0,"",SUMIFS(INDEX(Inputs!$D$4:$AG$200,0,MATCH(I$2,Inputs!$D$2:$AG$2,0)),Inputs!$B$4:$B$200,$B11)/1000)</f>
        <v>3.531</v>
      </c>
      <c r="J11" s="11">
        <f>IF(J$3=0,"",SUMIFS(INDEX(Inputs!$D$4:$AG$200,0,MATCH(J$2,Inputs!$D$2:$AG$2,0)),Inputs!$B$4:$B$200,$B11)/1000)</f>
        <v>4.86</v>
      </c>
      <c r="K11" s="11">
        <f>IF(K$3=0,"",SUMIFS(INDEX(Inputs!$D$4:$AG$200,0,MATCH(K$2,Inputs!$D$2:$AG$2,0)),Inputs!$B$4:$B$200,$B11)/1000)</f>
        <v>8.302</v>
      </c>
      <c r="L11" s="11">
        <f>IF(L$3=0,"",SUMIFS(INDEX(Inputs!$D$4:$AG$200,0,MATCH(L$2,Inputs!$D$2:$AG$2,0)),Inputs!$B$4:$B$200,$B11)/1000)</f>
        <v>5.065</v>
      </c>
      <c r="M11" s="12">
        <f>IF(COUNT(I11:L11)=4,SUM(I11:L11),"")</f>
        <v>21.758</v>
      </c>
      <c r="N11" s="11">
        <f>IF(N$3=0,"",SUMIFS(INDEX(Inputs!$D$4:$AG$200,0,MATCH(N$2,Inputs!$D$2:$AG$2,0)),Inputs!$B$4:$B$200,$B11)/1000)</f>
        <v>6.754</v>
      </c>
      <c r="O11" s="11">
        <f>IF(O$3=0,"",SUMIFS(INDEX(Inputs!$D$4:$AG$200,0,MATCH(O$2,Inputs!$D$2:$AG$2,0)),Inputs!$B$4:$B$200,$B11)/1000)</f>
        <v>11.933</v>
      </c>
      <c r="P11" s="11">
        <f>IF(P$3=0,"",SUMIFS(INDEX(Inputs!$D$4:$AG$200,0,MATCH(P$2,Inputs!$D$2:$AG$2,0)),Inputs!$B$4:$B$200,$B11)/1000)</f>
        <v>19.66919318</v>
      </c>
      <c r="Q11" s="11">
        <f>IF(Q$3=0,"",SUMIFS(INDEX(Inputs!$D$4:$AG$200,0,MATCH(Q$2,Inputs!$D$2:$AG$2,0)),Inputs!$B$4:$B$200,$B11)/1000)</f>
        <v>15.345</v>
      </c>
      <c r="R11" s="12">
        <f>IF(COUNT(N11:Q11)=4,SUM(N11:Q11),"")</f>
        <v>53.70119318</v>
      </c>
      <c r="S11" s="11">
        <f>IF(S$3=0,"",SUMIFS(INDEX(Inputs!$D$4:$AG$200,0,MATCH(S$2,Inputs!$D$2:$AG$2,0)),Inputs!$B$4:$B$200,$B11)/1000)</f>
        <v>26.45298203</v>
      </c>
      <c r="T11" s="11">
        <f>IF(T$3=0,"",SUMIFS(INDEX(Inputs!$D$4:$AG$200,0,MATCH(T$2,Inputs!$D$2:$AG$2,0)),Inputs!$B$4:$B$200,$B11)/1000)</f>
        <v>19.423</v>
      </c>
      <c r="U11" s="11">
        <f>IF(U$3=0,"",SUMIFS(INDEX(Inputs!$D$4:$AG$200,0,MATCH(U$2,Inputs!$D$2:$AG$2,0)),Inputs!$B$4:$B$200,$B11)/1000)</f>
        <v>18.5</v>
      </c>
      <c r="V11" s="11">
        <f>IF(V$3=0,"",SUMIFS(INDEX(Inputs!$D$4:$AG$200,0,MATCH(V$2,Inputs!$D$2:$AG$2,0)),Inputs!$B$4:$B$200,$B11)/1000)</f>
        <v>22.152</v>
      </c>
      <c r="W11" s="12">
        <f>IF(COUNT(S11:V11)=4,SUM(S11:V11),"")</f>
        <v>86.52798203</v>
      </c>
      <c r="X11" s="11">
        <f>IF(X$3=0,"",SUMIFS(INDEX(Inputs!$D$4:$AG$200,0,MATCH(X$2,Inputs!$D$2:$AG$2,0)),Inputs!$B$4:$B$200,$B11)/1000)</f>
        <v>12.368</v>
      </c>
      <c r="Y11" s="11">
        <f>IF(Y$3=0,"",SUMIFS(INDEX(Inputs!$D$4:$AG$200,0,MATCH(Y$2,Inputs!$D$2:$AG$2,0)),Inputs!$B$4:$B$200,$B11)/1000)</f>
        <v>14.911</v>
      </c>
      <c r="Z11" s="11">
        <f>IF(Z$3=0,"",SUMIFS(INDEX(Inputs!$D$4:$AG$200,0,MATCH(Z$2,Inputs!$D$2:$AG$2,0)),Inputs!$B$4:$B$200,$B11)/1000)</f>
        <v>16.173</v>
      </c>
      <c r="AA11" s="11">
        <f>IF(AA$3=0,"",SUMIFS(INDEX(Inputs!$D$4:$AG$200,0,MATCH(AA$2,Inputs!$D$2:$AG$2,0)),Inputs!$B$4:$B$200,$B11)/1000)</f>
        <v>19.179</v>
      </c>
      <c r="AB11" s="12">
        <f>IF(COUNT(X11:AA11)=4,SUM(X11:AA11),"")</f>
        <v>62.631</v>
      </c>
      <c r="AC11" s="11">
        <f>IF(AC$3=0,"",SUMIFS(INDEX(Inputs!$D$4:$AG$200,0,MATCH(AC$2,Inputs!$D$2:$AG$2,0)),Inputs!$B$4:$B$200,$B11)/1000)</f>
        <v>12.932</v>
      </c>
      <c r="AD11" s="11">
        <f>IF(AD$3=0,"",SUMIFS(INDEX(Inputs!$D$4:$AG$200,0,MATCH(AD$2,Inputs!$D$2:$AG$2,0)),Inputs!$B$4:$B$200,$B11)/1000)</f>
        <v>18.568</v>
      </c>
      <c r="AE11" s="11" t="str">
        <f>IF(AE$3=0,"",SUMIFS(INDEX(Inputs!$D$4:$AG$200,0,MATCH(AE$2,Inputs!$D$2:$AG$2,0)),Inputs!$B$4:$B$200,$B11)/1000)</f>
        <v/>
      </c>
      <c r="AF11" s="11" t="str">
        <f>IF(AF$3=0,"",SUMIFS(INDEX(Inputs!$D$4:$AG$200,0,MATCH(AF$2,Inputs!$D$2:$AG$2,0)),Inputs!$B$4:$B$200,$B11)/1000)</f>
        <v/>
      </c>
      <c r="AG11" s="12" t="str">
        <f>IF(COUNT(AC11:AF11)=4,SUM(AC11:AF11),"")</f>
        <v/>
      </c>
    </row>
    <row r="12">
      <c r="B12" s="9" t="n">
        <v>9</v>
      </c>
      <c r="C12" s="14" t="inlineStr">
        <is>
          <t>Minority Interest Expense, after tax (enter as - )</t>
        </is>
      </c>
      <c r="D12" s="11">
        <f>IF(D$3=0,"",SUMIFS(INDEX(Inputs!$D$4:$AG$200,0,MATCH(D$2,Inputs!$D$2:$AG$2,0)),Inputs!$B$4:$B$200,$B12)/1000)</f>
        <v>-8.967411407</v>
      </c>
      <c r="E12" s="11">
        <f>IF(E$3=0,"",SUMIFS(INDEX(Inputs!$D$4:$AG$200,0,MATCH(E$2,Inputs!$D$2:$AG$2,0)),Inputs!$B$4:$B$200,$B12)/1000)</f>
        <v>-12.282841155</v>
      </c>
      <c r="F12" s="11">
        <f>IF(F$3=0,"",SUMIFS(INDEX(Inputs!$D$4:$AG$200,0,MATCH(F$2,Inputs!$D$2:$AG$2,0)),Inputs!$B$4:$B$200,$B12)/1000)</f>
        <v>-11.726429863</v>
      </c>
      <c r="G12" s="11">
        <f>IF(G$3=0,"",SUMIFS(INDEX(Inputs!$D$4:$AG$200,0,MATCH(G$2,Inputs!$D$2:$AG$2,0)),Inputs!$B$4:$B$200,$B12)/1000)</f>
        <v>-13.982317574</v>
      </c>
      <c r="H12" s="12">
        <f>IF(COUNT(D12:G12)=4,SUM(D12:G12),"")</f>
        <v>-46.958999999</v>
      </c>
      <c r="I12" s="11">
        <f>IF(I$3=0,"",SUMIFS(INDEX(Inputs!$D$4:$AG$200,0,MATCH(I$2,Inputs!$D$2:$AG$2,0)),Inputs!$B$4:$B$200,$B12)/1000)</f>
        <v>-18.534</v>
      </c>
      <c r="J12" s="11">
        <f>IF(J$3=0,"",SUMIFS(INDEX(Inputs!$D$4:$AG$200,0,MATCH(J$2,Inputs!$D$2:$AG$2,0)),Inputs!$B$4:$B$200,$B12)/1000)</f>
        <v>-14.431</v>
      </c>
      <c r="K12" s="11">
        <f>IF(K$3=0,"",SUMIFS(INDEX(Inputs!$D$4:$AG$200,0,MATCH(K$2,Inputs!$D$2:$AG$2,0)),Inputs!$B$4:$B$200,$B12)/1000)</f>
        <v>-16.681</v>
      </c>
      <c r="L12" s="11">
        <f>IF(L$3=0,"",SUMIFS(INDEX(Inputs!$D$4:$AG$200,0,MATCH(L$2,Inputs!$D$2:$AG$2,0)),Inputs!$B$4:$B$200,$B12)/1000)</f>
        <v>-16.023</v>
      </c>
      <c r="M12" s="12">
        <f>IF(COUNT(I12:L12)=4,SUM(I12:L12),"")</f>
        <v>-65.669</v>
      </c>
      <c r="N12" s="11">
        <f>IF(N$3=0,"",SUMIFS(INDEX(Inputs!$D$4:$AG$200,0,MATCH(N$2,Inputs!$D$2:$AG$2,0)),Inputs!$B$4:$B$200,$B12)/1000)</f>
        <v>-13.511</v>
      </c>
      <c r="O12" s="11">
        <f>IF(O$3=0,"",SUMIFS(INDEX(Inputs!$D$4:$AG$200,0,MATCH(O$2,Inputs!$D$2:$AG$2,0)),Inputs!$B$4:$B$200,$B12)/1000)</f>
        <v>-10.333</v>
      </c>
      <c r="P12" s="11">
        <f>IF(P$3=0,"",SUMIFS(INDEX(Inputs!$D$4:$AG$200,0,MATCH(P$2,Inputs!$D$2:$AG$2,0)),Inputs!$B$4:$B$200,$B12)/1000)</f>
        <v>-17.112</v>
      </c>
      <c r="Q12" s="11">
        <f>IF(Q$3=0,"",SUMIFS(INDEX(Inputs!$D$4:$AG$200,0,MATCH(Q$2,Inputs!$D$2:$AG$2,0)),Inputs!$B$4:$B$200,$B12)/1000)</f>
        <v>-14.359</v>
      </c>
      <c r="R12" s="12">
        <f>IF(COUNT(N12:Q12)=4,SUM(N12:Q12),"")</f>
        <v>-55.315</v>
      </c>
      <c r="S12" s="11">
        <f>IF(S$3=0,"",SUMIFS(INDEX(Inputs!$D$4:$AG$200,0,MATCH(S$2,Inputs!$D$2:$AG$2,0)),Inputs!$B$4:$B$200,$B12)/1000)</f>
        <v>-18.71316342</v>
      </c>
      <c r="T12" s="11">
        <f>IF(T$3=0,"",SUMIFS(INDEX(Inputs!$D$4:$AG$200,0,MATCH(T$2,Inputs!$D$2:$AG$2,0)),Inputs!$B$4:$B$200,$B12)/1000)</f>
        <v>-23.743</v>
      </c>
      <c r="U12" s="11">
        <f>IF(U$3=0,"",SUMIFS(INDEX(Inputs!$D$4:$AG$200,0,MATCH(U$2,Inputs!$D$2:$AG$2,0)),Inputs!$B$4:$B$200,$B12)/1000)</f>
        <v>-24.226</v>
      </c>
      <c r="V12" s="11">
        <f>IF(V$3=0,"",SUMIFS(INDEX(Inputs!$D$4:$AG$200,0,MATCH(V$2,Inputs!$D$2:$AG$2,0)),Inputs!$B$4:$B$200,$B12)/1000)</f>
        <v>-22.608</v>
      </c>
      <c r="W12" s="12">
        <f>IF(COUNT(S12:V12)=4,SUM(S12:V12),"")</f>
        <v>-89.29016342</v>
      </c>
      <c r="X12" s="11">
        <f>IF(X$3=0,"",SUMIFS(INDEX(Inputs!$D$4:$AG$200,0,MATCH(X$2,Inputs!$D$2:$AG$2,0)),Inputs!$B$4:$B$200,$B12)/1000)</f>
        <v>-26.936</v>
      </c>
      <c r="Y12" s="11">
        <f>IF(Y$3=0,"",SUMIFS(INDEX(Inputs!$D$4:$AG$200,0,MATCH(Y$2,Inputs!$D$2:$AG$2,0)),Inputs!$B$4:$B$200,$B12)/1000)</f>
        <v>-36.901</v>
      </c>
      <c r="Z12" s="11">
        <f>IF(Z$3=0,"",SUMIFS(INDEX(Inputs!$D$4:$AG$200,0,MATCH(Z$2,Inputs!$D$2:$AG$2,0)),Inputs!$B$4:$B$200,$B12)/1000)</f>
        <v>-53.322</v>
      </c>
      <c r="AA12" s="11">
        <f>IF(AA$3=0,"",SUMIFS(INDEX(Inputs!$D$4:$AG$200,0,MATCH(AA$2,Inputs!$D$2:$AG$2,0)),Inputs!$B$4:$B$200,$B12)/1000)</f>
        <v>-73.191</v>
      </c>
      <c r="AB12" s="12">
        <f>IF(COUNT(X12:AA12)=4,SUM(X12:AA12),"")</f>
        <v>-190.35</v>
      </c>
      <c r="AC12" s="11">
        <f>IF(AC$3=0,"",SUMIFS(INDEX(Inputs!$D$4:$AG$200,0,MATCH(AC$2,Inputs!$D$2:$AG$2,0)),Inputs!$B$4:$B$200,$B12)/1000)</f>
        <v>-54.374</v>
      </c>
      <c r="AD12" s="11">
        <f>IF(AD$3=0,"",SUMIFS(INDEX(Inputs!$D$4:$AG$200,0,MATCH(AD$2,Inputs!$D$2:$AG$2,0)),Inputs!$B$4:$B$200,$B12)/1000)</f>
        <v>-53.778</v>
      </c>
      <c r="AE12" s="11" t="str">
        <f>IF(AE$3=0,"",SUMIFS(INDEX(Inputs!$D$4:$AG$200,0,MATCH(AE$2,Inputs!$D$2:$AG$2,0)),Inputs!$B$4:$B$200,$B12)/1000)</f>
        <v/>
      </c>
      <c r="AF12" s="11" t="str">
        <f>IF(AF$3=0,"",SUMIFS(INDEX(Inputs!$D$4:$AG$200,0,MATCH(AF$2,Inputs!$D$2:$AG$2,0)),Inputs!$B$4:$B$200,$B12)/1000)</f>
        <v/>
      </c>
      <c r="AG12" s="12" t="str">
        <f>IF(COUNT(AC12:AF12)=4,SUM(AC12:AF12),"")</f>
        <v/>
      </c>
    </row>
    <row r="13">
      <c r="B13" s="9" t="n">
        <v>10</v>
      </c>
      <c r="C13" s="13" t="inlineStr">
        <is>
          <t>Common Dividends</t>
        </is>
      </c>
      <c r="D13" s="11">
        <f>IF(D$3=0,"",SUMIFS(INDEX(Inputs!$D$4:$AG$200,0,MATCH(D$2,Inputs!$D$2:$AG$2,0)),Inputs!$B$4:$B$200,$B13)/1000)</f>
        <v>0</v>
      </c>
      <c r="E13" s="11">
        <f>IF(E$3=0,"",SUMIFS(INDEX(Inputs!$D$4:$AG$200,0,MATCH(E$2,Inputs!$D$2:$AG$2,0)),Inputs!$B$4:$B$200,$B13)/1000)</f>
        <v>-100.135</v>
      </c>
      <c r="F13" s="11">
        <f>IF(F$3=0,"",SUMIFS(INDEX(Inputs!$D$4:$AG$200,0,MATCH(F$2,Inputs!$D$2:$AG$2,0)),Inputs!$B$4:$B$200,$B13)/1000)</f>
        <v>-0.012</v>
      </c>
      <c r="G13" s="11">
        <f>IF(G$3=0,"",SUMIFS(INDEX(Inputs!$D$4:$AG$200,0,MATCH(G$2,Inputs!$D$2:$AG$2,0)),Inputs!$B$4:$B$200,$B13)/1000)</f>
        <v>0</v>
      </c>
      <c r="H13" s="12">
        <f>IF(COUNT(D13:G13)=4,SUM(D13:G13),"")</f>
        <v>-100.147</v>
      </c>
      <c r="I13" s="11">
        <f>IF(I$3=0,"",SUMIFS(INDEX(Inputs!$D$4:$AG$200,0,MATCH(I$2,Inputs!$D$2:$AG$2,0)),Inputs!$B$4:$B$200,$B13)/1000)</f>
        <v>-0.001</v>
      </c>
      <c r="J13" s="11">
        <f>IF(J$3=0,"",SUMIFS(INDEX(Inputs!$D$4:$AG$200,0,MATCH(J$2,Inputs!$D$2:$AG$2,0)),Inputs!$B$4:$B$200,$B13)/1000)</f>
        <v>-0.001</v>
      </c>
      <c r="K13" s="11">
        <f>IF(K$3=0,"",SUMIFS(INDEX(Inputs!$D$4:$AG$200,0,MATCH(K$2,Inputs!$D$2:$AG$2,0)),Inputs!$B$4:$B$200,$B13)/1000)</f>
        <v>-69.962</v>
      </c>
      <c r="L13" s="11">
        <f>IF(L$3=0,"",SUMIFS(INDEX(Inputs!$D$4:$AG$200,0,MATCH(L$2,Inputs!$D$2:$AG$2,0)),Inputs!$B$4:$B$200,$B13)/1000)</f>
        <v>0</v>
      </c>
      <c r="M13" s="12">
        <f>IF(COUNT(I13:L13)=4,SUM(I13:L13),"")</f>
        <v>-69.964</v>
      </c>
      <c r="N13" s="11">
        <f>IF(N$3=0,"",SUMIFS(INDEX(Inputs!$D$4:$AG$200,0,MATCH(N$2,Inputs!$D$2:$AG$2,0)),Inputs!$B$4:$B$200,$B13)/1000)</f>
        <v>-104.289</v>
      </c>
      <c r="O13" s="11">
        <f>IF(O$3=0,"",SUMIFS(INDEX(Inputs!$D$4:$AG$200,0,MATCH(O$2,Inputs!$D$2:$AG$2,0)),Inputs!$B$4:$B$200,$B13)/1000)</f>
        <v>0.002</v>
      </c>
      <c r="P13" s="11">
        <f>IF(P$3=0,"",SUMIFS(INDEX(Inputs!$D$4:$AG$200,0,MATCH(P$2,Inputs!$D$2:$AG$2,0)),Inputs!$B$4:$B$200,$B13)/1000)</f>
        <v>0</v>
      </c>
      <c r="Q13" s="11">
        <f>IF(Q$3=0,"",SUMIFS(INDEX(Inputs!$D$4:$AG$200,0,MATCH(Q$2,Inputs!$D$2:$AG$2,0)),Inputs!$B$4:$B$200,$B13)/1000)</f>
        <v>-0.001</v>
      </c>
      <c r="R13" s="12">
        <f>IF(COUNT(N13:Q13)=4,SUM(N13:Q13),"")</f>
        <v>-104.288</v>
      </c>
      <c r="S13" s="11">
        <f>IF(S$3=0,"",SUMIFS(INDEX(Inputs!$D$4:$AG$200,0,MATCH(S$2,Inputs!$D$2:$AG$2,0)),Inputs!$B$4:$B$200,$B13)/1000)</f>
        <v>-81.165</v>
      </c>
      <c r="T13" s="11">
        <f>IF(T$3=0,"",SUMIFS(INDEX(Inputs!$D$4:$AG$200,0,MATCH(T$2,Inputs!$D$2:$AG$2,0)),Inputs!$B$4:$B$200,$B13)/1000)</f>
        <v>0</v>
      </c>
      <c r="U13" s="11">
        <f>IF(U$3=0,"",SUMIFS(INDEX(Inputs!$D$4:$AG$200,0,MATCH(U$2,Inputs!$D$2:$AG$2,0)),Inputs!$B$4:$B$200,$B13)/1000)</f>
        <v>-277.205</v>
      </c>
      <c r="V13" s="11">
        <f>IF(V$3=0,"",SUMIFS(INDEX(Inputs!$D$4:$AG$200,0,MATCH(V$2,Inputs!$D$2:$AG$2,0)),Inputs!$B$4:$B$200,$B13)/1000)</f>
        <v>-0.009</v>
      </c>
      <c r="W13" s="12">
        <f>IF(COUNT(S13:V13)=4,SUM(S13:V13),"")</f>
        <v>-358.379</v>
      </c>
      <c r="X13" s="11">
        <f>IF(X$3=0,"",SUMIFS(INDEX(Inputs!$D$4:$AG$200,0,MATCH(X$2,Inputs!$D$2:$AG$2,0)),Inputs!$B$4:$B$200,$B13)/1000)</f>
        <v>-299.399</v>
      </c>
      <c r="Y13" s="11">
        <f>IF(Y$3=0,"",SUMIFS(INDEX(Inputs!$D$4:$AG$200,0,MATCH(Y$2,Inputs!$D$2:$AG$2,0)),Inputs!$B$4:$B$200,$B13)/1000)</f>
        <v>0</v>
      </c>
      <c r="Z13" s="11">
        <f>IF(Z$3=0,"",SUMIFS(INDEX(Inputs!$D$4:$AG$200,0,MATCH(Z$2,Inputs!$D$2:$AG$2,0)),Inputs!$B$4:$B$200,$B13)/1000)</f>
        <v>-346.664</v>
      </c>
      <c r="AA13" s="11">
        <f>IF(AA$3=0,"",SUMIFS(INDEX(Inputs!$D$4:$AG$200,0,MATCH(AA$2,Inputs!$D$2:$AG$2,0)),Inputs!$B$4:$B$200,$B13)/1000)</f>
        <v>-804.708</v>
      </c>
      <c r="AB13" s="12">
        <f>IF(COUNT(X13:AA13)=4,SUM(X13:AA13),"")</f>
        <v>-1450.771</v>
      </c>
      <c r="AC13" s="11">
        <f>IF(AC$3=0,"",SUMIFS(INDEX(Inputs!$D$4:$AG$200,0,MATCH(AC$2,Inputs!$D$2:$AG$2,0)),Inputs!$B$4:$B$200,$B13)/1000)</f>
        <v>-11.897</v>
      </c>
      <c r="AD13" s="11">
        <f>IF(AD$3=0,"",SUMIFS(INDEX(Inputs!$D$4:$AG$200,0,MATCH(AD$2,Inputs!$D$2:$AG$2,0)),Inputs!$B$4:$B$200,$B13)/1000)</f>
        <v>16.41</v>
      </c>
      <c r="AE13" s="11" t="str">
        <f>IF(AE$3=0,"",SUMIFS(INDEX(Inputs!$D$4:$AG$200,0,MATCH(AE$2,Inputs!$D$2:$AG$2,0)),Inputs!$B$4:$B$200,$B13)/1000)</f>
        <v/>
      </c>
      <c r="AF13" s="11" t="str">
        <f>IF(AF$3=0,"",SUMIFS(INDEX(Inputs!$D$4:$AG$200,0,MATCH(AF$2,Inputs!$D$2:$AG$2,0)),Inputs!$B$4:$B$200,$B13)/1000)</f>
        <v/>
      </c>
      <c r="AG13" s="12" t="str">
        <f>IF(COUNT(AC13:AF13)=4,SUM(AC13:AF13),"")</f>
        <v/>
      </c>
    </row>
    <row r="14">
      <c r="D14" s="12" t="n"/>
    </row>
    <row r="15">
      <c r="B15" s="9" t="n">
        <v>11</v>
      </c>
      <c r="C15" s="13" t="inlineStr">
        <is>
          <t>Cash and equivalents (inc. investment securities)</t>
        </is>
      </c>
      <c r="D15" s="11">
        <f>IF(D$3=0,"",SUMIFS(INDEX(Inputs!$D$4:$AG$200,0,MATCH(D$2,Inputs!$D$2:$AG$2,0)),Inputs!$B$4:$B$200,$B15)/1000)</f>
        <v>974.98</v>
      </c>
      <c r="E15" s="11">
        <f>IF(E$3=0,"",SUMIFS(INDEX(Inputs!$D$4:$AG$200,0,MATCH(E$2,Inputs!$D$2:$AG$2,0)),Inputs!$B$4:$B$200,$B15)/1000)</f>
        <v>946.589</v>
      </c>
      <c r="F15" s="11">
        <f>IF(F$3=0,"",SUMIFS(INDEX(Inputs!$D$4:$AG$200,0,MATCH(F$2,Inputs!$D$2:$AG$2,0)),Inputs!$B$4:$B$200,$B15)/1000)</f>
        <v>934.763</v>
      </c>
      <c r="G15" s="11">
        <f>IF(G$3=0,"",SUMIFS(INDEX(Inputs!$D$4:$AG$200,0,MATCH(G$2,Inputs!$D$2:$AG$2,0)),Inputs!$B$4:$B$200,$B15)/1000)</f>
        <v>1049.16</v>
      </c>
      <c r="H15" s="12">
        <f>IF(G15="","",G15)</f>
        <v>1049.16</v>
      </c>
      <c r="I15" s="11">
        <f>IF(I$3=0,"",SUMIFS(INDEX(Inputs!$D$4:$AG$200,0,MATCH(I$2,Inputs!$D$2:$AG$2,0)),Inputs!$B$4:$B$200,$B15)/1000)</f>
        <v>1060.253</v>
      </c>
      <c r="J15" s="11">
        <f>IF(J$3=0,"",SUMIFS(INDEX(Inputs!$D$4:$AG$200,0,MATCH(J$2,Inputs!$D$2:$AG$2,0)),Inputs!$B$4:$B$200,$B15)/1000)</f>
        <v>959.132</v>
      </c>
      <c r="K15" s="11">
        <f>IF(K$3=0,"",SUMIFS(INDEX(Inputs!$D$4:$AG$200,0,MATCH(K$2,Inputs!$D$2:$AG$2,0)),Inputs!$B$4:$B$200,$B15)/1000)</f>
        <v>1179.82</v>
      </c>
      <c r="L15" s="11">
        <f>IF(L$3=0,"",SUMIFS(INDEX(Inputs!$D$4:$AG$200,0,MATCH(L$2,Inputs!$D$2:$AG$2,0)),Inputs!$B$4:$B$200,$B15)/1000)</f>
        <v>1187.372</v>
      </c>
      <c r="M15" s="12">
        <f>IF(L15="","",L15)</f>
        <v>1187.372</v>
      </c>
      <c r="N15" s="11">
        <f>IF(N$3=0,"",SUMIFS(INDEX(Inputs!$D$4:$AG$200,0,MATCH(N$2,Inputs!$D$2:$AG$2,0)),Inputs!$B$4:$B$200,$B15)/1000)</f>
        <v>1071.927</v>
      </c>
      <c r="O15" s="11">
        <f>IF(O$3=0,"",SUMIFS(INDEX(Inputs!$D$4:$AG$200,0,MATCH(O$2,Inputs!$D$2:$AG$2,0)),Inputs!$B$4:$B$200,$B15)/1000)</f>
        <v>1113.203</v>
      </c>
      <c r="P15" s="11">
        <f>IF(P$3=0,"",SUMIFS(INDEX(Inputs!$D$4:$AG$200,0,MATCH(P$2,Inputs!$D$2:$AG$2,0)),Inputs!$B$4:$B$200,$B15)/1000)</f>
        <v>1341.161</v>
      </c>
      <c r="Q15" s="11">
        <f>IF(Q$3=0,"",SUMIFS(INDEX(Inputs!$D$4:$AG$200,0,MATCH(Q$2,Inputs!$D$2:$AG$2,0)),Inputs!$B$4:$B$200,$B15)/1000)</f>
        <v>1327.171</v>
      </c>
      <c r="R15" s="12">
        <f>IF(Q15="","",Q15)</f>
        <v>1327.171</v>
      </c>
      <c r="S15" s="11">
        <f>IF(S$3=0,"",SUMIFS(INDEX(Inputs!$D$4:$AG$200,0,MATCH(S$2,Inputs!$D$2:$AG$2,0)),Inputs!$B$4:$B$200,$B15)/1000)</f>
        <v>1176.362</v>
      </c>
      <c r="T15" s="11">
        <f>IF(T$3=0,"",SUMIFS(INDEX(Inputs!$D$4:$AG$200,0,MATCH(T$2,Inputs!$D$2:$AG$2,0)),Inputs!$B$4:$B$200,$B15)/1000)</f>
        <v>1422.001</v>
      </c>
      <c r="U15" s="11">
        <f>IF(U$3=0,"",SUMIFS(INDEX(Inputs!$D$4:$AG$200,0,MATCH(U$2,Inputs!$D$2:$AG$2,0)),Inputs!$B$4:$B$200,$B15)/1000)</f>
        <v>1545.768</v>
      </c>
      <c r="V15" s="11">
        <f>IF(V$3=0,"",SUMIFS(INDEX(Inputs!$D$4:$AG$200,0,MATCH(V$2,Inputs!$D$2:$AG$2,0)),Inputs!$B$4:$B$200,$B15)/1000)</f>
        <v>1615.181</v>
      </c>
      <c r="W15" s="12">
        <f>IF(V15="","",V15)</f>
        <v>1615.181</v>
      </c>
      <c r="X15" s="11">
        <f>IF(X$3=0,"",SUMIFS(INDEX(Inputs!$D$4:$AG$200,0,MATCH(X$2,Inputs!$D$2:$AG$2,0)),Inputs!$B$4:$B$200,$B15)/1000)</f>
        <v>1629.522</v>
      </c>
      <c r="Y15" s="11">
        <f>IF(Y$3=0,"",SUMIFS(INDEX(Inputs!$D$4:$AG$200,0,MATCH(Y$2,Inputs!$D$2:$AG$2,0)),Inputs!$B$4:$B$200,$B15)/1000)</f>
        <v>2124.58</v>
      </c>
      <c r="Z15" s="11">
        <f>IF(Z$3=0,"",SUMIFS(INDEX(Inputs!$D$4:$AG$200,0,MATCH(Z$2,Inputs!$D$2:$AG$2,0)),Inputs!$B$4:$B$200,$B15)/1000)</f>
        <v>2449.506</v>
      </c>
      <c r="AA15" s="11">
        <f>IF(AA$3=0,"",SUMIFS(INDEX(Inputs!$D$4:$AG$200,0,MATCH(AA$2,Inputs!$D$2:$AG$2,0)),Inputs!$B$4:$B$200,$B15)/1000)</f>
        <v>2182.799</v>
      </c>
      <c r="AB15" s="12">
        <f>IF(AA15="","",AA15)</f>
        <v>2182.799</v>
      </c>
      <c r="AC15" s="11">
        <f>IF(AC$3=0,"",SUMIFS(INDEX(Inputs!$D$4:$AG$200,0,MATCH(AC$2,Inputs!$D$2:$AG$2,0)),Inputs!$B$4:$B$200,$B15)/1000)</f>
        <v>2420.762</v>
      </c>
      <c r="AD15" s="11">
        <f>IF(AD$3=0,"",SUMIFS(INDEX(Inputs!$D$4:$AG$200,0,MATCH(AD$2,Inputs!$D$2:$AG$2,0)),Inputs!$B$4:$B$200,$B15)/1000)</f>
        <v>2454.207</v>
      </c>
      <c r="AE15" s="11" t="str">
        <f>IF(AE$3=0,"",SUMIFS(INDEX(Inputs!$D$4:$AG$200,0,MATCH(AE$2,Inputs!$D$2:$AG$2,0)),Inputs!$B$4:$B$200,$B15)/1000)</f>
        <v/>
      </c>
      <c r="AF15" s="11" t="str">
        <f>IF(AF$3=0,"",SUMIFS(INDEX(Inputs!$D$4:$AG$200,0,MATCH(AF$2,Inputs!$D$2:$AG$2,0)),Inputs!$B$4:$B$200,$B15)/1000)</f>
        <v/>
      </c>
      <c r="AG15" s="12" t="str">
        <f>IF(AF15="","",AF15)</f>
        <v/>
      </c>
    </row>
    <row r="16">
      <c r="B16" s="9" t="n">
        <v>12</v>
      </c>
      <c r="C16" s="14" t="inlineStr">
        <is>
          <t>Accounts receivable</t>
        </is>
      </c>
      <c r="D16" s="11">
        <f>IF(D$3=0,"",SUMIFS(INDEX(Inputs!$D$4:$AG$200,0,MATCH(D$2,Inputs!$D$2:$AG$2,0)),Inputs!$B$4:$B$200,$B16)/1000)</f>
        <v>460.185</v>
      </c>
      <c r="E16" s="11">
        <f>IF(E$3=0,"",SUMIFS(INDEX(Inputs!$D$4:$AG$200,0,MATCH(E$2,Inputs!$D$2:$AG$2,0)),Inputs!$B$4:$B$200,$B16)/1000)</f>
        <v>489.828</v>
      </c>
      <c r="F16" s="11">
        <f>IF(F$3=0,"",SUMIFS(INDEX(Inputs!$D$4:$AG$200,0,MATCH(F$2,Inputs!$D$2:$AG$2,0)),Inputs!$B$4:$B$200,$B16)/1000)</f>
        <v>536.65</v>
      </c>
      <c r="G16" s="11">
        <f>IF(G$3=0,"",SUMIFS(INDEX(Inputs!$D$4:$AG$200,0,MATCH(G$2,Inputs!$D$2:$AG$2,0)),Inputs!$B$4:$B$200,$B16)/1000)</f>
        <v>476.346</v>
      </c>
      <c r="H16" s="12">
        <f>IF(G16="","",G16)</f>
        <v>476.346</v>
      </c>
      <c r="I16" s="11">
        <f>IF(I$3=0,"",SUMIFS(INDEX(Inputs!$D$4:$AG$200,0,MATCH(I$2,Inputs!$D$2:$AG$2,0)),Inputs!$B$4:$B$200,$B16)/1000)</f>
        <v>533.588</v>
      </c>
      <c r="J16" s="11">
        <f>IF(J$3=0,"",SUMIFS(INDEX(Inputs!$D$4:$AG$200,0,MATCH(J$2,Inputs!$D$2:$AG$2,0)),Inputs!$B$4:$B$200,$B16)/1000)</f>
        <v>556.609</v>
      </c>
      <c r="K16" s="11">
        <f>IF(K$3=0,"",SUMIFS(INDEX(Inputs!$D$4:$AG$200,0,MATCH(K$2,Inputs!$D$2:$AG$2,0)),Inputs!$B$4:$B$200,$B16)/1000)</f>
        <v>651.799</v>
      </c>
      <c r="L16" s="11">
        <f>IF(L$3=0,"",SUMIFS(INDEX(Inputs!$D$4:$AG$200,0,MATCH(L$2,Inputs!$D$2:$AG$2,0)),Inputs!$B$4:$B$200,$B16)/1000)</f>
        <v>685.314</v>
      </c>
      <c r="M16" s="12">
        <f>IF(L16="","",L16)</f>
        <v>685.314</v>
      </c>
      <c r="N16" s="11">
        <f>IF(N$3=0,"",SUMIFS(INDEX(Inputs!$D$4:$AG$200,0,MATCH(N$2,Inputs!$D$2:$AG$2,0)),Inputs!$B$4:$B$200,$B16)/1000)</f>
        <v>738.03548515</v>
      </c>
      <c r="O16" s="11">
        <f>IF(O$3=0,"",SUMIFS(INDEX(Inputs!$D$4:$AG$200,0,MATCH(O$2,Inputs!$D$2:$AG$2,0)),Inputs!$B$4:$B$200,$B16)/1000)</f>
        <v>740.10863387</v>
      </c>
      <c r="P16" s="11">
        <f>IF(P$3=0,"",SUMIFS(INDEX(Inputs!$D$4:$AG$200,0,MATCH(P$2,Inputs!$D$2:$AG$2,0)),Inputs!$B$4:$B$200,$B16)/1000)</f>
        <v>820.67319839</v>
      </c>
      <c r="Q16" s="11">
        <f>IF(Q$3=0,"",SUMIFS(INDEX(Inputs!$D$4:$AG$200,0,MATCH(Q$2,Inputs!$D$2:$AG$2,0)),Inputs!$B$4:$B$200,$B16)/1000)</f>
        <v>985.98141149</v>
      </c>
      <c r="R16" s="12">
        <f>IF(Q16="","",Q16)</f>
        <v>985.98141149</v>
      </c>
      <c r="S16" s="11">
        <f>IF(S$3=0,"",SUMIFS(INDEX(Inputs!$D$4:$AG$200,0,MATCH(S$2,Inputs!$D$2:$AG$2,0)),Inputs!$B$4:$B$200,$B16)/1000)</f>
        <v>1209.07413311</v>
      </c>
      <c r="T16" s="11">
        <f>IF(T$3=0,"",SUMIFS(INDEX(Inputs!$D$4:$AG$200,0,MATCH(T$2,Inputs!$D$2:$AG$2,0)),Inputs!$B$4:$B$200,$B16)/1000)</f>
        <v>1447.19387601</v>
      </c>
      <c r="U16" s="11">
        <f>IF(U$3=0,"",SUMIFS(INDEX(Inputs!$D$4:$AG$200,0,MATCH(U$2,Inputs!$D$2:$AG$2,0)),Inputs!$B$4:$B$200,$B16)/1000)</f>
        <v>1615.00998157</v>
      </c>
      <c r="V16" s="11">
        <f>IF(V$3=0,"",SUMIFS(INDEX(Inputs!$D$4:$AG$200,0,MATCH(V$2,Inputs!$D$2:$AG$2,0)),Inputs!$B$4:$B$200,$B16)/1000)</f>
        <v>1839.527</v>
      </c>
      <c r="W16" s="12">
        <f>IF(V16="","",V16)</f>
        <v>1839.527</v>
      </c>
      <c r="X16" s="11">
        <f>IF(X$3=0,"",SUMIFS(INDEX(Inputs!$D$4:$AG$200,0,MATCH(X$2,Inputs!$D$2:$AG$2,0)),Inputs!$B$4:$B$200,$B16)/1000)</f>
        <v>2093.471</v>
      </c>
      <c r="Y16" s="11">
        <f>IF(Y$3=0,"",SUMIFS(INDEX(Inputs!$D$4:$AG$200,0,MATCH(Y$2,Inputs!$D$2:$AG$2,0)),Inputs!$B$4:$B$200,$B16)/1000)</f>
        <v>2384.653</v>
      </c>
      <c r="Z16" s="11">
        <f>IF(Z$3=0,"",SUMIFS(INDEX(Inputs!$D$4:$AG$200,0,MATCH(Z$2,Inputs!$D$2:$AG$2,0)),Inputs!$B$4:$B$200,$B16)/1000)</f>
        <v>2619.945</v>
      </c>
      <c r="AA16" s="11">
        <f>IF(AA$3=0,"",SUMIFS(INDEX(Inputs!$D$4:$AG$200,0,MATCH(AA$2,Inputs!$D$2:$AG$2,0)),Inputs!$B$4:$B$200,$B16)/1000)</f>
        <v>2827.773</v>
      </c>
      <c r="AB16" s="12">
        <f>IF(AA16="","",AA16)</f>
        <v>2827.773</v>
      </c>
      <c r="AC16" s="11">
        <f>IF(AC$3=0,"",SUMIFS(INDEX(Inputs!$D$4:$AG$200,0,MATCH(AC$2,Inputs!$D$2:$AG$2,0)),Inputs!$B$4:$B$200,$B16)/1000)</f>
        <v>3025.953</v>
      </c>
      <c r="AD16" s="11">
        <f>IF(AD$3=0,"",SUMIFS(INDEX(Inputs!$D$4:$AG$200,0,MATCH(AD$2,Inputs!$D$2:$AG$2,0)),Inputs!$B$4:$B$200,$B16)/1000)</f>
        <v>3148.918</v>
      </c>
      <c r="AE16" s="11" t="str">
        <f>IF(AE$3=0,"",SUMIFS(INDEX(Inputs!$D$4:$AG$200,0,MATCH(AE$2,Inputs!$D$2:$AG$2,0)),Inputs!$B$4:$B$200,$B16)/1000)</f>
        <v/>
      </c>
      <c r="AF16" s="11" t="str">
        <f>IF(AF$3=0,"",SUMIFS(INDEX(Inputs!$D$4:$AG$200,0,MATCH(AF$2,Inputs!$D$2:$AG$2,0)),Inputs!$B$4:$B$200,$B16)/1000)</f>
        <v/>
      </c>
      <c r="AG16" s="12" t="str">
        <f>IF(AF16="","",AF16)</f>
        <v/>
      </c>
    </row>
    <row r="17">
      <c r="B17" s="9" t="n">
        <v>13</v>
      </c>
      <c r="C17" s="14" t="inlineStr">
        <is>
          <t>Inventories</t>
        </is>
      </c>
      <c r="D17" s="11">
        <f>IF(D$3=0,"",SUMIFS(INDEX(Inputs!$D$4:$AG$200,0,MATCH(D$2,Inputs!$D$2:$AG$2,0)),Inputs!$B$4:$B$200,$B17)/1000)</f>
        <v>3317.028</v>
      </c>
      <c r="E17" s="11">
        <f>IF(E$3=0,"",SUMIFS(INDEX(Inputs!$D$4:$AG$200,0,MATCH(E$2,Inputs!$D$2:$AG$2,0)),Inputs!$B$4:$B$200,$B17)/1000)</f>
        <v>3526.757</v>
      </c>
      <c r="F17" s="11">
        <f>IF(F$3=0,"",SUMIFS(INDEX(Inputs!$D$4:$AG$200,0,MATCH(F$2,Inputs!$D$2:$AG$2,0)),Inputs!$B$4:$B$200,$B17)/1000)</f>
        <v>3560.234</v>
      </c>
      <c r="G17" s="11">
        <f>IF(G$3=0,"",SUMIFS(INDEX(Inputs!$D$4:$AG$200,0,MATCH(G$2,Inputs!$D$2:$AG$2,0)),Inputs!$B$4:$B$200,$B17)/1000)</f>
        <v>3534.027</v>
      </c>
      <c r="H17" s="12">
        <f>IF(G17="","",G17)</f>
        <v>3534.027</v>
      </c>
      <c r="I17" s="11">
        <f>IF(I$3=0,"",SUMIFS(INDEX(Inputs!$D$4:$AG$200,0,MATCH(I$2,Inputs!$D$2:$AG$2,0)),Inputs!$B$4:$B$200,$B17)/1000)</f>
        <v>3569.1</v>
      </c>
      <c r="J17" s="11">
        <f>IF(J$3=0,"",SUMIFS(INDEX(Inputs!$D$4:$AG$200,0,MATCH(J$2,Inputs!$D$2:$AG$2,0)),Inputs!$B$4:$B$200,$B17)/1000)</f>
        <v>3566.376</v>
      </c>
      <c r="K17" s="11">
        <f>IF(K$3=0,"",SUMIFS(INDEX(Inputs!$D$4:$AG$200,0,MATCH(K$2,Inputs!$D$2:$AG$2,0)),Inputs!$B$4:$B$200,$B17)/1000)</f>
        <v>3671.333</v>
      </c>
      <c r="L17" s="11">
        <f>IF(L$3=0,"",SUMIFS(INDEX(Inputs!$D$4:$AG$200,0,MATCH(L$2,Inputs!$D$2:$AG$2,0)),Inputs!$B$4:$B$200,$B17)/1000)</f>
        <v>3978.256</v>
      </c>
      <c r="M17" s="12">
        <f>IF(L17="","",L17)</f>
        <v>3978.256</v>
      </c>
      <c r="N17" s="11">
        <f>IF(N$3=0,"",SUMIFS(INDEX(Inputs!$D$4:$AG$200,0,MATCH(N$2,Inputs!$D$2:$AG$2,0)),Inputs!$B$4:$B$200,$B17)/1000)</f>
        <v>3983.96842692</v>
      </c>
      <c r="O17" s="11">
        <f>IF(O$3=0,"",SUMIFS(INDEX(Inputs!$D$4:$AG$200,0,MATCH(O$2,Inputs!$D$2:$AG$2,0)),Inputs!$B$4:$B$200,$B17)/1000)</f>
        <v>4143.85828971</v>
      </c>
      <c r="P17" s="11">
        <f>IF(P$3=0,"",SUMIFS(INDEX(Inputs!$D$4:$AG$200,0,MATCH(P$2,Inputs!$D$2:$AG$2,0)),Inputs!$B$4:$B$200,$B17)/1000)</f>
        <v>4290.47313595</v>
      </c>
      <c r="Q17" s="11">
        <f>IF(Q$3=0,"",SUMIFS(INDEX(Inputs!$D$4:$AG$200,0,MATCH(Q$2,Inputs!$D$2:$AG$2,0)),Inputs!$B$4:$B$200,$B17)/1000)</f>
        <v>4461.91694769</v>
      </c>
      <c r="R17" s="12">
        <f>IF(Q17="","",Q17)</f>
        <v>4461.91694769</v>
      </c>
      <c r="S17" s="11">
        <f>IF(S$3=0,"",SUMIFS(INDEX(Inputs!$D$4:$AG$200,0,MATCH(S$2,Inputs!$D$2:$AG$2,0)),Inputs!$B$4:$B$200,$B17)/1000)</f>
        <v>4600.3562162</v>
      </c>
      <c r="T17" s="11">
        <f>IF(T$3=0,"",SUMIFS(INDEX(Inputs!$D$4:$AG$200,0,MATCH(T$2,Inputs!$D$2:$AG$2,0)),Inputs!$B$4:$B$200,$B17)/1000)</f>
        <v>4920.57776042</v>
      </c>
      <c r="U17" s="11">
        <f>IF(U$3=0,"",SUMIFS(INDEX(Inputs!$D$4:$AG$200,0,MATCH(U$2,Inputs!$D$2:$AG$2,0)),Inputs!$B$4:$B$200,$B17)/1000)</f>
        <v>5329.15890456</v>
      </c>
      <c r="V17" s="11">
        <f>IF(V$3=0,"",SUMIFS(INDEX(Inputs!$D$4:$AG$200,0,MATCH(V$2,Inputs!$D$2:$AG$2,0)),Inputs!$B$4:$B$200,$B17)/1000)</f>
        <v>5532.09</v>
      </c>
      <c r="W17" s="12">
        <f>IF(V17="","",V17)</f>
        <v>5532.09</v>
      </c>
      <c r="X17" s="11">
        <f>IF(X$3=0,"",SUMIFS(INDEX(Inputs!$D$4:$AG$200,0,MATCH(X$2,Inputs!$D$2:$AG$2,0)),Inputs!$B$4:$B$200,$B17)/1000)</f>
        <v>5807.541</v>
      </c>
      <c r="Y17" s="11">
        <f>IF(Y$3=0,"",SUMIFS(INDEX(Inputs!$D$4:$AG$200,0,MATCH(Y$2,Inputs!$D$2:$AG$2,0)),Inputs!$B$4:$B$200,$B17)/1000)</f>
        <v>5914.381</v>
      </c>
      <c r="Z17" s="11">
        <f>IF(Z$3=0,"",SUMIFS(INDEX(Inputs!$D$4:$AG$200,0,MATCH(Z$2,Inputs!$D$2:$AG$2,0)),Inputs!$B$4:$B$200,$B17)/1000)</f>
        <v>6203.769</v>
      </c>
      <c r="AA17" s="11">
        <f>IF(AA$3=0,"",SUMIFS(INDEX(Inputs!$D$4:$AG$200,0,MATCH(AA$2,Inputs!$D$2:$AG$2,0)),Inputs!$B$4:$B$200,$B17)/1000)</f>
        <v>6951.508</v>
      </c>
      <c r="AB17" s="12">
        <f>IF(AA17="","",AA17)</f>
        <v>6951.508</v>
      </c>
      <c r="AC17" s="11">
        <f>IF(AC$3=0,"",SUMIFS(INDEX(Inputs!$D$4:$AG$200,0,MATCH(AC$2,Inputs!$D$2:$AG$2,0)),Inputs!$B$4:$B$200,$B17)/1000)</f>
        <v>7196.962</v>
      </c>
      <c r="AD17" s="11">
        <f>IF(AD$3=0,"",SUMIFS(INDEX(Inputs!$D$4:$AG$200,0,MATCH(AD$2,Inputs!$D$2:$AG$2,0)),Inputs!$B$4:$B$200,$B17)/1000)</f>
        <v>7623.261</v>
      </c>
      <c r="AE17" s="11" t="str">
        <f>IF(AE$3=0,"",SUMIFS(INDEX(Inputs!$D$4:$AG$200,0,MATCH(AE$2,Inputs!$D$2:$AG$2,0)),Inputs!$B$4:$B$200,$B17)/1000)</f>
        <v/>
      </c>
      <c r="AF17" s="11" t="str">
        <f>IF(AF$3=0,"",SUMIFS(INDEX(Inputs!$D$4:$AG$200,0,MATCH(AF$2,Inputs!$D$2:$AG$2,0)),Inputs!$B$4:$B$200,$B17)/1000)</f>
        <v/>
      </c>
      <c r="AG17" s="12" t="str">
        <f>IF(AF17="","",AF17)</f>
        <v/>
      </c>
    </row>
    <row r="18">
      <c r="B18" s="9" t="n">
        <v>14</v>
      </c>
      <c r="C18" s="14" t="inlineStr">
        <is>
          <t>Deferred income taxes</t>
        </is>
      </c>
      <c r="D18" s="11">
        <f>IF(D$3=0,"",SUMIFS(INDEX(Inputs!$D$4:$AG$200,0,MATCH(D$2,Inputs!$D$2:$AG$2,0)),Inputs!$B$4:$B$200,$B18)/1000)</f>
        <v>0</v>
      </c>
      <c r="E18" s="11">
        <f>IF(E$3=0,"",SUMIFS(INDEX(Inputs!$D$4:$AG$200,0,MATCH(E$2,Inputs!$D$2:$AG$2,0)),Inputs!$B$4:$B$200,$B18)/1000)</f>
        <v>0</v>
      </c>
      <c r="F18" s="11">
        <f>IF(F$3=0,"",SUMIFS(INDEX(Inputs!$D$4:$AG$200,0,MATCH(F$2,Inputs!$D$2:$AG$2,0)),Inputs!$B$4:$B$200,$B18)/1000)</f>
        <v>0</v>
      </c>
      <c r="G18" s="11">
        <f>IF(G$3=0,"",SUMIFS(INDEX(Inputs!$D$4:$AG$200,0,MATCH(G$2,Inputs!$D$2:$AG$2,0)),Inputs!$B$4:$B$200,$B18)/1000)</f>
        <v>0</v>
      </c>
      <c r="H18" s="12">
        <f>IF(G18="","",G18)</f>
        <v>0</v>
      </c>
      <c r="I18" s="11">
        <f>IF(I$3=0,"",SUMIFS(INDEX(Inputs!$D$4:$AG$200,0,MATCH(I$2,Inputs!$D$2:$AG$2,0)),Inputs!$B$4:$B$200,$B18)/1000)</f>
        <v>0</v>
      </c>
      <c r="J18" s="11">
        <f>IF(J$3=0,"",SUMIFS(INDEX(Inputs!$D$4:$AG$200,0,MATCH(J$2,Inputs!$D$2:$AG$2,0)),Inputs!$B$4:$B$200,$B18)/1000)</f>
        <v>0</v>
      </c>
      <c r="K18" s="11">
        <f>IF(K$3=0,"",SUMIFS(INDEX(Inputs!$D$4:$AG$200,0,MATCH(K$2,Inputs!$D$2:$AG$2,0)),Inputs!$B$4:$B$200,$B18)/1000)</f>
        <v>0</v>
      </c>
      <c r="L18" s="11">
        <f>IF(L$3=0,"",SUMIFS(INDEX(Inputs!$D$4:$AG$200,0,MATCH(L$2,Inputs!$D$2:$AG$2,0)),Inputs!$B$4:$B$200,$B18)/1000)</f>
        <v>0</v>
      </c>
      <c r="M18" s="12">
        <f>IF(L18="","",L18)</f>
        <v>0</v>
      </c>
      <c r="N18" s="11">
        <f>IF(N$3=0,"",SUMIFS(INDEX(Inputs!$D$4:$AG$200,0,MATCH(N$2,Inputs!$D$2:$AG$2,0)),Inputs!$B$4:$B$200,$B18)/1000)</f>
        <v>0</v>
      </c>
      <c r="O18" s="11">
        <f>IF(O$3=0,"",SUMIFS(INDEX(Inputs!$D$4:$AG$200,0,MATCH(O$2,Inputs!$D$2:$AG$2,0)),Inputs!$B$4:$B$200,$B18)/1000)</f>
        <v>0</v>
      </c>
      <c r="P18" s="11">
        <f>IF(P$3=0,"",SUMIFS(INDEX(Inputs!$D$4:$AG$200,0,MATCH(P$2,Inputs!$D$2:$AG$2,0)),Inputs!$B$4:$B$200,$B18)/1000)</f>
        <v>0</v>
      </c>
      <c r="Q18" s="11">
        <f>IF(Q$3=0,"",SUMIFS(INDEX(Inputs!$D$4:$AG$200,0,MATCH(Q$2,Inputs!$D$2:$AG$2,0)),Inputs!$B$4:$B$200,$B18)/1000)</f>
        <v>0</v>
      </c>
      <c r="R18" s="12">
        <f>IF(Q18="","",Q18)</f>
        <v>0</v>
      </c>
      <c r="S18" s="11">
        <f>IF(S$3=0,"",SUMIFS(INDEX(Inputs!$D$4:$AG$200,0,MATCH(S$2,Inputs!$D$2:$AG$2,0)),Inputs!$B$4:$B$200,$B18)/1000)</f>
        <v>0</v>
      </c>
      <c r="T18" s="11">
        <f>IF(T$3=0,"",SUMIFS(INDEX(Inputs!$D$4:$AG$200,0,MATCH(T$2,Inputs!$D$2:$AG$2,0)),Inputs!$B$4:$B$200,$B18)/1000)</f>
        <v>0</v>
      </c>
      <c r="U18" s="11">
        <f>IF(U$3=0,"",SUMIFS(INDEX(Inputs!$D$4:$AG$200,0,MATCH(U$2,Inputs!$D$2:$AG$2,0)),Inputs!$B$4:$B$200,$B18)/1000)</f>
        <v>0</v>
      </c>
      <c r="V18" s="11">
        <f>IF(V$3=0,"",SUMIFS(INDEX(Inputs!$D$4:$AG$200,0,MATCH(V$2,Inputs!$D$2:$AG$2,0)),Inputs!$B$4:$B$200,$B18)/1000)</f>
        <v>0</v>
      </c>
      <c r="W18" s="12">
        <f>IF(V18="","",V18)</f>
        <v>0</v>
      </c>
      <c r="X18" s="11">
        <f>IF(X$3=0,"",SUMIFS(INDEX(Inputs!$D$4:$AG$200,0,MATCH(X$2,Inputs!$D$2:$AG$2,0)),Inputs!$B$4:$B$200,$B18)/1000)</f>
        <v>0</v>
      </c>
      <c r="Y18" s="11">
        <f>IF(Y$3=0,"",SUMIFS(INDEX(Inputs!$D$4:$AG$200,0,MATCH(Y$2,Inputs!$D$2:$AG$2,0)),Inputs!$B$4:$B$200,$B18)/1000)</f>
        <v>0</v>
      </c>
      <c r="Z18" s="11">
        <f>IF(Z$3=0,"",SUMIFS(INDEX(Inputs!$D$4:$AG$200,0,MATCH(Z$2,Inputs!$D$2:$AG$2,0)),Inputs!$B$4:$B$200,$B18)/1000)</f>
        <v>0</v>
      </c>
      <c r="AA18" s="11">
        <f>IF(AA$3=0,"",SUMIFS(INDEX(Inputs!$D$4:$AG$200,0,MATCH(AA$2,Inputs!$D$2:$AG$2,0)),Inputs!$B$4:$B$200,$B18)/1000)</f>
        <v>0</v>
      </c>
      <c r="AB18" s="12">
        <f>IF(AA18="","",AA18)</f>
        <v>0</v>
      </c>
      <c r="AC18" s="11">
        <f>IF(AC$3=0,"",SUMIFS(INDEX(Inputs!$D$4:$AG$200,0,MATCH(AC$2,Inputs!$D$2:$AG$2,0)),Inputs!$B$4:$B$200,$B18)/1000)</f>
        <v>0</v>
      </c>
      <c r="AD18" s="11">
        <f>IF(AD$3=0,"",SUMIFS(INDEX(Inputs!$D$4:$AG$200,0,MATCH(AD$2,Inputs!$D$2:$AG$2,0)),Inputs!$B$4:$B$200,$B18)/1000)</f>
        <v>0</v>
      </c>
      <c r="AE18" s="11" t="str">
        <f>IF(AE$3=0,"",SUMIFS(INDEX(Inputs!$D$4:$AG$200,0,MATCH(AE$2,Inputs!$D$2:$AG$2,0)),Inputs!$B$4:$B$200,$B18)/1000)</f>
        <v/>
      </c>
      <c r="AF18" s="11" t="str">
        <f>IF(AF$3=0,"",SUMIFS(INDEX(Inputs!$D$4:$AG$200,0,MATCH(AF$2,Inputs!$D$2:$AG$2,0)),Inputs!$B$4:$B$200,$B18)/1000)</f>
        <v/>
      </c>
      <c r="AG18" s="12" t="str">
        <f>IF(AF18="","",AF18)</f>
        <v/>
      </c>
    </row>
    <row r="19">
      <c r="B19" s="9" t="n">
        <v>15</v>
      </c>
      <c r="C19" s="14" t="inlineStr">
        <is>
          <t>Prepaid expenses</t>
        </is>
      </c>
      <c r="D19" s="11">
        <f>IF(D$3=0,"",SUMIFS(INDEX(Inputs!$D$4:$AG$200,0,MATCH(D$2,Inputs!$D$2:$AG$2,0)),Inputs!$B$4:$B$200,$B19)/1000)</f>
        <v>0</v>
      </c>
      <c r="E19" s="11">
        <f>IF(E$3=0,"",SUMIFS(INDEX(Inputs!$D$4:$AG$200,0,MATCH(E$2,Inputs!$D$2:$AG$2,0)),Inputs!$B$4:$B$200,$B19)/1000)</f>
        <v>0</v>
      </c>
      <c r="F19" s="11">
        <f>IF(F$3=0,"",SUMIFS(INDEX(Inputs!$D$4:$AG$200,0,MATCH(F$2,Inputs!$D$2:$AG$2,0)),Inputs!$B$4:$B$200,$B19)/1000)</f>
        <v>0</v>
      </c>
      <c r="G19" s="11">
        <f>IF(G$3=0,"",SUMIFS(INDEX(Inputs!$D$4:$AG$200,0,MATCH(G$2,Inputs!$D$2:$AG$2,0)),Inputs!$B$4:$B$200,$B19)/1000)</f>
        <v>0</v>
      </c>
      <c r="H19" s="12">
        <f>IF(G19="","",G19)</f>
        <v>0</v>
      </c>
      <c r="I19" s="11">
        <f>IF(I$3=0,"",SUMIFS(INDEX(Inputs!$D$4:$AG$200,0,MATCH(I$2,Inputs!$D$2:$AG$2,0)),Inputs!$B$4:$B$200,$B19)/1000)</f>
        <v>0</v>
      </c>
      <c r="J19" s="11">
        <f>IF(J$3=0,"",SUMIFS(INDEX(Inputs!$D$4:$AG$200,0,MATCH(J$2,Inputs!$D$2:$AG$2,0)),Inputs!$B$4:$B$200,$B19)/1000)</f>
        <v>0</v>
      </c>
      <c r="K19" s="11">
        <f>IF(K$3=0,"",SUMIFS(INDEX(Inputs!$D$4:$AG$200,0,MATCH(K$2,Inputs!$D$2:$AG$2,0)),Inputs!$B$4:$B$200,$B19)/1000)</f>
        <v>0</v>
      </c>
      <c r="L19" s="11">
        <f>IF(L$3=0,"",SUMIFS(INDEX(Inputs!$D$4:$AG$200,0,MATCH(L$2,Inputs!$D$2:$AG$2,0)),Inputs!$B$4:$B$200,$B19)/1000)</f>
        <v>0</v>
      </c>
      <c r="M19" s="12">
        <f>IF(L19="","",L19)</f>
        <v>0</v>
      </c>
      <c r="N19" s="11">
        <f>IF(N$3=0,"",SUMIFS(INDEX(Inputs!$D$4:$AG$200,0,MATCH(N$2,Inputs!$D$2:$AG$2,0)),Inputs!$B$4:$B$200,$B19)/1000)</f>
        <v>0</v>
      </c>
      <c r="O19" s="11">
        <f>IF(O$3=0,"",SUMIFS(INDEX(Inputs!$D$4:$AG$200,0,MATCH(O$2,Inputs!$D$2:$AG$2,0)),Inputs!$B$4:$B$200,$B19)/1000)</f>
        <v>0</v>
      </c>
      <c r="P19" s="11">
        <f>IF(P$3=0,"",SUMIFS(INDEX(Inputs!$D$4:$AG$200,0,MATCH(P$2,Inputs!$D$2:$AG$2,0)),Inputs!$B$4:$B$200,$B19)/1000)</f>
        <v>0</v>
      </c>
      <c r="Q19" s="11">
        <f>IF(Q$3=0,"",SUMIFS(INDEX(Inputs!$D$4:$AG$200,0,MATCH(Q$2,Inputs!$D$2:$AG$2,0)),Inputs!$B$4:$B$200,$B19)/1000)</f>
        <v>0</v>
      </c>
      <c r="R19" s="12">
        <f>IF(Q19="","",Q19)</f>
        <v>0</v>
      </c>
      <c r="S19" s="11">
        <f>IF(S$3=0,"",SUMIFS(INDEX(Inputs!$D$4:$AG$200,0,MATCH(S$2,Inputs!$D$2:$AG$2,0)),Inputs!$B$4:$B$200,$B19)/1000)</f>
        <v>0</v>
      </c>
      <c r="T19" s="11">
        <f>IF(T$3=0,"",SUMIFS(INDEX(Inputs!$D$4:$AG$200,0,MATCH(T$2,Inputs!$D$2:$AG$2,0)),Inputs!$B$4:$B$200,$B19)/1000)</f>
        <v>0</v>
      </c>
      <c r="U19" s="11">
        <f>IF(U$3=0,"",SUMIFS(INDEX(Inputs!$D$4:$AG$200,0,MATCH(U$2,Inputs!$D$2:$AG$2,0)),Inputs!$B$4:$B$200,$B19)/1000)</f>
        <v>0</v>
      </c>
      <c r="V19" s="11">
        <f>IF(V$3=0,"",SUMIFS(INDEX(Inputs!$D$4:$AG$200,0,MATCH(V$2,Inputs!$D$2:$AG$2,0)),Inputs!$B$4:$B$200,$B19)/1000)</f>
        <v>0</v>
      </c>
      <c r="W19" s="12">
        <f>IF(V19="","",V19)</f>
        <v>0</v>
      </c>
      <c r="X19" s="11">
        <f>IF(X$3=0,"",SUMIFS(INDEX(Inputs!$D$4:$AG$200,0,MATCH(X$2,Inputs!$D$2:$AG$2,0)),Inputs!$B$4:$B$200,$B19)/1000)</f>
        <v>0</v>
      </c>
      <c r="Y19" s="11">
        <f>IF(Y$3=0,"",SUMIFS(INDEX(Inputs!$D$4:$AG$200,0,MATCH(Y$2,Inputs!$D$2:$AG$2,0)),Inputs!$B$4:$B$200,$B19)/1000)</f>
        <v>0</v>
      </c>
      <c r="Z19" s="11">
        <f>IF(Z$3=0,"",SUMIFS(INDEX(Inputs!$D$4:$AG$200,0,MATCH(Z$2,Inputs!$D$2:$AG$2,0)),Inputs!$B$4:$B$200,$B19)/1000)</f>
        <v>0</v>
      </c>
      <c r="AA19" s="11">
        <f>IF(AA$3=0,"",SUMIFS(INDEX(Inputs!$D$4:$AG$200,0,MATCH(AA$2,Inputs!$D$2:$AG$2,0)),Inputs!$B$4:$B$200,$B19)/1000)</f>
        <v>0</v>
      </c>
      <c r="AB19" s="12">
        <f>IF(AA19="","",AA19)</f>
        <v>0</v>
      </c>
      <c r="AC19" s="11">
        <f>IF(AC$3=0,"",SUMIFS(INDEX(Inputs!$D$4:$AG$200,0,MATCH(AC$2,Inputs!$D$2:$AG$2,0)),Inputs!$B$4:$B$200,$B19)/1000)</f>
        <v>0</v>
      </c>
      <c r="AD19" s="11">
        <f>IF(AD$3=0,"",SUMIFS(INDEX(Inputs!$D$4:$AG$200,0,MATCH(AD$2,Inputs!$D$2:$AG$2,0)),Inputs!$B$4:$B$200,$B19)/1000)</f>
        <v>0</v>
      </c>
      <c r="AE19" s="11" t="str">
        <f>IF(AE$3=0,"",SUMIFS(INDEX(Inputs!$D$4:$AG$200,0,MATCH(AE$2,Inputs!$D$2:$AG$2,0)),Inputs!$B$4:$B$200,$B19)/1000)</f>
        <v/>
      </c>
      <c r="AF19" s="11" t="str">
        <f>IF(AF$3=0,"",SUMIFS(INDEX(Inputs!$D$4:$AG$200,0,MATCH(AF$2,Inputs!$D$2:$AG$2,0)),Inputs!$B$4:$B$200,$B19)/1000)</f>
        <v/>
      </c>
      <c r="AG19" s="12" t="str">
        <f>IF(AF19="","",AF19)</f>
        <v/>
      </c>
    </row>
    <row r="20">
      <c r="B20" s="9" t="n">
        <v>16</v>
      </c>
      <c r="C20" s="14" t="inlineStr">
        <is>
          <t>Other current assets</t>
        </is>
      </c>
      <c r="D20" s="11">
        <f>IF(D$3=0,"",SUMIFS(INDEX(Inputs!$D$4:$AG$200,0,MATCH(D$2,Inputs!$D$2:$AG$2,0)),Inputs!$B$4:$B$200,$B20)/1000)</f>
        <v>189</v>
      </c>
      <c r="E20" s="11">
        <f>IF(E$3=0,"",SUMIFS(INDEX(Inputs!$D$4:$AG$200,0,MATCH(E$2,Inputs!$D$2:$AG$2,0)),Inputs!$B$4:$B$200,$B20)/1000)</f>
        <v>223.627</v>
      </c>
      <c r="F20" s="11">
        <f>IF(F$3=0,"",SUMIFS(INDEX(Inputs!$D$4:$AG$200,0,MATCH(F$2,Inputs!$D$2:$AG$2,0)),Inputs!$B$4:$B$200,$B20)/1000)</f>
        <v>226.319</v>
      </c>
      <c r="G20" s="11">
        <f>IF(G$3=0,"",SUMIFS(INDEX(Inputs!$D$4:$AG$200,0,MATCH(G$2,Inputs!$D$2:$AG$2,0)),Inputs!$B$4:$B$200,$B20)/1000)</f>
        <v>344.828</v>
      </c>
      <c r="H20" s="12">
        <f>IF(G20="","",G20)</f>
        <v>344.828</v>
      </c>
      <c r="I20" s="11">
        <f>IF(I$3=0,"",SUMIFS(INDEX(Inputs!$D$4:$AG$200,0,MATCH(I$2,Inputs!$D$2:$AG$2,0)),Inputs!$B$4:$B$200,$B20)/1000)</f>
        <v>370.969</v>
      </c>
      <c r="J20" s="11">
        <f>IF(J$3=0,"",SUMIFS(INDEX(Inputs!$D$4:$AG$200,0,MATCH(J$2,Inputs!$D$2:$AG$2,0)),Inputs!$B$4:$B$200,$B20)/1000)</f>
        <v>361.173</v>
      </c>
      <c r="K20" s="11">
        <f>IF(K$3=0,"",SUMIFS(INDEX(Inputs!$D$4:$AG$200,0,MATCH(K$2,Inputs!$D$2:$AG$2,0)),Inputs!$B$4:$B$200,$B20)/1000)</f>
        <v>378.623</v>
      </c>
      <c r="L20" s="11">
        <f>IF(L$3=0,"",SUMIFS(INDEX(Inputs!$D$4:$AG$200,0,MATCH(L$2,Inputs!$D$2:$AG$2,0)),Inputs!$B$4:$B$200,$B20)/1000)</f>
        <v>266.224</v>
      </c>
      <c r="M20" s="12">
        <f>IF(L20="","",L20)</f>
        <v>266.224</v>
      </c>
      <c r="N20" s="11">
        <f>IF(N$3=0,"",SUMIFS(INDEX(Inputs!$D$4:$AG$200,0,MATCH(N$2,Inputs!$D$2:$AG$2,0)),Inputs!$B$4:$B$200,$B20)/1000)</f>
        <v>298.04230866</v>
      </c>
      <c r="O20" s="11">
        <f>IF(O$3=0,"",SUMIFS(INDEX(Inputs!$D$4:$AG$200,0,MATCH(O$2,Inputs!$D$2:$AG$2,0)),Inputs!$B$4:$B$200,$B20)/1000)</f>
        <v>390.37234842</v>
      </c>
      <c r="P20" s="11">
        <f>IF(P$3=0,"",SUMIFS(INDEX(Inputs!$D$4:$AG$200,0,MATCH(P$2,Inputs!$D$2:$AG$2,0)),Inputs!$B$4:$B$200,$B20)/1000)</f>
        <v>291.23374589</v>
      </c>
      <c r="Q20" s="11">
        <f>IF(Q$3=0,"",SUMIFS(INDEX(Inputs!$D$4:$AG$200,0,MATCH(Q$2,Inputs!$D$2:$AG$2,0)),Inputs!$B$4:$B$200,$B20)/1000)</f>
        <v>313.53939033</v>
      </c>
      <c r="R20" s="12">
        <f>IF(Q20="","",Q20)</f>
        <v>313.53939033</v>
      </c>
      <c r="S20" s="11">
        <f>IF(S$3=0,"",SUMIFS(INDEX(Inputs!$D$4:$AG$200,0,MATCH(S$2,Inputs!$D$2:$AG$2,0)),Inputs!$B$4:$B$200,$B20)/1000)</f>
        <v>323.12129802</v>
      </c>
      <c r="T20" s="11">
        <f>IF(T$3=0,"",SUMIFS(INDEX(Inputs!$D$4:$AG$200,0,MATCH(T$2,Inputs!$D$2:$AG$2,0)),Inputs!$B$4:$B$200,$B20)/1000)</f>
        <v>359.69343005</v>
      </c>
      <c r="U20" s="11">
        <f>IF(U$3=0,"",SUMIFS(INDEX(Inputs!$D$4:$AG$200,0,MATCH(U$2,Inputs!$D$2:$AG$2,0)),Inputs!$B$4:$B$200,$B20)/1000)</f>
        <v>370.32834847</v>
      </c>
      <c r="V20" s="11">
        <f>IF(V$3=0,"",SUMIFS(INDEX(Inputs!$D$4:$AG$200,0,MATCH(V$2,Inputs!$D$2:$AG$2,0)),Inputs!$B$4:$B$200,$B20)/1000)</f>
        <v>320.273</v>
      </c>
      <c r="W20" s="12">
        <f>IF(V20="","",V20)</f>
        <v>320.273</v>
      </c>
      <c r="X20" s="11">
        <f>IF(X$3=0,"",SUMIFS(INDEX(Inputs!$D$4:$AG$200,0,MATCH(X$2,Inputs!$D$2:$AG$2,0)),Inputs!$B$4:$B$200,$B20)/1000)</f>
        <v>351.517</v>
      </c>
      <c r="Y20" s="11">
        <f>IF(Y$3=0,"",SUMIFS(INDEX(Inputs!$D$4:$AG$200,0,MATCH(Y$2,Inputs!$D$2:$AG$2,0)),Inputs!$B$4:$B$200,$B20)/1000)</f>
        <v>348.21</v>
      </c>
      <c r="Z20" s="11">
        <f>IF(Z$3=0,"",SUMIFS(INDEX(Inputs!$D$4:$AG$200,0,MATCH(Z$2,Inputs!$D$2:$AG$2,0)),Inputs!$B$4:$B$200,$B20)/1000)</f>
        <v>372.913</v>
      </c>
      <c r="AA20" s="11">
        <f>IF(AA$3=0,"",SUMIFS(INDEX(Inputs!$D$4:$AG$200,0,MATCH(AA$2,Inputs!$D$2:$AG$2,0)),Inputs!$B$4:$B$200,$B20)/1000)</f>
        <v>420.5</v>
      </c>
      <c r="AB20" s="12">
        <f>IF(AA20="","",AA20)</f>
        <v>420.5</v>
      </c>
      <c r="AC20" s="11">
        <f>IF(AC$3=0,"",SUMIFS(INDEX(Inputs!$D$4:$AG$200,0,MATCH(AC$2,Inputs!$D$2:$AG$2,0)),Inputs!$B$4:$B$200,$B20)/1000)</f>
        <v>417.402</v>
      </c>
      <c r="AD20" s="11">
        <f>IF(AD$3=0,"",SUMIFS(INDEX(Inputs!$D$4:$AG$200,0,MATCH(AD$2,Inputs!$D$2:$AG$2,0)),Inputs!$B$4:$B$200,$B20)/1000)</f>
        <v>446.289</v>
      </c>
      <c r="AE20" s="11" t="str">
        <f>IF(AE$3=0,"",SUMIFS(INDEX(Inputs!$D$4:$AG$200,0,MATCH(AE$2,Inputs!$D$2:$AG$2,0)),Inputs!$B$4:$B$200,$B20)/1000)</f>
        <v/>
      </c>
      <c r="AF20" s="11" t="str">
        <f>IF(AF$3=0,"",SUMIFS(INDEX(Inputs!$D$4:$AG$200,0,MATCH(AF$2,Inputs!$D$2:$AG$2,0)),Inputs!$B$4:$B$200,$B20)/1000)</f>
        <v/>
      </c>
      <c r="AG20" s="12" t="str">
        <f>IF(AF20="","",AF20)</f>
        <v/>
      </c>
    </row>
    <row r="21">
      <c r="B21" s="9" t="n">
        <v>17</v>
      </c>
      <c r="C21" s="14" t="inlineStr">
        <is>
          <t>Equity in affiliates</t>
        </is>
      </c>
      <c r="D21" s="11">
        <f>IF(D$3=0,"",SUMIFS(INDEX(Inputs!$D$4:$AG$200,0,MATCH(D$2,Inputs!$D$2:$AG$2,0)),Inputs!$B$4:$B$200,$B21)/1000)</f>
        <v>77.661</v>
      </c>
      <c r="E21" s="11">
        <f>IF(E$3=0,"",SUMIFS(INDEX(Inputs!$D$4:$AG$200,0,MATCH(E$2,Inputs!$D$2:$AG$2,0)),Inputs!$B$4:$B$200,$B21)/1000)</f>
        <v>117.386</v>
      </c>
      <c r="F21" s="11">
        <f>IF(F$3=0,"",SUMIFS(INDEX(Inputs!$D$4:$AG$200,0,MATCH(F$2,Inputs!$D$2:$AG$2,0)),Inputs!$B$4:$B$200,$B21)/1000)</f>
        <v>123.181</v>
      </c>
      <c r="G21" s="11">
        <f>IF(G$3=0,"",SUMIFS(INDEX(Inputs!$D$4:$AG$200,0,MATCH(G$2,Inputs!$D$2:$AG$2,0)),Inputs!$B$4:$B$200,$B21)/1000)</f>
        <v>117.98</v>
      </c>
      <c r="H21" s="12">
        <f>IF(G21="","",G21)</f>
        <v>117.98</v>
      </c>
      <c r="I21" s="11">
        <f>IF(I$3=0,"",SUMIFS(INDEX(Inputs!$D$4:$AG$200,0,MATCH(I$2,Inputs!$D$2:$AG$2,0)),Inputs!$B$4:$B$200,$B21)/1000)</f>
        <v>119.611</v>
      </c>
      <c r="J21" s="11">
        <f>IF(J$3=0,"",SUMIFS(INDEX(Inputs!$D$4:$AG$200,0,MATCH(J$2,Inputs!$D$2:$AG$2,0)),Inputs!$B$4:$B$200,$B21)/1000)</f>
        <v>126.559</v>
      </c>
      <c r="K21" s="11">
        <f>IF(K$3=0,"",SUMIFS(INDEX(Inputs!$D$4:$AG$200,0,MATCH(K$2,Inputs!$D$2:$AG$2,0)),Inputs!$B$4:$B$200,$B21)/1000)</f>
        <v>128.21</v>
      </c>
      <c r="L21" s="11">
        <f>IF(L$3=0,"",SUMIFS(INDEX(Inputs!$D$4:$AG$200,0,MATCH(L$2,Inputs!$D$2:$AG$2,0)),Inputs!$B$4:$B$200,$B21)/1000)</f>
        <v>143.717</v>
      </c>
      <c r="M21" s="12">
        <f>IF(L21="","",L21)</f>
        <v>143.717</v>
      </c>
      <c r="N21" s="11">
        <f>IF(N$3=0,"",SUMIFS(INDEX(Inputs!$D$4:$AG$200,0,MATCH(N$2,Inputs!$D$2:$AG$2,0)),Inputs!$B$4:$B$200,$B21)/1000)</f>
        <v>133.771</v>
      </c>
      <c r="O21" s="11">
        <f>IF(O$3=0,"",SUMIFS(INDEX(Inputs!$D$4:$AG$200,0,MATCH(O$2,Inputs!$D$2:$AG$2,0)),Inputs!$B$4:$B$200,$B21)/1000)</f>
        <v>142.09</v>
      </c>
      <c r="P21" s="11">
        <f>IF(P$3=0,"",SUMIFS(INDEX(Inputs!$D$4:$AG$200,0,MATCH(P$2,Inputs!$D$2:$AG$2,0)),Inputs!$B$4:$B$200,$B21)/1000)</f>
        <v>171.047</v>
      </c>
      <c r="Q21" s="11">
        <f>IF(Q$3=0,"",SUMIFS(INDEX(Inputs!$D$4:$AG$200,0,MATCH(Q$2,Inputs!$D$2:$AG$2,0)),Inputs!$B$4:$B$200,$B21)/1000)</f>
        <v>169.375</v>
      </c>
      <c r="R21" s="12">
        <f>IF(Q21="","",Q21)</f>
        <v>169.375</v>
      </c>
      <c r="S21" s="11">
        <f>IF(S$3=0,"",SUMIFS(INDEX(Inputs!$D$4:$AG$200,0,MATCH(S$2,Inputs!$D$2:$AG$2,0)),Inputs!$B$4:$B$200,$B21)/1000)</f>
        <v>174.396</v>
      </c>
      <c r="T21" s="11">
        <f>IF(T$3=0,"",SUMIFS(INDEX(Inputs!$D$4:$AG$200,0,MATCH(T$2,Inputs!$D$2:$AG$2,0)),Inputs!$B$4:$B$200,$B21)/1000)</f>
        <v>193.645</v>
      </c>
      <c r="U21" s="11">
        <f>IF(U$3=0,"",SUMIFS(INDEX(Inputs!$D$4:$AG$200,0,MATCH(U$2,Inputs!$D$2:$AG$2,0)),Inputs!$B$4:$B$200,$B21)/1000)</f>
        <v>193.95947081</v>
      </c>
      <c r="V21" s="11">
        <f>IF(V$3=0,"",SUMIFS(INDEX(Inputs!$D$4:$AG$200,0,MATCH(V$2,Inputs!$D$2:$AG$2,0)),Inputs!$B$4:$B$200,$B21)/1000)</f>
        <v>212.504</v>
      </c>
      <c r="W21" s="12">
        <f>IF(V21="","",V21)</f>
        <v>212.504</v>
      </c>
      <c r="X21" s="11">
        <f>IF(X$3=0,"",SUMIFS(INDEX(Inputs!$D$4:$AG$200,0,MATCH(X$2,Inputs!$D$2:$AG$2,0)),Inputs!$B$4:$B$200,$B21)/1000)</f>
        <v>161.671</v>
      </c>
      <c r="Y21" s="11">
        <f>IF(Y$3=0,"",SUMIFS(INDEX(Inputs!$D$4:$AG$200,0,MATCH(Y$2,Inputs!$D$2:$AG$2,0)),Inputs!$B$4:$B$200,$B21)/1000)</f>
        <v>138.434</v>
      </c>
      <c r="Z21" s="11">
        <f>IF(Z$3=0,"",SUMIFS(INDEX(Inputs!$D$4:$AG$200,0,MATCH(Z$2,Inputs!$D$2:$AG$2,0)),Inputs!$B$4:$B$200,$B21)/1000)</f>
        <v>105.527</v>
      </c>
      <c r="AA21" s="11">
        <f>IF(AA$3=0,"",SUMIFS(INDEX(Inputs!$D$4:$AG$200,0,MATCH(AA$2,Inputs!$D$2:$AG$2,0)),Inputs!$B$4:$B$200,$B21)/1000)</f>
        <v>124.135</v>
      </c>
      <c r="AB21" s="12">
        <f>IF(AA21="","",AA21)</f>
        <v>124.135</v>
      </c>
      <c r="AC21" s="11">
        <f>IF(AC$3=0,"",SUMIFS(INDEX(Inputs!$D$4:$AG$200,0,MATCH(AC$2,Inputs!$D$2:$AG$2,0)),Inputs!$B$4:$B$200,$B21)/1000)</f>
        <v>103.621</v>
      </c>
      <c r="AD21" s="11">
        <f>IF(AD$3=0,"",SUMIFS(INDEX(Inputs!$D$4:$AG$200,0,MATCH(AD$2,Inputs!$D$2:$AG$2,0)),Inputs!$B$4:$B$200,$B21)/1000)</f>
        <v>125.111</v>
      </c>
      <c r="AE21" s="11" t="str">
        <f>IF(AE$3=0,"",SUMIFS(INDEX(Inputs!$D$4:$AG$200,0,MATCH(AE$2,Inputs!$D$2:$AG$2,0)),Inputs!$B$4:$B$200,$B21)/1000)</f>
        <v/>
      </c>
      <c r="AF21" s="11" t="str">
        <f>IF(AF$3=0,"",SUMIFS(INDEX(Inputs!$D$4:$AG$200,0,MATCH(AF$2,Inputs!$D$2:$AG$2,0)),Inputs!$B$4:$B$200,$B21)/1000)</f>
        <v/>
      </c>
      <c r="AG21" s="12" t="str">
        <f>IF(AF21="","",AF21)</f>
        <v/>
      </c>
    </row>
    <row r="22">
      <c r="B22" s="9" t="n">
        <v>18</v>
      </c>
      <c r="C22" s="14" t="inlineStr">
        <is>
          <t>PP&amp;E</t>
        </is>
      </c>
      <c r="D22" s="11">
        <f>IF(D$3=0,"",SUMIFS(INDEX(Inputs!$D$4:$AG$200,0,MATCH(D$2,Inputs!$D$2:$AG$2,0)),Inputs!$B$4:$B$200,$B22)/1000)</f>
        <v>84.771</v>
      </c>
      <c r="E22" s="11">
        <f>IF(E$3=0,"",SUMIFS(INDEX(Inputs!$D$4:$AG$200,0,MATCH(E$2,Inputs!$D$2:$AG$2,0)),Inputs!$B$4:$B$200,$B22)/1000)</f>
        <v>84.92</v>
      </c>
      <c r="F22" s="11">
        <f>IF(F$3=0,"",SUMIFS(INDEX(Inputs!$D$4:$AG$200,0,MATCH(F$2,Inputs!$D$2:$AG$2,0)),Inputs!$B$4:$B$200,$B22)/1000)</f>
        <v>86.763</v>
      </c>
      <c r="G22" s="11">
        <f>IF(G$3=0,"",SUMIFS(INDEX(Inputs!$D$4:$AG$200,0,MATCH(G$2,Inputs!$D$2:$AG$2,0)),Inputs!$B$4:$B$200,$B22)/1000)</f>
        <v>99.075</v>
      </c>
      <c r="H22" s="12">
        <f>IF(G22="","",G22)</f>
        <v>99.075</v>
      </c>
      <c r="I22" s="11">
        <f>IF(I$3=0,"",SUMIFS(INDEX(Inputs!$D$4:$AG$200,0,MATCH(I$2,Inputs!$D$2:$AG$2,0)),Inputs!$B$4:$B$200,$B22)/1000)</f>
        <v>103.721</v>
      </c>
      <c r="J22" s="11">
        <f>IF(J$3=0,"",SUMIFS(INDEX(Inputs!$D$4:$AG$200,0,MATCH(J$2,Inputs!$D$2:$AG$2,0)),Inputs!$B$4:$B$200,$B22)/1000)</f>
        <v>110.185</v>
      </c>
      <c r="K22" s="11">
        <f>IF(K$3=0,"",SUMIFS(INDEX(Inputs!$D$4:$AG$200,0,MATCH(K$2,Inputs!$D$2:$AG$2,0)),Inputs!$B$4:$B$200,$B22)/1000)</f>
        <v>135.843</v>
      </c>
      <c r="L22" s="11">
        <f>IF(L$3=0,"",SUMIFS(INDEX(Inputs!$D$4:$AG$200,0,MATCH(L$2,Inputs!$D$2:$AG$2,0)),Inputs!$B$4:$B$200,$B22)/1000)</f>
        <v>140.115</v>
      </c>
      <c r="M22" s="12">
        <f>IF(L22="","",L22)</f>
        <v>140.115</v>
      </c>
      <c r="N22" s="11">
        <f>IF(N$3=0,"",SUMIFS(INDEX(Inputs!$D$4:$AG$200,0,MATCH(N$2,Inputs!$D$2:$AG$2,0)),Inputs!$B$4:$B$200,$B22)/1000)</f>
        <v>136.22484709</v>
      </c>
      <c r="O22" s="11">
        <f>IF(O$3=0,"",SUMIFS(INDEX(Inputs!$D$4:$AG$200,0,MATCH(O$2,Inputs!$D$2:$AG$2,0)),Inputs!$B$4:$B$200,$B22)/1000)</f>
        <v>129.142</v>
      </c>
      <c r="P22" s="11">
        <f>IF(P$3=0,"",SUMIFS(INDEX(Inputs!$D$4:$AG$200,0,MATCH(P$2,Inputs!$D$2:$AG$2,0)),Inputs!$B$4:$B$200,$B22)/1000)</f>
        <v>113.832</v>
      </c>
      <c r="Q22" s="11">
        <f>IF(Q$3=0,"",SUMIFS(INDEX(Inputs!$D$4:$AG$200,0,MATCH(Q$2,Inputs!$D$2:$AG$2,0)),Inputs!$B$4:$B$200,$B22)/1000)</f>
        <v>111.474</v>
      </c>
      <c r="R22" s="12">
        <f>IF(Q22="","",Q22)</f>
        <v>111.474</v>
      </c>
      <c r="S22" s="11">
        <f>IF(S$3=0,"",SUMIFS(INDEX(Inputs!$D$4:$AG$200,0,MATCH(S$2,Inputs!$D$2:$AG$2,0)),Inputs!$B$4:$B$200,$B22)/1000)</f>
        <v>181.833</v>
      </c>
      <c r="T22" s="11">
        <f>IF(T$3=0,"",SUMIFS(INDEX(Inputs!$D$4:$AG$200,0,MATCH(T$2,Inputs!$D$2:$AG$2,0)),Inputs!$B$4:$B$200,$B22)/1000)</f>
        <v>184.863</v>
      </c>
      <c r="U22" s="11">
        <f>IF(U$3=0,"",SUMIFS(INDEX(Inputs!$D$4:$AG$200,0,MATCH(U$2,Inputs!$D$2:$AG$2,0)),Inputs!$B$4:$B$200,$B22)/1000)</f>
        <v>197.25589041</v>
      </c>
      <c r="V22" s="11">
        <f>IF(V$3=0,"",SUMIFS(INDEX(Inputs!$D$4:$AG$200,0,MATCH(V$2,Inputs!$D$2:$AG$2,0)),Inputs!$B$4:$B$200,$B22)/1000)</f>
        <v>220.762</v>
      </c>
      <c r="W22" s="12">
        <f>IF(V22="","",V22)</f>
        <v>220.762</v>
      </c>
      <c r="X22" s="11">
        <f>IF(X$3=0,"",SUMIFS(INDEX(Inputs!$D$4:$AG$200,0,MATCH(X$2,Inputs!$D$2:$AG$2,0)),Inputs!$B$4:$B$200,$B22)/1000)</f>
        <v>230.724</v>
      </c>
      <c r="Y22" s="11">
        <f>IF(Y$3=0,"",SUMIFS(INDEX(Inputs!$D$4:$AG$200,0,MATCH(Y$2,Inputs!$D$2:$AG$2,0)),Inputs!$B$4:$B$200,$B22)/1000)</f>
        <v>252.372</v>
      </c>
      <c r="Z22" s="11">
        <f>IF(Z$3=0,"",SUMIFS(INDEX(Inputs!$D$4:$AG$200,0,MATCH(Z$2,Inputs!$D$2:$AG$2,0)),Inputs!$B$4:$B$200,$B22)/1000)</f>
        <v>266.56</v>
      </c>
      <c r="AA22" s="11">
        <f>IF(AA$3=0,"",SUMIFS(INDEX(Inputs!$D$4:$AG$200,0,MATCH(AA$2,Inputs!$D$2:$AG$2,0)),Inputs!$B$4:$B$200,$B22)/1000)</f>
        <v>260.159</v>
      </c>
      <c r="AB22" s="12">
        <f>IF(AA22="","",AA22)</f>
        <v>260.159</v>
      </c>
      <c r="AC22" s="11">
        <f>IF(AC$3=0,"",SUMIFS(INDEX(Inputs!$D$4:$AG$200,0,MATCH(AC$2,Inputs!$D$2:$AG$2,0)),Inputs!$B$4:$B$200,$B22)/1000)</f>
        <v>273.319</v>
      </c>
      <c r="AD22" s="11">
        <f>IF(AD$3=0,"",SUMIFS(INDEX(Inputs!$D$4:$AG$200,0,MATCH(AD$2,Inputs!$D$2:$AG$2,0)),Inputs!$B$4:$B$200,$B22)/1000)</f>
        <v>273.325</v>
      </c>
      <c r="AE22" s="11" t="str">
        <f>IF(AE$3=0,"",SUMIFS(INDEX(Inputs!$D$4:$AG$200,0,MATCH(AE$2,Inputs!$D$2:$AG$2,0)),Inputs!$B$4:$B$200,$B22)/1000)</f>
        <v/>
      </c>
      <c r="AF22" s="11" t="str">
        <f>IF(AF$3=0,"",SUMIFS(INDEX(Inputs!$D$4:$AG$200,0,MATCH(AF$2,Inputs!$D$2:$AG$2,0)),Inputs!$B$4:$B$200,$B22)/1000)</f>
        <v/>
      </c>
      <c r="AG22" s="12" t="str">
        <f>IF(AF22="","",AF22)</f>
        <v/>
      </c>
    </row>
    <row r="23">
      <c r="B23" s="9" t="n">
        <v>19</v>
      </c>
      <c r="C23" s="14" t="inlineStr">
        <is>
          <t>Right-of-use-assets</t>
        </is>
      </c>
      <c r="D23" s="11">
        <f>IF(D$3=0,"",SUMIFS(INDEX(Inputs!$D$4:$AG$200,0,MATCH(D$2,Inputs!$D$2:$AG$2,0)),Inputs!$B$4:$B$200,$B23)/1000)</f>
        <v>0</v>
      </c>
      <c r="E23" s="11">
        <f>IF(E$3=0,"",SUMIFS(INDEX(Inputs!$D$4:$AG$200,0,MATCH(E$2,Inputs!$D$2:$AG$2,0)),Inputs!$B$4:$B$200,$B23)/1000)</f>
        <v>0</v>
      </c>
      <c r="F23" s="11">
        <f>IF(F$3=0,"",SUMIFS(INDEX(Inputs!$D$4:$AG$200,0,MATCH(F$2,Inputs!$D$2:$AG$2,0)),Inputs!$B$4:$B$200,$B23)/1000)</f>
        <v>0</v>
      </c>
      <c r="G23" s="11">
        <f>IF(G$3=0,"",SUMIFS(INDEX(Inputs!$D$4:$AG$200,0,MATCH(G$2,Inputs!$D$2:$AG$2,0)),Inputs!$B$4:$B$200,$B23)/1000)</f>
        <v>0</v>
      </c>
      <c r="H23" s="12">
        <f>IF(G23="","",G23)</f>
        <v>0</v>
      </c>
      <c r="I23" s="11">
        <f>IF(I$3=0,"",SUMIFS(INDEX(Inputs!$D$4:$AG$200,0,MATCH(I$2,Inputs!$D$2:$AG$2,0)),Inputs!$B$4:$B$200,$B23)/1000)</f>
        <v>0</v>
      </c>
      <c r="J23" s="11">
        <f>IF(J$3=0,"",SUMIFS(INDEX(Inputs!$D$4:$AG$200,0,MATCH(J$2,Inputs!$D$2:$AG$2,0)),Inputs!$B$4:$B$200,$B23)/1000)</f>
        <v>0</v>
      </c>
      <c r="K23" s="11">
        <f>IF(K$3=0,"",SUMIFS(INDEX(Inputs!$D$4:$AG$200,0,MATCH(K$2,Inputs!$D$2:$AG$2,0)),Inputs!$B$4:$B$200,$B23)/1000)</f>
        <v>0</v>
      </c>
      <c r="L23" s="11">
        <f>IF(L$3=0,"",SUMIFS(INDEX(Inputs!$D$4:$AG$200,0,MATCH(L$2,Inputs!$D$2:$AG$2,0)),Inputs!$B$4:$B$200,$B23)/1000)</f>
        <v>0</v>
      </c>
      <c r="M23" s="12">
        <f>IF(L23="","",L23)</f>
        <v>0</v>
      </c>
      <c r="N23" s="11">
        <f>IF(N$3=0,"",SUMIFS(INDEX(Inputs!$D$4:$AG$200,0,MATCH(N$2,Inputs!$D$2:$AG$2,0)),Inputs!$B$4:$B$200,$B23)/1000)</f>
        <v>0</v>
      </c>
      <c r="O23" s="11">
        <f>IF(O$3=0,"",SUMIFS(INDEX(Inputs!$D$4:$AG$200,0,MATCH(O$2,Inputs!$D$2:$AG$2,0)),Inputs!$B$4:$B$200,$B23)/1000)</f>
        <v>0</v>
      </c>
      <c r="P23" s="11">
        <f>IF(P$3=0,"",SUMIFS(INDEX(Inputs!$D$4:$AG$200,0,MATCH(P$2,Inputs!$D$2:$AG$2,0)),Inputs!$B$4:$B$200,$B23)/1000)</f>
        <v>0</v>
      </c>
      <c r="Q23" s="11">
        <f>IF(Q$3=0,"",SUMIFS(INDEX(Inputs!$D$4:$AG$200,0,MATCH(Q$2,Inputs!$D$2:$AG$2,0)),Inputs!$B$4:$B$200,$B23)/1000)</f>
        <v>0</v>
      </c>
      <c r="R23" s="12">
        <f>IF(Q23="","",Q23)</f>
        <v>0</v>
      </c>
      <c r="S23" s="11">
        <f>IF(S$3=0,"",SUMIFS(INDEX(Inputs!$D$4:$AG$200,0,MATCH(S$2,Inputs!$D$2:$AG$2,0)),Inputs!$B$4:$B$200,$B23)/1000)</f>
        <v>0</v>
      </c>
      <c r="T23" s="11">
        <f>IF(T$3=0,"",SUMIFS(INDEX(Inputs!$D$4:$AG$200,0,MATCH(T$2,Inputs!$D$2:$AG$2,0)),Inputs!$B$4:$B$200,$B23)/1000)</f>
        <v>0</v>
      </c>
      <c r="U23" s="11">
        <f>IF(U$3=0,"",SUMIFS(INDEX(Inputs!$D$4:$AG$200,0,MATCH(U$2,Inputs!$D$2:$AG$2,0)),Inputs!$B$4:$B$200,$B23)/1000)</f>
        <v>0</v>
      </c>
      <c r="V23" s="11">
        <f>IF(V$3=0,"",SUMIFS(INDEX(Inputs!$D$4:$AG$200,0,MATCH(V$2,Inputs!$D$2:$AG$2,0)),Inputs!$B$4:$B$200,$B23)/1000)</f>
        <v>0</v>
      </c>
      <c r="W23" s="12">
        <f>IF(V23="","",V23)</f>
        <v>0</v>
      </c>
      <c r="X23" s="11">
        <f>IF(X$3=0,"",SUMIFS(INDEX(Inputs!$D$4:$AG$200,0,MATCH(X$2,Inputs!$D$2:$AG$2,0)),Inputs!$B$4:$B$200,$B23)/1000)</f>
        <v>0</v>
      </c>
      <c r="Y23" s="11">
        <f>IF(Y$3=0,"",SUMIFS(INDEX(Inputs!$D$4:$AG$200,0,MATCH(Y$2,Inputs!$D$2:$AG$2,0)),Inputs!$B$4:$B$200,$B23)/1000)</f>
        <v>0</v>
      </c>
      <c r="Z23" s="11">
        <f>IF(Z$3=0,"",SUMIFS(INDEX(Inputs!$D$4:$AG$200,0,MATCH(Z$2,Inputs!$D$2:$AG$2,0)),Inputs!$B$4:$B$200,$B23)/1000)</f>
        <v>0</v>
      </c>
      <c r="AA23" s="11">
        <f>IF(AA$3=0,"",SUMIFS(INDEX(Inputs!$D$4:$AG$200,0,MATCH(AA$2,Inputs!$D$2:$AG$2,0)),Inputs!$B$4:$B$200,$B23)/1000)</f>
        <v>0</v>
      </c>
      <c r="AB23" s="12">
        <f>IF(AA23="","",AA23)</f>
        <v>0</v>
      </c>
      <c r="AC23" s="11">
        <f>IF(AC$3=0,"",SUMIFS(INDEX(Inputs!$D$4:$AG$200,0,MATCH(AC$2,Inputs!$D$2:$AG$2,0)),Inputs!$B$4:$B$200,$B23)/1000)</f>
        <v>0</v>
      </c>
      <c r="AD23" s="11">
        <f>IF(AD$3=0,"",SUMIFS(INDEX(Inputs!$D$4:$AG$200,0,MATCH(AD$2,Inputs!$D$2:$AG$2,0)),Inputs!$B$4:$B$200,$B23)/1000)</f>
        <v>0</v>
      </c>
      <c r="AE23" s="11" t="str">
        <f>IF(AE$3=0,"",SUMIFS(INDEX(Inputs!$D$4:$AG$200,0,MATCH(AE$2,Inputs!$D$2:$AG$2,0)),Inputs!$B$4:$B$200,$B23)/1000)</f>
        <v/>
      </c>
      <c r="AF23" s="11" t="str">
        <f>IF(AF$3=0,"",SUMIFS(INDEX(Inputs!$D$4:$AG$200,0,MATCH(AF$2,Inputs!$D$2:$AG$2,0)),Inputs!$B$4:$B$200,$B23)/1000)</f>
        <v/>
      </c>
      <c r="AG23" s="12" t="str">
        <f>IF(AF23="","",AF23)</f>
        <v/>
      </c>
    </row>
    <row r="24">
      <c r="B24" s="9" t="n">
        <v>20</v>
      </c>
      <c r="C24" s="14" t="inlineStr">
        <is>
          <t>Goodwill</t>
        </is>
      </c>
      <c r="D24" s="11">
        <f>IF(D$3=0,"",SUMIFS(INDEX(Inputs!$D$4:$AG$200,0,MATCH(D$2,Inputs!$D$2:$AG$2,0)),Inputs!$B$4:$B$200,$B24)/1000)</f>
        <v>0</v>
      </c>
      <c r="E24" s="11">
        <f>IF(E$3=0,"",SUMIFS(INDEX(Inputs!$D$4:$AG$200,0,MATCH(E$2,Inputs!$D$2:$AG$2,0)),Inputs!$B$4:$B$200,$B24)/1000)</f>
        <v>0</v>
      </c>
      <c r="F24" s="11">
        <f>IF(F$3=0,"",SUMIFS(INDEX(Inputs!$D$4:$AG$200,0,MATCH(F$2,Inputs!$D$2:$AG$2,0)),Inputs!$B$4:$B$200,$B24)/1000)</f>
        <v>0</v>
      </c>
      <c r="G24" s="11">
        <f>IF(G$3=0,"",SUMIFS(INDEX(Inputs!$D$4:$AG$200,0,MATCH(G$2,Inputs!$D$2:$AG$2,0)),Inputs!$B$4:$B$200,$B24)/1000)</f>
        <v>0</v>
      </c>
      <c r="H24" s="12">
        <f>IF(G24="","",G24)</f>
        <v>0</v>
      </c>
      <c r="I24" s="11">
        <f>IF(I$3=0,"",SUMIFS(INDEX(Inputs!$D$4:$AG$200,0,MATCH(I$2,Inputs!$D$2:$AG$2,0)),Inputs!$B$4:$B$200,$B24)/1000)</f>
        <v>0</v>
      </c>
      <c r="J24" s="11">
        <f>IF(J$3=0,"",SUMIFS(INDEX(Inputs!$D$4:$AG$200,0,MATCH(J$2,Inputs!$D$2:$AG$2,0)),Inputs!$B$4:$B$200,$B24)/1000)</f>
        <v>0</v>
      </c>
      <c r="K24" s="11">
        <f>IF(K$3=0,"",SUMIFS(INDEX(Inputs!$D$4:$AG$200,0,MATCH(K$2,Inputs!$D$2:$AG$2,0)),Inputs!$B$4:$B$200,$B24)/1000)</f>
        <v>0</v>
      </c>
      <c r="L24" s="11">
        <f>IF(L$3=0,"",SUMIFS(INDEX(Inputs!$D$4:$AG$200,0,MATCH(L$2,Inputs!$D$2:$AG$2,0)),Inputs!$B$4:$B$200,$B24)/1000)</f>
        <v>0</v>
      </c>
      <c r="M24" s="12">
        <f>IF(L24="","",L24)</f>
        <v>0</v>
      </c>
      <c r="N24" s="11">
        <f>IF(N$3=0,"",SUMIFS(INDEX(Inputs!$D$4:$AG$200,0,MATCH(N$2,Inputs!$D$2:$AG$2,0)),Inputs!$B$4:$B$200,$B24)/1000)</f>
        <v>0</v>
      </c>
      <c r="O24" s="11">
        <f>IF(O$3=0,"",SUMIFS(INDEX(Inputs!$D$4:$AG$200,0,MATCH(O$2,Inputs!$D$2:$AG$2,0)),Inputs!$B$4:$B$200,$B24)/1000)</f>
        <v>0</v>
      </c>
      <c r="P24" s="11">
        <f>IF(P$3=0,"",SUMIFS(INDEX(Inputs!$D$4:$AG$200,0,MATCH(P$2,Inputs!$D$2:$AG$2,0)),Inputs!$B$4:$B$200,$B24)/1000)</f>
        <v>0</v>
      </c>
      <c r="Q24" s="11">
        <f>IF(Q$3=0,"",SUMIFS(INDEX(Inputs!$D$4:$AG$200,0,MATCH(Q$2,Inputs!$D$2:$AG$2,0)),Inputs!$B$4:$B$200,$B24)/1000)</f>
        <v>0</v>
      </c>
      <c r="R24" s="12">
        <f>IF(Q24="","",Q24)</f>
        <v>0</v>
      </c>
      <c r="S24" s="11">
        <f>IF(S$3=0,"",SUMIFS(INDEX(Inputs!$D$4:$AG$200,0,MATCH(S$2,Inputs!$D$2:$AG$2,0)),Inputs!$B$4:$B$200,$B24)/1000)</f>
        <v>0</v>
      </c>
      <c r="T24" s="11">
        <f>IF(T$3=0,"",SUMIFS(INDEX(Inputs!$D$4:$AG$200,0,MATCH(T$2,Inputs!$D$2:$AG$2,0)),Inputs!$B$4:$B$200,$B24)/1000)</f>
        <v>0</v>
      </c>
      <c r="U24" s="11">
        <f>IF(U$3=0,"",SUMIFS(INDEX(Inputs!$D$4:$AG$200,0,MATCH(U$2,Inputs!$D$2:$AG$2,0)),Inputs!$B$4:$B$200,$B24)/1000)</f>
        <v>0</v>
      </c>
      <c r="V24" s="11">
        <f>IF(V$3=0,"",SUMIFS(INDEX(Inputs!$D$4:$AG$200,0,MATCH(V$2,Inputs!$D$2:$AG$2,0)),Inputs!$B$4:$B$200,$B24)/1000)</f>
        <v>0</v>
      </c>
      <c r="W24" s="12">
        <f>IF(V24="","",V24)</f>
        <v>0</v>
      </c>
      <c r="X24" s="11">
        <f>IF(X$3=0,"",SUMIFS(INDEX(Inputs!$D$4:$AG$200,0,MATCH(X$2,Inputs!$D$2:$AG$2,0)),Inputs!$B$4:$B$200,$B24)/1000)</f>
        <v>0</v>
      </c>
      <c r="Y24" s="11">
        <f>IF(Y$3=0,"",SUMIFS(INDEX(Inputs!$D$4:$AG$200,0,MATCH(Y$2,Inputs!$D$2:$AG$2,0)),Inputs!$B$4:$B$200,$B24)/1000)</f>
        <v>0</v>
      </c>
      <c r="Z24" s="11">
        <f>IF(Z$3=0,"",SUMIFS(INDEX(Inputs!$D$4:$AG$200,0,MATCH(Z$2,Inputs!$D$2:$AG$2,0)),Inputs!$B$4:$B$200,$B24)/1000)</f>
        <v>0</v>
      </c>
      <c r="AA24" s="11">
        <f>IF(AA$3=0,"",SUMIFS(INDEX(Inputs!$D$4:$AG$200,0,MATCH(AA$2,Inputs!$D$2:$AG$2,0)),Inputs!$B$4:$B$200,$B24)/1000)</f>
        <v>0</v>
      </c>
      <c r="AB24" s="12">
        <f>IF(AA24="","",AA24)</f>
        <v>0</v>
      </c>
      <c r="AC24" s="11">
        <f>IF(AC$3=0,"",SUMIFS(INDEX(Inputs!$D$4:$AG$200,0,MATCH(AC$2,Inputs!$D$2:$AG$2,0)),Inputs!$B$4:$B$200,$B24)/1000)</f>
        <v>0</v>
      </c>
      <c r="AD24" s="11">
        <f>IF(AD$3=0,"",SUMIFS(INDEX(Inputs!$D$4:$AG$200,0,MATCH(AD$2,Inputs!$D$2:$AG$2,0)),Inputs!$B$4:$B$200,$B24)/1000)</f>
        <v>0</v>
      </c>
      <c r="AE24" s="11" t="str">
        <f>IF(AE$3=0,"",SUMIFS(INDEX(Inputs!$D$4:$AG$200,0,MATCH(AE$2,Inputs!$D$2:$AG$2,0)),Inputs!$B$4:$B$200,$B24)/1000)</f>
        <v/>
      </c>
      <c r="AF24" s="11" t="str">
        <f>IF(AF$3=0,"",SUMIFS(INDEX(Inputs!$D$4:$AG$200,0,MATCH(AF$2,Inputs!$D$2:$AG$2,0)),Inputs!$B$4:$B$200,$B24)/1000)</f>
        <v/>
      </c>
      <c r="AG24" s="12" t="str">
        <f>IF(AF24="","",AF24)</f>
        <v/>
      </c>
    </row>
    <row r="25">
      <c r="B25" s="9" t="n">
        <v>21</v>
      </c>
      <c r="C25" s="14" t="inlineStr">
        <is>
          <t>Intangibles</t>
        </is>
      </c>
      <c r="D25" s="11">
        <f>IF(D$3=0,"",SUMIFS(INDEX(Inputs!$D$4:$AG$200,0,MATCH(D$2,Inputs!$D$2:$AG$2,0)),Inputs!$B$4:$B$200,$B25)/1000)</f>
        <v>18.879</v>
      </c>
      <c r="E25" s="11">
        <f>IF(E$3=0,"",SUMIFS(INDEX(Inputs!$D$4:$AG$200,0,MATCH(E$2,Inputs!$D$2:$AG$2,0)),Inputs!$B$4:$B$200,$B25)/1000)</f>
        <v>17.016</v>
      </c>
      <c r="F25" s="11">
        <f>IF(F$3=0,"",SUMIFS(INDEX(Inputs!$D$4:$AG$200,0,MATCH(F$2,Inputs!$D$2:$AG$2,0)),Inputs!$B$4:$B$200,$B25)/1000)</f>
        <v>17.101</v>
      </c>
      <c r="G25" s="11">
        <f>IF(G$3=0,"",SUMIFS(INDEX(Inputs!$D$4:$AG$200,0,MATCH(G$2,Inputs!$D$2:$AG$2,0)),Inputs!$B$4:$B$200,$B25)/1000)</f>
        <v>19.013</v>
      </c>
      <c r="H25" s="12">
        <f>IF(G25="","",G25)</f>
        <v>19.013</v>
      </c>
      <c r="I25" s="11">
        <f>IF(I$3=0,"",SUMIFS(INDEX(Inputs!$D$4:$AG$200,0,MATCH(I$2,Inputs!$D$2:$AG$2,0)),Inputs!$B$4:$B$200,$B25)/1000)</f>
        <v>20.756</v>
      </c>
      <c r="J25" s="11">
        <f>IF(J$3=0,"",SUMIFS(INDEX(Inputs!$D$4:$AG$200,0,MATCH(J$2,Inputs!$D$2:$AG$2,0)),Inputs!$B$4:$B$200,$B25)/1000)</f>
        <v>20.539</v>
      </c>
      <c r="K25" s="11">
        <f>IF(K$3=0,"",SUMIFS(INDEX(Inputs!$D$4:$AG$200,0,MATCH(K$2,Inputs!$D$2:$AG$2,0)),Inputs!$B$4:$B$200,$B25)/1000)</f>
        <v>20.707</v>
      </c>
      <c r="L25" s="11">
        <f>IF(L$3=0,"",SUMIFS(INDEX(Inputs!$D$4:$AG$200,0,MATCH(L$2,Inputs!$D$2:$AG$2,0)),Inputs!$B$4:$B$200,$B25)/1000)</f>
        <v>20.948</v>
      </c>
      <c r="M25" s="12">
        <f>IF(L25="","",L25)</f>
        <v>20.948</v>
      </c>
      <c r="N25" s="11">
        <f>IF(N$3=0,"",SUMIFS(INDEX(Inputs!$D$4:$AG$200,0,MATCH(N$2,Inputs!$D$2:$AG$2,0)),Inputs!$B$4:$B$200,$B25)/1000)</f>
        <v>24.60848646</v>
      </c>
      <c r="O25" s="11">
        <f>IF(O$3=0,"",SUMIFS(INDEX(Inputs!$D$4:$AG$200,0,MATCH(O$2,Inputs!$D$2:$AG$2,0)),Inputs!$B$4:$B$200,$B25)/1000)</f>
        <v>26.53</v>
      </c>
      <c r="P25" s="11">
        <f>IF(P$3=0,"",SUMIFS(INDEX(Inputs!$D$4:$AG$200,0,MATCH(P$2,Inputs!$D$2:$AG$2,0)),Inputs!$B$4:$B$200,$B25)/1000)</f>
        <v>30.878</v>
      </c>
      <c r="Q25" s="11">
        <f>IF(Q$3=0,"",SUMIFS(INDEX(Inputs!$D$4:$AG$200,0,MATCH(Q$2,Inputs!$D$2:$AG$2,0)),Inputs!$B$4:$B$200,$B25)/1000)</f>
        <v>35.578</v>
      </c>
      <c r="R25" s="12">
        <f>IF(Q25="","",Q25)</f>
        <v>35.578</v>
      </c>
      <c r="S25" s="11">
        <f>IF(S$3=0,"",SUMIFS(INDEX(Inputs!$D$4:$AG$200,0,MATCH(S$2,Inputs!$D$2:$AG$2,0)),Inputs!$B$4:$B$200,$B25)/1000)</f>
        <v>31.778</v>
      </c>
      <c r="T25" s="11">
        <f>IF(T$3=0,"",SUMIFS(INDEX(Inputs!$D$4:$AG$200,0,MATCH(T$2,Inputs!$D$2:$AG$2,0)),Inputs!$B$4:$B$200,$B25)/1000)</f>
        <v>32.497</v>
      </c>
      <c r="U25" s="11">
        <f>IF(U$3=0,"",SUMIFS(INDEX(Inputs!$D$4:$AG$200,0,MATCH(U$2,Inputs!$D$2:$AG$2,0)),Inputs!$B$4:$B$200,$B25)/1000)</f>
        <v>32.77127265</v>
      </c>
      <c r="V25" s="11">
        <f>IF(V$3=0,"",SUMIFS(INDEX(Inputs!$D$4:$AG$200,0,MATCH(V$2,Inputs!$D$2:$AG$2,0)),Inputs!$B$4:$B$200,$B25)/1000)</f>
        <v>34.046</v>
      </c>
      <c r="W25" s="12">
        <f>IF(V25="","",V25)</f>
        <v>34.046</v>
      </c>
      <c r="X25" s="11">
        <f>IF(X$3=0,"",SUMIFS(INDEX(Inputs!$D$4:$AG$200,0,MATCH(X$2,Inputs!$D$2:$AG$2,0)),Inputs!$B$4:$B$200,$B25)/1000)</f>
        <v>37.977</v>
      </c>
      <c r="Y25" s="11">
        <f>IF(Y$3=0,"",SUMIFS(INDEX(Inputs!$D$4:$AG$200,0,MATCH(Y$2,Inputs!$D$2:$AG$2,0)),Inputs!$B$4:$B$200,$B25)/1000)</f>
        <v>39.44</v>
      </c>
      <c r="Z25" s="11">
        <f>IF(Z$3=0,"",SUMIFS(INDEX(Inputs!$D$4:$AG$200,0,MATCH(Z$2,Inputs!$D$2:$AG$2,0)),Inputs!$B$4:$B$200,$B25)/1000)</f>
        <v>39.631</v>
      </c>
      <c r="AA25" s="11">
        <f>IF(AA$3=0,"",SUMIFS(INDEX(Inputs!$D$4:$AG$200,0,MATCH(AA$2,Inputs!$D$2:$AG$2,0)),Inputs!$B$4:$B$200,$B25)/1000)</f>
        <v>33.063</v>
      </c>
      <c r="AB25" s="12">
        <f>IF(AA25="","",AA25)</f>
        <v>33.063</v>
      </c>
      <c r="AC25" s="11">
        <f>IF(AC$3=0,"",SUMIFS(INDEX(Inputs!$D$4:$AG$200,0,MATCH(AC$2,Inputs!$D$2:$AG$2,0)),Inputs!$B$4:$B$200,$B25)/1000)</f>
        <v>31.375</v>
      </c>
      <c r="AD25" s="11">
        <f>IF(AD$3=0,"",SUMIFS(INDEX(Inputs!$D$4:$AG$200,0,MATCH(AD$2,Inputs!$D$2:$AG$2,0)),Inputs!$B$4:$B$200,$B25)/1000)</f>
        <v>31.367</v>
      </c>
      <c r="AE25" s="11" t="str">
        <f>IF(AE$3=0,"",SUMIFS(INDEX(Inputs!$D$4:$AG$200,0,MATCH(AE$2,Inputs!$D$2:$AG$2,0)),Inputs!$B$4:$B$200,$B25)/1000)</f>
        <v/>
      </c>
      <c r="AF25" s="11" t="str">
        <f>IF(AF$3=0,"",SUMIFS(INDEX(Inputs!$D$4:$AG$200,0,MATCH(AF$2,Inputs!$D$2:$AG$2,0)),Inputs!$B$4:$B$200,$B25)/1000)</f>
        <v/>
      </c>
      <c r="AG25" s="12" t="str">
        <f>IF(AF25="","",AF25)</f>
        <v/>
      </c>
    </row>
    <row r="26">
      <c r="B26" s="9" t="n">
        <v>22</v>
      </c>
      <c r="C26" s="14" t="inlineStr">
        <is>
          <t>Other non-current assets</t>
        </is>
      </c>
      <c r="D26" s="11">
        <f>IF(D$3=0,"",SUMIFS(INDEX(Inputs!$D$4:$AG$200,0,MATCH(D$2,Inputs!$D$2:$AG$2,0)),Inputs!$B$4:$B$200,$B26)/1000)</f>
        <v>27.603</v>
      </c>
      <c r="E26" s="11">
        <f>IF(E$3=0,"",SUMIFS(INDEX(Inputs!$D$4:$AG$200,0,MATCH(E$2,Inputs!$D$2:$AG$2,0)),Inputs!$B$4:$B$200,$B26)/1000)</f>
        <v>30.326</v>
      </c>
      <c r="F26" s="11">
        <f>IF(F$3=0,"",SUMIFS(INDEX(Inputs!$D$4:$AG$200,0,MATCH(F$2,Inputs!$D$2:$AG$2,0)),Inputs!$B$4:$B$200,$B26)/1000)</f>
        <v>35.915</v>
      </c>
      <c r="G26" s="11">
        <f>IF(G$3=0,"",SUMIFS(INDEX(Inputs!$D$4:$AG$200,0,MATCH(G$2,Inputs!$D$2:$AG$2,0)),Inputs!$B$4:$B$200,$B26)/1000)</f>
        <v>39.19</v>
      </c>
      <c r="H26" s="12">
        <f>IF(G26="","",G26)</f>
        <v>39.19</v>
      </c>
      <c r="I26" s="11">
        <f>IF(I$3=0,"",SUMIFS(INDEX(Inputs!$D$4:$AG$200,0,MATCH(I$2,Inputs!$D$2:$AG$2,0)),Inputs!$B$4:$B$200,$B26)/1000)</f>
        <v>39.674</v>
      </c>
      <c r="J26" s="11">
        <f>IF(J$3=0,"",SUMIFS(INDEX(Inputs!$D$4:$AG$200,0,MATCH(J$2,Inputs!$D$2:$AG$2,0)),Inputs!$B$4:$B$200,$B26)/1000)</f>
        <v>52.722</v>
      </c>
      <c r="K26" s="11">
        <f>IF(K$3=0,"",SUMIFS(INDEX(Inputs!$D$4:$AG$200,0,MATCH(K$2,Inputs!$D$2:$AG$2,0)),Inputs!$B$4:$B$200,$B26)/1000)</f>
        <v>43.181</v>
      </c>
      <c r="L26" s="11">
        <f>IF(L$3=0,"",SUMIFS(INDEX(Inputs!$D$4:$AG$200,0,MATCH(L$2,Inputs!$D$2:$AG$2,0)),Inputs!$B$4:$B$200,$B26)/1000)</f>
        <v>67.469</v>
      </c>
      <c r="M26" s="12">
        <f>IF(L26="","",L26)</f>
        <v>67.469</v>
      </c>
      <c r="N26" s="11">
        <f>IF(N$3=0,"",SUMIFS(INDEX(Inputs!$D$4:$AG$200,0,MATCH(N$2,Inputs!$D$2:$AG$2,0)),Inputs!$B$4:$B$200,$B26)/1000)</f>
        <v>95.44935349</v>
      </c>
      <c r="O26" s="11">
        <f>IF(O$3=0,"",SUMIFS(INDEX(Inputs!$D$4:$AG$200,0,MATCH(O$2,Inputs!$D$2:$AG$2,0)),Inputs!$B$4:$B$200,$B26)/1000)</f>
        <v>121.367</v>
      </c>
      <c r="P26" s="11">
        <f>IF(P$3=0,"",SUMIFS(INDEX(Inputs!$D$4:$AG$200,0,MATCH(P$2,Inputs!$D$2:$AG$2,0)),Inputs!$B$4:$B$200,$B26)/1000)</f>
        <v>130.404</v>
      </c>
      <c r="Q26" s="11">
        <f>IF(Q$3=0,"",SUMIFS(INDEX(Inputs!$D$4:$AG$200,0,MATCH(Q$2,Inputs!$D$2:$AG$2,0)),Inputs!$B$4:$B$200,$B26)/1000)</f>
        <v>166.563</v>
      </c>
      <c r="R26" s="12">
        <f>IF(Q26="","",Q26)</f>
        <v>166.563</v>
      </c>
      <c r="S26" s="11">
        <f>IF(S$3=0,"",SUMIFS(INDEX(Inputs!$D$4:$AG$200,0,MATCH(S$2,Inputs!$D$2:$AG$2,0)),Inputs!$B$4:$B$200,$B26)/1000)</f>
        <v>181.036</v>
      </c>
      <c r="T26" s="11">
        <f>IF(T$3=0,"",SUMIFS(INDEX(Inputs!$D$4:$AG$200,0,MATCH(T$2,Inputs!$D$2:$AG$2,0)),Inputs!$B$4:$B$200,$B26)/1000)</f>
        <v>240.356</v>
      </c>
      <c r="U26" s="11">
        <f>IF(U$3=0,"",SUMIFS(INDEX(Inputs!$D$4:$AG$200,0,MATCH(U$2,Inputs!$D$2:$AG$2,0)),Inputs!$B$4:$B$200,$B26)/1000)</f>
        <v>236.76052005</v>
      </c>
      <c r="V26" s="11">
        <f>IF(V$3=0,"",SUMIFS(INDEX(Inputs!$D$4:$AG$200,0,MATCH(V$2,Inputs!$D$2:$AG$2,0)),Inputs!$B$4:$B$200,$B26)/1000)</f>
        <v>293.023</v>
      </c>
      <c r="W26" s="12">
        <f>IF(V26="","",V26)</f>
        <v>293.023</v>
      </c>
      <c r="X26" s="11">
        <f>IF(X$3=0,"",SUMIFS(INDEX(Inputs!$D$4:$AG$200,0,MATCH(X$2,Inputs!$D$2:$AG$2,0)),Inputs!$B$4:$B$200,$B26)/1000)</f>
        <v>299.827</v>
      </c>
      <c r="Y26" s="11">
        <f>IF(Y$3=0,"",SUMIFS(INDEX(Inputs!$D$4:$AG$200,0,MATCH(Y$2,Inputs!$D$2:$AG$2,0)),Inputs!$B$4:$B$200,$B26)/1000)</f>
        <v>364.788</v>
      </c>
      <c r="Z26" s="11">
        <f>IF(Z$3=0,"",SUMIFS(INDEX(Inputs!$D$4:$AG$200,0,MATCH(Z$2,Inputs!$D$2:$AG$2,0)),Inputs!$B$4:$B$200,$B26)/1000)</f>
        <v>357.883</v>
      </c>
      <c r="AA26" s="11">
        <f>IF(AA$3=0,"",SUMIFS(INDEX(Inputs!$D$4:$AG$200,0,MATCH(AA$2,Inputs!$D$2:$AG$2,0)),Inputs!$B$4:$B$200,$B26)/1000)</f>
        <v>419.698</v>
      </c>
      <c r="AB26" s="12">
        <f>IF(AA26="","",AA26)</f>
        <v>419.698</v>
      </c>
      <c r="AC26" s="11">
        <f>IF(AC$3=0,"",SUMIFS(INDEX(Inputs!$D$4:$AG$200,0,MATCH(AC$2,Inputs!$D$2:$AG$2,0)),Inputs!$B$4:$B$200,$B26)/1000)</f>
        <v>447.53</v>
      </c>
      <c r="AD26" s="11">
        <f>IF(AD$3=0,"",SUMIFS(INDEX(Inputs!$D$4:$AG$200,0,MATCH(AD$2,Inputs!$D$2:$AG$2,0)),Inputs!$B$4:$B$200,$B26)/1000)</f>
        <v>525.84</v>
      </c>
      <c r="AE26" s="11" t="str">
        <f>IF(AE$3=0,"",SUMIFS(INDEX(Inputs!$D$4:$AG$200,0,MATCH(AE$2,Inputs!$D$2:$AG$2,0)),Inputs!$B$4:$B$200,$B26)/1000)</f>
        <v/>
      </c>
      <c r="AF26" s="11" t="str">
        <f>IF(AF$3=0,"",SUMIFS(INDEX(Inputs!$D$4:$AG$200,0,MATCH(AF$2,Inputs!$D$2:$AG$2,0)),Inputs!$B$4:$B$200,$B26)/1000)</f>
        <v/>
      </c>
      <c r="AG26" s="12" t="str">
        <f>IF(AF26="","",AF26)</f>
        <v/>
      </c>
    </row>
    <row r="27">
      <c r="C27" s="3" t="n"/>
    </row>
    <row r="28">
      <c r="B28" s="9" t="n">
        <v>23</v>
      </c>
      <c r="C28" s="14" t="inlineStr">
        <is>
          <t>Accounts payable</t>
        </is>
      </c>
      <c r="D28" s="11">
        <f>IF(D$3=0,"",SUMIFS(INDEX(Inputs!$D$4:$AG$200,0,MATCH(D$2,Inputs!$D$2:$AG$2,0)),Inputs!$B$4:$B$200,$B28)/1000)</f>
        <v>80.266</v>
      </c>
      <c r="E28" s="11">
        <f>IF(E$3=0,"",SUMIFS(INDEX(Inputs!$D$4:$AG$200,0,MATCH(E$2,Inputs!$D$2:$AG$2,0)),Inputs!$B$4:$B$200,$B28)/1000)</f>
        <v>88.375</v>
      </c>
      <c r="F28" s="11">
        <f>IF(F$3=0,"",SUMIFS(INDEX(Inputs!$D$4:$AG$200,0,MATCH(F$2,Inputs!$D$2:$AG$2,0)),Inputs!$B$4:$B$200,$B28)/1000)</f>
        <v>108.31</v>
      </c>
      <c r="G28" s="11">
        <f>IF(G$3=0,"",SUMIFS(INDEX(Inputs!$D$4:$AG$200,0,MATCH(G$2,Inputs!$D$2:$AG$2,0)),Inputs!$B$4:$B$200,$B28)/1000)</f>
        <v>92.054</v>
      </c>
      <c r="H28" s="12">
        <f>IF(G28="","",G28)</f>
        <v>92.054</v>
      </c>
      <c r="I28" s="11">
        <f>IF(I$3=0,"",SUMIFS(INDEX(Inputs!$D$4:$AG$200,0,MATCH(I$2,Inputs!$D$2:$AG$2,0)),Inputs!$B$4:$B$200,$B28)/1000)</f>
        <v>90.528</v>
      </c>
      <c r="J28" s="11">
        <f>IF(J$3=0,"",SUMIFS(INDEX(Inputs!$D$4:$AG$200,0,MATCH(J$2,Inputs!$D$2:$AG$2,0)),Inputs!$B$4:$B$200,$B28)/1000)</f>
        <v>101.161</v>
      </c>
      <c r="K28" s="11">
        <f>IF(K$3=0,"",SUMIFS(INDEX(Inputs!$D$4:$AG$200,0,MATCH(K$2,Inputs!$D$2:$AG$2,0)),Inputs!$B$4:$B$200,$B28)/1000)</f>
        <v>105.049</v>
      </c>
      <c r="L28" s="11">
        <f>IF(L$3=0,"",SUMIFS(INDEX(Inputs!$D$4:$AG$200,0,MATCH(L$2,Inputs!$D$2:$AG$2,0)),Inputs!$B$4:$B$200,$B28)/1000)</f>
        <v>122.694</v>
      </c>
      <c r="M28" s="12">
        <f>IF(L28="","",L28)</f>
        <v>122.694</v>
      </c>
      <c r="N28" s="11">
        <f>IF(N$3=0,"",SUMIFS(INDEX(Inputs!$D$4:$AG$200,0,MATCH(N$2,Inputs!$D$2:$AG$2,0)),Inputs!$B$4:$B$200,$B28)/1000)</f>
        <v>93.859</v>
      </c>
      <c r="O28" s="11">
        <f>IF(O$3=0,"",SUMIFS(INDEX(Inputs!$D$4:$AG$200,0,MATCH(O$2,Inputs!$D$2:$AG$2,0)),Inputs!$B$4:$B$200,$B28)/1000)</f>
        <v>119.771</v>
      </c>
      <c r="P28" s="11">
        <f>IF(P$3=0,"",SUMIFS(INDEX(Inputs!$D$4:$AG$200,0,MATCH(P$2,Inputs!$D$2:$AG$2,0)),Inputs!$B$4:$B$200,$B28)/1000)</f>
        <v>129.48</v>
      </c>
      <c r="Q28" s="11">
        <f>IF(Q$3=0,"",SUMIFS(INDEX(Inputs!$D$4:$AG$200,0,MATCH(Q$2,Inputs!$D$2:$AG$2,0)),Inputs!$B$4:$B$200,$B28)/1000)</f>
        <v>129.531</v>
      </c>
      <c r="R28" s="12">
        <f>IF(Q28="","",Q28)</f>
        <v>129.531</v>
      </c>
      <c r="S28" s="11">
        <f>IF(S$3=0,"",SUMIFS(INDEX(Inputs!$D$4:$AG$200,0,MATCH(S$2,Inputs!$D$2:$AG$2,0)),Inputs!$B$4:$B$200,$B28)/1000)</f>
        <v>135.026</v>
      </c>
      <c r="T28" s="11">
        <f>IF(T$3=0,"",SUMIFS(INDEX(Inputs!$D$4:$AG$200,0,MATCH(T$2,Inputs!$D$2:$AG$2,0)),Inputs!$B$4:$B$200,$B28)/1000)</f>
        <v>151.904</v>
      </c>
      <c r="U28" s="11">
        <f>IF(U$3=0,"",SUMIFS(INDEX(Inputs!$D$4:$AG$200,0,MATCH(U$2,Inputs!$D$2:$AG$2,0)),Inputs!$B$4:$B$200,$B28)/1000)</f>
        <v>164.819</v>
      </c>
      <c r="V28" s="11">
        <f>IF(V$3=0,"",SUMIFS(INDEX(Inputs!$D$4:$AG$200,0,MATCH(V$2,Inputs!$D$2:$AG$2,0)),Inputs!$B$4:$B$200,$B28)/1000)</f>
        <v>136.413</v>
      </c>
      <c r="W28" s="12">
        <f>IF(V28="","",V28)</f>
        <v>136.413</v>
      </c>
      <c r="X28" s="11">
        <f>IF(X$3=0,"",SUMIFS(INDEX(Inputs!$D$4:$AG$200,0,MATCH(X$2,Inputs!$D$2:$AG$2,0)),Inputs!$B$4:$B$200,$B28)/1000)</f>
        <v>143.845</v>
      </c>
      <c r="Y28" s="11">
        <f>IF(Y$3=0,"",SUMIFS(INDEX(Inputs!$D$4:$AG$200,0,MATCH(Y$2,Inputs!$D$2:$AG$2,0)),Inputs!$B$4:$B$200,$B28)/1000)</f>
        <v>152.806</v>
      </c>
      <c r="Z28" s="11">
        <f>IF(Z$3=0,"",SUMIFS(INDEX(Inputs!$D$4:$AG$200,0,MATCH(Z$2,Inputs!$D$2:$AG$2,0)),Inputs!$B$4:$B$200,$B28)/1000)</f>
        <v>186.16</v>
      </c>
      <c r="AA28" s="11">
        <f>IF(AA$3=0,"",SUMIFS(INDEX(Inputs!$D$4:$AG$200,0,MATCH(AA$2,Inputs!$D$2:$AG$2,0)),Inputs!$B$4:$B$200,$B28)/1000)</f>
        <v>194.23</v>
      </c>
      <c r="AB28" s="12">
        <f>IF(AA28="","",AA28)</f>
        <v>194.23</v>
      </c>
      <c r="AC28" s="11">
        <f>IF(AC$3=0,"",SUMIFS(INDEX(Inputs!$D$4:$AG$200,0,MATCH(AC$2,Inputs!$D$2:$AG$2,0)),Inputs!$B$4:$B$200,$B28)/1000)</f>
        <v>185.442</v>
      </c>
      <c r="AD28" s="11">
        <f>IF(AD$3=0,"",SUMIFS(INDEX(Inputs!$D$4:$AG$200,0,MATCH(AD$2,Inputs!$D$2:$AG$2,0)),Inputs!$B$4:$B$200,$B28)/1000)</f>
        <v>194.677</v>
      </c>
      <c r="AE28" s="11" t="str">
        <f>IF(AE$3=0,"",SUMIFS(INDEX(Inputs!$D$4:$AG$200,0,MATCH(AE$2,Inputs!$D$2:$AG$2,0)),Inputs!$B$4:$B$200,$B28)/1000)</f>
        <v/>
      </c>
      <c r="AF28" s="11" t="str">
        <f>IF(AF$3=0,"",SUMIFS(INDEX(Inputs!$D$4:$AG$200,0,MATCH(AF$2,Inputs!$D$2:$AG$2,0)),Inputs!$B$4:$B$200,$B28)/1000)</f>
        <v/>
      </c>
      <c r="AG28" s="12" t="str">
        <f>IF(AF28="","",AF28)</f>
        <v/>
      </c>
    </row>
    <row r="29">
      <c r="B29" s="9" t="n">
        <v>24</v>
      </c>
      <c r="C29" s="14" t="inlineStr">
        <is>
          <t>Accrued expenses</t>
        </is>
      </c>
      <c r="D29" s="11">
        <f>IF(D$3=0,"",SUMIFS(INDEX(Inputs!$D$4:$AG$200,0,MATCH(D$2,Inputs!$D$2:$AG$2,0)),Inputs!$B$4:$B$200,$B29)/1000)</f>
        <v>31.737</v>
      </c>
      <c r="E29" s="11">
        <f>IF(E$3=0,"",SUMIFS(INDEX(Inputs!$D$4:$AG$200,0,MATCH(E$2,Inputs!$D$2:$AG$2,0)),Inputs!$B$4:$B$200,$B29)/1000)</f>
        <v>33.542</v>
      </c>
      <c r="F29" s="11">
        <f>IF(F$3=0,"",SUMIFS(INDEX(Inputs!$D$4:$AG$200,0,MATCH(F$2,Inputs!$D$2:$AG$2,0)),Inputs!$B$4:$B$200,$B29)/1000)</f>
        <v>34.232</v>
      </c>
      <c r="G29" s="11">
        <f>IF(G$3=0,"",SUMIFS(INDEX(Inputs!$D$4:$AG$200,0,MATCH(G$2,Inputs!$D$2:$AG$2,0)),Inputs!$B$4:$B$200,$B29)/1000)</f>
        <v>31.827</v>
      </c>
      <c r="H29" s="12">
        <f>IF(G29="","",G29)</f>
        <v>31.827</v>
      </c>
      <c r="I29" s="11">
        <f>IF(I$3=0,"",SUMIFS(INDEX(Inputs!$D$4:$AG$200,0,MATCH(I$2,Inputs!$D$2:$AG$2,0)),Inputs!$B$4:$B$200,$B29)/1000)</f>
        <v>38.047</v>
      </c>
      <c r="J29" s="11">
        <f>IF(J$3=0,"",SUMIFS(INDEX(Inputs!$D$4:$AG$200,0,MATCH(J$2,Inputs!$D$2:$AG$2,0)),Inputs!$B$4:$B$200,$B29)/1000)</f>
        <v>45.393</v>
      </c>
      <c r="K29" s="11">
        <f>IF(K$3=0,"",SUMIFS(INDEX(Inputs!$D$4:$AG$200,0,MATCH(K$2,Inputs!$D$2:$AG$2,0)),Inputs!$B$4:$B$200,$B29)/1000)</f>
        <v>49.692</v>
      </c>
      <c r="L29" s="11">
        <f>IF(L$3=0,"",SUMIFS(INDEX(Inputs!$D$4:$AG$200,0,MATCH(L$2,Inputs!$D$2:$AG$2,0)),Inputs!$B$4:$B$200,$B29)/1000)</f>
        <v>39.233</v>
      </c>
      <c r="M29" s="12">
        <f>IF(L29="","",L29)</f>
        <v>39.233</v>
      </c>
      <c r="N29" s="11">
        <f>IF(N$3=0,"",SUMIFS(INDEX(Inputs!$D$4:$AG$200,0,MATCH(N$2,Inputs!$D$2:$AG$2,0)),Inputs!$B$4:$B$200,$B29)/1000)</f>
        <v>46.975</v>
      </c>
      <c r="O29" s="11">
        <f>IF(O$3=0,"",SUMIFS(INDEX(Inputs!$D$4:$AG$200,0,MATCH(O$2,Inputs!$D$2:$AG$2,0)),Inputs!$B$4:$B$200,$B29)/1000)</f>
        <v>48.699</v>
      </c>
      <c r="P29" s="11">
        <f>IF(P$3=0,"",SUMIFS(INDEX(Inputs!$D$4:$AG$200,0,MATCH(P$2,Inputs!$D$2:$AG$2,0)),Inputs!$B$4:$B$200,$B29)/1000)</f>
        <v>55.581</v>
      </c>
      <c r="Q29" s="11">
        <f>IF(Q$3=0,"",SUMIFS(INDEX(Inputs!$D$4:$AG$200,0,MATCH(Q$2,Inputs!$D$2:$AG$2,0)),Inputs!$B$4:$B$200,$B29)/1000)</f>
        <v>45.411</v>
      </c>
      <c r="R29" s="12">
        <f>IF(Q29="","",Q29)</f>
        <v>45.411</v>
      </c>
      <c r="S29" s="11">
        <f>IF(S$3=0,"",SUMIFS(INDEX(Inputs!$D$4:$AG$200,0,MATCH(S$2,Inputs!$D$2:$AG$2,0)),Inputs!$B$4:$B$200,$B29)/1000)</f>
        <v>57.288</v>
      </c>
      <c r="T29" s="11">
        <f>IF(T$3=0,"",SUMIFS(INDEX(Inputs!$D$4:$AG$200,0,MATCH(T$2,Inputs!$D$2:$AG$2,0)),Inputs!$B$4:$B$200,$B29)/1000)</f>
        <v>65.472</v>
      </c>
      <c r="U29" s="11">
        <f>IF(U$3=0,"",SUMIFS(INDEX(Inputs!$D$4:$AG$200,0,MATCH(U$2,Inputs!$D$2:$AG$2,0)),Inputs!$B$4:$B$200,$B29)/1000)</f>
        <v>76.0382945</v>
      </c>
      <c r="V29" s="11">
        <f>IF(V$3=0,"",SUMIFS(INDEX(Inputs!$D$4:$AG$200,0,MATCH(V$2,Inputs!$D$2:$AG$2,0)),Inputs!$B$4:$B$200,$B29)/1000)</f>
        <v>68.36</v>
      </c>
      <c r="W29" s="12">
        <f>IF(V29="","",V29)</f>
        <v>68.36</v>
      </c>
      <c r="X29" s="11">
        <f>IF(X$3=0,"",SUMIFS(INDEX(Inputs!$D$4:$AG$200,0,MATCH(X$2,Inputs!$D$2:$AG$2,0)),Inputs!$B$4:$B$200,$B29)/1000)</f>
        <v>82.388</v>
      </c>
      <c r="Y29" s="11">
        <f>IF(Y$3=0,"",SUMIFS(INDEX(Inputs!$D$4:$AG$200,0,MATCH(Y$2,Inputs!$D$2:$AG$2,0)),Inputs!$B$4:$B$200,$B29)/1000)</f>
        <v>81.795</v>
      </c>
      <c r="Z29" s="11">
        <f>IF(Z$3=0,"",SUMIFS(INDEX(Inputs!$D$4:$AG$200,0,MATCH(Z$2,Inputs!$D$2:$AG$2,0)),Inputs!$B$4:$B$200,$B29)/1000)</f>
        <v>103.684</v>
      </c>
      <c r="AA29" s="11">
        <f>IF(AA$3=0,"",SUMIFS(INDEX(Inputs!$D$4:$AG$200,0,MATCH(AA$2,Inputs!$D$2:$AG$2,0)),Inputs!$B$4:$B$200,$B29)/1000)</f>
        <v>87.815</v>
      </c>
      <c r="AB29" s="12">
        <f>IF(AA29="","",AA29)</f>
        <v>87.815</v>
      </c>
      <c r="AC29" s="11">
        <f>IF(AC$3=0,"",SUMIFS(INDEX(Inputs!$D$4:$AG$200,0,MATCH(AC$2,Inputs!$D$2:$AG$2,0)),Inputs!$B$4:$B$200,$B29)/1000)</f>
        <v>104.382</v>
      </c>
      <c r="AD29" s="11">
        <f>IF(AD$3=0,"",SUMIFS(INDEX(Inputs!$D$4:$AG$200,0,MATCH(AD$2,Inputs!$D$2:$AG$2,0)),Inputs!$B$4:$B$200,$B29)/1000)</f>
        <v>109.279</v>
      </c>
      <c r="AE29" s="11" t="str">
        <f>IF(AE$3=0,"",SUMIFS(INDEX(Inputs!$D$4:$AG$200,0,MATCH(AE$2,Inputs!$D$2:$AG$2,0)),Inputs!$B$4:$B$200,$B29)/1000)</f>
        <v/>
      </c>
      <c r="AF29" s="11" t="str">
        <f>IF(AF$3=0,"",SUMIFS(INDEX(Inputs!$D$4:$AG$200,0,MATCH(AF$2,Inputs!$D$2:$AG$2,0)),Inputs!$B$4:$B$200,$B29)/1000)</f>
        <v/>
      </c>
      <c r="AG29" s="12" t="str">
        <f>IF(AF29="","",AF29)</f>
        <v/>
      </c>
    </row>
    <row r="30">
      <c r="B30" s="9" t="n">
        <v>25</v>
      </c>
      <c r="C30" s="14" t="inlineStr">
        <is>
          <t>Taxes payable</t>
        </is>
      </c>
      <c r="D30" s="11">
        <f>IF(D$3=0,"",SUMIFS(INDEX(Inputs!$D$4:$AG$200,0,MATCH(D$2,Inputs!$D$2:$AG$2,0)),Inputs!$B$4:$B$200,$B30)/1000)</f>
        <v>21.877</v>
      </c>
      <c r="E30" s="11">
        <f>IF(E$3=0,"",SUMIFS(INDEX(Inputs!$D$4:$AG$200,0,MATCH(E$2,Inputs!$D$2:$AG$2,0)),Inputs!$B$4:$B$200,$B30)/1000)</f>
        <v>19.265</v>
      </c>
      <c r="F30" s="11">
        <f>IF(F$3=0,"",SUMIFS(INDEX(Inputs!$D$4:$AG$200,0,MATCH(F$2,Inputs!$D$2:$AG$2,0)),Inputs!$B$4:$B$200,$B30)/1000)</f>
        <v>19.105</v>
      </c>
      <c r="G30" s="11">
        <f>IF(G$3=0,"",SUMIFS(INDEX(Inputs!$D$4:$AG$200,0,MATCH(G$2,Inputs!$D$2:$AG$2,0)),Inputs!$B$4:$B$200,$B30)/1000)</f>
        <v>25.094</v>
      </c>
      <c r="H30" s="12">
        <f>IF(G30="","",G30)</f>
        <v>25.094</v>
      </c>
      <c r="I30" s="11">
        <f>IF(I$3=0,"",SUMIFS(INDEX(Inputs!$D$4:$AG$200,0,MATCH(I$2,Inputs!$D$2:$AG$2,0)),Inputs!$B$4:$B$200,$B30)/1000)</f>
        <v>24.061</v>
      </c>
      <c r="J30" s="11">
        <f>IF(J$3=0,"",SUMIFS(INDEX(Inputs!$D$4:$AG$200,0,MATCH(J$2,Inputs!$D$2:$AG$2,0)),Inputs!$B$4:$B$200,$B30)/1000)</f>
        <v>29.073</v>
      </c>
      <c r="K30" s="11">
        <f>IF(K$3=0,"",SUMIFS(INDEX(Inputs!$D$4:$AG$200,0,MATCH(K$2,Inputs!$D$2:$AG$2,0)),Inputs!$B$4:$B$200,$B30)/1000)</f>
        <v>27.585</v>
      </c>
      <c r="L30" s="11">
        <f>IF(L$3=0,"",SUMIFS(INDEX(Inputs!$D$4:$AG$200,0,MATCH(L$2,Inputs!$D$2:$AG$2,0)),Inputs!$B$4:$B$200,$B30)/1000)</f>
        <v>28.69</v>
      </c>
      <c r="M30" s="12">
        <f>IF(L30="","",L30)</f>
        <v>28.69</v>
      </c>
      <c r="N30" s="11">
        <f>IF(N$3=0,"",SUMIFS(INDEX(Inputs!$D$4:$AG$200,0,MATCH(N$2,Inputs!$D$2:$AG$2,0)),Inputs!$B$4:$B$200,$B30)/1000)</f>
        <v>30.04</v>
      </c>
      <c r="O30" s="11">
        <f>IF(O$3=0,"",SUMIFS(INDEX(Inputs!$D$4:$AG$200,0,MATCH(O$2,Inputs!$D$2:$AG$2,0)),Inputs!$B$4:$B$200,$B30)/1000)</f>
        <v>29.897</v>
      </c>
      <c r="P30" s="11">
        <f>IF(P$3=0,"",SUMIFS(INDEX(Inputs!$D$4:$AG$200,0,MATCH(P$2,Inputs!$D$2:$AG$2,0)),Inputs!$B$4:$B$200,$B30)/1000)</f>
        <v>30.233</v>
      </c>
      <c r="Q30" s="11">
        <f>IF(Q$3=0,"",SUMIFS(INDEX(Inputs!$D$4:$AG$200,0,MATCH(Q$2,Inputs!$D$2:$AG$2,0)),Inputs!$B$4:$B$200,$B30)/1000)</f>
        <v>36.179</v>
      </c>
      <c r="R30" s="12">
        <f>IF(Q30="","",Q30)</f>
        <v>36.179</v>
      </c>
      <c r="S30" s="11">
        <f>IF(S$3=0,"",SUMIFS(INDEX(Inputs!$D$4:$AG$200,0,MATCH(S$2,Inputs!$D$2:$AG$2,0)),Inputs!$B$4:$B$200,$B30)/1000)</f>
        <v>28.771</v>
      </c>
      <c r="T30" s="11">
        <f>IF(T$3=0,"",SUMIFS(INDEX(Inputs!$D$4:$AG$200,0,MATCH(T$2,Inputs!$D$2:$AG$2,0)),Inputs!$B$4:$B$200,$B30)/1000)</f>
        <v>43.321</v>
      </c>
      <c r="U30" s="11">
        <f>IF(U$3=0,"",SUMIFS(INDEX(Inputs!$D$4:$AG$200,0,MATCH(U$2,Inputs!$D$2:$AG$2,0)),Inputs!$B$4:$B$200,$B30)/1000)</f>
        <v>48.86177512</v>
      </c>
      <c r="V30" s="11">
        <f>IF(V$3=0,"",SUMIFS(INDEX(Inputs!$D$4:$AG$200,0,MATCH(V$2,Inputs!$D$2:$AG$2,0)),Inputs!$B$4:$B$200,$B30)/1000)</f>
        <v>55.567</v>
      </c>
      <c r="W30" s="12">
        <f>IF(V30="","",V30)</f>
        <v>55.567</v>
      </c>
      <c r="X30" s="11">
        <f>IF(X$3=0,"",SUMIFS(INDEX(Inputs!$D$4:$AG$200,0,MATCH(X$2,Inputs!$D$2:$AG$2,0)),Inputs!$B$4:$B$200,$B30)/1000)</f>
        <v>51.397</v>
      </c>
      <c r="Y30" s="11">
        <f>IF(Y$3=0,"",SUMIFS(INDEX(Inputs!$D$4:$AG$200,0,MATCH(Y$2,Inputs!$D$2:$AG$2,0)),Inputs!$B$4:$B$200,$B30)/1000)</f>
        <v>58.918</v>
      </c>
      <c r="Z30" s="11">
        <f>IF(Z$3=0,"",SUMIFS(INDEX(Inputs!$D$4:$AG$200,0,MATCH(Z$2,Inputs!$D$2:$AG$2,0)),Inputs!$B$4:$B$200,$B30)/1000)</f>
        <v>58.012</v>
      </c>
      <c r="AA30" s="11">
        <f>IF(AA$3=0,"",SUMIFS(INDEX(Inputs!$D$4:$AG$200,0,MATCH(AA$2,Inputs!$D$2:$AG$2,0)),Inputs!$B$4:$B$200,$B30)/1000)</f>
        <v>67.093</v>
      </c>
      <c r="AB30" s="12">
        <f>IF(AA30="","",AA30)</f>
        <v>67.093</v>
      </c>
      <c r="AC30" s="11">
        <f>IF(AC$3=0,"",SUMIFS(INDEX(Inputs!$D$4:$AG$200,0,MATCH(AC$2,Inputs!$D$2:$AG$2,0)),Inputs!$B$4:$B$200,$B30)/1000)</f>
        <v>59.56</v>
      </c>
      <c r="AD30" s="11">
        <f>IF(AD$3=0,"",SUMIFS(INDEX(Inputs!$D$4:$AG$200,0,MATCH(AD$2,Inputs!$D$2:$AG$2,0)),Inputs!$B$4:$B$200,$B30)/1000)</f>
        <v>63.979</v>
      </c>
      <c r="AE30" s="11" t="str">
        <f>IF(AE$3=0,"",SUMIFS(INDEX(Inputs!$D$4:$AG$200,0,MATCH(AE$2,Inputs!$D$2:$AG$2,0)),Inputs!$B$4:$B$200,$B30)/1000)</f>
        <v/>
      </c>
      <c r="AF30" s="11" t="str">
        <f>IF(AF$3=0,"",SUMIFS(INDEX(Inputs!$D$4:$AG$200,0,MATCH(AF$2,Inputs!$D$2:$AG$2,0)),Inputs!$B$4:$B$200,$B30)/1000)</f>
        <v/>
      </c>
      <c r="AG30" s="12" t="str">
        <f>IF(AF30="","",AF30)</f>
        <v/>
      </c>
    </row>
    <row r="31">
      <c r="B31" s="9" t="n">
        <v>26</v>
      </c>
      <c r="C31" s="14" t="inlineStr">
        <is>
          <t>Other current liabilities (non-debt)</t>
        </is>
      </c>
      <c r="D31" s="11">
        <f>IF(D$3=0,"",SUMIFS(INDEX(Inputs!$D$4:$AG$200,0,MATCH(D$2,Inputs!$D$2:$AG$2,0)),Inputs!$B$4:$B$200,$B31)/1000)</f>
        <v>218.856</v>
      </c>
      <c r="E31" s="11">
        <f>IF(E$3=0,"",SUMIFS(INDEX(Inputs!$D$4:$AG$200,0,MATCH(E$2,Inputs!$D$2:$AG$2,0)),Inputs!$B$4:$B$200,$B31)/1000)</f>
        <v>229.513</v>
      </c>
      <c r="F31" s="11">
        <f>IF(F$3=0,"",SUMIFS(INDEX(Inputs!$D$4:$AG$200,0,MATCH(F$2,Inputs!$D$2:$AG$2,0)),Inputs!$B$4:$B$200,$B31)/1000)</f>
        <v>215.793</v>
      </c>
      <c r="G31" s="11">
        <f>IF(G$3=0,"",SUMIFS(INDEX(Inputs!$D$4:$AG$200,0,MATCH(G$2,Inputs!$D$2:$AG$2,0)),Inputs!$B$4:$B$200,$B31)/1000)</f>
        <v>210.573</v>
      </c>
      <c r="H31" s="12">
        <f>IF(G31="","",G31)</f>
        <v>210.573</v>
      </c>
      <c r="I31" s="11">
        <f>IF(I$3=0,"",SUMIFS(INDEX(Inputs!$D$4:$AG$200,0,MATCH(I$2,Inputs!$D$2:$AG$2,0)),Inputs!$B$4:$B$200,$B31)/1000)</f>
        <v>281.125</v>
      </c>
      <c r="J31" s="11">
        <f>IF(J$3=0,"",SUMIFS(INDEX(Inputs!$D$4:$AG$200,0,MATCH(J$2,Inputs!$D$2:$AG$2,0)),Inputs!$B$4:$B$200,$B31)/1000)</f>
        <v>318.676</v>
      </c>
      <c r="K31" s="11">
        <f>IF(K$3=0,"",SUMIFS(INDEX(Inputs!$D$4:$AG$200,0,MATCH(K$2,Inputs!$D$2:$AG$2,0)),Inputs!$B$4:$B$200,$B31)/1000)</f>
        <v>349.526</v>
      </c>
      <c r="L31" s="11">
        <f>IF(L$3=0,"",SUMIFS(INDEX(Inputs!$D$4:$AG$200,0,MATCH(L$2,Inputs!$D$2:$AG$2,0)),Inputs!$B$4:$B$200,$B31)/1000)</f>
        <v>406.553</v>
      </c>
      <c r="M31" s="12">
        <f>IF(L31="","",L31)</f>
        <v>406.553</v>
      </c>
      <c r="N31" s="11">
        <f>IF(N$3=0,"",SUMIFS(INDEX(Inputs!$D$4:$AG$200,0,MATCH(N$2,Inputs!$D$2:$AG$2,0)),Inputs!$B$4:$B$200,$B31)/1000)</f>
        <v>374.677</v>
      </c>
      <c r="O31" s="11">
        <f>IF(O$3=0,"",SUMIFS(INDEX(Inputs!$D$4:$AG$200,0,MATCH(O$2,Inputs!$D$2:$AG$2,0)),Inputs!$B$4:$B$200,$B31)/1000)</f>
        <v>370.221</v>
      </c>
      <c r="P31" s="11">
        <f>IF(P$3=0,"",SUMIFS(INDEX(Inputs!$D$4:$AG$200,0,MATCH(P$2,Inputs!$D$2:$AG$2,0)),Inputs!$B$4:$B$200,$B31)/1000)</f>
        <v>397.175</v>
      </c>
      <c r="Q31" s="11">
        <f>IF(Q$3=0,"",SUMIFS(INDEX(Inputs!$D$4:$AG$200,0,MATCH(Q$2,Inputs!$D$2:$AG$2,0)),Inputs!$B$4:$B$200,$B31)/1000)</f>
        <v>589.256</v>
      </c>
      <c r="R31" s="12">
        <f>IF(Q31="","",Q31)</f>
        <v>589.256</v>
      </c>
      <c r="S31" s="11">
        <f>IF(S$3=0,"",SUMIFS(INDEX(Inputs!$D$4:$AG$200,0,MATCH(S$2,Inputs!$D$2:$AG$2,0)),Inputs!$B$4:$B$200,$B31)/1000)</f>
        <v>506.394</v>
      </c>
      <c r="T31" s="11">
        <f>IF(T$3=0,"",SUMIFS(INDEX(Inputs!$D$4:$AG$200,0,MATCH(T$2,Inputs!$D$2:$AG$2,0)),Inputs!$B$4:$B$200,$B31)/1000)</f>
        <v>619.464</v>
      </c>
      <c r="U31" s="11">
        <f>IF(U$3=0,"",SUMIFS(INDEX(Inputs!$D$4:$AG$200,0,MATCH(U$2,Inputs!$D$2:$AG$2,0)),Inputs!$B$4:$B$200,$B31)/1000)</f>
        <v>716.36483915</v>
      </c>
      <c r="V31" s="11">
        <f>IF(V$3=0,"",SUMIFS(INDEX(Inputs!$D$4:$AG$200,0,MATCH(V$2,Inputs!$D$2:$AG$2,0)),Inputs!$B$4:$B$200,$B31)/1000)</f>
        <v>1037.545</v>
      </c>
      <c r="W31" s="12">
        <f>IF(V31="","",V31)</f>
        <v>1037.545</v>
      </c>
      <c r="X31" s="11">
        <f>IF(X$3=0,"",SUMIFS(INDEX(Inputs!$D$4:$AG$200,0,MATCH(X$2,Inputs!$D$2:$AG$2,0)),Inputs!$B$4:$B$200,$B31)/1000)</f>
        <v>746.052</v>
      </c>
      <c r="Y31" s="11">
        <f>IF(Y$3=0,"",SUMIFS(INDEX(Inputs!$D$4:$AG$200,0,MATCH(Y$2,Inputs!$D$2:$AG$2,0)),Inputs!$B$4:$B$200,$B31)/1000)</f>
        <v>1234.979</v>
      </c>
      <c r="Z31" s="11">
        <f>IF(Z$3=0,"",SUMIFS(INDEX(Inputs!$D$4:$AG$200,0,MATCH(Z$2,Inputs!$D$2:$AG$2,0)),Inputs!$B$4:$B$200,$B31)/1000)</f>
        <v>831.256</v>
      </c>
      <c r="AA31" s="11">
        <f>IF(AA$3=0,"",SUMIFS(INDEX(Inputs!$D$4:$AG$200,0,MATCH(AA$2,Inputs!$D$2:$AG$2,0)),Inputs!$B$4:$B$200,$B31)/1000)</f>
        <v>984.554</v>
      </c>
      <c r="AB31" s="12">
        <f>IF(AA31="","",AA31)</f>
        <v>984.554</v>
      </c>
      <c r="AC31" s="11">
        <f>IF(AC$3=0,"",SUMIFS(INDEX(Inputs!$D$4:$AG$200,0,MATCH(AC$2,Inputs!$D$2:$AG$2,0)),Inputs!$B$4:$B$200,$B31)/1000)</f>
        <v>922.947</v>
      </c>
      <c r="AD31" s="11">
        <f>IF(AD$3=0,"",SUMIFS(INDEX(Inputs!$D$4:$AG$200,0,MATCH(AD$2,Inputs!$D$2:$AG$2,0)),Inputs!$B$4:$B$200,$B31)/1000)</f>
        <v>1007.559</v>
      </c>
      <c r="AE31" s="11" t="str">
        <f>IF(AE$3=0,"",SUMIFS(INDEX(Inputs!$D$4:$AG$200,0,MATCH(AE$2,Inputs!$D$2:$AG$2,0)),Inputs!$B$4:$B$200,$B31)/1000)</f>
        <v/>
      </c>
      <c r="AF31" s="11" t="str">
        <f>IF(AF$3=0,"",SUMIFS(INDEX(Inputs!$D$4:$AG$200,0,MATCH(AF$2,Inputs!$D$2:$AG$2,0)),Inputs!$B$4:$B$200,$B31)/1000)</f>
        <v/>
      </c>
      <c r="AG31" s="12" t="str">
        <f>IF(AF31="","",AF31)</f>
        <v/>
      </c>
    </row>
    <row r="32">
      <c r="B32" s="9" t="n">
        <v>27</v>
      </c>
      <c r="C32" s="14" t="inlineStr">
        <is>
          <t>Current portion of long-term debt</t>
        </is>
      </c>
      <c r="D32" s="11">
        <f>IF(D$3=0,"",SUMIFS(INDEX(Inputs!$D$4:$AG$200,0,MATCH(D$2,Inputs!$D$2:$AG$2,0)),Inputs!$B$4:$B$200,$B32)/1000)</f>
        <v>193.649</v>
      </c>
      <c r="E32" s="11">
        <f>IF(E$3=0,"",SUMIFS(INDEX(Inputs!$D$4:$AG$200,0,MATCH(E$2,Inputs!$D$2:$AG$2,0)),Inputs!$B$4:$B$200,$B32)/1000)</f>
        <v>122.243</v>
      </c>
      <c r="F32" s="11">
        <f>IF(F$3=0,"",SUMIFS(INDEX(Inputs!$D$4:$AG$200,0,MATCH(F$2,Inputs!$D$2:$AG$2,0)),Inputs!$B$4:$B$200,$B32)/1000)</f>
        <v>151.78</v>
      </c>
      <c r="G32" s="11">
        <f>IF(G$3=0,"",SUMIFS(INDEX(Inputs!$D$4:$AG$200,0,MATCH(G$2,Inputs!$D$2:$AG$2,0)),Inputs!$B$4:$B$200,$B32)/1000)</f>
        <v>127.205</v>
      </c>
      <c r="H32" s="12">
        <f>IF(G32="","",G32)</f>
        <v>127.205</v>
      </c>
      <c r="I32" s="11">
        <f>IF(I$3=0,"",SUMIFS(INDEX(Inputs!$D$4:$AG$200,0,MATCH(I$2,Inputs!$D$2:$AG$2,0)),Inputs!$B$4:$B$200,$B32)/1000)</f>
        <v>178.275</v>
      </c>
      <c r="J32" s="11">
        <f>IF(J$3=0,"",SUMIFS(INDEX(Inputs!$D$4:$AG$200,0,MATCH(J$2,Inputs!$D$2:$AG$2,0)),Inputs!$B$4:$B$200,$B32)/1000)</f>
        <v>139.362</v>
      </c>
      <c r="K32" s="11">
        <f>IF(K$3=0,"",SUMIFS(INDEX(Inputs!$D$4:$AG$200,0,MATCH(K$2,Inputs!$D$2:$AG$2,0)),Inputs!$B$4:$B$200,$B32)/1000)</f>
        <v>296.727</v>
      </c>
      <c r="L32" s="11">
        <f>IF(L$3=0,"",SUMIFS(INDEX(Inputs!$D$4:$AG$200,0,MATCH(L$2,Inputs!$D$2:$AG$2,0)),Inputs!$B$4:$B$200,$B32)/1000)</f>
        <v>309.722</v>
      </c>
      <c r="M32" s="12">
        <f>IF(L32="","",L32)</f>
        <v>309.722</v>
      </c>
      <c r="N32" s="11">
        <f>IF(N$3=0,"",SUMIFS(INDEX(Inputs!$D$4:$AG$200,0,MATCH(N$2,Inputs!$D$2:$AG$2,0)),Inputs!$B$4:$B$200,$B32)/1000)</f>
        <v>312.729</v>
      </c>
      <c r="O32" s="11">
        <f>IF(O$3=0,"",SUMIFS(INDEX(Inputs!$D$4:$AG$200,0,MATCH(O$2,Inputs!$D$2:$AG$2,0)),Inputs!$B$4:$B$200,$B32)/1000)</f>
        <v>326.169</v>
      </c>
      <c r="P32" s="11">
        <f>IF(P$3=0,"",SUMIFS(INDEX(Inputs!$D$4:$AG$200,0,MATCH(P$2,Inputs!$D$2:$AG$2,0)),Inputs!$B$4:$B$200,$B32)/1000)</f>
        <v>319.628</v>
      </c>
      <c r="Q32" s="11">
        <f>IF(Q$3=0,"",SUMIFS(INDEX(Inputs!$D$4:$AG$200,0,MATCH(Q$2,Inputs!$D$2:$AG$2,0)),Inputs!$B$4:$B$200,$B32)/1000)</f>
        <v>234.933</v>
      </c>
      <c r="R32" s="12">
        <f>IF(Q32="","",Q32)</f>
        <v>234.933</v>
      </c>
      <c r="S32" s="11">
        <f>IF(S$3=0,"",SUMIFS(INDEX(Inputs!$D$4:$AG$200,0,MATCH(S$2,Inputs!$D$2:$AG$2,0)),Inputs!$B$4:$B$200,$B32)/1000)</f>
        <v>254.827</v>
      </c>
      <c r="T32" s="11">
        <f>IF(T$3=0,"",SUMIFS(INDEX(Inputs!$D$4:$AG$200,0,MATCH(T$2,Inputs!$D$2:$AG$2,0)),Inputs!$B$4:$B$200,$B32)/1000)</f>
        <v>248.566</v>
      </c>
      <c r="U32" s="11">
        <f>IF(U$3=0,"",SUMIFS(INDEX(Inputs!$D$4:$AG$200,0,MATCH(U$2,Inputs!$D$2:$AG$2,0)),Inputs!$B$4:$B$200,$B32)/1000)</f>
        <v>268.59238487</v>
      </c>
      <c r="V32" s="11">
        <f>IF(V$3=0,"",SUMIFS(INDEX(Inputs!$D$4:$AG$200,0,MATCH(V$2,Inputs!$D$2:$AG$2,0)),Inputs!$B$4:$B$200,$B32)/1000)</f>
        <v>202.562</v>
      </c>
      <c r="W32" s="12">
        <f>IF(V32="","",V32)</f>
        <v>202.562</v>
      </c>
      <c r="X32" s="11">
        <f>IF(X$3=0,"",SUMIFS(INDEX(Inputs!$D$4:$AG$200,0,MATCH(X$2,Inputs!$D$2:$AG$2,0)),Inputs!$B$4:$B$200,$B32)/1000)</f>
        <v>192.587</v>
      </c>
      <c r="Y32" s="11">
        <f>IF(Y$3=0,"",SUMIFS(INDEX(Inputs!$D$4:$AG$200,0,MATCH(Y$2,Inputs!$D$2:$AG$2,0)),Inputs!$B$4:$B$200,$B32)/1000)</f>
        <v>252.391</v>
      </c>
      <c r="Z32" s="11">
        <f>IF(Z$3=0,"",SUMIFS(INDEX(Inputs!$D$4:$AG$200,0,MATCH(Z$2,Inputs!$D$2:$AG$2,0)),Inputs!$B$4:$B$200,$B32)/1000)</f>
        <v>238.164</v>
      </c>
      <c r="AA32" s="11">
        <f>IF(AA$3=0,"",SUMIFS(INDEX(Inputs!$D$4:$AG$200,0,MATCH(AA$2,Inputs!$D$2:$AG$2,0)),Inputs!$B$4:$B$200,$B32)/1000)</f>
        <v>274.805</v>
      </c>
      <c r="AB32" s="12">
        <f>IF(AA32="","",AA32)</f>
        <v>274.805</v>
      </c>
      <c r="AC32" s="11">
        <f>IF(AC$3=0,"",SUMIFS(INDEX(Inputs!$D$4:$AG$200,0,MATCH(AC$2,Inputs!$D$2:$AG$2,0)),Inputs!$B$4:$B$200,$B32)/1000)</f>
        <v>282.086</v>
      </c>
      <c r="AD32" s="11">
        <f>IF(AD$3=0,"",SUMIFS(INDEX(Inputs!$D$4:$AG$200,0,MATCH(AD$2,Inputs!$D$2:$AG$2,0)),Inputs!$B$4:$B$200,$B32)/1000)</f>
        <v>297.868</v>
      </c>
      <c r="AE32" s="11" t="str">
        <f>IF(AE$3=0,"",SUMIFS(INDEX(Inputs!$D$4:$AG$200,0,MATCH(AE$2,Inputs!$D$2:$AG$2,0)),Inputs!$B$4:$B$200,$B32)/1000)</f>
        <v/>
      </c>
      <c r="AF32" s="11" t="str">
        <f>IF(AF$3=0,"",SUMIFS(INDEX(Inputs!$D$4:$AG$200,0,MATCH(AF$2,Inputs!$D$2:$AG$2,0)),Inputs!$B$4:$B$200,$B32)/1000)</f>
        <v/>
      </c>
      <c r="AG32" s="12" t="str">
        <f>IF(AF32="","",AF32)</f>
        <v/>
      </c>
    </row>
    <row r="33">
      <c r="B33" s="9" t="n">
        <v>28</v>
      </c>
      <c r="C33" s="14" t="inlineStr">
        <is>
          <t>Short term debt (Revolving credit facility)</t>
        </is>
      </c>
      <c r="D33" s="11">
        <f>IF(D$3=0,"",SUMIFS(INDEX(Inputs!$D$4:$AG$200,0,MATCH(D$2,Inputs!$D$2:$AG$2,0)),Inputs!$B$4:$B$200,$B33)/1000)</f>
        <v>0</v>
      </c>
      <c r="E33" s="11">
        <f>IF(E$3=0,"",SUMIFS(INDEX(Inputs!$D$4:$AG$200,0,MATCH(E$2,Inputs!$D$2:$AG$2,0)),Inputs!$B$4:$B$200,$B33)/1000)</f>
        <v>0</v>
      </c>
      <c r="F33" s="11">
        <f>IF(F$3=0,"",SUMIFS(INDEX(Inputs!$D$4:$AG$200,0,MATCH(F$2,Inputs!$D$2:$AG$2,0)),Inputs!$B$4:$B$200,$B33)/1000)</f>
        <v>0</v>
      </c>
      <c r="G33" s="11">
        <f>IF(G$3=0,"",SUMIFS(INDEX(Inputs!$D$4:$AG$200,0,MATCH(G$2,Inputs!$D$2:$AG$2,0)),Inputs!$B$4:$B$200,$B33)/1000)</f>
        <v>0</v>
      </c>
      <c r="H33" s="12">
        <f>IF(G33="","",G33)</f>
        <v>0</v>
      </c>
      <c r="I33" s="11">
        <f>IF(I$3=0,"",SUMIFS(INDEX(Inputs!$D$4:$AG$200,0,MATCH(I$2,Inputs!$D$2:$AG$2,0)),Inputs!$B$4:$B$200,$B33)/1000)</f>
        <v>0</v>
      </c>
      <c r="J33" s="11">
        <f>IF(J$3=0,"",SUMIFS(INDEX(Inputs!$D$4:$AG$200,0,MATCH(J$2,Inputs!$D$2:$AG$2,0)),Inputs!$B$4:$B$200,$B33)/1000)</f>
        <v>0</v>
      </c>
      <c r="K33" s="11">
        <f>IF(K$3=0,"",SUMIFS(INDEX(Inputs!$D$4:$AG$200,0,MATCH(K$2,Inputs!$D$2:$AG$2,0)),Inputs!$B$4:$B$200,$B33)/1000)</f>
        <v>0</v>
      </c>
      <c r="L33" s="11">
        <f>IF(L$3=0,"",SUMIFS(INDEX(Inputs!$D$4:$AG$200,0,MATCH(L$2,Inputs!$D$2:$AG$2,0)),Inputs!$B$4:$B$200,$B33)/1000)</f>
        <v>0</v>
      </c>
      <c r="M33" s="12">
        <f>IF(L33="","",L33)</f>
        <v>0</v>
      </c>
      <c r="N33" s="11">
        <f>IF(N$3=0,"",SUMIFS(INDEX(Inputs!$D$4:$AG$200,0,MATCH(N$2,Inputs!$D$2:$AG$2,0)),Inputs!$B$4:$B$200,$B33)/1000)</f>
        <v>0</v>
      </c>
      <c r="O33" s="11">
        <f>IF(O$3=0,"",SUMIFS(INDEX(Inputs!$D$4:$AG$200,0,MATCH(O$2,Inputs!$D$2:$AG$2,0)),Inputs!$B$4:$B$200,$B33)/1000)</f>
        <v>0</v>
      </c>
      <c r="P33" s="11">
        <f>IF(P$3=0,"",SUMIFS(INDEX(Inputs!$D$4:$AG$200,0,MATCH(P$2,Inputs!$D$2:$AG$2,0)),Inputs!$B$4:$B$200,$B33)/1000)</f>
        <v>0</v>
      </c>
      <c r="Q33" s="11">
        <f>IF(Q$3=0,"",SUMIFS(INDEX(Inputs!$D$4:$AG$200,0,MATCH(Q$2,Inputs!$D$2:$AG$2,0)),Inputs!$B$4:$B$200,$B33)/1000)</f>
        <v>0</v>
      </c>
      <c r="R33" s="12">
        <f>IF(Q33="","",Q33)</f>
        <v>0</v>
      </c>
      <c r="S33" s="11">
        <f>IF(S$3=0,"",SUMIFS(INDEX(Inputs!$D$4:$AG$200,0,MATCH(S$2,Inputs!$D$2:$AG$2,0)),Inputs!$B$4:$B$200,$B33)/1000)</f>
        <v>0</v>
      </c>
      <c r="T33" s="11">
        <f>IF(T$3=0,"",SUMIFS(INDEX(Inputs!$D$4:$AG$200,0,MATCH(T$2,Inputs!$D$2:$AG$2,0)),Inputs!$B$4:$B$200,$B33)/1000)</f>
        <v>0</v>
      </c>
      <c r="U33" s="11">
        <f>IF(U$3=0,"",SUMIFS(INDEX(Inputs!$D$4:$AG$200,0,MATCH(U$2,Inputs!$D$2:$AG$2,0)),Inputs!$B$4:$B$200,$B33)/1000)</f>
        <v>0</v>
      </c>
      <c r="V33" s="11">
        <f>IF(V$3=0,"",SUMIFS(INDEX(Inputs!$D$4:$AG$200,0,MATCH(V$2,Inputs!$D$2:$AG$2,0)),Inputs!$B$4:$B$200,$B33)/1000)</f>
        <v>0</v>
      </c>
      <c r="W33" s="12">
        <f>IF(V33="","",V33)</f>
        <v>0</v>
      </c>
      <c r="X33" s="11">
        <f>IF(X$3=0,"",SUMIFS(INDEX(Inputs!$D$4:$AG$200,0,MATCH(X$2,Inputs!$D$2:$AG$2,0)),Inputs!$B$4:$B$200,$B33)/1000)</f>
        <v>0</v>
      </c>
      <c r="Y33" s="11">
        <f>IF(Y$3=0,"",SUMIFS(INDEX(Inputs!$D$4:$AG$200,0,MATCH(Y$2,Inputs!$D$2:$AG$2,0)),Inputs!$B$4:$B$200,$B33)/1000)</f>
        <v>0</v>
      </c>
      <c r="Z33" s="11">
        <f>IF(Z$3=0,"",SUMIFS(INDEX(Inputs!$D$4:$AG$200,0,MATCH(Z$2,Inputs!$D$2:$AG$2,0)),Inputs!$B$4:$B$200,$B33)/1000)</f>
        <v>0</v>
      </c>
      <c r="AA33" s="11">
        <f>IF(AA$3=0,"",SUMIFS(INDEX(Inputs!$D$4:$AG$200,0,MATCH(AA$2,Inputs!$D$2:$AG$2,0)),Inputs!$B$4:$B$200,$B33)/1000)</f>
        <v>0</v>
      </c>
      <c r="AB33" s="12">
        <f>IF(AA33="","",AA33)</f>
        <v>0</v>
      </c>
      <c r="AC33" s="11">
        <f>IF(AC$3=0,"",SUMIFS(INDEX(Inputs!$D$4:$AG$200,0,MATCH(AC$2,Inputs!$D$2:$AG$2,0)),Inputs!$B$4:$B$200,$B33)/1000)</f>
        <v>0</v>
      </c>
      <c r="AD33" s="11">
        <f>IF(AD$3=0,"",SUMIFS(INDEX(Inputs!$D$4:$AG$200,0,MATCH(AD$2,Inputs!$D$2:$AG$2,0)),Inputs!$B$4:$B$200,$B33)/1000)</f>
        <v>0</v>
      </c>
      <c r="AE33" s="11" t="str">
        <f>IF(AE$3=0,"",SUMIFS(INDEX(Inputs!$D$4:$AG$200,0,MATCH(AE$2,Inputs!$D$2:$AG$2,0)),Inputs!$B$4:$B$200,$B33)/1000)</f>
        <v/>
      </c>
      <c r="AF33" s="11" t="str">
        <f>IF(AF$3=0,"",SUMIFS(INDEX(Inputs!$D$4:$AG$200,0,MATCH(AF$2,Inputs!$D$2:$AG$2,0)),Inputs!$B$4:$B$200,$B33)/1000)</f>
        <v/>
      </c>
      <c r="AG33" s="12" t="str">
        <f>IF(AF33="","",AF33)</f>
        <v/>
      </c>
    </row>
    <row r="34">
      <c r="B34" s="9" t="n">
        <v>29</v>
      </c>
      <c r="C34" s="14" t="inlineStr">
        <is>
          <t>Short term operating leases</t>
        </is>
      </c>
      <c r="D34" s="11">
        <f>IF(D$3=0,"",SUMIFS(INDEX(Inputs!$D$4:$AG$200,0,MATCH(D$2,Inputs!$D$2:$AG$2,0)),Inputs!$B$4:$B$200,$B34)/1000)</f>
        <v>9.564</v>
      </c>
      <c r="E34" s="11">
        <f>IF(E$3=0,"",SUMIFS(INDEX(Inputs!$D$4:$AG$200,0,MATCH(E$2,Inputs!$D$2:$AG$2,0)),Inputs!$B$4:$B$200,$B34)/1000)</f>
        <v>9.63</v>
      </c>
      <c r="F34" s="11">
        <f>IF(F$3=0,"",SUMIFS(INDEX(Inputs!$D$4:$AG$200,0,MATCH(F$2,Inputs!$D$2:$AG$2,0)),Inputs!$B$4:$B$200,$B34)/1000)</f>
        <v>9.471</v>
      </c>
      <c r="G34" s="11">
        <f>IF(G$3=0,"",SUMIFS(INDEX(Inputs!$D$4:$AG$200,0,MATCH(G$2,Inputs!$D$2:$AG$2,0)),Inputs!$B$4:$B$200,$B34)/1000)</f>
        <v>10.088</v>
      </c>
      <c r="H34" s="12">
        <f>IF(G34="","",G34)</f>
        <v>10.088</v>
      </c>
      <c r="I34" s="11">
        <f>IF(I$3=0,"",SUMIFS(INDEX(Inputs!$D$4:$AG$200,0,MATCH(I$2,Inputs!$D$2:$AG$2,0)),Inputs!$B$4:$B$200,$B34)/1000)</f>
        <v>10.188</v>
      </c>
      <c r="J34" s="11">
        <f>IF(J$3=0,"",SUMIFS(INDEX(Inputs!$D$4:$AG$200,0,MATCH(J$2,Inputs!$D$2:$AG$2,0)),Inputs!$B$4:$B$200,$B34)/1000)</f>
        <v>9.952</v>
      </c>
      <c r="K34" s="11">
        <f>IF(K$3=0,"",SUMIFS(INDEX(Inputs!$D$4:$AG$200,0,MATCH(K$2,Inputs!$D$2:$AG$2,0)),Inputs!$B$4:$B$200,$B34)/1000)</f>
        <v>9.795</v>
      </c>
      <c r="L34" s="11">
        <f>IF(L$3=0,"",SUMIFS(INDEX(Inputs!$D$4:$AG$200,0,MATCH(L$2,Inputs!$D$2:$AG$2,0)),Inputs!$B$4:$B$200,$B34)/1000)</f>
        <v>11.324</v>
      </c>
      <c r="M34" s="12">
        <f>IF(L34="","",L34)</f>
        <v>11.324</v>
      </c>
      <c r="N34" s="11">
        <f>IF(N$3=0,"",SUMIFS(INDEX(Inputs!$D$4:$AG$200,0,MATCH(N$2,Inputs!$D$2:$AG$2,0)),Inputs!$B$4:$B$200,$B34)/1000)</f>
        <v>10.885</v>
      </c>
      <c r="O34" s="11">
        <f>IF(O$3=0,"",SUMIFS(INDEX(Inputs!$D$4:$AG$200,0,MATCH(O$2,Inputs!$D$2:$AG$2,0)),Inputs!$B$4:$B$200,$B34)/1000)</f>
        <v>10.632</v>
      </c>
      <c r="P34" s="11">
        <f>IF(P$3=0,"",SUMIFS(INDEX(Inputs!$D$4:$AG$200,0,MATCH(P$2,Inputs!$D$2:$AG$2,0)),Inputs!$B$4:$B$200,$B34)/1000)</f>
        <v>10.456</v>
      </c>
      <c r="Q34" s="11">
        <f>IF(Q$3=0,"",SUMIFS(INDEX(Inputs!$D$4:$AG$200,0,MATCH(Q$2,Inputs!$D$2:$AG$2,0)),Inputs!$B$4:$B$200,$B34)/1000)</f>
        <v>7.456</v>
      </c>
      <c r="R34" s="12">
        <f>IF(Q34="","",Q34)</f>
        <v>7.456</v>
      </c>
      <c r="S34" s="11">
        <f>IF(S$3=0,"",SUMIFS(INDEX(Inputs!$D$4:$AG$200,0,MATCH(S$2,Inputs!$D$2:$AG$2,0)),Inputs!$B$4:$B$200,$B34)/1000)</f>
        <v>8.735</v>
      </c>
      <c r="T34" s="11">
        <f>IF(T$3=0,"",SUMIFS(INDEX(Inputs!$D$4:$AG$200,0,MATCH(T$2,Inputs!$D$2:$AG$2,0)),Inputs!$B$4:$B$200,$B34)/1000)</f>
        <v>8.469</v>
      </c>
      <c r="U34" s="11">
        <f>IF(U$3=0,"",SUMIFS(INDEX(Inputs!$D$4:$AG$200,0,MATCH(U$2,Inputs!$D$2:$AG$2,0)),Inputs!$B$4:$B$200,$B34)/1000)</f>
        <v>8.2</v>
      </c>
      <c r="V34" s="11">
        <f>IF(V$3=0,"",SUMIFS(INDEX(Inputs!$D$4:$AG$200,0,MATCH(V$2,Inputs!$D$2:$AG$2,0)),Inputs!$B$4:$B$200,$B34)/1000)</f>
        <v>7.911</v>
      </c>
      <c r="W34" s="12">
        <f>IF(V34="","",V34)</f>
        <v>7.911</v>
      </c>
      <c r="X34" s="11">
        <f>IF(X$3=0,"",SUMIFS(INDEX(Inputs!$D$4:$AG$200,0,MATCH(X$2,Inputs!$D$2:$AG$2,0)),Inputs!$B$4:$B$200,$B34)/1000)</f>
        <v>9.411</v>
      </c>
      <c r="Y34" s="11">
        <f>IF(Y$3=0,"",SUMIFS(INDEX(Inputs!$D$4:$AG$200,0,MATCH(Y$2,Inputs!$D$2:$AG$2,0)),Inputs!$B$4:$B$200,$B34)/1000)</f>
        <v>10.371</v>
      </c>
      <c r="Z34" s="11">
        <f>IF(Z$3=0,"",SUMIFS(INDEX(Inputs!$D$4:$AG$200,0,MATCH(Z$2,Inputs!$D$2:$AG$2,0)),Inputs!$B$4:$B$200,$B34)/1000)</f>
        <v>10.12</v>
      </c>
      <c r="AA34" s="11">
        <f>IF(AA$3=0,"",SUMIFS(INDEX(Inputs!$D$4:$AG$200,0,MATCH(AA$2,Inputs!$D$2:$AG$2,0)),Inputs!$B$4:$B$200,$B34)/1000)</f>
        <v>12.686</v>
      </c>
      <c r="AB34" s="12">
        <f>IF(AA34="","",AA34)</f>
        <v>12.686</v>
      </c>
      <c r="AC34" s="11">
        <f>IF(AC$3=0,"",SUMIFS(INDEX(Inputs!$D$4:$AG$200,0,MATCH(AC$2,Inputs!$D$2:$AG$2,0)),Inputs!$B$4:$B$200,$B34)/1000)</f>
        <v>11.84</v>
      </c>
      <c r="AD34" s="11">
        <f>IF(AD$3=0,"",SUMIFS(INDEX(Inputs!$D$4:$AG$200,0,MATCH(AD$2,Inputs!$D$2:$AG$2,0)),Inputs!$B$4:$B$200,$B34)/1000)</f>
        <v>11.089</v>
      </c>
      <c r="AE34" s="11" t="str">
        <f>IF(AE$3=0,"",SUMIFS(INDEX(Inputs!$D$4:$AG$200,0,MATCH(AE$2,Inputs!$D$2:$AG$2,0)),Inputs!$B$4:$B$200,$B34)/1000)</f>
        <v/>
      </c>
      <c r="AF34" s="11" t="str">
        <f>IF(AF$3=0,"",SUMIFS(INDEX(Inputs!$D$4:$AG$200,0,MATCH(AF$2,Inputs!$D$2:$AG$2,0)),Inputs!$B$4:$B$200,$B34)/1000)</f>
        <v/>
      </c>
      <c r="AG34" s="12" t="str">
        <f>IF(AF34="","",AF34)</f>
        <v/>
      </c>
    </row>
    <row r="35">
      <c r="B35" s="9" t="n">
        <v>30</v>
      </c>
      <c r="C35" s="14" t="inlineStr">
        <is>
          <t>Long term debt</t>
        </is>
      </c>
      <c r="D35" s="11">
        <f>IF(D$3=0,"",SUMIFS(INDEX(Inputs!$D$4:$AG$200,0,MATCH(D$2,Inputs!$D$2:$AG$2,0)),Inputs!$B$4:$B$200,$B35)/1000)</f>
        <v>883.53</v>
      </c>
      <c r="E35" s="11">
        <f>IF(E$3=0,"",SUMIFS(INDEX(Inputs!$D$4:$AG$200,0,MATCH(E$2,Inputs!$D$2:$AG$2,0)),Inputs!$B$4:$B$200,$B35)/1000)</f>
        <v>1068.396</v>
      </c>
      <c r="F35" s="11">
        <f>IF(F$3=0,"",SUMIFS(INDEX(Inputs!$D$4:$AG$200,0,MATCH(F$2,Inputs!$D$2:$AG$2,0)),Inputs!$B$4:$B$200,$B35)/1000)</f>
        <v>1049.421</v>
      </c>
      <c r="G35" s="11">
        <f>IF(G$3=0,"",SUMIFS(INDEX(Inputs!$D$4:$AG$200,0,MATCH(G$2,Inputs!$D$2:$AG$2,0)),Inputs!$B$4:$B$200,$B35)/1000)</f>
        <v>1114.197</v>
      </c>
      <c r="H35" s="12">
        <f>IF(G35="","",G35)</f>
        <v>1114.197</v>
      </c>
      <c r="I35" s="11">
        <f>IF(I$3=0,"",SUMIFS(INDEX(Inputs!$D$4:$AG$200,0,MATCH(I$2,Inputs!$D$2:$AG$2,0)),Inputs!$B$4:$B$200,$B35)/1000)</f>
        <v>1112.674</v>
      </c>
      <c r="J35" s="11">
        <f>IF(J$3=0,"",SUMIFS(INDEX(Inputs!$D$4:$AG$200,0,MATCH(J$2,Inputs!$D$2:$AG$2,0)),Inputs!$B$4:$B$200,$B35)/1000)</f>
        <v>1035.098</v>
      </c>
      <c r="K35" s="11">
        <f>IF(K$3=0,"",SUMIFS(INDEX(Inputs!$D$4:$AG$200,0,MATCH(K$2,Inputs!$D$2:$AG$2,0)),Inputs!$B$4:$B$200,$B35)/1000)</f>
        <v>1180.793</v>
      </c>
      <c r="L35" s="11">
        <f>IF(L$3=0,"",SUMIFS(INDEX(Inputs!$D$4:$AG$200,0,MATCH(L$2,Inputs!$D$2:$AG$2,0)),Inputs!$B$4:$B$200,$B35)/1000)</f>
        <v>1080.104</v>
      </c>
      <c r="M35" s="12">
        <f>IF(L35="","",L35)</f>
        <v>1080.104</v>
      </c>
      <c r="N35" s="11">
        <f>IF(N$3=0,"",SUMIFS(INDEX(Inputs!$D$4:$AG$200,0,MATCH(N$2,Inputs!$D$2:$AG$2,0)),Inputs!$B$4:$B$200,$B35)/1000)</f>
        <v>1070.985</v>
      </c>
      <c r="O35" s="11">
        <f>IF(O$3=0,"",SUMIFS(INDEX(Inputs!$D$4:$AG$200,0,MATCH(O$2,Inputs!$D$2:$AG$2,0)),Inputs!$B$4:$B$200,$B35)/1000)</f>
        <v>1118.46</v>
      </c>
      <c r="P35" s="11">
        <f>IF(P$3=0,"",SUMIFS(INDEX(Inputs!$D$4:$AG$200,0,MATCH(P$2,Inputs!$D$2:$AG$2,0)),Inputs!$B$4:$B$200,$B35)/1000)</f>
        <v>971.64</v>
      </c>
      <c r="Q35" s="11">
        <f>IF(Q$3=0,"",SUMIFS(INDEX(Inputs!$D$4:$AG$200,0,MATCH(Q$2,Inputs!$D$2:$AG$2,0)),Inputs!$B$4:$B$200,$B35)/1000)</f>
        <v>1088.111</v>
      </c>
      <c r="R35" s="12">
        <f>IF(Q35="","",Q35)</f>
        <v>1088.111</v>
      </c>
      <c r="S35" s="11">
        <f>IF(S$3=0,"",SUMIFS(INDEX(Inputs!$D$4:$AG$200,0,MATCH(S$2,Inputs!$D$2:$AG$2,0)),Inputs!$B$4:$B$200,$B35)/1000)</f>
        <v>1061.373</v>
      </c>
      <c r="T35" s="11">
        <f>IF(T$3=0,"",SUMIFS(INDEX(Inputs!$D$4:$AG$200,0,MATCH(T$2,Inputs!$D$2:$AG$2,0)),Inputs!$B$4:$B$200,$B35)/1000)</f>
        <v>1088.924</v>
      </c>
      <c r="U35" s="11">
        <f>IF(U$3=0,"",SUMIFS(INDEX(Inputs!$D$4:$AG$200,0,MATCH(U$2,Inputs!$D$2:$AG$2,0)),Inputs!$B$4:$B$200,$B35)/1000)</f>
        <v>1412.044</v>
      </c>
      <c r="V35" s="11">
        <f>IF(V$3=0,"",SUMIFS(INDEX(Inputs!$D$4:$AG$200,0,MATCH(V$2,Inputs!$D$2:$AG$2,0)),Inputs!$B$4:$B$200,$B35)/1000)</f>
        <v>1347.099</v>
      </c>
      <c r="W35" s="12">
        <f>IF(V35="","",V35)</f>
        <v>1347.099</v>
      </c>
      <c r="X35" s="11">
        <f>IF(X$3=0,"",SUMIFS(INDEX(Inputs!$D$4:$AG$200,0,MATCH(X$2,Inputs!$D$2:$AG$2,0)),Inputs!$B$4:$B$200,$B35)/1000)</f>
        <v>1701.507</v>
      </c>
      <c r="Y35" s="11">
        <f>IF(Y$3=0,"",SUMIFS(INDEX(Inputs!$D$4:$AG$200,0,MATCH(Y$2,Inputs!$D$2:$AG$2,0)),Inputs!$B$4:$B$200,$B35)/1000)</f>
        <v>1774.509</v>
      </c>
      <c r="Z35" s="11">
        <f>IF(Z$3=0,"",SUMIFS(INDEX(Inputs!$D$4:$AG$200,0,MATCH(Z$2,Inputs!$D$2:$AG$2,0)),Inputs!$B$4:$B$200,$B35)/1000)</f>
        <v>2341.473</v>
      </c>
      <c r="AA35" s="11">
        <f>IF(AA$3=0,"",SUMIFS(INDEX(Inputs!$D$4:$AG$200,0,MATCH(AA$2,Inputs!$D$2:$AG$2,0)),Inputs!$B$4:$B$200,$B35)/1000)</f>
        <v>2483.542</v>
      </c>
      <c r="AB35" s="12">
        <f>IF(AA35="","",AA35)</f>
        <v>2483.542</v>
      </c>
      <c r="AC35" s="11">
        <f>IF(AC$3=0,"",SUMIFS(INDEX(Inputs!$D$4:$AG$200,0,MATCH(AC$2,Inputs!$D$2:$AG$2,0)),Inputs!$B$4:$B$200,$B35)/1000)</f>
        <v>2794.176</v>
      </c>
      <c r="AD35" s="11">
        <f>IF(AD$3=0,"",SUMIFS(INDEX(Inputs!$D$4:$AG$200,0,MATCH(AD$2,Inputs!$D$2:$AG$2,0)),Inputs!$B$4:$B$200,$B35)/1000)</f>
        <v>2658.251</v>
      </c>
      <c r="AE35" s="11" t="str">
        <f>IF(AE$3=0,"",SUMIFS(INDEX(Inputs!$D$4:$AG$200,0,MATCH(AE$2,Inputs!$D$2:$AG$2,0)),Inputs!$B$4:$B$200,$B35)/1000)</f>
        <v/>
      </c>
      <c r="AF35" s="11" t="str">
        <f>IF(AF$3=0,"",SUMIFS(INDEX(Inputs!$D$4:$AG$200,0,MATCH(AF$2,Inputs!$D$2:$AG$2,0)),Inputs!$B$4:$B$200,$B35)/1000)</f>
        <v/>
      </c>
      <c r="AG35" s="12" t="str">
        <f>IF(AF35="","",AF35)</f>
        <v/>
      </c>
    </row>
    <row r="36">
      <c r="B36" s="9" t="n">
        <v>31</v>
      </c>
      <c r="C36" s="14" t="inlineStr">
        <is>
          <t>Long term operating leases</t>
        </is>
      </c>
      <c r="D36" s="11">
        <f>IF(D$3=0,"",SUMIFS(INDEX(Inputs!$D$4:$AG$200,0,MATCH(D$2,Inputs!$D$2:$AG$2,0)),Inputs!$B$4:$B$200,$B36)/1000)</f>
        <v>28.194</v>
      </c>
      <c r="E36" s="11">
        <f>IF(E$3=0,"",SUMIFS(INDEX(Inputs!$D$4:$AG$200,0,MATCH(E$2,Inputs!$D$2:$AG$2,0)),Inputs!$B$4:$B$200,$B36)/1000)</f>
        <v>28.075</v>
      </c>
      <c r="F36" s="11">
        <f>IF(F$3=0,"",SUMIFS(INDEX(Inputs!$D$4:$AG$200,0,MATCH(F$2,Inputs!$D$2:$AG$2,0)),Inputs!$B$4:$B$200,$B36)/1000)</f>
        <v>26.54</v>
      </c>
      <c r="G36" s="11">
        <f>IF(G$3=0,"",SUMIFS(INDEX(Inputs!$D$4:$AG$200,0,MATCH(G$2,Inputs!$D$2:$AG$2,0)),Inputs!$B$4:$B$200,$B36)/1000)</f>
        <v>25.129</v>
      </c>
      <c r="H36" s="12">
        <f>IF(G36="","",G36)</f>
        <v>25.129</v>
      </c>
      <c r="I36" s="11">
        <f>IF(I$3=0,"",SUMIFS(INDEX(Inputs!$D$4:$AG$200,0,MATCH(I$2,Inputs!$D$2:$AG$2,0)),Inputs!$B$4:$B$200,$B36)/1000)</f>
        <v>23.687</v>
      </c>
      <c r="J36" s="11">
        <f>IF(J$3=0,"",SUMIFS(INDEX(Inputs!$D$4:$AG$200,0,MATCH(J$2,Inputs!$D$2:$AG$2,0)),Inputs!$B$4:$B$200,$B36)/1000)</f>
        <v>22.264</v>
      </c>
      <c r="K36" s="11">
        <f>IF(K$3=0,"",SUMIFS(INDEX(Inputs!$D$4:$AG$200,0,MATCH(K$2,Inputs!$D$2:$AG$2,0)),Inputs!$B$4:$B$200,$B36)/1000)</f>
        <v>20.842</v>
      </c>
      <c r="L36" s="11">
        <f>IF(L$3=0,"",SUMIFS(INDEX(Inputs!$D$4:$AG$200,0,MATCH(L$2,Inputs!$D$2:$AG$2,0)),Inputs!$B$4:$B$200,$B36)/1000)</f>
        <v>19.821</v>
      </c>
      <c r="M36" s="12">
        <f>IF(L36="","",L36)</f>
        <v>19.821</v>
      </c>
      <c r="N36" s="11">
        <f>IF(N$3=0,"",SUMIFS(INDEX(Inputs!$D$4:$AG$200,0,MATCH(N$2,Inputs!$D$2:$AG$2,0)),Inputs!$B$4:$B$200,$B36)/1000)</f>
        <v>18.235</v>
      </c>
      <c r="O36" s="11">
        <f>IF(O$3=0,"",SUMIFS(INDEX(Inputs!$D$4:$AG$200,0,MATCH(O$2,Inputs!$D$2:$AG$2,0)),Inputs!$B$4:$B$200,$B36)/1000)</f>
        <v>16.657</v>
      </c>
      <c r="P36" s="11">
        <f>IF(P$3=0,"",SUMIFS(INDEX(Inputs!$D$4:$AG$200,0,MATCH(P$2,Inputs!$D$2:$AG$2,0)),Inputs!$B$4:$B$200,$B36)/1000)</f>
        <v>15.139</v>
      </c>
      <c r="Q36" s="11">
        <f>IF(Q$3=0,"",SUMIFS(INDEX(Inputs!$D$4:$AG$200,0,MATCH(Q$2,Inputs!$D$2:$AG$2,0)),Inputs!$B$4:$B$200,$B36)/1000)</f>
        <v>13.648</v>
      </c>
      <c r="R36" s="12">
        <f>IF(Q36="","",Q36)</f>
        <v>13.648</v>
      </c>
      <c r="S36" s="11">
        <f>IF(S$3=0,"",SUMIFS(INDEX(Inputs!$D$4:$AG$200,0,MATCH(S$2,Inputs!$D$2:$AG$2,0)),Inputs!$B$4:$B$200,$B36)/1000)</f>
        <v>77.451</v>
      </c>
      <c r="T36" s="11">
        <f>IF(T$3=0,"",SUMIFS(INDEX(Inputs!$D$4:$AG$200,0,MATCH(T$2,Inputs!$D$2:$AG$2,0)),Inputs!$B$4:$B$200,$B36)/1000)</f>
        <v>76.896</v>
      </c>
      <c r="U36" s="11">
        <f>IF(U$3=0,"",SUMIFS(INDEX(Inputs!$D$4:$AG$200,0,MATCH(U$2,Inputs!$D$2:$AG$2,0)),Inputs!$B$4:$B$200,$B36)/1000)</f>
        <v>76.332</v>
      </c>
      <c r="V36" s="11">
        <f>IF(V$3=0,"",SUMIFS(INDEX(Inputs!$D$4:$AG$200,0,MATCH(V$2,Inputs!$D$2:$AG$2,0)),Inputs!$B$4:$B$200,$B36)/1000)</f>
        <v>75.773</v>
      </c>
      <c r="W36" s="12">
        <f>IF(V36="","",V36)</f>
        <v>75.773</v>
      </c>
      <c r="X36" s="11">
        <f>IF(X$3=0,"",SUMIFS(INDEX(Inputs!$D$4:$AG$200,0,MATCH(X$2,Inputs!$D$2:$AG$2,0)),Inputs!$B$4:$B$200,$B36)/1000)</f>
        <v>76.53</v>
      </c>
      <c r="Y36" s="11">
        <f>IF(Y$3=0,"",SUMIFS(INDEX(Inputs!$D$4:$AG$200,0,MATCH(Y$2,Inputs!$D$2:$AG$2,0)),Inputs!$B$4:$B$200,$B36)/1000)</f>
        <v>78.332</v>
      </c>
      <c r="Z36" s="11">
        <f>IF(Z$3=0,"",SUMIFS(INDEX(Inputs!$D$4:$AG$200,0,MATCH(Z$2,Inputs!$D$2:$AG$2,0)),Inputs!$B$4:$B$200,$B36)/1000)</f>
        <v>77.318</v>
      </c>
      <c r="AA36" s="11">
        <f>IF(AA$3=0,"",SUMIFS(INDEX(Inputs!$D$4:$AG$200,0,MATCH(AA$2,Inputs!$D$2:$AG$2,0)),Inputs!$B$4:$B$200,$B36)/1000)</f>
        <v>76.29</v>
      </c>
      <c r="AB36" s="12">
        <f>IF(AA36="","",AA36)</f>
        <v>76.29</v>
      </c>
      <c r="AC36" s="11">
        <f>IF(AC$3=0,"",SUMIFS(INDEX(Inputs!$D$4:$AG$200,0,MATCH(AC$2,Inputs!$D$2:$AG$2,0)),Inputs!$B$4:$B$200,$B36)/1000)</f>
        <v>75.254</v>
      </c>
      <c r="AD36" s="11">
        <f>IF(AD$3=0,"",SUMIFS(INDEX(Inputs!$D$4:$AG$200,0,MATCH(AD$2,Inputs!$D$2:$AG$2,0)),Inputs!$B$4:$B$200,$B36)/1000)</f>
        <v>74.202</v>
      </c>
      <c r="AE36" s="11" t="str">
        <f>IF(AE$3=0,"",SUMIFS(INDEX(Inputs!$D$4:$AG$200,0,MATCH(AE$2,Inputs!$D$2:$AG$2,0)),Inputs!$B$4:$B$200,$B36)/1000)</f>
        <v/>
      </c>
      <c r="AF36" s="11" t="str">
        <f>IF(AF$3=0,"",SUMIFS(INDEX(Inputs!$D$4:$AG$200,0,MATCH(AF$2,Inputs!$D$2:$AG$2,0)),Inputs!$B$4:$B$200,$B36)/1000)</f>
        <v/>
      </c>
      <c r="AG36" s="12" t="str">
        <f>IF(AF36="","",AF36)</f>
        <v/>
      </c>
    </row>
    <row r="37">
      <c r="B37" s="9" t="n">
        <v>32</v>
      </c>
      <c r="C37" s="14" t="inlineStr">
        <is>
          <t>Convertible debt</t>
        </is>
      </c>
      <c r="D37" s="11">
        <f>IF(D$3=0,"",SUMIFS(INDEX(Inputs!$D$4:$AG$200,0,MATCH(D$2,Inputs!$D$2:$AG$2,0)),Inputs!$B$4:$B$200,$B37)/1000)</f>
        <v>0</v>
      </c>
      <c r="E37" s="11">
        <f>IF(E$3=0,"",SUMIFS(INDEX(Inputs!$D$4:$AG$200,0,MATCH(E$2,Inputs!$D$2:$AG$2,0)),Inputs!$B$4:$B$200,$B37)/1000)</f>
        <v>0</v>
      </c>
      <c r="F37" s="11">
        <f>IF(F$3=0,"",SUMIFS(INDEX(Inputs!$D$4:$AG$200,0,MATCH(F$2,Inputs!$D$2:$AG$2,0)),Inputs!$B$4:$B$200,$B37)/1000)</f>
        <v>0</v>
      </c>
      <c r="G37" s="11">
        <f>IF(G$3=0,"",SUMIFS(INDEX(Inputs!$D$4:$AG$200,0,MATCH(G$2,Inputs!$D$2:$AG$2,0)),Inputs!$B$4:$B$200,$B37)/1000)</f>
        <v>0</v>
      </c>
      <c r="H37" s="12">
        <f>IF(G37="","",G37)</f>
        <v>0</v>
      </c>
      <c r="I37" s="11">
        <f>IF(I$3=0,"",SUMIFS(INDEX(Inputs!$D$4:$AG$200,0,MATCH(I$2,Inputs!$D$2:$AG$2,0)),Inputs!$B$4:$B$200,$B37)/1000)</f>
        <v>0</v>
      </c>
      <c r="J37" s="11">
        <f>IF(J$3=0,"",SUMIFS(INDEX(Inputs!$D$4:$AG$200,0,MATCH(J$2,Inputs!$D$2:$AG$2,0)),Inputs!$B$4:$B$200,$B37)/1000)</f>
        <v>0</v>
      </c>
      <c r="K37" s="11">
        <f>IF(K$3=0,"",SUMIFS(INDEX(Inputs!$D$4:$AG$200,0,MATCH(K$2,Inputs!$D$2:$AG$2,0)),Inputs!$B$4:$B$200,$B37)/1000)</f>
        <v>0</v>
      </c>
      <c r="L37" s="11">
        <f>IF(L$3=0,"",SUMIFS(INDEX(Inputs!$D$4:$AG$200,0,MATCH(L$2,Inputs!$D$2:$AG$2,0)),Inputs!$B$4:$B$200,$B37)/1000)</f>
        <v>0</v>
      </c>
      <c r="M37" s="12">
        <f>IF(L37="","",L37)</f>
        <v>0</v>
      </c>
      <c r="N37" s="11">
        <f>IF(N$3=0,"",SUMIFS(INDEX(Inputs!$D$4:$AG$200,0,MATCH(N$2,Inputs!$D$2:$AG$2,0)),Inputs!$B$4:$B$200,$B37)/1000)</f>
        <v>0</v>
      </c>
      <c r="O37" s="11">
        <f>IF(O$3=0,"",SUMIFS(INDEX(Inputs!$D$4:$AG$200,0,MATCH(O$2,Inputs!$D$2:$AG$2,0)),Inputs!$B$4:$B$200,$B37)/1000)</f>
        <v>0</v>
      </c>
      <c r="P37" s="11">
        <f>IF(P$3=0,"",SUMIFS(INDEX(Inputs!$D$4:$AG$200,0,MATCH(P$2,Inputs!$D$2:$AG$2,0)),Inputs!$B$4:$B$200,$B37)/1000)</f>
        <v>0</v>
      </c>
      <c r="Q37" s="11">
        <f>IF(Q$3=0,"",SUMIFS(INDEX(Inputs!$D$4:$AG$200,0,MATCH(Q$2,Inputs!$D$2:$AG$2,0)),Inputs!$B$4:$B$200,$B37)/1000)</f>
        <v>0</v>
      </c>
      <c r="R37" s="12">
        <f>IF(Q37="","",Q37)</f>
        <v>0</v>
      </c>
      <c r="S37" s="11">
        <f>IF(S$3=0,"",SUMIFS(INDEX(Inputs!$D$4:$AG$200,0,MATCH(S$2,Inputs!$D$2:$AG$2,0)),Inputs!$B$4:$B$200,$B37)/1000)</f>
        <v>0</v>
      </c>
      <c r="T37" s="11">
        <f>IF(T$3=0,"",SUMIFS(INDEX(Inputs!$D$4:$AG$200,0,MATCH(T$2,Inputs!$D$2:$AG$2,0)),Inputs!$B$4:$B$200,$B37)/1000)</f>
        <v>0</v>
      </c>
      <c r="U37" s="11">
        <f>IF(U$3=0,"",SUMIFS(INDEX(Inputs!$D$4:$AG$200,0,MATCH(U$2,Inputs!$D$2:$AG$2,0)),Inputs!$B$4:$B$200,$B37)/1000)</f>
        <v>0</v>
      </c>
      <c r="V37" s="11">
        <f>IF(V$3=0,"",SUMIFS(INDEX(Inputs!$D$4:$AG$200,0,MATCH(V$2,Inputs!$D$2:$AG$2,0)),Inputs!$B$4:$B$200,$B37)/1000)</f>
        <v>0</v>
      </c>
      <c r="W37" s="12">
        <f>IF(V37="","",V37)</f>
        <v>0</v>
      </c>
      <c r="X37" s="11">
        <f>IF(X$3=0,"",SUMIFS(INDEX(Inputs!$D$4:$AG$200,0,MATCH(X$2,Inputs!$D$2:$AG$2,0)),Inputs!$B$4:$B$200,$B37)/1000)</f>
        <v>0</v>
      </c>
      <c r="Y37" s="11">
        <f>IF(Y$3=0,"",SUMIFS(INDEX(Inputs!$D$4:$AG$200,0,MATCH(Y$2,Inputs!$D$2:$AG$2,0)),Inputs!$B$4:$B$200,$B37)/1000)</f>
        <v>0</v>
      </c>
      <c r="Z37" s="11">
        <f>IF(Z$3=0,"",SUMIFS(INDEX(Inputs!$D$4:$AG$200,0,MATCH(Z$2,Inputs!$D$2:$AG$2,0)),Inputs!$B$4:$B$200,$B37)/1000)</f>
        <v>0</v>
      </c>
      <c r="AA37" s="11">
        <f>IF(AA$3=0,"",SUMIFS(INDEX(Inputs!$D$4:$AG$200,0,MATCH(AA$2,Inputs!$D$2:$AG$2,0)),Inputs!$B$4:$B$200,$B37)/1000)</f>
        <v>0</v>
      </c>
      <c r="AB37" s="12">
        <f>IF(AA37="","",AA37)</f>
        <v>0</v>
      </c>
      <c r="AC37" s="11">
        <f>IF(AC$3=0,"",SUMIFS(INDEX(Inputs!$D$4:$AG$200,0,MATCH(AC$2,Inputs!$D$2:$AG$2,0)),Inputs!$B$4:$B$200,$B37)/1000)</f>
        <v>0</v>
      </c>
      <c r="AD37" s="11">
        <f>IF(AD$3=0,"",SUMIFS(INDEX(Inputs!$D$4:$AG$200,0,MATCH(AD$2,Inputs!$D$2:$AG$2,0)),Inputs!$B$4:$B$200,$B37)/1000)</f>
        <v>0</v>
      </c>
      <c r="AE37" s="11" t="str">
        <f>IF(AE$3=0,"",SUMIFS(INDEX(Inputs!$D$4:$AG$200,0,MATCH(AE$2,Inputs!$D$2:$AG$2,0)),Inputs!$B$4:$B$200,$B37)/1000)</f>
        <v/>
      </c>
      <c r="AF37" s="11" t="str">
        <f>IF(AF$3=0,"",SUMIFS(INDEX(Inputs!$D$4:$AG$200,0,MATCH(AF$2,Inputs!$D$2:$AG$2,0)),Inputs!$B$4:$B$200,$B37)/1000)</f>
        <v/>
      </c>
      <c r="AG37" s="12" t="str">
        <f>IF(AF37="","",AF37)</f>
        <v/>
      </c>
    </row>
    <row r="38">
      <c r="B38" s="9" t="n">
        <v>33</v>
      </c>
      <c r="C38" s="14" t="inlineStr">
        <is>
          <t>Deferred income taxes</t>
        </is>
      </c>
      <c r="D38" s="11">
        <f>IF(D$3=0,"",SUMIFS(INDEX(Inputs!$D$4:$AG$200,0,MATCH(D$2,Inputs!$D$2:$AG$2,0)),Inputs!$B$4:$B$200,$B38)/1000)</f>
        <v>3.849</v>
      </c>
      <c r="E38" s="11">
        <f>IF(E$3=0,"",SUMIFS(INDEX(Inputs!$D$4:$AG$200,0,MATCH(E$2,Inputs!$D$2:$AG$2,0)),Inputs!$B$4:$B$200,$B38)/1000)</f>
        <v>8.127</v>
      </c>
      <c r="F38" s="11">
        <f>IF(F$3=0,"",SUMIFS(INDEX(Inputs!$D$4:$AG$200,0,MATCH(F$2,Inputs!$D$2:$AG$2,0)),Inputs!$B$4:$B$200,$B38)/1000)</f>
        <v>11.013</v>
      </c>
      <c r="G38" s="11">
        <f>IF(G$3=0,"",SUMIFS(INDEX(Inputs!$D$4:$AG$200,0,MATCH(G$2,Inputs!$D$2:$AG$2,0)),Inputs!$B$4:$B$200,$B38)/1000)</f>
        <v>9.701</v>
      </c>
      <c r="H38" s="12">
        <f>IF(G38="","",G38)</f>
        <v>9.701</v>
      </c>
      <c r="I38" s="11">
        <f>IF(I$3=0,"",SUMIFS(INDEX(Inputs!$D$4:$AG$200,0,MATCH(I$2,Inputs!$D$2:$AG$2,0)),Inputs!$B$4:$B$200,$B38)/1000)</f>
        <v>8.834</v>
      </c>
      <c r="J38" s="11">
        <f>IF(J$3=0,"",SUMIFS(INDEX(Inputs!$D$4:$AG$200,0,MATCH(J$2,Inputs!$D$2:$AG$2,0)),Inputs!$B$4:$B$200,$B38)/1000)</f>
        <v>7.882</v>
      </c>
      <c r="K38" s="11">
        <f>IF(K$3=0,"",SUMIFS(INDEX(Inputs!$D$4:$AG$200,0,MATCH(K$2,Inputs!$D$2:$AG$2,0)),Inputs!$B$4:$B$200,$B38)/1000)</f>
        <v>11.785</v>
      </c>
      <c r="L38" s="11">
        <f>IF(L$3=0,"",SUMIFS(INDEX(Inputs!$D$4:$AG$200,0,MATCH(L$2,Inputs!$D$2:$AG$2,0)),Inputs!$B$4:$B$200,$B38)/1000)</f>
        <v>12.737</v>
      </c>
      <c r="M38" s="12">
        <f>IF(L38="","",L38)</f>
        <v>12.737</v>
      </c>
      <c r="N38" s="11">
        <f>IF(N$3=0,"",SUMIFS(INDEX(Inputs!$D$4:$AG$200,0,MATCH(N$2,Inputs!$D$2:$AG$2,0)),Inputs!$B$4:$B$200,$B38)/1000)</f>
        <v>0</v>
      </c>
      <c r="O38" s="11">
        <f>IF(O$3=0,"",SUMIFS(INDEX(Inputs!$D$4:$AG$200,0,MATCH(O$2,Inputs!$D$2:$AG$2,0)),Inputs!$B$4:$B$200,$B38)/1000)</f>
        <v>0</v>
      </c>
      <c r="P38" s="11">
        <f>IF(P$3=0,"",SUMIFS(INDEX(Inputs!$D$4:$AG$200,0,MATCH(P$2,Inputs!$D$2:$AG$2,0)),Inputs!$B$4:$B$200,$B38)/1000)</f>
        <v>0</v>
      </c>
      <c r="Q38" s="11">
        <f>IF(Q$3=0,"",SUMIFS(INDEX(Inputs!$D$4:$AG$200,0,MATCH(Q$2,Inputs!$D$2:$AG$2,0)),Inputs!$B$4:$B$200,$B38)/1000)</f>
        <v>0</v>
      </c>
      <c r="R38" s="12">
        <f>IF(Q38="","",Q38)</f>
        <v>0</v>
      </c>
      <c r="S38" s="11">
        <f>IF(S$3=0,"",SUMIFS(INDEX(Inputs!$D$4:$AG$200,0,MATCH(S$2,Inputs!$D$2:$AG$2,0)),Inputs!$B$4:$B$200,$B38)/1000)</f>
        <v>0</v>
      </c>
      <c r="T38" s="11">
        <f>IF(T$3=0,"",SUMIFS(INDEX(Inputs!$D$4:$AG$200,0,MATCH(T$2,Inputs!$D$2:$AG$2,0)),Inputs!$B$4:$B$200,$B38)/1000)</f>
        <v>0</v>
      </c>
      <c r="U38" s="11">
        <f>IF(U$3=0,"",SUMIFS(INDEX(Inputs!$D$4:$AG$200,0,MATCH(U$2,Inputs!$D$2:$AG$2,0)),Inputs!$B$4:$B$200,$B38)/1000)</f>
        <v>0</v>
      </c>
      <c r="V38" s="11">
        <f>IF(V$3=0,"",SUMIFS(INDEX(Inputs!$D$4:$AG$200,0,MATCH(V$2,Inputs!$D$2:$AG$2,0)),Inputs!$B$4:$B$200,$B38)/1000)</f>
        <v>0</v>
      </c>
      <c r="W38" s="12">
        <f>IF(V38="","",V38)</f>
        <v>0</v>
      </c>
      <c r="X38" s="11">
        <f>IF(X$3=0,"",SUMIFS(INDEX(Inputs!$D$4:$AG$200,0,MATCH(X$2,Inputs!$D$2:$AG$2,0)),Inputs!$B$4:$B$200,$B38)/1000)</f>
        <v>0</v>
      </c>
      <c r="Y38" s="11">
        <f>IF(Y$3=0,"",SUMIFS(INDEX(Inputs!$D$4:$AG$200,0,MATCH(Y$2,Inputs!$D$2:$AG$2,0)),Inputs!$B$4:$B$200,$B38)/1000)</f>
        <v>0</v>
      </c>
      <c r="Z38" s="11">
        <f>IF(Z$3=0,"",SUMIFS(INDEX(Inputs!$D$4:$AG$200,0,MATCH(Z$2,Inputs!$D$2:$AG$2,0)),Inputs!$B$4:$B$200,$B38)/1000)</f>
        <v>0</v>
      </c>
      <c r="AA38" s="11">
        <f>IF(AA$3=0,"",SUMIFS(INDEX(Inputs!$D$4:$AG$200,0,MATCH(AA$2,Inputs!$D$2:$AG$2,0)),Inputs!$B$4:$B$200,$B38)/1000)</f>
        <v>0</v>
      </c>
      <c r="AB38" s="12">
        <f>IF(AA38="","",AA38)</f>
        <v>0</v>
      </c>
      <c r="AC38" s="11">
        <f>IF(AC$3=0,"",SUMIFS(INDEX(Inputs!$D$4:$AG$200,0,MATCH(AC$2,Inputs!$D$2:$AG$2,0)),Inputs!$B$4:$B$200,$B38)/1000)</f>
        <v>0</v>
      </c>
      <c r="AD38" s="11">
        <f>IF(AD$3=0,"",SUMIFS(INDEX(Inputs!$D$4:$AG$200,0,MATCH(AD$2,Inputs!$D$2:$AG$2,0)),Inputs!$B$4:$B$200,$B38)/1000)</f>
        <v>0</v>
      </c>
      <c r="AE38" s="11" t="str">
        <f>IF(AE$3=0,"",SUMIFS(INDEX(Inputs!$D$4:$AG$200,0,MATCH(AE$2,Inputs!$D$2:$AG$2,0)),Inputs!$B$4:$B$200,$B38)/1000)</f>
        <v/>
      </c>
      <c r="AF38" s="11" t="str">
        <f>IF(AF$3=0,"",SUMIFS(INDEX(Inputs!$D$4:$AG$200,0,MATCH(AF$2,Inputs!$D$2:$AG$2,0)),Inputs!$B$4:$B$200,$B38)/1000)</f>
        <v/>
      </c>
      <c r="AG38" s="12" t="str">
        <f>IF(AF38="","",AF38)</f>
        <v/>
      </c>
    </row>
    <row r="39">
      <c r="B39" s="9" t="n">
        <v>34</v>
      </c>
      <c r="C39" s="14" t="inlineStr">
        <is>
          <t>Other non-current liabilities</t>
        </is>
      </c>
      <c r="D39" s="11">
        <f>IF(D$3=0,"",SUMIFS(INDEX(Inputs!$D$4:$AG$200,0,MATCH(D$2,Inputs!$D$2:$AG$2,0)),Inputs!$B$4:$B$200,$B39)/1000)</f>
        <v>2329.598</v>
      </c>
      <c r="E39" s="11">
        <f>IF(E$3=0,"",SUMIFS(INDEX(Inputs!$D$4:$AG$200,0,MATCH(E$2,Inputs!$D$2:$AG$2,0)),Inputs!$B$4:$B$200,$B39)/1000)</f>
        <v>2531.486</v>
      </c>
      <c r="F39" s="11">
        <f>IF(F$3=0,"",SUMIFS(INDEX(Inputs!$D$4:$AG$200,0,MATCH(F$2,Inputs!$D$2:$AG$2,0)),Inputs!$B$4:$B$200,$B39)/1000)</f>
        <v>2538.767</v>
      </c>
      <c r="G39" s="11">
        <f>IF(G$3=0,"",SUMIFS(INDEX(Inputs!$D$4:$AG$200,0,MATCH(G$2,Inputs!$D$2:$AG$2,0)),Inputs!$B$4:$B$200,$B39)/1000)</f>
        <v>2574.971</v>
      </c>
      <c r="H39" s="12">
        <f>IF(G39="","",G39)</f>
        <v>2574.971</v>
      </c>
      <c r="I39" s="11">
        <f>IF(I$3=0,"",SUMIFS(INDEX(Inputs!$D$4:$AG$200,0,MATCH(I$2,Inputs!$D$2:$AG$2,0)),Inputs!$B$4:$B$200,$B39)/1000)</f>
        <v>2559.066</v>
      </c>
      <c r="J39" s="11">
        <f>IF(J$3=0,"",SUMIFS(INDEX(Inputs!$D$4:$AG$200,0,MATCH(J$2,Inputs!$D$2:$AG$2,0)),Inputs!$B$4:$B$200,$B39)/1000)</f>
        <v>2509.985</v>
      </c>
      <c r="K39" s="11">
        <f>IF(K$3=0,"",SUMIFS(INDEX(Inputs!$D$4:$AG$200,0,MATCH(K$2,Inputs!$D$2:$AG$2,0)),Inputs!$B$4:$B$200,$B39)/1000)</f>
        <v>2632.304</v>
      </c>
      <c r="L39" s="11">
        <f>IF(L$3=0,"",SUMIFS(INDEX(Inputs!$D$4:$AG$200,0,MATCH(L$2,Inputs!$D$2:$AG$2,0)),Inputs!$B$4:$B$200,$B39)/1000)</f>
        <v>3008.842</v>
      </c>
      <c r="M39" s="12">
        <f>IF(L39="","",L39)</f>
        <v>3008.842</v>
      </c>
      <c r="N39" s="11">
        <f>IF(N$3=0,"",SUMIFS(INDEX(Inputs!$D$4:$AG$200,0,MATCH(N$2,Inputs!$D$2:$AG$2,0)),Inputs!$B$4:$B$200,$B39)/1000)</f>
        <v>3012.65</v>
      </c>
      <c r="O39" s="11">
        <f>IF(O$3=0,"",SUMIFS(INDEX(Inputs!$D$4:$AG$200,0,MATCH(O$2,Inputs!$D$2:$AG$2,0)),Inputs!$B$4:$B$200,$B39)/1000)</f>
        <v>3155.555</v>
      </c>
      <c r="P39" s="11">
        <f>IF(P$3=0,"",SUMIFS(INDEX(Inputs!$D$4:$AG$200,0,MATCH(P$2,Inputs!$D$2:$AG$2,0)),Inputs!$B$4:$B$200,$B39)/1000)</f>
        <v>3166.859</v>
      </c>
      <c r="Q39" s="11">
        <f>IF(Q$3=0,"",SUMIFS(INDEX(Inputs!$D$4:$AG$200,0,MATCH(Q$2,Inputs!$D$2:$AG$2,0)),Inputs!$B$4:$B$200,$B39)/1000)</f>
        <v>3316.487</v>
      </c>
      <c r="R39" s="12">
        <f>IF(Q39="","",Q39)</f>
        <v>3316.487</v>
      </c>
      <c r="S39" s="11">
        <f>IF(S$3=0,"",SUMIFS(INDEX(Inputs!$D$4:$AG$200,0,MATCH(S$2,Inputs!$D$2:$AG$2,0)),Inputs!$B$4:$B$200,$B39)/1000)</f>
        <v>3476.862</v>
      </c>
      <c r="T39" s="11">
        <f>IF(T$3=0,"",SUMIFS(INDEX(Inputs!$D$4:$AG$200,0,MATCH(T$2,Inputs!$D$2:$AG$2,0)),Inputs!$B$4:$B$200,$B39)/1000)</f>
        <v>4059.246</v>
      </c>
      <c r="U39" s="11">
        <f>IF(U$3=0,"",SUMIFS(INDEX(Inputs!$D$4:$AG$200,0,MATCH(U$2,Inputs!$D$2:$AG$2,0)),Inputs!$B$4:$B$200,$B39)/1000)</f>
        <v>4504.303</v>
      </c>
      <c r="V39" s="11">
        <f>IF(V$3=0,"",SUMIFS(INDEX(Inputs!$D$4:$AG$200,0,MATCH(V$2,Inputs!$D$2:$AG$2,0)),Inputs!$B$4:$B$200,$B39)/1000)</f>
        <v>4912.425</v>
      </c>
      <c r="W39" s="12">
        <f>IF(V39="","",V39)</f>
        <v>4912.425</v>
      </c>
      <c r="X39" s="11">
        <f>IF(X$3=0,"",SUMIFS(INDEX(Inputs!$D$4:$AG$200,0,MATCH(X$2,Inputs!$D$2:$AG$2,0)),Inputs!$B$4:$B$200,$B39)/1000)</f>
        <v>5241.823</v>
      </c>
      <c r="Y39" s="11">
        <f>IF(Y$3=0,"",SUMIFS(INDEX(Inputs!$D$4:$AG$200,0,MATCH(Y$2,Inputs!$D$2:$AG$2,0)),Inputs!$B$4:$B$200,$B39)/1000)</f>
        <v>5452.107</v>
      </c>
      <c r="Z39" s="11">
        <f>IF(Z$3=0,"",SUMIFS(INDEX(Inputs!$D$4:$AG$200,0,MATCH(Z$2,Inputs!$D$2:$AG$2,0)),Inputs!$B$4:$B$200,$B39)/1000)</f>
        <v>5849.365</v>
      </c>
      <c r="AA39" s="11">
        <f>IF(AA$3=0,"",SUMIFS(INDEX(Inputs!$D$4:$AG$200,0,MATCH(AA$2,Inputs!$D$2:$AG$2,0)),Inputs!$B$4:$B$200,$B39)/1000)</f>
        <v>6718.469</v>
      </c>
      <c r="AB39" s="12">
        <f>IF(AA39="","",AA39)</f>
        <v>6718.469</v>
      </c>
      <c r="AC39" s="11">
        <f>IF(AC$3=0,"",SUMIFS(INDEX(Inputs!$D$4:$AG$200,0,MATCH(AC$2,Inputs!$D$2:$AG$2,0)),Inputs!$B$4:$B$200,$B39)/1000)</f>
        <v>6931.099</v>
      </c>
      <c r="AD39" s="11">
        <f>IF(AD$3=0,"",SUMIFS(INDEX(Inputs!$D$4:$AG$200,0,MATCH(AD$2,Inputs!$D$2:$AG$2,0)),Inputs!$B$4:$B$200,$B39)/1000)</f>
        <v>7474.272</v>
      </c>
      <c r="AE39" s="11" t="str">
        <f>IF(AE$3=0,"",SUMIFS(INDEX(Inputs!$D$4:$AG$200,0,MATCH(AE$2,Inputs!$D$2:$AG$2,0)),Inputs!$B$4:$B$200,$B39)/1000)</f>
        <v/>
      </c>
      <c r="AF39" s="11" t="str">
        <f>IF(AF$3=0,"",SUMIFS(INDEX(Inputs!$D$4:$AG$200,0,MATCH(AF$2,Inputs!$D$2:$AG$2,0)),Inputs!$B$4:$B$200,$B39)/1000)</f>
        <v/>
      </c>
      <c r="AG39" s="12" t="str">
        <f>IF(AF39="","",AF39)</f>
        <v/>
      </c>
    </row>
    <row r="40">
      <c r="C40" s="3" t="n"/>
    </row>
    <row r="41">
      <c r="B41" s="9" t="n">
        <v>35</v>
      </c>
      <c r="C41" s="14" t="inlineStr">
        <is>
          <t>Minority interest</t>
        </is>
      </c>
      <c r="D41" s="11">
        <f>IF(D$3=0,"",SUMIFS(INDEX(Inputs!$D$4:$AG$200,0,MATCH(D$2,Inputs!$D$2:$AG$2,0)),Inputs!$B$4:$B$200,$B41)/1000)</f>
        <v>115.731</v>
      </c>
      <c r="E41" s="11">
        <f>IF(E$3=0,"",SUMIFS(INDEX(Inputs!$D$4:$AG$200,0,MATCH(E$2,Inputs!$D$2:$AG$2,0)),Inputs!$B$4:$B$200,$B41)/1000)</f>
        <v>128.546</v>
      </c>
      <c r="F41" s="11">
        <f>IF(F$3=0,"",SUMIFS(INDEX(Inputs!$D$4:$AG$200,0,MATCH(F$2,Inputs!$D$2:$AG$2,0)),Inputs!$B$4:$B$200,$B41)/1000)</f>
        <v>141.716</v>
      </c>
      <c r="G41" s="11">
        <f>IF(G$3=0,"",SUMIFS(INDEX(Inputs!$D$4:$AG$200,0,MATCH(G$2,Inputs!$D$2:$AG$2,0)),Inputs!$B$4:$B$200,$B41)/1000)</f>
        <v>158.903</v>
      </c>
      <c r="H41" s="12">
        <f>IF(G41="","",G41)</f>
        <v>158.903</v>
      </c>
      <c r="I41" s="11">
        <f>IF(I$3=0,"",SUMIFS(INDEX(Inputs!$D$4:$AG$200,0,MATCH(I$2,Inputs!$D$2:$AG$2,0)),Inputs!$B$4:$B$200,$B41)/1000)</f>
        <v>162.974</v>
      </c>
      <c r="J41" s="11">
        <f>IF(J$3=0,"",SUMIFS(INDEX(Inputs!$D$4:$AG$200,0,MATCH(J$2,Inputs!$D$2:$AG$2,0)),Inputs!$B$4:$B$200,$B41)/1000)</f>
        <v>170.287</v>
      </c>
      <c r="K41" s="11">
        <f>IF(K$3=0,"",SUMIFS(INDEX(Inputs!$D$4:$AG$200,0,MATCH(K$2,Inputs!$D$2:$AG$2,0)),Inputs!$B$4:$B$200,$B41)/1000)</f>
        <v>167.295</v>
      </c>
      <c r="L41" s="11">
        <f>IF(L$3=0,"",SUMIFS(INDEX(Inputs!$D$4:$AG$200,0,MATCH(L$2,Inputs!$D$2:$AG$2,0)),Inputs!$B$4:$B$200,$B41)/1000)</f>
        <v>159.714</v>
      </c>
      <c r="M41" s="12">
        <f>IF(L41="","",L41)</f>
        <v>159.714</v>
      </c>
      <c r="N41" s="11">
        <f>IF(N$3=0,"",SUMIFS(INDEX(Inputs!$D$4:$AG$200,0,MATCH(N$2,Inputs!$D$2:$AG$2,0)),Inputs!$B$4:$B$200,$B41)/1000)</f>
        <v>160.701</v>
      </c>
      <c r="O41" s="11">
        <f>IF(O$3=0,"",SUMIFS(INDEX(Inputs!$D$4:$AG$200,0,MATCH(O$2,Inputs!$D$2:$AG$2,0)),Inputs!$B$4:$B$200,$B41)/1000)</f>
        <v>154.579</v>
      </c>
      <c r="P41" s="11">
        <f>IF(P$3=0,"",SUMIFS(INDEX(Inputs!$D$4:$AG$200,0,MATCH(P$2,Inputs!$D$2:$AG$2,0)),Inputs!$B$4:$B$200,$B41)/1000)</f>
        <v>159.045</v>
      </c>
      <c r="Q41" s="11">
        <f>IF(Q$3=0,"",SUMIFS(INDEX(Inputs!$D$4:$AG$200,0,MATCH(Q$2,Inputs!$D$2:$AG$2,0)),Inputs!$B$4:$B$200,$B41)/1000)</f>
        <v>157.181</v>
      </c>
      <c r="R41" s="12">
        <f>IF(Q41="","",Q41)</f>
        <v>157.181</v>
      </c>
      <c r="S41" s="11">
        <f>IF(S$3=0,"",SUMIFS(INDEX(Inputs!$D$4:$AG$200,0,MATCH(S$2,Inputs!$D$2:$AG$2,0)),Inputs!$B$4:$B$200,$B41)/1000)</f>
        <v>166.217</v>
      </c>
      <c r="T41" s="11">
        <f>IF(T$3=0,"",SUMIFS(INDEX(Inputs!$D$4:$AG$200,0,MATCH(T$2,Inputs!$D$2:$AG$2,0)),Inputs!$B$4:$B$200,$B41)/1000)</f>
        <v>186.075</v>
      </c>
      <c r="U41" s="11">
        <f>IF(U$3=0,"",SUMIFS(INDEX(Inputs!$D$4:$AG$200,0,MATCH(U$2,Inputs!$D$2:$AG$2,0)),Inputs!$B$4:$B$200,$B41)/1000)</f>
        <v>186.929</v>
      </c>
      <c r="V41" s="11">
        <f>IF(V$3=0,"",SUMIFS(INDEX(Inputs!$D$4:$AG$200,0,MATCH(V$2,Inputs!$D$2:$AG$2,0)),Inputs!$B$4:$B$200,$B41)/1000)</f>
        <v>208.294</v>
      </c>
      <c r="W41" s="12">
        <f>IF(V41="","",V41)</f>
        <v>208.294</v>
      </c>
      <c r="X41" s="11">
        <f>IF(X$3=0,"",SUMIFS(INDEX(Inputs!$D$4:$AG$200,0,MATCH(X$2,Inputs!$D$2:$AG$2,0)),Inputs!$B$4:$B$200,$B41)/1000)</f>
        <v>188.319</v>
      </c>
      <c r="Y41" s="11">
        <f>IF(Y$3=0,"",SUMIFS(INDEX(Inputs!$D$4:$AG$200,0,MATCH(Y$2,Inputs!$D$2:$AG$2,0)),Inputs!$B$4:$B$200,$B41)/1000)</f>
        <v>267.022</v>
      </c>
      <c r="Z41" s="11">
        <f>IF(Z$3=0,"",SUMIFS(INDEX(Inputs!$D$4:$AG$200,0,MATCH(Z$2,Inputs!$D$2:$AG$2,0)),Inputs!$B$4:$B$200,$B41)/1000)</f>
        <v>274.489</v>
      </c>
      <c r="AA41" s="11">
        <f>IF(AA$3=0,"",SUMIFS(INDEX(Inputs!$D$4:$AG$200,0,MATCH(AA$2,Inputs!$D$2:$AG$2,0)),Inputs!$B$4:$B$200,$B41)/1000)</f>
        <v>403.53</v>
      </c>
      <c r="AB41" s="12">
        <f>IF(AA41="","",AA41)</f>
        <v>403.53</v>
      </c>
      <c r="AC41" s="11">
        <f>IF(AC$3=0,"",SUMIFS(INDEX(Inputs!$D$4:$AG$200,0,MATCH(AC$2,Inputs!$D$2:$AG$2,0)),Inputs!$B$4:$B$200,$B41)/1000)</f>
        <v>420.59</v>
      </c>
      <c r="AD41" s="11">
        <f>IF(AD$3=0,"",SUMIFS(INDEX(Inputs!$D$4:$AG$200,0,MATCH(AD$2,Inputs!$D$2:$AG$2,0)),Inputs!$B$4:$B$200,$B41)/1000)</f>
        <v>410.277</v>
      </c>
      <c r="AE41" s="11" t="str">
        <f>IF(AE$3=0,"",SUMIFS(INDEX(Inputs!$D$4:$AG$200,0,MATCH(AE$2,Inputs!$D$2:$AG$2,0)),Inputs!$B$4:$B$200,$B41)/1000)</f>
        <v/>
      </c>
      <c r="AF41" s="11" t="str">
        <f>IF(AF$3=0,"",SUMIFS(INDEX(Inputs!$D$4:$AG$200,0,MATCH(AF$2,Inputs!$D$2:$AG$2,0)),Inputs!$B$4:$B$200,$B41)/1000)</f>
        <v/>
      </c>
      <c r="AG41" s="12" t="str">
        <f>IF(AF41="","",AF41)</f>
        <v/>
      </c>
    </row>
    <row r="42">
      <c r="B42" s="9" t="n">
        <v>36</v>
      </c>
      <c r="C42" s="14" t="inlineStr">
        <is>
          <t>Convertible Preferred Stock</t>
        </is>
      </c>
      <c r="D42" s="11">
        <f>IF(D$3=0,"",SUMIFS(INDEX(Inputs!$D$4:$AG$200,0,MATCH(D$2,Inputs!$D$2:$AG$2,0)),Inputs!$B$4:$B$200,$B42)/1000)</f>
        <v>0</v>
      </c>
      <c r="E42" s="11">
        <f>IF(E$3=0,"",SUMIFS(INDEX(Inputs!$D$4:$AG$200,0,MATCH(E$2,Inputs!$D$2:$AG$2,0)),Inputs!$B$4:$B$200,$B42)/1000)</f>
        <v>0</v>
      </c>
      <c r="F42" s="11">
        <f>IF(F$3=0,"",SUMIFS(INDEX(Inputs!$D$4:$AG$200,0,MATCH(F$2,Inputs!$D$2:$AG$2,0)),Inputs!$B$4:$B$200,$B42)/1000)</f>
        <v>0</v>
      </c>
      <c r="G42" s="11">
        <f>IF(G$3=0,"",SUMIFS(INDEX(Inputs!$D$4:$AG$200,0,MATCH(G$2,Inputs!$D$2:$AG$2,0)),Inputs!$B$4:$B$200,$B42)/1000)</f>
        <v>0</v>
      </c>
      <c r="H42" s="12">
        <f>IF(G42="","",G42)</f>
        <v>0</v>
      </c>
      <c r="I42" s="11">
        <f>IF(I$3=0,"",SUMIFS(INDEX(Inputs!$D$4:$AG$200,0,MATCH(I$2,Inputs!$D$2:$AG$2,0)),Inputs!$B$4:$B$200,$B42)/1000)</f>
        <v>0</v>
      </c>
      <c r="J42" s="11">
        <f>IF(J$3=0,"",SUMIFS(INDEX(Inputs!$D$4:$AG$200,0,MATCH(J$2,Inputs!$D$2:$AG$2,0)),Inputs!$B$4:$B$200,$B42)/1000)</f>
        <v>0</v>
      </c>
      <c r="K42" s="11">
        <f>IF(K$3=0,"",SUMIFS(INDEX(Inputs!$D$4:$AG$200,0,MATCH(K$2,Inputs!$D$2:$AG$2,0)),Inputs!$B$4:$B$200,$B42)/1000)</f>
        <v>0</v>
      </c>
      <c r="L42" s="11">
        <f>IF(L$3=0,"",SUMIFS(INDEX(Inputs!$D$4:$AG$200,0,MATCH(L$2,Inputs!$D$2:$AG$2,0)),Inputs!$B$4:$B$200,$B42)/1000)</f>
        <v>0</v>
      </c>
      <c r="M42" s="12">
        <f>IF(L42="","",L42)</f>
        <v>0</v>
      </c>
      <c r="N42" s="11">
        <f>IF(N$3=0,"",SUMIFS(INDEX(Inputs!$D$4:$AG$200,0,MATCH(N$2,Inputs!$D$2:$AG$2,0)),Inputs!$B$4:$B$200,$B42)/1000)</f>
        <v>0</v>
      </c>
      <c r="O42" s="11">
        <f>IF(O$3=0,"",SUMIFS(INDEX(Inputs!$D$4:$AG$200,0,MATCH(O$2,Inputs!$D$2:$AG$2,0)),Inputs!$B$4:$B$200,$B42)/1000)</f>
        <v>0</v>
      </c>
      <c r="P42" s="11">
        <f>IF(P$3=0,"",SUMIFS(INDEX(Inputs!$D$4:$AG$200,0,MATCH(P$2,Inputs!$D$2:$AG$2,0)),Inputs!$B$4:$B$200,$B42)/1000)</f>
        <v>0</v>
      </c>
      <c r="Q42" s="11">
        <f>IF(Q$3=0,"",SUMIFS(INDEX(Inputs!$D$4:$AG$200,0,MATCH(Q$2,Inputs!$D$2:$AG$2,0)),Inputs!$B$4:$B$200,$B42)/1000)</f>
        <v>0</v>
      </c>
      <c r="R42" s="12">
        <f>IF(Q42="","",Q42)</f>
        <v>0</v>
      </c>
      <c r="S42" s="11">
        <f>IF(S$3=0,"",SUMIFS(INDEX(Inputs!$D$4:$AG$200,0,MATCH(S$2,Inputs!$D$2:$AG$2,0)),Inputs!$B$4:$B$200,$B42)/1000)</f>
        <v>0</v>
      </c>
      <c r="T42" s="11">
        <f>IF(T$3=0,"",SUMIFS(INDEX(Inputs!$D$4:$AG$200,0,MATCH(T$2,Inputs!$D$2:$AG$2,0)),Inputs!$B$4:$B$200,$B42)/1000)</f>
        <v>0</v>
      </c>
      <c r="U42" s="11">
        <f>IF(U$3=0,"",SUMIFS(INDEX(Inputs!$D$4:$AG$200,0,MATCH(U$2,Inputs!$D$2:$AG$2,0)),Inputs!$B$4:$B$200,$B42)/1000)</f>
        <v>0</v>
      </c>
      <c r="V42" s="11">
        <f>IF(V$3=0,"",SUMIFS(INDEX(Inputs!$D$4:$AG$200,0,MATCH(V$2,Inputs!$D$2:$AG$2,0)),Inputs!$B$4:$B$200,$B42)/1000)</f>
        <v>0</v>
      </c>
      <c r="W42" s="12">
        <f>IF(V42="","",V42)</f>
        <v>0</v>
      </c>
      <c r="X42" s="11">
        <f>IF(X$3=0,"",SUMIFS(INDEX(Inputs!$D$4:$AG$200,0,MATCH(X$2,Inputs!$D$2:$AG$2,0)),Inputs!$B$4:$B$200,$B42)/1000)</f>
        <v>0</v>
      </c>
      <c r="Y42" s="11">
        <f>IF(Y$3=0,"",SUMIFS(INDEX(Inputs!$D$4:$AG$200,0,MATCH(Y$2,Inputs!$D$2:$AG$2,0)),Inputs!$B$4:$B$200,$B42)/1000)</f>
        <v>0</v>
      </c>
      <c r="Z42" s="11">
        <f>IF(Z$3=0,"",SUMIFS(INDEX(Inputs!$D$4:$AG$200,0,MATCH(Z$2,Inputs!$D$2:$AG$2,0)),Inputs!$B$4:$B$200,$B42)/1000)</f>
        <v>0</v>
      </c>
      <c r="AA42" s="11">
        <f>IF(AA$3=0,"",SUMIFS(INDEX(Inputs!$D$4:$AG$200,0,MATCH(AA$2,Inputs!$D$2:$AG$2,0)),Inputs!$B$4:$B$200,$B42)/1000)</f>
        <v>0</v>
      </c>
      <c r="AB42" s="12">
        <f>IF(AA42="","",AA42)</f>
        <v>0</v>
      </c>
      <c r="AC42" s="11">
        <f>IF(AC$3=0,"",SUMIFS(INDEX(Inputs!$D$4:$AG$200,0,MATCH(AC$2,Inputs!$D$2:$AG$2,0)),Inputs!$B$4:$B$200,$B42)/1000)</f>
        <v>0</v>
      </c>
      <c r="AD42" s="11">
        <f>IF(AD$3=0,"",SUMIFS(INDEX(Inputs!$D$4:$AG$200,0,MATCH(AD$2,Inputs!$D$2:$AG$2,0)),Inputs!$B$4:$B$200,$B42)/1000)</f>
        <v>0</v>
      </c>
      <c r="AE42" s="11" t="str">
        <f>IF(AE$3=0,"",SUMIFS(INDEX(Inputs!$D$4:$AG$200,0,MATCH(AE$2,Inputs!$D$2:$AG$2,0)),Inputs!$B$4:$B$200,$B42)/1000)</f>
        <v/>
      </c>
      <c r="AF42" s="11" t="str">
        <f>IF(AF$3=0,"",SUMIFS(INDEX(Inputs!$D$4:$AG$200,0,MATCH(AF$2,Inputs!$D$2:$AG$2,0)),Inputs!$B$4:$B$200,$B42)/1000)</f>
        <v/>
      </c>
      <c r="AG42" s="12" t="str">
        <f>IF(AF42="","",AF42)</f>
        <v/>
      </c>
    </row>
    <row r="43">
      <c r="B43" s="9" t="n">
        <v>37</v>
      </c>
      <c r="C43" s="13" t="inlineStr">
        <is>
          <t>Common Stock and APIC</t>
        </is>
      </c>
      <c r="D43" s="11">
        <f>IF(D$3=0,"",SUMIFS(INDEX(Inputs!$D$4:$AG$200,0,MATCH(D$2,Inputs!$D$2:$AG$2,0)),Inputs!$B$4:$B$200,$B43)/1000)</f>
        <v>962.448</v>
      </c>
      <c r="E43" s="11">
        <f>IF(E$3=0,"",SUMIFS(INDEX(Inputs!$D$4:$AG$200,0,MATCH(E$2,Inputs!$D$2:$AG$2,0)),Inputs!$B$4:$B$200,$B43)/1000)</f>
        <v>932.939</v>
      </c>
      <c r="F43" s="11">
        <f>IF(F$3=0,"",SUMIFS(INDEX(Inputs!$D$4:$AG$200,0,MATCH(F$2,Inputs!$D$2:$AG$2,0)),Inputs!$B$4:$B$200,$B43)/1000)</f>
        <v>933.787</v>
      </c>
      <c r="G43" s="11">
        <f>IF(G$3=0,"",SUMIFS(INDEX(Inputs!$D$4:$AG$200,0,MATCH(G$2,Inputs!$D$2:$AG$2,0)),Inputs!$B$4:$B$200,$B43)/1000)</f>
        <v>932.931</v>
      </c>
      <c r="H43" s="12">
        <f>IF(G43="","",G43)</f>
        <v>932.931</v>
      </c>
      <c r="I43" s="11">
        <f>IF(I$3=0,"",SUMIFS(INDEX(Inputs!$D$4:$AG$200,0,MATCH(I$2,Inputs!$D$2:$AG$2,0)),Inputs!$B$4:$B$200,$B43)/1000)</f>
        <v>931.902</v>
      </c>
      <c r="J43" s="11">
        <f>IF(J$3=0,"",SUMIFS(INDEX(Inputs!$D$4:$AG$200,0,MATCH(J$2,Inputs!$D$2:$AG$2,0)),Inputs!$B$4:$B$200,$B43)/1000)</f>
        <v>932.641</v>
      </c>
      <c r="K43" s="11">
        <f>IF(K$3=0,"",SUMIFS(INDEX(Inputs!$D$4:$AG$200,0,MATCH(K$2,Inputs!$D$2:$AG$2,0)),Inputs!$B$4:$B$200,$B43)/1000)</f>
        <v>932.501</v>
      </c>
      <c r="L43" s="11">
        <f>IF(L$3=0,"",SUMIFS(INDEX(Inputs!$D$4:$AG$200,0,MATCH(L$2,Inputs!$D$2:$AG$2,0)),Inputs!$B$4:$B$200,$B43)/1000)</f>
        <v>933.185</v>
      </c>
      <c r="M43" s="12">
        <f>IF(L43="","",L43)</f>
        <v>933.185</v>
      </c>
      <c r="N43" s="11">
        <f>IF(N$3=0,"",SUMIFS(INDEX(Inputs!$D$4:$AG$200,0,MATCH(N$2,Inputs!$D$2:$AG$2,0)),Inputs!$B$4:$B$200,$B43)/1000)</f>
        <v>902.862</v>
      </c>
      <c r="O43" s="11">
        <f>IF(O$3=0,"",SUMIFS(INDEX(Inputs!$D$4:$AG$200,0,MATCH(O$2,Inputs!$D$2:$AG$2,0)),Inputs!$B$4:$B$200,$B43)/1000)</f>
        <v>902.161</v>
      </c>
      <c r="P43" s="11">
        <f>IF(P$3=0,"",SUMIFS(INDEX(Inputs!$D$4:$AG$200,0,MATCH(P$2,Inputs!$D$2:$AG$2,0)),Inputs!$B$4:$B$200,$B43)/1000)</f>
        <v>1311.848</v>
      </c>
      <c r="Q43" s="11">
        <f>IF(Q$3=0,"",SUMIFS(INDEX(Inputs!$D$4:$AG$200,0,MATCH(Q$2,Inputs!$D$2:$AG$2,0)),Inputs!$B$4:$B$200,$B43)/1000)</f>
        <v>1344.103</v>
      </c>
      <c r="R43" s="12">
        <f>IF(Q43="","",Q43)</f>
        <v>1344.103</v>
      </c>
      <c r="S43" s="11">
        <f>IF(S$3=0,"",SUMIFS(INDEX(Inputs!$D$4:$AG$200,0,MATCH(S$2,Inputs!$D$2:$AG$2,0)),Inputs!$B$4:$B$200,$B43)/1000)</f>
        <v>1307.112</v>
      </c>
      <c r="T43" s="11">
        <f>IF(T$3=0,"",SUMIFS(INDEX(Inputs!$D$4:$AG$200,0,MATCH(T$2,Inputs!$D$2:$AG$2,0)),Inputs!$B$4:$B$200,$B43)/1000)</f>
        <v>1308.414</v>
      </c>
      <c r="U43" s="11">
        <f>IF(U$3=0,"",SUMIFS(INDEX(Inputs!$D$4:$AG$200,0,MATCH(U$2,Inputs!$D$2:$AG$2,0)),Inputs!$B$4:$B$200,$B43)/1000)</f>
        <v>1310.892</v>
      </c>
      <c r="V43" s="11">
        <f>IF(V$3=0,"",SUMIFS(INDEX(Inputs!$D$4:$AG$200,0,MATCH(V$2,Inputs!$D$2:$AG$2,0)),Inputs!$B$4:$B$200,$B43)/1000)</f>
        <v>1345.041</v>
      </c>
      <c r="W43" s="12">
        <f>IF(V43="","",V43)</f>
        <v>1345.041</v>
      </c>
      <c r="X43" s="11">
        <f>IF(X$3=0,"",SUMIFS(INDEX(Inputs!$D$4:$AG$200,0,MATCH(X$2,Inputs!$D$2:$AG$2,0)),Inputs!$B$4:$B$200,$B43)/1000)</f>
        <v>1342.211</v>
      </c>
      <c r="Y43" s="11">
        <f>IF(Y$3=0,"",SUMIFS(INDEX(Inputs!$D$4:$AG$200,0,MATCH(Y$2,Inputs!$D$2:$AG$2,0)),Inputs!$B$4:$B$200,$B43)/1000)</f>
        <v>1345.403</v>
      </c>
      <c r="Z43" s="11">
        <f>IF(Z$3=0,"",SUMIFS(INDEX(Inputs!$D$4:$AG$200,0,MATCH(Z$2,Inputs!$D$2:$AG$2,0)),Inputs!$B$4:$B$200,$B43)/1000)</f>
        <v>1345.72</v>
      </c>
      <c r="AA43" s="11">
        <f>IF(AA$3=0,"",SUMIFS(INDEX(Inputs!$D$4:$AG$200,0,MATCH(AA$2,Inputs!$D$2:$AG$2,0)),Inputs!$B$4:$B$200,$B43)/1000)</f>
        <v>1352.597</v>
      </c>
      <c r="AB43" s="12">
        <f>IF(AA43="","",AA43)</f>
        <v>1352.597</v>
      </c>
      <c r="AC43" s="11">
        <f>IF(AC$3=0,"",SUMIFS(INDEX(Inputs!$D$4:$AG$200,0,MATCH(AC$2,Inputs!$D$2:$AG$2,0)),Inputs!$B$4:$B$200,$B43)/1000)</f>
        <v>1347.54</v>
      </c>
      <c r="AD43" s="11">
        <f>IF(AD$3=0,"",SUMIFS(INDEX(Inputs!$D$4:$AG$200,0,MATCH(AD$2,Inputs!$D$2:$AG$2,0)),Inputs!$B$4:$B$200,$B43)/1000)</f>
        <v>1348.735</v>
      </c>
      <c r="AE43" s="11" t="str">
        <f>IF(AE$3=0,"",SUMIFS(INDEX(Inputs!$D$4:$AG$200,0,MATCH(AE$2,Inputs!$D$2:$AG$2,0)),Inputs!$B$4:$B$200,$B43)/1000)</f>
        <v/>
      </c>
      <c r="AF43" s="11" t="str">
        <f>IF(AF$3=0,"",SUMIFS(INDEX(Inputs!$D$4:$AG$200,0,MATCH(AF$2,Inputs!$D$2:$AG$2,0)),Inputs!$B$4:$B$200,$B43)/1000)</f>
        <v/>
      </c>
      <c r="AG43" s="12" t="str">
        <f>IF(AF43="","",AF43)</f>
        <v/>
      </c>
    </row>
    <row r="44">
      <c r="B44" s="9" t="n">
        <v>38</v>
      </c>
      <c r="C44" s="14" t="inlineStr">
        <is>
          <t>Treasury stock (contra account)</t>
        </is>
      </c>
      <c r="D44" s="11">
        <f>IF(D$3=0,"",SUMIFS(INDEX(Inputs!$D$4:$AG$200,0,MATCH(D$2,Inputs!$D$2:$AG$2,0)),Inputs!$B$4:$B$200,$B44)/1000)</f>
        <v>-68.856</v>
      </c>
      <c r="E44" s="11">
        <f>IF(E$3=0,"",SUMIFS(INDEX(Inputs!$D$4:$AG$200,0,MATCH(E$2,Inputs!$D$2:$AG$2,0)),Inputs!$B$4:$B$200,$B44)/1000)</f>
        <v>-43.907</v>
      </c>
      <c r="F44" s="11">
        <f>IF(F$3=0,"",SUMIFS(INDEX(Inputs!$D$4:$AG$200,0,MATCH(F$2,Inputs!$D$2:$AG$2,0)),Inputs!$B$4:$B$200,$B44)/1000)</f>
        <v>-45.737</v>
      </c>
      <c r="G44" s="11">
        <f>IF(G$3=0,"",SUMIFS(INDEX(Inputs!$D$4:$AG$200,0,MATCH(G$2,Inputs!$D$2:$AG$2,0)),Inputs!$B$4:$B$200,$B44)/1000)</f>
        <v>-7.36</v>
      </c>
      <c r="H44" s="12">
        <f>IF(G44="","",G44)</f>
        <v>-7.36</v>
      </c>
      <c r="I44" s="11">
        <f>IF(I$3=0,"",SUMIFS(INDEX(Inputs!$D$4:$AG$200,0,MATCH(I$2,Inputs!$D$2:$AG$2,0)),Inputs!$B$4:$B$200,$B44)/1000)</f>
        <v>-5.407</v>
      </c>
      <c r="J44" s="11">
        <f>IF(J$3=0,"",SUMIFS(INDEX(Inputs!$D$4:$AG$200,0,MATCH(J$2,Inputs!$D$2:$AG$2,0)),Inputs!$B$4:$B$200,$B44)/1000)</f>
        <v>-10.946</v>
      </c>
      <c r="K44" s="11">
        <f>IF(K$3=0,"",SUMIFS(INDEX(Inputs!$D$4:$AG$200,0,MATCH(K$2,Inputs!$D$2:$AG$2,0)),Inputs!$B$4:$B$200,$B44)/1000)</f>
        <v>-9.749</v>
      </c>
      <c r="L44" s="11">
        <f>IF(L$3=0,"",SUMIFS(INDEX(Inputs!$D$4:$AG$200,0,MATCH(L$2,Inputs!$D$2:$AG$2,0)),Inputs!$B$4:$B$200,$B44)/1000)</f>
        <v>-9.749</v>
      </c>
      <c r="M44" s="12">
        <f>IF(L44="","",L44)</f>
        <v>-9.749</v>
      </c>
      <c r="N44" s="11">
        <f>IF(N$3=0,"",SUMIFS(INDEX(Inputs!$D$4:$AG$200,0,MATCH(N$2,Inputs!$D$2:$AG$2,0)),Inputs!$B$4:$B$200,$B44)/1000)</f>
        <v>-9.749</v>
      </c>
      <c r="O44" s="11">
        <f>IF(O$3=0,"",SUMIFS(INDEX(Inputs!$D$4:$AG$200,0,MATCH(O$2,Inputs!$D$2:$AG$2,0)),Inputs!$B$4:$B$200,$B44)/1000)</f>
        <v>-7.748</v>
      </c>
      <c r="P44" s="11">
        <f>IF(P$3=0,"",SUMIFS(INDEX(Inputs!$D$4:$AG$200,0,MATCH(P$2,Inputs!$D$2:$AG$2,0)),Inputs!$B$4:$B$200,$B44)/1000)</f>
        <v>-7.748</v>
      </c>
      <c r="Q44" s="11">
        <f>IF(Q$3=0,"",SUMIFS(INDEX(Inputs!$D$4:$AG$200,0,MATCH(Q$2,Inputs!$D$2:$AG$2,0)),Inputs!$B$4:$B$200,$B44)/1000)</f>
        <v>-7.748</v>
      </c>
      <c r="R44" s="12">
        <f>IF(Q44="","",Q44)</f>
        <v>-7.748</v>
      </c>
      <c r="S44" s="11">
        <f>IF(S$3=0,"",SUMIFS(INDEX(Inputs!$D$4:$AG$200,0,MATCH(S$2,Inputs!$D$2:$AG$2,0)),Inputs!$B$4:$B$200,$B44)/1000)</f>
        <v>-2.301</v>
      </c>
      <c r="T44" s="11">
        <f>IF(T$3=0,"",SUMIFS(INDEX(Inputs!$D$4:$AG$200,0,MATCH(T$2,Inputs!$D$2:$AG$2,0)),Inputs!$B$4:$B$200,$B44)/1000)</f>
        <v>-2.301</v>
      </c>
      <c r="U44" s="11">
        <f>IF(U$3=0,"",SUMIFS(INDEX(Inputs!$D$4:$AG$200,0,MATCH(U$2,Inputs!$D$2:$AG$2,0)),Inputs!$B$4:$B$200,$B44)/1000)</f>
        <v>-2.301</v>
      </c>
      <c r="V44" s="11">
        <f>IF(V$3=0,"",SUMIFS(INDEX(Inputs!$D$4:$AG$200,0,MATCH(V$2,Inputs!$D$2:$AG$2,0)),Inputs!$B$4:$B$200,$B44)/1000)</f>
        <v>-9.536</v>
      </c>
      <c r="W44" s="12">
        <f>IF(V44="","",V44)</f>
        <v>-9.536</v>
      </c>
      <c r="X44" s="11">
        <f>IF(X$3=0,"",SUMIFS(INDEX(Inputs!$D$4:$AG$200,0,MATCH(X$2,Inputs!$D$2:$AG$2,0)),Inputs!$B$4:$B$200,$B44)/1000)</f>
        <v>-4.065</v>
      </c>
      <c r="Y44" s="11">
        <f>IF(Y$3=0,"",SUMIFS(INDEX(Inputs!$D$4:$AG$200,0,MATCH(Y$2,Inputs!$D$2:$AG$2,0)),Inputs!$B$4:$B$200,$B44)/1000)</f>
        <v>-4.065</v>
      </c>
      <c r="Z44" s="11">
        <f>IF(Z$3=0,"",SUMIFS(INDEX(Inputs!$D$4:$AG$200,0,MATCH(Z$2,Inputs!$D$2:$AG$2,0)),Inputs!$B$4:$B$200,$B44)/1000)</f>
        <v>-8.042</v>
      </c>
      <c r="AA44" s="11">
        <f>IF(AA$3=0,"",SUMIFS(INDEX(Inputs!$D$4:$AG$200,0,MATCH(AA$2,Inputs!$D$2:$AG$2,0)),Inputs!$B$4:$B$200,$B44)/1000)</f>
        <v>-22.571</v>
      </c>
      <c r="AB44" s="12">
        <f>IF(AA44="","",AA44)</f>
        <v>-22.571</v>
      </c>
      <c r="AC44" s="11">
        <f>IF(AC$3=0,"",SUMIFS(INDEX(Inputs!$D$4:$AG$200,0,MATCH(AC$2,Inputs!$D$2:$AG$2,0)),Inputs!$B$4:$B$200,$B44)/1000)</f>
        <v>-2.141</v>
      </c>
      <c r="AD44" s="11">
        <f>IF(AD$3=0,"",SUMIFS(INDEX(Inputs!$D$4:$AG$200,0,MATCH(AD$2,Inputs!$D$2:$AG$2,0)),Inputs!$B$4:$B$200,$B44)/1000)</f>
        <v>-6.583</v>
      </c>
      <c r="AE44" s="11" t="str">
        <f>IF(AE$3=0,"",SUMIFS(INDEX(Inputs!$D$4:$AG$200,0,MATCH(AE$2,Inputs!$D$2:$AG$2,0)),Inputs!$B$4:$B$200,$B44)/1000)</f>
        <v/>
      </c>
      <c r="AF44" s="11" t="str">
        <f>IF(AF$3=0,"",SUMIFS(INDEX(Inputs!$D$4:$AG$200,0,MATCH(AF$2,Inputs!$D$2:$AG$2,0)),Inputs!$B$4:$B$200,$B44)/1000)</f>
        <v/>
      </c>
      <c r="AG44" s="12" t="str">
        <f>IF(AF44="","",AF44)</f>
        <v/>
      </c>
    </row>
    <row r="45">
      <c r="B45" s="9" t="n">
        <v>39</v>
      </c>
      <c r="C45" s="14" t="inlineStr">
        <is>
          <t>Comprehensive (accumulated) loss</t>
        </is>
      </c>
      <c r="D45" s="11">
        <f>IF(D$3=0,"",SUMIFS(INDEX(Inputs!$D$4:$AG$200,0,MATCH(D$2,Inputs!$D$2:$AG$2,0)),Inputs!$B$4:$B$200,$B45)/1000)</f>
        <v>-18.47</v>
      </c>
      <c r="E45" s="11">
        <f>IF(E$3=0,"",SUMIFS(INDEX(Inputs!$D$4:$AG$200,0,MATCH(E$2,Inputs!$D$2:$AG$2,0)),Inputs!$B$4:$B$200,$B45)/1000)</f>
        <v>-18.47</v>
      </c>
      <c r="F45" s="11">
        <f>IF(F$3=0,"",SUMIFS(INDEX(Inputs!$D$4:$AG$200,0,MATCH(F$2,Inputs!$D$2:$AG$2,0)),Inputs!$B$4:$B$200,$B45)/1000)</f>
        <v>-19.108</v>
      </c>
      <c r="G45" s="11">
        <f>IF(G$3=0,"",SUMIFS(INDEX(Inputs!$D$4:$AG$200,0,MATCH(G$2,Inputs!$D$2:$AG$2,0)),Inputs!$B$4:$B$200,$B45)/1000)</f>
        <v>-29.847</v>
      </c>
      <c r="H45" s="12">
        <f>IF(G45="","",G45)</f>
        <v>-29.847</v>
      </c>
      <c r="I45" s="11">
        <f>IF(I$3=0,"",SUMIFS(INDEX(Inputs!$D$4:$AG$200,0,MATCH(I$2,Inputs!$D$2:$AG$2,0)),Inputs!$B$4:$B$200,$B45)/1000)</f>
        <v>-29.685</v>
      </c>
      <c r="J45" s="11">
        <f>IF(J$3=0,"",SUMIFS(INDEX(Inputs!$D$4:$AG$200,0,MATCH(J$2,Inputs!$D$2:$AG$2,0)),Inputs!$B$4:$B$200,$B45)/1000)</f>
        <v>-30.208</v>
      </c>
      <c r="K45" s="11">
        <f>IF(K$3=0,"",SUMIFS(INDEX(Inputs!$D$4:$AG$200,0,MATCH(K$2,Inputs!$D$2:$AG$2,0)),Inputs!$B$4:$B$200,$B45)/1000)</f>
        <v>-30.296</v>
      </c>
      <c r="L45" s="11">
        <f>IF(L$3=0,"",SUMIFS(INDEX(Inputs!$D$4:$AG$200,0,MATCH(L$2,Inputs!$D$2:$AG$2,0)),Inputs!$B$4:$B$200,$B45)/1000)</f>
        <v>-31.88</v>
      </c>
      <c r="M45" s="12">
        <f>IF(L45="","",L45)</f>
        <v>-31.88</v>
      </c>
      <c r="N45" s="11">
        <f>IF(N$3=0,"",SUMIFS(INDEX(Inputs!$D$4:$AG$200,0,MATCH(N$2,Inputs!$D$2:$AG$2,0)),Inputs!$B$4:$B$200,$B45)/1000)</f>
        <v>0</v>
      </c>
      <c r="O45" s="11">
        <f>IF(O$3=0,"",SUMIFS(INDEX(Inputs!$D$4:$AG$200,0,MATCH(O$2,Inputs!$D$2:$AG$2,0)),Inputs!$B$4:$B$200,$B45)/1000)</f>
        <v>0</v>
      </c>
      <c r="P45" s="11">
        <f>IF(P$3=0,"",SUMIFS(INDEX(Inputs!$D$4:$AG$200,0,MATCH(P$2,Inputs!$D$2:$AG$2,0)),Inputs!$B$4:$B$200,$B45)/1000)</f>
        <v>0</v>
      </c>
      <c r="Q45" s="11">
        <f>IF(Q$3=0,"",SUMIFS(INDEX(Inputs!$D$4:$AG$200,0,MATCH(Q$2,Inputs!$D$2:$AG$2,0)),Inputs!$B$4:$B$200,$B45)/1000)</f>
        <v>-31.76</v>
      </c>
      <c r="R45" s="12">
        <f>IF(Q45="","",Q45)</f>
        <v>-31.76</v>
      </c>
      <c r="S45" s="11">
        <f>IF(S$3=0,"",SUMIFS(INDEX(Inputs!$D$4:$AG$200,0,MATCH(S$2,Inputs!$D$2:$AG$2,0)),Inputs!$B$4:$B$200,$B45)/1000)</f>
        <v>0</v>
      </c>
      <c r="T45" s="11">
        <f>IF(T$3=0,"",SUMIFS(INDEX(Inputs!$D$4:$AG$200,0,MATCH(T$2,Inputs!$D$2:$AG$2,0)),Inputs!$B$4:$B$200,$B45)/1000)</f>
        <v>0</v>
      </c>
      <c r="U45" s="11">
        <f>IF(U$3=0,"",SUMIFS(INDEX(Inputs!$D$4:$AG$200,0,MATCH(U$2,Inputs!$D$2:$AG$2,0)),Inputs!$B$4:$B$200,$B45)/1000)</f>
        <v>0</v>
      </c>
      <c r="V45" s="11">
        <f>IF(V$3=0,"",SUMIFS(INDEX(Inputs!$D$4:$AG$200,0,MATCH(V$2,Inputs!$D$2:$AG$2,0)),Inputs!$B$4:$B$200,$B45)/1000)</f>
        <v>-31.759</v>
      </c>
      <c r="W45" s="12">
        <f>IF(V45="","",V45)</f>
        <v>-31.759</v>
      </c>
      <c r="X45" s="11">
        <f>IF(X$3=0,"",SUMIFS(INDEX(Inputs!$D$4:$AG$200,0,MATCH(X$2,Inputs!$D$2:$AG$2,0)),Inputs!$B$4:$B$200,$B45)/1000)</f>
        <v>-33.268</v>
      </c>
      <c r="Y45" s="11">
        <f>IF(Y$3=0,"",SUMIFS(INDEX(Inputs!$D$4:$AG$200,0,MATCH(Y$2,Inputs!$D$2:$AG$2,0)),Inputs!$B$4:$B$200,$B45)/1000)</f>
        <v>151.699</v>
      </c>
      <c r="Z45" s="11">
        <f>IF(Z$3=0,"",SUMIFS(INDEX(Inputs!$D$4:$AG$200,0,MATCH(Z$2,Inputs!$D$2:$AG$2,0)),Inputs!$B$4:$B$200,$B45)/1000)</f>
        <v>167.444</v>
      </c>
      <c r="AA45" s="11">
        <f>IF(AA$3=0,"",SUMIFS(INDEX(Inputs!$D$4:$AG$200,0,MATCH(AA$2,Inputs!$D$2:$AG$2,0)),Inputs!$B$4:$B$200,$B45)/1000)</f>
        <v>238.956</v>
      </c>
      <c r="AB45" s="12">
        <f>IF(AA45="","",AA45)</f>
        <v>238.956</v>
      </c>
      <c r="AC45" s="11">
        <f>IF(AC$3=0,"",SUMIFS(INDEX(Inputs!$D$4:$AG$200,0,MATCH(AC$2,Inputs!$D$2:$AG$2,0)),Inputs!$B$4:$B$200,$B45)/1000)</f>
        <v>235.951</v>
      </c>
      <c r="AD45" s="11">
        <f>IF(AD$3=0,"",SUMIFS(INDEX(Inputs!$D$4:$AG$200,0,MATCH(AD$2,Inputs!$D$2:$AG$2,0)),Inputs!$B$4:$B$200,$B45)/1000)</f>
        <v>235.951</v>
      </c>
      <c r="AE45" s="11" t="str">
        <f>IF(AE$3=0,"",SUMIFS(INDEX(Inputs!$D$4:$AG$200,0,MATCH(AE$2,Inputs!$D$2:$AG$2,0)),Inputs!$B$4:$B$200,$B45)/1000)</f>
        <v/>
      </c>
      <c r="AF45" s="11" t="str">
        <f>IF(AF$3=0,"",SUMIFS(INDEX(Inputs!$D$4:$AG$200,0,MATCH(AF$2,Inputs!$D$2:$AG$2,0)),Inputs!$B$4:$B$200,$B45)/1000)</f>
        <v/>
      </c>
      <c r="AG45" s="12" t="str">
        <f>IF(AF45="","",AF45)</f>
        <v/>
      </c>
    </row>
    <row r="46">
      <c r="B46" s="9" t="n">
        <v>40</v>
      </c>
      <c r="C46" s="14" t="inlineStr">
        <is>
          <t>Other equity account</t>
        </is>
      </c>
      <c r="D46" s="11">
        <f>IF(D$3=0,"",SUMIFS(INDEX(Inputs!$D$4:$AG$200,0,MATCH(D$2,Inputs!$D$2:$AG$2,0)),Inputs!$B$4:$B$200,$B46)/1000)</f>
        <v>0</v>
      </c>
      <c r="E46" s="11">
        <f>IF(E$3=0,"",SUMIFS(INDEX(Inputs!$D$4:$AG$200,0,MATCH(E$2,Inputs!$D$2:$AG$2,0)),Inputs!$B$4:$B$200,$B46)/1000)</f>
        <v>0</v>
      </c>
      <c r="F46" s="11">
        <f>IF(F$3=0,"",SUMIFS(INDEX(Inputs!$D$4:$AG$200,0,MATCH(F$2,Inputs!$D$2:$AG$2,0)),Inputs!$B$4:$B$200,$B46)/1000)</f>
        <v>0</v>
      </c>
      <c r="G46" s="11">
        <f>IF(G$3=0,"",SUMIFS(INDEX(Inputs!$D$4:$AG$200,0,MATCH(G$2,Inputs!$D$2:$AG$2,0)),Inputs!$B$4:$B$200,$B46)/1000)</f>
        <v>0</v>
      </c>
      <c r="H46" s="12">
        <f>IF(G46="","",G46)</f>
        <v>0</v>
      </c>
      <c r="I46" s="11">
        <f>IF(I$3=0,"",SUMIFS(INDEX(Inputs!$D$4:$AG$200,0,MATCH(I$2,Inputs!$D$2:$AG$2,0)),Inputs!$B$4:$B$200,$B46)/1000)</f>
        <v>0</v>
      </c>
      <c r="J46" s="11">
        <f>IF(J$3=0,"",SUMIFS(INDEX(Inputs!$D$4:$AG$200,0,MATCH(J$2,Inputs!$D$2:$AG$2,0)),Inputs!$B$4:$B$200,$B46)/1000)</f>
        <v>0</v>
      </c>
      <c r="K46" s="11">
        <f>IF(K$3=0,"",SUMIFS(INDEX(Inputs!$D$4:$AG$200,0,MATCH(K$2,Inputs!$D$2:$AG$2,0)),Inputs!$B$4:$B$200,$B46)/1000)</f>
        <v>0</v>
      </c>
      <c r="L46" s="11">
        <f>IF(L$3=0,"",SUMIFS(INDEX(Inputs!$D$4:$AG$200,0,MATCH(L$2,Inputs!$D$2:$AG$2,0)),Inputs!$B$4:$B$200,$B46)/1000)</f>
        <v>0</v>
      </c>
      <c r="M46" s="12">
        <f>IF(L46="","",L46)</f>
        <v>0</v>
      </c>
      <c r="N46" s="11">
        <f>IF(N$3=0,"",SUMIFS(INDEX(Inputs!$D$4:$AG$200,0,MATCH(N$2,Inputs!$D$2:$AG$2,0)),Inputs!$B$4:$B$200,$B46)/1000)</f>
        <v>0</v>
      </c>
      <c r="O46" s="11">
        <f>IF(O$3=0,"",SUMIFS(INDEX(Inputs!$D$4:$AG$200,0,MATCH(O$2,Inputs!$D$2:$AG$2,0)),Inputs!$B$4:$B$200,$B46)/1000)</f>
        <v>0</v>
      </c>
      <c r="P46" s="11">
        <f>IF(P$3=0,"",SUMIFS(INDEX(Inputs!$D$4:$AG$200,0,MATCH(P$2,Inputs!$D$2:$AG$2,0)),Inputs!$B$4:$B$200,$B46)/1000)</f>
        <v>0</v>
      </c>
      <c r="Q46" s="11">
        <f>IF(Q$3=0,"",SUMIFS(INDEX(Inputs!$D$4:$AG$200,0,MATCH(Q$2,Inputs!$D$2:$AG$2,0)),Inputs!$B$4:$B$200,$B46)/1000)</f>
        <v>0</v>
      </c>
      <c r="R46" s="12">
        <f>IF(Q46="","",Q46)</f>
        <v>0</v>
      </c>
      <c r="S46" s="11">
        <f>IF(S$3=0,"",SUMIFS(INDEX(Inputs!$D$4:$AG$200,0,MATCH(S$2,Inputs!$D$2:$AG$2,0)),Inputs!$B$4:$B$200,$B46)/1000)</f>
        <v>0</v>
      </c>
      <c r="T46" s="11">
        <f>IF(T$3=0,"",SUMIFS(INDEX(Inputs!$D$4:$AG$200,0,MATCH(T$2,Inputs!$D$2:$AG$2,0)),Inputs!$B$4:$B$200,$B46)/1000)</f>
        <v>0</v>
      </c>
      <c r="U46" s="11">
        <f>IF(U$3=0,"",SUMIFS(INDEX(Inputs!$D$4:$AG$200,0,MATCH(U$2,Inputs!$D$2:$AG$2,0)),Inputs!$B$4:$B$200,$B46)/1000)</f>
        <v>0</v>
      </c>
      <c r="V46" s="11">
        <f>IF(V$3=0,"",SUMIFS(INDEX(Inputs!$D$4:$AG$200,0,MATCH(V$2,Inputs!$D$2:$AG$2,0)),Inputs!$B$4:$B$200,$B46)/1000)</f>
        <v>0</v>
      </c>
      <c r="W46" s="12">
        <f>IF(V46="","",V46)</f>
        <v>0</v>
      </c>
      <c r="X46" s="11">
        <f>IF(X$3=0,"",SUMIFS(INDEX(Inputs!$D$4:$AG$200,0,MATCH(X$2,Inputs!$D$2:$AG$2,0)),Inputs!$B$4:$B$200,$B46)/1000)</f>
        <v>0</v>
      </c>
      <c r="Y46" s="11">
        <f>IF(Y$3=0,"",SUMIFS(INDEX(Inputs!$D$4:$AG$200,0,MATCH(Y$2,Inputs!$D$2:$AG$2,0)),Inputs!$B$4:$B$200,$B46)/1000)</f>
        <v>0</v>
      </c>
      <c r="Z46" s="11">
        <f>IF(Z$3=0,"",SUMIFS(INDEX(Inputs!$D$4:$AG$200,0,MATCH(Z$2,Inputs!$D$2:$AG$2,0)),Inputs!$B$4:$B$200,$B46)/1000)</f>
        <v>0</v>
      </c>
      <c r="AA46" s="11">
        <f>IF(AA$3=0,"",SUMIFS(INDEX(Inputs!$D$4:$AG$200,0,MATCH(AA$2,Inputs!$D$2:$AG$2,0)),Inputs!$B$4:$B$200,$B46)/1000)</f>
        <v>0</v>
      </c>
      <c r="AB46" s="12">
        <f>IF(AA46="","",AA46)</f>
        <v>0</v>
      </c>
      <c r="AC46" s="11">
        <f>IF(AC$3=0,"",SUMIFS(INDEX(Inputs!$D$4:$AG$200,0,MATCH(AC$2,Inputs!$D$2:$AG$2,0)),Inputs!$B$4:$B$200,$B46)/1000)</f>
        <v>0</v>
      </c>
      <c r="AD46" s="11">
        <f>IF(AD$3=0,"",SUMIFS(INDEX(Inputs!$D$4:$AG$200,0,MATCH(AD$2,Inputs!$D$2:$AG$2,0)),Inputs!$B$4:$B$200,$B46)/1000)</f>
        <v>0</v>
      </c>
      <c r="AE46" s="11" t="str">
        <f>IF(AE$3=0,"",SUMIFS(INDEX(Inputs!$D$4:$AG$200,0,MATCH(AE$2,Inputs!$D$2:$AG$2,0)),Inputs!$B$4:$B$200,$B46)/1000)</f>
        <v/>
      </c>
      <c r="AF46" s="11" t="str">
        <f>IF(AF$3=0,"",SUMIFS(INDEX(Inputs!$D$4:$AG$200,0,MATCH(AF$2,Inputs!$D$2:$AG$2,0)),Inputs!$B$4:$B$200,$B46)/1000)</f>
        <v/>
      </c>
      <c r="AG46" s="12" t="str">
        <f>IF(AF46="","",AF46)</f>
        <v/>
      </c>
    </row>
    <row r="47">
      <c r="B47" s="9" t="n">
        <v>41</v>
      </c>
      <c r="C47" s="15" t="inlineStr">
        <is>
          <t>Retained earnings</t>
        </is>
      </c>
      <c r="D47" s="11">
        <f>IF(D$3=0,"",SUMIFS(INDEX(Inputs!$D$4:$AG$200,0,MATCH(D$2,Inputs!$D$2:$AG$2,0)),Inputs!$B$4:$B$200,$B47)/1000)</f>
        <v>358.134</v>
      </c>
      <c r="E47" s="11">
        <f>IF(E$3=0,"",SUMIFS(INDEX(Inputs!$D$4:$AG$200,0,MATCH(E$2,Inputs!$D$2:$AG$2,0)),Inputs!$B$4:$B$200,$B47)/1000)</f>
        <v>298.689</v>
      </c>
      <c r="F47" s="11">
        <f>IF(F$3=0,"",SUMIFS(INDEX(Inputs!$D$4:$AG$200,0,MATCH(F$2,Inputs!$D$2:$AG$2,0)),Inputs!$B$4:$B$200,$B47)/1000)</f>
        <v>345.836</v>
      </c>
      <c r="G47" s="11">
        <f>IF(G$3=0,"",SUMIFS(INDEX(Inputs!$D$4:$AG$200,0,MATCH(G$2,Inputs!$D$2:$AG$2,0)),Inputs!$B$4:$B$200,$B47)/1000)</f>
        <v>404.153</v>
      </c>
      <c r="H47" s="12">
        <f>IF(G47="","",G47)</f>
        <v>404.153</v>
      </c>
      <c r="I47" s="11">
        <f>IF(I$3=0,"",SUMIFS(INDEX(Inputs!$D$4:$AG$200,0,MATCH(I$2,Inputs!$D$2:$AG$2,0)),Inputs!$B$4:$B$200,$B47)/1000)</f>
        <v>431.403</v>
      </c>
      <c r="J47" s="11">
        <f>IF(J$3=0,"",SUMIFS(INDEX(Inputs!$D$4:$AG$200,0,MATCH(J$2,Inputs!$D$2:$AG$2,0)),Inputs!$B$4:$B$200,$B47)/1000)</f>
        <v>472.675</v>
      </c>
      <c r="K47" s="11">
        <f>IF(K$3=0,"",SUMIFS(INDEX(Inputs!$D$4:$AG$200,0,MATCH(K$2,Inputs!$D$2:$AG$2,0)),Inputs!$B$4:$B$200,$B47)/1000)</f>
        <v>465.667</v>
      </c>
      <c r="L47" s="11">
        <f>IF(L$3=0,"",SUMIFS(INDEX(Inputs!$D$4:$AG$200,0,MATCH(L$2,Inputs!$D$2:$AG$2,0)),Inputs!$B$4:$B$200,$B47)/1000)</f>
        <v>398.425</v>
      </c>
      <c r="M47" s="12">
        <f>IF(L47="","",L47)</f>
        <v>398.425</v>
      </c>
      <c r="N47" s="11">
        <f>IF(N$3=0,"",SUMIFS(INDEX(Inputs!$D$4:$AG$200,0,MATCH(N$2,Inputs!$D$2:$AG$2,0)),Inputs!$B$4:$B$200,$B47)/1000)</f>
        <v>457.177</v>
      </c>
      <c r="O47" s="11">
        <f>IF(O$3=0,"",SUMIFS(INDEX(Inputs!$D$4:$AG$200,0,MATCH(O$2,Inputs!$D$2:$AG$2,0)),Inputs!$B$4:$B$200,$B47)/1000)</f>
        <v>561.618</v>
      </c>
      <c r="P47" s="11">
        <f>IF(P$3=0,"",SUMIFS(INDEX(Inputs!$D$4:$AG$200,0,MATCH(P$2,Inputs!$D$2:$AG$2,0)),Inputs!$B$4:$B$200,$B47)/1000)</f>
        <v>630.366</v>
      </c>
      <c r="Q47" s="11">
        <f>IF(Q$3=0,"",SUMIFS(INDEX(Inputs!$D$4:$AG$200,0,MATCH(Q$2,Inputs!$D$2:$AG$2,0)),Inputs!$B$4:$B$200,$B47)/1000)</f>
        <v>648.81</v>
      </c>
      <c r="R47" s="12">
        <f>IF(Q47="","",Q47)</f>
        <v>648.81</v>
      </c>
      <c r="S47" s="11">
        <f>IF(S$3=0,"",SUMIFS(INDEX(Inputs!$D$4:$AG$200,0,MATCH(S$2,Inputs!$D$2:$AG$2,0)),Inputs!$B$4:$B$200,$B47)/1000)</f>
        <v>800.201</v>
      </c>
      <c r="T47" s="11">
        <f>IF(T$3=0,"",SUMIFS(INDEX(Inputs!$D$4:$AG$200,0,MATCH(T$2,Inputs!$D$2:$AG$2,0)),Inputs!$B$4:$B$200,$B47)/1000)</f>
        <v>946.378</v>
      </c>
      <c r="U47" s="11">
        <f>IF(U$3=0,"",SUMIFS(INDEX(Inputs!$D$4:$AG$200,0,MATCH(U$2,Inputs!$D$2:$AG$2,0)),Inputs!$B$4:$B$200,$B47)/1000)</f>
        <v>749.937</v>
      </c>
      <c r="V47" s="11">
        <f>IF(V$3=0,"",SUMIFS(INDEX(Inputs!$D$4:$AG$200,0,MATCH(V$2,Inputs!$D$2:$AG$2,0)),Inputs!$B$4:$B$200,$B47)/1000)</f>
        <v>711.711</v>
      </c>
      <c r="W47" s="12">
        <f>IF(V47="","",V47)</f>
        <v>711.711</v>
      </c>
      <c r="X47" s="11">
        <f>IF(X$3=0,"",SUMIFS(INDEX(Inputs!$D$4:$AG$200,0,MATCH(X$2,Inputs!$D$2:$AG$2,0)),Inputs!$B$4:$B$200,$B47)/1000)</f>
        <v>873.513</v>
      </c>
      <c r="Y47" s="11">
        <f>IF(Y$3=0,"",SUMIFS(INDEX(Inputs!$D$4:$AG$200,0,MATCH(Y$2,Inputs!$D$2:$AG$2,0)),Inputs!$B$4:$B$200,$B47)/1000)</f>
        <v>710.591</v>
      </c>
      <c r="Z47" s="11">
        <f>IF(Z$3=0,"",SUMIFS(INDEX(Inputs!$D$4:$AG$200,0,MATCH(Z$2,Inputs!$D$2:$AG$2,0)),Inputs!$B$4:$B$200,$B47)/1000)</f>
        <v>940.571</v>
      </c>
      <c r="AA47" s="11">
        <f>IF(AA$3=0,"",SUMIFS(INDEX(Inputs!$D$4:$AG$200,0,MATCH(AA$2,Inputs!$D$2:$AG$2,0)),Inputs!$B$4:$B$200,$B47)/1000)</f>
        <v>347.639</v>
      </c>
      <c r="AB47" s="12">
        <f>IF(AA47="","",AA47)</f>
        <v>347.639</v>
      </c>
      <c r="AC47" s="11">
        <f>IF(AC$3=0,"",SUMIFS(INDEX(Inputs!$D$4:$AG$200,0,MATCH(AC$2,Inputs!$D$2:$AG$2,0)),Inputs!$B$4:$B$200,$B47)/1000)</f>
        <v>548.198</v>
      </c>
      <c r="AD47" s="11">
        <f>IF(AD$3=0,"",SUMIFS(INDEX(Inputs!$D$4:$AG$200,0,MATCH(AD$2,Inputs!$D$2:$AG$2,0)),Inputs!$B$4:$B$200,$B47)/1000)</f>
        <v>748.762</v>
      </c>
      <c r="AE47" s="11" t="str">
        <f>IF(AE$3=0,"",SUMIFS(INDEX(Inputs!$D$4:$AG$200,0,MATCH(AE$2,Inputs!$D$2:$AG$2,0)),Inputs!$B$4:$B$200,$B47)/1000)</f>
        <v/>
      </c>
      <c r="AF47" s="11" t="str">
        <f>IF(AF$3=0,"",SUMIFS(INDEX(Inputs!$D$4:$AG$200,0,MATCH(AF$2,Inputs!$D$2:$AG$2,0)),Inputs!$B$4:$B$200,$B47)/1000)</f>
        <v/>
      </c>
      <c r="AG47" s="12" t="str">
        <f>IF(AF47="","",AF47)</f>
        <v/>
      </c>
    </row>
    <row r="48"/>
    <row r="49" customFormat="1" s="3">
      <c r="C49" s="4" t="n"/>
      <c r="D49" s="16" t="n"/>
      <c r="E49" s="16" t="n"/>
      <c r="F49" s="16" t="n"/>
      <c r="G49" s="16" t="n"/>
      <c r="H49" s="12" t="n"/>
      <c r="I49" s="16" t="n"/>
      <c r="J49" s="16" t="n"/>
      <c r="K49" s="16" t="n"/>
      <c r="L49" s="16" t="n"/>
      <c r="M49" s="12" t="n"/>
      <c r="N49" s="16" t="n"/>
      <c r="O49" s="16" t="n"/>
      <c r="P49" s="16" t="n"/>
      <c r="Q49" s="16" t="n"/>
      <c r="R49" s="12" t="n"/>
      <c r="S49" s="16" t="n"/>
      <c r="T49" s="16" t="n"/>
      <c r="U49" s="16" t="n"/>
      <c r="V49" s="16" t="n"/>
      <c r="W49" s="12" t="n"/>
      <c r="X49" s="16" t="n"/>
      <c r="Y49" s="16" t="n"/>
      <c r="Z49" s="16" t="n"/>
      <c r="AA49" s="16" t="n"/>
      <c r="AC49" s="16" t="n"/>
      <c r="AD49" s="16" t="n"/>
      <c r="AE49" s="16" t="n"/>
      <c r="AF49" s="16" t="n"/>
    </row>
    <row r="50">
      <c r="B50" s="9" t="n">
        <v>44</v>
      </c>
      <c r="C50" s="10" t="inlineStr">
        <is>
          <t>Net income reported (lucro líquido reportado) — base do check de DRE [Model linha 4]</t>
        </is>
      </c>
      <c r="D50" s="11">
        <f>IF(SUMPRODUCT((Inputs!$B$4:$B$200=$B50)*ISNUMBER(INDEX(Inputs!$D$4:$AG$200,0,MATCH(D$2,Inputs!$D$2:$AG$2,0))))=0,"",SUMIFS(INDEX(Inputs!$D$4:$AG$200,0,MATCH(D$2,Inputs!$D$2:$AG$2,0)),Inputs!$B$4:$B$200,$B50)/1000)</f>
        <v>26.811643592</v>
      </c>
      <c r="E50" s="11">
        <f>IF(SUMPRODUCT((Inputs!$B$4:$B$200=$B50)*ISNUMBER(INDEX(Inputs!$D$4:$AG$200,0,MATCH(E$2,Inputs!$D$2:$AG$2,0))))=0,"",SUMIFS(INDEX(Inputs!$D$4:$AG$200,0,MATCH(E$2,Inputs!$D$2:$AG$2,0)),Inputs!$B$4:$B$200,$B50)/1000)</f>
        <v>40.623206562</v>
      </c>
      <c r="F50" s="11">
        <f>IF(SUMPRODUCT((Inputs!$B$4:$B$200=$B50)*ISNUMBER(INDEX(Inputs!$D$4:$AG$200,0,MATCH(F$2,Inputs!$D$2:$AG$2,0))))=0,"",SUMIFS(INDEX(Inputs!$D$4:$AG$200,0,MATCH(F$2,Inputs!$D$2:$AG$2,0)),Inputs!$B$4:$B$200,$B50)/1000)</f>
        <v>47.210111698</v>
      </c>
      <c r="G50" s="11">
        <f>IF(SUMPRODUCT((Inputs!$B$4:$B$200=$B50)*ISNUMBER(INDEX(Inputs!$D$4:$AG$200,0,MATCH(G$2,Inputs!$D$2:$AG$2,0))))=0,"",SUMIFS(INDEX(Inputs!$D$4:$AG$200,0,MATCH(G$2,Inputs!$D$2:$AG$2,0)),Inputs!$B$4:$B$200,$B50)/1000)</f>
        <v>31.958815488</v>
      </c>
      <c r="H50" s="12">
        <f>IF(COUNT(D50:G50)=4,SUM(D50:G50),"")</f>
        <v>146.60377734</v>
      </c>
      <c r="I50" s="11">
        <f>IF(SUMPRODUCT((Inputs!$B$4:$B$200=$B50)*ISNUMBER(INDEX(Inputs!$D$4:$AG$200,0,MATCH(I$2,Inputs!$D$2:$AG$2,0))))=0,"",SUMIFS(INDEX(Inputs!$D$4:$AG$200,0,MATCH(I$2,Inputs!$D$2:$AG$2,0)),Inputs!$B$4:$B$200,$B50)/1000)</f>
        <v>26.707</v>
      </c>
      <c r="J50" s="11">
        <f>IF(SUMPRODUCT((Inputs!$B$4:$B$200=$B50)*ISNUMBER(INDEX(Inputs!$D$4:$AG$200,0,MATCH(J$2,Inputs!$D$2:$AG$2,0))))=0,"",SUMIFS(INDEX(Inputs!$D$4:$AG$200,0,MATCH(J$2,Inputs!$D$2:$AG$2,0)),Inputs!$B$4:$B$200,$B50)/1000)</f>
        <v>22.436</v>
      </c>
      <c r="K50" s="11">
        <f>IF(SUMPRODUCT((Inputs!$B$4:$B$200=$B50)*ISNUMBER(INDEX(Inputs!$D$4:$AG$200,0,MATCH(K$2,Inputs!$D$2:$AG$2,0))))=0,"",SUMIFS(INDEX(Inputs!$D$4:$AG$200,0,MATCH(K$2,Inputs!$D$2:$AG$2,0)),Inputs!$B$4:$B$200,$B50)/1000)</f>
        <v>62.272</v>
      </c>
      <c r="L50" s="11">
        <f>IF(SUMPRODUCT((Inputs!$B$4:$B$200=$B50)*ISNUMBER(INDEX(Inputs!$D$4:$AG$200,0,MATCH(L$2,Inputs!$D$2:$AG$2,0))))=0,"",SUMIFS(INDEX(Inputs!$D$4:$AG$200,0,MATCH(L$2,Inputs!$D$2:$AG$2,0)),Inputs!$B$4:$B$200,$B50)/1000)</f>
        <v>78.605</v>
      </c>
      <c r="M50" s="12">
        <f>IF(COUNT(I50:L50)=4,SUM(I50:L50),"")</f>
        <v>190.02</v>
      </c>
      <c r="N50" s="11">
        <f>IF(SUMPRODUCT((Inputs!$B$4:$B$200=$B50)*ISNUMBER(INDEX(Inputs!$D$4:$AG$200,0,MATCH(N$2,Inputs!$D$2:$AG$2,0))))=0,"",SUMIFS(INDEX(Inputs!$D$4:$AG$200,0,MATCH(N$2,Inputs!$D$2:$AG$2,0)),Inputs!$B$4:$B$200,$B50)/1000)</f>
        <v>58.754</v>
      </c>
      <c r="O50" s="11">
        <f>IF(SUMPRODUCT((Inputs!$B$4:$B$200=$B50)*ISNUMBER(INDEX(Inputs!$D$4:$AG$200,0,MATCH(O$2,Inputs!$D$2:$AG$2,0))))=0,"",SUMIFS(INDEX(Inputs!$D$4:$AG$200,0,MATCH(O$2,Inputs!$D$2:$AG$2,0)),Inputs!$B$4:$B$200,$B50)/1000)</f>
        <v>104.439</v>
      </c>
      <c r="P50" s="11">
        <f>IF(SUMPRODUCT((Inputs!$B$4:$B$200=$B50)*ISNUMBER(INDEX(Inputs!$D$4:$AG$200,0,MATCH(P$2,Inputs!$D$2:$AG$2,0))))=0,"",SUMIFS(INDEX(Inputs!$D$4:$AG$200,0,MATCH(P$2,Inputs!$D$2:$AG$2,0)),Inputs!$B$4:$B$200,$B50)/1000)</f>
        <v>68.7629458</v>
      </c>
      <c r="Q50" s="11">
        <f>IF(SUMPRODUCT((Inputs!$B$4:$B$200=$B50)*ISNUMBER(INDEX(Inputs!$D$4:$AG$200,0,MATCH(Q$2,Inputs!$D$2:$AG$2,0))))=0,"",SUMIFS(INDEX(Inputs!$D$4:$AG$200,0,MATCH(Q$2,Inputs!$D$2:$AG$2,0)),Inputs!$B$4:$B$200,$B50)/1000)</f>
        <v>99.606</v>
      </c>
      <c r="R50" s="12">
        <f>IF(COUNT(N50:Q50)=4,SUM(N50:Q50),"")</f>
        <v>331.5619458</v>
      </c>
      <c r="S50" s="11">
        <f>IF(SUMPRODUCT((Inputs!$B$4:$B$200=$B50)*ISNUMBER(INDEX(Inputs!$D$4:$AG$200,0,MATCH(S$2,Inputs!$D$2:$AG$2,0))))=0,"",SUMIFS(INDEX(Inputs!$D$4:$AG$200,0,MATCH(S$2,Inputs!$D$2:$AG$2,0)),Inputs!$B$4:$B$200,$B50)/1000)</f>
        <v>150.28370318</v>
      </c>
      <c r="T50" s="11">
        <f>IF(SUMPRODUCT((Inputs!$B$4:$B$200=$B50)*ISNUMBER(INDEX(Inputs!$D$4:$AG$200,0,MATCH(T$2,Inputs!$D$2:$AG$2,0))))=0,"",SUMIFS(INDEX(Inputs!$D$4:$AG$200,0,MATCH(T$2,Inputs!$D$2:$AG$2,0)),Inputs!$B$4:$B$200,$B50)/1000)</f>
        <v>146.169</v>
      </c>
      <c r="U50" s="11">
        <f>IF(SUMPRODUCT((Inputs!$B$4:$B$200=$B50)*ISNUMBER(INDEX(Inputs!$D$4:$AG$200,0,MATCH(U$2,Inputs!$D$2:$AG$2,0))))=0,"",SUMIFS(INDEX(Inputs!$D$4:$AG$200,0,MATCH(U$2,Inputs!$D$2:$AG$2,0)),Inputs!$B$4:$B$200,$B50)/1000)</f>
        <v>160.46398368</v>
      </c>
      <c r="V50" s="11">
        <f>IF(SUMPRODUCT((Inputs!$B$4:$B$200=$B50)*ISNUMBER(INDEX(Inputs!$D$4:$AG$200,0,MATCH(V$2,Inputs!$D$2:$AG$2,0))))=0,"",SUMIFS(INDEX(Inputs!$D$4:$AG$200,0,MATCH(V$2,Inputs!$D$2:$AG$2,0)),Inputs!$B$4:$B$200,$B50)/1000)</f>
        <v>181.461</v>
      </c>
      <c r="W50" s="12">
        <f>IF(COUNT(S50:V50)=4,SUM(S50:V50),"")</f>
        <v>638.37768686</v>
      </c>
      <c r="X50" s="11">
        <f>IF(SUMPRODUCT((Inputs!$B$4:$B$200=$B50)*ISNUMBER(INDEX(Inputs!$D$4:$AG$200,0,MATCH(X$2,Inputs!$D$2:$AG$2,0))))=0,"",SUMIFS(INDEX(Inputs!$D$4:$AG$200,0,MATCH(X$2,Inputs!$D$2:$AG$2,0)),Inputs!$B$4:$B$200,$B50)/1000)</f>
        <v>164.516</v>
      </c>
      <c r="Y50" s="11">
        <f>IF(SUMPRODUCT((Inputs!$B$4:$B$200=$B50)*ISNUMBER(INDEX(Inputs!$D$4:$AG$200,0,MATCH(Y$2,Inputs!$D$2:$AG$2,0))))=0,"",SUMIFS(INDEX(Inputs!$D$4:$AG$200,0,MATCH(Y$2,Inputs!$D$2:$AG$2,0)),Inputs!$B$4:$B$200,$B50)/1000)</f>
        <v>183.742</v>
      </c>
      <c r="Z50" s="11">
        <f>IF(SUMPRODUCT((Inputs!$B$4:$B$200=$B50)*ISNUMBER(INDEX(Inputs!$D$4:$AG$200,0,MATCH(Z$2,Inputs!$D$2:$AG$2,0))))=0,"",SUMIFS(INDEX(Inputs!$D$4:$AG$200,0,MATCH(Z$2,Inputs!$D$2:$AG$2,0)),Inputs!$B$4:$B$200,$B50)/1000)</f>
        <v>229.652</v>
      </c>
      <c r="AA50" s="11">
        <f>IF(SUMPRODUCT((Inputs!$B$4:$B$200=$B50)*ISNUMBER(INDEX(Inputs!$D$4:$AG$200,0,MATCH(AA$2,Inputs!$D$2:$AG$2,0))))=0,"",SUMIFS(INDEX(Inputs!$D$4:$AG$200,0,MATCH(AA$2,Inputs!$D$2:$AG$2,0)),Inputs!$B$4:$B$200,$B50)/1000)</f>
        <v>211.432</v>
      </c>
      <c r="AB50" s="12">
        <f>IF(COUNT(X50:AA50)=4,SUM(X50:AA50),"")</f>
        <v>789.342</v>
      </c>
      <c r="AC50" s="11">
        <f>IF(SUMPRODUCT((Inputs!$B$4:$B$200=$B50)*ISNUMBER(INDEX(Inputs!$D$4:$AG$200,0,MATCH(AC$2,Inputs!$D$2:$AG$2,0))))=0,"",SUMIFS(INDEX(Inputs!$D$4:$AG$200,0,MATCH(AC$2,Inputs!$D$2:$AG$2,0)),Inputs!$B$4:$B$200,$B50)/1000)</f>
        <v>213.16</v>
      </c>
      <c r="AD50" s="11">
        <f>IF(SUMPRODUCT((Inputs!$B$4:$B$200=$B50)*ISNUMBER(INDEX(Inputs!$D$4:$AG$200,0,MATCH(AD$2,Inputs!$D$2:$AG$2,0))))=0,"",SUMIFS(INDEX(Inputs!$D$4:$AG$200,0,MATCH(AD$2,Inputs!$D$2:$AG$2,0)),Inputs!$B$4:$B$200,$B50)/1000)</f>
        <v>201.64907029</v>
      </c>
      <c r="AE50" s="11" t="str">
        <f>IF(SUMPRODUCT((Inputs!$B$4:$B$200=$B50)*ISNUMBER(INDEX(Inputs!$D$4:$AG$200,0,MATCH(AE$2,Inputs!$D$2:$AG$2,0))))=0,"",SUMIFS(INDEX(Inputs!$D$4:$AG$200,0,MATCH(AE$2,Inputs!$D$2:$AG$2,0)),Inputs!$B$4:$B$200,$B50)/1000)</f>
        <v/>
      </c>
      <c r="AF50" s="11" t="str">
        <f>IF(SUMPRODUCT((Inputs!$B$4:$B$200=$B50)*ISNUMBER(INDEX(Inputs!$D$4:$AG$200,0,MATCH(AF$2,Inputs!$D$2:$AG$2,0))))=0,"",SUMIFS(INDEX(Inputs!$D$4:$AG$200,0,MATCH(AF$2,Inputs!$D$2:$AG$2,0)),Inputs!$B$4:$B$200,$B50)/1000)</f>
        <v/>
      </c>
      <c r="AG50" s="12" t="str">
        <f>IF(COUNT(AC50:AF50)=4,SUM(AC50:AF50),"")</f>
        <v/>
      </c>
    </row>
    <row r="52">
      <c r="C52" t="inlineStr">
        <is>
          <t>Drivers de receita (memo) - codigos 45+ [Model, bloco abaixo da receita liquida]</t>
        </is>
      </c>
    </row>
    <row r="53">
      <c r="B53" s="9" t="n">
        <v>45</v>
      </c>
      <c r="C53" s="10" t="inlineStr">
        <is>
          <t>Receita liquida Riva (R$ mil; aba RIVA - DRE l.5; desde 1T24)</t>
        </is>
      </c>
      <c r="D53" s="11" t="str">
        <f>IF(SUMPRODUCT((Inputs!$B$4:$B$200=$B53)*ISNUMBER(INDEX(Inputs!$D$4:$AG$200,0,MATCH(D$2,Inputs!$D$2:$AG$2,0))))=0,"",SUMIFS(INDEX(Inputs!$D$4:$AG$200,0,MATCH(D$2,Inputs!$D$2:$AG$2,0)),Inputs!$B$4:$B$200,$B53)/1000)</f>
        <v/>
      </c>
      <c r="E53" s="11" t="str">
        <f>IF(SUMPRODUCT((Inputs!$B$4:$B$200=$B53)*ISNUMBER(INDEX(Inputs!$D$4:$AG$200,0,MATCH(E$2,Inputs!$D$2:$AG$2,0))))=0,"",SUMIFS(INDEX(Inputs!$D$4:$AG$200,0,MATCH(E$2,Inputs!$D$2:$AG$2,0)),Inputs!$B$4:$B$200,$B53)/1000)</f>
        <v/>
      </c>
      <c r="F53" s="11" t="str">
        <f>IF(SUMPRODUCT((Inputs!$B$4:$B$200=$B53)*ISNUMBER(INDEX(Inputs!$D$4:$AG$200,0,MATCH(F$2,Inputs!$D$2:$AG$2,0))))=0,"",SUMIFS(INDEX(Inputs!$D$4:$AG$200,0,MATCH(F$2,Inputs!$D$2:$AG$2,0)),Inputs!$B$4:$B$200,$B53)/1000)</f>
        <v/>
      </c>
      <c r="G53" s="11" t="str">
        <f>IF(SUMPRODUCT((Inputs!$B$4:$B$200=$B53)*ISNUMBER(INDEX(Inputs!$D$4:$AG$200,0,MATCH(G$2,Inputs!$D$2:$AG$2,0))))=0,"",SUMIFS(INDEX(Inputs!$D$4:$AG$200,0,MATCH(G$2,Inputs!$D$2:$AG$2,0)),Inputs!$B$4:$B$200,$B53)/1000)</f>
        <v/>
      </c>
      <c r="H53" s="12" t="str">
        <f>IF(COUNT(D53:G53)=4,SUM(D53:G53),"")</f>
        <v/>
      </c>
      <c r="I53" s="11" t="str">
        <f>IF(SUMPRODUCT((Inputs!$B$4:$B$200=$B53)*ISNUMBER(INDEX(Inputs!$D$4:$AG$200,0,MATCH(I$2,Inputs!$D$2:$AG$2,0))))=0,"",SUMIFS(INDEX(Inputs!$D$4:$AG$200,0,MATCH(I$2,Inputs!$D$2:$AG$2,0)),Inputs!$B$4:$B$200,$B53)/1000)</f>
        <v/>
      </c>
      <c r="J53" s="11" t="str">
        <f>IF(SUMPRODUCT((Inputs!$B$4:$B$200=$B53)*ISNUMBER(INDEX(Inputs!$D$4:$AG$200,0,MATCH(J$2,Inputs!$D$2:$AG$2,0))))=0,"",SUMIFS(INDEX(Inputs!$D$4:$AG$200,0,MATCH(J$2,Inputs!$D$2:$AG$2,0)),Inputs!$B$4:$B$200,$B53)/1000)</f>
        <v/>
      </c>
      <c r="K53" s="11" t="str">
        <f>IF(SUMPRODUCT((Inputs!$B$4:$B$200=$B53)*ISNUMBER(INDEX(Inputs!$D$4:$AG$200,0,MATCH(K$2,Inputs!$D$2:$AG$2,0))))=0,"",SUMIFS(INDEX(Inputs!$D$4:$AG$200,0,MATCH(K$2,Inputs!$D$2:$AG$2,0)),Inputs!$B$4:$B$200,$B53)/1000)</f>
        <v/>
      </c>
      <c r="L53" s="11" t="str">
        <f>IF(SUMPRODUCT((Inputs!$B$4:$B$200=$B53)*ISNUMBER(INDEX(Inputs!$D$4:$AG$200,0,MATCH(L$2,Inputs!$D$2:$AG$2,0))))=0,"",SUMIFS(INDEX(Inputs!$D$4:$AG$200,0,MATCH(L$2,Inputs!$D$2:$AG$2,0)),Inputs!$B$4:$B$200,$B53)/1000)</f>
        <v/>
      </c>
      <c r="M53" s="12" t="str">
        <f>IF(COUNT(I53:L53)=4,SUM(I53:L53),"")</f>
        <v/>
      </c>
      <c r="N53" s="11" t="str">
        <f>IF(SUMPRODUCT((Inputs!$B$4:$B$200=$B53)*ISNUMBER(INDEX(Inputs!$D$4:$AG$200,0,MATCH(N$2,Inputs!$D$2:$AG$2,0))))=0,"",SUMIFS(INDEX(Inputs!$D$4:$AG$200,0,MATCH(N$2,Inputs!$D$2:$AG$2,0)),Inputs!$B$4:$B$200,$B53)/1000)</f>
        <v/>
      </c>
      <c r="O53" s="11" t="str">
        <f>IF(SUMPRODUCT((Inputs!$B$4:$B$200=$B53)*ISNUMBER(INDEX(Inputs!$D$4:$AG$200,0,MATCH(O$2,Inputs!$D$2:$AG$2,0))))=0,"",SUMIFS(INDEX(Inputs!$D$4:$AG$200,0,MATCH(O$2,Inputs!$D$2:$AG$2,0)),Inputs!$B$4:$B$200,$B53)/1000)</f>
        <v/>
      </c>
      <c r="P53" s="11" t="str">
        <f>IF(SUMPRODUCT((Inputs!$B$4:$B$200=$B53)*ISNUMBER(INDEX(Inputs!$D$4:$AG$200,0,MATCH(P$2,Inputs!$D$2:$AG$2,0))))=0,"",SUMIFS(INDEX(Inputs!$D$4:$AG$200,0,MATCH(P$2,Inputs!$D$2:$AG$2,0)),Inputs!$B$4:$B$200,$B53)/1000)</f>
        <v/>
      </c>
      <c r="Q53" s="11" t="str">
        <f>IF(SUMPRODUCT((Inputs!$B$4:$B$200=$B53)*ISNUMBER(INDEX(Inputs!$D$4:$AG$200,0,MATCH(Q$2,Inputs!$D$2:$AG$2,0))))=0,"",SUMIFS(INDEX(Inputs!$D$4:$AG$200,0,MATCH(Q$2,Inputs!$D$2:$AG$2,0)),Inputs!$B$4:$B$200,$B53)/1000)</f>
        <v/>
      </c>
      <c r="R53" s="12" t="str">
        <f>IF(COUNT(N53:Q53)=4,SUM(N53:Q53),"")</f>
        <v/>
      </c>
      <c r="S53" s="11">
        <f>IF(SUMPRODUCT((Inputs!$B$4:$B$200=$B53)*ISNUMBER(INDEX(Inputs!$D$4:$AG$200,0,MATCH(S$2,Inputs!$D$2:$AG$2,0))))=0,"",SUMIFS(INDEX(Inputs!$D$4:$AG$200,0,MATCH(S$2,Inputs!$D$2:$AG$2,0)),Inputs!$B$4:$B$200,$B53)/1000)</f>
        <v>243.305</v>
      </c>
      <c r="T53" s="11">
        <f>IF(SUMPRODUCT((Inputs!$B$4:$B$200=$B53)*ISNUMBER(INDEX(Inputs!$D$4:$AG$200,0,MATCH(T$2,Inputs!$D$2:$AG$2,0))))=0,"",SUMIFS(INDEX(Inputs!$D$4:$AG$200,0,MATCH(T$2,Inputs!$D$2:$AG$2,0)),Inputs!$B$4:$B$200,$B53)/1000)</f>
        <v>279.665</v>
      </c>
      <c r="U53" s="11">
        <f>IF(SUMPRODUCT((Inputs!$B$4:$B$200=$B53)*ISNUMBER(INDEX(Inputs!$D$4:$AG$200,0,MATCH(U$2,Inputs!$D$2:$AG$2,0))))=0,"",SUMIFS(INDEX(Inputs!$D$4:$AG$200,0,MATCH(U$2,Inputs!$D$2:$AG$2,0)),Inputs!$B$4:$B$200,$B53)/1000)</f>
        <v>323.832</v>
      </c>
      <c r="V53" s="11">
        <f>IF(SUMPRODUCT((Inputs!$B$4:$B$200=$B53)*ISNUMBER(INDEX(Inputs!$D$4:$AG$200,0,MATCH(V$2,Inputs!$D$2:$AG$2,0))))=0,"",SUMIFS(INDEX(Inputs!$D$4:$AG$200,0,MATCH(V$2,Inputs!$D$2:$AG$2,0)),Inputs!$B$4:$B$200,$B53)/1000)</f>
        <v>345.642</v>
      </c>
      <c r="W53" s="12">
        <f>IF(COUNT(S53:V53)=4,SUM(S53:V53),"")</f>
        <v>1192.444</v>
      </c>
      <c r="X53" s="11">
        <f>IF(SUMPRODUCT((Inputs!$B$4:$B$200=$B53)*ISNUMBER(INDEX(Inputs!$D$4:$AG$200,0,MATCH(X$2,Inputs!$D$2:$AG$2,0))))=0,"",SUMIFS(INDEX(Inputs!$D$4:$AG$200,0,MATCH(X$2,Inputs!$D$2:$AG$2,0)),Inputs!$B$4:$B$200,$B53)/1000)</f>
        <v>325.734</v>
      </c>
      <c r="Y53" s="11">
        <f>IF(SUMPRODUCT((Inputs!$B$4:$B$200=$B53)*ISNUMBER(INDEX(Inputs!$D$4:$AG$200,0,MATCH(Y$2,Inputs!$D$2:$AG$2,0))))=0,"",SUMIFS(INDEX(Inputs!$D$4:$AG$200,0,MATCH(Y$2,Inputs!$D$2:$AG$2,0)),Inputs!$B$4:$B$200,$B53)/1000)</f>
        <v>365.306</v>
      </c>
      <c r="Z53" s="11">
        <f>IF(SUMPRODUCT((Inputs!$B$4:$B$200=$B53)*ISNUMBER(INDEX(Inputs!$D$4:$AG$200,0,MATCH(Z$2,Inputs!$D$2:$AG$2,0))))=0,"",SUMIFS(INDEX(Inputs!$D$4:$AG$200,0,MATCH(Z$2,Inputs!$D$2:$AG$2,0)),Inputs!$B$4:$B$200,$B53)/1000)</f>
        <v>487.159</v>
      </c>
      <c r="AA53" s="11">
        <f>IF(SUMPRODUCT((Inputs!$B$4:$B$200=$B53)*ISNUMBER(INDEX(Inputs!$D$4:$AG$200,0,MATCH(AA$2,Inputs!$D$2:$AG$2,0))))=0,"",SUMIFS(INDEX(Inputs!$D$4:$AG$200,0,MATCH(AA$2,Inputs!$D$2:$AG$2,0)),Inputs!$B$4:$B$200,$B53)/1000)</f>
        <v>499.877</v>
      </c>
      <c r="AB53" s="12">
        <f>IF(COUNT(X53:AA53)=4,SUM(X53:AA53),"")</f>
        <v>1678.076</v>
      </c>
      <c r="AC53" s="11">
        <f>IF(SUMPRODUCT((Inputs!$B$4:$B$200=$B53)*ISNUMBER(INDEX(Inputs!$D$4:$AG$200,0,MATCH(AC$2,Inputs!$D$2:$AG$2,0))))=0,"",SUMIFS(INDEX(Inputs!$D$4:$AG$200,0,MATCH(AC$2,Inputs!$D$2:$AG$2,0)),Inputs!$B$4:$B$200,$B53)/1000)</f>
        <v>405.447</v>
      </c>
      <c r="AD53" s="11">
        <f>IF(SUMPRODUCT((Inputs!$B$4:$B$200=$B53)*ISNUMBER(INDEX(Inputs!$D$4:$AG$200,0,MATCH(AD$2,Inputs!$D$2:$AG$2,0))))=0,"",SUMIFS(INDEX(Inputs!$D$4:$AG$200,0,MATCH(AD$2,Inputs!$D$2:$AG$2,0)),Inputs!$B$4:$B$200,$B53)/1000)</f>
        <v>430.256</v>
      </c>
      <c r="AE53" s="11" t="str">
        <f>IF(SUMPRODUCT((Inputs!$B$4:$B$200=$B53)*ISNUMBER(INDEX(Inputs!$D$4:$AG$200,0,MATCH(AE$2,Inputs!$D$2:$AG$2,0))))=0,"",SUMIFS(INDEX(Inputs!$D$4:$AG$200,0,MATCH(AE$2,Inputs!$D$2:$AG$2,0)),Inputs!$B$4:$B$200,$B53)/1000)</f>
        <v/>
      </c>
      <c r="AF53" s="11" t="str">
        <f>IF(SUMPRODUCT((Inputs!$B$4:$B$200=$B53)*ISNUMBER(INDEX(Inputs!$D$4:$AG$200,0,MATCH(AF$2,Inputs!$D$2:$AG$2,0))))=0,"",SUMIFS(INDEX(Inputs!$D$4:$AG$200,0,MATCH(AF$2,Inputs!$D$2:$AG$2,0)),Inputs!$B$4:$B$200,$B53)/1000)</f>
        <v/>
      </c>
      <c r="AG53" s="12" t="str">
        <f>IF(COUNT(AC53:AF53)=4,SUM(AC53:AF53),"")</f>
        <v/>
      </c>
    </row>
    <row r="54">
      <c r="B54" s="9" t="n">
        <v>46</v>
      </c>
      <c r="C54" s="10" t="inlineStr">
        <is>
          <t>Lucro bruto Riva (RIVA - DRE l.7)</t>
        </is>
      </c>
      <c r="D54" s="11" t="str">
        <f>IF(SUMPRODUCT((Inputs!$B$4:$B$200=$B54)*ISNUMBER(INDEX(Inputs!$D$4:$AG$200,0,MATCH(D$2,Inputs!$D$2:$AG$2,0))))=0,"",SUMIFS(INDEX(Inputs!$D$4:$AG$200,0,MATCH(D$2,Inputs!$D$2:$AG$2,0)),Inputs!$B$4:$B$200,$B54)/1000)</f>
        <v/>
      </c>
      <c r="E54" s="11" t="str">
        <f>IF(SUMPRODUCT((Inputs!$B$4:$B$200=$B54)*ISNUMBER(INDEX(Inputs!$D$4:$AG$200,0,MATCH(E$2,Inputs!$D$2:$AG$2,0))))=0,"",SUMIFS(INDEX(Inputs!$D$4:$AG$200,0,MATCH(E$2,Inputs!$D$2:$AG$2,0)),Inputs!$B$4:$B$200,$B54)/1000)</f>
        <v/>
      </c>
      <c r="F54" s="11" t="str">
        <f>IF(SUMPRODUCT((Inputs!$B$4:$B$200=$B54)*ISNUMBER(INDEX(Inputs!$D$4:$AG$200,0,MATCH(F$2,Inputs!$D$2:$AG$2,0))))=0,"",SUMIFS(INDEX(Inputs!$D$4:$AG$200,0,MATCH(F$2,Inputs!$D$2:$AG$2,0)),Inputs!$B$4:$B$200,$B54)/1000)</f>
        <v/>
      </c>
      <c r="G54" s="11" t="str">
        <f>IF(SUMPRODUCT((Inputs!$B$4:$B$200=$B54)*ISNUMBER(INDEX(Inputs!$D$4:$AG$200,0,MATCH(G$2,Inputs!$D$2:$AG$2,0))))=0,"",SUMIFS(INDEX(Inputs!$D$4:$AG$200,0,MATCH(G$2,Inputs!$D$2:$AG$2,0)),Inputs!$B$4:$B$200,$B54)/1000)</f>
        <v/>
      </c>
      <c r="H54" s="12" t="str">
        <f>IF(COUNT(D54:G54)=4,SUM(D54:G54),"")</f>
        <v/>
      </c>
      <c r="I54" s="11" t="str">
        <f>IF(SUMPRODUCT((Inputs!$B$4:$B$200=$B54)*ISNUMBER(INDEX(Inputs!$D$4:$AG$200,0,MATCH(I$2,Inputs!$D$2:$AG$2,0))))=0,"",SUMIFS(INDEX(Inputs!$D$4:$AG$200,0,MATCH(I$2,Inputs!$D$2:$AG$2,0)),Inputs!$B$4:$B$200,$B54)/1000)</f>
        <v/>
      </c>
      <c r="J54" s="11" t="str">
        <f>IF(SUMPRODUCT((Inputs!$B$4:$B$200=$B54)*ISNUMBER(INDEX(Inputs!$D$4:$AG$200,0,MATCH(J$2,Inputs!$D$2:$AG$2,0))))=0,"",SUMIFS(INDEX(Inputs!$D$4:$AG$200,0,MATCH(J$2,Inputs!$D$2:$AG$2,0)),Inputs!$B$4:$B$200,$B54)/1000)</f>
        <v/>
      </c>
      <c r="K54" s="11" t="str">
        <f>IF(SUMPRODUCT((Inputs!$B$4:$B$200=$B54)*ISNUMBER(INDEX(Inputs!$D$4:$AG$200,0,MATCH(K$2,Inputs!$D$2:$AG$2,0))))=0,"",SUMIFS(INDEX(Inputs!$D$4:$AG$200,0,MATCH(K$2,Inputs!$D$2:$AG$2,0)),Inputs!$B$4:$B$200,$B54)/1000)</f>
        <v/>
      </c>
      <c r="L54" s="11" t="str">
        <f>IF(SUMPRODUCT((Inputs!$B$4:$B$200=$B54)*ISNUMBER(INDEX(Inputs!$D$4:$AG$200,0,MATCH(L$2,Inputs!$D$2:$AG$2,0))))=0,"",SUMIFS(INDEX(Inputs!$D$4:$AG$200,0,MATCH(L$2,Inputs!$D$2:$AG$2,0)),Inputs!$B$4:$B$200,$B54)/1000)</f>
        <v/>
      </c>
      <c r="M54" s="12" t="str">
        <f>IF(COUNT(I54:L54)=4,SUM(I54:L54),"")</f>
        <v/>
      </c>
      <c r="N54" s="11" t="str">
        <f>IF(SUMPRODUCT((Inputs!$B$4:$B$200=$B54)*ISNUMBER(INDEX(Inputs!$D$4:$AG$200,0,MATCH(N$2,Inputs!$D$2:$AG$2,0))))=0,"",SUMIFS(INDEX(Inputs!$D$4:$AG$200,0,MATCH(N$2,Inputs!$D$2:$AG$2,0)),Inputs!$B$4:$B$200,$B54)/1000)</f>
        <v/>
      </c>
      <c r="O54" s="11" t="str">
        <f>IF(SUMPRODUCT((Inputs!$B$4:$B$200=$B54)*ISNUMBER(INDEX(Inputs!$D$4:$AG$200,0,MATCH(O$2,Inputs!$D$2:$AG$2,0))))=0,"",SUMIFS(INDEX(Inputs!$D$4:$AG$200,0,MATCH(O$2,Inputs!$D$2:$AG$2,0)),Inputs!$B$4:$B$200,$B54)/1000)</f>
        <v/>
      </c>
      <c r="P54" s="11" t="str">
        <f>IF(SUMPRODUCT((Inputs!$B$4:$B$200=$B54)*ISNUMBER(INDEX(Inputs!$D$4:$AG$200,0,MATCH(P$2,Inputs!$D$2:$AG$2,0))))=0,"",SUMIFS(INDEX(Inputs!$D$4:$AG$200,0,MATCH(P$2,Inputs!$D$2:$AG$2,0)),Inputs!$B$4:$B$200,$B54)/1000)</f>
        <v/>
      </c>
      <c r="Q54" s="11" t="str">
        <f>IF(SUMPRODUCT((Inputs!$B$4:$B$200=$B54)*ISNUMBER(INDEX(Inputs!$D$4:$AG$200,0,MATCH(Q$2,Inputs!$D$2:$AG$2,0))))=0,"",SUMIFS(INDEX(Inputs!$D$4:$AG$200,0,MATCH(Q$2,Inputs!$D$2:$AG$2,0)),Inputs!$B$4:$B$200,$B54)/1000)</f>
        <v/>
      </c>
      <c r="R54" s="12" t="str">
        <f>IF(COUNT(N54:Q54)=4,SUM(N54:Q54),"")</f>
        <v/>
      </c>
      <c r="S54" s="11">
        <f>IF(SUMPRODUCT((Inputs!$B$4:$B$200=$B54)*ISNUMBER(INDEX(Inputs!$D$4:$AG$200,0,MATCH(S$2,Inputs!$D$2:$AG$2,0))))=0,"",SUMIFS(INDEX(Inputs!$D$4:$AG$200,0,MATCH(S$2,Inputs!$D$2:$AG$2,0)),Inputs!$B$4:$B$200,$B54)/1000)</f>
        <v>87.48</v>
      </c>
      <c r="T54" s="11">
        <f>IF(SUMPRODUCT((Inputs!$B$4:$B$200=$B54)*ISNUMBER(INDEX(Inputs!$D$4:$AG$200,0,MATCH(T$2,Inputs!$D$2:$AG$2,0))))=0,"",SUMIFS(INDEX(Inputs!$D$4:$AG$200,0,MATCH(T$2,Inputs!$D$2:$AG$2,0)),Inputs!$B$4:$B$200,$B54)/1000)</f>
        <v>96.385</v>
      </c>
      <c r="U54" s="11">
        <f>IF(SUMPRODUCT((Inputs!$B$4:$B$200=$B54)*ISNUMBER(INDEX(Inputs!$D$4:$AG$200,0,MATCH(U$2,Inputs!$D$2:$AG$2,0))))=0,"",SUMIFS(INDEX(Inputs!$D$4:$AG$200,0,MATCH(U$2,Inputs!$D$2:$AG$2,0)),Inputs!$B$4:$B$200,$B54)/1000)</f>
        <v>121.079</v>
      </c>
      <c r="V54" s="11">
        <f>IF(SUMPRODUCT((Inputs!$B$4:$B$200=$B54)*ISNUMBER(INDEX(Inputs!$D$4:$AG$200,0,MATCH(V$2,Inputs!$D$2:$AG$2,0))))=0,"",SUMIFS(INDEX(Inputs!$D$4:$AG$200,0,MATCH(V$2,Inputs!$D$2:$AG$2,0)),Inputs!$B$4:$B$200,$B54)/1000)</f>
        <v>122.862</v>
      </c>
      <c r="W54" s="12">
        <f>IF(COUNT(S54:V54)=4,SUM(S54:V54),"")</f>
        <v>427.806</v>
      </c>
      <c r="X54" s="11">
        <f>IF(SUMPRODUCT((Inputs!$B$4:$B$200=$B54)*ISNUMBER(INDEX(Inputs!$D$4:$AG$200,0,MATCH(X$2,Inputs!$D$2:$AG$2,0))))=0,"",SUMIFS(INDEX(Inputs!$D$4:$AG$200,0,MATCH(X$2,Inputs!$D$2:$AG$2,0)),Inputs!$B$4:$B$200,$B54)/1000)</f>
        <v>130.916</v>
      </c>
      <c r="Y54" s="11">
        <f>IF(SUMPRODUCT((Inputs!$B$4:$B$200=$B54)*ISNUMBER(INDEX(Inputs!$D$4:$AG$200,0,MATCH(Y$2,Inputs!$D$2:$AG$2,0))))=0,"",SUMIFS(INDEX(Inputs!$D$4:$AG$200,0,MATCH(Y$2,Inputs!$D$2:$AG$2,0)),Inputs!$B$4:$B$200,$B54)/1000)</f>
        <v>142.403</v>
      </c>
      <c r="Z54" s="11">
        <f>IF(SUMPRODUCT((Inputs!$B$4:$B$200=$B54)*ISNUMBER(INDEX(Inputs!$D$4:$AG$200,0,MATCH(Z$2,Inputs!$D$2:$AG$2,0))))=0,"",SUMIFS(INDEX(Inputs!$D$4:$AG$200,0,MATCH(Z$2,Inputs!$D$2:$AG$2,0)),Inputs!$B$4:$B$200,$B54)/1000)</f>
        <v>203.345</v>
      </c>
      <c r="AA54" s="11">
        <f>IF(SUMPRODUCT((Inputs!$B$4:$B$200=$B54)*ISNUMBER(INDEX(Inputs!$D$4:$AG$200,0,MATCH(AA$2,Inputs!$D$2:$AG$2,0))))=0,"",SUMIFS(INDEX(Inputs!$D$4:$AG$200,0,MATCH(AA$2,Inputs!$D$2:$AG$2,0)),Inputs!$B$4:$B$200,$B54)/1000)</f>
        <v>204.351</v>
      </c>
      <c r="AB54" s="12">
        <f>IF(COUNT(X54:AA54)=4,SUM(X54:AA54),"")</f>
        <v>681.015</v>
      </c>
      <c r="AC54" s="11">
        <f>IF(SUMPRODUCT((Inputs!$B$4:$B$200=$B54)*ISNUMBER(INDEX(Inputs!$D$4:$AG$200,0,MATCH(AC$2,Inputs!$D$2:$AG$2,0))))=0,"",SUMIFS(INDEX(Inputs!$D$4:$AG$200,0,MATCH(AC$2,Inputs!$D$2:$AG$2,0)),Inputs!$B$4:$B$200,$B54)/1000)</f>
        <v>175.421</v>
      </c>
      <c r="AD54" s="11">
        <f>IF(SUMPRODUCT((Inputs!$B$4:$B$200=$B54)*ISNUMBER(INDEX(Inputs!$D$4:$AG$200,0,MATCH(AD$2,Inputs!$D$2:$AG$2,0))))=0,"",SUMIFS(INDEX(Inputs!$D$4:$AG$200,0,MATCH(AD$2,Inputs!$D$2:$AG$2,0)),Inputs!$B$4:$B$200,$B54)/1000)</f>
        <v>184.69</v>
      </c>
      <c r="AE54" s="11" t="str">
        <f>IF(SUMPRODUCT((Inputs!$B$4:$B$200=$B54)*ISNUMBER(INDEX(Inputs!$D$4:$AG$200,0,MATCH(AE$2,Inputs!$D$2:$AG$2,0))))=0,"",SUMIFS(INDEX(Inputs!$D$4:$AG$200,0,MATCH(AE$2,Inputs!$D$2:$AG$2,0)),Inputs!$B$4:$B$200,$B54)/1000)</f>
        <v/>
      </c>
      <c r="AF54" s="11" t="str">
        <f>IF(SUMPRODUCT((Inputs!$B$4:$B$200=$B54)*ISNUMBER(INDEX(Inputs!$D$4:$AG$200,0,MATCH(AF$2,Inputs!$D$2:$AG$2,0))))=0,"",SUMIFS(INDEX(Inputs!$D$4:$AG$200,0,MATCH(AF$2,Inputs!$D$2:$AG$2,0)),Inputs!$B$4:$B$200,$B54)/1000)</f>
        <v/>
      </c>
      <c r="AG54" s="12" t="str">
        <f>IF(COUNT(AC54:AF54)=4,SUM(AC54:AF54),"")</f>
        <v/>
      </c>
    </row>
    <row r="55">
      <c r="B55" s="9" t="n">
        <v>47</v>
      </c>
      <c r="C55" s="10" t="inlineStr">
        <is>
          <t>Lucro liquido Riva (RIVA - DRE l.16)</t>
        </is>
      </c>
      <c r="D55" s="11" t="str">
        <f>IF(SUMPRODUCT((Inputs!$B$4:$B$200=$B55)*ISNUMBER(INDEX(Inputs!$D$4:$AG$200,0,MATCH(D$2,Inputs!$D$2:$AG$2,0))))=0,"",SUMIFS(INDEX(Inputs!$D$4:$AG$200,0,MATCH(D$2,Inputs!$D$2:$AG$2,0)),Inputs!$B$4:$B$200,$B55)/1000)</f>
        <v/>
      </c>
      <c r="E55" s="11" t="str">
        <f>IF(SUMPRODUCT((Inputs!$B$4:$B$200=$B55)*ISNUMBER(INDEX(Inputs!$D$4:$AG$200,0,MATCH(E$2,Inputs!$D$2:$AG$2,0))))=0,"",SUMIFS(INDEX(Inputs!$D$4:$AG$200,0,MATCH(E$2,Inputs!$D$2:$AG$2,0)),Inputs!$B$4:$B$200,$B55)/1000)</f>
        <v/>
      </c>
      <c r="F55" s="11" t="str">
        <f>IF(SUMPRODUCT((Inputs!$B$4:$B$200=$B55)*ISNUMBER(INDEX(Inputs!$D$4:$AG$200,0,MATCH(F$2,Inputs!$D$2:$AG$2,0))))=0,"",SUMIFS(INDEX(Inputs!$D$4:$AG$200,0,MATCH(F$2,Inputs!$D$2:$AG$2,0)),Inputs!$B$4:$B$200,$B55)/1000)</f>
        <v/>
      </c>
      <c r="G55" s="11" t="str">
        <f>IF(SUMPRODUCT((Inputs!$B$4:$B$200=$B55)*ISNUMBER(INDEX(Inputs!$D$4:$AG$200,0,MATCH(G$2,Inputs!$D$2:$AG$2,0))))=0,"",SUMIFS(INDEX(Inputs!$D$4:$AG$200,0,MATCH(G$2,Inputs!$D$2:$AG$2,0)),Inputs!$B$4:$B$200,$B55)/1000)</f>
        <v/>
      </c>
      <c r="H55" s="12" t="str">
        <f>IF(COUNT(D55:G55)=4,SUM(D55:G55),"")</f>
        <v/>
      </c>
      <c r="I55" s="11" t="str">
        <f>IF(SUMPRODUCT((Inputs!$B$4:$B$200=$B55)*ISNUMBER(INDEX(Inputs!$D$4:$AG$200,0,MATCH(I$2,Inputs!$D$2:$AG$2,0))))=0,"",SUMIFS(INDEX(Inputs!$D$4:$AG$200,0,MATCH(I$2,Inputs!$D$2:$AG$2,0)),Inputs!$B$4:$B$200,$B55)/1000)</f>
        <v/>
      </c>
      <c r="J55" s="11" t="str">
        <f>IF(SUMPRODUCT((Inputs!$B$4:$B$200=$B55)*ISNUMBER(INDEX(Inputs!$D$4:$AG$200,0,MATCH(J$2,Inputs!$D$2:$AG$2,0))))=0,"",SUMIFS(INDEX(Inputs!$D$4:$AG$200,0,MATCH(J$2,Inputs!$D$2:$AG$2,0)),Inputs!$B$4:$B$200,$B55)/1000)</f>
        <v/>
      </c>
      <c r="K55" s="11" t="str">
        <f>IF(SUMPRODUCT((Inputs!$B$4:$B$200=$B55)*ISNUMBER(INDEX(Inputs!$D$4:$AG$200,0,MATCH(K$2,Inputs!$D$2:$AG$2,0))))=0,"",SUMIFS(INDEX(Inputs!$D$4:$AG$200,0,MATCH(K$2,Inputs!$D$2:$AG$2,0)),Inputs!$B$4:$B$200,$B55)/1000)</f>
        <v/>
      </c>
      <c r="L55" s="11" t="str">
        <f>IF(SUMPRODUCT((Inputs!$B$4:$B$200=$B55)*ISNUMBER(INDEX(Inputs!$D$4:$AG$200,0,MATCH(L$2,Inputs!$D$2:$AG$2,0))))=0,"",SUMIFS(INDEX(Inputs!$D$4:$AG$200,0,MATCH(L$2,Inputs!$D$2:$AG$2,0)),Inputs!$B$4:$B$200,$B55)/1000)</f>
        <v/>
      </c>
      <c r="M55" s="12" t="str">
        <f>IF(COUNT(I55:L55)=4,SUM(I55:L55),"")</f>
        <v/>
      </c>
      <c r="N55" s="11" t="str">
        <f>IF(SUMPRODUCT((Inputs!$B$4:$B$200=$B55)*ISNUMBER(INDEX(Inputs!$D$4:$AG$200,0,MATCH(N$2,Inputs!$D$2:$AG$2,0))))=0,"",SUMIFS(INDEX(Inputs!$D$4:$AG$200,0,MATCH(N$2,Inputs!$D$2:$AG$2,0)),Inputs!$B$4:$B$200,$B55)/1000)</f>
        <v/>
      </c>
      <c r="O55" s="11" t="str">
        <f>IF(SUMPRODUCT((Inputs!$B$4:$B$200=$B55)*ISNUMBER(INDEX(Inputs!$D$4:$AG$200,0,MATCH(O$2,Inputs!$D$2:$AG$2,0))))=0,"",SUMIFS(INDEX(Inputs!$D$4:$AG$200,0,MATCH(O$2,Inputs!$D$2:$AG$2,0)),Inputs!$B$4:$B$200,$B55)/1000)</f>
        <v/>
      </c>
      <c r="P55" s="11" t="str">
        <f>IF(SUMPRODUCT((Inputs!$B$4:$B$200=$B55)*ISNUMBER(INDEX(Inputs!$D$4:$AG$200,0,MATCH(P$2,Inputs!$D$2:$AG$2,0))))=0,"",SUMIFS(INDEX(Inputs!$D$4:$AG$200,0,MATCH(P$2,Inputs!$D$2:$AG$2,0)),Inputs!$B$4:$B$200,$B55)/1000)</f>
        <v/>
      </c>
      <c r="Q55" s="11" t="str">
        <f>IF(SUMPRODUCT((Inputs!$B$4:$B$200=$B55)*ISNUMBER(INDEX(Inputs!$D$4:$AG$200,0,MATCH(Q$2,Inputs!$D$2:$AG$2,0))))=0,"",SUMIFS(INDEX(Inputs!$D$4:$AG$200,0,MATCH(Q$2,Inputs!$D$2:$AG$2,0)),Inputs!$B$4:$B$200,$B55)/1000)</f>
        <v/>
      </c>
      <c r="R55" s="12" t="str">
        <f>IF(COUNT(N55:Q55)=4,SUM(N55:Q55),"")</f>
        <v/>
      </c>
      <c r="S55" s="11">
        <f>IF(SUMPRODUCT((Inputs!$B$4:$B$200=$B55)*ISNUMBER(INDEX(Inputs!$D$4:$AG$200,0,MATCH(S$2,Inputs!$D$2:$AG$2,0))))=0,"",SUMIFS(INDEX(Inputs!$D$4:$AG$200,0,MATCH(S$2,Inputs!$D$2:$AG$2,0)),Inputs!$B$4:$B$200,$B55)/1000)</f>
        <v>68.821</v>
      </c>
      <c r="T55" s="11">
        <f>IF(SUMPRODUCT((Inputs!$B$4:$B$200=$B55)*ISNUMBER(INDEX(Inputs!$D$4:$AG$200,0,MATCH(T$2,Inputs!$D$2:$AG$2,0))))=0,"",SUMIFS(INDEX(Inputs!$D$4:$AG$200,0,MATCH(T$2,Inputs!$D$2:$AG$2,0)),Inputs!$B$4:$B$200,$B55)/1000)</f>
        <v>55.18</v>
      </c>
      <c r="U55" s="11">
        <f>IF(SUMPRODUCT((Inputs!$B$4:$B$200=$B55)*ISNUMBER(INDEX(Inputs!$D$4:$AG$200,0,MATCH(U$2,Inputs!$D$2:$AG$2,0))))=0,"",SUMIFS(INDEX(Inputs!$D$4:$AG$200,0,MATCH(U$2,Inputs!$D$2:$AG$2,0)),Inputs!$B$4:$B$200,$B55)/1000)</f>
        <v>80.237</v>
      </c>
      <c r="V55" s="11">
        <f>IF(SUMPRODUCT((Inputs!$B$4:$B$200=$B55)*ISNUMBER(INDEX(Inputs!$D$4:$AG$200,0,MATCH(V$2,Inputs!$D$2:$AG$2,0))))=0,"",SUMIFS(INDEX(Inputs!$D$4:$AG$200,0,MATCH(V$2,Inputs!$D$2:$AG$2,0)),Inputs!$B$4:$B$200,$B55)/1000)</f>
        <v>75.033</v>
      </c>
      <c r="W55" s="12">
        <f>IF(COUNT(S55:V55)=4,SUM(S55:V55),"")</f>
        <v>279.271</v>
      </c>
      <c r="X55" s="11">
        <f>IF(SUMPRODUCT((Inputs!$B$4:$B$200=$B55)*ISNUMBER(INDEX(Inputs!$D$4:$AG$200,0,MATCH(X$2,Inputs!$D$2:$AG$2,0))))=0,"",SUMIFS(INDEX(Inputs!$D$4:$AG$200,0,MATCH(X$2,Inputs!$D$2:$AG$2,0)),Inputs!$B$4:$B$200,$B55)/1000)</f>
        <v>84.148</v>
      </c>
      <c r="Y55" s="11">
        <f>IF(SUMPRODUCT((Inputs!$B$4:$B$200=$B55)*ISNUMBER(INDEX(Inputs!$D$4:$AG$200,0,MATCH(Y$2,Inputs!$D$2:$AG$2,0))))=0,"",SUMIFS(INDEX(Inputs!$D$4:$AG$200,0,MATCH(Y$2,Inputs!$D$2:$AG$2,0)),Inputs!$B$4:$B$200,$B55)/1000)</f>
        <v>90.625</v>
      </c>
      <c r="Z55" s="11">
        <f>IF(SUMPRODUCT((Inputs!$B$4:$B$200=$B55)*ISNUMBER(INDEX(Inputs!$D$4:$AG$200,0,MATCH(Z$2,Inputs!$D$2:$AG$2,0))))=0,"",SUMIFS(INDEX(Inputs!$D$4:$AG$200,0,MATCH(Z$2,Inputs!$D$2:$AG$2,0)),Inputs!$B$4:$B$200,$B55)/1000)</f>
        <v>140.509</v>
      </c>
      <c r="AA55" s="11">
        <f>IF(SUMPRODUCT((Inputs!$B$4:$B$200=$B55)*ISNUMBER(INDEX(Inputs!$D$4:$AG$200,0,MATCH(AA$2,Inputs!$D$2:$AG$2,0))))=0,"",SUMIFS(INDEX(Inputs!$D$4:$AG$200,0,MATCH(AA$2,Inputs!$D$2:$AG$2,0)),Inputs!$B$4:$B$200,$B55)/1000)</f>
        <v>142.441</v>
      </c>
      <c r="AB55" s="12">
        <f>IF(COUNT(X55:AA55)=4,SUM(X55:AA55),"")</f>
        <v>457.723</v>
      </c>
      <c r="AC55" s="11">
        <f>IF(SUMPRODUCT((Inputs!$B$4:$B$200=$B55)*ISNUMBER(INDEX(Inputs!$D$4:$AG$200,0,MATCH(AC$2,Inputs!$D$2:$AG$2,0))))=0,"",SUMIFS(INDEX(Inputs!$D$4:$AG$200,0,MATCH(AC$2,Inputs!$D$2:$AG$2,0)),Inputs!$B$4:$B$200,$B55)/1000)</f>
        <v>119.516</v>
      </c>
      <c r="AD55" s="11">
        <f>IF(SUMPRODUCT((Inputs!$B$4:$B$200=$B55)*ISNUMBER(INDEX(Inputs!$D$4:$AG$200,0,MATCH(AD$2,Inputs!$D$2:$AG$2,0))))=0,"",SUMIFS(INDEX(Inputs!$D$4:$AG$200,0,MATCH(AD$2,Inputs!$D$2:$AG$2,0)),Inputs!$B$4:$B$200,$B55)/1000)</f>
        <v>109.816</v>
      </c>
      <c r="AE55" s="11" t="str">
        <f>IF(SUMPRODUCT((Inputs!$B$4:$B$200=$B55)*ISNUMBER(INDEX(Inputs!$D$4:$AG$200,0,MATCH(AE$2,Inputs!$D$2:$AG$2,0))))=0,"",SUMIFS(INDEX(Inputs!$D$4:$AG$200,0,MATCH(AE$2,Inputs!$D$2:$AG$2,0)),Inputs!$B$4:$B$200,$B55)/1000)</f>
        <v/>
      </c>
      <c r="AF55" s="11" t="str">
        <f>IF(SUMPRODUCT((Inputs!$B$4:$B$200=$B55)*ISNUMBER(INDEX(Inputs!$D$4:$AG$200,0,MATCH(AF$2,Inputs!$D$2:$AG$2,0))))=0,"",SUMIFS(INDEX(Inputs!$D$4:$AG$200,0,MATCH(AF$2,Inputs!$D$2:$AG$2,0)),Inputs!$B$4:$B$200,$B55)/1000)</f>
        <v/>
      </c>
      <c r="AG55" s="12" t="str">
        <f>IF(COUNT(AC55:AF55)=4,SUM(AC55:AF55),"")</f>
        <v/>
      </c>
    </row>
    <row r="56">
      <c r="B56" s="9" t="n">
        <v>48</v>
      </c>
      <c r="C56" s="10" t="inlineStr">
        <is>
          <t>VGV lancado 100% (R$ mil; Dados Operacionais l.6)</t>
        </is>
      </c>
      <c r="D56" s="11">
        <f>IF(SUMPRODUCT((Inputs!$B$4:$B$200=$B56)*ISNUMBER(INDEX(Inputs!$D$4:$AG$200,0,MATCH(D$2,Inputs!$D$2:$AG$2,0))))=0,"",SUMIFS(INDEX(Inputs!$D$4:$AG$200,0,MATCH(D$2,Inputs!$D$2:$AG$2,0)),Inputs!$B$4:$B$200,$B56)/1000)</f>
        <v>577.0598</v>
      </c>
      <c r="E56" s="11">
        <f>IF(SUMPRODUCT((Inputs!$B$4:$B$200=$B56)*ISNUMBER(INDEX(Inputs!$D$4:$AG$200,0,MATCH(E$2,Inputs!$D$2:$AG$2,0))))=0,"",SUMIFS(INDEX(Inputs!$D$4:$AG$200,0,MATCH(E$2,Inputs!$D$2:$AG$2,0)),Inputs!$B$4:$B$200,$B56)/1000)</f>
        <v>786.92292007</v>
      </c>
      <c r="F56" s="11">
        <f>IF(SUMPRODUCT((Inputs!$B$4:$B$200=$B56)*ISNUMBER(INDEX(Inputs!$D$4:$AG$200,0,MATCH(F$2,Inputs!$D$2:$AG$2,0))))=0,"",SUMIFS(INDEX(Inputs!$D$4:$AG$200,0,MATCH(F$2,Inputs!$D$2:$AG$2,0)),Inputs!$B$4:$B$200,$B56)/1000)</f>
        <v>1080.62034292</v>
      </c>
      <c r="G56" s="11">
        <f>IF(SUMPRODUCT((Inputs!$B$4:$B$200=$B56)*ISNUMBER(INDEX(Inputs!$D$4:$AG$200,0,MATCH(G$2,Inputs!$D$2:$AG$2,0))))=0,"",SUMIFS(INDEX(Inputs!$D$4:$AG$200,0,MATCH(G$2,Inputs!$D$2:$AG$2,0)),Inputs!$B$4:$B$200,$B56)/1000)</f>
        <v>693.38072</v>
      </c>
      <c r="H56" s="12">
        <f>IF(COUNT(D56:G56)=4,SUM(D56:G56),"")</f>
        <v>3137.98378299</v>
      </c>
      <c r="I56" s="11">
        <f>IF(SUMPRODUCT((Inputs!$B$4:$B$200=$B56)*ISNUMBER(INDEX(Inputs!$D$4:$AG$200,0,MATCH(I$2,Inputs!$D$2:$AG$2,0))))=0,"",SUMIFS(INDEX(Inputs!$D$4:$AG$200,0,MATCH(I$2,Inputs!$D$2:$AG$2,0)),Inputs!$B$4:$B$200,$B56)/1000)</f>
        <v>599.06862859</v>
      </c>
      <c r="J56" s="11">
        <f>IF(SUMPRODUCT((Inputs!$B$4:$B$200=$B56)*ISNUMBER(INDEX(Inputs!$D$4:$AG$200,0,MATCH(J$2,Inputs!$D$2:$AG$2,0))))=0,"",SUMIFS(INDEX(Inputs!$D$4:$AG$200,0,MATCH(J$2,Inputs!$D$2:$AG$2,0)),Inputs!$B$4:$B$200,$B56)/1000)</f>
        <v>790.369125</v>
      </c>
      <c r="K56" s="11">
        <f>IF(SUMPRODUCT((Inputs!$B$4:$B$200=$B56)*ISNUMBER(INDEX(Inputs!$D$4:$AG$200,0,MATCH(K$2,Inputs!$D$2:$AG$2,0))))=0,"",SUMIFS(INDEX(Inputs!$D$4:$AG$200,0,MATCH(K$2,Inputs!$D$2:$AG$2,0)),Inputs!$B$4:$B$200,$B56)/1000)</f>
        <v>1189.06808314</v>
      </c>
      <c r="L56" s="11">
        <f>IF(SUMPRODUCT((Inputs!$B$4:$B$200=$B56)*ISNUMBER(INDEX(Inputs!$D$4:$AG$200,0,MATCH(L$2,Inputs!$D$2:$AG$2,0))))=0,"",SUMIFS(INDEX(Inputs!$D$4:$AG$200,0,MATCH(L$2,Inputs!$D$2:$AG$2,0)),Inputs!$B$4:$B$200,$B56)/1000)</f>
        <v>1057.71307189</v>
      </c>
      <c r="M56" s="12">
        <f>IF(COUNT(I56:L56)=4,SUM(I56:L56),"")</f>
        <v>3636.21890862</v>
      </c>
      <c r="N56" s="11">
        <f>IF(SUMPRODUCT((Inputs!$B$4:$B$200=$B56)*ISNUMBER(INDEX(Inputs!$D$4:$AG$200,0,MATCH(N$2,Inputs!$D$2:$AG$2,0))))=0,"",SUMIFS(INDEX(Inputs!$D$4:$AG$200,0,MATCH(N$2,Inputs!$D$2:$AG$2,0)),Inputs!$B$4:$B$200,$B56)/1000)</f>
        <v>611.1900334</v>
      </c>
      <c r="O56" s="11">
        <f>IF(SUMPRODUCT((Inputs!$B$4:$B$200=$B56)*ISNUMBER(INDEX(Inputs!$D$4:$AG$200,0,MATCH(O$2,Inputs!$D$2:$AG$2,0))))=0,"",SUMIFS(INDEX(Inputs!$D$4:$AG$200,0,MATCH(O$2,Inputs!$D$2:$AG$2,0)),Inputs!$B$4:$B$200,$B56)/1000)</f>
        <v>1456.646112</v>
      </c>
      <c r="P56" s="11">
        <f>IF(SUMPRODUCT((Inputs!$B$4:$B$200=$B56)*ISNUMBER(INDEX(Inputs!$D$4:$AG$200,0,MATCH(P$2,Inputs!$D$2:$AG$2,0))))=0,"",SUMIFS(INDEX(Inputs!$D$4:$AG$200,0,MATCH(P$2,Inputs!$D$2:$AG$2,0)),Inputs!$B$4:$B$200,$B56)/1000)</f>
        <v>1399.42022859</v>
      </c>
      <c r="Q56" s="11">
        <f>IF(SUMPRODUCT((Inputs!$B$4:$B$200=$B56)*ISNUMBER(INDEX(Inputs!$D$4:$AG$200,0,MATCH(Q$2,Inputs!$D$2:$AG$2,0))))=0,"",SUMIFS(INDEX(Inputs!$D$4:$AG$200,0,MATCH(Q$2,Inputs!$D$2:$AG$2,0)),Inputs!$B$4:$B$200,$B56)/1000)</f>
        <v>1390.19700323</v>
      </c>
      <c r="R56" s="12">
        <f>IF(COUNT(N56:Q56)=4,SUM(N56:Q56),"")</f>
        <v>4857.45337722</v>
      </c>
      <c r="S56" s="11">
        <f>IF(SUMPRODUCT((Inputs!$B$4:$B$200=$B56)*ISNUMBER(INDEX(Inputs!$D$4:$AG$200,0,MATCH(S$2,Inputs!$D$2:$AG$2,0))))=0,"",SUMIFS(INDEX(Inputs!$D$4:$AG$200,0,MATCH(S$2,Inputs!$D$2:$AG$2,0)),Inputs!$B$4:$B$200,$B56)/1000)</f>
        <v>896.51701352</v>
      </c>
      <c r="T56" s="11">
        <f>IF(SUMPRODUCT((Inputs!$B$4:$B$200=$B56)*ISNUMBER(INDEX(Inputs!$D$4:$AG$200,0,MATCH(T$2,Inputs!$D$2:$AG$2,0))))=0,"",SUMIFS(INDEX(Inputs!$D$4:$AG$200,0,MATCH(T$2,Inputs!$D$2:$AG$2,0)),Inputs!$B$4:$B$200,$B56)/1000)</f>
        <v>1360.65302559</v>
      </c>
      <c r="U56" s="11">
        <f>IF(SUMPRODUCT((Inputs!$B$4:$B$200=$B56)*ISNUMBER(INDEX(Inputs!$D$4:$AG$200,0,MATCH(U$2,Inputs!$D$2:$AG$2,0))))=0,"",SUMIFS(INDEX(Inputs!$D$4:$AG$200,0,MATCH(U$2,Inputs!$D$2:$AG$2,0)),Inputs!$B$4:$B$200,$B56)/1000)</f>
        <v>1664.3727112</v>
      </c>
      <c r="V56" s="11">
        <f>IF(SUMPRODUCT((Inputs!$B$4:$B$200=$B56)*ISNUMBER(INDEX(Inputs!$D$4:$AG$200,0,MATCH(V$2,Inputs!$D$2:$AG$2,0))))=0,"",SUMIFS(INDEX(Inputs!$D$4:$AG$200,0,MATCH(V$2,Inputs!$D$2:$AG$2,0)),Inputs!$B$4:$B$200,$B56)/1000)</f>
        <v>1833.17266758</v>
      </c>
      <c r="W56" s="12">
        <f>IF(COUNT(S56:V56)=4,SUM(S56:V56),"")</f>
        <v>5754.71541789</v>
      </c>
      <c r="X56" s="11">
        <f>IF(SUMPRODUCT((Inputs!$B$4:$B$200=$B56)*ISNUMBER(INDEX(Inputs!$D$4:$AG$200,0,MATCH(X$2,Inputs!$D$2:$AG$2,0))))=0,"",SUMIFS(INDEX(Inputs!$D$4:$AG$200,0,MATCH(X$2,Inputs!$D$2:$AG$2,0)),Inputs!$B$4:$B$200,$B56)/1000)</f>
        <v>901.16178275</v>
      </c>
      <c r="Y56" s="11">
        <f>IF(SUMPRODUCT((Inputs!$B$4:$B$200=$B56)*ISNUMBER(INDEX(Inputs!$D$4:$AG$200,0,MATCH(Y$2,Inputs!$D$2:$AG$2,0))))=0,"",SUMIFS(INDEX(Inputs!$D$4:$AG$200,0,MATCH(Y$2,Inputs!$D$2:$AG$2,0)),Inputs!$B$4:$B$200,$B56)/1000)</f>
        <v>1903.8992369</v>
      </c>
      <c r="Z56" s="11">
        <f>IF(SUMPRODUCT((Inputs!$B$4:$B$200=$B56)*ISNUMBER(INDEX(Inputs!$D$4:$AG$200,0,MATCH(Z$2,Inputs!$D$2:$AG$2,0))))=0,"",SUMIFS(INDEX(Inputs!$D$4:$AG$200,0,MATCH(Z$2,Inputs!$D$2:$AG$2,0)),Inputs!$B$4:$B$200,$B56)/1000)</f>
        <v>2151.57671448</v>
      </c>
      <c r="AA56" s="11">
        <f>IF(SUMPRODUCT((Inputs!$B$4:$B$200=$B56)*ISNUMBER(INDEX(Inputs!$D$4:$AG$200,0,MATCH(AA$2,Inputs!$D$2:$AG$2,0))))=0,"",SUMIFS(INDEX(Inputs!$D$4:$AG$200,0,MATCH(AA$2,Inputs!$D$2:$AG$2,0)),Inputs!$B$4:$B$200,$B56)/1000)</f>
        <v>1900.9103</v>
      </c>
      <c r="AB56" s="12">
        <f>IF(COUNT(X56:AA56)=4,SUM(X56:AA56),"")</f>
        <v>6857.54803413</v>
      </c>
      <c r="AC56" s="11">
        <f>IF(SUMPRODUCT((Inputs!$B$4:$B$200=$B56)*ISNUMBER(INDEX(Inputs!$D$4:$AG$200,0,MATCH(AC$2,Inputs!$D$2:$AG$2,0))))=0,"",SUMIFS(INDEX(Inputs!$D$4:$AG$200,0,MATCH(AC$2,Inputs!$D$2:$AG$2,0)),Inputs!$B$4:$B$200,$B56)/1000)</f>
        <v>1005.785</v>
      </c>
      <c r="AD56" s="11">
        <f>IF(SUMPRODUCT((Inputs!$B$4:$B$200=$B56)*ISNUMBER(INDEX(Inputs!$D$4:$AG$200,0,MATCH(AD$2,Inputs!$D$2:$AG$2,0))))=0,"",SUMIFS(INDEX(Inputs!$D$4:$AG$200,0,MATCH(AD$2,Inputs!$D$2:$AG$2,0)),Inputs!$B$4:$B$200,$B56)/1000)</f>
        <v>2065.164</v>
      </c>
      <c r="AE56" s="11" t="str">
        <f>IF(SUMPRODUCT((Inputs!$B$4:$B$200=$B56)*ISNUMBER(INDEX(Inputs!$D$4:$AG$200,0,MATCH(AE$2,Inputs!$D$2:$AG$2,0))))=0,"",SUMIFS(INDEX(Inputs!$D$4:$AG$200,0,MATCH(AE$2,Inputs!$D$2:$AG$2,0)),Inputs!$B$4:$B$200,$B56)/1000)</f>
        <v/>
      </c>
      <c r="AF56" s="11" t="str">
        <f>IF(SUMPRODUCT((Inputs!$B$4:$B$200=$B56)*ISNUMBER(INDEX(Inputs!$D$4:$AG$200,0,MATCH(AF$2,Inputs!$D$2:$AG$2,0))))=0,"",SUMIFS(INDEX(Inputs!$D$4:$AG$200,0,MATCH(AF$2,Inputs!$D$2:$AG$2,0)),Inputs!$B$4:$B$200,$B56)/1000)</f>
        <v/>
      </c>
      <c r="AG56" s="12" t="str">
        <f>IF(COUNT(AC56:AF56)=4,SUM(AC56:AF56),"")</f>
        <v/>
      </c>
    </row>
    <row r="57">
      <c r="B57" s="9" t="n">
        <v>49</v>
      </c>
      <c r="C57" s="10" t="inlineStr">
        <is>
          <t>VGV lancado % Direcional (l.9)</t>
        </is>
      </c>
      <c r="D57" s="11">
        <f>IF(SUMPRODUCT((Inputs!$B$4:$B$200=$B57)*ISNUMBER(INDEX(Inputs!$D$4:$AG$200,0,MATCH(D$2,Inputs!$D$2:$AG$2,0))))=0,"",SUMIFS(INDEX(Inputs!$D$4:$AG$200,0,MATCH(D$2,Inputs!$D$2:$AG$2,0)),Inputs!$B$4:$B$200,$B57)/1000)</f>
        <v>454.22959572</v>
      </c>
      <c r="E57" s="11">
        <f>IF(SUMPRODUCT((Inputs!$B$4:$B$200=$B57)*ISNUMBER(INDEX(Inputs!$D$4:$AG$200,0,MATCH(E$2,Inputs!$D$2:$AG$2,0))))=0,"",SUMIFS(INDEX(Inputs!$D$4:$AG$200,0,MATCH(E$2,Inputs!$D$2:$AG$2,0)),Inputs!$B$4:$B$200,$B57)/1000)</f>
        <v>662.36056157</v>
      </c>
      <c r="F57" s="11">
        <f>IF(SUMPRODUCT((Inputs!$B$4:$B$200=$B57)*ISNUMBER(INDEX(Inputs!$D$4:$AG$200,0,MATCH(F$2,Inputs!$D$2:$AG$2,0))))=0,"",SUMIFS(INDEX(Inputs!$D$4:$AG$200,0,MATCH(F$2,Inputs!$D$2:$AG$2,0)),Inputs!$B$4:$B$200,$B57)/1000)</f>
        <v>927.22763362</v>
      </c>
      <c r="G57" s="11">
        <f>IF(SUMPRODUCT((Inputs!$B$4:$B$200=$B57)*ISNUMBER(INDEX(Inputs!$D$4:$AG$200,0,MATCH(G$2,Inputs!$D$2:$AG$2,0))))=0,"",SUMIFS(INDEX(Inputs!$D$4:$AG$200,0,MATCH(G$2,Inputs!$D$2:$AG$2,0)),Inputs!$B$4:$B$200,$B57)/1000)</f>
        <v>633.81674</v>
      </c>
      <c r="H57" s="12">
        <f>IF(COUNT(D57:G57)=4,SUM(D57:G57),"")</f>
        <v>2677.63453091</v>
      </c>
      <c r="I57" s="11">
        <f>IF(SUMPRODUCT((Inputs!$B$4:$B$200=$B57)*ISNUMBER(INDEX(Inputs!$D$4:$AG$200,0,MATCH(I$2,Inputs!$D$2:$AG$2,0))))=0,"",SUMIFS(INDEX(Inputs!$D$4:$AG$200,0,MATCH(I$2,Inputs!$D$2:$AG$2,0)),Inputs!$B$4:$B$200,$B57)/1000)</f>
        <v>557.281255095</v>
      </c>
      <c r="J57" s="11">
        <f>IF(SUMPRODUCT((Inputs!$B$4:$B$200=$B57)*ISNUMBER(INDEX(Inputs!$D$4:$AG$200,0,MATCH(J$2,Inputs!$D$2:$AG$2,0))))=0,"",SUMIFS(INDEX(Inputs!$D$4:$AG$200,0,MATCH(J$2,Inputs!$D$2:$AG$2,0)),Inputs!$B$4:$B$200,$B57)/1000)</f>
        <v>703.65142544</v>
      </c>
      <c r="K57" s="11">
        <f>IF(SUMPRODUCT((Inputs!$B$4:$B$200=$B57)*ISNUMBER(INDEX(Inputs!$D$4:$AG$200,0,MATCH(K$2,Inputs!$D$2:$AG$2,0))))=0,"",SUMIFS(INDEX(Inputs!$D$4:$AG$200,0,MATCH(K$2,Inputs!$D$2:$AG$2,0)),Inputs!$B$4:$B$200,$B57)/1000)</f>
        <v>966.706773992</v>
      </c>
      <c r="L57" s="11">
        <f>IF(SUMPRODUCT((Inputs!$B$4:$B$200=$B57)*ISNUMBER(INDEX(Inputs!$D$4:$AG$200,0,MATCH(L$2,Inputs!$D$2:$AG$2,0))))=0,"",SUMIFS(INDEX(Inputs!$D$4:$AG$200,0,MATCH(L$2,Inputs!$D$2:$AG$2,0)),Inputs!$B$4:$B$200,$B57)/1000)</f>
        <v>896.097375091</v>
      </c>
      <c r="M57" s="12">
        <f>IF(COUNT(I57:L57)=4,SUM(I57:L57),"")</f>
        <v>3123.736829618</v>
      </c>
      <c r="N57" s="11">
        <f>IF(SUMPRODUCT((Inputs!$B$4:$B$200=$B57)*ISNUMBER(INDEX(Inputs!$D$4:$AG$200,0,MATCH(N$2,Inputs!$D$2:$AG$2,0))))=0,"",SUMIFS(INDEX(Inputs!$D$4:$AG$200,0,MATCH(N$2,Inputs!$D$2:$AG$2,0)),Inputs!$B$4:$B$200,$B57)/1000)</f>
        <v>610.454433028</v>
      </c>
      <c r="O57" s="11">
        <f>IF(SUMPRODUCT((Inputs!$B$4:$B$200=$B57)*ISNUMBER(INDEX(Inputs!$D$4:$AG$200,0,MATCH(O$2,Inputs!$D$2:$AG$2,0))))=0,"",SUMIFS(INDEX(Inputs!$D$4:$AG$200,0,MATCH(O$2,Inputs!$D$2:$AG$2,0)),Inputs!$B$4:$B$200,$B57)/1000)</f>
        <v>1088.942385855</v>
      </c>
      <c r="P57" s="11">
        <f>IF(SUMPRODUCT((Inputs!$B$4:$B$200=$B57)*ISNUMBER(INDEX(Inputs!$D$4:$AG$200,0,MATCH(P$2,Inputs!$D$2:$AG$2,0))))=0,"",SUMIFS(INDEX(Inputs!$D$4:$AG$200,0,MATCH(P$2,Inputs!$D$2:$AG$2,0)),Inputs!$B$4:$B$200,$B57)/1000)</f>
        <v>1259.316986795</v>
      </c>
      <c r="Q57" s="11">
        <f>IF(SUMPRODUCT((Inputs!$B$4:$B$200=$B57)*ISNUMBER(INDEX(Inputs!$D$4:$AG$200,0,MATCH(Q$2,Inputs!$D$2:$AG$2,0))))=0,"",SUMIFS(INDEX(Inputs!$D$4:$AG$200,0,MATCH(Q$2,Inputs!$D$2:$AG$2,0)),Inputs!$B$4:$B$200,$B57)/1000)</f>
        <v>1336.55942202</v>
      </c>
      <c r="R57" s="12">
        <f>IF(COUNT(N57:Q57)=4,SUM(N57:Q57),"")</f>
        <v>4295.273227698</v>
      </c>
      <c r="S57" s="11">
        <f>IF(SUMPRODUCT((Inputs!$B$4:$B$200=$B57)*ISNUMBER(INDEX(Inputs!$D$4:$AG$200,0,MATCH(S$2,Inputs!$D$2:$AG$2,0))))=0,"",SUMIFS(INDEX(Inputs!$D$4:$AG$200,0,MATCH(S$2,Inputs!$D$2:$AG$2,0)),Inputs!$B$4:$B$200,$B57)/1000)</f>
        <v>653.48305326</v>
      </c>
      <c r="T57" s="11">
        <f>IF(SUMPRODUCT((Inputs!$B$4:$B$200=$B57)*ISNUMBER(INDEX(Inputs!$D$4:$AG$200,0,MATCH(T$2,Inputs!$D$2:$AG$2,0))))=0,"",SUMIFS(INDEX(Inputs!$D$4:$AG$200,0,MATCH(T$2,Inputs!$D$2:$AG$2,0)),Inputs!$B$4:$B$200,$B57)/1000)</f>
        <v>1196.750544249</v>
      </c>
      <c r="U57" s="11">
        <f>IF(SUMPRODUCT((Inputs!$B$4:$B$200=$B57)*ISNUMBER(INDEX(Inputs!$D$4:$AG$200,0,MATCH(U$2,Inputs!$D$2:$AG$2,0))))=0,"",SUMIFS(INDEX(Inputs!$D$4:$AG$200,0,MATCH(U$2,Inputs!$D$2:$AG$2,0)),Inputs!$B$4:$B$200,$B57)/1000)</f>
        <v>1444.2228212</v>
      </c>
      <c r="V57" s="11">
        <f>IF(SUMPRODUCT((Inputs!$B$4:$B$200=$B57)*ISNUMBER(INDEX(Inputs!$D$4:$AG$200,0,MATCH(V$2,Inputs!$D$2:$AG$2,0))))=0,"",SUMIFS(INDEX(Inputs!$D$4:$AG$200,0,MATCH(V$2,Inputs!$D$2:$AG$2,0)),Inputs!$B$4:$B$200,$B57)/1000)</f>
        <v>1405.792280641</v>
      </c>
      <c r="W57" s="12">
        <f>IF(COUNT(S57:V57)=4,SUM(S57:V57),"")</f>
        <v>4700.24869935</v>
      </c>
      <c r="X57" s="11">
        <f>IF(SUMPRODUCT((Inputs!$B$4:$B$200=$B57)*ISNUMBER(INDEX(Inputs!$D$4:$AG$200,0,MATCH(X$2,Inputs!$D$2:$AG$2,0))))=0,"",SUMIFS(INDEX(Inputs!$D$4:$AG$200,0,MATCH(X$2,Inputs!$D$2:$AG$2,0)),Inputs!$B$4:$B$200,$B57)/1000)</f>
        <v>802.421661667</v>
      </c>
      <c r="Y57" s="11">
        <f>IF(SUMPRODUCT((Inputs!$B$4:$B$200=$B57)*ISNUMBER(INDEX(Inputs!$D$4:$AG$200,0,MATCH(Y$2,Inputs!$D$2:$AG$2,0))))=0,"",SUMIFS(INDEX(Inputs!$D$4:$AG$200,0,MATCH(Y$2,Inputs!$D$2:$AG$2,0)),Inputs!$B$4:$B$200,$B57)/1000)</f>
        <v>1392.984586238</v>
      </c>
      <c r="Z57" s="11">
        <f>IF(SUMPRODUCT((Inputs!$B$4:$B$200=$B57)*ISNUMBER(INDEX(Inputs!$D$4:$AG$200,0,MATCH(Z$2,Inputs!$D$2:$AG$2,0))))=0,"",SUMIFS(INDEX(Inputs!$D$4:$AG$200,0,MATCH(Z$2,Inputs!$D$2:$AG$2,0)),Inputs!$B$4:$B$200,$B57)/1000)</f>
        <v>2017.61673808</v>
      </c>
      <c r="AA57" s="11">
        <f>IF(SUMPRODUCT((Inputs!$B$4:$B$200=$B57)*ISNUMBER(INDEX(Inputs!$D$4:$AG$200,0,MATCH(AA$2,Inputs!$D$2:$AG$2,0))))=0,"",SUMIFS(INDEX(Inputs!$D$4:$AG$200,0,MATCH(AA$2,Inputs!$D$2:$AG$2,0)),Inputs!$B$4:$B$200,$B57)/1000)</f>
        <v>1680.227</v>
      </c>
      <c r="AB57" s="12">
        <f>IF(COUNT(X57:AA57)=4,SUM(X57:AA57),"")</f>
        <v>5893.249985985</v>
      </c>
      <c r="AC57" s="11">
        <f>IF(SUMPRODUCT((Inputs!$B$4:$B$200=$B57)*ISNUMBER(INDEX(Inputs!$D$4:$AG$200,0,MATCH(AC$2,Inputs!$D$2:$AG$2,0))))=0,"",SUMIFS(INDEX(Inputs!$D$4:$AG$200,0,MATCH(AC$2,Inputs!$D$2:$AG$2,0)),Inputs!$B$4:$B$200,$B57)/1000)</f>
        <v>862.45</v>
      </c>
      <c r="AD57" s="11">
        <f>IF(SUMPRODUCT((Inputs!$B$4:$B$200=$B57)*ISNUMBER(INDEX(Inputs!$D$4:$AG$200,0,MATCH(AD$2,Inputs!$D$2:$AG$2,0))))=0,"",SUMIFS(INDEX(Inputs!$D$4:$AG$200,0,MATCH(AD$2,Inputs!$D$2:$AG$2,0)),Inputs!$B$4:$B$200,$B57)/1000)</f>
        <v>1565.821</v>
      </c>
      <c r="AE57" s="11" t="str">
        <f>IF(SUMPRODUCT((Inputs!$B$4:$B$200=$B57)*ISNUMBER(INDEX(Inputs!$D$4:$AG$200,0,MATCH(AE$2,Inputs!$D$2:$AG$2,0))))=0,"",SUMIFS(INDEX(Inputs!$D$4:$AG$200,0,MATCH(AE$2,Inputs!$D$2:$AG$2,0)),Inputs!$B$4:$B$200,$B57)/1000)</f>
        <v/>
      </c>
      <c r="AF57" s="11" t="str">
        <f>IF(SUMPRODUCT((Inputs!$B$4:$B$200=$B57)*ISNUMBER(INDEX(Inputs!$D$4:$AG$200,0,MATCH(AF$2,Inputs!$D$2:$AG$2,0))))=0,"",SUMIFS(INDEX(Inputs!$D$4:$AG$200,0,MATCH(AF$2,Inputs!$D$2:$AG$2,0)),Inputs!$B$4:$B$200,$B57)/1000)</f>
        <v/>
      </c>
      <c r="AG57" s="12" t="str">
        <f>IF(COUNT(AC57:AF57)=4,SUM(AC57:AF57),"")</f>
        <v/>
      </c>
    </row>
    <row r="58">
      <c r="B58" s="9" t="n">
        <v>50</v>
      </c>
      <c r="C58" s="10" t="inlineStr">
        <is>
          <t>Unidades lancadas (l.12)</t>
        </is>
      </c>
      <c r="D58" s="11">
        <f>IF(SUMPRODUCT((Inputs!$B$4:$B$200=$B58)*ISNUMBER(INDEX(Inputs!$D$4:$AG$200,0,MATCH(D$2,Inputs!$D$2:$AG$2,0))))=0,"",SUMIFS(INDEX(Inputs!$D$4:$AG$200,0,MATCH(D$2,Inputs!$D$2:$AG$2,0)),Inputs!$B$4:$B$200,$B58)/1000)</f>
        <v>2471</v>
      </c>
      <c r="E58" s="11">
        <f>IF(SUMPRODUCT((Inputs!$B$4:$B$200=$B58)*ISNUMBER(INDEX(Inputs!$D$4:$AG$200,0,MATCH(E$2,Inputs!$D$2:$AG$2,0))))=0,"",SUMIFS(INDEX(Inputs!$D$4:$AG$200,0,MATCH(E$2,Inputs!$D$2:$AG$2,0)),Inputs!$B$4:$B$200,$B58)/1000)</f>
        <v>4153</v>
      </c>
      <c r="F58" s="11">
        <f>IF(SUMPRODUCT((Inputs!$B$4:$B$200=$B58)*ISNUMBER(INDEX(Inputs!$D$4:$AG$200,0,MATCH(F$2,Inputs!$D$2:$AG$2,0))))=0,"",SUMIFS(INDEX(Inputs!$D$4:$AG$200,0,MATCH(F$2,Inputs!$D$2:$AG$2,0)),Inputs!$B$4:$B$200,$B58)/1000)</f>
        <v>3764</v>
      </c>
      <c r="G58" s="11">
        <f>IF(SUMPRODUCT((Inputs!$B$4:$B$200=$B58)*ISNUMBER(INDEX(Inputs!$D$4:$AG$200,0,MATCH(G$2,Inputs!$D$2:$AG$2,0))))=0,"",SUMIFS(INDEX(Inputs!$D$4:$AG$200,0,MATCH(G$2,Inputs!$D$2:$AG$2,0)),Inputs!$B$4:$B$200,$B58)/1000)</f>
        <v>3146</v>
      </c>
      <c r="H58" s="12">
        <f>IF(COUNT(D58:G58)=4,SUM(D58:G58),"")</f>
        <v>13534</v>
      </c>
      <c r="I58" s="11">
        <f>IF(SUMPRODUCT((Inputs!$B$4:$B$200=$B58)*ISNUMBER(INDEX(Inputs!$D$4:$AG$200,0,MATCH(I$2,Inputs!$D$2:$AG$2,0))))=0,"",SUMIFS(INDEX(Inputs!$D$4:$AG$200,0,MATCH(I$2,Inputs!$D$2:$AG$2,0)),Inputs!$B$4:$B$200,$B58)/1000)</f>
        <v>2831</v>
      </c>
      <c r="J58" s="11">
        <f>IF(SUMPRODUCT((Inputs!$B$4:$B$200=$B58)*ISNUMBER(INDEX(Inputs!$D$4:$AG$200,0,MATCH(J$2,Inputs!$D$2:$AG$2,0))))=0,"",SUMIFS(INDEX(Inputs!$D$4:$AG$200,0,MATCH(J$2,Inputs!$D$2:$AG$2,0)),Inputs!$B$4:$B$200,$B58)/1000)</f>
        <v>3261</v>
      </c>
      <c r="K58" s="11">
        <f>IF(SUMPRODUCT((Inputs!$B$4:$B$200=$B58)*ISNUMBER(INDEX(Inputs!$D$4:$AG$200,0,MATCH(K$2,Inputs!$D$2:$AG$2,0))))=0,"",SUMIFS(INDEX(Inputs!$D$4:$AG$200,0,MATCH(K$2,Inputs!$D$2:$AG$2,0)),Inputs!$B$4:$B$200,$B58)/1000)</f>
        <v>4113</v>
      </c>
      <c r="L58" s="11">
        <f>IF(SUMPRODUCT((Inputs!$B$4:$B$200=$B58)*ISNUMBER(INDEX(Inputs!$D$4:$AG$200,0,MATCH(L$2,Inputs!$D$2:$AG$2,0))))=0,"",SUMIFS(INDEX(Inputs!$D$4:$AG$200,0,MATCH(L$2,Inputs!$D$2:$AG$2,0)),Inputs!$B$4:$B$200,$B58)/1000)</f>
        <v>4320</v>
      </c>
      <c r="M58" s="12">
        <f>IF(COUNT(I58:L58)=4,SUM(I58:L58),"")</f>
        <v>14525</v>
      </c>
      <c r="N58" s="11">
        <f>IF(SUMPRODUCT((Inputs!$B$4:$B$200=$B58)*ISNUMBER(INDEX(Inputs!$D$4:$AG$200,0,MATCH(N$2,Inputs!$D$2:$AG$2,0))))=0,"",SUMIFS(INDEX(Inputs!$D$4:$AG$200,0,MATCH(N$2,Inputs!$D$2:$AG$2,0)),Inputs!$B$4:$B$200,$B58)/1000)</f>
        <v>2762</v>
      </c>
      <c r="O58" s="11">
        <f>IF(SUMPRODUCT((Inputs!$B$4:$B$200=$B58)*ISNUMBER(INDEX(Inputs!$D$4:$AG$200,0,MATCH(O$2,Inputs!$D$2:$AG$2,0))))=0,"",SUMIFS(INDEX(Inputs!$D$4:$AG$200,0,MATCH(O$2,Inputs!$D$2:$AG$2,0)),Inputs!$B$4:$B$200,$B58)/1000)</f>
        <v>5268</v>
      </c>
      <c r="P58" s="11">
        <f>IF(SUMPRODUCT((Inputs!$B$4:$B$200=$B58)*ISNUMBER(INDEX(Inputs!$D$4:$AG$200,0,MATCH(P$2,Inputs!$D$2:$AG$2,0))))=0,"",SUMIFS(INDEX(Inputs!$D$4:$AG$200,0,MATCH(P$2,Inputs!$D$2:$AG$2,0)),Inputs!$B$4:$B$200,$B58)/1000)</f>
        <v>4152</v>
      </c>
      <c r="Q58" s="11">
        <f>IF(SUMPRODUCT((Inputs!$B$4:$B$200=$B58)*ISNUMBER(INDEX(Inputs!$D$4:$AG$200,0,MATCH(Q$2,Inputs!$D$2:$AG$2,0))))=0,"",SUMIFS(INDEX(Inputs!$D$4:$AG$200,0,MATCH(Q$2,Inputs!$D$2:$AG$2,0)),Inputs!$B$4:$B$200,$B58)/1000)</f>
        <v>4998</v>
      </c>
      <c r="R58" s="12">
        <f>IF(COUNT(N58:Q58)=4,SUM(N58:Q58),"")</f>
        <v>17180</v>
      </c>
      <c r="S58" s="11">
        <f>IF(SUMPRODUCT((Inputs!$B$4:$B$200=$B58)*ISNUMBER(INDEX(Inputs!$D$4:$AG$200,0,MATCH(S$2,Inputs!$D$2:$AG$2,0))))=0,"",SUMIFS(INDEX(Inputs!$D$4:$AG$200,0,MATCH(S$2,Inputs!$D$2:$AG$2,0)),Inputs!$B$4:$B$200,$B58)/1000)</f>
        <v>2238</v>
      </c>
      <c r="T58" s="11">
        <f>IF(SUMPRODUCT((Inputs!$B$4:$B$200=$B58)*ISNUMBER(INDEX(Inputs!$D$4:$AG$200,0,MATCH(T$2,Inputs!$D$2:$AG$2,0))))=0,"",SUMIFS(INDEX(Inputs!$D$4:$AG$200,0,MATCH(T$2,Inputs!$D$2:$AG$2,0)),Inputs!$B$4:$B$200,$B58)/1000)</f>
        <v>4187</v>
      </c>
      <c r="U58" s="11">
        <f>IF(SUMPRODUCT((Inputs!$B$4:$B$200=$B58)*ISNUMBER(INDEX(Inputs!$D$4:$AG$200,0,MATCH(U$2,Inputs!$D$2:$AG$2,0))))=0,"",SUMIFS(INDEX(Inputs!$D$4:$AG$200,0,MATCH(U$2,Inputs!$D$2:$AG$2,0)),Inputs!$B$4:$B$200,$B58)/1000)</f>
        <v>5947</v>
      </c>
      <c r="V58" s="11">
        <f>IF(SUMPRODUCT((Inputs!$B$4:$B$200=$B58)*ISNUMBER(INDEX(Inputs!$D$4:$AG$200,0,MATCH(V$2,Inputs!$D$2:$AG$2,0))))=0,"",SUMIFS(INDEX(Inputs!$D$4:$AG$200,0,MATCH(V$2,Inputs!$D$2:$AG$2,0)),Inputs!$B$4:$B$200,$B58)/1000)</f>
        <v>5763</v>
      </c>
      <c r="W58" s="12">
        <f>IF(COUNT(S58:V58)=4,SUM(S58:V58),"")</f>
        <v>18135</v>
      </c>
      <c r="X58" s="11">
        <f>IF(SUMPRODUCT((Inputs!$B$4:$B$200=$B58)*ISNUMBER(INDEX(Inputs!$D$4:$AG$200,0,MATCH(X$2,Inputs!$D$2:$AG$2,0))))=0,"",SUMIFS(INDEX(Inputs!$D$4:$AG$200,0,MATCH(X$2,Inputs!$D$2:$AG$2,0)),Inputs!$B$4:$B$200,$B58)/1000)</f>
        <v>3424</v>
      </c>
      <c r="Y58" s="11">
        <f>IF(SUMPRODUCT((Inputs!$B$4:$B$200=$B58)*ISNUMBER(INDEX(Inputs!$D$4:$AG$200,0,MATCH(Y$2,Inputs!$D$2:$AG$2,0))))=0,"",SUMIFS(INDEX(Inputs!$D$4:$AG$200,0,MATCH(Y$2,Inputs!$D$2:$AG$2,0)),Inputs!$B$4:$B$200,$B58)/1000)</f>
        <v>5096</v>
      </c>
      <c r="Z58" s="11">
        <f>IF(SUMPRODUCT((Inputs!$B$4:$B$200=$B58)*ISNUMBER(INDEX(Inputs!$D$4:$AG$200,0,MATCH(Z$2,Inputs!$D$2:$AG$2,0))))=0,"",SUMIFS(INDEX(Inputs!$D$4:$AG$200,0,MATCH(Z$2,Inputs!$D$2:$AG$2,0)),Inputs!$B$4:$B$200,$B58)/1000)</f>
        <v>6449</v>
      </c>
      <c r="AA58" s="11">
        <f>IF(SUMPRODUCT((Inputs!$B$4:$B$200=$B58)*ISNUMBER(INDEX(Inputs!$D$4:$AG$200,0,MATCH(AA$2,Inputs!$D$2:$AG$2,0))))=0,"",SUMIFS(INDEX(Inputs!$D$4:$AG$200,0,MATCH(AA$2,Inputs!$D$2:$AG$2,0)),Inputs!$B$4:$B$200,$B58)/1000)</f>
        <v>4780</v>
      </c>
      <c r="AB58" s="12">
        <f>IF(COUNT(X58:AA58)=4,SUM(X58:AA58),"")</f>
        <v>19749</v>
      </c>
      <c r="AC58" s="11">
        <f>IF(SUMPRODUCT((Inputs!$B$4:$B$200=$B58)*ISNUMBER(INDEX(Inputs!$D$4:$AG$200,0,MATCH(AC$2,Inputs!$D$2:$AG$2,0))))=0,"",SUMIFS(INDEX(Inputs!$D$4:$AG$200,0,MATCH(AC$2,Inputs!$D$2:$AG$2,0)),Inputs!$B$4:$B$200,$B58)/1000)</f>
        <v>3109</v>
      </c>
      <c r="AD58" s="11">
        <f>IF(SUMPRODUCT((Inputs!$B$4:$B$200=$B58)*ISNUMBER(INDEX(Inputs!$D$4:$AG$200,0,MATCH(AD$2,Inputs!$D$2:$AG$2,0))))=0,"",SUMIFS(INDEX(Inputs!$D$4:$AG$200,0,MATCH(AD$2,Inputs!$D$2:$AG$2,0)),Inputs!$B$4:$B$200,$B58)/1000)</f>
        <v>5511</v>
      </c>
      <c r="AE58" s="11" t="str">
        <f>IF(SUMPRODUCT((Inputs!$B$4:$B$200=$B58)*ISNUMBER(INDEX(Inputs!$D$4:$AG$200,0,MATCH(AE$2,Inputs!$D$2:$AG$2,0))))=0,"",SUMIFS(INDEX(Inputs!$D$4:$AG$200,0,MATCH(AE$2,Inputs!$D$2:$AG$2,0)),Inputs!$B$4:$B$200,$B58)/1000)</f>
        <v/>
      </c>
      <c r="AF58" s="11" t="str">
        <f>IF(SUMPRODUCT((Inputs!$B$4:$B$200=$B58)*ISNUMBER(INDEX(Inputs!$D$4:$AG$200,0,MATCH(AF$2,Inputs!$D$2:$AG$2,0))))=0,"",SUMIFS(INDEX(Inputs!$D$4:$AG$200,0,MATCH(AF$2,Inputs!$D$2:$AG$2,0)),Inputs!$B$4:$B$200,$B58)/1000)</f>
        <v/>
      </c>
      <c r="AG58" s="12" t="str">
        <f>IF(COUNT(AC58:AF58)=4,SUM(AC58:AF58),"")</f>
        <v/>
      </c>
    </row>
    <row r="59">
      <c r="B59" s="9" t="n">
        <v>51</v>
      </c>
      <c r="C59" s="10" t="inlineStr">
        <is>
          <t>Preco medio lancado (R$/unidade; l.16)</t>
        </is>
      </c>
      <c r="D59" s="11">
        <f>IF(SUMPRODUCT((Inputs!$B$4:$B$200=$B59)*ISNUMBER(INDEX(Inputs!$D$4:$AG$200,0,MATCH(D$2,Inputs!$D$2:$AG$2,0))))=0,"",SUMIFS(INDEX(Inputs!$D$4:$AG$200,0,MATCH(D$2,Inputs!$D$2:$AG$2,0)),Inputs!$B$4:$B$200,$B59)/1000)</f>
        <v>233532.901659247</v>
      </c>
      <c r="E59" s="11">
        <f>IF(SUMPRODUCT((Inputs!$B$4:$B$200=$B59)*ISNUMBER(INDEX(Inputs!$D$4:$AG$200,0,MATCH(E$2,Inputs!$D$2:$AG$2,0))))=0,"",SUMIFS(INDEX(Inputs!$D$4:$AG$200,0,MATCH(E$2,Inputs!$D$2:$AG$2,0)),Inputs!$B$4:$B$200,$B59)/1000)</f>
        <v>189483.005073441</v>
      </c>
      <c r="F59" s="11">
        <f>IF(SUMPRODUCT((Inputs!$B$4:$B$200=$B59)*ISNUMBER(INDEX(Inputs!$D$4:$AG$200,0,MATCH(F$2,Inputs!$D$2:$AG$2,0))))=0,"",SUMIFS(INDEX(Inputs!$D$4:$AG$200,0,MATCH(F$2,Inputs!$D$2:$AG$2,0)),Inputs!$B$4:$B$200,$B59)/1000)</f>
        <v>287093.608639745</v>
      </c>
      <c r="G59" s="11">
        <f>IF(SUMPRODUCT((Inputs!$B$4:$B$200=$B59)*ISNUMBER(INDEX(Inputs!$D$4:$AG$200,0,MATCH(G$2,Inputs!$D$2:$AG$2,0))))=0,"",SUMIFS(INDEX(Inputs!$D$4:$AG$200,0,MATCH(G$2,Inputs!$D$2:$AG$2,0)),Inputs!$B$4:$B$200,$B59)/1000)</f>
        <v>220400.737444374</v>
      </c>
      <c r="H59" s="12">
        <f>IF(COUNT(D59:G59)=4,SUM(D59:G59),"")</f>
        <v>930510.252816807</v>
      </c>
      <c r="I59" s="11">
        <f>IF(SUMPRODUCT((Inputs!$B$4:$B$200=$B59)*ISNUMBER(INDEX(Inputs!$D$4:$AG$200,0,MATCH(I$2,Inputs!$D$2:$AG$2,0))))=0,"",SUMIFS(INDEX(Inputs!$D$4:$AG$200,0,MATCH(I$2,Inputs!$D$2:$AG$2,0)),Inputs!$B$4:$B$200,$B59)/1000)</f>
        <v>211610.253829036</v>
      </c>
      <c r="J59" s="11">
        <f>IF(SUMPRODUCT((Inputs!$B$4:$B$200=$B59)*ISNUMBER(INDEX(Inputs!$D$4:$AG$200,0,MATCH(J$2,Inputs!$D$2:$AG$2,0))))=0,"",SUMIFS(INDEX(Inputs!$D$4:$AG$200,0,MATCH(J$2,Inputs!$D$2:$AG$2,0)),Inputs!$B$4:$B$200,$B59)/1000)</f>
        <v>242370.170193192</v>
      </c>
      <c r="K59" s="11">
        <f>IF(SUMPRODUCT((Inputs!$B$4:$B$200=$B59)*ISNUMBER(INDEX(Inputs!$D$4:$AG$200,0,MATCH(K$2,Inputs!$D$2:$AG$2,0))))=0,"",SUMIFS(INDEX(Inputs!$D$4:$AG$200,0,MATCH(K$2,Inputs!$D$2:$AG$2,0)),Inputs!$B$4:$B$200,$B59)/1000)</f>
        <v>289099.947274496</v>
      </c>
      <c r="L59" s="11">
        <f>IF(SUMPRODUCT((Inputs!$B$4:$B$200=$B59)*ISNUMBER(INDEX(Inputs!$D$4:$AG$200,0,MATCH(L$2,Inputs!$D$2:$AG$2,0))))=0,"",SUMIFS(INDEX(Inputs!$D$4:$AG$200,0,MATCH(L$2,Inputs!$D$2:$AG$2,0)),Inputs!$B$4:$B$200,$B59)/1000)</f>
        <v>244840.988863426</v>
      </c>
      <c r="M59" s="12">
        <f>IF(COUNT(I59:L59)=4,SUM(I59:L59),"")</f>
        <v>987921.36016015</v>
      </c>
      <c r="N59" s="11">
        <f>IF(SUMPRODUCT((Inputs!$B$4:$B$200=$B59)*ISNUMBER(INDEX(Inputs!$D$4:$AG$200,0,MATCH(N$2,Inputs!$D$2:$AG$2,0))))=0,"",SUMIFS(INDEX(Inputs!$D$4:$AG$200,0,MATCH(N$2,Inputs!$D$2:$AG$2,0)),Inputs!$B$4:$B$200,$B59)/1000)</f>
        <v>221285.312599565</v>
      </c>
      <c r="O59" s="11">
        <f>IF(SUMPRODUCT((Inputs!$B$4:$B$200=$B59)*ISNUMBER(INDEX(Inputs!$D$4:$AG$200,0,MATCH(O$2,Inputs!$D$2:$AG$2,0))))=0,"",SUMIFS(INDEX(Inputs!$D$4:$AG$200,0,MATCH(O$2,Inputs!$D$2:$AG$2,0)),Inputs!$B$4:$B$200,$B59)/1000)</f>
        <v>276508.37357631</v>
      </c>
      <c r="P59" s="11">
        <f>IF(SUMPRODUCT((Inputs!$B$4:$B$200=$B59)*ISNUMBER(INDEX(Inputs!$D$4:$AG$200,0,MATCH(P$2,Inputs!$D$2:$AG$2,0))))=0,"",SUMIFS(INDEX(Inputs!$D$4:$AG$200,0,MATCH(P$2,Inputs!$D$2:$AG$2,0)),Inputs!$B$4:$B$200,$B59)/1000)</f>
        <v>337047.261221098</v>
      </c>
      <c r="Q59" s="11">
        <f>IF(SUMPRODUCT((Inputs!$B$4:$B$200=$B59)*ISNUMBER(INDEX(Inputs!$D$4:$AG$200,0,MATCH(Q$2,Inputs!$D$2:$AG$2,0))))=0,"",SUMIFS(INDEX(Inputs!$D$4:$AG$200,0,MATCH(Q$2,Inputs!$D$2:$AG$2,0)),Inputs!$B$4:$B$200,$B59)/1000)</f>
        <v>278150.660910364</v>
      </c>
      <c r="R59" s="12">
        <f>IF(COUNT(N59:Q59)=4,SUM(N59:Q59),"")</f>
        <v>1112991.60830734</v>
      </c>
      <c r="S59" s="11">
        <f>IF(SUMPRODUCT((Inputs!$B$4:$B$200=$B59)*ISNUMBER(INDEX(Inputs!$D$4:$AG$200,0,MATCH(S$2,Inputs!$D$2:$AG$2,0))))=0,"",SUMIFS(INDEX(Inputs!$D$4:$AG$200,0,MATCH(S$2,Inputs!$D$2:$AG$2,0)),Inputs!$B$4:$B$200,$B59)/1000)</f>
        <v>400588.477890974</v>
      </c>
      <c r="T59" s="11">
        <f>IF(SUMPRODUCT((Inputs!$B$4:$B$200=$B59)*ISNUMBER(INDEX(Inputs!$D$4:$AG$200,0,MATCH(T$2,Inputs!$D$2:$AG$2,0))))=0,"",SUMIFS(INDEX(Inputs!$D$4:$AG$200,0,MATCH(T$2,Inputs!$D$2:$AG$2,0)),Inputs!$B$4:$B$200,$B59)/1000)</f>
        <v>324970.868304275</v>
      </c>
      <c r="U59" s="11">
        <f>IF(SUMPRODUCT((Inputs!$B$4:$B$200=$B59)*ISNUMBER(INDEX(Inputs!$D$4:$AG$200,0,MATCH(U$2,Inputs!$D$2:$AG$2,0))))=0,"",SUMIFS(INDEX(Inputs!$D$4:$AG$200,0,MATCH(U$2,Inputs!$D$2:$AG$2,0)),Inputs!$B$4:$B$200,$B59)/1000)</f>
        <v>279867.615806289</v>
      </c>
      <c r="V59" s="11">
        <f>IF(SUMPRODUCT((Inputs!$B$4:$B$200=$B59)*ISNUMBER(INDEX(Inputs!$D$4:$AG$200,0,MATCH(V$2,Inputs!$D$2:$AG$2,0))))=0,"",SUMIFS(INDEX(Inputs!$D$4:$AG$200,0,MATCH(V$2,Inputs!$D$2:$AG$2,0)),Inputs!$B$4:$B$200,$B59)/1000)</f>
        <v>318093.469994794</v>
      </c>
      <c r="W59" s="12">
        <f>IF(COUNT(S59:V59)=4,SUM(S59:V59),"")</f>
        <v>1323520.43199633</v>
      </c>
      <c r="X59" s="11">
        <f>IF(SUMPRODUCT((Inputs!$B$4:$B$200=$B59)*ISNUMBER(INDEX(Inputs!$D$4:$AG$200,0,MATCH(X$2,Inputs!$D$2:$AG$2,0))))=0,"",SUMIFS(INDEX(Inputs!$D$4:$AG$200,0,MATCH(X$2,Inputs!$D$2:$AG$2,0)),Inputs!$B$4:$B$200,$B59)/1000)</f>
        <v>263189.772999416</v>
      </c>
      <c r="Y59" s="11">
        <f>IF(SUMPRODUCT((Inputs!$B$4:$B$200=$B59)*ISNUMBER(INDEX(Inputs!$D$4:$AG$200,0,MATCH(Y$2,Inputs!$D$2:$AG$2,0))))=0,"",SUMIFS(INDEX(Inputs!$D$4:$AG$200,0,MATCH(Y$2,Inputs!$D$2:$AG$2,0)),Inputs!$B$4:$B$200,$B59)/1000)</f>
        <v>373606.600647567</v>
      </c>
      <c r="Z59" s="11">
        <f>IF(SUMPRODUCT((Inputs!$B$4:$B$200=$B59)*ISNUMBER(INDEX(Inputs!$D$4:$AG$200,0,MATCH(Z$2,Inputs!$D$2:$AG$2,0))))=0,"",SUMIFS(INDEX(Inputs!$D$4:$AG$200,0,MATCH(Z$2,Inputs!$D$2:$AG$2,0)),Inputs!$B$4:$B$200,$B59)/1000)</f>
        <v>333629.510696232</v>
      </c>
      <c r="AA59" s="11">
        <f>IF(SUMPRODUCT((Inputs!$B$4:$B$200=$B59)*ISNUMBER(INDEX(Inputs!$D$4:$AG$200,0,MATCH(AA$2,Inputs!$D$2:$AG$2,0))))=0,"",SUMIFS(INDEX(Inputs!$D$4:$AG$200,0,MATCH(AA$2,Inputs!$D$2:$AG$2,0)),Inputs!$B$4:$B$200,$B59)/1000)</f>
        <v>397679.98</v>
      </c>
      <c r="AB59" s="12">
        <f>IF(COUNT(X59:AA59)=4,SUM(X59:AA59),"")</f>
        <v>1368105.86434322</v>
      </c>
      <c r="AC59" s="11">
        <f>IF(SUMPRODUCT((Inputs!$B$4:$B$200=$B59)*ISNUMBER(INDEX(Inputs!$D$4:$AG$200,0,MATCH(AC$2,Inputs!$D$2:$AG$2,0))))=0,"",SUMIFS(INDEX(Inputs!$D$4:$AG$200,0,MATCH(AC$2,Inputs!$D$2:$AG$2,0)),Inputs!$B$4:$B$200,$B59)/1000)</f>
        <v>323507.6</v>
      </c>
      <c r="AD59" s="11">
        <f>IF(SUMPRODUCT((Inputs!$B$4:$B$200=$B59)*ISNUMBER(INDEX(Inputs!$D$4:$AG$200,0,MATCH(AD$2,Inputs!$D$2:$AG$2,0))))=0,"",SUMIFS(INDEX(Inputs!$D$4:$AG$200,0,MATCH(AD$2,Inputs!$D$2:$AG$2,0)),Inputs!$B$4:$B$200,$B59)/1000)</f>
        <v>374734.89</v>
      </c>
      <c r="AE59" s="11" t="str">
        <f>IF(SUMPRODUCT((Inputs!$B$4:$B$200=$B59)*ISNUMBER(INDEX(Inputs!$D$4:$AG$200,0,MATCH(AE$2,Inputs!$D$2:$AG$2,0))))=0,"",SUMIFS(INDEX(Inputs!$D$4:$AG$200,0,MATCH(AE$2,Inputs!$D$2:$AG$2,0)),Inputs!$B$4:$B$200,$B59)/1000)</f>
        <v/>
      </c>
      <c r="AF59" s="11" t="str">
        <f>IF(SUMPRODUCT((Inputs!$B$4:$B$200=$B59)*ISNUMBER(INDEX(Inputs!$D$4:$AG$200,0,MATCH(AF$2,Inputs!$D$2:$AG$2,0))))=0,"",SUMIFS(INDEX(Inputs!$D$4:$AG$200,0,MATCH(AF$2,Inputs!$D$2:$AG$2,0)),Inputs!$B$4:$B$200,$B59)/1000)</f>
        <v/>
      </c>
      <c r="AG59" s="12" t="str">
        <f>IF(COUNT(AC59:AF59)=4,SUM(AC59:AF59),"")</f>
        <v/>
      </c>
    </row>
    <row r="60">
      <c r="B60" s="9" t="n">
        <v>52</v>
      </c>
      <c r="C60" s="10" t="inlineStr">
        <is>
          <t>VGV contratado (vendas liquidas) 100% (l.19)</t>
        </is>
      </c>
      <c r="D60" s="11">
        <f>IF(SUMPRODUCT((Inputs!$B$4:$B$200=$B60)*ISNUMBER(INDEX(Inputs!$D$4:$AG$200,0,MATCH(D$2,Inputs!$D$2:$AG$2,0))))=0,"",SUMIFS(INDEX(Inputs!$D$4:$AG$200,0,MATCH(D$2,Inputs!$D$2:$AG$2,0)),Inputs!$B$4:$B$200,$B60)/1000)</f>
        <v>514.96429321</v>
      </c>
      <c r="E60" s="11">
        <f>IF(SUMPRODUCT((Inputs!$B$4:$B$200=$B60)*ISNUMBER(INDEX(Inputs!$D$4:$AG$200,0,MATCH(E$2,Inputs!$D$2:$AG$2,0))))=0,"",SUMIFS(INDEX(Inputs!$D$4:$AG$200,0,MATCH(E$2,Inputs!$D$2:$AG$2,0)),Inputs!$B$4:$B$200,$B60)/1000)</f>
        <v>614.49592772</v>
      </c>
      <c r="F60" s="11">
        <f>IF(SUMPRODUCT((Inputs!$B$4:$B$200=$B60)*ISNUMBER(INDEX(Inputs!$D$4:$AG$200,0,MATCH(F$2,Inputs!$D$2:$AG$2,0))))=0,"",SUMIFS(INDEX(Inputs!$D$4:$AG$200,0,MATCH(F$2,Inputs!$D$2:$AG$2,0)),Inputs!$B$4:$B$200,$B60)/1000)</f>
        <v>642.71611535</v>
      </c>
      <c r="G60" s="11">
        <f>IF(SUMPRODUCT((Inputs!$B$4:$B$200=$B60)*ISNUMBER(INDEX(Inputs!$D$4:$AG$200,0,MATCH(G$2,Inputs!$D$2:$AG$2,0))))=0,"",SUMIFS(INDEX(Inputs!$D$4:$AG$200,0,MATCH(G$2,Inputs!$D$2:$AG$2,0)),Inputs!$B$4:$B$200,$B60)/1000)</f>
        <v>667.75772329</v>
      </c>
      <c r="H60" s="12">
        <f>IF(COUNT(D60:G60)=4,SUM(D60:G60),"")</f>
        <v>2439.93405957</v>
      </c>
      <c r="I60" s="11">
        <f>IF(SUMPRODUCT((Inputs!$B$4:$B$200=$B60)*ISNUMBER(INDEX(Inputs!$D$4:$AG$200,0,MATCH(I$2,Inputs!$D$2:$AG$2,0))))=0,"",SUMIFS(INDEX(Inputs!$D$4:$AG$200,0,MATCH(I$2,Inputs!$D$2:$AG$2,0)),Inputs!$B$4:$B$200,$B60)/1000)</f>
        <v>621.94151429</v>
      </c>
      <c r="J60" s="11">
        <f>IF(SUMPRODUCT((Inputs!$B$4:$B$200=$B60)*ISNUMBER(INDEX(Inputs!$D$4:$AG$200,0,MATCH(J$2,Inputs!$D$2:$AG$2,0))))=0,"",SUMIFS(INDEX(Inputs!$D$4:$AG$200,0,MATCH(J$2,Inputs!$D$2:$AG$2,0)),Inputs!$B$4:$B$200,$B60)/1000)</f>
        <v>835.69146071</v>
      </c>
      <c r="K60" s="11">
        <f>IF(SUMPRODUCT((Inputs!$B$4:$B$200=$B60)*ISNUMBER(INDEX(Inputs!$D$4:$AG$200,0,MATCH(K$2,Inputs!$D$2:$AG$2,0))))=0,"",SUMIFS(INDEX(Inputs!$D$4:$AG$200,0,MATCH(K$2,Inputs!$D$2:$AG$2,0)),Inputs!$B$4:$B$200,$B60)/1000)</f>
        <v>846.8549811</v>
      </c>
      <c r="L60" s="11">
        <f>IF(SUMPRODUCT((Inputs!$B$4:$B$200=$B60)*ISNUMBER(INDEX(Inputs!$D$4:$AG$200,0,MATCH(L$2,Inputs!$D$2:$AG$2,0))))=0,"",SUMIFS(INDEX(Inputs!$D$4:$AG$200,0,MATCH(L$2,Inputs!$D$2:$AG$2,0)),Inputs!$B$4:$B$200,$B60)/1000)</f>
        <v>694.36782004</v>
      </c>
      <c r="M60" s="12">
        <f>IF(COUNT(I60:L60)=4,SUM(I60:L60),"")</f>
        <v>2998.85577614</v>
      </c>
      <c r="N60" s="11">
        <f>IF(SUMPRODUCT((Inputs!$B$4:$B$200=$B60)*ISNUMBER(INDEX(Inputs!$D$4:$AG$200,0,MATCH(N$2,Inputs!$D$2:$AG$2,0))))=0,"",SUMIFS(INDEX(Inputs!$D$4:$AG$200,0,MATCH(N$2,Inputs!$D$2:$AG$2,0)),Inputs!$B$4:$B$200,$B60)/1000)</f>
        <v>803.35960702</v>
      </c>
      <c r="O60" s="11">
        <f>IF(SUMPRODUCT((Inputs!$B$4:$B$200=$B60)*ISNUMBER(INDEX(Inputs!$D$4:$AG$200,0,MATCH(O$2,Inputs!$D$2:$AG$2,0))))=0,"",SUMIFS(INDEX(Inputs!$D$4:$AG$200,0,MATCH(O$2,Inputs!$D$2:$AG$2,0)),Inputs!$B$4:$B$200,$B60)/1000)</f>
        <v>962.49165053</v>
      </c>
      <c r="P60" s="11">
        <f>IF(SUMPRODUCT((Inputs!$B$4:$B$200=$B60)*ISNUMBER(INDEX(Inputs!$D$4:$AG$200,0,MATCH(P$2,Inputs!$D$2:$AG$2,0))))=0,"",SUMIFS(INDEX(Inputs!$D$4:$AG$200,0,MATCH(P$2,Inputs!$D$2:$AG$2,0)),Inputs!$B$4:$B$200,$B60)/1000)</f>
        <v>1004.59672406</v>
      </c>
      <c r="Q60" s="11">
        <f>IF(SUMPRODUCT((Inputs!$B$4:$B$200=$B60)*ISNUMBER(INDEX(Inputs!$D$4:$AG$200,0,MATCH(Q$2,Inputs!$D$2:$AG$2,0))))=0,"",SUMIFS(INDEX(Inputs!$D$4:$AG$200,0,MATCH(Q$2,Inputs!$D$2:$AG$2,0)),Inputs!$B$4:$B$200,$B60)/1000)</f>
        <v>1220.63867293</v>
      </c>
      <c r="R60" s="12">
        <f>IF(COUNT(N60:Q60)=4,SUM(N60:Q60),"")</f>
        <v>3991.08665454</v>
      </c>
      <c r="S60" s="11">
        <f>IF(SUMPRODUCT((Inputs!$B$4:$B$200=$B60)*ISNUMBER(INDEX(Inputs!$D$4:$AG$200,0,MATCH(S$2,Inputs!$D$2:$AG$2,0))))=0,"",SUMIFS(INDEX(Inputs!$D$4:$AG$200,0,MATCH(S$2,Inputs!$D$2:$AG$2,0)),Inputs!$B$4:$B$200,$B60)/1000)</f>
        <v>1307.66887624</v>
      </c>
      <c r="T60" s="11">
        <f>IF(SUMPRODUCT((Inputs!$B$4:$B$200=$B60)*ISNUMBER(INDEX(Inputs!$D$4:$AG$200,0,MATCH(T$2,Inputs!$D$2:$AG$2,0))))=0,"",SUMIFS(INDEX(Inputs!$D$4:$AG$200,0,MATCH(T$2,Inputs!$D$2:$AG$2,0)),Inputs!$B$4:$B$200,$B60)/1000)</f>
        <v>1618.77166108</v>
      </c>
      <c r="U60" s="11">
        <f>IF(SUMPRODUCT((Inputs!$B$4:$B$200=$B60)*ISNUMBER(INDEX(Inputs!$D$4:$AG$200,0,MATCH(U$2,Inputs!$D$2:$AG$2,0))))=0,"",SUMIFS(INDEX(Inputs!$D$4:$AG$200,0,MATCH(U$2,Inputs!$D$2:$AG$2,0)),Inputs!$B$4:$B$200,$B60)/1000)</f>
        <v>1765.13724784</v>
      </c>
      <c r="V60" s="11">
        <f>IF(SUMPRODUCT((Inputs!$B$4:$B$200=$B60)*ISNUMBER(INDEX(Inputs!$D$4:$AG$200,0,MATCH(V$2,Inputs!$D$2:$AG$2,0))))=0,"",SUMIFS(INDEX(Inputs!$D$4:$AG$200,0,MATCH(V$2,Inputs!$D$2:$AG$2,0)),Inputs!$B$4:$B$200,$B60)/1000)</f>
        <v>1579.8929994</v>
      </c>
      <c r="W60" s="12">
        <f>IF(COUNT(S60:V60)=4,SUM(S60:V60),"")</f>
        <v>6271.47078456</v>
      </c>
      <c r="X60" s="11">
        <f>IF(SUMPRODUCT((Inputs!$B$4:$B$200=$B60)*ISNUMBER(INDEX(Inputs!$D$4:$AG$200,0,MATCH(X$2,Inputs!$D$2:$AG$2,0))))=0,"",SUMIFS(INDEX(Inputs!$D$4:$AG$200,0,MATCH(X$2,Inputs!$D$2:$AG$2,0)),Inputs!$B$4:$B$200,$B60)/1000)</f>
        <v>1326.50089124</v>
      </c>
      <c r="Y60" s="11">
        <f>IF(SUMPRODUCT((Inputs!$B$4:$B$200=$B60)*ISNUMBER(INDEX(Inputs!$D$4:$AG$200,0,MATCH(Y$2,Inputs!$D$2:$AG$2,0))))=0,"",SUMIFS(INDEX(Inputs!$D$4:$AG$200,0,MATCH(Y$2,Inputs!$D$2:$AG$2,0)),Inputs!$B$4:$B$200,$B60)/1000)</f>
        <v>1677.3125024</v>
      </c>
      <c r="Z60" s="11">
        <f>IF(SUMPRODUCT((Inputs!$B$4:$B$200=$B60)*ISNUMBER(INDEX(Inputs!$D$4:$AG$200,0,MATCH(Z$2,Inputs!$D$2:$AG$2,0))))=0,"",SUMIFS(INDEX(Inputs!$D$4:$AG$200,0,MATCH(Z$2,Inputs!$D$2:$AG$2,0)),Inputs!$B$4:$B$200,$B60)/1000)</f>
        <v>1641.80692455</v>
      </c>
      <c r="AA60" s="11">
        <f>IF(SUMPRODUCT((Inputs!$B$4:$B$200=$B60)*ISNUMBER(INDEX(Inputs!$D$4:$AG$200,0,MATCH(AA$2,Inputs!$D$2:$AG$2,0))))=0,"",SUMIFS(INDEX(Inputs!$D$4:$AG$200,0,MATCH(AA$2,Inputs!$D$2:$AG$2,0)),Inputs!$B$4:$B$200,$B60)/1000)</f>
        <v>1517.51337883</v>
      </c>
      <c r="AB60" s="12">
        <f>IF(COUNT(X60:AA60)=4,SUM(X60:AA60),"")</f>
        <v>6163.13369702</v>
      </c>
      <c r="AC60" s="11">
        <f>IF(SUMPRODUCT((Inputs!$B$4:$B$200=$B60)*ISNUMBER(INDEX(Inputs!$D$4:$AG$200,0,MATCH(AC$2,Inputs!$D$2:$AG$2,0))))=0,"",SUMIFS(INDEX(Inputs!$D$4:$AG$200,0,MATCH(AC$2,Inputs!$D$2:$AG$2,0)),Inputs!$B$4:$B$200,$B60)/1000)</f>
        <v>1581.96</v>
      </c>
      <c r="AD60" s="11">
        <f>IF(SUMPRODUCT((Inputs!$B$4:$B$200=$B60)*ISNUMBER(INDEX(Inputs!$D$4:$AG$200,0,MATCH(AD$2,Inputs!$D$2:$AG$2,0))))=0,"",SUMIFS(INDEX(Inputs!$D$4:$AG$200,0,MATCH(AD$2,Inputs!$D$2:$AG$2,0)),Inputs!$B$4:$B$200,$B60)/1000)</f>
        <v>1654.909</v>
      </c>
      <c r="AE60" s="11" t="str">
        <f>IF(SUMPRODUCT((Inputs!$B$4:$B$200=$B60)*ISNUMBER(INDEX(Inputs!$D$4:$AG$200,0,MATCH(AE$2,Inputs!$D$2:$AG$2,0))))=0,"",SUMIFS(INDEX(Inputs!$D$4:$AG$200,0,MATCH(AE$2,Inputs!$D$2:$AG$2,0)),Inputs!$B$4:$B$200,$B60)/1000)</f>
        <v/>
      </c>
      <c r="AF60" s="11" t="str">
        <f>IF(SUMPRODUCT((Inputs!$B$4:$B$200=$B60)*ISNUMBER(INDEX(Inputs!$D$4:$AG$200,0,MATCH(AF$2,Inputs!$D$2:$AG$2,0))))=0,"",SUMIFS(INDEX(Inputs!$D$4:$AG$200,0,MATCH(AF$2,Inputs!$D$2:$AG$2,0)),Inputs!$B$4:$B$200,$B60)/1000)</f>
        <v/>
      </c>
      <c r="AG60" s="12" t="str">
        <f>IF(COUNT(AC60:AF60)=4,SUM(AC60:AF60),"")</f>
        <v/>
      </c>
    </row>
    <row r="61">
      <c r="B61" s="9" t="n">
        <v>53</v>
      </c>
      <c r="C61" s="10" t="inlineStr">
        <is>
          <t>VGV contratado % Direcional (l.22)</t>
        </is>
      </c>
      <c r="D61" s="11">
        <f>IF(SUMPRODUCT((Inputs!$B$4:$B$200=$B61)*ISNUMBER(INDEX(Inputs!$D$4:$AG$200,0,MATCH(D$2,Inputs!$D$2:$AG$2,0))))=0,"",SUMIFS(INDEX(Inputs!$D$4:$AG$200,0,MATCH(D$2,Inputs!$D$2:$AG$2,0)),Inputs!$B$4:$B$200,$B61)/1000)</f>
        <v>438.944362522</v>
      </c>
      <c r="E61" s="11">
        <f>IF(SUMPRODUCT((Inputs!$B$4:$B$200=$B61)*ISNUMBER(INDEX(Inputs!$D$4:$AG$200,0,MATCH(E$2,Inputs!$D$2:$AG$2,0))))=0,"",SUMIFS(INDEX(Inputs!$D$4:$AG$200,0,MATCH(E$2,Inputs!$D$2:$AG$2,0)),Inputs!$B$4:$B$200,$B61)/1000)</f>
        <v>515.664985837</v>
      </c>
      <c r="F61" s="11">
        <f>IF(SUMPRODUCT((Inputs!$B$4:$B$200=$B61)*ISNUMBER(INDEX(Inputs!$D$4:$AG$200,0,MATCH(F$2,Inputs!$D$2:$AG$2,0))))=0,"",SUMIFS(INDEX(Inputs!$D$4:$AG$200,0,MATCH(F$2,Inputs!$D$2:$AG$2,0)),Inputs!$B$4:$B$200,$B61)/1000)</f>
        <v>525.001786572</v>
      </c>
      <c r="G61" s="11">
        <f>IF(SUMPRODUCT((Inputs!$B$4:$B$200=$B61)*ISNUMBER(INDEX(Inputs!$D$4:$AG$200,0,MATCH(G$2,Inputs!$D$2:$AG$2,0))))=0,"",SUMIFS(INDEX(Inputs!$D$4:$AG$200,0,MATCH(G$2,Inputs!$D$2:$AG$2,0)),Inputs!$B$4:$B$200,$B61)/1000)</f>
        <v>537.662337039</v>
      </c>
      <c r="H61" s="12">
        <f>IF(COUNT(D61:G61)=4,SUM(D61:G61),"")</f>
        <v>2017.27347197</v>
      </c>
      <c r="I61" s="11">
        <f>IF(SUMPRODUCT((Inputs!$B$4:$B$200=$B61)*ISNUMBER(INDEX(Inputs!$D$4:$AG$200,0,MATCH(I$2,Inputs!$D$2:$AG$2,0))))=0,"",SUMIFS(INDEX(Inputs!$D$4:$AG$200,0,MATCH(I$2,Inputs!$D$2:$AG$2,0)),Inputs!$B$4:$B$200,$B61)/1000)</f>
        <v>507.990549733</v>
      </c>
      <c r="J61" s="11">
        <f>IF(SUMPRODUCT((Inputs!$B$4:$B$200=$B61)*ISNUMBER(INDEX(Inputs!$D$4:$AG$200,0,MATCH(J$2,Inputs!$D$2:$AG$2,0))))=0,"",SUMIFS(INDEX(Inputs!$D$4:$AG$200,0,MATCH(J$2,Inputs!$D$2:$AG$2,0)),Inputs!$B$4:$B$200,$B61)/1000)</f>
        <v>674.214811965</v>
      </c>
      <c r="K61" s="11">
        <f>IF(SUMPRODUCT((Inputs!$B$4:$B$200=$B61)*ISNUMBER(INDEX(Inputs!$D$4:$AG$200,0,MATCH(K$2,Inputs!$D$2:$AG$2,0))))=0,"",SUMIFS(INDEX(Inputs!$D$4:$AG$200,0,MATCH(K$2,Inputs!$D$2:$AG$2,0)),Inputs!$B$4:$B$200,$B61)/1000)</f>
        <v>682.31356675</v>
      </c>
      <c r="L61" s="11">
        <f>IF(SUMPRODUCT((Inputs!$B$4:$B$200=$B61)*ISNUMBER(INDEX(Inputs!$D$4:$AG$200,0,MATCH(L$2,Inputs!$D$2:$AG$2,0))))=0,"",SUMIFS(INDEX(Inputs!$D$4:$AG$200,0,MATCH(L$2,Inputs!$D$2:$AG$2,0)),Inputs!$B$4:$B$200,$B61)/1000)</f>
        <v>551.492174402</v>
      </c>
      <c r="M61" s="12">
        <f>IF(COUNT(I61:L61)=4,SUM(I61:L61),"")</f>
        <v>2416.01110285</v>
      </c>
      <c r="N61" s="11">
        <f>IF(SUMPRODUCT((Inputs!$B$4:$B$200=$B61)*ISNUMBER(INDEX(Inputs!$D$4:$AG$200,0,MATCH(N$2,Inputs!$D$2:$AG$2,0))))=0,"",SUMIFS(INDEX(Inputs!$D$4:$AG$200,0,MATCH(N$2,Inputs!$D$2:$AG$2,0)),Inputs!$B$4:$B$200,$B61)/1000)</f>
        <v>642.88335642</v>
      </c>
      <c r="O61" s="11">
        <f>IF(SUMPRODUCT((Inputs!$B$4:$B$200=$B61)*ISNUMBER(INDEX(Inputs!$D$4:$AG$200,0,MATCH(O$2,Inputs!$D$2:$AG$2,0))))=0,"",SUMIFS(INDEX(Inputs!$D$4:$AG$200,0,MATCH(O$2,Inputs!$D$2:$AG$2,0)),Inputs!$B$4:$B$200,$B61)/1000)</f>
        <v>733.884741178</v>
      </c>
      <c r="P61" s="11">
        <f>IF(SUMPRODUCT((Inputs!$B$4:$B$200=$B61)*ISNUMBER(INDEX(Inputs!$D$4:$AG$200,0,MATCH(P$2,Inputs!$D$2:$AG$2,0))))=0,"",SUMIFS(INDEX(Inputs!$D$4:$AG$200,0,MATCH(P$2,Inputs!$D$2:$AG$2,0)),Inputs!$B$4:$B$200,$B61)/1000)</f>
        <v>751.415722451</v>
      </c>
      <c r="Q61" s="11">
        <f>IF(SUMPRODUCT((Inputs!$B$4:$B$200=$B61)*ISNUMBER(INDEX(Inputs!$D$4:$AG$200,0,MATCH(Q$2,Inputs!$D$2:$AG$2,0))))=0,"",SUMIFS(INDEX(Inputs!$D$4:$AG$200,0,MATCH(Q$2,Inputs!$D$2:$AG$2,0)),Inputs!$B$4:$B$200,$B61)/1000)</f>
        <v>994.436039633</v>
      </c>
      <c r="R61" s="12">
        <f>IF(COUNT(N61:Q61)=4,SUM(N61:Q61),"")</f>
        <v>3122.619859682</v>
      </c>
      <c r="S61" s="11">
        <f>IF(SUMPRODUCT((Inputs!$B$4:$B$200=$B61)*ISNUMBER(INDEX(Inputs!$D$4:$AG$200,0,MATCH(S$2,Inputs!$D$2:$AG$2,0))))=0,"",SUMIFS(INDEX(Inputs!$D$4:$AG$200,0,MATCH(S$2,Inputs!$D$2:$AG$2,0)),Inputs!$B$4:$B$200,$B61)/1000)</f>
        <v>1004.200856644</v>
      </c>
      <c r="T61" s="11">
        <f>IF(SUMPRODUCT((Inputs!$B$4:$B$200=$B61)*ISNUMBER(INDEX(Inputs!$D$4:$AG$200,0,MATCH(T$2,Inputs!$D$2:$AG$2,0))))=0,"",SUMIFS(INDEX(Inputs!$D$4:$AG$200,0,MATCH(T$2,Inputs!$D$2:$AG$2,0)),Inputs!$B$4:$B$200,$B61)/1000)</f>
        <v>1260.095633997</v>
      </c>
      <c r="U61" s="11">
        <f>IF(SUMPRODUCT((Inputs!$B$4:$B$200=$B61)*ISNUMBER(INDEX(Inputs!$D$4:$AG$200,0,MATCH(U$2,Inputs!$D$2:$AG$2,0))))=0,"",SUMIFS(INDEX(Inputs!$D$4:$AG$200,0,MATCH(U$2,Inputs!$D$2:$AG$2,0)),Inputs!$B$4:$B$200,$B61)/1000)</f>
        <v>1373.024765702</v>
      </c>
      <c r="V61" s="11">
        <f>IF(SUMPRODUCT((Inputs!$B$4:$B$200=$B61)*ISNUMBER(INDEX(Inputs!$D$4:$AG$200,0,MATCH(V$2,Inputs!$D$2:$AG$2,0))))=0,"",SUMIFS(INDEX(Inputs!$D$4:$AG$200,0,MATCH(V$2,Inputs!$D$2:$AG$2,0)),Inputs!$B$4:$B$200,$B61)/1000)</f>
        <v>1242.920081275</v>
      </c>
      <c r="W61" s="12">
        <f>IF(COUNT(S61:V61)=4,SUM(S61:V61),"")</f>
        <v>4880.241337618</v>
      </c>
      <c r="X61" s="11">
        <f>IF(SUMPRODUCT((Inputs!$B$4:$B$200=$B61)*ISNUMBER(INDEX(Inputs!$D$4:$AG$200,0,MATCH(X$2,Inputs!$D$2:$AG$2,0))))=0,"",SUMIFS(INDEX(Inputs!$D$4:$AG$200,0,MATCH(X$2,Inputs!$D$2:$AG$2,0)),Inputs!$B$4:$B$200,$B61)/1000)</f>
        <v>1099.774665268</v>
      </c>
      <c r="Y61" s="11">
        <f>IF(SUMPRODUCT((Inputs!$B$4:$B$200=$B61)*ISNUMBER(INDEX(Inputs!$D$4:$AG$200,0,MATCH(Y$2,Inputs!$D$2:$AG$2,0))))=0,"",SUMIFS(INDEX(Inputs!$D$4:$AG$200,0,MATCH(Y$2,Inputs!$D$2:$AG$2,0)),Inputs!$B$4:$B$200,$B61)/1000)</f>
        <v>1296.39962358</v>
      </c>
      <c r="Z61" s="11">
        <f>IF(SUMPRODUCT((Inputs!$B$4:$B$200=$B61)*ISNUMBER(INDEX(Inputs!$D$4:$AG$200,0,MATCH(Z$2,Inputs!$D$2:$AG$2,0))))=0,"",SUMIFS(INDEX(Inputs!$D$4:$AG$200,0,MATCH(Z$2,Inputs!$D$2:$AG$2,0)),Inputs!$B$4:$B$200,$B61)/1000)</f>
        <v>1435.255241371</v>
      </c>
      <c r="AA61" s="11">
        <f>IF(SUMPRODUCT((Inputs!$B$4:$B$200=$B61)*ISNUMBER(INDEX(Inputs!$D$4:$AG$200,0,MATCH(AA$2,Inputs!$D$2:$AG$2,0))))=0,"",SUMIFS(INDEX(Inputs!$D$4:$AG$200,0,MATCH(AA$2,Inputs!$D$2:$AG$2,0)),Inputs!$B$4:$B$200,$B61)/1000)</f>
        <v>1305.147508199</v>
      </c>
      <c r="AB61" s="12">
        <f>IF(COUNT(X61:AA61)=4,SUM(X61:AA61),"")</f>
        <v>5136.577038418</v>
      </c>
      <c r="AC61" s="11">
        <f>IF(SUMPRODUCT((Inputs!$B$4:$B$200=$B61)*ISNUMBER(INDEX(Inputs!$D$4:$AG$200,0,MATCH(AC$2,Inputs!$D$2:$AG$2,0))))=0,"",SUMIFS(INDEX(Inputs!$D$4:$AG$200,0,MATCH(AC$2,Inputs!$D$2:$AG$2,0)),Inputs!$B$4:$B$200,$B61)/1000)</f>
        <v>1351.956</v>
      </c>
      <c r="AD61" s="11">
        <f>IF(SUMPRODUCT((Inputs!$B$4:$B$200=$B61)*ISNUMBER(INDEX(Inputs!$D$4:$AG$200,0,MATCH(AD$2,Inputs!$D$2:$AG$2,0))))=0,"",SUMIFS(INDEX(Inputs!$D$4:$AG$200,0,MATCH(AD$2,Inputs!$D$2:$AG$2,0)),Inputs!$B$4:$B$200,$B61)/1000)</f>
        <v>1371.609</v>
      </c>
      <c r="AE61" s="11" t="str">
        <f>IF(SUMPRODUCT((Inputs!$B$4:$B$200=$B61)*ISNUMBER(INDEX(Inputs!$D$4:$AG$200,0,MATCH(AE$2,Inputs!$D$2:$AG$2,0))))=0,"",SUMIFS(INDEX(Inputs!$D$4:$AG$200,0,MATCH(AE$2,Inputs!$D$2:$AG$2,0)),Inputs!$B$4:$B$200,$B61)/1000)</f>
        <v/>
      </c>
      <c r="AF61" s="11" t="str">
        <f>IF(SUMPRODUCT((Inputs!$B$4:$B$200=$B61)*ISNUMBER(INDEX(Inputs!$D$4:$AG$200,0,MATCH(AF$2,Inputs!$D$2:$AG$2,0))))=0,"",SUMIFS(INDEX(Inputs!$D$4:$AG$200,0,MATCH(AF$2,Inputs!$D$2:$AG$2,0)),Inputs!$B$4:$B$200,$B61)/1000)</f>
        <v/>
      </c>
      <c r="AG61" s="12" t="str">
        <f>IF(COUNT(AC61:AF61)=4,SUM(AC61:AF61),"")</f>
        <v/>
      </c>
    </row>
    <row r="62">
      <c r="B62" s="9" t="n">
        <v>54</v>
      </c>
      <c r="C62" s="10" t="inlineStr">
        <is>
          <t>Unidades contratadas (l.25)</t>
        </is>
      </c>
      <c r="D62" s="11">
        <f>IF(SUMPRODUCT((Inputs!$B$4:$B$200=$B62)*ISNUMBER(INDEX(Inputs!$D$4:$AG$200,0,MATCH(D$2,Inputs!$D$2:$AG$2,0))))=0,"",SUMIFS(INDEX(Inputs!$D$4:$AG$200,0,MATCH(D$2,Inputs!$D$2:$AG$2,0)),Inputs!$B$4:$B$200,$B62)/1000)</f>
        <v>2702</v>
      </c>
      <c r="E62" s="11">
        <f>IF(SUMPRODUCT((Inputs!$B$4:$B$200=$B62)*ISNUMBER(INDEX(Inputs!$D$4:$AG$200,0,MATCH(E$2,Inputs!$D$2:$AG$2,0))))=0,"",SUMIFS(INDEX(Inputs!$D$4:$AG$200,0,MATCH(E$2,Inputs!$D$2:$AG$2,0)),Inputs!$B$4:$B$200,$B62)/1000)</f>
        <v>3168</v>
      </c>
      <c r="F62" s="11">
        <f>IF(SUMPRODUCT((Inputs!$B$4:$B$200=$B62)*ISNUMBER(INDEX(Inputs!$D$4:$AG$200,0,MATCH(F$2,Inputs!$D$2:$AG$2,0))))=0,"",SUMIFS(INDEX(Inputs!$D$4:$AG$200,0,MATCH(F$2,Inputs!$D$2:$AG$2,0)),Inputs!$B$4:$B$200,$B62)/1000)</f>
        <v>3211</v>
      </c>
      <c r="G62" s="11">
        <f>IF(SUMPRODUCT((Inputs!$B$4:$B$200=$B62)*ISNUMBER(INDEX(Inputs!$D$4:$AG$200,0,MATCH(G$2,Inputs!$D$2:$AG$2,0))))=0,"",SUMIFS(INDEX(Inputs!$D$4:$AG$200,0,MATCH(G$2,Inputs!$D$2:$AG$2,0)),Inputs!$B$4:$B$200,$B62)/1000)</f>
        <v>3146</v>
      </c>
      <c r="H62" s="12">
        <f>IF(COUNT(D62:G62)=4,SUM(D62:G62),"")</f>
        <v>12227</v>
      </c>
      <c r="I62" s="11">
        <f>IF(SUMPRODUCT((Inputs!$B$4:$B$200=$B62)*ISNUMBER(INDEX(Inputs!$D$4:$AG$200,0,MATCH(I$2,Inputs!$D$2:$AG$2,0))))=0,"",SUMIFS(INDEX(Inputs!$D$4:$AG$200,0,MATCH(I$2,Inputs!$D$2:$AG$2,0)),Inputs!$B$4:$B$200,$B62)/1000)</f>
        <v>2945</v>
      </c>
      <c r="J62" s="11">
        <f>IF(SUMPRODUCT((Inputs!$B$4:$B$200=$B62)*ISNUMBER(INDEX(Inputs!$D$4:$AG$200,0,MATCH(J$2,Inputs!$D$2:$AG$2,0))))=0,"",SUMIFS(INDEX(Inputs!$D$4:$AG$200,0,MATCH(J$2,Inputs!$D$2:$AG$2,0)),Inputs!$B$4:$B$200,$B62)/1000)</f>
        <v>3920</v>
      </c>
      <c r="K62" s="11">
        <f>IF(SUMPRODUCT((Inputs!$B$4:$B$200=$B62)*ISNUMBER(INDEX(Inputs!$D$4:$AG$200,0,MATCH(K$2,Inputs!$D$2:$AG$2,0))))=0,"",SUMIFS(INDEX(Inputs!$D$4:$AG$200,0,MATCH(K$2,Inputs!$D$2:$AG$2,0)),Inputs!$B$4:$B$200,$B62)/1000)</f>
        <v>3403</v>
      </c>
      <c r="L62" s="11">
        <f>IF(SUMPRODUCT((Inputs!$B$4:$B$200=$B62)*ISNUMBER(INDEX(Inputs!$D$4:$AG$200,0,MATCH(L$2,Inputs!$D$2:$AG$2,0))))=0,"",SUMIFS(INDEX(Inputs!$D$4:$AG$200,0,MATCH(L$2,Inputs!$D$2:$AG$2,0)),Inputs!$B$4:$B$200,$B62)/1000)</f>
        <v>2899</v>
      </c>
      <c r="M62" s="12">
        <f>IF(COUNT(I62:L62)=4,SUM(I62:L62),"")</f>
        <v>13167</v>
      </c>
      <c r="N62" s="11">
        <f>IF(SUMPRODUCT((Inputs!$B$4:$B$200=$B62)*ISNUMBER(INDEX(Inputs!$D$4:$AG$200,0,MATCH(N$2,Inputs!$D$2:$AG$2,0))))=0,"",SUMIFS(INDEX(Inputs!$D$4:$AG$200,0,MATCH(N$2,Inputs!$D$2:$AG$2,0)),Inputs!$B$4:$B$200,$B62)/1000)</f>
        <v>3246</v>
      </c>
      <c r="O62" s="11">
        <f>IF(SUMPRODUCT((Inputs!$B$4:$B$200=$B62)*ISNUMBER(INDEX(Inputs!$D$4:$AG$200,0,MATCH(O$2,Inputs!$D$2:$AG$2,0))))=0,"",SUMIFS(INDEX(Inputs!$D$4:$AG$200,0,MATCH(O$2,Inputs!$D$2:$AG$2,0)),Inputs!$B$4:$B$200,$B62)/1000)</f>
        <v>3575</v>
      </c>
      <c r="P62" s="11">
        <f>IF(SUMPRODUCT((Inputs!$B$4:$B$200=$B62)*ISNUMBER(INDEX(Inputs!$D$4:$AG$200,0,MATCH(P$2,Inputs!$D$2:$AG$2,0))))=0,"",SUMIFS(INDEX(Inputs!$D$4:$AG$200,0,MATCH(P$2,Inputs!$D$2:$AG$2,0)),Inputs!$B$4:$B$200,$B62)/1000)</f>
        <v>3458</v>
      </c>
      <c r="Q62" s="11">
        <f>IF(SUMPRODUCT((Inputs!$B$4:$B$200=$B62)*ISNUMBER(INDEX(Inputs!$D$4:$AG$200,0,MATCH(Q$2,Inputs!$D$2:$AG$2,0))))=0,"",SUMIFS(INDEX(Inputs!$D$4:$AG$200,0,MATCH(Q$2,Inputs!$D$2:$AG$2,0)),Inputs!$B$4:$B$200,$B62)/1000)</f>
        <v>4506</v>
      </c>
      <c r="R62" s="12">
        <f>IF(COUNT(N62:Q62)=4,SUM(N62:Q62),"")</f>
        <v>14785</v>
      </c>
      <c r="S62" s="11">
        <f>IF(SUMPRODUCT((Inputs!$B$4:$B$200=$B62)*ISNUMBER(INDEX(Inputs!$D$4:$AG$200,0,MATCH(S$2,Inputs!$D$2:$AG$2,0))))=0,"",SUMIFS(INDEX(Inputs!$D$4:$AG$200,0,MATCH(S$2,Inputs!$D$2:$AG$2,0)),Inputs!$B$4:$B$200,$B62)/1000)</f>
        <v>4227</v>
      </c>
      <c r="T62" s="11">
        <f>IF(SUMPRODUCT((Inputs!$B$4:$B$200=$B62)*ISNUMBER(INDEX(Inputs!$D$4:$AG$200,0,MATCH(T$2,Inputs!$D$2:$AG$2,0))))=0,"",SUMIFS(INDEX(Inputs!$D$4:$AG$200,0,MATCH(T$2,Inputs!$D$2:$AG$2,0)),Inputs!$B$4:$B$200,$B62)/1000)</f>
        <v>5354</v>
      </c>
      <c r="U62" s="11">
        <f>IF(SUMPRODUCT((Inputs!$B$4:$B$200=$B62)*ISNUMBER(INDEX(Inputs!$D$4:$AG$200,0,MATCH(U$2,Inputs!$D$2:$AG$2,0))))=0,"",SUMIFS(INDEX(Inputs!$D$4:$AG$200,0,MATCH(U$2,Inputs!$D$2:$AG$2,0)),Inputs!$B$4:$B$200,$B62)/1000)</f>
        <v>6293</v>
      </c>
      <c r="V62" s="11">
        <f>IF(SUMPRODUCT((Inputs!$B$4:$B$200=$B62)*ISNUMBER(INDEX(Inputs!$D$4:$AG$200,0,MATCH(V$2,Inputs!$D$2:$AG$2,0))))=0,"",SUMIFS(INDEX(Inputs!$D$4:$AG$200,0,MATCH(V$2,Inputs!$D$2:$AG$2,0)),Inputs!$B$4:$B$200,$B62)/1000)</f>
        <v>5186</v>
      </c>
      <c r="W62" s="12">
        <f>IF(COUNT(S62:V62)=4,SUM(S62:V62),"")</f>
        <v>21060</v>
      </c>
      <c r="X62" s="11">
        <f>IF(SUMPRODUCT((Inputs!$B$4:$B$200=$B62)*ISNUMBER(INDEX(Inputs!$D$4:$AG$200,0,MATCH(X$2,Inputs!$D$2:$AG$2,0))))=0,"",SUMIFS(INDEX(Inputs!$D$4:$AG$200,0,MATCH(X$2,Inputs!$D$2:$AG$2,0)),Inputs!$B$4:$B$200,$B62)/1000)</f>
        <v>4330</v>
      </c>
      <c r="Y62" s="11">
        <f>IF(SUMPRODUCT((Inputs!$B$4:$B$200=$B62)*ISNUMBER(INDEX(Inputs!$D$4:$AG$200,0,MATCH(Y$2,Inputs!$D$2:$AG$2,0))))=0,"",SUMIFS(INDEX(Inputs!$D$4:$AG$200,0,MATCH(Y$2,Inputs!$D$2:$AG$2,0)),Inputs!$B$4:$B$200,$B62)/1000)</f>
        <v>5176</v>
      </c>
      <c r="Z62" s="11">
        <f>IF(SUMPRODUCT((Inputs!$B$4:$B$200=$B62)*ISNUMBER(INDEX(Inputs!$D$4:$AG$200,0,MATCH(Z$2,Inputs!$D$2:$AG$2,0))))=0,"",SUMIFS(INDEX(Inputs!$D$4:$AG$200,0,MATCH(Z$2,Inputs!$D$2:$AG$2,0)),Inputs!$B$4:$B$200,$B62)/1000)</f>
        <v>4857</v>
      </c>
      <c r="AA62" s="11">
        <f>IF(SUMPRODUCT((Inputs!$B$4:$B$200=$B62)*ISNUMBER(INDEX(Inputs!$D$4:$AG$200,0,MATCH(AA$2,Inputs!$D$2:$AG$2,0))))=0,"",SUMIFS(INDEX(Inputs!$D$4:$AG$200,0,MATCH(AA$2,Inputs!$D$2:$AG$2,0)),Inputs!$B$4:$B$200,$B62)/1000)</f>
        <v>4227</v>
      </c>
      <c r="AB62" s="12">
        <f>IF(COUNT(X62:AA62)=4,SUM(X62:AA62),"")</f>
        <v>18590</v>
      </c>
      <c r="AC62" s="11">
        <f>IF(SUMPRODUCT((Inputs!$B$4:$B$200=$B62)*ISNUMBER(INDEX(Inputs!$D$4:$AG$200,0,MATCH(AC$2,Inputs!$D$2:$AG$2,0))))=0,"",SUMIFS(INDEX(Inputs!$D$4:$AG$200,0,MATCH(AC$2,Inputs!$D$2:$AG$2,0)),Inputs!$B$4:$B$200,$B62)/1000)</f>
        <v>4848</v>
      </c>
      <c r="AD62" s="11">
        <f>IF(SUMPRODUCT((Inputs!$B$4:$B$200=$B62)*ISNUMBER(INDEX(Inputs!$D$4:$AG$200,0,MATCH(AD$2,Inputs!$D$2:$AG$2,0))))=0,"",SUMIFS(INDEX(Inputs!$D$4:$AG$200,0,MATCH(AD$2,Inputs!$D$2:$AG$2,0)),Inputs!$B$4:$B$200,$B62)/1000)</f>
        <v>4955</v>
      </c>
      <c r="AE62" s="11" t="str">
        <f>IF(SUMPRODUCT((Inputs!$B$4:$B$200=$B62)*ISNUMBER(INDEX(Inputs!$D$4:$AG$200,0,MATCH(AE$2,Inputs!$D$2:$AG$2,0))))=0,"",SUMIFS(INDEX(Inputs!$D$4:$AG$200,0,MATCH(AE$2,Inputs!$D$2:$AG$2,0)),Inputs!$B$4:$B$200,$B62)/1000)</f>
        <v/>
      </c>
      <c r="AF62" s="11" t="str">
        <f>IF(SUMPRODUCT((Inputs!$B$4:$B$200=$B62)*ISNUMBER(INDEX(Inputs!$D$4:$AG$200,0,MATCH(AF$2,Inputs!$D$2:$AG$2,0))))=0,"",SUMIFS(INDEX(Inputs!$D$4:$AG$200,0,MATCH(AF$2,Inputs!$D$2:$AG$2,0)),Inputs!$B$4:$B$200,$B62)/1000)</f>
        <v/>
      </c>
      <c r="AG62" s="12" t="str">
        <f>IF(COUNT(AC62:AF62)=4,SUM(AC62:AF62),"")</f>
        <v/>
      </c>
    </row>
    <row r="63">
      <c r="B63" s="9" t="n">
        <v>55</v>
      </c>
      <c r="C63" s="10" t="inlineStr">
        <is>
          <t>Preco medio contratado (R$/unidade; l.28)</t>
        </is>
      </c>
      <c r="D63" s="11">
        <f>IF(SUMPRODUCT((Inputs!$B$4:$B$200=$B63)*ISNUMBER(INDEX(Inputs!$D$4:$AG$200,0,MATCH(D$2,Inputs!$D$2:$AG$2,0))))=0,"",SUMIFS(INDEX(Inputs!$D$4:$AG$200,0,MATCH(D$2,Inputs!$D$2:$AG$2,0)),Inputs!$B$4:$B$200,$B63)/1000)</f>
        <v>190586.340936344</v>
      </c>
      <c r="E63" s="11">
        <f>IF(SUMPRODUCT((Inputs!$B$4:$B$200=$B63)*ISNUMBER(INDEX(Inputs!$D$4:$AG$200,0,MATCH(E$2,Inputs!$D$2:$AG$2,0))))=0,"",SUMIFS(INDEX(Inputs!$D$4:$AG$200,0,MATCH(E$2,Inputs!$D$2:$AG$2,0)),Inputs!$B$4:$B$200,$B63)/1000)</f>
        <v>193969.67415404</v>
      </c>
      <c r="F63" s="11">
        <f>IF(SUMPRODUCT((Inputs!$B$4:$B$200=$B63)*ISNUMBER(INDEX(Inputs!$D$4:$AG$200,0,MATCH(F$2,Inputs!$D$2:$AG$2,0))))=0,"",SUMIFS(INDEX(Inputs!$D$4:$AG$200,0,MATCH(F$2,Inputs!$D$2:$AG$2,0)),Inputs!$B$4:$B$200,$B63)/1000)</f>
        <v>200160.733525382</v>
      </c>
      <c r="G63" s="11">
        <f>IF(SUMPRODUCT((Inputs!$B$4:$B$200=$B63)*ISNUMBER(INDEX(Inputs!$D$4:$AG$200,0,MATCH(G$2,Inputs!$D$2:$AG$2,0))))=0,"",SUMIFS(INDEX(Inputs!$D$4:$AG$200,0,MATCH(G$2,Inputs!$D$2:$AG$2,0)),Inputs!$B$4:$B$200,$B63)/1000)</f>
        <v>212256.110390972</v>
      </c>
      <c r="H63" s="12">
        <f>IF(COUNT(D63:G63)=4,SUM(D63:G63),"")</f>
        <v>796972.859006738</v>
      </c>
      <c r="I63" s="11">
        <f>IF(SUMPRODUCT((Inputs!$B$4:$B$200=$B63)*ISNUMBER(INDEX(Inputs!$D$4:$AG$200,0,MATCH(I$2,Inputs!$D$2:$AG$2,0))))=0,"",SUMIFS(INDEX(Inputs!$D$4:$AG$200,0,MATCH(I$2,Inputs!$D$2:$AG$2,0)),Inputs!$B$4:$B$200,$B63)/1000)</f>
        <v>211185.573612902</v>
      </c>
      <c r="J63" s="11">
        <f>IF(SUMPRODUCT((Inputs!$B$4:$B$200=$B63)*ISNUMBER(INDEX(Inputs!$D$4:$AG$200,0,MATCH(J$2,Inputs!$D$2:$AG$2,0))))=0,"",SUMIFS(INDEX(Inputs!$D$4:$AG$200,0,MATCH(J$2,Inputs!$D$2:$AG$2,0)),Inputs!$B$4:$B$200,$B63)/1000)</f>
        <v>213186.597119898</v>
      </c>
      <c r="K63" s="11">
        <f>IF(SUMPRODUCT((Inputs!$B$4:$B$200=$B63)*ISNUMBER(INDEX(Inputs!$D$4:$AG$200,0,MATCH(K$2,Inputs!$D$2:$AG$2,0))))=0,"",SUMIFS(INDEX(Inputs!$D$4:$AG$200,0,MATCH(K$2,Inputs!$D$2:$AG$2,0)),Inputs!$B$4:$B$200,$B63)/1000)</f>
        <v>248855.416132824</v>
      </c>
      <c r="L63" s="11">
        <f>IF(SUMPRODUCT((Inputs!$B$4:$B$200=$B63)*ISNUMBER(INDEX(Inputs!$D$4:$AG$200,0,MATCH(L$2,Inputs!$D$2:$AG$2,0))))=0,"",SUMIFS(INDEX(Inputs!$D$4:$AG$200,0,MATCH(L$2,Inputs!$D$2:$AG$2,0)),Inputs!$B$4:$B$200,$B63)/1000)</f>
        <v>239519.772349086</v>
      </c>
      <c r="M63" s="12">
        <f>IF(COUNT(I63:L63)=4,SUM(I63:L63),"")</f>
        <v>912747.35921471</v>
      </c>
      <c r="N63" s="11">
        <f>IF(SUMPRODUCT((Inputs!$B$4:$B$200=$B63)*ISNUMBER(INDEX(Inputs!$D$4:$AG$200,0,MATCH(N$2,Inputs!$D$2:$AG$2,0))))=0,"",SUMIFS(INDEX(Inputs!$D$4:$AG$200,0,MATCH(N$2,Inputs!$D$2:$AG$2,0)),Inputs!$B$4:$B$200,$B63)/1000)</f>
        <v>247492.177147258</v>
      </c>
      <c r="O63" s="11">
        <f>IF(SUMPRODUCT((Inputs!$B$4:$B$200=$B63)*ISNUMBER(INDEX(Inputs!$D$4:$AG$200,0,MATCH(O$2,Inputs!$D$2:$AG$2,0))))=0,"",SUMIFS(INDEX(Inputs!$D$4:$AG$200,0,MATCH(O$2,Inputs!$D$2:$AG$2,0)),Inputs!$B$4:$B$200,$B63)/1000)</f>
        <v>269228.433714686</v>
      </c>
      <c r="P63" s="11">
        <f>IF(SUMPRODUCT((Inputs!$B$4:$B$200=$B63)*ISNUMBER(INDEX(Inputs!$D$4:$AG$200,0,MATCH(P$2,Inputs!$D$2:$AG$2,0))))=0,"",SUMIFS(INDEX(Inputs!$D$4:$AG$200,0,MATCH(P$2,Inputs!$D$2:$AG$2,0)),Inputs!$B$4:$B$200,$B63)/1000)</f>
        <v>290513.801058415</v>
      </c>
      <c r="Q63" s="11">
        <f>IF(SUMPRODUCT((Inputs!$B$4:$B$200=$B63)*ISNUMBER(INDEX(Inputs!$D$4:$AG$200,0,MATCH(Q$2,Inputs!$D$2:$AG$2,0))))=0,"",SUMIFS(INDEX(Inputs!$D$4:$AG$200,0,MATCH(Q$2,Inputs!$D$2:$AG$2,0)),Inputs!$B$4:$B$200,$B63)/1000)</f>
        <v>270891.849296494</v>
      </c>
      <c r="R63" s="12">
        <f>IF(COUNT(N63:Q63)=4,SUM(N63:Q63),"")</f>
        <v>1078126.26121685</v>
      </c>
      <c r="S63" s="11">
        <f>IF(SUMPRODUCT((Inputs!$B$4:$B$200=$B63)*ISNUMBER(INDEX(Inputs!$D$4:$AG$200,0,MATCH(S$2,Inputs!$D$2:$AG$2,0))))=0,"",SUMIFS(INDEX(Inputs!$D$4:$AG$200,0,MATCH(S$2,Inputs!$D$2:$AG$2,0)),Inputs!$B$4:$B$200,$B63)/1000)</f>
        <v>309360.983259995</v>
      </c>
      <c r="T63" s="11">
        <f>IF(SUMPRODUCT((Inputs!$B$4:$B$200=$B63)*ISNUMBER(INDEX(Inputs!$D$4:$AG$200,0,MATCH(T$2,Inputs!$D$2:$AG$2,0))))=0,"",SUMIFS(INDEX(Inputs!$D$4:$AG$200,0,MATCH(T$2,Inputs!$D$2:$AG$2,0)),Inputs!$B$4:$B$200,$B63)/1000)</f>
        <v>302348.087612999</v>
      </c>
      <c r="U63" s="11">
        <f>IF(SUMPRODUCT((Inputs!$B$4:$B$200=$B63)*ISNUMBER(INDEX(Inputs!$D$4:$AG$200,0,MATCH(U$2,Inputs!$D$2:$AG$2,0))))=0,"",SUMIFS(INDEX(Inputs!$D$4:$AG$200,0,MATCH(U$2,Inputs!$D$2:$AG$2,0)),Inputs!$B$4:$B$200,$B63)/1000)</f>
        <v>280492.173500715</v>
      </c>
      <c r="V63" s="11">
        <f>IF(SUMPRODUCT((Inputs!$B$4:$B$200=$B63)*ISNUMBER(INDEX(Inputs!$D$4:$AG$200,0,MATCH(V$2,Inputs!$D$2:$AG$2,0))))=0,"",SUMIFS(INDEX(Inputs!$D$4:$AG$200,0,MATCH(V$2,Inputs!$D$2:$AG$2,0)),Inputs!$B$4:$B$200,$B63)/1000)</f>
        <v>304645.776976475</v>
      </c>
      <c r="W63" s="12">
        <f>IF(COUNT(S63:V63)=4,SUM(S63:V63),"")</f>
        <v>1196847.02135018</v>
      </c>
      <c r="X63" s="11">
        <f>IF(SUMPRODUCT((Inputs!$B$4:$B$200=$B63)*ISNUMBER(INDEX(Inputs!$D$4:$AG$200,0,MATCH(X$2,Inputs!$D$2:$AG$2,0))))=0,"",SUMIFS(INDEX(Inputs!$D$4:$AG$200,0,MATCH(X$2,Inputs!$D$2:$AG$2,0)),Inputs!$B$4:$B$200,$B63)/1000)</f>
        <v>306351.245090069</v>
      </c>
      <c r="Y63" s="11">
        <f>IF(SUMPRODUCT((Inputs!$B$4:$B$200=$B63)*ISNUMBER(INDEX(Inputs!$D$4:$AG$200,0,MATCH(Y$2,Inputs!$D$2:$AG$2,0))))=0,"",SUMIFS(INDEX(Inputs!$D$4:$AG$200,0,MATCH(Y$2,Inputs!$D$2:$AG$2,0)),Inputs!$B$4:$B$200,$B63)/1000)</f>
        <v>324055.738485317</v>
      </c>
      <c r="Z63" s="11">
        <f>IF(SUMPRODUCT((Inputs!$B$4:$B$200=$B63)*ISNUMBER(INDEX(Inputs!$D$4:$AG$200,0,MATCH(Z$2,Inputs!$D$2:$AG$2,0))))=0,"",SUMIFS(INDEX(Inputs!$D$4:$AG$200,0,MATCH(Z$2,Inputs!$D$2:$AG$2,0)),Inputs!$B$4:$B$200,$B63)/1000)</f>
        <v>338029.014731316</v>
      </c>
      <c r="AA63" s="11">
        <f>IF(SUMPRODUCT((Inputs!$B$4:$B$200=$B63)*ISNUMBER(INDEX(Inputs!$D$4:$AG$200,0,MATCH(AA$2,Inputs!$D$2:$AG$2,0))))=0,"",SUMIFS(INDEX(Inputs!$D$4:$AG$200,0,MATCH(AA$2,Inputs!$D$2:$AG$2,0)),Inputs!$B$4:$B$200,$B63)/1000)</f>
        <v>359004.821109535</v>
      </c>
      <c r="AB63" s="12">
        <f>IF(COUNT(X63:AA63)=4,SUM(X63:AA63),"")</f>
        <v>1327440.81941624</v>
      </c>
      <c r="AC63" s="11">
        <f>IF(SUMPRODUCT((Inputs!$B$4:$B$200=$B63)*ISNUMBER(INDEX(Inputs!$D$4:$AG$200,0,MATCH(AC$2,Inputs!$D$2:$AG$2,0))))=0,"",SUMIFS(INDEX(Inputs!$D$4:$AG$200,0,MATCH(AC$2,Inputs!$D$2:$AG$2,0)),Inputs!$B$4:$B$200,$B63)/1000)</f>
        <v>326311.9</v>
      </c>
      <c r="AD63" s="11">
        <f>IF(SUMPRODUCT((Inputs!$B$4:$B$200=$B63)*ISNUMBER(INDEX(Inputs!$D$4:$AG$200,0,MATCH(AD$2,Inputs!$D$2:$AG$2,0))))=0,"",SUMIFS(INDEX(Inputs!$D$4:$AG$200,0,MATCH(AD$2,Inputs!$D$2:$AG$2,0)),Inputs!$B$4:$B$200,$B63)/1000)</f>
        <v>333987.7</v>
      </c>
      <c r="AE63" s="11" t="str">
        <f>IF(SUMPRODUCT((Inputs!$B$4:$B$200=$B63)*ISNUMBER(INDEX(Inputs!$D$4:$AG$200,0,MATCH(AE$2,Inputs!$D$2:$AG$2,0))))=0,"",SUMIFS(INDEX(Inputs!$D$4:$AG$200,0,MATCH(AE$2,Inputs!$D$2:$AG$2,0)),Inputs!$B$4:$B$200,$B63)/1000)</f>
        <v/>
      </c>
      <c r="AF63" s="11" t="str">
        <f>IF(SUMPRODUCT((Inputs!$B$4:$B$200=$B63)*ISNUMBER(INDEX(Inputs!$D$4:$AG$200,0,MATCH(AF$2,Inputs!$D$2:$AG$2,0))))=0,"",SUMIFS(INDEX(Inputs!$D$4:$AG$200,0,MATCH(AF$2,Inputs!$D$2:$AG$2,0)),Inputs!$B$4:$B$200,$B63)/1000)</f>
        <v/>
      </c>
      <c r="AG63" s="12" t="str">
        <f>IF(COUNT(AC63:AF63)=4,SUM(AC63:AF63),"")</f>
        <v/>
      </c>
    </row>
    <row r="64">
      <c r="B64" s="9" t="n">
        <v>56</v>
      </c>
      <c r="C64" s="10" t="inlineStr">
        <is>
          <t>VSO consolidada (l.30)</t>
        </is>
      </c>
      <c r="D64" s="11">
        <f>IF(SUMPRODUCT((Inputs!$B$4:$B$200=$B64)*ISNUMBER(INDEX(Inputs!$D$4:$AG$200,0,MATCH(D$2,Inputs!$D$2:$AG$2,0))))=0,"",SUMIFS(INDEX(Inputs!$D$4:$AG$200,0,MATCH(D$2,Inputs!$D$2:$AG$2,0)),Inputs!$B$4:$B$200,$B64)/1000)</f>
        <v>0.167</v>
      </c>
      <c r="E64" s="11">
        <f>IF(SUMPRODUCT((Inputs!$B$4:$B$200=$B64)*ISNUMBER(INDEX(Inputs!$D$4:$AG$200,0,MATCH(E$2,Inputs!$D$2:$AG$2,0))))=0,"",SUMIFS(INDEX(Inputs!$D$4:$AG$200,0,MATCH(E$2,Inputs!$D$2:$AG$2,0)),Inputs!$B$4:$B$200,$B64)/1000)</f>
        <v>0.184</v>
      </c>
      <c r="F64" s="11">
        <f>IF(SUMPRODUCT((Inputs!$B$4:$B$200=$B64)*ISNUMBER(INDEX(Inputs!$D$4:$AG$200,0,MATCH(F$2,Inputs!$D$2:$AG$2,0))))=0,"",SUMIFS(INDEX(Inputs!$D$4:$AG$200,0,MATCH(F$2,Inputs!$D$2:$AG$2,0)),Inputs!$B$4:$B$200,$B64)/1000)</f>
        <v>0.169</v>
      </c>
      <c r="G64" s="11">
        <f>IF(SUMPRODUCT((Inputs!$B$4:$B$200=$B64)*ISNUMBER(INDEX(Inputs!$D$4:$AG$200,0,MATCH(G$2,Inputs!$D$2:$AG$2,0))))=0,"",SUMIFS(INDEX(Inputs!$D$4:$AG$200,0,MATCH(G$2,Inputs!$D$2:$AG$2,0)),Inputs!$B$4:$B$200,$B64)/1000)</f>
        <v>0.172</v>
      </c>
      <c r="H64" s="12">
        <f>IF(COUNT(D64:G64)=4,SUM(D64:G64),"")</f>
        <v>0.692</v>
      </c>
      <c r="I64" s="11">
        <f>IF(SUMPRODUCT((Inputs!$B$4:$B$200=$B64)*ISNUMBER(INDEX(Inputs!$D$4:$AG$200,0,MATCH(I$2,Inputs!$D$2:$AG$2,0))))=0,"",SUMIFS(INDEX(Inputs!$D$4:$AG$200,0,MATCH(I$2,Inputs!$D$2:$AG$2,0)),Inputs!$B$4:$B$200,$B64)/1000)</f>
        <v>0.161278813</v>
      </c>
      <c r="J64" s="11">
        <f>IF(SUMPRODUCT((Inputs!$B$4:$B$200=$B64)*ISNUMBER(INDEX(Inputs!$D$4:$AG$200,0,MATCH(J$2,Inputs!$D$2:$AG$2,0))))=0,"",SUMIFS(INDEX(Inputs!$D$4:$AG$200,0,MATCH(J$2,Inputs!$D$2:$AG$2,0)),Inputs!$B$4:$B$200,$B64)/1000)</f>
        <v>0.203791113</v>
      </c>
      <c r="K64" s="11">
        <f>IF(SUMPRODUCT((Inputs!$B$4:$B$200=$B64)*ISNUMBER(INDEX(Inputs!$D$4:$AG$200,0,MATCH(K$2,Inputs!$D$2:$AG$2,0))))=0,"",SUMIFS(INDEX(Inputs!$D$4:$AG$200,0,MATCH(K$2,Inputs!$D$2:$AG$2,0)),Inputs!$B$4:$B$200,$B64)/1000)</f>
        <v>0.190089161</v>
      </c>
      <c r="L64" s="11">
        <f>IF(SUMPRODUCT((Inputs!$B$4:$B$200=$B64)*ISNUMBER(INDEX(Inputs!$D$4:$AG$200,0,MATCH(L$2,Inputs!$D$2:$AG$2,0))))=0,"",SUMIFS(INDEX(Inputs!$D$4:$AG$200,0,MATCH(L$2,Inputs!$D$2:$AG$2,0)),Inputs!$B$4:$B$200,$B64)/1000)</f>
        <v>0.146153226</v>
      </c>
      <c r="M64" s="12">
        <f>IF(COUNT(I64:L64)=4,SUM(I64:L64),"")</f>
        <v>0.701312313</v>
      </c>
      <c r="N64" s="11">
        <f>IF(SUMPRODUCT((Inputs!$B$4:$B$200=$B64)*ISNUMBER(INDEX(Inputs!$D$4:$AG$200,0,MATCH(N$2,Inputs!$D$2:$AG$2,0))))=0,"",SUMIFS(INDEX(Inputs!$D$4:$AG$200,0,MATCH(N$2,Inputs!$D$2:$AG$2,0)),Inputs!$B$4:$B$200,$B64)/1000)</f>
        <v>0.166865631</v>
      </c>
      <c r="O64" s="11">
        <f>IF(SUMPRODUCT((Inputs!$B$4:$B$200=$B64)*ISNUMBER(INDEX(Inputs!$D$4:$AG$200,0,MATCH(O$2,Inputs!$D$2:$AG$2,0))))=0,"",SUMIFS(INDEX(Inputs!$D$4:$AG$200,0,MATCH(O$2,Inputs!$D$2:$AG$2,0)),Inputs!$B$4:$B$200,$B64)/1000)</f>
        <v>0.175021897</v>
      </c>
      <c r="P64" s="11">
        <f>IF(SUMPRODUCT((Inputs!$B$4:$B$200=$B64)*ISNUMBER(INDEX(Inputs!$D$4:$AG$200,0,MATCH(P$2,Inputs!$D$2:$AG$2,0))))=0,"",SUMIFS(INDEX(Inputs!$D$4:$AG$200,0,MATCH(P$2,Inputs!$D$2:$AG$2,0)),Inputs!$B$4:$B$200,$B64)/1000)</f>
        <v>0.167931783</v>
      </c>
      <c r="Q64" s="11">
        <f>IF(SUMPRODUCT((Inputs!$B$4:$B$200=$B64)*ISNUMBER(INDEX(Inputs!$D$4:$AG$200,0,MATCH(Q$2,Inputs!$D$2:$AG$2,0))))=0,"",SUMIFS(INDEX(Inputs!$D$4:$AG$200,0,MATCH(Q$2,Inputs!$D$2:$AG$2,0)),Inputs!$B$4:$B$200,$B64)/1000)</f>
        <v>0.163509254</v>
      </c>
      <c r="R64" s="12">
        <f>IF(COUNT(N64:Q64)=4,SUM(N64:Q64),"")</f>
        <v>0.673328565</v>
      </c>
      <c r="S64" s="11">
        <f>IF(SUMPRODUCT((Inputs!$B$4:$B$200=$B64)*ISNUMBER(INDEX(Inputs!$D$4:$AG$200,0,MATCH(S$2,Inputs!$D$2:$AG$2,0))))=0,"",SUMIFS(INDEX(Inputs!$D$4:$AG$200,0,MATCH(S$2,Inputs!$D$2:$AG$2,0)),Inputs!$B$4:$B$200,$B64)/1000)</f>
        <v>0.216398953</v>
      </c>
      <c r="T64" s="11">
        <f>IF(SUMPRODUCT((Inputs!$B$4:$B$200=$B64)*ISNUMBER(INDEX(Inputs!$D$4:$AG$200,0,MATCH(T$2,Inputs!$D$2:$AG$2,0))))=0,"",SUMIFS(INDEX(Inputs!$D$4:$AG$200,0,MATCH(T$2,Inputs!$D$2:$AG$2,0)),Inputs!$B$4:$B$200,$B64)/1000)</f>
        <v>0.263717601</v>
      </c>
      <c r="U64" s="11">
        <f>IF(SUMPRODUCT((Inputs!$B$4:$B$200=$B64)*ISNUMBER(INDEX(Inputs!$D$4:$AG$200,0,MATCH(U$2,Inputs!$D$2:$AG$2,0))))=0,"",SUMIFS(INDEX(Inputs!$D$4:$AG$200,0,MATCH(U$2,Inputs!$D$2:$AG$2,0)),Inputs!$B$4:$B$200,$B64)/1000)</f>
        <v>0.249636786</v>
      </c>
      <c r="V64" s="11">
        <f>IF(SUMPRODUCT((Inputs!$B$4:$B$200=$B64)*ISNUMBER(INDEX(Inputs!$D$4:$AG$200,0,MATCH(V$2,Inputs!$D$2:$AG$2,0))))=0,"",SUMIFS(INDEX(Inputs!$D$4:$AG$200,0,MATCH(V$2,Inputs!$D$2:$AG$2,0)),Inputs!$B$4:$B$200,$B64)/1000)</f>
        <v>0.249787961</v>
      </c>
      <c r="W64" s="12">
        <f>IF(COUNT(S64:V64)=4,SUM(S64:V64),"")</f>
        <v>0.979541301</v>
      </c>
      <c r="X64" s="11">
        <f>IF(SUMPRODUCT((Inputs!$B$4:$B$200=$B64)*ISNUMBER(INDEX(Inputs!$D$4:$AG$200,0,MATCH(X$2,Inputs!$D$2:$AG$2,0))))=0,"",SUMIFS(INDEX(Inputs!$D$4:$AG$200,0,MATCH(X$2,Inputs!$D$2:$AG$2,0)),Inputs!$B$4:$B$200,$B64)/1000)</f>
        <v>0.233201291</v>
      </c>
      <c r="Y64" s="11">
        <f>IF(SUMPRODUCT((Inputs!$B$4:$B$200=$B64)*ISNUMBER(INDEX(Inputs!$D$4:$AG$200,0,MATCH(Y$2,Inputs!$D$2:$AG$2,0))))=0,"",SUMIFS(INDEX(Inputs!$D$4:$AG$200,0,MATCH(Y$2,Inputs!$D$2:$AG$2,0)),Inputs!$B$4:$B$200,$B64)/1000)</f>
        <v>0.263655743</v>
      </c>
      <c r="Z64" s="11">
        <f>IF(SUMPRODUCT((Inputs!$B$4:$B$200=$B64)*ISNUMBER(INDEX(Inputs!$D$4:$AG$200,0,MATCH(Z$2,Inputs!$D$2:$AG$2,0))))=0,"",SUMIFS(INDEX(Inputs!$D$4:$AG$200,0,MATCH(Z$2,Inputs!$D$2:$AG$2,0)),Inputs!$B$4:$B$200,$B64)/1000)</f>
        <v>0.239</v>
      </c>
      <c r="AA64" s="11">
        <f>IF(SUMPRODUCT((Inputs!$B$4:$B$200=$B64)*ISNUMBER(INDEX(Inputs!$D$4:$AG$200,0,MATCH(AA$2,Inputs!$D$2:$AG$2,0))))=0,"",SUMIFS(INDEX(Inputs!$D$4:$AG$200,0,MATCH(AA$2,Inputs!$D$2:$AG$2,0)),Inputs!$B$4:$B$200,$B64)/1000)</f>
        <v>0.211</v>
      </c>
      <c r="AB64" s="12">
        <f>IF(COUNT(X64:AA64)=4,SUM(X64:AA64),"")</f>
        <v>0.946857034</v>
      </c>
      <c r="AC64" s="11">
        <f>IF(SUMPRODUCT((Inputs!$B$4:$B$200=$B64)*ISNUMBER(INDEX(Inputs!$D$4:$AG$200,0,MATCH(AC$2,Inputs!$D$2:$AG$2,0))))=0,"",SUMIFS(INDEX(Inputs!$D$4:$AG$200,0,MATCH(AC$2,Inputs!$D$2:$AG$2,0)),Inputs!$B$4:$B$200,$B64)/1000)</f>
        <v>0.236</v>
      </c>
      <c r="AD64" s="11">
        <f>IF(SUMPRODUCT((Inputs!$B$4:$B$200=$B64)*ISNUMBER(INDEX(Inputs!$D$4:$AG$200,0,MATCH(AD$2,Inputs!$D$2:$AG$2,0))))=0,"",SUMIFS(INDEX(Inputs!$D$4:$AG$200,0,MATCH(AD$2,Inputs!$D$2:$AG$2,0)),Inputs!$B$4:$B$200,$B64)/1000)</f>
        <v>0.22849</v>
      </c>
      <c r="AE64" s="11" t="str">
        <f>IF(SUMPRODUCT((Inputs!$B$4:$B$200=$B64)*ISNUMBER(INDEX(Inputs!$D$4:$AG$200,0,MATCH(AE$2,Inputs!$D$2:$AG$2,0))))=0,"",SUMIFS(INDEX(Inputs!$D$4:$AG$200,0,MATCH(AE$2,Inputs!$D$2:$AG$2,0)),Inputs!$B$4:$B$200,$B64)/1000)</f>
        <v/>
      </c>
      <c r="AF64" s="11" t="str">
        <f>IF(SUMPRODUCT((Inputs!$B$4:$B$200=$B64)*ISNUMBER(INDEX(Inputs!$D$4:$AG$200,0,MATCH(AF$2,Inputs!$D$2:$AG$2,0))))=0,"",SUMIFS(INDEX(Inputs!$D$4:$AG$200,0,MATCH(AF$2,Inputs!$D$2:$AG$2,0)),Inputs!$B$4:$B$200,$B64)/1000)</f>
        <v/>
      </c>
      <c r="AG64" s="12" t="str">
        <f>IF(COUNT(AC64:AF64)=4,SUM(AC64:AF64),"")</f>
        <v/>
      </c>
    </row>
    <row r="65">
      <c r="B65" s="9" t="n">
        <v>57</v>
      </c>
      <c r="C65" s="10" t="inlineStr">
        <is>
          <t>Repasses - VGV (R$ mil; l.45)</t>
        </is>
      </c>
      <c r="D65" s="11">
        <f>IF(SUMPRODUCT((Inputs!$B$4:$B$200=$B65)*ISNUMBER(INDEX(Inputs!$D$4:$AG$200,0,MATCH(D$2,Inputs!$D$2:$AG$2,0))))=0,"",SUMIFS(INDEX(Inputs!$D$4:$AG$200,0,MATCH(D$2,Inputs!$D$2:$AG$2,0)),Inputs!$B$4:$B$200,$B65)/1000)</f>
        <v>456.37350922</v>
      </c>
      <c r="E65" s="11">
        <f>IF(SUMPRODUCT((Inputs!$B$4:$B$200=$B65)*ISNUMBER(INDEX(Inputs!$D$4:$AG$200,0,MATCH(E$2,Inputs!$D$2:$AG$2,0))))=0,"",SUMIFS(INDEX(Inputs!$D$4:$AG$200,0,MATCH(E$2,Inputs!$D$2:$AG$2,0)),Inputs!$B$4:$B$200,$B65)/1000)</f>
        <v>550.09113149</v>
      </c>
      <c r="F65" s="11">
        <f>IF(SUMPRODUCT((Inputs!$B$4:$B$200=$B65)*ISNUMBER(INDEX(Inputs!$D$4:$AG$200,0,MATCH(F$2,Inputs!$D$2:$AG$2,0))))=0,"",SUMIFS(INDEX(Inputs!$D$4:$AG$200,0,MATCH(F$2,Inputs!$D$2:$AG$2,0)),Inputs!$B$4:$B$200,$B65)/1000)</f>
        <v>536.88122653</v>
      </c>
      <c r="G65" s="11">
        <f>IF(SUMPRODUCT((Inputs!$B$4:$B$200=$B65)*ISNUMBER(INDEX(Inputs!$D$4:$AG$200,0,MATCH(G$2,Inputs!$D$2:$AG$2,0))))=0,"",SUMIFS(INDEX(Inputs!$D$4:$AG$200,0,MATCH(G$2,Inputs!$D$2:$AG$2,0)),Inputs!$B$4:$B$200,$B65)/1000)</f>
        <v>502.29887541</v>
      </c>
      <c r="H65" s="12">
        <f>IF(COUNT(D65:G65)=4,SUM(D65:G65),"")</f>
        <v>2045.64474265</v>
      </c>
      <c r="I65" s="11">
        <f>IF(SUMPRODUCT((Inputs!$B$4:$B$200=$B65)*ISNUMBER(INDEX(Inputs!$D$4:$AG$200,0,MATCH(I$2,Inputs!$D$2:$AG$2,0))))=0,"",SUMIFS(INDEX(Inputs!$D$4:$AG$200,0,MATCH(I$2,Inputs!$D$2:$AG$2,0)),Inputs!$B$4:$B$200,$B65)/1000)</f>
        <v>460.72868308</v>
      </c>
      <c r="J65" s="11">
        <f>IF(SUMPRODUCT((Inputs!$B$4:$B$200=$B65)*ISNUMBER(INDEX(Inputs!$D$4:$AG$200,0,MATCH(J$2,Inputs!$D$2:$AG$2,0))))=0,"",SUMIFS(INDEX(Inputs!$D$4:$AG$200,0,MATCH(J$2,Inputs!$D$2:$AG$2,0)),Inputs!$B$4:$B$200,$B65)/1000)</f>
        <v>776.95753773</v>
      </c>
      <c r="K65" s="11">
        <f>IF(SUMPRODUCT((Inputs!$B$4:$B$200=$B65)*ISNUMBER(INDEX(Inputs!$D$4:$AG$200,0,MATCH(K$2,Inputs!$D$2:$AG$2,0))))=0,"",SUMIFS(INDEX(Inputs!$D$4:$AG$200,0,MATCH(K$2,Inputs!$D$2:$AG$2,0)),Inputs!$B$4:$B$200,$B65)/1000)</f>
        <v>647.31968171</v>
      </c>
      <c r="L65" s="11">
        <f>IF(SUMPRODUCT((Inputs!$B$4:$B$200=$B65)*ISNUMBER(INDEX(Inputs!$D$4:$AG$200,0,MATCH(L$2,Inputs!$D$2:$AG$2,0))))=0,"",SUMIFS(INDEX(Inputs!$D$4:$AG$200,0,MATCH(L$2,Inputs!$D$2:$AG$2,0)),Inputs!$B$4:$B$200,$B65)/1000)</f>
        <v>491.08274038</v>
      </c>
      <c r="M65" s="12">
        <f>IF(COUNT(I65:L65)=4,SUM(I65:L65),"")</f>
        <v>2376.0886429</v>
      </c>
      <c r="N65" s="11">
        <f>IF(SUMPRODUCT((Inputs!$B$4:$B$200=$B65)*ISNUMBER(INDEX(Inputs!$D$4:$AG$200,0,MATCH(N$2,Inputs!$D$2:$AG$2,0))))=0,"",SUMIFS(INDEX(Inputs!$D$4:$AG$200,0,MATCH(N$2,Inputs!$D$2:$AG$2,0)),Inputs!$B$4:$B$200,$B65)/1000)</f>
        <v>500.68954238</v>
      </c>
      <c r="O65" s="11">
        <f>IF(SUMPRODUCT((Inputs!$B$4:$B$200=$B65)*ISNUMBER(INDEX(Inputs!$D$4:$AG$200,0,MATCH(O$2,Inputs!$D$2:$AG$2,0))))=0,"",SUMIFS(INDEX(Inputs!$D$4:$AG$200,0,MATCH(O$2,Inputs!$D$2:$AG$2,0)),Inputs!$B$4:$B$200,$B65)/1000)</f>
        <v>631.92888675</v>
      </c>
      <c r="P65" s="11">
        <f>IF(SUMPRODUCT((Inputs!$B$4:$B$200=$B65)*ISNUMBER(INDEX(Inputs!$D$4:$AG$200,0,MATCH(P$2,Inputs!$D$2:$AG$2,0))))=0,"",SUMIFS(INDEX(Inputs!$D$4:$AG$200,0,MATCH(P$2,Inputs!$D$2:$AG$2,0)),Inputs!$B$4:$B$200,$B65)/1000)</f>
        <v>556.14280757</v>
      </c>
      <c r="Q65" s="11">
        <f>IF(SUMPRODUCT((Inputs!$B$4:$B$200=$B65)*ISNUMBER(INDEX(Inputs!$D$4:$AG$200,0,MATCH(Q$2,Inputs!$D$2:$AG$2,0))))=0,"",SUMIFS(INDEX(Inputs!$D$4:$AG$200,0,MATCH(Q$2,Inputs!$D$2:$AG$2,0)),Inputs!$B$4:$B$200,$B65)/1000)</f>
        <v>539.87644847</v>
      </c>
      <c r="R65" s="12">
        <f>IF(COUNT(N65:Q65)=4,SUM(N65:Q65),"")</f>
        <v>2228.63768517</v>
      </c>
      <c r="S65" s="11">
        <f>IF(SUMPRODUCT((Inputs!$B$4:$B$200=$B65)*ISNUMBER(INDEX(Inputs!$D$4:$AG$200,0,MATCH(S$2,Inputs!$D$2:$AG$2,0))))=0,"",SUMIFS(INDEX(Inputs!$D$4:$AG$200,0,MATCH(S$2,Inputs!$D$2:$AG$2,0)),Inputs!$B$4:$B$200,$B65)/1000)</f>
        <v>550.1385841</v>
      </c>
      <c r="T65" s="11">
        <f>IF(SUMPRODUCT((Inputs!$B$4:$B$200=$B65)*ISNUMBER(INDEX(Inputs!$D$4:$AG$200,0,MATCH(T$2,Inputs!$D$2:$AG$2,0))))=0,"",SUMIFS(INDEX(Inputs!$D$4:$AG$200,0,MATCH(T$2,Inputs!$D$2:$AG$2,0)),Inputs!$B$4:$B$200,$B65)/1000)</f>
        <v>1028.91742224</v>
      </c>
      <c r="U65" s="11">
        <f>IF(SUMPRODUCT((Inputs!$B$4:$B$200=$B65)*ISNUMBER(INDEX(Inputs!$D$4:$AG$200,0,MATCH(U$2,Inputs!$D$2:$AG$2,0))))=0,"",SUMIFS(INDEX(Inputs!$D$4:$AG$200,0,MATCH(U$2,Inputs!$D$2:$AG$2,0)),Inputs!$B$4:$B$200,$B65)/1000)</f>
        <v>899.36382257</v>
      </c>
      <c r="V65" s="11">
        <f>IF(SUMPRODUCT((Inputs!$B$4:$B$200=$B65)*ISNUMBER(INDEX(Inputs!$D$4:$AG$200,0,MATCH(V$2,Inputs!$D$2:$AG$2,0))))=0,"",SUMIFS(INDEX(Inputs!$D$4:$AG$200,0,MATCH(V$2,Inputs!$D$2:$AG$2,0)),Inputs!$B$4:$B$200,$B65)/1000)</f>
        <v>885.06965955</v>
      </c>
      <c r="W65" s="12">
        <f>IF(COUNT(S65:V65)=4,SUM(S65:V65),"")</f>
        <v>3363.48948846</v>
      </c>
      <c r="X65" s="11">
        <f>IF(SUMPRODUCT((Inputs!$B$4:$B$200=$B65)*ISNUMBER(INDEX(Inputs!$D$4:$AG$200,0,MATCH(X$2,Inputs!$D$2:$AG$2,0))))=0,"",SUMIFS(INDEX(Inputs!$D$4:$AG$200,0,MATCH(X$2,Inputs!$D$2:$AG$2,0)),Inputs!$B$4:$B$200,$B65)/1000)</f>
        <v>773.98977536</v>
      </c>
      <c r="Y65" s="11">
        <f>IF(SUMPRODUCT((Inputs!$B$4:$B$200=$B65)*ISNUMBER(INDEX(Inputs!$D$4:$AG$200,0,MATCH(Y$2,Inputs!$D$2:$AG$2,0))))=0,"",SUMIFS(INDEX(Inputs!$D$4:$AG$200,0,MATCH(Y$2,Inputs!$D$2:$AG$2,0)),Inputs!$B$4:$B$200,$B65)/1000)</f>
        <v>1129.32869135</v>
      </c>
      <c r="Z65" s="11">
        <f>IF(SUMPRODUCT((Inputs!$B$4:$B$200=$B65)*ISNUMBER(INDEX(Inputs!$D$4:$AG$200,0,MATCH(Z$2,Inputs!$D$2:$AG$2,0))))=0,"",SUMIFS(INDEX(Inputs!$D$4:$AG$200,0,MATCH(Z$2,Inputs!$D$2:$AG$2,0)),Inputs!$B$4:$B$200,$B65)/1000)</f>
        <v>1075.231</v>
      </c>
      <c r="AA65" s="11">
        <f>IF(SUMPRODUCT((Inputs!$B$4:$B$200=$B65)*ISNUMBER(INDEX(Inputs!$D$4:$AG$200,0,MATCH(AA$2,Inputs!$D$2:$AG$2,0))))=0,"",SUMIFS(INDEX(Inputs!$D$4:$AG$200,0,MATCH(AA$2,Inputs!$D$2:$AG$2,0)),Inputs!$B$4:$B$200,$B65)/1000)</f>
        <v>1195.0242</v>
      </c>
      <c r="AB65" s="12">
        <f>IF(COUNT(X65:AA65)=4,SUM(X65:AA65),"")</f>
        <v>4173.57366671</v>
      </c>
      <c r="AC65" s="11">
        <f>IF(SUMPRODUCT((Inputs!$B$4:$B$200=$B65)*ISNUMBER(INDEX(Inputs!$D$4:$AG$200,0,MATCH(AC$2,Inputs!$D$2:$AG$2,0))))=0,"",SUMIFS(INDEX(Inputs!$D$4:$AG$200,0,MATCH(AC$2,Inputs!$D$2:$AG$2,0)),Inputs!$B$4:$B$200,$B65)/1000)</f>
        <v>988.2304</v>
      </c>
      <c r="AD65" s="11">
        <f>IF(SUMPRODUCT((Inputs!$B$4:$B$200=$B65)*ISNUMBER(INDEX(Inputs!$D$4:$AG$200,0,MATCH(AD$2,Inputs!$D$2:$AG$2,0))))=0,"",SUMIFS(INDEX(Inputs!$D$4:$AG$200,0,MATCH(AD$2,Inputs!$D$2:$AG$2,0)),Inputs!$B$4:$B$200,$B65)/1000)</f>
        <v>1245.1971</v>
      </c>
      <c r="AE65" s="11" t="str">
        <f>IF(SUMPRODUCT((Inputs!$B$4:$B$200=$B65)*ISNUMBER(INDEX(Inputs!$D$4:$AG$200,0,MATCH(AE$2,Inputs!$D$2:$AG$2,0))))=0,"",SUMIFS(INDEX(Inputs!$D$4:$AG$200,0,MATCH(AE$2,Inputs!$D$2:$AG$2,0)),Inputs!$B$4:$B$200,$B65)/1000)</f>
        <v/>
      </c>
      <c r="AF65" s="11" t="str">
        <f>IF(SUMPRODUCT((Inputs!$B$4:$B$200=$B65)*ISNUMBER(INDEX(Inputs!$D$4:$AG$200,0,MATCH(AF$2,Inputs!$D$2:$AG$2,0))))=0,"",SUMIFS(INDEX(Inputs!$D$4:$AG$200,0,MATCH(AF$2,Inputs!$D$2:$AG$2,0)),Inputs!$B$4:$B$200,$B65)/1000)</f>
        <v/>
      </c>
      <c r="AG65" s="12" t="str">
        <f>IF(COUNT(AC65:AF65)=4,SUM(AC65:AF65),"")</f>
        <v/>
      </c>
    </row>
    <row r="66">
      <c r="B66" s="9" t="n">
        <v>58</v>
      </c>
      <c r="C66" s="10" t="inlineStr">
        <is>
          <t>Repasses - unidades (l.46)</t>
        </is>
      </c>
      <c r="D66" s="11">
        <f>IF(SUMPRODUCT((Inputs!$B$4:$B$200=$B66)*ISNUMBER(INDEX(Inputs!$D$4:$AG$200,0,MATCH(D$2,Inputs!$D$2:$AG$2,0))))=0,"",SUMIFS(INDEX(Inputs!$D$4:$AG$200,0,MATCH(D$2,Inputs!$D$2:$AG$2,0)),Inputs!$B$4:$B$200,$B66)/1000)</f>
        <v>2609</v>
      </c>
      <c r="E66" s="11">
        <f>IF(SUMPRODUCT((Inputs!$B$4:$B$200=$B66)*ISNUMBER(INDEX(Inputs!$D$4:$AG$200,0,MATCH(E$2,Inputs!$D$2:$AG$2,0))))=0,"",SUMIFS(INDEX(Inputs!$D$4:$AG$200,0,MATCH(E$2,Inputs!$D$2:$AG$2,0)),Inputs!$B$4:$B$200,$B66)/1000)</f>
        <v>2963</v>
      </c>
      <c r="F66" s="11">
        <f>IF(SUMPRODUCT((Inputs!$B$4:$B$200=$B66)*ISNUMBER(INDEX(Inputs!$D$4:$AG$200,0,MATCH(F$2,Inputs!$D$2:$AG$2,0))))=0,"",SUMIFS(INDEX(Inputs!$D$4:$AG$200,0,MATCH(F$2,Inputs!$D$2:$AG$2,0)),Inputs!$B$4:$B$200,$B66)/1000)</f>
        <v>2985</v>
      </c>
      <c r="G66" s="11">
        <f>IF(SUMPRODUCT((Inputs!$B$4:$B$200=$B66)*ISNUMBER(INDEX(Inputs!$D$4:$AG$200,0,MATCH(G$2,Inputs!$D$2:$AG$2,0))))=0,"",SUMIFS(INDEX(Inputs!$D$4:$AG$200,0,MATCH(G$2,Inputs!$D$2:$AG$2,0)),Inputs!$B$4:$B$200,$B66)/1000)</f>
        <v>2707</v>
      </c>
      <c r="H66" s="12">
        <f>IF(COUNT(D66:G66)=4,SUM(D66:G66),"")</f>
        <v>11264</v>
      </c>
      <c r="I66" s="11">
        <f>IF(SUMPRODUCT((Inputs!$B$4:$B$200=$B66)*ISNUMBER(INDEX(Inputs!$D$4:$AG$200,0,MATCH(I$2,Inputs!$D$2:$AG$2,0))))=0,"",SUMIFS(INDEX(Inputs!$D$4:$AG$200,0,MATCH(I$2,Inputs!$D$2:$AG$2,0)),Inputs!$B$4:$B$200,$B66)/1000)</f>
        <v>2223</v>
      </c>
      <c r="J66" s="11">
        <f>IF(SUMPRODUCT((Inputs!$B$4:$B$200=$B66)*ISNUMBER(INDEX(Inputs!$D$4:$AG$200,0,MATCH(J$2,Inputs!$D$2:$AG$2,0))))=0,"",SUMIFS(INDEX(Inputs!$D$4:$AG$200,0,MATCH(J$2,Inputs!$D$2:$AG$2,0)),Inputs!$B$4:$B$200,$B66)/1000)</f>
        <v>3851</v>
      </c>
      <c r="K66" s="11">
        <f>IF(SUMPRODUCT((Inputs!$B$4:$B$200=$B66)*ISNUMBER(INDEX(Inputs!$D$4:$AG$200,0,MATCH(K$2,Inputs!$D$2:$AG$2,0))))=0,"",SUMIFS(INDEX(Inputs!$D$4:$AG$200,0,MATCH(K$2,Inputs!$D$2:$AG$2,0)),Inputs!$B$4:$B$200,$B66)/1000)</f>
        <v>3052</v>
      </c>
      <c r="L66" s="11">
        <f>IF(SUMPRODUCT((Inputs!$B$4:$B$200=$B66)*ISNUMBER(INDEX(Inputs!$D$4:$AG$200,0,MATCH(L$2,Inputs!$D$2:$AG$2,0))))=0,"",SUMIFS(INDEX(Inputs!$D$4:$AG$200,0,MATCH(L$2,Inputs!$D$2:$AG$2,0)),Inputs!$B$4:$B$200,$B66)/1000)</f>
        <v>2287</v>
      </c>
      <c r="M66" s="12">
        <f>IF(COUNT(I66:L66)=4,SUM(I66:L66),"")</f>
        <v>11413</v>
      </c>
      <c r="N66" s="11">
        <f>IF(SUMPRODUCT((Inputs!$B$4:$B$200=$B66)*ISNUMBER(INDEX(Inputs!$D$4:$AG$200,0,MATCH(N$2,Inputs!$D$2:$AG$2,0))))=0,"",SUMIFS(INDEX(Inputs!$D$4:$AG$200,0,MATCH(N$2,Inputs!$D$2:$AG$2,0)),Inputs!$B$4:$B$200,$B66)/1000)</f>
        <v>2254</v>
      </c>
      <c r="O66" s="11">
        <f>IF(SUMPRODUCT((Inputs!$B$4:$B$200=$B66)*ISNUMBER(INDEX(Inputs!$D$4:$AG$200,0,MATCH(O$2,Inputs!$D$2:$AG$2,0))))=0,"",SUMIFS(INDEX(Inputs!$D$4:$AG$200,0,MATCH(O$2,Inputs!$D$2:$AG$2,0)),Inputs!$B$4:$B$200,$B66)/1000)</f>
        <v>2746</v>
      </c>
      <c r="P66" s="11">
        <f>IF(SUMPRODUCT((Inputs!$B$4:$B$200=$B66)*ISNUMBER(INDEX(Inputs!$D$4:$AG$200,0,MATCH(P$2,Inputs!$D$2:$AG$2,0))))=0,"",SUMIFS(INDEX(Inputs!$D$4:$AG$200,0,MATCH(P$2,Inputs!$D$2:$AG$2,0)),Inputs!$B$4:$B$200,$B66)/1000)</f>
        <v>2370</v>
      </c>
      <c r="Q66" s="11">
        <f>IF(SUMPRODUCT((Inputs!$B$4:$B$200=$B66)*ISNUMBER(INDEX(Inputs!$D$4:$AG$200,0,MATCH(Q$2,Inputs!$D$2:$AG$2,0))))=0,"",SUMIFS(INDEX(Inputs!$D$4:$AG$200,0,MATCH(Q$2,Inputs!$D$2:$AG$2,0)),Inputs!$B$4:$B$200,$B66)/1000)</f>
        <v>2129</v>
      </c>
      <c r="R66" s="12">
        <f>IF(COUNT(N66:Q66)=4,SUM(N66:Q66),"")</f>
        <v>9499</v>
      </c>
      <c r="S66" s="11">
        <f>IF(SUMPRODUCT((Inputs!$B$4:$B$200=$B66)*ISNUMBER(INDEX(Inputs!$D$4:$AG$200,0,MATCH(S$2,Inputs!$D$2:$AG$2,0))))=0,"",SUMIFS(INDEX(Inputs!$D$4:$AG$200,0,MATCH(S$2,Inputs!$D$2:$AG$2,0)),Inputs!$B$4:$B$200,$B66)/1000)</f>
        <v>2209</v>
      </c>
      <c r="T66" s="11">
        <f>IF(SUMPRODUCT((Inputs!$B$4:$B$200=$B66)*ISNUMBER(INDEX(Inputs!$D$4:$AG$200,0,MATCH(T$2,Inputs!$D$2:$AG$2,0))))=0,"",SUMIFS(INDEX(Inputs!$D$4:$AG$200,0,MATCH(T$2,Inputs!$D$2:$AG$2,0)),Inputs!$B$4:$B$200,$B66)/1000)</f>
        <v>3727</v>
      </c>
      <c r="U66" s="11">
        <f>IF(SUMPRODUCT((Inputs!$B$4:$B$200=$B66)*ISNUMBER(INDEX(Inputs!$D$4:$AG$200,0,MATCH(U$2,Inputs!$D$2:$AG$2,0))))=0,"",SUMIFS(INDEX(Inputs!$D$4:$AG$200,0,MATCH(U$2,Inputs!$D$2:$AG$2,0)),Inputs!$B$4:$B$200,$B66)/1000)</f>
        <v>3275</v>
      </c>
      <c r="V66" s="11">
        <f>IF(SUMPRODUCT((Inputs!$B$4:$B$200=$B66)*ISNUMBER(INDEX(Inputs!$D$4:$AG$200,0,MATCH(V$2,Inputs!$D$2:$AG$2,0))))=0,"",SUMIFS(INDEX(Inputs!$D$4:$AG$200,0,MATCH(V$2,Inputs!$D$2:$AG$2,0)),Inputs!$B$4:$B$200,$B66)/1000)</f>
        <v>3093</v>
      </c>
      <c r="W66" s="12">
        <f>IF(COUNT(S66:V66)=4,SUM(S66:V66),"")</f>
        <v>12304</v>
      </c>
      <c r="X66" s="11">
        <f>IF(SUMPRODUCT((Inputs!$B$4:$B$200=$B66)*ISNUMBER(INDEX(Inputs!$D$4:$AG$200,0,MATCH(X$2,Inputs!$D$2:$AG$2,0))))=0,"",SUMIFS(INDEX(Inputs!$D$4:$AG$200,0,MATCH(X$2,Inputs!$D$2:$AG$2,0)),Inputs!$B$4:$B$200,$B66)/1000)</f>
        <v>2753</v>
      </c>
      <c r="Y66" s="11">
        <f>IF(SUMPRODUCT((Inputs!$B$4:$B$200=$B66)*ISNUMBER(INDEX(Inputs!$D$4:$AG$200,0,MATCH(Y$2,Inputs!$D$2:$AG$2,0))))=0,"",SUMIFS(INDEX(Inputs!$D$4:$AG$200,0,MATCH(Y$2,Inputs!$D$2:$AG$2,0)),Inputs!$B$4:$B$200,$B66)/1000)</f>
        <v>3817</v>
      </c>
      <c r="Z66" s="11">
        <f>IF(SUMPRODUCT((Inputs!$B$4:$B$200=$B66)*ISNUMBER(INDEX(Inputs!$D$4:$AG$200,0,MATCH(Z$2,Inputs!$D$2:$AG$2,0))))=0,"",SUMIFS(INDEX(Inputs!$D$4:$AG$200,0,MATCH(Z$2,Inputs!$D$2:$AG$2,0)),Inputs!$B$4:$B$200,$B66)/1000)</f>
        <v>3632</v>
      </c>
      <c r="AA66" s="11">
        <f>IF(SUMPRODUCT((Inputs!$B$4:$B$200=$B66)*ISNUMBER(INDEX(Inputs!$D$4:$AG$200,0,MATCH(AA$2,Inputs!$D$2:$AG$2,0))))=0,"",SUMIFS(INDEX(Inputs!$D$4:$AG$200,0,MATCH(AA$2,Inputs!$D$2:$AG$2,0)),Inputs!$B$4:$B$200,$B66)/1000)</f>
        <v>3856</v>
      </c>
      <c r="AB66" s="12">
        <f>IF(COUNT(X66:AA66)=4,SUM(X66:AA66),"")</f>
        <v>14058</v>
      </c>
      <c r="AC66" s="11">
        <f>IF(SUMPRODUCT((Inputs!$B$4:$B$200=$B66)*ISNUMBER(INDEX(Inputs!$D$4:$AG$200,0,MATCH(AC$2,Inputs!$D$2:$AG$2,0))))=0,"",SUMIFS(INDEX(Inputs!$D$4:$AG$200,0,MATCH(AC$2,Inputs!$D$2:$AG$2,0)),Inputs!$B$4:$B$200,$B66)/1000)</f>
        <v>3478</v>
      </c>
      <c r="AD66" s="11">
        <f>IF(SUMPRODUCT((Inputs!$B$4:$B$200=$B66)*ISNUMBER(INDEX(Inputs!$D$4:$AG$200,0,MATCH(AD$2,Inputs!$D$2:$AG$2,0))))=0,"",SUMIFS(INDEX(Inputs!$D$4:$AG$200,0,MATCH(AD$2,Inputs!$D$2:$AG$2,0)),Inputs!$B$4:$B$200,$B66)/1000)</f>
        <v>4203</v>
      </c>
      <c r="AE66" s="11" t="str">
        <f>IF(SUMPRODUCT((Inputs!$B$4:$B$200=$B66)*ISNUMBER(INDEX(Inputs!$D$4:$AG$200,0,MATCH(AE$2,Inputs!$D$2:$AG$2,0))))=0,"",SUMIFS(INDEX(Inputs!$D$4:$AG$200,0,MATCH(AE$2,Inputs!$D$2:$AG$2,0)),Inputs!$B$4:$B$200,$B66)/1000)</f>
        <v/>
      </c>
      <c r="AF66" s="11" t="str">
        <f>IF(SUMPRODUCT((Inputs!$B$4:$B$200=$B66)*ISNUMBER(INDEX(Inputs!$D$4:$AG$200,0,MATCH(AF$2,Inputs!$D$2:$AG$2,0))))=0,"",SUMIFS(INDEX(Inputs!$D$4:$AG$200,0,MATCH(AF$2,Inputs!$D$2:$AG$2,0)),Inputs!$B$4:$B$200,$B66)/1000)</f>
        <v/>
      </c>
      <c r="AG66" s="12" t="str">
        <f>IF(COUNT(AC66:AF66)=4,SUM(AC66:AF66),"")</f>
        <v/>
      </c>
    </row>
    <row r="67">
      <c r="B67" s="9" t="n">
        <v>59</v>
      </c>
      <c r="C67" s="10" t="inlineStr">
        <is>
          <t>Estoque a valor de mercado 100% - fim do periodo (R$ mil; l.33)</t>
        </is>
      </c>
      <c r="D67" s="11">
        <f>IF(SUMPRODUCT((Inputs!$B$4:$B$200=$B67)*ISNUMBER(INDEX(Inputs!$D$4:$AG$200,0,MATCH(D$2,Inputs!$D$2:$AG$2,0))))=0,"",SUMIFS(INDEX(Inputs!$D$4:$AG$200,0,MATCH(D$2,Inputs!$D$2:$AG$2,0)),Inputs!$B$4:$B$200,$B67)/1000)</f>
        <v>2555.98886928</v>
      </c>
      <c r="E67" s="11">
        <f>IF(SUMPRODUCT((Inputs!$B$4:$B$200=$B67)*ISNUMBER(INDEX(Inputs!$D$4:$AG$200,0,MATCH(E$2,Inputs!$D$2:$AG$2,0))))=0,"",SUMIFS(INDEX(Inputs!$D$4:$AG$200,0,MATCH(E$2,Inputs!$D$2:$AG$2,0)),Inputs!$B$4:$B$200,$B67)/1000)</f>
        <v>2721.703381054</v>
      </c>
      <c r="F67" s="11">
        <f>IF(SUMPRODUCT((Inputs!$B$4:$B$200=$B67)*ISNUMBER(INDEX(Inputs!$D$4:$AG$200,0,MATCH(F$2,Inputs!$D$2:$AG$2,0))))=0,"",SUMIFS(INDEX(Inputs!$D$4:$AG$200,0,MATCH(F$2,Inputs!$D$2:$AG$2,0)),Inputs!$B$4:$B$200,$B67)/1000)</f>
        <v>3178.010917451</v>
      </c>
      <c r="G67" s="11">
        <f>IF(SUMPRODUCT((Inputs!$B$4:$B$200=$B67)*ISNUMBER(INDEX(Inputs!$D$4:$AG$200,0,MATCH(G$2,Inputs!$D$2:$AG$2,0))))=0,"",SUMIFS(INDEX(Inputs!$D$4:$AG$200,0,MATCH(G$2,Inputs!$D$2:$AG$2,0)),Inputs!$B$4:$B$200,$B67)/1000)</f>
        <v>3257.24395374</v>
      </c>
      <c r="H67" s="12">
        <f>IF(COUNT(D67:G67)=4,SUM(D67:G67),"")</f>
        <v>11712.947121525</v>
      </c>
      <c r="I67" s="11">
        <f>IF(SUMPRODUCT((Inputs!$B$4:$B$200=$B67)*ISNUMBER(INDEX(Inputs!$D$4:$AG$200,0,MATCH(I$2,Inputs!$D$2:$AG$2,0))))=0,"",SUMIFS(INDEX(Inputs!$D$4:$AG$200,0,MATCH(I$2,Inputs!$D$2:$AG$2,0)),Inputs!$B$4:$B$200,$B67)/1000)</f>
        <v>3310.35660503</v>
      </c>
      <c r="J67" s="11">
        <f>IF(SUMPRODUCT((Inputs!$B$4:$B$200=$B67)*ISNUMBER(INDEX(Inputs!$D$4:$AG$200,0,MATCH(J$2,Inputs!$D$2:$AG$2,0))))=0,"",SUMIFS(INDEX(Inputs!$D$4:$AG$200,0,MATCH(J$2,Inputs!$D$2:$AG$2,0)),Inputs!$B$4:$B$200,$B67)/1000)</f>
        <v>3265.97279136</v>
      </c>
      <c r="K67" s="11">
        <f>IF(SUMPRODUCT((Inputs!$B$4:$B$200=$B67)*ISNUMBER(INDEX(Inputs!$D$4:$AG$200,0,MATCH(K$2,Inputs!$D$2:$AG$2,0))))=0,"",SUMIFS(INDEX(Inputs!$D$4:$AG$200,0,MATCH(K$2,Inputs!$D$2:$AG$2,0)),Inputs!$B$4:$B$200,$B67)/1000)</f>
        <v>3693.24479427</v>
      </c>
      <c r="L67" s="11">
        <f>IF(SUMPRODUCT((Inputs!$B$4:$B$200=$B67)*ISNUMBER(INDEX(Inputs!$D$4:$AG$200,0,MATCH(L$2,Inputs!$D$2:$AG$2,0))))=0,"",SUMIFS(INDEX(Inputs!$D$4:$AG$200,0,MATCH(L$2,Inputs!$D$2:$AG$2,0)),Inputs!$B$4:$B$200,$B67)/1000)</f>
        <v>4203.22024421</v>
      </c>
      <c r="M67" s="12">
        <f>IF(COUNT(I67:L67)=4,SUM(I67:L67),"")</f>
        <v>14472.79443487</v>
      </c>
      <c r="N67" s="11">
        <f>IF(SUMPRODUCT((Inputs!$B$4:$B$200=$B67)*ISNUMBER(INDEX(Inputs!$D$4:$AG$200,0,MATCH(N$2,Inputs!$D$2:$AG$2,0))))=0,"",SUMIFS(INDEX(Inputs!$D$4:$AG$200,0,MATCH(N$2,Inputs!$D$2:$AG$2,0)),Inputs!$B$4:$B$200,$B67)/1000)</f>
        <v>4042.61807696</v>
      </c>
      <c r="O67" s="11">
        <f>IF(SUMPRODUCT((Inputs!$B$4:$B$200=$B67)*ISNUMBER(INDEX(Inputs!$D$4:$AG$200,0,MATCH(O$2,Inputs!$D$2:$AG$2,0))))=0,"",SUMIFS(INDEX(Inputs!$D$4:$AG$200,0,MATCH(O$2,Inputs!$D$2:$AG$2,0)),Inputs!$B$4:$B$200,$B67)/1000)</f>
        <v>4582.7512716</v>
      </c>
      <c r="P67" s="11">
        <f>IF(SUMPRODUCT((Inputs!$B$4:$B$200=$B67)*ISNUMBER(INDEX(Inputs!$D$4:$AG$200,0,MATCH(P$2,Inputs!$D$2:$AG$2,0))))=0,"",SUMIFS(INDEX(Inputs!$D$4:$AG$200,0,MATCH(P$2,Inputs!$D$2:$AG$2,0)),Inputs!$B$4:$B$200,$B67)/1000)</f>
        <v>5021.44869219</v>
      </c>
      <c r="Q67" s="11">
        <f>IF(SUMPRODUCT((Inputs!$B$4:$B$200=$B67)*ISNUMBER(INDEX(Inputs!$D$4:$AG$200,0,MATCH(Q$2,Inputs!$D$2:$AG$2,0))))=0,"",SUMIFS(INDEX(Inputs!$D$4:$AG$200,0,MATCH(Q$2,Inputs!$D$2:$AG$2,0)),Inputs!$B$4:$B$200,$B67)/1000)</f>
        <v>5146.3443553</v>
      </c>
      <c r="R67" s="12">
        <f>IF(COUNT(N67:Q67)=4,SUM(N67:Q67),"")</f>
        <v>18793.16239605</v>
      </c>
      <c r="S67" s="11">
        <f>IF(SUMPRODUCT((Inputs!$B$4:$B$200=$B67)*ISNUMBER(INDEX(Inputs!$D$4:$AG$200,0,MATCH(S$2,Inputs!$D$2:$AG$2,0))))=0,"",SUMIFS(INDEX(Inputs!$D$4:$AG$200,0,MATCH(S$2,Inputs!$D$2:$AG$2,0)),Inputs!$B$4:$B$200,$B67)/1000)</f>
        <v>4777.623880986</v>
      </c>
      <c r="T67" s="11">
        <f>IF(SUMPRODUCT((Inputs!$B$4:$B$200=$B67)*ISNUMBER(INDEX(Inputs!$D$4:$AG$200,0,MATCH(T$2,Inputs!$D$2:$AG$2,0))))=0,"",SUMIFS(INDEX(Inputs!$D$4:$AG$200,0,MATCH(T$2,Inputs!$D$2:$AG$2,0)),Inputs!$B$4:$B$200,$B67)/1000)</f>
        <v>4591.68387343</v>
      </c>
      <c r="U67" s="11">
        <f>IF(SUMPRODUCT((Inputs!$B$4:$B$200=$B67)*ISNUMBER(INDEX(Inputs!$D$4:$AG$200,0,MATCH(U$2,Inputs!$D$2:$AG$2,0))))=0,"",SUMIFS(INDEX(Inputs!$D$4:$AG$200,0,MATCH(U$2,Inputs!$D$2:$AG$2,0)),Inputs!$B$4:$B$200,$B67)/1000)</f>
        <v>4491.76385823</v>
      </c>
      <c r="V67" s="11">
        <f>IF(SUMPRODUCT((Inputs!$B$4:$B$200=$B67)*ISNUMBER(INDEX(Inputs!$D$4:$AG$200,0,MATCH(V$2,Inputs!$D$2:$AG$2,0))))=0,"",SUMIFS(INDEX(Inputs!$D$4:$AG$200,0,MATCH(V$2,Inputs!$D$2:$AG$2,0)),Inputs!$B$4:$B$200,$B67)/1000)</f>
        <v>4787.06097712</v>
      </c>
      <c r="W67" s="12">
        <f>IF(COUNT(S67:V67)=4,SUM(S67:V67),"")</f>
        <v>18648.132589766</v>
      </c>
      <c r="X67" s="11">
        <f>IF(SUMPRODUCT((Inputs!$B$4:$B$200=$B67)*ISNUMBER(INDEX(Inputs!$D$4:$AG$200,0,MATCH(X$2,Inputs!$D$2:$AG$2,0))))=0,"",SUMIFS(INDEX(Inputs!$D$4:$AG$200,0,MATCH(X$2,Inputs!$D$2:$AG$2,0)),Inputs!$B$4:$B$200,$B67)/1000)</f>
        <v>4457.85295483</v>
      </c>
      <c r="Y67" s="11">
        <f>IF(SUMPRODUCT((Inputs!$B$4:$B$200=$B67)*ISNUMBER(INDEX(Inputs!$D$4:$AG$200,0,MATCH(Y$2,Inputs!$D$2:$AG$2,0))))=0,"",SUMIFS(INDEX(Inputs!$D$4:$AG$200,0,MATCH(Y$2,Inputs!$D$2:$AG$2,0)),Inputs!$B$4:$B$200,$B67)/1000)</f>
        <v>4716.0300404</v>
      </c>
      <c r="Z67" s="11">
        <f>IF(SUMPRODUCT((Inputs!$B$4:$B$200=$B67)*ISNUMBER(INDEX(Inputs!$D$4:$AG$200,0,MATCH(Z$2,Inputs!$D$2:$AG$2,0))))=0,"",SUMIFS(INDEX(Inputs!$D$4:$AG$200,0,MATCH(Z$2,Inputs!$D$2:$AG$2,0)),Inputs!$B$4:$B$200,$B67)/1000)</f>
        <v>5296.30679496</v>
      </c>
      <c r="AA67" s="11">
        <f>IF(SUMPRODUCT((Inputs!$B$4:$B$200=$B67)*ISNUMBER(INDEX(Inputs!$D$4:$AG$200,0,MATCH(AA$2,Inputs!$D$2:$AG$2,0))))=0,"",SUMIFS(INDEX(Inputs!$D$4:$AG$200,0,MATCH(AA$2,Inputs!$D$2:$AG$2,0)),Inputs!$B$4:$B$200,$B67)/1000)</f>
        <v>5696.0743</v>
      </c>
      <c r="AB67" s="12">
        <f>IF(COUNT(X67:AA67)=4,SUM(X67:AA67),"")</f>
        <v>20166.26409019</v>
      </c>
      <c r="AC67" s="11">
        <f>IF(SUMPRODUCT((Inputs!$B$4:$B$200=$B67)*ISNUMBER(INDEX(Inputs!$D$4:$AG$200,0,MATCH(AC$2,Inputs!$D$2:$AG$2,0))))=0,"",SUMIFS(INDEX(Inputs!$D$4:$AG$200,0,MATCH(AC$2,Inputs!$D$2:$AG$2,0)),Inputs!$B$4:$B$200,$B67)/1000)</f>
        <v>5177.786</v>
      </c>
      <c r="AD67" s="11">
        <f>IF(SUMPRODUCT((Inputs!$B$4:$B$200=$B67)*ISNUMBER(INDEX(Inputs!$D$4:$AG$200,0,MATCH(AD$2,Inputs!$D$2:$AG$2,0))))=0,"",SUMIFS(INDEX(Inputs!$D$4:$AG$200,0,MATCH(AD$2,Inputs!$D$2:$AG$2,0)),Inputs!$B$4:$B$200,$B67)/1000)</f>
        <v>5611.545</v>
      </c>
      <c r="AE67" s="11" t="str">
        <f>IF(SUMPRODUCT((Inputs!$B$4:$B$200=$B67)*ISNUMBER(INDEX(Inputs!$D$4:$AG$200,0,MATCH(AE$2,Inputs!$D$2:$AG$2,0))))=0,"",SUMIFS(INDEX(Inputs!$D$4:$AG$200,0,MATCH(AE$2,Inputs!$D$2:$AG$2,0)),Inputs!$B$4:$B$200,$B67)/1000)</f>
        <v/>
      </c>
      <c r="AF67" s="11" t="str">
        <f>IF(SUMPRODUCT((Inputs!$B$4:$B$200=$B67)*ISNUMBER(INDEX(Inputs!$D$4:$AG$200,0,MATCH(AF$2,Inputs!$D$2:$AG$2,0))))=0,"",SUMIFS(INDEX(Inputs!$D$4:$AG$200,0,MATCH(AF$2,Inputs!$D$2:$AG$2,0)),Inputs!$B$4:$B$200,$B67)/1000)</f>
        <v/>
      </c>
      <c r="AG67" s="12" t="str">
        <f>IF(COUNT(AC67:AF67)=4,SUM(AC67:AF67),"")</f>
        <v/>
      </c>
    </row>
    <row r="68">
      <c r="B68" s="9" t="n">
        <v>60</v>
      </c>
      <c r="C68" s="10" t="inlineStr">
        <is>
          <t>Unidades em estoque (l.35)</t>
        </is>
      </c>
      <c r="D68" s="11">
        <f>IF(SUMPRODUCT((Inputs!$B$4:$B$200=$B68)*ISNUMBER(INDEX(Inputs!$D$4:$AG$200,0,MATCH(D$2,Inputs!$D$2:$AG$2,0))))=0,"",SUMIFS(INDEX(Inputs!$D$4:$AG$200,0,MATCH(D$2,Inputs!$D$2:$AG$2,0)),Inputs!$B$4:$B$200,$B68)/1000)</f>
        <v>13112</v>
      </c>
      <c r="E68" s="11">
        <f>IF(SUMPRODUCT((Inputs!$B$4:$B$200=$B68)*ISNUMBER(INDEX(Inputs!$D$4:$AG$200,0,MATCH(E$2,Inputs!$D$2:$AG$2,0))))=0,"",SUMIFS(INDEX(Inputs!$D$4:$AG$200,0,MATCH(E$2,Inputs!$D$2:$AG$2,0)),Inputs!$B$4:$B$200,$B68)/1000)</f>
        <v>14045</v>
      </c>
      <c r="F68" s="11">
        <f>IF(SUMPRODUCT((Inputs!$B$4:$B$200=$B68)*ISNUMBER(INDEX(Inputs!$D$4:$AG$200,0,MATCH(F$2,Inputs!$D$2:$AG$2,0))))=0,"",SUMIFS(INDEX(Inputs!$D$4:$AG$200,0,MATCH(F$2,Inputs!$D$2:$AG$2,0)),Inputs!$B$4:$B$200,$B68)/1000)</f>
        <v>14573</v>
      </c>
      <c r="G68" s="11">
        <f>IF(SUMPRODUCT((Inputs!$B$4:$B$200=$B68)*ISNUMBER(INDEX(Inputs!$D$4:$AG$200,0,MATCH(G$2,Inputs!$D$2:$AG$2,0))))=0,"",SUMIFS(INDEX(Inputs!$D$4:$AG$200,0,MATCH(G$2,Inputs!$D$2:$AG$2,0)),Inputs!$B$4:$B$200,$B68)/1000)</f>
        <v>14627</v>
      </c>
      <c r="H68" s="12">
        <f>IF(COUNT(D68:G68)=4,SUM(D68:G68),"")</f>
        <v>56357</v>
      </c>
      <c r="I68" s="11">
        <f>IF(SUMPRODUCT((Inputs!$B$4:$B$200=$B68)*ISNUMBER(INDEX(Inputs!$D$4:$AG$200,0,MATCH(I$2,Inputs!$D$2:$AG$2,0))))=0,"",SUMIFS(INDEX(Inputs!$D$4:$AG$200,0,MATCH(I$2,Inputs!$D$2:$AG$2,0)),Inputs!$B$4:$B$200,$B68)/1000)</f>
        <v>14513</v>
      </c>
      <c r="J68" s="11">
        <f>IF(SUMPRODUCT((Inputs!$B$4:$B$200=$B68)*ISNUMBER(INDEX(Inputs!$D$4:$AG$200,0,MATCH(J$2,Inputs!$D$2:$AG$2,0))))=0,"",SUMIFS(INDEX(Inputs!$D$4:$AG$200,0,MATCH(J$2,Inputs!$D$2:$AG$2,0)),Inputs!$B$4:$B$200,$B68)/1000)</f>
        <v>13676</v>
      </c>
      <c r="K68" s="11">
        <f>IF(SUMPRODUCT((Inputs!$B$4:$B$200=$B68)*ISNUMBER(INDEX(Inputs!$D$4:$AG$200,0,MATCH(K$2,Inputs!$D$2:$AG$2,0))))=0,"",SUMIFS(INDEX(Inputs!$D$4:$AG$200,0,MATCH(K$2,Inputs!$D$2:$AG$2,0)),Inputs!$B$4:$B$200,$B68)/1000)</f>
        <v>14386</v>
      </c>
      <c r="L68" s="11">
        <f>IF(SUMPRODUCT((Inputs!$B$4:$B$200=$B68)*ISNUMBER(INDEX(Inputs!$D$4:$AG$200,0,MATCH(L$2,Inputs!$D$2:$AG$2,0))))=0,"",SUMIFS(INDEX(Inputs!$D$4:$AG$200,0,MATCH(L$2,Inputs!$D$2:$AG$2,0)),Inputs!$B$4:$B$200,$B68)/1000)</f>
        <v>15781</v>
      </c>
      <c r="M68" s="12">
        <f>IF(COUNT(I68:L68)=4,SUM(I68:L68),"")</f>
        <v>58356</v>
      </c>
      <c r="N68" s="11">
        <f>IF(SUMPRODUCT((Inputs!$B$4:$B$200=$B68)*ISNUMBER(INDEX(Inputs!$D$4:$AG$200,0,MATCH(N$2,Inputs!$D$2:$AG$2,0))))=0,"",SUMIFS(INDEX(Inputs!$D$4:$AG$200,0,MATCH(N$2,Inputs!$D$2:$AG$2,0)),Inputs!$B$4:$B$200,$B68)/1000)</f>
        <v>15224</v>
      </c>
      <c r="O68" s="11">
        <f>IF(SUMPRODUCT((Inputs!$B$4:$B$200=$B68)*ISNUMBER(INDEX(Inputs!$D$4:$AG$200,0,MATCH(O$2,Inputs!$D$2:$AG$2,0))))=0,"",SUMIFS(INDEX(Inputs!$D$4:$AG$200,0,MATCH(O$2,Inputs!$D$2:$AG$2,0)),Inputs!$B$4:$B$200,$B68)/1000)</f>
        <v>16923</v>
      </c>
      <c r="P68" s="11">
        <f>IF(SUMPRODUCT((Inputs!$B$4:$B$200=$B68)*ISNUMBER(INDEX(Inputs!$D$4:$AG$200,0,MATCH(P$2,Inputs!$D$2:$AG$2,0))))=0,"",SUMIFS(INDEX(Inputs!$D$4:$AG$200,0,MATCH(P$2,Inputs!$D$2:$AG$2,0)),Inputs!$B$4:$B$200,$B68)/1000)</f>
        <v>17617</v>
      </c>
      <c r="Q68" s="11">
        <f>IF(SUMPRODUCT((Inputs!$B$4:$B$200=$B68)*ISNUMBER(INDEX(Inputs!$D$4:$AG$200,0,MATCH(Q$2,Inputs!$D$2:$AG$2,0))))=0,"",SUMIFS(INDEX(Inputs!$D$4:$AG$200,0,MATCH(Q$2,Inputs!$D$2:$AG$2,0)),Inputs!$B$4:$B$200,$B68)/1000)</f>
        <v>17734</v>
      </c>
      <c r="R68" s="12">
        <f>IF(COUNT(N68:Q68)=4,SUM(N68:Q68),"")</f>
        <v>67498</v>
      </c>
      <c r="S68" s="11">
        <f>IF(SUMPRODUCT((Inputs!$B$4:$B$200=$B68)*ISNUMBER(INDEX(Inputs!$D$4:$AG$200,0,MATCH(S$2,Inputs!$D$2:$AG$2,0))))=0,"",SUMIFS(INDEX(Inputs!$D$4:$AG$200,0,MATCH(S$2,Inputs!$D$2:$AG$2,0)),Inputs!$B$4:$B$200,$B68)/1000)</f>
        <v>15747</v>
      </c>
      <c r="T68" s="11">
        <f>IF(SUMPRODUCT((Inputs!$B$4:$B$200=$B68)*ISNUMBER(INDEX(Inputs!$D$4:$AG$200,0,MATCH(T$2,Inputs!$D$2:$AG$2,0))))=0,"",SUMIFS(INDEX(Inputs!$D$4:$AG$200,0,MATCH(T$2,Inputs!$D$2:$AG$2,0)),Inputs!$B$4:$B$200,$B68)/1000)</f>
        <v>14580</v>
      </c>
      <c r="U68" s="11">
        <f>IF(SUMPRODUCT((Inputs!$B$4:$B$200=$B68)*ISNUMBER(INDEX(Inputs!$D$4:$AG$200,0,MATCH(U$2,Inputs!$D$2:$AG$2,0))))=0,"",SUMIFS(INDEX(Inputs!$D$4:$AG$200,0,MATCH(U$2,Inputs!$D$2:$AG$2,0)),Inputs!$B$4:$B$200,$B68)/1000)</f>
        <v>14121</v>
      </c>
      <c r="V68" s="11">
        <f>IF(SUMPRODUCT((Inputs!$B$4:$B$200=$B68)*ISNUMBER(INDEX(Inputs!$D$4:$AG$200,0,MATCH(V$2,Inputs!$D$2:$AG$2,0))))=0,"",SUMIFS(INDEX(Inputs!$D$4:$AG$200,0,MATCH(V$2,Inputs!$D$2:$AG$2,0)),Inputs!$B$4:$B$200,$B68)/1000)</f>
        <v>14730</v>
      </c>
      <c r="W68" s="12">
        <f>IF(COUNT(S68:V68)=4,SUM(S68:V68),"")</f>
        <v>59178</v>
      </c>
      <c r="X68" s="11">
        <f>IF(SUMPRODUCT((Inputs!$B$4:$B$200=$B68)*ISNUMBER(INDEX(Inputs!$D$4:$AG$200,0,MATCH(X$2,Inputs!$D$2:$AG$2,0))))=0,"",SUMIFS(INDEX(Inputs!$D$4:$AG$200,0,MATCH(X$2,Inputs!$D$2:$AG$2,0)),Inputs!$B$4:$B$200,$B68)/1000)</f>
        <v>13801</v>
      </c>
      <c r="Y68" s="11">
        <f>IF(SUMPRODUCT((Inputs!$B$4:$B$200=$B68)*ISNUMBER(INDEX(Inputs!$D$4:$AG$200,0,MATCH(Y$2,Inputs!$D$2:$AG$2,0))))=0,"",SUMIFS(INDEX(Inputs!$D$4:$AG$200,0,MATCH(Y$2,Inputs!$D$2:$AG$2,0)),Inputs!$B$4:$B$200,$B68)/1000)</f>
        <v>13709</v>
      </c>
      <c r="Z68" s="11">
        <f>IF(SUMPRODUCT((Inputs!$B$4:$B$200=$B68)*ISNUMBER(INDEX(Inputs!$D$4:$AG$200,0,MATCH(Z$2,Inputs!$D$2:$AG$2,0))))=0,"",SUMIFS(INDEX(Inputs!$D$4:$AG$200,0,MATCH(Z$2,Inputs!$D$2:$AG$2,0)),Inputs!$B$4:$B$200,$B68)/1000)</f>
        <v>15284</v>
      </c>
      <c r="AA68" s="11">
        <f>IF(SUMPRODUCT((Inputs!$B$4:$B$200=$B68)*ISNUMBER(INDEX(Inputs!$D$4:$AG$200,0,MATCH(AA$2,Inputs!$D$2:$AG$2,0))))=0,"",SUMIFS(INDEX(Inputs!$D$4:$AG$200,0,MATCH(AA$2,Inputs!$D$2:$AG$2,0)),Inputs!$B$4:$B$200,$B68)/1000)</f>
        <v>15844</v>
      </c>
      <c r="AB68" s="12">
        <f>IF(COUNT(X68:AA68)=4,SUM(X68:AA68),"")</f>
        <v>58638</v>
      </c>
      <c r="AC68" s="11">
        <f>IF(SUMPRODUCT((Inputs!$B$4:$B$200=$B68)*ISNUMBER(INDEX(Inputs!$D$4:$AG$200,0,MATCH(AC$2,Inputs!$D$2:$AG$2,0))))=0,"",SUMIFS(INDEX(Inputs!$D$4:$AG$200,0,MATCH(AC$2,Inputs!$D$2:$AG$2,0)),Inputs!$B$4:$B$200,$B68)/1000)</f>
        <v>14120</v>
      </c>
      <c r="AD68" s="11">
        <f>IF(SUMPRODUCT((Inputs!$B$4:$B$200=$B68)*ISNUMBER(INDEX(Inputs!$D$4:$AG$200,0,MATCH(AD$2,Inputs!$D$2:$AG$2,0))))=0,"",SUMIFS(INDEX(Inputs!$D$4:$AG$200,0,MATCH(AD$2,Inputs!$D$2:$AG$2,0)),Inputs!$B$4:$B$200,$B68)/1000)</f>
        <v>14716</v>
      </c>
      <c r="AE68" s="11" t="str">
        <f>IF(SUMPRODUCT((Inputs!$B$4:$B$200=$B68)*ISNUMBER(INDEX(Inputs!$D$4:$AG$200,0,MATCH(AE$2,Inputs!$D$2:$AG$2,0))))=0,"",SUMIFS(INDEX(Inputs!$D$4:$AG$200,0,MATCH(AE$2,Inputs!$D$2:$AG$2,0)),Inputs!$B$4:$B$200,$B68)/1000)</f>
        <v/>
      </c>
      <c r="AF68" s="11" t="str">
        <f>IF(SUMPRODUCT((Inputs!$B$4:$B$200=$B68)*ISNUMBER(INDEX(Inputs!$D$4:$AG$200,0,MATCH(AF$2,Inputs!$D$2:$AG$2,0))))=0,"",SUMIFS(INDEX(Inputs!$D$4:$AG$200,0,MATCH(AF$2,Inputs!$D$2:$AG$2,0)),Inputs!$B$4:$B$200,$B68)/1000)</f>
        <v/>
      </c>
      <c r="AG68" s="12" t="str">
        <f>IF(COUNT(AC68:AF68)=4,SUM(AC68:AF68),"")</f>
        <v/>
      </c>
    </row>
    <row r="69">
      <c r="B69" s="9" t="n">
        <v>61</v>
      </c>
      <c r="C69" s="10" t="inlineStr">
        <is>
          <t>Land bank 100% - fim do periodo (R$ mil; l.40)</t>
        </is>
      </c>
      <c r="D69" s="11">
        <f>IF(SUMPRODUCT((Inputs!$B$4:$B$200=$B69)*ISNUMBER(INDEX(Inputs!$D$4:$AG$200,0,MATCH(D$2,Inputs!$D$2:$AG$2,0))))=0,"",SUMIFS(INDEX(Inputs!$D$4:$AG$200,0,MATCH(D$2,Inputs!$D$2:$AG$2,0)),Inputs!$B$4:$B$200,$B69)/1000)</f>
        <v>24936.828786436</v>
      </c>
      <c r="E69" s="11">
        <f>IF(SUMPRODUCT((Inputs!$B$4:$B$200=$B69)*ISNUMBER(INDEX(Inputs!$D$4:$AG$200,0,MATCH(E$2,Inputs!$D$2:$AG$2,0))))=0,"",SUMIFS(INDEX(Inputs!$D$4:$AG$200,0,MATCH(E$2,Inputs!$D$2:$AG$2,0)),Inputs!$B$4:$B$200,$B69)/1000)</f>
        <v>26486.851593264</v>
      </c>
      <c r="F69" s="11">
        <f>IF(SUMPRODUCT((Inputs!$B$4:$B$200=$B69)*ISNUMBER(INDEX(Inputs!$D$4:$AG$200,0,MATCH(F$2,Inputs!$D$2:$AG$2,0))))=0,"",SUMIFS(INDEX(Inputs!$D$4:$AG$200,0,MATCH(F$2,Inputs!$D$2:$AG$2,0)),Inputs!$B$4:$B$200,$B69)/1000)</f>
        <v>25474.474688302</v>
      </c>
      <c r="G69" s="11">
        <f>IF(SUMPRODUCT((Inputs!$B$4:$B$200=$B69)*ISNUMBER(INDEX(Inputs!$D$4:$AG$200,0,MATCH(G$2,Inputs!$D$2:$AG$2,0))))=0,"",SUMIFS(INDEX(Inputs!$D$4:$AG$200,0,MATCH(G$2,Inputs!$D$2:$AG$2,0)),Inputs!$B$4:$B$200,$B69)/1000)</f>
        <v>26806.721715994</v>
      </c>
      <c r="H69" s="12">
        <f>IF(COUNT(D69:G69)=4,SUM(D69:G69),"")</f>
        <v>103704.876783996</v>
      </c>
      <c r="I69" s="11">
        <f>IF(SUMPRODUCT((Inputs!$B$4:$B$200=$B69)*ISNUMBER(INDEX(Inputs!$D$4:$AG$200,0,MATCH(I$2,Inputs!$D$2:$AG$2,0))))=0,"",SUMIFS(INDEX(Inputs!$D$4:$AG$200,0,MATCH(I$2,Inputs!$D$2:$AG$2,0)),Inputs!$B$4:$B$200,$B69)/1000)</f>
        <v>27797.920787737</v>
      </c>
      <c r="J69" s="11">
        <f>IF(SUMPRODUCT((Inputs!$B$4:$B$200=$B69)*ISNUMBER(INDEX(Inputs!$D$4:$AG$200,0,MATCH(J$2,Inputs!$D$2:$AG$2,0))))=0,"",SUMIFS(INDEX(Inputs!$D$4:$AG$200,0,MATCH(J$2,Inputs!$D$2:$AG$2,0)),Inputs!$B$4:$B$200,$B69)/1000)</f>
        <v>28203.972840656</v>
      </c>
      <c r="K69" s="11">
        <f>IF(SUMPRODUCT((Inputs!$B$4:$B$200=$B69)*ISNUMBER(INDEX(Inputs!$D$4:$AG$200,0,MATCH(K$2,Inputs!$D$2:$AG$2,0))))=0,"",SUMIFS(INDEX(Inputs!$D$4:$AG$200,0,MATCH(K$2,Inputs!$D$2:$AG$2,0)),Inputs!$B$4:$B$200,$B69)/1000)</f>
        <v>28896.880767143</v>
      </c>
      <c r="L69" s="11">
        <f>IF(SUMPRODUCT((Inputs!$B$4:$B$200=$B69)*ISNUMBER(INDEX(Inputs!$D$4:$AG$200,0,MATCH(L$2,Inputs!$D$2:$AG$2,0))))=0,"",SUMIFS(INDEX(Inputs!$D$4:$AG$200,0,MATCH(L$2,Inputs!$D$2:$AG$2,0)),Inputs!$B$4:$B$200,$B69)/1000)</f>
        <v>32458.539903538</v>
      </c>
      <c r="M69" s="12">
        <f>IF(COUNT(I69:L69)=4,SUM(I69:L69),"")</f>
        <v>117357.314299074</v>
      </c>
      <c r="N69" s="11">
        <f>IF(SUMPRODUCT((Inputs!$B$4:$B$200=$B69)*ISNUMBER(INDEX(Inputs!$D$4:$AG$200,0,MATCH(N$2,Inputs!$D$2:$AG$2,0))))=0,"",SUMIFS(INDEX(Inputs!$D$4:$AG$200,0,MATCH(N$2,Inputs!$D$2:$AG$2,0)),Inputs!$B$4:$B$200,$B69)/1000)</f>
        <v>32505.330711433</v>
      </c>
      <c r="O69" s="11">
        <f>IF(SUMPRODUCT((Inputs!$B$4:$B$200=$B69)*ISNUMBER(INDEX(Inputs!$D$4:$AG$200,0,MATCH(O$2,Inputs!$D$2:$AG$2,0))))=0,"",SUMIFS(INDEX(Inputs!$D$4:$AG$200,0,MATCH(O$2,Inputs!$D$2:$AG$2,0)),Inputs!$B$4:$B$200,$B69)/1000)</f>
        <v>35133.506181113</v>
      </c>
      <c r="P69" s="11">
        <f>IF(SUMPRODUCT((Inputs!$B$4:$B$200=$B69)*ISNUMBER(INDEX(Inputs!$D$4:$AG$200,0,MATCH(P$2,Inputs!$D$2:$AG$2,0))))=0,"",SUMIFS(INDEX(Inputs!$D$4:$AG$200,0,MATCH(P$2,Inputs!$D$2:$AG$2,0)),Inputs!$B$4:$B$200,$B69)/1000)</f>
        <v>35769.587296003</v>
      </c>
      <c r="Q69" s="11">
        <f>IF(SUMPRODUCT((Inputs!$B$4:$B$200=$B69)*ISNUMBER(INDEX(Inputs!$D$4:$AG$200,0,MATCH(Q$2,Inputs!$D$2:$AG$2,0))))=0,"",SUMIFS(INDEX(Inputs!$D$4:$AG$200,0,MATCH(Q$2,Inputs!$D$2:$AG$2,0)),Inputs!$B$4:$B$200,$B69)/1000)</f>
        <v>36301.444675461</v>
      </c>
      <c r="R69" s="12">
        <f>IF(COUNT(N69:Q69)=4,SUM(N69:Q69),"")</f>
        <v>139709.86886401</v>
      </c>
      <c r="S69" s="11">
        <f>IF(SUMPRODUCT((Inputs!$B$4:$B$200=$B69)*ISNUMBER(INDEX(Inputs!$D$4:$AG$200,0,MATCH(S$2,Inputs!$D$2:$AG$2,0))))=0,"",SUMIFS(INDEX(Inputs!$D$4:$AG$200,0,MATCH(S$2,Inputs!$D$2:$AG$2,0)),Inputs!$B$4:$B$200,$B69)/1000)</f>
        <v>37282.561035461</v>
      </c>
      <c r="T69" s="11">
        <f>IF(SUMPRODUCT((Inputs!$B$4:$B$200=$B69)*ISNUMBER(INDEX(Inputs!$D$4:$AG$200,0,MATCH(T$2,Inputs!$D$2:$AG$2,0))))=0,"",SUMIFS(INDEX(Inputs!$D$4:$AG$200,0,MATCH(T$2,Inputs!$D$2:$AG$2,0)),Inputs!$B$4:$B$200,$B69)/1000)</f>
        <v>39678.34802647</v>
      </c>
      <c r="U69" s="11">
        <f>IF(SUMPRODUCT((Inputs!$B$4:$B$200=$B69)*ISNUMBER(INDEX(Inputs!$D$4:$AG$200,0,MATCH(U$2,Inputs!$D$2:$AG$2,0))))=0,"",SUMIFS(INDEX(Inputs!$D$4:$AG$200,0,MATCH(U$2,Inputs!$D$2:$AG$2,0)),Inputs!$B$4:$B$200,$B69)/1000)</f>
        <v>43238.92042152</v>
      </c>
      <c r="V69" s="11">
        <f>IF(SUMPRODUCT((Inputs!$B$4:$B$200=$B69)*ISNUMBER(INDEX(Inputs!$D$4:$AG$200,0,MATCH(V$2,Inputs!$D$2:$AG$2,0))))=0,"",SUMIFS(INDEX(Inputs!$D$4:$AG$200,0,MATCH(V$2,Inputs!$D$2:$AG$2,0)),Inputs!$B$4:$B$200,$B69)/1000)</f>
        <v>46239.914401028</v>
      </c>
      <c r="W69" s="12">
        <f>IF(COUNT(S69:V69)=4,SUM(S69:V69),"")</f>
        <v>166439.743884479</v>
      </c>
      <c r="X69" s="11">
        <f>IF(SUMPRODUCT((Inputs!$B$4:$B$200=$B69)*ISNUMBER(INDEX(Inputs!$D$4:$AG$200,0,MATCH(X$2,Inputs!$D$2:$AG$2,0))))=0,"",SUMIFS(INDEX(Inputs!$D$4:$AG$200,0,MATCH(X$2,Inputs!$D$2:$AG$2,0)),Inputs!$B$4:$B$200,$B69)/1000)</f>
        <v>46253.335528174</v>
      </c>
      <c r="Y69" s="11">
        <f>IF(SUMPRODUCT((Inputs!$B$4:$B$200=$B69)*ISNUMBER(INDEX(Inputs!$D$4:$AG$200,0,MATCH(Y$2,Inputs!$D$2:$AG$2,0))))=0,"",SUMIFS(INDEX(Inputs!$D$4:$AG$200,0,MATCH(Y$2,Inputs!$D$2:$AG$2,0)),Inputs!$B$4:$B$200,$B69)/1000)</f>
        <v>49901.268066826</v>
      </c>
      <c r="Z69" s="11">
        <f>IF(SUMPRODUCT((Inputs!$B$4:$B$200=$B69)*ISNUMBER(INDEX(Inputs!$D$4:$AG$200,0,MATCH(Z$2,Inputs!$D$2:$AG$2,0))))=0,"",SUMIFS(INDEX(Inputs!$D$4:$AG$200,0,MATCH(Z$2,Inputs!$D$2:$AG$2,0)),Inputs!$B$4:$B$200,$B69)/1000)</f>
        <v>51251.929</v>
      </c>
      <c r="AA69" s="11">
        <f>IF(SUMPRODUCT((Inputs!$B$4:$B$200=$B69)*ISNUMBER(INDEX(Inputs!$D$4:$AG$200,0,MATCH(AA$2,Inputs!$D$2:$AG$2,0))))=0,"",SUMIFS(INDEX(Inputs!$D$4:$AG$200,0,MATCH(AA$2,Inputs!$D$2:$AG$2,0)),Inputs!$B$4:$B$200,$B69)/1000)</f>
        <v>58452.2642</v>
      </c>
      <c r="AB69" s="12">
        <f>IF(COUNT(X69:AA69)=4,SUM(X69:AA69),"")</f>
        <v>205858.796795</v>
      </c>
      <c r="AC69" s="11">
        <f>IF(SUMPRODUCT((Inputs!$B$4:$B$200=$B69)*ISNUMBER(INDEX(Inputs!$D$4:$AG$200,0,MATCH(AC$2,Inputs!$D$2:$AG$2,0))))=0,"",SUMIFS(INDEX(Inputs!$D$4:$AG$200,0,MATCH(AC$2,Inputs!$D$2:$AG$2,0)),Inputs!$B$4:$B$200,$B69)/1000)</f>
        <v>59955.7353</v>
      </c>
      <c r="AD69" s="11">
        <f>IF(SUMPRODUCT((Inputs!$B$4:$B$200=$B69)*ISNUMBER(INDEX(Inputs!$D$4:$AG$200,0,MATCH(AD$2,Inputs!$D$2:$AG$2,0))))=0,"",SUMIFS(INDEX(Inputs!$D$4:$AG$200,0,MATCH(AD$2,Inputs!$D$2:$AG$2,0)),Inputs!$B$4:$B$200,$B69)/1000)</f>
        <v>63148.5697</v>
      </c>
      <c r="AE69" s="11" t="str">
        <f>IF(SUMPRODUCT((Inputs!$B$4:$B$200=$B69)*ISNUMBER(INDEX(Inputs!$D$4:$AG$200,0,MATCH(AE$2,Inputs!$D$2:$AG$2,0))))=0,"",SUMIFS(INDEX(Inputs!$D$4:$AG$200,0,MATCH(AE$2,Inputs!$D$2:$AG$2,0)),Inputs!$B$4:$B$200,$B69)/1000)</f>
        <v/>
      </c>
      <c r="AF69" s="11" t="str">
        <f>IF(SUMPRODUCT((Inputs!$B$4:$B$200=$B69)*ISNUMBER(INDEX(Inputs!$D$4:$AG$200,0,MATCH(AF$2,Inputs!$D$2:$AG$2,0))))=0,"",SUMIFS(INDEX(Inputs!$D$4:$AG$200,0,MATCH(AF$2,Inputs!$D$2:$AG$2,0)),Inputs!$B$4:$B$200,$B69)/1000)</f>
        <v/>
      </c>
      <c r="AG69" s="12" t="str">
        <f>IF(COUNT(AC69:AF69)=4,SUM(AC69:AF69),"")</f>
        <v/>
      </c>
    </row>
    <row r="70">
      <c r="B70" s="9" t="n">
        <v>62</v>
      </c>
      <c r="C70" s="10" t="inlineStr">
        <is>
          <t>Land bank - unidades (l.42)</t>
        </is>
      </c>
      <c r="D70" s="11">
        <f>IF(SUMPRODUCT((Inputs!$B$4:$B$200=$B70)*ISNUMBER(INDEX(Inputs!$D$4:$AG$200,0,MATCH(D$2,Inputs!$D$2:$AG$2,0))))=0,"",SUMIFS(INDEX(Inputs!$D$4:$AG$200,0,MATCH(D$2,Inputs!$D$2:$AG$2,0)),Inputs!$B$4:$B$200,$B70)/1000)</f>
        <v>144223</v>
      </c>
      <c r="E70" s="11">
        <f>IF(SUMPRODUCT((Inputs!$B$4:$B$200=$B70)*ISNUMBER(INDEX(Inputs!$D$4:$AG$200,0,MATCH(E$2,Inputs!$D$2:$AG$2,0))))=0,"",SUMIFS(INDEX(Inputs!$D$4:$AG$200,0,MATCH(E$2,Inputs!$D$2:$AG$2,0)),Inputs!$B$4:$B$200,$B70)/1000)</f>
        <v>151357</v>
      </c>
      <c r="F70" s="11">
        <f>IF(SUMPRODUCT((Inputs!$B$4:$B$200=$B70)*ISNUMBER(INDEX(Inputs!$D$4:$AG$200,0,MATCH(F$2,Inputs!$D$2:$AG$2,0))))=0,"",SUMIFS(INDEX(Inputs!$D$4:$AG$200,0,MATCH(F$2,Inputs!$D$2:$AG$2,0)),Inputs!$B$4:$B$200,$B70)/1000)</f>
        <v>147702</v>
      </c>
      <c r="G70" s="11">
        <f>IF(SUMPRODUCT((Inputs!$B$4:$B$200=$B70)*ISNUMBER(INDEX(Inputs!$D$4:$AG$200,0,MATCH(G$2,Inputs!$D$2:$AG$2,0))))=0,"",SUMIFS(INDEX(Inputs!$D$4:$AG$200,0,MATCH(G$2,Inputs!$D$2:$AG$2,0)),Inputs!$B$4:$B$200,$B70)/1000)</f>
        <v>151744</v>
      </c>
      <c r="H70" s="12">
        <f>IF(COUNT(D70:G70)=4,SUM(D70:G70),"")</f>
        <v>595026</v>
      </c>
      <c r="I70" s="11">
        <f>IF(SUMPRODUCT((Inputs!$B$4:$B$200=$B70)*ISNUMBER(INDEX(Inputs!$D$4:$AG$200,0,MATCH(I$2,Inputs!$D$2:$AG$2,0))))=0,"",SUMIFS(INDEX(Inputs!$D$4:$AG$200,0,MATCH(I$2,Inputs!$D$2:$AG$2,0)),Inputs!$B$4:$B$200,$B70)/1000)</f>
        <v>156004</v>
      </c>
      <c r="J70" s="11">
        <f>IF(SUMPRODUCT((Inputs!$B$4:$B$200=$B70)*ISNUMBER(INDEX(Inputs!$D$4:$AG$200,0,MATCH(J$2,Inputs!$D$2:$AG$2,0))))=0,"",SUMIFS(INDEX(Inputs!$D$4:$AG$200,0,MATCH(J$2,Inputs!$D$2:$AG$2,0)),Inputs!$B$4:$B$200,$B70)/1000)</f>
        <v>156148</v>
      </c>
      <c r="K70" s="11">
        <f>IF(SUMPRODUCT((Inputs!$B$4:$B$200=$B70)*ISNUMBER(INDEX(Inputs!$D$4:$AG$200,0,MATCH(K$2,Inputs!$D$2:$AG$2,0))))=0,"",SUMIFS(INDEX(Inputs!$D$4:$AG$200,0,MATCH(K$2,Inputs!$D$2:$AG$2,0)),Inputs!$B$4:$B$200,$B70)/1000)</f>
        <v>158073</v>
      </c>
      <c r="L70" s="11">
        <f>IF(SUMPRODUCT((Inputs!$B$4:$B$200=$B70)*ISNUMBER(INDEX(Inputs!$D$4:$AG$200,0,MATCH(L$2,Inputs!$D$2:$AG$2,0))))=0,"",SUMIFS(INDEX(Inputs!$D$4:$AG$200,0,MATCH(L$2,Inputs!$D$2:$AG$2,0)),Inputs!$B$4:$B$200,$B70)/1000)</f>
        <v>170693</v>
      </c>
      <c r="M70" s="12">
        <f>IF(COUNT(I70:L70)=4,SUM(I70:L70),"")</f>
        <v>640918</v>
      </c>
      <c r="N70" s="11">
        <f>IF(SUMPRODUCT((Inputs!$B$4:$B$200=$B70)*ISNUMBER(INDEX(Inputs!$D$4:$AG$200,0,MATCH(N$2,Inputs!$D$2:$AG$2,0))))=0,"",SUMIFS(INDEX(Inputs!$D$4:$AG$200,0,MATCH(N$2,Inputs!$D$2:$AG$2,0)),Inputs!$B$4:$B$200,$B70)/1000)</f>
        <v>169819</v>
      </c>
      <c r="O70" s="11">
        <f>IF(SUMPRODUCT((Inputs!$B$4:$B$200=$B70)*ISNUMBER(INDEX(Inputs!$D$4:$AG$200,0,MATCH(O$2,Inputs!$D$2:$AG$2,0))))=0,"",SUMIFS(INDEX(Inputs!$D$4:$AG$200,0,MATCH(O$2,Inputs!$D$2:$AG$2,0)),Inputs!$B$4:$B$200,$B70)/1000)</f>
        <v>179670</v>
      </c>
      <c r="P70" s="11">
        <f>IF(SUMPRODUCT((Inputs!$B$4:$B$200=$B70)*ISNUMBER(INDEX(Inputs!$D$4:$AG$200,0,MATCH(P$2,Inputs!$D$2:$AG$2,0))))=0,"",SUMIFS(INDEX(Inputs!$D$4:$AG$200,0,MATCH(P$2,Inputs!$D$2:$AG$2,0)),Inputs!$B$4:$B$200,$B70)/1000)</f>
        <v>181036</v>
      </c>
      <c r="Q70" s="11">
        <f>IF(SUMPRODUCT((Inputs!$B$4:$B$200=$B70)*ISNUMBER(INDEX(Inputs!$D$4:$AG$200,0,MATCH(Q$2,Inputs!$D$2:$AG$2,0))))=0,"",SUMIFS(INDEX(Inputs!$D$4:$AG$200,0,MATCH(Q$2,Inputs!$D$2:$AG$2,0)),Inputs!$B$4:$B$200,$B70)/1000)</f>
        <v>181519</v>
      </c>
      <c r="R70" s="12">
        <f>IF(COUNT(N70:Q70)=4,SUM(N70:Q70),"")</f>
        <v>712044</v>
      </c>
      <c r="S70" s="11">
        <f>IF(SUMPRODUCT((Inputs!$B$4:$B$200=$B70)*ISNUMBER(INDEX(Inputs!$D$4:$AG$200,0,MATCH(S$2,Inputs!$D$2:$AG$2,0))))=0,"",SUMIFS(INDEX(Inputs!$D$4:$AG$200,0,MATCH(S$2,Inputs!$D$2:$AG$2,0)),Inputs!$B$4:$B$200,$B70)/1000)</f>
        <v>186181</v>
      </c>
      <c r="T70" s="11">
        <f>IF(SUMPRODUCT((Inputs!$B$4:$B$200=$B70)*ISNUMBER(INDEX(Inputs!$D$4:$AG$200,0,MATCH(T$2,Inputs!$D$2:$AG$2,0))))=0,"",SUMIFS(INDEX(Inputs!$D$4:$AG$200,0,MATCH(T$2,Inputs!$D$2:$AG$2,0)),Inputs!$B$4:$B$200,$B70)/1000)</f>
        <v>195189</v>
      </c>
      <c r="U70" s="11">
        <f>IF(SUMPRODUCT((Inputs!$B$4:$B$200=$B70)*ISNUMBER(INDEX(Inputs!$D$4:$AG$200,0,MATCH(U$2,Inputs!$D$2:$AG$2,0))))=0,"",SUMIFS(INDEX(Inputs!$D$4:$AG$200,0,MATCH(U$2,Inputs!$D$2:$AG$2,0)),Inputs!$B$4:$B$200,$B70)/1000)</f>
        <v>205534</v>
      </c>
      <c r="V70" s="11">
        <f>IF(SUMPRODUCT((Inputs!$B$4:$B$200=$B70)*ISNUMBER(INDEX(Inputs!$D$4:$AG$200,0,MATCH(V$2,Inputs!$D$2:$AG$2,0))))=0,"",SUMIFS(INDEX(Inputs!$D$4:$AG$200,0,MATCH(V$2,Inputs!$D$2:$AG$2,0)),Inputs!$B$4:$B$200,$B70)/1000)</f>
        <v>209504</v>
      </c>
      <c r="W70" s="12">
        <f>IF(COUNT(S70:V70)=4,SUM(S70:V70),"")</f>
        <v>796408</v>
      </c>
      <c r="X70" s="11">
        <f>IF(SUMPRODUCT((Inputs!$B$4:$B$200=$B70)*ISNUMBER(INDEX(Inputs!$D$4:$AG$200,0,MATCH(X$2,Inputs!$D$2:$AG$2,0))))=0,"",SUMIFS(INDEX(Inputs!$D$4:$AG$200,0,MATCH(X$2,Inputs!$D$2:$AG$2,0)),Inputs!$B$4:$B$200,$B70)/1000)</f>
        <v>198296</v>
      </c>
      <c r="Y70" s="11">
        <f>IF(SUMPRODUCT((Inputs!$B$4:$B$200=$B70)*ISNUMBER(INDEX(Inputs!$D$4:$AG$200,0,MATCH(Y$2,Inputs!$D$2:$AG$2,0))))=0,"",SUMIFS(INDEX(Inputs!$D$4:$AG$200,0,MATCH(Y$2,Inputs!$D$2:$AG$2,0)),Inputs!$B$4:$B$200,$B70)/1000)</f>
        <v>217749</v>
      </c>
      <c r="Z70" s="11">
        <f>IF(SUMPRODUCT((Inputs!$B$4:$B$200=$B70)*ISNUMBER(INDEX(Inputs!$D$4:$AG$200,0,MATCH(Z$2,Inputs!$D$2:$AG$2,0))))=0,"",SUMIFS(INDEX(Inputs!$D$4:$AG$200,0,MATCH(Z$2,Inputs!$D$2:$AG$2,0)),Inputs!$B$4:$B$200,$B70)/1000)</f>
        <v>220267</v>
      </c>
      <c r="AA70" s="11">
        <f>IF(SUMPRODUCT((Inputs!$B$4:$B$200=$B70)*ISNUMBER(INDEX(Inputs!$D$4:$AG$200,0,MATCH(AA$2,Inputs!$D$2:$AG$2,0))))=0,"",SUMIFS(INDEX(Inputs!$D$4:$AG$200,0,MATCH(AA$2,Inputs!$D$2:$AG$2,0)),Inputs!$B$4:$B$200,$B70)/1000)</f>
        <v>241470</v>
      </c>
      <c r="AB70" s="12">
        <f>IF(COUNT(X70:AA70)=4,SUM(X70:AA70),"")</f>
        <v>877782</v>
      </c>
      <c r="AC70" s="11">
        <f>IF(SUMPRODUCT((Inputs!$B$4:$B$200=$B70)*ISNUMBER(INDEX(Inputs!$D$4:$AG$200,0,MATCH(AC$2,Inputs!$D$2:$AG$2,0))))=0,"",SUMIFS(INDEX(Inputs!$D$4:$AG$200,0,MATCH(AC$2,Inputs!$D$2:$AG$2,0)),Inputs!$B$4:$B$200,$B70)/1000)</f>
        <v>245749</v>
      </c>
      <c r="AD70" s="11">
        <f>IF(SUMPRODUCT((Inputs!$B$4:$B$200=$B70)*ISNUMBER(INDEX(Inputs!$D$4:$AG$200,0,MATCH(AD$2,Inputs!$D$2:$AG$2,0))))=0,"",SUMIFS(INDEX(Inputs!$D$4:$AG$200,0,MATCH(AD$2,Inputs!$D$2:$AG$2,0)),Inputs!$B$4:$B$200,$B70)/1000)</f>
        <v>254458</v>
      </c>
      <c r="AE70" s="11" t="str">
        <f>IF(SUMPRODUCT((Inputs!$B$4:$B$200=$B70)*ISNUMBER(INDEX(Inputs!$D$4:$AG$200,0,MATCH(AE$2,Inputs!$D$2:$AG$2,0))))=0,"",SUMIFS(INDEX(Inputs!$D$4:$AG$200,0,MATCH(AE$2,Inputs!$D$2:$AG$2,0)),Inputs!$B$4:$B$200,$B70)/1000)</f>
        <v/>
      </c>
      <c r="AF70" s="11" t="str">
        <f>IF(SUMPRODUCT((Inputs!$B$4:$B$200=$B70)*ISNUMBER(INDEX(Inputs!$D$4:$AG$200,0,MATCH(AF$2,Inputs!$D$2:$AG$2,0))))=0,"",SUMIFS(INDEX(Inputs!$D$4:$AG$200,0,MATCH(AF$2,Inputs!$D$2:$AG$2,0)),Inputs!$B$4:$B$200,$B70)/1000)</f>
        <v/>
      </c>
      <c r="AG70" s="12" t="str">
        <f>IF(COUNT(AC70:AF70)=4,SUM(AC70:AF70),"")</f>
        <v/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C392"/>
  <sheetViews>
    <sheetView showGridLines="0" zoomScaleNormal="100" workbookViewId="0">
      <pane xSplit="3" ySplit="11" topLeftCell="D270" activePane="bottomRight" state="frozen"/>
      <selection pane="topRight" activeCell="D1" sqref="D1"/>
      <selection pane="bottomLeft" activeCell="A12" sqref="A12"/>
      <selection pane="bottomRight" activeCell="O315" sqref="O315"/>
    </sheetView>
  </sheetViews>
  <sheetFormatPr baseColWidth="8" defaultColWidth="10.42578125" defaultRowHeight="12.75" outlineLevelRow="1"/>
  <cols>
    <col width="2" customWidth="1" style="3" min="1" max="1"/>
    <col width="8.85546875" customWidth="1" style="3" min="2" max="2"/>
    <col width="96.140625" customWidth="1" style="4" min="3" max="3"/>
    <col width="13" customWidth="1" style="4" min="4" max="24"/>
    <col width="12.7109375" customWidth="1" style="4" min="25" max="25"/>
    <col width="13" customWidth="1" style="4" min="26" max="27"/>
    <col width="12.7109375" customWidth="1" style="4" min="28" max="28"/>
    <col width="14" customWidth="1" style="4" min="29" max="29"/>
    <col width="15.140625" customWidth="1" style="4" min="30" max="30"/>
    <col width="12.42578125" customWidth="1" style="4" min="31" max="31"/>
    <col width="11.5703125" customWidth="1" style="4" min="32" max="32"/>
    <col width="12.42578125" customWidth="1" style="4" min="33" max="33"/>
    <col width="11.5703125" customWidth="1" style="4" min="34" max="34"/>
    <col width="12.7109375" customWidth="1" style="4" min="35" max="35"/>
    <col width="11.5703125" customWidth="1" style="4" min="36" max="37"/>
    <col width="11.28515625" customWidth="1" style="4" min="38" max="38"/>
    <col width="11.5703125" customWidth="1" style="4" min="39" max="39"/>
    <col width="12.7109375" customWidth="1" style="4" min="40" max="40"/>
    <col width="11.5703125" customWidth="1" style="4" min="41" max="42"/>
    <col width="11.28515625" customWidth="1" style="4" min="43" max="43"/>
    <col width="11.5703125" customWidth="1" style="4" min="44" max="44"/>
    <col width="12.7109375" customWidth="1" style="4" min="45" max="45"/>
    <col width="11.5703125" customWidth="1" style="4" min="46" max="47"/>
    <col width="11.28515625" customWidth="1" style="4" min="48" max="48"/>
    <col width="11.5703125" customWidth="1" style="4" min="49" max="49"/>
    <col width="12.7109375" customWidth="1" style="4" min="50" max="50"/>
    <col width="11.5703125" customWidth="1" style="4" min="51" max="52"/>
    <col width="11.28515625" customWidth="1" style="4" min="53" max="53"/>
    <col width="11.5703125" customWidth="1" style="4" min="54" max="54"/>
    <col width="12.7109375" customWidth="1" style="4" min="55" max="55"/>
    <col width="11.5703125" customWidth="1" style="4" min="56" max="57"/>
    <col width="11.28515625" customWidth="1" style="4" min="58" max="58"/>
    <col width="11.5703125" customWidth="1" style="4" min="59" max="59"/>
    <col width="12.7109375" customWidth="1" style="4" min="60" max="60"/>
    <col width="11.5703125" customWidth="1" style="4" min="61" max="62"/>
    <col width="11.28515625" customWidth="1" style="4" min="63" max="63"/>
    <col width="11.5703125" customWidth="1" style="4" min="64" max="64"/>
    <col width="12.7109375" customWidth="1" style="4" min="65" max="65"/>
    <col width="11.5703125" customWidth="1" style="4" min="66" max="67"/>
    <col width="11.28515625" customWidth="1" style="4" min="68" max="68"/>
    <col width="11.5703125" customWidth="1" style="4" min="69" max="69"/>
    <col width="12.7109375" customWidth="1" style="4" min="70" max="70"/>
    <col width="11.5703125" customWidth="1" style="4" min="71" max="72"/>
    <col width="11.28515625" customWidth="1" style="4" min="73" max="73"/>
    <col width="11.5703125" customWidth="1" style="4" min="74" max="74"/>
    <col width="12.7109375" customWidth="1" style="4" min="75" max="75"/>
    <col width="11.5703125" customWidth="1" style="4" min="76" max="77"/>
    <col width="11.28515625" customWidth="1" style="4" min="78" max="78"/>
    <col width="11.5703125" customWidth="1" style="4" min="79" max="79"/>
    <col width="12.7109375" customWidth="1" style="4" min="80" max="80"/>
    <col width="11.5703125" customWidth="1" style="4" min="81" max="82"/>
    <col width="11.28515625" customWidth="1" style="4" min="83" max="83"/>
    <col width="11.5703125" customWidth="1" style="4" min="84" max="84"/>
    <col width="12.7109375" customWidth="1" style="4" min="85" max="85"/>
    <col width="11.5703125" customWidth="1" style="4" min="86" max="87"/>
    <col width="11.28515625" customWidth="1" style="4" min="88" max="88"/>
    <col width="11.5703125" customWidth="1" style="4" min="89" max="89"/>
    <col width="12.7109375" customWidth="1" style="4" min="90" max="90"/>
    <col width="11.5703125" customWidth="1" style="4" min="91" max="92"/>
    <col width="11.28515625" customWidth="1" style="4" min="93" max="93"/>
    <col width="11.5703125" customWidth="1" style="4" min="94" max="94"/>
    <col width="12.7109375" customWidth="1" style="4" min="95" max="95"/>
    <col width="11.5703125" customWidth="1" style="4" min="96" max="97"/>
    <col width="11.28515625" customWidth="1" style="4" min="98" max="98"/>
    <col width="11.5703125" customWidth="1" style="4" min="99" max="99"/>
    <col width="12.7109375" customWidth="1" style="4" min="100" max="100"/>
    <col width="11.5703125" customWidth="1" style="4" min="101" max="102"/>
    <col width="11.28515625" customWidth="1" style="4" min="103" max="103"/>
    <col width="10.42578125" customWidth="1" style="4" min="104" max="106"/>
    <col width="10.42578125" customWidth="1" style="4" min="107" max="16384"/>
  </cols>
  <sheetData>
    <row r="1">
      <c r="C1" s="17" t="inlineStr">
        <is>
          <t>CHECKS</t>
        </is>
      </c>
      <c r="D1" s="12" t="n"/>
      <c r="E1" s="12" t="n"/>
      <c r="F1" s="12" t="n"/>
      <c r="G1" s="12" t="n"/>
      <c r="H1" s="12" t="n"/>
      <c r="I1" s="12">
        <f>IF(I2="","",SUM(I2,I3))</f>
        <v>1.00000363545405e-09</v>
      </c>
      <c r="J1" s="12">
        <f>IF(J2="","",SUM(J2,J3))</f>
        <v>9.99975213744619e-10</v>
      </c>
      <c r="K1" s="12">
        <f>IF(K2="","",SUM(K2,K3))</f>
        <v>1.00006047887291e-09</v>
      </c>
      <c r="L1" s="12">
        <f>IF(L2="","",SUM(L2,L3))</f>
        <v>0</v>
      </c>
      <c r="M1" s="12">
        <f>IF(M2="","",SUM(M2,M3))</f>
        <v>3.0000535389263e-09</v>
      </c>
      <c r="N1" s="12">
        <f>IF(N2="","",SUM(N2,N3))</f>
        <v>0</v>
      </c>
      <c r="O1" s="12">
        <f>IF(O2="","",SUM(O2,O3))</f>
        <v>0</v>
      </c>
      <c r="P1" s="12">
        <f>IF(P2="","",SUM(P2,P3))</f>
        <v>0.0019999999999456</v>
      </c>
      <c r="Q1" s="12">
        <f>IF(Q2="","",SUM(Q2,Q3))</f>
        <v>0</v>
      </c>
      <c r="R1" s="12">
        <f>IF(R2="","",SUM(R2,R3))</f>
        <v>0.00199999999992428</v>
      </c>
      <c r="S1" s="12">
        <f>IF(S2="","",SUM(S2,S3))</f>
        <v>0.00090777000059461</v>
      </c>
      <c r="T1" s="12">
        <f>IF(T2="","",SUM(T2,T3))</f>
        <v>0.000272000000222761</v>
      </c>
      <c r="U1" s="12">
        <f>IF(U2="","",SUM(U2,U3))</f>
        <v>0.00108023000103685</v>
      </c>
      <c r="V1" s="12">
        <f>IF(V2="","",SUM(V2,V3))</f>
        <v>0.000749509998968279</v>
      </c>
      <c r="W1" s="12">
        <f>IF(W2="","",SUM(W2,W3))</f>
        <v>0.00174950999991097</v>
      </c>
      <c r="X1" s="12">
        <f>IF(X2="","",SUM(X2,X3))</f>
        <v>0.00164732999911621</v>
      </c>
      <c r="Y1" s="12">
        <f>IF(Y2="","",SUM(Y2,Y3))</f>
        <v>0.000933520001126453</v>
      </c>
      <c r="Z1" s="12">
        <f>IF(Z2="","",SUM(Z2,Z3))</f>
        <v>9.48799988691462e-05</v>
      </c>
      <c r="AA1" s="12">
        <f>IF(AA2="","",SUM(AA2,AA3))</f>
        <v>0</v>
      </c>
      <c r="AB1" s="12">
        <f>IF(AB2="","",SUM(AB2,AB3))</f>
        <v>0.00100000000009004</v>
      </c>
      <c r="AC1" s="12">
        <f>IF(AC2="","",SUM(AC2,AC3))</f>
        <v>0</v>
      </c>
      <c r="AD1" s="12">
        <f>IF(AD2="","",SUM(AD2,AD3))</f>
        <v>0</v>
      </c>
      <c r="AE1" s="12">
        <f>IF(AE2="","",SUM(AE2,AE3))</f>
        <v>0</v>
      </c>
      <c r="AF1" s="12">
        <f>IF(AF2="","",SUM(AF2,AF3))</f>
        <v>0.000999999999862666</v>
      </c>
      <c r="AG1" s="12">
        <f>IF(AG2="","",SUM(AG2,AG3))</f>
        <v>0.00099999999974898</v>
      </c>
      <c r="AH1" s="12">
        <f>IF(AH2="","",SUM(AH2,AH3))</f>
        <v>0</v>
      </c>
      <c r="AI1" s="12">
        <f>IF(AI2="","",SUM(AI2,AI3))</f>
        <v>0</v>
      </c>
      <c r="AJ1" s="12">
        <f>IF(AJ2="","",SUM(AJ2,AJ3))</f>
        <v>427.033298925045</v>
      </c>
      <c r="AK1" s="12">
        <f>IF(AK2="","",SUM(AK2,AK3))</f>
        <v>452.120730244756</v>
      </c>
      <c r="AL1" s="12">
        <f>IF(AL2="","",SUM(AL2,AL3))</f>
        <v>1293.9630994598</v>
      </c>
      <c r="AM1" s="12">
        <f>IF(AM2="","",SUM(AM2,AM3))</f>
        <v>429.50589727211</v>
      </c>
      <c r="AN1" s="12">
        <f>IF(AN2="","",SUM(AN2,AN3))</f>
        <v>471.82406391076</v>
      </c>
      <c r="AO1" s="12">
        <f>IF(AO2="","",SUM(AO2,AO3))</f>
        <v>547.928807942789</v>
      </c>
      <c r="AP1" s="12">
        <f>IF(AP2="","",SUM(AP2,AP3))</f>
        <v>580.118631012696</v>
      </c>
      <c r="AQ1" s="12">
        <f>IF(AQ2="","",SUM(AQ2,AQ3))</f>
        <v>2029.37740013835</v>
      </c>
      <c r="AR1" s="12">
        <f>IF(AR2="","",SUM(AR2,AR3))</f>
        <v>548.953883188282</v>
      </c>
      <c r="AS1" s="12">
        <f>IF(AS2="","",SUM(AS2,AS3))</f>
        <v>603.040968029816</v>
      </c>
      <c r="AT1" s="12">
        <f>IF(AT2="","",SUM(AT2,AT3))</f>
        <v>700.310865907293</v>
      </c>
      <c r="AU1" s="12">
        <f>IF(AU2="","",SUM(AU2,AU3))</f>
        <v>741.452858335336</v>
      </c>
      <c r="AV1" s="12">
        <f>IF(AV2="","",SUM(AV2,AV3))</f>
        <v>2593.75857546073</v>
      </c>
      <c r="AW1" s="12">
        <f>IF(AW2="","",SUM(AW2,AW3))</f>
        <v>698.876250880727</v>
      </c>
      <c r="AX1" s="12">
        <f>IF(AX2="","",SUM(AX2,AX3))</f>
        <v>767.734820302949</v>
      </c>
      <c r="AY1" s="12">
        <f>IF(AY2="","",SUM(AY2,AY3))</f>
        <v>891.569669885108</v>
      </c>
      <c r="AZ1" s="12">
        <f>IF(AZ2="","",SUM(AZ2,AZ3))</f>
        <v>943.947769944949</v>
      </c>
      <c r="BA1" s="12">
        <f>IF(BA2="","",SUM(BA2,BA3))</f>
        <v>3302.12851101373</v>
      </c>
      <c r="BB1" s="12">
        <f>IF(BB2="","",SUM(BB2,BB3))</f>
        <v>886.248872237762</v>
      </c>
      <c r="BC1" s="12">
        <f>IF(BC2="","",SUM(BC2,BC3))</f>
        <v>973.56880823136</v>
      </c>
      <c r="BD1" s="12">
        <f>IF(BD2="","",SUM(BD2,BD3))</f>
        <v>1130.60447176638</v>
      </c>
      <c r="BE1" s="12">
        <f>IF(BE2="","",SUM(BE2,BE3))</f>
        <v>1197.02543262961</v>
      </c>
      <c r="BF1" s="12">
        <f>IF(BF2="","",SUM(BF2,BF3))</f>
        <v>4187.44758486511</v>
      </c>
      <c r="BG1" s="12" t="n"/>
      <c r="BH1" s="12" t="n"/>
      <c r="BI1" s="12" t="n"/>
      <c r="BJ1" s="12" t="n"/>
      <c r="BK1" s="12" t="n"/>
      <c r="BL1" s="12" t="n"/>
      <c r="BM1" s="12" t="n"/>
      <c r="BN1" s="12" t="n"/>
      <c r="BO1" s="12" t="n"/>
      <c r="BP1" s="12" t="n"/>
      <c r="BQ1" s="12" t="n"/>
      <c r="BR1" s="12" t="n"/>
      <c r="BS1" s="12" t="n"/>
      <c r="BT1" s="12" t="n"/>
      <c r="BU1" s="12" t="n"/>
      <c r="BV1" s="12" t="n"/>
      <c r="BW1" s="12" t="n"/>
      <c r="BX1" s="12" t="n"/>
      <c r="BY1" s="12" t="n"/>
      <c r="BZ1" s="12" t="n"/>
      <c r="CA1" s="12" t="n"/>
      <c r="CB1" s="12" t="n"/>
      <c r="CC1" s="12" t="n"/>
      <c r="CD1" s="12" t="n"/>
      <c r="CE1" s="12" t="n"/>
      <c r="CF1" s="12" t="n"/>
      <c r="CG1" s="12" t="n"/>
      <c r="CH1" s="12" t="n"/>
      <c r="CI1" s="12" t="n"/>
      <c r="CJ1" s="12" t="n"/>
      <c r="CK1" s="12" t="n"/>
      <c r="CL1" s="12" t="n"/>
      <c r="CM1" s="12" t="n"/>
      <c r="CN1" s="12" t="n"/>
      <c r="CO1" s="12" t="n"/>
      <c r="CP1" s="12" t="n"/>
      <c r="CQ1" s="12" t="n"/>
      <c r="CR1" s="12" t="n"/>
      <c r="CS1" s="12" t="n"/>
      <c r="CT1" s="12" t="n"/>
      <c r="CU1" s="12" t="n"/>
      <c r="CV1" s="12" t="n"/>
      <c r="CW1" s="12" t="n"/>
      <c r="CX1" s="12" t="n"/>
      <c r="CY1" s="12" t="n"/>
    </row>
    <row r="2">
      <c r="C2" s="18" t="inlineStr">
        <is>
          <t>BS</t>
        </is>
      </c>
      <c r="D2" s="12" t="n"/>
      <c r="E2" s="12" t="n"/>
      <c r="F2" s="12" t="n"/>
      <c r="G2" s="12" t="n"/>
      <c r="H2" s="12" t="n"/>
      <c r="I2" s="12">
        <f>IF(COUNT(I197,I273)&lt;2,"",ABS(I197-I273))</f>
        <v>0</v>
      </c>
      <c r="J2" s="12">
        <f>IF(COUNT(J197,J273)&lt;2,"",ABS(J197-J273))</f>
        <v>0</v>
      </c>
      <c r="K2" s="12">
        <f>IF(COUNT(K197,K273)&lt;2,"",ABS(K197-K273))</f>
        <v>0</v>
      </c>
      <c r="L2" s="12">
        <f>IF(COUNT(L197,L273)&lt;2,"",ABS(L197-L273))</f>
        <v>0</v>
      </c>
      <c r="M2" s="12">
        <f>IF(COUNT(M197,M273)&lt;2,"",ABS(M197-M273))</f>
        <v>0</v>
      </c>
      <c r="N2" s="12">
        <f>IF(COUNT(N197,N273)&lt;2,"",ABS(N197-N273))</f>
        <v>0</v>
      </c>
      <c r="O2" s="12">
        <f>IF(COUNT(O197,O273)&lt;2,"",ABS(O197-O273))</f>
        <v>0</v>
      </c>
      <c r="P2" s="12">
        <f>IF(COUNT(P197,P273)&lt;2,"",ABS(P197-P273))</f>
        <v>0</v>
      </c>
      <c r="Q2" s="12">
        <f>IF(COUNT(Q197,Q273)&lt;2,"",ABS(Q197-Q273))</f>
        <v>0</v>
      </c>
      <c r="R2" s="12">
        <f>IF(COUNT(R197,R273)&lt;2,"",ABS(R197-R273))</f>
        <v>0</v>
      </c>
      <c r="S2" s="12">
        <f>IF(COUNT(S197,S273)&lt;2,"",ABS(S197-S273))</f>
        <v>0.00090777000059461</v>
      </c>
      <c r="T2" s="12">
        <f>IF(COUNT(T197,T273)&lt;2,"",ABS(T197-T273))</f>
        <v>0.000272000000222761</v>
      </c>
      <c r="U2" s="12">
        <f>IF(COUNT(U197,U273)&lt;2,"",ABS(U197-U273))</f>
        <v>8.02300010036561e-05</v>
      </c>
      <c r="V2" s="12">
        <f>IF(COUNT(V197,V273)&lt;2,"",ABS(V197-V273))</f>
        <v>0.000749509998968279</v>
      </c>
      <c r="W2" s="12">
        <f>IF(COUNT(W197,W273)&lt;2,"",ABS(W197-W273))</f>
        <v>0.000749509999877773</v>
      </c>
      <c r="X2" s="12">
        <f>IF(COUNT(X197,X273)&lt;2,"",ABS(X197-X273))</f>
        <v>0.000647329999083013</v>
      </c>
      <c r="Y2" s="12">
        <f>IF(COUNT(Y197,Y273)&lt;2,"",ABS(Y197-Y273))</f>
        <v>0.000933520001126453</v>
      </c>
      <c r="Z2" s="12">
        <f>IF(COUNT(Z197,Z273)&lt;2,"",ABS(Z197-Z273))</f>
        <v>9.48799988691462e-05</v>
      </c>
      <c r="AA2" s="12">
        <f>IF(COUNT(AA197,AA273)&lt;2,"",ABS(AA197-AA273))</f>
        <v>0</v>
      </c>
      <c r="AB2" s="12">
        <f>IF(COUNT(AB197,AB273)&lt;2,"",ABS(AB197-AB273))</f>
        <v>0</v>
      </c>
      <c r="AC2" s="12">
        <f>IF(COUNT(AC197,AC273)&lt;2,"",ABS(AC197-AC273))</f>
        <v>0</v>
      </c>
      <c r="AD2" s="12">
        <f>IF(COUNT(AD197,AD273)&lt;2,"",ABS(AD197-AD273))</f>
        <v>0</v>
      </c>
      <c r="AE2" s="12">
        <f>IF(COUNT(AE197,AE273)&lt;2,"",ABS(AE197-AE273))</f>
        <v>0</v>
      </c>
      <c r="AF2" s="12">
        <f>IF(COUNT(AF197,AF273)&lt;2,"",ABS(AF197-AF273))</f>
        <v>0</v>
      </c>
      <c r="AG2" s="12">
        <f>IF(COUNT(AG197,AG273)&lt;2,"",ABS(AG197-AG273))</f>
        <v>0</v>
      </c>
      <c r="AH2" s="12">
        <f>IF(COUNT(AH197,AH273)&lt;2,"",ABS(AH197-AH273))</f>
        <v>0</v>
      </c>
      <c r="AI2" s="12">
        <f>IF(COUNT(AI197,AI273)&lt;2,"",ABS(AI197-AI273))</f>
        <v>0</v>
      </c>
      <c r="AJ2" s="12">
        <f>IF(COUNT(AJ197,AJ273)&lt;2,"",ABS(AJ197-AJ273))</f>
        <v>0</v>
      </c>
      <c r="AK2" s="12">
        <f>IF(COUNT(AK197,AK273)&lt;2,"",ABS(AK197-AK273))</f>
        <v>0</v>
      </c>
      <c r="AL2" s="12">
        <f>IF(COUNT(AL197,AL273)&lt;2,"",ABS(AL197-AL273))</f>
        <v>0</v>
      </c>
      <c r="AM2" s="12">
        <f>IF(COUNT(AM197,AM273)&lt;2,"",ABS(AM197-AM273))</f>
        <v>0</v>
      </c>
      <c r="AN2" s="12">
        <f>IF(COUNT(AN197,AN273)&lt;2,"",ABS(AN197-AN273))</f>
        <v>0</v>
      </c>
      <c r="AO2" s="12">
        <f>IF(COUNT(AO197,AO273)&lt;2,"",ABS(AO197-AO273))</f>
        <v>0</v>
      </c>
      <c r="AP2" s="12">
        <f>IF(COUNT(AP197,AP273)&lt;2,"",ABS(AP197-AP273))</f>
        <v>0</v>
      </c>
      <c r="AQ2" s="12">
        <f>IF(COUNT(AQ197,AQ273)&lt;2,"",ABS(AQ197-AQ273))</f>
        <v>0</v>
      </c>
      <c r="AR2" s="12">
        <f>IF(COUNT(AR197,AR273)&lt;2,"",ABS(AR197-AR273))</f>
        <v>0</v>
      </c>
      <c r="AS2" s="12">
        <f>IF(COUNT(AS197,AS273)&lt;2,"",ABS(AS197-AS273))</f>
        <v>0</v>
      </c>
      <c r="AT2" s="12">
        <f>IF(COUNT(AT197,AT273)&lt;2,"",ABS(AT197-AT273))</f>
        <v>0</v>
      </c>
      <c r="AU2" s="12">
        <f>IF(COUNT(AU197,AU273)&lt;2,"",ABS(AU197-AU273))</f>
        <v>0</v>
      </c>
      <c r="AV2" s="12">
        <f>IF(COUNT(AV197,AV273)&lt;2,"",ABS(AV197-AV273))</f>
        <v>0</v>
      </c>
      <c r="AW2" s="12">
        <f>IF(COUNT(AW197,AW273)&lt;2,"",ABS(AW197-AW273))</f>
        <v>0</v>
      </c>
      <c r="AX2" s="12">
        <f>IF(COUNT(AX197,AX273)&lt;2,"",ABS(AX197-AX273))</f>
        <v>0</v>
      </c>
      <c r="AY2" s="12">
        <f>IF(COUNT(AY197,AY273)&lt;2,"",ABS(AY197-AY273))</f>
        <v>0</v>
      </c>
      <c r="AZ2" s="12">
        <f>IF(COUNT(AZ197,AZ273)&lt;2,"",ABS(AZ197-AZ273))</f>
        <v>0</v>
      </c>
      <c r="BA2" s="12">
        <f>IF(COUNT(BA197,BA273)&lt;2,"",ABS(BA197-BA273))</f>
        <v>0</v>
      </c>
      <c r="BB2" s="12">
        <f>IF(COUNT(BB197,BB273)&lt;2,"",ABS(BB197-BB273))</f>
        <v>0</v>
      </c>
      <c r="BC2" s="12">
        <f>IF(COUNT(BC197,BC273)&lt;2,"",ABS(BC197-BC273))</f>
        <v>0</v>
      </c>
      <c r="BD2" s="12">
        <f>IF(COUNT(BD197,BD273)&lt;2,"",ABS(BD197-BD273))</f>
        <v>0</v>
      </c>
      <c r="BE2" s="12">
        <f>IF(COUNT(BE197,BE273)&lt;2,"",ABS(BE197-BE273))</f>
        <v>0</v>
      </c>
      <c r="BF2" s="12">
        <f>IF(COUNT(BF197,BF273)&lt;2,"",ABS(BF197-BF273))</f>
        <v>0</v>
      </c>
      <c r="BG2" s="12" t="n"/>
      <c r="BH2" s="12" t="n"/>
      <c r="BI2" s="12" t="n"/>
      <c r="BJ2" s="12" t="n"/>
      <c r="BK2" s="12" t="n"/>
      <c r="BL2" s="12" t="n"/>
      <c r="BM2" s="12" t="n"/>
      <c r="BN2" s="12" t="n"/>
      <c r="BO2" s="12" t="n"/>
      <c r="BP2" s="12" t="n"/>
      <c r="BQ2" s="12" t="n"/>
      <c r="BR2" s="12" t="n"/>
      <c r="BS2" s="12" t="n"/>
      <c r="BT2" s="12" t="n"/>
      <c r="BU2" s="12" t="n"/>
      <c r="BV2" s="12" t="n"/>
      <c r="BW2" s="12" t="n"/>
      <c r="BX2" s="12" t="n"/>
      <c r="BY2" s="12" t="n"/>
      <c r="BZ2" s="12" t="n"/>
      <c r="CA2" s="12" t="n"/>
      <c r="CB2" s="12" t="n"/>
      <c r="CC2" s="12" t="n"/>
      <c r="CD2" s="12" t="n"/>
      <c r="CE2" s="12" t="n"/>
      <c r="CF2" s="12" t="n"/>
      <c r="CG2" s="12" t="n"/>
      <c r="CH2" s="12" t="n"/>
      <c r="CI2" s="12" t="n"/>
      <c r="CJ2" s="12" t="n"/>
      <c r="CK2" s="12" t="n"/>
      <c r="CL2" s="12" t="n"/>
      <c r="CM2" s="12" t="n"/>
      <c r="CN2" s="12" t="n"/>
      <c r="CO2" s="12" t="n"/>
      <c r="CP2" s="12" t="n"/>
      <c r="CQ2" s="12" t="n"/>
      <c r="CR2" s="12" t="n"/>
      <c r="CS2" s="12" t="n"/>
      <c r="CT2" s="12" t="n"/>
      <c r="CU2" s="12" t="n"/>
      <c r="CV2" s="12" t="n"/>
      <c r="CW2" s="12" t="n"/>
      <c r="CX2" s="12" t="n"/>
      <c r="CY2" s="12" t="n"/>
    </row>
    <row r="3">
      <c r="C3" s="18" t="inlineStr">
        <is>
          <t>IS</t>
        </is>
      </c>
      <c r="D3" s="12" t="n"/>
      <c r="E3" s="12" t="n"/>
      <c r="F3" s="12" t="n"/>
      <c r="G3" s="12" t="n"/>
      <c r="H3" s="12" t="n"/>
      <c r="I3" s="12">
        <f>IF(COUNT(I137,I4)&lt;2,"",ABS(I137-I4))</f>
        <v>1.00000363545405e-09</v>
      </c>
      <c r="J3" s="12">
        <f>IF(COUNT(J137,J4)&lt;2,"",ABS(J137-J4))</f>
        <v>9.99975213744619e-10</v>
      </c>
      <c r="K3" s="12">
        <f>IF(COUNT(K137,K4)&lt;2,"",ABS(K137-K4))</f>
        <v>1.00006047887291e-09</v>
      </c>
      <c r="L3" s="12">
        <f>IF(COUNT(L137,L4)&lt;2,"",ABS(L137-L4))</f>
        <v>0</v>
      </c>
      <c r="M3" s="12">
        <f>IF(COUNT(M137,M4)&lt;2,"",ABS(M137-M4))</f>
        <v>3.0000535389263e-09</v>
      </c>
      <c r="N3" s="12">
        <f>IF(COUNT(N137,N4)&lt;2,"",ABS(N137-N4))</f>
        <v>0</v>
      </c>
      <c r="O3" s="12">
        <f>IF(COUNT(O137,O4)&lt;2,"",ABS(O137-O4))</f>
        <v>0</v>
      </c>
      <c r="P3" s="12">
        <f>IF(COUNT(P137,P4)&lt;2,"",ABS(P137-P4))</f>
        <v>0.0019999999999456</v>
      </c>
      <c r="Q3" s="12">
        <f>IF(COUNT(Q137,Q4)&lt;2,"",ABS(Q137-Q4))</f>
        <v>0</v>
      </c>
      <c r="R3" s="12">
        <f>IF(COUNT(R137,R4)&lt;2,"",ABS(R137-R4))</f>
        <v>0.00199999999992428</v>
      </c>
      <c r="S3" s="12">
        <f>IF(COUNT(S137,S4)&lt;2,"",ABS(S137-S4))</f>
        <v>0</v>
      </c>
      <c r="T3" s="12">
        <f>IF(COUNT(T137,T4)&lt;2,"",ABS(T137-T4))</f>
        <v>0</v>
      </c>
      <c r="U3" s="12">
        <f>IF(COUNT(U137,U4)&lt;2,"",ABS(U137-U4))</f>
        <v>0.0010000000000332</v>
      </c>
      <c r="V3" s="12">
        <f>IF(COUNT(V137,V4)&lt;2,"",ABS(V137-V4))</f>
        <v>0</v>
      </c>
      <c r="W3" s="12">
        <f>IF(COUNT(W137,W4)&lt;2,"",ABS(W137-W4))</f>
        <v>0.0010000000000332</v>
      </c>
      <c r="X3" s="12">
        <f>IF(COUNT(X137,X4)&lt;2,"",ABS(X137-X4))</f>
        <v>0.0010000000000332</v>
      </c>
      <c r="Y3" s="12">
        <f>IF(COUNT(Y137,Y4)&lt;2,"",ABS(Y137-Y4))</f>
        <v>0</v>
      </c>
      <c r="Z3" s="12">
        <f>IF(COUNT(Z137,Z4)&lt;2,"",ABS(Z137-Z4))</f>
        <v>0</v>
      </c>
      <c r="AA3" s="12">
        <f>IF(COUNT(AA137,AA4)&lt;2,"",ABS(AA137-AA4))</f>
        <v>0</v>
      </c>
      <c r="AB3" s="12">
        <f>IF(COUNT(AB137,AB4)&lt;2,"",ABS(AB137-AB4))</f>
        <v>0.00100000000009004</v>
      </c>
      <c r="AC3" s="12">
        <f>IF(COUNT(AC137,AC4)&lt;2,"",ABS(AC137-AC4))</f>
        <v>0</v>
      </c>
      <c r="AD3" s="12">
        <f>IF(COUNT(AD137,AD4)&lt;2,"",ABS(AD137-AD4))</f>
        <v>0</v>
      </c>
      <c r="AE3" s="12">
        <f>IF(COUNT(AE137,AE4)&lt;2,"",ABS(AE137-AE4))</f>
        <v>0</v>
      </c>
      <c r="AF3" s="12">
        <f>IF(COUNT(AF137,AF4)&lt;2,"",ABS(AF137-AF4))</f>
        <v>0.000999999999862666</v>
      </c>
      <c r="AG3" s="12">
        <f>IF(COUNT(AG137,AG4)&lt;2,"",ABS(AG137-AG4))</f>
        <v>0.00099999999974898</v>
      </c>
      <c r="AH3" s="12">
        <f>IF(COUNT(AH137,AH4)&lt;2,"",ABS(AH137-AH4))</f>
        <v>0</v>
      </c>
      <c r="AI3" s="12">
        <f>IF(COUNT(AI137,AI4)&lt;2,"",ABS(AI137-AI4))</f>
        <v>0</v>
      </c>
      <c r="AJ3" s="12">
        <f>ABS(AJ137-AJ4)</f>
        <v>427.033298925045</v>
      </c>
      <c r="AK3" s="12">
        <f>ABS(AK137-AK4)</f>
        <v>452.120730244756</v>
      </c>
      <c r="AL3" s="12">
        <f>ABS(AL137-AL4)</f>
        <v>1293.9630994598</v>
      </c>
      <c r="AM3" s="12">
        <f>ABS(AM137-AM4)</f>
        <v>429.50589727211</v>
      </c>
      <c r="AN3" s="12">
        <f>ABS(AN137-AN4)</f>
        <v>471.82406391076</v>
      </c>
      <c r="AO3" s="12">
        <f>ABS(AO137-AO4)</f>
        <v>547.928807942789</v>
      </c>
      <c r="AP3" s="12">
        <f>ABS(AP137-AP4)</f>
        <v>580.118631012696</v>
      </c>
      <c r="AQ3" s="12">
        <f>ABS(AQ137-AQ4)</f>
        <v>2029.37740013835</v>
      </c>
      <c r="AR3" s="12">
        <f>ABS(AR137-AR4)</f>
        <v>548.953883188282</v>
      </c>
      <c r="AS3" s="12">
        <f>ABS(AS137-AS4)</f>
        <v>603.040968029816</v>
      </c>
      <c r="AT3" s="12">
        <f>ABS(AT137-AT4)</f>
        <v>700.310865907293</v>
      </c>
      <c r="AU3" s="12">
        <f>ABS(AU137-AU4)</f>
        <v>741.452858335336</v>
      </c>
      <c r="AV3" s="12">
        <f>ABS(AV137-AV4)</f>
        <v>2593.75857546073</v>
      </c>
      <c r="AW3" s="12">
        <f>ABS(AW137-AW4)</f>
        <v>698.876250880727</v>
      </c>
      <c r="AX3" s="12">
        <f>ABS(AX137-AX4)</f>
        <v>767.734820302949</v>
      </c>
      <c r="AY3" s="12">
        <f>ABS(AY137-AY4)</f>
        <v>891.569669885108</v>
      </c>
      <c r="AZ3" s="12">
        <f>ABS(AZ137-AZ4)</f>
        <v>943.947769944949</v>
      </c>
      <c r="BA3" s="12">
        <f>ABS(BA137-BA4)</f>
        <v>3302.12851101373</v>
      </c>
      <c r="BB3" s="12">
        <f>ABS(BB137-BB4)</f>
        <v>886.248872237762</v>
      </c>
      <c r="BC3" s="12">
        <f>ABS(BC137-BC4)</f>
        <v>973.56880823136</v>
      </c>
      <c r="BD3" s="12">
        <f>ABS(BD137-BD4)</f>
        <v>1130.60447176638</v>
      </c>
      <c r="BE3" s="12">
        <f>ABS(BE137-BE4)</f>
        <v>1197.02543262961</v>
      </c>
      <c r="BF3" s="12">
        <f>ABS(BF137-BF4)</f>
        <v>4187.44758486511</v>
      </c>
      <c r="BG3" s="12" t="n"/>
      <c r="BH3" s="12" t="n"/>
      <c r="BI3" s="12" t="n"/>
      <c r="BJ3" s="12" t="n"/>
      <c r="BK3" s="12" t="n"/>
      <c r="BL3" s="12" t="n"/>
      <c r="BM3" s="12" t="n"/>
      <c r="BN3" s="12" t="n"/>
      <c r="BO3" s="12" t="n"/>
      <c r="BP3" s="12" t="n"/>
      <c r="BQ3" s="12" t="n"/>
      <c r="BR3" s="12" t="n"/>
      <c r="BS3" s="12" t="n"/>
      <c r="BT3" s="12" t="n"/>
      <c r="BU3" s="12" t="n"/>
      <c r="BV3" s="12" t="n"/>
      <c r="BW3" s="12" t="n"/>
      <c r="BX3" s="12" t="n"/>
      <c r="BY3" s="12" t="n"/>
      <c r="BZ3" s="12" t="n"/>
      <c r="CA3" s="12" t="n"/>
      <c r="CB3" s="12" t="n"/>
      <c r="CC3" s="12" t="n"/>
      <c r="CD3" s="12" t="n"/>
      <c r="CE3" s="12" t="n"/>
      <c r="CF3" s="12" t="n"/>
      <c r="CG3" s="12" t="n"/>
      <c r="CH3" s="12" t="n"/>
      <c r="CI3" s="12" t="n"/>
      <c r="CJ3" s="12" t="n"/>
      <c r="CK3" s="12" t="n"/>
      <c r="CL3" s="12" t="n"/>
      <c r="CM3" s="12" t="n"/>
      <c r="CN3" s="12" t="n"/>
      <c r="CO3" s="12" t="n"/>
      <c r="CP3" s="12" t="n"/>
      <c r="CQ3" s="12" t="n"/>
      <c r="CR3" s="12" t="n"/>
      <c r="CS3" s="12" t="n"/>
      <c r="CT3" s="12" t="n"/>
      <c r="CU3" s="12" t="n"/>
      <c r="CV3" s="12" t="n"/>
      <c r="CW3" s="12" t="n"/>
      <c r="CX3" s="12" t="n"/>
      <c r="CY3" s="12" t="n"/>
    </row>
    <row r="4">
      <c r="C4" s="17" t="inlineStr">
        <is>
          <t>Net Income reportado (lucro líquido) — base do check de DRE</t>
        </is>
      </c>
      <c r="H4" s="11" t="n"/>
      <c r="I4">
        <f>IF(ISNUMBER('Inputs (2)'!D50),'Inputs (2)'!D50,"")</f>
        <v>26.811643592</v>
      </c>
      <c r="J4">
        <f>IF(ISNUMBER('Inputs (2)'!E50),'Inputs (2)'!E50,"")</f>
        <v>40.623206562</v>
      </c>
      <c r="K4">
        <f>IF(ISNUMBER('Inputs (2)'!F50),'Inputs (2)'!F50,"")</f>
        <v>47.210111698</v>
      </c>
      <c r="L4">
        <f>IF(ISNUMBER('Inputs (2)'!G50),'Inputs (2)'!G50,"")</f>
        <v>31.958815488</v>
      </c>
      <c r="M4" s="11">
        <f>IF(COUNT(I4:L4)=4,SUM(I4:L4),"")</f>
        <v>146.60377734</v>
      </c>
      <c r="N4">
        <f>IF(ISNUMBER('Inputs (2)'!I50),'Inputs (2)'!I50,"")</f>
        <v>26.707</v>
      </c>
      <c r="O4">
        <f>IF(ISNUMBER('Inputs (2)'!J50),'Inputs (2)'!J50,"")</f>
        <v>22.436</v>
      </c>
      <c r="P4">
        <f>IF(ISNUMBER('Inputs (2)'!K50),'Inputs (2)'!K50,"")</f>
        <v>62.272</v>
      </c>
      <c r="Q4">
        <f>IF(ISNUMBER('Inputs (2)'!L50),'Inputs (2)'!L50,"")</f>
        <v>78.605</v>
      </c>
      <c r="R4" s="11">
        <f>IF(COUNT(N4:Q4)=4,SUM(N4:Q4),"")</f>
        <v>190.02</v>
      </c>
      <c r="S4">
        <f>IF(ISNUMBER('Inputs (2)'!N50),'Inputs (2)'!N50,"")</f>
        <v>58.754</v>
      </c>
      <c r="T4">
        <f>IF(ISNUMBER('Inputs (2)'!O50),'Inputs (2)'!O50,"")</f>
        <v>104.439</v>
      </c>
      <c r="U4">
        <f>IF(ISNUMBER('Inputs (2)'!P50),'Inputs (2)'!P50,"")</f>
        <v>68.7629458</v>
      </c>
      <c r="V4">
        <f>IF(ISNUMBER('Inputs (2)'!Q50),'Inputs (2)'!Q50,"")</f>
        <v>99.606</v>
      </c>
      <c r="W4" s="11">
        <f>IF(COUNT(S4:V4)=4,SUM(S4:V4),"")</f>
        <v>331.5619458</v>
      </c>
      <c r="X4">
        <f>IF(ISNUMBER('Inputs (2)'!S50),'Inputs (2)'!S50,"")</f>
        <v>150.28370318</v>
      </c>
      <c r="Y4">
        <f>IF(ISNUMBER('Inputs (2)'!T50),'Inputs (2)'!T50,"")</f>
        <v>146.169</v>
      </c>
      <c r="Z4">
        <f>IF(ISNUMBER('Inputs (2)'!U50),'Inputs (2)'!U50,"")</f>
        <v>160.46398368</v>
      </c>
      <c r="AA4">
        <f>IF(ISNUMBER('Inputs (2)'!V50),'Inputs (2)'!V50,"")</f>
        <v>181.461</v>
      </c>
      <c r="AB4" s="11">
        <f>IF(COUNT(X4:AA4)=4,SUM(X4:AA4),"")</f>
        <v>638.37768686</v>
      </c>
      <c r="AC4">
        <f>IF(ISNUMBER('Inputs (2)'!X50),'Inputs (2)'!X50,"")</f>
        <v>164.516</v>
      </c>
      <c r="AD4">
        <f>IF(ISNUMBER('Inputs (2)'!Y50),'Inputs (2)'!Y50,"")</f>
        <v>183.742</v>
      </c>
      <c r="AE4">
        <f>IF(ISNUMBER('Inputs (2)'!Z50),'Inputs (2)'!Z50,"")</f>
        <v>229.652</v>
      </c>
      <c r="AF4">
        <f>IF(ISNUMBER('Inputs (2)'!AA50),'Inputs (2)'!AA50,"")</f>
        <v>211.432</v>
      </c>
      <c r="AG4" s="11">
        <f>IF(COUNT(AC4:AF4)=4,SUM(AC4:AF4),"")</f>
        <v>789.342</v>
      </c>
      <c r="AH4" s="11">
        <f>IF(ISNUMBER('Inputs (2)'!AC50),'Inputs (2)'!AC50,"")</f>
        <v>213.16</v>
      </c>
      <c r="AI4" s="11">
        <f>IF(ISNUMBER('Inputs (2)'!AD50),'Inputs (2)'!AD50,"")</f>
        <v>201.64907029</v>
      </c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AZ4" s="11" t="n"/>
      <c r="BA4" s="11" t="n"/>
      <c r="BB4" s="11" t="n"/>
      <c r="BC4" s="11" t="n"/>
      <c r="BD4" s="11" t="n"/>
      <c r="BE4" s="11" t="n"/>
      <c r="BF4" s="11" t="n"/>
      <c r="BG4" s="11" t="n"/>
      <c r="BH4" s="11" t="n"/>
      <c r="BI4" s="11" t="n"/>
      <c r="BJ4" s="11" t="n"/>
      <c r="BK4" s="11" t="n"/>
      <c r="BL4" s="11" t="n"/>
      <c r="BM4" s="11" t="n"/>
      <c r="BN4" s="11" t="n"/>
      <c r="BO4" s="11" t="n"/>
      <c r="BP4" s="11" t="n"/>
      <c r="BQ4" s="11" t="n"/>
      <c r="BR4" s="11" t="n"/>
      <c r="BS4" s="11" t="n"/>
      <c r="BT4" s="11" t="n"/>
      <c r="BU4" s="11" t="n"/>
      <c r="BV4" s="11" t="n"/>
      <c r="BW4" s="11" t="n"/>
      <c r="BX4" s="11" t="n"/>
      <c r="BY4" s="11" t="n"/>
      <c r="BZ4" s="11" t="n"/>
      <c r="CA4" s="11" t="n"/>
      <c r="CB4" s="11" t="n"/>
      <c r="CC4" s="11" t="n"/>
      <c r="CD4" s="11" t="n"/>
      <c r="CE4" s="11" t="n"/>
      <c r="CF4" s="11" t="n"/>
      <c r="CG4" s="11" t="n"/>
      <c r="CH4" s="11" t="n"/>
      <c r="CI4" s="11" t="n"/>
      <c r="CJ4" s="11" t="n"/>
      <c r="CK4" s="11" t="n"/>
      <c r="CL4" s="11" t="n"/>
      <c r="CM4" s="11" t="n"/>
      <c r="CN4" s="11" t="n"/>
      <c r="CO4" s="11" t="n"/>
      <c r="CP4" s="11" t="n"/>
      <c r="CQ4" s="11" t="n"/>
      <c r="CR4" s="11" t="n"/>
      <c r="CS4" s="11" t="n"/>
      <c r="CT4" s="11" t="n"/>
      <c r="CU4" s="11" t="n"/>
      <c r="CV4" s="11" t="n"/>
      <c r="CW4" s="11" t="n"/>
      <c r="CX4" s="11" t="n"/>
      <c r="CY4" s="11" t="n"/>
    </row>
    <row r="5">
      <c r="B5" s="19" t="n">
        <v>45930</v>
      </c>
      <c r="D5" s="20" t="n"/>
      <c r="E5" s="21" t="n"/>
      <c r="F5" s="21" t="n"/>
      <c r="G5" s="21" t="n"/>
      <c r="H5" s="266" t="n">
        <v>44196</v>
      </c>
      <c r="I5" s="20" t="n">
        <v>44286</v>
      </c>
      <c r="J5" s="21">
        <f>DATE(YEAR(I5),MONTH(I5)+3,DAY(I5)-1)</f>
        <v>44377.0</v>
      </c>
      <c r="K5" s="21">
        <f>DATE(YEAR(J5),MONTH(J5)+3,DAY(J5))</f>
        <v>44469.0</v>
      </c>
      <c r="L5" s="21">
        <f>DATE(YEAR(K5),MONTH(K5)+3,DAY(K5)+1)</f>
        <v>44561.0</v>
      </c>
      <c r="M5" s="22">
        <f>L5</f>
        <v>44561.0</v>
      </c>
      <c r="N5" s="21">
        <f>DATE(YEAR(M5),MONTH(M5)+3,DAY(M5))</f>
        <v>44651.0</v>
      </c>
      <c r="O5" s="21">
        <f>DATE(YEAR(N5),MONTH(N5)+3,DAY(N5)-1)</f>
        <v>44742.0</v>
      </c>
      <c r="P5" s="21">
        <f>DATE(YEAR(O5),MONTH(O5)+3,DAY(O5))</f>
        <v>44834.0</v>
      </c>
      <c r="Q5" s="21">
        <f>DATE(YEAR(P5),MONTH(P5)+3,DAY(P5)+1)</f>
        <v>44926.0</v>
      </c>
      <c r="R5" s="22">
        <f>Q5</f>
        <v>44926.0</v>
      </c>
      <c r="S5" s="21">
        <f>DATE(YEAR(R5),MONTH(R5)+3,DAY(R5))</f>
        <v>45016.0</v>
      </c>
      <c r="T5" s="21">
        <f>DATE(YEAR(S5),MONTH(S5)+3,DAY(S5))-1</f>
        <v>45107.0</v>
      </c>
      <c r="U5" s="21">
        <f>DATE(YEAR(T5),MONTH(T5)+3,DAY(T5))</f>
        <v>45199.0</v>
      </c>
      <c r="V5" s="21">
        <f>DATE(YEAR(U5),MONTH(U5)+3,DAY(U5))+1</f>
        <v>45291.0</v>
      </c>
      <c r="W5" s="22">
        <f>V5</f>
        <v>45291.0</v>
      </c>
      <c r="X5" s="21">
        <f>DATE(YEAR(W5),MONTH(W5)+3,DAY(W5))</f>
        <v>45382.0</v>
      </c>
      <c r="Y5" s="21">
        <f>DATE(YEAR(X5),MONTH(X5)+3,DAY(X5))-1</f>
        <v>45473.0</v>
      </c>
      <c r="Z5" s="21">
        <f>DATE(YEAR(Y5),MONTH(Y5)+3,DAY(Y5))</f>
        <v>45565.0</v>
      </c>
      <c r="AA5" s="21">
        <f>DATE(YEAR(Z5),MONTH(Z5)+3,DAY(Z5))+1</f>
        <v>45657.0</v>
      </c>
      <c r="AB5" s="22">
        <f>AA5</f>
        <v>45657.0</v>
      </c>
      <c r="AC5" s="21">
        <f>DATE(YEAR(AB5),MONTH(AB5)+3,DAY(AB5))</f>
        <v>45747.0</v>
      </c>
      <c r="AD5" s="21">
        <f>DATE(YEAR(AC5),MONTH(AC5)+3,DAY(AC5))-1</f>
        <v>45838.0</v>
      </c>
      <c r="AE5" s="21">
        <f>DATE(YEAR(AD5),MONTH(AD5)+3,DAY(AD5))</f>
        <v>45930.0</v>
      </c>
      <c r="AF5" s="21">
        <f>DATE(YEAR(AE5),MONTH(AE5)+3,DAY(AE5))+1</f>
        <v>46022.0</v>
      </c>
      <c r="AG5" s="22">
        <f>AF5</f>
        <v>46022.0</v>
      </c>
      <c r="AH5" s="21">
        <f>DATE(YEAR(AG5),MONTH(AG5)+3,DAY(AG5))</f>
        <v>46112.0</v>
      </c>
      <c r="AI5" s="21">
        <f>DATE(YEAR(AH5),MONTH(AH5)+3,DAY(AH5))-1</f>
        <v>46203.0</v>
      </c>
      <c r="AJ5" s="21">
        <f>DATE(YEAR(AI5),MONTH(AI5)+3,DAY(AI5))</f>
        <v>46295.0</v>
      </c>
      <c r="AK5" s="21">
        <f>DATE(YEAR(AJ5),MONTH(AJ5)+3,DAY(AJ5))+1</f>
        <v>46387.0</v>
      </c>
      <c r="AL5" s="22">
        <f>AK5</f>
        <v>46387.0</v>
      </c>
      <c r="AM5" s="21">
        <f>DATE(YEAR(AL5),MONTH(AL5)+3,DAY(AL5))</f>
        <v>46477.0</v>
      </c>
      <c r="AN5" s="21">
        <f>DATE(YEAR(AM5),MONTH(AM5)+3,DAY(AM5))-1</f>
        <v>46568.0</v>
      </c>
      <c r="AO5" s="21">
        <f>DATE(YEAR(AN5),MONTH(AN5)+3,DAY(AN5))</f>
        <v>46660.0</v>
      </c>
      <c r="AP5" s="21">
        <f>DATE(YEAR(AO5),MONTH(AO5)+3,DAY(AO5))+1</f>
        <v>46752.0</v>
      </c>
      <c r="AQ5" s="22">
        <f>AP5</f>
        <v>46752.0</v>
      </c>
      <c r="AR5" s="21">
        <f>DATE(YEAR(AQ5),MONTH(AQ5)+3,DAY(AQ5))</f>
        <v>46843.0</v>
      </c>
      <c r="AS5" s="21">
        <f>DATE(YEAR(AR5),MONTH(AR5)+3,DAY(AR5))-1</f>
        <v>46934.0</v>
      </c>
      <c r="AT5" s="21">
        <f>DATE(YEAR(AS5),MONTH(AS5)+3,DAY(AS5))</f>
        <v>47026.0</v>
      </c>
      <c r="AU5" s="21">
        <f>DATE(YEAR(AT5),MONTH(AT5)+3,DAY(AT5))+1</f>
        <v>47118.0</v>
      </c>
      <c r="AV5" s="22">
        <f>AU5</f>
        <v>47118.0</v>
      </c>
      <c r="AW5" s="21">
        <f>DATE(YEAR(AV5),MONTH(AV5)+3,DAY(AV5))</f>
        <v>47208.0</v>
      </c>
      <c r="AX5" s="21">
        <f>DATE(YEAR(AW5),MONTH(AW5)+3,DAY(AW5))-1</f>
        <v>47299.0</v>
      </c>
      <c r="AY5" s="21">
        <f>DATE(YEAR(AX5),MONTH(AX5)+3,DAY(AX5))</f>
        <v>47391.0</v>
      </c>
      <c r="AZ5" s="21">
        <f>DATE(YEAR(AY5),MONTH(AY5)+3,DAY(AY5))+1</f>
        <v>47483.0</v>
      </c>
      <c r="BA5" s="22">
        <f>AZ5</f>
        <v>47483.0</v>
      </c>
      <c r="BB5" s="21">
        <f>DATE(YEAR(BA5),MONTH(BA5)+3,DAY(BA5))</f>
        <v>47573.0</v>
      </c>
      <c r="BC5" s="21">
        <f>DATE(YEAR(BB5),MONTH(BB5)+3,DAY(BB5))-1</f>
        <v>47664.0</v>
      </c>
      <c r="BD5" s="21">
        <f>DATE(YEAR(BC5),MONTH(BC5)+3,DAY(BC5))</f>
        <v>47756.0</v>
      </c>
      <c r="BE5" s="21">
        <f>DATE(YEAR(BD5),MONTH(BD5)+3,DAY(BD5))+1</f>
        <v>47848.0</v>
      </c>
      <c r="BF5" s="22">
        <f>BE5</f>
        <v>47848.0</v>
      </c>
      <c r="BG5" s="21" t="n"/>
      <c r="BH5" s="21" t="n"/>
      <c r="BI5" s="21" t="n"/>
      <c r="BJ5" s="21" t="n"/>
      <c r="BK5" s="22" t="n"/>
      <c r="BL5" s="21" t="n"/>
      <c r="BM5" s="21" t="n"/>
      <c r="BN5" s="21" t="n"/>
      <c r="BO5" s="21" t="n"/>
      <c r="BP5" s="22" t="n"/>
      <c r="BQ5" s="21" t="n"/>
      <c r="BR5" s="21" t="n"/>
      <c r="BS5" s="21" t="n"/>
      <c r="BT5" s="21" t="n"/>
      <c r="BU5" s="22" t="n"/>
      <c r="BV5" s="21" t="n"/>
      <c r="BW5" s="21" t="n"/>
      <c r="BX5" s="21" t="n"/>
      <c r="BY5" s="21" t="n"/>
      <c r="BZ5" s="22" t="n"/>
      <c r="CA5" s="21" t="n"/>
      <c r="CB5" s="21" t="n"/>
      <c r="CC5" s="21" t="n"/>
      <c r="CD5" s="21" t="n"/>
      <c r="CE5" s="22" t="n"/>
      <c r="CF5" s="21" t="n"/>
      <c r="CG5" s="21" t="n"/>
      <c r="CH5" s="21" t="n"/>
      <c r="CI5" s="21" t="n"/>
      <c r="CJ5" s="22" t="n"/>
      <c r="CK5" s="21" t="n"/>
      <c r="CL5" s="21" t="n"/>
      <c r="CM5" s="21" t="n"/>
      <c r="CN5" s="21" t="n"/>
      <c r="CO5" s="22" t="n"/>
      <c r="CP5" s="21" t="n"/>
      <c r="CQ5" s="21" t="n"/>
      <c r="CR5" s="21" t="n"/>
      <c r="CS5" s="21" t="n"/>
      <c r="CT5" s="22" t="n"/>
      <c r="CU5" s="21" t="n"/>
      <c r="CV5" s="21" t="n"/>
      <c r="CW5" s="21" t="n"/>
      <c r="CX5" s="21" t="n"/>
      <c r="CY5" s="22" t="n"/>
    </row>
    <row r="6">
      <c r="B6" s="23" t="n"/>
      <c r="D6" s="24" t="n"/>
      <c r="E6" s="24" t="n"/>
      <c r="F6" s="24" t="n"/>
      <c r="G6" s="24" t="n"/>
      <c r="H6" s="24" t="n"/>
      <c r="I6" s="24">
        <f>YEAR(I5)</f>
        <v>2021</v>
      </c>
      <c r="J6" s="24">
        <f>YEAR(J5)</f>
        <v>2021</v>
      </c>
      <c r="K6" s="24">
        <f>YEAR(K5)</f>
        <v>2021</v>
      </c>
      <c r="L6" s="24">
        <f>YEAR(L5)</f>
        <v>2021</v>
      </c>
      <c r="M6" s="24">
        <f>YEAR(M5)</f>
        <v>2021</v>
      </c>
      <c r="N6" s="24">
        <f>YEAR(N5)</f>
        <v>2022</v>
      </c>
      <c r="O6" s="24">
        <f>YEAR(O5)</f>
        <v>2022</v>
      </c>
      <c r="P6" s="24">
        <f>YEAR(P5)</f>
        <v>2022</v>
      </c>
      <c r="Q6" s="24">
        <f>YEAR(Q5)</f>
        <v>2022</v>
      </c>
      <c r="R6" s="24">
        <f>YEAR(R5)</f>
        <v>2022</v>
      </c>
      <c r="S6" s="24">
        <f>YEAR(S5)</f>
        <v>2023</v>
      </c>
      <c r="T6" s="24">
        <f>YEAR(T5)</f>
        <v>2023</v>
      </c>
      <c r="U6" s="24">
        <f>YEAR(U5)</f>
        <v>2023</v>
      </c>
      <c r="V6" s="24">
        <f>YEAR(V5)</f>
        <v>2023</v>
      </c>
      <c r="W6" s="24">
        <f>YEAR(W5)</f>
        <v>2023</v>
      </c>
      <c r="X6" s="24">
        <f>YEAR(X5)</f>
        <v>2024</v>
      </c>
      <c r="Y6" s="24">
        <f>YEAR(Y5)</f>
        <v>2024</v>
      </c>
      <c r="Z6" s="24">
        <f>YEAR(Z5)</f>
        <v>2024</v>
      </c>
      <c r="AA6" s="24">
        <f>YEAR(AA5)</f>
        <v>2024</v>
      </c>
      <c r="AB6" s="24">
        <f>YEAR(AB5)</f>
        <v>2024</v>
      </c>
      <c r="AC6" s="24">
        <f>YEAR(AC5)</f>
        <v>2025</v>
      </c>
      <c r="AD6" s="24">
        <f>YEAR(AD5)</f>
        <v>2025</v>
      </c>
      <c r="AE6" s="24">
        <f>YEAR(AE5)</f>
        <v>2025</v>
      </c>
      <c r="AF6" s="24">
        <f>YEAR(AF5)</f>
        <v>2025</v>
      </c>
      <c r="AG6" s="24">
        <f>YEAR(AG5)</f>
        <v>2025</v>
      </c>
      <c r="AH6" s="24">
        <f>YEAR(AH5)</f>
        <v>2026</v>
      </c>
      <c r="AI6" s="24">
        <f>YEAR(AI5)</f>
        <v>2026</v>
      </c>
      <c r="AJ6" s="24">
        <f>YEAR(AJ5)</f>
        <v>2026</v>
      </c>
      <c r="AK6" s="24">
        <f>YEAR(AK5)</f>
        <v>2026</v>
      </c>
      <c r="AL6" s="24">
        <f>YEAR(AL5)</f>
        <v>2026</v>
      </c>
      <c r="AM6" s="24">
        <f>YEAR(AM5)</f>
        <v>2027</v>
      </c>
      <c r="AN6" s="24">
        <f>YEAR(AN5)</f>
        <v>2027</v>
      </c>
      <c r="AO6" s="24">
        <f>YEAR(AO5)</f>
        <v>2027</v>
      </c>
      <c r="AP6" s="24">
        <f>YEAR(AP5)</f>
        <v>2027</v>
      </c>
      <c r="AQ6" s="24">
        <f>YEAR(AQ5)</f>
        <v>2027</v>
      </c>
      <c r="AR6" s="24">
        <f>YEAR(AR5)</f>
        <v>2028</v>
      </c>
      <c r="AS6" s="24">
        <f>YEAR(AS5)</f>
        <v>2028</v>
      </c>
      <c r="AT6" s="24">
        <f>YEAR(AT5)</f>
        <v>2028</v>
      </c>
      <c r="AU6" s="24">
        <f>YEAR(AU5)</f>
        <v>2028</v>
      </c>
      <c r="AV6" s="24">
        <f>YEAR(AV5)</f>
        <v>2028</v>
      </c>
      <c r="AW6" s="24">
        <f>YEAR(AW5)</f>
        <v>2029</v>
      </c>
      <c r="AX6" s="24">
        <f>YEAR(AX5)</f>
        <v>2029</v>
      </c>
      <c r="AY6" s="24">
        <f>YEAR(AY5)</f>
        <v>2029</v>
      </c>
      <c r="AZ6" s="24">
        <f>YEAR(AZ5)</f>
        <v>2029</v>
      </c>
      <c r="BA6" s="24">
        <f>YEAR(BA5)</f>
        <v>2029</v>
      </c>
      <c r="BB6" s="24">
        <f>YEAR(BB5)</f>
        <v>2030</v>
      </c>
      <c r="BC6" s="24">
        <f>YEAR(BC5)</f>
        <v>2030</v>
      </c>
      <c r="BD6" s="24">
        <f>YEAR(BD5)</f>
        <v>2030</v>
      </c>
      <c r="BE6" s="24">
        <f>YEAR(BE5)</f>
        <v>2030</v>
      </c>
      <c r="BF6" s="24">
        <f>YEAR(BF5)</f>
        <v>2030</v>
      </c>
      <c r="BG6" s="24" t="n"/>
      <c r="BH6" s="24" t="n"/>
      <c r="BI6" s="24" t="n"/>
      <c r="BJ6" s="24" t="n"/>
      <c r="BK6" s="24" t="n"/>
      <c r="BL6" s="24" t="n"/>
      <c r="BM6" s="24" t="n"/>
      <c r="BN6" s="24" t="n"/>
      <c r="BO6" s="24" t="n"/>
      <c r="BP6" s="24" t="n"/>
      <c r="BQ6" s="24" t="n"/>
      <c r="BR6" s="24" t="n"/>
      <c r="BS6" s="24" t="n"/>
      <c r="BT6" s="24" t="n"/>
      <c r="BU6" s="24" t="n"/>
      <c r="BV6" s="24" t="n"/>
      <c r="BW6" s="24" t="n"/>
      <c r="BX6" s="24" t="n"/>
      <c r="BY6" s="24" t="n"/>
      <c r="BZ6" s="24" t="n"/>
      <c r="CA6" s="24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  <c r="CR6" s="24" t="n"/>
      <c r="CS6" s="24" t="n"/>
      <c r="CT6" s="24" t="n"/>
      <c r="CU6" s="24" t="n"/>
      <c r="CV6" s="24" t="n"/>
      <c r="CW6" s="24" t="n"/>
      <c r="CX6" s="24" t="n"/>
      <c r="CY6" s="24" t="n"/>
    </row>
    <row r="7">
      <c r="B7" s="4" t="n"/>
      <c r="D7" s="25" t="n"/>
      <c r="E7" s="25" t="n"/>
      <c r="F7" s="25" t="n"/>
      <c r="G7" s="25" t="n"/>
      <c r="H7" s="26" t="n">
        <v>2020</v>
      </c>
      <c r="I7" s="25" t="str">
        <f>"1Q"&amp;RIGHT(I6,2)</f>
        <v>1Q21</v>
      </c>
      <c r="J7" s="25" t="str">
        <f>"2Q"&amp;RIGHT(J6,2)</f>
        <v>2Q21</v>
      </c>
      <c r="K7" s="25" t="str">
        <f>"3Q"&amp;RIGHT(K6,2)</f>
        <v>3Q21</v>
      </c>
      <c r="L7" s="25" t="str">
        <f>"4Q"&amp;RIGHT(L6,2)</f>
        <v>4Q21</v>
      </c>
      <c r="M7" s="26">
        <f>H7+1</f>
        <v>2021</v>
      </c>
      <c r="N7" s="25" t="str">
        <f>"1Q"&amp;RIGHT(N6,2)</f>
        <v>1Q22</v>
      </c>
      <c r="O7" s="25" t="str">
        <f>"2Q"&amp;RIGHT(O6,2)</f>
        <v>2Q22</v>
      </c>
      <c r="P7" s="25" t="str">
        <f>"3Q"&amp;RIGHT(P6,2)</f>
        <v>3Q22</v>
      </c>
      <c r="Q7" s="25" t="str">
        <f>"4Q"&amp;RIGHT(Q6,2)</f>
        <v>4Q22</v>
      </c>
      <c r="R7" s="26">
        <f>M7+1</f>
        <v>2022</v>
      </c>
      <c r="S7" s="25" t="str">
        <f>"1Q"&amp;RIGHT(S6,2)</f>
        <v>1Q23</v>
      </c>
      <c r="T7" s="25" t="str">
        <f>"2Q"&amp;RIGHT(T6,2)</f>
        <v>2Q23</v>
      </c>
      <c r="U7" s="25" t="str">
        <f>"3Q"&amp;RIGHT(U6,2)</f>
        <v>3Q23</v>
      </c>
      <c r="V7" s="25" t="str">
        <f>"4Q"&amp;RIGHT(V6,2)</f>
        <v>4Q23</v>
      </c>
      <c r="W7" s="26">
        <f>R7+1</f>
        <v>2023</v>
      </c>
      <c r="X7" s="25" t="str">
        <f>"1Q"&amp;RIGHT(X6,2)</f>
        <v>1Q24</v>
      </c>
      <c r="Y7" s="25" t="str">
        <f>"2Q"&amp;RIGHT(Y6,2)</f>
        <v>2Q24</v>
      </c>
      <c r="Z7" s="25" t="str">
        <f>"3Q"&amp;RIGHT(Z6,2)</f>
        <v>3Q24</v>
      </c>
      <c r="AA7" s="25" t="str">
        <f>"4Q"&amp;RIGHT(AA6,2)</f>
        <v>4Q24</v>
      </c>
      <c r="AB7" s="26">
        <f>W7+1</f>
        <v>2024</v>
      </c>
      <c r="AC7" s="25" t="str">
        <f>"1Q"&amp;RIGHT(AC6,2)</f>
        <v>1Q25</v>
      </c>
      <c r="AD7" s="25" t="str">
        <f>"2Q"&amp;RIGHT(AD6,2)</f>
        <v>2Q25</v>
      </c>
      <c r="AE7" s="25" t="str">
        <f>"3Q"&amp;RIGHT(AE6,2)</f>
        <v>3Q25</v>
      </c>
      <c r="AF7" s="25" t="str">
        <f>"4Q"&amp;RIGHT(AF6,2)</f>
        <v>4Q25</v>
      </c>
      <c r="AG7" s="26">
        <f>AB7+1</f>
        <v>2025</v>
      </c>
      <c r="AH7" s="25" t="str">
        <f>"1Q"&amp;RIGHT(AH6,2)</f>
        <v>1Q26</v>
      </c>
      <c r="AI7" s="25" t="str">
        <f>"2Q"&amp;RIGHT(AI6,2)</f>
        <v>2Q26</v>
      </c>
      <c r="AJ7" s="25" t="str">
        <f>"3Q"&amp;RIGHT(AJ6,2)</f>
        <v>3Q26</v>
      </c>
      <c r="AK7" s="25" t="str">
        <f>"4Q"&amp;RIGHT(AK6,2)</f>
        <v>4Q26</v>
      </c>
      <c r="AL7" s="26">
        <f>AG7+1</f>
        <v>2026</v>
      </c>
      <c r="AM7" s="25" t="str">
        <f>"1Q"&amp;RIGHT(AM6,2)</f>
        <v>1Q27</v>
      </c>
      <c r="AN7" s="25" t="str">
        <f>"2Q"&amp;RIGHT(AN6,2)</f>
        <v>2Q27</v>
      </c>
      <c r="AO7" s="25" t="str">
        <f>"3Q"&amp;RIGHT(AO6,2)</f>
        <v>3Q27</v>
      </c>
      <c r="AP7" s="25" t="str">
        <f>"4Q"&amp;RIGHT(AP6,2)</f>
        <v>4Q27</v>
      </c>
      <c r="AQ7" s="26">
        <f>AL7+1</f>
        <v>2027</v>
      </c>
      <c r="AR7" s="25" t="str">
        <f>"1Q"&amp;RIGHT(AR6,2)</f>
        <v>1Q28</v>
      </c>
      <c r="AS7" s="25" t="str">
        <f>"2Q"&amp;RIGHT(AS6,2)</f>
        <v>2Q28</v>
      </c>
      <c r="AT7" s="25" t="str">
        <f>"3Q"&amp;RIGHT(AT6,2)</f>
        <v>3Q28</v>
      </c>
      <c r="AU7" s="25" t="str">
        <f>"4Q"&amp;RIGHT(AU6,2)</f>
        <v>4Q28</v>
      </c>
      <c r="AV7" s="26">
        <f>AQ7+1</f>
        <v>2028</v>
      </c>
      <c r="AW7" s="25" t="str">
        <f>"1Q"&amp;RIGHT(AW6,2)</f>
        <v>1Q29</v>
      </c>
      <c r="AX7" s="25" t="str">
        <f>"2Q"&amp;RIGHT(AX6,2)</f>
        <v>2Q29</v>
      </c>
      <c r="AY7" s="25" t="str">
        <f>"3Q"&amp;RIGHT(AY6,2)</f>
        <v>3Q29</v>
      </c>
      <c r="AZ7" s="25" t="str">
        <f>"4Q"&amp;RIGHT(AZ6,2)</f>
        <v>4Q29</v>
      </c>
      <c r="BA7" s="26">
        <f>AV7+1</f>
        <v>2029</v>
      </c>
      <c r="BB7" s="25" t="str">
        <f>"1Q"&amp;RIGHT(BB6,2)</f>
        <v>1Q30</v>
      </c>
      <c r="BC7" s="25" t="str">
        <f>"2Q"&amp;RIGHT(BC6,2)</f>
        <v>2Q30</v>
      </c>
      <c r="BD7" s="25" t="str">
        <f>"3Q"&amp;RIGHT(BD6,2)</f>
        <v>3Q30</v>
      </c>
      <c r="BE7" s="25" t="str">
        <f>"4Q"&amp;RIGHT(BE6,2)</f>
        <v>4Q30</v>
      </c>
      <c r="BF7" s="26">
        <f>BA7+1</f>
        <v>2030</v>
      </c>
      <c r="BG7" s="25" t="n"/>
      <c r="BH7" s="25" t="n"/>
      <c r="BI7" s="25" t="n"/>
      <c r="BJ7" s="25" t="n"/>
      <c r="BK7" s="26" t="n"/>
      <c r="BL7" s="25" t="n"/>
      <c r="BM7" s="25" t="n"/>
      <c r="BN7" s="25" t="n"/>
      <c r="BO7" s="25" t="n"/>
      <c r="BP7" s="26" t="n"/>
      <c r="BQ7" s="25" t="n"/>
      <c r="BR7" s="25" t="n"/>
      <c r="BS7" s="25" t="n"/>
      <c r="BT7" s="25" t="n"/>
      <c r="BU7" s="26" t="n"/>
      <c r="BV7" s="25" t="n"/>
      <c r="BW7" s="25" t="n"/>
      <c r="BX7" s="25" t="n"/>
      <c r="BY7" s="25" t="n"/>
      <c r="BZ7" s="26" t="n"/>
      <c r="CA7" s="25" t="n"/>
      <c r="CB7" s="25" t="n"/>
      <c r="CC7" s="25" t="n"/>
      <c r="CD7" s="25" t="n"/>
      <c r="CE7" s="26" t="n"/>
      <c r="CF7" s="25" t="n"/>
      <c r="CG7" s="25" t="n"/>
      <c r="CH7" s="25" t="n"/>
      <c r="CI7" s="25" t="n"/>
      <c r="CJ7" s="26" t="n"/>
      <c r="CK7" s="25" t="n"/>
      <c r="CL7" s="25" t="n"/>
      <c r="CM7" s="25" t="n"/>
      <c r="CN7" s="25" t="n"/>
      <c r="CO7" s="26" t="n"/>
      <c r="CP7" s="25" t="n"/>
      <c r="CQ7" s="25" t="n"/>
      <c r="CR7" s="25" t="n"/>
      <c r="CS7" s="25" t="n"/>
      <c r="CT7" s="26" t="n"/>
      <c r="CU7" s="25" t="n"/>
      <c r="CV7" s="25" t="n"/>
      <c r="CW7" s="25" t="n"/>
      <c r="CX7" s="25" t="n"/>
      <c r="CY7" s="26" t="n"/>
    </row>
    <row r="8">
      <c r="B8" s="4" t="n"/>
      <c r="C8" s="4" t="inlineStr">
        <is>
          <t>IPCA</t>
        </is>
      </c>
      <c r="D8" s="25" t="n"/>
      <c r="E8" s="25" t="n"/>
      <c r="F8" s="25" t="n"/>
      <c r="G8" s="25" t="n"/>
      <c r="H8" s="27" t="n"/>
      <c r="I8" s="25" t="n"/>
      <c r="J8" s="25" t="n"/>
      <c r="K8" s="25" t="n"/>
      <c r="L8" s="25" t="n"/>
      <c r="M8" s="27" t="n">
        <v>0.1006</v>
      </c>
      <c r="N8" s="25" t="n"/>
      <c r="O8" s="25" t="n"/>
      <c r="P8" s="25" t="n"/>
      <c r="Q8" s="25" t="n"/>
      <c r="R8" s="27" t="n">
        <v>0.0579</v>
      </c>
      <c r="S8" s="25" t="n"/>
      <c r="T8" s="25" t="n"/>
      <c r="U8" s="25" t="n"/>
      <c r="V8" s="25" t="n"/>
      <c r="W8" s="27" t="n">
        <v>0.0468</v>
      </c>
      <c r="X8" s="25" t="n"/>
      <c r="Y8" s="25" t="n"/>
      <c r="Z8" s="25" t="n"/>
      <c r="AA8" s="25" t="n"/>
      <c r="AB8" s="27" t="n">
        <v>0.0483</v>
      </c>
      <c r="AC8" s="25" t="n"/>
      <c r="AD8" s="25" t="n"/>
      <c r="AE8" s="25" t="n"/>
      <c r="AF8" s="25" t="n"/>
      <c r="AG8" s="27" t="n">
        <v>0.0468</v>
      </c>
      <c r="AH8" s="25" t="n"/>
      <c r="AI8" s="25" t="n"/>
      <c r="AJ8" s="25" t="n"/>
      <c r="AK8" s="25" t="n"/>
      <c r="AL8" s="28" t="n"/>
      <c r="AM8" s="25" t="n"/>
      <c r="AN8" s="25" t="n"/>
      <c r="AO8" s="25" t="n"/>
      <c r="AP8" s="25" t="n"/>
      <c r="AQ8" s="28" t="n"/>
      <c r="AR8" s="25" t="n"/>
      <c r="AS8" s="25" t="n"/>
      <c r="AT8" s="25" t="n"/>
      <c r="AU8" s="25" t="n"/>
      <c r="AV8" s="28" t="n"/>
      <c r="AW8" s="25" t="n"/>
      <c r="AX8" s="25" t="n"/>
      <c r="AY8" s="25" t="n"/>
      <c r="AZ8" s="25" t="n"/>
      <c r="BA8" s="28" t="n"/>
      <c r="BB8" s="25" t="n"/>
      <c r="BC8" s="25" t="n"/>
      <c r="BD8" s="25" t="n"/>
      <c r="BE8" s="25" t="n"/>
      <c r="BF8" s="28" t="n"/>
      <c r="BG8" s="25" t="n"/>
      <c r="BH8" s="25" t="n"/>
      <c r="BI8" s="25" t="n"/>
      <c r="BJ8" s="25" t="n"/>
      <c r="BK8" s="28" t="n"/>
      <c r="BL8" s="25" t="n"/>
      <c r="BM8" s="25" t="n"/>
      <c r="BN8" s="25" t="n"/>
      <c r="BO8" s="25" t="n"/>
      <c r="BP8" s="28" t="n"/>
      <c r="BQ8" s="25" t="n"/>
      <c r="BR8" s="25" t="n"/>
      <c r="BS8" s="25" t="n"/>
      <c r="BT8" s="25" t="n"/>
      <c r="BU8" s="28" t="n"/>
      <c r="BV8" s="25" t="n"/>
      <c r="BW8" s="25" t="n"/>
      <c r="BX8" s="25" t="n"/>
      <c r="BY8" s="25" t="n"/>
      <c r="BZ8" s="28" t="n"/>
      <c r="CA8" s="25" t="n"/>
      <c r="CB8" s="25" t="n"/>
      <c r="CC8" s="25" t="n"/>
      <c r="CD8" s="25" t="n"/>
      <c r="CE8" s="28" t="n"/>
      <c r="CF8" s="25" t="n"/>
      <c r="CG8" s="25" t="n"/>
      <c r="CH8" s="25" t="n"/>
      <c r="CI8" s="25" t="n"/>
      <c r="CJ8" s="28" t="n"/>
      <c r="CK8" s="25" t="n"/>
      <c r="CL8" s="25" t="n"/>
      <c r="CM8" s="25" t="n"/>
      <c r="CN8" s="25" t="n"/>
      <c r="CO8" s="28" t="n"/>
      <c r="CP8" s="25" t="n"/>
      <c r="CQ8" s="25" t="n"/>
      <c r="CR8" s="25" t="n"/>
      <c r="CS8" s="25" t="n"/>
      <c r="CT8" s="28" t="n"/>
      <c r="CU8" s="25" t="n"/>
      <c r="CV8" s="25" t="n"/>
      <c r="CW8" s="25" t="n"/>
      <c r="CX8" s="25" t="n"/>
      <c r="CY8" s="28" t="n"/>
    </row>
    <row r="9">
      <c r="B9" s="4" t="n"/>
      <c r="C9" s="4" t="inlineStr">
        <is>
          <t>GDP BRAZIL</t>
        </is>
      </c>
      <c r="D9" s="25" t="n"/>
      <c r="E9" s="25" t="n"/>
      <c r="F9" s="25" t="n"/>
      <c r="G9" s="25" t="n"/>
      <c r="H9" s="29" t="n"/>
      <c r="I9" s="25" t="n"/>
      <c r="J9" s="25" t="n"/>
      <c r="K9" s="25" t="n"/>
      <c r="L9" s="25" t="n"/>
      <c r="M9" s="29" t="n">
        <v>0.046</v>
      </c>
      <c r="N9" s="25" t="n"/>
      <c r="O9" s="25" t="n"/>
      <c r="P9" s="25" t="n"/>
      <c r="Q9" s="25" t="n"/>
      <c r="R9" s="29" t="n"/>
      <c r="S9" s="25" t="n"/>
      <c r="T9" s="25" t="n"/>
      <c r="U9" s="25" t="n"/>
      <c r="V9" s="25" t="n"/>
      <c r="W9" s="29" t="n"/>
      <c r="X9" s="25" t="n"/>
      <c r="Y9" s="25" t="n"/>
      <c r="Z9" s="25" t="n"/>
      <c r="AA9" s="25" t="n"/>
      <c r="AB9" s="29" t="n"/>
      <c r="AC9" s="25" t="n"/>
      <c r="AD9" s="25" t="n"/>
      <c r="AE9" s="25" t="n"/>
      <c r="AF9" s="25" t="n"/>
      <c r="AG9" s="29" t="n"/>
      <c r="AH9" s="25" t="n"/>
      <c r="AI9" s="25" t="n"/>
      <c r="AJ9" s="25" t="n"/>
      <c r="AK9" s="25" t="n"/>
      <c r="AL9" s="28" t="n"/>
      <c r="AM9" s="25" t="n"/>
      <c r="AN9" s="25" t="n"/>
      <c r="AO9" s="25" t="n"/>
      <c r="AP9" s="25" t="n"/>
      <c r="AQ9" s="28" t="n"/>
      <c r="AR9" s="25" t="n"/>
      <c r="AS9" s="25" t="n"/>
      <c r="AT9" s="25" t="n"/>
      <c r="AU9" s="25" t="n"/>
      <c r="AV9" s="28" t="n"/>
      <c r="AW9" s="25" t="n"/>
      <c r="AX9" s="25" t="n"/>
      <c r="AY9" s="25" t="n"/>
      <c r="AZ9" s="25" t="n"/>
      <c r="BA9" s="28" t="n"/>
      <c r="BB9" s="25" t="n"/>
      <c r="BC9" s="25" t="n"/>
      <c r="BD9" s="25" t="n"/>
      <c r="BE9" s="25" t="n"/>
      <c r="BF9" s="28" t="n"/>
      <c r="BG9" s="25" t="n"/>
      <c r="BH9" s="25" t="n"/>
      <c r="BI9" s="25" t="n"/>
      <c r="BJ9" s="25" t="n"/>
      <c r="BK9" s="28" t="n"/>
      <c r="BL9" s="25" t="n"/>
      <c r="BM9" s="25" t="n"/>
      <c r="BN9" s="25" t="n"/>
      <c r="BO9" s="25" t="n"/>
      <c r="BP9" s="28" t="n"/>
      <c r="BQ9" s="25" t="n"/>
      <c r="BR9" s="25" t="n"/>
      <c r="BS9" s="25" t="n"/>
      <c r="BT9" s="25" t="n"/>
      <c r="BU9" s="28" t="n"/>
      <c r="BV9" s="25" t="n"/>
      <c r="BW9" s="25" t="n"/>
      <c r="BX9" s="25" t="n"/>
      <c r="BY9" s="25" t="n"/>
      <c r="BZ9" s="28" t="n"/>
      <c r="CA9" s="25" t="n"/>
      <c r="CB9" s="25" t="n"/>
      <c r="CC9" s="25" t="n"/>
      <c r="CD9" s="25" t="n"/>
      <c r="CE9" s="28" t="n"/>
      <c r="CF9" s="25" t="n"/>
      <c r="CG9" s="25" t="n"/>
      <c r="CH9" s="25" t="n"/>
      <c r="CI9" s="25" t="n"/>
      <c r="CJ9" s="28" t="n"/>
      <c r="CK9" s="25" t="n"/>
      <c r="CL9" s="25" t="n"/>
      <c r="CM9" s="25" t="n"/>
      <c r="CN9" s="25" t="n"/>
      <c r="CO9" s="28" t="n"/>
      <c r="CP9" s="25" t="n"/>
      <c r="CQ9" s="25" t="n"/>
      <c r="CR9" s="25" t="n"/>
      <c r="CS9" s="25" t="n"/>
      <c r="CT9" s="28" t="n"/>
      <c r="CU9" s="25" t="n"/>
      <c r="CV9" s="25" t="n"/>
      <c r="CW9" s="25" t="n"/>
      <c r="CX9" s="25" t="n"/>
      <c r="CY9" s="28" t="n"/>
    </row>
    <row r="10">
      <c r="C10" s="4" t="inlineStr">
        <is>
          <t>CDI</t>
        </is>
      </c>
      <c r="H10" s="29" t="n"/>
      <c r="M10" s="29" t="n">
        <v>0.0442</v>
      </c>
      <c r="R10" s="29" t="n">
        <v>0.1239</v>
      </c>
      <c r="W10" s="29" t="n">
        <v>0.1304</v>
      </c>
      <c r="AB10" s="29" t="n">
        <v>0.1064</v>
      </c>
      <c r="AG10" s="29" t="n">
        <v>0.1464</v>
      </c>
    </row>
    <row r="11"/>
    <row r="12"/>
    <row r="13" customFormat="1" s="32">
      <c r="A13" s="30" t="n"/>
      <c r="B13" s="30" t="n"/>
      <c r="C13" s="31" t="inlineStr">
        <is>
          <t>Income Statement</t>
        </is>
      </c>
      <c r="D13" s="31" t="n"/>
      <c r="E13" s="31" t="n"/>
      <c r="F13" s="31" t="n"/>
      <c r="G13" s="31" t="n"/>
      <c r="H13" s="31" t="n"/>
      <c r="I13" s="31" t="str">
        <f>I7</f>
        <v>1Q21</v>
      </c>
      <c r="J13" s="31" t="str">
        <f>J7</f>
        <v>2Q21</v>
      </c>
      <c r="K13" s="31" t="str">
        <f>K7</f>
        <v>3Q21</v>
      </c>
      <c r="L13" s="31" t="str">
        <f>L7</f>
        <v>4Q21</v>
      </c>
      <c r="M13" s="31">
        <f>M7</f>
        <v>2021</v>
      </c>
      <c r="N13" s="31" t="str">
        <f>N7</f>
        <v>1Q22</v>
      </c>
      <c r="O13" s="31" t="str">
        <f>O7</f>
        <v>2Q22</v>
      </c>
      <c r="P13" s="31" t="str">
        <f>P7</f>
        <v>3Q22</v>
      </c>
      <c r="Q13" s="31" t="str">
        <f>Q7</f>
        <v>4Q22</v>
      </c>
      <c r="R13" s="31">
        <f>R7</f>
        <v>2022</v>
      </c>
      <c r="S13" s="31" t="str">
        <f>S7</f>
        <v>1Q23</v>
      </c>
      <c r="T13" s="31" t="str">
        <f>T7</f>
        <v>2Q23</v>
      </c>
      <c r="U13" s="31" t="str">
        <f>U7</f>
        <v>3Q23</v>
      </c>
      <c r="V13" s="31" t="str">
        <f>V7</f>
        <v>4Q23</v>
      </c>
      <c r="W13" s="31">
        <f>W7</f>
        <v>2023</v>
      </c>
      <c r="X13" s="31" t="str">
        <f>X7</f>
        <v>1Q24</v>
      </c>
      <c r="Y13" s="31" t="str">
        <f>Y7</f>
        <v>2Q24</v>
      </c>
      <c r="Z13" s="31" t="str">
        <f>Z7</f>
        <v>3Q24</v>
      </c>
      <c r="AA13" s="31" t="str">
        <f>AA7</f>
        <v>4Q24</v>
      </c>
      <c r="AB13" s="31">
        <f>AB7</f>
        <v>2024</v>
      </c>
      <c r="AC13" s="31" t="str">
        <f>AC7</f>
        <v>1Q25</v>
      </c>
      <c r="AD13" s="31" t="str">
        <f>AD7</f>
        <v>2Q25</v>
      </c>
      <c r="AE13" s="31" t="str">
        <f>AE7</f>
        <v>3Q25</v>
      </c>
      <c r="AF13" s="31" t="str">
        <f>AF7</f>
        <v>4Q25</v>
      </c>
      <c r="AG13" s="31">
        <f>AG7</f>
        <v>2025</v>
      </c>
      <c r="AH13" s="31" t="str">
        <f>AH7</f>
        <v>1Q26</v>
      </c>
      <c r="AI13" s="31" t="str">
        <f>AI7</f>
        <v>2Q26</v>
      </c>
      <c r="AJ13" s="31" t="str">
        <f>AJ7</f>
        <v>3Q26</v>
      </c>
      <c r="AK13" s="31" t="str">
        <f>AK7</f>
        <v>4Q26</v>
      </c>
      <c r="AL13" s="31">
        <f>AL7</f>
        <v>2026</v>
      </c>
      <c r="AM13" s="31" t="str">
        <f>AM7</f>
        <v>1Q27</v>
      </c>
      <c r="AN13" s="31" t="str">
        <f>AN7</f>
        <v>2Q27</v>
      </c>
      <c r="AO13" s="31" t="str">
        <f>AO7</f>
        <v>3Q27</v>
      </c>
      <c r="AP13" s="31" t="str">
        <f>AP7</f>
        <v>4Q27</v>
      </c>
      <c r="AQ13" s="31">
        <f>AQ7</f>
        <v>2027</v>
      </c>
      <c r="AR13" s="31" t="str">
        <f>AR7</f>
        <v>1Q28</v>
      </c>
      <c r="AS13" s="31" t="str">
        <f>AS7</f>
        <v>2Q28</v>
      </c>
      <c r="AT13" s="31" t="str">
        <f>AT7</f>
        <v>3Q28</v>
      </c>
      <c r="AU13" s="31" t="str">
        <f>AU7</f>
        <v>4Q28</v>
      </c>
      <c r="AV13" s="31">
        <f>AV7</f>
        <v>2028</v>
      </c>
      <c r="AW13" s="31" t="str">
        <f>AW7</f>
        <v>1Q29</v>
      </c>
      <c r="AX13" s="31" t="str">
        <f>AX7</f>
        <v>2Q29</v>
      </c>
      <c r="AY13" s="31" t="str">
        <f>AY7</f>
        <v>3Q29</v>
      </c>
      <c r="AZ13" s="31" t="str">
        <f>AZ7</f>
        <v>4Q29</v>
      </c>
      <c r="BA13" s="31">
        <f>BA7</f>
        <v>2029</v>
      </c>
      <c r="BB13" s="31" t="str">
        <f>BB7</f>
        <v>1Q30</v>
      </c>
      <c r="BC13" s="31" t="str">
        <f>BC7</f>
        <v>2Q30</v>
      </c>
      <c r="BD13" s="31" t="str">
        <f>BD7</f>
        <v>3Q30</v>
      </c>
      <c r="BE13" s="31" t="str">
        <f>BE7</f>
        <v>4Q30</v>
      </c>
      <c r="BF13" s="31">
        <f>BF7</f>
        <v>2030</v>
      </c>
      <c r="BG13" s="31" t="n"/>
      <c r="BH13" s="31" t="n"/>
      <c r="BI13" s="31" t="n"/>
      <c r="BJ13" s="31" t="n"/>
      <c r="BK13" s="31" t="n"/>
      <c r="BL13" s="31" t="n"/>
      <c r="BM13" s="31" t="n"/>
      <c r="BN13" s="31" t="n"/>
      <c r="BO13" s="31" t="n"/>
      <c r="BP13" s="31" t="n"/>
      <c r="BQ13" s="31" t="n"/>
      <c r="BR13" s="31" t="n"/>
      <c r="BS13" s="31" t="n"/>
      <c r="BT13" s="31" t="n"/>
      <c r="BU13" s="31" t="n"/>
      <c r="BV13" s="31" t="n"/>
      <c r="BW13" s="31" t="n"/>
      <c r="BX13" s="31" t="n"/>
      <c r="BY13" s="31" t="n"/>
      <c r="BZ13" s="31" t="n"/>
      <c r="CA13" s="31" t="n"/>
      <c r="CB13" s="31" t="n"/>
      <c r="CC13" s="31" t="n"/>
      <c r="CD13" s="31" t="n"/>
      <c r="CE13" s="31" t="n"/>
      <c r="CF13" s="31" t="n"/>
      <c r="CG13" s="31" t="n"/>
      <c r="CH13" s="31" t="n"/>
      <c r="CI13" s="31" t="n"/>
      <c r="CJ13" s="31" t="n"/>
      <c r="CK13" s="31" t="n"/>
      <c r="CL13" s="31" t="n"/>
      <c r="CM13" s="31" t="n"/>
      <c r="CN13" s="31" t="n"/>
      <c r="CO13" s="31" t="n"/>
      <c r="CP13" s="31" t="n"/>
      <c r="CQ13" s="31" t="n"/>
      <c r="CR13" s="31" t="n"/>
      <c r="CS13" s="31" t="n"/>
      <c r="CT13" s="31" t="n"/>
      <c r="CU13" s="31" t="n"/>
      <c r="CV13" s="31" t="n"/>
      <c r="CW13" s="31" t="n"/>
      <c r="CX13" s="31" t="n"/>
      <c r="CY13" s="31" t="n"/>
    </row>
    <row r="14">
      <c r="C14" s="17" t="n"/>
    </row>
    <row r="15" customFormat="1" s="32">
      <c r="A15" s="30" t="n"/>
      <c r="B15" s="3" t="n"/>
      <c r="C15" s="33" t="inlineStr">
        <is>
          <t>Net Revenues</t>
        </is>
      </c>
      <c r="D15" s="34" t="n"/>
      <c r="E15" s="34" t="n"/>
      <c r="F15" s="34" t="n"/>
      <c r="G15" s="34" t="n"/>
      <c r="H15" s="35" t="n"/>
      <c r="I15" s="34">
        <f>'Inputs (2)'!D4</f>
        <v>413.885</v>
      </c>
      <c r="J15" s="34">
        <f>'Inputs (2)'!E4</f>
        <v>422.162</v>
      </c>
      <c r="K15" s="34">
        <f>'Inputs (2)'!F4</f>
        <v>453.362</v>
      </c>
      <c r="L15" s="34">
        <f>'Inputs (2)'!G4</f>
        <v>486.971</v>
      </c>
      <c r="M15" s="35">
        <f>'Inputs (2)'!H4</f>
        <v>1776.38</v>
      </c>
      <c r="N15" s="34">
        <f>'Inputs (2)'!I4</f>
        <v>468.094</v>
      </c>
      <c r="O15" s="34">
        <f>'Inputs (2)'!J4</f>
        <v>586.126</v>
      </c>
      <c r="P15" s="34">
        <f>'Inputs (2)'!K4</f>
        <v>574.411</v>
      </c>
      <c r="Q15" s="34">
        <f>'Inputs (2)'!L4</f>
        <v>533.985</v>
      </c>
      <c r="R15" s="35">
        <f>'Inputs (2)'!M4</f>
        <v>2162.616</v>
      </c>
      <c r="S15" s="34">
        <f>'Inputs (2)'!N4</f>
        <v>557.269</v>
      </c>
      <c r="T15" s="34">
        <f>'Inputs (2)'!O4</f>
        <v>605.408</v>
      </c>
      <c r="U15" s="34">
        <f>'Inputs (2)'!P4</f>
        <v>557.668</v>
      </c>
      <c r="V15" s="34">
        <f>'Inputs (2)'!Q4</f>
        <v>634.838</v>
      </c>
      <c r="W15" s="35">
        <f>'Inputs (2)'!R4</f>
        <v>2355.183</v>
      </c>
      <c r="X15" s="34">
        <f>'Inputs (2)'!S4</f>
        <v>669.442</v>
      </c>
      <c r="Y15" s="34">
        <f>'Inputs (2)'!T4</f>
        <v>844.22</v>
      </c>
      <c r="Z15" s="34">
        <f>'Inputs (2)'!U4</f>
        <v>910.598</v>
      </c>
      <c r="AA15" s="34">
        <f>'Inputs (2)'!V4</f>
        <v>924.21</v>
      </c>
      <c r="AB15" s="35">
        <f>'Inputs (2)'!W4</f>
        <v>3348.47</v>
      </c>
      <c r="AC15" s="34">
        <f>'Inputs (2)'!X4</f>
        <v>894.132</v>
      </c>
      <c r="AD15" s="34">
        <f>'Inputs (2)'!Y4</f>
        <v>1065.21</v>
      </c>
      <c r="AE15" s="34">
        <f>'Inputs (2)'!Z4</f>
        <v>1157.823</v>
      </c>
      <c r="AF15" s="34">
        <f>'Inputs (2)'!AA4</f>
        <v>1225.843</v>
      </c>
      <c r="AG15" s="35">
        <f>'Inputs (2)'!AB4</f>
        <v>4343.008</v>
      </c>
      <c r="AH15" s="35">
        <f>'Inputs (2)'!AC4</f>
        <v>1164.527</v>
      </c>
      <c r="AI15" s="35">
        <f>'Inputs (2)'!AD4</f>
        <v>1279.265</v>
      </c>
      <c r="AJ15" s="35">
        <f>AE15*(1+AJ16)</f>
        <v>1485.6091499087</v>
      </c>
      <c r="AK15" s="35">
        <f>AF15*(1+AK16)</f>
        <v>1572.88599134024</v>
      </c>
      <c r="AL15" s="35">
        <f>SUM(AH15:AK15)</f>
        <v>5502.28714124894</v>
      </c>
      <c r="AM15" s="35">
        <f>AH15*(1+AM16)</f>
        <v>1494.21108970519</v>
      </c>
      <c r="AN15" s="35">
        <f>AI15*(1+AN16)</f>
        <v>1641.43205754071</v>
      </c>
      <c r="AO15" s="35">
        <f>AJ15*(1+AO16)</f>
        <v>1906.1933873247</v>
      </c>
      <c r="AP15" s="35">
        <f>AK15*(1+AP16)</f>
        <v>2018.17878941624</v>
      </c>
      <c r="AQ15" s="35">
        <f>SUM(AM15:AP15)</f>
        <v>7060.01532398683</v>
      </c>
      <c r="AR15" s="35">
        <f>AM15*(1+AR16)</f>
        <v>1909.75952881269</v>
      </c>
      <c r="AS15" s="35">
        <f>AN15*(1+AS16)</f>
        <v>2097.92346903641</v>
      </c>
      <c r="AT15" s="35">
        <f>AO15*(1+AT16)</f>
        <v>2436.31640153423</v>
      </c>
      <c r="AU15" s="35">
        <f>AP15*(1+AU16)</f>
        <v>2579.44556862831</v>
      </c>
      <c r="AV15" s="35">
        <f>SUM(AR15:AU15)</f>
        <v>9023.44496801164</v>
      </c>
      <c r="AW15" s="35">
        <f>AR15*(1+AW16)</f>
        <v>2431.32550921874</v>
      </c>
      <c r="AX15" s="35">
        <f>AS15*(1+AX16)</f>
        <v>2670.87807114023</v>
      </c>
      <c r="AY15" s="35">
        <f>AT15*(1+AY16)</f>
        <v>3101.68800113848</v>
      </c>
      <c r="AZ15" s="35">
        <f>AU15*(1+AZ16)</f>
        <v>3283.90654217406</v>
      </c>
      <c r="BA15" s="35">
        <f>SUM(AW15:AZ15)</f>
        <v>11487.7981236715</v>
      </c>
      <c r="BB15" s="35">
        <f>AW15*(1+BB16)</f>
        <v>3083.17744074516</v>
      </c>
      <c r="BC15" s="35">
        <f>AX15*(1+BC16)</f>
        <v>3386.95538079827</v>
      </c>
      <c r="BD15" s="35">
        <f>AY15*(1+BD16)</f>
        <v>3933.26785618805</v>
      </c>
      <c r="BE15" s="35">
        <f>AZ15*(1+BE16)</f>
        <v>4164.3402045331</v>
      </c>
      <c r="BF15" s="35">
        <f>SUM(BB15:BE15)</f>
        <v>14567.7408822646</v>
      </c>
      <c r="BG15" s="35" t="n"/>
      <c r="BH15" s="35" t="n"/>
      <c r="BI15" s="35" t="n"/>
      <c r="BJ15" s="35" t="n"/>
      <c r="BK15" s="35" t="n"/>
      <c r="BL15" s="35" t="n"/>
      <c r="BM15" s="35" t="n"/>
      <c r="BN15" s="35" t="n"/>
      <c r="BO15" s="35" t="n"/>
      <c r="BP15" s="35" t="n"/>
      <c r="BQ15" s="35" t="n"/>
      <c r="BR15" s="35" t="n"/>
      <c r="BS15" s="35" t="n"/>
      <c r="BT15" s="35" t="n"/>
      <c r="BU15" s="35" t="n"/>
      <c r="BV15" s="35" t="n"/>
      <c r="BW15" s="35" t="n"/>
      <c r="BX15" s="35" t="n"/>
      <c r="BY15" s="35" t="n"/>
      <c r="BZ15" s="35" t="n"/>
      <c r="CA15" s="35" t="n"/>
      <c r="CB15" s="35" t="n"/>
      <c r="CC15" s="35" t="n"/>
      <c r="CD15" s="35" t="n"/>
      <c r="CE15" s="35" t="n"/>
      <c r="CF15" s="35" t="n"/>
      <c r="CG15" s="35" t="n"/>
      <c r="CH15" s="35" t="n"/>
      <c r="CI15" s="35" t="n"/>
      <c r="CJ15" s="35" t="n"/>
      <c r="CK15" s="35" t="n"/>
      <c r="CL15" s="35" t="n"/>
      <c r="CM15" s="35" t="n"/>
      <c r="CN15" s="35" t="n"/>
      <c r="CO15" s="35" t="n"/>
      <c r="CP15" s="35" t="n"/>
      <c r="CQ15" s="35" t="n"/>
      <c r="CR15" s="35" t="n"/>
      <c r="CS15" s="35" t="n"/>
      <c r="CT15" s="35" t="n"/>
      <c r="CU15" s="35" t="n"/>
      <c r="CV15" s="35" t="n"/>
      <c r="CW15" s="35" t="n"/>
      <c r="CX15" s="35" t="n"/>
      <c r="CY15" s="35" t="n"/>
    </row>
    <row r="16" hidden="1" outlineLevel="1" customFormat="1" s="43">
      <c r="A16" s="36" t="n"/>
      <c r="B16" s="37" t="n"/>
      <c r="C16" s="38" t="inlineStr">
        <is>
          <t>% YoY</t>
        </is>
      </c>
      <c r="D16" s="39" t="n"/>
      <c r="E16" s="40" t="n"/>
      <c r="F16" s="40" t="n"/>
      <c r="G16" s="40" t="n"/>
      <c r="H16" s="39" t="n"/>
      <c r="I16" s="39" t="n"/>
      <c r="J16" s="40" t="n"/>
      <c r="K16" s="40" t="n"/>
      <c r="L16" s="40" t="n"/>
      <c r="M16" s="39" t="n"/>
      <c r="N16" s="40">
        <f>IFERROR(N15/I15-1,"")</f>
        <v>0.130975995747611</v>
      </c>
      <c r="O16" s="40">
        <f>IFERROR(O15/J15-1,"")</f>
        <v>0.388391186321839</v>
      </c>
      <c r="P16" s="40">
        <f>IFERROR(P15/K15-1,"")</f>
        <v>0.267002968929906</v>
      </c>
      <c r="Q16" s="40">
        <f>IFERROR(Q15/L15-1,"")</f>
        <v>0.0965437366906858</v>
      </c>
      <c r="R16" s="40">
        <f>IFERROR(R15/M15-1,"")</f>
        <v>0.217428703317984</v>
      </c>
      <c r="S16" s="40">
        <f>IFERROR(S15/N15-1,"")</f>
        <v>0.190506607647182</v>
      </c>
      <c r="T16" s="40">
        <f>IFERROR(T15/O15-1,"")</f>
        <v>0.0328973633655563</v>
      </c>
      <c r="U16" s="40">
        <f>IFERROR(U15/P15-1,"")</f>
        <v>-0.0291481186815711</v>
      </c>
      <c r="V16" s="40">
        <f>IFERROR(V15/Q15-1,"")</f>
        <v>0.188868601177936</v>
      </c>
      <c r="W16" s="40">
        <f>IFERROR(W15/R15-1,"")</f>
        <v>0.0890435472594302</v>
      </c>
      <c r="X16" s="40">
        <f>IFERROR(X15/S15-1,"")</f>
        <v>0.201290579594415</v>
      </c>
      <c r="Y16" s="40">
        <f>IFERROR(Y15/T15-1,"")</f>
        <v>0.394464559437602</v>
      </c>
      <c r="Z16" s="40">
        <f>IFERROR(Z15/U15-1,"")</f>
        <v>0.632867584297467</v>
      </c>
      <c r="AA16" s="40">
        <f>IFERROR(AA15/V15-1,"")</f>
        <v>0.455820225002284</v>
      </c>
      <c r="AB16" s="40">
        <f>IFERROR(AB15/W15-1,"")</f>
        <v>0.421745146767788</v>
      </c>
      <c r="AC16" s="40">
        <f>IFERROR(AC15/X15-1,"")</f>
        <v>0.335637740088014</v>
      </c>
      <c r="AD16" s="40">
        <f>IFERROR(AD15/Y15-1,"")</f>
        <v>0.261768259458435</v>
      </c>
      <c r="AE16" s="40">
        <f>IFERROR(AE15/Z15-1,"")</f>
        <v>0.271497411591064</v>
      </c>
      <c r="AF16" s="41">
        <f>IFERROR(AF15/AA15-1,"")</f>
        <v>0.326368466041268</v>
      </c>
      <c r="AG16" s="40">
        <f>IFERROR(AG15/AB15-1,"")</f>
        <v>0.297012665486028</v>
      </c>
      <c r="AH16" s="41">
        <f>IFERROR(AH15/AC15-1,"")</f>
        <v>0.302410606040272</v>
      </c>
      <c r="AI16" s="41">
        <f>IFERROR(AI15/AD15-1,"")</f>
        <v>0.200950986190517</v>
      </c>
      <c r="AJ16" s="41">
        <f>Control!$B$18</f>
        <v>0.283105578234928</v>
      </c>
      <c r="AK16" s="41">
        <f>Control!$B$18</f>
        <v>0.283105578234928</v>
      </c>
      <c r="AL16" s="42">
        <f>IFERROR(AL15/AG15-1,"")</f>
        <v>0.26693000364009</v>
      </c>
      <c r="AM16" s="41">
        <f>Control!$C$18</f>
        <v>0.283105578234928</v>
      </c>
      <c r="AN16" s="41">
        <f>Control!$C$18</f>
        <v>0.283105578234928</v>
      </c>
      <c r="AO16" s="41">
        <f>Control!$C$18</f>
        <v>0.283105578234928</v>
      </c>
      <c r="AP16" s="41">
        <f>Control!$C$18</f>
        <v>0.283105578234928</v>
      </c>
      <c r="AQ16" s="42">
        <f>IFERROR(AQ15/AL15-1,"")</f>
        <v>0.283105578234928</v>
      </c>
      <c r="AR16" s="41">
        <f>Control!$D$18</f>
        <v>0.278105578234928</v>
      </c>
      <c r="AS16" s="41">
        <f>Control!$D$18</f>
        <v>0.278105578234928</v>
      </c>
      <c r="AT16" s="41">
        <f>Control!$D$18</f>
        <v>0.278105578234928</v>
      </c>
      <c r="AU16" s="41">
        <f>Control!$D$18</f>
        <v>0.278105578234928</v>
      </c>
      <c r="AV16" s="42">
        <f>IFERROR(AV15/AQ15-1,"")</f>
        <v>0.278105578234928</v>
      </c>
      <c r="AW16" s="41">
        <f>Control!$E$18</f>
        <v>0.273105578234928</v>
      </c>
      <c r="AX16" s="41">
        <f>Control!$E$18</f>
        <v>0.273105578234928</v>
      </c>
      <c r="AY16" s="41">
        <f>Control!$E$18</f>
        <v>0.273105578234928</v>
      </c>
      <c r="AZ16" s="41">
        <f>Control!$E$18</f>
        <v>0.273105578234928</v>
      </c>
      <c r="BA16" s="42">
        <f>IFERROR(BA15/AV15-1,"")</f>
        <v>0.273105578234928</v>
      </c>
      <c r="BB16" s="41">
        <f>Control!$F$18</f>
        <v>0.268105578234928</v>
      </c>
      <c r="BC16" s="41">
        <f>Control!$F$18</f>
        <v>0.268105578234928</v>
      </c>
      <c r="BD16" s="41">
        <f>Control!$F$18</f>
        <v>0.268105578234928</v>
      </c>
      <c r="BE16" s="41">
        <f>Control!$F$18</f>
        <v>0.268105578234928</v>
      </c>
      <c r="BF16" s="42">
        <f>IFERROR(BF15/BA15-1,"")</f>
        <v>0.268105578234928</v>
      </c>
      <c r="BG16" s="41" t="n"/>
      <c r="BH16" s="41" t="n"/>
      <c r="BI16" s="41" t="n"/>
      <c r="BJ16" s="41" t="n"/>
      <c r="BK16" s="42" t="n"/>
      <c r="BL16" s="41" t="n"/>
      <c r="BM16" s="41" t="n"/>
      <c r="BN16" s="41" t="n"/>
      <c r="BO16" s="41" t="n"/>
      <c r="BP16" s="42" t="n"/>
      <c r="BQ16" s="41" t="n"/>
      <c r="BR16" s="41" t="n"/>
      <c r="BS16" s="41" t="n"/>
      <c r="BT16" s="41" t="n"/>
      <c r="BU16" s="42" t="n"/>
      <c r="BV16" s="41" t="n"/>
      <c r="BW16" s="41" t="n"/>
      <c r="BX16" s="41" t="n"/>
      <c r="BY16" s="41" t="n"/>
      <c r="BZ16" s="42" t="n"/>
      <c r="CA16" s="41" t="n"/>
      <c r="CB16" s="41" t="n"/>
      <c r="CC16" s="41" t="n"/>
      <c r="CD16" s="41" t="n"/>
      <c r="CE16" s="42" t="n"/>
      <c r="CF16" s="41" t="n"/>
      <c r="CG16" s="41" t="n"/>
      <c r="CH16" s="41" t="n"/>
      <c r="CI16" s="41" t="n"/>
      <c r="CJ16" s="42" t="n"/>
      <c r="CK16" s="41" t="n"/>
      <c r="CL16" s="41" t="n"/>
      <c r="CM16" s="41" t="n"/>
      <c r="CN16" s="41" t="n"/>
      <c r="CO16" s="42" t="n"/>
      <c r="CP16" s="41" t="n"/>
      <c r="CQ16" s="41" t="n"/>
      <c r="CR16" s="41" t="n"/>
      <c r="CS16" s="41" t="n"/>
      <c r="CT16" s="42" t="n"/>
      <c r="CU16" s="41" t="n"/>
      <c r="CV16" s="41" t="n"/>
      <c r="CW16" s="41" t="n"/>
      <c r="CX16" s="41" t="n"/>
      <c r="CY16" s="42" t="n"/>
    </row>
    <row r="17" hidden="1" outlineLevel="1" customFormat="1" s="43">
      <c r="A17" s="36" t="n"/>
      <c r="B17" s="37" t="n"/>
      <c r="C17" s="44" t="inlineStr">
        <is>
          <t>Check Receita</t>
        </is>
      </c>
      <c r="D17" s="39" t="n"/>
      <c r="E17" s="40" t="n"/>
      <c r="F17" s="40" t="n"/>
      <c r="G17" s="40" t="n"/>
      <c r="H17" s="39" t="n"/>
      <c r="I17" s="39">
        <f>IF(ISNUMBER(I22),I22,"")</f>
        <v>0</v>
      </c>
      <c r="J17" s="40">
        <f>IF(ISNUMBER(J22),J22,"")</f>
        <v>0</v>
      </c>
      <c r="K17" s="40">
        <f>IF(ISNUMBER(K22),K22,"")</f>
        <v>0</v>
      </c>
      <c r="L17" s="40">
        <f>IF(ISNUMBER(L22),L22,"")</f>
        <v>0</v>
      </c>
      <c r="M17" s="39">
        <f>IF(ISNUMBER(M22),M22,"")</f>
        <v>0</v>
      </c>
      <c r="N17" s="40">
        <f>IF(ISNUMBER(N22),N22,"")</f>
        <v>0</v>
      </c>
      <c r="O17" s="40">
        <f>IF(ISNUMBER(O22),O22,"")</f>
        <v>0</v>
      </c>
      <c r="P17" s="40">
        <f>IF(ISNUMBER(P22),P22,"")</f>
        <v>0</v>
      </c>
      <c r="Q17" s="40">
        <f>IF(ISNUMBER(Q22),Q22,"")</f>
        <v>0</v>
      </c>
      <c r="R17" s="40">
        <f>IF(ISNUMBER(R22),R22,"")</f>
        <v>0</v>
      </c>
      <c r="S17" s="40">
        <f>IF(ISNUMBER(S22),S22,"")</f>
        <v>0</v>
      </c>
      <c r="T17" s="40">
        <f>IF(ISNUMBER(T22),T22,"")</f>
        <v>0</v>
      </c>
      <c r="U17" s="40">
        <f>IF(ISNUMBER(U22),U22,"")</f>
        <v>0</v>
      </c>
      <c r="V17" s="40">
        <f>IF(ISNUMBER(V22),V22,"")</f>
        <v>0</v>
      </c>
      <c r="W17" s="40">
        <f>IF(ISNUMBER(W22),W22,"")</f>
        <v>0</v>
      </c>
      <c r="X17" s="40">
        <f>IF(ISNUMBER(X22),X22,"")</f>
        <v>0</v>
      </c>
      <c r="Y17" s="40">
        <f>IF(ISNUMBER(Y22),Y22,"")</f>
        <v>0</v>
      </c>
      <c r="Z17" s="40">
        <f>IF(ISNUMBER(Z22),Z22,"")</f>
        <v>0</v>
      </c>
      <c r="AA17" s="40">
        <f>IF(ISNUMBER(AA22),AA22,"")</f>
        <v>0</v>
      </c>
      <c r="AB17" s="40">
        <f>IF(ISNUMBER(AB22),AB22,"")</f>
        <v>0</v>
      </c>
      <c r="AC17" s="40">
        <f>IF(ISNUMBER(AC22),AC22,"")</f>
        <v>0</v>
      </c>
      <c r="AD17" s="40">
        <f>IF(ISNUMBER(AD22),AD22,"")</f>
        <v>0</v>
      </c>
      <c r="AE17" s="40">
        <f>IF(ISNUMBER(AE22),AE22,"")</f>
        <v>0</v>
      </c>
      <c r="AF17" s="40">
        <f>IF(ISNUMBER(AF22),AF22,"")</f>
        <v>0</v>
      </c>
      <c r="AG17" s="40">
        <f>IF(ISNUMBER(AG22),AG22,"")</f>
        <v>0</v>
      </c>
      <c r="AH17" s="41">
        <f>IF(ISNUMBER(AH22),AH22,"")</f>
        <v>0</v>
      </c>
      <c r="AI17" s="41">
        <f>IF(ISNUMBER(AI22),AI22,"")</f>
        <v>0</v>
      </c>
      <c r="AJ17" s="41" t="n"/>
      <c r="AK17" s="41" t="n"/>
      <c r="AL17" s="42" t="n"/>
      <c r="AM17" s="41" t="n"/>
      <c r="AN17" s="41" t="n"/>
      <c r="AO17" s="41" t="n"/>
      <c r="AP17" s="41" t="n"/>
      <c r="AQ17" s="42" t="n"/>
      <c r="AR17" s="41" t="n"/>
      <c r="AS17" s="41" t="n"/>
      <c r="AT17" s="41" t="n"/>
      <c r="AU17" s="41" t="n"/>
      <c r="AV17" s="42" t="n"/>
      <c r="AW17" s="41" t="n"/>
      <c r="AX17" s="41" t="n"/>
      <c r="AY17" s="41" t="n"/>
      <c r="AZ17" s="41" t="n"/>
      <c r="BA17" s="42" t="n"/>
      <c r="BB17" s="41" t="n"/>
      <c r="BC17" s="41" t="n"/>
      <c r="BD17" s="41" t="n"/>
      <c r="BE17" s="41" t="n"/>
      <c r="BF17" s="42" t="n"/>
      <c r="BG17" s="41" t="n"/>
      <c r="BH17" s="41" t="n"/>
      <c r="BI17" s="41" t="n"/>
      <c r="BJ17" s="41" t="n"/>
      <c r="BK17" s="42" t="n"/>
      <c r="BL17" s="41" t="n"/>
      <c r="BM17" s="41" t="n"/>
      <c r="BN17" s="41" t="n"/>
      <c r="BO17" s="41" t="n"/>
      <c r="BP17" s="42" t="n"/>
      <c r="BQ17" s="41" t="n"/>
      <c r="BR17" s="41" t="n"/>
      <c r="BS17" s="41" t="n"/>
      <c r="BT17" s="41" t="n"/>
      <c r="BU17" s="42" t="n"/>
      <c r="BV17" s="41" t="n"/>
      <c r="BW17" s="41" t="n"/>
      <c r="BX17" s="41" t="n"/>
      <c r="BY17" s="41" t="n"/>
      <c r="BZ17" s="42" t="n"/>
      <c r="CA17" s="41" t="n"/>
      <c r="CB17" s="41" t="n"/>
      <c r="CC17" s="41" t="n"/>
      <c r="CD17" s="41" t="n"/>
      <c r="CE17" s="42" t="n"/>
      <c r="CF17" s="41" t="n"/>
      <c r="CG17" s="41" t="n"/>
      <c r="CH17" s="41" t="n"/>
      <c r="CI17" s="41" t="n"/>
      <c r="CJ17" s="42" t="n"/>
      <c r="CK17" s="41" t="n"/>
      <c r="CL17" s="41" t="n"/>
      <c r="CM17" s="41" t="n"/>
      <c r="CN17" s="41" t="n"/>
      <c r="CO17" s="42" t="n"/>
      <c r="CP17" s="41" t="n"/>
      <c r="CQ17" s="41" t="n"/>
      <c r="CR17" s="41" t="n"/>
      <c r="CS17" s="41" t="n"/>
      <c r="CT17" s="42" t="n"/>
      <c r="CU17" s="41" t="n"/>
      <c r="CV17" s="41" t="n"/>
      <c r="CW17" s="41" t="n"/>
      <c r="CX17" s="41" t="n"/>
      <c r="CY17" s="42" t="n"/>
    </row>
    <row r="18">
      <c r="C18" s="267" t="inlineStr">
        <is>
          <t>Receita liquida por marca - como a Cia divulga (R$ milhoes; Riva aberta desde 1T24)</t>
        </is>
      </c>
      <c r="D18" s="267">
        <f>D7</f>
        <v>0</v>
      </c>
      <c r="E18" s="267">
        <f>E7</f>
        <v>0</v>
      </c>
      <c r="F18" s="267">
        <f>F7</f>
        <v>0</v>
      </c>
      <c r="G18" s="267">
        <f>G7</f>
        <v>0</v>
      </c>
      <c r="H18" s="267">
        <f>H7</f>
        <v>2020</v>
      </c>
      <c r="I18" s="267" t="str">
        <f>I7</f>
        <v>1Q21</v>
      </c>
      <c r="J18" s="267" t="str">
        <f>J7</f>
        <v>2Q21</v>
      </c>
      <c r="K18" s="267" t="str">
        <f>K7</f>
        <v>3Q21</v>
      </c>
      <c r="L18" s="267" t="str">
        <f>L7</f>
        <v>4Q21</v>
      </c>
      <c r="M18" s="267">
        <f>M7</f>
        <v>2021</v>
      </c>
      <c r="N18" s="267" t="str">
        <f>N7</f>
        <v>1Q22</v>
      </c>
      <c r="O18" s="267" t="str">
        <f>O7</f>
        <v>2Q22</v>
      </c>
      <c r="P18" s="267" t="str">
        <f>P7</f>
        <v>3Q22</v>
      </c>
      <c r="Q18" s="267" t="str">
        <f>Q7</f>
        <v>4Q22</v>
      </c>
      <c r="R18" s="267">
        <f>R7</f>
        <v>2022</v>
      </c>
      <c r="S18" s="267" t="str">
        <f>S7</f>
        <v>1Q23</v>
      </c>
      <c r="T18" s="267" t="str">
        <f>T7</f>
        <v>2Q23</v>
      </c>
      <c r="U18" s="267" t="str">
        <f>U7</f>
        <v>3Q23</v>
      </c>
      <c r="V18" s="267" t="str">
        <f>V7</f>
        <v>4Q23</v>
      </c>
      <c r="W18" s="267">
        <f>W7</f>
        <v>2023</v>
      </c>
      <c r="X18" s="267" t="str">
        <f>X7</f>
        <v>1Q24</v>
      </c>
      <c r="Y18" s="267" t="str">
        <f>Y7</f>
        <v>2Q24</v>
      </c>
      <c r="Z18" s="267" t="str">
        <f>Z7</f>
        <v>3Q24</v>
      </c>
      <c r="AA18" s="267" t="str">
        <f>AA7</f>
        <v>4Q24</v>
      </c>
      <c r="AB18" s="267">
        <f>AB7</f>
        <v>2024</v>
      </c>
      <c r="AC18" s="267" t="str">
        <f>AC7</f>
        <v>1Q25</v>
      </c>
      <c r="AD18" s="267" t="str">
        <f>AD7</f>
        <v>2Q25</v>
      </c>
      <c r="AE18" s="267" t="str">
        <f>AE7</f>
        <v>3Q25</v>
      </c>
      <c r="AF18" s="267" t="str">
        <f>AF7</f>
        <v>4Q25</v>
      </c>
      <c r="AG18" s="267">
        <f>AG7</f>
        <v>2025</v>
      </c>
      <c r="AH18" s="267" t="str">
        <f>AH7</f>
        <v>1Q26</v>
      </c>
      <c r="AI18" s="267" t="str">
        <f>AI7</f>
        <v>2Q26</v>
      </c>
    </row>
    <row r="19">
      <c r="C19" s="268" t="inlineStr">
        <is>
          <t xml:space="preserve">   Direcional (ex-Riva; ate 4T23 inclui a Riva)</t>
        </is>
      </c>
      <c r="D19" s="269" t="str">
        <f>IF(COUNT(D15)=0,"",D15-N(D20))</f>
        <v/>
      </c>
      <c r="E19" s="269" t="str">
        <f>IF(COUNT(E15)=0,"",E15-N(E20))</f>
        <v/>
      </c>
      <c r="F19" s="269" t="str">
        <f>IF(COUNT(F15)=0,"",F15-N(F20))</f>
        <v/>
      </c>
      <c r="G19" s="269" t="str">
        <f>IF(COUNT(G15)=0,"",G15-N(G20))</f>
        <v/>
      </c>
      <c r="H19" s="270" t="str">
        <f>IF(COUNT(H15)=0,"",H15-N(H20))</f>
        <v/>
      </c>
      <c r="I19" s="269">
        <f>IF(COUNT(I15)=0,"",I15-N(I20))</f>
        <v>413.885</v>
      </c>
      <c r="J19" s="269">
        <f>IF(COUNT(J15)=0,"",J15-N(J20))</f>
        <v>422.162</v>
      </c>
      <c r="K19" s="269">
        <f>IF(COUNT(K15)=0,"",K15-N(K20))</f>
        <v>453.362</v>
      </c>
      <c r="L19" s="269">
        <f>IF(COUNT(L15)=0,"",L15-N(L20))</f>
        <v>486.971</v>
      </c>
      <c r="M19" s="270">
        <f>IF(COUNT(M15)=0,"",M15-N(M20))</f>
        <v>1776.38</v>
      </c>
      <c r="N19" s="269">
        <f>IF(COUNT(N15)=0,"",N15-N(N20))</f>
        <v>468.094</v>
      </c>
      <c r="O19" s="269">
        <f>IF(COUNT(O15)=0,"",O15-N(O20))</f>
        <v>586.126</v>
      </c>
      <c r="P19" s="269">
        <f>IF(COUNT(P15)=0,"",P15-N(P20))</f>
        <v>574.411</v>
      </c>
      <c r="Q19" s="269">
        <f>IF(COUNT(Q15)=0,"",Q15-N(Q20))</f>
        <v>533.985</v>
      </c>
      <c r="R19" s="270">
        <f>IF(COUNT(R15)=0,"",R15-N(R20))</f>
        <v>2162.616</v>
      </c>
      <c r="S19" s="269">
        <f>IF(COUNT(S15)=0,"",S15-N(S20))</f>
        <v>557.269</v>
      </c>
      <c r="T19" s="269">
        <f>IF(COUNT(T15)=0,"",T15-N(T20))</f>
        <v>605.408</v>
      </c>
      <c r="U19" s="269">
        <f>IF(COUNT(U15)=0,"",U15-N(U20))</f>
        <v>557.668</v>
      </c>
      <c r="V19" s="269">
        <f>IF(COUNT(V15)=0,"",V15-N(V20))</f>
        <v>634.838</v>
      </c>
      <c r="W19" s="270">
        <f>IF(COUNT(W15)=0,"",W15-N(W20))</f>
        <v>2355.183</v>
      </c>
      <c r="X19" s="269">
        <f>IF(COUNT(X15)=0,"",X15-N(X20))</f>
        <v>426.137</v>
      </c>
      <c r="Y19" s="269">
        <f>IF(COUNT(Y15)=0,"",Y15-N(Y20))</f>
        <v>564.555</v>
      </c>
      <c r="Z19" s="269">
        <f>IF(COUNT(Z15)=0,"",Z15-N(Z20))</f>
        <v>586.766</v>
      </c>
      <c r="AA19" s="269">
        <f>IF(COUNT(AA15)=0,"",AA15-N(AA20))</f>
        <v>578.568</v>
      </c>
      <c r="AB19" s="270">
        <f>IF(COUNT(AB15)=0,"",AB15-N(AB20))</f>
        <v>2156.026</v>
      </c>
      <c r="AC19" s="269">
        <f>IF(COUNT(AC15)=0,"",AC15-N(AC20))</f>
        <v>568.398</v>
      </c>
      <c r="AD19" s="269">
        <f>IF(COUNT(AD15)=0,"",AD15-N(AD20))</f>
        <v>699.904</v>
      </c>
      <c r="AE19" s="269">
        <f>IF(COUNT(AE15)=0,"",AE15-N(AE20))</f>
        <v>670.664</v>
      </c>
      <c r="AF19" s="269">
        <f>IF(COUNT(AF15)=0,"",AF15-N(AF20))</f>
        <v>725.966</v>
      </c>
      <c r="AG19" s="270">
        <f>IF(COUNT(AG15)=0,"",AG15-N(AG20))</f>
        <v>2664.932</v>
      </c>
      <c r="AH19" s="270">
        <f>IF(COUNT(AH15)=0,"",AH15-N(AH20))</f>
        <v>759.08</v>
      </c>
      <c r="AI19" s="270">
        <f>IF(COUNT(AI15)=0,"",AI15-N(AI20))</f>
        <v>849.009</v>
      </c>
    </row>
    <row r="20">
      <c r="C20" s="268" t="inlineStr">
        <is>
          <t xml:space="preserve">   Riva</t>
        </is>
      </c>
      <c r="D20" s="269" t="str">
        <f>IFERROR(INDEX('Inputs (2)'!$D$53:$AL$53,MATCH(D$7&amp;"",'Inputs (2)'!$D$2:$AL$2,0)),"")</f>
        <v/>
      </c>
      <c r="E20" s="269" t="str">
        <f>IFERROR(INDEX('Inputs (2)'!$D$53:$AL$53,MATCH(E$7&amp;"",'Inputs (2)'!$D$2:$AL$2,0)),"")</f>
        <v/>
      </c>
      <c r="F20" s="269" t="str">
        <f>IFERROR(INDEX('Inputs (2)'!$D$53:$AL$53,MATCH(F$7&amp;"",'Inputs (2)'!$D$2:$AL$2,0)),"")</f>
        <v/>
      </c>
      <c r="G20" s="269" t="str">
        <f>IFERROR(INDEX('Inputs (2)'!$D$53:$AL$53,MATCH(G$7&amp;"",'Inputs (2)'!$D$2:$AL$2,0)),"")</f>
        <v/>
      </c>
      <c r="H20" s="270" t="str">
        <f>IF(COUNT(D20:G20)=4,SUM(D20:G20),"")</f>
        <v/>
      </c>
      <c r="I20" s="269" t="str">
        <f>IFERROR(INDEX('Inputs (2)'!$D$53:$AL$53,MATCH(I$7&amp;"",'Inputs (2)'!$D$2:$AL$2,0)),"")</f>
        <v/>
      </c>
      <c r="J20" s="269" t="str">
        <f>IFERROR(INDEX('Inputs (2)'!$D$53:$AL$53,MATCH(J$7&amp;"",'Inputs (2)'!$D$2:$AL$2,0)),"")</f>
        <v/>
      </c>
      <c r="K20" s="269" t="str">
        <f>IFERROR(INDEX('Inputs (2)'!$D$53:$AL$53,MATCH(K$7&amp;"",'Inputs (2)'!$D$2:$AL$2,0)),"")</f>
        <v/>
      </c>
      <c r="L20" s="269" t="str">
        <f>IFERROR(INDEX('Inputs (2)'!$D$53:$AL$53,MATCH(L$7&amp;"",'Inputs (2)'!$D$2:$AL$2,0)),"")</f>
        <v/>
      </c>
      <c r="M20" s="270" t="str">
        <f>IF(COUNT(I20:L20)=4,SUM(I20:L20),"")</f>
        <v/>
      </c>
      <c r="N20" s="269" t="str">
        <f>IFERROR(INDEX('Inputs (2)'!$D$53:$AL$53,MATCH(N$7&amp;"",'Inputs (2)'!$D$2:$AL$2,0)),"")</f>
        <v/>
      </c>
      <c r="O20" s="269" t="str">
        <f>IFERROR(INDEX('Inputs (2)'!$D$53:$AL$53,MATCH(O$7&amp;"",'Inputs (2)'!$D$2:$AL$2,0)),"")</f>
        <v/>
      </c>
      <c r="P20" s="269" t="str">
        <f>IFERROR(INDEX('Inputs (2)'!$D$53:$AL$53,MATCH(P$7&amp;"",'Inputs (2)'!$D$2:$AL$2,0)),"")</f>
        <v/>
      </c>
      <c r="Q20" s="269" t="str">
        <f>IFERROR(INDEX('Inputs (2)'!$D$53:$AL$53,MATCH(Q$7&amp;"",'Inputs (2)'!$D$2:$AL$2,0)),"")</f>
        <v/>
      </c>
      <c r="R20" s="270" t="str">
        <f>IF(COUNT(N20:Q20)=4,SUM(N20:Q20),"")</f>
        <v/>
      </c>
      <c r="S20" s="269" t="str">
        <f>IFERROR(INDEX('Inputs (2)'!$D$53:$AL$53,MATCH(S$7&amp;"",'Inputs (2)'!$D$2:$AL$2,0)),"")</f>
        <v/>
      </c>
      <c r="T20" s="269" t="str">
        <f>IFERROR(INDEX('Inputs (2)'!$D$53:$AL$53,MATCH(T$7&amp;"",'Inputs (2)'!$D$2:$AL$2,0)),"")</f>
        <v/>
      </c>
      <c r="U20" s="269" t="str">
        <f>IFERROR(INDEX('Inputs (2)'!$D$53:$AL$53,MATCH(U$7&amp;"",'Inputs (2)'!$D$2:$AL$2,0)),"")</f>
        <v/>
      </c>
      <c r="V20" s="269" t="str">
        <f>IFERROR(INDEX('Inputs (2)'!$D$53:$AL$53,MATCH(V$7&amp;"",'Inputs (2)'!$D$2:$AL$2,0)),"")</f>
        <v/>
      </c>
      <c r="W20" s="270" t="str">
        <f>IF(COUNT(S20:V20)=4,SUM(S20:V20),"")</f>
        <v/>
      </c>
      <c r="X20" s="269">
        <f>IFERROR(INDEX('Inputs (2)'!$D$53:$AL$53,MATCH(X$7&amp;"",'Inputs (2)'!$D$2:$AL$2,0)),"")</f>
        <v>243.305</v>
      </c>
      <c r="Y20" s="269">
        <f>IFERROR(INDEX('Inputs (2)'!$D$53:$AL$53,MATCH(Y$7&amp;"",'Inputs (2)'!$D$2:$AL$2,0)),"")</f>
        <v>279.665</v>
      </c>
      <c r="Z20" s="269">
        <f>IFERROR(INDEX('Inputs (2)'!$D$53:$AL$53,MATCH(Z$7&amp;"",'Inputs (2)'!$D$2:$AL$2,0)),"")</f>
        <v>323.832</v>
      </c>
      <c r="AA20" s="269">
        <f>IFERROR(INDEX('Inputs (2)'!$D$53:$AL$53,MATCH(AA$7&amp;"",'Inputs (2)'!$D$2:$AL$2,0)),"")</f>
        <v>345.642</v>
      </c>
      <c r="AB20" s="270">
        <f>IF(COUNT(X20:AA20)=4,SUM(X20:AA20),"")</f>
        <v>1192.444</v>
      </c>
      <c r="AC20" s="269">
        <f>IFERROR(INDEX('Inputs (2)'!$D$53:$AL$53,MATCH(AC$7&amp;"",'Inputs (2)'!$D$2:$AL$2,0)),"")</f>
        <v>325.734</v>
      </c>
      <c r="AD20" s="269">
        <f>IFERROR(INDEX('Inputs (2)'!$D$53:$AL$53,MATCH(AD$7&amp;"",'Inputs (2)'!$D$2:$AL$2,0)),"")</f>
        <v>365.306</v>
      </c>
      <c r="AE20" s="269">
        <f>IFERROR(INDEX('Inputs (2)'!$D$53:$AL$53,MATCH(AE$7&amp;"",'Inputs (2)'!$D$2:$AL$2,0)),"")</f>
        <v>487.159</v>
      </c>
      <c r="AF20" s="269">
        <f>IFERROR(INDEX('Inputs (2)'!$D$53:$AL$53,MATCH(AF$7&amp;"",'Inputs (2)'!$D$2:$AL$2,0)),"")</f>
        <v>499.877</v>
      </c>
      <c r="AG20" s="270">
        <f>IF(COUNT(AC20:AF20)=4,SUM(AC20:AF20),"")</f>
        <v>1678.076</v>
      </c>
      <c r="AH20" s="270">
        <f>IFERROR(INDEX('Inputs (2)'!$D$53:$AL$53,MATCH(AH$7&amp;"",'Inputs (2)'!$D$2:$AL$2,0)),"")</f>
        <v>405.447</v>
      </c>
      <c r="AI20" s="270">
        <f>IFERROR(INDEX('Inputs (2)'!$D$53:$AL$53,MATCH(AI$7&amp;"",'Inputs (2)'!$D$2:$AL$2,0)),"")</f>
        <v>430.256</v>
      </c>
    </row>
    <row r="21">
      <c r="C21" s="271" t="inlineStr">
        <is>
          <t>Receita liquida (soma)</t>
        </is>
      </c>
      <c r="D21" s="269" t="str">
        <f>IF(COUNT(D19)=0,"",D19+N(D20))</f>
        <v/>
      </c>
      <c r="E21" s="269" t="str">
        <f>IF(COUNT(E19)=0,"",E19+N(E20))</f>
        <v/>
      </c>
      <c r="F21" s="269" t="str">
        <f>IF(COUNT(F19)=0,"",F19+N(F20))</f>
        <v/>
      </c>
      <c r="G21" s="269" t="str">
        <f>IF(COUNT(G19)=0,"",G19+N(G20))</f>
        <v/>
      </c>
      <c r="H21" s="270" t="str">
        <f>IF(COUNT(H19)=0,"",H19+N(H20))</f>
        <v/>
      </c>
      <c r="I21" s="269">
        <f>IF(COUNT(I19)=0,"",I19+N(I20))</f>
        <v>413.885</v>
      </c>
      <c r="J21" s="269">
        <f>IF(COUNT(J19)=0,"",J19+N(J20))</f>
        <v>422.162</v>
      </c>
      <c r="K21" s="269">
        <f>IF(COUNT(K19)=0,"",K19+N(K20))</f>
        <v>453.362</v>
      </c>
      <c r="L21" s="269">
        <f>IF(COUNT(L19)=0,"",L19+N(L20))</f>
        <v>486.971</v>
      </c>
      <c r="M21" s="270">
        <f>IF(COUNT(M19)=0,"",M19+N(M20))</f>
        <v>1776.38</v>
      </c>
      <c r="N21" s="269">
        <f>IF(COUNT(N19)=0,"",N19+N(N20))</f>
        <v>468.094</v>
      </c>
      <c r="O21" s="269">
        <f>IF(COUNT(O19)=0,"",O19+N(O20))</f>
        <v>586.126</v>
      </c>
      <c r="P21" s="269">
        <f>IF(COUNT(P19)=0,"",P19+N(P20))</f>
        <v>574.411</v>
      </c>
      <c r="Q21" s="269">
        <f>IF(COUNT(Q19)=0,"",Q19+N(Q20))</f>
        <v>533.985</v>
      </c>
      <c r="R21" s="270">
        <f>IF(COUNT(R19)=0,"",R19+N(R20))</f>
        <v>2162.616</v>
      </c>
      <c r="S21" s="269">
        <f>IF(COUNT(S19)=0,"",S19+N(S20))</f>
        <v>557.269</v>
      </c>
      <c r="T21" s="269">
        <f>IF(COUNT(T19)=0,"",T19+N(T20))</f>
        <v>605.408</v>
      </c>
      <c r="U21" s="269">
        <f>IF(COUNT(U19)=0,"",U19+N(U20))</f>
        <v>557.668</v>
      </c>
      <c r="V21" s="269">
        <f>IF(COUNT(V19)=0,"",V19+N(V20))</f>
        <v>634.838</v>
      </c>
      <c r="W21" s="270">
        <f>IF(COUNT(W19)=0,"",W19+N(W20))</f>
        <v>2355.183</v>
      </c>
      <c r="X21" s="269">
        <f>IF(COUNT(X19)=0,"",X19+N(X20))</f>
        <v>669.442</v>
      </c>
      <c r="Y21" s="269">
        <f>IF(COUNT(Y19)=0,"",Y19+N(Y20))</f>
        <v>844.22</v>
      </c>
      <c r="Z21" s="269">
        <f>IF(COUNT(Z19)=0,"",Z19+N(Z20))</f>
        <v>910.598</v>
      </c>
      <c r="AA21" s="269">
        <f>IF(COUNT(AA19)=0,"",AA19+N(AA20))</f>
        <v>924.21</v>
      </c>
      <c r="AB21" s="270">
        <f>IF(COUNT(AB19)=0,"",AB19+N(AB20))</f>
        <v>3348.47</v>
      </c>
      <c r="AC21" s="269">
        <f>IF(COUNT(AC19)=0,"",AC19+N(AC20))</f>
        <v>894.132</v>
      </c>
      <c r="AD21" s="269">
        <f>IF(COUNT(AD19)=0,"",AD19+N(AD20))</f>
        <v>1065.21</v>
      </c>
      <c r="AE21" s="269">
        <f>IF(COUNT(AE19)=0,"",AE19+N(AE20))</f>
        <v>1157.823</v>
      </c>
      <c r="AF21" s="269">
        <f>IF(COUNT(AF19)=0,"",AF19+N(AF20))</f>
        <v>1225.843</v>
      </c>
      <c r="AG21" s="270">
        <f>IF(COUNT(AG19)=0,"",AG19+N(AG20))</f>
        <v>4343.008</v>
      </c>
      <c r="AH21" s="270">
        <f>IF(COUNT(AH19)=0,"",AH19+N(AH20))</f>
        <v>1164.527</v>
      </c>
      <c r="AI21" s="270">
        <f>IF(COUNT(AI19)=0,"",AI19+N(AI20))</f>
        <v>1279.265</v>
      </c>
    </row>
    <row r="22">
      <c r="C22" s="268" t="inlineStr">
        <is>
          <t>Check vs Net Revenues (linha 15)</t>
        </is>
      </c>
      <c r="D22" s="269" t="str">
        <f>IF(COUNT(D21)=0,"",ROUND(D15-D21,3))</f>
        <v/>
      </c>
      <c r="E22" s="269" t="str">
        <f>IF(COUNT(E21)=0,"",ROUND(E15-E21,3))</f>
        <v/>
      </c>
      <c r="F22" s="269" t="str">
        <f>IF(COUNT(F21)=0,"",ROUND(F15-F21,3))</f>
        <v/>
      </c>
      <c r="G22" s="269" t="str">
        <f>IF(COUNT(G21)=0,"",ROUND(G15-G21,3))</f>
        <v/>
      </c>
      <c r="H22" s="270" t="str">
        <f>IF(COUNT(H21)=0,"",ROUND(H15-H21,3))</f>
        <v/>
      </c>
      <c r="I22" s="269">
        <f>IF(COUNT(I21)=0,"",ROUND(I15-I21,3))</f>
        <v>0</v>
      </c>
      <c r="J22" s="269">
        <f>IF(COUNT(J21)=0,"",ROUND(J15-J21,3))</f>
        <v>0</v>
      </c>
      <c r="K22" s="269">
        <f>IF(COUNT(K21)=0,"",ROUND(K15-K21,3))</f>
        <v>0</v>
      </c>
      <c r="L22" s="269">
        <f>IF(COUNT(L21)=0,"",ROUND(L15-L21,3))</f>
        <v>0</v>
      </c>
      <c r="M22" s="270">
        <f>IF(COUNT(M21)=0,"",ROUND(M15-M21,3))</f>
        <v>0</v>
      </c>
      <c r="N22" s="269">
        <f>IF(COUNT(N21)=0,"",ROUND(N15-N21,3))</f>
        <v>0</v>
      </c>
      <c r="O22" s="269">
        <f>IF(COUNT(O21)=0,"",ROUND(O15-O21,3))</f>
        <v>0</v>
      </c>
      <c r="P22" s="269">
        <f>IF(COUNT(P21)=0,"",ROUND(P15-P21,3))</f>
        <v>0</v>
      </c>
      <c r="Q22" s="269">
        <f>IF(COUNT(Q21)=0,"",ROUND(Q15-Q21,3))</f>
        <v>0</v>
      </c>
      <c r="R22" s="270">
        <f>IF(COUNT(R21)=0,"",ROUND(R15-R21,3))</f>
        <v>0</v>
      </c>
      <c r="S22" s="269">
        <f>IF(COUNT(S21)=0,"",ROUND(S15-S21,3))</f>
        <v>0</v>
      </c>
      <c r="T22" s="269">
        <f>IF(COUNT(T21)=0,"",ROUND(T15-T21,3))</f>
        <v>0</v>
      </c>
      <c r="U22" s="269">
        <f>IF(COUNT(U21)=0,"",ROUND(U15-U21,3))</f>
        <v>0</v>
      </c>
      <c r="V22" s="269">
        <f>IF(COUNT(V21)=0,"",ROUND(V15-V21,3))</f>
        <v>0</v>
      </c>
      <c r="W22" s="270">
        <f>IF(COUNT(W21)=0,"",ROUND(W15-W21,3))</f>
        <v>0</v>
      </c>
      <c r="X22" s="269">
        <f>IF(COUNT(X21)=0,"",ROUND(X15-X21,3))</f>
        <v>0</v>
      </c>
      <c r="Y22" s="269">
        <f>IF(COUNT(Y21)=0,"",ROUND(Y15-Y21,3))</f>
        <v>0</v>
      </c>
      <c r="Z22" s="269">
        <f>IF(COUNT(Z21)=0,"",ROUND(Z15-Z21,3))</f>
        <v>0</v>
      </c>
      <c r="AA22" s="269">
        <f>IF(COUNT(AA21)=0,"",ROUND(AA15-AA21,3))</f>
        <v>0</v>
      </c>
      <c r="AB22" s="270">
        <f>IF(COUNT(AB21)=0,"",ROUND(AB15-AB21,3))</f>
        <v>0</v>
      </c>
      <c r="AC22" s="269">
        <f>IF(COUNT(AC21)=0,"",ROUND(AC15-AC21,3))</f>
        <v>0</v>
      </c>
      <c r="AD22" s="269">
        <f>IF(COUNT(AD21)=0,"",ROUND(AD15-AD21,3))</f>
        <v>0</v>
      </c>
      <c r="AE22" s="269">
        <f>IF(COUNT(AE21)=0,"",ROUND(AE15-AE21,3))</f>
        <v>0</v>
      </c>
      <c r="AF22" s="269">
        <f>IF(COUNT(AF21)=0,"",ROUND(AF15-AF21,3))</f>
        <v>0</v>
      </c>
      <c r="AG22" s="270">
        <f>IF(COUNT(AG21)=0,"",ROUND(AG15-AG21,3))</f>
        <v>0</v>
      </c>
      <c r="AH22" s="270">
        <f>IF(COUNT(AH21)=0,"",ROUND(AH15-AH21,3))</f>
        <v>0</v>
      </c>
      <c r="AI22" s="270">
        <f>IF(COUNT(AI21)=0,"",ROUND(AI15-AI21,3))</f>
        <v>0</v>
      </c>
    </row>
    <row r="23">
      <c r="C23" s="268" t="inlineStr">
        <is>
          <t xml:space="preserve">   % Riva na receita</t>
        </is>
      </c>
      <c r="D23" s="272" t="str">
        <f>IF(COUNT(D20)=0,"",IFERROR(D20/D21,""))</f>
        <v/>
      </c>
      <c r="E23" s="272" t="str">
        <f>IF(COUNT(E20)=0,"",IFERROR(E20/E21,""))</f>
        <v/>
      </c>
      <c r="F23" s="272" t="str">
        <f>IF(COUNT(F20)=0,"",IFERROR(F20/F21,""))</f>
        <v/>
      </c>
      <c r="G23" s="272" t="str">
        <f>IF(COUNT(G20)=0,"",IFERROR(G20/G21,""))</f>
        <v/>
      </c>
      <c r="H23" s="273" t="str">
        <f>IF(COUNT(H20)=0,"",IFERROR(H20/H21,""))</f>
        <v/>
      </c>
      <c r="I23" s="272" t="str">
        <f>IF(COUNT(I20)=0,"",IFERROR(I20/I21,""))</f>
        <v/>
      </c>
      <c r="J23" s="272" t="str">
        <f>IF(COUNT(J20)=0,"",IFERROR(J20/J21,""))</f>
        <v/>
      </c>
      <c r="K23" s="272" t="str">
        <f>IF(COUNT(K20)=0,"",IFERROR(K20/K21,""))</f>
        <v/>
      </c>
      <c r="L23" s="272" t="str">
        <f>IF(COUNT(L20)=0,"",IFERROR(L20/L21,""))</f>
        <v/>
      </c>
      <c r="M23" s="273" t="str">
        <f>IF(COUNT(M20)=0,"",IFERROR(M20/M21,""))</f>
        <v/>
      </c>
      <c r="N23" s="272" t="str">
        <f>IF(COUNT(N20)=0,"",IFERROR(N20/N21,""))</f>
        <v/>
      </c>
      <c r="O23" s="272" t="str">
        <f>IF(COUNT(O20)=0,"",IFERROR(O20/O21,""))</f>
        <v/>
      </c>
      <c r="P23" s="272" t="str">
        <f>IF(COUNT(P20)=0,"",IFERROR(P20/P21,""))</f>
        <v/>
      </c>
      <c r="Q23" s="272" t="str">
        <f>IF(COUNT(Q20)=0,"",IFERROR(Q20/Q21,""))</f>
        <v/>
      </c>
      <c r="R23" s="273" t="str">
        <f>IF(COUNT(R20)=0,"",IFERROR(R20/R21,""))</f>
        <v/>
      </c>
      <c r="S23" s="272" t="str">
        <f>IF(COUNT(S20)=0,"",IFERROR(S20/S21,""))</f>
        <v/>
      </c>
      <c r="T23" s="272" t="str">
        <f>IF(COUNT(T20)=0,"",IFERROR(T20/T21,""))</f>
        <v/>
      </c>
      <c r="U23" s="272" t="str">
        <f>IF(COUNT(U20)=0,"",IFERROR(U20/U21,""))</f>
        <v/>
      </c>
      <c r="V23" s="272" t="str">
        <f>IF(COUNT(V20)=0,"",IFERROR(V20/V21,""))</f>
        <v/>
      </c>
      <c r="W23" s="273" t="str">
        <f>IF(COUNT(W20)=0,"",IFERROR(W20/W21,""))</f>
        <v/>
      </c>
      <c r="X23" s="272">
        <f>IF(COUNT(X20)=0,"",IFERROR(X20/X21,""))</f>
        <v>0.363444480627149</v>
      </c>
      <c r="Y23" s="272">
        <f>IF(COUNT(Y20)=0,"",IFERROR(Y20/Y21,""))</f>
        <v>0.331270284996802</v>
      </c>
      <c r="Z23" s="272">
        <f>IF(COUNT(Z20)=0,"",IFERROR(Z20/Z21,""))</f>
        <v>0.355625643807696</v>
      </c>
      <c r="AA23" s="272">
        <f>IF(COUNT(AA20)=0,"",IFERROR(AA20/AA21,""))</f>
        <v>0.373986431655143</v>
      </c>
      <c r="AB23" s="273">
        <f>IF(COUNT(AB20)=0,"",IFERROR(AB20/AB21,""))</f>
        <v>0.356116076894821</v>
      </c>
      <c r="AC23" s="272">
        <f>IF(COUNT(AC20)=0,"",IFERROR(AC20/AC21,""))</f>
        <v>0.364301915153467</v>
      </c>
      <c r="AD23" s="272">
        <f>IF(COUNT(AD20)=0,"",IFERROR(AD20/AD21,""))</f>
        <v>0.342942706133063</v>
      </c>
      <c r="AE23" s="272">
        <f>IF(COUNT(AE20)=0,"",IFERROR(AE20/AE21,""))</f>
        <v>0.420754294913817</v>
      </c>
      <c r="AF23" s="272">
        <f>IF(COUNT(AF20)=0,"",IFERROR(AF20/AF21,""))</f>
        <v>0.407782236387531</v>
      </c>
      <c r="AG23" s="273">
        <f>IF(COUNT(AG20)=0,"",IFERROR(AG20/AG21,""))</f>
        <v>0.386385657129805</v>
      </c>
      <c r="AH23" s="273">
        <f>IF(COUNT(AH20)=0,"",IFERROR(AH20/AH21,""))</f>
        <v>0.348164533754906</v>
      </c>
      <c r="AI23" s="273">
        <f>IF(COUNT(AI20)=0,"",IFERROR(AI20/AI21,""))</f>
        <v>0.336330627352425</v>
      </c>
    </row>
    <row r="24">
      <c r="C24" s="268" t="inlineStr">
        <is>
          <t xml:space="preserve">   % YoY Riva</t>
        </is>
      </c>
      <c r="D24" s="272" t="str">
        <f>""</f>
        <v/>
      </c>
      <c r="E24" s="272" t="str">
        <f>""</f>
        <v/>
      </c>
      <c r="F24" s="272" t="str">
        <f>""</f>
        <v/>
      </c>
      <c r="G24" s="272" t="str">
        <f>""</f>
        <v/>
      </c>
      <c r="H24" s="273" t="str">
        <f>""</f>
        <v/>
      </c>
      <c r="I24" s="272" t="str">
        <f>IFERROR(I20/D20-1,"")</f>
        <v/>
      </c>
      <c r="J24" s="272" t="str">
        <f>IFERROR(J20/E20-1,"")</f>
        <v/>
      </c>
      <c r="K24" s="272" t="str">
        <f>IFERROR(K20/F20-1,"")</f>
        <v/>
      </c>
      <c r="L24" s="272" t="str">
        <f>IFERROR(L20/G20-1,"")</f>
        <v/>
      </c>
      <c r="M24" s="273" t="str">
        <f>IFERROR(M20/H20-1,"")</f>
        <v/>
      </c>
      <c r="N24" s="272" t="str">
        <f>IFERROR(N20/I20-1,"")</f>
        <v/>
      </c>
      <c r="O24" s="272" t="str">
        <f>IFERROR(O20/J20-1,"")</f>
        <v/>
      </c>
      <c r="P24" s="272" t="str">
        <f>IFERROR(P20/K20-1,"")</f>
        <v/>
      </c>
      <c r="Q24" s="272" t="str">
        <f>IFERROR(Q20/L20-1,"")</f>
        <v/>
      </c>
      <c r="R24" s="273" t="str">
        <f>IFERROR(R20/M20-1,"")</f>
        <v/>
      </c>
      <c r="S24" s="272" t="str">
        <f>IFERROR(S20/N20-1,"")</f>
        <v/>
      </c>
      <c r="T24" s="272" t="str">
        <f>IFERROR(T20/O20-1,"")</f>
        <v/>
      </c>
      <c r="U24" s="272" t="str">
        <f>IFERROR(U20/P20-1,"")</f>
        <v/>
      </c>
      <c r="V24" s="272" t="str">
        <f>IFERROR(V20/Q20-1,"")</f>
        <v/>
      </c>
      <c r="W24" s="273" t="str">
        <f>IFERROR(W20/R20-1,"")</f>
        <v/>
      </c>
      <c r="X24" s="272" t="str">
        <f>IFERROR(X20/S20-1,"")</f>
        <v/>
      </c>
      <c r="Y24" s="272" t="str">
        <f>IFERROR(Y20/T20-1,"")</f>
        <v/>
      </c>
      <c r="Z24" s="272" t="str">
        <f>IFERROR(Z20/U20-1,"")</f>
        <v/>
      </c>
      <c r="AA24" s="272" t="str">
        <f>IFERROR(AA20/V20-1,"")</f>
        <v/>
      </c>
      <c r="AB24" s="273" t="str">
        <f>IFERROR(AB20/W20-1,"")</f>
        <v/>
      </c>
      <c r="AC24" s="272">
        <f>IFERROR(AC20/X20-1,"")</f>
        <v>0.338788763075153</v>
      </c>
      <c r="AD24" s="272">
        <f>IFERROR(AD20/Y20-1,"")</f>
        <v>0.306227093129279</v>
      </c>
      <c r="AE24" s="272">
        <f>IFERROR(AE20/Z20-1,"")</f>
        <v>0.504357197559228</v>
      </c>
      <c r="AF24" s="272">
        <f>IFERROR(AF20/AA20-1,"")</f>
        <v>0.446227599655135</v>
      </c>
      <c r="AG24" s="273">
        <f>IFERROR(AG20/AB20-1,"")</f>
        <v>0.407257699313343</v>
      </c>
      <c r="AH24" s="273">
        <f>IFERROR(AH20/AC20-1,"")</f>
        <v>0.24471808285288</v>
      </c>
      <c r="AI24" s="273">
        <f>IFERROR(AI20/AD20-1,"")</f>
        <v>0.177796148981949</v>
      </c>
    </row>
    <row r="25">
      <c r="C25" s="268" t="inlineStr">
        <is>
          <t xml:space="preserve">   Margem bruta consolidada</t>
        </is>
      </c>
      <c r="D25" s="272" t="str">
        <f>IFERROR((D15+D54)/D15,"")</f>
        <v/>
      </c>
      <c r="E25" s="272" t="str">
        <f>IFERROR((E15+E54)/E15,"")</f>
        <v/>
      </c>
      <c r="F25" s="272" t="str">
        <f>IFERROR((F15+F54)/F15,"")</f>
        <v/>
      </c>
      <c r="G25" s="272" t="str">
        <f>IFERROR((G15+G54)/G15,"")</f>
        <v/>
      </c>
      <c r="H25" s="273" t="str">
        <f>IFERROR((H15+H54)/H15,"")</f>
        <v/>
      </c>
      <c r="I25" s="272">
        <f>IFERROR((I15+I54)/I15,"")</f>
        <v>0.354887716445389</v>
      </c>
      <c r="J25" s="272">
        <f>IFERROR((J15+J54)/J15,"")</f>
        <v>0.376754326883992</v>
      </c>
      <c r="K25" s="272">
        <f>IFERROR((K15+K54)/K15,"")</f>
        <v>0.356862135545105</v>
      </c>
      <c r="L25" s="272">
        <f>IFERROR((L15+L54)/L15,"")</f>
        <v>0.333408366902752</v>
      </c>
      <c r="M25" s="273">
        <f>IFERROR((M15+M54)/M15,"")</f>
        <v>0.35470000788176</v>
      </c>
      <c r="N25" s="272">
        <f>IFERROR((N15+N54)/N15,"")</f>
        <v>0.352467666750695</v>
      </c>
      <c r="O25" s="272">
        <f>IFERROR((O15+O54)/O15,"")</f>
        <v>0.311926104625968</v>
      </c>
      <c r="P25" s="272">
        <f>IFERROR((P15+P54)/P15,"")</f>
        <v>0.339786320248045</v>
      </c>
      <c r="Q25" s="272">
        <f>IFERROR((Q15+Q54)/Q15,"")</f>
        <v>0.357187935990711</v>
      </c>
      <c r="R25" s="273">
        <f>IFERROR((R15+R54)/R15,"")</f>
        <v>0.33927706074495</v>
      </c>
      <c r="S25" s="272">
        <f>IFERROR((S15+S54)/S15,"")</f>
        <v>0.355024234256705</v>
      </c>
      <c r="T25" s="272">
        <f>IFERROR((T15+T54)/T15,"")</f>
        <v>0.338913592156034</v>
      </c>
      <c r="U25" s="272">
        <f>IFERROR((U15+U54)/U15,"")</f>
        <v>0.344952552414698</v>
      </c>
      <c r="V25" s="272">
        <f>IFERROR((V15+V54)/V15,"")</f>
        <v>0.330133041815392</v>
      </c>
      <c r="W25" s="273">
        <f>IFERROR((W15+W54)/W15,"")</f>
        <v>0.341788727245399</v>
      </c>
      <c r="X25" s="272">
        <f>IFERROR((X15+X54)/X15,"")</f>
        <v>0.359406789535165</v>
      </c>
      <c r="Y25" s="272">
        <f>IFERROR((Y15+Y54)/Y15,"")</f>
        <v>0.35847054085428</v>
      </c>
      <c r="Z25" s="272">
        <f>IFERROR((Z15+Z54)/Z15,"")</f>
        <v>0.365382968115458</v>
      </c>
      <c r="AA25" s="272">
        <f>IFERROR((AA15+AA54)/AA15,"")</f>
        <v>0.370474242866881</v>
      </c>
      <c r="AB25" s="273">
        <f>IFERROR((AB15+AB54)/AB15,"")</f>
        <v>0.363850654179372</v>
      </c>
      <c r="AC25" s="272">
        <f>IFERROR((AC15+AC54)/AC15,"")</f>
        <v>0.386163340535849</v>
      </c>
      <c r="AD25" s="272">
        <f>IFERROR((AD15+AD54)/AD15,"")</f>
        <v>0.388869800321064</v>
      </c>
      <c r="AE25" s="272">
        <f>IFERROR((AE15+AE54)/AE15,"")</f>
        <v>0.400579363166909</v>
      </c>
      <c r="AF25" s="272">
        <f>IFERROR((AF15+AF54)/AF15,"")</f>
        <v>0.407154097221259</v>
      </c>
      <c r="AG25" s="273">
        <f>IFERROR((AG15+AG54)/AG15,"")</f>
        <v>0.39659517090459</v>
      </c>
      <c r="AH25" s="273">
        <f>IFERROR((AH15+AH54)/AH15,"")</f>
        <v>0.406527285327004</v>
      </c>
      <c r="AI25" s="273">
        <f>IFERROR((AI15+AI54)/AI15,"")</f>
        <v>0.399886653664409</v>
      </c>
    </row>
    <row r="26">
      <c r="C26" s="268" t="inlineStr">
        <is>
          <t xml:space="preserve">   Lucro bruto Riva</t>
        </is>
      </c>
      <c r="D26" s="269" t="str">
        <f>IFERROR(INDEX('Inputs (2)'!$D$54:$AL$54,MATCH(D$7&amp;"",'Inputs (2)'!$D$2:$AL$2,0)),"")</f>
        <v/>
      </c>
      <c r="E26" s="269" t="str">
        <f>IFERROR(INDEX('Inputs (2)'!$D$54:$AL$54,MATCH(E$7&amp;"",'Inputs (2)'!$D$2:$AL$2,0)),"")</f>
        <v/>
      </c>
      <c r="F26" s="269" t="str">
        <f>IFERROR(INDEX('Inputs (2)'!$D$54:$AL$54,MATCH(F$7&amp;"",'Inputs (2)'!$D$2:$AL$2,0)),"")</f>
        <v/>
      </c>
      <c r="G26" s="269" t="str">
        <f>IFERROR(INDEX('Inputs (2)'!$D$54:$AL$54,MATCH(G$7&amp;"",'Inputs (2)'!$D$2:$AL$2,0)),"")</f>
        <v/>
      </c>
      <c r="H26" s="270" t="str">
        <f>IF(COUNT(D26:G26)=4,SUM(D26:G26),"")</f>
        <v/>
      </c>
      <c r="I26" s="269" t="str">
        <f>IFERROR(INDEX('Inputs (2)'!$D$54:$AL$54,MATCH(I$7&amp;"",'Inputs (2)'!$D$2:$AL$2,0)),"")</f>
        <v/>
      </c>
      <c r="J26" s="269" t="str">
        <f>IFERROR(INDEX('Inputs (2)'!$D$54:$AL$54,MATCH(J$7&amp;"",'Inputs (2)'!$D$2:$AL$2,0)),"")</f>
        <v/>
      </c>
      <c r="K26" s="269" t="str">
        <f>IFERROR(INDEX('Inputs (2)'!$D$54:$AL$54,MATCH(K$7&amp;"",'Inputs (2)'!$D$2:$AL$2,0)),"")</f>
        <v/>
      </c>
      <c r="L26" s="269" t="str">
        <f>IFERROR(INDEX('Inputs (2)'!$D$54:$AL$54,MATCH(L$7&amp;"",'Inputs (2)'!$D$2:$AL$2,0)),"")</f>
        <v/>
      </c>
      <c r="M26" s="270" t="str">
        <f>IF(COUNT(I26:L26)=4,SUM(I26:L26),"")</f>
        <v/>
      </c>
      <c r="N26" s="269" t="str">
        <f>IFERROR(INDEX('Inputs (2)'!$D$54:$AL$54,MATCH(N$7&amp;"",'Inputs (2)'!$D$2:$AL$2,0)),"")</f>
        <v/>
      </c>
      <c r="O26" s="269" t="str">
        <f>IFERROR(INDEX('Inputs (2)'!$D$54:$AL$54,MATCH(O$7&amp;"",'Inputs (2)'!$D$2:$AL$2,0)),"")</f>
        <v/>
      </c>
      <c r="P26" s="269" t="str">
        <f>IFERROR(INDEX('Inputs (2)'!$D$54:$AL$54,MATCH(P$7&amp;"",'Inputs (2)'!$D$2:$AL$2,0)),"")</f>
        <v/>
      </c>
      <c r="Q26" s="269" t="str">
        <f>IFERROR(INDEX('Inputs (2)'!$D$54:$AL$54,MATCH(Q$7&amp;"",'Inputs (2)'!$D$2:$AL$2,0)),"")</f>
        <v/>
      </c>
      <c r="R26" s="270" t="str">
        <f>IF(COUNT(N26:Q26)=4,SUM(N26:Q26),"")</f>
        <v/>
      </c>
      <c r="S26" s="269" t="str">
        <f>IFERROR(INDEX('Inputs (2)'!$D$54:$AL$54,MATCH(S$7&amp;"",'Inputs (2)'!$D$2:$AL$2,0)),"")</f>
        <v/>
      </c>
      <c r="T26" s="269" t="str">
        <f>IFERROR(INDEX('Inputs (2)'!$D$54:$AL$54,MATCH(T$7&amp;"",'Inputs (2)'!$D$2:$AL$2,0)),"")</f>
        <v/>
      </c>
      <c r="U26" s="269" t="str">
        <f>IFERROR(INDEX('Inputs (2)'!$D$54:$AL$54,MATCH(U$7&amp;"",'Inputs (2)'!$D$2:$AL$2,0)),"")</f>
        <v/>
      </c>
      <c r="V26" s="269" t="str">
        <f>IFERROR(INDEX('Inputs (2)'!$D$54:$AL$54,MATCH(V$7&amp;"",'Inputs (2)'!$D$2:$AL$2,0)),"")</f>
        <v/>
      </c>
      <c r="W26" s="270" t="str">
        <f>IF(COUNT(S26:V26)=4,SUM(S26:V26),"")</f>
        <v/>
      </c>
      <c r="X26" s="269">
        <f>IFERROR(INDEX('Inputs (2)'!$D$54:$AL$54,MATCH(X$7&amp;"",'Inputs (2)'!$D$2:$AL$2,0)),"")</f>
        <v>87.48</v>
      </c>
      <c r="Y26" s="269">
        <f>IFERROR(INDEX('Inputs (2)'!$D$54:$AL$54,MATCH(Y$7&amp;"",'Inputs (2)'!$D$2:$AL$2,0)),"")</f>
        <v>96.385</v>
      </c>
      <c r="Z26" s="269">
        <f>IFERROR(INDEX('Inputs (2)'!$D$54:$AL$54,MATCH(Z$7&amp;"",'Inputs (2)'!$D$2:$AL$2,0)),"")</f>
        <v>121.079</v>
      </c>
      <c r="AA26" s="269">
        <f>IFERROR(INDEX('Inputs (2)'!$D$54:$AL$54,MATCH(AA$7&amp;"",'Inputs (2)'!$D$2:$AL$2,0)),"")</f>
        <v>122.862</v>
      </c>
      <c r="AB26" s="270">
        <f>IF(COUNT(X26:AA26)=4,SUM(X26:AA26),"")</f>
        <v>427.806</v>
      </c>
      <c r="AC26" s="269">
        <f>IFERROR(INDEX('Inputs (2)'!$D$54:$AL$54,MATCH(AC$7&amp;"",'Inputs (2)'!$D$2:$AL$2,0)),"")</f>
        <v>130.916</v>
      </c>
      <c r="AD26" s="269">
        <f>IFERROR(INDEX('Inputs (2)'!$D$54:$AL$54,MATCH(AD$7&amp;"",'Inputs (2)'!$D$2:$AL$2,0)),"")</f>
        <v>142.403</v>
      </c>
      <c r="AE26" s="269">
        <f>IFERROR(INDEX('Inputs (2)'!$D$54:$AL$54,MATCH(AE$7&amp;"",'Inputs (2)'!$D$2:$AL$2,0)),"")</f>
        <v>203.345</v>
      </c>
      <c r="AF26" s="269">
        <f>IFERROR(INDEX('Inputs (2)'!$D$54:$AL$54,MATCH(AF$7&amp;"",'Inputs (2)'!$D$2:$AL$2,0)),"")</f>
        <v>204.351</v>
      </c>
      <c r="AG26" s="270">
        <f>IF(COUNT(AC26:AF26)=4,SUM(AC26:AF26),"")</f>
        <v>681.015</v>
      </c>
      <c r="AH26" s="270">
        <f>IFERROR(INDEX('Inputs (2)'!$D$54:$AL$54,MATCH(AH$7&amp;"",'Inputs (2)'!$D$2:$AL$2,0)),"")</f>
        <v>175.421</v>
      </c>
      <c r="AI26" s="270">
        <f>IFERROR(INDEX('Inputs (2)'!$D$54:$AL$54,MATCH(AI$7&amp;"",'Inputs (2)'!$D$2:$AL$2,0)),"")</f>
        <v>184.69</v>
      </c>
    </row>
    <row r="27">
      <c r="C27" s="268" t="inlineStr">
        <is>
          <t xml:space="preserve">   Margem bruta Riva</t>
        </is>
      </c>
      <c r="D27" s="272" t="str">
        <f>IFERROR(D26/D20,"")</f>
        <v/>
      </c>
      <c r="E27" s="272" t="str">
        <f>IFERROR(E26/E20,"")</f>
        <v/>
      </c>
      <c r="F27" s="272" t="str">
        <f>IFERROR(F26/F20,"")</f>
        <v/>
      </c>
      <c r="G27" s="272" t="str">
        <f>IFERROR(G26/G20,"")</f>
        <v/>
      </c>
      <c r="H27" s="273" t="str">
        <f>IFERROR(H26/H20,"")</f>
        <v/>
      </c>
      <c r="I27" s="272" t="str">
        <f>IFERROR(I26/I20,"")</f>
        <v/>
      </c>
      <c r="J27" s="272" t="str">
        <f>IFERROR(J26/J20,"")</f>
        <v/>
      </c>
      <c r="K27" s="272" t="str">
        <f>IFERROR(K26/K20,"")</f>
        <v/>
      </c>
      <c r="L27" s="272" t="str">
        <f>IFERROR(L26/L20,"")</f>
        <v/>
      </c>
      <c r="M27" s="273" t="str">
        <f>IFERROR(M26/M20,"")</f>
        <v/>
      </c>
      <c r="N27" s="272" t="str">
        <f>IFERROR(N26/N20,"")</f>
        <v/>
      </c>
      <c r="O27" s="272" t="str">
        <f>IFERROR(O26/O20,"")</f>
        <v/>
      </c>
      <c r="P27" s="272" t="str">
        <f>IFERROR(P26/P20,"")</f>
        <v/>
      </c>
      <c r="Q27" s="272" t="str">
        <f>IFERROR(Q26/Q20,"")</f>
        <v/>
      </c>
      <c r="R27" s="273" t="str">
        <f>IFERROR(R26/R20,"")</f>
        <v/>
      </c>
      <c r="S27" s="272" t="str">
        <f>IFERROR(S26/S20,"")</f>
        <v/>
      </c>
      <c r="T27" s="272" t="str">
        <f>IFERROR(T26/T20,"")</f>
        <v/>
      </c>
      <c r="U27" s="272" t="str">
        <f>IFERROR(U26/U20,"")</f>
        <v/>
      </c>
      <c r="V27" s="272" t="str">
        <f>IFERROR(V26/V20,"")</f>
        <v/>
      </c>
      <c r="W27" s="273" t="str">
        <f>IFERROR(W26/W20,"")</f>
        <v/>
      </c>
      <c r="X27" s="272">
        <f>IFERROR(X26/X20,"")</f>
        <v>0.359548714576355</v>
      </c>
      <c r="Y27" s="272">
        <f>IFERROR(Y26/Y20,"")</f>
        <v>0.344644485366421</v>
      </c>
      <c r="Z27" s="272">
        <f>IFERROR(Z26/Z20,"")</f>
        <v>0.37389448850021</v>
      </c>
      <c r="AA27" s="272">
        <f>IFERROR(AA26/AA20,"")</f>
        <v>0.355460273925044</v>
      </c>
      <c r="AB27" s="273">
        <f>IFERROR(AB26/AB20,"")</f>
        <v>0.358764017429749</v>
      </c>
      <c r="AC27" s="272">
        <f>IFERROR(AC26/AC20,"")</f>
        <v>0.401910761541626</v>
      </c>
      <c r="AD27" s="272">
        <f>IFERROR(AD26/AD20,"")</f>
        <v>0.38981839882181</v>
      </c>
      <c r="AE27" s="272">
        <f>IFERROR(AE26/AE20,"")</f>
        <v>0.417409921606703</v>
      </c>
      <c r="AF27" s="272">
        <f>IFERROR(AF26/AF20,"")</f>
        <v>0.408802565431096</v>
      </c>
      <c r="AG27" s="273">
        <f>IFERROR(AG26/AG20,"")</f>
        <v>0.405830844371769</v>
      </c>
      <c r="AH27" s="273">
        <f>IFERROR(AH26/AH20,"")</f>
        <v>0.432660742341169</v>
      </c>
      <c r="AI27" s="273">
        <f>IFERROR(AI26/AI20,"")</f>
        <v>0.429256070804358</v>
      </c>
    </row>
    <row r="28">
      <c r="C28" s="268" t="inlineStr">
        <is>
          <t xml:space="preserve">   Lucro liquido Riva</t>
        </is>
      </c>
      <c r="D28" s="269" t="str">
        <f>IFERROR(INDEX('Inputs (2)'!$D$55:$AL$55,MATCH(D$7&amp;"",'Inputs (2)'!$D$2:$AL$2,0)),"")</f>
        <v/>
      </c>
      <c r="E28" s="269" t="str">
        <f>IFERROR(INDEX('Inputs (2)'!$D$55:$AL$55,MATCH(E$7&amp;"",'Inputs (2)'!$D$2:$AL$2,0)),"")</f>
        <v/>
      </c>
      <c r="F28" s="269" t="str">
        <f>IFERROR(INDEX('Inputs (2)'!$D$55:$AL$55,MATCH(F$7&amp;"",'Inputs (2)'!$D$2:$AL$2,0)),"")</f>
        <v/>
      </c>
      <c r="G28" s="269" t="str">
        <f>IFERROR(INDEX('Inputs (2)'!$D$55:$AL$55,MATCH(G$7&amp;"",'Inputs (2)'!$D$2:$AL$2,0)),"")</f>
        <v/>
      </c>
      <c r="H28" s="270" t="str">
        <f>IF(COUNT(D28:G28)=4,SUM(D28:G28),"")</f>
        <v/>
      </c>
      <c r="I28" s="269" t="str">
        <f>IFERROR(INDEX('Inputs (2)'!$D$55:$AL$55,MATCH(I$7&amp;"",'Inputs (2)'!$D$2:$AL$2,0)),"")</f>
        <v/>
      </c>
      <c r="J28" s="269" t="str">
        <f>IFERROR(INDEX('Inputs (2)'!$D$55:$AL$55,MATCH(J$7&amp;"",'Inputs (2)'!$D$2:$AL$2,0)),"")</f>
        <v/>
      </c>
      <c r="K28" s="269" t="str">
        <f>IFERROR(INDEX('Inputs (2)'!$D$55:$AL$55,MATCH(K$7&amp;"",'Inputs (2)'!$D$2:$AL$2,0)),"")</f>
        <v/>
      </c>
      <c r="L28" s="269" t="str">
        <f>IFERROR(INDEX('Inputs (2)'!$D$55:$AL$55,MATCH(L$7&amp;"",'Inputs (2)'!$D$2:$AL$2,0)),"")</f>
        <v/>
      </c>
      <c r="M28" s="270" t="str">
        <f>IF(COUNT(I28:L28)=4,SUM(I28:L28),"")</f>
        <v/>
      </c>
      <c r="N28" s="269" t="str">
        <f>IFERROR(INDEX('Inputs (2)'!$D$55:$AL$55,MATCH(N$7&amp;"",'Inputs (2)'!$D$2:$AL$2,0)),"")</f>
        <v/>
      </c>
      <c r="O28" s="269" t="str">
        <f>IFERROR(INDEX('Inputs (2)'!$D$55:$AL$55,MATCH(O$7&amp;"",'Inputs (2)'!$D$2:$AL$2,0)),"")</f>
        <v/>
      </c>
      <c r="P28" s="269" t="str">
        <f>IFERROR(INDEX('Inputs (2)'!$D$55:$AL$55,MATCH(P$7&amp;"",'Inputs (2)'!$D$2:$AL$2,0)),"")</f>
        <v/>
      </c>
      <c r="Q28" s="269" t="str">
        <f>IFERROR(INDEX('Inputs (2)'!$D$55:$AL$55,MATCH(Q$7&amp;"",'Inputs (2)'!$D$2:$AL$2,0)),"")</f>
        <v/>
      </c>
      <c r="R28" s="270" t="str">
        <f>IF(COUNT(N28:Q28)=4,SUM(N28:Q28),"")</f>
        <v/>
      </c>
      <c r="S28" s="269" t="str">
        <f>IFERROR(INDEX('Inputs (2)'!$D$55:$AL$55,MATCH(S$7&amp;"",'Inputs (2)'!$D$2:$AL$2,0)),"")</f>
        <v/>
      </c>
      <c r="T28" s="269" t="str">
        <f>IFERROR(INDEX('Inputs (2)'!$D$55:$AL$55,MATCH(T$7&amp;"",'Inputs (2)'!$D$2:$AL$2,0)),"")</f>
        <v/>
      </c>
      <c r="U28" s="269" t="str">
        <f>IFERROR(INDEX('Inputs (2)'!$D$55:$AL$55,MATCH(U$7&amp;"",'Inputs (2)'!$D$2:$AL$2,0)),"")</f>
        <v/>
      </c>
      <c r="V28" s="269" t="str">
        <f>IFERROR(INDEX('Inputs (2)'!$D$55:$AL$55,MATCH(V$7&amp;"",'Inputs (2)'!$D$2:$AL$2,0)),"")</f>
        <v/>
      </c>
      <c r="W28" s="270" t="str">
        <f>IF(COUNT(S28:V28)=4,SUM(S28:V28),"")</f>
        <v/>
      </c>
      <c r="X28" s="269">
        <f>IFERROR(INDEX('Inputs (2)'!$D$55:$AL$55,MATCH(X$7&amp;"",'Inputs (2)'!$D$2:$AL$2,0)),"")</f>
        <v>68.821</v>
      </c>
      <c r="Y28" s="269">
        <f>IFERROR(INDEX('Inputs (2)'!$D$55:$AL$55,MATCH(Y$7&amp;"",'Inputs (2)'!$D$2:$AL$2,0)),"")</f>
        <v>55.18</v>
      </c>
      <c r="Z28" s="269">
        <f>IFERROR(INDEX('Inputs (2)'!$D$55:$AL$55,MATCH(Z$7&amp;"",'Inputs (2)'!$D$2:$AL$2,0)),"")</f>
        <v>80.237</v>
      </c>
      <c r="AA28" s="269">
        <f>IFERROR(INDEX('Inputs (2)'!$D$55:$AL$55,MATCH(AA$7&amp;"",'Inputs (2)'!$D$2:$AL$2,0)),"")</f>
        <v>75.033</v>
      </c>
      <c r="AB28" s="270">
        <f>IF(COUNT(X28:AA28)=4,SUM(X28:AA28),"")</f>
        <v>279.271</v>
      </c>
      <c r="AC28" s="269">
        <f>IFERROR(INDEX('Inputs (2)'!$D$55:$AL$55,MATCH(AC$7&amp;"",'Inputs (2)'!$D$2:$AL$2,0)),"")</f>
        <v>84.148</v>
      </c>
      <c r="AD28" s="269">
        <f>IFERROR(INDEX('Inputs (2)'!$D$55:$AL$55,MATCH(AD$7&amp;"",'Inputs (2)'!$D$2:$AL$2,0)),"")</f>
        <v>90.625</v>
      </c>
      <c r="AE28" s="269">
        <f>IFERROR(INDEX('Inputs (2)'!$D$55:$AL$55,MATCH(AE$7&amp;"",'Inputs (2)'!$D$2:$AL$2,0)),"")</f>
        <v>140.509</v>
      </c>
      <c r="AF28" s="269">
        <f>IFERROR(INDEX('Inputs (2)'!$D$55:$AL$55,MATCH(AF$7&amp;"",'Inputs (2)'!$D$2:$AL$2,0)),"")</f>
        <v>142.441</v>
      </c>
      <c r="AG28" s="270">
        <f>IF(COUNT(AC28:AF28)=4,SUM(AC28:AF28),"")</f>
        <v>457.723</v>
      </c>
      <c r="AH28" s="270">
        <f>IFERROR(INDEX('Inputs (2)'!$D$55:$AL$55,MATCH(AH$7&amp;"",'Inputs (2)'!$D$2:$AL$2,0)),"")</f>
        <v>119.516</v>
      </c>
      <c r="AI28" s="270">
        <f>IFERROR(INDEX('Inputs (2)'!$D$55:$AL$55,MATCH(AI$7&amp;"",'Inputs (2)'!$D$2:$AL$2,0)),"")</f>
        <v>109.816</v>
      </c>
    </row>
    <row r="29"/>
    <row r="30">
      <c r="C30" s="267" t="inlineStr">
        <is>
          <t>Lancamentos (Dados Operacionais)</t>
        </is>
      </c>
      <c r="D30" s="267">
        <f>D7</f>
        <v>0</v>
      </c>
      <c r="E30" s="267">
        <f>E7</f>
        <v>0</v>
      </c>
      <c r="F30" s="267">
        <f>F7</f>
        <v>0</v>
      </c>
      <c r="G30" s="267">
        <f>G7</f>
        <v>0</v>
      </c>
      <c r="H30" s="267">
        <f>H7</f>
        <v>2020</v>
      </c>
      <c r="I30" s="267" t="str">
        <f>I7</f>
        <v>1Q21</v>
      </c>
      <c r="J30" s="267" t="str">
        <f>J7</f>
        <v>2Q21</v>
      </c>
      <c r="K30" s="267" t="str">
        <f>K7</f>
        <v>3Q21</v>
      </c>
      <c r="L30" s="267" t="str">
        <f>L7</f>
        <v>4Q21</v>
      </c>
      <c r="M30" s="267">
        <f>M7</f>
        <v>2021</v>
      </c>
      <c r="N30" s="267" t="str">
        <f>N7</f>
        <v>1Q22</v>
      </c>
      <c r="O30" s="267" t="str">
        <f>O7</f>
        <v>2Q22</v>
      </c>
      <c r="P30" s="267" t="str">
        <f>P7</f>
        <v>3Q22</v>
      </c>
      <c r="Q30" s="267" t="str">
        <f>Q7</f>
        <v>4Q22</v>
      </c>
      <c r="R30" s="267">
        <f>R7</f>
        <v>2022</v>
      </c>
      <c r="S30" s="267" t="str">
        <f>S7</f>
        <v>1Q23</v>
      </c>
      <c r="T30" s="267" t="str">
        <f>T7</f>
        <v>2Q23</v>
      </c>
      <c r="U30" s="267" t="str">
        <f>U7</f>
        <v>3Q23</v>
      </c>
      <c r="V30" s="267" t="str">
        <f>V7</f>
        <v>4Q23</v>
      </c>
      <c r="W30" s="267">
        <f>W7</f>
        <v>2023</v>
      </c>
      <c r="X30" s="267" t="str">
        <f>X7</f>
        <v>1Q24</v>
      </c>
      <c r="Y30" s="267" t="str">
        <f>Y7</f>
        <v>2Q24</v>
      </c>
      <c r="Z30" s="267" t="str">
        <f>Z7</f>
        <v>3Q24</v>
      </c>
      <c r="AA30" s="267" t="str">
        <f>AA7</f>
        <v>4Q24</v>
      </c>
      <c r="AB30" s="267">
        <f>AB7</f>
        <v>2024</v>
      </c>
      <c r="AC30" s="267" t="str">
        <f>AC7</f>
        <v>1Q25</v>
      </c>
      <c r="AD30" s="267" t="str">
        <f>AD7</f>
        <v>2Q25</v>
      </c>
      <c r="AE30" s="267" t="str">
        <f>AE7</f>
        <v>3Q25</v>
      </c>
      <c r="AF30" s="267" t="str">
        <f>AF7</f>
        <v>4Q25</v>
      </c>
      <c r="AG30" s="267">
        <f>AG7</f>
        <v>2025</v>
      </c>
      <c r="AH30" s="267" t="str">
        <f>AH7</f>
        <v>1Q26</v>
      </c>
      <c r="AI30" s="267" t="str">
        <f>AI7</f>
        <v>2Q26</v>
      </c>
    </row>
    <row r="31">
      <c r="C31" s="268" t="inlineStr">
        <is>
          <t>VGV lancado 100% (R$ mi)</t>
        </is>
      </c>
      <c r="D31" s="269" t="str">
        <f>IFERROR(INDEX('Inputs (2)'!$D$56:$AL$56,MATCH(D$7&amp;"",'Inputs (2)'!$D$2:$AL$2,0)),"")</f>
        <v/>
      </c>
      <c r="E31" s="269" t="str">
        <f>IFERROR(INDEX('Inputs (2)'!$D$56:$AL$56,MATCH(E$7&amp;"",'Inputs (2)'!$D$2:$AL$2,0)),"")</f>
        <v/>
      </c>
      <c r="F31" s="269" t="str">
        <f>IFERROR(INDEX('Inputs (2)'!$D$56:$AL$56,MATCH(F$7&amp;"",'Inputs (2)'!$D$2:$AL$2,0)),"")</f>
        <v/>
      </c>
      <c r="G31" s="269" t="str">
        <f>IFERROR(INDEX('Inputs (2)'!$D$56:$AL$56,MATCH(G$7&amp;"",'Inputs (2)'!$D$2:$AL$2,0)),"")</f>
        <v/>
      </c>
      <c r="H31" s="270" t="str">
        <f>IF(COUNT(D31:G31)=4,SUM(D31:G31),"")</f>
        <v/>
      </c>
      <c r="I31" s="269">
        <f>IFERROR(INDEX('Inputs (2)'!$D$56:$AL$56,MATCH(I$7&amp;"",'Inputs (2)'!$D$2:$AL$2,0)),"")</f>
        <v>577.0598</v>
      </c>
      <c r="J31" s="269">
        <f>IFERROR(INDEX('Inputs (2)'!$D$56:$AL$56,MATCH(J$7&amp;"",'Inputs (2)'!$D$2:$AL$2,0)),"")</f>
        <v>786.92292007</v>
      </c>
      <c r="K31" s="269">
        <f>IFERROR(INDEX('Inputs (2)'!$D$56:$AL$56,MATCH(K$7&amp;"",'Inputs (2)'!$D$2:$AL$2,0)),"")</f>
        <v>1080.62034292</v>
      </c>
      <c r="L31" s="269">
        <f>IFERROR(INDEX('Inputs (2)'!$D$56:$AL$56,MATCH(L$7&amp;"",'Inputs (2)'!$D$2:$AL$2,0)),"")</f>
        <v>693.38072</v>
      </c>
      <c r="M31" s="270">
        <f>IF(COUNT(I31:L31)=4,SUM(I31:L31),"")</f>
        <v>3137.98378299</v>
      </c>
      <c r="N31" s="269">
        <f>IFERROR(INDEX('Inputs (2)'!$D$56:$AL$56,MATCH(N$7&amp;"",'Inputs (2)'!$D$2:$AL$2,0)),"")</f>
        <v>599.06862859</v>
      </c>
      <c r="O31" s="269">
        <f>IFERROR(INDEX('Inputs (2)'!$D$56:$AL$56,MATCH(O$7&amp;"",'Inputs (2)'!$D$2:$AL$2,0)),"")</f>
        <v>790.369125</v>
      </c>
      <c r="P31" s="269">
        <f>IFERROR(INDEX('Inputs (2)'!$D$56:$AL$56,MATCH(P$7&amp;"",'Inputs (2)'!$D$2:$AL$2,0)),"")</f>
        <v>1189.06808314</v>
      </c>
      <c r="Q31" s="269">
        <f>IFERROR(INDEX('Inputs (2)'!$D$56:$AL$56,MATCH(Q$7&amp;"",'Inputs (2)'!$D$2:$AL$2,0)),"")</f>
        <v>1057.71307189</v>
      </c>
      <c r="R31" s="270">
        <f>IF(COUNT(N31:Q31)=4,SUM(N31:Q31),"")</f>
        <v>3636.21890862</v>
      </c>
      <c r="S31" s="269">
        <f>IFERROR(INDEX('Inputs (2)'!$D$56:$AL$56,MATCH(S$7&amp;"",'Inputs (2)'!$D$2:$AL$2,0)),"")</f>
        <v>611.1900334</v>
      </c>
      <c r="T31" s="269">
        <f>IFERROR(INDEX('Inputs (2)'!$D$56:$AL$56,MATCH(T$7&amp;"",'Inputs (2)'!$D$2:$AL$2,0)),"")</f>
        <v>1456.646112</v>
      </c>
      <c r="U31" s="269">
        <f>IFERROR(INDEX('Inputs (2)'!$D$56:$AL$56,MATCH(U$7&amp;"",'Inputs (2)'!$D$2:$AL$2,0)),"")</f>
        <v>1399.42022859</v>
      </c>
      <c r="V31" s="269">
        <f>IFERROR(INDEX('Inputs (2)'!$D$56:$AL$56,MATCH(V$7&amp;"",'Inputs (2)'!$D$2:$AL$2,0)),"")</f>
        <v>1390.19700323</v>
      </c>
      <c r="W31" s="270">
        <f>IF(COUNT(S31:V31)=4,SUM(S31:V31),"")</f>
        <v>4857.45337722</v>
      </c>
      <c r="X31" s="269">
        <f>IFERROR(INDEX('Inputs (2)'!$D$56:$AL$56,MATCH(X$7&amp;"",'Inputs (2)'!$D$2:$AL$2,0)),"")</f>
        <v>896.51701352</v>
      </c>
      <c r="Y31" s="269">
        <f>IFERROR(INDEX('Inputs (2)'!$D$56:$AL$56,MATCH(Y$7&amp;"",'Inputs (2)'!$D$2:$AL$2,0)),"")</f>
        <v>1360.65302559</v>
      </c>
      <c r="Z31" s="269">
        <f>IFERROR(INDEX('Inputs (2)'!$D$56:$AL$56,MATCH(Z$7&amp;"",'Inputs (2)'!$D$2:$AL$2,0)),"")</f>
        <v>1664.3727112</v>
      </c>
      <c r="AA31" s="269">
        <f>IFERROR(INDEX('Inputs (2)'!$D$56:$AL$56,MATCH(AA$7&amp;"",'Inputs (2)'!$D$2:$AL$2,0)),"")</f>
        <v>1833.17266758</v>
      </c>
      <c r="AB31" s="270">
        <f>IF(COUNT(X31:AA31)=4,SUM(X31:AA31),"")</f>
        <v>5754.71541789</v>
      </c>
      <c r="AC31" s="269">
        <f>IFERROR(INDEX('Inputs (2)'!$D$56:$AL$56,MATCH(AC$7&amp;"",'Inputs (2)'!$D$2:$AL$2,0)),"")</f>
        <v>901.16178275</v>
      </c>
      <c r="AD31" s="269">
        <f>IFERROR(INDEX('Inputs (2)'!$D$56:$AL$56,MATCH(AD$7&amp;"",'Inputs (2)'!$D$2:$AL$2,0)),"")</f>
        <v>1903.8992369</v>
      </c>
      <c r="AE31" s="269">
        <f>IFERROR(INDEX('Inputs (2)'!$D$56:$AL$56,MATCH(AE$7&amp;"",'Inputs (2)'!$D$2:$AL$2,0)),"")</f>
        <v>2151.57671448</v>
      </c>
      <c r="AF31" s="269">
        <f>IFERROR(INDEX('Inputs (2)'!$D$56:$AL$56,MATCH(AF$7&amp;"",'Inputs (2)'!$D$2:$AL$2,0)),"")</f>
        <v>1900.9103</v>
      </c>
      <c r="AG31" s="270">
        <f>IF(COUNT(AC31:AF31)=4,SUM(AC31:AF31),"")</f>
        <v>6857.54803413</v>
      </c>
      <c r="AH31" s="270">
        <f>IFERROR(INDEX('Inputs (2)'!$D$56:$AL$56,MATCH(AH$7&amp;"",'Inputs (2)'!$D$2:$AL$2,0)),"")</f>
        <v>1005.785</v>
      </c>
      <c r="AI31" s="270">
        <f>IFERROR(INDEX('Inputs (2)'!$D$56:$AL$56,MATCH(AI$7&amp;"",'Inputs (2)'!$D$2:$AL$2,0)),"")</f>
        <v>2065.164</v>
      </c>
    </row>
    <row r="32">
      <c r="C32" s="268" t="inlineStr">
        <is>
          <t xml:space="preserve">   VGV lancado % Direcional (R$ mi)</t>
        </is>
      </c>
      <c r="D32" s="269" t="str">
        <f>IFERROR(INDEX('Inputs (2)'!$D$57:$AL$57,MATCH(D$7&amp;"",'Inputs (2)'!$D$2:$AL$2,0)),"")</f>
        <v/>
      </c>
      <c r="E32" s="269" t="str">
        <f>IFERROR(INDEX('Inputs (2)'!$D$57:$AL$57,MATCH(E$7&amp;"",'Inputs (2)'!$D$2:$AL$2,0)),"")</f>
        <v/>
      </c>
      <c r="F32" s="269" t="str">
        <f>IFERROR(INDEX('Inputs (2)'!$D$57:$AL$57,MATCH(F$7&amp;"",'Inputs (2)'!$D$2:$AL$2,0)),"")</f>
        <v/>
      </c>
      <c r="G32" s="269" t="str">
        <f>IFERROR(INDEX('Inputs (2)'!$D$57:$AL$57,MATCH(G$7&amp;"",'Inputs (2)'!$D$2:$AL$2,0)),"")</f>
        <v/>
      </c>
      <c r="H32" s="270" t="str">
        <f>IF(COUNT(D32:G32)=4,SUM(D32:G32),"")</f>
        <v/>
      </c>
      <c r="I32" s="269">
        <f>IFERROR(INDEX('Inputs (2)'!$D$57:$AL$57,MATCH(I$7&amp;"",'Inputs (2)'!$D$2:$AL$2,0)),"")</f>
        <v>454.22959572</v>
      </c>
      <c r="J32" s="269">
        <f>IFERROR(INDEX('Inputs (2)'!$D$57:$AL$57,MATCH(J$7&amp;"",'Inputs (2)'!$D$2:$AL$2,0)),"")</f>
        <v>662.36056157</v>
      </c>
      <c r="K32" s="269">
        <f>IFERROR(INDEX('Inputs (2)'!$D$57:$AL$57,MATCH(K$7&amp;"",'Inputs (2)'!$D$2:$AL$2,0)),"")</f>
        <v>927.22763362</v>
      </c>
      <c r="L32" s="269">
        <f>IFERROR(INDEX('Inputs (2)'!$D$57:$AL$57,MATCH(L$7&amp;"",'Inputs (2)'!$D$2:$AL$2,0)),"")</f>
        <v>633.81674</v>
      </c>
      <c r="M32" s="270">
        <f>IF(COUNT(I32:L32)=4,SUM(I32:L32),"")</f>
        <v>2677.63453091</v>
      </c>
      <c r="N32" s="269">
        <f>IFERROR(INDEX('Inputs (2)'!$D$57:$AL$57,MATCH(N$7&amp;"",'Inputs (2)'!$D$2:$AL$2,0)),"")</f>
        <v>557.281255095</v>
      </c>
      <c r="O32" s="269">
        <f>IFERROR(INDEX('Inputs (2)'!$D$57:$AL$57,MATCH(O$7&amp;"",'Inputs (2)'!$D$2:$AL$2,0)),"")</f>
        <v>703.65142544</v>
      </c>
      <c r="P32" s="269">
        <f>IFERROR(INDEX('Inputs (2)'!$D$57:$AL$57,MATCH(P$7&amp;"",'Inputs (2)'!$D$2:$AL$2,0)),"")</f>
        <v>966.706773992</v>
      </c>
      <c r="Q32" s="269">
        <f>IFERROR(INDEX('Inputs (2)'!$D$57:$AL$57,MATCH(Q$7&amp;"",'Inputs (2)'!$D$2:$AL$2,0)),"")</f>
        <v>896.097375091</v>
      </c>
      <c r="R32" s="270">
        <f>IF(COUNT(N32:Q32)=4,SUM(N32:Q32),"")</f>
        <v>3123.736829618</v>
      </c>
      <c r="S32" s="269">
        <f>IFERROR(INDEX('Inputs (2)'!$D$57:$AL$57,MATCH(S$7&amp;"",'Inputs (2)'!$D$2:$AL$2,0)),"")</f>
        <v>610.454433028</v>
      </c>
      <c r="T32" s="269">
        <f>IFERROR(INDEX('Inputs (2)'!$D$57:$AL$57,MATCH(T$7&amp;"",'Inputs (2)'!$D$2:$AL$2,0)),"")</f>
        <v>1088.942385855</v>
      </c>
      <c r="U32" s="269">
        <f>IFERROR(INDEX('Inputs (2)'!$D$57:$AL$57,MATCH(U$7&amp;"",'Inputs (2)'!$D$2:$AL$2,0)),"")</f>
        <v>1259.316986795</v>
      </c>
      <c r="V32" s="269">
        <f>IFERROR(INDEX('Inputs (2)'!$D$57:$AL$57,MATCH(V$7&amp;"",'Inputs (2)'!$D$2:$AL$2,0)),"")</f>
        <v>1336.55942202</v>
      </c>
      <c r="W32" s="270">
        <f>IF(COUNT(S32:V32)=4,SUM(S32:V32),"")</f>
        <v>4295.273227698</v>
      </c>
      <c r="X32" s="269">
        <f>IFERROR(INDEX('Inputs (2)'!$D$57:$AL$57,MATCH(X$7&amp;"",'Inputs (2)'!$D$2:$AL$2,0)),"")</f>
        <v>653.48305326</v>
      </c>
      <c r="Y32" s="269">
        <f>IFERROR(INDEX('Inputs (2)'!$D$57:$AL$57,MATCH(Y$7&amp;"",'Inputs (2)'!$D$2:$AL$2,0)),"")</f>
        <v>1196.750544249</v>
      </c>
      <c r="Z32" s="269">
        <f>IFERROR(INDEX('Inputs (2)'!$D$57:$AL$57,MATCH(Z$7&amp;"",'Inputs (2)'!$D$2:$AL$2,0)),"")</f>
        <v>1444.2228212</v>
      </c>
      <c r="AA32" s="269">
        <f>IFERROR(INDEX('Inputs (2)'!$D$57:$AL$57,MATCH(AA$7&amp;"",'Inputs (2)'!$D$2:$AL$2,0)),"")</f>
        <v>1405.792280641</v>
      </c>
      <c r="AB32" s="270">
        <f>IF(COUNT(X32:AA32)=4,SUM(X32:AA32),"")</f>
        <v>4700.24869935</v>
      </c>
      <c r="AC32" s="269">
        <f>IFERROR(INDEX('Inputs (2)'!$D$57:$AL$57,MATCH(AC$7&amp;"",'Inputs (2)'!$D$2:$AL$2,0)),"")</f>
        <v>802.421661667</v>
      </c>
      <c r="AD32" s="269">
        <f>IFERROR(INDEX('Inputs (2)'!$D$57:$AL$57,MATCH(AD$7&amp;"",'Inputs (2)'!$D$2:$AL$2,0)),"")</f>
        <v>1392.984586238</v>
      </c>
      <c r="AE32" s="269">
        <f>IFERROR(INDEX('Inputs (2)'!$D$57:$AL$57,MATCH(AE$7&amp;"",'Inputs (2)'!$D$2:$AL$2,0)),"")</f>
        <v>2017.61673808</v>
      </c>
      <c r="AF32" s="269">
        <f>IFERROR(INDEX('Inputs (2)'!$D$57:$AL$57,MATCH(AF$7&amp;"",'Inputs (2)'!$D$2:$AL$2,0)),"")</f>
        <v>1680.227</v>
      </c>
      <c r="AG32" s="270">
        <f>IF(COUNT(AC32:AF32)=4,SUM(AC32:AF32),"")</f>
        <v>5893.249985985</v>
      </c>
      <c r="AH32" s="270">
        <f>IFERROR(INDEX('Inputs (2)'!$D$57:$AL$57,MATCH(AH$7&amp;"",'Inputs (2)'!$D$2:$AL$2,0)),"")</f>
        <v>862.45</v>
      </c>
      <c r="AI32" s="270">
        <f>IFERROR(INDEX('Inputs (2)'!$D$57:$AL$57,MATCH(AI$7&amp;"",'Inputs (2)'!$D$2:$AL$2,0)),"")</f>
        <v>1565.821</v>
      </c>
    </row>
    <row r="33">
      <c r="C33" s="268" t="inlineStr">
        <is>
          <t>Unidades lancadas</t>
        </is>
      </c>
      <c r="D33" s="274" t="str">
        <f>IFERROR(INDEX('Inputs (2)'!$D$58:$AL$58,MATCH(D$7&amp;"",'Inputs (2)'!$D$2:$AL$2,0)),"")</f>
        <v/>
      </c>
      <c r="E33" s="274" t="str">
        <f>IFERROR(INDEX('Inputs (2)'!$D$58:$AL$58,MATCH(E$7&amp;"",'Inputs (2)'!$D$2:$AL$2,0)),"")</f>
        <v/>
      </c>
      <c r="F33" s="274" t="str">
        <f>IFERROR(INDEX('Inputs (2)'!$D$58:$AL$58,MATCH(F$7&amp;"",'Inputs (2)'!$D$2:$AL$2,0)),"")</f>
        <v/>
      </c>
      <c r="G33" s="274" t="str">
        <f>IFERROR(INDEX('Inputs (2)'!$D$58:$AL$58,MATCH(G$7&amp;"",'Inputs (2)'!$D$2:$AL$2,0)),"")</f>
        <v/>
      </c>
      <c r="H33" s="275" t="str">
        <f>IF(COUNT(D33:G33)=4,SUM(D33:G33),"")</f>
        <v/>
      </c>
      <c r="I33" s="274">
        <f>IFERROR(INDEX('Inputs (2)'!$D$58:$AL$58,MATCH(I$7&amp;"",'Inputs (2)'!$D$2:$AL$2,0)),"")</f>
        <v>2471</v>
      </c>
      <c r="J33" s="274">
        <f>IFERROR(INDEX('Inputs (2)'!$D$58:$AL$58,MATCH(J$7&amp;"",'Inputs (2)'!$D$2:$AL$2,0)),"")</f>
        <v>4153</v>
      </c>
      <c r="K33" s="274">
        <f>IFERROR(INDEX('Inputs (2)'!$D$58:$AL$58,MATCH(K$7&amp;"",'Inputs (2)'!$D$2:$AL$2,0)),"")</f>
        <v>3764</v>
      </c>
      <c r="L33" s="274">
        <f>IFERROR(INDEX('Inputs (2)'!$D$58:$AL$58,MATCH(L$7&amp;"",'Inputs (2)'!$D$2:$AL$2,0)),"")</f>
        <v>3146</v>
      </c>
      <c r="M33" s="275">
        <f>IF(COUNT(I33:L33)=4,SUM(I33:L33),"")</f>
        <v>13534</v>
      </c>
      <c r="N33" s="274">
        <f>IFERROR(INDEX('Inputs (2)'!$D$58:$AL$58,MATCH(N$7&amp;"",'Inputs (2)'!$D$2:$AL$2,0)),"")</f>
        <v>2831</v>
      </c>
      <c r="O33" s="274">
        <f>IFERROR(INDEX('Inputs (2)'!$D$58:$AL$58,MATCH(O$7&amp;"",'Inputs (2)'!$D$2:$AL$2,0)),"")</f>
        <v>3261</v>
      </c>
      <c r="P33" s="274">
        <f>IFERROR(INDEX('Inputs (2)'!$D$58:$AL$58,MATCH(P$7&amp;"",'Inputs (2)'!$D$2:$AL$2,0)),"")</f>
        <v>4113</v>
      </c>
      <c r="Q33" s="274">
        <f>IFERROR(INDEX('Inputs (2)'!$D$58:$AL$58,MATCH(Q$7&amp;"",'Inputs (2)'!$D$2:$AL$2,0)),"")</f>
        <v>4320</v>
      </c>
      <c r="R33" s="275">
        <f>IF(COUNT(N33:Q33)=4,SUM(N33:Q33),"")</f>
        <v>14525</v>
      </c>
      <c r="S33" s="274">
        <f>IFERROR(INDEX('Inputs (2)'!$D$58:$AL$58,MATCH(S$7&amp;"",'Inputs (2)'!$D$2:$AL$2,0)),"")</f>
        <v>2762</v>
      </c>
      <c r="T33" s="274">
        <f>IFERROR(INDEX('Inputs (2)'!$D$58:$AL$58,MATCH(T$7&amp;"",'Inputs (2)'!$D$2:$AL$2,0)),"")</f>
        <v>5268</v>
      </c>
      <c r="U33" s="274">
        <f>IFERROR(INDEX('Inputs (2)'!$D$58:$AL$58,MATCH(U$7&amp;"",'Inputs (2)'!$D$2:$AL$2,0)),"")</f>
        <v>4152</v>
      </c>
      <c r="V33" s="274">
        <f>IFERROR(INDEX('Inputs (2)'!$D$58:$AL$58,MATCH(V$7&amp;"",'Inputs (2)'!$D$2:$AL$2,0)),"")</f>
        <v>4998</v>
      </c>
      <c r="W33" s="275">
        <f>IF(COUNT(S33:V33)=4,SUM(S33:V33),"")</f>
        <v>17180</v>
      </c>
      <c r="X33" s="274">
        <f>IFERROR(INDEX('Inputs (2)'!$D$58:$AL$58,MATCH(X$7&amp;"",'Inputs (2)'!$D$2:$AL$2,0)),"")</f>
        <v>2238</v>
      </c>
      <c r="Y33" s="274">
        <f>IFERROR(INDEX('Inputs (2)'!$D$58:$AL$58,MATCH(Y$7&amp;"",'Inputs (2)'!$D$2:$AL$2,0)),"")</f>
        <v>4187</v>
      </c>
      <c r="Z33" s="274">
        <f>IFERROR(INDEX('Inputs (2)'!$D$58:$AL$58,MATCH(Z$7&amp;"",'Inputs (2)'!$D$2:$AL$2,0)),"")</f>
        <v>5947</v>
      </c>
      <c r="AA33" s="274">
        <f>IFERROR(INDEX('Inputs (2)'!$D$58:$AL$58,MATCH(AA$7&amp;"",'Inputs (2)'!$D$2:$AL$2,0)),"")</f>
        <v>5763</v>
      </c>
      <c r="AB33" s="275">
        <f>IF(COUNT(X33:AA33)=4,SUM(X33:AA33),"")</f>
        <v>18135</v>
      </c>
      <c r="AC33" s="274">
        <f>IFERROR(INDEX('Inputs (2)'!$D$58:$AL$58,MATCH(AC$7&amp;"",'Inputs (2)'!$D$2:$AL$2,0)),"")</f>
        <v>3424</v>
      </c>
      <c r="AD33" s="274">
        <f>IFERROR(INDEX('Inputs (2)'!$D$58:$AL$58,MATCH(AD$7&amp;"",'Inputs (2)'!$D$2:$AL$2,0)),"")</f>
        <v>5096</v>
      </c>
      <c r="AE33" s="274">
        <f>IFERROR(INDEX('Inputs (2)'!$D$58:$AL$58,MATCH(AE$7&amp;"",'Inputs (2)'!$D$2:$AL$2,0)),"")</f>
        <v>6449</v>
      </c>
      <c r="AF33" s="274">
        <f>IFERROR(INDEX('Inputs (2)'!$D$58:$AL$58,MATCH(AF$7&amp;"",'Inputs (2)'!$D$2:$AL$2,0)),"")</f>
        <v>4780</v>
      </c>
      <c r="AG33" s="275">
        <f>IF(COUNT(AC33:AF33)=4,SUM(AC33:AF33),"")</f>
        <v>19749</v>
      </c>
      <c r="AH33" s="275">
        <f>IFERROR(INDEX('Inputs (2)'!$D$58:$AL$58,MATCH(AH$7&amp;"",'Inputs (2)'!$D$2:$AL$2,0)),"")</f>
        <v>3109</v>
      </c>
      <c r="AI33" s="275">
        <f>IFERROR(INDEX('Inputs (2)'!$D$58:$AL$58,MATCH(AI$7&amp;"",'Inputs (2)'!$D$2:$AL$2,0)),"")</f>
        <v>5511</v>
      </c>
    </row>
    <row r="34">
      <c r="C34" s="268" t="inlineStr">
        <is>
          <t xml:space="preserve">   Preco medio lancado (R$ mil/unidade)</t>
        </is>
      </c>
      <c r="D34" s="269" t="str">
        <f>IFERROR(IFERROR(INDEX('Inputs (2)'!$D$59:$AL$59,MATCH(D$7&amp;"",'Inputs (2)'!$D$2:$AL$2,0)),"")/1000,"")</f>
        <v/>
      </c>
      <c r="E34" s="269" t="str">
        <f>IFERROR(IFERROR(INDEX('Inputs (2)'!$D$59:$AL$59,MATCH(E$7&amp;"",'Inputs (2)'!$D$2:$AL$2,0)),"")/1000,"")</f>
        <v/>
      </c>
      <c r="F34" s="269" t="str">
        <f>IFERROR(IFERROR(INDEX('Inputs (2)'!$D$59:$AL$59,MATCH(F$7&amp;"",'Inputs (2)'!$D$2:$AL$2,0)),"")/1000,"")</f>
        <v/>
      </c>
      <c r="G34" s="269" t="str">
        <f>IFERROR(IFERROR(INDEX('Inputs (2)'!$D$59:$AL$59,MATCH(G$7&amp;"",'Inputs (2)'!$D$2:$AL$2,0)),"")/1000,"")</f>
        <v/>
      </c>
      <c r="H34" s="270" t="n"/>
      <c r="I34" s="269">
        <f>IFERROR(IFERROR(INDEX('Inputs (2)'!$D$59:$AL$59,MATCH(I$7&amp;"",'Inputs (2)'!$D$2:$AL$2,0)),"")/1000,"")</f>
        <v>233.532901659247</v>
      </c>
      <c r="J34" s="269">
        <f>IFERROR(IFERROR(INDEX('Inputs (2)'!$D$59:$AL$59,MATCH(J$7&amp;"",'Inputs (2)'!$D$2:$AL$2,0)),"")/1000,"")</f>
        <v>189.483005073441</v>
      </c>
      <c r="K34" s="269">
        <f>IFERROR(IFERROR(INDEX('Inputs (2)'!$D$59:$AL$59,MATCH(K$7&amp;"",'Inputs (2)'!$D$2:$AL$2,0)),"")/1000,"")</f>
        <v>287.093608639745</v>
      </c>
      <c r="L34" s="269">
        <f>IFERROR(IFERROR(INDEX('Inputs (2)'!$D$59:$AL$59,MATCH(L$7&amp;"",'Inputs (2)'!$D$2:$AL$2,0)),"")/1000,"")</f>
        <v>220.400737444374</v>
      </c>
      <c r="M34" s="270" t="n"/>
      <c r="N34" s="269">
        <f>IFERROR(IFERROR(INDEX('Inputs (2)'!$D$59:$AL$59,MATCH(N$7&amp;"",'Inputs (2)'!$D$2:$AL$2,0)),"")/1000,"")</f>
        <v>211.610253829036</v>
      </c>
      <c r="O34" s="269">
        <f>IFERROR(IFERROR(INDEX('Inputs (2)'!$D$59:$AL$59,MATCH(O$7&amp;"",'Inputs (2)'!$D$2:$AL$2,0)),"")/1000,"")</f>
        <v>242.370170193192</v>
      </c>
      <c r="P34" s="269">
        <f>IFERROR(IFERROR(INDEX('Inputs (2)'!$D$59:$AL$59,MATCH(P$7&amp;"",'Inputs (2)'!$D$2:$AL$2,0)),"")/1000,"")</f>
        <v>289.099947274496</v>
      </c>
      <c r="Q34" s="269">
        <f>IFERROR(IFERROR(INDEX('Inputs (2)'!$D$59:$AL$59,MATCH(Q$7&amp;"",'Inputs (2)'!$D$2:$AL$2,0)),"")/1000,"")</f>
        <v>244.840988863426</v>
      </c>
      <c r="R34" s="270" t="n"/>
      <c r="S34" s="269">
        <f>IFERROR(IFERROR(INDEX('Inputs (2)'!$D$59:$AL$59,MATCH(S$7&amp;"",'Inputs (2)'!$D$2:$AL$2,0)),"")/1000,"")</f>
        <v>221.285312599565</v>
      </c>
      <c r="T34" s="269">
        <f>IFERROR(IFERROR(INDEX('Inputs (2)'!$D$59:$AL$59,MATCH(T$7&amp;"",'Inputs (2)'!$D$2:$AL$2,0)),"")/1000,"")</f>
        <v>276.50837357631</v>
      </c>
      <c r="U34" s="269">
        <f>IFERROR(IFERROR(INDEX('Inputs (2)'!$D$59:$AL$59,MATCH(U$7&amp;"",'Inputs (2)'!$D$2:$AL$2,0)),"")/1000,"")</f>
        <v>337.047261221098</v>
      </c>
      <c r="V34" s="269">
        <f>IFERROR(IFERROR(INDEX('Inputs (2)'!$D$59:$AL$59,MATCH(V$7&amp;"",'Inputs (2)'!$D$2:$AL$2,0)),"")/1000,"")</f>
        <v>278.150660910364</v>
      </c>
      <c r="W34" s="270" t="n"/>
      <c r="X34" s="269">
        <f>IFERROR(IFERROR(INDEX('Inputs (2)'!$D$59:$AL$59,MATCH(X$7&amp;"",'Inputs (2)'!$D$2:$AL$2,0)),"")/1000,"")</f>
        <v>400.588477890974</v>
      </c>
      <c r="Y34" s="269">
        <f>IFERROR(IFERROR(INDEX('Inputs (2)'!$D$59:$AL$59,MATCH(Y$7&amp;"",'Inputs (2)'!$D$2:$AL$2,0)),"")/1000,"")</f>
        <v>324.970868304275</v>
      </c>
      <c r="Z34" s="269">
        <f>IFERROR(IFERROR(INDEX('Inputs (2)'!$D$59:$AL$59,MATCH(Z$7&amp;"",'Inputs (2)'!$D$2:$AL$2,0)),"")/1000,"")</f>
        <v>279.867615806289</v>
      </c>
      <c r="AA34" s="269">
        <f>IFERROR(IFERROR(INDEX('Inputs (2)'!$D$59:$AL$59,MATCH(AA$7&amp;"",'Inputs (2)'!$D$2:$AL$2,0)),"")/1000,"")</f>
        <v>318.093469994794</v>
      </c>
      <c r="AB34" s="270" t="n"/>
      <c r="AC34" s="269">
        <f>IFERROR(IFERROR(INDEX('Inputs (2)'!$D$59:$AL$59,MATCH(AC$7&amp;"",'Inputs (2)'!$D$2:$AL$2,0)),"")/1000,"")</f>
        <v>263.189772999416</v>
      </c>
      <c r="AD34" s="269">
        <f>IFERROR(IFERROR(INDEX('Inputs (2)'!$D$59:$AL$59,MATCH(AD$7&amp;"",'Inputs (2)'!$D$2:$AL$2,0)),"")/1000,"")</f>
        <v>373.606600647567</v>
      </c>
      <c r="AE34" s="269">
        <f>IFERROR(IFERROR(INDEX('Inputs (2)'!$D$59:$AL$59,MATCH(AE$7&amp;"",'Inputs (2)'!$D$2:$AL$2,0)),"")/1000,"")</f>
        <v>333.629510696232</v>
      </c>
      <c r="AF34" s="269">
        <f>IFERROR(IFERROR(INDEX('Inputs (2)'!$D$59:$AL$59,MATCH(AF$7&amp;"",'Inputs (2)'!$D$2:$AL$2,0)),"")/1000,"")</f>
        <v>397.67998</v>
      </c>
      <c r="AG34" s="270" t="n"/>
      <c r="AH34" s="270">
        <f>IFERROR(IFERROR(INDEX('Inputs (2)'!$D$59:$AL$59,MATCH(AH$7&amp;"",'Inputs (2)'!$D$2:$AL$2,0)),"")/1000,"")</f>
        <v>323.5076</v>
      </c>
      <c r="AI34" s="270">
        <f>IFERROR(IFERROR(INDEX('Inputs (2)'!$D$59:$AL$59,MATCH(AI$7&amp;"",'Inputs (2)'!$D$2:$AL$2,0)),"")/1000,"")</f>
        <v>374.73489</v>
      </c>
    </row>
    <row r="35"/>
    <row r="36">
      <c r="C36" s="267" t="inlineStr">
        <is>
          <t>Vendas liquidas (VGV contratado) e velocidade de vendas</t>
        </is>
      </c>
      <c r="D36" s="267">
        <f>D7</f>
        <v>0</v>
      </c>
      <c r="E36" s="267">
        <f>E7</f>
        <v>0</v>
      </c>
      <c r="F36" s="267">
        <f>F7</f>
        <v>0</v>
      </c>
      <c r="G36" s="267">
        <f>G7</f>
        <v>0</v>
      </c>
      <c r="H36" s="267">
        <f>H7</f>
        <v>2020</v>
      </c>
      <c r="I36" s="267" t="str">
        <f>I7</f>
        <v>1Q21</v>
      </c>
      <c r="J36" s="267" t="str">
        <f>J7</f>
        <v>2Q21</v>
      </c>
      <c r="K36" s="267" t="str">
        <f>K7</f>
        <v>3Q21</v>
      </c>
      <c r="L36" s="267" t="str">
        <f>L7</f>
        <v>4Q21</v>
      </c>
      <c r="M36" s="267">
        <f>M7</f>
        <v>2021</v>
      </c>
      <c r="N36" s="267" t="str">
        <f>N7</f>
        <v>1Q22</v>
      </c>
      <c r="O36" s="267" t="str">
        <f>O7</f>
        <v>2Q22</v>
      </c>
      <c r="P36" s="267" t="str">
        <f>P7</f>
        <v>3Q22</v>
      </c>
      <c r="Q36" s="267" t="str">
        <f>Q7</f>
        <v>4Q22</v>
      </c>
      <c r="R36" s="267">
        <f>R7</f>
        <v>2022</v>
      </c>
      <c r="S36" s="267" t="str">
        <f>S7</f>
        <v>1Q23</v>
      </c>
      <c r="T36" s="267" t="str">
        <f>T7</f>
        <v>2Q23</v>
      </c>
      <c r="U36" s="267" t="str">
        <f>U7</f>
        <v>3Q23</v>
      </c>
      <c r="V36" s="267" t="str">
        <f>V7</f>
        <v>4Q23</v>
      </c>
      <c r="W36" s="267">
        <f>W7</f>
        <v>2023</v>
      </c>
      <c r="X36" s="267" t="str">
        <f>X7</f>
        <v>1Q24</v>
      </c>
      <c r="Y36" s="267" t="str">
        <f>Y7</f>
        <v>2Q24</v>
      </c>
      <c r="Z36" s="267" t="str">
        <f>Z7</f>
        <v>3Q24</v>
      </c>
      <c r="AA36" s="267" t="str">
        <f>AA7</f>
        <v>4Q24</v>
      </c>
      <c r="AB36" s="267">
        <f>AB7</f>
        <v>2024</v>
      </c>
      <c r="AC36" s="267" t="str">
        <f>AC7</f>
        <v>1Q25</v>
      </c>
      <c r="AD36" s="267" t="str">
        <f>AD7</f>
        <v>2Q25</v>
      </c>
      <c r="AE36" s="267" t="str">
        <f>AE7</f>
        <v>3Q25</v>
      </c>
      <c r="AF36" s="267" t="str">
        <f>AF7</f>
        <v>4Q25</v>
      </c>
      <c r="AG36" s="267">
        <f>AG7</f>
        <v>2025</v>
      </c>
      <c r="AH36" s="267" t="str">
        <f>AH7</f>
        <v>1Q26</v>
      </c>
      <c r="AI36" s="267" t="str">
        <f>AI7</f>
        <v>2Q26</v>
      </c>
    </row>
    <row r="37">
      <c r="C37" s="268" t="inlineStr">
        <is>
          <t>VGV contratado 100% (R$ mi)</t>
        </is>
      </c>
      <c r="D37" s="269" t="str">
        <f>IFERROR(INDEX('Inputs (2)'!$D$60:$AL$60,MATCH(D$7&amp;"",'Inputs (2)'!$D$2:$AL$2,0)),"")</f>
        <v/>
      </c>
      <c r="E37" s="269" t="str">
        <f>IFERROR(INDEX('Inputs (2)'!$D$60:$AL$60,MATCH(E$7&amp;"",'Inputs (2)'!$D$2:$AL$2,0)),"")</f>
        <v/>
      </c>
      <c r="F37" s="269" t="str">
        <f>IFERROR(INDEX('Inputs (2)'!$D$60:$AL$60,MATCH(F$7&amp;"",'Inputs (2)'!$D$2:$AL$2,0)),"")</f>
        <v/>
      </c>
      <c r="G37" s="269" t="str">
        <f>IFERROR(INDEX('Inputs (2)'!$D$60:$AL$60,MATCH(G$7&amp;"",'Inputs (2)'!$D$2:$AL$2,0)),"")</f>
        <v/>
      </c>
      <c r="H37" s="270" t="str">
        <f>IF(COUNT(D37:G37)=4,SUM(D37:G37),"")</f>
        <v/>
      </c>
      <c r="I37" s="269">
        <f>IFERROR(INDEX('Inputs (2)'!$D$60:$AL$60,MATCH(I$7&amp;"",'Inputs (2)'!$D$2:$AL$2,0)),"")</f>
        <v>514.96429321</v>
      </c>
      <c r="J37" s="269">
        <f>IFERROR(INDEX('Inputs (2)'!$D$60:$AL$60,MATCH(J$7&amp;"",'Inputs (2)'!$D$2:$AL$2,0)),"")</f>
        <v>614.49592772</v>
      </c>
      <c r="K37" s="269">
        <f>IFERROR(INDEX('Inputs (2)'!$D$60:$AL$60,MATCH(K$7&amp;"",'Inputs (2)'!$D$2:$AL$2,0)),"")</f>
        <v>642.71611535</v>
      </c>
      <c r="L37" s="269">
        <f>IFERROR(INDEX('Inputs (2)'!$D$60:$AL$60,MATCH(L$7&amp;"",'Inputs (2)'!$D$2:$AL$2,0)),"")</f>
        <v>667.75772329</v>
      </c>
      <c r="M37" s="270">
        <f>IF(COUNT(I37:L37)=4,SUM(I37:L37),"")</f>
        <v>2439.93405957</v>
      </c>
      <c r="N37" s="269">
        <f>IFERROR(INDEX('Inputs (2)'!$D$60:$AL$60,MATCH(N$7&amp;"",'Inputs (2)'!$D$2:$AL$2,0)),"")</f>
        <v>621.94151429</v>
      </c>
      <c r="O37" s="269">
        <f>IFERROR(INDEX('Inputs (2)'!$D$60:$AL$60,MATCH(O$7&amp;"",'Inputs (2)'!$D$2:$AL$2,0)),"")</f>
        <v>835.69146071</v>
      </c>
      <c r="P37" s="269">
        <f>IFERROR(INDEX('Inputs (2)'!$D$60:$AL$60,MATCH(P$7&amp;"",'Inputs (2)'!$D$2:$AL$2,0)),"")</f>
        <v>846.8549811</v>
      </c>
      <c r="Q37" s="269">
        <f>IFERROR(INDEX('Inputs (2)'!$D$60:$AL$60,MATCH(Q$7&amp;"",'Inputs (2)'!$D$2:$AL$2,0)),"")</f>
        <v>694.36782004</v>
      </c>
      <c r="R37" s="270">
        <f>IF(COUNT(N37:Q37)=4,SUM(N37:Q37),"")</f>
        <v>2998.85577614</v>
      </c>
      <c r="S37" s="269">
        <f>IFERROR(INDEX('Inputs (2)'!$D$60:$AL$60,MATCH(S$7&amp;"",'Inputs (2)'!$D$2:$AL$2,0)),"")</f>
        <v>803.35960702</v>
      </c>
      <c r="T37" s="269">
        <f>IFERROR(INDEX('Inputs (2)'!$D$60:$AL$60,MATCH(T$7&amp;"",'Inputs (2)'!$D$2:$AL$2,0)),"")</f>
        <v>962.49165053</v>
      </c>
      <c r="U37" s="269">
        <f>IFERROR(INDEX('Inputs (2)'!$D$60:$AL$60,MATCH(U$7&amp;"",'Inputs (2)'!$D$2:$AL$2,0)),"")</f>
        <v>1004.59672406</v>
      </c>
      <c r="V37" s="269">
        <f>IFERROR(INDEX('Inputs (2)'!$D$60:$AL$60,MATCH(V$7&amp;"",'Inputs (2)'!$D$2:$AL$2,0)),"")</f>
        <v>1220.63867293</v>
      </c>
      <c r="W37" s="270">
        <f>IF(COUNT(S37:V37)=4,SUM(S37:V37),"")</f>
        <v>3991.08665454</v>
      </c>
      <c r="X37" s="269">
        <f>IFERROR(INDEX('Inputs (2)'!$D$60:$AL$60,MATCH(X$7&amp;"",'Inputs (2)'!$D$2:$AL$2,0)),"")</f>
        <v>1307.66887624</v>
      </c>
      <c r="Y37" s="269">
        <f>IFERROR(INDEX('Inputs (2)'!$D$60:$AL$60,MATCH(Y$7&amp;"",'Inputs (2)'!$D$2:$AL$2,0)),"")</f>
        <v>1618.77166108</v>
      </c>
      <c r="Z37" s="269">
        <f>IFERROR(INDEX('Inputs (2)'!$D$60:$AL$60,MATCH(Z$7&amp;"",'Inputs (2)'!$D$2:$AL$2,0)),"")</f>
        <v>1765.13724784</v>
      </c>
      <c r="AA37" s="269">
        <f>IFERROR(INDEX('Inputs (2)'!$D$60:$AL$60,MATCH(AA$7&amp;"",'Inputs (2)'!$D$2:$AL$2,0)),"")</f>
        <v>1579.8929994</v>
      </c>
      <c r="AB37" s="270">
        <f>IF(COUNT(X37:AA37)=4,SUM(X37:AA37),"")</f>
        <v>6271.47078456</v>
      </c>
      <c r="AC37" s="269">
        <f>IFERROR(INDEX('Inputs (2)'!$D$60:$AL$60,MATCH(AC$7&amp;"",'Inputs (2)'!$D$2:$AL$2,0)),"")</f>
        <v>1326.50089124</v>
      </c>
      <c r="AD37" s="269">
        <f>IFERROR(INDEX('Inputs (2)'!$D$60:$AL$60,MATCH(AD$7&amp;"",'Inputs (2)'!$D$2:$AL$2,0)),"")</f>
        <v>1677.3125024</v>
      </c>
      <c r="AE37" s="269">
        <f>IFERROR(INDEX('Inputs (2)'!$D$60:$AL$60,MATCH(AE$7&amp;"",'Inputs (2)'!$D$2:$AL$2,0)),"")</f>
        <v>1641.80692455</v>
      </c>
      <c r="AF37" s="269">
        <f>IFERROR(INDEX('Inputs (2)'!$D$60:$AL$60,MATCH(AF$7&amp;"",'Inputs (2)'!$D$2:$AL$2,0)),"")</f>
        <v>1517.51337883</v>
      </c>
      <c r="AG37" s="270">
        <f>IF(COUNT(AC37:AF37)=4,SUM(AC37:AF37),"")</f>
        <v>6163.13369702</v>
      </c>
      <c r="AH37" s="270">
        <f>IFERROR(INDEX('Inputs (2)'!$D$60:$AL$60,MATCH(AH$7&amp;"",'Inputs (2)'!$D$2:$AL$2,0)),"")</f>
        <v>1581.96</v>
      </c>
      <c r="AI37" s="270">
        <f>IFERROR(INDEX('Inputs (2)'!$D$60:$AL$60,MATCH(AI$7&amp;"",'Inputs (2)'!$D$2:$AL$2,0)),"")</f>
        <v>1654.909</v>
      </c>
    </row>
    <row r="38">
      <c r="C38" s="268" t="inlineStr">
        <is>
          <t xml:space="preserve">   VGV contratado % Direcional (R$ mi)</t>
        </is>
      </c>
      <c r="D38" s="269" t="str">
        <f>IFERROR(INDEX('Inputs (2)'!$D$61:$AL$61,MATCH(D$7&amp;"",'Inputs (2)'!$D$2:$AL$2,0)),"")</f>
        <v/>
      </c>
      <c r="E38" s="269" t="str">
        <f>IFERROR(INDEX('Inputs (2)'!$D$61:$AL$61,MATCH(E$7&amp;"",'Inputs (2)'!$D$2:$AL$2,0)),"")</f>
        <v/>
      </c>
      <c r="F38" s="269" t="str">
        <f>IFERROR(INDEX('Inputs (2)'!$D$61:$AL$61,MATCH(F$7&amp;"",'Inputs (2)'!$D$2:$AL$2,0)),"")</f>
        <v/>
      </c>
      <c r="G38" s="269" t="str">
        <f>IFERROR(INDEX('Inputs (2)'!$D$61:$AL$61,MATCH(G$7&amp;"",'Inputs (2)'!$D$2:$AL$2,0)),"")</f>
        <v/>
      </c>
      <c r="H38" s="270" t="str">
        <f>IF(COUNT(D38:G38)=4,SUM(D38:G38),"")</f>
        <v/>
      </c>
      <c r="I38" s="269">
        <f>IFERROR(INDEX('Inputs (2)'!$D$61:$AL$61,MATCH(I$7&amp;"",'Inputs (2)'!$D$2:$AL$2,0)),"")</f>
        <v>438.944362522</v>
      </c>
      <c r="J38" s="269">
        <f>IFERROR(INDEX('Inputs (2)'!$D$61:$AL$61,MATCH(J$7&amp;"",'Inputs (2)'!$D$2:$AL$2,0)),"")</f>
        <v>515.664985837</v>
      </c>
      <c r="K38" s="269">
        <f>IFERROR(INDEX('Inputs (2)'!$D$61:$AL$61,MATCH(K$7&amp;"",'Inputs (2)'!$D$2:$AL$2,0)),"")</f>
        <v>525.001786572</v>
      </c>
      <c r="L38" s="269">
        <f>IFERROR(INDEX('Inputs (2)'!$D$61:$AL$61,MATCH(L$7&amp;"",'Inputs (2)'!$D$2:$AL$2,0)),"")</f>
        <v>537.662337039</v>
      </c>
      <c r="M38" s="270">
        <f>IF(COUNT(I38:L38)=4,SUM(I38:L38),"")</f>
        <v>2017.27347197</v>
      </c>
      <c r="N38" s="269">
        <f>IFERROR(INDEX('Inputs (2)'!$D$61:$AL$61,MATCH(N$7&amp;"",'Inputs (2)'!$D$2:$AL$2,0)),"")</f>
        <v>507.990549733</v>
      </c>
      <c r="O38" s="269">
        <f>IFERROR(INDEX('Inputs (2)'!$D$61:$AL$61,MATCH(O$7&amp;"",'Inputs (2)'!$D$2:$AL$2,0)),"")</f>
        <v>674.214811965</v>
      </c>
      <c r="P38" s="269">
        <f>IFERROR(INDEX('Inputs (2)'!$D$61:$AL$61,MATCH(P$7&amp;"",'Inputs (2)'!$D$2:$AL$2,0)),"")</f>
        <v>682.31356675</v>
      </c>
      <c r="Q38" s="269">
        <f>IFERROR(INDEX('Inputs (2)'!$D$61:$AL$61,MATCH(Q$7&amp;"",'Inputs (2)'!$D$2:$AL$2,0)),"")</f>
        <v>551.492174402</v>
      </c>
      <c r="R38" s="270">
        <f>IF(COUNT(N38:Q38)=4,SUM(N38:Q38),"")</f>
        <v>2416.01110285</v>
      </c>
      <c r="S38" s="269">
        <f>IFERROR(INDEX('Inputs (2)'!$D$61:$AL$61,MATCH(S$7&amp;"",'Inputs (2)'!$D$2:$AL$2,0)),"")</f>
        <v>642.88335642</v>
      </c>
      <c r="T38" s="269">
        <f>IFERROR(INDEX('Inputs (2)'!$D$61:$AL$61,MATCH(T$7&amp;"",'Inputs (2)'!$D$2:$AL$2,0)),"")</f>
        <v>733.884741178</v>
      </c>
      <c r="U38" s="269">
        <f>IFERROR(INDEX('Inputs (2)'!$D$61:$AL$61,MATCH(U$7&amp;"",'Inputs (2)'!$D$2:$AL$2,0)),"")</f>
        <v>751.415722451</v>
      </c>
      <c r="V38" s="269">
        <f>IFERROR(INDEX('Inputs (2)'!$D$61:$AL$61,MATCH(V$7&amp;"",'Inputs (2)'!$D$2:$AL$2,0)),"")</f>
        <v>994.436039633</v>
      </c>
      <c r="W38" s="270">
        <f>IF(COUNT(S38:V38)=4,SUM(S38:V38),"")</f>
        <v>3122.619859682</v>
      </c>
      <c r="X38" s="269">
        <f>IFERROR(INDEX('Inputs (2)'!$D$61:$AL$61,MATCH(X$7&amp;"",'Inputs (2)'!$D$2:$AL$2,0)),"")</f>
        <v>1004.200856644</v>
      </c>
      <c r="Y38" s="269">
        <f>IFERROR(INDEX('Inputs (2)'!$D$61:$AL$61,MATCH(Y$7&amp;"",'Inputs (2)'!$D$2:$AL$2,0)),"")</f>
        <v>1260.095633997</v>
      </c>
      <c r="Z38" s="269">
        <f>IFERROR(INDEX('Inputs (2)'!$D$61:$AL$61,MATCH(Z$7&amp;"",'Inputs (2)'!$D$2:$AL$2,0)),"")</f>
        <v>1373.024765702</v>
      </c>
      <c r="AA38" s="269">
        <f>IFERROR(INDEX('Inputs (2)'!$D$61:$AL$61,MATCH(AA$7&amp;"",'Inputs (2)'!$D$2:$AL$2,0)),"")</f>
        <v>1242.920081275</v>
      </c>
      <c r="AB38" s="270">
        <f>IF(COUNT(X38:AA38)=4,SUM(X38:AA38),"")</f>
        <v>4880.241337618</v>
      </c>
      <c r="AC38" s="269">
        <f>IFERROR(INDEX('Inputs (2)'!$D$61:$AL$61,MATCH(AC$7&amp;"",'Inputs (2)'!$D$2:$AL$2,0)),"")</f>
        <v>1099.774665268</v>
      </c>
      <c r="AD38" s="269">
        <f>IFERROR(INDEX('Inputs (2)'!$D$61:$AL$61,MATCH(AD$7&amp;"",'Inputs (2)'!$D$2:$AL$2,0)),"")</f>
        <v>1296.39962358</v>
      </c>
      <c r="AE38" s="269">
        <f>IFERROR(INDEX('Inputs (2)'!$D$61:$AL$61,MATCH(AE$7&amp;"",'Inputs (2)'!$D$2:$AL$2,0)),"")</f>
        <v>1435.255241371</v>
      </c>
      <c r="AF38" s="269">
        <f>IFERROR(INDEX('Inputs (2)'!$D$61:$AL$61,MATCH(AF$7&amp;"",'Inputs (2)'!$D$2:$AL$2,0)),"")</f>
        <v>1305.147508199</v>
      </c>
      <c r="AG38" s="270">
        <f>IF(COUNT(AC38:AF38)=4,SUM(AC38:AF38),"")</f>
        <v>5136.577038418</v>
      </c>
      <c r="AH38" s="270">
        <f>IFERROR(INDEX('Inputs (2)'!$D$61:$AL$61,MATCH(AH$7&amp;"",'Inputs (2)'!$D$2:$AL$2,0)),"")</f>
        <v>1351.956</v>
      </c>
      <c r="AI38" s="270">
        <f>IFERROR(INDEX('Inputs (2)'!$D$61:$AL$61,MATCH(AI$7&amp;"",'Inputs (2)'!$D$2:$AL$2,0)),"")</f>
        <v>1371.609</v>
      </c>
    </row>
    <row r="39">
      <c r="C39" s="268" t="inlineStr">
        <is>
          <t>Unidades contratadas</t>
        </is>
      </c>
      <c r="D39" s="274" t="str">
        <f>IFERROR(INDEX('Inputs (2)'!$D$62:$AL$62,MATCH(D$7&amp;"",'Inputs (2)'!$D$2:$AL$2,0)),"")</f>
        <v/>
      </c>
      <c r="E39" s="274" t="str">
        <f>IFERROR(INDEX('Inputs (2)'!$D$62:$AL$62,MATCH(E$7&amp;"",'Inputs (2)'!$D$2:$AL$2,0)),"")</f>
        <v/>
      </c>
      <c r="F39" s="274" t="str">
        <f>IFERROR(INDEX('Inputs (2)'!$D$62:$AL$62,MATCH(F$7&amp;"",'Inputs (2)'!$D$2:$AL$2,0)),"")</f>
        <v/>
      </c>
      <c r="G39" s="274" t="str">
        <f>IFERROR(INDEX('Inputs (2)'!$D$62:$AL$62,MATCH(G$7&amp;"",'Inputs (2)'!$D$2:$AL$2,0)),"")</f>
        <v/>
      </c>
      <c r="H39" s="275" t="str">
        <f>IF(COUNT(D39:G39)=4,SUM(D39:G39),"")</f>
        <v/>
      </c>
      <c r="I39" s="274">
        <f>IFERROR(INDEX('Inputs (2)'!$D$62:$AL$62,MATCH(I$7&amp;"",'Inputs (2)'!$D$2:$AL$2,0)),"")</f>
        <v>2702</v>
      </c>
      <c r="J39" s="274">
        <f>IFERROR(INDEX('Inputs (2)'!$D$62:$AL$62,MATCH(J$7&amp;"",'Inputs (2)'!$D$2:$AL$2,0)),"")</f>
        <v>3168</v>
      </c>
      <c r="K39" s="274">
        <f>IFERROR(INDEX('Inputs (2)'!$D$62:$AL$62,MATCH(K$7&amp;"",'Inputs (2)'!$D$2:$AL$2,0)),"")</f>
        <v>3211</v>
      </c>
      <c r="L39" s="274">
        <f>IFERROR(INDEX('Inputs (2)'!$D$62:$AL$62,MATCH(L$7&amp;"",'Inputs (2)'!$D$2:$AL$2,0)),"")</f>
        <v>3146</v>
      </c>
      <c r="M39" s="275">
        <f>IF(COUNT(I39:L39)=4,SUM(I39:L39),"")</f>
        <v>12227</v>
      </c>
      <c r="N39" s="274">
        <f>IFERROR(INDEX('Inputs (2)'!$D$62:$AL$62,MATCH(N$7&amp;"",'Inputs (2)'!$D$2:$AL$2,0)),"")</f>
        <v>2945</v>
      </c>
      <c r="O39" s="274">
        <f>IFERROR(INDEX('Inputs (2)'!$D$62:$AL$62,MATCH(O$7&amp;"",'Inputs (2)'!$D$2:$AL$2,0)),"")</f>
        <v>3920</v>
      </c>
      <c r="P39" s="274">
        <f>IFERROR(INDEX('Inputs (2)'!$D$62:$AL$62,MATCH(P$7&amp;"",'Inputs (2)'!$D$2:$AL$2,0)),"")</f>
        <v>3403</v>
      </c>
      <c r="Q39" s="274">
        <f>IFERROR(INDEX('Inputs (2)'!$D$62:$AL$62,MATCH(Q$7&amp;"",'Inputs (2)'!$D$2:$AL$2,0)),"")</f>
        <v>2899</v>
      </c>
      <c r="R39" s="275">
        <f>IF(COUNT(N39:Q39)=4,SUM(N39:Q39),"")</f>
        <v>13167</v>
      </c>
      <c r="S39" s="274">
        <f>IFERROR(INDEX('Inputs (2)'!$D$62:$AL$62,MATCH(S$7&amp;"",'Inputs (2)'!$D$2:$AL$2,0)),"")</f>
        <v>3246</v>
      </c>
      <c r="T39" s="274">
        <f>IFERROR(INDEX('Inputs (2)'!$D$62:$AL$62,MATCH(T$7&amp;"",'Inputs (2)'!$D$2:$AL$2,0)),"")</f>
        <v>3575</v>
      </c>
      <c r="U39" s="274">
        <f>IFERROR(INDEX('Inputs (2)'!$D$62:$AL$62,MATCH(U$7&amp;"",'Inputs (2)'!$D$2:$AL$2,0)),"")</f>
        <v>3458</v>
      </c>
      <c r="V39" s="274">
        <f>IFERROR(INDEX('Inputs (2)'!$D$62:$AL$62,MATCH(V$7&amp;"",'Inputs (2)'!$D$2:$AL$2,0)),"")</f>
        <v>4506</v>
      </c>
      <c r="W39" s="275">
        <f>IF(COUNT(S39:V39)=4,SUM(S39:V39),"")</f>
        <v>14785</v>
      </c>
      <c r="X39" s="274">
        <f>IFERROR(INDEX('Inputs (2)'!$D$62:$AL$62,MATCH(X$7&amp;"",'Inputs (2)'!$D$2:$AL$2,0)),"")</f>
        <v>4227</v>
      </c>
      <c r="Y39" s="274">
        <f>IFERROR(INDEX('Inputs (2)'!$D$62:$AL$62,MATCH(Y$7&amp;"",'Inputs (2)'!$D$2:$AL$2,0)),"")</f>
        <v>5354</v>
      </c>
      <c r="Z39" s="274">
        <f>IFERROR(INDEX('Inputs (2)'!$D$62:$AL$62,MATCH(Z$7&amp;"",'Inputs (2)'!$D$2:$AL$2,0)),"")</f>
        <v>6293</v>
      </c>
      <c r="AA39" s="274">
        <f>IFERROR(INDEX('Inputs (2)'!$D$62:$AL$62,MATCH(AA$7&amp;"",'Inputs (2)'!$D$2:$AL$2,0)),"")</f>
        <v>5186</v>
      </c>
      <c r="AB39" s="275">
        <f>IF(COUNT(X39:AA39)=4,SUM(X39:AA39),"")</f>
        <v>21060</v>
      </c>
      <c r="AC39" s="274">
        <f>IFERROR(INDEX('Inputs (2)'!$D$62:$AL$62,MATCH(AC$7&amp;"",'Inputs (2)'!$D$2:$AL$2,0)),"")</f>
        <v>4330</v>
      </c>
      <c r="AD39" s="274">
        <f>IFERROR(INDEX('Inputs (2)'!$D$62:$AL$62,MATCH(AD$7&amp;"",'Inputs (2)'!$D$2:$AL$2,0)),"")</f>
        <v>5176</v>
      </c>
      <c r="AE39" s="274">
        <f>IFERROR(INDEX('Inputs (2)'!$D$62:$AL$62,MATCH(AE$7&amp;"",'Inputs (2)'!$D$2:$AL$2,0)),"")</f>
        <v>4857</v>
      </c>
      <c r="AF39" s="274">
        <f>IFERROR(INDEX('Inputs (2)'!$D$62:$AL$62,MATCH(AF$7&amp;"",'Inputs (2)'!$D$2:$AL$2,0)),"")</f>
        <v>4227</v>
      </c>
      <c r="AG39" s="275">
        <f>IF(COUNT(AC39:AF39)=4,SUM(AC39:AF39),"")</f>
        <v>18590</v>
      </c>
      <c r="AH39" s="275">
        <f>IFERROR(INDEX('Inputs (2)'!$D$62:$AL$62,MATCH(AH$7&amp;"",'Inputs (2)'!$D$2:$AL$2,0)),"")</f>
        <v>4848</v>
      </c>
      <c r="AI39" s="275">
        <f>IFERROR(INDEX('Inputs (2)'!$D$62:$AL$62,MATCH(AI$7&amp;"",'Inputs (2)'!$D$2:$AL$2,0)),"")</f>
        <v>4955</v>
      </c>
    </row>
    <row r="40">
      <c r="C40" s="268" t="inlineStr">
        <is>
          <t xml:space="preserve">   Preco medio contratado (R$ mil/unidade)</t>
        </is>
      </c>
      <c r="D40" s="269" t="str">
        <f>IFERROR(IFERROR(INDEX('Inputs (2)'!$D$63:$AL$63,MATCH(D$7&amp;"",'Inputs (2)'!$D$2:$AL$2,0)),"")/1000,"")</f>
        <v/>
      </c>
      <c r="E40" s="269" t="str">
        <f>IFERROR(IFERROR(INDEX('Inputs (2)'!$D$63:$AL$63,MATCH(E$7&amp;"",'Inputs (2)'!$D$2:$AL$2,0)),"")/1000,"")</f>
        <v/>
      </c>
      <c r="F40" s="269" t="str">
        <f>IFERROR(IFERROR(INDEX('Inputs (2)'!$D$63:$AL$63,MATCH(F$7&amp;"",'Inputs (2)'!$D$2:$AL$2,0)),"")/1000,"")</f>
        <v/>
      </c>
      <c r="G40" s="269" t="str">
        <f>IFERROR(IFERROR(INDEX('Inputs (2)'!$D$63:$AL$63,MATCH(G$7&amp;"",'Inputs (2)'!$D$2:$AL$2,0)),"")/1000,"")</f>
        <v/>
      </c>
      <c r="H40" s="270" t="n"/>
      <c r="I40" s="269">
        <f>IFERROR(IFERROR(INDEX('Inputs (2)'!$D$63:$AL$63,MATCH(I$7&amp;"",'Inputs (2)'!$D$2:$AL$2,0)),"")/1000,"")</f>
        <v>190.586340936344</v>
      </c>
      <c r="J40" s="269">
        <f>IFERROR(IFERROR(INDEX('Inputs (2)'!$D$63:$AL$63,MATCH(J$7&amp;"",'Inputs (2)'!$D$2:$AL$2,0)),"")/1000,"")</f>
        <v>193.96967415404</v>
      </c>
      <c r="K40" s="269">
        <f>IFERROR(IFERROR(INDEX('Inputs (2)'!$D$63:$AL$63,MATCH(K$7&amp;"",'Inputs (2)'!$D$2:$AL$2,0)),"")/1000,"")</f>
        <v>200.160733525382</v>
      </c>
      <c r="L40" s="269">
        <f>IFERROR(IFERROR(INDEX('Inputs (2)'!$D$63:$AL$63,MATCH(L$7&amp;"",'Inputs (2)'!$D$2:$AL$2,0)),"")/1000,"")</f>
        <v>212.256110390972</v>
      </c>
      <c r="M40" s="270" t="n"/>
      <c r="N40" s="269">
        <f>IFERROR(IFERROR(INDEX('Inputs (2)'!$D$63:$AL$63,MATCH(N$7&amp;"",'Inputs (2)'!$D$2:$AL$2,0)),"")/1000,"")</f>
        <v>211.185573612902</v>
      </c>
      <c r="O40" s="269">
        <f>IFERROR(IFERROR(INDEX('Inputs (2)'!$D$63:$AL$63,MATCH(O$7&amp;"",'Inputs (2)'!$D$2:$AL$2,0)),"")/1000,"")</f>
        <v>213.186597119898</v>
      </c>
      <c r="P40" s="269">
        <f>IFERROR(IFERROR(INDEX('Inputs (2)'!$D$63:$AL$63,MATCH(P$7&amp;"",'Inputs (2)'!$D$2:$AL$2,0)),"")/1000,"")</f>
        <v>248.855416132824</v>
      </c>
      <c r="Q40" s="269">
        <f>IFERROR(IFERROR(INDEX('Inputs (2)'!$D$63:$AL$63,MATCH(Q$7&amp;"",'Inputs (2)'!$D$2:$AL$2,0)),"")/1000,"")</f>
        <v>239.519772349086</v>
      </c>
      <c r="R40" s="270" t="n"/>
      <c r="S40" s="269">
        <f>IFERROR(IFERROR(INDEX('Inputs (2)'!$D$63:$AL$63,MATCH(S$7&amp;"",'Inputs (2)'!$D$2:$AL$2,0)),"")/1000,"")</f>
        <v>247.492177147258</v>
      </c>
      <c r="T40" s="269">
        <f>IFERROR(IFERROR(INDEX('Inputs (2)'!$D$63:$AL$63,MATCH(T$7&amp;"",'Inputs (2)'!$D$2:$AL$2,0)),"")/1000,"")</f>
        <v>269.228433714686</v>
      </c>
      <c r="U40" s="269">
        <f>IFERROR(IFERROR(INDEX('Inputs (2)'!$D$63:$AL$63,MATCH(U$7&amp;"",'Inputs (2)'!$D$2:$AL$2,0)),"")/1000,"")</f>
        <v>290.513801058415</v>
      </c>
      <c r="V40" s="269">
        <f>IFERROR(IFERROR(INDEX('Inputs (2)'!$D$63:$AL$63,MATCH(V$7&amp;"",'Inputs (2)'!$D$2:$AL$2,0)),"")/1000,"")</f>
        <v>270.891849296494</v>
      </c>
      <c r="W40" s="270" t="n"/>
      <c r="X40" s="269">
        <f>IFERROR(IFERROR(INDEX('Inputs (2)'!$D$63:$AL$63,MATCH(X$7&amp;"",'Inputs (2)'!$D$2:$AL$2,0)),"")/1000,"")</f>
        <v>309.360983259995</v>
      </c>
      <c r="Y40" s="269">
        <f>IFERROR(IFERROR(INDEX('Inputs (2)'!$D$63:$AL$63,MATCH(Y$7&amp;"",'Inputs (2)'!$D$2:$AL$2,0)),"")/1000,"")</f>
        <v>302.348087612999</v>
      </c>
      <c r="Z40" s="269">
        <f>IFERROR(IFERROR(INDEX('Inputs (2)'!$D$63:$AL$63,MATCH(Z$7&amp;"",'Inputs (2)'!$D$2:$AL$2,0)),"")/1000,"")</f>
        <v>280.492173500715</v>
      </c>
      <c r="AA40" s="269">
        <f>IFERROR(IFERROR(INDEX('Inputs (2)'!$D$63:$AL$63,MATCH(AA$7&amp;"",'Inputs (2)'!$D$2:$AL$2,0)),"")/1000,"")</f>
        <v>304.645776976475</v>
      </c>
      <c r="AB40" s="270" t="n"/>
      <c r="AC40" s="269">
        <f>IFERROR(IFERROR(INDEX('Inputs (2)'!$D$63:$AL$63,MATCH(AC$7&amp;"",'Inputs (2)'!$D$2:$AL$2,0)),"")/1000,"")</f>
        <v>306.351245090069</v>
      </c>
      <c r="AD40" s="269">
        <f>IFERROR(IFERROR(INDEX('Inputs (2)'!$D$63:$AL$63,MATCH(AD$7&amp;"",'Inputs (2)'!$D$2:$AL$2,0)),"")/1000,"")</f>
        <v>324.055738485317</v>
      </c>
      <c r="AE40" s="269">
        <f>IFERROR(IFERROR(INDEX('Inputs (2)'!$D$63:$AL$63,MATCH(AE$7&amp;"",'Inputs (2)'!$D$2:$AL$2,0)),"")/1000,"")</f>
        <v>338.029014731316</v>
      </c>
      <c r="AF40" s="269">
        <f>IFERROR(IFERROR(INDEX('Inputs (2)'!$D$63:$AL$63,MATCH(AF$7&amp;"",'Inputs (2)'!$D$2:$AL$2,0)),"")/1000,"")</f>
        <v>359.004821109535</v>
      </c>
      <c r="AG40" s="270" t="n"/>
      <c r="AH40" s="270">
        <f>IFERROR(IFERROR(INDEX('Inputs (2)'!$D$63:$AL$63,MATCH(AH$7&amp;"",'Inputs (2)'!$D$2:$AL$2,0)),"")/1000,"")</f>
        <v>326.3119</v>
      </c>
      <c r="AI40" s="270">
        <f>IFERROR(IFERROR(INDEX('Inputs (2)'!$D$63:$AL$63,MATCH(AI$7&amp;"",'Inputs (2)'!$D$2:$AL$2,0)),"")/1000,"")</f>
        <v>333.9877</v>
      </c>
    </row>
    <row r="41">
      <c r="C41" s="268" t="inlineStr">
        <is>
          <t>VSO consolidada (vendas sobre oferta)</t>
        </is>
      </c>
      <c r="D41" s="272" t="str">
        <f>IFERROR(INDEX('Inputs (2)'!$D$64:$AL$64,MATCH(D$7&amp;"",'Inputs (2)'!$D$2:$AL$2,0)),"")</f>
        <v/>
      </c>
      <c r="E41" s="272" t="str">
        <f>IFERROR(INDEX('Inputs (2)'!$D$64:$AL$64,MATCH(E$7&amp;"",'Inputs (2)'!$D$2:$AL$2,0)),"")</f>
        <v/>
      </c>
      <c r="F41" s="272" t="str">
        <f>IFERROR(INDEX('Inputs (2)'!$D$64:$AL$64,MATCH(F$7&amp;"",'Inputs (2)'!$D$2:$AL$2,0)),"")</f>
        <v/>
      </c>
      <c r="G41" s="272" t="str">
        <f>IFERROR(INDEX('Inputs (2)'!$D$64:$AL$64,MATCH(G$7&amp;"",'Inputs (2)'!$D$2:$AL$2,0)),"")</f>
        <v/>
      </c>
      <c r="H41" s="273" t="n"/>
      <c r="I41" s="272">
        <f>IFERROR(INDEX('Inputs (2)'!$D$64:$AL$64,MATCH(I$7&amp;"",'Inputs (2)'!$D$2:$AL$2,0)),"")</f>
        <v>0.167</v>
      </c>
      <c r="J41" s="272">
        <f>IFERROR(INDEX('Inputs (2)'!$D$64:$AL$64,MATCH(J$7&amp;"",'Inputs (2)'!$D$2:$AL$2,0)),"")</f>
        <v>0.184</v>
      </c>
      <c r="K41" s="272">
        <f>IFERROR(INDEX('Inputs (2)'!$D$64:$AL$64,MATCH(K$7&amp;"",'Inputs (2)'!$D$2:$AL$2,0)),"")</f>
        <v>0.169</v>
      </c>
      <c r="L41" s="272">
        <f>IFERROR(INDEX('Inputs (2)'!$D$64:$AL$64,MATCH(L$7&amp;"",'Inputs (2)'!$D$2:$AL$2,0)),"")</f>
        <v>0.172</v>
      </c>
      <c r="M41" s="273" t="n"/>
      <c r="N41" s="272">
        <f>IFERROR(INDEX('Inputs (2)'!$D$64:$AL$64,MATCH(N$7&amp;"",'Inputs (2)'!$D$2:$AL$2,0)),"")</f>
        <v>0.161278813</v>
      </c>
      <c r="O41" s="272">
        <f>IFERROR(INDEX('Inputs (2)'!$D$64:$AL$64,MATCH(O$7&amp;"",'Inputs (2)'!$D$2:$AL$2,0)),"")</f>
        <v>0.203791113</v>
      </c>
      <c r="P41" s="272">
        <f>IFERROR(INDEX('Inputs (2)'!$D$64:$AL$64,MATCH(P$7&amp;"",'Inputs (2)'!$D$2:$AL$2,0)),"")</f>
        <v>0.190089161</v>
      </c>
      <c r="Q41" s="272">
        <f>IFERROR(INDEX('Inputs (2)'!$D$64:$AL$64,MATCH(Q$7&amp;"",'Inputs (2)'!$D$2:$AL$2,0)),"")</f>
        <v>0.146153226</v>
      </c>
      <c r="R41" s="273" t="n"/>
      <c r="S41" s="272">
        <f>IFERROR(INDEX('Inputs (2)'!$D$64:$AL$64,MATCH(S$7&amp;"",'Inputs (2)'!$D$2:$AL$2,0)),"")</f>
        <v>0.166865631</v>
      </c>
      <c r="T41" s="272">
        <f>IFERROR(INDEX('Inputs (2)'!$D$64:$AL$64,MATCH(T$7&amp;"",'Inputs (2)'!$D$2:$AL$2,0)),"")</f>
        <v>0.175021897</v>
      </c>
      <c r="U41" s="272">
        <f>IFERROR(INDEX('Inputs (2)'!$D$64:$AL$64,MATCH(U$7&amp;"",'Inputs (2)'!$D$2:$AL$2,0)),"")</f>
        <v>0.167931783</v>
      </c>
      <c r="V41" s="272">
        <f>IFERROR(INDEX('Inputs (2)'!$D$64:$AL$64,MATCH(V$7&amp;"",'Inputs (2)'!$D$2:$AL$2,0)),"")</f>
        <v>0.163509254</v>
      </c>
      <c r="W41" s="273" t="n"/>
      <c r="X41" s="272">
        <f>IFERROR(INDEX('Inputs (2)'!$D$64:$AL$64,MATCH(X$7&amp;"",'Inputs (2)'!$D$2:$AL$2,0)),"")</f>
        <v>0.216398953</v>
      </c>
      <c r="Y41" s="272">
        <f>IFERROR(INDEX('Inputs (2)'!$D$64:$AL$64,MATCH(Y$7&amp;"",'Inputs (2)'!$D$2:$AL$2,0)),"")</f>
        <v>0.263717601</v>
      </c>
      <c r="Z41" s="272">
        <f>IFERROR(INDEX('Inputs (2)'!$D$64:$AL$64,MATCH(Z$7&amp;"",'Inputs (2)'!$D$2:$AL$2,0)),"")</f>
        <v>0.249636786</v>
      </c>
      <c r="AA41" s="272">
        <f>IFERROR(INDEX('Inputs (2)'!$D$64:$AL$64,MATCH(AA$7&amp;"",'Inputs (2)'!$D$2:$AL$2,0)),"")</f>
        <v>0.249787961</v>
      </c>
      <c r="AB41" s="273" t="n"/>
      <c r="AC41" s="272">
        <f>IFERROR(INDEX('Inputs (2)'!$D$64:$AL$64,MATCH(AC$7&amp;"",'Inputs (2)'!$D$2:$AL$2,0)),"")</f>
        <v>0.233201291</v>
      </c>
      <c r="AD41" s="272">
        <f>IFERROR(INDEX('Inputs (2)'!$D$64:$AL$64,MATCH(AD$7&amp;"",'Inputs (2)'!$D$2:$AL$2,0)),"")</f>
        <v>0.263655743</v>
      </c>
      <c r="AE41" s="272">
        <f>IFERROR(INDEX('Inputs (2)'!$D$64:$AL$64,MATCH(AE$7&amp;"",'Inputs (2)'!$D$2:$AL$2,0)),"")</f>
        <v>0.239</v>
      </c>
      <c r="AF41" s="272">
        <f>IFERROR(INDEX('Inputs (2)'!$D$64:$AL$64,MATCH(AF$7&amp;"",'Inputs (2)'!$D$2:$AL$2,0)),"")</f>
        <v>0.211</v>
      </c>
      <c r="AG41" s="273" t="n"/>
      <c r="AH41" s="273">
        <f>IFERROR(INDEX('Inputs (2)'!$D$64:$AL$64,MATCH(AH$7&amp;"",'Inputs (2)'!$D$2:$AL$2,0)),"")</f>
        <v>0.236</v>
      </c>
      <c r="AI41" s="273">
        <f>IFERROR(INDEX('Inputs (2)'!$D$64:$AL$64,MATCH(AI$7&amp;"",'Inputs (2)'!$D$2:$AL$2,0)),"")</f>
        <v>0.22849</v>
      </c>
    </row>
    <row r="42">
      <c r="C42" s="268" t="inlineStr">
        <is>
          <t xml:space="preserve">   Receita liquida / VGV contratado % Direcional</t>
        </is>
      </c>
      <c r="D42" s="272" t="str">
        <f>IFERROR(D15/D38,"")</f>
        <v/>
      </c>
      <c r="E42" s="272" t="str">
        <f>IFERROR(E15/E38,"")</f>
        <v/>
      </c>
      <c r="F42" s="272" t="str">
        <f>IFERROR(F15/F38,"")</f>
        <v/>
      </c>
      <c r="G42" s="272" t="str">
        <f>IFERROR(G15/G38,"")</f>
        <v/>
      </c>
      <c r="H42" s="273" t="str">
        <f>IFERROR(H15/H38,"")</f>
        <v/>
      </c>
      <c r="I42" s="272">
        <f>IFERROR(I15/I38,"")</f>
        <v>0.942909934238547</v>
      </c>
      <c r="J42" s="272">
        <f>IFERROR(J15/J38,"")</f>
        <v>0.818674937401013</v>
      </c>
      <c r="K42" s="272">
        <f>IFERROR(K15/K38,"")</f>
        <v>0.863543728032295</v>
      </c>
      <c r="L42" s="272">
        <f>IFERROR(L15/L38,"")</f>
        <v>0.905719010711879</v>
      </c>
      <c r="M42" s="273">
        <f>IFERROR(M15/M38,"")</f>
        <v>0.880584623097853</v>
      </c>
      <c r="N42" s="272">
        <f>IFERROR(N15/N38,"")</f>
        <v>0.921462023744399</v>
      </c>
      <c r="O42" s="272">
        <f>IFERROR(O15/O38,"")</f>
        <v>0.869346074275252</v>
      </c>
      <c r="P42" s="272">
        <f>IFERROR(P15/P38,"")</f>
        <v>0.841857802617113</v>
      </c>
      <c r="Q42" s="272">
        <f>IFERROR(Q15/Q38,"")</f>
        <v>0.968254899680157</v>
      </c>
      <c r="R42" s="273">
        <f>IFERROR(R15/R38,"")</f>
        <v>0.89511840299447</v>
      </c>
      <c r="S42" s="272">
        <f>IFERROR(S15/S38,"")</f>
        <v>0.866827542562686</v>
      </c>
      <c r="T42" s="272">
        <f>IFERROR(T15/T38,"")</f>
        <v>0.824936077875424</v>
      </c>
      <c r="U42" s="272">
        <f>IFERROR(U15/U38,"")</f>
        <v>0.742156416665032</v>
      </c>
      <c r="V42" s="272">
        <f>IFERROR(V15/V38,"")</f>
        <v>0.638389976528092</v>
      </c>
      <c r="W42" s="273">
        <f>IFERROR(W15/W38,"")</f>
        <v>0.754233017732695</v>
      </c>
      <c r="X42" s="272">
        <f>IFERROR(X15/X38,"")</f>
        <v>0.66664153448071</v>
      </c>
      <c r="Y42" s="272">
        <f>IFERROR(Y15/Y38,"")</f>
        <v>0.669965022672247</v>
      </c>
      <c r="Z42" s="272">
        <f>IFERROR(Z15/Z38,"")</f>
        <v>0.663205808625331</v>
      </c>
      <c r="AA42" s="272">
        <f>IFERROR(AA15/AA38,"")</f>
        <v>0.743579586429995</v>
      </c>
      <c r="AB42" s="273">
        <f>IFERROR(AB15/AB38,"")</f>
        <v>0.686127953179126</v>
      </c>
      <c r="AC42" s="272">
        <f>IFERROR(AC15/AC38,"")</f>
        <v>0.813013818409894</v>
      </c>
      <c r="AD42" s="272">
        <f>IFERROR(AD15/AD38,"")</f>
        <v>0.821667933733604</v>
      </c>
      <c r="AE42" s="272">
        <f>IFERROR(AE15/AE38,"")</f>
        <v>0.806701809285164</v>
      </c>
      <c r="AF42" s="272">
        <f>IFERROR(AF15/AF38,"")</f>
        <v>0.939237130132184</v>
      </c>
      <c r="AG42" s="273">
        <f>IFERROR(AG15/AG38,"")</f>
        <v>0.845506252026854</v>
      </c>
      <c r="AH42" s="273">
        <f>IFERROR(AH15/AH38,"")</f>
        <v>0.861364571036336</v>
      </c>
      <c r="AI42" s="273">
        <f>IFERROR(AI15/AI38,"")</f>
        <v>0.932674690819323</v>
      </c>
    </row>
    <row r="43"/>
    <row r="44">
      <c r="C44" s="267" t="inlineStr">
        <is>
          <t>Repasses, estoque e land bank</t>
        </is>
      </c>
      <c r="D44" s="267">
        <f>D7</f>
        <v>0</v>
      </c>
      <c r="E44" s="267">
        <f>E7</f>
        <v>0</v>
      </c>
      <c r="F44" s="267">
        <f>F7</f>
        <v>0</v>
      </c>
      <c r="G44" s="267">
        <f>G7</f>
        <v>0</v>
      </c>
      <c r="H44" s="267">
        <f>H7</f>
        <v>2020</v>
      </c>
      <c r="I44" s="267" t="str">
        <f>I7</f>
        <v>1Q21</v>
      </c>
      <c r="J44" s="267" t="str">
        <f>J7</f>
        <v>2Q21</v>
      </c>
      <c r="K44" s="267" t="str">
        <f>K7</f>
        <v>3Q21</v>
      </c>
      <c r="L44" s="267" t="str">
        <f>L7</f>
        <v>4Q21</v>
      </c>
      <c r="M44" s="267">
        <f>M7</f>
        <v>2021</v>
      </c>
      <c r="N44" s="267" t="str">
        <f>N7</f>
        <v>1Q22</v>
      </c>
      <c r="O44" s="267" t="str">
        <f>O7</f>
        <v>2Q22</v>
      </c>
      <c r="P44" s="267" t="str">
        <f>P7</f>
        <v>3Q22</v>
      </c>
      <c r="Q44" s="267" t="str">
        <f>Q7</f>
        <v>4Q22</v>
      </c>
      <c r="R44" s="267">
        <f>R7</f>
        <v>2022</v>
      </c>
      <c r="S44" s="267" t="str">
        <f>S7</f>
        <v>1Q23</v>
      </c>
      <c r="T44" s="267" t="str">
        <f>T7</f>
        <v>2Q23</v>
      </c>
      <c r="U44" s="267" t="str">
        <f>U7</f>
        <v>3Q23</v>
      </c>
      <c r="V44" s="267" t="str">
        <f>V7</f>
        <v>4Q23</v>
      </c>
      <c r="W44" s="267">
        <f>W7</f>
        <v>2023</v>
      </c>
      <c r="X44" s="267" t="str">
        <f>X7</f>
        <v>1Q24</v>
      </c>
      <c r="Y44" s="267" t="str">
        <f>Y7</f>
        <v>2Q24</v>
      </c>
      <c r="Z44" s="267" t="str">
        <f>Z7</f>
        <v>3Q24</v>
      </c>
      <c r="AA44" s="267" t="str">
        <f>AA7</f>
        <v>4Q24</v>
      </c>
      <c r="AB44" s="267">
        <f>AB7</f>
        <v>2024</v>
      </c>
      <c r="AC44" s="267" t="str">
        <f>AC7</f>
        <v>1Q25</v>
      </c>
      <c r="AD44" s="267" t="str">
        <f>AD7</f>
        <v>2Q25</v>
      </c>
      <c r="AE44" s="267" t="str">
        <f>AE7</f>
        <v>3Q25</v>
      </c>
      <c r="AF44" s="267" t="str">
        <f>AF7</f>
        <v>4Q25</v>
      </c>
      <c r="AG44" s="267">
        <f>AG7</f>
        <v>2025</v>
      </c>
      <c r="AH44" s="267" t="str">
        <f>AH7</f>
        <v>1Q26</v>
      </c>
      <c r="AI44" s="267" t="str">
        <f>AI7</f>
        <v>2Q26</v>
      </c>
    </row>
    <row r="45">
      <c r="C45" s="268" t="inlineStr">
        <is>
          <t>Repasses - VGV (R$ mi)</t>
        </is>
      </c>
      <c r="D45" s="269" t="str">
        <f>IFERROR(INDEX('Inputs (2)'!$D$65:$AL$65,MATCH(D$7&amp;"",'Inputs (2)'!$D$2:$AL$2,0)),"")</f>
        <v/>
      </c>
      <c r="E45" s="269" t="str">
        <f>IFERROR(INDEX('Inputs (2)'!$D$65:$AL$65,MATCH(E$7&amp;"",'Inputs (2)'!$D$2:$AL$2,0)),"")</f>
        <v/>
      </c>
      <c r="F45" s="269" t="str">
        <f>IFERROR(INDEX('Inputs (2)'!$D$65:$AL$65,MATCH(F$7&amp;"",'Inputs (2)'!$D$2:$AL$2,0)),"")</f>
        <v/>
      </c>
      <c r="G45" s="269" t="str">
        <f>IFERROR(INDEX('Inputs (2)'!$D$65:$AL$65,MATCH(G$7&amp;"",'Inputs (2)'!$D$2:$AL$2,0)),"")</f>
        <v/>
      </c>
      <c r="H45" s="270" t="str">
        <f>IF(COUNT(D45:G45)=4,SUM(D45:G45),"")</f>
        <v/>
      </c>
      <c r="I45" s="269">
        <f>IFERROR(INDEX('Inputs (2)'!$D$65:$AL$65,MATCH(I$7&amp;"",'Inputs (2)'!$D$2:$AL$2,0)),"")</f>
        <v>456.37350922</v>
      </c>
      <c r="J45" s="269">
        <f>IFERROR(INDEX('Inputs (2)'!$D$65:$AL$65,MATCH(J$7&amp;"",'Inputs (2)'!$D$2:$AL$2,0)),"")</f>
        <v>550.09113149</v>
      </c>
      <c r="K45" s="269">
        <f>IFERROR(INDEX('Inputs (2)'!$D$65:$AL$65,MATCH(K$7&amp;"",'Inputs (2)'!$D$2:$AL$2,0)),"")</f>
        <v>536.88122653</v>
      </c>
      <c r="L45" s="269">
        <f>IFERROR(INDEX('Inputs (2)'!$D$65:$AL$65,MATCH(L$7&amp;"",'Inputs (2)'!$D$2:$AL$2,0)),"")</f>
        <v>502.29887541</v>
      </c>
      <c r="M45" s="270">
        <f>IF(COUNT(I45:L45)=4,SUM(I45:L45),"")</f>
        <v>2045.64474265</v>
      </c>
      <c r="N45" s="269">
        <f>IFERROR(INDEX('Inputs (2)'!$D$65:$AL$65,MATCH(N$7&amp;"",'Inputs (2)'!$D$2:$AL$2,0)),"")</f>
        <v>460.72868308</v>
      </c>
      <c r="O45" s="269">
        <f>IFERROR(INDEX('Inputs (2)'!$D$65:$AL$65,MATCH(O$7&amp;"",'Inputs (2)'!$D$2:$AL$2,0)),"")</f>
        <v>776.95753773</v>
      </c>
      <c r="P45" s="269">
        <f>IFERROR(INDEX('Inputs (2)'!$D$65:$AL$65,MATCH(P$7&amp;"",'Inputs (2)'!$D$2:$AL$2,0)),"")</f>
        <v>647.31968171</v>
      </c>
      <c r="Q45" s="269">
        <f>IFERROR(INDEX('Inputs (2)'!$D$65:$AL$65,MATCH(Q$7&amp;"",'Inputs (2)'!$D$2:$AL$2,0)),"")</f>
        <v>491.08274038</v>
      </c>
      <c r="R45" s="270">
        <f>IF(COUNT(N45:Q45)=4,SUM(N45:Q45),"")</f>
        <v>2376.0886429</v>
      </c>
      <c r="S45" s="269">
        <f>IFERROR(INDEX('Inputs (2)'!$D$65:$AL$65,MATCH(S$7&amp;"",'Inputs (2)'!$D$2:$AL$2,0)),"")</f>
        <v>500.68954238</v>
      </c>
      <c r="T45" s="269">
        <f>IFERROR(INDEX('Inputs (2)'!$D$65:$AL$65,MATCH(T$7&amp;"",'Inputs (2)'!$D$2:$AL$2,0)),"")</f>
        <v>631.92888675</v>
      </c>
      <c r="U45" s="269">
        <f>IFERROR(INDEX('Inputs (2)'!$D$65:$AL$65,MATCH(U$7&amp;"",'Inputs (2)'!$D$2:$AL$2,0)),"")</f>
        <v>556.14280757</v>
      </c>
      <c r="V45" s="269">
        <f>IFERROR(INDEX('Inputs (2)'!$D$65:$AL$65,MATCH(V$7&amp;"",'Inputs (2)'!$D$2:$AL$2,0)),"")</f>
        <v>539.87644847</v>
      </c>
      <c r="W45" s="270">
        <f>IF(COUNT(S45:V45)=4,SUM(S45:V45),"")</f>
        <v>2228.63768517</v>
      </c>
      <c r="X45" s="269">
        <f>IFERROR(INDEX('Inputs (2)'!$D$65:$AL$65,MATCH(X$7&amp;"",'Inputs (2)'!$D$2:$AL$2,0)),"")</f>
        <v>550.1385841</v>
      </c>
      <c r="Y45" s="269">
        <f>IFERROR(INDEX('Inputs (2)'!$D$65:$AL$65,MATCH(Y$7&amp;"",'Inputs (2)'!$D$2:$AL$2,0)),"")</f>
        <v>1028.91742224</v>
      </c>
      <c r="Z45" s="269">
        <f>IFERROR(INDEX('Inputs (2)'!$D$65:$AL$65,MATCH(Z$7&amp;"",'Inputs (2)'!$D$2:$AL$2,0)),"")</f>
        <v>899.36382257</v>
      </c>
      <c r="AA45" s="269">
        <f>IFERROR(INDEX('Inputs (2)'!$D$65:$AL$65,MATCH(AA$7&amp;"",'Inputs (2)'!$D$2:$AL$2,0)),"")</f>
        <v>885.06965955</v>
      </c>
      <c r="AB45" s="270">
        <f>IF(COUNT(X45:AA45)=4,SUM(X45:AA45),"")</f>
        <v>3363.48948846</v>
      </c>
      <c r="AC45" s="269">
        <f>IFERROR(INDEX('Inputs (2)'!$D$65:$AL$65,MATCH(AC$7&amp;"",'Inputs (2)'!$D$2:$AL$2,0)),"")</f>
        <v>773.98977536</v>
      </c>
      <c r="AD45" s="269">
        <f>IFERROR(INDEX('Inputs (2)'!$D$65:$AL$65,MATCH(AD$7&amp;"",'Inputs (2)'!$D$2:$AL$2,0)),"")</f>
        <v>1129.32869135</v>
      </c>
      <c r="AE45" s="269">
        <f>IFERROR(INDEX('Inputs (2)'!$D$65:$AL$65,MATCH(AE$7&amp;"",'Inputs (2)'!$D$2:$AL$2,0)),"")</f>
        <v>1075.231</v>
      </c>
      <c r="AF45" s="269">
        <f>IFERROR(INDEX('Inputs (2)'!$D$65:$AL$65,MATCH(AF$7&amp;"",'Inputs (2)'!$D$2:$AL$2,0)),"")</f>
        <v>1195.0242</v>
      </c>
      <c r="AG45" s="270">
        <f>IF(COUNT(AC45:AF45)=4,SUM(AC45:AF45),"")</f>
        <v>4173.57366671</v>
      </c>
      <c r="AH45" s="270">
        <f>IFERROR(INDEX('Inputs (2)'!$D$65:$AL$65,MATCH(AH$7&amp;"",'Inputs (2)'!$D$2:$AL$2,0)),"")</f>
        <v>988.2304</v>
      </c>
      <c r="AI45" s="270">
        <f>IFERROR(INDEX('Inputs (2)'!$D$65:$AL$65,MATCH(AI$7&amp;"",'Inputs (2)'!$D$2:$AL$2,0)),"")</f>
        <v>1245.1971</v>
      </c>
    </row>
    <row r="46">
      <c r="C46" s="268" t="inlineStr">
        <is>
          <t xml:space="preserve">   Repasses - unidades</t>
        </is>
      </c>
      <c r="D46" s="274" t="str">
        <f>IFERROR(INDEX('Inputs (2)'!$D$66:$AL$66,MATCH(D$7&amp;"",'Inputs (2)'!$D$2:$AL$2,0)),"")</f>
        <v/>
      </c>
      <c r="E46" s="274" t="str">
        <f>IFERROR(INDEX('Inputs (2)'!$D$66:$AL$66,MATCH(E$7&amp;"",'Inputs (2)'!$D$2:$AL$2,0)),"")</f>
        <v/>
      </c>
      <c r="F46" s="274" t="str">
        <f>IFERROR(INDEX('Inputs (2)'!$D$66:$AL$66,MATCH(F$7&amp;"",'Inputs (2)'!$D$2:$AL$2,0)),"")</f>
        <v/>
      </c>
      <c r="G46" s="274" t="str">
        <f>IFERROR(INDEX('Inputs (2)'!$D$66:$AL$66,MATCH(G$7&amp;"",'Inputs (2)'!$D$2:$AL$2,0)),"")</f>
        <v/>
      </c>
      <c r="H46" s="275" t="str">
        <f>IF(COUNT(D46:G46)=4,SUM(D46:G46),"")</f>
        <v/>
      </c>
      <c r="I46" s="274">
        <f>IFERROR(INDEX('Inputs (2)'!$D$66:$AL$66,MATCH(I$7&amp;"",'Inputs (2)'!$D$2:$AL$2,0)),"")</f>
        <v>2609</v>
      </c>
      <c r="J46" s="274">
        <f>IFERROR(INDEX('Inputs (2)'!$D$66:$AL$66,MATCH(J$7&amp;"",'Inputs (2)'!$D$2:$AL$2,0)),"")</f>
        <v>2963</v>
      </c>
      <c r="K46" s="274">
        <f>IFERROR(INDEX('Inputs (2)'!$D$66:$AL$66,MATCH(K$7&amp;"",'Inputs (2)'!$D$2:$AL$2,0)),"")</f>
        <v>2985</v>
      </c>
      <c r="L46" s="274">
        <f>IFERROR(INDEX('Inputs (2)'!$D$66:$AL$66,MATCH(L$7&amp;"",'Inputs (2)'!$D$2:$AL$2,0)),"")</f>
        <v>2707</v>
      </c>
      <c r="M46" s="275">
        <f>IF(COUNT(I46:L46)=4,SUM(I46:L46),"")</f>
        <v>11264</v>
      </c>
      <c r="N46" s="274">
        <f>IFERROR(INDEX('Inputs (2)'!$D$66:$AL$66,MATCH(N$7&amp;"",'Inputs (2)'!$D$2:$AL$2,0)),"")</f>
        <v>2223</v>
      </c>
      <c r="O46" s="274">
        <f>IFERROR(INDEX('Inputs (2)'!$D$66:$AL$66,MATCH(O$7&amp;"",'Inputs (2)'!$D$2:$AL$2,0)),"")</f>
        <v>3851</v>
      </c>
      <c r="P46" s="274">
        <f>IFERROR(INDEX('Inputs (2)'!$D$66:$AL$66,MATCH(P$7&amp;"",'Inputs (2)'!$D$2:$AL$2,0)),"")</f>
        <v>3052</v>
      </c>
      <c r="Q46" s="274">
        <f>IFERROR(INDEX('Inputs (2)'!$D$66:$AL$66,MATCH(Q$7&amp;"",'Inputs (2)'!$D$2:$AL$2,0)),"")</f>
        <v>2287</v>
      </c>
      <c r="R46" s="275">
        <f>IF(COUNT(N46:Q46)=4,SUM(N46:Q46),"")</f>
        <v>11413</v>
      </c>
      <c r="S46" s="274">
        <f>IFERROR(INDEX('Inputs (2)'!$D$66:$AL$66,MATCH(S$7&amp;"",'Inputs (2)'!$D$2:$AL$2,0)),"")</f>
        <v>2254</v>
      </c>
      <c r="T46" s="274">
        <f>IFERROR(INDEX('Inputs (2)'!$D$66:$AL$66,MATCH(T$7&amp;"",'Inputs (2)'!$D$2:$AL$2,0)),"")</f>
        <v>2746</v>
      </c>
      <c r="U46" s="274">
        <f>IFERROR(INDEX('Inputs (2)'!$D$66:$AL$66,MATCH(U$7&amp;"",'Inputs (2)'!$D$2:$AL$2,0)),"")</f>
        <v>2370</v>
      </c>
      <c r="V46" s="274">
        <f>IFERROR(INDEX('Inputs (2)'!$D$66:$AL$66,MATCH(V$7&amp;"",'Inputs (2)'!$D$2:$AL$2,0)),"")</f>
        <v>2129</v>
      </c>
      <c r="W46" s="275">
        <f>IF(COUNT(S46:V46)=4,SUM(S46:V46),"")</f>
        <v>9499</v>
      </c>
      <c r="X46" s="274">
        <f>IFERROR(INDEX('Inputs (2)'!$D$66:$AL$66,MATCH(X$7&amp;"",'Inputs (2)'!$D$2:$AL$2,0)),"")</f>
        <v>2209</v>
      </c>
      <c r="Y46" s="274">
        <f>IFERROR(INDEX('Inputs (2)'!$D$66:$AL$66,MATCH(Y$7&amp;"",'Inputs (2)'!$D$2:$AL$2,0)),"")</f>
        <v>3727</v>
      </c>
      <c r="Z46" s="274">
        <f>IFERROR(INDEX('Inputs (2)'!$D$66:$AL$66,MATCH(Z$7&amp;"",'Inputs (2)'!$D$2:$AL$2,0)),"")</f>
        <v>3275</v>
      </c>
      <c r="AA46" s="274">
        <f>IFERROR(INDEX('Inputs (2)'!$D$66:$AL$66,MATCH(AA$7&amp;"",'Inputs (2)'!$D$2:$AL$2,0)),"")</f>
        <v>3093</v>
      </c>
      <c r="AB46" s="275">
        <f>IF(COUNT(X46:AA46)=4,SUM(X46:AA46),"")</f>
        <v>12304</v>
      </c>
      <c r="AC46" s="274">
        <f>IFERROR(INDEX('Inputs (2)'!$D$66:$AL$66,MATCH(AC$7&amp;"",'Inputs (2)'!$D$2:$AL$2,0)),"")</f>
        <v>2753</v>
      </c>
      <c r="AD46" s="274">
        <f>IFERROR(INDEX('Inputs (2)'!$D$66:$AL$66,MATCH(AD$7&amp;"",'Inputs (2)'!$D$2:$AL$2,0)),"")</f>
        <v>3817</v>
      </c>
      <c r="AE46" s="274">
        <f>IFERROR(INDEX('Inputs (2)'!$D$66:$AL$66,MATCH(AE$7&amp;"",'Inputs (2)'!$D$2:$AL$2,0)),"")</f>
        <v>3632</v>
      </c>
      <c r="AF46" s="274">
        <f>IFERROR(INDEX('Inputs (2)'!$D$66:$AL$66,MATCH(AF$7&amp;"",'Inputs (2)'!$D$2:$AL$2,0)),"")</f>
        <v>3856</v>
      </c>
      <c r="AG46" s="275">
        <f>IF(COUNT(AC46:AF46)=4,SUM(AC46:AF46),"")</f>
        <v>14058</v>
      </c>
      <c r="AH46" s="275">
        <f>IFERROR(INDEX('Inputs (2)'!$D$66:$AL$66,MATCH(AH$7&amp;"",'Inputs (2)'!$D$2:$AL$2,0)),"")</f>
        <v>3478</v>
      </c>
      <c r="AI46" s="275">
        <f>IFERROR(INDEX('Inputs (2)'!$D$66:$AL$66,MATCH(AI$7&amp;"",'Inputs (2)'!$D$2:$AL$2,0)),"")</f>
        <v>4203</v>
      </c>
    </row>
    <row r="47">
      <c r="C47" s="268" t="inlineStr">
        <is>
          <t>Estoque a valor de mercado 100% (R$ mi, fim do periodo)</t>
        </is>
      </c>
      <c r="D47" s="269" t="str">
        <f>IFERROR(INDEX('Inputs (2)'!$D$67:$AL$67,MATCH(D$7&amp;"",'Inputs (2)'!$D$2:$AL$2,0)),"")</f>
        <v/>
      </c>
      <c r="E47" s="269" t="str">
        <f>IFERROR(INDEX('Inputs (2)'!$D$67:$AL$67,MATCH(E$7&amp;"",'Inputs (2)'!$D$2:$AL$2,0)),"")</f>
        <v/>
      </c>
      <c r="F47" s="269" t="str">
        <f>IFERROR(INDEX('Inputs (2)'!$D$67:$AL$67,MATCH(F$7&amp;"",'Inputs (2)'!$D$2:$AL$2,0)),"")</f>
        <v/>
      </c>
      <c r="G47" s="269" t="str">
        <f>IFERROR(INDEX('Inputs (2)'!$D$67:$AL$67,MATCH(G$7&amp;"",'Inputs (2)'!$D$2:$AL$2,0)),"")</f>
        <v/>
      </c>
      <c r="H47" s="270" t="str">
        <f>IF(COUNT(G47)=0,"",G47)</f>
        <v/>
      </c>
      <c r="I47" s="269">
        <f>IFERROR(INDEX('Inputs (2)'!$D$67:$AL$67,MATCH(I$7&amp;"",'Inputs (2)'!$D$2:$AL$2,0)),"")</f>
        <v>2555.98886928</v>
      </c>
      <c r="J47" s="269">
        <f>IFERROR(INDEX('Inputs (2)'!$D$67:$AL$67,MATCH(J$7&amp;"",'Inputs (2)'!$D$2:$AL$2,0)),"")</f>
        <v>2721.703381054</v>
      </c>
      <c r="K47" s="269">
        <f>IFERROR(INDEX('Inputs (2)'!$D$67:$AL$67,MATCH(K$7&amp;"",'Inputs (2)'!$D$2:$AL$2,0)),"")</f>
        <v>3178.010917451</v>
      </c>
      <c r="L47" s="269">
        <f>IFERROR(INDEX('Inputs (2)'!$D$67:$AL$67,MATCH(L$7&amp;"",'Inputs (2)'!$D$2:$AL$2,0)),"")</f>
        <v>3257.24395374</v>
      </c>
      <c r="M47" s="270">
        <f>IF(COUNT(L47)=0,"",L47)</f>
        <v>3257.24395374</v>
      </c>
      <c r="N47" s="269">
        <f>IFERROR(INDEX('Inputs (2)'!$D$67:$AL$67,MATCH(N$7&amp;"",'Inputs (2)'!$D$2:$AL$2,0)),"")</f>
        <v>3310.35660503</v>
      </c>
      <c r="O47" s="269">
        <f>IFERROR(INDEX('Inputs (2)'!$D$67:$AL$67,MATCH(O$7&amp;"",'Inputs (2)'!$D$2:$AL$2,0)),"")</f>
        <v>3265.97279136</v>
      </c>
      <c r="P47" s="269">
        <f>IFERROR(INDEX('Inputs (2)'!$D$67:$AL$67,MATCH(P$7&amp;"",'Inputs (2)'!$D$2:$AL$2,0)),"")</f>
        <v>3693.24479427</v>
      </c>
      <c r="Q47" s="269">
        <f>IFERROR(INDEX('Inputs (2)'!$D$67:$AL$67,MATCH(Q$7&amp;"",'Inputs (2)'!$D$2:$AL$2,0)),"")</f>
        <v>4203.22024421</v>
      </c>
      <c r="R47" s="270">
        <f>IF(COUNT(Q47)=0,"",Q47)</f>
        <v>4203.22024421</v>
      </c>
      <c r="S47" s="269">
        <f>IFERROR(INDEX('Inputs (2)'!$D$67:$AL$67,MATCH(S$7&amp;"",'Inputs (2)'!$D$2:$AL$2,0)),"")</f>
        <v>4042.61807696</v>
      </c>
      <c r="T47" s="269">
        <f>IFERROR(INDEX('Inputs (2)'!$D$67:$AL$67,MATCH(T$7&amp;"",'Inputs (2)'!$D$2:$AL$2,0)),"")</f>
        <v>4582.7512716</v>
      </c>
      <c r="U47" s="269">
        <f>IFERROR(INDEX('Inputs (2)'!$D$67:$AL$67,MATCH(U$7&amp;"",'Inputs (2)'!$D$2:$AL$2,0)),"")</f>
        <v>5021.44869219</v>
      </c>
      <c r="V47" s="269">
        <f>IFERROR(INDEX('Inputs (2)'!$D$67:$AL$67,MATCH(V$7&amp;"",'Inputs (2)'!$D$2:$AL$2,0)),"")</f>
        <v>5146.3443553</v>
      </c>
      <c r="W47" s="270">
        <f>IF(COUNT(V47)=0,"",V47)</f>
        <v>5146.3443553</v>
      </c>
      <c r="X47" s="269">
        <f>IFERROR(INDEX('Inputs (2)'!$D$67:$AL$67,MATCH(X$7&amp;"",'Inputs (2)'!$D$2:$AL$2,0)),"")</f>
        <v>4777.623880986</v>
      </c>
      <c r="Y47" s="269">
        <f>IFERROR(INDEX('Inputs (2)'!$D$67:$AL$67,MATCH(Y$7&amp;"",'Inputs (2)'!$D$2:$AL$2,0)),"")</f>
        <v>4591.68387343</v>
      </c>
      <c r="Z47" s="269">
        <f>IFERROR(INDEX('Inputs (2)'!$D$67:$AL$67,MATCH(Z$7&amp;"",'Inputs (2)'!$D$2:$AL$2,0)),"")</f>
        <v>4491.76385823</v>
      </c>
      <c r="AA47" s="269">
        <f>IFERROR(INDEX('Inputs (2)'!$D$67:$AL$67,MATCH(AA$7&amp;"",'Inputs (2)'!$D$2:$AL$2,0)),"")</f>
        <v>4787.06097712</v>
      </c>
      <c r="AB47" s="270">
        <f>IF(COUNT(AA47)=0,"",AA47)</f>
        <v>4787.06097712</v>
      </c>
      <c r="AC47" s="269">
        <f>IFERROR(INDEX('Inputs (2)'!$D$67:$AL$67,MATCH(AC$7&amp;"",'Inputs (2)'!$D$2:$AL$2,0)),"")</f>
        <v>4457.85295483</v>
      </c>
      <c r="AD47" s="269">
        <f>IFERROR(INDEX('Inputs (2)'!$D$67:$AL$67,MATCH(AD$7&amp;"",'Inputs (2)'!$D$2:$AL$2,0)),"")</f>
        <v>4716.0300404</v>
      </c>
      <c r="AE47" s="269">
        <f>IFERROR(INDEX('Inputs (2)'!$D$67:$AL$67,MATCH(AE$7&amp;"",'Inputs (2)'!$D$2:$AL$2,0)),"")</f>
        <v>5296.30679496</v>
      </c>
      <c r="AF47" s="269">
        <f>IFERROR(INDEX('Inputs (2)'!$D$67:$AL$67,MATCH(AF$7&amp;"",'Inputs (2)'!$D$2:$AL$2,0)),"")</f>
        <v>5696.0743</v>
      </c>
      <c r="AG47" s="270">
        <f>IF(COUNT(AF47)=0,"",AF47)</f>
        <v>5696.0743</v>
      </c>
      <c r="AH47" s="270">
        <f>IFERROR(INDEX('Inputs (2)'!$D$67:$AL$67,MATCH(AH$7&amp;"",'Inputs (2)'!$D$2:$AL$2,0)),"")</f>
        <v>5177.786</v>
      </c>
      <c r="AI47" s="270">
        <f>IFERROR(INDEX('Inputs (2)'!$D$67:$AL$67,MATCH(AI$7&amp;"",'Inputs (2)'!$D$2:$AL$2,0)),"")</f>
        <v>5611.545</v>
      </c>
    </row>
    <row r="48">
      <c r="C48" s="268" t="inlineStr">
        <is>
          <t xml:space="preserve">   Unidades em estoque</t>
        </is>
      </c>
      <c r="D48" s="274" t="str">
        <f>IFERROR(INDEX('Inputs (2)'!$D$68:$AL$68,MATCH(D$7&amp;"",'Inputs (2)'!$D$2:$AL$2,0)),"")</f>
        <v/>
      </c>
      <c r="E48" s="274" t="str">
        <f>IFERROR(INDEX('Inputs (2)'!$D$68:$AL$68,MATCH(E$7&amp;"",'Inputs (2)'!$D$2:$AL$2,0)),"")</f>
        <v/>
      </c>
      <c r="F48" s="274" t="str">
        <f>IFERROR(INDEX('Inputs (2)'!$D$68:$AL$68,MATCH(F$7&amp;"",'Inputs (2)'!$D$2:$AL$2,0)),"")</f>
        <v/>
      </c>
      <c r="G48" s="274" t="str">
        <f>IFERROR(INDEX('Inputs (2)'!$D$68:$AL$68,MATCH(G$7&amp;"",'Inputs (2)'!$D$2:$AL$2,0)),"")</f>
        <v/>
      </c>
      <c r="H48" s="275" t="str">
        <f>IF(COUNT(G48)=0,"",G48)</f>
        <v/>
      </c>
      <c r="I48" s="274">
        <f>IFERROR(INDEX('Inputs (2)'!$D$68:$AL$68,MATCH(I$7&amp;"",'Inputs (2)'!$D$2:$AL$2,0)),"")</f>
        <v>13112</v>
      </c>
      <c r="J48" s="274">
        <f>IFERROR(INDEX('Inputs (2)'!$D$68:$AL$68,MATCH(J$7&amp;"",'Inputs (2)'!$D$2:$AL$2,0)),"")</f>
        <v>14045</v>
      </c>
      <c r="K48" s="274">
        <f>IFERROR(INDEX('Inputs (2)'!$D$68:$AL$68,MATCH(K$7&amp;"",'Inputs (2)'!$D$2:$AL$2,0)),"")</f>
        <v>14573</v>
      </c>
      <c r="L48" s="274">
        <f>IFERROR(INDEX('Inputs (2)'!$D$68:$AL$68,MATCH(L$7&amp;"",'Inputs (2)'!$D$2:$AL$2,0)),"")</f>
        <v>14627</v>
      </c>
      <c r="M48" s="275">
        <f>IF(COUNT(L48)=0,"",L48)</f>
        <v>14627</v>
      </c>
      <c r="N48" s="274">
        <f>IFERROR(INDEX('Inputs (2)'!$D$68:$AL$68,MATCH(N$7&amp;"",'Inputs (2)'!$D$2:$AL$2,0)),"")</f>
        <v>14513</v>
      </c>
      <c r="O48" s="274">
        <f>IFERROR(INDEX('Inputs (2)'!$D$68:$AL$68,MATCH(O$7&amp;"",'Inputs (2)'!$D$2:$AL$2,0)),"")</f>
        <v>13676</v>
      </c>
      <c r="P48" s="274">
        <f>IFERROR(INDEX('Inputs (2)'!$D$68:$AL$68,MATCH(P$7&amp;"",'Inputs (2)'!$D$2:$AL$2,0)),"")</f>
        <v>14386</v>
      </c>
      <c r="Q48" s="274">
        <f>IFERROR(INDEX('Inputs (2)'!$D$68:$AL$68,MATCH(Q$7&amp;"",'Inputs (2)'!$D$2:$AL$2,0)),"")</f>
        <v>15781</v>
      </c>
      <c r="R48" s="275">
        <f>IF(COUNT(Q48)=0,"",Q48)</f>
        <v>15781</v>
      </c>
      <c r="S48" s="274">
        <f>IFERROR(INDEX('Inputs (2)'!$D$68:$AL$68,MATCH(S$7&amp;"",'Inputs (2)'!$D$2:$AL$2,0)),"")</f>
        <v>15224</v>
      </c>
      <c r="T48" s="274">
        <f>IFERROR(INDEX('Inputs (2)'!$D$68:$AL$68,MATCH(T$7&amp;"",'Inputs (2)'!$D$2:$AL$2,0)),"")</f>
        <v>16923</v>
      </c>
      <c r="U48" s="274">
        <f>IFERROR(INDEX('Inputs (2)'!$D$68:$AL$68,MATCH(U$7&amp;"",'Inputs (2)'!$D$2:$AL$2,0)),"")</f>
        <v>17617</v>
      </c>
      <c r="V48" s="274">
        <f>IFERROR(INDEX('Inputs (2)'!$D$68:$AL$68,MATCH(V$7&amp;"",'Inputs (2)'!$D$2:$AL$2,0)),"")</f>
        <v>17734</v>
      </c>
      <c r="W48" s="275">
        <f>IF(COUNT(V48)=0,"",V48)</f>
        <v>17734</v>
      </c>
      <c r="X48" s="274">
        <f>IFERROR(INDEX('Inputs (2)'!$D$68:$AL$68,MATCH(X$7&amp;"",'Inputs (2)'!$D$2:$AL$2,0)),"")</f>
        <v>15747</v>
      </c>
      <c r="Y48" s="274">
        <f>IFERROR(INDEX('Inputs (2)'!$D$68:$AL$68,MATCH(Y$7&amp;"",'Inputs (2)'!$D$2:$AL$2,0)),"")</f>
        <v>14580</v>
      </c>
      <c r="Z48" s="274">
        <f>IFERROR(INDEX('Inputs (2)'!$D$68:$AL$68,MATCH(Z$7&amp;"",'Inputs (2)'!$D$2:$AL$2,0)),"")</f>
        <v>14121</v>
      </c>
      <c r="AA48" s="274">
        <f>IFERROR(INDEX('Inputs (2)'!$D$68:$AL$68,MATCH(AA$7&amp;"",'Inputs (2)'!$D$2:$AL$2,0)),"")</f>
        <v>14730</v>
      </c>
      <c r="AB48" s="275">
        <f>IF(COUNT(AA48)=0,"",AA48)</f>
        <v>14730</v>
      </c>
      <c r="AC48" s="274">
        <f>IFERROR(INDEX('Inputs (2)'!$D$68:$AL$68,MATCH(AC$7&amp;"",'Inputs (2)'!$D$2:$AL$2,0)),"")</f>
        <v>13801</v>
      </c>
      <c r="AD48" s="274">
        <f>IFERROR(INDEX('Inputs (2)'!$D$68:$AL$68,MATCH(AD$7&amp;"",'Inputs (2)'!$D$2:$AL$2,0)),"")</f>
        <v>13709</v>
      </c>
      <c r="AE48" s="274">
        <f>IFERROR(INDEX('Inputs (2)'!$D$68:$AL$68,MATCH(AE$7&amp;"",'Inputs (2)'!$D$2:$AL$2,0)),"")</f>
        <v>15284</v>
      </c>
      <c r="AF48" s="274">
        <f>IFERROR(INDEX('Inputs (2)'!$D$68:$AL$68,MATCH(AF$7&amp;"",'Inputs (2)'!$D$2:$AL$2,0)),"")</f>
        <v>15844</v>
      </c>
      <c r="AG48" s="275">
        <f>IF(COUNT(AF48)=0,"",AF48)</f>
        <v>15844</v>
      </c>
      <c r="AH48" s="275">
        <f>IFERROR(INDEX('Inputs (2)'!$D$68:$AL$68,MATCH(AH$7&amp;"",'Inputs (2)'!$D$2:$AL$2,0)),"")</f>
        <v>14120</v>
      </c>
      <c r="AI48" s="275">
        <f>IFERROR(INDEX('Inputs (2)'!$D$68:$AL$68,MATCH(AI$7&amp;"",'Inputs (2)'!$D$2:$AL$2,0)),"")</f>
        <v>14716</v>
      </c>
    </row>
    <row r="49">
      <c r="C49" s="268" t="inlineStr">
        <is>
          <t xml:space="preserve">   Estoque / vendas 100% anualizadas (anos)</t>
        </is>
      </c>
      <c r="D49" s="276" t="str">
        <f>IFERROR(D47/(D37*4),"")</f>
        <v/>
      </c>
      <c r="E49" s="276" t="str">
        <f>IFERROR(E47/(E37*4),"")</f>
        <v/>
      </c>
      <c r="F49" s="276" t="str">
        <f>IFERROR(F47/(F37*4),"")</f>
        <v/>
      </c>
      <c r="G49" s="276" t="str">
        <f>IFERROR(G47/(G37*4),"")</f>
        <v/>
      </c>
      <c r="H49" s="277" t="n"/>
      <c r="I49" s="276">
        <f>IFERROR(I47/(I37*4),"")</f>
        <v>1.24085732883895</v>
      </c>
      <c r="J49" s="276">
        <f>IFERROR(J47/(J37*4),"")</f>
        <v>1.10729105689622</v>
      </c>
      <c r="K49" s="276">
        <f>IFERROR(K47/(K37*4),"")</f>
        <v>1.23616431949912</v>
      </c>
      <c r="L49" s="276">
        <f>IFERROR(L47/(L37*4),"")</f>
        <v>1.21947071525125</v>
      </c>
      <c r="M49" s="277" t="n"/>
      <c r="N49" s="276">
        <f>IFERROR(N47/(N37*4),"")</f>
        <v>1.33065430147763</v>
      </c>
      <c r="O49" s="276">
        <f>IFERROR(O47/(O37*4),"")</f>
        <v>0.977027092207345</v>
      </c>
      <c r="P49" s="276">
        <f>IFERROR(P47/(P37*4),"")</f>
        <v>1.09028253853829</v>
      </c>
      <c r="Q49" s="276">
        <f>IFERROR(Q47/(Q37*4),"")</f>
        <v>1.51332626703808</v>
      </c>
      <c r="R49" s="277" t="n"/>
      <c r="S49" s="276">
        <f>IFERROR(S47/(S37*4),"")</f>
        <v>1.25803501994449</v>
      </c>
      <c r="T49" s="276">
        <f>IFERROR(T47/(T37*4),"")</f>
        <v>1.19033533150041</v>
      </c>
      <c r="U49" s="276">
        <f>IFERROR(U47/(U37*4),"")</f>
        <v>1.24961802381164</v>
      </c>
      <c r="V49" s="276">
        <f>IFERROR(V47/(V37*4),"")</f>
        <v>1.05402697567881</v>
      </c>
      <c r="W49" s="277" t="n"/>
      <c r="X49" s="276">
        <f>IFERROR(X47/(X37*4),"")</f>
        <v>0.913385637563563</v>
      </c>
      <c r="Y49" s="276">
        <f>IFERROR(Y47/(Y37*4),"")</f>
        <v>0.709130877415805</v>
      </c>
      <c r="Z49" s="276">
        <f>IFERROR(Z47/(Z37*4),"")</f>
        <v>0.636177705689257</v>
      </c>
      <c r="AA49" s="276">
        <f>IFERROR(AA47/(AA37*4),"")</f>
        <v>0.757497656318813</v>
      </c>
      <c r="AB49" s="277" t="n"/>
      <c r="AC49" s="276">
        <f>IFERROR(AC47/(AC37*4),"")</f>
        <v>0.840152649777499</v>
      </c>
      <c r="AD49" s="276">
        <f>IFERROR(AD47/(AD37*4),"")</f>
        <v>0.702914637798863</v>
      </c>
      <c r="AE49" s="276">
        <f>IFERROR(AE47/(AE37*4),"")</f>
        <v>0.806475279730541</v>
      </c>
      <c r="AF49" s="276">
        <f>IFERROR(AF47/(AF37*4),"")</f>
        <v>0.938389469816679</v>
      </c>
      <c r="AG49" s="277" t="n"/>
      <c r="AH49" s="277">
        <f>IFERROR(AH47/(AH37*4),"")</f>
        <v>0.818254886343523</v>
      </c>
      <c r="AI49" s="277">
        <f>IFERROR(AI47/(AI37*4),"")</f>
        <v>0.847712019210724</v>
      </c>
    </row>
    <row r="50">
      <c r="C50" s="268" t="inlineStr">
        <is>
          <t>Land bank 100% (R$ mi, fim do periodo)</t>
        </is>
      </c>
      <c r="D50" s="274" t="str">
        <f>IFERROR(INDEX('Inputs (2)'!$D$69:$AL$69,MATCH(D$7&amp;"",'Inputs (2)'!$D$2:$AL$2,0)),"")</f>
        <v/>
      </c>
      <c r="E50" s="274" t="str">
        <f>IFERROR(INDEX('Inputs (2)'!$D$69:$AL$69,MATCH(E$7&amp;"",'Inputs (2)'!$D$2:$AL$2,0)),"")</f>
        <v/>
      </c>
      <c r="F50" s="274" t="str">
        <f>IFERROR(INDEX('Inputs (2)'!$D$69:$AL$69,MATCH(F$7&amp;"",'Inputs (2)'!$D$2:$AL$2,0)),"")</f>
        <v/>
      </c>
      <c r="G50" s="274" t="str">
        <f>IFERROR(INDEX('Inputs (2)'!$D$69:$AL$69,MATCH(G$7&amp;"",'Inputs (2)'!$D$2:$AL$2,0)),"")</f>
        <v/>
      </c>
      <c r="H50" s="275" t="str">
        <f>IF(COUNT(G50)=0,"",G50)</f>
        <v/>
      </c>
      <c r="I50" s="274">
        <f>IFERROR(INDEX('Inputs (2)'!$D$69:$AL$69,MATCH(I$7&amp;"",'Inputs (2)'!$D$2:$AL$2,0)),"")</f>
        <v>24936.828786436</v>
      </c>
      <c r="J50" s="274">
        <f>IFERROR(INDEX('Inputs (2)'!$D$69:$AL$69,MATCH(J$7&amp;"",'Inputs (2)'!$D$2:$AL$2,0)),"")</f>
        <v>26486.851593264</v>
      </c>
      <c r="K50" s="274">
        <f>IFERROR(INDEX('Inputs (2)'!$D$69:$AL$69,MATCH(K$7&amp;"",'Inputs (2)'!$D$2:$AL$2,0)),"")</f>
        <v>25474.474688302</v>
      </c>
      <c r="L50" s="274">
        <f>IFERROR(INDEX('Inputs (2)'!$D$69:$AL$69,MATCH(L$7&amp;"",'Inputs (2)'!$D$2:$AL$2,0)),"")</f>
        <v>26806.721715994</v>
      </c>
      <c r="M50" s="275">
        <f>IF(COUNT(L50)=0,"",L50)</f>
        <v>26806.721715994</v>
      </c>
      <c r="N50" s="274">
        <f>IFERROR(INDEX('Inputs (2)'!$D$69:$AL$69,MATCH(N$7&amp;"",'Inputs (2)'!$D$2:$AL$2,0)),"")</f>
        <v>27797.920787737</v>
      </c>
      <c r="O50" s="274">
        <f>IFERROR(INDEX('Inputs (2)'!$D$69:$AL$69,MATCH(O$7&amp;"",'Inputs (2)'!$D$2:$AL$2,0)),"")</f>
        <v>28203.972840656</v>
      </c>
      <c r="P50" s="274">
        <f>IFERROR(INDEX('Inputs (2)'!$D$69:$AL$69,MATCH(P$7&amp;"",'Inputs (2)'!$D$2:$AL$2,0)),"")</f>
        <v>28896.880767143</v>
      </c>
      <c r="Q50" s="274">
        <f>IFERROR(INDEX('Inputs (2)'!$D$69:$AL$69,MATCH(Q$7&amp;"",'Inputs (2)'!$D$2:$AL$2,0)),"")</f>
        <v>32458.539903538</v>
      </c>
      <c r="R50" s="275">
        <f>IF(COUNT(Q50)=0,"",Q50)</f>
        <v>32458.539903538</v>
      </c>
      <c r="S50" s="274">
        <f>IFERROR(INDEX('Inputs (2)'!$D$69:$AL$69,MATCH(S$7&amp;"",'Inputs (2)'!$D$2:$AL$2,0)),"")</f>
        <v>32505.330711433</v>
      </c>
      <c r="T50" s="274">
        <f>IFERROR(INDEX('Inputs (2)'!$D$69:$AL$69,MATCH(T$7&amp;"",'Inputs (2)'!$D$2:$AL$2,0)),"")</f>
        <v>35133.506181113</v>
      </c>
      <c r="U50" s="274">
        <f>IFERROR(INDEX('Inputs (2)'!$D$69:$AL$69,MATCH(U$7&amp;"",'Inputs (2)'!$D$2:$AL$2,0)),"")</f>
        <v>35769.587296003</v>
      </c>
      <c r="V50" s="274">
        <f>IFERROR(INDEX('Inputs (2)'!$D$69:$AL$69,MATCH(V$7&amp;"",'Inputs (2)'!$D$2:$AL$2,0)),"")</f>
        <v>36301.444675461</v>
      </c>
      <c r="W50" s="275">
        <f>IF(COUNT(V50)=0,"",V50)</f>
        <v>36301.444675461</v>
      </c>
      <c r="X50" s="274">
        <f>IFERROR(INDEX('Inputs (2)'!$D$69:$AL$69,MATCH(X$7&amp;"",'Inputs (2)'!$D$2:$AL$2,0)),"")</f>
        <v>37282.561035461</v>
      </c>
      <c r="Y50" s="274">
        <f>IFERROR(INDEX('Inputs (2)'!$D$69:$AL$69,MATCH(Y$7&amp;"",'Inputs (2)'!$D$2:$AL$2,0)),"")</f>
        <v>39678.34802647</v>
      </c>
      <c r="Z50" s="274">
        <f>IFERROR(INDEX('Inputs (2)'!$D$69:$AL$69,MATCH(Z$7&amp;"",'Inputs (2)'!$D$2:$AL$2,0)),"")</f>
        <v>43238.92042152</v>
      </c>
      <c r="AA50" s="274">
        <f>IFERROR(INDEX('Inputs (2)'!$D$69:$AL$69,MATCH(AA$7&amp;"",'Inputs (2)'!$D$2:$AL$2,0)),"")</f>
        <v>46239.914401028</v>
      </c>
      <c r="AB50" s="275">
        <f>IF(COUNT(AA50)=0,"",AA50)</f>
        <v>46239.914401028</v>
      </c>
      <c r="AC50" s="274">
        <f>IFERROR(INDEX('Inputs (2)'!$D$69:$AL$69,MATCH(AC$7&amp;"",'Inputs (2)'!$D$2:$AL$2,0)),"")</f>
        <v>46253.335528174</v>
      </c>
      <c r="AD50" s="274">
        <f>IFERROR(INDEX('Inputs (2)'!$D$69:$AL$69,MATCH(AD$7&amp;"",'Inputs (2)'!$D$2:$AL$2,0)),"")</f>
        <v>49901.268066826</v>
      </c>
      <c r="AE50" s="274">
        <f>IFERROR(INDEX('Inputs (2)'!$D$69:$AL$69,MATCH(AE$7&amp;"",'Inputs (2)'!$D$2:$AL$2,0)),"")</f>
        <v>51251.929</v>
      </c>
      <c r="AF50" s="274">
        <f>IFERROR(INDEX('Inputs (2)'!$D$69:$AL$69,MATCH(AF$7&amp;"",'Inputs (2)'!$D$2:$AL$2,0)),"")</f>
        <v>58452.2642</v>
      </c>
      <c r="AG50" s="275">
        <f>IF(COUNT(AF50)=0,"",AF50)</f>
        <v>58452.2642</v>
      </c>
      <c r="AH50" s="275">
        <f>IFERROR(INDEX('Inputs (2)'!$D$69:$AL$69,MATCH(AH$7&amp;"",'Inputs (2)'!$D$2:$AL$2,0)),"")</f>
        <v>59955.7353</v>
      </c>
      <c r="AI50" s="275">
        <f>IFERROR(INDEX('Inputs (2)'!$D$69:$AL$69,MATCH(AI$7&amp;"",'Inputs (2)'!$D$2:$AL$2,0)),"")</f>
        <v>63148.5697</v>
      </c>
    </row>
    <row r="51">
      <c r="C51" s="268" t="inlineStr">
        <is>
          <t xml:space="preserve">   Land bank - unidades</t>
        </is>
      </c>
      <c r="D51" s="274" t="str">
        <f>IFERROR(INDEX('Inputs (2)'!$D$70:$AL$70,MATCH(D$7&amp;"",'Inputs (2)'!$D$2:$AL$2,0)),"")</f>
        <v/>
      </c>
      <c r="E51" s="274" t="str">
        <f>IFERROR(INDEX('Inputs (2)'!$D$70:$AL$70,MATCH(E$7&amp;"",'Inputs (2)'!$D$2:$AL$2,0)),"")</f>
        <v/>
      </c>
      <c r="F51" s="274" t="str">
        <f>IFERROR(INDEX('Inputs (2)'!$D$70:$AL$70,MATCH(F$7&amp;"",'Inputs (2)'!$D$2:$AL$2,0)),"")</f>
        <v/>
      </c>
      <c r="G51" s="274" t="str">
        <f>IFERROR(INDEX('Inputs (2)'!$D$70:$AL$70,MATCH(G$7&amp;"",'Inputs (2)'!$D$2:$AL$2,0)),"")</f>
        <v/>
      </c>
      <c r="H51" s="275" t="str">
        <f>IF(COUNT(G51)=0,"",G51)</f>
        <v/>
      </c>
      <c r="I51" s="274">
        <f>IFERROR(INDEX('Inputs (2)'!$D$70:$AL$70,MATCH(I$7&amp;"",'Inputs (2)'!$D$2:$AL$2,0)),"")</f>
        <v>144223</v>
      </c>
      <c r="J51" s="274">
        <f>IFERROR(INDEX('Inputs (2)'!$D$70:$AL$70,MATCH(J$7&amp;"",'Inputs (2)'!$D$2:$AL$2,0)),"")</f>
        <v>151357</v>
      </c>
      <c r="K51" s="274">
        <f>IFERROR(INDEX('Inputs (2)'!$D$70:$AL$70,MATCH(K$7&amp;"",'Inputs (2)'!$D$2:$AL$2,0)),"")</f>
        <v>147702</v>
      </c>
      <c r="L51" s="274">
        <f>IFERROR(INDEX('Inputs (2)'!$D$70:$AL$70,MATCH(L$7&amp;"",'Inputs (2)'!$D$2:$AL$2,0)),"")</f>
        <v>151744</v>
      </c>
      <c r="M51" s="275">
        <f>IF(COUNT(L51)=0,"",L51)</f>
        <v>151744</v>
      </c>
      <c r="N51" s="274">
        <f>IFERROR(INDEX('Inputs (2)'!$D$70:$AL$70,MATCH(N$7&amp;"",'Inputs (2)'!$D$2:$AL$2,0)),"")</f>
        <v>156004</v>
      </c>
      <c r="O51" s="274">
        <f>IFERROR(INDEX('Inputs (2)'!$D$70:$AL$70,MATCH(O$7&amp;"",'Inputs (2)'!$D$2:$AL$2,0)),"")</f>
        <v>156148</v>
      </c>
      <c r="P51" s="274">
        <f>IFERROR(INDEX('Inputs (2)'!$D$70:$AL$70,MATCH(P$7&amp;"",'Inputs (2)'!$D$2:$AL$2,0)),"")</f>
        <v>158073</v>
      </c>
      <c r="Q51" s="274">
        <f>IFERROR(INDEX('Inputs (2)'!$D$70:$AL$70,MATCH(Q$7&amp;"",'Inputs (2)'!$D$2:$AL$2,0)),"")</f>
        <v>170693</v>
      </c>
      <c r="R51" s="275">
        <f>IF(COUNT(Q51)=0,"",Q51)</f>
        <v>170693</v>
      </c>
      <c r="S51" s="274">
        <f>IFERROR(INDEX('Inputs (2)'!$D$70:$AL$70,MATCH(S$7&amp;"",'Inputs (2)'!$D$2:$AL$2,0)),"")</f>
        <v>169819</v>
      </c>
      <c r="T51" s="274">
        <f>IFERROR(INDEX('Inputs (2)'!$D$70:$AL$70,MATCH(T$7&amp;"",'Inputs (2)'!$D$2:$AL$2,0)),"")</f>
        <v>179670</v>
      </c>
      <c r="U51" s="274">
        <f>IFERROR(INDEX('Inputs (2)'!$D$70:$AL$70,MATCH(U$7&amp;"",'Inputs (2)'!$D$2:$AL$2,0)),"")</f>
        <v>181036</v>
      </c>
      <c r="V51" s="274">
        <f>IFERROR(INDEX('Inputs (2)'!$D$70:$AL$70,MATCH(V$7&amp;"",'Inputs (2)'!$D$2:$AL$2,0)),"")</f>
        <v>181519</v>
      </c>
      <c r="W51" s="275">
        <f>IF(COUNT(V51)=0,"",V51)</f>
        <v>181519</v>
      </c>
      <c r="X51" s="274">
        <f>IFERROR(INDEX('Inputs (2)'!$D$70:$AL$70,MATCH(X$7&amp;"",'Inputs (2)'!$D$2:$AL$2,0)),"")</f>
        <v>186181</v>
      </c>
      <c r="Y51" s="274">
        <f>IFERROR(INDEX('Inputs (2)'!$D$70:$AL$70,MATCH(Y$7&amp;"",'Inputs (2)'!$D$2:$AL$2,0)),"")</f>
        <v>195189</v>
      </c>
      <c r="Z51" s="274">
        <f>IFERROR(INDEX('Inputs (2)'!$D$70:$AL$70,MATCH(Z$7&amp;"",'Inputs (2)'!$D$2:$AL$2,0)),"")</f>
        <v>205534</v>
      </c>
      <c r="AA51" s="274">
        <f>IFERROR(INDEX('Inputs (2)'!$D$70:$AL$70,MATCH(AA$7&amp;"",'Inputs (2)'!$D$2:$AL$2,0)),"")</f>
        <v>209504</v>
      </c>
      <c r="AB51" s="275">
        <f>IF(COUNT(AA51)=0,"",AA51)</f>
        <v>209504</v>
      </c>
      <c r="AC51" s="274">
        <f>IFERROR(INDEX('Inputs (2)'!$D$70:$AL$70,MATCH(AC$7&amp;"",'Inputs (2)'!$D$2:$AL$2,0)),"")</f>
        <v>198296</v>
      </c>
      <c r="AD51" s="274">
        <f>IFERROR(INDEX('Inputs (2)'!$D$70:$AL$70,MATCH(AD$7&amp;"",'Inputs (2)'!$D$2:$AL$2,0)),"")</f>
        <v>217749</v>
      </c>
      <c r="AE51" s="274">
        <f>IFERROR(INDEX('Inputs (2)'!$D$70:$AL$70,MATCH(AE$7&amp;"",'Inputs (2)'!$D$2:$AL$2,0)),"")</f>
        <v>220267</v>
      </c>
      <c r="AF51" s="274">
        <f>IFERROR(INDEX('Inputs (2)'!$D$70:$AL$70,MATCH(AF$7&amp;"",'Inputs (2)'!$D$2:$AL$2,0)),"")</f>
        <v>241470</v>
      </c>
      <c r="AG51" s="275">
        <f>IF(COUNT(AF51)=0,"",AF51)</f>
        <v>241470</v>
      </c>
      <c r="AH51" s="275">
        <f>IFERROR(INDEX('Inputs (2)'!$D$70:$AL$70,MATCH(AH$7&amp;"",'Inputs (2)'!$D$2:$AL$2,0)),"")</f>
        <v>245749</v>
      </c>
      <c r="AI51" s="275">
        <f>IFERROR(INDEX('Inputs (2)'!$D$70:$AL$70,MATCH(AI$7&amp;"",'Inputs (2)'!$D$2:$AL$2,0)),"")</f>
        <v>254458</v>
      </c>
    </row>
    <row r="52" hidden="1" outlineLevel="1" customFormat="1" s="43">
      <c r="A52" s="36" t="n"/>
      <c r="B52" s="37" t="n"/>
      <c r="C52" s="45" t="n"/>
      <c r="D52" s="39" t="n"/>
      <c r="E52" s="39" t="n"/>
      <c r="F52" s="39" t="n"/>
      <c r="G52" s="39" t="n"/>
      <c r="H52" s="39" t="n"/>
      <c r="I52" s="39" t="n"/>
      <c r="J52" s="39" t="n"/>
      <c r="K52" s="39" t="n"/>
      <c r="L52" s="39" t="n"/>
      <c r="M52" s="39" t="n"/>
      <c r="N52" s="39" t="n"/>
      <c r="O52" s="39" t="n"/>
      <c r="P52" s="39" t="n"/>
      <c r="Q52" s="39" t="n"/>
      <c r="R52" s="39" t="n"/>
      <c r="S52" s="39" t="n"/>
      <c r="T52" s="39" t="n"/>
      <c r="U52" s="39" t="n"/>
      <c r="V52" s="39" t="n"/>
      <c r="W52" s="39" t="n"/>
      <c r="X52" s="39" t="n"/>
      <c r="Y52" s="39" t="n"/>
      <c r="Z52" s="39" t="n"/>
      <c r="AA52" s="39" t="n"/>
      <c r="AB52" s="39" t="n"/>
      <c r="AC52" s="39" t="n"/>
      <c r="AD52" s="39" t="n"/>
      <c r="AE52" s="39" t="n"/>
      <c r="AF52" s="39" t="n"/>
      <c r="AG52" s="39" t="n"/>
      <c r="AH52" s="39" t="n"/>
      <c r="AI52" s="39" t="n"/>
      <c r="AJ52" s="39" t="n"/>
      <c r="AK52" s="39" t="n"/>
      <c r="AL52" s="39" t="n"/>
      <c r="AM52" s="39" t="n"/>
      <c r="AN52" s="39" t="n"/>
      <c r="AO52" s="39" t="n"/>
      <c r="AP52" s="39" t="n"/>
      <c r="AQ52" s="39" t="n"/>
      <c r="AR52" s="39" t="n"/>
      <c r="AS52" s="39" t="n"/>
      <c r="AT52" s="39" t="n"/>
      <c r="AU52" s="39" t="n"/>
      <c r="AV52" s="39" t="n"/>
      <c r="AW52" s="39" t="n"/>
      <c r="AX52" s="39" t="n"/>
      <c r="AY52" s="39" t="n"/>
      <c r="AZ52" s="39" t="n"/>
      <c r="BA52" s="39" t="n"/>
      <c r="BB52" s="39" t="n"/>
      <c r="BC52" s="39" t="n"/>
      <c r="BD52" s="39" t="n"/>
      <c r="BE52" s="39" t="n"/>
      <c r="BF52" s="39" t="n"/>
      <c r="BG52" s="39" t="n"/>
      <c r="BH52" s="39" t="n"/>
      <c r="BI52" s="39" t="n"/>
      <c r="BJ52" s="39" t="n"/>
      <c r="BK52" s="39" t="n"/>
      <c r="BL52" s="39" t="n"/>
      <c r="BM52" s="39" t="n"/>
      <c r="BN52" s="39" t="n"/>
      <c r="BO52" s="39" t="n"/>
      <c r="BP52" s="39" t="n"/>
      <c r="BQ52" s="39" t="n"/>
      <c r="BR52" s="39" t="n"/>
      <c r="BS52" s="39" t="n"/>
      <c r="BT52" s="39" t="n"/>
      <c r="BU52" s="39" t="n"/>
      <c r="BV52" s="39" t="n"/>
      <c r="BW52" s="39" t="n"/>
      <c r="BX52" s="39" t="n"/>
      <c r="BY52" s="39" t="n"/>
      <c r="BZ52" s="39" t="n"/>
      <c r="CA52" s="39" t="n"/>
      <c r="CB52" s="39" t="n"/>
      <c r="CC52" s="39" t="n"/>
      <c r="CD52" s="39" t="n"/>
      <c r="CE52" s="39" t="n"/>
      <c r="CF52" s="39" t="n"/>
      <c r="CG52" s="39" t="n"/>
      <c r="CH52" s="39" t="n"/>
      <c r="CI52" s="39" t="n"/>
      <c r="CJ52" s="39" t="n"/>
      <c r="CK52" s="39" t="n"/>
      <c r="CL52" s="39" t="n"/>
      <c r="CM52" s="39" t="n"/>
      <c r="CN52" s="39" t="n"/>
      <c r="CO52" s="39" t="n"/>
      <c r="CP52" s="39" t="n"/>
      <c r="CQ52" s="39" t="n"/>
      <c r="CR52" s="39" t="n"/>
      <c r="CS52" s="39" t="n"/>
      <c r="CT52" s="39" t="n"/>
      <c r="CU52" s="39" t="n"/>
      <c r="CV52" s="39" t="n"/>
      <c r="CW52" s="39" t="n"/>
      <c r="CX52" s="39" t="n"/>
      <c r="CY52" s="39" t="n"/>
    </row>
    <row r="53" hidden="1" outlineLevel="1" customFormat="1" s="43">
      <c r="A53" s="36" t="n"/>
      <c r="B53" s="37" t="n"/>
      <c r="C53" s="45" t="n"/>
      <c r="D53" s="39" t="n"/>
      <c r="E53" s="39" t="n"/>
      <c r="F53" s="39" t="n"/>
      <c r="G53" s="39" t="n"/>
      <c r="H53" s="39" t="n"/>
      <c r="I53" s="39" t="n"/>
      <c r="J53" s="39" t="n"/>
      <c r="K53" s="39" t="n"/>
      <c r="L53" s="39" t="n"/>
      <c r="M53" s="39" t="n"/>
      <c r="N53" s="39" t="n"/>
      <c r="O53" s="39" t="n"/>
      <c r="P53" s="39" t="n"/>
      <c r="Q53" s="39" t="n"/>
      <c r="R53" s="39" t="n"/>
      <c r="S53" s="39" t="n"/>
      <c r="T53" s="39" t="n"/>
      <c r="U53" s="39" t="n"/>
      <c r="V53" s="39" t="n"/>
      <c r="W53" s="39" t="n"/>
      <c r="X53" s="39" t="n"/>
      <c r="Y53" s="39" t="n"/>
      <c r="Z53" s="39" t="n"/>
      <c r="AA53" s="39" t="n"/>
      <c r="AB53" s="39" t="n"/>
      <c r="AC53" s="39" t="n"/>
      <c r="AD53" s="39" t="n"/>
      <c r="AE53" s="39" t="n"/>
      <c r="AF53" s="39" t="n"/>
      <c r="AG53" s="39" t="n"/>
      <c r="AH53" s="39" t="n"/>
      <c r="AI53" s="39" t="n"/>
      <c r="AJ53" s="39" t="n"/>
      <c r="AK53" s="39" t="n"/>
      <c r="AL53" s="39" t="n"/>
      <c r="AM53" s="39" t="n"/>
      <c r="AN53" s="39" t="n"/>
      <c r="AO53" s="39" t="n"/>
      <c r="AP53" s="39" t="n"/>
      <c r="AQ53" s="39" t="n"/>
      <c r="AR53" s="39" t="n"/>
      <c r="AS53" s="39" t="n"/>
      <c r="AT53" s="39" t="n"/>
      <c r="AU53" s="39" t="n"/>
      <c r="AV53" s="39" t="n"/>
      <c r="AW53" s="39" t="n"/>
      <c r="AX53" s="39" t="n"/>
      <c r="AY53" s="39" t="n"/>
      <c r="AZ53" s="39" t="n"/>
      <c r="BA53" s="39" t="n"/>
      <c r="BB53" s="39" t="n"/>
      <c r="BC53" s="39" t="n"/>
      <c r="BD53" s="39" t="n"/>
      <c r="BE53" s="39" t="n"/>
      <c r="BF53" s="39" t="n"/>
      <c r="BG53" s="39" t="n"/>
      <c r="BH53" s="39" t="n"/>
      <c r="BI53" s="39" t="n"/>
      <c r="BJ53" s="39" t="n"/>
      <c r="BK53" s="39" t="n"/>
      <c r="BL53" s="39" t="n"/>
      <c r="BM53" s="39" t="n"/>
      <c r="BN53" s="39" t="n"/>
      <c r="BO53" s="39" t="n"/>
      <c r="BP53" s="39" t="n"/>
      <c r="BQ53" s="39" t="n"/>
      <c r="BR53" s="39" t="n"/>
      <c r="BS53" s="39" t="n"/>
      <c r="BT53" s="39" t="n"/>
      <c r="BU53" s="39" t="n"/>
      <c r="BV53" s="39" t="n"/>
      <c r="BW53" s="39" t="n"/>
      <c r="BX53" s="39" t="n"/>
      <c r="BY53" s="39" t="n"/>
      <c r="BZ53" s="39" t="n"/>
      <c r="CA53" s="39" t="n"/>
      <c r="CB53" s="39" t="n"/>
      <c r="CC53" s="39" t="n"/>
      <c r="CD53" s="39" t="n"/>
      <c r="CE53" s="39" t="n"/>
      <c r="CF53" s="39" t="n"/>
      <c r="CG53" s="39" t="n"/>
      <c r="CH53" s="39" t="n"/>
      <c r="CI53" s="39" t="n"/>
      <c r="CJ53" s="39" t="n"/>
      <c r="CK53" s="39" t="n"/>
      <c r="CL53" s="39" t="n"/>
      <c r="CM53" s="39" t="n"/>
      <c r="CN53" s="39" t="n"/>
      <c r="CO53" s="39" t="n"/>
      <c r="CP53" s="39" t="n"/>
      <c r="CQ53" s="39" t="n"/>
      <c r="CR53" s="39" t="n"/>
      <c r="CS53" s="39" t="n"/>
      <c r="CT53" s="39" t="n"/>
      <c r="CU53" s="39" t="n"/>
      <c r="CV53" s="39" t="n"/>
      <c r="CW53" s="39" t="n"/>
      <c r="CX53" s="39" t="n"/>
      <c r="CY53" s="39" t="n"/>
    </row>
    <row r="54" collapsed="1">
      <c r="C54" s="13" t="inlineStr">
        <is>
          <t>COGS (cash)</t>
        </is>
      </c>
      <c r="D54" s="46" t="n"/>
      <c r="E54" s="46" t="n"/>
      <c r="F54" s="46" t="n"/>
      <c r="G54" s="46" t="n"/>
      <c r="H54" s="12" t="n"/>
      <c r="I54" s="46">
        <f>'Inputs (2)'!D5</f>
        <v>-267.002297479</v>
      </c>
      <c r="J54" s="46">
        <f>'Inputs (2)'!E5</f>
        <v>-263.110639854</v>
      </c>
      <c r="K54" s="46">
        <f>'Inputs (2)'!F5</f>
        <v>-291.574268505</v>
      </c>
      <c r="L54" s="46">
        <f>'Inputs (2)'!G5</f>
        <v>-324.610794161</v>
      </c>
      <c r="M54" s="12">
        <f>'Inputs (2)'!H5</f>
        <v>-1146.297999999</v>
      </c>
      <c r="N54" s="46">
        <f>'Inputs (2)'!I5</f>
        <v>-303.106</v>
      </c>
      <c r="O54" s="46">
        <f>'Inputs (2)'!J5</f>
        <v>-403.298</v>
      </c>
      <c r="P54" s="46">
        <f>'Inputs (2)'!K5</f>
        <v>-379.234</v>
      </c>
      <c r="Q54" s="46">
        <f>'Inputs (2)'!L5</f>
        <v>-343.252</v>
      </c>
      <c r="R54" s="12">
        <f>'Inputs (2)'!M5</f>
        <v>-1428.89</v>
      </c>
      <c r="S54" s="46">
        <f>'Inputs (2)'!N5</f>
        <v>-359.425</v>
      </c>
      <c r="T54" s="46">
        <f>'Inputs (2)'!O5</f>
        <v>-400.227</v>
      </c>
      <c r="U54" s="46">
        <f>'Inputs (2)'!P5</f>
        <v>-365.299</v>
      </c>
      <c r="V54" s="46">
        <f>'Inputs (2)'!Q5</f>
        <v>-425.257</v>
      </c>
      <c r="W54" s="12">
        <f>'Inputs (2)'!R5</f>
        <v>-1550.208</v>
      </c>
      <c r="X54" s="46">
        <f>'Inputs (2)'!S5</f>
        <v>-428.84</v>
      </c>
      <c r="Y54" s="46">
        <f>'Inputs (2)'!T5</f>
        <v>-541.592</v>
      </c>
      <c r="Z54" s="46">
        <f>'Inputs (2)'!U5</f>
        <v>-577.881</v>
      </c>
      <c r="AA54" s="46">
        <f>'Inputs (2)'!V5</f>
        <v>-581.814</v>
      </c>
      <c r="AB54" s="12">
        <f>'Inputs (2)'!W5</f>
        <v>-2130.127</v>
      </c>
      <c r="AC54" s="46">
        <f>'Inputs (2)'!X5</f>
        <v>-548.851</v>
      </c>
      <c r="AD54" s="46">
        <f>'Inputs (2)'!Y5</f>
        <v>-650.982</v>
      </c>
      <c r="AE54" s="46">
        <f>'Inputs (2)'!Z5</f>
        <v>-694.023</v>
      </c>
      <c r="AF54" s="46">
        <f>'Inputs (2)'!AA5</f>
        <v>-726.736</v>
      </c>
      <c r="AG54" s="12">
        <f>'Inputs (2)'!AB5</f>
        <v>-2620.592</v>
      </c>
      <c r="AH54" s="12">
        <f>'Inputs (2)'!AC5</f>
        <v>-691.115</v>
      </c>
      <c r="AI54" s="12">
        <f>'Inputs (2)'!AD5</f>
        <v>-767.704</v>
      </c>
      <c r="AJ54" s="12">
        <f>-(1-AJ55)*AJ15</f>
        <v>-894.044404682175</v>
      </c>
      <c r="AK54" s="12">
        <f>-(1-AK55)*AK15</f>
        <v>-946.567890920125</v>
      </c>
      <c r="AL54" s="12">
        <f>SUM(AH54:AK54)</f>
        <v>-3299.4312956023</v>
      </c>
      <c r="AM54" s="12">
        <f>-(1-AM55)*AM15</f>
        <v>-899.22107995032</v>
      </c>
      <c r="AN54" s="12">
        <f>-(1-AN55)*AN15</f>
        <v>-987.819135874605</v>
      </c>
      <c r="AO54" s="12">
        <f>-(1-AO55)*AO15</f>
        <v>-1147.15336283742</v>
      </c>
      <c r="AP54" s="12">
        <f>-(1-AP55)*AP15</f>
        <v>-1214.54654101768</v>
      </c>
      <c r="AQ54" s="12">
        <f>SUM(AM54:AP54)</f>
        <v>-4248.74011968003</v>
      </c>
      <c r="AR54" s="12">
        <f>-(1-AR55)*AR15</f>
        <v>-1149.29947835094</v>
      </c>
      <c r="AS54" s="12">
        <f>-(1-AS55)*AS15</f>
        <v>-1262.53714784854</v>
      </c>
      <c r="AT54" s="12">
        <f>-(1-AT55)*AT15</f>
        <v>-1466.18311213347</v>
      </c>
      <c r="AU54" s="12">
        <f>-(1-AU55)*AU15</f>
        <v>-1552.31870910064</v>
      </c>
      <c r="AV54" s="12">
        <f>SUM(AR54:AU54)</f>
        <v>-5430.33844743359</v>
      </c>
      <c r="AW54" s="12">
        <f>-(1-AW55)*AW15</f>
        <v>-1463.17957695108</v>
      </c>
      <c r="AX54" s="12">
        <f>-(1-AX55)*AX15</f>
        <v>-1607.34308565479</v>
      </c>
      <c r="AY54" s="12">
        <f>-(1-AY55)*AY15</f>
        <v>-1866.60589877097</v>
      </c>
      <c r="AZ54" s="12">
        <f>-(1-AZ55)*AZ15</f>
        <v>-1976.26560775446</v>
      </c>
      <c r="BA54" s="12">
        <f>SUM(AW54:AZ54)</f>
        <v>-6913.3941691313</v>
      </c>
      <c r="BB54" s="12">
        <f>-(1-BB55)*BB15</f>
        <v>-1855.46618349108</v>
      </c>
      <c r="BC54" s="12">
        <f>-(1-BC55)*BC15</f>
        <v>-2038.28073305618</v>
      </c>
      <c r="BD54" s="12">
        <f>-(1-BD55)*BD15</f>
        <v>-2367.05335259768</v>
      </c>
      <c r="BE54" s="12">
        <f>-(1-BE55)*BE15</f>
        <v>-2506.11344126728</v>
      </c>
      <c r="BF54" s="12">
        <f>SUM(BB54:BE54)</f>
        <v>-8766.91371041223</v>
      </c>
      <c r="BG54" s="12" t="n"/>
      <c r="BH54" s="12" t="n"/>
      <c r="BI54" s="12" t="n"/>
      <c r="BJ54" s="12" t="n"/>
      <c r="BK54" s="12" t="n"/>
      <c r="BL54" s="12" t="n"/>
      <c r="BM54" s="12" t="n"/>
      <c r="BN54" s="12" t="n"/>
      <c r="BO54" s="12" t="n"/>
      <c r="BP54" s="12" t="n"/>
      <c r="BQ54" s="12" t="n"/>
      <c r="BR54" s="12" t="n"/>
      <c r="BS54" s="12" t="n"/>
      <c r="BT54" s="12" t="n"/>
      <c r="BU54" s="12" t="n"/>
      <c r="BV54" s="12" t="n"/>
      <c r="BW54" s="12" t="n"/>
      <c r="BX54" s="12" t="n"/>
      <c r="BY54" s="12" t="n"/>
      <c r="BZ54" s="12" t="n"/>
      <c r="CA54" s="12" t="n"/>
      <c r="CB54" s="12" t="n"/>
      <c r="CC54" s="12" t="n"/>
      <c r="CD54" s="12" t="n"/>
      <c r="CE54" s="12" t="n"/>
      <c r="CF54" s="12" t="n"/>
      <c r="CG54" s="12" t="n"/>
      <c r="CH54" s="12" t="n"/>
      <c r="CI54" s="12" t="n"/>
      <c r="CJ54" s="12" t="n"/>
      <c r="CK54" s="12" t="n"/>
      <c r="CL54" s="12" t="n"/>
      <c r="CM54" s="12" t="n"/>
      <c r="CN54" s="12" t="n"/>
      <c r="CO54" s="12" t="n"/>
      <c r="CP54" s="12" t="n"/>
      <c r="CQ54" s="12" t="n"/>
      <c r="CR54" s="12" t="n"/>
      <c r="CS54" s="12" t="n"/>
      <c r="CT54" s="12" t="n"/>
      <c r="CU54" s="12" t="n"/>
      <c r="CV54" s="12" t="n"/>
      <c r="CW54" s="12" t="n"/>
      <c r="CX54" s="12" t="n"/>
      <c r="CY54" s="12" t="n"/>
    </row>
    <row r="55" hidden="1" outlineLevel="1" customFormat="1" s="3">
      <c r="C55" s="47" t="inlineStr">
        <is>
          <t>% Gross Margin</t>
        </is>
      </c>
      <c r="D55" s="48" t="n"/>
      <c r="E55" s="48" t="n"/>
      <c r="F55" s="48" t="n"/>
      <c r="G55" s="48" t="n"/>
      <c r="H55" s="48" t="n"/>
      <c r="I55" s="48">
        <f>IFERROR((I15+I54)/I$15,"")</f>
        <v>0.354887716445389</v>
      </c>
      <c r="J55" s="48">
        <f>IFERROR((J15+J54)/J$15,"")</f>
        <v>0.376754326883992</v>
      </c>
      <c r="K55" s="48">
        <f>IFERROR((K15+K54)/K$15,"")</f>
        <v>0.356862135545105</v>
      </c>
      <c r="L55" s="48">
        <f>IFERROR((L15+L54)/L$15,"")</f>
        <v>0.333408366902752</v>
      </c>
      <c r="M55" s="48">
        <f>IFERROR((M15+M54)/M$15,"")</f>
        <v>0.35470000788176</v>
      </c>
      <c r="N55" s="48">
        <f>IFERROR((N15+N54)/N$15,"")</f>
        <v>0.352467666750695</v>
      </c>
      <c r="O55" s="48">
        <f>IFERROR((O15+O54)/O$15,"")</f>
        <v>0.311926104625968</v>
      </c>
      <c r="P55" s="48">
        <f>IFERROR((P15+P54)/P$15,"")</f>
        <v>0.339786320248045</v>
      </c>
      <c r="Q55" s="48">
        <f>IFERROR((Q15+Q54)/Q$15,"")</f>
        <v>0.357187935990711</v>
      </c>
      <c r="R55" s="48">
        <f>IFERROR((R15+R54)/R$15,"")</f>
        <v>0.33927706074495</v>
      </c>
      <c r="S55" s="48">
        <f>IFERROR((S15+S54)/S$15,"")</f>
        <v>0.355024234256705</v>
      </c>
      <c r="T55" s="48">
        <f>IFERROR((T15+T54)/T$15,"")</f>
        <v>0.338913592156034</v>
      </c>
      <c r="U55" s="48">
        <f>IFERROR((U15+U54)/U$15,"")</f>
        <v>0.344952552414698</v>
      </c>
      <c r="V55" s="48">
        <f>IFERROR((V15+V54)/V$15,"")</f>
        <v>0.330133041815392</v>
      </c>
      <c r="W55" s="48">
        <f>IFERROR((W15+W54)/W$15,"")</f>
        <v>0.341788727245399</v>
      </c>
      <c r="X55" s="48">
        <f>IFERROR((X15+X54)/X$15,"")</f>
        <v>0.359406789535165</v>
      </c>
      <c r="Y55" s="48">
        <f>IFERROR((Y15+Y54)/Y$15,"")</f>
        <v>0.35847054085428</v>
      </c>
      <c r="Z55" s="48">
        <f>IFERROR((Z15+Z54)/Z$15,"")</f>
        <v>0.365382968115458</v>
      </c>
      <c r="AA55" s="48">
        <f>IFERROR((AA15+AA54)/AA$15,"")</f>
        <v>0.370474242866881</v>
      </c>
      <c r="AB55" s="48">
        <f>IFERROR((AB15+AB54)/AB$15,"")</f>
        <v>0.363850654179372</v>
      </c>
      <c r="AC55" s="48">
        <f>IFERROR((AC15+AC54)/AC$15,"")</f>
        <v>0.386163340535849</v>
      </c>
      <c r="AD55" s="48">
        <f>IFERROR((AD15+AD54)/AD$15,"")</f>
        <v>0.388869800321064</v>
      </c>
      <c r="AE55" s="48">
        <f>IFERROR((AE15+AE54)/AE$15,"")</f>
        <v>0.400579363166909</v>
      </c>
      <c r="AF55" s="41">
        <f>IFERROR((AF15+AF54)/AF$15,"")</f>
        <v>0.407154097221259</v>
      </c>
      <c r="AG55" s="48">
        <f>IFERROR((AG15+AG54)/AG$15,"")</f>
        <v>0.39659517090459</v>
      </c>
      <c r="AH55" s="49">
        <f>IFERROR((AH15+AH54)/AH$15,"")</f>
        <v>0.406527285327004</v>
      </c>
      <c r="AI55" s="49">
        <f>IFERROR((AI15+AI54)/AI$15,"")</f>
        <v>0.399886653664409</v>
      </c>
      <c r="AJ55" s="49">
        <f>Control!$B$19</f>
        <v>0.398196756706082</v>
      </c>
      <c r="AK55" s="49">
        <f>Control!$B$19</f>
        <v>0.398196756706082</v>
      </c>
      <c r="AL55" s="48">
        <f>IFERROR((AL15+AL54)/AL$15,"")</f>
        <v>0.40035276042439</v>
      </c>
      <c r="AM55" s="49">
        <f>Control!$C$19</f>
        <v>0.398196756706082</v>
      </c>
      <c r="AN55" s="49">
        <f>Control!$C$19</f>
        <v>0.398196756706082</v>
      </c>
      <c r="AO55" s="49">
        <f>Control!$C$19</f>
        <v>0.398196756706082</v>
      </c>
      <c r="AP55" s="49">
        <f>Control!$C$19</f>
        <v>0.398196756706082</v>
      </c>
      <c r="AQ55" s="48">
        <f>IFERROR((AQ15+AQ54)/AQ$15,"")</f>
        <v>0.398196756706082</v>
      </c>
      <c r="AR55" s="49">
        <f>Control!$D$19</f>
        <v>0.398196756706082</v>
      </c>
      <c r="AS55" s="49">
        <f>Control!$D$19</f>
        <v>0.398196756706082</v>
      </c>
      <c r="AT55" s="49">
        <f>Control!$D$19</f>
        <v>0.398196756706082</v>
      </c>
      <c r="AU55" s="49">
        <f>Control!$D$19</f>
        <v>0.398196756706082</v>
      </c>
      <c r="AV55" s="48">
        <f>IFERROR((AV15+AV54)/AV$15,"")</f>
        <v>0.398196756706082</v>
      </c>
      <c r="AW55" s="49">
        <f>Control!$E$19</f>
        <v>0.398196756706082</v>
      </c>
      <c r="AX55" s="49">
        <f>Control!$E$19</f>
        <v>0.398196756706082</v>
      </c>
      <c r="AY55" s="49">
        <f>Control!$E$19</f>
        <v>0.398196756706082</v>
      </c>
      <c r="AZ55" s="49">
        <f>Control!$E$19</f>
        <v>0.398196756706082</v>
      </c>
      <c r="BA55" s="48">
        <f>IFERROR((BA15+BA54)/BA$15,"")</f>
        <v>0.398196756706082</v>
      </c>
      <c r="BB55" s="49">
        <f>Control!$F$19</f>
        <v>0.398196756706082</v>
      </c>
      <c r="BC55" s="49">
        <f>Control!$F$19</f>
        <v>0.398196756706082</v>
      </c>
      <c r="BD55" s="49">
        <f>Control!$F$19</f>
        <v>0.398196756706082</v>
      </c>
      <c r="BE55" s="49">
        <f>Control!$F$19</f>
        <v>0.398196756706082</v>
      </c>
      <c r="BF55" s="48">
        <f>IFERROR((BF15+BF54)/BF$15,"")</f>
        <v>0.398196756706082</v>
      </c>
      <c r="BG55" s="49" t="n"/>
      <c r="BH55" s="49" t="n"/>
      <c r="BI55" s="49" t="n"/>
      <c r="BJ55" s="49" t="n"/>
      <c r="BK55" s="48" t="n"/>
      <c r="BL55" s="49" t="n"/>
      <c r="BM55" s="49" t="n"/>
      <c r="BN55" s="49" t="n"/>
      <c r="BO55" s="49" t="n"/>
      <c r="BP55" s="48" t="n"/>
      <c r="BQ55" s="49" t="n"/>
      <c r="BR55" s="49" t="n"/>
      <c r="BS55" s="49" t="n"/>
      <c r="BT55" s="49" t="n"/>
      <c r="BU55" s="48" t="n"/>
      <c r="BV55" s="49" t="n"/>
      <c r="BW55" s="49" t="n"/>
      <c r="BX55" s="49" t="n"/>
      <c r="BY55" s="49" t="n"/>
      <c r="BZ55" s="48" t="n"/>
      <c r="CA55" s="49" t="n"/>
      <c r="CB55" s="49" t="n"/>
      <c r="CC55" s="49" t="n"/>
      <c r="CD55" s="49" t="n"/>
      <c r="CE55" s="48" t="n"/>
      <c r="CF55" s="49" t="n"/>
      <c r="CG55" s="49" t="n"/>
      <c r="CH55" s="49" t="n"/>
      <c r="CI55" s="49" t="n"/>
      <c r="CJ55" s="48" t="n"/>
      <c r="CK55" s="49" t="n"/>
      <c r="CL55" s="49" t="n"/>
      <c r="CM55" s="49" t="n"/>
      <c r="CN55" s="49" t="n"/>
      <c r="CO55" s="48" t="n"/>
      <c r="CP55" s="49" t="n"/>
      <c r="CQ55" s="49" t="n"/>
      <c r="CR55" s="49" t="n"/>
      <c r="CS55" s="49" t="n"/>
      <c r="CT55" s="48" t="n"/>
      <c r="CU55" s="49" t="n"/>
      <c r="CV55" s="49" t="n"/>
      <c r="CW55" s="49" t="n"/>
      <c r="CX55" s="49" t="n"/>
      <c r="CY55" s="48" t="n"/>
    </row>
    <row r="56" hidden="1" outlineLevel="1">
      <c r="C56" s="50" t="n"/>
      <c r="D56" s="50" t="n"/>
      <c r="E56" s="50" t="n"/>
      <c r="F56" s="50" t="n"/>
      <c r="G56" s="50" t="n"/>
      <c r="H56" s="50" t="n"/>
      <c r="I56" s="50" t="n"/>
      <c r="J56" s="50" t="n"/>
      <c r="K56" s="50" t="n"/>
      <c r="L56" s="50" t="n"/>
      <c r="M56" s="50" t="n"/>
      <c r="N56" s="50" t="n"/>
      <c r="O56" s="50" t="n"/>
      <c r="P56" s="50" t="n"/>
      <c r="Q56" s="50" t="n"/>
      <c r="R56" s="50" t="n"/>
      <c r="S56" s="50" t="n"/>
      <c r="T56" s="50" t="n"/>
      <c r="U56" s="50" t="n"/>
      <c r="V56" s="50" t="n"/>
      <c r="W56" s="50" t="n"/>
      <c r="X56" s="50" t="n"/>
      <c r="Y56" s="50" t="n"/>
      <c r="Z56" s="50" t="n"/>
      <c r="AA56" s="50" t="n"/>
      <c r="AB56" s="50" t="n"/>
      <c r="AC56" s="50" t="n"/>
      <c r="AD56" s="50" t="n"/>
      <c r="AE56" s="50" t="n"/>
      <c r="AF56" s="50" t="n"/>
      <c r="AG56" s="50" t="n"/>
      <c r="AH56" s="50" t="n"/>
      <c r="AI56" s="50" t="n"/>
      <c r="AJ56" s="50" t="n"/>
      <c r="AK56" s="50" t="n"/>
      <c r="AL56" s="50" t="n"/>
      <c r="AM56" s="50" t="n"/>
      <c r="AN56" s="50" t="n"/>
      <c r="AO56" s="50" t="n"/>
      <c r="AP56" s="50" t="n"/>
      <c r="AQ56" s="50" t="n"/>
      <c r="AR56" s="50" t="n"/>
      <c r="AS56" s="50" t="n"/>
      <c r="AT56" s="50" t="n"/>
      <c r="AU56" s="50" t="n"/>
      <c r="AV56" s="50" t="n"/>
      <c r="AW56" s="50" t="n"/>
      <c r="AX56" s="50" t="n"/>
      <c r="AY56" s="50" t="n"/>
      <c r="AZ56" s="50" t="n"/>
      <c r="BA56" s="50" t="n"/>
      <c r="BB56" s="50" t="n"/>
      <c r="BC56" s="50" t="n"/>
      <c r="BD56" s="50" t="n"/>
      <c r="BE56" s="50" t="n"/>
      <c r="BF56" s="50" t="n"/>
      <c r="BG56" s="50" t="n"/>
      <c r="BH56" s="50" t="n"/>
      <c r="BI56" s="50" t="n"/>
      <c r="BJ56" s="50" t="n"/>
      <c r="BK56" s="50" t="n"/>
      <c r="BL56" s="50" t="n"/>
      <c r="BM56" s="50" t="n"/>
      <c r="BN56" s="50" t="n"/>
      <c r="BO56" s="50" t="n"/>
      <c r="BP56" s="50" t="n"/>
      <c r="BQ56" s="50" t="n"/>
      <c r="BR56" s="50" t="n"/>
      <c r="BS56" s="50" t="n"/>
      <c r="BT56" s="50" t="n"/>
      <c r="BU56" s="50" t="n"/>
      <c r="BV56" s="50" t="n"/>
      <c r="BW56" s="50" t="n"/>
      <c r="BX56" s="50" t="n"/>
      <c r="BY56" s="50" t="n"/>
      <c r="BZ56" s="50" t="n"/>
      <c r="CA56" s="50" t="n"/>
      <c r="CB56" s="50" t="n"/>
      <c r="CC56" s="50" t="n"/>
      <c r="CD56" s="50" t="n"/>
      <c r="CE56" s="50" t="n"/>
      <c r="CF56" s="50" t="n"/>
      <c r="CG56" s="50" t="n"/>
      <c r="CH56" s="50" t="n"/>
      <c r="CI56" s="50" t="n"/>
      <c r="CJ56" s="50" t="n"/>
      <c r="CK56" s="50" t="n"/>
      <c r="CL56" s="50" t="n"/>
      <c r="CM56" s="50" t="n"/>
      <c r="CN56" s="50" t="n"/>
      <c r="CO56" s="50" t="n"/>
      <c r="CP56" s="50" t="n"/>
      <c r="CQ56" s="50" t="n"/>
      <c r="CR56" s="50" t="n"/>
      <c r="CS56" s="50" t="n"/>
      <c r="CT56" s="50" t="n"/>
      <c r="CU56" s="50" t="n"/>
      <c r="CV56" s="50" t="n"/>
      <c r="CW56" s="50" t="n"/>
      <c r="CX56" s="50" t="n"/>
      <c r="CY56" s="50" t="n"/>
    </row>
    <row r="57" hidden="1" outlineLevel="1">
      <c r="C57" s="50" t="n"/>
      <c r="D57" s="50" t="n"/>
      <c r="E57" s="50" t="n"/>
      <c r="F57" s="50" t="n"/>
      <c r="G57" s="50" t="n"/>
      <c r="H57" s="50" t="n"/>
      <c r="I57" s="50" t="n"/>
      <c r="J57" s="50" t="n"/>
      <c r="K57" s="50" t="n"/>
      <c r="L57" s="50" t="n"/>
      <c r="M57" s="50" t="n"/>
      <c r="N57" s="50" t="n"/>
      <c r="O57" s="50" t="n"/>
      <c r="P57" s="50" t="n"/>
      <c r="Q57" s="50" t="n"/>
      <c r="R57" s="50" t="n"/>
      <c r="S57" s="50" t="n"/>
      <c r="T57" s="50" t="n"/>
      <c r="U57" s="50" t="n"/>
      <c r="V57" s="50" t="n"/>
      <c r="W57" s="50" t="n"/>
      <c r="X57" s="50" t="n"/>
      <c r="Y57" s="50" t="n"/>
      <c r="Z57" s="50" t="n"/>
      <c r="AA57" s="50" t="n"/>
      <c r="AB57" s="50" t="n"/>
      <c r="AC57" s="50" t="n"/>
      <c r="AD57" s="50" t="n"/>
      <c r="AE57" s="50" t="n"/>
      <c r="AF57" s="50" t="n"/>
      <c r="AG57" s="50" t="n"/>
      <c r="AH57" s="50" t="n"/>
      <c r="AI57" s="50" t="n"/>
      <c r="AJ57" s="50" t="n"/>
      <c r="AK57" s="50" t="n"/>
      <c r="AL57" s="50" t="n"/>
      <c r="AM57" s="50" t="n"/>
      <c r="AN57" s="50" t="n"/>
      <c r="AO57" s="50" t="n"/>
      <c r="AP57" s="50" t="n"/>
      <c r="AQ57" s="50" t="n"/>
      <c r="AR57" s="50" t="n"/>
      <c r="AS57" s="50" t="n"/>
      <c r="AT57" s="50" t="n"/>
      <c r="AU57" s="50" t="n"/>
      <c r="AV57" s="50" t="n"/>
      <c r="AW57" s="50" t="n"/>
      <c r="AX57" s="50" t="n"/>
      <c r="AY57" s="50" t="n"/>
      <c r="AZ57" s="50" t="n"/>
      <c r="BA57" s="50" t="n"/>
      <c r="BB57" s="50" t="n"/>
      <c r="BC57" s="50" t="n"/>
      <c r="BD57" s="50" t="n"/>
      <c r="BE57" s="50" t="n"/>
      <c r="BF57" s="50" t="n"/>
      <c r="BG57" s="50" t="n"/>
      <c r="BH57" s="50" t="n"/>
      <c r="BI57" s="50" t="n"/>
      <c r="BJ57" s="50" t="n"/>
      <c r="BK57" s="50" t="n"/>
      <c r="BL57" s="50" t="n"/>
      <c r="BM57" s="50" t="n"/>
      <c r="BN57" s="50" t="n"/>
      <c r="BO57" s="50" t="n"/>
      <c r="BP57" s="50" t="n"/>
      <c r="BQ57" s="50" t="n"/>
      <c r="BR57" s="50" t="n"/>
      <c r="BS57" s="50" t="n"/>
      <c r="BT57" s="50" t="n"/>
      <c r="BU57" s="50" t="n"/>
      <c r="BV57" s="50" t="n"/>
      <c r="BW57" s="50" t="n"/>
      <c r="BX57" s="50" t="n"/>
      <c r="BY57" s="50" t="n"/>
      <c r="BZ57" s="50" t="n"/>
      <c r="CA57" s="50" t="n"/>
      <c r="CB57" s="50" t="n"/>
      <c r="CC57" s="50" t="n"/>
      <c r="CD57" s="50" t="n"/>
      <c r="CE57" s="50" t="n"/>
      <c r="CF57" s="50" t="n"/>
      <c r="CG57" s="50" t="n"/>
      <c r="CH57" s="50" t="n"/>
      <c r="CI57" s="50" t="n"/>
      <c r="CJ57" s="50" t="n"/>
      <c r="CK57" s="50" t="n"/>
      <c r="CL57" s="50" t="n"/>
      <c r="CM57" s="50" t="n"/>
      <c r="CN57" s="50" t="n"/>
      <c r="CO57" s="50" t="n"/>
      <c r="CP57" s="50" t="n"/>
      <c r="CQ57" s="50" t="n"/>
      <c r="CR57" s="50" t="n"/>
      <c r="CS57" s="50" t="n"/>
      <c r="CT57" s="50" t="n"/>
      <c r="CU57" s="50" t="n"/>
      <c r="CV57" s="50" t="n"/>
      <c r="CW57" s="50" t="n"/>
      <c r="CX57" s="50" t="n"/>
      <c r="CY57" s="50" t="n"/>
    </row>
    <row r="58" collapsed="1">
      <c r="C58" s="13" t="inlineStr">
        <is>
          <t>SG&amp;A and Other (cash)</t>
        </is>
      </c>
      <c r="D58" s="46" t="n"/>
      <c r="E58" s="46" t="n"/>
      <c r="F58" s="46" t="n"/>
      <c r="G58" s="46" t="n"/>
      <c r="H58" s="12" t="n"/>
      <c r="I58" s="46">
        <f>'Inputs (2)'!D6</f>
        <v>-73.8556117</v>
      </c>
      <c r="J58" s="46">
        <f>'Inputs (2)'!E6</f>
        <v>-72.81529767</v>
      </c>
      <c r="K58" s="46">
        <f>'Inputs (2)'!F6</f>
        <v>-68.43229067</v>
      </c>
      <c r="L58" s="46">
        <f>'Inputs (2)'!G6</f>
        <v>-75.40960361</v>
      </c>
      <c r="M58" s="12">
        <f>'Inputs (2)'!H6</f>
        <v>-290.51280365</v>
      </c>
      <c r="N58" s="46">
        <f>'Inputs (2)'!I6</f>
        <v>-74.795</v>
      </c>
      <c r="O58" s="46">
        <f>'Inputs (2)'!J6</f>
        <v>-93.783</v>
      </c>
      <c r="P58" s="46">
        <f>'Inputs (2)'!K6</f>
        <v>-101.561</v>
      </c>
      <c r="Q58" s="46">
        <f>'Inputs (2)'!L6</f>
        <v>-56.505</v>
      </c>
      <c r="R58" s="12">
        <f>'Inputs (2)'!M6</f>
        <v>-326.644</v>
      </c>
      <c r="S58" s="46">
        <f>'Inputs (2)'!N6</f>
        <v>-88.152</v>
      </c>
      <c r="T58" s="46">
        <f>'Inputs (2)'!O6</f>
        <v>-70.503</v>
      </c>
      <c r="U58" s="46">
        <f>'Inputs (2)'!P6</f>
        <v>-86.30623197</v>
      </c>
      <c r="V58" s="46">
        <f>'Inputs (2)'!Q6</f>
        <v>-130.424</v>
      </c>
      <c r="W58" s="12">
        <f>'Inputs (2)'!R6</f>
        <v>-375.38523197</v>
      </c>
      <c r="X58" s="46">
        <f>'Inputs (2)'!S6</f>
        <v>-92.69391528</v>
      </c>
      <c r="Y58" s="46">
        <f>'Inputs (2)'!T6</f>
        <v>-122.115</v>
      </c>
      <c r="Z58" s="46">
        <f>'Inputs (2)'!U6</f>
        <v>-147.941</v>
      </c>
      <c r="AA58" s="46">
        <f>'Inputs (2)'!V6</f>
        <v>-117.074</v>
      </c>
      <c r="AB58" s="12">
        <f>'Inputs (2)'!W6</f>
        <v>-479.82391528</v>
      </c>
      <c r="AC58" s="46">
        <f>'Inputs (2)'!X6</f>
        <v>-143.179</v>
      </c>
      <c r="AD58" s="46">
        <f>'Inputs (2)'!Y6</f>
        <v>-184.399</v>
      </c>
      <c r="AE58" s="46">
        <f>'Inputs (2)'!Z6</f>
        <v>-176.591</v>
      </c>
      <c r="AF58" s="46">
        <f>'Inputs (2)'!AA6</f>
        <v>-197.001</v>
      </c>
      <c r="AG58" s="12">
        <f>'Inputs (2)'!AB6</f>
        <v>-701.17</v>
      </c>
      <c r="AH58" s="12">
        <f>'Inputs (2)'!AC6</f>
        <v>-171.161</v>
      </c>
      <c r="AI58" s="12">
        <f>'Inputs (2)'!AD6</f>
        <v>-217.922</v>
      </c>
      <c r="AJ58" s="12">
        <f>-AJ15*AJ59</f>
        <v>-238.637627052241</v>
      </c>
      <c r="AK58" s="12">
        <f>-AK15*AK59</f>
        <v>-252.657154555231</v>
      </c>
      <c r="AL58" s="12">
        <f>SUM(AH58:AK58)</f>
        <v>-880.377781607472</v>
      </c>
      <c r="AM58" s="12">
        <f>-AM15*AM59</f>
        <v>-240.01938113016</v>
      </c>
      <c r="AN58" s="12">
        <f>-AN15*AN59</f>
        <v>-263.667904309196</v>
      </c>
      <c r="AO58" s="12">
        <f>-AO15*AO59</f>
        <v>-306.197270447477</v>
      </c>
      <c r="AP58" s="12">
        <f>-AP15*AP59</f>
        <v>-324.185804390781</v>
      </c>
      <c r="AQ58" s="12">
        <f>SUM(AM58:AP58)</f>
        <v>-1134.07036027761</v>
      </c>
      <c r="AR58" s="12">
        <f>-AR15*AR59</f>
        <v>-306.770109906953</v>
      </c>
      <c r="AS58" s="12">
        <f>-AS15*AS59</f>
        <v>-336.995419299096</v>
      </c>
      <c r="AT58" s="12">
        <f>-AT15*AT59</f>
        <v>-391.35243939923</v>
      </c>
      <c r="AU58" s="12">
        <f>-AU15*AU59</f>
        <v>-414.343684976434</v>
      </c>
      <c r="AV58" s="12">
        <f>SUM(AR58:AU58)</f>
        <v>-1449.46165358171</v>
      </c>
      <c r="AW58" s="12">
        <f>-AW15*AW59</f>
        <v>-390.550738158284</v>
      </c>
      <c r="AX58" s="12">
        <f>-AX15*AX59</f>
        <v>-429.030748149298</v>
      </c>
      <c r="AY58" s="12">
        <f>-AY15*AY59</f>
        <v>-498.232973655006</v>
      </c>
      <c r="AZ58" s="12">
        <f>-AZ15*AZ59</f>
        <v>-527.503256649914</v>
      </c>
      <c r="BA58" s="12">
        <f>SUM(AW58:AZ58)</f>
        <v>-1845.3177166125</v>
      </c>
      <c r="BB58" s="12">
        <f>-BB15*BB59</f>
        <v>-495.259569642289</v>
      </c>
      <c r="BC58" s="12">
        <f>-BC15*BC59</f>
        <v>-544.056284962429</v>
      </c>
      <c r="BD58" s="12">
        <f>-BD15*BD59</f>
        <v>-631.812013152489</v>
      </c>
      <c r="BE58" s="12">
        <f>-BE15*BE59</f>
        <v>-668.929822294847</v>
      </c>
      <c r="BF58" s="12">
        <f>SUM(BB58:BE58)</f>
        <v>-2340.05769005205</v>
      </c>
      <c r="BG58" s="12" t="n"/>
      <c r="BH58" s="12" t="n"/>
      <c r="BI58" s="12" t="n"/>
      <c r="BJ58" s="12" t="n"/>
      <c r="BK58" s="12" t="n"/>
      <c r="BL58" s="12" t="n"/>
      <c r="BM58" s="12" t="n"/>
      <c r="BN58" s="12" t="n"/>
      <c r="BO58" s="12" t="n"/>
      <c r="BP58" s="12" t="n"/>
      <c r="BQ58" s="12" t="n"/>
      <c r="BR58" s="12" t="n"/>
      <c r="BS58" s="12" t="n"/>
      <c r="BT58" s="12" t="n"/>
      <c r="BU58" s="12" t="n"/>
      <c r="BV58" s="12" t="n"/>
      <c r="BW58" s="12" t="n"/>
      <c r="BX58" s="12" t="n"/>
      <c r="BY58" s="12" t="n"/>
      <c r="BZ58" s="12" t="n"/>
      <c r="CA58" s="12" t="n"/>
      <c r="CB58" s="12" t="n"/>
      <c r="CC58" s="12" t="n"/>
      <c r="CD58" s="12" t="n"/>
      <c r="CE58" s="12" t="n"/>
      <c r="CF58" s="12" t="n"/>
      <c r="CG58" s="12" t="n"/>
      <c r="CH58" s="12" t="n"/>
      <c r="CI58" s="12" t="n"/>
      <c r="CJ58" s="12" t="n"/>
      <c r="CK58" s="12" t="n"/>
      <c r="CL58" s="12" t="n"/>
      <c r="CM58" s="12" t="n"/>
      <c r="CN58" s="12" t="n"/>
      <c r="CO58" s="12" t="n"/>
      <c r="CP58" s="12" t="n"/>
      <c r="CQ58" s="12" t="n"/>
      <c r="CR58" s="12" t="n"/>
      <c r="CS58" s="12" t="n"/>
      <c r="CT58" s="12" t="n"/>
      <c r="CU58" s="12" t="n"/>
      <c r="CV58" s="12" t="n"/>
      <c r="CW58" s="12" t="n"/>
      <c r="CX58" s="12" t="n"/>
      <c r="CY58" s="12" t="n"/>
    </row>
    <row r="59" hidden="1" outlineLevel="1">
      <c r="C59" s="38" t="inlineStr">
        <is>
          <t>% SG&amp;A and Other Margin</t>
        </is>
      </c>
      <c r="D59" s="51" t="n"/>
      <c r="E59" s="51" t="n"/>
      <c r="F59" s="51" t="n"/>
      <c r="G59" s="51" t="n"/>
      <c r="H59" s="51" t="n"/>
      <c r="I59" s="51">
        <f>IFERROR(-(I58/I$15),"")</f>
        <v>0.178444765333366</v>
      </c>
      <c r="J59" s="51">
        <f>IFERROR(-(J58/J$15),"")</f>
        <v>0.172481885318906</v>
      </c>
      <c r="K59" s="51">
        <f>IFERROR(-(K58/K$15),"")</f>
        <v>0.150944037369696</v>
      </c>
      <c r="L59" s="51">
        <f>IFERROR(-(L58/L$15),"")</f>
        <v>0.154854403260153</v>
      </c>
      <c r="M59" s="51">
        <f>IFERROR(-(M58/M$15),"")</f>
        <v>0.1635420369797</v>
      </c>
      <c r="N59" s="51">
        <f>IFERROR(-(N58/N$15),"")</f>
        <v>0.159786282242456</v>
      </c>
      <c r="O59" s="51">
        <f>IFERROR(-(O58/O$15),"")</f>
        <v>0.160004845374544</v>
      </c>
      <c r="P59" s="51">
        <f>IFERROR(-(P58/P$15),"")</f>
        <v>0.176808939940217</v>
      </c>
      <c r="Q59" s="51">
        <f>IFERROR(-(Q58/Q$15),"")</f>
        <v>0.105817579145482</v>
      </c>
      <c r="R59" s="51">
        <f>IFERROR(-(R58/R$15),"")</f>
        <v>0.151041146463357</v>
      </c>
      <c r="S59" s="51">
        <f>IFERROR(-(S58/S$15),"")</f>
        <v>0.1581857235913</v>
      </c>
      <c r="T59" s="51">
        <f>IFERROR(-(T58/T$15),"")</f>
        <v>0.116455349119932</v>
      </c>
      <c r="U59" s="51">
        <f>IFERROR(-(U58/U$15),"")</f>
        <v>0.154762747674243</v>
      </c>
      <c r="V59" s="51">
        <f>IFERROR(-(V58/V$15),"")</f>
        <v>0.2054445386067</v>
      </c>
      <c r="W59" s="51">
        <f>IFERROR(-(W58/W$15),"")</f>
        <v>0.159386863768123</v>
      </c>
      <c r="X59" s="51">
        <f>IFERROR(-(X58/X$15),"")</f>
        <v>0.13846444543366</v>
      </c>
      <c r="Y59" s="51">
        <f>IFERROR(-(Y58/Y$15),"")</f>
        <v>0.144648314420412</v>
      </c>
      <c r="Z59" s="51">
        <f>IFERROR(-(Z58/Z$15),"")</f>
        <v>0.162465764256016</v>
      </c>
      <c r="AA59" s="51">
        <f>IFERROR(-(AA58/AA$15),"")</f>
        <v>0.126674673504939</v>
      </c>
      <c r="AB59" s="51">
        <f>IFERROR(-(AB58/AB$15),"")</f>
        <v>0.143296465334914</v>
      </c>
      <c r="AC59" s="51">
        <f>IFERROR(-(AC58/AC$15),"")</f>
        <v>0.160131837357348</v>
      </c>
      <c r="AD59" s="51">
        <f>IFERROR(-(AD58/AD$15),"")</f>
        <v>0.173110466480788</v>
      </c>
      <c r="AE59" s="51">
        <f>IFERROR(-(AE58/AE$15),"")</f>
        <v>0.152519858389408</v>
      </c>
      <c r="AF59" s="41">
        <f>IFERROR(-(AF58/AF$15),"")</f>
        <v>0.160706550512586</v>
      </c>
      <c r="AG59" s="51">
        <f>IFERROR(-(AG58/AG$15),"")</f>
        <v>0.161448010227013</v>
      </c>
      <c r="AH59" s="52">
        <f>IFERROR(-(AH58/AH$15),"")</f>
        <v>0.146978988035486</v>
      </c>
      <c r="AI59" s="52">
        <f>IFERROR(-(AI58/AI$15),"")</f>
        <v>0.170349380308224</v>
      </c>
      <c r="AJ59" s="52">
        <f>Control!$B$20</f>
        <v>0.160632846847307</v>
      </c>
      <c r="AK59" s="52">
        <f>Control!$B$20</f>
        <v>0.160632846847307</v>
      </c>
      <c r="AL59" s="51">
        <f>IFERROR(-(AL58/AL$15),"")</f>
        <v>0.160002151652093</v>
      </c>
      <c r="AM59" s="52">
        <f>Control!$C$20</f>
        <v>0.160632846847307</v>
      </c>
      <c r="AN59" s="52">
        <f>Control!$C$20</f>
        <v>0.160632846847307</v>
      </c>
      <c r="AO59" s="52">
        <f>Control!$C$20</f>
        <v>0.160632846847307</v>
      </c>
      <c r="AP59" s="52">
        <f>Control!$C$20</f>
        <v>0.160632846847307</v>
      </c>
      <c r="AQ59" s="51">
        <f>IFERROR(-(AQ58/AQ$15),"")</f>
        <v>0.160632846847307</v>
      </c>
      <c r="AR59" s="52">
        <f>Control!$D$20</f>
        <v>0.160632846847307</v>
      </c>
      <c r="AS59" s="52">
        <f>Control!$D$20</f>
        <v>0.160632846847307</v>
      </c>
      <c r="AT59" s="52">
        <f>Control!$D$20</f>
        <v>0.160632846847307</v>
      </c>
      <c r="AU59" s="52">
        <f>Control!$D$20</f>
        <v>0.160632846847307</v>
      </c>
      <c r="AV59" s="51">
        <f>IFERROR(-(AV58/AV$15),"")</f>
        <v>0.160632846847307</v>
      </c>
      <c r="AW59" s="52">
        <f>Control!$E$20</f>
        <v>0.160632846847307</v>
      </c>
      <c r="AX59" s="52">
        <f>Control!$E$20</f>
        <v>0.160632846847307</v>
      </c>
      <c r="AY59" s="52">
        <f>Control!$E$20</f>
        <v>0.160632846847307</v>
      </c>
      <c r="AZ59" s="52">
        <f>Control!$E$20</f>
        <v>0.160632846847307</v>
      </c>
      <c r="BA59" s="51">
        <f>IFERROR(-(BA58/BA$15),"")</f>
        <v>0.160632846847307</v>
      </c>
      <c r="BB59" s="52">
        <f>Control!$F$20</f>
        <v>0.160632846847307</v>
      </c>
      <c r="BC59" s="52">
        <f>Control!$F$20</f>
        <v>0.160632846847307</v>
      </c>
      <c r="BD59" s="52">
        <f>Control!$F$20</f>
        <v>0.160632846847307</v>
      </c>
      <c r="BE59" s="52">
        <f>Control!$F$20</f>
        <v>0.160632846847307</v>
      </c>
      <c r="BF59" s="51">
        <f>IFERROR(-(BF58/BF$15),"")</f>
        <v>0.160632846847307</v>
      </c>
      <c r="BG59" s="52" t="n"/>
      <c r="BH59" s="52" t="n"/>
      <c r="BI59" s="52" t="n"/>
      <c r="BJ59" s="52" t="n"/>
      <c r="BK59" s="51" t="n"/>
      <c r="BL59" s="52" t="n"/>
      <c r="BM59" s="52" t="n"/>
      <c r="BN59" s="52" t="n"/>
      <c r="BO59" s="52" t="n"/>
      <c r="BP59" s="51" t="n"/>
      <c r="BQ59" s="52" t="n"/>
      <c r="BR59" s="52" t="n"/>
      <c r="BS59" s="52" t="n"/>
      <c r="BT59" s="52" t="n"/>
      <c r="BU59" s="51" t="n"/>
      <c r="BV59" s="52" t="n"/>
      <c r="BW59" s="52" t="n"/>
      <c r="BX59" s="52" t="n"/>
      <c r="BY59" s="52" t="n"/>
      <c r="BZ59" s="51" t="n"/>
      <c r="CA59" s="52" t="n"/>
      <c r="CB59" s="52" t="n"/>
      <c r="CC59" s="52" t="n"/>
      <c r="CD59" s="52" t="n"/>
      <c r="CE59" s="51" t="n"/>
      <c r="CF59" s="52" t="n"/>
      <c r="CG59" s="52" t="n"/>
      <c r="CH59" s="52" t="n"/>
      <c r="CI59" s="52" t="n"/>
      <c r="CJ59" s="51" t="n"/>
      <c r="CK59" s="52" t="n"/>
      <c r="CL59" s="52" t="n"/>
      <c r="CM59" s="52" t="n"/>
      <c r="CN59" s="52" t="n"/>
      <c r="CO59" s="51" t="n"/>
      <c r="CP59" s="52" t="n"/>
      <c r="CQ59" s="52" t="n"/>
      <c r="CR59" s="52" t="n"/>
      <c r="CS59" s="52" t="n"/>
      <c r="CT59" s="51" t="n"/>
      <c r="CU59" s="52" t="n"/>
      <c r="CV59" s="52" t="n"/>
      <c r="CW59" s="52" t="n"/>
      <c r="CX59" s="52" t="n"/>
      <c r="CY59" s="51" t="n"/>
    </row>
    <row r="60" hidden="1" outlineLevel="1">
      <c r="C60" s="50" t="n"/>
      <c r="D60" s="50" t="n"/>
      <c r="E60" s="50" t="n"/>
      <c r="F60" s="50" t="n"/>
      <c r="G60" s="50" t="n"/>
      <c r="H60" s="50" t="n"/>
      <c r="I60" s="50" t="n"/>
      <c r="J60" s="50" t="n"/>
      <c r="K60" s="50" t="n"/>
      <c r="L60" s="50" t="n"/>
      <c r="M60" s="50" t="n"/>
      <c r="N60" s="50" t="n"/>
      <c r="O60" s="50" t="n"/>
      <c r="P60" s="50" t="n"/>
      <c r="Q60" s="50" t="n"/>
      <c r="R60" s="50" t="n"/>
      <c r="S60" s="50" t="n"/>
      <c r="T60" s="50" t="n"/>
      <c r="U60" s="50" t="n"/>
      <c r="V60" s="50" t="n"/>
      <c r="W60" s="50" t="n"/>
      <c r="X60" s="50" t="n"/>
      <c r="Y60" s="50" t="n"/>
      <c r="Z60" s="50" t="n"/>
      <c r="AA60" s="50" t="n"/>
      <c r="AB60" s="50" t="n"/>
      <c r="AC60" s="50" t="n"/>
      <c r="AD60" s="50" t="n"/>
      <c r="AE60" s="50" t="n"/>
      <c r="AF60" s="50" t="n"/>
      <c r="AG60" s="50" t="n"/>
      <c r="AH60" s="50" t="n"/>
      <c r="AI60" s="50" t="n"/>
      <c r="AJ60" s="50" t="n"/>
      <c r="AK60" s="50" t="n"/>
      <c r="AL60" s="50" t="n"/>
      <c r="AM60" s="50" t="n"/>
      <c r="AN60" s="50" t="n"/>
      <c r="AO60" s="50" t="n"/>
      <c r="AP60" s="50" t="n"/>
      <c r="AQ60" s="50" t="n"/>
      <c r="AR60" s="50" t="n"/>
      <c r="AS60" s="50" t="n"/>
      <c r="AT60" s="50" t="n"/>
      <c r="AU60" s="50" t="n"/>
      <c r="AV60" s="50" t="n"/>
      <c r="AW60" s="50" t="n"/>
      <c r="AX60" s="50" t="n"/>
      <c r="AY60" s="50" t="n"/>
      <c r="AZ60" s="50" t="n"/>
      <c r="BA60" s="50" t="n"/>
      <c r="BB60" s="50" t="n"/>
      <c r="BC60" s="50" t="n"/>
      <c r="BD60" s="50" t="n"/>
      <c r="BE60" s="50" t="n"/>
      <c r="BF60" s="50" t="n"/>
      <c r="BG60" s="50" t="n"/>
      <c r="BH60" s="50" t="n"/>
      <c r="BI60" s="50" t="n"/>
      <c r="BJ60" s="50" t="n"/>
      <c r="BK60" s="50" t="n"/>
      <c r="BL60" s="50" t="n"/>
      <c r="BM60" s="50" t="n"/>
      <c r="BN60" s="50" t="n"/>
      <c r="BO60" s="50" t="n"/>
      <c r="BP60" s="50" t="n"/>
      <c r="BQ60" s="50" t="n"/>
      <c r="BR60" s="50" t="n"/>
      <c r="BS60" s="50" t="n"/>
      <c r="BT60" s="50" t="n"/>
      <c r="BU60" s="50" t="n"/>
      <c r="BV60" s="50" t="n"/>
      <c r="BW60" s="50" t="n"/>
      <c r="BX60" s="50" t="n"/>
      <c r="BY60" s="50" t="n"/>
      <c r="BZ60" s="50" t="n"/>
      <c r="CA60" s="50" t="n"/>
      <c r="CB60" s="50" t="n"/>
      <c r="CC60" s="50" t="n"/>
      <c r="CD60" s="50" t="n"/>
      <c r="CE60" s="50" t="n"/>
      <c r="CF60" s="50" t="n"/>
      <c r="CG60" s="50" t="n"/>
      <c r="CH60" s="50" t="n"/>
      <c r="CI60" s="50" t="n"/>
      <c r="CJ60" s="50" t="n"/>
      <c r="CK60" s="50" t="n"/>
      <c r="CL60" s="50" t="n"/>
      <c r="CM60" s="50" t="n"/>
      <c r="CN60" s="50" t="n"/>
      <c r="CO60" s="50" t="n"/>
      <c r="CP60" s="50" t="n"/>
      <c r="CQ60" s="50" t="n"/>
      <c r="CR60" s="50" t="n"/>
      <c r="CS60" s="50" t="n"/>
      <c r="CT60" s="50" t="n"/>
      <c r="CU60" s="50" t="n"/>
      <c r="CV60" s="50" t="n"/>
      <c r="CW60" s="50" t="n"/>
      <c r="CX60" s="50" t="n"/>
      <c r="CY60" s="50" t="n"/>
    </row>
    <row r="61" hidden="1" outlineLevel="1">
      <c r="C61" s="50" t="inlineStr">
        <is>
          <t>Com Vendas</t>
        </is>
      </c>
      <c r="D61" s="11" t="n"/>
      <c r="E61" s="11" t="n"/>
      <c r="F61" s="11" t="n"/>
      <c r="G61" s="11" t="n"/>
      <c r="H61" s="50" t="n"/>
      <c r="I61" s="11" t="n"/>
      <c r="J61" s="11" t="n"/>
      <c r="K61" s="11" t="n"/>
      <c r="L61" s="11" t="n"/>
      <c r="M61" s="50" t="n"/>
      <c r="N61" s="11" t="n"/>
      <c r="O61" s="11" t="n"/>
      <c r="P61" s="11" t="n"/>
      <c r="Q61" s="11" t="n"/>
      <c r="R61" s="50" t="n"/>
      <c r="S61" s="11" t="n"/>
      <c r="T61" s="11" t="n"/>
      <c r="U61" s="11" t="n"/>
      <c r="V61" s="11" t="n"/>
      <c r="W61" s="50" t="n"/>
      <c r="X61" s="11" t="n"/>
      <c r="Y61" s="11" t="n"/>
      <c r="Z61" s="11" t="n"/>
      <c r="AA61" s="11" t="n"/>
      <c r="AB61" s="50" t="n"/>
      <c r="AC61" s="11" t="n"/>
      <c r="AD61" s="11" t="n"/>
      <c r="AE61" s="11" t="n"/>
      <c r="AF61" s="11" t="n"/>
      <c r="AG61" s="50" t="n"/>
      <c r="AH61" s="50" t="n"/>
      <c r="AI61" s="50" t="n"/>
      <c r="AJ61" s="50" t="n"/>
      <c r="AK61" s="50" t="n"/>
      <c r="AL61" s="50" t="n"/>
      <c r="AM61" s="50" t="n"/>
      <c r="AN61" s="50" t="n"/>
      <c r="AO61" s="50" t="n"/>
      <c r="AP61" s="50" t="n"/>
      <c r="AQ61" s="50" t="n"/>
      <c r="AR61" s="50" t="n"/>
      <c r="AS61" s="50" t="n"/>
      <c r="AT61" s="50" t="n"/>
      <c r="AU61" s="50" t="n"/>
      <c r="AV61" s="50" t="n"/>
      <c r="AW61" s="50" t="n"/>
      <c r="AX61" s="50" t="n"/>
      <c r="AY61" s="50" t="n"/>
      <c r="AZ61" s="50" t="n"/>
      <c r="BA61" s="50" t="n"/>
      <c r="BB61" s="50" t="n"/>
      <c r="BC61" s="50" t="n"/>
      <c r="BD61" s="50" t="n"/>
      <c r="BE61" s="50" t="n"/>
      <c r="BF61" s="50" t="n"/>
      <c r="BG61" s="50" t="n"/>
      <c r="BH61" s="50" t="n"/>
      <c r="BI61" s="50" t="n"/>
      <c r="BJ61" s="50" t="n"/>
      <c r="BK61" s="50" t="n"/>
      <c r="BL61" s="50" t="n"/>
      <c r="BM61" s="50" t="n"/>
      <c r="BN61" s="50" t="n"/>
      <c r="BO61" s="50" t="n"/>
      <c r="BP61" s="50" t="n"/>
      <c r="BQ61" s="50" t="n"/>
      <c r="BR61" s="50" t="n"/>
      <c r="BS61" s="50" t="n"/>
      <c r="BT61" s="50" t="n"/>
      <c r="BU61" s="50" t="n"/>
      <c r="BV61" s="50" t="n"/>
      <c r="BW61" s="50" t="n"/>
      <c r="BX61" s="50" t="n"/>
      <c r="BY61" s="50" t="n"/>
      <c r="BZ61" s="50" t="n"/>
      <c r="CA61" s="50" t="n"/>
      <c r="CB61" s="50" t="n"/>
      <c r="CC61" s="50" t="n"/>
      <c r="CD61" s="50" t="n"/>
      <c r="CE61" s="50" t="n"/>
      <c r="CF61" s="50" t="n"/>
      <c r="CG61" s="50" t="n"/>
      <c r="CH61" s="50" t="n"/>
      <c r="CI61" s="50" t="n"/>
      <c r="CJ61" s="50" t="n"/>
      <c r="CK61" s="50" t="n"/>
      <c r="CL61" s="50" t="n"/>
      <c r="CM61" s="50" t="n"/>
      <c r="CN61" s="50" t="n"/>
      <c r="CO61" s="50" t="n"/>
      <c r="CP61" s="50" t="n"/>
      <c r="CQ61" s="50" t="n"/>
      <c r="CR61" s="50" t="n"/>
      <c r="CS61" s="50" t="n"/>
      <c r="CT61" s="50" t="n"/>
      <c r="CU61" s="50" t="n"/>
      <c r="CV61" s="50" t="n"/>
      <c r="CW61" s="50" t="n"/>
      <c r="CX61" s="50" t="n"/>
      <c r="CY61" s="50" t="n"/>
    </row>
    <row r="62" hidden="1" outlineLevel="1">
      <c r="C62" s="50" t="inlineStr">
        <is>
          <t>Gerais &amp; Administrativas</t>
        </is>
      </c>
      <c r="D62" s="11" t="n"/>
      <c r="E62" s="11" t="n"/>
      <c r="F62" s="11" t="n"/>
      <c r="G62" s="11" t="n"/>
      <c r="H62" s="50" t="n"/>
      <c r="I62" s="11" t="n"/>
      <c r="J62" s="11" t="n"/>
      <c r="K62" s="11" t="n"/>
      <c r="L62" s="11" t="n"/>
      <c r="M62" s="50" t="n"/>
      <c r="N62" s="11" t="n"/>
      <c r="O62" s="11" t="n"/>
      <c r="P62" s="11" t="n"/>
      <c r="Q62" s="11" t="n"/>
      <c r="R62" s="50" t="n"/>
      <c r="S62" s="11" t="n"/>
      <c r="T62" s="11" t="n"/>
      <c r="U62" s="11" t="n"/>
      <c r="V62" s="11" t="n"/>
      <c r="W62" s="50" t="n"/>
      <c r="X62" s="11" t="n"/>
      <c r="Y62" s="11" t="n"/>
      <c r="Z62" s="11" t="n"/>
      <c r="AA62" s="11" t="n"/>
      <c r="AB62" s="50" t="n"/>
      <c r="AC62" s="11" t="n"/>
      <c r="AD62" s="11" t="n"/>
      <c r="AE62" s="11" t="n"/>
      <c r="AF62" s="11" t="n"/>
      <c r="AG62" s="50" t="n"/>
      <c r="AH62" s="50" t="n"/>
      <c r="AI62" s="50" t="n"/>
      <c r="AJ62" s="50" t="n"/>
      <c r="AK62" s="50" t="n"/>
      <c r="AL62" s="50" t="n"/>
      <c r="AM62" s="50" t="n"/>
      <c r="AN62" s="50" t="n"/>
      <c r="AO62" s="50" t="n"/>
      <c r="AP62" s="50" t="n"/>
      <c r="AQ62" s="50" t="n"/>
      <c r="AR62" s="50" t="n"/>
      <c r="AS62" s="50" t="n"/>
      <c r="AT62" s="50" t="n"/>
      <c r="AU62" s="50" t="n"/>
      <c r="AV62" s="50" t="n"/>
      <c r="AW62" s="50" t="n"/>
      <c r="AX62" s="50" t="n"/>
      <c r="AY62" s="50" t="n"/>
      <c r="AZ62" s="50" t="n"/>
      <c r="BA62" s="50" t="n"/>
      <c r="BB62" s="50" t="n"/>
      <c r="BC62" s="50" t="n"/>
      <c r="BD62" s="50" t="n"/>
      <c r="BE62" s="50" t="n"/>
      <c r="BF62" s="50" t="n"/>
      <c r="BG62" s="50" t="n"/>
      <c r="BH62" s="50" t="n"/>
      <c r="BI62" s="50" t="n"/>
      <c r="BJ62" s="50" t="n"/>
      <c r="BK62" s="50" t="n"/>
      <c r="BL62" s="50" t="n"/>
      <c r="BM62" s="50" t="n"/>
      <c r="BN62" s="50" t="n"/>
      <c r="BO62" s="50" t="n"/>
      <c r="BP62" s="50" t="n"/>
      <c r="BQ62" s="50" t="n"/>
      <c r="BR62" s="50" t="n"/>
      <c r="BS62" s="50" t="n"/>
      <c r="BT62" s="50" t="n"/>
      <c r="BU62" s="50" t="n"/>
      <c r="BV62" s="50" t="n"/>
      <c r="BW62" s="50" t="n"/>
      <c r="BX62" s="50" t="n"/>
      <c r="BY62" s="50" t="n"/>
      <c r="BZ62" s="50" t="n"/>
      <c r="CA62" s="50" t="n"/>
      <c r="CB62" s="50" t="n"/>
      <c r="CC62" s="50" t="n"/>
      <c r="CD62" s="50" t="n"/>
      <c r="CE62" s="50" t="n"/>
      <c r="CF62" s="50" t="n"/>
      <c r="CG62" s="50" t="n"/>
      <c r="CH62" s="50" t="n"/>
      <c r="CI62" s="50" t="n"/>
      <c r="CJ62" s="50" t="n"/>
      <c r="CK62" s="50" t="n"/>
      <c r="CL62" s="50" t="n"/>
      <c r="CM62" s="50" t="n"/>
      <c r="CN62" s="50" t="n"/>
      <c r="CO62" s="50" t="n"/>
      <c r="CP62" s="50" t="n"/>
      <c r="CQ62" s="50" t="n"/>
      <c r="CR62" s="50" t="n"/>
      <c r="CS62" s="50" t="n"/>
      <c r="CT62" s="50" t="n"/>
      <c r="CU62" s="50" t="n"/>
      <c r="CV62" s="50" t="n"/>
      <c r="CW62" s="50" t="n"/>
      <c r="CX62" s="50" t="n"/>
      <c r="CY62" s="50" t="n"/>
    </row>
    <row r="63" hidden="1" outlineLevel="1">
      <c r="C63" s="50" t="inlineStr">
        <is>
          <t>Outras Receitas (Despesas) Operacionais, Líquidas</t>
        </is>
      </c>
      <c r="D63" s="11" t="n"/>
      <c r="E63" s="11" t="n"/>
      <c r="F63" s="11" t="n"/>
      <c r="G63" s="11" t="n"/>
      <c r="H63" s="50" t="n"/>
      <c r="I63" s="11" t="n"/>
      <c r="J63" s="11" t="n"/>
      <c r="K63" s="11" t="n"/>
      <c r="L63" s="11" t="n"/>
      <c r="M63" s="50" t="n"/>
      <c r="N63" s="11" t="n"/>
      <c r="O63" s="11" t="n"/>
      <c r="P63" s="11" t="n"/>
      <c r="Q63" s="11" t="n"/>
      <c r="R63" s="50" t="n"/>
      <c r="S63" s="11" t="n"/>
      <c r="T63" s="11" t="n"/>
      <c r="U63" s="11" t="n"/>
      <c r="V63" s="11" t="n"/>
      <c r="W63" s="50" t="n"/>
      <c r="X63" s="11" t="n"/>
      <c r="Y63" s="11" t="n"/>
      <c r="Z63" s="11" t="n"/>
      <c r="AA63" s="11" t="n"/>
      <c r="AB63" s="50" t="n"/>
      <c r="AC63" s="11" t="n"/>
      <c r="AD63" s="11" t="n"/>
      <c r="AE63" s="11" t="n"/>
      <c r="AF63" s="11" t="n"/>
      <c r="AG63" s="50" t="n"/>
      <c r="AH63" s="50" t="n"/>
      <c r="AI63" s="50" t="n"/>
      <c r="AJ63" s="50" t="n"/>
      <c r="AK63" s="50" t="n"/>
      <c r="AL63" s="50" t="n"/>
      <c r="AM63" s="50" t="n"/>
      <c r="AN63" s="50" t="n"/>
      <c r="AO63" s="50" t="n"/>
      <c r="AP63" s="50" t="n"/>
      <c r="AQ63" s="50" t="n"/>
      <c r="AR63" s="50" t="n"/>
      <c r="AS63" s="50" t="n"/>
      <c r="AT63" s="50" t="n"/>
      <c r="AU63" s="50" t="n"/>
      <c r="AV63" s="50" t="n"/>
      <c r="AW63" s="50" t="n"/>
      <c r="AX63" s="50" t="n"/>
      <c r="AY63" s="50" t="n"/>
      <c r="AZ63" s="50" t="n"/>
      <c r="BA63" s="50" t="n"/>
      <c r="BB63" s="50" t="n"/>
      <c r="BC63" s="50" t="n"/>
      <c r="BD63" s="50" t="n"/>
      <c r="BE63" s="50" t="n"/>
      <c r="BF63" s="50" t="n"/>
      <c r="BG63" s="50" t="n"/>
      <c r="BH63" s="50" t="n"/>
      <c r="BI63" s="50" t="n"/>
      <c r="BJ63" s="50" t="n"/>
      <c r="BK63" s="50" t="n"/>
      <c r="BL63" s="50" t="n"/>
      <c r="BM63" s="50" t="n"/>
      <c r="BN63" s="50" t="n"/>
      <c r="BO63" s="50" t="n"/>
      <c r="BP63" s="50" t="n"/>
      <c r="BQ63" s="50" t="n"/>
      <c r="BR63" s="50" t="n"/>
      <c r="BS63" s="50" t="n"/>
      <c r="BT63" s="50" t="n"/>
      <c r="BU63" s="50" t="n"/>
      <c r="BV63" s="50" t="n"/>
      <c r="BW63" s="50" t="n"/>
      <c r="BX63" s="50" t="n"/>
      <c r="BY63" s="50" t="n"/>
      <c r="BZ63" s="50" t="n"/>
      <c r="CA63" s="50" t="n"/>
      <c r="CB63" s="50" t="n"/>
      <c r="CC63" s="50" t="n"/>
      <c r="CD63" s="50" t="n"/>
      <c r="CE63" s="50" t="n"/>
      <c r="CF63" s="50" t="n"/>
      <c r="CG63" s="50" t="n"/>
      <c r="CH63" s="50" t="n"/>
      <c r="CI63" s="50" t="n"/>
      <c r="CJ63" s="50" t="n"/>
      <c r="CK63" s="50" t="n"/>
      <c r="CL63" s="50" t="n"/>
      <c r="CM63" s="50" t="n"/>
      <c r="CN63" s="50" t="n"/>
      <c r="CO63" s="50" t="n"/>
      <c r="CP63" s="50" t="n"/>
      <c r="CQ63" s="50" t="n"/>
      <c r="CR63" s="50" t="n"/>
      <c r="CS63" s="50" t="n"/>
      <c r="CT63" s="50" t="n"/>
      <c r="CU63" s="50" t="n"/>
      <c r="CV63" s="50" t="n"/>
      <c r="CW63" s="50" t="n"/>
      <c r="CX63" s="50" t="n"/>
      <c r="CY63" s="50" t="n"/>
    </row>
    <row r="64" hidden="1" outlineLevel="1">
      <c r="C64" s="50" t="n"/>
      <c r="D64" s="50" t="n"/>
      <c r="E64" s="50" t="n"/>
      <c r="F64" s="50" t="n"/>
      <c r="G64" s="50" t="n"/>
      <c r="H64" s="50" t="n"/>
      <c r="I64" s="50" t="n"/>
      <c r="J64" s="50" t="n"/>
      <c r="K64" s="50" t="n"/>
      <c r="L64" s="50" t="n"/>
      <c r="M64" s="50" t="n"/>
      <c r="N64" s="50" t="n"/>
      <c r="O64" s="50" t="n"/>
      <c r="P64" s="50" t="n"/>
      <c r="Q64" s="50" t="n"/>
      <c r="R64" s="50" t="n"/>
      <c r="S64" s="50" t="n"/>
      <c r="T64" s="50" t="n"/>
      <c r="U64" s="50" t="n"/>
      <c r="V64" s="50" t="n"/>
      <c r="W64" s="50" t="n"/>
      <c r="X64" s="50" t="n"/>
      <c r="Y64" s="50" t="n"/>
      <c r="Z64" s="50" t="n"/>
      <c r="AA64" s="50" t="n"/>
      <c r="AB64" s="50" t="n"/>
      <c r="AC64" s="50" t="n"/>
      <c r="AD64" s="50" t="n"/>
      <c r="AE64" s="50" t="n"/>
      <c r="AF64" s="50" t="n"/>
      <c r="AG64" s="50" t="n"/>
      <c r="AH64" s="50" t="n"/>
      <c r="AI64" s="50" t="n"/>
      <c r="AJ64" s="50" t="n"/>
      <c r="AK64" s="50" t="n"/>
      <c r="AL64" s="50" t="n"/>
      <c r="AM64" s="50" t="n"/>
      <c r="AN64" s="50" t="n"/>
      <c r="AO64" s="50" t="n"/>
      <c r="AP64" s="50" t="n"/>
      <c r="AQ64" s="50" t="n"/>
      <c r="AR64" s="50" t="n"/>
      <c r="AS64" s="50" t="n"/>
      <c r="AT64" s="50" t="n"/>
      <c r="AU64" s="50" t="n"/>
      <c r="AV64" s="50" t="n"/>
      <c r="AW64" s="50" t="n"/>
      <c r="AX64" s="50" t="n"/>
      <c r="AY64" s="50" t="n"/>
      <c r="AZ64" s="50" t="n"/>
      <c r="BA64" s="50" t="n"/>
      <c r="BB64" s="50" t="n"/>
      <c r="BC64" s="50" t="n"/>
      <c r="BD64" s="50" t="n"/>
      <c r="BE64" s="50" t="n"/>
      <c r="BF64" s="50" t="n"/>
      <c r="BG64" s="50" t="n"/>
      <c r="BH64" s="50" t="n"/>
      <c r="BI64" s="50" t="n"/>
      <c r="BJ64" s="50" t="n"/>
      <c r="BK64" s="50" t="n"/>
      <c r="BL64" s="50" t="n"/>
      <c r="BM64" s="50" t="n"/>
      <c r="BN64" s="50" t="n"/>
      <c r="BO64" s="50" t="n"/>
      <c r="BP64" s="50" t="n"/>
      <c r="BQ64" s="50" t="n"/>
      <c r="BR64" s="50" t="n"/>
      <c r="BS64" s="50" t="n"/>
      <c r="BT64" s="50" t="n"/>
      <c r="BU64" s="50" t="n"/>
      <c r="BV64" s="50" t="n"/>
      <c r="BW64" s="50" t="n"/>
      <c r="BX64" s="50" t="n"/>
      <c r="BY64" s="50" t="n"/>
      <c r="BZ64" s="50" t="n"/>
      <c r="CA64" s="50" t="n"/>
      <c r="CB64" s="50" t="n"/>
      <c r="CC64" s="50" t="n"/>
      <c r="CD64" s="50" t="n"/>
      <c r="CE64" s="50" t="n"/>
      <c r="CF64" s="50" t="n"/>
      <c r="CG64" s="50" t="n"/>
      <c r="CH64" s="50" t="n"/>
      <c r="CI64" s="50" t="n"/>
      <c r="CJ64" s="50" t="n"/>
      <c r="CK64" s="50" t="n"/>
      <c r="CL64" s="50" t="n"/>
      <c r="CM64" s="50" t="n"/>
      <c r="CN64" s="50" t="n"/>
      <c r="CO64" s="50" t="n"/>
      <c r="CP64" s="50" t="n"/>
      <c r="CQ64" s="50" t="n"/>
      <c r="CR64" s="50" t="n"/>
      <c r="CS64" s="50" t="n"/>
      <c r="CT64" s="50" t="n"/>
      <c r="CU64" s="50" t="n"/>
      <c r="CV64" s="50" t="n"/>
      <c r="CW64" s="50" t="n"/>
      <c r="CX64" s="50" t="n"/>
      <c r="CY64" s="50" t="n"/>
    </row>
    <row r="65" hidden="1" outlineLevel="1">
      <c r="C65" s="50" t="inlineStr">
        <is>
          <t>Com Vendas (%)</t>
        </is>
      </c>
      <c r="D65" s="50" t="n"/>
      <c r="E65" s="50" t="n"/>
      <c r="F65" s="50" t="n"/>
      <c r="G65" s="50" t="n"/>
      <c r="H65" s="50" t="n"/>
      <c r="I65" s="50" t="n"/>
      <c r="J65" s="50" t="n"/>
      <c r="K65" s="50" t="n"/>
      <c r="L65" s="50" t="n"/>
      <c r="M65" s="50" t="n"/>
      <c r="N65" s="50" t="n"/>
      <c r="O65" s="50" t="n"/>
      <c r="P65" s="50" t="n"/>
      <c r="Q65" s="50" t="n"/>
      <c r="R65" s="50" t="n"/>
      <c r="S65" s="50" t="n"/>
      <c r="T65" s="50" t="n"/>
      <c r="U65" s="50" t="n"/>
      <c r="V65" s="50" t="n"/>
      <c r="W65" s="50" t="n"/>
      <c r="X65" s="50" t="n"/>
      <c r="Y65" s="50" t="n"/>
      <c r="Z65" s="50" t="n"/>
      <c r="AA65" s="50" t="n"/>
      <c r="AB65" s="50" t="n"/>
      <c r="AC65" s="50" t="n"/>
      <c r="AD65" s="50" t="n"/>
      <c r="AE65" s="50" t="n"/>
      <c r="AF65" s="50" t="n"/>
      <c r="AG65" s="50" t="n"/>
      <c r="AH65" s="50" t="n"/>
      <c r="AI65" s="50" t="n"/>
      <c r="AJ65" s="50" t="n"/>
      <c r="AK65" s="50" t="n"/>
      <c r="AL65" s="50" t="n"/>
      <c r="AM65" s="50" t="n"/>
      <c r="AN65" s="50" t="n"/>
      <c r="AO65" s="50" t="n"/>
      <c r="AP65" s="50" t="n"/>
      <c r="AQ65" s="50" t="n"/>
      <c r="AR65" s="50" t="n"/>
      <c r="AS65" s="50" t="n"/>
      <c r="AT65" s="50" t="n"/>
      <c r="AU65" s="50" t="n"/>
      <c r="AV65" s="50" t="n"/>
      <c r="AW65" s="50" t="n"/>
      <c r="AX65" s="50" t="n"/>
      <c r="AY65" s="50" t="n"/>
      <c r="AZ65" s="50" t="n"/>
      <c r="BA65" s="50" t="n"/>
      <c r="BB65" s="50" t="n"/>
      <c r="BC65" s="50" t="n"/>
      <c r="BD65" s="50" t="n"/>
      <c r="BE65" s="50" t="n"/>
      <c r="BF65" s="50" t="n"/>
      <c r="BG65" s="50" t="n"/>
      <c r="BH65" s="50" t="n"/>
      <c r="BI65" s="50" t="n"/>
      <c r="BJ65" s="50" t="n"/>
      <c r="BK65" s="50" t="n"/>
      <c r="BL65" s="50" t="n"/>
      <c r="BM65" s="50" t="n"/>
      <c r="BN65" s="50" t="n"/>
      <c r="BO65" s="50" t="n"/>
      <c r="BP65" s="50" t="n"/>
      <c r="BQ65" s="50" t="n"/>
      <c r="BR65" s="50" t="n"/>
      <c r="BS65" s="50" t="n"/>
      <c r="BT65" s="50" t="n"/>
      <c r="BU65" s="50" t="n"/>
      <c r="BV65" s="50" t="n"/>
      <c r="BW65" s="50" t="n"/>
      <c r="BX65" s="50" t="n"/>
      <c r="BY65" s="50" t="n"/>
      <c r="BZ65" s="50" t="n"/>
      <c r="CA65" s="50" t="n"/>
      <c r="CB65" s="50" t="n"/>
      <c r="CC65" s="50" t="n"/>
      <c r="CD65" s="50" t="n"/>
      <c r="CE65" s="50" t="n"/>
      <c r="CF65" s="50" t="n"/>
      <c r="CG65" s="50" t="n"/>
      <c r="CH65" s="50" t="n"/>
      <c r="CI65" s="50" t="n"/>
      <c r="CJ65" s="50" t="n"/>
      <c r="CK65" s="50" t="n"/>
      <c r="CL65" s="50" t="n"/>
      <c r="CM65" s="50" t="n"/>
      <c r="CN65" s="50" t="n"/>
      <c r="CO65" s="50" t="n"/>
      <c r="CP65" s="50" t="n"/>
      <c r="CQ65" s="50" t="n"/>
      <c r="CR65" s="50" t="n"/>
      <c r="CS65" s="50" t="n"/>
      <c r="CT65" s="50" t="n"/>
      <c r="CU65" s="50" t="n"/>
      <c r="CV65" s="50" t="n"/>
      <c r="CW65" s="50" t="n"/>
      <c r="CX65" s="50" t="n"/>
      <c r="CY65" s="50" t="n"/>
    </row>
    <row r="66" hidden="1" outlineLevel="1">
      <c r="C66" s="50" t="inlineStr">
        <is>
          <t>Gerais &amp; Administrativas (%)</t>
        </is>
      </c>
      <c r="D66" s="50" t="n"/>
      <c r="E66" s="50" t="n"/>
      <c r="F66" s="50" t="n"/>
      <c r="G66" s="50" t="n"/>
      <c r="H66" s="50" t="n"/>
      <c r="I66" s="50" t="n"/>
      <c r="J66" s="50" t="n"/>
      <c r="K66" s="50" t="n"/>
      <c r="L66" s="50" t="n"/>
      <c r="M66" s="50" t="n"/>
      <c r="N66" s="50" t="n"/>
      <c r="O66" s="50" t="n"/>
      <c r="P66" s="50" t="n"/>
      <c r="Q66" s="50" t="n"/>
      <c r="R66" s="50" t="n"/>
      <c r="S66" s="50" t="n"/>
      <c r="T66" s="50" t="n"/>
      <c r="U66" s="50" t="n"/>
      <c r="V66" s="50" t="n"/>
      <c r="W66" s="50" t="n"/>
      <c r="X66" s="50" t="n"/>
      <c r="Y66" s="50" t="n"/>
      <c r="Z66" s="50" t="n"/>
      <c r="AA66" s="50" t="n"/>
      <c r="AB66" s="50" t="n"/>
      <c r="AC66" s="50" t="n"/>
      <c r="AD66" s="50" t="n"/>
      <c r="AE66" s="50" t="n"/>
      <c r="AF66" s="50" t="n"/>
      <c r="AG66" s="50" t="n"/>
      <c r="AH66" s="50" t="n"/>
      <c r="AI66" s="50" t="n"/>
      <c r="AJ66" s="50" t="n"/>
      <c r="AK66" s="50" t="n"/>
      <c r="AL66" s="50" t="n"/>
      <c r="AM66" s="50" t="n"/>
      <c r="AN66" s="50" t="n"/>
      <c r="AO66" s="50" t="n"/>
      <c r="AP66" s="50" t="n"/>
      <c r="AQ66" s="50" t="n"/>
      <c r="AR66" s="50" t="n"/>
      <c r="AS66" s="50" t="n"/>
      <c r="AT66" s="50" t="n"/>
      <c r="AU66" s="50" t="n"/>
      <c r="AV66" s="50" t="n"/>
      <c r="AW66" s="50" t="n"/>
      <c r="AX66" s="50" t="n"/>
      <c r="AY66" s="50" t="n"/>
      <c r="AZ66" s="50" t="n"/>
      <c r="BA66" s="50" t="n"/>
      <c r="BB66" s="50" t="n"/>
      <c r="BC66" s="50" t="n"/>
      <c r="BD66" s="50" t="n"/>
      <c r="BE66" s="50" t="n"/>
      <c r="BF66" s="50" t="n"/>
      <c r="BG66" s="50" t="n"/>
      <c r="BH66" s="50" t="n"/>
      <c r="BI66" s="50" t="n"/>
      <c r="BJ66" s="50" t="n"/>
      <c r="BK66" s="50" t="n"/>
      <c r="BL66" s="50" t="n"/>
      <c r="BM66" s="50" t="n"/>
      <c r="BN66" s="50" t="n"/>
      <c r="BO66" s="50" t="n"/>
      <c r="BP66" s="50" t="n"/>
      <c r="BQ66" s="50" t="n"/>
      <c r="BR66" s="50" t="n"/>
      <c r="BS66" s="50" t="n"/>
      <c r="BT66" s="50" t="n"/>
      <c r="BU66" s="50" t="n"/>
      <c r="BV66" s="50" t="n"/>
      <c r="BW66" s="50" t="n"/>
      <c r="BX66" s="50" t="n"/>
      <c r="BY66" s="50" t="n"/>
      <c r="BZ66" s="50" t="n"/>
      <c r="CA66" s="50" t="n"/>
      <c r="CB66" s="50" t="n"/>
      <c r="CC66" s="50" t="n"/>
      <c r="CD66" s="50" t="n"/>
      <c r="CE66" s="50" t="n"/>
      <c r="CF66" s="50" t="n"/>
      <c r="CG66" s="50" t="n"/>
      <c r="CH66" s="50" t="n"/>
      <c r="CI66" s="50" t="n"/>
      <c r="CJ66" s="50" t="n"/>
      <c r="CK66" s="50" t="n"/>
      <c r="CL66" s="50" t="n"/>
      <c r="CM66" s="50" t="n"/>
      <c r="CN66" s="50" t="n"/>
      <c r="CO66" s="50" t="n"/>
      <c r="CP66" s="50" t="n"/>
      <c r="CQ66" s="50" t="n"/>
      <c r="CR66" s="50" t="n"/>
      <c r="CS66" s="50" t="n"/>
      <c r="CT66" s="50" t="n"/>
      <c r="CU66" s="50" t="n"/>
      <c r="CV66" s="50" t="n"/>
      <c r="CW66" s="50" t="n"/>
      <c r="CX66" s="50" t="n"/>
      <c r="CY66" s="50" t="n"/>
    </row>
    <row r="67" hidden="1" outlineLevel="1">
      <c r="C67" s="50" t="inlineStr">
        <is>
          <t>Outras Receitas (Despesas) Operacionais, Líquidas (%)</t>
        </is>
      </c>
      <c r="D67" s="50" t="n"/>
      <c r="E67" s="50" t="n"/>
      <c r="F67" s="50" t="n"/>
      <c r="G67" s="50" t="n"/>
      <c r="H67" s="50" t="n"/>
      <c r="I67" s="50" t="n"/>
      <c r="J67" s="50" t="n"/>
      <c r="K67" s="50" t="n"/>
      <c r="L67" s="50" t="n"/>
      <c r="M67" s="50" t="n"/>
      <c r="N67" s="50" t="n"/>
      <c r="O67" s="50" t="n"/>
      <c r="P67" s="50" t="n"/>
      <c r="Q67" s="50" t="n"/>
      <c r="R67" s="50" t="n"/>
      <c r="S67" s="50" t="n"/>
      <c r="T67" s="50" t="n"/>
      <c r="U67" s="50" t="n"/>
      <c r="V67" s="50" t="n"/>
      <c r="W67" s="50" t="n"/>
      <c r="X67" s="50" t="n"/>
      <c r="Y67" s="50" t="n"/>
      <c r="Z67" s="50" t="n"/>
      <c r="AA67" s="50" t="n"/>
      <c r="AB67" s="50" t="n"/>
      <c r="AC67" s="50" t="n"/>
      <c r="AD67" s="50" t="n"/>
      <c r="AE67" s="50" t="n"/>
      <c r="AF67" s="50" t="n"/>
      <c r="AG67" s="50" t="n"/>
      <c r="AH67" s="50" t="n"/>
      <c r="AI67" s="50" t="n"/>
      <c r="AJ67" s="50" t="n"/>
      <c r="AK67" s="50" t="n"/>
      <c r="AL67" s="50" t="n"/>
      <c r="AM67" s="50" t="n"/>
      <c r="AN67" s="50" t="n"/>
      <c r="AO67" s="50" t="n"/>
      <c r="AP67" s="50" t="n"/>
      <c r="AQ67" s="50" t="n"/>
      <c r="AR67" s="50" t="n"/>
      <c r="AS67" s="50" t="n"/>
      <c r="AT67" s="50" t="n"/>
      <c r="AU67" s="50" t="n"/>
      <c r="AV67" s="50" t="n"/>
      <c r="AW67" s="50" t="n"/>
      <c r="AX67" s="50" t="n"/>
      <c r="AY67" s="50" t="n"/>
      <c r="AZ67" s="50" t="n"/>
      <c r="BA67" s="50" t="n"/>
      <c r="BB67" s="50" t="n"/>
      <c r="BC67" s="50" t="n"/>
      <c r="BD67" s="50" t="n"/>
      <c r="BE67" s="50" t="n"/>
      <c r="BF67" s="50" t="n"/>
      <c r="BG67" s="50" t="n"/>
      <c r="BH67" s="50" t="n"/>
      <c r="BI67" s="50" t="n"/>
      <c r="BJ67" s="50" t="n"/>
      <c r="BK67" s="50" t="n"/>
      <c r="BL67" s="50" t="n"/>
      <c r="BM67" s="50" t="n"/>
      <c r="BN67" s="50" t="n"/>
      <c r="BO67" s="50" t="n"/>
      <c r="BP67" s="50" t="n"/>
      <c r="BQ67" s="50" t="n"/>
      <c r="BR67" s="50" t="n"/>
      <c r="BS67" s="50" t="n"/>
      <c r="BT67" s="50" t="n"/>
      <c r="BU67" s="50" t="n"/>
      <c r="BV67" s="50" t="n"/>
      <c r="BW67" s="50" t="n"/>
      <c r="BX67" s="50" t="n"/>
      <c r="BY67" s="50" t="n"/>
      <c r="BZ67" s="50" t="n"/>
      <c r="CA67" s="50" t="n"/>
      <c r="CB67" s="50" t="n"/>
      <c r="CC67" s="50" t="n"/>
      <c r="CD67" s="50" t="n"/>
      <c r="CE67" s="50" t="n"/>
      <c r="CF67" s="50" t="n"/>
      <c r="CG67" s="50" t="n"/>
      <c r="CH67" s="50" t="n"/>
      <c r="CI67" s="50" t="n"/>
      <c r="CJ67" s="50" t="n"/>
      <c r="CK67" s="50" t="n"/>
      <c r="CL67" s="50" t="n"/>
      <c r="CM67" s="50" t="n"/>
      <c r="CN67" s="50" t="n"/>
      <c r="CO67" s="50" t="n"/>
      <c r="CP67" s="50" t="n"/>
      <c r="CQ67" s="50" t="n"/>
      <c r="CR67" s="50" t="n"/>
      <c r="CS67" s="50" t="n"/>
      <c r="CT67" s="50" t="n"/>
      <c r="CU67" s="50" t="n"/>
      <c r="CV67" s="50" t="n"/>
      <c r="CW67" s="50" t="n"/>
      <c r="CX67" s="50" t="n"/>
      <c r="CY67" s="50" t="n"/>
    </row>
    <row r="68" hidden="1" outlineLevel="1">
      <c r="C68" s="50" t="n"/>
      <c r="D68" s="50" t="n"/>
      <c r="E68" s="50" t="n"/>
      <c r="F68" s="50" t="n"/>
      <c r="G68" s="50" t="n"/>
      <c r="H68" s="50" t="n"/>
      <c r="I68" s="50" t="n"/>
      <c r="J68" s="50" t="n"/>
      <c r="K68" s="50" t="n"/>
      <c r="L68" s="50" t="n"/>
      <c r="M68" s="50" t="n"/>
      <c r="N68" s="50" t="n"/>
      <c r="O68" s="50" t="n"/>
      <c r="P68" s="50" t="n"/>
      <c r="Q68" s="50" t="n"/>
      <c r="R68" s="50" t="n"/>
      <c r="S68" s="50" t="n"/>
      <c r="T68" s="50" t="n"/>
      <c r="U68" s="50" t="n"/>
      <c r="V68" s="50" t="n"/>
      <c r="W68" s="50" t="n"/>
      <c r="X68" s="50" t="n"/>
      <c r="Y68" s="50" t="n"/>
      <c r="Z68" s="50" t="n"/>
      <c r="AA68" s="50" t="n"/>
      <c r="AB68" s="50" t="n"/>
      <c r="AC68" s="50" t="n"/>
      <c r="AD68" s="50" t="n"/>
      <c r="AE68" s="50" t="n"/>
      <c r="AF68" s="50" t="n"/>
      <c r="AG68" s="50" t="n"/>
      <c r="AH68" s="50" t="n"/>
      <c r="AI68" s="50" t="n"/>
      <c r="AJ68" s="50" t="n"/>
      <c r="AK68" s="50" t="n"/>
      <c r="AL68" s="50" t="n"/>
      <c r="AM68" s="50" t="n"/>
      <c r="AN68" s="50" t="n"/>
      <c r="AO68" s="50" t="n"/>
      <c r="AP68" s="50" t="n"/>
      <c r="AQ68" s="50" t="n"/>
      <c r="AR68" s="50" t="n"/>
      <c r="AS68" s="50" t="n"/>
      <c r="AT68" s="50" t="n"/>
      <c r="AU68" s="50" t="n"/>
      <c r="AV68" s="50" t="n"/>
      <c r="AW68" s="50" t="n"/>
      <c r="AX68" s="50" t="n"/>
      <c r="AY68" s="50" t="n"/>
      <c r="AZ68" s="50" t="n"/>
      <c r="BA68" s="50" t="n"/>
      <c r="BB68" s="50" t="n"/>
      <c r="BC68" s="50" t="n"/>
      <c r="BD68" s="50" t="n"/>
      <c r="BE68" s="50" t="n"/>
      <c r="BF68" s="50" t="n"/>
      <c r="BG68" s="50" t="n"/>
      <c r="BH68" s="50" t="n"/>
      <c r="BI68" s="50" t="n"/>
      <c r="BJ68" s="50" t="n"/>
      <c r="BK68" s="50" t="n"/>
      <c r="BL68" s="50" t="n"/>
      <c r="BM68" s="50" t="n"/>
      <c r="BN68" s="50" t="n"/>
      <c r="BO68" s="50" t="n"/>
      <c r="BP68" s="50" t="n"/>
      <c r="BQ68" s="50" t="n"/>
      <c r="BR68" s="50" t="n"/>
      <c r="BS68" s="50" t="n"/>
      <c r="BT68" s="50" t="n"/>
      <c r="BU68" s="50" t="n"/>
      <c r="BV68" s="50" t="n"/>
      <c r="BW68" s="50" t="n"/>
      <c r="BX68" s="50" t="n"/>
      <c r="BY68" s="50" t="n"/>
      <c r="BZ68" s="50" t="n"/>
      <c r="CA68" s="50" t="n"/>
      <c r="CB68" s="50" t="n"/>
      <c r="CC68" s="50" t="n"/>
      <c r="CD68" s="50" t="n"/>
      <c r="CE68" s="50" t="n"/>
      <c r="CF68" s="50" t="n"/>
      <c r="CG68" s="50" t="n"/>
      <c r="CH68" s="50" t="n"/>
      <c r="CI68" s="50" t="n"/>
      <c r="CJ68" s="50" t="n"/>
      <c r="CK68" s="50" t="n"/>
      <c r="CL68" s="50" t="n"/>
      <c r="CM68" s="50" t="n"/>
      <c r="CN68" s="50" t="n"/>
      <c r="CO68" s="50" t="n"/>
      <c r="CP68" s="50" t="n"/>
      <c r="CQ68" s="50" t="n"/>
      <c r="CR68" s="50" t="n"/>
      <c r="CS68" s="50" t="n"/>
      <c r="CT68" s="50" t="n"/>
      <c r="CU68" s="50" t="n"/>
      <c r="CV68" s="50" t="n"/>
      <c r="CW68" s="50" t="n"/>
      <c r="CX68" s="50" t="n"/>
      <c r="CY68" s="50" t="n"/>
    </row>
    <row r="69" collapsed="1" customFormat="1" s="32">
      <c r="A69" s="30" t="n"/>
      <c r="B69" s="3" t="n"/>
      <c r="C69" s="33" t="inlineStr">
        <is>
          <t>EBITDA</t>
        </is>
      </c>
      <c r="D69" s="35" t="n"/>
      <c r="E69" s="35" t="n"/>
      <c r="F69" s="35" t="n"/>
      <c r="G69" s="35" t="n"/>
      <c r="H69" s="35" t="n"/>
      <c r="I69" s="35">
        <f>SUM(I15,I54,I58)</f>
        <v>73.027090821</v>
      </c>
      <c r="J69" s="35">
        <f>SUM(J15,J54,J58)</f>
        <v>86.236062476</v>
      </c>
      <c r="K69" s="35">
        <f>SUM(K15,K54,K58)</f>
        <v>93.3554408250001</v>
      </c>
      <c r="L69" s="35">
        <f>SUM(L15,L54,L58)</f>
        <v>86.950602229</v>
      </c>
      <c r="M69" s="35">
        <f>SUM(I69:L69)</f>
        <v>339.569196351</v>
      </c>
      <c r="N69" s="35">
        <f>SUM(N15,N54,N58)</f>
        <v>90.193</v>
      </c>
      <c r="O69" s="35">
        <f>SUM(O15,O54,O58)</f>
        <v>89.045</v>
      </c>
      <c r="P69" s="35">
        <f>SUM(P15,P54,P58)</f>
        <v>93.616</v>
      </c>
      <c r="Q69" s="35">
        <f>SUM(Q15,Q54,Q58)</f>
        <v>134.228</v>
      </c>
      <c r="R69" s="35">
        <f>SUM(N69:Q69)</f>
        <v>407.082</v>
      </c>
      <c r="S69" s="35">
        <f>SUM(S15,S54,S58)</f>
        <v>109.692</v>
      </c>
      <c r="T69" s="35">
        <f>SUM(T15,T54,T58)</f>
        <v>134.678</v>
      </c>
      <c r="U69" s="35">
        <f>SUM(U15,U54,U58)</f>
        <v>106.06276803</v>
      </c>
      <c r="V69" s="35">
        <f>SUM(V15,V54,V58)</f>
        <v>79.157</v>
      </c>
      <c r="W69" s="35">
        <f>SUM(S69:V69)</f>
        <v>429.58976803</v>
      </c>
      <c r="X69" s="35">
        <f>SUM(X15,X54,X58)</f>
        <v>147.90808472</v>
      </c>
      <c r="Y69" s="35">
        <f>SUM(Y15,Y54,Y58)</f>
        <v>180.513</v>
      </c>
      <c r="Z69" s="35">
        <f>SUM(Z15,Z54,Z58)</f>
        <v>184.776</v>
      </c>
      <c r="AA69" s="35">
        <f>SUM(AA15,AA54,AA58)</f>
        <v>225.322</v>
      </c>
      <c r="AB69" s="35">
        <f>SUM(X69:AA69)</f>
        <v>738.51908472</v>
      </c>
      <c r="AC69" s="35">
        <f>SUM(AC15,AC54,AC58)</f>
        <v>202.102</v>
      </c>
      <c r="AD69" s="35">
        <f>SUM(AD15,AD54,AD58)</f>
        <v>229.829</v>
      </c>
      <c r="AE69" s="35">
        <f>SUM(AE15,AE54,AE58)</f>
        <v>287.209</v>
      </c>
      <c r="AF69" s="35">
        <f>SUM(AF15,AF54,AF58)</f>
        <v>302.106</v>
      </c>
      <c r="AG69" s="35">
        <f>SUM(AC69:AF69)</f>
        <v>1021.246</v>
      </c>
      <c r="AH69" s="35">
        <f>SUM(AH15,AH54,AH58)</f>
        <v>302.251</v>
      </c>
      <c r="AI69" s="35">
        <f>SUM(AI15,AI54,AI58)</f>
        <v>293.639</v>
      </c>
      <c r="AJ69" s="35">
        <f>SUM(AJ15,AJ54,AJ58)</f>
        <v>352.927118174283</v>
      </c>
      <c r="AK69" s="35">
        <f>SUM(AK15,AK54,AK58)</f>
        <v>373.660945864884</v>
      </c>
      <c r="AL69" s="35">
        <f>SUM(AH69:AK69)</f>
        <v>1322.47806403917</v>
      </c>
      <c r="AM69" s="35">
        <f>SUM(AM15,AM54,AM58)</f>
        <v>354.970628624706</v>
      </c>
      <c r="AN69" s="35">
        <f>SUM(AN15,AN54,AN58)</f>
        <v>389.945017356905</v>
      </c>
      <c r="AO69" s="35">
        <f>SUM(AO15,AO54,AO58)</f>
        <v>452.8427540398</v>
      </c>
      <c r="AP69" s="35">
        <f>SUM(AP15,AP54,AP58)</f>
        <v>479.446444007772</v>
      </c>
      <c r="AQ69" s="35">
        <f>SUM(AM69:AP69)</f>
        <v>1677.20484402918</v>
      </c>
      <c r="AR69" s="35">
        <f>SUM(AR15,AR54,AR58)</f>
        <v>453.689940554796</v>
      </c>
      <c r="AS69" s="35">
        <f>SUM(AS15,AS54,AS58)</f>
        <v>498.390901888776</v>
      </c>
      <c r="AT69" s="35">
        <f>SUM(AT15,AT54,AT58)</f>
        <v>578.780850001535</v>
      </c>
      <c r="AU69" s="35">
        <f>SUM(AU15,AU54,AU58)</f>
        <v>612.783174551233</v>
      </c>
      <c r="AV69" s="35">
        <f>SUM(AR69:AU69)</f>
        <v>2143.64486699634</v>
      </c>
      <c r="AW69" s="35">
        <f>SUM(AW15,AW54,AW58)</f>
        <v>577.595194109383</v>
      </c>
      <c r="AX69" s="35">
        <f>SUM(AX15,AX54,AX58)</f>
        <v>634.504237336137</v>
      </c>
      <c r="AY69" s="35">
        <f>SUM(AY15,AY54,AY58)</f>
        <v>736.849128712508</v>
      </c>
      <c r="AZ69" s="35">
        <f>SUM(AZ15,AZ54,AZ58)</f>
        <v>780.137677769682</v>
      </c>
      <c r="BA69" s="35">
        <f>SUM(AW69:AZ69)</f>
        <v>2729.08623792771</v>
      </c>
      <c r="BB69" s="35">
        <f>SUM(BB15,BB54,BB58)</f>
        <v>732.451687611795</v>
      </c>
      <c r="BC69" s="35">
        <f>SUM(BC15,BC54,BC58)</f>
        <v>804.618362779655</v>
      </c>
      <c r="BD69" s="35">
        <f>SUM(BD15,BD54,BD58)</f>
        <v>934.402490437878</v>
      </c>
      <c r="BE69" s="35">
        <f>SUM(BE15,BE54,BE58)</f>
        <v>989.296940970977</v>
      </c>
      <c r="BF69" s="35">
        <f>SUM(BB69:BE69)</f>
        <v>3460.7694818003</v>
      </c>
      <c r="BG69" s="35" t="n"/>
      <c r="BH69" s="35" t="n"/>
      <c r="BI69" s="35" t="n"/>
      <c r="BJ69" s="35" t="n"/>
      <c r="BK69" s="35" t="n"/>
      <c r="BL69" s="35" t="n"/>
      <c r="BM69" s="35" t="n"/>
      <c r="BN69" s="35" t="n"/>
      <c r="BO69" s="35" t="n"/>
      <c r="BP69" s="35" t="n"/>
      <c r="BQ69" s="35" t="n"/>
      <c r="BR69" s="35" t="n"/>
      <c r="BS69" s="35" t="n"/>
      <c r="BT69" s="35" t="n"/>
      <c r="BU69" s="35" t="n"/>
      <c r="BV69" s="35" t="n"/>
      <c r="BW69" s="35" t="n"/>
      <c r="BX69" s="35" t="n"/>
      <c r="BY69" s="35" t="n"/>
      <c r="BZ69" s="35" t="n"/>
      <c r="CA69" s="35" t="n"/>
      <c r="CB69" s="35" t="n"/>
      <c r="CC69" s="35" t="n"/>
      <c r="CD69" s="35" t="n"/>
      <c r="CE69" s="35" t="n"/>
      <c r="CF69" s="35" t="n"/>
      <c r="CG69" s="35" t="n"/>
      <c r="CH69" s="35" t="n"/>
      <c r="CI69" s="35" t="n"/>
      <c r="CJ69" s="35" t="n"/>
      <c r="CK69" s="35" t="n"/>
      <c r="CL69" s="35" t="n"/>
      <c r="CM69" s="35" t="n"/>
      <c r="CN69" s="35" t="n"/>
      <c r="CO69" s="35" t="n"/>
      <c r="CP69" s="35" t="n"/>
      <c r="CQ69" s="35" t="n"/>
      <c r="CR69" s="35" t="n"/>
      <c r="CS69" s="35" t="n"/>
      <c r="CT69" s="35" t="n"/>
      <c r="CU69" s="35" t="n"/>
      <c r="CV69" s="35" t="n"/>
      <c r="CW69" s="35" t="n"/>
      <c r="CX69" s="35" t="n"/>
      <c r="CY69" s="35" t="n"/>
    </row>
    <row r="70" ht="13.5" customHeight="1">
      <c r="C70" s="13" t="inlineStr">
        <is>
          <t>D&amp;A</t>
        </is>
      </c>
      <c r="D70" s="46" t="n"/>
      <c r="E70" s="46" t="n"/>
      <c r="F70" s="46" t="n"/>
      <c r="G70" s="46" t="n"/>
      <c r="H70" s="12" t="n"/>
      <c r="I70" s="46">
        <f>'Inputs (2)'!D7</f>
        <v>-12.168</v>
      </c>
      <c r="J70" s="46">
        <f>'Inputs (2)'!E7</f>
        <v>-12.452</v>
      </c>
      <c r="K70" s="46">
        <f>'Inputs (2)'!F7</f>
        <v>-13.005</v>
      </c>
      <c r="L70" s="46">
        <f>'Inputs (2)'!G7</f>
        <v>-13.662</v>
      </c>
      <c r="M70" s="12">
        <f>'Inputs (2)'!H7</f>
        <v>-51.287</v>
      </c>
      <c r="N70" s="46">
        <f>'Inputs (2)'!I7</f>
        <v>-14.185</v>
      </c>
      <c r="O70" s="46">
        <f>'Inputs (2)'!J7</f>
        <v>-13.643</v>
      </c>
      <c r="P70" s="46">
        <f>'Inputs (2)'!K7</f>
        <v>-12.829</v>
      </c>
      <c r="Q70" s="46">
        <f>'Inputs (2)'!L7</f>
        <v>-12.768</v>
      </c>
      <c r="R70" s="12">
        <f>'Inputs (2)'!M7</f>
        <v>-53.425</v>
      </c>
      <c r="S70" s="46">
        <f>'Inputs (2)'!N7</f>
        <v>-13.548</v>
      </c>
      <c r="T70" s="46">
        <f>'Inputs (2)'!O7</f>
        <v>-17.123</v>
      </c>
      <c r="U70" s="46">
        <f>'Inputs (2)'!P7</f>
        <v>-16.581</v>
      </c>
      <c r="V70" s="46">
        <f>'Inputs (2)'!Q7</f>
        <v>-13.303</v>
      </c>
      <c r="W70" s="12">
        <f>'Inputs (2)'!R7</f>
        <v>-60.555</v>
      </c>
      <c r="X70" s="46">
        <f>'Inputs (2)'!S7</f>
        <v>-16.148</v>
      </c>
      <c r="Y70" s="46">
        <f>'Inputs (2)'!T7</f>
        <v>-18.629</v>
      </c>
      <c r="Z70" s="46">
        <f>'Inputs (2)'!U7</f>
        <v>-16.259</v>
      </c>
      <c r="AA70" s="46">
        <f>'Inputs (2)'!V7</f>
        <v>-19.031</v>
      </c>
      <c r="AB70" s="12">
        <f>'Inputs (2)'!W7</f>
        <v>-70.067</v>
      </c>
      <c r="AC70" s="46">
        <f>'Inputs (2)'!X7</f>
        <v>-18.02</v>
      </c>
      <c r="AD70" s="46">
        <f>'Inputs (2)'!Y7</f>
        <v>-19.728</v>
      </c>
      <c r="AE70" s="46">
        <f>'Inputs (2)'!Z7</f>
        <v>-20.304</v>
      </c>
      <c r="AF70" s="46">
        <f>'Inputs (2)'!AA7</f>
        <v>-22.691</v>
      </c>
      <c r="AG70" s="12">
        <f>'Inputs (2)'!AB7</f>
        <v>-80.743</v>
      </c>
      <c r="AH70" s="12">
        <f>'Inputs (2)'!AC7</f>
        <v>-22.549</v>
      </c>
      <c r="AI70" s="12">
        <f>'Inputs (2)'!AD7</f>
        <v>-23.439</v>
      </c>
      <c r="AJ70" s="12">
        <f>-AJ71*AJ15</f>
        <v>-27.8319633785117</v>
      </c>
      <c r="AK70" s="12">
        <f>-AK71*AK15</f>
        <v>-29.4670407167632</v>
      </c>
      <c r="AL70" s="12">
        <f>SUM(AH70:AK70)</f>
        <v>-103.287004095275</v>
      </c>
      <c r="AM70" s="12">
        <f>-AM71*AM15</f>
        <v>-27.9931153702147</v>
      </c>
      <c r="AN70" s="12">
        <f>-AN71*AN15</f>
        <v>-30.751208631554</v>
      </c>
      <c r="AO70" s="12">
        <f>-AO71*AO15</f>
        <v>-35.7113474641986</v>
      </c>
      <c r="AP70" s="12">
        <f>-AP71*AP15</f>
        <v>-37.8093243177546</v>
      </c>
      <c r="AQ70" s="12">
        <f>SUM(AM70:AP70)</f>
        <v>-132.264995783722</v>
      </c>
      <c r="AR70" s="12">
        <f>-AR71*AR15</f>
        <v>-35.7781569068453</v>
      </c>
      <c r="AS70" s="12">
        <f>-AS71*AS15</f>
        <v>-39.3032912894553</v>
      </c>
      <c r="AT70" s="12">
        <f>-AT71*AT15</f>
        <v>-45.642872400278</v>
      </c>
      <c r="AU70" s="12">
        <f>-AU71*AU15</f>
        <v>-48.3243083198157</v>
      </c>
      <c r="AV70" s="12">
        <f>SUM(AR70:AU70)</f>
        <v>-169.048628916394</v>
      </c>
      <c r="AW70" s="12">
        <f>-AW71*AW15</f>
        <v>-45.5493711370693</v>
      </c>
      <c r="AX70" s="12">
        <f>-AX71*AX15</f>
        <v>-50.0372393835978</v>
      </c>
      <c r="AY70" s="12">
        <f>-AY71*AY15</f>
        <v>-58.108195459459</v>
      </c>
      <c r="AZ70" s="12">
        <f>-AZ71*AZ15</f>
        <v>-61.5219464863019</v>
      </c>
      <c r="BA70" s="12">
        <f>SUM(AW70:AZ70)</f>
        <v>-215.216752466428</v>
      </c>
      <c r="BB70" s="12">
        <f>-BB71*BB15</f>
        <v>-57.7614116240106</v>
      </c>
      <c r="BC70" s="12">
        <f>-BC71*BC15</f>
        <v>-63.4525023818168</v>
      </c>
      <c r="BD70" s="12">
        <f>-BD71*BD15</f>
        <v>-73.6873268033054</v>
      </c>
      <c r="BE70" s="12">
        <f>-BE71*BE15</f>
        <v>-78.0163235231502</v>
      </c>
      <c r="BF70" s="12">
        <f>SUM(BB70:BE70)</f>
        <v>-272.917564332283</v>
      </c>
      <c r="BG70" s="12" t="n"/>
      <c r="BH70" s="12" t="n"/>
      <c r="BI70" s="12" t="n"/>
      <c r="BJ70" s="12" t="n"/>
      <c r="BK70" s="12" t="n"/>
      <c r="BL70" s="12" t="n"/>
      <c r="BM70" s="12" t="n"/>
      <c r="BN70" s="12" t="n"/>
      <c r="BO70" s="12" t="n"/>
      <c r="BP70" s="12" t="n"/>
      <c r="BQ70" s="12" t="n"/>
      <c r="BR70" s="12" t="n"/>
      <c r="BS70" s="12" t="n"/>
      <c r="BT70" s="12" t="n"/>
      <c r="BU70" s="12" t="n"/>
      <c r="BV70" s="12" t="n"/>
      <c r="BW70" s="12" t="n"/>
      <c r="BX70" s="12" t="n"/>
      <c r="BY70" s="12" t="n"/>
      <c r="BZ70" s="12" t="n"/>
      <c r="CA70" s="12" t="n"/>
      <c r="CB70" s="12" t="n"/>
      <c r="CC70" s="12" t="n"/>
      <c r="CD70" s="12" t="n"/>
      <c r="CE70" s="12" t="n"/>
      <c r="CF70" s="12" t="n"/>
      <c r="CG70" s="12" t="n"/>
      <c r="CH70" s="12" t="n"/>
      <c r="CI70" s="12" t="n"/>
      <c r="CJ70" s="12" t="n"/>
      <c r="CK70" s="12" t="n"/>
      <c r="CL70" s="12" t="n"/>
      <c r="CM70" s="12" t="n"/>
      <c r="CN70" s="12" t="n"/>
      <c r="CO70" s="12" t="n"/>
      <c r="CP70" s="12" t="n"/>
      <c r="CQ70" s="12" t="n"/>
      <c r="CR70" s="12" t="n"/>
      <c r="CS70" s="12" t="n"/>
      <c r="CT70" s="12" t="n"/>
      <c r="CU70" s="12" t="n"/>
      <c r="CV70" s="12" t="n"/>
      <c r="CW70" s="12" t="n"/>
      <c r="CX70" s="12" t="n"/>
      <c r="CY70" s="12" t="n"/>
    </row>
    <row r="71" hidden="1" outlineLevel="1" customFormat="1" s="56">
      <c r="A71" s="53" t="n"/>
      <c r="B71" s="53" t="n"/>
      <c r="C71" s="54" t="inlineStr">
        <is>
          <t>% of Revenue</t>
        </is>
      </c>
      <c r="D71" s="53" t="n"/>
      <c r="E71" s="53" t="n"/>
      <c r="F71" s="53" t="n"/>
      <c r="G71" s="53" t="n"/>
      <c r="H71" s="53" t="n"/>
      <c r="I71" s="53">
        <f>IFERROR(-I70/I15,"")</f>
        <v>0.0293994708675115</v>
      </c>
      <c r="J71" s="53">
        <f>IFERROR(-J70/J15,"")</f>
        <v>0.0294957859778947</v>
      </c>
      <c r="K71" s="53">
        <f>IFERROR(-K70/K15,"")</f>
        <v>0.0286856860522055</v>
      </c>
      <c r="L71" s="53">
        <f>IFERROR(-L70/L15,"")</f>
        <v>0.0280550587201291</v>
      </c>
      <c r="M71" s="53" t="n"/>
      <c r="N71" s="53">
        <f>IFERROR(-N70/N15,"")</f>
        <v>0.0303037424107124</v>
      </c>
      <c r="O71" s="53">
        <f>IFERROR(-O70/O15,"")</f>
        <v>0.0232765651071613</v>
      </c>
      <c r="P71" s="53">
        <f>IFERROR(-P70/P15,"")</f>
        <v>0.0223341823189319</v>
      </c>
      <c r="Q71" s="53">
        <f>IFERROR(-Q70/Q15,"")</f>
        <v>0.0239107840107868</v>
      </c>
      <c r="R71" s="53" t="n"/>
      <c r="S71" s="53">
        <f>IFERROR(-S70/S15,"")</f>
        <v>0.0243114187223764</v>
      </c>
      <c r="T71" s="53">
        <f>IFERROR(-T70/T15,"")</f>
        <v>0.028283405571119</v>
      </c>
      <c r="U71" s="53">
        <f>IFERROR(-U70/U15,"")</f>
        <v>0.029732744213403</v>
      </c>
      <c r="V71" s="53">
        <f>IFERROR(-V70/V15,"")</f>
        <v>0.0209549522870402</v>
      </c>
      <c r="W71" s="53" t="n"/>
      <c r="X71" s="53">
        <f>IFERROR(-X70/X15,"")</f>
        <v>0.0241215818547387</v>
      </c>
      <c r="Y71" s="53">
        <f>IFERROR(-Y70/Y15,"")</f>
        <v>0.0220665229442562</v>
      </c>
      <c r="Z71" s="53">
        <f>IFERROR(-Z70/Z15,"")</f>
        <v>0.0178552994845146</v>
      </c>
      <c r="AA71" s="53">
        <f>IFERROR(-AA70/AA15,"")</f>
        <v>0.0205916404280412</v>
      </c>
      <c r="AB71" s="53" t="n"/>
      <c r="AC71" s="53">
        <f>IFERROR(-AC70/AC15,"")</f>
        <v>0.0201536238497224</v>
      </c>
      <c r="AD71" s="53">
        <f>IFERROR(-AD70/AD15,"")</f>
        <v>0.0185202917734531</v>
      </c>
      <c r="AE71" s="53">
        <f>IFERROR(-AE70/AE15,"")</f>
        <v>0.0175363591844349</v>
      </c>
      <c r="AF71" s="55">
        <f>IFERROR(-AF70/AF15,"")</f>
        <v>0.0185105270413911</v>
      </c>
      <c r="AG71" s="53" t="n"/>
      <c r="AH71" s="55">
        <f>IFERROR(-AH70/AH15,"")</f>
        <v>0.0193632264430108</v>
      </c>
      <c r="AI71" s="55">
        <f>IFERROR(-AI70/AI15,"")</f>
        <v>0.0183222397235913</v>
      </c>
      <c r="AJ71" s="55">
        <f>Control!$B$21</f>
        <v>0.0187343780026006</v>
      </c>
      <c r="AK71" s="55">
        <f>Control!$B$21</f>
        <v>0.0187343780026006</v>
      </c>
      <c r="AL71" s="53" t="n"/>
      <c r="AM71" s="55">
        <f>Control!$C$21</f>
        <v>0.0187343780026006</v>
      </c>
      <c r="AN71" s="55">
        <f>Control!$C$21</f>
        <v>0.0187343780026006</v>
      </c>
      <c r="AO71" s="55">
        <f>Control!$C$21</f>
        <v>0.0187343780026006</v>
      </c>
      <c r="AP71" s="55">
        <f>Control!$C$21</f>
        <v>0.0187343780026006</v>
      </c>
      <c r="AQ71" s="53" t="n"/>
      <c r="AR71" s="55">
        <f>Control!$D$21</f>
        <v>0.0187343780026006</v>
      </c>
      <c r="AS71" s="55">
        <f>Control!$D$21</f>
        <v>0.0187343780026006</v>
      </c>
      <c r="AT71" s="55">
        <f>Control!$D$21</f>
        <v>0.0187343780026006</v>
      </c>
      <c r="AU71" s="55">
        <f>Control!$D$21</f>
        <v>0.0187343780026006</v>
      </c>
      <c r="AV71" s="53" t="n"/>
      <c r="AW71" s="55">
        <f>Control!$E$21</f>
        <v>0.0187343780026006</v>
      </c>
      <c r="AX71" s="55">
        <f>Control!$E$21</f>
        <v>0.0187343780026006</v>
      </c>
      <c r="AY71" s="55">
        <f>Control!$E$21</f>
        <v>0.0187343780026006</v>
      </c>
      <c r="AZ71" s="55">
        <f>Control!$E$21</f>
        <v>0.0187343780026006</v>
      </c>
      <c r="BA71" s="53" t="n"/>
      <c r="BB71" s="55">
        <f>Control!$F$21</f>
        <v>0.0187343780026006</v>
      </c>
      <c r="BC71" s="55">
        <f>Control!$F$21</f>
        <v>0.0187343780026006</v>
      </c>
      <c r="BD71" s="55">
        <f>Control!$F$21</f>
        <v>0.0187343780026006</v>
      </c>
      <c r="BE71" s="55">
        <f>Control!$F$21</f>
        <v>0.0187343780026006</v>
      </c>
      <c r="BF71" s="53" t="n"/>
      <c r="BG71" s="55" t="n"/>
      <c r="BH71" s="55" t="n"/>
      <c r="BI71" s="55" t="n"/>
      <c r="BJ71" s="55" t="n"/>
      <c r="BK71" s="53" t="n"/>
      <c r="BL71" s="55" t="n"/>
      <c r="BM71" s="55" t="n"/>
      <c r="BN71" s="55" t="n"/>
      <c r="BO71" s="55" t="n"/>
      <c r="BP71" s="53" t="n"/>
      <c r="BQ71" s="55" t="n"/>
      <c r="BR71" s="55" t="n"/>
      <c r="BS71" s="55" t="n"/>
      <c r="BT71" s="55" t="n"/>
      <c r="BU71" s="53" t="n"/>
      <c r="BV71" s="55" t="n"/>
      <c r="BW71" s="55" t="n"/>
      <c r="BX71" s="55" t="n"/>
      <c r="BY71" s="55" t="n"/>
      <c r="BZ71" s="53" t="n"/>
      <c r="CA71" s="55" t="n"/>
      <c r="CB71" s="55" t="n"/>
      <c r="CC71" s="55" t="n"/>
      <c r="CD71" s="55" t="n"/>
      <c r="CE71" s="53" t="n"/>
      <c r="CF71" s="55" t="n"/>
      <c r="CG71" s="55" t="n"/>
      <c r="CH71" s="55" t="n"/>
      <c r="CI71" s="55" t="n"/>
      <c r="CJ71" s="53" t="n"/>
      <c r="CK71" s="55" t="n"/>
      <c r="CL71" s="55" t="n"/>
      <c r="CM71" s="55" t="n"/>
      <c r="CN71" s="55" t="n"/>
      <c r="CO71" s="53" t="n"/>
      <c r="CP71" s="55" t="n"/>
      <c r="CQ71" s="55" t="n"/>
      <c r="CR71" s="55" t="n"/>
      <c r="CS71" s="55" t="n"/>
      <c r="CT71" s="53" t="n"/>
      <c r="CU71" s="55" t="n"/>
      <c r="CV71" s="55" t="n"/>
      <c r="CW71" s="55" t="n"/>
      <c r="CX71" s="55" t="n"/>
      <c r="CY71" s="53" t="n"/>
    </row>
    <row r="72" hidden="1" outlineLevel="1">
      <c r="C72" s="50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2" t="n"/>
      <c r="Y72" s="12" t="n"/>
      <c r="Z72" s="12" t="n"/>
      <c r="AA72" s="12" t="n"/>
      <c r="AB72" s="12" t="n"/>
      <c r="AC72" s="12" t="n"/>
      <c r="AD72" s="12" t="n"/>
      <c r="AE72" s="12" t="n"/>
      <c r="AF72" s="12" t="n"/>
      <c r="AG72" s="12" t="n"/>
      <c r="AH72" s="12" t="n"/>
      <c r="AI72" s="12" t="n"/>
      <c r="AJ72" s="12" t="n"/>
      <c r="AK72" s="12" t="n"/>
      <c r="AL72" s="12" t="n"/>
      <c r="AM72" s="12" t="n"/>
      <c r="AN72" s="12" t="n"/>
      <c r="AO72" s="12" t="n"/>
      <c r="AP72" s="12" t="n"/>
      <c r="AQ72" s="12" t="n"/>
      <c r="AR72" s="12" t="n"/>
      <c r="AS72" s="12" t="n"/>
      <c r="AT72" s="12" t="n"/>
      <c r="AU72" s="12" t="n"/>
      <c r="AV72" s="12" t="n"/>
      <c r="AW72" s="12" t="n"/>
      <c r="AX72" s="12" t="n"/>
      <c r="AY72" s="12" t="n"/>
      <c r="AZ72" s="12" t="n"/>
      <c r="BA72" s="12" t="n"/>
      <c r="BB72" s="12" t="n"/>
      <c r="BC72" s="12" t="n"/>
      <c r="BD72" s="12" t="n"/>
      <c r="BE72" s="12" t="n"/>
      <c r="BF72" s="12" t="n"/>
      <c r="BG72" s="12" t="n"/>
      <c r="BH72" s="12" t="n"/>
      <c r="BI72" s="12" t="n"/>
      <c r="BJ72" s="12" t="n"/>
      <c r="BK72" s="12" t="n"/>
      <c r="BL72" s="12" t="n"/>
      <c r="BM72" s="12" t="n"/>
      <c r="BN72" s="12" t="n"/>
      <c r="BO72" s="12" t="n"/>
      <c r="BP72" s="12" t="n"/>
      <c r="BQ72" s="12" t="n"/>
      <c r="BR72" s="12" t="n"/>
      <c r="BS72" s="12" t="n"/>
      <c r="BT72" s="12" t="n"/>
      <c r="BU72" s="12" t="n"/>
      <c r="BV72" s="12" t="n"/>
      <c r="BW72" s="12" t="n"/>
      <c r="BX72" s="12" t="n"/>
      <c r="BY72" s="12" t="n"/>
      <c r="BZ72" s="12" t="n"/>
      <c r="CA72" s="12" t="n"/>
      <c r="CB72" s="12" t="n"/>
      <c r="CC72" s="12" t="n"/>
      <c r="CD72" s="12" t="n"/>
      <c r="CE72" s="12" t="n"/>
      <c r="CF72" s="12" t="n"/>
      <c r="CG72" s="12" t="n"/>
      <c r="CH72" s="12" t="n"/>
      <c r="CI72" s="12" t="n"/>
      <c r="CJ72" s="12" t="n"/>
      <c r="CK72" s="12" t="n"/>
      <c r="CL72" s="12" t="n"/>
      <c r="CM72" s="12" t="n"/>
      <c r="CN72" s="12" t="n"/>
      <c r="CO72" s="12" t="n"/>
      <c r="CP72" s="12" t="n"/>
      <c r="CQ72" s="12" t="n"/>
      <c r="CR72" s="12" t="n"/>
      <c r="CS72" s="12" t="n"/>
      <c r="CT72" s="12" t="n"/>
      <c r="CU72" s="12" t="n"/>
      <c r="CV72" s="12" t="n"/>
      <c r="CW72" s="12" t="n"/>
      <c r="CX72" s="12" t="n"/>
      <c r="CY72" s="12" t="n"/>
    </row>
    <row r="73" collapsed="1" customFormat="1" s="32">
      <c r="A73" s="30" t="n"/>
      <c r="B73" s="3" t="n"/>
      <c r="C73" s="33" t="inlineStr">
        <is>
          <t>Operating Profit - EBIT</t>
        </is>
      </c>
      <c r="D73" s="35" t="n"/>
      <c r="E73" s="35" t="n"/>
      <c r="F73" s="35" t="n"/>
      <c r="G73" s="35" t="n"/>
      <c r="H73" s="35" t="n"/>
      <c r="I73" s="35">
        <f>SUM(I69,I70)</f>
        <v>60.859090821</v>
      </c>
      <c r="J73" s="35">
        <f>SUM(J69,J70)</f>
        <v>73.784062476</v>
      </c>
      <c r="K73" s="35">
        <f>SUM(K69,K70)</f>
        <v>80.3504408250001</v>
      </c>
      <c r="L73" s="35">
        <f>SUM(L69,L70)</f>
        <v>73.288602229</v>
      </c>
      <c r="M73" s="35">
        <f>SUM(I73:L73)</f>
        <v>288.282196351</v>
      </c>
      <c r="N73" s="35">
        <f>SUM(N69,N70)</f>
        <v>76.008</v>
      </c>
      <c r="O73" s="35">
        <f>SUM(O69,O70)</f>
        <v>75.402</v>
      </c>
      <c r="P73" s="35">
        <f>SUM(P69,P70)</f>
        <v>80.787</v>
      </c>
      <c r="Q73" s="35">
        <f>SUM(Q69,Q70)</f>
        <v>121.46</v>
      </c>
      <c r="R73" s="35">
        <f>SUM(N73:Q73)</f>
        <v>353.657</v>
      </c>
      <c r="S73" s="35">
        <f>SUM(S69,S70)</f>
        <v>96.144</v>
      </c>
      <c r="T73" s="35">
        <f>SUM(T69,T70)</f>
        <v>117.555</v>
      </c>
      <c r="U73" s="35">
        <f>SUM(U69,U70)</f>
        <v>89.48176803</v>
      </c>
      <c r="V73" s="35">
        <f>SUM(V69,V70)</f>
        <v>65.854</v>
      </c>
      <c r="W73" s="35">
        <f>SUM(S73:V73)</f>
        <v>369.03476803</v>
      </c>
      <c r="X73" s="35">
        <f>SUM(X69,X70)</f>
        <v>131.76008472</v>
      </c>
      <c r="Y73" s="35">
        <f>SUM(Y69,Y70)</f>
        <v>161.884</v>
      </c>
      <c r="Z73" s="35">
        <f>SUM(Z69,Z70)</f>
        <v>168.517</v>
      </c>
      <c r="AA73" s="35">
        <f>SUM(AA69,AA70)</f>
        <v>206.291</v>
      </c>
      <c r="AB73" s="35">
        <f>SUM(X73:AA73)</f>
        <v>668.45208472</v>
      </c>
      <c r="AC73" s="35">
        <f>SUM(AC69,AC70)</f>
        <v>184.082</v>
      </c>
      <c r="AD73" s="35">
        <f>SUM(AD69,AD70)</f>
        <v>210.101</v>
      </c>
      <c r="AE73" s="35">
        <f>SUM(AE69,AE70)</f>
        <v>266.905</v>
      </c>
      <c r="AF73" s="35">
        <f>SUM(AF69,AF70)</f>
        <v>279.415</v>
      </c>
      <c r="AG73" s="35">
        <f>SUM(AC73:AF73)</f>
        <v>940.503</v>
      </c>
      <c r="AH73" s="35">
        <f>SUM(AH69,AH70)</f>
        <v>279.702</v>
      </c>
      <c r="AI73" s="35">
        <f>SUM(AI69,AI70)</f>
        <v>270.2</v>
      </c>
      <c r="AJ73" s="35">
        <f>SUM(AJ69,AJ70)</f>
        <v>325.095154795771</v>
      </c>
      <c r="AK73" s="35">
        <f>SUM(AK69,AK70)</f>
        <v>344.19390514812</v>
      </c>
      <c r="AL73" s="35">
        <f>SUM(AL69,AL70)</f>
        <v>1219.19105994389</v>
      </c>
      <c r="AM73" s="35">
        <f>SUM(AM69,AM70)</f>
        <v>326.977513254491</v>
      </c>
      <c r="AN73" s="35">
        <f>SUM(AN69,AN70)</f>
        <v>359.193808725351</v>
      </c>
      <c r="AO73" s="35">
        <f>SUM(AO69,AO70)</f>
        <v>417.131406575601</v>
      </c>
      <c r="AP73" s="35">
        <f>SUM(AP69,AP70)</f>
        <v>441.637119690017</v>
      </c>
      <c r="AQ73" s="35">
        <f>SUM(AQ69,AQ70)</f>
        <v>1544.93984824546</v>
      </c>
      <c r="AR73" s="35">
        <f>SUM(AR69,AR70)</f>
        <v>417.91178364795</v>
      </c>
      <c r="AS73" s="35">
        <f>SUM(AS69,AS70)</f>
        <v>459.087610599321</v>
      </c>
      <c r="AT73" s="35">
        <f>SUM(AT69,AT70)</f>
        <v>533.137977601257</v>
      </c>
      <c r="AU73" s="35">
        <f>SUM(AU69,AU70)</f>
        <v>564.458866231417</v>
      </c>
      <c r="AV73" s="35">
        <f>SUM(AV69,AV70)</f>
        <v>1974.59623807995</v>
      </c>
      <c r="AW73" s="35">
        <f>SUM(AW69,AW70)</f>
        <v>532.045822972314</v>
      </c>
      <c r="AX73" s="35">
        <f>SUM(AX69,AX70)</f>
        <v>584.46699795254</v>
      </c>
      <c r="AY73" s="35">
        <f>SUM(AY69,AY70)</f>
        <v>678.740933253049</v>
      </c>
      <c r="AZ73" s="35">
        <f>SUM(AZ69,AZ70)</f>
        <v>718.61573128338</v>
      </c>
      <c r="BA73" s="35">
        <f>SUM(BA69,BA70)</f>
        <v>2513.86948546128</v>
      </c>
      <c r="BB73" s="35">
        <f>SUM(BB69,BB70)</f>
        <v>674.690275987784</v>
      </c>
      <c r="BC73" s="35">
        <f>SUM(BC69,BC70)</f>
        <v>741.165860397838</v>
      </c>
      <c r="BD73" s="35">
        <f>SUM(BD69,BD70)</f>
        <v>860.715163634573</v>
      </c>
      <c r="BE73" s="35">
        <f>SUM(BE69,BE70)</f>
        <v>911.280617447827</v>
      </c>
      <c r="BF73" s="35">
        <f>SUM(BF69,BF70)</f>
        <v>3187.85191746802</v>
      </c>
      <c r="BG73" s="35" t="n"/>
      <c r="BH73" s="35" t="n"/>
      <c r="BI73" s="35" t="n"/>
      <c r="BJ73" s="35" t="n"/>
      <c r="BK73" s="35" t="n"/>
      <c r="BL73" s="35" t="n"/>
      <c r="BM73" s="35" t="n"/>
      <c r="BN73" s="35" t="n"/>
      <c r="BO73" s="35" t="n"/>
      <c r="BP73" s="35" t="n"/>
      <c r="BQ73" s="35" t="n"/>
      <c r="BR73" s="35" t="n"/>
      <c r="BS73" s="35" t="n"/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5" t="n"/>
      <c r="CH73" s="35" t="n"/>
      <c r="CI73" s="35" t="n"/>
      <c r="CJ73" s="35" t="n"/>
      <c r="CK73" s="35" t="n"/>
      <c r="CL73" s="35" t="n"/>
      <c r="CM73" s="35" t="n"/>
      <c r="CN73" s="35" t="n"/>
      <c r="CO73" s="35" t="n"/>
      <c r="CP73" s="35" t="n"/>
      <c r="CQ73" s="35" t="n"/>
      <c r="CR73" s="35" t="n"/>
      <c r="CS73" s="35" t="n"/>
      <c r="CT73" s="35" t="n"/>
      <c r="CU73" s="35" t="n"/>
      <c r="CV73" s="35" t="n"/>
      <c r="CW73" s="35" t="n"/>
      <c r="CX73" s="35" t="n"/>
      <c r="CY73" s="35" t="n"/>
    </row>
    <row r="74">
      <c r="C74" s="14" t="inlineStr">
        <is>
          <t>Interest Expense</t>
        </is>
      </c>
      <c r="D74" s="46" t="n"/>
      <c r="E74" s="46" t="n"/>
      <c r="F74" s="46" t="n"/>
      <c r="G74" s="46" t="n"/>
      <c r="H74" s="12" t="n"/>
      <c r="I74" s="46">
        <f>'Inputs (2)'!D8</f>
        <v>-28.65408838</v>
      </c>
      <c r="J74" s="46">
        <f>'Inputs (2)'!E8</f>
        <v>-26.86208838</v>
      </c>
      <c r="K74" s="46">
        <f>'Inputs (2)'!F8</f>
        <v>-39.94408838</v>
      </c>
      <c r="L74" s="46">
        <f>'Inputs (2)'!G8</f>
        <v>-61.886734859</v>
      </c>
      <c r="M74" s="12">
        <f>'Inputs (2)'!H8</f>
        <v>-157.346999999</v>
      </c>
      <c r="N74" s="46">
        <f>'Inputs (2)'!I8</f>
        <v>-60.801</v>
      </c>
      <c r="O74" s="46">
        <f>'Inputs (2)'!J8</f>
        <v>-65.049</v>
      </c>
      <c r="P74" s="46">
        <f>'Inputs (2)'!K8</f>
        <v>-68.711</v>
      </c>
      <c r="Q74" s="46">
        <f>'Inputs (2)'!L8</f>
        <v>-74.805</v>
      </c>
      <c r="R74" s="12">
        <f>'Inputs (2)'!M8</f>
        <v>-269.366</v>
      </c>
      <c r="S74" s="46">
        <f>'Inputs (2)'!N8</f>
        <v>-69.26</v>
      </c>
      <c r="T74" s="46">
        <f>'Inputs (2)'!O8</f>
        <v>-69.299</v>
      </c>
      <c r="U74" s="46">
        <f>'Inputs (2)'!P8</f>
        <v>-75.55089145</v>
      </c>
      <c r="V74" s="46">
        <f>'Inputs (2)'!Q8</f>
        <v>-73.935</v>
      </c>
      <c r="W74" s="12">
        <f>'Inputs (2)'!R8</f>
        <v>-288.04489145</v>
      </c>
      <c r="X74" s="46">
        <f>'Inputs (2)'!S8</f>
        <v>-40.24869382</v>
      </c>
      <c r="Y74" s="46">
        <f>'Inputs (2)'!T8</f>
        <v>-65.707</v>
      </c>
      <c r="Z74" s="46">
        <f>'Inputs (2)'!U8</f>
        <v>-59.33</v>
      </c>
      <c r="AA74" s="46">
        <f>'Inputs (2)'!V8</f>
        <v>-91.503</v>
      </c>
      <c r="AB74" s="12">
        <f>'Inputs (2)'!W8</f>
        <v>-256.78869382</v>
      </c>
      <c r="AC74" s="46">
        <f>'Inputs (2)'!X8</f>
        <v>-61.29</v>
      </c>
      <c r="AD74" s="46">
        <f>'Inputs (2)'!Y8</f>
        <v>-79.992</v>
      </c>
      <c r="AE74" s="46">
        <f>'Inputs (2)'!Z8</f>
        <v>-92.014</v>
      </c>
      <c r="AF74" s="46">
        <f>'Inputs (2)'!AA8</f>
        <v>-113.765</v>
      </c>
      <c r="AG74" s="12">
        <f>'Inputs (2)'!AB8</f>
        <v>-347.061</v>
      </c>
      <c r="AH74" s="12">
        <f>'Inputs (2)'!AC8</f>
        <v>-119.807</v>
      </c>
      <c r="AI74" s="12">
        <f>'Inputs (2)'!AD8</f>
        <v>-140.037</v>
      </c>
      <c r="AJ74" s="12" t="str">
        <f>IF(Control!$E$9="","",-AI92*Control!$E$9/4)</f>
        <v/>
      </c>
      <c r="AK74" s="12" t="str">
        <f>IF(Control!$E$9="","",-AJ92*Control!$E$9/4)</f>
        <v/>
      </c>
      <c r="AL74" s="12">
        <f>SUM(AH74:AK74)</f>
        <v>-259.844</v>
      </c>
      <c r="AM74" s="12" t="str">
        <f>IF(Control!$E$9="","",-AL92*Control!$E$9/4)</f>
        <v/>
      </c>
      <c r="AN74" s="12" t="str">
        <f>IF(Control!$E$9="","",-AM92*Control!$E$9/4)</f>
        <v/>
      </c>
      <c r="AO74" s="12" t="str">
        <f>IF(Control!$E$9="","",-AN92*Control!$E$9/4)</f>
        <v/>
      </c>
      <c r="AP74" s="12" t="str">
        <f>IF(Control!$E$9="","",-AO92*Control!$E$9/4)</f>
        <v/>
      </c>
      <c r="AQ74" s="12">
        <f>SUM(AM74:AP74)</f>
        <v>0</v>
      </c>
      <c r="AR74" s="12" t="str">
        <f>IF(Control!$E$9="","",-AQ92*Control!$E$9/4)</f>
        <v/>
      </c>
      <c r="AS74" s="12" t="str">
        <f>IF(Control!$E$9="","",-AR92*Control!$E$9/4)</f>
        <v/>
      </c>
      <c r="AT74" s="12" t="str">
        <f>IF(Control!$E$9="","",-AS92*Control!$E$9/4)</f>
        <v/>
      </c>
      <c r="AU74" s="12" t="str">
        <f>IF(Control!$E$9="","",-AT92*Control!$E$9/4)</f>
        <v/>
      </c>
      <c r="AV74" s="12">
        <f>SUM(AR74:AU74)</f>
        <v>0</v>
      </c>
      <c r="AW74" s="12" t="str">
        <f>IF(Control!$E$9="","",-AV92*Control!$E$9/4)</f>
        <v/>
      </c>
      <c r="AX74" s="12" t="str">
        <f>IF(Control!$E$9="","",-AW92*Control!$E$9/4)</f>
        <v/>
      </c>
      <c r="AY74" s="12" t="str">
        <f>IF(Control!$E$9="","",-AX92*Control!$E$9/4)</f>
        <v/>
      </c>
      <c r="AZ74" s="12" t="str">
        <f>IF(Control!$E$9="","",-AY92*Control!$E$9/4)</f>
        <v/>
      </c>
      <c r="BA74" s="12">
        <f>SUM(AW74:AZ74)</f>
        <v>0</v>
      </c>
      <c r="BB74" s="12" t="str">
        <f>IF(Control!$E$9="","",-BA92*Control!$E$9/4)</f>
        <v/>
      </c>
      <c r="BC74" s="12" t="str">
        <f>IF(Control!$E$9="","",-BB92*Control!$E$9/4)</f>
        <v/>
      </c>
      <c r="BD74" s="12" t="str">
        <f>IF(Control!$E$9="","",-BC92*Control!$E$9/4)</f>
        <v/>
      </c>
      <c r="BE74" s="12" t="str">
        <f>IF(Control!$E$9="","",-BD92*Control!$E$9/4)</f>
        <v/>
      </c>
      <c r="BF74" s="12">
        <f>SUM(BB74:BE74)</f>
        <v>0</v>
      </c>
      <c r="BG74" s="12" t="n"/>
      <c r="BH74" s="12" t="n"/>
      <c r="BI74" s="12" t="n"/>
      <c r="BJ74" s="12" t="n"/>
      <c r="BK74" s="12" t="n"/>
      <c r="BL74" s="12" t="n"/>
      <c r="BM74" s="12" t="n"/>
      <c r="BN74" s="12" t="n"/>
      <c r="BO74" s="12" t="n"/>
      <c r="BP74" s="12" t="n"/>
      <c r="BQ74" s="12" t="n"/>
      <c r="BR74" s="12" t="n"/>
      <c r="BS74" s="12" t="n"/>
      <c r="BT74" s="12" t="n"/>
      <c r="BU74" s="12" t="n"/>
      <c r="BV74" s="12" t="n"/>
      <c r="BW74" s="12" t="n"/>
      <c r="BX74" s="12" t="n"/>
      <c r="BY74" s="12" t="n"/>
      <c r="BZ74" s="12" t="n"/>
      <c r="CA74" s="12" t="n"/>
      <c r="CB74" s="12" t="n"/>
      <c r="CC74" s="12" t="n"/>
      <c r="CD74" s="12" t="n"/>
      <c r="CE74" s="12" t="n"/>
      <c r="CF74" s="12" t="n"/>
      <c r="CG74" s="12" t="n"/>
      <c r="CH74" s="12" t="n"/>
      <c r="CI74" s="12" t="n"/>
      <c r="CJ74" s="12" t="n"/>
      <c r="CK74" s="12" t="n"/>
      <c r="CL74" s="12" t="n"/>
      <c r="CM74" s="12" t="n"/>
      <c r="CN74" s="12" t="n"/>
      <c r="CO74" s="12" t="n"/>
      <c r="CP74" s="12" t="n"/>
      <c r="CQ74" s="12" t="n"/>
      <c r="CR74" s="12" t="n"/>
      <c r="CS74" s="12" t="n"/>
      <c r="CT74" s="12" t="n"/>
      <c r="CU74" s="12" t="n"/>
      <c r="CV74" s="12" t="n"/>
      <c r="CW74" s="12" t="n"/>
      <c r="CX74" s="12" t="n"/>
      <c r="CY74" s="12" t="n"/>
    </row>
    <row r="75" hidden="1" outlineLevel="1">
      <c r="C75" s="50" t="inlineStr">
        <is>
          <t>% of Debt</t>
        </is>
      </c>
      <c r="D75" s="53" t="n"/>
      <c r="E75" s="53" t="n"/>
      <c r="F75" s="53" t="n"/>
      <c r="G75" s="53" t="n"/>
      <c r="H75" s="12" t="n"/>
      <c r="I75" s="53">
        <f>IFERROR(-I74/SUM(I212+I217),"")</f>
        <v>0.0266010462327988</v>
      </c>
      <c r="J75" s="53">
        <f>IFERROR(-J74/SUM(J212+J217),"")</f>
        <v>0.0225610687874326</v>
      </c>
      <c r="K75" s="53">
        <f>IFERROR(-K74/SUM(K212+K217),"")</f>
        <v>0.0332534591463044</v>
      </c>
      <c r="L75" s="53">
        <f>IFERROR(-L74/SUM(L212+L217),"")</f>
        <v>0.0498522918917482</v>
      </c>
      <c r="M75" s="12" t="n"/>
      <c r="N75" s="53">
        <f>IFERROR(-N74/SUM(N212+N217),"")</f>
        <v>0.0470979101420738</v>
      </c>
      <c r="O75" s="53">
        <f>IFERROR(-O74/SUM(O212+O217),"")</f>
        <v>0.0553863051955793</v>
      </c>
      <c r="P75" s="53">
        <f>IFERROR(-P74/SUM(P212+P217),"")</f>
        <v>0.0465042774378689</v>
      </c>
      <c r="Q75" s="53">
        <f>IFERROR(-Q74/SUM(Q212+Q217),"")</f>
        <v>0.053823284353581</v>
      </c>
      <c r="R75" s="12" t="n"/>
      <c r="S75" s="53">
        <f>IFERROR(-S74/SUM(S212+S217),"")</f>
        <v>0.0500536960672509</v>
      </c>
      <c r="T75" s="53">
        <f>IFERROR(-T74/SUM(T212+T217),"")</f>
        <v>0.047970101666241</v>
      </c>
      <c r="U75" s="53">
        <f>IFERROR(-U74/SUM(U212+U217),"")</f>
        <v>0.0585090712772252</v>
      </c>
      <c r="V75" s="53">
        <f>IFERROR(-V74/SUM(V212+V217),"")</f>
        <v>0.0558824952155786</v>
      </c>
      <c r="W75" s="12" t="n"/>
      <c r="X75" s="53">
        <f>IFERROR(-X74/SUM(X212+X217),"")</f>
        <v>0.030579466509649</v>
      </c>
      <c r="Y75" s="53">
        <f>IFERROR(-Y74/SUM(Y212+Y217),"")</f>
        <v>0.0491270962773553</v>
      </c>
      <c r="Z75" s="53">
        <f>IFERROR(-Z74/SUM(Z212+Z217),"")</f>
        <v>0.0353021037352998</v>
      </c>
      <c r="AA75" s="53">
        <f>IFERROR(-AA74/SUM(AA212+AA217),"")</f>
        <v>0.0590471077222696</v>
      </c>
      <c r="AB75" s="12" t="n"/>
      <c r="AC75" s="53">
        <f>IFERROR(-AC74/SUM(AC212+AC217),"")</f>
        <v>0.0323584785126821</v>
      </c>
      <c r="AD75" s="53">
        <f>IFERROR(-AD74/SUM(AD212+AD217),"")</f>
        <v>0.0394651931521042</v>
      </c>
      <c r="AE75" s="53">
        <f>IFERROR(-AE74/SUM(AE212+AE217),"")</f>
        <v>0.0356693596812265</v>
      </c>
      <c r="AF75" s="55">
        <f>IFERROR(-AF74/SUM(AF212+AF217),"")</f>
        <v>0.0412439044108664</v>
      </c>
      <c r="AG75" s="12" t="n"/>
      <c r="AH75" s="11">
        <f>IFERROR(-AH74/SUM(AH212+AH217),"")</f>
        <v>0.038945642471285</v>
      </c>
      <c r="AI75" s="11">
        <f>IFERROR(-AI74/SUM(AI212+AI217),"")</f>
        <v>0.0473719089116507</v>
      </c>
      <c r="AJ75" s="11" t="str">
        <f>IFERROR(Control!$E$9,0)</f>
        <v/>
      </c>
      <c r="AK75" s="11" t="str">
        <f>IFERROR(Control!$E$9,0)</f>
        <v/>
      </c>
      <c r="AL75" s="12" t="n"/>
      <c r="AM75" s="11" t="str">
        <f>IFERROR(Control!$E$9,0)</f>
        <v/>
      </c>
      <c r="AN75" s="11" t="str">
        <f>IFERROR(Control!$E$9,0)</f>
        <v/>
      </c>
      <c r="AO75" s="11" t="str">
        <f>IFERROR(Control!$E$9,0)</f>
        <v/>
      </c>
      <c r="AP75" s="11" t="str">
        <f>IFERROR(Control!$E$9,0)</f>
        <v/>
      </c>
      <c r="AQ75" s="12" t="n"/>
      <c r="AR75" s="11" t="str">
        <f>IFERROR(Control!$E$9,0)</f>
        <v/>
      </c>
      <c r="AS75" s="11" t="str">
        <f>IFERROR(Control!$E$9,0)</f>
        <v/>
      </c>
      <c r="AT75" s="11" t="str">
        <f>IFERROR(Control!$E$9,0)</f>
        <v/>
      </c>
      <c r="AU75" s="11" t="str">
        <f>IFERROR(Control!$E$9,0)</f>
        <v/>
      </c>
      <c r="AV75" s="12" t="n"/>
      <c r="AW75" s="11" t="str">
        <f>IFERROR(Control!$E$9,0)</f>
        <v/>
      </c>
      <c r="AX75" s="11" t="str">
        <f>IFERROR(Control!$E$9,0)</f>
        <v/>
      </c>
      <c r="AY75" s="11" t="str">
        <f>IFERROR(Control!$E$9,0)</f>
        <v/>
      </c>
      <c r="AZ75" s="11" t="str">
        <f>IFERROR(Control!$E$9,0)</f>
        <v/>
      </c>
      <c r="BA75" s="12" t="n"/>
      <c r="BB75" s="11" t="str">
        <f>IFERROR(Control!$E$9,0)</f>
        <v/>
      </c>
      <c r="BC75" s="11" t="str">
        <f>IFERROR(Control!$E$9,0)</f>
        <v/>
      </c>
      <c r="BD75" s="11" t="str">
        <f>IFERROR(Control!$E$9,0)</f>
        <v/>
      </c>
      <c r="BE75" s="11" t="str">
        <f>IFERROR(Control!$E$9,0)</f>
        <v/>
      </c>
      <c r="BF75" s="12" t="n"/>
      <c r="BG75" s="11" t="n"/>
      <c r="BH75" s="11" t="n"/>
      <c r="BI75" s="11" t="n"/>
      <c r="BJ75" s="11" t="n"/>
      <c r="BK75" s="12" t="n"/>
      <c r="BL75" s="11" t="n"/>
      <c r="BM75" s="11" t="n"/>
      <c r="BN75" s="11" t="n"/>
      <c r="BO75" s="11" t="n"/>
      <c r="BP75" s="12" t="n"/>
      <c r="BQ75" s="11" t="n"/>
      <c r="BR75" s="11" t="n"/>
      <c r="BS75" s="11" t="n"/>
      <c r="BT75" s="11" t="n"/>
      <c r="BU75" s="12" t="n"/>
      <c r="BV75" s="11" t="n"/>
      <c r="BW75" s="11" t="n"/>
      <c r="BX75" s="11" t="n"/>
      <c r="BY75" s="11" t="n"/>
      <c r="BZ75" s="12" t="n"/>
      <c r="CA75" s="11" t="n"/>
      <c r="CB75" s="11" t="n"/>
      <c r="CC75" s="11" t="n"/>
      <c r="CD75" s="11" t="n"/>
      <c r="CE75" s="12" t="n"/>
      <c r="CF75" s="11" t="n"/>
      <c r="CG75" s="11" t="n"/>
      <c r="CH75" s="11" t="n"/>
      <c r="CI75" s="11" t="n"/>
      <c r="CJ75" s="12" t="n"/>
      <c r="CK75" s="11" t="n"/>
      <c r="CL75" s="11" t="n"/>
      <c r="CM75" s="11" t="n"/>
      <c r="CN75" s="11" t="n"/>
      <c r="CO75" s="12" t="n"/>
      <c r="CP75" s="11" t="n"/>
      <c r="CQ75" s="11" t="n"/>
      <c r="CR75" s="11" t="n"/>
      <c r="CS75" s="11" t="n"/>
      <c r="CT75" s="12" t="n"/>
      <c r="CU75" s="11" t="n"/>
      <c r="CV75" s="11" t="n"/>
      <c r="CW75" s="11" t="n"/>
      <c r="CX75" s="11" t="n"/>
      <c r="CY75" s="12" t="n"/>
    </row>
    <row r="76" hidden="1" outlineLevel="1">
      <c r="C76" s="50" t="inlineStr">
        <is>
          <t>%CDI</t>
        </is>
      </c>
      <c r="D76" s="11" t="n"/>
      <c r="E76" s="11" t="n"/>
      <c r="F76" s="11" t="n"/>
      <c r="G76" s="11" t="n"/>
      <c r="H76" s="12" t="n"/>
      <c r="I76" s="11" t="n"/>
      <c r="J76" s="11" t="n"/>
      <c r="K76" s="11" t="n"/>
      <c r="L76" s="11" t="n"/>
      <c r="M76" s="12" t="n"/>
      <c r="N76" s="11" t="n"/>
      <c r="O76" s="11" t="n"/>
      <c r="P76" s="11" t="n"/>
      <c r="Q76" s="11" t="n"/>
      <c r="R76" s="12" t="n"/>
      <c r="S76" s="11" t="n"/>
      <c r="T76" s="11" t="n"/>
      <c r="U76" s="11" t="n"/>
      <c r="V76" s="11" t="n"/>
      <c r="W76" s="12" t="n"/>
      <c r="X76" s="11" t="n"/>
      <c r="Y76" s="11" t="n"/>
      <c r="Z76" s="11" t="n"/>
      <c r="AA76" s="11" t="n"/>
      <c r="AB76" s="12" t="n"/>
      <c r="AC76" s="11" t="n"/>
      <c r="AD76" s="11" t="n"/>
      <c r="AE76" s="11" t="n"/>
      <c r="AF76" s="11" t="n"/>
      <c r="AG76" s="12" t="n"/>
      <c r="AH76" s="11" t="n"/>
      <c r="AI76" s="11" t="n"/>
      <c r="AJ76" s="11" t="n"/>
      <c r="AK76" s="11" t="n"/>
      <c r="AL76" s="12" t="n"/>
      <c r="AM76" s="11" t="n"/>
      <c r="AN76" s="11" t="n"/>
      <c r="AO76" s="11" t="n"/>
      <c r="AP76" s="11" t="n"/>
      <c r="AQ76" s="12" t="n"/>
      <c r="AR76" s="11" t="n"/>
      <c r="AS76" s="11" t="n"/>
      <c r="AT76" s="11" t="n"/>
      <c r="AU76" s="11" t="n"/>
      <c r="AV76" s="12" t="n"/>
      <c r="AW76" s="11" t="n"/>
      <c r="AX76" s="11" t="n"/>
      <c r="AY76" s="11" t="n"/>
      <c r="AZ76" s="11" t="n"/>
      <c r="BA76" s="12" t="n"/>
      <c r="BB76" s="11" t="n"/>
      <c r="BC76" s="11" t="n"/>
      <c r="BD76" s="11" t="n"/>
      <c r="BE76" s="11" t="n"/>
      <c r="BF76" s="12" t="n"/>
      <c r="BG76" s="11" t="n"/>
      <c r="BH76" s="11" t="n"/>
      <c r="BI76" s="11" t="n"/>
      <c r="BJ76" s="11" t="n"/>
      <c r="BK76" s="12" t="n"/>
      <c r="BL76" s="11" t="n"/>
      <c r="BM76" s="11" t="n"/>
      <c r="BN76" s="11" t="n"/>
      <c r="BO76" s="11" t="n"/>
      <c r="BP76" s="12" t="n"/>
      <c r="BQ76" s="11" t="n"/>
      <c r="BR76" s="11" t="n"/>
      <c r="BS76" s="11" t="n"/>
      <c r="BT76" s="11" t="n"/>
      <c r="BU76" s="12" t="n"/>
      <c r="BV76" s="11" t="n"/>
      <c r="BW76" s="11" t="n"/>
      <c r="BX76" s="11" t="n"/>
      <c r="BY76" s="11" t="n"/>
      <c r="BZ76" s="12" t="n"/>
      <c r="CA76" s="11" t="n"/>
      <c r="CB76" s="11" t="n"/>
      <c r="CC76" s="11" t="n"/>
      <c r="CD76" s="11" t="n"/>
      <c r="CE76" s="12" t="n"/>
      <c r="CF76" s="11" t="n"/>
      <c r="CG76" s="11" t="n"/>
      <c r="CH76" s="11" t="n"/>
      <c r="CI76" s="11" t="n"/>
      <c r="CJ76" s="12" t="n"/>
      <c r="CK76" s="11" t="n"/>
      <c r="CL76" s="11" t="n"/>
      <c r="CM76" s="11" t="n"/>
      <c r="CN76" s="11" t="n"/>
      <c r="CO76" s="12" t="n"/>
      <c r="CP76" s="11" t="n"/>
      <c r="CQ76" s="11" t="n"/>
      <c r="CR76" s="11" t="n"/>
      <c r="CS76" s="11" t="n"/>
      <c r="CT76" s="12" t="n"/>
      <c r="CU76" s="11" t="n"/>
      <c r="CV76" s="11" t="n"/>
      <c r="CW76" s="11" t="n"/>
      <c r="CX76" s="11" t="n"/>
      <c r="CY76" s="12" t="n"/>
    </row>
    <row r="77" hidden="1" outlineLevel="1">
      <c r="C77" s="57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2" t="n"/>
      <c r="AC77" s="12" t="n"/>
      <c r="AD77" s="12" t="n"/>
      <c r="AE77" s="12" t="n"/>
      <c r="AF77" s="12" t="n"/>
      <c r="AG77" s="12" t="n"/>
      <c r="AH77" s="12" t="n"/>
      <c r="AI77" s="12" t="n"/>
      <c r="AJ77" s="12" t="n"/>
      <c r="AK77" s="12" t="n"/>
      <c r="AL77" s="12" t="n"/>
      <c r="AM77" s="12" t="n"/>
      <c r="AN77" s="12" t="n"/>
      <c r="AO77" s="12" t="n"/>
      <c r="AP77" s="12" t="n"/>
      <c r="AQ77" s="12" t="n"/>
      <c r="AR77" s="12" t="n"/>
      <c r="AS77" s="12" t="n"/>
      <c r="AT77" s="12" t="n"/>
      <c r="AU77" s="12" t="n"/>
      <c r="AV77" s="12" t="n"/>
      <c r="AW77" s="12" t="n"/>
      <c r="AX77" s="12" t="n"/>
      <c r="AY77" s="12" t="n"/>
      <c r="AZ77" s="12" t="n"/>
      <c r="BA77" s="12" t="n"/>
      <c r="BB77" s="12" t="n"/>
      <c r="BC77" s="12" t="n"/>
      <c r="BD77" s="12" t="n"/>
      <c r="BE77" s="12" t="n"/>
      <c r="BF77" s="12" t="n"/>
      <c r="BG77" s="12" t="n"/>
      <c r="BH77" s="12" t="n"/>
      <c r="BI77" s="12" t="n"/>
      <c r="BJ77" s="12" t="n"/>
      <c r="BK77" s="12" t="n"/>
      <c r="BL77" s="12" t="n"/>
      <c r="BM77" s="12" t="n"/>
      <c r="BN77" s="12" t="n"/>
      <c r="BO77" s="12" t="n"/>
      <c r="BP77" s="12" t="n"/>
      <c r="BQ77" s="12" t="n"/>
      <c r="BR77" s="12" t="n"/>
      <c r="BS77" s="12" t="n"/>
      <c r="BT77" s="12" t="n"/>
      <c r="BU77" s="12" t="n"/>
      <c r="BV77" s="12" t="n"/>
      <c r="BW77" s="12" t="n"/>
      <c r="BX77" s="12" t="n"/>
      <c r="BY77" s="12" t="n"/>
      <c r="BZ77" s="12" t="n"/>
      <c r="CA77" s="12" t="n"/>
      <c r="CB77" s="12" t="n"/>
      <c r="CC77" s="12" t="n"/>
      <c r="CD77" s="12" t="n"/>
      <c r="CE77" s="12" t="n"/>
      <c r="CF77" s="12" t="n"/>
      <c r="CG77" s="12" t="n"/>
      <c r="CH77" s="12" t="n"/>
      <c r="CI77" s="12" t="n"/>
      <c r="CJ77" s="12" t="n"/>
      <c r="CK77" s="12" t="n"/>
      <c r="CL77" s="12" t="n"/>
      <c r="CM77" s="12" t="n"/>
      <c r="CN77" s="12" t="n"/>
      <c r="CO77" s="12" t="n"/>
      <c r="CP77" s="12" t="n"/>
      <c r="CQ77" s="12" t="n"/>
      <c r="CR77" s="12" t="n"/>
      <c r="CS77" s="12" t="n"/>
      <c r="CT77" s="12" t="n"/>
      <c r="CU77" s="12" t="n"/>
      <c r="CV77" s="12" t="n"/>
      <c r="CW77" s="12" t="n"/>
      <c r="CX77" s="12" t="n"/>
      <c r="CY77" s="12" t="n"/>
    </row>
    <row r="78" hidden="1" outlineLevel="1">
      <c r="C78" s="57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  <c r="U78" s="12" t="n"/>
      <c r="V78" s="12" t="n"/>
      <c r="W78" s="12" t="n"/>
      <c r="X78" s="12" t="n"/>
      <c r="Y78" s="12" t="n"/>
      <c r="Z78" s="12" t="n"/>
      <c r="AA78" s="12" t="n"/>
      <c r="AB78" s="12" t="n"/>
      <c r="AC78" s="12" t="n"/>
      <c r="AD78" s="12" t="n"/>
      <c r="AE78" s="12" t="n"/>
      <c r="AF78" s="12" t="n"/>
      <c r="AG78" s="12" t="n"/>
      <c r="AH78" s="12" t="n"/>
      <c r="AI78" s="12" t="n"/>
      <c r="AJ78" s="12" t="n"/>
      <c r="AK78" s="12" t="n"/>
      <c r="AL78" s="12" t="n"/>
      <c r="AM78" s="12" t="n"/>
      <c r="AN78" s="12" t="n"/>
      <c r="AO78" s="12" t="n"/>
      <c r="AP78" s="12" t="n"/>
      <c r="AQ78" s="12" t="n"/>
      <c r="AR78" s="12" t="n"/>
      <c r="AS78" s="12" t="n"/>
      <c r="AT78" s="12" t="n"/>
      <c r="AU78" s="12" t="n"/>
      <c r="AV78" s="12" t="n"/>
      <c r="AW78" s="12" t="n"/>
      <c r="AX78" s="12" t="n"/>
      <c r="AY78" s="12" t="n"/>
      <c r="AZ78" s="12" t="n"/>
      <c r="BA78" s="12" t="n"/>
      <c r="BB78" s="12" t="n"/>
      <c r="BC78" s="12" t="n"/>
      <c r="BD78" s="12" t="n"/>
      <c r="BE78" s="12" t="n"/>
      <c r="BF78" s="12" t="n"/>
      <c r="BG78" s="12" t="n"/>
      <c r="BH78" s="12" t="n"/>
      <c r="BI78" s="12" t="n"/>
      <c r="BJ78" s="12" t="n"/>
      <c r="BK78" s="12" t="n"/>
      <c r="BL78" s="12" t="n"/>
      <c r="BM78" s="12" t="n"/>
      <c r="BN78" s="12" t="n"/>
      <c r="BO78" s="12" t="n"/>
      <c r="BP78" s="12" t="n"/>
      <c r="BQ78" s="12" t="n"/>
      <c r="BR78" s="12" t="n"/>
      <c r="BS78" s="12" t="n"/>
      <c r="BT78" s="12" t="n"/>
      <c r="BU78" s="12" t="n"/>
      <c r="BV78" s="12" t="n"/>
      <c r="BW78" s="12" t="n"/>
      <c r="BX78" s="12" t="n"/>
      <c r="BY78" s="12" t="n"/>
      <c r="BZ78" s="12" t="n"/>
      <c r="CA78" s="12" t="n"/>
      <c r="CB78" s="12" t="n"/>
      <c r="CC78" s="12" t="n"/>
      <c r="CD78" s="12" t="n"/>
      <c r="CE78" s="12" t="n"/>
      <c r="CF78" s="12" t="n"/>
      <c r="CG78" s="12" t="n"/>
      <c r="CH78" s="12" t="n"/>
      <c r="CI78" s="12" t="n"/>
      <c r="CJ78" s="12" t="n"/>
      <c r="CK78" s="12" t="n"/>
      <c r="CL78" s="12" t="n"/>
      <c r="CM78" s="12" t="n"/>
      <c r="CN78" s="12" t="n"/>
      <c r="CO78" s="12" t="n"/>
      <c r="CP78" s="12" t="n"/>
      <c r="CQ78" s="12" t="n"/>
      <c r="CR78" s="12" t="n"/>
      <c r="CS78" s="12" t="n"/>
      <c r="CT78" s="12" t="n"/>
      <c r="CU78" s="12" t="n"/>
      <c r="CV78" s="12" t="n"/>
      <c r="CW78" s="12" t="n"/>
      <c r="CX78" s="12" t="n"/>
      <c r="CY78" s="12" t="n"/>
    </row>
    <row r="79" hidden="1" outlineLevel="1">
      <c r="C79" s="57" t="inlineStr">
        <is>
          <t>RECEITA FINANCEIRA</t>
        </is>
      </c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  <c r="AB79" s="12" t="n"/>
      <c r="AC79" s="12" t="n"/>
      <c r="AD79" s="12" t="n"/>
      <c r="AE79" s="12" t="n"/>
      <c r="AF79" s="12" t="n"/>
      <c r="AG79" s="12" t="n"/>
      <c r="AH79" s="12" t="n"/>
      <c r="AI79" s="12" t="n"/>
      <c r="AJ79" s="12" t="n"/>
      <c r="AK79" s="12" t="n"/>
      <c r="AL79" s="12" t="n"/>
      <c r="AM79" s="12" t="n"/>
      <c r="AN79" s="12" t="n"/>
      <c r="AO79" s="12" t="n"/>
      <c r="AP79" s="12" t="n"/>
      <c r="AQ79" s="12" t="n"/>
      <c r="AR79" s="12" t="n"/>
      <c r="AS79" s="12" t="n"/>
      <c r="AT79" s="12" t="n"/>
      <c r="AU79" s="12" t="n"/>
      <c r="AV79" s="12" t="n"/>
      <c r="AW79" s="12" t="n"/>
      <c r="AX79" s="12" t="n"/>
      <c r="AY79" s="12" t="n"/>
      <c r="AZ79" s="12" t="n"/>
      <c r="BA79" s="12" t="n"/>
      <c r="BB79" s="12" t="n"/>
      <c r="BC79" s="12" t="n"/>
      <c r="BD79" s="12" t="n"/>
      <c r="BE79" s="12" t="n"/>
      <c r="BF79" s="12" t="n"/>
      <c r="BG79" s="12" t="n"/>
      <c r="BH79" s="12" t="n"/>
      <c r="BI79" s="12" t="n"/>
      <c r="BJ79" s="12" t="n"/>
      <c r="BK79" s="12" t="n"/>
      <c r="BL79" s="12" t="n"/>
      <c r="BM79" s="12" t="n"/>
      <c r="BN79" s="12" t="n"/>
      <c r="BO79" s="12" t="n"/>
      <c r="BP79" s="12" t="n"/>
      <c r="BQ79" s="12" t="n"/>
      <c r="BR79" s="12" t="n"/>
      <c r="BS79" s="12" t="n"/>
      <c r="BT79" s="12" t="n"/>
      <c r="BU79" s="12" t="n"/>
      <c r="BV79" s="12" t="n"/>
      <c r="BW79" s="12" t="n"/>
      <c r="BX79" s="12" t="n"/>
      <c r="BY79" s="12" t="n"/>
      <c r="BZ79" s="12" t="n"/>
      <c r="CA79" s="12" t="n"/>
      <c r="CB79" s="12" t="n"/>
      <c r="CC79" s="12" t="n"/>
      <c r="CD79" s="12" t="n"/>
      <c r="CE79" s="12" t="n"/>
      <c r="CF79" s="12" t="n"/>
      <c r="CG79" s="12" t="n"/>
      <c r="CH79" s="12" t="n"/>
      <c r="CI79" s="12" t="n"/>
      <c r="CJ79" s="12" t="n"/>
      <c r="CK79" s="12" t="n"/>
      <c r="CL79" s="12" t="n"/>
      <c r="CM79" s="12" t="n"/>
      <c r="CN79" s="12" t="n"/>
      <c r="CO79" s="12" t="n"/>
      <c r="CP79" s="12" t="n"/>
      <c r="CQ79" s="12" t="n"/>
      <c r="CR79" s="12" t="n"/>
      <c r="CS79" s="12" t="n"/>
      <c r="CT79" s="12" t="n"/>
      <c r="CU79" s="12" t="n"/>
      <c r="CV79" s="12" t="n"/>
      <c r="CW79" s="12" t="n"/>
      <c r="CX79" s="12" t="n"/>
      <c r="CY79" s="12" t="n"/>
    </row>
    <row r="80" hidden="1" outlineLevel="1">
      <c r="C80" s="57" t="inlineStr">
        <is>
          <t>DESPESA FINANCEIRA</t>
        </is>
      </c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  <c r="V80" s="12" t="n"/>
      <c r="W80" s="12" t="n"/>
      <c r="X80" s="12" t="n"/>
      <c r="Y80" s="12" t="n"/>
      <c r="Z80" s="12" t="n"/>
      <c r="AA80" s="12" t="n"/>
      <c r="AB80" s="12" t="n"/>
      <c r="AC80" s="12" t="n"/>
      <c r="AD80" s="12" t="n"/>
      <c r="AE80" s="12" t="n"/>
      <c r="AF80" s="12" t="n"/>
      <c r="AG80" s="12" t="n"/>
      <c r="AH80" s="12" t="n"/>
      <c r="AI80" s="12" t="n"/>
      <c r="AJ80" s="12" t="n"/>
      <c r="AK80" s="12" t="n"/>
      <c r="AL80" s="12" t="n"/>
      <c r="AM80" s="12" t="n"/>
      <c r="AN80" s="12" t="n"/>
      <c r="AO80" s="12" t="n"/>
      <c r="AP80" s="12" t="n"/>
      <c r="AQ80" s="12" t="n"/>
      <c r="AR80" s="12" t="n"/>
      <c r="AS80" s="12" t="n"/>
      <c r="AT80" s="12" t="n"/>
      <c r="AU80" s="12" t="n"/>
      <c r="AV80" s="12" t="n"/>
      <c r="AW80" s="12" t="n"/>
      <c r="AX80" s="12" t="n"/>
      <c r="AY80" s="12" t="n"/>
      <c r="AZ80" s="12" t="n"/>
      <c r="BA80" s="12" t="n"/>
      <c r="BB80" s="12" t="n"/>
      <c r="BC80" s="12" t="n"/>
      <c r="BD80" s="12" t="n"/>
      <c r="BE80" s="12" t="n"/>
      <c r="BF80" s="12" t="n"/>
      <c r="BG80" s="12" t="n"/>
      <c r="BH80" s="12" t="n"/>
      <c r="BI80" s="12" t="n"/>
      <c r="BJ80" s="12" t="n"/>
      <c r="BK80" s="12" t="n"/>
      <c r="BL80" s="12" t="n"/>
      <c r="BM80" s="12" t="n"/>
      <c r="BN80" s="12" t="n"/>
      <c r="BO80" s="12" t="n"/>
      <c r="BP80" s="12" t="n"/>
      <c r="BQ80" s="12" t="n"/>
      <c r="BR80" s="12" t="n"/>
      <c r="BS80" s="12" t="n"/>
      <c r="BT80" s="12" t="n"/>
      <c r="BU80" s="12" t="n"/>
      <c r="BV80" s="12" t="n"/>
      <c r="BW80" s="12" t="n"/>
      <c r="BX80" s="12" t="n"/>
      <c r="BY80" s="12" t="n"/>
      <c r="BZ80" s="12" t="n"/>
      <c r="CA80" s="12" t="n"/>
      <c r="CB80" s="12" t="n"/>
      <c r="CC80" s="12" t="n"/>
      <c r="CD80" s="12" t="n"/>
      <c r="CE80" s="12" t="n"/>
      <c r="CF80" s="12" t="n"/>
      <c r="CG80" s="12" t="n"/>
      <c r="CH80" s="12" t="n"/>
      <c r="CI80" s="12" t="n"/>
      <c r="CJ80" s="12" t="n"/>
      <c r="CK80" s="12" t="n"/>
      <c r="CL80" s="12" t="n"/>
      <c r="CM80" s="12" t="n"/>
      <c r="CN80" s="12" t="n"/>
      <c r="CO80" s="12" t="n"/>
      <c r="CP80" s="12" t="n"/>
      <c r="CQ80" s="12" t="n"/>
      <c r="CR80" s="12" t="n"/>
      <c r="CS80" s="12" t="n"/>
      <c r="CT80" s="12" t="n"/>
      <c r="CU80" s="12" t="n"/>
      <c r="CV80" s="12" t="n"/>
      <c r="CW80" s="12" t="n"/>
      <c r="CX80" s="12" t="n"/>
      <c r="CY80" s="12" t="n"/>
    </row>
    <row r="81" hidden="1" outlineLevel="1">
      <c r="C81" s="57" t="inlineStr">
        <is>
          <t>OUTROS</t>
        </is>
      </c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  <c r="AA81" s="12" t="n"/>
      <c r="AB81" s="12" t="n"/>
      <c r="AC81" s="12" t="n"/>
      <c r="AD81" s="12" t="n"/>
      <c r="AE81" s="12" t="n"/>
      <c r="AF81" s="12" t="n"/>
      <c r="AG81" s="12" t="n"/>
      <c r="AH81" s="12" t="n"/>
      <c r="AI81" s="12" t="n"/>
      <c r="AJ81" s="12" t="n"/>
      <c r="AK81" s="12" t="n"/>
      <c r="AL81" s="12" t="n"/>
      <c r="AM81" s="12" t="n"/>
      <c r="AN81" s="12" t="n"/>
      <c r="AO81" s="12" t="n"/>
      <c r="AP81" s="12" t="n"/>
      <c r="AQ81" s="12" t="n"/>
      <c r="AR81" s="12" t="n"/>
      <c r="AS81" s="12" t="n"/>
      <c r="AT81" s="12" t="n"/>
      <c r="AU81" s="12" t="n"/>
      <c r="AV81" s="12" t="n"/>
      <c r="AW81" s="12" t="n"/>
      <c r="AX81" s="12" t="n"/>
      <c r="AY81" s="12" t="n"/>
      <c r="AZ81" s="12" t="n"/>
      <c r="BA81" s="12" t="n"/>
      <c r="BB81" s="12" t="n"/>
      <c r="BC81" s="12" t="n"/>
      <c r="BD81" s="12" t="n"/>
      <c r="BE81" s="12" t="n"/>
      <c r="BF81" s="12" t="n"/>
      <c r="BG81" s="12" t="n"/>
      <c r="BH81" s="12" t="n"/>
      <c r="BI81" s="12" t="n"/>
      <c r="BJ81" s="12" t="n"/>
      <c r="BK81" s="12" t="n"/>
      <c r="BL81" s="12" t="n"/>
      <c r="BM81" s="12" t="n"/>
      <c r="BN81" s="12" t="n"/>
      <c r="BO81" s="12" t="n"/>
      <c r="BP81" s="12" t="n"/>
      <c r="BQ81" s="12" t="n"/>
      <c r="BR81" s="12" t="n"/>
      <c r="BS81" s="12" t="n"/>
      <c r="BT81" s="12" t="n"/>
      <c r="BU81" s="12" t="n"/>
      <c r="BV81" s="12" t="n"/>
      <c r="BW81" s="12" t="n"/>
      <c r="BX81" s="12" t="n"/>
      <c r="BY81" s="12" t="n"/>
      <c r="BZ81" s="12" t="n"/>
      <c r="CA81" s="12" t="n"/>
      <c r="CB81" s="12" t="n"/>
      <c r="CC81" s="12" t="n"/>
      <c r="CD81" s="12" t="n"/>
      <c r="CE81" s="12" t="n"/>
      <c r="CF81" s="12" t="n"/>
      <c r="CG81" s="12" t="n"/>
      <c r="CH81" s="12" t="n"/>
      <c r="CI81" s="12" t="n"/>
      <c r="CJ81" s="12" t="n"/>
      <c r="CK81" s="12" t="n"/>
      <c r="CL81" s="12" t="n"/>
      <c r="CM81" s="12" t="n"/>
      <c r="CN81" s="12" t="n"/>
      <c r="CO81" s="12" t="n"/>
      <c r="CP81" s="12" t="n"/>
      <c r="CQ81" s="12" t="n"/>
      <c r="CR81" s="12" t="n"/>
      <c r="CS81" s="12" t="n"/>
      <c r="CT81" s="12" t="n"/>
      <c r="CU81" s="12" t="n"/>
      <c r="CV81" s="12" t="n"/>
      <c r="CW81" s="12" t="n"/>
      <c r="CX81" s="12" t="n"/>
      <c r="CY81" s="12" t="n"/>
    </row>
    <row r="82" hidden="1" outlineLevel="1">
      <c r="C82" s="57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2" t="n"/>
      <c r="Z82" s="12" t="n"/>
      <c r="AA82" s="12" t="n"/>
      <c r="AB82" s="12" t="n"/>
      <c r="AC82" s="12" t="n"/>
      <c r="AD82" s="12" t="n"/>
      <c r="AE82" s="12" t="n"/>
      <c r="AF82" s="12" t="n"/>
      <c r="AG82" s="12" t="n"/>
      <c r="AH82" s="12" t="n"/>
      <c r="AI82" s="12" t="n"/>
      <c r="AJ82" s="12" t="n"/>
      <c r="AK82" s="12" t="n"/>
      <c r="AL82" s="12" t="n"/>
      <c r="AM82" s="12" t="n"/>
      <c r="AN82" s="12" t="n"/>
      <c r="AO82" s="12" t="n"/>
      <c r="AP82" s="12" t="n"/>
      <c r="AQ82" s="12" t="n"/>
      <c r="AR82" s="12" t="n"/>
      <c r="AS82" s="12" t="n"/>
      <c r="AT82" s="12" t="n"/>
      <c r="AU82" s="12" t="n"/>
      <c r="AV82" s="12" t="n"/>
      <c r="AW82" s="12" t="n"/>
      <c r="AX82" s="12" t="n"/>
      <c r="AY82" s="12" t="n"/>
      <c r="AZ82" s="12" t="n"/>
      <c r="BA82" s="12" t="n"/>
      <c r="BB82" s="12" t="n"/>
      <c r="BC82" s="12" t="n"/>
      <c r="BD82" s="12" t="n"/>
      <c r="BE82" s="12" t="n"/>
      <c r="BF82" s="12" t="n"/>
      <c r="BG82" s="12" t="n"/>
      <c r="BH82" s="12" t="n"/>
      <c r="BI82" s="12" t="n"/>
      <c r="BJ82" s="12" t="n"/>
      <c r="BK82" s="12" t="n"/>
      <c r="BL82" s="12" t="n"/>
      <c r="BM82" s="12" t="n"/>
      <c r="BN82" s="12" t="n"/>
      <c r="BO82" s="12" t="n"/>
      <c r="BP82" s="12" t="n"/>
      <c r="BQ82" s="12" t="n"/>
      <c r="BR82" s="12" t="n"/>
      <c r="BS82" s="12" t="n"/>
      <c r="BT82" s="12" t="n"/>
      <c r="BU82" s="12" t="n"/>
      <c r="BV82" s="12" t="n"/>
      <c r="BW82" s="12" t="n"/>
      <c r="BX82" s="12" t="n"/>
      <c r="BY82" s="12" t="n"/>
      <c r="BZ82" s="12" t="n"/>
      <c r="CA82" s="12" t="n"/>
      <c r="CB82" s="12" t="n"/>
      <c r="CC82" s="12" t="n"/>
      <c r="CD82" s="12" t="n"/>
      <c r="CE82" s="12" t="n"/>
      <c r="CF82" s="12" t="n"/>
      <c r="CG82" s="12" t="n"/>
      <c r="CH82" s="12" t="n"/>
      <c r="CI82" s="12" t="n"/>
      <c r="CJ82" s="12" t="n"/>
      <c r="CK82" s="12" t="n"/>
      <c r="CL82" s="12" t="n"/>
      <c r="CM82" s="12" t="n"/>
      <c r="CN82" s="12" t="n"/>
      <c r="CO82" s="12" t="n"/>
      <c r="CP82" s="12" t="n"/>
      <c r="CQ82" s="12" t="n"/>
      <c r="CR82" s="12" t="n"/>
      <c r="CS82" s="12" t="n"/>
      <c r="CT82" s="12" t="n"/>
      <c r="CU82" s="12" t="n"/>
      <c r="CV82" s="12" t="n"/>
      <c r="CW82" s="12" t="n"/>
      <c r="CX82" s="12" t="n"/>
      <c r="CY82" s="12" t="n"/>
    </row>
    <row r="83" hidden="1" outlineLevel="1">
      <c r="C83" s="57" t="inlineStr">
        <is>
          <t>Cash and equivalents (inc. investment securities)</t>
        </is>
      </c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  <c r="AA83" s="12" t="n"/>
      <c r="AB83" s="12" t="n"/>
      <c r="AC83" s="12" t="n"/>
      <c r="AD83" s="12" t="n"/>
      <c r="AE83" s="12" t="n"/>
      <c r="AF83" s="12" t="n"/>
      <c r="AG83" s="12" t="n"/>
      <c r="AH83" s="12" t="n"/>
      <c r="AI83" s="12" t="n"/>
      <c r="AJ83" s="12" t="n"/>
      <c r="AK83" s="12" t="n"/>
      <c r="AL83" s="12" t="n"/>
      <c r="AM83" s="12" t="n"/>
      <c r="AN83" s="12" t="n"/>
      <c r="AO83" s="12" t="n"/>
      <c r="AP83" s="12" t="n"/>
      <c r="AQ83" s="12" t="n"/>
      <c r="AR83" s="12" t="n"/>
      <c r="AS83" s="12" t="n"/>
      <c r="AT83" s="12" t="n"/>
      <c r="AU83" s="12" t="n"/>
      <c r="AV83" s="12" t="n"/>
      <c r="AW83" s="12" t="n"/>
      <c r="AX83" s="12" t="n"/>
      <c r="AY83" s="12" t="n"/>
      <c r="AZ83" s="12" t="n"/>
      <c r="BA83" s="12" t="n"/>
      <c r="BB83" s="12" t="n"/>
      <c r="BC83" s="12" t="n"/>
      <c r="BD83" s="12" t="n"/>
      <c r="BE83" s="12" t="n"/>
      <c r="BF83" s="12" t="n"/>
      <c r="BG83" s="12" t="n"/>
      <c r="BH83" s="12" t="n"/>
      <c r="BI83" s="12" t="n"/>
      <c r="BJ83" s="12" t="n"/>
      <c r="BK83" s="12" t="n"/>
      <c r="BL83" s="12" t="n"/>
      <c r="BM83" s="12" t="n"/>
      <c r="BN83" s="12" t="n"/>
      <c r="BO83" s="12" t="n"/>
      <c r="BP83" s="12" t="n"/>
      <c r="BQ83" s="12" t="n"/>
      <c r="BR83" s="12" t="n"/>
      <c r="BS83" s="12" t="n"/>
      <c r="BT83" s="12" t="n"/>
      <c r="BU83" s="12" t="n"/>
      <c r="BV83" s="12" t="n"/>
      <c r="BW83" s="12" t="n"/>
      <c r="BX83" s="12" t="n"/>
      <c r="BY83" s="12" t="n"/>
      <c r="BZ83" s="12" t="n"/>
      <c r="CA83" s="12" t="n"/>
      <c r="CB83" s="12" t="n"/>
      <c r="CC83" s="12" t="n"/>
      <c r="CD83" s="12" t="n"/>
      <c r="CE83" s="12" t="n"/>
      <c r="CF83" s="12" t="n"/>
      <c r="CG83" s="12" t="n"/>
      <c r="CH83" s="12" t="n"/>
      <c r="CI83" s="12" t="n"/>
      <c r="CJ83" s="12" t="n"/>
      <c r="CK83" s="12" t="n"/>
      <c r="CL83" s="12" t="n"/>
      <c r="CM83" s="12" t="n"/>
      <c r="CN83" s="12" t="n"/>
      <c r="CO83" s="12" t="n"/>
      <c r="CP83" s="12" t="n"/>
      <c r="CQ83" s="12" t="n"/>
      <c r="CR83" s="12" t="n"/>
      <c r="CS83" s="12" t="n"/>
      <c r="CT83" s="12" t="n"/>
      <c r="CU83" s="12" t="n"/>
      <c r="CV83" s="12" t="n"/>
      <c r="CW83" s="12" t="n"/>
      <c r="CX83" s="12" t="n"/>
      <c r="CY83" s="12" t="n"/>
    </row>
    <row r="84" hidden="1" outlineLevel="1">
      <c r="C84" s="57" t="inlineStr">
        <is>
          <t>Interest on cash</t>
        </is>
      </c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  <c r="AA84" s="12" t="n"/>
      <c r="AB84" s="12" t="n"/>
      <c r="AC84" s="12" t="n"/>
      <c r="AD84" s="12" t="n"/>
      <c r="AE84" s="12" t="n"/>
      <c r="AF84" s="12" t="n"/>
      <c r="AG84" s="12" t="n"/>
      <c r="AH84" s="12" t="n"/>
      <c r="AI84" s="12" t="n"/>
      <c r="AJ84" s="12" t="n"/>
      <c r="AK84" s="12" t="n"/>
      <c r="AL84" s="12" t="n"/>
      <c r="AM84" s="12" t="n"/>
      <c r="AN84" s="12" t="n"/>
      <c r="AO84" s="12" t="n"/>
      <c r="AP84" s="12" t="n"/>
      <c r="AQ84" s="12" t="n"/>
      <c r="AR84" s="12" t="n"/>
      <c r="AS84" s="12" t="n"/>
      <c r="AT84" s="12" t="n"/>
      <c r="AU84" s="12" t="n"/>
      <c r="AV84" s="12" t="n"/>
      <c r="AW84" s="12" t="n"/>
      <c r="AX84" s="12" t="n"/>
      <c r="AY84" s="12" t="n"/>
      <c r="AZ84" s="12" t="n"/>
      <c r="BA84" s="12" t="n"/>
      <c r="BB84" s="12" t="n"/>
      <c r="BC84" s="12" t="n"/>
      <c r="BD84" s="12" t="n"/>
      <c r="BE84" s="12" t="n"/>
      <c r="BF84" s="12" t="n"/>
      <c r="BG84" s="12" t="n"/>
      <c r="BH84" s="12" t="n"/>
      <c r="BI84" s="12" t="n"/>
      <c r="BJ84" s="12" t="n"/>
      <c r="BK84" s="12" t="n"/>
      <c r="BL84" s="12" t="n"/>
      <c r="BM84" s="12" t="n"/>
      <c r="BN84" s="12" t="n"/>
      <c r="BO84" s="12" t="n"/>
      <c r="BP84" s="12" t="n"/>
      <c r="BQ84" s="12" t="n"/>
      <c r="BR84" s="12" t="n"/>
      <c r="BS84" s="12" t="n"/>
      <c r="BT84" s="12" t="n"/>
      <c r="BU84" s="12" t="n"/>
      <c r="BV84" s="12" t="n"/>
      <c r="BW84" s="12" t="n"/>
      <c r="BX84" s="12" t="n"/>
      <c r="BY84" s="12" t="n"/>
      <c r="BZ84" s="12" t="n"/>
      <c r="CA84" s="12" t="n"/>
      <c r="CB84" s="12" t="n"/>
      <c r="CC84" s="12" t="n"/>
      <c r="CD84" s="12" t="n"/>
      <c r="CE84" s="12" t="n"/>
      <c r="CF84" s="12" t="n"/>
      <c r="CG84" s="12" t="n"/>
      <c r="CH84" s="12" t="n"/>
      <c r="CI84" s="12" t="n"/>
      <c r="CJ84" s="12" t="n"/>
      <c r="CK84" s="12" t="n"/>
      <c r="CL84" s="12" t="n"/>
      <c r="CM84" s="12" t="n"/>
      <c r="CN84" s="12" t="n"/>
      <c r="CO84" s="12" t="n"/>
      <c r="CP84" s="12" t="n"/>
      <c r="CQ84" s="12" t="n"/>
      <c r="CR84" s="12" t="n"/>
      <c r="CS84" s="12" t="n"/>
      <c r="CT84" s="12" t="n"/>
      <c r="CU84" s="12" t="n"/>
      <c r="CV84" s="12" t="n"/>
      <c r="CW84" s="12" t="n"/>
      <c r="CX84" s="12" t="n"/>
      <c r="CY84" s="12" t="n"/>
    </row>
    <row r="85" hidden="1" outlineLevel="1">
      <c r="C85" s="57" t="inlineStr">
        <is>
          <t>Average interest rate</t>
        </is>
      </c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  <c r="AA85" s="12" t="n"/>
      <c r="AB85" s="12" t="n"/>
      <c r="AC85" s="12" t="n"/>
      <c r="AD85" s="12" t="n"/>
      <c r="AE85" s="12" t="n"/>
      <c r="AF85" s="12" t="n"/>
      <c r="AG85" s="12" t="n"/>
      <c r="AH85" s="12" t="n"/>
      <c r="AI85" s="12" t="n"/>
      <c r="AJ85" s="12" t="n"/>
      <c r="AK85" s="12" t="n"/>
      <c r="AL85" s="12" t="n"/>
      <c r="AM85" s="12" t="n"/>
      <c r="AN85" s="12" t="n"/>
      <c r="AO85" s="12" t="n"/>
      <c r="AP85" s="12" t="n"/>
      <c r="AQ85" s="12" t="n"/>
      <c r="AR85" s="12" t="n"/>
      <c r="AS85" s="12" t="n"/>
      <c r="AT85" s="12" t="n"/>
      <c r="AU85" s="12" t="n"/>
      <c r="AV85" s="12" t="n"/>
      <c r="AW85" s="12" t="n"/>
      <c r="AX85" s="12" t="n"/>
      <c r="AY85" s="12" t="n"/>
      <c r="AZ85" s="12" t="n"/>
      <c r="BA85" s="12" t="n"/>
      <c r="BB85" s="12" t="n"/>
      <c r="BC85" s="12" t="n"/>
      <c r="BD85" s="12" t="n"/>
      <c r="BE85" s="12" t="n"/>
      <c r="BF85" s="12" t="n"/>
      <c r="BG85" s="12" t="n"/>
      <c r="BH85" s="12" t="n"/>
      <c r="BI85" s="12" t="n"/>
      <c r="BJ85" s="12" t="n"/>
      <c r="BK85" s="12" t="n"/>
      <c r="BL85" s="12" t="n"/>
      <c r="BM85" s="12" t="n"/>
      <c r="BN85" s="12" t="n"/>
      <c r="BO85" s="12" t="n"/>
      <c r="BP85" s="12" t="n"/>
      <c r="BQ85" s="12" t="n"/>
      <c r="BR85" s="12" t="n"/>
      <c r="BS85" s="12" t="n"/>
      <c r="BT85" s="12" t="n"/>
      <c r="BU85" s="12" t="n"/>
      <c r="BV85" s="12" t="n"/>
      <c r="BW85" s="12" t="n"/>
      <c r="BX85" s="12" t="n"/>
      <c r="BY85" s="12" t="n"/>
      <c r="BZ85" s="12" t="n"/>
      <c r="CA85" s="12" t="n"/>
      <c r="CB85" s="12" t="n"/>
      <c r="CC85" s="12" t="n"/>
      <c r="CD85" s="12" t="n"/>
      <c r="CE85" s="12" t="n"/>
      <c r="CF85" s="12" t="n"/>
      <c r="CG85" s="12" t="n"/>
      <c r="CH85" s="12" t="n"/>
      <c r="CI85" s="12" t="n"/>
      <c r="CJ85" s="12" t="n"/>
      <c r="CK85" s="12" t="n"/>
      <c r="CL85" s="12" t="n"/>
      <c r="CM85" s="12" t="n"/>
      <c r="CN85" s="12" t="n"/>
      <c r="CO85" s="12" t="n"/>
      <c r="CP85" s="12" t="n"/>
      <c r="CQ85" s="12" t="n"/>
      <c r="CR85" s="12" t="n"/>
      <c r="CS85" s="12" t="n"/>
      <c r="CT85" s="12" t="n"/>
      <c r="CU85" s="12" t="n"/>
      <c r="CV85" s="12" t="n"/>
      <c r="CW85" s="12" t="n"/>
      <c r="CX85" s="12" t="n"/>
      <c r="CY85" s="12" t="n"/>
    </row>
    <row r="86" hidden="1" outlineLevel="1">
      <c r="C86" s="57" t="inlineStr">
        <is>
          <t>% CDI</t>
        </is>
      </c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  <c r="Z86" s="12" t="n"/>
      <c r="AA86" s="12" t="n"/>
      <c r="AB86" s="12" t="n"/>
      <c r="AC86" s="12" t="n"/>
      <c r="AD86" s="12" t="n"/>
      <c r="AE86" s="12" t="n"/>
      <c r="AF86" s="12" t="n"/>
      <c r="AG86" s="12" t="n"/>
      <c r="AH86" s="12" t="n"/>
      <c r="AI86" s="12" t="n"/>
      <c r="AJ86" s="12" t="n"/>
      <c r="AK86" s="12" t="n"/>
      <c r="AL86" s="12" t="n"/>
      <c r="AM86" s="12" t="n"/>
      <c r="AN86" s="12" t="n"/>
      <c r="AO86" s="12" t="n"/>
      <c r="AP86" s="12" t="n"/>
      <c r="AQ86" s="12" t="n"/>
      <c r="AR86" s="12" t="n"/>
      <c r="AS86" s="12" t="n"/>
      <c r="AT86" s="12" t="n"/>
      <c r="AU86" s="12" t="n"/>
      <c r="AV86" s="12" t="n"/>
      <c r="AW86" s="12" t="n"/>
      <c r="AX86" s="12" t="n"/>
      <c r="AY86" s="12" t="n"/>
      <c r="AZ86" s="12" t="n"/>
      <c r="BA86" s="12" t="n"/>
      <c r="BB86" s="12" t="n"/>
      <c r="BC86" s="12" t="n"/>
      <c r="BD86" s="12" t="n"/>
      <c r="BE86" s="12" t="n"/>
      <c r="BF86" s="12" t="n"/>
      <c r="BG86" s="12" t="n"/>
      <c r="BH86" s="12" t="n"/>
      <c r="BI86" s="12" t="n"/>
      <c r="BJ86" s="12" t="n"/>
      <c r="BK86" s="12" t="n"/>
      <c r="BL86" s="12" t="n"/>
      <c r="BM86" s="12" t="n"/>
      <c r="BN86" s="12" t="n"/>
      <c r="BO86" s="12" t="n"/>
      <c r="BP86" s="12" t="n"/>
      <c r="BQ86" s="12" t="n"/>
      <c r="BR86" s="12" t="n"/>
      <c r="BS86" s="12" t="n"/>
      <c r="BT86" s="12" t="n"/>
      <c r="BU86" s="12" t="n"/>
      <c r="BV86" s="12" t="n"/>
      <c r="BW86" s="12" t="n"/>
      <c r="BX86" s="12" t="n"/>
      <c r="BY86" s="12" t="n"/>
      <c r="BZ86" s="12" t="n"/>
      <c r="CA86" s="12" t="n"/>
      <c r="CB86" s="12" t="n"/>
      <c r="CC86" s="12" t="n"/>
      <c r="CD86" s="12" t="n"/>
      <c r="CE86" s="12" t="n"/>
      <c r="CF86" s="12" t="n"/>
      <c r="CG86" s="12" t="n"/>
      <c r="CH86" s="12" t="n"/>
      <c r="CI86" s="12" t="n"/>
      <c r="CJ86" s="12" t="n"/>
      <c r="CK86" s="12" t="n"/>
      <c r="CL86" s="12" t="n"/>
      <c r="CM86" s="12" t="n"/>
      <c r="CN86" s="12" t="n"/>
      <c r="CO86" s="12" t="n"/>
      <c r="CP86" s="12" t="n"/>
      <c r="CQ86" s="12" t="n"/>
      <c r="CR86" s="12" t="n"/>
      <c r="CS86" s="12" t="n"/>
      <c r="CT86" s="12" t="n"/>
      <c r="CU86" s="12" t="n"/>
      <c r="CV86" s="12" t="n"/>
      <c r="CW86" s="12" t="n"/>
      <c r="CX86" s="12" t="n"/>
      <c r="CY86" s="12" t="n"/>
    </row>
    <row r="87" hidden="1" outlineLevel="1">
      <c r="C87" s="57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  <c r="AA87" s="12" t="n"/>
      <c r="AB87" s="12" t="n"/>
      <c r="AC87" s="12" t="n"/>
      <c r="AD87" s="12" t="n"/>
      <c r="AE87" s="12" t="n"/>
      <c r="AF87" s="12" t="n"/>
      <c r="AG87" s="12" t="n"/>
      <c r="AH87" s="12" t="n"/>
      <c r="AI87" s="12" t="n"/>
      <c r="AJ87" s="12" t="n"/>
      <c r="AK87" s="12" t="n"/>
      <c r="AL87" s="12" t="n"/>
      <c r="AM87" s="12" t="n"/>
      <c r="AN87" s="12" t="n"/>
      <c r="AO87" s="12" t="n"/>
      <c r="AP87" s="12" t="n"/>
      <c r="AQ87" s="12" t="n"/>
      <c r="AR87" s="12" t="n"/>
      <c r="AS87" s="12" t="n"/>
      <c r="AT87" s="12" t="n"/>
      <c r="AU87" s="12" t="n"/>
      <c r="AV87" s="12" t="n"/>
      <c r="AW87" s="12" t="n"/>
      <c r="AX87" s="12" t="n"/>
      <c r="AY87" s="12" t="n"/>
      <c r="AZ87" s="12" t="n"/>
      <c r="BA87" s="12" t="n"/>
      <c r="BB87" s="12" t="n"/>
      <c r="BC87" s="12" t="n"/>
      <c r="BD87" s="12" t="n"/>
      <c r="BE87" s="12" t="n"/>
      <c r="BF87" s="12" t="n"/>
      <c r="BG87" s="12" t="n"/>
      <c r="BH87" s="12" t="n"/>
      <c r="BI87" s="12" t="n"/>
      <c r="BJ87" s="12" t="n"/>
      <c r="BK87" s="12" t="n"/>
      <c r="BL87" s="12" t="n"/>
      <c r="BM87" s="12" t="n"/>
      <c r="BN87" s="12" t="n"/>
      <c r="BO87" s="12" t="n"/>
      <c r="BP87" s="12" t="n"/>
      <c r="BQ87" s="12" t="n"/>
      <c r="BR87" s="12" t="n"/>
      <c r="BS87" s="12" t="n"/>
      <c r="BT87" s="12" t="n"/>
      <c r="BU87" s="12" t="n"/>
      <c r="BV87" s="12" t="n"/>
      <c r="BW87" s="12" t="n"/>
      <c r="BX87" s="12" t="n"/>
      <c r="BY87" s="12" t="n"/>
      <c r="BZ87" s="12" t="n"/>
      <c r="CA87" s="12" t="n"/>
      <c r="CB87" s="12" t="n"/>
      <c r="CC87" s="12" t="n"/>
      <c r="CD87" s="12" t="n"/>
      <c r="CE87" s="12" t="n"/>
      <c r="CF87" s="12" t="n"/>
      <c r="CG87" s="12" t="n"/>
      <c r="CH87" s="12" t="n"/>
      <c r="CI87" s="12" t="n"/>
      <c r="CJ87" s="12" t="n"/>
      <c r="CK87" s="12" t="n"/>
      <c r="CL87" s="12" t="n"/>
      <c r="CM87" s="12" t="n"/>
      <c r="CN87" s="12" t="n"/>
      <c r="CO87" s="12" t="n"/>
      <c r="CP87" s="12" t="n"/>
      <c r="CQ87" s="12" t="n"/>
      <c r="CR87" s="12" t="n"/>
      <c r="CS87" s="12" t="n"/>
      <c r="CT87" s="12" t="n"/>
      <c r="CU87" s="12" t="n"/>
      <c r="CV87" s="12" t="n"/>
      <c r="CW87" s="12" t="n"/>
      <c r="CX87" s="12" t="n"/>
      <c r="CY87" s="12" t="n"/>
    </row>
    <row r="88" hidden="1" outlineLevel="1">
      <c r="C88" s="57" t="inlineStr">
        <is>
          <t>Current portion of long-term debt</t>
        </is>
      </c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2" t="n"/>
      <c r="Z88" s="12" t="n"/>
      <c r="AA88" s="12" t="n"/>
      <c r="AB88" s="12" t="n"/>
      <c r="AC88" s="12" t="n"/>
      <c r="AD88" s="12" t="n"/>
      <c r="AE88" s="12" t="n"/>
      <c r="AF88" s="12" t="n"/>
      <c r="AG88" s="12" t="n"/>
      <c r="AH88" s="12" t="n"/>
      <c r="AI88" s="12" t="n"/>
      <c r="AJ88" s="12" t="n"/>
      <c r="AK88" s="12" t="n"/>
      <c r="AL88" s="12" t="n"/>
      <c r="AM88" s="12" t="n"/>
      <c r="AN88" s="12" t="n"/>
      <c r="AO88" s="12" t="n"/>
      <c r="AP88" s="12" t="n"/>
      <c r="AQ88" s="12" t="n"/>
      <c r="AR88" s="12" t="n"/>
      <c r="AS88" s="12" t="n"/>
      <c r="AT88" s="12" t="n"/>
      <c r="AU88" s="12" t="n"/>
      <c r="AV88" s="12" t="n"/>
      <c r="AW88" s="12" t="n"/>
      <c r="AX88" s="12" t="n"/>
      <c r="AY88" s="12" t="n"/>
      <c r="AZ88" s="12" t="n"/>
      <c r="BA88" s="12" t="n"/>
      <c r="BB88" s="12" t="n"/>
      <c r="BC88" s="12" t="n"/>
      <c r="BD88" s="12" t="n"/>
      <c r="BE88" s="12" t="n"/>
      <c r="BF88" s="12" t="n"/>
      <c r="BG88" s="12" t="n"/>
      <c r="BH88" s="12" t="n"/>
      <c r="BI88" s="12" t="n"/>
      <c r="BJ88" s="12" t="n"/>
      <c r="BK88" s="12" t="n"/>
      <c r="BL88" s="12" t="n"/>
      <c r="BM88" s="12" t="n"/>
      <c r="BN88" s="12" t="n"/>
      <c r="BO88" s="12" t="n"/>
      <c r="BP88" s="12" t="n"/>
      <c r="BQ88" s="12" t="n"/>
      <c r="BR88" s="12" t="n"/>
      <c r="BS88" s="12" t="n"/>
      <c r="BT88" s="12" t="n"/>
      <c r="BU88" s="12" t="n"/>
      <c r="BV88" s="12" t="n"/>
      <c r="BW88" s="12" t="n"/>
      <c r="BX88" s="12" t="n"/>
      <c r="BY88" s="12" t="n"/>
      <c r="BZ88" s="12" t="n"/>
      <c r="CA88" s="12" t="n"/>
      <c r="CB88" s="12" t="n"/>
      <c r="CC88" s="12" t="n"/>
      <c r="CD88" s="12" t="n"/>
      <c r="CE88" s="12" t="n"/>
      <c r="CF88" s="12" t="n"/>
      <c r="CG88" s="12" t="n"/>
      <c r="CH88" s="12" t="n"/>
      <c r="CI88" s="12" t="n"/>
      <c r="CJ88" s="12" t="n"/>
      <c r="CK88" s="12" t="n"/>
      <c r="CL88" s="12" t="n"/>
      <c r="CM88" s="12" t="n"/>
      <c r="CN88" s="12" t="n"/>
      <c r="CO88" s="12" t="n"/>
      <c r="CP88" s="12" t="n"/>
      <c r="CQ88" s="12" t="n"/>
      <c r="CR88" s="12" t="n"/>
      <c r="CS88" s="12" t="n"/>
      <c r="CT88" s="12" t="n"/>
      <c r="CU88" s="12" t="n"/>
      <c r="CV88" s="12" t="n"/>
      <c r="CW88" s="12" t="n"/>
      <c r="CX88" s="12" t="n"/>
      <c r="CY88" s="12" t="n"/>
    </row>
    <row r="89" hidden="1" outlineLevel="1">
      <c r="C89" s="57" t="inlineStr">
        <is>
          <t>Short term debt (Revolving credit facility)</t>
        </is>
      </c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  <c r="AA89" s="12" t="n"/>
      <c r="AB89" s="12" t="n"/>
      <c r="AC89" s="12" t="n"/>
      <c r="AD89" s="12" t="n"/>
      <c r="AE89" s="12" t="n"/>
      <c r="AF89" s="12" t="n"/>
      <c r="AG89" s="12" t="n"/>
      <c r="AH89" s="12" t="n"/>
      <c r="AI89" s="12" t="n"/>
      <c r="AJ89" s="12" t="n"/>
      <c r="AK89" s="12" t="n"/>
      <c r="AL89" s="12" t="n"/>
      <c r="AM89" s="12" t="n"/>
      <c r="AN89" s="12" t="n"/>
      <c r="AO89" s="12" t="n"/>
      <c r="AP89" s="12" t="n"/>
      <c r="AQ89" s="12" t="n"/>
      <c r="AR89" s="12" t="n"/>
      <c r="AS89" s="12" t="n"/>
      <c r="AT89" s="12" t="n"/>
      <c r="AU89" s="12" t="n"/>
      <c r="AV89" s="12" t="n"/>
      <c r="AW89" s="12" t="n"/>
      <c r="AX89" s="12" t="n"/>
      <c r="AY89" s="12" t="n"/>
      <c r="AZ89" s="12" t="n"/>
      <c r="BA89" s="12" t="n"/>
      <c r="BB89" s="12" t="n"/>
      <c r="BC89" s="12" t="n"/>
      <c r="BD89" s="12" t="n"/>
      <c r="BE89" s="12" t="n"/>
      <c r="BF89" s="12" t="n"/>
      <c r="BG89" s="12" t="n"/>
      <c r="BH89" s="12" t="n"/>
      <c r="BI89" s="12" t="n"/>
      <c r="BJ89" s="12" t="n"/>
      <c r="BK89" s="12" t="n"/>
      <c r="BL89" s="12" t="n"/>
      <c r="BM89" s="12" t="n"/>
      <c r="BN89" s="12" t="n"/>
      <c r="BO89" s="12" t="n"/>
      <c r="BP89" s="12" t="n"/>
      <c r="BQ89" s="12" t="n"/>
      <c r="BR89" s="12" t="n"/>
      <c r="BS89" s="12" t="n"/>
      <c r="BT89" s="12" t="n"/>
      <c r="BU89" s="12" t="n"/>
      <c r="BV89" s="12" t="n"/>
      <c r="BW89" s="12" t="n"/>
      <c r="BX89" s="12" t="n"/>
      <c r="BY89" s="12" t="n"/>
      <c r="BZ89" s="12" t="n"/>
      <c r="CA89" s="12" t="n"/>
      <c r="CB89" s="12" t="n"/>
      <c r="CC89" s="12" t="n"/>
      <c r="CD89" s="12" t="n"/>
      <c r="CE89" s="12" t="n"/>
      <c r="CF89" s="12" t="n"/>
      <c r="CG89" s="12" t="n"/>
      <c r="CH89" s="12" t="n"/>
      <c r="CI89" s="12" t="n"/>
      <c r="CJ89" s="12" t="n"/>
      <c r="CK89" s="12" t="n"/>
      <c r="CL89" s="12" t="n"/>
      <c r="CM89" s="12" t="n"/>
      <c r="CN89" s="12" t="n"/>
      <c r="CO89" s="12" t="n"/>
      <c r="CP89" s="12" t="n"/>
      <c r="CQ89" s="12" t="n"/>
      <c r="CR89" s="12" t="n"/>
      <c r="CS89" s="12" t="n"/>
      <c r="CT89" s="12" t="n"/>
      <c r="CU89" s="12" t="n"/>
      <c r="CV89" s="12" t="n"/>
      <c r="CW89" s="12" t="n"/>
      <c r="CX89" s="12" t="n"/>
      <c r="CY89" s="12" t="n"/>
    </row>
    <row r="90" hidden="1" outlineLevel="1">
      <c r="C90" s="57" t="inlineStr">
        <is>
          <t>Long term debt</t>
        </is>
      </c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  <c r="Z90" s="12" t="n"/>
      <c r="AA90" s="12" t="n"/>
      <c r="AB90" s="12" t="n"/>
      <c r="AC90" s="12" t="n"/>
      <c r="AD90" s="12" t="n"/>
      <c r="AE90" s="12" t="n"/>
      <c r="AF90" s="12" t="n"/>
      <c r="AG90" s="12" t="n"/>
      <c r="AH90" s="12" t="n"/>
      <c r="AI90" s="12" t="n"/>
      <c r="AJ90" s="12" t="n"/>
      <c r="AK90" s="12" t="n"/>
      <c r="AL90" s="12" t="n"/>
      <c r="AM90" s="12" t="n"/>
      <c r="AN90" s="12" t="n"/>
      <c r="AO90" s="12" t="n"/>
      <c r="AP90" s="12" t="n"/>
      <c r="AQ90" s="12" t="n"/>
      <c r="AR90" s="12" t="n"/>
      <c r="AS90" s="12" t="n"/>
      <c r="AT90" s="12" t="n"/>
      <c r="AU90" s="12" t="n"/>
      <c r="AV90" s="12" t="n"/>
      <c r="AW90" s="12" t="n"/>
      <c r="AX90" s="12" t="n"/>
      <c r="AY90" s="12" t="n"/>
      <c r="AZ90" s="12" t="n"/>
      <c r="BA90" s="12" t="n"/>
      <c r="BB90" s="12" t="n"/>
      <c r="BC90" s="12" t="n"/>
      <c r="BD90" s="12" t="n"/>
      <c r="BE90" s="12" t="n"/>
      <c r="BF90" s="12" t="n"/>
      <c r="BG90" s="12" t="n"/>
      <c r="BH90" s="12" t="n"/>
      <c r="BI90" s="12" t="n"/>
      <c r="BJ90" s="12" t="n"/>
      <c r="BK90" s="12" t="n"/>
      <c r="BL90" s="12" t="n"/>
      <c r="BM90" s="12" t="n"/>
      <c r="BN90" s="12" t="n"/>
      <c r="BO90" s="12" t="n"/>
      <c r="BP90" s="12" t="n"/>
      <c r="BQ90" s="12" t="n"/>
      <c r="BR90" s="12" t="n"/>
      <c r="BS90" s="12" t="n"/>
      <c r="BT90" s="12" t="n"/>
      <c r="BU90" s="12" t="n"/>
      <c r="BV90" s="12" t="n"/>
      <c r="BW90" s="12" t="n"/>
      <c r="BX90" s="12" t="n"/>
      <c r="BY90" s="12" t="n"/>
      <c r="BZ90" s="12" t="n"/>
      <c r="CA90" s="12" t="n"/>
      <c r="CB90" s="12" t="n"/>
      <c r="CC90" s="12" t="n"/>
      <c r="CD90" s="12" t="n"/>
      <c r="CE90" s="12" t="n"/>
      <c r="CF90" s="12" t="n"/>
      <c r="CG90" s="12" t="n"/>
      <c r="CH90" s="12" t="n"/>
      <c r="CI90" s="12" t="n"/>
      <c r="CJ90" s="12" t="n"/>
      <c r="CK90" s="12" t="n"/>
      <c r="CL90" s="12" t="n"/>
      <c r="CM90" s="12" t="n"/>
      <c r="CN90" s="12" t="n"/>
      <c r="CO90" s="12" t="n"/>
      <c r="CP90" s="12" t="n"/>
      <c r="CQ90" s="12" t="n"/>
      <c r="CR90" s="12" t="n"/>
      <c r="CS90" s="12" t="n"/>
      <c r="CT90" s="12" t="n"/>
      <c r="CU90" s="12" t="n"/>
      <c r="CV90" s="12" t="n"/>
      <c r="CW90" s="12" t="n"/>
      <c r="CX90" s="12" t="n"/>
      <c r="CY90" s="12" t="n"/>
    </row>
    <row r="91" hidden="1" outlineLevel="1">
      <c r="C91" s="57" t="inlineStr">
        <is>
          <t>Convertible debt</t>
        </is>
      </c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  <c r="AA91" s="12" t="n"/>
      <c r="AB91" s="12" t="n"/>
      <c r="AC91" s="12" t="n"/>
      <c r="AD91" s="12" t="n"/>
      <c r="AE91" s="12" t="n"/>
      <c r="AF91" s="12" t="n"/>
      <c r="AG91" s="12" t="n"/>
      <c r="AH91" s="12" t="n"/>
      <c r="AI91" s="12" t="n"/>
      <c r="AJ91" s="12" t="n"/>
      <c r="AK91" s="12" t="n"/>
      <c r="AL91" s="12" t="n"/>
      <c r="AM91" s="12" t="n"/>
      <c r="AN91" s="12" t="n"/>
      <c r="AO91" s="12" t="n"/>
      <c r="AP91" s="12" t="n"/>
      <c r="AQ91" s="12" t="n"/>
      <c r="AR91" s="12" t="n"/>
      <c r="AS91" s="12" t="n"/>
      <c r="AT91" s="12" t="n"/>
      <c r="AU91" s="12" t="n"/>
      <c r="AV91" s="12" t="n"/>
      <c r="AW91" s="12" t="n"/>
      <c r="AX91" s="12" t="n"/>
      <c r="AY91" s="12" t="n"/>
      <c r="AZ91" s="12" t="n"/>
      <c r="BA91" s="12" t="n"/>
      <c r="BB91" s="12" t="n"/>
      <c r="BC91" s="12" t="n"/>
      <c r="BD91" s="12" t="n"/>
      <c r="BE91" s="12" t="n"/>
      <c r="BF91" s="12" t="n"/>
      <c r="BG91" s="12" t="n"/>
      <c r="BH91" s="12" t="n"/>
      <c r="BI91" s="12" t="n"/>
      <c r="BJ91" s="12" t="n"/>
      <c r="BK91" s="12" t="n"/>
      <c r="BL91" s="12" t="n"/>
      <c r="BM91" s="12" t="n"/>
      <c r="BN91" s="12" t="n"/>
      <c r="BO91" s="12" t="n"/>
      <c r="BP91" s="12" t="n"/>
      <c r="BQ91" s="12" t="n"/>
      <c r="BR91" s="12" t="n"/>
      <c r="BS91" s="12" t="n"/>
      <c r="BT91" s="12" t="n"/>
      <c r="BU91" s="12" t="n"/>
      <c r="BV91" s="12" t="n"/>
      <c r="BW91" s="12" t="n"/>
      <c r="BX91" s="12" t="n"/>
      <c r="BY91" s="12" t="n"/>
      <c r="BZ91" s="12" t="n"/>
      <c r="CA91" s="12" t="n"/>
      <c r="CB91" s="12" t="n"/>
      <c r="CC91" s="12" t="n"/>
      <c r="CD91" s="12" t="n"/>
      <c r="CE91" s="12" t="n"/>
      <c r="CF91" s="12" t="n"/>
      <c r="CG91" s="12" t="n"/>
      <c r="CH91" s="12" t="n"/>
      <c r="CI91" s="12" t="n"/>
      <c r="CJ91" s="12" t="n"/>
      <c r="CK91" s="12" t="n"/>
      <c r="CL91" s="12" t="n"/>
      <c r="CM91" s="12" t="n"/>
      <c r="CN91" s="12" t="n"/>
      <c r="CO91" s="12" t="n"/>
      <c r="CP91" s="12" t="n"/>
      <c r="CQ91" s="12" t="n"/>
      <c r="CR91" s="12" t="n"/>
      <c r="CS91" s="12" t="n"/>
      <c r="CT91" s="12" t="n"/>
      <c r="CU91" s="12" t="n"/>
      <c r="CV91" s="12" t="n"/>
      <c r="CW91" s="12" t="n"/>
      <c r="CX91" s="12" t="n"/>
      <c r="CY91" s="12" t="n"/>
    </row>
    <row r="92" hidden="1" outlineLevel="1">
      <c r="C92" s="57" t="inlineStr">
        <is>
          <t>Total debt</t>
        </is>
      </c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  <c r="Z92" s="12" t="n"/>
      <c r="AA92" s="12" t="n"/>
      <c r="AB92" s="12" t="n"/>
      <c r="AC92" s="12" t="n"/>
      <c r="AD92" s="12" t="n"/>
      <c r="AE92" s="12" t="n"/>
      <c r="AF92" s="12" t="n"/>
      <c r="AG92" s="12" t="n"/>
      <c r="AH92" s="12" t="n"/>
      <c r="AI92" s="12" t="n"/>
      <c r="AJ92" s="12" t="n"/>
      <c r="AK92" s="12" t="n"/>
      <c r="AL92" s="12" t="n"/>
      <c r="AM92" s="12" t="n"/>
      <c r="AN92" s="12" t="n"/>
      <c r="AO92" s="12" t="n"/>
      <c r="AP92" s="12" t="n"/>
      <c r="AQ92" s="12" t="n"/>
      <c r="AR92" s="12" t="n"/>
      <c r="AS92" s="12" t="n"/>
      <c r="AT92" s="12" t="n"/>
      <c r="AU92" s="12" t="n"/>
      <c r="AV92" s="12" t="n"/>
      <c r="AW92" s="12" t="n"/>
      <c r="AX92" s="12" t="n"/>
      <c r="AY92" s="12" t="n"/>
      <c r="AZ92" s="12" t="n"/>
      <c r="BA92" s="12" t="n"/>
      <c r="BB92" s="12" t="n"/>
      <c r="BC92" s="12" t="n"/>
      <c r="BD92" s="12" t="n"/>
      <c r="BE92" s="12" t="n"/>
      <c r="BF92" s="12" t="n"/>
      <c r="BG92" s="12" t="n"/>
      <c r="BH92" s="12" t="n"/>
      <c r="BI92" s="12" t="n"/>
      <c r="BJ92" s="12" t="n"/>
      <c r="BK92" s="12" t="n"/>
      <c r="BL92" s="12" t="n"/>
      <c r="BM92" s="12" t="n"/>
      <c r="BN92" s="12" t="n"/>
      <c r="BO92" s="12" t="n"/>
      <c r="BP92" s="12" t="n"/>
      <c r="BQ92" s="12" t="n"/>
      <c r="BR92" s="12" t="n"/>
      <c r="BS92" s="12" t="n"/>
      <c r="BT92" s="12" t="n"/>
      <c r="BU92" s="12" t="n"/>
      <c r="BV92" s="12" t="n"/>
      <c r="BW92" s="12" t="n"/>
      <c r="BX92" s="12" t="n"/>
      <c r="BY92" s="12" t="n"/>
      <c r="BZ92" s="12" t="n"/>
      <c r="CA92" s="12" t="n"/>
      <c r="CB92" s="12" t="n"/>
      <c r="CC92" s="12" t="n"/>
      <c r="CD92" s="12" t="n"/>
      <c r="CE92" s="12" t="n"/>
      <c r="CF92" s="12" t="n"/>
      <c r="CG92" s="12" t="n"/>
      <c r="CH92" s="12" t="n"/>
      <c r="CI92" s="12" t="n"/>
      <c r="CJ92" s="12" t="n"/>
      <c r="CK92" s="12" t="n"/>
      <c r="CL92" s="12" t="n"/>
      <c r="CM92" s="12" t="n"/>
      <c r="CN92" s="12" t="n"/>
      <c r="CO92" s="12" t="n"/>
      <c r="CP92" s="12" t="n"/>
      <c r="CQ92" s="12" t="n"/>
      <c r="CR92" s="12" t="n"/>
      <c r="CS92" s="12" t="n"/>
      <c r="CT92" s="12" t="n"/>
      <c r="CU92" s="12" t="n"/>
      <c r="CV92" s="12" t="n"/>
      <c r="CW92" s="12" t="n"/>
      <c r="CX92" s="12" t="n"/>
      <c r="CY92" s="12" t="n"/>
    </row>
    <row r="93" hidden="1" outlineLevel="1">
      <c r="C93" s="57" t="inlineStr">
        <is>
          <t>Interest expense</t>
        </is>
      </c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  <c r="AA93" s="12" t="n"/>
      <c r="AB93" s="12" t="n"/>
      <c r="AC93" s="12" t="n"/>
      <c r="AD93" s="12" t="n"/>
      <c r="AE93" s="12" t="n"/>
      <c r="AF93" s="12" t="n"/>
      <c r="AG93" s="12" t="n"/>
      <c r="AH93" s="12" t="n"/>
      <c r="AI93" s="12" t="n"/>
      <c r="AJ93" s="12" t="n"/>
      <c r="AK93" s="12" t="n"/>
      <c r="AL93" s="12" t="n"/>
      <c r="AM93" s="12" t="n"/>
      <c r="AN93" s="12" t="n"/>
      <c r="AO93" s="12" t="n"/>
      <c r="AP93" s="12" t="n"/>
      <c r="AQ93" s="12" t="n"/>
      <c r="AR93" s="12" t="n"/>
      <c r="AS93" s="12" t="n"/>
      <c r="AT93" s="12" t="n"/>
      <c r="AU93" s="12" t="n"/>
      <c r="AV93" s="12" t="n"/>
      <c r="AW93" s="12" t="n"/>
      <c r="AX93" s="12" t="n"/>
      <c r="AY93" s="12" t="n"/>
      <c r="AZ93" s="12" t="n"/>
      <c r="BA93" s="12" t="n"/>
      <c r="BB93" s="12" t="n"/>
      <c r="BC93" s="12" t="n"/>
      <c r="BD93" s="12" t="n"/>
      <c r="BE93" s="12" t="n"/>
      <c r="BF93" s="12" t="n"/>
      <c r="BG93" s="12" t="n"/>
      <c r="BH93" s="12" t="n"/>
      <c r="BI93" s="12" t="n"/>
      <c r="BJ93" s="12" t="n"/>
      <c r="BK93" s="12" t="n"/>
      <c r="BL93" s="12" t="n"/>
      <c r="BM93" s="12" t="n"/>
      <c r="BN93" s="12" t="n"/>
      <c r="BO93" s="12" t="n"/>
      <c r="BP93" s="12" t="n"/>
      <c r="BQ93" s="12" t="n"/>
      <c r="BR93" s="12" t="n"/>
      <c r="BS93" s="12" t="n"/>
      <c r="BT93" s="12" t="n"/>
      <c r="BU93" s="12" t="n"/>
      <c r="BV93" s="12" t="n"/>
      <c r="BW93" s="12" t="n"/>
      <c r="BX93" s="12" t="n"/>
      <c r="BY93" s="12" t="n"/>
      <c r="BZ93" s="12" t="n"/>
      <c r="CA93" s="12" t="n"/>
      <c r="CB93" s="12" t="n"/>
      <c r="CC93" s="12" t="n"/>
      <c r="CD93" s="12" t="n"/>
      <c r="CE93" s="12" t="n"/>
      <c r="CF93" s="12" t="n"/>
      <c r="CG93" s="12" t="n"/>
      <c r="CH93" s="12" t="n"/>
      <c r="CI93" s="12" t="n"/>
      <c r="CJ93" s="12" t="n"/>
      <c r="CK93" s="12" t="n"/>
      <c r="CL93" s="12" t="n"/>
      <c r="CM93" s="12" t="n"/>
      <c r="CN93" s="12" t="n"/>
      <c r="CO93" s="12" t="n"/>
      <c r="CP93" s="12" t="n"/>
      <c r="CQ93" s="12" t="n"/>
      <c r="CR93" s="12" t="n"/>
      <c r="CS93" s="12" t="n"/>
      <c r="CT93" s="12" t="n"/>
      <c r="CU93" s="12" t="n"/>
      <c r="CV93" s="12" t="n"/>
      <c r="CW93" s="12" t="n"/>
      <c r="CX93" s="12" t="n"/>
      <c r="CY93" s="12" t="n"/>
    </row>
    <row r="94" hidden="1" outlineLevel="1">
      <c r="C94" s="57" t="inlineStr">
        <is>
          <t>Average interest rate</t>
        </is>
      </c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2" t="n"/>
      <c r="S94" s="12" t="n"/>
      <c r="T94" s="12" t="n"/>
      <c r="U94" s="12" t="n"/>
      <c r="V94" s="12" t="n"/>
      <c r="W94" s="12" t="n"/>
      <c r="X94" s="12" t="n"/>
      <c r="Y94" s="12" t="n"/>
      <c r="Z94" s="12" t="n"/>
      <c r="AA94" s="12" t="n"/>
      <c r="AB94" s="12" t="n"/>
      <c r="AC94" s="12" t="n"/>
      <c r="AD94" s="12" t="n"/>
      <c r="AE94" s="12" t="n"/>
      <c r="AF94" s="12" t="n"/>
      <c r="AG94" s="12" t="n"/>
      <c r="AH94" s="12" t="n"/>
      <c r="AI94" s="12" t="n"/>
      <c r="AJ94" s="12" t="n"/>
      <c r="AK94" s="12" t="n"/>
      <c r="AL94" s="12" t="n"/>
      <c r="AM94" s="12" t="n"/>
      <c r="AN94" s="12" t="n"/>
      <c r="AO94" s="12" t="n"/>
      <c r="AP94" s="12" t="n"/>
      <c r="AQ94" s="12" t="n"/>
      <c r="AR94" s="12" t="n"/>
      <c r="AS94" s="12" t="n"/>
      <c r="AT94" s="12" t="n"/>
      <c r="AU94" s="12" t="n"/>
      <c r="AV94" s="12" t="n"/>
      <c r="AW94" s="12" t="n"/>
      <c r="AX94" s="12" t="n"/>
      <c r="AY94" s="12" t="n"/>
      <c r="AZ94" s="12" t="n"/>
      <c r="BA94" s="12" t="n"/>
      <c r="BB94" s="12" t="n"/>
      <c r="BC94" s="12" t="n"/>
      <c r="BD94" s="12" t="n"/>
      <c r="BE94" s="12" t="n"/>
      <c r="BF94" s="12" t="n"/>
      <c r="BG94" s="12" t="n"/>
      <c r="BH94" s="12" t="n"/>
      <c r="BI94" s="12" t="n"/>
      <c r="BJ94" s="12" t="n"/>
      <c r="BK94" s="12" t="n"/>
      <c r="BL94" s="12" t="n"/>
      <c r="BM94" s="12" t="n"/>
      <c r="BN94" s="12" t="n"/>
      <c r="BO94" s="12" t="n"/>
      <c r="BP94" s="12" t="n"/>
      <c r="BQ94" s="12" t="n"/>
      <c r="BR94" s="12" t="n"/>
      <c r="BS94" s="12" t="n"/>
      <c r="BT94" s="12" t="n"/>
      <c r="BU94" s="12" t="n"/>
      <c r="BV94" s="12" t="n"/>
      <c r="BW94" s="12" t="n"/>
      <c r="BX94" s="12" t="n"/>
      <c r="BY94" s="12" t="n"/>
      <c r="BZ94" s="12" t="n"/>
      <c r="CA94" s="12" t="n"/>
      <c r="CB94" s="12" t="n"/>
      <c r="CC94" s="12" t="n"/>
      <c r="CD94" s="12" t="n"/>
      <c r="CE94" s="12" t="n"/>
      <c r="CF94" s="12" t="n"/>
      <c r="CG94" s="12" t="n"/>
      <c r="CH94" s="12" t="n"/>
      <c r="CI94" s="12" t="n"/>
      <c r="CJ94" s="12" t="n"/>
      <c r="CK94" s="12" t="n"/>
      <c r="CL94" s="12" t="n"/>
      <c r="CM94" s="12" t="n"/>
      <c r="CN94" s="12" t="n"/>
      <c r="CO94" s="12" t="n"/>
      <c r="CP94" s="12" t="n"/>
      <c r="CQ94" s="12" t="n"/>
      <c r="CR94" s="12" t="n"/>
      <c r="CS94" s="12" t="n"/>
      <c r="CT94" s="12" t="n"/>
      <c r="CU94" s="12" t="n"/>
      <c r="CV94" s="12" t="n"/>
      <c r="CW94" s="12" t="n"/>
      <c r="CX94" s="12" t="n"/>
      <c r="CY94" s="12" t="n"/>
    </row>
    <row r="95" hidden="1" outlineLevel="1">
      <c r="C95" s="57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  <c r="AA95" s="12" t="n"/>
      <c r="AB95" s="12" t="n"/>
      <c r="AC95" s="12" t="n"/>
      <c r="AD95" s="12" t="n"/>
      <c r="AE95" s="12" t="n"/>
      <c r="AF95" s="12" t="n"/>
      <c r="AG95" s="12" t="n"/>
      <c r="AH95" s="12" t="n"/>
      <c r="AI95" s="12" t="n"/>
      <c r="AJ95" s="12" t="n"/>
      <c r="AK95" s="12" t="n"/>
      <c r="AL95" s="12" t="n"/>
      <c r="AM95" s="12" t="n"/>
      <c r="AN95" s="12" t="n"/>
      <c r="AO95" s="12" t="n"/>
      <c r="AP95" s="12" t="n"/>
      <c r="AQ95" s="12" t="n"/>
      <c r="AR95" s="12" t="n"/>
      <c r="AS95" s="12" t="n"/>
      <c r="AT95" s="12" t="n"/>
      <c r="AU95" s="12" t="n"/>
      <c r="AV95" s="12" t="n"/>
      <c r="AW95" s="12" t="n"/>
      <c r="AX95" s="12" t="n"/>
      <c r="AY95" s="12" t="n"/>
      <c r="AZ95" s="12" t="n"/>
      <c r="BA95" s="12" t="n"/>
      <c r="BB95" s="12" t="n"/>
      <c r="BC95" s="12" t="n"/>
      <c r="BD95" s="12" t="n"/>
      <c r="BE95" s="12" t="n"/>
      <c r="BF95" s="12" t="n"/>
      <c r="BG95" s="12" t="n"/>
      <c r="BH95" s="12" t="n"/>
      <c r="BI95" s="12" t="n"/>
      <c r="BJ95" s="12" t="n"/>
      <c r="BK95" s="12" t="n"/>
      <c r="BL95" s="12" t="n"/>
      <c r="BM95" s="12" t="n"/>
      <c r="BN95" s="12" t="n"/>
      <c r="BO95" s="12" t="n"/>
      <c r="BP95" s="12" t="n"/>
      <c r="BQ95" s="12" t="n"/>
      <c r="BR95" s="12" t="n"/>
      <c r="BS95" s="12" t="n"/>
      <c r="BT95" s="12" t="n"/>
      <c r="BU95" s="12" t="n"/>
      <c r="BV95" s="12" t="n"/>
      <c r="BW95" s="12" t="n"/>
      <c r="BX95" s="12" t="n"/>
      <c r="BY95" s="12" t="n"/>
      <c r="BZ95" s="12" t="n"/>
      <c r="CA95" s="12" t="n"/>
      <c r="CB95" s="12" t="n"/>
      <c r="CC95" s="12" t="n"/>
      <c r="CD95" s="12" t="n"/>
      <c r="CE95" s="12" t="n"/>
      <c r="CF95" s="12" t="n"/>
      <c r="CG95" s="12" t="n"/>
      <c r="CH95" s="12" t="n"/>
      <c r="CI95" s="12" t="n"/>
      <c r="CJ95" s="12" t="n"/>
      <c r="CK95" s="12" t="n"/>
      <c r="CL95" s="12" t="n"/>
      <c r="CM95" s="12" t="n"/>
      <c r="CN95" s="12" t="n"/>
      <c r="CO95" s="12" t="n"/>
      <c r="CP95" s="12" t="n"/>
      <c r="CQ95" s="12" t="n"/>
      <c r="CR95" s="12" t="n"/>
      <c r="CS95" s="12" t="n"/>
      <c r="CT95" s="12" t="n"/>
      <c r="CU95" s="12" t="n"/>
      <c r="CV95" s="12" t="n"/>
      <c r="CW95" s="12" t="n"/>
      <c r="CX95" s="12" t="n"/>
      <c r="CY95" s="12" t="n"/>
    </row>
    <row r="96" hidden="1" outlineLevel="1">
      <c r="C96" s="57" t="inlineStr">
        <is>
          <t>Stake</t>
        </is>
      </c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  <c r="W96" s="12" t="n"/>
      <c r="X96" s="12" t="n"/>
      <c r="Y96" s="12" t="n"/>
      <c r="Z96" s="12" t="n"/>
      <c r="AA96" s="12" t="n"/>
      <c r="AB96" s="12" t="n"/>
      <c r="AC96" s="12" t="n"/>
      <c r="AD96" s="12" t="n"/>
      <c r="AE96" s="12" t="n"/>
      <c r="AF96" s="12" t="n"/>
      <c r="AG96" s="12" t="n"/>
      <c r="AH96" s="12" t="n"/>
      <c r="AI96" s="12" t="n"/>
      <c r="AJ96" s="12" t="n"/>
      <c r="AK96" s="12" t="n"/>
      <c r="AL96" s="12" t="n"/>
      <c r="AM96" s="12" t="n"/>
      <c r="AN96" s="12" t="n"/>
      <c r="AO96" s="12" t="n"/>
      <c r="AP96" s="12" t="n"/>
      <c r="AQ96" s="12" t="n"/>
      <c r="AR96" s="12" t="n"/>
      <c r="AS96" s="12" t="n"/>
      <c r="AT96" s="12" t="n"/>
      <c r="AU96" s="12" t="n"/>
      <c r="AV96" s="12" t="n"/>
      <c r="AW96" s="12" t="n"/>
      <c r="AX96" s="12" t="n"/>
      <c r="AY96" s="12" t="n"/>
      <c r="AZ96" s="12" t="n"/>
      <c r="BA96" s="12" t="n"/>
      <c r="BB96" s="12" t="n"/>
      <c r="BC96" s="12" t="n"/>
      <c r="BD96" s="12" t="n"/>
      <c r="BE96" s="12" t="n"/>
      <c r="BF96" s="12" t="n"/>
      <c r="BG96" s="12" t="n"/>
      <c r="BH96" s="12" t="n"/>
      <c r="BI96" s="12" t="n"/>
      <c r="BJ96" s="12" t="n"/>
      <c r="BK96" s="12" t="n"/>
      <c r="BL96" s="12" t="n"/>
      <c r="BM96" s="12" t="n"/>
      <c r="BN96" s="12" t="n"/>
      <c r="BO96" s="12" t="n"/>
      <c r="BP96" s="12" t="n"/>
      <c r="BQ96" s="12" t="n"/>
      <c r="BR96" s="12" t="n"/>
      <c r="BS96" s="12" t="n"/>
      <c r="BT96" s="12" t="n"/>
      <c r="BU96" s="12" t="n"/>
      <c r="BV96" s="12" t="n"/>
      <c r="BW96" s="12" t="n"/>
      <c r="BX96" s="12" t="n"/>
      <c r="BY96" s="12" t="n"/>
      <c r="BZ96" s="12" t="n"/>
      <c r="CA96" s="12" t="n"/>
      <c r="CB96" s="12" t="n"/>
      <c r="CC96" s="12" t="n"/>
      <c r="CD96" s="12" t="n"/>
      <c r="CE96" s="12" t="n"/>
      <c r="CF96" s="12" t="n"/>
      <c r="CG96" s="12" t="n"/>
      <c r="CH96" s="12" t="n"/>
      <c r="CI96" s="12" t="n"/>
      <c r="CJ96" s="12" t="n"/>
      <c r="CK96" s="12" t="n"/>
      <c r="CL96" s="12" t="n"/>
      <c r="CM96" s="12" t="n"/>
      <c r="CN96" s="12" t="n"/>
      <c r="CO96" s="12" t="n"/>
      <c r="CP96" s="12" t="n"/>
      <c r="CQ96" s="12" t="n"/>
      <c r="CR96" s="12" t="n"/>
      <c r="CS96" s="12" t="n"/>
      <c r="CT96" s="12" t="n"/>
      <c r="CU96" s="12" t="n"/>
      <c r="CV96" s="12" t="n"/>
      <c r="CW96" s="12" t="n"/>
      <c r="CX96" s="12" t="n"/>
      <c r="CY96" s="12" t="n"/>
    </row>
    <row r="97" hidden="1" outlineLevel="1">
      <c r="C97" s="57" t="inlineStr">
        <is>
          <t>PRE</t>
        </is>
      </c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  <c r="AA97" s="12" t="n"/>
      <c r="AB97" s="12" t="n"/>
      <c r="AC97" s="12" t="n"/>
      <c r="AD97" s="12" t="n"/>
      <c r="AE97" s="12" t="n"/>
      <c r="AF97" s="12" t="n"/>
      <c r="AG97" s="12" t="n"/>
      <c r="AH97" s="12" t="n"/>
      <c r="AI97" s="12" t="n"/>
      <c r="AJ97" s="12" t="n"/>
      <c r="AK97" s="12" t="n"/>
      <c r="AL97" s="12" t="n"/>
      <c r="AM97" s="12" t="n"/>
      <c r="AN97" s="12" t="n"/>
      <c r="AO97" s="12" t="n"/>
      <c r="AP97" s="12" t="n"/>
      <c r="AQ97" s="12" t="n"/>
      <c r="AR97" s="12" t="n"/>
      <c r="AS97" s="12" t="n"/>
      <c r="AT97" s="12" t="n"/>
      <c r="AU97" s="12" t="n"/>
      <c r="AV97" s="12" t="n"/>
      <c r="AW97" s="12" t="n"/>
      <c r="AX97" s="12" t="n"/>
      <c r="AY97" s="12" t="n"/>
      <c r="AZ97" s="12" t="n"/>
      <c r="BA97" s="12" t="n"/>
      <c r="BB97" s="12" t="n"/>
      <c r="BC97" s="12" t="n"/>
      <c r="BD97" s="12" t="n"/>
      <c r="BE97" s="12" t="n"/>
      <c r="BF97" s="12" t="n"/>
      <c r="BG97" s="12" t="n"/>
      <c r="BH97" s="12" t="n"/>
      <c r="BI97" s="12" t="n"/>
      <c r="BJ97" s="12" t="n"/>
      <c r="BK97" s="12" t="n"/>
      <c r="BL97" s="12" t="n"/>
      <c r="BM97" s="12" t="n"/>
      <c r="BN97" s="12" t="n"/>
      <c r="BO97" s="12" t="n"/>
      <c r="BP97" s="12" t="n"/>
      <c r="BQ97" s="12" t="n"/>
      <c r="BR97" s="12" t="n"/>
      <c r="BS97" s="12" t="n"/>
      <c r="BT97" s="12" t="n"/>
      <c r="BU97" s="12" t="n"/>
      <c r="BV97" s="12" t="n"/>
      <c r="BW97" s="12" t="n"/>
      <c r="BX97" s="12" t="n"/>
      <c r="BY97" s="12" t="n"/>
      <c r="BZ97" s="12" t="n"/>
      <c r="CA97" s="12" t="n"/>
      <c r="CB97" s="12" t="n"/>
      <c r="CC97" s="12" t="n"/>
      <c r="CD97" s="12" t="n"/>
      <c r="CE97" s="12" t="n"/>
      <c r="CF97" s="12" t="n"/>
      <c r="CG97" s="12" t="n"/>
      <c r="CH97" s="12" t="n"/>
      <c r="CI97" s="12" t="n"/>
      <c r="CJ97" s="12" t="n"/>
      <c r="CK97" s="12" t="n"/>
      <c r="CL97" s="12" t="n"/>
      <c r="CM97" s="12" t="n"/>
      <c r="CN97" s="12" t="n"/>
      <c r="CO97" s="12" t="n"/>
      <c r="CP97" s="12" t="n"/>
      <c r="CQ97" s="12" t="n"/>
      <c r="CR97" s="12" t="n"/>
      <c r="CS97" s="12" t="n"/>
      <c r="CT97" s="12" t="n"/>
      <c r="CU97" s="12" t="n"/>
      <c r="CV97" s="12" t="n"/>
      <c r="CW97" s="12" t="n"/>
      <c r="CX97" s="12" t="n"/>
      <c r="CY97" s="12" t="n"/>
    </row>
    <row r="98" hidden="1" outlineLevel="1">
      <c r="C98" s="57" t="inlineStr">
        <is>
          <t>CDI+</t>
        </is>
      </c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  <c r="W98" s="12" t="n"/>
      <c r="X98" s="12" t="n"/>
      <c r="Y98" s="12" t="n"/>
      <c r="Z98" s="12" t="n"/>
      <c r="AA98" s="12" t="n"/>
      <c r="AB98" s="12" t="n"/>
      <c r="AC98" s="12" t="n"/>
      <c r="AD98" s="12" t="n"/>
      <c r="AE98" s="12" t="n"/>
      <c r="AF98" s="12" t="n"/>
      <c r="AG98" s="12" t="n"/>
      <c r="AH98" s="12" t="n"/>
      <c r="AI98" s="12" t="n"/>
      <c r="AJ98" s="12" t="n"/>
      <c r="AK98" s="12" t="n"/>
      <c r="AL98" s="12" t="n"/>
      <c r="AM98" s="12" t="n"/>
      <c r="AN98" s="12" t="n"/>
      <c r="AO98" s="12" t="n"/>
      <c r="AP98" s="12" t="n"/>
      <c r="AQ98" s="12" t="n"/>
      <c r="AR98" s="12" t="n"/>
      <c r="AS98" s="12" t="n"/>
      <c r="AT98" s="12" t="n"/>
      <c r="AU98" s="12" t="n"/>
      <c r="AV98" s="12" t="n"/>
      <c r="AW98" s="12" t="n"/>
      <c r="AX98" s="12" t="n"/>
      <c r="AY98" s="12" t="n"/>
      <c r="AZ98" s="12" t="n"/>
      <c r="BA98" s="12" t="n"/>
      <c r="BB98" s="12" t="n"/>
      <c r="BC98" s="12" t="n"/>
      <c r="BD98" s="12" t="n"/>
      <c r="BE98" s="12" t="n"/>
      <c r="BF98" s="12" t="n"/>
      <c r="BG98" s="12" t="n"/>
      <c r="BH98" s="12" t="n"/>
      <c r="BI98" s="12" t="n"/>
      <c r="BJ98" s="12" t="n"/>
      <c r="BK98" s="12" t="n"/>
      <c r="BL98" s="12" t="n"/>
      <c r="BM98" s="12" t="n"/>
      <c r="BN98" s="12" t="n"/>
      <c r="BO98" s="12" t="n"/>
      <c r="BP98" s="12" t="n"/>
      <c r="BQ98" s="12" t="n"/>
      <c r="BR98" s="12" t="n"/>
      <c r="BS98" s="12" t="n"/>
      <c r="BT98" s="12" t="n"/>
      <c r="BU98" s="12" t="n"/>
      <c r="BV98" s="12" t="n"/>
      <c r="BW98" s="12" t="n"/>
      <c r="BX98" s="12" t="n"/>
      <c r="BY98" s="12" t="n"/>
      <c r="BZ98" s="12" t="n"/>
      <c r="CA98" s="12" t="n"/>
      <c r="CB98" s="12" t="n"/>
      <c r="CC98" s="12" t="n"/>
      <c r="CD98" s="12" t="n"/>
      <c r="CE98" s="12" t="n"/>
      <c r="CF98" s="12" t="n"/>
      <c r="CG98" s="12" t="n"/>
      <c r="CH98" s="12" t="n"/>
      <c r="CI98" s="12" t="n"/>
      <c r="CJ98" s="12" t="n"/>
      <c r="CK98" s="12" t="n"/>
      <c r="CL98" s="12" t="n"/>
      <c r="CM98" s="12" t="n"/>
      <c r="CN98" s="12" t="n"/>
      <c r="CO98" s="12" t="n"/>
      <c r="CP98" s="12" t="n"/>
      <c r="CQ98" s="12" t="n"/>
      <c r="CR98" s="12" t="n"/>
      <c r="CS98" s="12" t="n"/>
      <c r="CT98" s="12" t="n"/>
      <c r="CU98" s="12" t="n"/>
      <c r="CV98" s="12" t="n"/>
      <c r="CW98" s="12" t="n"/>
      <c r="CX98" s="12" t="n"/>
      <c r="CY98" s="12" t="n"/>
    </row>
    <row r="99" hidden="1" outlineLevel="1">
      <c r="C99" s="57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  <c r="AA99" s="12" t="n"/>
      <c r="AB99" s="12" t="n"/>
      <c r="AC99" s="12" t="n"/>
      <c r="AD99" s="12" t="n"/>
      <c r="AE99" s="12" t="n"/>
      <c r="AF99" s="12" t="n"/>
      <c r="AG99" s="12" t="n"/>
      <c r="AH99" s="12" t="n"/>
      <c r="AI99" s="12" t="n"/>
      <c r="AJ99" s="12" t="n"/>
      <c r="AK99" s="12" t="n"/>
      <c r="AL99" s="12" t="n"/>
      <c r="AM99" s="12" t="n"/>
      <c r="AN99" s="12" t="n"/>
      <c r="AO99" s="12" t="n"/>
      <c r="AP99" s="12" t="n"/>
      <c r="AQ99" s="12" t="n"/>
      <c r="AR99" s="12" t="n"/>
      <c r="AS99" s="12" t="n"/>
      <c r="AT99" s="12" t="n"/>
      <c r="AU99" s="12" t="n"/>
      <c r="AV99" s="12" t="n"/>
      <c r="AW99" s="12" t="n"/>
      <c r="AX99" s="12" t="n"/>
      <c r="AY99" s="12" t="n"/>
      <c r="AZ99" s="12" t="n"/>
      <c r="BA99" s="12" t="n"/>
      <c r="BB99" s="12" t="n"/>
      <c r="BC99" s="12" t="n"/>
      <c r="BD99" s="12" t="n"/>
      <c r="BE99" s="12" t="n"/>
      <c r="BF99" s="12" t="n"/>
      <c r="BG99" s="12" t="n"/>
      <c r="BH99" s="12" t="n"/>
      <c r="BI99" s="12" t="n"/>
      <c r="BJ99" s="12" t="n"/>
      <c r="BK99" s="12" t="n"/>
      <c r="BL99" s="12" t="n"/>
      <c r="BM99" s="12" t="n"/>
      <c r="BN99" s="12" t="n"/>
      <c r="BO99" s="12" t="n"/>
      <c r="BP99" s="12" t="n"/>
      <c r="BQ99" s="12" t="n"/>
      <c r="BR99" s="12" t="n"/>
      <c r="BS99" s="12" t="n"/>
      <c r="BT99" s="12" t="n"/>
      <c r="BU99" s="12" t="n"/>
      <c r="BV99" s="12" t="n"/>
      <c r="BW99" s="12" t="n"/>
      <c r="BX99" s="12" t="n"/>
      <c r="BY99" s="12" t="n"/>
      <c r="BZ99" s="12" t="n"/>
      <c r="CA99" s="12" t="n"/>
      <c r="CB99" s="12" t="n"/>
      <c r="CC99" s="12" t="n"/>
      <c r="CD99" s="12" t="n"/>
      <c r="CE99" s="12" t="n"/>
      <c r="CF99" s="12" t="n"/>
      <c r="CG99" s="12" t="n"/>
      <c r="CH99" s="12" t="n"/>
      <c r="CI99" s="12" t="n"/>
      <c r="CJ99" s="12" t="n"/>
      <c r="CK99" s="12" t="n"/>
      <c r="CL99" s="12" t="n"/>
      <c r="CM99" s="12" t="n"/>
      <c r="CN99" s="12" t="n"/>
      <c r="CO99" s="12" t="n"/>
      <c r="CP99" s="12" t="n"/>
      <c r="CQ99" s="12" t="n"/>
      <c r="CR99" s="12" t="n"/>
      <c r="CS99" s="12" t="n"/>
      <c r="CT99" s="12" t="n"/>
      <c r="CU99" s="12" t="n"/>
      <c r="CV99" s="12" t="n"/>
      <c r="CW99" s="12" t="n"/>
      <c r="CX99" s="12" t="n"/>
      <c r="CY99" s="12" t="n"/>
    </row>
    <row r="100" hidden="1" outlineLevel="1">
      <c r="C100" s="57" t="inlineStr">
        <is>
          <t>Spread</t>
        </is>
      </c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  <c r="W100" s="12" t="n"/>
      <c r="X100" s="12" t="n"/>
      <c r="Y100" s="12" t="n"/>
      <c r="Z100" s="12" t="n"/>
      <c r="AA100" s="12" t="n"/>
      <c r="AB100" s="12" t="n"/>
      <c r="AC100" s="12" t="n"/>
      <c r="AD100" s="12" t="n"/>
      <c r="AE100" s="12" t="n"/>
      <c r="AF100" s="12" t="n"/>
      <c r="AG100" s="12" t="n"/>
      <c r="AH100" s="12" t="n"/>
      <c r="AI100" s="12" t="n"/>
      <c r="AJ100" s="12" t="n"/>
      <c r="AK100" s="12" t="n"/>
      <c r="AL100" s="12" t="n"/>
      <c r="AM100" s="12" t="n"/>
      <c r="AN100" s="12" t="n"/>
      <c r="AO100" s="12" t="n"/>
      <c r="AP100" s="12" t="n"/>
      <c r="AQ100" s="12" t="n"/>
      <c r="AR100" s="12" t="n"/>
      <c r="AS100" s="12" t="n"/>
      <c r="AT100" s="12" t="n"/>
      <c r="AU100" s="12" t="n"/>
      <c r="AV100" s="12" t="n"/>
      <c r="AW100" s="12" t="n"/>
      <c r="AX100" s="12" t="n"/>
      <c r="AY100" s="12" t="n"/>
      <c r="AZ100" s="12" t="n"/>
      <c r="BA100" s="12" t="n"/>
      <c r="BB100" s="12" t="n"/>
      <c r="BC100" s="12" t="n"/>
      <c r="BD100" s="12" t="n"/>
      <c r="BE100" s="12" t="n"/>
      <c r="BF100" s="12" t="n"/>
      <c r="BG100" s="12" t="n"/>
      <c r="BH100" s="12" t="n"/>
      <c r="BI100" s="12" t="n"/>
      <c r="BJ100" s="12" t="n"/>
      <c r="BK100" s="12" t="n"/>
      <c r="BL100" s="12" t="n"/>
      <c r="BM100" s="12" t="n"/>
      <c r="BN100" s="12" t="n"/>
      <c r="BO100" s="12" t="n"/>
      <c r="BP100" s="12" t="n"/>
      <c r="BQ100" s="12" t="n"/>
      <c r="BR100" s="12" t="n"/>
      <c r="BS100" s="12" t="n"/>
      <c r="BT100" s="12" t="n"/>
      <c r="BU100" s="12" t="n"/>
      <c r="BV100" s="12" t="n"/>
      <c r="BW100" s="12" t="n"/>
      <c r="BX100" s="12" t="n"/>
      <c r="BY100" s="12" t="n"/>
      <c r="BZ100" s="12" t="n"/>
      <c r="CA100" s="12" t="n"/>
      <c r="CB100" s="12" t="n"/>
      <c r="CC100" s="12" t="n"/>
      <c r="CD100" s="12" t="n"/>
      <c r="CE100" s="12" t="n"/>
      <c r="CF100" s="12" t="n"/>
      <c r="CG100" s="12" t="n"/>
      <c r="CH100" s="12" t="n"/>
      <c r="CI100" s="12" t="n"/>
      <c r="CJ100" s="12" t="n"/>
      <c r="CK100" s="12" t="n"/>
      <c r="CL100" s="12" t="n"/>
      <c r="CM100" s="12" t="n"/>
      <c r="CN100" s="12" t="n"/>
      <c r="CO100" s="12" t="n"/>
      <c r="CP100" s="12" t="n"/>
      <c r="CQ100" s="12" t="n"/>
      <c r="CR100" s="12" t="n"/>
      <c r="CS100" s="12" t="n"/>
      <c r="CT100" s="12" t="n"/>
      <c r="CU100" s="12" t="n"/>
      <c r="CV100" s="12" t="n"/>
      <c r="CW100" s="12" t="n"/>
      <c r="CX100" s="12" t="n"/>
      <c r="CY100" s="12" t="n"/>
    </row>
    <row r="101" hidden="1" outlineLevel="1">
      <c r="C101" s="57" t="inlineStr">
        <is>
          <t>PRE</t>
        </is>
      </c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  <c r="AA101" s="12" t="n"/>
      <c r="AB101" s="12" t="n"/>
      <c r="AC101" s="12" t="n"/>
      <c r="AD101" s="12" t="n"/>
      <c r="AE101" s="12" t="n"/>
      <c r="AF101" s="12" t="n"/>
      <c r="AG101" s="12" t="n"/>
      <c r="AH101" s="12" t="n"/>
      <c r="AI101" s="12" t="n"/>
      <c r="AJ101" s="12" t="n"/>
      <c r="AK101" s="12" t="n"/>
      <c r="AL101" s="12" t="n"/>
      <c r="AM101" s="12" t="n"/>
      <c r="AN101" s="12" t="n"/>
      <c r="AO101" s="12" t="n"/>
      <c r="AP101" s="12" t="n"/>
      <c r="AQ101" s="12" t="n"/>
      <c r="AR101" s="12" t="n"/>
      <c r="AS101" s="12" t="n"/>
      <c r="AT101" s="12" t="n"/>
      <c r="AU101" s="12" t="n"/>
      <c r="AV101" s="12" t="n"/>
      <c r="AW101" s="12" t="n"/>
      <c r="AX101" s="12" t="n"/>
      <c r="AY101" s="12" t="n"/>
      <c r="AZ101" s="12" t="n"/>
      <c r="BA101" s="12" t="n"/>
      <c r="BB101" s="12" t="n"/>
      <c r="BC101" s="12" t="n"/>
      <c r="BD101" s="12" t="n"/>
      <c r="BE101" s="12" t="n"/>
      <c r="BF101" s="12" t="n"/>
      <c r="BG101" s="12" t="n"/>
      <c r="BH101" s="12" t="n"/>
      <c r="BI101" s="12" t="n"/>
      <c r="BJ101" s="12" t="n"/>
      <c r="BK101" s="12" t="n"/>
      <c r="BL101" s="12" t="n"/>
      <c r="BM101" s="12" t="n"/>
      <c r="BN101" s="12" t="n"/>
      <c r="BO101" s="12" t="n"/>
      <c r="BP101" s="12" t="n"/>
      <c r="BQ101" s="12" t="n"/>
      <c r="BR101" s="12" t="n"/>
      <c r="BS101" s="12" t="n"/>
      <c r="BT101" s="12" t="n"/>
      <c r="BU101" s="12" t="n"/>
      <c r="BV101" s="12" t="n"/>
      <c r="BW101" s="12" t="n"/>
      <c r="BX101" s="12" t="n"/>
      <c r="BY101" s="12" t="n"/>
      <c r="BZ101" s="12" t="n"/>
      <c r="CA101" s="12" t="n"/>
      <c r="CB101" s="12" t="n"/>
      <c r="CC101" s="12" t="n"/>
      <c r="CD101" s="12" t="n"/>
      <c r="CE101" s="12" t="n"/>
      <c r="CF101" s="12" t="n"/>
      <c r="CG101" s="12" t="n"/>
      <c r="CH101" s="12" t="n"/>
      <c r="CI101" s="12" t="n"/>
      <c r="CJ101" s="12" t="n"/>
      <c r="CK101" s="12" t="n"/>
      <c r="CL101" s="12" t="n"/>
      <c r="CM101" s="12" t="n"/>
      <c r="CN101" s="12" t="n"/>
      <c r="CO101" s="12" t="n"/>
      <c r="CP101" s="12" t="n"/>
      <c r="CQ101" s="12" t="n"/>
      <c r="CR101" s="12" t="n"/>
      <c r="CS101" s="12" t="n"/>
      <c r="CT101" s="12" t="n"/>
      <c r="CU101" s="12" t="n"/>
      <c r="CV101" s="12" t="n"/>
      <c r="CW101" s="12" t="n"/>
      <c r="CX101" s="12" t="n"/>
      <c r="CY101" s="12" t="n"/>
    </row>
    <row r="102" hidden="1" outlineLevel="1">
      <c r="C102" s="57" t="inlineStr">
        <is>
          <t>CDI+</t>
        </is>
      </c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  <c r="Z102" s="12" t="n"/>
      <c r="AA102" s="12" t="n"/>
      <c r="AB102" s="12" t="n"/>
      <c r="AC102" s="12" t="n"/>
      <c r="AD102" s="12" t="n"/>
      <c r="AE102" s="12" t="n"/>
      <c r="AF102" s="12" t="n"/>
      <c r="AG102" s="12" t="n"/>
      <c r="AH102" s="12" t="n"/>
      <c r="AI102" s="12" t="n"/>
      <c r="AJ102" s="12" t="n"/>
      <c r="AK102" s="12" t="n"/>
      <c r="AL102" s="12" t="n"/>
      <c r="AM102" s="12" t="n"/>
      <c r="AN102" s="12" t="n"/>
      <c r="AO102" s="12" t="n"/>
      <c r="AP102" s="12" t="n"/>
      <c r="AQ102" s="12" t="n"/>
      <c r="AR102" s="12" t="n"/>
      <c r="AS102" s="12" t="n"/>
      <c r="AT102" s="12" t="n"/>
      <c r="AU102" s="12" t="n"/>
      <c r="AV102" s="12" t="n"/>
      <c r="AW102" s="12" t="n"/>
      <c r="AX102" s="12" t="n"/>
      <c r="AY102" s="12" t="n"/>
      <c r="AZ102" s="12" t="n"/>
      <c r="BA102" s="12" t="n"/>
      <c r="BB102" s="12" t="n"/>
      <c r="BC102" s="12" t="n"/>
      <c r="BD102" s="12" t="n"/>
      <c r="BE102" s="12" t="n"/>
      <c r="BF102" s="12" t="n"/>
      <c r="BG102" s="12" t="n"/>
      <c r="BH102" s="12" t="n"/>
      <c r="BI102" s="12" t="n"/>
      <c r="BJ102" s="12" t="n"/>
      <c r="BK102" s="12" t="n"/>
      <c r="BL102" s="12" t="n"/>
      <c r="BM102" s="12" t="n"/>
      <c r="BN102" s="12" t="n"/>
      <c r="BO102" s="12" t="n"/>
      <c r="BP102" s="12" t="n"/>
      <c r="BQ102" s="12" t="n"/>
      <c r="BR102" s="12" t="n"/>
      <c r="BS102" s="12" t="n"/>
      <c r="BT102" s="12" t="n"/>
      <c r="BU102" s="12" t="n"/>
      <c r="BV102" s="12" t="n"/>
      <c r="BW102" s="12" t="n"/>
      <c r="BX102" s="12" t="n"/>
      <c r="BY102" s="12" t="n"/>
      <c r="BZ102" s="12" t="n"/>
      <c r="CA102" s="12" t="n"/>
      <c r="CB102" s="12" t="n"/>
      <c r="CC102" s="12" t="n"/>
      <c r="CD102" s="12" t="n"/>
      <c r="CE102" s="12" t="n"/>
      <c r="CF102" s="12" t="n"/>
      <c r="CG102" s="12" t="n"/>
      <c r="CH102" s="12" t="n"/>
      <c r="CI102" s="12" t="n"/>
      <c r="CJ102" s="12" t="n"/>
      <c r="CK102" s="12" t="n"/>
      <c r="CL102" s="12" t="n"/>
      <c r="CM102" s="12" t="n"/>
      <c r="CN102" s="12" t="n"/>
      <c r="CO102" s="12" t="n"/>
      <c r="CP102" s="12" t="n"/>
      <c r="CQ102" s="12" t="n"/>
      <c r="CR102" s="12" t="n"/>
      <c r="CS102" s="12" t="n"/>
      <c r="CT102" s="12" t="n"/>
      <c r="CU102" s="12" t="n"/>
      <c r="CV102" s="12" t="n"/>
      <c r="CW102" s="12" t="n"/>
      <c r="CX102" s="12" t="n"/>
      <c r="CY102" s="12" t="n"/>
    </row>
    <row r="103" hidden="1" outlineLevel="1">
      <c r="C103" s="57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  <c r="AA103" s="12" t="n"/>
      <c r="AB103" s="12" t="n"/>
      <c r="AC103" s="12" t="n"/>
      <c r="AD103" s="12" t="n"/>
      <c r="AE103" s="12" t="n"/>
      <c r="AF103" s="12" t="n"/>
      <c r="AG103" s="12" t="n"/>
      <c r="AH103" s="12" t="n"/>
      <c r="AI103" s="12" t="n"/>
      <c r="AJ103" s="12" t="n"/>
      <c r="AK103" s="12" t="n"/>
      <c r="AL103" s="12" t="n"/>
      <c r="AM103" s="12" t="n"/>
      <c r="AN103" s="12" t="n"/>
      <c r="AO103" s="12" t="n"/>
      <c r="AP103" s="12" t="n"/>
      <c r="AQ103" s="12" t="n"/>
      <c r="AR103" s="12" t="n"/>
      <c r="AS103" s="12" t="n"/>
      <c r="AT103" s="12" t="n"/>
      <c r="AU103" s="12" t="n"/>
      <c r="AV103" s="12" t="n"/>
      <c r="AW103" s="12" t="n"/>
      <c r="AX103" s="12" t="n"/>
      <c r="AY103" s="12" t="n"/>
      <c r="AZ103" s="12" t="n"/>
      <c r="BA103" s="12" t="n"/>
      <c r="BB103" s="12" t="n"/>
      <c r="BC103" s="12" t="n"/>
      <c r="BD103" s="12" t="n"/>
      <c r="BE103" s="12" t="n"/>
      <c r="BF103" s="12" t="n"/>
      <c r="BG103" s="12" t="n"/>
      <c r="BH103" s="12" t="n"/>
      <c r="BI103" s="12" t="n"/>
      <c r="BJ103" s="12" t="n"/>
      <c r="BK103" s="12" t="n"/>
      <c r="BL103" s="12" t="n"/>
      <c r="BM103" s="12" t="n"/>
      <c r="BN103" s="12" t="n"/>
      <c r="BO103" s="12" t="n"/>
      <c r="BP103" s="12" t="n"/>
      <c r="BQ103" s="12" t="n"/>
      <c r="BR103" s="12" t="n"/>
      <c r="BS103" s="12" t="n"/>
      <c r="BT103" s="12" t="n"/>
      <c r="BU103" s="12" t="n"/>
      <c r="BV103" s="12" t="n"/>
      <c r="BW103" s="12" t="n"/>
      <c r="BX103" s="12" t="n"/>
      <c r="BY103" s="12" t="n"/>
      <c r="BZ103" s="12" t="n"/>
      <c r="CA103" s="12" t="n"/>
      <c r="CB103" s="12" t="n"/>
      <c r="CC103" s="12" t="n"/>
      <c r="CD103" s="12" t="n"/>
      <c r="CE103" s="12" t="n"/>
      <c r="CF103" s="12" t="n"/>
      <c r="CG103" s="12" t="n"/>
      <c r="CH103" s="12" t="n"/>
      <c r="CI103" s="12" t="n"/>
      <c r="CJ103" s="12" t="n"/>
      <c r="CK103" s="12" t="n"/>
      <c r="CL103" s="12" t="n"/>
      <c r="CM103" s="12" t="n"/>
      <c r="CN103" s="12" t="n"/>
      <c r="CO103" s="12" t="n"/>
      <c r="CP103" s="12" t="n"/>
      <c r="CQ103" s="12" t="n"/>
      <c r="CR103" s="12" t="n"/>
      <c r="CS103" s="12" t="n"/>
      <c r="CT103" s="12" t="n"/>
      <c r="CU103" s="12" t="n"/>
      <c r="CV103" s="12" t="n"/>
      <c r="CW103" s="12" t="n"/>
      <c r="CX103" s="12" t="n"/>
      <c r="CY103" s="12" t="n"/>
    </row>
    <row r="104" hidden="1" outlineLevel="1">
      <c r="C104" s="57" t="inlineStr">
        <is>
          <t>RECEITAS FINANCEIRAS - Rendimentos de aplicações financeiras</t>
        </is>
      </c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  <c r="V104" s="12" t="n"/>
      <c r="W104" s="12" t="n"/>
      <c r="X104" s="12" t="n"/>
      <c r="Y104" s="12" t="n"/>
      <c r="Z104" s="12" t="n"/>
      <c r="AA104" s="12" t="n"/>
      <c r="AB104" s="12" t="n"/>
      <c r="AC104" s="12" t="n"/>
      <c r="AD104" s="12" t="n"/>
      <c r="AE104" s="12" t="n"/>
      <c r="AF104" s="12" t="n"/>
      <c r="AG104" s="12" t="n"/>
      <c r="AH104" s="12" t="n"/>
      <c r="AI104" s="12" t="n"/>
      <c r="AJ104" s="12" t="n"/>
      <c r="AK104" s="12" t="n"/>
      <c r="AL104" s="12" t="n"/>
      <c r="AM104" s="12" t="n"/>
      <c r="AN104" s="12" t="n"/>
      <c r="AO104" s="12" t="n"/>
      <c r="AP104" s="12" t="n"/>
      <c r="AQ104" s="12" t="n"/>
      <c r="AR104" s="12" t="n"/>
      <c r="AS104" s="12" t="n"/>
      <c r="AT104" s="12" t="n"/>
      <c r="AU104" s="12" t="n"/>
      <c r="AV104" s="12" t="n"/>
      <c r="AW104" s="12" t="n"/>
      <c r="AX104" s="12" t="n"/>
      <c r="AY104" s="12" t="n"/>
      <c r="AZ104" s="12" t="n"/>
      <c r="BA104" s="12" t="n"/>
      <c r="BB104" s="12" t="n"/>
      <c r="BC104" s="12" t="n"/>
      <c r="BD104" s="12" t="n"/>
      <c r="BE104" s="12" t="n"/>
      <c r="BF104" s="12" t="n"/>
      <c r="BG104" s="12" t="n"/>
      <c r="BH104" s="12" t="n"/>
      <c r="BI104" s="12" t="n"/>
      <c r="BJ104" s="12" t="n"/>
      <c r="BK104" s="12" t="n"/>
      <c r="BL104" s="12" t="n"/>
      <c r="BM104" s="12" t="n"/>
      <c r="BN104" s="12" t="n"/>
      <c r="BO104" s="12" t="n"/>
      <c r="BP104" s="12" t="n"/>
      <c r="BQ104" s="12" t="n"/>
      <c r="BR104" s="12" t="n"/>
      <c r="BS104" s="12" t="n"/>
      <c r="BT104" s="12" t="n"/>
      <c r="BU104" s="12" t="n"/>
      <c r="BV104" s="12" t="n"/>
      <c r="BW104" s="12" t="n"/>
      <c r="BX104" s="12" t="n"/>
      <c r="BY104" s="12" t="n"/>
      <c r="BZ104" s="12" t="n"/>
      <c r="CA104" s="12" t="n"/>
      <c r="CB104" s="12" t="n"/>
      <c r="CC104" s="12" t="n"/>
      <c r="CD104" s="12" t="n"/>
      <c r="CE104" s="12" t="n"/>
      <c r="CF104" s="12" t="n"/>
      <c r="CG104" s="12" t="n"/>
      <c r="CH104" s="12" t="n"/>
      <c r="CI104" s="12" t="n"/>
      <c r="CJ104" s="12" t="n"/>
      <c r="CK104" s="12" t="n"/>
      <c r="CL104" s="12" t="n"/>
      <c r="CM104" s="12" t="n"/>
      <c r="CN104" s="12" t="n"/>
      <c r="CO104" s="12" t="n"/>
      <c r="CP104" s="12" t="n"/>
      <c r="CQ104" s="12" t="n"/>
      <c r="CR104" s="12" t="n"/>
      <c r="CS104" s="12" t="n"/>
      <c r="CT104" s="12" t="n"/>
      <c r="CU104" s="12" t="n"/>
      <c r="CV104" s="12" t="n"/>
      <c r="CW104" s="12" t="n"/>
      <c r="CX104" s="12" t="n"/>
      <c r="CY104" s="12" t="n"/>
    </row>
    <row r="105" hidden="1" outlineLevel="1">
      <c r="C105" s="57" t="inlineStr">
        <is>
          <t>RECEITAS FINANCEIRAS - Variação cambial ativa</t>
        </is>
      </c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  <c r="AA105" s="12" t="n"/>
      <c r="AB105" s="12" t="n"/>
      <c r="AC105" s="12" t="n"/>
      <c r="AD105" s="12" t="n"/>
      <c r="AE105" s="12" t="n"/>
      <c r="AF105" s="12" t="n"/>
      <c r="AG105" s="12" t="n"/>
      <c r="AH105" s="12" t="n"/>
      <c r="AI105" s="12" t="n"/>
      <c r="AJ105" s="12" t="n"/>
      <c r="AK105" s="12" t="n"/>
      <c r="AL105" s="12" t="n"/>
      <c r="AM105" s="12" t="n"/>
      <c r="AN105" s="12" t="n"/>
      <c r="AO105" s="12" t="n"/>
      <c r="AP105" s="12" t="n"/>
      <c r="AQ105" s="12" t="n"/>
      <c r="AR105" s="12" t="n"/>
      <c r="AS105" s="12" t="n"/>
      <c r="AT105" s="12" t="n"/>
      <c r="AU105" s="12" t="n"/>
      <c r="AV105" s="12" t="n"/>
      <c r="AW105" s="12" t="n"/>
      <c r="AX105" s="12" t="n"/>
      <c r="AY105" s="12" t="n"/>
      <c r="AZ105" s="12" t="n"/>
      <c r="BA105" s="12" t="n"/>
      <c r="BB105" s="12" t="n"/>
      <c r="BC105" s="12" t="n"/>
      <c r="BD105" s="12" t="n"/>
      <c r="BE105" s="12" t="n"/>
      <c r="BF105" s="12" t="n"/>
      <c r="BG105" s="12" t="n"/>
      <c r="BH105" s="12" t="n"/>
      <c r="BI105" s="12" t="n"/>
      <c r="BJ105" s="12" t="n"/>
      <c r="BK105" s="12" t="n"/>
      <c r="BL105" s="12" t="n"/>
      <c r="BM105" s="12" t="n"/>
      <c r="BN105" s="12" t="n"/>
      <c r="BO105" s="12" t="n"/>
      <c r="BP105" s="12" t="n"/>
      <c r="BQ105" s="12" t="n"/>
      <c r="BR105" s="12" t="n"/>
      <c r="BS105" s="12" t="n"/>
      <c r="BT105" s="12" t="n"/>
      <c r="BU105" s="12" t="n"/>
      <c r="BV105" s="12" t="n"/>
      <c r="BW105" s="12" t="n"/>
      <c r="BX105" s="12" t="n"/>
      <c r="BY105" s="12" t="n"/>
      <c r="BZ105" s="12" t="n"/>
      <c r="CA105" s="12" t="n"/>
      <c r="CB105" s="12" t="n"/>
      <c r="CC105" s="12" t="n"/>
      <c r="CD105" s="12" t="n"/>
      <c r="CE105" s="12" t="n"/>
      <c r="CF105" s="12" t="n"/>
      <c r="CG105" s="12" t="n"/>
      <c r="CH105" s="12" t="n"/>
      <c r="CI105" s="12" t="n"/>
      <c r="CJ105" s="12" t="n"/>
      <c r="CK105" s="12" t="n"/>
      <c r="CL105" s="12" t="n"/>
      <c r="CM105" s="12" t="n"/>
      <c r="CN105" s="12" t="n"/>
      <c r="CO105" s="12" t="n"/>
      <c r="CP105" s="12" t="n"/>
      <c r="CQ105" s="12" t="n"/>
      <c r="CR105" s="12" t="n"/>
      <c r="CS105" s="12" t="n"/>
      <c r="CT105" s="12" t="n"/>
      <c r="CU105" s="12" t="n"/>
      <c r="CV105" s="12" t="n"/>
      <c r="CW105" s="12" t="n"/>
      <c r="CX105" s="12" t="n"/>
      <c r="CY105" s="12" t="n"/>
    </row>
    <row r="106" hidden="1" outlineLevel="1">
      <c r="C106" s="57" t="inlineStr">
        <is>
          <t>RECEITAS FINANCEIRAS - Atualização de contas a pagar por aquisição de empresas</t>
        </is>
      </c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2" t="n"/>
      <c r="S106" s="12" t="n"/>
      <c r="T106" s="12" t="n"/>
      <c r="U106" s="12" t="n"/>
      <c r="V106" s="12" t="n"/>
      <c r="W106" s="12" t="n"/>
      <c r="X106" s="12" t="n"/>
      <c r="Y106" s="12" t="n"/>
      <c r="Z106" s="12" t="n"/>
      <c r="AA106" s="12" t="n"/>
      <c r="AB106" s="12" t="n"/>
      <c r="AC106" s="12" t="n"/>
      <c r="AD106" s="12" t="n"/>
      <c r="AE106" s="12" t="n"/>
      <c r="AF106" s="12" t="n"/>
      <c r="AG106" s="12" t="n"/>
      <c r="AH106" s="12" t="n"/>
      <c r="AI106" s="12" t="n"/>
      <c r="AJ106" s="12" t="n"/>
      <c r="AK106" s="12" t="n"/>
      <c r="AL106" s="12" t="n"/>
      <c r="AM106" s="12" t="n"/>
      <c r="AN106" s="12" t="n"/>
      <c r="AO106" s="12" t="n"/>
      <c r="AP106" s="12" t="n"/>
      <c r="AQ106" s="12" t="n"/>
      <c r="AR106" s="12" t="n"/>
      <c r="AS106" s="12" t="n"/>
      <c r="AT106" s="12" t="n"/>
      <c r="AU106" s="12" t="n"/>
      <c r="AV106" s="12" t="n"/>
      <c r="AW106" s="12" t="n"/>
      <c r="AX106" s="12" t="n"/>
      <c r="AY106" s="12" t="n"/>
      <c r="AZ106" s="12" t="n"/>
      <c r="BA106" s="12" t="n"/>
      <c r="BB106" s="12" t="n"/>
      <c r="BC106" s="12" t="n"/>
      <c r="BD106" s="12" t="n"/>
      <c r="BE106" s="12" t="n"/>
      <c r="BF106" s="12" t="n"/>
      <c r="BG106" s="12" t="n"/>
      <c r="BH106" s="12" t="n"/>
      <c r="BI106" s="12" t="n"/>
      <c r="BJ106" s="12" t="n"/>
      <c r="BK106" s="12" t="n"/>
      <c r="BL106" s="12" t="n"/>
      <c r="BM106" s="12" t="n"/>
      <c r="BN106" s="12" t="n"/>
      <c r="BO106" s="12" t="n"/>
      <c r="BP106" s="12" t="n"/>
      <c r="BQ106" s="12" t="n"/>
      <c r="BR106" s="12" t="n"/>
      <c r="BS106" s="12" t="n"/>
      <c r="BT106" s="12" t="n"/>
      <c r="BU106" s="12" t="n"/>
      <c r="BV106" s="12" t="n"/>
      <c r="BW106" s="12" t="n"/>
      <c r="BX106" s="12" t="n"/>
      <c r="BY106" s="12" t="n"/>
      <c r="BZ106" s="12" t="n"/>
      <c r="CA106" s="12" t="n"/>
      <c r="CB106" s="12" t="n"/>
      <c r="CC106" s="12" t="n"/>
      <c r="CD106" s="12" t="n"/>
      <c r="CE106" s="12" t="n"/>
      <c r="CF106" s="12" t="n"/>
      <c r="CG106" s="12" t="n"/>
      <c r="CH106" s="12" t="n"/>
      <c r="CI106" s="12" t="n"/>
      <c r="CJ106" s="12" t="n"/>
      <c r="CK106" s="12" t="n"/>
      <c r="CL106" s="12" t="n"/>
      <c r="CM106" s="12" t="n"/>
      <c r="CN106" s="12" t="n"/>
      <c r="CO106" s="12" t="n"/>
      <c r="CP106" s="12" t="n"/>
      <c r="CQ106" s="12" t="n"/>
      <c r="CR106" s="12" t="n"/>
      <c r="CS106" s="12" t="n"/>
      <c r="CT106" s="12" t="n"/>
      <c r="CU106" s="12" t="n"/>
      <c r="CV106" s="12" t="n"/>
      <c r="CW106" s="12" t="n"/>
      <c r="CX106" s="12" t="n"/>
      <c r="CY106" s="12" t="n"/>
    </row>
    <row r="107" hidden="1" outlineLevel="1">
      <c r="C107" s="57" t="inlineStr">
        <is>
          <t>RECEITAS FINANCEIRAS - Resultado positivo com instrumentos derivativos</t>
        </is>
      </c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  <c r="AA107" s="12" t="n"/>
      <c r="AB107" s="12" t="n"/>
      <c r="AC107" s="12" t="n"/>
      <c r="AD107" s="12" t="n"/>
      <c r="AE107" s="12" t="n"/>
      <c r="AF107" s="12" t="n"/>
      <c r="AG107" s="12" t="n"/>
      <c r="AH107" s="12" t="n"/>
      <c r="AI107" s="12" t="n"/>
      <c r="AJ107" s="12" t="n"/>
      <c r="AK107" s="12" t="n"/>
      <c r="AL107" s="12" t="n"/>
      <c r="AM107" s="12" t="n"/>
      <c r="AN107" s="12" t="n"/>
      <c r="AO107" s="12" t="n"/>
      <c r="AP107" s="12" t="n"/>
      <c r="AQ107" s="12" t="n"/>
      <c r="AR107" s="12" t="n"/>
      <c r="AS107" s="12" t="n"/>
      <c r="AT107" s="12" t="n"/>
      <c r="AU107" s="12" t="n"/>
      <c r="AV107" s="12" t="n"/>
      <c r="AW107" s="12" t="n"/>
      <c r="AX107" s="12" t="n"/>
      <c r="AY107" s="12" t="n"/>
      <c r="AZ107" s="12" t="n"/>
      <c r="BA107" s="12" t="n"/>
      <c r="BB107" s="12" t="n"/>
      <c r="BC107" s="12" t="n"/>
      <c r="BD107" s="12" t="n"/>
      <c r="BE107" s="12" t="n"/>
      <c r="BF107" s="12" t="n"/>
      <c r="BG107" s="12" t="n"/>
      <c r="BH107" s="12" t="n"/>
      <c r="BI107" s="12" t="n"/>
      <c r="BJ107" s="12" t="n"/>
      <c r="BK107" s="12" t="n"/>
      <c r="BL107" s="12" t="n"/>
      <c r="BM107" s="12" t="n"/>
      <c r="BN107" s="12" t="n"/>
      <c r="BO107" s="12" t="n"/>
      <c r="BP107" s="12" t="n"/>
      <c r="BQ107" s="12" t="n"/>
      <c r="BR107" s="12" t="n"/>
      <c r="BS107" s="12" t="n"/>
      <c r="BT107" s="12" t="n"/>
      <c r="BU107" s="12" t="n"/>
      <c r="BV107" s="12" t="n"/>
      <c r="BW107" s="12" t="n"/>
      <c r="BX107" s="12" t="n"/>
      <c r="BY107" s="12" t="n"/>
      <c r="BZ107" s="12" t="n"/>
      <c r="CA107" s="12" t="n"/>
      <c r="CB107" s="12" t="n"/>
      <c r="CC107" s="12" t="n"/>
      <c r="CD107" s="12" t="n"/>
      <c r="CE107" s="12" t="n"/>
      <c r="CF107" s="12" t="n"/>
      <c r="CG107" s="12" t="n"/>
      <c r="CH107" s="12" t="n"/>
      <c r="CI107" s="12" t="n"/>
      <c r="CJ107" s="12" t="n"/>
      <c r="CK107" s="12" t="n"/>
      <c r="CL107" s="12" t="n"/>
      <c r="CM107" s="12" t="n"/>
      <c r="CN107" s="12" t="n"/>
      <c r="CO107" s="12" t="n"/>
      <c r="CP107" s="12" t="n"/>
      <c r="CQ107" s="12" t="n"/>
      <c r="CR107" s="12" t="n"/>
      <c r="CS107" s="12" t="n"/>
      <c r="CT107" s="12" t="n"/>
      <c r="CU107" s="12" t="n"/>
      <c r="CV107" s="12" t="n"/>
      <c r="CW107" s="12" t="n"/>
      <c r="CX107" s="12" t="n"/>
      <c r="CY107" s="12" t="n"/>
    </row>
    <row r="108" hidden="1" outlineLevel="1">
      <c r="C108" s="57" t="inlineStr">
        <is>
          <t>RECEITAS FINANCEIRAS - Descontos obtidos de fornecedores por antecipação</t>
        </is>
      </c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  <c r="Q108" s="12" t="n"/>
      <c r="R108" s="12" t="n"/>
      <c r="S108" s="12" t="n"/>
      <c r="T108" s="12" t="n"/>
      <c r="U108" s="12" t="n"/>
      <c r="V108" s="12" t="n"/>
      <c r="W108" s="12" t="n"/>
      <c r="X108" s="12" t="n"/>
      <c r="Y108" s="12" t="n"/>
      <c r="Z108" s="12" t="n"/>
      <c r="AA108" s="12" t="n"/>
      <c r="AB108" s="12" t="n"/>
      <c r="AC108" s="12" t="n"/>
      <c r="AD108" s="12" t="n"/>
      <c r="AE108" s="12" t="n"/>
      <c r="AF108" s="12" t="n"/>
      <c r="AG108" s="12" t="n"/>
      <c r="AH108" s="12" t="n"/>
      <c r="AI108" s="12" t="n"/>
      <c r="AJ108" s="12" t="n"/>
      <c r="AK108" s="12" t="n"/>
      <c r="AL108" s="12" t="n"/>
      <c r="AM108" s="12" t="n"/>
      <c r="AN108" s="12" t="n"/>
      <c r="AO108" s="12" t="n"/>
      <c r="AP108" s="12" t="n"/>
      <c r="AQ108" s="12" t="n"/>
      <c r="AR108" s="12" t="n"/>
      <c r="AS108" s="12" t="n"/>
      <c r="AT108" s="12" t="n"/>
      <c r="AU108" s="12" t="n"/>
      <c r="AV108" s="12" t="n"/>
      <c r="AW108" s="12" t="n"/>
      <c r="AX108" s="12" t="n"/>
      <c r="AY108" s="12" t="n"/>
      <c r="AZ108" s="12" t="n"/>
      <c r="BA108" s="12" t="n"/>
      <c r="BB108" s="12" t="n"/>
      <c r="BC108" s="12" t="n"/>
      <c r="BD108" s="12" t="n"/>
      <c r="BE108" s="12" t="n"/>
      <c r="BF108" s="12" t="n"/>
      <c r="BG108" s="12" t="n"/>
      <c r="BH108" s="12" t="n"/>
      <c r="BI108" s="12" t="n"/>
      <c r="BJ108" s="12" t="n"/>
      <c r="BK108" s="12" t="n"/>
      <c r="BL108" s="12" t="n"/>
      <c r="BM108" s="12" t="n"/>
      <c r="BN108" s="12" t="n"/>
      <c r="BO108" s="12" t="n"/>
      <c r="BP108" s="12" t="n"/>
      <c r="BQ108" s="12" t="n"/>
      <c r="BR108" s="12" t="n"/>
      <c r="BS108" s="12" t="n"/>
      <c r="BT108" s="12" t="n"/>
      <c r="BU108" s="12" t="n"/>
      <c r="BV108" s="12" t="n"/>
      <c r="BW108" s="12" t="n"/>
      <c r="BX108" s="12" t="n"/>
      <c r="BY108" s="12" t="n"/>
      <c r="BZ108" s="12" t="n"/>
      <c r="CA108" s="12" t="n"/>
      <c r="CB108" s="12" t="n"/>
      <c r="CC108" s="12" t="n"/>
      <c r="CD108" s="12" t="n"/>
      <c r="CE108" s="12" t="n"/>
      <c r="CF108" s="12" t="n"/>
      <c r="CG108" s="12" t="n"/>
      <c r="CH108" s="12" t="n"/>
      <c r="CI108" s="12" t="n"/>
      <c r="CJ108" s="12" t="n"/>
      <c r="CK108" s="12" t="n"/>
      <c r="CL108" s="12" t="n"/>
      <c r="CM108" s="12" t="n"/>
      <c r="CN108" s="12" t="n"/>
      <c r="CO108" s="12" t="n"/>
      <c r="CP108" s="12" t="n"/>
      <c r="CQ108" s="12" t="n"/>
      <c r="CR108" s="12" t="n"/>
      <c r="CS108" s="12" t="n"/>
      <c r="CT108" s="12" t="n"/>
      <c r="CU108" s="12" t="n"/>
      <c r="CV108" s="12" t="n"/>
      <c r="CW108" s="12" t="n"/>
      <c r="CX108" s="12" t="n"/>
      <c r="CY108" s="12" t="n"/>
    </row>
    <row r="109" hidden="1" outlineLevel="1">
      <c r="C109" s="57" t="inlineStr">
        <is>
          <t>RECEITAS FINANCEIRAS - Atualização monetária sobre Exclusão ICMS da base de PIS/COFINS (nota explicativa nº 7)</t>
        </is>
      </c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  <c r="Z109" s="12" t="n"/>
      <c r="AA109" s="12" t="n"/>
      <c r="AB109" s="12" t="n"/>
      <c r="AC109" s="12" t="n"/>
      <c r="AD109" s="12" t="n"/>
      <c r="AE109" s="12" t="n"/>
      <c r="AF109" s="12" t="n"/>
      <c r="AG109" s="12" t="n"/>
      <c r="AH109" s="12" t="n"/>
      <c r="AI109" s="12" t="n"/>
      <c r="AJ109" s="12" t="n"/>
      <c r="AK109" s="12" t="n"/>
      <c r="AL109" s="12" t="n"/>
      <c r="AM109" s="12" t="n"/>
      <c r="AN109" s="12" t="n"/>
      <c r="AO109" s="12" t="n"/>
      <c r="AP109" s="12" t="n"/>
      <c r="AQ109" s="12" t="n"/>
      <c r="AR109" s="12" t="n"/>
      <c r="AS109" s="12" t="n"/>
      <c r="AT109" s="12" t="n"/>
      <c r="AU109" s="12" t="n"/>
      <c r="AV109" s="12" t="n"/>
      <c r="AW109" s="12" t="n"/>
      <c r="AX109" s="12" t="n"/>
      <c r="AY109" s="12" t="n"/>
      <c r="AZ109" s="12" t="n"/>
      <c r="BA109" s="12" t="n"/>
      <c r="BB109" s="12" t="n"/>
      <c r="BC109" s="12" t="n"/>
      <c r="BD109" s="12" t="n"/>
      <c r="BE109" s="12" t="n"/>
      <c r="BF109" s="12" t="n"/>
      <c r="BG109" s="12" t="n"/>
      <c r="BH109" s="12" t="n"/>
      <c r="BI109" s="12" t="n"/>
      <c r="BJ109" s="12" t="n"/>
      <c r="BK109" s="12" t="n"/>
      <c r="BL109" s="12" t="n"/>
      <c r="BM109" s="12" t="n"/>
      <c r="BN109" s="12" t="n"/>
      <c r="BO109" s="12" t="n"/>
      <c r="BP109" s="12" t="n"/>
      <c r="BQ109" s="12" t="n"/>
      <c r="BR109" s="12" t="n"/>
      <c r="BS109" s="12" t="n"/>
      <c r="BT109" s="12" t="n"/>
      <c r="BU109" s="12" t="n"/>
      <c r="BV109" s="12" t="n"/>
      <c r="BW109" s="12" t="n"/>
      <c r="BX109" s="12" t="n"/>
      <c r="BY109" s="12" t="n"/>
      <c r="BZ109" s="12" t="n"/>
      <c r="CA109" s="12" t="n"/>
      <c r="CB109" s="12" t="n"/>
      <c r="CC109" s="12" t="n"/>
      <c r="CD109" s="12" t="n"/>
      <c r="CE109" s="12" t="n"/>
      <c r="CF109" s="12" t="n"/>
      <c r="CG109" s="12" t="n"/>
      <c r="CH109" s="12" t="n"/>
      <c r="CI109" s="12" t="n"/>
      <c r="CJ109" s="12" t="n"/>
      <c r="CK109" s="12" t="n"/>
      <c r="CL109" s="12" t="n"/>
      <c r="CM109" s="12" t="n"/>
      <c r="CN109" s="12" t="n"/>
      <c r="CO109" s="12" t="n"/>
      <c r="CP109" s="12" t="n"/>
      <c r="CQ109" s="12" t="n"/>
      <c r="CR109" s="12" t="n"/>
      <c r="CS109" s="12" t="n"/>
      <c r="CT109" s="12" t="n"/>
      <c r="CU109" s="12" t="n"/>
      <c r="CV109" s="12" t="n"/>
      <c r="CW109" s="12" t="n"/>
      <c r="CX109" s="12" t="n"/>
      <c r="CY109" s="12" t="n"/>
    </row>
    <row r="110" hidden="1" outlineLevel="1">
      <c r="C110" s="57" t="inlineStr">
        <is>
          <t>RECEITAS FINANCEIRAS - Outras</t>
        </is>
      </c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  <c r="P110" s="12" t="n"/>
      <c r="Q110" s="12" t="n"/>
      <c r="R110" s="12" t="n"/>
      <c r="S110" s="12" t="n"/>
      <c r="T110" s="12" t="n"/>
      <c r="U110" s="12" t="n"/>
      <c r="V110" s="12" t="n"/>
      <c r="W110" s="12" t="n"/>
      <c r="X110" s="12" t="n"/>
      <c r="Y110" s="12" t="n"/>
      <c r="Z110" s="12" t="n"/>
      <c r="AA110" s="12" t="n"/>
      <c r="AB110" s="12" t="n"/>
      <c r="AC110" s="12" t="n"/>
      <c r="AD110" s="12" t="n"/>
      <c r="AE110" s="12" t="n"/>
      <c r="AF110" s="12" t="n"/>
      <c r="AG110" s="12" t="n"/>
      <c r="AH110" s="12" t="n"/>
      <c r="AI110" s="12" t="n"/>
      <c r="AJ110" s="12" t="n"/>
      <c r="AK110" s="12" t="n"/>
      <c r="AL110" s="12" t="n"/>
      <c r="AM110" s="12" t="n"/>
      <c r="AN110" s="12" t="n"/>
      <c r="AO110" s="12" t="n"/>
      <c r="AP110" s="12" t="n"/>
      <c r="AQ110" s="12" t="n"/>
      <c r="AR110" s="12" t="n"/>
      <c r="AS110" s="12" t="n"/>
      <c r="AT110" s="12" t="n"/>
      <c r="AU110" s="12" t="n"/>
      <c r="AV110" s="12" t="n"/>
      <c r="AW110" s="12" t="n"/>
      <c r="AX110" s="12" t="n"/>
      <c r="AY110" s="12" t="n"/>
      <c r="AZ110" s="12" t="n"/>
      <c r="BA110" s="12" t="n"/>
      <c r="BB110" s="12" t="n"/>
      <c r="BC110" s="12" t="n"/>
      <c r="BD110" s="12" t="n"/>
      <c r="BE110" s="12" t="n"/>
      <c r="BF110" s="12" t="n"/>
      <c r="BG110" s="12" t="n"/>
      <c r="BH110" s="12" t="n"/>
      <c r="BI110" s="12" t="n"/>
      <c r="BJ110" s="12" t="n"/>
      <c r="BK110" s="12" t="n"/>
      <c r="BL110" s="12" t="n"/>
      <c r="BM110" s="12" t="n"/>
      <c r="BN110" s="12" t="n"/>
      <c r="BO110" s="12" t="n"/>
      <c r="BP110" s="12" t="n"/>
      <c r="BQ110" s="12" t="n"/>
      <c r="BR110" s="12" t="n"/>
      <c r="BS110" s="12" t="n"/>
      <c r="BT110" s="12" t="n"/>
      <c r="BU110" s="12" t="n"/>
      <c r="BV110" s="12" t="n"/>
      <c r="BW110" s="12" t="n"/>
      <c r="BX110" s="12" t="n"/>
      <c r="BY110" s="12" t="n"/>
      <c r="BZ110" s="12" t="n"/>
      <c r="CA110" s="12" t="n"/>
      <c r="CB110" s="12" t="n"/>
      <c r="CC110" s="12" t="n"/>
      <c r="CD110" s="12" t="n"/>
      <c r="CE110" s="12" t="n"/>
      <c r="CF110" s="12" t="n"/>
      <c r="CG110" s="12" t="n"/>
      <c r="CH110" s="12" t="n"/>
      <c r="CI110" s="12" t="n"/>
      <c r="CJ110" s="12" t="n"/>
      <c r="CK110" s="12" t="n"/>
      <c r="CL110" s="12" t="n"/>
      <c r="CM110" s="12" t="n"/>
      <c r="CN110" s="12" t="n"/>
      <c r="CO110" s="12" t="n"/>
      <c r="CP110" s="12" t="n"/>
      <c r="CQ110" s="12" t="n"/>
      <c r="CR110" s="12" t="n"/>
      <c r="CS110" s="12" t="n"/>
      <c r="CT110" s="12" t="n"/>
      <c r="CU110" s="12" t="n"/>
      <c r="CV110" s="12" t="n"/>
      <c r="CW110" s="12" t="n"/>
      <c r="CX110" s="12" t="n"/>
      <c r="CY110" s="12" t="n"/>
    </row>
    <row r="111" hidden="1" outlineLevel="1">
      <c r="C111" s="57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  <c r="Z111" s="12" t="n"/>
      <c r="AA111" s="12" t="n"/>
      <c r="AB111" s="12" t="n"/>
      <c r="AC111" s="12" t="n"/>
      <c r="AD111" s="12" t="n"/>
      <c r="AE111" s="12" t="n"/>
      <c r="AF111" s="12" t="n"/>
      <c r="AG111" s="12" t="n"/>
      <c r="AH111" s="12" t="n"/>
      <c r="AI111" s="12" t="n"/>
      <c r="AJ111" s="12" t="n"/>
      <c r="AK111" s="12" t="n"/>
      <c r="AL111" s="12" t="n"/>
      <c r="AM111" s="12" t="n"/>
      <c r="AN111" s="12" t="n"/>
      <c r="AO111" s="12" t="n"/>
      <c r="AP111" s="12" t="n"/>
      <c r="AQ111" s="12" t="n"/>
      <c r="AR111" s="12" t="n"/>
      <c r="AS111" s="12" t="n"/>
      <c r="AT111" s="12" t="n"/>
      <c r="AU111" s="12" t="n"/>
      <c r="AV111" s="12" t="n"/>
      <c r="AW111" s="12" t="n"/>
      <c r="AX111" s="12" t="n"/>
      <c r="AY111" s="12" t="n"/>
      <c r="AZ111" s="12" t="n"/>
      <c r="BA111" s="12" t="n"/>
      <c r="BB111" s="12" t="n"/>
      <c r="BC111" s="12" t="n"/>
      <c r="BD111" s="12" t="n"/>
      <c r="BE111" s="12" t="n"/>
      <c r="BF111" s="12" t="n"/>
      <c r="BG111" s="12" t="n"/>
      <c r="BH111" s="12" t="n"/>
      <c r="BI111" s="12" t="n"/>
      <c r="BJ111" s="12" t="n"/>
      <c r="BK111" s="12" t="n"/>
      <c r="BL111" s="12" t="n"/>
      <c r="BM111" s="12" t="n"/>
      <c r="BN111" s="12" t="n"/>
      <c r="BO111" s="12" t="n"/>
      <c r="BP111" s="12" t="n"/>
      <c r="BQ111" s="12" t="n"/>
      <c r="BR111" s="12" t="n"/>
      <c r="BS111" s="12" t="n"/>
      <c r="BT111" s="12" t="n"/>
      <c r="BU111" s="12" t="n"/>
      <c r="BV111" s="12" t="n"/>
      <c r="BW111" s="12" t="n"/>
      <c r="BX111" s="12" t="n"/>
      <c r="BY111" s="12" t="n"/>
      <c r="BZ111" s="12" t="n"/>
      <c r="CA111" s="12" t="n"/>
      <c r="CB111" s="12" t="n"/>
      <c r="CC111" s="12" t="n"/>
      <c r="CD111" s="12" t="n"/>
      <c r="CE111" s="12" t="n"/>
      <c r="CF111" s="12" t="n"/>
      <c r="CG111" s="12" t="n"/>
      <c r="CH111" s="12" t="n"/>
      <c r="CI111" s="12" t="n"/>
      <c r="CJ111" s="12" t="n"/>
      <c r="CK111" s="12" t="n"/>
      <c r="CL111" s="12" t="n"/>
      <c r="CM111" s="12" t="n"/>
      <c r="CN111" s="12" t="n"/>
      <c r="CO111" s="12" t="n"/>
      <c r="CP111" s="12" t="n"/>
      <c r="CQ111" s="12" t="n"/>
      <c r="CR111" s="12" t="n"/>
      <c r="CS111" s="12" t="n"/>
      <c r="CT111" s="12" t="n"/>
      <c r="CU111" s="12" t="n"/>
      <c r="CV111" s="12" t="n"/>
      <c r="CW111" s="12" t="n"/>
      <c r="CX111" s="12" t="n"/>
      <c r="CY111" s="12" t="n"/>
    </row>
    <row r="112" hidden="1" outlineLevel="1">
      <c r="C112" s="57" t="inlineStr">
        <is>
          <t>DESPESAS FINANCEIRAS - Encargos sobre empréstimos, financiamentos e debêntures</t>
        </is>
      </c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  <c r="V112" s="12" t="n"/>
      <c r="W112" s="12" t="n"/>
      <c r="X112" s="12" t="n"/>
      <c r="Y112" s="12" t="n"/>
      <c r="Z112" s="12" t="n"/>
      <c r="AA112" s="12" t="n"/>
      <c r="AB112" s="12" t="n"/>
      <c r="AC112" s="12" t="n"/>
      <c r="AD112" s="12" t="n"/>
      <c r="AE112" s="12" t="n"/>
      <c r="AF112" s="12" t="n"/>
      <c r="AG112" s="12" t="n"/>
      <c r="AH112" s="12" t="n"/>
      <c r="AI112" s="12" t="n"/>
      <c r="AJ112" s="12" t="n"/>
      <c r="AK112" s="12" t="n"/>
      <c r="AL112" s="12" t="n"/>
      <c r="AM112" s="12" t="n"/>
      <c r="AN112" s="12" t="n"/>
      <c r="AO112" s="12" t="n"/>
      <c r="AP112" s="12" t="n"/>
      <c r="AQ112" s="12" t="n"/>
      <c r="AR112" s="12" t="n"/>
      <c r="AS112" s="12" t="n"/>
      <c r="AT112" s="12" t="n"/>
      <c r="AU112" s="12" t="n"/>
      <c r="AV112" s="12" t="n"/>
      <c r="AW112" s="12" t="n"/>
      <c r="AX112" s="12" t="n"/>
      <c r="AY112" s="12" t="n"/>
      <c r="AZ112" s="12" t="n"/>
      <c r="BA112" s="12" t="n"/>
      <c r="BB112" s="12" t="n"/>
      <c r="BC112" s="12" t="n"/>
      <c r="BD112" s="12" t="n"/>
      <c r="BE112" s="12" t="n"/>
      <c r="BF112" s="12" t="n"/>
      <c r="BG112" s="12" t="n"/>
      <c r="BH112" s="12" t="n"/>
      <c r="BI112" s="12" t="n"/>
      <c r="BJ112" s="12" t="n"/>
      <c r="BK112" s="12" t="n"/>
      <c r="BL112" s="12" t="n"/>
      <c r="BM112" s="12" t="n"/>
      <c r="BN112" s="12" t="n"/>
      <c r="BO112" s="12" t="n"/>
      <c r="BP112" s="12" t="n"/>
      <c r="BQ112" s="12" t="n"/>
      <c r="BR112" s="12" t="n"/>
      <c r="BS112" s="12" t="n"/>
      <c r="BT112" s="12" t="n"/>
      <c r="BU112" s="12" t="n"/>
      <c r="BV112" s="12" t="n"/>
      <c r="BW112" s="12" t="n"/>
      <c r="BX112" s="12" t="n"/>
      <c r="BY112" s="12" t="n"/>
      <c r="BZ112" s="12" t="n"/>
      <c r="CA112" s="12" t="n"/>
      <c r="CB112" s="12" t="n"/>
      <c r="CC112" s="12" t="n"/>
      <c r="CD112" s="12" t="n"/>
      <c r="CE112" s="12" t="n"/>
      <c r="CF112" s="12" t="n"/>
      <c r="CG112" s="12" t="n"/>
      <c r="CH112" s="12" t="n"/>
      <c r="CI112" s="12" t="n"/>
      <c r="CJ112" s="12" t="n"/>
      <c r="CK112" s="12" t="n"/>
      <c r="CL112" s="12" t="n"/>
      <c r="CM112" s="12" t="n"/>
      <c r="CN112" s="12" t="n"/>
      <c r="CO112" s="12" t="n"/>
      <c r="CP112" s="12" t="n"/>
      <c r="CQ112" s="12" t="n"/>
      <c r="CR112" s="12" t="n"/>
      <c r="CS112" s="12" t="n"/>
      <c r="CT112" s="12" t="n"/>
      <c r="CU112" s="12" t="n"/>
      <c r="CV112" s="12" t="n"/>
      <c r="CW112" s="12" t="n"/>
      <c r="CX112" s="12" t="n"/>
      <c r="CY112" s="12" t="n"/>
    </row>
    <row r="113" hidden="1" outlineLevel="1">
      <c r="C113" s="57" t="inlineStr">
        <is>
          <t>DESPESAS FINANCEIRAS - Variação cambial passiva</t>
        </is>
      </c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  <c r="Z113" s="12" t="n"/>
      <c r="AA113" s="12" t="n"/>
      <c r="AB113" s="12" t="n"/>
      <c r="AC113" s="12" t="n"/>
      <c r="AD113" s="12" t="n"/>
      <c r="AE113" s="12" t="n"/>
      <c r="AF113" s="12" t="n"/>
      <c r="AG113" s="12" t="n"/>
      <c r="AH113" s="12" t="n"/>
      <c r="AI113" s="12" t="n"/>
      <c r="AJ113" s="12" t="n"/>
      <c r="AK113" s="12" t="n"/>
      <c r="AL113" s="12" t="n"/>
      <c r="AM113" s="12" t="n"/>
      <c r="AN113" s="12" t="n"/>
      <c r="AO113" s="12" t="n"/>
      <c r="AP113" s="12" t="n"/>
      <c r="AQ113" s="12" t="n"/>
      <c r="AR113" s="12" t="n"/>
      <c r="AS113" s="12" t="n"/>
      <c r="AT113" s="12" t="n"/>
      <c r="AU113" s="12" t="n"/>
      <c r="AV113" s="12" t="n"/>
      <c r="AW113" s="12" t="n"/>
      <c r="AX113" s="12" t="n"/>
      <c r="AY113" s="12" t="n"/>
      <c r="AZ113" s="12" t="n"/>
      <c r="BA113" s="12" t="n"/>
      <c r="BB113" s="12" t="n"/>
      <c r="BC113" s="12" t="n"/>
      <c r="BD113" s="12" t="n"/>
      <c r="BE113" s="12" t="n"/>
      <c r="BF113" s="12" t="n"/>
      <c r="BG113" s="12" t="n"/>
      <c r="BH113" s="12" t="n"/>
      <c r="BI113" s="12" t="n"/>
      <c r="BJ113" s="12" t="n"/>
      <c r="BK113" s="12" t="n"/>
      <c r="BL113" s="12" t="n"/>
      <c r="BM113" s="12" t="n"/>
      <c r="BN113" s="12" t="n"/>
      <c r="BO113" s="12" t="n"/>
      <c r="BP113" s="12" t="n"/>
      <c r="BQ113" s="12" t="n"/>
      <c r="BR113" s="12" t="n"/>
      <c r="BS113" s="12" t="n"/>
      <c r="BT113" s="12" t="n"/>
      <c r="BU113" s="12" t="n"/>
      <c r="BV113" s="12" t="n"/>
      <c r="BW113" s="12" t="n"/>
      <c r="BX113" s="12" t="n"/>
      <c r="BY113" s="12" t="n"/>
      <c r="BZ113" s="12" t="n"/>
      <c r="CA113" s="12" t="n"/>
      <c r="CB113" s="12" t="n"/>
      <c r="CC113" s="12" t="n"/>
      <c r="CD113" s="12" t="n"/>
      <c r="CE113" s="12" t="n"/>
      <c r="CF113" s="12" t="n"/>
      <c r="CG113" s="12" t="n"/>
      <c r="CH113" s="12" t="n"/>
      <c r="CI113" s="12" t="n"/>
      <c r="CJ113" s="12" t="n"/>
      <c r="CK113" s="12" t="n"/>
      <c r="CL113" s="12" t="n"/>
      <c r="CM113" s="12" t="n"/>
      <c r="CN113" s="12" t="n"/>
      <c r="CO113" s="12" t="n"/>
      <c r="CP113" s="12" t="n"/>
      <c r="CQ113" s="12" t="n"/>
      <c r="CR113" s="12" t="n"/>
      <c r="CS113" s="12" t="n"/>
      <c r="CT113" s="12" t="n"/>
      <c r="CU113" s="12" t="n"/>
      <c r="CV113" s="12" t="n"/>
      <c r="CW113" s="12" t="n"/>
      <c r="CX113" s="12" t="n"/>
      <c r="CY113" s="12" t="n"/>
    </row>
    <row r="114" hidden="1" outlineLevel="1">
      <c r="C114" s="57" t="inlineStr">
        <is>
          <t>DESPESAS FINANCEIRAS - Resultado negativo com instrumentos derivativos</t>
        </is>
      </c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2" t="n"/>
      <c r="O114" s="12" t="n"/>
      <c r="P114" s="12" t="n"/>
      <c r="Q114" s="12" t="n"/>
      <c r="R114" s="12" t="n"/>
      <c r="S114" s="12" t="n"/>
      <c r="T114" s="12" t="n"/>
      <c r="U114" s="12" t="n"/>
      <c r="V114" s="12" t="n"/>
      <c r="W114" s="12" t="n"/>
      <c r="X114" s="12" t="n"/>
      <c r="Y114" s="12" t="n"/>
      <c r="Z114" s="12" t="n"/>
      <c r="AA114" s="12" t="n"/>
      <c r="AB114" s="12" t="n"/>
      <c r="AC114" s="12" t="n"/>
      <c r="AD114" s="12" t="n"/>
      <c r="AE114" s="12" t="n"/>
      <c r="AF114" s="12" t="n"/>
      <c r="AG114" s="12" t="n"/>
      <c r="AH114" s="12" t="n"/>
      <c r="AI114" s="12" t="n"/>
      <c r="AJ114" s="12" t="n"/>
      <c r="AK114" s="12" t="n"/>
      <c r="AL114" s="12" t="n"/>
      <c r="AM114" s="12" t="n"/>
      <c r="AN114" s="12" t="n"/>
      <c r="AO114" s="12" t="n"/>
      <c r="AP114" s="12" t="n"/>
      <c r="AQ114" s="12" t="n"/>
      <c r="AR114" s="12" t="n"/>
      <c r="AS114" s="12" t="n"/>
      <c r="AT114" s="12" t="n"/>
      <c r="AU114" s="12" t="n"/>
      <c r="AV114" s="12" t="n"/>
      <c r="AW114" s="12" t="n"/>
      <c r="AX114" s="12" t="n"/>
      <c r="AY114" s="12" t="n"/>
      <c r="AZ114" s="12" t="n"/>
      <c r="BA114" s="12" t="n"/>
      <c r="BB114" s="12" t="n"/>
      <c r="BC114" s="12" t="n"/>
      <c r="BD114" s="12" t="n"/>
      <c r="BE114" s="12" t="n"/>
      <c r="BF114" s="12" t="n"/>
      <c r="BG114" s="12" t="n"/>
      <c r="BH114" s="12" t="n"/>
      <c r="BI114" s="12" t="n"/>
      <c r="BJ114" s="12" t="n"/>
      <c r="BK114" s="12" t="n"/>
      <c r="BL114" s="12" t="n"/>
      <c r="BM114" s="12" t="n"/>
      <c r="BN114" s="12" t="n"/>
      <c r="BO114" s="12" t="n"/>
      <c r="BP114" s="12" t="n"/>
      <c r="BQ114" s="12" t="n"/>
      <c r="BR114" s="12" t="n"/>
      <c r="BS114" s="12" t="n"/>
      <c r="BT114" s="12" t="n"/>
      <c r="BU114" s="12" t="n"/>
      <c r="BV114" s="12" t="n"/>
      <c r="BW114" s="12" t="n"/>
      <c r="BX114" s="12" t="n"/>
      <c r="BY114" s="12" t="n"/>
      <c r="BZ114" s="12" t="n"/>
      <c r="CA114" s="12" t="n"/>
      <c r="CB114" s="12" t="n"/>
      <c r="CC114" s="12" t="n"/>
      <c r="CD114" s="12" t="n"/>
      <c r="CE114" s="12" t="n"/>
      <c r="CF114" s="12" t="n"/>
      <c r="CG114" s="12" t="n"/>
      <c r="CH114" s="12" t="n"/>
      <c r="CI114" s="12" t="n"/>
      <c r="CJ114" s="12" t="n"/>
      <c r="CK114" s="12" t="n"/>
      <c r="CL114" s="12" t="n"/>
      <c r="CM114" s="12" t="n"/>
      <c r="CN114" s="12" t="n"/>
      <c r="CO114" s="12" t="n"/>
      <c r="CP114" s="12" t="n"/>
      <c r="CQ114" s="12" t="n"/>
      <c r="CR114" s="12" t="n"/>
      <c r="CS114" s="12" t="n"/>
      <c r="CT114" s="12" t="n"/>
      <c r="CU114" s="12" t="n"/>
      <c r="CV114" s="12" t="n"/>
      <c r="CW114" s="12" t="n"/>
      <c r="CX114" s="12" t="n"/>
      <c r="CY114" s="12" t="n"/>
    </row>
    <row r="115" hidden="1" outlineLevel="1">
      <c r="C115" s="57" t="inlineStr">
        <is>
          <t>DESPESAS FINANCEIRAS - Juros sobre arrendamento - IFRS16</t>
        </is>
      </c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12" t="n"/>
      <c r="Z115" s="12" t="n"/>
      <c r="AA115" s="12" t="n"/>
      <c r="AB115" s="12" t="n"/>
      <c r="AC115" s="12" t="n"/>
      <c r="AD115" s="12" t="n"/>
      <c r="AE115" s="12" t="n"/>
      <c r="AF115" s="12" t="n"/>
      <c r="AG115" s="12" t="n"/>
      <c r="AH115" s="12" t="n"/>
      <c r="AI115" s="12" t="n"/>
      <c r="AJ115" s="12" t="n"/>
      <c r="AK115" s="12" t="n"/>
      <c r="AL115" s="12" t="n"/>
      <c r="AM115" s="12" t="n"/>
      <c r="AN115" s="12" t="n"/>
      <c r="AO115" s="12" t="n"/>
      <c r="AP115" s="12" t="n"/>
      <c r="AQ115" s="12" t="n"/>
      <c r="AR115" s="12" t="n"/>
      <c r="AS115" s="12" t="n"/>
      <c r="AT115" s="12" t="n"/>
      <c r="AU115" s="12" t="n"/>
      <c r="AV115" s="12" t="n"/>
      <c r="AW115" s="12" t="n"/>
      <c r="AX115" s="12" t="n"/>
      <c r="AY115" s="12" t="n"/>
      <c r="AZ115" s="12" t="n"/>
      <c r="BA115" s="12" t="n"/>
      <c r="BB115" s="12" t="n"/>
      <c r="BC115" s="12" t="n"/>
      <c r="BD115" s="12" t="n"/>
      <c r="BE115" s="12" t="n"/>
      <c r="BF115" s="12" t="n"/>
      <c r="BG115" s="12" t="n"/>
      <c r="BH115" s="12" t="n"/>
      <c r="BI115" s="12" t="n"/>
      <c r="BJ115" s="12" t="n"/>
      <c r="BK115" s="12" t="n"/>
      <c r="BL115" s="12" t="n"/>
      <c r="BM115" s="12" t="n"/>
      <c r="BN115" s="12" t="n"/>
      <c r="BO115" s="12" t="n"/>
      <c r="BP115" s="12" t="n"/>
      <c r="BQ115" s="12" t="n"/>
      <c r="BR115" s="12" t="n"/>
      <c r="BS115" s="12" t="n"/>
      <c r="BT115" s="12" t="n"/>
      <c r="BU115" s="12" t="n"/>
      <c r="BV115" s="12" t="n"/>
      <c r="BW115" s="12" t="n"/>
      <c r="BX115" s="12" t="n"/>
      <c r="BY115" s="12" t="n"/>
      <c r="BZ115" s="12" t="n"/>
      <c r="CA115" s="12" t="n"/>
      <c r="CB115" s="12" t="n"/>
      <c r="CC115" s="12" t="n"/>
      <c r="CD115" s="12" t="n"/>
      <c r="CE115" s="12" t="n"/>
      <c r="CF115" s="12" t="n"/>
      <c r="CG115" s="12" t="n"/>
      <c r="CH115" s="12" t="n"/>
      <c r="CI115" s="12" t="n"/>
      <c r="CJ115" s="12" t="n"/>
      <c r="CK115" s="12" t="n"/>
      <c r="CL115" s="12" t="n"/>
      <c r="CM115" s="12" t="n"/>
      <c r="CN115" s="12" t="n"/>
      <c r="CO115" s="12" t="n"/>
      <c r="CP115" s="12" t="n"/>
      <c r="CQ115" s="12" t="n"/>
      <c r="CR115" s="12" t="n"/>
      <c r="CS115" s="12" t="n"/>
      <c r="CT115" s="12" t="n"/>
      <c r="CU115" s="12" t="n"/>
      <c r="CV115" s="12" t="n"/>
      <c r="CW115" s="12" t="n"/>
      <c r="CX115" s="12" t="n"/>
      <c r="CY115" s="12" t="n"/>
    </row>
    <row r="116" hidden="1" outlineLevel="1">
      <c r="C116" s="57" t="inlineStr">
        <is>
          <t>DESPESAS FINANCEIRAS - Despesas bancárias</t>
        </is>
      </c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  <c r="P116" s="12" t="n"/>
      <c r="Q116" s="12" t="n"/>
      <c r="R116" s="12" t="n"/>
      <c r="S116" s="12" t="n"/>
      <c r="T116" s="12" t="n"/>
      <c r="U116" s="12" t="n"/>
      <c r="V116" s="12" t="n"/>
      <c r="W116" s="12" t="n"/>
      <c r="X116" s="12" t="n"/>
      <c r="Y116" s="12" t="n"/>
      <c r="Z116" s="12" t="n"/>
      <c r="AA116" s="12" t="n"/>
      <c r="AB116" s="12" t="n"/>
      <c r="AC116" s="12" t="n"/>
      <c r="AD116" s="12" t="n"/>
      <c r="AE116" s="12" t="n"/>
      <c r="AF116" s="12" t="n"/>
      <c r="AG116" s="12" t="n"/>
      <c r="AH116" s="12" t="n"/>
      <c r="AI116" s="12" t="n"/>
      <c r="AJ116" s="12" t="n"/>
      <c r="AK116" s="12" t="n"/>
      <c r="AL116" s="12" t="n"/>
      <c r="AM116" s="12" t="n"/>
      <c r="AN116" s="12" t="n"/>
      <c r="AO116" s="12" t="n"/>
      <c r="AP116" s="12" t="n"/>
      <c r="AQ116" s="12" t="n"/>
      <c r="AR116" s="12" t="n"/>
      <c r="AS116" s="12" t="n"/>
      <c r="AT116" s="12" t="n"/>
      <c r="AU116" s="12" t="n"/>
      <c r="AV116" s="12" t="n"/>
      <c r="AW116" s="12" t="n"/>
      <c r="AX116" s="12" t="n"/>
      <c r="AY116" s="12" t="n"/>
      <c r="AZ116" s="12" t="n"/>
      <c r="BA116" s="12" t="n"/>
      <c r="BB116" s="12" t="n"/>
      <c r="BC116" s="12" t="n"/>
      <c r="BD116" s="12" t="n"/>
      <c r="BE116" s="12" t="n"/>
      <c r="BF116" s="12" t="n"/>
      <c r="BG116" s="12" t="n"/>
      <c r="BH116" s="12" t="n"/>
      <c r="BI116" s="12" t="n"/>
      <c r="BJ116" s="12" t="n"/>
      <c r="BK116" s="12" t="n"/>
      <c r="BL116" s="12" t="n"/>
      <c r="BM116" s="12" t="n"/>
      <c r="BN116" s="12" t="n"/>
      <c r="BO116" s="12" t="n"/>
      <c r="BP116" s="12" t="n"/>
      <c r="BQ116" s="12" t="n"/>
      <c r="BR116" s="12" t="n"/>
      <c r="BS116" s="12" t="n"/>
      <c r="BT116" s="12" t="n"/>
      <c r="BU116" s="12" t="n"/>
      <c r="BV116" s="12" t="n"/>
      <c r="BW116" s="12" t="n"/>
      <c r="BX116" s="12" t="n"/>
      <c r="BY116" s="12" t="n"/>
      <c r="BZ116" s="12" t="n"/>
      <c r="CA116" s="12" t="n"/>
      <c r="CB116" s="12" t="n"/>
      <c r="CC116" s="12" t="n"/>
      <c r="CD116" s="12" t="n"/>
      <c r="CE116" s="12" t="n"/>
      <c r="CF116" s="12" t="n"/>
      <c r="CG116" s="12" t="n"/>
      <c r="CH116" s="12" t="n"/>
      <c r="CI116" s="12" t="n"/>
      <c r="CJ116" s="12" t="n"/>
      <c r="CK116" s="12" t="n"/>
      <c r="CL116" s="12" t="n"/>
      <c r="CM116" s="12" t="n"/>
      <c r="CN116" s="12" t="n"/>
      <c r="CO116" s="12" t="n"/>
      <c r="CP116" s="12" t="n"/>
      <c r="CQ116" s="12" t="n"/>
      <c r="CR116" s="12" t="n"/>
      <c r="CS116" s="12" t="n"/>
      <c r="CT116" s="12" t="n"/>
      <c r="CU116" s="12" t="n"/>
      <c r="CV116" s="12" t="n"/>
      <c r="CW116" s="12" t="n"/>
      <c r="CX116" s="12" t="n"/>
      <c r="CY116" s="12" t="n"/>
    </row>
    <row r="117" hidden="1" outlineLevel="1">
      <c r="C117" s="57" t="inlineStr">
        <is>
          <t>DESPESAS FINANCEIRAS - Despesas com obtenção de empréstimos e financiamentos</t>
        </is>
      </c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  <c r="Z117" s="12" t="n"/>
      <c r="AA117" s="12" t="n"/>
      <c r="AB117" s="12" t="n"/>
      <c r="AC117" s="12" t="n"/>
      <c r="AD117" s="12" t="n"/>
      <c r="AE117" s="12" t="n"/>
      <c r="AF117" s="12" t="n"/>
      <c r="AG117" s="12" t="n"/>
      <c r="AH117" s="12" t="n"/>
      <c r="AI117" s="12" t="n"/>
      <c r="AJ117" s="12" t="n"/>
      <c r="AK117" s="12" t="n"/>
      <c r="AL117" s="12" t="n"/>
      <c r="AM117" s="12" t="n"/>
      <c r="AN117" s="12" t="n"/>
      <c r="AO117" s="12" t="n"/>
      <c r="AP117" s="12" t="n"/>
      <c r="AQ117" s="12" t="n"/>
      <c r="AR117" s="12" t="n"/>
      <c r="AS117" s="12" t="n"/>
      <c r="AT117" s="12" t="n"/>
      <c r="AU117" s="12" t="n"/>
      <c r="AV117" s="12" t="n"/>
      <c r="AW117" s="12" t="n"/>
      <c r="AX117" s="12" t="n"/>
      <c r="AY117" s="12" t="n"/>
      <c r="AZ117" s="12" t="n"/>
      <c r="BA117" s="12" t="n"/>
      <c r="BB117" s="12" t="n"/>
      <c r="BC117" s="12" t="n"/>
      <c r="BD117" s="12" t="n"/>
      <c r="BE117" s="12" t="n"/>
      <c r="BF117" s="12" t="n"/>
      <c r="BG117" s="12" t="n"/>
      <c r="BH117" s="12" t="n"/>
      <c r="BI117" s="12" t="n"/>
      <c r="BJ117" s="12" t="n"/>
      <c r="BK117" s="12" t="n"/>
      <c r="BL117" s="12" t="n"/>
      <c r="BM117" s="12" t="n"/>
      <c r="BN117" s="12" t="n"/>
      <c r="BO117" s="12" t="n"/>
      <c r="BP117" s="12" t="n"/>
      <c r="BQ117" s="12" t="n"/>
      <c r="BR117" s="12" t="n"/>
      <c r="BS117" s="12" t="n"/>
      <c r="BT117" s="12" t="n"/>
      <c r="BU117" s="12" t="n"/>
      <c r="BV117" s="12" t="n"/>
      <c r="BW117" s="12" t="n"/>
      <c r="BX117" s="12" t="n"/>
      <c r="BY117" s="12" t="n"/>
      <c r="BZ117" s="12" t="n"/>
      <c r="CA117" s="12" t="n"/>
      <c r="CB117" s="12" t="n"/>
      <c r="CC117" s="12" t="n"/>
      <c r="CD117" s="12" t="n"/>
      <c r="CE117" s="12" t="n"/>
      <c r="CF117" s="12" t="n"/>
      <c r="CG117" s="12" t="n"/>
      <c r="CH117" s="12" t="n"/>
      <c r="CI117" s="12" t="n"/>
      <c r="CJ117" s="12" t="n"/>
      <c r="CK117" s="12" t="n"/>
      <c r="CL117" s="12" t="n"/>
      <c r="CM117" s="12" t="n"/>
      <c r="CN117" s="12" t="n"/>
      <c r="CO117" s="12" t="n"/>
      <c r="CP117" s="12" t="n"/>
      <c r="CQ117" s="12" t="n"/>
      <c r="CR117" s="12" t="n"/>
      <c r="CS117" s="12" t="n"/>
      <c r="CT117" s="12" t="n"/>
      <c r="CU117" s="12" t="n"/>
      <c r="CV117" s="12" t="n"/>
      <c r="CW117" s="12" t="n"/>
      <c r="CX117" s="12" t="n"/>
      <c r="CY117" s="12" t="n"/>
    </row>
    <row r="118" hidden="1" outlineLevel="1">
      <c r="C118" s="57" t="inlineStr">
        <is>
          <t>DESPESAS FINANCEIRAS - Atualização de contas a pagar por aquisição de empresas</t>
        </is>
      </c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2" t="n"/>
      <c r="P118" s="12" t="n"/>
      <c r="Q118" s="12" t="n"/>
      <c r="R118" s="12" t="n"/>
      <c r="S118" s="12" t="n"/>
      <c r="T118" s="12" t="n"/>
      <c r="U118" s="12" t="n"/>
      <c r="V118" s="12" t="n"/>
      <c r="W118" s="12" t="n"/>
      <c r="X118" s="12" t="n"/>
      <c r="Y118" s="12" t="n"/>
      <c r="Z118" s="12" t="n"/>
      <c r="AA118" s="12" t="n"/>
      <c r="AB118" s="12" t="n"/>
      <c r="AC118" s="12" t="n"/>
      <c r="AD118" s="12" t="n"/>
      <c r="AE118" s="12" t="n"/>
      <c r="AF118" s="12" t="n"/>
      <c r="AG118" s="12" t="n"/>
      <c r="AH118" s="12" t="n"/>
      <c r="AI118" s="12" t="n"/>
      <c r="AJ118" s="12" t="n"/>
      <c r="AK118" s="12" t="n"/>
      <c r="AL118" s="12" t="n"/>
      <c r="AM118" s="12" t="n"/>
      <c r="AN118" s="12" t="n"/>
      <c r="AO118" s="12" t="n"/>
      <c r="AP118" s="12" t="n"/>
      <c r="AQ118" s="12" t="n"/>
      <c r="AR118" s="12" t="n"/>
      <c r="AS118" s="12" t="n"/>
      <c r="AT118" s="12" t="n"/>
      <c r="AU118" s="12" t="n"/>
      <c r="AV118" s="12" t="n"/>
      <c r="AW118" s="12" t="n"/>
      <c r="AX118" s="12" t="n"/>
      <c r="AY118" s="12" t="n"/>
      <c r="AZ118" s="12" t="n"/>
      <c r="BA118" s="12" t="n"/>
      <c r="BB118" s="12" t="n"/>
      <c r="BC118" s="12" t="n"/>
      <c r="BD118" s="12" t="n"/>
      <c r="BE118" s="12" t="n"/>
      <c r="BF118" s="12" t="n"/>
      <c r="BG118" s="12" t="n"/>
      <c r="BH118" s="12" t="n"/>
      <c r="BI118" s="12" t="n"/>
      <c r="BJ118" s="12" t="n"/>
      <c r="BK118" s="12" t="n"/>
      <c r="BL118" s="12" t="n"/>
      <c r="BM118" s="12" t="n"/>
      <c r="BN118" s="12" t="n"/>
      <c r="BO118" s="12" t="n"/>
      <c r="BP118" s="12" t="n"/>
      <c r="BQ118" s="12" t="n"/>
      <c r="BR118" s="12" t="n"/>
      <c r="BS118" s="12" t="n"/>
      <c r="BT118" s="12" t="n"/>
      <c r="BU118" s="12" t="n"/>
      <c r="BV118" s="12" t="n"/>
      <c r="BW118" s="12" t="n"/>
      <c r="BX118" s="12" t="n"/>
      <c r="BY118" s="12" t="n"/>
      <c r="BZ118" s="12" t="n"/>
      <c r="CA118" s="12" t="n"/>
      <c r="CB118" s="12" t="n"/>
      <c r="CC118" s="12" t="n"/>
      <c r="CD118" s="12" t="n"/>
      <c r="CE118" s="12" t="n"/>
      <c r="CF118" s="12" t="n"/>
      <c r="CG118" s="12" t="n"/>
      <c r="CH118" s="12" t="n"/>
      <c r="CI118" s="12" t="n"/>
      <c r="CJ118" s="12" t="n"/>
      <c r="CK118" s="12" t="n"/>
      <c r="CL118" s="12" t="n"/>
      <c r="CM118" s="12" t="n"/>
      <c r="CN118" s="12" t="n"/>
      <c r="CO118" s="12" t="n"/>
      <c r="CP118" s="12" t="n"/>
      <c r="CQ118" s="12" t="n"/>
      <c r="CR118" s="12" t="n"/>
      <c r="CS118" s="12" t="n"/>
      <c r="CT118" s="12" t="n"/>
      <c r="CU118" s="12" t="n"/>
      <c r="CV118" s="12" t="n"/>
      <c r="CW118" s="12" t="n"/>
      <c r="CX118" s="12" t="n"/>
      <c r="CY118" s="12" t="n"/>
    </row>
    <row r="119" hidden="1" outlineLevel="1">
      <c r="C119" s="57" t="inlineStr">
        <is>
          <t>DESPESAS FINANCEIRAS - Outras</t>
        </is>
      </c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2" t="n"/>
      <c r="Z119" s="12" t="n"/>
      <c r="AA119" s="12" t="n"/>
      <c r="AB119" s="12" t="n"/>
      <c r="AC119" s="12" t="n"/>
      <c r="AD119" s="12" t="n"/>
      <c r="AE119" s="12" t="n"/>
      <c r="AF119" s="12" t="n"/>
      <c r="AG119" s="12" t="n"/>
      <c r="AH119" s="12" t="n"/>
      <c r="AI119" s="12" t="n"/>
      <c r="AJ119" s="12" t="n"/>
      <c r="AK119" s="12" t="n"/>
      <c r="AL119" s="12" t="n"/>
      <c r="AM119" s="12" t="n"/>
      <c r="AN119" s="12" t="n"/>
      <c r="AO119" s="12" t="n"/>
      <c r="AP119" s="12" t="n"/>
      <c r="AQ119" s="12" t="n"/>
      <c r="AR119" s="12" t="n"/>
      <c r="AS119" s="12" t="n"/>
      <c r="AT119" s="12" t="n"/>
      <c r="AU119" s="12" t="n"/>
      <c r="AV119" s="12" t="n"/>
      <c r="AW119" s="12" t="n"/>
      <c r="AX119" s="12" t="n"/>
      <c r="AY119" s="12" t="n"/>
      <c r="AZ119" s="12" t="n"/>
      <c r="BA119" s="12" t="n"/>
      <c r="BB119" s="12" t="n"/>
      <c r="BC119" s="12" t="n"/>
      <c r="BD119" s="12" t="n"/>
      <c r="BE119" s="12" t="n"/>
      <c r="BF119" s="12" t="n"/>
      <c r="BG119" s="12" t="n"/>
      <c r="BH119" s="12" t="n"/>
      <c r="BI119" s="12" t="n"/>
      <c r="BJ119" s="12" t="n"/>
      <c r="BK119" s="12" t="n"/>
      <c r="BL119" s="12" t="n"/>
      <c r="BM119" s="12" t="n"/>
      <c r="BN119" s="12" t="n"/>
      <c r="BO119" s="12" t="n"/>
      <c r="BP119" s="12" t="n"/>
      <c r="BQ119" s="12" t="n"/>
      <c r="BR119" s="12" t="n"/>
      <c r="BS119" s="12" t="n"/>
      <c r="BT119" s="12" t="n"/>
      <c r="BU119" s="12" t="n"/>
      <c r="BV119" s="12" t="n"/>
      <c r="BW119" s="12" t="n"/>
      <c r="BX119" s="12" t="n"/>
      <c r="BY119" s="12" t="n"/>
      <c r="BZ119" s="12" t="n"/>
      <c r="CA119" s="12" t="n"/>
      <c r="CB119" s="12" t="n"/>
      <c r="CC119" s="12" t="n"/>
      <c r="CD119" s="12" t="n"/>
      <c r="CE119" s="12" t="n"/>
      <c r="CF119" s="12" t="n"/>
      <c r="CG119" s="12" t="n"/>
      <c r="CH119" s="12" t="n"/>
      <c r="CI119" s="12" t="n"/>
      <c r="CJ119" s="12" t="n"/>
      <c r="CK119" s="12" t="n"/>
      <c r="CL119" s="12" t="n"/>
      <c r="CM119" s="12" t="n"/>
      <c r="CN119" s="12" t="n"/>
      <c r="CO119" s="12" t="n"/>
      <c r="CP119" s="12" t="n"/>
      <c r="CQ119" s="12" t="n"/>
      <c r="CR119" s="12" t="n"/>
      <c r="CS119" s="12" t="n"/>
      <c r="CT119" s="12" t="n"/>
      <c r="CU119" s="12" t="n"/>
      <c r="CV119" s="12" t="n"/>
      <c r="CW119" s="12" t="n"/>
      <c r="CX119" s="12" t="n"/>
      <c r="CY119" s="12" t="n"/>
    </row>
    <row r="120" hidden="1" outlineLevel="1">
      <c r="C120" s="57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2" t="n"/>
      <c r="P120" s="12" t="n"/>
      <c r="Q120" s="12" t="n"/>
      <c r="R120" s="12" t="n"/>
      <c r="S120" s="12" t="n"/>
      <c r="T120" s="12" t="n"/>
      <c r="U120" s="12" t="n"/>
      <c r="V120" s="12" t="n"/>
      <c r="W120" s="12" t="n"/>
      <c r="X120" s="12" t="n"/>
      <c r="Y120" s="12" t="n"/>
      <c r="Z120" s="12" t="n"/>
      <c r="AA120" s="12" t="n"/>
      <c r="AB120" s="12" t="n"/>
      <c r="AC120" s="12" t="n"/>
      <c r="AD120" s="12" t="n"/>
      <c r="AE120" s="12" t="n"/>
      <c r="AF120" s="12" t="n"/>
      <c r="AG120" s="12" t="n"/>
      <c r="AH120" s="12" t="n"/>
      <c r="AI120" s="12" t="n"/>
      <c r="AJ120" s="12" t="n"/>
      <c r="AK120" s="12" t="n"/>
      <c r="AL120" s="12" t="n"/>
      <c r="AM120" s="12" t="n"/>
      <c r="AN120" s="12" t="n"/>
      <c r="AO120" s="12" t="n"/>
      <c r="AP120" s="12" t="n"/>
      <c r="AQ120" s="12" t="n"/>
      <c r="AR120" s="12" t="n"/>
      <c r="AS120" s="12" t="n"/>
      <c r="AT120" s="12" t="n"/>
      <c r="AU120" s="12" t="n"/>
      <c r="AV120" s="12" t="n"/>
      <c r="AW120" s="12" t="n"/>
      <c r="AX120" s="12" t="n"/>
      <c r="AY120" s="12" t="n"/>
      <c r="AZ120" s="12" t="n"/>
      <c r="BA120" s="12" t="n"/>
      <c r="BB120" s="12" t="n"/>
      <c r="BC120" s="12" t="n"/>
      <c r="BD120" s="12" t="n"/>
      <c r="BE120" s="12" t="n"/>
      <c r="BF120" s="12" t="n"/>
      <c r="BG120" s="12" t="n"/>
      <c r="BH120" s="12" t="n"/>
      <c r="BI120" s="12" t="n"/>
      <c r="BJ120" s="12" t="n"/>
      <c r="BK120" s="12" t="n"/>
      <c r="BL120" s="12" t="n"/>
      <c r="BM120" s="12" t="n"/>
      <c r="BN120" s="12" t="n"/>
      <c r="BO120" s="12" t="n"/>
      <c r="BP120" s="12" t="n"/>
      <c r="BQ120" s="12" t="n"/>
      <c r="BR120" s="12" t="n"/>
      <c r="BS120" s="12" t="n"/>
      <c r="BT120" s="12" t="n"/>
      <c r="BU120" s="12" t="n"/>
      <c r="BV120" s="12" t="n"/>
      <c r="BW120" s="12" t="n"/>
      <c r="BX120" s="12" t="n"/>
      <c r="BY120" s="12" t="n"/>
      <c r="BZ120" s="12" t="n"/>
      <c r="CA120" s="12" t="n"/>
      <c r="CB120" s="12" t="n"/>
      <c r="CC120" s="12" t="n"/>
      <c r="CD120" s="12" t="n"/>
      <c r="CE120" s="12" t="n"/>
      <c r="CF120" s="12" t="n"/>
      <c r="CG120" s="12" t="n"/>
      <c r="CH120" s="12" t="n"/>
      <c r="CI120" s="12" t="n"/>
      <c r="CJ120" s="12" t="n"/>
      <c r="CK120" s="12" t="n"/>
      <c r="CL120" s="12" t="n"/>
      <c r="CM120" s="12" t="n"/>
      <c r="CN120" s="12" t="n"/>
      <c r="CO120" s="12" t="n"/>
      <c r="CP120" s="12" t="n"/>
      <c r="CQ120" s="12" t="n"/>
      <c r="CR120" s="12" t="n"/>
      <c r="CS120" s="12" t="n"/>
      <c r="CT120" s="12" t="n"/>
      <c r="CU120" s="12" t="n"/>
      <c r="CV120" s="12" t="n"/>
      <c r="CW120" s="12" t="n"/>
      <c r="CX120" s="12" t="n"/>
      <c r="CY120" s="12" t="n"/>
    </row>
    <row r="121" hidden="1" outlineLevel="1">
      <c r="C121" s="57" t="inlineStr">
        <is>
          <t>CHECK [EX IFRS-16]</t>
        </is>
      </c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  <c r="Z121" s="12" t="n"/>
      <c r="AA121" s="12" t="n"/>
      <c r="AB121" s="12" t="n"/>
      <c r="AC121" s="12" t="n"/>
      <c r="AD121" s="12" t="n"/>
      <c r="AE121" s="12" t="n"/>
      <c r="AF121" s="12" t="n"/>
      <c r="AG121" s="12" t="n"/>
      <c r="AH121" s="12" t="n"/>
      <c r="AI121" s="12" t="n"/>
      <c r="AJ121" s="12" t="n"/>
      <c r="AK121" s="12" t="n"/>
      <c r="AL121" s="12" t="n"/>
      <c r="AM121" s="12" t="n"/>
      <c r="AN121" s="12" t="n"/>
      <c r="AO121" s="12" t="n"/>
      <c r="AP121" s="12" t="n"/>
      <c r="AQ121" s="12" t="n"/>
      <c r="AR121" s="12" t="n"/>
      <c r="AS121" s="12" t="n"/>
      <c r="AT121" s="12" t="n"/>
      <c r="AU121" s="12" t="n"/>
      <c r="AV121" s="12" t="n"/>
      <c r="AW121" s="12" t="n"/>
      <c r="AX121" s="12" t="n"/>
      <c r="AY121" s="12" t="n"/>
      <c r="AZ121" s="12" t="n"/>
      <c r="BA121" s="12" t="n"/>
      <c r="BB121" s="12" t="n"/>
      <c r="BC121" s="12" t="n"/>
      <c r="BD121" s="12" t="n"/>
      <c r="BE121" s="12" t="n"/>
      <c r="BF121" s="12" t="n"/>
      <c r="BG121" s="12" t="n"/>
      <c r="BH121" s="12" t="n"/>
      <c r="BI121" s="12" t="n"/>
      <c r="BJ121" s="12" t="n"/>
      <c r="BK121" s="12" t="n"/>
      <c r="BL121" s="12" t="n"/>
      <c r="BM121" s="12" t="n"/>
      <c r="BN121" s="12" t="n"/>
      <c r="BO121" s="12" t="n"/>
      <c r="BP121" s="12" t="n"/>
      <c r="BQ121" s="12" t="n"/>
      <c r="BR121" s="12" t="n"/>
      <c r="BS121" s="12" t="n"/>
      <c r="BT121" s="12" t="n"/>
      <c r="BU121" s="12" t="n"/>
      <c r="BV121" s="12" t="n"/>
      <c r="BW121" s="12" t="n"/>
      <c r="BX121" s="12" t="n"/>
      <c r="BY121" s="12" t="n"/>
      <c r="BZ121" s="12" t="n"/>
      <c r="CA121" s="12" t="n"/>
      <c r="CB121" s="12" t="n"/>
      <c r="CC121" s="12" t="n"/>
      <c r="CD121" s="12" t="n"/>
      <c r="CE121" s="12" t="n"/>
      <c r="CF121" s="12" t="n"/>
      <c r="CG121" s="12" t="n"/>
      <c r="CH121" s="12" t="n"/>
      <c r="CI121" s="12" t="n"/>
      <c r="CJ121" s="12" t="n"/>
      <c r="CK121" s="12" t="n"/>
      <c r="CL121" s="12" t="n"/>
      <c r="CM121" s="12" t="n"/>
      <c r="CN121" s="12" t="n"/>
      <c r="CO121" s="12" t="n"/>
      <c r="CP121" s="12" t="n"/>
      <c r="CQ121" s="12" t="n"/>
      <c r="CR121" s="12" t="n"/>
      <c r="CS121" s="12" t="n"/>
      <c r="CT121" s="12" t="n"/>
      <c r="CU121" s="12" t="n"/>
      <c r="CV121" s="12" t="n"/>
      <c r="CW121" s="12" t="n"/>
      <c r="CX121" s="12" t="n"/>
      <c r="CY121" s="12" t="n"/>
    </row>
    <row r="122" hidden="1" outlineLevel="1">
      <c r="C122" s="57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2" t="n"/>
      <c r="P122" s="12" t="n"/>
      <c r="Q122" s="12" t="n"/>
      <c r="R122" s="12" t="n"/>
      <c r="S122" s="12" t="n"/>
      <c r="T122" s="12" t="n"/>
      <c r="U122" s="12" t="n"/>
      <c r="V122" s="12" t="n"/>
      <c r="W122" s="12" t="n"/>
      <c r="X122" s="12" t="n"/>
      <c r="Y122" s="12" t="n"/>
      <c r="Z122" s="12" t="n"/>
      <c r="AA122" s="12" t="n"/>
      <c r="AB122" s="12" t="n"/>
      <c r="AC122" s="12" t="n"/>
      <c r="AD122" s="12" t="n"/>
      <c r="AE122" s="12" t="n"/>
      <c r="AF122" s="12" t="n"/>
      <c r="AG122" s="12" t="n"/>
      <c r="AH122" s="12" t="n"/>
      <c r="AI122" s="12" t="n"/>
      <c r="AJ122" s="12" t="n"/>
      <c r="AK122" s="12" t="n"/>
      <c r="AL122" s="12" t="n"/>
      <c r="AM122" s="12" t="n"/>
      <c r="AN122" s="12" t="n"/>
      <c r="AO122" s="12" t="n"/>
      <c r="AP122" s="12" t="n"/>
      <c r="AQ122" s="12" t="n"/>
      <c r="AR122" s="12" t="n"/>
      <c r="AS122" s="12" t="n"/>
      <c r="AT122" s="12" t="n"/>
      <c r="AU122" s="12" t="n"/>
      <c r="AV122" s="12" t="n"/>
      <c r="AW122" s="12" t="n"/>
      <c r="AX122" s="12" t="n"/>
      <c r="AY122" s="12" t="n"/>
      <c r="AZ122" s="12" t="n"/>
      <c r="BA122" s="12" t="n"/>
      <c r="BB122" s="12" t="n"/>
      <c r="BC122" s="12" t="n"/>
      <c r="BD122" s="12" t="n"/>
      <c r="BE122" s="12" t="n"/>
      <c r="BF122" s="12" t="n"/>
      <c r="BG122" s="12" t="n"/>
      <c r="BH122" s="12" t="n"/>
      <c r="BI122" s="12" t="n"/>
      <c r="BJ122" s="12" t="n"/>
      <c r="BK122" s="12" t="n"/>
      <c r="BL122" s="12" t="n"/>
      <c r="BM122" s="12" t="n"/>
      <c r="BN122" s="12" t="n"/>
      <c r="BO122" s="12" t="n"/>
      <c r="BP122" s="12" t="n"/>
      <c r="BQ122" s="12" t="n"/>
      <c r="BR122" s="12" t="n"/>
      <c r="BS122" s="12" t="n"/>
      <c r="BT122" s="12" t="n"/>
      <c r="BU122" s="12" t="n"/>
      <c r="BV122" s="12" t="n"/>
      <c r="BW122" s="12" t="n"/>
      <c r="BX122" s="12" t="n"/>
      <c r="BY122" s="12" t="n"/>
      <c r="BZ122" s="12" t="n"/>
      <c r="CA122" s="12" t="n"/>
      <c r="CB122" s="12" t="n"/>
      <c r="CC122" s="12" t="n"/>
      <c r="CD122" s="12" t="n"/>
      <c r="CE122" s="12" t="n"/>
      <c r="CF122" s="12" t="n"/>
      <c r="CG122" s="12" t="n"/>
      <c r="CH122" s="12" t="n"/>
      <c r="CI122" s="12" t="n"/>
      <c r="CJ122" s="12" t="n"/>
      <c r="CK122" s="12" t="n"/>
      <c r="CL122" s="12" t="n"/>
      <c r="CM122" s="12" t="n"/>
      <c r="CN122" s="12" t="n"/>
      <c r="CO122" s="12" t="n"/>
      <c r="CP122" s="12" t="n"/>
      <c r="CQ122" s="12" t="n"/>
      <c r="CR122" s="12" t="n"/>
      <c r="CS122" s="12" t="n"/>
      <c r="CT122" s="12" t="n"/>
      <c r="CU122" s="12" t="n"/>
      <c r="CV122" s="12" t="n"/>
      <c r="CW122" s="12" t="n"/>
      <c r="CX122" s="12" t="n"/>
      <c r="CY122" s="12" t="n"/>
    </row>
    <row r="123" collapsed="1">
      <c r="C123" s="14" t="inlineStr">
        <is>
          <t>Nonoperating Income / (Loss)</t>
        </is>
      </c>
      <c r="D123" s="46" t="n"/>
      <c r="E123" s="46" t="n"/>
      <c r="F123" s="46" t="n"/>
      <c r="G123" s="46" t="n"/>
      <c r="H123" s="12" t="n"/>
      <c r="I123" s="46">
        <f>'Inputs (2)'!D9</f>
        <v>8.82893529</v>
      </c>
      <c r="J123" s="46">
        <f>'Inputs (2)'!E9</f>
        <v>12.89579837</v>
      </c>
      <c r="K123" s="46">
        <f>'Inputs (2)'!F9</f>
        <v>20.72472756</v>
      </c>
      <c r="L123" s="46">
        <f>'Inputs (2)'!G9</f>
        <v>38.18227011</v>
      </c>
      <c r="M123" s="12">
        <f>'Inputs (2)'!H9</f>
        <v>80.63173133</v>
      </c>
      <c r="N123" s="46">
        <f>'Inputs (2)'!I9</f>
        <v>36.308</v>
      </c>
      <c r="O123" s="46">
        <f>'Inputs (2)'!J9</f>
        <v>34.226</v>
      </c>
      <c r="P123" s="46">
        <f>'Inputs (2)'!K9</f>
        <v>70.823</v>
      </c>
      <c r="Q123" s="46">
        <f>'Inputs (2)'!L9</f>
        <v>54.132</v>
      </c>
      <c r="R123" s="12">
        <f>'Inputs (2)'!M9</f>
        <v>195.489</v>
      </c>
      <c r="S123" s="46">
        <f>'Inputs (2)'!N9</f>
        <v>49.962</v>
      </c>
      <c r="T123" s="46">
        <f>'Inputs (2)'!O9</f>
        <v>68.147</v>
      </c>
      <c r="U123" s="46">
        <f>'Inputs (2)'!P9</f>
        <v>63.36725602</v>
      </c>
      <c r="V123" s="46">
        <f>'Inputs (2)'!Q9</f>
        <v>120.692</v>
      </c>
      <c r="W123" s="12">
        <f>'Inputs (2)'!R9</f>
        <v>302.16825602</v>
      </c>
      <c r="X123" s="46">
        <f>'Inputs (2)'!S9</f>
        <v>63.4568531</v>
      </c>
      <c r="Y123" s="46">
        <f>'Inputs (2)'!T9</f>
        <v>69.213</v>
      </c>
      <c r="Z123" s="46">
        <f>'Inputs (2)'!U9</f>
        <v>76.76407807</v>
      </c>
      <c r="AA123" s="46">
        <f>'Inputs (2)'!V9</f>
        <v>84.674</v>
      </c>
      <c r="AB123" s="12">
        <f>'Inputs (2)'!W9</f>
        <v>294.10793117</v>
      </c>
      <c r="AC123" s="46">
        <f>'Inputs (2)'!X9</f>
        <v>77.401</v>
      </c>
      <c r="AD123" s="46">
        <f>'Inputs (2)'!Y9</f>
        <v>98.161</v>
      </c>
      <c r="AE123" s="46">
        <f>'Inputs (2)'!Z9</f>
        <v>119.31</v>
      </c>
      <c r="AF123" s="46">
        <f>'Inputs (2)'!AA9</f>
        <v>127.549</v>
      </c>
      <c r="AG123" s="12">
        <f>'Inputs (2)'!AB9</f>
        <v>422.421</v>
      </c>
      <c r="AH123" s="12">
        <f>'Inputs (2)'!AC9</f>
        <v>119.179</v>
      </c>
      <c r="AI123" s="12">
        <f>'Inputs (2)'!AD9</f>
        <v>133.834</v>
      </c>
      <c r="AJ123" s="12">
        <f>AJ15*Control!$B$23</f>
        <v>147.850375811786</v>
      </c>
      <c r="AK123" s="12">
        <f>AK15*Control!$B$23</f>
        <v>156.536317067676</v>
      </c>
      <c r="AL123" s="12">
        <f>SUM(AH123:AK123)</f>
        <v>557.399692879462</v>
      </c>
      <c r="AM123" s="12">
        <f>AM15*Control!$C$23</f>
        <v>148.706455643887</v>
      </c>
      <c r="AN123" s="12">
        <f>AN15*Control!$C$23</f>
        <v>163.358139381291</v>
      </c>
      <c r="AO123" s="12">
        <f>AO15*Control!$C$23</f>
        <v>189.707641948234</v>
      </c>
      <c r="AP123" s="12">
        <f>AP15*Control!$C$23</f>
        <v>200.852621625886</v>
      </c>
      <c r="AQ123" s="12">
        <f>SUM(AM123:AP123)</f>
        <v>702.624858599299</v>
      </c>
      <c r="AR123" s="12">
        <f>AR15*Control!$D$23</f>
        <v>190.062550477997</v>
      </c>
      <c r="AS123" s="12">
        <f>AS15*Control!$D$23</f>
        <v>208.788949193308</v>
      </c>
      <c r="AT123" s="12">
        <f>AT15*Control!$D$23</f>
        <v>242.466395407832</v>
      </c>
      <c r="AU123" s="12">
        <f>AU15*Control!$D$23</f>
        <v>256.710856103155</v>
      </c>
      <c r="AV123" s="12">
        <f>SUM(AR123:AU123)</f>
        <v>898.028751182291</v>
      </c>
      <c r="AW123" s="12">
        <f>AW15*Control!$E$23</f>
        <v>241.969693227096</v>
      </c>
      <c r="AX123" s="12">
        <f>AX15*Control!$E$23</f>
        <v>265.810375891809</v>
      </c>
      <c r="AY123" s="12">
        <f>AY15*Control!$E$23</f>
        <v>308.685320528227</v>
      </c>
      <c r="AZ123" s="12">
        <f>AZ15*Control!$E$23</f>
        <v>326.82002289839</v>
      </c>
      <c r="BA123" s="12">
        <f>SUM(AW123:AZ123)</f>
        <v>1143.28541254552</v>
      </c>
      <c r="BB123" s="12">
        <f>BB15*Control!$F$23</f>
        <v>306.843117745074</v>
      </c>
      <c r="BC123" s="12">
        <f>BC15*Control!$F$23</f>
        <v>337.075620421126</v>
      </c>
      <c r="BD123" s="12">
        <f>BD15*Control!$F$23</f>
        <v>391.445576881081</v>
      </c>
      <c r="BE123" s="12">
        <f>BE15*Control!$F$23</f>
        <v>414.442294116316</v>
      </c>
      <c r="BF123" s="12">
        <f>SUM(BB123:BE123)</f>
        <v>1449.8066091636</v>
      </c>
      <c r="BG123" s="12" t="n"/>
      <c r="BH123" s="12" t="n"/>
      <c r="BI123" s="12" t="n"/>
      <c r="BJ123" s="12" t="n"/>
      <c r="BK123" s="12" t="n"/>
      <c r="BL123" s="12" t="n"/>
      <c r="BM123" s="12" t="n"/>
      <c r="BN123" s="12" t="n"/>
      <c r="BO123" s="12" t="n"/>
      <c r="BP123" s="12" t="n"/>
      <c r="BQ123" s="12" t="n"/>
      <c r="BR123" s="12" t="n"/>
      <c r="BS123" s="12" t="n"/>
      <c r="BT123" s="12" t="n"/>
      <c r="BU123" s="12" t="n"/>
      <c r="BV123" s="12" t="n"/>
      <c r="BW123" s="12" t="n"/>
      <c r="BX123" s="12" t="n"/>
      <c r="BY123" s="12" t="n"/>
      <c r="BZ123" s="12" t="n"/>
      <c r="CA123" s="12" t="n"/>
      <c r="CB123" s="12" t="n"/>
      <c r="CC123" s="12" t="n"/>
      <c r="CD123" s="12" t="n"/>
      <c r="CE123" s="12" t="n"/>
      <c r="CF123" s="12" t="n"/>
      <c r="CG123" s="12" t="n"/>
      <c r="CH123" s="12" t="n"/>
      <c r="CI123" s="12" t="n"/>
      <c r="CJ123" s="12" t="n"/>
      <c r="CK123" s="12" t="n"/>
      <c r="CL123" s="12" t="n"/>
      <c r="CM123" s="12" t="n"/>
      <c r="CN123" s="12" t="n"/>
      <c r="CO123" s="12" t="n"/>
      <c r="CP123" s="12" t="n"/>
      <c r="CQ123" s="12" t="n"/>
      <c r="CR123" s="12" t="n"/>
      <c r="CS123" s="12" t="n"/>
      <c r="CT123" s="12" t="n"/>
      <c r="CU123" s="12" t="n"/>
      <c r="CV123" s="12" t="n"/>
      <c r="CW123" s="12" t="n"/>
      <c r="CX123" s="12" t="n"/>
      <c r="CY123" s="12" t="n"/>
    </row>
    <row r="124" hidden="1" outlineLevel="1">
      <c r="C124" s="57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2" t="n"/>
      <c r="O124" s="12" t="n"/>
      <c r="P124" s="12" t="n"/>
      <c r="Q124" s="12" t="n"/>
      <c r="R124" s="12" t="n"/>
      <c r="S124" s="12" t="n"/>
      <c r="T124" s="12" t="n"/>
      <c r="U124" s="12" t="n"/>
      <c r="V124" s="12" t="n"/>
      <c r="W124" s="12" t="n"/>
      <c r="X124" s="12" t="n"/>
      <c r="Y124" s="12" t="n"/>
      <c r="Z124" s="12" t="n"/>
      <c r="AA124" s="12" t="n"/>
      <c r="AB124" s="12" t="n"/>
      <c r="AC124" s="12" t="n"/>
      <c r="AD124" s="12" t="n"/>
      <c r="AE124" s="12" t="n"/>
      <c r="AF124" s="12" t="n"/>
      <c r="AG124" s="12" t="n"/>
      <c r="AH124" s="12" t="n"/>
      <c r="AI124" s="12" t="n"/>
      <c r="AJ124" s="12" t="n"/>
      <c r="AK124" s="12" t="n"/>
      <c r="AL124" s="12" t="n"/>
      <c r="AM124" s="12" t="n"/>
      <c r="AN124" s="12" t="n"/>
      <c r="AO124" s="12" t="n"/>
      <c r="AP124" s="12" t="n"/>
      <c r="AQ124" s="12" t="n"/>
      <c r="AR124" s="12" t="n"/>
      <c r="AS124" s="12" t="n"/>
      <c r="AT124" s="12" t="n"/>
      <c r="AU124" s="12" t="n"/>
      <c r="AV124" s="12" t="n"/>
      <c r="AW124" s="12" t="n"/>
      <c r="AX124" s="12" t="n"/>
      <c r="AY124" s="12" t="n"/>
      <c r="AZ124" s="12" t="n"/>
      <c r="BA124" s="12" t="n"/>
      <c r="BB124" s="12" t="n"/>
      <c r="BC124" s="12" t="n"/>
      <c r="BD124" s="12" t="n"/>
      <c r="BE124" s="12" t="n"/>
      <c r="BF124" s="12" t="n"/>
      <c r="BG124" s="12" t="n"/>
      <c r="BH124" s="12" t="n"/>
      <c r="BI124" s="12" t="n"/>
      <c r="BJ124" s="12" t="n"/>
      <c r="BK124" s="12" t="n"/>
      <c r="BL124" s="12" t="n"/>
      <c r="BM124" s="12" t="n"/>
      <c r="BN124" s="12" t="n"/>
      <c r="BO124" s="12" t="n"/>
      <c r="BP124" s="12" t="n"/>
      <c r="BQ124" s="12" t="n"/>
      <c r="BR124" s="12" t="n"/>
      <c r="BS124" s="12" t="n"/>
      <c r="BT124" s="12" t="n"/>
      <c r="BU124" s="12" t="n"/>
      <c r="BV124" s="12" t="n"/>
      <c r="BW124" s="12" t="n"/>
      <c r="BX124" s="12" t="n"/>
      <c r="BY124" s="12" t="n"/>
      <c r="BZ124" s="12" t="n"/>
      <c r="CA124" s="12" t="n"/>
      <c r="CB124" s="12" t="n"/>
      <c r="CC124" s="12" t="n"/>
      <c r="CD124" s="12" t="n"/>
      <c r="CE124" s="12" t="n"/>
      <c r="CF124" s="12" t="n"/>
      <c r="CG124" s="12" t="n"/>
      <c r="CH124" s="12" t="n"/>
      <c r="CI124" s="12" t="n"/>
      <c r="CJ124" s="12" t="n"/>
      <c r="CK124" s="12" t="n"/>
      <c r="CL124" s="12" t="n"/>
      <c r="CM124" s="12" t="n"/>
      <c r="CN124" s="12" t="n"/>
      <c r="CO124" s="12" t="n"/>
      <c r="CP124" s="12" t="n"/>
      <c r="CQ124" s="12" t="n"/>
      <c r="CR124" s="12" t="n"/>
      <c r="CS124" s="12" t="n"/>
      <c r="CT124" s="12" t="n"/>
      <c r="CU124" s="12" t="n"/>
      <c r="CV124" s="12" t="n"/>
      <c r="CW124" s="12" t="n"/>
      <c r="CX124" s="12" t="n"/>
      <c r="CY124" s="12" t="n"/>
    </row>
    <row r="125" hidden="1" outlineLevel="1">
      <c r="C125" s="50" t="inlineStr">
        <is>
          <t>Resultado Não Recorrente</t>
        </is>
      </c>
      <c r="D125" s="11" t="n"/>
      <c r="E125" s="11" t="n"/>
      <c r="F125" s="11" t="n"/>
      <c r="G125" s="11" t="n"/>
      <c r="H125" s="12" t="n"/>
      <c r="I125" s="11" t="n"/>
      <c r="J125" s="11" t="n"/>
      <c r="K125" s="11" t="n"/>
      <c r="L125" s="11" t="n"/>
      <c r="M125" s="12" t="n"/>
      <c r="N125" s="11" t="n"/>
      <c r="O125" s="11" t="n"/>
      <c r="P125" s="11" t="n"/>
      <c r="Q125" s="11" t="n"/>
      <c r="R125" s="12" t="n"/>
      <c r="S125" s="11" t="n"/>
      <c r="T125" s="11" t="n"/>
      <c r="U125" s="11" t="n"/>
      <c r="V125" s="11" t="n"/>
      <c r="W125" s="12" t="n"/>
      <c r="X125" s="11" t="n"/>
      <c r="Y125" s="11" t="n"/>
      <c r="Z125" s="11" t="n"/>
      <c r="AA125" s="11" t="n"/>
      <c r="AB125" s="12" t="n"/>
      <c r="AC125" s="11" t="n"/>
      <c r="AD125" s="11" t="n"/>
      <c r="AE125" s="11" t="n"/>
      <c r="AF125" s="11" t="n"/>
      <c r="AG125" s="12" t="n"/>
      <c r="AH125" s="12" t="n"/>
      <c r="AI125" s="12" t="n"/>
      <c r="AJ125" s="12" t="n"/>
      <c r="AK125" s="12" t="n"/>
      <c r="AL125" s="12" t="n"/>
      <c r="AM125" s="12" t="n"/>
      <c r="AN125" s="12" t="n"/>
      <c r="AO125" s="12" t="n"/>
      <c r="AP125" s="12" t="n"/>
      <c r="AQ125" s="12" t="n"/>
      <c r="AR125" s="12" t="n"/>
      <c r="AS125" s="12" t="n"/>
      <c r="AT125" s="12" t="n"/>
      <c r="AU125" s="12" t="n"/>
      <c r="AV125" s="12" t="n"/>
      <c r="AW125" s="12" t="n"/>
      <c r="AX125" s="12" t="n"/>
      <c r="AY125" s="12" t="n"/>
      <c r="AZ125" s="12" t="n"/>
      <c r="BA125" s="12" t="n"/>
      <c r="BB125" s="12" t="n"/>
      <c r="BC125" s="12" t="n"/>
      <c r="BD125" s="12" t="n"/>
      <c r="BE125" s="12" t="n"/>
      <c r="BF125" s="12" t="n"/>
      <c r="BG125" s="12" t="n"/>
      <c r="BH125" s="12" t="n"/>
      <c r="BI125" s="12" t="n"/>
      <c r="BJ125" s="12" t="n"/>
      <c r="BK125" s="12" t="n"/>
      <c r="BL125" s="12" t="n"/>
      <c r="BM125" s="12" t="n"/>
      <c r="BN125" s="12" t="n"/>
      <c r="BO125" s="12" t="n"/>
      <c r="BP125" s="12" t="n"/>
      <c r="BQ125" s="12" t="n"/>
      <c r="BR125" s="12" t="n"/>
      <c r="BS125" s="12" t="n"/>
      <c r="BT125" s="12" t="n"/>
      <c r="BU125" s="12" t="n"/>
      <c r="BV125" s="12" t="n"/>
      <c r="BW125" s="12" t="n"/>
      <c r="BX125" s="12" t="n"/>
      <c r="BY125" s="12" t="n"/>
      <c r="BZ125" s="12" t="n"/>
      <c r="CA125" s="12" t="n"/>
      <c r="CB125" s="12" t="n"/>
      <c r="CC125" s="12" t="n"/>
      <c r="CD125" s="12" t="n"/>
      <c r="CE125" s="12" t="n"/>
      <c r="CF125" s="12" t="n"/>
      <c r="CG125" s="12" t="n"/>
      <c r="CH125" s="12" t="n"/>
      <c r="CI125" s="12" t="n"/>
      <c r="CJ125" s="12" t="n"/>
      <c r="CK125" s="12" t="n"/>
      <c r="CL125" s="12" t="n"/>
      <c r="CM125" s="12" t="n"/>
      <c r="CN125" s="12" t="n"/>
      <c r="CO125" s="12" t="n"/>
      <c r="CP125" s="12" t="n"/>
      <c r="CQ125" s="12" t="n"/>
      <c r="CR125" s="12" t="n"/>
      <c r="CS125" s="12" t="n"/>
      <c r="CT125" s="12" t="n"/>
      <c r="CU125" s="12" t="n"/>
      <c r="CV125" s="12" t="n"/>
      <c r="CW125" s="12" t="n"/>
      <c r="CX125" s="12" t="n"/>
      <c r="CY125" s="12" t="n"/>
    </row>
    <row r="126" hidden="1" outlineLevel="1">
      <c r="C126" s="50" t="inlineStr">
        <is>
          <t>Plano de Opção de Compra de Ações</t>
        </is>
      </c>
      <c r="D126" s="11" t="n"/>
      <c r="E126" s="11" t="n"/>
      <c r="F126" s="11" t="n"/>
      <c r="G126" s="11" t="n"/>
      <c r="H126" s="12" t="n"/>
      <c r="I126" s="11" t="n"/>
      <c r="J126" s="11" t="n"/>
      <c r="K126" s="11" t="n"/>
      <c r="L126" s="11" t="n"/>
      <c r="M126" s="12" t="n"/>
      <c r="N126" s="11" t="n"/>
      <c r="O126" s="11" t="n"/>
      <c r="P126" s="11" t="n"/>
      <c r="Q126" s="11" t="n"/>
      <c r="R126" s="12" t="n"/>
      <c r="S126" s="11" t="n"/>
      <c r="T126" s="11" t="n"/>
      <c r="U126" s="11" t="n"/>
      <c r="V126" s="11" t="n"/>
      <c r="W126" s="12" t="n"/>
      <c r="X126" s="11" t="n"/>
      <c r="Y126" s="11" t="n"/>
      <c r="Z126" s="11" t="n"/>
      <c r="AA126" s="11" t="n"/>
      <c r="AB126" s="12" t="n"/>
      <c r="AC126" s="11" t="n"/>
      <c r="AD126" s="11" t="n"/>
      <c r="AE126" s="11" t="n"/>
      <c r="AF126" s="11" t="n"/>
      <c r="AG126" s="12" t="n"/>
      <c r="AH126" s="12" t="n"/>
      <c r="AI126" s="12" t="n"/>
      <c r="AJ126" s="12" t="n"/>
      <c r="AK126" s="12" t="n"/>
      <c r="AL126" s="12" t="n"/>
      <c r="AM126" s="12" t="n"/>
      <c r="AN126" s="12" t="n"/>
      <c r="AO126" s="12" t="n"/>
      <c r="AP126" s="12" t="n"/>
      <c r="AQ126" s="12" t="n"/>
      <c r="AR126" s="12" t="n"/>
      <c r="AS126" s="12" t="n"/>
      <c r="AT126" s="12" t="n"/>
      <c r="AU126" s="12" t="n"/>
      <c r="AV126" s="12" t="n"/>
      <c r="AW126" s="12" t="n"/>
      <c r="AX126" s="12" t="n"/>
      <c r="AY126" s="12" t="n"/>
      <c r="AZ126" s="12" t="n"/>
      <c r="BA126" s="12" t="n"/>
      <c r="BB126" s="12" t="n"/>
      <c r="BC126" s="12" t="n"/>
      <c r="BD126" s="12" t="n"/>
      <c r="BE126" s="12" t="n"/>
      <c r="BF126" s="12" t="n"/>
      <c r="BG126" s="12" t="n"/>
      <c r="BH126" s="12" t="n"/>
      <c r="BI126" s="12" t="n"/>
      <c r="BJ126" s="12" t="n"/>
      <c r="BK126" s="12" t="n"/>
      <c r="BL126" s="12" t="n"/>
      <c r="BM126" s="12" t="n"/>
      <c r="BN126" s="12" t="n"/>
      <c r="BO126" s="12" t="n"/>
      <c r="BP126" s="12" t="n"/>
      <c r="BQ126" s="12" t="n"/>
      <c r="BR126" s="12" t="n"/>
      <c r="BS126" s="12" t="n"/>
      <c r="BT126" s="12" t="n"/>
      <c r="BU126" s="12" t="n"/>
      <c r="BV126" s="12" t="n"/>
      <c r="BW126" s="12" t="n"/>
      <c r="BX126" s="12" t="n"/>
      <c r="BY126" s="12" t="n"/>
      <c r="BZ126" s="12" t="n"/>
      <c r="CA126" s="12" t="n"/>
      <c r="CB126" s="12" t="n"/>
      <c r="CC126" s="12" t="n"/>
      <c r="CD126" s="12" t="n"/>
      <c r="CE126" s="12" t="n"/>
      <c r="CF126" s="12" t="n"/>
      <c r="CG126" s="12" t="n"/>
      <c r="CH126" s="12" t="n"/>
      <c r="CI126" s="12" t="n"/>
      <c r="CJ126" s="12" t="n"/>
      <c r="CK126" s="12" t="n"/>
      <c r="CL126" s="12" t="n"/>
      <c r="CM126" s="12" t="n"/>
      <c r="CN126" s="12" t="n"/>
      <c r="CO126" s="12" t="n"/>
      <c r="CP126" s="12" t="n"/>
      <c r="CQ126" s="12" t="n"/>
      <c r="CR126" s="12" t="n"/>
      <c r="CS126" s="12" t="n"/>
      <c r="CT126" s="12" t="n"/>
      <c r="CU126" s="12" t="n"/>
      <c r="CV126" s="12" t="n"/>
      <c r="CW126" s="12" t="n"/>
      <c r="CX126" s="12" t="n"/>
      <c r="CY126" s="12" t="n"/>
    </row>
    <row r="127" hidden="1" outlineLevel="1">
      <c r="C127" s="50" t="inlineStr">
        <is>
          <t>Baixa Imobilizado</t>
        </is>
      </c>
      <c r="D127" s="11" t="n"/>
      <c r="E127" s="11" t="n"/>
      <c r="F127" s="11" t="n"/>
      <c r="G127" s="11" t="n"/>
      <c r="H127" s="12" t="n"/>
      <c r="I127" s="11" t="n"/>
      <c r="J127" s="11" t="n"/>
      <c r="K127" s="11" t="n"/>
      <c r="L127" s="11" t="n"/>
      <c r="M127" s="12" t="n"/>
      <c r="N127" s="11" t="n"/>
      <c r="O127" s="11" t="n"/>
      <c r="P127" s="11" t="n"/>
      <c r="Q127" s="11" t="n"/>
      <c r="R127" s="12" t="n"/>
      <c r="S127" s="11" t="n"/>
      <c r="T127" s="11" t="n"/>
      <c r="U127" s="11" t="n"/>
      <c r="V127" s="11" t="n"/>
      <c r="W127" s="12" t="n"/>
      <c r="X127" s="11" t="n"/>
      <c r="Y127" s="11" t="n"/>
      <c r="Z127" s="11" t="n"/>
      <c r="AA127" s="11" t="n"/>
      <c r="AB127" s="12" t="n"/>
      <c r="AC127" s="11" t="n"/>
      <c r="AD127" s="11" t="n"/>
      <c r="AE127" s="11" t="n"/>
      <c r="AF127" s="11" t="n"/>
      <c r="AG127" s="12" t="n"/>
      <c r="AH127" s="12" t="n"/>
      <c r="AI127" s="12" t="n"/>
      <c r="AJ127" s="12" t="n"/>
      <c r="AK127" s="12" t="n"/>
      <c r="AL127" s="12" t="n"/>
      <c r="AM127" s="12" t="n"/>
      <c r="AN127" s="12" t="n"/>
      <c r="AO127" s="12" t="n"/>
      <c r="AP127" s="12" t="n"/>
      <c r="AQ127" s="12" t="n"/>
      <c r="AR127" s="12" t="n"/>
      <c r="AS127" s="12" t="n"/>
      <c r="AT127" s="12" t="n"/>
      <c r="AU127" s="12" t="n"/>
      <c r="AV127" s="12" t="n"/>
      <c r="AW127" s="12" t="n"/>
      <c r="AX127" s="12" t="n"/>
      <c r="AY127" s="12" t="n"/>
      <c r="AZ127" s="12" t="n"/>
      <c r="BA127" s="12" t="n"/>
      <c r="BB127" s="12" t="n"/>
      <c r="BC127" s="12" t="n"/>
      <c r="BD127" s="12" t="n"/>
      <c r="BE127" s="12" t="n"/>
      <c r="BF127" s="12" t="n"/>
      <c r="BG127" s="12" t="n"/>
      <c r="BH127" s="12" t="n"/>
      <c r="BI127" s="12" t="n"/>
      <c r="BJ127" s="12" t="n"/>
      <c r="BK127" s="12" t="n"/>
      <c r="BL127" s="12" t="n"/>
      <c r="BM127" s="12" t="n"/>
      <c r="BN127" s="12" t="n"/>
      <c r="BO127" s="12" t="n"/>
      <c r="BP127" s="12" t="n"/>
      <c r="BQ127" s="12" t="n"/>
      <c r="BR127" s="12" t="n"/>
      <c r="BS127" s="12" t="n"/>
      <c r="BT127" s="12" t="n"/>
      <c r="BU127" s="12" t="n"/>
      <c r="BV127" s="12" t="n"/>
      <c r="BW127" s="12" t="n"/>
      <c r="BX127" s="12" t="n"/>
      <c r="BY127" s="12" t="n"/>
      <c r="BZ127" s="12" t="n"/>
      <c r="CA127" s="12" t="n"/>
      <c r="CB127" s="12" t="n"/>
      <c r="CC127" s="12" t="n"/>
      <c r="CD127" s="12" t="n"/>
      <c r="CE127" s="12" t="n"/>
      <c r="CF127" s="12" t="n"/>
      <c r="CG127" s="12" t="n"/>
      <c r="CH127" s="12" t="n"/>
      <c r="CI127" s="12" t="n"/>
      <c r="CJ127" s="12" t="n"/>
      <c r="CK127" s="12" t="n"/>
      <c r="CL127" s="12" t="n"/>
      <c r="CM127" s="12" t="n"/>
      <c r="CN127" s="12" t="n"/>
      <c r="CO127" s="12" t="n"/>
      <c r="CP127" s="12" t="n"/>
      <c r="CQ127" s="12" t="n"/>
      <c r="CR127" s="12" t="n"/>
      <c r="CS127" s="12" t="n"/>
      <c r="CT127" s="12" t="n"/>
      <c r="CU127" s="12" t="n"/>
      <c r="CV127" s="12" t="n"/>
      <c r="CW127" s="12" t="n"/>
      <c r="CX127" s="12" t="n"/>
      <c r="CY127" s="12" t="n"/>
    </row>
    <row r="128" hidden="1" outlineLevel="1">
      <c r="C128" s="57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  <c r="V128" s="12" t="n"/>
      <c r="W128" s="12" t="n"/>
      <c r="X128" s="12" t="n"/>
      <c r="Y128" s="12" t="n"/>
      <c r="Z128" s="12" t="n"/>
      <c r="AA128" s="12" t="n"/>
      <c r="AB128" s="12" t="n"/>
      <c r="AC128" s="12" t="n"/>
      <c r="AD128" s="12" t="n"/>
      <c r="AE128" s="12" t="n"/>
      <c r="AF128" s="12" t="n"/>
      <c r="AG128" s="12" t="n"/>
      <c r="AH128" s="12" t="n"/>
      <c r="AI128" s="12" t="n"/>
      <c r="AJ128" s="12" t="n"/>
      <c r="AK128" s="12" t="n"/>
      <c r="AL128" s="12" t="n"/>
      <c r="AM128" s="12" t="n"/>
      <c r="AN128" s="12" t="n"/>
      <c r="AO128" s="12" t="n"/>
      <c r="AP128" s="12" t="n"/>
      <c r="AQ128" s="12" t="n"/>
      <c r="AR128" s="12" t="n"/>
      <c r="AS128" s="12" t="n"/>
      <c r="AT128" s="12" t="n"/>
      <c r="AU128" s="12" t="n"/>
      <c r="AV128" s="12" t="n"/>
      <c r="AW128" s="12" t="n"/>
      <c r="AX128" s="12" t="n"/>
      <c r="AY128" s="12" t="n"/>
      <c r="AZ128" s="12" t="n"/>
      <c r="BA128" s="12" t="n"/>
      <c r="BB128" s="12" t="n"/>
      <c r="BC128" s="12" t="n"/>
      <c r="BD128" s="12" t="n"/>
      <c r="BE128" s="12" t="n"/>
      <c r="BF128" s="12" t="n"/>
      <c r="BG128" s="12" t="n"/>
      <c r="BH128" s="12" t="n"/>
      <c r="BI128" s="12" t="n"/>
      <c r="BJ128" s="12" t="n"/>
      <c r="BK128" s="12" t="n"/>
      <c r="BL128" s="12" t="n"/>
      <c r="BM128" s="12" t="n"/>
      <c r="BN128" s="12" t="n"/>
      <c r="BO128" s="12" t="n"/>
      <c r="BP128" s="12" t="n"/>
      <c r="BQ128" s="12" t="n"/>
      <c r="BR128" s="12" t="n"/>
      <c r="BS128" s="12" t="n"/>
      <c r="BT128" s="12" t="n"/>
      <c r="BU128" s="12" t="n"/>
      <c r="BV128" s="12" t="n"/>
      <c r="BW128" s="12" t="n"/>
      <c r="BX128" s="12" t="n"/>
      <c r="BY128" s="12" t="n"/>
      <c r="BZ128" s="12" t="n"/>
      <c r="CA128" s="12" t="n"/>
      <c r="CB128" s="12" t="n"/>
      <c r="CC128" s="12" t="n"/>
      <c r="CD128" s="12" t="n"/>
      <c r="CE128" s="12" t="n"/>
      <c r="CF128" s="12" t="n"/>
      <c r="CG128" s="12" t="n"/>
      <c r="CH128" s="12" t="n"/>
      <c r="CI128" s="12" t="n"/>
      <c r="CJ128" s="12" t="n"/>
      <c r="CK128" s="12" t="n"/>
      <c r="CL128" s="12" t="n"/>
      <c r="CM128" s="12" t="n"/>
      <c r="CN128" s="12" t="n"/>
      <c r="CO128" s="12" t="n"/>
      <c r="CP128" s="12" t="n"/>
      <c r="CQ128" s="12" t="n"/>
      <c r="CR128" s="12" t="n"/>
      <c r="CS128" s="12" t="n"/>
      <c r="CT128" s="12" t="n"/>
      <c r="CU128" s="12" t="n"/>
      <c r="CV128" s="12" t="n"/>
      <c r="CW128" s="12" t="n"/>
      <c r="CX128" s="12" t="n"/>
      <c r="CY128" s="12" t="n"/>
    </row>
    <row r="129" hidden="1" outlineLevel="1">
      <c r="C129" s="57" t="n"/>
      <c r="D129" s="12" t="n"/>
      <c r="E129" s="12" t="n"/>
      <c r="F129" s="12" t="n"/>
      <c r="G129" s="12" t="n"/>
      <c r="H129" s="12" t="n"/>
      <c r="I129" s="12" t="n"/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12" t="n"/>
      <c r="S129" s="12" t="n"/>
      <c r="T129" s="12" t="n"/>
      <c r="U129" s="12" t="n"/>
      <c r="V129" s="12" t="n"/>
      <c r="W129" s="12" t="n"/>
      <c r="X129" s="12" t="n"/>
      <c r="Y129" s="12" t="n"/>
      <c r="Z129" s="12" t="n"/>
      <c r="AA129" s="12" t="n"/>
      <c r="AB129" s="12" t="n"/>
      <c r="AC129" s="12" t="n"/>
      <c r="AD129" s="12" t="n"/>
      <c r="AE129" s="12" t="n"/>
      <c r="AF129" s="12" t="n"/>
      <c r="AG129" s="12" t="n"/>
      <c r="AH129" s="12" t="n"/>
      <c r="AI129" s="12" t="n"/>
      <c r="AJ129" s="12" t="n"/>
      <c r="AK129" s="12" t="n"/>
      <c r="AL129" s="12" t="n"/>
      <c r="AM129" s="12" t="n"/>
      <c r="AN129" s="12" t="n"/>
      <c r="AO129" s="12" t="n"/>
      <c r="AP129" s="12" t="n"/>
      <c r="AQ129" s="12" t="n"/>
      <c r="AR129" s="12" t="n"/>
      <c r="AS129" s="12" t="n"/>
      <c r="AT129" s="12" t="n"/>
      <c r="AU129" s="12" t="n"/>
      <c r="AV129" s="12" t="n"/>
      <c r="AW129" s="12" t="n"/>
      <c r="AX129" s="12" t="n"/>
      <c r="AY129" s="12" t="n"/>
      <c r="AZ129" s="12" t="n"/>
      <c r="BA129" s="12" t="n"/>
      <c r="BB129" s="12" t="n"/>
      <c r="BC129" s="12" t="n"/>
      <c r="BD129" s="12" t="n"/>
      <c r="BE129" s="12" t="n"/>
      <c r="BF129" s="12" t="n"/>
      <c r="BG129" s="12" t="n"/>
      <c r="BH129" s="12" t="n"/>
      <c r="BI129" s="12" t="n"/>
      <c r="BJ129" s="12" t="n"/>
      <c r="BK129" s="12" t="n"/>
      <c r="BL129" s="12" t="n"/>
      <c r="BM129" s="12" t="n"/>
      <c r="BN129" s="12" t="n"/>
      <c r="BO129" s="12" t="n"/>
      <c r="BP129" s="12" t="n"/>
      <c r="BQ129" s="12" t="n"/>
      <c r="BR129" s="12" t="n"/>
      <c r="BS129" s="12" t="n"/>
      <c r="BT129" s="12" t="n"/>
      <c r="BU129" s="12" t="n"/>
      <c r="BV129" s="12" t="n"/>
      <c r="BW129" s="12" t="n"/>
      <c r="BX129" s="12" t="n"/>
      <c r="BY129" s="12" t="n"/>
      <c r="BZ129" s="12" t="n"/>
      <c r="CA129" s="12" t="n"/>
      <c r="CB129" s="12" t="n"/>
      <c r="CC129" s="12" t="n"/>
      <c r="CD129" s="12" t="n"/>
      <c r="CE129" s="12" t="n"/>
      <c r="CF129" s="12" t="n"/>
      <c r="CG129" s="12" t="n"/>
      <c r="CH129" s="12" t="n"/>
      <c r="CI129" s="12" t="n"/>
      <c r="CJ129" s="12" t="n"/>
      <c r="CK129" s="12" t="n"/>
      <c r="CL129" s="12" t="n"/>
      <c r="CM129" s="12" t="n"/>
      <c r="CN129" s="12" t="n"/>
      <c r="CO129" s="12" t="n"/>
      <c r="CP129" s="12" t="n"/>
      <c r="CQ129" s="12" t="n"/>
      <c r="CR129" s="12" t="n"/>
      <c r="CS129" s="12" t="n"/>
      <c r="CT129" s="12" t="n"/>
      <c r="CU129" s="12" t="n"/>
      <c r="CV129" s="12" t="n"/>
      <c r="CW129" s="12" t="n"/>
      <c r="CX129" s="12" t="n"/>
      <c r="CY129" s="12" t="n"/>
    </row>
    <row r="130" collapsed="1" customFormat="1" s="32">
      <c r="A130" s="30" t="n"/>
      <c r="B130" s="3" t="n"/>
      <c r="C130" s="33" t="inlineStr">
        <is>
          <t>Pretax Income - EBT</t>
        </is>
      </c>
      <c r="D130" s="35" t="n"/>
      <c r="E130" s="35" t="n"/>
      <c r="F130" s="35" t="n"/>
      <c r="G130" s="35" t="n"/>
      <c r="H130" s="35" t="n"/>
      <c r="I130" s="35">
        <f>SUM(I73,I74,I123)</f>
        <v>41.033937731</v>
      </c>
      <c r="J130" s="35">
        <f>SUM(J73,J74,J123)</f>
        <v>59.817772466</v>
      </c>
      <c r="K130" s="35">
        <f>SUM(K73,K74,K123)</f>
        <v>61.1310800050001</v>
      </c>
      <c r="L130" s="35">
        <f>SUM(L73,L74,L123)</f>
        <v>49.58413748</v>
      </c>
      <c r="M130" s="35">
        <f>SUM(I130:L130)</f>
        <v>211.566927682</v>
      </c>
      <c r="N130" s="35">
        <f>SUM(N73,N74,N123)</f>
        <v>51.515</v>
      </c>
      <c r="O130" s="35">
        <f>SUM(O73,O74,O123)</f>
        <v>44.579</v>
      </c>
      <c r="P130" s="35">
        <f>SUM(P73,P74,P123)</f>
        <v>82.8989999999999</v>
      </c>
      <c r="Q130" s="35">
        <f>SUM(Q73,Q74,Q123)</f>
        <v>100.787</v>
      </c>
      <c r="R130" s="35">
        <f>SUM(N130:Q130)</f>
        <v>279.78</v>
      </c>
      <c r="S130" s="35">
        <f>SUM(S73,S74,S123)</f>
        <v>76.846</v>
      </c>
      <c r="T130" s="35">
        <f>SUM(T73,T74,T123)</f>
        <v>116.403</v>
      </c>
      <c r="U130" s="35">
        <f>SUM(U73,U74,U123)</f>
        <v>77.2981326</v>
      </c>
      <c r="V130" s="35">
        <f>SUM(V73,V74,V123)</f>
        <v>112.611</v>
      </c>
      <c r="W130" s="35">
        <f>SUM(S130:V130)</f>
        <v>383.1581326</v>
      </c>
      <c r="X130" s="35">
        <f>SUM(X73,X74,X123)</f>
        <v>154.968244</v>
      </c>
      <c r="Y130" s="35">
        <f>SUM(Y73,Y74,Y123)</f>
        <v>165.39</v>
      </c>
      <c r="Z130" s="35">
        <f>SUM(Z73,Z74,Z123)</f>
        <v>185.95107807</v>
      </c>
      <c r="AA130" s="35">
        <f>SUM(AA73,AA74,AA123)</f>
        <v>199.462</v>
      </c>
      <c r="AB130" s="35">
        <f>SUM(X130:AA130)</f>
        <v>705.77132207</v>
      </c>
      <c r="AC130" s="35">
        <f>SUM(AC73,AC74,AC123)</f>
        <v>200.193</v>
      </c>
      <c r="AD130" s="35">
        <f>SUM(AD73,AD74,AD123)</f>
        <v>228.27</v>
      </c>
      <c r="AE130" s="35">
        <f>SUM(AE73,AE74,AE123)</f>
        <v>294.201</v>
      </c>
      <c r="AF130" s="35">
        <f>SUM(AF73,AF74,AF123)</f>
        <v>293.199</v>
      </c>
      <c r="AG130" s="35">
        <f>SUM(AC130:AF130)</f>
        <v>1015.863</v>
      </c>
      <c r="AH130" s="35">
        <f>SUM(AH73,AH74,AH123)</f>
        <v>279.074</v>
      </c>
      <c r="AI130" s="35">
        <f>SUM(AI73,AI74,AI123)</f>
        <v>263.997</v>
      </c>
      <c r="AJ130" s="35">
        <f>SUM(AJ73,AJ74,AJ123:AJ128)</f>
        <v>472.945530607557</v>
      </c>
      <c r="AK130" s="35">
        <f>SUM(AK73,AK74,AK123:AK128)</f>
        <v>500.730222215796</v>
      </c>
      <c r="AL130" s="35">
        <f>SUM(AH130:AK130)</f>
        <v>1516.74675282335</v>
      </c>
      <c r="AM130" s="35">
        <f>SUM(AM73,AM74,AM123:AM128)</f>
        <v>475.683968898378</v>
      </c>
      <c r="AN130" s="35">
        <f>SUM(AN73,AN74,AN123:AN128)</f>
        <v>522.551948106642</v>
      </c>
      <c r="AO130" s="35">
        <f>SUM(AO73,AO74,AO123:AO128)</f>
        <v>606.839048523835</v>
      </c>
      <c r="AP130" s="35">
        <f>SUM(AP73,AP74,AP123:AP128)</f>
        <v>642.489741315903</v>
      </c>
      <c r="AQ130" s="35">
        <f>SUM(AM130:AP130)</f>
        <v>2247.56470684476</v>
      </c>
      <c r="AR130" s="35">
        <f>SUM(AR73,AR74,AR123:AR128)</f>
        <v>607.974334125947</v>
      </c>
      <c r="AS130" s="35">
        <f>SUM(AS73,AS74,AS123:AS128)</f>
        <v>667.876559792628</v>
      </c>
      <c r="AT130" s="35">
        <f>SUM(AT73,AT74,AT123:AT128)</f>
        <v>775.604373009089</v>
      </c>
      <c r="AU130" s="35">
        <f>SUM(AU73,AU74,AU123:AU128)</f>
        <v>821.169722334572</v>
      </c>
      <c r="AV130" s="35">
        <f>SUM(AR130:AU130)</f>
        <v>2872.62498926224</v>
      </c>
      <c r="AW130" s="35">
        <f>SUM(AW73,AW74,AW123:AW128)</f>
        <v>774.015516199409</v>
      </c>
      <c r="AX130" s="35">
        <f>SUM(AX73,AX74,AX123:AX128)</f>
        <v>850.277373844348</v>
      </c>
      <c r="AY130" s="35">
        <f>SUM(AY73,AY74,AY123:AY128)</f>
        <v>987.426253781276</v>
      </c>
      <c r="AZ130" s="35">
        <f>SUM(AZ73,AZ74,AZ123:AZ128)</f>
        <v>1045.43575418177</v>
      </c>
      <c r="BA130" s="35">
        <f>SUM(AW130:AZ130)</f>
        <v>3657.1548980068</v>
      </c>
      <c r="BB130" s="35">
        <f>SUM(BB73,BB74,BB123:BB128)</f>
        <v>981.533393732858</v>
      </c>
      <c r="BC130" s="35">
        <f>SUM(BC73,BC74,BC123:BC128)</f>
        <v>1078.24148081896</v>
      </c>
      <c r="BD130" s="35">
        <f>SUM(BD73,BD74,BD123:BD128)</f>
        <v>1252.16074051565</v>
      </c>
      <c r="BE130" s="35">
        <f>SUM(BE73,BE74,BE123:BE128)</f>
        <v>1325.72291156414</v>
      </c>
      <c r="BF130" s="35">
        <f>SUM(BB130:BE130)</f>
        <v>4637.65852663162</v>
      </c>
      <c r="BG130" s="35" t="n"/>
      <c r="BH130" s="35" t="n"/>
      <c r="BI130" s="35" t="n"/>
      <c r="BJ130" s="35" t="n"/>
      <c r="BK130" s="35" t="n"/>
      <c r="BL130" s="35" t="n"/>
      <c r="BM130" s="35" t="n"/>
      <c r="BN130" s="35" t="n"/>
      <c r="BO130" s="35" t="n"/>
      <c r="BP130" s="35" t="n"/>
      <c r="BQ130" s="35" t="n"/>
      <c r="BR130" s="35" t="n"/>
      <c r="BS130" s="35" t="n"/>
      <c r="BT130" s="35" t="n"/>
      <c r="BU130" s="35" t="n"/>
      <c r="BV130" s="35" t="n"/>
      <c r="BW130" s="35" t="n"/>
      <c r="BX130" s="35" t="n"/>
      <c r="BY130" s="35" t="n"/>
      <c r="BZ130" s="35" t="n"/>
      <c r="CA130" s="35" t="n"/>
      <c r="CB130" s="35" t="n"/>
      <c r="CC130" s="35" t="n"/>
      <c r="CD130" s="35" t="n"/>
      <c r="CE130" s="35" t="n"/>
      <c r="CF130" s="35" t="n"/>
      <c r="CG130" s="35" t="n"/>
      <c r="CH130" s="35" t="n"/>
      <c r="CI130" s="35" t="n"/>
      <c r="CJ130" s="35" t="n"/>
      <c r="CK130" s="35" t="n"/>
      <c r="CL130" s="35" t="n"/>
      <c r="CM130" s="35" t="n"/>
      <c r="CN130" s="35" t="n"/>
      <c r="CO130" s="35" t="n"/>
      <c r="CP130" s="35" t="n"/>
      <c r="CQ130" s="35" t="n"/>
      <c r="CR130" s="35" t="n"/>
      <c r="CS130" s="35" t="n"/>
      <c r="CT130" s="35" t="n"/>
      <c r="CU130" s="35" t="n"/>
      <c r="CV130" s="35" t="n"/>
      <c r="CW130" s="35" t="n"/>
      <c r="CX130" s="35" t="n"/>
      <c r="CY130" s="35" t="n"/>
    </row>
    <row r="131">
      <c r="C131" s="14" t="inlineStr">
        <is>
          <t>Taxes</t>
        </is>
      </c>
      <c r="D131" s="46" t="n"/>
      <c r="E131" s="46" t="n"/>
      <c r="F131" s="46" t="n"/>
      <c r="G131" s="46" t="n"/>
      <c r="H131" s="12" t="n"/>
      <c r="I131" s="46">
        <f>'Inputs (2)'!D10</f>
        <v>-7.95627467</v>
      </c>
      <c r="J131" s="46">
        <f>'Inputs (2)'!E10</f>
        <v>-9.44827005</v>
      </c>
      <c r="K131" s="46">
        <f>'Inputs (2)'!F10</f>
        <v>-8.25454538</v>
      </c>
      <c r="L131" s="46">
        <f>'Inputs (2)'!G10</f>
        <v>-9.90406024</v>
      </c>
      <c r="M131" s="12">
        <f>'Inputs (2)'!H10</f>
        <v>-35.56315034</v>
      </c>
      <c r="N131" s="46">
        <f>'Inputs (2)'!I10</f>
        <v>-9.805</v>
      </c>
      <c r="O131" s="46">
        <f>'Inputs (2)'!J10</f>
        <v>-12.572</v>
      </c>
      <c r="P131" s="46">
        <f>'Inputs (2)'!K10</f>
        <v>-12.246</v>
      </c>
      <c r="Q131" s="46">
        <f>'Inputs (2)'!L10</f>
        <v>-11.224</v>
      </c>
      <c r="R131" s="12">
        <f>'Inputs (2)'!M10</f>
        <v>-45.847</v>
      </c>
      <c r="S131" s="46">
        <f>'Inputs (2)'!N10</f>
        <v>-11.335</v>
      </c>
      <c r="T131" s="46">
        <f>'Inputs (2)'!O10</f>
        <v>-13.564</v>
      </c>
      <c r="U131" s="46">
        <f>'Inputs (2)'!P10</f>
        <v>-11.09137998</v>
      </c>
      <c r="V131" s="46">
        <f>'Inputs (2)'!Q10</f>
        <v>-13.991</v>
      </c>
      <c r="W131" s="12">
        <f>'Inputs (2)'!R10</f>
        <v>-49.98137998</v>
      </c>
      <c r="X131" s="46">
        <f>'Inputs (2)'!S10</f>
        <v>-12.42335943</v>
      </c>
      <c r="Y131" s="46">
        <f>'Inputs (2)'!T10</f>
        <v>-14.901</v>
      </c>
      <c r="Z131" s="46">
        <f>'Inputs (2)'!U10</f>
        <v>-19.76109439</v>
      </c>
      <c r="AA131" s="46">
        <f>'Inputs (2)'!V10</f>
        <v>-17.545</v>
      </c>
      <c r="AB131" s="12">
        <f>'Inputs (2)'!W10</f>
        <v>-64.63045382</v>
      </c>
      <c r="AC131" s="46">
        <f>'Inputs (2)'!X10</f>
        <v>-21.109</v>
      </c>
      <c r="AD131" s="46">
        <f>'Inputs (2)'!Y10</f>
        <v>-22.538</v>
      </c>
      <c r="AE131" s="46">
        <f>'Inputs (2)'!Z10</f>
        <v>-27.4</v>
      </c>
      <c r="AF131" s="46">
        <f>'Inputs (2)'!AA10</f>
        <v>-27.756</v>
      </c>
      <c r="AG131" s="12">
        <f>'Inputs (2)'!AB10</f>
        <v>-98.803</v>
      </c>
      <c r="AH131" s="12">
        <f>'Inputs (2)'!AC10</f>
        <v>-24.472</v>
      </c>
      <c r="AI131" s="12">
        <f>'Inputs (2)'!AD10</f>
        <v>-27.13792971</v>
      </c>
      <c r="AJ131" s="12">
        <f>-AJ130*AJ132</f>
        <v>-45.9122316825121</v>
      </c>
      <c r="AK131" s="12">
        <f>-AK130*AK132</f>
        <v>-48.6094919710402</v>
      </c>
      <c r="AL131" s="12">
        <f>SUM(AH131:AK131)</f>
        <v>-146.131653363552</v>
      </c>
      <c r="AM131" s="12">
        <f>-AM130*AM132</f>
        <v>-46.1780716262683</v>
      </c>
      <c r="AN131" s="12">
        <f>-AN130*AN132</f>
        <v>-50.7278841958822</v>
      </c>
      <c r="AO131" s="12">
        <f>-AO130*AO132</f>
        <v>-58.9102405810457</v>
      </c>
      <c r="AP131" s="12">
        <f>-AP130*AP132</f>
        <v>-62.3711103032077</v>
      </c>
      <c r="AQ131" s="12">
        <f>SUM(AM131:AP131)</f>
        <v>-218.187306706404</v>
      </c>
      <c r="AR131" s="12">
        <f>-AR130*AR132</f>
        <v>-59.0204509376655</v>
      </c>
      <c r="AS131" s="12">
        <f>-AS130*AS132</f>
        <v>-64.8355917628125</v>
      </c>
      <c r="AT131" s="12">
        <f>-AT130*AT132</f>
        <v>-75.2935071017962</v>
      </c>
      <c r="AU131" s="12">
        <f>-AU130*AU132</f>
        <v>-79.7168639992357</v>
      </c>
      <c r="AV131" s="12">
        <f>SUM(AR131:AU131)</f>
        <v>-278.86641380151</v>
      </c>
      <c r="AW131" s="12">
        <f>-AW130*AW132</f>
        <v>-75.1392653186829</v>
      </c>
      <c r="AX131" s="12">
        <f>-AX130*AX132</f>
        <v>-82.5425535413991</v>
      </c>
      <c r="AY131" s="12">
        <f>-AY130*AY132</f>
        <v>-95.8565838961679</v>
      </c>
      <c r="AZ131" s="12">
        <f>-AZ130*AZ132</f>
        <v>-101.487984236822</v>
      </c>
      <c r="BA131" s="12">
        <f>SUM(AW131:AZ131)</f>
        <v>-355.026386993072</v>
      </c>
      <c r="BB131" s="12">
        <f>-BB130*BB132</f>
        <v>-95.284521495096</v>
      </c>
      <c r="BC131" s="12">
        <f>-BC130*BC132</f>
        <v>-104.672672587603</v>
      </c>
      <c r="BD131" s="12">
        <f>-BD130*BD132</f>
        <v>-121.556268749275</v>
      </c>
      <c r="BE131" s="12">
        <f>-BE130*BE132</f>
        <v>-128.697478934533</v>
      </c>
      <c r="BF131" s="12">
        <f>SUM(BB131:BE131)</f>
        <v>-450.210941766507</v>
      </c>
      <c r="BG131" s="12" t="n"/>
      <c r="BH131" s="12" t="n"/>
      <c r="BI131" s="12" t="n"/>
      <c r="BJ131" s="12" t="n"/>
      <c r="BK131" s="12" t="n"/>
      <c r="BL131" s="12" t="n"/>
      <c r="BM131" s="12" t="n"/>
      <c r="BN131" s="12" t="n"/>
      <c r="BO131" s="12" t="n"/>
      <c r="BP131" s="12" t="n"/>
      <c r="BQ131" s="12" t="n"/>
      <c r="BR131" s="12" t="n"/>
      <c r="BS131" s="12" t="n"/>
      <c r="BT131" s="12" t="n"/>
      <c r="BU131" s="12" t="n"/>
      <c r="BV131" s="12" t="n"/>
      <c r="BW131" s="12" t="n"/>
      <c r="BX131" s="12" t="n"/>
      <c r="BY131" s="12" t="n"/>
      <c r="BZ131" s="12" t="n"/>
      <c r="CA131" s="12" t="n"/>
      <c r="CB131" s="12" t="n"/>
      <c r="CC131" s="12" t="n"/>
      <c r="CD131" s="12" t="n"/>
      <c r="CE131" s="12" t="n"/>
      <c r="CF131" s="12" t="n"/>
      <c r="CG131" s="12" t="n"/>
      <c r="CH131" s="12" t="n"/>
      <c r="CI131" s="12" t="n"/>
      <c r="CJ131" s="12" t="n"/>
      <c r="CK131" s="12" t="n"/>
      <c r="CL131" s="12" t="n"/>
      <c r="CM131" s="12" t="n"/>
      <c r="CN131" s="12" t="n"/>
      <c r="CO131" s="12" t="n"/>
      <c r="CP131" s="12" t="n"/>
      <c r="CQ131" s="12" t="n"/>
      <c r="CR131" s="12" t="n"/>
      <c r="CS131" s="12" t="n"/>
      <c r="CT131" s="12" t="n"/>
      <c r="CU131" s="12" t="n"/>
      <c r="CV131" s="12" t="n"/>
      <c r="CW131" s="12" t="n"/>
      <c r="CX131" s="12" t="n"/>
      <c r="CY131" s="12" t="n"/>
    </row>
    <row r="132" hidden="1" outlineLevel="1">
      <c r="C132" s="57" t="inlineStr">
        <is>
          <t>% ETR</t>
        </is>
      </c>
      <c r="D132" s="53" t="n"/>
      <c r="E132" s="53" t="n"/>
      <c r="F132" s="53" t="n"/>
      <c r="G132" s="53" t="n"/>
      <c r="H132" s="53" t="n"/>
      <c r="I132" s="53">
        <f>IFERROR(-I131/I130,"")</f>
        <v>0.193894983273547</v>
      </c>
      <c r="J132" s="53">
        <f>IFERROR(-J131/J130,"")</f>
        <v>0.157950884168586</v>
      </c>
      <c r="K132" s="53">
        <f>IFERROR(-K131/K130,"")</f>
        <v>0.135030255956951</v>
      </c>
      <c r="L132" s="53">
        <f>IFERROR(-L131/L130,"")</f>
        <v>0.19974251329863</v>
      </c>
      <c r="M132" s="53">
        <f>IFERROR(-M131/M130,"")</f>
        <v>0.16809409074302</v>
      </c>
      <c r="N132" s="53">
        <f>IFERROR(-N131/N130,"")</f>
        <v>0.190332912743861</v>
      </c>
      <c r="O132" s="53">
        <f>IFERROR(-O131/O130,"")</f>
        <v>0.282016195966711</v>
      </c>
      <c r="P132" s="53">
        <f>IFERROR(-P131/P130,"")</f>
        <v>0.147721926681866</v>
      </c>
      <c r="Q132" s="53">
        <f>IFERROR(-Q131/Q130,"")</f>
        <v>0.111363568714219</v>
      </c>
      <c r="R132" s="53">
        <f>IFERROR(-R131/R130,"")</f>
        <v>0.163868039173636</v>
      </c>
      <c r="S132" s="53">
        <f>IFERROR(-S131/S130,"")</f>
        <v>0.147502797803399</v>
      </c>
      <c r="T132" s="53">
        <f>IFERROR(-T131/T130,"")</f>
        <v>0.116526206369252</v>
      </c>
      <c r="U132" s="53">
        <f>IFERROR(-U131/U130,"")</f>
        <v>0.143488330273065</v>
      </c>
      <c r="V132" s="53">
        <f>IFERROR(-V131/V130,"")</f>
        <v>0.124241859143423</v>
      </c>
      <c r="W132" s="53">
        <f>IFERROR(-W131/W130,"")</f>
        <v>0.130445828308121</v>
      </c>
      <c r="X132" s="53">
        <f>IFERROR(-X131/X130,"")</f>
        <v>0.0801671304348006</v>
      </c>
      <c r="Y132" s="53">
        <f>IFERROR(-Y131/Y130,"")</f>
        <v>0.0900961364048612</v>
      </c>
      <c r="Z132" s="53">
        <f>IFERROR(-Z131/Z130,"")</f>
        <v>0.106270394316085</v>
      </c>
      <c r="AA132" s="53">
        <f>IFERROR(-AA131/AA130,"")</f>
        <v>0.087961616749055</v>
      </c>
      <c r="AB132" s="53">
        <f>IFERROR(-AB131/AB130,"")</f>
        <v>0.0915742136283483</v>
      </c>
      <c r="AC132" s="53">
        <f>IFERROR(-AC131/AC130,"")</f>
        <v>0.105443247266388</v>
      </c>
      <c r="AD132" s="53">
        <f>IFERROR(-AD131/AD130,"")</f>
        <v>0.0987339554036886</v>
      </c>
      <c r="AE132" s="53">
        <f>IFERROR(-AE131/AE130,"")</f>
        <v>0.0931336059360777</v>
      </c>
      <c r="AF132" s="41">
        <f>IFERROR(-AF131/AF130,"")</f>
        <v>0.0946660800343794</v>
      </c>
      <c r="AG132" s="53">
        <f>IFERROR(-AG131/AG130,"")</f>
        <v>0.0972601620494102</v>
      </c>
      <c r="AH132" s="41">
        <f>IFERROR(-AH131/AH130,"")</f>
        <v>0.0876900033682822</v>
      </c>
      <c r="AI132" s="41">
        <f>IFERROR(-AI131/AI130,"")</f>
        <v>0.102796356435869</v>
      </c>
      <c r="AJ132" s="41">
        <f>Control!$B$22</f>
        <v>0.0970772080741141</v>
      </c>
      <c r="AK132" s="41">
        <f>Control!$B$22</f>
        <v>0.0970772080741141</v>
      </c>
      <c r="AL132" s="53">
        <f>IFERROR(-AL131/AL130,"")</f>
        <v>0.0963454532482335</v>
      </c>
      <c r="AM132" s="41">
        <f>Control!$C$22</f>
        <v>0.0970772080741141</v>
      </c>
      <c r="AN132" s="41">
        <f>Control!$C$22</f>
        <v>0.0970772080741141</v>
      </c>
      <c r="AO132" s="41">
        <f>Control!$C$22</f>
        <v>0.0970772080741141</v>
      </c>
      <c r="AP132" s="41">
        <f>Control!$C$22</f>
        <v>0.0970772080741141</v>
      </c>
      <c r="AQ132" s="53">
        <f>IFERROR(-AQ131/AQ130,"")</f>
        <v>0.0970772080741141</v>
      </c>
      <c r="AR132" s="41">
        <f>Control!$D$22</f>
        <v>0.0970772080741141</v>
      </c>
      <c r="AS132" s="41">
        <f>Control!$D$22</f>
        <v>0.0970772080741141</v>
      </c>
      <c r="AT132" s="41">
        <f>Control!$D$22</f>
        <v>0.0970772080741141</v>
      </c>
      <c r="AU132" s="41">
        <f>Control!$D$22</f>
        <v>0.0970772080741141</v>
      </c>
      <c r="AV132" s="53">
        <f>IFERROR(-AV131/AV130,"")</f>
        <v>0.0970772080741141</v>
      </c>
      <c r="AW132" s="41">
        <f>Control!$E$22</f>
        <v>0.0970772080741141</v>
      </c>
      <c r="AX132" s="41">
        <f>Control!$E$22</f>
        <v>0.0970772080741141</v>
      </c>
      <c r="AY132" s="41">
        <f>Control!$E$22</f>
        <v>0.0970772080741141</v>
      </c>
      <c r="AZ132" s="41">
        <f>Control!$E$22</f>
        <v>0.0970772080741141</v>
      </c>
      <c r="BA132" s="53">
        <f>IFERROR(-BA131/BA130,"")</f>
        <v>0.0970772080741141</v>
      </c>
      <c r="BB132" s="41">
        <f>Control!$F$22</f>
        <v>0.0970772080741141</v>
      </c>
      <c r="BC132" s="41">
        <f>Control!$F$22</f>
        <v>0.0970772080741141</v>
      </c>
      <c r="BD132" s="41">
        <f>Control!$F$22</f>
        <v>0.0970772080741141</v>
      </c>
      <c r="BE132" s="41">
        <f>Control!$F$22</f>
        <v>0.0970772080741141</v>
      </c>
      <c r="BF132" s="53">
        <f>IFERROR(-BF131/BF130,"")</f>
        <v>0.0970772080741141</v>
      </c>
      <c r="BG132" s="41" t="n"/>
      <c r="BH132" s="41" t="n"/>
      <c r="BI132" s="41" t="n"/>
      <c r="BJ132" s="41" t="n"/>
      <c r="BK132" s="53" t="n"/>
      <c r="BL132" s="41" t="n"/>
      <c r="BM132" s="41" t="n"/>
      <c r="BN132" s="41" t="n"/>
      <c r="BO132" s="41" t="n"/>
      <c r="BP132" s="53" t="n"/>
      <c r="BQ132" s="41" t="n"/>
      <c r="BR132" s="41" t="n"/>
      <c r="BS132" s="41" t="n"/>
      <c r="BT132" s="41" t="n"/>
      <c r="BU132" s="53" t="n"/>
      <c r="BV132" s="41" t="n"/>
      <c r="BW132" s="41" t="n"/>
      <c r="BX132" s="41" t="n"/>
      <c r="BY132" s="41" t="n"/>
      <c r="BZ132" s="53" t="n"/>
      <c r="CA132" s="41" t="n"/>
      <c r="CB132" s="41" t="n"/>
      <c r="CC132" s="41" t="n"/>
      <c r="CD132" s="41" t="n"/>
      <c r="CE132" s="53" t="n"/>
      <c r="CF132" s="41" t="n"/>
      <c r="CG132" s="41" t="n"/>
      <c r="CH132" s="41" t="n"/>
      <c r="CI132" s="41" t="n"/>
      <c r="CJ132" s="53" t="n"/>
      <c r="CK132" s="41" t="n"/>
      <c r="CL132" s="41" t="n"/>
      <c r="CM132" s="41" t="n"/>
      <c r="CN132" s="41" t="n"/>
      <c r="CO132" s="53" t="n"/>
      <c r="CP132" s="41" t="n"/>
      <c r="CQ132" s="41" t="n"/>
      <c r="CR132" s="41" t="n"/>
      <c r="CS132" s="41" t="n"/>
      <c r="CT132" s="53" t="n"/>
      <c r="CU132" s="41" t="n"/>
      <c r="CV132" s="41" t="n"/>
      <c r="CW132" s="41" t="n"/>
      <c r="CX132" s="41" t="n"/>
      <c r="CY132" s="53" t="n"/>
    </row>
    <row r="133" hidden="1" outlineLevel="1">
      <c r="C133" s="57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2" t="n"/>
      <c r="Z133" s="12" t="n"/>
      <c r="AA133" s="12" t="n"/>
      <c r="AB133" s="12" t="n"/>
      <c r="AC133" s="12" t="n"/>
      <c r="AD133" s="12" t="n"/>
      <c r="AE133" s="12" t="n"/>
      <c r="AF133" s="12" t="n"/>
      <c r="AG133" s="12" t="n"/>
      <c r="AH133" s="12" t="n"/>
      <c r="AI133" s="12" t="n"/>
      <c r="AJ133" s="12" t="n"/>
      <c r="AK133" s="12" t="n"/>
      <c r="AL133" s="12" t="n"/>
      <c r="AM133" s="12" t="n"/>
      <c r="AN133" s="12" t="n"/>
      <c r="AO133" s="12" t="n"/>
      <c r="AP133" s="12" t="n"/>
      <c r="AQ133" s="12" t="n"/>
      <c r="AR133" s="12" t="n"/>
      <c r="AS133" s="12" t="n"/>
      <c r="AT133" s="12" t="n"/>
      <c r="AU133" s="12" t="n"/>
      <c r="AV133" s="12" t="n"/>
      <c r="AW133" s="12" t="n"/>
      <c r="AX133" s="12" t="n"/>
      <c r="AY133" s="12" t="n"/>
      <c r="AZ133" s="12" t="n"/>
      <c r="BA133" s="12" t="n"/>
      <c r="BB133" s="12" t="n"/>
      <c r="BC133" s="12" t="n"/>
      <c r="BD133" s="12" t="n"/>
      <c r="BE133" s="12" t="n"/>
      <c r="BF133" s="12" t="n"/>
      <c r="BG133" s="12" t="n"/>
      <c r="BH133" s="12" t="n"/>
      <c r="BI133" s="12" t="n"/>
      <c r="BJ133" s="12" t="n"/>
      <c r="BK133" s="12" t="n"/>
      <c r="BL133" s="12" t="n"/>
      <c r="BM133" s="12" t="n"/>
      <c r="BN133" s="12" t="n"/>
      <c r="BO133" s="12" t="n"/>
      <c r="BP133" s="12" t="n"/>
      <c r="BQ133" s="12" t="n"/>
      <c r="BR133" s="12" t="n"/>
      <c r="BS133" s="12" t="n"/>
      <c r="BT133" s="12" t="n"/>
      <c r="BU133" s="12" t="n"/>
      <c r="BV133" s="12" t="n"/>
      <c r="BW133" s="12" t="n"/>
      <c r="BX133" s="12" t="n"/>
      <c r="BY133" s="12" t="n"/>
      <c r="BZ133" s="12" t="n"/>
      <c r="CA133" s="12" t="n"/>
      <c r="CB133" s="12" t="n"/>
      <c r="CC133" s="12" t="n"/>
      <c r="CD133" s="12" t="n"/>
      <c r="CE133" s="12" t="n"/>
      <c r="CF133" s="12" t="n"/>
      <c r="CG133" s="12" t="n"/>
      <c r="CH133" s="12" t="n"/>
      <c r="CI133" s="12" t="n"/>
      <c r="CJ133" s="12" t="n"/>
      <c r="CK133" s="12" t="n"/>
      <c r="CL133" s="12" t="n"/>
      <c r="CM133" s="12" t="n"/>
      <c r="CN133" s="12" t="n"/>
      <c r="CO133" s="12" t="n"/>
      <c r="CP133" s="12" t="n"/>
      <c r="CQ133" s="12" t="n"/>
      <c r="CR133" s="12" t="n"/>
      <c r="CS133" s="12" t="n"/>
      <c r="CT133" s="12" t="n"/>
      <c r="CU133" s="12" t="n"/>
      <c r="CV133" s="12" t="n"/>
      <c r="CW133" s="12" t="n"/>
      <c r="CX133" s="12" t="n"/>
      <c r="CY133" s="12" t="n"/>
    </row>
    <row r="134" hidden="1" outlineLevel="1">
      <c r="C134" s="57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  <c r="Q134" s="12" t="n"/>
      <c r="R134" s="12" t="n"/>
      <c r="S134" s="12" t="n"/>
      <c r="T134" s="12" t="n"/>
      <c r="U134" s="12" t="n"/>
      <c r="V134" s="12" t="n"/>
      <c r="W134" s="12" t="n"/>
      <c r="X134" s="12" t="n"/>
      <c r="Y134" s="12" t="n"/>
      <c r="Z134" s="12" t="n"/>
      <c r="AA134" s="12" t="n"/>
      <c r="AB134" s="12" t="n"/>
      <c r="AC134" s="12" t="n"/>
      <c r="AD134" s="12" t="n"/>
      <c r="AE134" s="12" t="n"/>
      <c r="AF134" s="12" t="n"/>
      <c r="AG134" s="12" t="n"/>
      <c r="AH134" s="12" t="n"/>
      <c r="AI134" s="12" t="n"/>
      <c r="AJ134" s="12" t="n"/>
      <c r="AK134" s="12" t="n"/>
      <c r="AL134" s="12" t="n"/>
      <c r="AM134" s="12" t="n"/>
      <c r="AN134" s="12" t="n"/>
      <c r="AO134" s="12" t="n"/>
      <c r="AP134" s="12" t="n"/>
      <c r="AQ134" s="12" t="n"/>
      <c r="AR134" s="12" t="n"/>
      <c r="AS134" s="12" t="n"/>
      <c r="AT134" s="12" t="n"/>
      <c r="AU134" s="12" t="n"/>
      <c r="AV134" s="12" t="n"/>
      <c r="AW134" s="12" t="n"/>
      <c r="AX134" s="12" t="n"/>
      <c r="AY134" s="12" t="n"/>
      <c r="AZ134" s="12" t="n"/>
      <c r="BA134" s="12" t="n"/>
      <c r="BB134" s="12" t="n"/>
      <c r="BC134" s="12" t="n"/>
      <c r="BD134" s="12" t="n"/>
      <c r="BE134" s="12" t="n"/>
      <c r="BF134" s="12" t="n"/>
      <c r="BG134" s="12" t="n"/>
      <c r="BH134" s="12" t="n"/>
      <c r="BI134" s="12" t="n"/>
      <c r="BJ134" s="12" t="n"/>
      <c r="BK134" s="12" t="n"/>
      <c r="BL134" s="12" t="n"/>
      <c r="BM134" s="12" t="n"/>
      <c r="BN134" s="12" t="n"/>
      <c r="BO134" s="12" t="n"/>
      <c r="BP134" s="12" t="n"/>
      <c r="BQ134" s="12" t="n"/>
      <c r="BR134" s="12" t="n"/>
      <c r="BS134" s="12" t="n"/>
      <c r="BT134" s="12" t="n"/>
      <c r="BU134" s="12" t="n"/>
      <c r="BV134" s="12" t="n"/>
      <c r="BW134" s="12" t="n"/>
      <c r="BX134" s="12" t="n"/>
      <c r="BY134" s="12" t="n"/>
      <c r="BZ134" s="12" t="n"/>
      <c r="CA134" s="12" t="n"/>
      <c r="CB134" s="12" t="n"/>
      <c r="CC134" s="12" t="n"/>
      <c r="CD134" s="12" t="n"/>
      <c r="CE134" s="12" t="n"/>
      <c r="CF134" s="12" t="n"/>
      <c r="CG134" s="12" t="n"/>
      <c r="CH134" s="12" t="n"/>
      <c r="CI134" s="12" t="n"/>
      <c r="CJ134" s="12" t="n"/>
      <c r="CK134" s="12" t="n"/>
      <c r="CL134" s="12" t="n"/>
      <c r="CM134" s="12" t="n"/>
      <c r="CN134" s="12" t="n"/>
      <c r="CO134" s="12" t="n"/>
      <c r="CP134" s="12" t="n"/>
      <c r="CQ134" s="12" t="n"/>
      <c r="CR134" s="12" t="n"/>
      <c r="CS134" s="12" t="n"/>
      <c r="CT134" s="12" t="n"/>
      <c r="CU134" s="12" t="n"/>
      <c r="CV134" s="12" t="n"/>
      <c r="CW134" s="12" t="n"/>
      <c r="CX134" s="12" t="n"/>
      <c r="CY134" s="12" t="n"/>
    </row>
    <row r="135" collapsed="1">
      <c r="C135" s="14" t="inlineStr">
        <is>
          <t>Equity in Income of Affiliates, after tax (enter as +)</t>
        </is>
      </c>
      <c r="D135" s="46" t="n"/>
      <c r="E135" s="46" t="n"/>
      <c r="F135" s="46" t="n"/>
      <c r="G135" s="46" t="n"/>
      <c r="H135" s="12" t="n"/>
      <c r="I135" s="46">
        <f>'Inputs (2)'!D11</f>
        <v>2.701391939</v>
      </c>
      <c r="J135" s="46">
        <f>'Inputs (2)'!E11</f>
        <v>2.536545302</v>
      </c>
      <c r="K135" s="46">
        <f>'Inputs (2)'!F11</f>
        <v>6.060006937</v>
      </c>
      <c r="L135" s="46">
        <f>'Inputs (2)'!G11</f>
        <v>6.261055822</v>
      </c>
      <c r="M135" s="12">
        <f>'Inputs (2)'!H11</f>
        <v>17.559</v>
      </c>
      <c r="N135" s="46">
        <f>'Inputs (2)'!I11</f>
        <v>3.531</v>
      </c>
      <c r="O135" s="46">
        <f>'Inputs (2)'!J11</f>
        <v>4.86</v>
      </c>
      <c r="P135" s="46">
        <f>'Inputs (2)'!K11</f>
        <v>8.302</v>
      </c>
      <c r="Q135" s="46">
        <f>'Inputs (2)'!L11</f>
        <v>5.065</v>
      </c>
      <c r="R135" s="12">
        <f>'Inputs (2)'!M11</f>
        <v>21.758</v>
      </c>
      <c r="S135" s="46">
        <f>'Inputs (2)'!N11</f>
        <v>6.754</v>
      </c>
      <c r="T135" s="46">
        <f>'Inputs (2)'!O11</f>
        <v>11.933</v>
      </c>
      <c r="U135" s="46">
        <f>'Inputs (2)'!P11</f>
        <v>19.66919318</v>
      </c>
      <c r="V135" s="46">
        <f>'Inputs (2)'!Q11</f>
        <v>15.345</v>
      </c>
      <c r="W135" s="12">
        <f>'Inputs (2)'!R11</f>
        <v>53.70119318</v>
      </c>
      <c r="X135" s="46">
        <f>'Inputs (2)'!S11</f>
        <v>26.45298203</v>
      </c>
      <c r="Y135" s="46">
        <f>'Inputs (2)'!T11</f>
        <v>19.423</v>
      </c>
      <c r="Z135" s="46">
        <f>'Inputs (2)'!U11</f>
        <v>18.5</v>
      </c>
      <c r="AA135" s="46">
        <f>'Inputs (2)'!V11</f>
        <v>22.152</v>
      </c>
      <c r="AB135" s="12">
        <f>'Inputs (2)'!W11</f>
        <v>86.52798203</v>
      </c>
      <c r="AC135" s="46">
        <f>'Inputs (2)'!X11</f>
        <v>12.368</v>
      </c>
      <c r="AD135" s="46">
        <f>'Inputs (2)'!Y11</f>
        <v>14.911</v>
      </c>
      <c r="AE135" s="46">
        <f>'Inputs (2)'!Z11</f>
        <v>16.173</v>
      </c>
      <c r="AF135" s="46">
        <f>'Inputs (2)'!AA11</f>
        <v>19.179</v>
      </c>
      <c r="AG135" s="12">
        <f>'Inputs (2)'!AB11</f>
        <v>62.631</v>
      </c>
      <c r="AH135" s="12">
        <f>'Inputs (2)'!AC11</f>
        <v>12.932</v>
      </c>
      <c r="AI135" s="12">
        <f>'Inputs (2)'!AD11</f>
        <v>18.568</v>
      </c>
      <c r="AJ135" s="12">
        <f>0</f>
        <v>0</v>
      </c>
      <c r="AK135" s="12">
        <f>0</f>
        <v>0</v>
      </c>
      <c r="AL135" s="12">
        <f>SUM(AH135:AK135)</f>
        <v>31.5</v>
      </c>
      <c r="AM135" s="12">
        <f>0</f>
        <v>0</v>
      </c>
      <c r="AN135" s="12">
        <f>0</f>
        <v>0</v>
      </c>
      <c r="AO135" s="12">
        <f>0</f>
        <v>0</v>
      </c>
      <c r="AP135" s="12">
        <f>0</f>
        <v>0</v>
      </c>
      <c r="AQ135" s="12">
        <f>SUM(AM135:AP135)</f>
        <v>0</v>
      </c>
      <c r="AR135" s="12">
        <f>0</f>
        <v>0</v>
      </c>
      <c r="AS135" s="12">
        <f>0</f>
        <v>0</v>
      </c>
      <c r="AT135" s="12">
        <f>0</f>
        <v>0</v>
      </c>
      <c r="AU135" s="12">
        <f>0</f>
        <v>0</v>
      </c>
      <c r="AV135" s="12">
        <f>SUM(AR135:AU135)</f>
        <v>0</v>
      </c>
      <c r="AW135" s="12">
        <f>0</f>
        <v>0</v>
      </c>
      <c r="AX135" s="12">
        <f>0</f>
        <v>0</v>
      </c>
      <c r="AY135" s="12">
        <f>0</f>
        <v>0</v>
      </c>
      <c r="AZ135" s="12">
        <f>0</f>
        <v>0</v>
      </c>
      <c r="BA135" s="12">
        <f>SUM(AW135:AZ135)</f>
        <v>0</v>
      </c>
      <c r="BB135" s="12">
        <f>0</f>
        <v>0</v>
      </c>
      <c r="BC135" s="12">
        <f>0</f>
        <v>0</v>
      </c>
      <c r="BD135" s="12">
        <f>0</f>
        <v>0</v>
      </c>
      <c r="BE135" s="12">
        <f>0</f>
        <v>0</v>
      </c>
      <c r="BF135" s="12">
        <f>SUM(BB135:BE135)</f>
        <v>0</v>
      </c>
      <c r="BG135" s="12" t="n"/>
      <c r="BH135" s="12" t="n"/>
      <c r="BI135" s="12" t="n"/>
      <c r="BJ135" s="12" t="n"/>
      <c r="BK135" s="12" t="n"/>
      <c r="BL135" s="12" t="n"/>
      <c r="BM135" s="12" t="n"/>
      <c r="BN135" s="12" t="n"/>
      <c r="BO135" s="12" t="n"/>
      <c r="BP135" s="12" t="n"/>
      <c r="BQ135" s="12" t="n"/>
      <c r="BR135" s="12" t="n"/>
      <c r="BS135" s="12" t="n"/>
      <c r="BT135" s="12" t="n"/>
      <c r="BU135" s="12" t="n"/>
      <c r="BV135" s="12" t="n"/>
      <c r="BW135" s="12" t="n"/>
      <c r="BX135" s="12" t="n"/>
      <c r="BY135" s="12" t="n"/>
      <c r="BZ135" s="12" t="n"/>
      <c r="CA135" s="12" t="n"/>
      <c r="CB135" s="12" t="n"/>
      <c r="CC135" s="12" t="n"/>
      <c r="CD135" s="12" t="n"/>
      <c r="CE135" s="12" t="n"/>
      <c r="CF135" s="12" t="n"/>
      <c r="CG135" s="12" t="n"/>
      <c r="CH135" s="12" t="n"/>
      <c r="CI135" s="12" t="n"/>
      <c r="CJ135" s="12" t="n"/>
      <c r="CK135" s="12" t="n"/>
      <c r="CL135" s="12" t="n"/>
      <c r="CM135" s="12" t="n"/>
      <c r="CN135" s="12" t="n"/>
      <c r="CO135" s="12" t="n"/>
      <c r="CP135" s="12" t="n"/>
      <c r="CQ135" s="12" t="n"/>
      <c r="CR135" s="12" t="n"/>
      <c r="CS135" s="12" t="n"/>
      <c r="CT135" s="12" t="n"/>
      <c r="CU135" s="12" t="n"/>
      <c r="CV135" s="12" t="n"/>
      <c r="CW135" s="12" t="n"/>
      <c r="CX135" s="12" t="n"/>
      <c r="CY135" s="12" t="n"/>
    </row>
    <row r="136">
      <c r="C136" s="14" t="inlineStr">
        <is>
          <t>Minority Interest Expense, after tax (enter as - )</t>
        </is>
      </c>
      <c r="D136" s="46" t="n"/>
      <c r="E136" s="46" t="n"/>
      <c r="F136" s="46" t="n"/>
      <c r="G136" s="46" t="n"/>
      <c r="H136" s="12" t="n"/>
      <c r="I136" s="46">
        <f>'Inputs (2)'!D12</f>
        <v>-8.967411407</v>
      </c>
      <c r="J136" s="46">
        <f>'Inputs (2)'!E12</f>
        <v>-12.282841155</v>
      </c>
      <c r="K136" s="46">
        <f>'Inputs (2)'!F12</f>
        <v>-11.726429863</v>
      </c>
      <c r="L136" s="46">
        <f>'Inputs (2)'!G12</f>
        <v>-13.982317574</v>
      </c>
      <c r="M136" s="12">
        <f>'Inputs (2)'!H12</f>
        <v>-46.958999999</v>
      </c>
      <c r="N136" s="46">
        <f>'Inputs (2)'!I12</f>
        <v>-18.534</v>
      </c>
      <c r="O136" s="46">
        <f>'Inputs (2)'!J12</f>
        <v>-14.431</v>
      </c>
      <c r="P136" s="46">
        <f>'Inputs (2)'!K12</f>
        <v>-16.681</v>
      </c>
      <c r="Q136" s="46">
        <f>'Inputs (2)'!L12</f>
        <v>-16.023</v>
      </c>
      <c r="R136" s="12">
        <f>'Inputs (2)'!M12</f>
        <v>-65.669</v>
      </c>
      <c r="S136" s="46">
        <f>'Inputs (2)'!N12</f>
        <v>-13.511</v>
      </c>
      <c r="T136" s="46">
        <f>'Inputs (2)'!O12</f>
        <v>-10.333</v>
      </c>
      <c r="U136" s="46">
        <f>'Inputs (2)'!P12</f>
        <v>-17.112</v>
      </c>
      <c r="V136" s="46">
        <f>'Inputs (2)'!Q12</f>
        <v>-14.359</v>
      </c>
      <c r="W136" s="12">
        <f>'Inputs (2)'!R12</f>
        <v>-55.315</v>
      </c>
      <c r="X136" s="46">
        <f>'Inputs (2)'!S12</f>
        <v>-18.71316342</v>
      </c>
      <c r="Y136" s="46">
        <f>'Inputs (2)'!T12</f>
        <v>-23.743</v>
      </c>
      <c r="Z136" s="46">
        <f>'Inputs (2)'!U12</f>
        <v>-24.226</v>
      </c>
      <c r="AA136" s="46">
        <f>'Inputs (2)'!V12</f>
        <v>-22.608</v>
      </c>
      <c r="AB136" s="12">
        <f>'Inputs (2)'!W12</f>
        <v>-89.29016342</v>
      </c>
      <c r="AC136" s="46">
        <f>'Inputs (2)'!X12</f>
        <v>-26.936</v>
      </c>
      <c r="AD136" s="46">
        <f>'Inputs (2)'!Y12</f>
        <v>-36.901</v>
      </c>
      <c r="AE136" s="46">
        <f>'Inputs (2)'!Z12</f>
        <v>-53.322</v>
      </c>
      <c r="AF136" s="46">
        <f>'Inputs (2)'!AA12</f>
        <v>-73.191</v>
      </c>
      <c r="AG136" s="12">
        <f>'Inputs (2)'!AB12</f>
        <v>-190.35</v>
      </c>
      <c r="AH136" s="12">
        <f>'Inputs (2)'!AC12</f>
        <v>-54.374</v>
      </c>
      <c r="AI136" s="12">
        <f>'Inputs (2)'!AD12</f>
        <v>-53.778</v>
      </c>
      <c r="AJ136" s="12">
        <f>0</f>
        <v>0</v>
      </c>
      <c r="AK136" s="12">
        <f>0</f>
        <v>0</v>
      </c>
      <c r="AL136" s="12">
        <f>SUM(AH136:AK136)</f>
        <v>-108.152</v>
      </c>
      <c r="AM136" s="12">
        <f>0</f>
        <v>0</v>
      </c>
      <c r="AN136" s="12">
        <f>0</f>
        <v>0</v>
      </c>
      <c r="AO136" s="12">
        <f>0</f>
        <v>0</v>
      </c>
      <c r="AP136" s="12">
        <f>0</f>
        <v>0</v>
      </c>
      <c r="AQ136" s="12">
        <f>SUM(AM136:AP136)</f>
        <v>0</v>
      </c>
      <c r="AR136" s="12">
        <f>0</f>
        <v>0</v>
      </c>
      <c r="AS136" s="12">
        <f>0</f>
        <v>0</v>
      </c>
      <c r="AT136" s="12">
        <f>0</f>
        <v>0</v>
      </c>
      <c r="AU136" s="12">
        <f>0</f>
        <v>0</v>
      </c>
      <c r="AV136" s="12">
        <f>SUM(AR136:AU136)</f>
        <v>0</v>
      </c>
      <c r="AW136" s="12">
        <f>0</f>
        <v>0</v>
      </c>
      <c r="AX136" s="12">
        <f>0</f>
        <v>0</v>
      </c>
      <c r="AY136" s="12">
        <f>0</f>
        <v>0</v>
      </c>
      <c r="AZ136" s="12">
        <f>0</f>
        <v>0</v>
      </c>
      <c r="BA136" s="12">
        <f>SUM(AW136:AZ136)</f>
        <v>0</v>
      </c>
      <c r="BB136" s="12">
        <f>0</f>
        <v>0</v>
      </c>
      <c r="BC136" s="12">
        <f>0</f>
        <v>0</v>
      </c>
      <c r="BD136" s="12">
        <f>0</f>
        <v>0</v>
      </c>
      <c r="BE136" s="12">
        <f>0</f>
        <v>0</v>
      </c>
      <c r="BF136" s="12">
        <f>SUM(BB136:BE136)</f>
        <v>0</v>
      </c>
      <c r="BG136" s="12" t="n"/>
      <c r="BH136" s="12" t="n"/>
      <c r="BI136" s="12" t="n"/>
      <c r="BJ136" s="12" t="n"/>
      <c r="BK136" s="12" t="n"/>
      <c r="BL136" s="12" t="n"/>
      <c r="BM136" s="12" t="n"/>
      <c r="BN136" s="12" t="n"/>
      <c r="BO136" s="12" t="n"/>
      <c r="BP136" s="12" t="n"/>
      <c r="BQ136" s="12" t="n"/>
      <c r="BR136" s="12" t="n"/>
      <c r="BS136" s="12" t="n"/>
      <c r="BT136" s="12" t="n"/>
      <c r="BU136" s="12" t="n"/>
      <c r="BV136" s="12" t="n"/>
      <c r="BW136" s="12" t="n"/>
      <c r="BX136" s="12" t="n"/>
      <c r="BY136" s="12" t="n"/>
      <c r="BZ136" s="12" t="n"/>
      <c r="CA136" s="12" t="n"/>
      <c r="CB136" s="12" t="n"/>
      <c r="CC136" s="12" t="n"/>
      <c r="CD136" s="12" t="n"/>
      <c r="CE136" s="12" t="n"/>
      <c r="CF136" s="12" t="n"/>
      <c r="CG136" s="12" t="n"/>
      <c r="CH136" s="12" t="n"/>
      <c r="CI136" s="12" t="n"/>
      <c r="CJ136" s="12" t="n"/>
      <c r="CK136" s="12" t="n"/>
      <c r="CL136" s="12" t="n"/>
      <c r="CM136" s="12" t="n"/>
      <c r="CN136" s="12" t="n"/>
      <c r="CO136" s="12" t="n"/>
      <c r="CP136" s="12" t="n"/>
      <c r="CQ136" s="12" t="n"/>
      <c r="CR136" s="12" t="n"/>
      <c r="CS136" s="12" t="n"/>
      <c r="CT136" s="12" t="n"/>
      <c r="CU136" s="12" t="n"/>
      <c r="CV136" s="12" t="n"/>
      <c r="CW136" s="12" t="n"/>
      <c r="CX136" s="12" t="n"/>
      <c r="CY136" s="12" t="n"/>
    </row>
    <row r="137" customFormat="1" s="32">
      <c r="A137" s="30" t="n"/>
      <c r="B137" s="3" t="n"/>
      <c r="C137" s="33" t="inlineStr">
        <is>
          <t>Net Income</t>
        </is>
      </c>
      <c r="D137" s="35" t="n"/>
      <c r="E137" s="35" t="n"/>
      <c r="F137" s="35" t="n"/>
      <c r="G137" s="35" t="n"/>
      <c r="H137" s="35" t="n"/>
      <c r="I137" s="35">
        <f>SUM(I130,I131,I135,I136)</f>
        <v>26.811643593</v>
      </c>
      <c r="J137" s="35">
        <f>SUM(J130,J131,J135,J136)</f>
        <v>40.623206563</v>
      </c>
      <c r="K137" s="35">
        <f>SUM(K130,K131,K135,K136)</f>
        <v>47.2101116990001</v>
      </c>
      <c r="L137" s="35">
        <f>SUM(L130,L131,L135,L136)</f>
        <v>31.958815488</v>
      </c>
      <c r="M137" s="35">
        <f>SUM(I137:L137)</f>
        <v>146.603777343</v>
      </c>
      <c r="N137" s="35">
        <f>SUM(N130,N131,N135,N136)</f>
        <v>26.707</v>
      </c>
      <c r="O137" s="35">
        <f>SUM(O130,O131,O135,O136)</f>
        <v>22.436</v>
      </c>
      <c r="P137" s="35">
        <f>SUM(P130,P131,P135,P136)</f>
        <v>62.2739999999999</v>
      </c>
      <c r="Q137" s="35">
        <f>SUM(Q130,Q131,Q135,Q136)</f>
        <v>78.605</v>
      </c>
      <c r="R137" s="35">
        <f>SUM(N137:Q137)</f>
        <v>190.022</v>
      </c>
      <c r="S137" s="35">
        <f>SUM(S130,S131,S135,S136)</f>
        <v>58.754</v>
      </c>
      <c r="T137" s="35">
        <f>SUM(T130,T131,T135,T136)</f>
        <v>104.439</v>
      </c>
      <c r="U137" s="35">
        <f>SUM(U130,U131,U135,U136)</f>
        <v>68.7639458</v>
      </c>
      <c r="V137" s="35">
        <f>SUM(V130,V131,V135,V136)</f>
        <v>99.606</v>
      </c>
      <c r="W137" s="35">
        <f>SUM(S137:V137)</f>
        <v>331.5629458</v>
      </c>
      <c r="X137" s="35">
        <f>SUM(X130,X131,X135,X136)</f>
        <v>150.28470318</v>
      </c>
      <c r="Y137" s="35">
        <f>SUM(Y130,Y131,Y135,Y136)</f>
        <v>146.169</v>
      </c>
      <c r="Z137" s="35">
        <f>SUM(Z130,Z131,Z135,Z136)</f>
        <v>160.46398368</v>
      </c>
      <c r="AA137" s="35">
        <f>SUM(AA130,AA131,AA135,AA136)</f>
        <v>181.461</v>
      </c>
      <c r="AB137" s="35">
        <f>SUM(X137:AA137)</f>
        <v>638.37868686</v>
      </c>
      <c r="AC137" s="35">
        <f>SUM(AC130,AC131,AC135,AC136)</f>
        <v>164.516</v>
      </c>
      <c r="AD137" s="35">
        <f>SUM(AD130,AD131,AD135,AD136)</f>
        <v>183.742</v>
      </c>
      <c r="AE137" s="35">
        <f>SUM(AE130,AE131,AE135,AE136)</f>
        <v>229.652</v>
      </c>
      <c r="AF137" s="35">
        <f>SUM(AF130,AF131,AF135,AF136)</f>
        <v>211.431</v>
      </c>
      <c r="AG137" s="35">
        <f>SUM(AC137:AF137)</f>
        <v>789.341</v>
      </c>
      <c r="AH137" s="35">
        <f>SUM(AH130,AH131,AH135,AH136)</f>
        <v>213.16</v>
      </c>
      <c r="AI137" s="35">
        <f>SUM(AI130,AI131,AI135,AI136)</f>
        <v>201.64907029</v>
      </c>
      <c r="AJ137" s="35">
        <f>SUM(AJ130,AJ131,AJ135,AJ136)</f>
        <v>427.033298925045</v>
      </c>
      <c r="AK137" s="35">
        <f>SUM(AK130,AK131,AK135,AK136)</f>
        <v>452.120730244756</v>
      </c>
      <c r="AL137" s="35">
        <f>SUM(AH137:AK137)</f>
        <v>1293.9630994598</v>
      </c>
      <c r="AM137" s="35">
        <f>SUM(AM130,AM131,AM135,AM136)</f>
        <v>429.50589727211</v>
      </c>
      <c r="AN137" s="35">
        <f>SUM(AN130,AN131,AN135,AN136)</f>
        <v>471.82406391076</v>
      </c>
      <c r="AO137" s="35">
        <f>SUM(AO130,AO131,AO135,AO136)</f>
        <v>547.928807942789</v>
      </c>
      <c r="AP137" s="35">
        <f>SUM(AP130,AP131,AP135,AP136)</f>
        <v>580.118631012696</v>
      </c>
      <c r="AQ137" s="35">
        <f>SUM(AM137:AP137)</f>
        <v>2029.37740013835</v>
      </c>
      <c r="AR137" s="35">
        <f>SUM(AR130,AR131,AR135,AR136)</f>
        <v>548.953883188282</v>
      </c>
      <c r="AS137" s="35">
        <f>SUM(AS130,AS131,AS135,AS136)</f>
        <v>603.040968029816</v>
      </c>
      <c r="AT137" s="35">
        <f>SUM(AT130,AT131,AT135,AT136)</f>
        <v>700.310865907293</v>
      </c>
      <c r="AU137" s="35">
        <f>SUM(AU130,AU131,AU135,AU136)</f>
        <v>741.452858335336</v>
      </c>
      <c r="AV137" s="35">
        <f>SUM(AR137:AU137)</f>
        <v>2593.75857546073</v>
      </c>
      <c r="AW137" s="35">
        <f>SUM(AW130,AW131,AW135,AW136)</f>
        <v>698.876250880727</v>
      </c>
      <c r="AX137" s="35">
        <f>SUM(AX130,AX131,AX135,AX136)</f>
        <v>767.734820302949</v>
      </c>
      <c r="AY137" s="35">
        <f>SUM(AY130,AY131,AY135,AY136)</f>
        <v>891.569669885108</v>
      </c>
      <c r="AZ137" s="35">
        <f>SUM(AZ130,AZ131,AZ135,AZ136)</f>
        <v>943.947769944949</v>
      </c>
      <c r="BA137" s="35">
        <f>SUM(AW137:AZ137)</f>
        <v>3302.12851101373</v>
      </c>
      <c r="BB137" s="35">
        <f>SUM(BB130,BB131,BB135,BB136)</f>
        <v>886.248872237762</v>
      </c>
      <c r="BC137" s="35">
        <f>SUM(BC130,BC131,BC135,BC136)</f>
        <v>973.56880823136</v>
      </c>
      <c r="BD137" s="35">
        <f>SUM(BD130,BD131,BD135,BD136)</f>
        <v>1130.60447176638</v>
      </c>
      <c r="BE137" s="35">
        <f>SUM(BE130,BE131,BE135,BE136)</f>
        <v>1197.02543262961</v>
      </c>
      <c r="BF137" s="35">
        <f>SUM(BB137:BE137)</f>
        <v>4187.44758486511</v>
      </c>
      <c r="BG137" s="35" t="n"/>
      <c r="BH137" s="35" t="n"/>
      <c r="BI137" s="35" t="n"/>
      <c r="BJ137" s="35" t="n"/>
      <c r="BK137" s="35" t="n"/>
      <c r="BL137" s="35" t="n"/>
      <c r="BM137" s="35" t="n"/>
      <c r="BN137" s="35" t="n"/>
      <c r="BO137" s="35" t="n"/>
      <c r="BP137" s="35" t="n"/>
      <c r="BQ137" s="35" t="n"/>
      <c r="BR137" s="35" t="n"/>
      <c r="BS137" s="35" t="n"/>
      <c r="BT137" s="35" t="n"/>
      <c r="BU137" s="35" t="n"/>
      <c r="BV137" s="35" t="n"/>
      <c r="BW137" s="35" t="n"/>
      <c r="BX137" s="35" t="n"/>
      <c r="BY137" s="35" t="n"/>
      <c r="BZ137" s="35" t="n"/>
      <c r="CA137" s="35" t="n"/>
      <c r="CB137" s="35" t="n"/>
      <c r="CC137" s="35" t="n"/>
      <c r="CD137" s="35" t="n"/>
      <c r="CE137" s="35" t="n"/>
      <c r="CF137" s="35" t="n"/>
      <c r="CG137" s="35" t="n"/>
      <c r="CH137" s="35" t="n"/>
      <c r="CI137" s="35" t="n"/>
      <c r="CJ137" s="35" t="n"/>
      <c r="CK137" s="35" t="n"/>
      <c r="CL137" s="35" t="n"/>
      <c r="CM137" s="35" t="n"/>
      <c r="CN137" s="35" t="n"/>
      <c r="CO137" s="35" t="n"/>
      <c r="CP137" s="35" t="n"/>
      <c r="CQ137" s="35" t="n"/>
      <c r="CR137" s="35" t="n"/>
      <c r="CS137" s="35" t="n"/>
      <c r="CT137" s="35" t="n"/>
      <c r="CU137" s="35" t="n"/>
      <c r="CV137" s="35" t="n"/>
      <c r="CW137" s="35" t="n"/>
      <c r="CX137" s="35" t="n"/>
      <c r="CY137" s="35" t="n"/>
    </row>
    <row r="138">
      <c r="C138" s="13" t="inlineStr">
        <is>
          <t>Common Dividends</t>
        </is>
      </c>
      <c r="D138" s="46" t="n"/>
      <c r="E138" s="46" t="n"/>
      <c r="F138" s="46" t="n"/>
      <c r="G138" s="46" t="n"/>
      <c r="H138" s="12" t="n"/>
      <c r="I138" s="46">
        <f>'Inputs (2)'!D13</f>
        <v>0</v>
      </c>
      <c r="J138" s="46">
        <f>'Inputs (2)'!E13</f>
        <v>-100.135</v>
      </c>
      <c r="K138" s="46">
        <f>'Inputs (2)'!F13</f>
        <v>-0.012</v>
      </c>
      <c r="L138" s="46">
        <f>'Inputs (2)'!G13</f>
        <v>0</v>
      </c>
      <c r="M138" s="12">
        <f>'Inputs (2)'!H13</f>
        <v>-100.147</v>
      </c>
      <c r="N138" s="46">
        <f>'Inputs (2)'!I13</f>
        <v>-0.001</v>
      </c>
      <c r="O138" s="46">
        <f>'Inputs (2)'!J13</f>
        <v>-0.001</v>
      </c>
      <c r="P138" s="46">
        <f>'Inputs (2)'!K13</f>
        <v>-69.962</v>
      </c>
      <c r="Q138" s="46">
        <f>'Inputs (2)'!L13</f>
        <v>0</v>
      </c>
      <c r="R138" s="12">
        <f>'Inputs (2)'!M13</f>
        <v>-69.964</v>
      </c>
      <c r="S138" s="46">
        <f>'Inputs (2)'!N13</f>
        <v>-104.289</v>
      </c>
      <c r="T138" s="46">
        <f>'Inputs (2)'!O13</f>
        <v>0.002</v>
      </c>
      <c r="U138" s="46">
        <f>'Inputs (2)'!P13</f>
        <v>0</v>
      </c>
      <c r="V138" s="46">
        <f>'Inputs (2)'!Q13</f>
        <v>-0.001</v>
      </c>
      <c r="W138" s="12">
        <f>'Inputs (2)'!R13</f>
        <v>-104.288</v>
      </c>
      <c r="X138" s="46">
        <f>'Inputs (2)'!S13</f>
        <v>-81.165</v>
      </c>
      <c r="Y138" s="46">
        <f>'Inputs (2)'!T13</f>
        <v>0</v>
      </c>
      <c r="Z138" s="46">
        <f>'Inputs (2)'!U13</f>
        <v>-277.205</v>
      </c>
      <c r="AA138" s="46">
        <f>'Inputs (2)'!V13</f>
        <v>-0.009</v>
      </c>
      <c r="AB138" s="12">
        <f>'Inputs (2)'!W13</f>
        <v>-358.379</v>
      </c>
      <c r="AC138" s="46">
        <f>'Inputs (2)'!X13</f>
        <v>-299.399</v>
      </c>
      <c r="AD138" s="46">
        <f>'Inputs (2)'!Y13</f>
        <v>0</v>
      </c>
      <c r="AE138" s="46">
        <f>'Inputs (2)'!Z13</f>
        <v>-346.664</v>
      </c>
      <c r="AF138" s="46">
        <f>'Inputs (2)'!AA13</f>
        <v>-804.708</v>
      </c>
      <c r="AG138" s="12">
        <f>'Inputs (2)'!AB13</f>
        <v>-1450.771</v>
      </c>
      <c r="AH138" s="12">
        <f>'Inputs (2)'!AC13</f>
        <v>-11.897</v>
      </c>
      <c r="AI138" s="12">
        <f>'Inputs (2)'!AD13</f>
        <v>16.41</v>
      </c>
      <c r="AJ138" s="12">
        <f>-MAX(0,AJ137)*Control!$E$15</f>
        <v>0</v>
      </c>
      <c r="AK138" s="12">
        <f>-MAX(0,AK137)*Control!$E$15</f>
        <v>0</v>
      </c>
      <c r="AL138" s="12">
        <f>SUM(AH138:AK138)</f>
        <v>4.513</v>
      </c>
      <c r="AM138" s="12">
        <f>-MAX(0,AM137)*Control!$E$15</f>
        <v>0</v>
      </c>
      <c r="AN138" s="12">
        <f>-MAX(0,AN137)*Control!$E$15</f>
        <v>0</v>
      </c>
      <c r="AO138" s="12">
        <f>-MAX(0,AO137)*Control!$E$15</f>
        <v>0</v>
      </c>
      <c r="AP138" s="12">
        <f>-MAX(0,AP137)*Control!$E$15</f>
        <v>0</v>
      </c>
      <c r="AQ138" s="12">
        <f>SUM(AM138:AP138)</f>
        <v>0</v>
      </c>
      <c r="AR138" s="12">
        <f>-MAX(0,AR137)*Control!$E$15</f>
        <v>0</v>
      </c>
      <c r="AS138" s="12">
        <f>-MAX(0,AS137)*Control!$E$15</f>
        <v>0</v>
      </c>
      <c r="AT138" s="12">
        <f>-MAX(0,AT137)*Control!$E$15</f>
        <v>0</v>
      </c>
      <c r="AU138" s="12">
        <f>-MAX(0,AU137)*Control!$E$15</f>
        <v>0</v>
      </c>
      <c r="AV138" s="12">
        <f>SUM(AR138:AU138)</f>
        <v>0</v>
      </c>
      <c r="AW138" s="12">
        <f>-MAX(0,AW137)*Control!$E$15</f>
        <v>0</v>
      </c>
      <c r="AX138" s="12">
        <f>-MAX(0,AX137)*Control!$E$15</f>
        <v>0</v>
      </c>
      <c r="AY138" s="12">
        <f>-MAX(0,AY137)*Control!$E$15</f>
        <v>0</v>
      </c>
      <c r="AZ138" s="12">
        <f>-MAX(0,AZ137)*Control!$E$15</f>
        <v>0</v>
      </c>
      <c r="BA138" s="12">
        <f>SUM(AW138:AZ138)</f>
        <v>0</v>
      </c>
      <c r="BB138" s="12">
        <f>-MAX(0,BB137)*Control!$E$15</f>
        <v>0</v>
      </c>
      <c r="BC138" s="12">
        <f>-MAX(0,BC137)*Control!$E$15</f>
        <v>0</v>
      </c>
      <c r="BD138" s="12">
        <f>-MAX(0,BD137)*Control!$E$15</f>
        <v>0</v>
      </c>
      <c r="BE138" s="12">
        <f>-MAX(0,BE137)*Control!$E$15</f>
        <v>0</v>
      </c>
      <c r="BF138" s="12">
        <f>SUM(BB138:BE138)</f>
        <v>0</v>
      </c>
      <c r="BG138" s="12" t="n"/>
      <c r="BH138" s="12" t="n"/>
      <c r="BI138" s="12" t="n"/>
      <c r="BJ138" s="12" t="n"/>
      <c r="BK138" s="12" t="n"/>
      <c r="BL138" s="12" t="n"/>
      <c r="BM138" s="12" t="n"/>
      <c r="BN138" s="12" t="n"/>
      <c r="BO138" s="12" t="n"/>
      <c r="BP138" s="12" t="n"/>
      <c r="BQ138" s="12" t="n"/>
      <c r="BR138" s="12" t="n"/>
      <c r="BS138" s="12" t="n"/>
      <c r="BT138" s="12" t="n"/>
      <c r="BU138" s="12" t="n"/>
      <c r="BV138" s="12" t="n"/>
      <c r="BW138" s="12" t="n"/>
      <c r="BX138" s="12" t="n"/>
      <c r="BY138" s="12" t="n"/>
      <c r="BZ138" s="12" t="n"/>
      <c r="CA138" s="12" t="n"/>
      <c r="CB138" s="12" t="n"/>
      <c r="CC138" s="12" t="n"/>
      <c r="CD138" s="12" t="n"/>
      <c r="CE138" s="12" t="n"/>
      <c r="CF138" s="12" t="n"/>
      <c r="CG138" s="12" t="n"/>
      <c r="CH138" s="12" t="n"/>
      <c r="CI138" s="12" t="n"/>
      <c r="CJ138" s="12" t="n"/>
      <c r="CK138" s="12" t="n"/>
      <c r="CL138" s="12" t="n"/>
      <c r="CM138" s="12" t="n"/>
      <c r="CN138" s="12" t="n"/>
      <c r="CO138" s="12" t="n"/>
      <c r="CP138" s="12" t="n"/>
      <c r="CQ138" s="12" t="n"/>
      <c r="CR138" s="12" t="n"/>
      <c r="CS138" s="12" t="n"/>
      <c r="CT138" s="12" t="n"/>
      <c r="CU138" s="12" t="n"/>
      <c r="CV138" s="12" t="n"/>
      <c r="CW138" s="12" t="n"/>
      <c r="CX138" s="12" t="n"/>
      <c r="CY138" s="12" t="n"/>
    </row>
    <row r="139" hidden="1" outlineLevel="1">
      <c r="C139" s="50" t="inlineStr">
        <is>
          <t>% DVD Payout</t>
        </is>
      </c>
      <c r="D139" s="58" t="n"/>
      <c r="E139" s="58" t="n"/>
      <c r="F139" s="58" t="n"/>
      <c r="G139" s="58" t="n"/>
      <c r="H139" s="58" t="n"/>
      <c r="I139" s="58">
        <f>IF(I137=0,"",-I138/I137)</f>
        <v>0</v>
      </c>
      <c r="J139" s="58">
        <f>IF(J137=0,"",-J138/J137)</f>
        <v>2.46497035739183</v>
      </c>
      <c r="K139" s="58">
        <f>IF(K137=0,"",-K138/K137)</f>
        <v>0.000254182834315433</v>
      </c>
      <c r="L139" s="58">
        <f>IF(L137=0,"",-L138/L137)</f>
        <v>0</v>
      </c>
      <c r="M139" s="58">
        <f>IF(M137=0,"",-M138/M137)</f>
        <v>0.683113367302209</v>
      </c>
      <c r="N139" s="58">
        <f>IF(N137=0,"",-N138/N137)</f>
        <v>3.74433669075523e-05</v>
      </c>
      <c r="O139" s="58">
        <f>IF(O137=0,"",-O138/O137)</f>
        <v>4.4571224817258e-05</v>
      </c>
      <c r="P139" s="58">
        <f>IF(P137=0,"",-P138/P137)</f>
        <v>1.12345441115072</v>
      </c>
      <c r="Q139" s="58">
        <f>IF(Q137=0,"",-Q138/Q137)</f>
        <v>0</v>
      </c>
      <c r="R139" s="58">
        <f>IF(R137=0,"",-R138/R137)</f>
        <v>0.368188946543032</v>
      </c>
      <c r="S139" s="58">
        <f>IF(S137=0,"",-S138/S137)</f>
        <v>1.77501106307656</v>
      </c>
      <c r="T139" s="58">
        <f>IF(T137=0,"",-T138/T137)</f>
        <v>-1.91499344114746e-05</v>
      </c>
      <c r="U139" s="58">
        <f>IF(U137=0,"",-U138/U137)</f>
        <v>0</v>
      </c>
      <c r="V139" s="58">
        <f>IF(V137=0,"",-V138/V137)</f>
        <v>1.00395558500492e-05</v>
      </c>
      <c r="W139" s="58">
        <f>IF(W137=0,"",-W138/W137)</f>
        <v>0.31453454410707</v>
      </c>
      <c r="X139" s="58">
        <f>IF(X137=0,"",-X138/X137)</f>
        <v>0.540074926340218</v>
      </c>
      <c r="Y139" s="58">
        <f>IF(Y137=0,"",-Y138/Y137)</f>
        <v>0</v>
      </c>
      <c r="Z139" s="58">
        <f>IF(Z137=0,"",-Z138/Z137)</f>
        <v>1.72752161352797</v>
      </c>
      <c r="AA139" s="58">
        <f>IF(AA137=0,"",-AA138/AA137)</f>
        <v>4.95974341594061e-05</v>
      </c>
      <c r="AB139" s="58">
        <f>IF(AB137=0,"",-AB138/AB137)</f>
        <v>0.561389356155925</v>
      </c>
      <c r="AC139" s="58">
        <f>IF(AC137=0,"",-AC138/AC137)</f>
        <v>1.81987770186486</v>
      </c>
      <c r="AD139" s="58">
        <f>IF(AD137=0,"",-AD138/AD137)</f>
        <v>0</v>
      </c>
      <c r="AE139" s="58">
        <f>IF(AE137=0,"",-AE138/AE137)</f>
        <v>1.50951875010886</v>
      </c>
      <c r="AF139" s="41">
        <f>IF(AF137=0,"",-AF138/AF137)</f>
        <v>3.8060076336961</v>
      </c>
      <c r="AG139" s="12">
        <f>IF(AG137=0,"",-AG138/AG137)</f>
        <v>1.83795216516056</v>
      </c>
      <c r="AH139" s="41">
        <f>IF(AH137=0,"",-AH138/AH137)</f>
        <v>0.0558125351848377</v>
      </c>
      <c r="AI139" s="41">
        <f>IF(AI137=0,"",-AI138/AI137)</f>
        <v>-0.0813790015317208</v>
      </c>
      <c r="AJ139" s="41">
        <f>IF(AJ137=0,"",-AJ138/AJ137)</f>
        <v>0</v>
      </c>
      <c r="AK139" s="41">
        <f>IF(AK137=0,"",-AK138/AK137)</f>
        <v>0</v>
      </c>
      <c r="AL139" s="12">
        <f>IF(AL137=0,"",-AL138/AL137)</f>
        <v>-0.0034877346980637</v>
      </c>
      <c r="AM139" s="41">
        <f>IF(AM137=0,"",-AM138/AM137)</f>
        <v>0</v>
      </c>
      <c r="AN139" s="41">
        <f>IF(AN137=0,"",-AN138/AN137)</f>
        <v>0</v>
      </c>
      <c r="AO139" s="41">
        <f>IF(AO137=0,"",-AO138/AO137)</f>
        <v>0</v>
      </c>
      <c r="AP139" s="41">
        <f>IF(AP137=0,"",-AP138/AP137)</f>
        <v>0</v>
      </c>
      <c r="AQ139" s="12">
        <f>IF(AQ137=0,"",-AQ138/AQ137)</f>
        <v>0</v>
      </c>
      <c r="AR139" s="41">
        <f>IF(AR137=0,"",-AR138/AR137)</f>
        <v>0</v>
      </c>
      <c r="AS139" s="41">
        <f>IF(AS137=0,"",-AS138/AS137)</f>
        <v>0</v>
      </c>
      <c r="AT139" s="41">
        <f>IF(AT137=0,"",-AT138/AT137)</f>
        <v>0</v>
      </c>
      <c r="AU139" s="41">
        <f>IF(AU137=0,"",-AU138/AU137)</f>
        <v>0</v>
      </c>
      <c r="AV139" s="12">
        <f>IF(AV137=0,"",-AV138/AV137)</f>
        <v>0</v>
      </c>
      <c r="AW139" s="41">
        <f>IF(AW137=0,"",-AW138/AW137)</f>
        <v>0</v>
      </c>
      <c r="AX139" s="41">
        <f>IF(AX137=0,"",-AX138/AX137)</f>
        <v>0</v>
      </c>
      <c r="AY139" s="41">
        <f>IF(AY137=0,"",-AY138/AY137)</f>
        <v>0</v>
      </c>
      <c r="AZ139" s="41">
        <f>IF(AZ137=0,"",-AZ138/AZ137)</f>
        <v>0</v>
      </c>
      <c r="BA139" s="12">
        <f>IF(BA137=0,"",-BA138/BA137)</f>
        <v>0</v>
      </c>
      <c r="BB139" s="41">
        <f>IF(BB137=0,"",-BB138/BB137)</f>
        <v>0</v>
      </c>
      <c r="BC139" s="41">
        <f>IF(BC137=0,"",-BC138/BC137)</f>
        <v>0</v>
      </c>
      <c r="BD139" s="41">
        <f>IF(BD137=0,"",-BD138/BD137)</f>
        <v>0</v>
      </c>
      <c r="BE139" s="41">
        <f>IF(BE137=0,"",-BE138/BE137)</f>
        <v>0</v>
      </c>
      <c r="BF139" s="12">
        <f>IF(BF137=0,"",-BF138/BF137)</f>
        <v>0</v>
      </c>
      <c r="BG139" s="41" t="n"/>
      <c r="BH139" s="41" t="n"/>
      <c r="BI139" s="41" t="n"/>
      <c r="BJ139" s="41" t="n"/>
      <c r="BK139" s="12" t="n"/>
      <c r="BL139" s="41" t="n"/>
      <c r="BM139" s="41" t="n"/>
      <c r="BN139" s="41" t="n"/>
      <c r="BO139" s="41" t="n"/>
      <c r="BP139" s="12" t="n"/>
      <c r="BQ139" s="41" t="n"/>
      <c r="BR139" s="41" t="n"/>
      <c r="BS139" s="41" t="n"/>
      <c r="BT139" s="41" t="n"/>
      <c r="BU139" s="12" t="n"/>
      <c r="BV139" s="41" t="n"/>
      <c r="BW139" s="41" t="n"/>
      <c r="BX139" s="41" t="n"/>
      <c r="BY139" s="41" t="n"/>
      <c r="BZ139" s="12" t="n"/>
      <c r="CA139" s="41" t="n"/>
      <c r="CB139" s="41" t="n"/>
      <c r="CC139" s="41" t="n"/>
      <c r="CD139" s="41" t="n"/>
      <c r="CE139" s="12" t="n"/>
      <c r="CF139" s="41" t="n"/>
      <c r="CG139" s="41" t="n"/>
      <c r="CH139" s="41" t="n"/>
      <c r="CI139" s="41" t="n"/>
      <c r="CJ139" s="12" t="n"/>
      <c r="CK139" s="41" t="n"/>
      <c r="CL139" s="41" t="n"/>
      <c r="CM139" s="41" t="n"/>
      <c r="CN139" s="41" t="n"/>
      <c r="CO139" s="12" t="n"/>
      <c r="CP139" s="41" t="n"/>
      <c r="CQ139" s="41" t="n"/>
      <c r="CR139" s="41" t="n"/>
      <c r="CS139" s="41" t="n"/>
      <c r="CT139" s="12" t="n"/>
      <c r="CU139" s="41" t="n"/>
      <c r="CV139" s="41" t="n"/>
      <c r="CW139" s="41" t="n"/>
      <c r="CX139" s="41" t="n"/>
      <c r="CY139" s="12" t="n"/>
    </row>
    <row r="140" hidden="1" outlineLevel="1">
      <c r="C140" s="18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  <c r="AG140" s="3" t="n"/>
      <c r="AH140" s="3" t="n"/>
      <c r="AI140" s="3" t="n"/>
      <c r="AJ140" s="3" t="n"/>
      <c r="AK140" s="3" t="n"/>
      <c r="AL140" s="3" t="n"/>
      <c r="AM140" s="3" t="n"/>
      <c r="AN140" s="3" t="n"/>
      <c r="AO140" s="3" t="n"/>
      <c r="AP140" s="3" t="n"/>
      <c r="AQ140" s="3" t="n"/>
      <c r="AR140" s="3" t="n"/>
      <c r="AS140" s="3" t="n"/>
      <c r="AT140" s="3" t="n"/>
      <c r="AU140" s="3" t="n"/>
      <c r="AV140" s="3" t="n"/>
      <c r="AW140" s="3" t="n"/>
      <c r="AX140" s="3" t="n"/>
      <c r="AY140" s="3" t="n"/>
      <c r="AZ140" s="3" t="n"/>
      <c r="BA140" s="3" t="n"/>
      <c r="BB140" s="3" t="n"/>
      <c r="BC140" s="3" t="n"/>
      <c r="BD140" s="3" t="n"/>
      <c r="BE140" s="3" t="n"/>
      <c r="BF140" s="3" t="n"/>
      <c r="BG140" s="3" t="n"/>
      <c r="BH140" s="3" t="n"/>
      <c r="BI140" s="3" t="n"/>
      <c r="BJ140" s="3" t="n"/>
      <c r="BK140" s="3" t="n"/>
      <c r="BL140" s="3" t="n"/>
      <c r="BM140" s="3" t="n"/>
      <c r="BN140" s="3" t="n"/>
      <c r="BO140" s="3" t="n"/>
      <c r="BP140" s="3" t="n"/>
      <c r="BQ140" s="3" t="n"/>
      <c r="BR140" s="3" t="n"/>
      <c r="BS140" s="3" t="n"/>
      <c r="BT140" s="3" t="n"/>
      <c r="BU140" s="3" t="n"/>
      <c r="BV140" s="3" t="n"/>
      <c r="BW140" s="3" t="n"/>
      <c r="BX140" s="3" t="n"/>
      <c r="BY140" s="3" t="n"/>
      <c r="BZ140" s="3" t="n"/>
      <c r="CA140" s="3" t="n"/>
      <c r="CB140" s="3" t="n"/>
      <c r="CC140" s="3" t="n"/>
      <c r="CD140" s="3" t="n"/>
      <c r="CE140" s="3" t="n"/>
      <c r="CF140" s="3" t="n"/>
      <c r="CG140" s="3" t="n"/>
      <c r="CH140" s="3" t="n"/>
      <c r="CI140" s="3" t="n"/>
      <c r="CJ140" s="3" t="n"/>
      <c r="CK140" s="3" t="n"/>
      <c r="CL140" s="3" t="n"/>
      <c r="CM140" s="3" t="n"/>
      <c r="CN140" s="3" t="n"/>
      <c r="CO140" s="3" t="n"/>
      <c r="CP140" s="3" t="n"/>
      <c r="CQ140" s="3" t="n"/>
      <c r="CR140" s="3" t="n"/>
      <c r="CS140" s="3" t="n"/>
      <c r="CT140" s="3" t="n"/>
      <c r="CU140" s="3" t="n"/>
      <c r="CV140" s="3" t="n"/>
      <c r="CW140" s="3" t="n"/>
      <c r="CX140" s="3" t="n"/>
      <c r="CY140" s="3" t="n"/>
    </row>
    <row r="141" hidden="1" outlineLevel="1">
      <c r="C141" s="18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n"/>
      <c r="AK141" s="3" t="n"/>
      <c r="AL141" s="3" t="n"/>
      <c r="AM141" s="3" t="n"/>
      <c r="AN141" s="3" t="n"/>
      <c r="AO141" s="3" t="n"/>
      <c r="AP141" s="3" t="n"/>
      <c r="AQ141" s="3" t="n"/>
      <c r="AR141" s="3" t="n"/>
      <c r="AS141" s="3" t="n"/>
      <c r="AT141" s="3" t="n"/>
      <c r="AU141" s="3" t="n"/>
      <c r="AV141" s="3" t="n"/>
      <c r="AW141" s="3" t="n"/>
      <c r="AX141" s="3" t="n"/>
      <c r="AY141" s="3" t="n"/>
      <c r="AZ141" s="3" t="n"/>
      <c r="BA141" s="3" t="n"/>
      <c r="BB141" s="3" t="n"/>
      <c r="BC141" s="3" t="n"/>
      <c r="BD141" s="3" t="n"/>
      <c r="BE141" s="3" t="n"/>
      <c r="BF141" s="3" t="n"/>
      <c r="BG141" s="3" t="n"/>
      <c r="BH141" s="3" t="n"/>
      <c r="BI141" s="3" t="n"/>
      <c r="BJ141" s="3" t="n"/>
      <c r="BK141" s="3" t="n"/>
      <c r="BL141" s="3" t="n"/>
      <c r="BM141" s="3" t="n"/>
      <c r="BN141" s="3" t="n"/>
      <c r="BO141" s="3" t="n"/>
      <c r="BP141" s="3" t="n"/>
      <c r="BQ141" s="3" t="n"/>
      <c r="BR141" s="3" t="n"/>
      <c r="BS141" s="3" t="n"/>
      <c r="BT141" s="3" t="n"/>
      <c r="BU141" s="3" t="n"/>
      <c r="BV141" s="3" t="n"/>
      <c r="BW141" s="3" t="n"/>
      <c r="BX141" s="3" t="n"/>
      <c r="BY141" s="3" t="n"/>
      <c r="BZ141" s="3" t="n"/>
      <c r="CA141" s="3" t="n"/>
      <c r="CB141" s="3" t="n"/>
      <c r="CC141" s="3" t="n"/>
      <c r="CD141" s="3" t="n"/>
      <c r="CE141" s="3" t="n"/>
      <c r="CF141" s="3" t="n"/>
      <c r="CG141" s="3" t="n"/>
      <c r="CH141" s="3" t="n"/>
      <c r="CI141" s="3" t="n"/>
      <c r="CJ141" s="3" t="n"/>
      <c r="CK141" s="3" t="n"/>
      <c r="CL141" s="3" t="n"/>
      <c r="CM141" s="3" t="n"/>
      <c r="CN141" s="3" t="n"/>
      <c r="CO141" s="3" t="n"/>
      <c r="CP141" s="3" t="n"/>
      <c r="CQ141" s="3" t="n"/>
      <c r="CR141" s="3" t="n"/>
      <c r="CS141" s="3" t="n"/>
      <c r="CT141" s="3" t="n"/>
      <c r="CU141" s="3" t="n"/>
      <c r="CV141" s="3" t="n"/>
      <c r="CW141" s="3" t="n"/>
      <c r="CX141" s="3" t="n"/>
      <c r="CY141" s="3" t="n"/>
    </row>
    <row r="142" collapsed="1" ht="11.25" customHeight="1">
      <c r="C142" s="31" t="inlineStr">
        <is>
          <t>Balance Sheet</t>
        </is>
      </c>
      <c r="D142" s="31" t="n"/>
      <c r="E142" s="31" t="n"/>
      <c r="F142" s="31" t="n"/>
      <c r="G142" s="31" t="n"/>
      <c r="H142" s="31" t="n"/>
      <c r="I142" s="31" t="str">
        <f>I13</f>
        <v>1Q21</v>
      </c>
      <c r="J142" s="31" t="str">
        <f>J13</f>
        <v>2Q21</v>
      </c>
      <c r="K142" s="31" t="str">
        <f>K13</f>
        <v>3Q21</v>
      </c>
      <c r="L142" s="31" t="str">
        <f>L13</f>
        <v>4Q21</v>
      </c>
      <c r="M142" s="31">
        <f>M13</f>
        <v>2021</v>
      </c>
      <c r="N142" s="31" t="str">
        <f>N13</f>
        <v>1Q22</v>
      </c>
      <c r="O142" s="31" t="str">
        <f>O13</f>
        <v>2Q22</v>
      </c>
      <c r="P142" s="31" t="str">
        <f>P13</f>
        <v>3Q22</v>
      </c>
      <c r="Q142" s="31" t="str">
        <f>Q13</f>
        <v>4Q22</v>
      </c>
      <c r="R142" s="31">
        <f>R13</f>
        <v>2022</v>
      </c>
      <c r="S142" s="31" t="str">
        <f>S13</f>
        <v>1Q23</v>
      </c>
      <c r="T142" s="31" t="str">
        <f>T13</f>
        <v>2Q23</v>
      </c>
      <c r="U142" s="31" t="str">
        <f>U13</f>
        <v>3Q23</v>
      </c>
      <c r="V142" s="31" t="str">
        <f>V13</f>
        <v>4Q23</v>
      </c>
      <c r="W142" s="31">
        <f>W13</f>
        <v>2023</v>
      </c>
      <c r="X142" s="31" t="str">
        <f>X13</f>
        <v>1Q24</v>
      </c>
      <c r="Y142" s="31" t="str">
        <f>Y13</f>
        <v>2Q24</v>
      </c>
      <c r="Z142" s="31" t="str">
        <f>Z13</f>
        <v>3Q24</v>
      </c>
      <c r="AA142" s="31" t="str">
        <f>AA13</f>
        <v>4Q24</v>
      </c>
      <c r="AB142" s="31">
        <f>AB13</f>
        <v>2024</v>
      </c>
      <c r="AC142" s="31" t="str">
        <f>AC13</f>
        <v>1Q25</v>
      </c>
      <c r="AD142" s="31" t="str">
        <f>AD13</f>
        <v>2Q25</v>
      </c>
      <c r="AE142" s="31" t="str">
        <f>AE13</f>
        <v>3Q25</v>
      </c>
      <c r="AF142" s="31" t="str">
        <f>AF13</f>
        <v>4Q25</v>
      </c>
      <c r="AG142" s="31">
        <f>AG13</f>
        <v>2025</v>
      </c>
      <c r="AH142" s="31" t="str">
        <f>AH13</f>
        <v>1Q26</v>
      </c>
      <c r="AI142" s="31" t="str">
        <f>AI13</f>
        <v>2Q26</v>
      </c>
      <c r="AJ142" s="31" t="str">
        <f>AJ13</f>
        <v>3Q26</v>
      </c>
      <c r="AK142" s="31" t="str">
        <f>AK13</f>
        <v>4Q26</v>
      </c>
      <c r="AL142" s="31">
        <f>AL13</f>
        <v>2026</v>
      </c>
      <c r="AM142" s="31" t="str">
        <f>AM13</f>
        <v>1Q27</v>
      </c>
      <c r="AN142" s="31" t="str">
        <f>AN13</f>
        <v>2Q27</v>
      </c>
      <c r="AO142" s="31" t="str">
        <f>AO13</f>
        <v>3Q27</v>
      </c>
      <c r="AP142" s="31" t="str">
        <f>AP13</f>
        <v>4Q27</v>
      </c>
      <c r="AQ142" s="31">
        <f>AQ13</f>
        <v>2027</v>
      </c>
      <c r="AR142" s="31" t="str">
        <f>AR13</f>
        <v>1Q28</v>
      </c>
      <c r="AS142" s="31" t="str">
        <f>AS13</f>
        <v>2Q28</v>
      </c>
      <c r="AT142" s="31" t="str">
        <f>AT13</f>
        <v>3Q28</v>
      </c>
      <c r="AU142" s="31" t="str">
        <f>AU13</f>
        <v>4Q28</v>
      </c>
      <c r="AV142" s="31">
        <f>AV13</f>
        <v>2028</v>
      </c>
      <c r="AW142" s="31" t="str">
        <f>AW13</f>
        <v>1Q29</v>
      </c>
      <c r="AX142" s="31" t="str">
        <f>AX13</f>
        <v>2Q29</v>
      </c>
      <c r="AY142" s="31" t="str">
        <f>AY13</f>
        <v>3Q29</v>
      </c>
      <c r="AZ142" s="31" t="str">
        <f>AZ13</f>
        <v>4Q29</v>
      </c>
      <c r="BA142" s="31">
        <f>BA13</f>
        <v>2029</v>
      </c>
      <c r="BB142" s="31" t="str">
        <f>BB13</f>
        <v>1Q30</v>
      </c>
      <c r="BC142" s="31" t="str">
        <f>BC13</f>
        <v>2Q30</v>
      </c>
      <c r="BD142" s="31" t="str">
        <f>BD13</f>
        <v>3Q30</v>
      </c>
      <c r="BE142" s="31" t="str">
        <f>BE13</f>
        <v>4Q30</v>
      </c>
      <c r="BF142" s="31">
        <f>BF13</f>
        <v>2030</v>
      </c>
      <c r="BG142" s="31" t="n"/>
      <c r="BH142" s="31" t="n"/>
      <c r="BI142" s="31" t="n"/>
      <c r="BJ142" s="31" t="n"/>
      <c r="BK142" s="31" t="n"/>
      <c r="BL142" s="31" t="n"/>
      <c r="BM142" s="31" t="n"/>
      <c r="BN142" s="31" t="n"/>
      <c r="BO142" s="31" t="n"/>
      <c r="BP142" s="31" t="n"/>
      <c r="BQ142" s="31" t="n"/>
      <c r="BR142" s="31" t="n"/>
      <c r="BS142" s="31" t="n"/>
      <c r="BT142" s="31" t="n"/>
      <c r="BU142" s="31" t="n"/>
      <c r="BV142" s="31" t="n"/>
      <c r="BW142" s="31" t="n"/>
      <c r="BX142" s="31" t="n"/>
      <c r="BY142" s="31" t="n"/>
      <c r="BZ142" s="31" t="n"/>
      <c r="CA142" s="31" t="n"/>
      <c r="CB142" s="31" t="n"/>
      <c r="CC142" s="31" t="n"/>
      <c r="CD142" s="31" t="n"/>
      <c r="CE142" s="31" t="n"/>
      <c r="CF142" s="31" t="n"/>
      <c r="CG142" s="31" t="n"/>
      <c r="CH142" s="31" t="n"/>
      <c r="CI142" s="31" t="n"/>
      <c r="CJ142" s="31" t="n"/>
      <c r="CK142" s="31" t="n"/>
      <c r="CL142" s="31" t="n"/>
      <c r="CM142" s="31" t="n"/>
      <c r="CN142" s="31" t="n"/>
      <c r="CO142" s="31" t="n"/>
      <c r="CP142" s="31" t="n"/>
      <c r="CQ142" s="31" t="n"/>
      <c r="CR142" s="31" t="n"/>
      <c r="CS142" s="31" t="n"/>
      <c r="CT142" s="31" t="n"/>
      <c r="CU142" s="31" t="n"/>
      <c r="CV142" s="31" t="n"/>
      <c r="CW142" s="31" t="n"/>
      <c r="CX142" s="31" t="n"/>
      <c r="CY142" s="31" t="n"/>
    </row>
    <row r="143">
      <c r="C143" s="18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3" t="n"/>
      <c r="AL143" s="3" t="n"/>
      <c r="AM143" s="3" t="n"/>
      <c r="AN143" s="3" t="n"/>
      <c r="AO143" s="3" t="n"/>
      <c r="AP143" s="3" t="n"/>
      <c r="AQ143" s="3" t="n"/>
      <c r="AR143" s="3" t="n"/>
      <c r="AS143" s="3" t="n"/>
      <c r="AT143" s="3" t="n"/>
      <c r="AU143" s="3" t="n"/>
      <c r="AV143" s="3" t="n"/>
      <c r="AW143" s="3" t="n"/>
      <c r="AX143" s="3" t="n"/>
      <c r="AY143" s="3" t="n"/>
      <c r="AZ143" s="3" t="n"/>
      <c r="BA143" s="3" t="n"/>
      <c r="BB143" s="3" t="n"/>
      <c r="BC143" s="3" t="n"/>
      <c r="BD143" s="3" t="n"/>
      <c r="BE143" s="3" t="n"/>
      <c r="BF143" s="3" t="n"/>
      <c r="BG143" s="3" t="n"/>
      <c r="BH143" s="3" t="n"/>
      <c r="BI143" s="3" t="n"/>
      <c r="BJ143" s="3" t="n"/>
      <c r="BK143" s="3" t="n"/>
      <c r="BL143" s="3" t="n"/>
      <c r="BM143" s="3" t="n"/>
      <c r="BN143" s="3" t="n"/>
      <c r="BO143" s="3" t="n"/>
      <c r="BP143" s="3" t="n"/>
      <c r="BQ143" s="3" t="n"/>
      <c r="BR143" s="3" t="n"/>
      <c r="BS143" s="3" t="n"/>
      <c r="BT143" s="3" t="n"/>
      <c r="BU143" s="3" t="n"/>
      <c r="BV143" s="3" t="n"/>
      <c r="BW143" s="3" t="n"/>
      <c r="BX143" s="3" t="n"/>
      <c r="BY143" s="3" t="n"/>
      <c r="BZ143" s="3" t="n"/>
      <c r="CA143" s="3" t="n"/>
      <c r="CB143" s="3" t="n"/>
      <c r="CC143" s="3" t="n"/>
      <c r="CD143" s="3" t="n"/>
      <c r="CE143" s="3" t="n"/>
      <c r="CF143" s="3" t="n"/>
      <c r="CG143" s="3" t="n"/>
      <c r="CH143" s="3" t="n"/>
      <c r="CI143" s="3" t="n"/>
      <c r="CJ143" s="3" t="n"/>
      <c r="CK143" s="3" t="n"/>
      <c r="CL143" s="3" t="n"/>
      <c r="CM143" s="3" t="n"/>
      <c r="CN143" s="3" t="n"/>
      <c r="CO143" s="3" t="n"/>
      <c r="CP143" s="3" t="n"/>
      <c r="CQ143" s="3" t="n"/>
      <c r="CR143" s="3" t="n"/>
      <c r="CS143" s="3" t="n"/>
      <c r="CT143" s="3" t="n"/>
      <c r="CU143" s="3" t="n"/>
      <c r="CV143" s="3" t="n"/>
      <c r="CW143" s="3" t="n"/>
      <c r="CX143" s="3" t="n"/>
      <c r="CY143" s="3" t="n"/>
    </row>
    <row r="144">
      <c r="C144" s="13" t="inlineStr">
        <is>
          <t>Cash and equivalents (inc. investment securities)</t>
        </is>
      </c>
      <c r="D144" s="46" t="n"/>
      <c r="E144" s="46" t="n"/>
      <c r="F144" s="46" t="n"/>
      <c r="G144" s="46" t="n"/>
      <c r="H144" s="12" t="n"/>
      <c r="I144" s="46">
        <f>'Inputs (2)'!D15</f>
        <v>974.98</v>
      </c>
      <c r="J144" s="46">
        <f>'Inputs (2)'!E15</f>
        <v>946.589</v>
      </c>
      <c r="K144" s="46">
        <f>'Inputs (2)'!F15</f>
        <v>934.763</v>
      </c>
      <c r="L144" s="46">
        <f>'Inputs (2)'!G15</f>
        <v>1049.16</v>
      </c>
      <c r="M144" s="12">
        <f>'Inputs (2)'!H15</f>
        <v>1049.16</v>
      </c>
      <c r="N144" s="46">
        <f>'Inputs (2)'!I15</f>
        <v>1060.253</v>
      </c>
      <c r="O144" s="46">
        <f>'Inputs (2)'!J15</f>
        <v>959.132</v>
      </c>
      <c r="P144" s="46">
        <f>'Inputs (2)'!K15</f>
        <v>1179.82</v>
      </c>
      <c r="Q144" s="46">
        <f>'Inputs (2)'!L15</f>
        <v>1187.372</v>
      </c>
      <c r="R144" s="12">
        <f>'Inputs (2)'!M15</f>
        <v>1187.372</v>
      </c>
      <c r="S144" s="46">
        <f>'Inputs (2)'!N15</f>
        <v>1071.927</v>
      </c>
      <c r="T144" s="46">
        <f>'Inputs (2)'!O15</f>
        <v>1113.203</v>
      </c>
      <c r="U144" s="46">
        <f>'Inputs (2)'!P15</f>
        <v>1341.161</v>
      </c>
      <c r="V144" s="46">
        <f>'Inputs (2)'!Q15</f>
        <v>1327.171</v>
      </c>
      <c r="W144" s="12">
        <f>'Inputs (2)'!R15</f>
        <v>1327.171</v>
      </c>
      <c r="X144" s="46">
        <f>'Inputs (2)'!S15</f>
        <v>1176.362</v>
      </c>
      <c r="Y144" s="46">
        <f>'Inputs (2)'!T15</f>
        <v>1422.001</v>
      </c>
      <c r="Z144" s="46">
        <f>'Inputs (2)'!U15</f>
        <v>1545.768</v>
      </c>
      <c r="AA144" s="46">
        <f>'Inputs (2)'!V15</f>
        <v>1615.181</v>
      </c>
      <c r="AB144" s="12">
        <f>'Inputs (2)'!W15</f>
        <v>1615.181</v>
      </c>
      <c r="AC144" s="46">
        <f>'Inputs (2)'!X15</f>
        <v>1629.522</v>
      </c>
      <c r="AD144" s="46">
        <f>'Inputs (2)'!Y15</f>
        <v>2124.58</v>
      </c>
      <c r="AE144" s="46">
        <f>'Inputs (2)'!Z15</f>
        <v>2449.506</v>
      </c>
      <c r="AF144" s="46">
        <f>'Inputs (2)'!AA15</f>
        <v>2182.799</v>
      </c>
      <c r="AG144" s="12">
        <f>'Inputs (2)'!AB15</f>
        <v>2182.799</v>
      </c>
      <c r="AH144" s="12">
        <f>'Inputs (2)'!AC15</f>
        <v>2420.762</v>
      </c>
      <c r="AI144" s="12">
        <f>'Inputs (2)'!AD15</f>
        <v>2454.207</v>
      </c>
      <c r="AJ144" s="12">
        <f>AJ273-SUM(AJ145,AJ149,AJ153,AJ154,AJ155,AJ161,AJ166,AJ176,AJ179,AJ180,AJ189)</f>
        <v>1626.12282189793</v>
      </c>
      <c r="AK144" s="12">
        <f>AK273-SUM(AK145,AK149,AK153,AK154,AK155,AK161,AK166,AK176,AK179,AK180,AK189)</f>
        <v>1431.73880849354</v>
      </c>
      <c r="AL144" s="12">
        <f>AK144</f>
        <v>1431.73880849354</v>
      </c>
      <c r="AM144" s="12">
        <f>AM273-SUM(AM145,AM149,AM153,AM154,AM155,AM161,AM166,AM176,AM179,AM180,AM189)</f>
        <v>2293.83240185697</v>
      </c>
      <c r="AN144" s="12">
        <f>AN273-SUM(AN145,AN149,AN153,AN154,AN155,AN161,AN166,AN176,AN179,AN180,AN189)</f>
        <v>1801.52821364559</v>
      </c>
      <c r="AO144" s="12">
        <f>AO273-SUM(AO145,AO149,AO153,AO154,AO155,AO161,AO166,AO176,AO179,AO180,AO189)</f>
        <v>496.400200499629</v>
      </c>
      <c r="AP144" s="12">
        <f>AP273-SUM(AP145,AP149,AP153,AP154,AP155,AP161,AP166,AP176,AP179,AP180,AP189)</f>
        <v>336.820576990358</v>
      </c>
      <c r="AQ144" s="12">
        <f>AP144</f>
        <v>336.820576990358</v>
      </c>
      <c r="AR144" s="12">
        <f>AR273-SUM(AR145,AR149,AR153,AR154,AR155,AR161,AR166,AR176,AR179,AR180,AR189)</f>
        <v>1784.72255715148</v>
      </c>
      <c r="AS144" s="12">
        <f>AS273-SUM(AS145,AS149,AS153,AS154,AS155,AS161,AS166,AS176,AS179,AS180,AS189)</f>
        <v>1126.47955356066</v>
      </c>
      <c r="AT144" s="12">
        <f>AT273-SUM(AT145,AT149,AT153,AT154,AT155,AT161,AT166,AT176,AT179,AT180,AT189)</f>
        <v>-360.29159492657</v>
      </c>
      <c r="AU144" s="12">
        <f>AU273-SUM(AU145,AU149,AU153,AU154,AU155,AU161,AU166,AU176,AU179,AU180,AU189)</f>
        <v>-333.35441124361</v>
      </c>
      <c r="AV144" s="12">
        <f>AU144</f>
        <v>-333.35441124361</v>
      </c>
      <c r="AW144" s="12">
        <f>AW273-SUM(AW145,AW149,AW153,AW154,AW155,AW161,AW166,AW176,AW179,AW180,AW189)</f>
        <v>1662.10198826681</v>
      </c>
      <c r="AX144" s="12">
        <f>AX273-SUM(AX145,AX149,AX153,AX154,AX155,AX161,AX166,AX176,AX179,AX180,AX189)</f>
        <v>1409.78916174744</v>
      </c>
      <c r="AY144" s="12">
        <f>AY273-SUM(AY145,AY149,AY153,AY154,AY155,AY161,AY166,AY176,AY179,AY180,AY189)</f>
        <v>-16.9410746876893</v>
      </c>
      <c r="AZ144" s="12">
        <f>AZ273-SUM(AZ145,AZ149,AZ153,AZ154,AZ155,AZ161,AZ166,AZ176,AZ179,AZ180,AZ189)</f>
        <v>608.494144605611</v>
      </c>
      <c r="BA144" s="12">
        <f>AZ144</f>
        <v>608.494144605611</v>
      </c>
      <c r="BB144" s="12">
        <f>BB273-SUM(BB145,BB149,BB153,BB154,BB155,BB161,BB166,BB176,BB179,BB180,BB189)</f>
        <v>3980.57302387758</v>
      </c>
      <c r="BC144" s="12">
        <f>BC273-SUM(BC145,BC149,BC153,BC154,BC155,BC161,BC166,BC176,BC179,BC180,BC189)</f>
        <v>4593.63667933731</v>
      </c>
      <c r="BD144" s="12">
        <f>BD273-SUM(BD145,BD149,BD153,BD154,BD155,BD161,BD166,BD176,BD179,BD180,BD189)</f>
        <v>3963.01536421655</v>
      </c>
      <c r="BE144" s="12">
        <f>BE273-SUM(BE145,BE149,BE153,BE154,BE155,BE161,BE166,BE176,BE179,BE180,BE189)</f>
        <v>6244.9614360871</v>
      </c>
      <c r="BF144" s="12">
        <f>BE144</f>
        <v>6244.9614360871</v>
      </c>
      <c r="BG144" s="12" t="n"/>
      <c r="BH144" s="12" t="n"/>
      <c r="BI144" s="12" t="n"/>
      <c r="BJ144" s="12" t="n"/>
      <c r="BK144" s="12" t="n"/>
      <c r="BL144" s="12" t="n"/>
      <c r="BM144" s="12" t="n"/>
      <c r="BN144" s="12" t="n"/>
      <c r="BO144" s="12" t="n"/>
      <c r="BP144" s="12" t="n"/>
      <c r="BQ144" s="12" t="n"/>
      <c r="BR144" s="12" t="n"/>
      <c r="BS144" s="12" t="n"/>
      <c r="BT144" s="12" t="n"/>
      <c r="BU144" s="12" t="n"/>
      <c r="BV144" s="12" t="n"/>
      <c r="BW144" s="12" t="n"/>
      <c r="BX144" s="12" t="n"/>
      <c r="BY144" s="12" t="n"/>
      <c r="BZ144" s="12" t="n"/>
      <c r="CA144" s="12" t="n"/>
      <c r="CB144" s="12" t="n"/>
      <c r="CC144" s="12" t="n"/>
      <c r="CD144" s="12" t="n"/>
      <c r="CE144" s="12" t="n"/>
      <c r="CF144" s="12" t="n"/>
      <c r="CG144" s="12" t="n"/>
      <c r="CH144" s="12" t="n"/>
      <c r="CI144" s="12" t="n"/>
      <c r="CJ144" s="12" t="n"/>
      <c r="CK144" s="12" t="n"/>
      <c r="CL144" s="12" t="n"/>
      <c r="CM144" s="12" t="n"/>
      <c r="CN144" s="12" t="n"/>
      <c r="CO144" s="12" t="n"/>
      <c r="CP144" s="12" t="n"/>
      <c r="CQ144" s="12" t="n"/>
      <c r="CR144" s="12" t="n"/>
      <c r="CS144" s="12" t="n"/>
      <c r="CT144" s="12" t="n"/>
      <c r="CU144" s="12" t="n"/>
      <c r="CV144" s="12" t="n"/>
      <c r="CW144" s="12" t="n"/>
      <c r="CX144" s="12" t="n"/>
      <c r="CY144" s="12" t="n"/>
    </row>
    <row r="145">
      <c r="C145" s="14" t="inlineStr">
        <is>
          <t>Accounts receivable</t>
        </is>
      </c>
      <c r="D145" s="46" t="n"/>
      <c r="E145" s="46" t="n"/>
      <c r="F145" s="46" t="n"/>
      <c r="G145" s="46" t="n"/>
      <c r="H145" s="12" t="n"/>
      <c r="I145" s="46">
        <f>'Inputs (2)'!D16</f>
        <v>460.185</v>
      </c>
      <c r="J145" s="46">
        <f>'Inputs (2)'!E16</f>
        <v>489.828</v>
      </c>
      <c r="K145" s="46">
        <f>'Inputs (2)'!F16</f>
        <v>536.65</v>
      </c>
      <c r="L145" s="46">
        <f>'Inputs (2)'!G16</f>
        <v>476.346</v>
      </c>
      <c r="M145" s="12">
        <f>'Inputs (2)'!H16</f>
        <v>476.346</v>
      </c>
      <c r="N145" s="46">
        <f>'Inputs (2)'!I16</f>
        <v>533.588</v>
      </c>
      <c r="O145" s="46">
        <f>'Inputs (2)'!J16</f>
        <v>556.609</v>
      </c>
      <c r="P145" s="46">
        <f>'Inputs (2)'!K16</f>
        <v>651.799</v>
      </c>
      <c r="Q145" s="46">
        <f>'Inputs (2)'!L16</f>
        <v>685.314</v>
      </c>
      <c r="R145" s="12">
        <f>'Inputs (2)'!M16</f>
        <v>685.314</v>
      </c>
      <c r="S145" s="46">
        <f>'Inputs (2)'!N16</f>
        <v>738.03548515</v>
      </c>
      <c r="T145" s="46">
        <f>'Inputs (2)'!O16</f>
        <v>740.10863387</v>
      </c>
      <c r="U145" s="46">
        <f>'Inputs (2)'!P16</f>
        <v>820.67319839</v>
      </c>
      <c r="V145" s="46">
        <f>'Inputs (2)'!Q16</f>
        <v>985.98141149</v>
      </c>
      <c r="W145" s="12">
        <f>'Inputs (2)'!R16</f>
        <v>985.98141149</v>
      </c>
      <c r="X145" s="46">
        <f>'Inputs (2)'!S16</f>
        <v>1209.07413311</v>
      </c>
      <c r="Y145" s="46">
        <f>'Inputs (2)'!T16</f>
        <v>1447.19387601</v>
      </c>
      <c r="Z145" s="46">
        <f>'Inputs (2)'!U16</f>
        <v>1615.00998157</v>
      </c>
      <c r="AA145" s="46">
        <f>'Inputs (2)'!V16</f>
        <v>1839.527</v>
      </c>
      <c r="AB145" s="12">
        <f>'Inputs (2)'!W16</f>
        <v>1839.527</v>
      </c>
      <c r="AC145" s="46">
        <f>'Inputs (2)'!X16</f>
        <v>2093.471</v>
      </c>
      <c r="AD145" s="46">
        <f>'Inputs (2)'!Y16</f>
        <v>2384.653</v>
      </c>
      <c r="AE145" s="46">
        <f>'Inputs (2)'!Z16</f>
        <v>2619.945</v>
      </c>
      <c r="AF145" s="46">
        <f>'Inputs (2)'!AA16</f>
        <v>2827.773</v>
      </c>
      <c r="AG145" s="12">
        <f>'Inputs (2)'!AB16</f>
        <v>2827.773</v>
      </c>
      <c r="AH145" s="12">
        <f>'Inputs (2)'!AC16</f>
        <v>3025.953</v>
      </c>
      <c r="AI145" s="12">
        <f>'Inputs (2)'!AD16</f>
        <v>3148.918</v>
      </c>
      <c r="AJ145" s="12">
        <f>(AJ146/(AJ$5-AI$5))*AJ$15</f>
        <v>3479.07432233602</v>
      </c>
      <c r="AK145" s="12">
        <f>(AK146/(AK$5-AJ$5))*AK$15</f>
        <v>3683.46362485056</v>
      </c>
      <c r="AL145" s="12">
        <f>AK145</f>
        <v>3683.46362485056</v>
      </c>
      <c r="AM145" s="12">
        <f>(AM146/(AM$5-AL$5))*AM$15</f>
        <v>3576.97919543607</v>
      </c>
      <c r="AN145" s="12">
        <f>(AN146/(AN$5-AM$5))*AN$15</f>
        <v>3886.22988382159</v>
      </c>
      <c r="AO145" s="12">
        <f>(AO146/(AO$5-AN$5))*AO$15</f>
        <v>4464.01967008325</v>
      </c>
      <c r="AP145" s="12">
        <f>(AP146/(AP$5-AO$5))*AP$15</f>
        <v>4726.2727242712</v>
      </c>
      <c r="AQ145" s="12">
        <f>AP145</f>
        <v>4726.2727242712</v>
      </c>
      <c r="AR145" s="12">
        <f>(AR146/(AR$5-AQ$5))*AR$15</f>
        <v>4521.51797431364</v>
      </c>
      <c r="AS145" s="12">
        <f>(AS146/(AS$5-AR$5))*AS$15</f>
        <v>4967.01209281566</v>
      </c>
      <c r="AT145" s="12">
        <f>(AT146/(AT$5-AS$5))*AT$15</f>
        <v>5705.48844168384</v>
      </c>
      <c r="AU145" s="12">
        <f>(AU146/(AU$5-AT$5))*AU$15</f>
        <v>6040.67553315061</v>
      </c>
      <c r="AV145" s="12">
        <f>AU145</f>
        <v>6040.67553315061</v>
      </c>
      <c r="AW145" s="12">
        <f>(AW146/(AW$5-AV$5))*AW$15</f>
        <v>5820.32941913472</v>
      </c>
      <c r="AX145" s="12">
        <f>(AX146/(AX$5-AW$5))*AX$15</f>
        <v>6323.53080252395</v>
      </c>
      <c r="AY145" s="12">
        <f>(AY146/(AY$5-AX$5))*AY$15</f>
        <v>7263.6891616626</v>
      </c>
      <c r="AZ145" s="12">
        <f>(AZ146/(AZ$5-AY$5))*AZ$15</f>
        <v>7690.4177175613</v>
      </c>
      <c r="BA145" s="12">
        <f>AZ145</f>
        <v>7690.4177175613</v>
      </c>
      <c r="BB145" s="12">
        <f>(BB146/(BB$5-BA$5))*BB$15</f>
        <v>7380.7922035696</v>
      </c>
      <c r="BC145" s="12">
        <f>(BC146/(BC$5-BB$5))*BC$15</f>
        <v>8018.90468482102</v>
      </c>
      <c r="BD145" s="12">
        <f>(BD146/(BD$5-BC$5))*BD$15</f>
        <v>9211.12474446894</v>
      </c>
      <c r="BE145" s="12">
        <f>(BE146/(BE$5-BD$5))*BE$15</f>
        <v>9752.2616065962</v>
      </c>
      <c r="BF145" s="12">
        <f>BE145</f>
        <v>9752.2616065962</v>
      </c>
      <c r="BG145" s="12" t="n"/>
      <c r="BH145" s="12" t="n"/>
      <c r="BI145" s="12" t="n"/>
      <c r="BJ145" s="12" t="n"/>
      <c r="BK145" s="12" t="n"/>
      <c r="BL145" s="12" t="n"/>
      <c r="BM145" s="12" t="n"/>
      <c r="BN145" s="12" t="n"/>
      <c r="BO145" s="12" t="n"/>
      <c r="BP145" s="12" t="n"/>
      <c r="BQ145" s="12" t="n"/>
      <c r="BR145" s="12" t="n"/>
      <c r="BS145" s="12" t="n"/>
      <c r="BT145" s="12" t="n"/>
      <c r="BU145" s="12" t="n"/>
      <c r="BV145" s="12" t="n"/>
      <c r="BW145" s="12" t="n"/>
      <c r="BX145" s="12" t="n"/>
      <c r="BY145" s="12" t="n"/>
      <c r="BZ145" s="12" t="n"/>
      <c r="CA145" s="12" t="n"/>
      <c r="CB145" s="12" t="n"/>
      <c r="CC145" s="12" t="n"/>
      <c r="CD145" s="12" t="n"/>
      <c r="CE145" s="12" t="n"/>
      <c r="CF145" s="12" t="n"/>
      <c r="CG145" s="12" t="n"/>
      <c r="CH145" s="12" t="n"/>
      <c r="CI145" s="12" t="n"/>
      <c r="CJ145" s="12" t="n"/>
      <c r="CK145" s="12" t="n"/>
      <c r="CL145" s="12" t="n"/>
      <c r="CM145" s="12" t="n"/>
      <c r="CN145" s="12" t="n"/>
      <c r="CO145" s="12" t="n"/>
      <c r="CP145" s="12" t="n"/>
      <c r="CQ145" s="12" t="n"/>
      <c r="CR145" s="12" t="n"/>
      <c r="CS145" s="12" t="n"/>
      <c r="CT145" s="12" t="n"/>
      <c r="CU145" s="12" t="n"/>
      <c r="CV145" s="12" t="n"/>
      <c r="CW145" s="12" t="n"/>
      <c r="CX145" s="12" t="n"/>
      <c r="CY145" s="12" t="n"/>
    </row>
    <row r="146" hidden="1" outlineLevel="1">
      <c r="C146" s="57" t="inlineStr">
        <is>
          <t>DSO</t>
        </is>
      </c>
      <c r="D146" s="12" t="n"/>
      <c r="E146" s="12" t="n"/>
      <c r="F146" s="12" t="n"/>
      <c r="G146" s="12" t="n"/>
      <c r="H146" s="12" t="n"/>
      <c r="I146" s="12">
        <f>IFERROR((I145/I$15)*(I$5-H$5),"")</f>
        <v>100.068014061877</v>
      </c>
      <c r="J146" s="12">
        <f>IFERROR((J145/J$15)*(J$5-I$5),"")</f>
        <v>105.585884091889</v>
      </c>
      <c r="K146" s="12">
        <f>IFERROR((K145/K$15)*(K$5-J$5),"")</f>
        <v>108.901495934816</v>
      </c>
      <c r="L146" s="12">
        <f>IFERROR((L145/L$15)*(L$5-K$5),"")</f>
        <v>89.9926936100918</v>
      </c>
      <c r="M146" s="12" t="n"/>
      <c r="N146" s="12">
        <f>IFERROR((N145/N$15)*(N$5-M$5),"")</f>
        <v>102.592470743056</v>
      </c>
      <c r="O146" s="12">
        <f>IFERROR((O145/O$15)*(O$5-N$5),"")</f>
        <v>86.4172874091919</v>
      </c>
      <c r="P146" s="12">
        <f>IFERROR((P145/P$15)*(P$5-O$5),"")</f>
        <v>104.394776562427</v>
      </c>
      <c r="Q146" s="12">
        <f>IFERROR((Q145/Q$15)*(Q$5-P$5),"")</f>
        <v>118.072395292003</v>
      </c>
      <c r="R146" s="12" t="n"/>
      <c r="S146" s="12">
        <f>IFERROR((S145/S$15)*(S$5-R$5),"")</f>
        <v>119.194130058374</v>
      </c>
      <c r="T146" s="12">
        <f>IFERROR((T145/T$15)*(T$5-S$5),"")</f>
        <v>111.247102255289</v>
      </c>
      <c r="U146" s="12">
        <f>IFERROR((U145/U$15)*(U$5-T$5),"")</f>
        <v>135.38867973755</v>
      </c>
      <c r="V146" s="12">
        <f>IFERROR((V145/V$15)*(V$5-U$5),"")</f>
        <v>142.887303307426</v>
      </c>
      <c r="W146" s="12" t="n"/>
      <c r="X146" s="12">
        <f>IFERROR((X145/X$15)*(X$5-W$5),"")</f>
        <v>164.354411753386</v>
      </c>
      <c r="Y146" s="12">
        <f>IFERROR((Y145/Y$15)*(Y$5-X$5),"")</f>
        <v>155.995644164921</v>
      </c>
      <c r="Z146" s="12">
        <f>IFERROR((Z145/Z$15)*(Z$5-Y$5),"")</f>
        <v>163.168509380034</v>
      </c>
      <c r="AA146" s="12">
        <f>IFERROR((AA145/AA$15)*(AA$5-Z$5),"")</f>
        <v>183.11475097651</v>
      </c>
      <c r="AB146" s="12" t="n"/>
      <c r="AC146" s="12">
        <f>IFERROR((AC145/AC$15)*(AC$5-AB$5),"")</f>
        <v>210.721000926038</v>
      </c>
      <c r="AD146" s="12">
        <f>IFERROR((AD145/AD$15)*(AD$5-AC$5),"")</f>
        <v>203.71891270266</v>
      </c>
      <c r="AE146" s="12">
        <f>IFERROR((AE145/AE$15)*(AE$5-AD$5),"")</f>
        <v>208.179436753286</v>
      </c>
      <c r="AF146" s="11">
        <f>IFERROR((AF145/AF$15)*(AF$5-AE$5),"")</f>
        <v>212.225477487737</v>
      </c>
      <c r="AG146" s="12" t="n"/>
      <c r="AH146" s="11">
        <f>IFERROR((AH145/AH$15)*(AH$5-AG$5),"")</f>
        <v>233.859558430161</v>
      </c>
      <c r="AI146" s="11">
        <f>IFERROR((AI145/AI$15)*(AI$5-AH$5),"")</f>
        <v>223.997012346934</v>
      </c>
      <c r="AJ146" s="11">
        <f>Control!$B$25</f>
        <v>215.450233107803</v>
      </c>
      <c r="AK146" s="11">
        <f>Control!$B$25</f>
        <v>215.450233107803</v>
      </c>
      <c r="AL146" s="12" t="n"/>
      <c r="AM146" s="11">
        <f>Control!$C$25</f>
        <v>215.450233107803</v>
      </c>
      <c r="AN146" s="11">
        <f>Control!$C$25</f>
        <v>215.450233107803</v>
      </c>
      <c r="AO146" s="11">
        <f>Control!$C$25</f>
        <v>215.450233107803</v>
      </c>
      <c r="AP146" s="11">
        <f>Control!$C$25</f>
        <v>215.450233107803</v>
      </c>
      <c r="AQ146" s="12" t="n"/>
      <c r="AR146" s="11">
        <f>Control!$D$25</f>
        <v>215.450233107803</v>
      </c>
      <c r="AS146" s="11">
        <f>Control!$D$25</f>
        <v>215.450233107803</v>
      </c>
      <c r="AT146" s="11">
        <f>Control!$D$25</f>
        <v>215.450233107803</v>
      </c>
      <c r="AU146" s="11">
        <f>Control!$D$25</f>
        <v>215.450233107803</v>
      </c>
      <c r="AV146" s="12" t="n"/>
      <c r="AW146" s="11">
        <f>Control!$E$25</f>
        <v>215.450233107803</v>
      </c>
      <c r="AX146" s="11">
        <f>Control!$E$25</f>
        <v>215.450233107803</v>
      </c>
      <c r="AY146" s="11">
        <f>Control!$E$25</f>
        <v>215.450233107803</v>
      </c>
      <c r="AZ146" s="11">
        <f>Control!$E$25</f>
        <v>215.450233107803</v>
      </c>
      <c r="BA146" s="12" t="n"/>
      <c r="BB146" s="11">
        <f>Control!$F$25</f>
        <v>215.450233107803</v>
      </c>
      <c r="BC146" s="11">
        <f>Control!$F$25</f>
        <v>215.450233107803</v>
      </c>
      <c r="BD146" s="11">
        <f>Control!$F$25</f>
        <v>215.450233107803</v>
      </c>
      <c r="BE146" s="11">
        <f>Control!$F$25</f>
        <v>215.450233107803</v>
      </c>
      <c r="BF146" s="12" t="n"/>
      <c r="BG146" s="11" t="n"/>
      <c r="BH146" s="11" t="n"/>
      <c r="BI146" s="11" t="n"/>
      <c r="BJ146" s="11" t="n"/>
      <c r="BK146" s="12" t="n"/>
      <c r="BL146" s="11" t="n"/>
      <c r="BM146" s="11" t="n"/>
      <c r="BN146" s="11" t="n"/>
      <c r="BO146" s="11" t="n"/>
      <c r="BP146" s="12" t="n"/>
      <c r="BQ146" s="11" t="n"/>
      <c r="BR146" s="11" t="n"/>
      <c r="BS146" s="11" t="n"/>
      <c r="BT146" s="11" t="n"/>
      <c r="BU146" s="12" t="n"/>
      <c r="BV146" s="11" t="n"/>
      <c r="BW146" s="11" t="n"/>
      <c r="BX146" s="11" t="n"/>
      <c r="BY146" s="11" t="n"/>
      <c r="BZ146" s="12" t="n"/>
      <c r="CA146" s="11" t="n"/>
      <c r="CB146" s="11" t="n"/>
      <c r="CC146" s="11" t="n"/>
      <c r="CD146" s="11" t="n"/>
      <c r="CE146" s="12" t="n"/>
      <c r="CF146" s="11" t="n"/>
      <c r="CG146" s="11" t="n"/>
      <c r="CH146" s="11" t="n"/>
      <c r="CI146" s="11" t="n"/>
      <c r="CJ146" s="12" t="n"/>
      <c r="CK146" s="11" t="n"/>
      <c r="CL146" s="11" t="n"/>
      <c r="CM146" s="11" t="n"/>
      <c r="CN146" s="11" t="n"/>
      <c r="CO146" s="12" t="n"/>
      <c r="CP146" s="11" t="n"/>
      <c r="CQ146" s="11" t="n"/>
      <c r="CR146" s="11" t="n"/>
      <c r="CS146" s="11" t="n"/>
      <c r="CT146" s="12" t="n"/>
      <c r="CU146" s="11" t="n"/>
      <c r="CV146" s="11" t="n"/>
      <c r="CW146" s="11" t="n"/>
      <c r="CX146" s="11" t="n"/>
      <c r="CY146" s="12" t="n"/>
    </row>
    <row r="147" hidden="1" outlineLevel="1">
      <c r="C147" s="57" t="n"/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12" t="n"/>
      <c r="Z147" s="12" t="n"/>
      <c r="AA147" s="12" t="n"/>
      <c r="AB147" s="12" t="n"/>
      <c r="AC147" s="12" t="n"/>
      <c r="AD147" s="12" t="n"/>
      <c r="AE147" s="12" t="n"/>
      <c r="AF147" s="12" t="n"/>
      <c r="AG147" s="12" t="n"/>
      <c r="AH147" s="12" t="n"/>
      <c r="AI147" s="12" t="n"/>
      <c r="AJ147" s="12" t="n"/>
      <c r="AK147" s="12" t="n"/>
      <c r="AL147" s="12" t="n"/>
      <c r="AM147" s="12" t="n"/>
      <c r="AN147" s="12" t="n"/>
      <c r="AO147" s="12" t="n"/>
      <c r="AP147" s="12" t="n"/>
      <c r="AQ147" s="12" t="n"/>
      <c r="AR147" s="12" t="n"/>
      <c r="AS147" s="12" t="n"/>
      <c r="AT147" s="12" t="n"/>
      <c r="AU147" s="12" t="n"/>
      <c r="AV147" s="12" t="n"/>
      <c r="AW147" s="12" t="n"/>
      <c r="AX147" s="12" t="n"/>
      <c r="AY147" s="12" t="n"/>
      <c r="AZ147" s="12" t="n"/>
      <c r="BA147" s="12" t="n"/>
      <c r="BB147" s="12" t="n"/>
      <c r="BC147" s="12" t="n"/>
      <c r="BD147" s="12" t="n"/>
      <c r="BE147" s="12" t="n"/>
      <c r="BF147" s="12" t="n"/>
      <c r="BG147" s="12" t="n"/>
      <c r="BH147" s="12" t="n"/>
      <c r="BI147" s="12" t="n"/>
      <c r="BJ147" s="12" t="n"/>
      <c r="BK147" s="12" t="n"/>
      <c r="BL147" s="12" t="n"/>
      <c r="BM147" s="12" t="n"/>
      <c r="BN147" s="12" t="n"/>
      <c r="BO147" s="12" t="n"/>
      <c r="BP147" s="12" t="n"/>
      <c r="BQ147" s="12" t="n"/>
      <c r="BR147" s="12" t="n"/>
      <c r="BS147" s="12" t="n"/>
      <c r="BT147" s="12" t="n"/>
      <c r="BU147" s="12" t="n"/>
      <c r="BV147" s="12" t="n"/>
      <c r="BW147" s="12" t="n"/>
      <c r="BX147" s="12" t="n"/>
      <c r="BY147" s="12" t="n"/>
      <c r="BZ147" s="12" t="n"/>
      <c r="CA147" s="12" t="n"/>
      <c r="CB147" s="12" t="n"/>
      <c r="CC147" s="12" t="n"/>
      <c r="CD147" s="12" t="n"/>
      <c r="CE147" s="12" t="n"/>
      <c r="CF147" s="12" t="n"/>
      <c r="CG147" s="12" t="n"/>
      <c r="CH147" s="12" t="n"/>
      <c r="CI147" s="12" t="n"/>
      <c r="CJ147" s="12" t="n"/>
      <c r="CK147" s="12" t="n"/>
      <c r="CL147" s="12" t="n"/>
      <c r="CM147" s="12" t="n"/>
      <c r="CN147" s="12" t="n"/>
      <c r="CO147" s="12" t="n"/>
      <c r="CP147" s="12" t="n"/>
      <c r="CQ147" s="12" t="n"/>
      <c r="CR147" s="12" t="n"/>
      <c r="CS147" s="12" t="n"/>
      <c r="CT147" s="12" t="n"/>
      <c r="CU147" s="12" t="n"/>
      <c r="CV147" s="12" t="n"/>
      <c r="CW147" s="12" t="n"/>
      <c r="CX147" s="12" t="n"/>
      <c r="CY147" s="12" t="n"/>
    </row>
    <row r="148" hidden="1" outlineLevel="1">
      <c r="C148" s="57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  <c r="V148" s="12" t="n"/>
      <c r="W148" s="12" t="n"/>
      <c r="X148" s="12" t="n"/>
      <c r="Y148" s="12" t="n"/>
      <c r="Z148" s="12" t="n"/>
      <c r="AA148" s="12" t="n"/>
      <c r="AB148" s="12" t="n"/>
      <c r="AC148" s="12" t="n"/>
      <c r="AD148" s="12" t="n"/>
      <c r="AE148" s="12" t="n"/>
      <c r="AF148" s="12" t="n"/>
      <c r="AG148" s="12" t="n"/>
      <c r="AH148" s="12" t="n"/>
      <c r="AI148" s="12" t="n"/>
      <c r="AJ148" s="12" t="n"/>
      <c r="AK148" s="12" t="n"/>
      <c r="AL148" s="12" t="n"/>
      <c r="AM148" s="12" t="n"/>
      <c r="AN148" s="12" t="n"/>
      <c r="AO148" s="12" t="n"/>
      <c r="AP148" s="12" t="n"/>
      <c r="AQ148" s="12" t="n"/>
      <c r="AR148" s="12" t="n"/>
      <c r="AS148" s="12" t="n"/>
      <c r="AT148" s="12" t="n"/>
      <c r="AU148" s="12" t="n"/>
      <c r="AV148" s="12" t="n"/>
      <c r="AW148" s="12" t="n"/>
      <c r="AX148" s="12" t="n"/>
      <c r="AY148" s="12" t="n"/>
      <c r="AZ148" s="12" t="n"/>
      <c r="BA148" s="12" t="n"/>
      <c r="BB148" s="12" t="n"/>
      <c r="BC148" s="12" t="n"/>
      <c r="BD148" s="12" t="n"/>
      <c r="BE148" s="12" t="n"/>
      <c r="BF148" s="12" t="n"/>
      <c r="BG148" s="12" t="n"/>
      <c r="BH148" s="12" t="n"/>
      <c r="BI148" s="12" t="n"/>
      <c r="BJ148" s="12" t="n"/>
      <c r="BK148" s="12" t="n"/>
      <c r="BL148" s="12" t="n"/>
      <c r="BM148" s="12" t="n"/>
      <c r="BN148" s="12" t="n"/>
      <c r="BO148" s="12" t="n"/>
      <c r="BP148" s="12" t="n"/>
      <c r="BQ148" s="12" t="n"/>
      <c r="BR148" s="12" t="n"/>
      <c r="BS148" s="12" t="n"/>
      <c r="BT148" s="12" t="n"/>
      <c r="BU148" s="12" t="n"/>
      <c r="BV148" s="12" t="n"/>
      <c r="BW148" s="12" t="n"/>
      <c r="BX148" s="12" t="n"/>
      <c r="BY148" s="12" t="n"/>
      <c r="BZ148" s="12" t="n"/>
      <c r="CA148" s="12" t="n"/>
      <c r="CB148" s="12" t="n"/>
      <c r="CC148" s="12" t="n"/>
      <c r="CD148" s="12" t="n"/>
      <c r="CE148" s="12" t="n"/>
      <c r="CF148" s="12" t="n"/>
      <c r="CG148" s="12" t="n"/>
      <c r="CH148" s="12" t="n"/>
      <c r="CI148" s="12" t="n"/>
      <c r="CJ148" s="12" t="n"/>
      <c r="CK148" s="12" t="n"/>
      <c r="CL148" s="12" t="n"/>
      <c r="CM148" s="12" t="n"/>
      <c r="CN148" s="12" t="n"/>
      <c r="CO148" s="12" t="n"/>
      <c r="CP148" s="12" t="n"/>
      <c r="CQ148" s="12" t="n"/>
      <c r="CR148" s="12" t="n"/>
      <c r="CS148" s="12" t="n"/>
      <c r="CT148" s="12" t="n"/>
      <c r="CU148" s="12" t="n"/>
      <c r="CV148" s="12" t="n"/>
      <c r="CW148" s="12" t="n"/>
      <c r="CX148" s="12" t="n"/>
      <c r="CY148" s="12" t="n"/>
    </row>
    <row r="149" collapsed="1">
      <c r="C149" s="14" t="inlineStr">
        <is>
          <t>Inventories</t>
        </is>
      </c>
      <c r="D149" s="46" t="n"/>
      <c r="E149" s="46" t="n"/>
      <c r="F149" s="46" t="n"/>
      <c r="G149" s="46" t="n"/>
      <c r="H149" s="12" t="n"/>
      <c r="I149" s="46">
        <f>'Inputs (2)'!D17</f>
        <v>3317.028</v>
      </c>
      <c r="J149" s="46">
        <f>'Inputs (2)'!E17</f>
        <v>3526.757</v>
      </c>
      <c r="K149" s="46">
        <f>'Inputs (2)'!F17</f>
        <v>3560.234</v>
      </c>
      <c r="L149" s="46">
        <f>'Inputs (2)'!G17</f>
        <v>3534.027</v>
      </c>
      <c r="M149" s="12">
        <f>'Inputs (2)'!H17</f>
        <v>3534.027</v>
      </c>
      <c r="N149" s="46">
        <f>'Inputs (2)'!I17</f>
        <v>3569.1</v>
      </c>
      <c r="O149" s="46">
        <f>'Inputs (2)'!J17</f>
        <v>3566.376</v>
      </c>
      <c r="P149" s="46">
        <f>'Inputs (2)'!K17</f>
        <v>3671.333</v>
      </c>
      <c r="Q149" s="46">
        <f>'Inputs (2)'!L17</f>
        <v>3978.256</v>
      </c>
      <c r="R149" s="12">
        <f>'Inputs (2)'!M17</f>
        <v>3978.256</v>
      </c>
      <c r="S149" s="46">
        <f>'Inputs (2)'!N17</f>
        <v>3983.96842692</v>
      </c>
      <c r="T149" s="46">
        <f>'Inputs (2)'!O17</f>
        <v>4143.85828971</v>
      </c>
      <c r="U149" s="46">
        <f>'Inputs (2)'!P17</f>
        <v>4290.47313595</v>
      </c>
      <c r="V149" s="46">
        <f>'Inputs (2)'!Q17</f>
        <v>4461.91694769</v>
      </c>
      <c r="W149" s="12">
        <f>'Inputs (2)'!R17</f>
        <v>4461.91694769</v>
      </c>
      <c r="X149" s="46">
        <f>'Inputs (2)'!S17</f>
        <v>4600.3562162</v>
      </c>
      <c r="Y149" s="46">
        <f>'Inputs (2)'!T17</f>
        <v>4920.57776042</v>
      </c>
      <c r="Z149" s="46">
        <f>'Inputs (2)'!U17</f>
        <v>5329.15890456</v>
      </c>
      <c r="AA149" s="46">
        <f>'Inputs (2)'!V17</f>
        <v>5532.09</v>
      </c>
      <c r="AB149" s="12">
        <f>'Inputs (2)'!W17</f>
        <v>5532.09</v>
      </c>
      <c r="AC149" s="46">
        <f>'Inputs (2)'!X17</f>
        <v>5807.541</v>
      </c>
      <c r="AD149" s="46">
        <f>'Inputs (2)'!Y17</f>
        <v>5914.381</v>
      </c>
      <c r="AE149" s="46">
        <f>'Inputs (2)'!Z17</f>
        <v>6203.769</v>
      </c>
      <c r="AF149" s="46">
        <f>'Inputs (2)'!AA17</f>
        <v>6951.508</v>
      </c>
      <c r="AG149" s="12">
        <f>'Inputs (2)'!AB17</f>
        <v>6951.508</v>
      </c>
      <c r="AH149" s="12">
        <f>'Inputs (2)'!AC17</f>
        <v>7196.962</v>
      </c>
      <c r="AI149" s="12">
        <f>'Inputs (2)'!AD17</f>
        <v>7623.261</v>
      </c>
      <c r="AJ149" s="12">
        <f>(AJ150/(AJ$5-AI$5))*-AJ$54</f>
        <v>8620.26154070447</v>
      </c>
      <c r="AK149" s="12">
        <f>(AK150/(AK$5-AJ$5))*-AK$54</f>
        <v>9126.68626192586</v>
      </c>
      <c r="AL149" s="12">
        <f>AK149</f>
        <v>9126.68626192586</v>
      </c>
      <c r="AM149" s="12">
        <f>(AM150/(AM$5-AL$5))*-AM$54</f>
        <v>8862.84492181063</v>
      </c>
      <c r="AN149" s="12">
        <f>(AN150/(AN$5-AM$5))*-AN$54</f>
        <v>9629.08949394043</v>
      </c>
      <c r="AO149" s="12">
        <f>(AO150/(AO$5-AN$5))*-AO$54</f>
        <v>11060.7056687219</v>
      </c>
      <c r="AP149" s="12">
        <f>(AP150/(AP$5-AO$5))*-AP$54</f>
        <v>11710.5020534772</v>
      </c>
      <c r="AQ149" s="12">
        <f>AP149</f>
        <v>11710.5020534772</v>
      </c>
      <c r="AR149" s="12">
        <f>(AR150/(AR$5-AQ$5))*-AR$54</f>
        <v>11203.1718464149</v>
      </c>
      <c r="AS149" s="12">
        <f>(AS150/(AS$5-AR$5))*-AS$54</f>
        <v>12306.9929955286</v>
      </c>
      <c r="AT149" s="12">
        <f>(AT150/(AT$5-AS$5))*-AT$54</f>
        <v>14136.7496144082</v>
      </c>
      <c r="AU149" s="12">
        <f>(AU150/(AU$5-AT$5))*-AU$54</f>
        <v>14967.2579984807</v>
      </c>
      <c r="AV149" s="12">
        <f>AU149</f>
        <v>14967.2579984807</v>
      </c>
      <c r="AW149" s="12">
        <f>(AW150/(AW$5-AV$5))*-AW$54</f>
        <v>14421.2963557241</v>
      </c>
      <c r="AX149" s="12">
        <f>(AX150/(AX$5-AW$5))*-AX$54</f>
        <v>15668.1014339057</v>
      </c>
      <c r="AY149" s="12">
        <f>(AY150/(AY$5-AX$5))*-AY$54</f>
        <v>17997.5747922135</v>
      </c>
      <c r="AZ149" s="12">
        <f>(AZ150/(AZ$5-AY$5))*-AZ$54</f>
        <v>19054.8996487472</v>
      </c>
      <c r="BA149" s="12">
        <f>AZ149</f>
        <v>19054.8996487472</v>
      </c>
      <c r="BB149" s="12">
        <f>(BB150/(BB$5-BA$5))*-BB$54</f>
        <v>18287.7263540728</v>
      </c>
      <c r="BC149" s="12">
        <f>(BC150/(BC$5-BB$5))*-BC$54</f>
        <v>19868.8068286864</v>
      </c>
      <c r="BD149" s="12">
        <f>(BD150/(BD$5-BC$5))*-BD$54</f>
        <v>22822.8249887063</v>
      </c>
      <c r="BE149" s="12">
        <f>(BE150/(BE$5-BD$5))*-BE$54</f>
        <v>24163.6245372831</v>
      </c>
      <c r="BF149" s="12">
        <f>BE149</f>
        <v>24163.6245372831</v>
      </c>
      <c r="BG149" s="12" t="n"/>
      <c r="BH149" s="12" t="n"/>
      <c r="BI149" s="12" t="n"/>
      <c r="BJ149" s="12" t="n"/>
      <c r="BK149" s="12" t="n"/>
      <c r="BL149" s="12" t="n"/>
      <c r="BM149" s="12" t="n"/>
      <c r="BN149" s="12" t="n"/>
      <c r="BO149" s="12" t="n"/>
      <c r="BP149" s="12" t="n"/>
      <c r="BQ149" s="12" t="n"/>
      <c r="BR149" s="12" t="n"/>
      <c r="BS149" s="12" t="n"/>
      <c r="BT149" s="12" t="n"/>
      <c r="BU149" s="12" t="n"/>
      <c r="BV149" s="12" t="n"/>
      <c r="BW149" s="12" t="n"/>
      <c r="BX149" s="12" t="n"/>
      <c r="BY149" s="12" t="n"/>
      <c r="BZ149" s="12" t="n"/>
      <c r="CA149" s="12" t="n"/>
      <c r="CB149" s="12" t="n"/>
      <c r="CC149" s="12" t="n"/>
      <c r="CD149" s="12" t="n"/>
      <c r="CE149" s="12" t="n"/>
      <c r="CF149" s="12" t="n"/>
      <c r="CG149" s="12" t="n"/>
      <c r="CH149" s="12" t="n"/>
      <c r="CI149" s="12" t="n"/>
      <c r="CJ149" s="12" t="n"/>
      <c r="CK149" s="12" t="n"/>
      <c r="CL149" s="12" t="n"/>
      <c r="CM149" s="12" t="n"/>
      <c r="CN149" s="12" t="n"/>
      <c r="CO149" s="12" t="n"/>
      <c r="CP149" s="12" t="n"/>
      <c r="CQ149" s="12" t="n"/>
      <c r="CR149" s="12" t="n"/>
      <c r="CS149" s="12" t="n"/>
      <c r="CT149" s="12" t="n"/>
      <c r="CU149" s="12" t="n"/>
      <c r="CV149" s="12" t="n"/>
      <c r="CW149" s="12" t="n"/>
      <c r="CX149" s="12" t="n"/>
      <c r="CY149" s="12" t="n"/>
    </row>
    <row r="150" hidden="1" outlineLevel="1">
      <c r="C150" s="57" t="inlineStr">
        <is>
          <t>DIO</t>
        </is>
      </c>
      <c r="D150" s="12" t="n"/>
      <c r="E150" s="12" t="n"/>
      <c r="F150" s="12" t="n"/>
      <c r="G150" s="12" t="n"/>
      <c r="H150" s="12" t="n"/>
      <c r="I150" s="12">
        <f>IFERROR(((I149/I$54)*(I$5-H$5))*-1,"")</f>
        <v>1118.08970491529</v>
      </c>
      <c r="J150" s="12">
        <f>IFERROR(((J149/J$54)*(J$5-I$5))*-1,"")</f>
        <v>1219.77160322398</v>
      </c>
      <c r="K150" s="12">
        <f>IFERROR(((K149/K$54)*(K$5-J$5))*-1,"")</f>
        <v>1123.35539648069</v>
      </c>
      <c r="L150" s="12">
        <f>IFERROR(((L149/L$54)*(L$5-K$5))*-1,"")</f>
        <v>1001.60096290188</v>
      </c>
      <c r="M150" s="12" t="n"/>
      <c r="N150" s="12">
        <f>IFERROR(((N149/N$54)*(N$5-M$5))*-1,"")</f>
        <v>1059.75797245848</v>
      </c>
      <c r="O150" s="12">
        <f>IFERROR(((O149/O$54)*(O$5-N$5))*-1,"")</f>
        <v>804.715659388343</v>
      </c>
      <c r="P150" s="12">
        <f>IFERROR(((P149/P$54)*(P$5-O$5))*-1,"")</f>
        <v>890.644393698877</v>
      </c>
      <c r="Q150" s="12">
        <f>IFERROR(((Q149/Q$54)*(Q$5-P$5))*-1,"")</f>
        <v>1066.27070490485</v>
      </c>
      <c r="R150" s="12" t="n"/>
      <c r="S150" s="12">
        <f>IFERROR(((S149/S$54)*(S$5-R$5))*-1,"")</f>
        <v>997.585472415108</v>
      </c>
      <c r="T150" s="12">
        <f>IFERROR(((T149/T$54)*(T$5-S$5))*-1,"")</f>
        <v>942.193066343875</v>
      </c>
      <c r="U150" s="12">
        <f>IFERROR(((U149/U$54)*(U$5-T$5))*-1,"")</f>
        <v>1080.54916248717</v>
      </c>
      <c r="V150" s="12">
        <f>IFERROR(((V149/V$54)*(V$5-U$5))*-1,"")</f>
        <v>965.290069740134</v>
      </c>
      <c r="W150" s="12" t="n"/>
      <c r="X150" s="12">
        <f>IFERROR(((X149/X$54)*(X$5-W$5))*-1,"")</f>
        <v>976.19721964882</v>
      </c>
      <c r="Y150" s="12">
        <f>IFERROR(((Y149/Y$54)*(Y$5-X$5))*-1,"")</f>
        <v>826.771030957289</v>
      </c>
      <c r="Z150" s="12">
        <f>IFERROR(((Z149/Z$54)*(Z$5-Y$5))*-1,"")</f>
        <v>848.414499212675</v>
      </c>
      <c r="AA150" s="12">
        <f>IFERROR(((AA149/AA$54)*(AA$5-Z$5))*-1,"")</f>
        <v>874.768018645134</v>
      </c>
      <c r="AB150" s="12" t="n"/>
      <c r="AC150" s="12">
        <f>IFERROR(((AC149/AC$54)*(AC$5-AB$5))*-1,"")</f>
        <v>952.31436218573</v>
      </c>
      <c r="AD150" s="12">
        <f>IFERROR(((AD149/AD$54)*(AD$5-AC$5))*-1,"")</f>
        <v>826.764289949645</v>
      </c>
      <c r="AE150" s="12">
        <f>IFERROR(((AE149/AE$54)*(AE$5-AD$5))*-1,"")</f>
        <v>822.374399695687</v>
      </c>
      <c r="AF150" s="11">
        <f>IFERROR(((AF149/AF$54)*(AF$5-AE$5))*-1,"")</f>
        <v>880.015213227362</v>
      </c>
      <c r="AG150" s="12" t="n"/>
      <c r="AH150" s="11">
        <f>IFERROR(((AH149/AH$54)*(AH$5-AG$5))*-1,"")</f>
        <v>937.219681239736</v>
      </c>
      <c r="AI150" s="11">
        <f>IFERROR(((AI149/AI$54)*(AI$5-AH$5))*-1,"")</f>
        <v>903.625291779123</v>
      </c>
      <c r="AJ150" s="11">
        <f>Control!$B$26</f>
        <v>887.052206346214</v>
      </c>
      <c r="AK150" s="11">
        <f>Control!$B$26</f>
        <v>887.052206346214</v>
      </c>
      <c r="AL150" s="12" t="n"/>
      <c r="AM150" s="11">
        <f>Control!$C$26</f>
        <v>887.052206346214</v>
      </c>
      <c r="AN150" s="11">
        <f>Control!$C$26</f>
        <v>887.052206346214</v>
      </c>
      <c r="AO150" s="11">
        <f>Control!$C$26</f>
        <v>887.052206346214</v>
      </c>
      <c r="AP150" s="11">
        <f>Control!$C$26</f>
        <v>887.052206346214</v>
      </c>
      <c r="AQ150" s="12" t="n"/>
      <c r="AR150" s="11">
        <f>Control!$D$26</f>
        <v>887.052206346214</v>
      </c>
      <c r="AS150" s="11">
        <f>Control!$D$26</f>
        <v>887.052206346214</v>
      </c>
      <c r="AT150" s="11">
        <f>Control!$D$26</f>
        <v>887.052206346214</v>
      </c>
      <c r="AU150" s="11">
        <f>Control!$D$26</f>
        <v>887.052206346214</v>
      </c>
      <c r="AV150" s="12" t="n"/>
      <c r="AW150" s="11">
        <f>Control!$E$26</f>
        <v>887.052206346214</v>
      </c>
      <c r="AX150" s="11">
        <f>Control!$E$26</f>
        <v>887.052206346214</v>
      </c>
      <c r="AY150" s="11">
        <f>Control!$E$26</f>
        <v>887.052206346214</v>
      </c>
      <c r="AZ150" s="11">
        <f>Control!$E$26</f>
        <v>887.052206346214</v>
      </c>
      <c r="BA150" s="12" t="n"/>
      <c r="BB150" s="11">
        <f>Control!$F$26</f>
        <v>887.052206346214</v>
      </c>
      <c r="BC150" s="11">
        <f>Control!$F$26</f>
        <v>887.052206346214</v>
      </c>
      <c r="BD150" s="11">
        <f>Control!$F$26</f>
        <v>887.052206346214</v>
      </c>
      <c r="BE150" s="11">
        <f>Control!$F$26</f>
        <v>887.052206346214</v>
      </c>
      <c r="BF150" s="12" t="n"/>
      <c r="BG150" s="11" t="n"/>
      <c r="BH150" s="11" t="n"/>
      <c r="BI150" s="11" t="n"/>
      <c r="BJ150" s="11" t="n"/>
      <c r="BK150" s="12" t="n"/>
      <c r="BL150" s="11" t="n"/>
      <c r="BM150" s="11" t="n"/>
      <c r="BN150" s="11" t="n"/>
      <c r="BO150" s="11" t="n"/>
      <c r="BP150" s="12" t="n"/>
      <c r="BQ150" s="11" t="n"/>
      <c r="BR150" s="11" t="n"/>
      <c r="BS150" s="11" t="n"/>
      <c r="BT150" s="11" t="n"/>
      <c r="BU150" s="12" t="n"/>
      <c r="BV150" s="11" t="n"/>
      <c r="BW150" s="11" t="n"/>
      <c r="BX150" s="11" t="n"/>
      <c r="BY150" s="11" t="n"/>
      <c r="BZ150" s="12" t="n"/>
      <c r="CA150" s="11" t="n"/>
      <c r="CB150" s="11" t="n"/>
      <c r="CC150" s="11" t="n"/>
      <c r="CD150" s="11" t="n"/>
      <c r="CE150" s="12" t="n"/>
      <c r="CF150" s="11" t="n"/>
      <c r="CG150" s="11" t="n"/>
      <c r="CH150" s="11" t="n"/>
      <c r="CI150" s="11" t="n"/>
      <c r="CJ150" s="12" t="n"/>
      <c r="CK150" s="11" t="n"/>
      <c r="CL150" s="11" t="n"/>
      <c r="CM150" s="11" t="n"/>
      <c r="CN150" s="11" t="n"/>
      <c r="CO150" s="12" t="n"/>
      <c r="CP150" s="11" t="n"/>
      <c r="CQ150" s="11" t="n"/>
      <c r="CR150" s="11" t="n"/>
      <c r="CS150" s="11" t="n"/>
      <c r="CT150" s="12" t="n"/>
      <c r="CU150" s="11" t="n"/>
      <c r="CV150" s="11" t="n"/>
      <c r="CW150" s="11" t="n"/>
      <c r="CX150" s="11" t="n"/>
      <c r="CY150" s="12" t="n"/>
    </row>
    <row r="151" hidden="1" outlineLevel="1">
      <c r="C151" s="57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  <c r="V151" s="12" t="n"/>
      <c r="W151" s="12" t="n"/>
      <c r="X151" s="12" t="n"/>
      <c r="Y151" s="12" t="n"/>
      <c r="Z151" s="12" t="n"/>
      <c r="AA151" s="12" t="n"/>
      <c r="AB151" s="12" t="n"/>
      <c r="AC151" s="12" t="n"/>
      <c r="AD151" s="12" t="n"/>
      <c r="AE151" s="12" t="n"/>
      <c r="AF151" s="12" t="n"/>
      <c r="AG151" s="12" t="n"/>
      <c r="AH151" s="12" t="n"/>
      <c r="AI151" s="12" t="n"/>
      <c r="AJ151" s="12" t="n"/>
      <c r="AK151" s="12" t="n"/>
      <c r="AL151" s="12" t="n"/>
      <c r="AM151" s="12" t="n"/>
      <c r="AN151" s="12" t="n"/>
      <c r="AO151" s="12" t="n"/>
      <c r="AP151" s="12" t="n"/>
      <c r="AQ151" s="12" t="n"/>
      <c r="AR151" s="12" t="n"/>
      <c r="AS151" s="12" t="n"/>
      <c r="AT151" s="12" t="n"/>
      <c r="AU151" s="12" t="n"/>
      <c r="AV151" s="12" t="n"/>
      <c r="AW151" s="12" t="n"/>
      <c r="AX151" s="12" t="n"/>
      <c r="AY151" s="12" t="n"/>
      <c r="AZ151" s="12" t="n"/>
      <c r="BA151" s="12" t="n"/>
      <c r="BB151" s="12" t="n"/>
      <c r="BC151" s="12" t="n"/>
      <c r="BD151" s="12" t="n"/>
      <c r="BE151" s="12" t="n"/>
      <c r="BF151" s="12" t="n"/>
      <c r="BG151" s="12" t="n"/>
      <c r="BH151" s="12" t="n"/>
      <c r="BI151" s="12" t="n"/>
      <c r="BJ151" s="12" t="n"/>
      <c r="BK151" s="12" t="n"/>
      <c r="BL151" s="12" t="n"/>
      <c r="BM151" s="12" t="n"/>
      <c r="BN151" s="12" t="n"/>
      <c r="BO151" s="12" t="n"/>
      <c r="BP151" s="12" t="n"/>
      <c r="BQ151" s="12" t="n"/>
      <c r="BR151" s="12" t="n"/>
      <c r="BS151" s="12" t="n"/>
      <c r="BT151" s="12" t="n"/>
      <c r="BU151" s="12" t="n"/>
      <c r="BV151" s="12" t="n"/>
      <c r="BW151" s="12" t="n"/>
      <c r="BX151" s="12" t="n"/>
      <c r="BY151" s="12" t="n"/>
      <c r="BZ151" s="12" t="n"/>
      <c r="CA151" s="12" t="n"/>
      <c r="CB151" s="12" t="n"/>
      <c r="CC151" s="12" t="n"/>
      <c r="CD151" s="12" t="n"/>
      <c r="CE151" s="12" t="n"/>
      <c r="CF151" s="12" t="n"/>
      <c r="CG151" s="12" t="n"/>
      <c r="CH151" s="12" t="n"/>
      <c r="CI151" s="12" t="n"/>
      <c r="CJ151" s="12" t="n"/>
      <c r="CK151" s="12" t="n"/>
      <c r="CL151" s="12" t="n"/>
      <c r="CM151" s="12" t="n"/>
      <c r="CN151" s="12" t="n"/>
      <c r="CO151" s="12" t="n"/>
      <c r="CP151" s="12" t="n"/>
      <c r="CQ151" s="12" t="n"/>
      <c r="CR151" s="12" t="n"/>
      <c r="CS151" s="12" t="n"/>
      <c r="CT151" s="12" t="n"/>
      <c r="CU151" s="12" t="n"/>
      <c r="CV151" s="12" t="n"/>
      <c r="CW151" s="12" t="n"/>
      <c r="CX151" s="12" t="n"/>
      <c r="CY151" s="12" t="n"/>
    </row>
    <row r="152" hidden="1" outlineLevel="1">
      <c r="C152" s="57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2" t="n"/>
      <c r="P152" s="12" t="n"/>
      <c r="Q152" s="12" t="n"/>
      <c r="R152" s="12" t="n"/>
      <c r="S152" s="12" t="n"/>
      <c r="T152" s="12" t="n"/>
      <c r="U152" s="12" t="n"/>
      <c r="V152" s="12" t="n"/>
      <c r="W152" s="12" t="n"/>
      <c r="X152" s="12" t="n"/>
      <c r="Y152" s="12" t="n"/>
      <c r="Z152" s="12" t="n"/>
      <c r="AA152" s="12" t="n"/>
      <c r="AB152" s="12" t="n"/>
      <c r="AC152" s="12" t="n"/>
      <c r="AD152" s="12" t="n"/>
      <c r="AE152" s="12" t="n"/>
      <c r="AF152" s="12" t="n"/>
      <c r="AG152" s="12" t="n"/>
      <c r="AH152" s="12" t="n"/>
      <c r="AI152" s="12" t="n"/>
      <c r="AJ152" s="12" t="n"/>
      <c r="AK152" s="12" t="n"/>
      <c r="AL152" s="12" t="n"/>
      <c r="AM152" s="12" t="n"/>
      <c r="AN152" s="12" t="n"/>
      <c r="AO152" s="12" t="n"/>
      <c r="AP152" s="12" t="n"/>
      <c r="AQ152" s="12" t="n"/>
      <c r="AR152" s="12" t="n"/>
      <c r="AS152" s="12" t="n"/>
      <c r="AT152" s="12" t="n"/>
      <c r="AU152" s="12" t="n"/>
      <c r="AV152" s="12" t="n"/>
      <c r="AW152" s="12" t="n"/>
      <c r="AX152" s="12" t="n"/>
      <c r="AY152" s="12" t="n"/>
      <c r="AZ152" s="12" t="n"/>
      <c r="BA152" s="12" t="n"/>
      <c r="BB152" s="12" t="n"/>
      <c r="BC152" s="12" t="n"/>
      <c r="BD152" s="12" t="n"/>
      <c r="BE152" s="12" t="n"/>
      <c r="BF152" s="12" t="n"/>
      <c r="BG152" s="12" t="n"/>
      <c r="BH152" s="12" t="n"/>
      <c r="BI152" s="12" t="n"/>
      <c r="BJ152" s="12" t="n"/>
      <c r="BK152" s="12" t="n"/>
      <c r="BL152" s="12" t="n"/>
      <c r="BM152" s="12" t="n"/>
      <c r="BN152" s="12" t="n"/>
      <c r="BO152" s="12" t="n"/>
      <c r="BP152" s="12" t="n"/>
      <c r="BQ152" s="12" t="n"/>
      <c r="BR152" s="12" t="n"/>
      <c r="BS152" s="12" t="n"/>
      <c r="BT152" s="12" t="n"/>
      <c r="BU152" s="12" t="n"/>
      <c r="BV152" s="12" t="n"/>
      <c r="BW152" s="12" t="n"/>
      <c r="BX152" s="12" t="n"/>
      <c r="BY152" s="12" t="n"/>
      <c r="BZ152" s="12" t="n"/>
      <c r="CA152" s="12" t="n"/>
      <c r="CB152" s="12" t="n"/>
      <c r="CC152" s="12" t="n"/>
      <c r="CD152" s="12" t="n"/>
      <c r="CE152" s="12" t="n"/>
      <c r="CF152" s="12" t="n"/>
      <c r="CG152" s="12" t="n"/>
      <c r="CH152" s="12" t="n"/>
      <c r="CI152" s="12" t="n"/>
      <c r="CJ152" s="12" t="n"/>
      <c r="CK152" s="12" t="n"/>
      <c r="CL152" s="12" t="n"/>
      <c r="CM152" s="12" t="n"/>
      <c r="CN152" s="12" t="n"/>
      <c r="CO152" s="12" t="n"/>
      <c r="CP152" s="12" t="n"/>
      <c r="CQ152" s="12" t="n"/>
      <c r="CR152" s="12" t="n"/>
      <c r="CS152" s="12" t="n"/>
      <c r="CT152" s="12" t="n"/>
      <c r="CU152" s="12" t="n"/>
      <c r="CV152" s="12" t="n"/>
      <c r="CW152" s="12" t="n"/>
      <c r="CX152" s="12" t="n"/>
      <c r="CY152" s="12" t="n"/>
    </row>
    <row r="153" collapsed="1">
      <c r="C153" s="14" t="inlineStr">
        <is>
          <t>Deferred income taxes</t>
        </is>
      </c>
      <c r="D153" s="46" t="n"/>
      <c r="E153" s="46" t="n"/>
      <c r="F153" s="46" t="n"/>
      <c r="G153" s="46" t="n"/>
      <c r="H153" s="12" t="n"/>
      <c r="I153" s="46">
        <f>'Inputs (2)'!D18</f>
        <v>0</v>
      </c>
      <c r="J153" s="46">
        <f>'Inputs (2)'!E18</f>
        <v>0</v>
      </c>
      <c r="K153" s="46">
        <f>'Inputs (2)'!F18</f>
        <v>0</v>
      </c>
      <c r="L153" s="46">
        <f>'Inputs (2)'!G18</f>
        <v>0</v>
      </c>
      <c r="M153" s="12">
        <f>'Inputs (2)'!H18</f>
        <v>0</v>
      </c>
      <c r="N153" s="46">
        <f>'Inputs (2)'!I18</f>
        <v>0</v>
      </c>
      <c r="O153" s="46">
        <f>'Inputs (2)'!J18</f>
        <v>0</v>
      </c>
      <c r="P153" s="46">
        <f>'Inputs (2)'!K18</f>
        <v>0</v>
      </c>
      <c r="Q153" s="46">
        <f>'Inputs (2)'!L18</f>
        <v>0</v>
      </c>
      <c r="R153" s="12">
        <f>'Inputs (2)'!M18</f>
        <v>0</v>
      </c>
      <c r="S153" s="46">
        <f>'Inputs (2)'!N18</f>
        <v>0</v>
      </c>
      <c r="T153" s="46">
        <f>'Inputs (2)'!O18</f>
        <v>0</v>
      </c>
      <c r="U153" s="46">
        <f>'Inputs (2)'!P18</f>
        <v>0</v>
      </c>
      <c r="V153" s="46">
        <f>'Inputs (2)'!Q18</f>
        <v>0</v>
      </c>
      <c r="W153" s="12">
        <f>'Inputs (2)'!R18</f>
        <v>0</v>
      </c>
      <c r="X153" s="46">
        <f>'Inputs (2)'!S18</f>
        <v>0</v>
      </c>
      <c r="Y153" s="46">
        <f>'Inputs (2)'!T18</f>
        <v>0</v>
      </c>
      <c r="Z153" s="46">
        <f>'Inputs (2)'!U18</f>
        <v>0</v>
      </c>
      <c r="AA153" s="46">
        <f>'Inputs (2)'!V18</f>
        <v>0</v>
      </c>
      <c r="AB153" s="12">
        <f>'Inputs (2)'!W18</f>
        <v>0</v>
      </c>
      <c r="AC153" s="46">
        <f>'Inputs (2)'!X18</f>
        <v>0</v>
      </c>
      <c r="AD153" s="46">
        <f>'Inputs (2)'!Y18</f>
        <v>0</v>
      </c>
      <c r="AE153" s="46">
        <f>'Inputs (2)'!Z18</f>
        <v>0</v>
      </c>
      <c r="AF153" s="46">
        <f>'Inputs (2)'!AA18</f>
        <v>0</v>
      </c>
      <c r="AG153" s="12">
        <f>'Inputs (2)'!AB18</f>
        <v>0</v>
      </c>
      <c r="AH153" s="12">
        <f>'Inputs (2)'!AC18</f>
        <v>0</v>
      </c>
      <c r="AI153" s="12">
        <f>'Inputs (2)'!AD18</f>
        <v>0</v>
      </c>
      <c r="AJ153" s="12">
        <f>AI153</f>
        <v>0</v>
      </c>
      <c r="AK153" s="12">
        <f>AJ153</f>
        <v>0</v>
      </c>
      <c r="AL153" s="12">
        <f>AK153</f>
        <v>0</v>
      </c>
      <c r="AM153" s="12">
        <f>AL153</f>
        <v>0</v>
      </c>
      <c r="AN153" s="12">
        <f>AM153</f>
        <v>0</v>
      </c>
      <c r="AO153" s="12">
        <f>AN153</f>
        <v>0</v>
      </c>
      <c r="AP153" s="12">
        <f>AO153</f>
        <v>0</v>
      </c>
      <c r="AQ153" s="12">
        <f>AP153</f>
        <v>0</v>
      </c>
      <c r="AR153" s="12">
        <f>AQ153</f>
        <v>0</v>
      </c>
      <c r="AS153" s="12">
        <f>AR153</f>
        <v>0</v>
      </c>
      <c r="AT153" s="12">
        <f>AS153</f>
        <v>0</v>
      </c>
      <c r="AU153" s="12">
        <f>AT153</f>
        <v>0</v>
      </c>
      <c r="AV153" s="12">
        <f>AU153</f>
        <v>0</v>
      </c>
      <c r="AW153" s="12">
        <f>AV153</f>
        <v>0</v>
      </c>
      <c r="AX153" s="12">
        <f>AW153</f>
        <v>0</v>
      </c>
      <c r="AY153" s="12">
        <f>AX153</f>
        <v>0</v>
      </c>
      <c r="AZ153" s="12">
        <f>AY153</f>
        <v>0</v>
      </c>
      <c r="BA153" s="12">
        <f>AZ153</f>
        <v>0</v>
      </c>
      <c r="BB153" s="12">
        <f>BA153</f>
        <v>0</v>
      </c>
      <c r="BC153" s="12">
        <f>BB153</f>
        <v>0</v>
      </c>
      <c r="BD153" s="12">
        <f>BC153</f>
        <v>0</v>
      </c>
      <c r="BE153" s="12">
        <f>BD153</f>
        <v>0</v>
      </c>
      <c r="BF153" s="12">
        <f>BE153</f>
        <v>0</v>
      </c>
      <c r="BG153" s="12" t="n"/>
      <c r="BH153" s="12" t="n"/>
      <c r="BI153" s="12" t="n"/>
      <c r="BJ153" s="12" t="n"/>
      <c r="BK153" s="12" t="n"/>
      <c r="BL153" s="12" t="n"/>
      <c r="BM153" s="12" t="n"/>
      <c r="BN153" s="12" t="n"/>
      <c r="BO153" s="12" t="n"/>
      <c r="BP153" s="12" t="n"/>
      <c r="BQ153" s="12" t="n"/>
      <c r="BR153" s="12" t="n"/>
      <c r="BS153" s="12" t="n"/>
      <c r="BT153" s="12" t="n"/>
      <c r="BU153" s="12" t="n"/>
      <c r="BV153" s="12" t="n"/>
      <c r="BW153" s="12" t="n"/>
      <c r="BX153" s="12" t="n"/>
      <c r="BY153" s="12" t="n"/>
      <c r="BZ153" s="12" t="n"/>
      <c r="CA153" s="12" t="n"/>
      <c r="CB153" s="12" t="n"/>
      <c r="CC153" s="12" t="n"/>
      <c r="CD153" s="12" t="n"/>
      <c r="CE153" s="12" t="n"/>
      <c r="CF153" s="12" t="n"/>
      <c r="CG153" s="12" t="n"/>
      <c r="CH153" s="12" t="n"/>
      <c r="CI153" s="12" t="n"/>
      <c r="CJ153" s="12" t="n"/>
      <c r="CK153" s="12" t="n"/>
      <c r="CL153" s="12" t="n"/>
      <c r="CM153" s="12" t="n"/>
      <c r="CN153" s="12" t="n"/>
      <c r="CO153" s="12" t="n"/>
      <c r="CP153" s="12" t="n"/>
      <c r="CQ153" s="12" t="n"/>
      <c r="CR153" s="12" t="n"/>
      <c r="CS153" s="12" t="n"/>
      <c r="CT153" s="12" t="n"/>
      <c r="CU153" s="12" t="n"/>
      <c r="CV153" s="12" t="n"/>
      <c r="CW153" s="12" t="n"/>
      <c r="CX153" s="12" t="n"/>
      <c r="CY153" s="12" t="n"/>
    </row>
    <row r="154">
      <c r="C154" s="14" t="inlineStr">
        <is>
          <t>Prepaid expenses</t>
        </is>
      </c>
      <c r="D154" s="46" t="n"/>
      <c r="E154" s="46" t="n"/>
      <c r="F154" s="46" t="n"/>
      <c r="G154" s="46" t="n"/>
      <c r="H154" s="12" t="n"/>
      <c r="I154" s="46">
        <f>'Inputs (2)'!D19</f>
        <v>0</v>
      </c>
      <c r="J154" s="46">
        <f>'Inputs (2)'!E19</f>
        <v>0</v>
      </c>
      <c r="K154" s="46">
        <f>'Inputs (2)'!F19</f>
        <v>0</v>
      </c>
      <c r="L154" s="46">
        <f>'Inputs (2)'!G19</f>
        <v>0</v>
      </c>
      <c r="M154" s="12">
        <f>'Inputs (2)'!H19</f>
        <v>0</v>
      </c>
      <c r="N154" s="46">
        <f>'Inputs (2)'!I19</f>
        <v>0</v>
      </c>
      <c r="O154" s="46">
        <f>'Inputs (2)'!J19</f>
        <v>0</v>
      </c>
      <c r="P154" s="46">
        <f>'Inputs (2)'!K19</f>
        <v>0</v>
      </c>
      <c r="Q154" s="46">
        <f>'Inputs (2)'!L19</f>
        <v>0</v>
      </c>
      <c r="R154" s="12">
        <f>'Inputs (2)'!M19</f>
        <v>0</v>
      </c>
      <c r="S154" s="46">
        <f>'Inputs (2)'!N19</f>
        <v>0</v>
      </c>
      <c r="T154" s="46">
        <f>'Inputs (2)'!O19</f>
        <v>0</v>
      </c>
      <c r="U154" s="46">
        <f>'Inputs (2)'!P19</f>
        <v>0</v>
      </c>
      <c r="V154" s="46">
        <f>'Inputs (2)'!Q19</f>
        <v>0</v>
      </c>
      <c r="W154" s="12">
        <f>'Inputs (2)'!R19</f>
        <v>0</v>
      </c>
      <c r="X154" s="46">
        <f>'Inputs (2)'!S19</f>
        <v>0</v>
      </c>
      <c r="Y154" s="46">
        <f>'Inputs (2)'!T19</f>
        <v>0</v>
      </c>
      <c r="Z154" s="46">
        <f>'Inputs (2)'!U19</f>
        <v>0</v>
      </c>
      <c r="AA154" s="46">
        <f>'Inputs (2)'!V19</f>
        <v>0</v>
      </c>
      <c r="AB154" s="12">
        <f>'Inputs (2)'!W19</f>
        <v>0</v>
      </c>
      <c r="AC154" s="46">
        <f>'Inputs (2)'!X19</f>
        <v>0</v>
      </c>
      <c r="AD154" s="46">
        <f>'Inputs (2)'!Y19</f>
        <v>0</v>
      </c>
      <c r="AE154" s="46">
        <f>'Inputs (2)'!Z19</f>
        <v>0</v>
      </c>
      <c r="AF154" s="46">
        <f>'Inputs (2)'!AA19</f>
        <v>0</v>
      </c>
      <c r="AG154" s="12">
        <f>'Inputs (2)'!AB19</f>
        <v>0</v>
      </c>
      <c r="AH154" s="12">
        <f>'Inputs (2)'!AC19</f>
        <v>0</v>
      </c>
      <c r="AI154" s="12">
        <f>'Inputs (2)'!AD19</f>
        <v>0</v>
      </c>
      <c r="AJ154" s="12">
        <f>AI154</f>
        <v>0</v>
      </c>
      <c r="AK154" s="12">
        <f>AJ154</f>
        <v>0</v>
      </c>
      <c r="AL154" s="12">
        <f>AK154</f>
        <v>0</v>
      </c>
      <c r="AM154" s="12">
        <f>AL154</f>
        <v>0</v>
      </c>
      <c r="AN154" s="12">
        <f>AM154</f>
        <v>0</v>
      </c>
      <c r="AO154" s="12">
        <f>AN154</f>
        <v>0</v>
      </c>
      <c r="AP154" s="12">
        <f>AO154</f>
        <v>0</v>
      </c>
      <c r="AQ154" s="12">
        <f>AP154</f>
        <v>0</v>
      </c>
      <c r="AR154" s="12">
        <f>AQ154</f>
        <v>0</v>
      </c>
      <c r="AS154" s="12">
        <f>AR154</f>
        <v>0</v>
      </c>
      <c r="AT154" s="12">
        <f>AS154</f>
        <v>0</v>
      </c>
      <c r="AU154" s="12">
        <f>AT154</f>
        <v>0</v>
      </c>
      <c r="AV154" s="12">
        <f>AU154</f>
        <v>0</v>
      </c>
      <c r="AW154" s="12">
        <f>AV154</f>
        <v>0</v>
      </c>
      <c r="AX154" s="12">
        <f>AW154</f>
        <v>0</v>
      </c>
      <c r="AY154" s="12">
        <f>AX154</f>
        <v>0</v>
      </c>
      <c r="AZ154" s="12">
        <f>AY154</f>
        <v>0</v>
      </c>
      <c r="BA154" s="12">
        <f>AZ154</f>
        <v>0</v>
      </c>
      <c r="BB154" s="12">
        <f>BA154</f>
        <v>0</v>
      </c>
      <c r="BC154" s="12">
        <f>BB154</f>
        <v>0</v>
      </c>
      <c r="BD154" s="12">
        <f>BC154</f>
        <v>0</v>
      </c>
      <c r="BE154" s="12">
        <f>BD154</f>
        <v>0</v>
      </c>
      <c r="BF154" s="12">
        <f>BE154</f>
        <v>0</v>
      </c>
      <c r="BG154" s="12" t="n"/>
      <c r="BH154" s="12" t="n"/>
      <c r="BI154" s="12" t="n"/>
      <c r="BJ154" s="12" t="n"/>
      <c r="BK154" s="12" t="n"/>
      <c r="BL154" s="12" t="n"/>
      <c r="BM154" s="12" t="n"/>
      <c r="BN154" s="12" t="n"/>
      <c r="BO154" s="12" t="n"/>
      <c r="BP154" s="12" t="n"/>
      <c r="BQ154" s="12" t="n"/>
      <c r="BR154" s="12" t="n"/>
      <c r="BS154" s="12" t="n"/>
      <c r="BT154" s="12" t="n"/>
      <c r="BU154" s="12" t="n"/>
      <c r="BV154" s="12" t="n"/>
      <c r="BW154" s="12" t="n"/>
      <c r="BX154" s="12" t="n"/>
      <c r="BY154" s="12" t="n"/>
      <c r="BZ154" s="12" t="n"/>
      <c r="CA154" s="12" t="n"/>
      <c r="CB154" s="12" t="n"/>
      <c r="CC154" s="12" t="n"/>
      <c r="CD154" s="12" t="n"/>
      <c r="CE154" s="12" t="n"/>
      <c r="CF154" s="12" t="n"/>
      <c r="CG154" s="12" t="n"/>
      <c r="CH154" s="12" t="n"/>
      <c r="CI154" s="12" t="n"/>
      <c r="CJ154" s="12" t="n"/>
      <c r="CK154" s="12" t="n"/>
      <c r="CL154" s="12" t="n"/>
      <c r="CM154" s="12" t="n"/>
      <c r="CN154" s="12" t="n"/>
      <c r="CO154" s="12" t="n"/>
      <c r="CP154" s="12" t="n"/>
      <c r="CQ154" s="12" t="n"/>
      <c r="CR154" s="12" t="n"/>
      <c r="CS154" s="12" t="n"/>
      <c r="CT154" s="12" t="n"/>
      <c r="CU154" s="12" t="n"/>
      <c r="CV154" s="12" t="n"/>
      <c r="CW154" s="12" t="n"/>
      <c r="CX154" s="12" t="n"/>
      <c r="CY154" s="12" t="n"/>
    </row>
    <row r="155">
      <c r="C155" s="14" t="inlineStr">
        <is>
          <t>Other current assets</t>
        </is>
      </c>
      <c r="D155" s="46" t="n"/>
      <c r="E155" s="46" t="n"/>
      <c r="F155" s="46" t="n"/>
      <c r="G155" s="46" t="n"/>
      <c r="H155" s="12" t="n"/>
      <c r="I155" s="46">
        <f>'Inputs (2)'!D20</f>
        <v>189</v>
      </c>
      <c r="J155" s="46">
        <f>'Inputs (2)'!E20</f>
        <v>223.627</v>
      </c>
      <c r="K155" s="46">
        <f>'Inputs (2)'!F20</f>
        <v>226.319</v>
      </c>
      <c r="L155" s="46">
        <f>'Inputs (2)'!G20</f>
        <v>344.828</v>
      </c>
      <c r="M155" s="12">
        <f>'Inputs (2)'!H20</f>
        <v>344.828</v>
      </c>
      <c r="N155" s="46">
        <f>'Inputs (2)'!I20</f>
        <v>370.969</v>
      </c>
      <c r="O155" s="46">
        <f>'Inputs (2)'!J20</f>
        <v>361.173</v>
      </c>
      <c r="P155" s="46">
        <f>'Inputs (2)'!K20</f>
        <v>378.623</v>
      </c>
      <c r="Q155" s="46">
        <f>'Inputs (2)'!L20</f>
        <v>266.224</v>
      </c>
      <c r="R155" s="12">
        <f>'Inputs (2)'!M20</f>
        <v>266.224</v>
      </c>
      <c r="S155" s="46">
        <f>'Inputs (2)'!N20</f>
        <v>298.04230866</v>
      </c>
      <c r="T155" s="46">
        <f>'Inputs (2)'!O20</f>
        <v>390.37234842</v>
      </c>
      <c r="U155" s="46">
        <f>'Inputs (2)'!P20</f>
        <v>291.23374589</v>
      </c>
      <c r="V155" s="46">
        <f>'Inputs (2)'!Q20</f>
        <v>313.53939033</v>
      </c>
      <c r="W155" s="12">
        <f>'Inputs (2)'!R20</f>
        <v>313.53939033</v>
      </c>
      <c r="X155" s="46">
        <f>'Inputs (2)'!S20</f>
        <v>323.12129802</v>
      </c>
      <c r="Y155" s="46">
        <f>'Inputs (2)'!T20</f>
        <v>359.69343005</v>
      </c>
      <c r="Z155" s="46">
        <f>'Inputs (2)'!U20</f>
        <v>370.32834847</v>
      </c>
      <c r="AA155" s="46">
        <f>'Inputs (2)'!V20</f>
        <v>320.273</v>
      </c>
      <c r="AB155" s="12">
        <f>'Inputs (2)'!W20</f>
        <v>320.273</v>
      </c>
      <c r="AC155" s="46">
        <f>'Inputs (2)'!X20</f>
        <v>351.517</v>
      </c>
      <c r="AD155" s="46">
        <f>'Inputs (2)'!Y20</f>
        <v>348.21</v>
      </c>
      <c r="AE155" s="46">
        <f>'Inputs (2)'!Z20</f>
        <v>372.913</v>
      </c>
      <c r="AF155" s="46">
        <f>'Inputs (2)'!AA20</f>
        <v>420.5</v>
      </c>
      <c r="AG155" s="12">
        <f>'Inputs (2)'!AB20</f>
        <v>420.5</v>
      </c>
      <c r="AH155" s="12">
        <f>'Inputs (2)'!AC20</f>
        <v>417.402</v>
      </c>
      <c r="AI155" s="12">
        <f>'Inputs (2)'!AD20</f>
        <v>446.289</v>
      </c>
      <c r="AJ155" s="12">
        <f>AI155</f>
        <v>446.289</v>
      </c>
      <c r="AK155" s="12">
        <f>AJ155</f>
        <v>446.289</v>
      </c>
      <c r="AL155" s="12">
        <f>AK155</f>
        <v>446.289</v>
      </c>
      <c r="AM155" s="12">
        <f>AL155</f>
        <v>446.289</v>
      </c>
      <c r="AN155" s="12">
        <f>AM155</f>
        <v>446.289</v>
      </c>
      <c r="AO155" s="12">
        <f>AN155</f>
        <v>446.289</v>
      </c>
      <c r="AP155" s="12">
        <f>AO155</f>
        <v>446.289</v>
      </c>
      <c r="AQ155" s="12">
        <f>AP155</f>
        <v>446.289</v>
      </c>
      <c r="AR155" s="12">
        <f>AQ155</f>
        <v>446.289</v>
      </c>
      <c r="AS155" s="12">
        <f>AR155</f>
        <v>446.289</v>
      </c>
      <c r="AT155" s="12">
        <f>AS155</f>
        <v>446.289</v>
      </c>
      <c r="AU155" s="12">
        <f>AT155</f>
        <v>446.289</v>
      </c>
      <c r="AV155" s="12">
        <f>AU155</f>
        <v>446.289</v>
      </c>
      <c r="AW155" s="12">
        <f>AV155</f>
        <v>446.289</v>
      </c>
      <c r="AX155" s="12">
        <f>AW155</f>
        <v>446.289</v>
      </c>
      <c r="AY155" s="12">
        <f>AX155</f>
        <v>446.289</v>
      </c>
      <c r="AZ155" s="12">
        <f>AY155</f>
        <v>446.289</v>
      </c>
      <c r="BA155" s="12">
        <f>AZ155</f>
        <v>446.289</v>
      </c>
      <c r="BB155" s="12">
        <f>BA155</f>
        <v>446.289</v>
      </c>
      <c r="BC155" s="12">
        <f>BB155</f>
        <v>446.289</v>
      </c>
      <c r="BD155" s="12">
        <f>BC155</f>
        <v>446.289</v>
      </c>
      <c r="BE155" s="12">
        <f>BD155</f>
        <v>446.289</v>
      </c>
      <c r="BF155" s="12">
        <f>BE155</f>
        <v>446.289</v>
      </c>
      <c r="BG155" s="12" t="n"/>
      <c r="BH155" s="12" t="n"/>
      <c r="BI155" s="12" t="n"/>
      <c r="BJ155" s="12" t="n"/>
      <c r="BK155" s="12" t="n"/>
      <c r="BL155" s="12" t="n"/>
      <c r="BM155" s="12" t="n"/>
      <c r="BN155" s="12" t="n"/>
      <c r="BO155" s="12" t="n"/>
      <c r="BP155" s="12" t="n"/>
      <c r="BQ155" s="12" t="n"/>
      <c r="BR155" s="12" t="n"/>
      <c r="BS155" s="12" t="n"/>
      <c r="BT155" s="12" t="n"/>
      <c r="BU155" s="12" t="n"/>
      <c r="BV155" s="12" t="n"/>
      <c r="BW155" s="12" t="n"/>
      <c r="BX155" s="12" t="n"/>
      <c r="BY155" s="12" t="n"/>
      <c r="BZ155" s="12" t="n"/>
      <c r="CA155" s="12" t="n"/>
      <c r="CB155" s="12" t="n"/>
      <c r="CC155" s="12" t="n"/>
      <c r="CD155" s="12" t="n"/>
      <c r="CE155" s="12" t="n"/>
      <c r="CF155" s="12" t="n"/>
      <c r="CG155" s="12" t="n"/>
      <c r="CH155" s="12" t="n"/>
      <c r="CI155" s="12" t="n"/>
      <c r="CJ155" s="12" t="n"/>
      <c r="CK155" s="12" t="n"/>
      <c r="CL155" s="12" t="n"/>
      <c r="CM155" s="12" t="n"/>
      <c r="CN155" s="12" t="n"/>
      <c r="CO155" s="12" t="n"/>
      <c r="CP155" s="12" t="n"/>
      <c r="CQ155" s="12" t="n"/>
      <c r="CR155" s="12" t="n"/>
      <c r="CS155" s="12" t="n"/>
      <c r="CT155" s="12" t="n"/>
      <c r="CU155" s="12" t="n"/>
      <c r="CV155" s="12" t="n"/>
      <c r="CW155" s="12" t="n"/>
      <c r="CX155" s="12" t="n"/>
      <c r="CY155" s="12" t="n"/>
    </row>
    <row r="156" hidden="1" outlineLevel="1">
      <c r="C156" s="59" t="inlineStr">
        <is>
          <t>%(Var.)</t>
        </is>
      </c>
      <c r="D156" s="12" t="n"/>
      <c r="E156" s="40" t="n"/>
      <c r="F156" s="40" t="n"/>
      <c r="G156" s="40" t="n"/>
      <c r="H156" s="12" t="n"/>
      <c r="I156" s="40" t="str">
        <f>""</f>
        <v/>
      </c>
      <c r="J156" s="40">
        <f>IFERROR(IF(I155=0,"",J155/I155-1),"")</f>
        <v>0.18321164021164</v>
      </c>
      <c r="K156" s="40">
        <f>IFERROR(IF(J155=0,"",K155/J155-1),"")</f>
        <v>0.0120379023999784</v>
      </c>
      <c r="L156" s="40">
        <f>IFERROR(IF(K155=0,"",L155/K155-1),"")</f>
        <v>0.523636990265952</v>
      </c>
      <c r="M156" s="12">
        <f>IFERROR(IF(L155=0,"",M155/L155-1),"")</f>
        <v>0</v>
      </c>
      <c r="N156" s="40">
        <f>IFERROR(IF(M155=0,"",N155/M155-1),"")</f>
        <v>0.0758088090294293</v>
      </c>
      <c r="O156" s="40">
        <f>IFERROR(IF(N155=0,"",O155/N155-1),"")</f>
        <v>-0.026406519143109</v>
      </c>
      <c r="P156" s="40">
        <f>IFERROR(IF(O155=0,"",P155/O155-1),"")</f>
        <v>0.0483147965102595</v>
      </c>
      <c r="Q156" s="40">
        <f>IFERROR(IF(P155=0,"",Q155/P155-1),"")</f>
        <v>-0.296862578343101</v>
      </c>
      <c r="R156" s="12">
        <f>IFERROR(IF(Q155=0,"",R155/Q155-1),"")</f>
        <v>0</v>
      </c>
      <c r="S156" s="40">
        <f>IFERROR(IF(R155=0,"",S155/R155-1),"")</f>
        <v>0.119517055787608</v>
      </c>
      <c r="T156" s="40">
        <f>IFERROR(IF(S155=0,"",T155/S155-1),"")</f>
        <v>0.309788365870324</v>
      </c>
      <c r="U156" s="40">
        <f>IFERROR(IF(T155=0,"",U155/T155-1),"")</f>
        <v>-0.253959080173725</v>
      </c>
      <c r="V156" s="40">
        <f>IFERROR(IF(U155=0,"",V155/U155-1),"")</f>
        <v>0.0765901780091955</v>
      </c>
      <c r="W156" s="12">
        <f>IFERROR(IF(V155=0,"",W155/V155-1),"")</f>
        <v>0</v>
      </c>
      <c r="X156" s="40">
        <f>IFERROR(IF(W155=0,"",X155/W155-1),"")</f>
        <v>0.0305604590221187</v>
      </c>
      <c r="Y156" s="40">
        <f>IFERROR(IF(X155=0,"",Y155/X155-1),"")</f>
        <v>0.113183910358445</v>
      </c>
      <c r="Z156" s="40">
        <f>IFERROR(IF(Y155=0,"",Z155/Y155-1),"")</f>
        <v>0.0295666184909789</v>
      </c>
      <c r="AA156" s="40">
        <f>IFERROR(IF(Z155=0,"",AA155/Z155-1),"")</f>
        <v>-0.135164776547089</v>
      </c>
      <c r="AB156" s="12">
        <f>IFERROR(IF(AA155=0,"",AB155/AA155-1),"")</f>
        <v>0</v>
      </c>
      <c r="AC156" s="40">
        <f>IFERROR(IF(AB155=0,"",AC155/AB155-1),"")</f>
        <v>0.0975542740099851</v>
      </c>
      <c r="AD156" s="40">
        <f>IFERROR(IF(AC155=0,"",AD155/AC155-1),"")</f>
        <v>-0.00940779535555891</v>
      </c>
      <c r="AE156" s="40">
        <f>IFERROR(IF(AD155=0,"",AE155/AD155-1),"")</f>
        <v>0.0709428218603718</v>
      </c>
      <c r="AF156" s="55">
        <f>IFERROR(IF(AE155=0,"",AF155/AE155-1),"")</f>
        <v>0.127608852466929</v>
      </c>
      <c r="AG156" s="12">
        <f>IFERROR(IF(AF155=0,"",AG155/AF155-1),"")</f>
        <v>0</v>
      </c>
      <c r="AH156" s="12">
        <f>IFERROR(IF(AG155=0,"",AH155/AG155-1),"")</f>
        <v>-0.00736741973840671</v>
      </c>
      <c r="AI156" s="12">
        <f>IFERROR(IF(AH155=0,"",AI155/AH155-1),"")</f>
        <v>0.069206664079233</v>
      </c>
      <c r="AJ156" s="12">
        <f>IFERROR(IF(AI155=0,"",AJ155/AI155-1),"")</f>
        <v>0</v>
      </c>
      <c r="AK156" s="12">
        <f>IFERROR(IF(AJ155=0,"",AK155/AJ155-1),"")</f>
        <v>0</v>
      </c>
      <c r="AL156" s="12">
        <f>IFERROR(IF(AK155=0,"",AL155/AK155-1),"")</f>
        <v>0</v>
      </c>
      <c r="AM156" s="12">
        <f>IFERROR(IF(AL155=0,"",AM155/AL155-1),"")</f>
        <v>0</v>
      </c>
      <c r="AN156" s="12">
        <f>IFERROR(IF(AM155=0,"",AN155/AM155-1),"")</f>
        <v>0</v>
      </c>
      <c r="AO156" s="12">
        <f>IFERROR(IF(AN155=0,"",AO155/AN155-1),"")</f>
        <v>0</v>
      </c>
      <c r="AP156" s="12">
        <f>IFERROR(IF(AO155=0,"",AP155/AO155-1),"")</f>
        <v>0</v>
      </c>
      <c r="AQ156" s="12">
        <f>IFERROR(IF(AP155=0,"",AQ155/AP155-1),"")</f>
        <v>0</v>
      </c>
      <c r="AR156" s="12">
        <f>IFERROR(IF(AQ155=0,"",AR155/AQ155-1),"")</f>
        <v>0</v>
      </c>
      <c r="AS156" s="12">
        <f>IFERROR(IF(AR155=0,"",AS155/AR155-1),"")</f>
        <v>0</v>
      </c>
      <c r="AT156" s="12">
        <f>IFERROR(IF(AS155=0,"",AT155/AS155-1),"")</f>
        <v>0</v>
      </c>
      <c r="AU156" s="12">
        <f>IFERROR(IF(AT155=0,"",AU155/AT155-1),"")</f>
        <v>0</v>
      </c>
      <c r="AV156" s="12">
        <f>IFERROR(IF(AU155=0,"",AV155/AU155-1),"")</f>
        <v>0</v>
      </c>
      <c r="AW156" s="12">
        <f>IFERROR(IF(AV155=0,"",AW155/AV155-1),"")</f>
        <v>0</v>
      </c>
      <c r="AX156" s="12">
        <f>IFERROR(IF(AW155=0,"",AX155/AW155-1),"")</f>
        <v>0</v>
      </c>
      <c r="AY156" s="12">
        <f>IFERROR(IF(AX155=0,"",AY155/AX155-1),"")</f>
        <v>0</v>
      </c>
      <c r="AZ156" s="12">
        <f>IFERROR(IF(AY155=0,"",AZ155/AY155-1),"")</f>
        <v>0</v>
      </c>
      <c r="BA156" s="12">
        <f>IFERROR(IF(AZ155=0,"",BA155/AZ155-1),"")</f>
        <v>0</v>
      </c>
      <c r="BB156" s="12">
        <f>IFERROR(IF(BA155=0,"",BB155/BA155-1),"")</f>
        <v>0</v>
      </c>
      <c r="BC156" s="12">
        <f>IFERROR(IF(BB155=0,"",BC155/BB155-1),"")</f>
        <v>0</v>
      </c>
      <c r="BD156" s="12">
        <f>IFERROR(IF(BC155=0,"",BD155/BC155-1),"")</f>
        <v>0</v>
      </c>
      <c r="BE156" s="12">
        <f>IFERROR(IF(BD155=0,"",BE155/BD155-1),"")</f>
        <v>0</v>
      </c>
      <c r="BF156" s="12">
        <f>IFERROR(IF(BE155=0,"",BF155/BE155-1),"")</f>
        <v>0</v>
      </c>
      <c r="BG156" s="12" t="n"/>
      <c r="BH156" s="12" t="n"/>
      <c r="BI156" s="12" t="n"/>
      <c r="BJ156" s="12" t="n"/>
      <c r="BK156" s="12" t="n"/>
      <c r="BL156" s="12" t="n"/>
      <c r="BM156" s="12" t="n"/>
      <c r="BN156" s="12" t="n"/>
      <c r="BO156" s="12" t="n"/>
      <c r="BP156" s="12" t="n"/>
      <c r="BQ156" s="12" t="n"/>
      <c r="BR156" s="12" t="n"/>
      <c r="BS156" s="12" t="n"/>
      <c r="BT156" s="12" t="n"/>
      <c r="BU156" s="12" t="n"/>
      <c r="BV156" s="12" t="n"/>
      <c r="BW156" s="12" t="n"/>
      <c r="BX156" s="12" t="n"/>
      <c r="BY156" s="12" t="n"/>
      <c r="BZ156" s="12" t="n"/>
      <c r="CA156" s="12" t="n"/>
      <c r="CB156" s="12" t="n"/>
      <c r="CC156" s="12" t="n"/>
      <c r="CD156" s="12" t="n"/>
      <c r="CE156" s="12" t="n"/>
      <c r="CF156" s="12" t="n"/>
      <c r="CG156" s="12" t="n"/>
      <c r="CH156" s="12" t="n"/>
      <c r="CI156" s="12" t="n"/>
      <c r="CJ156" s="12" t="n"/>
      <c r="CK156" s="12" t="n"/>
      <c r="CL156" s="12" t="n"/>
      <c r="CM156" s="12" t="n"/>
      <c r="CN156" s="12" t="n"/>
      <c r="CO156" s="12" t="n"/>
      <c r="CP156" s="12" t="n"/>
      <c r="CQ156" s="12" t="n"/>
      <c r="CR156" s="12" t="n"/>
      <c r="CS156" s="12" t="n"/>
      <c r="CT156" s="12" t="n"/>
      <c r="CU156" s="12" t="n"/>
      <c r="CV156" s="12" t="n"/>
      <c r="CW156" s="12" t="n"/>
      <c r="CX156" s="12" t="n"/>
      <c r="CY156" s="12" t="n"/>
    </row>
    <row r="157" hidden="1" outlineLevel="1">
      <c r="C157" s="57" t="n"/>
      <c r="D157" s="12" t="n"/>
      <c r="E157" s="40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2" t="n"/>
      <c r="X157" s="12" t="n"/>
      <c r="Y157" s="12" t="n"/>
      <c r="Z157" s="12" t="n"/>
      <c r="AA157" s="12" t="n"/>
      <c r="AB157" s="12" t="n"/>
      <c r="AC157" s="12" t="n"/>
      <c r="AD157" s="12" t="n"/>
      <c r="AE157" s="12" t="n"/>
      <c r="AF157" s="12" t="n"/>
      <c r="AG157" s="12" t="n"/>
      <c r="AH157" s="12" t="n"/>
      <c r="AI157" s="12" t="n"/>
      <c r="AJ157" s="12" t="n"/>
      <c r="AK157" s="12" t="n"/>
      <c r="AL157" s="12" t="n"/>
      <c r="AM157" s="12" t="n"/>
      <c r="AN157" s="12" t="n"/>
      <c r="AO157" s="12" t="n"/>
      <c r="AP157" s="12" t="n"/>
      <c r="AQ157" s="12" t="n"/>
      <c r="AR157" s="12" t="n"/>
      <c r="AS157" s="12" t="n"/>
      <c r="AT157" s="12" t="n"/>
      <c r="AU157" s="12" t="n"/>
      <c r="AV157" s="12" t="n"/>
      <c r="AW157" s="12" t="n"/>
      <c r="AX157" s="12" t="n"/>
      <c r="AY157" s="12" t="n"/>
      <c r="AZ157" s="12" t="n"/>
      <c r="BA157" s="12" t="n"/>
      <c r="BB157" s="12" t="n"/>
      <c r="BC157" s="12" t="n"/>
      <c r="BD157" s="12" t="n"/>
      <c r="BE157" s="12" t="n"/>
      <c r="BF157" s="12" t="n"/>
      <c r="BG157" s="12" t="n"/>
      <c r="BH157" s="12" t="n"/>
      <c r="BI157" s="12" t="n"/>
      <c r="BJ157" s="12" t="n"/>
      <c r="BK157" s="12" t="n"/>
      <c r="BL157" s="12" t="n"/>
      <c r="BM157" s="12" t="n"/>
      <c r="BN157" s="12" t="n"/>
      <c r="BO157" s="12" t="n"/>
      <c r="BP157" s="12" t="n"/>
      <c r="BQ157" s="12" t="n"/>
      <c r="BR157" s="12" t="n"/>
      <c r="BS157" s="12" t="n"/>
      <c r="BT157" s="12" t="n"/>
      <c r="BU157" s="12" t="n"/>
      <c r="BV157" s="12" t="n"/>
      <c r="BW157" s="12" t="n"/>
      <c r="BX157" s="12" t="n"/>
      <c r="BY157" s="12" t="n"/>
      <c r="BZ157" s="12" t="n"/>
      <c r="CA157" s="12" t="n"/>
      <c r="CB157" s="12" t="n"/>
      <c r="CC157" s="12" t="n"/>
      <c r="CD157" s="12" t="n"/>
      <c r="CE157" s="12" t="n"/>
      <c r="CF157" s="12" t="n"/>
      <c r="CG157" s="12" t="n"/>
      <c r="CH157" s="12" t="n"/>
      <c r="CI157" s="12" t="n"/>
      <c r="CJ157" s="12" t="n"/>
      <c r="CK157" s="12" t="n"/>
      <c r="CL157" s="12" t="n"/>
      <c r="CM157" s="12" t="n"/>
      <c r="CN157" s="12" t="n"/>
      <c r="CO157" s="12" t="n"/>
      <c r="CP157" s="12" t="n"/>
      <c r="CQ157" s="12" t="n"/>
      <c r="CR157" s="12" t="n"/>
      <c r="CS157" s="12" t="n"/>
      <c r="CT157" s="12" t="n"/>
      <c r="CU157" s="12" t="n"/>
      <c r="CV157" s="12" t="n"/>
      <c r="CW157" s="12" t="n"/>
      <c r="CX157" s="12" t="n"/>
      <c r="CY157" s="12" t="n"/>
    </row>
    <row r="158" hidden="1" outlineLevel="1">
      <c r="C158" s="60" t="inlineStr">
        <is>
          <t xml:space="preserve">Impostos e Contribuições a Recuperar </t>
        </is>
      </c>
      <c r="D158" s="11" t="n"/>
      <c r="E158" s="11" t="n"/>
      <c r="F158" s="11" t="n"/>
      <c r="G158" s="11" t="n"/>
      <c r="H158" s="12" t="n"/>
      <c r="I158" s="11" t="n"/>
      <c r="J158" s="11" t="n"/>
      <c r="K158" s="11" t="n"/>
      <c r="L158" s="11" t="n"/>
      <c r="M158" s="12" t="n"/>
      <c r="N158" s="11" t="n"/>
      <c r="O158" s="11" t="n"/>
      <c r="P158" s="11" t="n"/>
      <c r="Q158" s="11" t="n"/>
      <c r="R158" s="12" t="n"/>
      <c r="S158" s="11" t="n"/>
      <c r="T158" s="11" t="n"/>
      <c r="U158" s="11" t="n"/>
      <c r="V158" s="11" t="n"/>
      <c r="W158" s="12" t="n"/>
      <c r="X158" s="11" t="n"/>
      <c r="Y158" s="11" t="n"/>
      <c r="Z158" s="11" t="n"/>
      <c r="AA158" s="11" t="n"/>
      <c r="AB158" s="12" t="n"/>
      <c r="AC158" s="11" t="n"/>
      <c r="AD158" s="11" t="n"/>
      <c r="AE158" s="11" t="n"/>
      <c r="AF158" s="11" t="n"/>
      <c r="AG158" s="12">
        <f>AF158</f>
        <v>0</v>
      </c>
      <c r="AH158" s="61">
        <f>IFERROR(AG158*AH15/AG15,"")</f>
        <v>0</v>
      </c>
      <c r="AI158" s="61">
        <f>IFERROR(AH158*AI15/AH15,"")</f>
        <v>0</v>
      </c>
      <c r="AJ158" s="61">
        <f>IFERROR(AI158*AJ15/AI15,"")</f>
        <v>0</v>
      </c>
      <c r="AK158" s="61">
        <f>IFERROR(AJ158*AK15/AJ15,"")</f>
        <v>0</v>
      </c>
      <c r="AL158" s="12">
        <f>IFERROR(AK158,"")</f>
        <v>0</v>
      </c>
      <c r="AM158" s="12" t="n"/>
      <c r="AN158" s="12" t="n"/>
      <c r="AO158" s="12" t="n"/>
      <c r="AP158" s="12" t="n"/>
      <c r="AQ158" s="12" t="n"/>
      <c r="AR158" s="12" t="n"/>
      <c r="AS158" s="12" t="n"/>
      <c r="AT158" s="12" t="n"/>
      <c r="AU158" s="12" t="n"/>
      <c r="AV158" s="12" t="n"/>
      <c r="AW158" s="12" t="n"/>
      <c r="AX158" s="12" t="n"/>
      <c r="AY158" s="12" t="n"/>
      <c r="AZ158" s="12" t="n"/>
      <c r="BA158" s="12" t="n"/>
      <c r="BB158" s="12" t="n"/>
      <c r="BC158" s="12" t="n"/>
      <c r="BD158" s="12" t="n"/>
      <c r="BE158" s="12" t="n"/>
      <c r="BF158" s="12" t="n"/>
      <c r="BG158" s="12" t="n"/>
      <c r="BH158" s="12" t="n"/>
      <c r="BI158" s="12" t="n"/>
      <c r="BJ158" s="12" t="n"/>
      <c r="BK158" s="12" t="n"/>
      <c r="BL158" s="12" t="n"/>
      <c r="BM158" s="12" t="n"/>
      <c r="BN158" s="12" t="n"/>
      <c r="BO158" s="12" t="n"/>
      <c r="BP158" s="12" t="n"/>
      <c r="BQ158" s="12" t="n"/>
      <c r="BR158" s="12" t="n"/>
      <c r="BS158" s="12" t="n"/>
      <c r="BT158" s="12" t="n"/>
      <c r="BU158" s="12" t="n"/>
      <c r="BV158" s="12" t="n"/>
      <c r="BW158" s="12" t="n"/>
      <c r="BX158" s="12" t="n"/>
      <c r="BY158" s="12" t="n"/>
      <c r="BZ158" s="12" t="n"/>
      <c r="CA158" s="12" t="n"/>
      <c r="CB158" s="12" t="n"/>
      <c r="CC158" s="12" t="n"/>
      <c r="CD158" s="12" t="n"/>
      <c r="CE158" s="12" t="n"/>
      <c r="CF158" s="12" t="n"/>
      <c r="CG158" s="12" t="n"/>
      <c r="CH158" s="12" t="n"/>
      <c r="CI158" s="12" t="n"/>
      <c r="CJ158" s="12" t="n"/>
      <c r="CK158" s="12" t="n"/>
      <c r="CL158" s="12" t="n"/>
      <c r="CM158" s="12" t="n"/>
      <c r="CN158" s="12" t="n"/>
      <c r="CO158" s="12" t="n"/>
      <c r="CP158" s="12" t="n"/>
      <c r="CQ158" s="12" t="n"/>
      <c r="CR158" s="12" t="n"/>
      <c r="CS158" s="12" t="n"/>
      <c r="CT158" s="12" t="n"/>
      <c r="CU158" s="12" t="n"/>
      <c r="CV158" s="12" t="n"/>
      <c r="CW158" s="12" t="n"/>
      <c r="CX158" s="12" t="n"/>
      <c r="CY158" s="12" t="n"/>
    </row>
    <row r="159" hidden="1" outlineLevel="1">
      <c r="C159" s="60" t="inlineStr">
        <is>
          <t>Outros Créditos</t>
        </is>
      </c>
      <c r="D159" s="11" t="n"/>
      <c r="E159" s="11" t="n"/>
      <c r="F159" s="11" t="n"/>
      <c r="G159" s="11" t="n"/>
      <c r="H159" s="12" t="n"/>
      <c r="I159" s="11" t="n"/>
      <c r="J159" s="11" t="n"/>
      <c r="K159" s="11" t="n"/>
      <c r="L159" s="11" t="n"/>
      <c r="M159" s="12" t="n"/>
      <c r="N159" s="11" t="n"/>
      <c r="O159" s="11" t="n"/>
      <c r="P159" s="11" t="n"/>
      <c r="Q159" s="11" t="n"/>
      <c r="R159" s="12" t="n"/>
      <c r="S159" s="11" t="n"/>
      <c r="T159" s="11" t="n"/>
      <c r="U159" s="11" t="n"/>
      <c r="V159" s="11" t="n"/>
      <c r="W159" s="12" t="n"/>
      <c r="X159" s="11" t="n"/>
      <c r="Y159" s="11" t="n"/>
      <c r="Z159" s="11" t="n"/>
      <c r="AA159" s="11" t="n"/>
      <c r="AB159" s="12" t="n"/>
      <c r="AC159" s="11" t="n"/>
      <c r="AD159" s="11" t="n"/>
      <c r="AE159" s="11" t="n"/>
      <c r="AF159" s="11" t="n"/>
      <c r="AG159" s="12">
        <f>AF159</f>
        <v>0</v>
      </c>
      <c r="AH159" s="12">
        <f>AG159</f>
        <v>0</v>
      </c>
      <c r="AI159" s="12">
        <f>AH159</f>
        <v>0</v>
      </c>
      <c r="AJ159" s="12">
        <f>AI159</f>
        <v>0</v>
      </c>
      <c r="AK159" s="12">
        <f>AJ159</f>
        <v>0</v>
      </c>
      <c r="AL159" s="12">
        <f>AK159</f>
        <v>0</v>
      </c>
      <c r="AM159" s="12" t="n"/>
      <c r="AN159" s="12" t="n"/>
      <c r="AO159" s="12" t="n"/>
      <c r="AP159" s="12" t="n"/>
      <c r="AQ159" s="12" t="n"/>
      <c r="AR159" s="12" t="n"/>
      <c r="AS159" s="12" t="n"/>
      <c r="AT159" s="12" t="n"/>
      <c r="AU159" s="12" t="n"/>
      <c r="AV159" s="12" t="n"/>
      <c r="AW159" s="12" t="n"/>
      <c r="AX159" s="12" t="n"/>
      <c r="AY159" s="12" t="n"/>
      <c r="AZ159" s="12" t="n"/>
      <c r="BA159" s="12" t="n"/>
      <c r="BB159" s="12" t="n"/>
      <c r="BC159" s="12" t="n"/>
      <c r="BD159" s="12" t="n"/>
      <c r="BE159" s="12" t="n"/>
      <c r="BF159" s="12" t="n"/>
      <c r="BG159" s="12" t="n"/>
      <c r="BH159" s="12" t="n"/>
      <c r="BI159" s="12" t="n"/>
      <c r="BJ159" s="12" t="n"/>
      <c r="BK159" s="12" t="n"/>
      <c r="BL159" s="12" t="n"/>
      <c r="BM159" s="12" t="n"/>
      <c r="BN159" s="12" t="n"/>
      <c r="BO159" s="12" t="n"/>
      <c r="BP159" s="12" t="n"/>
      <c r="BQ159" s="12" t="n"/>
      <c r="BR159" s="12" t="n"/>
      <c r="BS159" s="12" t="n"/>
      <c r="BT159" s="12" t="n"/>
      <c r="BU159" s="12" t="n"/>
      <c r="BV159" s="12" t="n"/>
      <c r="BW159" s="12" t="n"/>
      <c r="BX159" s="12" t="n"/>
      <c r="BY159" s="12" t="n"/>
      <c r="BZ159" s="12" t="n"/>
      <c r="CA159" s="12" t="n"/>
      <c r="CB159" s="12" t="n"/>
      <c r="CC159" s="12" t="n"/>
      <c r="CD159" s="12" t="n"/>
      <c r="CE159" s="12" t="n"/>
      <c r="CF159" s="12" t="n"/>
      <c r="CG159" s="12" t="n"/>
      <c r="CH159" s="12" t="n"/>
      <c r="CI159" s="12" t="n"/>
      <c r="CJ159" s="12" t="n"/>
      <c r="CK159" s="12" t="n"/>
      <c r="CL159" s="12" t="n"/>
      <c r="CM159" s="12" t="n"/>
      <c r="CN159" s="12" t="n"/>
      <c r="CO159" s="12" t="n"/>
      <c r="CP159" s="12" t="n"/>
      <c r="CQ159" s="12" t="n"/>
      <c r="CR159" s="12" t="n"/>
      <c r="CS159" s="12" t="n"/>
      <c r="CT159" s="12" t="n"/>
      <c r="CU159" s="12" t="n"/>
      <c r="CV159" s="12" t="n"/>
      <c r="CW159" s="12" t="n"/>
      <c r="CX159" s="12" t="n"/>
      <c r="CY159" s="12" t="n"/>
    </row>
    <row r="160" hidden="1" outlineLevel="1">
      <c r="C160" s="57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12" t="n"/>
      <c r="S160" s="12" t="n"/>
      <c r="T160" s="12" t="n"/>
      <c r="U160" s="12" t="n"/>
      <c r="V160" s="12" t="n"/>
      <c r="W160" s="12" t="n"/>
      <c r="X160" s="12" t="n"/>
      <c r="Y160" s="12" t="n"/>
      <c r="Z160" s="12" t="n"/>
      <c r="AA160" s="12" t="n"/>
      <c r="AB160" s="12" t="n"/>
      <c r="AC160" s="12" t="n"/>
      <c r="AD160" s="12" t="n"/>
      <c r="AE160" s="12" t="n"/>
      <c r="AF160" s="12" t="n"/>
      <c r="AG160" s="12" t="n"/>
      <c r="AH160" s="12" t="n"/>
      <c r="AI160" s="12" t="n"/>
      <c r="AJ160" s="12" t="n"/>
      <c r="AK160" s="12" t="n"/>
      <c r="AL160" s="12" t="n"/>
      <c r="AM160" s="12" t="n"/>
      <c r="AN160" s="12" t="n"/>
      <c r="AO160" s="12" t="n"/>
      <c r="AP160" s="12" t="n"/>
      <c r="AQ160" s="12" t="n"/>
      <c r="AR160" s="12" t="n"/>
      <c r="AS160" s="12" t="n"/>
      <c r="AT160" s="12" t="n"/>
      <c r="AU160" s="12" t="n"/>
      <c r="AV160" s="12" t="n"/>
      <c r="AW160" s="12" t="n"/>
      <c r="AX160" s="12" t="n"/>
      <c r="AY160" s="12" t="n"/>
      <c r="AZ160" s="12" t="n"/>
      <c r="BA160" s="12" t="n"/>
      <c r="BB160" s="12" t="n"/>
      <c r="BC160" s="12" t="n"/>
      <c r="BD160" s="12" t="n"/>
      <c r="BE160" s="12" t="n"/>
      <c r="BF160" s="12" t="n"/>
      <c r="BG160" s="12" t="n"/>
      <c r="BH160" s="12" t="n"/>
      <c r="BI160" s="12" t="n"/>
      <c r="BJ160" s="12" t="n"/>
      <c r="BK160" s="12" t="n"/>
      <c r="BL160" s="12" t="n"/>
      <c r="BM160" s="12" t="n"/>
      <c r="BN160" s="12" t="n"/>
      <c r="BO160" s="12" t="n"/>
      <c r="BP160" s="12" t="n"/>
      <c r="BQ160" s="12" t="n"/>
      <c r="BR160" s="12" t="n"/>
      <c r="BS160" s="12" t="n"/>
      <c r="BT160" s="12" t="n"/>
      <c r="BU160" s="12" t="n"/>
      <c r="BV160" s="12" t="n"/>
      <c r="BW160" s="12" t="n"/>
      <c r="BX160" s="12" t="n"/>
      <c r="BY160" s="12" t="n"/>
      <c r="BZ160" s="12" t="n"/>
      <c r="CA160" s="12" t="n"/>
      <c r="CB160" s="12" t="n"/>
      <c r="CC160" s="12" t="n"/>
      <c r="CD160" s="12" t="n"/>
      <c r="CE160" s="12" t="n"/>
      <c r="CF160" s="12" t="n"/>
      <c r="CG160" s="12" t="n"/>
      <c r="CH160" s="12" t="n"/>
      <c r="CI160" s="12" t="n"/>
      <c r="CJ160" s="12" t="n"/>
      <c r="CK160" s="12" t="n"/>
      <c r="CL160" s="12" t="n"/>
      <c r="CM160" s="12" t="n"/>
      <c r="CN160" s="12" t="n"/>
      <c r="CO160" s="12" t="n"/>
      <c r="CP160" s="12" t="n"/>
      <c r="CQ160" s="12" t="n"/>
      <c r="CR160" s="12" t="n"/>
      <c r="CS160" s="12" t="n"/>
      <c r="CT160" s="12" t="n"/>
      <c r="CU160" s="12" t="n"/>
      <c r="CV160" s="12" t="n"/>
      <c r="CW160" s="12" t="n"/>
      <c r="CX160" s="12" t="n"/>
      <c r="CY160" s="12" t="n"/>
    </row>
    <row r="161" collapsed="1">
      <c r="C161" s="14" t="inlineStr">
        <is>
          <t>Equity in affiliates</t>
        </is>
      </c>
      <c r="D161" s="46" t="n"/>
      <c r="E161" s="46" t="n"/>
      <c r="F161" s="46" t="n"/>
      <c r="G161" s="46" t="n"/>
      <c r="H161" s="12" t="n"/>
      <c r="I161" s="46">
        <f>'Inputs (2)'!D21</f>
        <v>77.661</v>
      </c>
      <c r="J161" s="46">
        <f>'Inputs (2)'!E21</f>
        <v>117.386</v>
      </c>
      <c r="K161" s="46">
        <f>'Inputs (2)'!F21</f>
        <v>123.181</v>
      </c>
      <c r="L161" s="46">
        <f>'Inputs (2)'!G21</f>
        <v>117.98</v>
      </c>
      <c r="M161" s="12">
        <f>'Inputs (2)'!H21</f>
        <v>117.98</v>
      </c>
      <c r="N161" s="46">
        <f>'Inputs (2)'!I21</f>
        <v>119.611</v>
      </c>
      <c r="O161" s="46">
        <f>'Inputs (2)'!J21</f>
        <v>126.559</v>
      </c>
      <c r="P161" s="46">
        <f>'Inputs (2)'!K21</f>
        <v>128.21</v>
      </c>
      <c r="Q161" s="46">
        <f>'Inputs (2)'!L21</f>
        <v>143.717</v>
      </c>
      <c r="R161" s="12">
        <f>'Inputs (2)'!M21</f>
        <v>143.717</v>
      </c>
      <c r="S161" s="46">
        <f>'Inputs (2)'!N21</f>
        <v>133.771</v>
      </c>
      <c r="T161" s="46">
        <f>'Inputs (2)'!O21</f>
        <v>142.09</v>
      </c>
      <c r="U161" s="46">
        <f>'Inputs (2)'!P21</f>
        <v>171.047</v>
      </c>
      <c r="V161" s="46">
        <f>'Inputs (2)'!Q21</f>
        <v>169.375</v>
      </c>
      <c r="W161" s="12">
        <f>'Inputs (2)'!R21</f>
        <v>169.375</v>
      </c>
      <c r="X161" s="46">
        <f>'Inputs (2)'!S21</f>
        <v>174.396</v>
      </c>
      <c r="Y161" s="46">
        <f>'Inputs (2)'!T21</f>
        <v>193.645</v>
      </c>
      <c r="Z161" s="46">
        <f>'Inputs (2)'!U21</f>
        <v>193.95947081</v>
      </c>
      <c r="AA161" s="46">
        <f>'Inputs (2)'!V21</f>
        <v>212.504</v>
      </c>
      <c r="AB161" s="12">
        <f>'Inputs (2)'!W21</f>
        <v>212.504</v>
      </c>
      <c r="AC161" s="46">
        <f>'Inputs (2)'!X21</f>
        <v>161.671</v>
      </c>
      <c r="AD161" s="46">
        <f>'Inputs (2)'!Y21</f>
        <v>138.434</v>
      </c>
      <c r="AE161" s="46">
        <f>'Inputs (2)'!Z21</f>
        <v>105.527</v>
      </c>
      <c r="AF161" s="46">
        <f>'Inputs (2)'!AA21</f>
        <v>124.135</v>
      </c>
      <c r="AG161" s="12">
        <f>'Inputs (2)'!AB21</f>
        <v>124.135</v>
      </c>
      <c r="AH161" s="12">
        <f>'Inputs (2)'!AC21</f>
        <v>103.621</v>
      </c>
      <c r="AI161" s="12">
        <f>'Inputs (2)'!AD21</f>
        <v>125.111</v>
      </c>
      <c r="AJ161" s="12">
        <f>AI161+AJ135</f>
        <v>125.111</v>
      </c>
      <c r="AK161" s="12">
        <f>AJ161+AK135</f>
        <v>125.111</v>
      </c>
      <c r="AL161" s="12">
        <f>AK161</f>
        <v>125.111</v>
      </c>
      <c r="AM161" s="12">
        <f>AL161+AM135</f>
        <v>125.111</v>
      </c>
      <c r="AN161" s="12">
        <f>AM161+AN135</f>
        <v>125.111</v>
      </c>
      <c r="AO161" s="12">
        <f>AN161+AO135</f>
        <v>125.111</v>
      </c>
      <c r="AP161" s="12">
        <f>AO161+AP135</f>
        <v>125.111</v>
      </c>
      <c r="AQ161" s="12">
        <f>AP161</f>
        <v>125.111</v>
      </c>
      <c r="AR161" s="12">
        <f>AQ161+AR135</f>
        <v>125.111</v>
      </c>
      <c r="AS161" s="12">
        <f>AR161+AS135</f>
        <v>125.111</v>
      </c>
      <c r="AT161" s="12">
        <f>AS161+AT135</f>
        <v>125.111</v>
      </c>
      <c r="AU161" s="12">
        <f>AT161+AU135</f>
        <v>125.111</v>
      </c>
      <c r="AV161" s="12">
        <f>AU161</f>
        <v>125.111</v>
      </c>
      <c r="AW161" s="12">
        <f>AV161+AW135</f>
        <v>125.111</v>
      </c>
      <c r="AX161" s="12">
        <f>AW161+AX135</f>
        <v>125.111</v>
      </c>
      <c r="AY161" s="12">
        <f>AX161+AY135</f>
        <v>125.111</v>
      </c>
      <c r="AZ161" s="12">
        <f>AY161+AZ135</f>
        <v>125.111</v>
      </c>
      <c r="BA161" s="12">
        <f>AZ161</f>
        <v>125.111</v>
      </c>
      <c r="BB161" s="12">
        <f>BA161+BB135</f>
        <v>125.111</v>
      </c>
      <c r="BC161" s="12">
        <f>BB161+BC135</f>
        <v>125.111</v>
      </c>
      <c r="BD161" s="12">
        <f>BC161+BD135</f>
        <v>125.111</v>
      </c>
      <c r="BE161" s="12">
        <f>BD161+BE135</f>
        <v>125.111</v>
      </c>
      <c r="BF161" s="12">
        <f>BE161</f>
        <v>125.111</v>
      </c>
      <c r="BG161" s="12" t="n"/>
      <c r="BH161" s="12" t="n"/>
      <c r="BI161" s="12" t="n"/>
      <c r="BJ161" s="12" t="n"/>
      <c r="BK161" s="12" t="n"/>
      <c r="BL161" s="12" t="n"/>
      <c r="BM161" s="12" t="n"/>
      <c r="BN161" s="12" t="n"/>
      <c r="BO161" s="12" t="n"/>
      <c r="BP161" s="12" t="n"/>
      <c r="BQ161" s="12" t="n"/>
      <c r="BR161" s="12" t="n"/>
      <c r="BS161" s="12" t="n"/>
      <c r="BT161" s="12" t="n"/>
      <c r="BU161" s="12" t="n"/>
      <c r="BV161" s="12" t="n"/>
      <c r="BW161" s="12" t="n"/>
      <c r="BX161" s="12" t="n"/>
      <c r="BY161" s="12" t="n"/>
      <c r="BZ161" s="12" t="n"/>
      <c r="CA161" s="12" t="n"/>
      <c r="CB161" s="12" t="n"/>
      <c r="CC161" s="12" t="n"/>
      <c r="CD161" s="12" t="n"/>
      <c r="CE161" s="12" t="n"/>
      <c r="CF161" s="12" t="n"/>
      <c r="CG161" s="12" t="n"/>
      <c r="CH161" s="12" t="n"/>
      <c r="CI161" s="12" t="n"/>
      <c r="CJ161" s="12" t="n"/>
      <c r="CK161" s="12" t="n"/>
      <c r="CL161" s="12" t="n"/>
      <c r="CM161" s="12" t="n"/>
      <c r="CN161" s="12" t="n"/>
      <c r="CO161" s="12" t="n"/>
      <c r="CP161" s="12" t="n"/>
      <c r="CQ161" s="12" t="n"/>
      <c r="CR161" s="12" t="n"/>
      <c r="CS161" s="12" t="n"/>
      <c r="CT161" s="12" t="n"/>
      <c r="CU161" s="12" t="n"/>
      <c r="CV161" s="12" t="n"/>
      <c r="CW161" s="12" t="n"/>
      <c r="CX161" s="12" t="n"/>
      <c r="CY161" s="12" t="n"/>
    </row>
    <row r="162" hidden="1" outlineLevel="1">
      <c r="C162" s="57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  <c r="V162" s="12" t="n"/>
      <c r="W162" s="12" t="n"/>
      <c r="X162" s="12" t="n"/>
      <c r="Y162" s="12" t="n"/>
      <c r="Z162" s="12" t="n"/>
      <c r="AA162" s="12" t="n"/>
      <c r="AB162" s="12" t="n"/>
      <c r="AC162" s="12" t="n"/>
      <c r="AD162" s="12" t="n"/>
      <c r="AE162" s="12" t="n"/>
      <c r="AF162" s="12" t="n"/>
      <c r="AG162" s="12" t="n"/>
      <c r="AH162" s="12" t="n"/>
      <c r="AI162" s="12" t="n"/>
      <c r="AJ162" s="12" t="n"/>
      <c r="AK162" s="12" t="n"/>
      <c r="AL162" s="12" t="n"/>
      <c r="AM162" s="12" t="n"/>
      <c r="AN162" s="12" t="n"/>
      <c r="AO162" s="12" t="n"/>
      <c r="AP162" s="12" t="n"/>
      <c r="AQ162" s="12" t="n"/>
      <c r="AR162" s="12" t="n"/>
      <c r="AS162" s="12" t="n"/>
      <c r="AT162" s="12" t="n"/>
      <c r="AU162" s="12" t="n"/>
      <c r="AV162" s="12" t="n"/>
      <c r="AW162" s="12" t="n"/>
      <c r="AX162" s="12" t="n"/>
      <c r="AY162" s="12" t="n"/>
      <c r="AZ162" s="12" t="n"/>
      <c r="BA162" s="12" t="n"/>
      <c r="BB162" s="12" t="n"/>
      <c r="BC162" s="12" t="n"/>
      <c r="BD162" s="12" t="n"/>
      <c r="BE162" s="12" t="n"/>
      <c r="BF162" s="12" t="n"/>
      <c r="BG162" s="12" t="n"/>
      <c r="BH162" s="12" t="n"/>
      <c r="BI162" s="12" t="n"/>
      <c r="BJ162" s="12" t="n"/>
      <c r="BK162" s="12" t="n"/>
      <c r="BL162" s="12" t="n"/>
      <c r="BM162" s="12" t="n"/>
      <c r="BN162" s="12" t="n"/>
      <c r="BO162" s="12" t="n"/>
      <c r="BP162" s="12" t="n"/>
      <c r="BQ162" s="12" t="n"/>
      <c r="BR162" s="12" t="n"/>
      <c r="BS162" s="12" t="n"/>
      <c r="BT162" s="12" t="n"/>
      <c r="BU162" s="12" t="n"/>
      <c r="BV162" s="12" t="n"/>
      <c r="BW162" s="12" t="n"/>
      <c r="BX162" s="12" t="n"/>
      <c r="BY162" s="12" t="n"/>
      <c r="BZ162" s="12" t="n"/>
      <c r="CA162" s="12" t="n"/>
      <c r="CB162" s="12" t="n"/>
      <c r="CC162" s="12" t="n"/>
      <c r="CD162" s="12" t="n"/>
      <c r="CE162" s="12" t="n"/>
      <c r="CF162" s="12" t="n"/>
      <c r="CG162" s="12" t="n"/>
      <c r="CH162" s="12" t="n"/>
      <c r="CI162" s="12" t="n"/>
      <c r="CJ162" s="12" t="n"/>
      <c r="CK162" s="12" t="n"/>
      <c r="CL162" s="12" t="n"/>
      <c r="CM162" s="12" t="n"/>
      <c r="CN162" s="12" t="n"/>
      <c r="CO162" s="12" t="n"/>
      <c r="CP162" s="12" t="n"/>
      <c r="CQ162" s="12" t="n"/>
      <c r="CR162" s="12" t="n"/>
      <c r="CS162" s="12" t="n"/>
      <c r="CT162" s="12" t="n"/>
      <c r="CU162" s="12" t="n"/>
      <c r="CV162" s="12" t="n"/>
      <c r="CW162" s="12" t="n"/>
      <c r="CX162" s="12" t="n"/>
      <c r="CY162" s="12" t="n"/>
    </row>
    <row r="163" hidden="1" outlineLevel="1">
      <c r="C163" s="57" t="inlineStr">
        <is>
          <t>Equity in Income - % YoY</t>
        </is>
      </c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2">
        <f>IF(I135=0,0,N135/I135-1)</f>
        <v>0.307103922619649</v>
      </c>
      <c r="O163" s="12">
        <f>IF(J135=0,0,O135/J135-1)</f>
        <v>0.9159918004098</v>
      </c>
      <c r="P163" s="12">
        <f>IF(K135=0,0,P135/K135-1)</f>
        <v>0.369965428473568</v>
      </c>
      <c r="Q163" s="12">
        <f>IF(L135=0,0,Q135/L135-1)</f>
        <v>-0.191031010743798</v>
      </c>
      <c r="R163" s="12" t="n"/>
      <c r="S163" s="12">
        <f>IF(N135=0,0,S135/N135-1)</f>
        <v>0.912772585669782</v>
      </c>
      <c r="T163" s="12">
        <f>IF(O135=0,0,T135/O135-1)</f>
        <v>1.45534979423868</v>
      </c>
      <c r="U163" s="12">
        <f>IF(P135=0,0,U135/P135-1)</f>
        <v>1.36921141652614</v>
      </c>
      <c r="V163" s="12">
        <f>IF(Q135=0,0,V135/Q135-1)</f>
        <v>2.02961500493583</v>
      </c>
      <c r="W163" s="12" t="n"/>
      <c r="X163" s="12">
        <f>IF(S135=0,0,X135/S135-1)</f>
        <v>2.91663932928635</v>
      </c>
      <c r="Y163" s="12">
        <f>IF(T135=0,0,Y135/T135-1)</f>
        <v>0.627671163998994</v>
      </c>
      <c r="Z163" s="12">
        <f>IF(U135=0,0,Z135/U135-1)</f>
        <v>-0.0594428642446226</v>
      </c>
      <c r="AA163" s="12">
        <f>IF(V135=0,0,AA135/V135-1)</f>
        <v>0.443597262952102</v>
      </c>
      <c r="AB163" s="12" t="n"/>
      <c r="AC163" s="12">
        <f>IF(X135=0,0,AC135/X135-1)</f>
        <v>-0.532453468347213</v>
      </c>
      <c r="AD163" s="12">
        <f>IF(Y135=0,0,AD135/Y135-1)</f>
        <v>-0.232301910106575</v>
      </c>
      <c r="AE163" s="12">
        <f>IF(Z135=0,0,AE135/Z135-1)</f>
        <v>-0.125783783783784</v>
      </c>
      <c r="AF163" s="12">
        <f>IF(AA135=0,0,AF135/AA135-1)</f>
        <v>-0.134209100758397</v>
      </c>
      <c r="AG163" s="12" t="n"/>
      <c r="AH163" s="11">
        <f>IF(AC135=0,0,AH135/AC135-1)</f>
        <v>0.0456015523932729</v>
      </c>
      <c r="AI163" s="11">
        <f>IF(AD135=0,0,AI135/AD135-1)</f>
        <v>0.245255180739052</v>
      </c>
      <c r="AJ163" s="11" t="n"/>
      <c r="AK163" s="11" t="n"/>
      <c r="AL163" s="12" t="n"/>
      <c r="AM163" s="11" t="n"/>
      <c r="AN163" s="11" t="n"/>
      <c r="AO163" s="11" t="n"/>
      <c r="AP163" s="11" t="n"/>
      <c r="AQ163" s="12" t="n"/>
      <c r="AR163" s="11" t="n"/>
      <c r="AS163" s="11" t="n"/>
      <c r="AT163" s="11" t="n"/>
      <c r="AU163" s="11" t="n"/>
      <c r="AV163" s="12" t="n"/>
      <c r="AW163" s="11" t="n"/>
      <c r="AX163" s="11" t="n"/>
      <c r="AY163" s="11" t="n"/>
      <c r="AZ163" s="11" t="n"/>
      <c r="BA163" s="12" t="n"/>
      <c r="BB163" s="11" t="n"/>
      <c r="BC163" s="11" t="n"/>
      <c r="BD163" s="11" t="n"/>
      <c r="BE163" s="11" t="n"/>
      <c r="BF163" s="12" t="n"/>
      <c r="BG163" s="11" t="n"/>
      <c r="BH163" s="11" t="n"/>
      <c r="BI163" s="11" t="n"/>
      <c r="BJ163" s="11" t="n"/>
      <c r="BK163" s="12" t="n"/>
      <c r="BL163" s="11" t="n"/>
      <c r="BM163" s="11" t="n"/>
      <c r="BN163" s="11" t="n"/>
      <c r="BO163" s="11" t="n"/>
      <c r="BP163" s="12" t="n"/>
      <c r="BQ163" s="11" t="n"/>
      <c r="BR163" s="11" t="n"/>
      <c r="BS163" s="11" t="n"/>
      <c r="BT163" s="11" t="n"/>
      <c r="BU163" s="12" t="n"/>
      <c r="BV163" s="11" t="n"/>
      <c r="BW163" s="11" t="n"/>
      <c r="BX163" s="11" t="n"/>
      <c r="BY163" s="11" t="n"/>
      <c r="BZ163" s="12" t="n"/>
      <c r="CA163" s="11" t="n"/>
      <c r="CB163" s="11" t="n"/>
      <c r="CC163" s="11" t="n"/>
      <c r="CD163" s="11" t="n"/>
      <c r="CE163" s="12" t="n"/>
      <c r="CF163" s="11" t="n"/>
      <c r="CG163" s="11" t="n"/>
      <c r="CH163" s="11" t="n"/>
      <c r="CI163" s="11" t="n"/>
      <c r="CJ163" s="12" t="n"/>
      <c r="CK163" s="11" t="n"/>
      <c r="CL163" s="11" t="n"/>
      <c r="CM163" s="11" t="n"/>
      <c r="CN163" s="11" t="n"/>
      <c r="CO163" s="12" t="n"/>
      <c r="CP163" s="11" t="n"/>
      <c r="CQ163" s="11" t="n"/>
      <c r="CR163" s="11" t="n"/>
      <c r="CS163" s="11" t="n"/>
      <c r="CT163" s="12" t="n"/>
      <c r="CU163" s="11" t="n"/>
      <c r="CV163" s="11" t="n"/>
      <c r="CW163" s="11" t="n"/>
      <c r="CX163" s="11" t="n"/>
      <c r="CY163" s="12" t="n"/>
    </row>
    <row r="164" hidden="1" outlineLevel="1">
      <c r="C164" s="57" t="inlineStr">
        <is>
          <t>Dividends (enter as -)</t>
        </is>
      </c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2" t="n"/>
      <c r="P164" s="12" t="n"/>
      <c r="Q164" s="12" t="n"/>
      <c r="R164" s="12" t="n"/>
      <c r="S164" s="12" t="n"/>
      <c r="T164" s="12" t="n"/>
      <c r="U164" s="12" t="n"/>
      <c r="V164" s="12" t="n"/>
      <c r="W164" s="12" t="n"/>
      <c r="X164" s="12" t="n"/>
      <c r="Y164" s="12" t="n"/>
      <c r="Z164" s="12" t="n"/>
      <c r="AA164" s="12" t="n"/>
      <c r="AB164" s="12" t="n"/>
      <c r="AC164" s="12" t="n"/>
      <c r="AD164" s="12" t="n"/>
      <c r="AE164" s="12" t="n"/>
      <c r="AF164" s="12" t="n"/>
      <c r="AG164" s="12" t="n"/>
      <c r="AH164" s="11" t="n"/>
      <c r="AI164" s="11" t="n"/>
      <c r="AJ164" s="11" t="n"/>
      <c r="AK164" s="11" t="n"/>
      <c r="AL164" s="12" t="n"/>
      <c r="AM164" s="11" t="n"/>
      <c r="AN164" s="11" t="n"/>
      <c r="AO164" s="11" t="n"/>
      <c r="AP164" s="11" t="n"/>
      <c r="AQ164" s="12" t="n"/>
      <c r="AR164" s="11" t="n"/>
      <c r="AS164" s="11" t="n"/>
      <c r="AT164" s="11" t="n"/>
      <c r="AU164" s="11" t="n"/>
      <c r="AV164" s="12" t="n"/>
      <c r="AW164" s="11" t="n"/>
      <c r="AX164" s="11" t="n"/>
      <c r="AY164" s="11" t="n"/>
      <c r="AZ164" s="11" t="n"/>
      <c r="BA164" s="12" t="n"/>
      <c r="BB164" s="11" t="n"/>
      <c r="BC164" s="11" t="n"/>
      <c r="BD164" s="11" t="n"/>
      <c r="BE164" s="11" t="n"/>
      <c r="BF164" s="12" t="n"/>
      <c r="BG164" s="11" t="n"/>
      <c r="BH164" s="11" t="n"/>
      <c r="BI164" s="11" t="n"/>
      <c r="BJ164" s="11" t="n"/>
      <c r="BK164" s="12" t="n"/>
      <c r="BL164" s="11" t="n"/>
      <c r="BM164" s="11" t="n"/>
      <c r="BN164" s="11" t="n"/>
      <c r="BO164" s="11" t="n"/>
      <c r="BP164" s="12" t="n"/>
      <c r="BQ164" s="11" t="n"/>
      <c r="BR164" s="11" t="n"/>
      <c r="BS164" s="11" t="n"/>
      <c r="BT164" s="11" t="n"/>
      <c r="BU164" s="12" t="n"/>
      <c r="BV164" s="11" t="n"/>
      <c r="BW164" s="11" t="n"/>
      <c r="BX164" s="11" t="n"/>
      <c r="BY164" s="11" t="n"/>
      <c r="BZ164" s="12" t="n"/>
      <c r="CA164" s="11" t="n"/>
      <c r="CB164" s="11" t="n"/>
      <c r="CC164" s="11" t="n"/>
      <c r="CD164" s="11" t="n"/>
      <c r="CE164" s="12" t="n"/>
      <c r="CF164" s="11" t="n"/>
      <c r="CG164" s="11" t="n"/>
      <c r="CH164" s="11" t="n"/>
      <c r="CI164" s="11" t="n"/>
      <c r="CJ164" s="12" t="n"/>
      <c r="CK164" s="11" t="n"/>
      <c r="CL164" s="11" t="n"/>
      <c r="CM164" s="11" t="n"/>
      <c r="CN164" s="11" t="n"/>
      <c r="CO164" s="12" t="n"/>
      <c r="CP164" s="11" t="n"/>
      <c r="CQ164" s="11" t="n"/>
      <c r="CR164" s="11" t="n"/>
      <c r="CS164" s="11" t="n"/>
      <c r="CT164" s="12" t="n"/>
      <c r="CU164" s="11" t="n"/>
      <c r="CV164" s="11" t="n"/>
      <c r="CW164" s="11" t="n"/>
      <c r="CX164" s="11" t="n"/>
      <c r="CY164" s="12" t="n"/>
    </row>
    <row r="165" hidden="1" outlineLevel="1">
      <c r="C165" s="57" t="n"/>
      <c r="D165" s="12" t="n"/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12" t="n"/>
      <c r="W165" s="12" t="n"/>
      <c r="X165" s="12" t="n"/>
      <c r="Y165" s="12" t="n"/>
      <c r="Z165" s="12" t="n"/>
      <c r="AA165" s="12" t="n"/>
      <c r="AB165" s="12" t="n"/>
      <c r="AC165" s="12" t="n"/>
      <c r="AD165" s="12" t="n"/>
      <c r="AE165" s="12" t="n"/>
      <c r="AF165" s="12" t="n"/>
      <c r="AG165" s="12" t="n"/>
      <c r="AH165" s="12" t="n"/>
      <c r="AI165" s="12" t="n"/>
      <c r="AJ165" s="12" t="n"/>
      <c r="AK165" s="12" t="n"/>
      <c r="AL165" s="12" t="n"/>
      <c r="AM165" s="12" t="n"/>
      <c r="AN165" s="12" t="n"/>
      <c r="AO165" s="12" t="n"/>
      <c r="AP165" s="12" t="n"/>
      <c r="AQ165" s="12" t="n"/>
      <c r="AR165" s="12" t="n"/>
      <c r="AS165" s="12" t="n"/>
      <c r="AT165" s="12" t="n"/>
      <c r="AU165" s="12" t="n"/>
      <c r="AV165" s="12" t="n"/>
      <c r="AW165" s="12" t="n"/>
      <c r="AX165" s="12" t="n"/>
      <c r="AY165" s="12" t="n"/>
      <c r="AZ165" s="12" t="n"/>
      <c r="BA165" s="12" t="n"/>
      <c r="BB165" s="12" t="n"/>
      <c r="BC165" s="12" t="n"/>
      <c r="BD165" s="12" t="n"/>
      <c r="BE165" s="12" t="n"/>
      <c r="BF165" s="12" t="n"/>
      <c r="BG165" s="12" t="n"/>
      <c r="BH165" s="12" t="n"/>
      <c r="BI165" s="12" t="n"/>
      <c r="BJ165" s="12" t="n"/>
      <c r="BK165" s="12" t="n"/>
      <c r="BL165" s="12" t="n"/>
      <c r="BM165" s="12" t="n"/>
      <c r="BN165" s="12" t="n"/>
      <c r="BO165" s="12" t="n"/>
      <c r="BP165" s="12" t="n"/>
      <c r="BQ165" s="12" t="n"/>
      <c r="BR165" s="12" t="n"/>
      <c r="BS165" s="12" t="n"/>
      <c r="BT165" s="12" t="n"/>
      <c r="BU165" s="12" t="n"/>
      <c r="BV165" s="12" t="n"/>
      <c r="BW165" s="12" t="n"/>
      <c r="BX165" s="12" t="n"/>
      <c r="BY165" s="12" t="n"/>
      <c r="BZ165" s="12" t="n"/>
      <c r="CA165" s="12" t="n"/>
      <c r="CB165" s="12" t="n"/>
      <c r="CC165" s="12" t="n"/>
      <c r="CD165" s="12" t="n"/>
      <c r="CE165" s="12" t="n"/>
      <c r="CF165" s="12" t="n"/>
      <c r="CG165" s="12" t="n"/>
      <c r="CH165" s="12" t="n"/>
      <c r="CI165" s="12" t="n"/>
      <c r="CJ165" s="12" t="n"/>
      <c r="CK165" s="12" t="n"/>
      <c r="CL165" s="12" t="n"/>
      <c r="CM165" s="12" t="n"/>
      <c r="CN165" s="12" t="n"/>
      <c r="CO165" s="12" t="n"/>
      <c r="CP165" s="12" t="n"/>
      <c r="CQ165" s="12" t="n"/>
      <c r="CR165" s="12" t="n"/>
      <c r="CS165" s="12" t="n"/>
      <c r="CT165" s="12" t="n"/>
      <c r="CU165" s="12" t="n"/>
      <c r="CV165" s="12" t="n"/>
      <c r="CW165" s="12" t="n"/>
      <c r="CX165" s="12" t="n"/>
      <c r="CY165" s="12" t="n"/>
    </row>
    <row r="166" collapsed="1">
      <c r="C166" s="14" t="inlineStr">
        <is>
          <t>PP&amp;E</t>
        </is>
      </c>
      <c r="D166" s="46" t="n"/>
      <c r="E166" s="46" t="n"/>
      <c r="F166" s="46" t="n"/>
      <c r="G166" s="46" t="n"/>
      <c r="H166" s="12" t="n"/>
      <c r="I166" s="46">
        <f>'Inputs (2)'!D22</f>
        <v>84.771</v>
      </c>
      <c r="J166" s="46">
        <f>'Inputs (2)'!E22</f>
        <v>84.92</v>
      </c>
      <c r="K166" s="46">
        <f>'Inputs (2)'!F22</f>
        <v>86.763</v>
      </c>
      <c r="L166" s="46">
        <f>'Inputs (2)'!G22</f>
        <v>99.075</v>
      </c>
      <c r="M166" s="12">
        <f>'Inputs (2)'!H22</f>
        <v>99.075</v>
      </c>
      <c r="N166" s="46">
        <f>'Inputs (2)'!I22</f>
        <v>103.721</v>
      </c>
      <c r="O166" s="46">
        <f>'Inputs (2)'!J22</f>
        <v>110.185</v>
      </c>
      <c r="P166" s="46">
        <f>'Inputs (2)'!K22</f>
        <v>135.843</v>
      </c>
      <c r="Q166" s="46">
        <f>'Inputs (2)'!L22</f>
        <v>140.115</v>
      </c>
      <c r="R166" s="12">
        <f>'Inputs (2)'!M22</f>
        <v>140.115</v>
      </c>
      <c r="S166" s="46">
        <f>'Inputs (2)'!N22</f>
        <v>136.22484709</v>
      </c>
      <c r="T166" s="46">
        <f>'Inputs (2)'!O22</f>
        <v>129.142</v>
      </c>
      <c r="U166" s="46">
        <f>'Inputs (2)'!P22</f>
        <v>113.832</v>
      </c>
      <c r="V166" s="46">
        <f>'Inputs (2)'!Q22</f>
        <v>111.474</v>
      </c>
      <c r="W166" s="12">
        <f>'Inputs (2)'!R22</f>
        <v>111.474</v>
      </c>
      <c r="X166" s="46">
        <f>'Inputs (2)'!S22</f>
        <v>181.833</v>
      </c>
      <c r="Y166" s="46">
        <f>'Inputs (2)'!T22</f>
        <v>184.863</v>
      </c>
      <c r="Z166" s="46">
        <f>'Inputs (2)'!U22</f>
        <v>197.25589041</v>
      </c>
      <c r="AA166" s="46">
        <f>'Inputs (2)'!V22</f>
        <v>220.762</v>
      </c>
      <c r="AB166" s="12">
        <f>'Inputs (2)'!W22</f>
        <v>220.762</v>
      </c>
      <c r="AC166" s="46">
        <f>'Inputs (2)'!X22</f>
        <v>230.724</v>
      </c>
      <c r="AD166" s="46">
        <f>'Inputs (2)'!Y22</f>
        <v>252.372</v>
      </c>
      <c r="AE166" s="46">
        <f>'Inputs (2)'!Z22</f>
        <v>266.56</v>
      </c>
      <c r="AF166" s="46">
        <f>'Inputs (2)'!AA22</f>
        <v>260.159</v>
      </c>
      <c r="AG166" s="12">
        <f>'Inputs (2)'!AB22</f>
        <v>260.159</v>
      </c>
      <c r="AH166" s="12">
        <f>'Inputs (2)'!AC22</f>
        <v>273.319</v>
      </c>
      <c r="AI166" s="12">
        <f>'Inputs (2)'!AD22</f>
        <v>273.325</v>
      </c>
      <c r="AJ166" s="12">
        <f>AJ171</f>
        <v>284.739928665416</v>
      </c>
      <c r="AK166" s="12">
        <f>AK171</f>
        <v>296.82546367379</v>
      </c>
      <c r="AL166" s="12">
        <f>AK166</f>
        <v>296.82546367379</v>
      </c>
      <c r="AM166" s="12">
        <f>AM171</f>
        <v>308.306486795589</v>
      </c>
      <c r="AN166" s="12">
        <f>AN171</f>
        <v>320.918707073787</v>
      </c>
      <c r="AO166" s="12">
        <f>AO171</f>
        <v>335.565265719536</v>
      </c>
      <c r="AP166" s="12">
        <f>AP171</f>
        <v>351.072283104734</v>
      </c>
      <c r="AQ166" s="12">
        <f>AP166</f>
        <v>351.072283104734</v>
      </c>
      <c r="AR166" s="12">
        <f>AR171</f>
        <v>365.74624280055</v>
      </c>
      <c r="AS166" s="12">
        <f>AS171</f>
        <v>381.865991892042</v>
      </c>
      <c r="AT166" s="12">
        <f>AT171</f>
        <v>400.585840199119</v>
      </c>
      <c r="AU166" s="12">
        <f>AU171</f>
        <v>420.405445620926</v>
      </c>
      <c r="AV166" s="12">
        <f>AU166</f>
        <v>420.405445620926</v>
      </c>
      <c r="AW166" s="12">
        <f>AW171</f>
        <v>439.086945564464</v>
      </c>
      <c r="AX166" s="12">
        <f>AX171</f>
        <v>459.60908805259</v>
      </c>
      <c r="AY166" s="12">
        <f>AY171</f>
        <v>483.441431356042</v>
      </c>
      <c r="AZ166" s="12">
        <f>AZ171</f>
        <v>508.673881576959</v>
      </c>
      <c r="BA166" s="12">
        <f>AZ166</f>
        <v>508.673881576959</v>
      </c>
      <c r="BB166" s="12">
        <f>BB171</f>
        <v>532.363995865155</v>
      </c>
      <c r="BC166" s="12">
        <f>BC171</f>
        <v>558.38823923168</v>
      </c>
      <c r="BD166" s="12">
        <f>BD171</f>
        <v>588.610166717197</v>
      </c>
      <c r="BE166" s="12">
        <f>BE171</f>
        <v>620.607577594877</v>
      </c>
      <c r="BF166" s="12">
        <f>BE166</f>
        <v>620.607577594877</v>
      </c>
      <c r="BG166" s="12" t="n"/>
      <c r="BH166" s="12" t="n"/>
      <c r="BI166" s="12" t="n"/>
      <c r="BJ166" s="12" t="n"/>
      <c r="BK166" s="12" t="n"/>
      <c r="BL166" s="12" t="n"/>
      <c r="BM166" s="12" t="n"/>
      <c r="BN166" s="12" t="n"/>
      <c r="BO166" s="12" t="n"/>
      <c r="BP166" s="12" t="n"/>
      <c r="BQ166" s="12" t="n"/>
      <c r="BR166" s="12" t="n"/>
      <c r="BS166" s="12" t="n"/>
      <c r="BT166" s="12" t="n"/>
      <c r="BU166" s="12" t="n"/>
      <c r="BV166" s="12" t="n"/>
      <c r="BW166" s="12" t="n"/>
      <c r="BX166" s="12" t="n"/>
      <c r="BY166" s="12" t="n"/>
      <c r="BZ166" s="12" t="n"/>
      <c r="CA166" s="12" t="n"/>
      <c r="CB166" s="12" t="n"/>
      <c r="CC166" s="12" t="n"/>
      <c r="CD166" s="12" t="n"/>
      <c r="CE166" s="12" t="n"/>
      <c r="CF166" s="12" t="n"/>
      <c r="CG166" s="12" t="n"/>
      <c r="CH166" s="12" t="n"/>
      <c r="CI166" s="12" t="n"/>
      <c r="CJ166" s="12" t="n"/>
      <c r="CK166" s="12" t="n"/>
      <c r="CL166" s="12" t="n"/>
      <c r="CM166" s="12" t="n"/>
      <c r="CN166" s="12" t="n"/>
      <c r="CO166" s="12" t="n"/>
      <c r="CP166" s="12" t="n"/>
      <c r="CQ166" s="12" t="n"/>
      <c r="CR166" s="12" t="n"/>
      <c r="CS166" s="12" t="n"/>
      <c r="CT166" s="12" t="n"/>
      <c r="CU166" s="12" t="n"/>
      <c r="CV166" s="12" t="n"/>
      <c r="CW166" s="12" t="n"/>
      <c r="CX166" s="12" t="n"/>
      <c r="CY166" s="12" t="n"/>
    </row>
    <row r="167" hidden="1" outlineLevel="1">
      <c r="C167" s="57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12" t="n"/>
      <c r="W167" s="12" t="n"/>
      <c r="X167" s="12" t="n"/>
      <c r="Y167" s="12" t="n"/>
      <c r="Z167" s="12" t="n"/>
      <c r="AA167" s="12" t="n"/>
      <c r="AB167" s="12" t="n"/>
      <c r="AC167" s="12" t="n"/>
      <c r="AD167" s="12" t="n"/>
      <c r="AE167" s="12" t="n"/>
      <c r="AF167" s="12" t="n"/>
      <c r="AG167" s="12" t="n"/>
      <c r="AH167" s="12" t="n"/>
      <c r="AI167" s="12" t="n"/>
      <c r="AJ167" s="12" t="n"/>
      <c r="AK167" s="12" t="n"/>
      <c r="AL167" s="12" t="n"/>
      <c r="AM167" s="12" t="n"/>
      <c r="AN167" s="12" t="n"/>
      <c r="AO167" s="12" t="n"/>
      <c r="AP167" s="12" t="n"/>
      <c r="AQ167" s="12" t="n"/>
      <c r="AR167" s="12" t="n"/>
      <c r="AS167" s="12" t="n"/>
      <c r="AT167" s="12" t="n"/>
      <c r="AU167" s="12" t="n"/>
      <c r="AV167" s="12" t="n"/>
      <c r="AW167" s="12" t="n"/>
      <c r="AX167" s="12" t="n"/>
      <c r="AY167" s="12" t="n"/>
      <c r="AZ167" s="12" t="n"/>
      <c r="BA167" s="12" t="n"/>
      <c r="BB167" s="12" t="n"/>
      <c r="BC167" s="12" t="n"/>
      <c r="BD167" s="12" t="n"/>
      <c r="BE167" s="12" t="n"/>
      <c r="BF167" s="12" t="n"/>
      <c r="BG167" s="12" t="n"/>
      <c r="BH167" s="12" t="n"/>
      <c r="BI167" s="12" t="n"/>
      <c r="BJ167" s="12" t="n"/>
      <c r="BK167" s="12" t="n"/>
      <c r="BL167" s="12" t="n"/>
      <c r="BM167" s="12" t="n"/>
      <c r="BN167" s="12" t="n"/>
      <c r="BO167" s="12" t="n"/>
      <c r="BP167" s="12" t="n"/>
      <c r="BQ167" s="12" t="n"/>
      <c r="BR167" s="12" t="n"/>
      <c r="BS167" s="12" t="n"/>
      <c r="BT167" s="12" t="n"/>
      <c r="BU167" s="12" t="n"/>
      <c r="BV167" s="12" t="n"/>
      <c r="BW167" s="12" t="n"/>
      <c r="BX167" s="12" t="n"/>
      <c r="BY167" s="12" t="n"/>
      <c r="BZ167" s="12" t="n"/>
      <c r="CA167" s="12" t="n"/>
      <c r="CB167" s="12" t="n"/>
      <c r="CC167" s="12" t="n"/>
      <c r="CD167" s="12" t="n"/>
      <c r="CE167" s="12" t="n"/>
      <c r="CF167" s="12" t="n"/>
      <c r="CG167" s="12" t="n"/>
      <c r="CH167" s="12" t="n"/>
      <c r="CI167" s="12" t="n"/>
      <c r="CJ167" s="12" t="n"/>
      <c r="CK167" s="12" t="n"/>
      <c r="CL167" s="12" t="n"/>
      <c r="CM167" s="12" t="n"/>
      <c r="CN167" s="12" t="n"/>
      <c r="CO167" s="12" t="n"/>
      <c r="CP167" s="12" t="n"/>
      <c r="CQ167" s="12" t="n"/>
      <c r="CR167" s="12" t="n"/>
      <c r="CS167" s="12" t="n"/>
      <c r="CT167" s="12" t="n"/>
      <c r="CU167" s="12" t="n"/>
      <c r="CV167" s="12" t="n"/>
      <c r="CW167" s="12" t="n"/>
      <c r="CX167" s="12" t="n"/>
      <c r="CY167" s="12" t="n"/>
    </row>
    <row r="168" hidden="1" outlineLevel="1">
      <c r="C168" s="57" t="inlineStr">
        <is>
          <t>Capital expenditures</t>
        </is>
      </c>
      <c r="D168" s="12" t="n"/>
      <c r="E168" s="12" t="n"/>
      <c r="F168" s="12" t="n"/>
      <c r="G168" s="12" t="n"/>
      <c r="H168" s="12" t="n"/>
      <c r="I168" s="12" t="n"/>
      <c r="J168" s="12">
        <f>J166-I166-J70</f>
        <v>12.601</v>
      </c>
      <c r="K168" s="12">
        <f>K166-J166-K70</f>
        <v>14.848</v>
      </c>
      <c r="L168" s="12">
        <f>L166-K166-L70</f>
        <v>25.974</v>
      </c>
      <c r="M168" s="12" t="n"/>
      <c r="N168" s="12">
        <f>N166-M166-N70</f>
        <v>18.831</v>
      </c>
      <c r="O168" s="12">
        <f>O166-N166-O70</f>
        <v>20.107</v>
      </c>
      <c r="P168" s="12">
        <f>P166-O166-P70</f>
        <v>38.487</v>
      </c>
      <c r="Q168" s="12">
        <f>Q166-P166-Q70</f>
        <v>17.04</v>
      </c>
      <c r="R168" s="12" t="n"/>
      <c r="S168" s="12">
        <f>S166-R166-S70</f>
        <v>9.65784708999999</v>
      </c>
      <c r="T168" s="12">
        <f>T166-S166-T70</f>
        <v>10.04015291</v>
      </c>
      <c r="U168" s="12">
        <f>U166-T166-U70</f>
        <v>1.271</v>
      </c>
      <c r="V168" s="12">
        <f>V166-U166-V70</f>
        <v>10.945</v>
      </c>
      <c r="W168" s="12" t="n"/>
      <c r="X168" s="12">
        <f>X166-W166-X70</f>
        <v>86.507</v>
      </c>
      <c r="Y168" s="12">
        <f>Y166-X166-Y70</f>
        <v>21.659</v>
      </c>
      <c r="Z168" s="12">
        <f>Z166-Y166-Z70</f>
        <v>28.65189041</v>
      </c>
      <c r="AA168" s="12">
        <f>AA166-Z166-AA70</f>
        <v>42.53710959</v>
      </c>
      <c r="AB168" s="12" t="n"/>
      <c r="AC168" s="12">
        <f>AC166-AB166-AC70</f>
        <v>27.982</v>
      </c>
      <c r="AD168" s="12">
        <f>AD166-AC166-AD70</f>
        <v>41.376</v>
      </c>
      <c r="AE168" s="12">
        <f>AE166-AD166-AE70</f>
        <v>34.492</v>
      </c>
      <c r="AF168" s="11">
        <f>AF166-AE166-AF70</f>
        <v>16.29</v>
      </c>
      <c r="AG168" s="12">
        <f>SUM(AC168:AF168)</f>
        <v>120.14</v>
      </c>
      <c r="AH168" s="11">
        <f>AH166-AG166-AH70</f>
        <v>35.709</v>
      </c>
      <c r="AI168" s="11">
        <f>AI166-AH166-AI70</f>
        <v>23.445</v>
      </c>
      <c r="AJ168" s="11">
        <f>AJ15*Control!$B$24</f>
        <v>39.246892043928</v>
      </c>
      <c r="AK168" s="11">
        <f>AK15*Control!$B$24</f>
        <v>41.5525757251366</v>
      </c>
      <c r="AL168" s="12" t="n"/>
      <c r="AM168" s="11">
        <f>AM15*Control!$C$24</f>
        <v>39.4741384920142</v>
      </c>
      <c r="AN168" s="11">
        <f>AN15*Control!$C$24</f>
        <v>43.3634289097518</v>
      </c>
      <c r="AO168" s="11">
        <f>AO15*Control!$C$24</f>
        <v>50.357906109948</v>
      </c>
      <c r="AP168" s="11">
        <f>AP15*Control!$C$24</f>
        <v>53.316341702952</v>
      </c>
      <c r="AQ168" s="12" t="n"/>
      <c r="AR168" s="11">
        <f>AR15*Control!$D$24</f>
        <v>50.4521166026614</v>
      </c>
      <c r="AS168" s="11">
        <f>AS15*Control!$D$24</f>
        <v>55.4230403809475</v>
      </c>
      <c r="AT168" s="11">
        <f>AT15*Control!$D$24</f>
        <v>64.3627207073553</v>
      </c>
      <c r="AU168" s="11">
        <f>AU15*Control!$D$24</f>
        <v>68.1439137416224</v>
      </c>
      <c r="AV168" s="12" t="n"/>
      <c r="AW168" s="11">
        <f>AW15*Control!$E$24</f>
        <v>64.2308710806072</v>
      </c>
      <c r="AX168" s="11">
        <f>AX15*Control!$E$24</f>
        <v>70.5593818717239</v>
      </c>
      <c r="AY168" s="11">
        <f>AY15*Control!$E$24</f>
        <v>81.9405387629107</v>
      </c>
      <c r="AZ168" s="11">
        <f>AZ15*Control!$E$24</f>
        <v>86.7543967072193</v>
      </c>
      <c r="BA168" s="12" t="n"/>
      <c r="BB168" s="11">
        <f>BB15*Control!$F$24</f>
        <v>81.4515259122066</v>
      </c>
      <c r="BC168" s="11">
        <f>BC15*Control!$F$24</f>
        <v>89.4767457483415</v>
      </c>
      <c r="BD168" s="11">
        <f>BD15*Control!$F$24</f>
        <v>103.909254288822</v>
      </c>
      <c r="BE168" s="11">
        <f>BE15*Control!$F$24</f>
        <v>110.013734400831</v>
      </c>
      <c r="BF168" s="12" t="n"/>
      <c r="BG168" s="11" t="n"/>
      <c r="BH168" s="11" t="n"/>
      <c r="BI168" s="11" t="n"/>
      <c r="BJ168" s="11" t="n"/>
      <c r="BK168" s="12" t="n"/>
      <c r="BL168" s="11" t="n"/>
      <c r="BM168" s="11" t="n"/>
      <c r="BN168" s="11" t="n"/>
      <c r="BO168" s="11" t="n"/>
      <c r="BP168" s="12" t="n"/>
      <c r="BQ168" s="11" t="n"/>
      <c r="BR168" s="11" t="n"/>
      <c r="BS168" s="11" t="n"/>
      <c r="BT168" s="11" t="n"/>
      <c r="BU168" s="12" t="n"/>
      <c r="BV168" s="11" t="n"/>
      <c r="BW168" s="11" t="n"/>
      <c r="BX168" s="11" t="n"/>
      <c r="BY168" s="11" t="n"/>
      <c r="BZ168" s="12" t="n"/>
      <c r="CA168" s="11" t="n"/>
      <c r="CB168" s="11" t="n"/>
      <c r="CC168" s="11" t="n"/>
      <c r="CD168" s="11" t="n"/>
      <c r="CE168" s="12" t="n"/>
      <c r="CF168" s="11" t="n"/>
      <c r="CG168" s="11" t="n"/>
      <c r="CH168" s="11" t="n"/>
      <c r="CI168" s="11" t="n"/>
      <c r="CJ168" s="12" t="n"/>
      <c r="CK168" s="11" t="n"/>
      <c r="CL168" s="11" t="n"/>
      <c r="CM168" s="11" t="n"/>
      <c r="CN168" s="11" t="n"/>
      <c r="CO168" s="12" t="n"/>
      <c r="CP168" s="11" t="n"/>
      <c r="CQ168" s="11" t="n"/>
      <c r="CR168" s="11" t="n"/>
      <c r="CS168" s="11" t="n"/>
      <c r="CT168" s="12" t="n"/>
      <c r="CU168" s="11" t="n"/>
      <c r="CV168" s="11" t="n"/>
      <c r="CW168" s="11" t="n"/>
      <c r="CX168" s="11" t="n"/>
      <c r="CY168" s="12" t="n"/>
    </row>
    <row r="169" hidden="1" outlineLevel="1">
      <c r="C169" s="57" t="inlineStr">
        <is>
          <t>Recurring asset sales (enter as -)</t>
        </is>
      </c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>
        <f>SUM(I169:L169)</f>
        <v>0</v>
      </c>
      <c r="N169" s="12" t="n"/>
      <c r="O169" s="12" t="n"/>
      <c r="P169" s="12" t="n"/>
      <c r="Q169" s="12" t="n"/>
      <c r="R169" s="12">
        <f>SUM(N169:Q169)</f>
        <v>0</v>
      </c>
      <c r="S169" s="12" t="n"/>
      <c r="T169" s="12" t="n"/>
      <c r="U169" s="12" t="n"/>
      <c r="V169" s="12" t="n"/>
      <c r="W169" s="12">
        <f>SUM(S169:V169)</f>
        <v>0</v>
      </c>
      <c r="X169" s="12" t="n"/>
      <c r="Y169" s="12" t="n"/>
      <c r="Z169" s="12" t="n"/>
      <c r="AA169" s="12" t="n"/>
      <c r="AB169" s="12">
        <f>SUM(X169:AA169)</f>
        <v>0</v>
      </c>
      <c r="AC169" s="12" t="n"/>
      <c r="AD169" s="12" t="n"/>
      <c r="AE169" s="12" t="n"/>
      <c r="AF169" s="11" t="n"/>
      <c r="AG169" s="12">
        <f>SUM(AC169:AF169)</f>
        <v>0</v>
      </c>
      <c r="AH169" s="11" t="n"/>
      <c r="AI169" s="11" t="n"/>
      <c r="AJ169" s="11">
        <f>0</f>
        <v>0</v>
      </c>
      <c r="AK169" s="11">
        <f>0</f>
        <v>0</v>
      </c>
      <c r="AL169" s="12" t="n"/>
      <c r="AM169" s="11">
        <f>0</f>
        <v>0</v>
      </c>
      <c r="AN169" s="11">
        <f>0</f>
        <v>0</v>
      </c>
      <c r="AO169" s="11">
        <f>0</f>
        <v>0</v>
      </c>
      <c r="AP169" s="11">
        <f>0</f>
        <v>0</v>
      </c>
      <c r="AQ169" s="12" t="n"/>
      <c r="AR169" s="11">
        <f>0</f>
        <v>0</v>
      </c>
      <c r="AS169" s="11">
        <f>0</f>
        <v>0</v>
      </c>
      <c r="AT169" s="11">
        <f>0</f>
        <v>0</v>
      </c>
      <c r="AU169" s="11">
        <f>0</f>
        <v>0</v>
      </c>
      <c r="AV169" s="12" t="n"/>
      <c r="AW169" s="11">
        <f>0</f>
        <v>0</v>
      </c>
      <c r="AX169" s="11">
        <f>0</f>
        <v>0</v>
      </c>
      <c r="AY169" s="11">
        <f>0</f>
        <v>0</v>
      </c>
      <c r="AZ169" s="11">
        <f>0</f>
        <v>0</v>
      </c>
      <c r="BA169" s="12" t="n"/>
      <c r="BB169" s="11">
        <f>0</f>
        <v>0</v>
      </c>
      <c r="BC169" s="11">
        <f>0</f>
        <v>0</v>
      </c>
      <c r="BD169" s="11">
        <f>0</f>
        <v>0</v>
      </c>
      <c r="BE169" s="11">
        <f>0</f>
        <v>0</v>
      </c>
      <c r="BF169" s="12" t="n"/>
      <c r="BG169" s="11" t="n"/>
      <c r="BH169" s="11" t="n"/>
      <c r="BI169" s="11" t="n"/>
      <c r="BJ169" s="11" t="n"/>
      <c r="BK169" s="12" t="n"/>
      <c r="BL169" s="11" t="n"/>
      <c r="BM169" s="11" t="n"/>
      <c r="BN169" s="11" t="n"/>
      <c r="BO169" s="11" t="n"/>
      <c r="BP169" s="12" t="n"/>
      <c r="BQ169" s="11" t="n"/>
      <c r="BR169" s="11" t="n"/>
      <c r="BS169" s="11" t="n"/>
      <c r="BT169" s="11" t="n"/>
      <c r="BU169" s="12" t="n"/>
      <c r="BV169" s="11" t="n"/>
      <c r="BW169" s="11" t="n"/>
      <c r="BX169" s="11" t="n"/>
      <c r="BY169" s="11" t="n"/>
      <c r="BZ169" s="12" t="n"/>
      <c r="CA169" s="11" t="n"/>
      <c r="CB169" s="11" t="n"/>
      <c r="CC169" s="11" t="n"/>
      <c r="CD169" s="11" t="n"/>
      <c r="CE169" s="12" t="n"/>
      <c r="CF169" s="11" t="n"/>
      <c r="CG169" s="11" t="n"/>
      <c r="CH169" s="11" t="n"/>
      <c r="CI169" s="11" t="n"/>
      <c r="CJ169" s="12" t="n"/>
      <c r="CK169" s="11" t="n"/>
      <c r="CL169" s="11" t="n"/>
      <c r="CM169" s="11" t="n"/>
      <c r="CN169" s="11" t="n"/>
      <c r="CO169" s="12" t="n"/>
      <c r="CP169" s="11" t="n"/>
      <c r="CQ169" s="11" t="n"/>
      <c r="CR169" s="11" t="n"/>
      <c r="CS169" s="11" t="n"/>
      <c r="CT169" s="12" t="n"/>
      <c r="CU169" s="11" t="n"/>
      <c r="CV169" s="11" t="n"/>
      <c r="CW169" s="11" t="n"/>
      <c r="CX169" s="11" t="n"/>
      <c r="CY169" s="12" t="n"/>
    </row>
    <row r="170" hidden="1" outlineLevel="1">
      <c r="C170" s="57" t="inlineStr">
        <is>
          <t>Depreciation</t>
        </is>
      </c>
      <c r="D170" s="12" t="n"/>
      <c r="E170" s="12" t="n"/>
      <c r="F170" s="12" t="n"/>
      <c r="G170" s="12" t="n"/>
      <c r="H170" s="12" t="n"/>
      <c r="I170" s="12">
        <f>I70</f>
        <v>-12.168</v>
      </c>
      <c r="J170" s="12">
        <f>J70</f>
        <v>-12.452</v>
      </c>
      <c r="K170" s="12">
        <f>K70</f>
        <v>-13.005</v>
      </c>
      <c r="L170" s="12">
        <f>L70</f>
        <v>-13.662</v>
      </c>
      <c r="M170" s="12" t="n"/>
      <c r="N170" s="12">
        <f>N70</f>
        <v>-14.185</v>
      </c>
      <c r="O170" s="12">
        <f>O70</f>
        <v>-13.643</v>
      </c>
      <c r="P170" s="12">
        <f>P70</f>
        <v>-12.829</v>
      </c>
      <c r="Q170" s="12">
        <f>Q70</f>
        <v>-12.768</v>
      </c>
      <c r="R170" s="12" t="n"/>
      <c r="S170" s="12">
        <f>S70</f>
        <v>-13.548</v>
      </c>
      <c r="T170" s="12">
        <f>T70</f>
        <v>-17.123</v>
      </c>
      <c r="U170" s="12">
        <f>U70</f>
        <v>-16.581</v>
      </c>
      <c r="V170" s="12">
        <f>V70</f>
        <v>-13.303</v>
      </c>
      <c r="W170" s="12" t="n"/>
      <c r="X170" s="12">
        <f>X70</f>
        <v>-16.148</v>
      </c>
      <c r="Y170" s="12">
        <f>Y70</f>
        <v>-18.629</v>
      </c>
      <c r="Z170" s="12">
        <f>Z70</f>
        <v>-16.259</v>
      </c>
      <c r="AA170" s="12">
        <f>AA70</f>
        <v>-19.031</v>
      </c>
      <c r="AB170" s="12" t="n"/>
      <c r="AC170" s="12">
        <f>AC70</f>
        <v>-18.02</v>
      </c>
      <c r="AD170" s="12">
        <f>AD70</f>
        <v>-19.728</v>
      </c>
      <c r="AE170" s="12">
        <f>AE70</f>
        <v>-20.304</v>
      </c>
      <c r="AF170" s="12">
        <f>AF70</f>
        <v>-22.691</v>
      </c>
      <c r="AG170" s="12" t="n"/>
      <c r="AH170" s="12">
        <f>AH70</f>
        <v>-22.549</v>
      </c>
      <c r="AI170" s="12">
        <f>AI70</f>
        <v>-23.439</v>
      </c>
      <c r="AJ170" s="12">
        <f>AJ70</f>
        <v>-27.8319633785117</v>
      </c>
      <c r="AK170" s="12">
        <f>AK70</f>
        <v>-29.4670407167632</v>
      </c>
      <c r="AL170" s="12" t="n"/>
      <c r="AM170" s="12">
        <f>AM70</f>
        <v>-27.9931153702147</v>
      </c>
      <c r="AN170" s="12">
        <f>AN70</f>
        <v>-30.751208631554</v>
      </c>
      <c r="AO170" s="12">
        <f>AO70</f>
        <v>-35.7113474641986</v>
      </c>
      <c r="AP170" s="12">
        <f>AP70</f>
        <v>-37.8093243177546</v>
      </c>
      <c r="AQ170" s="12" t="n"/>
      <c r="AR170" s="12">
        <f>AR70</f>
        <v>-35.7781569068453</v>
      </c>
      <c r="AS170" s="12">
        <f>AS70</f>
        <v>-39.3032912894553</v>
      </c>
      <c r="AT170" s="12">
        <f>AT70</f>
        <v>-45.642872400278</v>
      </c>
      <c r="AU170" s="12">
        <f>AU70</f>
        <v>-48.3243083198157</v>
      </c>
      <c r="AV170" s="12" t="n"/>
      <c r="AW170" s="12">
        <f>AW70</f>
        <v>-45.5493711370693</v>
      </c>
      <c r="AX170" s="12">
        <f>AX70</f>
        <v>-50.0372393835978</v>
      </c>
      <c r="AY170" s="12">
        <f>AY70</f>
        <v>-58.108195459459</v>
      </c>
      <c r="AZ170" s="12">
        <f>AZ70</f>
        <v>-61.5219464863019</v>
      </c>
      <c r="BA170" s="12" t="n"/>
      <c r="BB170" s="12">
        <f>BB70</f>
        <v>-57.7614116240106</v>
      </c>
      <c r="BC170" s="12">
        <f>BC70</f>
        <v>-63.4525023818168</v>
      </c>
      <c r="BD170" s="12">
        <f>BD70</f>
        <v>-73.6873268033054</v>
      </c>
      <c r="BE170" s="12">
        <f>BE70</f>
        <v>-78.0163235231502</v>
      </c>
      <c r="BF170" s="12" t="n"/>
      <c r="BG170" s="12" t="n"/>
      <c r="BH170" s="12" t="n"/>
      <c r="BI170" s="12" t="n"/>
      <c r="BJ170" s="12" t="n"/>
      <c r="BK170" s="12" t="n"/>
      <c r="BL170" s="12" t="n"/>
      <c r="BM170" s="12" t="n"/>
      <c r="BN170" s="12" t="n"/>
      <c r="BO170" s="12" t="n"/>
      <c r="BP170" s="12" t="n"/>
      <c r="BQ170" s="12" t="n"/>
      <c r="BR170" s="12" t="n"/>
      <c r="BS170" s="12" t="n"/>
      <c r="BT170" s="12" t="n"/>
      <c r="BU170" s="12" t="n"/>
      <c r="BV170" s="12" t="n"/>
      <c r="BW170" s="12" t="n"/>
      <c r="BX170" s="12" t="n"/>
      <c r="BY170" s="12" t="n"/>
      <c r="BZ170" s="12" t="n"/>
      <c r="CA170" s="12" t="n"/>
      <c r="CB170" s="12" t="n"/>
      <c r="CC170" s="12" t="n"/>
      <c r="CD170" s="12" t="n"/>
      <c r="CE170" s="12" t="n"/>
      <c r="CF170" s="12" t="n"/>
      <c r="CG170" s="12" t="n"/>
      <c r="CH170" s="12" t="n"/>
      <c r="CI170" s="12" t="n"/>
      <c r="CJ170" s="12" t="n"/>
      <c r="CK170" s="12" t="n"/>
      <c r="CL170" s="12" t="n"/>
      <c r="CM170" s="12" t="n"/>
      <c r="CN170" s="12" t="n"/>
      <c r="CO170" s="12" t="n"/>
      <c r="CP170" s="12" t="n"/>
      <c r="CQ170" s="12" t="n"/>
      <c r="CR170" s="12" t="n"/>
      <c r="CS170" s="12" t="n"/>
      <c r="CT170" s="12" t="n"/>
      <c r="CU170" s="12" t="n"/>
      <c r="CV170" s="12" t="n"/>
      <c r="CW170" s="12" t="n"/>
      <c r="CX170" s="12" t="n"/>
      <c r="CY170" s="12" t="n"/>
    </row>
    <row r="171" hidden="1" outlineLevel="1">
      <c r="C171" s="57" t="inlineStr">
        <is>
          <t>PP&amp;E</t>
        </is>
      </c>
      <c r="D171" s="12" t="n"/>
      <c r="E171" s="12" t="n"/>
      <c r="F171" s="12" t="n"/>
      <c r="G171" s="12" t="n"/>
      <c r="H171" s="12" t="n"/>
      <c r="I171" s="12">
        <f>I166</f>
        <v>84.771</v>
      </c>
      <c r="J171" s="12">
        <f>J166</f>
        <v>84.92</v>
      </c>
      <c r="K171" s="12">
        <f>K166</f>
        <v>86.763</v>
      </c>
      <c r="L171" s="12">
        <f>L166</f>
        <v>99.075</v>
      </c>
      <c r="M171" s="12" t="n"/>
      <c r="N171" s="12">
        <f>N166</f>
        <v>103.721</v>
      </c>
      <c r="O171" s="12">
        <f>O166</f>
        <v>110.185</v>
      </c>
      <c r="P171" s="12">
        <f>P166</f>
        <v>135.843</v>
      </c>
      <c r="Q171" s="12">
        <f>Q166</f>
        <v>140.115</v>
      </c>
      <c r="R171" s="12" t="n"/>
      <c r="S171" s="12">
        <f>S166</f>
        <v>136.22484709</v>
      </c>
      <c r="T171" s="12">
        <f>T166</f>
        <v>129.142</v>
      </c>
      <c r="U171" s="12">
        <f>U166</f>
        <v>113.832</v>
      </c>
      <c r="V171" s="12">
        <f>V166</f>
        <v>111.474</v>
      </c>
      <c r="W171" s="12" t="n"/>
      <c r="X171" s="12">
        <f>X166</f>
        <v>181.833</v>
      </c>
      <c r="Y171" s="12">
        <f>Y166</f>
        <v>184.863</v>
      </c>
      <c r="Z171" s="12">
        <f>Z166</f>
        <v>197.25589041</v>
      </c>
      <c r="AA171" s="12">
        <f>Y171+SUM(AA168:AA170)</f>
        <v>208.36910959</v>
      </c>
      <c r="AB171" s="12" t="n"/>
      <c r="AC171" s="12">
        <f>AC166</f>
        <v>230.724</v>
      </c>
      <c r="AD171" s="12">
        <f>AD166</f>
        <v>252.372</v>
      </c>
      <c r="AE171" s="12">
        <f>AE166</f>
        <v>266.56</v>
      </c>
      <c r="AF171" s="12">
        <f>AF166</f>
        <v>260.159</v>
      </c>
      <c r="AG171" s="12" t="n"/>
      <c r="AH171" s="12">
        <f>AH166</f>
        <v>273.319</v>
      </c>
      <c r="AI171" s="12">
        <f>AI166</f>
        <v>273.325</v>
      </c>
      <c r="AJ171" s="12">
        <f>AI171+SUM(AJ168:AJ170)</f>
        <v>284.739928665416</v>
      </c>
      <c r="AK171" s="12">
        <f>AJ171+SUM(AK168:AK170)</f>
        <v>296.82546367379</v>
      </c>
      <c r="AL171" s="12" t="n"/>
      <c r="AM171" s="12">
        <f>AK171+SUM(AM168:AM170)</f>
        <v>308.306486795589</v>
      </c>
      <c r="AN171" s="12">
        <f>AM171+SUM(AN168:AN170)</f>
        <v>320.918707073787</v>
      </c>
      <c r="AO171" s="12">
        <f>AN171+SUM(AO168:AO170)</f>
        <v>335.565265719536</v>
      </c>
      <c r="AP171" s="12">
        <f>AO171+SUM(AP168:AP170)</f>
        <v>351.072283104734</v>
      </c>
      <c r="AQ171" s="12" t="n"/>
      <c r="AR171" s="12">
        <f>AP171+SUM(AR168:AR170)</f>
        <v>365.74624280055</v>
      </c>
      <c r="AS171" s="12">
        <f>AR171+SUM(AS168:AS170)</f>
        <v>381.865991892042</v>
      </c>
      <c r="AT171" s="12">
        <f>AS171+SUM(AT168:AT170)</f>
        <v>400.585840199119</v>
      </c>
      <c r="AU171" s="12">
        <f>AT171+SUM(AU168:AU170)</f>
        <v>420.405445620926</v>
      </c>
      <c r="AV171" s="12" t="n"/>
      <c r="AW171" s="12">
        <f>AU171+SUM(AW168:AW170)</f>
        <v>439.086945564464</v>
      </c>
      <c r="AX171" s="12">
        <f>AW171+SUM(AX168:AX170)</f>
        <v>459.60908805259</v>
      </c>
      <c r="AY171" s="12">
        <f>AX171+SUM(AY168:AY170)</f>
        <v>483.441431356042</v>
      </c>
      <c r="AZ171" s="12">
        <f>AY171+SUM(AZ168:AZ170)</f>
        <v>508.673881576959</v>
      </c>
      <c r="BA171" s="12" t="n"/>
      <c r="BB171" s="12">
        <f>AZ171+SUM(BB168:BB170)</f>
        <v>532.363995865155</v>
      </c>
      <c r="BC171" s="12">
        <f>BB171+SUM(BC168:BC170)</f>
        <v>558.38823923168</v>
      </c>
      <c r="BD171" s="12">
        <f>BC171+SUM(BD168:BD170)</f>
        <v>588.610166717197</v>
      </c>
      <c r="BE171" s="12">
        <f>BD171+SUM(BE168:BE170)</f>
        <v>620.607577594877</v>
      </c>
      <c r="BF171" s="12" t="n"/>
      <c r="BG171" s="12" t="n"/>
      <c r="BH171" s="12" t="n"/>
      <c r="BI171" s="12" t="n"/>
      <c r="BJ171" s="12" t="n"/>
      <c r="BK171" s="12" t="n"/>
      <c r="BL171" s="12" t="n"/>
      <c r="BM171" s="12" t="n"/>
      <c r="BN171" s="12" t="n"/>
      <c r="BO171" s="12" t="n"/>
      <c r="BP171" s="12" t="n"/>
      <c r="BQ171" s="12" t="n"/>
      <c r="BR171" s="12" t="n"/>
      <c r="BS171" s="12" t="n"/>
      <c r="BT171" s="12" t="n"/>
      <c r="BU171" s="12" t="n"/>
      <c r="BV171" s="12" t="n"/>
      <c r="BW171" s="12" t="n"/>
      <c r="BX171" s="12" t="n"/>
      <c r="BY171" s="12" t="n"/>
      <c r="BZ171" s="12" t="n"/>
      <c r="CA171" s="12" t="n"/>
      <c r="CB171" s="12" t="n"/>
      <c r="CC171" s="12" t="n"/>
      <c r="CD171" s="12" t="n"/>
      <c r="CE171" s="12" t="n"/>
      <c r="CF171" s="12" t="n"/>
      <c r="CG171" s="12" t="n"/>
      <c r="CH171" s="12" t="n"/>
      <c r="CI171" s="12" t="n"/>
      <c r="CJ171" s="12" t="n"/>
      <c r="CK171" s="12" t="n"/>
      <c r="CL171" s="12" t="n"/>
      <c r="CM171" s="12" t="n"/>
      <c r="CN171" s="12" t="n"/>
      <c r="CO171" s="12" t="n"/>
      <c r="CP171" s="12" t="n"/>
      <c r="CQ171" s="12" t="n"/>
      <c r="CR171" s="12" t="n"/>
      <c r="CS171" s="12" t="n"/>
      <c r="CT171" s="12" t="n"/>
      <c r="CU171" s="12" t="n"/>
      <c r="CV171" s="12" t="n"/>
      <c r="CW171" s="12" t="n"/>
      <c r="CX171" s="12" t="n"/>
      <c r="CY171" s="12" t="n"/>
    </row>
    <row r="172" hidden="1" outlineLevel="1">
      <c r="C172" s="57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12" t="n"/>
      <c r="P172" s="12" t="n"/>
      <c r="Q172" s="12" t="n"/>
      <c r="R172" s="12" t="n"/>
      <c r="S172" s="12" t="n"/>
      <c r="T172" s="12" t="n"/>
      <c r="U172" s="12" t="n"/>
      <c r="V172" s="12" t="n"/>
      <c r="W172" s="12" t="n"/>
      <c r="X172" s="12" t="n"/>
      <c r="Y172" s="12" t="n"/>
      <c r="Z172" s="12" t="n"/>
      <c r="AA172" s="12" t="n"/>
      <c r="AB172" s="12" t="n"/>
      <c r="AC172" s="12" t="n"/>
      <c r="AD172" s="12" t="n"/>
      <c r="AE172" s="12" t="n"/>
      <c r="AF172" s="12" t="n"/>
      <c r="AG172" s="12" t="n"/>
      <c r="AH172" s="12" t="n"/>
      <c r="AI172" s="12" t="n"/>
      <c r="AJ172" s="12">
        <f>IF(AJ15=0,"",AJ168/AJ15)</f>
        <v>0.026418046796723</v>
      </c>
      <c r="AK172" s="12">
        <f>IF(AK15=0,"",AK168/AK15)</f>
        <v>0.026418046796723</v>
      </c>
      <c r="AL172" s="12" t="n"/>
      <c r="AM172" s="12">
        <f>IF(AM15=0,"",AM168/AM15)</f>
        <v>0.0264180467967231</v>
      </c>
      <c r="AN172" s="12">
        <f>IF(AN15=0,"",AN168/AN15)</f>
        <v>0.026418046796723</v>
      </c>
      <c r="AO172" s="12">
        <f>IF(AO15=0,"",AO168/AO15)</f>
        <v>0.026418046796723</v>
      </c>
      <c r="AP172" s="12">
        <f>IF(AP15=0,"",AP168/AP15)</f>
        <v>0.026418046796723</v>
      </c>
      <c r="AQ172" s="12" t="n"/>
      <c r="AR172" s="12">
        <f>IF(AR15=0,"",AR168/AR15)</f>
        <v>0.026418046796723</v>
      </c>
      <c r="AS172" s="12">
        <f>IF(AS15=0,"",AS168/AS15)</f>
        <v>0.026418046796723</v>
      </c>
      <c r="AT172" s="12">
        <f>IF(AT15=0,"",AT168/AT15)</f>
        <v>0.0264180467967231</v>
      </c>
      <c r="AU172" s="12">
        <f>IF(AU15=0,"",AU168/AU15)</f>
        <v>0.026418046796723</v>
      </c>
      <c r="AV172" s="12" t="n"/>
      <c r="AW172" s="12">
        <f>IF(AW15=0,"",AW168/AW15)</f>
        <v>0.0264180467967231</v>
      </c>
      <c r="AX172" s="12">
        <f>IF(AX15=0,"",AX168/AX15)</f>
        <v>0.026418046796723</v>
      </c>
      <c r="AY172" s="12">
        <f>IF(AY15=0,"",AY168/AY15)</f>
        <v>0.026418046796723</v>
      </c>
      <c r="AZ172" s="12">
        <f>IF(AZ15=0,"",AZ168/AZ15)</f>
        <v>0.0264180467967231</v>
      </c>
      <c r="BA172" s="12" t="n"/>
      <c r="BB172" s="12">
        <f>IF(BB15=0,"",BB168/BB15)</f>
        <v>0.026418046796723</v>
      </c>
      <c r="BC172" s="12">
        <f>IF(BC15=0,"",BC168/BC15)</f>
        <v>0.026418046796723</v>
      </c>
      <c r="BD172" s="12">
        <f>IF(BD15=0,"",BD168/BD15)</f>
        <v>0.026418046796723</v>
      </c>
      <c r="BE172" s="12">
        <f>IF(BE15=0,"",BE168/BE15)</f>
        <v>0.026418046796723</v>
      </c>
      <c r="BF172" s="12" t="n"/>
      <c r="BG172" s="12" t="n"/>
      <c r="BH172" s="12" t="n"/>
      <c r="BI172" s="12" t="n"/>
      <c r="BJ172" s="12" t="n"/>
      <c r="BK172" s="12" t="n"/>
      <c r="BL172" s="12" t="n"/>
      <c r="BM172" s="12" t="n"/>
      <c r="BN172" s="12" t="n"/>
      <c r="BO172" s="12" t="n"/>
      <c r="BP172" s="12" t="n"/>
      <c r="BQ172" s="12" t="n"/>
      <c r="BR172" s="12" t="n"/>
      <c r="BS172" s="12" t="n"/>
      <c r="BT172" s="12" t="n"/>
      <c r="BU172" s="12" t="n"/>
      <c r="BV172" s="12" t="n"/>
      <c r="BW172" s="12" t="n"/>
      <c r="BX172" s="12" t="n"/>
      <c r="BY172" s="12" t="n"/>
      <c r="BZ172" s="12" t="n"/>
      <c r="CA172" s="12" t="n"/>
      <c r="CB172" s="12" t="n"/>
      <c r="CC172" s="12" t="n"/>
      <c r="CD172" s="12" t="n"/>
      <c r="CE172" s="12" t="n"/>
      <c r="CF172" s="12" t="n"/>
      <c r="CG172" s="12" t="n"/>
      <c r="CH172" s="12" t="n"/>
      <c r="CI172" s="12" t="n"/>
      <c r="CJ172" s="12" t="n"/>
      <c r="CK172" s="12" t="n"/>
      <c r="CL172" s="12" t="n"/>
      <c r="CM172" s="12" t="n"/>
      <c r="CN172" s="12" t="n"/>
      <c r="CO172" s="12" t="n"/>
      <c r="CP172" s="12" t="n"/>
      <c r="CQ172" s="12" t="n"/>
      <c r="CR172" s="12" t="n"/>
      <c r="CS172" s="12" t="n"/>
      <c r="CT172" s="12" t="n"/>
      <c r="CU172" s="12" t="n"/>
      <c r="CV172" s="12" t="n"/>
      <c r="CW172" s="12" t="n"/>
      <c r="CX172" s="12" t="n"/>
      <c r="CY172" s="12" t="n"/>
    </row>
    <row r="173" hidden="1" outlineLevel="1">
      <c r="C173" s="57" t="inlineStr">
        <is>
          <t>Capital expenditures (% Net Revenues)</t>
        </is>
      </c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12" t="n"/>
      <c r="W173" s="12" t="n"/>
      <c r="X173" s="12" t="n"/>
      <c r="Y173" s="12" t="n"/>
      <c r="Z173" s="12" t="n"/>
      <c r="AA173" s="12" t="n"/>
      <c r="AB173" s="12" t="n"/>
      <c r="AC173" s="12" t="n"/>
      <c r="AD173" s="12" t="n"/>
      <c r="AE173" s="12" t="n"/>
      <c r="AF173" s="58">
        <f>IFERROR(AF168/AF15,"")</f>
        <v>0.013288814309826</v>
      </c>
      <c r="AG173" s="58">
        <f>IFERROR(AG168/AG15,"")</f>
        <v>0.0276628548692519</v>
      </c>
      <c r="AH173" s="58">
        <f>IFERROR(AH168/AH15,"")</f>
        <v>0.030663951973634</v>
      </c>
      <c r="AI173" s="58">
        <f>IFERROR(AI168/AI15,"")</f>
        <v>0.0183269299167881</v>
      </c>
      <c r="AJ173" s="58">
        <f>IFERROR(AJ168/AJ15,"")</f>
        <v>0.026418046796723</v>
      </c>
      <c r="AK173" s="58">
        <f>IFERROR(AK168/AK15,"")</f>
        <v>0.026418046796723</v>
      </c>
      <c r="AL173" s="58">
        <f>IFERROR(AL168/AL15,"")</f>
        <v>0</v>
      </c>
      <c r="AM173" s="58">
        <f>IFERROR(AM168/AM15,"")</f>
        <v>0.0264180467967231</v>
      </c>
      <c r="AN173" s="58">
        <f>IFERROR(AN168/AN15,"")</f>
        <v>0.026418046796723</v>
      </c>
      <c r="AO173" s="58">
        <f>IFERROR(AO168/AO15,"")</f>
        <v>0.026418046796723</v>
      </c>
      <c r="AP173" s="58">
        <f>IFERROR(AP168/AP15,"")</f>
        <v>0.026418046796723</v>
      </c>
      <c r="AQ173" s="58">
        <f>IFERROR(AQ168/AQ15,"")</f>
        <v>0</v>
      </c>
      <c r="AR173" s="58">
        <f>IFERROR(AR168/AR15,"")</f>
        <v>0.026418046796723</v>
      </c>
      <c r="AS173" s="58">
        <f>IFERROR(AS168/AS15,"")</f>
        <v>0.026418046796723</v>
      </c>
      <c r="AT173" s="58">
        <f>IFERROR(AT168/AT15,"")</f>
        <v>0.0264180467967231</v>
      </c>
      <c r="AU173" s="58">
        <f>IFERROR(AU168/AU15,"")</f>
        <v>0.026418046796723</v>
      </c>
      <c r="AV173" s="58">
        <f>IFERROR(AV168/AV15,"")</f>
        <v>0</v>
      </c>
      <c r="AW173" s="58">
        <f>IFERROR(AW168/AW15,"")</f>
        <v>0.0264180467967231</v>
      </c>
      <c r="AX173" s="58">
        <f>IFERROR(AX168/AX15,"")</f>
        <v>0.026418046796723</v>
      </c>
      <c r="AY173" s="58">
        <f>IFERROR(AY168/AY15,"")</f>
        <v>0.026418046796723</v>
      </c>
      <c r="AZ173" s="58">
        <f>IFERROR(AZ168/AZ15,"")</f>
        <v>0.0264180467967231</v>
      </c>
      <c r="BA173" s="58">
        <f>IFERROR(BA168/BA15,"")</f>
        <v>0</v>
      </c>
      <c r="BB173" s="58">
        <f>IFERROR(BB168/BB15,"")</f>
        <v>0.026418046796723</v>
      </c>
      <c r="BC173" s="58">
        <f>IFERROR(BC168/BC15,"")</f>
        <v>0.026418046796723</v>
      </c>
      <c r="BD173" s="58">
        <f>IFERROR(BD168/BD15,"")</f>
        <v>0.026418046796723</v>
      </c>
      <c r="BE173" s="58">
        <f>IFERROR(BE168/BE15,"")</f>
        <v>0.026418046796723</v>
      </c>
      <c r="BF173" s="58">
        <f>IFERROR(BF168/BF15,"")</f>
        <v>0</v>
      </c>
      <c r="BG173" s="58" t="n"/>
      <c r="BH173" s="58" t="n"/>
      <c r="BI173" s="58" t="n"/>
      <c r="BJ173" s="58" t="n"/>
      <c r="BK173" s="58" t="n"/>
      <c r="BL173" s="58" t="n"/>
      <c r="BM173" s="58" t="n"/>
      <c r="BN173" s="58" t="n"/>
      <c r="BO173" s="58" t="n"/>
      <c r="BP173" s="58" t="n"/>
      <c r="BQ173" s="58" t="n"/>
      <c r="BR173" s="58" t="n"/>
      <c r="BS173" s="58" t="n"/>
      <c r="BT173" s="58" t="n"/>
      <c r="BU173" s="58" t="n"/>
      <c r="BV173" s="58" t="n"/>
      <c r="BW173" s="58" t="n"/>
      <c r="BX173" s="58" t="n"/>
      <c r="BY173" s="58" t="n"/>
      <c r="BZ173" s="58" t="n"/>
      <c r="CA173" s="58" t="n"/>
      <c r="CB173" s="58" t="n"/>
      <c r="CC173" s="58" t="n"/>
      <c r="CD173" s="58" t="n"/>
      <c r="CE173" s="58" t="n"/>
      <c r="CF173" s="58" t="n"/>
      <c r="CG173" s="58" t="n"/>
      <c r="CH173" s="58" t="n"/>
      <c r="CI173" s="58" t="n"/>
      <c r="CJ173" s="58" t="n"/>
      <c r="CK173" s="58" t="n"/>
      <c r="CL173" s="58" t="n"/>
      <c r="CM173" s="58" t="n"/>
      <c r="CN173" s="58" t="n"/>
      <c r="CO173" s="58" t="n"/>
      <c r="CP173" s="58" t="n"/>
      <c r="CQ173" s="58" t="n"/>
      <c r="CR173" s="58" t="n"/>
      <c r="CS173" s="58" t="n"/>
      <c r="CT173" s="58" t="n"/>
      <c r="CU173" s="58" t="n"/>
      <c r="CV173" s="58" t="n"/>
      <c r="CW173" s="58" t="n"/>
      <c r="CX173" s="58" t="n"/>
      <c r="CY173" s="58" t="n"/>
    </row>
    <row r="174" hidden="1" outlineLevel="1">
      <c r="C174" s="57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2" t="n"/>
      <c r="P174" s="12" t="n"/>
      <c r="Q174" s="12" t="n"/>
      <c r="R174" s="12" t="n"/>
      <c r="S174" s="12" t="n"/>
      <c r="T174" s="12" t="n"/>
      <c r="U174" s="12" t="n"/>
      <c r="V174" s="12" t="n"/>
      <c r="W174" s="12" t="n"/>
      <c r="X174" s="12" t="n"/>
      <c r="Y174" s="12" t="n"/>
      <c r="Z174" s="12" t="n"/>
      <c r="AA174" s="12" t="n"/>
      <c r="AB174" s="12" t="n"/>
      <c r="AC174" s="12" t="n"/>
      <c r="AD174" s="12" t="n"/>
      <c r="AE174" s="12" t="n"/>
      <c r="AF174" s="12" t="n"/>
      <c r="AG174" s="12" t="n"/>
      <c r="AH174" s="12" t="n"/>
      <c r="AI174" s="12" t="n"/>
      <c r="AJ174" s="12" t="n"/>
      <c r="AK174" s="12" t="n"/>
      <c r="AL174" s="12" t="n"/>
      <c r="AM174" s="12" t="n"/>
      <c r="AN174" s="12" t="n"/>
      <c r="AO174" s="12" t="n"/>
      <c r="AP174" s="12" t="n"/>
      <c r="AQ174" s="12" t="n"/>
      <c r="AR174" s="12" t="n"/>
      <c r="AS174" s="12" t="n"/>
      <c r="AT174" s="12" t="n"/>
      <c r="AU174" s="12" t="n"/>
      <c r="AV174" s="12" t="n"/>
      <c r="AW174" s="12" t="n"/>
      <c r="AX174" s="12" t="n"/>
      <c r="AY174" s="12" t="n"/>
      <c r="AZ174" s="12" t="n"/>
      <c r="BA174" s="12" t="n"/>
      <c r="BB174" s="12" t="n"/>
      <c r="BC174" s="12" t="n"/>
      <c r="BD174" s="12" t="n"/>
      <c r="BE174" s="12" t="n"/>
      <c r="BF174" s="12" t="n"/>
      <c r="BG174" s="12" t="n"/>
      <c r="BH174" s="12" t="n"/>
      <c r="BI174" s="12" t="n"/>
      <c r="BJ174" s="12" t="n"/>
      <c r="BK174" s="12" t="n"/>
      <c r="BL174" s="12" t="n"/>
      <c r="BM174" s="12" t="n"/>
      <c r="BN174" s="12" t="n"/>
      <c r="BO174" s="12" t="n"/>
      <c r="BP174" s="12" t="n"/>
      <c r="BQ174" s="12" t="n"/>
      <c r="BR174" s="12" t="n"/>
      <c r="BS174" s="12" t="n"/>
      <c r="BT174" s="12" t="n"/>
      <c r="BU174" s="12" t="n"/>
      <c r="BV174" s="12" t="n"/>
      <c r="BW174" s="12" t="n"/>
      <c r="BX174" s="12" t="n"/>
      <c r="BY174" s="12" t="n"/>
      <c r="BZ174" s="12" t="n"/>
      <c r="CA174" s="12" t="n"/>
      <c r="CB174" s="12" t="n"/>
      <c r="CC174" s="12" t="n"/>
      <c r="CD174" s="12" t="n"/>
      <c r="CE174" s="12" t="n"/>
      <c r="CF174" s="12" t="n"/>
      <c r="CG174" s="12" t="n"/>
      <c r="CH174" s="12" t="n"/>
      <c r="CI174" s="12" t="n"/>
      <c r="CJ174" s="12" t="n"/>
      <c r="CK174" s="12" t="n"/>
      <c r="CL174" s="12" t="n"/>
      <c r="CM174" s="12" t="n"/>
      <c r="CN174" s="12" t="n"/>
      <c r="CO174" s="12" t="n"/>
      <c r="CP174" s="12" t="n"/>
      <c r="CQ174" s="12" t="n"/>
      <c r="CR174" s="12" t="n"/>
      <c r="CS174" s="12" t="n"/>
      <c r="CT174" s="12" t="n"/>
      <c r="CU174" s="12" t="n"/>
      <c r="CV174" s="12" t="n"/>
      <c r="CW174" s="12" t="n"/>
      <c r="CX174" s="12" t="n"/>
      <c r="CY174" s="12" t="n"/>
    </row>
    <row r="175" hidden="1" outlineLevel="1">
      <c r="C175" s="57" t="n"/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  <c r="V175" s="12" t="n"/>
      <c r="W175" s="12" t="n"/>
      <c r="X175" s="12" t="n"/>
      <c r="Y175" s="12" t="n"/>
      <c r="Z175" s="12" t="n"/>
      <c r="AA175" s="12" t="n"/>
      <c r="AB175" s="12" t="n"/>
      <c r="AC175" s="12" t="n"/>
      <c r="AD175" s="12" t="n"/>
      <c r="AE175" s="12" t="n"/>
      <c r="AF175" s="12" t="n"/>
      <c r="AG175" s="12" t="n"/>
      <c r="AH175" s="12" t="n"/>
      <c r="AI175" s="12" t="n"/>
      <c r="AJ175" s="12" t="n"/>
      <c r="AK175" s="12" t="n"/>
      <c r="AL175" s="12" t="n"/>
      <c r="AM175" s="12" t="n"/>
      <c r="AN175" s="12" t="n"/>
      <c r="AO175" s="12" t="n"/>
      <c r="AP175" s="12" t="n"/>
      <c r="AQ175" s="12" t="n"/>
      <c r="AR175" s="12" t="n"/>
      <c r="AS175" s="12" t="n"/>
      <c r="AT175" s="12" t="n"/>
      <c r="AU175" s="12" t="n"/>
      <c r="AV175" s="12" t="n"/>
      <c r="AW175" s="12" t="n"/>
      <c r="AX175" s="12" t="n"/>
      <c r="AY175" s="12" t="n"/>
      <c r="AZ175" s="12" t="n"/>
      <c r="BA175" s="12" t="n"/>
      <c r="BB175" s="12" t="n"/>
      <c r="BC175" s="12" t="n"/>
      <c r="BD175" s="12" t="n"/>
      <c r="BE175" s="12" t="n"/>
      <c r="BF175" s="12" t="n"/>
      <c r="BG175" s="12" t="n"/>
      <c r="BH175" s="12" t="n"/>
      <c r="BI175" s="12" t="n"/>
      <c r="BJ175" s="12" t="n"/>
      <c r="BK175" s="12" t="n"/>
      <c r="BL175" s="12" t="n"/>
      <c r="BM175" s="12" t="n"/>
      <c r="BN175" s="12" t="n"/>
      <c r="BO175" s="12" t="n"/>
      <c r="BP175" s="12" t="n"/>
      <c r="BQ175" s="12" t="n"/>
      <c r="BR175" s="12" t="n"/>
      <c r="BS175" s="12" t="n"/>
      <c r="BT175" s="12" t="n"/>
      <c r="BU175" s="12" t="n"/>
      <c r="BV175" s="12" t="n"/>
      <c r="BW175" s="12" t="n"/>
      <c r="BX175" s="12" t="n"/>
      <c r="BY175" s="12" t="n"/>
      <c r="BZ175" s="12" t="n"/>
      <c r="CA175" s="12" t="n"/>
      <c r="CB175" s="12" t="n"/>
      <c r="CC175" s="12" t="n"/>
      <c r="CD175" s="12" t="n"/>
      <c r="CE175" s="12" t="n"/>
      <c r="CF175" s="12" t="n"/>
      <c r="CG175" s="12" t="n"/>
      <c r="CH175" s="12" t="n"/>
      <c r="CI175" s="12" t="n"/>
      <c r="CJ175" s="12" t="n"/>
      <c r="CK175" s="12" t="n"/>
      <c r="CL175" s="12" t="n"/>
      <c r="CM175" s="12" t="n"/>
      <c r="CN175" s="12" t="n"/>
      <c r="CO175" s="12" t="n"/>
      <c r="CP175" s="12" t="n"/>
      <c r="CQ175" s="12" t="n"/>
      <c r="CR175" s="12" t="n"/>
      <c r="CS175" s="12" t="n"/>
      <c r="CT175" s="12" t="n"/>
      <c r="CU175" s="12" t="n"/>
      <c r="CV175" s="12" t="n"/>
      <c r="CW175" s="12" t="n"/>
      <c r="CX175" s="12" t="n"/>
      <c r="CY175" s="12" t="n"/>
    </row>
    <row r="176" collapsed="1">
      <c r="C176" s="14" t="inlineStr">
        <is>
          <t>Right-of-use-assets</t>
        </is>
      </c>
      <c r="D176" s="46" t="n"/>
      <c r="E176" s="46" t="n"/>
      <c r="F176" s="46" t="n"/>
      <c r="G176" s="46" t="n"/>
      <c r="H176" s="12" t="n"/>
      <c r="I176" s="46">
        <f>'Inputs (2)'!D23</f>
        <v>0</v>
      </c>
      <c r="J176" s="46">
        <f>'Inputs (2)'!E23</f>
        <v>0</v>
      </c>
      <c r="K176" s="46">
        <f>'Inputs (2)'!F23</f>
        <v>0</v>
      </c>
      <c r="L176" s="46">
        <f>'Inputs (2)'!G23</f>
        <v>0</v>
      </c>
      <c r="M176" s="12">
        <f>'Inputs (2)'!H23</f>
        <v>0</v>
      </c>
      <c r="N176" s="46">
        <f>'Inputs (2)'!I23</f>
        <v>0</v>
      </c>
      <c r="O176" s="46">
        <f>'Inputs (2)'!J23</f>
        <v>0</v>
      </c>
      <c r="P176" s="46">
        <f>'Inputs (2)'!K23</f>
        <v>0</v>
      </c>
      <c r="Q176" s="46">
        <f>'Inputs (2)'!L23</f>
        <v>0</v>
      </c>
      <c r="R176" s="12">
        <f>'Inputs (2)'!M23</f>
        <v>0</v>
      </c>
      <c r="S176" s="46">
        <f>'Inputs (2)'!N23</f>
        <v>0</v>
      </c>
      <c r="T176" s="46">
        <f>'Inputs (2)'!O23</f>
        <v>0</v>
      </c>
      <c r="U176" s="46">
        <f>'Inputs (2)'!P23</f>
        <v>0</v>
      </c>
      <c r="V176" s="46">
        <f>'Inputs (2)'!Q23</f>
        <v>0</v>
      </c>
      <c r="W176" s="12">
        <f>'Inputs (2)'!R23</f>
        <v>0</v>
      </c>
      <c r="X176" s="46">
        <f>'Inputs (2)'!S23</f>
        <v>0</v>
      </c>
      <c r="Y176" s="46">
        <f>'Inputs (2)'!T23</f>
        <v>0</v>
      </c>
      <c r="Z176" s="46">
        <f>'Inputs (2)'!U23</f>
        <v>0</v>
      </c>
      <c r="AA176" s="46">
        <f>'Inputs (2)'!V23</f>
        <v>0</v>
      </c>
      <c r="AB176" s="12">
        <f>'Inputs (2)'!W23</f>
        <v>0</v>
      </c>
      <c r="AC176" s="46">
        <f>'Inputs (2)'!X23</f>
        <v>0</v>
      </c>
      <c r="AD176" s="46">
        <f>'Inputs (2)'!Y23</f>
        <v>0</v>
      </c>
      <c r="AE176" s="46">
        <f>'Inputs (2)'!Z23</f>
        <v>0</v>
      </c>
      <c r="AF176" s="46">
        <f>'Inputs (2)'!AA23</f>
        <v>0</v>
      </c>
      <c r="AG176" s="12">
        <f>'Inputs (2)'!AB23</f>
        <v>0</v>
      </c>
      <c r="AH176" s="12">
        <f>'Inputs (2)'!AC23</f>
        <v>0</v>
      </c>
      <c r="AI176" s="12">
        <f>'Inputs (2)'!AD23</f>
        <v>0</v>
      </c>
      <c r="AJ176" s="12">
        <f>AI176</f>
        <v>0</v>
      </c>
      <c r="AK176" s="12">
        <f>AJ176</f>
        <v>0</v>
      </c>
      <c r="AL176" s="12">
        <f>AK176</f>
        <v>0</v>
      </c>
      <c r="AM176" s="12">
        <f>AL176</f>
        <v>0</v>
      </c>
      <c r="AN176" s="12">
        <f>AM176</f>
        <v>0</v>
      </c>
      <c r="AO176" s="12">
        <f>AN176</f>
        <v>0</v>
      </c>
      <c r="AP176" s="12">
        <f>AO176</f>
        <v>0</v>
      </c>
      <c r="AQ176" s="12">
        <f>AP176</f>
        <v>0</v>
      </c>
      <c r="AR176" s="12">
        <f>AQ176</f>
        <v>0</v>
      </c>
      <c r="AS176" s="12">
        <f>AR176</f>
        <v>0</v>
      </c>
      <c r="AT176" s="12">
        <f>AS176</f>
        <v>0</v>
      </c>
      <c r="AU176" s="12">
        <f>AT176</f>
        <v>0</v>
      </c>
      <c r="AV176" s="12">
        <f>AU176</f>
        <v>0</v>
      </c>
      <c r="AW176" s="12">
        <f>AV176</f>
        <v>0</v>
      </c>
      <c r="AX176" s="12">
        <f>AW176</f>
        <v>0</v>
      </c>
      <c r="AY176" s="12">
        <f>AX176</f>
        <v>0</v>
      </c>
      <c r="AZ176" s="12">
        <f>AY176</f>
        <v>0</v>
      </c>
      <c r="BA176" s="12">
        <f>AZ176</f>
        <v>0</v>
      </c>
      <c r="BB176" s="12">
        <f>BA176</f>
        <v>0</v>
      </c>
      <c r="BC176" s="12">
        <f>BB176</f>
        <v>0</v>
      </c>
      <c r="BD176" s="12">
        <f>BC176</f>
        <v>0</v>
      </c>
      <c r="BE176" s="12">
        <f>BD176</f>
        <v>0</v>
      </c>
      <c r="BF176" s="12">
        <f>BE176</f>
        <v>0</v>
      </c>
      <c r="BG176" s="12" t="n"/>
      <c r="BH176" s="12" t="n"/>
      <c r="BI176" s="12" t="n"/>
      <c r="BJ176" s="12" t="n"/>
      <c r="BK176" s="12" t="n"/>
      <c r="BL176" s="12" t="n"/>
      <c r="BM176" s="12" t="n"/>
      <c r="BN176" s="12" t="n"/>
      <c r="BO176" s="12" t="n"/>
      <c r="BP176" s="12" t="n"/>
      <c r="BQ176" s="12" t="n"/>
      <c r="BR176" s="12" t="n"/>
      <c r="BS176" s="12" t="n"/>
      <c r="BT176" s="12" t="n"/>
      <c r="BU176" s="12" t="n"/>
      <c r="BV176" s="12" t="n"/>
      <c r="BW176" s="12" t="n"/>
      <c r="BX176" s="12" t="n"/>
      <c r="BY176" s="12" t="n"/>
      <c r="BZ176" s="12" t="n"/>
      <c r="CA176" s="12" t="n"/>
      <c r="CB176" s="12" t="n"/>
      <c r="CC176" s="12" t="n"/>
      <c r="CD176" s="12" t="n"/>
      <c r="CE176" s="12" t="n"/>
      <c r="CF176" s="12" t="n"/>
      <c r="CG176" s="12" t="n"/>
      <c r="CH176" s="12" t="n"/>
      <c r="CI176" s="12" t="n"/>
      <c r="CJ176" s="12" t="n"/>
      <c r="CK176" s="12" t="n"/>
      <c r="CL176" s="12" t="n"/>
      <c r="CM176" s="12" t="n"/>
      <c r="CN176" s="12" t="n"/>
      <c r="CO176" s="12" t="n"/>
      <c r="CP176" s="12" t="n"/>
      <c r="CQ176" s="12" t="n"/>
      <c r="CR176" s="12" t="n"/>
      <c r="CS176" s="12" t="n"/>
      <c r="CT176" s="12" t="n"/>
      <c r="CU176" s="12" t="n"/>
      <c r="CV176" s="12" t="n"/>
      <c r="CW176" s="12" t="n"/>
      <c r="CX176" s="12" t="n"/>
      <c r="CY176" s="12" t="n"/>
    </row>
    <row r="177" hidden="1" outlineLevel="1">
      <c r="C177" s="59" t="inlineStr">
        <is>
          <t>%(Var.)</t>
        </is>
      </c>
      <c r="D177" s="12" t="n"/>
      <c r="E177" s="40" t="n"/>
      <c r="F177" s="40" t="n"/>
      <c r="G177" s="40" t="n"/>
      <c r="H177" s="12" t="n"/>
      <c r="I177" s="40" t="str">
        <f>""</f>
        <v/>
      </c>
      <c r="J177" s="40" t="str">
        <f>IFERROR(IF(I176=0,"",J176/I176-1),"")</f>
        <v/>
      </c>
      <c r="K177" s="40" t="str">
        <f>IFERROR(IF(J176=0,"",K176/J176-1),"")</f>
        <v/>
      </c>
      <c r="L177" s="40" t="str">
        <f>IFERROR(IF(K176=0,"",L176/K176-1),"")</f>
        <v/>
      </c>
      <c r="M177" s="12" t="str">
        <f>IFERROR(IF(L176=0,"",M176/L176-1),"")</f>
        <v/>
      </c>
      <c r="N177" s="40" t="str">
        <f>IFERROR(IF(M176=0,"",N176/M176-1),"")</f>
        <v/>
      </c>
      <c r="O177" s="40" t="str">
        <f>IFERROR(IF(N176=0,"",O176/N176-1),"")</f>
        <v/>
      </c>
      <c r="P177" s="40" t="str">
        <f>IFERROR(IF(O176=0,"",P176/O176-1),"")</f>
        <v/>
      </c>
      <c r="Q177" s="40" t="str">
        <f>IFERROR(IF(P176=0,"",Q176/P176-1),"")</f>
        <v/>
      </c>
      <c r="R177" s="12" t="str">
        <f>IFERROR(IF(Q176=0,"",R176/Q176-1),"")</f>
        <v/>
      </c>
      <c r="S177" s="40" t="str">
        <f>IFERROR(IF(R176=0,"",S176/R176-1),"")</f>
        <v/>
      </c>
      <c r="T177" s="40" t="str">
        <f>IFERROR(IF(S176=0,"",T176/S176-1),"")</f>
        <v/>
      </c>
      <c r="U177" s="40" t="str">
        <f>IFERROR(IF(T176=0,"",U176/T176-1),"")</f>
        <v/>
      </c>
      <c r="V177" s="40" t="str">
        <f>IFERROR(IF(U176=0,"",V176/U176-1),"")</f>
        <v/>
      </c>
      <c r="W177" s="12" t="str">
        <f>IFERROR(IF(V176=0,"",W176/V176-1),"")</f>
        <v/>
      </c>
      <c r="X177" s="40" t="str">
        <f>IFERROR(IF(W176=0,"",X176/W176-1),"")</f>
        <v/>
      </c>
      <c r="Y177" s="40" t="str">
        <f>IFERROR(IF(X176=0,"",Y176/X176-1),"")</f>
        <v/>
      </c>
      <c r="Z177" s="40" t="str">
        <f>IFERROR(IF(Y176=0,"",Z176/Y176-1),"")</f>
        <v/>
      </c>
      <c r="AA177" s="40" t="str">
        <f>IFERROR(IF(Z176=0,"",AA176/Z176-1),"")</f>
        <v/>
      </c>
      <c r="AB177" s="12" t="str">
        <f>IFERROR(IF(AA176=0,"",AB176/AA176-1),"")</f>
        <v/>
      </c>
      <c r="AC177" s="40" t="str">
        <f>IFERROR(IF(AB176=0,"",AC176/AB176-1),"")</f>
        <v/>
      </c>
      <c r="AD177" s="40" t="str">
        <f>IFERROR(IF(AC176=0,"",AD176/AC176-1),"")</f>
        <v/>
      </c>
      <c r="AE177" s="40" t="str">
        <f>IFERROR(IF(AD176=0,"",AE176/AD176-1),"")</f>
        <v/>
      </c>
      <c r="AF177" s="55" t="str">
        <f>IFERROR(IF(AE176=0,"",AF176/AE176-1),"")</f>
        <v/>
      </c>
      <c r="AG177" s="12" t="str">
        <f>IFERROR(IF(AF176=0,"",AG176/AF176-1),"")</f>
        <v/>
      </c>
      <c r="AH177" s="55" t="str">
        <f>IFERROR(IF(AG176=0,"",AH176/AG176-1),"")</f>
        <v/>
      </c>
      <c r="AI177" s="55" t="str">
        <f>IFERROR(IF(AH176=0,"",AI176/AH176-1),"")</f>
        <v/>
      </c>
      <c r="AJ177" s="55" t="str">
        <f>IFERROR(IF(AI176=0,"",AJ176/AI176-1),"")</f>
        <v/>
      </c>
      <c r="AK177" s="55" t="str">
        <f>IFERROR(IF(AJ176=0,"",AK176/AJ176-1),"")</f>
        <v/>
      </c>
      <c r="AL177" s="12" t="str">
        <f>IFERROR(IF(AK176=0,"",AL176/AK176-1),"")</f>
        <v/>
      </c>
      <c r="AM177" s="55" t="str">
        <f>IFERROR(IF(AL176=0,"",AM176/AL176-1),"")</f>
        <v/>
      </c>
      <c r="AN177" s="55" t="str">
        <f>IFERROR(IF(AM176=0,"",AN176/AM176-1),"")</f>
        <v/>
      </c>
      <c r="AO177" s="55" t="str">
        <f>IFERROR(IF(AN176=0,"",AO176/AN176-1),"")</f>
        <v/>
      </c>
      <c r="AP177" s="55" t="str">
        <f>IFERROR(IF(AO176=0,"",AP176/AO176-1),"")</f>
        <v/>
      </c>
      <c r="AQ177" s="12" t="str">
        <f>IFERROR(IF(AP176=0,"",AQ176/AP176-1),"")</f>
        <v/>
      </c>
      <c r="AR177" s="55" t="str">
        <f>IFERROR(IF(AQ176=0,"",AR176/AQ176-1),"")</f>
        <v/>
      </c>
      <c r="AS177" s="55" t="str">
        <f>IFERROR(IF(AR176=0,"",AS176/AR176-1),"")</f>
        <v/>
      </c>
      <c r="AT177" s="55" t="str">
        <f>IFERROR(IF(AS176=0,"",AT176/AS176-1),"")</f>
        <v/>
      </c>
      <c r="AU177" s="55" t="str">
        <f>IFERROR(IF(AT176=0,"",AU176/AT176-1),"")</f>
        <v/>
      </c>
      <c r="AV177" s="12" t="str">
        <f>IFERROR(IF(AU176=0,"",AV176/AU176-1),"")</f>
        <v/>
      </c>
      <c r="AW177" s="55" t="str">
        <f>IFERROR(IF(AV176=0,"",AW176/AV176-1),"")</f>
        <v/>
      </c>
      <c r="AX177" s="55" t="str">
        <f>IFERROR(IF(AW176=0,"",AX176/AW176-1),"")</f>
        <v/>
      </c>
      <c r="AY177" s="55" t="str">
        <f>IFERROR(IF(AX176=0,"",AY176/AX176-1),"")</f>
        <v/>
      </c>
      <c r="AZ177" s="55" t="str">
        <f>IFERROR(IF(AY176=0,"",AZ176/AY176-1),"")</f>
        <v/>
      </c>
      <c r="BA177" s="12" t="str">
        <f>IFERROR(IF(AZ176=0,"",BA176/AZ176-1),"")</f>
        <v/>
      </c>
      <c r="BB177" s="55" t="str">
        <f>IFERROR(IF(BA176=0,"",BB176/BA176-1),"")</f>
        <v/>
      </c>
      <c r="BC177" s="55" t="str">
        <f>IFERROR(IF(BB176=0,"",BC176/BB176-1),"")</f>
        <v/>
      </c>
      <c r="BD177" s="55" t="str">
        <f>IFERROR(IF(BC176=0,"",BD176/BC176-1),"")</f>
        <v/>
      </c>
      <c r="BE177" s="55" t="str">
        <f>IFERROR(IF(BD176=0,"",BE176/BD176-1),"")</f>
        <v/>
      </c>
      <c r="BF177" s="12" t="str">
        <f>IFERROR(IF(BE176=0,"",BF176/BE176-1),"")</f>
        <v/>
      </c>
      <c r="BG177" s="55" t="n"/>
      <c r="BH177" s="55" t="n"/>
      <c r="BI177" s="55" t="n"/>
      <c r="BJ177" s="55" t="n"/>
      <c r="BK177" s="12" t="n"/>
      <c r="BL177" s="55" t="n"/>
      <c r="BM177" s="55" t="n"/>
      <c r="BN177" s="55" t="n"/>
      <c r="BO177" s="55" t="n"/>
      <c r="BP177" s="12" t="n"/>
      <c r="BQ177" s="55" t="n"/>
      <c r="BR177" s="55" t="n"/>
      <c r="BS177" s="55" t="n"/>
      <c r="BT177" s="55" t="n"/>
      <c r="BU177" s="12" t="n"/>
      <c r="BV177" s="55" t="n"/>
      <c r="BW177" s="55" t="n"/>
      <c r="BX177" s="55" t="n"/>
      <c r="BY177" s="55" t="n"/>
      <c r="BZ177" s="12" t="n"/>
      <c r="CA177" s="55" t="n"/>
      <c r="CB177" s="55" t="n"/>
      <c r="CC177" s="55" t="n"/>
      <c r="CD177" s="55" t="n"/>
      <c r="CE177" s="12" t="n"/>
      <c r="CF177" s="55" t="n"/>
      <c r="CG177" s="55" t="n"/>
      <c r="CH177" s="55" t="n"/>
      <c r="CI177" s="55" t="n"/>
      <c r="CJ177" s="12" t="n"/>
      <c r="CK177" s="55" t="n"/>
      <c r="CL177" s="55" t="n"/>
      <c r="CM177" s="55" t="n"/>
      <c r="CN177" s="55" t="n"/>
      <c r="CO177" s="12" t="n"/>
      <c r="CP177" s="55" t="n"/>
      <c r="CQ177" s="55" t="n"/>
      <c r="CR177" s="55" t="n"/>
      <c r="CS177" s="55" t="n"/>
      <c r="CT177" s="12" t="n"/>
      <c r="CU177" s="55" t="n"/>
      <c r="CV177" s="55" t="n"/>
      <c r="CW177" s="55" t="n"/>
      <c r="CX177" s="55" t="n"/>
      <c r="CY177" s="12" t="n"/>
    </row>
    <row r="178" hidden="1" outlineLevel="1">
      <c r="C178" s="57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12" t="n"/>
      <c r="O178" s="12" t="n"/>
      <c r="P178" s="12" t="n"/>
      <c r="Q178" s="12" t="n"/>
      <c r="R178" s="12" t="n"/>
      <c r="S178" s="12" t="n"/>
      <c r="T178" s="12" t="n"/>
      <c r="U178" s="12" t="n"/>
      <c r="V178" s="12" t="n"/>
      <c r="W178" s="12" t="n"/>
      <c r="X178" s="12" t="n"/>
      <c r="Y178" s="12" t="n"/>
      <c r="Z178" s="12" t="n"/>
      <c r="AA178" s="12" t="n"/>
      <c r="AB178" s="12" t="n"/>
      <c r="AC178" s="12" t="n"/>
      <c r="AD178" s="12" t="n"/>
      <c r="AE178" s="12" t="n"/>
      <c r="AF178" s="12" t="n"/>
      <c r="AG178" s="12" t="n"/>
      <c r="AH178" s="12" t="n"/>
      <c r="AI178" s="12" t="n"/>
      <c r="AJ178" s="12" t="n"/>
      <c r="AK178" s="12" t="n"/>
      <c r="AL178" s="12" t="n"/>
      <c r="AM178" s="12" t="n"/>
      <c r="AN178" s="12" t="n"/>
      <c r="AO178" s="12" t="n"/>
      <c r="AP178" s="12" t="n"/>
      <c r="AQ178" s="12" t="n"/>
      <c r="AR178" s="12" t="n"/>
      <c r="AS178" s="12" t="n"/>
      <c r="AT178" s="12" t="n"/>
      <c r="AU178" s="12" t="n"/>
      <c r="AV178" s="12" t="n"/>
      <c r="AW178" s="12" t="n"/>
      <c r="AX178" s="12" t="n"/>
      <c r="AY178" s="12" t="n"/>
      <c r="AZ178" s="12" t="n"/>
      <c r="BA178" s="12" t="n"/>
      <c r="BB178" s="12" t="n"/>
      <c r="BC178" s="12" t="n"/>
      <c r="BD178" s="12" t="n"/>
      <c r="BE178" s="12" t="n"/>
      <c r="BF178" s="12" t="n"/>
      <c r="BG178" s="12" t="n"/>
      <c r="BH178" s="12" t="n"/>
      <c r="BI178" s="12" t="n"/>
      <c r="BJ178" s="12" t="n"/>
      <c r="BK178" s="12" t="n"/>
      <c r="BL178" s="12" t="n"/>
      <c r="BM178" s="12" t="n"/>
      <c r="BN178" s="12" t="n"/>
      <c r="BO178" s="12" t="n"/>
      <c r="BP178" s="12" t="n"/>
      <c r="BQ178" s="12" t="n"/>
      <c r="BR178" s="12" t="n"/>
      <c r="BS178" s="12" t="n"/>
      <c r="BT178" s="12" t="n"/>
      <c r="BU178" s="12" t="n"/>
      <c r="BV178" s="12" t="n"/>
      <c r="BW178" s="12" t="n"/>
      <c r="BX178" s="12" t="n"/>
      <c r="BY178" s="12" t="n"/>
      <c r="BZ178" s="12" t="n"/>
      <c r="CA178" s="12" t="n"/>
      <c r="CB178" s="12" t="n"/>
      <c r="CC178" s="12" t="n"/>
      <c r="CD178" s="12" t="n"/>
      <c r="CE178" s="12" t="n"/>
      <c r="CF178" s="12" t="n"/>
      <c r="CG178" s="12" t="n"/>
      <c r="CH178" s="12" t="n"/>
      <c r="CI178" s="12" t="n"/>
      <c r="CJ178" s="12" t="n"/>
      <c r="CK178" s="12" t="n"/>
      <c r="CL178" s="12" t="n"/>
      <c r="CM178" s="12" t="n"/>
      <c r="CN178" s="12" t="n"/>
      <c r="CO178" s="12" t="n"/>
      <c r="CP178" s="12" t="n"/>
      <c r="CQ178" s="12" t="n"/>
      <c r="CR178" s="12" t="n"/>
      <c r="CS178" s="12" t="n"/>
      <c r="CT178" s="12" t="n"/>
      <c r="CU178" s="12" t="n"/>
      <c r="CV178" s="12" t="n"/>
      <c r="CW178" s="12" t="n"/>
      <c r="CX178" s="12" t="n"/>
      <c r="CY178" s="12" t="n"/>
    </row>
    <row r="179" collapsed="1">
      <c r="C179" s="14" t="inlineStr">
        <is>
          <t>Goodwill</t>
        </is>
      </c>
      <c r="D179" s="46" t="n"/>
      <c r="E179" s="46" t="n"/>
      <c r="F179" s="46" t="n"/>
      <c r="G179" s="46" t="n"/>
      <c r="H179" s="12" t="n"/>
      <c r="I179" s="46">
        <f>'Inputs (2)'!D24</f>
        <v>0</v>
      </c>
      <c r="J179" s="46">
        <f>'Inputs (2)'!E24</f>
        <v>0</v>
      </c>
      <c r="K179" s="46">
        <f>'Inputs (2)'!F24</f>
        <v>0</v>
      </c>
      <c r="L179" s="46">
        <f>'Inputs (2)'!G24</f>
        <v>0</v>
      </c>
      <c r="M179" s="12">
        <f>'Inputs (2)'!H24</f>
        <v>0</v>
      </c>
      <c r="N179" s="46">
        <f>'Inputs (2)'!I24</f>
        <v>0</v>
      </c>
      <c r="O179" s="46">
        <f>'Inputs (2)'!J24</f>
        <v>0</v>
      </c>
      <c r="P179" s="46">
        <f>'Inputs (2)'!K24</f>
        <v>0</v>
      </c>
      <c r="Q179" s="46">
        <f>'Inputs (2)'!L24</f>
        <v>0</v>
      </c>
      <c r="R179" s="12">
        <f>'Inputs (2)'!M24</f>
        <v>0</v>
      </c>
      <c r="S179" s="46">
        <f>'Inputs (2)'!N24</f>
        <v>0</v>
      </c>
      <c r="T179" s="46">
        <f>'Inputs (2)'!O24</f>
        <v>0</v>
      </c>
      <c r="U179" s="46">
        <f>'Inputs (2)'!P24</f>
        <v>0</v>
      </c>
      <c r="V179" s="46">
        <f>'Inputs (2)'!Q24</f>
        <v>0</v>
      </c>
      <c r="W179" s="12">
        <f>'Inputs (2)'!R24</f>
        <v>0</v>
      </c>
      <c r="X179" s="46">
        <f>'Inputs (2)'!S24</f>
        <v>0</v>
      </c>
      <c r="Y179" s="46">
        <f>'Inputs (2)'!T24</f>
        <v>0</v>
      </c>
      <c r="Z179" s="46">
        <f>'Inputs (2)'!U24</f>
        <v>0</v>
      </c>
      <c r="AA179" s="46">
        <f>'Inputs (2)'!V24</f>
        <v>0</v>
      </c>
      <c r="AB179" s="12">
        <f>'Inputs (2)'!W24</f>
        <v>0</v>
      </c>
      <c r="AC179" s="46">
        <f>'Inputs (2)'!X24</f>
        <v>0</v>
      </c>
      <c r="AD179" s="46">
        <f>'Inputs (2)'!Y24</f>
        <v>0</v>
      </c>
      <c r="AE179" s="46">
        <f>'Inputs (2)'!Z24</f>
        <v>0</v>
      </c>
      <c r="AF179" s="46">
        <f>'Inputs (2)'!AA24</f>
        <v>0</v>
      </c>
      <c r="AG179" s="12">
        <f>'Inputs (2)'!AB24</f>
        <v>0</v>
      </c>
      <c r="AH179" s="12">
        <f>'Inputs (2)'!AC24</f>
        <v>0</v>
      </c>
      <c r="AI179" s="12">
        <f>'Inputs (2)'!AD24</f>
        <v>0</v>
      </c>
      <c r="AJ179" s="12">
        <f>AI179</f>
        <v>0</v>
      </c>
      <c r="AK179" s="12">
        <f>AJ179</f>
        <v>0</v>
      </c>
      <c r="AL179" s="12">
        <f>AK179</f>
        <v>0</v>
      </c>
      <c r="AM179" s="12">
        <f>AL179</f>
        <v>0</v>
      </c>
      <c r="AN179" s="12">
        <f>AM179</f>
        <v>0</v>
      </c>
      <c r="AO179" s="12">
        <f>AN179</f>
        <v>0</v>
      </c>
      <c r="AP179" s="12">
        <f>AO179</f>
        <v>0</v>
      </c>
      <c r="AQ179" s="12">
        <f>AP179</f>
        <v>0</v>
      </c>
      <c r="AR179" s="12">
        <f>AQ179</f>
        <v>0</v>
      </c>
      <c r="AS179" s="12">
        <f>AR179</f>
        <v>0</v>
      </c>
      <c r="AT179" s="12">
        <f>AS179</f>
        <v>0</v>
      </c>
      <c r="AU179" s="12">
        <f>AT179</f>
        <v>0</v>
      </c>
      <c r="AV179" s="12">
        <f>AU179</f>
        <v>0</v>
      </c>
      <c r="AW179" s="12">
        <f>AV179</f>
        <v>0</v>
      </c>
      <c r="AX179" s="12">
        <f>AW179</f>
        <v>0</v>
      </c>
      <c r="AY179" s="12">
        <f>AX179</f>
        <v>0</v>
      </c>
      <c r="AZ179" s="12">
        <f>AY179</f>
        <v>0</v>
      </c>
      <c r="BA179" s="12">
        <f>AZ179</f>
        <v>0</v>
      </c>
      <c r="BB179" s="12">
        <f>BA179</f>
        <v>0</v>
      </c>
      <c r="BC179" s="12">
        <f>BB179</f>
        <v>0</v>
      </c>
      <c r="BD179" s="12">
        <f>BC179</f>
        <v>0</v>
      </c>
      <c r="BE179" s="12">
        <f>BD179</f>
        <v>0</v>
      </c>
      <c r="BF179" s="12">
        <f>BE179</f>
        <v>0</v>
      </c>
      <c r="BG179" s="12" t="n"/>
      <c r="BH179" s="12" t="n"/>
      <c r="BI179" s="12" t="n"/>
      <c r="BJ179" s="12" t="n"/>
      <c r="BK179" s="12" t="n"/>
      <c r="BL179" s="12" t="n"/>
      <c r="BM179" s="12" t="n"/>
      <c r="BN179" s="12" t="n"/>
      <c r="BO179" s="12" t="n"/>
      <c r="BP179" s="12" t="n"/>
      <c r="BQ179" s="12" t="n"/>
      <c r="BR179" s="12" t="n"/>
      <c r="BS179" s="12" t="n"/>
      <c r="BT179" s="12" t="n"/>
      <c r="BU179" s="12" t="n"/>
      <c r="BV179" s="12" t="n"/>
      <c r="BW179" s="12" t="n"/>
      <c r="BX179" s="12" t="n"/>
      <c r="BY179" s="12" t="n"/>
      <c r="BZ179" s="12" t="n"/>
      <c r="CA179" s="12" t="n"/>
      <c r="CB179" s="12" t="n"/>
      <c r="CC179" s="12" t="n"/>
      <c r="CD179" s="12" t="n"/>
      <c r="CE179" s="12" t="n"/>
      <c r="CF179" s="12" t="n"/>
      <c r="CG179" s="12" t="n"/>
      <c r="CH179" s="12" t="n"/>
      <c r="CI179" s="12" t="n"/>
      <c r="CJ179" s="12" t="n"/>
      <c r="CK179" s="12" t="n"/>
      <c r="CL179" s="12" t="n"/>
      <c r="CM179" s="12" t="n"/>
      <c r="CN179" s="12" t="n"/>
      <c r="CO179" s="12" t="n"/>
      <c r="CP179" s="12" t="n"/>
      <c r="CQ179" s="12" t="n"/>
      <c r="CR179" s="12" t="n"/>
      <c r="CS179" s="12" t="n"/>
      <c r="CT179" s="12" t="n"/>
      <c r="CU179" s="12" t="n"/>
      <c r="CV179" s="12" t="n"/>
      <c r="CW179" s="12" t="n"/>
      <c r="CX179" s="12" t="n"/>
      <c r="CY179" s="12" t="n"/>
    </row>
    <row r="180">
      <c r="C180" s="14" t="inlineStr">
        <is>
          <t>Intangibles</t>
        </is>
      </c>
      <c r="D180" s="46" t="n"/>
      <c r="E180" s="46" t="n"/>
      <c r="F180" s="46" t="n"/>
      <c r="G180" s="46" t="n"/>
      <c r="H180" s="12" t="n"/>
      <c r="I180" s="46">
        <f>'Inputs (2)'!D25</f>
        <v>18.879</v>
      </c>
      <c r="J180" s="46">
        <f>'Inputs (2)'!E25</f>
        <v>17.016</v>
      </c>
      <c r="K180" s="46">
        <f>'Inputs (2)'!F25</f>
        <v>17.101</v>
      </c>
      <c r="L180" s="46">
        <f>'Inputs (2)'!G25</f>
        <v>19.013</v>
      </c>
      <c r="M180" s="12">
        <f>'Inputs (2)'!H25</f>
        <v>19.013</v>
      </c>
      <c r="N180" s="46">
        <f>'Inputs (2)'!I25</f>
        <v>20.756</v>
      </c>
      <c r="O180" s="46">
        <f>'Inputs (2)'!J25</f>
        <v>20.539</v>
      </c>
      <c r="P180" s="46">
        <f>'Inputs (2)'!K25</f>
        <v>20.707</v>
      </c>
      <c r="Q180" s="46">
        <f>'Inputs (2)'!L25</f>
        <v>20.948</v>
      </c>
      <c r="R180" s="12">
        <f>'Inputs (2)'!M25</f>
        <v>20.948</v>
      </c>
      <c r="S180" s="46">
        <f>'Inputs (2)'!N25</f>
        <v>24.60848646</v>
      </c>
      <c r="T180" s="46">
        <f>'Inputs (2)'!O25</f>
        <v>26.53</v>
      </c>
      <c r="U180" s="46">
        <f>'Inputs (2)'!P25</f>
        <v>30.878</v>
      </c>
      <c r="V180" s="46">
        <f>'Inputs (2)'!Q25</f>
        <v>35.578</v>
      </c>
      <c r="W180" s="12">
        <f>'Inputs (2)'!R25</f>
        <v>35.578</v>
      </c>
      <c r="X180" s="46">
        <f>'Inputs (2)'!S25</f>
        <v>31.778</v>
      </c>
      <c r="Y180" s="46">
        <f>'Inputs (2)'!T25</f>
        <v>32.497</v>
      </c>
      <c r="Z180" s="46">
        <f>'Inputs (2)'!U25</f>
        <v>32.77127265</v>
      </c>
      <c r="AA180" s="46">
        <f>'Inputs (2)'!V25</f>
        <v>34.046</v>
      </c>
      <c r="AB180" s="12">
        <f>'Inputs (2)'!W25</f>
        <v>34.046</v>
      </c>
      <c r="AC180" s="46">
        <f>'Inputs (2)'!X25</f>
        <v>37.977</v>
      </c>
      <c r="AD180" s="46">
        <f>'Inputs (2)'!Y25</f>
        <v>39.44</v>
      </c>
      <c r="AE180" s="46">
        <f>'Inputs (2)'!Z25</f>
        <v>39.631</v>
      </c>
      <c r="AF180" s="46">
        <f>'Inputs (2)'!AA25</f>
        <v>33.063</v>
      </c>
      <c r="AG180" s="12">
        <f>'Inputs (2)'!AB25</f>
        <v>33.063</v>
      </c>
      <c r="AH180" s="12">
        <f>'Inputs (2)'!AC25</f>
        <v>31.375</v>
      </c>
      <c r="AI180" s="12">
        <f>'Inputs (2)'!AD25</f>
        <v>31.367</v>
      </c>
      <c r="AJ180" s="12">
        <f>AI180</f>
        <v>31.367</v>
      </c>
      <c r="AK180" s="12">
        <f>AJ180</f>
        <v>31.367</v>
      </c>
      <c r="AL180" s="12">
        <f>AK180</f>
        <v>31.367</v>
      </c>
      <c r="AM180" s="16">
        <f>AL180</f>
        <v>31.367</v>
      </c>
      <c r="AN180" s="12">
        <f>AM180</f>
        <v>31.367</v>
      </c>
      <c r="AO180" s="12">
        <f>AN180</f>
        <v>31.367</v>
      </c>
      <c r="AP180" s="12">
        <f>AO180</f>
        <v>31.367</v>
      </c>
      <c r="AQ180" s="12">
        <f>AP180</f>
        <v>31.367</v>
      </c>
      <c r="AR180" s="16">
        <f>AQ180</f>
        <v>31.367</v>
      </c>
      <c r="AS180" s="12">
        <f>AR180</f>
        <v>31.367</v>
      </c>
      <c r="AT180" s="12">
        <f>AS180</f>
        <v>31.367</v>
      </c>
      <c r="AU180" s="12">
        <f>AT180</f>
        <v>31.367</v>
      </c>
      <c r="AV180" s="12">
        <f>AU180</f>
        <v>31.367</v>
      </c>
      <c r="AW180" s="16">
        <f>AV180</f>
        <v>31.367</v>
      </c>
      <c r="AX180" s="12">
        <f>AW180</f>
        <v>31.367</v>
      </c>
      <c r="AY180" s="12">
        <f>AX180</f>
        <v>31.367</v>
      </c>
      <c r="AZ180" s="12">
        <f>AY180</f>
        <v>31.367</v>
      </c>
      <c r="BA180" s="12">
        <f>AZ180</f>
        <v>31.367</v>
      </c>
      <c r="BB180" s="16">
        <f>BA180</f>
        <v>31.367</v>
      </c>
      <c r="BC180" s="12">
        <f>BB180</f>
        <v>31.367</v>
      </c>
      <c r="BD180" s="12">
        <f>BC180</f>
        <v>31.367</v>
      </c>
      <c r="BE180" s="12">
        <f>BD180</f>
        <v>31.367</v>
      </c>
      <c r="BF180" s="12">
        <f>BE180</f>
        <v>31.367</v>
      </c>
      <c r="BH180" s="12" t="n"/>
      <c r="BI180" s="12" t="n"/>
      <c r="BJ180" s="12" t="n"/>
      <c r="BK180" s="12" t="n"/>
      <c r="BM180" s="12" t="n"/>
      <c r="BN180" s="12" t="n"/>
      <c r="BO180" s="12" t="n"/>
      <c r="BP180" s="12" t="n"/>
      <c r="BR180" s="12" t="n"/>
      <c r="BS180" s="12" t="n"/>
      <c r="BT180" s="12" t="n"/>
      <c r="BU180" s="12" t="n"/>
      <c r="BW180" s="12" t="n"/>
      <c r="BX180" s="12" t="n"/>
      <c r="BY180" s="12" t="n"/>
      <c r="BZ180" s="12" t="n"/>
      <c r="CB180" s="12" t="n"/>
      <c r="CC180" s="12" t="n"/>
      <c r="CD180" s="12" t="n"/>
      <c r="CE180" s="12" t="n"/>
      <c r="CG180" s="12" t="n"/>
      <c r="CH180" s="12" t="n"/>
      <c r="CI180" s="12" t="n"/>
      <c r="CJ180" s="12" t="n"/>
      <c r="CL180" s="12" t="n"/>
      <c r="CM180" s="12" t="n"/>
      <c r="CN180" s="12" t="n"/>
      <c r="CO180" s="12" t="n"/>
      <c r="CQ180" s="12" t="n"/>
      <c r="CR180" s="12" t="n"/>
      <c r="CS180" s="12" t="n"/>
      <c r="CT180" s="12" t="n"/>
      <c r="CV180" s="12" t="n"/>
      <c r="CW180" s="12" t="n"/>
      <c r="CX180" s="12" t="n"/>
      <c r="CY180" s="12" t="n"/>
    </row>
    <row r="181" hidden="1" outlineLevel="1">
      <c r="C181" s="57" t="n"/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12" t="n"/>
      <c r="N181" s="12" t="n"/>
      <c r="O181" s="12" t="n"/>
      <c r="P181" s="12" t="n"/>
      <c r="Q181" s="12" t="n"/>
      <c r="R181" s="12" t="n"/>
      <c r="S181" s="12" t="n"/>
      <c r="T181" s="12" t="n"/>
      <c r="U181" s="12" t="n"/>
      <c r="V181" s="12" t="n"/>
      <c r="W181" s="12" t="n"/>
      <c r="X181" s="12" t="n"/>
      <c r="Y181" s="12" t="n"/>
      <c r="Z181" s="12" t="n"/>
      <c r="AA181" s="12" t="n"/>
      <c r="AB181" s="12" t="n"/>
      <c r="AC181" s="12" t="n"/>
      <c r="AD181" s="12" t="n"/>
      <c r="AE181" s="12" t="n"/>
      <c r="AF181" s="12" t="n"/>
      <c r="AG181" s="12" t="n"/>
      <c r="AH181" s="12" t="n"/>
      <c r="AI181" s="12" t="n"/>
      <c r="AJ181" s="12" t="n"/>
      <c r="AK181" s="12" t="n"/>
      <c r="AL181" s="12" t="n"/>
      <c r="AM181" s="12" t="n"/>
      <c r="AN181" s="12" t="n"/>
      <c r="AO181" s="12" t="n"/>
      <c r="AP181" s="12" t="n"/>
      <c r="AQ181" s="12" t="n"/>
      <c r="AR181" s="12" t="n"/>
      <c r="AS181" s="12" t="n"/>
      <c r="AT181" s="12" t="n"/>
      <c r="AU181" s="12" t="n"/>
      <c r="AV181" s="12" t="n"/>
      <c r="AW181" s="12" t="n"/>
      <c r="AX181" s="12" t="n"/>
      <c r="AY181" s="12" t="n"/>
      <c r="AZ181" s="12" t="n"/>
      <c r="BA181" s="12" t="n"/>
      <c r="BB181" s="12" t="n"/>
      <c r="BC181" s="12" t="n"/>
      <c r="BD181" s="12" t="n"/>
      <c r="BE181" s="12" t="n"/>
      <c r="BF181" s="12" t="n"/>
      <c r="BG181" s="12" t="n"/>
      <c r="BH181" s="12" t="n"/>
      <c r="BI181" s="12" t="n"/>
      <c r="BJ181" s="12" t="n"/>
      <c r="BK181" s="12" t="n"/>
      <c r="BL181" s="12" t="n"/>
      <c r="BM181" s="12" t="n"/>
      <c r="BN181" s="12" t="n"/>
      <c r="BO181" s="12" t="n"/>
      <c r="BP181" s="12" t="n"/>
      <c r="BQ181" s="12" t="n"/>
      <c r="BR181" s="12" t="n"/>
      <c r="BS181" s="12" t="n"/>
      <c r="BT181" s="12" t="n"/>
      <c r="BU181" s="12" t="n"/>
      <c r="BV181" s="12" t="n"/>
      <c r="BW181" s="12" t="n"/>
      <c r="BX181" s="12" t="n"/>
      <c r="BY181" s="12" t="n"/>
      <c r="BZ181" s="12" t="n"/>
      <c r="CA181" s="12" t="n"/>
      <c r="CB181" s="12" t="n"/>
      <c r="CC181" s="12" t="n"/>
      <c r="CD181" s="12" t="n"/>
      <c r="CE181" s="12" t="n"/>
      <c r="CF181" s="12" t="n"/>
      <c r="CG181" s="12" t="n"/>
      <c r="CH181" s="12" t="n"/>
      <c r="CI181" s="12" t="n"/>
      <c r="CJ181" s="12" t="n"/>
      <c r="CK181" s="12" t="n"/>
      <c r="CL181" s="12" t="n"/>
      <c r="CM181" s="12" t="n"/>
      <c r="CN181" s="12" t="n"/>
      <c r="CO181" s="12" t="n"/>
      <c r="CP181" s="12" t="n"/>
      <c r="CQ181" s="12" t="n"/>
      <c r="CR181" s="12" t="n"/>
      <c r="CS181" s="12" t="n"/>
      <c r="CT181" s="12" t="n"/>
      <c r="CU181" s="12" t="n"/>
      <c r="CV181" s="12" t="n"/>
      <c r="CW181" s="12" t="n"/>
      <c r="CX181" s="12" t="n"/>
      <c r="CY181" s="12" t="n"/>
    </row>
    <row r="182" hidden="1" outlineLevel="1">
      <c r="C182" s="57" t="inlineStr">
        <is>
          <t>Purchase of intangible assets</t>
        </is>
      </c>
      <c r="D182" s="12" t="n"/>
      <c r="E182" s="12" t="n"/>
      <c r="F182" s="12" t="n"/>
      <c r="G182" s="12" t="n"/>
      <c r="H182" s="12" t="n"/>
      <c r="I182" s="12" t="str">
        <f>IF(COUNT(H180)=0,"",I180-H180-I84)</f>
        <v/>
      </c>
      <c r="J182" s="12">
        <f>J180-I180-J84</f>
        <v>-1.863</v>
      </c>
      <c r="K182" s="12">
        <f>K180-J180-K84</f>
        <v>0.0850000000000009</v>
      </c>
      <c r="L182" s="12">
        <f>L180-K180-L84</f>
        <v>1.912</v>
      </c>
      <c r="M182" s="12" t="n"/>
      <c r="N182" s="12">
        <f>N180-M180-N84</f>
        <v>1.743</v>
      </c>
      <c r="O182" s="12">
        <f>O180-N180-O84</f>
        <v>-0.216999999999999</v>
      </c>
      <c r="P182" s="12">
        <f>P180-O180-P84</f>
        <v>0.167999999999999</v>
      </c>
      <c r="Q182" s="12">
        <f>Q180-P180-Q84</f>
        <v>0.241</v>
      </c>
      <c r="R182" s="12" t="n"/>
      <c r="S182" s="12">
        <f>S180-R180-S84</f>
        <v>3.66048646</v>
      </c>
      <c r="T182" s="12">
        <f>T180-S180-T84</f>
        <v>1.92151354</v>
      </c>
      <c r="U182" s="12">
        <f>U180-T180-U84</f>
        <v>4.348</v>
      </c>
      <c r="V182" s="12">
        <f>V180-U180-V84</f>
        <v>4.7</v>
      </c>
      <c r="W182" s="12" t="n"/>
      <c r="X182" s="12">
        <f>X180-W180-X84</f>
        <v>-3.8</v>
      </c>
      <c r="Y182" s="12">
        <f>Y180-X180-Y84</f>
        <v>0.719000000000001</v>
      </c>
      <c r="Z182" s="12">
        <f>Z180-Y180-Z84</f>
        <v>0.27427265</v>
      </c>
      <c r="AA182" s="12">
        <f>AA180-Z180-AA84</f>
        <v>1.27472735</v>
      </c>
      <c r="AB182" s="12" t="n"/>
      <c r="AC182" s="12">
        <f>AC180-AB180-AC84</f>
        <v>3.931</v>
      </c>
      <c r="AD182" s="12">
        <f>AD180-AC180-AD84</f>
        <v>1.463</v>
      </c>
      <c r="AE182" s="12">
        <f>AE180-AD180-AE84</f>
        <v>0.191000000000003</v>
      </c>
      <c r="AF182" s="12">
        <f>AF180-AE180-AF84</f>
        <v>-6.568</v>
      </c>
      <c r="AG182" s="12" t="n"/>
      <c r="AH182" s="11">
        <f>AH180-AG180-AH84</f>
        <v>-1.688</v>
      </c>
      <c r="AI182" s="11">
        <f>AI180-AH180-AI84</f>
        <v>-0.00799999999999912</v>
      </c>
      <c r="AJ182" s="11" t="n"/>
      <c r="AK182" s="11" t="n"/>
      <c r="AL182" s="12" t="n"/>
      <c r="AM182" s="11" t="n"/>
      <c r="AN182" s="11" t="n"/>
      <c r="AO182" s="11" t="n"/>
      <c r="AP182" s="11" t="n"/>
      <c r="AQ182" s="12" t="n"/>
      <c r="AR182" s="11" t="n"/>
      <c r="AS182" s="11" t="n"/>
      <c r="AT182" s="11" t="n"/>
      <c r="AU182" s="11" t="n"/>
      <c r="AV182" s="12" t="n"/>
      <c r="AW182" s="11" t="n"/>
      <c r="AX182" s="11" t="n"/>
      <c r="AY182" s="11" t="n"/>
      <c r="AZ182" s="11" t="n"/>
      <c r="BA182" s="12" t="n"/>
      <c r="BB182" s="11" t="n"/>
      <c r="BC182" s="11" t="n"/>
      <c r="BD182" s="11" t="n"/>
      <c r="BE182" s="11" t="n"/>
      <c r="BF182" s="12" t="n"/>
      <c r="BG182" s="11" t="n"/>
      <c r="BH182" s="11" t="n"/>
      <c r="BI182" s="11" t="n"/>
      <c r="BJ182" s="11" t="n"/>
      <c r="BK182" s="12" t="n"/>
      <c r="BL182" s="11" t="n"/>
      <c r="BM182" s="11" t="n"/>
      <c r="BN182" s="11" t="n"/>
      <c r="BO182" s="11" t="n"/>
      <c r="BP182" s="12" t="n"/>
      <c r="BQ182" s="11" t="n"/>
      <c r="BR182" s="11" t="n"/>
      <c r="BS182" s="11" t="n"/>
      <c r="BT182" s="11" t="n"/>
      <c r="BU182" s="12" t="n"/>
      <c r="BV182" s="11" t="n"/>
      <c r="BW182" s="11" t="n"/>
      <c r="BX182" s="11" t="n"/>
      <c r="BY182" s="11" t="n"/>
      <c r="BZ182" s="12" t="n"/>
      <c r="CA182" s="11" t="n"/>
      <c r="CB182" s="11" t="n"/>
      <c r="CC182" s="11" t="n"/>
      <c r="CD182" s="11" t="n"/>
      <c r="CE182" s="12" t="n"/>
      <c r="CF182" s="11" t="n"/>
      <c r="CG182" s="11" t="n"/>
      <c r="CH182" s="11" t="n"/>
      <c r="CI182" s="11" t="n"/>
      <c r="CJ182" s="12" t="n"/>
      <c r="CK182" s="11" t="n"/>
      <c r="CL182" s="11" t="n"/>
      <c r="CM182" s="11" t="n"/>
      <c r="CN182" s="11" t="n"/>
      <c r="CO182" s="12" t="n"/>
      <c r="CP182" s="11" t="n"/>
      <c r="CQ182" s="11" t="n"/>
      <c r="CR182" s="11" t="n"/>
      <c r="CS182" s="11" t="n"/>
      <c r="CT182" s="12" t="n"/>
      <c r="CU182" s="11" t="n"/>
      <c r="CV182" s="11" t="n"/>
      <c r="CW182" s="11" t="n"/>
      <c r="CX182" s="11" t="n"/>
      <c r="CY182" s="12" t="n"/>
    </row>
    <row r="183" hidden="1" outlineLevel="1">
      <c r="C183" s="57" t="inlineStr">
        <is>
          <t>Amortization (enter as -)</t>
        </is>
      </c>
      <c r="D183" s="12" t="n"/>
      <c r="E183" s="12" t="n"/>
      <c r="F183" s="12" t="n"/>
      <c r="G183" s="12" t="n"/>
      <c r="H183" s="12" t="n"/>
      <c r="I183" s="12">
        <f>I83</f>
        <v>0</v>
      </c>
      <c r="J183" s="12">
        <f>J83</f>
        <v>0</v>
      </c>
      <c r="K183" s="12">
        <f>K83</f>
        <v>0</v>
      </c>
      <c r="L183" s="12">
        <f>L83</f>
        <v>0</v>
      </c>
      <c r="M183" s="12" t="n"/>
      <c r="N183" s="12">
        <f>N83</f>
        <v>0</v>
      </c>
      <c r="O183" s="12">
        <f>O83</f>
        <v>0</v>
      </c>
      <c r="P183" s="12">
        <f>P83</f>
        <v>0</v>
      </c>
      <c r="Q183" s="12">
        <f>Q83</f>
        <v>0</v>
      </c>
      <c r="R183" s="12" t="n"/>
      <c r="S183" s="12">
        <f>S83</f>
        <v>0</v>
      </c>
      <c r="T183" s="12">
        <f>T83</f>
        <v>0</v>
      </c>
      <c r="U183" s="12">
        <f>U83</f>
        <v>0</v>
      </c>
      <c r="V183" s="12">
        <f>V83</f>
        <v>0</v>
      </c>
      <c r="W183" s="12" t="n"/>
      <c r="X183" s="12">
        <f>X83</f>
        <v>0</v>
      </c>
      <c r="Y183" s="12">
        <f>Y83</f>
        <v>0</v>
      </c>
      <c r="Z183" s="12">
        <f>Z83</f>
        <v>0</v>
      </c>
      <c r="AA183" s="12">
        <f>AA83</f>
        <v>0</v>
      </c>
      <c r="AB183" s="12" t="n"/>
      <c r="AC183" s="12">
        <f>AC83</f>
        <v>0</v>
      </c>
      <c r="AD183" s="12">
        <f>AD83</f>
        <v>0</v>
      </c>
      <c r="AE183" s="12">
        <f>AE83</f>
        <v>0</v>
      </c>
      <c r="AF183" s="12">
        <f>AF83</f>
        <v>0</v>
      </c>
      <c r="AG183" s="12" t="n"/>
      <c r="AH183" s="12">
        <f>AH83</f>
        <v>0</v>
      </c>
      <c r="AI183" s="11">
        <f>AI83</f>
        <v>0</v>
      </c>
      <c r="AJ183" s="11" t="n"/>
      <c r="AK183" s="11" t="n"/>
      <c r="AL183" s="12" t="n"/>
      <c r="AM183" s="11" t="n"/>
      <c r="AN183" s="11" t="n"/>
      <c r="AO183" s="11" t="n"/>
      <c r="AP183" s="11" t="n"/>
      <c r="AQ183" s="12" t="n"/>
      <c r="AR183" s="11" t="n"/>
      <c r="AS183" s="11" t="n"/>
      <c r="AT183" s="11" t="n"/>
      <c r="AU183" s="11" t="n"/>
      <c r="AV183" s="12" t="n"/>
      <c r="AW183" s="11" t="n"/>
      <c r="AX183" s="11" t="n"/>
      <c r="AY183" s="11" t="n"/>
      <c r="AZ183" s="11" t="n"/>
      <c r="BA183" s="12" t="n"/>
      <c r="BB183" s="11" t="n"/>
      <c r="BC183" s="11" t="n"/>
      <c r="BD183" s="11" t="n"/>
      <c r="BE183" s="11" t="n"/>
      <c r="BF183" s="12" t="n"/>
      <c r="BG183" s="11" t="n"/>
      <c r="BH183" s="11" t="n"/>
      <c r="BI183" s="11" t="n"/>
      <c r="BJ183" s="11" t="n"/>
      <c r="BK183" s="12" t="n"/>
      <c r="BL183" s="11" t="n"/>
      <c r="BM183" s="11" t="n"/>
      <c r="BN183" s="11" t="n"/>
      <c r="BO183" s="11" t="n"/>
      <c r="BP183" s="12" t="n"/>
      <c r="BQ183" s="11" t="n"/>
      <c r="BR183" s="11" t="n"/>
      <c r="BS183" s="11" t="n"/>
      <c r="BT183" s="11" t="n"/>
      <c r="BU183" s="12" t="n"/>
      <c r="BV183" s="11" t="n"/>
      <c r="BW183" s="11" t="n"/>
      <c r="BX183" s="11" t="n"/>
      <c r="BY183" s="11" t="n"/>
      <c r="BZ183" s="12" t="n"/>
      <c r="CA183" s="11" t="n"/>
      <c r="CB183" s="11" t="n"/>
      <c r="CC183" s="11" t="n"/>
      <c r="CD183" s="11" t="n"/>
      <c r="CE183" s="12" t="n"/>
      <c r="CF183" s="11" t="n"/>
      <c r="CG183" s="11" t="n"/>
      <c r="CH183" s="11" t="n"/>
      <c r="CI183" s="11" t="n"/>
      <c r="CJ183" s="12" t="n"/>
      <c r="CK183" s="11" t="n"/>
      <c r="CL183" s="11" t="n"/>
      <c r="CM183" s="11" t="n"/>
      <c r="CN183" s="11" t="n"/>
      <c r="CO183" s="12" t="n"/>
      <c r="CP183" s="11" t="n"/>
      <c r="CQ183" s="11" t="n"/>
      <c r="CR183" s="11" t="n"/>
      <c r="CS183" s="11" t="n"/>
      <c r="CT183" s="12" t="n"/>
      <c r="CU183" s="11" t="n"/>
      <c r="CV183" s="11" t="n"/>
      <c r="CW183" s="11" t="n"/>
      <c r="CX183" s="11" t="n"/>
      <c r="CY183" s="12" t="n"/>
    </row>
    <row r="184" hidden="1" outlineLevel="1">
      <c r="C184" s="57" t="inlineStr">
        <is>
          <t>Intangibles</t>
        </is>
      </c>
      <c r="D184" s="12" t="n"/>
      <c r="E184" s="12" t="n"/>
      <c r="F184" s="12" t="n"/>
      <c r="G184" s="12" t="n"/>
      <c r="H184" s="12" t="n"/>
      <c r="I184" s="12">
        <f>I180</f>
        <v>18.879</v>
      </c>
      <c r="J184" s="12">
        <f>J180</f>
        <v>17.016</v>
      </c>
      <c r="K184" s="12">
        <f>K180</f>
        <v>17.101</v>
      </c>
      <c r="L184" s="12">
        <f>L180</f>
        <v>19.013</v>
      </c>
      <c r="M184" s="12">
        <f>M180</f>
        <v>19.013</v>
      </c>
      <c r="N184" s="12">
        <f>N180</f>
        <v>20.756</v>
      </c>
      <c r="O184" s="12">
        <f>O180</f>
        <v>20.539</v>
      </c>
      <c r="P184" s="12">
        <f>P180</f>
        <v>20.707</v>
      </c>
      <c r="Q184" s="12">
        <f>Q180</f>
        <v>20.948</v>
      </c>
      <c r="R184" s="12">
        <f>R180</f>
        <v>20.948</v>
      </c>
      <c r="S184" s="12">
        <f>S180</f>
        <v>24.60848646</v>
      </c>
      <c r="T184" s="12">
        <f>T180</f>
        <v>26.53</v>
      </c>
      <c r="U184" s="12">
        <f>U180</f>
        <v>30.878</v>
      </c>
      <c r="V184" s="12">
        <f>V180</f>
        <v>35.578</v>
      </c>
      <c r="W184" s="12">
        <f>W180</f>
        <v>35.578</v>
      </c>
      <c r="X184" s="12">
        <f>X180</f>
        <v>31.778</v>
      </c>
      <c r="Y184" s="12">
        <f>Y180</f>
        <v>32.497</v>
      </c>
      <c r="Z184" s="12">
        <f>Z180</f>
        <v>32.77127265</v>
      </c>
      <c r="AA184" s="12">
        <f>AA180</f>
        <v>34.046</v>
      </c>
      <c r="AB184" s="12">
        <f>AB180</f>
        <v>34.046</v>
      </c>
      <c r="AC184" s="12">
        <f>AC180</f>
        <v>37.977</v>
      </c>
      <c r="AD184" s="12">
        <f>AD180</f>
        <v>39.44</v>
      </c>
      <c r="AE184" s="12">
        <f>AE180</f>
        <v>39.631</v>
      </c>
      <c r="AF184" s="12">
        <f>AF180</f>
        <v>33.063</v>
      </c>
      <c r="AG184" s="12">
        <f>AG180</f>
        <v>33.063</v>
      </c>
      <c r="AH184" s="12">
        <f>AH180</f>
        <v>31.375</v>
      </c>
      <c r="AI184" s="12">
        <f>AI180</f>
        <v>31.367</v>
      </c>
      <c r="AJ184" s="12">
        <f>AJ180</f>
        <v>31.367</v>
      </c>
      <c r="AK184" s="12">
        <f>AK180</f>
        <v>31.367</v>
      </c>
      <c r="AL184" s="12" t="n"/>
      <c r="AM184" s="12">
        <f>AM180</f>
        <v>31.367</v>
      </c>
      <c r="AN184" s="12">
        <f>AN180</f>
        <v>31.367</v>
      </c>
      <c r="AO184" s="12">
        <f>AO180</f>
        <v>31.367</v>
      </c>
      <c r="AP184" s="12">
        <f>AP180</f>
        <v>31.367</v>
      </c>
      <c r="AQ184" s="12" t="n"/>
      <c r="AR184" s="12">
        <f>AR180</f>
        <v>31.367</v>
      </c>
      <c r="AS184" s="12">
        <f>AS180</f>
        <v>31.367</v>
      </c>
      <c r="AT184" s="12">
        <f>AT180</f>
        <v>31.367</v>
      </c>
      <c r="AU184" s="12">
        <f>AU180</f>
        <v>31.367</v>
      </c>
      <c r="AV184" s="12" t="n"/>
      <c r="AW184" s="12">
        <f>AW180</f>
        <v>31.367</v>
      </c>
      <c r="AX184" s="12">
        <f>AX180</f>
        <v>31.367</v>
      </c>
      <c r="AY184" s="12">
        <f>AY180</f>
        <v>31.367</v>
      </c>
      <c r="AZ184" s="12">
        <f>AZ180</f>
        <v>31.367</v>
      </c>
      <c r="BA184" s="12" t="n"/>
      <c r="BB184" s="12">
        <f>BB180</f>
        <v>31.367</v>
      </c>
      <c r="BC184" s="12">
        <f>BC180</f>
        <v>31.367</v>
      </c>
      <c r="BD184" s="12">
        <f>BD180</f>
        <v>31.367</v>
      </c>
      <c r="BE184" s="12">
        <f>BE180</f>
        <v>31.367</v>
      </c>
      <c r="BF184" s="12" t="n"/>
      <c r="BG184" s="12" t="n"/>
      <c r="BH184" s="12" t="n"/>
      <c r="BI184" s="12" t="n"/>
      <c r="BJ184" s="12" t="n"/>
      <c r="BK184" s="12" t="n"/>
      <c r="BL184" s="12" t="n"/>
      <c r="BM184" s="12" t="n"/>
      <c r="BN184" s="12" t="n"/>
      <c r="BO184" s="12" t="n"/>
      <c r="BP184" s="12" t="n"/>
      <c r="BQ184" s="12" t="n"/>
      <c r="BR184" s="12" t="n"/>
      <c r="BS184" s="12" t="n"/>
      <c r="BT184" s="12" t="n"/>
      <c r="BU184" s="12" t="n"/>
      <c r="BV184" s="12" t="n"/>
      <c r="BW184" s="12" t="n"/>
      <c r="BX184" s="12" t="n"/>
      <c r="BY184" s="12" t="n"/>
      <c r="BZ184" s="12" t="n"/>
      <c r="CA184" s="12" t="n"/>
      <c r="CB184" s="12" t="n"/>
      <c r="CC184" s="12" t="n"/>
      <c r="CD184" s="12" t="n"/>
      <c r="CE184" s="12" t="n"/>
      <c r="CF184" s="12" t="n"/>
      <c r="CG184" s="12" t="n"/>
      <c r="CH184" s="12" t="n"/>
      <c r="CI184" s="12" t="n"/>
      <c r="CJ184" s="12" t="n"/>
      <c r="CK184" s="12" t="n"/>
      <c r="CL184" s="12" t="n"/>
      <c r="CM184" s="12" t="n"/>
      <c r="CN184" s="12" t="n"/>
      <c r="CO184" s="12" t="n"/>
      <c r="CP184" s="12" t="n"/>
      <c r="CQ184" s="12" t="n"/>
      <c r="CR184" s="12" t="n"/>
      <c r="CS184" s="12" t="n"/>
      <c r="CT184" s="12" t="n"/>
      <c r="CU184" s="12" t="n"/>
      <c r="CV184" s="12" t="n"/>
      <c r="CW184" s="12" t="n"/>
      <c r="CX184" s="12" t="n"/>
      <c r="CY184" s="12" t="n"/>
    </row>
    <row r="185" hidden="1" outlineLevel="1">
      <c r="C185" s="57" t="n"/>
      <c r="D185" s="12" t="n"/>
      <c r="E185" s="12" t="n"/>
      <c r="F185" s="12" t="n"/>
      <c r="G185" s="12" t="n"/>
      <c r="H185" s="12" t="n"/>
      <c r="I185" s="12" t="n"/>
      <c r="J185" s="12" t="n"/>
      <c r="K185" s="12" t="n"/>
      <c r="L185" s="12" t="n"/>
      <c r="M185" s="12" t="n"/>
      <c r="N185" s="12" t="n"/>
      <c r="O185" s="12" t="n"/>
      <c r="P185" s="12" t="n"/>
      <c r="Q185" s="12" t="n"/>
      <c r="R185" s="12" t="n"/>
      <c r="S185" s="12" t="n"/>
      <c r="T185" s="12" t="n"/>
      <c r="U185" s="12" t="n"/>
      <c r="V185" s="12" t="n"/>
      <c r="W185" s="12" t="n"/>
      <c r="X185" s="12" t="n"/>
      <c r="Y185" s="12" t="n"/>
      <c r="Z185" s="12" t="n"/>
      <c r="AA185" s="12" t="n"/>
      <c r="AB185" s="12" t="n"/>
      <c r="AC185" s="12" t="n"/>
      <c r="AD185" s="12" t="n"/>
      <c r="AE185" s="12" t="n"/>
      <c r="AF185" s="12" t="n"/>
      <c r="AG185" s="12" t="n"/>
      <c r="AH185" s="12" t="n"/>
      <c r="AI185" s="12" t="n"/>
      <c r="AJ185" s="12" t="n"/>
      <c r="AK185" s="12" t="n"/>
      <c r="AL185" s="12" t="n"/>
      <c r="AM185" s="12" t="n"/>
      <c r="AN185" s="12" t="n"/>
      <c r="AO185" s="12" t="n"/>
      <c r="AP185" s="12" t="n"/>
      <c r="AQ185" s="12" t="n"/>
      <c r="AR185" s="12" t="n"/>
      <c r="AS185" s="12" t="n"/>
      <c r="AT185" s="12" t="n"/>
      <c r="AU185" s="12" t="n"/>
      <c r="AV185" s="12" t="n"/>
      <c r="AW185" s="12" t="n"/>
      <c r="AX185" s="12" t="n"/>
      <c r="AY185" s="12" t="n"/>
      <c r="AZ185" s="12" t="n"/>
      <c r="BA185" s="12" t="n"/>
      <c r="BB185" s="12" t="n"/>
      <c r="BC185" s="12" t="n"/>
      <c r="BD185" s="12" t="n"/>
      <c r="BE185" s="12" t="n"/>
      <c r="BF185" s="12" t="n"/>
      <c r="BG185" s="12" t="n"/>
      <c r="BH185" s="12" t="n"/>
      <c r="BI185" s="12" t="n"/>
      <c r="BJ185" s="12" t="n"/>
      <c r="BK185" s="12" t="n"/>
      <c r="BL185" s="12" t="n"/>
      <c r="BM185" s="12" t="n"/>
      <c r="BN185" s="12" t="n"/>
      <c r="BO185" s="12" t="n"/>
      <c r="BP185" s="12" t="n"/>
      <c r="BQ185" s="12" t="n"/>
      <c r="BR185" s="12" t="n"/>
      <c r="BS185" s="12" t="n"/>
      <c r="BT185" s="12" t="n"/>
      <c r="BU185" s="12" t="n"/>
      <c r="BV185" s="12" t="n"/>
      <c r="BW185" s="12" t="n"/>
      <c r="BX185" s="12" t="n"/>
      <c r="BY185" s="12" t="n"/>
      <c r="BZ185" s="12" t="n"/>
      <c r="CA185" s="12" t="n"/>
      <c r="CB185" s="12" t="n"/>
      <c r="CC185" s="12" t="n"/>
      <c r="CD185" s="12" t="n"/>
      <c r="CE185" s="12" t="n"/>
      <c r="CF185" s="12" t="n"/>
      <c r="CG185" s="12" t="n"/>
      <c r="CH185" s="12" t="n"/>
      <c r="CI185" s="12" t="n"/>
      <c r="CJ185" s="12" t="n"/>
      <c r="CK185" s="12" t="n"/>
      <c r="CL185" s="12" t="n"/>
      <c r="CM185" s="12" t="n"/>
      <c r="CN185" s="12" t="n"/>
      <c r="CO185" s="12" t="n"/>
      <c r="CP185" s="12" t="n"/>
      <c r="CQ185" s="12" t="n"/>
      <c r="CR185" s="12" t="n"/>
      <c r="CS185" s="12" t="n"/>
      <c r="CT185" s="12" t="n"/>
      <c r="CU185" s="12" t="n"/>
      <c r="CV185" s="12" t="n"/>
      <c r="CW185" s="12" t="n"/>
      <c r="CX185" s="12" t="n"/>
      <c r="CY185" s="12" t="n"/>
    </row>
    <row r="186" hidden="1" outlineLevel="1">
      <c r="C186" s="57" t="inlineStr">
        <is>
          <t>Definir % do D&amp;A No PPE and Intagibles</t>
        </is>
      </c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12" t="n"/>
      <c r="O186" s="12" t="n"/>
      <c r="P186" s="12" t="n"/>
      <c r="Q186" s="12" t="n"/>
      <c r="R186" s="12" t="n"/>
      <c r="S186" s="12" t="n"/>
      <c r="T186" s="12" t="n"/>
      <c r="U186" s="12" t="n"/>
      <c r="V186" s="12" t="n"/>
      <c r="W186" s="12" t="n"/>
      <c r="X186" s="12" t="n"/>
      <c r="Y186" s="12" t="n"/>
      <c r="Z186" s="12" t="n"/>
      <c r="AA186" s="12" t="n"/>
      <c r="AB186" s="12" t="n"/>
      <c r="AC186" s="12" t="n"/>
      <c r="AD186" s="12" t="n"/>
      <c r="AE186" s="12" t="n"/>
      <c r="AF186" s="12" t="n"/>
      <c r="AG186" s="12" t="n"/>
      <c r="AH186" s="12" t="n"/>
      <c r="AI186" s="12" t="n"/>
      <c r="AJ186" s="12" t="n"/>
      <c r="AK186" s="12" t="n"/>
      <c r="AL186" s="12" t="n"/>
      <c r="AM186" s="12" t="n"/>
      <c r="AN186" s="12" t="n"/>
      <c r="AO186" s="12" t="n"/>
      <c r="AP186" s="12" t="n"/>
      <c r="AQ186" s="12" t="n"/>
      <c r="AR186" s="12" t="n"/>
      <c r="AS186" s="12" t="n"/>
      <c r="AT186" s="12" t="n"/>
      <c r="AU186" s="12" t="n"/>
      <c r="AV186" s="12" t="n"/>
      <c r="AW186" s="12" t="n"/>
      <c r="AX186" s="12" t="n"/>
      <c r="AY186" s="12" t="n"/>
      <c r="AZ186" s="12" t="n"/>
      <c r="BA186" s="12" t="n"/>
      <c r="BB186" s="12" t="n"/>
      <c r="BC186" s="12" t="n"/>
      <c r="BD186" s="12" t="n"/>
      <c r="BE186" s="12" t="n"/>
      <c r="BF186" s="12" t="n"/>
      <c r="BG186" s="12" t="n"/>
      <c r="BH186" s="12" t="n"/>
      <c r="BI186" s="12" t="n"/>
      <c r="BJ186" s="12" t="n"/>
      <c r="BK186" s="12" t="n"/>
      <c r="BL186" s="12" t="n"/>
      <c r="BM186" s="12" t="n"/>
      <c r="BN186" s="12" t="n"/>
      <c r="BO186" s="12" t="n"/>
      <c r="BP186" s="12" t="n"/>
      <c r="BQ186" s="12" t="n"/>
      <c r="BR186" s="12" t="n"/>
      <c r="BS186" s="12" t="n"/>
      <c r="BT186" s="12" t="n"/>
      <c r="BU186" s="12" t="n"/>
      <c r="BV186" s="12" t="n"/>
      <c r="BW186" s="12" t="n"/>
      <c r="BX186" s="12" t="n"/>
      <c r="BY186" s="12" t="n"/>
      <c r="BZ186" s="12" t="n"/>
      <c r="CA186" s="12" t="n"/>
      <c r="CB186" s="12" t="n"/>
      <c r="CC186" s="12" t="n"/>
      <c r="CD186" s="12" t="n"/>
      <c r="CE186" s="12" t="n"/>
      <c r="CF186" s="12" t="n"/>
      <c r="CG186" s="12" t="n"/>
      <c r="CH186" s="12" t="n"/>
      <c r="CI186" s="12" t="n"/>
      <c r="CJ186" s="12" t="n"/>
      <c r="CK186" s="12" t="n"/>
      <c r="CL186" s="12" t="n"/>
      <c r="CM186" s="12" t="n"/>
      <c r="CN186" s="12" t="n"/>
      <c r="CO186" s="12" t="n"/>
      <c r="CP186" s="12" t="n"/>
      <c r="CQ186" s="12" t="n"/>
      <c r="CR186" s="12" t="n"/>
      <c r="CS186" s="12" t="n"/>
      <c r="CT186" s="12" t="n"/>
      <c r="CU186" s="12" t="n"/>
      <c r="CV186" s="12" t="n"/>
      <c r="CW186" s="12" t="n"/>
      <c r="CX186" s="12" t="n"/>
      <c r="CY186" s="12" t="n"/>
    </row>
    <row r="187" hidden="1" outlineLevel="1">
      <c r="C187" s="57" t="n"/>
      <c r="D187" s="12" t="n"/>
      <c r="E187" s="12" t="n"/>
      <c r="F187" s="12" t="n"/>
      <c r="G187" s="12" t="n"/>
      <c r="H187" s="12" t="n"/>
      <c r="I187" s="12" t="n"/>
      <c r="J187" s="12" t="n"/>
      <c r="K187" s="12" t="n"/>
      <c r="L187" s="12" t="n"/>
      <c r="M187" s="12" t="n"/>
      <c r="N187" s="12" t="n"/>
      <c r="O187" s="12" t="n"/>
      <c r="P187" s="12" t="n"/>
      <c r="Q187" s="12" t="n"/>
      <c r="R187" s="12" t="n"/>
      <c r="S187" s="12" t="n"/>
      <c r="T187" s="12" t="n"/>
      <c r="U187" s="12" t="n"/>
      <c r="V187" s="12" t="n"/>
      <c r="W187" s="12" t="n"/>
      <c r="X187" s="12" t="n"/>
      <c r="Y187" s="12" t="n"/>
      <c r="Z187" s="12" t="n"/>
      <c r="AA187" s="12" t="n"/>
      <c r="AB187" s="12" t="n"/>
      <c r="AC187" s="12" t="n"/>
      <c r="AD187" s="12" t="n"/>
      <c r="AE187" s="12" t="n"/>
      <c r="AF187" s="12" t="n"/>
      <c r="AG187" s="12" t="n"/>
      <c r="AH187" s="12" t="n"/>
      <c r="AI187" s="12" t="n"/>
      <c r="AJ187" s="12" t="n"/>
      <c r="AK187" s="12" t="n"/>
      <c r="AL187" s="12" t="n"/>
      <c r="AM187" s="12" t="n"/>
      <c r="AN187" s="12" t="n"/>
      <c r="AO187" s="12" t="n"/>
      <c r="AP187" s="12" t="n"/>
      <c r="AQ187" s="12" t="n"/>
      <c r="AR187" s="12" t="n"/>
      <c r="AS187" s="12" t="n"/>
      <c r="AT187" s="12" t="n"/>
      <c r="AU187" s="12" t="n"/>
      <c r="AV187" s="12" t="n"/>
      <c r="AW187" s="12" t="n"/>
      <c r="AX187" s="12" t="n"/>
      <c r="AY187" s="12" t="n"/>
      <c r="AZ187" s="12" t="n"/>
      <c r="BA187" s="12" t="n"/>
      <c r="BB187" s="12" t="n"/>
      <c r="BC187" s="12" t="n"/>
      <c r="BD187" s="12" t="n"/>
      <c r="BE187" s="12" t="n"/>
      <c r="BF187" s="12" t="n"/>
      <c r="BG187" s="12" t="n"/>
      <c r="BH187" s="12" t="n"/>
      <c r="BI187" s="12" t="n"/>
      <c r="BJ187" s="12" t="n"/>
      <c r="BK187" s="12" t="n"/>
      <c r="BL187" s="12" t="n"/>
      <c r="BM187" s="12" t="n"/>
      <c r="BN187" s="12" t="n"/>
      <c r="BO187" s="12" t="n"/>
      <c r="BP187" s="12" t="n"/>
      <c r="BQ187" s="12" t="n"/>
      <c r="BR187" s="12" t="n"/>
      <c r="BS187" s="12" t="n"/>
      <c r="BT187" s="12" t="n"/>
      <c r="BU187" s="12" t="n"/>
      <c r="BV187" s="12" t="n"/>
      <c r="BW187" s="12" t="n"/>
      <c r="BX187" s="12" t="n"/>
      <c r="BY187" s="12" t="n"/>
      <c r="BZ187" s="12" t="n"/>
      <c r="CA187" s="12" t="n"/>
      <c r="CB187" s="12" t="n"/>
      <c r="CC187" s="12" t="n"/>
      <c r="CD187" s="12" t="n"/>
      <c r="CE187" s="12" t="n"/>
      <c r="CF187" s="12" t="n"/>
      <c r="CG187" s="12" t="n"/>
      <c r="CH187" s="12" t="n"/>
      <c r="CI187" s="12" t="n"/>
      <c r="CJ187" s="12" t="n"/>
      <c r="CK187" s="12" t="n"/>
      <c r="CL187" s="12" t="n"/>
      <c r="CM187" s="12" t="n"/>
      <c r="CN187" s="12" t="n"/>
      <c r="CO187" s="12" t="n"/>
      <c r="CP187" s="12" t="n"/>
      <c r="CQ187" s="12" t="n"/>
      <c r="CR187" s="12" t="n"/>
      <c r="CS187" s="12" t="n"/>
      <c r="CT187" s="12" t="n"/>
      <c r="CU187" s="12" t="n"/>
      <c r="CV187" s="12" t="n"/>
      <c r="CW187" s="12" t="n"/>
      <c r="CX187" s="12" t="n"/>
      <c r="CY187" s="12" t="n"/>
    </row>
    <row r="188" hidden="1" outlineLevel="1">
      <c r="C188" s="57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12" t="n"/>
      <c r="N188" s="12" t="n"/>
      <c r="O188" s="12" t="n"/>
      <c r="P188" s="12" t="n"/>
      <c r="Q188" s="12" t="n"/>
      <c r="R188" s="12" t="n"/>
      <c r="S188" s="12" t="n"/>
      <c r="T188" s="12" t="n"/>
      <c r="U188" s="12" t="n"/>
      <c r="V188" s="12" t="n"/>
      <c r="W188" s="12" t="n"/>
      <c r="X188" s="12" t="n"/>
      <c r="Y188" s="12" t="n"/>
      <c r="Z188" s="12" t="n"/>
      <c r="AA188" s="12" t="n"/>
      <c r="AB188" s="12" t="n"/>
      <c r="AC188" s="12" t="n"/>
      <c r="AD188" s="12" t="n"/>
      <c r="AE188" s="12" t="n"/>
      <c r="AF188" s="12" t="n"/>
      <c r="AG188" s="12" t="n"/>
      <c r="AH188" s="12" t="n"/>
      <c r="AI188" s="12" t="n"/>
      <c r="AJ188" s="12" t="n"/>
      <c r="AK188" s="12" t="n"/>
      <c r="AL188" s="12" t="n"/>
      <c r="AM188" s="12" t="n"/>
      <c r="AN188" s="12" t="n"/>
      <c r="AO188" s="12" t="n"/>
      <c r="AP188" s="12" t="n"/>
      <c r="AQ188" s="12" t="n"/>
      <c r="AR188" s="12" t="n"/>
      <c r="AS188" s="12" t="n"/>
      <c r="AT188" s="12" t="n"/>
      <c r="AU188" s="12" t="n"/>
      <c r="AV188" s="12" t="n"/>
      <c r="AW188" s="12" t="n"/>
      <c r="AX188" s="12" t="n"/>
      <c r="AY188" s="12" t="n"/>
      <c r="AZ188" s="12" t="n"/>
      <c r="BA188" s="12" t="n"/>
      <c r="BB188" s="12" t="n"/>
      <c r="BC188" s="12" t="n"/>
      <c r="BD188" s="12" t="n"/>
      <c r="BE188" s="12" t="n"/>
      <c r="BF188" s="12" t="n"/>
      <c r="BG188" s="12" t="n"/>
      <c r="BH188" s="12" t="n"/>
      <c r="BI188" s="12" t="n"/>
      <c r="BJ188" s="12" t="n"/>
      <c r="BK188" s="12" t="n"/>
      <c r="BL188" s="12" t="n"/>
      <c r="BM188" s="12" t="n"/>
      <c r="BN188" s="12" t="n"/>
      <c r="BO188" s="12" t="n"/>
      <c r="BP188" s="12" t="n"/>
      <c r="BQ188" s="12" t="n"/>
      <c r="BR188" s="12" t="n"/>
      <c r="BS188" s="12" t="n"/>
      <c r="BT188" s="12" t="n"/>
      <c r="BU188" s="12" t="n"/>
      <c r="BV188" s="12" t="n"/>
      <c r="BW188" s="12" t="n"/>
      <c r="BX188" s="12" t="n"/>
      <c r="BY188" s="12" t="n"/>
      <c r="BZ188" s="12" t="n"/>
      <c r="CA188" s="12" t="n"/>
      <c r="CB188" s="12" t="n"/>
      <c r="CC188" s="12" t="n"/>
      <c r="CD188" s="12" t="n"/>
      <c r="CE188" s="12" t="n"/>
      <c r="CF188" s="12" t="n"/>
      <c r="CG188" s="12" t="n"/>
      <c r="CH188" s="12" t="n"/>
      <c r="CI188" s="12" t="n"/>
      <c r="CJ188" s="12" t="n"/>
      <c r="CK188" s="12" t="n"/>
      <c r="CL188" s="12" t="n"/>
      <c r="CM188" s="12" t="n"/>
      <c r="CN188" s="12" t="n"/>
      <c r="CO188" s="12" t="n"/>
      <c r="CP188" s="12" t="n"/>
      <c r="CQ188" s="12" t="n"/>
      <c r="CR188" s="12" t="n"/>
      <c r="CS188" s="12" t="n"/>
      <c r="CT188" s="12" t="n"/>
      <c r="CU188" s="12" t="n"/>
      <c r="CV188" s="12" t="n"/>
      <c r="CW188" s="12" t="n"/>
      <c r="CX188" s="12" t="n"/>
      <c r="CY188" s="12" t="n"/>
    </row>
    <row r="189" collapsed="1">
      <c r="C189" s="14" t="inlineStr">
        <is>
          <t>Other non-current assets</t>
        </is>
      </c>
      <c r="D189" s="46" t="n"/>
      <c r="E189" s="46" t="n"/>
      <c r="F189" s="46" t="n"/>
      <c r="G189" s="46" t="n"/>
      <c r="H189" s="12" t="n"/>
      <c r="I189" s="46">
        <f>'Inputs (2)'!D26</f>
        <v>27.603</v>
      </c>
      <c r="J189" s="46">
        <f>'Inputs (2)'!E26</f>
        <v>30.326</v>
      </c>
      <c r="K189" s="46">
        <f>'Inputs (2)'!F26</f>
        <v>35.915</v>
      </c>
      <c r="L189" s="46">
        <f>'Inputs (2)'!G26</f>
        <v>39.19</v>
      </c>
      <c r="M189" s="12">
        <f>'Inputs (2)'!H26</f>
        <v>39.19</v>
      </c>
      <c r="N189" s="46">
        <f>'Inputs (2)'!I26</f>
        <v>39.674</v>
      </c>
      <c r="O189" s="46">
        <f>'Inputs (2)'!J26</f>
        <v>52.722</v>
      </c>
      <c r="P189" s="46">
        <f>'Inputs (2)'!K26</f>
        <v>43.181</v>
      </c>
      <c r="Q189" s="46">
        <f>'Inputs (2)'!L26</f>
        <v>67.469</v>
      </c>
      <c r="R189" s="12">
        <f>'Inputs (2)'!M26</f>
        <v>67.469</v>
      </c>
      <c r="S189" s="46">
        <f>'Inputs (2)'!N26</f>
        <v>95.44935349</v>
      </c>
      <c r="T189" s="46">
        <f>'Inputs (2)'!O26</f>
        <v>121.367</v>
      </c>
      <c r="U189" s="46">
        <f>'Inputs (2)'!P26</f>
        <v>130.404</v>
      </c>
      <c r="V189" s="46">
        <f>'Inputs (2)'!Q26</f>
        <v>166.563</v>
      </c>
      <c r="W189" s="12">
        <f>'Inputs (2)'!R26</f>
        <v>166.563</v>
      </c>
      <c r="X189" s="46">
        <f>'Inputs (2)'!S26</f>
        <v>181.036</v>
      </c>
      <c r="Y189" s="46">
        <f>'Inputs (2)'!T26</f>
        <v>240.356</v>
      </c>
      <c r="Z189" s="46">
        <f>'Inputs (2)'!U26</f>
        <v>236.76052005</v>
      </c>
      <c r="AA189" s="46">
        <f>'Inputs (2)'!V26</f>
        <v>293.023</v>
      </c>
      <c r="AB189" s="12">
        <f>'Inputs (2)'!W26</f>
        <v>293.023</v>
      </c>
      <c r="AC189" s="46">
        <f>'Inputs (2)'!X26</f>
        <v>299.827</v>
      </c>
      <c r="AD189" s="46">
        <f>'Inputs (2)'!Y26</f>
        <v>364.788</v>
      </c>
      <c r="AE189" s="46">
        <f>'Inputs (2)'!Z26</f>
        <v>357.883</v>
      </c>
      <c r="AF189" s="46">
        <f>'Inputs (2)'!AA26</f>
        <v>419.698</v>
      </c>
      <c r="AG189" s="12">
        <f>'Inputs (2)'!AB26</f>
        <v>419.698</v>
      </c>
      <c r="AH189" s="12">
        <f>'Inputs (2)'!AC26</f>
        <v>447.53</v>
      </c>
      <c r="AI189" s="12">
        <f>'Inputs (2)'!AD26</f>
        <v>525.84</v>
      </c>
      <c r="AJ189" s="12">
        <f>AI189</f>
        <v>525.84</v>
      </c>
      <c r="AK189" s="12">
        <f>AJ189</f>
        <v>525.84</v>
      </c>
      <c r="AL189" s="12">
        <f>AK189</f>
        <v>525.84</v>
      </c>
      <c r="AM189" s="12">
        <f>AL189</f>
        <v>525.84</v>
      </c>
      <c r="AN189" s="12">
        <f>AM189</f>
        <v>525.84</v>
      </c>
      <c r="AO189" s="12">
        <f>AN189</f>
        <v>525.84</v>
      </c>
      <c r="AP189" s="12">
        <f>AO189</f>
        <v>525.84</v>
      </c>
      <c r="AQ189" s="12">
        <f>AP189</f>
        <v>525.84</v>
      </c>
      <c r="AR189" s="12">
        <f>AQ189</f>
        <v>525.84</v>
      </c>
      <c r="AS189" s="12">
        <f>AR189</f>
        <v>525.84</v>
      </c>
      <c r="AT189" s="12">
        <f>AS189</f>
        <v>525.84</v>
      </c>
      <c r="AU189" s="12">
        <f>AT189</f>
        <v>525.84</v>
      </c>
      <c r="AV189" s="12">
        <f>AU189</f>
        <v>525.84</v>
      </c>
      <c r="AW189" s="12">
        <f>AV189</f>
        <v>525.84</v>
      </c>
      <c r="AX189" s="12">
        <f>AW189</f>
        <v>525.84</v>
      </c>
      <c r="AY189" s="12">
        <f>AX189</f>
        <v>525.84</v>
      </c>
      <c r="AZ189" s="12">
        <f>AY189</f>
        <v>525.84</v>
      </c>
      <c r="BA189" s="12">
        <f>AZ189</f>
        <v>525.84</v>
      </c>
      <c r="BB189" s="12">
        <f>BA189</f>
        <v>525.84</v>
      </c>
      <c r="BC189" s="12">
        <f>BB189</f>
        <v>525.84</v>
      </c>
      <c r="BD189" s="12">
        <f>BC189</f>
        <v>525.84</v>
      </c>
      <c r="BE189" s="12">
        <f>BD189</f>
        <v>525.84</v>
      </c>
      <c r="BF189" s="12">
        <f>BE189</f>
        <v>525.84</v>
      </c>
      <c r="BG189" s="12" t="n"/>
      <c r="BH189" s="12" t="n"/>
      <c r="BI189" s="12" t="n"/>
      <c r="BJ189" s="12" t="n"/>
      <c r="BK189" s="12" t="n"/>
      <c r="BL189" s="12" t="n"/>
      <c r="BM189" s="12" t="n"/>
      <c r="BN189" s="12" t="n"/>
      <c r="BO189" s="12" t="n"/>
      <c r="BP189" s="12" t="n"/>
      <c r="BQ189" s="12" t="n"/>
      <c r="BR189" s="12" t="n"/>
      <c r="BS189" s="12" t="n"/>
      <c r="BT189" s="12" t="n"/>
      <c r="BU189" s="12" t="n"/>
      <c r="BV189" s="12" t="n"/>
      <c r="BW189" s="12" t="n"/>
      <c r="BX189" s="12" t="n"/>
      <c r="BY189" s="12" t="n"/>
      <c r="BZ189" s="12" t="n"/>
      <c r="CA189" s="12" t="n"/>
      <c r="CB189" s="12" t="n"/>
      <c r="CC189" s="12" t="n"/>
      <c r="CD189" s="12" t="n"/>
      <c r="CE189" s="12" t="n"/>
      <c r="CF189" s="12" t="n"/>
      <c r="CG189" s="12" t="n"/>
      <c r="CH189" s="12" t="n"/>
      <c r="CI189" s="12" t="n"/>
      <c r="CJ189" s="12" t="n"/>
      <c r="CK189" s="12" t="n"/>
      <c r="CL189" s="12" t="n"/>
      <c r="CM189" s="12" t="n"/>
      <c r="CN189" s="12" t="n"/>
      <c r="CO189" s="12" t="n"/>
      <c r="CP189" s="12" t="n"/>
      <c r="CQ189" s="12" t="n"/>
      <c r="CR189" s="12" t="n"/>
      <c r="CS189" s="12" t="n"/>
      <c r="CT189" s="12" t="n"/>
      <c r="CU189" s="12" t="n"/>
      <c r="CV189" s="12" t="n"/>
      <c r="CW189" s="12" t="n"/>
      <c r="CX189" s="12" t="n"/>
      <c r="CY189" s="12" t="n"/>
    </row>
    <row r="190" hidden="1" outlineLevel="1">
      <c r="C190" s="59" t="inlineStr">
        <is>
          <t>%(Var.)</t>
        </is>
      </c>
      <c r="D190" s="12" t="n"/>
      <c r="E190" s="40" t="n"/>
      <c r="F190" s="40" t="n"/>
      <c r="G190" s="40" t="n"/>
      <c r="H190" s="12" t="n"/>
      <c r="I190" s="40" t="str">
        <f>""</f>
        <v/>
      </c>
      <c r="J190" s="40">
        <f>IF(I189=0,"",J189/I189-1)</f>
        <v>0.0986486976053327</v>
      </c>
      <c r="K190" s="40">
        <f>IF(J189=0,"",K189/J189-1)</f>
        <v>0.184297302644595</v>
      </c>
      <c r="L190" s="40">
        <f>IF(K189=0,"",L189/K189-1)</f>
        <v>0.0911875261032995</v>
      </c>
      <c r="M190" s="12">
        <f>IF(L189=0,"",M189/L189-1)</f>
        <v>0</v>
      </c>
      <c r="N190" s="40">
        <f>IF(M189=0,"",N189/M189-1)</f>
        <v>0.0123500893084971</v>
      </c>
      <c r="O190" s="40">
        <f>IF(N189=0,"",O189/N189-1)</f>
        <v>0.328880375056712</v>
      </c>
      <c r="P190" s="40">
        <f>IF(O189=0,"",P189/O189-1)</f>
        <v>-0.180968096809681</v>
      </c>
      <c r="Q190" s="40">
        <f>IF(P189=0,"",Q189/P189-1)</f>
        <v>0.562469604687247</v>
      </c>
      <c r="R190" s="12">
        <f>IF(Q189=0,"",R189/Q189-1)</f>
        <v>0</v>
      </c>
      <c r="S190" s="40">
        <f>IF(R189=0,"",S189/R189-1)</f>
        <v>0.414714216751397</v>
      </c>
      <c r="T190" s="40">
        <f>IF(S189=0,"",T189/S189-1)</f>
        <v>0.271532970757265</v>
      </c>
      <c r="U190" s="40">
        <f>IF(T189=0,"",U189/T189-1)</f>
        <v>0.0744601085962411</v>
      </c>
      <c r="V190" s="40">
        <f>IF(U189=0,"",V189/U189-1)</f>
        <v>0.277284439127634</v>
      </c>
      <c r="W190" s="12">
        <f>IF(V189=0,"",W189/V189-1)</f>
        <v>0</v>
      </c>
      <c r="X190" s="40">
        <f>IF(W189=0,"",X189/W189-1)</f>
        <v>0.0868920468531427</v>
      </c>
      <c r="Y190" s="40">
        <f>IF(X189=0,"",Y189/X189-1)</f>
        <v>0.327669634768775</v>
      </c>
      <c r="Z190" s="40">
        <f>IF(Y189=0,"",Z189/Y189-1)</f>
        <v>-0.0149589773086588</v>
      </c>
      <c r="AA190" s="40">
        <f>IF(Z189=0,"",AA189/Z189-1)</f>
        <v>0.237634551309983</v>
      </c>
      <c r="AB190" s="12">
        <f>IF(AA189=0,"",AB189/AA189-1)</f>
        <v>0</v>
      </c>
      <c r="AC190" s="40">
        <f>IF(AB189=0,"",AC189/AB189-1)</f>
        <v>0.0232200202714461</v>
      </c>
      <c r="AD190" s="40">
        <f>IF(AC189=0,"",AD189/AC189-1)</f>
        <v>0.216661608194059</v>
      </c>
      <c r="AE190" s="40">
        <f>IF(AD189=0,"",AE189/AD189-1)</f>
        <v>-0.0189288024825379</v>
      </c>
      <c r="AF190" s="55">
        <f>IF(AE189=0,"",AF189/AE189-1)</f>
        <v>0.172724046685649</v>
      </c>
      <c r="AG190" s="12">
        <f>IF(AF189=0,"",AG189/AF189-1)</f>
        <v>0</v>
      </c>
      <c r="AH190" s="55">
        <f>IF(AG189=0,"",AH189/AG189-1)</f>
        <v>0.0663143498420293</v>
      </c>
      <c r="AI190" s="55">
        <f>IF(AH189=0,"",AI189/AH189-1)</f>
        <v>0.174982682725181</v>
      </c>
      <c r="AJ190" s="55">
        <f>IF(AI189=0,"",AJ189/AI189-1)</f>
        <v>0</v>
      </c>
      <c r="AK190" s="55">
        <f>IF(AJ189=0,"",AK189/AJ189-1)</f>
        <v>0</v>
      </c>
      <c r="AL190" s="12">
        <f>IF(AK189=0,"",AL189/AK189-1)</f>
        <v>0</v>
      </c>
      <c r="AM190" s="55">
        <f>IF(AL189=0,"",AM189/AL189-1)</f>
        <v>0</v>
      </c>
      <c r="AN190" s="55">
        <f>IF(AM189=0,"",AN189/AM189-1)</f>
        <v>0</v>
      </c>
      <c r="AO190" s="55">
        <f>IF(AN189=0,"",AO189/AN189-1)</f>
        <v>0</v>
      </c>
      <c r="AP190" s="55">
        <f>IF(AO189=0,"",AP189/AO189-1)</f>
        <v>0</v>
      </c>
      <c r="AQ190" s="12">
        <f>IF(AP189=0,"",AQ189/AP189-1)</f>
        <v>0</v>
      </c>
      <c r="AR190" s="55">
        <f>IF(AQ189=0,"",AR189/AQ189-1)</f>
        <v>0</v>
      </c>
      <c r="AS190" s="55">
        <f>IF(AR189=0,"",AS189/AR189-1)</f>
        <v>0</v>
      </c>
      <c r="AT190" s="55">
        <f>IF(AS189=0,"",AT189/AS189-1)</f>
        <v>0</v>
      </c>
      <c r="AU190" s="55">
        <f>IF(AT189=0,"",AU189/AT189-1)</f>
        <v>0</v>
      </c>
      <c r="AV190" s="12">
        <f>IF(AU189=0,"",AV189/AU189-1)</f>
        <v>0</v>
      </c>
      <c r="AW190" s="55">
        <f>IF(AV189=0,"",AW189/AV189-1)</f>
        <v>0</v>
      </c>
      <c r="AX190" s="55">
        <f>IF(AW189=0,"",AX189/AW189-1)</f>
        <v>0</v>
      </c>
      <c r="AY190" s="55">
        <f>IF(AX189=0,"",AY189/AX189-1)</f>
        <v>0</v>
      </c>
      <c r="AZ190" s="55">
        <f>IF(AY189=0,"",AZ189/AY189-1)</f>
        <v>0</v>
      </c>
      <c r="BA190" s="12">
        <f>IF(AZ189=0,"",BA189/AZ189-1)</f>
        <v>0</v>
      </c>
      <c r="BB190" s="55">
        <f>IF(BA189=0,"",BB189/BA189-1)</f>
        <v>0</v>
      </c>
      <c r="BC190" s="55">
        <f>IF(BB189=0,"",BC189/BB189-1)</f>
        <v>0</v>
      </c>
      <c r="BD190" s="55">
        <f>IF(BC189=0,"",BD189/BC189-1)</f>
        <v>0</v>
      </c>
      <c r="BE190" s="55">
        <f>IF(BD189=0,"",BE189/BD189-1)</f>
        <v>0</v>
      </c>
      <c r="BF190" s="12">
        <f>IF(BE189=0,"",BF189/BE189-1)</f>
        <v>0</v>
      </c>
      <c r="BG190" s="55" t="n"/>
      <c r="BH190" s="55" t="n"/>
      <c r="BI190" s="55" t="n"/>
      <c r="BJ190" s="55" t="n"/>
      <c r="BK190" s="12" t="n"/>
      <c r="BL190" s="55" t="n"/>
      <c r="BM190" s="55" t="n"/>
      <c r="BN190" s="55" t="n"/>
      <c r="BO190" s="55" t="n"/>
      <c r="BP190" s="12" t="n"/>
      <c r="BQ190" s="55" t="n"/>
      <c r="BR190" s="55" t="n"/>
      <c r="BS190" s="55" t="n"/>
      <c r="BT190" s="55" t="n"/>
      <c r="BU190" s="12" t="n"/>
      <c r="BV190" s="55" t="n"/>
      <c r="BW190" s="55" t="n"/>
      <c r="BX190" s="55" t="n"/>
      <c r="BY190" s="55" t="n"/>
      <c r="BZ190" s="12" t="n"/>
      <c r="CA190" s="55" t="n"/>
      <c r="CB190" s="55" t="n"/>
      <c r="CC190" s="55" t="n"/>
      <c r="CD190" s="55" t="n"/>
      <c r="CE190" s="12" t="n"/>
      <c r="CF190" s="55" t="n"/>
      <c r="CG190" s="55" t="n"/>
      <c r="CH190" s="55" t="n"/>
      <c r="CI190" s="55" t="n"/>
      <c r="CJ190" s="12" t="n"/>
      <c r="CK190" s="55" t="n"/>
      <c r="CL190" s="55" t="n"/>
      <c r="CM190" s="55" t="n"/>
      <c r="CN190" s="55" t="n"/>
      <c r="CO190" s="12" t="n"/>
      <c r="CP190" s="55" t="n"/>
      <c r="CQ190" s="55" t="n"/>
      <c r="CR190" s="55" t="n"/>
      <c r="CS190" s="55" t="n"/>
      <c r="CT190" s="12" t="n"/>
      <c r="CU190" s="55" t="n"/>
      <c r="CV190" s="55" t="n"/>
      <c r="CW190" s="55" t="n"/>
      <c r="CX190" s="55" t="n"/>
      <c r="CY190" s="12" t="n"/>
    </row>
    <row r="191" hidden="1" outlineLevel="1">
      <c r="C191" s="57" t="n"/>
      <c r="D191" s="12" t="n"/>
      <c r="E191" s="40" t="n"/>
      <c r="F191" s="40" t="n"/>
      <c r="G191" s="40" t="n"/>
      <c r="H191" s="12" t="n"/>
      <c r="I191" s="40" t="n"/>
      <c r="J191" s="40" t="n"/>
      <c r="K191" s="40" t="n"/>
      <c r="L191" s="40" t="n"/>
      <c r="M191" s="12" t="n"/>
      <c r="N191" s="40" t="n"/>
      <c r="O191" s="40" t="n"/>
      <c r="P191" s="40" t="n"/>
      <c r="Q191" s="40" t="n"/>
      <c r="R191" s="12" t="n"/>
      <c r="S191" s="40" t="n"/>
      <c r="T191" s="40" t="n"/>
      <c r="U191" s="40" t="n"/>
      <c r="V191" s="40" t="n"/>
      <c r="W191" s="12" t="n"/>
      <c r="X191" s="40" t="n"/>
      <c r="Y191" s="40" t="n"/>
      <c r="Z191" s="40" t="n"/>
      <c r="AA191" s="40" t="n"/>
      <c r="AB191" s="12" t="n"/>
      <c r="AC191" s="40" t="n"/>
      <c r="AD191" s="40" t="n"/>
      <c r="AE191" s="40" t="n"/>
      <c r="AF191" s="55" t="n"/>
      <c r="AG191" s="12" t="n"/>
      <c r="AH191" s="55" t="n"/>
      <c r="AI191" s="55" t="n"/>
      <c r="AJ191" s="55" t="n"/>
      <c r="AK191" s="55" t="n"/>
      <c r="AL191" s="12" t="n"/>
      <c r="AM191" s="55" t="n"/>
      <c r="AN191" s="55" t="n"/>
      <c r="AO191" s="55" t="n"/>
      <c r="AP191" s="55" t="n"/>
      <c r="AQ191" s="12" t="n"/>
      <c r="AR191" s="55" t="n"/>
      <c r="AS191" s="55" t="n"/>
      <c r="AT191" s="55" t="n"/>
      <c r="AU191" s="55" t="n"/>
      <c r="AV191" s="12" t="n"/>
      <c r="AW191" s="55" t="n"/>
      <c r="AX191" s="55" t="n"/>
      <c r="AY191" s="55" t="n"/>
      <c r="AZ191" s="55" t="n"/>
      <c r="BA191" s="12" t="n"/>
      <c r="BB191" s="55" t="n"/>
      <c r="BC191" s="55" t="n"/>
      <c r="BD191" s="55" t="n"/>
      <c r="BE191" s="55" t="n"/>
      <c r="BF191" s="12" t="n"/>
      <c r="BG191" s="55" t="n"/>
      <c r="BH191" s="55" t="n"/>
      <c r="BI191" s="55" t="n"/>
      <c r="BJ191" s="55" t="n"/>
      <c r="BK191" s="12" t="n"/>
      <c r="BL191" s="55" t="n"/>
      <c r="BM191" s="55" t="n"/>
      <c r="BN191" s="55" t="n"/>
      <c r="BO191" s="55" t="n"/>
      <c r="BP191" s="12" t="n"/>
      <c r="BQ191" s="55" t="n"/>
      <c r="BR191" s="55" t="n"/>
      <c r="BS191" s="55" t="n"/>
      <c r="BT191" s="55" t="n"/>
      <c r="BU191" s="12" t="n"/>
      <c r="BV191" s="55" t="n"/>
      <c r="BW191" s="55" t="n"/>
      <c r="BX191" s="55" t="n"/>
      <c r="BY191" s="55" t="n"/>
      <c r="BZ191" s="12" t="n"/>
      <c r="CA191" s="55" t="n"/>
      <c r="CB191" s="55" t="n"/>
      <c r="CC191" s="55" t="n"/>
      <c r="CD191" s="55" t="n"/>
      <c r="CE191" s="12" t="n"/>
      <c r="CF191" s="55" t="n"/>
      <c r="CG191" s="55" t="n"/>
      <c r="CH191" s="55" t="n"/>
      <c r="CI191" s="55" t="n"/>
      <c r="CJ191" s="12" t="n"/>
      <c r="CK191" s="55" t="n"/>
      <c r="CL191" s="55" t="n"/>
      <c r="CM191" s="55" t="n"/>
      <c r="CN191" s="55" t="n"/>
      <c r="CO191" s="12" t="n"/>
      <c r="CP191" s="55" t="n"/>
      <c r="CQ191" s="55" t="n"/>
      <c r="CR191" s="55" t="n"/>
      <c r="CS191" s="55" t="n"/>
      <c r="CT191" s="12" t="n"/>
      <c r="CU191" s="55" t="n"/>
      <c r="CV191" s="55" t="n"/>
      <c r="CW191" s="55" t="n"/>
      <c r="CX191" s="55" t="n"/>
      <c r="CY191" s="12" t="n"/>
    </row>
    <row r="192" hidden="1" outlineLevel="1">
      <c r="C192" s="60" t="inlineStr">
        <is>
          <t>Outros Créditos - LP</t>
        </is>
      </c>
      <c r="D192" s="11" t="n"/>
      <c r="E192" s="11" t="n"/>
      <c r="F192" s="11" t="n"/>
      <c r="G192" s="11" t="n"/>
      <c r="H192" s="12" t="n"/>
      <c r="I192" s="11" t="n"/>
      <c r="J192" s="11" t="n"/>
      <c r="K192" s="11" t="n"/>
      <c r="L192" s="11" t="n"/>
      <c r="M192" s="12" t="n"/>
      <c r="N192" s="11" t="n"/>
      <c r="O192" s="11" t="n"/>
      <c r="P192" s="11" t="n"/>
      <c r="Q192" s="11" t="n"/>
      <c r="R192" s="12" t="n"/>
      <c r="S192" s="11" t="n"/>
      <c r="T192" s="11" t="n"/>
      <c r="U192" s="11" t="n"/>
      <c r="V192" s="11" t="n"/>
      <c r="W192" s="12" t="n"/>
      <c r="X192" s="11" t="n"/>
      <c r="Y192" s="11" t="n"/>
      <c r="Z192" s="11" t="n"/>
      <c r="AA192" s="11" t="n"/>
      <c r="AB192" s="12" t="n"/>
      <c r="AC192" s="11" t="n"/>
      <c r="AD192" s="11" t="n"/>
      <c r="AE192" s="11" t="n"/>
      <c r="AF192" s="11" t="n"/>
      <c r="AG192" s="12" t="n"/>
      <c r="AH192" s="12" t="n"/>
      <c r="AI192" s="12" t="n"/>
      <c r="AJ192" s="12" t="n"/>
      <c r="AK192" s="12" t="n"/>
      <c r="AL192" s="12" t="n"/>
      <c r="AM192" s="12" t="n"/>
      <c r="AN192" s="12" t="n"/>
      <c r="AO192" s="12" t="n"/>
      <c r="AP192" s="12" t="n"/>
      <c r="AQ192" s="12" t="n"/>
      <c r="AR192" s="12" t="n"/>
      <c r="AS192" s="12" t="n"/>
      <c r="AT192" s="12" t="n"/>
      <c r="AU192" s="12" t="n"/>
      <c r="AV192" s="12" t="n"/>
      <c r="AW192" s="12" t="n"/>
      <c r="AX192" s="12" t="n"/>
      <c r="AY192" s="12" t="n"/>
      <c r="AZ192" s="12" t="n"/>
      <c r="BA192" s="12" t="n"/>
      <c r="BB192" s="12" t="n"/>
      <c r="BC192" s="12" t="n"/>
      <c r="BD192" s="12" t="n"/>
      <c r="BE192" s="12" t="n"/>
      <c r="BF192" s="12" t="n"/>
      <c r="BG192" s="12" t="n"/>
      <c r="BH192" s="12" t="n"/>
      <c r="BI192" s="12" t="n"/>
      <c r="BJ192" s="12" t="n"/>
      <c r="BK192" s="12" t="n"/>
      <c r="BL192" s="12" t="n"/>
      <c r="BM192" s="12" t="n"/>
      <c r="BN192" s="12" t="n"/>
      <c r="BO192" s="12" t="n"/>
      <c r="BP192" s="12" t="n"/>
      <c r="BQ192" s="12" t="n"/>
      <c r="BR192" s="12" t="n"/>
      <c r="BS192" s="12" t="n"/>
      <c r="BT192" s="12" t="n"/>
      <c r="BU192" s="12" t="n"/>
      <c r="BV192" s="12" t="n"/>
      <c r="BW192" s="12" t="n"/>
      <c r="BX192" s="12" t="n"/>
      <c r="BY192" s="12" t="n"/>
      <c r="BZ192" s="12" t="n"/>
      <c r="CA192" s="12" t="n"/>
      <c r="CB192" s="12" t="n"/>
      <c r="CC192" s="12" t="n"/>
      <c r="CD192" s="12" t="n"/>
      <c r="CE192" s="12" t="n"/>
      <c r="CF192" s="12" t="n"/>
      <c r="CG192" s="12" t="n"/>
      <c r="CH192" s="12" t="n"/>
      <c r="CI192" s="12" t="n"/>
      <c r="CJ192" s="12" t="n"/>
      <c r="CK192" s="12" t="n"/>
      <c r="CL192" s="12" t="n"/>
      <c r="CM192" s="12" t="n"/>
      <c r="CN192" s="12" t="n"/>
      <c r="CO192" s="12" t="n"/>
      <c r="CP192" s="12" t="n"/>
      <c r="CQ192" s="12" t="n"/>
      <c r="CR192" s="12" t="n"/>
      <c r="CS192" s="12" t="n"/>
      <c r="CT192" s="12" t="n"/>
      <c r="CU192" s="12" t="n"/>
      <c r="CV192" s="12" t="n"/>
      <c r="CW192" s="12" t="n"/>
      <c r="CX192" s="12" t="n"/>
      <c r="CY192" s="12" t="n"/>
    </row>
    <row r="193" hidden="1" outlineLevel="1">
      <c r="C193" s="60" t="inlineStr">
        <is>
          <t xml:space="preserve">Impostos e Contribuições a Recuperar </t>
        </is>
      </c>
      <c r="D193" s="11" t="n"/>
      <c r="E193" s="11" t="n"/>
      <c r="F193" s="11" t="n"/>
      <c r="G193" s="11" t="n"/>
      <c r="H193" s="12" t="n"/>
      <c r="I193" s="11" t="n"/>
      <c r="J193" s="11" t="n"/>
      <c r="K193" s="11" t="n"/>
      <c r="L193" s="11" t="n"/>
      <c r="M193" s="12" t="n"/>
      <c r="N193" s="11" t="n"/>
      <c r="O193" s="11" t="n"/>
      <c r="P193" s="11" t="n"/>
      <c r="Q193" s="11" t="n"/>
      <c r="R193" s="12" t="n"/>
      <c r="S193" s="11" t="n"/>
      <c r="T193" s="11" t="n"/>
      <c r="U193" s="11" t="n"/>
      <c r="V193" s="11" t="n"/>
      <c r="W193" s="12" t="n"/>
      <c r="X193" s="11" t="n"/>
      <c r="Y193" s="11" t="n"/>
      <c r="Z193" s="11" t="n"/>
      <c r="AA193" s="11" t="n"/>
      <c r="AB193" s="12" t="n"/>
      <c r="AC193" s="11" t="n"/>
      <c r="AD193" s="11" t="n"/>
      <c r="AE193" s="11" t="n"/>
      <c r="AF193" s="11" t="n"/>
      <c r="AG193" s="12" t="n"/>
      <c r="AH193" s="12" t="n"/>
      <c r="AI193" s="12" t="n"/>
      <c r="AJ193" s="12" t="n"/>
      <c r="AK193" s="12" t="n"/>
      <c r="AL193" s="12" t="n"/>
      <c r="AM193" s="12" t="n"/>
      <c r="AN193" s="12" t="n"/>
      <c r="AO193" s="12" t="n"/>
      <c r="AP193" s="12" t="n"/>
      <c r="AQ193" s="12" t="n"/>
      <c r="AR193" s="12" t="n"/>
      <c r="AS193" s="12" t="n"/>
      <c r="AT193" s="12" t="n"/>
      <c r="AU193" s="12" t="n"/>
      <c r="AV193" s="12" t="n"/>
      <c r="AW193" s="12" t="n"/>
      <c r="AX193" s="12" t="n"/>
      <c r="AY193" s="12" t="n"/>
      <c r="AZ193" s="12" t="n"/>
      <c r="BA193" s="12" t="n"/>
      <c r="BB193" s="12" t="n"/>
      <c r="BC193" s="12" t="n"/>
      <c r="BD193" s="12" t="n"/>
      <c r="BE193" s="12" t="n"/>
      <c r="BF193" s="12" t="n"/>
      <c r="BG193" s="12" t="n"/>
      <c r="BH193" s="12" t="n"/>
      <c r="BI193" s="12" t="n"/>
      <c r="BJ193" s="12" t="n"/>
      <c r="BK193" s="12" t="n"/>
      <c r="BL193" s="12" t="n"/>
      <c r="BM193" s="12" t="n"/>
      <c r="BN193" s="12" t="n"/>
      <c r="BO193" s="12" t="n"/>
      <c r="BP193" s="12" t="n"/>
      <c r="BQ193" s="12" t="n"/>
      <c r="BR193" s="12" t="n"/>
      <c r="BS193" s="12" t="n"/>
      <c r="BT193" s="12" t="n"/>
      <c r="BU193" s="12" t="n"/>
      <c r="BV193" s="12" t="n"/>
      <c r="BW193" s="12" t="n"/>
      <c r="BX193" s="12" t="n"/>
      <c r="BY193" s="12" t="n"/>
      <c r="BZ193" s="12" t="n"/>
      <c r="CA193" s="12" t="n"/>
      <c r="CB193" s="12" t="n"/>
      <c r="CC193" s="12" t="n"/>
      <c r="CD193" s="12" t="n"/>
      <c r="CE193" s="12" t="n"/>
      <c r="CF193" s="12" t="n"/>
      <c r="CG193" s="12" t="n"/>
      <c r="CH193" s="12" t="n"/>
      <c r="CI193" s="12" t="n"/>
      <c r="CJ193" s="12" t="n"/>
      <c r="CK193" s="12" t="n"/>
      <c r="CL193" s="12" t="n"/>
      <c r="CM193" s="12" t="n"/>
      <c r="CN193" s="12" t="n"/>
      <c r="CO193" s="12" t="n"/>
      <c r="CP193" s="12" t="n"/>
      <c r="CQ193" s="12" t="n"/>
      <c r="CR193" s="12" t="n"/>
      <c r="CS193" s="12" t="n"/>
      <c r="CT193" s="12" t="n"/>
      <c r="CU193" s="12" t="n"/>
      <c r="CV193" s="12" t="n"/>
      <c r="CW193" s="12" t="n"/>
      <c r="CX193" s="12" t="n"/>
      <c r="CY193" s="12" t="n"/>
    </row>
    <row r="194" hidden="1" outlineLevel="1">
      <c r="C194" s="60" t="inlineStr">
        <is>
          <t xml:space="preserve">Imposto de Renda e Contribuição Social Diferidos </t>
        </is>
      </c>
      <c r="D194" s="11" t="n"/>
      <c r="E194" s="11" t="n"/>
      <c r="F194" s="11" t="n"/>
      <c r="G194" s="11" t="n"/>
      <c r="H194" s="12" t="n"/>
      <c r="I194" s="11" t="n"/>
      <c r="J194" s="11" t="n"/>
      <c r="K194" s="11" t="n"/>
      <c r="L194" s="11" t="n"/>
      <c r="M194" s="12" t="n"/>
      <c r="N194" s="11" t="n"/>
      <c r="O194" s="11" t="n"/>
      <c r="P194" s="11" t="n"/>
      <c r="Q194" s="11" t="n"/>
      <c r="R194" s="12" t="n"/>
      <c r="S194" s="11" t="n"/>
      <c r="T194" s="11" t="n"/>
      <c r="U194" s="11" t="n"/>
      <c r="V194" s="11" t="n"/>
      <c r="W194" s="12" t="n"/>
      <c r="X194" s="11" t="n"/>
      <c r="Y194" s="11" t="n"/>
      <c r="Z194" s="11" t="n"/>
      <c r="AA194" s="11" t="n"/>
      <c r="AB194" s="12" t="n"/>
      <c r="AC194" s="11" t="n"/>
      <c r="AD194" s="11" t="n"/>
      <c r="AE194" s="11" t="n"/>
      <c r="AF194" s="11" t="n"/>
      <c r="AG194" s="12" t="n"/>
      <c r="AH194" s="12" t="n"/>
      <c r="AI194" s="12" t="n"/>
      <c r="AJ194" s="12" t="n"/>
      <c r="AK194" s="12" t="n"/>
      <c r="AL194" s="12" t="n"/>
      <c r="AM194" s="12" t="n"/>
      <c r="AN194" s="12" t="n"/>
      <c r="AO194" s="12" t="n"/>
      <c r="AP194" s="12" t="n"/>
      <c r="AQ194" s="12" t="n"/>
      <c r="AR194" s="12" t="n"/>
      <c r="AS194" s="12" t="n"/>
      <c r="AT194" s="12" t="n"/>
      <c r="AU194" s="12" t="n"/>
      <c r="AV194" s="12" t="n"/>
      <c r="AW194" s="12" t="n"/>
      <c r="AX194" s="12" t="n"/>
      <c r="AY194" s="12" t="n"/>
      <c r="AZ194" s="12" t="n"/>
      <c r="BA194" s="12" t="n"/>
      <c r="BB194" s="12" t="n"/>
      <c r="BC194" s="12" t="n"/>
      <c r="BD194" s="12" t="n"/>
      <c r="BE194" s="12" t="n"/>
      <c r="BF194" s="12" t="n"/>
      <c r="BG194" s="12" t="n"/>
      <c r="BH194" s="12" t="n"/>
      <c r="BI194" s="12" t="n"/>
      <c r="BJ194" s="12" t="n"/>
      <c r="BK194" s="12" t="n"/>
      <c r="BL194" s="12" t="n"/>
      <c r="BM194" s="12" t="n"/>
      <c r="BN194" s="12" t="n"/>
      <c r="BO194" s="12" t="n"/>
      <c r="BP194" s="12" t="n"/>
      <c r="BQ194" s="12" t="n"/>
      <c r="BR194" s="12" t="n"/>
      <c r="BS194" s="12" t="n"/>
      <c r="BT194" s="12" t="n"/>
      <c r="BU194" s="12" t="n"/>
      <c r="BV194" s="12" t="n"/>
      <c r="BW194" s="12" t="n"/>
      <c r="BX194" s="12" t="n"/>
      <c r="BY194" s="12" t="n"/>
      <c r="BZ194" s="12" t="n"/>
      <c r="CA194" s="12" t="n"/>
      <c r="CB194" s="12" t="n"/>
      <c r="CC194" s="12" t="n"/>
      <c r="CD194" s="12" t="n"/>
      <c r="CE194" s="12" t="n"/>
      <c r="CF194" s="12" t="n"/>
      <c r="CG194" s="12" t="n"/>
      <c r="CH194" s="12" t="n"/>
      <c r="CI194" s="12" t="n"/>
      <c r="CJ194" s="12" t="n"/>
      <c r="CK194" s="12" t="n"/>
      <c r="CL194" s="12" t="n"/>
      <c r="CM194" s="12" t="n"/>
      <c r="CN194" s="12" t="n"/>
      <c r="CO194" s="12" t="n"/>
      <c r="CP194" s="12" t="n"/>
      <c r="CQ194" s="12" t="n"/>
      <c r="CR194" s="12" t="n"/>
      <c r="CS194" s="12" t="n"/>
      <c r="CT194" s="12" t="n"/>
      <c r="CU194" s="12" t="n"/>
      <c r="CV194" s="12" t="n"/>
      <c r="CW194" s="12" t="n"/>
      <c r="CX194" s="12" t="n"/>
      <c r="CY194" s="12" t="n"/>
    </row>
    <row r="195" hidden="1" outlineLevel="1">
      <c r="C195" s="60" t="n"/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12" t="n"/>
      <c r="N195" s="12" t="n"/>
      <c r="O195" s="12" t="n"/>
      <c r="P195" s="12" t="n"/>
      <c r="Q195" s="12" t="n"/>
      <c r="R195" s="12" t="n"/>
      <c r="S195" s="12" t="n"/>
      <c r="T195" s="12" t="n"/>
      <c r="U195" s="12" t="n"/>
      <c r="V195" s="12" t="n"/>
      <c r="W195" s="12" t="n"/>
      <c r="X195" s="12" t="n"/>
      <c r="Y195" s="12" t="n"/>
      <c r="Z195" s="12" t="n"/>
      <c r="AA195" s="12" t="n"/>
      <c r="AB195" s="12" t="n"/>
      <c r="AC195" s="12" t="n"/>
      <c r="AD195" s="12" t="n"/>
      <c r="AE195" s="12" t="n"/>
      <c r="AF195" s="12" t="n"/>
      <c r="AG195" s="12" t="n"/>
      <c r="AH195" s="12" t="n"/>
      <c r="AI195" s="12" t="n"/>
      <c r="AJ195" s="12" t="n"/>
      <c r="AK195" s="12" t="n"/>
      <c r="AL195" s="12" t="n"/>
      <c r="AM195" s="12" t="n"/>
      <c r="AN195" s="12" t="n"/>
      <c r="AO195" s="12" t="n"/>
      <c r="AP195" s="12" t="n"/>
      <c r="AQ195" s="12" t="n"/>
      <c r="AR195" s="12" t="n"/>
      <c r="AS195" s="12" t="n"/>
      <c r="AT195" s="12" t="n"/>
      <c r="AU195" s="12" t="n"/>
      <c r="AV195" s="12" t="n"/>
      <c r="AW195" s="12" t="n"/>
      <c r="AX195" s="12" t="n"/>
      <c r="AY195" s="12" t="n"/>
      <c r="AZ195" s="12" t="n"/>
      <c r="BA195" s="12" t="n"/>
      <c r="BB195" s="12" t="n"/>
      <c r="BC195" s="12" t="n"/>
      <c r="BD195" s="12" t="n"/>
      <c r="BE195" s="12" t="n"/>
      <c r="BF195" s="12" t="n"/>
      <c r="BG195" s="12" t="n"/>
      <c r="BH195" s="12" t="n"/>
      <c r="BI195" s="12" t="n"/>
      <c r="BJ195" s="12" t="n"/>
      <c r="BK195" s="12" t="n"/>
      <c r="BL195" s="12" t="n"/>
      <c r="BM195" s="12" t="n"/>
      <c r="BN195" s="12" t="n"/>
      <c r="BO195" s="12" t="n"/>
      <c r="BP195" s="12" t="n"/>
      <c r="BQ195" s="12" t="n"/>
      <c r="BR195" s="12" t="n"/>
      <c r="BS195" s="12" t="n"/>
      <c r="BT195" s="12" t="n"/>
      <c r="BU195" s="12" t="n"/>
      <c r="BV195" s="12" t="n"/>
      <c r="BW195" s="12" t="n"/>
      <c r="BX195" s="12" t="n"/>
      <c r="BY195" s="12" t="n"/>
      <c r="BZ195" s="12" t="n"/>
      <c r="CA195" s="12" t="n"/>
      <c r="CB195" s="12" t="n"/>
      <c r="CC195" s="12" t="n"/>
      <c r="CD195" s="12" t="n"/>
      <c r="CE195" s="12" t="n"/>
      <c r="CF195" s="12" t="n"/>
      <c r="CG195" s="12" t="n"/>
      <c r="CH195" s="12" t="n"/>
      <c r="CI195" s="12" t="n"/>
      <c r="CJ195" s="12" t="n"/>
      <c r="CK195" s="12" t="n"/>
      <c r="CL195" s="12" t="n"/>
      <c r="CM195" s="12" t="n"/>
      <c r="CN195" s="12" t="n"/>
      <c r="CO195" s="12" t="n"/>
      <c r="CP195" s="12" t="n"/>
      <c r="CQ195" s="12" t="n"/>
      <c r="CR195" s="12" t="n"/>
      <c r="CS195" s="12" t="n"/>
      <c r="CT195" s="12" t="n"/>
      <c r="CU195" s="12" t="n"/>
      <c r="CV195" s="12" t="n"/>
      <c r="CW195" s="12" t="n"/>
      <c r="CX195" s="12" t="n"/>
      <c r="CY195" s="12" t="n"/>
    </row>
    <row r="196" hidden="1" outlineLevel="1">
      <c r="C196" s="57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12" t="n"/>
      <c r="O196" s="12" t="n"/>
      <c r="P196" s="12" t="n"/>
      <c r="Q196" s="12" t="n"/>
      <c r="R196" s="12" t="n"/>
      <c r="S196" s="12" t="n"/>
      <c r="T196" s="12" t="n"/>
      <c r="U196" s="12" t="n"/>
      <c r="V196" s="12" t="n"/>
      <c r="W196" s="12" t="n"/>
      <c r="X196" s="12" t="n"/>
      <c r="Y196" s="12" t="n"/>
      <c r="Z196" s="12" t="n"/>
      <c r="AA196" s="12" t="n"/>
      <c r="AB196" s="12" t="n"/>
      <c r="AC196" s="12" t="n"/>
      <c r="AD196" s="12" t="n"/>
      <c r="AE196" s="12" t="n"/>
      <c r="AF196" s="12" t="n"/>
      <c r="AG196" s="12" t="n"/>
      <c r="AH196" s="12" t="n"/>
      <c r="AI196" s="12" t="n"/>
      <c r="AJ196" s="12" t="n"/>
      <c r="AK196" s="12" t="n"/>
      <c r="AL196" s="12" t="n"/>
      <c r="AM196" s="12" t="n"/>
      <c r="AN196" s="12" t="n"/>
      <c r="AO196" s="12" t="n"/>
      <c r="AP196" s="12" t="n"/>
      <c r="AQ196" s="12" t="n"/>
      <c r="AR196" s="12" t="n"/>
      <c r="AS196" s="12" t="n"/>
      <c r="AT196" s="12" t="n"/>
      <c r="AU196" s="12" t="n"/>
      <c r="AV196" s="12" t="n"/>
      <c r="AW196" s="12" t="n"/>
      <c r="AX196" s="12" t="n"/>
      <c r="AY196" s="12" t="n"/>
      <c r="AZ196" s="12" t="n"/>
      <c r="BA196" s="12" t="n"/>
      <c r="BB196" s="12" t="n"/>
      <c r="BC196" s="12" t="n"/>
      <c r="BD196" s="12" t="n"/>
      <c r="BE196" s="12" t="n"/>
      <c r="BF196" s="12" t="n"/>
      <c r="BG196" s="12" t="n"/>
      <c r="BH196" s="12" t="n"/>
      <c r="BI196" s="12" t="n"/>
      <c r="BJ196" s="12" t="n"/>
      <c r="BK196" s="12" t="n"/>
      <c r="BL196" s="12" t="n"/>
      <c r="BM196" s="12" t="n"/>
      <c r="BN196" s="12" t="n"/>
      <c r="BO196" s="12" t="n"/>
      <c r="BP196" s="12" t="n"/>
      <c r="BQ196" s="12" t="n"/>
      <c r="BR196" s="12" t="n"/>
      <c r="BS196" s="12" t="n"/>
      <c r="BT196" s="12" t="n"/>
      <c r="BU196" s="12" t="n"/>
      <c r="BV196" s="12" t="n"/>
      <c r="BW196" s="12" t="n"/>
      <c r="BX196" s="12" t="n"/>
      <c r="BY196" s="12" t="n"/>
      <c r="BZ196" s="12" t="n"/>
      <c r="CA196" s="12" t="n"/>
      <c r="CB196" s="12" t="n"/>
      <c r="CC196" s="12" t="n"/>
      <c r="CD196" s="12" t="n"/>
      <c r="CE196" s="12" t="n"/>
      <c r="CF196" s="12" t="n"/>
      <c r="CG196" s="12" t="n"/>
      <c r="CH196" s="12" t="n"/>
      <c r="CI196" s="12" t="n"/>
      <c r="CJ196" s="12" t="n"/>
      <c r="CK196" s="12" t="n"/>
      <c r="CL196" s="12" t="n"/>
      <c r="CM196" s="12" t="n"/>
      <c r="CN196" s="12" t="n"/>
      <c r="CO196" s="12" t="n"/>
      <c r="CP196" s="12" t="n"/>
      <c r="CQ196" s="12" t="n"/>
      <c r="CR196" s="12" t="n"/>
      <c r="CS196" s="12" t="n"/>
      <c r="CT196" s="12" t="n"/>
      <c r="CU196" s="12" t="n"/>
      <c r="CV196" s="12" t="n"/>
      <c r="CW196" s="12" t="n"/>
      <c r="CX196" s="12" t="n"/>
      <c r="CY196" s="12" t="n"/>
    </row>
    <row r="197" collapsed="1" customFormat="1" s="32">
      <c r="A197" s="30" t="n"/>
      <c r="B197" s="3" t="n"/>
      <c r="C197" s="33" t="inlineStr">
        <is>
          <t>Total Assets</t>
        </is>
      </c>
      <c r="D197" s="35" t="n"/>
      <c r="E197" s="35" t="n"/>
      <c r="F197" s="35" t="n"/>
      <c r="G197" s="35" t="n"/>
      <c r="H197" s="35" t="n"/>
      <c r="I197" s="35">
        <f>SUM(I144,I145,I149,I153,I154,I155,I161,I166,I176,I179,I180,I189)</f>
        <v>5150.107</v>
      </c>
      <c r="J197" s="35">
        <f>SUM(J144,J145,J149,J153,J154,J155,J161,J166,J176,J179,J180,J189)</f>
        <v>5436.449</v>
      </c>
      <c r="K197" s="35">
        <f>SUM(K144,K145,K149,K153,K154,K155,K161,K166,K176,K179,K180,K189)</f>
        <v>5520.926</v>
      </c>
      <c r="L197" s="35">
        <f>SUM(L144,L145,L149,L153,L154,L155,L161,L166,L176,L179,L180,L189)</f>
        <v>5679.619</v>
      </c>
      <c r="M197" s="35">
        <f>SUM(M144,M145,M149,M153,M154,M155,M161,M166,M176,M179,M180,M189)</f>
        <v>5679.619</v>
      </c>
      <c r="N197" s="35">
        <f>SUM(N144,N145,N149,N153,N154,N155,N161,N166,N176,N179,N180,N189)</f>
        <v>5817.672</v>
      </c>
      <c r="O197" s="35">
        <f>SUM(O144,O145,O149,O153,O154,O155,O161,O166,O176,O179,O180,O189)</f>
        <v>5753.295</v>
      </c>
      <c r="P197" s="35">
        <f>SUM(P144,P145,P149,P153,P154,P155,P161,P166,P176,P179,P180,P189)</f>
        <v>6209.516</v>
      </c>
      <c r="Q197" s="35">
        <f>SUM(Q144,Q145,Q149,Q153,Q154,Q155,Q161,Q166,Q176,Q179,Q180,Q189)</f>
        <v>6489.415</v>
      </c>
      <c r="R197" s="35">
        <f>SUM(R144,R145,R149,R153,R154,R155,R161,R166,R176,R179,R180,R189)</f>
        <v>6489.415</v>
      </c>
      <c r="S197" s="35">
        <f>SUM(S144,S145,S149,S153,S154,S155,S161,S166,S176,S179,S180,S189)</f>
        <v>6482.02690777</v>
      </c>
      <c r="T197" s="35">
        <f>SUM(T144,T145,T149,T153,T154,T155,T161,T166,T176,T179,T180,T189)</f>
        <v>6806.671272</v>
      </c>
      <c r="U197" s="35">
        <f>SUM(U144,U145,U149,U153,U154,U155,U161,U166,U176,U179,U180,U189)</f>
        <v>7189.70208023</v>
      </c>
      <c r="V197" s="35">
        <f>SUM(V144,V145,V149,V153,V154,V155,V161,V166,V176,V179,V180,V189)</f>
        <v>7571.59874951</v>
      </c>
      <c r="W197" s="35">
        <f>SUM(W144,W145,W149,W153,W154,W155,W161,W166,W176,W179,W180,W189)</f>
        <v>7571.59874951</v>
      </c>
      <c r="X197" s="35">
        <f>SUM(X144,X145,X149,X153,X154,X155,X161,X166,X176,X179,X180,X189)</f>
        <v>7877.95664733</v>
      </c>
      <c r="Y197" s="35">
        <f>SUM(Y144,Y145,Y149,Y153,Y154,Y155,Y161,Y166,Y176,Y179,Y180,Y189)</f>
        <v>8800.82706648</v>
      </c>
      <c r="Z197" s="35">
        <f>SUM(Z144,Z145,Z149,Z153,Z154,Z155,Z161,Z166,Z176,Z179,Z180,Z189)</f>
        <v>9521.01238852</v>
      </c>
      <c r="AA197" s="35">
        <f>SUM(AA144,AA145,AA149,AA153,AA154,AA155,AA161,AA166,AA176,AA179,AA180,AA189)</f>
        <v>10067.406</v>
      </c>
      <c r="AB197" s="35">
        <f>SUM(AB144,AB145,AB149,AB153,AB154,AB155,AB161,AB166,AB176,AB179,AB180,AB189)</f>
        <v>10067.406</v>
      </c>
      <c r="AC197" s="35">
        <f>SUM(AC144,AC145,AC149,AC153,AC154,AC155,AC161,AC166,AC176,AC179,AC180,AC189)</f>
        <v>10612.25</v>
      </c>
      <c r="AD197" s="35">
        <f>SUM(AD144,AD145,AD149,AD153,AD154,AD155,AD161,AD166,AD176,AD179,AD180,AD189)</f>
        <v>11566.858</v>
      </c>
      <c r="AE197" s="35">
        <f>SUM(AE144,AE145,AE149,AE153,AE154,AE155,AE161,AE166,AE176,AE179,AE180,AE189)</f>
        <v>12415.734</v>
      </c>
      <c r="AF197" s="35">
        <f>SUM(AF144,AF145,AF149,AF153,AF154,AF155,AF161,AF166,AF176,AF179,AF180,AF189)</f>
        <v>13219.635</v>
      </c>
      <c r="AG197" s="35">
        <f>SUM(AG144,AG145,AG149,AG153,AG154,AG155,AG161,AG166,AG176,AG179,AG180,AG189)</f>
        <v>13219.635</v>
      </c>
      <c r="AH197" s="35">
        <f>SUM(AH144,AH145,AH149,AH153,AH154,AH155,AH161,AH166,AH176,AH179,AH180,AH189)</f>
        <v>13916.924</v>
      </c>
      <c r="AI197" s="35">
        <f>SUM(AI144,AI145,AI149,AI153,AI154,AI155,AI161,AI166,AI176,AI179,AI180,AI189)</f>
        <v>14628.318</v>
      </c>
      <c r="AJ197" s="35">
        <f>SUM(AJ144,AJ145,AJ149,AJ153,AJ154,AJ155,AJ161,AJ166,AJ176,AJ179,AJ180,AJ189)</f>
        <v>15138.8056136038</v>
      </c>
      <c r="AK197" s="35">
        <f>SUM(AK144,AK145,AK149,AK153,AK154,AK155,AK161,AK166,AK176,AK179,AK180,AK189)</f>
        <v>15667.3211589438</v>
      </c>
      <c r="AL197" s="35">
        <f>SUM(AL144,AL145,AL149,AL153,AL154,AL155,AL161,AL166,AL176,AL179,AL180,AL189)</f>
        <v>15667.3211589438</v>
      </c>
      <c r="AM197" s="35">
        <f>SUM(AM144,AM145,AM149,AM153,AM154,AM155,AM161,AM166,AM176,AM179,AM180,AM189)</f>
        <v>16170.5700058993</v>
      </c>
      <c r="AN197" s="35">
        <f>SUM(AN144,AN145,AN149,AN153,AN154,AN155,AN161,AN166,AN176,AN179,AN180,AN189)</f>
        <v>16766.3732984814</v>
      </c>
      <c r="AO197" s="35">
        <f>SUM(AO144,AO145,AO149,AO153,AO154,AO155,AO161,AO166,AO176,AO179,AO180,AO189)</f>
        <v>17485.2978050243</v>
      </c>
      <c r="AP197" s="35">
        <f>SUM(AP144,AP145,AP149,AP153,AP154,AP155,AP161,AP166,AP176,AP179,AP180,AP189)</f>
        <v>18253.2746378435</v>
      </c>
      <c r="AQ197" s="35">
        <f>SUM(AQ144,AQ145,AQ149,AQ153,AQ154,AQ155,AQ161,AQ166,AQ176,AQ179,AQ180,AQ189)</f>
        <v>18253.2746378435</v>
      </c>
      <c r="AR197" s="35">
        <f>SUM(AR144,AR145,AR149,AR153,AR154,AR155,AR161,AR166,AR176,AR179,AR180,AR189)</f>
        <v>19003.7656206805</v>
      </c>
      <c r="AS197" s="35">
        <f>SUM(AS144,AS145,AS149,AS153,AS154,AS155,AS161,AS166,AS176,AS179,AS180,AS189)</f>
        <v>19910.957633797</v>
      </c>
      <c r="AT197" s="35">
        <f>SUM(AT144,AT145,AT149,AT153,AT154,AT155,AT161,AT166,AT176,AT179,AT180,AT189)</f>
        <v>21011.1393013646</v>
      </c>
      <c r="AU197" s="35">
        <f>SUM(AU144,AU145,AU149,AU153,AU154,AU155,AU161,AU166,AU176,AU179,AU180,AU189)</f>
        <v>22223.5915660087</v>
      </c>
      <c r="AV197" s="35">
        <f>SUM(AV144,AV145,AV149,AV153,AV154,AV155,AV161,AV166,AV176,AV179,AV180,AV189)</f>
        <v>22223.5915660087</v>
      </c>
      <c r="AW197" s="35">
        <f>SUM(AW144,AW145,AW149,AW153,AW154,AW155,AW161,AW166,AW176,AW179,AW180,AW189)</f>
        <v>23471.4217086901</v>
      </c>
      <c r="AX197" s="35">
        <f>SUM(AX144,AX145,AX149,AX153,AX154,AX155,AX161,AX166,AX176,AX179,AX180,AX189)</f>
        <v>24989.6374862296</v>
      </c>
      <c r="AY197" s="35">
        <f>SUM(AY144,AY145,AY149,AY153,AY154,AY155,AY161,AY166,AY176,AY179,AY180,AY189)</f>
        <v>26856.3713105445</v>
      </c>
      <c r="AZ197" s="35">
        <f>SUM(AZ144,AZ145,AZ149,AZ153,AZ154,AZ155,AZ161,AZ166,AZ176,AZ179,AZ180,AZ189)</f>
        <v>28991.092392491</v>
      </c>
      <c r="BA197" s="35">
        <f>SUM(BA144,BA145,BA149,BA153,BA154,BA155,BA161,BA166,BA176,BA179,BA180,BA189)</f>
        <v>28991.092392491</v>
      </c>
      <c r="BB197" s="35">
        <f>SUM(BB144,BB145,BB149,BB153,BB154,BB155,BB161,BB166,BB176,BB179,BB180,BB189)</f>
        <v>31310.0625773851</v>
      </c>
      <c r="BC197" s="35">
        <f>SUM(BC144,BC145,BC149,BC153,BC154,BC155,BC161,BC166,BC176,BC179,BC180,BC189)</f>
        <v>34168.3434320764</v>
      </c>
      <c r="BD197" s="35">
        <f>SUM(BD144,BD145,BD149,BD153,BD154,BD155,BD161,BD166,BD176,BD179,BD180,BD189)</f>
        <v>37714.182264109</v>
      </c>
      <c r="BE197" s="35">
        <f>SUM(BE144,BE145,BE149,BE153,BE154,BE155,BE161,BE166,BE176,BE179,BE180,BE189)</f>
        <v>41910.0621575612</v>
      </c>
      <c r="BF197" s="35">
        <f>SUM(BF144,BF145,BF149,BF153,BF154,BF155,BF161,BF166,BF176,BF179,BF180,BF189)</f>
        <v>41910.0621575612</v>
      </c>
      <c r="BG197" s="35" t="n"/>
      <c r="BH197" s="35" t="n"/>
      <c r="BI197" s="35" t="n"/>
      <c r="BJ197" s="35" t="n"/>
      <c r="BK197" s="35" t="n"/>
      <c r="BL197" s="35" t="n"/>
      <c r="BM197" s="35" t="n"/>
      <c r="BN197" s="35" t="n"/>
      <c r="BO197" s="35" t="n"/>
      <c r="BP197" s="35" t="n"/>
      <c r="BQ197" s="35" t="n"/>
      <c r="BR197" s="35" t="n"/>
      <c r="BS197" s="35" t="n"/>
      <c r="BT197" s="35" t="n"/>
      <c r="BU197" s="35" t="n"/>
      <c r="BV197" s="35" t="n"/>
      <c r="BW197" s="35" t="n"/>
      <c r="BX197" s="35" t="n"/>
      <c r="BY197" s="35" t="n"/>
      <c r="BZ197" s="35" t="n"/>
      <c r="CA197" s="35" t="n"/>
      <c r="CB197" s="35" t="n"/>
      <c r="CC197" s="35" t="n"/>
      <c r="CD197" s="35" t="n"/>
      <c r="CE197" s="35" t="n"/>
      <c r="CF197" s="35" t="n"/>
      <c r="CG197" s="35" t="n"/>
      <c r="CH197" s="35" t="n"/>
      <c r="CI197" s="35" t="n"/>
      <c r="CJ197" s="35" t="n"/>
      <c r="CK197" s="35" t="n"/>
      <c r="CL197" s="35" t="n"/>
      <c r="CM197" s="35" t="n"/>
      <c r="CN197" s="35" t="n"/>
      <c r="CO197" s="35" t="n"/>
      <c r="CP197" s="35" t="n"/>
      <c r="CQ197" s="35" t="n"/>
      <c r="CR197" s="35" t="n"/>
      <c r="CS197" s="35" t="n"/>
      <c r="CT197" s="35" t="n"/>
      <c r="CU197" s="35" t="n"/>
      <c r="CV197" s="35" t="n"/>
      <c r="CW197" s="35" t="n"/>
      <c r="CX197" s="35" t="n"/>
      <c r="CY197" s="35" t="n"/>
    </row>
    <row r="198">
      <c r="C198" s="14" t="inlineStr">
        <is>
          <t>Accounts payable</t>
        </is>
      </c>
      <c r="D198" s="46" t="n"/>
      <c r="E198" s="46" t="n"/>
      <c r="F198" s="46" t="n"/>
      <c r="G198" s="46" t="n"/>
      <c r="H198" s="12" t="n"/>
      <c r="I198" s="46">
        <f>'Inputs (2)'!D28</f>
        <v>80.266</v>
      </c>
      <c r="J198" s="46">
        <f>'Inputs (2)'!E28</f>
        <v>88.375</v>
      </c>
      <c r="K198" s="46">
        <f>'Inputs (2)'!F28</f>
        <v>108.31</v>
      </c>
      <c r="L198" s="46">
        <f>'Inputs (2)'!G28</f>
        <v>92.054</v>
      </c>
      <c r="M198" s="12">
        <f>'Inputs (2)'!H28</f>
        <v>92.054</v>
      </c>
      <c r="N198" s="46">
        <f>'Inputs (2)'!I28</f>
        <v>90.528</v>
      </c>
      <c r="O198" s="46">
        <f>'Inputs (2)'!J28</f>
        <v>101.161</v>
      </c>
      <c r="P198" s="46">
        <f>'Inputs (2)'!K28</f>
        <v>105.049</v>
      </c>
      <c r="Q198" s="46">
        <f>'Inputs (2)'!L28</f>
        <v>122.694</v>
      </c>
      <c r="R198" s="12">
        <f>'Inputs (2)'!M28</f>
        <v>122.694</v>
      </c>
      <c r="S198" s="46">
        <f>'Inputs (2)'!N28</f>
        <v>93.859</v>
      </c>
      <c r="T198" s="46">
        <f>'Inputs (2)'!O28</f>
        <v>119.771</v>
      </c>
      <c r="U198" s="46">
        <f>'Inputs (2)'!P28</f>
        <v>129.48</v>
      </c>
      <c r="V198" s="46">
        <f>'Inputs (2)'!Q28</f>
        <v>129.531</v>
      </c>
      <c r="W198" s="12">
        <f>'Inputs (2)'!R28</f>
        <v>129.531</v>
      </c>
      <c r="X198" s="46">
        <f>'Inputs (2)'!S28</f>
        <v>135.026</v>
      </c>
      <c r="Y198" s="46">
        <f>'Inputs (2)'!T28</f>
        <v>151.904</v>
      </c>
      <c r="Z198" s="46">
        <f>'Inputs (2)'!U28</f>
        <v>164.819</v>
      </c>
      <c r="AA198" s="46">
        <f>'Inputs (2)'!V28</f>
        <v>136.413</v>
      </c>
      <c r="AB198" s="12">
        <f>'Inputs (2)'!W28</f>
        <v>136.413</v>
      </c>
      <c r="AC198" s="46">
        <f>'Inputs (2)'!X28</f>
        <v>143.845</v>
      </c>
      <c r="AD198" s="46">
        <f>'Inputs (2)'!Y28</f>
        <v>152.806</v>
      </c>
      <c r="AE198" s="46">
        <f>'Inputs (2)'!Z28</f>
        <v>186.16</v>
      </c>
      <c r="AF198" s="46">
        <f>'Inputs (2)'!AA28</f>
        <v>194.23</v>
      </c>
      <c r="AG198" s="12">
        <f>'Inputs (2)'!AB28</f>
        <v>194.23</v>
      </c>
      <c r="AH198" s="12">
        <f>'Inputs (2)'!AC28</f>
        <v>185.442</v>
      </c>
      <c r="AI198" s="12">
        <f>'Inputs (2)'!AD28</f>
        <v>194.677</v>
      </c>
      <c r="AJ198" s="12">
        <f>(AJ199/(AJ$5-AI$5))*-AJ$54</f>
        <v>229.081008404959</v>
      </c>
      <c r="AK198" s="12">
        <f>(AK199/(AK$5-AJ$5))*-AK$54</f>
        <v>242.539101906043</v>
      </c>
      <c r="AL198" s="12">
        <f>AK198</f>
        <v>242.539101906043</v>
      </c>
      <c r="AM198" s="12">
        <f>(AM199/(AM$5-AL$5))*-AM$54</f>
        <v>235.527593036259</v>
      </c>
      <c r="AN198" s="12">
        <f>(AN199/(AN$5-AM$5))*-AN$54</f>
        <v>255.890325470706</v>
      </c>
      <c r="AO198" s="12">
        <f>(AO199/(AO$5-AN$5))*-AO$54</f>
        <v>293.935119752086</v>
      </c>
      <c r="AP198" s="12">
        <f>(AP199/(AP$5-AO$5))*-AP$54</f>
        <v>311.203274595734</v>
      </c>
      <c r="AQ198" s="12">
        <f>AP198</f>
        <v>311.203274595734</v>
      </c>
      <c r="AR198" s="12">
        <f>(AR199/(AR$5-AQ$5))*-AR$54</f>
        <v>297.721118064944</v>
      </c>
      <c r="AS198" s="12">
        <f>(AS199/(AS$5-AR$5))*-AS$54</f>
        <v>327.054852400461</v>
      </c>
      <c r="AT198" s="12">
        <f>(AT199/(AT$5-AS$5))*-AT$54</f>
        <v>375.680116194293</v>
      </c>
      <c r="AU198" s="12">
        <f>(AU199/(AU$5-AT$5))*-AU$54</f>
        <v>397.750641225783</v>
      </c>
      <c r="AV198" s="12">
        <f>AU198</f>
        <v>397.750641225783</v>
      </c>
      <c r="AW198" s="12">
        <f>(AW199/(AW$5-AV$5))*-AW$54</f>
        <v>383.241865235341</v>
      </c>
      <c r="AX198" s="12">
        <f>(AX199/(AX$5-AW$5))*-AX$54</f>
        <v>416.375356979827</v>
      </c>
      <c r="AY198" s="12">
        <f>(AY199/(AY$5-AX$5))*-AY$54</f>
        <v>478.2804515589</v>
      </c>
      <c r="AZ198" s="12">
        <f>(AZ199/(AZ$5-AY$5))*-AZ$54</f>
        <v>506.378560091065</v>
      </c>
      <c r="BA198" s="12">
        <f>AZ198</f>
        <v>506.378560091065</v>
      </c>
      <c r="BB198" s="12">
        <f>(BB199/(BB$5-BA$5))*-BB$54</f>
        <v>485.991147118094</v>
      </c>
      <c r="BC198" s="12">
        <f>(BC199/(BC$5-BB$5))*-BC$54</f>
        <v>528.007912825679</v>
      </c>
      <c r="BD198" s="12">
        <f>(BD199/(BD$5-BC$5))*-BD$54</f>
        <v>606.510108582561</v>
      </c>
      <c r="BE198" s="12">
        <f>(BE199/(BE$5-BD$5))*-BE$54</f>
        <v>642.14147675005</v>
      </c>
      <c r="BF198" s="12">
        <f>BE198</f>
        <v>642.14147675005</v>
      </c>
      <c r="BG198" s="12" t="n"/>
      <c r="BH198" s="12" t="n"/>
      <c r="BI198" s="12" t="n"/>
      <c r="BJ198" s="12" t="n"/>
      <c r="BK198" s="12" t="n"/>
      <c r="BL198" s="12" t="n"/>
      <c r="BM198" s="12" t="n"/>
      <c r="BN198" s="12" t="n"/>
      <c r="BO198" s="12" t="n"/>
      <c r="BP198" s="12" t="n"/>
      <c r="BQ198" s="12" t="n"/>
      <c r="BR198" s="12" t="n"/>
      <c r="BS198" s="12" t="n"/>
      <c r="BT198" s="12" t="n"/>
      <c r="BU198" s="12" t="n"/>
      <c r="BV198" s="12" t="n"/>
      <c r="BW198" s="12" t="n"/>
      <c r="BX198" s="12" t="n"/>
      <c r="BY198" s="12" t="n"/>
      <c r="BZ198" s="12" t="n"/>
      <c r="CA198" s="12" t="n"/>
      <c r="CB198" s="12" t="n"/>
      <c r="CC198" s="12" t="n"/>
      <c r="CD198" s="12" t="n"/>
      <c r="CE198" s="12" t="n"/>
      <c r="CF198" s="12" t="n"/>
      <c r="CG198" s="12" t="n"/>
      <c r="CH198" s="12" t="n"/>
      <c r="CI198" s="12" t="n"/>
      <c r="CJ198" s="12" t="n"/>
      <c r="CK198" s="12" t="n"/>
      <c r="CL198" s="12" t="n"/>
      <c r="CM198" s="12" t="n"/>
      <c r="CN198" s="12" t="n"/>
      <c r="CO198" s="12" t="n"/>
      <c r="CP198" s="12" t="n"/>
      <c r="CQ198" s="12" t="n"/>
      <c r="CR198" s="12" t="n"/>
      <c r="CS198" s="12" t="n"/>
      <c r="CT198" s="12" t="n"/>
      <c r="CU198" s="12" t="n"/>
      <c r="CV198" s="12" t="n"/>
      <c r="CW198" s="12" t="n"/>
      <c r="CX198" s="12" t="n"/>
      <c r="CY198" s="12" t="n"/>
    </row>
    <row r="199" hidden="1" outlineLevel="1">
      <c r="C199" s="57" t="inlineStr">
        <is>
          <t>DPO</t>
        </is>
      </c>
      <c r="D199" s="12" t="n"/>
      <c r="E199" s="12" t="n"/>
      <c r="F199" s="12" t="n"/>
      <c r="G199" s="12" t="n"/>
      <c r="H199" s="12" t="n"/>
      <c r="I199" s="12">
        <f>IFERROR(-(I198/I$54)*(I$5-H$5),"")</f>
        <v>27.0557222473645</v>
      </c>
      <c r="J199" s="12">
        <f>IFERROR(-(J198/J$54)*(J$5-I$5),"")</f>
        <v>30.5655636140848</v>
      </c>
      <c r="K199" s="12">
        <f>IFERROR(-(K198/K$54)*(K$5-J$5),"")</f>
        <v>34.1748949627533</v>
      </c>
      <c r="L199" s="12">
        <f>IFERROR(-(L198/L$54)*(L$5-K$5),"")</f>
        <v>26.0896068533062</v>
      </c>
      <c r="M199" s="12" t="n"/>
      <c r="N199" s="12">
        <f>IFERROR(-(N198/N$54)*(N$5-M$5),"")</f>
        <v>26.8801013506826</v>
      </c>
      <c r="O199" s="12">
        <f>IFERROR(-(O198/O$54)*(O$5-N$5),"")</f>
        <v>22.8259277259</v>
      </c>
      <c r="P199" s="12">
        <f>IFERROR(-(P198/P$54)*(P$5-O$5),"")</f>
        <v>25.4842867464415</v>
      </c>
      <c r="Q199" s="12">
        <f>IFERROR(-(Q198/Q$54)*(Q$5-P$5),"")</f>
        <v>32.8850174216028</v>
      </c>
      <c r="R199" s="12" t="n"/>
      <c r="S199" s="12">
        <f>IFERROR(-(S198/S$54)*(S$5-R$5),"")</f>
        <v>23.5022883772693</v>
      </c>
      <c r="T199" s="12">
        <f>IFERROR(-(T198/T$54)*(T$5-S$5),"")</f>
        <v>27.2324480857114</v>
      </c>
      <c r="U199" s="12">
        <f>IFERROR(-(U198/U$54)*(U$5-T$5),"")</f>
        <v>32.6093419363316</v>
      </c>
      <c r="V199" s="12">
        <f>IFERROR(-(V198/V$54)*(V$5-U$5),"")</f>
        <v>28.0227062693853</v>
      </c>
      <c r="W199" s="12" t="n"/>
      <c r="X199" s="12">
        <f>IFERROR(-(X198/X$54)*(X$5-W$5),"")</f>
        <v>28.6525650592296</v>
      </c>
      <c r="Y199" s="12">
        <f>IFERROR(-(Y198/Y$54)*(Y$5-X$5),"")</f>
        <v>25.5233903011861</v>
      </c>
      <c r="Z199" s="12">
        <f>IFERROR(-(Z198/Z$54)*(Z$5-Y$5),"")</f>
        <v>26.2395683540383</v>
      </c>
      <c r="AA199" s="12">
        <f>IFERROR(-(AA198/AA$54)*(AA$5-Z$5),"")</f>
        <v>21.570460662686</v>
      </c>
      <c r="AB199" s="12" t="n"/>
      <c r="AC199" s="12">
        <f>IFERROR(-(AC198/AC$54)*(AC$5-AB$5),"")</f>
        <v>23.5875492620037</v>
      </c>
      <c r="AD199" s="12">
        <f>IFERROR(-(AD198/AD$54)*(AD$5-AC$5),"")</f>
        <v>21.3605691094377</v>
      </c>
      <c r="AE199" s="12">
        <f>IFERROR(-(AE198/AE$54)*(AE$5-AD$5),"")</f>
        <v>24.6774530527086</v>
      </c>
      <c r="AF199" s="11">
        <f>IFERROR(-(AF198/AF$54)*(AF$5-AE$5),"")</f>
        <v>24.588241121948</v>
      </c>
      <c r="AG199" s="12" t="n"/>
      <c r="AH199" s="11">
        <f>IFERROR(-(AH198/AH$54)*(AH$5-AG$5),"")</f>
        <v>24.1490634699001</v>
      </c>
      <c r="AI199" s="11">
        <f>IFERROR(-(AI198/AI$54)*(AI$5-AH$5),"")</f>
        <v>23.076090524473</v>
      </c>
      <c r="AJ199" s="11">
        <f>Control!$B$27</f>
        <v>23.5731610900785</v>
      </c>
      <c r="AK199" s="11">
        <f>Control!$B$27</f>
        <v>23.5731610900785</v>
      </c>
      <c r="AL199" s="12" t="n"/>
      <c r="AM199" s="11">
        <f>Control!$C$27</f>
        <v>23.5731610900785</v>
      </c>
      <c r="AN199" s="11">
        <f>Control!$C$27</f>
        <v>23.5731610900785</v>
      </c>
      <c r="AO199" s="11">
        <f>Control!$C$27</f>
        <v>23.5731610900785</v>
      </c>
      <c r="AP199" s="11">
        <f>Control!$C$27</f>
        <v>23.5731610900785</v>
      </c>
      <c r="AQ199" s="12" t="n"/>
      <c r="AR199" s="11">
        <f>Control!$D$27</f>
        <v>23.5731610900785</v>
      </c>
      <c r="AS199" s="11">
        <f>Control!$D$27</f>
        <v>23.5731610900785</v>
      </c>
      <c r="AT199" s="11">
        <f>Control!$D$27</f>
        <v>23.5731610900785</v>
      </c>
      <c r="AU199" s="11">
        <f>Control!$D$27</f>
        <v>23.5731610900785</v>
      </c>
      <c r="AV199" s="12" t="n"/>
      <c r="AW199" s="11">
        <f>Control!$E$27</f>
        <v>23.5731610900785</v>
      </c>
      <c r="AX199" s="11">
        <f>Control!$E$27</f>
        <v>23.5731610900785</v>
      </c>
      <c r="AY199" s="11">
        <f>Control!$E$27</f>
        <v>23.5731610900785</v>
      </c>
      <c r="AZ199" s="11">
        <f>Control!$E$27</f>
        <v>23.5731610900785</v>
      </c>
      <c r="BA199" s="12" t="n"/>
      <c r="BB199" s="11">
        <f>Control!$F$27</f>
        <v>23.5731610900785</v>
      </c>
      <c r="BC199" s="11">
        <f>Control!$F$27</f>
        <v>23.5731610900785</v>
      </c>
      <c r="BD199" s="11">
        <f>Control!$F$27</f>
        <v>23.5731610900785</v>
      </c>
      <c r="BE199" s="11">
        <f>Control!$F$27</f>
        <v>23.5731610900785</v>
      </c>
      <c r="BF199" s="12" t="n"/>
      <c r="BG199" s="11" t="n"/>
      <c r="BH199" s="11" t="n"/>
      <c r="BI199" s="11" t="n"/>
      <c r="BJ199" s="11" t="n"/>
      <c r="BK199" s="12" t="n"/>
      <c r="BL199" s="11" t="n"/>
      <c r="BM199" s="11" t="n"/>
      <c r="BN199" s="11" t="n"/>
      <c r="BO199" s="11" t="n"/>
      <c r="BP199" s="12" t="n"/>
      <c r="BQ199" s="11" t="n"/>
      <c r="BR199" s="11" t="n"/>
      <c r="BS199" s="11" t="n"/>
      <c r="BT199" s="11" t="n"/>
      <c r="BU199" s="12" t="n"/>
      <c r="BV199" s="11" t="n"/>
      <c r="BW199" s="11" t="n"/>
      <c r="BX199" s="11" t="n"/>
      <c r="BY199" s="11" t="n"/>
      <c r="BZ199" s="12" t="n"/>
      <c r="CA199" s="11" t="n"/>
      <c r="CB199" s="11" t="n"/>
      <c r="CC199" s="11" t="n"/>
      <c r="CD199" s="11" t="n"/>
      <c r="CE199" s="12" t="n"/>
      <c r="CF199" s="11" t="n"/>
      <c r="CG199" s="11" t="n"/>
      <c r="CH199" s="11" t="n"/>
      <c r="CI199" s="11" t="n"/>
      <c r="CJ199" s="12" t="n"/>
      <c r="CK199" s="11" t="n"/>
      <c r="CL199" s="11" t="n"/>
      <c r="CM199" s="11" t="n"/>
      <c r="CN199" s="11" t="n"/>
      <c r="CO199" s="12" t="n"/>
      <c r="CP199" s="11" t="n"/>
      <c r="CQ199" s="11" t="n"/>
      <c r="CR199" s="11" t="n"/>
      <c r="CS199" s="11" t="n"/>
      <c r="CT199" s="12" t="n"/>
      <c r="CU199" s="11" t="n"/>
      <c r="CV199" s="11" t="n"/>
      <c r="CW199" s="11" t="n"/>
      <c r="CX199" s="11" t="n"/>
      <c r="CY199" s="12" t="n"/>
    </row>
    <row r="200" hidden="1" outlineLevel="1">
      <c r="C200" s="57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2" t="n"/>
      <c r="P200" s="12" t="n"/>
      <c r="Q200" s="12" t="n"/>
      <c r="R200" s="12" t="n"/>
      <c r="S200" s="12" t="n"/>
      <c r="T200" s="12" t="n"/>
      <c r="U200" s="12" t="n"/>
      <c r="V200" s="12" t="n"/>
      <c r="W200" s="12" t="n"/>
      <c r="X200" s="12" t="n"/>
      <c r="Y200" s="12" t="n"/>
      <c r="Z200" s="12" t="n"/>
      <c r="AA200" s="12" t="n"/>
      <c r="AB200" s="12" t="n"/>
      <c r="AC200" s="12" t="n"/>
      <c r="AD200" s="12" t="n"/>
      <c r="AE200" s="12" t="n"/>
      <c r="AF200" s="12" t="n"/>
      <c r="AG200" s="12" t="n"/>
      <c r="AH200" s="12" t="n"/>
      <c r="AI200" s="12" t="n"/>
      <c r="AJ200" s="12" t="n"/>
      <c r="AK200" s="12" t="n"/>
      <c r="AL200" s="12" t="n"/>
      <c r="AM200" s="12" t="n"/>
      <c r="AN200" s="12" t="n"/>
      <c r="AO200" s="12" t="n"/>
      <c r="AP200" s="12" t="n"/>
      <c r="AQ200" s="12" t="n"/>
      <c r="AR200" s="12" t="n"/>
      <c r="AS200" s="12" t="n"/>
      <c r="AT200" s="12" t="n"/>
      <c r="AU200" s="12" t="n"/>
      <c r="AV200" s="12" t="n"/>
      <c r="AW200" s="12" t="n"/>
      <c r="AX200" s="12" t="n"/>
      <c r="AY200" s="12" t="n"/>
      <c r="AZ200" s="12" t="n"/>
      <c r="BA200" s="12" t="n"/>
      <c r="BB200" s="12" t="n"/>
      <c r="BC200" s="12" t="n"/>
      <c r="BD200" s="12" t="n"/>
      <c r="BE200" s="12" t="n"/>
      <c r="BF200" s="12" t="n"/>
      <c r="BG200" s="12" t="n"/>
      <c r="BH200" s="12" t="n"/>
      <c r="BI200" s="12" t="n"/>
      <c r="BJ200" s="12" t="n"/>
      <c r="BK200" s="12" t="n"/>
      <c r="BL200" s="12" t="n"/>
      <c r="BM200" s="12" t="n"/>
      <c r="BN200" s="12" t="n"/>
      <c r="BO200" s="12" t="n"/>
      <c r="BP200" s="12" t="n"/>
      <c r="BQ200" s="12" t="n"/>
      <c r="BR200" s="12" t="n"/>
      <c r="BS200" s="12" t="n"/>
      <c r="BT200" s="12" t="n"/>
      <c r="BU200" s="12" t="n"/>
      <c r="BV200" s="12" t="n"/>
      <c r="BW200" s="12" t="n"/>
      <c r="BX200" s="12" t="n"/>
      <c r="BY200" s="12" t="n"/>
      <c r="BZ200" s="12" t="n"/>
      <c r="CA200" s="12" t="n"/>
      <c r="CB200" s="12" t="n"/>
      <c r="CC200" s="12" t="n"/>
      <c r="CD200" s="12" t="n"/>
      <c r="CE200" s="12" t="n"/>
      <c r="CF200" s="12" t="n"/>
      <c r="CG200" s="12" t="n"/>
      <c r="CH200" s="12" t="n"/>
      <c r="CI200" s="12" t="n"/>
      <c r="CJ200" s="12" t="n"/>
      <c r="CK200" s="12" t="n"/>
      <c r="CL200" s="12" t="n"/>
      <c r="CM200" s="12" t="n"/>
      <c r="CN200" s="12" t="n"/>
      <c r="CO200" s="12" t="n"/>
      <c r="CP200" s="12" t="n"/>
      <c r="CQ200" s="12" t="n"/>
      <c r="CR200" s="12" t="n"/>
      <c r="CS200" s="12" t="n"/>
      <c r="CT200" s="12" t="n"/>
      <c r="CU200" s="12" t="n"/>
      <c r="CV200" s="12" t="n"/>
      <c r="CW200" s="12" t="n"/>
      <c r="CX200" s="12" t="n"/>
      <c r="CY200" s="12" t="n"/>
    </row>
    <row r="201" hidden="1" outlineLevel="1">
      <c r="C201" s="57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12" t="n"/>
      <c r="Z201" s="12" t="n"/>
      <c r="AA201" s="12" t="n"/>
      <c r="AB201" s="12" t="n"/>
      <c r="AC201" s="12" t="n"/>
      <c r="AD201" s="12" t="n"/>
      <c r="AE201" s="12" t="n"/>
      <c r="AF201" s="12" t="n"/>
      <c r="AG201" s="12" t="n"/>
      <c r="AH201" s="12" t="n"/>
      <c r="AI201" s="12" t="n"/>
      <c r="AJ201" s="12" t="n"/>
      <c r="AK201" s="12" t="n"/>
      <c r="AL201" s="12" t="n"/>
      <c r="AM201" s="12" t="n"/>
      <c r="AN201" s="12" t="n"/>
      <c r="AO201" s="12" t="n"/>
      <c r="AP201" s="12" t="n"/>
      <c r="AQ201" s="12" t="n"/>
      <c r="AR201" s="12" t="n"/>
      <c r="AS201" s="12" t="n"/>
      <c r="AT201" s="12" t="n"/>
      <c r="AU201" s="12" t="n"/>
      <c r="AV201" s="12" t="n"/>
      <c r="AW201" s="12" t="n"/>
      <c r="AX201" s="12" t="n"/>
      <c r="AY201" s="12" t="n"/>
      <c r="AZ201" s="12" t="n"/>
      <c r="BA201" s="12" t="n"/>
      <c r="BB201" s="12" t="n"/>
      <c r="BC201" s="12" t="n"/>
      <c r="BD201" s="12" t="n"/>
      <c r="BE201" s="12" t="n"/>
      <c r="BF201" s="12" t="n"/>
      <c r="BG201" s="12" t="n"/>
      <c r="BH201" s="12" t="n"/>
      <c r="BI201" s="12" t="n"/>
      <c r="BJ201" s="12" t="n"/>
      <c r="BK201" s="12" t="n"/>
      <c r="BL201" s="12" t="n"/>
      <c r="BM201" s="12" t="n"/>
      <c r="BN201" s="12" t="n"/>
      <c r="BO201" s="12" t="n"/>
      <c r="BP201" s="12" t="n"/>
      <c r="BQ201" s="12" t="n"/>
      <c r="BR201" s="12" t="n"/>
      <c r="BS201" s="12" t="n"/>
      <c r="BT201" s="12" t="n"/>
      <c r="BU201" s="12" t="n"/>
      <c r="BV201" s="12" t="n"/>
      <c r="BW201" s="12" t="n"/>
      <c r="BX201" s="12" t="n"/>
      <c r="BY201" s="12" t="n"/>
      <c r="BZ201" s="12" t="n"/>
      <c r="CA201" s="12" t="n"/>
      <c r="CB201" s="12" t="n"/>
      <c r="CC201" s="12" t="n"/>
      <c r="CD201" s="12" t="n"/>
      <c r="CE201" s="12" t="n"/>
      <c r="CF201" s="12" t="n"/>
      <c r="CG201" s="12" t="n"/>
      <c r="CH201" s="12" t="n"/>
      <c r="CI201" s="12" t="n"/>
      <c r="CJ201" s="12" t="n"/>
      <c r="CK201" s="12" t="n"/>
      <c r="CL201" s="12" t="n"/>
      <c r="CM201" s="12" t="n"/>
      <c r="CN201" s="12" t="n"/>
      <c r="CO201" s="12" t="n"/>
      <c r="CP201" s="12" t="n"/>
      <c r="CQ201" s="12" t="n"/>
      <c r="CR201" s="12" t="n"/>
      <c r="CS201" s="12" t="n"/>
      <c r="CT201" s="12" t="n"/>
      <c r="CU201" s="12" t="n"/>
      <c r="CV201" s="12" t="n"/>
      <c r="CW201" s="12" t="n"/>
      <c r="CX201" s="12" t="n"/>
      <c r="CY201" s="12" t="n"/>
    </row>
    <row r="202" collapsed="1">
      <c r="C202" s="14" t="inlineStr">
        <is>
          <t>Accrued expenses</t>
        </is>
      </c>
      <c r="D202" s="46" t="n"/>
      <c r="E202" s="46" t="n"/>
      <c r="F202" s="46" t="n"/>
      <c r="G202" s="46" t="n"/>
      <c r="H202" s="12" t="n"/>
      <c r="I202" s="46">
        <f>'Inputs (2)'!D29</f>
        <v>31.737</v>
      </c>
      <c r="J202" s="46">
        <f>'Inputs (2)'!E29</f>
        <v>33.542</v>
      </c>
      <c r="K202" s="46">
        <f>'Inputs (2)'!F29</f>
        <v>34.232</v>
      </c>
      <c r="L202" s="46">
        <f>'Inputs (2)'!G29</f>
        <v>31.827</v>
      </c>
      <c r="M202" s="12">
        <f>'Inputs (2)'!H29</f>
        <v>31.827</v>
      </c>
      <c r="N202" s="46">
        <f>'Inputs (2)'!I29</f>
        <v>38.047</v>
      </c>
      <c r="O202" s="46">
        <f>'Inputs (2)'!J29</f>
        <v>45.393</v>
      </c>
      <c r="P202" s="46">
        <f>'Inputs (2)'!K29</f>
        <v>49.692</v>
      </c>
      <c r="Q202" s="46">
        <f>'Inputs (2)'!L29</f>
        <v>39.233</v>
      </c>
      <c r="R202" s="12">
        <f>'Inputs (2)'!M29</f>
        <v>39.233</v>
      </c>
      <c r="S202" s="46">
        <f>'Inputs (2)'!N29</f>
        <v>46.975</v>
      </c>
      <c r="T202" s="46">
        <f>'Inputs (2)'!O29</f>
        <v>48.699</v>
      </c>
      <c r="U202" s="46">
        <f>'Inputs (2)'!P29</f>
        <v>55.581</v>
      </c>
      <c r="V202" s="46">
        <f>'Inputs (2)'!Q29</f>
        <v>45.411</v>
      </c>
      <c r="W202" s="12">
        <f>'Inputs (2)'!R29</f>
        <v>45.411</v>
      </c>
      <c r="X202" s="46">
        <f>'Inputs (2)'!S29</f>
        <v>57.288</v>
      </c>
      <c r="Y202" s="46">
        <f>'Inputs (2)'!T29</f>
        <v>65.472</v>
      </c>
      <c r="Z202" s="46">
        <f>'Inputs (2)'!U29</f>
        <v>76.0382945</v>
      </c>
      <c r="AA202" s="46">
        <f>'Inputs (2)'!V29</f>
        <v>68.36</v>
      </c>
      <c r="AB202" s="12">
        <f>'Inputs (2)'!W29</f>
        <v>68.36</v>
      </c>
      <c r="AC202" s="46">
        <f>'Inputs (2)'!X29</f>
        <v>82.388</v>
      </c>
      <c r="AD202" s="46">
        <f>'Inputs (2)'!Y29</f>
        <v>81.795</v>
      </c>
      <c r="AE202" s="46">
        <f>'Inputs (2)'!Z29</f>
        <v>103.684</v>
      </c>
      <c r="AF202" s="46">
        <f>'Inputs (2)'!AA29</f>
        <v>87.815</v>
      </c>
      <c r="AG202" s="12">
        <f>'Inputs (2)'!AB29</f>
        <v>87.815</v>
      </c>
      <c r="AH202" s="12">
        <f>'Inputs (2)'!AC29</f>
        <v>104.382</v>
      </c>
      <c r="AI202" s="12">
        <f>'Inputs (2)'!AD29</f>
        <v>109.279</v>
      </c>
      <c r="AJ202" s="12">
        <f>AI202*(1+AJ16)</f>
        <v>140.216494483935</v>
      </c>
      <c r="AK202" s="12">
        <f>AJ202*(1+AK16)</f>
        <v>179.912566232884</v>
      </c>
      <c r="AL202" s="12">
        <f>AK202</f>
        <v>179.912566232884</v>
      </c>
      <c r="AM202" s="12">
        <f>AL202*(1+AM16)</f>
        <v>230.846817327974</v>
      </c>
      <c r="AN202" s="12">
        <f>AM202*(1+AN16)</f>
        <v>296.200839031303</v>
      </c>
      <c r="AO202" s="12">
        <f>AN202*(1+AO16)</f>
        <v>380.056948838931</v>
      </c>
      <c r="AP202" s="12">
        <f>AO202*(1+AP16)</f>
        <v>487.653191102179</v>
      </c>
      <c r="AQ202" s="12">
        <f>AP202</f>
        <v>487.653191102179</v>
      </c>
      <c r="AR202" s="12">
        <f>AQ202*(1+AR16)</f>
        <v>623.272263791758</v>
      </c>
      <c r="AS202" s="12">
        <f>AR202*(1+AS16)</f>
        <v>796.607757111358</v>
      </c>
      <c r="AT202" s="12">
        <f>AS202*(1+AT16)</f>
        <v>1018.14881802924</v>
      </c>
      <c r="AU202" s="12">
        <f>AT202*(1+AU16)</f>
        <v>1301.30168379647</v>
      </c>
      <c r="AV202" s="12">
        <f>AU202</f>
        <v>1301.30168379647</v>
      </c>
      <c r="AW202" s="12">
        <f>AV202*(1+AW16)</f>
        <v>1656.69443260779</v>
      </c>
      <c r="AX202" s="12">
        <f>AW202*(1+AX16)</f>
        <v>2109.14692358373</v>
      </c>
      <c r="AY202" s="12">
        <f>AX202*(1+AY16)</f>
        <v>2685.16671373148</v>
      </c>
      <c r="AZ202" s="12">
        <f>AY202*(1+AZ16)</f>
        <v>3418.5007217423</v>
      </c>
      <c r="BA202" s="12">
        <f>AZ202</f>
        <v>3418.5007217423</v>
      </c>
      <c r="BB202" s="12">
        <f>BA202*(1+BB16)</f>
        <v>4335.01983444154</v>
      </c>
      <c r="BC202" s="12">
        <f>BB202*(1+BC16)</f>
        <v>5497.26283381437</v>
      </c>
      <c r="BD202" s="12">
        <f>BC202*(1+BD16)</f>
        <v>6971.10966458356</v>
      </c>
      <c r="BE202" s="12">
        <f>BD202*(1+BE16)</f>
        <v>8840.10305214583</v>
      </c>
      <c r="BF202" s="12">
        <f>BE202</f>
        <v>8840.10305214583</v>
      </c>
      <c r="BG202" s="12" t="n"/>
      <c r="BH202" s="12" t="n"/>
      <c r="BI202" s="12" t="n"/>
      <c r="BJ202" s="12" t="n"/>
      <c r="BK202" s="12" t="n"/>
      <c r="BL202" s="12" t="n"/>
      <c r="BM202" s="12" t="n"/>
      <c r="BN202" s="12" t="n"/>
      <c r="BO202" s="12" t="n"/>
      <c r="BP202" s="12" t="n"/>
      <c r="BQ202" s="12" t="n"/>
      <c r="BR202" s="12" t="n"/>
      <c r="BS202" s="12" t="n"/>
      <c r="BT202" s="12" t="n"/>
      <c r="BU202" s="12" t="n"/>
      <c r="BV202" s="12" t="n"/>
      <c r="BW202" s="12" t="n"/>
      <c r="BX202" s="12" t="n"/>
      <c r="BY202" s="12" t="n"/>
      <c r="BZ202" s="12" t="n"/>
      <c r="CA202" s="12" t="n"/>
      <c r="CB202" s="12" t="n"/>
      <c r="CC202" s="12" t="n"/>
      <c r="CD202" s="12" t="n"/>
      <c r="CE202" s="12" t="n"/>
      <c r="CF202" s="12" t="n"/>
      <c r="CG202" s="12" t="n"/>
      <c r="CH202" s="12" t="n"/>
      <c r="CI202" s="12" t="n"/>
      <c r="CJ202" s="12" t="n"/>
      <c r="CK202" s="12" t="n"/>
      <c r="CL202" s="12" t="n"/>
      <c r="CM202" s="12" t="n"/>
      <c r="CN202" s="12" t="n"/>
      <c r="CO202" s="12" t="n"/>
      <c r="CP202" s="12" t="n"/>
      <c r="CQ202" s="12" t="n"/>
      <c r="CR202" s="12" t="n"/>
      <c r="CS202" s="12" t="n"/>
      <c r="CT202" s="12" t="n"/>
      <c r="CU202" s="12" t="n"/>
      <c r="CV202" s="12" t="n"/>
      <c r="CW202" s="12" t="n"/>
      <c r="CX202" s="12" t="n"/>
      <c r="CY202" s="12" t="n"/>
    </row>
    <row r="203" hidden="1" outlineLevel="1">
      <c r="C203" s="59" t="inlineStr">
        <is>
          <t>%(Var.)</t>
        </is>
      </c>
      <c r="D203" s="12" t="n"/>
      <c r="E203" s="40" t="n"/>
      <c r="F203" s="40" t="n"/>
      <c r="G203" s="40" t="n"/>
      <c r="H203" s="12" t="n"/>
      <c r="I203" s="40" t="str">
        <f>""</f>
        <v/>
      </c>
      <c r="J203" s="40">
        <f>IFERROR(IF(I202=0,"",J202/I202-1),"")</f>
        <v>0.0568736805621199</v>
      </c>
      <c r="K203" s="40">
        <f>IFERROR(IF(J202=0,"",K202/J202-1),"")</f>
        <v>0.0205712241369029</v>
      </c>
      <c r="L203" s="40">
        <f>IFERROR(IF(K202=0,"",L202/K202-1),"")</f>
        <v>-0.0702559009114279</v>
      </c>
      <c r="M203" s="12">
        <f>IF(L202=0,"",M202/L202-1)</f>
        <v>0</v>
      </c>
      <c r="N203" s="40">
        <f>IFERROR(IF(M202=0,"",N202/M202-1),"")</f>
        <v>0.195431551827065</v>
      </c>
      <c r="O203" s="40">
        <f>IFERROR(IF(N202=0,"",O202/N202-1),"")</f>
        <v>0.193076983730649</v>
      </c>
      <c r="P203" s="40">
        <f>IFERROR(IF(O202=0,"",P202/O202-1),"")</f>
        <v>0.0947062322384509</v>
      </c>
      <c r="Q203" s="40">
        <f>IFERROR(IF(P202=0,"",Q202/P202-1),"")</f>
        <v>-0.210476535458424</v>
      </c>
      <c r="R203" s="12">
        <f>IF(Q202=0,"",R202/Q202-1)</f>
        <v>0</v>
      </c>
      <c r="S203" s="40">
        <f>IFERROR(IF(R202=0,"",S202/R202-1),"")</f>
        <v>0.197333877093264</v>
      </c>
      <c r="T203" s="40">
        <f>IFERROR(IF(S202=0,"",T202/S202-1),"")</f>
        <v>0.0367003725385844</v>
      </c>
      <c r="U203" s="40">
        <f>IFERROR(IF(T202=0,"",U202/T202-1),"")</f>
        <v>0.141317070165712</v>
      </c>
      <c r="V203" s="40">
        <f>IFERROR(IF(U202=0,"",V202/U202-1),"")</f>
        <v>-0.182976196901819</v>
      </c>
      <c r="W203" s="12">
        <f>IF(V202=0,"",W202/V202-1)</f>
        <v>0</v>
      </c>
      <c r="X203" s="40">
        <f>IFERROR(IF(W202=0,"",X202/W202-1),"")</f>
        <v>0.261544559688181</v>
      </c>
      <c r="Y203" s="40">
        <f>IFERROR(IF(X202=0,"",Y202/X202-1),"")</f>
        <v>0.142857142857143</v>
      </c>
      <c r="Z203" s="40">
        <f>IFERROR(IF(Y202=0,"",Z202/Y202-1),"")</f>
        <v>0.161386462915445</v>
      </c>
      <c r="AA203" s="40">
        <f>IFERROR(IF(Z202=0,"",AA202/Z202-1),"")</f>
        <v>-0.100979309839728</v>
      </c>
      <c r="AB203" s="12">
        <f>IF(AA202=0,"",AB202/AA202-1)</f>
        <v>0</v>
      </c>
      <c r="AC203" s="40">
        <f>IFERROR(IF(AB202=0,"",AC202/AB202-1),"")</f>
        <v>0.205207723815097</v>
      </c>
      <c r="AD203" s="40">
        <f>IFERROR(IF(AC202=0,"",AD202/AC202-1),"")</f>
        <v>-0.00719765014322482</v>
      </c>
      <c r="AE203" s="40">
        <f>IFERROR(IF(AD202=0,"",AE202/AD202-1),"")</f>
        <v>0.267608044501498</v>
      </c>
      <c r="AF203" s="55">
        <f>IFERROR(IF(AE202=0,"",AF202/AE202-1),"")</f>
        <v>-0.153051579800162</v>
      </c>
      <c r="AG203" s="12">
        <f>IF(AF202=0,"",AG202/AF202-1)</f>
        <v>0</v>
      </c>
      <c r="AH203" s="55">
        <f>IFERROR(IF(AG202=0,"",AH202/AG202-1),"")</f>
        <v>0.188657974150202</v>
      </c>
      <c r="AI203" s="55">
        <f>IFERROR(IF(AH202=0,"",AI202/AH202-1),"")</f>
        <v>0.0469142189266347</v>
      </c>
      <c r="AJ203" s="55">
        <f>IFERROR(IF(AI202=0,"",AJ202/AI202-1),"")</f>
        <v>0.283105578234928</v>
      </c>
      <c r="AK203" s="55">
        <f>IF(AJ202=0,"",AK202/AJ202-1)</f>
        <v>0.283105578234928</v>
      </c>
      <c r="AL203" s="12">
        <f>IF(AK202=0,"",AL202/AK202-1)</f>
        <v>0</v>
      </c>
      <c r="AM203" s="55">
        <f>IF(AL202=0,"",AM202/AL202-1)</f>
        <v>0.283105578234928</v>
      </c>
      <c r="AN203" s="55">
        <f>IF(AM202=0,"",AN202/AM202-1)</f>
        <v>0.283105578234928</v>
      </c>
      <c r="AO203" s="55">
        <f>IF(AN202=0,"",AO202/AN202-1)</f>
        <v>0.283105578234928</v>
      </c>
      <c r="AP203" s="55">
        <f>IF(AO202=0,"",AP202/AO202-1)</f>
        <v>0.283105578234928</v>
      </c>
      <c r="AQ203" s="12">
        <f>IF(AP202=0,"",AQ202/AP202-1)</f>
        <v>0</v>
      </c>
      <c r="AR203" s="55">
        <f>IF(AQ202=0,"",AR202/AQ202-1)</f>
        <v>0.278105578234928</v>
      </c>
      <c r="AS203" s="55">
        <f>IF(AR202=0,"",AS202/AR202-1)</f>
        <v>0.278105578234928</v>
      </c>
      <c r="AT203" s="55">
        <f>IF(AS202=0,"",AT202/AS202-1)</f>
        <v>0.278105578234928</v>
      </c>
      <c r="AU203" s="55">
        <f>IF(AT202=0,"",AU202/AT202-1)</f>
        <v>0.278105578234928</v>
      </c>
      <c r="AV203" s="12">
        <f>IF(AU202=0,"",AV202/AU202-1)</f>
        <v>0</v>
      </c>
      <c r="AW203" s="55">
        <f>IF(AV202=0,"",AW202/AV202-1)</f>
        <v>0.273105578234928</v>
      </c>
      <c r="AX203" s="55">
        <f>IF(AW202=0,"",AX202/AW202-1)</f>
        <v>0.273105578234928</v>
      </c>
      <c r="AY203" s="55">
        <f>IF(AX202=0,"",AY202/AX202-1)</f>
        <v>0.273105578234928</v>
      </c>
      <c r="AZ203" s="55">
        <f>IF(AY202=0,"",AZ202/AY202-1)</f>
        <v>0.273105578234928</v>
      </c>
      <c r="BA203" s="12">
        <f>IF(AZ202=0,"",BA202/AZ202-1)</f>
        <v>0</v>
      </c>
      <c r="BB203" s="55">
        <f>IF(BA202=0,"",BB202/BA202-1)</f>
        <v>0.268105578234928</v>
      </c>
      <c r="BC203" s="55">
        <f>IF(BB202=0,"",BC202/BB202-1)</f>
        <v>0.268105578234928</v>
      </c>
      <c r="BD203" s="55">
        <f>IF(BC202=0,"",BD202/BC202-1)</f>
        <v>0.268105578234928</v>
      </c>
      <c r="BE203" s="55">
        <f>IF(BD202=0,"",BE202/BD202-1)</f>
        <v>0.268105578234928</v>
      </c>
      <c r="BF203" s="12">
        <f>IF(BE202=0,"",BF202/BE202-1)</f>
        <v>0</v>
      </c>
      <c r="BG203" s="55" t="n"/>
      <c r="BH203" s="55" t="n"/>
      <c r="BI203" s="55" t="n"/>
      <c r="BJ203" s="55" t="n"/>
      <c r="BK203" s="12" t="n"/>
      <c r="BL203" s="55" t="n"/>
      <c r="BM203" s="55" t="n"/>
      <c r="BN203" s="55" t="n"/>
      <c r="BO203" s="55" t="n"/>
      <c r="BP203" s="12" t="n"/>
      <c r="BQ203" s="55" t="n"/>
      <c r="BR203" s="55" t="n"/>
      <c r="BS203" s="55" t="n"/>
      <c r="BT203" s="55" t="n"/>
      <c r="BU203" s="12" t="n"/>
      <c r="BV203" s="55" t="n"/>
      <c r="BW203" s="55" t="n"/>
      <c r="BX203" s="55" t="n"/>
      <c r="BY203" s="55" t="n"/>
      <c r="BZ203" s="12" t="n"/>
      <c r="CA203" s="55" t="n"/>
      <c r="CB203" s="55" t="n"/>
      <c r="CC203" s="55" t="n"/>
      <c r="CD203" s="55" t="n"/>
      <c r="CE203" s="12" t="n"/>
      <c r="CF203" s="55" t="n"/>
      <c r="CG203" s="55" t="n"/>
      <c r="CH203" s="55" t="n"/>
      <c r="CI203" s="55" t="n"/>
      <c r="CJ203" s="12" t="n"/>
      <c r="CK203" s="55" t="n"/>
      <c r="CL203" s="55" t="n"/>
      <c r="CM203" s="55" t="n"/>
      <c r="CN203" s="55" t="n"/>
      <c r="CO203" s="12" t="n"/>
      <c r="CP203" s="55" t="n"/>
      <c r="CQ203" s="55" t="n"/>
      <c r="CR203" s="55" t="n"/>
      <c r="CS203" s="55" t="n"/>
      <c r="CT203" s="12" t="n"/>
      <c r="CU203" s="55" t="n"/>
      <c r="CV203" s="55" t="n"/>
      <c r="CW203" s="55" t="n"/>
      <c r="CX203" s="55" t="n"/>
      <c r="CY203" s="12" t="n"/>
    </row>
    <row r="204" collapsed="1">
      <c r="C204" s="14" t="inlineStr">
        <is>
          <t>Taxes payable</t>
        </is>
      </c>
      <c r="D204" s="46" t="n"/>
      <c r="E204" s="46" t="n"/>
      <c r="F204" s="46" t="n"/>
      <c r="G204" s="46" t="n"/>
      <c r="H204" s="12" t="n"/>
      <c r="I204" s="46">
        <f>'Inputs (2)'!D30</f>
        <v>21.877</v>
      </c>
      <c r="J204" s="46">
        <f>'Inputs (2)'!E30</f>
        <v>19.265</v>
      </c>
      <c r="K204" s="46">
        <f>'Inputs (2)'!F30</f>
        <v>19.105</v>
      </c>
      <c r="L204" s="46">
        <f>'Inputs (2)'!G30</f>
        <v>25.094</v>
      </c>
      <c r="M204" s="12">
        <f>'Inputs (2)'!H30</f>
        <v>25.094</v>
      </c>
      <c r="N204" s="46">
        <f>'Inputs (2)'!I30</f>
        <v>24.061</v>
      </c>
      <c r="O204" s="46">
        <f>'Inputs (2)'!J30</f>
        <v>29.073</v>
      </c>
      <c r="P204" s="46">
        <f>'Inputs (2)'!K30</f>
        <v>27.585</v>
      </c>
      <c r="Q204" s="46">
        <f>'Inputs (2)'!L30</f>
        <v>28.69</v>
      </c>
      <c r="R204" s="12">
        <f>'Inputs (2)'!M30</f>
        <v>28.69</v>
      </c>
      <c r="S204" s="46">
        <f>'Inputs (2)'!N30</f>
        <v>30.04</v>
      </c>
      <c r="T204" s="46">
        <f>'Inputs (2)'!O30</f>
        <v>29.897</v>
      </c>
      <c r="U204" s="46">
        <f>'Inputs (2)'!P30</f>
        <v>30.233</v>
      </c>
      <c r="V204" s="46">
        <f>'Inputs (2)'!Q30</f>
        <v>36.179</v>
      </c>
      <c r="W204" s="12">
        <f>'Inputs (2)'!R30</f>
        <v>36.179</v>
      </c>
      <c r="X204" s="46">
        <f>'Inputs (2)'!S30</f>
        <v>28.771</v>
      </c>
      <c r="Y204" s="46">
        <f>'Inputs (2)'!T30</f>
        <v>43.321</v>
      </c>
      <c r="Z204" s="46">
        <f>'Inputs (2)'!U30</f>
        <v>48.86177512</v>
      </c>
      <c r="AA204" s="46">
        <f>'Inputs (2)'!V30</f>
        <v>55.567</v>
      </c>
      <c r="AB204" s="12">
        <f>'Inputs (2)'!W30</f>
        <v>55.567</v>
      </c>
      <c r="AC204" s="46">
        <f>'Inputs (2)'!X30</f>
        <v>51.397</v>
      </c>
      <c r="AD204" s="46">
        <f>'Inputs (2)'!Y30</f>
        <v>58.918</v>
      </c>
      <c r="AE204" s="46">
        <f>'Inputs (2)'!Z30</f>
        <v>58.012</v>
      </c>
      <c r="AF204" s="46">
        <f>'Inputs (2)'!AA30</f>
        <v>67.093</v>
      </c>
      <c r="AG204" s="12">
        <f>'Inputs (2)'!AB30</f>
        <v>67.093</v>
      </c>
      <c r="AH204" s="12">
        <f>'Inputs (2)'!AC30</f>
        <v>59.56</v>
      </c>
      <c r="AI204" s="12">
        <f>'Inputs (2)'!AD30</f>
        <v>63.979</v>
      </c>
      <c r="AJ204" s="12">
        <f>AI204*(1+AJ16)</f>
        <v>82.0918117898925</v>
      </c>
      <c r="AK204" s="12">
        <f>AJ204*(1+AK16)</f>
        <v>105.332461635023</v>
      </c>
      <c r="AL204" s="12">
        <f>AK204</f>
        <v>105.332461635023</v>
      </c>
      <c r="AM204" s="12">
        <f>AL204*(1+AM16)</f>
        <v>135.152669093114</v>
      </c>
      <c r="AN204" s="12">
        <f>AM204*(1+AN16)</f>
        <v>173.415143626714</v>
      </c>
      <c r="AO204" s="12">
        <f>AN204*(1+AO16)</f>
        <v>222.509938137849</v>
      </c>
      <c r="AP204" s="12">
        <f>AO204*(1+AP16)</f>
        <v>285.503742837382</v>
      </c>
      <c r="AQ204" s="12">
        <f>AP204</f>
        <v>285.503742837382</v>
      </c>
      <c r="AR204" s="12">
        <f>AQ204*(1+AR16)</f>
        <v>364.903926327409</v>
      </c>
      <c r="AS204" s="12">
        <f>AR204*(1+AS16)</f>
        <v>466.385743758888</v>
      </c>
      <c r="AT204" s="12">
        <f>AS204*(1+AT16)</f>
        <v>596.090220707481</v>
      </c>
      <c r="AU204" s="12">
        <f>AT204*(1+AU16)</f>
        <v>761.866236217521</v>
      </c>
      <c r="AV204" s="12">
        <f>AU204</f>
        <v>761.866236217521</v>
      </c>
      <c r="AW204" s="12">
        <f>AV204*(1+AW16)</f>
        <v>969.936155197375</v>
      </c>
      <c r="AX204" s="12">
        <f>AW204*(1+AX16)</f>
        <v>1234.83112971352</v>
      </c>
      <c r="AY204" s="12">
        <f>AX204*(1+AY16)</f>
        <v>1572.07039941642</v>
      </c>
      <c r="AZ204" s="12">
        <f>AY204*(1+AZ16)</f>
        <v>2001.41159487505</v>
      </c>
      <c r="BA204" s="12">
        <f>AZ204</f>
        <v>2001.41159487505</v>
      </c>
      <c r="BB204" s="12">
        <f>BA204*(1+BB16)</f>
        <v>2538.00120780512</v>
      </c>
      <c r="BC204" s="12">
        <f>BB204*(1+BC16)</f>
        <v>3218.45348918466</v>
      </c>
      <c r="BD204" s="12">
        <f>BC204*(1+BD16)</f>
        <v>4081.33882292473</v>
      </c>
      <c r="BE204" s="12">
        <f>BD204*(1+BE16)</f>
        <v>5175.56852801763</v>
      </c>
      <c r="BF204" s="12">
        <f>BE204</f>
        <v>5175.56852801763</v>
      </c>
      <c r="BG204" s="12" t="n"/>
      <c r="BH204" s="12" t="n"/>
      <c r="BI204" s="12" t="n"/>
      <c r="BJ204" s="12" t="n"/>
      <c r="BK204" s="12" t="n"/>
      <c r="BL204" s="12" t="n"/>
      <c r="BM204" s="12" t="n"/>
      <c r="BN204" s="12" t="n"/>
      <c r="BO204" s="12" t="n"/>
      <c r="BP204" s="12" t="n"/>
      <c r="BQ204" s="12" t="n"/>
      <c r="BR204" s="12" t="n"/>
      <c r="BS204" s="12" t="n"/>
      <c r="BT204" s="12" t="n"/>
      <c r="BU204" s="12" t="n"/>
      <c r="BV204" s="12" t="n"/>
      <c r="BW204" s="12" t="n"/>
      <c r="BX204" s="12" t="n"/>
      <c r="BY204" s="12" t="n"/>
      <c r="BZ204" s="12" t="n"/>
      <c r="CA204" s="12" t="n"/>
      <c r="CB204" s="12" t="n"/>
      <c r="CC204" s="12" t="n"/>
      <c r="CD204" s="12" t="n"/>
      <c r="CE204" s="12" t="n"/>
      <c r="CF204" s="12" t="n"/>
      <c r="CG204" s="12" t="n"/>
      <c r="CH204" s="12" t="n"/>
      <c r="CI204" s="12" t="n"/>
      <c r="CJ204" s="12" t="n"/>
      <c r="CK204" s="12" t="n"/>
      <c r="CL204" s="12" t="n"/>
      <c r="CM204" s="12" t="n"/>
      <c r="CN204" s="12" t="n"/>
      <c r="CO204" s="12" t="n"/>
      <c r="CP204" s="12" t="n"/>
      <c r="CQ204" s="12" t="n"/>
      <c r="CR204" s="12" t="n"/>
      <c r="CS204" s="12" t="n"/>
      <c r="CT204" s="12" t="n"/>
      <c r="CU204" s="12" t="n"/>
      <c r="CV204" s="12" t="n"/>
      <c r="CW204" s="12" t="n"/>
      <c r="CX204" s="12" t="n"/>
      <c r="CY204" s="12" t="n"/>
    </row>
    <row r="205">
      <c r="C205" s="14" t="inlineStr">
        <is>
          <t>Other current liabilities (non-debt)</t>
        </is>
      </c>
      <c r="D205" s="46" t="n"/>
      <c r="E205" s="46" t="n"/>
      <c r="F205" s="46" t="n"/>
      <c r="G205" s="46" t="n"/>
      <c r="H205" s="12" t="n"/>
      <c r="I205" s="46">
        <f>'Inputs (2)'!D31</f>
        <v>218.856</v>
      </c>
      <c r="J205" s="46">
        <f>'Inputs (2)'!E31</f>
        <v>229.513</v>
      </c>
      <c r="K205" s="46">
        <f>'Inputs (2)'!F31</f>
        <v>215.793</v>
      </c>
      <c r="L205" s="46">
        <f>'Inputs (2)'!G31</f>
        <v>210.573</v>
      </c>
      <c r="M205" s="12">
        <f>'Inputs (2)'!H31</f>
        <v>210.573</v>
      </c>
      <c r="N205" s="46">
        <f>'Inputs (2)'!I31</f>
        <v>281.125</v>
      </c>
      <c r="O205" s="46">
        <f>'Inputs (2)'!J31</f>
        <v>318.676</v>
      </c>
      <c r="P205" s="46">
        <f>'Inputs (2)'!K31</f>
        <v>349.526</v>
      </c>
      <c r="Q205" s="46">
        <f>'Inputs (2)'!L31</f>
        <v>406.553</v>
      </c>
      <c r="R205" s="12">
        <f>'Inputs (2)'!M31</f>
        <v>406.553</v>
      </c>
      <c r="S205" s="46">
        <f>'Inputs (2)'!N31</f>
        <v>374.677</v>
      </c>
      <c r="T205" s="46">
        <f>'Inputs (2)'!O31</f>
        <v>370.221</v>
      </c>
      <c r="U205" s="46">
        <f>'Inputs (2)'!P31</f>
        <v>397.175</v>
      </c>
      <c r="V205" s="46">
        <f>'Inputs (2)'!Q31</f>
        <v>589.256</v>
      </c>
      <c r="W205" s="12">
        <f>'Inputs (2)'!R31</f>
        <v>589.256</v>
      </c>
      <c r="X205" s="46">
        <f>'Inputs (2)'!S31</f>
        <v>506.394</v>
      </c>
      <c r="Y205" s="46">
        <f>'Inputs (2)'!T31</f>
        <v>619.464</v>
      </c>
      <c r="Z205" s="46">
        <f>'Inputs (2)'!U31</f>
        <v>716.36483915</v>
      </c>
      <c r="AA205" s="46">
        <f>'Inputs (2)'!V31</f>
        <v>1037.545</v>
      </c>
      <c r="AB205" s="12">
        <f>'Inputs (2)'!W31</f>
        <v>1037.545</v>
      </c>
      <c r="AC205" s="46">
        <f>'Inputs (2)'!X31</f>
        <v>746.052</v>
      </c>
      <c r="AD205" s="46">
        <f>'Inputs (2)'!Y31</f>
        <v>1234.979</v>
      </c>
      <c r="AE205" s="46">
        <f>'Inputs (2)'!Z31</f>
        <v>831.256</v>
      </c>
      <c r="AF205" s="46">
        <f>'Inputs (2)'!AA31</f>
        <v>984.554</v>
      </c>
      <c r="AG205" s="12">
        <f>'Inputs (2)'!AB31</f>
        <v>984.554</v>
      </c>
      <c r="AH205" s="12">
        <f>'Inputs (2)'!AC31</f>
        <v>922.947</v>
      </c>
      <c r="AI205" s="12">
        <f>'Inputs (2)'!AD31</f>
        <v>1007.559</v>
      </c>
      <c r="AJ205" s="12">
        <f>AI205</f>
        <v>1007.559</v>
      </c>
      <c r="AK205" s="12">
        <f>AJ205</f>
        <v>1007.559</v>
      </c>
      <c r="AL205" s="12">
        <f>AK205</f>
        <v>1007.559</v>
      </c>
      <c r="AM205" s="12">
        <f>AL205</f>
        <v>1007.559</v>
      </c>
      <c r="AN205" s="12">
        <f>AM205</f>
        <v>1007.559</v>
      </c>
      <c r="AO205" s="12">
        <f>AN205</f>
        <v>1007.559</v>
      </c>
      <c r="AP205" s="12">
        <f>AO205</f>
        <v>1007.559</v>
      </c>
      <c r="AQ205" s="12">
        <f>AP205</f>
        <v>1007.559</v>
      </c>
      <c r="AR205" s="12">
        <f>AQ205</f>
        <v>1007.559</v>
      </c>
      <c r="AS205" s="12">
        <f>AR205</f>
        <v>1007.559</v>
      </c>
      <c r="AT205" s="12">
        <f>AS205</f>
        <v>1007.559</v>
      </c>
      <c r="AU205" s="12">
        <f>AT205</f>
        <v>1007.559</v>
      </c>
      <c r="AV205" s="12">
        <f>AU205</f>
        <v>1007.559</v>
      </c>
      <c r="AW205" s="12">
        <f>AV205</f>
        <v>1007.559</v>
      </c>
      <c r="AX205" s="12">
        <f>AW205</f>
        <v>1007.559</v>
      </c>
      <c r="AY205" s="12">
        <f>AX205</f>
        <v>1007.559</v>
      </c>
      <c r="AZ205" s="12">
        <f>AY205</f>
        <v>1007.559</v>
      </c>
      <c r="BA205" s="12">
        <f>AZ205</f>
        <v>1007.559</v>
      </c>
      <c r="BB205" s="12">
        <f>BA205</f>
        <v>1007.559</v>
      </c>
      <c r="BC205" s="12">
        <f>BB205</f>
        <v>1007.559</v>
      </c>
      <c r="BD205" s="12">
        <f>BC205</f>
        <v>1007.559</v>
      </c>
      <c r="BE205" s="12">
        <f>BD205</f>
        <v>1007.559</v>
      </c>
      <c r="BF205" s="12">
        <f>BE205</f>
        <v>1007.559</v>
      </c>
      <c r="BG205" s="12" t="n"/>
      <c r="BH205" s="12" t="n"/>
      <c r="BI205" s="12" t="n"/>
      <c r="BJ205" s="12" t="n"/>
      <c r="BK205" s="12" t="n"/>
      <c r="BL205" s="12" t="n"/>
      <c r="BM205" s="12" t="n"/>
      <c r="BN205" s="12" t="n"/>
      <c r="BO205" s="12" t="n"/>
      <c r="BP205" s="12" t="n"/>
      <c r="BQ205" s="12" t="n"/>
      <c r="BR205" s="12" t="n"/>
      <c r="BS205" s="12" t="n"/>
      <c r="BT205" s="12" t="n"/>
      <c r="BU205" s="12" t="n"/>
      <c r="BV205" s="12" t="n"/>
      <c r="BW205" s="12" t="n"/>
      <c r="BX205" s="12" t="n"/>
      <c r="BY205" s="12" t="n"/>
      <c r="BZ205" s="12" t="n"/>
      <c r="CA205" s="12" t="n"/>
      <c r="CB205" s="12" t="n"/>
      <c r="CC205" s="12" t="n"/>
      <c r="CD205" s="12" t="n"/>
      <c r="CE205" s="12" t="n"/>
      <c r="CF205" s="12" t="n"/>
      <c r="CG205" s="12" t="n"/>
      <c r="CH205" s="12" t="n"/>
      <c r="CI205" s="12" t="n"/>
      <c r="CJ205" s="12" t="n"/>
      <c r="CK205" s="12" t="n"/>
      <c r="CL205" s="12" t="n"/>
      <c r="CM205" s="12" t="n"/>
      <c r="CN205" s="12" t="n"/>
      <c r="CO205" s="12" t="n"/>
      <c r="CP205" s="12" t="n"/>
      <c r="CQ205" s="12" t="n"/>
      <c r="CR205" s="12" t="n"/>
      <c r="CS205" s="12" t="n"/>
      <c r="CT205" s="12" t="n"/>
      <c r="CU205" s="12" t="n"/>
      <c r="CV205" s="12" t="n"/>
      <c r="CW205" s="12" t="n"/>
      <c r="CX205" s="12" t="n"/>
      <c r="CY205" s="12" t="n"/>
    </row>
    <row r="206" hidden="1" outlineLevel="1">
      <c r="C206" s="59" t="inlineStr">
        <is>
          <t>%(Var.)</t>
        </is>
      </c>
      <c r="D206" s="12" t="n"/>
      <c r="E206" s="40" t="n"/>
      <c r="F206" s="40" t="n"/>
      <c r="G206" s="40" t="n"/>
      <c r="H206" s="12" t="n"/>
      <c r="I206" s="40" t="str">
        <f>""</f>
        <v/>
      </c>
      <c r="J206" s="40">
        <f>IFERROR(IF(I205=0,"",J205/I205-1),"")</f>
        <v>0.0486941185071463</v>
      </c>
      <c r="K206" s="40">
        <f>IFERROR(IF(J205=0,"",K205/J205-1),"")</f>
        <v>-0.0597787489161834</v>
      </c>
      <c r="L206" s="40">
        <f>IFERROR(IF(K205=0,"",L205/K205-1),"")</f>
        <v>-0.024189848604913</v>
      </c>
      <c r="M206" s="12">
        <f>IF(L205=0,"",M205/L205-1)</f>
        <v>0</v>
      </c>
      <c r="N206" s="40">
        <f>IFERROR(IF(M205=0,"",N205/M205-1),"")</f>
        <v>0.335047703171822</v>
      </c>
      <c r="O206" s="40">
        <f>IFERROR(IF(N205=0,"",O205/N205-1),"")</f>
        <v>0.133574032903513</v>
      </c>
      <c r="P206" s="40">
        <f>IFERROR(IF(O205=0,"",P205/O205-1),"")</f>
        <v>0.0968067880857046</v>
      </c>
      <c r="Q206" s="40">
        <f>IFERROR(IF(P205=0,"",Q205/P205-1),"")</f>
        <v>0.163155244531165</v>
      </c>
      <c r="R206" s="12">
        <f>IF(Q205=0,"",R205/Q205-1)</f>
        <v>0</v>
      </c>
      <c r="S206" s="40">
        <f>IFERROR(IF(R205=0,"",S205/R205-1),"")</f>
        <v>-0.0784055215433166</v>
      </c>
      <c r="T206" s="40">
        <f>IFERROR(IF(S205=0,"",T205/S205-1),"")</f>
        <v>-0.0118929104268477</v>
      </c>
      <c r="U206" s="40">
        <f>IFERROR(IF(T205=0,"",U205/T205-1),"")</f>
        <v>0.0728051623219645</v>
      </c>
      <c r="V206" s="40">
        <f>IFERROR(IF(U205=0,"",V205/U205-1),"")</f>
        <v>0.483618052495751</v>
      </c>
      <c r="W206" s="12">
        <f>IF(V205=0,"",W205/V205-1)</f>
        <v>0</v>
      </c>
      <c r="X206" s="40">
        <f>IFERROR(IF(W205=0,"",X205/W205-1),"")</f>
        <v>-0.140621393757552</v>
      </c>
      <c r="Y206" s="40">
        <f>IFERROR(IF(X205=0,"",Y205/X205-1),"")</f>
        <v>0.223284636073887</v>
      </c>
      <c r="Z206" s="40">
        <f>IFERROR(IF(Y205=0,"",Z205/Y205-1),"")</f>
        <v>0.156426909634781</v>
      </c>
      <c r="AA206" s="40">
        <f>IFERROR(IF(Z205=0,"",AA205/Z205-1),"")</f>
        <v>0.448347187490519</v>
      </c>
      <c r="AB206" s="12">
        <f>IF(AA205=0,"",AB205/AA205-1)</f>
        <v>0</v>
      </c>
      <c r="AC206" s="40">
        <f>IFERROR(IF(AB205=0,"",AC205/AB205-1),"")</f>
        <v>-0.280944922870815</v>
      </c>
      <c r="AD206" s="40">
        <f>IFERROR(IF(AC205=0,"",AD205/AC205-1),"")</f>
        <v>0.655352441920938</v>
      </c>
      <c r="AE206" s="40">
        <f>IFERROR(IF(AD205=0,"",AE205/AD205-1),"")</f>
        <v>-0.326906773313554</v>
      </c>
      <c r="AF206" s="55">
        <f>IFERROR(IF(AE205=0,"",AF205/AE205-1),"")</f>
        <v>0.184417315484039</v>
      </c>
      <c r="AG206" s="12">
        <f>IF(AF205=0,"",AG205/AF205-1)</f>
        <v>0</v>
      </c>
      <c r="AH206" s="55">
        <f>IFERROR(IF(AG205=0,"",AH205/AG205-1),"")</f>
        <v>-0.0625735104422917</v>
      </c>
      <c r="AI206" s="55">
        <f>IFERROR(IF(AH205=0,"",AI205/AH205-1),"")</f>
        <v>0.0916759033834012</v>
      </c>
      <c r="AJ206" s="55">
        <f>IFERROR(IF(AI205=0,"",AJ205/AI205-1),"")</f>
        <v>0</v>
      </c>
      <c r="AK206" s="55">
        <f>IFERROR(IF(AJ205=0,"",AK205/AJ205-1),"")</f>
        <v>0</v>
      </c>
      <c r="AL206" s="12">
        <f>IFERROR(IF(AK205=0,"",AL205/AK205-1),"")</f>
        <v>0</v>
      </c>
      <c r="AM206" s="55">
        <f>IFERROR(IF(AL205=0,"",AM205/AL205-1),"")</f>
        <v>0</v>
      </c>
      <c r="AN206" s="55">
        <f>IFERROR(IF(AM205=0,"",AN205/AM205-1),"")</f>
        <v>0</v>
      </c>
      <c r="AO206" s="55">
        <f>IFERROR(IF(AN205=0,"",AO205/AN205-1),"")</f>
        <v>0</v>
      </c>
      <c r="AP206" s="55">
        <f>IFERROR(IF(AO205=0,"",AP205/AO205-1),"")</f>
        <v>0</v>
      </c>
      <c r="AQ206" s="12">
        <f>IFERROR(IF(AP205=0,"",AQ205/AP205-1),"")</f>
        <v>0</v>
      </c>
      <c r="AR206" s="55">
        <f>IFERROR(IF(AQ205=0,"",AR205/AQ205-1),"")</f>
        <v>0</v>
      </c>
      <c r="AS206" s="55">
        <f>IFERROR(IF(AR205=0,"",AS205/AR205-1),"")</f>
        <v>0</v>
      </c>
      <c r="AT206" s="55">
        <f>IFERROR(IF(AS205=0,"",AT205/AS205-1),"")</f>
        <v>0</v>
      </c>
      <c r="AU206" s="55">
        <f>IFERROR(IF(AT205=0,"",AU205/AT205-1),"")</f>
        <v>0</v>
      </c>
      <c r="AV206" s="12">
        <f>IFERROR(IF(AU205=0,"",AV205/AU205-1),"")</f>
        <v>0</v>
      </c>
      <c r="AW206" s="55">
        <f>IFERROR(IF(AV205=0,"",AW205/AV205-1),"")</f>
        <v>0</v>
      </c>
      <c r="AX206" s="55">
        <f>IFERROR(IF(AW205=0,"",AX205/AW205-1),"")</f>
        <v>0</v>
      </c>
      <c r="AY206" s="55">
        <f>IFERROR(IF(AX205=0,"",AY205/AX205-1),"")</f>
        <v>0</v>
      </c>
      <c r="AZ206" s="55">
        <f>IFERROR(IF(AY205=0,"",AZ205/AY205-1),"")</f>
        <v>0</v>
      </c>
      <c r="BA206" s="12">
        <f>IFERROR(IF(AZ205=0,"",BA205/AZ205-1),"")</f>
        <v>0</v>
      </c>
      <c r="BB206" s="55">
        <f>IFERROR(IF(BA205=0,"",BB205/BA205-1),"")</f>
        <v>0</v>
      </c>
      <c r="BC206" s="55">
        <f>IFERROR(IF(BB205=0,"",BC205/BB205-1),"")</f>
        <v>0</v>
      </c>
      <c r="BD206" s="55">
        <f>IFERROR(IF(BC205=0,"",BD205/BC205-1),"")</f>
        <v>0</v>
      </c>
      <c r="BE206" s="55">
        <f>IFERROR(IF(BD205=0,"",BE205/BD205-1),"")</f>
        <v>0</v>
      </c>
      <c r="BF206" s="12">
        <f>IFERROR(IF(BE205=0,"",BF205/BE205-1),"")</f>
        <v>0</v>
      </c>
      <c r="BG206" s="55" t="n"/>
      <c r="BH206" s="55" t="n"/>
      <c r="BI206" s="55" t="n"/>
      <c r="BJ206" s="55" t="n"/>
      <c r="BK206" s="12" t="n"/>
      <c r="BL206" s="55" t="n"/>
      <c r="BM206" s="55" t="n"/>
      <c r="BN206" s="55" t="n"/>
      <c r="BO206" s="55" t="n"/>
      <c r="BP206" s="12" t="n"/>
      <c r="BQ206" s="55" t="n"/>
      <c r="BR206" s="55" t="n"/>
      <c r="BS206" s="55" t="n"/>
      <c r="BT206" s="55" t="n"/>
      <c r="BU206" s="12" t="n"/>
      <c r="BV206" s="55" t="n"/>
      <c r="BW206" s="55" t="n"/>
      <c r="BX206" s="55" t="n"/>
      <c r="BY206" s="55" t="n"/>
      <c r="BZ206" s="12" t="n"/>
      <c r="CA206" s="55" t="n"/>
      <c r="CB206" s="55" t="n"/>
      <c r="CC206" s="55" t="n"/>
      <c r="CD206" s="55" t="n"/>
      <c r="CE206" s="12" t="n"/>
      <c r="CF206" s="55" t="n"/>
      <c r="CG206" s="55" t="n"/>
      <c r="CH206" s="55" t="n"/>
      <c r="CI206" s="55" t="n"/>
      <c r="CJ206" s="12" t="n"/>
      <c r="CK206" s="55" t="n"/>
      <c r="CL206" s="55" t="n"/>
      <c r="CM206" s="55" t="n"/>
      <c r="CN206" s="55" t="n"/>
      <c r="CO206" s="12" t="n"/>
      <c r="CP206" s="55" t="n"/>
      <c r="CQ206" s="55" t="n"/>
      <c r="CR206" s="55" t="n"/>
      <c r="CS206" s="55" t="n"/>
      <c r="CT206" s="12" t="n"/>
      <c r="CU206" s="55" t="n"/>
      <c r="CV206" s="55" t="n"/>
      <c r="CW206" s="55" t="n"/>
      <c r="CX206" s="55" t="n"/>
      <c r="CY206" s="12" t="n"/>
    </row>
    <row r="207" hidden="1" outlineLevel="1">
      <c r="C207" s="57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  <c r="Z207" s="12" t="n"/>
      <c r="AA207" s="12" t="n"/>
      <c r="AB207" s="12" t="n"/>
      <c r="AC207" s="12" t="n"/>
      <c r="AD207" s="12" t="n"/>
      <c r="AE207" s="12" t="n"/>
      <c r="AF207" s="12" t="n"/>
      <c r="AG207" s="12" t="n"/>
      <c r="AH207" s="12" t="n"/>
      <c r="AI207" s="12" t="n"/>
      <c r="AJ207" s="12" t="n"/>
      <c r="AK207" s="12" t="n"/>
      <c r="AL207" s="12" t="n"/>
      <c r="AM207" s="12" t="n"/>
      <c r="AN207" s="12" t="n"/>
      <c r="AO207" s="12" t="n"/>
      <c r="AP207" s="12" t="n"/>
      <c r="AQ207" s="12" t="n"/>
      <c r="AR207" s="12" t="n"/>
      <c r="AS207" s="12" t="n"/>
      <c r="AT207" s="12" t="n"/>
      <c r="AU207" s="12" t="n"/>
      <c r="AV207" s="12" t="n"/>
      <c r="AW207" s="12" t="n"/>
      <c r="AX207" s="12" t="n"/>
      <c r="AY207" s="12" t="n"/>
      <c r="AZ207" s="12" t="n"/>
      <c r="BA207" s="12" t="n"/>
      <c r="BB207" s="12" t="n"/>
      <c r="BC207" s="12" t="n"/>
      <c r="BD207" s="12" t="n"/>
      <c r="BE207" s="12" t="n"/>
      <c r="BF207" s="12" t="n"/>
      <c r="BG207" s="12" t="n"/>
      <c r="BH207" s="12" t="n"/>
      <c r="BI207" s="12" t="n"/>
      <c r="BJ207" s="12" t="n"/>
      <c r="BK207" s="12" t="n"/>
      <c r="BL207" s="12" t="n"/>
      <c r="BM207" s="12" t="n"/>
      <c r="BN207" s="12" t="n"/>
      <c r="BO207" s="12" t="n"/>
      <c r="BP207" s="12" t="n"/>
      <c r="BQ207" s="12" t="n"/>
      <c r="BR207" s="12" t="n"/>
      <c r="BS207" s="12" t="n"/>
      <c r="BT207" s="12" t="n"/>
      <c r="BU207" s="12" t="n"/>
      <c r="BV207" s="12" t="n"/>
      <c r="BW207" s="12" t="n"/>
      <c r="BX207" s="12" t="n"/>
      <c r="BY207" s="12" t="n"/>
      <c r="BZ207" s="12" t="n"/>
      <c r="CA207" s="12" t="n"/>
      <c r="CB207" s="12" t="n"/>
      <c r="CC207" s="12" t="n"/>
      <c r="CD207" s="12" t="n"/>
      <c r="CE207" s="12" t="n"/>
      <c r="CF207" s="12" t="n"/>
      <c r="CG207" s="12" t="n"/>
      <c r="CH207" s="12" t="n"/>
      <c r="CI207" s="12" t="n"/>
      <c r="CJ207" s="12" t="n"/>
      <c r="CK207" s="12" t="n"/>
      <c r="CL207" s="12" t="n"/>
      <c r="CM207" s="12" t="n"/>
      <c r="CN207" s="12" t="n"/>
      <c r="CO207" s="12" t="n"/>
      <c r="CP207" s="12" t="n"/>
      <c r="CQ207" s="12" t="n"/>
      <c r="CR207" s="12" t="n"/>
      <c r="CS207" s="12" t="n"/>
      <c r="CT207" s="12" t="n"/>
      <c r="CU207" s="12" t="n"/>
      <c r="CV207" s="12" t="n"/>
      <c r="CW207" s="12" t="n"/>
      <c r="CX207" s="12" t="n"/>
      <c r="CY207" s="12" t="n"/>
    </row>
    <row r="208" hidden="1" outlineLevel="1">
      <c r="C208" s="57" t="inlineStr">
        <is>
          <t xml:space="preserve">Dividendos a Pagar </t>
        </is>
      </c>
      <c r="D208" s="11" t="n"/>
      <c r="E208" s="11" t="n"/>
      <c r="F208" s="11" t="n"/>
      <c r="G208" s="11" t="n"/>
      <c r="H208" s="12" t="n"/>
      <c r="I208" s="11" t="n"/>
      <c r="J208" s="11" t="n"/>
      <c r="K208" s="11" t="n"/>
      <c r="L208" s="11" t="n"/>
      <c r="M208" s="12" t="n"/>
      <c r="N208" s="11" t="n"/>
      <c r="O208" s="11" t="n"/>
      <c r="P208" s="11" t="n"/>
      <c r="Q208" s="11" t="n"/>
      <c r="R208" s="12" t="n"/>
      <c r="S208" s="11" t="n"/>
      <c r="T208" s="11" t="n"/>
      <c r="U208" s="11" t="n"/>
      <c r="V208" s="11" t="n"/>
      <c r="W208" s="12" t="n"/>
      <c r="X208" s="11" t="n"/>
      <c r="Y208" s="11" t="n"/>
      <c r="Z208" s="11" t="n"/>
      <c r="AA208" s="11" t="n"/>
      <c r="AB208" s="12" t="n"/>
      <c r="AC208" s="11" t="n"/>
      <c r="AD208" s="11" t="n"/>
      <c r="AE208" s="11" t="n"/>
      <c r="AF208" s="11" t="n"/>
      <c r="AG208" s="12" t="n"/>
      <c r="AH208" s="11" t="n"/>
      <c r="AI208" s="11" t="n"/>
      <c r="AJ208" s="11" t="n"/>
      <c r="AK208" s="11" t="n"/>
      <c r="AL208" s="12" t="n"/>
      <c r="AM208" s="11" t="n"/>
      <c r="AN208" s="11" t="n"/>
      <c r="AO208" s="11" t="n"/>
      <c r="AP208" s="11" t="n"/>
      <c r="AQ208" s="12" t="n"/>
      <c r="AR208" s="11" t="n"/>
      <c r="AS208" s="11" t="n"/>
      <c r="AT208" s="11" t="n"/>
      <c r="AU208" s="11" t="n"/>
      <c r="AV208" s="12" t="n"/>
      <c r="AW208" s="11" t="n"/>
      <c r="AX208" s="11" t="n"/>
      <c r="AY208" s="11" t="n"/>
      <c r="AZ208" s="11" t="n"/>
      <c r="BA208" s="12" t="n"/>
      <c r="BB208" s="11" t="n"/>
      <c r="BC208" s="11" t="n"/>
      <c r="BD208" s="11" t="n"/>
      <c r="BE208" s="11" t="n"/>
      <c r="BF208" s="12" t="n"/>
      <c r="BG208" s="11" t="n"/>
      <c r="BH208" s="11" t="n"/>
      <c r="BI208" s="11" t="n"/>
      <c r="BJ208" s="11" t="n"/>
      <c r="BK208" s="12" t="n"/>
      <c r="BL208" s="11" t="n"/>
      <c r="BM208" s="11" t="n"/>
      <c r="BN208" s="11" t="n"/>
      <c r="BO208" s="11" t="n"/>
      <c r="BP208" s="12" t="n"/>
      <c r="BQ208" s="11" t="n"/>
      <c r="BR208" s="11" t="n"/>
      <c r="BS208" s="11" t="n"/>
      <c r="BT208" s="11" t="n"/>
      <c r="BU208" s="12" t="n"/>
      <c r="BV208" s="11" t="n"/>
      <c r="BW208" s="11" t="n"/>
      <c r="BX208" s="11" t="n"/>
      <c r="BY208" s="11" t="n"/>
      <c r="BZ208" s="12" t="n"/>
      <c r="CA208" s="11" t="n"/>
      <c r="CB208" s="11" t="n"/>
      <c r="CC208" s="11" t="n"/>
      <c r="CD208" s="11" t="n"/>
      <c r="CE208" s="12" t="n"/>
      <c r="CF208" s="11" t="n"/>
      <c r="CG208" s="11" t="n"/>
      <c r="CH208" s="11" t="n"/>
      <c r="CI208" s="11" t="n"/>
      <c r="CJ208" s="12" t="n"/>
      <c r="CK208" s="11" t="n"/>
      <c r="CL208" s="11" t="n"/>
      <c r="CM208" s="11" t="n"/>
      <c r="CN208" s="11" t="n"/>
      <c r="CO208" s="12" t="n"/>
      <c r="CP208" s="11" t="n"/>
      <c r="CQ208" s="11" t="n"/>
      <c r="CR208" s="11" t="n"/>
      <c r="CS208" s="11" t="n"/>
      <c r="CT208" s="12" t="n"/>
      <c r="CU208" s="11" t="n"/>
      <c r="CV208" s="11" t="n"/>
      <c r="CW208" s="11" t="n"/>
      <c r="CX208" s="11" t="n"/>
      <c r="CY208" s="12" t="n"/>
    </row>
    <row r="209" hidden="1" outlineLevel="1">
      <c r="C209" s="57" t="inlineStr">
        <is>
          <t>Contas a pagar pela aquisição de controladas</t>
        </is>
      </c>
      <c r="D209" s="11" t="n"/>
      <c r="E209" s="11" t="n"/>
      <c r="F209" s="11" t="n"/>
      <c r="G209" s="11" t="n"/>
      <c r="H209" s="12" t="n"/>
      <c r="I209" s="11" t="n"/>
      <c r="J209" s="11" t="n"/>
      <c r="K209" s="11" t="n"/>
      <c r="L209" s="11" t="n"/>
      <c r="M209" s="12" t="n"/>
      <c r="N209" s="11" t="n"/>
      <c r="O209" s="11" t="n"/>
      <c r="P209" s="11" t="n"/>
      <c r="Q209" s="11" t="n"/>
      <c r="R209" s="12" t="n"/>
      <c r="S209" s="11" t="n"/>
      <c r="T209" s="11" t="n"/>
      <c r="U209" s="11" t="n"/>
      <c r="V209" s="11" t="n"/>
      <c r="W209" s="12" t="n"/>
      <c r="X209" s="11" t="n"/>
      <c r="Y209" s="11" t="n"/>
      <c r="Z209" s="11" t="n"/>
      <c r="AA209" s="11" t="n"/>
      <c r="AB209" s="12" t="n"/>
      <c r="AC209" s="11" t="n"/>
      <c r="AD209" s="11" t="n"/>
      <c r="AE209" s="11" t="n"/>
      <c r="AF209" s="11" t="n"/>
      <c r="AG209" s="12" t="n"/>
      <c r="AH209" s="11" t="n"/>
      <c r="AI209" s="11" t="n"/>
      <c r="AJ209" s="11" t="n"/>
      <c r="AK209" s="11" t="n"/>
      <c r="AL209" s="12" t="n"/>
      <c r="AM209" s="11" t="n"/>
      <c r="AN209" s="11" t="n"/>
      <c r="AO209" s="11" t="n"/>
      <c r="AP209" s="11" t="n"/>
      <c r="AQ209" s="12" t="n"/>
      <c r="AR209" s="11" t="n"/>
      <c r="AS209" s="11" t="n"/>
      <c r="AT209" s="11" t="n"/>
      <c r="AU209" s="11" t="n"/>
      <c r="AV209" s="12" t="n"/>
      <c r="AW209" s="11" t="n"/>
      <c r="AX209" s="11" t="n"/>
      <c r="AY209" s="11" t="n"/>
      <c r="AZ209" s="11" t="n"/>
      <c r="BA209" s="12" t="n"/>
      <c r="BB209" s="11" t="n"/>
      <c r="BC209" s="11" t="n"/>
      <c r="BD209" s="11" t="n"/>
      <c r="BE209" s="11" t="n"/>
      <c r="BF209" s="12" t="n"/>
      <c r="BG209" s="11" t="n"/>
      <c r="BH209" s="11" t="n"/>
      <c r="BI209" s="11" t="n"/>
      <c r="BJ209" s="11" t="n"/>
      <c r="BK209" s="12" t="n"/>
      <c r="BL209" s="11" t="n"/>
      <c r="BM209" s="11" t="n"/>
      <c r="BN209" s="11" t="n"/>
      <c r="BO209" s="11" t="n"/>
      <c r="BP209" s="12" t="n"/>
      <c r="BQ209" s="11" t="n"/>
      <c r="BR209" s="11" t="n"/>
      <c r="BS209" s="11" t="n"/>
      <c r="BT209" s="11" t="n"/>
      <c r="BU209" s="12" t="n"/>
      <c r="BV209" s="11" t="n"/>
      <c r="BW209" s="11" t="n"/>
      <c r="BX209" s="11" t="n"/>
      <c r="BY209" s="11" t="n"/>
      <c r="BZ209" s="12" t="n"/>
      <c r="CA209" s="11" t="n"/>
      <c r="CB209" s="11" t="n"/>
      <c r="CC209" s="11" t="n"/>
      <c r="CD209" s="11" t="n"/>
      <c r="CE209" s="12" t="n"/>
      <c r="CF209" s="11" t="n"/>
      <c r="CG209" s="11" t="n"/>
      <c r="CH209" s="11" t="n"/>
      <c r="CI209" s="11" t="n"/>
      <c r="CJ209" s="12" t="n"/>
      <c r="CK209" s="11" t="n"/>
      <c r="CL209" s="11" t="n"/>
      <c r="CM209" s="11" t="n"/>
      <c r="CN209" s="11" t="n"/>
      <c r="CO209" s="12" t="n"/>
      <c r="CP209" s="11" t="n"/>
      <c r="CQ209" s="11" t="n"/>
      <c r="CR209" s="11" t="n"/>
      <c r="CS209" s="11" t="n"/>
      <c r="CT209" s="12" t="n"/>
      <c r="CU209" s="11" t="n"/>
      <c r="CV209" s="11" t="n"/>
      <c r="CW209" s="11" t="n"/>
      <c r="CX209" s="11" t="n"/>
      <c r="CY209" s="12" t="n"/>
    </row>
    <row r="210" hidden="1" outlineLevel="1">
      <c r="C210" s="57" t="inlineStr">
        <is>
          <t>Outros</t>
        </is>
      </c>
      <c r="D210" s="11" t="n"/>
      <c r="E210" s="11" t="n"/>
      <c r="F210" s="11" t="n"/>
      <c r="G210" s="11" t="n"/>
      <c r="H210" s="12" t="n"/>
      <c r="I210" s="11" t="n"/>
      <c r="J210" s="11" t="n"/>
      <c r="K210" s="11" t="n"/>
      <c r="L210" s="11" t="n"/>
      <c r="M210" s="12" t="n"/>
      <c r="N210" s="11" t="n"/>
      <c r="O210" s="11" t="n"/>
      <c r="P210" s="11" t="n"/>
      <c r="Q210" s="11" t="n"/>
      <c r="R210" s="12" t="n"/>
      <c r="S210" s="11" t="n"/>
      <c r="T210" s="11" t="n"/>
      <c r="U210" s="11" t="n"/>
      <c r="V210" s="11" t="n"/>
      <c r="W210" s="12" t="n"/>
      <c r="X210" s="11" t="n"/>
      <c r="Y210" s="11" t="n"/>
      <c r="Z210" s="11" t="n"/>
      <c r="AA210" s="11" t="n"/>
      <c r="AB210" s="12" t="n"/>
      <c r="AC210" s="11" t="n"/>
      <c r="AD210" s="11" t="n"/>
      <c r="AE210" s="11" t="n"/>
      <c r="AF210" s="11" t="n"/>
      <c r="AG210" s="12" t="n"/>
      <c r="AH210" s="11" t="n"/>
      <c r="AI210" s="11" t="n"/>
      <c r="AJ210" s="11" t="n"/>
      <c r="AK210" s="11" t="n"/>
      <c r="AL210" s="12" t="n"/>
      <c r="AM210" s="11" t="n"/>
      <c r="AN210" s="11" t="n"/>
      <c r="AO210" s="11" t="n"/>
      <c r="AP210" s="11" t="n"/>
      <c r="AQ210" s="12" t="n"/>
      <c r="AR210" s="11" t="n"/>
      <c r="AS210" s="11" t="n"/>
      <c r="AT210" s="11" t="n"/>
      <c r="AU210" s="11" t="n"/>
      <c r="AV210" s="12" t="n"/>
      <c r="AW210" s="11" t="n"/>
      <c r="AX210" s="11" t="n"/>
      <c r="AY210" s="11" t="n"/>
      <c r="AZ210" s="11" t="n"/>
      <c r="BA210" s="12" t="n"/>
      <c r="BB210" s="11" t="n"/>
      <c r="BC210" s="11" t="n"/>
      <c r="BD210" s="11" t="n"/>
      <c r="BE210" s="11" t="n"/>
      <c r="BF210" s="12" t="n"/>
      <c r="BG210" s="11" t="n"/>
      <c r="BH210" s="11" t="n"/>
      <c r="BI210" s="11" t="n"/>
      <c r="BJ210" s="11" t="n"/>
      <c r="BK210" s="12" t="n"/>
      <c r="BL210" s="11" t="n"/>
      <c r="BM210" s="11" t="n"/>
      <c r="BN210" s="11" t="n"/>
      <c r="BO210" s="11" t="n"/>
      <c r="BP210" s="12" t="n"/>
      <c r="BQ210" s="11" t="n"/>
      <c r="BR210" s="11" t="n"/>
      <c r="BS210" s="11" t="n"/>
      <c r="BT210" s="11" t="n"/>
      <c r="BU210" s="12" t="n"/>
      <c r="BV210" s="11" t="n"/>
      <c r="BW210" s="11" t="n"/>
      <c r="BX210" s="11" t="n"/>
      <c r="BY210" s="11" t="n"/>
      <c r="BZ210" s="12" t="n"/>
      <c r="CA210" s="11" t="n"/>
      <c r="CB210" s="11" t="n"/>
      <c r="CC210" s="11" t="n"/>
      <c r="CD210" s="11" t="n"/>
      <c r="CE210" s="12" t="n"/>
      <c r="CF210" s="11" t="n"/>
      <c r="CG210" s="11" t="n"/>
      <c r="CH210" s="11" t="n"/>
      <c r="CI210" s="11" t="n"/>
      <c r="CJ210" s="12" t="n"/>
      <c r="CK210" s="11" t="n"/>
      <c r="CL210" s="11" t="n"/>
      <c r="CM210" s="11" t="n"/>
      <c r="CN210" s="11" t="n"/>
      <c r="CO210" s="12" t="n"/>
      <c r="CP210" s="11" t="n"/>
      <c r="CQ210" s="11" t="n"/>
      <c r="CR210" s="11" t="n"/>
      <c r="CS210" s="11" t="n"/>
      <c r="CT210" s="12" t="n"/>
      <c r="CU210" s="11" t="n"/>
      <c r="CV210" s="11" t="n"/>
      <c r="CW210" s="11" t="n"/>
      <c r="CX210" s="11" t="n"/>
      <c r="CY210" s="12" t="n"/>
    </row>
    <row r="211" hidden="1" outlineLevel="1">
      <c r="C211" s="57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  <c r="V211" s="12" t="n"/>
      <c r="W211" s="12" t="n"/>
      <c r="X211" s="12" t="n"/>
      <c r="Y211" s="12" t="n"/>
      <c r="Z211" s="12" t="n"/>
      <c r="AA211" s="12" t="n"/>
      <c r="AB211" s="12" t="n"/>
      <c r="AC211" s="12" t="n"/>
      <c r="AD211" s="12" t="n"/>
      <c r="AE211" s="12" t="n"/>
      <c r="AF211" s="12" t="n"/>
      <c r="AG211" s="12" t="n"/>
      <c r="AH211" s="12" t="n"/>
      <c r="AI211" s="12" t="n"/>
      <c r="AJ211" s="12" t="n"/>
      <c r="AK211" s="12" t="n"/>
      <c r="AL211" s="12" t="n"/>
      <c r="AM211" s="12" t="n"/>
      <c r="AN211" s="12" t="n"/>
      <c r="AO211" s="12" t="n"/>
      <c r="AP211" s="12" t="n"/>
      <c r="AQ211" s="12" t="n"/>
      <c r="AR211" s="12" t="n"/>
      <c r="AS211" s="12" t="n"/>
      <c r="AT211" s="12" t="n"/>
      <c r="AU211" s="12" t="n"/>
      <c r="AV211" s="12" t="n"/>
      <c r="AW211" s="12" t="n"/>
      <c r="AX211" s="12" t="n"/>
      <c r="AY211" s="12" t="n"/>
      <c r="AZ211" s="12" t="n"/>
      <c r="BA211" s="12" t="n"/>
      <c r="BB211" s="12" t="n"/>
      <c r="BC211" s="12" t="n"/>
      <c r="BD211" s="12" t="n"/>
      <c r="BE211" s="12" t="n"/>
      <c r="BF211" s="12" t="n"/>
      <c r="BG211" s="12" t="n"/>
      <c r="BH211" s="12" t="n"/>
      <c r="BI211" s="12" t="n"/>
      <c r="BJ211" s="12" t="n"/>
      <c r="BK211" s="12" t="n"/>
      <c r="BL211" s="12" t="n"/>
      <c r="BM211" s="12" t="n"/>
      <c r="BN211" s="12" t="n"/>
      <c r="BO211" s="12" t="n"/>
      <c r="BP211" s="12" t="n"/>
      <c r="BQ211" s="12" t="n"/>
      <c r="BR211" s="12" t="n"/>
      <c r="BS211" s="12" t="n"/>
      <c r="BT211" s="12" t="n"/>
      <c r="BU211" s="12" t="n"/>
      <c r="BV211" s="12" t="n"/>
      <c r="BW211" s="12" t="n"/>
      <c r="BX211" s="12" t="n"/>
      <c r="BY211" s="12" t="n"/>
      <c r="BZ211" s="12" t="n"/>
      <c r="CA211" s="12" t="n"/>
      <c r="CB211" s="12" t="n"/>
      <c r="CC211" s="12" t="n"/>
      <c r="CD211" s="12" t="n"/>
      <c r="CE211" s="12" t="n"/>
      <c r="CF211" s="12" t="n"/>
      <c r="CG211" s="12" t="n"/>
      <c r="CH211" s="12" t="n"/>
      <c r="CI211" s="12" t="n"/>
      <c r="CJ211" s="12" t="n"/>
      <c r="CK211" s="12" t="n"/>
      <c r="CL211" s="12" t="n"/>
      <c r="CM211" s="12" t="n"/>
      <c r="CN211" s="12" t="n"/>
      <c r="CO211" s="12" t="n"/>
      <c r="CP211" s="12" t="n"/>
      <c r="CQ211" s="12" t="n"/>
      <c r="CR211" s="12" t="n"/>
      <c r="CS211" s="12" t="n"/>
      <c r="CT211" s="12" t="n"/>
      <c r="CU211" s="12" t="n"/>
      <c r="CV211" s="12" t="n"/>
      <c r="CW211" s="12" t="n"/>
      <c r="CX211" s="12" t="n"/>
      <c r="CY211" s="12" t="n"/>
    </row>
    <row r="212" collapsed="1">
      <c r="C212" s="14" t="inlineStr">
        <is>
          <t>Current portion of long-term debt</t>
        </is>
      </c>
      <c r="D212" s="46" t="n"/>
      <c r="E212" s="46" t="n"/>
      <c r="F212" s="46" t="n"/>
      <c r="G212" s="46" t="n"/>
      <c r="H212" s="12" t="n"/>
      <c r="I212" s="46">
        <f>'Inputs (2)'!D32</f>
        <v>193.649</v>
      </c>
      <c r="J212" s="46">
        <f>'Inputs (2)'!E32</f>
        <v>122.243</v>
      </c>
      <c r="K212" s="46">
        <f>'Inputs (2)'!F32</f>
        <v>151.78</v>
      </c>
      <c r="L212" s="46">
        <f>'Inputs (2)'!G32</f>
        <v>127.205</v>
      </c>
      <c r="M212" s="12">
        <f>'Inputs (2)'!H32</f>
        <v>127.205</v>
      </c>
      <c r="N212" s="46">
        <f>'Inputs (2)'!I32</f>
        <v>178.275</v>
      </c>
      <c r="O212" s="46">
        <f>'Inputs (2)'!J32</f>
        <v>139.362</v>
      </c>
      <c r="P212" s="46">
        <f>'Inputs (2)'!K32</f>
        <v>296.727</v>
      </c>
      <c r="Q212" s="46">
        <f>'Inputs (2)'!L32</f>
        <v>309.722</v>
      </c>
      <c r="R212" s="12">
        <f>'Inputs (2)'!M32</f>
        <v>309.722</v>
      </c>
      <c r="S212" s="46">
        <f>'Inputs (2)'!N32</f>
        <v>312.729</v>
      </c>
      <c r="T212" s="46">
        <f>'Inputs (2)'!O32</f>
        <v>326.169</v>
      </c>
      <c r="U212" s="46">
        <f>'Inputs (2)'!P32</f>
        <v>319.628</v>
      </c>
      <c r="V212" s="46">
        <f>'Inputs (2)'!Q32</f>
        <v>234.933</v>
      </c>
      <c r="W212" s="12">
        <f>'Inputs (2)'!R32</f>
        <v>234.933</v>
      </c>
      <c r="X212" s="46">
        <f>'Inputs (2)'!S32</f>
        <v>254.827</v>
      </c>
      <c r="Y212" s="46">
        <f>'Inputs (2)'!T32</f>
        <v>248.566</v>
      </c>
      <c r="Z212" s="46">
        <f>'Inputs (2)'!U32</f>
        <v>268.59238487</v>
      </c>
      <c r="AA212" s="46">
        <f>'Inputs (2)'!V32</f>
        <v>202.562</v>
      </c>
      <c r="AB212" s="12">
        <f>'Inputs (2)'!W32</f>
        <v>202.562</v>
      </c>
      <c r="AC212" s="46">
        <f>'Inputs (2)'!X32</f>
        <v>192.587</v>
      </c>
      <c r="AD212" s="46">
        <f>'Inputs (2)'!Y32</f>
        <v>252.391</v>
      </c>
      <c r="AE212" s="46">
        <f>'Inputs (2)'!Z32</f>
        <v>238.164</v>
      </c>
      <c r="AF212" s="46">
        <f>'Inputs (2)'!AA32</f>
        <v>274.805</v>
      </c>
      <c r="AG212" s="12">
        <f>'Inputs (2)'!AB32</f>
        <v>274.805</v>
      </c>
      <c r="AH212" s="12">
        <f>'Inputs (2)'!AC32</f>
        <v>282.086</v>
      </c>
      <c r="AI212" s="12">
        <f>'Inputs (2)'!AD32</f>
        <v>297.868</v>
      </c>
      <c r="AJ212" s="12">
        <f>AI212</f>
        <v>297.868</v>
      </c>
      <c r="AK212" s="12">
        <f>AJ212</f>
        <v>297.868</v>
      </c>
      <c r="AL212" s="12">
        <f>AK212</f>
        <v>297.868</v>
      </c>
      <c r="AM212" s="12">
        <f>AL212</f>
        <v>297.868</v>
      </c>
      <c r="AN212" s="12">
        <f>AM212</f>
        <v>297.868</v>
      </c>
      <c r="AO212" s="12">
        <f>AN212</f>
        <v>297.868</v>
      </c>
      <c r="AP212" s="12">
        <f>AO212</f>
        <v>297.868</v>
      </c>
      <c r="AQ212" s="12">
        <f>AP212</f>
        <v>297.868</v>
      </c>
      <c r="AR212" s="12">
        <f>AQ212</f>
        <v>297.868</v>
      </c>
      <c r="AS212" s="12">
        <f>AR212</f>
        <v>297.868</v>
      </c>
      <c r="AT212" s="12">
        <f>AS212</f>
        <v>297.868</v>
      </c>
      <c r="AU212" s="12">
        <f>AT212</f>
        <v>297.868</v>
      </c>
      <c r="AV212" s="12">
        <f>AU212</f>
        <v>297.868</v>
      </c>
      <c r="AW212" s="12">
        <f>AV212</f>
        <v>297.868</v>
      </c>
      <c r="AX212" s="12">
        <f>AW212</f>
        <v>297.868</v>
      </c>
      <c r="AY212" s="12">
        <f>AX212</f>
        <v>297.868</v>
      </c>
      <c r="AZ212" s="12">
        <f>AY212</f>
        <v>297.868</v>
      </c>
      <c r="BA212" s="12">
        <f>AZ212</f>
        <v>297.868</v>
      </c>
      <c r="BB212" s="12">
        <f>BA212</f>
        <v>297.868</v>
      </c>
      <c r="BC212" s="12">
        <f>BB212</f>
        <v>297.868</v>
      </c>
      <c r="BD212" s="12">
        <f>BC212</f>
        <v>297.868</v>
      </c>
      <c r="BE212" s="12">
        <f>BD212</f>
        <v>297.868</v>
      </c>
      <c r="BF212" s="12">
        <f>BE212</f>
        <v>297.868</v>
      </c>
      <c r="BG212" s="12" t="n"/>
      <c r="BH212" s="12" t="n"/>
      <c r="BI212" s="12" t="n"/>
      <c r="BJ212" s="12" t="n"/>
      <c r="BK212" s="12" t="n"/>
      <c r="BL212" s="12" t="n"/>
      <c r="BM212" s="12" t="n"/>
      <c r="BN212" s="12" t="n"/>
      <c r="BO212" s="12" t="n"/>
      <c r="BP212" s="12" t="n"/>
      <c r="BQ212" s="12" t="n"/>
      <c r="BR212" s="12" t="n"/>
      <c r="BS212" s="12" t="n"/>
      <c r="BT212" s="12" t="n"/>
      <c r="BU212" s="12" t="n"/>
      <c r="BV212" s="12" t="n"/>
      <c r="BW212" s="12" t="n"/>
      <c r="BX212" s="12" t="n"/>
      <c r="BY212" s="12" t="n"/>
      <c r="BZ212" s="12" t="n"/>
      <c r="CA212" s="12" t="n"/>
      <c r="CB212" s="12" t="n"/>
      <c r="CC212" s="12" t="n"/>
      <c r="CD212" s="12" t="n"/>
      <c r="CE212" s="12" t="n"/>
      <c r="CF212" s="12" t="n"/>
      <c r="CG212" s="12" t="n"/>
      <c r="CH212" s="12" t="n"/>
      <c r="CI212" s="12" t="n"/>
      <c r="CJ212" s="12" t="n"/>
      <c r="CK212" s="12" t="n"/>
      <c r="CL212" s="12" t="n"/>
      <c r="CM212" s="12" t="n"/>
      <c r="CN212" s="12" t="n"/>
      <c r="CO212" s="12" t="n"/>
      <c r="CP212" s="12" t="n"/>
      <c r="CQ212" s="12" t="n"/>
      <c r="CR212" s="12" t="n"/>
      <c r="CS212" s="12" t="n"/>
      <c r="CT212" s="12" t="n"/>
      <c r="CU212" s="12" t="n"/>
      <c r="CV212" s="12" t="n"/>
      <c r="CW212" s="12" t="n"/>
      <c r="CX212" s="12" t="n"/>
      <c r="CY212" s="12" t="n"/>
    </row>
    <row r="213">
      <c r="C213" s="14" t="inlineStr">
        <is>
          <t>Short term debt (Revolving credit facility)</t>
        </is>
      </c>
      <c r="D213" s="46" t="n"/>
      <c r="E213" s="46" t="n"/>
      <c r="F213" s="46" t="n"/>
      <c r="G213" s="46" t="n"/>
      <c r="H213" s="12" t="n"/>
      <c r="I213" s="46">
        <f>'Inputs (2)'!D33</f>
        <v>0</v>
      </c>
      <c r="J213" s="46">
        <f>'Inputs (2)'!E33</f>
        <v>0</v>
      </c>
      <c r="K213" s="46">
        <f>'Inputs (2)'!F33</f>
        <v>0</v>
      </c>
      <c r="L213" s="46">
        <f>'Inputs (2)'!G33</f>
        <v>0</v>
      </c>
      <c r="M213" s="12">
        <f>'Inputs (2)'!H33</f>
        <v>0</v>
      </c>
      <c r="N213" s="46">
        <f>'Inputs (2)'!I33</f>
        <v>0</v>
      </c>
      <c r="O213" s="46">
        <f>'Inputs (2)'!J33</f>
        <v>0</v>
      </c>
      <c r="P213" s="46">
        <f>'Inputs (2)'!K33</f>
        <v>0</v>
      </c>
      <c r="Q213" s="46">
        <f>'Inputs (2)'!L33</f>
        <v>0</v>
      </c>
      <c r="R213" s="12">
        <f>'Inputs (2)'!M33</f>
        <v>0</v>
      </c>
      <c r="S213" s="46">
        <f>'Inputs (2)'!N33</f>
        <v>0</v>
      </c>
      <c r="T213" s="46">
        <f>'Inputs (2)'!O33</f>
        <v>0</v>
      </c>
      <c r="U213" s="46">
        <f>'Inputs (2)'!P33</f>
        <v>0</v>
      </c>
      <c r="V213" s="46">
        <f>'Inputs (2)'!Q33</f>
        <v>0</v>
      </c>
      <c r="W213" s="12">
        <f>'Inputs (2)'!R33</f>
        <v>0</v>
      </c>
      <c r="X213" s="46">
        <f>'Inputs (2)'!S33</f>
        <v>0</v>
      </c>
      <c r="Y213" s="46">
        <f>'Inputs (2)'!T33</f>
        <v>0</v>
      </c>
      <c r="Z213" s="46">
        <f>'Inputs (2)'!U33</f>
        <v>0</v>
      </c>
      <c r="AA213" s="46">
        <f>'Inputs (2)'!V33</f>
        <v>0</v>
      </c>
      <c r="AB213" s="12">
        <f>'Inputs (2)'!W33</f>
        <v>0</v>
      </c>
      <c r="AC213" s="46">
        <f>'Inputs (2)'!X33</f>
        <v>0</v>
      </c>
      <c r="AD213" s="46">
        <f>'Inputs (2)'!Y33</f>
        <v>0</v>
      </c>
      <c r="AE213" s="46">
        <f>'Inputs (2)'!Z33</f>
        <v>0</v>
      </c>
      <c r="AF213" s="46">
        <f>'Inputs (2)'!AA33</f>
        <v>0</v>
      </c>
      <c r="AG213" s="12">
        <f>'Inputs (2)'!AB33</f>
        <v>0</v>
      </c>
      <c r="AH213" s="12">
        <f>'Inputs (2)'!AC33</f>
        <v>0</v>
      </c>
      <c r="AI213" s="12">
        <f>'Inputs (2)'!AD33</f>
        <v>0</v>
      </c>
      <c r="AJ213" s="12">
        <f>AI213</f>
        <v>0</v>
      </c>
      <c r="AK213" s="12">
        <f>AJ213</f>
        <v>0</v>
      </c>
      <c r="AL213" s="12">
        <f>AK213</f>
        <v>0</v>
      </c>
      <c r="AM213" s="12">
        <f>AL213</f>
        <v>0</v>
      </c>
      <c r="AN213" s="12">
        <f>AM213</f>
        <v>0</v>
      </c>
      <c r="AO213" s="12">
        <f>AN213</f>
        <v>0</v>
      </c>
      <c r="AP213" s="12">
        <f>AO213</f>
        <v>0</v>
      </c>
      <c r="AQ213" s="12">
        <f>AP213</f>
        <v>0</v>
      </c>
      <c r="AR213" s="12">
        <f>AQ213</f>
        <v>0</v>
      </c>
      <c r="AS213" s="12">
        <f>AR213</f>
        <v>0</v>
      </c>
      <c r="AT213" s="12">
        <f>AS213</f>
        <v>0</v>
      </c>
      <c r="AU213" s="12">
        <f>AT213</f>
        <v>0</v>
      </c>
      <c r="AV213" s="12">
        <f>AU213</f>
        <v>0</v>
      </c>
      <c r="AW213" s="12">
        <f>AV213</f>
        <v>0</v>
      </c>
      <c r="AX213" s="12">
        <f>AW213</f>
        <v>0</v>
      </c>
      <c r="AY213" s="12">
        <f>AX213</f>
        <v>0</v>
      </c>
      <c r="AZ213" s="12">
        <f>AY213</f>
        <v>0</v>
      </c>
      <c r="BA213" s="12">
        <f>AZ213</f>
        <v>0</v>
      </c>
      <c r="BB213" s="12">
        <f>BA213</f>
        <v>0</v>
      </c>
      <c r="BC213" s="12">
        <f>BB213</f>
        <v>0</v>
      </c>
      <c r="BD213" s="12">
        <f>BC213</f>
        <v>0</v>
      </c>
      <c r="BE213" s="12">
        <f>BD213</f>
        <v>0</v>
      </c>
      <c r="BF213" s="12">
        <f>BE213</f>
        <v>0</v>
      </c>
      <c r="BG213" s="12" t="n"/>
      <c r="BH213" s="12" t="n"/>
      <c r="BI213" s="12" t="n"/>
      <c r="BJ213" s="12" t="n"/>
      <c r="BK213" s="12" t="n"/>
      <c r="BL213" s="12" t="n"/>
      <c r="BM213" s="12" t="n"/>
      <c r="BN213" s="12" t="n"/>
      <c r="BO213" s="12" t="n"/>
      <c r="BP213" s="12" t="n"/>
      <c r="BQ213" s="12" t="n"/>
      <c r="BR213" s="12" t="n"/>
      <c r="BS213" s="12" t="n"/>
      <c r="BT213" s="12" t="n"/>
      <c r="BU213" s="12" t="n"/>
      <c r="BV213" s="12" t="n"/>
      <c r="BW213" s="12" t="n"/>
      <c r="BX213" s="12" t="n"/>
      <c r="BY213" s="12" t="n"/>
      <c r="BZ213" s="12" t="n"/>
      <c r="CA213" s="12" t="n"/>
      <c r="CB213" s="12" t="n"/>
      <c r="CC213" s="12" t="n"/>
      <c r="CD213" s="12" t="n"/>
      <c r="CE213" s="12" t="n"/>
      <c r="CF213" s="12" t="n"/>
      <c r="CG213" s="12" t="n"/>
      <c r="CH213" s="12" t="n"/>
      <c r="CI213" s="12" t="n"/>
      <c r="CJ213" s="12" t="n"/>
      <c r="CK213" s="12" t="n"/>
      <c r="CL213" s="12" t="n"/>
      <c r="CM213" s="12" t="n"/>
      <c r="CN213" s="12" t="n"/>
      <c r="CO213" s="12" t="n"/>
      <c r="CP213" s="12" t="n"/>
      <c r="CQ213" s="12" t="n"/>
      <c r="CR213" s="12" t="n"/>
      <c r="CS213" s="12" t="n"/>
      <c r="CT213" s="12" t="n"/>
      <c r="CU213" s="12" t="n"/>
      <c r="CV213" s="12" t="n"/>
      <c r="CW213" s="12" t="n"/>
      <c r="CX213" s="12" t="n"/>
      <c r="CY213" s="12" t="n"/>
    </row>
    <row r="214">
      <c r="C214" s="14" t="inlineStr">
        <is>
          <t>Short term operating leases</t>
        </is>
      </c>
      <c r="D214" s="46" t="n"/>
      <c r="E214" s="46" t="n"/>
      <c r="F214" s="46" t="n"/>
      <c r="G214" s="46" t="n"/>
      <c r="H214" s="12" t="n"/>
      <c r="I214" s="46">
        <f>'Inputs (2)'!D34</f>
        <v>9.564</v>
      </c>
      <c r="J214" s="46">
        <f>'Inputs (2)'!E34</f>
        <v>9.63</v>
      </c>
      <c r="K214" s="46">
        <f>'Inputs (2)'!F34</f>
        <v>9.471</v>
      </c>
      <c r="L214" s="46">
        <f>'Inputs (2)'!G34</f>
        <v>10.088</v>
      </c>
      <c r="M214" s="12">
        <f>'Inputs (2)'!H34</f>
        <v>10.088</v>
      </c>
      <c r="N214" s="46">
        <f>'Inputs (2)'!I34</f>
        <v>10.188</v>
      </c>
      <c r="O214" s="46">
        <f>'Inputs (2)'!J34</f>
        <v>9.952</v>
      </c>
      <c r="P214" s="46">
        <f>'Inputs (2)'!K34</f>
        <v>9.795</v>
      </c>
      <c r="Q214" s="46">
        <f>'Inputs (2)'!L34</f>
        <v>11.324</v>
      </c>
      <c r="R214" s="12">
        <f>'Inputs (2)'!M34</f>
        <v>11.324</v>
      </c>
      <c r="S214" s="46">
        <f>'Inputs (2)'!N34</f>
        <v>10.885</v>
      </c>
      <c r="T214" s="46">
        <f>'Inputs (2)'!O34</f>
        <v>10.632</v>
      </c>
      <c r="U214" s="46">
        <f>'Inputs (2)'!P34</f>
        <v>10.456</v>
      </c>
      <c r="V214" s="46">
        <f>'Inputs (2)'!Q34</f>
        <v>7.456</v>
      </c>
      <c r="W214" s="12">
        <f>'Inputs (2)'!R34</f>
        <v>7.456</v>
      </c>
      <c r="X214" s="46">
        <f>'Inputs (2)'!S34</f>
        <v>8.735</v>
      </c>
      <c r="Y214" s="46">
        <f>'Inputs (2)'!T34</f>
        <v>8.469</v>
      </c>
      <c r="Z214" s="46">
        <f>'Inputs (2)'!U34</f>
        <v>8.2</v>
      </c>
      <c r="AA214" s="46">
        <f>'Inputs (2)'!V34</f>
        <v>7.911</v>
      </c>
      <c r="AB214" s="12">
        <f>'Inputs (2)'!W34</f>
        <v>7.911</v>
      </c>
      <c r="AC214" s="46">
        <f>'Inputs (2)'!X34</f>
        <v>9.411</v>
      </c>
      <c r="AD214" s="46">
        <f>'Inputs (2)'!Y34</f>
        <v>10.371</v>
      </c>
      <c r="AE214" s="46">
        <f>'Inputs (2)'!Z34</f>
        <v>10.12</v>
      </c>
      <c r="AF214" s="46">
        <f>'Inputs (2)'!AA34</f>
        <v>12.686</v>
      </c>
      <c r="AG214" s="12">
        <f>'Inputs (2)'!AB34</f>
        <v>12.686</v>
      </c>
      <c r="AH214" s="12">
        <f>'Inputs (2)'!AC34</f>
        <v>11.84</v>
      </c>
      <c r="AI214" s="12">
        <f>'Inputs (2)'!AD34</f>
        <v>11.089</v>
      </c>
      <c r="AJ214" s="12">
        <f>AI214</f>
        <v>11.089</v>
      </c>
      <c r="AK214" s="12">
        <f>AJ214</f>
        <v>11.089</v>
      </c>
      <c r="AL214" s="12">
        <f>AK214</f>
        <v>11.089</v>
      </c>
      <c r="AM214" s="12">
        <f>AL214</f>
        <v>11.089</v>
      </c>
      <c r="AN214" s="12">
        <f>AM214</f>
        <v>11.089</v>
      </c>
      <c r="AO214" s="12">
        <f>AN214</f>
        <v>11.089</v>
      </c>
      <c r="AP214" s="12">
        <f>AO214</f>
        <v>11.089</v>
      </c>
      <c r="AQ214" s="12">
        <f>AP214</f>
        <v>11.089</v>
      </c>
      <c r="AR214" s="12">
        <f>AQ214</f>
        <v>11.089</v>
      </c>
      <c r="AS214" s="12">
        <f>AR214</f>
        <v>11.089</v>
      </c>
      <c r="AT214" s="12">
        <f>AS214</f>
        <v>11.089</v>
      </c>
      <c r="AU214" s="12">
        <f>AT214</f>
        <v>11.089</v>
      </c>
      <c r="AV214" s="12">
        <f>AU214</f>
        <v>11.089</v>
      </c>
      <c r="AW214" s="12">
        <f>AV214</f>
        <v>11.089</v>
      </c>
      <c r="AX214" s="12">
        <f>AW214</f>
        <v>11.089</v>
      </c>
      <c r="AY214" s="12">
        <f>AX214</f>
        <v>11.089</v>
      </c>
      <c r="AZ214" s="12">
        <f>AY214</f>
        <v>11.089</v>
      </c>
      <c r="BA214" s="12">
        <f>AZ214</f>
        <v>11.089</v>
      </c>
      <c r="BB214" s="12">
        <f>BA214</f>
        <v>11.089</v>
      </c>
      <c r="BC214" s="12">
        <f>BB214</f>
        <v>11.089</v>
      </c>
      <c r="BD214" s="12">
        <f>BC214</f>
        <v>11.089</v>
      </c>
      <c r="BE214" s="12">
        <f>BD214</f>
        <v>11.089</v>
      </c>
      <c r="BF214" s="12">
        <f>BE214</f>
        <v>11.089</v>
      </c>
      <c r="BG214" s="12" t="n"/>
      <c r="BH214" s="12" t="n"/>
      <c r="BI214" s="12" t="n"/>
      <c r="BJ214" s="12" t="n"/>
      <c r="BK214" s="12" t="n"/>
      <c r="BL214" s="12" t="n"/>
      <c r="BM214" s="12" t="n"/>
      <c r="BN214" s="12" t="n"/>
      <c r="BO214" s="12" t="n"/>
      <c r="BP214" s="12" t="n"/>
      <c r="BQ214" s="12" t="n"/>
      <c r="BR214" s="12" t="n"/>
      <c r="BS214" s="12" t="n"/>
      <c r="BT214" s="12" t="n"/>
      <c r="BU214" s="12" t="n"/>
      <c r="BV214" s="12" t="n"/>
      <c r="BW214" s="12" t="n"/>
      <c r="BX214" s="12" t="n"/>
      <c r="BY214" s="12" t="n"/>
      <c r="BZ214" s="12" t="n"/>
      <c r="CA214" s="12" t="n"/>
      <c r="CB214" s="12" t="n"/>
      <c r="CC214" s="12" t="n"/>
      <c r="CD214" s="12" t="n"/>
      <c r="CE214" s="12" t="n"/>
      <c r="CF214" s="12" t="n"/>
      <c r="CG214" s="12" t="n"/>
      <c r="CH214" s="12" t="n"/>
      <c r="CI214" s="12" t="n"/>
      <c r="CJ214" s="12" t="n"/>
      <c r="CK214" s="12" t="n"/>
      <c r="CL214" s="12" t="n"/>
      <c r="CM214" s="12" t="n"/>
      <c r="CN214" s="12" t="n"/>
      <c r="CO214" s="12" t="n"/>
      <c r="CP214" s="12" t="n"/>
      <c r="CQ214" s="12" t="n"/>
      <c r="CR214" s="12" t="n"/>
      <c r="CS214" s="12" t="n"/>
      <c r="CT214" s="12" t="n"/>
      <c r="CU214" s="12" t="n"/>
      <c r="CV214" s="12" t="n"/>
      <c r="CW214" s="12" t="n"/>
      <c r="CX214" s="12" t="n"/>
      <c r="CY214" s="12" t="n"/>
    </row>
    <row r="215" hidden="1" outlineLevel="1">
      <c r="C215" s="59" t="inlineStr">
        <is>
          <t>%(Var.)</t>
        </is>
      </c>
      <c r="D215" s="12" t="n"/>
      <c r="E215" s="40" t="n"/>
      <c r="F215" s="40" t="n"/>
      <c r="G215" s="40" t="n"/>
      <c r="H215" s="12" t="n"/>
      <c r="I215" s="40" t="str">
        <f>""</f>
        <v/>
      </c>
      <c r="J215" s="40">
        <f>IFERROR(IF(I214=0,"",J214/I214-1),"")</f>
        <v>0.00690087829360109</v>
      </c>
      <c r="K215" s="40">
        <f>IFERROR(IF(J214=0,"",K214/J214-1),"")</f>
        <v>-0.0165109034267914</v>
      </c>
      <c r="L215" s="40">
        <f>IFERROR(IF(K214=0,"",L214/K214-1),"")</f>
        <v>0.0651462358779431</v>
      </c>
      <c r="M215" s="12">
        <f>IF(L214=0,"",M214/L214-1)</f>
        <v>0</v>
      </c>
      <c r="N215" s="40">
        <f>IFERROR(IF(M214=0,"",N214/M214-1),"")</f>
        <v>0.00991276764472659</v>
      </c>
      <c r="O215" s="40">
        <f>IFERROR(IF(N214=0,"",O214/N214-1),"")</f>
        <v>-0.0231645072634472</v>
      </c>
      <c r="P215" s="40">
        <f>IFERROR(IF(O214=0,"",P214/O214-1),"")</f>
        <v>-0.0157757234726689</v>
      </c>
      <c r="Q215" s="40">
        <f>IFERROR(IF(P214=0,"",Q214/P214-1),"")</f>
        <v>0.156100051046452</v>
      </c>
      <c r="R215" s="12">
        <f>IF(Q214=0,"",R214/Q214-1)</f>
        <v>0</v>
      </c>
      <c r="S215" s="40">
        <f>IFERROR(IF(R214=0,"",S214/R214-1),"")</f>
        <v>-0.0387672200635818</v>
      </c>
      <c r="T215" s="40">
        <f>IFERROR(IF(S214=0,"",T214/S214-1),"")</f>
        <v>-0.0232429949471751</v>
      </c>
      <c r="U215" s="40">
        <f>IFERROR(IF(T214=0,"",U214/T214-1),"")</f>
        <v>-0.0165537998495109</v>
      </c>
      <c r="V215" s="40">
        <f>IFERROR(IF(U214=0,"",V214/U214-1),"")</f>
        <v>-0.286916602907422</v>
      </c>
      <c r="W215" s="12">
        <f>IF(V214=0,"",W214/V214-1)</f>
        <v>0</v>
      </c>
      <c r="X215" s="40">
        <f>IFERROR(IF(W214=0,"",X214/W214-1),"")</f>
        <v>0.171539699570815</v>
      </c>
      <c r="Y215" s="40">
        <f>IFERROR(IF(X214=0,"",Y214/X214-1),"")</f>
        <v>-0.030452203777905</v>
      </c>
      <c r="Z215" s="40">
        <f>IFERROR(IF(Y214=0,"",Z214/Y214-1),"")</f>
        <v>-0.0317628999881923</v>
      </c>
      <c r="AA215" s="40">
        <f>IFERROR(IF(Z214=0,"",AA214/Z214-1),"")</f>
        <v>-0.0352439024390243</v>
      </c>
      <c r="AB215" s="12">
        <f>IF(AA214=0,"",AB214/AA214-1)</f>
        <v>0</v>
      </c>
      <c r="AC215" s="40">
        <f>IFERROR(IF(AB214=0,"",AC214/AB214-1),"")</f>
        <v>0.18960940462647</v>
      </c>
      <c r="AD215" s="40">
        <f>IFERROR(IF(AC214=0,"",AD214/AC214-1),"")</f>
        <v>0.102008288173414</v>
      </c>
      <c r="AE215" s="40">
        <f>IFERROR(IF(AD214=0,"",AE214/AD214-1),"")</f>
        <v>-0.0242021020152349</v>
      </c>
      <c r="AF215" s="11">
        <f>IFERROR(IF(AE214=0,"",AF214/AE214-1),"")</f>
        <v>0.253557312252965</v>
      </c>
      <c r="AG215" s="12">
        <f>IF(AF214=0,"",AG214/AF214-1)</f>
        <v>0</v>
      </c>
      <c r="AH215" s="11">
        <f>IFERROR(IF(AG214=0,"",AH214/AG214-1),"")</f>
        <v>-0.0666876872142519</v>
      </c>
      <c r="AI215" s="11">
        <f>IFERROR(IF(AH214=0,"",AI214/AH214-1),"")</f>
        <v>-0.063429054054054</v>
      </c>
      <c r="AJ215" s="11">
        <f>IFERROR(IF(AI214=0,"",AJ214/AI214-1),"")</f>
        <v>0</v>
      </c>
      <c r="AK215" s="11">
        <f>IFERROR(IF(AJ214=0,"",AK214/AJ214-1),"")</f>
        <v>0</v>
      </c>
      <c r="AL215" s="12">
        <f>IFERROR(IF(AK214=0,"",AL214/AK214-1),"")</f>
        <v>0</v>
      </c>
      <c r="AM215" s="11">
        <f>IFERROR(IF(AL214=0,"",AM214/AL214-1),"")</f>
        <v>0</v>
      </c>
      <c r="AN215" s="11">
        <f>IFERROR(IF(AM214=0,"",AN214/AM214-1),"")</f>
        <v>0</v>
      </c>
      <c r="AO215" s="11">
        <f>IFERROR(IF(AN214=0,"",AO214/AN214-1),"")</f>
        <v>0</v>
      </c>
      <c r="AP215" s="11">
        <f>IFERROR(IF(AO214=0,"",AP214/AO214-1),"")</f>
        <v>0</v>
      </c>
      <c r="AQ215" s="12">
        <f>IFERROR(IF(AP214=0,"",AQ214/AP214-1),"")</f>
        <v>0</v>
      </c>
      <c r="AR215" s="11">
        <f>IFERROR(IF(AQ214=0,"",AR214/AQ214-1),"")</f>
        <v>0</v>
      </c>
      <c r="AS215" s="11">
        <f>IFERROR(IF(AR214=0,"",AS214/AR214-1),"")</f>
        <v>0</v>
      </c>
      <c r="AT215" s="11">
        <f>IFERROR(IF(AS214=0,"",AT214/AS214-1),"")</f>
        <v>0</v>
      </c>
      <c r="AU215" s="11">
        <f>IFERROR(IF(AT214=0,"",AU214/AT214-1),"")</f>
        <v>0</v>
      </c>
      <c r="AV215" s="12">
        <f>IFERROR(IF(AU214=0,"",AV214/AU214-1),"")</f>
        <v>0</v>
      </c>
      <c r="AW215" s="11">
        <f>IFERROR(IF(AV214=0,"",AW214/AV214-1),"")</f>
        <v>0</v>
      </c>
      <c r="AX215" s="11">
        <f>IFERROR(IF(AW214=0,"",AX214/AW214-1),"")</f>
        <v>0</v>
      </c>
      <c r="AY215" s="11">
        <f>IFERROR(IF(AX214=0,"",AY214/AX214-1),"")</f>
        <v>0</v>
      </c>
      <c r="AZ215" s="11">
        <f>IFERROR(IF(AY214=0,"",AZ214/AY214-1),"")</f>
        <v>0</v>
      </c>
      <c r="BA215" s="12">
        <f>IFERROR(IF(AZ214=0,"",BA214/AZ214-1),"")</f>
        <v>0</v>
      </c>
      <c r="BB215" s="11">
        <f>IFERROR(IF(BA214=0,"",BB214/BA214-1),"")</f>
        <v>0</v>
      </c>
      <c r="BC215" s="11">
        <f>IFERROR(IF(BB214=0,"",BC214/BB214-1),"")</f>
        <v>0</v>
      </c>
      <c r="BD215" s="11">
        <f>IFERROR(IF(BC214=0,"",BD214/BC214-1),"")</f>
        <v>0</v>
      </c>
      <c r="BE215" s="11">
        <f>IFERROR(IF(BD214=0,"",BE214/BD214-1),"")</f>
        <v>0</v>
      </c>
      <c r="BF215" s="12">
        <f>IFERROR(IF(BE214=0,"",BF214/BE214-1),"")</f>
        <v>0</v>
      </c>
      <c r="BG215" s="11" t="n"/>
      <c r="BH215" s="11" t="n"/>
      <c r="BI215" s="11" t="n"/>
      <c r="BJ215" s="11" t="n"/>
      <c r="BK215" s="12" t="n"/>
      <c r="BL215" s="11" t="n"/>
      <c r="BM215" s="11" t="n"/>
      <c r="BN215" s="11" t="n"/>
      <c r="BO215" s="11" t="n"/>
      <c r="BP215" s="12" t="n"/>
      <c r="BQ215" s="11" t="n"/>
      <c r="BR215" s="11" t="n"/>
      <c r="BS215" s="11" t="n"/>
      <c r="BT215" s="11" t="n"/>
      <c r="BU215" s="12" t="n"/>
      <c r="BV215" s="11" t="n"/>
      <c r="BW215" s="11" t="n"/>
      <c r="BX215" s="11" t="n"/>
      <c r="BY215" s="11" t="n"/>
      <c r="BZ215" s="12" t="n"/>
      <c r="CA215" s="11" t="n"/>
      <c r="CB215" s="11" t="n"/>
      <c r="CC215" s="11" t="n"/>
      <c r="CD215" s="11" t="n"/>
      <c r="CE215" s="12" t="n"/>
      <c r="CF215" s="11" t="n"/>
      <c r="CG215" s="11" t="n"/>
      <c r="CH215" s="11" t="n"/>
      <c r="CI215" s="11" t="n"/>
      <c r="CJ215" s="12" t="n"/>
      <c r="CK215" s="11" t="n"/>
      <c r="CL215" s="11" t="n"/>
      <c r="CM215" s="11" t="n"/>
      <c r="CN215" s="11" t="n"/>
      <c r="CO215" s="12" t="n"/>
      <c r="CP215" s="11" t="n"/>
      <c r="CQ215" s="11" t="n"/>
      <c r="CR215" s="11" t="n"/>
      <c r="CS215" s="11" t="n"/>
      <c r="CT215" s="12" t="n"/>
      <c r="CU215" s="11" t="n"/>
      <c r="CV215" s="11" t="n"/>
      <c r="CW215" s="11" t="n"/>
      <c r="CX215" s="11" t="n"/>
      <c r="CY215" s="12" t="n"/>
    </row>
    <row r="216" hidden="1" outlineLevel="1">
      <c r="C216" s="57" t="n"/>
      <c r="D216" s="12" t="n"/>
      <c r="E216" s="12" t="n"/>
      <c r="F216" s="12" t="n"/>
      <c r="G216" s="12" t="n"/>
      <c r="H216" s="12" t="n"/>
      <c r="I216" s="12" t="n"/>
      <c r="J216" s="12" t="n"/>
      <c r="K216" s="12" t="n"/>
      <c r="L216" s="12" t="n"/>
      <c r="M216" s="12" t="n"/>
      <c r="N216" s="12" t="n"/>
      <c r="O216" s="12" t="n"/>
      <c r="P216" s="12" t="n"/>
      <c r="Q216" s="12" t="n"/>
      <c r="R216" s="12" t="n"/>
      <c r="S216" s="12" t="n"/>
      <c r="T216" s="12" t="n"/>
      <c r="U216" s="12" t="n"/>
      <c r="V216" s="12" t="n"/>
      <c r="W216" s="12" t="n"/>
      <c r="X216" s="12" t="n"/>
      <c r="Y216" s="12" t="n"/>
      <c r="Z216" s="12" t="n"/>
      <c r="AA216" s="12" t="n"/>
      <c r="AB216" s="12" t="n"/>
      <c r="AC216" s="12" t="n"/>
      <c r="AD216" s="12" t="n"/>
      <c r="AE216" s="12" t="n"/>
      <c r="AF216" s="12" t="n"/>
      <c r="AG216" s="12" t="n"/>
      <c r="AH216" s="12" t="n"/>
      <c r="AI216" s="12" t="n"/>
      <c r="AJ216" s="12" t="n"/>
      <c r="AK216" s="12" t="n"/>
      <c r="AL216" s="12" t="n"/>
      <c r="AM216" s="12" t="n"/>
      <c r="AN216" s="12" t="n"/>
      <c r="AO216" s="12" t="n"/>
      <c r="AP216" s="12" t="n"/>
      <c r="AQ216" s="12" t="n"/>
      <c r="AR216" s="12" t="n"/>
      <c r="AS216" s="12" t="n"/>
      <c r="AT216" s="12" t="n"/>
      <c r="AU216" s="12" t="n"/>
      <c r="AV216" s="12" t="n"/>
      <c r="AW216" s="12" t="n"/>
      <c r="AX216" s="12" t="n"/>
      <c r="AY216" s="12" t="n"/>
      <c r="AZ216" s="12" t="n"/>
      <c r="BA216" s="12" t="n"/>
      <c r="BB216" s="12" t="n"/>
      <c r="BC216" s="12" t="n"/>
      <c r="BD216" s="12" t="n"/>
      <c r="BE216" s="12" t="n"/>
      <c r="BF216" s="12" t="n"/>
      <c r="BG216" s="12" t="n"/>
      <c r="BH216" s="12" t="n"/>
      <c r="BI216" s="12" t="n"/>
      <c r="BJ216" s="12" t="n"/>
      <c r="BK216" s="12" t="n"/>
      <c r="BL216" s="12" t="n"/>
      <c r="BM216" s="12" t="n"/>
      <c r="BN216" s="12" t="n"/>
      <c r="BO216" s="12" t="n"/>
      <c r="BP216" s="12" t="n"/>
      <c r="BQ216" s="12" t="n"/>
      <c r="BR216" s="12" t="n"/>
      <c r="BS216" s="12" t="n"/>
      <c r="BT216" s="12" t="n"/>
      <c r="BU216" s="12" t="n"/>
      <c r="BV216" s="12" t="n"/>
      <c r="BW216" s="12" t="n"/>
      <c r="BX216" s="12" t="n"/>
      <c r="BY216" s="12" t="n"/>
      <c r="BZ216" s="12" t="n"/>
      <c r="CA216" s="12" t="n"/>
      <c r="CB216" s="12" t="n"/>
      <c r="CC216" s="12" t="n"/>
      <c r="CD216" s="12" t="n"/>
      <c r="CE216" s="12" t="n"/>
      <c r="CF216" s="12" t="n"/>
      <c r="CG216" s="12" t="n"/>
      <c r="CH216" s="12" t="n"/>
      <c r="CI216" s="12" t="n"/>
      <c r="CJ216" s="12" t="n"/>
      <c r="CK216" s="12" t="n"/>
      <c r="CL216" s="12" t="n"/>
      <c r="CM216" s="12" t="n"/>
      <c r="CN216" s="12" t="n"/>
      <c r="CO216" s="12" t="n"/>
      <c r="CP216" s="12" t="n"/>
      <c r="CQ216" s="12" t="n"/>
      <c r="CR216" s="12" t="n"/>
      <c r="CS216" s="12" t="n"/>
      <c r="CT216" s="12" t="n"/>
      <c r="CU216" s="12" t="n"/>
      <c r="CV216" s="12" t="n"/>
      <c r="CW216" s="12" t="n"/>
      <c r="CX216" s="12" t="n"/>
      <c r="CY216" s="12" t="n"/>
    </row>
    <row r="217" collapsed="1">
      <c r="C217" s="14" t="inlineStr">
        <is>
          <t>Long term debt</t>
        </is>
      </c>
      <c r="D217" s="46" t="n"/>
      <c r="E217" s="46" t="n"/>
      <c r="F217" s="46" t="n"/>
      <c r="G217" s="46" t="n"/>
      <c r="H217" s="12" t="n"/>
      <c r="I217" s="46">
        <f>'Inputs (2)'!D35</f>
        <v>883.53</v>
      </c>
      <c r="J217" s="46">
        <f>'Inputs (2)'!E35</f>
        <v>1068.396</v>
      </c>
      <c r="K217" s="46">
        <f>'Inputs (2)'!F35</f>
        <v>1049.421</v>
      </c>
      <c r="L217" s="46">
        <f>'Inputs (2)'!G35</f>
        <v>1114.197</v>
      </c>
      <c r="M217" s="12">
        <f>'Inputs (2)'!H35</f>
        <v>1114.197</v>
      </c>
      <c r="N217" s="46">
        <f>'Inputs (2)'!I35</f>
        <v>1112.674</v>
      </c>
      <c r="O217" s="46">
        <f>'Inputs (2)'!J35</f>
        <v>1035.098</v>
      </c>
      <c r="P217" s="46">
        <f>'Inputs (2)'!K35</f>
        <v>1180.793</v>
      </c>
      <c r="Q217" s="46">
        <f>'Inputs (2)'!L35</f>
        <v>1080.104</v>
      </c>
      <c r="R217" s="12">
        <f>'Inputs (2)'!M35</f>
        <v>1080.104</v>
      </c>
      <c r="S217" s="46">
        <f>'Inputs (2)'!N35</f>
        <v>1070.985</v>
      </c>
      <c r="T217" s="46">
        <f>'Inputs (2)'!O35</f>
        <v>1118.46</v>
      </c>
      <c r="U217" s="46">
        <f>'Inputs (2)'!P35</f>
        <v>971.64</v>
      </c>
      <c r="V217" s="46">
        <f>'Inputs (2)'!Q35</f>
        <v>1088.111</v>
      </c>
      <c r="W217" s="12">
        <f>'Inputs (2)'!R35</f>
        <v>1088.111</v>
      </c>
      <c r="X217" s="46">
        <f>'Inputs (2)'!S35</f>
        <v>1061.373</v>
      </c>
      <c r="Y217" s="46">
        <f>'Inputs (2)'!T35</f>
        <v>1088.924</v>
      </c>
      <c r="Z217" s="46">
        <f>'Inputs (2)'!U35</f>
        <v>1412.044</v>
      </c>
      <c r="AA217" s="46">
        <f>'Inputs (2)'!V35</f>
        <v>1347.099</v>
      </c>
      <c r="AB217" s="12">
        <f>'Inputs (2)'!W35</f>
        <v>1347.099</v>
      </c>
      <c r="AC217" s="46">
        <f>'Inputs (2)'!X35</f>
        <v>1701.507</v>
      </c>
      <c r="AD217" s="46">
        <f>'Inputs (2)'!Y35</f>
        <v>1774.509</v>
      </c>
      <c r="AE217" s="46">
        <f>'Inputs (2)'!Z35</f>
        <v>2341.473</v>
      </c>
      <c r="AF217" s="46">
        <f>'Inputs (2)'!AA35</f>
        <v>2483.542</v>
      </c>
      <c r="AG217" s="12">
        <f>'Inputs (2)'!AB35</f>
        <v>2483.542</v>
      </c>
      <c r="AH217" s="12">
        <f>'Inputs (2)'!AC35</f>
        <v>2794.176</v>
      </c>
      <c r="AI217" s="12">
        <f>'Inputs (2)'!AD35</f>
        <v>2658.251</v>
      </c>
      <c r="AJ217" s="12">
        <f>AJ223</f>
        <v>2658.251</v>
      </c>
      <c r="AK217" s="12">
        <f>AK223</f>
        <v>2658.251</v>
      </c>
      <c r="AL217" s="12">
        <f>AK217</f>
        <v>2658.251</v>
      </c>
      <c r="AM217" s="12">
        <f>AM223</f>
        <v>2658.251</v>
      </c>
      <c r="AN217" s="12">
        <f>AN223</f>
        <v>2658.251</v>
      </c>
      <c r="AO217" s="12">
        <f>AO223</f>
        <v>2658.251</v>
      </c>
      <c r="AP217" s="12">
        <f>AP223</f>
        <v>2658.251</v>
      </c>
      <c r="AQ217" s="12">
        <f>AP217</f>
        <v>2658.251</v>
      </c>
      <c r="AR217" s="12">
        <f>AR223</f>
        <v>2658.251</v>
      </c>
      <c r="AS217" s="12">
        <f>AS223</f>
        <v>2658.251</v>
      </c>
      <c r="AT217" s="12">
        <f>AT223</f>
        <v>2658.251</v>
      </c>
      <c r="AU217" s="12">
        <f>AU223</f>
        <v>2658.251</v>
      </c>
      <c r="AV217" s="12">
        <f>AU217</f>
        <v>2658.251</v>
      </c>
      <c r="AW217" s="12">
        <f>AW223</f>
        <v>2658.251</v>
      </c>
      <c r="AX217" s="12">
        <f>AX223</f>
        <v>2658.251</v>
      </c>
      <c r="AY217" s="12">
        <f>AY223</f>
        <v>2658.251</v>
      </c>
      <c r="AZ217" s="12">
        <f>AZ223</f>
        <v>2658.251</v>
      </c>
      <c r="BA217" s="12">
        <f>AZ217</f>
        <v>2658.251</v>
      </c>
      <c r="BB217" s="12">
        <f>BB223</f>
        <v>2658.251</v>
      </c>
      <c r="BC217" s="12">
        <f>BC223</f>
        <v>2658.251</v>
      </c>
      <c r="BD217" s="12">
        <f>BD223</f>
        <v>2658.251</v>
      </c>
      <c r="BE217" s="12">
        <f>BE223</f>
        <v>2658.251</v>
      </c>
      <c r="BF217" s="12">
        <f>BE217</f>
        <v>2658.251</v>
      </c>
      <c r="BG217" s="12" t="n"/>
      <c r="BH217" s="12" t="n"/>
      <c r="BI217" s="12" t="n"/>
      <c r="BJ217" s="12" t="n"/>
      <c r="BK217" s="12" t="n"/>
      <c r="BL217" s="12" t="n"/>
      <c r="BM217" s="12" t="n"/>
      <c r="BN217" s="12" t="n"/>
      <c r="BO217" s="12" t="n"/>
      <c r="BP217" s="12" t="n"/>
      <c r="BQ217" s="12" t="n"/>
      <c r="BR217" s="12" t="n"/>
      <c r="BS217" s="12" t="n"/>
      <c r="BT217" s="12" t="n"/>
      <c r="BU217" s="12" t="n"/>
      <c r="BV217" s="12" t="n"/>
      <c r="BW217" s="12" t="n"/>
      <c r="BX217" s="12" t="n"/>
      <c r="BY217" s="12" t="n"/>
      <c r="BZ217" s="12" t="n"/>
      <c r="CA217" s="12" t="n"/>
      <c r="CB217" s="12" t="n"/>
      <c r="CC217" s="12" t="n"/>
      <c r="CD217" s="12" t="n"/>
      <c r="CE217" s="12" t="n"/>
      <c r="CF217" s="12" t="n"/>
      <c r="CG217" s="12" t="n"/>
      <c r="CH217" s="12" t="n"/>
      <c r="CI217" s="12" t="n"/>
      <c r="CJ217" s="12" t="n"/>
      <c r="CK217" s="12" t="n"/>
      <c r="CL217" s="12" t="n"/>
      <c r="CM217" s="12" t="n"/>
      <c r="CN217" s="12" t="n"/>
      <c r="CO217" s="12" t="n"/>
      <c r="CP217" s="12" t="n"/>
      <c r="CQ217" s="12" t="n"/>
      <c r="CR217" s="12" t="n"/>
      <c r="CS217" s="12" t="n"/>
      <c r="CT217" s="12" t="n"/>
      <c r="CU217" s="12" t="n"/>
      <c r="CV217" s="12" t="n"/>
      <c r="CW217" s="12" t="n"/>
      <c r="CX217" s="12" t="n"/>
      <c r="CY217" s="12" t="n"/>
    </row>
    <row r="218" hidden="1" outlineLevel="1">
      <c r="C218" s="57" t="n"/>
      <c r="D218" s="12" t="n"/>
      <c r="E218" s="12" t="n"/>
      <c r="F218" s="12" t="n"/>
      <c r="G218" s="12" t="n"/>
      <c r="H218" s="12" t="n"/>
      <c r="I218" s="12" t="n"/>
      <c r="J218" s="12" t="n"/>
      <c r="K218" s="12" t="n"/>
      <c r="L218" s="12" t="n"/>
      <c r="M218" s="12" t="n"/>
      <c r="N218" s="12" t="n"/>
      <c r="O218" s="12" t="n"/>
      <c r="P218" s="12" t="n"/>
      <c r="Q218" s="12" t="n"/>
      <c r="R218" s="12" t="n"/>
      <c r="S218" s="12" t="n"/>
      <c r="T218" s="12" t="n"/>
      <c r="U218" s="12" t="n"/>
      <c r="V218" s="12" t="n"/>
      <c r="W218" s="12" t="n"/>
      <c r="X218" s="12" t="n"/>
      <c r="Y218" s="12" t="n"/>
      <c r="Z218" s="12" t="n"/>
      <c r="AA218" s="12" t="n"/>
      <c r="AB218" s="12" t="n"/>
      <c r="AC218" s="12" t="n"/>
      <c r="AD218" s="12" t="n"/>
      <c r="AE218" s="12" t="n"/>
      <c r="AF218" s="12" t="n"/>
      <c r="AG218" s="12" t="n"/>
      <c r="AH218" s="12" t="n"/>
      <c r="AI218" s="12" t="n"/>
      <c r="AJ218" s="12" t="n"/>
      <c r="AK218" s="12" t="n"/>
      <c r="AL218" s="12" t="n"/>
      <c r="AM218" s="12" t="n"/>
      <c r="AN218" s="12" t="n"/>
      <c r="AO218" s="12" t="n"/>
      <c r="AP218" s="12" t="n"/>
      <c r="AQ218" s="12" t="n"/>
      <c r="AR218" s="12" t="n"/>
      <c r="AS218" s="12" t="n"/>
      <c r="AT218" s="12" t="n"/>
      <c r="AU218" s="12" t="n"/>
      <c r="AV218" s="12" t="n"/>
      <c r="AW218" s="12" t="n"/>
      <c r="AX218" s="12" t="n"/>
      <c r="AY218" s="12" t="n"/>
      <c r="AZ218" s="12" t="n"/>
      <c r="BA218" s="12" t="n"/>
      <c r="BB218" s="12" t="n"/>
      <c r="BC218" s="12" t="n"/>
      <c r="BD218" s="12" t="n"/>
      <c r="BE218" s="12" t="n"/>
      <c r="BF218" s="12" t="n"/>
      <c r="BG218" s="12" t="n"/>
      <c r="BH218" s="12" t="n"/>
      <c r="BI218" s="12" t="n"/>
      <c r="BJ218" s="12" t="n"/>
      <c r="BK218" s="12" t="n"/>
      <c r="BL218" s="12" t="n"/>
      <c r="BM218" s="12" t="n"/>
      <c r="BN218" s="12" t="n"/>
      <c r="BO218" s="12" t="n"/>
      <c r="BP218" s="12" t="n"/>
      <c r="BQ218" s="12" t="n"/>
      <c r="BR218" s="12" t="n"/>
      <c r="BS218" s="12" t="n"/>
      <c r="BT218" s="12" t="n"/>
      <c r="BU218" s="12" t="n"/>
      <c r="BV218" s="12" t="n"/>
      <c r="BW218" s="12" t="n"/>
      <c r="BX218" s="12" t="n"/>
      <c r="BY218" s="12" t="n"/>
      <c r="BZ218" s="12" t="n"/>
      <c r="CA218" s="12" t="n"/>
      <c r="CB218" s="12" t="n"/>
      <c r="CC218" s="12" t="n"/>
      <c r="CD218" s="12" t="n"/>
      <c r="CE218" s="12" t="n"/>
      <c r="CF218" s="12" t="n"/>
      <c r="CG218" s="12" t="n"/>
      <c r="CH218" s="12" t="n"/>
      <c r="CI218" s="12" t="n"/>
      <c r="CJ218" s="12" t="n"/>
      <c r="CK218" s="12" t="n"/>
      <c r="CL218" s="12" t="n"/>
      <c r="CM218" s="12" t="n"/>
      <c r="CN218" s="12" t="n"/>
      <c r="CO218" s="12" t="n"/>
      <c r="CP218" s="12" t="n"/>
      <c r="CQ218" s="12" t="n"/>
      <c r="CR218" s="12" t="n"/>
      <c r="CS218" s="12" t="n"/>
      <c r="CT218" s="12" t="n"/>
      <c r="CU218" s="12" t="n"/>
      <c r="CV218" s="12" t="n"/>
      <c r="CW218" s="12" t="n"/>
      <c r="CX218" s="12" t="n"/>
      <c r="CY218" s="12" t="n"/>
    </row>
    <row r="219" hidden="1" outlineLevel="1">
      <c r="C219" s="57" t="inlineStr">
        <is>
          <t>Current portion of LTD</t>
        </is>
      </c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  <c r="V219" s="12" t="n"/>
      <c r="W219" s="12" t="n"/>
      <c r="X219" s="12" t="n"/>
      <c r="Y219" s="12" t="n"/>
      <c r="Z219" s="12" t="n"/>
      <c r="AA219" s="12" t="n"/>
      <c r="AB219" s="12" t="n"/>
      <c r="AC219" s="12" t="n"/>
      <c r="AD219" s="12" t="n"/>
      <c r="AE219" s="12" t="n"/>
      <c r="AF219" s="12" t="n"/>
      <c r="AG219" s="12" t="n"/>
      <c r="AH219" s="12">
        <f>AF212</f>
        <v>274.805</v>
      </c>
      <c r="AI219" s="62" t="n"/>
      <c r="AJ219" s="62" t="n"/>
      <c r="AK219" s="62" t="n"/>
      <c r="AL219" s="12" t="n"/>
      <c r="AM219" s="12">
        <f>AK212</f>
        <v>297.868</v>
      </c>
      <c r="AN219" s="62" t="n"/>
      <c r="AO219" s="62" t="n"/>
      <c r="AP219" s="62" t="n"/>
      <c r="AQ219" s="12" t="n"/>
      <c r="AR219" s="12">
        <f>AP212</f>
        <v>297.868</v>
      </c>
      <c r="AS219" s="62" t="n"/>
      <c r="AT219" s="62" t="n"/>
      <c r="AU219" s="62" t="n"/>
      <c r="AV219" s="12" t="n"/>
      <c r="AW219" s="12">
        <f>AU212</f>
        <v>297.868</v>
      </c>
      <c r="AX219" s="62" t="n"/>
      <c r="AY219" s="62" t="n"/>
      <c r="AZ219" s="62" t="n"/>
      <c r="BA219" s="12" t="n"/>
      <c r="BB219" s="12">
        <f>AZ212</f>
        <v>297.868</v>
      </c>
      <c r="BC219" s="62" t="n"/>
      <c r="BD219" s="62" t="n"/>
      <c r="BE219" s="62" t="n"/>
      <c r="BF219" s="12" t="n"/>
      <c r="BG219" s="12" t="n"/>
      <c r="BH219" s="62" t="n"/>
      <c r="BI219" s="62" t="n"/>
      <c r="BJ219" s="62" t="n"/>
      <c r="BK219" s="12" t="n"/>
      <c r="BL219" s="12" t="n"/>
      <c r="BM219" s="62" t="n"/>
      <c r="BN219" s="62" t="n"/>
      <c r="BO219" s="62" t="n"/>
      <c r="BP219" s="12" t="n"/>
      <c r="BQ219" s="12" t="n"/>
      <c r="BR219" s="62" t="n"/>
      <c r="BS219" s="62" t="n"/>
      <c r="BT219" s="62" t="n"/>
      <c r="BU219" s="12" t="n"/>
      <c r="BV219" s="12" t="n"/>
      <c r="BW219" s="62" t="n"/>
      <c r="BX219" s="62" t="n"/>
      <c r="BY219" s="62" t="n"/>
      <c r="BZ219" s="12" t="n"/>
      <c r="CA219" s="12" t="n"/>
      <c r="CB219" s="62" t="n"/>
      <c r="CC219" s="62" t="n"/>
      <c r="CD219" s="62" t="n"/>
      <c r="CE219" s="12" t="n"/>
      <c r="CF219" s="12" t="n"/>
      <c r="CG219" s="62" t="n"/>
      <c r="CH219" s="62" t="n"/>
      <c r="CI219" s="62" t="n"/>
      <c r="CJ219" s="12" t="n"/>
      <c r="CK219" s="12" t="n"/>
      <c r="CL219" s="62" t="n"/>
      <c r="CM219" s="62" t="n"/>
      <c r="CN219" s="62" t="n"/>
      <c r="CO219" s="12" t="n"/>
      <c r="CP219" s="12" t="n"/>
      <c r="CQ219" s="62" t="n"/>
      <c r="CR219" s="62" t="n"/>
      <c r="CS219" s="62" t="n"/>
      <c r="CT219" s="12" t="n"/>
      <c r="CU219" s="12" t="n"/>
      <c r="CV219" s="62" t="n"/>
      <c r="CW219" s="62" t="n"/>
      <c r="CX219" s="62" t="n"/>
      <c r="CY219" s="12" t="n"/>
    </row>
    <row r="220" hidden="1" outlineLevel="1">
      <c r="C220" s="57" t="n"/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12" t="n"/>
      <c r="O220" s="12" t="n"/>
      <c r="P220" s="12" t="n"/>
      <c r="Q220" s="12" t="n"/>
      <c r="R220" s="12" t="n"/>
      <c r="S220" s="12" t="n"/>
      <c r="T220" s="12" t="n"/>
      <c r="U220" s="12" t="n"/>
      <c r="V220" s="12" t="n"/>
      <c r="W220" s="12" t="n"/>
      <c r="X220" s="12" t="n"/>
      <c r="Y220" s="12" t="n"/>
      <c r="Z220" s="12" t="n"/>
      <c r="AA220" s="12" t="n"/>
      <c r="AB220" s="12" t="n"/>
      <c r="AC220" s="12" t="n"/>
      <c r="AD220" s="12" t="n"/>
      <c r="AE220" s="12" t="n"/>
      <c r="AF220" s="12" t="n"/>
      <c r="AG220" s="12" t="n"/>
      <c r="AH220" s="12" t="n"/>
      <c r="AI220" s="12" t="n"/>
      <c r="AJ220" s="12" t="n"/>
      <c r="AK220" s="12" t="n"/>
      <c r="AL220" s="12" t="n"/>
      <c r="AM220" s="12" t="n"/>
      <c r="AN220" s="12" t="n"/>
      <c r="AO220" s="12" t="n"/>
      <c r="AP220" s="12" t="n"/>
      <c r="AQ220" s="12" t="n"/>
      <c r="AR220" s="12" t="n"/>
      <c r="AS220" s="12" t="n"/>
      <c r="AT220" s="12" t="n"/>
      <c r="AU220" s="12" t="n"/>
      <c r="AV220" s="12" t="n"/>
      <c r="AW220" s="12" t="n"/>
      <c r="AX220" s="12" t="n"/>
      <c r="AY220" s="12" t="n"/>
      <c r="AZ220" s="12" t="n"/>
      <c r="BA220" s="12" t="n"/>
      <c r="BB220" s="12" t="n"/>
      <c r="BC220" s="12" t="n"/>
      <c r="BD220" s="12" t="n"/>
      <c r="BE220" s="12" t="n"/>
      <c r="BF220" s="12" t="n"/>
      <c r="BG220" s="12" t="n"/>
      <c r="BH220" s="12" t="n"/>
      <c r="BI220" s="12" t="n"/>
      <c r="BJ220" s="12" t="n"/>
      <c r="BK220" s="12" t="n"/>
      <c r="BL220" s="12" t="n"/>
      <c r="BM220" s="12" t="n"/>
      <c r="BN220" s="12" t="n"/>
      <c r="BO220" s="12" t="n"/>
      <c r="BP220" s="12" t="n"/>
      <c r="BQ220" s="12" t="n"/>
      <c r="BR220" s="12" t="n"/>
      <c r="BS220" s="12" t="n"/>
      <c r="BT220" s="12" t="n"/>
      <c r="BU220" s="12" t="n"/>
      <c r="BV220" s="12" t="n"/>
      <c r="BW220" s="12" t="n"/>
      <c r="BX220" s="12" t="n"/>
      <c r="BY220" s="12" t="n"/>
      <c r="BZ220" s="12" t="n"/>
      <c r="CA220" s="12" t="n"/>
      <c r="CB220" s="12" t="n"/>
      <c r="CC220" s="12" t="n"/>
      <c r="CD220" s="12" t="n"/>
      <c r="CE220" s="12" t="n"/>
      <c r="CF220" s="12" t="n"/>
      <c r="CG220" s="12" t="n"/>
      <c r="CH220" s="12" t="n"/>
      <c r="CI220" s="12" t="n"/>
      <c r="CJ220" s="12" t="n"/>
      <c r="CK220" s="12" t="n"/>
      <c r="CL220" s="12" t="n"/>
      <c r="CM220" s="12" t="n"/>
      <c r="CN220" s="12" t="n"/>
      <c r="CO220" s="12" t="n"/>
      <c r="CP220" s="12" t="n"/>
      <c r="CQ220" s="12" t="n"/>
      <c r="CR220" s="12" t="n"/>
      <c r="CS220" s="12" t="n"/>
      <c r="CT220" s="12" t="n"/>
      <c r="CU220" s="12" t="n"/>
      <c r="CV220" s="12" t="n"/>
      <c r="CW220" s="12" t="n"/>
      <c r="CX220" s="12" t="n"/>
      <c r="CY220" s="12" t="n"/>
    </row>
    <row r="221" hidden="1" outlineLevel="1">
      <c r="C221" s="57" t="inlineStr">
        <is>
          <t>Reclassification of LTD to CP of LTD</t>
        </is>
      </c>
      <c r="D221" s="12" t="n"/>
      <c r="E221" s="12" t="n"/>
      <c r="F221" s="12" t="n"/>
      <c r="G221" s="12" t="n"/>
      <c r="H221" s="12" t="n"/>
      <c r="I221" s="12" t="n"/>
      <c r="J221" s="12" t="n"/>
      <c r="K221" s="12" t="n"/>
      <c r="L221" s="12" t="n"/>
      <c r="M221" s="12" t="n"/>
      <c r="N221" s="12" t="n"/>
      <c r="O221" s="12" t="n"/>
      <c r="P221" s="12" t="n"/>
      <c r="Q221" s="12" t="n"/>
      <c r="R221" s="12" t="n"/>
      <c r="S221" s="12" t="n"/>
      <c r="T221" s="12" t="n"/>
      <c r="U221" s="12" t="n"/>
      <c r="V221" s="12" t="n"/>
      <c r="W221" s="12" t="n"/>
      <c r="X221" s="12" t="n"/>
      <c r="Y221" s="12" t="n"/>
      <c r="Z221" s="12" t="n"/>
      <c r="AA221" s="12" t="n"/>
      <c r="AB221" s="12" t="n"/>
      <c r="AC221" s="12" t="n"/>
      <c r="AD221" s="12" t="n"/>
      <c r="AE221" s="12" t="n"/>
      <c r="AF221" s="12" t="n"/>
      <c r="AG221" s="12" t="n"/>
      <c r="AH221" s="12" t="n"/>
      <c r="AI221" s="12">
        <f>-AI219</f>
        <v>0</v>
      </c>
      <c r="AJ221" s="12">
        <f>-AJ219</f>
        <v>0</v>
      </c>
      <c r="AK221" s="12">
        <f>-AK219</f>
        <v>0</v>
      </c>
      <c r="AL221" s="12" t="n"/>
      <c r="AM221" s="12" t="n"/>
      <c r="AN221" s="12">
        <f>-AN219</f>
        <v>0</v>
      </c>
      <c r="AO221" s="12">
        <f>-AO219</f>
        <v>0</v>
      </c>
      <c r="AP221" s="12">
        <f>-AP219</f>
        <v>0</v>
      </c>
      <c r="AQ221" s="12" t="n"/>
      <c r="AR221" s="12" t="n"/>
      <c r="AS221" s="12">
        <f>-AS219</f>
        <v>0</v>
      </c>
      <c r="AT221" s="12">
        <f>-AT219</f>
        <v>0</v>
      </c>
      <c r="AU221" s="12">
        <f>-AU219</f>
        <v>0</v>
      </c>
      <c r="AV221" s="12" t="n"/>
      <c r="AW221" s="12" t="n"/>
      <c r="AX221" s="12">
        <f>-AX219</f>
        <v>0</v>
      </c>
      <c r="AY221" s="12">
        <f>-AY219</f>
        <v>0</v>
      </c>
      <c r="AZ221" s="12">
        <f>-AZ219</f>
        <v>0</v>
      </c>
      <c r="BA221" s="12" t="n"/>
      <c r="BB221" s="12" t="n"/>
      <c r="BC221" s="12">
        <f>-BC219</f>
        <v>0</v>
      </c>
      <c r="BD221" s="12">
        <f>-BD219</f>
        <v>0</v>
      </c>
      <c r="BE221" s="12">
        <f>-BE219</f>
        <v>0</v>
      </c>
      <c r="BF221" s="12" t="n"/>
      <c r="BG221" s="12" t="n"/>
      <c r="BH221" s="12" t="n"/>
      <c r="BI221" s="12" t="n"/>
      <c r="BJ221" s="12" t="n"/>
      <c r="BK221" s="12" t="n"/>
      <c r="BL221" s="12" t="n"/>
      <c r="BM221" s="12" t="n"/>
      <c r="BN221" s="12" t="n"/>
      <c r="BO221" s="12" t="n"/>
      <c r="BP221" s="12" t="n"/>
      <c r="BQ221" s="12" t="n"/>
      <c r="BR221" s="12" t="n"/>
      <c r="BS221" s="12" t="n"/>
      <c r="BT221" s="12" t="n"/>
      <c r="BU221" s="12" t="n"/>
      <c r="BV221" s="12" t="n"/>
      <c r="BW221" s="12" t="n"/>
      <c r="BX221" s="12" t="n"/>
      <c r="BY221" s="12" t="n"/>
      <c r="BZ221" s="12" t="n"/>
      <c r="CA221" s="12" t="n"/>
      <c r="CB221" s="12" t="n"/>
      <c r="CC221" s="12" t="n"/>
      <c r="CD221" s="12" t="n"/>
      <c r="CE221" s="12" t="n"/>
      <c r="CF221" s="12" t="n"/>
      <c r="CG221" s="12" t="n"/>
      <c r="CH221" s="12" t="n"/>
      <c r="CI221" s="12" t="n"/>
      <c r="CJ221" s="12" t="n"/>
      <c r="CK221" s="12" t="n"/>
      <c r="CL221" s="12" t="n"/>
      <c r="CM221" s="12" t="n"/>
      <c r="CN221" s="12" t="n"/>
      <c r="CO221" s="12" t="n"/>
      <c r="CP221" s="12" t="n"/>
      <c r="CQ221" s="12" t="n"/>
      <c r="CR221" s="12" t="n"/>
      <c r="CS221" s="12" t="n"/>
      <c r="CT221" s="12" t="n"/>
      <c r="CU221" s="12" t="n"/>
      <c r="CV221" s="12" t="n"/>
      <c r="CW221" s="12" t="n"/>
      <c r="CX221" s="12" t="n"/>
      <c r="CY221" s="12" t="n"/>
    </row>
    <row r="222" hidden="1" outlineLevel="1">
      <c r="C222" s="57" t="inlineStr">
        <is>
          <t>Discretionary (paydown)/borrowing of long term debt</t>
        </is>
      </c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  <c r="V222" s="12" t="n"/>
      <c r="W222" s="12" t="n"/>
      <c r="X222" s="12" t="n"/>
      <c r="Y222" s="12" t="n"/>
      <c r="Z222" s="12" t="n"/>
      <c r="AA222" s="12" t="n"/>
      <c r="AB222" s="12" t="n"/>
      <c r="AC222" s="12" t="n"/>
      <c r="AD222" s="12" t="n"/>
      <c r="AE222" s="12" t="n"/>
      <c r="AF222" s="12" t="n"/>
      <c r="AG222" s="12" t="n"/>
      <c r="AH222" s="62" t="n"/>
      <c r="AI222" s="62" t="n"/>
      <c r="AJ222" s="62" t="n"/>
      <c r="AK222" s="62" t="n"/>
      <c r="AL222" s="12" t="n"/>
      <c r="AM222" s="62" t="n"/>
      <c r="AN222" s="62" t="n"/>
      <c r="AO222" s="62" t="n"/>
      <c r="AP222" s="62" t="n"/>
      <c r="AQ222" s="12" t="n"/>
      <c r="AR222" s="62" t="n"/>
      <c r="AS222" s="62" t="n"/>
      <c r="AT222" s="62" t="n"/>
      <c r="AU222" s="62" t="n"/>
      <c r="AV222" s="12" t="n"/>
      <c r="AW222" s="62" t="n"/>
      <c r="AX222" s="62" t="n"/>
      <c r="AY222" s="62" t="n"/>
      <c r="AZ222" s="62" t="n"/>
      <c r="BA222" s="12" t="n"/>
      <c r="BB222" s="62" t="n"/>
      <c r="BC222" s="62" t="n"/>
      <c r="BD222" s="62" t="n"/>
      <c r="BE222" s="62" t="n"/>
      <c r="BF222" s="12" t="n"/>
      <c r="BG222" s="62" t="n"/>
      <c r="BH222" s="62" t="n"/>
      <c r="BI222" s="62" t="n"/>
      <c r="BJ222" s="62" t="n"/>
      <c r="BK222" s="12" t="n"/>
      <c r="BL222" s="62" t="n"/>
      <c r="BM222" s="62" t="n"/>
      <c r="BN222" s="62" t="n"/>
      <c r="BO222" s="62" t="n"/>
      <c r="BP222" s="12" t="n"/>
      <c r="BQ222" s="62" t="n"/>
      <c r="BR222" s="62" t="n"/>
      <c r="BS222" s="62" t="n"/>
      <c r="BT222" s="62" t="n"/>
      <c r="BU222" s="12" t="n"/>
      <c r="BV222" s="62" t="n"/>
      <c r="BW222" s="62" t="n"/>
      <c r="BX222" s="62" t="n"/>
      <c r="BY222" s="62" t="n"/>
      <c r="BZ222" s="12" t="n"/>
      <c r="CA222" s="62" t="n"/>
      <c r="CB222" s="62" t="n"/>
      <c r="CC222" s="62" t="n"/>
      <c r="CD222" s="62" t="n"/>
      <c r="CE222" s="12" t="n"/>
      <c r="CF222" s="62" t="n"/>
      <c r="CG222" s="62" t="n"/>
      <c r="CH222" s="62" t="n"/>
      <c r="CI222" s="62" t="n"/>
      <c r="CJ222" s="12" t="n"/>
      <c r="CK222" s="62" t="n"/>
      <c r="CL222" s="62" t="n"/>
      <c r="CM222" s="62" t="n"/>
      <c r="CN222" s="62" t="n"/>
      <c r="CO222" s="12" t="n"/>
      <c r="CP222" s="62" t="n"/>
      <c r="CQ222" s="62" t="n"/>
      <c r="CR222" s="62" t="n"/>
      <c r="CS222" s="62" t="n"/>
      <c r="CT222" s="12" t="n"/>
      <c r="CU222" s="62" t="n"/>
      <c r="CV222" s="62" t="n"/>
      <c r="CW222" s="62" t="n"/>
      <c r="CX222" s="62" t="n"/>
      <c r="CY222" s="12" t="n"/>
    </row>
    <row r="223" hidden="1" outlineLevel="1">
      <c r="C223" s="57" t="inlineStr">
        <is>
          <t>Long term debt</t>
        </is>
      </c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  <c r="V223" s="12" t="n"/>
      <c r="W223" s="12" t="n"/>
      <c r="X223" s="12" t="n"/>
      <c r="Y223" s="12" t="n"/>
      <c r="Z223" s="12" t="n"/>
      <c r="AA223" s="12" t="n"/>
      <c r="AB223" s="12" t="n"/>
      <c r="AC223" s="12" t="n"/>
      <c r="AD223" s="12" t="n"/>
      <c r="AE223" s="12" t="n"/>
      <c r="AF223" s="12" t="n"/>
      <c r="AG223" s="12" t="n"/>
      <c r="AH223" s="12">
        <f>AH217</f>
        <v>2794.176</v>
      </c>
      <c r="AI223" s="12">
        <f>AI217</f>
        <v>2658.251</v>
      </c>
      <c r="AJ223" s="12">
        <f>AI223+SUM(AJ221:AJ222)</f>
        <v>2658.251</v>
      </c>
      <c r="AK223" s="12">
        <f>AJ223+SUM(AK221:AK222)</f>
        <v>2658.251</v>
      </c>
      <c r="AL223" s="12" t="n"/>
      <c r="AM223" s="12">
        <f>AK223+SUM(AM221:AM222)</f>
        <v>2658.251</v>
      </c>
      <c r="AN223" s="12">
        <f>AM223+SUM(AN221:AN222)</f>
        <v>2658.251</v>
      </c>
      <c r="AO223" s="12">
        <f>AN223+SUM(AO221:AO222)</f>
        <v>2658.251</v>
      </c>
      <c r="AP223" s="12">
        <f>AO223+SUM(AP221:AP222)</f>
        <v>2658.251</v>
      </c>
      <c r="AQ223" s="12" t="n"/>
      <c r="AR223" s="12">
        <f>AP223+SUM(AR221:AR222)</f>
        <v>2658.251</v>
      </c>
      <c r="AS223" s="12">
        <f>AR223+SUM(AS221:AS222)</f>
        <v>2658.251</v>
      </c>
      <c r="AT223" s="12">
        <f>AS223+SUM(AT221:AT222)</f>
        <v>2658.251</v>
      </c>
      <c r="AU223" s="12">
        <f>AT223+SUM(AU221:AU222)</f>
        <v>2658.251</v>
      </c>
      <c r="AV223" s="12" t="n"/>
      <c r="AW223" s="12">
        <f>AU223+SUM(AW221:AW222)</f>
        <v>2658.251</v>
      </c>
      <c r="AX223" s="12">
        <f>AW223+SUM(AX221:AX222)</f>
        <v>2658.251</v>
      </c>
      <c r="AY223" s="12">
        <f>AX223+SUM(AY221:AY222)</f>
        <v>2658.251</v>
      </c>
      <c r="AZ223" s="12">
        <f>AY223+SUM(AZ221:AZ222)</f>
        <v>2658.251</v>
      </c>
      <c r="BA223" s="12" t="n"/>
      <c r="BB223" s="12">
        <f>AZ223+SUM(BB221:BB222)</f>
        <v>2658.251</v>
      </c>
      <c r="BC223" s="12">
        <f>BB223+SUM(BC221:BC222)</f>
        <v>2658.251</v>
      </c>
      <c r="BD223" s="12">
        <f>BC223+SUM(BD221:BD222)</f>
        <v>2658.251</v>
      </c>
      <c r="BE223" s="12">
        <f>BD223+SUM(BE221:BE222)</f>
        <v>2658.251</v>
      </c>
      <c r="BF223" s="12" t="n"/>
      <c r="BG223" s="12" t="n"/>
      <c r="BH223" s="12" t="n"/>
      <c r="BI223" s="12" t="n"/>
      <c r="BJ223" s="12" t="n"/>
      <c r="BK223" s="12" t="n"/>
      <c r="BL223" s="12" t="n"/>
      <c r="BM223" s="12" t="n"/>
      <c r="BN223" s="12" t="n"/>
      <c r="BO223" s="12" t="n"/>
      <c r="BP223" s="12" t="n"/>
      <c r="BQ223" s="12" t="n"/>
      <c r="BR223" s="12" t="n"/>
      <c r="BS223" s="12" t="n"/>
      <c r="BT223" s="12" t="n"/>
      <c r="BU223" s="12" t="n"/>
      <c r="BV223" s="12" t="n"/>
      <c r="BW223" s="12" t="n"/>
      <c r="BX223" s="12" t="n"/>
      <c r="BY223" s="12" t="n"/>
      <c r="BZ223" s="12" t="n"/>
      <c r="CA223" s="12" t="n"/>
      <c r="CB223" s="12" t="n"/>
      <c r="CC223" s="12" t="n"/>
      <c r="CD223" s="12" t="n"/>
      <c r="CE223" s="12" t="n"/>
      <c r="CF223" s="12" t="n"/>
      <c r="CG223" s="12" t="n"/>
      <c r="CH223" s="12" t="n"/>
      <c r="CI223" s="12" t="n"/>
      <c r="CJ223" s="12" t="n"/>
      <c r="CK223" s="12" t="n"/>
      <c r="CL223" s="12" t="n"/>
      <c r="CM223" s="12" t="n"/>
      <c r="CN223" s="12" t="n"/>
      <c r="CO223" s="12" t="n"/>
      <c r="CP223" s="12" t="n"/>
      <c r="CQ223" s="12" t="n"/>
      <c r="CR223" s="12" t="n"/>
      <c r="CS223" s="12" t="n"/>
      <c r="CT223" s="12" t="n"/>
      <c r="CU223" s="12" t="n"/>
      <c r="CV223" s="12" t="n"/>
      <c r="CW223" s="12" t="n"/>
      <c r="CX223" s="12" t="n"/>
      <c r="CY223" s="12" t="n"/>
    </row>
    <row r="224" hidden="1" outlineLevel="1">
      <c r="C224" s="57" t="n"/>
      <c r="D224" s="12" t="n"/>
      <c r="E224" s="12" t="n"/>
      <c r="F224" s="12" t="n"/>
      <c r="G224" s="12" t="n"/>
      <c r="H224" s="12" t="n"/>
      <c r="I224" s="12" t="n"/>
      <c r="J224" s="12" t="n"/>
      <c r="K224" s="12" t="n"/>
      <c r="L224" s="12" t="n"/>
      <c r="M224" s="12" t="n"/>
      <c r="N224" s="12" t="n"/>
      <c r="O224" s="12" t="n"/>
      <c r="P224" s="12" t="n"/>
      <c r="Q224" s="12" t="n"/>
      <c r="R224" s="12" t="n"/>
      <c r="S224" s="12" t="n"/>
      <c r="T224" s="12" t="n"/>
      <c r="U224" s="12" t="n"/>
      <c r="V224" s="12" t="n"/>
      <c r="W224" s="12" t="n"/>
      <c r="X224" s="12" t="n"/>
      <c r="Y224" s="12" t="n"/>
      <c r="Z224" s="12" t="n"/>
      <c r="AA224" s="12" t="n"/>
      <c r="AB224" s="12" t="n"/>
      <c r="AC224" s="12" t="n"/>
      <c r="AD224" s="12" t="n"/>
      <c r="AE224" s="12" t="n"/>
      <c r="AF224" s="12" t="n"/>
      <c r="AG224" s="12" t="n"/>
      <c r="AH224" s="12" t="n"/>
      <c r="AI224" s="12" t="n"/>
      <c r="AJ224" s="12" t="n"/>
      <c r="AK224" s="12" t="n"/>
      <c r="AL224" s="12" t="n"/>
      <c r="AM224" s="12" t="n"/>
      <c r="AN224" s="12" t="n"/>
      <c r="AO224" s="12" t="n"/>
      <c r="AP224" s="12" t="n"/>
      <c r="AQ224" s="12" t="n"/>
      <c r="AR224" s="12" t="n"/>
      <c r="AS224" s="12" t="n"/>
      <c r="AT224" s="12" t="n"/>
      <c r="AU224" s="12" t="n"/>
      <c r="AV224" s="12" t="n"/>
      <c r="AW224" s="12" t="n"/>
      <c r="AX224" s="12" t="n"/>
      <c r="AY224" s="12" t="n"/>
      <c r="AZ224" s="12" t="n"/>
      <c r="BA224" s="12" t="n"/>
      <c r="BB224" s="12" t="n"/>
      <c r="BC224" s="12" t="n"/>
      <c r="BD224" s="12" t="n"/>
      <c r="BE224" s="12" t="n"/>
      <c r="BF224" s="12" t="n"/>
      <c r="BG224" s="12" t="n"/>
      <c r="BH224" s="12" t="n"/>
      <c r="BI224" s="12" t="n"/>
      <c r="BJ224" s="12" t="n"/>
      <c r="BK224" s="12" t="n"/>
      <c r="BL224" s="12" t="n"/>
      <c r="BM224" s="12" t="n"/>
      <c r="BN224" s="12" t="n"/>
      <c r="BO224" s="12" t="n"/>
      <c r="BP224" s="12" t="n"/>
      <c r="BQ224" s="12" t="n"/>
      <c r="BR224" s="12" t="n"/>
      <c r="BS224" s="12" t="n"/>
      <c r="BT224" s="12" t="n"/>
      <c r="BU224" s="12" t="n"/>
      <c r="BV224" s="12" t="n"/>
      <c r="BW224" s="12" t="n"/>
      <c r="BX224" s="12" t="n"/>
      <c r="BY224" s="12" t="n"/>
      <c r="BZ224" s="12" t="n"/>
      <c r="CA224" s="12" t="n"/>
      <c r="CB224" s="12" t="n"/>
      <c r="CC224" s="12" t="n"/>
      <c r="CD224" s="12" t="n"/>
      <c r="CE224" s="12" t="n"/>
      <c r="CF224" s="12" t="n"/>
      <c r="CG224" s="12" t="n"/>
      <c r="CH224" s="12" t="n"/>
      <c r="CI224" s="12" t="n"/>
      <c r="CJ224" s="12" t="n"/>
      <c r="CK224" s="12" t="n"/>
      <c r="CL224" s="12" t="n"/>
      <c r="CM224" s="12" t="n"/>
      <c r="CN224" s="12" t="n"/>
      <c r="CO224" s="12" t="n"/>
      <c r="CP224" s="12" t="n"/>
      <c r="CQ224" s="12" t="n"/>
      <c r="CR224" s="12" t="n"/>
      <c r="CS224" s="12" t="n"/>
      <c r="CT224" s="12" t="n"/>
      <c r="CU224" s="12" t="n"/>
      <c r="CV224" s="12" t="n"/>
      <c r="CW224" s="12" t="n"/>
      <c r="CX224" s="12" t="n"/>
      <c r="CY224" s="12" t="n"/>
    </row>
    <row r="225" hidden="1" outlineLevel="1">
      <c r="C225" s="57" t="inlineStr">
        <is>
          <t>Discretionary (paydown)/borrowing of convertible debt</t>
        </is>
      </c>
      <c r="D225" s="12" t="n"/>
      <c r="E225" s="12" t="n"/>
      <c r="F225" s="12" t="n"/>
      <c r="G225" s="12" t="n"/>
      <c r="H225" s="12" t="n"/>
      <c r="I225" s="12" t="n"/>
      <c r="J225" s="12" t="n"/>
      <c r="K225" s="12" t="n"/>
      <c r="L225" s="12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  <c r="W225" s="12" t="n"/>
      <c r="X225" s="12" t="n"/>
      <c r="Y225" s="12" t="n"/>
      <c r="Z225" s="12" t="n"/>
      <c r="AA225" s="12" t="n"/>
      <c r="AB225" s="12" t="n"/>
      <c r="AC225" s="12" t="n"/>
      <c r="AD225" s="12" t="n"/>
      <c r="AE225" s="12" t="n"/>
      <c r="AF225" s="12" t="n"/>
      <c r="AG225" s="12" t="n"/>
      <c r="AH225" s="62" t="n"/>
      <c r="AI225" s="62" t="n"/>
      <c r="AJ225" s="62" t="n"/>
      <c r="AK225" s="62" t="n"/>
      <c r="AL225" s="12" t="n"/>
      <c r="AM225" s="62" t="n"/>
      <c r="AN225" s="62" t="n"/>
      <c r="AO225" s="62" t="n"/>
      <c r="AP225" s="62" t="n"/>
      <c r="AQ225" s="12" t="n"/>
      <c r="AR225" s="62" t="n"/>
      <c r="AS225" s="62" t="n"/>
      <c r="AT225" s="62" t="n"/>
      <c r="AU225" s="62" t="n"/>
      <c r="AV225" s="12" t="n"/>
      <c r="AW225" s="62" t="n"/>
      <c r="AX225" s="62" t="n"/>
      <c r="AY225" s="62" t="n"/>
      <c r="AZ225" s="62" t="n"/>
      <c r="BA225" s="12" t="n"/>
      <c r="BB225" s="62" t="n"/>
      <c r="BC225" s="62" t="n"/>
      <c r="BD225" s="62" t="n"/>
      <c r="BE225" s="62" t="n"/>
      <c r="BF225" s="12" t="n"/>
      <c r="BG225" s="62" t="n"/>
      <c r="BH225" s="62" t="n"/>
      <c r="BI225" s="62" t="n"/>
      <c r="BJ225" s="62" t="n"/>
      <c r="BK225" s="12" t="n"/>
      <c r="BL225" s="62" t="n"/>
      <c r="BM225" s="62" t="n"/>
      <c r="BN225" s="62" t="n"/>
      <c r="BO225" s="62" t="n"/>
      <c r="BP225" s="12" t="n"/>
      <c r="BQ225" s="62" t="n"/>
      <c r="BR225" s="62" t="n"/>
      <c r="BS225" s="62" t="n"/>
      <c r="BT225" s="62" t="n"/>
      <c r="BU225" s="12" t="n"/>
      <c r="BV225" s="62" t="n"/>
      <c r="BW225" s="62" t="n"/>
      <c r="BX225" s="62" t="n"/>
      <c r="BY225" s="62" t="n"/>
      <c r="BZ225" s="12" t="n"/>
      <c r="CA225" s="62" t="n"/>
      <c r="CB225" s="62" t="n"/>
      <c r="CC225" s="62" t="n"/>
      <c r="CD225" s="62" t="n"/>
      <c r="CE225" s="12" t="n"/>
      <c r="CF225" s="62" t="n"/>
      <c r="CG225" s="62" t="n"/>
      <c r="CH225" s="62" t="n"/>
      <c r="CI225" s="62" t="n"/>
      <c r="CJ225" s="12" t="n"/>
      <c r="CK225" s="62" t="n"/>
      <c r="CL225" s="62" t="n"/>
      <c r="CM225" s="62" t="n"/>
      <c r="CN225" s="62" t="n"/>
      <c r="CO225" s="12" t="n"/>
      <c r="CP225" s="62" t="n"/>
      <c r="CQ225" s="62" t="n"/>
      <c r="CR225" s="62" t="n"/>
      <c r="CS225" s="62" t="n"/>
      <c r="CT225" s="12" t="n"/>
      <c r="CU225" s="62" t="n"/>
      <c r="CV225" s="62" t="n"/>
      <c r="CW225" s="62" t="n"/>
      <c r="CX225" s="62" t="n"/>
      <c r="CY225" s="12" t="n"/>
    </row>
    <row r="226" hidden="1" outlineLevel="1">
      <c r="C226" s="57" t="inlineStr">
        <is>
          <t>Convertible debt</t>
        </is>
      </c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12" t="n"/>
      <c r="O226" s="12" t="n"/>
      <c r="P226" s="12" t="n"/>
      <c r="Q226" s="12" t="n"/>
      <c r="R226" s="12" t="n"/>
      <c r="S226" s="12" t="n"/>
      <c r="T226" s="12" t="n"/>
      <c r="U226" s="12" t="n"/>
      <c r="V226" s="12" t="n"/>
      <c r="W226" s="12" t="n"/>
      <c r="X226" s="12" t="n"/>
      <c r="Y226" s="12" t="n"/>
      <c r="Z226" s="12" t="n"/>
      <c r="AA226" s="12" t="n"/>
      <c r="AB226" s="12" t="n"/>
      <c r="AC226" s="12" t="n"/>
      <c r="AD226" s="12" t="n"/>
      <c r="AE226" s="12" t="n"/>
      <c r="AF226" s="12" t="n"/>
      <c r="AG226" s="12" t="n"/>
      <c r="AH226" s="12">
        <f>AH238</f>
        <v>0</v>
      </c>
      <c r="AI226" s="12">
        <f>AH226+SUM(AI225)</f>
        <v>0</v>
      </c>
      <c r="AJ226" s="12">
        <f>AI226+SUM(AJ225)</f>
        <v>0</v>
      </c>
      <c r="AK226" s="12">
        <f>AJ226+SUM(AK225)</f>
        <v>0</v>
      </c>
      <c r="AL226" s="12" t="n"/>
      <c r="AM226" s="12">
        <f>AM238</f>
        <v>0</v>
      </c>
      <c r="AN226" s="12">
        <f>AM226+SUM(AN225)</f>
        <v>0</v>
      </c>
      <c r="AO226" s="12">
        <f>AN226+SUM(AO225)</f>
        <v>0</v>
      </c>
      <c r="AP226" s="12">
        <f>AO226+SUM(AP225)</f>
        <v>0</v>
      </c>
      <c r="AQ226" s="12" t="n"/>
      <c r="AR226" s="12">
        <f>AR238</f>
        <v>0</v>
      </c>
      <c r="AS226" s="12">
        <f>AR226+SUM(AS225)</f>
        <v>0</v>
      </c>
      <c r="AT226" s="12">
        <f>AS226+SUM(AT225)</f>
        <v>0</v>
      </c>
      <c r="AU226" s="12">
        <f>AT226+SUM(AU225)</f>
        <v>0</v>
      </c>
      <c r="AV226" s="12" t="n"/>
      <c r="AW226" s="12">
        <f>AW238</f>
        <v>0</v>
      </c>
      <c r="AX226" s="12">
        <f>AW226+SUM(AX225)</f>
        <v>0</v>
      </c>
      <c r="AY226" s="12">
        <f>AX226+SUM(AY225)</f>
        <v>0</v>
      </c>
      <c r="AZ226" s="12">
        <f>AY226+SUM(AZ225)</f>
        <v>0</v>
      </c>
      <c r="BA226" s="12" t="n"/>
      <c r="BB226" s="12">
        <f>BB238</f>
        <v>0</v>
      </c>
      <c r="BC226" s="12">
        <f>BB226+SUM(BC225)</f>
        <v>0</v>
      </c>
      <c r="BD226" s="12">
        <f>BC226+SUM(BD225)</f>
        <v>0</v>
      </c>
      <c r="BE226" s="12">
        <f>BD226+SUM(BE225)</f>
        <v>0</v>
      </c>
      <c r="BF226" s="12" t="n"/>
      <c r="BG226" s="12" t="n"/>
      <c r="BH226" s="12" t="n"/>
      <c r="BI226" s="12" t="n"/>
      <c r="BJ226" s="12" t="n"/>
      <c r="BK226" s="12" t="n"/>
      <c r="BL226" s="12" t="n"/>
      <c r="BM226" s="12" t="n"/>
      <c r="BN226" s="12" t="n"/>
      <c r="BO226" s="12" t="n"/>
      <c r="BP226" s="12" t="n"/>
      <c r="BQ226" s="12" t="n"/>
      <c r="BR226" s="12" t="n"/>
      <c r="BS226" s="12" t="n"/>
      <c r="BT226" s="12" t="n"/>
      <c r="BU226" s="12" t="n"/>
      <c r="BV226" s="12" t="n"/>
      <c r="BW226" s="12" t="n"/>
      <c r="BX226" s="12" t="n"/>
      <c r="BY226" s="12" t="n"/>
      <c r="BZ226" s="12" t="n"/>
      <c r="CA226" s="12" t="n"/>
      <c r="CB226" s="12" t="n"/>
      <c r="CC226" s="12" t="n"/>
      <c r="CD226" s="12" t="n"/>
      <c r="CE226" s="12" t="n"/>
      <c r="CF226" s="12" t="n"/>
      <c r="CG226" s="12" t="n"/>
      <c r="CH226" s="12" t="n"/>
      <c r="CI226" s="12" t="n"/>
      <c r="CJ226" s="12" t="n"/>
      <c r="CK226" s="12" t="n"/>
      <c r="CL226" s="12" t="n"/>
      <c r="CM226" s="12" t="n"/>
      <c r="CN226" s="12" t="n"/>
      <c r="CO226" s="12" t="n"/>
      <c r="CP226" s="12" t="n"/>
      <c r="CQ226" s="12" t="n"/>
      <c r="CR226" s="12" t="n"/>
      <c r="CS226" s="12" t="n"/>
      <c r="CT226" s="12" t="n"/>
      <c r="CU226" s="12" t="n"/>
      <c r="CV226" s="12" t="n"/>
      <c r="CW226" s="12" t="n"/>
      <c r="CX226" s="12" t="n"/>
      <c r="CY226" s="12" t="n"/>
    </row>
    <row r="227" hidden="1" outlineLevel="1">
      <c r="C227" s="57" t="n"/>
      <c r="D227" s="12" t="n"/>
      <c r="E227" s="12" t="n"/>
      <c r="F227" s="12" t="n"/>
      <c r="G227" s="12" t="n"/>
      <c r="H227" s="12" t="n"/>
      <c r="I227" s="12" t="n"/>
      <c r="J227" s="12" t="n"/>
      <c r="K227" s="12" t="n"/>
      <c r="L227" s="12" t="n"/>
      <c r="M227" s="12" t="n"/>
      <c r="N227" s="12" t="n"/>
      <c r="O227" s="12" t="n"/>
      <c r="P227" s="12" t="n"/>
      <c r="Q227" s="12" t="n"/>
      <c r="R227" s="12" t="n"/>
      <c r="S227" s="12" t="n"/>
      <c r="T227" s="12" t="n"/>
      <c r="U227" s="12" t="n"/>
      <c r="V227" s="12" t="n"/>
      <c r="W227" s="12" t="n"/>
      <c r="X227" s="12" t="n"/>
      <c r="Y227" s="12" t="n"/>
      <c r="Z227" s="12" t="n"/>
      <c r="AA227" s="12" t="n"/>
      <c r="AB227" s="12" t="n"/>
      <c r="AC227" s="12" t="n"/>
      <c r="AD227" s="12" t="n"/>
      <c r="AE227" s="12" t="n"/>
      <c r="AF227" s="12" t="n"/>
      <c r="AG227" s="12" t="n"/>
      <c r="AI227" s="12" t="n"/>
      <c r="AJ227" s="12" t="n"/>
      <c r="AK227" s="12" t="n"/>
      <c r="AL227" s="12" t="n"/>
      <c r="AN227" s="12" t="n"/>
      <c r="AO227" s="12" t="n"/>
      <c r="AP227" s="12" t="n"/>
      <c r="AQ227" s="12" t="n"/>
      <c r="AS227" s="12" t="n"/>
      <c r="AT227" s="12" t="n"/>
      <c r="AU227" s="12" t="n"/>
      <c r="AV227" s="12" t="n"/>
      <c r="AX227" s="12" t="n"/>
      <c r="AY227" s="12" t="n"/>
      <c r="AZ227" s="12" t="n"/>
      <c r="BA227" s="12" t="n"/>
      <c r="BC227" s="12" t="n"/>
      <c r="BD227" s="12" t="n"/>
      <c r="BE227" s="12" t="n"/>
      <c r="BF227" s="12" t="n"/>
      <c r="BH227" s="12" t="n"/>
      <c r="BI227" s="12" t="n"/>
      <c r="BJ227" s="12" t="n"/>
      <c r="BK227" s="12" t="n"/>
      <c r="BM227" s="12" t="n"/>
      <c r="BN227" s="12" t="n"/>
      <c r="BO227" s="12" t="n"/>
      <c r="BP227" s="12" t="n"/>
      <c r="BR227" s="12" t="n"/>
      <c r="BS227" s="12" t="n"/>
      <c r="BT227" s="12" t="n"/>
      <c r="BU227" s="12" t="n"/>
      <c r="BW227" s="12" t="n"/>
      <c r="BX227" s="12" t="n"/>
      <c r="BY227" s="12" t="n"/>
      <c r="BZ227" s="12" t="n"/>
      <c r="CB227" s="12" t="n"/>
      <c r="CC227" s="12" t="n"/>
      <c r="CD227" s="12" t="n"/>
      <c r="CE227" s="12" t="n"/>
      <c r="CG227" s="12" t="n"/>
      <c r="CH227" s="12" t="n"/>
      <c r="CI227" s="12" t="n"/>
      <c r="CJ227" s="12" t="n"/>
      <c r="CL227" s="12" t="n"/>
      <c r="CM227" s="12" t="n"/>
      <c r="CN227" s="12" t="n"/>
      <c r="CO227" s="12" t="n"/>
      <c r="CQ227" s="12" t="n"/>
      <c r="CR227" s="12" t="n"/>
      <c r="CS227" s="12" t="n"/>
      <c r="CT227" s="12" t="n"/>
      <c r="CV227" s="12" t="n"/>
      <c r="CW227" s="12" t="n"/>
      <c r="CX227" s="12" t="n"/>
      <c r="CY227" s="12" t="n"/>
    </row>
    <row r="228" hidden="1" outlineLevel="1">
      <c r="C228" s="57" t="inlineStr">
        <is>
          <t>Calculation of short term debt</t>
        </is>
      </c>
      <c r="D228" s="12" t="n"/>
      <c r="E228" s="12" t="n"/>
      <c r="F228" s="12" t="n"/>
      <c r="G228" s="12" t="n"/>
      <c r="H228" s="12" t="n"/>
      <c r="I228" s="12" t="n"/>
      <c r="J228" s="12" t="n"/>
      <c r="K228" s="12" t="n"/>
      <c r="L228" s="12" t="n"/>
      <c r="M228" s="12" t="n"/>
      <c r="N228" s="12" t="n"/>
      <c r="O228" s="12" t="n"/>
      <c r="P228" s="12" t="n"/>
      <c r="Q228" s="12" t="n"/>
      <c r="R228" s="12" t="n"/>
      <c r="S228" s="12" t="n"/>
      <c r="T228" s="12" t="n"/>
      <c r="U228" s="12" t="n"/>
      <c r="V228" s="12" t="n"/>
      <c r="W228" s="12" t="n"/>
      <c r="X228" s="12" t="n"/>
      <c r="Y228" s="12" t="n"/>
      <c r="Z228" s="12" t="n"/>
      <c r="AA228" s="12" t="n"/>
      <c r="AB228" s="12" t="n"/>
      <c r="AC228" s="12" t="n"/>
      <c r="AD228" s="12" t="n"/>
      <c r="AE228" s="12" t="n"/>
      <c r="AF228" s="12" t="n"/>
      <c r="AG228" s="12" t="n"/>
      <c r="AH228" s="12" t="n"/>
      <c r="AI228" s="12" t="n"/>
      <c r="AJ228" s="12" t="n"/>
      <c r="AK228" s="12" t="n"/>
      <c r="AL228" s="12" t="n"/>
      <c r="AM228" s="12" t="n"/>
      <c r="AN228" s="12" t="n"/>
      <c r="AO228" s="12" t="n"/>
      <c r="AP228" s="12" t="n"/>
      <c r="AQ228" s="12" t="n"/>
      <c r="AR228" s="12" t="n"/>
      <c r="AS228" s="12" t="n"/>
      <c r="AT228" s="12" t="n"/>
      <c r="AU228" s="12" t="n"/>
      <c r="AV228" s="12" t="n"/>
      <c r="AW228" s="12" t="n"/>
      <c r="AX228" s="12" t="n"/>
      <c r="AY228" s="12" t="n"/>
      <c r="AZ228" s="12" t="n"/>
      <c r="BA228" s="12" t="n"/>
      <c r="BB228" s="12" t="n"/>
      <c r="BC228" s="12" t="n"/>
      <c r="BD228" s="12" t="n"/>
      <c r="BE228" s="12" t="n"/>
      <c r="BF228" s="12" t="n"/>
      <c r="BG228" s="12" t="n"/>
      <c r="BH228" s="12" t="n"/>
      <c r="BI228" s="12" t="n"/>
      <c r="BJ228" s="12" t="n"/>
      <c r="BK228" s="12" t="n"/>
      <c r="BL228" s="12" t="n"/>
      <c r="BM228" s="12" t="n"/>
      <c r="BN228" s="12" t="n"/>
      <c r="BO228" s="12" t="n"/>
      <c r="BP228" s="12" t="n"/>
      <c r="BQ228" s="12" t="n"/>
      <c r="BR228" s="12" t="n"/>
      <c r="BS228" s="12" t="n"/>
      <c r="BT228" s="12" t="n"/>
      <c r="BU228" s="12" t="n"/>
      <c r="BV228" s="12" t="n"/>
      <c r="BW228" s="12" t="n"/>
      <c r="BX228" s="12" t="n"/>
      <c r="BY228" s="12" t="n"/>
      <c r="BZ228" s="12" t="n"/>
      <c r="CA228" s="12" t="n"/>
      <c r="CB228" s="12" t="n"/>
      <c r="CC228" s="12" t="n"/>
      <c r="CD228" s="12" t="n"/>
      <c r="CE228" s="12" t="n"/>
      <c r="CF228" s="12" t="n"/>
      <c r="CG228" s="12" t="n"/>
      <c r="CH228" s="12" t="n"/>
      <c r="CI228" s="12" t="n"/>
      <c r="CJ228" s="12" t="n"/>
      <c r="CK228" s="12" t="n"/>
      <c r="CL228" s="12" t="n"/>
      <c r="CM228" s="12" t="n"/>
      <c r="CN228" s="12" t="n"/>
      <c r="CO228" s="12" t="n"/>
      <c r="CP228" s="12" t="n"/>
      <c r="CQ228" s="12" t="n"/>
      <c r="CR228" s="12" t="n"/>
      <c r="CS228" s="12" t="n"/>
      <c r="CT228" s="12" t="n"/>
      <c r="CU228" s="12" t="n"/>
      <c r="CV228" s="12" t="n"/>
      <c r="CW228" s="12" t="n"/>
      <c r="CX228" s="12" t="n"/>
      <c r="CY228" s="12" t="n"/>
    </row>
    <row r="229" hidden="1" outlineLevel="1">
      <c r="C229" s="57" t="inlineStr">
        <is>
          <t>Cash @ beginning of the period (end of last period)</t>
        </is>
      </c>
      <c r="D229" s="12" t="n"/>
      <c r="E229" s="12" t="n"/>
      <c r="F229" s="12" t="n"/>
      <c r="G229" s="12" t="n"/>
      <c r="H229" s="12" t="n"/>
      <c r="I229" s="12" t="n"/>
      <c r="J229" s="12" t="n"/>
      <c r="K229" s="12" t="n"/>
      <c r="L229" s="12" t="n"/>
      <c r="M229" s="12" t="n"/>
      <c r="N229" s="12" t="n"/>
      <c r="O229" s="12" t="n"/>
      <c r="P229" s="12" t="n"/>
      <c r="Q229" s="12" t="n"/>
      <c r="R229" s="12" t="n"/>
      <c r="S229" s="12" t="n"/>
      <c r="T229" s="12" t="n"/>
      <c r="U229" s="12" t="n"/>
      <c r="V229" s="12" t="n"/>
      <c r="W229" s="12" t="n"/>
      <c r="X229" s="12" t="n"/>
      <c r="Y229" s="12" t="n"/>
      <c r="Z229" s="12" t="n"/>
      <c r="AA229" s="12" t="n"/>
      <c r="AB229" s="12" t="n"/>
      <c r="AC229" s="12" t="n"/>
      <c r="AD229" s="12" t="n"/>
      <c r="AE229" s="12" t="n"/>
      <c r="AF229" s="12" t="n"/>
      <c r="AG229" s="12" t="n"/>
      <c r="AH229" s="63">
        <f>AG144</f>
        <v>2182.799</v>
      </c>
      <c r="AI229" s="12" t="n"/>
      <c r="AJ229" s="12" t="n"/>
      <c r="AK229" s="12" t="n"/>
      <c r="AL229" s="12" t="n"/>
      <c r="AM229" s="63">
        <f>AL144</f>
        <v>1431.73880849354</v>
      </c>
      <c r="AN229" s="12" t="n"/>
      <c r="AO229" s="12" t="n"/>
      <c r="AP229" s="12" t="n"/>
      <c r="AQ229" s="12" t="n"/>
      <c r="AR229" s="63">
        <f>AQ144</f>
        <v>336.820576990358</v>
      </c>
      <c r="AS229" s="12" t="n"/>
      <c r="AT229" s="12" t="n"/>
      <c r="AU229" s="12" t="n"/>
      <c r="AV229" s="12" t="n"/>
      <c r="AW229" s="63">
        <f>AV144</f>
        <v>-333.35441124361</v>
      </c>
      <c r="AX229" s="12" t="n"/>
      <c r="AY229" s="12" t="n"/>
      <c r="AZ229" s="12" t="n"/>
      <c r="BA229" s="12" t="n"/>
      <c r="BB229" s="63">
        <f>BA144</f>
        <v>608.494144605611</v>
      </c>
      <c r="BC229" s="12" t="n"/>
      <c r="BD229" s="12" t="n"/>
      <c r="BE229" s="12" t="n"/>
      <c r="BF229" s="12" t="n"/>
      <c r="BG229" s="63" t="n"/>
      <c r="BH229" s="12" t="n"/>
      <c r="BI229" s="12" t="n"/>
      <c r="BJ229" s="12" t="n"/>
      <c r="BK229" s="12" t="n"/>
      <c r="BL229" s="63" t="n"/>
      <c r="BM229" s="12" t="n"/>
      <c r="BN229" s="12" t="n"/>
      <c r="BO229" s="12" t="n"/>
      <c r="BP229" s="12" t="n"/>
      <c r="BQ229" s="63" t="n"/>
      <c r="BR229" s="12" t="n"/>
      <c r="BS229" s="12" t="n"/>
      <c r="BT229" s="12" t="n"/>
      <c r="BU229" s="12" t="n"/>
      <c r="BV229" s="63" t="n"/>
      <c r="BW229" s="12" t="n"/>
      <c r="BX229" s="12" t="n"/>
      <c r="BY229" s="12" t="n"/>
      <c r="BZ229" s="12" t="n"/>
      <c r="CA229" s="63" t="n"/>
      <c r="CB229" s="12" t="n"/>
      <c r="CC229" s="12" t="n"/>
      <c r="CD229" s="12" t="n"/>
      <c r="CE229" s="12" t="n"/>
      <c r="CF229" s="63" t="n"/>
      <c r="CG229" s="12" t="n"/>
      <c r="CH229" s="12" t="n"/>
      <c r="CI229" s="12" t="n"/>
      <c r="CJ229" s="12" t="n"/>
      <c r="CK229" s="63" t="n"/>
      <c r="CL229" s="12" t="n"/>
      <c r="CM229" s="12" t="n"/>
      <c r="CN229" s="12" t="n"/>
      <c r="CO229" s="12" t="n"/>
      <c r="CP229" s="63" t="n"/>
      <c r="CQ229" s="12" t="n"/>
      <c r="CR229" s="12" t="n"/>
      <c r="CS229" s="12" t="n"/>
      <c r="CT229" s="12" t="n"/>
      <c r="CU229" s="63" t="n"/>
      <c r="CV229" s="12" t="n"/>
      <c r="CW229" s="12" t="n"/>
      <c r="CX229" s="12" t="n"/>
      <c r="CY229" s="12" t="n"/>
    </row>
    <row r="230" hidden="1" outlineLevel="1">
      <c r="C230" s="57" t="inlineStr">
        <is>
          <t>Plus: Free cash flows prior to debt during period</t>
        </is>
      </c>
      <c r="D230" s="12" t="n"/>
      <c r="E230" s="12" t="n"/>
      <c r="F230" s="12" t="n"/>
      <c r="G230" s="12" t="n"/>
      <c r="H230" s="12" t="n"/>
      <c r="I230" s="12" t="n"/>
      <c r="J230" s="12" t="n"/>
      <c r="K230" s="12" t="n"/>
      <c r="L230" s="12" t="n"/>
      <c r="M230" s="12" t="n"/>
      <c r="N230" s="12" t="n"/>
      <c r="O230" s="12" t="n"/>
      <c r="P230" s="12" t="n"/>
      <c r="Q230" s="12" t="n"/>
      <c r="R230" s="12" t="n"/>
      <c r="S230" s="12" t="n"/>
      <c r="T230" s="12" t="n"/>
      <c r="U230" s="12" t="n"/>
      <c r="V230" s="12" t="n"/>
      <c r="W230" s="12" t="n"/>
      <c r="X230" s="12" t="n"/>
      <c r="Y230" s="12" t="n"/>
      <c r="Z230" s="12" t="n"/>
      <c r="AA230" s="12" t="n"/>
      <c r="AB230" s="12" t="n"/>
      <c r="AC230" s="12" t="n"/>
      <c r="AD230" s="12" t="n"/>
      <c r="AE230" s="12" t="n"/>
      <c r="AF230" s="12" t="n"/>
      <c r="AG230" s="12" t="inlineStr">
        <is>
          <t>% of sales</t>
        </is>
      </c>
      <c r="AH230" s="64">
        <f>(AH292+AH299)+SUM(AH302:AH308)</f>
        <v>201.625</v>
      </c>
      <c r="AI230" s="64">
        <f>(AI292+AI299)+SUM(AI302:AI308)</f>
        <v>450.21792971</v>
      </c>
      <c r="AJ230" s="64">
        <f>(AJ292+AJ299)+SUM(AJ302:AJ308)</f>
        <v>0</v>
      </c>
      <c r="AK230" s="64">
        <f>(AK292+AK299)+SUM(AK302:AK308)</f>
        <v>0</v>
      </c>
      <c r="AL230" s="12" t="n"/>
      <c r="AM230" s="64">
        <f>(AM292+AM299)+SUM(AM302:AM308)</f>
        <v>0</v>
      </c>
      <c r="AN230" s="64">
        <f>(AN292+AN299)+SUM(AN302:AN308)</f>
        <v>0</v>
      </c>
      <c r="AO230" s="64">
        <f>(AO292+AO299)+SUM(AO302:AO308)</f>
        <v>0</v>
      </c>
      <c r="AP230" s="64">
        <f>(AP292+AP299)+SUM(AP302:AP308)</f>
        <v>0</v>
      </c>
      <c r="AQ230" s="12" t="n"/>
      <c r="AR230" s="64">
        <f>(AR292+AR299)+SUM(AR302:AR308)</f>
        <v>0</v>
      </c>
      <c r="AS230" s="64">
        <f>(AS292+AS299)+SUM(AS302:AS308)</f>
        <v>0</v>
      </c>
      <c r="AT230" s="64">
        <f>(AT292+AT299)+SUM(AT302:AT308)</f>
        <v>0</v>
      </c>
      <c r="AU230" s="64">
        <f>(AU292+AU299)+SUM(AU302:AU308)</f>
        <v>0</v>
      </c>
      <c r="AV230" s="12" t="n"/>
      <c r="AW230" s="64">
        <f>(AW292+AW299)+SUM(AW302:AW308)</f>
        <v>0</v>
      </c>
      <c r="AX230" s="64">
        <f>(AX292+AX299)+SUM(AX302:AX308)</f>
        <v>0</v>
      </c>
      <c r="AY230" s="64">
        <f>(AY292+AY299)+SUM(AY302:AY308)</f>
        <v>0</v>
      </c>
      <c r="AZ230" s="64">
        <f>(AZ292+AZ299)+SUM(AZ302:AZ308)</f>
        <v>0</v>
      </c>
      <c r="BA230" s="12" t="n"/>
      <c r="BB230" s="64">
        <f>(BB292+BB299)+SUM(BB302:BB308)</f>
        <v>0</v>
      </c>
      <c r="BC230" s="64">
        <f>(BC292+BC299)+SUM(BC302:BC308)</f>
        <v>0</v>
      </c>
      <c r="BD230" s="64">
        <f>(BD292+BD299)+SUM(BD302:BD308)</f>
        <v>0</v>
      </c>
      <c r="BE230" s="64">
        <f>(BE292+BE299)+SUM(BE302:BE308)</f>
        <v>0</v>
      </c>
      <c r="BF230" s="12" t="n"/>
      <c r="BG230" s="64" t="n"/>
      <c r="BH230" s="64" t="n"/>
      <c r="BI230" s="64" t="n"/>
      <c r="BJ230" s="64" t="n"/>
      <c r="BK230" s="12" t="n"/>
      <c r="BL230" s="64" t="n"/>
      <c r="BM230" s="64" t="n"/>
      <c r="BN230" s="64" t="n"/>
      <c r="BO230" s="64" t="n"/>
      <c r="BP230" s="12" t="n"/>
      <c r="BQ230" s="64" t="n"/>
      <c r="BR230" s="64" t="n"/>
      <c r="BS230" s="64" t="n"/>
      <c r="BT230" s="64" t="n"/>
      <c r="BU230" s="12" t="n"/>
      <c r="BV230" s="64" t="n"/>
      <c r="BW230" s="64" t="n"/>
      <c r="BX230" s="64" t="n"/>
      <c r="BY230" s="64" t="n"/>
      <c r="BZ230" s="12" t="n"/>
      <c r="CA230" s="64" t="n"/>
      <c r="CB230" s="64" t="n"/>
      <c r="CC230" s="64" t="n"/>
      <c r="CD230" s="64" t="n"/>
      <c r="CE230" s="12" t="n"/>
      <c r="CF230" s="64" t="n"/>
      <c r="CG230" s="64" t="n"/>
      <c r="CH230" s="64" t="n"/>
      <c r="CI230" s="64" t="n"/>
      <c r="CJ230" s="12" t="n"/>
      <c r="CK230" s="64" t="n"/>
      <c r="CL230" s="64" t="n"/>
      <c r="CM230" s="64" t="n"/>
      <c r="CN230" s="64" t="n"/>
      <c r="CO230" s="12" t="n"/>
      <c r="CP230" s="64" t="n"/>
      <c r="CQ230" s="64" t="n"/>
      <c r="CR230" s="64" t="n"/>
      <c r="CS230" s="64" t="n"/>
      <c r="CT230" s="12" t="n"/>
      <c r="CU230" s="64" t="n"/>
      <c r="CV230" s="64" t="n"/>
      <c r="CW230" s="64" t="n"/>
      <c r="CX230" s="64" t="n"/>
      <c r="CY230" s="12" t="n"/>
    </row>
    <row r="231" hidden="1" outlineLevel="1">
      <c r="C231" s="57" t="inlineStr">
        <is>
          <t>Less: Minimum cash balance</t>
        </is>
      </c>
      <c r="D231" s="12" t="n"/>
      <c r="E231" s="12" t="n"/>
      <c r="F231" s="12" t="n"/>
      <c r="G231" s="12" t="n"/>
      <c r="H231" s="12" t="n"/>
      <c r="I231" s="12" t="n"/>
      <c r="J231" s="12" t="n"/>
      <c r="K231" s="12" t="n"/>
      <c r="L231" s="12" t="n"/>
      <c r="M231" s="12" t="n"/>
      <c r="N231" s="12" t="n"/>
      <c r="O231" s="12" t="n"/>
      <c r="P231" s="12" t="n"/>
      <c r="Q231" s="12" t="n"/>
      <c r="R231" s="12" t="n"/>
      <c r="S231" s="12" t="n"/>
      <c r="T231" s="12" t="n"/>
      <c r="U231" s="12" t="n"/>
      <c r="V231" s="12" t="n"/>
      <c r="W231" s="12" t="n"/>
      <c r="X231" s="12" t="n"/>
      <c r="Y231" s="12" t="n"/>
      <c r="Z231" s="12" t="n"/>
      <c r="AA231" s="12" t="n"/>
      <c r="AB231" s="12" t="n"/>
      <c r="AC231" s="12" t="n"/>
      <c r="AD231" s="12" t="n"/>
      <c r="AE231" s="12" t="n"/>
      <c r="AF231" s="12" t="n"/>
      <c r="AG231" s="52" t="n"/>
      <c r="AH231" s="12">
        <f>($AG$231*AH15)</f>
        <v>0</v>
      </c>
      <c r="AI231" s="12">
        <f>($AG$231*AI15)</f>
        <v>0</v>
      </c>
      <c r="AJ231" s="12">
        <f>($AG$231*AJ15)</f>
        <v>0</v>
      </c>
      <c r="AK231" s="12">
        <f>($AG$231*AK15)</f>
        <v>0</v>
      </c>
      <c r="AL231" s="12" t="n"/>
      <c r="AM231" s="12">
        <f>($AG$231*AM15)</f>
        <v>0</v>
      </c>
      <c r="AN231" s="12">
        <f>($AG$231*AN15)</f>
        <v>0</v>
      </c>
      <c r="AO231" s="12">
        <f>($AG$231*AO15)</f>
        <v>0</v>
      </c>
      <c r="AP231" s="12">
        <f>($AG$231*AP15)</f>
        <v>0</v>
      </c>
      <c r="AQ231" s="12" t="n"/>
      <c r="AR231" s="12">
        <f>($AG$231*AR15)</f>
        <v>0</v>
      </c>
      <c r="AS231" s="12">
        <f>($AG$231*AS15)</f>
        <v>0</v>
      </c>
      <c r="AT231" s="12">
        <f>($AG$231*AT15)</f>
        <v>0</v>
      </c>
      <c r="AU231" s="12">
        <f>($AG$231*AU15)</f>
        <v>0</v>
      </c>
      <c r="AV231" s="12" t="n"/>
      <c r="AW231" s="12">
        <f>($AG$231*AW15)</f>
        <v>0</v>
      </c>
      <c r="AX231" s="12">
        <f>($AG$231*AX15)</f>
        <v>0</v>
      </c>
      <c r="AY231" s="12">
        <f>($AG$231*AY15)</f>
        <v>0</v>
      </c>
      <c r="AZ231" s="12">
        <f>($AG$231*AZ15)</f>
        <v>0</v>
      </c>
      <c r="BA231" s="12" t="n"/>
      <c r="BB231" s="12">
        <f>($AG$231*BB15)</f>
        <v>0</v>
      </c>
      <c r="BC231" s="12">
        <f>($AG$231*BC15)</f>
        <v>0</v>
      </c>
      <c r="BD231" s="12">
        <f>($AG$231*BD15)</f>
        <v>0</v>
      </c>
      <c r="BE231" s="12">
        <f>($AG$231*BE15)</f>
        <v>0</v>
      </c>
      <c r="BF231" s="12" t="n"/>
      <c r="BG231" s="12" t="n"/>
      <c r="BH231" s="12" t="n"/>
      <c r="BI231" s="12" t="n"/>
      <c r="BJ231" s="12" t="n"/>
      <c r="BK231" s="12" t="n"/>
      <c r="BL231" s="12" t="n"/>
      <c r="BM231" s="12" t="n"/>
      <c r="BN231" s="12" t="n"/>
      <c r="BO231" s="12" t="n"/>
      <c r="BP231" s="12" t="n"/>
      <c r="BQ231" s="12" t="n"/>
      <c r="BR231" s="12" t="n"/>
      <c r="BS231" s="12" t="n"/>
      <c r="BT231" s="12" t="n"/>
      <c r="BU231" s="12" t="n"/>
      <c r="BV231" s="12" t="n"/>
      <c r="BW231" s="12" t="n"/>
      <c r="BX231" s="12" t="n"/>
      <c r="BY231" s="12" t="n"/>
      <c r="BZ231" s="12" t="n"/>
      <c r="CA231" s="12" t="n"/>
      <c r="CB231" s="12" t="n"/>
      <c r="CC231" s="12" t="n"/>
      <c r="CD231" s="12" t="n"/>
      <c r="CE231" s="12" t="n"/>
      <c r="CF231" s="12" t="n"/>
      <c r="CG231" s="12" t="n"/>
      <c r="CH231" s="12" t="n"/>
      <c r="CI231" s="12" t="n"/>
      <c r="CJ231" s="12" t="n"/>
      <c r="CK231" s="12" t="n"/>
      <c r="CL231" s="12" t="n"/>
      <c r="CM231" s="12" t="n"/>
      <c r="CN231" s="12" t="n"/>
      <c r="CO231" s="12" t="n"/>
      <c r="CP231" s="12" t="n"/>
      <c r="CQ231" s="12" t="n"/>
      <c r="CR231" s="12" t="n"/>
      <c r="CS231" s="12" t="n"/>
      <c r="CT231" s="12" t="n"/>
      <c r="CU231" s="12" t="n"/>
      <c r="CV231" s="12" t="n"/>
      <c r="CW231" s="12" t="n"/>
      <c r="CX231" s="12" t="n"/>
      <c r="CY231" s="12" t="n"/>
    </row>
    <row r="232" hidden="1" outlineLevel="1">
      <c r="C232" s="57" t="inlineStr">
        <is>
          <t>Total cash available / (debt required) for short term debt paydown</t>
        </is>
      </c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  <c r="Y232" s="12" t="n"/>
      <c r="Z232" s="12" t="n"/>
      <c r="AA232" s="12" t="n"/>
      <c r="AB232" s="12" t="n"/>
      <c r="AC232" s="12" t="n"/>
      <c r="AD232" s="12" t="n"/>
      <c r="AE232" s="12" t="n"/>
      <c r="AF232" s="12" t="n"/>
      <c r="AG232" s="12" t="n"/>
      <c r="AH232" s="3">
        <f>AH229+AH230-AH231-AF219+AH221+AH225</f>
        <v>2384.424</v>
      </c>
      <c r="AI232" s="3">
        <f>AI229+AI230-AI231-AG219+AI221+AI225</f>
        <v>450.21792971</v>
      </c>
      <c r="AJ232" s="3">
        <f>AJ229+AJ230-AJ231-AH219+AJ221+AJ225</f>
        <v>-274.805</v>
      </c>
      <c r="AK232" s="3">
        <f>AK229+AK230-AK231-AI219+AK221+AK225</f>
        <v>0</v>
      </c>
      <c r="AL232" s="12" t="n"/>
      <c r="AM232" s="3">
        <f>AM229+AM230-AM231-AK219+AM221+AM225</f>
        <v>1431.73880849354</v>
      </c>
      <c r="AN232" s="3">
        <f>AN229+AN230-AN231-AL219+AN221+AN225</f>
        <v>0</v>
      </c>
      <c r="AO232" s="3">
        <f>AO229+AO230-AO231-AM219+AO221+AO225</f>
        <v>-297.868</v>
      </c>
      <c r="AP232" s="3">
        <f>AP229+AP230-AP231-AN219+AP221+AP225</f>
        <v>0</v>
      </c>
      <c r="AQ232" s="12" t="n"/>
      <c r="AR232" s="3">
        <f>AR229+AR230-AR231-AP219+AR221+AR225</f>
        <v>336.820576990358</v>
      </c>
      <c r="AS232" s="3">
        <f>AS229+AS230-AS231-AQ219+AS221+AS225</f>
        <v>0</v>
      </c>
      <c r="AT232" s="3">
        <f>AT229+AT230-AT231-AR219+AT221+AT225</f>
        <v>-297.868</v>
      </c>
      <c r="AU232" s="3">
        <f>AU229+AU230-AU231-AS219+AU221+AU225</f>
        <v>0</v>
      </c>
      <c r="AV232" s="12" t="n"/>
      <c r="AW232" s="3">
        <f>AW229+AW230-AW231-AU219+AW221+AW225</f>
        <v>-333.35441124361</v>
      </c>
      <c r="AX232" s="3">
        <f>AX229+AX230-AX231-AV219+AX221+AX225</f>
        <v>0</v>
      </c>
      <c r="AY232" s="3">
        <f>AY229+AY230-AY231-AW219+AY221+AY225</f>
        <v>-297.868</v>
      </c>
      <c r="AZ232" s="3">
        <f>AZ229+AZ230-AZ231-AX219+AZ221+AZ225</f>
        <v>0</v>
      </c>
      <c r="BA232" s="12" t="n"/>
      <c r="BB232" s="3">
        <f>BB229+BB230-BB231-AZ219+BB221+BB225</f>
        <v>608.494144605611</v>
      </c>
      <c r="BC232" s="3">
        <f>BC229+BC230-BC231-BA219+BC221+BC225</f>
        <v>0</v>
      </c>
      <c r="BD232" s="3">
        <f>BD229+BD230-BD231-BB219+BD221+BD225</f>
        <v>-297.868</v>
      </c>
      <c r="BE232" s="3">
        <f>BE229+BE230-BE231-BC219+BE221+BE225</f>
        <v>0</v>
      </c>
      <c r="BF232" s="12" t="n"/>
      <c r="BG232" s="3" t="n"/>
      <c r="BH232" s="3" t="n"/>
      <c r="BI232" s="3" t="n"/>
      <c r="BJ232" s="3" t="n"/>
      <c r="BK232" s="12" t="n"/>
      <c r="BL232" s="3" t="n"/>
      <c r="BM232" s="3" t="n"/>
      <c r="BN232" s="3" t="n"/>
      <c r="BO232" s="3" t="n"/>
      <c r="BP232" s="12" t="n"/>
      <c r="BQ232" s="3" t="n"/>
      <c r="BR232" s="3" t="n"/>
      <c r="BS232" s="3" t="n"/>
      <c r="BT232" s="3" t="n"/>
      <c r="BU232" s="12" t="n"/>
      <c r="BV232" s="3" t="n"/>
      <c r="BW232" s="3" t="n"/>
      <c r="BX232" s="3" t="n"/>
      <c r="BY232" s="3" t="n"/>
      <c r="BZ232" s="12" t="n"/>
      <c r="CA232" s="3" t="n"/>
      <c r="CB232" s="3" t="n"/>
      <c r="CC232" s="3" t="n"/>
      <c r="CD232" s="3" t="n"/>
      <c r="CE232" s="12" t="n"/>
      <c r="CF232" s="3" t="n"/>
      <c r="CG232" s="3" t="n"/>
      <c r="CH232" s="3" t="n"/>
      <c r="CI232" s="3" t="n"/>
      <c r="CJ232" s="12" t="n"/>
      <c r="CK232" s="3" t="n"/>
      <c r="CL232" s="3" t="n"/>
      <c r="CM232" s="3" t="n"/>
      <c r="CN232" s="3" t="n"/>
      <c r="CO232" s="12" t="n"/>
      <c r="CP232" s="3" t="n"/>
      <c r="CQ232" s="3" t="n"/>
      <c r="CR232" s="3" t="n"/>
      <c r="CS232" s="3" t="n"/>
      <c r="CT232" s="12" t="n"/>
      <c r="CU232" s="3" t="n"/>
      <c r="CV232" s="3" t="n"/>
      <c r="CW232" s="3" t="n"/>
      <c r="CX232" s="3" t="n"/>
      <c r="CY232" s="12" t="n"/>
    </row>
    <row r="233" hidden="1" outlineLevel="1">
      <c r="C233" s="57" t="inlineStr">
        <is>
          <t>Short term debt</t>
        </is>
      </c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  <c r="Y233" s="12" t="n"/>
      <c r="Z233" s="12" t="n"/>
      <c r="AA233" s="12" t="n"/>
      <c r="AB233" s="12" t="n"/>
      <c r="AC233" s="12" t="n"/>
      <c r="AD233" s="12" t="n"/>
      <c r="AE233" s="12" t="n"/>
      <c r="AF233" s="12" t="n"/>
      <c r="AG233" s="12" t="n"/>
      <c r="AH233" s="12">
        <f>AH213</f>
        <v>0</v>
      </c>
      <c r="AI233" s="12">
        <f>MAX(0,AH233-AI232)</f>
        <v>0</v>
      </c>
      <c r="AJ233" s="12">
        <f>MAX(0,AI233-AJ232)</f>
        <v>274.805</v>
      </c>
      <c r="AK233" s="12">
        <f>MAX(0,AJ233-AK232)</f>
        <v>274.805</v>
      </c>
      <c r="AL233" s="12" t="n"/>
      <c r="AM233" s="12">
        <f>AM213</f>
        <v>0</v>
      </c>
      <c r="AN233" s="12">
        <f>MAX(0,AM233-AN232)</f>
        <v>0</v>
      </c>
      <c r="AO233" s="12">
        <f>MAX(0,AN233-AO232)</f>
        <v>297.868</v>
      </c>
      <c r="AP233" s="12">
        <f>MAX(0,AO233-AP232)</f>
        <v>297.868</v>
      </c>
      <c r="AQ233" s="12" t="n"/>
      <c r="AR233" s="12">
        <f>AR213</f>
        <v>0</v>
      </c>
      <c r="AS233" s="12">
        <f>MAX(0,AR233-AS232)</f>
        <v>0</v>
      </c>
      <c r="AT233" s="12">
        <f>MAX(0,AS233-AT232)</f>
        <v>297.868</v>
      </c>
      <c r="AU233" s="12">
        <f>MAX(0,AT233-AU232)</f>
        <v>297.868</v>
      </c>
      <c r="AV233" s="12" t="n"/>
      <c r="AW233" s="12">
        <f>AW213</f>
        <v>0</v>
      </c>
      <c r="AX233" s="12">
        <f>MAX(0,AW233-AX232)</f>
        <v>0</v>
      </c>
      <c r="AY233" s="12">
        <f>MAX(0,AX233-AY232)</f>
        <v>297.868</v>
      </c>
      <c r="AZ233" s="12">
        <f>MAX(0,AY233-AZ232)</f>
        <v>297.868</v>
      </c>
      <c r="BA233" s="12" t="n"/>
      <c r="BB233" s="12">
        <f>BB213</f>
        <v>0</v>
      </c>
      <c r="BC233" s="12">
        <f>MAX(0,BB233-BC232)</f>
        <v>0</v>
      </c>
      <c r="BD233" s="12">
        <f>MAX(0,BC233-BD232)</f>
        <v>297.868</v>
      </c>
      <c r="BE233" s="12">
        <f>MAX(0,BD233-BE232)</f>
        <v>297.868</v>
      </c>
      <c r="BF233" s="12" t="n"/>
      <c r="BG233" s="12" t="n"/>
      <c r="BH233" s="12" t="n"/>
      <c r="BI233" s="12" t="n"/>
      <c r="BJ233" s="12" t="n"/>
      <c r="BK233" s="12" t="n"/>
      <c r="BL233" s="12" t="n"/>
      <c r="BM233" s="12" t="n"/>
      <c r="BN233" s="12" t="n"/>
      <c r="BO233" s="12" t="n"/>
      <c r="BP233" s="12" t="n"/>
      <c r="BQ233" s="12" t="n"/>
      <c r="BR233" s="12" t="n"/>
      <c r="BS233" s="12" t="n"/>
      <c r="BT233" s="12" t="n"/>
      <c r="BU233" s="12" t="n"/>
      <c r="BV233" s="12" t="n"/>
      <c r="BW233" s="12" t="n"/>
      <c r="BX233" s="12" t="n"/>
      <c r="BY233" s="12" t="n"/>
      <c r="BZ233" s="12" t="n"/>
      <c r="CA233" s="12" t="n"/>
      <c r="CB233" s="12" t="n"/>
      <c r="CC233" s="12" t="n"/>
      <c r="CD233" s="12" t="n"/>
      <c r="CE233" s="12" t="n"/>
      <c r="CF233" s="12" t="n"/>
      <c r="CG233" s="12" t="n"/>
      <c r="CH233" s="12" t="n"/>
      <c r="CI233" s="12" t="n"/>
      <c r="CJ233" s="12" t="n"/>
      <c r="CK233" s="12" t="n"/>
      <c r="CL233" s="12" t="n"/>
      <c r="CM233" s="12" t="n"/>
      <c r="CN233" s="12" t="n"/>
      <c r="CO233" s="12" t="n"/>
      <c r="CP233" s="12" t="n"/>
      <c r="CQ233" s="12" t="n"/>
      <c r="CR233" s="12" t="n"/>
      <c r="CS233" s="12" t="n"/>
      <c r="CT233" s="12" t="n"/>
      <c r="CU233" s="12" t="n"/>
      <c r="CV233" s="12" t="n"/>
      <c r="CW233" s="12" t="n"/>
      <c r="CX233" s="12" t="n"/>
      <c r="CY233" s="12" t="n"/>
    </row>
    <row r="234" hidden="1" outlineLevel="1">
      <c r="C234" s="57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  <c r="Y234" s="12" t="n"/>
      <c r="Z234" s="12" t="n"/>
      <c r="AA234" s="12" t="n"/>
      <c r="AB234" s="12" t="n"/>
      <c r="AC234" s="12" t="n"/>
      <c r="AD234" s="12" t="n"/>
      <c r="AE234" s="12" t="n"/>
      <c r="AF234" s="12" t="n"/>
      <c r="AG234" s="12" t="n"/>
      <c r="AH234" s="12" t="n"/>
      <c r="AI234" s="12" t="n"/>
      <c r="AJ234" s="12" t="n"/>
      <c r="AK234" s="12" t="n"/>
      <c r="AL234" s="12" t="n"/>
      <c r="AM234" s="12" t="n"/>
      <c r="AN234" s="12" t="n"/>
      <c r="AO234" s="12" t="n"/>
      <c r="AP234" s="12" t="n"/>
      <c r="AQ234" s="12" t="n"/>
      <c r="AR234" s="12" t="n"/>
      <c r="AS234" s="12" t="n"/>
      <c r="AT234" s="12" t="n"/>
      <c r="AU234" s="12" t="n"/>
      <c r="AV234" s="12" t="n"/>
      <c r="AW234" s="12" t="n"/>
      <c r="AX234" s="12" t="n"/>
      <c r="AY234" s="12" t="n"/>
      <c r="AZ234" s="12" t="n"/>
      <c r="BA234" s="12" t="n"/>
      <c r="BB234" s="12" t="n"/>
      <c r="BC234" s="12" t="n"/>
      <c r="BD234" s="12" t="n"/>
      <c r="BE234" s="12" t="n"/>
      <c r="BF234" s="12" t="n"/>
      <c r="BG234" s="12" t="n"/>
      <c r="BH234" s="12" t="n"/>
      <c r="BI234" s="12" t="n"/>
      <c r="BJ234" s="12" t="n"/>
      <c r="BK234" s="12" t="n"/>
      <c r="BL234" s="12" t="n"/>
      <c r="BM234" s="12" t="n"/>
      <c r="BN234" s="12" t="n"/>
      <c r="BO234" s="12" t="n"/>
      <c r="BP234" s="12" t="n"/>
      <c r="BQ234" s="12" t="n"/>
      <c r="BR234" s="12" t="n"/>
      <c r="BS234" s="12" t="n"/>
      <c r="BT234" s="12" t="n"/>
      <c r="BU234" s="12" t="n"/>
      <c r="BV234" s="12" t="n"/>
      <c r="BW234" s="12" t="n"/>
      <c r="BX234" s="12" t="n"/>
      <c r="BY234" s="12" t="n"/>
      <c r="BZ234" s="12" t="n"/>
      <c r="CA234" s="12" t="n"/>
      <c r="CB234" s="12" t="n"/>
      <c r="CC234" s="12" t="n"/>
      <c r="CD234" s="12" t="n"/>
      <c r="CE234" s="12" t="n"/>
      <c r="CF234" s="12" t="n"/>
      <c r="CG234" s="12" t="n"/>
      <c r="CH234" s="12" t="n"/>
      <c r="CI234" s="12" t="n"/>
      <c r="CJ234" s="12" t="n"/>
      <c r="CK234" s="12" t="n"/>
      <c r="CL234" s="12" t="n"/>
      <c r="CM234" s="12" t="n"/>
      <c r="CN234" s="12" t="n"/>
      <c r="CO234" s="12" t="n"/>
      <c r="CP234" s="12" t="n"/>
      <c r="CQ234" s="12" t="n"/>
      <c r="CR234" s="12" t="n"/>
      <c r="CS234" s="12" t="n"/>
      <c r="CT234" s="12" t="n"/>
      <c r="CU234" s="12" t="n"/>
      <c r="CV234" s="12" t="n"/>
      <c r="CW234" s="12" t="n"/>
      <c r="CX234" s="12" t="n"/>
      <c r="CY234" s="12" t="n"/>
    </row>
    <row r="235" collapsed="1">
      <c r="C235" s="14" t="inlineStr">
        <is>
          <t>Long term operating leases</t>
        </is>
      </c>
      <c r="D235" s="46" t="n"/>
      <c r="E235" s="46" t="n"/>
      <c r="F235" s="46" t="n"/>
      <c r="G235" s="46" t="n"/>
      <c r="H235" s="12" t="n"/>
      <c r="I235" s="46">
        <f>'Inputs (2)'!D36</f>
        <v>28.194</v>
      </c>
      <c r="J235" s="46">
        <f>'Inputs (2)'!E36</f>
        <v>28.075</v>
      </c>
      <c r="K235" s="46">
        <f>'Inputs (2)'!F36</f>
        <v>26.54</v>
      </c>
      <c r="L235" s="46">
        <f>'Inputs (2)'!G36</f>
        <v>25.129</v>
      </c>
      <c r="M235" s="12">
        <f>'Inputs (2)'!H36</f>
        <v>25.129</v>
      </c>
      <c r="N235" s="46">
        <f>'Inputs (2)'!I36</f>
        <v>23.687</v>
      </c>
      <c r="O235" s="46">
        <f>'Inputs (2)'!J36</f>
        <v>22.264</v>
      </c>
      <c r="P235" s="46">
        <f>'Inputs (2)'!K36</f>
        <v>20.842</v>
      </c>
      <c r="Q235" s="46">
        <f>'Inputs (2)'!L36</f>
        <v>19.821</v>
      </c>
      <c r="R235" s="12">
        <f>'Inputs (2)'!M36</f>
        <v>19.821</v>
      </c>
      <c r="S235" s="46">
        <f>'Inputs (2)'!N36</f>
        <v>18.235</v>
      </c>
      <c r="T235" s="46">
        <f>'Inputs (2)'!O36</f>
        <v>16.657</v>
      </c>
      <c r="U235" s="46">
        <f>'Inputs (2)'!P36</f>
        <v>15.139</v>
      </c>
      <c r="V235" s="46">
        <f>'Inputs (2)'!Q36</f>
        <v>13.648</v>
      </c>
      <c r="W235" s="12">
        <f>'Inputs (2)'!R36</f>
        <v>13.648</v>
      </c>
      <c r="X235" s="46">
        <f>'Inputs (2)'!S36</f>
        <v>77.451</v>
      </c>
      <c r="Y235" s="46">
        <f>'Inputs (2)'!T36</f>
        <v>76.896</v>
      </c>
      <c r="Z235" s="46">
        <f>'Inputs (2)'!U36</f>
        <v>76.332</v>
      </c>
      <c r="AA235" s="46">
        <f>'Inputs (2)'!V36</f>
        <v>75.773</v>
      </c>
      <c r="AB235" s="12">
        <f>'Inputs (2)'!W36</f>
        <v>75.773</v>
      </c>
      <c r="AC235" s="46">
        <f>'Inputs (2)'!X36</f>
        <v>76.53</v>
      </c>
      <c r="AD235" s="46">
        <f>'Inputs (2)'!Y36</f>
        <v>78.332</v>
      </c>
      <c r="AE235" s="46">
        <f>'Inputs (2)'!Z36</f>
        <v>77.318</v>
      </c>
      <c r="AF235" s="46">
        <f>'Inputs (2)'!AA36</f>
        <v>76.29</v>
      </c>
      <c r="AG235" s="12">
        <f>'Inputs (2)'!AB36</f>
        <v>76.29</v>
      </c>
      <c r="AH235" s="12">
        <f>'Inputs (2)'!AC36</f>
        <v>75.254</v>
      </c>
      <c r="AI235" s="12">
        <f>'Inputs (2)'!AD36</f>
        <v>74.202</v>
      </c>
      <c r="AJ235" s="12">
        <f>AI235</f>
        <v>74.202</v>
      </c>
      <c r="AK235" s="12">
        <f>AJ235</f>
        <v>74.202</v>
      </c>
      <c r="AL235" s="12">
        <f>AK235</f>
        <v>74.202</v>
      </c>
      <c r="AM235" s="12">
        <f>AL235</f>
        <v>74.202</v>
      </c>
      <c r="AN235" s="12">
        <f>AM235</f>
        <v>74.202</v>
      </c>
      <c r="AO235" s="12">
        <f>AN235</f>
        <v>74.202</v>
      </c>
      <c r="AP235" s="12">
        <f>AO235</f>
        <v>74.202</v>
      </c>
      <c r="AQ235" s="12">
        <f>AP235</f>
        <v>74.202</v>
      </c>
      <c r="AR235" s="12">
        <f>AQ235</f>
        <v>74.202</v>
      </c>
      <c r="AS235" s="12">
        <f>AR235</f>
        <v>74.202</v>
      </c>
      <c r="AT235" s="12">
        <f>AS235</f>
        <v>74.202</v>
      </c>
      <c r="AU235" s="12">
        <f>AT235</f>
        <v>74.202</v>
      </c>
      <c r="AV235" s="12">
        <f>AU235</f>
        <v>74.202</v>
      </c>
      <c r="AW235" s="12">
        <f>AV235</f>
        <v>74.202</v>
      </c>
      <c r="AX235" s="12">
        <f>AW235</f>
        <v>74.202</v>
      </c>
      <c r="AY235" s="12">
        <f>AX235</f>
        <v>74.202</v>
      </c>
      <c r="AZ235" s="12">
        <f>AY235</f>
        <v>74.202</v>
      </c>
      <c r="BA235" s="12">
        <f>AZ235</f>
        <v>74.202</v>
      </c>
      <c r="BB235" s="12">
        <f>BA235</f>
        <v>74.202</v>
      </c>
      <c r="BC235" s="12">
        <f>BB235</f>
        <v>74.202</v>
      </c>
      <c r="BD235" s="12">
        <f>BC235</f>
        <v>74.202</v>
      </c>
      <c r="BE235" s="12">
        <f>BD235</f>
        <v>74.202</v>
      </c>
      <c r="BF235" s="12">
        <f>BE235</f>
        <v>74.202</v>
      </c>
      <c r="BG235" s="12" t="n"/>
      <c r="BH235" s="12" t="n"/>
      <c r="BI235" s="12" t="n"/>
      <c r="BJ235" s="12" t="n"/>
      <c r="BK235" s="12" t="n"/>
      <c r="BL235" s="12" t="n"/>
      <c r="BM235" s="12" t="n"/>
      <c r="BN235" s="12" t="n"/>
      <c r="BO235" s="12" t="n"/>
      <c r="BP235" s="12" t="n"/>
      <c r="BQ235" s="12" t="n"/>
      <c r="BR235" s="12" t="n"/>
      <c r="BS235" s="12" t="n"/>
      <c r="BT235" s="12" t="n"/>
      <c r="BU235" s="12" t="n"/>
      <c r="BV235" s="12" t="n"/>
      <c r="BW235" s="12" t="n"/>
      <c r="BX235" s="12" t="n"/>
      <c r="BY235" s="12" t="n"/>
      <c r="BZ235" s="12" t="n"/>
      <c r="CA235" s="12" t="n"/>
      <c r="CB235" s="12" t="n"/>
      <c r="CC235" s="12" t="n"/>
      <c r="CD235" s="12" t="n"/>
      <c r="CE235" s="12" t="n"/>
      <c r="CF235" s="12" t="n"/>
      <c r="CG235" s="12" t="n"/>
      <c r="CH235" s="12" t="n"/>
      <c r="CI235" s="12" t="n"/>
      <c r="CJ235" s="12" t="n"/>
      <c r="CK235" s="12" t="n"/>
      <c r="CL235" s="12" t="n"/>
      <c r="CM235" s="12" t="n"/>
      <c r="CN235" s="12" t="n"/>
      <c r="CO235" s="12" t="n"/>
      <c r="CP235" s="12" t="n"/>
      <c r="CQ235" s="12" t="n"/>
      <c r="CR235" s="12" t="n"/>
      <c r="CS235" s="12" t="n"/>
      <c r="CT235" s="12" t="n"/>
      <c r="CU235" s="12" t="n"/>
      <c r="CV235" s="12" t="n"/>
      <c r="CW235" s="12" t="n"/>
      <c r="CX235" s="12" t="n"/>
      <c r="CY235" s="12" t="n"/>
    </row>
    <row r="236" hidden="1" outlineLevel="1">
      <c r="C236" s="59" t="inlineStr">
        <is>
          <t>%(Var.)</t>
        </is>
      </c>
      <c r="D236" s="12" t="n"/>
      <c r="E236" s="40" t="n"/>
      <c r="F236" s="40" t="n"/>
      <c r="G236" s="40" t="n"/>
      <c r="H236" s="12" t="n"/>
      <c r="I236" s="40" t="str">
        <f>""</f>
        <v/>
      </c>
      <c r="J236" s="40">
        <f>IFERROR(IF(I235=0,"",J235/I235-1),"")</f>
        <v>-0.0042207561892601</v>
      </c>
      <c r="K236" s="40">
        <f>IFERROR(IF(J235=0,"",K235/J235-1),"")</f>
        <v>-0.0546749777382013</v>
      </c>
      <c r="L236" s="40">
        <f>IFERROR(IF(K235=0,"",L235/K235-1),"")</f>
        <v>-0.0531650339110775</v>
      </c>
      <c r="M236" s="12">
        <f>IF(L235=0,"",M235/L235-1)</f>
        <v>0</v>
      </c>
      <c r="N236" s="40">
        <f>IFERROR(IF(M235=0,"",N235/M235-1),"")</f>
        <v>-0.0573838990807434</v>
      </c>
      <c r="O236" s="40">
        <f>IFERROR(IF(N235=0,"",O235/N235-1),"")</f>
        <v>-0.0600751467049437</v>
      </c>
      <c r="P236" s="40">
        <f>IFERROR(IF(O235=0,"",P235/O235-1),"")</f>
        <v>-0.0638699245418614</v>
      </c>
      <c r="Q236" s="40">
        <f>IFERROR(IF(P235=0,"",Q235/P235-1),"")</f>
        <v>-0.0489876211496016</v>
      </c>
      <c r="R236" s="12">
        <f>IF(Q235=0,"",R235/Q235-1)</f>
        <v>0</v>
      </c>
      <c r="S236" s="40">
        <f>IFERROR(IF(R235=0,"",S235/R235-1),"")</f>
        <v>-0.0800161444932144</v>
      </c>
      <c r="T236" s="40">
        <f>IFERROR(IF(S235=0,"",T235/S235-1),"")</f>
        <v>-0.0865368796270908</v>
      </c>
      <c r="U236" s="40">
        <f>IFERROR(IF(T235=0,"",U235/T235-1),"")</f>
        <v>-0.0911328570570932</v>
      </c>
      <c r="V236" s="40">
        <f>IFERROR(IF(U235=0,"",V235/U235-1),"")</f>
        <v>-0.0984873505515556</v>
      </c>
      <c r="W236" s="12">
        <f>IF(V235=0,"",W235/V235-1)</f>
        <v>0</v>
      </c>
      <c r="X236" s="40">
        <f>IFERROR(IF(W235=0,"",X235/W235-1),"")</f>
        <v>4.67489742086753</v>
      </c>
      <c r="Y236" s="40">
        <f>IFERROR(IF(X235=0,"",Y235/X235-1),"")</f>
        <v>-0.00716582097067819</v>
      </c>
      <c r="Z236" s="40">
        <f>IFERROR(IF(Y235=0,"",Z235/Y235-1),"")</f>
        <v>-0.00733458177278412</v>
      </c>
      <c r="AA236" s="40">
        <f>IFERROR(IF(Z235=0,"",AA235/Z235-1),"")</f>
        <v>-0.00732327202221872</v>
      </c>
      <c r="AB236" s="12">
        <f>IF(AA235=0,"",AB235/AA235-1)</f>
        <v>0</v>
      </c>
      <c r="AC236" s="40">
        <f>IFERROR(IF(AB235=0,"",AC235/AB235-1),"")</f>
        <v>0.00999036596149039</v>
      </c>
      <c r="AD236" s="40">
        <f>IFERROR(IF(AC235=0,"",AD235/AC235-1),"")</f>
        <v>0.0235463217039069</v>
      </c>
      <c r="AE236" s="40">
        <f>IFERROR(IF(AD235=0,"",AE235/AD235-1),"")</f>
        <v>-0.0129449011898074</v>
      </c>
      <c r="AF236" s="41">
        <f>IFERROR(IF(AE235=0,"",AF235/AE235-1),"")</f>
        <v>-0.0132957396725212</v>
      </c>
      <c r="AG236" s="12">
        <f>IF(AF235=0,"",AG235/AF235-1)</f>
        <v>0</v>
      </c>
      <c r="AH236" s="11">
        <f>IFERROR(IF(AG235=0,"",AH235/AG235-1),"")</f>
        <v>-0.0135797614366234</v>
      </c>
      <c r="AI236" s="11">
        <f>IFERROR(IF(AH235=0,"",AI235/AH235-1),"")</f>
        <v>-0.0139793233582269</v>
      </c>
      <c r="AJ236" s="11">
        <f>IFERROR(IF(AI235=0,"",AJ235/AI235-1),"")</f>
        <v>0</v>
      </c>
      <c r="AK236" s="11">
        <f>IFERROR(IF(AJ235=0,"",AK235/AJ235-1),"")</f>
        <v>0</v>
      </c>
      <c r="AL236" s="12">
        <f>IFERROR(IF(AK235=0,"",AL235/AK235-1),"")</f>
        <v>0</v>
      </c>
      <c r="AM236" s="11">
        <f>IFERROR(IF(AL235=0,"",AM235/AL235-1),"")</f>
        <v>0</v>
      </c>
      <c r="AN236" s="11">
        <f>IFERROR(IF(AM235=0,"",AN235/AM235-1),"")</f>
        <v>0</v>
      </c>
      <c r="AO236" s="11">
        <f>IFERROR(IF(AN235=0,"",AO235/AN235-1),"")</f>
        <v>0</v>
      </c>
      <c r="AP236" s="11">
        <f>IFERROR(IF(AO235=0,"",AP235/AO235-1),"")</f>
        <v>0</v>
      </c>
      <c r="AQ236" s="12">
        <f>IFERROR(IF(AP235=0,"",AQ235/AP235-1),"")</f>
        <v>0</v>
      </c>
      <c r="AR236" s="11">
        <f>IFERROR(IF(AQ235=0,"",AR235/AQ235-1),"")</f>
        <v>0</v>
      </c>
      <c r="AS236" s="11">
        <f>IFERROR(IF(AR235=0,"",AS235/AR235-1),"")</f>
        <v>0</v>
      </c>
      <c r="AT236" s="11">
        <f>IFERROR(IF(AS235=0,"",AT235/AS235-1),"")</f>
        <v>0</v>
      </c>
      <c r="AU236" s="11">
        <f>IFERROR(IF(AT235=0,"",AU235/AT235-1),"")</f>
        <v>0</v>
      </c>
      <c r="AV236" s="12">
        <f>IFERROR(IF(AU235=0,"",AV235/AU235-1),"")</f>
        <v>0</v>
      </c>
      <c r="AW236" s="11">
        <f>IFERROR(IF(AV235=0,"",AW235/AV235-1),"")</f>
        <v>0</v>
      </c>
      <c r="AX236" s="11">
        <f>IFERROR(IF(AW235=0,"",AX235/AW235-1),"")</f>
        <v>0</v>
      </c>
      <c r="AY236" s="11">
        <f>IFERROR(IF(AX235=0,"",AY235/AX235-1),"")</f>
        <v>0</v>
      </c>
      <c r="AZ236" s="11">
        <f>IFERROR(IF(AY235=0,"",AZ235/AY235-1),"")</f>
        <v>0</v>
      </c>
      <c r="BA236" s="12">
        <f>IFERROR(IF(AZ235=0,"",BA235/AZ235-1),"")</f>
        <v>0</v>
      </c>
      <c r="BB236" s="11">
        <f>IFERROR(IF(BA235=0,"",BB235/BA235-1),"")</f>
        <v>0</v>
      </c>
      <c r="BC236" s="11">
        <f>IFERROR(IF(BB235=0,"",BC235/BB235-1),"")</f>
        <v>0</v>
      </c>
      <c r="BD236" s="11">
        <f>IFERROR(IF(BC235=0,"",BD235/BC235-1),"")</f>
        <v>0</v>
      </c>
      <c r="BE236" s="11">
        <f>IFERROR(IF(BD235=0,"",BE235/BD235-1),"")</f>
        <v>0</v>
      </c>
      <c r="BF236" s="12">
        <f>IFERROR(IF(BE235=0,"",BF235/BE235-1),"")</f>
        <v>0</v>
      </c>
      <c r="BG236" s="11" t="n"/>
      <c r="BH236" s="11" t="n"/>
      <c r="BI236" s="11" t="n"/>
      <c r="BJ236" s="11" t="n"/>
      <c r="BK236" s="12" t="n"/>
      <c r="BL236" s="11" t="n"/>
      <c r="BM236" s="11" t="n"/>
      <c r="BN236" s="11" t="n"/>
      <c r="BO236" s="11" t="n"/>
      <c r="BP236" s="12" t="n"/>
      <c r="BQ236" s="11" t="n"/>
      <c r="BR236" s="11" t="n"/>
      <c r="BS236" s="11" t="n"/>
      <c r="BT236" s="11" t="n"/>
      <c r="BU236" s="12" t="n"/>
      <c r="BV236" s="11" t="n"/>
      <c r="BW236" s="11" t="n"/>
      <c r="BX236" s="11" t="n"/>
      <c r="BY236" s="11" t="n"/>
      <c r="BZ236" s="12" t="n"/>
      <c r="CA236" s="11" t="n"/>
      <c r="CB236" s="11" t="n"/>
      <c r="CC236" s="11" t="n"/>
      <c r="CD236" s="11" t="n"/>
      <c r="CE236" s="12" t="n"/>
      <c r="CF236" s="11" t="n"/>
      <c r="CG236" s="11" t="n"/>
      <c r="CH236" s="11" t="n"/>
      <c r="CI236" s="11" t="n"/>
      <c r="CJ236" s="12" t="n"/>
      <c r="CK236" s="11" t="n"/>
      <c r="CL236" s="11" t="n"/>
      <c r="CM236" s="11" t="n"/>
      <c r="CN236" s="11" t="n"/>
      <c r="CO236" s="12" t="n"/>
      <c r="CP236" s="11" t="n"/>
      <c r="CQ236" s="11" t="n"/>
      <c r="CR236" s="11" t="n"/>
      <c r="CS236" s="11" t="n"/>
      <c r="CT236" s="12" t="n"/>
      <c r="CU236" s="11" t="n"/>
      <c r="CV236" s="11" t="n"/>
      <c r="CW236" s="11" t="n"/>
      <c r="CX236" s="11" t="n"/>
      <c r="CY236" s="12" t="n"/>
    </row>
    <row r="237" hidden="1" outlineLevel="1">
      <c r="C237" s="57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  <c r="Y237" s="12" t="n"/>
      <c r="Z237" s="12" t="n"/>
      <c r="AA237" s="12" t="n"/>
      <c r="AB237" s="12" t="n"/>
      <c r="AC237" s="12" t="n"/>
      <c r="AD237" s="12" t="n"/>
      <c r="AE237" s="12" t="n"/>
      <c r="AF237" s="12" t="n"/>
      <c r="AG237" s="12" t="n"/>
      <c r="AH237" s="12" t="n"/>
      <c r="AI237" s="12" t="n"/>
      <c r="AJ237" s="12" t="n"/>
      <c r="AK237" s="12" t="n"/>
      <c r="AL237" s="12" t="n"/>
      <c r="AM237" s="12" t="n"/>
      <c r="AN237" s="12" t="n"/>
      <c r="AO237" s="12" t="n"/>
      <c r="AP237" s="12" t="n"/>
      <c r="AQ237" s="12" t="n"/>
      <c r="AR237" s="12" t="n"/>
      <c r="AS237" s="12" t="n"/>
      <c r="AT237" s="12" t="n"/>
      <c r="AU237" s="12" t="n"/>
      <c r="AV237" s="12" t="n"/>
      <c r="AW237" s="12" t="n"/>
      <c r="AX237" s="12" t="n"/>
      <c r="AY237" s="12" t="n"/>
      <c r="AZ237" s="12" t="n"/>
      <c r="BA237" s="12" t="n"/>
      <c r="BB237" s="12" t="n"/>
      <c r="BC237" s="12" t="n"/>
      <c r="BD237" s="12" t="n"/>
      <c r="BE237" s="12" t="n"/>
      <c r="BF237" s="12" t="n"/>
      <c r="BG237" s="12" t="n"/>
      <c r="BH237" s="12" t="n"/>
      <c r="BI237" s="12" t="n"/>
      <c r="BJ237" s="12" t="n"/>
      <c r="BK237" s="12" t="n"/>
      <c r="BL237" s="12" t="n"/>
      <c r="BM237" s="12" t="n"/>
      <c r="BN237" s="12" t="n"/>
      <c r="BO237" s="12" t="n"/>
      <c r="BP237" s="12" t="n"/>
      <c r="BQ237" s="12" t="n"/>
      <c r="BR237" s="12" t="n"/>
      <c r="BS237" s="12" t="n"/>
      <c r="BT237" s="12" t="n"/>
      <c r="BU237" s="12" t="n"/>
      <c r="BV237" s="12" t="n"/>
      <c r="BW237" s="12" t="n"/>
      <c r="BX237" s="12" t="n"/>
      <c r="BY237" s="12" t="n"/>
      <c r="BZ237" s="12" t="n"/>
      <c r="CA237" s="12" t="n"/>
      <c r="CB237" s="12" t="n"/>
      <c r="CC237" s="12" t="n"/>
      <c r="CD237" s="12" t="n"/>
      <c r="CE237" s="12" t="n"/>
      <c r="CF237" s="12" t="n"/>
      <c r="CG237" s="12" t="n"/>
      <c r="CH237" s="12" t="n"/>
      <c r="CI237" s="12" t="n"/>
      <c r="CJ237" s="12" t="n"/>
      <c r="CK237" s="12" t="n"/>
      <c r="CL237" s="12" t="n"/>
      <c r="CM237" s="12" t="n"/>
      <c r="CN237" s="12" t="n"/>
      <c r="CO237" s="12" t="n"/>
      <c r="CP237" s="12" t="n"/>
      <c r="CQ237" s="12" t="n"/>
      <c r="CR237" s="12" t="n"/>
      <c r="CS237" s="12" t="n"/>
      <c r="CT237" s="12" t="n"/>
      <c r="CU237" s="12" t="n"/>
      <c r="CV237" s="12" t="n"/>
      <c r="CW237" s="12" t="n"/>
      <c r="CX237" s="12" t="n"/>
      <c r="CY237" s="12" t="n"/>
    </row>
    <row r="238" collapsed="1">
      <c r="C238" s="14" t="inlineStr">
        <is>
          <t>Convertible debt</t>
        </is>
      </c>
      <c r="D238" s="46" t="n"/>
      <c r="E238" s="46" t="n"/>
      <c r="F238" s="46" t="n"/>
      <c r="G238" s="46" t="n"/>
      <c r="H238" s="12" t="n"/>
      <c r="I238" s="46">
        <f>'Inputs (2)'!D37</f>
        <v>0</v>
      </c>
      <c r="J238" s="46">
        <f>'Inputs (2)'!E37</f>
        <v>0</v>
      </c>
      <c r="K238" s="46">
        <f>'Inputs (2)'!F37</f>
        <v>0</v>
      </c>
      <c r="L238" s="46">
        <f>'Inputs (2)'!G37</f>
        <v>0</v>
      </c>
      <c r="M238" s="12">
        <f>'Inputs (2)'!H37</f>
        <v>0</v>
      </c>
      <c r="N238" s="46">
        <f>'Inputs (2)'!I37</f>
        <v>0</v>
      </c>
      <c r="O238" s="46">
        <f>'Inputs (2)'!J37</f>
        <v>0</v>
      </c>
      <c r="P238" s="46">
        <f>'Inputs (2)'!K37</f>
        <v>0</v>
      </c>
      <c r="Q238" s="46">
        <f>'Inputs (2)'!L37</f>
        <v>0</v>
      </c>
      <c r="R238" s="12">
        <f>'Inputs (2)'!M37</f>
        <v>0</v>
      </c>
      <c r="S238" s="46">
        <f>'Inputs (2)'!N37</f>
        <v>0</v>
      </c>
      <c r="T238" s="46">
        <f>'Inputs (2)'!O37</f>
        <v>0</v>
      </c>
      <c r="U238" s="46">
        <f>'Inputs (2)'!P37</f>
        <v>0</v>
      </c>
      <c r="V238" s="46">
        <f>'Inputs (2)'!Q37</f>
        <v>0</v>
      </c>
      <c r="W238" s="12">
        <f>'Inputs (2)'!R37</f>
        <v>0</v>
      </c>
      <c r="X238" s="46">
        <f>'Inputs (2)'!S37</f>
        <v>0</v>
      </c>
      <c r="Y238" s="46">
        <f>'Inputs (2)'!T37</f>
        <v>0</v>
      </c>
      <c r="Z238" s="46">
        <f>'Inputs (2)'!U37</f>
        <v>0</v>
      </c>
      <c r="AA238" s="46">
        <f>'Inputs (2)'!V37</f>
        <v>0</v>
      </c>
      <c r="AB238" s="12">
        <f>'Inputs (2)'!W37</f>
        <v>0</v>
      </c>
      <c r="AC238" s="46">
        <f>'Inputs (2)'!X37</f>
        <v>0</v>
      </c>
      <c r="AD238" s="46">
        <f>'Inputs (2)'!Y37</f>
        <v>0</v>
      </c>
      <c r="AE238" s="46">
        <f>'Inputs (2)'!Z37</f>
        <v>0</v>
      </c>
      <c r="AF238" s="46">
        <f>'Inputs (2)'!AA37</f>
        <v>0</v>
      </c>
      <c r="AG238" s="12">
        <f>'Inputs (2)'!AB37</f>
        <v>0</v>
      </c>
      <c r="AH238" s="12">
        <f>'Inputs (2)'!AC37</f>
        <v>0</v>
      </c>
      <c r="AI238" s="12">
        <f>'Inputs (2)'!AD37</f>
        <v>0</v>
      </c>
      <c r="AJ238" s="12">
        <f>AI238</f>
        <v>0</v>
      </c>
      <c r="AK238" s="12">
        <f>AJ238</f>
        <v>0</v>
      </c>
      <c r="AL238" s="12">
        <f>AK238</f>
        <v>0</v>
      </c>
      <c r="AM238" s="12">
        <f>AL238</f>
        <v>0</v>
      </c>
      <c r="AN238" s="12">
        <f>AM238</f>
        <v>0</v>
      </c>
      <c r="AO238" s="12">
        <f>AN238</f>
        <v>0</v>
      </c>
      <c r="AP238" s="12">
        <f>AO238</f>
        <v>0</v>
      </c>
      <c r="AQ238" s="12">
        <f>AP238</f>
        <v>0</v>
      </c>
      <c r="AR238" s="12">
        <f>AQ238</f>
        <v>0</v>
      </c>
      <c r="AS238" s="12">
        <f>AR238</f>
        <v>0</v>
      </c>
      <c r="AT238" s="12">
        <f>AS238</f>
        <v>0</v>
      </c>
      <c r="AU238" s="12">
        <f>AT238</f>
        <v>0</v>
      </c>
      <c r="AV238" s="12">
        <f>AU238</f>
        <v>0</v>
      </c>
      <c r="AW238" s="12">
        <f>AV238</f>
        <v>0</v>
      </c>
      <c r="AX238" s="12">
        <f>AW238</f>
        <v>0</v>
      </c>
      <c r="AY238" s="12">
        <f>AX238</f>
        <v>0</v>
      </c>
      <c r="AZ238" s="12">
        <f>AY238</f>
        <v>0</v>
      </c>
      <c r="BA238" s="12">
        <f>AZ238</f>
        <v>0</v>
      </c>
      <c r="BB238" s="12">
        <f>BA238</f>
        <v>0</v>
      </c>
      <c r="BC238" s="12">
        <f>BB238</f>
        <v>0</v>
      </c>
      <c r="BD238" s="12">
        <f>BC238</f>
        <v>0</v>
      </c>
      <c r="BE238" s="12">
        <f>BD238</f>
        <v>0</v>
      </c>
      <c r="BF238" s="12">
        <f>BE238</f>
        <v>0</v>
      </c>
      <c r="BG238" s="12" t="n"/>
      <c r="BH238" s="12" t="n"/>
      <c r="BI238" s="12" t="n"/>
      <c r="BJ238" s="12" t="n"/>
      <c r="BK238" s="12" t="n"/>
      <c r="BL238" s="12" t="n"/>
      <c r="BM238" s="12" t="n"/>
      <c r="BN238" s="12" t="n"/>
      <c r="BO238" s="12" t="n"/>
      <c r="BP238" s="12" t="n"/>
      <c r="BQ238" s="12" t="n"/>
      <c r="BR238" s="12" t="n"/>
      <c r="BS238" s="12" t="n"/>
      <c r="BT238" s="12" t="n"/>
      <c r="BU238" s="12" t="n"/>
      <c r="BV238" s="12" t="n"/>
      <c r="BW238" s="12" t="n"/>
      <c r="BX238" s="12" t="n"/>
      <c r="BY238" s="12" t="n"/>
      <c r="BZ238" s="12" t="n"/>
      <c r="CA238" s="12" t="n"/>
      <c r="CB238" s="12" t="n"/>
      <c r="CC238" s="12" t="n"/>
      <c r="CD238" s="12" t="n"/>
      <c r="CE238" s="12" t="n"/>
      <c r="CF238" s="12" t="n"/>
      <c r="CG238" s="12" t="n"/>
      <c r="CH238" s="12" t="n"/>
      <c r="CI238" s="12" t="n"/>
      <c r="CJ238" s="12" t="n"/>
      <c r="CK238" s="12" t="n"/>
      <c r="CL238" s="12" t="n"/>
      <c r="CM238" s="12" t="n"/>
      <c r="CN238" s="12" t="n"/>
      <c r="CO238" s="12" t="n"/>
      <c r="CP238" s="12" t="n"/>
      <c r="CQ238" s="12" t="n"/>
      <c r="CR238" s="12" t="n"/>
      <c r="CS238" s="12" t="n"/>
      <c r="CT238" s="12" t="n"/>
      <c r="CU238" s="12" t="n"/>
      <c r="CV238" s="12" t="n"/>
      <c r="CW238" s="12" t="n"/>
      <c r="CX238" s="12" t="n"/>
      <c r="CY238" s="12" t="n"/>
    </row>
    <row r="239">
      <c r="C239" s="14" t="inlineStr">
        <is>
          <t>Deferred income taxes</t>
        </is>
      </c>
      <c r="D239" s="46" t="n"/>
      <c r="E239" s="46" t="n"/>
      <c r="F239" s="46" t="n"/>
      <c r="G239" s="46" t="n"/>
      <c r="H239" s="12" t="n"/>
      <c r="I239" s="46">
        <f>'Inputs (2)'!D38</f>
        <v>3.849</v>
      </c>
      <c r="J239" s="46">
        <f>'Inputs (2)'!E38</f>
        <v>8.127</v>
      </c>
      <c r="K239" s="46">
        <f>'Inputs (2)'!F38</f>
        <v>11.013</v>
      </c>
      <c r="L239" s="46">
        <f>'Inputs (2)'!G38</f>
        <v>9.701</v>
      </c>
      <c r="M239" s="12">
        <f>'Inputs (2)'!H38</f>
        <v>9.701</v>
      </c>
      <c r="N239" s="46">
        <f>'Inputs (2)'!I38</f>
        <v>8.834</v>
      </c>
      <c r="O239" s="46">
        <f>'Inputs (2)'!J38</f>
        <v>7.882</v>
      </c>
      <c r="P239" s="46">
        <f>'Inputs (2)'!K38</f>
        <v>11.785</v>
      </c>
      <c r="Q239" s="46">
        <f>'Inputs (2)'!L38</f>
        <v>12.737</v>
      </c>
      <c r="R239" s="12">
        <f>'Inputs (2)'!M38</f>
        <v>12.737</v>
      </c>
      <c r="S239" s="46">
        <f>'Inputs (2)'!N38</f>
        <v>0</v>
      </c>
      <c r="T239" s="46">
        <f>'Inputs (2)'!O38</f>
        <v>0</v>
      </c>
      <c r="U239" s="46">
        <f>'Inputs (2)'!P38</f>
        <v>0</v>
      </c>
      <c r="V239" s="46">
        <f>'Inputs (2)'!Q38</f>
        <v>0</v>
      </c>
      <c r="W239" s="12">
        <f>'Inputs (2)'!R38</f>
        <v>0</v>
      </c>
      <c r="X239" s="46">
        <f>'Inputs (2)'!S38</f>
        <v>0</v>
      </c>
      <c r="Y239" s="46">
        <f>'Inputs (2)'!T38</f>
        <v>0</v>
      </c>
      <c r="Z239" s="46">
        <f>'Inputs (2)'!U38</f>
        <v>0</v>
      </c>
      <c r="AA239" s="46">
        <f>'Inputs (2)'!V38</f>
        <v>0</v>
      </c>
      <c r="AB239" s="12">
        <f>'Inputs (2)'!W38</f>
        <v>0</v>
      </c>
      <c r="AC239" s="46">
        <f>'Inputs (2)'!X38</f>
        <v>0</v>
      </c>
      <c r="AD239" s="46">
        <f>'Inputs (2)'!Y38</f>
        <v>0</v>
      </c>
      <c r="AE239" s="46">
        <f>'Inputs (2)'!Z38</f>
        <v>0</v>
      </c>
      <c r="AF239" s="46">
        <f>'Inputs (2)'!AA38</f>
        <v>0</v>
      </c>
      <c r="AG239" s="12">
        <f>'Inputs (2)'!AB38</f>
        <v>0</v>
      </c>
      <c r="AH239" s="12">
        <f>'Inputs (2)'!AC38</f>
        <v>0</v>
      </c>
      <c r="AI239" s="12">
        <f>'Inputs (2)'!AD38</f>
        <v>0</v>
      </c>
      <c r="AJ239" s="12">
        <f>AI239</f>
        <v>0</v>
      </c>
      <c r="AK239" s="12">
        <f>AJ239</f>
        <v>0</v>
      </c>
      <c r="AL239" s="12">
        <f>AK239</f>
        <v>0</v>
      </c>
      <c r="AM239" s="12">
        <f>AL239</f>
        <v>0</v>
      </c>
      <c r="AN239" s="12">
        <f>AM239</f>
        <v>0</v>
      </c>
      <c r="AO239" s="12">
        <f>AN239</f>
        <v>0</v>
      </c>
      <c r="AP239" s="12">
        <f>AO239</f>
        <v>0</v>
      </c>
      <c r="AQ239" s="12">
        <f>AP239</f>
        <v>0</v>
      </c>
      <c r="AR239" s="12">
        <f>AQ239</f>
        <v>0</v>
      </c>
      <c r="AS239" s="12">
        <f>AR239</f>
        <v>0</v>
      </c>
      <c r="AT239" s="12">
        <f>AS239</f>
        <v>0</v>
      </c>
      <c r="AU239" s="12">
        <f>AT239</f>
        <v>0</v>
      </c>
      <c r="AV239" s="12">
        <f>AU239</f>
        <v>0</v>
      </c>
      <c r="AW239" s="12">
        <f>AV239</f>
        <v>0</v>
      </c>
      <c r="AX239" s="12">
        <f>AW239</f>
        <v>0</v>
      </c>
      <c r="AY239" s="12">
        <f>AX239</f>
        <v>0</v>
      </c>
      <c r="AZ239" s="12">
        <f>AY239</f>
        <v>0</v>
      </c>
      <c r="BA239" s="12">
        <f>AZ239</f>
        <v>0</v>
      </c>
      <c r="BB239" s="12">
        <f>BA239</f>
        <v>0</v>
      </c>
      <c r="BC239" s="12">
        <f>BB239</f>
        <v>0</v>
      </c>
      <c r="BD239" s="12">
        <f>BC239</f>
        <v>0</v>
      </c>
      <c r="BE239" s="12">
        <f>BD239</f>
        <v>0</v>
      </c>
      <c r="BF239" s="12">
        <f>BE239</f>
        <v>0</v>
      </c>
      <c r="BG239" s="12" t="n"/>
      <c r="BH239" s="12" t="n"/>
      <c r="BI239" s="12" t="n"/>
      <c r="BJ239" s="12" t="n"/>
      <c r="BK239" s="12" t="n"/>
      <c r="BL239" s="12" t="n"/>
      <c r="BM239" s="12" t="n"/>
      <c r="BN239" s="12" t="n"/>
      <c r="BO239" s="12" t="n"/>
      <c r="BP239" s="12" t="n"/>
      <c r="BQ239" s="12" t="n"/>
      <c r="BR239" s="12" t="n"/>
      <c r="BS239" s="12" t="n"/>
      <c r="BT239" s="12" t="n"/>
      <c r="BU239" s="12" t="n"/>
      <c r="BV239" s="12" t="n"/>
      <c r="BW239" s="12" t="n"/>
      <c r="BX239" s="12" t="n"/>
      <c r="BY239" s="12" t="n"/>
      <c r="BZ239" s="12" t="n"/>
      <c r="CA239" s="12" t="n"/>
      <c r="CB239" s="12" t="n"/>
      <c r="CC239" s="12" t="n"/>
      <c r="CD239" s="12" t="n"/>
      <c r="CE239" s="12" t="n"/>
      <c r="CF239" s="12" t="n"/>
      <c r="CG239" s="12" t="n"/>
      <c r="CH239" s="12" t="n"/>
      <c r="CI239" s="12" t="n"/>
      <c r="CJ239" s="12" t="n"/>
      <c r="CK239" s="12" t="n"/>
      <c r="CL239" s="12" t="n"/>
      <c r="CM239" s="12" t="n"/>
      <c r="CN239" s="12" t="n"/>
      <c r="CO239" s="12" t="n"/>
      <c r="CP239" s="12" t="n"/>
      <c r="CQ239" s="12" t="n"/>
      <c r="CR239" s="12" t="n"/>
      <c r="CS239" s="12" t="n"/>
      <c r="CT239" s="12" t="n"/>
      <c r="CU239" s="12" t="n"/>
      <c r="CV239" s="12" t="n"/>
      <c r="CW239" s="12" t="n"/>
      <c r="CX239" s="12" t="n"/>
      <c r="CY239" s="12" t="n"/>
    </row>
    <row r="240">
      <c r="C240" s="14" t="inlineStr">
        <is>
          <t>Other non-current liabilities</t>
        </is>
      </c>
      <c r="D240" s="46" t="n"/>
      <c r="E240" s="46" t="n"/>
      <c r="F240" s="46" t="n"/>
      <c r="G240" s="46" t="n"/>
      <c r="H240" s="12" t="n"/>
      <c r="I240" s="46">
        <f>'Inputs (2)'!D39</f>
        <v>2329.598</v>
      </c>
      <c r="J240" s="46">
        <f>'Inputs (2)'!E39</f>
        <v>2531.486</v>
      </c>
      <c r="K240" s="46">
        <f>'Inputs (2)'!F39</f>
        <v>2538.767</v>
      </c>
      <c r="L240" s="46">
        <f>'Inputs (2)'!G39</f>
        <v>2574.971</v>
      </c>
      <c r="M240" s="12">
        <f>'Inputs (2)'!H39</f>
        <v>2574.971</v>
      </c>
      <c r="N240" s="46">
        <f>'Inputs (2)'!I39</f>
        <v>2559.066</v>
      </c>
      <c r="O240" s="46">
        <f>'Inputs (2)'!J39</f>
        <v>2509.985</v>
      </c>
      <c r="P240" s="46">
        <f>'Inputs (2)'!K39</f>
        <v>2632.304</v>
      </c>
      <c r="Q240" s="46">
        <f>'Inputs (2)'!L39</f>
        <v>3008.842</v>
      </c>
      <c r="R240" s="12">
        <f>'Inputs (2)'!M39</f>
        <v>3008.842</v>
      </c>
      <c r="S240" s="46">
        <f>'Inputs (2)'!N39</f>
        <v>3012.65</v>
      </c>
      <c r="T240" s="46">
        <f>'Inputs (2)'!O39</f>
        <v>3155.555</v>
      </c>
      <c r="U240" s="46">
        <f>'Inputs (2)'!P39</f>
        <v>3166.859</v>
      </c>
      <c r="V240" s="46">
        <f>'Inputs (2)'!Q39</f>
        <v>3316.487</v>
      </c>
      <c r="W240" s="12">
        <f>'Inputs (2)'!R39</f>
        <v>3316.487</v>
      </c>
      <c r="X240" s="46">
        <f>'Inputs (2)'!S39</f>
        <v>3476.862</v>
      </c>
      <c r="Y240" s="46">
        <f>'Inputs (2)'!T39</f>
        <v>4059.246</v>
      </c>
      <c r="Z240" s="46">
        <f>'Inputs (2)'!U39</f>
        <v>4504.303</v>
      </c>
      <c r="AA240" s="46">
        <f>'Inputs (2)'!V39</f>
        <v>4912.425</v>
      </c>
      <c r="AB240" s="12">
        <f>'Inputs (2)'!W39</f>
        <v>4912.425</v>
      </c>
      <c r="AC240" s="46">
        <f>'Inputs (2)'!X39</f>
        <v>5241.823</v>
      </c>
      <c r="AD240" s="46">
        <f>'Inputs (2)'!Y39</f>
        <v>5452.107</v>
      </c>
      <c r="AE240" s="46">
        <f>'Inputs (2)'!Z39</f>
        <v>5849.365</v>
      </c>
      <c r="AF240" s="46">
        <f>'Inputs (2)'!AA39</f>
        <v>6718.469</v>
      </c>
      <c r="AG240" s="12">
        <f>'Inputs (2)'!AB39</f>
        <v>6718.469</v>
      </c>
      <c r="AH240" s="12">
        <f>'Inputs (2)'!AC39</f>
        <v>6931.099</v>
      </c>
      <c r="AI240" s="12">
        <f>'Inputs (2)'!AD39</f>
        <v>7474.272</v>
      </c>
      <c r="AJ240" s="12">
        <f>AI240</f>
        <v>7474.272</v>
      </c>
      <c r="AK240" s="12">
        <f>AJ240</f>
        <v>7474.272</v>
      </c>
      <c r="AL240" s="12">
        <f>AK240</f>
        <v>7474.272</v>
      </c>
      <c r="AM240" s="12">
        <f>AL240</f>
        <v>7474.272</v>
      </c>
      <c r="AN240" s="12">
        <f>AM240</f>
        <v>7474.272</v>
      </c>
      <c r="AO240" s="12">
        <f>AN240</f>
        <v>7474.272</v>
      </c>
      <c r="AP240" s="12">
        <f>AO240</f>
        <v>7474.272</v>
      </c>
      <c r="AQ240" s="12">
        <f>AP240</f>
        <v>7474.272</v>
      </c>
      <c r="AR240" s="12">
        <f>AQ240</f>
        <v>7474.272</v>
      </c>
      <c r="AS240" s="12">
        <f>AR240</f>
        <v>7474.272</v>
      </c>
      <c r="AT240" s="12">
        <f>AS240</f>
        <v>7474.272</v>
      </c>
      <c r="AU240" s="12">
        <f>AT240</f>
        <v>7474.272</v>
      </c>
      <c r="AV240" s="12">
        <f>AU240</f>
        <v>7474.272</v>
      </c>
      <c r="AW240" s="12">
        <f>AV240</f>
        <v>7474.272</v>
      </c>
      <c r="AX240" s="12">
        <f>AW240</f>
        <v>7474.272</v>
      </c>
      <c r="AY240" s="12">
        <f>AX240</f>
        <v>7474.272</v>
      </c>
      <c r="AZ240" s="12">
        <f>AY240</f>
        <v>7474.272</v>
      </c>
      <c r="BA240" s="12">
        <f>AZ240</f>
        <v>7474.272</v>
      </c>
      <c r="BB240" s="12">
        <f>BA240</f>
        <v>7474.272</v>
      </c>
      <c r="BC240" s="12">
        <f>BB240</f>
        <v>7474.272</v>
      </c>
      <c r="BD240" s="12">
        <f>BC240</f>
        <v>7474.272</v>
      </c>
      <c r="BE240" s="12">
        <f>BD240</f>
        <v>7474.272</v>
      </c>
      <c r="BF240" s="12">
        <f>BE240</f>
        <v>7474.272</v>
      </c>
      <c r="BG240" s="12" t="n"/>
      <c r="BH240" s="12" t="n"/>
      <c r="BI240" s="12" t="n"/>
      <c r="BJ240" s="12" t="n"/>
      <c r="BK240" s="12" t="n"/>
      <c r="BL240" s="12" t="n"/>
      <c r="BM240" s="12" t="n"/>
      <c r="BN240" s="12" t="n"/>
      <c r="BO240" s="12" t="n"/>
      <c r="BP240" s="12" t="n"/>
      <c r="BQ240" s="12" t="n"/>
      <c r="BR240" s="12" t="n"/>
      <c r="BS240" s="12" t="n"/>
      <c r="BT240" s="12" t="n"/>
      <c r="BU240" s="12" t="n"/>
      <c r="BV240" s="12" t="n"/>
      <c r="BW240" s="12" t="n"/>
      <c r="BX240" s="12" t="n"/>
      <c r="BY240" s="12" t="n"/>
      <c r="BZ240" s="12" t="n"/>
      <c r="CA240" s="12" t="n"/>
      <c r="CB240" s="12" t="n"/>
      <c r="CC240" s="12" t="n"/>
      <c r="CD240" s="12" t="n"/>
      <c r="CE240" s="12" t="n"/>
      <c r="CF240" s="12" t="n"/>
      <c r="CG240" s="12" t="n"/>
      <c r="CH240" s="12" t="n"/>
      <c r="CI240" s="12" t="n"/>
      <c r="CJ240" s="12" t="n"/>
      <c r="CK240" s="12" t="n"/>
      <c r="CL240" s="12" t="n"/>
      <c r="CM240" s="12" t="n"/>
      <c r="CN240" s="12" t="n"/>
      <c r="CO240" s="12" t="n"/>
      <c r="CP240" s="12" t="n"/>
      <c r="CQ240" s="12" t="n"/>
      <c r="CR240" s="12" t="n"/>
      <c r="CS240" s="12" t="n"/>
      <c r="CT240" s="12" t="n"/>
      <c r="CU240" s="12" t="n"/>
      <c r="CV240" s="12" t="n"/>
      <c r="CW240" s="12" t="n"/>
      <c r="CX240" s="12" t="n"/>
      <c r="CY240" s="12" t="n"/>
    </row>
    <row r="241" hidden="1" outlineLevel="1" ht="12" customHeight="1">
      <c r="C241" s="59" t="inlineStr">
        <is>
          <t>%(Var.)</t>
        </is>
      </c>
      <c r="D241" s="12" t="n"/>
      <c r="E241" s="40" t="n"/>
      <c r="F241" s="40" t="n"/>
      <c r="G241" s="40" t="n"/>
      <c r="H241" s="12" t="n"/>
      <c r="I241" s="40" t="str">
        <f>""</f>
        <v/>
      </c>
      <c r="J241" s="40">
        <f>IF(I240=0,"",J240/I240-1)</f>
        <v>0.0866621623129826</v>
      </c>
      <c r="K241" s="40">
        <f>IF(J240=0,"",K240/J240-1)</f>
        <v>0.00287617628539127</v>
      </c>
      <c r="L241" s="40">
        <f>IF(K240=0,"",L240/K240-1)</f>
        <v>0.0142604658087961</v>
      </c>
      <c r="M241" s="12">
        <f>IF(L240=0,"",M240/L240-1)</f>
        <v>0</v>
      </c>
      <c r="N241" s="40">
        <f>IF(M240=0,"",N240/M240-1)</f>
        <v>-0.00617676859273375</v>
      </c>
      <c r="O241" s="40">
        <f>IF(N240=0,"",O240/N240-1)</f>
        <v>-0.0191792630592567</v>
      </c>
      <c r="P241" s="40">
        <f>IF(O240=0,"",P240/O240-1)</f>
        <v>0.0487329605555411</v>
      </c>
      <c r="Q241" s="40">
        <f>IF(P240=0,"",Q240/P240-1)</f>
        <v>0.143045028233821</v>
      </c>
      <c r="R241" s="12">
        <f>IF(Q240=0,"",R240/Q240-1)</f>
        <v>0</v>
      </c>
      <c r="S241" s="40">
        <f>IF(R240=0,"",S240/R240-1)</f>
        <v>0.00126560317889735</v>
      </c>
      <c r="T241" s="40">
        <f>IF(S240=0,"",T240/S240-1)</f>
        <v>0.0474349824904983</v>
      </c>
      <c r="U241" s="40">
        <f>IF(T240=0,"",U240/T240-1)</f>
        <v>0.00358225415180535</v>
      </c>
      <c r="V241" s="40">
        <f>IF(U240=0,"",V240/U240-1)</f>
        <v>0.047248077669388</v>
      </c>
      <c r="W241" s="12">
        <f>IF(V240=0,"",W240/V240-1)</f>
        <v>0</v>
      </c>
      <c r="X241" s="40">
        <f>IF(W240=0,"",X240/W240-1)</f>
        <v>0.0483568908908734</v>
      </c>
      <c r="Y241" s="40">
        <f>IF(X240=0,"",Y240/X240-1)</f>
        <v>0.167502765424685</v>
      </c>
      <c r="Z241" s="40">
        <f>IF(Y240=0,"",Z240/Y240-1)</f>
        <v>0.10964031251124</v>
      </c>
      <c r="AA241" s="40">
        <f>IF(Z240=0,"",AA240/Z240-1)</f>
        <v>0.0906071372196764</v>
      </c>
      <c r="AB241" s="12">
        <f>IF(AA240=0,"",AB240/AA240-1)</f>
        <v>0</v>
      </c>
      <c r="AC241" s="40">
        <f>IF(AB240=0,"",AC240/AB240-1)</f>
        <v>0.0670540517158023</v>
      </c>
      <c r="AD241" s="40">
        <f>IF(AC240=0,"",AD240/AC240-1)</f>
        <v>0.0401165777631178</v>
      </c>
      <c r="AE241" s="40">
        <f>IF(AD240=0,"",AE240/AD240-1)</f>
        <v>0.0728632068299466</v>
      </c>
      <c r="AF241" s="41">
        <f>IF(AE240=0,"",AF240/AE240-1)</f>
        <v>0.148580914338565</v>
      </c>
      <c r="AG241" s="12">
        <f>IF(AF240=0,"",AG240/AF240-1)</f>
        <v>0</v>
      </c>
      <c r="AH241" s="41">
        <f>IF(AG240=0,"",AH240/AG240-1)</f>
        <v>0.0316485794605885</v>
      </c>
      <c r="AI241" s="41">
        <f>IF(AH240=0,"",AI240/AH240-1)</f>
        <v>0.0783675143004017</v>
      </c>
      <c r="AJ241" s="41">
        <f>IF(AI240=0,"",AJ240/AI240-1)</f>
        <v>0</v>
      </c>
      <c r="AK241" s="41">
        <f>IF(AJ240=0,"",AK240/AJ240-1)</f>
        <v>0</v>
      </c>
      <c r="AL241" s="12">
        <f>IF(AK240=0,"",AL240/AK240-1)</f>
        <v>0</v>
      </c>
      <c r="AM241" s="41">
        <f>IF(AL240=0,"",AM240/AL240-1)</f>
        <v>0</v>
      </c>
      <c r="AN241" s="41">
        <f>IF(AM240=0,"",AN240/AM240-1)</f>
        <v>0</v>
      </c>
      <c r="AO241" s="41">
        <f>IF(AN240=0,"",AO240/AN240-1)</f>
        <v>0</v>
      </c>
      <c r="AP241" s="41">
        <f>IF(AO240=0,"",AP240/AO240-1)</f>
        <v>0</v>
      </c>
      <c r="AQ241" s="12">
        <f>IF(AP240=0,"",AQ240/AP240-1)</f>
        <v>0</v>
      </c>
      <c r="AR241" s="41">
        <f>IF(AQ240=0,"",AR240/AQ240-1)</f>
        <v>0</v>
      </c>
      <c r="AS241" s="41">
        <f>IF(AR240=0,"",AS240/AR240-1)</f>
        <v>0</v>
      </c>
      <c r="AT241" s="41">
        <f>IF(AS240=0,"",AT240/AS240-1)</f>
        <v>0</v>
      </c>
      <c r="AU241" s="41">
        <f>IF(AT240=0,"",AU240/AT240-1)</f>
        <v>0</v>
      </c>
      <c r="AV241" s="12">
        <f>IF(AU240=0,"",AV240/AU240-1)</f>
        <v>0</v>
      </c>
      <c r="AW241" s="41">
        <f>IF(AV240=0,"",AW240/AV240-1)</f>
        <v>0</v>
      </c>
      <c r="AX241" s="41">
        <f>IF(AW240=0,"",AX240/AW240-1)</f>
        <v>0</v>
      </c>
      <c r="AY241" s="41">
        <f>IF(AX240=0,"",AY240/AX240-1)</f>
        <v>0</v>
      </c>
      <c r="AZ241" s="41">
        <f>IF(AY240=0,"",AZ240/AY240-1)</f>
        <v>0</v>
      </c>
      <c r="BA241" s="12">
        <f>IF(AZ240=0,"",BA240/AZ240-1)</f>
        <v>0</v>
      </c>
      <c r="BB241" s="41">
        <f>IF(BA240=0,"",BB240/BA240-1)</f>
        <v>0</v>
      </c>
      <c r="BC241" s="41">
        <f>IF(BB240=0,"",BC240/BB240-1)</f>
        <v>0</v>
      </c>
      <c r="BD241" s="41">
        <f>IF(BC240=0,"",BD240/BC240-1)</f>
        <v>0</v>
      </c>
      <c r="BE241" s="41">
        <f>IF(BD240=0,"",BE240/BD240-1)</f>
        <v>0</v>
      </c>
      <c r="BF241" s="12">
        <f>IF(BE240=0,"",BF240/BE240-1)</f>
        <v>0</v>
      </c>
      <c r="BG241" s="41" t="n"/>
      <c r="BH241" s="41" t="n"/>
      <c r="BI241" s="41" t="n"/>
      <c r="BJ241" s="41" t="n"/>
      <c r="BK241" s="12" t="n"/>
      <c r="BL241" s="41" t="n"/>
      <c r="BM241" s="41" t="n"/>
      <c r="BN241" s="41" t="n"/>
      <c r="BO241" s="41" t="n"/>
      <c r="BP241" s="12" t="n"/>
      <c r="BQ241" s="41" t="n"/>
      <c r="BR241" s="41" t="n"/>
      <c r="BS241" s="41" t="n"/>
      <c r="BT241" s="41" t="n"/>
      <c r="BU241" s="12" t="n"/>
      <c r="BV241" s="41" t="n"/>
      <c r="BW241" s="41" t="n"/>
      <c r="BX241" s="41" t="n"/>
      <c r="BY241" s="41" t="n"/>
      <c r="BZ241" s="12" t="n"/>
      <c r="CA241" s="41" t="n"/>
      <c r="CB241" s="41" t="n"/>
      <c r="CC241" s="41" t="n"/>
      <c r="CD241" s="41" t="n"/>
      <c r="CE241" s="12" t="n"/>
      <c r="CF241" s="41" t="n"/>
      <c r="CG241" s="41" t="n"/>
      <c r="CH241" s="41" t="n"/>
      <c r="CI241" s="41" t="n"/>
      <c r="CJ241" s="12" t="n"/>
      <c r="CK241" s="41" t="n"/>
      <c r="CL241" s="41" t="n"/>
      <c r="CM241" s="41" t="n"/>
      <c r="CN241" s="41" t="n"/>
      <c r="CO241" s="12" t="n"/>
      <c r="CP241" s="41" t="n"/>
      <c r="CQ241" s="41" t="n"/>
      <c r="CR241" s="41" t="n"/>
      <c r="CS241" s="41" t="n"/>
      <c r="CT241" s="12" t="n"/>
      <c r="CU241" s="41" t="n"/>
      <c r="CV241" s="41" t="n"/>
      <c r="CW241" s="41" t="n"/>
      <c r="CX241" s="41" t="n"/>
      <c r="CY241" s="12" t="n"/>
    </row>
    <row r="242" hidden="1" outlineLevel="1" ht="12" customHeight="1">
      <c r="C242" s="59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  <c r="Y242" s="12" t="n"/>
      <c r="Z242" s="12" t="n"/>
      <c r="AA242" s="12" t="n"/>
      <c r="AB242" s="12" t="n"/>
      <c r="AC242" s="12" t="n"/>
      <c r="AD242" s="12" t="n"/>
      <c r="AE242" s="12" t="n"/>
      <c r="AF242" s="12" t="n"/>
      <c r="AG242" s="12" t="n"/>
      <c r="AH242" s="12" t="n"/>
      <c r="AI242" s="12" t="n"/>
      <c r="AJ242" s="12" t="n"/>
      <c r="AK242" s="12" t="n"/>
      <c r="AL242" s="12" t="n"/>
      <c r="AM242" s="12" t="n"/>
      <c r="AN242" s="12" t="n"/>
      <c r="AO242" s="12" t="n"/>
      <c r="AP242" s="12" t="n"/>
      <c r="AQ242" s="12" t="n"/>
      <c r="AR242" s="12" t="n"/>
      <c r="AS242" s="12" t="n"/>
      <c r="AT242" s="12" t="n"/>
      <c r="AU242" s="12" t="n"/>
      <c r="AV242" s="12" t="n"/>
      <c r="AW242" s="12" t="n"/>
      <c r="AX242" s="12" t="n"/>
      <c r="AY242" s="12" t="n"/>
      <c r="AZ242" s="12" t="n"/>
      <c r="BA242" s="12" t="n"/>
      <c r="BB242" s="12" t="n"/>
      <c r="BC242" s="12" t="n"/>
      <c r="BD242" s="12" t="n"/>
      <c r="BE242" s="12" t="n"/>
      <c r="BF242" s="12" t="n"/>
      <c r="BG242" s="12" t="n"/>
      <c r="BH242" s="12" t="n"/>
      <c r="BI242" s="12" t="n"/>
      <c r="BJ242" s="12" t="n"/>
      <c r="BK242" s="12" t="n"/>
      <c r="BL242" s="12" t="n"/>
      <c r="BM242" s="12" t="n"/>
      <c r="BN242" s="12" t="n"/>
      <c r="BO242" s="12" t="n"/>
      <c r="BP242" s="12" t="n"/>
      <c r="BQ242" s="12" t="n"/>
      <c r="BR242" s="12" t="n"/>
      <c r="BS242" s="12" t="n"/>
      <c r="BT242" s="12" t="n"/>
      <c r="BU242" s="12" t="n"/>
      <c r="BV242" s="12" t="n"/>
      <c r="BW242" s="12" t="n"/>
      <c r="BX242" s="12" t="n"/>
      <c r="BY242" s="12" t="n"/>
      <c r="BZ242" s="12" t="n"/>
      <c r="CA242" s="12" t="n"/>
      <c r="CB242" s="12" t="n"/>
      <c r="CC242" s="12" t="n"/>
      <c r="CD242" s="12" t="n"/>
      <c r="CE242" s="12" t="n"/>
      <c r="CF242" s="12" t="n"/>
      <c r="CG242" s="12" t="n"/>
      <c r="CH242" s="12" t="n"/>
      <c r="CI242" s="12" t="n"/>
      <c r="CJ242" s="12" t="n"/>
      <c r="CK242" s="12" t="n"/>
      <c r="CL242" s="12" t="n"/>
      <c r="CM242" s="12" t="n"/>
      <c r="CN242" s="12" t="n"/>
      <c r="CO242" s="12" t="n"/>
      <c r="CP242" s="12" t="n"/>
      <c r="CQ242" s="12" t="n"/>
      <c r="CR242" s="12" t="n"/>
      <c r="CS242" s="12" t="n"/>
      <c r="CT242" s="12" t="n"/>
      <c r="CU242" s="12" t="n"/>
      <c r="CV242" s="12" t="n"/>
      <c r="CW242" s="12" t="n"/>
      <c r="CX242" s="12" t="n"/>
      <c r="CY242" s="12" t="n"/>
    </row>
    <row r="243" hidden="1" outlineLevel="1">
      <c r="C243" s="57" t="inlineStr">
        <is>
          <t>Contas a pagar pela aquisição de controladas</t>
        </is>
      </c>
      <c r="D243" s="11" t="n"/>
      <c r="E243" s="11" t="n"/>
      <c r="F243" s="11" t="n"/>
      <c r="G243" s="11" t="n"/>
      <c r="H243" s="12" t="n"/>
      <c r="I243" s="11" t="n"/>
      <c r="J243" s="11" t="n"/>
      <c r="K243" s="11" t="n"/>
      <c r="L243" s="11" t="n"/>
      <c r="M243" s="12" t="n"/>
      <c r="N243" s="11" t="n"/>
      <c r="O243" s="11" t="n"/>
      <c r="P243" s="11" t="n"/>
      <c r="Q243" s="11" t="n"/>
      <c r="R243" s="12" t="n"/>
      <c r="S243" s="11" t="n"/>
      <c r="T243" s="11" t="n"/>
      <c r="U243" s="11" t="n"/>
      <c r="V243" s="11" t="n"/>
      <c r="W243" s="12" t="n"/>
      <c r="X243" s="11" t="n"/>
      <c r="Y243" s="11" t="n"/>
      <c r="Z243" s="11" t="n"/>
      <c r="AA243" s="11" t="n"/>
      <c r="AB243" s="12" t="n"/>
      <c r="AC243" s="11" t="n"/>
      <c r="AD243" s="11" t="n"/>
      <c r="AE243" s="11" t="n"/>
      <c r="AF243" s="11" t="n"/>
      <c r="AG243" s="12" t="n"/>
      <c r="AH243" s="12" t="n"/>
      <c r="AI243" s="12" t="n"/>
      <c r="AJ243" s="12" t="n"/>
      <c r="AK243" s="12" t="n"/>
      <c r="AL243" s="12" t="n"/>
      <c r="AM243" s="12" t="n"/>
      <c r="AN243" s="12" t="n"/>
      <c r="AO243" s="12" t="n"/>
      <c r="AP243" s="12" t="n"/>
      <c r="AQ243" s="12" t="n"/>
      <c r="AR243" s="12" t="n"/>
      <c r="AS243" s="12" t="n"/>
      <c r="AT243" s="12" t="n"/>
      <c r="AU243" s="12" t="n"/>
      <c r="AV243" s="12" t="n"/>
      <c r="AW243" s="12" t="n"/>
      <c r="AX243" s="12" t="n"/>
      <c r="AY243" s="12" t="n"/>
      <c r="AZ243" s="12" t="n"/>
      <c r="BA243" s="12" t="n"/>
      <c r="BB243" s="12" t="n"/>
      <c r="BC243" s="12" t="n"/>
      <c r="BD243" s="12" t="n"/>
      <c r="BE243" s="12" t="n"/>
      <c r="BF243" s="12" t="n"/>
      <c r="BG243" s="12" t="n"/>
      <c r="BH243" s="12" t="n"/>
      <c r="BI243" s="12" t="n"/>
      <c r="BJ243" s="12" t="n"/>
      <c r="BK243" s="12" t="n"/>
      <c r="BL243" s="12" t="n"/>
      <c r="BM243" s="12" t="n"/>
      <c r="BN243" s="12" t="n"/>
      <c r="BO243" s="12" t="n"/>
      <c r="BP243" s="12" t="n"/>
      <c r="BQ243" s="12" t="n"/>
      <c r="BR243" s="12" t="n"/>
      <c r="BS243" s="12" t="n"/>
      <c r="BT243" s="12" t="n"/>
      <c r="BU243" s="12" t="n"/>
      <c r="BV243" s="12" t="n"/>
      <c r="BW243" s="12" t="n"/>
      <c r="BX243" s="12" t="n"/>
      <c r="BY243" s="12" t="n"/>
      <c r="BZ243" s="12" t="n"/>
      <c r="CA243" s="12" t="n"/>
      <c r="CB243" s="12" t="n"/>
      <c r="CC243" s="12" t="n"/>
      <c r="CD243" s="12" t="n"/>
      <c r="CE243" s="12" t="n"/>
      <c r="CF243" s="12" t="n"/>
      <c r="CG243" s="12" t="n"/>
      <c r="CH243" s="12" t="n"/>
      <c r="CI243" s="12" t="n"/>
      <c r="CJ243" s="12" t="n"/>
      <c r="CK243" s="12" t="n"/>
      <c r="CL243" s="12" t="n"/>
      <c r="CM243" s="12" t="n"/>
      <c r="CN243" s="12" t="n"/>
      <c r="CO243" s="12" t="n"/>
      <c r="CP243" s="12" t="n"/>
      <c r="CQ243" s="12" t="n"/>
      <c r="CR243" s="12" t="n"/>
      <c r="CS243" s="12" t="n"/>
      <c r="CT243" s="12" t="n"/>
      <c r="CU243" s="12" t="n"/>
      <c r="CV243" s="12" t="n"/>
      <c r="CW243" s="12" t="n"/>
      <c r="CX243" s="12" t="n"/>
      <c r="CY243" s="12" t="n"/>
    </row>
    <row r="244" hidden="1" outlineLevel="1">
      <c r="C244" s="57" t="inlineStr">
        <is>
          <t xml:space="preserve">Outras Obrigações </t>
        </is>
      </c>
      <c r="D244" s="11" t="n"/>
      <c r="E244" s="11" t="n"/>
      <c r="F244" s="11" t="n"/>
      <c r="G244" s="11" t="n"/>
      <c r="H244" s="12" t="n"/>
      <c r="I244" s="11" t="n"/>
      <c r="J244" s="11" t="n"/>
      <c r="K244" s="11" t="n"/>
      <c r="L244" s="11" t="n"/>
      <c r="M244" s="12" t="n"/>
      <c r="N244" s="11" t="n"/>
      <c r="O244" s="11" t="n"/>
      <c r="P244" s="11" t="n"/>
      <c r="Q244" s="11" t="n"/>
      <c r="R244" s="12" t="n"/>
      <c r="S244" s="11" t="n"/>
      <c r="T244" s="11" t="n"/>
      <c r="U244" s="11" t="n"/>
      <c r="V244" s="11" t="n"/>
      <c r="W244" s="12" t="n"/>
      <c r="X244" s="11" t="n"/>
      <c r="Y244" s="11" t="n"/>
      <c r="Z244" s="11" t="n"/>
      <c r="AA244" s="11" t="n"/>
      <c r="AB244" s="12" t="n"/>
      <c r="AC244" s="11" t="n"/>
      <c r="AD244" s="11" t="n"/>
      <c r="AE244" s="11" t="n"/>
      <c r="AF244" s="11" t="n"/>
      <c r="AG244" s="12" t="n"/>
      <c r="AH244" s="12" t="n"/>
      <c r="AI244" s="12" t="n"/>
      <c r="AJ244" s="12" t="n"/>
      <c r="AK244" s="12" t="n"/>
      <c r="AL244" s="12" t="n"/>
      <c r="AM244" s="12" t="n"/>
      <c r="AN244" s="12" t="n"/>
      <c r="AO244" s="12" t="n"/>
      <c r="AP244" s="12" t="n"/>
      <c r="AQ244" s="12" t="n"/>
      <c r="AR244" s="12" t="n"/>
      <c r="AS244" s="12" t="n"/>
      <c r="AT244" s="12" t="n"/>
      <c r="AU244" s="12" t="n"/>
      <c r="AV244" s="12" t="n"/>
      <c r="AW244" s="12" t="n"/>
      <c r="AX244" s="12" t="n"/>
      <c r="AY244" s="12" t="n"/>
      <c r="AZ244" s="12" t="n"/>
      <c r="BA244" s="12" t="n"/>
      <c r="BB244" s="12" t="n"/>
      <c r="BC244" s="12" t="n"/>
      <c r="BD244" s="12" t="n"/>
      <c r="BE244" s="12" t="n"/>
      <c r="BF244" s="12" t="n"/>
      <c r="BG244" s="12" t="n"/>
      <c r="BH244" s="12" t="n"/>
      <c r="BI244" s="12" t="n"/>
      <c r="BJ244" s="12" t="n"/>
      <c r="BK244" s="12" t="n"/>
      <c r="BL244" s="12" t="n"/>
      <c r="BM244" s="12" t="n"/>
      <c r="BN244" s="12" t="n"/>
      <c r="BO244" s="12" t="n"/>
      <c r="BP244" s="12" t="n"/>
      <c r="BQ244" s="12" t="n"/>
      <c r="BR244" s="12" t="n"/>
      <c r="BS244" s="12" t="n"/>
      <c r="BT244" s="12" t="n"/>
      <c r="BU244" s="12" t="n"/>
      <c r="BV244" s="12" t="n"/>
      <c r="BW244" s="12" t="n"/>
      <c r="BX244" s="12" t="n"/>
      <c r="BY244" s="12" t="n"/>
      <c r="BZ244" s="12" t="n"/>
      <c r="CA244" s="12" t="n"/>
      <c r="CB244" s="12" t="n"/>
      <c r="CC244" s="12" t="n"/>
      <c r="CD244" s="12" t="n"/>
      <c r="CE244" s="12" t="n"/>
      <c r="CF244" s="12" t="n"/>
      <c r="CG244" s="12" t="n"/>
      <c r="CH244" s="12" t="n"/>
      <c r="CI244" s="12" t="n"/>
      <c r="CJ244" s="12" t="n"/>
      <c r="CK244" s="12" t="n"/>
      <c r="CL244" s="12" t="n"/>
      <c r="CM244" s="12" t="n"/>
      <c r="CN244" s="12" t="n"/>
      <c r="CO244" s="12" t="n"/>
      <c r="CP244" s="12" t="n"/>
      <c r="CQ244" s="12" t="n"/>
      <c r="CR244" s="12" t="n"/>
      <c r="CS244" s="12" t="n"/>
      <c r="CT244" s="12" t="n"/>
      <c r="CU244" s="12" t="n"/>
      <c r="CV244" s="12" t="n"/>
      <c r="CW244" s="12" t="n"/>
      <c r="CX244" s="12" t="n"/>
      <c r="CY244" s="12" t="n"/>
    </row>
    <row r="245" hidden="1" outlineLevel="1">
      <c r="C245" s="57" t="inlineStr">
        <is>
          <t xml:space="preserve">Provisão de Risco Cíveis, Trabalhistas e Tributários </t>
        </is>
      </c>
      <c r="D245" s="11" t="n"/>
      <c r="E245" s="11" t="n"/>
      <c r="F245" s="11" t="n"/>
      <c r="G245" s="11" t="n"/>
      <c r="H245" s="12" t="n"/>
      <c r="I245" s="11" t="n"/>
      <c r="J245" s="11" t="n"/>
      <c r="K245" s="11" t="n"/>
      <c r="L245" s="11" t="n"/>
      <c r="M245" s="12" t="n"/>
      <c r="N245" s="11" t="n"/>
      <c r="O245" s="11" t="n"/>
      <c r="P245" s="11" t="n"/>
      <c r="Q245" s="11" t="n"/>
      <c r="R245" s="12" t="n"/>
      <c r="S245" s="11" t="n"/>
      <c r="T245" s="11" t="n"/>
      <c r="U245" s="11" t="n"/>
      <c r="V245" s="11" t="n"/>
      <c r="W245" s="12" t="n"/>
      <c r="X245" s="11" t="n"/>
      <c r="Y245" s="11" t="n"/>
      <c r="Z245" s="11" t="n"/>
      <c r="AA245" s="11" t="n"/>
      <c r="AB245" s="12" t="n"/>
      <c r="AC245" s="11" t="n"/>
      <c r="AD245" s="11" t="n"/>
      <c r="AE245" s="11" t="n"/>
      <c r="AF245" s="11" t="n"/>
      <c r="AG245" s="12" t="n"/>
      <c r="AH245" s="12" t="n"/>
      <c r="AI245" s="12" t="n"/>
      <c r="AJ245" s="12" t="n"/>
      <c r="AK245" s="12" t="n"/>
      <c r="AL245" s="12" t="n"/>
      <c r="AM245" s="12" t="n"/>
      <c r="AN245" s="12" t="n"/>
      <c r="AO245" s="12" t="n"/>
      <c r="AP245" s="12" t="n"/>
      <c r="AQ245" s="12" t="n"/>
      <c r="AR245" s="12" t="n"/>
      <c r="AS245" s="12" t="n"/>
      <c r="AT245" s="12" t="n"/>
      <c r="AU245" s="12" t="n"/>
      <c r="AV245" s="12" t="n"/>
      <c r="AW245" s="12" t="n"/>
      <c r="AX245" s="12" t="n"/>
      <c r="AY245" s="12" t="n"/>
      <c r="AZ245" s="12" t="n"/>
      <c r="BA245" s="12" t="n"/>
      <c r="BB245" s="12" t="n"/>
      <c r="BC245" s="12" t="n"/>
      <c r="BD245" s="12" t="n"/>
      <c r="BE245" s="12" t="n"/>
      <c r="BF245" s="12" t="n"/>
      <c r="BG245" s="12" t="n"/>
      <c r="BH245" s="12" t="n"/>
      <c r="BI245" s="12" t="n"/>
      <c r="BJ245" s="12" t="n"/>
      <c r="BK245" s="12" t="n"/>
      <c r="BL245" s="12" t="n"/>
      <c r="BM245" s="12" t="n"/>
      <c r="BN245" s="12" t="n"/>
      <c r="BO245" s="12" t="n"/>
      <c r="BP245" s="12" t="n"/>
      <c r="BQ245" s="12" t="n"/>
      <c r="BR245" s="12" t="n"/>
      <c r="BS245" s="12" t="n"/>
      <c r="BT245" s="12" t="n"/>
      <c r="BU245" s="12" t="n"/>
      <c r="BV245" s="12" t="n"/>
      <c r="BW245" s="12" t="n"/>
      <c r="BX245" s="12" t="n"/>
      <c r="BY245" s="12" t="n"/>
      <c r="BZ245" s="12" t="n"/>
      <c r="CA245" s="12" t="n"/>
      <c r="CB245" s="12" t="n"/>
      <c r="CC245" s="12" t="n"/>
      <c r="CD245" s="12" t="n"/>
      <c r="CE245" s="12" t="n"/>
      <c r="CF245" s="12" t="n"/>
      <c r="CG245" s="12" t="n"/>
      <c r="CH245" s="12" t="n"/>
      <c r="CI245" s="12" t="n"/>
      <c r="CJ245" s="12" t="n"/>
      <c r="CK245" s="12" t="n"/>
      <c r="CL245" s="12" t="n"/>
      <c r="CM245" s="12" t="n"/>
      <c r="CN245" s="12" t="n"/>
      <c r="CO245" s="12" t="n"/>
      <c r="CP245" s="12" t="n"/>
      <c r="CQ245" s="12" t="n"/>
      <c r="CR245" s="12" t="n"/>
      <c r="CS245" s="12" t="n"/>
      <c r="CT245" s="12" t="n"/>
      <c r="CU245" s="12" t="n"/>
      <c r="CV245" s="12" t="n"/>
      <c r="CW245" s="12" t="n"/>
      <c r="CX245" s="12" t="n"/>
      <c r="CY245" s="12" t="n"/>
    </row>
    <row r="246" hidden="1" outlineLevel="1">
      <c r="C246" s="57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  <c r="Y246" s="12" t="n"/>
      <c r="Z246" s="12" t="n"/>
      <c r="AA246" s="12" t="n"/>
      <c r="AB246" s="12" t="n"/>
      <c r="AC246" s="12" t="n"/>
      <c r="AD246" s="12" t="n"/>
      <c r="AE246" s="12" t="n"/>
      <c r="AF246" s="12" t="n"/>
      <c r="AG246" s="12" t="n"/>
      <c r="AH246" s="12" t="n"/>
      <c r="AI246" s="12" t="n"/>
      <c r="AJ246" s="12" t="n"/>
      <c r="AK246" s="12" t="n"/>
      <c r="AL246" s="12" t="n"/>
      <c r="AM246" s="12" t="n"/>
      <c r="AN246" s="12" t="n"/>
      <c r="AO246" s="12" t="n"/>
      <c r="AP246" s="12" t="n"/>
      <c r="AQ246" s="12" t="n"/>
      <c r="AR246" s="12" t="n"/>
      <c r="AS246" s="12" t="n"/>
      <c r="AT246" s="12" t="n"/>
      <c r="AU246" s="12" t="n"/>
      <c r="AV246" s="12" t="n"/>
      <c r="AW246" s="12" t="n"/>
      <c r="AX246" s="12" t="n"/>
      <c r="AY246" s="12" t="n"/>
      <c r="AZ246" s="12" t="n"/>
      <c r="BA246" s="12" t="n"/>
      <c r="BB246" s="12" t="n"/>
      <c r="BC246" s="12" t="n"/>
      <c r="BD246" s="12" t="n"/>
      <c r="BE246" s="12" t="n"/>
      <c r="BF246" s="12" t="n"/>
      <c r="BG246" s="12" t="n"/>
      <c r="BH246" s="12" t="n"/>
      <c r="BI246" s="12" t="n"/>
      <c r="BJ246" s="12" t="n"/>
      <c r="BK246" s="12" t="n"/>
      <c r="BL246" s="12" t="n"/>
      <c r="BM246" s="12" t="n"/>
      <c r="BN246" s="12" t="n"/>
      <c r="BO246" s="12" t="n"/>
      <c r="BP246" s="12" t="n"/>
      <c r="BQ246" s="12" t="n"/>
      <c r="BR246" s="12" t="n"/>
      <c r="BS246" s="12" t="n"/>
      <c r="BT246" s="12" t="n"/>
      <c r="BU246" s="12" t="n"/>
      <c r="BV246" s="12" t="n"/>
      <c r="BW246" s="12" t="n"/>
      <c r="BX246" s="12" t="n"/>
      <c r="BY246" s="12" t="n"/>
      <c r="BZ246" s="12" t="n"/>
      <c r="CA246" s="12" t="n"/>
      <c r="CB246" s="12" t="n"/>
      <c r="CC246" s="12" t="n"/>
      <c r="CD246" s="12" t="n"/>
      <c r="CE246" s="12" t="n"/>
      <c r="CF246" s="12" t="n"/>
      <c r="CG246" s="12" t="n"/>
      <c r="CH246" s="12" t="n"/>
      <c r="CI246" s="12" t="n"/>
      <c r="CJ246" s="12" t="n"/>
      <c r="CK246" s="12" t="n"/>
      <c r="CL246" s="12" t="n"/>
      <c r="CM246" s="12" t="n"/>
      <c r="CN246" s="12" t="n"/>
      <c r="CO246" s="12" t="n"/>
      <c r="CP246" s="12" t="n"/>
      <c r="CQ246" s="12" t="n"/>
      <c r="CR246" s="12" t="n"/>
      <c r="CS246" s="12" t="n"/>
      <c r="CT246" s="12" t="n"/>
      <c r="CU246" s="12" t="n"/>
      <c r="CV246" s="12" t="n"/>
      <c r="CW246" s="12" t="n"/>
      <c r="CX246" s="12" t="n"/>
      <c r="CY246" s="12" t="n"/>
    </row>
    <row r="247" collapsed="1" customFormat="1" s="32">
      <c r="A247" s="30" t="n"/>
      <c r="B247" s="30" t="n"/>
      <c r="C247" s="65" t="inlineStr">
        <is>
          <t>Total Liabilities</t>
        </is>
      </c>
      <c r="D247" s="35" t="n"/>
      <c r="E247" s="35" t="n"/>
      <c r="F247" s="35" t="n"/>
      <c r="G247" s="35" t="n"/>
      <c r="H247" s="35" t="n"/>
      <c r="I247" s="35">
        <f>SUM(I198+I202+I204+I205+I212+I213+I214+I217+I235+I238+I239+I240)</f>
        <v>3801.12</v>
      </c>
      <c r="J247" s="35">
        <f>SUM(J198+J202+J204+J205+J212+J213+J214+J217+J235+J238+J239+J240)</f>
        <v>4138.652</v>
      </c>
      <c r="K247" s="35">
        <f>SUM(K198+K202+K204+K205+K212+K213+K214+K217+K235+K238+K239+K240)</f>
        <v>4164.432</v>
      </c>
      <c r="L247" s="35">
        <f>SUM(L198+L202+L204+L205+L212+L213+L214+L217+L235+L238+L239+L240)</f>
        <v>4220.839</v>
      </c>
      <c r="M247" s="35">
        <f>SUM(M198,M202,M204,M205,M212,M213,M217,M214,M235,M238,M239,M240)</f>
        <v>4220.839</v>
      </c>
      <c r="N247" s="35">
        <f>SUM(N198+N202+N204+N205+N212+N213+N214+N217+N235+N238+N239+N240)</f>
        <v>4326.485</v>
      </c>
      <c r="O247" s="35">
        <f>SUM(O198+O202+O204+O205+O212+O213+O214+O217+O235+O238+O239+O240)</f>
        <v>4218.846</v>
      </c>
      <c r="P247" s="35">
        <f>SUM(P198+P202+P204+P205+P212+P213+P214+P217+P235+P238+P239+P240)</f>
        <v>4684.098</v>
      </c>
      <c r="Q247" s="35">
        <f>SUM(Q198+Q202+Q204+Q205+Q212+Q213+Q214+Q217+Q235+Q238+Q239+Q240)</f>
        <v>5039.72</v>
      </c>
      <c r="R247" s="35">
        <f>SUM(R198,R202,R204,R205,R212,R213,R217,R214,R235,R238,R239,R240)</f>
        <v>5039.72</v>
      </c>
      <c r="S247" s="35">
        <f>SUM(S198+S202+S204+S205+S212+S213+S214+S217+S235+S238+S239+S240)</f>
        <v>4971.035</v>
      </c>
      <c r="T247" s="35">
        <f>SUM(T198+T202+T204+T205+T212+T213+T214+T217+T235+T238+T239+T240)</f>
        <v>5196.061</v>
      </c>
      <c r="U247" s="35">
        <f>SUM(U198+U202+U204+U205+U212+U213+U214+U217+U235+U238+U239+U240)</f>
        <v>5096.191</v>
      </c>
      <c r="V247" s="35">
        <f>SUM(V198+V202+V204+V205+V212+V213+V214+V217+V235+V238+V239+V240)</f>
        <v>5461.012</v>
      </c>
      <c r="W247" s="35">
        <f>SUM(W198,W202,W204,W205,W212,W213,W217,W214,W235,W238,W239,W240)</f>
        <v>5461.012</v>
      </c>
      <c r="X247" s="35">
        <f>SUM(X198+X202+X204+X205+X212+X213+X214+X217+X235+X238+X239+X240)</f>
        <v>5606.727</v>
      </c>
      <c r="Y247" s="35">
        <f>SUM(Y198+Y202+Y204+Y205+Y212+Y213+Y214+Y217+Y235+Y238+Y239+Y240)</f>
        <v>6362.262</v>
      </c>
      <c r="Z247" s="35">
        <f>SUM(Z198+Z202+Z204+Z205+Z212+Z213+Z214+Z217+Z235+Z238+Z239+Z240)</f>
        <v>7275.55529364</v>
      </c>
      <c r="AA247" s="35">
        <f>SUM(AA198+AA202+AA204+AA205+AA212+AA213+AA214+AA217+AA235+AA238+AA239+AA240)</f>
        <v>7843.655</v>
      </c>
      <c r="AB247" s="35">
        <f>SUM(AB198,AB202,AB204,AB205,AB212,AB213,AB217,AB214,AB235,AB238,AB239,AB240)</f>
        <v>7843.655</v>
      </c>
      <c r="AC247" s="35">
        <f>SUM(AC198+AC202+AC204+AC205+AC212+AC213+AC214+AC217+AC235+AC238+AC239+AC240)</f>
        <v>8245.54</v>
      </c>
      <c r="AD247" s="35">
        <f>SUM(AD198+AD202+AD204+AD205+AD212+AD213+AD214+AD217+AD235+AD238+AD239+AD240)</f>
        <v>9096.208</v>
      </c>
      <c r="AE247" s="35">
        <f>SUM(AE198+AE202+AE204+AE205+AE212+AE213+AE214+AE217+AE235+AE238+AE239+AE240)</f>
        <v>9695.552</v>
      </c>
      <c r="AF247" s="35">
        <f>SUM(AF198+AF202+AF204+AF205+AF212+AF213+AF214+AF217+AF235+AF238+AF239+AF240)</f>
        <v>10899.484</v>
      </c>
      <c r="AG247" s="35">
        <f>SUM(AG198,AG202,AG204,AG205,AG212,AG213,AG217,AG214,AG235,AG238,AG239,AG240)</f>
        <v>10899.484</v>
      </c>
      <c r="AH247" s="35">
        <f>SUM(AH198+AH202+AH204+AH205+AH212+AH213+AH214+AH217+AH235+AH238+AH239+AH240)</f>
        <v>11366.786</v>
      </c>
      <c r="AI247" s="35">
        <f>SUM(AI198+AI202+AI204+AI205+AI212+AI213+AI214+AI217+AI235+AI238+AI239+AI240)</f>
        <v>11891.176</v>
      </c>
      <c r="AJ247" s="35">
        <f>SUM(AJ198+AJ202+AJ204+AJ205+AJ212+AJ213+AJ214+AJ217+AJ235+AJ238+AJ239+AJ240)</f>
        <v>11974.6303146788</v>
      </c>
      <c r="AK247" s="35">
        <f>SUM(AK198+AK202+AK204+AK205+AK212+AK213+AK214+AK217+AK235+AK238+AK239+AK240)</f>
        <v>12051.025129774</v>
      </c>
      <c r="AL247" s="35">
        <f>SUM(AL198,AL202,AL204,AL205,AL212,AL213,AL217,AL214,AL235,AL238,AL239,AL240)</f>
        <v>12051.025129774</v>
      </c>
      <c r="AM247" s="35">
        <f>SUM(AM198+AM202+AM204+AM205+AM212+AM213+AM214+AM217+AM235+AM238+AM239+AM240)</f>
        <v>12124.7680794573</v>
      </c>
      <c r="AN247" s="35">
        <f>SUM(AN198+AN202+AN204+AN205+AN212+AN213+AN214+AN217+AN235+AN238+AN239+AN240)</f>
        <v>12248.7473081287</v>
      </c>
      <c r="AO247" s="35">
        <f>SUM(AO198+AO202+AO204+AO205+AO212+AO213+AO214+AO217+AO235+AO238+AO239+AO240)</f>
        <v>12419.7430067289</v>
      </c>
      <c r="AP247" s="35">
        <f>SUM(AP198+AP202+AP204+AP205+AP212+AP213+AP214+AP217+AP235+AP238+AP239+AP240)</f>
        <v>12607.6012085353</v>
      </c>
      <c r="AQ247" s="35">
        <f>SUM(AQ198,AQ202,AQ204,AQ205,AQ212,AQ213,AQ217,AQ214,AQ235,AQ238,AQ239,AQ240)</f>
        <v>12607.6012085353</v>
      </c>
      <c r="AR247" s="35">
        <f>SUM(AR198+AR202+AR204+AR205+AR212+AR213+AR214+AR217+AR235+AR238+AR239+AR240)</f>
        <v>12809.1383081841</v>
      </c>
      <c r="AS247" s="35">
        <f>SUM(AS198+AS202+AS204+AS205+AS212+AS213+AS214+AS217+AS235+AS238+AS239+AS240)</f>
        <v>13113.2893532707</v>
      </c>
      <c r="AT247" s="35">
        <f>SUM(AT198+AT202+AT204+AT205+AT212+AT213+AT214+AT217+AT235+AT238+AT239+AT240)</f>
        <v>13513.160154931</v>
      </c>
      <c r="AU247" s="35">
        <f>SUM(AU198+AU202+AU204+AU205+AU212+AU213+AU214+AU217+AU235+AU238+AU239+AU240)</f>
        <v>13984.1595612398</v>
      </c>
      <c r="AV247" s="35">
        <f>SUM(AV198,AV202,AV204,AV205,AV212,AV213,AV217,AV214,AV235,AV238,AV239,AV240)</f>
        <v>13984.1595612398</v>
      </c>
      <c r="AW247" s="35">
        <f>SUM(AW198+AW202+AW204+AW205+AW212+AW213+AW214+AW217+AW235+AW238+AW239+AW240)</f>
        <v>14533.1134530405</v>
      </c>
      <c r="AX247" s="35">
        <f>SUM(AX198+AX202+AX204+AX205+AX212+AX213+AX214+AX217+AX235+AX238+AX239+AX240)</f>
        <v>15283.5944102771</v>
      </c>
      <c r="AY247" s="35">
        <f>SUM(AY198+AY202+AY204+AY205+AY212+AY213+AY214+AY217+AY235+AY238+AY239+AY240)</f>
        <v>16258.7585647068</v>
      </c>
      <c r="AZ247" s="35">
        <f>SUM(AZ198+AZ202+AZ204+AZ205+AZ212+AZ213+AZ214+AZ217+AZ235+AZ238+AZ239+AZ240)</f>
        <v>17449.5318767084</v>
      </c>
      <c r="BA247" s="35">
        <f>SUM(BA198,BA202,BA204,BA205,BA212,BA213,BA217,BA214,BA235,BA238,BA239,BA240)</f>
        <v>17449.5318767084</v>
      </c>
      <c r="BB247" s="35">
        <f>SUM(BB198+BB202+BB204+BB205+BB212+BB213+BB214+BB217+BB235+BB238+BB239+BB240)</f>
        <v>18882.2531893648</v>
      </c>
      <c r="BC247" s="35">
        <f>SUM(BC198+BC202+BC204+BC205+BC212+BC213+BC214+BC217+BC235+BC238+BC239+BC240)</f>
        <v>20766.9652358247</v>
      </c>
      <c r="BD247" s="35">
        <f>SUM(BD198+BD202+BD204+BD205+BD212+BD213+BD214+BD217+BD235+BD238+BD239+BD240)</f>
        <v>23182.1995960908</v>
      </c>
      <c r="BE247" s="35">
        <f>SUM(BE198+BE202+BE204+BE205+BE212+BE213+BE214+BE217+BE235+BE238+BE239+BE240)</f>
        <v>26181.0540569135</v>
      </c>
      <c r="BF247" s="35">
        <f>SUM(BF198,BF202,BF204,BF205,BF212,BF213,BF217,BF214,BF235,BF238,BF239,BF240)</f>
        <v>26181.0540569135</v>
      </c>
      <c r="BG247" s="35" t="n"/>
      <c r="BH247" s="35" t="n"/>
      <c r="BI247" s="35" t="n"/>
      <c r="BJ247" s="35" t="n"/>
      <c r="BK247" s="35" t="n"/>
      <c r="BL247" s="35" t="n"/>
      <c r="BM247" s="35" t="n"/>
      <c r="BN247" s="35" t="n"/>
      <c r="BO247" s="35" t="n"/>
      <c r="BP247" s="35" t="n"/>
      <c r="BQ247" s="35" t="n"/>
      <c r="BR247" s="35" t="n"/>
      <c r="BS247" s="35" t="n"/>
      <c r="BT247" s="35" t="n"/>
      <c r="BU247" s="35" t="n"/>
      <c r="BV247" s="35" t="n"/>
      <c r="BW247" s="35" t="n"/>
      <c r="BX247" s="35" t="n"/>
      <c r="BY247" s="35" t="n"/>
      <c r="BZ247" s="35" t="n"/>
      <c r="CA247" s="35" t="n"/>
      <c r="CB247" s="35" t="n"/>
      <c r="CC247" s="35" t="n"/>
      <c r="CD247" s="35" t="n"/>
      <c r="CE247" s="35" t="n"/>
      <c r="CF247" s="35" t="n"/>
      <c r="CG247" s="35" t="n"/>
      <c r="CH247" s="35" t="n"/>
      <c r="CI247" s="35" t="n"/>
      <c r="CJ247" s="35" t="n"/>
      <c r="CK247" s="35" t="n"/>
      <c r="CL247" s="35" t="n"/>
      <c r="CM247" s="35" t="n"/>
      <c r="CN247" s="35" t="n"/>
      <c r="CO247" s="35" t="n"/>
      <c r="CP247" s="35" t="n"/>
      <c r="CQ247" s="35" t="n"/>
      <c r="CR247" s="35" t="n"/>
      <c r="CS247" s="35" t="n"/>
      <c r="CT247" s="35" t="n"/>
      <c r="CU247" s="35" t="n"/>
      <c r="CV247" s="35" t="n"/>
      <c r="CW247" s="35" t="n"/>
      <c r="CX247" s="35" t="n"/>
      <c r="CY247" s="35" t="n"/>
    </row>
    <row r="248">
      <c r="C248" s="14" t="inlineStr">
        <is>
          <t>Minority interest</t>
        </is>
      </c>
      <c r="D248" s="46" t="n"/>
      <c r="E248" s="46" t="n"/>
      <c r="F248" s="46" t="n"/>
      <c r="G248" s="46" t="n"/>
      <c r="H248" s="12" t="n"/>
      <c r="I248" s="46">
        <f>'Inputs (2)'!D41</f>
        <v>115.731</v>
      </c>
      <c r="J248" s="46">
        <f>'Inputs (2)'!E41</f>
        <v>128.546</v>
      </c>
      <c r="K248" s="46">
        <f>'Inputs (2)'!F41</f>
        <v>141.716</v>
      </c>
      <c r="L248" s="46">
        <f>'Inputs (2)'!G41</f>
        <v>158.903</v>
      </c>
      <c r="M248" s="12">
        <f>'Inputs (2)'!H41</f>
        <v>158.903</v>
      </c>
      <c r="N248" s="46">
        <f>'Inputs (2)'!I41</f>
        <v>162.974</v>
      </c>
      <c r="O248" s="46">
        <f>'Inputs (2)'!J41</f>
        <v>170.287</v>
      </c>
      <c r="P248" s="46">
        <f>'Inputs (2)'!K41</f>
        <v>167.295</v>
      </c>
      <c r="Q248" s="46">
        <f>'Inputs (2)'!L41</f>
        <v>159.714</v>
      </c>
      <c r="R248" s="12">
        <f>'Inputs (2)'!M41</f>
        <v>159.714</v>
      </c>
      <c r="S248" s="46">
        <f>'Inputs (2)'!N41</f>
        <v>160.701</v>
      </c>
      <c r="T248" s="46">
        <f>'Inputs (2)'!O41</f>
        <v>154.579</v>
      </c>
      <c r="U248" s="46">
        <f>'Inputs (2)'!P41</f>
        <v>159.045</v>
      </c>
      <c r="V248" s="46">
        <f>'Inputs (2)'!Q41</f>
        <v>157.181</v>
      </c>
      <c r="W248" s="12">
        <f>'Inputs (2)'!R41</f>
        <v>157.181</v>
      </c>
      <c r="X248" s="46">
        <f>'Inputs (2)'!S41</f>
        <v>166.217</v>
      </c>
      <c r="Y248" s="46">
        <f>'Inputs (2)'!T41</f>
        <v>186.075</v>
      </c>
      <c r="Z248" s="46">
        <f>'Inputs (2)'!U41</f>
        <v>186.929</v>
      </c>
      <c r="AA248" s="46">
        <f>'Inputs (2)'!V41</f>
        <v>208.294</v>
      </c>
      <c r="AB248" s="12">
        <f>'Inputs (2)'!W41</f>
        <v>208.294</v>
      </c>
      <c r="AC248" s="46">
        <f>'Inputs (2)'!X41</f>
        <v>188.319</v>
      </c>
      <c r="AD248" s="46">
        <f>'Inputs (2)'!Y41</f>
        <v>267.022</v>
      </c>
      <c r="AE248" s="46">
        <f>'Inputs (2)'!Z41</f>
        <v>274.489</v>
      </c>
      <c r="AF248" s="46">
        <f>'Inputs (2)'!AA41</f>
        <v>403.53</v>
      </c>
      <c r="AG248" s="12">
        <f>'Inputs (2)'!AB41</f>
        <v>403.53</v>
      </c>
      <c r="AH248" s="12">
        <f>'Inputs (2)'!AC41</f>
        <v>420.59</v>
      </c>
      <c r="AI248" s="12">
        <f>'Inputs (2)'!AD41</f>
        <v>410.277</v>
      </c>
      <c r="AJ248" s="12">
        <f>AI248</f>
        <v>410.277</v>
      </c>
      <c r="AK248" s="12">
        <f>AJ248</f>
        <v>410.277</v>
      </c>
      <c r="AL248" s="12">
        <f>AK248</f>
        <v>410.277</v>
      </c>
      <c r="AM248" s="12">
        <f>AL248</f>
        <v>410.277</v>
      </c>
      <c r="AN248" s="12">
        <f>AM248</f>
        <v>410.277</v>
      </c>
      <c r="AO248" s="12">
        <f>AN248</f>
        <v>410.277</v>
      </c>
      <c r="AP248" s="12">
        <f>AO248</f>
        <v>410.277</v>
      </c>
      <c r="AQ248" s="12">
        <f>AP248</f>
        <v>410.277</v>
      </c>
      <c r="AR248" s="12">
        <f>AQ248</f>
        <v>410.277</v>
      </c>
      <c r="AS248" s="12">
        <f>AR248</f>
        <v>410.277</v>
      </c>
      <c r="AT248" s="12">
        <f>AS248</f>
        <v>410.277</v>
      </c>
      <c r="AU248" s="12">
        <f>AT248</f>
        <v>410.277</v>
      </c>
      <c r="AV248" s="12">
        <f>AU248</f>
        <v>410.277</v>
      </c>
      <c r="AW248" s="12">
        <f>AV248</f>
        <v>410.277</v>
      </c>
      <c r="AX248" s="12">
        <f>AW248</f>
        <v>410.277</v>
      </c>
      <c r="AY248" s="12">
        <f>AX248</f>
        <v>410.277</v>
      </c>
      <c r="AZ248" s="12">
        <f>AY248</f>
        <v>410.277</v>
      </c>
      <c r="BA248" s="12">
        <f>AZ248</f>
        <v>410.277</v>
      </c>
      <c r="BB248" s="12">
        <f>BA248</f>
        <v>410.277</v>
      </c>
      <c r="BC248" s="12">
        <f>BB248</f>
        <v>410.277</v>
      </c>
      <c r="BD248" s="12">
        <f>BC248</f>
        <v>410.277</v>
      </c>
      <c r="BE248" s="12">
        <f>BD248</f>
        <v>410.277</v>
      </c>
      <c r="BF248" s="12">
        <f>BE248</f>
        <v>410.277</v>
      </c>
      <c r="BG248" s="12" t="n"/>
      <c r="BH248" s="12" t="n"/>
      <c r="BI248" s="12" t="n"/>
      <c r="BJ248" s="12" t="n"/>
      <c r="BK248" s="12" t="n"/>
      <c r="BL248" s="12" t="n"/>
      <c r="BM248" s="12" t="n"/>
      <c r="BN248" s="12" t="n"/>
      <c r="BO248" s="12" t="n"/>
      <c r="BP248" s="12" t="n"/>
      <c r="BQ248" s="12" t="n"/>
      <c r="BR248" s="12" t="n"/>
      <c r="BS248" s="12" t="n"/>
      <c r="BT248" s="12" t="n"/>
      <c r="BU248" s="12" t="n"/>
      <c r="BV248" s="12" t="n"/>
      <c r="BW248" s="12" t="n"/>
      <c r="BX248" s="12" t="n"/>
      <c r="BY248" s="12" t="n"/>
      <c r="BZ248" s="12" t="n"/>
      <c r="CA248" s="12" t="n"/>
      <c r="CB248" s="12" t="n"/>
      <c r="CC248" s="12" t="n"/>
      <c r="CD248" s="12" t="n"/>
      <c r="CE248" s="12" t="n"/>
      <c r="CF248" s="12" t="n"/>
      <c r="CG248" s="12" t="n"/>
      <c r="CH248" s="12" t="n"/>
      <c r="CI248" s="12" t="n"/>
      <c r="CJ248" s="12" t="n"/>
      <c r="CK248" s="12" t="n"/>
      <c r="CL248" s="12" t="n"/>
      <c r="CM248" s="12" t="n"/>
      <c r="CN248" s="12" t="n"/>
      <c r="CO248" s="12" t="n"/>
      <c r="CP248" s="12" t="n"/>
      <c r="CQ248" s="12" t="n"/>
      <c r="CR248" s="12" t="n"/>
      <c r="CS248" s="12" t="n"/>
      <c r="CT248" s="12" t="n"/>
      <c r="CU248" s="12" t="n"/>
      <c r="CV248" s="12" t="n"/>
      <c r="CW248" s="12" t="n"/>
      <c r="CX248" s="12" t="n"/>
      <c r="CY248" s="12" t="n"/>
    </row>
    <row r="249" hidden="1" outlineLevel="1" customFormat="1" s="66">
      <c r="A249" s="37" t="n"/>
      <c r="B249" s="37" t="n"/>
      <c r="C249" s="59" t="n"/>
      <c r="D249" s="42" t="n"/>
      <c r="E249" s="42" t="n"/>
      <c r="F249" s="42" t="n"/>
      <c r="G249" s="42" t="n"/>
      <c r="H249" s="42" t="n"/>
      <c r="I249" s="42" t="n"/>
      <c r="J249" s="42" t="n"/>
      <c r="K249" s="42" t="n"/>
      <c r="L249" s="42" t="n"/>
      <c r="M249" s="42" t="n"/>
      <c r="N249" s="42" t="n"/>
      <c r="O249" s="42" t="n"/>
      <c r="P249" s="42" t="n"/>
      <c r="Q249" s="42" t="n"/>
      <c r="R249" s="42" t="n"/>
      <c r="S249" s="42" t="n"/>
      <c r="T249" s="42" t="n"/>
      <c r="U249" s="42" t="n"/>
      <c r="V249" s="42" t="n"/>
      <c r="W249" s="42" t="n"/>
      <c r="X249" s="42" t="n"/>
      <c r="Y249" s="42" t="n"/>
      <c r="Z249" s="42" t="n"/>
      <c r="AA249" s="42" t="n"/>
      <c r="AB249" s="42" t="n"/>
      <c r="AC249" s="42" t="n"/>
      <c r="AD249" s="42" t="n"/>
      <c r="AE249" s="42" t="n"/>
      <c r="AF249" s="42" t="n"/>
      <c r="AG249" s="42" t="n"/>
      <c r="AH249" s="42" t="n"/>
      <c r="AI249" s="42" t="n"/>
      <c r="AJ249" s="42" t="n"/>
      <c r="AK249" s="42" t="n"/>
      <c r="AL249" s="42" t="n"/>
      <c r="AM249" s="42" t="n"/>
      <c r="AN249" s="42" t="n"/>
      <c r="AO249" s="42" t="n"/>
      <c r="AP249" s="42" t="n"/>
      <c r="AQ249" s="42" t="n"/>
      <c r="AR249" s="42" t="n"/>
      <c r="AS249" s="42" t="n"/>
      <c r="AT249" s="42" t="n"/>
      <c r="AU249" s="42" t="n"/>
      <c r="AV249" s="42" t="n"/>
      <c r="AW249" s="42" t="n"/>
      <c r="AX249" s="42" t="n"/>
      <c r="AY249" s="42" t="n"/>
      <c r="AZ249" s="42" t="n"/>
      <c r="BA249" s="42" t="n"/>
      <c r="BB249" s="42" t="n"/>
      <c r="BC249" s="42" t="n"/>
      <c r="BD249" s="42" t="n"/>
      <c r="BE249" s="42" t="n"/>
      <c r="BF249" s="42" t="n"/>
      <c r="BG249" s="42" t="n"/>
      <c r="BH249" s="42" t="n"/>
      <c r="BI249" s="42" t="n"/>
      <c r="BJ249" s="42" t="n"/>
      <c r="BK249" s="42" t="n"/>
      <c r="BL249" s="42" t="n"/>
      <c r="BM249" s="42" t="n"/>
      <c r="BN249" s="42" t="n"/>
      <c r="BO249" s="42" t="n"/>
      <c r="BP249" s="42" t="n"/>
      <c r="BQ249" s="42" t="n"/>
      <c r="BR249" s="42" t="n"/>
      <c r="BS249" s="42" t="n"/>
      <c r="BT249" s="42" t="n"/>
      <c r="BU249" s="42" t="n"/>
      <c r="BV249" s="42" t="n"/>
      <c r="BW249" s="42" t="n"/>
      <c r="BX249" s="42" t="n"/>
      <c r="BY249" s="42" t="n"/>
      <c r="BZ249" s="42" t="n"/>
      <c r="CA249" s="42" t="n"/>
      <c r="CB249" s="42" t="n"/>
      <c r="CC249" s="42" t="n"/>
      <c r="CD249" s="42" t="n"/>
      <c r="CE249" s="42" t="n"/>
      <c r="CF249" s="42" t="n"/>
      <c r="CG249" s="42" t="n"/>
      <c r="CH249" s="42" t="n"/>
      <c r="CI249" s="42" t="n"/>
      <c r="CJ249" s="42" t="n"/>
      <c r="CK249" s="42" t="n"/>
      <c r="CL249" s="42" t="n"/>
      <c r="CM249" s="42" t="n"/>
      <c r="CN249" s="42" t="n"/>
      <c r="CO249" s="42" t="n"/>
      <c r="CP249" s="42" t="n"/>
      <c r="CQ249" s="42" t="n"/>
      <c r="CR249" s="42" t="n"/>
      <c r="CS249" s="42" t="n"/>
      <c r="CT249" s="42" t="n"/>
      <c r="CU249" s="42" t="n"/>
      <c r="CV249" s="42" t="n"/>
      <c r="CW249" s="42" t="n"/>
      <c r="CX249" s="42" t="n"/>
      <c r="CY249" s="42" t="n"/>
    </row>
    <row r="250" hidden="1" outlineLevel="1" customFormat="1" s="66">
      <c r="A250" s="37" t="n"/>
      <c r="B250" s="37" t="n"/>
      <c r="C250" s="57" t="inlineStr">
        <is>
          <t>Minority Interest Expense - % YoY</t>
        </is>
      </c>
      <c r="D250" s="42" t="n"/>
      <c r="E250" s="58" t="n"/>
      <c r="F250" s="42" t="n"/>
      <c r="G250" s="42" t="n"/>
      <c r="H250" s="58" t="n"/>
      <c r="I250" s="42" t="n"/>
      <c r="J250" s="58">
        <f>IF(I135=0,0,J135/I135-1)</f>
        <v>-0.0610228507089656</v>
      </c>
      <c r="K250" s="42" t="n"/>
      <c r="L250" s="42" t="n"/>
      <c r="M250" s="58" t="n"/>
      <c r="N250" s="58">
        <f>IF(I135=0,0,N135/I135-1)</f>
        <v>0.307103922619649</v>
      </c>
      <c r="O250" s="58">
        <f>IF(J135=0,0,O135/J135-1)</f>
        <v>0.9159918004098</v>
      </c>
      <c r="P250" s="58">
        <f>IF(K135=0,0,P135/K135-1)</f>
        <v>0.369965428473568</v>
      </c>
      <c r="Q250" s="58">
        <f>IF(L135=0,0,Q135/L135-1)</f>
        <v>-0.191031010743798</v>
      </c>
      <c r="R250" s="58" t="n"/>
      <c r="S250" s="58">
        <f>IF(N135=0,0,S135/N135-1)</f>
        <v>0.912772585669782</v>
      </c>
      <c r="T250" s="58">
        <f>IF(O135=0,0,T135/O135-1)</f>
        <v>1.45534979423868</v>
      </c>
      <c r="U250" s="58">
        <f>IF(P135=0,0,U135/P135-1)</f>
        <v>1.36921141652614</v>
      </c>
      <c r="V250" s="58">
        <f>IF(Q135=0,0,V135/Q135-1)</f>
        <v>2.02961500493583</v>
      </c>
      <c r="W250" s="58">
        <f>IF(R136=0,0,W136/R136-1)</f>
        <v>-0.157669524433142</v>
      </c>
      <c r="X250" s="58">
        <f>IF(S135=0,0,X135/S135-1)</f>
        <v>2.91663932928635</v>
      </c>
      <c r="Y250" s="58">
        <f>IF(T135=0,0,Y135/T135-1)</f>
        <v>0.627671163998994</v>
      </c>
      <c r="Z250" s="58">
        <f>IF(U135=0,0,Z135/U135-1)</f>
        <v>-0.0594428642446226</v>
      </c>
      <c r="AA250" s="58">
        <f>IF(V135=0,0,AA135/V135-1)</f>
        <v>0.443597262952102</v>
      </c>
      <c r="AB250" s="58">
        <f>IF(W136=0,0,AB136/W136-1)</f>
        <v>0.614212481605351</v>
      </c>
      <c r="AC250" s="58">
        <f>IF(X135=0,0,AC135/X135-1)</f>
        <v>-0.532453468347213</v>
      </c>
      <c r="AD250" s="58">
        <f>IF(Y135=0,0,AD135/Y135-1)</f>
        <v>-0.232301910106575</v>
      </c>
      <c r="AE250" s="58">
        <f>IF(Z135=0,0,AE135/Z135-1)</f>
        <v>-0.125783783783784</v>
      </c>
      <c r="AF250" s="58">
        <f>IF(AA135=0,0,AF135/AA135-1)</f>
        <v>-0.134209100758397</v>
      </c>
      <c r="AG250" s="58">
        <f>IF(AB136=0,0,AG136/AB136-1)</f>
        <v>1.13181377107172</v>
      </c>
      <c r="AH250" s="62">
        <f>IF(AC135=0,0,AH135/AC135-1)</f>
        <v>0.0456015523932729</v>
      </c>
      <c r="AI250" s="62">
        <f>IF(AD135=0,0,AI135/AD135-1)</f>
        <v>0.245255180739052</v>
      </c>
      <c r="AJ250" s="62" t="n"/>
      <c r="AK250" s="62" t="n"/>
      <c r="AL250" s="58">
        <f>IF(AG136=0,0,AL136/AG136-1)</f>
        <v>-0.431825584449698</v>
      </c>
      <c r="AM250" s="62" t="n"/>
      <c r="AN250" s="62" t="n"/>
      <c r="AO250" s="62" t="n"/>
      <c r="AP250" s="62" t="n"/>
      <c r="AQ250" s="58">
        <f>IF(AL136=0,0,AQ136/AL136-1)</f>
        <v>-1</v>
      </c>
      <c r="AR250" s="62" t="n"/>
      <c r="AS250" s="62" t="n"/>
      <c r="AT250" s="62" t="n"/>
      <c r="AU250" s="62" t="n"/>
      <c r="AV250" s="58">
        <f>IF(AQ136=0,0,AV136/AQ136-1)</f>
        <v>0</v>
      </c>
      <c r="AW250" s="62" t="n"/>
      <c r="AX250" s="62" t="n"/>
      <c r="AY250" s="62" t="n"/>
      <c r="AZ250" s="62" t="n"/>
      <c r="BA250" s="58">
        <f>IF(AV136=0,0,BA136/AV136-1)</f>
        <v>0</v>
      </c>
      <c r="BB250" s="62" t="n"/>
      <c r="BC250" s="62" t="n"/>
      <c r="BD250" s="62" t="n"/>
      <c r="BE250" s="62" t="n"/>
      <c r="BF250" s="58">
        <f>IF(BA136=0,0,BF136/BA136-1)</f>
        <v>0</v>
      </c>
      <c r="BG250" s="62" t="n"/>
      <c r="BH250" s="62" t="n"/>
      <c r="BI250" s="62" t="n"/>
      <c r="BJ250" s="62" t="n"/>
      <c r="BK250" s="58" t="n"/>
      <c r="BL250" s="62" t="n"/>
      <c r="BM250" s="62" t="n"/>
      <c r="BN250" s="62" t="n"/>
      <c r="BO250" s="62" t="n"/>
      <c r="BP250" s="58" t="n"/>
      <c r="BQ250" s="62" t="n"/>
      <c r="BR250" s="62" t="n"/>
      <c r="BS250" s="62" t="n"/>
      <c r="BT250" s="62" t="n"/>
      <c r="BU250" s="58" t="n"/>
      <c r="BV250" s="62" t="n"/>
      <c r="BW250" s="62" t="n"/>
      <c r="BX250" s="62" t="n"/>
      <c r="BY250" s="62" t="n"/>
      <c r="BZ250" s="58" t="n"/>
      <c r="CA250" s="62" t="n"/>
      <c r="CB250" s="62" t="n"/>
      <c r="CC250" s="62" t="n"/>
      <c r="CD250" s="62" t="n"/>
      <c r="CE250" s="58" t="n"/>
      <c r="CF250" s="62" t="n"/>
      <c r="CG250" s="62" t="n"/>
      <c r="CH250" s="62" t="n"/>
      <c r="CI250" s="62" t="n"/>
      <c r="CJ250" s="58" t="n"/>
      <c r="CK250" s="62" t="n"/>
      <c r="CL250" s="62" t="n"/>
      <c r="CM250" s="62" t="n"/>
      <c r="CN250" s="62" t="n"/>
      <c r="CO250" s="58" t="n"/>
      <c r="CP250" s="62" t="n"/>
      <c r="CQ250" s="62" t="n"/>
      <c r="CR250" s="62" t="n"/>
      <c r="CS250" s="62" t="n"/>
      <c r="CT250" s="58" t="n"/>
      <c r="CU250" s="62" t="n"/>
      <c r="CV250" s="62" t="n"/>
      <c r="CW250" s="62" t="n"/>
      <c r="CX250" s="62" t="n"/>
      <c r="CY250" s="58" t="n"/>
    </row>
    <row r="251" hidden="1" outlineLevel="1" customFormat="1" s="66">
      <c r="A251" s="37" t="n"/>
      <c r="B251" s="37" t="n"/>
      <c r="C251" s="57" t="inlineStr">
        <is>
          <t>Dividends (enter as -)</t>
        </is>
      </c>
      <c r="D251" s="42" t="n"/>
      <c r="E251" s="42" t="n"/>
      <c r="F251" s="42" t="n"/>
      <c r="G251" s="42" t="n"/>
      <c r="H251" s="42" t="n"/>
      <c r="I251" s="42" t="n"/>
      <c r="J251" s="42" t="n"/>
      <c r="K251" s="42" t="n"/>
      <c r="L251" s="42" t="n"/>
      <c r="M251" s="42" t="n"/>
      <c r="N251" s="42" t="n"/>
      <c r="O251" s="42" t="n"/>
      <c r="P251" s="42" t="n"/>
      <c r="Q251" s="42" t="n"/>
      <c r="R251" s="42" t="n"/>
      <c r="S251" s="42" t="n"/>
      <c r="T251" s="42" t="n"/>
      <c r="U251" s="42" t="n"/>
      <c r="V251" s="42" t="n"/>
      <c r="W251" s="42" t="n"/>
      <c r="X251" s="42" t="n"/>
      <c r="Y251" s="42" t="n"/>
      <c r="Z251" s="42" t="n"/>
      <c r="AA251" s="42" t="n"/>
      <c r="AB251" s="42" t="n"/>
      <c r="AC251" s="42" t="n"/>
      <c r="AD251" s="42" t="n"/>
      <c r="AE251" s="42" t="n"/>
      <c r="AF251" s="42" t="n"/>
      <c r="AG251" s="42" t="n"/>
      <c r="AH251" s="62" t="n"/>
      <c r="AI251" s="62" t="n"/>
      <c r="AJ251" s="62" t="n"/>
      <c r="AK251" s="62" t="n"/>
      <c r="AL251" s="42" t="n"/>
      <c r="AM251" s="62" t="n"/>
      <c r="AN251" s="62" t="n"/>
      <c r="AO251" s="62" t="n"/>
      <c r="AP251" s="62" t="n"/>
      <c r="AQ251" s="42" t="n"/>
      <c r="AR251" s="62" t="n"/>
      <c r="AS251" s="62" t="n"/>
      <c r="AT251" s="62" t="n"/>
      <c r="AU251" s="62" t="n"/>
      <c r="AV251" s="42" t="n"/>
      <c r="AW251" s="62" t="n"/>
      <c r="AX251" s="62" t="n"/>
      <c r="AY251" s="62" t="n"/>
      <c r="AZ251" s="62" t="n"/>
      <c r="BA251" s="42" t="n"/>
      <c r="BB251" s="62" t="n"/>
      <c r="BC251" s="62" t="n"/>
      <c r="BD251" s="62" t="n"/>
      <c r="BE251" s="62" t="n"/>
      <c r="BF251" s="42" t="n"/>
      <c r="BG251" s="62" t="n"/>
      <c r="BH251" s="62" t="n"/>
      <c r="BI251" s="62" t="n"/>
      <c r="BJ251" s="62" t="n"/>
      <c r="BK251" s="42" t="n"/>
      <c r="BL251" s="62" t="n"/>
      <c r="BM251" s="62" t="n"/>
      <c r="BN251" s="62" t="n"/>
      <c r="BO251" s="62" t="n"/>
      <c r="BP251" s="42" t="n"/>
      <c r="BQ251" s="62" t="n"/>
      <c r="BR251" s="62" t="n"/>
      <c r="BS251" s="62" t="n"/>
      <c r="BT251" s="62" t="n"/>
      <c r="BU251" s="42" t="n"/>
      <c r="BV251" s="62" t="n"/>
      <c r="BW251" s="62" t="n"/>
      <c r="BX251" s="62" t="n"/>
      <c r="BY251" s="62" t="n"/>
      <c r="BZ251" s="42" t="n"/>
      <c r="CA251" s="62" t="n"/>
      <c r="CB251" s="62" t="n"/>
      <c r="CC251" s="62" t="n"/>
      <c r="CD251" s="62" t="n"/>
      <c r="CE251" s="42" t="n"/>
      <c r="CF251" s="62" t="n"/>
      <c r="CG251" s="62" t="n"/>
      <c r="CH251" s="62" t="n"/>
      <c r="CI251" s="62" t="n"/>
      <c r="CJ251" s="42" t="n"/>
      <c r="CK251" s="62" t="n"/>
      <c r="CL251" s="62" t="n"/>
      <c r="CM251" s="62" t="n"/>
      <c r="CN251" s="62" t="n"/>
      <c r="CO251" s="42" t="n"/>
      <c r="CP251" s="62" t="n"/>
      <c r="CQ251" s="62" t="n"/>
      <c r="CR251" s="62" t="n"/>
      <c r="CS251" s="62" t="n"/>
      <c r="CT251" s="42" t="n"/>
      <c r="CU251" s="62" t="n"/>
      <c r="CV251" s="62" t="n"/>
      <c r="CW251" s="62" t="n"/>
      <c r="CX251" s="62" t="n"/>
      <c r="CY251" s="42" t="n"/>
    </row>
    <row r="252" hidden="1" outlineLevel="1" customFormat="1" s="66">
      <c r="A252" s="37" t="n"/>
      <c r="B252" s="37" t="n"/>
      <c r="C252" s="59" t="n"/>
      <c r="D252" s="42" t="n"/>
      <c r="E252" s="42" t="n"/>
      <c r="F252" s="42" t="n"/>
      <c r="G252" s="42" t="n"/>
      <c r="H252" s="42" t="n"/>
      <c r="I252" s="42" t="n"/>
      <c r="J252" s="42" t="n"/>
      <c r="K252" s="42" t="n"/>
      <c r="L252" s="42" t="n"/>
      <c r="M252" s="42" t="n"/>
      <c r="N252" s="42" t="n"/>
      <c r="O252" s="42" t="n"/>
      <c r="P252" s="42" t="n"/>
      <c r="Q252" s="42" t="n"/>
      <c r="R252" s="42" t="n"/>
      <c r="S252" s="42" t="n"/>
      <c r="T252" s="42" t="n"/>
      <c r="U252" s="42" t="n"/>
      <c r="V252" s="42" t="n"/>
      <c r="W252" s="42" t="n"/>
      <c r="X252" s="42" t="n"/>
      <c r="Y252" s="42" t="n"/>
      <c r="Z252" s="42" t="n"/>
      <c r="AA252" s="42" t="n"/>
      <c r="AB252" s="42" t="n"/>
      <c r="AC252" s="42" t="n"/>
      <c r="AD252" s="42" t="n"/>
      <c r="AE252" s="42" t="n"/>
      <c r="AF252" s="42" t="n"/>
      <c r="AG252" s="42" t="n"/>
      <c r="AH252" s="42" t="n"/>
      <c r="AI252" s="42" t="n"/>
      <c r="AJ252" s="42" t="n"/>
      <c r="AK252" s="42" t="n"/>
      <c r="AL252" s="42" t="n"/>
      <c r="AM252" s="42" t="n"/>
      <c r="AN252" s="42" t="n"/>
      <c r="AO252" s="42" t="n"/>
      <c r="AP252" s="42" t="n"/>
      <c r="AQ252" s="42" t="n"/>
      <c r="AR252" s="42" t="n"/>
      <c r="AS252" s="42" t="n"/>
      <c r="AT252" s="42" t="n"/>
      <c r="AU252" s="42" t="n"/>
      <c r="AV252" s="42" t="n"/>
      <c r="AW252" s="42" t="n"/>
      <c r="AX252" s="42" t="n"/>
      <c r="AY252" s="42" t="n"/>
      <c r="AZ252" s="42" t="n"/>
      <c r="BA252" s="42" t="n"/>
      <c r="BB252" s="42" t="n"/>
      <c r="BC252" s="42" t="n"/>
      <c r="BD252" s="42" t="n"/>
      <c r="BE252" s="42" t="n"/>
      <c r="BF252" s="42" t="n"/>
      <c r="BG252" s="42" t="n"/>
      <c r="BH252" s="42" t="n"/>
      <c r="BI252" s="42" t="n"/>
      <c r="BJ252" s="42" t="n"/>
      <c r="BK252" s="42" t="n"/>
      <c r="BL252" s="42" t="n"/>
      <c r="BM252" s="42" t="n"/>
      <c r="BN252" s="42" t="n"/>
      <c r="BO252" s="42" t="n"/>
      <c r="BP252" s="42" t="n"/>
      <c r="BQ252" s="42" t="n"/>
      <c r="BR252" s="42" t="n"/>
      <c r="BS252" s="42" t="n"/>
      <c r="BT252" s="42" t="n"/>
      <c r="BU252" s="42" t="n"/>
      <c r="BV252" s="42" t="n"/>
      <c r="BW252" s="42" t="n"/>
      <c r="BX252" s="42" t="n"/>
      <c r="BY252" s="42" t="n"/>
      <c r="BZ252" s="42" t="n"/>
      <c r="CA252" s="42" t="n"/>
      <c r="CB252" s="42" t="n"/>
      <c r="CC252" s="42" t="n"/>
      <c r="CD252" s="42" t="n"/>
      <c r="CE252" s="42" t="n"/>
      <c r="CF252" s="42" t="n"/>
      <c r="CG252" s="42" t="n"/>
      <c r="CH252" s="42" t="n"/>
      <c r="CI252" s="42" t="n"/>
      <c r="CJ252" s="42" t="n"/>
      <c r="CK252" s="42" t="n"/>
      <c r="CL252" s="42" t="n"/>
      <c r="CM252" s="42" t="n"/>
      <c r="CN252" s="42" t="n"/>
      <c r="CO252" s="42" t="n"/>
      <c r="CP252" s="42" t="n"/>
      <c r="CQ252" s="42" t="n"/>
      <c r="CR252" s="42" t="n"/>
      <c r="CS252" s="42" t="n"/>
      <c r="CT252" s="42" t="n"/>
      <c r="CU252" s="42" t="n"/>
      <c r="CV252" s="42" t="n"/>
      <c r="CW252" s="42" t="n"/>
      <c r="CX252" s="42" t="n"/>
      <c r="CY252" s="42" t="n"/>
    </row>
    <row r="253" collapsed="1">
      <c r="C253" s="14" t="inlineStr">
        <is>
          <t>Convertible Preferred Stock</t>
        </is>
      </c>
      <c r="D253" s="46" t="n"/>
      <c r="E253" s="46" t="n"/>
      <c r="F253" s="46" t="n"/>
      <c r="G253" s="46" t="n"/>
      <c r="H253" s="12" t="n"/>
      <c r="I253" s="46">
        <f>'Inputs (2)'!D42</f>
        <v>0</v>
      </c>
      <c r="J253" s="46">
        <f>'Inputs (2)'!E42</f>
        <v>0</v>
      </c>
      <c r="K253" s="46">
        <f>'Inputs (2)'!F42</f>
        <v>0</v>
      </c>
      <c r="L253" s="46">
        <f>'Inputs (2)'!G42</f>
        <v>0</v>
      </c>
      <c r="M253" s="12">
        <f>'Inputs (2)'!H42</f>
        <v>0</v>
      </c>
      <c r="N253" s="46">
        <f>'Inputs (2)'!I42</f>
        <v>0</v>
      </c>
      <c r="O253" s="46">
        <f>'Inputs (2)'!J42</f>
        <v>0</v>
      </c>
      <c r="P253" s="46">
        <f>'Inputs (2)'!K42</f>
        <v>0</v>
      </c>
      <c r="Q253" s="46">
        <f>'Inputs (2)'!L42</f>
        <v>0</v>
      </c>
      <c r="R253" s="12">
        <f>'Inputs (2)'!M42</f>
        <v>0</v>
      </c>
      <c r="S253" s="46">
        <f>'Inputs (2)'!N42</f>
        <v>0</v>
      </c>
      <c r="T253" s="46">
        <f>'Inputs (2)'!O42</f>
        <v>0</v>
      </c>
      <c r="U253" s="46">
        <f>'Inputs (2)'!P42</f>
        <v>0</v>
      </c>
      <c r="V253" s="46">
        <f>'Inputs (2)'!Q42</f>
        <v>0</v>
      </c>
      <c r="W253" s="12">
        <f>'Inputs (2)'!R42</f>
        <v>0</v>
      </c>
      <c r="X253" s="46">
        <f>'Inputs (2)'!S42</f>
        <v>0</v>
      </c>
      <c r="Y253" s="46">
        <f>'Inputs (2)'!T42</f>
        <v>0</v>
      </c>
      <c r="Z253" s="46">
        <f>'Inputs (2)'!U42</f>
        <v>0</v>
      </c>
      <c r="AA253" s="46">
        <f>'Inputs (2)'!V42</f>
        <v>0</v>
      </c>
      <c r="AB253" s="12">
        <f>'Inputs (2)'!W42</f>
        <v>0</v>
      </c>
      <c r="AC253" s="46">
        <f>'Inputs (2)'!X42</f>
        <v>0</v>
      </c>
      <c r="AD253" s="46">
        <f>'Inputs (2)'!Y42</f>
        <v>0</v>
      </c>
      <c r="AE253" s="46">
        <f>'Inputs (2)'!Z42</f>
        <v>0</v>
      </c>
      <c r="AF253" s="46">
        <f>'Inputs (2)'!AA42</f>
        <v>0</v>
      </c>
      <c r="AG253" s="12">
        <f>'Inputs (2)'!AB42</f>
        <v>0</v>
      </c>
      <c r="AH253" s="12">
        <f>'Inputs (2)'!AC42</f>
        <v>0</v>
      </c>
      <c r="AI253" s="12">
        <f>'Inputs (2)'!AD42</f>
        <v>0</v>
      </c>
      <c r="AJ253" s="12">
        <f>AI253</f>
        <v>0</v>
      </c>
      <c r="AK253" s="12">
        <f>AJ253</f>
        <v>0</v>
      </c>
      <c r="AL253" s="12">
        <f>AK253</f>
        <v>0</v>
      </c>
      <c r="AM253" s="12">
        <f>AL253</f>
        <v>0</v>
      </c>
      <c r="AN253" s="12">
        <f>AM253</f>
        <v>0</v>
      </c>
      <c r="AO253" s="12">
        <f>AN253</f>
        <v>0</v>
      </c>
      <c r="AP253" s="12">
        <f>AO253</f>
        <v>0</v>
      </c>
      <c r="AQ253" s="12">
        <f>AP253</f>
        <v>0</v>
      </c>
      <c r="AR253" s="12">
        <f>AQ253</f>
        <v>0</v>
      </c>
      <c r="AS253" s="12">
        <f>AR253</f>
        <v>0</v>
      </c>
      <c r="AT253" s="12">
        <f>AS253</f>
        <v>0</v>
      </c>
      <c r="AU253" s="12">
        <f>AT253</f>
        <v>0</v>
      </c>
      <c r="AV253" s="12">
        <f>AU253</f>
        <v>0</v>
      </c>
      <c r="AW253" s="12">
        <f>AV253</f>
        <v>0</v>
      </c>
      <c r="AX253" s="12">
        <f>AW253</f>
        <v>0</v>
      </c>
      <c r="AY253" s="12">
        <f>AX253</f>
        <v>0</v>
      </c>
      <c r="AZ253" s="12">
        <f>AY253</f>
        <v>0</v>
      </c>
      <c r="BA253" s="12">
        <f>AZ253</f>
        <v>0</v>
      </c>
      <c r="BB253" s="12">
        <f>BA253</f>
        <v>0</v>
      </c>
      <c r="BC253" s="12">
        <f>BB253</f>
        <v>0</v>
      </c>
      <c r="BD253" s="12">
        <f>BC253</f>
        <v>0</v>
      </c>
      <c r="BE253" s="12">
        <f>BD253</f>
        <v>0</v>
      </c>
      <c r="BF253" s="12">
        <f>BE253</f>
        <v>0</v>
      </c>
      <c r="BG253" s="12" t="n"/>
      <c r="BH253" s="12" t="n"/>
      <c r="BI253" s="12" t="n"/>
      <c r="BJ253" s="12" t="n"/>
      <c r="BK253" s="12" t="n"/>
      <c r="BL253" s="12" t="n"/>
      <c r="BM253" s="12" t="n"/>
      <c r="BN253" s="12" t="n"/>
      <c r="BO253" s="12" t="n"/>
      <c r="BP253" s="12" t="n"/>
      <c r="BQ253" s="12" t="n"/>
      <c r="BR253" s="12" t="n"/>
      <c r="BS253" s="12" t="n"/>
      <c r="BT253" s="12" t="n"/>
      <c r="BU253" s="12" t="n"/>
      <c r="BV253" s="12" t="n"/>
      <c r="BW253" s="12" t="n"/>
      <c r="BX253" s="12" t="n"/>
      <c r="BY253" s="12" t="n"/>
      <c r="BZ253" s="12" t="n"/>
      <c r="CA253" s="12" t="n"/>
      <c r="CB253" s="12" t="n"/>
      <c r="CC253" s="12" t="n"/>
      <c r="CD253" s="12" t="n"/>
      <c r="CE253" s="12" t="n"/>
      <c r="CF253" s="12" t="n"/>
      <c r="CG253" s="12" t="n"/>
      <c r="CH253" s="12" t="n"/>
      <c r="CI253" s="12" t="n"/>
      <c r="CJ253" s="12" t="n"/>
      <c r="CK253" s="12" t="n"/>
      <c r="CL253" s="12" t="n"/>
      <c r="CM253" s="12" t="n"/>
      <c r="CN253" s="12" t="n"/>
      <c r="CO253" s="12" t="n"/>
      <c r="CP253" s="12" t="n"/>
      <c r="CQ253" s="12" t="n"/>
      <c r="CR253" s="12" t="n"/>
      <c r="CS253" s="12" t="n"/>
      <c r="CT253" s="12" t="n"/>
      <c r="CU253" s="12" t="n"/>
      <c r="CV253" s="12" t="n"/>
      <c r="CW253" s="12" t="n"/>
      <c r="CX253" s="12" t="n"/>
      <c r="CY253" s="12" t="n"/>
    </row>
    <row r="254">
      <c r="C254" s="13" t="inlineStr">
        <is>
          <t>Common Stock and APIC</t>
        </is>
      </c>
      <c r="D254" s="46" t="n"/>
      <c r="E254" s="46" t="n"/>
      <c r="F254" s="46" t="n"/>
      <c r="G254" s="46" t="n"/>
      <c r="H254" s="12" t="n"/>
      <c r="I254" s="46">
        <f>'Inputs (2)'!D43</f>
        <v>962.448</v>
      </c>
      <c r="J254" s="46">
        <f>'Inputs (2)'!E43</f>
        <v>932.939</v>
      </c>
      <c r="K254" s="46">
        <f>'Inputs (2)'!F43</f>
        <v>933.787</v>
      </c>
      <c r="L254" s="46">
        <f>'Inputs (2)'!G43</f>
        <v>932.931</v>
      </c>
      <c r="M254" s="12">
        <f>'Inputs (2)'!H43</f>
        <v>932.931</v>
      </c>
      <c r="N254" s="46">
        <f>'Inputs (2)'!I43</f>
        <v>931.902</v>
      </c>
      <c r="O254" s="46">
        <f>'Inputs (2)'!J43</f>
        <v>932.641</v>
      </c>
      <c r="P254" s="46">
        <f>'Inputs (2)'!K43</f>
        <v>932.501</v>
      </c>
      <c r="Q254" s="46">
        <f>'Inputs (2)'!L43</f>
        <v>933.185</v>
      </c>
      <c r="R254" s="12">
        <f>'Inputs (2)'!M43</f>
        <v>933.185</v>
      </c>
      <c r="S254" s="46">
        <f>'Inputs (2)'!N43</f>
        <v>902.862</v>
      </c>
      <c r="T254" s="46">
        <f>'Inputs (2)'!O43</f>
        <v>902.161</v>
      </c>
      <c r="U254" s="46">
        <f>'Inputs (2)'!P43</f>
        <v>1311.848</v>
      </c>
      <c r="V254" s="46">
        <f>'Inputs (2)'!Q43</f>
        <v>1344.103</v>
      </c>
      <c r="W254" s="12">
        <f>'Inputs (2)'!R43</f>
        <v>1344.103</v>
      </c>
      <c r="X254" s="46">
        <f>'Inputs (2)'!S43</f>
        <v>1307.112</v>
      </c>
      <c r="Y254" s="46">
        <f>'Inputs (2)'!T43</f>
        <v>1308.414</v>
      </c>
      <c r="Z254" s="46">
        <f>'Inputs (2)'!U43</f>
        <v>1310.892</v>
      </c>
      <c r="AA254" s="46">
        <f>'Inputs (2)'!V43</f>
        <v>1345.041</v>
      </c>
      <c r="AB254" s="12">
        <f>'Inputs (2)'!W43</f>
        <v>1345.041</v>
      </c>
      <c r="AC254" s="46">
        <f>'Inputs (2)'!X43</f>
        <v>1342.211</v>
      </c>
      <c r="AD254" s="46">
        <f>'Inputs (2)'!Y43</f>
        <v>1345.403</v>
      </c>
      <c r="AE254" s="46">
        <f>'Inputs (2)'!Z43</f>
        <v>1345.72</v>
      </c>
      <c r="AF254" s="46">
        <f>'Inputs (2)'!AA43</f>
        <v>1352.597</v>
      </c>
      <c r="AG254" s="12">
        <f>'Inputs (2)'!AB43</f>
        <v>1352.597</v>
      </c>
      <c r="AH254" s="12">
        <f>'Inputs (2)'!AC43</f>
        <v>1347.54</v>
      </c>
      <c r="AI254" s="12">
        <f>'Inputs (2)'!AD43</f>
        <v>1348.735</v>
      </c>
      <c r="AJ254" s="12">
        <f>AI254+AJ258</f>
        <v>1348.735</v>
      </c>
      <c r="AK254" s="12">
        <f>AJ254+AK258</f>
        <v>1348.735</v>
      </c>
      <c r="AL254" s="12">
        <f>AK254</f>
        <v>1348.735</v>
      </c>
      <c r="AM254" s="12">
        <f>AL254+AM258</f>
        <v>1348.735</v>
      </c>
      <c r="AN254" s="12">
        <f>AM254+AN258</f>
        <v>1348.735</v>
      </c>
      <c r="AO254" s="12">
        <f>AN254+AO258</f>
        <v>1348.735</v>
      </c>
      <c r="AP254" s="12">
        <f>AO254+AP258</f>
        <v>1348.735</v>
      </c>
      <c r="AQ254" s="12">
        <f>AP254</f>
        <v>1348.735</v>
      </c>
      <c r="AR254" s="12">
        <f>AQ254+AR258</f>
        <v>1348.735</v>
      </c>
      <c r="AS254" s="12">
        <f>AR254+AS258</f>
        <v>1348.735</v>
      </c>
      <c r="AT254" s="12">
        <f>AS254+AT258</f>
        <v>1348.735</v>
      </c>
      <c r="AU254" s="12">
        <f>AT254+AU258</f>
        <v>1348.735</v>
      </c>
      <c r="AV254" s="12">
        <f>AU254</f>
        <v>1348.735</v>
      </c>
      <c r="AW254" s="12">
        <f>AV254+AW258</f>
        <v>1348.735</v>
      </c>
      <c r="AX254" s="12">
        <f>AW254+AX258</f>
        <v>1348.735</v>
      </c>
      <c r="AY254" s="12">
        <f>AX254+AY258</f>
        <v>1348.735</v>
      </c>
      <c r="AZ254" s="12">
        <f>AY254+AZ258</f>
        <v>1348.735</v>
      </c>
      <c r="BA254" s="12">
        <f>AZ254</f>
        <v>1348.735</v>
      </c>
      <c r="BB254" s="12">
        <f>BA254+BB258</f>
        <v>1348.735</v>
      </c>
      <c r="BC254" s="12">
        <f>BB254+BC258</f>
        <v>1348.735</v>
      </c>
      <c r="BD254" s="12">
        <f>BC254+BD258</f>
        <v>1348.735</v>
      </c>
      <c r="BE254" s="12">
        <f>BD254+BE258</f>
        <v>1348.735</v>
      </c>
      <c r="BF254" s="12">
        <f>BE254</f>
        <v>1348.735</v>
      </c>
      <c r="BG254" s="12" t="n"/>
      <c r="BH254" s="12" t="n"/>
      <c r="BI254" s="12" t="n"/>
      <c r="BJ254" s="12" t="n"/>
      <c r="BK254" s="12" t="n"/>
      <c r="BL254" s="12" t="n"/>
      <c r="BM254" s="12" t="n"/>
      <c r="BN254" s="12" t="n"/>
      <c r="BO254" s="12" t="n"/>
      <c r="BP254" s="12" t="n"/>
      <c r="BQ254" s="12" t="n"/>
      <c r="BR254" s="12" t="n"/>
      <c r="BS254" s="12" t="n"/>
      <c r="BT254" s="12" t="n"/>
      <c r="BU254" s="12" t="n"/>
      <c r="BV254" s="12" t="n"/>
      <c r="BW254" s="12" t="n"/>
      <c r="BX254" s="12" t="n"/>
      <c r="BY254" s="12" t="n"/>
      <c r="BZ254" s="12" t="n"/>
      <c r="CA254" s="12" t="n"/>
      <c r="CB254" s="12" t="n"/>
      <c r="CC254" s="12" t="n"/>
      <c r="CD254" s="12" t="n"/>
      <c r="CE254" s="12" t="n"/>
      <c r="CF254" s="12" t="n"/>
      <c r="CG254" s="12" t="n"/>
      <c r="CH254" s="12" t="n"/>
      <c r="CI254" s="12" t="n"/>
      <c r="CJ254" s="12" t="n"/>
      <c r="CK254" s="12" t="n"/>
      <c r="CL254" s="12" t="n"/>
      <c r="CM254" s="12" t="n"/>
      <c r="CN254" s="12" t="n"/>
      <c r="CO254" s="12" t="n"/>
      <c r="CP254" s="12" t="n"/>
      <c r="CQ254" s="12" t="n"/>
      <c r="CR254" s="12" t="n"/>
      <c r="CS254" s="12" t="n"/>
      <c r="CT254" s="12" t="n"/>
      <c r="CU254" s="12" t="n"/>
      <c r="CV254" s="12" t="n"/>
      <c r="CW254" s="12" t="n"/>
      <c r="CX254" s="12" t="n"/>
      <c r="CY254" s="12" t="n"/>
    </row>
    <row r="255" hidden="1" outlineLevel="1" customFormat="1" s="66">
      <c r="A255" s="37" t="n"/>
      <c r="B255" s="37" t="n"/>
      <c r="C255" s="67" t="n"/>
      <c r="D255" s="42" t="n"/>
      <c r="E255" s="42" t="n"/>
      <c r="F255" s="42" t="n"/>
      <c r="G255" s="42" t="n"/>
      <c r="H255" s="42" t="n"/>
      <c r="I255" s="42" t="n"/>
      <c r="J255" s="42" t="n"/>
      <c r="K255" s="42" t="n"/>
      <c r="L255" s="42" t="n"/>
      <c r="M255" s="42" t="n"/>
      <c r="N255" s="42" t="n"/>
      <c r="O255" s="42" t="n"/>
      <c r="P255" s="42" t="n"/>
      <c r="Q255" s="42" t="n"/>
      <c r="R255" s="42" t="n"/>
      <c r="S255" s="42" t="n"/>
      <c r="T255" s="42" t="n"/>
      <c r="U255" s="42" t="n"/>
      <c r="V255" s="42" t="n"/>
      <c r="W255" s="42" t="n"/>
      <c r="X255" s="42" t="n"/>
      <c r="Y255" s="42" t="n"/>
      <c r="Z255" s="42" t="n"/>
      <c r="AA255" s="42" t="n"/>
      <c r="AB255" s="42" t="n"/>
      <c r="AC255" s="42" t="n"/>
      <c r="AD255" s="42" t="n"/>
      <c r="AE255" s="42" t="n"/>
      <c r="AF255" s="42" t="n"/>
      <c r="AG255" s="42" t="n"/>
      <c r="AH255" s="42" t="n"/>
      <c r="AI255" s="42" t="n"/>
      <c r="AJ255" s="42" t="n"/>
      <c r="AK255" s="42" t="n"/>
      <c r="AL255" s="42" t="n"/>
      <c r="AM255" s="42" t="n"/>
      <c r="AN255" s="42" t="n"/>
      <c r="AO255" s="42" t="n"/>
      <c r="AP255" s="42" t="n"/>
      <c r="AQ255" s="42" t="n"/>
      <c r="AR255" s="42" t="n"/>
      <c r="AS255" s="42" t="n"/>
      <c r="AT255" s="42" t="n"/>
      <c r="AU255" s="42" t="n"/>
      <c r="AV255" s="42" t="n"/>
      <c r="AW255" s="42" t="n"/>
      <c r="AX255" s="42" t="n"/>
      <c r="AY255" s="42" t="n"/>
      <c r="AZ255" s="42" t="n"/>
      <c r="BA255" s="42" t="n"/>
      <c r="BB255" s="42" t="n"/>
      <c r="BC255" s="42" t="n"/>
      <c r="BD255" s="42" t="n"/>
      <c r="BE255" s="42" t="n"/>
      <c r="BF255" s="42" t="n"/>
      <c r="BG255" s="42" t="n"/>
      <c r="BH255" s="42" t="n"/>
      <c r="BI255" s="42" t="n"/>
      <c r="BJ255" s="42" t="n"/>
      <c r="BK255" s="42" t="n"/>
      <c r="BL255" s="42" t="n"/>
      <c r="BM255" s="42" t="n"/>
      <c r="BN255" s="42" t="n"/>
      <c r="BO255" s="42" t="n"/>
      <c r="BP255" s="42" t="n"/>
      <c r="BQ255" s="42" t="n"/>
      <c r="BR255" s="42" t="n"/>
      <c r="BS255" s="42" t="n"/>
      <c r="BT255" s="42" t="n"/>
      <c r="BU255" s="42" t="n"/>
      <c r="BV255" s="42" t="n"/>
      <c r="BW255" s="42" t="n"/>
      <c r="BX255" s="42" t="n"/>
      <c r="BY255" s="42" t="n"/>
      <c r="BZ255" s="42" t="n"/>
      <c r="CA255" s="42" t="n"/>
      <c r="CB255" s="42" t="n"/>
      <c r="CC255" s="42" t="n"/>
      <c r="CD255" s="42" t="n"/>
      <c r="CE255" s="42" t="n"/>
      <c r="CF255" s="42" t="n"/>
      <c r="CG255" s="42" t="n"/>
      <c r="CH255" s="42" t="n"/>
      <c r="CI255" s="42" t="n"/>
      <c r="CJ255" s="42" t="n"/>
      <c r="CK255" s="42" t="n"/>
      <c r="CL255" s="42" t="n"/>
      <c r="CM255" s="42" t="n"/>
      <c r="CN255" s="42" t="n"/>
      <c r="CO255" s="42" t="n"/>
      <c r="CP255" s="42" t="n"/>
      <c r="CQ255" s="42" t="n"/>
      <c r="CR255" s="42" t="n"/>
      <c r="CS255" s="42" t="n"/>
      <c r="CT255" s="42" t="n"/>
      <c r="CU255" s="42" t="n"/>
      <c r="CV255" s="42" t="n"/>
      <c r="CW255" s="42" t="n"/>
      <c r="CX255" s="42" t="n"/>
      <c r="CY255" s="42" t="n"/>
    </row>
    <row r="256" hidden="1" outlineLevel="1" customFormat="1" s="66">
      <c r="A256" s="37" t="n"/>
      <c r="B256" s="37" t="n"/>
      <c r="C256" s="67" t="inlineStr">
        <is>
          <t>Diluted Shares outstanding</t>
        </is>
      </c>
      <c r="D256" s="42" t="n"/>
      <c r="E256" s="42" t="n"/>
      <c r="F256" s="42" t="n"/>
      <c r="G256" s="42" t="n"/>
      <c r="H256" s="42" t="n"/>
      <c r="I256" s="42" t="n"/>
      <c r="J256" s="42" t="n"/>
      <c r="K256" s="42" t="n"/>
      <c r="L256" s="42" t="n"/>
      <c r="M256" s="42" t="n"/>
      <c r="N256" s="42" t="n"/>
      <c r="O256" s="42" t="n"/>
      <c r="P256" s="42" t="n"/>
      <c r="Q256" s="42" t="n"/>
      <c r="R256" s="42" t="n"/>
      <c r="S256" s="42" t="n"/>
      <c r="T256" s="42" t="n"/>
      <c r="U256" s="42" t="n"/>
      <c r="V256" s="42" t="n"/>
      <c r="W256" s="42" t="n"/>
      <c r="X256" s="42" t="n"/>
      <c r="Y256" s="42" t="n"/>
      <c r="Z256" s="42" t="n"/>
      <c r="AA256" s="42" t="n"/>
      <c r="AB256" s="42" t="n"/>
      <c r="AC256" s="42" t="n"/>
      <c r="AD256" s="42" t="n"/>
      <c r="AE256" s="42" t="n"/>
      <c r="AF256" s="42" t="n"/>
      <c r="AG256" s="42" t="n"/>
      <c r="AH256" s="42" t="n"/>
      <c r="AI256" s="42" t="n"/>
      <c r="AJ256" s="42" t="n"/>
      <c r="AK256" s="42" t="n"/>
      <c r="AL256" s="42" t="n"/>
      <c r="AM256" s="42" t="n"/>
      <c r="AN256" s="42" t="n"/>
      <c r="AO256" s="42" t="n"/>
      <c r="AP256" s="42" t="n"/>
      <c r="AQ256" s="42" t="n"/>
      <c r="AR256" s="42" t="n"/>
      <c r="AS256" s="42" t="n"/>
      <c r="AT256" s="42" t="n"/>
      <c r="AU256" s="42" t="n"/>
      <c r="AV256" s="42" t="n"/>
      <c r="AW256" s="42" t="n"/>
      <c r="AX256" s="42" t="n"/>
      <c r="AY256" s="42" t="n"/>
      <c r="AZ256" s="42" t="n"/>
      <c r="BA256" s="42" t="n"/>
      <c r="BB256" s="42" t="n"/>
      <c r="BC256" s="42" t="n"/>
      <c r="BD256" s="42" t="n"/>
      <c r="BE256" s="42" t="n"/>
      <c r="BF256" s="42" t="n"/>
      <c r="BG256" s="42" t="n"/>
      <c r="BH256" s="42" t="n"/>
      <c r="BI256" s="42" t="n"/>
      <c r="BJ256" s="42" t="n"/>
      <c r="BK256" s="42" t="n"/>
      <c r="BL256" s="42" t="n"/>
      <c r="BM256" s="42" t="n"/>
      <c r="BN256" s="42" t="n"/>
      <c r="BO256" s="42" t="n"/>
      <c r="BP256" s="42" t="n"/>
      <c r="BQ256" s="42" t="n"/>
      <c r="BR256" s="42" t="n"/>
      <c r="BS256" s="42" t="n"/>
      <c r="BT256" s="42" t="n"/>
      <c r="BU256" s="42" t="n"/>
      <c r="BV256" s="42" t="n"/>
      <c r="BW256" s="42" t="n"/>
      <c r="BX256" s="42" t="n"/>
      <c r="BY256" s="42" t="n"/>
      <c r="BZ256" s="42" t="n"/>
      <c r="CA256" s="42" t="n"/>
      <c r="CB256" s="42" t="n"/>
      <c r="CC256" s="42" t="n"/>
      <c r="CD256" s="42" t="n"/>
      <c r="CE256" s="42" t="n"/>
      <c r="CF256" s="42" t="n"/>
      <c r="CG256" s="42" t="n"/>
      <c r="CH256" s="42" t="n"/>
      <c r="CI256" s="42" t="n"/>
      <c r="CJ256" s="42" t="n"/>
      <c r="CK256" s="42" t="n"/>
      <c r="CL256" s="42" t="n"/>
      <c r="CM256" s="42" t="n"/>
      <c r="CN256" s="42" t="n"/>
      <c r="CO256" s="42" t="n"/>
      <c r="CP256" s="42" t="n"/>
      <c r="CQ256" s="42" t="n"/>
      <c r="CR256" s="42" t="n"/>
      <c r="CS256" s="42" t="n"/>
      <c r="CT256" s="42" t="n"/>
      <c r="CU256" s="42" t="n"/>
      <c r="CV256" s="42" t="n"/>
      <c r="CW256" s="42" t="n"/>
      <c r="CX256" s="42" t="n"/>
      <c r="CY256" s="42" t="n"/>
    </row>
    <row r="257" hidden="1" outlineLevel="1" customFormat="1" s="66">
      <c r="A257" s="37" t="n"/>
      <c r="B257" s="37" t="n"/>
      <c r="C257" s="67" t="inlineStr">
        <is>
          <t>Treasury share $ repurchases</t>
        </is>
      </c>
      <c r="D257" s="42" t="n"/>
      <c r="E257" s="42" t="n"/>
      <c r="F257" s="42" t="n"/>
      <c r="G257" s="42" t="n"/>
      <c r="H257" s="42" t="n"/>
      <c r="I257" s="42" t="n"/>
      <c r="J257" s="42" t="n"/>
      <c r="K257" s="42" t="n"/>
      <c r="L257" s="42" t="n"/>
      <c r="M257" s="42" t="n"/>
      <c r="N257" s="42" t="n"/>
      <c r="O257" s="42" t="n"/>
      <c r="P257" s="42" t="n"/>
      <c r="Q257" s="42" t="n"/>
      <c r="R257" s="42" t="n"/>
      <c r="S257" s="42" t="n"/>
      <c r="T257" s="42" t="n"/>
      <c r="U257" s="42" t="n"/>
      <c r="V257" s="42" t="n"/>
      <c r="W257" s="42" t="n"/>
      <c r="X257" s="42" t="n"/>
      <c r="Y257" s="42" t="n"/>
      <c r="Z257" s="42" t="n"/>
      <c r="AA257" s="42" t="n"/>
      <c r="AB257" s="42" t="n"/>
      <c r="AC257" s="42" t="n"/>
      <c r="AD257" s="42" t="n"/>
      <c r="AE257" s="42" t="n"/>
      <c r="AF257" s="42" t="n"/>
      <c r="AG257" s="42" t="n"/>
      <c r="AH257" s="11" t="n"/>
      <c r="AI257" s="11" t="n"/>
      <c r="AJ257" s="11" t="n"/>
      <c r="AK257" s="11" t="n"/>
      <c r="AL257" s="42" t="n"/>
      <c r="AM257" s="11" t="n"/>
      <c r="AN257" s="11" t="n"/>
      <c r="AO257" s="11" t="n"/>
      <c r="AP257" s="11" t="n"/>
      <c r="AQ257" s="42" t="n"/>
      <c r="AR257" s="11" t="n"/>
      <c r="AS257" s="11" t="n"/>
      <c r="AT257" s="11" t="n"/>
      <c r="AU257" s="11" t="n"/>
      <c r="AV257" s="42" t="n"/>
      <c r="AW257" s="11" t="n"/>
      <c r="AX257" s="11" t="n"/>
      <c r="AY257" s="11" t="n"/>
      <c r="AZ257" s="11" t="n"/>
      <c r="BA257" s="42" t="n"/>
      <c r="BB257" s="11" t="n"/>
      <c r="BC257" s="11" t="n"/>
      <c r="BD257" s="11" t="n"/>
      <c r="BE257" s="11" t="n"/>
      <c r="BF257" s="42" t="n"/>
      <c r="BG257" s="11" t="n"/>
      <c r="BH257" s="11" t="n"/>
      <c r="BI257" s="11" t="n"/>
      <c r="BJ257" s="11" t="n"/>
      <c r="BK257" s="42" t="n"/>
      <c r="BL257" s="11" t="n"/>
      <c r="BM257" s="11" t="n"/>
      <c r="BN257" s="11" t="n"/>
      <c r="BO257" s="11" t="n"/>
      <c r="BP257" s="42" t="n"/>
      <c r="BQ257" s="11" t="n"/>
      <c r="BR257" s="11" t="n"/>
      <c r="BS257" s="11" t="n"/>
      <c r="BT257" s="11" t="n"/>
      <c r="BU257" s="42" t="n"/>
      <c r="BV257" s="11" t="n"/>
      <c r="BW257" s="11" t="n"/>
      <c r="BX257" s="11" t="n"/>
      <c r="BY257" s="11" t="n"/>
      <c r="BZ257" s="42" t="n"/>
      <c r="CA257" s="11" t="n"/>
      <c r="CB257" s="11" t="n"/>
      <c r="CC257" s="11" t="n"/>
      <c r="CD257" s="11" t="n"/>
      <c r="CE257" s="42" t="n"/>
      <c r="CF257" s="11" t="n"/>
      <c r="CG257" s="11" t="n"/>
      <c r="CH257" s="11" t="n"/>
      <c r="CI257" s="11" t="n"/>
      <c r="CJ257" s="42" t="n"/>
      <c r="CK257" s="11" t="n"/>
      <c r="CL257" s="11" t="n"/>
      <c r="CM257" s="11" t="n"/>
      <c r="CN257" s="11" t="n"/>
      <c r="CO257" s="42" t="n"/>
      <c r="CP257" s="11" t="n"/>
      <c r="CQ257" s="11" t="n"/>
      <c r="CR257" s="11" t="n"/>
      <c r="CS257" s="11" t="n"/>
      <c r="CT257" s="42" t="n"/>
      <c r="CU257" s="11" t="n"/>
      <c r="CV257" s="11" t="n"/>
      <c r="CW257" s="11" t="n"/>
      <c r="CX257" s="11" t="n"/>
      <c r="CY257" s="42" t="n"/>
    </row>
    <row r="258" hidden="1" outlineLevel="1" customFormat="1" s="66">
      <c r="A258" s="37" t="n"/>
      <c r="B258" s="37" t="n"/>
      <c r="C258" s="67" t="inlineStr">
        <is>
          <t>Value of shares issued</t>
        </is>
      </c>
      <c r="D258" s="42" t="n"/>
      <c r="E258" s="42" t="n"/>
      <c r="F258" s="42" t="n"/>
      <c r="G258" s="42" t="n"/>
      <c r="H258" s="42" t="n"/>
      <c r="I258" s="42" t="n"/>
      <c r="J258" s="42" t="n"/>
      <c r="K258" s="42" t="n"/>
      <c r="L258" s="42" t="n"/>
      <c r="M258" s="42" t="n"/>
      <c r="N258" s="42" t="n"/>
      <c r="O258" s="42" t="n"/>
      <c r="P258" s="42" t="n"/>
      <c r="Q258" s="42" t="n"/>
      <c r="R258" s="42" t="n"/>
      <c r="S258" s="42" t="n"/>
      <c r="T258" s="42" t="n"/>
      <c r="U258" s="42" t="n"/>
      <c r="V258" s="42" t="n"/>
      <c r="W258" s="42" t="n"/>
      <c r="X258" s="42" t="n"/>
      <c r="Y258" s="42" t="n"/>
      <c r="Z258" s="42" t="n"/>
      <c r="AA258" s="42" t="n"/>
      <c r="AB258" s="42" t="n"/>
      <c r="AC258" s="42" t="n"/>
      <c r="AD258" s="42" t="n"/>
      <c r="AE258" s="42" t="n"/>
      <c r="AF258" s="42" t="n"/>
      <c r="AG258" s="42" t="n"/>
      <c r="AH258" s="11" t="n"/>
      <c r="AI258" s="11" t="n"/>
      <c r="AJ258" s="11" t="n"/>
      <c r="AK258" s="11" t="n"/>
      <c r="AL258" s="42" t="n"/>
      <c r="AM258" s="11" t="n"/>
      <c r="AN258" s="11" t="n"/>
      <c r="AO258" s="11" t="n"/>
      <c r="AP258" s="11" t="n"/>
      <c r="AQ258" s="42" t="n"/>
      <c r="AR258" s="11" t="n"/>
      <c r="AS258" s="11" t="n"/>
      <c r="AT258" s="11" t="n"/>
      <c r="AU258" s="11" t="n"/>
      <c r="AV258" s="42" t="n"/>
      <c r="AW258" s="11" t="n"/>
      <c r="AX258" s="11" t="n"/>
      <c r="AY258" s="11" t="n"/>
      <c r="AZ258" s="11" t="n"/>
      <c r="BA258" s="42" t="n"/>
      <c r="BB258" s="11" t="n"/>
      <c r="BC258" s="11" t="n"/>
      <c r="BD258" s="11" t="n"/>
      <c r="BE258" s="11" t="n"/>
      <c r="BF258" s="42" t="n"/>
      <c r="BG258" s="11" t="n"/>
      <c r="BH258" s="11" t="n"/>
      <c r="BI258" s="11" t="n"/>
      <c r="BJ258" s="11" t="n"/>
      <c r="BK258" s="42" t="n"/>
      <c r="BL258" s="11" t="n"/>
      <c r="BM258" s="11" t="n"/>
      <c r="BN258" s="11" t="n"/>
      <c r="BO258" s="11" t="n"/>
      <c r="BP258" s="42" t="n"/>
      <c r="BQ258" s="11" t="n"/>
      <c r="BR258" s="11" t="n"/>
      <c r="BS258" s="11" t="n"/>
      <c r="BT258" s="11" t="n"/>
      <c r="BU258" s="42" t="n"/>
      <c r="BV258" s="11" t="n"/>
      <c r="BW258" s="11" t="n"/>
      <c r="BX258" s="11" t="n"/>
      <c r="BY258" s="11" t="n"/>
      <c r="BZ258" s="42" t="n"/>
      <c r="CA258" s="11" t="n"/>
      <c r="CB258" s="11" t="n"/>
      <c r="CC258" s="11" t="n"/>
      <c r="CD258" s="11" t="n"/>
      <c r="CE258" s="42" t="n"/>
      <c r="CF258" s="11" t="n"/>
      <c r="CG258" s="11" t="n"/>
      <c r="CH258" s="11" t="n"/>
      <c r="CI258" s="11" t="n"/>
      <c r="CJ258" s="42" t="n"/>
      <c r="CK258" s="11" t="n"/>
      <c r="CL258" s="11" t="n"/>
      <c r="CM258" s="11" t="n"/>
      <c r="CN258" s="11" t="n"/>
      <c r="CO258" s="42" t="n"/>
      <c r="CP258" s="11" t="n"/>
      <c r="CQ258" s="11" t="n"/>
      <c r="CR258" s="11" t="n"/>
      <c r="CS258" s="11" t="n"/>
      <c r="CT258" s="42" t="n"/>
      <c r="CU258" s="11" t="n"/>
      <c r="CV258" s="11" t="n"/>
      <c r="CW258" s="11" t="n"/>
      <c r="CX258" s="11" t="n"/>
      <c r="CY258" s="42" t="n"/>
    </row>
    <row r="259" hidden="1" outlineLevel="1" customFormat="1" s="66">
      <c r="A259" s="37" t="n"/>
      <c r="B259" s="37" t="n"/>
      <c r="C259" s="67" t="inlineStr">
        <is>
          <t>Expected average share price</t>
        </is>
      </c>
      <c r="D259" s="42" t="n"/>
      <c r="E259" s="42" t="n"/>
      <c r="F259" s="42" t="n"/>
      <c r="G259" s="42" t="n"/>
      <c r="H259" s="42" t="n"/>
      <c r="I259" s="42" t="n"/>
      <c r="J259" s="42" t="n"/>
      <c r="K259" s="42" t="n"/>
      <c r="L259" s="42" t="n"/>
      <c r="M259" s="42" t="n"/>
      <c r="N259" s="42" t="n"/>
      <c r="O259" s="42" t="n"/>
      <c r="P259" s="42" t="n"/>
      <c r="Q259" s="42" t="n"/>
      <c r="R259" s="42" t="n"/>
      <c r="S259" s="42" t="n"/>
      <c r="T259" s="42" t="n"/>
      <c r="U259" s="42" t="n"/>
      <c r="V259" s="42" t="n"/>
      <c r="W259" s="42" t="n"/>
      <c r="X259" s="42" t="n"/>
      <c r="Y259" s="42" t="n"/>
      <c r="Z259" s="42" t="n"/>
      <c r="AA259" s="42" t="n"/>
      <c r="AB259" s="42" t="n"/>
      <c r="AC259" s="42" t="n"/>
      <c r="AD259" s="42" t="n"/>
      <c r="AE259" s="42" t="n"/>
      <c r="AF259" s="42" t="n"/>
      <c r="AG259" s="42" t="n"/>
      <c r="AH259" s="68">
        <f>AF259*(1+AH260)</f>
        <v>0</v>
      </c>
      <c r="AI259" s="68">
        <f>AH259*(1+AI260)</f>
        <v>0</v>
      </c>
      <c r="AJ259" s="68">
        <f>AH259*(1+AJ260)</f>
        <v>0</v>
      </c>
      <c r="AK259" s="68">
        <f>AJ259*(1+AK260)</f>
        <v>0</v>
      </c>
      <c r="AL259" s="42" t="n"/>
      <c r="AM259" s="68">
        <f>AK259*(1+AM260)</f>
        <v>0</v>
      </c>
      <c r="AN259" s="68">
        <f>AM259*(1+AN260)</f>
        <v>0</v>
      </c>
      <c r="AO259" s="68">
        <f>AM259*(1+AO260)</f>
        <v>0</v>
      </c>
      <c r="AP259" s="68">
        <f>AO259*(1+AP260)</f>
        <v>0</v>
      </c>
      <c r="AQ259" s="42" t="n"/>
      <c r="AR259" s="68">
        <f>AP259*(1+AR260)</f>
        <v>0</v>
      </c>
      <c r="AS259" s="68">
        <f>AR259*(1+AS260)</f>
        <v>0</v>
      </c>
      <c r="AT259" s="68">
        <f>AR259*(1+AT260)</f>
        <v>0</v>
      </c>
      <c r="AU259" s="68">
        <f>AT259*(1+AU260)</f>
        <v>0</v>
      </c>
      <c r="AV259" s="42" t="n"/>
      <c r="AW259" s="68">
        <f>AU259*(1+AW260)</f>
        <v>0</v>
      </c>
      <c r="AX259" s="68">
        <f>AW259*(1+AX260)</f>
        <v>0</v>
      </c>
      <c r="AY259" s="68">
        <f>AW259*(1+AY260)</f>
        <v>0</v>
      </c>
      <c r="AZ259" s="68">
        <f>AY259*(1+AZ260)</f>
        <v>0</v>
      </c>
      <c r="BA259" s="42" t="n"/>
      <c r="BB259" s="68">
        <f>AZ259*(1+BB260)</f>
        <v>0</v>
      </c>
      <c r="BC259" s="68">
        <f>BB259*(1+BC260)</f>
        <v>0</v>
      </c>
      <c r="BD259" s="68">
        <f>BB259*(1+BD260)</f>
        <v>0</v>
      </c>
      <c r="BE259" s="68">
        <f>BD259*(1+BE260)</f>
        <v>0</v>
      </c>
      <c r="BF259" s="42" t="n"/>
      <c r="BG259" s="68" t="n"/>
      <c r="BH259" s="68" t="n"/>
      <c r="BI259" s="68" t="n"/>
      <c r="BJ259" s="68" t="n"/>
      <c r="BK259" s="42" t="n"/>
      <c r="BL259" s="68" t="n"/>
      <c r="BM259" s="68" t="n"/>
      <c r="BN259" s="68" t="n"/>
      <c r="BO259" s="68" t="n"/>
      <c r="BP259" s="42" t="n"/>
      <c r="BQ259" s="68" t="n"/>
      <c r="BR259" s="68" t="n"/>
      <c r="BS259" s="68" t="n"/>
      <c r="BT259" s="68" t="n"/>
      <c r="BU259" s="42" t="n"/>
      <c r="BV259" s="68" t="n"/>
      <c r="BW259" s="68" t="n"/>
      <c r="BX259" s="68" t="n"/>
      <c r="BY259" s="68" t="n"/>
      <c r="BZ259" s="42" t="n"/>
      <c r="CA259" s="68" t="n"/>
      <c r="CB259" s="68" t="n"/>
      <c r="CC259" s="68" t="n"/>
      <c r="CD259" s="68" t="n"/>
      <c r="CE259" s="42" t="n"/>
      <c r="CF259" s="68" t="n"/>
      <c r="CG259" s="68" t="n"/>
      <c r="CH259" s="68" t="n"/>
      <c r="CI259" s="68" t="n"/>
      <c r="CJ259" s="42" t="n"/>
      <c r="CK259" s="68" t="n"/>
      <c r="CL259" s="68" t="n"/>
      <c r="CM259" s="68" t="n"/>
      <c r="CN259" s="68" t="n"/>
      <c r="CO259" s="42" t="n"/>
      <c r="CP259" s="68" t="n"/>
      <c r="CQ259" s="68" t="n"/>
      <c r="CR259" s="68" t="n"/>
      <c r="CS259" s="68" t="n"/>
      <c r="CT259" s="42" t="n"/>
      <c r="CU259" s="68" t="n"/>
      <c r="CV259" s="68" t="n"/>
      <c r="CW259" s="68" t="n"/>
      <c r="CX259" s="68" t="n"/>
      <c r="CY259" s="42" t="n"/>
    </row>
    <row r="260" hidden="1" outlineLevel="1" customFormat="1" s="66">
      <c r="A260" s="37" t="n"/>
      <c r="B260" s="37" t="n"/>
      <c r="C260" s="67" t="inlineStr">
        <is>
          <t>Consensus EPS growth</t>
        </is>
      </c>
      <c r="D260" s="42" t="n"/>
      <c r="E260" s="42" t="n"/>
      <c r="F260" s="42" t="n"/>
      <c r="G260" s="42" t="n"/>
      <c r="H260" s="42" t="n"/>
      <c r="I260" s="42" t="n"/>
      <c r="J260" s="42" t="n"/>
      <c r="K260" s="42" t="n"/>
      <c r="L260" s="42" t="n"/>
      <c r="M260" s="42" t="n"/>
      <c r="N260" s="42" t="n"/>
      <c r="O260" s="42" t="n"/>
      <c r="P260" s="42" t="n"/>
      <c r="Q260" s="42" t="n"/>
      <c r="R260" s="42" t="n"/>
      <c r="S260" s="42" t="n"/>
      <c r="T260" s="42" t="n"/>
      <c r="U260" s="42" t="n"/>
      <c r="V260" s="42" t="n"/>
      <c r="W260" s="42" t="n"/>
      <c r="X260" s="42" t="n"/>
      <c r="Y260" s="42" t="n"/>
      <c r="Z260" s="42" t="n"/>
      <c r="AA260" s="42" t="n"/>
      <c r="AB260" s="42" t="n"/>
      <c r="AC260" s="42" t="n"/>
      <c r="AD260" s="42" t="n"/>
      <c r="AE260" s="42" t="n"/>
      <c r="AF260" s="42" t="n"/>
      <c r="AG260" s="42" t="n"/>
      <c r="AH260" s="58">
        <f>$AL$265</f>
        <v>0</v>
      </c>
      <c r="AI260" s="58">
        <f>$AL$265</f>
        <v>0</v>
      </c>
      <c r="AJ260" s="58">
        <f>$AL$265</f>
        <v>0</v>
      </c>
      <c r="AK260" s="58">
        <f>$AL$265</f>
        <v>0</v>
      </c>
      <c r="AL260" s="42" t="n"/>
      <c r="AM260" s="58">
        <f>$AL$265</f>
        <v>0</v>
      </c>
      <c r="AN260" s="58">
        <f>$AL$265</f>
        <v>0</v>
      </c>
      <c r="AO260" s="58">
        <f>$AL$265</f>
        <v>0</v>
      </c>
      <c r="AP260" s="58">
        <f>$AL$265</f>
        <v>0</v>
      </c>
      <c r="AQ260" s="42" t="n"/>
      <c r="AR260" s="58">
        <f>$AL$265</f>
        <v>0</v>
      </c>
      <c r="AS260" s="58">
        <f>$AL$265</f>
        <v>0</v>
      </c>
      <c r="AT260" s="58">
        <f>$AL$265</f>
        <v>0</v>
      </c>
      <c r="AU260" s="58">
        <f>$AL$265</f>
        <v>0</v>
      </c>
      <c r="AV260" s="42" t="n"/>
      <c r="AW260" s="58">
        <f>$AL$265</f>
        <v>0</v>
      </c>
      <c r="AX260" s="58">
        <f>$AL$265</f>
        <v>0</v>
      </c>
      <c r="AY260" s="58">
        <f>$AL$265</f>
        <v>0</v>
      </c>
      <c r="AZ260" s="58">
        <f>$AL$265</f>
        <v>0</v>
      </c>
      <c r="BA260" s="42" t="n"/>
      <c r="BB260" s="58">
        <f>$AL$265</f>
        <v>0</v>
      </c>
      <c r="BC260" s="58">
        <f>$AL$265</f>
        <v>0</v>
      </c>
      <c r="BD260" s="58">
        <f>$AL$265</f>
        <v>0</v>
      </c>
      <c r="BE260" s="58">
        <f>$AL$265</f>
        <v>0</v>
      </c>
      <c r="BF260" s="42" t="n"/>
      <c r="BG260" s="58" t="n"/>
      <c r="BH260" s="58" t="n"/>
      <c r="BI260" s="58" t="n"/>
      <c r="BJ260" s="58" t="n"/>
      <c r="BK260" s="42" t="n"/>
      <c r="BL260" s="58" t="n"/>
      <c r="BM260" s="58" t="n"/>
      <c r="BN260" s="58" t="n"/>
      <c r="BO260" s="58" t="n"/>
      <c r="BP260" s="42" t="n"/>
      <c r="BQ260" s="58" t="n"/>
      <c r="BR260" s="58" t="n"/>
      <c r="BS260" s="58" t="n"/>
      <c r="BT260" s="58" t="n"/>
      <c r="BU260" s="42" t="n"/>
      <c r="BV260" s="58" t="n"/>
      <c r="BW260" s="58" t="n"/>
      <c r="BX260" s="58" t="n"/>
      <c r="BY260" s="58" t="n"/>
      <c r="BZ260" s="42" t="n"/>
      <c r="CA260" s="58" t="n"/>
      <c r="CB260" s="58" t="n"/>
      <c r="CC260" s="58" t="n"/>
      <c r="CD260" s="58" t="n"/>
      <c r="CE260" s="42" t="n"/>
      <c r="CF260" s="58" t="n"/>
      <c r="CG260" s="58" t="n"/>
      <c r="CH260" s="58" t="n"/>
      <c r="CI260" s="58" t="n"/>
      <c r="CJ260" s="42" t="n"/>
      <c r="CK260" s="58" t="n"/>
      <c r="CL260" s="58" t="n"/>
      <c r="CM260" s="58" t="n"/>
      <c r="CN260" s="58" t="n"/>
      <c r="CO260" s="42" t="n"/>
      <c r="CP260" s="58" t="n"/>
      <c r="CQ260" s="58" t="n"/>
      <c r="CR260" s="58" t="n"/>
      <c r="CS260" s="58" t="n"/>
      <c r="CT260" s="42" t="n"/>
      <c r="CU260" s="58" t="n"/>
      <c r="CV260" s="58" t="n"/>
      <c r="CW260" s="58" t="n"/>
      <c r="CX260" s="58" t="n"/>
      <c r="CY260" s="42" t="n"/>
    </row>
    <row r="261" hidden="1" outlineLevel="1" customFormat="1" s="66">
      <c r="A261" s="37" t="n"/>
      <c r="B261" s="37" t="n"/>
      <c r="C261" s="67" t="n"/>
      <c r="D261" s="42" t="n"/>
      <c r="E261" s="42" t="n"/>
      <c r="F261" s="42" t="n"/>
      <c r="G261" s="42" t="n"/>
      <c r="H261" s="42" t="n"/>
      <c r="I261" s="42" t="n"/>
      <c r="J261" s="42" t="n"/>
      <c r="K261" s="42" t="n"/>
      <c r="L261" s="42" t="n"/>
      <c r="M261" s="42" t="n"/>
      <c r="N261" s="42" t="n"/>
      <c r="O261" s="42" t="n"/>
      <c r="P261" s="42" t="n"/>
      <c r="Q261" s="42" t="n"/>
      <c r="R261" s="42" t="n"/>
      <c r="S261" s="42" t="n"/>
      <c r="T261" s="42" t="n"/>
      <c r="U261" s="42" t="n"/>
      <c r="V261" s="42" t="n"/>
      <c r="W261" s="42" t="n"/>
      <c r="X261" s="42" t="n"/>
      <c r="Y261" s="42" t="n"/>
      <c r="Z261" s="42" t="n"/>
      <c r="AA261" s="42" t="n"/>
      <c r="AB261" s="42" t="n"/>
      <c r="AC261" s="42" t="n"/>
      <c r="AD261" s="42" t="n"/>
      <c r="AE261" s="42" t="n"/>
      <c r="AF261" s="42" t="n"/>
      <c r="AG261" s="42" t="n"/>
      <c r="AH261" s="12" t="n"/>
      <c r="AI261" s="12" t="n"/>
      <c r="AJ261" s="12" t="n"/>
      <c r="AK261" s="12" t="n"/>
      <c r="AL261" s="42" t="n"/>
      <c r="AM261" s="12" t="n"/>
      <c r="AN261" s="12" t="n"/>
      <c r="AO261" s="12" t="n"/>
      <c r="AP261" s="12" t="n"/>
      <c r="AQ261" s="42" t="n"/>
      <c r="AR261" s="12" t="n"/>
      <c r="AS261" s="12" t="n"/>
      <c r="AT261" s="12" t="n"/>
      <c r="AU261" s="12" t="n"/>
      <c r="AV261" s="42" t="n"/>
      <c r="AW261" s="12" t="n"/>
      <c r="AX261" s="12" t="n"/>
      <c r="AY261" s="12" t="n"/>
      <c r="AZ261" s="12" t="n"/>
      <c r="BA261" s="42" t="n"/>
      <c r="BB261" s="12" t="n"/>
      <c r="BC261" s="12" t="n"/>
      <c r="BD261" s="12" t="n"/>
      <c r="BE261" s="12" t="n"/>
      <c r="BF261" s="42" t="n"/>
      <c r="BG261" s="12" t="n"/>
      <c r="BH261" s="12" t="n"/>
      <c r="BI261" s="12" t="n"/>
      <c r="BJ261" s="12" t="n"/>
      <c r="BK261" s="42" t="n"/>
      <c r="BL261" s="12" t="n"/>
      <c r="BM261" s="12" t="n"/>
      <c r="BN261" s="12" t="n"/>
      <c r="BO261" s="12" t="n"/>
      <c r="BP261" s="42" t="n"/>
      <c r="BQ261" s="12" t="n"/>
      <c r="BR261" s="12" t="n"/>
      <c r="BS261" s="12" t="n"/>
      <c r="BT261" s="12" t="n"/>
      <c r="BU261" s="42" t="n"/>
      <c r="BV261" s="12" t="n"/>
      <c r="BW261" s="12" t="n"/>
      <c r="BX261" s="12" t="n"/>
      <c r="BY261" s="12" t="n"/>
      <c r="BZ261" s="42" t="n"/>
      <c r="CA261" s="12" t="n"/>
      <c r="CB261" s="12" t="n"/>
      <c r="CC261" s="12" t="n"/>
      <c r="CD261" s="12" t="n"/>
      <c r="CE261" s="42" t="n"/>
      <c r="CF261" s="12" t="n"/>
      <c r="CG261" s="12" t="n"/>
      <c r="CH261" s="12" t="n"/>
      <c r="CI261" s="12" t="n"/>
      <c r="CJ261" s="42" t="n"/>
      <c r="CK261" s="12" t="n"/>
      <c r="CL261" s="12" t="n"/>
      <c r="CM261" s="12" t="n"/>
      <c r="CN261" s="12" t="n"/>
      <c r="CO261" s="42" t="n"/>
      <c r="CP261" s="12" t="n"/>
      <c r="CQ261" s="12" t="n"/>
      <c r="CR261" s="12" t="n"/>
      <c r="CS261" s="12" t="n"/>
      <c r="CT261" s="42" t="n"/>
      <c r="CU261" s="12" t="n"/>
      <c r="CV261" s="12" t="n"/>
      <c r="CW261" s="12" t="n"/>
      <c r="CX261" s="12" t="n"/>
      <c r="CY261" s="42" t="n"/>
    </row>
    <row r="262" hidden="1" outlineLevel="1" customFormat="1" s="66">
      <c r="A262" s="37" t="n"/>
      <c r="B262" s="37" t="n"/>
      <c r="C262" s="67" t="inlineStr">
        <is>
          <t>Shares repurchased</t>
        </is>
      </c>
      <c r="D262" s="42" t="n"/>
      <c r="E262" s="42" t="n"/>
      <c r="F262" s="42" t="n"/>
      <c r="G262" s="42" t="n"/>
      <c r="H262" s="42" t="n"/>
      <c r="I262" s="42" t="n"/>
      <c r="J262" s="42" t="n"/>
      <c r="K262" s="42" t="n"/>
      <c r="L262" s="42" t="n"/>
      <c r="M262" s="42" t="n"/>
      <c r="N262" s="42" t="n"/>
      <c r="O262" s="42" t="n"/>
      <c r="P262" s="42" t="n"/>
      <c r="Q262" s="42" t="n"/>
      <c r="R262" s="42" t="n"/>
      <c r="S262" s="42" t="n"/>
      <c r="T262" s="42" t="n"/>
      <c r="U262" s="42" t="n"/>
      <c r="V262" s="42" t="n"/>
      <c r="W262" s="42" t="n"/>
      <c r="X262" s="42" t="n"/>
      <c r="Y262" s="42" t="n"/>
      <c r="Z262" s="42" t="n"/>
      <c r="AA262" s="42" t="n"/>
      <c r="AB262" s="42" t="n"/>
      <c r="AC262" s="42" t="n"/>
      <c r="AD262" s="42" t="n"/>
      <c r="AE262" s="42" t="n"/>
      <c r="AF262" s="42" t="n"/>
      <c r="AG262" s="42" t="n"/>
      <c r="AH262" s="69" t="str">
        <f>IFERROR(-AH257/AH259,"")</f>
        <v/>
      </c>
      <c r="AI262" s="69" t="str">
        <f>IFERROR(-AI257/AI259,"")</f>
        <v/>
      </c>
      <c r="AJ262" s="69" t="str">
        <f>IFERROR(-AJ257/AJ259,"")</f>
        <v/>
      </c>
      <c r="AK262" s="69" t="str">
        <f>IFERROR(-AK257/AK259,"")</f>
        <v/>
      </c>
      <c r="AL262" s="42" t="n"/>
      <c r="AM262" s="69" t="str">
        <f>IFERROR(-AM257/AM259,"")</f>
        <v/>
      </c>
      <c r="AN262" s="69" t="str">
        <f>IFERROR(-AN257/AN259,"")</f>
        <v/>
      </c>
      <c r="AO262" s="69" t="str">
        <f>IFERROR(-AO257/AO259,"")</f>
        <v/>
      </c>
      <c r="AP262" s="69" t="str">
        <f>IFERROR(-AP257/AP259,"")</f>
        <v/>
      </c>
      <c r="AQ262" s="42" t="n"/>
      <c r="AR262" s="69" t="str">
        <f>IFERROR(-AR257/AR259,"")</f>
        <v/>
      </c>
      <c r="AS262" s="69" t="str">
        <f>IFERROR(-AS257/AS259,"")</f>
        <v/>
      </c>
      <c r="AT262" s="69" t="str">
        <f>IFERROR(-AT257/AT259,"")</f>
        <v/>
      </c>
      <c r="AU262" s="69" t="str">
        <f>IFERROR(-AU257/AU259,"")</f>
        <v/>
      </c>
      <c r="AV262" s="42" t="n"/>
      <c r="AW262" s="69" t="str">
        <f>IFERROR(-AW257/AW259,"")</f>
        <v/>
      </c>
      <c r="AX262" s="69" t="str">
        <f>IFERROR(-AX257/AX259,"")</f>
        <v/>
      </c>
      <c r="AY262" s="69" t="str">
        <f>IFERROR(-AY257/AY259,"")</f>
        <v/>
      </c>
      <c r="AZ262" s="69" t="str">
        <f>IFERROR(-AZ257/AZ259,"")</f>
        <v/>
      </c>
      <c r="BA262" s="42" t="n"/>
      <c r="BB262" s="69" t="str">
        <f>IFERROR(-BB257/BB259,"")</f>
        <v/>
      </c>
      <c r="BC262" s="69" t="str">
        <f>IFERROR(-BC257/BC259,"")</f>
        <v/>
      </c>
      <c r="BD262" s="69" t="str">
        <f>IFERROR(-BD257/BD259,"")</f>
        <v/>
      </c>
      <c r="BE262" s="69" t="str">
        <f>IFERROR(-BE257/BE259,"")</f>
        <v/>
      </c>
      <c r="BF262" s="42" t="n"/>
      <c r="BG262" s="69" t="n"/>
      <c r="BH262" s="69" t="n"/>
      <c r="BI262" s="69" t="n"/>
      <c r="BJ262" s="69" t="n"/>
      <c r="BK262" s="42" t="n"/>
      <c r="BL262" s="69" t="n"/>
      <c r="BM262" s="69" t="n"/>
      <c r="BN262" s="69" t="n"/>
      <c r="BO262" s="69" t="n"/>
      <c r="BP262" s="42" t="n"/>
      <c r="BQ262" s="69" t="n"/>
      <c r="BR262" s="69" t="n"/>
      <c r="BS262" s="69" t="n"/>
      <c r="BT262" s="69" t="n"/>
      <c r="BU262" s="42" t="n"/>
      <c r="BV262" s="69" t="n"/>
      <c r="BW262" s="69" t="n"/>
      <c r="BX262" s="69" t="n"/>
      <c r="BY262" s="69" t="n"/>
      <c r="BZ262" s="42" t="n"/>
      <c r="CA262" s="69" t="n"/>
      <c r="CB262" s="69" t="n"/>
      <c r="CC262" s="69" t="n"/>
      <c r="CD262" s="69" t="n"/>
      <c r="CE262" s="42" t="n"/>
      <c r="CF262" s="69" t="n"/>
      <c r="CG262" s="69" t="n"/>
      <c r="CH262" s="69" t="n"/>
      <c r="CI262" s="69" t="n"/>
      <c r="CJ262" s="42" t="n"/>
      <c r="CK262" s="69" t="n"/>
      <c r="CL262" s="69" t="n"/>
      <c r="CM262" s="69" t="n"/>
      <c r="CN262" s="69" t="n"/>
      <c r="CO262" s="42" t="n"/>
      <c r="CP262" s="69" t="n"/>
      <c r="CQ262" s="69" t="n"/>
      <c r="CR262" s="69" t="n"/>
      <c r="CS262" s="69" t="n"/>
      <c r="CT262" s="42" t="n"/>
      <c r="CU262" s="69" t="n"/>
      <c r="CV262" s="69" t="n"/>
      <c r="CW262" s="69" t="n"/>
      <c r="CX262" s="69" t="n"/>
      <c r="CY262" s="42" t="n"/>
    </row>
    <row r="263" hidden="1" outlineLevel="1" customFormat="1" s="66">
      <c r="A263" s="37" t="n"/>
      <c r="B263" s="37" t="n"/>
      <c r="C263" s="67" t="inlineStr">
        <is>
          <t>Shares issued</t>
        </is>
      </c>
      <c r="D263" s="42" t="n"/>
      <c r="E263" s="42" t="n"/>
      <c r="F263" s="42" t="n"/>
      <c r="G263" s="42" t="n"/>
      <c r="H263" s="42" t="n"/>
      <c r="I263" s="42" t="n"/>
      <c r="J263" s="42" t="n"/>
      <c r="K263" s="42" t="n"/>
      <c r="L263" s="42" t="n"/>
      <c r="M263" s="42" t="n"/>
      <c r="N263" s="42" t="n"/>
      <c r="O263" s="42" t="n"/>
      <c r="P263" s="42" t="n"/>
      <c r="Q263" s="42" t="n"/>
      <c r="R263" s="42" t="n"/>
      <c r="S263" s="42" t="n"/>
      <c r="T263" s="42" t="n"/>
      <c r="U263" s="42" t="n"/>
      <c r="V263" s="42" t="n"/>
      <c r="W263" s="42" t="n"/>
      <c r="X263" s="42" t="n"/>
      <c r="Y263" s="42" t="n"/>
      <c r="Z263" s="42" t="n"/>
      <c r="AA263" s="42" t="n"/>
      <c r="AB263" s="42" t="n"/>
      <c r="AC263" s="42" t="n"/>
      <c r="AD263" s="42" t="n"/>
      <c r="AE263" s="42" t="n"/>
      <c r="AF263" s="9" t="n"/>
      <c r="AG263" s="42" t="n"/>
      <c r="AH263" s="69" t="str">
        <f>IFERROR(AH258/AH259,"")</f>
        <v/>
      </c>
      <c r="AI263" s="69" t="str">
        <f>IFERROR(AI258/AI259,"")</f>
        <v/>
      </c>
      <c r="AJ263" s="69" t="str">
        <f>IFERROR(AJ258/AJ259,"")</f>
        <v/>
      </c>
      <c r="AK263" s="69" t="str">
        <f>IFERROR(AK258/AK259,"")</f>
        <v/>
      </c>
      <c r="AL263" s="42" t="n"/>
      <c r="AM263" s="69" t="str">
        <f>IFERROR(AM258/AM259,"")</f>
        <v/>
      </c>
      <c r="AN263" s="69" t="str">
        <f>IFERROR(AN258/AN259,"")</f>
        <v/>
      </c>
      <c r="AO263" s="69" t="str">
        <f>IFERROR(AO258/AO259,"")</f>
        <v/>
      </c>
      <c r="AP263" s="69" t="str">
        <f>IFERROR(AP258/AP259,"")</f>
        <v/>
      </c>
      <c r="AQ263" s="42" t="n"/>
      <c r="AR263" s="69" t="str">
        <f>IFERROR(AR258/AR259,"")</f>
        <v/>
      </c>
      <c r="AS263" s="69" t="str">
        <f>IFERROR(AS258/AS259,"")</f>
        <v/>
      </c>
      <c r="AT263" s="69" t="str">
        <f>IFERROR(AT258/AT259,"")</f>
        <v/>
      </c>
      <c r="AU263" s="69" t="str">
        <f>IFERROR(AU258/AU259,"")</f>
        <v/>
      </c>
      <c r="AV263" s="42" t="n"/>
      <c r="AW263" s="69" t="str">
        <f>IFERROR(AW258/AW259,"")</f>
        <v/>
      </c>
      <c r="AX263" s="69" t="str">
        <f>IFERROR(AX258/AX259,"")</f>
        <v/>
      </c>
      <c r="AY263" s="69" t="str">
        <f>IFERROR(AY258/AY259,"")</f>
        <v/>
      </c>
      <c r="AZ263" s="69" t="str">
        <f>IFERROR(AZ258/AZ259,"")</f>
        <v/>
      </c>
      <c r="BA263" s="42" t="n"/>
      <c r="BB263" s="69" t="str">
        <f>IFERROR(BB258/BB259,"")</f>
        <v/>
      </c>
      <c r="BC263" s="69" t="str">
        <f>IFERROR(BC258/BC259,"")</f>
        <v/>
      </c>
      <c r="BD263" s="69" t="str">
        <f>IFERROR(BD258/BD259,"")</f>
        <v/>
      </c>
      <c r="BE263" s="69" t="str">
        <f>IFERROR(BE258/BE259,"")</f>
        <v/>
      </c>
      <c r="BF263" s="42" t="n"/>
      <c r="BG263" s="69" t="n"/>
      <c r="BH263" s="69" t="n"/>
      <c r="BI263" s="69" t="n"/>
      <c r="BJ263" s="69" t="n"/>
      <c r="BK263" s="42" t="n"/>
      <c r="BL263" s="69" t="n"/>
      <c r="BM263" s="69" t="n"/>
      <c r="BN263" s="69" t="n"/>
      <c r="BO263" s="69" t="n"/>
      <c r="BP263" s="42" t="n"/>
      <c r="BQ263" s="69" t="n"/>
      <c r="BR263" s="69" t="n"/>
      <c r="BS263" s="69" t="n"/>
      <c r="BT263" s="69" t="n"/>
      <c r="BU263" s="42" t="n"/>
      <c r="BV263" s="69" t="n"/>
      <c r="BW263" s="69" t="n"/>
      <c r="BX263" s="69" t="n"/>
      <c r="BY263" s="69" t="n"/>
      <c r="BZ263" s="42" t="n"/>
      <c r="CA263" s="69" t="n"/>
      <c r="CB263" s="69" t="n"/>
      <c r="CC263" s="69" t="n"/>
      <c r="CD263" s="69" t="n"/>
      <c r="CE263" s="42" t="n"/>
      <c r="CF263" s="69" t="n"/>
      <c r="CG263" s="69" t="n"/>
      <c r="CH263" s="69" t="n"/>
      <c r="CI263" s="69" t="n"/>
      <c r="CJ263" s="42" t="n"/>
      <c r="CK263" s="69" t="n"/>
      <c r="CL263" s="69" t="n"/>
      <c r="CM263" s="69" t="n"/>
      <c r="CN263" s="69" t="n"/>
      <c r="CO263" s="42" t="n"/>
      <c r="CP263" s="69" t="n"/>
      <c r="CQ263" s="69" t="n"/>
      <c r="CR263" s="69" t="n"/>
      <c r="CS263" s="69" t="n"/>
      <c r="CT263" s="42" t="n"/>
      <c r="CU263" s="69" t="n"/>
      <c r="CV263" s="69" t="n"/>
      <c r="CW263" s="69" t="n"/>
      <c r="CX263" s="69" t="n"/>
      <c r="CY263" s="42" t="n"/>
    </row>
    <row r="264" hidden="1" outlineLevel="1" customFormat="1" s="66">
      <c r="A264" s="37" t="n"/>
      <c r="B264" s="37" t="n"/>
      <c r="C264" s="67" t="inlineStr">
        <is>
          <t>End of period basic shares outstanding</t>
        </is>
      </c>
      <c r="D264" s="42" t="n"/>
      <c r="E264" s="42" t="n"/>
      <c r="F264" s="42" t="n"/>
      <c r="G264" s="42" t="n"/>
      <c r="H264" s="42" t="n"/>
      <c r="I264" s="42" t="n"/>
      <c r="J264" s="42" t="n"/>
      <c r="K264" s="42" t="n"/>
      <c r="L264" s="42" t="n"/>
      <c r="M264" s="42" t="n"/>
      <c r="N264" s="42" t="n"/>
      <c r="O264" s="42" t="n"/>
      <c r="P264" s="42" t="n"/>
      <c r="Q264" s="42" t="n"/>
      <c r="R264" s="42" t="n"/>
      <c r="S264" s="42" t="n"/>
      <c r="T264" s="42" t="n"/>
      <c r="U264" s="42" t="n"/>
      <c r="V264" s="42" t="n"/>
      <c r="W264" s="42" t="n"/>
      <c r="X264" s="42" t="n"/>
      <c r="Y264" s="42" t="n"/>
      <c r="Z264" s="42" t="n"/>
      <c r="AA264" s="42" t="n"/>
      <c r="AB264" s="42" t="n"/>
      <c r="AC264" s="42" t="n"/>
      <c r="AD264" s="42" t="n"/>
      <c r="AE264" s="42" t="n"/>
      <c r="AF264" s="42" t="n"/>
      <c r="AG264" s="42" t="n"/>
      <c r="AH264" s="3" t="str">
        <f>IFERROR(AG264+AH263-AH262,"")</f>
        <v/>
      </c>
      <c r="AI264" s="3" t="str">
        <f>IFERROR(AH264+AI263-AI262,"")</f>
        <v/>
      </c>
      <c r="AJ264" s="69" t="str">
        <f>IFERROR(AH264+AJ263-AJ262,"")</f>
        <v/>
      </c>
      <c r="AK264" s="69" t="str">
        <f>IFERROR(AJ264+AK263-AK262,"")</f>
        <v/>
      </c>
      <c r="AL264" s="42" t="n"/>
      <c r="AM264" s="3" t="str">
        <f>IFERROR(AK264+AM263-AM262,"")</f>
        <v/>
      </c>
      <c r="AN264" s="3" t="str">
        <f>IFERROR(AM264+AN263-AN262,"")</f>
        <v/>
      </c>
      <c r="AO264" s="69" t="str">
        <f>IFERROR(AM264+AO263-AO262,"")</f>
        <v/>
      </c>
      <c r="AP264" s="69" t="str">
        <f>IFERROR(AO264+AP263-AP262,"")</f>
        <v/>
      </c>
      <c r="AQ264" s="42" t="n"/>
      <c r="AR264" s="3" t="str">
        <f>IFERROR(AP264+AR263-AR262,"")</f>
        <v/>
      </c>
      <c r="AS264" s="3" t="str">
        <f>IFERROR(AR264+AS263-AS262,"")</f>
        <v/>
      </c>
      <c r="AT264" s="69" t="str">
        <f>IFERROR(AR264+AT263-AT262,"")</f>
        <v/>
      </c>
      <c r="AU264" s="69" t="str">
        <f>IFERROR(AT264+AU263-AU262,"")</f>
        <v/>
      </c>
      <c r="AV264" s="42" t="n"/>
      <c r="AW264" s="3" t="str">
        <f>IFERROR(AU264+AW263-AW262,"")</f>
        <v/>
      </c>
      <c r="AX264" s="3" t="str">
        <f>IFERROR(AW264+AX263-AX262,"")</f>
        <v/>
      </c>
      <c r="AY264" s="69" t="str">
        <f>IFERROR(AW264+AY263-AY262,"")</f>
        <v/>
      </c>
      <c r="AZ264" s="69" t="str">
        <f>IFERROR(AY264+AZ263-AZ262,"")</f>
        <v/>
      </c>
      <c r="BA264" s="42" t="n"/>
      <c r="BB264" s="3" t="str">
        <f>IFERROR(AZ264+BB263-BB262,"")</f>
        <v/>
      </c>
      <c r="BC264" s="3" t="str">
        <f>IFERROR(BB264+BC263-BC262,"")</f>
        <v/>
      </c>
      <c r="BD264" s="69" t="str">
        <f>IFERROR(BB264+BD263-BD262,"")</f>
        <v/>
      </c>
      <c r="BE264" s="69" t="str">
        <f>IFERROR(BD264+BE263-BE262,"")</f>
        <v/>
      </c>
      <c r="BF264" s="42" t="n"/>
      <c r="BG264" s="3" t="n"/>
      <c r="BH264" s="3" t="n"/>
      <c r="BI264" s="69" t="n"/>
      <c r="BJ264" s="69" t="n"/>
      <c r="BK264" s="42" t="n"/>
      <c r="BL264" s="3" t="n"/>
      <c r="BM264" s="3" t="n"/>
      <c r="BN264" s="69" t="n"/>
      <c r="BO264" s="69" t="n"/>
      <c r="BP264" s="42" t="n"/>
      <c r="BQ264" s="3" t="n"/>
      <c r="BR264" s="3" t="n"/>
      <c r="BS264" s="69" t="n"/>
      <c r="BT264" s="69" t="n"/>
      <c r="BU264" s="42" t="n"/>
      <c r="BV264" s="3" t="n"/>
      <c r="BW264" s="3" t="n"/>
      <c r="BX264" s="69" t="n"/>
      <c r="BY264" s="69" t="n"/>
      <c r="BZ264" s="42" t="n"/>
      <c r="CA264" s="3" t="n"/>
      <c r="CB264" s="3" t="n"/>
      <c r="CC264" s="69" t="n"/>
      <c r="CD264" s="69" t="n"/>
      <c r="CE264" s="42" t="n"/>
      <c r="CF264" s="3" t="n"/>
      <c r="CG264" s="3" t="n"/>
      <c r="CH264" s="69" t="n"/>
      <c r="CI264" s="69" t="n"/>
      <c r="CJ264" s="42" t="n"/>
      <c r="CK264" s="3" t="n"/>
      <c r="CL264" s="3" t="n"/>
      <c r="CM264" s="69" t="n"/>
      <c r="CN264" s="69" t="n"/>
      <c r="CO264" s="42" t="n"/>
      <c r="CP264" s="3" t="n"/>
      <c r="CQ264" s="3" t="n"/>
      <c r="CR264" s="69" t="n"/>
      <c r="CS264" s="69" t="n"/>
      <c r="CT264" s="42" t="n"/>
      <c r="CU264" s="3" t="n"/>
      <c r="CV264" s="3" t="n"/>
      <c r="CW264" s="69" t="n"/>
      <c r="CX264" s="69" t="n"/>
      <c r="CY264" s="42" t="n"/>
    </row>
    <row r="265" hidden="1" outlineLevel="1" customFormat="1" s="66">
      <c r="A265" s="37" t="n"/>
      <c r="B265" s="37" t="n"/>
      <c r="C265" s="67" t="inlineStr">
        <is>
          <t>Weighted average basic shares outstanding</t>
        </is>
      </c>
      <c r="D265" s="42" t="n"/>
      <c r="E265" s="42" t="n"/>
      <c r="F265" s="42" t="n"/>
      <c r="G265" s="42" t="n"/>
      <c r="H265" s="42" t="n"/>
      <c r="I265" s="42" t="n"/>
      <c r="J265" s="42" t="n"/>
      <c r="K265" s="42" t="n"/>
      <c r="L265" s="42" t="n"/>
      <c r="M265" s="42" t="n"/>
      <c r="N265" s="42" t="n"/>
      <c r="O265" s="42" t="n"/>
      <c r="P265" s="42" t="n"/>
      <c r="Q265" s="42" t="n"/>
      <c r="R265" s="42" t="n"/>
      <c r="S265" s="42" t="n"/>
      <c r="T265" s="42" t="n"/>
      <c r="U265" s="42" t="n"/>
      <c r="V265" s="42" t="n"/>
      <c r="W265" s="42" t="n"/>
      <c r="X265" s="42" t="n"/>
      <c r="Y265" s="42" t="n"/>
      <c r="Z265" s="42" t="n"/>
      <c r="AA265" s="42" t="n"/>
      <c r="AB265" s="42" t="n"/>
      <c r="AC265" s="42" t="n"/>
      <c r="AD265" s="42" t="n"/>
      <c r="AE265" s="42" t="n"/>
      <c r="AF265" s="42" t="n"/>
      <c r="AG265" s="42" t="n"/>
      <c r="AH265" s="69" t="str">
        <f>IFERROR(AVERAGE(AG264,AH264),"")</f>
        <v/>
      </c>
      <c r="AI265" s="69" t="str">
        <f>IFERROR(AVERAGE(AH264,AI264),"")</f>
        <v/>
      </c>
      <c r="AJ265" s="69" t="str">
        <f>IFERROR(AVERAGE(AH264,AJ264),"")</f>
        <v/>
      </c>
      <c r="AK265" s="69" t="str">
        <f>IFERROR(AVERAGE(AJ264,AK264),"")</f>
        <v/>
      </c>
      <c r="AL265" s="42" t="n"/>
      <c r="AM265" s="69" t="str">
        <f>IFERROR(AVERAGE(AL264,AM264),"")</f>
        <v/>
      </c>
      <c r="AN265" s="69" t="str">
        <f>IFERROR(AVERAGE(AM264,AN264),"")</f>
        <v/>
      </c>
      <c r="AO265" s="69" t="str">
        <f>IFERROR(AVERAGE(AM264,AO264),"")</f>
        <v/>
      </c>
      <c r="AP265" s="69" t="str">
        <f>IFERROR(AVERAGE(AO264,AP264),"")</f>
        <v/>
      </c>
      <c r="AQ265" s="42" t="n"/>
      <c r="AR265" s="69" t="str">
        <f>IFERROR(AVERAGE(AQ264,AR264),"")</f>
        <v/>
      </c>
      <c r="AS265" s="69" t="str">
        <f>IFERROR(AVERAGE(AR264,AS264),"")</f>
        <v/>
      </c>
      <c r="AT265" s="69" t="str">
        <f>IFERROR(AVERAGE(AR264,AT264),"")</f>
        <v/>
      </c>
      <c r="AU265" s="69" t="str">
        <f>IFERROR(AVERAGE(AT264,AU264),"")</f>
        <v/>
      </c>
      <c r="AV265" s="42" t="n"/>
      <c r="AW265" s="69" t="str">
        <f>IFERROR(AVERAGE(AV264,AW264),"")</f>
        <v/>
      </c>
      <c r="AX265" s="69" t="str">
        <f>IFERROR(AVERAGE(AW264,AX264),"")</f>
        <v/>
      </c>
      <c r="AY265" s="69" t="str">
        <f>IFERROR(AVERAGE(AW264,AY264),"")</f>
        <v/>
      </c>
      <c r="AZ265" s="69" t="str">
        <f>IFERROR(AVERAGE(AY264,AZ264),"")</f>
        <v/>
      </c>
      <c r="BA265" s="42" t="n"/>
      <c r="BB265" s="69" t="str">
        <f>IFERROR(AVERAGE(BA264,BB264),"")</f>
        <v/>
      </c>
      <c r="BC265" s="69" t="str">
        <f>IFERROR(AVERAGE(BB264,BC264),"")</f>
        <v/>
      </c>
      <c r="BD265" s="69" t="str">
        <f>IFERROR(AVERAGE(BB264,BD264),"")</f>
        <v/>
      </c>
      <c r="BE265" s="69" t="str">
        <f>IFERROR(AVERAGE(BD264,BE264),"")</f>
        <v/>
      </c>
      <c r="BF265" s="42" t="n"/>
      <c r="BG265" s="69" t="n"/>
      <c r="BH265" s="69" t="n"/>
      <c r="BI265" s="69" t="n"/>
      <c r="BJ265" s="69" t="n"/>
      <c r="BK265" s="42" t="n"/>
      <c r="BL265" s="69" t="n"/>
      <c r="BM265" s="69" t="n"/>
      <c r="BN265" s="69" t="n"/>
      <c r="BO265" s="69" t="n"/>
      <c r="BP265" s="42" t="n"/>
      <c r="BQ265" s="69" t="n"/>
      <c r="BR265" s="69" t="n"/>
      <c r="BS265" s="69" t="n"/>
      <c r="BT265" s="69" t="n"/>
      <c r="BU265" s="42" t="n"/>
      <c r="BV265" s="69" t="n"/>
      <c r="BW265" s="69" t="n"/>
      <c r="BX265" s="69" t="n"/>
      <c r="BY265" s="69" t="n"/>
      <c r="BZ265" s="42" t="n"/>
      <c r="CA265" s="69" t="n"/>
      <c r="CB265" s="69" t="n"/>
      <c r="CC265" s="69" t="n"/>
      <c r="CD265" s="69" t="n"/>
      <c r="CE265" s="42" t="n"/>
      <c r="CF265" s="69" t="n"/>
      <c r="CG265" s="69" t="n"/>
      <c r="CH265" s="69" t="n"/>
      <c r="CI265" s="69" t="n"/>
      <c r="CJ265" s="42" t="n"/>
      <c r="CK265" s="69" t="n"/>
      <c r="CL265" s="69" t="n"/>
      <c r="CM265" s="69" t="n"/>
      <c r="CN265" s="69" t="n"/>
      <c r="CO265" s="42" t="n"/>
      <c r="CP265" s="69" t="n"/>
      <c r="CQ265" s="69" t="n"/>
      <c r="CR265" s="69" t="n"/>
      <c r="CS265" s="69" t="n"/>
      <c r="CT265" s="42" t="n"/>
      <c r="CU265" s="69" t="n"/>
      <c r="CV265" s="69" t="n"/>
      <c r="CW265" s="69" t="n"/>
      <c r="CX265" s="69" t="n"/>
      <c r="CY265" s="42" t="n"/>
    </row>
    <row r="266" hidden="1" outlineLevel="1" customFormat="1" s="66">
      <c r="A266" s="37" t="n"/>
      <c r="B266" s="37" t="n"/>
      <c r="C266" s="67" t="n"/>
      <c r="D266" s="42" t="n"/>
      <c r="E266" s="42" t="n"/>
      <c r="F266" s="42" t="n"/>
      <c r="G266" s="42" t="n"/>
      <c r="H266" s="12" t="n"/>
      <c r="I266" s="42" t="n"/>
      <c r="J266" s="42" t="n"/>
      <c r="K266" s="42" t="n"/>
      <c r="L266" s="42" t="n"/>
      <c r="M266" s="12" t="n"/>
      <c r="N266" s="42" t="n"/>
      <c r="O266" s="42" t="n"/>
      <c r="P266" s="42" t="n"/>
      <c r="Q266" s="42" t="n"/>
      <c r="R266" s="12" t="n"/>
      <c r="S266" s="42" t="n"/>
      <c r="T266" s="42" t="n"/>
      <c r="U266" s="42" t="n"/>
      <c r="V266" s="42" t="n"/>
      <c r="W266" s="12" t="n"/>
      <c r="X266" s="42" t="n"/>
      <c r="Y266" s="42" t="n"/>
      <c r="Z266" s="42" t="n"/>
      <c r="AA266" s="42" t="n"/>
      <c r="AB266" s="12" t="n"/>
      <c r="AC266" s="42" t="n"/>
      <c r="AD266" s="42" t="n"/>
      <c r="AE266" s="42" t="n"/>
      <c r="AF266" s="42" t="n"/>
      <c r="AG266" s="12" t="n"/>
      <c r="AH266" s="42" t="n"/>
      <c r="AI266" s="42" t="n"/>
      <c r="AJ266" s="42" t="n"/>
      <c r="AK266" s="42" t="n"/>
      <c r="AL266" s="12" t="n"/>
      <c r="AM266" s="42" t="n"/>
      <c r="AN266" s="42" t="n"/>
      <c r="AO266" s="42" t="n"/>
      <c r="AP266" s="42" t="n"/>
      <c r="AQ266" s="12" t="n"/>
      <c r="AR266" s="42" t="n"/>
      <c r="AS266" s="42" t="n"/>
      <c r="AT266" s="42" t="n"/>
      <c r="AU266" s="42" t="n"/>
      <c r="AV266" s="12" t="n"/>
      <c r="AW266" s="42" t="n"/>
      <c r="AX266" s="42" t="n"/>
      <c r="AY266" s="42" t="n"/>
      <c r="AZ266" s="42" t="n"/>
      <c r="BA266" s="12" t="n"/>
      <c r="BB266" s="42" t="n"/>
      <c r="BC266" s="42" t="n"/>
      <c r="BD266" s="42" t="n"/>
      <c r="BE266" s="42" t="n"/>
      <c r="BF266" s="12" t="n"/>
      <c r="BG266" s="42" t="n"/>
      <c r="BH266" s="42" t="n"/>
      <c r="BI266" s="42" t="n"/>
      <c r="BJ266" s="42" t="n"/>
      <c r="BK266" s="12" t="n"/>
      <c r="BL266" s="42" t="n"/>
      <c r="BM266" s="42" t="n"/>
      <c r="BN266" s="42" t="n"/>
      <c r="BO266" s="42" t="n"/>
      <c r="BP266" s="12" t="n"/>
      <c r="BQ266" s="42" t="n"/>
      <c r="BR266" s="42" t="n"/>
      <c r="BS266" s="42" t="n"/>
      <c r="BT266" s="42" t="n"/>
      <c r="BU266" s="12" t="n"/>
      <c r="BV266" s="42" t="n"/>
      <c r="BW266" s="42" t="n"/>
      <c r="BX266" s="42" t="n"/>
      <c r="BY266" s="42" t="n"/>
      <c r="BZ266" s="12" t="n"/>
      <c r="CA266" s="42" t="n"/>
      <c r="CB266" s="42" t="n"/>
      <c r="CC266" s="42" t="n"/>
      <c r="CD266" s="42" t="n"/>
      <c r="CE266" s="12" t="n"/>
      <c r="CF266" s="42" t="n"/>
      <c r="CG266" s="42" t="n"/>
      <c r="CH266" s="42" t="n"/>
      <c r="CI266" s="42" t="n"/>
      <c r="CJ266" s="12" t="n"/>
      <c r="CK266" s="42" t="n"/>
      <c r="CL266" s="42" t="n"/>
      <c r="CM266" s="42" t="n"/>
      <c r="CN266" s="42" t="n"/>
      <c r="CO266" s="12" t="n"/>
      <c r="CP266" s="42" t="n"/>
      <c r="CQ266" s="42" t="n"/>
      <c r="CR266" s="42" t="n"/>
      <c r="CS266" s="42" t="n"/>
      <c r="CT266" s="12" t="n"/>
      <c r="CU266" s="42" t="n"/>
      <c r="CV266" s="42" t="n"/>
      <c r="CW266" s="42" t="n"/>
      <c r="CX266" s="42" t="n"/>
      <c r="CY266" s="12" t="n"/>
    </row>
    <row r="267" collapsed="1">
      <c r="C267" s="14" t="inlineStr">
        <is>
          <t>Treasury stock (contra account)</t>
        </is>
      </c>
      <c r="D267" s="46" t="n"/>
      <c r="E267" s="46" t="n"/>
      <c r="F267" s="46" t="n"/>
      <c r="G267" s="46" t="n"/>
      <c r="H267" s="12" t="n"/>
      <c r="I267" s="46">
        <f>'Inputs (2)'!D44</f>
        <v>-68.856</v>
      </c>
      <c r="J267" s="46">
        <f>'Inputs (2)'!E44</f>
        <v>-43.907</v>
      </c>
      <c r="K267" s="46">
        <f>'Inputs (2)'!F44</f>
        <v>-45.737</v>
      </c>
      <c r="L267" s="46">
        <f>'Inputs (2)'!G44</f>
        <v>-7.36</v>
      </c>
      <c r="M267" s="12">
        <f>'Inputs (2)'!H44</f>
        <v>-7.36</v>
      </c>
      <c r="N267" s="46">
        <f>'Inputs (2)'!I44</f>
        <v>-5.407</v>
      </c>
      <c r="O267" s="46">
        <f>'Inputs (2)'!J44</f>
        <v>-10.946</v>
      </c>
      <c r="P267" s="46">
        <f>'Inputs (2)'!K44</f>
        <v>-9.749</v>
      </c>
      <c r="Q267" s="46">
        <f>'Inputs (2)'!L44</f>
        <v>-9.749</v>
      </c>
      <c r="R267" s="12">
        <f>'Inputs (2)'!M44</f>
        <v>-9.749</v>
      </c>
      <c r="S267" s="46">
        <f>'Inputs (2)'!N44</f>
        <v>-9.749</v>
      </c>
      <c r="T267" s="46">
        <f>'Inputs (2)'!O44</f>
        <v>-7.748</v>
      </c>
      <c r="U267" s="46">
        <f>'Inputs (2)'!P44</f>
        <v>-7.748</v>
      </c>
      <c r="V267" s="46">
        <f>'Inputs (2)'!Q44</f>
        <v>-7.748</v>
      </c>
      <c r="W267" s="12">
        <f>'Inputs (2)'!R44</f>
        <v>-7.748</v>
      </c>
      <c r="X267" s="46">
        <f>'Inputs (2)'!S44</f>
        <v>-2.301</v>
      </c>
      <c r="Y267" s="46">
        <f>'Inputs (2)'!T44</f>
        <v>-2.301</v>
      </c>
      <c r="Z267" s="46">
        <f>'Inputs (2)'!U44</f>
        <v>-2.301</v>
      </c>
      <c r="AA267" s="46">
        <f>'Inputs (2)'!V44</f>
        <v>-9.536</v>
      </c>
      <c r="AB267" s="12">
        <f>'Inputs (2)'!W44</f>
        <v>-9.536</v>
      </c>
      <c r="AC267" s="46">
        <f>'Inputs (2)'!X44</f>
        <v>-4.065</v>
      </c>
      <c r="AD267" s="46">
        <f>'Inputs (2)'!Y44</f>
        <v>-4.065</v>
      </c>
      <c r="AE267" s="46">
        <f>'Inputs (2)'!Z44</f>
        <v>-8.042</v>
      </c>
      <c r="AF267" s="46">
        <f>'Inputs (2)'!AA44</f>
        <v>-22.571</v>
      </c>
      <c r="AG267" s="12">
        <f>'Inputs (2)'!AB44</f>
        <v>-22.571</v>
      </c>
      <c r="AH267" s="12">
        <f>'Inputs (2)'!AC44</f>
        <v>-2.141</v>
      </c>
      <c r="AI267" s="12">
        <f>'Inputs (2)'!AD44</f>
        <v>-6.583</v>
      </c>
      <c r="AJ267" s="12">
        <f>AI267</f>
        <v>-6.583</v>
      </c>
      <c r="AK267" s="12">
        <f>AJ267</f>
        <v>-6.583</v>
      </c>
      <c r="AL267" s="12">
        <f>AK267</f>
        <v>-6.583</v>
      </c>
      <c r="AM267" s="12">
        <f>AL267</f>
        <v>-6.583</v>
      </c>
      <c r="AN267" s="12">
        <f>AM267</f>
        <v>-6.583</v>
      </c>
      <c r="AO267" s="12">
        <f>AN267</f>
        <v>-6.583</v>
      </c>
      <c r="AP267" s="12">
        <f>AO267</f>
        <v>-6.583</v>
      </c>
      <c r="AQ267" s="12">
        <f>AP267</f>
        <v>-6.583</v>
      </c>
      <c r="AR267" s="12">
        <f>AQ267</f>
        <v>-6.583</v>
      </c>
      <c r="AS267" s="12">
        <f>AR267</f>
        <v>-6.583</v>
      </c>
      <c r="AT267" s="12">
        <f>AS267</f>
        <v>-6.583</v>
      </c>
      <c r="AU267" s="12">
        <f>AT267</f>
        <v>-6.583</v>
      </c>
      <c r="AV267" s="12">
        <f>AU267</f>
        <v>-6.583</v>
      </c>
      <c r="AW267" s="12">
        <f>AV267</f>
        <v>-6.583</v>
      </c>
      <c r="AX267" s="12">
        <f>AW267</f>
        <v>-6.583</v>
      </c>
      <c r="AY267" s="12">
        <f>AX267</f>
        <v>-6.583</v>
      </c>
      <c r="AZ267" s="12">
        <f>AY267</f>
        <v>-6.583</v>
      </c>
      <c r="BA267" s="12">
        <f>AZ267</f>
        <v>-6.583</v>
      </c>
      <c r="BB267" s="12">
        <f>BA267</f>
        <v>-6.583</v>
      </c>
      <c r="BC267" s="12">
        <f>BB267</f>
        <v>-6.583</v>
      </c>
      <c r="BD267" s="12">
        <f>BC267</f>
        <v>-6.583</v>
      </c>
      <c r="BE267" s="12">
        <f>BD267</f>
        <v>-6.583</v>
      </c>
      <c r="BF267" s="12">
        <f>BE267</f>
        <v>-6.583</v>
      </c>
      <c r="BG267" s="12" t="n"/>
      <c r="BH267" s="12" t="n"/>
      <c r="BI267" s="12" t="n"/>
      <c r="BJ267" s="12" t="n"/>
      <c r="BK267" s="12" t="n"/>
      <c r="BL267" s="12" t="n"/>
      <c r="BM267" s="12" t="n"/>
      <c r="BN267" s="12" t="n"/>
      <c r="BO267" s="12" t="n"/>
      <c r="BP267" s="12" t="n"/>
      <c r="BQ267" s="12" t="n"/>
      <c r="BR267" s="12" t="n"/>
      <c r="BS267" s="12" t="n"/>
      <c r="BT267" s="12" t="n"/>
      <c r="BU267" s="12" t="n"/>
      <c r="BV267" s="12" t="n"/>
      <c r="BW267" s="12" t="n"/>
      <c r="BX267" s="12" t="n"/>
      <c r="BY267" s="12" t="n"/>
      <c r="BZ267" s="12" t="n"/>
      <c r="CA267" s="12" t="n"/>
      <c r="CB267" s="12" t="n"/>
      <c r="CC267" s="12" t="n"/>
      <c r="CD267" s="12" t="n"/>
      <c r="CE267" s="12" t="n"/>
      <c r="CF267" s="12" t="n"/>
      <c r="CG267" s="12" t="n"/>
      <c r="CH267" s="12" t="n"/>
      <c r="CI267" s="12" t="n"/>
      <c r="CJ267" s="12" t="n"/>
      <c r="CK267" s="12" t="n"/>
      <c r="CL267" s="12" t="n"/>
      <c r="CM267" s="12" t="n"/>
      <c r="CN267" s="12" t="n"/>
      <c r="CO267" s="12" t="n"/>
      <c r="CP267" s="12" t="n"/>
      <c r="CQ267" s="12" t="n"/>
      <c r="CR267" s="12" t="n"/>
      <c r="CS267" s="12" t="n"/>
      <c r="CT267" s="12" t="n"/>
      <c r="CU267" s="12" t="n"/>
      <c r="CV267" s="12" t="n"/>
      <c r="CW267" s="12" t="n"/>
      <c r="CX267" s="12" t="n"/>
      <c r="CY267" s="12" t="n"/>
    </row>
    <row r="268">
      <c r="C268" s="14" t="inlineStr">
        <is>
          <t>Comprehensive (accumulated) loss</t>
        </is>
      </c>
      <c r="D268" s="46" t="n"/>
      <c r="E268" s="46" t="n"/>
      <c r="F268" s="46" t="n"/>
      <c r="G268" s="46" t="n"/>
      <c r="H268" s="12" t="n"/>
      <c r="I268" s="46">
        <f>'Inputs (2)'!D45</f>
        <v>-18.47</v>
      </c>
      <c r="J268" s="46">
        <f>'Inputs (2)'!E45</f>
        <v>-18.47</v>
      </c>
      <c r="K268" s="46">
        <f>'Inputs (2)'!F45</f>
        <v>-19.108</v>
      </c>
      <c r="L268" s="46">
        <f>'Inputs (2)'!G45</f>
        <v>-29.847</v>
      </c>
      <c r="M268" s="12">
        <f>'Inputs (2)'!H45</f>
        <v>-29.847</v>
      </c>
      <c r="N268" s="46">
        <f>'Inputs (2)'!I45</f>
        <v>-29.685</v>
      </c>
      <c r="O268" s="46">
        <f>'Inputs (2)'!J45</f>
        <v>-30.208</v>
      </c>
      <c r="P268" s="46">
        <f>'Inputs (2)'!K45</f>
        <v>-30.296</v>
      </c>
      <c r="Q268" s="46">
        <f>'Inputs (2)'!L45</f>
        <v>-31.88</v>
      </c>
      <c r="R268" s="12">
        <f>'Inputs (2)'!M45</f>
        <v>-31.88</v>
      </c>
      <c r="S268" s="46">
        <f>'Inputs (2)'!N45</f>
        <v>0</v>
      </c>
      <c r="T268" s="46">
        <f>'Inputs (2)'!O45</f>
        <v>0</v>
      </c>
      <c r="U268" s="46">
        <f>'Inputs (2)'!P45</f>
        <v>0</v>
      </c>
      <c r="V268" s="46">
        <f>'Inputs (2)'!Q45</f>
        <v>-31.76</v>
      </c>
      <c r="W268" s="12">
        <f>'Inputs (2)'!R45</f>
        <v>-31.76</v>
      </c>
      <c r="X268" s="46">
        <f>'Inputs (2)'!S45</f>
        <v>0</v>
      </c>
      <c r="Y268" s="46">
        <f>'Inputs (2)'!T45</f>
        <v>0</v>
      </c>
      <c r="Z268" s="46">
        <f>'Inputs (2)'!U45</f>
        <v>0</v>
      </c>
      <c r="AA268" s="46">
        <f>'Inputs (2)'!V45</f>
        <v>-31.759</v>
      </c>
      <c r="AB268" s="12">
        <f>'Inputs (2)'!W45</f>
        <v>-31.759</v>
      </c>
      <c r="AC268" s="46">
        <f>'Inputs (2)'!X45</f>
        <v>-33.268</v>
      </c>
      <c r="AD268" s="46">
        <f>'Inputs (2)'!Y45</f>
        <v>151.699</v>
      </c>
      <c r="AE268" s="46">
        <f>'Inputs (2)'!Z45</f>
        <v>167.444</v>
      </c>
      <c r="AF268" s="46">
        <f>'Inputs (2)'!AA45</f>
        <v>238.956</v>
      </c>
      <c r="AG268" s="12">
        <f>'Inputs (2)'!AB45</f>
        <v>238.956</v>
      </c>
      <c r="AH268" s="12">
        <f>'Inputs (2)'!AC45</f>
        <v>235.951</v>
      </c>
      <c r="AI268" s="12">
        <f>'Inputs (2)'!AD45</f>
        <v>235.951</v>
      </c>
      <c r="AJ268" s="12">
        <f>AI268</f>
        <v>235.951</v>
      </c>
      <c r="AK268" s="12">
        <f>AJ268</f>
        <v>235.951</v>
      </c>
      <c r="AL268" s="12">
        <f>AK268</f>
        <v>235.951</v>
      </c>
      <c r="AM268" s="12">
        <f>AL268</f>
        <v>235.951</v>
      </c>
      <c r="AN268" s="12">
        <f>AM268</f>
        <v>235.951</v>
      </c>
      <c r="AO268" s="12">
        <f>AN268</f>
        <v>235.951</v>
      </c>
      <c r="AP268" s="12">
        <f>AO268</f>
        <v>235.951</v>
      </c>
      <c r="AQ268" s="12">
        <f>AP268</f>
        <v>235.951</v>
      </c>
      <c r="AR268" s="12">
        <f>AQ268</f>
        <v>235.951</v>
      </c>
      <c r="AS268" s="12">
        <f>AR268</f>
        <v>235.951</v>
      </c>
      <c r="AT268" s="12">
        <f>AS268</f>
        <v>235.951</v>
      </c>
      <c r="AU268" s="12">
        <f>AT268</f>
        <v>235.951</v>
      </c>
      <c r="AV268" s="12">
        <f>AU268</f>
        <v>235.951</v>
      </c>
      <c r="AW268" s="12">
        <f>AV268</f>
        <v>235.951</v>
      </c>
      <c r="AX268" s="12">
        <f>AW268</f>
        <v>235.951</v>
      </c>
      <c r="AY268" s="12">
        <f>AX268</f>
        <v>235.951</v>
      </c>
      <c r="AZ268" s="12">
        <f>AY268</f>
        <v>235.951</v>
      </c>
      <c r="BA268" s="12">
        <f>AZ268</f>
        <v>235.951</v>
      </c>
      <c r="BB268" s="12">
        <f>BA268</f>
        <v>235.951</v>
      </c>
      <c r="BC268" s="12">
        <f>BB268</f>
        <v>235.951</v>
      </c>
      <c r="BD268" s="12">
        <f>BC268</f>
        <v>235.951</v>
      </c>
      <c r="BE268" s="12">
        <f>BD268</f>
        <v>235.951</v>
      </c>
      <c r="BF268" s="12">
        <f>BE268</f>
        <v>235.951</v>
      </c>
      <c r="BG268" s="12" t="n"/>
      <c r="BH268" s="12" t="n"/>
      <c r="BI268" s="12" t="n"/>
      <c r="BJ268" s="12" t="n"/>
      <c r="BK268" s="12" t="n"/>
      <c r="BL268" s="12" t="n"/>
      <c r="BM268" s="12" t="n"/>
      <c r="BN268" s="12" t="n"/>
      <c r="BO268" s="12" t="n"/>
      <c r="BP268" s="12" t="n"/>
      <c r="BQ268" s="12" t="n"/>
      <c r="BR268" s="12" t="n"/>
      <c r="BS268" s="12" t="n"/>
      <c r="BT268" s="12" t="n"/>
      <c r="BU268" s="12" t="n"/>
      <c r="BV268" s="12" t="n"/>
      <c r="BW268" s="12" t="n"/>
      <c r="BX268" s="12" t="n"/>
      <c r="BY268" s="12" t="n"/>
      <c r="BZ268" s="12" t="n"/>
      <c r="CA268" s="12" t="n"/>
      <c r="CB268" s="12" t="n"/>
      <c r="CC268" s="12" t="n"/>
      <c r="CD268" s="12" t="n"/>
      <c r="CE268" s="12" t="n"/>
      <c r="CF268" s="12" t="n"/>
      <c r="CG268" s="12" t="n"/>
      <c r="CH268" s="12" t="n"/>
      <c r="CI268" s="12" t="n"/>
      <c r="CJ268" s="12" t="n"/>
      <c r="CK268" s="12" t="n"/>
      <c r="CL268" s="12" t="n"/>
      <c r="CM268" s="12" t="n"/>
      <c r="CN268" s="12" t="n"/>
      <c r="CO268" s="12" t="n"/>
      <c r="CP268" s="12" t="n"/>
      <c r="CQ268" s="12" t="n"/>
      <c r="CR268" s="12" t="n"/>
      <c r="CS268" s="12" t="n"/>
      <c r="CT268" s="12" t="n"/>
      <c r="CU268" s="12" t="n"/>
      <c r="CV268" s="12" t="n"/>
      <c r="CW268" s="12" t="n"/>
      <c r="CX268" s="12" t="n"/>
      <c r="CY268" s="12" t="n"/>
    </row>
    <row r="269">
      <c r="C269" s="14" t="inlineStr">
        <is>
          <t>Other equity account</t>
        </is>
      </c>
      <c r="D269" s="46" t="n"/>
      <c r="E269" s="46" t="n"/>
      <c r="F269" s="46" t="n"/>
      <c r="G269" s="46" t="n"/>
      <c r="H269" s="12" t="n"/>
      <c r="I269" s="46">
        <f>'Inputs (2)'!D46</f>
        <v>0</v>
      </c>
      <c r="J269" s="46">
        <f>'Inputs (2)'!E46</f>
        <v>0</v>
      </c>
      <c r="K269" s="46">
        <f>'Inputs (2)'!F46</f>
        <v>0</v>
      </c>
      <c r="L269" s="46">
        <f>'Inputs (2)'!G46</f>
        <v>0</v>
      </c>
      <c r="M269" s="12">
        <f>'Inputs (2)'!H46</f>
        <v>0</v>
      </c>
      <c r="N269" s="46">
        <f>'Inputs (2)'!I46</f>
        <v>0</v>
      </c>
      <c r="O269" s="46">
        <f>'Inputs (2)'!J46</f>
        <v>0</v>
      </c>
      <c r="P269" s="46">
        <f>'Inputs (2)'!K46</f>
        <v>0</v>
      </c>
      <c r="Q269" s="46">
        <f>'Inputs (2)'!L46</f>
        <v>0</v>
      </c>
      <c r="R269" s="12">
        <f>'Inputs (2)'!M46</f>
        <v>0</v>
      </c>
      <c r="S269" s="46">
        <f>'Inputs (2)'!N46</f>
        <v>0</v>
      </c>
      <c r="T269" s="46">
        <f>'Inputs (2)'!O46</f>
        <v>0</v>
      </c>
      <c r="U269" s="46">
        <f>'Inputs (2)'!P46</f>
        <v>0</v>
      </c>
      <c r="V269" s="46">
        <f>'Inputs (2)'!Q46</f>
        <v>0</v>
      </c>
      <c r="W269" s="12">
        <f>'Inputs (2)'!R46</f>
        <v>0</v>
      </c>
      <c r="X269" s="46">
        <f>'Inputs (2)'!S46</f>
        <v>0</v>
      </c>
      <c r="Y269" s="46">
        <f>'Inputs (2)'!T46</f>
        <v>0</v>
      </c>
      <c r="Z269" s="46">
        <f>'Inputs (2)'!U46</f>
        <v>0</v>
      </c>
      <c r="AA269" s="46">
        <f>'Inputs (2)'!V46</f>
        <v>0</v>
      </c>
      <c r="AB269" s="12">
        <f>'Inputs (2)'!W46</f>
        <v>0</v>
      </c>
      <c r="AC269" s="46">
        <f>'Inputs (2)'!X46</f>
        <v>0</v>
      </c>
      <c r="AD269" s="46">
        <f>'Inputs (2)'!Y46</f>
        <v>0</v>
      </c>
      <c r="AE269" s="46">
        <f>'Inputs (2)'!Z46</f>
        <v>0</v>
      </c>
      <c r="AF269" s="46">
        <f>'Inputs (2)'!AA46</f>
        <v>0</v>
      </c>
      <c r="AG269" s="12">
        <f>'Inputs (2)'!AB46</f>
        <v>0</v>
      </c>
      <c r="AH269" s="12">
        <f>'Inputs (2)'!AC46</f>
        <v>0</v>
      </c>
      <c r="AI269" s="12">
        <f>'Inputs (2)'!AD46</f>
        <v>0</v>
      </c>
      <c r="AJ269" s="12">
        <f>AI269</f>
        <v>0</v>
      </c>
      <c r="AK269" s="12">
        <f>AJ269</f>
        <v>0</v>
      </c>
      <c r="AL269" s="12">
        <f>AK269</f>
        <v>0</v>
      </c>
      <c r="AM269" s="12">
        <f>AL269</f>
        <v>0</v>
      </c>
      <c r="AN269" s="12">
        <f>AM269</f>
        <v>0</v>
      </c>
      <c r="AO269" s="12">
        <f>AN269</f>
        <v>0</v>
      </c>
      <c r="AP269" s="12">
        <f>AO269</f>
        <v>0</v>
      </c>
      <c r="AQ269" s="12">
        <f>AP269</f>
        <v>0</v>
      </c>
      <c r="AR269" s="12">
        <f>AQ269</f>
        <v>0</v>
      </c>
      <c r="AS269" s="12">
        <f>AR269</f>
        <v>0</v>
      </c>
      <c r="AT269" s="12">
        <f>AS269</f>
        <v>0</v>
      </c>
      <c r="AU269" s="12">
        <f>AT269</f>
        <v>0</v>
      </c>
      <c r="AV269" s="12">
        <f>AU269</f>
        <v>0</v>
      </c>
      <c r="AW269" s="12">
        <f>AV269</f>
        <v>0</v>
      </c>
      <c r="AX269" s="12">
        <f>AW269</f>
        <v>0</v>
      </c>
      <c r="AY269" s="12">
        <f>AX269</f>
        <v>0</v>
      </c>
      <c r="AZ269" s="12">
        <f>AY269</f>
        <v>0</v>
      </c>
      <c r="BA269" s="12">
        <f>AZ269</f>
        <v>0</v>
      </c>
      <c r="BB269" s="12">
        <f>BA269</f>
        <v>0</v>
      </c>
      <c r="BC269" s="12">
        <f>BB269</f>
        <v>0</v>
      </c>
      <c r="BD269" s="12">
        <f>BC269</f>
        <v>0</v>
      </c>
      <c r="BE269" s="12">
        <f>BD269</f>
        <v>0</v>
      </c>
      <c r="BF269" s="12">
        <f>BE269</f>
        <v>0</v>
      </c>
      <c r="BG269" s="12" t="n"/>
      <c r="BH269" s="12" t="n"/>
      <c r="BI269" s="12" t="n"/>
      <c r="BJ269" s="12" t="n"/>
      <c r="BK269" s="12" t="n"/>
      <c r="BL269" s="12" t="n"/>
      <c r="BM269" s="12" t="n"/>
      <c r="BN269" s="12" t="n"/>
      <c r="BO269" s="12" t="n"/>
      <c r="BP269" s="12" t="n"/>
      <c r="BQ269" s="12" t="n"/>
      <c r="BR269" s="12" t="n"/>
      <c r="BS269" s="12" t="n"/>
      <c r="BT269" s="12" t="n"/>
      <c r="BU269" s="12" t="n"/>
      <c r="BV269" s="12" t="n"/>
      <c r="BW269" s="12" t="n"/>
      <c r="BX269" s="12" t="n"/>
      <c r="BY269" s="12" t="n"/>
      <c r="BZ269" s="12" t="n"/>
      <c r="CA269" s="12" t="n"/>
      <c r="CB269" s="12" t="n"/>
      <c r="CC269" s="12" t="n"/>
      <c r="CD269" s="12" t="n"/>
      <c r="CE269" s="12" t="n"/>
      <c r="CF269" s="12" t="n"/>
      <c r="CG269" s="12" t="n"/>
      <c r="CH269" s="12" t="n"/>
      <c r="CI269" s="12" t="n"/>
      <c r="CJ269" s="12" t="n"/>
      <c r="CK269" s="12" t="n"/>
      <c r="CL269" s="12" t="n"/>
      <c r="CM269" s="12" t="n"/>
      <c r="CN269" s="12" t="n"/>
      <c r="CO269" s="12" t="n"/>
      <c r="CP269" s="12" t="n"/>
      <c r="CQ269" s="12" t="n"/>
      <c r="CR269" s="12" t="n"/>
      <c r="CS269" s="12" t="n"/>
      <c r="CT269" s="12" t="n"/>
      <c r="CU269" s="12" t="n"/>
      <c r="CV269" s="12" t="n"/>
      <c r="CW269" s="12" t="n"/>
      <c r="CX269" s="12" t="n"/>
      <c r="CY269" s="12" t="n"/>
    </row>
    <row r="270">
      <c r="C270" s="15" t="inlineStr">
        <is>
          <t>Retained earnings</t>
        </is>
      </c>
      <c r="D270" s="46" t="n"/>
      <c r="E270" s="46" t="n"/>
      <c r="F270" s="46" t="n"/>
      <c r="G270" s="46" t="n"/>
      <c r="H270" s="12" t="n"/>
      <c r="I270" s="46">
        <f>'Inputs (2)'!D47</f>
        <v>358.134</v>
      </c>
      <c r="J270" s="46">
        <f>'Inputs (2)'!E47</f>
        <v>298.689</v>
      </c>
      <c r="K270" s="46">
        <f>'Inputs (2)'!F47</f>
        <v>345.836</v>
      </c>
      <c r="L270" s="46">
        <f>'Inputs (2)'!G47</f>
        <v>404.153</v>
      </c>
      <c r="M270" s="12">
        <f>'Inputs (2)'!H47</f>
        <v>404.153</v>
      </c>
      <c r="N270" s="46">
        <f>'Inputs (2)'!I47</f>
        <v>431.403</v>
      </c>
      <c r="O270" s="46">
        <f>'Inputs (2)'!J47</f>
        <v>472.675</v>
      </c>
      <c r="P270" s="46">
        <f>'Inputs (2)'!K47</f>
        <v>465.667</v>
      </c>
      <c r="Q270" s="46">
        <f>'Inputs (2)'!L47</f>
        <v>398.425</v>
      </c>
      <c r="R270" s="12">
        <f>'Inputs (2)'!M47</f>
        <v>398.425</v>
      </c>
      <c r="S270" s="46">
        <f>'Inputs (2)'!N47</f>
        <v>457.177</v>
      </c>
      <c r="T270" s="46">
        <f>'Inputs (2)'!O47</f>
        <v>561.618</v>
      </c>
      <c r="U270" s="46">
        <f>'Inputs (2)'!P47</f>
        <v>630.366</v>
      </c>
      <c r="V270" s="46">
        <f>'Inputs (2)'!Q47</f>
        <v>648.81</v>
      </c>
      <c r="W270" s="12">
        <f>'Inputs (2)'!R47</f>
        <v>648.81</v>
      </c>
      <c r="X270" s="46">
        <f>'Inputs (2)'!S47</f>
        <v>800.201</v>
      </c>
      <c r="Y270" s="46">
        <f>'Inputs (2)'!T47</f>
        <v>946.378</v>
      </c>
      <c r="Z270" s="46">
        <f>'Inputs (2)'!U47</f>
        <v>749.937</v>
      </c>
      <c r="AA270" s="46">
        <f>'Inputs (2)'!V47</f>
        <v>711.711</v>
      </c>
      <c r="AB270" s="12">
        <f>'Inputs (2)'!W47</f>
        <v>711.711</v>
      </c>
      <c r="AC270" s="46">
        <f>'Inputs (2)'!X47</f>
        <v>873.513</v>
      </c>
      <c r="AD270" s="46">
        <f>'Inputs (2)'!Y47</f>
        <v>710.591</v>
      </c>
      <c r="AE270" s="46">
        <f>'Inputs (2)'!Z47</f>
        <v>940.571</v>
      </c>
      <c r="AF270" s="46">
        <f>'Inputs (2)'!AA47</f>
        <v>347.639</v>
      </c>
      <c r="AG270" s="12">
        <f>'Inputs (2)'!AB47</f>
        <v>347.639</v>
      </c>
      <c r="AH270" s="12">
        <f>'Inputs (2)'!AC47</f>
        <v>548.198</v>
      </c>
      <c r="AI270" s="12">
        <f>'Inputs (2)'!AD47</f>
        <v>748.762</v>
      </c>
      <c r="AJ270" s="12">
        <f>AI270+AJ137+AJ138</f>
        <v>1175.79529892505</v>
      </c>
      <c r="AK270" s="12">
        <f>AJ270+AK137+AK138</f>
        <v>1627.9160291698</v>
      </c>
      <c r="AL270" s="12">
        <f>AK270</f>
        <v>1627.9160291698</v>
      </c>
      <c r="AM270" s="12">
        <f>AL270+AM137+AM138</f>
        <v>2057.42192644191</v>
      </c>
      <c r="AN270" s="12">
        <f>AM270+AN137+AN138</f>
        <v>2529.24599035267</v>
      </c>
      <c r="AO270" s="12">
        <f>AN270+AO137+AO138</f>
        <v>3077.17479829546</v>
      </c>
      <c r="AP270" s="12">
        <f>AO270+AP137+AP138</f>
        <v>3657.29342930816</v>
      </c>
      <c r="AQ270" s="12">
        <f>AP270</f>
        <v>3657.29342930816</v>
      </c>
      <c r="AR270" s="12">
        <f>AQ270+AR137+AR138</f>
        <v>4206.24731249644</v>
      </c>
      <c r="AS270" s="12">
        <f>AR270+AS137+AS138</f>
        <v>4809.28828052625</v>
      </c>
      <c r="AT270" s="12">
        <f>AS270+AT137+AT138</f>
        <v>5509.59914643355</v>
      </c>
      <c r="AU270" s="12">
        <f>AT270+AU137+AU138</f>
        <v>6251.05200476888</v>
      </c>
      <c r="AV270" s="12">
        <f>AU270</f>
        <v>6251.05200476888</v>
      </c>
      <c r="AW270" s="12">
        <f>AV270+AW137+AW138</f>
        <v>6949.92825564961</v>
      </c>
      <c r="AX270" s="12">
        <f>AW270+AX137+AX138</f>
        <v>7717.66307595256</v>
      </c>
      <c r="AY270" s="12">
        <f>AX270+AY137+AY138</f>
        <v>8609.23274583767</v>
      </c>
      <c r="AZ270" s="12">
        <f>AY270+AZ137+AZ138</f>
        <v>9553.18051578262</v>
      </c>
      <c r="BA270" s="12">
        <f>AZ270</f>
        <v>9553.18051578262</v>
      </c>
      <c r="BB270" s="12">
        <f>BA270+BB137+BB138</f>
        <v>10439.4293880204</v>
      </c>
      <c r="BC270" s="12">
        <f>BB270+BC137+BC138</f>
        <v>11412.9981962517</v>
      </c>
      <c r="BD270" s="12">
        <f>BC270+BD137+BD138</f>
        <v>12543.6026680181</v>
      </c>
      <c r="BE270" s="12">
        <f>BD270+BE137+BE138</f>
        <v>13740.6281006477</v>
      </c>
      <c r="BF270" s="12">
        <f>BE270</f>
        <v>13740.6281006477</v>
      </c>
      <c r="BG270" s="12" t="n"/>
      <c r="BH270" s="12" t="n"/>
      <c r="BI270" s="12" t="n"/>
      <c r="BJ270" s="12" t="n"/>
      <c r="BK270" s="12" t="n"/>
      <c r="BL270" s="12" t="n"/>
      <c r="BM270" s="12" t="n"/>
      <c r="BN270" s="12" t="n"/>
      <c r="BO270" s="12" t="n"/>
      <c r="BP270" s="12" t="n"/>
      <c r="BQ270" s="12" t="n"/>
      <c r="BR270" s="12" t="n"/>
      <c r="BS270" s="12" t="n"/>
      <c r="BT270" s="12" t="n"/>
      <c r="BU270" s="12" t="n"/>
      <c r="BV270" s="12" t="n"/>
      <c r="BW270" s="12" t="n"/>
      <c r="BX270" s="12" t="n"/>
      <c r="BY270" s="12" t="n"/>
      <c r="BZ270" s="12" t="n"/>
      <c r="CA270" s="12" t="n"/>
      <c r="CB270" s="12" t="n"/>
      <c r="CC270" s="12" t="n"/>
      <c r="CD270" s="12" t="n"/>
      <c r="CE270" s="12" t="n"/>
      <c r="CF270" s="12" t="n"/>
      <c r="CG270" s="12" t="n"/>
      <c r="CH270" s="12" t="n"/>
      <c r="CI270" s="12" t="n"/>
      <c r="CJ270" s="12" t="n"/>
      <c r="CK270" s="12" t="n"/>
      <c r="CL270" s="12" t="n"/>
      <c r="CM270" s="12" t="n"/>
      <c r="CN270" s="12" t="n"/>
      <c r="CO270" s="12" t="n"/>
      <c r="CP270" s="12" t="n"/>
      <c r="CQ270" s="12" t="n"/>
      <c r="CR270" s="12" t="n"/>
      <c r="CS270" s="12" t="n"/>
      <c r="CT270" s="12" t="n"/>
      <c r="CU270" s="12" t="n"/>
      <c r="CV270" s="12" t="n"/>
      <c r="CW270" s="12" t="n"/>
      <c r="CX270" s="12" t="n"/>
      <c r="CY270" s="12" t="n"/>
    </row>
    <row r="271" customFormat="1" s="32">
      <c r="A271" s="30" t="inlineStr">
        <is>
          <t xml:space="preserve"> </t>
        </is>
      </c>
      <c r="B271" s="30" t="n"/>
      <c r="C271" s="65" t="inlineStr">
        <is>
          <t>Total Shareholders' Equity</t>
        </is>
      </c>
      <c r="D271" s="35" t="n"/>
      <c r="E271" s="35" t="n"/>
      <c r="F271" s="35" t="n"/>
      <c r="G271" s="35" t="n"/>
      <c r="H271" s="35" t="n"/>
      <c r="I271" s="35">
        <f>SUM(I248+I253+I254+I267+I268+I269+I270)</f>
        <v>1348.987</v>
      </c>
      <c r="J271" s="35">
        <f>SUM(J248+J253+J254+J267+J268+J269+J270)</f>
        <v>1297.797</v>
      </c>
      <c r="K271" s="35">
        <f>SUM(K248+K253+K254+K267+K268+K269+K270)</f>
        <v>1356.494</v>
      </c>
      <c r="L271" s="35">
        <f>SUM(L248+L253+L254+L267+L268+L269+L270)</f>
        <v>1458.78</v>
      </c>
      <c r="M271" s="35">
        <f>SUM(M248,M253,M254,M267,M268,M269,M270)</f>
        <v>1458.78</v>
      </c>
      <c r="N271" s="35">
        <f>SUM(N248+N253+N254+N267+N268+N269+N270)</f>
        <v>1491.187</v>
      </c>
      <c r="O271" s="35">
        <f>SUM(O248+O253+O254+O267+O268+O269+O270)</f>
        <v>1534.449</v>
      </c>
      <c r="P271" s="35">
        <f>SUM(P248+P253+P254+P267+P268+P269+P270)</f>
        <v>1525.418</v>
      </c>
      <c r="Q271" s="35">
        <f>SUM(Q248+Q253+Q254+Q267+Q268+Q269+Q270)</f>
        <v>1449.695</v>
      </c>
      <c r="R271" s="35">
        <f>SUM(R248,R253,R254,R267,R268,R269,R270)</f>
        <v>1449.695</v>
      </c>
      <c r="S271" s="35">
        <f>SUM(S248+S253+S254+S267+S268+S269+S270)</f>
        <v>1510.991</v>
      </c>
      <c r="T271" s="35">
        <f>SUM(T248+T253+T254+T267+T268+T269+T270)</f>
        <v>1610.61</v>
      </c>
      <c r="U271" s="35">
        <f>SUM(U248+U253+U254+U267+U268+U269+U270)</f>
        <v>2093.511</v>
      </c>
      <c r="V271" s="35">
        <f>SUM(V248+V253+V254+V267+V268+V269+V270)</f>
        <v>2110.586</v>
      </c>
      <c r="W271" s="35">
        <f>SUM(W248,W253,W254,W267,W268,W269,W270)</f>
        <v>2110.586</v>
      </c>
      <c r="X271" s="35">
        <f>SUM(X248+X253+X254+X267+X268+X269+X270)</f>
        <v>2271.229</v>
      </c>
      <c r="Y271" s="35">
        <f>SUM(Y248+Y253+Y254+Y267+Y268+Y269+Y270)</f>
        <v>2438.566</v>
      </c>
      <c r="Z271" s="35">
        <f>SUM(Z248+Z253+Z254+Z267+Z268+Z269+Z270)</f>
        <v>2245.457</v>
      </c>
      <c r="AA271" s="35">
        <f>SUM(AA248+AA253+AA254+AA267+AA268+AA269+AA270)</f>
        <v>2223.751</v>
      </c>
      <c r="AB271" s="35">
        <f>SUM(AB248,AB253,AB254,AB267,AB268,AB269,AB270)</f>
        <v>2223.751</v>
      </c>
      <c r="AC271" s="35">
        <f>SUM(AC248+AC253+AC254+AC267+AC268+AC269+AC270)</f>
        <v>2366.71</v>
      </c>
      <c r="AD271" s="35">
        <f>SUM(AD248+AD253+AD254+AD267+AD268+AD269+AD270)</f>
        <v>2470.65</v>
      </c>
      <c r="AE271" s="35">
        <f>SUM(AE248+AE253+AE254+AE267+AE268+AE269+AE270)</f>
        <v>2720.182</v>
      </c>
      <c r="AF271" s="35">
        <f>SUM(AF248+AF253+AF254+AF267+AF268+AF269+AF270)</f>
        <v>2320.151</v>
      </c>
      <c r="AG271" s="35">
        <f>SUM(AG248,AG253,AG254,AG267,AG268,AG269,AG270)</f>
        <v>2320.151</v>
      </c>
      <c r="AH271" s="35">
        <f>SUM(AH248+AH253+AH254+AH267+AH268+AH269+AH270)</f>
        <v>2550.138</v>
      </c>
      <c r="AI271" s="35">
        <f>SUM(AI248+AI253+AI254+AI267+AI268+AI269+AI270)</f>
        <v>2737.142</v>
      </c>
      <c r="AJ271" s="35">
        <f>SUM(AJ248+AJ253+AJ254+AJ267+AJ268+AJ269+AJ270)</f>
        <v>3164.17529892505</v>
      </c>
      <c r="AK271" s="35">
        <f>SUM(AK248+AK253+AK254+AK267+AK268+AK269+AK270)</f>
        <v>3616.2960291698</v>
      </c>
      <c r="AL271" s="35">
        <f>SUM(AL248,AL253,AL254,AL267,AL268,AL269,AL270)</f>
        <v>3616.2960291698</v>
      </c>
      <c r="AM271" s="35">
        <f>SUM(AM248+AM253+AM254+AM267+AM268+AM269+AM270)</f>
        <v>4045.80192644191</v>
      </c>
      <c r="AN271" s="35">
        <f>SUM(AN248+AN253+AN254+AN267+AN268+AN269+AN270)</f>
        <v>4517.62599035267</v>
      </c>
      <c r="AO271" s="35">
        <f>SUM(AO248+AO253+AO254+AO267+AO268+AO269+AO270)</f>
        <v>5065.55479829546</v>
      </c>
      <c r="AP271" s="35">
        <f>SUM(AP248+AP253+AP254+AP267+AP268+AP269+AP270)</f>
        <v>5645.67342930816</v>
      </c>
      <c r="AQ271" s="35">
        <f>SUM(AQ248,AQ253,AQ254,AQ267,AQ268,AQ269,AQ270)</f>
        <v>5645.67342930816</v>
      </c>
      <c r="AR271" s="35">
        <f>SUM(AR248+AR253+AR254+AR267+AR268+AR269+AR270)</f>
        <v>6194.62731249644</v>
      </c>
      <c r="AS271" s="35">
        <f>SUM(AS248+AS253+AS254+AS267+AS268+AS269+AS270)</f>
        <v>6797.66828052625</v>
      </c>
      <c r="AT271" s="35">
        <f>SUM(AT248+AT253+AT254+AT267+AT268+AT269+AT270)</f>
        <v>7497.97914643355</v>
      </c>
      <c r="AU271" s="35">
        <f>SUM(AU248+AU253+AU254+AU267+AU268+AU269+AU270)</f>
        <v>8239.43200476888</v>
      </c>
      <c r="AV271" s="35">
        <f>SUM(AV248,AV253,AV254,AV267,AV268,AV269,AV270)</f>
        <v>8239.43200476888</v>
      </c>
      <c r="AW271" s="35">
        <f>SUM(AW248+AW253+AW254+AW267+AW268+AW269+AW270)</f>
        <v>8938.30825564961</v>
      </c>
      <c r="AX271" s="35">
        <f>SUM(AX248+AX253+AX254+AX267+AX268+AX269+AX270)</f>
        <v>9706.04307595256</v>
      </c>
      <c r="AY271" s="35">
        <f>SUM(AY248+AY253+AY254+AY267+AY268+AY269+AY270)</f>
        <v>10597.6127458377</v>
      </c>
      <c r="AZ271" s="35">
        <f>SUM(AZ248+AZ253+AZ254+AZ267+AZ268+AZ269+AZ270)</f>
        <v>11541.5605157826</v>
      </c>
      <c r="BA271" s="35">
        <f>SUM(BA248,BA253,BA254,BA267,BA268,BA269,BA270)</f>
        <v>11541.5605157826</v>
      </c>
      <c r="BB271" s="35">
        <f>SUM(BB248+BB253+BB254+BB267+BB268+BB269+BB270)</f>
        <v>12427.8093880204</v>
      </c>
      <c r="BC271" s="35">
        <f>SUM(BC248+BC253+BC254+BC267+BC268+BC269+BC270)</f>
        <v>13401.3781962517</v>
      </c>
      <c r="BD271" s="35">
        <f>SUM(BD248+BD253+BD254+BD267+BD268+BD269+BD270)</f>
        <v>14531.9826680181</v>
      </c>
      <c r="BE271" s="35">
        <f>SUM(BE248+BE253+BE254+BE267+BE268+BE269+BE270)</f>
        <v>15729.0081006477</v>
      </c>
      <c r="BF271" s="35">
        <f>SUM(BF248,BF253,BF254,BF267,BF268,BF269,BF270)</f>
        <v>15729.0081006477</v>
      </c>
      <c r="BG271" s="35" t="n"/>
      <c r="BH271" s="35" t="n"/>
      <c r="BI271" s="35" t="n"/>
      <c r="BJ271" s="35" t="n"/>
      <c r="BK271" s="35" t="n"/>
      <c r="BL271" s="35" t="n"/>
      <c r="BM271" s="35" t="n"/>
      <c r="BN271" s="35" t="n"/>
      <c r="BO271" s="35" t="n"/>
      <c r="BP271" s="35" t="n"/>
      <c r="BQ271" s="35" t="n"/>
      <c r="BR271" s="35" t="n"/>
      <c r="BS271" s="35" t="n"/>
      <c r="BT271" s="35" t="n"/>
      <c r="BU271" s="35" t="n"/>
      <c r="BV271" s="35" t="n"/>
      <c r="BW271" s="35" t="n"/>
      <c r="BX271" s="35" t="n"/>
      <c r="BY271" s="35" t="n"/>
      <c r="BZ271" s="35" t="n"/>
      <c r="CA271" s="35" t="n"/>
      <c r="CB271" s="35" t="n"/>
      <c r="CC271" s="35" t="n"/>
      <c r="CD271" s="35" t="n"/>
      <c r="CE271" s="35" t="n"/>
      <c r="CF271" s="35" t="n"/>
      <c r="CG271" s="35" t="n"/>
      <c r="CH271" s="35" t="n"/>
      <c r="CI271" s="35" t="n"/>
      <c r="CJ271" s="35" t="n"/>
      <c r="CK271" s="35" t="n"/>
      <c r="CL271" s="35" t="n"/>
      <c r="CM271" s="35" t="n"/>
      <c r="CN271" s="35" t="n"/>
      <c r="CO271" s="35" t="n"/>
      <c r="CP271" s="35" t="n"/>
      <c r="CQ271" s="35" t="n"/>
      <c r="CR271" s="35" t="n"/>
      <c r="CS271" s="35" t="n"/>
      <c r="CT271" s="35" t="n"/>
      <c r="CU271" s="35" t="n"/>
      <c r="CV271" s="35" t="n"/>
      <c r="CW271" s="35" t="n"/>
      <c r="CX271" s="35" t="n"/>
      <c r="CY271" s="35" t="n"/>
    </row>
    <row r="272">
      <c r="C272" s="10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  <c r="Y272" s="12" t="n"/>
      <c r="Z272" s="12" t="n"/>
      <c r="AA272" s="12" t="n"/>
      <c r="AB272" s="12" t="n"/>
      <c r="AC272" s="12" t="n"/>
      <c r="AD272" s="12" t="n"/>
      <c r="AE272" s="12" t="n"/>
      <c r="AF272" s="12" t="n"/>
      <c r="AG272" s="12" t="n"/>
      <c r="AH272" s="12" t="n"/>
      <c r="AI272" s="12" t="n"/>
      <c r="AJ272" s="12" t="n"/>
      <c r="AK272" s="12" t="n"/>
      <c r="AL272" s="12" t="n"/>
      <c r="AM272" s="12" t="n"/>
      <c r="AN272" s="12" t="n"/>
      <c r="AO272" s="12" t="n"/>
      <c r="AP272" s="12" t="n"/>
      <c r="AQ272" s="12" t="n"/>
      <c r="AR272" s="12" t="n"/>
      <c r="AS272" s="12" t="n"/>
      <c r="AT272" s="12" t="n"/>
      <c r="AU272" s="12" t="n"/>
      <c r="AV272" s="12" t="n"/>
      <c r="AW272" s="12" t="n"/>
      <c r="AX272" s="12" t="n"/>
      <c r="AY272" s="12" t="n"/>
      <c r="AZ272" s="12" t="n"/>
      <c r="BA272" s="12" t="n"/>
      <c r="BB272" s="12" t="n"/>
      <c r="BC272" s="12" t="n"/>
      <c r="BD272" s="12" t="n"/>
      <c r="BE272" s="12" t="n"/>
      <c r="BF272" s="12" t="n"/>
      <c r="BG272" s="12" t="n"/>
      <c r="BH272" s="12" t="n"/>
      <c r="BI272" s="12" t="n"/>
      <c r="BJ272" s="12" t="n"/>
      <c r="BK272" s="12" t="n"/>
      <c r="BL272" s="12" t="n"/>
      <c r="BM272" s="12" t="n"/>
      <c r="BN272" s="12" t="n"/>
      <c r="BO272" s="12" t="n"/>
      <c r="BP272" s="12" t="n"/>
      <c r="BQ272" s="12" t="n"/>
      <c r="BR272" s="12" t="n"/>
      <c r="BS272" s="12" t="n"/>
      <c r="BT272" s="12" t="n"/>
      <c r="BU272" s="12" t="n"/>
      <c r="BV272" s="12" t="n"/>
      <c r="BW272" s="12" t="n"/>
      <c r="BX272" s="12" t="n"/>
      <c r="BY272" s="12" t="n"/>
      <c r="BZ272" s="12" t="n"/>
      <c r="CA272" s="12" t="n"/>
      <c r="CB272" s="12" t="n"/>
      <c r="CC272" s="12" t="n"/>
      <c r="CD272" s="12" t="n"/>
      <c r="CE272" s="12" t="n"/>
      <c r="CF272" s="12" t="n"/>
      <c r="CG272" s="12" t="n"/>
      <c r="CH272" s="12" t="n"/>
      <c r="CI272" s="12" t="n"/>
      <c r="CJ272" s="12" t="n"/>
      <c r="CK272" s="12" t="n"/>
      <c r="CL272" s="12" t="n"/>
      <c r="CM272" s="12" t="n"/>
      <c r="CN272" s="12" t="n"/>
      <c r="CO272" s="12" t="n"/>
      <c r="CP272" s="12" t="n"/>
      <c r="CQ272" s="12" t="n"/>
      <c r="CR272" s="12" t="n"/>
      <c r="CS272" s="12" t="n"/>
      <c r="CT272" s="12" t="n"/>
      <c r="CU272" s="12" t="n"/>
      <c r="CV272" s="12" t="n"/>
      <c r="CW272" s="12" t="n"/>
      <c r="CX272" s="12" t="n"/>
      <c r="CY272" s="12" t="n"/>
    </row>
    <row r="273" customFormat="1" s="32">
      <c r="A273" s="30" t="n"/>
      <c r="B273" s="3" t="n"/>
      <c r="C273" s="33" t="inlineStr">
        <is>
          <t>Total Liabilities + Shareholders' Equity</t>
        </is>
      </c>
      <c r="D273" s="35" t="n"/>
      <c r="E273" s="35" t="n"/>
      <c r="F273" s="35" t="n"/>
      <c r="G273" s="35" t="n"/>
      <c r="H273" s="35" t="n"/>
      <c r="I273" s="35">
        <f>I271+I247</f>
        <v>5150.107</v>
      </c>
      <c r="J273" s="35">
        <f>J271+J247</f>
        <v>5436.449</v>
      </c>
      <c r="K273" s="35">
        <f>K271+K247</f>
        <v>5520.926</v>
      </c>
      <c r="L273" s="35">
        <f>L271+L247</f>
        <v>5679.619</v>
      </c>
      <c r="M273" s="35">
        <f>M271+M247</f>
        <v>5679.619</v>
      </c>
      <c r="N273" s="35">
        <f>N271+N247</f>
        <v>5817.672</v>
      </c>
      <c r="O273" s="35">
        <f>O271+O247</f>
        <v>5753.295</v>
      </c>
      <c r="P273" s="35">
        <f>P271+P247</f>
        <v>6209.516</v>
      </c>
      <c r="Q273" s="35">
        <f>Q271+Q247</f>
        <v>6489.415</v>
      </c>
      <c r="R273" s="35">
        <f>R271+R247</f>
        <v>6489.415</v>
      </c>
      <c r="S273" s="35">
        <f>S271+S247</f>
        <v>6482.026</v>
      </c>
      <c r="T273" s="35">
        <f>T271+T247</f>
        <v>6806.671</v>
      </c>
      <c r="U273" s="35">
        <f>U271+U247</f>
        <v>7189.702</v>
      </c>
      <c r="V273" s="35">
        <f>V271+V247</f>
        <v>7571.598</v>
      </c>
      <c r="W273" s="35">
        <f>W271+W247</f>
        <v>7571.598</v>
      </c>
      <c r="X273" s="35">
        <f>X271+X247</f>
        <v>7877.956</v>
      </c>
      <c r="Y273" s="35">
        <f>Y271+Y247</f>
        <v>8800.828</v>
      </c>
      <c r="Z273" s="35">
        <f>Z271+Z247</f>
        <v>9521.01229364</v>
      </c>
      <c r="AA273" s="35">
        <f>AA271+AA247</f>
        <v>10067.406</v>
      </c>
      <c r="AB273" s="35">
        <f>AB271+AB247</f>
        <v>10067.406</v>
      </c>
      <c r="AC273" s="35">
        <f>AC271+AC247</f>
        <v>10612.25</v>
      </c>
      <c r="AD273" s="35">
        <f>AD271+AD247</f>
        <v>11566.858</v>
      </c>
      <c r="AE273" s="35">
        <f>AE271+AE247</f>
        <v>12415.734</v>
      </c>
      <c r="AF273" s="35">
        <f>AF271+AF247</f>
        <v>13219.635</v>
      </c>
      <c r="AG273" s="35">
        <f>AG271+AG247</f>
        <v>13219.635</v>
      </c>
      <c r="AH273" s="35">
        <f>AH271+AH247</f>
        <v>13916.924</v>
      </c>
      <c r="AI273" s="35">
        <f>AI271+AI247</f>
        <v>14628.318</v>
      </c>
      <c r="AJ273" s="35">
        <f>AJ271+AJ247</f>
        <v>15138.8056136038</v>
      </c>
      <c r="AK273" s="35">
        <f>AK271+AK247</f>
        <v>15667.3211589438</v>
      </c>
      <c r="AL273" s="35">
        <f>AL271+AL247</f>
        <v>15667.3211589438</v>
      </c>
      <c r="AM273" s="35">
        <f>AM271+AM247</f>
        <v>16170.5700058993</v>
      </c>
      <c r="AN273" s="35">
        <f>AN271+AN247</f>
        <v>16766.3732984814</v>
      </c>
      <c r="AO273" s="35">
        <f>AO271+AO247</f>
        <v>17485.2978050243</v>
      </c>
      <c r="AP273" s="35">
        <f>AP271+AP247</f>
        <v>18253.2746378435</v>
      </c>
      <c r="AQ273" s="35">
        <f>AQ271+AQ247</f>
        <v>18253.2746378435</v>
      </c>
      <c r="AR273" s="35">
        <f>AR271+AR247</f>
        <v>19003.7656206805</v>
      </c>
      <c r="AS273" s="35">
        <f>AS271+AS247</f>
        <v>19910.957633797</v>
      </c>
      <c r="AT273" s="35">
        <f>AT271+AT247</f>
        <v>21011.1393013646</v>
      </c>
      <c r="AU273" s="35">
        <f>AU271+AU247</f>
        <v>22223.5915660087</v>
      </c>
      <c r="AV273" s="35">
        <f>AV271+AV247</f>
        <v>22223.5915660087</v>
      </c>
      <c r="AW273" s="35">
        <f>AW271+AW247</f>
        <v>23471.4217086901</v>
      </c>
      <c r="AX273" s="35">
        <f>AX271+AX247</f>
        <v>24989.6374862296</v>
      </c>
      <c r="AY273" s="35">
        <f>AY271+AY247</f>
        <v>26856.3713105445</v>
      </c>
      <c r="AZ273" s="35">
        <f>AZ271+AZ247</f>
        <v>28991.092392491</v>
      </c>
      <c r="BA273" s="35">
        <f>BA271+BA247</f>
        <v>28991.092392491</v>
      </c>
      <c r="BB273" s="35">
        <f>BB271+BB247</f>
        <v>31310.0625773851</v>
      </c>
      <c r="BC273" s="35">
        <f>BC271+BC247</f>
        <v>34168.3434320764</v>
      </c>
      <c r="BD273" s="35">
        <f>BD271+BD247</f>
        <v>37714.182264109</v>
      </c>
      <c r="BE273" s="35">
        <f>BE271+BE247</f>
        <v>41910.0621575612</v>
      </c>
      <c r="BF273" s="35">
        <f>BF271+BF247</f>
        <v>41910.0621575612</v>
      </c>
      <c r="BG273" s="35" t="n"/>
      <c r="BH273" s="35" t="n"/>
      <c r="BI273" s="35" t="n"/>
      <c r="BJ273" s="35" t="n"/>
      <c r="BK273" s="35" t="n"/>
      <c r="BL273" s="35" t="n"/>
      <c r="BM273" s="35" t="n"/>
      <c r="BN273" s="35" t="n"/>
      <c r="BO273" s="35" t="n"/>
      <c r="BP273" s="35" t="n"/>
      <c r="BQ273" s="35" t="n"/>
      <c r="BR273" s="35" t="n"/>
      <c r="BS273" s="35" t="n"/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5" t="n"/>
      <c r="CH273" s="35" t="n"/>
      <c r="CI273" s="35" t="n"/>
      <c r="CJ273" s="35" t="n"/>
      <c r="CK273" s="35" t="n"/>
      <c r="CL273" s="35" t="n"/>
      <c r="CM273" s="35" t="n"/>
      <c r="CN273" s="35" t="n"/>
      <c r="CO273" s="35" t="n"/>
      <c r="CP273" s="35" t="n"/>
      <c r="CQ273" s="35" t="n"/>
      <c r="CR273" s="35" t="n"/>
      <c r="CS273" s="35" t="n"/>
      <c r="CT273" s="35" t="n"/>
      <c r="CU273" s="35" t="n"/>
      <c r="CV273" s="35" t="n"/>
      <c r="CW273" s="35" t="n"/>
      <c r="CX273" s="35" t="n"/>
      <c r="CY273" s="35" t="n"/>
    </row>
    <row r="274">
      <c r="C274" s="18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  <c r="AB274" s="3" t="n"/>
      <c r="AC274" s="3" t="n"/>
      <c r="AD274" s="3" t="n"/>
      <c r="AE274" s="3" t="n"/>
      <c r="AF274" s="3" t="n"/>
      <c r="AG274" s="3" t="n"/>
      <c r="AH274" s="3" t="n"/>
      <c r="AI274" s="3" t="n"/>
      <c r="AJ274" s="3" t="n"/>
      <c r="AK274" s="3" t="n"/>
      <c r="AL274" s="3" t="n"/>
      <c r="AM274" s="3" t="n"/>
      <c r="AN274" s="3" t="n"/>
      <c r="AO274" s="3" t="n"/>
      <c r="AP274" s="3" t="n"/>
      <c r="AQ274" s="3" t="n"/>
      <c r="AR274" s="3" t="n"/>
      <c r="AS274" s="3" t="n"/>
      <c r="AT274" s="3" t="n"/>
      <c r="AU274" s="3" t="n"/>
      <c r="AV274" s="3" t="n"/>
      <c r="AW274" s="3" t="n"/>
      <c r="AX274" s="3" t="n"/>
      <c r="AY274" s="3" t="n"/>
      <c r="AZ274" s="3" t="n"/>
      <c r="BA274" s="3" t="n"/>
      <c r="BB274" s="3" t="n"/>
      <c r="BC274" s="3" t="n"/>
      <c r="BD274" s="3" t="n"/>
      <c r="BE274" s="3" t="n"/>
      <c r="BF274" s="3" t="n"/>
      <c r="BG274" s="3" t="n"/>
      <c r="BH274" s="3" t="n"/>
      <c r="BI274" s="3" t="n"/>
      <c r="BJ274" s="3" t="n"/>
      <c r="BK274" s="3" t="n"/>
      <c r="BL274" s="3" t="n"/>
      <c r="BM274" s="3" t="n"/>
      <c r="BN274" s="3" t="n"/>
      <c r="BO274" s="3" t="n"/>
      <c r="BP274" s="3" t="n"/>
      <c r="BQ274" s="3" t="n"/>
      <c r="BR274" s="3" t="n"/>
      <c r="BS274" s="3" t="n"/>
      <c r="BT274" s="3" t="n"/>
      <c r="BU274" s="3" t="n"/>
      <c r="BV274" s="3" t="n"/>
      <c r="BW274" s="3" t="n"/>
      <c r="BX274" s="3" t="n"/>
      <c r="BY274" s="3" t="n"/>
      <c r="BZ274" s="3" t="n"/>
      <c r="CA274" s="3" t="n"/>
      <c r="CB274" s="3" t="n"/>
      <c r="CC274" s="3" t="n"/>
      <c r="CD274" s="3" t="n"/>
      <c r="CE274" s="3" t="n"/>
      <c r="CF274" s="3" t="n"/>
      <c r="CG274" s="3" t="n"/>
      <c r="CH274" s="3" t="n"/>
      <c r="CI274" s="3" t="n"/>
      <c r="CJ274" s="3" t="n"/>
      <c r="CK274" s="3" t="n"/>
      <c r="CL274" s="3" t="n"/>
      <c r="CM274" s="3" t="n"/>
      <c r="CN274" s="3" t="n"/>
      <c r="CO274" s="3" t="n"/>
      <c r="CP274" s="3" t="n"/>
      <c r="CQ274" s="3" t="n"/>
      <c r="CR274" s="3" t="n"/>
      <c r="CS274" s="3" t="n"/>
      <c r="CT274" s="3" t="n"/>
      <c r="CU274" s="3" t="n"/>
      <c r="CV274" s="3" t="n"/>
      <c r="CW274" s="3" t="n"/>
      <c r="CX274" s="3" t="n"/>
      <c r="CY274" s="3" t="n"/>
    </row>
    <row r="275" customFormat="1" s="32">
      <c r="A275" s="30" t="n"/>
      <c r="B275" s="30" t="n"/>
      <c r="C275" s="31" t="inlineStr">
        <is>
          <t>Cash Flow Statement</t>
        </is>
      </c>
      <c r="D275" s="70" t="n"/>
      <c r="E275" s="70" t="n"/>
      <c r="F275" s="70" t="n"/>
      <c r="G275" s="70" t="n"/>
      <c r="H275" s="70" t="n"/>
      <c r="I275" s="70" t="str">
        <f>I142</f>
        <v>1Q21</v>
      </c>
      <c r="J275" s="70" t="str">
        <f>J142</f>
        <v>2Q21</v>
      </c>
      <c r="K275" s="70" t="str">
        <f>K142</f>
        <v>3Q21</v>
      </c>
      <c r="L275" s="70" t="str">
        <f>L142</f>
        <v>4Q21</v>
      </c>
      <c r="M275" s="70">
        <f>M142</f>
        <v>2021</v>
      </c>
      <c r="N275" s="70" t="str">
        <f>N142</f>
        <v>1Q22</v>
      </c>
      <c r="O275" s="70" t="str">
        <f>O142</f>
        <v>2Q22</v>
      </c>
      <c r="P275" s="70" t="str">
        <f>P142</f>
        <v>3Q22</v>
      </c>
      <c r="Q275" s="70" t="str">
        <f>Q142</f>
        <v>4Q22</v>
      </c>
      <c r="R275" s="70">
        <f>R142</f>
        <v>2022</v>
      </c>
      <c r="S275" s="70" t="str">
        <f>S142</f>
        <v>1Q23</v>
      </c>
      <c r="T275" s="70" t="str">
        <f>T142</f>
        <v>2Q23</v>
      </c>
      <c r="U275" s="70" t="str">
        <f>U142</f>
        <v>3Q23</v>
      </c>
      <c r="V275" s="70" t="str">
        <f>V142</f>
        <v>4Q23</v>
      </c>
      <c r="W275" s="70">
        <f>W142</f>
        <v>2023</v>
      </c>
      <c r="X275" s="70" t="str">
        <f>X142</f>
        <v>1Q24</v>
      </c>
      <c r="Y275" s="70" t="str">
        <f>Y142</f>
        <v>2Q24</v>
      </c>
      <c r="Z275" s="70" t="str">
        <f>Z142</f>
        <v>3Q24</v>
      </c>
      <c r="AA275" s="70" t="str">
        <f>AA142</f>
        <v>4Q24</v>
      </c>
      <c r="AB275" s="70">
        <f>AB142</f>
        <v>2024</v>
      </c>
      <c r="AC275" s="70" t="str">
        <f>AC142</f>
        <v>1Q25</v>
      </c>
      <c r="AD275" s="70" t="str">
        <f>AD142</f>
        <v>2Q25</v>
      </c>
      <c r="AE275" s="70" t="str">
        <f>AE142</f>
        <v>3Q25</v>
      </c>
      <c r="AF275" s="70" t="str">
        <f>AF142</f>
        <v>4Q25</v>
      </c>
      <c r="AG275" s="70">
        <f>AG142</f>
        <v>2025</v>
      </c>
      <c r="AH275" s="70" t="str">
        <f>AH142</f>
        <v>1Q26</v>
      </c>
      <c r="AI275" s="70" t="str">
        <f>AI142</f>
        <v>2Q26</v>
      </c>
      <c r="AJ275" s="70" t="str">
        <f>AJ142</f>
        <v>3Q26</v>
      </c>
      <c r="AK275" s="70" t="str">
        <f>AK142</f>
        <v>4Q26</v>
      </c>
      <c r="AL275" s="70">
        <f>AL142</f>
        <v>2026</v>
      </c>
      <c r="AM275" s="70" t="str">
        <f>AM142</f>
        <v>1Q27</v>
      </c>
      <c r="AN275" s="70" t="str">
        <f>AN142</f>
        <v>2Q27</v>
      </c>
      <c r="AO275" s="70" t="str">
        <f>AO142</f>
        <v>3Q27</v>
      </c>
      <c r="AP275" s="70" t="str">
        <f>AP142</f>
        <v>4Q27</v>
      </c>
      <c r="AQ275" s="70">
        <f>AQ142</f>
        <v>2027</v>
      </c>
      <c r="AR275" s="70" t="str">
        <f>AR142</f>
        <v>1Q28</v>
      </c>
      <c r="AS275" s="70" t="str">
        <f>AS142</f>
        <v>2Q28</v>
      </c>
      <c r="AT275" s="70" t="str">
        <f>AT142</f>
        <v>3Q28</v>
      </c>
      <c r="AU275" s="70" t="str">
        <f>AU142</f>
        <v>4Q28</v>
      </c>
      <c r="AV275" s="70">
        <f>AV142</f>
        <v>2028</v>
      </c>
      <c r="AW275" s="70" t="str">
        <f>AW142</f>
        <v>1Q29</v>
      </c>
      <c r="AX275" s="70" t="str">
        <f>AX142</f>
        <v>2Q29</v>
      </c>
      <c r="AY275" s="70" t="str">
        <f>AY142</f>
        <v>3Q29</v>
      </c>
      <c r="AZ275" s="70" t="str">
        <f>AZ142</f>
        <v>4Q29</v>
      </c>
      <c r="BA275" s="70">
        <f>BA142</f>
        <v>2029</v>
      </c>
      <c r="BB275" s="70" t="str">
        <f>BB142</f>
        <v>1Q30</v>
      </c>
      <c r="BC275" s="70" t="str">
        <f>BC142</f>
        <v>2Q30</v>
      </c>
      <c r="BD275" s="70" t="str">
        <f>BD142</f>
        <v>3Q30</v>
      </c>
      <c r="BE275" s="70" t="str">
        <f>BE142</f>
        <v>4Q30</v>
      </c>
      <c r="BF275" s="70">
        <f>BF142</f>
        <v>2030</v>
      </c>
      <c r="BG275" s="70" t="n"/>
      <c r="BH275" s="70" t="n"/>
      <c r="BI275" s="70" t="n"/>
      <c r="BJ275" s="70" t="n"/>
      <c r="BK275" s="70" t="n"/>
      <c r="BL275" s="70" t="n"/>
      <c r="BM275" s="70" t="n"/>
      <c r="BN275" s="70" t="n"/>
      <c r="BO275" s="70" t="n"/>
      <c r="BP275" s="70" t="n"/>
      <c r="BQ275" s="70" t="n"/>
      <c r="BR275" s="70" t="n"/>
      <c r="BS275" s="70" t="n"/>
      <c r="BT275" s="70" t="n"/>
      <c r="BU275" s="70" t="n"/>
      <c r="BV275" s="70" t="n"/>
      <c r="BW275" s="70" t="n"/>
      <c r="BX275" s="70" t="n"/>
      <c r="BY275" s="70" t="n"/>
      <c r="BZ275" s="70" t="n"/>
      <c r="CA275" s="70" t="n"/>
      <c r="CB275" s="70" t="n"/>
      <c r="CC275" s="70" t="n"/>
      <c r="CD275" s="70" t="n"/>
      <c r="CE275" s="70" t="n"/>
      <c r="CF275" s="70" t="n"/>
      <c r="CG275" s="70" t="n"/>
      <c r="CH275" s="70" t="n"/>
      <c r="CI275" s="70" t="n"/>
      <c r="CJ275" s="70" t="n"/>
      <c r="CK275" s="70" t="n"/>
      <c r="CL275" s="70" t="n"/>
      <c r="CM275" s="70" t="n"/>
      <c r="CN275" s="70" t="n"/>
      <c r="CO275" s="70" t="n"/>
      <c r="CP275" s="70" t="n"/>
      <c r="CQ275" s="70" t="n"/>
      <c r="CR275" s="70" t="n"/>
      <c r="CS275" s="70" t="n"/>
      <c r="CT275" s="70" t="n"/>
      <c r="CU275" s="70" t="n"/>
      <c r="CV275" s="70" t="n"/>
      <c r="CW275" s="70" t="n"/>
      <c r="CX275" s="70" t="n"/>
      <c r="CY275" s="70" t="n"/>
    </row>
    <row r="276">
      <c r="C276" s="18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  <c r="AB276" s="3" t="n"/>
      <c r="AC276" s="3" t="n"/>
      <c r="AD276" s="3" t="n"/>
      <c r="AE276" s="3" t="n"/>
      <c r="AF276" s="3" t="n"/>
      <c r="AG276" s="3" t="n"/>
      <c r="AH276" s="3" t="n"/>
      <c r="AI276" s="3" t="n"/>
      <c r="AJ276" s="3" t="n"/>
      <c r="AK276" s="3" t="n"/>
      <c r="AL276" s="3" t="n"/>
      <c r="AM276" s="3" t="n"/>
      <c r="AN276" s="3" t="n"/>
      <c r="AO276" s="3" t="n"/>
      <c r="AP276" s="3" t="n"/>
      <c r="AQ276" s="3" t="n"/>
      <c r="AR276" s="3" t="n"/>
      <c r="AS276" s="3" t="n"/>
      <c r="AT276" s="3" t="n"/>
      <c r="AU276" s="3" t="n"/>
      <c r="AV276" s="3" t="n"/>
      <c r="AW276" s="3" t="n"/>
      <c r="AX276" s="3" t="n"/>
      <c r="AY276" s="3" t="n"/>
      <c r="AZ276" s="3" t="n"/>
      <c r="BA276" s="3" t="n"/>
      <c r="BB276" s="3" t="n"/>
      <c r="BC276" s="3" t="n"/>
      <c r="BD276" s="3" t="n"/>
      <c r="BE276" s="3" t="n"/>
      <c r="BF276" s="3" t="n"/>
      <c r="BG276" s="3" t="n"/>
      <c r="BH276" s="3" t="n"/>
      <c r="BI276" s="3" t="n"/>
      <c r="BJ276" s="3" t="n"/>
      <c r="BK276" s="3" t="n"/>
      <c r="BL276" s="3" t="n"/>
      <c r="BM276" s="3" t="n"/>
      <c r="BN276" s="3" t="n"/>
      <c r="BO276" s="3" t="n"/>
      <c r="BP276" s="3" t="n"/>
      <c r="BQ276" s="3" t="n"/>
      <c r="BR276" s="3" t="n"/>
      <c r="BS276" s="3" t="n"/>
      <c r="BT276" s="3" t="n"/>
      <c r="BU276" s="3" t="n"/>
      <c r="BV276" s="3" t="n"/>
      <c r="BW276" s="3" t="n"/>
      <c r="BX276" s="3" t="n"/>
      <c r="BY276" s="3" t="n"/>
      <c r="BZ276" s="3" t="n"/>
      <c r="CA276" s="3" t="n"/>
      <c r="CB276" s="3" t="n"/>
      <c r="CC276" s="3" t="n"/>
      <c r="CD276" s="3" t="n"/>
      <c r="CE276" s="3" t="n"/>
      <c r="CF276" s="3" t="n"/>
      <c r="CG276" s="3" t="n"/>
      <c r="CH276" s="3" t="n"/>
      <c r="CI276" s="3" t="n"/>
      <c r="CJ276" s="3" t="n"/>
      <c r="CK276" s="3" t="n"/>
      <c r="CL276" s="3" t="n"/>
      <c r="CM276" s="3" t="n"/>
      <c r="CN276" s="3" t="n"/>
      <c r="CO276" s="3" t="n"/>
      <c r="CP276" s="3" t="n"/>
      <c r="CQ276" s="3" t="n"/>
      <c r="CR276" s="3" t="n"/>
      <c r="CS276" s="3" t="n"/>
      <c r="CT276" s="3" t="n"/>
      <c r="CU276" s="3" t="n"/>
      <c r="CV276" s="3" t="n"/>
      <c r="CW276" s="3" t="n"/>
      <c r="CX276" s="3" t="n"/>
      <c r="CY276" s="3" t="n"/>
    </row>
    <row r="277">
      <c r="C277" s="10" t="inlineStr">
        <is>
          <t>Net Income</t>
        </is>
      </c>
      <c r="D277" s="12" t="n"/>
      <c r="E277" s="12" t="n"/>
      <c r="F277" s="12" t="n"/>
      <c r="G277" s="12" t="n"/>
      <c r="H277" s="12" t="n"/>
      <c r="I277" s="12" t="n"/>
      <c r="J277" s="12">
        <f>J137</f>
        <v>40.623206563</v>
      </c>
      <c r="K277" s="12">
        <f>K137</f>
        <v>47.2101116990001</v>
      </c>
      <c r="L277" s="12">
        <f>L137</f>
        <v>31.958815488</v>
      </c>
      <c r="M277" s="12" t="n"/>
      <c r="N277" s="12">
        <f>N137</f>
        <v>26.707</v>
      </c>
      <c r="O277" s="12">
        <f>O137</f>
        <v>22.436</v>
      </c>
      <c r="P277" s="12">
        <f>P137</f>
        <v>62.2739999999999</v>
      </c>
      <c r="Q277" s="12">
        <f>Q137</f>
        <v>78.605</v>
      </c>
      <c r="R277" s="12">
        <f>SUM(N277:Q277)</f>
        <v>190.022</v>
      </c>
      <c r="S277" s="12">
        <f>S137</f>
        <v>58.754</v>
      </c>
      <c r="T277" s="12">
        <f>T137</f>
        <v>104.439</v>
      </c>
      <c r="U277" s="12">
        <f>U137</f>
        <v>68.7639458</v>
      </c>
      <c r="V277" s="12">
        <f>V137</f>
        <v>99.606</v>
      </c>
      <c r="W277" s="12">
        <f>SUM(S277:V277)</f>
        <v>331.5629458</v>
      </c>
      <c r="X277" s="12">
        <f>X137</f>
        <v>150.28470318</v>
      </c>
      <c r="Y277" s="12">
        <f>Y137</f>
        <v>146.169</v>
      </c>
      <c r="Z277" s="12">
        <f>Z137</f>
        <v>160.46398368</v>
      </c>
      <c r="AA277" s="12">
        <f>AA137</f>
        <v>181.461</v>
      </c>
      <c r="AB277" s="12">
        <f>SUM(X277:AA277)</f>
        <v>638.37868686</v>
      </c>
      <c r="AC277" s="12">
        <f>AC137</f>
        <v>164.516</v>
      </c>
      <c r="AD277" s="12">
        <f>AD137</f>
        <v>183.742</v>
      </c>
      <c r="AE277" s="12">
        <f>AE137</f>
        <v>229.652</v>
      </c>
      <c r="AF277" s="12">
        <f>AF137</f>
        <v>211.431</v>
      </c>
      <c r="AG277" s="12">
        <f>SUM(AC277:AF277)</f>
        <v>789.341</v>
      </c>
      <c r="AH277" s="12">
        <f>AH137</f>
        <v>213.16</v>
      </c>
      <c r="AI277" s="12">
        <f>AI137</f>
        <v>201.64907029</v>
      </c>
      <c r="AJ277" s="12">
        <f>AJ137</f>
        <v>427.033298925045</v>
      </c>
      <c r="AK277" s="12">
        <f>AK137</f>
        <v>452.120730244756</v>
      </c>
      <c r="AL277" s="12">
        <f>SUM(AH277:AK277)</f>
        <v>1293.9630994598</v>
      </c>
      <c r="AM277" s="12">
        <f>AM137</f>
        <v>429.50589727211</v>
      </c>
      <c r="AN277" s="12">
        <f>AN137</f>
        <v>471.82406391076</v>
      </c>
      <c r="AO277" s="12">
        <f>AO137</f>
        <v>547.928807942789</v>
      </c>
      <c r="AP277" s="12">
        <f>AP137</f>
        <v>580.118631012696</v>
      </c>
      <c r="AQ277" s="12">
        <f>SUM(AM277:AP277)</f>
        <v>2029.37740013835</v>
      </c>
      <c r="AR277" s="12">
        <f>AR137</f>
        <v>548.953883188282</v>
      </c>
      <c r="AS277" s="12">
        <f>AS137</f>
        <v>603.040968029816</v>
      </c>
      <c r="AT277" s="12">
        <f>AT137</f>
        <v>700.310865907293</v>
      </c>
      <c r="AU277" s="12">
        <f>AU137</f>
        <v>741.452858335336</v>
      </c>
      <c r="AV277" s="12">
        <f>SUM(AR277:AU277)</f>
        <v>2593.75857546073</v>
      </c>
      <c r="AW277" s="12">
        <f>AW137</f>
        <v>698.876250880727</v>
      </c>
      <c r="AX277" s="12">
        <f>AX137</f>
        <v>767.734820302949</v>
      </c>
      <c r="AY277" s="12">
        <f>AY137</f>
        <v>891.569669885108</v>
      </c>
      <c r="AZ277" s="12">
        <f>AZ137</f>
        <v>943.947769944949</v>
      </c>
      <c r="BA277" s="12">
        <f>SUM(AW277:AZ277)</f>
        <v>3302.12851101373</v>
      </c>
      <c r="BB277" s="12">
        <f>BB137</f>
        <v>886.248872237762</v>
      </c>
      <c r="BC277" s="12">
        <f>BC137</f>
        <v>973.56880823136</v>
      </c>
      <c r="BD277" s="12">
        <f>BD137</f>
        <v>1130.60447176638</v>
      </c>
      <c r="BE277" s="12">
        <f>BE137</f>
        <v>1197.02543262961</v>
      </c>
      <c r="BF277" s="12">
        <f>SUM(BB277:BE277)</f>
        <v>4187.44758486511</v>
      </c>
      <c r="BG277" s="12" t="n"/>
      <c r="BH277" s="12" t="n"/>
      <c r="BI277" s="12" t="n"/>
      <c r="BJ277" s="12" t="n"/>
      <c r="BK277" s="12" t="n"/>
      <c r="BL277" s="12" t="n"/>
      <c r="BM277" s="12" t="n"/>
      <c r="BN277" s="12" t="n"/>
      <c r="BO277" s="12" t="n"/>
      <c r="BP277" s="12" t="n"/>
      <c r="BQ277" s="12" t="n"/>
      <c r="BR277" s="12" t="n"/>
      <c r="BS277" s="12" t="n"/>
      <c r="BT277" s="12" t="n"/>
      <c r="BU277" s="12" t="n"/>
      <c r="BV277" s="12" t="n"/>
      <c r="BW277" s="12" t="n"/>
      <c r="BX277" s="12" t="n"/>
      <c r="BY277" s="12" t="n"/>
      <c r="BZ277" s="12" t="n"/>
      <c r="CA277" s="12" t="n"/>
      <c r="CB277" s="12" t="n"/>
      <c r="CC277" s="12" t="n"/>
      <c r="CD277" s="12" t="n"/>
      <c r="CE277" s="12" t="n"/>
      <c r="CF277" s="12" t="n"/>
      <c r="CG277" s="12" t="n"/>
      <c r="CH277" s="12" t="n"/>
      <c r="CI277" s="12" t="n"/>
      <c r="CJ277" s="12" t="n"/>
      <c r="CK277" s="12" t="n"/>
      <c r="CL277" s="12" t="n"/>
      <c r="CM277" s="12" t="n"/>
      <c r="CN277" s="12" t="n"/>
      <c r="CO277" s="12" t="n"/>
      <c r="CP277" s="12" t="n"/>
      <c r="CQ277" s="12" t="n"/>
      <c r="CR277" s="12" t="n"/>
      <c r="CS277" s="12" t="n"/>
      <c r="CT277" s="12" t="n"/>
      <c r="CU277" s="12" t="n"/>
      <c r="CV277" s="12" t="n"/>
      <c r="CW277" s="12" t="n"/>
      <c r="CX277" s="12" t="n"/>
      <c r="CY277" s="12" t="n"/>
    </row>
    <row r="278">
      <c r="C278" s="10" t="inlineStr">
        <is>
          <t>Depreciation &amp; amortization</t>
        </is>
      </c>
      <c r="D278" s="12" t="n"/>
      <c r="E278" s="12" t="n"/>
      <c r="F278" s="12" t="n"/>
      <c r="G278" s="12" t="n"/>
      <c r="H278" s="12" t="n"/>
      <c r="I278" s="12" t="n"/>
      <c r="J278" s="12">
        <f>-J70</f>
        <v>12.452</v>
      </c>
      <c r="K278" s="12">
        <f>-K70</f>
        <v>13.005</v>
      </c>
      <c r="L278" s="12">
        <f>-L70</f>
        <v>13.662</v>
      </c>
      <c r="M278" s="12" t="n"/>
      <c r="N278" s="12">
        <f>-N70</f>
        <v>14.185</v>
      </c>
      <c r="O278" s="12">
        <f>-O70</f>
        <v>13.643</v>
      </c>
      <c r="P278" s="12">
        <f>-P70</f>
        <v>12.829</v>
      </c>
      <c r="Q278" s="12">
        <f>-Q70</f>
        <v>12.768</v>
      </c>
      <c r="R278" s="12">
        <f>SUM(N278:Q278)</f>
        <v>53.425</v>
      </c>
      <c r="S278" s="12">
        <f>-S70</f>
        <v>13.548</v>
      </c>
      <c r="T278" s="12">
        <f>-T70</f>
        <v>17.123</v>
      </c>
      <c r="U278" s="12">
        <f>-U70</f>
        <v>16.581</v>
      </c>
      <c r="V278" s="12">
        <f>-V70</f>
        <v>13.303</v>
      </c>
      <c r="W278" s="12">
        <f>SUM(S278:V278)</f>
        <v>60.555</v>
      </c>
      <c r="X278" s="12">
        <f>-X70</f>
        <v>16.148</v>
      </c>
      <c r="Y278" s="12">
        <f>-Y70</f>
        <v>18.629</v>
      </c>
      <c r="Z278" s="12">
        <f>-Z70</f>
        <v>16.259</v>
      </c>
      <c r="AA278" s="12">
        <f>-AA70</f>
        <v>19.031</v>
      </c>
      <c r="AB278" s="12">
        <f>SUM(X278:AA278)</f>
        <v>70.067</v>
      </c>
      <c r="AC278" s="12">
        <f>-AC70</f>
        <v>18.02</v>
      </c>
      <c r="AD278" s="12">
        <f>-AD70</f>
        <v>19.728</v>
      </c>
      <c r="AE278" s="12">
        <f>-AE70</f>
        <v>20.304</v>
      </c>
      <c r="AF278" s="12">
        <f>-AF70</f>
        <v>22.691</v>
      </c>
      <c r="AG278" s="12">
        <f>SUM(AC278:AF278)</f>
        <v>80.743</v>
      </c>
      <c r="AH278" s="12">
        <f>-AH70</f>
        <v>22.549</v>
      </c>
      <c r="AI278" s="12">
        <f>-AI70</f>
        <v>23.439</v>
      </c>
      <c r="AJ278" s="12">
        <f>-AJ70</f>
        <v>27.8319633785117</v>
      </c>
      <c r="AK278" s="12">
        <f>-AK70</f>
        <v>29.4670407167632</v>
      </c>
      <c r="AL278" s="12">
        <f>SUM(AH278:AK278)</f>
        <v>103.287004095275</v>
      </c>
      <c r="AM278" s="12">
        <f>-AM70</f>
        <v>27.9931153702147</v>
      </c>
      <c r="AN278" s="12">
        <f>-AN70</f>
        <v>30.751208631554</v>
      </c>
      <c r="AO278" s="12">
        <f>-AO70</f>
        <v>35.7113474641986</v>
      </c>
      <c r="AP278" s="12">
        <f>-AP70</f>
        <v>37.8093243177546</v>
      </c>
      <c r="AQ278" s="12">
        <f>SUM(AM278:AP278)</f>
        <v>132.264995783722</v>
      </c>
      <c r="AR278" s="12">
        <f>-AR70</f>
        <v>35.7781569068453</v>
      </c>
      <c r="AS278" s="12">
        <f>-AS70</f>
        <v>39.3032912894553</v>
      </c>
      <c r="AT278" s="12">
        <f>-AT70</f>
        <v>45.642872400278</v>
      </c>
      <c r="AU278" s="12">
        <f>-AU70</f>
        <v>48.3243083198157</v>
      </c>
      <c r="AV278" s="12">
        <f>SUM(AR278:AU278)</f>
        <v>169.048628916394</v>
      </c>
      <c r="AW278" s="12">
        <f>-AW70</f>
        <v>45.5493711370693</v>
      </c>
      <c r="AX278" s="12">
        <f>-AX70</f>
        <v>50.0372393835978</v>
      </c>
      <c r="AY278" s="12">
        <f>-AY70</f>
        <v>58.108195459459</v>
      </c>
      <c r="AZ278" s="12">
        <f>-AZ70</f>
        <v>61.5219464863019</v>
      </c>
      <c r="BA278" s="12">
        <f>SUM(AW278:AZ278)</f>
        <v>215.216752466428</v>
      </c>
      <c r="BB278" s="12">
        <f>-BB70</f>
        <v>57.7614116240106</v>
      </c>
      <c r="BC278" s="12">
        <f>-BC70</f>
        <v>63.4525023818168</v>
      </c>
      <c r="BD278" s="12">
        <f>-BD70</f>
        <v>73.6873268033054</v>
      </c>
      <c r="BE278" s="12">
        <f>-BE70</f>
        <v>78.0163235231502</v>
      </c>
      <c r="BF278" s="12">
        <f>SUM(BB278:BE278)</f>
        <v>272.917564332283</v>
      </c>
      <c r="BG278" s="12" t="n"/>
      <c r="BH278" s="12" t="n"/>
      <c r="BI278" s="12" t="n"/>
      <c r="BJ278" s="12" t="n"/>
      <c r="BK278" s="12" t="n"/>
      <c r="BL278" s="12" t="n"/>
      <c r="BM278" s="12" t="n"/>
      <c r="BN278" s="12" t="n"/>
      <c r="BO278" s="12" t="n"/>
      <c r="BP278" s="12" t="n"/>
      <c r="BQ278" s="12" t="n"/>
      <c r="BR278" s="12" t="n"/>
      <c r="BS278" s="12" t="n"/>
      <c r="BT278" s="12" t="n"/>
      <c r="BU278" s="12" t="n"/>
      <c r="BV278" s="12" t="n"/>
      <c r="BW278" s="12" t="n"/>
      <c r="BX278" s="12" t="n"/>
      <c r="BY278" s="12" t="n"/>
      <c r="BZ278" s="12" t="n"/>
      <c r="CA278" s="12" t="n"/>
      <c r="CB278" s="12" t="n"/>
      <c r="CC278" s="12" t="n"/>
      <c r="CD278" s="12" t="n"/>
      <c r="CE278" s="12" t="n"/>
      <c r="CF278" s="12" t="n"/>
      <c r="CG278" s="12" t="n"/>
      <c r="CH278" s="12" t="n"/>
      <c r="CI278" s="12" t="n"/>
      <c r="CJ278" s="12" t="n"/>
      <c r="CK278" s="12" t="n"/>
      <c r="CL278" s="12" t="n"/>
      <c r="CM278" s="12" t="n"/>
      <c r="CN278" s="12" t="n"/>
      <c r="CO278" s="12" t="n"/>
      <c r="CP278" s="12" t="n"/>
      <c r="CQ278" s="12" t="n"/>
      <c r="CR278" s="12" t="n"/>
      <c r="CS278" s="12" t="n"/>
      <c r="CT278" s="12" t="n"/>
      <c r="CU278" s="12" t="n"/>
      <c r="CV278" s="12" t="n"/>
      <c r="CW278" s="12" t="n"/>
      <c r="CX278" s="12" t="n"/>
      <c r="CY278" s="12" t="n"/>
    </row>
    <row r="279">
      <c r="C279" s="10" t="inlineStr">
        <is>
          <t xml:space="preserve">Changes in working capital </t>
        </is>
      </c>
      <c r="D279" s="12" t="n"/>
      <c r="E279" s="12" t="n"/>
      <c r="F279" s="12" t="n"/>
      <c r="G279" s="12" t="n"/>
      <c r="H279" s="12" t="n"/>
      <c r="I279" s="12" t="n"/>
      <c r="J279" s="12">
        <f>SUM(J280:J289)</f>
        <v>-251.762</v>
      </c>
      <c r="K279" s="12">
        <f>SUM(K280:K289)</f>
        <v>-73.3599999999998</v>
      </c>
      <c r="L279" s="12">
        <f>SUM(L280:L289)</f>
        <v>-51.2020000000001</v>
      </c>
      <c r="M279" s="12" t="n"/>
      <c r="N279" s="12">
        <f>SUM(N280:N289)</f>
        <v>-45.1099999999999</v>
      </c>
      <c r="O279" s="12">
        <f>SUM(O280:O289)</f>
        <v>49.0889999999996</v>
      </c>
      <c r="P279" s="12">
        <f>SUM(P280:P289)</f>
        <v>-176.145</v>
      </c>
      <c r="Q279" s="12">
        <f>SUM(Q280:Q289)</f>
        <v>-161.769</v>
      </c>
      <c r="R279" s="12">
        <f>SUM(N279:Q279)</f>
        <v>-333.935</v>
      </c>
      <c r="S279" s="12">
        <f>SUM(S280:S289)</f>
        <v>-154.60822073</v>
      </c>
      <c r="T279" s="12">
        <f>SUM(T280:T289)</f>
        <v>-231.25605127</v>
      </c>
      <c r="U279" s="12">
        <f>SUM(U280:U289)</f>
        <v>-84.1598082299997</v>
      </c>
      <c r="V279" s="12">
        <f>SUM(V280:V289)</f>
        <v>-171.149669279999</v>
      </c>
      <c r="W279" s="12">
        <f>SUM(S279:V279)</f>
        <v>-641.17374951</v>
      </c>
      <c r="X279" s="12">
        <f>SUM(X280:X289)</f>
        <v>-444.01189782</v>
      </c>
      <c r="Y279" s="12">
        <f>SUM(Y280:Y289)</f>
        <v>-442.23141915</v>
      </c>
      <c r="Z279" s="12">
        <f>SUM(Z280:Z289)</f>
        <v>-461.109259349999</v>
      </c>
      <c r="AA279" s="12">
        <f>SUM(AA280:AA289)</f>
        <v>-85.5916741700007</v>
      </c>
      <c r="AB279" s="12">
        <f>SUM(X279:AA279)</f>
        <v>-1432.94425049</v>
      </c>
      <c r="AC279" s="12">
        <f>SUM(AC280:AC289)</f>
        <v>-834.842</v>
      </c>
      <c r="AD279" s="12">
        <f>SUM(AD280:AD289)</f>
        <v>110.101</v>
      </c>
      <c r="AE279" s="12">
        <f>SUM(AE280:AE289)</f>
        <v>-898.769000000001</v>
      </c>
      <c r="AF279" s="12">
        <f>SUM(AF280:AF289)</f>
        <v>-848.574</v>
      </c>
      <c r="AG279" s="12">
        <f>SUM(AC279:AF279)</f>
        <v>-2472.084</v>
      </c>
      <c r="AH279" s="12">
        <f>SUM(AH280:AH289)</f>
        <v>-501.897</v>
      </c>
      <c r="AI279" s="12">
        <f>SUM(AI280:AI289)</f>
        <v>-474.988</v>
      </c>
      <c r="AJ279" s="12">
        <f>SUM(AJ280:AJ289)</f>
        <v>-1243.70254836169</v>
      </c>
      <c r="AK279" s="12">
        <f>SUM(AK280:AK289)</f>
        <v>-634.419208640774</v>
      </c>
      <c r="AL279" s="12">
        <f>SUM(AH279:AK279)</f>
        <v>-2855.00675700247</v>
      </c>
      <c r="AM279" s="12">
        <f>SUM(AM280:AM289)</f>
        <v>444.068719213119</v>
      </c>
      <c r="AN279" s="12">
        <f>SUM(AN280:AN289)</f>
        <v>-951.516031843947</v>
      </c>
      <c r="AO279" s="12">
        <f>SUM(AO280:AO289)</f>
        <v>-1838.410262443</v>
      </c>
      <c r="AP279" s="12">
        <f>SUM(AP280:AP289)</f>
        <v>-724.191237136766</v>
      </c>
      <c r="AQ279" s="12">
        <f>SUM(AM279:AP279)</f>
        <v>-3070.04881221059</v>
      </c>
      <c r="AR279" s="12">
        <f>SUM(AR280:AR289)</f>
        <v>913.622056668652</v>
      </c>
      <c r="AS279" s="12">
        <f>SUM(AS280:AS289)</f>
        <v>-1245.16422252914</v>
      </c>
      <c r="AT279" s="12">
        <f>SUM(AT280:AT289)</f>
        <v>-2168.36216608745</v>
      </c>
      <c r="AU279" s="12">
        <f>SUM(AU280:AU289)</f>
        <v>-694.69606923057</v>
      </c>
      <c r="AV279" s="12">
        <f>SUM(AR279:AU279)</f>
        <v>-3194.60040117851</v>
      </c>
      <c r="AW279" s="12">
        <f>SUM(AW280:AW289)</f>
        <v>1315.26164857323</v>
      </c>
      <c r="AX279" s="12">
        <f>SUM(AX280:AX289)</f>
        <v>-999.525504334197</v>
      </c>
      <c r="AY279" s="12">
        <f>SUM(AY280:AY289)</f>
        <v>-2294.46756301678</v>
      </c>
      <c r="AZ279" s="12">
        <f>SUM(AZ280:AZ289)</f>
        <v>-293.280100430728</v>
      </c>
      <c r="BA279" s="12">
        <f>SUM(AW279:AZ279)</f>
        <v>-2272.01151920847</v>
      </c>
      <c r="BB279" s="12">
        <f>SUM(BB280:BB289)</f>
        <v>2509.52012132239</v>
      </c>
      <c r="BC279" s="12">
        <f>SUM(BC280:BC289)</f>
        <v>-334.480909405099</v>
      </c>
      <c r="BD279" s="12">
        <f>SUM(BD280:BD289)</f>
        <v>-1731.00385940162</v>
      </c>
      <c r="BE279" s="12">
        <f>SUM(BE280:BE289)</f>
        <v>1116.91805011862</v>
      </c>
      <c r="BF279" s="12">
        <f>SUM(BB279:BE279)</f>
        <v>1560.95340263429</v>
      </c>
      <c r="BG279" s="12" t="n"/>
      <c r="BH279" s="12" t="n"/>
      <c r="BI279" s="12" t="n"/>
      <c r="BJ279" s="12" t="n"/>
      <c r="BK279" s="12" t="n"/>
      <c r="BL279" s="12" t="n"/>
      <c r="BM279" s="12" t="n"/>
      <c r="BN279" s="12" t="n"/>
      <c r="BO279" s="12" t="n"/>
      <c r="BP279" s="12" t="n"/>
      <c r="BQ279" s="12" t="n"/>
      <c r="BR279" s="12" t="n"/>
      <c r="BS279" s="12" t="n"/>
      <c r="BT279" s="12" t="n"/>
      <c r="BU279" s="12" t="n"/>
      <c r="BV279" s="12" t="n"/>
      <c r="BW279" s="12" t="n"/>
      <c r="BX279" s="12" t="n"/>
      <c r="BY279" s="12" t="n"/>
      <c r="BZ279" s="12" t="n"/>
      <c r="CA279" s="12" t="n"/>
      <c r="CB279" s="12" t="n"/>
      <c r="CC279" s="12" t="n"/>
      <c r="CD279" s="12" t="n"/>
      <c r="CE279" s="12" t="n"/>
      <c r="CF279" s="12" t="n"/>
      <c r="CG279" s="12" t="n"/>
      <c r="CH279" s="12" t="n"/>
      <c r="CI279" s="12" t="n"/>
      <c r="CJ279" s="12" t="n"/>
      <c r="CK279" s="12" t="n"/>
      <c r="CL279" s="12" t="n"/>
      <c r="CM279" s="12" t="n"/>
      <c r="CN279" s="12" t="n"/>
      <c r="CO279" s="12" t="n"/>
      <c r="CP279" s="12" t="n"/>
      <c r="CQ279" s="12" t="n"/>
      <c r="CR279" s="12" t="n"/>
      <c r="CS279" s="12" t="n"/>
      <c r="CT279" s="12" t="n"/>
      <c r="CU279" s="12" t="n"/>
      <c r="CV279" s="12" t="n"/>
      <c r="CW279" s="12" t="n"/>
      <c r="CX279" s="12" t="n"/>
      <c r="CY279" s="12" t="n"/>
    </row>
    <row r="280" hidden="1" outlineLevel="1">
      <c r="C280" s="10" t="inlineStr">
        <is>
          <t>Accounts receivable</t>
        </is>
      </c>
      <c r="D280" s="12" t="n"/>
      <c r="E280" s="12" t="n"/>
      <c r="F280" s="12" t="n"/>
      <c r="G280" s="12" t="n"/>
      <c r="H280" s="12" t="n"/>
      <c r="I280" s="12" t="n"/>
      <c r="J280" s="12">
        <f>(J145-I145)*-1</f>
        <v>-29.643</v>
      </c>
      <c r="K280" s="12">
        <f>(K145-J145)*-1</f>
        <v>-46.822</v>
      </c>
      <c r="L280" s="12">
        <f>(L145-K145)*-1</f>
        <v>60.304</v>
      </c>
      <c r="M280" s="12" t="n"/>
      <c r="N280" s="12">
        <f>(N145-M145)*-1</f>
        <v>-57.242</v>
      </c>
      <c r="O280" s="12">
        <f>(O145-N145)*-1</f>
        <v>-23.0210000000001</v>
      </c>
      <c r="P280" s="12">
        <f>(P145-O145)*-1</f>
        <v>-95.1899999999999</v>
      </c>
      <c r="Q280" s="12">
        <f>(Q145-P145)*-1</f>
        <v>-33.515</v>
      </c>
      <c r="R280" s="12">
        <f>SUM(N280:Q280)</f>
        <v>-208.968</v>
      </c>
      <c r="S280" s="12">
        <f>(S145-R145)*-1</f>
        <v>-52.7214851500002</v>
      </c>
      <c r="T280" s="12">
        <f>(T145-S145)*-1</f>
        <v>-2.07314871999995</v>
      </c>
      <c r="U280" s="12">
        <f>(U145-T145)*-1</f>
        <v>-80.56456452</v>
      </c>
      <c r="V280" s="12">
        <f>(V145-U145)*-1</f>
        <v>-165.3082131</v>
      </c>
      <c r="W280" s="12">
        <f>SUM(S280:V280)</f>
        <v>-300.66741149</v>
      </c>
      <c r="X280" s="12">
        <f>(X145-W145)*-1</f>
        <v>-223.09272162</v>
      </c>
      <c r="Y280" s="12">
        <f>(Y145-X145)*-1</f>
        <v>-238.1197429</v>
      </c>
      <c r="Z280" s="12">
        <f>(Z145-Y145)*-1</f>
        <v>-167.81610556</v>
      </c>
      <c r="AA280" s="12">
        <f>(AA145-Z145)*-1</f>
        <v>-224.51701843</v>
      </c>
      <c r="AB280" s="12">
        <f>SUM(X280:AA280)</f>
        <v>-853.54558851</v>
      </c>
      <c r="AC280" s="12">
        <f>(AC145-AB145)*-1</f>
        <v>-253.944</v>
      </c>
      <c r="AD280" s="12">
        <f>(AD145-AC145)*-1</f>
        <v>-291.182</v>
      </c>
      <c r="AE280" s="12">
        <f>(AE145-AD145)*-1</f>
        <v>-235.292</v>
      </c>
      <c r="AF280" s="12">
        <f>(AF145-AE145)*-1</f>
        <v>-207.828</v>
      </c>
      <c r="AG280" s="12">
        <f>SUM(AC280:AF280)</f>
        <v>-988.246</v>
      </c>
      <c r="AH280" s="12">
        <f>(AH145-AG145)*-1</f>
        <v>-198.18</v>
      </c>
      <c r="AI280" s="12">
        <f>(AI145-AH145)*-1</f>
        <v>-122.965</v>
      </c>
      <c r="AJ280" s="12">
        <f>(AJ145-AI145)*-1</f>
        <v>-330.156322336017</v>
      </c>
      <c r="AK280" s="12">
        <f>(AK145-AJ145)*-1</f>
        <v>-204.389302514544</v>
      </c>
      <c r="AL280" s="12">
        <f>SUM(AH280:AK280)</f>
        <v>-855.69062485056</v>
      </c>
      <c r="AM280" s="12">
        <f>(AM145-AL145)*-1</f>
        <v>106.484429414494</v>
      </c>
      <c r="AN280" s="12">
        <f>(AN145-AM145)*-1</f>
        <v>-309.250688385526</v>
      </c>
      <c r="AO280" s="12">
        <f>(AO145-AN145)*-1</f>
        <v>-577.789786261653</v>
      </c>
      <c r="AP280" s="12">
        <f>(AP145-AO145)*-1</f>
        <v>-262.253054187957</v>
      </c>
      <c r="AQ280" s="12">
        <f>SUM(AM280:AP280)</f>
        <v>-1042.80909942064</v>
      </c>
      <c r="AR280" s="12">
        <f>(AR145-AQ145)*-1</f>
        <v>204.754749957566</v>
      </c>
      <c r="AS280" s="12">
        <f>(AS145-AR145)*-1</f>
        <v>-445.494118502018</v>
      </c>
      <c r="AT280" s="12">
        <f>(AT145-AS145)*-1</f>
        <v>-738.476348868186</v>
      </c>
      <c r="AU280" s="12">
        <f>(AU145-AT145)*-1</f>
        <v>-335.187091466773</v>
      </c>
      <c r="AV280" s="12">
        <f>SUM(AR280:AU280)</f>
        <v>-1314.40280887941</v>
      </c>
      <c r="AW280" s="12">
        <f>(AW145-AV145)*-1</f>
        <v>220.346114015894</v>
      </c>
      <c r="AX280" s="12">
        <f>(AX145-AW145)*-1</f>
        <v>-503.201383389234</v>
      </c>
      <c r="AY280" s="12">
        <f>(AY145-AX145)*-1</f>
        <v>-940.15835913865</v>
      </c>
      <c r="AZ280" s="12">
        <f>(AZ145-AY145)*-1</f>
        <v>-426.728555898691</v>
      </c>
      <c r="BA280" s="12">
        <f>SUM(AW280:AZ280)</f>
        <v>-1649.74218441068</v>
      </c>
      <c r="BB280" s="12">
        <f>(BB145-BA145)*-1</f>
        <v>309.625513991698</v>
      </c>
      <c r="BC280" s="12">
        <f>(BC145-BB145)*-1</f>
        <v>-638.112481251422</v>
      </c>
      <c r="BD280" s="12">
        <f>(BD145-BC145)*-1</f>
        <v>-1192.22005964792</v>
      </c>
      <c r="BE280" s="12">
        <f>(BE145-BD145)*-1</f>
        <v>-541.136862127265</v>
      </c>
      <c r="BF280" s="12">
        <f>SUM(BB280:BE280)</f>
        <v>-2061.84388903491</v>
      </c>
      <c r="BG280" s="12" t="n"/>
      <c r="BH280" s="12" t="n"/>
      <c r="BI280" s="12" t="n"/>
      <c r="BJ280" s="12" t="n"/>
      <c r="BK280" s="12" t="n"/>
      <c r="BL280" s="12" t="n"/>
      <c r="BM280" s="12" t="n"/>
      <c r="BN280" s="12" t="n"/>
      <c r="BO280" s="12" t="n"/>
      <c r="BP280" s="12" t="n"/>
      <c r="BQ280" s="12" t="n"/>
      <c r="BR280" s="12" t="n"/>
      <c r="BS280" s="12" t="n"/>
      <c r="BT280" s="12" t="n"/>
      <c r="BU280" s="12" t="n"/>
      <c r="BV280" s="12" t="n"/>
      <c r="BW280" s="12" t="n"/>
      <c r="BX280" s="12" t="n"/>
      <c r="BY280" s="12" t="n"/>
      <c r="BZ280" s="12" t="n"/>
      <c r="CA280" s="12" t="n"/>
      <c r="CB280" s="12" t="n"/>
      <c r="CC280" s="12" t="n"/>
      <c r="CD280" s="12" t="n"/>
      <c r="CE280" s="12" t="n"/>
      <c r="CF280" s="12" t="n"/>
      <c r="CG280" s="12" t="n"/>
      <c r="CH280" s="12" t="n"/>
      <c r="CI280" s="12" t="n"/>
      <c r="CJ280" s="12" t="n"/>
      <c r="CK280" s="12" t="n"/>
      <c r="CL280" s="12" t="n"/>
      <c r="CM280" s="12" t="n"/>
      <c r="CN280" s="12" t="n"/>
      <c r="CO280" s="12" t="n"/>
      <c r="CP280" s="12" t="n"/>
      <c r="CQ280" s="12" t="n"/>
      <c r="CR280" s="12" t="n"/>
      <c r="CS280" s="12" t="n"/>
      <c r="CT280" s="12" t="n"/>
      <c r="CU280" s="12" t="n"/>
      <c r="CV280" s="12" t="n"/>
      <c r="CW280" s="12" t="n"/>
      <c r="CX280" s="12" t="n"/>
      <c r="CY280" s="12" t="n"/>
    </row>
    <row r="281" hidden="1" outlineLevel="1">
      <c r="C281" s="10" t="inlineStr">
        <is>
          <t>Inventories</t>
        </is>
      </c>
      <c r="D281" s="12" t="n"/>
      <c r="E281" s="12" t="n"/>
      <c r="F281" s="12" t="n"/>
      <c r="G281" s="12" t="n"/>
      <c r="H281" s="12" t="n"/>
      <c r="I281" s="12" t="n"/>
      <c r="J281" s="12">
        <f>(J149-I149)*-1</f>
        <v>-209.729</v>
      </c>
      <c r="K281" s="12">
        <f>(K149-J149)*-1</f>
        <v>-33.4769999999999</v>
      </c>
      <c r="L281" s="12">
        <f>(L149-K149)*-1</f>
        <v>26.2069999999999</v>
      </c>
      <c r="M281" s="12" t="n"/>
      <c r="N281" s="12">
        <f>(N149-M149)*-1</f>
        <v>-35.0729999999999</v>
      </c>
      <c r="O281" s="12">
        <f>(O149-N149)*-1</f>
        <v>2.72399999999971</v>
      </c>
      <c r="P281" s="12">
        <f>(P149-O149)*-1</f>
        <v>-104.957</v>
      </c>
      <c r="Q281" s="12">
        <f>(Q149-P149)*-1</f>
        <v>-306.923</v>
      </c>
      <c r="R281" s="12">
        <f>SUM(N281:Q281)</f>
        <v>-444.229</v>
      </c>
      <c r="S281" s="12">
        <f>(S149-R149)*-1</f>
        <v>-5.71242692000033</v>
      </c>
      <c r="T281" s="12">
        <f>(T149-S149)*-1</f>
        <v>-159.88986279</v>
      </c>
      <c r="U281" s="12">
        <f>(U149-T149)*-1</f>
        <v>-146.61484624</v>
      </c>
      <c r="V281" s="12">
        <f>(V149-U149)*-1</f>
        <v>-171.44381174</v>
      </c>
      <c r="W281" s="12">
        <f>SUM(S281:V281)</f>
        <v>-483.66094769</v>
      </c>
      <c r="X281" s="12">
        <f>(X149-W149)*-1</f>
        <v>-138.43926851</v>
      </c>
      <c r="Y281" s="12">
        <f>(Y149-X149)*-1</f>
        <v>-320.22154422</v>
      </c>
      <c r="Z281" s="12">
        <f>(Z149-Y149)*-1</f>
        <v>-408.581144139999</v>
      </c>
      <c r="AA281" s="12">
        <f>(AA149-Z149)*-1</f>
        <v>-202.931095440001</v>
      </c>
      <c r="AB281" s="12">
        <f>SUM(X281:AA281)</f>
        <v>-1070.17305231</v>
      </c>
      <c r="AC281" s="12">
        <f>(AC149-AB149)*-1</f>
        <v>-275.451</v>
      </c>
      <c r="AD281" s="12">
        <f>(AD149-AC149)*-1</f>
        <v>-106.84</v>
      </c>
      <c r="AE281" s="12">
        <f>(AE149-AD149)*-1</f>
        <v>-289.388</v>
      </c>
      <c r="AF281" s="12">
        <f>(AF149-AE149)*-1</f>
        <v>-747.739</v>
      </c>
      <c r="AG281" s="12">
        <f>SUM(AC281:AF281)</f>
        <v>-1419.418</v>
      </c>
      <c r="AH281" s="12">
        <f>(AH149-AG149)*-1</f>
        <v>-245.454000000001</v>
      </c>
      <c r="AI281" s="12">
        <f>(AI149-AH149)*-1</f>
        <v>-426.299</v>
      </c>
      <c r="AJ281" s="12">
        <f>(AJ149-AI149)*-1</f>
        <v>-997.000540704465</v>
      </c>
      <c r="AK281" s="12">
        <f>(AK149-AJ149)*-1</f>
        <v>-506.424721221394</v>
      </c>
      <c r="AL281" s="12">
        <f>SUM(AH281:AK281)</f>
        <v>-2175.17826192586</v>
      </c>
      <c r="AM281" s="12">
        <f>(AM149-AL149)*-1</f>
        <v>263.841340115228</v>
      </c>
      <c r="AN281" s="12">
        <f>(AN149-AM149)*-1</f>
        <v>-766.244572129797</v>
      </c>
      <c r="AO281" s="12">
        <f>(AO149-AN149)*-1</f>
        <v>-1431.61617478149</v>
      </c>
      <c r="AP281" s="12">
        <f>(AP149-AO149)*-1</f>
        <v>-649.796384755238</v>
      </c>
      <c r="AQ281" s="12">
        <f>SUM(AM281:AP281)</f>
        <v>-2583.81579155129</v>
      </c>
      <c r="AR281" s="12">
        <f>(AR149-AQ149)*-1</f>
        <v>507.33020706227</v>
      </c>
      <c r="AS281" s="12">
        <f>(AS149-AR149)*-1</f>
        <v>-1103.82114911372</v>
      </c>
      <c r="AT281" s="12">
        <f>(AT149-AS149)*-1</f>
        <v>-1829.75661887957</v>
      </c>
      <c r="AU281" s="12">
        <f>(AU149-AT149)*-1</f>
        <v>-830.508384072558</v>
      </c>
      <c r="AV281" s="12">
        <f>SUM(AR281:AU281)</f>
        <v>-3256.75594500358</v>
      </c>
      <c r="AW281" s="12">
        <f>(AW149-AV149)*-1</f>
        <v>545.961642756607</v>
      </c>
      <c r="AX281" s="12">
        <f>(AX149-AW149)*-1</f>
        <v>-1246.80507818153</v>
      </c>
      <c r="AY281" s="12">
        <f>(AY149-AX149)*-1</f>
        <v>-2329.47335830786</v>
      </c>
      <c r="AZ281" s="12">
        <f>(AZ149-AY149)*-1</f>
        <v>-1057.32485653365</v>
      </c>
      <c r="BA281" s="12">
        <f>SUM(AW281:AZ281)</f>
        <v>-4087.64165026644</v>
      </c>
      <c r="BB281" s="12">
        <f>(BB149-BA149)*-1</f>
        <v>767.173294674361</v>
      </c>
      <c r="BC281" s="12">
        <f>(BC149-BB149)*-1</f>
        <v>-1581.08047461363</v>
      </c>
      <c r="BD281" s="12">
        <f>(BD149-BC149)*-1</f>
        <v>-2954.01816001985</v>
      </c>
      <c r="BE281" s="12">
        <f>(BE149-BD149)*-1</f>
        <v>-1340.79954857677</v>
      </c>
      <c r="BF281" s="12">
        <f>SUM(BB281:BE281)</f>
        <v>-5108.72488853589</v>
      </c>
      <c r="BG281" s="12" t="n"/>
      <c r="BH281" s="12" t="n"/>
      <c r="BI281" s="12" t="n"/>
      <c r="BJ281" s="12" t="n"/>
      <c r="BK281" s="12" t="n"/>
      <c r="BL281" s="12" t="n"/>
      <c r="BM281" s="12" t="n"/>
      <c r="BN281" s="12" t="n"/>
      <c r="BO281" s="12" t="n"/>
      <c r="BP281" s="12" t="n"/>
      <c r="BQ281" s="12" t="n"/>
      <c r="BR281" s="12" t="n"/>
      <c r="BS281" s="12" t="n"/>
      <c r="BT281" s="12" t="n"/>
      <c r="BU281" s="12" t="n"/>
      <c r="BV281" s="12" t="n"/>
      <c r="BW281" s="12" t="n"/>
      <c r="BX281" s="12" t="n"/>
      <c r="BY281" s="12" t="n"/>
      <c r="BZ281" s="12" t="n"/>
      <c r="CA281" s="12" t="n"/>
      <c r="CB281" s="12" t="n"/>
      <c r="CC281" s="12" t="n"/>
      <c r="CD281" s="12" t="n"/>
      <c r="CE281" s="12" t="n"/>
      <c r="CF281" s="12" t="n"/>
      <c r="CG281" s="12" t="n"/>
      <c r="CH281" s="12" t="n"/>
      <c r="CI281" s="12" t="n"/>
      <c r="CJ281" s="12" t="n"/>
      <c r="CK281" s="12" t="n"/>
      <c r="CL281" s="12" t="n"/>
      <c r="CM281" s="12" t="n"/>
      <c r="CN281" s="12" t="n"/>
      <c r="CO281" s="12" t="n"/>
      <c r="CP281" s="12" t="n"/>
      <c r="CQ281" s="12" t="n"/>
      <c r="CR281" s="12" t="n"/>
      <c r="CS281" s="12" t="n"/>
      <c r="CT281" s="12" t="n"/>
      <c r="CU281" s="12" t="n"/>
      <c r="CV281" s="12" t="n"/>
      <c r="CW281" s="12" t="n"/>
      <c r="CX281" s="12" t="n"/>
      <c r="CY281" s="12" t="n"/>
    </row>
    <row r="282" hidden="1" outlineLevel="1">
      <c r="C282" s="10" t="inlineStr">
        <is>
          <t>Deferred income taxes</t>
        </is>
      </c>
      <c r="D282" s="12" t="n"/>
      <c r="E282" s="12" t="n"/>
      <c r="F282" s="12" t="n"/>
      <c r="G282" s="12" t="n"/>
      <c r="H282" s="12" t="n"/>
      <c r="I282" s="12" t="n"/>
      <c r="J282" s="12">
        <f>(J153-I153)*-1</f>
        <v>0</v>
      </c>
      <c r="K282" s="12">
        <f>(K153-J153)*-1</f>
        <v>0</v>
      </c>
      <c r="L282" s="12">
        <f>(L153-K153)*-1</f>
        <v>0</v>
      </c>
      <c r="M282" s="12" t="n"/>
      <c r="N282" s="12">
        <f>(N153-M153)*-1</f>
        <v>0</v>
      </c>
      <c r="O282" s="12">
        <f>(O153-N153)*-1</f>
        <v>0</v>
      </c>
      <c r="P282" s="12">
        <f>(P153-O153)*-1</f>
        <v>0</v>
      </c>
      <c r="Q282" s="12">
        <f>(Q153-P153)*-1</f>
        <v>0</v>
      </c>
      <c r="R282" s="12">
        <f>SUM(N282:Q282)</f>
        <v>0</v>
      </c>
      <c r="S282" s="12">
        <f>(S153-R153)*-1</f>
        <v>0</v>
      </c>
      <c r="T282" s="12">
        <f>(T153-S153)*-1</f>
        <v>0</v>
      </c>
      <c r="U282" s="12">
        <f>(U153-T153)*-1</f>
        <v>0</v>
      </c>
      <c r="V282" s="12">
        <f>(V153-U153)*-1</f>
        <v>0</v>
      </c>
      <c r="W282" s="12">
        <f>SUM(S282:V282)</f>
        <v>0</v>
      </c>
      <c r="X282" s="12">
        <f>(X153-W153)*-1</f>
        <v>0</v>
      </c>
      <c r="Y282" s="12">
        <f>(Y153-X153)*-1</f>
        <v>0</v>
      </c>
      <c r="Z282" s="12">
        <f>(Z153-Y153)*-1</f>
        <v>0</v>
      </c>
      <c r="AA282" s="12">
        <f>(AA153-Z153)*-1</f>
        <v>0</v>
      </c>
      <c r="AB282" s="12">
        <f>SUM(X282:AA282)</f>
        <v>0</v>
      </c>
      <c r="AC282" s="12">
        <f>(AC153-AB153)*-1</f>
        <v>0</v>
      </c>
      <c r="AD282" s="12">
        <f>(AD153-AC153)*-1</f>
        <v>0</v>
      </c>
      <c r="AE282" s="12">
        <f>(AE153-AD153)*-1</f>
        <v>0</v>
      </c>
      <c r="AF282" s="12">
        <f>(AF153-AE153)*-1</f>
        <v>0</v>
      </c>
      <c r="AG282" s="12">
        <f>SUM(AC282:AF282)</f>
        <v>0</v>
      </c>
      <c r="AH282" s="12">
        <f>(AH153-AG153)*-1</f>
        <v>0</v>
      </c>
      <c r="AI282" s="12">
        <f>(AI153-AH153)*-1</f>
        <v>0</v>
      </c>
      <c r="AJ282" s="12">
        <f>(AJ153-AI153)*-1</f>
        <v>0</v>
      </c>
      <c r="AK282" s="12">
        <f>(AK153-AJ153)*-1</f>
        <v>0</v>
      </c>
      <c r="AL282" s="12">
        <f>SUM(AH282:AK282)</f>
        <v>0</v>
      </c>
      <c r="AM282" s="12">
        <f>(AM153-AL153)*-1</f>
        <v>0</v>
      </c>
      <c r="AN282" s="12">
        <f>(AN153-AM153)*-1</f>
        <v>0</v>
      </c>
      <c r="AO282" s="12">
        <f>(AO153-AN153)*-1</f>
        <v>0</v>
      </c>
      <c r="AP282" s="12">
        <f>(AP153-AO153)*-1</f>
        <v>0</v>
      </c>
      <c r="AQ282" s="12">
        <f>SUM(AM282:AP282)</f>
        <v>0</v>
      </c>
      <c r="AR282" s="12">
        <f>(AR153-AQ153)*-1</f>
        <v>0</v>
      </c>
      <c r="AS282" s="12">
        <f>(AS153-AR153)*-1</f>
        <v>0</v>
      </c>
      <c r="AT282" s="12">
        <f>(AT153-AS153)*-1</f>
        <v>0</v>
      </c>
      <c r="AU282" s="12">
        <f>(AU153-AT153)*-1</f>
        <v>0</v>
      </c>
      <c r="AV282" s="12">
        <f>SUM(AR282:AU282)</f>
        <v>0</v>
      </c>
      <c r="AW282" s="12">
        <f>(AW153-AV153)*-1</f>
        <v>0</v>
      </c>
      <c r="AX282" s="12">
        <f>(AX153-AW153)*-1</f>
        <v>0</v>
      </c>
      <c r="AY282" s="12">
        <f>(AY153-AX153)*-1</f>
        <v>0</v>
      </c>
      <c r="AZ282" s="12">
        <f>(AZ153-AY153)*-1</f>
        <v>0</v>
      </c>
      <c r="BA282" s="12">
        <f>SUM(AW282:AZ282)</f>
        <v>0</v>
      </c>
      <c r="BB282" s="12">
        <f>(BB153-BA153)*-1</f>
        <v>0</v>
      </c>
      <c r="BC282" s="12">
        <f>(BC153-BB153)*-1</f>
        <v>0</v>
      </c>
      <c r="BD282" s="12">
        <f>(BD153-BC153)*-1</f>
        <v>0</v>
      </c>
      <c r="BE282" s="12">
        <f>(BE153-BD153)*-1</f>
        <v>0</v>
      </c>
      <c r="BF282" s="12">
        <f>SUM(BB282:BE282)</f>
        <v>0</v>
      </c>
      <c r="BG282" s="12" t="n"/>
      <c r="BH282" s="12" t="n"/>
      <c r="BI282" s="12" t="n"/>
      <c r="BJ282" s="12" t="n"/>
      <c r="BK282" s="12" t="n"/>
      <c r="BL282" s="12" t="n"/>
      <c r="BM282" s="12" t="n"/>
      <c r="BN282" s="12" t="n"/>
      <c r="BO282" s="12" t="n"/>
      <c r="BP282" s="12" t="n"/>
      <c r="BQ282" s="12" t="n"/>
      <c r="BR282" s="12" t="n"/>
      <c r="BS282" s="12" t="n"/>
      <c r="BT282" s="12" t="n"/>
      <c r="BU282" s="12" t="n"/>
      <c r="BV282" s="12" t="n"/>
      <c r="BW282" s="12" t="n"/>
      <c r="BX282" s="12" t="n"/>
      <c r="BY282" s="12" t="n"/>
      <c r="BZ282" s="12" t="n"/>
      <c r="CA282" s="12" t="n"/>
      <c r="CB282" s="12" t="n"/>
      <c r="CC282" s="12" t="n"/>
      <c r="CD282" s="12" t="n"/>
      <c r="CE282" s="12" t="n"/>
      <c r="CF282" s="12" t="n"/>
      <c r="CG282" s="12" t="n"/>
      <c r="CH282" s="12" t="n"/>
      <c r="CI282" s="12" t="n"/>
      <c r="CJ282" s="12" t="n"/>
      <c r="CK282" s="12" t="n"/>
      <c r="CL282" s="12" t="n"/>
      <c r="CM282" s="12" t="n"/>
      <c r="CN282" s="12" t="n"/>
      <c r="CO282" s="12" t="n"/>
      <c r="CP282" s="12" t="n"/>
      <c r="CQ282" s="12" t="n"/>
      <c r="CR282" s="12" t="n"/>
      <c r="CS282" s="12" t="n"/>
      <c r="CT282" s="12" t="n"/>
      <c r="CU282" s="12" t="n"/>
      <c r="CV282" s="12" t="n"/>
      <c r="CW282" s="12" t="n"/>
      <c r="CX282" s="12" t="n"/>
      <c r="CY282" s="12" t="n"/>
    </row>
    <row r="283" hidden="1" outlineLevel="1">
      <c r="C283" s="10" t="inlineStr">
        <is>
          <t>Prepaid expenses</t>
        </is>
      </c>
      <c r="D283" s="12" t="n"/>
      <c r="E283" s="12" t="n"/>
      <c r="F283" s="12" t="n"/>
      <c r="G283" s="12" t="n"/>
      <c r="H283" s="12" t="n"/>
      <c r="I283" s="12" t="n"/>
      <c r="J283" s="12">
        <f>(J154-I154)*-1</f>
        <v>0</v>
      </c>
      <c r="K283" s="12">
        <f>(K154-J154)*-1</f>
        <v>0</v>
      </c>
      <c r="L283" s="12">
        <f>(L154-K154)*-1</f>
        <v>0</v>
      </c>
      <c r="M283" s="12" t="n"/>
      <c r="N283" s="12">
        <f>(N154-M154)*-1</f>
        <v>0</v>
      </c>
      <c r="O283" s="12">
        <f>(O154-N154)*-1</f>
        <v>0</v>
      </c>
      <c r="P283" s="12">
        <f>(P154-O154)*-1</f>
        <v>0</v>
      </c>
      <c r="Q283" s="12">
        <f>(Q154-P154)*-1</f>
        <v>0</v>
      </c>
      <c r="R283" s="12">
        <f>SUM(N283:Q283)</f>
        <v>0</v>
      </c>
      <c r="S283" s="12">
        <f>(S154-R154)*-1</f>
        <v>0</v>
      </c>
      <c r="T283" s="12">
        <f>(T154-S154)*-1</f>
        <v>0</v>
      </c>
      <c r="U283" s="12">
        <f>(U154-T154)*-1</f>
        <v>0</v>
      </c>
      <c r="V283" s="12">
        <f>(V154-U154)*-1</f>
        <v>0</v>
      </c>
      <c r="W283" s="12">
        <f>SUM(S283:V283)</f>
        <v>0</v>
      </c>
      <c r="X283" s="12">
        <f>(X154-W154)*-1</f>
        <v>0</v>
      </c>
      <c r="Y283" s="12">
        <f>(Y154-X154)*-1</f>
        <v>0</v>
      </c>
      <c r="Z283" s="12">
        <f>(Z154-Y154)*-1</f>
        <v>0</v>
      </c>
      <c r="AA283" s="12">
        <f>(AA154-Z154)*-1</f>
        <v>0</v>
      </c>
      <c r="AB283" s="12">
        <f>SUM(X283:AA283)</f>
        <v>0</v>
      </c>
      <c r="AC283" s="12">
        <f>(AC154-AB154)*-1</f>
        <v>0</v>
      </c>
      <c r="AD283" s="12">
        <f>(AD154-AC154)*-1</f>
        <v>0</v>
      </c>
      <c r="AE283" s="12">
        <f>(AE154-AD154)*-1</f>
        <v>0</v>
      </c>
      <c r="AF283" s="12">
        <f>(AF154-AE154)*-1</f>
        <v>0</v>
      </c>
      <c r="AG283" s="12">
        <f>SUM(AC283:AF283)</f>
        <v>0</v>
      </c>
      <c r="AH283" s="12">
        <f>(AH154-AG154)*-1</f>
        <v>0</v>
      </c>
      <c r="AI283" s="12">
        <f>(AI154-AH154)*-1</f>
        <v>0</v>
      </c>
      <c r="AJ283" s="12">
        <f>(AJ154-AI154)*-1</f>
        <v>0</v>
      </c>
      <c r="AK283" s="12">
        <f>(AK154-AJ154)*-1</f>
        <v>0</v>
      </c>
      <c r="AL283" s="12">
        <f>SUM(AH283:AK283)</f>
        <v>0</v>
      </c>
      <c r="AM283" s="12">
        <f>(AM154-AL154)*-1</f>
        <v>0</v>
      </c>
      <c r="AN283" s="12">
        <f>(AN154-AM154)*-1</f>
        <v>0</v>
      </c>
      <c r="AO283" s="12">
        <f>(AO154-AN154)*-1</f>
        <v>0</v>
      </c>
      <c r="AP283" s="12">
        <f>(AP154-AO154)*-1</f>
        <v>0</v>
      </c>
      <c r="AQ283" s="12">
        <f>SUM(AM283:AP283)</f>
        <v>0</v>
      </c>
      <c r="AR283" s="12">
        <f>(AR154-AQ154)*-1</f>
        <v>0</v>
      </c>
      <c r="AS283" s="12">
        <f>(AS154-AR154)*-1</f>
        <v>0</v>
      </c>
      <c r="AT283" s="12">
        <f>(AT154-AS154)*-1</f>
        <v>0</v>
      </c>
      <c r="AU283" s="12">
        <f>(AU154-AT154)*-1</f>
        <v>0</v>
      </c>
      <c r="AV283" s="12">
        <f>SUM(AR283:AU283)</f>
        <v>0</v>
      </c>
      <c r="AW283" s="12">
        <f>(AW154-AV154)*-1</f>
        <v>0</v>
      </c>
      <c r="AX283" s="12">
        <f>(AX154-AW154)*-1</f>
        <v>0</v>
      </c>
      <c r="AY283" s="12">
        <f>(AY154-AX154)*-1</f>
        <v>0</v>
      </c>
      <c r="AZ283" s="12">
        <f>(AZ154-AY154)*-1</f>
        <v>0</v>
      </c>
      <c r="BA283" s="12">
        <f>SUM(AW283:AZ283)</f>
        <v>0</v>
      </c>
      <c r="BB283" s="12">
        <f>(BB154-BA154)*-1</f>
        <v>0</v>
      </c>
      <c r="BC283" s="12">
        <f>(BC154-BB154)*-1</f>
        <v>0</v>
      </c>
      <c r="BD283" s="12">
        <f>(BD154-BC154)*-1</f>
        <v>0</v>
      </c>
      <c r="BE283" s="12">
        <f>(BE154-BD154)*-1</f>
        <v>0</v>
      </c>
      <c r="BF283" s="12">
        <f>SUM(BB283:BE283)</f>
        <v>0</v>
      </c>
      <c r="BG283" s="12" t="n"/>
      <c r="BH283" s="12" t="n"/>
      <c r="BI283" s="12" t="n"/>
      <c r="BJ283" s="12" t="n"/>
      <c r="BK283" s="12" t="n"/>
      <c r="BL283" s="12" t="n"/>
      <c r="BM283" s="12" t="n"/>
      <c r="BN283" s="12" t="n"/>
      <c r="BO283" s="12" t="n"/>
      <c r="BP283" s="12" t="n"/>
      <c r="BQ283" s="12" t="n"/>
      <c r="BR283" s="12" t="n"/>
      <c r="BS283" s="12" t="n"/>
      <c r="BT283" s="12" t="n"/>
      <c r="BU283" s="12" t="n"/>
      <c r="BV283" s="12" t="n"/>
      <c r="BW283" s="12" t="n"/>
      <c r="BX283" s="12" t="n"/>
      <c r="BY283" s="12" t="n"/>
      <c r="BZ283" s="12" t="n"/>
      <c r="CA283" s="12" t="n"/>
      <c r="CB283" s="12" t="n"/>
      <c r="CC283" s="12" t="n"/>
      <c r="CD283" s="12" t="n"/>
      <c r="CE283" s="12" t="n"/>
      <c r="CF283" s="12" t="n"/>
      <c r="CG283" s="12" t="n"/>
      <c r="CH283" s="12" t="n"/>
      <c r="CI283" s="12" t="n"/>
      <c r="CJ283" s="12" t="n"/>
      <c r="CK283" s="12" t="n"/>
      <c r="CL283" s="12" t="n"/>
      <c r="CM283" s="12" t="n"/>
      <c r="CN283" s="12" t="n"/>
      <c r="CO283" s="12" t="n"/>
      <c r="CP283" s="12" t="n"/>
      <c r="CQ283" s="12" t="n"/>
      <c r="CR283" s="12" t="n"/>
      <c r="CS283" s="12" t="n"/>
      <c r="CT283" s="12" t="n"/>
      <c r="CU283" s="12" t="n"/>
      <c r="CV283" s="12" t="n"/>
      <c r="CW283" s="12" t="n"/>
      <c r="CX283" s="12" t="n"/>
      <c r="CY283" s="12" t="n"/>
    </row>
    <row r="284" hidden="1" outlineLevel="1">
      <c r="C284" s="10" t="inlineStr">
        <is>
          <t>Other current assets</t>
        </is>
      </c>
      <c r="D284" s="12" t="n"/>
      <c r="E284" s="12" t="n"/>
      <c r="F284" s="12" t="n"/>
      <c r="G284" s="12" t="n"/>
      <c r="H284" s="12" t="n"/>
      <c r="I284" s="12" t="n"/>
      <c r="J284" s="12">
        <f>(J155-I155)*-1</f>
        <v>-34.627</v>
      </c>
      <c r="K284" s="12">
        <f>(K155-J155)*-1</f>
        <v>-2.69199999999998</v>
      </c>
      <c r="L284" s="12">
        <f>(L155-K155)*-1</f>
        <v>-118.509</v>
      </c>
      <c r="M284" s="12" t="n"/>
      <c r="N284" s="12">
        <f>(N155-M155)*-1</f>
        <v>-26.141</v>
      </c>
      <c r="O284" s="12">
        <f>(O155-N155)*-1</f>
        <v>9.79599999999999</v>
      </c>
      <c r="P284" s="12">
        <f>(P155-O155)*-1</f>
        <v>-17.45</v>
      </c>
      <c r="Q284" s="12">
        <f>(Q155-P155)*-1</f>
        <v>112.399</v>
      </c>
      <c r="R284" s="12">
        <f>SUM(N284:Q284)</f>
        <v>78.604</v>
      </c>
      <c r="S284" s="12">
        <f>(S155-R155)*-1</f>
        <v>-31.81830866</v>
      </c>
      <c r="T284" s="12">
        <f>(T155-S155)*-1</f>
        <v>-92.33003976</v>
      </c>
      <c r="U284" s="12">
        <f>(U155-T155)*-1</f>
        <v>99.13860253</v>
      </c>
      <c r="V284" s="12">
        <f>(V155-U155)*-1</f>
        <v>-22.3056444399999</v>
      </c>
      <c r="W284" s="12">
        <f>SUM(S284:V284)</f>
        <v>-47.31539033</v>
      </c>
      <c r="X284" s="12">
        <f>(X155-W155)*-1</f>
        <v>-9.58190769000004</v>
      </c>
      <c r="Y284" s="12">
        <f>(Y155-X155)*-1</f>
        <v>-36.57213203</v>
      </c>
      <c r="Z284" s="12">
        <f>(Z155-Y155)*-1</f>
        <v>-10.63491842</v>
      </c>
      <c r="AA284" s="12">
        <f>(AA155-Z155)*-1</f>
        <v>50.05534847</v>
      </c>
      <c r="AB284" s="12">
        <f>SUM(X284:AA284)</f>
        <v>-6.73360967000008</v>
      </c>
      <c r="AC284" s="12">
        <f>(AC155-AB155)*-1</f>
        <v>-31.244</v>
      </c>
      <c r="AD284" s="12">
        <f>(AD155-AC155)*-1</f>
        <v>3.30700000000002</v>
      </c>
      <c r="AE284" s="12">
        <f>(AE155-AD155)*-1</f>
        <v>-24.703</v>
      </c>
      <c r="AF284" s="12">
        <f>(AF155-AE155)*-1</f>
        <v>-47.587</v>
      </c>
      <c r="AG284" s="12">
        <f>SUM(AC284:AF284)</f>
        <v>-100.227</v>
      </c>
      <c r="AH284" s="12">
        <f>(AH155-AG155)*-1</f>
        <v>3.09800000000001</v>
      </c>
      <c r="AI284" s="12">
        <f>(AI155-AH155)*-1</f>
        <v>-28.887</v>
      </c>
      <c r="AJ284" s="12">
        <f>(AJ155-AI155)*-1</f>
        <v>0</v>
      </c>
      <c r="AK284" s="12">
        <f>(AK155-AJ155)*-1</f>
        <v>0</v>
      </c>
      <c r="AL284" s="12">
        <f>SUM(AH284:AK284)</f>
        <v>-25.789</v>
      </c>
      <c r="AM284" s="12">
        <f>(AM155-AL155)*-1</f>
        <v>0</v>
      </c>
      <c r="AN284" s="12">
        <f>(AN155-AM155)*-1</f>
        <v>0</v>
      </c>
      <c r="AO284" s="12">
        <f>(AO155-AN155)*-1</f>
        <v>0</v>
      </c>
      <c r="AP284" s="12">
        <f>(AP155-AO155)*-1</f>
        <v>0</v>
      </c>
      <c r="AQ284" s="12">
        <f>SUM(AM284:AP284)</f>
        <v>0</v>
      </c>
      <c r="AR284" s="12">
        <f>(AR155-AQ155)*-1</f>
        <v>0</v>
      </c>
      <c r="AS284" s="12">
        <f>(AS155-AR155)*-1</f>
        <v>0</v>
      </c>
      <c r="AT284" s="12">
        <f>(AT155-AS155)*-1</f>
        <v>0</v>
      </c>
      <c r="AU284" s="12">
        <f>(AU155-AT155)*-1</f>
        <v>0</v>
      </c>
      <c r="AV284" s="12">
        <f>SUM(AR284:AU284)</f>
        <v>0</v>
      </c>
      <c r="AW284" s="12">
        <f>(AW155-AV155)*-1</f>
        <v>0</v>
      </c>
      <c r="AX284" s="12">
        <f>(AX155-AW155)*-1</f>
        <v>0</v>
      </c>
      <c r="AY284" s="12">
        <f>(AY155-AX155)*-1</f>
        <v>0</v>
      </c>
      <c r="AZ284" s="12">
        <f>(AZ155-AY155)*-1</f>
        <v>0</v>
      </c>
      <c r="BA284" s="12">
        <f>SUM(AW284:AZ284)</f>
        <v>0</v>
      </c>
      <c r="BB284" s="12">
        <f>(BB155-BA155)*-1</f>
        <v>0</v>
      </c>
      <c r="BC284" s="12">
        <f>(BC155-BB155)*-1</f>
        <v>0</v>
      </c>
      <c r="BD284" s="12">
        <f>(BD155-BC155)*-1</f>
        <v>0</v>
      </c>
      <c r="BE284" s="12">
        <f>(BE155-BD155)*-1</f>
        <v>0</v>
      </c>
      <c r="BF284" s="12">
        <f>SUM(BB284:BE284)</f>
        <v>0</v>
      </c>
      <c r="BG284" s="12" t="n"/>
      <c r="BH284" s="12" t="n"/>
      <c r="BI284" s="12" t="n"/>
      <c r="BJ284" s="12" t="n"/>
      <c r="BK284" s="12" t="n"/>
      <c r="BL284" s="12" t="n"/>
      <c r="BM284" s="12" t="n"/>
      <c r="BN284" s="12" t="n"/>
      <c r="BO284" s="12" t="n"/>
      <c r="BP284" s="12" t="n"/>
      <c r="BQ284" s="12" t="n"/>
      <c r="BR284" s="12" t="n"/>
      <c r="BS284" s="12" t="n"/>
      <c r="BT284" s="12" t="n"/>
      <c r="BU284" s="12" t="n"/>
      <c r="BV284" s="12" t="n"/>
      <c r="BW284" s="12" t="n"/>
      <c r="BX284" s="12" t="n"/>
      <c r="BY284" s="12" t="n"/>
      <c r="BZ284" s="12" t="n"/>
      <c r="CA284" s="12" t="n"/>
      <c r="CB284" s="12" t="n"/>
      <c r="CC284" s="12" t="n"/>
      <c r="CD284" s="12" t="n"/>
      <c r="CE284" s="12" t="n"/>
      <c r="CF284" s="12" t="n"/>
      <c r="CG284" s="12" t="n"/>
      <c r="CH284" s="12" t="n"/>
      <c r="CI284" s="12" t="n"/>
      <c r="CJ284" s="12" t="n"/>
      <c r="CK284" s="12" t="n"/>
      <c r="CL284" s="12" t="n"/>
      <c r="CM284" s="12" t="n"/>
      <c r="CN284" s="12" t="n"/>
      <c r="CO284" s="12" t="n"/>
      <c r="CP284" s="12" t="n"/>
      <c r="CQ284" s="12" t="n"/>
      <c r="CR284" s="12" t="n"/>
      <c r="CS284" s="12" t="n"/>
      <c r="CT284" s="12" t="n"/>
      <c r="CU284" s="12" t="n"/>
      <c r="CV284" s="12" t="n"/>
      <c r="CW284" s="12" t="n"/>
      <c r="CX284" s="12" t="n"/>
      <c r="CY284" s="12" t="n"/>
    </row>
    <row r="285" hidden="1" outlineLevel="1">
      <c r="C285" s="10" t="inlineStr">
        <is>
          <t>Accounts payable</t>
        </is>
      </c>
      <c r="D285" s="12" t="n"/>
      <c r="E285" s="12" t="n"/>
      <c r="F285" s="12" t="n"/>
      <c r="G285" s="12" t="n"/>
      <c r="H285" s="12" t="n"/>
      <c r="I285" s="12" t="n"/>
      <c r="J285" s="12">
        <f>J198-I198</f>
        <v>8.109</v>
      </c>
      <c r="K285" s="12">
        <f>K198-J198</f>
        <v>19.935</v>
      </c>
      <c r="L285" s="12">
        <f>L198-K198</f>
        <v>-16.256</v>
      </c>
      <c r="M285" s="12" t="n"/>
      <c r="N285" s="12">
        <f>N198-M198</f>
        <v>-1.526</v>
      </c>
      <c r="O285" s="12">
        <f>O198-N198</f>
        <v>10.633</v>
      </c>
      <c r="P285" s="12">
        <f>P198-O198</f>
        <v>3.88800000000001</v>
      </c>
      <c r="Q285" s="12">
        <f>Q198-P198</f>
        <v>17.645</v>
      </c>
      <c r="R285" s="12">
        <f>SUM(N285:Q285)</f>
        <v>30.64</v>
      </c>
      <c r="S285" s="12">
        <f>S198-R198</f>
        <v>-28.835</v>
      </c>
      <c r="T285" s="12">
        <f>T198-S198</f>
        <v>25.912</v>
      </c>
      <c r="U285" s="12">
        <f>U198-T198</f>
        <v>9.70899999999999</v>
      </c>
      <c r="V285" s="12">
        <f>V198-U198</f>
        <v>0.0510000000000161</v>
      </c>
      <c r="W285" s="12">
        <f>SUM(S285:V285)</f>
        <v>6.837</v>
      </c>
      <c r="X285" s="12">
        <f>X198-W198</f>
        <v>5.495</v>
      </c>
      <c r="Y285" s="12">
        <f>Y198-X198</f>
        <v>16.878</v>
      </c>
      <c r="Z285" s="12">
        <f>Z198-Y198</f>
        <v>12.915</v>
      </c>
      <c r="AA285" s="12">
        <f>AA198-Z198</f>
        <v>-28.406</v>
      </c>
      <c r="AB285" s="12">
        <f>SUM(X285:AA285)</f>
        <v>6.88200000000001</v>
      </c>
      <c r="AC285" s="12">
        <f>AC198-AB198</f>
        <v>7.43199999999999</v>
      </c>
      <c r="AD285" s="12">
        <f>AD198-AC198</f>
        <v>8.96100000000001</v>
      </c>
      <c r="AE285" s="12">
        <f>AE198-AD198</f>
        <v>33.354</v>
      </c>
      <c r="AF285" s="12">
        <f>AF198-AE198</f>
        <v>8.06999999999999</v>
      </c>
      <c r="AG285" s="12">
        <f>SUM(AC285:AF285)</f>
        <v>57.817</v>
      </c>
      <c r="AH285" s="12">
        <f>AH198-AG198</f>
        <v>-8.78799999999998</v>
      </c>
      <c r="AI285" s="12">
        <f>AI198-AH198</f>
        <v>9.23499999999999</v>
      </c>
      <c r="AJ285" s="12">
        <f>AJ198-AI198</f>
        <v>34.4040084049595</v>
      </c>
      <c r="AK285" s="12">
        <f>AK198-AJ198</f>
        <v>13.4580935010838</v>
      </c>
      <c r="AL285" s="12">
        <f>SUM(AH285:AK285)</f>
        <v>48.3091019060433</v>
      </c>
      <c r="AM285" s="12">
        <f>AM198-AL198</f>
        <v>-7.01150886978462</v>
      </c>
      <c r="AN285" s="12">
        <f>AN198-AM198</f>
        <v>20.3627324344472</v>
      </c>
      <c r="AO285" s="12">
        <f>AO198-AN198</f>
        <v>38.0447942813801</v>
      </c>
      <c r="AP285" s="12">
        <f>AP198-AO198</f>
        <v>17.2681548436479</v>
      </c>
      <c r="AQ285" s="12">
        <f>SUM(AM285:AP285)</f>
        <v>68.6641726896906</v>
      </c>
      <c r="AR285" s="12">
        <f>AR198-AQ198</f>
        <v>-13.4821565307895</v>
      </c>
      <c r="AS285" s="12">
        <f>AS198-AR198</f>
        <v>29.3337343355162</v>
      </c>
      <c r="AT285" s="12">
        <f>AT198-AS198</f>
        <v>48.6252637938322</v>
      </c>
      <c r="AU285" s="12">
        <f>AU198-AT198</f>
        <v>22.0705250314908</v>
      </c>
      <c r="AV285" s="12">
        <f>SUM(AR285:AU285)</f>
        <v>86.5473666300496</v>
      </c>
      <c r="AW285" s="12">
        <f>AW198-AV198</f>
        <v>-14.5087759904429</v>
      </c>
      <c r="AX285" s="12">
        <f>AX198-AW198</f>
        <v>33.1334917444868</v>
      </c>
      <c r="AY285" s="12">
        <f>AY198-AX198</f>
        <v>61.9050945790726</v>
      </c>
      <c r="AZ285" s="12">
        <f>AZ198-AY198</f>
        <v>28.0981085321646</v>
      </c>
      <c r="BA285" s="12">
        <f>SUM(AW285:AZ285)</f>
        <v>108.627918865281</v>
      </c>
      <c r="BB285" s="12">
        <f>BB198-BA198</f>
        <v>-20.3874129729706</v>
      </c>
      <c r="BC285" s="12">
        <f>BC198-BB198</f>
        <v>42.0167657075846</v>
      </c>
      <c r="BD285" s="12">
        <f>BD198-BC198</f>
        <v>78.5021957568828</v>
      </c>
      <c r="BE285" s="12">
        <f>BE198-BD198</f>
        <v>35.6313681674884</v>
      </c>
      <c r="BF285" s="12">
        <f>SUM(BB285:BE285)</f>
        <v>135.762916658985</v>
      </c>
      <c r="BG285" s="12" t="n"/>
      <c r="BH285" s="12" t="n"/>
      <c r="BI285" s="12" t="n"/>
      <c r="BJ285" s="12" t="n"/>
      <c r="BK285" s="12" t="n"/>
      <c r="BL285" s="12" t="n"/>
      <c r="BM285" s="12" t="n"/>
      <c r="BN285" s="12" t="n"/>
      <c r="BO285" s="12" t="n"/>
      <c r="BP285" s="12" t="n"/>
      <c r="BQ285" s="12" t="n"/>
      <c r="BR285" s="12" t="n"/>
      <c r="BS285" s="12" t="n"/>
      <c r="BT285" s="12" t="n"/>
      <c r="BU285" s="12" t="n"/>
      <c r="BV285" s="12" t="n"/>
      <c r="BW285" s="12" t="n"/>
      <c r="BX285" s="12" t="n"/>
      <c r="BY285" s="12" t="n"/>
      <c r="BZ285" s="12" t="n"/>
      <c r="CA285" s="12" t="n"/>
      <c r="CB285" s="12" t="n"/>
      <c r="CC285" s="12" t="n"/>
      <c r="CD285" s="12" t="n"/>
      <c r="CE285" s="12" t="n"/>
      <c r="CF285" s="12" t="n"/>
      <c r="CG285" s="12" t="n"/>
      <c r="CH285" s="12" t="n"/>
      <c r="CI285" s="12" t="n"/>
      <c r="CJ285" s="12" t="n"/>
      <c r="CK285" s="12" t="n"/>
      <c r="CL285" s="12" t="n"/>
      <c r="CM285" s="12" t="n"/>
      <c r="CN285" s="12" t="n"/>
      <c r="CO285" s="12" t="n"/>
      <c r="CP285" s="12" t="n"/>
      <c r="CQ285" s="12" t="n"/>
      <c r="CR285" s="12" t="n"/>
      <c r="CS285" s="12" t="n"/>
      <c r="CT285" s="12" t="n"/>
      <c r="CU285" s="12" t="n"/>
      <c r="CV285" s="12" t="n"/>
      <c r="CW285" s="12" t="n"/>
      <c r="CX285" s="12" t="n"/>
      <c r="CY285" s="12" t="n"/>
    </row>
    <row r="286" hidden="1" outlineLevel="1">
      <c r="C286" s="10" t="inlineStr">
        <is>
          <t>Accrued expenses</t>
        </is>
      </c>
      <c r="D286" s="12" t="n"/>
      <c r="E286" s="12" t="n"/>
      <c r="F286" s="12" t="n"/>
      <c r="G286" s="12" t="n"/>
      <c r="H286" s="12" t="n"/>
      <c r="I286" s="12" t="n"/>
      <c r="J286" s="12">
        <f>J202-I202</f>
        <v>1.805</v>
      </c>
      <c r="K286" s="12">
        <f>K202-J202</f>
        <v>0.689999999999998</v>
      </c>
      <c r="L286" s="12">
        <f>L202-K202</f>
        <v>-2.405</v>
      </c>
      <c r="M286" s="12" t="n"/>
      <c r="N286" s="12">
        <f>N202-M202</f>
        <v>6.22</v>
      </c>
      <c r="O286" s="12">
        <f>O202-N202</f>
        <v>7.346</v>
      </c>
      <c r="P286" s="12">
        <f>P202-O202</f>
        <v>4.299</v>
      </c>
      <c r="Q286" s="12">
        <f>Q202-P202</f>
        <v>-10.459</v>
      </c>
      <c r="R286" s="12">
        <f>SUM(N286:Q286)</f>
        <v>7.406</v>
      </c>
      <c r="S286" s="12">
        <f>S202-R202</f>
        <v>7.742</v>
      </c>
      <c r="T286" s="12">
        <f>T202-S202</f>
        <v>1.724</v>
      </c>
      <c r="U286" s="12">
        <f>U202-T202</f>
        <v>6.88200000000001</v>
      </c>
      <c r="V286" s="12">
        <f>V202-U202</f>
        <v>-10.17</v>
      </c>
      <c r="W286" s="12">
        <f>SUM(S286:V286)</f>
        <v>6.178</v>
      </c>
      <c r="X286" s="12">
        <f>X202-W202</f>
        <v>11.877</v>
      </c>
      <c r="Y286" s="12">
        <f>Y202-X202</f>
        <v>8.184</v>
      </c>
      <c r="Z286" s="12">
        <f>Z202-Y202</f>
        <v>10.5662945</v>
      </c>
      <c r="AA286" s="12">
        <f>AA202-Z202</f>
        <v>-7.67829450000001</v>
      </c>
      <c r="AB286" s="12">
        <f>SUM(X286:AA286)</f>
        <v>22.949</v>
      </c>
      <c r="AC286" s="12">
        <f>AC202-AB202</f>
        <v>14.028</v>
      </c>
      <c r="AD286" s="12">
        <f>AD202-AC202</f>
        <v>-0.593000000000004</v>
      </c>
      <c r="AE286" s="12">
        <f>AE202-AD202</f>
        <v>21.889</v>
      </c>
      <c r="AF286" s="12">
        <f>AF202-AE202</f>
        <v>-15.869</v>
      </c>
      <c r="AG286" s="12">
        <f>SUM(AC286:AF286)</f>
        <v>19.455</v>
      </c>
      <c r="AH286" s="12">
        <f>AH202-AG202</f>
        <v>16.567</v>
      </c>
      <c r="AI286" s="12">
        <f>AI202-AH202</f>
        <v>4.89699999999999</v>
      </c>
      <c r="AJ286" s="12">
        <f>AJ202-AI202</f>
        <v>30.9374944839347</v>
      </c>
      <c r="AK286" s="12">
        <f>AK202-AJ202</f>
        <v>39.696071748949</v>
      </c>
      <c r="AL286" s="12">
        <f>SUM(AH286:AK286)</f>
        <v>92.0975662328837</v>
      </c>
      <c r="AM286" s="12">
        <f>AM202-AL202</f>
        <v>50.9342510950903</v>
      </c>
      <c r="AN286" s="12">
        <f>AN202-AM202</f>
        <v>65.3540217033289</v>
      </c>
      <c r="AO286" s="12">
        <f>AO202-AN202</f>
        <v>83.8561098076278</v>
      </c>
      <c r="AP286" s="12">
        <f>AP202-AO202</f>
        <v>107.596242263248</v>
      </c>
      <c r="AQ286" s="12">
        <f>SUM(AM286:AP286)</f>
        <v>307.740624869295</v>
      </c>
      <c r="AR286" s="12">
        <f>AR202-AQ202</f>
        <v>135.619072689579</v>
      </c>
      <c r="AS286" s="12">
        <f>AS202-AR202</f>
        <v>173.3354933196</v>
      </c>
      <c r="AT286" s="12">
        <f>AT202-AS202</f>
        <v>221.541060917883</v>
      </c>
      <c r="AU286" s="12">
        <f>AU202-AT202</f>
        <v>283.152865767231</v>
      </c>
      <c r="AV286" s="12">
        <f>SUM(AR286:AU286)</f>
        <v>813.648492694293</v>
      </c>
      <c r="AW286" s="12">
        <f>AW202-AV202</f>
        <v>355.392748811321</v>
      </c>
      <c r="AX286" s="12">
        <f>AX202-AW202</f>
        <v>452.452490975937</v>
      </c>
      <c r="AY286" s="12">
        <f>AY202-AX202</f>
        <v>576.019790147754</v>
      </c>
      <c r="AZ286" s="12">
        <f>AZ202-AY202</f>
        <v>733.334008010818</v>
      </c>
      <c r="BA286" s="12">
        <f>SUM(AW286:AZ286)</f>
        <v>2117.19903794583</v>
      </c>
      <c r="BB286" s="12">
        <f>BB202-BA202</f>
        <v>916.51911269924</v>
      </c>
      <c r="BC286" s="12">
        <f>BC202-BB202</f>
        <v>1162.24299937283</v>
      </c>
      <c r="BD286" s="12">
        <f>BD202-BC202</f>
        <v>1473.84683076918</v>
      </c>
      <c r="BE286" s="12">
        <f>BE202-BD202</f>
        <v>1868.99338756227</v>
      </c>
      <c r="BF286" s="12">
        <f>SUM(BB286:BE286)</f>
        <v>5421.60233040353</v>
      </c>
      <c r="BG286" s="12" t="n"/>
      <c r="BH286" s="12" t="n"/>
      <c r="BI286" s="12" t="n"/>
      <c r="BJ286" s="12" t="n"/>
      <c r="BK286" s="12" t="n"/>
      <c r="BL286" s="12" t="n"/>
      <c r="BM286" s="12" t="n"/>
      <c r="BN286" s="12" t="n"/>
      <c r="BO286" s="12" t="n"/>
      <c r="BP286" s="12" t="n"/>
      <c r="BQ286" s="12" t="n"/>
      <c r="BR286" s="12" t="n"/>
      <c r="BS286" s="12" t="n"/>
      <c r="BT286" s="12" t="n"/>
      <c r="BU286" s="12" t="n"/>
      <c r="BV286" s="12" t="n"/>
      <c r="BW286" s="12" t="n"/>
      <c r="BX286" s="12" t="n"/>
      <c r="BY286" s="12" t="n"/>
      <c r="BZ286" s="12" t="n"/>
      <c r="CA286" s="12" t="n"/>
      <c r="CB286" s="12" t="n"/>
      <c r="CC286" s="12" t="n"/>
      <c r="CD286" s="12" t="n"/>
      <c r="CE286" s="12" t="n"/>
      <c r="CF286" s="12" t="n"/>
      <c r="CG286" s="12" t="n"/>
      <c r="CH286" s="12" t="n"/>
      <c r="CI286" s="12" t="n"/>
      <c r="CJ286" s="12" t="n"/>
      <c r="CK286" s="12" t="n"/>
      <c r="CL286" s="12" t="n"/>
      <c r="CM286" s="12" t="n"/>
      <c r="CN286" s="12" t="n"/>
      <c r="CO286" s="12" t="n"/>
      <c r="CP286" s="12" t="n"/>
      <c r="CQ286" s="12" t="n"/>
      <c r="CR286" s="12" t="n"/>
      <c r="CS286" s="12" t="n"/>
      <c r="CT286" s="12" t="n"/>
      <c r="CU286" s="12" t="n"/>
      <c r="CV286" s="12" t="n"/>
      <c r="CW286" s="12" t="n"/>
      <c r="CX286" s="12" t="n"/>
      <c r="CY286" s="12" t="n"/>
    </row>
    <row r="287" hidden="1" outlineLevel="1">
      <c r="C287" s="10" t="inlineStr">
        <is>
          <t>Taxes payable</t>
        </is>
      </c>
      <c r="D287" s="12" t="n"/>
      <c r="E287" s="12" t="n"/>
      <c r="F287" s="12" t="n"/>
      <c r="G287" s="12" t="n"/>
      <c r="H287" s="12" t="n"/>
      <c r="I287" s="12" t="n"/>
      <c r="J287" s="12">
        <f>J204-I204</f>
        <v>-2.612</v>
      </c>
      <c r="K287" s="12">
        <f>K204-J204</f>
        <v>-0.16</v>
      </c>
      <c r="L287" s="12">
        <f>L204-K204</f>
        <v>5.989</v>
      </c>
      <c r="M287" s="12" t="n"/>
      <c r="N287" s="12">
        <f>N204-M204</f>
        <v>-1.033</v>
      </c>
      <c r="O287" s="12">
        <f>O204-N204</f>
        <v>5.012</v>
      </c>
      <c r="P287" s="12">
        <f>P204-O204</f>
        <v>-1.488</v>
      </c>
      <c r="Q287" s="12">
        <f>Q204-P204</f>
        <v>1.105</v>
      </c>
      <c r="R287" s="12">
        <f>SUM(N287:Q287)</f>
        <v>3.596</v>
      </c>
      <c r="S287" s="12">
        <f>S204-R204</f>
        <v>1.35</v>
      </c>
      <c r="T287" s="12">
        <f>T204-S204</f>
        <v>-0.143000000000001</v>
      </c>
      <c r="U287" s="12">
        <f>U204-T204</f>
        <v>0.336000000000002</v>
      </c>
      <c r="V287" s="12">
        <f>V204-U204</f>
        <v>5.946</v>
      </c>
      <c r="W287" s="12">
        <f>SUM(S287:V287)</f>
        <v>7.489</v>
      </c>
      <c r="X287" s="12">
        <f>X204-W204</f>
        <v>-7.408</v>
      </c>
      <c r="Y287" s="12">
        <f>Y204-X204</f>
        <v>14.55</v>
      </c>
      <c r="Z287" s="12">
        <f>Z204-Y204</f>
        <v>5.54077512</v>
      </c>
      <c r="AA287" s="12">
        <f>AA204-Z204</f>
        <v>6.70522488</v>
      </c>
      <c r="AB287" s="12">
        <f>SUM(X287:AA287)</f>
        <v>19.388</v>
      </c>
      <c r="AC287" s="12">
        <f>AC204-AB204</f>
        <v>-4.17</v>
      </c>
      <c r="AD287" s="12">
        <f>AD204-AC204</f>
        <v>7.521</v>
      </c>
      <c r="AE287" s="12">
        <f>AE204-AD204</f>
        <v>-0.905999999999999</v>
      </c>
      <c r="AF287" s="12">
        <f>AF204-AE204</f>
        <v>9.081</v>
      </c>
      <c r="AG287" s="12">
        <f>SUM(AC287:AF287)</f>
        <v>11.526</v>
      </c>
      <c r="AH287" s="12">
        <f>AH204-AG204</f>
        <v>-7.533</v>
      </c>
      <c r="AI287" s="12">
        <f>AI204-AH204</f>
        <v>4.419</v>
      </c>
      <c r="AJ287" s="12">
        <f>AJ204-AI204</f>
        <v>18.1128117898925</v>
      </c>
      <c r="AK287" s="12">
        <f>AK204-AJ204</f>
        <v>23.2406498451304</v>
      </c>
      <c r="AL287" s="12">
        <f>SUM(AH287:AK287)</f>
        <v>38.2394616350229</v>
      </c>
      <c r="AM287" s="12">
        <f>AM204-AL204</f>
        <v>29.8202074580915</v>
      </c>
      <c r="AN287" s="12">
        <f>AN204-AM204</f>
        <v>38.2624745336001</v>
      </c>
      <c r="AO287" s="12">
        <f>AO204-AN204</f>
        <v>49.0947945111341</v>
      </c>
      <c r="AP287" s="12">
        <f>AP204-AO204</f>
        <v>62.9938046995337</v>
      </c>
      <c r="AQ287" s="12">
        <f>SUM(AM287:AP287)</f>
        <v>180.171281202359</v>
      </c>
      <c r="AR287" s="12">
        <f>AR204-AQ204</f>
        <v>79.4001834900265</v>
      </c>
      <c r="AS287" s="12">
        <f>AS204-AR204</f>
        <v>101.48181743148</v>
      </c>
      <c r="AT287" s="12">
        <f>AT204-AS204</f>
        <v>129.704476948593</v>
      </c>
      <c r="AU287" s="12">
        <f>AU204-AT204</f>
        <v>165.77601551004</v>
      </c>
      <c r="AV287" s="12">
        <f>SUM(AR287:AU287)</f>
        <v>476.362493380139</v>
      </c>
      <c r="AW287" s="12">
        <f>AW204-AV204</f>
        <v>208.069918979854</v>
      </c>
      <c r="AX287" s="12">
        <f>AX204-AW204</f>
        <v>264.894974516142</v>
      </c>
      <c r="AY287" s="12">
        <f>AY204-AX204</f>
        <v>337.2392697029</v>
      </c>
      <c r="AZ287" s="12">
        <f>AZ204-AY204</f>
        <v>429.341195458635</v>
      </c>
      <c r="BA287" s="12">
        <f>SUM(AW287:AZ287)</f>
        <v>1239.54535865753</v>
      </c>
      <c r="BB287" s="12">
        <f>BB204-BA204</f>
        <v>536.589612930066</v>
      </c>
      <c r="BC287" s="12">
        <f>BC204-BB204</f>
        <v>680.452281379538</v>
      </c>
      <c r="BD287" s="12">
        <f>BD204-BC204</f>
        <v>862.885333740074</v>
      </c>
      <c r="BE287" s="12">
        <f>BE204-BD204</f>
        <v>1094.2297050929</v>
      </c>
      <c r="BF287" s="12">
        <f>SUM(BB287:BE287)</f>
        <v>3174.15693314257</v>
      </c>
      <c r="BG287" s="12" t="n"/>
      <c r="BH287" s="12" t="n"/>
      <c r="BI287" s="12" t="n"/>
      <c r="BJ287" s="12" t="n"/>
      <c r="BK287" s="12" t="n"/>
      <c r="BL287" s="12" t="n"/>
      <c r="BM287" s="12" t="n"/>
      <c r="BN287" s="12" t="n"/>
      <c r="BO287" s="12" t="n"/>
      <c r="BP287" s="12" t="n"/>
      <c r="BQ287" s="12" t="n"/>
      <c r="BR287" s="12" t="n"/>
      <c r="BS287" s="12" t="n"/>
      <c r="BT287" s="12" t="n"/>
      <c r="BU287" s="12" t="n"/>
      <c r="BV287" s="12" t="n"/>
      <c r="BW287" s="12" t="n"/>
      <c r="BX287" s="12" t="n"/>
      <c r="BY287" s="12" t="n"/>
      <c r="BZ287" s="12" t="n"/>
      <c r="CA287" s="12" t="n"/>
      <c r="CB287" s="12" t="n"/>
      <c r="CC287" s="12" t="n"/>
      <c r="CD287" s="12" t="n"/>
      <c r="CE287" s="12" t="n"/>
      <c r="CF287" s="12" t="n"/>
      <c r="CG287" s="12" t="n"/>
      <c r="CH287" s="12" t="n"/>
      <c r="CI287" s="12" t="n"/>
      <c r="CJ287" s="12" t="n"/>
      <c r="CK287" s="12" t="n"/>
      <c r="CL287" s="12" t="n"/>
      <c r="CM287" s="12" t="n"/>
      <c r="CN287" s="12" t="n"/>
      <c r="CO287" s="12" t="n"/>
      <c r="CP287" s="12" t="n"/>
      <c r="CQ287" s="12" t="n"/>
      <c r="CR287" s="12" t="n"/>
      <c r="CS287" s="12" t="n"/>
      <c r="CT287" s="12" t="n"/>
      <c r="CU287" s="12" t="n"/>
      <c r="CV287" s="12" t="n"/>
      <c r="CW287" s="12" t="n"/>
      <c r="CX287" s="12" t="n"/>
      <c r="CY287" s="12" t="n"/>
    </row>
    <row r="288" hidden="1" outlineLevel="1">
      <c r="C288" s="10" t="inlineStr">
        <is>
          <t>Other current liabilities (non-debt)</t>
        </is>
      </c>
      <c r="D288" s="12" t="n"/>
      <c r="E288" s="12" t="n"/>
      <c r="F288" s="12" t="n"/>
      <c r="G288" s="12" t="n"/>
      <c r="H288" s="12" t="n"/>
      <c r="I288" s="12" t="n"/>
      <c r="J288" s="12">
        <f>J205-I205</f>
        <v>10.657</v>
      </c>
      <c r="K288" s="12">
        <f>K205-J205</f>
        <v>-13.72</v>
      </c>
      <c r="L288" s="12">
        <f>L205-K205</f>
        <v>-5.22</v>
      </c>
      <c r="M288" s="12" t="n"/>
      <c r="N288" s="12">
        <f>N205-M205</f>
        <v>70.552</v>
      </c>
      <c r="O288" s="12">
        <f>O205-N205</f>
        <v>37.551</v>
      </c>
      <c r="P288" s="12">
        <f>P205-O205</f>
        <v>30.85</v>
      </c>
      <c r="Q288" s="12">
        <f>Q205-P205</f>
        <v>57.027</v>
      </c>
      <c r="R288" s="12">
        <f>SUM(N288:Q288)</f>
        <v>195.98</v>
      </c>
      <c r="S288" s="12">
        <f>S205-R205</f>
        <v>-31.876</v>
      </c>
      <c r="T288" s="12">
        <f>T205-S205</f>
        <v>-4.45600000000002</v>
      </c>
      <c r="U288" s="12">
        <f>U205-T205</f>
        <v>26.954</v>
      </c>
      <c r="V288" s="12">
        <f>V205-U205</f>
        <v>192.081</v>
      </c>
      <c r="W288" s="12">
        <f>SUM(S288:V288)</f>
        <v>182.703</v>
      </c>
      <c r="X288" s="12">
        <f>X205-W205</f>
        <v>-82.862</v>
      </c>
      <c r="Y288" s="12">
        <f>Y205-X205</f>
        <v>113.07</v>
      </c>
      <c r="Z288" s="12">
        <f>Z205-Y205</f>
        <v>96.9008391499999</v>
      </c>
      <c r="AA288" s="12">
        <f>AA205-Z205</f>
        <v>321.18016085</v>
      </c>
      <c r="AB288" s="12">
        <f>SUM(X288:AA288)</f>
        <v>448.289</v>
      </c>
      <c r="AC288" s="12">
        <f>AC205-AB205</f>
        <v>-291.493</v>
      </c>
      <c r="AD288" s="12">
        <f>AD205-AC205</f>
        <v>488.927</v>
      </c>
      <c r="AE288" s="12">
        <f>AE205-AD205</f>
        <v>-403.723</v>
      </c>
      <c r="AF288" s="12">
        <f>AF205-AE205</f>
        <v>153.298</v>
      </c>
      <c r="AG288" s="12">
        <f>SUM(AC288:AF288)</f>
        <v>-52.9910000000001</v>
      </c>
      <c r="AH288" s="12">
        <f>AH205-AG205</f>
        <v>-61.607</v>
      </c>
      <c r="AI288" s="12">
        <f>AI205-AH205</f>
        <v>84.612</v>
      </c>
      <c r="AJ288" s="12">
        <f>AJ205-AI205</f>
        <v>0</v>
      </c>
      <c r="AK288" s="12">
        <f>AK205-AJ205</f>
        <v>0</v>
      </c>
      <c r="AL288" s="12">
        <f>SUM(AH288:AK288)</f>
        <v>23.005</v>
      </c>
      <c r="AM288" s="12">
        <f>AM205-AL205</f>
        <v>0</v>
      </c>
      <c r="AN288" s="12">
        <f>AN205-AM205</f>
        <v>0</v>
      </c>
      <c r="AO288" s="12">
        <f>AO205-AN205</f>
        <v>0</v>
      </c>
      <c r="AP288" s="12">
        <f>AP205-AO205</f>
        <v>0</v>
      </c>
      <c r="AQ288" s="12">
        <f>SUM(AM288:AP288)</f>
        <v>0</v>
      </c>
      <c r="AR288" s="12">
        <f>AR205-AQ205</f>
        <v>0</v>
      </c>
      <c r="AS288" s="12">
        <f>AS205-AR205</f>
        <v>0</v>
      </c>
      <c r="AT288" s="12">
        <f>AT205-AS205</f>
        <v>0</v>
      </c>
      <c r="AU288" s="12">
        <f>AU205-AT205</f>
        <v>0</v>
      </c>
      <c r="AV288" s="12">
        <f>SUM(AR288:AU288)</f>
        <v>0</v>
      </c>
      <c r="AW288" s="12">
        <f>AW205-AV205</f>
        <v>0</v>
      </c>
      <c r="AX288" s="12">
        <f>AX205-AW205</f>
        <v>0</v>
      </c>
      <c r="AY288" s="12">
        <f>AY205-AX205</f>
        <v>0</v>
      </c>
      <c r="AZ288" s="12">
        <f>AZ205-AY205</f>
        <v>0</v>
      </c>
      <c r="BA288" s="12">
        <f>SUM(AW288:AZ288)</f>
        <v>0</v>
      </c>
      <c r="BB288" s="12">
        <f>BB205-BA205</f>
        <v>0</v>
      </c>
      <c r="BC288" s="12">
        <f>BC205-BB205</f>
        <v>0</v>
      </c>
      <c r="BD288" s="12">
        <f>BD205-BC205</f>
        <v>0</v>
      </c>
      <c r="BE288" s="12">
        <f>BE205-BD205</f>
        <v>0</v>
      </c>
      <c r="BF288" s="12">
        <f>SUM(BB288:BE288)</f>
        <v>0</v>
      </c>
      <c r="BG288" s="12" t="n"/>
      <c r="BH288" s="12" t="n"/>
      <c r="BI288" s="12" t="n"/>
      <c r="BJ288" s="12" t="n"/>
      <c r="BK288" s="12" t="n"/>
      <c r="BL288" s="12" t="n"/>
      <c r="BM288" s="12" t="n"/>
      <c r="BN288" s="12" t="n"/>
      <c r="BO288" s="12" t="n"/>
      <c r="BP288" s="12" t="n"/>
      <c r="BQ288" s="12" t="n"/>
      <c r="BR288" s="12" t="n"/>
      <c r="BS288" s="12" t="n"/>
      <c r="BT288" s="12" t="n"/>
      <c r="BU288" s="12" t="n"/>
      <c r="BV288" s="12" t="n"/>
      <c r="BW288" s="12" t="n"/>
      <c r="BX288" s="12" t="n"/>
      <c r="BY288" s="12" t="n"/>
      <c r="BZ288" s="12" t="n"/>
      <c r="CA288" s="12" t="n"/>
      <c r="CB288" s="12" t="n"/>
      <c r="CC288" s="12" t="n"/>
      <c r="CD288" s="12" t="n"/>
      <c r="CE288" s="12" t="n"/>
      <c r="CF288" s="12" t="n"/>
      <c r="CG288" s="12" t="n"/>
      <c r="CH288" s="12" t="n"/>
      <c r="CI288" s="12" t="n"/>
      <c r="CJ288" s="12" t="n"/>
      <c r="CK288" s="12" t="n"/>
      <c r="CL288" s="12" t="n"/>
      <c r="CM288" s="12" t="n"/>
      <c r="CN288" s="12" t="n"/>
      <c r="CO288" s="12" t="n"/>
      <c r="CP288" s="12" t="n"/>
      <c r="CQ288" s="12" t="n"/>
      <c r="CR288" s="12" t="n"/>
      <c r="CS288" s="12" t="n"/>
      <c r="CT288" s="12" t="n"/>
      <c r="CU288" s="12" t="n"/>
      <c r="CV288" s="12" t="n"/>
      <c r="CW288" s="12" t="n"/>
      <c r="CX288" s="12" t="n"/>
      <c r="CY288" s="12" t="n"/>
    </row>
    <row r="289" hidden="1" outlineLevel="1">
      <c r="C289" s="10" t="inlineStr">
        <is>
          <t>Deferred income taxes</t>
        </is>
      </c>
      <c r="D289" s="12" t="n"/>
      <c r="E289" s="12" t="n"/>
      <c r="F289" s="12" t="n"/>
      <c r="G289" s="12" t="n"/>
      <c r="H289" s="12" t="n"/>
      <c r="I289" s="12" t="n"/>
      <c r="J289" s="12">
        <f>J239-I239</f>
        <v>4.278</v>
      </c>
      <c r="K289" s="12">
        <f>K239-J239</f>
        <v>2.886</v>
      </c>
      <c r="L289" s="12">
        <f>L239-K239</f>
        <v>-1.312</v>
      </c>
      <c r="M289" s="12" t="n"/>
      <c r="N289" s="12">
        <f>N239-M239</f>
        <v>-0.867000000000001</v>
      </c>
      <c r="O289" s="12">
        <f>O239-N239</f>
        <v>-0.952</v>
      </c>
      <c r="P289" s="12">
        <f>P239-O239</f>
        <v>3.903</v>
      </c>
      <c r="Q289" s="12">
        <f>Q239-P239</f>
        <v>0.952</v>
      </c>
      <c r="R289" s="12">
        <f>SUM(N289:Q289)</f>
        <v>3.036</v>
      </c>
      <c r="S289" s="12">
        <f>S239-R239</f>
        <v>-12.737</v>
      </c>
      <c r="T289" s="12">
        <f>T239-S239</f>
        <v>0</v>
      </c>
      <c r="U289" s="12">
        <f>U239-T239</f>
        <v>0</v>
      </c>
      <c r="V289" s="12">
        <f>V239-U239</f>
        <v>0</v>
      </c>
      <c r="W289" s="12">
        <f>SUM(S289:V289)</f>
        <v>-12.737</v>
      </c>
      <c r="X289" s="12">
        <f>X239-W239</f>
        <v>0</v>
      </c>
      <c r="Y289" s="12">
        <f>Y239-X239</f>
        <v>0</v>
      </c>
      <c r="Z289" s="12">
        <f>Z239-Y239</f>
        <v>0</v>
      </c>
      <c r="AA289" s="12">
        <f>AA239-Z239</f>
        <v>0</v>
      </c>
      <c r="AB289" s="12">
        <f>SUM(X289:AA289)</f>
        <v>0</v>
      </c>
      <c r="AC289" s="12">
        <f>AC239-AB239</f>
        <v>0</v>
      </c>
      <c r="AD289" s="12">
        <f>AD239-AC239</f>
        <v>0</v>
      </c>
      <c r="AE289" s="12">
        <f>AE239-AD239</f>
        <v>0</v>
      </c>
      <c r="AF289" s="12">
        <f>AF239-AE239</f>
        <v>0</v>
      </c>
      <c r="AG289" s="12">
        <f>SUM(AC289:AF289)</f>
        <v>0</v>
      </c>
      <c r="AH289" s="12">
        <f>AH239-AG239</f>
        <v>0</v>
      </c>
      <c r="AI289" s="12">
        <f>AI239-AH239</f>
        <v>0</v>
      </c>
      <c r="AJ289" s="12">
        <f>AJ239-AI239</f>
        <v>0</v>
      </c>
      <c r="AK289" s="12">
        <f>AK239-AJ239</f>
        <v>0</v>
      </c>
      <c r="AL289" s="12">
        <f>SUM(AH289:AK289)</f>
        <v>0</v>
      </c>
      <c r="AM289" s="12">
        <f>AM239-AL239</f>
        <v>0</v>
      </c>
      <c r="AN289" s="12">
        <f>AN239-AM239</f>
        <v>0</v>
      </c>
      <c r="AO289" s="12">
        <f>AO239-AN239</f>
        <v>0</v>
      </c>
      <c r="AP289" s="12">
        <f>AP239-AO239</f>
        <v>0</v>
      </c>
      <c r="AQ289" s="12">
        <f>SUM(AM289:AP289)</f>
        <v>0</v>
      </c>
      <c r="AR289" s="12">
        <f>AR239-AQ239</f>
        <v>0</v>
      </c>
      <c r="AS289" s="12">
        <f>AS239-AR239</f>
        <v>0</v>
      </c>
      <c r="AT289" s="12">
        <f>AT239-AS239</f>
        <v>0</v>
      </c>
      <c r="AU289" s="12">
        <f>AU239-AT239</f>
        <v>0</v>
      </c>
      <c r="AV289" s="12">
        <f>SUM(AR289:AU289)</f>
        <v>0</v>
      </c>
      <c r="AW289" s="12">
        <f>AW239-AV239</f>
        <v>0</v>
      </c>
      <c r="AX289" s="12">
        <f>AX239-AW239</f>
        <v>0</v>
      </c>
      <c r="AY289" s="12">
        <f>AY239-AX239</f>
        <v>0</v>
      </c>
      <c r="AZ289" s="12">
        <f>AZ239-AY239</f>
        <v>0</v>
      </c>
      <c r="BA289" s="12">
        <f>SUM(AW289:AZ289)</f>
        <v>0</v>
      </c>
      <c r="BB289" s="12">
        <f>BB239-BA239</f>
        <v>0</v>
      </c>
      <c r="BC289" s="12">
        <f>BC239-BB239</f>
        <v>0</v>
      </c>
      <c r="BD289" s="12">
        <f>BD239-BC239</f>
        <v>0</v>
      </c>
      <c r="BE289" s="12">
        <f>BE239-BD239</f>
        <v>0</v>
      </c>
      <c r="BF289" s="12">
        <f>SUM(BB289:BE289)</f>
        <v>0</v>
      </c>
      <c r="BG289" s="12" t="n"/>
      <c r="BH289" s="12" t="n"/>
      <c r="BI289" s="12" t="n"/>
      <c r="BJ289" s="12" t="n"/>
      <c r="BK289" s="12" t="n"/>
      <c r="BL289" s="12" t="n"/>
      <c r="BM289" s="12" t="n"/>
      <c r="BN289" s="12" t="n"/>
      <c r="BO289" s="12" t="n"/>
      <c r="BP289" s="12" t="n"/>
      <c r="BQ289" s="12" t="n"/>
      <c r="BR289" s="12" t="n"/>
      <c r="BS289" s="12" t="n"/>
      <c r="BT289" s="12" t="n"/>
      <c r="BU289" s="12" t="n"/>
      <c r="BV289" s="12" t="n"/>
      <c r="BW289" s="12" t="n"/>
      <c r="BX289" s="12" t="n"/>
      <c r="BY289" s="12" t="n"/>
      <c r="BZ289" s="12" t="n"/>
      <c r="CA289" s="12" t="n"/>
      <c r="CB289" s="12" t="n"/>
      <c r="CC289" s="12" t="n"/>
      <c r="CD289" s="12" t="n"/>
      <c r="CE289" s="12" t="n"/>
      <c r="CF289" s="12" t="n"/>
      <c r="CG289" s="12" t="n"/>
      <c r="CH289" s="12" t="n"/>
      <c r="CI289" s="12" t="n"/>
      <c r="CJ289" s="12" t="n"/>
      <c r="CK289" s="12" t="n"/>
      <c r="CL289" s="12" t="n"/>
      <c r="CM289" s="12" t="n"/>
      <c r="CN289" s="12" t="n"/>
      <c r="CO289" s="12" t="n"/>
      <c r="CP289" s="12" t="n"/>
      <c r="CQ289" s="12" t="n"/>
      <c r="CR289" s="12" t="n"/>
      <c r="CS289" s="12" t="n"/>
      <c r="CT289" s="12" t="n"/>
      <c r="CU289" s="12" t="n"/>
      <c r="CV289" s="12" t="n"/>
      <c r="CW289" s="12" t="n"/>
      <c r="CX289" s="12" t="n"/>
      <c r="CY289" s="12" t="n"/>
    </row>
    <row r="290" collapsed="1">
      <c r="C290" s="10" t="inlineStr">
        <is>
          <t>Equity income in affiliates</t>
        </is>
      </c>
      <c r="D290" s="12" t="n"/>
      <c r="E290" s="12" t="n"/>
      <c r="F290" s="12" t="n"/>
      <c r="G290" s="12" t="n"/>
      <c r="H290" s="12" t="n"/>
      <c r="I290" s="12" t="n"/>
      <c r="J290" s="12">
        <f>(J161-I161)*-1</f>
        <v>-39.725</v>
      </c>
      <c r="K290" s="12">
        <f>(K161-J161)*-1</f>
        <v>-5.795</v>
      </c>
      <c r="L290" s="12">
        <f>(L161-K161)*-1</f>
        <v>5.20099999999999</v>
      </c>
      <c r="M290" s="12" t="n"/>
      <c r="N290" s="12">
        <f>(N161-M161)*-1</f>
        <v>-1.631</v>
      </c>
      <c r="O290" s="12">
        <f>(O161-N161)*-1</f>
        <v>-6.94799999999999</v>
      </c>
      <c r="P290" s="12">
        <f>(P161-O161)*-1</f>
        <v>-1.65100000000001</v>
      </c>
      <c r="Q290" s="12">
        <f>(Q161-P161)*-1</f>
        <v>-15.507</v>
      </c>
      <c r="R290" s="12">
        <f>SUM(N290:Q290)</f>
        <v>-25.737</v>
      </c>
      <c r="S290" s="12">
        <f>(S161-R161)*-1</f>
        <v>9.94600000000003</v>
      </c>
      <c r="T290" s="12">
        <f>(T161-S161)*-1</f>
        <v>-8.31900000000002</v>
      </c>
      <c r="U290" s="12">
        <f>(U161-T161)*-1</f>
        <v>-28.957</v>
      </c>
      <c r="V290" s="12">
        <f>(V161-U161)*-1</f>
        <v>1.672</v>
      </c>
      <c r="W290" s="12">
        <f>SUM(S290:V290)</f>
        <v>-25.658</v>
      </c>
      <c r="X290" s="12">
        <f>(X161-W161)*-1</f>
        <v>-5.02099999999999</v>
      </c>
      <c r="Y290" s="12">
        <f>(Y161-X161)*-1</f>
        <v>-19.249</v>
      </c>
      <c r="Z290" s="12">
        <f>(Z161-Y161)*-1</f>
        <v>-0.314470809999989</v>
      </c>
      <c r="AA290" s="12">
        <f>(AA161-Z161)*-1</f>
        <v>-18.54452919</v>
      </c>
      <c r="AB290" s="12">
        <f>SUM(X290:AA290)</f>
        <v>-43.129</v>
      </c>
      <c r="AC290" s="12">
        <f>(AC161-AB161)*-1</f>
        <v>50.833</v>
      </c>
      <c r="AD290" s="12">
        <f>(AD161-AC161)*-1</f>
        <v>23.237</v>
      </c>
      <c r="AE290" s="12">
        <f>(AE161-AD161)*-1</f>
        <v>32.907</v>
      </c>
      <c r="AF290" s="12">
        <f>(AF161-AE161)*-1</f>
        <v>-18.608</v>
      </c>
      <c r="AG290" s="12">
        <f>SUM(AC290:AF290)</f>
        <v>88.369</v>
      </c>
      <c r="AH290" s="12">
        <f>(AH161-AG161)*-1</f>
        <v>20.514</v>
      </c>
      <c r="AI290" s="12">
        <f>(AI161-AH161)*-1</f>
        <v>-21.49</v>
      </c>
      <c r="AJ290" s="12">
        <f>(AJ161-AI161)*-1</f>
        <v>0</v>
      </c>
      <c r="AK290" s="12">
        <f>(AK161-AJ161)*-1</f>
        <v>0</v>
      </c>
      <c r="AL290" s="12">
        <f>SUM(AH290:AK290)</f>
        <v>-0.975999999999999</v>
      </c>
      <c r="AM290" s="12">
        <f>(AM161-AL161)*-1</f>
        <v>0</v>
      </c>
      <c r="AN290" s="12">
        <f>(AN161-AM161)*-1</f>
        <v>0</v>
      </c>
      <c r="AO290" s="12">
        <f>(AO161-AN161)*-1</f>
        <v>0</v>
      </c>
      <c r="AP290" s="12">
        <f>(AP161-AO161)*-1</f>
        <v>0</v>
      </c>
      <c r="AQ290" s="12">
        <f>SUM(AM290:AP290)</f>
        <v>0</v>
      </c>
      <c r="AR290" s="12">
        <f>(AR161-AQ161)*-1</f>
        <v>0</v>
      </c>
      <c r="AS290" s="12">
        <f>(AS161-AR161)*-1</f>
        <v>0</v>
      </c>
      <c r="AT290" s="12">
        <f>(AT161-AS161)*-1</f>
        <v>0</v>
      </c>
      <c r="AU290" s="12">
        <f>(AU161-AT161)*-1</f>
        <v>0</v>
      </c>
      <c r="AV290" s="12">
        <f>SUM(AR290:AU290)</f>
        <v>0</v>
      </c>
      <c r="AW290" s="12">
        <f>(AW161-AV161)*-1</f>
        <v>0</v>
      </c>
      <c r="AX290" s="12">
        <f>(AX161-AW161)*-1</f>
        <v>0</v>
      </c>
      <c r="AY290" s="12">
        <f>(AY161-AX161)*-1</f>
        <v>0</v>
      </c>
      <c r="AZ290" s="12">
        <f>(AZ161-AY161)*-1</f>
        <v>0</v>
      </c>
      <c r="BA290" s="12">
        <f>SUM(AW290:AZ290)</f>
        <v>0</v>
      </c>
      <c r="BB290" s="12">
        <f>(BB161-BA161)*-1</f>
        <v>0</v>
      </c>
      <c r="BC290" s="12">
        <f>(BC161-BB161)*-1</f>
        <v>0</v>
      </c>
      <c r="BD290" s="12">
        <f>(BD161-BC161)*-1</f>
        <v>0</v>
      </c>
      <c r="BE290" s="12">
        <f>(BE161-BD161)*-1</f>
        <v>0</v>
      </c>
      <c r="BF290" s="12">
        <f>SUM(BB290:BE290)</f>
        <v>0</v>
      </c>
      <c r="BG290" s="12" t="n"/>
      <c r="BH290" s="12" t="n"/>
      <c r="BI290" s="12" t="n"/>
      <c r="BJ290" s="12" t="n"/>
      <c r="BK290" s="12" t="n"/>
      <c r="BL290" s="12" t="n"/>
      <c r="BM290" s="12" t="n"/>
      <c r="BN290" s="12" t="n"/>
      <c r="BO290" s="12" t="n"/>
      <c r="BP290" s="12" t="n"/>
      <c r="BQ290" s="12" t="n"/>
      <c r="BR290" s="12" t="n"/>
      <c r="BS290" s="12" t="n"/>
      <c r="BT290" s="12" t="n"/>
      <c r="BU290" s="12" t="n"/>
      <c r="BV290" s="12" t="n"/>
      <c r="BW290" s="12" t="n"/>
      <c r="BX290" s="12" t="n"/>
      <c r="BY290" s="12" t="n"/>
      <c r="BZ290" s="12" t="n"/>
      <c r="CA290" s="12" t="n"/>
      <c r="CB290" s="12" t="n"/>
      <c r="CC290" s="12" t="n"/>
      <c r="CD290" s="12" t="n"/>
      <c r="CE290" s="12" t="n"/>
      <c r="CF290" s="12" t="n"/>
      <c r="CG290" s="12" t="n"/>
      <c r="CH290" s="12" t="n"/>
      <c r="CI290" s="12" t="n"/>
      <c r="CJ290" s="12" t="n"/>
      <c r="CK290" s="12" t="n"/>
      <c r="CL290" s="12" t="n"/>
      <c r="CM290" s="12" t="n"/>
      <c r="CN290" s="12" t="n"/>
      <c r="CO290" s="12" t="n"/>
      <c r="CP290" s="12" t="n"/>
      <c r="CQ290" s="12" t="n"/>
      <c r="CR290" s="12" t="n"/>
      <c r="CS290" s="12" t="n"/>
      <c r="CT290" s="12" t="n"/>
      <c r="CU290" s="12" t="n"/>
      <c r="CV290" s="12" t="n"/>
      <c r="CW290" s="12" t="n"/>
      <c r="CX290" s="12" t="n"/>
      <c r="CY290" s="12" t="n"/>
    </row>
    <row r="291">
      <c r="C291" s="10" t="inlineStr">
        <is>
          <t>Dividends received from affiliates</t>
        </is>
      </c>
      <c r="D291" s="12" t="n"/>
      <c r="E291" s="12" t="n"/>
      <c r="F291" s="12" t="n"/>
      <c r="G291" s="12" t="n"/>
      <c r="H291" s="12" t="n"/>
      <c r="I291" s="12" t="n"/>
      <c r="J291" s="12">
        <f>-J164</f>
        <v>0</v>
      </c>
      <c r="K291" s="12">
        <f>-K164</f>
        <v>0</v>
      </c>
      <c r="L291" s="12">
        <f>-L164</f>
        <v>0</v>
      </c>
      <c r="M291" s="12" t="n"/>
      <c r="N291" s="12">
        <f>-N164</f>
        <v>0</v>
      </c>
      <c r="O291" s="12">
        <f>-O164</f>
        <v>0</v>
      </c>
      <c r="P291" s="12">
        <f>-P164</f>
        <v>0</v>
      </c>
      <c r="Q291" s="12">
        <f>-Q164</f>
        <v>0</v>
      </c>
      <c r="R291" s="12">
        <f>SUM(N291:Q291)</f>
        <v>0</v>
      </c>
      <c r="S291" s="12">
        <f>-S164</f>
        <v>0</v>
      </c>
      <c r="T291" s="12">
        <f>-T164</f>
        <v>0</v>
      </c>
      <c r="U291" s="12">
        <f>-U164</f>
        <v>0</v>
      </c>
      <c r="V291" s="12">
        <f>-V164</f>
        <v>0</v>
      </c>
      <c r="W291" s="12">
        <f>SUM(S291:V291)</f>
        <v>0</v>
      </c>
      <c r="X291" s="12">
        <f>-X164</f>
        <v>0</v>
      </c>
      <c r="Y291" s="12">
        <f>-Y164</f>
        <v>0</v>
      </c>
      <c r="Z291" s="12">
        <f>-Z164</f>
        <v>0</v>
      </c>
      <c r="AA291" s="12">
        <f>-AA164</f>
        <v>0</v>
      </c>
      <c r="AB291" s="12">
        <f>SUM(X291:AA291)</f>
        <v>0</v>
      </c>
      <c r="AC291" s="12">
        <f>-AC164</f>
        <v>0</v>
      </c>
      <c r="AD291" s="12">
        <f>-AD164</f>
        <v>0</v>
      </c>
      <c r="AE291" s="12">
        <f>-AE164</f>
        <v>0</v>
      </c>
      <c r="AF291" s="12">
        <f>-AF164</f>
        <v>0</v>
      </c>
      <c r="AG291" s="12">
        <f>SUM(AC291:AF291)</f>
        <v>0</v>
      </c>
      <c r="AH291" s="12">
        <f>-AH164</f>
        <v>0</v>
      </c>
      <c r="AI291" s="12">
        <f>-AI164</f>
        <v>0</v>
      </c>
      <c r="AJ291" s="12">
        <f>-AJ164</f>
        <v>0</v>
      </c>
      <c r="AK291" s="12">
        <f>-AK164</f>
        <v>0</v>
      </c>
      <c r="AL291" s="12">
        <f>SUM(AH291:AK291)</f>
        <v>0</v>
      </c>
      <c r="AM291" s="12">
        <f>-AM164</f>
        <v>0</v>
      </c>
      <c r="AN291" s="12">
        <f>-AN164</f>
        <v>0</v>
      </c>
      <c r="AO291" s="12">
        <f>-AO164</f>
        <v>0</v>
      </c>
      <c r="AP291" s="12">
        <f>-AP164</f>
        <v>0</v>
      </c>
      <c r="AQ291" s="12">
        <f>SUM(AM291:AP291)</f>
        <v>0</v>
      </c>
      <c r="AR291" s="12">
        <f>-AR164</f>
        <v>0</v>
      </c>
      <c r="AS291" s="12">
        <f>-AS164</f>
        <v>0</v>
      </c>
      <c r="AT291" s="12">
        <f>-AT164</f>
        <v>0</v>
      </c>
      <c r="AU291" s="12">
        <f>-AU164</f>
        <v>0</v>
      </c>
      <c r="AV291" s="12">
        <f>SUM(AR291:AU291)</f>
        <v>0</v>
      </c>
      <c r="AW291" s="12">
        <f>-AW164</f>
        <v>0</v>
      </c>
      <c r="AX291" s="12">
        <f>-AX164</f>
        <v>0</v>
      </c>
      <c r="AY291" s="12">
        <f>-AY164</f>
        <v>0</v>
      </c>
      <c r="AZ291" s="12">
        <f>-AZ164</f>
        <v>0</v>
      </c>
      <c r="BA291" s="12">
        <f>SUM(AW291:AZ291)</f>
        <v>0</v>
      </c>
      <c r="BB291" s="12">
        <f>-BB164</f>
        <v>0</v>
      </c>
      <c r="BC291" s="12">
        <f>-BC164</f>
        <v>0</v>
      </c>
      <c r="BD291" s="12">
        <f>-BD164</f>
        <v>0</v>
      </c>
      <c r="BE291" s="12">
        <f>-BE164</f>
        <v>0</v>
      </c>
      <c r="BF291" s="12">
        <f>SUM(BB291:BE291)</f>
        <v>0</v>
      </c>
      <c r="BG291" s="12" t="n"/>
      <c r="BH291" s="12" t="n"/>
      <c r="BI291" s="12" t="n"/>
      <c r="BJ291" s="12" t="n"/>
      <c r="BK291" s="12" t="n"/>
      <c r="BL291" s="12" t="n"/>
      <c r="BM291" s="12" t="n"/>
      <c r="BN291" s="12" t="n"/>
      <c r="BO291" s="12" t="n"/>
      <c r="BP291" s="12" t="n"/>
      <c r="BQ291" s="12" t="n"/>
      <c r="BR291" s="12" t="n"/>
      <c r="BS291" s="12" t="n"/>
      <c r="BT291" s="12" t="n"/>
      <c r="BU291" s="12" t="n"/>
      <c r="BV291" s="12" t="n"/>
      <c r="BW291" s="12" t="n"/>
      <c r="BX291" s="12" t="n"/>
      <c r="BY291" s="12" t="n"/>
      <c r="BZ291" s="12" t="n"/>
      <c r="CA291" s="12" t="n"/>
      <c r="CB291" s="12" t="n"/>
      <c r="CC291" s="12" t="n"/>
      <c r="CD291" s="12" t="n"/>
      <c r="CE291" s="12" t="n"/>
      <c r="CF291" s="12" t="n"/>
      <c r="CG291" s="12" t="n"/>
      <c r="CH291" s="12" t="n"/>
      <c r="CI291" s="12" t="n"/>
      <c r="CJ291" s="12" t="n"/>
      <c r="CK291" s="12" t="n"/>
      <c r="CL291" s="12" t="n"/>
      <c r="CM291" s="12" t="n"/>
      <c r="CN291" s="12" t="n"/>
      <c r="CO291" s="12" t="n"/>
      <c r="CP291" s="12" t="n"/>
      <c r="CQ291" s="12" t="n"/>
      <c r="CR291" s="12" t="n"/>
      <c r="CS291" s="12" t="n"/>
      <c r="CT291" s="12" t="n"/>
      <c r="CU291" s="12" t="n"/>
      <c r="CV291" s="12" t="n"/>
      <c r="CW291" s="12" t="n"/>
      <c r="CX291" s="12" t="n"/>
      <c r="CY291" s="12" t="n"/>
    </row>
    <row r="292">
      <c r="C292" s="71" t="inlineStr">
        <is>
          <t>Minority interest expense</t>
        </is>
      </c>
      <c r="D292" s="12" t="n"/>
      <c r="E292" s="12" t="n"/>
      <c r="F292" s="12" t="n"/>
      <c r="G292" s="12" t="n"/>
      <c r="H292" s="12" t="n"/>
      <c r="I292" s="12" t="n"/>
      <c r="J292" s="12">
        <f>-J136</f>
        <v>12.282841155</v>
      </c>
      <c r="K292" s="12">
        <f>-K136</f>
        <v>11.726429863</v>
      </c>
      <c r="L292" s="12">
        <f>-L136</f>
        <v>13.982317574</v>
      </c>
      <c r="M292" s="12" t="n"/>
      <c r="N292" s="12">
        <f>-N136</f>
        <v>18.534</v>
      </c>
      <c r="O292" s="12">
        <f>-O136</f>
        <v>14.431</v>
      </c>
      <c r="P292" s="12">
        <f>-P136</f>
        <v>16.681</v>
      </c>
      <c r="Q292" s="12">
        <f>-Q136</f>
        <v>16.023</v>
      </c>
      <c r="R292" s="12">
        <f>SUM(N292:Q292)</f>
        <v>65.669</v>
      </c>
      <c r="S292" s="12">
        <f>-S136</f>
        <v>13.511</v>
      </c>
      <c r="T292" s="12">
        <f>-T136</f>
        <v>10.333</v>
      </c>
      <c r="U292" s="12">
        <f>-U136</f>
        <v>17.112</v>
      </c>
      <c r="V292" s="12">
        <f>-V136</f>
        <v>14.359</v>
      </c>
      <c r="W292" s="12">
        <f>SUM(S292:V292)</f>
        <v>55.315</v>
      </c>
      <c r="X292" s="12">
        <f>-X136</f>
        <v>18.71316342</v>
      </c>
      <c r="Y292" s="12">
        <f>-Y136</f>
        <v>23.743</v>
      </c>
      <c r="Z292" s="12">
        <f>-Z136</f>
        <v>24.226</v>
      </c>
      <c r="AA292" s="12">
        <f>-AA136</f>
        <v>22.608</v>
      </c>
      <c r="AB292" s="12">
        <f>SUM(X292:AA292)</f>
        <v>89.29016342</v>
      </c>
      <c r="AC292" s="12">
        <f>-AC136</f>
        <v>26.936</v>
      </c>
      <c r="AD292" s="12">
        <f>-AD136</f>
        <v>36.901</v>
      </c>
      <c r="AE292" s="12">
        <f>-AE136</f>
        <v>53.322</v>
      </c>
      <c r="AF292" s="12">
        <f>-AF136</f>
        <v>73.191</v>
      </c>
      <c r="AG292" s="12">
        <f>SUM(AC292:AF292)</f>
        <v>190.35</v>
      </c>
      <c r="AH292" s="12">
        <f>-AH136</f>
        <v>54.374</v>
      </c>
      <c r="AI292" s="12">
        <f>-AI136</f>
        <v>53.778</v>
      </c>
      <c r="AJ292" s="12">
        <f>-AJ136</f>
        <v>0</v>
      </c>
      <c r="AK292" s="12">
        <f>-AK136</f>
        <v>0</v>
      </c>
      <c r="AL292" s="12">
        <f>SUM(AH292:AK292)</f>
        <v>108.152</v>
      </c>
      <c r="AM292" s="12">
        <f>-AM136</f>
        <v>0</v>
      </c>
      <c r="AN292" s="12">
        <f>-AN136</f>
        <v>0</v>
      </c>
      <c r="AO292" s="12">
        <f>-AO136</f>
        <v>0</v>
      </c>
      <c r="AP292" s="12">
        <f>-AP136</f>
        <v>0</v>
      </c>
      <c r="AQ292" s="12">
        <f>SUM(AM292:AP292)</f>
        <v>0</v>
      </c>
      <c r="AR292" s="12">
        <f>-AR136</f>
        <v>0</v>
      </c>
      <c r="AS292" s="12">
        <f>-AS136</f>
        <v>0</v>
      </c>
      <c r="AT292" s="12">
        <f>-AT136</f>
        <v>0</v>
      </c>
      <c r="AU292" s="12">
        <f>-AU136</f>
        <v>0</v>
      </c>
      <c r="AV292" s="12">
        <f>SUM(AR292:AU292)</f>
        <v>0</v>
      </c>
      <c r="AW292" s="12">
        <f>-AW136</f>
        <v>0</v>
      </c>
      <c r="AX292" s="12">
        <f>-AX136</f>
        <v>0</v>
      </c>
      <c r="AY292" s="12">
        <f>-AY136</f>
        <v>0</v>
      </c>
      <c r="AZ292" s="12">
        <f>-AZ136</f>
        <v>0</v>
      </c>
      <c r="BA292" s="12">
        <f>SUM(AW292:AZ292)</f>
        <v>0</v>
      </c>
      <c r="BB292" s="12">
        <f>-BB136</f>
        <v>0</v>
      </c>
      <c r="BC292" s="12">
        <f>-BC136</f>
        <v>0</v>
      </c>
      <c r="BD292" s="12">
        <f>-BD136</f>
        <v>0</v>
      </c>
      <c r="BE292" s="12">
        <f>-BE136</f>
        <v>0</v>
      </c>
      <c r="BF292" s="12">
        <f>SUM(BB292:BE292)</f>
        <v>0</v>
      </c>
      <c r="BG292" s="12" t="n"/>
      <c r="BH292" s="12" t="n"/>
      <c r="BI292" s="12" t="n"/>
      <c r="BJ292" s="12" t="n"/>
      <c r="BK292" s="12" t="n"/>
      <c r="BL292" s="12" t="n"/>
      <c r="BM292" s="12" t="n"/>
      <c r="BN292" s="12" t="n"/>
      <c r="BO292" s="12" t="n"/>
      <c r="BP292" s="12" t="n"/>
      <c r="BQ292" s="12" t="n"/>
      <c r="BR292" s="12" t="n"/>
      <c r="BS292" s="12" t="n"/>
      <c r="BT292" s="12" t="n"/>
      <c r="BU292" s="12" t="n"/>
      <c r="BV292" s="12" t="n"/>
      <c r="BW292" s="12" t="n"/>
      <c r="BX292" s="12" t="n"/>
      <c r="BY292" s="12" t="n"/>
      <c r="BZ292" s="12" t="n"/>
      <c r="CA292" s="12" t="n"/>
      <c r="CB292" s="12" t="n"/>
      <c r="CC292" s="12" t="n"/>
      <c r="CD292" s="12" t="n"/>
      <c r="CE292" s="12" t="n"/>
      <c r="CF292" s="12" t="n"/>
      <c r="CG292" s="12" t="n"/>
      <c r="CH292" s="12" t="n"/>
      <c r="CI292" s="12" t="n"/>
      <c r="CJ292" s="12" t="n"/>
      <c r="CK292" s="12" t="n"/>
      <c r="CL292" s="12" t="n"/>
      <c r="CM292" s="12" t="n"/>
      <c r="CN292" s="12" t="n"/>
      <c r="CO292" s="12" t="n"/>
      <c r="CP292" s="12" t="n"/>
      <c r="CQ292" s="12" t="n"/>
      <c r="CR292" s="12" t="n"/>
      <c r="CS292" s="12" t="n"/>
      <c r="CT292" s="12" t="n"/>
      <c r="CU292" s="12" t="n"/>
      <c r="CV292" s="12" t="n"/>
      <c r="CW292" s="12" t="n"/>
      <c r="CX292" s="12" t="n"/>
      <c r="CY292" s="12" t="n"/>
    </row>
    <row r="293">
      <c r="C293" s="14" t="inlineStr">
        <is>
          <t>Cash from operations</t>
        </is>
      </c>
      <c r="D293" s="12" t="n"/>
      <c r="E293" s="12" t="n"/>
      <c r="F293" s="12" t="n"/>
      <c r="G293" s="12" t="n"/>
      <c r="H293" s="12" t="n"/>
      <c r="I293" s="12" t="n"/>
      <c r="J293" s="12">
        <f>SUM(J277,J278,J279,J290,J291,J292)</f>
        <v>-226.128952282</v>
      </c>
      <c r="K293" s="12">
        <f>SUM(K277,K278,K279,K290,K291,K292)</f>
        <v>-7.21345843799979</v>
      </c>
      <c r="L293" s="12">
        <f>SUM(L277,L278,L279,L290,L291,L292)</f>
        <v>13.6021330619999</v>
      </c>
      <c r="M293" s="12" t="n"/>
      <c r="N293" s="12">
        <f>SUM(N277,N278,N279,N290,N291,N292)</f>
        <v>12.6850000000001</v>
      </c>
      <c r="O293" s="12">
        <f>SUM(O277,O278,O279,O290,O291,O292)</f>
        <v>92.6509999999996</v>
      </c>
      <c r="P293" s="12">
        <f>SUM(P277,P278,P279,P290,P291,P292)</f>
        <v>-86.0119999999998</v>
      </c>
      <c r="Q293" s="12">
        <f>SUM(Q277,Q278,Q279,Q290,Q291,Q292)</f>
        <v>-69.8799999999998</v>
      </c>
      <c r="R293" s="12">
        <f>SUM(R277,R278,R279,R290,R291,R292)</f>
        <v>-50.5559999999999</v>
      </c>
      <c r="S293" s="12">
        <f>SUM(S277,S278,S279,S290,S291,S292)</f>
        <v>-58.8492207300004</v>
      </c>
      <c r="T293" s="12">
        <f>SUM(T277,T278,T279,T290,T291,T292)</f>
        <v>-107.68005127</v>
      </c>
      <c r="U293" s="12">
        <f>SUM(U277,U278,U279,U290,U291,U292)</f>
        <v>-10.6598624299997</v>
      </c>
      <c r="V293" s="12">
        <f>SUM(V277,V278,V279,V290,V291,V292)</f>
        <v>-42.2096692799994</v>
      </c>
      <c r="W293" s="12">
        <f>SUM(W277,W278,W279,W290,W291,W292)</f>
        <v>-219.39880371</v>
      </c>
      <c r="X293" s="12">
        <f>SUM(X277,X278,X279,X290,X291,X292)</f>
        <v>-263.88703122</v>
      </c>
      <c r="Y293" s="12">
        <f>SUM(Y277,Y278,Y279,Y290,Y291,Y292)</f>
        <v>-272.93941915</v>
      </c>
      <c r="Z293" s="12">
        <f>SUM(Z277,Z278,Z279,Z290,Z291,Z292)</f>
        <v>-260.474746479999</v>
      </c>
      <c r="AA293" s="12">
        <f>SUM(AA277,AA278,AA279,AA290,AA291,AA292)</f>
        <v>118.963796639999</v>
      </c>
      <c r="AB293" s="12">
        <f>SUM(AB277,AB278,AB279,AB290,AB291,AB292)</f>
        <v>-678.337400210001</v>
      </c>
      <c r="AC293" s="12">
        <f>SUM(AC277,AC278,AC279,AC290,AC291,AC292)</f>
        <v>-574.537</v>
      </c>
      <c r="AD293" s="12">
        <f>SUM(AD277,AD278,AD279,AD290,AD291,AD292)</f>
        <v>373.709</v>
      </c>
      <c r="AE293" s="12">
        <f>SUM(AE277,AE278,AE279,AE290,AE291,AE292)</f>
        <v>-562.584</v>
      </c>
      <c r="AF293" s="12">
        <f>SUM(AF277,AF278,AF279,AF290,AF291,AF292)</f>
        <v>-559.868999999999</v>
      </c>
      <c r="AG293" s="12">
        <f>SUM(AG277,AG278,AG279,AG290,AG291,AG292)</f>
        <v>-1323.281</v>
      </c>
      <c r="AH293" s="12">
        <f>SUM(AH277,AH278,AH279,AH290,AH291,AH292)</f>
        <v>-191.3</v>
      </c>
      <c r="AI293" s="12">
        <f>SUM(AI277,AI278,AI279,AI290,AI291,AI292)</f>
        <v>-217.61192971</v>
      </c>
      <c r="AJ293" s="12">
        <f>SUM(AJ277,AJ278,AJ279,AJ290,AJ291,AJ292)</f>
        <v>-788.837286058138</v>
      </c>
      <c r="AK293" s="12">
        <f>SUM(AK277,AK278,AK279,AK290,AK291,AK292)</f>
        <v>-152.831437679255</v>
      </c>
      <c r="AL293" s="12">
        <f>SUM(AL277,AL278,AL279,AL290,AL291,AL292)</f>
        <v>-1350.58065344739</v>
      </c>
      <c r="AM293" s="12">
        <f>SUM(AM277,AM278,AM279,AM290,AM291,AM292)</f>
        <v>901.567731855444</v>
      </c>
      <c r="AN293" s="12">
        <f>SUM(AN277,AN278,AN279,AN290,AN291,AN292)</f>
        <v>-448.940759301633</v>
      </c>
      <c r="AO293" s="12">
        <f>SUM(AO277,AO278,AO279,AO290,AO291,AO292)</f>
        <v>-1254.77010703601</v>
      </c>
      <c r="AP293" s="12">
        <f>SUM(AP277,AP278,AP279,AP290,AP291,AP292)</f>
        <v>-106.263281806315</v>
      </c>
      <c r="AQ293" s="12">
        <f>SUM(AQ277,AQ278,AQ279,AQ290,AQ291,AQ292)</f>
        <v>-908.406416288515</v>
      </c>
      <c r="AR293" s="12">
        <f>SUM(AR277,AR278,AR279,AR290,AR291,AR292)</f>
        <v>1498.35409676378</v>
      </c>
      <c r="AS293" s="12">
        <f>SUM(AS277,AS278,AS279,AS290,AS291,AS292)</f>
        <v>-602.819963209872</v>
      </c>
      <c r="AT293" s="12">
        <f>SUM(AT277,AT278,AT279,AT290,AT291,AT292)</f>
        <v>-1422.40842777987</v>
      </c>
      <c r="AU293" s="12">
        <f>SUM(AU277,AU278,AU279,AU290,AU291,AU292)</f>
        <v>95.0810974245817</v>
      </c>
      <c r="AV293" s="12">
        <f>SUM(AV277,AV278,AV279,AV290,AV291,AV292)</f>
        <v>-431.793196801386</v>
      </c>
      <c r="AW293" s="12">
        <f>SUM(AW277,AW278,AW279,AW290,AW291,AW292)</f>
        <v>2059.68727059103</v>
      </c>
      <c r="AX293" s="12">
        <f>SUM(AX277,AX278,AX279,AX290,AX291,AX292)</f>
        <v>-181.75344464765</v>
      </c>
      <c r="AY293" s="12">
        <f>SUM(AY277,AY278,AY279,AY290,AY291,AY292)</f>
        <v>-1344.78969767222</v>
      </c>
      <c r="AZ293" s="12">
        <f>SUM(AZ277,AZ278,AZ279,AZ290,AZ291,AZ292)</f>
        <v>712.189616000522</v>
      </c>
      <c r="BA293" s="12">
        <f>SUM(BA277,BA278,BA279,BA290,BA291,BA292)</f>
        <v>1245.33374427169</v>
      </c>
      <c r="BB293" s="12">
        <f>SUM(BB277,BB278,BB279,BB290,BB291,BB292)</f>
        <v>3453.53040518417</v>
      </c>
      <c r="BC293" s="12">
        <f>SUM(BC277,BC278,BC279,BC290,BC291,BC292)</f>
        <v>702.540401208079</v>
      </c>
      <c r="BD293" s="12">
        <f>SUM(BD277,BD278,BD279,BD290,BD291,BD292)</f>
        <v>-526.71206083194</v>
      </c>
      <c r="BE293" s="12">
        <f>SUM(BE277,BE278,BE279,BE290,BE291,BE292)</f>
        <v>2391.95980627138</v>
      </c>
      <c r="BF293" s="12">
        <f>SUM(BF277,BF278,BF279,BF290,BF291,BF292)</f>
        <v>6021.31855183168</v>
      </c>
      <c r="BG293" s="12" t="n"/>
      <c r="BH293" s="12" t="n"/>
      <c r="BI293" s="12" t="n"/>
      <c r="BJ293" s="12" t="n"/>
      <c r="BK293" s="12" t="n"/>
      <c r="BL293" s="12" t="n"/>
      <c r="BM293" s="12" t="n"/>
      <c r="BN293" s="12" t="n"/>
      <c r="BO293" s="12" t="n"/>
      <c r="BP293" s="12" t="n"/>
      <c r="BQ293" s="12" t="n"/>
      <c r="BR293" s="12" t="n"/>
      <c r="BS293" s="12" t="n"/>
      <c r="BT293" s="12" t="n"/>
      <c r="BU293" s="12" t="n"/>
      <c r="BV293" s="12" t="n"/>
      <c r="BW293" s="12" t="n"/>
      <c r="BX293" s="12" t="n"/>
      <c r="BY293" s="12" t="n"/>
      <c r="BZ293" s="12" t="n"/>
      <c r="CA293" s="12" t="n"/>
      <c r="CB293" s="12" t="n"/>
      <c r="CC293" s="12" t="n"/>
      <c r="CD293" s="12" t="n"/>
      <c r="CE293" s="12" t="n"/>
      <c r="CF293" s="12" t="n"/>
      <c r="CG293" s="12" t="n"/>
      <c r="CH293" s="12" t="n"/>
      <c r="CI293" s="12" t="n"/>
      <c r="CJ293" s="12" t="n"/>
      <c r="CK293" s="12" t="n"/>
      <c r="CL293" s="12" t="n"/>
      <c r="CM293" s="12" t="n"/>
      <c r="CN293" s="12" t="n"/>
      <c r="CO293" s="12" t="n"/>
      <c r="CP293" s="12" t="n"/>
      <c r="CQ293" s="12" t="n"/>
      <c r="CR293" s="12" t="n"/>
      <c r="CS293" s="12" t="n"/>
      <c r="CT293" s="12" t="n"/>
      <c r="CU293" s="12" t="n"/>
      <c r="CV293" s="12" t="n"/>
      <c r="CW293" s="12" t="n"/>
      <c r="CX293" s="12" t="n"/>
      <c r="CY293" s="12" t="n"/>
    </row>
    <row r="294">
      <c r="C294" s="14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  <c r="Y294" s="12" t="n"/>
      <c r="Z294" s="12" t="n"/>
      <c r="AA294" s="12" t="n"/>
      <c r="AB294" s="12" t="n"/>
      <c r="AC294" s="12" t="n"/>
      <c r="AD294" s="12" t="n"/>
      <c r="AE294" s="12" t="n"/>
      <c r="AF294" s="12" t="n"/>
      <c r="AG294" s="12" t="n"/>
      <c r="AH294" s="12" t="n"/>
      <c r="AI294" s="12" t="n"/>
      <c r="AJ294" s="12" t="n"/>
      <c r="AK294" s="12" t="n"/>
      <c r="AL294" s="12" t="n"/>
      <c r="AM294" s="12" t="n"/>
      <c r="AN294" s="12" t="n"/>
      <c r="AO294" s="12" t="n"/>
      <c r="AP294" s="12" t="n"/>
      <c r="AQ294" s="12" t="n"/>
      <c r="AR294" s="12" t="n"/>
      <c r="AS294" s="12" t="n"/>
      <c r="AT294" s="12" t="n"/>
      <c r="AU294" s="12" t="n"/>
      <c r="AV294" s="12" t="n"/>
      <c r="AW294" s="12" t="n"/>
      <c r="AX294" s="12" t="n"/>
      <c r="AY294" s="12" t="n"/>
      <c r="AZ294" s="12" t="n"/>
      <c r="BA294" s="12" t="n"/>
      <c r="BB294" s="12" t="n"/>
      <c r="BC294" s="12" t="n"/>
      <c r="BD294" s="12" t="n"/>
      <c r="BE294" s="12" t="n"/>
      <c r="BF294" s="12" t="n"/>
      <c r="BG294" s="12" t="n"/>
      <c r="BH294" s="12" t="n"/>
      <c r="BI294" s="12" t="n"/>
      <c r="BJ294" s="12" t="n"/>
      <c r="BK294" s="12" t="n"/>
      <c r="BL294" s="12" t="n"/>
      <c r="BM294" s="12" t="n"/>
      <c r="BN294" s="12" t="n"/>
      <c r="BO294" s="12" t="n"/>
      <c r="BP294" s="12" t="n"/>
      <c r="BQ294" s="12" t="n"/>
      <c r="BR294" s="12" t="n"/>
      <c r="BS294" s="12" t="n"/>
      <c r="BT294" s="12" t="n"/>
      <c r="BU294" s="12" t="n"/>
      <c r="BV294" s="12" t="n"/>
      <c r="BW294" s="12" t="n"/>
      <c r="BX294" s="12" t="n"/>
      <c r="BY294" s="12" t="n"/>
      <c r="BZ294" s="12" t="n"/>
      <c r="CA294" s="12" t="n"/>
      <c r="CB294" s="12" t="n"/>
      <c r="CC294" s="12" t="n"/>
      <c r="CD294" s="12" t="n"/>
      <c r="CE294" s="12" t="n"/>
      <c r="CF294" s="12" t="n"/>
      <c r="CG294" s="12" t="n"/>
      <c r="CH294" s="12" t="n"/>
      <c r="CI294" s="12" t="n"/>
      <c r="CJ294" s="12" t="n"/>
      <c r="CK294" s="12" t="n"/>
      <c r="CL294" s="12" t="n"/>
      <c r="CM294" s="12" t="n"/>
      <c r="CN294" s="12" t="n"/>
      <c r="CO294" s="12" t="n"/>
      <c r="CP294" s="12" t="n"/>
      <c r="CQ294" s="12" t="n"/>
      <c r="CR294" s="12" t="n"/>
      <c r="CS294" s="12" t="n"/>
      <c r="CT294" s="12" t="n"/>
      <c r="CU294" s="12" t="n"/>
      <c r="CV294" s="12" t="n"/>
      <c r="CW294" s="12" t="n"/>
      <c r="CX294" s="12" t="n"/>
      <c r="CY294" s="12" t="n"/>
    </row>
    <row r="295">
      <c r="C295" s="10" t="inlineStr">
        <is>
          <t>Purchase of fixed assets (capital expenditures)</t>
        </is>
      </c>
      <c r="D295" s="12" t="n"/>
      <c r="E295" s="12" t="n"/>
      <c r="F295" s="12" t="n"/>
      <c r="G295" s="12" t="n"/>
      <c r="H295" s="12" t="n"/>
      <c r="I295" s="12" t="n"/>
      <c r="J295" s="12">
        <f>-J168</f>
        <v>-12.601</v>
      </c>
      <c r="K295" s="12">
        <f>-K168</f>
        <v>-14.848</v>
      </c>
      <c r="L295" s="12">
        <f>-L168</f>
        <v>-25.974</v>
      </c>
      <c r="M295" s="12" t="n"/>
      <c r="N295" s="12">
        <f>-N168</f>
        <v>-18.831</v>
      </c>
      <c r="O295" s="12">
        <f>-O168</f>
        <v>-20.107</v>
      </c>
      <c r="P295" s="12">
        <f>-P168</f>
        <v>-38.487</v>
      </c>
      <c r="Q295" s="12">
        <f>-Q168</f>
        <v>-17.04</v>
      </c>
      <c r="R295" s="12">
        <f>SUM(N295:Q295)</f>
        <v>-94.465</v>
      </c>
      <c r="S295" s="12">
        <f>-S168</f>
        <v>-9.65784708999999</v>
      </c>
      <c r="T295" s="12">
        <f>-T168</f>
        <v>-10.04015291</v>
      </c>
      <c r="U295" s="12">
        <f>-U168</f>
        <v>-1.271</v>
      </c>
      <c r="V295" s="12">
        <f>-V168</f>
        <v>-10.945</v>
      </c>
      <c r="W295" s="12">
        <f>SUM(S295:V295)</f>
        <v>-31.914</v>
      </c>
      <c r="X295" s="12">
        <f>-X168</f>
        <v>-86.507</v>
      </c>
      <c r="Y295" s="12">
        <f>-Y168</f>
        <v>-21.659</v>
      </c>
      <c r="Z295" s="12">
        <f>-Z168</f>
        <v>-28.65189041</v>
      </c>
      <c r="AA295" s="12">
        <f>-AA168</f>
        <v>-42.53710959</v>
      </c>
      <c r="AB295" s="12">
        <f>SUM(X295:AA295)</f>
        <v>-179.355</v>
      </c>
      <c r="AC295" s="12">
        <f>-AC168</f>
        <v>-27.982</v>
      </c>
      <c r="AD295" s="12">
        <f>-AD168</f>
        <v>-41.376</v>
      </c>
      <c r="AE295" s="12">
        <f>-AE168</f>
        <v>-34.492</v>
      </c>
      <c r="AF295" s="12">
        <f>-AF168</f>
        <v>-16.29</v>
      </c>
      <c r="AG295" s="12">
        <f>SUM(AC295:AF295)</f>
        <v>-120.14</v>
      </c>
      <c r="AH295" s="12">
        <f>-AH168</f>
        <v>-35.709</v>
      </c>
      <c r="AI295" s="12">
        <f>-AI168</f>
        <v>-23.445</v>
      </c>
      <c r="AJ295" s="12">
        <f>-AJ168</f>
        <v>-39.246892043928</v>
      </c>
      <c r="AK295" s="12">
        <f>-AK168</f>
        <v>-41.5525757251366</v>
      </c>
      <c r="AL295" s="12">
        <f>SUM(AH295:AK295)</f>
        <v>-139.953467769065</v>
      </c>
      <c r="AM295" s="12">
        <f>-AM168</f>
        <v>-39.4741384920142</v>
      </c>
      <c r="AN295" s="12">
        <f>-AN168</f>
        <v>-43.3634289097518</v>
      </c>
      <c r="AO295" s="12">
        <f>-AO168</f>
        <v>-50.357906109948</v>
      </c>
      <c r="AP295" s="12">
        <f>-AP168</f>
        <v>-53.316341702952</v>
      </c>
      <c r="AQ295" s="12">
        <f>SUM(AM295:AP295)</f>
        <v>-186.511815214666</v>
      </c>
      <c r="AR295" s="12">
        <f>-AR168</f>
        <v>-50.4521166026614</v>
      </c>
      <c r="AS295" s="12">
        <f>-AS168</f>
        <v>-55.4230403809475</v>
      </c>
      <c r="AT295" s="12">
        <f>-AT168</f>
        <v>-64.3627207073553</v>
      </c>
      <c r="AU295" s="12">
        <f>-AU168</f>
        <v>-68.1439137416224</v>
      </c>
      <c r="AV295" s="12">
        <f>SUM(AR295:AU295)</f>
        <v>-238.381791432587</v>
      </c>
      <c r="AW295" s="12">
        <f>-AW168</f>
        <v>-64.2308710806072</v>
      </c>
      <c r="AX295" s="12">
        <f>-AX168</f>
        <v>-70.5593818717239</v>
      </c>
      <c r="AY295" s="12">
        <f>-AY168</f>
        <v>-81.9405387629107</v>
      </c>
      <c r="AZ295" s="12">
        <f>-AZ168</f>
        <v>-86.7543967072193</v>
      </c>
      <c r="BA295" s="12">
        <f>SUM(AW295:AZ295)</f>
        <v>-303.485188422461</v>
      </c>
      <c r="BB295" s="12">
        <f>-BB168</f>
        <v>-81.4515259122066</v>
      </c>
      <c r="BC295" s="12">
        <f>-BC168</f>
        <v>-89.4767457483415</v>
      </c>
      <c r="BD295" s="12">
        <f>-BD168</f>
        <v>-103.909254288822</v>
      </c>
      <c r="BE295" s="12">
        <f>-BE168</f>
        <v>-110.013734400831</v>
      </c>
      <c r="BF295" s="12">
        <f>SUM(BB295:BE295)</f>
        <v>-384.851260350201</v>
      </c>
      <c r="BG295" s="12" t="n"/>
      <c r="BH295" s="12" t="n"/>
      <c r="BI295" s="12" t="n"/>
      <c r="BJ295" s="12" t="n"/>
      <c r="BK295" s="12" t="n"/>
      <c r="BL295" s="12" t="n"/>
      <c r="BM295" s="12" t="n"/>
      <c r="BN295" s="12" t="n"/>
      <c r="BO295" s="12" t="n"/>
      <c r="BP295" s="12" t="n"/>
      <c r="BQ295" s="12" t="n"/>
      <c r="BR295" s="12" t="n"/>
      <c r="BS295" s="12" t="n"/>
      <c r="BT295" s="12" t="n"/>
      <c r="BU295" s="12" t="n"/>
      <c r="BV295" s="12" t="n"/>
      <c r="BW295" s="12" t="n"/>
      <c r="BX295" s="12" t="n"/>
      <c r="BY295" s="12" t="n"/>
      <c r="BZ295" s="12" t="n"/>
      <c r="CA295" s="12" t="n"/>
      <c r="CB295" s="12" t="n"/>
      <c r="CC295" s="12" t="n"/>
      <c r="CD295" s="12" t="n"/>
      <c r="CE295" s="12" t="n"/>
      <c r="CF295" s="12" t="n"/>
      <c r="CG295" s="12" t="n"/>
      <c r="CH295" s="12" t="n"/>
      <c r="CI295" s="12" t="n"/>
      <c r="CJ295" s="12" t="n"/>
      <c r="CK295" s="12" t="n"/>
      <c r="CL295" s="12" t="n"/>
      <c r="CM295" s="12" t="n"/>
      <c r="CN295" s="12" t="n"/>
      <c r="CO295" s="12" t="n"/>
      <c r="CP295" s="12" t="n"/>
      <c r="CQ295" s="12" t="n"/>
      <c r="CR295" s="12" t="n"/>
      <c r="CS295" s="12" t="n"/>
      <c r="CT295" s="12" t="n"/>
      <c r="CU295" s="12" t="n"/>
      <c r="CV295" s="12" t="n"/>
      <c r="CW295" s="12" t="n"/>
      <c r="CX295" s="12" t="n"/>
      <c r="CY295" s="12" t="n"/>
    </row>
    <row r="296">
      <c r="C296" s="10" t="inlineStr">
        <is>
          <t>Proceeds from sale of fixed assets</t>
        </is>
      </c>
      <c r="D296" s="12" t="n"/>
      <c r="E296" s="12" t="n"/>
      <c r="F296" s="12" t="n"/>
      <c r="G296" s="12" t="n"/>
      <c r="H296" s="12" t="n"/>
      <c r="I296" s="12" t="n"/>
      <c r="J296" s="12">
        <f>-J169</f>
        <v>0</v>
      </c>
      <c r="K296" s="12">
        <f>-K169</f>
        <v>0</v>
      </c>
      <c r="L296" s="12">
        <f>-L169</f>
        <v>0</v>
      </c>
      <c r="M296" s="12" t="n"/>
      <c r="N296" s="12">
        <f>-N169</f>
        <v>0</v>
      </c>
      <c r="O296" s="12">
        <f>-O169</f>
        <v>0</v>
      </c>
      <c r="P296" s="12">
        <f>-P169</f>
        <v>0</v>
      </c>
      <c r="Q296" s="12">
        <f>-Q169</f>
        <v>0</v>
      </c>
      <c r="R296" s="12">
        <f>SUM(N296:Q296)</f>
        <v>0</v>
      </c>
      <c r="S296" s="12">
        <f>-S169</f>
        <v>0</v>
      </c>
      <c r="T296" s="12">
        <f>-T169</f>
        <v>0</v>
      </c>
      <c r="U296" s="12">
        <f>-U169</f>
        <v>0</v>
      </c>
      <c r="V296" s="12">
        <f>-V169</f>
        <v>0</v>
      </c>
      <c r="W296" s="12">
        <f>SUM(S296:V296)</f>
        <v>0</v>
      </c>
      <c r="X296" s="12">
        <f>-X169</f>
        <v>0</v>
      </c>
      <c r="Y296" s="12">
        <f>-Y169</f>
        <v>0</v>
      </c>
      <c r="Z296" s="12">
        <f>-Z169</f>
        <v>0</v>
      </c>
      <c r="AA296" s="12">
        <f>-AA169</f>
        <v>0</v>
      </c>
      <c r="AB296" s="12">
        <f>SUM(X296:AA296)</f>
        <v>0</v>
      </c>
      <c r="AC296" s="12">
        <f>-AC169</f>
        <v>0</v>
      </c>
      <c r="AD296" s="12">
        <f>-AD169</f>
        <v>0</v>
      </c>
      <c r="AE296" s="12">
        <f>-AE169</f>
        <v>0</v>
      </c>
      <c r="AF296" s="12">
        <f>-AF169</f>
        <v>0</v>
      </c>
      <c r="AG296" s="12">
        <f>SUM(AC296:AF296)</f>
        <v>0</v>
      </c>
      <c r="AH296" s="12">
        <f>-AH169</f>
        <v>0</v>
      </c>
      <c r="AI296" s="12">
        <f>-AI169</f>
        <v>0</v>
      </c>
      <c r="AJ296" s="12">
        <f>-AJ169</f>
        <v>0</v>
      </c>
      <c r="AK296" s="12">
        <f>-AK169</f>
        <v>0</v>
      </c>
      <c r="AL296" s="12">
        <f>SUM(AH296:AK296)</f>
        <v>0</v>
      </c>
      <c r="AM296" s="12">
        <f>-AM169</f>
        <v>0</v>
      </c>
      <c r="AN296" s="12">
        <f>-AN169</f>
        <v>0</v>
      </c>
      <c r="AO296" s="12">
        <f>-AO169</f>
        <v>0</v>
      </c>
      <c r="AP296" s="12">
        <f>-AP169</f>
        <v>0</v>
      </c>
      <c r="AQ296" s="12">
        <f>SUM(AM296:AP296)</f>
        <v>0</v>
      </c>
      <c r="AR296" s="12">
        <f>-AR169</f>
        <v>0</v>
      </c>
      <c r="AS296" s="12">
        <f>-AS169</f>
        <v>0</v>
      </c>
      <c r="AT296" s="12">
        <f>-AT169</f>
        <v>0</v>
      </c>
      <c r="AU296" s="12">
        <f>-AU169</f>
        <v>0</v>
      </c>
      <c r="AV296" s="12">
        <f>SUM(AR296:AU296)</f>
        <v>0</v>
      </c>
      <c r="AW296" s="12">
        <f>-AW169</f>
        <v>0</v>
      </c>
      <c r="AX296" s="12">
        <f>-AX169</f>
        <v>0</v>
      </c>
      <c r="AY296" s="12">
        <f>-AY169</f>
        <v>0</v>
      </c>
      <c r="AZ296" s="12">
        <f>-AZ169</f>
        <v>0</v>
      </c>
      <c r="BA296" s="12">
        <f>SUM(AW296:AZ296)</f>
        <v>0</v>
      </c>
      <c r="BB296" s="12">
        <f>-BB169</f>
        <v>0</v>
      </c>
      <c r="BC296" s="12">
        <f>-BC169</f>
        <v>0</v>
      </c>
      <c r="BD296" s="12">
        <f>-BD169</f>
        <v>0</v>
      </c>
      <c r="BE296" s="12">
        <f>-BE169</f>
        <v>0</v>
      </c>
      <c r="BF296" s="12">
        <f>SUM(BB296:BE296)</f>
        <v>0</v>
      </c>
      <c r="BG296" s="12" t="n"/>
      <c r="BH296" s="12" t="n"/>
      <c r="BI296" s="12" t="n"/>
      <c r="BJ296" s="12" t="n"/>
      <c r="BK296" s="12" t="n"/>
      <c r="BL296" s="12" t="n"/>
      <c r="BM296" s="12" t="n"/>
      <c r="BN296" s="12" t="n"/>
      <c r="BO296" s="12" t="n"/>
      <c r="BP296" s="12" t="n"/>
      <c r="BQ296" s="12" t="n"/>
      <c r="BR296" s="12" t="n"/>
      <c r="BS296" s="12" t="n"/>
      <c r="BT296" s="12" t="n"/>
      <c r="BU296" s="12" t="n"/>
      <c r="BV296" s="12" t="n"/>
      <c r="BW296" s="12" t="n"/>
      <c r="BX296" s="12" t="n"/>
      <c r="BY296" s="12" t="n"/>
      <c r="BZ296" s="12" t="n"/>
      <c r="CA296" s="12" t="n"/>
      <c r="CB296" s="12" t="n"/>
      <c r="CC296" s="12" t="n"/>
      <c r="CD296" s="12" t="n"/>
      <c r="CE296" s="12" t="n"/>
      <c r="CF296" s="12" t="n"/>
      <c r="CG296" s="12" t="n"/>
      <c r="CH296" s="12" t="n"/>
      <c r="CI296" s="12" t="n"/>
      <c r="CJ296" s="12" t="n"/>
      <c r="CK296" s="12" t="n"/>
      <c r="CL296" s="12" t="n"/>
      <c r="CM296" s="12" t="n"/>
      <c r="CN296" s="12" t="n"/>
      <c r="CO296" s="12" t="n"/>
      <c r="CP296" s="12" t="n"/>
      <c r="CQ296" s="12" t="n"/>
      <c r="CR296" s="12" t="n"/>
      <c r="CS296" s="12" t="n"/>
      <c r="CT296" s="12" t="n"/>
      <c r="CU296" s="12" t="n"/>
      <c r="CV296" s="12" t="n"/>
      <c r="CW296" s="12" t="n"/>
      <c r="CX296" s="12" t="n"/>
      <c r="CY296" s="12" t="n"/>
    </row>
    <row r="297">
      <c r="C297" s="10" t="inlineStr">
        <is>
          <t>Var.Right-of-use-assets</t>
        </is>
      </c>
      <c r="D297" s="12" t="n"/>
      <c r="E297" s="12" t="n"/>
      <c r="F297" s="12" t="n"/>
      <c r="G297" s="12" t="n"/>
      <c r="H297" s="12" t="n"/>
      <c r="I297" s="12" t="n"/>
      <c r="J297" s="12">
        <f>(J176-I176)*-1</f>
        <v>0</v>
      </c>
      <c r="K297" s="12">
        <f>(K176-J176)*-1</f>
        <v>0</v>
      </c>
      <c r="L297" s="12">
        <f>(L176-K176)*-1</f>
        <v>0</v>
      </c>
      <c r="M297" s="12" t="n"/>
      <c r="N297" s="12">
        <f>(N176-M176)*-1</f>
        <v>0</v>
      </c>
      <c r="O297" s="12">
        <f>(O176-N176)*-1</f>
        <v>0</v>
      </c>
      <c r="P297" s="12">
        <f>(P176-O176)*-1</f>
        <v>0</v>
      </c>
      <c r="Q297" s="12">
        <f>(Q176-P176)*-1</f>
        <v>0</v>
      </c>
      <c r="R297" s="12">
        <f>SUM(N297:Q297)</f>
        <v>0</v>
      </c>
      <c r="S297" s="12">
        <f>(S176-R176)*-1</f>
        <v>0</v>
      </c>
      <c r="T297" s="12">
        <f>(T176-S176)*-1</f>
        <v>0</v>
      </c>
      <c r="U297" s="12">
        <f>(U176-T176)*-1</f>
        <v>0</v>
      </c>
      <c r="V297" s="12">
        <f>(V176-U176)*-1</f>
        <v>0</v>
      </c>
      <c r="W297" s="12">
        <f>SUM(S297:V297)</f>
        <v>0</v>
      </c>
      <c r="X297" s="12">
        <f>(X176-W176)*-1</f>
        <v>0</v>
      </c>
      <c r="Y297" s="12">
        <f>(Y176-X176)*-1</f>
        <v>0</v>
      </c>
      <c r="Z297" s="12">
        <f>(Z176-Y176)*-1</f>
        <v>0</v>
      </c>
      <c r="AA297" s="12">
        <f>(AA176-Z176)*-1</f>
        <v>0</v>
      </c>
      <c r="AB297" s="12">
        <f>SUM(X297:AA297)</f>
        <v>0</v>
      </c>
      <c r="AC297" s="12">
        <f>(AC176-AB176)*-1</f>
        <v>0</v>
      </c>
      <c r="AD297" s="12">
        <f>(AD176-AC176)*-1</f>
        <v>0</v>
      </c>
      <c r="AE297" s="12">
        <f>(AE176-AD176)*-1</f>
        <v>0</v>
      </c>
      <c r="AF297" s="12">
        <f>(AF176-AE176)*-1</f>
        <v>0</v>
      </c>
      <c r="AG297" s="12">
        <f>SUM(AC297:AF297)</f>
        <v>0</v>
      </c>
      <c r="AH297" s="12">
        <f>(AH176-AG176)*-1</f>
        <v>0</v>
      </c>
      <c r="AI297" s="12">
        <f>(AI176-AH176)*-1</f>
        <v>0</v>
      </c>
      <c r="AJ297" s="12">
        <f>(AJ176-AI176)*-1</f>
        <v>0</v>
      </c>
      <c r="AK297" s="12">
        <f>(AK176-AJ176)*-1</f>
        <v>0</v>
      </c>
      <c r="AL297" s="12">
        <f>SUM(AH297:AK297)</f>
        <v>0</v>
      </c>
      <c r="AM297" s="12">
        <f>(AM176-AL176)*-1</f>
        <v>0</v>
      </c>
      <c r="AN297" s="12">
        <f>(AN176-AM176)*-1</f>
        <v>0</v>
      </c>
      <c r="AO297" s="12">
        <f>(AO176-AN176)*-1</f>
        <v>0</v>
      </c>
      <c r="AP297" s="12">
        <f>(AP176-AO176)*-1</f>
        <v>0</v>
      </c>
      <c r="AQ297" s="12">
        <f>SUM(AM297:AP297)</f>
        <v>0</v>
      </c>
      <c r="AR297" s="12">
        <f>(AR176-AQ176)*-1</f>
        <v>0</v>
      </c>
      <c r="AS297" s="12">
        <f>(AS176-AR176)*-1</f>
        <v>0</v>
      </c>
      <c r="AT297" s="12">
        <f>(AT176-AS176)*-1</f>
        <v>0</v>
      </c>
      <c r="AU297" s="12">
        <f>(AU176-AT176)*-1</f>
        <v>0</v>
      </c>
      <c r="AV297" s="12">
        <f>SUM(AR297:AU297)</f>
        <v>0</v>
      </c>
      <c r="AW297" s="12">
        <f>(AW176-AV176)*-1</f>
        <v>0</v>
      </c>
      <c r="AX297" s="12">
        <f>(AX176-AW176)*-1</f>
        <v>0</v>
      </c>
      <c r="AY297" s="12">
        <f>(AY176-AX176)*-1</f>
        <v>0</v>
      </c>
      <c r="AZ297" s="12">
        <f>(AZ176-AY176)*-1</f>
        <v>0</v>
      </c>
      <c r="BA297" s="12">
        <f>SUM(AW297:AZ297)</f>
        <v>0</v>
      </c>
      <c r="BB297" s="12">
        <f>(BB176-BA176)*-1</f>
        <v>0</v>
      </c>
      <c r="BC297" s="12">
        <f>(BC176-BB176)*-1</f>
        <v>0</v>
      </c>
      <c r="BD297" s="12">
        <f>(BD176-BC176)*-1</f>
        <v>0</v>
      </c>
      <c r="BE297" s="12">
        <f>(BE176-BD176)*-1</f>
        <v>0</v>
      </c>
      <c r="BF297" s="12">
        <f>SUM(BB297:BE297)</f>
        <v>0</v>
      </c>
      <c r="BG297" s="12" t="n"/>
      <c r="BH297" s="12" t="n"/>
      <c r="BI297" s="12" t="n"/>
      <c r="BJ297" s="12" t="n"/>
      <c r="BK297" s="12" t="n"/>
      <c r="BL297" s="12" t="n"/>
      <c r="BM297" s="12" t="n"/>
      <c r="BN297" s="12" t="n"/>
      <c r="BO297" s="12" t="n"/>
      <c r="BP297" s="12" t="n"/>
      <c r="BQ297" s="12" t="n"/>
      <c r="BR297" s="12" t="n"/>
      <c r="BS297" s="12" t="n"/>
      <c r="BT297" s="12" t="n"/>
      <c r="BU297" s="12" t="n"/>
      <c r="BV297" s="12" t="n"/>
      <c r="BW297" s="12" t="n"/>
      <c r="BX297" s="12" t="n"/>
      <c r="BY297" s="12" t="n"/>
      <c r="BZ297" s="12" t="n"/>
      <c r="CA297" s="12" t="n"/>
      <c r="CB297" s="12" t="n"/>
      <c r="CC297" s="12" t="n"/>
      <c r="CD297" s="12" t="n"/>
      <c r="CE297" s="12" t="n"/>
      <c r="CF297" s="12" t="n"/>
      <c r="CG297" s="12" t="n"/>
      <c r="CH297" s="12" t="n"/>
      <c r="CI297" s="12" t="n"/>
      <c r="CJ297" s="12" t="n"/>
      <c r="CK297" s="12" t="n"/>
      <c r="CL297" s="12" t="n"/>
      <c r="CM297" s="12" t="n"/>
      <c r="CN297" s="12" t="n"/>
      <c r="CO297" s="12" t="n"/>
      <c r="CP297" s="12" t="n"/>
      <c r="CQ297" s="12" t="n"/>
      <c r="CR297" s="12" t="n"/>
      <c r="CS297" s="12" t="n"/>
      <c r="CT297" s="12" t="n"/>
      <c r="CU297" s="12" t="n"/>
      <c r="CV297" s="12" t="n"/>
      <c r="CW297" s="12" t="n"/>
      <c r="CX297" s="12" t="n"/>
      <c r="CY297" s="12" t="n"/>
      <c r="CZ297" s="12" t="n"/>
      <c r="DA297" s="12" t="n"/>
      <c r="DB297" s="12" t="n"/>
      <c r="DC297" s="12" t="n"/>
    </row>
    <row r="298">
      <c r="C298" s="10" t="inlineStr">
        <is>
          <t>Purchases of intangible assets</t>
        </is>
      </c>
      <c r="D298" s="12" t="n"/>
      <c r="E298" s="12" t="n"/>
      <c r="F298" s="12" t="n"/>
      <c r="G298" s="12" t="n"/>
      <c r="H298" s="12" t="n"/>
      <c r="I298" s="12" t="n"/>
      <c r="J298" s="12">
        <f>((J180-I180)*-1)+((J179-I179)*-1)</f>
        <v>1.863</v>
      </c>
      <c r="K298" s="12">
        <f>((K180-J180)*-1)+((K179-J179)*-1)</f>
        <v>-0.0850000000000009</v>
      </c>
      <c r="L298" s="12">
        <f>((L180-K180)*-1)+((L179-K179)*-1)</f>
        <v>-1.912</v>
      </c>
      <c r="M298" s="12" t="n"/>
      <c r="N298" s="12">
        <f>((N180-M180)*-1)+((N179-M179)*-1)</f>
        <v>-1.743</v>
      </c>
      <c r="O298" s="12">
        <f>((O180-N180)*-1)+((O179-N179)*-1)</f>
        <v>0.216999999999999</v>
      </c>
      <c r="P298" s="12">
        <f>((P180-O180)*-1)+((P179-O179)*-1)</f>
        <v>-0.167999999999999</v>
      </c>
      <c r="Q298" s="12">
        <f>((Q180-P180)*-1)+((Q179-P179)*-1)</f>
        <v>-0.241</v>
      </c>
      <c r="R298" s="12">
        <f>SUM(N298:Q298)</f>
        <v>-1.935</v>
      </c>
      <c r="S298" s="12">
        <f>((S180-R180)*-1)+((S179-R179)*-1)</f>
        <v>-3.66048646</v>
      </c>
      <c r="T298" s="12">
        <f>((T180-S180)*-1)+((T179-S179)*-1)</f>
        <v>-1.92151354</v>
      </c>
      <c r="U298" s="12">
        <f>((U180-T180)*-1)+((U179-T179)*-1)</f>
        <v>-4.348</v>
      </c>
      <c r="V298" s="12">
        <f>((V180-U180)*-1)+((V179-U179)*-1)</f>
        <v>-4.7</v>
      </c>
      <c r="W298" s="12">
        <f>SUM(S298:V298)</f>
        <v>-14.63</v>
      </c>
      <c r="X298" s="12">
        <f>((X180-W180)*-1)+((X179-W179)*-1)</f>
        <v>3.8</v>
      </c>
      <c r="Y298" s="12">
        <f>((Y180-X180)*-1)+((Y179-X179)*-1)</f>
        <v>-0.719000000000001</v>
      </c>
      <c r="Z298" s="12">
        <f>((Z180-Y180)*-1)+((Z179-Y179)*-1)</f>
        <v>-0.27427265</v>
      </c>
      <c r="AA298" s="12">
        <f>((AA180-Z180)*-1)+((AA179-Z179)*-1)</f>
        <v>-1.27472735</v>
      </c>
      <c r="AB298" s="12">
        <f>SUM(X298:AA298)</f>
        <v>1.532</v>
      </c>
      <c r="AC298" s="12">
        <f>((AC180-AB180)*-1)+((AC179-AB179)*-1)</f>
        <v>-3.931</v>
      </c>
      <c r="AD298" s="12">
        <f>((AD180-AC180)*-1)+((AD179-AC179)*-1)</f>
        <v>-1.463</v>
      </c>
      <c r="AE298" s="12">
        <f>((AE180-AD180)*-1)+((AE179-AD179)*-1)</f>
        <v>-0.191000000000003</v>
      </c>
      <c r="AF298" s="12">
        <f>((AF180-AE180)*-1)+((AF179-AE179)*-1)</f>
        <v>6.568</v>
      </c>
      <c r="AG298" s="12">
        <f>SUM(AC298:AF298)</f>
        <v>0.982999999999997</v>
      </c>
      <c r="AH298" s="12">
        <f>((AH180-AG180)*-1)+((AH179-AG179)*-1)</f>
        <v>1.688</v>
      </c>
      <c r="AI298" s="12">
        <f>((AI180-AH180)*-1)+((AI179-AH179)*-1)</f>
        <v>0.00799999999999912</v>
      </c>
      <c r="AJ298" s="12">
        <f>((AJ180-AI180)*-1)+((AJ179-AI179)*-1)</f>
        <v>0</v>
      </c>
      <c r="AK298" s="12">
        <f>((AK180-AJ180)*-1)+((AK179-AJ179)*-1)</f>
        <v>0</v>
      </c>
      <c r="AL298" s="12">
        <f>SUM(AH298:AK298)</f>
        <v>1.696</v>
      </c>
      <c r="AM298" s="12">
        <f>((AM180-AL180)*-1)+((AM179-AL179)*-1)</f>
        <v>0</v>
      </c>
      <c r="AN298" s="12">
        <f>((AN180-AM180)*-1)+((AN179-AM179)*-1)</f>
        <v>0</v>
      </c>
      <c r="AO298" s="12">
        <f>((AO180-AN180)*-1)+((AO179-AN179)*-1)</f>
        <v>0</v>
      </c>
      <c r="AP298" s="12">
        <f>((AP180-AO180)*-1)+((AP179-AO179)*-1)</f>
        <v>0</v>
      </c>
      <c r="AQ298" s="12">
        <f>SUM(AM298:AP298)</f>
        <v>0</v>
      </c>
      <c r="AR298" s="12">
        <f>((AR180-AQ180)*-1)+((AR179-AQ179)*-1)</f>
        <v>0</v>
      </c>
      <c r="AS298" s="12">
        <f>((AS180-AR180)*-1)+((AS179-AR179)*-1)</f>
        <v>0</v>
      </c>
      <c r="AT298" s="12">
        <f>((AT180-AS180)*-1)+((AT179-AS179)*-1)</f>
        <v>0</v>
      </c>
      <c r="AU298" s="12">
        <f>((AU180-AT180)*-1)+((AU179-AT179)*-1)</f>
        <v>0</v>
      </c>
      <c r="AV298" s="12">
        <f>SUM(AR298:AU298)</f>
        <v>0</v>
      </c>
      <c r="AW298" s="12">
        <f>((AW180-AV180)*-1)+((AW179-AV179)*-1)</f>
        <v>0</v>
      </c>
      <c r="AX298" s="12">
        <f>((AX180-AW180)*-1)+((AX179-AW179)*-1)</f>
        <v>0</v>
      </c>
      <c r="AY298" s="12">
        <f>((AY180-AX180)*-1)+((AY179-AX179)*-1)</f>
        <v>0</v>
      </c>
      <c r="AZ298" s="12">
        <f>((AZ180-AY180)*-1)+((AZ179-AY179)*-1)</f>
        <v>0</v>
      </c>
      <c r="BA298" s="12">
        <f>SUM(AW298:AZ298)</f>
        <v>0</v>
      </c>
      <c r="BB298" s="12">
        <f>((BB180-BA180)*-1)+((BB179-BA179)*-1)</f>
        <v>0</v>
      </c>
      <c r="BC298" s="12">
        <f>((BC180-BB180)*-1)+((BC179-BB179)*-1)</f>
        <v>0</v>
      </c>
      <c r="BD298" s="12">
        <f>((BD180-BC180)*-1)+((BD179-BC179)*-1)</f>
        <v>0</v>
      </c>
      <c r="BE298" s="12">
        <f>((BE180-BD180)*-1)+((BE179-BD179)*-1)</f>
        <v>0</v>
      </c>
      <c r="BF298" s="12">
        <f>SUM(BB298:BE298)</f>
        <v>0</v>
      </c>
      <c r="BG298" s="12" t="n"/>
      <c r="BH298" s="12" t="n"/>
      <c r="BI298" s="12" t="n"/>
      <c r="BJ298" s="12" t="n"/>
      <c r="BK298" s="12" t="n"/>
      <c r="BL298" s="12" t="n"/>
      <c r="BM298" s="12" t="n"/>
      <c r="BN298" s="12" t="n"/>
      <c r="BO298" s="12" t="n"/>
      <c r="BP298" s="12" t="n"/>
      <c r="BQ298" s="12" t="n"/>
      <c r="BR298" s="12" t="n"/>
      <c r="BS298" s="12" t="n"/>
      <c r="BT298" s="12" t="n"/>
      <c r="BU298" s="12" t="n"/>
      <c r="BV298" s="12" t="n"/>
      <c r="BW298" s="12" t="n"/>
      <c r="BX298" s="12" t="n"/>
      <c r="BY298" s="12" t="n"/>
      <c r="BZ298" s="12" t="n"/>
      <c r="CA298" s="12" t="n"/>
      <c r="CB298" s="12" t="n"/>
      <c r="CC298" s="12" t="n"/>
      <c r="CD298" s="12" t="n"/>
      <c r="CE298" s="12" t="n"/>
      <c r="CF298" s="12" t="n"/>
      <c r="CG298" s="12" t="n"/>
      <c r="CH298" s="12" t="n"/>
      <c r="CI298" s="12" t="n"/>
      <c r="CJ298" s="12" t="n"/>
      <c r="CK298" s="12" t="n"/>
      <c r="CL298" s="12" t="n"/>
      <c r="CM298" s="12" t="n"/>
      <c r="CN298" s="12" t="n"/>
      <c r="CO298" s="12" t="n"/>
      <c r="CP298" s="12" t="n"/>
      <c r="CQ298" s="12" t="n"/>
      <c r="CR298" s="12" t="n"/>
      <c r="CS298" s="12" t="n"/>
      <c r="CT298" s="12" t="n"/>
      <c r="CU298" s="12" t="n"/>
      <c r="CV298" s="12" t="n"/>
      <c r="CW298" s="12" t="n"/>
      <c r="CX298" s="12" t="n"/>
      <c r="CY298" s="12" t="n"/>
      <c r="CZ298" s="12" t="n"/>
      <c r="DA298" s="12" t="n"/>
      <c r="DB298" s="12" t="n"/>
      <c r="DC298" s="12" t="n"/>
    </row>
    <row r="299">
      <c r="C299" s="71" t="inlineStr">
        <is>
          <t>Purchases/Proceeds from other long-term assets</t>
        </is>
      </c>
      <c r="D299" s="12" t="n"/>
      <c r="E299" s="12" t="n"/>
      <c r="F299" s="12" t="n"/>
      <c r="G299" s="12" t="n"/>
      <c r="H299" s="12" t="n"/>
      <c r="I299" s="12" t="n"/>
      <c r="J299" s="12">
        <f>((J189-I189)*-1)+(J240-I240)</f>
        <v>199.165</v>
      </c>
      <c r="K299" s="12">
        <f>((K189-J189)*-1)+(K240-J240)</f>
        <v>1.69199999999995</v>
      </c>
      <c r="L299" s="12">
        <f>((L189-K189)*-1)+(L240-K240)</f>
        <v>32.9290000000002</v>
      </c>
      <c r="M299" s="12" t="n"/>
      <c r="N299" s="12">
        <f>((N189-M189)*-1)+(N240-M240)</f>
        <v>-16.3890000000002</v>
      </c>
      <c r="O299" s="12">
        <f>((O189-N189)*-1)+(O240-N240)</f>
        <v>-62.1289999999997</v>
      </c>
      <c r="P299" s="12">
        <f>((P189-O189)*-1)+(P240-O240)</f>
        <v>131.86</v>
      </c>
      <c r="Q299" s="12">
        <f>((Q189-P189)*-1)+(Q240-P240)</f>
        <v>352.25</v>
      </c>
      <c r="R299" s="12">
        <f>SUM(N299:Q299)</f>
        <v>405.592</v>
      </c>
      <c r="S299" s="12">
        <f>((S189-R189)*-1)+(S240-R240)</f>
        <v>-24.17235349</v>
      </c>
      <c r="T299" s="12">
        <f>((T189-S189)*-1)+(T240-S240)</f>
        <v>116.98735349</v>
      </c>
      <c r="U299" s="12">
        <f>((U189-T189)*-1)+(U240-T240)</f>
        <v>2.2670000000001</v>
      </c>
      <c r="V299" s="12">
        <f>((V189-U189)*-1)+(V240-U240)</f>
        <v>113.469</v>
      </c>
      <c r="W299" s="12">
        <f>SUM(S299:V299)</f>
        <v>208.551</v>
      </c>
      <c r="X299" s="12">
        <f>((X189-W189)*-1)+(X240-W240)</f>
        <v>145.902</v>
      </c>
      <c r="Y299" s="12">
        <f>((Y189-X189)*-1)+(Y240-X240)</f>
        <v>523.064</v>
      </c>
      <c r="Z299" s="12">
        <f>((Z189-Y189)*-1)+(Z240-Y240)</f>
        <v>448.65247995</v>
      </c>
      <c r="AA299" s="12">
        <f>((AA189-Z189)*-1)+(AA240-Z240)</f>
        <v>351.85952005</v>
      </c>
      <c r="AB299" s="12">
        <f>SUM(X299:AA299)</f>
        <v>1469.478</v>
      </c>
      <c r="AC299" s="12">
        <f>((AC189-AB189)*-1)+(AC240-AB240)</f>
        <v>322.594</v>
      </c>
      <c r="AD299" s="12">
        <f>((AD189-AC189)*-1)+(AD240-AC240)</f>
        <v>145.323</v>
      </c>
      <c r="AE299" s="12">
        <f>((AE189-AD189)*-1)+(AE240-AD240)</f>
        <v>404.163</v>
      </c>
      <c r="AF299" s="12">
        <f>((AF189-AE189)*-1)+(AF240-AE240)</f>
        <v>807.289</v>
      </c>
      <c r="AG299" s="12">
        <f>SUM(AC299:AF299)</f>
        <v>1679.369</v>
      </c>
      <c r="AH299" s="12">
        <f>((AH189-AG189)*-1)+(AH240-AG240)</f>
        <v>184.798</v>
      </c>
      <c r="AI299" s="12">
        <f>((AI189-AH189)*-1)+(AI240-AH240)</f>
        <v>464.863</v>
      </c>
      <c r="AJ299" s="12">
        <f>((AJ189-AI189)*-1)+(AJ240-AI240)</f>
        <v>0</v>
      </c>
      <c r="AK299" s="12">
        <f>((AK189-AJ189)*-1)+(AK240-AJ240)</f>
        <v>0</v>
      </c>
      <c r="AL299" s="12">
        <f>SUM(AH299:AK299)</f>
        <v>649.661</v>
      </c>
      <c r="AM299" s="12">
        <f>((AM189-AL189)*-1)+(AM240-AL240)</f>
        <v>0</v>
      </c>
      <c r="AN299" s="12">
        <f>((AN189-AM189)*-1)+(AN240-AM240)</f>
        <v>0</v>
      </c>
      <c r="AO299" s="12">
        <f>((AO189-AN189)*-1)+(AO240-AN240)</f>
        <v>0</v>
      </c>
      <c r="AP299" s="12">
        <f>((AP189-AO189)*-1)+(AP240-AO240)</f>
        <v>0</v>
      </c>
      <c r="AQ299" s="12">
        <f>SUM(AM299:AP299)</f>
        <v>0</v>
      </c>
      <c r="AR299" s="12">
        <f>((AR189-AQ189)*-1)+(AR240-AQ240)</f>
        <v>0</v>
      </c>
      <c r="AS299" s="12">
        <f>((AS189-AR189)*-1)+(AS240-AR240)</f>
        <v>0</v>
      </c>
      <c r="AT299" s="12">
        <f>((AT189-AS189)*-1)+(AT240-AS240)</f>
        <v>0</v>
      </c>
      <c r="AU299" s="12">
        <f>((AU189-AT189)*-1)+(AU240-AT240)</f>
        <v>0</v>
      </c>
      <c r="AV299" s="12">
        <f>SUM(AR299:AU299)</f>
        <v>0</v>
      </c>
      <c r="AW299" s="12">
        <f>((AW189-AV189)*-1)+(AW240-AV240)</f>
        <v>0</v>
      </c>
      <c r="AX299" s="12">
        <f>((AX189-AW189)*-1)+(AX240-AW240)</f>
        <v>0</v>
      </c>
      <c r="AY299" s="12">
        <f>((AY189-AX189)*-1)+(AY240-AX240)</f>
        <v>0</v>
      </c>
      <c r="AZ299" s="12">
        <f>((AZ189-AY189)*-1)+(AZ240-AY240)</f>
        <v>0</v>
      </c>
      <c r="BA299" s="12">
        <f>SUM(AW299:AZ299)</f>
        <v>0</v>
      </c>
      <c r="BB299" s="12">
        <f>((BB189-BA189)*-1)+(BB240-BA240)</f>
        <v>0</v>
      </c>
      <c r="BC299" s="12">
        <f>((BC189-BB189)*-1)+(BC240-BB240)</f>
        <v>0</v>
      </c>
      <c r="BD299" s="12">
        <f>((BD189-BC189)*-1)+(BD240-BC240)</f>
        <v>0</v>
      </c>
      <c r="BE299" s="12">
        <f>((BE189-BD189)*-1)+(BE240-BD240)</f>
        <v>0</v>
      </c>
      <c r="BF299" s="12">
        <f>SUM(BB299:BE299)</f>
        <v>0</v>
      </c>
      <c r="BG299" s="12" t="n"/>
      <c r="BH299" s="12" t="n"/>
      <c r="BI299" s="12" t="n"/>
      <c r="BJ299" s="12" t="n"/>
      <c r="BK299" s="12" t="n"/>
      <c r="BL299" s="12" t="n"/>
      <c r="BM299" s="12" t="n"/>
      <c r="BN299" s="12" t="n"/>
      <c r="BO299" s="12" t="n"/>
      <c r="BP299" s="12" t="n"/>
      <c r="BQ299" s="12" t="n"/>
      <c r="BR299" s="12" t="n"/>
      <c r="BS299" s="12" t="n"/>
      <c r="BT299" s="12" t="n"/>
      <c r="BU299" s="12" t="n"/>
      <c r="BV299" s="12" t="n"/>
      <c r="BW299" s="12" t="n"/>
      <c r="BX299" s="12" t="n"/>
      <c r="BY299" s="12" t="n"/>
      <c r="BZ299" s="12" t="n"/>
      <c r="CA299" s="12" t="n"/>
      <c r="CB299" s="12" t="n"/>
      <c r="CC299" s="12" t="n"/>
      <c r="CD299" s="12" t="n"/>
      <c r="CE299" s="12" t="n"/>
      <c r="CF299" s="12" t="n"/>
      <c r="CG299" s="12" t="n"/>
      <c r="CH299" s="12" t="n"/>
      <c r="CI299" s="12" t="n"/>
      <c r="CJ299" s="12" t="n"/>
      <c r="CK299" s="12" t="n"/>
      <c r="CL299" s="12" t="n"/>
      <c r="CM299" s="12" t="n"/>
      <c r="CN299" s="12" t="n"/>
      <c r="CO299" s="12" t="n"/>
      <c r="CP299" s="12" t="n"/>
      <c r="CQ299" s="12" t="n"/>
      <c r="CR299" s="12" t="n"/>
      <c r="CS299" s="12" t="n"/>
      <c r="CT299" s="12" t="n"/>
      <c r="CU299" s="12" t="n"/>
      <c r="CV299" s="12" t="n"/>
      <c r="CW299" s="12" t="n"/>
      <c r="CX299" s="12" t="n"/>
      <c r="CY299" s="12" t="n"/>
    </row>
    <row r="300">
      <c r="C300" s="14" t="inlineStr">
        <is>
          <t>Cash from investing</t>
        </is>
      </c>
      <c r="D300" s="12" t="n"/>
      <c r="E300" s="12" t="n"/>
      <c r="F300" s="12" t="n"/>
      <c r="G300" s="12" t="n"/>
      <c r="H300" s="12" t="n"/>
      <c r="I300" s="12" t="n"/>
      <c r="J300" s="12">
        <f>SUM(J295,J296,J298,J299,J297)</f>
        <v>188.427</v>
      </c>
      <c r="K300" s="12">
        <f>SUM(K295,K296,K298,K299,K297)</f>
        <v>-13.2410000000001</v>
      </c>
      <c r="L300" s="12">
        <f>SUM(L295,L296,L298,L299,L297)</f>
        <v>5.04300000000018</v>
      </c>
      <c r="M300" s="12" t="n"/>
      <c r="N300" s="12">
        <f>SUM(N295,N296,N298,N299,N297)</f>
        <v>-36.9630000000002</v>
      </c>
      <c r="O300" s="12">
        <f>SUM(O295,O296,O298,O299,O297)</f>
        <v>-82.0189999999997</v>
      </c>
      <c r="P300" s="12">
        <f>SUM(P295,P296,P298,P299,P297)</f>
        <v>93.205</v>
      </c>
      <c r="Q300" s="12">
        <f>SUM(Q295,Q296,Q298,Q299,Q297)</f>
        <v>334.969</v>
      </c>
      <c r="R300" s="12">
        <f>SUM(R295,R296,R298,R299)</f>
        <v>309.192</v>
      </c>
      <c r="S300" s="12">
        <f>SUM(S295,S296,S298,S299,S297)</f>
        <v>-37.49068704</v>
      </c>
      <c r="T300" s="12">
        <f>SUM(T295,T296,T298,T299,T297)</f>
        <v>105.02568704</v>
      </c>
      <c r="U300" s="12">
        <f>SUM(U295,U296,U298,U299,U297)</f>
        <v>-3.3519999999999</v>
      </c>
      <c r="V300" s="12">
        <f>SUM(V295,V296,V298,V299,V297)</f>
        <v>97.8240000000002</v>
      </c>
      <c r="W300" s="12">
        <f>SUM(W295,W296,W298,W299)</f>
        <v>162.007</v>
      </c>
      <c r="X300" s="12">
        <f>SUM(X295,X296,X298,X299,X297)</f>
        <v>63.195</v>
      </c>
      <c r="Y300" s="12">
        <f>SUM(Y295,Y296,Y298,Y299,Y297)</f>
        <v>500.686</v>
      </c>
      <c r="Z300" s="12">
        <f>SUM(Z295,Z296,Z298,Z299,Z297)</f>
        <v>419.72631689</v>
      </c>
      <c r="AA300" s="12">
        <f>SUM(AA295,AA296,AA298,AA299,AA297)</f>
        <v>308.04768311</v>
      </c>
      <c r="AB300" s="12">
        <f>SUM(AB295,AB296,AB298,AB299)</f>
        <v>1291.655</v>
      </c>
      <c r="AC300" s="12">
        <f>SUM(AC295,AC296,AC298,AC299,AC297)</f>
        <v>290.681</v>
      </c>
      <c r="AD300" s="12">
        <f>SUM(AD295,AD296,AD298,AD299,AD297)</f>
        <v>102.484</v>
      </c>
      <c r="AE300" s="12">
        <f>SUM(AE295,AE296,AE298,AE299,AE297)</f>
        <v>369.48</v>
      </c>
      <c r="AF300" s="12">
        <f>SUM(AF295,AF296,AF298,AF299,AF297)</f>
        <v>797.567</v>
      </c>
      <c r="AG300" s="12">
        <f>SUM(AG295,AG296,AG298,AG299)</f>
        <v>1560.212</v>
      </c>
      <c r="AH300" s="12">
        <f>SUM(AH295,AH296,AH298,AH299,AH297)</f>
        <v>150.777</v>
      </c>
      <c r="AI300" s="12">
        <f>SUM(AI295,AI296,AI298,AI299,AI297)</f>
        <v>441.426</v>
      </c>
      <c r="AJ300" s="12">
        <f>SUM(AJ295,AJ296,AJ298,AJ299,AJ297)</f>
        <v>-39.246892043928</v>
      </c>
      <c r="AK300" s="12">
        <f>SUM(AK295,AK296,AK298,AK299,AK297)</f>
        <v>-41.5525757251366</v>
      </c>
      <c r="AL300" s="12">
        <f>SUM(AL295,AL296,AL298,AL299)</f>
        <v>511.403532230935</v>
      </c>
      <c r="AM300" s="12">
        <f>SUM(AM295,AM296,AM298,AM299,AM297)</f>
        <v>-39.4741384920142</v>
      </c>
      <c r="AN300" s="12">
        <f>SUM(AN295,AN296,AN298,AN299,AN297)</f>
        <v>-43.3634289097518</v>
      </c>
      <c r="AO300" s="12">
        <f>SUM(AO295,AO296,AO298,AO299,AO297)</f>
        <v>-50.357906109948</v>
      </c>
      <c r="AP300" s="12">
        <f>SUM(AP295,AP296,AP298,AP299,AP297)</f>
        <v>-53.316341702952</v>
      </c>
      <c r="AQ300" s="12">
        <f>SUM(AQ295,AQ296,AQ298,AQ299)</f>
        <v>-186.511815214666</v>
      </c>
      <c r="AR300" s="12">
        <f>SUM(AR295,AR296,AR298,AR299,AR297)</f>
        <v>-50.4521166026614</v>
      </c>
      <c r="AS300" s="12">
        <f>SUM(AS295,AS296,AS298,AS299,AS297)</f>
        <v>-55.4230403809475</v>
      </c>
      <c r="AT300" s="12">
        <f>SUM(AT295,AT296,AT298,AT299,AT297)</f>
        <v>-64.3627207073553</v>
      </c>
      <c r="AU300" s="12">
        <f>SUM(AU295,AU296,AU298,AU299,AU297)</f>
        <v>-68.1439137416224</v>
      </c>
      <c r="AV300" s="12">
        <f>SUM(AV295,AV296,AV298,AV299)</f>
        <v>-238.381791432587</v>
      </c>
      <c r="AW300" s="12">
        <f>SUM(AW295,AW296,AW298,AW299,AW297)</f>
        <v>-64.2308710806072</v>
      </c>
      <c r="AX300" s="12">
        <f>SUM(AX295,AX296,AX298,AX299,AX297)</f>
        <v>-70.5593818717239</v>
      </c>
      <c r="AY300" s="12">
        <f>SUM(AY295,AY296,AY298,AY299,AY297)</f>
        <v>-81.9405387629107</v>
      </c>
      <c r="AZ300" s="12">
        <f>SUM(AZ295,AZ296,AZ298,AZ299,AZ297)</f>
        <v>-86.7543967072193</v>
      </c>
      <c r="BA300" s="12">
        <f>SUM(BA295,BA296,BA298,BA299)</f>
        <v>-303.485188422461</v>
      </c>
      <c r="BB300" s="12">
        <f>SUM(BB295,BB296,BB298,BB299,BB297)</f>
        <v>-81.4515259122066</v>
      </c>
      <c r="BC300" s="12">
        <f>SUM(BC295,BC296,BC298,BC299,BC297)</f>
        <v>-89.4767457483415</v>
      </c>
      <c r="BD300" s="12">
        <f>SUM(BD295,BD296,BD298,BD299,BD297)</f>
        <v>-103.909254288822</v>
      </c>
      <c r="BE300" s="12">
        <f>SUM(BE295,BE296,BE298,BE299,BE297)</f>
        <v>-110.013734400831</v>
      </c>
      <c r="BF300" s="12">
        <f>SUM(BF295,BF296,BF298,BF299)</f>
        <v>-384.851260350201</v>
      </c>
      <c r="BG300" s="12" t="n"/>
      <c r="BH300" s="12" t="n"/>
      <c r="BI300" s="12" t="n"/>
      <c r="BJ300" s="12" t="n"/>
      <c r="BK300" s="12" t="n"/>
      <c r="BL300" s="12" t="n"/>
      <c r="BM300" s="12" t="n"/>
      <c r="BN300" s="12" t="n"/>
      <c r="BO300" s="12" t="n"/>
      <c r="BP300" s="12" t="n"/>
      <c r="BQ300" s="12" t="n"/>
      <c r="BR300" s="12" t="n"/>
      <c r="BS300" s="12" t="n"/>
      <c r="BT300" s="12" t="n"/>
      <c r="BU300" s="12" t="n"/>
      <c r="BV300" s="12" t="n"/>
      <c r="BW300" s="12" t="n"/>
      <c r="BX300" s="12" t="n"/>
      <c r="BY300" s="12" t="n"/>
      <c r="BZ300" s="12" t="n"/>
      <c r="CA300" s="12" t="n"/>
      <c r="CB300" s="12" t="n"/>
      <c r="CC300" s="12" t="n"/>
      <c r="CD300" s="12" t="n"/>
      <c r="CE300" s="12" t="n"/>
      <c r="CF300" s="12" t="n"/>
      <c r="CG300" s="12" t="n"/>
      <c r="CH300" s="12" t="n"/>
      <c r="CI300" s="12" t="n"/>
      <c r="CJ300" s="12" t="n"/>
      <c r="CK300" s="12" t="n"/>
      <c r="CL300" s="12" t="n"/>
      <c r="CM300" s="12" t="n"/>
      <c r="CN300" s="12" t="n"/>
      <c r="CO300" s="12" t="n"/>
      <c r="CP300" s="12" t="n"/>
      <c r="CQ300" s="12" t="n"/>
      <c r="CR300" s="12" t="n"/>
      <c r="CS300" s="12" t="n"/>
      <c r="CT300" s="12" t="n"/>
      <c r="CU300" s="12" t="n"/>
      <c r="CV300" s="12" t="n"/>
      <c r="CW300" s="12" t="n"/>
      <c r="CX300" s="12" t="n"/>
      <c r="CY300" s="12" t="n"/>
    </row>
    <row r="301">
      <c r="C301" s="14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  <c r="Y301" s="12" t="n"/>
      <c r="Z301" s="12" t="n"/>
      <c r="AA301" s="12" t="n"/>
      <c r="AB301" s="12" t="n"/>
      <c r="AC301" s="12" t="n"/>
      <c r="AD301" s="12" t="n"/>
      <c r="AE301" s="12" t="n"/>
      <c r="AF301" s="12" t="n"/>
      <c r="AG301" s="12" t="n"/>
      <c r="AH301" s="12" t="n"/>
      <c r="AI301" s="12" t="n"/>
      <c r="AJ301" s="12" t="n"/>
      <c r="AK301" s="12" t="n"/>
      <c r="AL301" s="12" t="n"/>
      <c r="AM301" s="12" t="n"/>
      <c r="AN301" s="12" t="n"/>
      <c r="AO301" s="12" t="n"/>
      <c r="AP301" s="12" t="n"/>
      <c r="AQ301" s="12" t="n"/>
      <c r="AR301" s="12" t="n"/>
      <c r="AS301" s="12" t="n"/>
      <c r="AT301" s="12" t="n"/>
      <c r="AU301" s="12" t="n"/>
      <c r="AV301" s="12" t="n"/>
      <c r="AW301" s="12" t="n"/>
      <c r="AX301" s="12" t="n"/>
      <c r="AY301" s="12" t="n"/>
      <c r="AZ301" s="12" t="n"/>
      <c r="BA301" s="12" t="n"/>
      <c r="BB301" s="12" t="n"/>
      <c r="BC301" s="12" t="n"/>
      <c r="BD301" s="12" t="n"/>
      <c r="BE301" s="12" t="n"/>
      <c r="BF301" s="12" t="n"/>
      <c r="BG301" s="12" t="n"/>
      <c r="BH301" s="12" t="n"/>
      <c r="BI301" s="12" t="n"/>
      <c r="BJ301" s="12" t="n"/>
      <c r="BK301" s="12" t="n"/>
      <c r="BL301" s="12" t="n"/>
      <c r="BM301" s="12" t="n"/>
      <c r="BN301" s="12" t="n"/>
      <c r="BO301" s="12" t="n"/>
      <c r="BP301" s="12" t="n"/>
      <c r="BQ301" s="12" t="n"/>
      <c r="BR301" s="12" t="n"/>
      <c r="BS301" s="12" t="n"/>
      <c r="BT301" s="12" t="n"/>
      <c r="BU301" s="12" t="n"/>
      <c r="BV301" s="12" t="n"/>
      <c r="BW301" s="12" t="n"/>
      <c r="BX301" s="12" t="n"/>
      <c r="BY301" s="12" t="n"/>
      <c r="BZ301" s="12" t="n"/>
      <c r="CA301" s="12" t="n"/>
      <c r="CB301" s="12" t="n"/>
      <c r="CC301" s="12" t="n"/>
      <c r="CD301" s="12" t="n"/>
      <c r="CE301" s="12" t="n"/>
      <c r="CF301" s="12" t="n"/>
      <c r="CG301" s="12" t="n"/>
      <c r="CH301" s="12" t="n"/>
      <c r="CI301" s="12" t="n"/>
      <c r="CJ301" s="12" t="n"/>
      <c r="CK301" s="12" t="n"/>
      <c r="CL301" s="12" t="n"/>
      <c r="CM301" s="12" t="n"/>
      <c r="CN301" s="12" t="n"/>
      <c r="CO301" s="12" t="n"/>
      <c r="CP301" s="12" t="n"/>
      <c r="CQ301" s="12" t="n"/>
      <c r="CR301" s="12" t="n"/>
      <c r="CS301" s="12" t="n"/>
      <c r="CT301" s="12" t="n"/>
      <c r="CU301" s="12" t="n"/>
      <c r="CV301" s="12" t="n"/>
      <c r="CW301" s="12" t="n"/>
      <c r="CX301" s="12" t="n"/>
      <c r="CY301" s="12" t="n"/>
    </row>
    <row r="302">
      <c r="C302" s="14" t="inlineStr">
        <is>
          <t>Convertible preferred stock</t>
        </is>
      </c>
      <c r="D302" s="12" t="n"/>
      <c r="E302" s="12" t="n"/>
      <c r="F302" s="12" t="n"/>
      <c r="G302" s="12" t="n"/>
      <c r="H302" s="12" t="n"/>
      <c r="I302" s="12" t="n"/>
      <c r="J302" s="12">
        <f>J253-I253</f>
        <v>0</v>
      </c>
      <c r="K302" s="12">
        <f>K253-J253</f>
        <v>0</v>
      </c>
      <c r="L302" s="12">
        <f>L253-K253</f>
        <v>0</v>
      </c>
      <c r="M302" s="12" t="n"/>
      <c r="N302" s="12">
        <f>N253-M253</f>
        <v>0</v>
      </c>
      <c r="O302" s="12">
        <f>O253-N253</f>
        <v>0</v>
      </c>
      <c r="P302" s="12">
        <f>P253-O253</f>
        <v>0</v>
      </c>
      <c r="Q302" s="12">
        <f>Q253-P253</f>
        <v>0</v>
      </c>
      <c r="R302" s="12">
        <f>SUM(N302:Q302)</f>
        <v>0</v>
      </c>
      <c r="S302" s="12">
        <f>S253-R253</f>
        <v>0</v>
      </c>
      <c r="T302" s="12">
        <f>T253-S253</f>
        <v>0</v>
      </c>
      <c r="U302" s="12">
        <f>U253-T253</f>
        <v>0</v>
      </c>
      <c r="V302" s="12">
        <f>V253-U253</f>
        <v>0</v>
      </c>
      <c r="W302" s="12">
        <f>SUM(S302:V302)</f>
        <v>0</v>
      </c>
      <c r="X302" s="12">
        <f>X253-W253</f>
        <v>0</v>
      </c>
      <c r="Y302" s="12">
        <f>Y253-X253</f>
        <v>0</v>
      </c>
      <c r="Z302" s="12">
        <f>Z253-Y253</f>
        <v>0</v>
      </c>
      <c r="AA302" s="12">
        <f>AA253-Z253</f>
        <v>0</v>
      </c>
      <c r="AB302" s="12">
        <f>SUM(X302:AA302)</f>
        <v>0</v>
      </c>
      <c r="AC302" s="12">
        <f>AC253-AB253</f>
        <v>0</v>
      </c>
      <c r="AD302" s="12">
        <f>AD253-AC253</f>
        <v>0</v>
      </c>
      <c r="AE302" s="12">
        <f>AE253-AD253</f>
        <v>0</v>
      </c>
      <c r="AF302" s="12">
        <f>AF253-AE253</f>
        <v>0</v>
      </c>
      <c r="AG302" s="12">
        <f>SUM(AC302:AF302)</f>
        <v>0</v>
      </c>
      <c r="AH302" s="12">
        <f>AH253-AG253</f>
        <v>0</v>
      </c>
      <c r="AI302" s="12">
        <f>AI253-AH253</f>
        <v>0</v>
      </c>
      <c r="AJ302" s="12">
        <f>AJ253-AI253</f>
        <v>0</v>
      </c>
      <c r="AK302" s="12">
        <f>AK253-AJ253</f>
        <v>0</v>
      </c>
      <c r="AL302" s="12">
        <f>SUM(AH302:AK302)</f>
        <v>0</v>
      </c>
      <c r="AM302" s="12">
        <f>AM253-AL253</f>
        <v>0</v>
      </c>
      <c r="AN302" s="12">
        <f>AN253-AM253</f>
        <v>0</v>
      </c>
      <c r="AO302" s="12">
        <f>AO253-AN253</f>
        <v>0</v>
      </c>
      <c r="AP302" s="12">
        <f>AP253-AO253</f>
        <v>0</v>
      </c>
      <c r="AQ302" s="12">
        <f>SUM(AM302:AP302)</f>
        <v>0</v>
      </c>
      <c r="AR302" s="12">
        <f>AR253-AQ253</f>
        <v>0</v>
      </c>
      <c r="AS302" s="12">
        <f>AS253-AR253</f>
        <v>0</v>
      </c>
      <c r="AT302" s="12">
        <f>AT253-AS253</f>
        <v>0</v>
      </c>
      <c r="AU302" s="12">
        <f>AU253-AT253</f>
        <v>0</v>
      </c>
      <c r="AV302" s="12">
        <f>SUM(AR302:AU302)</f>
        <v>0</v>
      </c>
      <c r="AW302" s="12">
        <f>AW253-AV253</f>
        <v>0</v>
      </c>
      <c r="AX302" s="12">
        <f>AX253-AW253</f>
        <v>0</v>
      </c>
      <c r="AY302" s="12">
        <f>AY253-AX253</f>
        <v>0</v>
      </c>
      <c r="AZ302" s="12">
        <f>AZ253-AY253</f>
        <v>0</v>
      </c>
      <c r="BA302" s="12">
        <f>SUM(AW302:AZ302)</f>
        <v>0</v>
      </c>
      <c r="BB302" s="12">
        <f>BB253-BA253</f>
        <v>0</v>
      </c>
      <c r="BC302" s="12">
        <f>BC253-BB253</f>
        <v>0</v>
      </c>
      <c r="BD302" s="12">
        <f>BD253-BC253</f>
        <v>0</v>
      </c>
      <c r="BE302" s="12">
        <f>BE253-BD253</f>
        <v>0</v>
      </c>
      <c r="BF302" s="12">
        <f>SUM(BB302:BE302)</f>
        <v>0</v>
      </c>
      <c r="BG302" s="12" t="n"/>
      <c r="BH302" s="12" t="n"/>
      <c r="BI302" s="12" t="n"/>
      <c r="BJ302" s="12" t="n"/>
      <c r="BK302" s="12" t="n"/>
      <c r="BL302" s="12" t="n"/>
      <c r="BM302" s="12" t="n"/>
      <c r="BN302" s="12" t="n"/>
      <c r="BO302" s="12" t="n"/>
      <c r="BP302" s="12" t="n"/>
      <c r="BQ302" s="12" t="n"/>
      <c r="BR302" s="12" t="n"/>
      <c r="BS302" s="12" t="n"/>
      <c r="BT302" s="12" t="n"/>
      <c r="BU302" s="12" t="n"/>
      <c r="BV302" s="12" t="n"/>
      <c r="BW302" s="12" t="n"/>
      <c r="BX302" s="12" t="n"/>
      <c r="BY302" s="12" t="n"/>
      <c r="BZ302" s="12" t="n"/>
      <c r="CA302" s="12" t="n"/>
      <c r="CB302" s="12" t="n"/>
      <c r="CC302" s="12" t="n"/>
      <c r="CD302" s="12" t="n"/>
      <c r="CE302" s="12" t="n"/>
      <c r="CF302" s="12" t="n"/>
      <c r="CG302" s="12" t="n"/>
      <c r="CH302" s="12" t="n"/>
      <c r="CI302" s="12" t="n"/>
      <c r="CJ302" s="12" t="n"/>
      <c r="CK302" s="12" t="n"/>
      <c r="CL302" s="12" t="n"/>
      <c r="CM302" s="12" t="n"/>
      <c r="CN302" s="12" t="n"/>
      <c r="CO302" s="12" t="n"/>
      <c r="CP302" s="12" t="n"/>
      <c r="CQ302" s="12" t="n"/>
      <c r="CR302" s="12" t="n"/>
      <c r="CS302" s="12" t="n"/>
      <c r="CT302" s="12" t="n"/>
      <c r="CU302" s="12" t="n"/>
      <c r="CV302" s="12" t="n"/>
      <c r="CW302" s="12" t="n"/>
      <c r="CX302" s="12" t="n"/>
      <c r="CY302" s="12" t="n"/>
    </row>
    <row r="303">
      <c r="C303" s="14" t="inlineStr">
        <is>
          <t>Common stock and APIC</t>
        </is>
      </c>
      <c r="D303" s="12" t="n"/>
      <c r="E303" s="12" t="n"/>
      <c r="F303" s="12" t="n"/>
      <c r="G303" s="12" t="n"/>
      <c r="H303" s="12" t="n"/>
      <c r="I303" s="12" t="n"/>
      <c r="J303" s="12">
        <f>J254-I254</f>
        <v>-29.509</v>
      </c>
      <c r="K303" s="12">
        <f>K254-J254</f>
        <v>0.84800000000007</v>
      </c>
      <c r="L303" s="12">
        <f>L254-K254</f>
        <v>-0.855999999999995</v>
      </c>
      <c r="M303" s="12" t="n"/>
      <c r="N303" s="12">
        <f>N254-M254</f>
        <v>-1.029</v>
      </c>
      <c r="O303" s="12">
        <f>O254-N254</f>
        <v>0.738999999999919</v>
      </c>
      <c r="P303" s="12">
        <f>P254-O254</f>
        <v>-0.139999999999986</v>
      </c>
      <c r="Q303" s="12">
        <f>Q254-P254</f>
        <v>0.683999999999969</v>
      </c>
      <c r="R303" s="12">
        <f>SUM(N303:Q303)</f>
        <v>0.253999999999905</v>
      </c>
      <c r="S303" s="12">
        <f>S254-R254</f>
        <v>-30.323</v>
      </c>
      <c r="T303" s="12">
        <f>T254-S254</f>
        <v>-0.701000000000022</v>
      </c>
      <c r="U303" s="12">
        <f>U254-T254</f>
        <v>409.687</v>
      </c>
      <c r="V303" s="12">
        <f>V254-U254</f>
        <v>32.2550000000001</v>
      </c>
      <c r="W303" s="12">
        <f>SUM(S303:V303)</f>
        <v>410.918</v>
      </c>
      <c r="X303" s="12">
        <f>X254-W254</f>
        <v>-36.991</v>
      </c>
      <c r="Y303" s="12">
        <f>Y254-X254</f>
        <v>1.30199999999991</v>
      </c>
      <c r="Z303" s="12">
        <f>Z254-Y254</f>
        <v>2.47800000000007</v>
      </c>
      <c r="AA303" s="12">
        <f>AA254-Z254</f>
        <v>34.1489999999999</v>
      </c>
      <c r="AB303" s="12">
        <f>SUM(X303:AA303)</f>
        <v>0.937999999999875</v>
      </c>
      <c r="AC303" s="12">
        <f>AC254-AB254</f>
        <v>-2.82999999999993</v>
      </c>
      <c r="AD303" s="12">
        <f>AD254-AC254</f>
        <v>3.19200000000001</v>
      </c>
      <c r="AE303" s="12">
        <f>AE254-AD254</f>
        <v>0.317000000000007</v>
      </c>
      <c r="AF303" s="12">
        <f>AF254-AE254</f>
        <v>6.87699999999995</v>
      </c>
      <c r="AG303" s="12">
        <f>SUM(AC303:AF303)</f>
        <v>7.55600000000004</v>
      </c>
      <c r="AH303" s="12">
        <f>AH254-AG254</f>
        <v>-5.05700000000002</v>
      </c>
      <c r="AI303" s="12">
        <f>AI254-AH254</f>
        <v>1.19499999999994</v>
      </c>
      <c r="AJ303" s="12">
        <f>AJ254-AI254</f>
        <v>0</v>
      </c>
      <c r="AK303" s="12">
        <f>AK254-AJ254</f>
        <v>0</v>
      </c>
      <c r="AL303" s="12">
        <f>SUM(AH303:AK303)</f>
        <v>-3.86200000000008</v>
      </c>
      <c r="AM303" s="12">
        <f>AM254-AL254</f>
        <v>0</v>
      </c>
      <c r="AN303" s="12">
        <f>AN254-AM254</f>
        <v>0</v>
      </c>
      <c r="AO303" s="12">
        <f>AO254-AN254</f>
        <v>0</v>
      </c>
      <c r="AP303" s="12">
        <f>AP254-AO254</f>
        <v>0</v>
      </c>
      <c r="AQ303" s="12">
        <f>SUM(AM303:AP303)</f>
        <v>0</v>
      </c>
      <c r="AR303" s="12">
        <f>AR254-AQ254</f>
        <v>0</v>
      </c>
      <c r="AS303" s="12">
        <f>AS254-AR254</f>
        <v>0</v>
      </c>
      <c r="AT303" s="12">
        <f>AT254-AS254</f>
        <v>0</v>
      </c>
      <c r="AU303" s="12">
        <f>AU254-AT254</f>
        <v>0</v>
      </c>
      <c r="AV303" s="12">
        <f>SUM(AR303:AU303)</f>
        <v>0</v>
      </c>
      <c r="AW303" s="12">
        <f>AW254-AV254</f>
        <v>0</v>
      </c>
      <c r="AX303" s="12">
        <f>AX254-AW254</f>
        <v>0</v>
      </c>
      <c r="AY303" s="12">
        <f>AY254-AX254</f>
        <v>0</v>
      </c>
      <c r="AZ303" s="12">
        <f>AZ254-AY254</f>
        <v>0</v>
      </c>
      <c r="BA303" s="12">
        <f>SUM(AW303:AZ303)</f>
        <v>0</v>
      </c>
      <c r="BB303" s="12">
        <f>BB254-BA254</f>
        <v>0</v>
      </c>
      <c r="BC303" s="12">
        <f>BC254-BB254</f>
        <v>0</v>
      </c>
      <c r="BD303" s="12">
        <f>BD254-BC254</f>
        <v>0</v>
      </c>
      <c r="BE303" s="12">
        <f>BE254-BD254</f>
        <v>0</v>
      </c>
      <c r="BF303" s="12">
        <f>SUM(BB303:BE303)</f>
        <v>0</v>
      </c>
      <c r="BG303" s="12" t="n"/>
      <c r="BH303" s="12" t="n"/>
      <c r="BI303" s="12" t="n"/>
      <c r="BJ303" s="12" t="n"/>
      <c r="BK303" s="12" t="n"/>
      <c r="BL303" s="12" t="n"/>
      <c r="BM303" s="12" t="n"/>
      <c r="BN303" s="12" t="n"/>
      <c r="BO303" s="12" t="n"/>
      <c r="BP303" s="12" t="n"/>
      <c r="BQ303" s="12" t="n"/>
      <c r="BR303" s="12" t="n"/>
      <c r="BS303" s="12" t="n"/>
      <c r="BT303" s="12" t="n"/>
      <c r="BU303" s="12" t="n"/>
      <c r="BV303" s="12" t="n"/>
      <c r="BW303" s="12" t="n"/>
      <c r="BX303" s="12" t="n"/>
      <c r="BY303" s="12" t="n"/>
      <c r="BZ303" s="12" t="n"/>
      <c r="CA303" s="12" t="n"/>
      <c r="CB303" s="12" t="n"/>
      <c r="CC303" s="12" t="n"/>
      <c r="CD303" s="12" t="n"/>
      <c r="CE303" s="12" t="n"/>
      <c r="CF303" s="12" t="n"/>
      <c r="CG303" s="12" t="n"/>
      <c r="CH303" s="12" t="n"/>
      <c r="CI303" s="12" t="n"/>
      <c r="CJ303" s="12" t="n"/>
      <c r="CK303" s="12" t="n"/>
      <c r="CL303" s="12" t="n"/>
      <c r="CM303" s="12" t="n"/>
      <c r="CN303" s="12" t="n"/>
      <c r="CO303" s="12" t="n"/>
      <c r="CP303" s="12" t="n"/>
      <c r="CQ303" s="12" t="n"/>
      <c r="CR303" s="12" t="n"/>
      <c r="CS303" s="12" t="n"/>
      <c r="CT303" s="12" t="n"/>
      <c r="CU303" s="12" t="n"/>
      <c r="CV303" s="12" t="n"/>
      <c r="CW303" s="12" t="n"/>
      <c r="CX303" s="12" t="n"/>
      <c r="CY303" s="12" t="n"/>
    </row>
    <row r="304">
      <c r="C304" s="14" t="inlineStr">
        <is>
          <t>Treasury stock repurchases</t>
        </is>
      </c>
      <c r="D304" s="12" t="n"/>
      <c r="E304" s="12" t="n"/>
      <c r="F304" s="12" t="n"/>
      <c r="G304" s="12" t="n"/>
      <c r="H304" s="12" t="n"/>
      <c r="I304" s="12" t="n"/>
      <c r="J304" s="12">
        <f>J267-I267</f>
        <v>24.949</v>
      </c>
      <c r="K304" s="12">
        <f>K267-J267</f>
        <v>-1.83000000000001</v>
      </c>
      <c r="L304" s="12">
        <f>L267-K267</f>
        <v>38.377</v>
      </c>
      <c r="M304" s="12" t="n"/>
      <c r="N304" s="12">
        <f>N267-M267</f>
        <v>1.953</v>
      </c>
      <c r="O304" s="12">
        <f>O267-N267</f>
        <v>-5.539</v>
      </c>
      <c r="P304" s="12">
        <f>P267-O267</f>
        <v>1.197</v>
      </c>
      <c r="Q304" s="12">
        <f>Q267-P267</f>
        <v>0</v>
      </c>
      <c r="R304" s="12">
        <f>SUM(N304:Q304)</f>
        <v>-2.389</v>
      </c>
      <c r="S304" s="12">
        <f>S267-R267</f>
        <v>0</v>
      </c>
      <c r="T304" s="12">
        <f>T267-S267</f>
        <v>2.001</v>
      </c>
      <c r="U304" s="12">
        <f>U267-T267</f>
        <v>0</v>
      </c>
      <c r="V304" s="12">
        <f>V267-U267</f>
        <v>0</v>
      </c>
      <c r="W304" s="12">
        <f>SUM(S304:V304)</f>
        <v>2.001</v>
      </c>
      <c r="X304" s="12">
        <f>X267-W267</f>
        <v>5.447</v>
      </c>
      <c r="Y304" s="12">
        <f>Y267-X267</f>
        <v>0</v>
      </c>
      <c r="Z304" s="12">
        <f>Z267-Y267</f>
        <v>0</v>
      </c>
      <c r="AA304" s="12">
        <f>AA267-Z267</f>
        <v>-7.235</v>
      </c>
      <c r="AB304" s="12">
        <f>SUM(X304:AA304)</f>
        <v>-1.788</v>
      </c>
      <c r="AC304" s="12">
        <f>AC267-AB267</f>
        <v>5.471</v>
      </c>
      <c r="AD304" s="12">
        <f>AD267-AC267</f>
        <v>0</v>
      </c>
      <c r="AE304" s="12">
        <f>AE267-AD267</f>
        <v>-3.977</v>
      </c>
      <c r="AF304" s="12">
        <f>AF267-AE267</f>
        <v>-14.529</v>
      </c>
      <c r="AG304" s="12">
        <f>SUM(AC304:AF304)</f>
        <v>-13.035</v>
      </c>
      <c r="AH304" s="12">
        <f>AH267-AG267</f>
        <v>20.43</v>
      </c>
      <c r="AI304" s="12">
        <f>AI267-AH267</f>
        <v>-4.442</v>
      </c>
      <c r="AJ304" s="12">
        <f>AJ267-AI267</f>
        <v>0</v>
      </c>
      <c r="AK304" s="12">
        <f>AK267-AJ267</f>
        <v>0</v>
      </c>
      <c r="AL304" s="12">
        <f>SUM(AH304:AK304)</f>
        <v>15.988</v>
      </c>
      <c r="AM304" s="12">
        <f>AM267-AL267</f>
        <v>0</v>
      </c>
      <c r="AN304" s="12">
        <f>AN267-AM267</f>
        <v>0</v>
      </c>
      <c r="AO304" s="12">
        <f>AO267-AN267</f>
        <v>0</v>
      </c>
      <c r="AP304" s="12">
        <f>AP267-AO267</f>
        <v>0</v>
      </c>
      <c r="AQ304" s="12">
        <f>SUM(AM304:AP304)</f>
        <v>0</v>
      </c>
      <c r="AR304" s="12">
        <f>AR267-AQ267</f>
        <v>0</v>
      </c>
      <c r="AS304" s="12">
        <f>AS267-AR267</f>
        <v>0</v>
      </c>
      <c r="AT304" s="12">
        <f>AT267-AS267</f>
        <v>0</v>
      </c>
      <c r="AU304" s="12">
        <f>AU267-AT267</f>
        <v>0</v>
      </c>
      <c r="AV304" s="12">
        <f>SUM(AR304:AU304)</f>
        <v>0</v>
      </c>
      <c r="AW304" s="12">
        <f>AW267-AV267</f>
        <v>0</v>
      </c>
      <c r="AX304" s="12">
        <f>AX267-AW267</f>
        <v>0</v>
      </c>
      <c r="AY304" s="12">
        <f>AY267-AX267</f>
        <v>0</v>
      </c>
      <c r="AZ304" s="12">
        <f>AZ267-AY267</f>
        <v>0</v>
      </c>
      <c r="BA304" s="12">
        <f>SUM(AW304:AZ304)</f>
        <v>0</v>
      </c>
      <c r="BB304" s="12">
        <f>BB267-BA267</f>
        <v>0</v>
      </c>
      <c r="BC304" s="12">
        <f>BC267-BB267</f>
        <v>0</v>
      </c>
      <c r="BD304" s="12">
        <f>BD267-BC267</f>
        <v>0</v>
      </c>
      <c r="BE304" s="12">
        <f>BE267-BD267</f>
        <v>0</v>
      </c>
      <c r="BF304" s="12">
        <f>SUM(BB304:BE304)</f>
        <v>0</v>
      </c>
      <c r="BG304" s="12" t="n"/>
      <c r="BH304" s="12" t="n"/>
      <c r="BI304" s="12" t="n"/>
      <c r="BJ304" s="12" t="n"/>
      <c r="BK304" s="12" t="n"/>
      <c r="BL304" s="12" t="n"/>
      <c r="BM304" s="12" t="n"/>
      <c r="BN304" s="12" t="n"/>
      <c r="BO304" s="12" t="n"/>
      <c r="BP304" s="12" t="n"/>
      <c r="BQ304" s="12" t="n"/>
      <c r="BR304" s="12" t="n"/>
      <c r="BS304" s="12" t="n"/>
      <c r="BT304" s="12" t="n"/>
      <c r="BU304" s="12" t="n"/>
      <c r="BV304" s="12" t="n"/>
      <c r="BW304" s="12" t="n"/>
      <c r="BX304" s="12" t="n"/>
      <c r="BY304" s="12" t="n"/>
      <c r="BZ304" s="12" t="n"/>
      <c r="CA304" s="12" t="n"/>
      <c r="CB304" s="12" t="n"/>
      <c r="CC304" s="12" t="n"/>
      <c r="CD304" s="12" t="n"/>
      <c r="CE304" s="12" t="n"/>
      <c r="CF304" s="12" t="n"/>
      <c r="CG304" s="12" t="n"/>
      <c r="CH304" s="12" t="n"/>
      <c r="CI304" s="12" t="n"/>
      <c r="CJ304" s="12" t="n"/>
      <c r="CK304" s="12" t="n"/>
      <c r="CL304" s="12" t="n"/>
      <c r="CM304" s="12" t="n"/>
      <c r="CN304" s="12" t="n"/>
      <c r="CO304" s="12" t="n"/>
      <c r="CP304" s="12" t="n"/>
      <c r="CQ304" s="12" t="n"/>
      <c r="CR304" s="12" t="n"/>
      <c r="CS304" s="12" t="n"/>
      <c r="CT304" s="12" t="n"/>
      <c r="CU304" s="12" t="n"/>
      <c r="CV304" s="12" t="n"/>
      <c r="CW304" s="12" t="n"/>
      <c r="CX304" s="12" t="n"/>
      <c r="CY304" s="12" t="n"/>
    </row>
    <row r="305">
      <c r="C305" s="14" t="inlineStr">
        <is>
          <t>Comprehensive accumulated loss</t>
        </is>
      </c>
      <c r="D305" s="12" t="n"/>
      <c r="E305" s="12" t="n"/>
      <c r="F305" s="12" t="n"/>
      <c r="G305" s="12" t="n"/>
      <c r="H305" s="12" t="n"/>
      <c r="I305" s="12" t="n"/>
      <c r="J305" s="12">
        <f>J268-I268</f>
        <v>0</v>
      </c>
      <c r="K305" s="12">
        <f>K268-J268</f>
        <v>-0.638000000000002</v>
      </c>
      <c r="L305" s="12">
        <f>L268-K268</f>
        <v>-10.739</v>
      </c>
      <c r="M305" s="12" t="n"/>
      <c r="N305" s="12">
        <f>N268-M268</f>
        <v>0.162000000000003</v>
      </c>
      <c r="O305" s="12">
        <f>O268-N268</f>
        <v>-0.523</v>
      </c>
      <c r="P305" s="12">
        <f>P268-O268</f>
        <v>-0.088000000000001</v>
      </c>
      <c r="Q305" s="12">
        <f>Q268-P268</f>
        <v>-1.584</v>
      </c>
      <c r="R305" s="12">
        <f>SUM(N305:Q305)</f>
        <v>-2.033</v>
      </c>
      <c r="S305" s="12">
        <f>S268-R268</f>
        <v>31.88</v>
      </c>
      <c r="T305" s="12">
        <f>T268-S268</f>
        <v>0</v>
      </c>
      <c r="U305" s="12">
        <f>U268-T268</f>
        <v>0</v>
      </c>
      <c r="V305" s="12">
        <f>V268-U268</f>
        <v>-31.76</v>
      </c>
      <c r="W305" s="12">
        <f>SUM(S305:V305)</f>
        <v>0.119999999999997</v>
      </c>
      <c r="X305" s="12">
        <f>X268-W268</f>
        <v>31.76</v>
      </c>
      <c r="Y305" s="12">
        <f>Y268-X268</f>
        <v>0</v>
      </c>
      <c r="Z305" s="12">
        <f>Z268-Y268</f>
        <v>0</v>
      </c>
      <c r="AA305" s="12">
        <f>AA268-Z268</f>
        <v>-31.759</v>
      </c>
      <c r="AB305" s="12">
        <f>SUM(X305:AA305)</f>
        <v>0.00100000000000122</v>
      </c>
      <c r="AC305" s="12">
        <f>AC268-AB268</f>
        <v>-1.509</v>
      </c>
      <c r="AD305" s="12">
        <f>AD268-AC268</f>
        <v>184.967</v>
      </c>
      <c r="AE305" s="12">
        <f>AE268-AD268</f>
        <v>15.745</v>
      </c>
      <c r="AF305" s="12">
        <f>AF268-AE268</f>
        <v>71.512</v>
      </c>
      <c r="AG305" s="12">
        <f>SUM(AC305:AF305)</f>
        <v>270.715</v>
      </c>
      <c r="AH305" s="12">
        <f>AH268-AG268</f>
        <v>-3.005</v>
      </c>
      <c r="AI305" s="12">
        <f>AI268-AH268</f>
        <v>0</v>
      </c>
      <c r="AJ305" s="12">
        <f>AJ268-AI268</f>
        <v>0</v>
      </c>
      <c r="AK305" s="12">
        <f>AK268-AJ268</f>
        <v>0</v>
      </c>
      <c r="AL305" s="12">
        <f>SUM(AH305:AK305)</f>
        <v>-3.005</v>
      </c>
      <c r="AM305" s="12">
        <f>AM268-AL268</f>
        <v>0</v>
      </c>
      <c r="AN305" s="12">
        <f>AN268-AM268</f>
        <v>0</v>
      </c>
      <c r="AO305" s="12">
        <f>AO268-AN268</f>
        <v>0</v>
      </c>
      <c r="AP305" s="12">
        <f>AP268-AO268</f>
        <v>0</v>
      </c>
      <c r="AQ305" s="12">
        <f>SUM(AM305:AP305)</f>
        <v>0</v>
      </c>
      <c r="AR305" s="12">
        <f>AR268-AQ268</f>
        <v>0</v>
      </c>
      <c r="AS305" s="12">
        <f>AS268-AR268</f>
        <v>0</v>
      </c>
      <c r="AT305" s="12">
        <f>AT268-AS268</f>
        <v>0</v>
      </c>
      <c r="AU305" s="12">
        <f>AU268-AT268</f>
        <v>0</v>
      </c>
      <c r="AV305" s="12">
        <f>SUM(AR305:AU305)</f>
        <v>0</v>
      </c>
      <c r="AW305" s="12">
        <f>AW268-AV268</f>
        <v>0</v>
      </c>
      <c r="AX305" s="12">
        <f>AX268-AW268</f>
        <v>0</v>
      </c>
      <c r="AY305" s="12">
        <f>AY268-AX268</f>
        <v>0</v>
      </c>
      <c r="AZ305" s="12">
        <f>AZ268-AY268</f>
        <v>0</v>
      </c>
      <c r="BA305" s="12">
        <f>SUM(AW305:AZ305)</f>
        <v>0</v>
      </c>
      <c r="BB305" s="12">
        <f>BB268-BA268</f>
        <v>0</v>
      </c>
      <c r="BC305" s="12">
        <f>BC268-BB268</f>
        <v>0</v>
      </c>
      <c r="BD305" s="12">
        <f>BD268-BC268</f>
        <v>0</v>
      </c>
      <c r="BE305" s="12">
        <f>BE268-BD268</f>
        <v>0</v>
      </c>
      <c r="BF305" s="12">
        <f>SUM(BB305:BE305)</f>
        <v>0</v>
      </c>
      <c r="BG305" s="12" t="n"/>
      <c r="BH305" s="12" t="n"/>
      <c r="BI305" s="12" t="n"/>
      <c r="BJ305" s="12" t="n"/>
      <c r="BK305" s="12" t="n"/>
      <c r="BL305" s="12" t="n"/>
      <c r="BM305" s="12" t="n"/>
      <c r="BN305" s="12" t="n"/>
      <c r="BO305" s="12" t="n"/>
      <c r="BP305" s="12" t="n"/>
      <c r="BQ305" s="12" t="n"/>
      <c r="BR305" s="12" t="n"/>
      <c r="BS305" s="12" t="n"/>
      <c r="BT305" s="12" t="n"/>
      <c r="BU305" s="12" t="n"/>
      <c r="BV305" s="12" t="n"/>
      <c r="BW305" s="12" t="n"/>
      <c r="BX305" s="12" t="n"/>
      <c r="BY305" s="12" t="n"/>
      <c r="BZ305" s="12" t="n"/>
      <c r="CA305" s="12" t="n"/>
      <c r="CB305" s="12" t="n"/>
      <c r="CC305" s="12" t="n"/>
      <c r="CD305" s="12" t="n"/>
      <c r="CE305" s="12" t="n"/>
      <c r="CF305" s="12" t="n"/>
      <c r="CG305" s="12" t="n"/>
      <c r="CH305" s="12" t="n"/>
      <c r="CI305" s="12" t="n"/>
      <c r="CJ305" s="12" t="n"/>
      <c r="CK305" s="12" t="n"/>
      <c r="CL305" s="12" t="n"/>
      <c r="CM305" s="12" t="n"/>
      <c r="CN305" s="12" t="n"/>
      <c r="CO305" s="12" t="n"/>
      <c r="CP305" s="12" t="n"/>
      <c r="CQ305" s="12" t="n"/>
      <c r="CR305" s="12" t="n"/>
      <c r="CS305" s="12" t="n"/>
      <c r="CT305" s="12" t="n"/>
      <c r="CU305" s="12" t="n"/>
      <c r="CV305" s="12" t="n"/>
      <c r="CW305" s="12" t="n"/>
      <c r="CX305" s="12" t="n"/>
      <c r="CY305" s="12" t="n"/>
    </row>
    <row r="306">
      <c r="C306" s="14" t="inlineStr">
        <is>
          <t>Other equity account</t>
        </is>
      </c>
      <c r="D306" s="12" t="n"/>
      <c r="E306" s="12" t="n"/>
      <c r="F306" s="12" t="n"/>
      <c r="G306" s="12" t="n"/>
      <c r="H306" s="12" t="n"/>
      <c r="I306" s="12" t="n"/>
      <c r="J306" s="12">
        <f>J269-I269</f>
        <v>0</v>
      </c>
      <c r="K306" s="12">
        <f>K269-J269</f>
        <v>0</v>
      </c>
      <c r="L306" s="12">
        <f>L269-K269</f>
        <v>0</v>
      </c>
      <c r="M306" s="12" t="n"/>
      <c r="N306" s="12">
        <f>N269-M269</f>
        <v>0</v>
      </c>
      <c r="O306" s="12">
        <f>O269-N269</f>
        <v>0</v>
      </c>
      <c r="P306" s="12">
        <f>P269-O269</f>
        <v>0</v>
      </c>
      <c r="Q306" s="12">
        <f>Q269-P269</f>
        <v>0</v>
      </c>
      <c r="R306" s="12">
        <f>SUM(N306:Q306)</f>
        <v>0</v>
      </c>
      <c r="S306" s="12">
        <f>S269-R269</f>
        <v>0</v>
      </c>
      <c r="T306" s="12">
        <f>T269-S269</f>
        <v>0</v>
      </c>
      <c r="U306" s="12">
        <f>U269-T269</f>
        <v>0</v>
      </c>
      <c r="V306" s="12">
        <f>V269-U269</f>
        <v>0</v>
      </c>
      <c r="W306" s="12">
        <f>SUM(S306:V306)</f>
        <v>0</v>
      </c>
      <c r="X306" s="12">
        <f>X269-W269</f>
        <v>0</v>
      </c>
      <c r="Y306" s="12">
        <f>Y269-X269</f>
        <v>0</v>
      </c>
      <c r="Z306" s="12">
        <f>Z269-Y269</f>
        <v>0</v>
      </c>
      <c r="AA306" s="12">
        <f>AA269-Z269</f>
        <v>0</v>
      </c>
      <c r="AB306" s="12">
        <f>SUM(X306:AA306)</f>
        <v>0</v>
      </c>
      <c r="AC306" s="12">
        <f>AC269-AB269</f>
        <v>0</v>
      </c>
      <c r="AD306" s="12">
        <f>AD269-AC269</f>
        <v>0</v>
      </c>
      <c r="AE306" s="12">
        <f>AE269-AD269</f>
        <v>0</v>
      </c>
      <c r="AF306" s="12">
        <f>AF269-AE269</f>
        <v>0</v>
      </c>
      <c r="AG306" s="12">
        <f>SUM(AC306:AF306)</f>
        <v>0</v>
      </c>
      <c r="AH306" s="12">
        <f>AH269-AG269</f>
        <v>0</v>
      </c>
      <c r="AI306" s="12">
        <f>AI269-AH269</f>
        <v>0</v>
      </c>
      <c r="AJ306" s="12">
        <f>AJ269-AI269</f>
        <v>0</v>
      </c>
      <c r="AK306" s="12">
        <f>AK269-AJ269</f>
        <v>0</v>
      </c>
      <c r="AL306" s="12">
        <f>SUM(AH306:AK306)</f>
        <v>0</v>
      </c>
      <c r="AM306" s="12">
        <f>AM269-AL269</f>
        <v>0</v>
      </c>
      <c r="AN306" s="12">
        <f>AN269-AM269</f>
        <v>0</v>
      </c>
      <c r="AO306" s="12">
        <f>AO269-AN269</f>
        <v>0</v>
      </c>
      <c r="AP306" s="12">
        <f>AP269-AO269</f>
        <v>0</v>
      </c>
      <c r="AQ306" s="12">
        <f>SUM(AM306:AP306)</f>
        <v>0</v>
      </c>
      <c r="AR306" s="12">
        <f>AR269-AQ269</f>
        <v>0</v>
      </c>
      <c r="AS306" s="12">
        <f>AS269-AR269</f>
        <v>0</v>
      </c>
      <c r="AT306" s="12">
        <f>AT269-AS269</f>
        <v>0</v>
      </c>
      <c r="AU306" s="12">
        <f>AU269-AT269</f>
        <v>0</v>
      </c>
      <c r="AV306" s="12">
        <f>SUM(AR306:AU306)</f>
        <v>0</v>
      </c>
      <c r="AW306" s="12">
        <f>AW269-AV269</f>
        <v>0</v>
      </c>
      <c r="AX306" s="12">
        <f>AX269-AW269</f>
        <v>0</v>
      </c>
      <c r="AY306" s="12">
        <f>AY269-AX269</f>
        <v>0</v>
      </c>
      <c r="AZ306" s="12">
        <f>AZ269-AY269</f>
        <v>0</v>
      </c>
      <c r="BA306" s="12">
        <f>SUM(AW306:AZ306)</f>
        <v>0</v>
      </c>
      <c r="BB306" s="12">
        <f>BB269-BA269</f>
        <v>0</v>
      </c>
      <c r="BC306" s="12">
        <f>BC269-BB269</f>
        <v>0</v>
      </c>
      <c r="BD306" s="12">
        <f>BD269-BC269</f>
        <v>0</v>
      </c>
      <c r="BE306" s="12">
        <f>BE269-BD269</f>
        <v>0</v>
      </c>
      <c r="BF306" s="12">
        <f>SUM(BB306:BE306)</f>
        <v>0</v>
      </c>
      <c r="BG306" s="12" t="n"/>
      <c r="BH306" s="12" t="n"/>
      <c r="BI306" s="12" t="n"/>
      <c r="BJ306" s="12" t="n"/>
      <c r="BK306" s="12" t="n"/>
      <c r="BL306" s="12" t="n"/>
      <c r="BM306" s="12" t="n"/>
      <c r="BN306" s="12" t="n"/>
      <c r="BO306" s="12" t="n"/>
      <c r="BP306" s="12" t="n"/>
      <c r="BQ306" s="12" t="n"/>
      <c r="BR306" s="12" t="n"/>
      <c r="BS306" s="12" t="n"/>
      <c r="BT306" s="12" t="n"/>
      <c r="BU306" s="12" t="n"/>
      <c r="BV306" s="12" t="n"/>
      <c r="BW306" s="12" t="n"/>
      <c r="BX306" s="12" t="n"/>
      <c r="BY306" s="12" t="n"/>
      <c r="BZ306" s="12" t="n"/>
      <c r="CA306" s="12" t="n"/>
      <c r="CB306" s="12" t="n"/>
      <c r="CC306" s="12" t="n"/>
      <c r="CD306" s="12" t="n"/>
      <c r="CE306" s="12" t="n"/>
      <c r="CF306" s="12" t="n"/>
      <c r="CG306" s="12" t="n"/>
      <c r="CH306" s="12" t="n"/>
      <c r="CI306" s="12" t="n"/>
      <c r="CJ306" s="12" t="n"/>
      <c r="CK306" s="12" t="n"/>
      <c r="CL306" s="12" t="n"/>
      <c r="CM306" s="12" t="n"/>
      <c r="CN306" s="12" t="n"/>
      <c r="CO306" s="12" t="n"/>
      <c r="CP306" s="12" t="n"/>
      <c r="CQ306" s="12" t="n"/>
      <c r="CR306" s="12" t="n"/>
      <c r="CS306" s="12" t="n"/>
      <c r="CT306" s="12" t="n"/>
      <c r="CU306" s="12" t="n"/>
      <c r="CV306" s="12" t="n"/>
      <c r="CW306" s="12" t="n"/>
      <c r="CX306" s="12" t="n"/>
      <c r="CY306" s="12" t="n"/>
    </row>
    <row r="307">
      <c r="C307" s="10" t="inlineStr">
        <is>
          <t>Common and preferred dividends</t>
        </is>
      </c>
      <c r="D307" s="12" t="n"/>
      <c r="E307" s="12" t="n"/>
      <c r="F307" s="12" t="n"/>
      <c r="G307" s="12" t="n"/>
      <c r="H307" s="12" t="n"/>
      <c r="I307" s="12" t="n"/>
      <c r="J307" s="12">
        <f>(J270-I270)-J277</f>
        <v>-100.068206563</v>
      </c>
      <c r="K307" s="12">
        <f>(K270-J270)-K277</f>
        <v>-0.0631116990000677</v>
      </c>
      <c r="L307" s="12">
        <f>(L270-K270)-L277</f>
        <v>26.358184512</v>
      </c>
      <c r="M307" s="12" t="n"/>
      <c r="N307" s="12">
        <f>(N270-M270)-N277</f>
        <v>0.543000000000006</v>
      </c>
      <c r="O307" s="12">
        <f>(O270-N270)-O277</f>
        <v>18.836</v>
      </c>
      <c r="P307" s="12">
        <f>(P270-O270)-P277</f>
        <v>-69.282</v>
      </c>
      <c r="Q307" s="12">
        <f>(Q270-P270)-Q277</f>
        <v>-145.847</v>
      </c>
      <c r="R307" s="12">
        <f>SUM(N307:Q307)</f>
        <v>-195.75</v>
      </c>
      <c r="S307" s="12">
        <f>(S270-R270)-S277</f>
        <v>-0.00199999999998113</v>
      </c>
      <c r="T307" s="12">
        <f>(T270-S270)-T277</f>
        <v>0.00199999999998113</v>
      </c>
      <c r="U307" s="12">
        <f>(U270-T270)-U277</f>
        <v>-0.0159458000000967</v>
      </c>
      <c r="V307" s="12">
        <f>(V270-U270)-V277</f>
        <v>-81.162</v>
      </c>
      <c r="W307" s="12">
        <f>SUM(S307:V307)</f>
        <v>-81.1779458000001</v>
      </c>
      <c r="X307" s="12">
        <f>(X270-W270)-X277</f>
        <v>1.10629682000004</v>
      </c>
      <c r="Y307" s="12">
        <f>(Y270-X270)-Y277</f>
        <v>0.00799999999998136</v>
      </c>
      <c r="Z307" s="12">
        <f>(Z270-Y270)-Z277</f>
        <v>-356.90498368</v>
      </c>
      <c r="AA307" s="12">
        <f>(AA270-Z270)-AA277</f>
        <v>-219.687</v>
      </c>
      <c r="AB307" s="12">
        <f>SUM(X307:AA307)</f>
        <v>-575.47768686</v>
      </c>
      <c r="AC307" s="12">
        <f>(AC270-AB270)-AC277</f>
        <v>-2.71399999999991</v>
      </c>
      <c r="AD307" s="12">
        <f>(AD270-AC270)-AD277</f>
        <v>-346.664</v>
      </c>
      <c r="AE307" s="12">
        <f>(AE270-AD270)-AE277</f>
        <v>0.327999999999946</v>
      </c>
      <c r="AF307" s="12">
        <f>(AF270-AE270)-AF277</f>
        <v>-804.363</v>
      </c>
      <c r="AG307" s="12">
        <f>SUM(AC307:AF307)</f>
        <v>-1153.413</v>
      </c>
      <c r="AH307" s="12">
        <f>(AH270-AG270)-AH277</f>
        <v>-12.6010000000001</v>
      </c>
      <c r="AI307" s="12">
        <f>(AI270-AH270)-AI277</f>
        <v>-1.08507029000012</v>
      </c>
      <c r="AJ307" s="12">
        <f>(AJ270-AI270)-AJ277</f>
        <v>0</v>
      </c>
      <c r="AK307" s="12">
        <f>(AK270-AJ270)-AK277</f>
        <v>0</v>
      </c>
      <c r="AL307" s="12">
        <f>SUM(AH307:AK307)</f>
        <v>-13.6860702900002</v>
      </c>
      <c r="AM307" s="12">
        <f>(AM270-AL270)-AM277</f>
        <v>0</v>
      </c>
      <c r="AN307" s="12">
        <f>(AN270-AM270)-AN277</f>
        <v>0</v>
      </c>
      <c r="AO307" s="12">
        <f>(AO270-AN270)-AO277</f>
        <v>0</v>
      </c>
      <c r="AP307" s="12">
        <f>(AP270-AO270)-AP277</f>
        <v>0</v>
      </c>
      <c r="AQ307" s="12">
        <f>SUM(AM307:AP307)</f>
        <v>0</v>
      </c>
      <c r="AR307" s="12">
        <f>(AR270-AQ270)-AR277</f>
        <v>0</v>
      </c>
      <c r="AS307" s="12">
        <f>(AS270-AR270)-AS277</f>
        <v>0</v>
      </c>
      <c r="AT307" s="12">
        <f>(AT270-AS270)-AT277</f>
        <v>0</v>
      </c>
      <c r="AU307" s="12">
        <f>(AU270-AT270)-AU277</f>
        <v>0</v>
      </c>
      <c r="AV307" s="12">
        <f>SUM(AR307:AU307)</f>
        <v>0</v>
      </c>
      <c r="AW307" s="12">
        <f>(AW270-AV270)-AW277</f>
        <v>0</v>
      </c>
      <c r="AX307" s="12">
        <f>(AX270-AW270)-AX277</f>
        <v>0</v>
      </c>
      <c r="AY307" s="12">
        <f>(AY270-AX270)-AY277</f>
        <v>0</v>
      </c>
      <c r="AZ307" s="12">
        <f>(AZ270-AY270)-AZ277</f>
        <v>0</v>
      </c>
      <c r="BA307" s="12">
        <f>SUM(AW307:AZ307)</f>
        <v>0</v>
      </c>
      <c r="BB307" s="12">
        <f>(BB270-BA270)-BB277</f>
        <v>0</v>
      </c>
      <c r="BC307" s="12">
        <f>(BC270-BB270)-BC277</f>
        <v>0</v>
      </c>
      <c r="BD307" s="12">
        <f>(BD270-BC270)-BD277</f>
        <v>0</v>
      </c>
      <c r="BE307" s="12">
        <f>(BE270-BD270)-BE277</f>
        <v>0</v>
      </c>
      <c r="BF307" s="12">
        <f>SUM(BB307:BE307)</f>
        <v>0</v>
      </c>
      <c r="BG307" s="12" t="n"/>
      <c r="BH307" s="12" t="n"/>
      <c r="BI307" s="12" t="n"/>
      <c r="BJ307" s="12" t="n"/>
      <c r="BK307" s="12" t="n"/>
      <c r="BL307" s="12" t="n"/>
      <c r="BM307" s="12" t="n"/>
      <c r="BN307" s="12" t="n"/>
      <c r="BO307" s="12" t="n"/>
      <c r="BP307" s="12" t="n"/>
      <c r="BQ307" s="12" t="n"/>
      <c r="BR307" s="12" t="n"/>
      <c r="BS307" s="12" t="n"/>
      <c r="BT307" s="12" t="n"/>
      <c r="BU307" s="12" t="n"/>
      <c r="BV307" s="12" t="n"/>
      <c r="BW307" s="12" t="n"/>
      <c r="BX307" s="12" t="n"/>
      <c r="BY307" s="12" t="n"/>
      <c r="BZ307" s="12" t="n"/>
      <c r="CA307" s="12" t="n"/>
      <c r="CB307" s="12" t="n"/>
      <c r="CC307" s="12" t="n"/>
      <c r="CD307" s="12" t="n"/>
      <c r="CE307" s="12" t="n"/>
      <c r="CF307" s="12" t="n"/>
      <c r="CG307" s="12" t="n"/>
      <c r="CH307" s="12" t="n"/>
      <c r="CI307" s="12" t="n"/>
      <c r="CJ307" s="12" t="n"/>
      <c r="CK307" s="12" t="n"/>
      <c r="CL307" s="12" t="n"/>
      <c r="CM307" s="12" t="n"/>
      <c r="CN307" s="12" t="n"/>
      <c r="CO307" s="12" t="n"/>
      <c r="CP307" s="12" t="n"/>
      <c r="CQ307" s="12" t="n"/>
      <c r="CR307" s="12" t="n"/>
      <c r="CS307" s="12" t="n"/>
      <c r="CT307" s="12" t="n"/>
      <c r="CU307" s="12" t="n"/>
      <c r="CV307" s="12" t="n"/>
      <c r="CW307" s="12" t="n"/>
      <c r="CX307" s="12" t="n"/>
      <c r="CY307" s="12" t="n"/>
    </row>
    <row r="308">
      <c r="C308" s="14" t="inlineStr">
        <is>
          <t>Dividends to minority interests</t>
        </is>
      </c>
      <c r="D308" s="12" t="n"/>
      <c r="E308" s="12" t="n"/>
      <c r="F308" s="12" t="n"/>
      <c r="G308" s="12" t="n"/>
      <c r="H308" s="12" t="n"/>
      <c r="I308" s="12" t="n"/>
      <c r="J308" s="12">
        <f>(J248-I248)+J136</f>
        <v>0.532158844999998</v>
      </c>
      <c r="K308" s="12">
        <f>(K248-J248)+K136</f>
        <v>1.44357013700002</v>
      </c>
      <c r="L308" s="12">
        <f>(L248-K248)+L136</f>
        <v>3.20468242599998</v>
      </c>
      <c r="M308" s="12" t="n"/>
      <c r="N308" s="12">
        <f>(N248-M248)+N136</f>
        <v>-14.463</v>
      </c>
      <c r="O308" s="12">
        <f>(O248-N248)+O136</f>
        <v>-7.11799999999998</v>
      </c>
      <c r="P308" s="12">
        <f>(P248-O248)+P136</f>
        <v>-19.673</v>
      </c>
      <c r="Q308" s="12">
        <f>(Q248-P248)+Q136</f>
        <v>-23.604</v>
      </c>
      <c r="R308" s="12">
        <f>SUM(N308:Q308)</f>
        <v>-64.858</v>
      </c>
      <c r="S308" s="12">
        <f>(S248-R248)+S136</f>
        <v>-12.524</v>
      </c>
      <c r="T308" s="12">
        <f>(T248-S248)+T136</f>
        <v>-16.455</v>
      </c>
      <c r="U308" s="12">
        <f>(U248-T248)+U136</f>
        <v>-12.646</v>
      </c>
      <c r="V308" s="12">
        <f>(V248-U248)+V136</f>
        <v>-16.223</v>
      </c>
      <c r="W308" s="12">
        <f>SUM(S308:V308)</f>
        <v>-57.848</v>
      </c>
      <c r="X308" s="12">
        <f>(X248-W248)+X136</f>
        <v>-9.67716342</v>
      </c>
      <c r="Y308" s="12">
        <f>(Y248-X248)+Y136</f>
        <v>-3.88500000000002</v>
      </c>
      <c r="Z308" s="12">
        <f>(Z248-Y248)+Z136</f>
        <v>-23.372</v>
      </c>
      <c r="AA308" s="12">
        <f>(AA248-Z248)+AA136</f>
        <v>-1.24299999999999</v>
      </c>
      <c r="AB308" s="12">
        <f>SUM(X308:AA308)</f>
        <v>-38.17716342</v>
      </c>
      <c r="AC308" s="12">
        <f>(AC248-AB248)+AC136</f>
        <v>-46.911</v>
      </c>
      <c r="AD308" s="12">
        <f>(AD248-AC248)+AD136</f>
        <v>41.802</v>
      </c>
      <c r="AE308" s="12">
        <f>(AE248-AD248)+AE136</f>
        <v>-45.855</v>
      </c>
      <c r="AF308" s="12">
        <f>(AF248-AE248)+AF136</f>
        <v>55.85</v>
      </c>
      <c r="AG308" s="12">
        <f>SUM(AC308:AF308)</f>
        <v>4.88599999999995</v>
      </c>
      <c r="AH308" s="12">
        <f>(AH248-AG248)+AH136</f>
        <v>-37.314</v>
      </c>
      <c r="AI308" s="12">
        <f>(AI248-AH248)+AI136</f>
        <v>-64.091</v>
      </c>
      <c r="AJ308" s="12">
        <f>(AJ248-AI248)+AJ136</f>
        <v>0</v>
      </c>
      <c r="AK308" s="12">
        <f>(AK248-AJ248)+AK136</f>
        <v>0</v>
      </c>
      <c r="AL308" s="12">
        <f>SUM(AH308:AK308)</f>
        <v>-101.405</v>
      </c>
      <c r="AM308" s="12">
        <f>(AM248-AL248)+AM136</f>
        <v>0</v>
      </c>
      <c r="AN308" s="12">
        <f>(AN248-AM248)+AN136</f>
        <v>0</v>
      </c>
      <c r="AO308" s="12">
        <f>(AO248-AN248)+AO136</f>
        <v>0</v>
      </c>
      <c r="AP308" s="12">
        <f>(AP248-AO248)+AP136</f>
        <v>0</v>
      </c>
      <c r="AQ308" s="12">
        <f>SUM(AM308:AP308)</f>
        <v>0</v>
      </c>
      <c r="AR308" s="12">
        <f>(AR248-AQ248)+AR136</f>
        <v>0</v>
      </c>
      <c r="AS308" s="12">
        <f>(AS248-AR248)+AS136</f>
        <v>0</v>
      </c>
      <c r="AT308" s="12">
        <f>(AT248-AS248)+AT136</f>
        <v>0</v>
      </c>
      <c r="AU308" s="12">
        <f>(AU248-AT248)+AU136</f>
        <v>0</v>
      </c>
      <c r="AV308" s="12">
        <f>SUM(AR308:AU308)</f>
        <v>0</v>
      </c>
      <c r="AW308" s="12">
        <f>(AW248-AV248)+AW136</f>
        <v>0</v>
      </c>
      <c r="AX308" s="12">
        <f>(AX248-AW248)+AX136</f>
        <v>0</v>
      </c>
      <c r="AY308" s="12">
        <f>(AY248-AX248)+AY136</f>
        <v>0</v>
      </c>
      <c r="AZ308" s="12">
        <f>(AZ248-AY248)+AZ136</f>
        <v>0</v>
      </c>
      <c r="BA308" s="12">
        <f>SUM(AW308:AZ308)</f>
        <v>0</v>
      </c>
      <c r="BB308" s="12">
        <f>(BB248-BA248)+BB136</f>
        <v>0</v>
      </c>
      <c r="BC308" s="12">
        <f>(BC248-BB248)+BC136</f>
        <v>0</v>
      </c>
      <c r="BD308" s="12">
        <f>(BD248-BC248)+BD136</f>
        <v>0</v>
      </c>
      <c r="BE308" s="12">
        <f>(BE248-BD248)+BE136</f>
        <v>0</v>
      </c>
      <c r="BF308" s="12">
        <f>SUM(BB308:BE308)</f>
        <v>0</v>
      </c>
      <c r="BG308" s="12" t="n"/>
      <c r="BH308" s="12" t="n"/>
      <c r="BI308" s="12" t="n"/>
      <c r="BJ308" s="12" t="n"/>
      <c r="BK308" s="12" t="n"/>
      <c r="BL308" s="12" t="n"/>
      <c r="BM308" s="12" t="n"/>
      <c r="BN308" s="12" t="n"/>
      <c r="BO308" s="12" t="n"/>
      <c r="BP308" s="12" t="n"/>
      <c r="BQ308" s="12" t="n"/>
      <c r="BR308" s="12" t="n"/>
      <c r="BS308" s="12" t="n"/>
      <c r="BT308" s="12" t="n"/>
      <c r="BU308" s="12" t="n"/>
      <c r="BV308" s="12" t="n"/>
      <c r="BW308" s="12" t="n"/>
      <c r="BX308" s="12" t="n"/>
      <c r="BY308" s="12" t="n"/>
      <c r="BZ308" s="12" t="n"/>
      <c r="CA308" s="12" t="n"/>
      <c r="CB308" s="12" t="n"/>
      <c r="CC308" s="12" t="n"/>
      <c r="CD308" s="12" t="n"/>
      <c r="CE308" s="12" t="n"/>
      <c r="CF308" s="12" t="n"/>
      <c r="CG308" s="12" t="n"/>
      <c r="CH308" s="12" t="n"/>
      <c r="CI308" s="12" t="n"/>
      <c r="CJ308" s="12" t="n"/>
      <c r="CK308" s="12" t="n"/>
      <c r="CL308" s="12" t="n"/>
      <c r="CM308" s="12" t="n"/>
      <c r="CN308" s="12" t="n"/>
      <c r="CO308" s="12" t="n"/>
      <c r="CP308" s="12" t="n"/>
      <c r="CQ308" s="12" t="n"/>
      <c r="CR308" s="12" t="n"/>
      <c r="CS308" s="12" t="n"/>
      <c r="CT308" s="12" t="n"/>
      <c r="CU308" s="12" t="n"/>
      <c r="CV308" s="12" t="n"/>
      <c r="CW308" s="12" t="n"/>
      <c r="CX308" s="12" t="n"/>
      <c r="CY308" s="12" t="n"/>
    </row>
    <row r="309">
      <c r="C309" s="15" t="inlineStr">
        <is>
          <t>Increases / (decreases) in debt</t>
        </is>
      </c>
      <c r="D309" s="12" t="n"/>
      <c r="E309" s="12" t="n"/>
      <c r="F309" s="12" t="n"/>
      <c r="G309" s="12" t="n"/>
      <c r="H309" s="12" t="n"/>
      <c r="I309" s="12" t="n"/>
      <c r="J309" s="12">
        <f>SUM(J212:J214,J217,J238,J235)-SUM(I212:I214,I217,I238,I235)</f>
        <v>113.407</v>
      </c>
      <c r="K309" s="12">
        <f>SUM(K212:K214,K217,K238,K235)-SUM(J212:J214,J217,J238,J235)</f>
        <v>8.86799999999994</v>
      </c>
      <c r="L309" s="12">
        <f>SUM(L212:L214,L217,L238,L235)-SUM(K212:K214,K217,K238,K235)</f>
        <v>39.4069999999999</v>
      </c>
      <c r="M309" s="12" t="n"/>
      <c r="N309" s="12">
        <f>SUM(N212:N214,N217,N238,N235)-SUM(M212:M214,M217,M238,M235)</f>
        <v>48.2050000000002</v>
      </c>
      <c r="O309" s="12">
        <f>SUM(O212:O214,O217,O238,O235)-SUM(N212:N214,N217,N238,N235)</f>
        <v>-118.148</v>
      </c>
      <c r="P309" s="12">
        <f>SUM(P212:P214,P217,P238,P235)-SUM(O212:O214,O217,O238,O235)</f>
        <v>301.481</v>
      </c>
      <c r="Q309" s="12">
        <f>SUM(Q212:Q214,Q217,Q238,Q235)-SUM(P212:P214,P217,P238,P235)</f>
        <v>-87.1859999999999</v>
      </c>
      <c r="R309" s="12">
        <f>SUM(N309:Q309)</f>
        <v>144.352</v>
      </c>
      <c r="S309" s="12">
        <f>SUM(S212:S214,S217,S238,S235)-SUM(R212:R214,R217,R238,R235)</f>
        <v>-8.13700000000017</v>
      </c>
      <c r="T309" s="12">
        <f>SUM(T212:T214,T217,T238,T235)-SUM(S212:S214,S217,S238,S235)</f>
        <v>59.0840000000003</v>
      </c>
      <c r="U309" s="12">
        <f>SUM(U212:U214,U217,U238,U235)-SUM(T212:T214,T217,T238,T235)</f>
        <v>-155.055</v>
      </c>
      <c r="V309" s="12">
        <f>SUM(V212:V214,V217,V238,V235)-SUM(U212:U214,U217,U238,U235)</f>
        <v>27.2850000000001</v>
      </c>
      <c r="W309" s="12">
        <f>SUM(S309:V309)</f>
        <v>-76.8229999999999</v>
      </c>
      <c r="X309" s="12">
        <f>SUM(X212:X214,X217,X238,X235)-SUM(W212:W214,W217,W238,W235)</f>
        <v>58.2379999999998</v>
      </c>
      <c r="Y309" s="12">
        <f>SUM(Y212:Y214,Y217,Y238,Y235)-SUM(X212:X214,X217,X238,X235)</f>
        <v>20.4690000000001</v>
      </c>
      <c r="Z309" s="12">
        <f>SUM(Z212:Z214,Z217,Z238,Z235)-SUM(Y212:Y214,Y217,Y238,Y235)</f>
        <v>342.31338487</v>
      </c>
      <c r="AA309" s="12">
        <f>SUM(AA212:AA214,AA217,AA238,AA235)-SUM(Z212:Z214,Z217,Z238,Z235)</f>
        <v>-131.82338487</v>
      </c>
      <c r="AB309" s="12">
        <f>SUM(X309:AA309)</f>
        <v>289.197</v>
      </c>
      <c r="AC309" s="12">
        <f>SUM(AC212:AC214,AC217,AC238,AC235)-SUM(AB212:AB214,AB217,AB238,AB235)</f>
        <v>346.69</v>
      </c>
      <c r="AD309" s="12">
        <f>SUM(AD212:AD214,AD217,AD238,AD235)-SUM(AC212:AC214,AC217,AC238,AC235)</f>
        <v>135.568</v>
      </c>
      <c r="AE309" s="12">
        <f>SUM(AE212:AE214,AE217,AE238,AE235)-SUM(AD212:AD214,AD217,AD238,AD235)</f>
        <v>551.472</v>
      </c>
      <c r="AF309" s="12">
        <f>SUM(AF212:AF214,AF217,AF238,AF235)-SUM(AE212:AE214,AE217,AE238,AE235)</f>
        <v>180.248</v>
      </c>
      <c r="AG309" s="12">
        <f>SUM(AC309:AF309)</f>
        <v>1213.978</v>
      </c>
      <c r="AH309" s="12">
        <f>SUM(AH212:AH214,AH217,AH238,AH235)-SUM(AG212:AG214,AG217,AG238,AG235)</f>
        <v>316.033</v>
      </c>
      <c r="AI309" s="12">
        <f>SUM(AI212:AI214,AI217,AI238,AI235)-SUM(AH212:AH214,AH217,AH238,AH235)</f>
        <v>-121.945999999999</v>
      </c>
      <c r="AJ309" s="12">
        <f>SUM(AJ212:AJ214,AJ217,AJ238,AJ235)-SUM(AI212:AI214,AI217,AI238,AI235)</f>
        <v>0</v>
      </c>
      <c r="AK309" s="12">
        <f>SUM(AK212:AK214,AK217,AK238,AK235)-SUM(AJ212:AJ214,AJ217,AJ238,AJ235)</f>
        <v>0</v>
      </c>
      <c r="AL309" s="12">
        <f>SUM(AH309:AK309)</f>
        <v>194.087</v>
      </c>
      <c r="AM309" s="12">
        <f>SUM(AM212:AM214,AM217,AM238,AM235)-SUM(AL212:AL214,AL217,AL238,AL235)</f>
        <v>0</v>
      </c>
      <c r="AN309" s="12">
        <f>SUM(AN212:AN214,AN217,AN238,AN235)-SUM(AM212:AM214,AM217,AM238,AM235)</f>
        <v>0</v>
      </c>
      <c r="AO309" s="12">
        <f>SUM(AO212:AO214,AO217,AO238,AO235)-SUM(AN212:AN214,AN217,AN238,AN235)</f>
        <v>0</v>
      </c>
      <c r="AP309" s="12">
        <f>SUM(AP212:AP214,AP217,AP238,AP235)-SUM(AO212:AO214,AO217,AO238,AO235)</f>
        <v>0</v>
      </c>
      <c r="AQ309" s="12">
        <f>SUM(AM309:AP309)</f>
        <v>0</v>
      </c>
      <c r="AR309" s="12">
        <f>SUM(AR212:AR214,AR217,AR238,AR235)-SUM(AQ212:AQ214,AQ217,AQ238,AQ235)</f>
        <v>0</v>
      </c>
      <c r="AS309" s="12">
        <f>SUM(AS212:AS214,AS217,AS238,AS235)-SUM(AR212:AR214,AR217,AR238,AR235)</f>
        <v>0</v>
      </c>
      <c r="AT309" s="12">
        <f>SUM(AT212:AT214,AT217,AT238,AT235)-SUM(AS212:AS214,AS217,AS238,AS235)</f>
        <v>0</v>
      </c>
      <c r="AU309" s="12">
        <f>SUM(AU212:AU214,AU217,AU238,AU235)-SUM(AT212:AT214,AT217,AT238,AT235)</f>
        <v>0</v>
      </c>
      <c r="AV309" s="12">
        <f>SUM(AR309:AU309)</f>
        <v>0</v>
      </c>
      <c r="AW309" s="12">
        <f>SUM(AW212:AW214,AW217,AW238,AW235)-SUM(AV212:AV214,AV217,AV238,AV235)</f>
        <v>0</v>
      </c>
      <c r="AX309" s="12">
        <f>SUM(AX212:AX214,AX217,AX238,AX235)-SUM(AW212:AW214,AW217,AW238,AW235)</f>
        <v>0</v>
      </c>
      <c r="AY309" s="12">
        <f>SUM(AY212:AY214,AY217,AY238,AY235)-SUM(AX212:AX214,AX217,AX238,AX235)</f>
        <v>0</v>
      </c>
      <c r="AZ309" s="12">
        <f>SUM(AZ212:AZ214,AZ217,AZ238,AZ235)-SUM(AY212:AY214,AY217,AY238,AY235)</f>
        <v>0</v>
      </c>
      <c r="BA309" s="12">
        <f>SUM(AW309:AZ309)</f>
        <v>0</v>
      </c>
      <c r="BB309" s="12">
        <f>SUM(BB212:BB214,BB217,BB238,BB235)-SUM(BA212:BA214,BA217,BA238,BA235)</f>
        <v>0</v>
      </c>
      <c r="BC309" s="12">
        <f>SUM(BC212:BC214,BC217,BC238,BC235)-SUM(BB212:BB214,BB217,BB238,BB235)</f>
        <v>0</v>
      </c>
      <c r="BD309" s="12">
        <f>SUM(BD212:BD214,BD217,BD238,BD235)-SUM(BC212:BC214,BC217,BC238,BC235)</f>
        <v>0</v>
      </c>
      <c r="BE309" s="12">
        <f>SUM(BE212:BE214,BE217,BE238,BE235)-SUM(BD212:BD214,BD217,BD238,BD235)</f>
        <v>0</v>
      </c>
      <c r="BF309" s="12">
        <f>SUM(BB309:BE309)</f>
        <v>0</v>
      </c>
      <c r="BG309" s="12" t="n"/>
      <c r="BH309" s="12" t="n"/>
      <c r="BI309" s="12" t="n"/>
      <c r="BJ309" s="12" t="n"/>
      <c r="BK309" s="12" t="n"/>
      <c r="BL309" s="12" t="n"/>
      <c r="BM309" s="12" t="n"/>
      <c r="BN309" s="12" t="n"/>
      <c r="BO309" s="12" t="n"/>
      <c r="BP309" s="12" t="n"/>
      <c r="BQ309" s="12" t="n"/>
      <c r="BR309" s="12" t="n"/>
      <c r="BS309" s="12" t="n"/>
      <c r="BT309" s="12" t="n"/>
      <c r="BU309" s="12" t="n"/>
      <c r="BV309" s="12" t="n"/>
      <c r="BW309" s="12" t="n"/>
      <c r="BX309" s="12" t="n"/>
      <c r="BY309" s="12" t="n"/>
      <c r="BZ309" s="12" t="n"/>
      <c r="CA309" s="12" t="n"/>
      <c r="CB309" s="12" t="n"/>
      <c r="CC309" s="12" t="n"/>
      <c r="CD309" s="12" t="n"/>
      <c r="CE309" s="12" t="n"/>
      <c r="CF309" s="12" t="n"/>
      <c r="CG309" s="12" t="n"/>
      <c r="CH309" s="12" t="n"/>
      <c r="CI309" s="12" t="n"/>
      <c r="CJ309" s="12" t="n"/>
      <c r="CK309" s="12" t="n"/>
      <c r="CL309" s="12" t="n"/>
      <c r="CM309" s="12" t="n"/>
      <c r="CN309" s="12" t="n"/>
      <c r="CO309" s="12" t="n"/>
      <c r="CP309" s="12" t="n"/>
      <c r="CQ309" s="12" t="n"/>
      <c r="CR309" s="12" t="n"/>
      <c r="CS309" s="12" t="n"/>
      <c r="CT309" s="12" t="n"/>
      <c r="CU309" s="12" t="n"/>
      <c r="CV309" s="12" t="n"/>
      <c r="CW309" s="12" t="n"/>
      <c r="CX309" s="12" t="n"/>
      <c r="CY309" s="12" t="n"/>
      <c r="CZ309" s="12" t="n"/>
      <c r="DA309" s="12" t="n"/>
      <c r="DB309" s="12" t="n"/>
      <c r="DC309" s="12" t="n"/>
    </row>
    <row r="310">
      <c r="C310" s="14" t="inlineStr">
        <is>
          <t>Cash from financing</t>
        </is>
      </c>
      <c r="D310" s="12" t="n"/>
      <c r="E310" s="12" t="n"/>
      <c r="F310" s="12" t="n"/>
      <c r="G310" s="12" t="n"/>
      <c r="H310" s="12" t="n"/>
      <c r="I310" s="12" t="n"/>
      <c r="J310" s="12">
        <f>SUM(J302,J303,J304,J305,J306,J307,J308,J309)</f>
        <v>9.31095228200017</v>
      </c>
      <c r="K310" s="12">
        <f>SUM(K302,K303,K304,K305,K306,K307,K308,K309)</f>
        <v>8.62845843799995</v>
      </c>
      <c r="L310" s="12">
        <f>SUM(L302,L303,L304,L305,L306,L307,L308,L309)</f>
        <v>95.7518669379999</v>
      </c>
      <c r="M310" s="12" t="n"/>
      <c r="N310" s="12">
        <f>SUM(N302,N303,N304,N305,N306,N307,N308,N309)</f>
        <v>35.3710000000002</v>
      </c>
      <c r="O310" s="12">
        <f>SUM(O302,O303,O304,O305,O306,O307,O308,O309)</f>
        <v>-111.753</v>
      </c>
      <c r="P310" s="12">
        <f>SUM(P302,P303,P304,P305,P306,P307,P308,P309)</f>
        <v>213.495</v>
      </c>
      <c r="Q310" s="12">
        <f>SUM(Q302,Q303,Q304,Q305,Q306,Q307,Q308,Q309)</f>
        <v>-257.537</v>
      </c>
      <c r="R310" s="12">
        <f>SUM(R302,R303,R304,R305,R306,R307,R308,R309)</f>
        <v>-120.424</v>
      </c>
      <c r="S310" s="12">
        <f>SUM(S302,S303,S304,S305,S306,S307,S308,S309)</f>
        <v>-19.1060000000001</v>
      </c>
      <c r="T310" s="12">
        <f>SUM(T302,T303,T304,T305,T306,T307,T308,T309)</f>
        <v>43.9310000000003</v>
      </c>
      <c r="U310" s="12">
        <f>SUM(U302,U303,U304,U305,U306,U307,U308,U309)</f>
        <v>241.9700542</v>
      </c>
      <c r="V310" s="12">
        <f>SUM(V302,V303,V304,V305,V306,V307,V308,V309)</f>
        <v>-69.6049999999998</v>
      </c>
      <c r="W310" s="12">
        <f>SUM(W302,W303,W304,W305,W306,W307,W308,W309)</f>
        <v>197.1900542</v>
      </c>
      <c r="X310" s="12">
        <f>SUM(X302,X303,X304,X305,X306,X307,X308,X309)</f>
        <v>49.8831333999999</v>
      </c>
      <c r="Y310" s="12">
        <f>SUM(Y302,Y303,Y304,Y305,Y306,Y307,Y308,Y309)</f>
        <v>17.8939999999999</v>
      </c>
      <c r="Z310" s="12">
        <f>SUM(Z302,Z303,Z304,Z305,Z306,Z307,Z308,Z309)</f>
        <v>-35.4855988099998</v>
      </c>
      <c r="AA310" s="12">
        <f>SUM(AA302,AA303,AA304,AA305,AA306,AA307,AA308,AA309)</f>
        <v>-357.59838487</v>
      </c>
      <c r="AB310" s="12">
        <f>SUM(AB302,AB303,AB304,AB305,AB306,AB307,AB308,AB309)</f>
        <v>-325.30685028</v>
      </c>
      <c r="AC310" s="12">
        <f>SUM(AC302,AC303,AC304,AC305,AC306,AC307,AC308,AC309)</f>
        <v>298.197</v>
      </c>
      <c r="AD310" s="12">
        <f>SUM(AD302,AD303,AD304,AD305,AD306,AD307,AD308,AD309)</f>
        <v>18.8649999999999</v>
      </c>
      <c r="AE310" s="12">
        <f>SUM(AE302,AE303,AE304,AE305,AE306,AE307,AE308,AE309)</f>
        <v>518.03</v>
      </c>
      <c r="AF310" s="12">
        <f>SUM(AF302,AF303,AF304,AF305,AF306,AF307,AF308,AF309)</f>
        <v>-504.405</v>
      </c>
      <c r="AG310" s="12">
        <f>SUM(AG302,AG303,AG304,AG305,AG306,AG307,AG308,AG309)</f>
        <v>330.687</v>
      </c>
      <c r="AH310" s="12">
        <f>SUM(AH302,AH303,AH304,AH305,AH306,AH307,AH308,AH309)</f>
        <v>278.486</v>
      </c>
      <c r="AI310" s="12">
        <f>SUM(AI302,AI303,AI304,AI305,AI306,AI307,AI308,AI309)</f>
        <v>-190.36907029</v>
      </c>
      <c r="AJ310" s="12">
        <f>SUM(AJ302,AJ303,AJ304,AJ305,AJ306,AJ307,AJ308,AJ309)</f>
        <v>0</v>
      </c>
      <c r="AK310" s="12">
        <f>SUM(AK302,AK303,AK304,AK305,AK306,AK307,AK308,AK309)</f>
        <v>0</v>
      </c>
      <c r="AL310" s="12">
        <f>SUM(AL302,AL303,AL304,AL305,AL306,AL307,AL308,AL309)</f>
        <v>88.1169297100002</v>
      </c>
      <c r="AM310" s="12">
        <f>SUM(AM302,AM303,AM304,AM305,AM306,AM307,AM308,AM309)</f>
        <v>0</v>
      </c>
      <c r="AN310" s="12">
        <f>SUM(AN302,AN303,AN304,AN305,AN306,AN307,AN308,AN309)</f>
        <v>0</v>
      </c>
      <c r="AO310" s="12">
        <f>SUM(AO302,AO303,AO304,AO305,AO306,AO307,AO308,AO309)</f>
        <v>0</v>
      </c>
      <c r="AP310" s="12">
        <f>SUM(AP302,AP303,AP304,AP305,AP306,AP307,AP308,AP309)</f>
        <v>0</v>
      </c>
      <c r="AQ310" s="12">
        <f>SUM(AQ302,AQ303,AQ304,AQ305,AQ306,AQ307,AQ308,AQ309)</f>
        <v>0</v>
      </c>
      <c r="AR310" s="12">
        <f>SUM(AR302,AR303,AR304,AR305,AR306,AR307,AR308,AR309)</f>
        <v>0</v>
      </c>
      <c r="AS310" s="12">
        <f>SUM(AS302,AS303,AS304,AS305,AS306,AS307,AS308,AS309)</f>
        <v>0</v>
      </c>
      <c r="AT310" s="12">
        <f>SUM(AT302,AT303,AT304,AT305,AT306,AT307,AT308,AT309)</f>
        <v>0</v>
      </c>
      <c r="AU310" s="12">
        <f>SUM(AU302,AU303,AU304,AU305,AU306,AU307,AU308,AU309)</f>
        <v>0</v>
      </c>
      <c r="AV310" s="12">
        <f>SUM(AV302,AV303,AV304,AV305,AV306,AV307,AV308,AV309)</f>
        <v>0</v>
      </c>
      <c r="AW310" s="12">
        <f>SUM(AW302,AW303,AW304,AW305,AW306,AW307,AW308,AW309)</f>
        <v>0</v>
      </c>
      <c r="AX310" s="12">
        <f>SUM(AX302,AX303,AX304,AX305,AX306,AX307,AX308,AX309)</f>
        <v>0</v>
      </c>
      <c r="AY310" s="12">
        <f>SUM(AY302,AY303,AY304,AY305,AY306,AY307,AY308,AY309)</f>
        <v>0</v>
      </c>
      <c r="AZ310" s="12">
        <f>SUM(AZ302,AZ303,AZ304,AZ305,AZ306,AZ307,AZ308,AZ309)</f>
        <v>0</v>
      </c>
      <c r="BA310" s="12">
        <f>SUM(BA302,BA303,BA304,BA305,BA306,BA307,BA308,BA309)</f>
        <v>0</v>
      </c>
      <c r="BB310" s="12">
        <f>SUM(BB302,BB303,BB304,BB305,BB306,BB307,BB308,BB309)</f>
        <v>0</v>
      </c>
      <c r="BC310" s="12">
        <f>SUM(BC302,BC303,BC304,BC305,BC306,BC307,BC308,BC309)</f>
        <v>0</v>
      </c>
      <c r="BD310" s="12">
        <f>SUM(BD302,BD303,BD304,BD305,BD306,BD307,BD308,BD309)</f>
        <v>0</v>
      </c>
      <c r="BE310" s="12">
        <f>SUM(BE302,BE303,BE304,BE305,BE306,BE307,BE308,BE309)</f>
        <v>0</v>
      </c>
      <c r="BF310" s="12">
        <f>SUM(BF302,BF303,BF304,BF305,BF306,BF307,BF308,BF309)</f>
        <v>0</v>
      </c>
      <c r="BG310" s="12" t="n"/>
      <c r="BH310" s="12" t="n"/>
      <c r="BI310" s="12" t="n"/>
      <c r="BJ310" s="12" t="n"/>
      <c r="BK310" s="12" t="n"/>
      <c r="BL310" s="12" t="n"/>
      <c r="BM310" s="12" t="n"/>
      <c r="BN310" s="12" t="n"/>
      <c r="BO310" s="12" t="n"/>
      <c r="BP310" s="12" t="n"/>
      <c r="BQ310" s="12" t="n"/>
      <c r="BR310" s="12" t="n"/>
      <c r="BS310" s="12" t="n"/>
      <c r="BT310" s="12" t="n"/>
      <c r="BU310" s="12" t="n"/>
      <c r="BV310" s="12" t="n"/>
      <c r="BW310" s="12" t="n"/>
      <c r="BX310" s="12" t="n"/>
      <c r="BY310" s="12" t="n"/>
      <c r="BZ310" s="12" t="n"/>
      <c r="CA310" s="12" t="n"/>
      <c r="CB310" s="12" t="n"/>
      <c r="CC310" s="12" t="n"/>
      <c r="CD310" s="12" t="n"/>
      <c r="CE310" s="12" t="n"/>
      <c r="CF310" s="12" t="n"/>
      <c r="CG310" s="12" t="n"/>
      <c r="CH310" s="12" t="n"/>
      <c r="CI310" s="12" t="n"/>
      <c r="CJ310" s="12" t="n"/>
      <c r="CK310" s="12" t="n"/>
      <c r="CL310" s="12" t="n"/>
      <c r="CM310" s="12" t="n"/>
      <c r="CN310" s="12" t="n"/>
      <c r="CO310" s="12" t="n"/>
      <c r="CP310" s="12" t="n"/>
      <c r="CQ310" s="12" t="n"/>
      <c r="CR310" s="12" t="n"/>
      <c r="CS310" s="12" t="n"/>
      <c r="CT310" s="12" t="n"/>
      <c r="CU310" s="12" t="n"/>
      <c r="CV310" s="12" t="n"/>
      <c r="CW310" s="12" t="n"/>
      <c r="CX310" s="12" t="n"/>
      <c r="CY310" s="12" t="n"/>
    </row>
    <row r="311">
      <c r="C311" s="14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  <c r="Y311" s="12" t="n"/>
      <c r="Z311" s="12" t="n"/>
      <c r="AA311" s="12" t="n"/>
      <c r="AB311" s="12" t="n"/>
      <c r="AC311" s="12" t="n"/>
      <c r="AD311" s="12" t="n"/>
      <c r="AE311" s="12" t="n"/>
      <c r="AF311" s="12" t="n"/>
      <c r="AG311" s="12" t="n"/>
      <c r="AH311" s="12" t="n"/>
      <c r="AI311" s="12" t="n"/>
      <c r="AJ311" s="12" t="n"/>
      <c r="AK311" s="12" t="n"/>
      <c r="AL311" s="12" t="n"/>
      <c r="AM311" s="12" t="n"/>
      <c r="AN311" s="12" t="n"/>
      <c r="AO311" s="12" t="n"/>
      <c r="AP311" s="12" t="n"/>
      <c r="AQ311" s="12" t="n"/>
      <c r="AR311" s="12" t="n"/>
      <c r="AS311" s="12" t="n"/>
      <c r="AT311" s="12" t="n"/>
      <c r="AU311" s="12" t="n"/>
      <c r="AV311" s="12" t="n"/>
      <c r="AW311" s="12" t="n"/>
      <c r="AX311" s="12" t="n"/>
      <c r="AY311" s="12" t="n"/>
      <c r="AZ311" s="12" t="n"/>
      <c r="BA311" s="12" t="n"/>
      <c r="BB311" s="12" t="n"/>
      <c r="BC311" s="12" t="n"/>
      <c r="BD311" s="12" t="n"/>
      <c r="BE311" s="12" t="n"/>
      <c r="BF311" s="12" t="n"/>
      <c r="BG311" s="12" t="n"/>
      <c r="BH311" s="12" t="n"/>
      <c r="BI311" s="12" t="n"/>
      <c r="BJ311" s="12" t="n"/>
      <c r="BK311" s="12" t="n"/>
      <c r="BL311" s="12" t="n"/>
      <c r="BM311" s="12" t="n"/>
      <c r="BN311" s="12" t="n"/>
      <c r="BO311" s="12" t="n"/>
      <c r="BP311" s="12" t="n"/>
      <c r="BQ311" s="12" t="n"/>
      <c r="BR311" s="12" t="n"/>
      <c r="BS311" s="12" t="n"/>
      <c r="BT311" s="12" t="n"/>
      <c r="BU311" s="12" t="n"/>
      <c r="BV311" s="12" t="n"/>
      <c r="BW311" s="12" t="n"/>
      <c r="BX311" s="12" t="n"/>
      <c r="BY311" s="12" t="n"/>
      <c r="BZ311" s="12" t="n"/>
      <c r="CA311" s="12" t="n"/>
      <c r="CB311" s="12" t="n"/>
      <c r="CC311" s="12" t="n"/>
      <c r="CD311" s="12" t="n"/>
      <c r="CE311" s="12" t="n"/>
      <c r="CF311" s="12" t="n"/>
      <c r="CG311" s="12" t="n"/>
      <c r="CH311" s="12" t="n"/>
      <c r="CI311" s="12" t="n"/>
      <c r="CJ311" s="12" t="n"/>
      <c r="CK311" s="12" t="n"/>
      <c r="CL311" s="12" t="n"/>
      <c r="CM311" s="12" t="n"/>
      <c r="CN311" s="12" t="n"/>
      <c r="CO311" s="12" t="n"/>
      <c r="CP311" s="12" t="n"/>
      <c r="CQ311" s="12" t="n"/>
      <c r="CR311" s="12" t="n"/>
      <c r="CS311" s="12" t="n"/>
      <c r="CT311" s="12" t="n"/>
      <c r="CU311" s="12" t="n"/>
      <c r="CV311" s="12" t="n"/>
      <c r="CW311" s="12" t="n"/>
      <c r="CX311" s="12" t="n"/>
      <c r="CY311" s="12" t="n"/>
    </row>
    <row r="312">
      <c r="C312" s="14" t="inlineStr">
        <is>
          <t>Others / cash reconciliation plug</t>
        </is>
      </c>
      <c r="D312" s="12" t="n"/>
      <c r="E312" s="12" t="n"/>
      <c r="F312" s="12" t="n"/>
      <c r="G312" s="12" t="n"/>
      <c r="H312" s="12" t="n"/>
      <c r="I312" s="12" t="n"/>
      <c r="J312" s="12">
        <f>J144-I144-SUM(J293,J300,J310)</f>
        <v>2.41584530158434e-13</v>
      </c>
      <c r="K312" s="12">
        <f>K144-J144-SUM(K293,K300,K310)</f>
        <v>-1.31450406115619e-13</v>
      </c>
      <c r="L312" s="12">
        <f>L144-K144-SUM(L293,L300,L310)</f>
        <v>0</v>
      </c>
      <c r="M312" s="12" t="n"/>
      <c r="N312" s="12">
        <f>N144-M144-SUM(N293,N300,N310)</f>
        <v>-2.46913600676635e-13</v>
      </c>
      <c r="O312" s="12">
        <f>O144-N144-SUM(O293,O300,O310)</f>
        <v>0</v>
      </c>
      <c r="P312" s="12">
        <f>P144-O144-SUM(P293,P300,P310)</f>
        <v>0</v>
      </c>
      <c r="Q312" s="12">
        <f>Q144-P144-SUM(Q293,Q300,Q310)</f>
        <v>-1.56319401867222e-13</v>
      </c>
      <c r="R312" s="12">
        <f>SUM(N312:Q312)</f>
        <v>-4.03233002543857e-13</v>
      </c>
      <c r="S312" s="12">
        <f>S144-R144-SUM(S293,S300,S310)</f>
        <v>0.00090777000042408</v>
      </c>
      <c r="T312" s="12">
        <f>T144-S144-SUM(T293,T300,T310)</f>
        <v>-0.000635769999753677</v>
      </c>
      <c r="U312" s="12">
        <f>U144-T144-SUM(U293,U300,U310)</f>
        <v>-0.000191770000185443</v>
      </c>
      <c r="V312" s="12">
        <f>V144-U144-SUM(V293,V300,V310)</f>
        <v>0.000669279999051753</v>
      </c>
      <c r="W312" s="12">
        <f>SUM(S312:V312)</f>
        <v>0.000749509999536713</v>
      </c>
      <c r="X312" s="12">
        <f>X144-W144-SUM(X293,X300,X310)</f>
        <v>-0.000102179999657892</v>
      </c>
      <c r="Y312" s="12">
        <f>Y144-X144-SUM(Y293,Y300,Y310)</f>
        <v>-0.00158084999983998</v>
      </c>
      <c r="Z312" s="12">
        <f>Z144-Y144-SUM(Z293,Z300,Z310)</f>
        <v>0.0010283999993419</v>
      </c>
      <c r="AA312" s="12">
        <f>AA144-Z144-SUM(AA293,AA300,AA310)</f>
        <v>-9.48799993381044e-05</v>
      </c>
      <c r="AB312" s="12">
        <f>SUM(X312:AA312)</f>
        <v>-0.00074950999949408</v>
      </c>
      <c r="AC312" s="12">
        <f>AC144-AB144-SUM(AC293,AC300,AC310)</f>
        <v>-3.97903932025656e-13</v>
      </c>
      <c r="AD312" s="12">
        <f>AD144-AC144-SUM(AD293,AD300,AD310)</f>
        <v>0</v>
      </c>
      <c r="AE312" s="12">
        <f>AE144-AD144-SUM(AE293,AE300,AE310)</f>
        <v>0</v>
      </c>
      <c r="AF312" s="12">
        <f>AF144-AE144-SUM(AF293,AF300,AF310)</f>
        <v>0</v>
      </c>
      <c r="AG312" s="12">
        <f>SUM(AC312:AF312)</f>
        <v>-3.97903932025656e-13</v>
      </c>
      <c r="AH312" s="12">
        <f>AH144-AG144-SUM(AH293,AH300,AH310)</f>
        <v>0</v>
      </c>
      <c r="AI312" s="12">
        <f>AI144-AH144-SUM(AI293,AI300,AI310)</f>
        <v>-3.41060513164848e-13</v>
      </c>
      <c r="AJ312" s="12">
        <f>AJ144-AI144-SUM(AJ293,AJ300,AJ310)</f>
        <v>0</v>
      </c>
      <c r="AK312" s="12">
        <f>AK144-AJ144-SUM(AK293,AK300,AK310)</f>
        <v>0</v>
      </c>
      <c r="AL312" s="12">
        <f>SUM(AH312:AK312)</f>
        <v>-3.41060513164848e-13</v>
      </c>
      <c r="AM312" s="12">
        <f>AM144-AL144-SUM(AM293,AM300,AM310)</f>
        <v>0</v>
      </c>
      <c r="AN312" s="12">
        <f>AN144-AM144-SUM(AN293,AN300,AN310)</f>
        <v>3.24007487506606e-12</v>
      </c>
      <c r="AO312" s="12">
        <f>AO144-AN144-SUM(AO293,AO300,AO310)</f>
        <v>0</v>
      </c>
      <c r="AP312" s="12">
        <f>AP144-AO144-SUM(AP293,AP300,AP310)</f>
        <v>-4.03588273911737e-12</v>
      </c>
      <c r="AQ312" s="12">
        <f>SUM(AM312:AP312)</f>
        <v>-7.95807864051312e-13</v>
      </c>
      <c r="AR312" s="12">
        <f>AR144-AQ144-SUM(AR293,AR300,AR310)</f>
        <v>0</v>
      </c>
      <c r="AS312" s="12">
        <f>AS144-AR144-SUM(AS293,AS300,AS310)</f>
        <v>0</v>
      </c>
      <c r="AT312" s="12">
        <f>AT144-AS144-SUM(AT293,AT300,AT310)</f>
        <v>0</v>
      </c>
      <c r="AU312" s="12">
        <f>AU144-AT144-SUM(AU293,AU300,AU310)</f>
        <v>3.41060513164848e-13</v>
      </c>
      <c r="AV312" s="12">
        <f>SUM(AR312:AU312)</f>
        <v>3.41060513164848e-13</v>
      </c>
      <c r="AW312" s="12">
        <f>AW144-AV144-SUM(AW293,AW300,AW310)</f>
        <v>0</v>
      </c>
      <c r="AX312" s="12">
        <f>AX144-AW144-SUM(AX293,AX300,AX310)</f>
        <v>4.14956957683899e-12</v>
      </c>
      <c r="AY312" s="12">
        <f>AY144-AX144-SUM(AY293,AY300,AY310)</f>
        <v>0</v>
      </c>
      <c r="AZ312" s="12">
        <f>AZ144-AY144-SUM(AZ293,AZ300,AZ310)</f>
        <v>-2.95585778076202e-12</v>
      </c>
      <c r="BA312" s="12">
        <f>SUM(AW312:AZ312)</f>
        <v>1.19371179607697e-12</v>
      </c>
      <c r="BB312" s="12">
        <f>BB144-BA144-SUM(BB293,BB300,BB310)</f>
        <v>0</v>
      </c>
      <c r="BC312" s="12">
        <f>BC144-BB144-SUM(BC293,BC300,BC310)</f>
        <v>-3.86535248253495e-12</v>
      </c>
      <c r="BD312" s="12">
        <f>BD144-BC144-SUM(BD293,BD300,BD310)</f>
        <v>7.04858393874019e-12</v>
      </c>
      <c r="BE312" s="12">
        <f>BE144-BD144-SUM(BE293,BE300,BE310)</f>
        <v>0</v>
      </c>
      <c r="BF312" s="12">
        <f>SUM(BB312:BE312)</f>
        <v>3.18323145620525e-12</v>
      </c>
      <c r="BG312" s="12" t="n"/>
      <c r="BH312" s="12" t="n"/>
      <c r="BI312" s="12" t="n"/>
      <c r="BJ312" s="12" t="n"/>
      <c r="BK312" s="12" t="n"/>
      <c r="BL312" s="12" t="n"/>
      <c r="BM312" s="12" t="n"/>
      <c r="BN312" s="12" t="n"/>
      <c r="BO312" s="12" t="n"/>
      <c r="BP312" s="12" t="n"/>
      <c r="BQ312" s="12" t="n"/>
      <c r="BR312" s="12" t="n"/>
      <c r="BS312" s="12" t="n"/>
      <c r="BT312" s="12" t="n"/>
      <c r="BU312" s="12" t="n"/>
      <c r="BV312" s="12" t="n"/>
      <c r="BW312" s="12" t="n"/>
      <c r="BX312" s="12" t="n"/>
      <c r="BY312" s="12" t="n"/>
      <c r="BZ312" s="12" t="n"/>
      <c r="CA312" s="12" t="n"/>
      <c r="CB312" s="12" t="n"/>
      <c r="CC312" s="12" t="n"/>
      <c r="CD312" s="12" t="n"/>
      <c r="CE312" s="12" t="n"/>
      <c r="CF312" s="12" t="n"/>
      <c r="CG312" s="12" t="n"/>
      <c r="CH312" s="12" t="n"/>
      <c r="CI312" s="12" t="n"/>
      <c r="CJ312" s="12" t="n"/>
      <c r="CK312" s="12" t="n"/>
      <c r="CL312" s="12" t="n"/>
      <c r="CM312" s="12" t="n"/>
      <c r="CN312" s="12" t="n"/>
      <c r="CO312" s="12" t="n"/>
      <c r="CP312" s="12" t="n"/>
      <c r="CQ312" s="12" t="n"/>
      <c r="CR312" s="12" t="n"/>
      <c r="CS312" s="12" t="n"/>
      <c r="CT312" s="12" t="n"/>
      <c r="CU312" s="12" t="n"/>
      <c r="CV312" s="12" t="n"/>
      <c r="CW312" s="12" t="n"/>
      <c r="CX312" s="12" t="n"/>
      <c r="CY312" s="12" t="n"/>
    </row>
    <row r="313">
      <c r="C313" s="14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  <c r="Y313" s="12" t="n"/>
      <c r="Z313" s="12" t="n"/>
      <c r="AA313" s="12" t="n"/>
      <c r="AB313" s="12" t="n"/>
      <c r="AC313" s="12" t="n"/>
      <c r="AD313" s="12" t="n"/>
      <c r="AE313" s="12" t="n"/>
      <c r="AF313" s="12" t="n"/>
      <c r="AG313" s="12" t="n"/>
      <c r="AH313" s="12" t="n"/>
      <c r="AI313" s="12" t="n"/>
      <c r="AJ313" s="12" t="n"/>
      <c r="AK313" s="12" t="n"/>
      <c r="AL313" s="12" t="n"/>
      <c r="AM313" s="12" t="n"/>
      <c r="AN313" s="12" t="n"/>
      <c r="AO313" s="12" t="n"/>
      <c r="AP313" s="12" t="n"/>
      <c r="AQ313" s="12" t="n"/>
      <c r="AR313" s="12" t="n"/>
      <c r="AS313" s="12" t="n"/>
      <c r="AT313" s="12" t="n"/>
      <c r="AU313" s="12" t="n"/>
      <c r="AV313" s="12" t="n"/>
      <c r="AW313" s="12" t="n"/>
      <c r="AX313" s="12" t="n"/>
      <c r="AY313" s="12" t="n"/>
      <c r="AZ313" s="12" t="n"/>
      <c r="BA313" s="12" t="n"/>
      <c r="BB313" s="12" t="n"/>
      <c r="BC313" s="12" t="n"/>
      <c r="BD313" s="12" t="n"/>
      <c r="BE313" s="12" t="n"/>
      <c r="BF313" s="12" t="n"/>
      <c r="BG313" s="12" t="n"/>
      <c r="BH313" s="12" t="n"/>
      <c r="BI313" s="12" t="n"/>
      <c r="BJ313" s="12" t="n"/>
      <c r="BK313" s="12" t="n"/>
      <c r="BL313" s="12" t="n"/>
      <c r="BM313" s="12" t="n"/>
      <c r="BN313" s="12" t="n"/>
      <c r="BO313" s="12" t="n"/>
      <c r="BP313" s="12" t="n"/>
      <c r="BQ313" s="12" t="n"/>
      <c r="BR313" s="12" t="n"/>
      <c r="BS313" s="12" t="n"/>
      <c r="BT313" s="12" t="n"/>
      <c r="BU313" s="12" t="n"/>
      <c r="BV313" s="12" t="n"/>
      <c r="BW313" s="12" t="n"/>
      <c r="BX313" s="12" t="n"/>
      <c r="BY313" s="12" t="n"/>
      <c r="BZ313" s="12" t="n"/>
      <c r="CA313" s="12" t="n"/>
      <c r="CB313" s="12" t="n"/>
      <c r="CC313" s="12" t="n"/>
      <c r="CD313" s="12" t="n"/>
      <c r="CE313" s="12" t="n"/>
      <c r="CF313" s="12" t="n"/>
      <c r="CG313" s="12" t="n"/>
      <c r="CH313" s="12" t="n"/>
      <c r="CI313" s="12" t="n"/>
      <c r="CJ313" s="12" t="n"/>
      <c r="CK313" s="12" t="n"/>
      <c r="CL313" s="12" t="n"/>
      <c r="CM313" s="12" t="n"/>
      <c r="CN313" s="12" t="n"/>
      <c r="CO313" s="12" t="n"/>
      <c r="CP313" s="12" t="n"/>
      <c r="CQ313" s="12" t="n"/>
      <c r="CR313" s="12" t="n"/>
      <c r="CS313" s="12" t="n"/>
      <c r="CT313" s="12" t="n"/>
      <c r="CU313" s="12" t="n"/>
      <c r="CV313" s="12" t="n"/>
      <c r="CW313" s="12" t="n"/>
      <c r="CX313" s="12" t="n"/>
      <c r="CY313" s="12" t="n"/>
    </row>
    <row r="314">
      <c r="C314" s="14" t="inlineStr">
        <is>
          <t>Total increase/decrease of cash</t>
        </is>
      </c>
      <c r="D314" s="12" t="n"/>
      <c r="E314" s="12" t="n"/>
      <c r="F314" s="12" t="n"/>
      <c r="G314" s="12" t="n"/>
      <c r="H314" s="12" t="n"/>
      <c r="I314" s="12" t="n"/>
      <c r="J314" s="12">
        <f>SUM(J293,J300,J310,J312)</f>
        <v>-28.391</v>
      </c>
      <c r="K314" s="12">
        <f>SUM(K293,K300,K310,K312)</f>
        <v>-11.826</v>
      </c>
      <c r="L314" s="12">
        <f>SUM(L293,L300,L310,L312)</f>
        <v>114.397</v>
      </c>
      <c r="M314" s="12" t="n"/>
      <c r="N314" s="12">
        <f>SUM(N293,N300,N310,N312)</f>
        <v>11.0929999999998</v>
      </c>
      <c r="O314" s="12">
        <f>SUM(O293,O300,O310,O312)</f>
        <v>-101.121</v>
      </c>
      <c r="P314" s="12">
        <f>SUM(P293,P300,P310,P312)</f>
        <v>220.688</v>
      </c>
      <c r="Q314" s="12">
        <f>SUM(Q293,Q300,Q310,Q312)</f>
        <v>7.55200000000014</v>
      </c>
      <c r="R314" s="12">
        <f>SUM(N314:Q314)</f>
        <v>138.212</v>
      </c>
      <c r="S314" s="12">
        <f>SUM(S293,S300,S310,S312)</f>
        <v>-115.445</v>
      </c>
      <c r="T314" s="12">
        <f>SUM(T293,T300,T310,T312)</f>
        <v>41.2760000000001</v>
      </c>
      <c r="U314" s="12">
        <f>SUM(U293,U300,U310,U312)</f>
        <v>227.958</v>
      </c>
      <c r="V314" s="12">
        <f>SUM(V293,V300,V310,V312)</f>
        <v>-13.99</v>
      </c>
      <c r="W314" s="12">
        <f>SUM(S314:V314)</f>
        <v>139.799</v>
      </c>
      <c r="X314" s="12">
        <f>SUM(X293,X300,X310,X312)</f>
        <v>-150.809</v>
      </c>
      <c r="Y314" s="12">
        <f>SUM(Y293,Y300,Y310,Y312)</f>
        <v>245.639</v>
      </c>
      <c r="Z314" s="12">
        <f>SUM(Z293,Z300,Z310,Z312)</f>
        <v>123.767</v>
      </c>
      <c r="AA314" s="12">
        <f>SUM(AA293,AA300,AA310,AA312)</f>
        <v>69.413</v>
      </c>
      <c r="AB314" s="12">
        <f>SUM(X314:AA314)</f>
        <v>288.01</v>
      </c>
      <c r="AC314" s="12">
        <f>SUM(AC293,AC300,AC310,AC312)</f>
        <v>14.3409999999999</v>
      </c>
      <c r="AD314" s="12">
        <f>SUM(AD293,AD300,AD310,AD312)</f>
        <v>495.058</v>
      </c>
      <c r="AE314" s="12">
        <f>SUM(AE293,AE300,AE310,AE312)</f>
        <v>324.925999999999</v>
      </c>
      <c r="AF314" s="12">
        <f>SUM(AF293,AF300,AF310,AF312)</f>
        <v>-266.706999999999</v>
      </c>
      <c r="AG314" s="12">
        <f>SUM(AC314:AF314)</f>
        <v>567.617999999999</v>
      </c>
      <c r="AH314" s="12">
        <f>SUM(AH293,AH300,AH310,AH312)</f>
        <v>237.963</v>
      </c>
      <c r="AI314" s="12">
        <f>SUM(AI293,AI300,AI310,AI312)</f>
        <v>33.4449999999997</v>
      </c>
      <c r="AJ314" s="12">
        <f>SUM(AJ293,AJ300,AJ310,AJ312)</f>
        <v>-828.084178102066</v>
      </c>
      <c r="AK314" s="12">
        <f>SUM(AK293,AK300,AK310,AK312)</f>
        <v>-194.384013404392</v>
      </c>
      <c r="AL314" s="12">
        <f>SUM(AH314:AK314)</f>
        <v>-751.060191506458</v>
      </c>
      <c r="AM314" s="12">
        <f>SUM(AM293,AM300,AM310,AM312)</f>
        <v>862.09359336343</v>
      </c>
      <c r="AN314" s="12">
        <f>SUM(AN293,AN300,AN310,AN312)</f>
        <v>-492.304188211381</v>
      </c>
      <c r="AO314" s="12">
        <f>SUM(AO293,AO300,AO310,AO312)</f>
        <v>-1305.12801314596</v>
      </c>
      <c r="AP314" s="12">
        <f>SUM(AP293,AP300,AP310,AP312)</f>
        <v>-159.579623509271</v>
      </c>
      <c r="AQ314" s="12">
        <f>SUM(AM314:AP314)</f>
        <v>-1094.91823150318</v>
      </c>
      <c r="AR314" s="12">
        <f>SUM(AR293,AR300,AR310,AR312)</f>
        <v>1447.90198016112</v>
      </c>
      <c r="AS314" s="12">
        <f>SUM(AS293,AS300,AS310,AS312)</f>
        <v>-658.24300359082</v>
      </c>
      <c r="AT314" s="12">
        <f>SUM(AT293,AT300,AT310,AT312)</f>
        <v>-1486.77114848723</v>
      </c>
      <c r="AU314" s="12">
        <f>SUM(AU293,AU300,AU310,AU312)</f>
        <v>26.9371836829596</v>
      </c>
      <c r="AV314" s="12">
        <f>SUM(AR314:AU314)</f>
        <v>-670.174988233972</v>
      </c>
      <c r="AW314" s="12">
        <f>SUM(AW293,AW300,AW310,AW312)</f>
        <v>1995.45639951042</v>
      </c>
      <c r="AX314" s="12">
        <f>SUM(AX293,AX300,AX310,AX312)</f>
        <v>-252.31282651937</v>
      </c>
      <c r="AY314" s="12">
        <f>SUM(AY293,AY300,AY310,AY312)</f>
        <v>-1426.73023643513</v>
      </c>
      <c r="AZ314" s="12">
        <f>SUM(AZ293,AZ300,AZ310,AZ312)</f>
        <v>625.4352192933</v>
      </c>
      <c r="BA314" s="12">
        <f>SUM(AW314:AZ314)</f>
        <v>941.848555849226</v>
      </c>
      <c r="BB314" s="12">
        <f>SUM(BB293,BB300,BB310,BB312)</f>
        <v>3372.07887927196</v>
      </c>
      <c r="BC314" s="12">
        <f>SUM(BC293,BC300,BC310,BC312)</f>
        <v>613.063655459733</v>
      </c>
      <c r="BD314" s="12">
        <f>SUM(BD293,BD300,BD310,BD312)</f>
        <v>-630.621315120756</v>
      </c>
      <c r="BE314" s="12">
        <f>SUM(BE293,BE300,BE310,BE312)</f>
        <v>2281.94607187055</v>
      </c>
      <c r="BF314" s="12">
        <f>SUM(BB314:BE314)</f>
        <v>5636.46729148149</v>
      </c>
      <c r="BG314" s="12" t="n"/>
      <c r="BH314" s="12" t="n"/>
      <c r="BI314" s="12" t="n"/>
      <c r="BJ314" s="12" t="n"/>
      <c r="BK314" s="12" t="n"/>
      <c r="BL314" s="12" t="n"/>
      <c r="BM314" s="12" t="n"/>
      <c r="BN314" s="12" t="n"/>
      <c r="BO314" s="12" t="n"/>
      <c r="BP314" s="12" t="n"/>
      <c r="BQ314" s="12" t="n"/>
      <c r="BR314" s="12" t="n"/>
      <c r="BS314" s="12" t="n"/>
      <c r="BT314" s="12" t="n"/>
      <c r="BU314" s="12" t="n"/>
      <c r="BV314" s="12" t="n"/>
      <c r="BW314" s="12" t="n"/>
      <c r="BX314" s="12" t="n"/>
      <c r="BY314" s="12" t="n"/>
      <c r="BZ314" s="12" t="n"/>
      <c r="CA314" s="12" t="n"/>
      <c r="CB314" s="12" t="n"/>
      <c r="CC314" s="12" t="n"/>
      <c r="CD314" s="12" t="n"/>
      <c r="CE314" s="12" t="n"/>
      <c r="CF314" s="12" t="n"/>
      <c r="CG314" s="12" t="n"/>
      <c r="CH314" s="12" t="n"/>
      <c r="CI314" s="12" t="n"/>
      <c r="CJ314" s="12" t="n"/>
      <c r="CK314" s="12" t="n"/>
      <c r="CL314" s="12" t="n"/>
      <c r="CM314" s="12" t="n"/>
      <c r="CN314" s="12" t="n"/>
      <c r="CO314" s="12" t="n"/>
      <c r="CP314" s="12" t="n"/>
      <c r="CQ314" s="12" t="n"/>
      <c r="CR314" s="12" t="n"/>
      <c r="CS314" s="12" t="n"/>
      <c r="CT314" s="12" t="n"/>
      <c r="CU314" s="12" t="n"/>
      <c r="CV314" s="12" t="n"/>
      <c r="CW314" s="12" t="n"/>
      <c r="CX314" s="12" t="n"/>
      <c r="CY314" s="12" t="n"/>
    </row>
    <row r="315">
      <c r="C315" s="4" t="inlineStr">
        <is>
          <t>Check</t>
        </is>
      </c>
      <c r="E315" s="72" t="n"/>
      <c r="F315" s="72" t="n"/>
      <c r="G315" s="72" t="n"/>
      <c r="I315" s="72" t="str">
        <f>""</f>
        <v/>
      </c>
      <c r="J315" s="72">
        <f>J144-I144-J314</f>
        <v>0</v>
      </c>
      <c r="K315" s="72">
        <f>K144-J144-K314</f>
        <v>0</v>
      </c>
      <c r="L315" s="72">
        <f>L144-K144-L314</f>
        <v>0</v>
      </c>
      <c r="M315" s="4" t="str">
        <f>""</f>
        <v/>
      </c>
      <c r="N315" s="72">
        <f>N144-M144-N314</f>
        <v>0</v>
      </c>
      <c r="O315" s="72">
        <f>O144-N144-O314</f>
        <v>0</v>
      </c>
      <c r="P315" s="72">
        <f>P144-O144-P314</f>
        <v>0</v>
      </c>
      <c r="Q315" s="72">
        <f>Q144-P144-Q314</f>
        <v>0</v>
      </c>
      <c r="R315" s="4">
        <f>R144-M144-R314</f>
        <v>0</v>
      </c>
      <c r="S315" s="72">
        <f>S144-R144-S314</f>
        <v>0</v>
      </c>
      <c r="T315" s="72">
        <f>T144-S144-T314</f>
        <v>0</v>
      </c>
      <c r="U315" s="72">
        <f>U144-T144-U314</f>
        <v>0</v>
      </c>
      <c r="V315" s="72">
        <f>V144-U144-V314</f>
        <v>0</v>
      </c>
      <c r="W315" s="4">
        <f>W144-R144-W314</f>
        <v>0</v>
      </c>
      <c r="X315" s="72">
        <f>X144-W144-X314</f>
        <v>0</v>
      </c>
      <c r="Y315" s="72">
        <f>Y144-X144-Y314</f>
        <v>0</v>
      </c>
      <c r="Z315" s="72">
        <f>Z144-Y144-Z314</f>
        <v>0</v>
      </c>
      <c r="AA315" s="72">
        <f>AA144-Z144-AA314</f>
        <v>0</v>
      </c>
      <c r="AB315" s="4">
        <f>AB144-W144-AB314</f>
        <v>0</v>
      </c>
      <c r="AC315" s="72">
        <f>AC144-AB144-AC314</f>
        <v>0</v>
      </c>
      <c r="AD315" s="72">
        <f>AD144-AC144-AD314</f>
        <v>0</v>
      </c>
      <c r="AE315" s="72">
        <f>AE144-AD144-AE314</f>
        <v>0</v>
      </c>
      <c r="AF315" s="72">
        <f>AF144-AE144-AF314</f>
        <v>0</v>
      </c>
      <c r="AG315" s="4">
        <f>AG144-AB144-AG314</f>
        <v>0</v>
      </c>
      <c r="AH315" s="72">
        <f>AH144-AG144-AH314</f>
        <v>0</v>
      </c>
      <c r="AI315" s="72">
        <f>AI144-AH144-AI314</f>
        <v>0</v>
      </c>
      <c r="AJ315" s="72">
        <f>AJ144-AI144-AJ314</f>
        <v>0</v>
      </c>
      <c r="AK315" s="72">
        <f>AK144-AJ144-AK314</f>
        <v>0</v>
      </c>
      <c r="AL315" s="4">
        <f>AL144-AG144-AL314</f>
        <v>0</v>
      </c>
      <c r="AM315" s="72">
        <f>AM144-AL144-AM314</f>
        <v>0</v>
      </c>
      <c r="AN315" s="72">
        <f>AN144-AM144-AN314</f>
        <v>0</v>
      </c>
      <c r="AO315" s="72">
        <f>AO144-AN144-AO314</f>
        <v>0</v>
      </c>
      <c r="AP315" s="72">
        <f>AP144-AO144-AP314</f>
        <v>0</v>
      </c>
      <c r="AQ315" s="4">
        <f>AQ144-AL144-AQ314</f>
        <v>0</v>
      </c>
      <c r="AR315" s="72">
        <f>AR144-AQ144-AR314</f>
        <v>0</v>
      </c>
      <c r="AS315" s="72">
        <f>AS144-AR144-AS314</f>
        <v>0</v>
      </c>
      <c r="AT315" s="72">
        <f>AT144-AS144-AT314</f>
        <v>0</v>
      </c>
      <c r="AU315" s="72">
        <f>AU144-AT144-AU314</f>
        <v>0</v>
      </c>
      <c r="AV315" s="4">
        <f>AV144-AQ144-AV314</f>
        <v>3.75166564481333e-12</v>
      </c>
      <c r="AW315" s="72">
        <f>AW144-AV144-AW314</f>
        <v>0</v>
      </c>
      <c r="AX315" s="72">
        <f>AX144-AW144-AX314</f>
        <v>0</v>
      </c>
      <c r="AY315" s="72">
        <f>AY144-AX144-AY314</f>
        <v>0</v>
      </c>
      <c r="AZ315" s="72">
        <f>AZ144-AY144-AZ314</f>
        <v>0</v>
      </c>
      <c r="BA315" s="4">
        <f>BA144-AV144-BA314</f>
        <v>-4.32009983342141e-12</v>
      </c>
      <c r="BB315" s="72">
        <f>BB144-BA144-BB314</f>
        <v>0</v>
      </c>
      <c r="BC315" s="72">
        <f>BC144-BB144-BC314</f>
        <v>0</v>
      </c>
      <c r="BD315" s="72">
        <f>BD144-BC144-BD314</f>
        <v>0</v>
      </c>
      <c r="BE315" s="72">
        <f>BE144-BD144-BE314</f>
        <v>0</v>
      </c>
      <c r="BF315" s="4">
        <f>BF144-BA144-BF314</f>
        <v>0</v>
      </c>
      <c r="BG315" s="72" t="n"/>
      <c r="BH315" s="72" t="n"/>
      <c r="BI315" s="72" t="n"/>
      <c r="BJ315" s="72" t="n"/>
      <c r="BL315" s="72" t="n"/>
      <c r="BM315" s="72" t="n"/>
      <c r="BN315" s="72" t="n"/>
      <c r="BO315" s="72" t="n"/>
      <c r="BQ315" s="72" t="n"/>
      <c r="BR315" s="72" t="n"/>
      <c r="BS315" s="72" t="n"/>
      <c r="BT315" s="72" t="n"/>
      <c r="BV315" s="72" t="n"/>
      <c r="BW315" s="72" t="n"/>
      <c r="BX315" s="72" t="n"/>
      <c r="BY315" s="72" t="n"/>
      <c r="CA315" s="72" t="n"/>
      <c r="CB315" s="72" t="n"/>
      <c r="CC315" s="72" t="n"/>
      <c r="CD315" s="72" t="n"/>
      <c r="CF315" s="72" t="n"/>
      <c r="CG315" s="72" t="n"/>
      <c r="CH315" s="72" t="n"/>
      <c r="CI315" s="72" t="n"/>
      <c r="CK315" s="72" t="n"/>
      <c r="CL315" s="72" t="n"/>
      <c r="CM315" s="72" t="n"/>
      <c r="CN315" s="72" t="n"/>
      <c r="CP315" s="72" t="n"/>
      <c r="CQ315" s="72" t="n"/>
      <c r="CR315" s="72" t="n"/>
      <c r="CS315" s="72" t="n"/>
      <c r="CU315" s="72" t="n"/>
      <c r="CV315" s="72" t="n"/>
      <c r="CW315" s="72" t="n"/>
      <c r="CX315" s="72" t="n"/>
    </row>
    <row r="316"/>
    <row r="317">
      <c r="C317" s="73" t="inlineStr">
        <is>
          <t>Ratio Analysis</t>
        </is>
      </c>
      <c r="D317" s="73" t="n"/>
      <c r="E317" s="73" t="n"/>
      <c r="F317" s="73" t="n"/>
      <c r="G317" s="73" t="n"/>
      <c r="H317" s="73" t="n"/>
      <c r="I317" s="73" t="n"/>
      <c r="J317" s="73" t="n"/>
      <c r="K317" s="73" t="n"/>
      <c r="L317" s="73" t="n"/>
      <c r="M317" s="73" t="n"/>
      <c r="N317" s="73" t="n"/>
      <c r="O317" s="73" t="n"/>
      <c r="P317" s="73" t="n"/>
      <c r="Q317" s="73" t="n"/>
      <c r="R317" s="73" t="n"/>
      <c r="S317" s="73" t="n"/>
      <c r="T317" s="73" t="n"/>
      <c r="U317" s="73" t="n"/>
      <c r="V317" s="73" t="n"/>
      <c r="W317" s="73" t="n"/>
      <c r="X317" s="73" t="n"/>
      <c r="Y317" s="73" t="n"/>
      <c r="Z317" s="73" t="n"/>
      <c r="AA317" s="73" t="n"/>
      <c r="AB317" s="73" t="n"/>
      <c r="AC317" s="73" t="n"/>
      <c r="AD317" s="73" t="n"/>
      <c r="AE317" s="73" t="n"/>
      <c r="AF317" s="73" t="n"/>
      <c r="AG317" s="73" t="n"/>
      <c r="AH317" s="73" t="n"/>
      <c r="AI317" s="73" t="n"/>
      <c r="AJ317" s="73" t="n"/>
      <c r="AK317" s="73" t="n"/>
      <c r="AL317" s="73" t="n"/>
      <c r="AM317" s="73" t="n"/>
      <c r="AN317" s="73" t="n"/>
      <c r="AO317" s="73" t="n"/>
      <c r="AP317" s="73" t="n"/>
      <c r="AQ317" s="73" t="n"/>
      <c r="AR317" s="73" t="n"/>
      <c r="AS317" s="73" t="n"/>
      <c r="AT317" s="73" t="n"/>
      <c r="AU317" s="73" t="n"/>
      <c r="AV317" s="73" t="n"/>
      <c r="AW317" s="73" t="n"/>
      <c r="AX317" s="73" t="n"/>
      <c r="AY317" s="73" t="n"/>
      <c r="AZ317" s="73" t="n"/>
      <c r="BA317" s="73" t="n"/>
      <c r="BB317" s="73" t="n"/>
      <c r="BC317" s="73" t="n"/>
      <c r="BD317" s="73" t="n"/>
      <c r="BE317" s="73" t="n"/>
      <c r="BF317" s="73" t="n"/>
      <c r="BG317" s="73" t="n"/>
      <c r="BH317" s="73" t="n"/>
      <c r="BI317" s="73" t="n"/>
      <c r="BJ317" s="73" t="n"/>
      <c r="BK317" s="73" t="n"/>
      <c r="BL317" s="73" t="n"/>
      <c r="BM317" s="73" t="n"/>
      <c r="BN317" s="73" t="n"/>
      <c r="BO317" s="73" t="n"/>
      <c r="BP317" s="73" t="n"/>
      <c r="BQ317" s="73" t="n"/>
      <c r="BR317" s="73" t="n"/>
      <c r="BS317" s="73" t="n"/>
      <c r="BT317" s="73" t="n"/>
      <c r="BU317" s="73" t="n"/>
      <c r="BV317" s="73" t="n"/>
      <c r="BW317" s="73" t="n"/>
      <c r="BX317" s="73" t="n"/>
      <c r="BY317" s="73" t="n"/>
      <c r="BZ317" s="73" t="n"/>
      <c r="CA317" s="73" t="n"/>
      <c r="CB317" s="73" t="n"/>
      <c r="CC317" s="73" t="n"/>
      <c r="CD317" s="73" t="n"/>
      <c r="CE317" s="73" t="n"/>
      <c r="CF317" s="73" t="n"/>
      <c r="CG317" s="73" t="n"/>
      <c r="CH317" s="73" t="n"/>
      <c r="CI317" s="73" t="n"/>
      <c r="CJ317" s="73" t="n"/>
      <c r="CK317" s="73" t="n"/>
      <c r="CL317" s="73" t="n"/>
      <c r="CM317" s="73" t="n"/>
      <c r="CN317" s="73" t="n"/>
      <c r="CO317" s="73" t="n"/>
      <c r="CP317" s="73" t="n"/>
      <c r="CQ317" s="73" t="n"/>
      <c r="CR317" s="73" t="n"/>
      <c r="CS317" s="73" t="n"/>
      <c r="CT317" s="73" t="n"/>
      <c r="CU317" s="73" t="n"/>
      <c r="CV317" s="73" t="n"/>
      <c r="CW317" s="73" t="n"/>
      <c r="CX317" s="73" t="n"/>
      <c r="CY317" s="73" t="n"/>
    </row>
    <row r="318"/>
    <row r="319" customFormat="1" s="74">
      <c r="C319" s="74" t="inlineStr">
        <is>
          <t>YEAR</t>
        </is>
      </c>
      <c r="D319">
        <f>IFERROR(D275,"")</f>
        <v>0</v>
      </c>
      <c r="E319" s="75">
        <f>IFERROR(E275,"")</f>
        <v>0</v>
      </c>
      <c r="F319" s="75">
        <f>IFERROR(F275,"")</f>
        <v>0</v>
      </c>
      <c r="G319" s="75">
        <f>IFERROR(G275,"")</f>
        <v>0</v>
      </c>
      <c r="H319" s="75">
        <f>IFERROR(H275,"")</f>
        <v>0</v>
      </c>
      <c r="I319" s="75" t="str">
        <f>IFERROR(I275,"")</f>
        <v>1Q21</v>
      </c>
      <c r="J319" s="75" t="str">
        <f>IFERROR(J275,"")</f>
        <v>2Q21</v>
      </c>
      <c r="K319" s="75" t="str">
        <f>IFERROR(K275,"")</f>
        <v>3Q21</v>
      </c>
      <c r="L319" s="75" t="str">
        <f>IFERROR(L275,"")</f>
        <v>4Q21</v>
      </c>
      <c r="M319" s="75">
        <f>IFERROR(M275,"")</f>
        <v>2021</v>
      </c>
      <c r="N319" s="75" t="str">
        <f>IFERROR(N275,"")</f>
        <v>1Q22</v>
      </c>
      <c r="O319" s="75" t="str">
        <f>IFERROR(O275,"")</f>
        <v>2Q22</v>
      </c>
      <c r="P319" s="75" t="str">
        <f>IFERROR(P275,"")</f>
        <v>3Q22</v>
      </c>
      <c r="Q319" s="75" t="str">
        <f>IFERROR(Q275,"")</f>
        <v>4Q22</v>
      </c>
      <c r="R319" s="75">
        <f>IFERROR(R275,"")</f>
        <v>2022</v>
      </c>
      <c r="S319" s="75" t="str">
        <f>IFERROR(S275,"")</f>
        <v>1Q23</v>
      </c>
      <c r="T319" s="75" t="str">
        <f>IFERROR(T275,"")</f>
        <v>2Q23</v>
      </c>
      <c r="U319" s="75" t="str">
        <f>IFERROR(U275,"")</f>
        <v>3Q23</v>
      </c>
      <c r="V319" s="75" t="str">
        <f>IFERROR(V275,"")</f>
        <v>4Q23</v>
      </c>
      <c r="W319" s="75">
        <f>IFERROR(W275,"")</f>
        <v>2023</v>
      </c>
      <c r="X319" s="75" t="str">
        <f>IFERROR(X275,"")</f>
        <v>1Q24</v>
      </c>
      <c r="Y319" s="75" t="str">
        <f>IFERROR(Y275,"")</f>
        <v>2Q24</v>
      </c>
      <c r="Z319" s="75" t="str">
        <f>IFERROR(Z275,"")</f>
        <v>3Q24</v>
      </c>
      <c r="AA319" s="75" t="str">
        <f>IFERROR(AA275,"")</f>
        <v>4Q24</v>
      </c>
      <c r="AB319" s="75">
        <f>IFERROR(AB275,"")</f>
        <v>2024</v>
      </c>
      <c r="AC319" s="75" t="str">
        <f>IFERROR(AC275,"")</f>
        <v>1Q25</v>
      </c>
      <c r="AD319" s="75" t="str">
        <f>IFERROR(AD275,"")</f>
        <v>2Q25</v>
      </c>
      <c r="AE319" s="75" t="str">
        <f>IFERROR(AE275,"")</f>
        <v>3Q25</v>
      </c>
      <c r="AF319" s="75" t="str">
        <f>IFERROR(AF275,"")</f>
        <v>4Q25</v>
      </c>
      <c r="AG319" s="75">
        <f>IFERROR(AG275,"")</f>
        <v>2025</v>
      </c>
      <c r="AH319" s="75" t="str">
        <f>IFERROR(AH275,"")</f>
        <v>1Q26</v>
      </c>
      <c r="AI319" s="75" t="str">
        <f>IFERROR(AI275,"")</f>
        <v>2Q26</v>
      </c>
      <c r="AJ319" s="75" t="str">
        <f>IFERROR(AJ275,"")</f>
        <v>3Q26</v>
      </c>
      <c r="AK319" s="75" t="str">
        <f>IFERROR(AK275,"")</f>
        <v>4Q26</v>
      </c>
      <c r="AL319" s="75">
        <f>IFERROR(AL275,"")</f>
        <v>2026</v>
      </c>
      <c r="AM319" s="75" t="str">
        <f>IFERROR(AM275,"")</f>
        <v>1Q27</v>
      </c>
      <c r="AN319" s="75" t="str">
        <f>IFERROR(AN275,"")</f>
        <v>2Q27</v>
      </c>
      <c r="AO319" s="75" t="str">
        <f>IFERROR(AO275,"")</f>
        <v>3Q27</v>
      </c>
      <c r="AP319" s="75" t="str">
        <f>IFERROR(AP275,"")</f>
        <v>4Q27</v>
      </c>
      <c r="AQ319" s="75">
        <f>IFERROR(AQ275,"")</f>
        <v>2027</v>
      </c>
      <c r="AR319" s="75" t="str">
        <f>IFERROR(AR275,"")</f>
        <v>1Q28</v>
      </c>
      <c r="AS319" s="75" t="str">
        <f>IFERROR(AS275,"")</f>
        <v>2Q28</v>
      </c>
      <c r="AT319" s="75" t="str">
        <f>IFERROR(AT275,"")</f>
        <v>3Q28</v>
      </c>
      <c r="AU319" s="75" t="str">
        <f>IFERROR(AU275,"")</f>
        <v>4Q28</v>
      </c>
      <c r="AV319" s="75">
        <f>IFERROR(AV275,"")</f>
        <v>2028</v>
      </c>
      <c r="AW319" s="75" t="str">
        <f>IFERROR(AW275,"")</f>
        <v>1Q29</v>
      </c>
      <c r="AX319" s="75" t="str">
        <f>IFERROR(AX275,"")</f>
        <v>2Q29</v>
      </c>
      <c r="AY319" s="75" t="str">
        <f>IFERROR(AY275,"")</f>
        <v>3Q29</v>
      </c>
      <c r="AZ319" s="75" t="str">
        <f>IFERROR(AZ275,"")</f>
        <v>4Q29</v>
      </c>
      <c r="BA319" s="75">
        <f>IFERROR(BA275,"")</f>
        <v>2029</v>
      </c>
      <c r="BB319" s="75" t="str">
        <f>IFERROR(BB275,"")</f>
        <v>1Q30</v>
      </c>
      <c r="BC319" s="75" t="str">
        <f>IFERROR(BC275,"")</f>
        <v>2Q30</v>
      </c>
      <c r="BD319" s="75" t="str">
        <f>IFERROR(BD275,"")</f>
        <v>3Q30</v>
      </c>
      <c r="BE319" s="75" t="str">
        <f>IFERROR(BE275,"")</f>
        <v>4Q30</v>
      </c>
      <c r="BF319" s="75">
        <f>IFERROR(BF275,"")</f>
        <v>2030</v>
      </c>
      <c r="BG319" s="75" t="n"/>
      <c r="BH319" s="75" t="n"/>
      <c r="BI319" s="75" t="n"/>
      <c r="BJ319" s="75" t="n"/>
      <c r="BK319" s="75" t="n"/>
      <c r="BL319" s="75" t="n"/>
      <c r="BM319" s="75" t="n"/>
      <c r="BN319" s="75" t="n"/>
      <c r="BO319" s="75" t="n"/>
      <c r="BP319" s="75" t="n"/>
      <c r="BQ319" s="75" t="n"/>
      <c r="BR319" s="75" t="n"/>
      <c r="BS319" s="75" t="n"/>
      <c r="BT319" s="75" t="n"/>
      <c r="BU319" s="75" t="n"/>
      <c r="BV319" s="75" t="n"/>
      <c r="BW319" s="75" t="n"/>
      <c r="BX319" s="75" t="n"/>
      <c r="BY319" s="75" t="n"/>
      <c r="BZ319" s="75" t="n"/>
      <c r="CA319" s="75" t="n"/>
      <c r="CB319" s="75" t="n"/>
      <c r="CC319" s="75" t="n"/>
      <c r="CD319" s="75" t="n"/>
      <c r="CE319" s="75" t="n"/>
      <c r="CF319" s="75" t="n"/>
      <c r="CG319" s="75" t="n"/>
      <c r="CH319" s="75" t="n"/>
      <c r="CI319" s="75" t="n"/>
      <c r="CJ319" s="75" t="n"/>
      <c r="CK319" s="75" t="n"/>
      <c r="CL319" s="75" t="n"/>
      <c r="CM319" s="75" t="n"/>
      <c r="CN319" s="75" t="n"/>
      <c r="CO319" s="75" t="n"/>
      <c r="CP319" s="75" t="n"/>
      <c r="CQ319" s="75" t="n"/>
      <c r="CR319" s="75" t="n"/>
      <c r="CS319" s="75" t="n"/>
      <c r="CT319" s="75" t="n"/>
      <c r="CU319" s="75" t="n"/>
      <c r="CV319" s="75" t="n"/>
      <c r="CW319" s="75" t="n"/>
      <c r="CX319" s="75" t="n"/>
      <c r="CY319" s="75" t="n"/>
    </row>
    <row r="320" customFormat="1" s="77">
      <c r="A320" s="76" t="n"/>
      <c r="B320" s="76" t="n"/>
      <c r="C320" s="74" t="inlineStr">
        <is>
          <t>GROWTH &amp; MARGINS</t>
        </is>
      </c>
    </row>
    <row r="321" customFormat="1" s="77">
      <c r="A321" s="76" t="n"/>
      <c r="B321" s="76" t="n"/>
      <c r="C321" s="77" t="inlineStr">
        <is>
          <t>NET REVENUE GROWTH (YoY)</t>
        </is>
      </c>
      <c r="E321" s="78" t="str">
        <f>IFERROR(E15/D15-1,"")</f>
        <v/>
      </c>
      <c r="F321" s="78" t="str">
        <f>IFERROR(F15/E15-1,"")</f>
        <v/>
      </c>
      <c r="G321" s="78" t="str">
        <f>IFERROR(G15/F15-1,"")</f>
        <v/>
      </c>
      <c r="H321" s="257" t="str">
        <f>""</f>
        <v/>
      </c>
      <c r="I321" s="257" t="str">
        <f>""</f>
        <v/>
      </c>
      <c r="J321" s="257" t="str">
        <f>""</f>
        <v/>
      </c>
      <c r="K321" s="257" t="str">
        <f>""</f>
        <v/>
      </c>
      <c r="L321" s="257" t="str">
        <f>""</f>
        <v/>
      </c>
      <c r="M321" s="257" t="str">
        <f>IFERROR(IF(AND(ISNUMBER(M15),ISNUMBER(H15),H15&lt;&gt;0),M15/H15-1,""),"")</f>
        <v/>
      </c>
      <c r="N321" s="257">
        <f>IFERROR(IF(AND(ISNUMBER(N15),ISNUMBER(I15),I15&lt;&gt;0),N15/I15-1,""),"")</f>
        <v>0.130975995747611</v>
      </c>
      <c r="O321" s="257">
        <f>IFERROR(IF(AND(ISNUMBER(O15),ISNUMBER(J15),J15&lt;&gt;0),O15/J15-1,""),"")</f>
        <v>0.388391186321839</v>
      </c>
      <c r="P321" s="257">
        <f>IFERROR(IF(AND(ISNUMBER(P15),ISNUMBER(K15),K15&lt;&gt;0),P15/K15-1,""),"")</f>
        <v>0.267002968929906</v>
      </c>
      <c r="Q321" s="257">
        <f>IFERROR(IF(AND(ISNUMBER(Q15),ISNUMBER(L15),L15&lt;&gt;0),Q15/L15-1,""),"")</f>
        <v>0.0965437366906858</v>
      </c>
      <c r="R321" s="257">
        <f>IFERROR(IF(AND(ISNUMBER(R15),ISNUMBER(M15),M15&lt;&gt;0),R15/M15-1,""),"")</f>
        <v>0.217428703317984</v>
      </c>
      <c r="S321" s="257">
        <f>IFERROR(IF(AND(ISNUMBER(S15),ISNUMBER(N15),N15&lt;&gt;0),S15/N15-1,""),"")</f>
        <v>0.190506607647182</v>
      </c>
      <c r="T321" s="257">
        <f>IFERROR(IF(AND(ISNUMBER(T15),ISNUMBER(O15),O15&lt;&gt;0),T15/O15-1,""),"")</f>
        <v>0.0328973633655563</v>
      </c>
      <c r="U321" s="257">
        <f>IFERROR(IF(AND(ISNUMBER(U15),ISNUMBER(P15),P15&lt;&gt;0),U15/P15-1,""),"")</f>
        <v>-0.0291481186815711</v>
      </c>
      <c r="V321" s="257">
        <f>IFERROR(IF(AND(ISNUMBER(V15),ISNUMBER(Q15),Q15&lt;&gt;0),V15/Q15-1,""),"")</f>
        <v>0.188868601177936</v>
      </c>
      <c r="W321" s="257">
        <f>IFERROR(IF(AND(ISNUMBER(W15),ISNUMBER(R15),R15&lt;&gt;0),W15/R15-1,""),"")</f>
        <v>0.0890435472594302</v>
      </c>
      <c r="X321" s="257">
        <f>IFERROR(IF(AND(ISNUMBER(X15),ISNUMBER(S15),S15&lt;&gt;0),X15/S15-1,""),"")</f>
        <v>0.201290579594415</v>
      </c>
      <c r="Y321" s="257">
        <f>IFERROR(IF(AND(ISNUMBER(Y15),ISNUMBER(T15),T15&lt;&gt;0),Y15/T15-1,""),"")</f>
        <v>0.394464559437602</v>
      </c>
      <c r="Z321" s="257">
        <f>IFERROR(IF(AND(ISNUMBER(Z15),ISNUMBER(U15),U15&lt;&gt;0),Z15/U15-1,""),"")</f>
        <v>0.632867584297467</v>
      </c>
      <c r="AA321" s="257">
        <f>IFERROR(IF(AND(ISNUMBER(AA15),ISNUMBER(V15),V15&lt;&gt;0),AA15/V15-1,""),"")</f>
        <v>0.455820225002284</v>
      </c>
      <c r="AB321" s="257">
        <f>IFERROR(IF(AND(ISNUMBER(AB15),ISNUMBER(W15),W15&lt;&gt;0),AB15/W15-1,""),"")</f>
        <v>0.421745146767788</v>
      </c>
      <c r="AC321" s="257">
        <f>IFERROR(IF(AND(ISNUMBER(AC15),ISNUMBER(X15),X15&lt;&gt;0),AC15/X15-1,""),"")</f>
        <v>0.335637740088014</v>
      </c>
      <c r="AD321" s="257">
        <f>IFERROR(IF(AND(ISNUMBER(AD15),ISNUMBER(Y15),Y15&lt;&gt;0),AD15/Y15-1,""),"")</f>
        <v>0.261768259458435</v>
      </c>
      <c r="AE321" s="257">
        <f>IFERROR(IF(AND(ISNUMBER(AE15),ISNUMBER(Z15),Z15&lt;&gt;0),AE15/Z15-1,""),"")</f>
        <v>0.271497411591064</v>
      </c>
      <c r="AF321" s="257">
        <f>IFERROR(IF(AND(ISNUMBER(AF15),ISNUMBER(AA15),AA15&lt;&gt;0),AF15/AA15-1,""),"")</f>
        <v>0.326368466041268</v>
      </c>
      <c r="AG321" s="257">
        <f>IFERROR(IF(AND(ISNUMBER(AG15),ISNUMBER(AB15),AB15&lt;&gt;0),AG15/AB15-1,""),"")</f>
        <v>0.297012665486028</v>
      </c>
      <c r="AH321" s="257">
        <f>IFERROR(IF(AND(ISNUMBER(AH15),ISNUMBER(AC15),AC15&lt;&gt;0),AH15/AC15-1,""),"")</f>
        <v>0.302410606040272</v>
      </c>
      <c r="AI321" s="257">
        <f>IFERROR(IF(AND(ISNUMBER(AI15),ISNUMBER(AD15),AD15&lt;&gt;0),AI15/AD15-1,""),"")</f>
        <v>0.200950986190517</v>
      </c>
      <c r="AJ321" s="257">
        <f>IFERROR(IF(AND(ISNUMBER(AJ15),ISNUMBER(AE15),AE15&lt;&gt;0),AJ15/AE15-1,""),"")</f>
        <v>0.283105578234928</v>
      </c>
      <c r="AK321" s="257">
        <f>IFERROR(IF(AND(ISNUMBER(AK15),ISNUMBER(AF15),AF15&lt;&gt;0),AK15/AF15-1,""),"")</f>
        <v>0.283105578234928</v>
      </c>
      <c r="AL321" s="257">
        <f>IFERROR(IF(AND(ISNUMBER(AL15),ISNUMBER(AG15),AG15&lt;&gt;0),AL15/AG15-1,""),"")</f>
        <v>0.26693000364009</v>
      </c>
      <c r="AM321" s="257">
        <f>IFERROR(IF(AND(ISNUMBER(AM15),ISNUMBER(AH15),AH15&lt;&gt;0),AM15/AH15-1,""),"")</f>
        <v>0.283105578234928</v>
      </c>
      <c r="AN321" s="257">
        <f>IFERROR(IF(AND(ISNUMBER(AN15),ISNUMBER(AI15),AI15&lt;&gt;0),AN15/AI15-1,""),"")</f>
        <v>0.283105578234928</v>
      </c>
      <c r="AO321" s="257">
        <f>IFERROR(IF(AND(ISNUMBER(AO15),ISNUMBER(AJ15),AJ15&lt;&gt;0),AO15/AJ15-1,""),"")</f>
        <v>0.283105578234928</v>
      </c>
      <c r="AP321" s="257">
        <f>IFERROR(IF(AND(ISNUMBER(AP15),ISNUMBER(AK15),AK15&lt;&gt;0),AP15/AK15-1,""),"")</f>
        <v>0.283105578234928</v>
      </c>
      <c r="AQ321" s="257">
        <f>IFERROR(IF(AND(ISNUMBER(AQ15),ISNUMBER(AL15),AL15&lt;&gt;0),AQ15/AL15-1,""),"")</f>
        <v>0.283105578234928</v>
      </c>
      <c r="AR321" s="257">
        <f>IFERROR(IF(AND(ISNUMBER(AR15),ISNUMBER(AM15),AM15&lt;&gt;0),AR15/AM15-1,""),"")</f>
        <v>0.278105578234928</v>
      </c>
      <c r="AS321" s="257">
        <f>IFERROR(IF(AND(ISNUMBER(AS15),ISNUMBER(AN15),AN15&lt;&gt;0),AS15/AN15-1,""),"")</f>
        <v>0.278105578234928</v>
      </c>
      <c r="AT321" s="257">
        <f>IFERROR(IF(AND(ISNUMBER(AT15),ISNUMBER(AO15),AO15&lt;&gt;0),AT15/AO15-1,""),"")</f>
        <v>0.278105578234928</v>
      </c>
      <c r="AU321" s="257">
        <f>IFERROR(IF(AND(ISNUMBER(AU15),ISNUMBER(AP15),AP15&lt;&gt;0),AU15/AP15-1,""),"")</f>
        <v>0.278105578234928</v>
      </c>
      <c r="AV321" s="257">
        <f>IFERROR(IF(AND(ISNUMBER(AV15),ISNUMBER(AQ15),AQ15&lt;&gt;0),AV15/AQ15-1,""),"")</f>
        <v>0.278105578234928</v>
      </c>
      <c r="AW321" s="257">
        <f>IFERROR(IF(AND(ISNUMBER(AW15),ISNUMBER(AR15),AR15&lt;&gt;0),AW15/AR15-1,""),"")</f>
        <v>0.273105578234928</v>
      </c>
      <c r="AX321" s="257">
        <f>IFERROR(IF(AND(ISNUMBER(AX15),ISNUMBER(AS15),AS15&lt;&gt;0),AX15/AS15-1,""),"")</f>
        <v>0.273105578234928</v>
      </c>
      <c r="AY321" s="257">
        <f>IFERROR(IF(AND(ISNUMBER(AY15),ISNUMBER(AT15),AT15&lt;&gt;0),AY15/AT15-1,""),"")</f>
        <v>0.273105578234928</v>
      </c>
      <c r="AZ321" s="257">
        <f>IFERROR(IF(AND(ISNUMBER(AZ15),ISNUMBER(AU15),AU15&lt;&gt;0),AZ15/AU15-1,""),"")</f>
        <v>0.273105578234928</v>
      </c>
      <c r="BA321" s="257">
        <f>IFERROR(IF(AND(ISNUMBER(BA15),ISNUMBER(AV15),AV15&lt;&gt;0),BA15/AV15-1,""),"")</f>
        <v>0.273105578234928</v>
      </c>
      <c r="BB321" s="257">
        <f>IFERROR(IF(AND(ISNUMBER(BB15),ISNUMBER(AW15),AW15&lt;&gt;0),BB15/AW15-1,""),"")</f>
        <v>0.268105578234928</v>
      </c>
      <c r="BC321" s="257">
        <f>IFERROR(IF(AND(ISNUMBER(BC15),ISNUMBER(AX15),AX15&lt;&gt;0),BC15/AX15-1,""),"")</f>
        <v>0.268105578234928</v>
      </c>
      <c r="BD321" s="257">
        <f>IFERROR(IF(AND(ISNUMBER(BD15),ISNUMBER(AY15),AY15&lt;&gt;0),BD15/AY15-1,""),"")</f>
        <v>0.268105578234928</v>
      </c>
      <c r="BE321" s="257">
        <f>IFERROR(IF(AND(ISNUMBER(BE15),ISNUMBER(AZ15),AZ15&lt;&gt;0),BE15/AZ15-1,""),"")</f>
        <v>0.268105578234928</v>
      </c>
      <c r="BF321" s="257">
        <f>IFERROR(IF(AND(ISNUMBER(BF15),ISNUMBER(BA15),BA15&lt;&gt;0),BF15/BA15-1,""),"")</f>
        <v>0.268105578234928</v>
      </c>
      <c r="BG321" s="79" t="n"/>
      <c r="BH321" s="79" t="n"/>
      <c r="BI321" s="79" t="n"/>
      <c r="BJ321" s="79" t="n"/>
      <c r="BK321" s="78" t="n"/>
      <c r="BL321" s="79" t="n"/>
      <c r="BM321" s="79" t="n"/>
      <c r="BN321" s="79" t="n"/>
      <c r="BO321" s="79" t="n"/>
      <c r="BP321" s="78" t="n"/>
      <c r="BQ321" s="79" t="n"/>
      <c r="BR321" s="79" t="n"/>
      <c r="BS321" s="79" t="n"/>
      <c r="BT321" s="79" t="n"/>
      <c r="BU321" s="78" t="n"/>
      <c r="BV321" s="79" t="n"/>
      <c r="BW321" s="79" t="n"/>
      <c r="BX321" s="79" t="n"/>
      <c r="BY321" s="79" t="n"/>
      <c r="BZ321" s="78" t="n"/>
      <c r="CA321" s="79" t="n"/>
      <c r="CB321" s="79" t="n"/>
      <c r="CC321" s="79" t="n"/>
      <c r="CD321" s="79" t="n"/>
      <c r="CE321" s="78" t="n"/>
      <c r="CF321" s="79" t="n"/>
      <c r="CG321" s="79" t="n"/>
      <c r="CH321" s="79" t="n"/>
      <c r="CI321" s="79" t="n"/>
      <c r="CJ321" s="78" t="n"/>
      <c r="CK321" s="79" t="n"/>
      <c r="CL321" s="79" t="n"/>
      <c r="CM321" s="79" t="n"/>
      <c r="CN321" s="79" t="n"/>
      <c r="CO321" s="78" t="n"/>
      <c r="CP321" s="79" t="n"/>
      <c r="CQ321" s="79" t="n"/>
      <c r="CR321" s="79" t="n"/>
      <c r="CS321" s="79" t="n"/>
      <c r="CT321" s="78" t="n"/>
      <c r="CU321" s="79" t="n"/>
      <c r="CV321" s="79" t="n"/>
      <c r="CW321" s="79" t="n"/>
      <c r="CX321" s="79" t="n"/>
      <c r="CY321" s="78" t="n"/>
    </row>
    <row r="322" customFormat="1" s="77">
      <c r="A322" s="76" t="n"/>
      <c r="B322" s="76" t="n"/>
      <c r="C322" s="77" t="inlineStr">
        <is>
          <t>GROSS MARGIN</t>
        </is>
      </c>
      <c r="D322" s="79" t="str">
        <f>IFERROR(SUM(D15,D54)/D15,"")</f>
        <v/>
      </c>
      <c r="E322" s="79" t="str">
        <f>IFERROR(SUM(E15,E54)/E15,"")</f>
        <v/>
      </c>
      <c r="F322" s="79" t="str">
        <f>IFERROR(SUM(F15,F54)/F15,"")</f>
        <v/>
      </c>
      <c r="G322" s="79" t="str">
        <f>IFERROR(SUM(G15,G54)/G15,"")</f>
        <v/>
      </c>
      <c r="H322" s="258" t="str">
        <f>IFERROR(IF(N(H15)&lt;&gt;0,(H15+H54)/H15,""),"")</f>
        <v/>
      </c>
      <c r="I322" s="258">
        <f>IFERROR(IF(N(I15)&lt;&gt;0,(I15+I54)/I15,""),"")</f>
        <v>0.354887716445389</v>
      </c>
      <c r="J322" s="258">
        <f>IFERROR(IF(N(J15)&lt;&gt;0,(J15+J54)/J15,""),"")</f>
        <v>0.376754326883992</v>
      </c>
      <c r="K322" s="258">
        <f>IFERROR(IF(N(K15)&lt;&gt;0,(K15+K54)/K15,""),"")</f>
        <v>0.356862135545105</v>
      </c>
      <c r="L322" s="258">
        <f>IFERROR(IF(N(L15)&lt;&gt;0,(L15+L54)/L15,""),"")</f>
        <v>0.333408366902752</v>
      </c>
      <c r="M322" s="258">
        <f>IFERROR(IF(N(M15)&lt;&gt;0,(M15+M54)/M15,""),"")</f>
        <v>0.35470000788176</v>
      </c>
      <c r="N322" s="258">
        <f>IFERROR(IF(N(N15)&lt;&gt;0,(N15+N54)/N15,""),"")</f>
        <v>0.352467666750695</v>
      </c>
      <c r="O322" s="258">
        <f>IFERROR(IF(N(O15)&lt;&gt;0,(O15+O54)/O15,""),"")</f>
        <v>0.311926104625968</v>
      </c>
      <c r="P322" s="258">
        <f>IFERROR(IF(N(P15)&lt;&gt;0,(P15+P54)/P15,""),"")</f>
        <v>0.339786320248045</v>
      </c>
      <c r="Q322" s="258">
        <f>IFERROR(IF(N(Q15)&lt;&gt;0,(Q15+Q54)/Q15,""),"")</f>
        <v>0.357187935990711</v>
      </c>
      <c r="R322" s="258">
        <f>IFERROR(IF(N(R15)&lt;&gt;0,(R15+R54)/R15,""),"")</f>
        <v>0.33927706074495</v>
      </c>
      <c r="S322" s="258">
        <f>IFERROR(IF(N(S15)&lt;&gt;0,(S15+S54)/S15,""),"")</f>
        <v>0.355024234256705</v>
      </c>
      <c r="T322" s="258">
        <f>IFERROR(IF(N(T15)&lt;&gt;0,(T15+T54)/T15,""),"")</f>
        <v>0.338913592156034</v>
      </c>
      <c r="U322" s="258">
        <f>IFERROR(IF(N(U15)&lt;&gt;0,(U15+U54)/U15,""),"")</f>
        <v>0.344952552414698</v>
      </c>
      <c r="V322" s="258">
        <f>IFERROR(IF(N(V15)&lt;&gt;0,(V15+V54)/V15,""),"")</f>
        <v>0.330133041815392</v>
      </c>
      <c r="W322" s="258">
        <f>IFERROR(IF(N(W15)&lt;&gt;0,(W15+W54)/W15,""),"")</f>
        <v>0.341788727245399</v>
      </c>
      <c r="X322" s="258">
        <f>IFERROR(IF(N(X15)&lt;&gt;0,(X15+X54)/X15,""),"")</f>
        <v>0.359406789535165</v>
      </c>
      <c r="Y322" s="258">
        <f>IFERROR(IF(N(Y15)&lt;&gt;0,(Y15+Y54)/Y15,""),"")</f>
        <v>0.35847054085428</v>
      </c>
      <c r="Z322" s="258">
        <f>IFERROR(IF(N(Z15)&lt;&gt;0,(Z15+Z54)/Z15,""),"")</f>
        <v>0.365382968115458</v>
      </c>
      <c r="AA322" s="258">
        <f>IFERROR(IF(N(AA15)&lt;&gt;0,(AA15+AA54)/AA15,""),"")</f>
        <v>0.370474242866881</v>
      </c>
      <c r="AB322" s="258">
        <f>IFERROR(IF(N(AB15)&lt;&gt;0,(AB15+AB54)/AB15,""),"")</f>
        <v>0.363850654179372</v>
      </c>
      <c r="AC322" s="258">
        <f>IFERROR(IF(N(AC15)&lt;&gt;0,(AC15+AC54)/AC15,""),"")</f>
        <v>0.386163340535849</v>
      </c>
      <c r="AD322" s="258">
        <f>IFERROR(IF(N(AD15)&lt;&gt;0,(AD15+AD54)/AD15,""),"")</f>
        <v>0.388869800321064</v>
      </c>
      <c r="AE322" s="258">
        <f>IFERROR(IF(N(AE15)&lt;&gt;0,(AE15+AE54)/AE15,""),"")</f>
        <v>0.400579363166909</v>
      </c>
      <c r="AF322" s="258">
        <f>IFERROR(IF(N(AF15)&lt;&gt;0,(AF15+AF54)/AF15,""),"")</f>
        <v>0.407154097221259</v>
      </c>
      <c r="AG322" s="258">
        <f>IFERROR(IF(N(AG15)&lt;&gt;0,(AG15+AG54)/AG15,""),"")</f>
        <v>0.39659517090459</v>
      </c>
      <c r="AH322" s="258">
        <f>IFERROR(IF(N(AH15)&lt;&gt;0,(AH15+AH54)/AH15,""),"")</f>
        <v>0.406527285327004</v>
      </c>
      <c r="AI322" s="258">
        <f>IFERROR(IF(N(AI15)&lt;&gt;0,(AI15+AI54)/AI15,""),"")</f>
        <v>0.399886653664409</v>
      </c>
      <c r="AJ322" s="258">
        <f>IFERROR(IF(N(AJ15)&lt;&gt;0,(AJ15+AJ54)/AJ15,""),"")</f>
        <v>0.398196756706082</v>
      </c>
      <c r="AK322" s="258">
        <f>IFERROR(IF(N(AK15)&lt;&gt;0,(AK15+AK54)/AK15,""),"")</f>
        <v>0.398196756706082</v>
      </c>
      <c r="AL322" s="258">
        <f>IFERROR(IF(N(AL15)&lt;&gt;0,(AL15+AL54)/AL15,""),"")</f>
        <v>0.40035276042439</v>
      </c>
      <c r="AM322" s="258">
        <f>IFERROR(IF(N(AM15)&lt;&gt;0,(AM15+AM54)/AM15,""),"")</f>
        <v>0.398196756706082</v>
      </c>
      <c r="AN322" s="258">
        <f>IFERROR(IF(N(AN15)&lt;&gt;0,(AN15+AN54)/AN15,""),"")</f>
        <v>0.398196756706082</v>
      </c>
      <c r="AO322" s="258">
        <f>IFERROR(IF(N(AO15)&lt;&gt;0,(AO15+AO54)/AO15,""),"")</f>
        <v>0.398196756706082</v>
      </c>
      <c r="AP322" s="258">
        <f>IFERROR(IF(N(AP15)&lt;&gt;0,(AP15+AP54)/AP15,""),"")</f>
        <v>0.398196756706082</v>
      </c>
      <c r="AQ322" s="258">
        <f>IFERROR(IF(N(AQ15)&lt;&gt;0,(AQ15+AQ54)/AQ15,""),"")</f>
        <v>0.398196756706082</v>
      </c>
      <c r="AR322" s="258">
        <f>IFERROR(IF(N(AR15)&lt;&gt;0,(AR15+AR54)/AR15,""),"")</f>
        <v>0.398196756706082</v>
      </c>
      <c r="AS322" s="258">
        <f>IFERROR(IF(N(AS15)&lt;&gt;0,(AS15+AS54)/AS15,""),"")</f>
        <v>0.398196756706082</v>
      </c>
      <c r="AT322" s="258">
        <f>IFERROR(IF(N(AT15)&lt;&gt;0,(AT15+AT54)/AT15,""),"")</f>
        <v>0.398196756706082</v>
      </c>
      <c r="AU322" s="258">
        <f>IFERROR(IF(N(AU15)&lt;&gt;0,(AU15+AU54)/AU15,""),"")</f>
        <v>0.398196756706082</v>
      </c>
      <c r="AV322" s="258">
        <f>IFERROR(IF(N(AV15)&lt;&gt;0,(AV15+AV54)/AV15,""),"")</f>
        <v>0.398196756706082</v>
      </c>
      <c r="AW322" s="258">
        <f>IFERROR(IF(N(AW15)&lt;&gt;0,(AW15+AW54)/AW15,""),"")</f>
        <v>0.398196756706082</v>
      </c>
      <c r="AX322" s="258">
        <f>IFERROR(IF(N(AX15)&lt;&gt;0,(AX15+AX54)/AX15,""),"")</f>
        <v>0.398196756706082</v>
      </c>
      <c r="AY322" s="258">
        <f>IFERROR(IF(N(AY15)&lt;&gt;0,(AY15+AY54)/AY15,""),"")</f>
        <v>0.398196756706082</v>
      </c>
      <c r="AZ322" s="258">
        <f>IFERROR(IF(N(AZ15)&lt;&gt;0,(AZ15+AZ54)/AZ15,""),"")</f>
        <v>0.398196756706082</v>
      </c>
      <c r="BA322" s="258">
        <f>IFERROR(IF(N(BA15)&lt;&gt;0,(BA15+BA54)/BA15,""),"")</f>
        <v>0.398196756706082</v>
      </c>
      <c r="BB322" s="258">
        <f>IFERROR(IF(N(BB15)&lt;&gt;0,(BB15+BB54)/BB15,""),"")</f>
        <v>0.398196756706082</v>
      </c>
      <c r="BC322" s="258">
        <f>IFERROR(IF(N(BC15)&lt;&gt;0,(BC15+BC54)/BC15,""),"")</f>
        <v>0.398196756706082</v>
      </c>
      <c r="BD322" s="258">
        <f>IFERROR(IF(N(BD15)&lt;&gt;0,(BD15+BD54)/BD15,""),"")</f>
        <v>0.398196756706082</v>
      </c>
      <c r="BE322" s="258">
        <f>IFERROR(IF(N(BE15)&lt;&gt;0,(BE15+BE54)/BE15,""),"")</f>
        <v>0.398196756706082</v>
      </c>
      <c r="BF322" s="258">
        <f>IFERROR(IF(N(BF15)&lt;&gt;0,(BF15+BF54)/BF15,""),"")</f>
        <v>0.398196756706082</v>
      </c>
      <c r="BG322" s="80" t="n"/>
      <c r="BH322" s="80" t="n"/>
      <c r="BI322" s="80" t="n"/>
      <c r="BJ322" s="80" t="n"/>
      <c r="BL322" s="80" t="n"/>
      <c r="BM322" s="80" t="n"/>
      <c r="BN322" s="80" t="n"/>
      <c r="BO322" s="80" t="n"/>
      <c r="BQ322" s="80" t="n"/>
      <c r="BR322" s="80" t="n"/>
      <c r="BS322" s="80" t="n"/>
      <c r="BT322" s="80" t="n"/>
      <c r="BV322" s="80" t="n"/>
      <c r="BW322" s="80" t="n"/>
      <c r="BX322" s="80" t="n"/>
      <c r="BY322" s="80" t="n"/>
      <c r="CA322" s="80" t="n"/>
      <c r="CB322" s="80" t="n"/>
      <c r="CC322" s="80" t="n"/>
      <c r="CD322" s="80" t="n"/>
      <c r="CF322" s="80" t="n"/>
      <c r="CG322" s="80" t="n"/>
      <c r="CH322" s="80" t="n"/>
      <c r="CI322" s="80" t="n"/>
      <c r="CK322" s="80" t="n"/>
      <c r="CL322" s="80" t="n"/>
      <c r="CM322" s="80" t="n"/>
      <c r="CN322" s="80" t="n"/>
      <c r="CP322" s="80" t="n"/>
      <c r="CQ322" s="80" t="n"/>
      <c r="CR322" s="80" t="n"/>
      <c r="CS322" s="80" t="n"/>
      <c r="CU322" s="80" t="n"/>
      <c r="CV322" s="80" t="n"/>
      <c r="CW322" s="80" t="n"/>
      <c r="CX322" s="80" t="n"/>
    </row>
    <row r="323" customFormat="1" s="77">
      <c r="A323" s="76" t="n"/>
      <c r="B323" s="76" t="n"/>
      <c r="C323" s="77" t="inlineStr">
        <is>
          <t>EBIT MARGIN</t>
        </is>
      </c>
      <c r="D323" s="78" t="str">
        <f>IFERROR((D73/D15),"")</f>
        <v/>
      </c>
      <c r="E323" s="78" t="str">
        <f>IFERROR((E73/E15),"")</f>
        <v/>
      </c>
      <c r="F323" s="78" t="str">
        <f>IFERROR((F73/F15),"")</f>
        <v/>
      </c>
      <c r="G323" s="78" t="str">
        <f>IFERROR((G73/G15),"")</f>
        <v/>
      </c>
      <c r="H323" s="258" t="str">
        <f>IFERROR(IF(N(H15)&lt;&gt;0,H73/H15,""),"")</f>
        <v/>
      </c>
      <c r="I323" s="257">
        <f>IFERROR(IF(N(I15)&lt;&gt;0,I73/I15,""),"")</f>
        <v>0.147043480244512</v>
      </c>
      <c r="J323" s="257">
        <f>IFERROR(IF(N(J15)&lt;&gt;0,J73/J15,""),"")</f>
        <v>0.174776655587192</v>
      </c>
      <c r="K323" s="257">
        <f>IFERROR(IF(N(K15)&lt;&gt;0,K73/K15,""),"")</f>
        <v>0.177232412123204</v>
      </c>
      <c r="L323" s="257">
        <f>IFERROR(IF(N(L15)&lt;&gt;0,L73/L15,""),"")</f>
        <v>0.15049890492247</v>
      </c>
      <c r="M323" s="258">
        <f>IFERROR(IF(N(M15)&lt;&gt;0,M73/M15,""),"")</f>
        <v>0.162286333076819</v>
      </c>
      <c r="N323" s="257">
        <f>IFERROR(IF(N(N15)&lt;&gt;0,N73/N15,""),"")</f>
        <v>0.162377642097527</v>
      </c>
      <c r="O323" s="257">
        <f>IFERROR(IF(N(O15)&lt;&gt;0,O73/O15,""),"")</f>
        <v>0.128644694144262</v>
      </c>
      <c r="P323" s="257">
        <f>IFERROR(IF(N(P15)&lt;&gt;0,P73/P15,""),"")</f>
        <v>0.140643197988896</v>
      </c>
      <c r="Q323" s="257">
        <f>IFERROR(IF(N(Q15)&lt;&gt;0,Q73/Q15,""),"")</f>
        <v>0.227459572834443</v>
      </c>
      <c r="R323" s="258">
        <f>IFERROR(IF(N(R15)&lt;&gt;0,R73/R15,""),"")</f>
        <v>0.163532037125407</v>
      </c>
      <c r="S323" s="257">
        <f>IFERROR(IF(N(S15)&lt;&gt;0,S73/S15,""),"")</f>
        <v>0.172527091943029</v>
      </c>
      <c r="T323" s="257">
        <f>IFERROR(IF(N(T15)&lt;&gt;0,T73/T15,""),"")</f>
        <v>0.194174837464982</v>
      </c>
      <c r="U323" s="257">
        <f>IFERROR(IF(N(U15)&lt;&gt;0,U73/U15,""),"")</f>
        <v>0.160457060527052</v>
      </c>
      <c r="V323" s="257">
        <f>IFERROR(IF(N(V15)&lt;&gt;0,V73/V15,""),"")</f>
        <v>0.103733550921652</v>
      </c>
      <c r="W323" s="258">
        <f>IFERROR(IF(N(W15)&lt;&gt;0,W73/W15,""),"")</f>
        <v>0.156690485635299</v>
      </c>
      <c r="X323" s="257">
        <f>IFERROR(IF(N(X15)&lt;&gt;0,X73/X15,""),"")</f>
        <v>0.196820762246767</v>
      </c>
      <c r="Y323" s="257">
        <f>IFERROR(IF(N(Y15)&lt;&gt;0,Y73/Y15,""),"")</f>
        <v>0.191755703489612</v>
      </c>
      <c r="Z323" s="257">
        <f>IFERROR(IF(N(Z15)&lt;&gt;0,Z73/Z15,""),"")</f>
        <v>0.185061904374927</v>
      </c>
      <c r="AA323" s="257">
        <f>IFERROR(IF(N(AA15)&lt;&gt;0,AA73/AA15,""),"")</f>
        <v>0.2232079289339</v>
      </c>
      <c r="AB323" s="258">
        <f>IFERROR(IF(N(AB15)&lt;&gt;0,AB73/AB15,""),"")</f>
        <v>0.199629109629174</v>
      </c>
      <c r="AC323" s="257">
        <f>IFERROR(IF(N(AC15)&lt;&gt;0,AC73/AC15,""),"")</f>
        <v>0.205877879328779</v>
      </c>
      <c r="AD323" s="257">
        <f>IFERROR(IF(N(AD15)&lt;&gt;0,AD73/AD15,""),"")</f>
        <v>0.197239042066823</v>
      </c>
      <c r="AE323" s="257">
        <f>IFERROR(IF(N(AE15)&lt;&gt;0,AE73/AE15,""),"")</f>
        <v>0.230523145593066</v>
      </c>
      <c r="AF323" s="257">
        <f>IFERROR(IF(N(AF15)&lt;&gt;0,AF73/AF15,""),"")</f>
        <v>0.227937019667282</v>
      </c>
      <c r="AG323" s="258">
        <f>IFERROR(IF(N(AG15)&lt;&gt;0,AG73/AG15,""),"")</f>
        <v>0.216555668329416</v>
      </c>
      <c r="AH323" s="257">
        <f>IFERROR(IF(N(AH15)&lt;&gt;0,AH73/AH15,""),"")</f>
        <v>0.240185070848508</v>
      </c>
      <c r="AI323" s="257">
        <f>IFERROR(IF(N(AI15)&lt;&gt;0,AI73/AI15,""),"")</f>
        <v>0.211215033632594</v>
      </c>
      <c r="AJ323" s="257">
        <f>IFERROR(IF(N(AJ15)&lt;&gt;0,AJ73/AJ15,""),"")</f>
        <v>0.218829531856175</v>
      </c>
      <c r="AK323" s="257">
        <f>IFERROR(IF(N(AK15)&lt;&gt;0,AK73/AK15,""),"")</f>
        <v>0.218829531856175</v>
      </c>
      <c r="AL323" s="258">
        <f>IFERROR(IF(N(AL15)&lt;&gt;0,AL73/AL15,""),"")</f>
        <v>0.22157895955738</v>
      </c>
      <c r="AM323" s="257">
        <f>IFERROR(IF(N(AM15)&lt;&gt;0,AM73/AM15,""),"")</f>
        <v>0.218829531856175</v>
      </c>
      <c r="AN323" s="257">
        <f>IFERROR(IF(N(AN15)&lt;&gt;0,AN73/AN15,""),"")</f>
        <v>0.218829531856175</v>
      </c>
      <c r="AO323" s="257">
        <f>IFERROR(IF(N(AO15)&lt;&gt;0,AO73/AO15,""),"")</f>
        <v>0.218829531856175</v>
      </c>
      <c r="AP323" s="257">
        <f>IFERROR(IF(N(AP15)&lt;&gt;0,AP73/AP15,""),"")</f>
        <v>0.218829531856175</v>
      </c>
      <c r="AQ323" s="258">
        <f>IFERROR(IF(N(AQ15)&lt;&gt;0,AQ73/AQ15,""),"")</f>
        <v>0.218829531856175</v>
      </c>
      <c r="AR323" s="257">
        <f>IFERROR(IF(N(AR15)&lt;&gt;0,AR73/AR15,""),"")</f>
        <v>0.218829531856175</v>
      </c>
      <c r="AS323" s="257">
        <f>IFERROR(IF(N(AS15)&lt;&gt;0,AS73/AS15,""),"")</f>
        <v>0.218829531856175</v>
      </c>
      <c r="AT323" s="257">
        <f>IFERROR(IF(N(AT15)&lt;&gt;0,AT73/AT15,""),"")</f>
        <v>0.218829531856175</v>
      </c>
      <c r="AU323" s="257">
        <f>IFERROR(IF(N(AU15)&lt;&gt;0,AU73/AU15,""),"")</f>
        <v>0.218829531856175</v>
      </c>
      <c r="AV323" s="258">
        <f>IFERROR(IF(N(AV15)&lt;&gt;0,AV73/AV15,""),"")</f>
        <v>0.218829531856175</v>
      </c>
      <c r="AW323" s="257">
        <f>IFERROR(IF(N(AW15)&lt;&gt;0,AW73/AW15,""),"")</f>
        <v>0.218829531856175</v>
      </c>
      <c r="AX323" s="257">
        <f>IFERROR(IF(N(AX15)&lt;&gt;0,AX73/AX15,""),"")</f>
        <v>0.218829531856175</v>
      </c>
      <c r="AY323" s="257">
        <f>IFERROR(IF(N(AY15)&lt;&gt;0,AY73/AY15,""),"")</f>
        <v>0.218829531856175</v>
      </c>
      <c r="AZ323" s="257">
        <f>IFERROR(IF(N(AZ15)&lt;&gt;0,AZ73/AZ15,""),"")</f>
        <v>0.218829531856175</v>
      </c>
      <c r="BA323" s="258">
        <f>IFERROR(IF(N(BA15)&lt;&gt;0,BA73/BA15,""),"")</f>
        <v>0.218829531856175</v>
      </c>
      <c r="BB323" s="257">
        <f>IFERROR(IF(N(BB15)&lt;&gt;0,BB73/BB15,""),"")</f>
        <v>0.218829531856175</v>
      </c>
      <c r="BC323" s="257">
        <f>IFERROR(IF(N(BC15)&lt;&gt;0,BC73/BC15,""),"")</f>
        <v>0.218829531856175</v>
      </c>
      <c r="BD323" s="257">
        <f>IFERROR(IF(N(BD15)&lt;&gt;0,BD73/BD15,""),"")</f>
        <v>0.218829531856175</v>
      </c>
      <c r="BE323" s="257">
        <f>IFERROR(IF(N(BE15)&lt;&gt;0,BE73/BE15,""),"")</f>
        <v>0.218829531856175</v>
      </c>
      <c r="BF323" s="258">
        <f>IFERROR(IF(N(BF15)&lt;&gt;0,BF73/BF15,""),"")</f>
        <v>0.218829531856175</v>
      </c>
      <c r="BG323" s="81" t="n"/>
      <c r="BH323" s="81" t="n"/>
      <c r="BI323" s="81" t="n"/>
      <c r="BJ323" s="81" t="n"/>
      <c r="BL323" s="81" t="n"/>
      <c r="BM323" s="81" t="n"/>
      <c r="BN323" s="81" t="n"/>
      <c r="BO323" s="81" t="n"/>
      <c r="BQ323" s="81" t="n"/>
      <c r="BR323" s="81" t="n"/>
      <c r="BS323" s="81" t="n"/>
      <c r="BT323" s="81" t="n"/>
      <c r="BV323" s="81" t="n"/>
      <c r="BW323" s="81" t="n"/>
      <c r="BX323" s="81" t="n"/>
      <c r="BY323" s="81" t="n"/>
      <c r="CA323" s="81" t="n"/>
      <c r="CB323" s="81" t="n"/>
      <c r="CC323" s="81" t="n"/>
      <c r="CD323" s="81" t="n"/>
      <c r="CF323" s="81" t="n"/>
      <c r="CG323" s="81" t="n"/>
      <c r="CH323" s="81" t="n"/>
      <c r="CI323" s="81" t="n"/>
      <c r="CK323" s="81" t="n"/>
      <c r="CL323" s="81" t="n"/>
      <c r="CM323" s="81" t="n"/>
      <c r="CN323" s="81" t="n"/>
      <c r="CP323" s="81" t="n"/>
      <c r="CQ323" s="81" t="n"/>
      <c r="CR323" s="81" t="n"/>
      <c r="CS323" s="81" t="n"/>
      <c r="CU323" s="81" t="n"/>
      <c r="CV323" s="81" t="n"/>
      <c r="CW323" s="81" t="n"/>
      <c r="CX323" s="81" t="n"/>
    </row>
    <row r="324" customFormat="1" s="77">
      <c r="A324" s="76" t="n"/>
      <c r="B324" s="76" t="n"/>
      <c r="C324" s="77" t="inlineStr">
        <is>
          <t>EBITDA MARGIN</t>
        </is>
      </c>
      <c r="D324" s="78" t="str">
        <f>IFERROR(D69/D15,"")</f>
        <v/>
      </c>
      <c r="E324" s="78" t="str">
        <f>IFERROR(E69/E15,"")</f>
        <v/>
      </c>
      <c r="F324" s="78" t="str">
        <f>IFERROR(F69/F15,"")</f>
        <v/>
      </c>
      <c r="G324" s="78" t="str">
        <f>IFERROR(G69/G15,"")</f>
        <v/>
      </c>
      <c r="H324" s="258" t="str">
        <f>IFERROR(IF(N(H15)&lt;&gt;0,H69/H15,""),"")</f>
        <v/>
      </c>
      <c r="I324" s="257">
        <f>IFERROR(IF(N(I15)&lt;&gt;0,I69/I15,""),"")</f>
        <v>0.176442951112024</v>
      </c>
      <c r="J324" s="257">
        <f>IFERROR(IF(N(J15)&lt;&gt;0,J69/J15,""),"")</f>
        <v>0.204272441565086</v>
      </c>
      <c r="K324" s="257">
        <f>IFERROR(IF(N(K15)&lt;&gt;0,K69/K15,""),"")</f>
        <v>0.20591809817541</v>
      </c>
      <c r="L324" s="257">
        <f>IFERROR(IF(N(L15)&lt;&gt;0,L69/L15,""),"")</f>
        <v>0.178553963642599</v>
      </c>
      <c r="M324" s="258">
        <f>IFERROR(IF(N(M15)&lt;&gt;0,M69/M15,""),"")</f>
        <v>0.191157970902059</v>
      </c>
      <c r="N324" s="257">
        <f>IFERROR(IF(N(N15)&lt;&gt;0,N69/N15,""),"")</f>
        <v>0.19268138450824</v>
      </c>
      <c r="O324" s="257">
        <f>IFERROR(IF(N(O15)&lt;&gt;0,O69/O15,""),"")</f>
        <v>0.151921259251424</v>
      </c>
      <c r="P324" s="257">
        <f>IFERROR(IF(N(P15)&lt;&gt;0,P69/P15,""),"")</f>
        <v>0.162977380307828</v>
      </c>
      <c r="Q324" s="257">
        <f>IFERROR(IF(N(Q15)&lt;&gt;0,Q69/Q15,""),"")</f>
        <v>0.25137035684523</v>
      </c>
      <c r="R324" s="258">
        <f>IFERROR(IF(N(R15)&lt;&gt;0,R69/R15,""),"")</f>
        <v>0.188235914281592</v>
      </c>
      <c r="S324" s="257">
        <f>IFERROR(IF(N(S15)&lt;&gt;0,S69/S15,""),"")</f>
        <v>0.196838510665406</v>
      </c>
      <c r="T324" s="257">
        <f>IFERROR(IF(N(T15)&lt;&gt;0,T69/T15,""),"")</f>
        <v>0.222458243036101</v>
      </c>
      <c r="U324" s="257">
        <f>IFERROR(IF(N(U15)&lt;&gt;0,U69/U15,""),"")</f>
        <v>0.190189804740455</v>
      </c>
      <c r="V324" s="257">
        <f>IFERROR(IF(N(V15)&lt;&gt;0,V69/V15,""),"")</f>
        <v>0.124688503208693</v>
      </c>
      <c r="W324" s="258">
        <f>IFERROR(IF(N(W15)&lt;&gt;0,W69/W15,""),"")</f>
        <v>0.182401863477275</v>
      </c>
      <c r="X324" s="257">
        <f>IFERROR(IF(N(X15)&lt;&gt;0,X69/X15,""),"")</f>
        <v>0.220942344101505</v>
      </c>
      <c r="Y324" s="257">
        <f>IFERROR(IF(N(Y15)&lt;&gt;0,Y69/Y15,""),"")</f>
        <v>0.213822226433868</v>
      </c>
      <c r="Z324" s="257">
        <f>IFERROR(IF(N(Z15)&lt;&gt;0,Z69/Z15,""),"")</f>
        <v>0.202917203859442</v>
      </c>
      <c r="AA324" s="257">
        <f>IFERROR(IF(N(AA15)&lt;&gt;0,AA69/AA15,""),"")</f>
        <v>0.243799569361942</v>
      </c>
      <c r="AB324" s="258">
        <f>IFERROR(IF(N(AB15)&lt;&gt;0,AB69/AB15,""),"")</f>
        <v>0.220554188844457</v>
      </c>
      <c r="AC324" s="257">
        <f>IFERROR(IF(N(AC15)&lt;&gt;0,AC69/AC15,""),"")</f>
        <v>0.226031503178502</v>
      </c>
      <c r="AD324" s="257">
        <f>IFERROR(IF(N(AD15)&lt;&gt;0,AD69/AD15,""),"")</f>
        <v>0.215759333840276</v>
      </c>
      <c r="AE324" s="257">
        <f>IFERROR(IF(N(AE15)&lt;&gt;0,AE69/AE15,""),"")</f>
        <v>0.248059504777501</v>
      </c>
      <c r="AF324" s="257">
        <f>IFERROR(IF(N(AF15)&lt;&gt;0,AF69/AF15,""),"")</f>
        <v>0.246447546708673</v>
      </c>
      <c r="AG324" s="258">
        <f>IFERROR(IF(N(AG15)&lt;&gt;0,AG69/AG15,""),"")</f>
        <v>0.235147160677577</v>
      </c>
      <c r="AH324" s="257">
        <f>IFERROR(IF(N(AH15)&lt;&gt;0,AH69/AH15,""),"")</f>
        <v>0.259548297291518</v>
      </c>
      <c r="AI324" s="257">
        <f>IFERROR(IF(N(AI15)&lt;&gt;0,AI69/AI15,""),"")</f>
        <v>0.229537273356185</v>
      </c>
      <c r="AJ324" s="257">
        <f>IFERROR(IF(N(AJ15)&lt;&gt;0,AJ69/AJ15,""),"")</f>
        <v>0.237563909858776</v>
      </c>
      <c r="AK324" s="257">
        <f>IFERROR(IF(N(AK15)&lt;&gt;0,AK69/AK15,""),"")</f>
        <v>0.237563909858776</v>
      </c>
      <c r="AL324" s="258">
        <f>IFERROR(IF(N(AL15)&lt;&gt;0,AL69/AL15,""),"")</f>
        <v>0.240350608772297</v>
      </c>
      <c r="AM324" s="257">
        <f>IFERROR(IF(N(AM15)&lt;&gt;0,AM69/AM15,""),"")</f>
        <v>0.237563909858776</v>
      </c>
      <c r="AN324" s="257">
        <f>IFERROR(IF(N(AN15)&lt;&gt;0,AN69/AN15,""),"")</f>
        <v>0.237563909858776</v>
      </c>
      <c r="AO324" s="257">
        <f>IFERROR(IF(N(AO15)&lt;&gt;0,AO69/AO15,""),"")</f>
        <v>0.237563909858776</v>
      </c>
      <c r="AP324" s="257">
        <f>IFERROR(IF(N(AP15)&lt;&gt;0,AP69/AP15,""),"")</f>
        <v>0.237563909858776</v>
      </c>
      <c r="AQ324" s="258">
        <f>IFERROR(IF(N(AQ15)&lt;&gt;0,AQ69/AQ15,""),"")</f>
        <v>0.237563909858776</v>
      </c>
      <c r="AR324" s="257">
        <f>IFERROR(IF(N(AR15)&lt;&gt;0,AR69/AR15,""),"")</f>
        <v>0.237563909858776</v>
      </c>
      <c r="AS324" s="257">
        <f>IFERROR(IF(N(AS15)&lt;&gt;0,AS69/AS15,""),"")</f>
        <v>0.237563909858776</v>
      </c>
      <c r="AT324" s="257">
        <f>IFERROR(IF(N(AT15)&lt;&gt;0,AT69/AT15,""),"")</f>
        <v>0.237563909858776</v>
      </c>
      <c r="AU324" s="257">
        <f>IFERROR(IF(N(AU15)&lt;&gt;0,AU69/AU15,""),"")</f>
        <v>0.237563909858776</v>
      </c>
      <c r="AV324" s="258">
        <f>IFERROR(IF(N(AV15)&lt;&gt;0,AV69/AV15,""),"")</f>
        <v>0.237563909858776</v>
      </c>
      <c r="AW324" s="257">
        <f>IFERROR(IF(N(AW15)&lt;&gt;0,AW69/AW15,""),"")</f>
        <v>0.237563909858776</v>
      </c>
      <c r="AX324" s="257">
        <f>IFERROR(IF(N(AX15)&lt;&gt;0,AX69/AX15,""),"")</f>
        <v>0.237563909858776</v>
      </c>
      <c r="AY324" s="257">
        <f>IFERROR(IF(N(AY15)&lt;&gt;0,AY69/AY15,""),"")</f>
        <v>0.237563909858776</v>
      </c>
      <c r="AZ324" s="257">
        <f>IFERROR(IF(N(AZ15)&lt;&gt;0,AZ69/AZ15,""),"")</f>
        <v>0.237563909858776</v>
      </c>
      <c r="BA324" s="258">
        <f>IFERROR(IF(N(BA15)&lt;&gt;0,BA69/BA15,""),"")</f>
        <v>0.237563909858776</v>
      </c>
      <c r="BB324" s="257">
        <f>IFERROR(IF(N(BB15)&lt;&gt;0,BB69/BB15,""),"")</f>
        <v>0.237563909858776</v>
      </c>
      <c r="BC324" s="257">
        <f>IFERROR(IF(N(BC15)&lt;&gt;0,BC69/BC15,""),"")</f>
        <v>0.237563909858776</v>
      </c>
      <c r="BD324" s="257">
        <f>IFERROR(IF(N(BD15)&lt;&gt;0,BD69/BD15,""),"")</f>
        <v>0.237563909858776</v>
      </c>
      <c r="BE324" s="257">
        <f>IFERROR(IF(N(BE15)&lt;&gt;0,BE69/BE15,""),"")</f>
        <v>0.237563909858776</v>
      </c>
      <c r="BF324" s="258">
        <f>IFERROR(IF(N(BF15)&lt;&gt;0,BF69/BF15,""),"")</f>
        <v>0.237563909858776</v>
      </c>
      <c r="BG324" s="81" t="n"/>
      <c r="BH324" s="81" t="n"/>
      <c r="BI324" s="81" t="n"/>
      <c r="BJ324" s="81" t="n"/>
      <c r="BL324" s="81" t="n"/>
      <c r="BM324" s="81" t="n"/>
      <c r="BN324" s="81" t="n"/>
      <c r="BO324" s="81" t="n"/>
      <c r="BQ324" s="81" t="n"/>
      <c r="BR324" s="81" t="n"/>
      <c r="BS324" s="81" t="n"/>
      <c r="BT324" s="81" t="n"/>
      <c r="BV324" s="81" t="n"/>
      <c r="BW324" s="81" t="n"/>
      <c r="BX324" s="81" t="n"/>
      <c r="BY324" s="81" t="n"/>
      <c r="CA324" s="81" t="n"/>
      <c r="CB324" s="81" t="n"/>
      <c r="CC324" s="81" t="n"/>
      <c r="CD324" s="81" t="n"/>
      <c r="CF324" s="81" t="n"/>
      <c r="CG324" s="81" t="n"/>
      <c r="CH324" s="81" t="n"/>
      <c r="CI324" s="81" t="n"/>
      <c r="CK324" s="81" t="n"/>
      <c r="CL324" s="81" t="n"/>
      <c r="CM324" s="81" t="n"/>
      <c r="CN324" s="81" t="n"/>
      <c r="CP324" s="81" t="n"/>
      <c r="CQ324" s="81" t="n"/>
      <c r="CR324" s="81" t="n"/>
      <c r="CS324" s="81" t="n"/>
      <c r="CU324" s="81" t="n"/>
      <c r="CV324" s="81" t="n"/>
      <c r="CW324" s="81" t="n"/>
      <c r="CX324" s="81" t="n"/>
    </row>
    <row r="325" customFormat="1" s="77">
      <c r="A325" s="76" t="n"/>
      <c r="B325" s="76" t="n"/>
      <c r="C325" s="77" t="inlineStr">
        <is>
          <t>ETR</t>
        </is>
      </c>
      <c r="D325" s="78" t="str">
        <f>IFERROR(-D131/D130,"")</f>
        <v/>
      </c>
      <c r="E325" s="78" t="str">
        <f>IFERROR(-E131/E130,"")</f>
        <v/>
      </c>
      <c r="F325" s="78" t="str">
        <f>IFERROR(-F131/F130,"")</f>
        <v/>
      </c>
      <c r="G325" s="78" t="str">
        <f>IFERROR(-G131/G130,"")</f>
        <v/>
      </c>
      <c r="H325" s="258" t="str">
        <f>IFERROR(IF(N(H130)&lt;&gt;0,-H131/H130,""),"")</f>
        <v/>
      </c>
      <c r="I325" s="257">
        <f>IFERROR(IF(N(I130)&lt;&gt;0,-I131/I130,""),"")</f>
        <v>0.193894983273547</v>
      </c>
      <c r="J325" s="257">
        <f>IFERROR(IF(N(J130)&lt;&gt;0,-J131/J130,""),"")</f>
        <v>0.157950884168586</v>
      </c>
      <c r="K325" s="257">
        <f>IFERROR(IF(N(K130)&lt;&gt;0,-K131/K130,""),"")</f>
        <v>0.135030255956951</v>
      </c>
      <c r="L325" s="257">
        <f>IFERROR(IF(N(L130)&lt;&gt;0,-L131/L130,""),"")</f>
        <v>0.19974251329863</v>
      </c>
      <c r="M325" s="258">
        <f>IFERROR(IF(N(M130)&lt;&gt;0,-M131/M130,""),"")</f>
        <v>0.16809409074302</v>
      </c>
      <c r="N325" s="257">
        <f>IFERROR(IF(N(N130)&lt;&gt;0,-N131/N130,""),"")</f>
        <v>0.190332912743861</v>
      </c>
      <c r="O325" s="257">
        <f>IFERROR(IF(N(O130)&lt;&gt;0,-O131/O130,""),"")</f>
        <v>0.282016195966711</v>
      </c>
      <c r="P325" s="257">
        <f>IFERROR(IF(N(P130)&lt;&gt;0,-P131/P130,""),"")</f>
        <v>0.147721926681866</v>
      </c>
      <c r="Q325" s="257">
        <f>IFERROR(IF(N(Q130)&lt;&gt;0,-Q131/Q130,""),"")</f>
        <v>0.111363568714219</v>
      </c>
      <c r="R325" s="258">
        <f>IFERROR(IF(N(R130)&lt;&gt;0,-R131/R130,""),"")</f>
        <v>0.163868039173636</v>
      </c>
      <c r="S325" s="257">
        <f>IFERROR(IF(N(S130)&lt;&gt;0,-S131/S130,""),"")</f>
        <v>0.147502797803399</v>
      </c>
      <c r="T325" s="257">
        <f>IFERROR(IF(N(T130)&lt;&gt;0,-T131/T130,""),"")</f>
        <v>0.116526206369252</v>
      </c>
      <c r="U325" s="257">
        <f>IFERROR(IF(N(U130)&lt;&gt;0,-U131/U130,""),"")</f>
        <v>0.143488330273065</v>
      </c>
      <c r="V325" s="257">
        <f>IFERROR(IF(N(V130)&lt;&gt;0,-V131/V130,""),"")</f>
        <v>0.124241859143423</v>
      </c>
      <c r="W325" s="258">
        <f>IFERROR(IF(N(W130)&lt;&gt;0,-W131/W130,""),"")</f>
        <v>0.130445828308121</v>
      </c>
      <c r="X325" s="257">
        <f>IFERROR(IF(N(X130)&lt;&gt;0,-X131/X130,""),"")</f>
        <v>0.0801671304348006</v>
      </c>
      <c r="Y325" s="257">
        <f>IFERROR(IF(N(Y130)&lt;&gt;0,-Y131/Y130,""),"")</f>
        <v>0.0900961364048612</v>
      </c>
      <c r="Z325" s="257">
        <f>IFERROR(IF(N(Z130)&lt;&gt;0,-Z131/Z130,""),"")</f>
        <v>0.106270394316085</v>
      </c>
      <c r="AA325" s="257">
        <f>IFERROR(IF(N(AA130)&lt;&gt;0,-AA131/AA130,""),"")</f>
        <v>0.087961616749055</v>
      </c>
      <c r="AB325" s="258">
        <f>IFERROR(IF(N(AB130)&lt;&gt;0,-AB131/AB130,""),"")</f>
        <v>0.0915742136283483</v>
      </c>
      <c r="AC325" s="257">
        <f>IFERROR(IF(N(AC130)&lt;&gt;0,-AC131/AC130,""),"")</f>
        <v>0.105443247266388</v>
      </c>
      <c r="AD325" s="257">
        <f>IFERROR(IF(N(AD130)&lt;&gt;0,-AD131/AD130,""),"")</f>
        <v>0.0987339554036886</v>
      </c>
      <c r="AE325" s="257">
        <f>IFERROR(IF(N(AE130)&lt;&gt;0,-AE131/AE130,""),"")</f>
        <v>0.0931336059360777</v>
      </c>
      <c r="AF325" s="257">
        <f>IFERROR(IF(N(AF130)&lt;&gt;0,-AF131/AF130,""),"")</f>
        <v>0.0946660800343794</v>
      </c>
      <c r="AG325" s="258">
        <f>IFERROR(IF(N(AG130)&lt;&gt;0,-AG131/AG130,""),"")</f>
        <v>0.0972601620494102</v>
      </c>
      <c r="AH325" s="257">
        <f>IFERROR(IF(N(AH130)&lt;&gt;0,-AH131/AH130,""),"")</f>
        <v>0.0876900033682822</v>
      </c>
      <c r="AI325" s="257">
        <f>IFERROR(IF(N(AI130)&lt;&gt;0,-AI131/AI130,""),"")</f>
        <v>0.102796356435869</v>
      </c>
      <c r="AJ325" s="257">
        <f>IFERROR(IF(N(AJ130)&lt;&gt;0,-AJ131/AJ130,""),"")</f>
        <v>0.0970772080741141</v>
      </c>
      <c r="AK325" s="257">
        <f>IFERROR(IF(N(AK130)&lt;&gt;0,-AK131/AK130,""),"")</f>
        <v>0.0970772080741141</v>
      </c>
      <c r="AL325" s="258">
        <f>IFERROR(IF(N(AL130)&lt;&gt;0,-AL131/AL130,""),"")</f>
        <v>0.0963454532482335</v>
      </c>
      <c r="AM325" s="257">
        <f>IFERROR(IF(N(AM130)&lt;&gt;0,-AM131/AM130,""),"")</f>
        <v>0.0970772080741141</v>
      </c>
      <c r="AN325" s="257">
        <f>IFERROR(IF(N(AN130)&lt;&gt;0,-AN131/AN130,""),"")</f>
        <v>0.0970772080741141</v>
      </c>
      <c r="AO325" s="257">
        <f>IFERROR(IF(N(AO130)&lt;&gt;0,-AO131/AO130,""),"")</f>
        <v>0.0970772080741141</v>
      </c>
      <c r="AP325" s="257">
        <f>IFERROR(IF(N(AP130)&lt;&gt;0,-AP131/AP130,""),"")</f>
        <v>0.0970772080741141</v>
      </c>
      <c r="AQ325" s="258">
        <f>IFERROR(IF(N(AQ130)&lt;&gt;0,-AQ131/AQ130,""),"")</f>
        <v>0.0970772080741141</v>
      </c>
      <c r="AR325" s="257">
        <f>IFERROR(IF(N(AR130)&lt;&gt;0,-AR131/AR130,""),"")</f>
        <v>0.0970772080741141</v>
      </c>
      <c r="AS325" s="257">
        <f>IFERROR(IF(N(AS130)&lt;&gt;0,-AS131/AS130,""),"")</f>
        <v>0.0970772080741141</v>
      </c>
      <c r="AT325" s="257">
        <f>IFERROR(IF(N(AT130)&lt;&gt;0,-AT131/AT130,""),"")</f>
        <v>0.0970772080741141</v>
      </c>
      <c r="AU325" s="257">
        <f>IFERROR(IF(N(AU130)&lt;&gt;0,-AU131/AU130,""),"")</f>
        <v>0.0970772080741141</v>
      </c>
      <c r="AV325" s="258">
        <f>IFERROR(IF(N(AV130)&lt;&gt;0,-AV131/AV130,""),"")</f>
        <v>0.0970772080741141</v>
      </c>
      <c r="AW325" s="257">
        <f>IFERROR(IF(N(AW130)&lt;&gt;0,-AW131/AW130,""),"")</f>
        <v>0.0970772080741141</v>
      </c>
      <c r="AX325" s="257">
        <f>IFERROR(IF(N(AX130)&lt;&gt;0,-AX131/AX130,""),"")</f>
        <v>0.0970772080741141</v>
      </c>
      <c r="AY325" s="257">
        <f>IFERROR(IF(N(AY130)&lt;&gt;0,-AY131/AY130,""),"")</f>
        <v>0.0970772080741141</v>
      </c>
      <c r="AZ325" s="257">
        <f>IFERROR(IF(N(AZ130)&lt;&gt;0,-AZ131/AZ130,""),"")</f>
        <v>0.0970772080741141</v>
      </c>
      <c r="BA325" s="258">
        <f>IFERROR(IF(N(BA130)&lt;&gt;0,-BA131/BA130,""),"")</f>
        <v>0.0970772080741141</v>
      </c>
      <c r="BB325" s="257">
        <f>IFERROR(IF(N(BB130)&lt;&gt;0,-BB131/BB130,""),"")</f>
        <v>0.0970772080741141</v>
      </c>
      <c r="BC325" s="257">
        <f>IFERROR(IF(N(BC130)&lt;&gt;0,-BC131/BC130,""),"")</f>
        <v>0.0970772080741141</v>
      </c>
      <c r="BD325" s="257">
        <f>IFERROR(IF(N(BD130)&lt;&gt;0,-BD131/BD130,""),"")</f>
        <v>0.0970772080741141</v>
      </c>
      <c r="BE325" s="257">
        <f>IFERROR(IF(N(BE130)&lt;&gt;0,-BE131/BE130,""),"")</f>
        <v>0.0970772080741141</v>
      </c>
      <c r="BF325" s="258">
        <f>IFERROR(IF(N(BF130)&lt;&gt;0,-BF131/BF130,""),"")</f>
        <v>0.0970772080741141</v>
      </c>
      <c r="BG325" s="81" t="n"/>
      <c r="BH325" s="81" t="n"/>
      <c r="BI325" s="81" t="n"/>
      <c r="BJ325" s="81" t="n"/>
      <c r="BL325" s="81" t="n"/>
      <c r="BM325" s="81" t="n"/>
      <c r="BN325" s="81" t="n"/>
      <c r="BO325" s="81" t="n"/>
      <c r="BQ325" s="81" t="n"/>
      <c r="BR325" s="81" t="n"/>
      <c r="BS325" s="81" t="n"/>
      <c r="BT325" s="81" t="n"/>
      <c r="BV325" s="81" t="n"/>
      <c r="BW325" s="81" t="n"/>
      <c r="BX325" s="81" t="n"/>
      <c r="BY325" s="81" t="n"/>
      <c r="CA325" s="81" t="n"/>
      <c r="CB325" s="81" t="n"/>
      <c r="CC325" s="81" t="n"/>
      <c r="CD325" s="81" t="n"/>
      <c r="CF325" s="81" t="n"/>
      <c r="CG325" s="81" t="n"/>
      <c r="CH325" s="81" t="n"/>
      <c r="CI325" s="81" t="n"/>
      <c r="CK325" s="81" t="n"/>
      <c r="CL325" s="81" t="n"/>
      <c r="CM325" s="81" t="n"/>
      <c r="CN325" s="81" t="n"/>
      <c r="CP325" s="81" t="n"/>
      <c r="CQ325" s="81" t="n"/>
      <c r="CR325" s="81" t="n"/>
      <c r="CS325" s="81" t="n"/>
      <c r="CU325" s="81" t="n"/>
      <c r="CV325" s="81" t="n"/>
      <c r="CW325" s="81" t="n"/>
      <c r="CX325" s="81" t="n"/>
    </row>
    <row r="326" customFormat="1" s="77">
      <c r="A326" s="76" t="n"/>
      <c r="B326" s="76" t="n"/>
    </row>
    <row r="327" customFormat="1" s="77">
      <c r="A327" s="76" t="n"/>
      <c r="B327" s="76" t="n"/>
      <c r="C327" s="74" t="inlineStr">
        <is>
          <t>CAPITAL STRUCTURE</t>
        </is>
      </c>
    </row>
    <row r="328" customFormat="1" s="77">
      <c r="A328" s="76" t="n"/>
      <c r="B328" s="76" t="n"/>
      <c r="C328" s="77" t="inlineStr">
        <is>
          <t>TOTAL DEBT / EQUITY (BOOK VALUE)</t>
        </is>
      </c>
      <c r="H328" s="262" t="str">
        <f>IFERROR(IF(N(H271)&lt;&gt;0,(N(H212)+N(H213)+N(H214)+N(H217)+N(H235)+N(H238))/H271,""),"")</f>
        <v/>
      </c>
      <c r="I328" s="262">
        <f>IFERROR(IF(N(I271)&lt;&gt;0,(N(I212)+N(I213)+N(I214)+N(I217)+N(I235)+N(I238))/I271,""),"")</f>
        <v>0.826499439950125</v>
      </c>
      <c r="J328" s="262">
        <f>IFERROR(IF(N(J271)&lt;&gt;0,(N(J212)+N(J213)+N(J214)+N(J217)+N(J235)+N(J238))/J271,""),"")</f>
        <v>0.946483926222668</v>
      </c>
      <c r="K328" s="262">
        <f>IFERROR(IF(N(K271)&lt;&gt;0,(N(K212)+N(K213)+N(K214)+N(K217)+N(K235)+N(K238))/K271,""),"")</f>
        <v>0.912065958271839</v>
      </c>
      <c r="L328" s="262">
        <f>IFERROR(IF(N(L271)&lt;&gt;0,(N(L212)+N(L213)+N(L214)+N(L217)+N(L235)+N(L238))/L271,""),"")</f>
        <v>0.875127846556711</v>
      </c>
      <c r="M328" s="262">
        <f>IFERROR(IF(N(M271)&lt;&gt;0,(N(M212)+N(M213)+N(M214)+N(M217)+N(M235)+N(M238))/M271,""),"")</f>
        <v>0.875127846556712</v>
      </c>
      <c r="N328" s="262">
        <f>IFERROR(IF(N(N271)&lt;&gt;0,(N(N212)+N(N213)+N(N214)+N(N217)+N(N235)+N(N238))/N271,""),"")</f>
        <v>0.888435856804009</v>
      </c>
      <c r="O328" s="262">
        <f>IFERROR(IF(N(O271)&lt;&gt;0,(N(O212)+N(O213)+N(O214)+N(O217)+N(O235)+N(O238))/O271,""),"")</f>
        <v>0.786390424184838</v>
      </c>
      <c r="P328" s="262">
        <f>IFERROR(IF(N(P271)&lt;&gt;0,(N(P212)+N(P213)+N(P214)+N(P217)+N(P235)+N(P238))/P271,""),"")</f>
        <v>0.98868441305924</v>
      </c>
      <c r="Q328" s="262">
        <f>IFERROR(IF(N(Q271)&lt;&gt;0,(N(Q212)+N(Q213)+N(Q214)+N(Q217)+N(Q235)+N(Q238))/Q271,""),"")</f>
        <v>0.980186177092423</v>
      </c>
      <c r="R328" s="262">
        <f>IFERROR(IF(N(R271)&lt;&gt;0,(N(R212)+N(R213)+N(R214)+N(R217)+N(R235)+N(R238))/R271,""),"")</f>
        <v>0.980186177092423</v>
      </c>
      <c r="S328" s="262">
        <f>IFERROR(IF(N(S271)&lt;&gt;0,(N(S212)+N(S213)+N(S214)+N(S217)+N(S235)+N(S238))/S271,""),"")</f>
        <v>0.93503799824089</v>
      </c>
      <c r="T328" s="262">
        <f>IFERROR(IF(N(T271)&lt;&gt;0,(N(T212)+N(T213)+N(T214)+N(T217)+N(T235)+N(T238))/T271,""),"")</f>
        <v>0.913888526707272</v>
      </c>
      <c r="U328" s="262">
        <f>IFERROR(IF(N(U271)&lt;&gt;0,(N(U212)+N(U213)+N(U214)+N(U217)+N(U235)+N(U238))/U271,""),"")</f>
        <v>0.629021294848702</v>
      </c>
      <c r="V328" s="262">
        <f>IFERROR(IF(N(V271)&lt;&gt;0,(N(V212)+N(V213)+N(V214)+N(V217)+N(V235)+N(V238))/V271,""),"")</f>
        <v>0.636860094779364</v>
      </c>
      <c r="W328" s="262">
        <f>IFERROR(IF(N(W271)&lt;&gt;0,(N(W212)+N(W213)+N(W214)+N(W217)+N(W235)+N(W238))/W271,""),"")</f>
        <v>0.636860094779364</v>
      </c>
      <c r="X328" s="262">
        <f>IFERROR(IF(N(X271)&lt;&gt;0,(N(X212)+N(X213)+N(X214)+N(X217)+N(X235)+N(X238))/X271,""),"")</f>
        <v>0.617456892281668</v>
      </c>
      <c r="Y328" s="262">
        <f>IFERROR(IF(N(Y271)&lt;&gt;0,(N(Y212)+N(Y213)+N(Y214)+N(Y217)+N(Y235)+N(Y238))/Y271,""),"")</f>
        <v>0.58348020927053</v>
      </c>
      <c r="Z328" s="262">
        <f>IFERROR(IF(N(Z271)&lt;&gt;0,(N(Z212)+N(Z213)+N(Z214)+N(Z217)+N(Z235)+N(Z238))/Z271,""),"")</f>
        <v>0.786106518570607</v>
      </c>
      <c r="AA328" s="262">
        <f>IFERROR(IF(N(AA271)&lt;&gt;0,(N(AA212)+N(AA213)+N(AA214)+N(AA217)+N(AA235)+N(AA238))/AA271,""),"")</f>
        <v>0.734499950758875</v>
      </c>
      <c r="AB328" s="262">
        <f>IFERROR(IF(N(AB271)&lt;&gt;0,(N(AB212)+N(AB213)+N(AB214)+N(AB217)+N(AB235)+N(AB238))/AB271,""),"")</f>
        <v>0.734499950758875</v>
      </c>
      <c r="AC328" s="262">
        <f>IFERROR(IF(N(AC271)&lt;&gt;0,(N(AC212)+N(AC213)+N(AC214)+N(AC217)+N(AC235)+N(AC238))/AC271,""),"")</f>
        <v>0.836619188662743</v>
      </c>
      <c r="AD328" s="262">
        <f>IFERROR(IF(N(AD271)&lt;&gt;0,(N(AD212)+N(AD213)+N(AD214)+N(AD217)+N(AD235)+N(AD238))/AD271,""),"")</f>
        <v>0.856294092647684</v>
      </c>
      <c r="AE328" s="262">
        <f>IFERROR(IF(N(AE271)&lt;&gt;0,(N(AE212)+N(AE213)+N(AE214)+N(AE217)+N(AE235)+N(AE238))/AE271,""),"")</f>
        <v>0.980476673987255</v>
      </c>
      <c r="AF328" s="262">
        <f>IFERROR(IF(N(AF271)&lt;&gt;0,(N(AF212)+N(AF213)+N(AF214)+N(AF217)+N(AF235)+N(AF238))/AF271,""),"")</f>
        <v>1.22721452181345</v>
      </c>
      <c r="AG328" s="262">
        <f>IFERROR(IF(N(AG271)&lt;&gt;0,(N(AG212)+N(AG213)+N(AG214)+N(AG217)+N(AG235)+N(AG238))/AG271,""),"")</f>
        <v>1.22721452181345</v>
      </c>
      <c r="AH328" s="262">
        <f>IFERROR(IF(N(AH271)&lt;&gt;0,(N(AH212)+N(AH213)+N(AH214)+N(AH217)+N(AH235)+N(AH238))/AH271,""),"")</f>
        <v>1.24046463367865</v>
      </c>
      <c r="AI328" s="262">
        <f>IFERROR(IF(N(AI271)&lt;&gt;0,(N(AI212)+N(AI213)+N(AI214)+N(AI217)+N(AI235)+N(AI238))/AI271,""),"")</f>
        <v>1.11116266529102</v>
      </c>
      <c r="AJ328" s="262">
        <f>IFERROR(IF(N(AJ271)&lt;&gt;0,(N(AJ212)+N(AJ213)+N(AJ214)+N(AJ217)+N(AJ235)+N(AJ238))/AJ271,""),"")</f>
        <v>0.961201486223993</v>
      </c>
      <c r="AK328" s="262">
        <f>IFERROR(IF(N(AK271)&lt;&gt;0,(N(AK212)+N(AK213)+N(AK214)+N(AK217)+N(AK235)+N(AK238))/AK271,""),"")</f>
        <v>0.841029046147591</v>
      </c>
      <c r="AL328" s="262">
        <f>IFERROR(IF(N(AL271)&lt;&gt;0,(N(AL212)+N(AL213)+N(AL214)+N(AL217)+N(AL235)+N(AL238))/AL271,""),"")</f>
        <v>0.841029046147591</v>
      </c>
      <c r="AM328" s="262">
        <f>IFERROR(IF(N(AM271)&lt;&gt;0,(N(AM212)+N(AM213)+N(AM214)+N(AM217)+N(AM235)+N(AM238))/AM271,""),"")</f>
        <v>0.75174466157684</v>
      </c>
      <c r="AN328" s="262">
        <f>IFERROR(IF(N(AN271)&lt;&gt;0,(N(AN212)+N(AN213)+N(AN214)+N(AN217)+N(AN235)+N(AN238))/AN271,""),"")</f>
        <v>0.673231915721861</v>
      </c>
      <c r="AO328" s="262">
        <f>IFERROR(IF(N(AO271)&lt;&gt;0,(N(AO212)+N(AO213)+N(AO214)+N(AO217)+N(AO235)+N(AO238))/AO271,""),"")</f>
        <v>0.6004100480807</v>
      </c>
      <c r="AP328" s="262">
        <f>IFERROR(IF(N(AP271)&lt;&gt;0,(N(AP212)+N(AP213)+N(AP214)+N(AP217)+N(AP235)+N(AP238))/AP271,""),"")</f>
        <v>0.538715183951528</v>
      </c>
      <c r="AQ328" s="262">
        <f>IFERROR(IF(N(AQ271)&lt;&gt;0,(N(AQ212)+N(AQ213)+N(AQ214)+N(AQ217)+N(AQ235)+N(AQ238))/AQ271,""),"")</f>
        <v>0.538715183951528</v>
      </c>
      <c r="AR328" s="262">
        <f>IFERROR(IF(N(AR271)&lt;&gt;0,(N(AR212)+N(AR213)+N(AR214)+N(AR217)+N(AR235)+N(AR238))/AR271,""),"")</f>
        <v>0.490975460923138</v>
      </c>
      <c r="AS328" s="262">
        <f>IFERROR(IF(N(AS271)&lt;&gt;0,(N(AS212)+N(AS213)+N(AS214)+N(AS217)+N(AS235)+N(AS238))/AS271,""),"")</f>
        <v>0.447419596615642</v>
      </c>
      <c r="AT328" s="262">
        <f>IFERROR(IF(N(AT271)&lt;&gt;0,(N(AT212)+N(AT213)+N(AT214)+N(AT217)+N(AT235)+N(AT238))/AT271,""),"")</f>
        <v>0.405630629347197</v>
      </c>
      <c r="AU328" s="262">
        <f>IFERROR(IF(N(AU271)&lt;&gt;0,(N(AU212)+N(AU213)+N(AU214)+N(AU217)+N(AU235)+N(AU238))/AU271,""),"")</f>
        <v>0.369128599913158</v>
      </c>
      <c r="AV328" s="262">
        <f>IFERROR(IF(N(AV271)&lt;&gt;0,(N(AV212)+N(AV213)+N(AV214)+N(AV217)+N(AV235)+N(AV238))/AV271,""),"")</f>
        <v>0.369128599913158</v>
      </c>
      <c r="AW328" s="262">
        <f>IFERROR(IF(N(AW271)&lt;&gt;0,(N(AW212)+N(AW213)+N(AW214)+N(AW217)+N(AW235)+N(AW238))/AW271,""),"")</f>
        <v>0.340266850617691</v>
      </c>
      <c r="AX328" s="262">
        <f>IFERROR(IF(N(AX271)&lt;&gt;0,(N(AX212)+N(AX213)+N(AX214)+N(AX217)+N(AX235)+N(AX238))/AX271,""),"")</f>
        <v>0.313352205033513</v>
      </c>
      <c r="AY328" s="262">
        <f>IFERROR(IF(N(AY271)&lt;&gt;0,(N(AY212)+N(AY213)+N(AY214)+N(AY217)+N(AY235)+N(AY238))/AY271,""),"")</f>
        <v>0.286990105502256</v>
      </c>
      <c r="AZ328" s="262">
        <f>IFERROR(IF(N(AZ271)&lt;&gt;0,(N(AZ212)+N(AZ213)+N(AZ214)+N(AZ217)+N(AZ235)+N(AZ238))/AZ271,""),"")</f>
        <v>0.263518091495599</v>
      </c>
      <c r="BA328" s="262">
        <f>IFERROR(IF(N(BA271)&lt;&gt;0,(N(BA212)+N(BA213)+N(BA214)+N(BA217)+N(BA235)+N(BA238))/BA271,""),"")</f>
        <v>0.263518091495599</v>
      </c>
      <c r="BB328" s="262">
        <f>IFERROR(IF(N(BB271)&lt;&gt;0,(N(BB212)+N(BB213)+N(BB214)+N(BB217)+N(BB235)+N(BB238))/BB271,""),"")</f>
        <v>0.244726154468681</v>
      </c>
      <c r="BC328" s="262">
        <f>IFERROR(IF(N(BC271)&lt;&gt;0,(N(BC212)+N(BC213)+N(BC214)+N(BC217)+N(BC235)+N(BC238))/BC271,""),"")</f>
        <v>0.226947553860592</v>
      </c>
      <c r="BD328" s="262">
        <f>IFERROR(IF(N(BD271)&lt;&gt;0,(N(BD212)+N(BD213)+N(BD214)+N(BD217)+N(BD235)+N(BD238))/BD271,""),"")</f>
        <v>0.209290780857695</v>
      </c>
      <c r="BE328" s="262">
        <f>IFERROR(IF(N(BE271)&lt;&gt;0,(N(BE212)+N(BE213)+N(BE214)+N(BE217)+N(BE235)+N(BE238))/BE271,""),"")</f>
        <v>0.193363114860037</v>
      </c>
      <c r="BF328" s="262">
        <f>IFERROR(IF(N(BF271)&lt;&gt;0,(N(BF212)+N(BF213)+N(BF214)+N(BF217)+N(BF235)+N(BF238))/BF271,""),"")</f>
        <v>0.193363114860037</v>
      </c>
    </row>
    <row r="329" customFormat="1" s="77">
      <c r="A329" s="76" t="n"/>
      <c r="B329" s="76" t="n"/>
      <c r="C329" s="77" t="inlineStr">
        <is>
          <t>NET DEBT / (NET DEBT + EQUITY) (BOOK VALUE)</t>
        </is>
      </c>
      <c r="H329" s="258" t="str">
        <f>IFERROR(IF(((N(H212)+N(H213)+N(H214)+N(H217)+N(H235)+N(H238))-N(H144)+N(H271))&lt;&gt;0,((N(H212)+N(H213)+N(H214)+N(H217)+N(H235)+N(H238))-N(H144))/((N(H212)+N(H213)+N(H214)+N(H217)+N(H235)+N(H238))-N(H144)+H271),""),"")</f>
        <v/>
      </c>
      <c r="I329" s="258">
        <f>IFERROR(IF(((N(I212)+N(I213)+N(I214)+N(I217)+N(I235)+N(I238))-N(I144)+N(I271))&lt;&gt;0,((N(I212)+N(I213)+N(I214)+N(I217)+N(I235)+N(I238))-N(I144))/((N(I212)+N(I213)+N(I214)+N(I217)+N(I235)+N(I238))-N(I144)+I271),""),"")</f>
        <v>0.093997490839145</v>
      </c>
      <c r="J329" s="258">
        <f>IFERROR(IF(((N(J212)+N(J213)+N(J214)+N(J217)+N(J235)+N(J238))-N(J144)+N(J271))&lt;&gt;0,((N(J212)+N(J213)+N(J214)+N(J217)+N(J235)+N(J238))-N(J144))/((N(J212)+N(J213)+N(J214)+N(J217)+N(J235)+N(J238))-N(J144)+J271),""),"")</f>
        <v>0.178376527015255</v>
      </c>
      <c r="K329" s="258">
        <f>IFERROR(IF(((N(K212)+N(K213)+N(K214)+N(K217)+N(K235)+N(K238))-N(K144)+N(K271))&lt;&gt;0,((N(K212)+N(K213)+N(K214)+N(K217)+N(K235)+N(K238))-N(K144))/((N(K212)+N(K213)+N(K214)+N(K217)+N(K235)+N(K238))-N(K144)+K271),""),"")</f>
        <v>0.18231428084027</v>
      </c>
      <c r="L329" s="258">
        <f>IFERROR(IF(((N(L212)+N(L213)+N(L214)+N(L217)+N(L235)+N(L238))-N(L144)+N(L271))&lt;&gt;0,((N(L212)+N(L213)+N(L214)+N(L217)+N(L235)+N(L238))-N(L144))/((N(L212)+N(L213)+N(L214)+N(L217)+N(L235)+N(L238))-N(L144)+L271),""),"")</f>
        <v>0.134891317304368</v>
      </c>
      <c r="M329" s="258">
        <f>IFERROR(IF(((N(M212)+N(M213)+N(M214)+N(M217)+N(M235)+N(M238))-N(M144)+N(M271))&lt;&gt;0,((N(M212)+N(M213)+N(M214)+N(M217)+N(M235)+N(M238))-N(M144))/((N(M212)+N(M213)+N(M214)+N(M217)+N(M235)+N(M238))-N(M144)+M271),""),"")</f>
        <v>0.134891317304368</v>
      </c>
      <c r="N329" s="258">
        <f>IFERROR(IF(((N(N212)+N(N213)+N(N214)+N(N217)+N(N235)+N(N238))-N(N144)+N(N271))&lt;&gt;0,((N(N212)+N(N213)+N(N214)+N(N217)+N(N235)+N(N238))-N(N144))/((N(N212)+N(N213)+N(N214)+N(N217)+N(N235)+N(N238))-N(N144)+N271),""),"")</f>
        <v>0.150687623237371</v>
      </c>
      <c r="O329" s="258">
        <f>IFERROR(IF(((N(O212)+N(O213)+N(O214)+N(O217)+N(O235)+N(O238))-N(O144)+N(O271))&lt;&gt;0,((N(O212)+N(O213)+N(O214)+N(O217)+N(O235)+N(O238))-N(O144))/((N(O212)+N(O213)+N(O214)+N(O217)+N(O235)+N(O238))-N(O144)+O271),""),"")</f>
        <v>0.138914125925298</v>
      </c>
      <c r="P329" s="258">
        <f>IFERROR(IF(((N(P212)+N(P213)+N(P214)+N(P217)+N(P235)+N(P238))-N(P144)+N(P271))&lt;&gt;0,((N(P212)+N(P213)+N(P214)+N(P217)+N(P235)+N(P238))-N(P144))/((N(P212)+N(P213)+N(P214)+N(P217)+N(P235)+N(P238))-N(P144)+P271),""),"")</f>
        <v>0.177119953823456</v>
      </c>
      <c r="Q329" s="258">
        <f>IFERROR(IF(((N(Q212)+N(Q213)+N(Q214)+N(Q217)+N(Q235)+N(Q238))-N(Q144)+N(Q271))&lt;&gt;0,((N(Q212)+N(Q213)+N(Q214)+N(Q217)+N(Q235)+N(Q238))-N(Q144))/((N(Q212)+N(Q213)+N(Q214)+N(Q217)+N(Q235)+N(Q238))-N(Q144)+Q271),""),"")</f>
        <v>0.13877492582995</v>
      </c>
      <c r="R329" s="258">
        <f>IFERROR(IF(((N(R212)+N(R213)+N(R214)+N(R217)+N(R235)+N(R238))-N(R144)+N(R271))&lt;&gt;0,((N(R212)+N(R213)+N(R214)+N(R217)+N(R235)+N(R238))-N(R144))/((N(R212)+N(R213)+N(R214)+N(R217)+N(R235)+N(R238))-N(R144)+R271),""),"")</f>
        <v>0.13877492582995</v>
      </c>
      <c r="S329" s="258">
        <f>IFERROR(IF(((N(S212)+N(S213)+N(S214)+N(S217)+N(S235)+N(S238))-N(S144)+N(S271))&lt;&gt;0,((N(S212)+N(S213)+N(S214)+N(S217)+N(S235)+N(S238))-N(S144))/((N(S212)+N(S213)+N(S214)+N(S217)+N(S235)+N(S238))-N(S144)+S271),""),"")</f>
        <v>0.184085192597</v>
      </c>
      <c r="T329" s="258">
        <f>IFERROR(IF(((N(T212)+N(T213)+N(T214)+N(T217)+N(T235)+N(T238))-N(T144)+N(T271))&lt;&gt;0,((N(T212)+N(T213)+N(T214)+N(T217)+N(T235)+N(T238))-N(T144))/((N(T212)+N(T213)+N(T214)+N(T217)+N(T235)+N(T238))-N(T144)+T271),""),"")</f>
        <v>0.182151244715829</v>
      </c>
      <c r="U329" s="258">
        <f>IFERROR(IF(((N(U212)+N(U213)+N(U214)+N(U217)+N(U235)+N(U238))-N(U144)+N(U271))&lt;&gt;0,((N(U212)+N(U213)+N(U214)+N(U217)+N(U235)+N(U238))-N(U144))/((N(U212)+N(U213)+N(U214)+N(U217)+N(U235)+N(U238))-N(U144)+U271),""),"")</f>
        <v>-0.0117426287192281</v>
      </c>
      <c r="V329" s="258">
        <f>IFERROR(IF(((N(V212)+N(V213)+N(V214)+N(V217)+N(V235)+N(V238))-N(V144)+N(V271))&lt;&gt;0,((N(V212)+N(V213)+N(V214)+N(V217)+N(V235)+N(V238))-N(V144))/((N(V212)+N(V213)+N(V214)+N(V217)+N(V235)+N(V238))-N(V144)+V271),""),"")</f>
        <v>0.00797955219187392</v>
      </c>
      <c r="W329" s="258">
        <f>IFERROR(IF(((N(W212)+N(W213)+N(W214)+N(W217)+N(W235)+N(W238))-N(W144)+N(W271))&lt;&gt;0,((N(W212)+N(W213)+N(W214)+N(W217)+N(W235)+N(W238))-N(W144))/((N(W212)+N(W213)+N(W214)+N(W217)+N(W235)+N(W238))-N(W144)+W271),""),"")</f>
        <v>0.00797955219187392</v>
      </c>
      <c r="X329" s="258">
        <f>IFERROR(IF(((N(X212)+N(X213)+N(X214)+N(X217)+N(X235)+N(X238))-N(X144)+N(X271))&lt;&gt;0,((N(X212)+N(X213)+N(X214)+N(X217)+N(X235)+N(X238))-N(X144))/((N(X212)+N(X213)+N(X214)+N(X217)+N(X235)+N(X238))-N(X144)+X271),""),"")</f>
        <v>0.0905090513456185</v>
      </c>
      <c r="Y329" s="258">
        <f>IFERROR(IF(((N(Y212)+N(Y213)+N(Y214)+N(Y217)+N(Y235)+N(Y238))-N(Y144)+N(Y271))&lt;&gt;0,((N(Y212)+N(Y213)+N(Y214)+N(Y217)+N(Y235)+N(Y238))-N(Y144))/((N(Y212)+N(Y213)+N(Y214)+N(Y217)+N(Y235)+N(Y238))-N(Y144)+Y271),""),"")</f>
        <v>0.0003500832165023</v>
      </c>
      <c r="Z329" s="258">
        <f>IFERROR(IF(((N(Z212)+N(Z213)+N(Z214)+N(Z217)+N(Z235)+N(Z238))-N(Z144)+N(Z271))&lt;&gt;0,((N(Z212)+N(Z213)+N(Z214)+N(Z217)+N(Z235)+N(Z238))-N(Z144))/((N(Z212)+N(Z213)+N(Z214)+N(Z217)+N(Z235)+N(Z238))-N(Z144)+Z271),""),"")</f>
        <v>0.0890113911728696</v>
      </c>
      <c r="AA329" s="258">
        <f>IFERROR(IF(((N(AA212)+N(AA213)+N(AA214)+N(AA217)+N(AA235)+N(AA238))-N(AA144)+N(AA271))&lt;&gt;0,((N(AA212)+N(AA213)+N(AA214)+N(AA217)+N(AA235)+N(AA238))-N(AA144))/((N(AA212)+N(AA213)+N(AA214)+N(AA217)+N(AA235)+N(AA238))-N(AA144)+AA271),""),"")</f>
        <v>0.00810200208304051</v>
      </c>
      <c r="AB329" s="258">
        <f>IFERROR(IF(((N(AB212)+N(AB213)+N(AB214)+N(AB217)+N(AB235)+N(AB238))-N(AB144)+N(AB271))&lt;&gt;0,((N(AB212)+N(AB213)+N(AB214)+N(AB217)+N(AB235)+N(AB238))-N(AB144))/((N(AB212)+N(AB213)+N(AB214)+N(AB217)+N(AB235)+N(AB238))-N(AB144)+AB271),""),"")</f>
        <v>0.00810200208304051</v>
      </c>
      <c r="AC329" s="258">
        <f>IFERROR(IF(((N(AC212)+N(AC213)+N(AC214)+N(AC217)+N(AC235)+N(AC238))-N(AC144)+N(AC271))&lt;&gt;0,((N(AC212)+N(AC213)+N(AC214)+N(AC217)+N(AC235)+N(AC238))-N(AC144))/((N(AC212)+N(AC213)+N(AC214)+N(AC217)+N(AC235)+N(AC238))-N(AC144)+AC271),""),"")</f>
        <v>0.128996773544166</v>
      </c>
      <c r="AD329" s="258">
        <f>IFERROR(IF(((N(AD212)+N(AD213)+N(AD214)+N(AD217)+N(AD235)+N(AD238))-N(AD144)+N(AD271))&lt;&gt;0,((N(AD212)+N(AD213)+N(AD214)+N(AD217)+N(AD235)+N(AD238))-N(AD144))/((N(AD212)+N(AD213)+N(AD214)+N(AD217)+N(AD235)+N(AD238))-N(AD144)+AD271),""),"")</f>
        <v>-0.00364670693467405</v>
      </c>
      <c r="AE329" s="258">
        <f>IFERROR(IF(((N(AE212)+N(AE213)+N(AE214)+N(AE217)+N(AE235)+N(AE238))-N(AE144)+N(AE271))&lt;&gt;0,((N(AE212)+N(AE213)+N(AE214)+N(AE217)+N(AE235)+N(AE238))-N(AE144))/((N(AE212)+N(AE213)+N(AE214)+N(AE217)+N(AE235)+N(AE238))-N(AE144)+AE271),""),"")</f>
        <v>0.074059714386958</v>
      </c>
      <c r="AF329" s="258">
        <f>IFERROR(IF(((N(AF212)+N(AF213)+N(AF214)+N(AF217)+N(AF235)+N(AF238))-N(AF144)+N(AF271))&lt;&gt;0,((N(AF212)+N(AF213)+N(AF214)+N(AF217)+N(AF235)+N(AF238))-N(AF144))/((N(AF212)+N(AF213)+N(AF214)+N(AF217)+N(AF235)+N(AF238))-N(AF144)+AF271),""),"")</f>
        <v>0.222645346645782</v>
      </c>
      <c r="AG329" s="258">
        <f>IFERROR(IF(((N(AG212)+N(AG213)+N(AG214)+N(AG217)+N(AG235)+N(AG238))-N(AG144)+N(AG271))&lt;&gt;0,((N(AG212)+N(AG213)+N(AG214)+N(AG217)+N(AG235)+N(AG238))-N(AG144))/((N(AG212)+N(AG213)+N(AG214)+N(AG217)+N(AG235)+N(AG238))-N(AG144)+AG271),""),"")</f>
        <v>0.222645346645782</v>
      </c>
      <c r="AH329" s="258">
        <f>IFERROR(IF(((N(AH212)+N(AH213)+N(AH214)+N(AH217)+N(AH235)+N(AH238))-N(AH144)+N(AH271))&lt;&gt;0,((N(AH212)+N(AH213)+N(AH214)+N(AH217)+N(AH235)+N(AH238))-N(AH144))/((N(AH212)+N(AH213)+N(AH214)+N(AH217)+N(AH235)+N(AH238))-N(AH144)+AH271),""),"")</f>
        <v>0.225525186987583</v>
      </c>
      <c r="AI329" s="258">
        <f>IFERROR(IF(((N(AI212)+N(AI213)+N(AI214)+N(AI217)+N(AI235)+N(AI238))-N(AI144)+N(AI271))&lt;&gt;0,((N(AI212)+N(AI213)+N(AI214)+N(AI217)+N(AI235)+N(AI238))-N(AI144))/((N(AI212)+N(AI213)+N(AI214)+N(AI217)+N(AI235)+N(AI238))-N(AI144)+AI271),""),"")</f>
        <v>0.176637202215775</v>
      </c>
      <c r="AJ329" s="258">
        <f>IFERROR(IF(((N(AJ212)+N(AJ213)+N(AJ214)+N(AJ217)+N(AJ235)+N(AJ238))-N(AJ144)+N(AJ271))&lt;&gt;0,((N(AJ212)+N(AJ213)+N(AJ214)+N(AJ217)+N(AJ235)+N(AJ238))-N(AJ144))/((N(AJ212)+N(AJ213)+N(AJ214)+N(AJ217)+N(AJ235)+N(AJ238))-N(AJ144)+AJ271),""),"")</f>
        <v>0.309050938882425</v>
      </c>
      <c r="AK329" s="258">
        <f>IFERROR(IF(((N(AK212)+N(AK213)+N(AK214)+N(AK217)+N(AK235)+N(AK238))-N(AK144)+N(AK271))&lt;&gt;0,((N(AK212)+N(AK213)+N(AK214)+N(AK217)+N(AK235)+N(AK238))-N(AK144))/((N(AK212)+N(AK213)+N(AK214)+N(AK217)+N(AK235)+N(AK238))-N(AK144)+AK271),""),"")</f>
        <v>0.308014023727106</v>
      </c>
      <c r="AL329" s="258">
        <f>IFERROR(IF(((N(AL212)+N(AL213)+N(AL214)+N(AL217)+N(AL235)+N(AL238))-N(AL144)+N(AL271))&lt;&gt;0,((N(AL212)+N(AL213)+N(AL214)+N(AL217)+N(AL235)+N(AL238))-N(AL144))/((N(AL212)+N(AL213)+N(AL214)+N(AL217)+N(AL235)+N(AL238))-N(AL144)+AL271),""),"")</f>
        <v>0.308014023727106</v>
      </c>
      <c r="AM329" s="258">
        <f>IFERROR(IF(((N(AM212)+N(AM213)+N(AM214)+N(AM217)+N(AM235)+N(AM238))-N(AM144)+N(AM271))&lt;&gt;0,((N(AM212)+N(AM213)+N(AM214)+N(AM217)+N(AM235)+N(AM238))-N(AM144))/((N(AM212)+N(AM213)+N(AM214)+N(AM217)+N(AM235)+N(AM238))-N(AM144)+AM271),""),"")</f>
        <v>0.155960443838997</v>
      </c>
      <c r="AN329" s="258">
        <f>IFERROR(IF(((N(AN212)+N(AN213)+N(AN214)+N(AN217)+N(AN235)+N(AN238))-N(AN144)+N(AN271))&lt;&gt;0,((N(AN212)+N(AN213)+N(AN214)+N(AN217)+N(AN235)+N(AN238))-N(AN144))/((N(AN212)+N(AN213)+N(AN214)+N(AN217)+N(AN235)+N(AN238))-N(AN144)+AN271),""),"")</f>
        <v>0.215350431895299</v>
      </c>
      <c r="AO329" s="258">
        <f>IFERROR(IF(((N(AO212)+N(AO213)+N(AO214)+N(AO217)+N(AO235)+N(AO238))-N(AO144)+N(AO271))&lt;&gt;0,((N(AO212)+N(AO213)+N(AO214)+N(AO217)+N(AO235)+N(AO238))-N(AO144))/((N(AO212)+N(AO213)+N(AO214)+N(AO217)+N(AO235)+N(AO238))-N(AO144)+AO271),""),"")</f>
        <v>0.33440486139983</v>
      </c>
      <c r="AP329" s="258">
        <f>IFERROR(IF(((N(AP212)+N(AP213)+N(AP214)+N(AP217)+N(AP235)+N(AP238))-N(AP144)+N(AP271))&lt;&gt;0,((N(AP212)+N(AP213)+N(AP214)+N(AP217)+N(AP235)+N(AP238))-N(AP144))/((N(AP212)+N(AP213)+N(AP214)+N(AP217)+N(AP235)+N(AP238))-N(AP144)+AP271),""),"")</f>
        <v>0.323892728988636</v>
      </c>
      <c r="AQ329" s="258">
        <f>IFERROR(IF(((N(AQ212)+N(AQ213)+N(AQ214)+N(AQ217)+N(AQ235)+N(AQ238))-N(AQ144)+N(AQ271))&lt;&gt;0,((N(AQ212)+N(AQ213)+N(AQ214)+N(AQ217)+N(AQ235)+N(AQ238))-N(AQ144))/((N(AQ212)+N(AQ213)+N(AQ214)+N(AQ217)+N(AQ235)+N(AQ238))-N(AQ144)+AQ271),""),"")</f>
        <v>0.323892728988636</v>
      </c>
      <c r="AR329" s="258">
        <f>IFERROR(IF(((N(AR212)+N(AR213)+N(AR214)+N(AR217)+N(AR235)+N(AR238))-N(AR144)+N(AR271))&lt;&gt;0,((N(AR212)+N(AR213)+N(AR214)+N(AR217)+N(AR235)+N(AR238))-N(AR144))/((N(AR212)+N(AR213)+N(AR214)+N(AR217)+N(AR235)+N(AR238))-N(AR144)+AR271),""),"")</f>
        <v>0.16865311480059</v>
      </c>
      <c r="AS329" s="258">
        <f>IFERROR(IF(((N(AS212)+N(AS213)+N(AS214)+N(AS217)+N(AS235)+N(AS238))-N(AS144)+N(AS271))&lt;&gt;0,((N(AS212)+N(AS213)+N(AS214)+N(AS217)+N(AS235)+N(AS238))-N(AS144))/((N(AS212)+N(AS213)+N(AS214)+N(AS217)+N(AS235)+N(AS238))-N(AS144)+AS271),""),"")</f>
        <v>0.219788665408475</v>
      </c>
      <c r="AT329" s="258">
        <f>IFERROR(IF(((N(AT212)+N(AT213)+N(AT214)+N(AT217)+N(AT235)+N(AT238))-N(AT144)+N(AT271))&lt;&gt;0,((N(AT212)+N(AT213)+N(AT214)+N(AT217)+N(AT235)+N(AT238))-N(AT144))/((N(AT212)+N(AT213)+N(AT214)+N(AT217)+N(AT235)+N(AT238))-N(AT144)+AT271),""),"")</f>
        <v>0.312091856233772</v>
      </c>
      <c r="AU329" s="258">
        <f>IFERROR(IF(((N(AU212)+N(AU213)+N(AU214)+N(AU217)+N(AU235)+N(AU238))-N(AU144)+N(AU271))&lt;&gt;0,((N(AU212)+N(AU213)+N(AU214)+N(AU217)+N(AU235)+N(AU238))-N(AU144))/((N(AU212)+N(AU213)+N(AU214)+N(AU217)+N(AU235)+N(AU238))-N(AU144)+AU271),""),"")</f>
        <v>0.290572355620818</v>
      </c>
      <c r="AV329" s="258">
        <f>IFERROR(IF(((N(AV212)+N(AV213)+N(AV214)+N(AV217)+N(AV235)+N(AV238))-N(AV144)+N(AV271))&lt;&gt;0,((N(AV212)+N(AV213)+N(AV214)+N(AV217)+N(AV235)+N(AV238))-N(AV144))/((N(AV212)+N(AV213)+N(AV214)+N(AV217)+N(AV235)+N(AV238))-N(AV144)+AV271),""),"")</f>
        <v>0.290572355620818</v>
      </c>
      <c r="AW329" s="258">
        <f>IFERROR(IF(((N(AW212)+N(AW213)+N(AW214)+N(AW217)+N(AW235)+N(AW238))-N(AW144)+N(AW271))&lt;&gt;0,((N(AW212)+N(AW213)+N(AW214)+N(AW217)+N(AW235)+N(AW238))-N(AW144))/((N(AW212)+N(AW213)+N(AW214)+N(AW217)+N(AW235)+N(AW238))-N(AW144)+AW271),""),"")</f>
        <v>0.133684755857185</v>
      </c>
      <c r="AX329" s="258">
        <f>IFERROR(IF(((N(AX212)+N(AX213)+N(AX214)+N(AX217)+N(AX235)+N(AX238))-N(AX144)+N(AX271))&lt;&gt;0,((N(AX212)+N(AX213)+N(AX214)+N(AX217)+N(AX235)+N(AX238))-N(AX144))/((N(AX212)+N(AX213)+N(AX214)+N(AX217)+N(AX235)+N(AX238))-N(AX144)+AX271),""),"")</f>
        <v>0.143911554496538</v>
      </c>
      <c r="AY329" s="258">
        <f>IFERROR(IF(((N(AY212)+N(AY213)+N(AY214)+N(AY217)+N(AY235)+N(AY238))-N(AY144)+N(AY271))&lt;&gt;0,((N(AY212)+N(AY213)+N(AY214)+N(AY217)+N(AY235)+N(AY238))-N(AY144))/((N(AY212)+N(AY213)+N(AY214)+N(AY217)+N(AY235)+N(AY238))-N(AY144)+AY271),""),"")</f>
        <v>0.223957174673448</v>
      </c>
      <c r="AZ329" s="258">
        <f>IFERROR(IF(((N(AZ212)+N(AZ213)+N(AZ214)+N(AZ217)+N(AZ235)+N(AZ238))-N(AZ144)+N(AZ271))&lt;&gt;0,((N(AZ212)+N(AZ213)+N(AZ214)+N(AZ217)+N(AZ235)+N(AZ238))-N(AZ144))/((N(AZ212)+N(AZ213)+N(AZ214)+N(AZ217)+N(AZ235)+N(AZ238))-N(AZ144)+AZ271),""),"")</f>
        <v>0.174097103231173</v>
      </c>
      <c r="BA329" s="258">
        <f>IFERROR(IF(((N(BA212)+N(BA213)+N(BA214)+N(BA217)+N(BA235)+N(BA238))-N(BA144)+N(BA271))&lt;&gt;0,((N(BA212)+N(BA213)+N(BA214)+N(BA217)+N(BA235)+N(BA238))-N(BA144))/((N(BA212)+N(BA213)+N(BA214)+N(BA217)+N(BA235)+N(BA238))-N(BA144)+BA271),""),"")</f>
        <v>0.174097103231173</v>
      </c>
      <c r="BB329" s="258">
        <f>IFERROR(IF(((N(BB212)+N(BB213)+N(BB214)+N(BB217)+N(BB235)+N(BB238))-N(BB144)+N(BB271))&lt;&gt;0,((N(BB212)+N(BB213)+N(BB214)+N(BB217)+N(BB235)+N(BB238))-N(BB144))/((N(BB212)+N(BB213)+N(BB214)+N(BB217)+N(BB235)+N(BB238))-N(BB144)+BB271),""),"")</f>
        <v>-0.081747056538253</v>
      </c>
      <c r="BC329" s="258">
        <f>IFERROR(IF(((N(BC212)+N(BC213)+N(BC214)+N(BC217)+N(BC235)+N(BC238))-N(BC144)+N(BC271))&lt;&gt;0,((N(BC212)+N(BC213)+N(BC214)+N(BC217)+N(BC235)+N(BC238))-N(BC144))/((N(BC212)+N(BC213)+N(BC214)+N(BC217)+N(BC235)+N(BC238))-N(BC144)+BC271),""),"")</f>
        <v>-0.130998972974692</v>
      </c>
      <c r="BD329" s="258">
        <f>IFERROR(IF(((N(BD212)+N(BD213)+N(BD214)+N(BD217)+N(BD235)+N(BD238))-N(BD144)+N(BD271))&lt;&gt;0,((N(BD212)+N(BD213)+N(BD214)+N(BD217)+N(BD235)+N(BD238))-N(BD144))/((N(BD212)+N(BD213)+N(BD214)+N(BD217)+N(BD235)+N(BD238))-N(BD144)+BD271),""),"")</f>
        <v>-0.0677134324526871</v>
      </c>
      <c r="BE329" s="258">
        <f>IFERROR(IF(((N(BE212)+N(BE213)+N(BE214)+N(BE217)+N(BE235)+N(BE238))-N(BE144)+N(BE271))&lt;&gt;0,((N(BE212)+N(BE213)+N(BE214)+N(BE217)+N(BE235)+N(BE238))-N(BE144))/((N(BE212)+N(BE213)+N(BE214)+N(BE217)+N(BE235)+N(BE238))-N(BE144)+BE271),""),"")</f>
        <v>-0.255763244557078</v>
      </c>
      <c r="BF329" s="258">
        <f>IFERROR(IF(((N(BF212)+N(BF213)+N(BF214)+N(BF217)+N(BF235)+N(BF238))-N(BF144)+N(BF271))&lt;&gt;0,((N(BF212)+N(BF213)+N(BF214)+N(BF217)+N(BF235)+N(BF238))-N(BF144))/((N(BF212)+N(BF213)+N(BF214)+N(BF217)+N(BF235)+N(BF238))-N(BF144)+BF271),""),"")</f>
        <v>-0.255763244557078</v>
      </c>
    </row>
    <row r="330" customFormat="1" s="77">
      <c r="A330" s="76" t="n"/>
      <c r="B330" s="76" t="n"/>
    </row>
    <row r="331" customFormat="1" s="77">
      <c r="A331" s="76" t="n"/>
      <c r="B331" s="76" t="n"/>
      <c r="C331" s="74" t="inlineStr">
        <is>
          <t>FINANCIAL RISK RATIOS</t>
        </is>
      </c>
    </row>
    <row r="332" customFormat="1" s="77">
      <c r="A332" s="76" t="n"/>
      <c r="B332" s="76" t="n"/>
      <c r="C332" s="77" t="inlineStr">
        <is>
          <t>EBITDA / TOTAL INTEREST (LTM)</t>
        </is>
      </c>
      <c r="D332" s="82" t="str">
        <f>IFERROR(D69/-D74,"")</f>
        <v/>
      </c>
      <c r="E332" s="82" t="str">
        <f>IFERROR(E69/-E74,"")</f>
        <v/>
      </c>
      <c r="F332" s="82" t="str">
        <f>IFERROR(F69/-F74,"")</f>
        <v/>
      </c>
      <c r="G332" s="82" t="str">
        <f>IFERROR(G69/-G74,"")</f>
        <v/>
      </c>
      <c r="H332" s="262" t="str">
        <f>IFERROR(IF(AND(COUNT(H69)=1,(H74)&lt;&gt;0),(H69)/-(H74),""),"")</f>
        <v/>
      </c>
      <c r="I332" s="262" t="str">
        <f>""</f>
        <v/>
      </c>
      <c r="J332" s="262" t="str">
        <f>""</f>
        <v/>
      </c>
      <c r="K332" s="262" t="str">
        <f>""</f>
        <v/>
      </c>
      <c r="L332" s="262">
        <f>IFERROR(IF(AND(COUNT(I69,J69,K69,L69)=4,(I74+J74+K74+L74)&lt;&gt;0),(I69+J69+K69+L69)/-(I74+J74+K74+L74),""),"")</f>
        <v>2.15809132905717</v>
      </c>
      <c r="M332" s="262">
        <f>IFERROR(IF(AND(COUNT(I69,J69,K69,L69)=4,(I74+J74+K74+L74)&lt;&gt;0),(I69+J69+K69+L69)/-(I74+J74+K74+L74),""),"")</f>
        <v>2.15809132905717</v>
      </c>
      <c r="N332" s="262">
        <f>IFERROR(IF(AND(COUNT(J69,K69,L69,N69)=4,(J74+K74+L74+N74)&lt;&gt;0),(J69+K69+L69+N69)/-(J74+K74+L74+N74),""),"")</f>
        <v>1.88256763756747</v>
      </c>
      <c r="O332" s="262">
        <f>IFERROR(IF(AND(COUNT(K69,L69,N69,O69)=4,(K74+L74+N74+O74)&lt;&gt;0),(K69+L69+N69+O69)/-(K74+L74+N74+O74),""),"")</f>
        <v>1.57915821780292</v>
      </c>
      <c r="P332" s="262">
        <f>IFERROR(IF(AND(COUNT(L69,N69,O69,P69)=4,(L74+N74+O74+P74)&lt;&gt;0),(L69+N69+O69+P69)/-(L74+N74+O74+P74),""),"")</f>
        <v>1.40303287306019</v>
      </c>
      <c r="Q332" s="262">
        <f>IFERROR(IF(AND(COUNT(N69,O69,P69,Q69)=4,(N74+O74+P74+Q74)&lt;&gt;0),(N69+O69+P69+Q69)/-(N74+O74+P74+Q74),""),"")</f>
        <v>1.51125977294833</v>
      </c>
      <c r="R332" s="262">
        <f>IFERROR(IF(AND(COUNT(N69,O69,P69,Q69)=4,(N74+O74+P74+Q74)&lt;&gt;0),(N69+O69+P69+Q69)/-(N74+O74+P74+Q74),""),"")</f>
        <v>1.51125977294833</v>
      </c>
      <c r="S332" s="262">
        <f>IFERROR(IF(AND(COUNT(O69,P69,Q69,S69)=4,(O74+P74+Q74+S74)&lt;&gt;0),(O69+P69+Q69+S69)/-(O74+P74+Q74+S74),""),"")</f>
        <v>1.53543057680194</v>
      </c>
      <c r="T332" s="262">
        <f>IFERROR(IF(AND(COUNT(P69,Q69,S69,T69)=4,(P74+Q74+S74+T74)&lt;&gt;0),(P69+Q69+S69+T69)/-(P74+Q74+S74+T74),""),"")</f>
        <v>1.67407249844899</v>
      </c>
      <c r="U332" s="262">
        <f>IFERROR(IF(AND(COUNT(Q69,S69,T69,U69)=4,(Q74+S74+T74+U74)&lt;&gt;0),(Q69+S69+T69+U69)/-(Q74+S74+T74+U74),""),"")</f>
        <v>1.67752089758197</v>
      </c>
      <c r="V332" s="262">
        <f>IFERROR(IF(AND(COUNT(S69,T69,U69,V69)=4,(S74+T74+U74+V74)&lt;&gt;0),(S69+T69+U69+V69)/-(S74+T74+U74+V74),""),"")</f>
        <v>1.49139867007352</v>
      </c>
      <c r="W332" s="262">
        <f>IFERROR(IF(AND(COUNT(S69,T69,U69,V69)=4,(S74+T74+U74+V74)&lt;&gt;0),(S69+T69+U69+V69)/-(S74+T74+U74+V74),""),"")</f>
        <v>1.49139867007352</v>
      </c>
      <c r="X332" s="262">
        <f>IFERROR(IF(AND(COUNT(T69,U69,V69,X69)=4,(T74+U74+V74+X74)&lt;&gt;0),(T69+U69+V69+X69)/-(T74+U74+V74+X74),""),"")</f>
        <v>1.80596601889438</v>
      </c>
      <c r="Y332" s="262">
        <f>IFERROR(IF(AND(COUNT(U69,V69,X69,Y69)=4,(U74+V74+X74+Y74)&lt;&gt;0),(U69+V69+X69+Y69)/-(U74+V74+X74+Y74),""),"")</f>
        <v>2.01079574497271</v>
      </c>
      <c r="Z332" s="262">
        <f>IFERROR(IF(AND(COUNT(V69,X69,Y69,Z69)=4,(V74+X74+Y74+Z74)&lt;&gt;0),(V69+X69+Y69+Z69)/-(V74+X74+Y74+Z74),""),"")</f>
        <v>2.47618245420571</v>
      </c>
      <c r="AA332" s="262">
        <f>IFERROR(IF(AND(COUNT(X69,Y69,Z69,AA69)=4,(X74+Y74+Z74+AA74)&lt;&gt;0),(X69+Y69+Z69+AA69)/-(X74+Y74+Z74+AA74),""),"")</f>
        <v>2.87597975492518</v>
      </c>
      <c r="AB332" s="262">
        <f>IFERROR(IF(AND(COUNT(X69,Y69,Z69,AA69)=4,(X74+Y74+Z74+AA74)&lt;&gt;0),(X69+Y69+Z69+AA69)/-(X74+Y74+Z74+AA74),""),"")</f>
        <v>2.87597975492518</v>
      </c>
      <c r="AC332" s="262">
        <f>IFERROR(IF(AND(COUNT(Y69,Z69,AA69,AC69)=4,(Y74+Z74+AA74+AC74)&lt;&gt;0),(Y69+Z69+AA69+AC69)/-(Y74+Z74+AA74+AC74),""),"")</f>
        <v>2.85323039268618</v>
      </c>
      <c r="AD332" s="262">
        <f>IFERROR(IF(AND(COUNT(Z69,AA69,AC69,AD69)=4,(Z74+AA74+AC74+AD74)&lt;&gt;0),(Z69+AA69+AC69+AD69)/-(Z74+AA74+AC74+AD74),""),"")</f>
        <v>2.88252571761122</v>
      </c>
      <c r="AE332" s="262">
        <f>IFERROR(IF(AND(COUNT(AA69,AC69,AD69,AE69)=4,(AA74+AC74+AD74+AE74)&lt;&gt;0),(AA69+AC69+AD69+AE69)/-(AA74+AC74+AD74+AE74),""),"")</f>
        <v>2.90783530737472</v>
      </c>
      <c r="AF332" s="262">
        <f>IFERROR(IF(AND(COUNT(AB69,AD69,AE69,AF69)=4,(AB74+AD74+AE74+AF74)&lt;&gt;0),(AB69+AD69+AE69+AF69)/-(AB74+AD74+AE74+AF74),""),"")</f>
        <v>2.87095245456396</v>
      </c>
      <c r="AG332" s="262">
        <f>IFERROR(IF(AND(COUNT(AC69,AD69,AE69,AF69)=4,(AC74+AD74+AE74+AF74)&lt;&gt;0),(AC69+AD69+AE69+AF69)/-(AC74+AD74+AE74+AF74),""),"")</f>
        <v>2.94255476702943</v>
      </c>
      <c r="AH332" s="262">
        <f>IFERROR(IF(AND(COUNT(AD69,AF69,AG69,AH69)=4,(AD74+AF74+AG74+AH74)&lt;&gt;0),(AD69+AF69+AG69+AH69)/-(AD74+AF74+AG74+AH74),""),"")</f>
        <v>2.80860094607379</v>
      </c>
      <c r="AI332" s="262">
        <f>IFERROR(IF(AND(COUNT(AE69,AG69,AH69,AI69)=4,(AE74+AG74+AH74+AI74)&lt;&gt;0),(AE69+AG69+AH69+AI69)/-(AE74+AG74+AH74+AI74),""),"")</f>
        <v>2.72470057331393</v>
      </c>
      <c r="AJ332" s="262" t="str">
        <f>IFERROR(IF(AND(COUNT(AF69,AH69,AI69,AJ69)=4,(AF74+AH74+AI74+AJ74)&lt;&gt;0),(AF69+AH69+AI69+AJ69)/-(AF74+AH74+AI74+AJ74),""),"")</f>
        <v/>
      </c>
      <c r="AK332" s="262" t="str">
        <f>IFERROR(IF(AND(COUNT(AH69,AI69,AJ69,AK69)=4,(AH74+AI74+AJ74+AK74)&lt;&gt;0),(AH69+AI69+AJ69+AK69)/-(AH74+AI74+AJ74+AK74),""),"")</f>
        <v/>
      </c>
      <c r="AL332" s="262" t="str">
        <f>IFERROR(IF(AND(COUNT(AH69,AI69,AJ69,AK69)=4,(AH74+AI74+AJ74+AK74)&lt;&gt;0),(AH69+AI69+AJ69+AK69)/-(AH74+AI74+AJ74+AK74),""),"")</f>
        <v/>
      </c>
      <c r="AM332" s="262" t="str">
        <f>IFERROR(IF(AND(COUNT(AI69,AJ69,AK69,AM69)=4,(AI74+AJ74+AK74+AM74)&lt;&gt;0),(AI69+AJ69+AK69+AM69)/-(AI74+AJ74+AK74+AM74),""),"")</f>
        <v/>
      </c>
      <c r="AN332" s="262" t="str">
        <f>IFERROR(IF(AND(COUNT(AJ69,AK69,AM69,AN69)=4,(AJ74+AK74+AM74+AN74)&lt;&gt;0),(AJ69+AK69+AM69+AN69)/-(AJ74+AK74+AM74+AN74),""),"")</f>
        <v/>
      </c>
      <c r="AO332" s="262" t="str">
        <f>IFERROR(IF(AND(COUNT(AK69,AM69,AN69,AO69)=4,(AK74+AM74+AN74+AO74)&lt;&gt;0),(AK69+AM69+AN69+AO69)/-(AK74+AM74+AN74+AO74),""),"")</f>
        <v/>
      </c>
      <c r="AP332" s="262" t="str">
        <f>IFERROR(IF(AND(COUNT(AM69,AN69,AO69,AP69)=4,(AM74+AN74+AO74+AP74)&lt;&gt;0),(AM69+AN69+AO69+AP69)/-(AM74+AN74+AO74+AP74),""),"")</f>
        <v/>
      </c>
      <c r="AQ332" s="262" t="str">
        <f>IFERROR(IF(AND(COUNT(AM69,AN69,AO69,AP69)=4,(AM74+AN74+AO74+AP74)&lt;&gt;0),(AM69+AN69+AO69+AP69)/-(AM74+AN74+AO74+AP74),""),"")</f>
        <v/>
      </c>
      <c r="AR332" s="262" t="str">
        <f>IFERROR(IF(AND(COUNT(AN69,AO69,AP69,AR69)=4,(AN74+AO74+AP74+AR74)&lt;&gt;0),(AN69+AO69+AP69+AR69)/-(AN74+AO74+AP74+AR74),""),"")</f>
        <v/>
      </c>
      <c r="AS332" s="262" t="str">
        <f>IFERROR(IF(AND(COUNT(AO69,AP69,AR69,AS69)=4,(AO74+AP74+AR74+AS74)&lt;&gt;0),(AO69+AP69+AR69+AS69)/-(AO74+AP74+AR74+AS74),""),"")</f>
        <v/>
      </c>
      <c r="AT332" s="262" t="str">
        <f>IFERROR(IF(AND(COUNT(AP69,AR69,AS69,AT69)=4,(AP74+AR74+AS74+AT74)&lt;&gt;0),(AP69+AR69+AS69+AT69)/-(AP74+AR74+AS74+AT74),""),"")</f>
        <v/>
      </c>
      <c r="AU332" s="262" t="str">
        <f>IFERROR(IF(AND(COUNT(AR69,AS69,AT69,AU69)=4,(AR74+AS74+AT74+AU74)&lt;&gt;0),(AR69+AS69+AT69+AU69)/-(AR74+AS74+AT74+AU74),""),"")</f>
        <v/>
      </c>
      <c r="AV332" s="262" t="str">
        <f>IFERROR(IF(AND(COUNT(AR69,AS69,AT69,AU69)=4,(AR74+AS74+AT74+AU74)&lt;&gt;0),(AR69+AS69+AT69+AU69)/-(AR74+AS74+AT74+AU74),""),"")</f>
        <v/>
      </c>
      <c r="AW332" s="262" t="str">
        <f>IFERROR(IF(AND(COUNT(AS69,AT69,AU69,AW69)=4,(AS74+AT74+AU74+AW74)&lt;&gt;0),(AS69+AT69+AU69+AW69)/-(AS74+AT74+AU74+AW74),""),"")</f>
        <v/>
      </c>
      <c r="AX332" s="262" t="str">
        <f>IFERROR(IF(AND(COUNT(AT69,AU69,AW69,AX69)=4,(AT74+AU74+AW74+AX74)&lt;&gt;0),(AT69+AU69+AW69+AX69)/-(AT74+AU74+AW74+AX74),""),"")</f>
        <v/>
      </c>
      <c r="AY332" s="262" t="str">
        <f>IFERROR(IF(AND(COUNT(AU69,AW69,AX69,AY69)=4,(AU74+AW74+AX74+AY74)&lt;&gt;0),(AU69+AW69+AX69+AY69)/-(AU74+AW74+AX74+AY74),""),"")</f>
        <v/>
      </c>
      <c r="AZ332" s="262" t="str">
        <f>IFERROR(IF(AND(COUNT(AW69,AX69,AY69,AZ69)=4,(AW74+AX74+AY74+AZ74)&lt;&gt;0),(AW69+AX69+AY69+AZ69)/-(AW74+AX74+AY74+AZ74),""),"")</f>
        <v/>
      </c>
      <c r="BA332" s="262" t="str">
        <f>IFERROR(IF(AND(COUNT(AW69,AX69,AY69,AZ69)=4,(AW74+AX74+AY74+AZ74)&lt;&gt;0),(AW69+AX69+AY69+AZ69)/-(AW74+AX74+AY74+AZ74),""),"")</f>
        <v/>
      </c>
      <c r="BB332" s="262" t="str">
        <f>IFERROR(IF(AND(COUNT(AX69,AY69,AZ69,BB69)=4,(AX74+AY74+AZ74+BB74)&lt;&gt;0),(AX69+AY69+AZ69+BB69)/-(AX74+AY74+AZ74+BB74),""),"")</f>
        <v/>
      </c>
      <c r="BC332" s="262" t="str">
        <f>IFERROR(IF(AND(COUNT(AY69,AZ69,BB69,BC69)=4,(AY74+AZ74+BB74+BC74)&lt;&gt;0),(AY69+AZ69+BB69+BC69)/-(AY74+AZ74+BB74+BC74),""),"")</f>
        <v/>
      </c>
      <c r="BD332" s="262" t="str">
        <f>IFERROR(IF(AND(COUNT(AZ69,BB69,BC69,BD69)=4,(AZ74+BB74+BC74+BD74)&lt;&gt;0),(AZ69+BB69+BC69+BD69)/-(AZ74+BB74+BC74+BD74),""),"")</f>
        <v/>
      </c>
      <c r="BE332" s="262" t="str">
        <f>IFERROR(IF(AND(COUNT(BB69,BC69,BD69,BE69)=4,(BB74+BC74+BD74+BE74)&lt;&gt;0),(BB69+BC69+BD69+BE69)/-(BB74+BC74+BD74+BE74),""),"")</f>
        <v/>
      </c>
      <c r="BF332" s="262" t="str">
        <f>IFERROR(IF(AND(COUNT(BB69,BC69,BD69,BE69)=4,(BB74+BC74+BD74+BE74)&lt;&gt;0),(BB69+BC69+BD69+BE69)/-(BB74+BC74+BD74+BE74),""),"")</f>
        <v/>
      </c>
      <c r="BG332" s="82" t="n"/>
      <c r="BH332" s="82" t="n"/>
      <c r="BI332" s="82" t="n"/>
      <c r="BJ332" s="82" t="n"/>
      <c r="BL332" s="82" t="n"/>
      <c r="BM332" s="82" t="n"/>
      <c r="BN332" s="82" t="n"/>
      <c r="BO332" s="82" t="n"/>
      <c r="BQ332" s="82" t="n"/>
      <c r="BR332" s="82" t="n"/>
      <c r="BS332" s="82" t="n"/>
      <c r="BT332" s="82" t="n"/>
      <c r="BV332" s="82" t="n"/>
      <c r="BW332" s="82" t="n"/>
      <c r="BX332" s="82" t="n"/>
      <c r="BY332" s="82" t="n"/>
      <c r="CA332" s="82" t="n"/>
      <c r="CB332" s="82" t="n"/>
      <c r="CC332" s="82" t="n"/>
      <c r="CD332" s="82" t="n"/>
      <c r="CF332" s="82" t="n"/>
      <c r="CG332" s="82" t="n"/>
      <c r="CH332" s="82" t="n"/>
      <c r="CI332" s="82" t="n"/>
      <c r="CK332" s="82" t="n"/>
      <c r="CL332" s="82" t="n"/>
      <c r="CM332" s="82" t="n"/>
      <c r="CN332" s="82" t="n"/>
      <c r="CP332" s="82" t="n"/>
      <c r="CQ332" s="82" t="n"/>
      <c r="CR332" s="82" t="n"/>
      <c r="CS332" s="82" t="n"/>
      <c r="CU332" s="82" t="n"/>
      <c r="CV332" s="82" t="n"/>
      <c r="CW332" s="82" t="n"/>
      <c r="CX332" s="82" t="n"/>
    </row>
    <row r="333" customFormat="1" s="77">
      <c r="A333" s="76" t="n"/>
      <c r="B333" s="76" t="n"/>
      <c r="C333" s="77" t="inlineStr">
        <is>
          <t>(EBITDA - CAPEX) / TOTAL INTEREST (LTM)</t>
        </is>
      </c>
      <c r="D333" s="82" t="str">
        <f>IFERROR((D69-D168)/-D74,"")</f>
        <v/>
      </c>
      <c r="E333" s="82" t="str">
        <f>IFERROR((E69-E168)/-E74,"")</f>
        <v/>
      </c>
      <c r="F333" s="82" t="str">
        <f>IFERROR((F69-F168)/-F74,"")</f>
        <v/>
      </c>
      <c r="G333" s="82" t="str">
        <f>IFERROR((G69-G168)/-G74,"")</f>
        <v/>
      </c>
      <c r="H333" s="262" t="str">
        <f>IFERROR(IF(AND(COUNT(H69)=1,(H74)&lt;&gt;0),((H69)-(H168))/-(H74),""),"")</f>
        <v/>
      </c>
      <c r="I333" s="262" t="str">
        <f>""</f>
        <v/>
      </c>
      <c r="J333" s="262" t="str">
        <f>""</f>
        <v/>
      </c>
      <c r="K333" s="262" t="str">
        <f>""</f>
        <v/>
      </c>
      <c r="L333" s="262">
        <f>IFERROR(IF(AND(COUNT(I69,J69,K69,L69)=4,(I74+J74+K74+L74)&lt;&gt;0),((I69+J69+K69+L69)-(I168+J168+K168+L168))/-(I74+J74+K74+L74),""),"")</f>
        <v>1.81856785545844</v>
      </c>
      <c r="M333" s="262">
        <f>IFERROR(IF(AND(COUNT(I69,J69,K69,L69)=4,(I74+J74+K74+L74)&lt;&gt;0),((I69+J69+K69+L69)-(I168+J168+K168+L168))/-(I74+J74+K74+L74),""),"")</f>
        <v>1.81856785545844</v>
      </c>
      <c r="N333" s="262">
        <f>IFERROR(IF(AND(COUNT(J69,K69,L69,N69)=4,(J74+K74+L74+N74)&lt;&gt;0),((J69+K69+L69+N69)-(J168+K168+L168+N168))/-(J74+K74+L74+N74),""),"")</f>
        <v>1.5012677879698</v>
      </c>
      <c r="O333" s="262">
        <f>IFERROR(IF(AND(COUNT(K69,L69,N69,O69)=4,(K74+L74+N74+O74)&lt;&gt;0),((K69+L69+N69+O69)-(K168+L168+N168+O168))/-(K74+L74+N74+O74),""),"")</f>
        <v>1.2288432511521</v>
      </c>
      <c r="P333" s="262">
        <f>IFERROR(IF(AND(COUNT(L69,N69,O69,P69)=4,(L74+N74+O74+P74)&lt;&gt;0),((L69+N69+O69+P69)-(L168+N168+O168+P168))/-(L74+N74+O74+P74),""),"")</f>
        <v>0.999835706757078</v>
      </c>
      <c r="Q333" s="262">
        <f>IFERROR(IF(AND(COUNT(N69,O69,P69,Q69)=4,(N74+O74+P74+Q74)&lt;&gt;0),((N69+O69+P69+Q69)-(N168+O168+P168+Q168))/-(N74+O74+P74+Q74),""),"")</f>
        <v>1.16056592146002</v>
      </c>
      <c r="R333" s="262">
        <f>IFERROR(IF(AND(COUNT(N69,O69,P69,Q69)=4,(N74+O74+P74+Q74)&lt;&gt;0),((N69+O69+P69+Q69)-(N168+O168+P168+Q168))/-(N74+O74+P74+Q74),""),"")</f>
        <v>1.16056592146002</v>
      </c>
      <c r="S333" s="262">
        <f>IFERROR(IF(AND(COUNT(O69,P69,Q69,S69)=4,(O74+P74+Q74+S74)&lt;&gt;0),((O69+P69+Q69+S69)-(O168+P168+Q168+S168))/-(O74+P74+Q74+S74),""),"")</f>
        <v>1.22843211701611</v>
      </c>
      <c r="T333" s="262">
        <f>IFERROR(IF(AND(COUNT(P69,Q69,S69,T69)=4,(P74+Q74+S74+T74)&lt;&gt;0),((P69+Q69+S69+T69)-(P168+Q168+S168+T168))/-(P74+Q74+S74+T74),""),"")</f>
        <v>1.40738810600018</v>
      </c>
      <c r="U333" s="262">
        <f>IFERROR(IF(AND(COUNT(Q69,S69,T69,U69)=4,(Q74+S74+T74+U74)&lt;&gt;0),((Q69+S69+T69+U69)-(Q168+S168+T168+U168))/-(Q74+S74+T74+U74),""),"")</f>
        <v>1.54596312356332</v>
      </c>
      <c r="V333" s="262">
        <f>IFERROR(IF(AND(COUNT(S69,T69,U69,V69)=4,(S74+T74+U74+V74)&lt;&gt;0),((S69+T69+U69+V69)-(S168+T168+U168+V168))/-(S74+T74+U74+V74),""),"")</f>
        <v>1.3806034400684</v>
      </c>
      <c r="W333" s="262">
        <f>IFERROR(IF(AND(COUNT(S69,T69,U69,V69)=4,(S74+T74+U74+V74)&lt;&gt;0),((S69+T69+U69+V69)-(S168+T168+U168+V168))/-(S74+T74+U74+V74),""),"")</f>
        <v>1.3806034400684</v>
      </c>
      <c r="X333" s="262">
        <f>IFERROR(IF(AND(COUNT(T69,U69,V69,X69)=4,(T74+U74+V74+X74)&lt;&gt;0),((T69+U69+V69+X69)-(T168+U168+V168+X168))/-(T74+U74+V74+X74),""),"")</f>
        <v>1.38608551267882</v>
      </c>
      <c r="Y333" s="262">
        <f>IFERROR(IF(AND(COUNT(U69,V69,X69,Y69)=4,(U74+V74+X74+Y74)&lt;&gt;0),((U69+V69+X69+Y69)-(U168+V168+X168+Y168))/-(U74+V74+X74+Y74),""),"")</f>
        <v>1.53952557229211</v>
      </c>
      <c r="Z333" s="262">
        <f>IFERROR(IF(AND(COUNT(V69,X69,Y69,Z69)=4,(V74+X74+Y74+Z74)&lt;&gt;0),((V69+X69+Y69+Z69)-(V168+X168+Y168+Z168))/-(V74+X74+Y74+Z74),""),"")</f>
        <v>1.85849805554251</v>
      </c>
      <c r="AA333" s="262">
        <f>IFERROR(IF(AND(COUNT(X69,Y69,Z69,AA69)=4,(X74+Y74+Z74+AA74)&lt;&gt;0),((X69+Y69+Z69+AA69)-(X168+Y168+Z168+AA168))/-(X74+Y74+Z74+AA74),""),"")</f>
        <v>2.17752610678395</v>
      </c>
      <c r="AB333" s="262">
        <f>IFERROR(IF(AND(COUNT(X69,Y69,Z69,AA69)=4,(X74+Y74+Z74+AA74)&lt;&gt;0),((X69+Y69+Z69+AA69)-(X168+Y168+Z168+AA168))/-(X74+Y74+Z74+AA74),""),"")</f>
        <v>2.17752610678395</v>
      </c>
      <c r="AC333" s="262">
        <f>IFERROR(IF(AND(COUNT(Y69,Z69,AA69,AC69)=4,(Y74+Z74+AA74+AC74)&lt;&gt;0),((Y69+Z69+AA69+AC69)-(Y168+Z168+AA168+AC168))/-(Y74+Z74+AA74+AC74),""),"")</f>
        <v>2.41832415505885</v>
      </c>
      <c r="AD333" s="262">
        <f>IFERROR(IF(AND(COUNT(Z69,AA69,AC69,AD69)=4,(Z74+AA74+AC74+AD74)&lt;&gt;0),((Z69+AA69+AC69+AD69)-(Z168+AA168+AC168+AD168))/-(Z74+AA74+AC74+AD74),""),"")</f>
        <v>2.40138986358112</v>
      </c>
      <c r="AE333" s="262">
        <f>IFERROR(IF(AND(COUNT(AA69,AC69,AD69,AE69)=4,(AA74+AC74+AD74+AE74)&lt;&gt;0),((AA69+AC69+AD69+AE69)-(AA168+AC168+AD168+AE168))/-(AA74+AC74+AD74+AE74),""),"")</f>
        <v>2.45713469071641</v>
      </c>
      <c r="AF333" s="262">
        <f>IFERROR(IF(AND(COUNT(AB69,AD69,AE69,AF69)=4,(AB74+AD74+AE74+AF74)&lt;&gt;0),((AB69+AD69+AE69+AF69)-(AB168+AD168+AE168+AF168))/-(AB74+AD74+AE74+AF74),""),"")</f>
        <v>2.70109464711951</v>
      </c>
      <c r="AG333" s="262">
        <f>IFERROR(IF(AND(COUNT(AC69,AD69,AE69,AF69)=4,(AC74+AD74+AE74+AF74)&lt;&gt;0),((AC69+AD69+AE69+AF69)-(AC168+AD168+AE168+AF168))/-(AC74+AD74+AE74+AF74),""),"")</f>
        <v>2.59639083619306</v>
      </c>
      <c r="AH333" s="262">
        <f>IFERROR(IF(AND(COUNT(AD69,AF69,AG69,AH69)=4,(AD74+AF74+AG74+AH74)&lt;&gt;0),((AD69+AF69+AG69+AH69)-(AD168+AF168+AG168+AH168))/-(AD74+AF74+AG74+AH74),""),"")</f>
        <v>2.48539943235572</v>
      </c>
      <c r="AI333" s="262">
        <f>IFERROR(IF(AND(COUNT(AE69,AG69,AH69,AI69)=4,(AE74+AG74+AH74+AI74)&lt;&gt;0),((AE69+AG69+AH69+AI69)-(AE168+AG168+AH168+AI168))/-(AE74+AG74+AH74+AI74),""),"")</f>
        <v>2.418819634321</v>
      </c>
      <c r="AJ333" s="262" t="str">
        <f>IFERROR(IF(AND(COUNT(AF69,AH69,AI69,AJ69)=4,(AF74+AH74+AI74+AJ74)&lt;&gt;0),((AF69+AH69+AI69+AJ69)-(AF168+AH168+AI168+AJ168))/-(AF74+AH74+AI74+AJ74),""),"")</f>
        <v/>
      </c>
      <c r="AK333" s="262" t="str">
        <f>IFERROR(IF(AND(COUNT(AH69,AI69,AJ69,AK69)=4,(AH74+AI74+AJ74+AK74)&lt;&gt;0),((AH69+AI69+AJ69+AK69)-(AH168+AI168+AJ168+AK168))/-(AH74+AI74+AJ74+AK74),""),"")</f>
        <v/>
      </c>
      <c r="AL333" s="262" t="str">
        <f>IFERROR(IF(AND(COUNT(AH69,AI69,AJ69,AK69)=4,(AH74+AI74+AJ74+AK74)&lt;&gt;0),((AH69+AI69+AJ69+AK69)-(AH168+AI168+AJ168+AK168))/-(AH74+AI74+AJ74+AK74),""),"")</f>
        <v/>
      </c>
      <c r="AM333" s="262" t="str">
        <f>IFERROR(IF(AND(COUNT(AI69,AJ69,AK69,AM69)=4,(AI74+AJ74+AK74+AM74)&lt;&gt;0),((AI69+AJ69+AK69+AM69)-(AI168+AJ168+AK168+AM168))/-(AI74+AJ74+AK74+AM74),""),"")</f>
        <v/>
      </c>
      <c r="AN333" s="262" t="str">
        <f>IFERROR(IF(AND(COUNT(AJ69,AK69,AM69,AN69)=4,(AJ74+AK74+AM74+AN74)&lt;&gt;0),((AJ69+AK69+AM69+AN69)-(AJ168+AK168+AM168+AN168))/-(AJ74+AK74+AM74+AN74),""),"")</f>
        <v/>
      </c>
      <c r="AO333" s="262" t="str">
        <f>IFERROR(IF(AND(COUNT(AK69,AM69,AN69,AO69)=4,(AK74+AM74+AN74+AO74)&lt;&gt;0),((AK69+AM69+AN69+AO69)-(AK168+AM168+AN168+AO168))/-(AK74+AM74+AN74+AO74),""),"")</f>
        <v/>
      </c>
      <c r="AP333" s="262" t="str">
        <f>IFERROR(IF(AND(COUNT(AM69,AN69,AO69,AP69)=4,(AM74+AN74+AO74+AP74)&lt;&gt;0),((AM69+AN69+AO69+AP69)-(AM168+AN168+AO168+AP168))/-(AM74+AN74+AO74+AP74),""),"")</f>
        <v/>
      </c>
      <c r="AQ333" s="262" t="str">
        <f>IFERROR(IF(AND(COUNT(AM69,AN69,AO69,AP69)=4,(AM74+AN74+AO74+AP74)&lt;&gt;0),((AM69+AN69+AO69+AP69)-(AM168+AN168+AO168+AP168))/-(AM74+AN74+AO74+AP74),""),"")</f>
        <v/>
      </c>
      <c r="AR333" s="262" t="str">
        <f>IFERROR(IF(AND(COUNT(AN69,AO69,AP69,AR69)=4,(AN74+AO74+AP74+AR74)&lt;&gt;0),((AN69+AO69+AP69+AR69)-(AN168+AO168+AP168+AR168))/-(AN74+AO74+AP74+AR74),""),"")</f>
        <v/>
      </c>
      <c r="AS333" s="262" t="str">
        <f>IFERROR(IF(AND(COUNT(AO69,AP69,AR69,AS69)=4,(AO74+AP74+AR74+AS74)&lt;&gt;0),((AO69+AP69+AR69+AS69)-(AO168+AP168+AR168+AS168))/-(AO74+AP74+AR74+AS74),""),"")</f>
        <v/>
      </c>
      <c r="AT333" s="262" t="str">
        <f>IFERROR(IF(AND(COUNT(AP69,AR69,AS69,AT69)=4,(AP74+AR74+AS74+AT74)&lt;&gt;0),((AP69+AR69+AS69+AT69)-(AP168+AR168+AS168+AT168))/-(AP74+AR74+AS74+AT74),""),"")</f>
        <v/>
      </c>
      <c r="AU333" s="262" t="str">
        <f>IFERROR(IF(AND(COUNT(AR69,AS69,AT69,AU69)=4,(AR74+AS74+AT74+AU74)&lt;&gt;0),((AR69+AS69+AT69+AU69)-(AR168+AS168+AT168+AU168))/-(AR74+AS74+AT74+AU74),""),"")</f>
        <v/>
      </c>
      <c r="AV333" s="262" t="str">
        <f>IFERROR(IF(AND(COUNT(AR69,AS69,AT69,AU69)=4,(AR74+AS74+AT74+AU74)&lt;&gt;0),((AR69+AS69+AT69+AU69)-(AR168+AS168+AT168+AU168))/-(AR74+AS74+AT74+AU74),""),"")</f>
        <v/>
      </c>
      <c r="AW333" s="262" t="str">
        <f>IFERROR(IF(AND(COUNT(AS69,AT69,AU69,AW69)=4,(AS74+AT74+AU74+AW74)&lt;&gt;0),((AS69+AT69+AU69+AW69)-(AS168+AT168+AU168+AW168))/-(AS74+AT74+AU74+AW74),""),"")</f>
        <v/>
      </c>
      <c r="AX333" s="262" t="str">
        <f>IFERROR(IF(AND(COUNT(AT69,AU69,AW69,AX69)=4,(AT74+AU74+AW74+AX74)&lt;&gt;0),((AT69+AU69+AW69+AX69)-(AT168+AU168+AW168+AX168))/-(AT74+AU74+AW74+AX74),""),"")</f>
        <v/>
      </c>
      <c r="AY333" s="262" t="str">
        <f>IFERROR(IF(AND(COUNT(AU69,AW69,AX69,AY69)=4,(AU74+AW74+AX74+AY74)&lt;&gt;0),((AU69+AW69+AX69+AY69)-(AU168+AW168+AX168+AY168))/-(AU74+AW74+AX74+AY74),""),"")</f>
        <v/>
      </c>
      <c r="AZ333" s="262" t="str">
        <f>IFERROR(IF(AND(COUNT(AW69,AX69,AY69,AZ69)=4,(AW74+AX74+AY74+AZ74)&lt;&gt;0),((AW69+AX69+AY69+AZ69)-(AW168+AX168+AY168+AZ168))/-(AW74+AX74+AY74+AZ74),""),"")</f>
        <v/>
      </c>
      <c r="BA333" s="262" t="str">
        <f>IFERROR(IF(AND(COUNT(AW69,AX69,AY69,AZ69)=4,(AW74+AX74+AY74+AZ74)&lt;&gt;0),((AW69+AX69+AY69+AZ69)-(AW168+AX168+AY168+AZ168))/-(AW74+AX74+AY74+AZ74),""),"")</f>
        <v/>
      </c>
      <c r="BB333" s="262" t="str">
        <f>IFERROR(IF(AND(COUNT(AX69,AY69,AZ69,BB69)=4,(AX74+AY74+AZ74+BB74)&lt;&gt;0),((AX69+AY69+AZ69+BB69)-(AX168+AY168+AZ168+BB168))/-(AX74+AY74+AZ74+BB74),""),"")</f>
        <v/>
      </c>
      <c r="BC333" s="262" t="str">
        <f>IFERROR(IF(AND(COUNT(AY69,AZ69,BB69,BC69)=4,(AY74+AZ74+BB74+BC74)&lt;&gt;0),((AY69+AZ69+BB69+BC69)-(AY168+AZ168+BB168+BC168))/-(AY74+AZ74+BB74+BC74),""),"")</f>
        <v/>
      </c>
      <c r="BD333" s="262" t="str">
        <f>IFERROR(IF(AND(COUNT(AZ69,BB69,BC69,BD69)=4,(AZ74+BB74+BC74+BD74)&lt;&gt;0),((AZ69+BB69+BC69+BD69)-(AZ168+BB168+BC168+BD168))/-(AZ74+BB74+BC74+BD74),""),"")</f>
        <v/>
      </c>
      <c r="BE333" s="262" t="str">
        <f>IFERROR(IF(AND(COUNT(BB69,BC69,BD69,BE69)=4,(BB74+BC74+BD74+BE74)&lt;&gt;0),((BB69+BC69+BD69+BE69)-(BB168+BC168+BD168+BE168))/-(BB74+BC74+BD74+BE74),""),"")</f>
        <v/>
      </c>
      <c r="BF333" s="262" t="str">
        <f>IFERROR(IF(AND(COUNT(BB69,BC69,BD69,BE69)=4,(BB74+BC74+BD74+BE74)&lt;&gt;0),((BB69+BC69+BD69+BE69)-(BB168+BC168+BD168+BE168))/-(BB74+BC74+BD74+BE74),""),"")</f>
        <v/>
      </c>
      <c r="BG333" s="82" t="n"/>
      <c r="BH333" s="82" t="n"/>
      <c r="BI333" s="82" t="n"/>
      <c r="BJ333" s="82" t="n"/>
      <c r="BL333" s="82" t="n"/>
      <c r="BM333" s="82" t="n"/>
      <c r="BN333" s="82" t="n"/>
      <c r="BO333" s="82" t="n"/>
      <c r="BQ333" s="82" t="n"/>
      <c r="BR333" s="82" t="n"/>
      <c r="BS333" s="82" t="n"/>
      <c r="BT333" s="82" t="n"/>
      <c r="BV333" s="82" t="n"/>
      <c r="BW333" s="82" t="n"/>
      <c r="BX333" s="82" t="n"/>
      <c r="BY333" s="82" t="n"/>
      <c r="CA333" s="82" t="n"/>
      <c r="CB333" s="82" t="n"/>
      <c r="CC333" s="82" t="n"/>
      <c r="CD333" s="82" t="n"/>
      <c r="CF333" s="82" t="n"/>
      <c r="CG333" s="82" t="n"/>
      <c r="CH333" s="82" t="n"/>
      <c r="CI333" s="82" t="n"/>
      <c r="CK333" s="82" t="n"/>
      <c r="CL333" s="82" t="n"/>
      <c r="CM333" s="82" t="n"/>
      <c r="CN333" s="82" t="n"/>
      <c r="CP333" s="82" t="n"/>
      <c r="CQ333" s="82" t="n"/>
      <c r="CR333" s="82" t="n"/>
      <c r="CS333" s="82" t="n"/>
      <c r="CU333" s="82" t="n"/>
      <c r="CV333" s="82" t="n"/>
      <c r="CW333" s="82" t="n"/>
      <c r="CX333" s="82" t="n"/>
    </row>
    <row r="334" customFormat="1" s="77">
      <c r="A334" s="76" t="n"/>
      <c r="B334" s="76" t="n"/>
      <c r="C334" s="77" t="inlineStr">
        <is>
          <t>TOTAL DEBT / EBITDA (LTM)</t>
        </is>
      </c>
      <c r="D334" s="82" t="str">
        <f>IFERROR(SUM(D212,D213,D214,D217,D235,D238)/D69,"")</f>
        <v/>
      </c>
      <c r="E334" s="82" t="str">
        <f>IFERROR(SUM(E212,E213,E214,E217,E235,E238)/E69,"")</f>
        <v/>
      </c>
      <c r="F334" s="82" t="str">
        <f>IFERROR(SUM(F212,F213,F214,F217,F235,F238)/F69,"")</f>
        <v/>
      </c>
      <c r="G334" s="82" t="str">
        <f>IFERROR(SUM(G212,G213,G214,G217,G235,G238)/G69,"")</f>
        <v/>
      </c>
      <c r="H334" s="262" t="str">
        <f>IFERROR(IF(AND(COUNT(H69)=1,(H69)&lt;&gt;0),(N(H212)+N(H213)+N(H214)+N(H217)+N(H235)+N(H238))/(H69),""),"")</f>
        <v/>
      </c>
      <c r="I334" s="262" t="str">
        <f>""</f>
        <v/>
      </c>
      <c r="J334" s="262" t="str">
        <f>""</f>
        <v/>
      </c>
      <c r="K334" s="262" t="str">
        <f>""</f>
        <v/>
      </c>
      <c r="L334" s="262">
        <f>IFERROR(IF(AND(COUNT(I69,J69,K69,L69)=4,(I69+J69+K69+L69)&lt;&gt;0),(N(L212)+N(L213)+N(L214)+N(L217)+N(L235)+N(L238))/(I69+J69+K69+L69),""),"")</f>
        <v>3.75952534481486</v>
      </c>
      <c r="M334" s="262">
        <f>IFERROR(IF(AND(COUNT(I69,J69,K69,L69)=4,(I69+J69+K69+L69)&lt;&gt;0),(N(M212)+N(M213)+N(M214)+N(M217)+N(M235)+N(M238))/(I69+J69+K69+L69),""),"")</f>
        <v>3.75952534481486</v>
      </c>
      <c r="N334" s="262">
        <f>IFERROR(IF(AND(COUNT(J69,K69,L69,N69)=4,(J69+K69+L69+N69)&lt;&gt;0),(N(N212)+N(N213)+N(N214)+N(N217)+N(N235)+N(N238))/(J69+K69+L69+N69),""),"")</f>
        <v>3.71374720195175</v>
      </c>
      <c r="O334" s="262">
        <f>IFERROR(IF(AND(COUNT(K69,L69,N69,O69)=4,(K69+L69+N69+O69)&lt;&gt;0),(N(O212)+N(O213)+N(O214)+N(O217)+N(O235)+N(O238))/(K69+L69+N69+O69),""),"")</f>
        <v>3.35612847246858</v>
      </c>
      <c r="P334" s="262">
        <f>IFERROR(IF(AND(COUNT(L69,N69,O69,P69)=4,(L69+N69+O69+P69)&lt;&gt;0),(N(P212)+N(P213)+N(P214)+N(P217)+N(P235)+N(P238))/(L69+N69+O69+P69),""),"")</f>
        <v>4.19160008142454</v>
      </c>
      <c r="Q334" s="262">
        <f>IFERROR(IF(AND(COUNT(N69,O69,P69,Q69)=4,(N69+O69+P69+Q69)&lt;&gt;0),(N(Q212)+N(Q213)+N(Q214)+N(Q217)+N(Q235)+N(Q238))/(N69+O69+P69+Q69),""),"")</f>
        <v>3.49062596724984</v>
      </c>
      <c r="R334" s="262">
        <f>IFERROR(IF(AND(COUNT(N69,O69,P69,Q69)=4,(N69+O69+P69+Q69)&lt;&gt;0),(N(R212)+N(R213)+N(R214)+N(R217)+N(R235)+N(R238))/(N69+O69+P69+Q69),""),"")</f>
        <v>3.49062596724984</v>
      </c>
      <c r="S334" s="262">
        <f>IFERROR(IF(AND(COUNT(O69,P69,Q69,S69)=4,(O69+P69+Q69+S69)&lt;&gt;0),(N(S212)+N(S213)+N(S214)+N(S217)+N(S235)+N(S238))/(O69+P69+Q69+S69),""),"")</f>
        <v>3.31199467393063</v>
      </c>
      <c r="T334" s="262">
        <f>IFERROR(IF(AND(COUNT(P69,Q69,S69,T69)=4,(P69+Q69+S69+T69)&lt;&gt;0),(N(T212)+N(T213)+N(T214)+N(T217)+N(T235)+N(T238))/(P69+Q69+S69+T69),""),"")</f>
        <v>3.11705709699416</v>
      </c>
      <c r="U334" s="262">
        <f>IFERROR(IF(AND(COUNT(Q69,S69,T69,U69)=4,(Q69+S69+T69+U69)&lt;&gt;0),(N(U212)+N(U213)+N(U214)+N(U217)+N(U235)+N(U238))/(Q69+S69+T69+U69),""),"")</f>
        <v>2.71708189906241</v>
      </c>
      <c r="V334" s="262">
        <f>IFERROR(IF(AND(COUNT(S69,T69,U69,V69)=4,(S69+T69+U69+V69)&lt;&gt;0),(N(V212)+N(V213)+N(V214)+N(V217)+N(V235)+N(V238))/(S69+T69+U69+V69),""),"")</f>
        <v>3.12891064925488</v>
      </c>
      <c r="W334" s="262">
        <f>IFERROR(IF(AND(COUNT(S69,T69,U69,V69)=4,(S69+T69+U69+V69)&lt;&gt;0),(N(W212)+N(W213)+N(W214)+N(W217)+N(W235)+N(W238))/(S69+T69+U69+V69),""),"")</f>
        <v>3.12891064925488</v>
      </c>
      <c r="X334" s="262">
        <f>IFERROR(IF(AND(COUNT(T69,U69,V69,X69)=4,(T69+U69+V69+X69)&lt;&gt;0),(N(X212)+N(X213)+N(X214)+N(X217)+N(X235)+N(X238))/(T69+U69+V69+X69),""),"")</f>
        <v>2.99779490093179</v>
      </c>
      <c r="Y334" s="262">
        <f>IFERROR(IF(AND(COUNT(U69,V69,X69,Y69)=4,(U69+V69+X69+Y69)&lt;&gt;0),(N(Y212)+N(Y213)+N(Y214)+N(Y217)+N(Y235)+N(Y238))/(U69+V69+X69+Y69),""),"")</f>
        <v>2.77013596637052</v>
      </c>
      <c r="Z334" s="262">
        <f>IFERROR(IF(AND(COUNT(V69,X69,Y69,Z69)=4,(V69+X69+Y69+Z69)&lt;&gt;0),(N(Z212)+N(Z213)+N(Z214)+N(Z217)+N(Z235)+N(Z238))/(V69+X69+Y69+Z69),""),"")</f>
        <v>2.97992101414204</v>
      </c>
      <c r="AA334" s="262">
        <f>IFERROR(IF(AND(COUNT(X69,Y69,Z69,AA69)=4,(X69+Y69+Z69+AA69)&lt;&gt;0),(N(AA212)+N(AA213)+N(AA214)+N(AA217)+N(AA235)+N(AA238))/(X69+Y69+Z69+AA69),""),"")</f>
        <v>2.21164900649692</v>
      </c>
      <c r="AB334" s="262">
        <f>IFERROR(IF(AND(COUNT(X69,Y69,Z69,AA69)=4,(X69+Y69+Z69+AA69)&lt;&gt;0),(N(AB212)+N(AB213)+N(AB214)+N(AB217)+N(AB235)+N(AB238))/(X69+Y69+Z69+AA69),""),"")</f>
        <v>2.21164900649692</v>
      </c>
      <c r="AC334" s="262">
        <f>IFERROR(IF(AND(COUNT(Y69,Z69,AA69,AC69)=4,(Y69+Z69+AA69+AC69)&lt;&gt;0),(N(AC212)+N(AC213)+N(AC214)+N(AC217)+N(AC235)+N(AC238))/(Y69+Z69+AA69+AC69),""),"")</f>
        <v>2.49779554517209</v>
      </c>
      <c r="AD334" s="262">
        <f>IFERROR(IF(AND(COUNT(Z69,AA69,AC69,AD69)=4,(Z69+AA69+AC69+AD69)&lt;&gt;0),(N(AD212)+N(AD213)+N(AD214)+N(AD217)+N(AD235)+N(AD238))/(Z69+AA69+AC69+AD69),""),"")</f>
        <v>2.5125061013338</v>
      </c>
      <c r="AE334" s="262">
        <f>IFERROR(IF(AND(COUNT(AA69,AC69,AD69,AE69)=4,(AA69+AC69+AD69+AE69)&lt;&gt;0),(N(AE212)+N(AE213)+N(AE214)+N(AE217)+N(AE235)+N(AE238))/(AA69+AC69+AD69+AE69),""),"")</f>
        <v>2.82390927321586</v>
      </c>
      <c r="AF334" s="262">
        <f>IFERROR(IF(AND(COUNT(AB69,AD69,AE69,AF69)=4,(AB69+AD69+AE69+AF69)&lt;&gt;0),(N(AF212)+N(AF213)+N(AF214)+N(AF217)+N(AF235)+N(AF238))/(AB69+AD69+AE69+AF69),""),"")</f>
        <v>1.82794535476317</v>
      </c>
      <c r="AG334" s="262">
        <f>IFERROR(IF(AND(COUNT(AC69,AD69,AE69,AF69)=4,(AC69+AD69+AE69+AF69)&lt;&gt;0),(N(AG212)+N(AG213)+N(AG214)+N(AG217)+N(AG235)+N(AG238))/(AC69+AD69+AE69+AF69),""),"")</f>
        <v>2.78808729728195</v>
      </c>
      <c r="AH334" s="262">
        <f>IFERROR(IF(AND(COUNT(AD69,AF69,AG69,AH69)=4,(AD69+AF69+AG69+AH69)&lt;&gt;0),(N(AH212)+N(AH213)+N(AH214)+N(AH217)+N(AH235)+N(AH238))/(AD69+AF69+AG69+AH69),""),"")</f>
        <v>1.7049161596868</v>
      </c>
      <c r="AI334" s="262">
        <f>IFERROR(IF(AND(COUNT(AE69,AG69,AH69,AI69)=4,(AE69+AG69+AH69+AI69)&lt;&gt;0),(N(AI212)+N(AI213)+N(AI214)+N(AI217)+N(AI235)+N(AI238))/(AE69+AG69+AH69+AI69),""),"")</f>
        <v>1.59708981303283</v>
      </c>
      <c r="AJ334" s="262">
        <f>IFERROR(IF(AND(COUNT(AF69,AH69,AI69,AJ69)=4,(AF69+AH69+AI69+AJ69)&lt;&gt;0),(N(AJ212)+N(AJ213)+N(AJ214)+N(AJ217)+N(AJ235)+N(AJ238))/(AF69+AH69+AI69+AJ69),""),"")</f>
        <v>2.43133247424424</v>
      </c>
      <c r="AK334" s="262">
        <f>IFERROR(IF(AND(COUNT(AH69,AI69,AJ69,AK69)=4,(AH69+AI69+AJ69+AK69)&lt;&gt;0),(N(AK212)+N(AK213)+N(AK214)+N(AK217)+N(AK235)+N(AK238))/(AH69+AI69+AJ69+AK69),""),"")</f>
        <v>2.29978105701867</v>
      </c>
      <c r="AL334" s="262">
        <f>IFERROR(IF(AND(COUNT(AH69,AI69,AJ69,AK69)=4,(AH69+AI69+AJ69+AK69)&lt;&gt;0),(N(AL212)+N(AL213)+N(AL214)+N(AL217)+N(AL235)+N(AL238))/(AH69+AI69+AJ69+AK69),""),"")</f>
        <v>2.29978105701867</v>
      </c>
      <c r="AM334" s="262">
        <f>IFERROR(IF(AND(COUNT(AI69,AJ69,AK69,AM69)=4,(AI69+AJ69+AK69+AM69)&lt;&gt;0),(N(AM212)+N(AM213)+N(AM214)+N(AM217)+N(AM235)+N(AM238))/(AI69+AJ69+AK69+AM69),""),"")</f>
        <v>2.2116165670032</v>
      </c>
      <c r="AN334" s="262">
        <f>IFERROR(IF(AND(COUNT(AJ69,AK69,AM69,AN69)=4,(AJ69+AK69+AM69+AN69)&lt;&gt;0),(N(AN212)+N(AN213)+N(AN214)+N(AN217)+N(AN235)+N(AN238))/(AJ69+AK69+AM69+AN69),""),"")</f>
        <v>2.06687212494833</v>
      </c>
      <c r="AO334" s="262">
        <f>IFERROR(IF(AND(COUNT(AK69,AM69,AN69,AO69)=4,(AK69+AM69+AN69+AO69)&lt;&gt;0),(N(AO212)+N(AO213)+N(AO214)+N(AO217)+N(AO235)+N(AO238))/(AK69+AM69+AN69+AO69),""),"")</f>
        <v>1.93545408993588</v>
      </c>
      <c r="AP334" s="262">
        <f>IFERROR(IF(AND(COUNT(AM69,AN69,AO69,AP69)=4,(AM69+AN69+AO69+AP69)&lt;&gt;0),(N(AP212)+N(AP213)+N(AP214)+N(AP217)+N(AP235)+N(AP238))/(AM69+AN69+AO69+AP69),""),"")</f>
        <v>1.81338016690529</v>
      </c>
      <c r="AQ334" s="262">
        <f>IFERROR(IF(AND(COUNT(AM69,AN69,AO69,AP69)=4,(AM69+AN69+AO69+AP69)&lt;&gt;0),(N(AQ212)+N(AQ213)+N(AQ214)+N(AQ217)+N(AQ235)+N(AQ238))/(AM69+AN69+AO69+AP69),""),"")</f>
        <v>1.81338016690529</v>
      </c>
      <c r="AR334" s="262">
        <f>IFERROR(IF(AND(COUNT(AN69,AO69,AP69,AR69)=4,(AN69+AO69+AP69+AR69)&lt;&gt;0),(N(AR212)+N(AR213)+N(AR214)+N(AR217)+N(AR235)+N(AR238))/(AN69+AO69+AP69+AR69),""),"")</f>
        <v>1.71257876626897</v>
      </c>
      <c r="AS334" s="262">
        <f>IFERROR(IF(AND(COUNT(AO69,AP69,AR69,AS69)=4,(AO69+AP69+AR69+AS69)&lt;&gt;0),(N(AS212)+N(AS213)+N(AS214)+N(AS217)+N(AS235)+N(AS238))/(AO69+AP69+AR69+AS69),""),"")</f>
        <v>1.61401950500512</v>
      </c>
      <c r="AT334" s="262">
        <f>IFERROR(IF(AND(COUNT(AP69,AR69,AS69,AT69)=4,(AP69+AR69+AS69+AT69)&lt;&gt;0),(N(AT212)+N(AT213)+N(AT214)+N(AT217)+N(AT235)+N(AT238))/(AP69+AR69+AS69+AT69),""),"")</f>
        <v>1.51290737218348</v>
      </c>
      <c r="AU334" s="262">
        <f>IFERROR(IF(AND(COUNT(AR69,AS69,AT69,AU69)=4,(AR69+AS69+AT69+AU69)&lt;&gt;0),(N(AU212)+N(AU213)+N(AU214)+N(AU217)+N(AU235)+N(AU238))/(AR69+AS69+AT69+AU69),""),"")</f>
        <v>1.41880310812005</v>
      </c>
      <c r="AV334" s="262">
        <f>IFERROR(IF(AND(COUNT(AR69,AS69,AT69,AU69)=4,(AR69+AS69+AT69+AU69)&lt;&gt;0),(N(AV212)+N(AV213)+N(AV214)+N(AV217)+N(AV235)+N(AV238))/(AR69+AS69+AT69+AU69),""),"")</f>
        <v>1.41880310812005</v>
      </c>
      <c r="AW334" s="262">
        <f>IFERROR(IF(AND(COUNT(AS69,AT69,AU69,AW69)=4,(AS69+AT69+AU69+AW69)&lt;&gt;0),(N(AW212)+N(AW213)+N(AW214)+N(AW217)+N(AW235)+N(AW238))/(AS69+AT69+AU69+AW69),""),"")</f>
        <v>1.34127575502545</v>
      </c>
      <c r="AX334" s="262">
        <f>IFERROR(IF(AND(COUNT(AT69,AU69,AW69,AX69)=4,(AT69+AU69+AW69+AX69)&lt;&gt;0),(N(AX212)+N(AX213)+N(AX214)+N(AX217)+N(AX235)+N(AX238))/(AT69+AU69+AW69+AX69),""),"")</f>
        <v>1.26532272744349</v>
      </c>
      <c r="AY334" s="262">
        <f>IFERROR(IF(AND(COUNT(AU69,AW69,AX69,AY69)=4,(AU69+AW69+AX69+AY69)&lt;&gt;0),(N(AY212)+N(AY213)+N(AY214)+N(AY217)+N(AY235)+N(AY238))/(AU69+AW69+AX69+AY69),""),"")</f>
        <v>1.18724765704055</v>
      </c>
      <c r="AZ334" s="262">
        <f>IFERROR(IF(AND(COUNT(AW69,AX69,AY69,AZ69)=4,(AW69+AX69+AY69+AZ69)&lt;&gt;0),(N(AZ212)+N(AZ213)+N(AZ214)+N(AZ217)+N(AZ235)+N(AZ238))/(AW69+AX69+AY69+AZ69),""),"")</f>
        <v>1.11444261369675</v>
      </c>
      <c r="BA334" s="262">
        <f>IFERROR(IF(AND(COUNT(AW69,AX69,AY69,AZ69)=4,(AW69+AX69+AY69+AZ69)&lt;&gt;0),(N(BA212)+N(BA213)+N(BA214)+N(BA217)+N(BA235)+N(BA238))/(AW69+AX69+AY69+AZ69),""),"")</f>
        <v>1.11444261369675</v>
      </c>
      <c r="BB334" s="262">
        <f>IFERROR(IF(AND(COUNT(AX69,AY69,AZ69,BB69)=4,(AX69+AY69+AZ69+BB69)&lt;&gt;0),(N(BB212)+N(BB213)+N(BB214)+N(BB217)+N(BB235)+N(BB238))/(AX69+AY69+AZ69+BB69),""),"")</f>
        <v>1.05460138540677</v>
      </c>
      <c r="BC334" s="262">
        <f>IFERROR(IF(AND(COUNT(AY69,AZ69,BB69,BC69)=4,(AY69+AZ69+BB69+BC69)&lt;&gt;0),(N(BC212)+N(BC213)+N(BC214)+N(BC217)+N(BC235)+N(BC238))/(AY69+AZ69+BB69+BC69),""),"")</f>
        <v>0.995858997567391</v>
      </c>
      <c r="BD334" s="262">
        <f>IFERROR(IF(AND(COUNT(AZ69,BB69,BC69,BD69)=4,(AZ69+BB69+BC69+BD69)&lt;&gt;0),(N(BD212)+N(BD213)+N(BD214)+N(BD217)+N(BD235)+N(BD238))/(AZ69+BB69+BC69+BD69),""),"")</f>
        <v>0.935355038129516</v>
      </c>
      <c r="BE334" s="262">
        <f>IFERROR(IF(AND(COUNT(BB69,BC69,BD69,BE69)=4,(BB69+BC69+BD69+BE69)&lt;&gt;0),(N(BE212)+N(BE213)+N(BE214)+N(BE217)+N(BE235)+N(BE238))/(BB69+BC69+BD69+BE69),""),"")</f>
        <v>0.878824786220043</v>
      </c>
      <c r="BF334" s="262">
        <f>IFERROR(IF(AND(COUNT(BB69,BC69,BD69,BE69)=4,(BB69+BC69+BD69+BE69)&lt;&gt;0),(N(BF212)+N(BF213)+N(BF214)+N(BF217)+N(BF235)+N(BF238))/(BB69+BC69+BD69+BE69),""),"")</f>
        <v>0.878824786220043</v>
      </c>
      <c r="BG334" s="82" t="n"/>
      <c r="BH334" s="82" t="n"/>
      <c r="BI334" s="82" t="n"/>
      <c r="BJ334" s="82" t="n"/>
      <c r="BL334" s="82" t="n"/>
      <c r="BM334" s="82" t="n"/>
      <c r="BN334" s="82" t="n"/>
      <c r="BO334" s="82" t="n"/>
      <c r="BQ334" s="82" t="n"/>
      <c r="BR334" s="82" t="n"/>
      <c r="BS334" s="82" t="n"/>
      <c r="BT334" s="82" t="n"/>
      <c r="BV334" s="82" t="n"/>
      <c r="BW334" s="82" t="n"/>
      <c r="BX334" s="82" t="n"/>
      <c r="BY334" s="82" t="n"/>
      <c r="CA334" s="82" t="n"/>
      <c r="CB334" s="82" t="n"/>
      <c r="CC334" s="82" t="n"/>
      <c r="CD334" s="82" t="n"/>
      <c r="CF334" s="82" t="n"/>
      <c r="CG334" s="82" t="n"/>
      <c r="CH334" s="82" t="n"/>
      <c r="CI334" s="82" t="n"/>
      <c r="CK334" s="82" t="n"/>
      <c r="CL334" s="82" t="n"/>
      <c r="CM334" s="82" t="n"/>
      <c r="CN334" s="82" t="n"/>
      <c r="CP334" s="82" t="n"/>
      <c r="CQ334" s="82" t="n"/>
      <c r="CR334" s="82" t="n"/>
      <c r="CS334" s="82" t="n"/>
      <c r="CU334" s="82" t="n"/>
      <c r="CV334" s="82" t="n"/>
      <c r="CW334" s="82" t="n"/>
      <c r="CX334" s="82" t="n"/>
    </row>
    <row r="335" customFormat="1" s="77">
      <c r="A335" s="76" t="n"/>
      <c r="B335" s="76" t="n"/>
      <c r="C335" s="77" t="inlineStr">
        <is>
          <t>TOTAL DEBT / TOTAL CAPITALIZATION</t>
        </is>
      </c>
      <c r="D335" s="80" t="str">
        <f>IFERROR(SUM(D212+D213+D214+D217+D235+D238)/(SUM(D212+D213+D214+D217+D235+D238)+D271),"")</f>
        <v/>
      </c>
      <c r="E335" s="80" t="str">
        <f>IFERROR(SUM(E212+E213+E214+E217+E235+E238)/(SUM(E212+E213+E214+E217+E235+E238)+E271),"")</f>
        <v/>
      </c>
      <c r="F335" s="80" t="str">
        <f>IFERROR(SUM(F212+F213+F214+F217+F235+F238)/(SUM(F212+F213+F214+F217+F235+F238)+F271),"")</f>
        <v/>
      </c>
      <c r="G335" s="80" t="str">
        <f>IFERROR(SUM(G212+G213+G214+G217+G235+G238)/(SUM(G212+G213+G214+G217+G235+G238)+G271),"")</f>
        <v/>
      </c>
      <c r="H335" s="258" t="str">
        <f>IFERROR(IF(((N(H212)+N(H213)+N(H214)+N(H217)+N(H235)+N(H238))+N(H271))&lt;&gt;0,(N(H212)+N(H213)+N(H214)+N(H217)+N(H235)+N(H238))/((N(H212)+N(H213)+N(H214)+N(H217)+N(H235)+N(H238))+H271),""),"")</f>
        <v/>
      </c>
      <c r="I335" s="258">
        <f>IFERROR(IF(((N(I212)+N(I213)+N(I214)+N(I217)+N(I235)+N(I238))+N(I271))&lt;&gt;0,(N(I212)+N(I213)+N(I214)+N(I217)+N(I235)+N(I238))/((N(I212)+N(I213)+N(I214)+N(I217)+N(I235)+N(I238))+I271),""),"")</f>
        <v>0.452504622707519</v>
      </c>
      <c r="J335" s="258">
        <f>IFERROR(IF(((N(J212)+N(J213)+N(J214)+N(J217)+N(J235)+N(J238))+N(J271))&lt;&gt;0,(N(J212)+N(J213)+N(J214)+N(J217)+N(J235)+N(J238))/((N(J212)+N(J213)+N(J214)+N(J217)+N(J235)+N(J238))+J271),""),"")</f>
        <v>0.486253142639306</v>
      </c>
      <c r="K335" s="258">
        <f>IFERROR(IF(((N(K212)+N(K213)+N(K214)+N(K217)+N(K235)+N(K238))+N(K271))&lt;&gt;0,(N(K212)+N(K213)+N(K214)+N(K217)+N(K235)+N(K238))/((N(K212)+N(K213)+N(K214)+N(K217)+N(K235)+N(K238))+K271),""),"")</f>
        <v>0.47700548944252</v>
      </c>
      <c r="L335" s="258">
        <f>IFERROR(IF(((N(L212)+N(L213)+N(L214)+N(L217)+N(L235)+N(L238))+N(L271))&lt;&gt;0,(N(L212)+N(L213)+N(L214)+N(L217)+N(L235)+N(L238))/((N(L212)+N(L213)+N(L214)+N(L217)+N(L235)+N(L238))+L271),""),"")</f>
        <v>0.466703029430076</v>
      </c>
      <c r="M335" s="258">
        <f>IFERROR(IF(((N(M212)+N(M213)+N(M214)+N(M217)+N(M235)+N(M238))+N(M271))&lt;&gt;0,(N(M212)+N(M213)+N(M214)+N(M217)+N(M235)+N(M238))/((N(M212)+N(M213)+N(M214)+N(M217)+N(M235)+N(M238))+M271),""),"")</f>
        <v>0.466703029430076</v>
      </c>
      <c r="N335" s="258">
        <f>IFERROR(IF(((N(N212)+N(N213)+N(N214)+N(N217)+N(N235)+N(N238))+N(N271))&lt;&gt;0,(N(N212)+N(N213)+N(N214)+N(N217)+N(N235)+N(N238))/((N(N212)+N(N213)+N(N214)+N(N217)+N(N235)+N(N238))+N271),""),"")</f>
        <v>0.470461230442637</v>
      </c>
      <c r="O335" s="258">
        <f>IFERROR(IF(((N(O212)+N(O213)+N(O214)+N(O217)+N(O235)+N(O238))+N(O271))&lt;&gt;0,(N(O212)+N(O213)+N(O214)+N(O217)+N(O235)+N(O238))/((N(O212)+N(O213)+N(O214)+N(O217)+N(O235)+N(O238))+O271),""),"")</f>
        <v>0.440211956769575</v>
      </c>
      <c r="P335" s="258">
        <f>IFERROR(IF(((N(P212)+N(P213)+N(P214)+N(P217)+N(P235)+N(P238))+N(P271))&lt;&gt;0,(N(P212)+N(P213)+N(P214)+N(P217)+N(P235)+N(P238))/((N(P212)+N(P213)+N(P214)+N(P217)+N(P235)+N(P238))+P271),""),"")</f>
        <v>0.49715500688132</v>
      </c>
      <c r="Q335" s="258">
        <f>IFERROR(IF(((N(Q212)+N(Q213)+N(Q214)+N(Q217)+N(Q235)+N(Q238))+N(Q271))&lt;&gt;0,(N(Q212)+N(Q213)+N(Q214)+N(Q217)+N(Q235)+N(Q238))/((N(Q212)+N(Q213)+N(Q214)+N(Q217)+N(Q235)+N(Q238))+Q271),""),"")</f>
        <v>0.494996979794933</v>
      </c>
      <c r="R335" s="258">
        <f>IFERROR(IF(((N(R212)+N(R213)+N(R214)+N(R217)+N(R235)+N(R238))+N(R271))&lt;&gt;0,(N(R212)+N(R213)+N(R214)+N(R217)+N(R235)+N(R238))/((N(R212)+N(R213)+N(R214)+N(R217)+N(R235)+N(R238))+R271),""),"")</f>
        <v>0.494996979794933</v>
      </c>
      <c r="S335" s="258">
        <f>IFERROR(IF(((N(S212)+N(S213)+N(S214)+N(S217)+N(S235)+N(S238))+N(S271))&lt;&gt;0,(N(S212)+N(S213)+N(S214)+N(S217)+N(S235)+N(S238))/((N(S212)+N(S213)+N(S214)+N(S217)+N(S235)+N(S238))+S271),""),"")</f>
        <v>0.483214282660556</v>
      </c>
      <c r="T335" s="258">
        <f>IFERROR(IF(((N(T212)+N(T213)+N(T214)+N(T217)+N(T235)+N(T238))+N(T271))&lt;&gt;0,(N(T212)+N(T213)+N(T214)+N(T217)+N(T235)+N(T238))/((N(T212)+N(T213)+N(T214)+N(T217)+N(T235)+N(T238))+T271),""),"")</f>
        <v>0.477503529570534</v>
      </c>
      <c r="U335" s="258">
        <f>IFERROR(IF(((N(U212)+N(U213)+N(U214)+N(U217)+N(U235)+N(U238))+N(U271))&lt;&gt;0,(N(U212)+N(U213)+N(U214)+N(U217)+N(U235)+N(U238))/((N(U212)+N(U213)+N(U214)+N(U217)+N(U235)+N(U238))+U271),""),"")</f>
        <v>0.386134482610998</v>
      </c>
      <c r="V335" s="258">
        <f>IFERROR(IF(((N(V212)+N(V213)+N(V214)+N(V217)+N(V235)+N(V238))+N(V271))&lt;&gt;0,(N(V212)+N(V213)+N(V214)+N(V217)+N(V235)+N(V238))/((N(V212)+N(V213)+N(V214)+N(V217)+N(V235)+N(V238))+V271),""),"")</f>
        <v>0.389074238421829</v>
      </c>
      <c r="W335" s="258">
        <f>IFERROR(IF(((N(W212)+N(W213)+N(W214)+N(W217)+N(W235)+N(W238))+N(W271))&lt;&gt;0,(N(W212)+N(W213)+N(W214)+N(W217)+N(W235)+N(W238))/((N(W212)+N(W213)+N(W214)+N(W217)+N(W235)+N(W238))+W271),""),"")</f>
        <v>0.389074238421829</v>
      </c>
      <c r="X335" s="258">
        <f>IFERROR(IF(((N(X212)+N(X213)+N(X214)+N(X217)+N(X235)+N(X238))+N(X271))&lt;&gt;0,(N(X212)+N(X213)+N(X214)+N(X217)+N(X235)+N(X238))/((N(X212)+N(X213)+N(X214)+N(X217)+N(X235)+N(X238))+X271),""),"")</f>
        <v>0.381745501365821</v>
      </c>
      <c r="Y335" s="258">
        <f>IFERROR(IF(((N(Y212)+N(Y213)+N(Y214)+N(Y217)+N(Y235)+N(Y238))+N(Y271))&lt;&gt;0,(N(Y212)+N(Y213)+N(Y214)+N(Y217)+N(Y235)+N(Y238))/((N(Y212)+N(Y213)+N(Y214)+N(Y217)+N(Y235)+N(Y238))+Y271),""),"")</f>
        <v>0.368479634828733</v>
      </c>
      <c r="Z335" s="258">
        <f>IFERROR(IF(((N(Z212)+N(Z213)+N(Z214)+N(Z217)+N(Z235)+N(Z238))+N(Z271))&lt;&gt;0,(N(Z212)+N(Z213)+N(Z214)+N(Z217)+N(Z235)+N(Z238))/((N(Z212)+N(Z213)+N(Z214)+N(Z217)+N(Z235)+N(Z238))+Z271),""),"")</f>
        <v>0.440122977211749</v>
      </c>
      <c r="AA335" s="258">
        <f>IFERROR(IF(((N(AA212)+N(AA213)+N(AA214)+N(AA217)+N(AA235)+N(AA238))+N(AA271))&lt;&gt;0,(N(AA212)+N(AA213)+N(AA214)+N(AA217)+N(AA235)+N(AA238))/((N(AA212)+N(AA213)+N(AA214)+N(AA217)+N(AA235)+N(AA238))+AA271),""),"")</f>
        <v>0.423464959129874</v>
      </c>
      <c r="AB335" s="258">
        <f>IFERROR(IF(((N(AB212)+N(AB213)+N(AB214)+N(AB217)+N(AB235)+N(AB238))+N(AB271))&lt;&gt;0,(N(AB212)+N(AB213)+N(AB214)+N(AB217)+N(AB235)+N(AB238))/((N(AB212)+N(AB213)+N(AB214)+N(AB217)+N(AB235)+N(AB238))+AB271),""),"")</f>
        <v>0.423464959129874</v>
      </c>
      <c r="AC335" s="258">
        <f>IFERROR(IF(((N(AC212)+N(AC213)+N(AC214)+N(AC217)+N(AC235)+N(AC238))+N(AC271))&lt;&gt;0,(N(AC212)+N(AC213)+N(AC214)+N(AC217)+N(AC235)+N(AC238))/((N(AC212)+N(AC213)+N(AC214)+N(AC217)+N(AC235)+N(AC238))+AC271),""),"")</f>
        <v>0.455521315375068</v>
      </c>
      <c r="AD335" s="258">
        <f>IFERROR(IF(((N(AD212)+N(AD213)+N(AD214)+N(AD217)+N(AD235)+N(AD238))+N(AD271))&lt;&gt;0,(N(AD212)+N(AD213)+N(AD214)+N(AD217)+N(AD235)+N(AD238))/((N(AD212)+N(AD213)+N(AD214)+N(AD217)+N(AD235)+N(AD238))+AD271),""),"")</f>
        <v>0.461292257535727</v>
      </c>
      <c r="AE335" s="258">
        <f>IFERROR(IF(((N(AE212)+N(AE213)+N(AE214)+N(AE217)+N(AE235)+N(AE238))+N(AE271))&lt;&gt;0,(N(AE212)+N(AE213)+N(AE214)+N(AE217)+N(AE235)+N(AE238))/((N(AE212)+N(AE213)+N(AE214)+N(AE217)+N(AE235)+N(AE238))+AE271),""),"")</f>
        <v>0.495071053784885</v>
      </c>
      <c r="AF335" s="258">
        <f>IFERROR(IF(((N(AF212)+N(AF213)+N(AF214)+N(AF217)+N(AF235)+N(AF238))+N(AF271))&lt;&gt;0,(N(AF212)+N(AF213)+N(AF214)+N(AF217)+N(AF235)+N(AF238))/((N(AF212)+N(AF213)+N(AF214)+N(AF217)+N(AF235)+N(AF238))+AF271),""),"")</f>
        <v>0.551008674644517</v>
      </c>
      <c r="AG335" s="258">
        <f>IFERROR(IF(((N(AG212)+N(AG213)+N(AG214)+N(AG217)+N(AG235)+N(AG238))+N(AG271))&lt;&gt;0,(N(AG212)+N(AG213)+N(AG214)+N(AG217)+N(AG235)+N(AG238))/((N(AG212)+N(AG213)+N(AG214)+N(AG217)+N(AG235)+N(AG238))+AG271),""),"")</f>
        <v>0.551008674644517</v>
      </c>
      <c r="AH335" s="258">
        <f>IFERROR(IF(((N(AH212)+N(AH213)+N(AH214)+N(AH217)+N(AH235)+N(AH238))+N(AH271))&lt;&gt;0,(N(AH212)+N(AH213)+N(AH214)+N(AH217)+N(AH235)+N(AH238))/((N(AH212)+N(AH213)+N(AH214)+N(AH217)+N(AH235)+N(AH238))+AH271),""),"")</f>
        <v>0.553664010148606</v>
      </c>
      <c r="AI335" s="258">
        <f>IFERROR(IF(((N(AI212)+N(AI213)+N(AI214)+N(AI217)+N(AI235)+N(AI238))+N(AI271))&lt;&gt;0,(N(AI212)+N(AI213)+N(AI214)+N(AI217)+N(AI235)+N(AI238))/((N(AI212)+N(AI213)+N(AI214)+N(AI217)+N(AI235)+N(AI238))+AI271),""),"")</f>
        <v>0.52632735674958</v>
      </c>
      <c r="AJ335" s="258">
        <f>IFERROR(IF(((N(AJ212)+N(AJ213)+N(AJ214)+N(AJ217)+N(AJ235)+N(AJ238))+N(AJ271))&lt;&gt;0,(N(AJ212)+N(AJ213)+N(AJ214)+N(AJ217)+N(AJ235)+N(AJ238))/((N(AJ212)+N(AJ213)+N(AJ214)+N(AJ217)+N(AJ235)+N(AJ238))+AJ271),""),"")</f>
        <v>0.490108483486134</v>
      </c>
      <c r="AK335" s="258">
        <f>IFERROR(IF(((N(AK212)+N(AK213)+N(AK214)+N(AK217)+N(AK235)+N(AK238))+N(AK271))&lt;&gt;0,(N(AK212)+N(AK213)+N(AK214)+N(AK217)+N(AK235)+N(AK238))/((N(AK212)+N(AK213)+N(AK214)+N(AK217)+N(AK235)+N(AK238))+AK271),""),"")</f>
        <v>0.456825517178814</v>
      </c>
      <c r="AL335" s="258">
        <f>IFERROR(IF(((N(AL212)+N(AL213)+N(AL214)+N(AL217)+N(AL235)+N(AL238))+N(AL271))&lt;&gt;0,(N(AL212)+N(AL213)+N(AL214)+N(AL217)+N(AL235)+N(AL238))/((N(AL212)+N(AL213)+N(AL214)+N(AL217)+N(AL235)+N(AL238))+AL271),""),"")</f>
        <v>0.456825517178814</v>
      </c>
      <c r="AM335" s="258">
        <f>IFERROR(IF(((N(AM212)+N(AM213)+N(AM214)+N(AM217)+N(AM235)+N(AM238))+N(AM271))&lt;&gt;0,(N(AM212)+N(AM213)+N(AM214)+N(AM217)+N(AM235)+N(AM238))/((N(AM212)+N(AM213)+N(AM214)+N(AM217)+N(AM235)+N(AM238))+AM271),""),"")</f>
        <v>0.429140546602353</v>
      </c>
      <c r="AN335" s="258">
        <f>IFERROR(IF(((N(AN212)+N(AN213)+N(AN214)+N(AN217)+N(AN235)+N(AN238))+N(AN271))&lt;&gt;0,(N(AN212)+N(AN213)+N(AN214)+N(AN217)+N(AN235)+N(AN238))/((N(AN212)+N(AN213)+N(AN214)+N(AN217)+N(AN235)+N(AN238))+AN271),""),"")</f>
        <v>0.402354216051047</v>
      </c>
      <c r="AO335" s="258">
        <f>IFERROR(IF(((N(AO212)+N(AO213)+N(AO214)+N(AO217)+N(AO235)+N(AO238))+N(AO271))&lt;&gt;0,(N(AO212)+N(AO213)+N(AO214)+N(AO217)+N(AO235)+N(AO238))/((N(AO212)+N(AO213)+N(AO214)+N(AO217)+N(AO235)+N(AO238))+AO271),""),"")</f>
        <v>0.375160133992376</v>
      </c>
      <c r="AP335" s="258">
        <f>IFERROR(IF(((N(AP212)+N(AP213)+N(AP214)+N(AP217)+N(AP235)+N(AP238))+N(AP271))&lt;&gt;0,(N(AP212)+N(AP213)+N(AP214)+N(AP217)+N(AP235)+N(AP238))/((N(AP212)+N(AP213)+N(AP214)+N(AP217)+N(AP235)+N(AP238))+AP271),""),"")</f>
        <v>0.35010714755415</v>
      </c>
      <c r="AQ335" s="258">
        <f>IFERROR(IF(((N(AQ212)+N(AQ213)+N(AQ214)+N(AQ217)+N(AQ235)+N(AQ238))+N(AQ271))&lt;&gt;0,(N(AQ212)+N(AQ213)+N(AQ214)+N(AQ217)+N(AQ235)+N(AQ238))/((N(AQ212)+N(AQ213)+N(AQ214)+N(AQ217)+N(AQ235)+N(AQ238))+AQ271),""),"")</f>
        <v>0.35010714755415</v>
      </c>
      <c r="AR335" s="258">
        <f>IFERROR(IF(((N(AR212)+N(AR213)+N(AR214)+N(AR217)+N(AR235)+N(AR238))+N(AR271))&lt;&gt;0,(N(AR212)+N(AR213)+N(AR214)+N(AR217)+N(AR235)+N(AR238))/((N(AR212)+N(AR213)+N(AR214)+N(AR217)+N(AR235)+N(AR238))+AR271),""),"")</f>
        <v>0.329298149963615</v>
      </c>
      <c r="AS335" s="258">
        <f>IFERROR(IF(((N(AS212)+N(AS213)+N(AS214)+N(AS217)+N(AS235)+N(AS238))+N(AS271))&lt;&gt;0,(N(AS212)+N(AS213)+N(AS214)+N(AS217)+N(AS235)+N(AS238))/((N(AS212)+N(AS213)+N(AS214)+N(AS217)+N(AS235)+N(AS238))+AS271),""),"")</f>
        <v>0.309115337157103</v>
      </c>
      <c r="AT335" s="258">
        <f>IFERROR(IF(((N(AT212)+N(AT213)+N(AT214)+N(AT217)+N(AT235)+N(AT238))+N(AT271))&lt;&gt;0,(N(AT212)+N(AT213)+N(AT214)+N(AT217)+N(AT235)+N(AT238))/((N(AT212)+N(AT213)+N(AT214)+N(AT217)+N(AT235)+N(AT238))+AT271),""),"")</f>
        <v>0.288575548140681</v>
      </c>
      <c r="AU335" s="258">
        <f>IFERROR(IF(((N(AU212)+N(AU213)+N(AU214)+N(AU217)+N(AU235)+N(AU238))+N(AU271))&lt;&gt;0,(N(AU212)+N(AU213)+N(AU214)+N(AU217)+N(AU235)+N(AU238))/((N(AU212)+N(AU213)+N(AU214)+N(AU217)+N(AU235)+N(AU238))+AU271),""),"")</f>
        <v>0.269608420959559</v>
      </c>
      <c r="AV335" s="258">
        <f>IFERROR(IF(((N(AV212)+N(AV213)+N(AV214)+N(AV217)+N(AV235)+N(AV238))+N(AV271))&lt;&gt;0,(N(AV212)+N(AV213)+N(AV214)+N(AV217)+N(AV235)+N(AV238))/((N(AV212)+N(AV213)+N(AV214)+N(AV217)+N(AV235)+N(AV238))+AV271),""),"")</f>
        <v>0.269608420959559</v>
      </c>
      <c r="AW335" s="258">
        <f>IFERROR(IF(((N(AW212)+N(AW213)+N(AW214)+N(AW217)+N(AW235)+N(AW238))+N(AW271))&lt;&gt;0,(N(AW212)+N(AW213)+N(AW214)+N(AW217)+N(AW235)+N(AW238))/((N(AW212)+N(AW213)+N(AW214)+N(AW217)+N(AW235)+N(AW238))+AW271),""),"")</f>
        <v>0.253879927315125</v>
      </c>
      <c r="AX335" s="258">
        <f>IFERROR(IF(((N(AX212)+N(AX213)+N(AX214)+N(AX217)+N(AX235)+N(AX238))+N(AX271))&lt;&gt;0,(N(AX212)+N(AX213)+N(AX214)+N(AX217)+N(AX235)+N(AX238))/((N(AX212)+N(AX213)+N(AX214)+N(AX217)+N(AX235)+N(AX238))+AX271),""),"")</f>
        <v>0.238589621148515</v>
      </c>
      <c r="AY335" s="258">
        <f>IFERROR(IF(((N(AY212)+N(AY213)+N(AY214)+N(AY217)+N(AY235)+N(AY238))+N(AY271))&lt;&gt;0,(N(AY212)+N(AY213)+N(AY214)+N(AY217)+N(AY235)+N(AY238))/((N(AY212)+N(AY213)+N(AY214)+N(AY217)+N(AY235)+N(AY238))+AY271),""),"")</f>
        <v>0.222993249346121</v>
      </c>
      <c r="AZ335" s="258">
        <f>IFERROR(IF(((N(AZ212)+N(AZ213)+N(AZ214)+N(AZ217)+N(AZ235)+N(AZ238))+N(AZ271))&lt;&gt;0,(N(AZ212)+N(AZ213)+N(AZ214)+N(AZ217)+N(AZ235)+N(AZ238))/((N(AZ212)+N(AZ213)+N(AZ214)+N(AZ217)+N(AZ235)+N(AZ238))+AZ271),""),"")</f>
        <v>0.208559017294069</v>
      </c>
      <c r="BA335" s="258">
        <f>IFERROR(IF(((N(BA212)+N(BA213)+N(BA214)+N(BA217)+N(BA235)+N(BA238))+N(BA271))&lt;&gt;0,(N(BA212)+N(BA213)+N(BA214)+N(BA217)+N(BA235)+N(BA238))/((N(BA212)+N(BA213)+N(BA214)+N(BA217)+N(BA235)+N(BA238))+BA271),""),"")</f>
        <v>0.208559017294069</v>
      </c>
      <c r="BB335" s="258">
        <f>IFERROR(IF(((N(BB212)+N(BB213)+N(BB214)+N(BB217)+N(BB235)+N(BB238))+N(BB271))&lt;&gt;0,(N(BB212)+N(BB213)+N(BB214)+N(BB217)+N(BB235)+N(BB238))/((N(BB212)+N(BB213)+N(BB214)+N(BB217)+N(BB235)+N(BB238))+BB271),""),"")</f>
        <v>0.196610438038995</v>
      </c>
      <c r="BC335" s="258">
        <f>IFERROR(IF(((N(BC212)+N(BC213)+N(BC214)+N(BC217)+N(BC235)+N(BC238))+N(BC271))&lt;&gt;0,(N(BC212)+N(BC213)+N(BC214)+N(BC217)+N(BC235)+N(BC238))/((N(BC212)+N(BC213)+N(BC214)+N(BC217)+N(BC235)+N(BC238))+BC271),""),"")</f>
        <v>0.184969237801975</v>
      </c>
      <c r="BD335" s="258">
        <f>IFERROR(IF(((N(BD212)+N(BD213)+N(BD214)+N(BD217)+N(BD235)+N(BD238))+N(BD271))&lt;&gt;0,(N(BD212)+N(BD213)+N(BD214)+N(BD217)+N(BD235)+N(BD238))/((N(BD212)+N(BD213)+N(BD214)+N(BD217)+N(BD235)+N(BD238))+BD271),""),"")</f>
        <v>0.173069028698999</v>
      </c>
      <c r="BE335" s="258">
        <f>IFERROR(IF(((N(BE212)+N(BE213)+N(BE214)+N(BE217)+N(BE235)+N(BE238))+N(BE271))&lt;&gt;0,(N(BE212)+N(BE213)+N(BE214)+N(BE217)+N(BE235)+N(BE238))/((N(BE212)+N(BE213)+N(BE214)+N(BE217)+N(BE235)+N(BE238))+BE271),""),"")</f>
        <v>0.162032086003191</v>
      </c>
      <c r="BF335" s="258">
        <f>IFERROR(IF(((N(BF212)+N(BF213)+N(BF214)+N(BF217)+N(BF235)+N(BF238))+N(BF271))&lt;&gt;0,(N(BF212)+N(BF213)+N(BF214)+N(BF217)+N(BF235)+N(BF238))/((N(BF212)+N(BF213)+N(BF214)+N(BF217)+N(BF235)+N(BF238))+BF271),""),"")</f>
        <v>0.162032086003191</v>
      </c>
      <c r="BG335" s="80" t="n"/>
      <c r="BH335" s="80" t="n"/>
      <c r="BI335" s="80" t="n"/>
      <c r="BJ335" s="80" t="n"/>
      <c r="BL335" s="80" t="n"/>
      <c r="BM335" s="80" t="n"/>
      <c r="BN335" s="80" t="n"/>
      <c r="BO335" s="80" t="n"/>
      <c r="BQ335" s="80" t="n"/>
      <c r="BR335" s="80" t="n"/>
      <c r="BS335" s="80" t="n"/>
      <c r="BT335" s="80" t="n"/>
      <c r="BV335" s="80" t="n"/>
      <c r="BW335" s="80" t="n"/>
      <c r="BX335" s="80" t="n"/>
      <c r="BY335" s="80" t="n"/>
      <c r="CA335" s="80" t="n"/>
      <c r="CB335" s="80" t="n"/>
      <c r="CC335" s="80" t="n"/>
      <c r="CD335" s="80" t="n"/>
      <c r="CF335" s="80" t="n"/>
      <c r="CG335" s="80" t="n"/>
      <c r="CH335" s="80" t="n"/>
      <c r="CI335" s="80" t="n"/>
      <c r="CK335" s="80" t="n"/>
      <c r="CL335" s="80" t="n"/>
      <c r="CM335" s="80" t="n"/>
      <c r="CN335" s="80" t="n"/>
      <c r="CP335" s="80" t="n"/>
      <c r="CQ335" s="80" t="n"/>
      <c r="CR335" s="80" t="n"/>
      <c r="CS335" s="80" t="n"/>
      <c r="CU335" s="80" t="n"/>
      <c r="CV335" s="80" t="n"/>
      <c r="CW335" s="80" t="n"/>
      <c r="CX335" s="80" t="n"/>
    </row>
    <row r="336" customFormat="1" s="77">
      <c r="A336" s="76" t="n"/>
      <c r="B336" s="76" t="n"/>
      <c r="C336" s="77" t="inlineStr">
        <is>
          <t>NET DEBT / EBITDA (LTM)</t>
        </is>
      </c>
      <c r="D336" s="82" t="str">
        <f>IFERROR(SUM((D212+D213+D214+D217+D235)-D144)/(D69*4),"")</f>
        <v/>
      </c>
      <c r="E336" s="82" t="str">
        <f>IFERROR(SUM((E212+E213+E214+E217+E235)-E144)/(E69*4),"")</f>
        <v/>
      </c>
      <c r="F336" s="82" t="str">
        <f>IFERROR(SUM((F212+F213+F214+F217+F235)-F144)/(F69*4),"")</f>
        <v/>
      </c>
      <c r="G336" s="82" t="str">
        <f>IFERROR(SUM((G212+G213+G214+G217+G235)-G144)/(G69*4),"")</f>
        <v/>
      </c>
      <c r="H336" s="262" t="str">
        <f>IFERROR(IF(AND(COUNT(H69)=1,(H69)&lt;&gt;0),((N(H212)+N(H213)+N(H214)+N(H217)+N(H235)+N(H238))-N(H144))/(H69),""),"")</f>
        <v/>
      </c>
      <c r="I336" s="262" t="str">
        <f>""</f>
        <v/>
      </c>
      <c r="J336" s="262" t="str">
        <f>""</f>
        <v/>
      </c>
      <c r="K336" s="262" t="str">
        <f>""</f>
        <v/>
      </c>
      <c r="L336" s="262">
        <f>IFERROR(IF(AND(COUNT(I69,J69,K69,L69)=4,(I69+J69+K69+L69)&lt;&gt;0),((N(L212)+N(L213)+N(L214)+N(L217)+N(L235)+N(L238))-N(L144))/(I69+J69+K69+L69),""),"")</f>
        <v>0.669845800043899</v>
      </c>
      <c r="M336" s="262">
        <f>IFERROR(IF(AND(COUNT(I69,J69,K69,L69)=4,(I69+J69+K69+L69)&lt;&gt;0),((N(M212)+N(M213)+N(M214)+N(M217)+N(M235)+N(M238))-N(M144))/(I69+J69+K69+L69),""),"")</f>
        <v>0.669845800043899</v>
      </c>
      <c r="N336" s="262">
        <f>IFERROR(IF(AND(COUNT(J69,K69,L69,N69)=4,(J69+K69+L69+N69)&lt;&gt;0),((N(N212)+N(N213)+N(N214)+N(N217)+N(N235)+N(N238))-N(N144))/(J69+K69+L69+N69),""),"")</f>
        <v>0.74164554006236</v>
      </c>
      <c r="O336" s="262">
        <f>IFERROR(IF(AND(COUNT(K69,L69,N69,O69)=4,(K69+L69+N69+O69)&lt;&gt;0),((N(O212)+N(O213)+N(O214)+N(O217)+N(O235)+N(O238))-N(O144))/(K69+L69+N69+O69),""),"")</f>
        <v>0.688494232576734</v>
      </c>
      <c r="P336" s="262">
        <f>IFERROR(IF(AND(COUNT(L69,N69,O69,P69)=4,(L69+N69+O69+P69)&lt;&gt;0),((N(P212)+N(P213)+N(P214)+N(P217)+N(P235)+N(P238))-N(P144))/(L69+N69+O69+P69),""),"")</f>
        <v>0.912542524375572</v>
      </c>
      <c r="Q336" s="262">
        <f>IFERROR(IF(AND(COUNT(N69,O69,P69,Q69)=4,(N69+O69+P69+Q69)&lt;&gt;0),((N(Q212)+N(Q213)+N(Q214)+N(Q217)+N(Q235)+N(Q238))-N(Q144))/(N69+O69+P69+Q69),""),"")</f>
        <v>0.573837703460236</v>
      </c>
      <c r="R336" s="262">
        <f>IFERROR(IF(AND(COUNT(N69,O69,P69,Q69)=4,(N69+O69+P69+Q69)&lt;&gt;0),((N(R212)+N(R213)+N(R214)+N(R217)+N(R235)+N(R238))-N(R144))/(N69+O69+P69+Q69),""),"")</f>
        <v>0.573837703460236</v>
      </c>
      <c r="S336" s="262">
        <f>IFERROR(IF(AND(COUNT(O69,P69,Q69,S69)=4,(O69+P69+Q69+S69)&lt;&gt;0),((N(S212)+N(S213)+N(S214)+N(S217)+N(S235)+N(S238))-N(S144))/(O69+P69+Q69+S69),""),"")</f>
        <v>0.799161237842285</v>
      </c>
      <c r="T336" s="262">
        <f>IFERROR(IF(AND(COUNT(P69,Q69,S69,T69)=4,(P69+Q69+S69+T69)&lt;&gt;0),((N(T212)+N(T213)+N(T214)+N(T217)+N(T235)+N(T238))-N(T144))/(P69+Q69+S69+T69),""),"")</f>
        <v>0.759644991465734</v>
      </c>
      <c r="U336" s="262">
        <f>IFERROR(IF(AND(COUNT(Q69,S69,T69,U69)=4,(Q69+S69+T69+U69)&lt;&gt;0),((N(U212)+N(U213)+N(U214)+N(U217)+N(U235)+N(U238))-N(U144))/(Q69+S69+T69+U69),""),"")</f>
        <v>-0.0501340351907671</v>
      </c>
      <c r="V336" s="262">
        <f>IFERROR(IF(AND(COUNT(S69,T69,U69,V69)=4,(S69+T69+U69+V69)&lt;&gt;0),((N(V212)+N(V213)+N(V214)+N(V217)+N(V235)+N(V238))-N(V144))/(S69+T69+U69+V69),""),"")</f>
        <v>0.0395190976681137</v>
      </c>
      <c r="W336" s="262">
        <f>IFERROR(IF(AND(COUNT(S69,T69,U69,V69)=4,(S69+T69+U69+V69)&lt;&gt;0),((N(W212)+N(W213)+N(W214)+N(W217)+N(W235)+N(W238))-N(W144))/(S69+T69+U69+V69),""),"")</f>
        <v>0.0395190976681137</v>
      </c>
      <c r="X336" s="262">
        <f>IFERROR(IF(AND(COUNT(T69,U69,V69,X69)=4,(T69+U69+V69+X69)&lt;&gt;0),((N(X212)+N(X213)+N(X214)+N(X217)+N(X235)+N(X238))-N(X144))/(T69+U69+V69+X69),""),"")</f>
        <v>0.483157700296643</v>
      </c>
      <c r="Y336" s="262">
        <f>IFERROR(IF(AND(COUNT(U69,V69,X69,Y69)=4,(U69+V69+X69+Y69)&lt;&gt;0),((N(Y212)+N(Y213)+N(Y214)+N(Y217)+N(Y235)+N(Y238))-N(Y144))/(U69+V69+X69+Y69),""),"")</f>
        <v>0.00166264033600089</v>
      </c>
      <c r="Z336" s="262">
        <f>IFERROR(IF(AND(COUNT(V69,X69,Y69,Z69)=4,(V69+X69+Y69+Z69)&lt;&gt;0),((N(Z212)+N(Z213)+N(Z214)+N(Z217)+N(Z235)+N(Z238))-N(Z144))/(V69+X69+Y69+Z69),""),"")</f>
        <v>0.370387223671646</v>
      </c>
      <c r="AA336" s="262">
        <f>IFERROR(IF(AND(COUNT(X69,Y69,Z69,AA69)=4,(X69+Y69+Z69+AA69)&lt;&gt;0),((N(AA212)+N(AA213)+N(AA214)+N(AA217)+N(AA235)+N(AA238))-N(AA144))/(X69+Y69+Z69+AA69),""),"")</f>
        <v>0.0245951667002436</v>
      </c>
      <c r="AB336" s="262">
        <f>IFERROR(IF(AND(COUNT(X69,Y69,Z69,AA69)=4,(X69+Y69+Z69+AA69)&lt;&gt;0),((N(AB212)+N(AB213)+N(AB214)+N(AB217)+N(AB235)+N(AB238))-N(AB144))/(X69+Y69+Z69+AA69),""),"")</f>
        <v>0.0245951667002436</v>
      </c>
      <c r="AC336" s="262">
        <f>IFERROR(IF(AND(COUNT(Y69,Z69,AA69,AC69)=4,(Y69+Z69+AA69+AC69)&lt;&gt;0),((N(AC212)+N(AC213)+N(AC214)+N(AC217)+N(AC235)+N(AC238))-N(AC144))/(Y69+Z69+AA69+AC69),""),"")</f>
        <v>0.442168855563111</v>
      </c>
      <c r="AD336" s="262">
        <f>IFERROR(IF(AND(COUNT(Z69,AA69,AC69,AD69)=4,(Z69+AA69+AC69+AD69)&lt;&gt;0),((N(AD212)+N(AD213)+N(AD214)+N(AD217)+N(AD235)+N(AD238))-N(AD144))/(Z69+AA69+AC69+AD69),""),"")</f>
        <v>-0.0106611530006685</v>
      </c>
      <c r="AE336" s="262">
        <f>IFERROR(IF(AND(COUNT(AA69,AC69,AD69,AE69)=4,(AA69+AC69+AD69+AE69)&lt;&gt;0),((N(AE212)+N(AE213)+N(AE214)+N(AE217)+N(AE235)+N(AE238))-N(AE144))/(AA69+AC69+AD69+AE69),""),"")</f>
        <v>0.230362894430904</v>
      </c>
      <c r="AF336" s="262">
        <f>IFERROR(IF(AND(COUNT(AB69,AD69,AE69,AF69)=4,(AB69+AD69+AE69+AF69)&lt;&gt;0),((N(AF212)+N(AF213)+N(AF214)+N(AF217)+N(AF235)+N(AF238))-N(AF144))/(AB69+AD69+AE69+AF69),""),"")</f>
        <v>0.426616003498248</v>
      </c>
      <c r="AG336" s="262">
        <f>IFERROR(IF(AND(COUNT(AC69,AD69,AE69,AF69)=4,(AC69+AD69+AE69+AF69)&lt;&gt;0),((N(AG212)+N(AG213)+N(AG214)+N(AG217)+N(AG235)+N(AG238))-N(AG144))/(AC69+AD69+AE69+AF69),""),"")</f>
        <v>0.650699243864847</v>
      </c>
      <c r="AH336" s="262">
        <f>IFERROR(IF(AND(COUNT(AD69,AF69,AG69,AH69)=4,(AD69+AF69+AG69+AH69)&lt;&gt;0),((N(AH212)+N(AH213)+N(AH214)+N(AH217)+N(AH235)+N(AH238))-N(AH144))/(AD69+AF69+AG69+AH69),""),"")</f>
        <v>0.400227009127793</v>
      </c>
      <c r="AI336" s="262">
        <f>IFERROR(IF(AND(COUNT(AE69,AG69,AH69,AI69)=4,(AE69+AG69+AH69+AI69)&lt;&gt;0),((N(AI212)+N(AI213)+N(AI214)+N(AI217)+N(AI235)+N(AI238))-N(AI144))/(AE69+AG69+AH69+AI69),""),"")</f>
        <v>0.30834906490158</v>
      </c>
      <c r="AJ336" s="262">
        <f>IFERROR(IF(AND(COUNT(AF69,AH69,AI69,AJ69)=4,(AF69+AH69+AI69+AJ69)&lt;&gt;0),((N(AJ212)+N(AJ213)+N(AJ214)+N(AJ217)+N(AJ235)+N(AJ238))-N(AJ144))/(AF69+AH69+AI69+AJ69),""),"")</f>
        <v>1.13139421403265</v>
      </c>
      <c r="AK336" s="262">
        <f>IFERROR(IF(AND(COUNT(AH69,AI69,AJ69,AK69)=4,(AH69+AI69+AJ69+AK69)&lt;&gt;0),((N(AK212)+N(AK213)+N(AK214)+N(AK217)+N(AK235)+N(AK238))-N(AK144))/(AH69+AI69+AJ69+AK69),""),"")</f>
        <v>1.21716286664909</v>
      </c>
      <c r="AL336" s="262">
        <f>IFERROR(IF(AND(COUNT(AH69,AI69,AJ69,AK69)=4,(AH69+AI69+AJ69+AK69)&lt;&gt;0),((N(AL212)+N(AL213)+N(AL214)+N(AL217)+N(AL235)+N(AL238))-N(AL144))/(AH69+AI69+AJ69+AK69),""),"")</f>
        <v>1.21716286664909</v>
      </c>
      <c r="AM336" s="262">
        <f>IFERROR(IF(AND(COUNT(AI69,AJ69,AK69,AM69)=4,(AI69+AJ69+AK69+AM69)&lt;&gt;0),((N(AM212)+N(AM213)+N(AM214)+N(AM217)+N(AM235)+N(AM238))-N(AM144))/(AI69+AJ69+AK69+AM69),""),"")</f>
        <v>0.54361463964858</v>
      </c>
      <c r="AN336" s="262">
        <f>IFERROR(IF(AND(COUNT(AJ69,AK69,AM69,AN69)=4,(AJ69+AK69+AM69+AN69)&lt;&gt;0),((N(AN212)+N(AN213)+N(AN214)+N(AN217)+N(AN235)+N(AN238))-N(AN144))/(AJ69+AK69+AM69+AN69),""),"")</f>
        <v>0.842595080060589</v>
      </c>
      <c r="AO336" s="262">
        <f>IFERROR(IF(AND(COUNT(AK69,AM69,AN69,AO69)=4,(AK69+AM69+AN69+AO69)&lt;&gt;0),((N(AO212)+N(AO213)+N(AO214)+N(AO217)+N(AO235)+N(AO238))-N(AO144))/(AK69+AM69+AN69+AO69),""),"")</f>
        <v>1.61956119871043</v>
      </c>
      <c r="AP336" s="262">
        <f>IFERROR(IF(AND(COUNT(AM69,AN69,AO69,AP69)=4,(AM69+AN69+AO69+AP69)&lt;&gt;0),((N(AP212)+N(AP213)+N(AP214)+N(AP217)+N(AP235)+N(AP238))-N(AP144))/(AM69+AN69+AO69+AP69),""),"")</f>
        <v>1.61255760298924</v>
      </c>
      <c r="AQ336" s="262">
        <f>IFERROR(IF(AND(COUNT(AM69,AN69,AO69,AP69)=4,(AM69+AN69+AO69+AP69)&lt;&gt;0),((N(AQ212)+N(AQ213)+N(AQ214)+N(AQ217)+N(AQ235)+N(AQ238))-N(AQ144))/(AM69+AN69+AO69+AP69),""),"")</f>
        <v>1.61255760298924</v>
      </c>
      <c r="AR336" s="262">
        <f>IFERROR(IF(AND(COUNT(AN69,AO69,AP69,AR69)=4,(AN69+AO69+AP69+AR69)&lt;&gt;0),((N(AR212)+N(AR213)+N(AR214)+N(AR217)+N(AR235)+N(AR238))-N(AR144))/(AN69+AO69+AP69+AR69),""),"")</f>
        <v>0.7076244999718</v>
      </c>
      <c r="AS336" s="262">
        <f>IFERROR(IF(AND(COUNT(AO69,AP69,AR69,AS69)=4,(AO69+AP69+AR69+AS69)&lt;&gt;0),((N(AS212)+N(AS213)+N(AS214)+N(AS217)+N(AS235)+N(AS238))-N(AS144))/(AO69+AP69+AR69+AS69),""),"")</f>
        <v>1.01621783688528</v>
      </c>
      <c r="AT336" s="262">
        <f>IFERROR(IF(AND(COUNT(AP69,AR69,AS69,AT69)=4,(AP69+AR69+AS69+AT69)&lt;&gt;0),((N(AT212)+N(AT213)+N(AT214)+N(AT217)+N(AT235)+N(AT238))-N(AT144))/(AP69+AR69+AS69+AT69),""),"")</f>
        <v>1.69212944684627</v>
      </c>
      <c r="AU336" s="262">
        <f>IFERROR(IF(AND(COUNT(AR69,AS69,AT69,AU69)=4,(AR69+AS69+AT69+AU69)&lt;&gt;0),((N(AU212)+N(AU213)+N(AU214)+N(AU217)+N(AU235)+N(AU238))-N(AU144))/(AR69+AS69+AT69+AU69),""),"")</f>
        <v>1.57431133449465</v>
      </c>
      <c r="AV336" s="262">
        <f>IFERROR(IF(AND(COUNT(AR69,AS69,AT69,AU69)=4,(AR69+AS69+AT69+AU69)&lt;&gt;0),((N(AV212)+N(AV213)+N(AV214)+N(AV217)+N(AV235)+N(AV238))-N(AV144))/(AR69+AS69+AT69+AU69),""),"")</f>
        <v>1.57431133449465</v>
      </c>
      <c r="AW336" s="262">
        <f>IFERROR(IF(AND(COUNT(AS69,AT69,AU69,AW69)=4,(AS69+AT69+AU69+AW69)&lt;&gt;0),((N(AW212)+N(AW213)+N(AW214)+N(AW217)+N(AW235)+N(AW238))-N(AW144))/(AS69+AT69+AU69+AW69),""),"")</f>
        <v>0.608281157374404</v>
      </c>
      <c r="AX336" s="262">
        <f>IFERROR(IF(AND(COUNT(AT69,AU69,AW69,AX69)=4,(AT69+AU69+AW69+AX69)&lt;&gt;0),((N(AX212)+N(AX213)+N(AX214)+N(AX217)+N(AX235)+N(AX238))-N(AX144))/(AT69+AU69+AW69+AX69),""),"")</f>
        <v>0.67880585952284</v>
      </c>
      <c r="AY336" s="262">
        <f>IFERROR(IF(AND(COUNT(AU69,AW69,AX69,AY69)=4,(AU69+AW69+AX69+AY69)&lt;&gt;0),((N(AY212)+N(AY213)+N(AY214)+N(AY217)+N(AY235)+N(AY238))-N(AY144))/(AU69+AW69+AX69+AY69),""),"")</f>
        <v>1.19386079082742</v>
      </c>
      <c r="AZ336" s="262">
        <f>IFERROR(IF(AND(COUNT(AW69,AX69,AY69,AZ69)=4,(AW69+AX69+AY69+AZ69)&lt;&gt;0),((N(AZ212)+N(AZ213)+N(AZ214)+N(AZ217)+N(AZ235)+N(AZ238))-N(AZ144))/(AW69+AX69+AY69+AZ69),""),"")</f>
        <v>0.891476356291982</v>
      </c>
      <c r="BA336" s="262">
        <f>IFERROR(IF(AND(COUNT(AW69,AX69,AY69,AZ69)=4,(AW69+AX69+AY69+AZ69)&lt;&gt;0),((N(BA212)+N(BA213)+N(BA214)+N(BA217)+N(BA235)+N(BA238))-N(BA144))/(AW69+AX69+AY69+AZ69),""),"")</f>
        <v>0.891476356291982</v>
      </c>
      <c r="BB336" s="262">
        <f>IFERROR(IF(AND(COUNT(AX69,AY69,AZ69,BB69)=4,(AX69+AY69+AZ69+BB69)&lt;&gt;0),((N(BB212)+N(BB213)+N(BB214)+N(BB217)+N(BB235)+N(BB238))-N(BB144))/(AX69+AY69+AZ69+BB69),""),"")</f>
        <v>-0.325652452679549</v>
      </c>
      <c r="BC336" s="262">
        <f>IFERROR(IF(AND(COUNT(AY69,AZ69,BB69,BC69)=4,(AY69+AZ69+BB69+BC69)&lt;&gt;0),((N(BC212)+N(BC213)+N(BC214)+N(BC217)+N(BC235)+N(BC238))-N(BC144))/(AY69+AZ69+BB69+BC69),""),"")</f>
        <v>-0.50825074714761</v>
      </c>
      <c r="BD336" s="262">
        <f>IFERROR(IF(AND(COUNT(AZ69,BB69,BC69,BD69)=4,(AZ69+BB69+BC69+BD69)&lt;&gt;0),((N(BD212)+N(BD213)+N(BD214)+N(BD217)+N(BD235)+N(BD238))-N(BD144))/(AZ69+BB69+BC69+BD69),""),"")</f>
        <v>-0.283430455146508</v>
      </c>
      <c r="BE336" s="262">
        <f>IFERROR(IF(AND(COUNT(BB69,BC69,BD69,BE69)=4,(BB69+BC69+BD69+BE69)&lt;&gt;0),((N(BE212)+N(BE213)+N(BE214)+N(BE217)+N(BE235)+N(BE238))-N(BE144))/(BB69+BC69+BD69+BE69),""),"")</f>
        <v>-0.925676053529171</v>
      </c>
      <c r="BF336" s="262">
        <f>IFERROR(IF(AND(COUNT(BB69,BC69,BD69,BE69)=4,(BB69+BC69+BD69+BE69)&lt;&gt;0),((N(BF212)+N(BF213)+N(BF214)+N(BF217)+N(BF235)+N(BF238))-N(BF144))/(BB69+BC69+BD69+BE69),""),"")</f>
        <v>-0.925676053529171</v>
      </c>
      <c r="BG336" s="82" t="n"/>
      <c r="BH336" s="82" t="n"/>
      <c r="BI336" s="82" t="n"/>
      <c r="BJ336" s="82" t="n"/>
      <c r="BL336" s="82" t="n"/>
      <c r="BM336" s="82" t="n"/>
      <c r="BN336" s="82" t="n"/>
      <c r="BO336" s="82" t="n"/>
      <c r="BQ336" s="82" t="n"/>
      <c r="BR336" s="82" t="n"/>
      <c r="BS336" s="82" t="n"/>
      <c r="BT336" s="82" t="n"/>
      <c r="BV336" s="82" t="n"/>
      <c r="BW336" s="82" t="n"/>
      <c r="BX336" s="82" t="n"/>
      <c r="BY336" s="82" t="n"/>
      <c r="CA336" s="82" t="n"/>
      <c r="CB336" s="82" t="n"/>
      <c r="CC336" s="82" t="n"/>
      <c r="CD336" s="82" t="n"/>
      <c r="CF336" s="82" t="n"/>
      <c r="CG336" s="82" t="n"/>
      <c r="CH336" s="82" t="n"/>
      <c r="CI336" s="82" t="n"/>
      <c r="CK336" s="82" t="n"/>
      <c r="CL336" s="82" t="n"/>
      <c r="CM336" s="82" t="n"/>
      <c r="CN336" s="82" t="n"/>
      <c r="CP336" s="82" t="n"/>
      <c r="CQ336" s="82" t="n"/>
      <c r="CR336" s="82" t="n"/>
      <c r="CS336" s="82" t="n"/>
      <c r="CU336" s="82" t="n"/>
      <c r="CV336" s="82" t="n"/>
      <c r="CW336" s="82" t="n"/>
      <c r="CX336" s="82" t="n"/>
    </row>
    <row r="337" customFormat="1" s="77">
      <c r="A337" s="76" t="n"/>
      <c r="B337" s="76" t="n"/>
      <c r="C337" s="83" t="inlineStr">
        <is>
          <t>NET DEBT (EX IFRS 16.) / EBITDA (LTM)</t>
        </is>
      </c>
      <c r="D337" s="82" t="str">
        <f>IFERROR(SUM((D212+D213+D217)-D144)/(D69*4),"")</f>
        <v/>
      </c>
      <c r="E337" s="82" t="str">
        <f>IFERROR(SUM((E212+E213+E217)-E144)/(E69*4),"")</f>
        <v/>
      </c>
      <c r="F337" s="82" t="str">
        <f>IFERROR(SUM((F212+F213+F217)-F144)/(F69*4),"")</f>
        <v/>
      </c>
      <c r="G337" s="82" t="str">
        <f>IFERROR(SUM((G212+G213+G217)-G144)/(G69*4),"")</f>
        <v/>
      </c>
      <c r="H337" s="262" t="str">
        <f>IFERROR(IF(AND(COUNT(H69)=1,(H69)&lt;&gt;0),((N(H212)+N(H213)+N(H217)+N(H238))-N(H144))/(H69),""),"")</f>
        <v/>
      </c>
      <c r="I337" s="262" t="str">
        <f>""</f>
        <v/>
      </c>
      <c r="J337" s="262" t="str">
        <f>""</f>
        <v/>
      </c>
      <c r="K337" s="262" t="str">
        <f>""</f>
        <v/>
      </c>
      <c r="L337" s="262">
        <f>IFERROR(IF(AND(COUNT(I69,J69,K69,L69)=4,(I69+J69+K69+L69)&lt;&gt;0),((N(L212)+N(L213)+N(L217)+N(L238))-N(L144))/(I69+J69+K69+L69),""),"")</f>
        <v>0.566134979455811</v>
      </c>
      <c r="M337" s="262">
        <f>IFERROR(IF(AND(COUNT(I69,J69,K69,L69)=4,(I69+J69+K69+L69)&lt;&gt;0),((N(M212)+N(M213)+N(M217)+N(M238))-N(M144))/(I69+J69+K69+L69),""),"")</f>
        <v>0.566134979455811</v>
      </c>
      <c r="N337" s="262">
        <f>IFERROR(IF(AND(COUNT(J69,K69,L69,N69)=4,(J69+K69+L69+N69)&lt;&gt;0),((N(N212)+N(N213)+N(N217)+N(N238))-N(N144))/(J69+K69+L69+N69),""),"")</f>
        <v>0.64668712561175</v>
      </c>
      <c r="O337" s="262">
        <f>IFERROR(IF(AND(COUNT(K69,L69,N69,O69)=4,(K69+L69+N69+O69)&lt;&gt;0),((N(O212)+N(O213)+N(O217)+N(O238))-N(O144))/(K69+L69+N69+O69),""),"")</f>
        <v>0.598891858062741</v>
      </c>
      <c r="P337" s="262">
        <f>IFERROR(IF(AND(COUNT(L69,N69,O69,P69)=4,(L69+N69+O69+P69)&lt;&gt;0),((N(P212)+N(P213)+N(P217)+N(P238))-N(P144))/(L69+N69+O69+P69),""),"")</f>
        <v>0.827393530143139</v>
      </c>
      <c r="Q337" s="262">
        <f>IFERROR(IF(AND(COUNT(N69,O69,P69,Q69)=4,(N69+O69+P69+Q69)&lt;&gt;0),((N(Q212)+N(Q213)+N(Q217)+N(Q238))-N(Q144))/(N69+O69+P69+Q69),""),"")</f>
        <v>0.497329776310424</v>
      </c>
      <c r="R337" s="262">
        <f>IFERROR(IF(AND(COUNT(N69,O69,P69,Q69)=4,(N69+O69+P69+Q69)&lt;&gt;0),((N(R212)+N(R213)+N(R217)+N(R238))-N(R144))/(N69+O69+P69+Q69),""),"")</f>
        <v>0.497329776310424</v>
      </c>
      <c r="S337" s="262">
        <f>IFERROR(IF(AND(COUNT(O69,P69,Q69,S69)=4,(O69+P69+Q69+S69)&lt;&gt;0),((N(S212)+N(S213)+N(S217)+N(S238))-N(S144))/(O69+P69+Q69+S69),""),"")</f>
        <v>0.730897531770051</v>
      </c>
      <c r="T337" s="262">
        <f>IFERROR(IF(AND(COUNT(P69,Q69,S69,T69)=4,(P69+Q69+S69+T69)&lt;&gt;0),((N(T212)+N(T213)+N(T217)+N(T238))-N(T144))/(P69+Q69+S69+T69),""),"")</f>
        <v>0.701855514660726</v>
      </c>
      <c r="U337" s="262">
        <f>IFERROR(IF(AND(COUNT(Q69,S69,T69,U69)=4,(Q69+S69+T69+U69)&lt;&gt;0),((N(U212)+N(U213)+N(U217)+N(U238))-N(U144))/(Q69+S69+T69+U69),""),"")</f>
        <v>-0.102944168975756</v>
      </c>
      <c r="V337" s="262">
        <f>IFERROR(IF(AND(COUNT(S69,T69,U69,V69)=4,(S69+T69+U69+V69)&lt;&gt;0),((N(V212)+N(V213)+N(V217)+N(V238))-N(V144))/(S69+T69+U69+V69),""),"")</f>
        <v>-0.00960683961102106</v>
      </c>
      <c r="W337" s="262">
        <f>IFERROR(IF(AND(COUNT(S69,T69,U69,V69)=4,(S69+T69+U69+V69)&lt;&gt;0),((N(W212)+N(W213)+N(W217)+N(W238))-N(W144))/(S69+T69+U69+V69),""),"")</f>
        <v>-0.00960683961102106</v>
      </c>
      <c r="X337" s="262">
        <f>IFERROR(IF(AND(COUNT(T69,U69,V69,X69)=4,(T69+U69+V69+X69)&lt;&gt;0),((N(X212)+N(X213)+N(X217)+N(X238))-N(X144))/(T69+U69+V69+X69),""),"")</f>
        <v>0.29892315193998</v>
      </c>
      <c r="Y337" s="262">
        <f>IFERROR(IF(AND(COUNT(U69,V69,X69,Y69)=4,(U69+V69+X69+Y69)&lt;&gt;0),((N(Y212)+N(Y213)+N(Y217)+N(Y238))-N(Y144))/(U69+V69+X69+Y69),""),"")</f>
        <v>-0.164533252266703</v>
      </c>
      <c r="Z337" s="262">
        <f>IFERROR(IF(AND(COUNT(V69,X69,Y69,Z69)=4,(V69+X69+Y69+Z69)&lt;&gt;0),((N(Z212)+N(Z213)+N(Z217)+N(Z238))-N(Z144))/(V69+X69+Y69+Z69),""),"")</f>
        <v>0.22768203739787</v>
      </c>
      <c r="AA337" s="262">
        <f>IFERROR(IF(AND(COUNT(X69,Y69,Z69,AA69)=4,(X69+Y69+Z69+AA69)&lt;&gt;0),((N(AA212)+N(AA213)+N(AA217)+N(AA238))-N(AA144))/(X69+Y69+Z69+AA69),""),"")</f>
        <v>-0.0887180864457159</v>
      </c>
      <c r="AB337" s="262">
        <f>IFERROR(IF(AND(COUNT(X69,Y69,Z69,AA69)=4,(X69+Y69+Z69+AA69)&lt;&gt;0),((N(AB212)+N(AB213)+N(AB217)+N(AB238))-N(AB144))/(X69+Y69+Z69+AA69),""),"")</f>
        <v>-0.0887180864457159</v>
      </c>
      <c r="AC337" s="262">
        <f>IFERROR(IF(AND(COUNT(Y69,Z69,AA69,AC69)=4,(Y69+Z69+AA69+AC69)&lt;&gt;0),((N(AC212)+N(AC213)+N(AC217)+N(AC238))-N(AC144))/(Y69+Z69+AA69+AC69),""),"")</f>
        <v>0.333755091691445</v>
      </c>
      <c r="AD337" s="262">
        <f>IFERROR(IF(AND(COUNT(Z69,AA69,AC69,AD69)=4,(Z69+AA69+AC69+AD69)&lt;&gt;0),((N(AD212)+N(AD213)+N(AD217)+N(AD238))-N(AD144))/(Z69+AA69+AC69+AD69),""),"")</f>
        <v>-0.116005505748614</v>
      </c>
      <c r="AE337" s="262">
        <f>IFERROR(IF(AND(COUNT(AA69,AC69,AD69,AE69)=4,(AA69+AC69+AD69+AE69)&lt;&gt;0),((N(AE212)+N(AE213)+N(AE217)+N(AE238))-N(AE144))/(AA69+AC69+AD69+AE69),""),"")</f>
        <v>0.137783203559275</v>
      </c>
      <c r="AF337" s="262">
        <f>IFERROR(IF(AND(COUNT(AB69,AD69,AE69,AF69)=4,(AB69+AD69+AE69+AF69)&lt;&gt;0),((N(AF212)+N(AF213)+N(AF217)+N(AF238))-N(AF144))/(AB69+AD69+AE69+AF69),""),"")</f>
        <v>0.369494536813433</v>
      </c>
      <c r="AG337" s="262">
        <f>IFERROR(IF(AND(COUNT(AC69,AD69,AE69,AF69)=4,(AC69+AD69+AE69+AF69)&lt;&gt;0),((N(AG212)+N(AG213)+N(AG217)+N(AG238))-N(AG144))/(AC69+AD69+AE69+AF69),""),"")</f>
        <v>0.563574300413416</v>
      </c>
      <c r="AH337" s="262">
        <f>IFERROR(IF(AND(COUNT(AD69,AF69,AG69,AH69)=4,(AD69+AF69+AG69+AH69)&lt;&gt;0),((N(AH212)+N(AH213)+N(AH217)+N(AH238))-N(AH144))/(AD69+AF69+AG69+AH69),""),"")</f>
        <v>0.353286997313833</v>
      </c>
      <c r="AI337" s="262">
        <f>IFERROR(IF(AND(COUNT(AE69,AG69,AH69,AI69)=4,(AE69+AG69+AH69+AI69)&lt;&gt;0),((N(AI212)+N(AI213)+N(AI217)+N(AI238))-N(AI144))/(AE69+AG69+AH69+AI69),""),"")</f>
        <v>0.263561487020472</v>
      </c>
      <c r="AJ337" s="262">
        <f>IFERROR(IF(AND(COUNT(AF69,AH69,AI69,AJ69)=4,(AF69+AH69+AI69+AJ69)&lt;&gt;0),((N(AJ212)+N(AJ213)+N(AJ217)+N(AJ238))-N(AJ144))/(AF69+AH69+AI69+AJ69),""),"")</f>
        <v>1.06321176639791</v>
      </c>
      <c r="AK337" s="262">
        <f>IFERROR(IF(AND(COUNT(AH69,AI69,AJ69,AK69)=4,(AH69+AI69+AJ69+AK69)&lt;&gt;0),((N(AK212)+N(AK213)+N(AK217)+N(AK238))-N(AK144))/(AH69+AI69+AJ69+AK69),""),"")</f>
        <v>1.1526695473879</v>
      </c>
      <c r="AL337" s="262">
        <f>IFERROR(IF(AND(COUNT(AH69,AI69,AJ69,AK69)=4,(AH69+AI69+AJ69+AK69)&lt;&gt;0),((N(AL212)+N(AL213)+N(AL217)+N(AL238))-N(AL144))/(AH69+AI69+AJ69+AK69),""),"")</f>
        <v>1.1526695473879</v>
      </c>
      <c r="AM337" s="262">
        <f>IFERROR(IF(AND(COUNT(AI69,AJ69,AK69,AM69)=4,(AI69+AJ69+AK69+AM69)&lt;&gt;0),((N(AM212)+N(AM213)+N(AM217)+N(AM238))-N(AM144))/(AI69+AJ69+AK69+AM69),""),"")</f>
        <v>0.481593738613773</v>
      </c>
      <c r="AN337" s="262">
        <f>IFERROR(IF(AND(COUNT(AJ69,AK69,AM69,AN69)=4,(AJ69+AK69+AM69+AN69)&lt;&gt;0),((N(AN212)+N(AN213)+N(AN217)+N(AN238))-N(AN144))/(AJ69+AK69+AM69+AN69),""),"")</f>
        <v>0.784633282601855</v>
      </c>
      <c r="AO337" s="262">
        <f>IFERROR(IF(AND(COUNT(AK69,AM69,AN69,AO69)=4,(AK69+AM69+AN69+AO69)&lt;&gt;0),((N(AO212)+N(AO213)+N(AO217)+N(AO238))-N(AO144))/(AK69+AM69+AN69+AO69),""),"")</f>
        <v>1.56528478915542</v>
      </c>
      <c r="AP337" s="262">
        <f>IFERROR(IF(AND(COUNT(AM69,AN69,AO69,AP69)=4,(AM69+AN69+AO69+AP69)&lt;&gt;0),((N(AP212)+N(AP213)+N(AP217)+N(AP238))-N(AP144))/(AM69+AN69+AO69+AP69),""),"")</f>
        <v>1.56170454213407</v>
      </c>
      <c r="AQ337" s="262">
        <f>IFERROR(IF(AND(COUNT(AM69,AN69,AO69,AP69)=4,(AM69+AN69+AO69+AP69)&lt;&gt;0),((N(AQ212)+N(AQ213)+N(AQ217)+N(AQ238))-N(AQ144))/(AM69+AN69+AO69+AP69),""),"")</f>
        <v>1.56170454213407</v>
      </c>
      <c r="AR337" s="262">
        <f>IFERROR(IF(AND(COUNT(AN69,AO69,AP69,AR69)=4,(AN69+AO69+AP69+AR69)&lt;&gt;0),((N(AR212)+N(AR213)+N(AR217)+N(AR238))-N(AR144))/(AN69+AO69+AP69+AR69),""),"")</f>
        <v>0.659598237299603</v>
      </c>
      <c r="AS337" s="262">
        <f>IFERROR(IF(AND(COUNT(AO69,AP69,AR69,AS69)=4,(AO69+AP69+AR69+AS69)&lt;&gt;0),((N(AS212)+N(AS213)+N(AS217)+N(AS238))-N(AS144))/(AO69+AP69+AR69+AS69),""),"")</f>
        <v>0.97095549553657</v>
      </c>
      <c r="AT337" s="262">
        <f>IFERROR(IF(AND(COUNT(AP69,AR69,AS69,AT69)=4,(AP69+AR69+AS69+AT69)&lt;&gt;0),((N(AT212)+N(AT213)+N(AT217)+N(AT238))-N(AT144))/(AP69+AR69+AS69+AT69),""),"")</f>
        <v>1.64970261761874</v>
      </c>
      <c r="AU337" s="262">
        <f>IFERROR(IF(AND(COUNT(AR69,AS69,AT69,AU69)=4,(AR69+AS69+AT69+AU69)&lt;&gt;0),((N(AU212)+N(AU213)+N(AU217)+N(AU238))-N(AU144))/(AR69+AS69+AT69+AU69),""),"")</f>
        <v>1.5345234940211</v>
      </c>
      <c r="AV337" s="262">
        <f>IFERROR(IF(AND(COUNT(AR69,AS69,AT69,AU69)=4,(AR69+AS69+AT69+AU69)&lt;&gt;0),((N(AV212)+N(AV213)+N(AV217)+N(AV238))-N(AV144))/(AR69+AS69+AT69+AU69),""),"")</f>
        <v>1.5345234940211</v>
      </c>
      <c r="AW337" s="262">
        <f>IFERROR(IF(AND(COUNT(AS69,AT69,AU69,AW69)=4,(AS69+AT69+AU69+AW69)&lt;&gt;0),((N(AW212)+N(AW213)+N(AW217)+N(AW238))-N(AW144))/(AS69+AT69+AU69+AW69),""),"")</f>
        <v>0.570667435310666</v>
      </c>
      <c r="AX337" s="262">
        <f>IFERROR(IF(AND(COUNT(AT69,AU69,AW69,AX69)=4,(AT69+AU69+AW69+AX69)&lt;&gt;0),((N(AX212)+N(AX213)+N(AX217)+N(AX238))-N(AX144))/(AT69+AU69+AW69+AX69),""),"")</f>
        <v>0.643322106675844</v>
      </c>
      <c r="AY337" s="262">
        <f>IFERROR(IF(AND(COUNT(AU69,AW69,AX69,AY69)=4,(AU69+AW69+AX69+AY69)&lt;&gt;0),((N(AY212)+N(AY213)+N(AY217)+N(AY238))-N(AY144))/(AU69+AW69+AX69+AY69),""),"")</f>
        <v>1.16056651615986</v>
      </c>
      <c r="AZ337" s="262">
        <f>IFERROR(IF(AND(COUNT(AW69,AX69,AY69,AZ69)=4,(AW69+AX69+AY69+AZ69)&lt;&gt;0),((N(AZ212)+N(AZ213)+N(AZ217)+N(AZ238))-N(AZ144))/(AW69+AX69+AY69+AZ69),""),"")</f>
        <v>0.860223771153902</v>
      </c>
      <c r="BA337" s="262">
        <f>IFERROR(IF(AND(COUNT(AW69,AX69,AY69,AZ69)=4,(AW69+AX69+AY69+AZ69)&lt;&gt;0),((N(BA212)+N(BA213)+N(BA217)+N(BA238))-N(BA144))/(AW69+AX69+AY69+AZ69),""),"")</f>
        <v>0.860223771153902</v>
      </c>
      <c r="BB337" s="262">
        <f>IFERROR(IF(AND(COUNT(AX69,AY69,AZ69,BB69)=4,(AX69+AY69+AZ69+BB69)&lt;&gt;0),((N(BB212)+N(BB213)+N(BB217)+N(BB238))-N(BB144))/(AX69+AY69+AZ69+BB69),""),"")</f>
        <v>-0.355226895705227</v>
      </c>
      <c r="BC337" s="262">
        <f>IFERROR(IF(AND(COUNT(AY69,AZ69,BB69,BC69)=4,(AY69+AZ69+BB69+BC69)&lt;&gt;0),((N(BC212)+N(BC213)+N(BC217)+N(BC238))-N(BC144))/(AY69+AZ69+BB69+BC69),""),"")</f>
        <v>-0.536177863110772</v>
      </c>
      <c r="BD337" s="262">
        <f>IFERROR(IF(AND(COUNT(AZ69,BB69,BC69,BD69)=4,(AZ69+BB69+BC69+BD69)&lt;&gt;0),((N(BD212)+N(BD213)+N(BD217)+N(BD238))-N(BD144))/(AZ69+BB69+BC69+BD69),""),"")</f>
        <v>-0.309660843866577</v>
      </c>
      <c r="BE337" s="262">
        <f>IFERROR(IF(AND(COUNT(BB69,BC69,BD69,BE69)=4,(BB69+BC69+BD69+BE69)&lt;&gt;0),((N(BE212)+N(BE213)+N(BE217)+N(BE238))-N(BE144))/(BB69+BC69+BD69+BE69),""),"")</f>
        <v>-0.950321150652378</v>
      </c>
      <c r="BF337" s="262">
        <f>IFERROR(IF(AND(COUNT(BB69,BC69,BD69,BE69)=4,(BB69+BC69+BD69+BE69)&lt;&gt;0),((N(BF212)+N(BF213)+N(BF217)+N(BF238))-N(BF144))/(BB69+BC69+BD69+BE69),""),"")</f>
        <v>-0.950321150652378</v>
      </c>
      <c r="BG337" s="82" t="n"/>
      <c r="BH337" s="82" t="n"/>
      <c r="BI337" s="82" t="n"/>
      <c r="BJ337" s="82" t="n"/>
      <c r="BL337" s="82" t="n"/>
      <c r="BM337" s="82" t="n"/>
      <c r="BN337" s="82" t="n"/>
      <c r="BO337" s="82" t="n"/>
      <c r="BQ337" s="82" t="n"/>
      <c r="BR337" s="82" t="n"/>
      <c r="BS337" s="82" t="n"/>
      <c r="BT337" s="82" t="n"/>
      <c r="BV337" s="82" t="n"/>
      <c r="BW337" s="82" t="n"/>
      <c r="BX337" s="82" t="n"/>
      <c r="BY337" s="82" t="n"/>
      <c r="CA337" s="82" t="n"/>
      <c r="CB337" s="82" t="n"/>
      <c r="CC337" s="82" t="n"/>
      <c r="CD337" s="82" t="n"/>
      <c r="CF337" s="82" t="n"/>
      <c r="CG337" s="82" t="n"/>
      <c r="CH337" s="82" t="n"/>
      <c r="CI337" s="82" t="n"/>
      <c r="CK337" s="82" t="n"/>
      <c r="CL337" s="82" t="n"/>
      <c r="CM337" s="82" t="n"/>
      <c r="CN337" s="82" t="n"/>
      <c r="CP337" s="82" t="n"/>
      <c r="CQ337" s="82" t="n"/>
      <c r="CR337" s="82" t="n"/>
      <c r="CS337" s="82" t="n"/>
      <c r="CU337" s="82" t="n"/>
      <c r="CV337" s="82" t="n"/>
      <c r="CW337" s="82" t="n"/>
      <c r="CX337" s="82" t="n"/>
    </row>
    <row r="338" customFormat="1" s="77">
      <c r="A338" s="76" t="n"/>
      <c r="B338" s="76" t="n"/>
      <c r="C338" s="77" t="inlineStr">
        <is>
          <t>INTEREST COVERAGE (EBIT / INTEREST, LTM)</t>
        </is>
      </c>
      <c r="D338" s="82" t="str">
        <f>IFERROR(D73/-D74,"")</f>
        <v/>
      </c>
      <c r="E338" s="82" t="str">
        <f>IFERROR(E73/-E74,"")</f>
        <v/>
      </c>
      <c r="F338" s="82" t="str">
        <f>IFERROR(F73/-F74,"")</f>
        <v/>
      </c>
      <c r="G338" s="82" t="str">
        <f>IFERROR(G73/-G74,"")</f>
        <v/>
      </c>
      <c r="H338" s="262" t="str">
        <f>IFERROR(IF(AND(COUNT(H73)=1,(H74)&lt;&gt;0),(H73)/-(H74),""),"")</f>
        <v/>
      </c>
      <c r="I338" s="262" t="str">
        <f>""</f>
        <v/>
      </c>
      <c r="J338" s="262" t="str">
        <f>""</f>
        <v/>
      </c>
      <c r="K338" s="262" t="str">
        <f>""</f>
        <v/>
      </c>
      <c r="L338" s="262">
        <f>IFERROR(IF(AND(COUNT(I73,J73,K73,L73)=4,(I74+J74+K74+L74)&lt;&gt;0),(I73+J73+K73+L73)/-(I74+J74+K74+L74),""),"")</f>
        <v>1.83214294745265</v>
      </c>
      <c r="M338" s="262">
        <f>IFERROR(IF(AND(COUNT(I73,J73,K73,L73)=4,(I74+J74+K74+L74)&lt;&gt;0),(I73+J73+K73+L73)/-(I74+J74+K74+L74),""),"")</f>
        <v>1.83214294745265</v>
      </c>
      <c r="N338" s="262">
        <f>IFERROR(IF(AND(COUNT(J73,K73,L73,N73)=4,(J74+K74+L74+N74)&lt;&gt;0),(J73+K73+L73+N73)/-(J74+K74+L74+N74),""),"")</f>
        <v>1.60127100093899</v>
      </c>
      <c r="O338" s="262">
        <f>IFERROR(IF(AND(COUNT(K73,L73,N73,O73)=4,(K74+L74+N74+O74)&lt;&gt;0),(K73+L73+N73+O73)/-(K74+L74+N74+O74),""),"")</f>
        <v>1.33980999679444</v>
      </c>
      <c r="P338" s="262">
        <f>IFERROR(IF(AND(COUNT(L73,N73,O73,P73)=4,(L74+N74+O74+P74)&lt;&gt;0),(L73+N73+O73+P73)/-(L74+N74+O74+P74),""),"")</f>
        <v>1.19121973292906</v>
      </c>
      <c r="Q338" s="262">
        <f>IFERROR(IF(AND(COUNT(N73,O73,P73,Q73)=4,(N74+O74+P74+Q74)&lt;&gt;0),(N73+O73+P73+Q73)/-(N74+O74+P74+Q74),""),"")</f>
        <v>1.31292368004871</v>
      </c>
      <c r="R338" s="262">
        <f>IFERROR(IF(AND(COUNT(N73,O73,P73,Q73)=4,(N74+O74+P74+Q74)&lt;&gt;0),(N73+O73+P73+Q73)/-(N74+O74+P74+Q74),""),"")</f>
        <v>1.31292368004871</v>
      </c>
      <c r="S338" s="262">
        <f>IFERROR(IF(AND(COUNT(O73,P73,Q73,S73)=4,(O74+P74+Q74+S74)&lt;&gt;0),(O73+P73+Q73+S73)/-(O74+P74+Q74+S74),""),"")</f>
        <v>1.34542607756681</v>
      </c>
      <c r="T338" s="262">
        <f>IFERROR(IF(AND(COUNT(P73,Q73,S73,T73)=4,(P74+Q74+S74+T74)&lt;&gt;0),(P73+Q73+S73+T73)/-(P74+Q74+S74+T74),""),"")</f>
        <v>1.47459363644421</v>
      </c>
      <c r="U338" s="262">
        <f>IFERROR(IF(AND(COUNT(Q73,S73,T73,U73)=4,(Q74+S74+T74+U74)&lt;&gt;0),(Q73+S73+T73+U73)/-(Q74+S74+T74+U74),""),"")</f>
        <v>1.46977805781773</v>
      </c>
      <c r="V338" s="262">
        <f>IFERROR(IF(AND(COUNT(S73,T73,U73,V73)=4,(S74+T74+U74+V74)&lt;&gt;0),(S73+T73+U73+V73)/-(S74+T74+U74+V74),""),"")</f>
        <v>1.28117102223998</v>
      </c>
      <c r="W338" s="262">
        <f>IFERROR(IF(AND(COUNT(S73,T73,U73,V73)=4,(S74+T74+U74+V74)&lt;&gt;0),(S73+T73+U73+V73)/-(S74+T74+U74+V74),""),"")</f>
        <v>1.28117102223998</v>
      </c>
      <c r="X338" s="262">
        <f>IFERROR(IF(AND(COUNT(T73,U73,V73,X73)=4,(T74+U74+V74+X74)&lt;&gt;0),(T73+U73+V73+X73)/-(T74+U74+V74+X74),""),"")</f>
        <v>1.56215593560278</v>
      </c>
      <c r="Y338" s="262">
        <f>IFERROR(IF(AND(COUNT(U73,V73,X73,Y73)=4,(U74+V74+X74+Y74)&lt;&gt;0),(U73+V73+X73+Y73)/-(U74+V74+X74+Y74),""),"")</f>
        <v>1.75766155019525</v>
      </c>
      <c r="Z338" s="262">
        <f>IFERROR(IF(AND(COUNT(V73,X73,Y73,Z73)=4,(V74+X74+Y74+Z74)&lt;&gt;0),(V73+X73+Y73+Z73)/-(V74+X74+Y74+Z74),""),"")</f>
        <v>2.20722996948291</v>
      </c>
      <c r="AA338" s="262">
        <f>IFERROR(IF(AND(COUNT(X73,Y73,Z73,AA73)=4,(X74+Y74+Z74+AA74)&lt;&gt;0),(X73+Y73+Z73+AA73)/-(X74+Y74+Z74+AA74),""),"")</f>
        <v>2.60312116852217</v>
      </c>
      <c r="AB338" s="262">
        <f>IFERROR(IF(AND(COUNT(X73,Y73,Z73,AA73)=4,(X74+Y74+Z74+AA74)&lt;&gt;0),(X73+Y73+Z73+AA73)/-(X74+Y74+Z74+AA74),""),"")</f>
        <v>2.60312116852217</v>
      </c>
      <c r="AC338" s="262">
        <f>IFERROR(IF(AND(COUNT(Y73,Z73,AA73,AC73)=4,(Y74+Z74+AA74+AC74)&lt;&gt;0),(Y73+Z73+AA73+AC73)/-(Y74+Z74+AA74+AC74),""),"")</f>
        <v>2.59429867184969</v>
      </c>
      <c r="AD338" s="262">
        <f>IFERROR(IF(AND(COUNT(Z73,AA73,AC73,AD73)=4,(Z74+AA74+AC74+AD74)&lt;&gt;0),(Z73+AA73+AC73+AD73)/-(Z74+AA74+AC74+AD74),""),"")</f>
        <v>2.63249405200007</v>
      </c>
      <c r="AE338" s="262">
        <f>IFERROR(IF(AND(COUNT(AA73,AC73,AD73,AE73)=4,(AA74+AC74+AD74+AE74)&lt;&gt;0),(AA73+AC73+AD73+AE73)/-(AA74+AC74+AD74+AE74),""),"")</f>
        <v>2.6705100693044</v>
      </c>
      <c r="AF338" s="262">
        <f>IFERROR(IF(AND(COUNT(AB73,AD73,AE73,AF73)=4,(AB74+AD74+AE74+AF74)&lt;&gt;0),(AB73+AD73+AE73+AF73)/-(AB74+AD74+AE74+AF74),""),"")</f>
        <v>2.62620519170508</v>
      </c>
      <c r="AG338" s="262">
        <f>IFERROR(IF(AND(COUNT(AC73,AD73,AE73,AF73)=4,(AC74+AD74+AE74+AF74)&lt;&gt;0),(AC73+AD73+AE73+AF73)/-(AC74+AD74+AE74+AF74),""),"")</f>
        <v>2.70990690397365</v>
      </c>
      <c r="AH338" s="262">
        <f>IFERROR(IF(AND(COUNT(AD73,AF73,AG73,AH73)=4,(AD74+AF74+AG74+AH74)&lt;&gt;0),(AD73+AF73+AG73+AH73)/-(AD74+AF74+AG74+AH74),""),"")</f>
        <v>2.58803557237465</v>
      </c>
      <c r="AI338" s="262">
        <f>IFERROR(IF(AND(COUNT(AE73,AG73,AH73,AI73)=4,(AE74+AG74+AH74+AI74)&lt;&gt;0),(AE73+AG73+AH73+AI73)/-(AE74+AG74+AH74+AI74),""),"")</f>
        <v>2.51432569439377</v>
      </c>
      <c r="AJ338" s="262" t="str">
        <f>IFERROR(IF(AND(COUNT(AF73,AH73,AI73,AJ73)=4,(AF74+AH74+AI74+AJ74)&lt;&gt;0),(AF73+AH73+AI73+AJ73)/-(AF74+AH74+AI74+AJ74),""),"")</f>
        <v/>
      </c>
      <c r="AK338" s="262" t="str">
        <f>IFERROR(IF(AND(COUNT(AH73,AI73,AJ73,AK73)=4,(AH74+AI74+AJ74+AK74)&lt;&gt;0),(AH73+AI73+AJ73+AK73)/-(AH74+AI74+AJ74+AK74),""),"")</f>
        <v/>
      </c>
      <c r="AL338" s="262" t="str">
        <f>IFERROR(IF(AND(COUNT(AH73,AI73,AJ73,AK73)=4,(AH74+AI74+AJ74+AK74)&lt;&gt;0),(AH73+AI73+AJ73+AK73)/-(AH74+AI74+AJ74+AK74),""),"")</f>
        <v/>
      </c>
      <c r="AM338" s="262" t="str">
        <f>IFERROR(IF(AND(COUNT(AI73,AJ73,AK73,AM73)=4,(AI74+AJ74+AK74+AM74)&lt;&gt;0),(AI73+AJ73+AK73+AM73)/-(AI74+AJ74+AK74+AM74),""),"")</f>
        <v/>
      </c>
      <c r="AN338" s="262" t="str">
        <f>IFERROR(IF(AND(COUNT(AJ73,AK73,AM73,AN73)=4,(AJ74+AK74+AM74+AN74)&lt;&gt;0),(AJ73+AK73+AM73+AN73)/-(AJ74+AK74+AM74+AN74),""),"")</f>
        <v/>
      </c>
      <c r="AO338" s="262" t="str">
        <f>IFERROR(IF(AND(COUNT(AK73,AM73,AN73,AO73)=4,(AK74+AM74+AN74+AO74)&lt;&gt;0),(AK73+AM73+AN73+AO73)/-(AK74+AM74+AN74+AO74),""),"")</f>
        <v/>
      </c>
      <c r="AP338" s="262" t="str">
        <f>IFERROR(IF(AND(COUNT(AM73,AN73,AO73,AP73)=4,(AM74+AN74+AO74+AP74)&lt;&gt;0),(AM73+AN73+AO73+AP73)/-(AM74+AN74+AO74+AP74),""),"")</f>
        <v/>
      </c>
      <c r="AQ338" s="262" t="str">
        <f>IFERROR(IF(AND(COUNT(AM73,AN73,AO73,AP73)=4,(AM74+AN74+AO74+AP74)&lt;&gt;0),(AM73+AN73+AO73+AP73)/-(AM74+AN74+AO74+AP74),""),"")</f>
        <v/>
      </c>
      <c r="AR338" s="262" t="str">
        <f>IFERROR(IF(AND(COUNT(AN73,AO73,AP73,AR73)=4,(AN74+AO74+AP74+AR74)&lt;&gt;0),(AN73+AO73+AP73+AR73)/-(AN74+AO74+AP74+AR74),""),"")</f>
        <v/>
      </c>
      <c r="AS338" s="262" t="str">
        <f>IFERROR(IF(AND(COUNT(AO73,AP73,AR73,AS73)=4,(AO74+AP74+AR74+AS74)&lt;&gt;0),(AO73+AP73+AR73+AS73)/-(AO74+AP74+AR74+AS74),""),"")</f>
        <v/>
      </c>
      <c r="AT338" s="262" t="str">
        <f>IFERROR(IF(AND(COUNT(AP73,AR73,AS73,AT73)=4,(AP74+AR74+AS74+AT74)&lt;&gt;0),(AP73+AR73+AS73+AT73)/-(AP74+AR74+AS74+AT74),""),"")</f>
        <v/>
      </c>
      <c r="AU338" s="262" t="str">
        <f>IFERROR(IF(AND(COUNT(AR73,AS73,AT73,AU73)=4,(AR74+AS74+AT74+AU74)&lt;&gt;0),(AR73+AS73+AT73+AU73)/-(AR74+AS74+AT74+AU74),""),"")</f>
        <v/>
      </c>
      <c r="AV338" s="262" t="str">
        <f>IFERROR(IF(AND(COUNT(AR73,AS73,AT73,AU73)=4,(AR74+AS74+AT74+AU74)&lt;&gt;0),(AR73+AS73+AT73+AU73)/-(AR74+AS74+AT74+AU74),""),"")</f>
        <v/>
      </c>
      <c r="AW338" s="262" t="str">
        <f>IFERROR(IF(AND(COUNT(AS73,AT73,AU73,AW73)=4,(AS74+AT74+AU74+AW74)&lt;&gt;0),(AS73+AT73+AU73+AW73)/-(AS74+AT74+AU74+AW74),""),"")</f>
        <v/>
      </c>
      <c r="AX338" s="262" t="str">
        <f>IFERROR(IF(AND(COUNT(AT73,AU73,AW73,AX73)=4,(AT74+AU74+AW74+AX74)&lt;&gt;0),(AT73+AU73+AW73+AX73)/-(AT74+AU74+AW74+AX74),""),"")</f>
        <v/>
      </c>
      <c r="AY338" s="262" t="str">
        <f>IFERROR(IF(AND(COUNT(AU73,AW73,AX73,AY73)=4,(AU74+AW74+AX74+AY74)&lt;&gt;0),(AU73+AW73+AX73+AY73)/-(AU74+AW74+AX74+AY74),""),"")</f>
        <v/>
      </c>
      <c r="AZ338" s="262" t="str">
        <f>IFERROR(IF(AND(COUNT(AW73,AX73,AY73,AZ73)=4,(AW74+AX74+AY74+AZ74)&lt;&gt;0),(AW73+AX73+AY73+AZ73)/-(AW74+AX74+AY74+AZ74),""),"")</f>
        <v/>
      </c>
      <c r="BA338" s="262" t="str">
        <f>IFERROR(IF(AND(COUNT(AW73,AX73,AY73,AZ73)=4,(AW74+AX74+AY74+AZ74)&lt;&gt;0),(AW73+AX73+AY73+AZ73)/-(AW74+AX74+AY74+AZ74),""),"")</f>
        <v/>
      </c>
      <c r="BB338" s="262" t="str">
        <f>IFERROR(IF(AND(COUNT(AX73,AY73,AZ73,BB73)=4,(AX74+AY74+AZ74+BB74)&lt;&gt;0),(AX73+AY73+AZ73+BB73)/-(AX74+AY74+AZ74+BB74),""),"")</f>
        <v/>
      </c>
      <c r="BC338" s="262" t="str">
        <f>IFERROR(IF(AND(COUNT(AY73,AZ73,BB73,BC73)=4,(AY74+AZ74+BB74+BC74)&lt;&gt;0),(AY73+AZ73+BB73+BC73)/-(AY74+AZ74+BB74+BC74),""),"")</f>
        <v/>
      </c>
      <c r="BD338" s="262" t="str">
        <f>IFERROR(IF(AND(COUNT(AZ73,BB73,BC73,BD73)=4,(AZ74+BB74+BC74+BD74)&lt;&gt;0),(AZ73+BB73+BC73+BD73)/-(AZ74+BB74+BC74+BD74),""),"")</f>
        <v/>
      </c>
      <c r="BE338" s="262" t="str">
        <f>IFERROR(IF(AND(COUNT(BB73,BC73,BD73,BE73)=4,(BB74+BC74+BD74+BE74)&lt;&gt;0),(BB73+BC73+BD73+BE73)/-(BB74+BC74+BD74+BE74),""),"")</f>
        <v/>
      </c>
      <c r="BF338" s="262" t="str">
        <f>IFERROR(IF(AND(COUNT(BB73,BC73,BD73,BE73)=4,(BB74+BC74+BD74+BE74)&lt;&gt;0),(BB73+BC73+BD73+BE73)/-(BB74+BC74+BD74+BE74),""),"")</f>
        <v/>
      </c>
      <c r="BG338" s="82" t="n"/>
      <c r="BH338" s="82" t="n"/>
      <c r="BI338" s="82" t="n"/>
      <c r="BJ338" s="82" t="n"/>
      <c r="BL338" s="82" t="n"/>
      <c r="BM338" s="82" t="n"/>
      <c r="BN338" s="82" t="n"/>
      <c r="BO338" s="82" t="n"/>
      <c r="BQ338" s="82" t="n"/>
      <c r="BR338" s="82" t="n"/>
      <c r="BS338" s="82" t="n"/>
      <c r="BT338" s="82" t="n"/>
      <c r="BV338" s="82" t="n"/>
      <c r="BW338" s="82" t="n"/>
      <c r="BX338" s="82" t="n"/>
      <c r="BY338" s="82" t="n"/>
      <c r="CA338" s="82" t="n"/>
      <c r="CB338" s="82" t="n"/>
      <c r="CC338" s="82" t="n"/>
      <c r="CD338" s="82" t="n"/>
      <c r="CF338" s="82" t="n"/>
      <c r="CG338" s="82" t="n"/>
      <c r="CH338" s="82" t="n"/>
      <c r="CI338" s="82" t="n"/>
      <c r="CK338" s="82" t="n"/>
      <c r="CL338" s="82" t="n"/>
      <c r="CM338" s="82" t="n"/>
      <c r="CN338" s="82" t="n"/>
      <c r="CP338" s="82" t="n"/>
      <c r="CQ338" s="82" t="n"/>
      <c r="CR338" s="82" t="n"/>
      <c r="CS338" s="82" t="n"/>
      <c r="CU338" s="82" t="n"/>
      <c r="CV338" s="82" t="n"/>
      <c r="CW338" s="82" t="n"/>
      <c r="CX338" s="82" t="n"/>
    </row>
    <row r="339" customFormat="1" s="77">
      <c r="A339" s="76" t="n"/>
      <c r="B339" s="76" t="n"/>
    </row>
    <row r="340" customFormat="1" s="77">
      <c r="A340" s="76" t="n"/>
      <c r="B340" s="76" t="n"/>
      <c r="C340" s="74" t="inlineStr">
        <is>
          <t>INTERNAL LIQUIDITY</t>
        </is>
      </c>
    </row>
    <row r="341" customFormat="1" s="77">
      <c r="A341" s="76" t="n"/>
      <c r="B341" s="76" t="n"/>
      <c r="C341" s="77" t="inlineStr">
        <is>
          <t>CURRENT RATIO</t>
        </is>
      </c>
      <c r="D341" s="82" t="str">
        <f>IFERROR(SUM(D144,D145,D149,D153,D154,D155)/SUM(D198,D202,D204,D205),"")</f>
        <v/>
      </c>
      <c r="E341" s="82" t="str">
        <f>IFERROR(SUM(E144,E145,E149,E153,E154,E155)/SUM(E198,E202,E204,E205),"")</f>
        <v/>
      </c>
      <c r="F341" s="82" t="str">
        <f>IFERROR(SUM(F144,F145,F149,F153,F154,F155)/SUM(F198,F202,F204,F205),"")</f>
        <v/>
      </c>
      <c r="G341" s="82" t="str">
        <f>IFERROR(SUM(G144,G145,G149,G153,G154,G155)/SUM(G198,G202,G204,G205),"")</f>
        <v/>
      </c>
      <c r="H341" s="262" t="str">
        <f>IFERROR(IF((N(H198)+N(H202)+N(H204)+N(H205)+N(H212)+N(H213)+N(H214))&lt;&gt;0,(N(H144)+(N(H145)+N(H149)+N(H153)+N(H154)+N(H155)))/(N(H198)+N(H202)+N(H204)+N(H205)+N(H212)+N(H213)+N(H214)),""),"")</f>
        <v/>
      </c>
      <c r="I341" s="262">
        <f>IFERROR(IF((N(I198)+N(I202)+N(I204)+N(I205)+N(I212)+N(I213)+N(I214))&lt;&gt;0,(N(I144)+(N(I145)+N(I149)+N(I153)+N(I154)+N(I155)))/(N(I198)+N(I202)+N(I204)+N(I205)+N(I212)+N(I213)+N(I214)),""),"")</f>
        <v>8.88785302248947</v>
      </c>
      <c r="J341" s="262">
        <f>IFERROR(IF((N(J198)+N(J202)+N(J204)+N(J205)+N(J212)+N(J213)+N(J214))&lt;&gt;0,(N(J144)+(N(J145)+N(J149)+N(J153)+N(J154)+N(J155)))/(N(J198)+N(J202)+N(J204)+N(J205)+N(J212)+N(J213)+N(J214)),""),"")</f>
        <v>10.3205954219131</v>
      </c>
      <c r="K341" s="262">
        <f>IFERROR(IF((N(K198)+N(K202)+N(K204)+N(K205)+N(K212)+N(K213)+N(K214))&lt;&gt;0,(N(K144)+(N(K145)+N(K149)+N(K153)+N(K154)+N(K155)))/(N(K198)+N(K202)+N(K204)+N(K205)+N(K212)+N(K213)+N(K214)),""),"")</f>
        <v>9.76063457529456</v>
      </c>
      <c r="L341" s="262">
        <f>IFERROR(IF((N(L198)+N(L202)+N(L204)+N(L205)+N(L212)+N(L213)+N(L214))&lt;&gt;0,(N(L144)+(N(L145)+N(L149)+N(L153)+N(L154)+N(L155)))/(N(L198)+N(L202)+N(L204)+N(L205)+N(L212)+N(L213)+N(L214)),""),"")</f>
        <v>10.8774457019449</v>
      </c>
      <c r="M341" s="262">
        <f>IFERROR(IF((N(M198)+N(M202)+N(M204)+N(M205)+N(M212)+N(M213)+N(M214))&lt;&gt;0,(N(M144)+(N(M145)+N(M149)+N(M153)+N(M154)+N(M155)))/(N(M198)+N(M202)+N(M204)+N(M205)+N(M212)+N(M213)+N(M214)),""),"")</f>
        <v>10.8774457019449</v>
      </c>
      <c r="N341" s="262">
        <f>IFERROR(IF((N(N198)+N(N202)+N(N204)+N(N205)+N(N212)+N(N213)+N(N214))&lt;&gt;0,(N(N144)+(N(N145)+N(N149)+N(N153)+N(N154)+N(N155)))/(N(N198)+N(N202)+N(N204)+N(N205)+N(N212)+N(N213)+N(N214)),""),"")</f>
        <v>8.89375851783281</v>
      </c>
      <c r="O341" s="262">
        <f>IFERROR(IF((N(O198)+N(O202)+N(O204)+N(O205)+N(O212)+N(O213)+N(O214))&lt;&gt;0,(N(O144)+(N(O145)+N(O149)+N(O153)+N(O154)+N(O155)))/(N(O198)+N(O202)+N(O204)+N(O205)+N(O212)+N(O213)+N(O214)),""),"")</f>
        <v>8.45734342007747</v>
      </c>
      <c r="P341" s="262">
        <f>IFERROR(IF((N(P198)+N(P202)+N(P204)+N(P205)+N(P212)+N(P213)+N(P214))&lt;&gt;0,(N(P144)+(N(P145)+N(P149)+N(P153)+N(P154)+N(P155)))/(N(P198)+N(P202)+N(P204)+N(P205)+N(P212)+N(P213)+N(P214)),""),"")</f>
        <v>7.01545491630227</v>
      </c>
      <c r="Q341" s="262">
        <f>IFERROR(IF((N(Q198)+N(Q202)+N(Q204)+N(Q205)+N(Q212)+N(Q213)+N(Q214))&lt;&gt;0,(N(Q144)+(N(Q145)+N(Q149)+N(Q153)+N(Q154)+N(Q155)))/(N(Q198)+N(Q202)+N(Q204)+N(Q205)+N(Q212)+N(Q213)+N(Q214)),""),"")</f>
        <v>6.66201198846459</v>
      </c>
      <c r="R341" s="262">
        <f>IFERROR(IF((N(R198)+N(R202)+N(R204)+N(R205)+N(R212)+N(R213)+N(R214))&lt;&gt;0,(N(R144)+(N(R145)+N(R149)+N(R153)+N(R154)+N(R155)))/(N(R198)+N(R202)+N(R204)+N(R205)+N(R212)+N(R213)+N(R214)),""),"")</f>
        <v>6.66201198846459</v>
      </c>
      <c r="S341" s="262">
        <f>IFERROR(IF((N(S198)+N(S202)+N(S204)+N(S205)+N(S212)+N(S213)+N(S214))&lt;&gt;0,(N(S144)+(N(S145)+N(S149)+N(S153)+N(S154)+N(S155)))/(N(S198)+N(S202)+N(S204)+N(S205)+N(S212)+N(S213)+N(S214)),""),"")</f>
        <v>7.00899509383144</v>
      </c>
      <c r="T341" s="262">
        <f>IFERROR(IF((N(T198)+N(T202)+N(T204)+N(T205)+N(T212)+N(T213)+N(T214))&lt;&gt;0,(N(T144)+(N(T145)+N(T149)+N(T153)+N(T154)+N(T155)))/(N(T198)+N(T202)+N(T204)+N(T205)+N(T212)+N(T213)+N(T214)),""),"")</f>
        <v>7.05502526759216</v>
      </c>
      <c r="U341" s="262">
        <f>IFERROR(IF((N(U198)+N(U202)+N(U204)+N(U205)+N(U212)+N(U213)+N(U214))&lt;&gt;0,(N(U144)+(N(U145)+N(U149)+N(U153)+N(U154)+N(U155)))/(N(U198)+N(U202)+N(U204)+N(U205)+N(U212)+N(U213)+N(U214)),""),"")</f>
        <v>7.15454842351571</v>
      </c>
      <c r="V341" s="262">
        <f>IFERROR(IF((N(V198)+N(V202)+N(V204)+N(V205)+N(V212)+N(V213)+N(V214))&lt;&gt;0,(N(V144)+(N(V145)+N(V149)+N(V153)+N(V154)+N(V155)))/(N(V198)+N(V202)+N(V204)+N(V205)+N(V212)+N(V213)+N(V214)),""),"")</f>
        <v>6.79789017815119</v>
      </c>
      <c r="W341" s="262">
        <f>IFERROR(IF((N(W198)+N(W202)+N(W204)+N(W205)+N(W212)+N(W213)+N(W214))&lt;&gt;0,(N(W144)+(N(W145)+N(W149)+N(W153)+N(W154)+N(W155)))/(N(W198)+N(W202)+N(W204)+N(W205)+N(W212)+N(W213)+N(W214)),""),"")</f>
        <v>6.79789017815119</v>
      </c>
      <c r="X341" s="262">
        <f>IFERROR(IF((N(X198)+N(X202)+N(X204)+N(X205)+N(X212)+N(X213)+N(X214))&lt;&gt;0,(N(X144)+(N(X145)+N(X149)+N(X153)+N(X154)+N(X155)))/(N(X198)+N(X202)+N(X204)+N(X205)+N(X212)+N(X213)+N(X214)),""),"")</f>
        <v>7.37498614823201</v>
      </c>
      <c r="Y341" s="262">
        <f>IFERROR(IF((N(Y198)+N(Y202)+N(Y204)+N(Y205)+N(Y212)+N(Y213)+N(Y214))&lt;&gt;0,(N(Y144)+(N(Y145)+N(Y149)+N(Y153)+N(Y154)+N(Y155)))/(N(Y198)+N(Y202)+N(Y204)+N(Y205)+N(Y212)+N(Y213)+N(Y214)),""),"")</f>
        <v>7.16628098100943</v>
      </c>
      <c r="Z341" s="262">
        <f>IFERROR(IF((N(Z198)+N(Z202)+N(Z204)+N(Z205)+N(Z212)+N(Z213)+N(Z214))&lt;&gt;0,(N(Z144)+(N(Z145)+N(Z149)+N(Z153)+N(Z154)+N(Z155)))/(N(Z198)+N(Z202)+N(Z204)+N(Z205)+N(Z212)+N(Z213)+N(Z214)),""),"")</f>
        <v>6.90656244762316</v>
      </c>
      <c r="AA341" s="262">
        <f>IFERROR(IF((N(AA198)+N(AA202)+N(AA204)+N(AA205)+N(AA212)+N(AA213)+N(AA214))&lt;&gt;0,(N(AA144)+(N(AA145)+N(AA149)+N(AA153)+N(AA154)+N(AA155)))/(N(AA198)+N(AA202)+N(AA204)+N(AA205)+N(AA212)+N(AA213)+N(AA214)),""),"")</f>
        <v>6.17033290505304</v>
      </c>
      <c r="AB341" s="262">
        <f>IFERROR(IF((N(AB198)+N(AB202)+N(AB204)+N(AB205)+N(AB212)+N(AB213)+N(AB214))&lt;&gt;0,(N(AB144)+(N(AB145)+N(AB149)+N(AB153)+N(AB154)+N(AB155)))/(N(AB198)+N(AB202)+N(AB204)+N(AB205)+N(AB212)+N(AB213)+N(AB214)),""),"")</f>
        <v>6.17033290505304</v>
      </c>
      <c r="AC341" s="262">
        <f>IFERROR(IF((N(AC198)+N(AC202)+N(AC204)+N(AC205)+N(AC212)+N(AC213)+N(AC214))&lt;&gt;0,(N(AC144)+(N(AC145)+N(AC149)+N(AC153)+N(AC154)+N(AC155)))/(N(AC198)+N(AC202)+N(AC204)+N(AC205)+N(AC212)+N(AC213)+N(AC214)),""),"")</f>
        <v>8.06250489524182</v>
      </c>
      <c r="AD341" s="262">
        <f>IFERROR(IF((N(AD198)+N(AD202)+N(AD204)+N(AD205)+N(AD212)+N(AD213)+N(AD214))&lt;&gt;0,(N(AD144)+(N(AD145)+N(AD149)+N(AD153)+N(AD154)+N(AD155)))/(N(AD198)+N(AD202)+N(AD204)+N(AD205)+N(AD212)+N(AD213)+N(AD214)),""),"")</f>
        <v>6.0135457722497</v>
      </c>
      <c r="AE341" s="262">
        <f>IFERROR(IF((N(AE198)+N(AE202)+N(AE204)+N(AE205)+N(AE212)+N(AE213)+N(AE214))&lt;&gt;0,(N(AE144)+(N(AE145)+N(AE149)+N(AE153)+N(AE154)+N(AE155)))/(N(AE198)+N(AE202)+N(AE204)+N(AE205)+N(AE212)+N(AE213)+N(AE214)),""),"")</f>
        <v>8.15900633040866</v>
      </c>
      <c r="AF341" s="262">
        <f>IFERROR(IF((N(AF198)+N(AF202)+N(AF204)+N(AF205)+N(AF212)+N(AF213)+N(AF214))&lt;&gt;0,(N(AF144)+(N(AF145)+N(AF149)+N(AF153)+N(AF154)+N(AF155)))/(N(AF198)+N(AF202)+N(AF204)+N(AF205)+N(AF212)+N(AF213)+N(AF214)),""),"")</f>
        <v>7.63799028240489</v>
      </c>
      <c r="AG341" s="262">
        <f>IFERROR(IF((N(AG198)+N(AG202)+N(AG204)+N(AG205)+N(AG212)+N(AG213)+N(AG214))&lt;&gt;0,(N(AG144)+(N(AG145)+N(AG149)+N(AG153)+N(AG154)+N(AG155)))/(N(AG198)+N(AG202)+N(AG204)+N(AG205)+N(AG212)+N(AG213)+N(AG214)),""),"")</f>
        <v>7.63799028240489</v>
      </c>
      <c r="AH341" s="262">
        <f>IFERROR(IF((N(AH198)+N(AH202)+N(AH204)+N(AH205)+N(AH212)+N(AH213)+N(AH214))&lt;&gt;0,(N(AH144)+(N(AH145)+N(AH149)+N(AH153)+N(AH154)+N(AH155)))/(N(AH198)+N(AH202)+N(AH204)+N(AH205)+N(AH212)+N(AH213)+N(AH214)),""),"")</f>
        <v>8.33903950628792</v>
      </c>
      <c r="AI341" s="262">
        <f>IFERROR(IF((N(AI198)+N(AI202)+N(AI204)+N(AI205)+N(AI212)+N(AI213)+N(AI214))&lt;&gt;0,(N(AI144)+(N(AI145)+N(AI149)+N(AI153)+N(AI154)+N(AI155)))/(N(AI198)+N(AI202)+N(AI204)+N(AI205)+N(AI212)+N(AI213)+N(AI214)),""),"")</f>
        <v>8.1169918270107</v>
      </c>
      <c r="AJ341" s="262">
        <f>IFERROR(IF((N(AJ198)+N(AJ202)+N(AJ204)+N(AJ205)+N(AJ212)+N(AJ213)+N(AJ214))&lt;&gt;0,(N(AJ144)+(N(AJ145)+N(AJ149)+N(AJ153)+N(AJ154)+N(AJ155)))/(N(AJ198)+N(AJ202)+N(AJ204)+N(AJ205)+N(AJ212)+N(AJ213)+N(AJ214)),""),"")</f>
        <v>8.01612369580625</v>
      </c>
      <c r="AK341" s="262">
        <f>IFERROR(IF((N(AK198)+N(AK202)+N(AK204)+N(AK205)+N(AK212)+N(AK213)+N(AK214))&lt;&gt;0,(N(AK144)+(N(AK145)+N(AK149)+N(AK153)+N(AK154)+N(AK155)))/(N(AK198)+N(AK202)+N(AK204)+N(AK205)+N(AK212)+N(AK213)+N(AK214)),""),"")</f>
        <v>7.964092968464</v>
      </c>
      <c r="AL341" s="262">
        <f>IFERROR(IF((N(AL198)+N(AL202)+N(AL204)+N(AL205)+N(AL212)+N(AL213)+N(AL214))&lt;&gt;0,(N(AL144)+(N(AL145)+N(AL149)+N(AL153)+N(AL154)+N(AL155)))/(N(AL198)+N(AL202)+N(AL204)+N(AL205)+N(AL212)+N(AL213)+N(AL214)),""),"")</f>
        <v>7.964092968464</v>
      </c>
      <c r="AM341" s="262">
        <f>IFERROR(IF((N(AM198)+N(AM202)+N(AM204)+N(AM205)+N(AM212)+N(AM213)+N(AM214))&lt;&gt;0,(N(AM144)+(N(AM145)+N(AM149)+N(AM153)+N(AM154)+N(AM155)))/(N(AM198)+N(AM202)+N(AM204)+N(AM205)+N(AM212)+N(AM213)+N(AM214)),""),"")</f>
        <v>7.91428810003495</v>
      </c>
      <c r="AN341" s="262">
        <f>IFERROR(IF((N(AN198)+N(AN202)+N(AN204)+N(AN205)+N(AN212)+N(AN213)+N(AN214))&lt;&gt;0,(N(AN144)+(N(AN145)+N(AN149)+N(AN153)+N(AN154)+N(AN155)))/(N(AN198)+N(AN202)+N(AN204)+N(AN205)+N(AN212)+N(AN213)+N(AN214)),""),"")</f>
        <v>7.71937531174804</v>
      </c>
      <c r="AO341" s="262">
        <f>IFERROR(IF((N(AO198)+N(AO202)+N(AO204)+N(AO205)+N(AO212)+N(AO213)+N(AO214))&lt;&gt;0,(N(AO144)+(N(AO145)+N(AO149)+N(AO153)+N(AO154)+N(AO155)))/(N(AO198)+N(AO202)+N(AO204)+N(AO205)+N(AO212)+N(AO213)+N(AO214)),""),"")</f>
        <v>7.44115704853474</v>
      </c>
      <c r="AP341" s="262">
        <f>IFERROR(IF((N(AP198)+N(AP202)+N(AP204)+N(AP205)+N(AP212)+N(AP213)+N(AP214))&lt;&gt;0,(N(AP144)+(N(AP145)+N(AP149)+N(AP153)+N(AP154)+N(AP155)))/(N(AP198)+N(AP202)+N(AP204)+N(AP205)+N(AP212)+N(AP213)+N(AP214)),""),"")</f>
        <v>7.17233328962182</v>
      </c>
      <c r="AQ341" s="262">
        <f>IFERROR(IF((N(AQ198)+N(AQ202)+N(AQ204)+N(AQ205)+N(AQ212)+N(AQ213)+N(AQ214))&lt;&gt;0,(N(AQ144)+(N(AQ145)+N(AQ149)+N(AQ153)+N(AQ154)+N(AQ155)))/(N(AQ198)+N(AQ202)+N(AQ204)+N(AQ205)+N(AQ212)+N(AQ213)+N(AQ214)),""),"")</f>
        <v>7.17233328962182</v>
      </c>
      <c r="AR341" s="262">
        <f>IFERROR(IF((N(AR198)+N(AR202)+N(AR204)+N(AR205)+N(AR212)+N(AR213)+N(AR214))&lt;&gt;0,(N(AR144)+(N(AR145)+N(AR149)+N(AR153)+N(AR154)+N(AR155)))/(N(AR198)+N(AR202)+N(AR204)+N(AR205)+N(AR212)+N(AR213)+N(AR214)),""),"")</f>
        <v>6.89963478184369</v>
      </c>
      <c r="AS341" s="262">
        <f>IFERROR(IF((N(AS198)+N(AS202)+N(AS204)+N(AS205)+N(AS212)+N(AS213)+N(AS214))&lt;&gt;0,(N(AS144)+(N(AS145)+N(AS149)+N(AS153)+N(AS154)+N(AS155)))/(N(AS198)+N(AS202)+N(AS204)+N(AS205)+N(AS212)+N(AS213)+N(AS214)),""),"")</f>
        <v>6.48420999889336</v>
      </c>
      <c r="AT341" s="262">
        <f>IFERROR(IF((N(AT198)+N(AT202)+N(AT204)+N(AT205)+N(AT212)+N(AT213)+N(AT214))&lt;&gt;0,(N(AT144)+(N(AT145)+N(AT149)+N(AT153)+N(AT154)+N(AT155)))/(N(AT198)+N(AT202)+N(AT204)+N(AT205)+N(AT212)+N(AT213)+N(AT214)),""),"")</f>
        <v>6.02710609081376</v>
      </c>
      <c r="AU341" s="262">
        <f>IFERROR(IF((N(AU198)+N(AU202)+N(AU204)+N(AU205)+N(AU212)+N(AU213)+N(AU214))&lt;&gt;0,(N(AU144)+(N(AU145)+N(AU149)+N(AU153)+N(AU154)+N(AU155)))/(N(AU198)+N(AU202)+N(AU204)+N(AU205)+N(AU212)+N(AU213)+N(AU214)),""),"")</f>
        <v>5.59132601186763</v>
      </c>
      <c r="AV341" s="262">
        <f>IFERROR(IF((N(AV198)+N(AV202)+N(AV204)+N(AV205)+N(AV212)+N(AV213)+N(AV214))&lt;&gt;0,(N(AV144)+(N(AV145)+N(AV149)+N(AV153)+N(AV154)+N(AV155)))/(N(AV198)+N(AV202)+N(AV204)+N(AV205)+N(AV212)+N(AV213)+N(AV214)),""),"")</f>
        <v>5.59132601186763</v>
      </c>
      <c r="AW341" s="262">
        <f>IFERROR(IF((N(AW198)+N(AW202)+N(AW204)+N(AW205)+N(AW212)+N(AW213)+N(AW214))&lt;&gt;0,(N(AW144)+(N(AW145)+N(AW149)+N(AW153)+N(AW154)+N(AW155)))/(N(AW198)+N(AW202)+N(AW204)+N(AW205)+N(AW212)+N(AW213)+N(AW214)),""),"")</f>
        <v>5.16597550259697</v>
      </c>
      <c r="AX341" s="262">
        <f>IFERROR(IF((N(AX198)+N(AX202)+N(AX204)+N(AX205)+N(AX212)+N(AX213)+N(AX214))&lt;&gt;0,(N(AX144)+(N(AX145)+N(AX149)+N(AX153)+N(AX154)+N(AX155)))/(N(AX198)+N(AX202)+N(AX204)+N(AX205)+N(AX212)+N(AX213)+N(AX214)),""),"")</f>
        <v>4.69732594458748</v>
      </c>
      <c r="AY341" s="262">
        <f>IFERROR(IF((N(AY198)+N(AY202)+N(AY204)+N(AY205)+N(AY212)+N(AY213)+N(AY214))&lt;&gt;0,(N(AY144)+(N(AY145)+N(AY149)+N(AY153)+N(AY154)+N(AY155)))/(N(AY198)+N(AY202)+N(AY204)+N(AY205)+N(AY212)+N(AY213)+N(AY214)),""),"")</f>
        <v>4.24495528726187</v>
      </c>
      <c r="AZ341" s="262">
        <f>IFERROR(IF((N(AZ198)+N(AZ202)+N(AZ204)+N(AZ205)+N(AZ212)+N(AZ213)+N(AZ214))&lt;&gt;0,(N(AZ144)+(N(AZ145)+N(AZ149)+N(AZ153)+N(AZ154)+N(AZ155)))/(N(AZ198)+N(AZ202)+N(AZ204)+N(AZ205)+N(AZ212)+N(AZ213)+N(AZ214)),""),"")</f>
        <v>3.83830481526634</v>
      </c>
      <c r="BA341" s="262">
        <f>IFERROR(IF((N(BA198)+N(BA202)+N(BA204)+N(BA205)+N(BA212)+N(BA213)+N(BA214))&lt;&gt;0,(N(BA144)+(N(BA145)+N(BA149)+N(BA153)+N(BA154)+N(BA155)))/(N(BA198)+N(BA202)+N(BA204)+N(BA205)+N(BA212)+N(BA213)+N(BA214)),""),"")</f>
        <v>3.83830481526634</v>
      </c>
      <c r="BB341" s="262">
        <f>IFERROR(IF((N(BB198)+N(BB202)+N(BB204)+N(BB205)+N(BB212)+N(BB213)+N(BB214))&lt;&gt;0,(N(BB144)+(N(BB145)+N(BB149)+N(BB153)+N(BB154)+N(BB155)))/(N(BB198)+N(BB202)+N(BB204)+N(BB205)+N(BB212)+N(BB213)+N(BB214)),""),"")</f>
        <v>3.46899692152619</v>
      </c>
      <c r="BC341" s="262">
        <f>IFERROR(IF((N(BC198)+N(BC202)+N(BC204)+N(BC205)+N(BC212)+N(BC213)+N(BC214))&lt;&gt;0,(N(BC144)+(N(BC145)+N(BC149)+N(BC153)+N(BC154)+N(BC155)))/(N(BC198)+N(BC202)+N(BC204)+N(BC205)+N(BC212)+N(BC213)+N(BC214)),""),"")</f>
        <v>3.11807652643551</v>
      </c>
      <c r="BD341" s="262">
        <f>IFERROR(IF((N(BD198)+N(BD202)+N(BD204)+N(BD205)+N(BD212)+N(BD213)+N(BD214))&lt;&gt;0,(N(BD144)+(N(BD145)+N(BD149)+N(BD153)+N(BD154)+N(BD155)))/(N(BD198)+N(BD202)+N(BD204)+N(BD205)+N(BD212)+N(BD213)+N(BD214)),""),"")</f>
        <v>2.80862590632108</v>
      </c>
      <c r="BE341" s="262">
        <f>IFERROR(IF((N(BE198)+N(BE202)+N(BE204)+N(BE205)+N(BE212)+N(BE213)+N(BE214))&lt;&gt;0,(N(BE144)+(N(BE145)+N(BE149)+N(BE153)+N(BE154)+N(BE155)))/(N(BE198)+N(BE202)+N(BE204)+N(BE205)+N(BE212)+N(BE213)+N(BE214)),""),"")</f>
        <v>2.54202454671435</v>
      </c>
      <c r="BF341" s="262">
        <f>IFERROR(IF((N(BF198)+N(BF202)+N(BF204)+N(BF205)+N(BF212)+N(BF213)+N(BF214))&lt;&gt;0,(N(BF144)+(N(BF145)+N(BF149)+N(BF153)+N(BF154)+N(BF155)))/(N(BF198)+N(BF202)+N(BF204)+N(BF205)+N(BF212)+N(BF213)+N(BF214)),""),"")</f>
        <v>2.54202454671435</v>
      </c>
      <c r="BG341" s="82" t="n"/>
      <c r="BH341" s="82" t="n"/>
      <c r="BI341" s="82" t="n"/>
      <c r="BJ341" s="82" t="n"/>
      <c r="BL341" s="82" t="n"/>
      <c r="BM341" s="82" t="n"/>
      <c r="BN341" s="82" t="n"/>
      <c r="BO341" s="82" t="n"/>
      <c r="BQ341" s="82" t="n"/>
      <c r="BR341" s="82" t="n"/>
      <c r="BS341" s="82" t="n"/>
      <c r="BT341" s="82" t="n"/>
      <c r="BV341" s="82" t="n"/>
      <c r="BW341" s="82" t="n"/>
      <c r="BX341" s="82" t="n"/>
      <c r="BY341" s="82" t="n"/>
      <c r="CA341" s="82" t="n"/>
      <c r="CB341" s="82" t="n"/>
      <c r="CC341" s="82" t="n"/>
      <c r="CD341" s="82" t="n"/>
      <c r="CF341" s="82" t="n"/>
      <c r="CG341" s="82" t="n"/>
      <c r="CH341" s="82" t="n"/>
      <c r="CI341" s="82" t="n"/>
      <c r="CK341" s="82" t="n"/>
      <c r="CL341" s="82" t="n"/>
      <c r="CM341" s="82" t="n"/>
      <c r="CN341" s="82" t="n"/>
      <c r="CP341" s="82" t="n"/>
      <c r="CQ341" s="82" t="n"/>
      <c r="CR341" s="82" t="n"/>
      <c r="CS341" s="82" t="n"/>
      <c r="CU341" s="82" t="n"/>
      <c r="CV341" s="82" t="n"/>
      <c r="CW341" s="82" t="n"/>
      <c r="CX341" s="82" t="n"/>
    </row>
    <row r="342" customFormat="1" s="77">
      <c r="A342" s="76" t="n"/>
      <c r="B342" s="76" t="n"/>
      <c r="C342" s="77" t="inlineStr">
        <is>
          <t>CASH RATIO</t>
        </is>
      </c>
      <c r="D342" s="82" t="str">
        <f>IFERROR(SUM(D144)/SUM(D198,D202,D204,D205),"")</f>
        <v/>
      </c>
      <c r="E342" s="82" t="str">
        <f>IFERROR(SUM(E144)/SUM(E198,E202,E204,E205),"")</f>
        <v/>
      </c>
      <c r="F342" s="82" t="str">
        <f>IFERROR(SUM(F144)/SUM(F198,F202,F204,F205),"")</f>
        <v/>
      </c>
      <c r="G342" s="82" t="str">
        <f>IFERROR(SUM(G144)/SUM(G198,G202,G204,G205),"")</f>
        <v/>
      </c>
      <c r="H342" s="262" t="str">
        <f>IFERROR(IF((N(H198)+N(H202)+N(H204)+N(H205)+N(H212)+N(H213)+N(H214))&lt;&gt;0,N(H144)/(N(H198)+N(H202)+N(H204)+N(H205)+N(H212)+N(H213)+N(H214)),""),"")</f>
        <v/>
      </c>
      <c r="I342" s="262">
        <f>IFERROR(IF((N(I198)+N(I202)+N(I204)+N(I205)+N(I212)+N(I213)+N(I214))&lt;&gt;0,N(I144)/(N(I198)+N(I202)+N(I204)+N(I205)+N(I212)+N(I213)+N(I214)),""),"")</f>
        <v>1.75372201406964</v>
      </c>
      <c r="J342" s="262">
        <f>IFERROR(IF((N(J198)+N(J202)+N(J204)+N(J205)+N(J212)+N(J213)+N(J214))&lt;&gt;0,N(J144)/(N(J198)+N(J202)+N(J204)+N(J205)+N(J212)+N(J213)+N(J214)),""),"")</f>
        <v>1.88350432180322</v>
      </c>
      <c r="K342" s="262">
        <f>IFERROR(IF((N(K198)+N(K202)+N(K204)+N(K205)+N(K212)+N(K213)+N(K214))&lt;&gt;0,N(K144)/(N(K198)+N(K202)+N(K204)+N(K205)+N(K212)+N(K213)+N(K214)),""),"")</f>
        <v>1.73524896461979</v>
      </c>
      <c r="L342" s="262">
        <f>IFERROR(IF((N(L198)+N(L202)+N(L204)+N(L205)+N(L212)+N(L213)+N(L214))&lt;&gt;0,N(L144)/(N(L198)+N(L202)+N(L204)+N(L205)+N(L212)+N(L213)+N(L214)),""),"")</f>
        <v>2.11166147721303</v>
      </c>
      <c r="M342" s="262">
        <f>IFERROR(IF((N(M198)+N(M202)+N(M204)+N(M205)+N(M212)+N(M213)+N(M214))&lt;&gt;0,N(M144)/(N(M198)+N(M202)+N(M204)+N(M205)+N(M212)+N(M213)+N(M214)),""),"")</f>
        <v>2.11166147721303</v>
      </c>
      <c r="N342" s="262">
        <f>IFERROR(IF((N(N198)+N(N202)+N(N204)+N(N205)+N(N212)+N(N213)+N(N214))&lt;&gt;0,N(N144)/(N(N198)+N(N202)+N(N204)+N(N205)+N(N212)+N(N213)+N(N214)),""),"")</f>
        <v>1.70397316721952</v>
      </c>
      <c r="O342" s="262">
        <f>IFERROR(IF((N(O198)+N(O202)+N(O204)+N(O205)+N(O212)+N(O213)+N(O214))&lt;&gt;0,N(O144)/(N(O198)+N(O202)+N(O204)+N(O205)+N(O212)+N(O213)+N(O214)),""),"")</f>
        <v>1.49022166909824</v>
      </c>
      <c r="P342" s="262">
        <f>IFERROR(IF((N(P198)+N(P202)+N(P204)+N(P205)+N(P212)+N(P213)+N(P214))&lt;&gt;0,N(P144)/(N(P198)+N(P202)+N(P204)+N(P205)+N(P212)+N(P213)+N(P214)),""),"")</f>
        <v>1.40727169497146</v>
      </c>
      <c r="Q342" s="262">
        <f>IFERROR(IF((N(Q198)+N(Q202)+N(Q204)+N(Q205)+N(Q212)+N(Q213)+N(Q214))&lt;&gt;0,N(Q144)/(N(Q198)+N(Q202)+N(Q204)+N(Q205)+N(Q212)+N(Q213)+N(Q214)),""),"")</f>
        <v>1.29312928548403</v>
      </c>
      <c r="R342" s="262">
        <f>IFERROR(IF((N(R198)+N(R202)+N(R204)+N(R205)+N(R212)+N(R213)+N(R214))&lt;&gt;0,N(R144)/(N(R198)+N(R202)+N(R204)+N(R205)+N(R212)+N(R213)+N(R214)),""),"")</f>
        <v>1.29312928548403</v>
      </c>
      <c r="S342" s="262">
        <f>IFERROR(IF((N(S198)+N(S202)+N(S204)+N(S205)+N(S212)+N(S213)+N(S214))&lt;&gt;0,N(S144)/(N(S198)+N(S202)+N(S204)+N(S205)+N(S212)+N(S213)+N(S214)),""),"")</f>
        <v>1.23328366880857</v>
      </c>
      <c r="T342" s="262">
        <f>IFERROR(IF((N(T198)+N(T202)+N(T204)+N(T205)+N(T212)+N(T213)+N(T214))&lt;&gt;0,N(T144)/(N(T198)+N(T202)+N(T204)+N(T205)+N(T212)+N(T213)+N(T214)),""),"")</f>
        <v>1.22953006939559</v>
      </c>
      <c r="U342" s="262">
        <f>IFERROR(IF((N(U198)+N(U202)+N(U204)+N(U205)+N(U212)+N(U213)+N(U214))&lt;&gt;0,N(U144)/(N(U198)+N(U202)+N(U204)+N(U205)+N(U212)+N(U213)+N(U214)),""),"")</f>
        <v>1.42290247869351</v>
      </c>
      <c r="V342" s="262">
        <f>IFERROR(IF((N(V198)+N(V202)+N(V204)+N(V205)+N(V212)+N(V213)+N(V214))&lt;&gt;0,N(V144)/(N(V198)+N(V202)+N(V204)+N(V205)+N(V212)+N(V213)+N(V214)),""),"")</f>
        <v>1.27274096010035</v>
      </c>
      <c r="W342" s="262">
        <f>IFERROR(IF((N(W198)+N(W202)+N(W204)+N(W205)+N(W212)+N(W213)+N(W214))&lt;&gt;0,N(W144)/(N(W198)+N(W202)+N(W204)+N(W205)+N(W212)+N(W213)+N(W214)),""),"")</f>
        <v>1.27274096010035</v>
      </c>
      <c r="X342" s="262">
        <f>IFERROR(IF((N(X198)+N(X202)+N(X204)+N(X205)+N(X212)+N(X213)+N(X214))&lt;&gt;0,N(X144)/(N(X198)+N(X202)+N(X204)+N(X205)+N(X212)+N(X213)+N(X214)),""),"")</f>
        <v>1.18699629985036</v>
      </c>
      <c r="Y342" s="262">
        <f>IFERROR(IF((N(Y198)+N(Y202)+N(Y204)+N(Y205)+N(Y212)+N(Y213)+N(Y214))&lt;&gt;0,N(Y144)/(N(Y198)+N(Y202)+N(Y204)+N(Y205)+N(Y212)+N(Y213)+N(Y214)),""),"")</f>
        <v>1.25044495408004</v>
      </c>
      <c r="Z342" s="262">
        <f>IFERROR(IF((N(Z198)+N(Z202)+N(Z204)+N(Z205)+N(Z212)+N(Z213)+N(Z214))&lt;&gt;0,N(Z144)/(N(Z198)+N(Z202)+N(Z204)+N(Z205)+N(Z212)+N(Z213)+N(Z214)),""),"")</f>
        <v>1.20492366073277</v>
      </c>
      <c r="AA342" s="262">
        <f>IFERROR(IF((N(AA198)+N(AA202)+N(AA204)+N(AA205)+N(AA212)+N(AA213)+N(AA214))&lt;&gt;0,N(AA144)/(N(AA198)+N(AA202)+N(AA204)+N(AA205)+N(AA212)+N(AA213)+N(AA214)),""),"")</f>
        <v>1.07082072027993</v>
      </c>
      <c r="AB342" s="262">
        <f>IFERROR(IF((N(AB198)+N(AB202)+N(AB204)+N(AB205)+N(AB212)+N(AB213)+N(AB214))&lt;&gt;0,N(AB144)/(N(AB198)+N(AB202)+N(AB204)+N(AB205)+N(AB212)+N(AB213)+N(AB214)),""),"")</f>
        <v>1.07082072027993</v>
      </c>
      <c r="AC342" s="262">
        <f>IFERROR(IF((N(AC198)+N(AC202)+N(AC204)+N(AC205)+N(AC212)+N(AC213)+N(AC214))&lt;&gt;0,N(AC144)/(N(AC198)+N(AC202)+N(AC204)+N(AC205)+N(AC212)+N(AC213)+N(AC214)),""),"")</f>
        <v>1.32948404151165</v>
      </c>
      <c r="AD342" s="262">
        <f>IFERROR(IF((N(AD198)+N(AD202)+N(AD204)+N(AD205)+N(AD212)+N(AD213)+N(AD214))&lt;&gt;0,N(AD144)/(N(AD198)+N(AD202)+N(AD204)+N(AD205)+N(AD212)+N(AD213)+N(AD214)),""),"")</f>
        <v>1.18608130589641</v>
      </c>
      <c r="AE342" s="262">
        <f>IFERROR(IF((N(AE198)+N(AE202)+N(AE204)+N(AE205)+N(AE212)+N(AE213)+N(AE214))&lt;&gt;0,N(AE144)/(N(AE198)+N(AE202)+N(AE204)+N(AE205)+N(AE212)+N(AE213)+N(AE214)),""),"")</f>
        <v>1.71606617925229</v>
      </c>
      <c r="AF342" s="262">
        <f>IFERROR(IF((N(AF198)+N(AF202)+N(AF204)+N(AF205)+N(AF212)+N(AF213)+N(AF214))&lt;&gt;0,N(AF144)/(N(AF198)+N(AF202)+N(AF204)+N(AF205)+N(AF212)+N(AF213)+N(AF214)),""),"")</f>
        <v>1.34642356846821</v>
      </c>
      <c r="AG342" s="262">
        <f>IFERROR(IF((N(AG198)+N(AG202)+N(AG204)+N(AG205)+N(AG212)+N(AG213)+N(AG214))&lt;&gt;0,N(AG144)/(N(AG198)+N(AG202)+N(AG204)+N(AG205)+N(AG212)+N(AG213)+N(AG214)),""),"")</f>
        <v>1.34642356846821</v>
      </c>
      <c r="AH342" s="262">
        <f>IFERROR(IF((N(AH198)+N(AH202)+N(AH204)+N(AH205)+N(AH212)+N(AH213)+N(AH214))&lt;&gt;0,N(AH144)/(N(AH198)+N(AH202)+N(AH204)+N(AH205)+N(AH212)+N(AH213)+N(AH214)),""),"")</f>
        <v>1.54557138451736</v>
      </c>
      <c r="AI342" s="262">
        <f>IFERROR(IF((N(AI198)+N(AI202)+N(AI204)+N(AI205)+N(AI212)+N(AI213)+N(AI214))&lt;&gt;0,N(AI144)/(N(AI198)+N(AI202)+N(AI204)+N(AI205)+N(AI212)+N(AI213)+N(AI214)),""),"")</f>
        <v>1.45697737719886</v>
      </c>
      <c r="AJ342" s="262">
        <f>IFERROR(IF((N(AJ198)+N(AJ202)+N(AJ204)+N(AJ205)+N(AJ212)+N(AJ213)+N(AJ214))&lt;&gt;0,N(AJ144)/(N(AJ198)+N(AJ202)+N(AJ204)+N(AJ205)+N(AJ212)+N(AJ213)+N(AJ214)),""),"")</f>
        <v>0.91980198735552</v>
      </c>
      <c r="AK342" s="262">
        <f>IFERROR(IF((N(AK198)+N(AK202)+N(AK204)+N(AK205)+N(AK212)+N(AK213)+N(AK214))&lt;&gt;0,N(AK144)/(N(AK198)+N(AK202)+N(AK204)+N(AK205)+N(AK212)+N(AK213)+N(AK214)),""),"")</f>
        <v>0.776304672639711</v>
      </c>
      <c r="AL342" s="262">
        <f>IFERROR(IF((N(AL198)+N(AL202)+N(AL204)+N(AL205)+N(AL212)+N(AL213)+N(AL214))&lt;&gt;0,N(AL144)/(N(AL198)+N(AL202)+N(AL204)+N(AL205)+N(AL212)+N(AL213)+N(AL214)),""),"")</f>
        <v>0.776304672639711</v>
      </c>
      <c r="AM342" s="262">
        <f>IFERROR(IF((N(AM198)+N(AM202)+N(AM204)+N(AM205)+N(AM212)+N(AM213)+N(AM214))&lt;&gt;0,N(AM144)/(N(AM198)+N(AM202)+N(AM204)+N(AM205)+N(AM212)+N(AM213)+N(AM214)),""),"")</f>
        <v>1.19592329620977</v>
      </c>
      <c r="AN342" s="262">
        <f>IFERROR(IF((N(AN198)+N(AN202)+N(AN204)+N(AN205)+N(AN212)+N(AN213)+N(AN214))&lt;&gt;0,N(AN144)/(N(AN198)+N(AN202)+N(AN204)+N(AN205)+N(AN212)+N(AN213)+N(AN214)),""),"")</f>
        <v>0.882227489128893</v>
      </c>
      <c r="AO342" s="262">
        <f>IFERROR(IF((N(AO198)+N(AO202)+N(AO204)+N(AO205)+N(AO212)+N(AO213)+N(AO214))&lt;&gt;0,N(AO144)/(N(AO198)+N(AO202)+N(AO204)+N(AO205)+N(AO212)+N(AO213)+N(AO214)),""),"")</f>
        <v>0.224309155637362</v>
      </c>
      <c r="AP342" s="262">
        <f>IFERROR(IF((N(AP198)+N(AP202)+N(AP204)+N(AP205)+N(AP212)+N(AP213)+N(AP214))&lt;&gt;0,N(AP144)/(N(AP198)+N(AP202)+N(AP204)+N(AP205)+N(AP212)+N(AP213)+N(AP214)),""),"")</f>
        <v>0.140290688788091</v>
      </c>
      <c r="AQ342" s="262">
        <f>IFERROR(IF((N(AQ198)+N(AQ202)+N(AQ204)+N(AQ205)+N(AQ212)+N(AQ213)+N(AQ214))&lt;&gt;0,N(AQ144)/(N(AQ198)+N(AQ202)+N(AQ204)+N(AQ205)+N(AQ212)+N(AQ213)+N(AQ214)),""),"")</f>
        <v>0.140290688788091</v>
      </c>
      <c r="AR342" s="262">
        <f>IFERROR(IF((N(AR198)+N(AR202)+N(AR204)+N(AR205)+N(AR212)+N(AR213)+N(AR214))&lt;&gt;0,N(AR144)/(N(AR198)+N(AR202)+N(AR204)+N(AR205)+N(AR212)+N(AR213)+N(AR214)),""),"")</f>
        <v>0.685795200761868</v>
      </c>
      <c r="AS342" s="262">
        <f>IFERROR(IF((N(AS198)+N(AS202)+N(AS204)+N(AS205)+N(AS212)+N(AS213)+N(AS214))&lt;&gt;0,N(AS144)/(N(AS198)+N(AS202)+N(AS204)+N(AS205)+N(AS212)+N(AS213)+N(AS214)),""),"")</f>
        <v>0.38756394720559</v>
      </c>
      <c r="AT342" s="262">
        <f>IFERROR(IF((N(AT198)+N(AT202)+N(AT204)+N(AT205)+N(AT212)+N(AT213)+N(AT214))&lt;&gt;0,N(AT144)/(N(AT198)+N(AT202)+N(AT204)+N(AT205)+N(AT212)+N(AT213)+N(AT214)),""),"")</f>
        <v>-0.108966780851351</v>
      </c>
      <c r="AU342" s="262">
        <f>IFERROR(IF((N(AU198)+N(AU202)+N(AU204)+N(AU205)+N(AU212)+N(AU213)+N(AU214))&lt;&gt;0,N(AU144)/(N(AU198)+N(AU202)+N(AU204)+N(AU205)+N(AU212)+N(AU213)+N(AU214)),""),"")</f>
        <v>-0.0882488911030139</v>
      </c>
      <c r="AV342" s="262">
        <f>IFERROR(IF((N(AV198)+N(AV202)+N(AV204)+N(AV205)+N(AV212)+N(AV213)+N(AV214))&lt;&gt;0,N(AV144)/(N(AV198)+N(AV202)+N(AV204)+N(AV205)+N(AV212)+N(AV213)+N(AV214)),""),"")</f>
        <v>-0.0882488911030139</v>
      </c>
      <c r="AW342" s="262">
        <f>IFERROR(IF((N(AW198)+N(AW202)+N(AW204)+N(AW205)+N(AW212)+N(AW213)+N(AW214))&lt;&gt;0,N(AW144)/(N(AW198)+N(AW202)+N(AW204)+N(AW205)+N(AW212)+N(AW213)+N(AW214)),""),"")</f>
        <v>0.384177705332658</v>
      </c>
      <c r="AX342" s="262">
        <f>IFERROR(IF((N(AX198)+N(AX202)+N(AX204)+N(AX205)+N(AX212)+N(AX213)+N(AX214))&lt;&gt;0,N(AX144)/(N(AX198)+N(AX202)+N(AX204)+N(AX205)+N(AX212)+N(AX213)+N(AX214)),""),"")</f>
        <v>0.277688679345113</v>
      </c>
      <c r="AY342" s="262">
        <f>IFERROR(IF((N(AY198)+N(AY202)+N(AY204)+N(AY205)+N(AY212)+N(AY213)+N(AY214))&lt;&gt;0,N(AY144)/(N(AY198)+N(AY202)+N(AY204)+N(AY205)+N(AY212)+N(AY213)+N(AY214)),""),"")</f>
        <v>-0.00279923673696776</v>
      </c>
      <c r="AZ342" s="262">
        <f>IFERROR(IF((N(AZ198)+N(AZ202)+N(AZ204)+N(AZ205)+N(AZ212)+N(AZ213)+N(AZ214))&lt;&gt;0,N(AZ144)/(N(AZ198)+N(AZ202)+N(AZ204)+N(AZ205)+N(AZ212)+N(AZ213)+N(AZ214)),""),"")</f>
        <v>0.0840135813316271</v>
      </c>
      <c r="BA342" s="262">
        <f>IFERROR(IF((N(BA198)+N(BA202)+N(BA204)+N(BA205)+N(BA212)+N(BA213)+N(BA214))&lt;&gt;0,N(BA144)/(N(BA198)+N(BA202)+N(BA204)+N(BA205)+N(BA212)+N(BA213)+N(BA214)),""),"")</f>
        <v>0.0840135813316271</v>
      </c>
      <c r="BB342" s="262">
        <f>IFERROR(IF((N(BB198)+N(BB202)+N(BB204)+N(BB205)+N(BB212)+N(BB213)+N(BB214))&lt;&gt;0,N(BB144)/(N(BB198)+N(BB202)+N(BB204)+N(BB205)+N(BB212)+N(BB213)+N(BB214)),""),"")</f>
        <v>0.458827743624569</v>
      </c>
      <c r="BC342" s="262">
        <f>IFERROR(IF((N(BC198)+N(BC202)+N(BC204)+N(BC205)+N(BC212)+N(BC213)+N(BC214))&lt;&gt;0,N(BC144)/(N(BC198)+N(BC202)+N(BC204)+N(BC205)+N(BC212)+N(BC213)+N(BC214)),""),"")</f>
        <v>0.434993577490197</v>
      </c>
      <c r="BD342" s="262">
        <f>IFERROR(IF((N(BD198)+N(BD202)+N(BD204)+N(BD205)+N(BD212)+N(BD213)+N(BD214))&lt;&gt;0,N(BD144)/(N(BD198)+N(BD202)+N(BD204)+N(BD205)+N(BD212)+N(BD213)+N(BD214)),""),"")</f>
        <v>0.305423538450802</v>
      </c>
      <c r="BE342" s="262">
        <f>IFERROR(IF((N(BE198)+N(BE202)+N(BE204)+N(BE205)+N(BE212)+N(BE213)+N(BE214))&lt;&gt;0,N(BE144)/(N(BE198)+N(BE202)+N(BE204)+N(BE205)+N(BE212)+N(BE213)+N(BE214)),""),"")</f>
        <v>0.390937322865798</v>
      </c>
      <c r="BF342" s="262">
        <f>IFERROR(IF((N(BF198)+N(BF202)+N(BF204)+N(BF205)+N(BF212)+N(BF213)+N(BF214))&lt;&gt;0,N(BF144)/(N(BF198)+N(BF202)+N(BF204)+N(BF205)+N(BF212)+N(BF213)+N(BF214)),""),"")</f>
        <v>0.390937322865798</v>
      </c>
      <c r="BG342" s="82" t="n"/>
      <c r="BH342" s="82" t="n"/>
      <c r="BI342" s="82" t="n"/>
      <c r="BJ342" s="82" t="n"/>
      <c r="BL342" s="82" t="n"/>
      <c r="BM342" s="82" t="n"/>
      <c r="BN342" s="82" t="n"/>
      <c r="BO342" s="82" t="n"/>
      <c r="BQ342" s="82" t="n"/>
      <c r="BR342" s="82" t="n"/>
      <c r="BS342" s="82" t="n"/>
      <c r="BT342" s="82" t="n"/>
      <c r="BV342" s="82" t="n"/>
      <c r="BW342" s="82" t="n"/>
      <c r="BX342" s="82" t="n"/>
      <c r="BY342" s="82" t="n"/>
      <c r="CA342" s="82" t="n"/>
      <c r="CB342" s="82" t="n"/>
      <c r="CC342" s="82" t="n"/>
      <c r="CD342" s="82" t="n"/>
      <c r="CF342" s="82" t="n"/>
      <c r="CG342" s="82" t="n"/>
      <c r="CH342" s="82" t="n"/>
      <c r="CI342" s="82" t="n"/>
      <c r="CK342" s="82" t="n"/>
      <c r="CL342" s="82" t="n"/>
      <c r="CM342" s="82" t="n"/>
      <c r="CN342" s="82" t="n"/>
      <c r="CP342" s="82" t="n"/>
      <c r="CQ342" s="82" t="n"/>
      <c r="CR342" s="82" t="n"/>
      <c r="CS342" s="82" t="n"/>
      <c r="CU342" s="82" t="n"/>
      <c r="CV342" s="82" t="n"/>
      <c r="CW342" s="82" t="n"/>
      <c r="CX342" s="82" t="n"/>
    </row>
    <row r="343" customFormat="1" s="77">
      <c r="A343" s="76" t="n"/>
      <c r="B343" s="76" t="n"/>
    </row>
    <row r="344" customFormat="1" s="77">
      <c r="A344" s="76" t="n"/>
      <c r="B344" s="76" t="n"/>
      <c r="C344" s="74" t="inlineStr">
        <is>
          <t>OPERATING EFFICIENCY</t>
        </is>
      </c>
    </row>
    <row r="345" customFormat="1" s="84">
      <c r="A345" s="81" t="n"/>
      <c r="B345" s="81" t="n"/>
      <c r="C345" s="84" t="inlineStr">
        <is>
          <t>RETURN ON CAPITAL (ROIC) - LTM</t>
        </is>
      </c>
      <c r="D345" t="str">
        <f>IFERROR(D347/D350,"")</f>
        <v/>
      </c>
      <c r="E345" t="str">
        <f>IFERROR(E347/E350,"")</f>
        <v/>
      </c>
      <c r="F345" t="str">
        <f>IFERROR(F347/F350,"")</f>
        <v/>
      </c>
      <c r="G345" t="str">
        <f>IFERROR(G347/G350,"")</f>
        <v/>
      </c>
      <c r="H345" s="257" t="str">
        <f>IFERROR(IF(AND(COUNT(H347)=1,N(H350)&lt;&gt;0),(H347)/H350,""),"")</f>
        <v/>
      </c>
      <c r="I345" s="257" t="str">
        <f>""</f>
        <v/>
      </c>
      <c r="J345" s="257" t="str">
        <f>""</f>
        <v/>
      </c>
      <c r="K345" s="257" t="str">
        <f>""</f>
        <v/>
      </c>
      <c r="L345" s="257">
        <f>IFERROR(IF(AND(COUNT(I347,J347,K347,L347)=4,N(L350)&lt;&gt;0),(I347+J347+K347+L347)/L350,""),"")</f>
        <v>0.151676262929584</v>
      </c>
      <c r="M345" s="257">
        <f>IFERROR(IF(AND(COUNT(I347,J347,K347,L347)=4,N(M350)&lt;&gt;0),(I347+J347+K347+L347)/M350,""),"")</f>
        <v>0.151676262929584</v>
      </c>
      <c r="N345" s="257">
        <f>IFERROR(IF(AND(COUNT(J347,K347,L347,N347)=4,N(N350)&lt;&gt;0),(J347+K347+L347+N347)/N350,""),"")</f>
        <v>0.153084706386464</v>
      </c>
      <c r="O345" s="257">
        <f>IFERROR(IF(AND(COUNT(K347,L347,N347,O347)=4,N(O350)&lt;&gt;0),(K347+L347+N347+O347)/O350,""),"")</f>
        <v>0.146592134998801</v>
      </c>
      <c r="P345" s="257">
        <f>IFERROR(IF(AND(COUNT(L347,N347,O347,P347)=4,N(P350)&lt;&gt;0),(L347+N347+O347+P347)/P350,""),"")</f>
        <v>0.139974174217144</v>
      </c>
      <c r="Q345" s="257">
        <f>IFERROR(IF(AND(COUNT(N347,O347,P347,Q347)=4,N(Q350)&lt;&gt;0),(N347+O347+P347+Q347)/Q350,""),"")</f>
        <v>0.188406057288027</v>
      </c>
      <c r="R345" s="257">
        <f>IFERROR(IF(AND(COUNT(N347,O347,P347,Q347)=4,N(R350)&lt;&gt;0),(N347+O347+P347+Q347)/R350,""),"")</f>
        <v>0.188406057288027</v>
      </c>
      <c r="S345" s="257">
        <f>IFERROR(IF(AND(COUNT(O347,P347,Q347,S347)=4,N(S350)&lt;&gt;0),(O347+P347+Q347+S347)/S350,""),"")</f>
        <v>0.182109070016175</v>
      </c>
      <c r="T345" s="257">
        <f>IFERROR(IF(AND(COUNT(P347,Q347,S347,T347)=4,N(T350)&lt;&gt;0),(P347+Q347+S347+T347)/T350,""),"")</f>
        <v>0.198445174536547</v>
      </c>
      <c r="U345" s="257">
        <f>IFERROR(IF(AND(COUNT(Q347,S347,T347,U347)=4,N(U350)&lt;&gt;0),(Q347+S347+T347+U347)/U350,""),"")</f>
        <v>0.195133195227488</v>
      </c>
      <c r="V345" s="257">
        <f>IFERROR(IF(AND(COUNT(S347,T347,U347,V347)=4,N(V350)&lt;&gt;0),(S347+T347+U347+V347)/V350,""),"")</f>
        <v>0.163484550736911</v>
      </c>
      <c r="W345" s="257">
        <f>IFERROR(IF(AND(COUNT(S347,T347,U347,V347)=4,N(W350)&lt;&gt;0),(S347+T347+U347+V347)/W350,""),"")</f>
        <v>0.163484550736911</v>
      </c>
      <c r="X345" s="257">
        <f>IFERROR(IF(AND(COUNT(T347,U347,V347,X347)=4,N(X350)&lt;&gt;0),(T347+U347+V347+X347)/X350,""),"")</f>
        <v>0.15470959841166</v>
      </c>
      <c r="Y345" s="257">
        <f>IFERROR(IF(AND(COUNT(U347,V347,X347,Y347)=4,N(Y350)&lt;&gt;0),(U347+V347+X347+Y347)/Y350,""),"")</f>
        <v>0.179363763720546</v>
      </c>
      <c r="Z345" s="257">
        <f>IFERROR(IF(AND(COUNT(V347,X347,Y347,Z347)=4,N(Z350)&lt;&gt;0),(V347+X347+Y347+Z347)/Z350,""),"")</f>
        <v>0.20995083908147</v>
      </c>
      <c r="AA345" s="257">
        <f>IFERROR(IF(AND(COUNT(X347,Y347,Z347,AA347)=4,N(AA350)&lt;&gt;0),(X347+Y347+Z347+AA347)/AA350,""),"")</f>
        <v>0.29922478786044</v>
      </c>
      <c r="AB345" s="257">
        <f>IFERROR(IF(AND(COUNT(X347,Y347,Z347,AA347)=4,N(AB350)&lt;&gt;0),(X347+Y347+Z347+AA347)/AB350,""),"")</f>
        <v>0.29922478786044</v>
      </c>
      <c r="AC345" s="257">
        <f>IFERROR(IF(AND(COUNT(Y347,Z347,AA347,AC347)=4,N(AC350)&lt;&gt;0),(Y347+Z347+AA347+AC347)/AC350,""),"")</f>
        <v>0.254631725471132</v>
      </c>
      <c r="AD345" s="257">
        <f>IFERROR(IF(AND(COUNT(Z347,AA347,AC347,AD347)=4,N(AD350)&lt;&gt;0),(Z347+AA347+AC347+AD347)/AD350,""),"")</f>
        <v>0.298196886102849</v>
      </c>
      <c r="AE345" s="257">
        <f>IFERROR(IF(AND(COUNT(AA347,AC347,AD347,AE347)=4,N(AE350)&lt;&gt;0),(AA347+AC347+AD347+AE347)/AE350,""),"")</f>
        <v>0.276892356826046</v>
      </c>
      <c r="AF345" s="257">
        <f>IFERROR(IF(AND(COUNT(AB347,AD347,AE347,AF347)=4,N(AF350)&lt;&gt;0),(AB347+AD347+AE347+AF347)/AF350,""),"")</f>
        <v>0.451525607089602</v>
      </c>
      <c r="AG345" s="257">
        <f>IFERROR(IF(AND(COUNT(AC347,AD347,AE347,AF347)=4,N(AG350)&lt;&gt;0),(AC347+AD347+AE347+AF347)/AG350,""),"")</f>
        <v>0.29681100265938</v>
      </c>
      <c r="AH345" s="257">
        <f>IFERROR(IF(AND(COUNT(AD347,AF347,AG347,AH347)=4,N(AH350)&lt;&gt;0),(AD347+AF347+AG347+AH347)/AH350,""),"")</f>
        <v>0.484939292164133</v>
      </c>
      <c r="AI345" s="257">
        <f>IFERROR(IF(AND(COUNT(AE347,AG347,AH347,AI347)=4,N(AI350)&lt;&gt;0),(AE347+AG347+AH347+AI347)/AI350,""),"")</f>
        <v>0.496580136335319</v>
      </c>
      <c r="AJ345" s="257">
        <f>IFERROR(IF(AND(COUNT(AF347,AH347,AI347,AJ347)=4,N(AJ350)&lt;&gt;0),(AF347+AH347+AI347+AJ347)/AJ350,""),"")</f>
        <v>0.234399791442306</v>
      </c>
      <c r="AK345" s="257">
        <f>IFERROR(IF(AND(COUNT(AH347,AI347,AJ347,AK347)=4,N(AK350)&lt;&gt;0),(AH347+AI347+AJ347+AK347)/AK350,""),"")</f>
        <v>0.216025634541962</v>
      </c>
      <c r="AL345" s="257">
        <f>IFERROR(IF(AND(COUNT(AH347,AI347,AJ347,AK347)=4,N(AL350)&lt;&gt;0),(AH347+AI347+AJ347+AK347)/AL350,""),"")</f>
        <v>0.216025634541962</v>
      </c>
      <c r="AM345" s="257">
        <f>IFERROR(IF(AND(COUNT(AI347,AJ347,AK347,AM347)=4,N(AM350)&lt;&gt;0),(AI347+AJ347+AK347+AM347)/AM350,""),"")</f>
        <v>0.244625221161047</v>
      </c>
      <c r="AN345" s="257">
        <f>IFERROR(IF(AND(COUNT(AJ347,AK347,AM347,AN347)=4,N(AN350)&lt;&gt;0),(AJ347+AK347+AM347+AN347)/AN350,""),"")</f>
        <v>0.217292232935875</v>
      </c>
      <c r="AO345" s="257">
        <f>IFERROR(IF(AND(COUNT(AK347,AM347,AN347,AO347)=4,N(AO350)&lt;&gt;0),(AK347+AM347+AN347+AO347)/AO350,""),"")</f>
        <v>0.174602338352855</v>
      </c>
      <c r="AP345" s="257">
        <f>IFERROR(IF(AND(COUNT(AM347,AN347,AO347,AP347)=4,N(AP350)&lt;&gt;0),(AM347+AN347+AO347+AP347)/AP350,""),"")</f>
        <v>0.169597039201441</v>
      </c>
      <c r="AQ345" s="257">
        <f>IFERROR(IF(AND(COUNT(AM347,AN347,AO347,AP347)=4,N(AQ350)&lt;&gt;0),(AM347+AN347+AO347+AP347)/AQ350,""),"")</f>
        <v>0.169597039201441</v>
      </c>
      <c r="AR345" s="257">
        <f>IFERROR(IF(AND(COUNT(AN347,AO347,AP347,AR347)=4,N(AR350)&lt;&gt;0),(AN347+AO347+AP347+AR347)/AR350,""),"")</f>
        <v>0.201614379802518</v>
      </c>
      <c r="AS345" s="257">
        <f>IFERROR(IF(AND(COUNT(AO347,AP347,AR347,AS347)=4,N(AS350)&lt;&gt;0),(AO347+AP347+AR347+AS347)/AS350,""),"")</f>
        <v>0.182505578669244</v>
      </c>
      <c r="AT345" s="257">
        <f>IFERROR(IF(AND(COUNT(AP347,AR347,AS347,AT347)=4,N(AT350)&lt;&gt;0),(AP347+AR347+AS347+AT347)/AT350,""),"")</f>
        <v>0.155181082312625</v>
      </c>
      <c r="AU345" s="257">
        <f>IFERROR(IF(AND(COUNT(AR347,AS347,AT347,AU347)=4,N(AU350)&lt;&gt;0),(AR347+AS347+AT347+AU347)/AU350,""),"")</f>
        <v>0.155182756821412</v>
      </c>
      <c r="AV345" s="257">
        <f>IFERROR(IF(AND(COUNT(AR347,AS347,AT347,AU347)=4,N(AV350)&lt;&gt;0),(AR347+AS347+AT347+AU347)/AV350,""),"")</f>
        <v>0.155182756821412</v>
      </c>
      <c r="AW345" s="257">
        <f>IFERROR(IF(AND(COUNT(AS347,AT347,AU347,AW347)=4,N(AW350)&lt;&gt;0),(AS347+AT347+AU347+AW347)/AW350,""),"")</f>
        <v>0.185034211332647</v>
      </c>
      <c r="AX345" s="257">
        <f>IFERROR(IF(AND(COUNT(AT347,AU347,AW347,AX347)=4,N(AX350)&lt;&gt;0),(AT347+AU347+AW347+AX347)/AX350,""),"")</f>
        <v>0.178297493481633</v>
      </c>
      <c r="AY345" s="257">
        <f>IFERROR(IF(AND(COUNT(AU347,AW347,AX347,AY347)=4,N(AY350)&lt;&gt;0),(AU347+AW347+AX347+AY347)/AY350,""),"")</f>
        <v>0.157465189786907</v>
      </c>
      <c r="AZ345" s="257">
        <f>IFERROR(IF(AND(COUNT(AW347,AX347,AY347,AZ347)=4,N(AZ350)&lt;&gt;0),(AW347+AX347+AY347+AZ347)/AZ350,""),"")</f>
        <v>0.163894156411955</v>
      </c>
      <c r="BA345" s="257">
        <f>IFERROR(IF(AND(COUNT(AW347,AX347,AY347,AZ347)=4,N(BA350)&lt;&gt;0),(AW347+AX347+AY347+AZ347)/BA350,""),"")</f>
        <v>0.163894156411955</v>
      </c>
      <c r="BB345" s="257">
        <f>IFERROR(IF(AND(COUNT(AX347,AY347,AZ347,BB347)=4,N(BB350)&lt;&gt;0),(AX347+AY347+AZ347+BB347)/BB350,""),"")</f>
        <v>0.211081050505482</v>
      </c>
      <c r="BC345" s="257">
        <f>IFERROR(IF(AND(COUNT(AY347,AZ347,BB347,BC347)=4,N(BC350)&lt;&gt;0),(AY347+AZ347+BB347+BC347)/BC350,""),"")</f>
        <v>0.216658578825749</v>
      </c>
      <c r="BD345" s="257">
        <f>IFERROR(IF(AND(COUNT(AZ347,BB347,BC347,BD347)=4,N(BD350)&lt;&gt;0),(AZ347+BB347+BC347+BD347)/BD350,""),"")</f>
        <v>0.200546476110927</v>
      </c>
      <c r="BE345" s="257">
        <f>IFERROR(IF(AND(COUNT(BB347,BC347,BD347,BE347)=4,N(BE350)&lt;&gt;0),(BB347+BC347+BD347+BE347)/BE350,""),"")</f>
        <v>0.232121283666531</v>
      </c>
      <c r="BF345" s="257">
        <f>IFERROR(IF(AND(COUNT(BB347,BC347,BD347,BE347)=4,N(BF350)&lt;&gt;0),(BB347+BC347+BD347+BE347)/BF350,""),"")</f>
        <v>0.232121283666531</v>
      </c>
      <c r="BG345" s="81" t="n"/>
      <c r="BH345" s="81" t="n"/>
      <c r="BI345" s="81" t="n"/>
      <c r="BJ345" s="81" t="n"/>
      <c r="BL345" s="81" t="n"/>
      <c r="BM345" s="81" t="n"/>
      <c r="BN345" s="81" t="n"/>
      <c r="BO345" s="81" t="n"/>
      <c r="BQ345" s="81" t="n"/>
      <c r="BR345" s="81" t="n"/>
      <c r="BS345" s="81" t="n"/>
      <c r="BT345" s="81" t="n"/>
      <c r="BV345" s="81" t="n"/>
      <c r="BW345" s="81" t="n"/>
      <c r="BX345" s="81" t="n"/>
      <c r="BY345" s="81" t="n"/>
      <c r="CA345" s="81" t="n"/>
      <c r="CB345" s="81" t="n"/>
      <c r="CC345" s="81" t="n"/>
      <c r="CD345" s="81" t="n"/>
      <c r="CF345" s="81" t="n"/>
      <c r="CG345" s="81" t="n"/>
      <c r="CH345" s="81" t="n"/>
      <c r="CI345" s="81" t="n"/>
      <c r="CK345" s="81" t="n"/>
      <c r="CL345" s="81" t="n"/>
      <c r="CM345" s="81" t="n"/>
      <c r="CN345" s="81" t="n"/>
      <c r="CP345" s="81" t="n"/>
      <c r="CQ345" s="81" t="n"/>
      <c r="CR345" s="81" t="n"/>
      <c r="CS345" s="81" t="n"/>
      <c r="CU345" s="81" t="n"/>
      <c r="CV345" s="81" t="n"/>
      <c r="CW345" s="81" t="n"/>
      <c r="CX345" s="81" t="n"/>
    </row>
    <row r="346" customFormat="1" s="84">
      <c r="A346" s="81" t="n"/>
      <c r="B346" s="81" t="n"/>
      <c r="C346" s="84" t="inlineStr">
        <is>
          <t>RETURN ON CAPITAL (ROIC) - EX GOODWILL - LTM</t>
        </is>
      </c>
      <c r="D346" t="str">
        <f>IFERROR(D347/D351,"")</f>
        <v/>
      </c>
      <c r="E346" t="str">
        <f>IFERROR(E347/E351,"")</f>
        <v/>
      </c>
      <c r="F346" t="str">
        <f>IFERROR(F347/F351,"")</f>
        <v/>
      </c>
      <c r="G346" t="str">
        <f>IFERROR(G347/G351,"")</f>
        <v/>
      </c>
      <c r="H346" s="257" t="str">
        <f>IFERROR(IF(AND(COUNT(H347)=1,N(H351)&lt;&gt;0),(H347)/H351,""),"")</f>
        <v/>
      </c>
      <c r="I346" s="257" t="str">
        <f>""</f>
        <v/>
      </c>
      <c r="J346" s="257" t="str">
        <f>""</f>
        <v/>
      </c>
      <c r="K346" s="257" t="str">
        <f>""</f>
        <v/>
      </c>
      <c r="L346" s="257">
        <f>IFERROR(IF(AND(COUNT(I347,J347,K347,L347)=4,N(L351)&lt;&gt;0),(I347+J347+K347+L347)/L351,""),"")</f>
        <v>0.151676262929584</v>
      </c>
      <c r="M346" s="257">
        <f>IFERROR(IF(AND(COUNT(I347,J347,K347,L347)=4,N(M351)&lt;&gt;0),(I347+J347+K347+L347)/M351,""),"")</f>
        <v>0.151676262929584</v>
      </c>
      <c r="N346" s="257">
        <f>IFERROR(IF(AND(COUNT(J347,K347,L347,N347)=4,N(N351)&lt;&gt;0),(J347+K347+L347+N347)/N351,""),"")</f>
        <v>0.153084706386464</v>
      </c>
      <c r="O346" s="257">
        <f>IFERROR(IF(AND(COUNT(K347,L347,N347,O347)=4,N(O351)&lt;&gt;0),(K347+L347+N347+O347)/O351,""),"")</f>
        <v>0.146592134998801</v>
      </c>
      <c r="P346" s="257">
        <f>IFERROR(IF(AND(COUNT(L347,N347,O347,P347)=4,N(P351)&lt;&gt;0),(L347+N347+O347+P347)/P351,""),"")</f>
        <v>0.139974174217144</v>
      </c>
      <c r="Q346" s="257">
        <f>IFERROR(IF(AND(COUNT(N347,O347,P347,Q347)=4,N(Q351)&lt;&gt;0),(N347+O347+P347+Q347)/Q351,""),"")</f>
        <v>0.188406057288027</v>
      </c>
      <c r="R346" s="257">
        <f>IFERROR(IF(AND(COUNT(N347,O347,P347,Q347)=4,N(R351)&lt;&gt;0),(N347+O347+P347+Q347)/R351,""),"")</f>
        <v>0.188406057288027</v>
      </c>
      <c r="S346" s="257">
        <f>IFERROR(IF(AND(COUNT(O347,P347,Q347,S347)=4,N(S351)&lt;&gt;0),(O347+P347+Q347+S347)/S351,""),"")</f>
        <v>0.182109070016175</v>
      </c>
      <c r="T346" s="257">
        <f>IFERROR(IF(AND(COUNT(P347,Q347,S347,T347)=4,N(T351)&lt;&gt;0),(P347+Q347+S347+T347)/T351,""),"")</f>
        <v>0.198445174536547</v>
      </c>
      <c r="U346" s="257">
        <f>IFERROR(IF(AND(COUNT(Q347,S347,T347,U347)=4,N(U351)&lt;&gt;0),(Q347+S347+T347+U347)/U351,""),"")</f>
        <v>0.195133195227488</v>
      </c>
      <c r="V346" s="257">
        <f>IFERROR(IF(AND(COUNT(S347,T347,U347,V347)=4,N(V351)&lt;&gt;0),(S347+T347+U347+V347)/V351,""),"")</f>
        <v>0.163484550736911</v>
      </c>
      <c r="W346" s="257">
        <f>IFERROR(IF(AND(COUNT(S347,T347,U347,V347)=4,N(W351)&lt;&gt;0),(S347+T347+U347+V347)/W351,""),"")</f>
        <v>0.163484550736911</v>
      </c>
      <c r="X346" s="257">
        <f>IFERROR(IF(AND(COUNT(T347,U347,V347,X347)=4,N(X351)&lt;&gt;0),(T347+U347+V347+X347)/X351,""),"")</f>
        <v>0.15470959841166</v>
      </c>
      <c r="Y346" s="257">
        <f>IFERROR(IF(AND(COUNT(U347,V347,X347,Y347)=4,N(Y351)&lt;&gt;0),(U347+V347+X347+Y347)/Y351,""),"")</f>
        <v>0.179363763720546</v>
      </c>
      <c r="Z346" s="257">
        <f>IFERROR(IF(AND(COUNT(V347,X347,Y347,Z347)=4,N(Z351)&lt;&gt;0),(V347+X347+Y347+Z347)/Z351,""),"")</f>
        <v>0.20995083908147</v>
      </c>
      <c r="AA346" s="257">
        <f>IFERROR(IF(AND(COUNT(X347,Y347,Z347,AA347)=4,N(AA351)&lt;&gt;0),(X347+Y347+Z347+AA347)/AA351,""),"")</f>
        <v>0.29922478786044</v>
      </c>
      <c r="AB346" s="257">
        <f>IFERROR(IF(AND(COUNT(X347,Y347,Z347,AA347)=4,N(AB351)&lt;&gt;0),(X347+Y347+Z347+AA347)/AB351,""),"")</f>
        <v>0.29922478786044</v>
      </c>
      <c r="AC346" s="257">
        <f>IFERROR(IF(AND(COUNT(Y347,Z347,AA347,AC347)=4,N(AC351)&lt;&gt;0),(Y347+Z347+AA347+AC347)/AC351,""),"")</f>
        <v>0.254631725471132</v>
      </c>
      <c r="AD346" s="257">
        <f>IFERROR(IF(AND(COUNT(Z347,AA347,AC347,AD347)=4,N(AD351)&lt;&gt;0),(Z347+AA347+AC347+AD347)/AD351,""),"")</f>
        <v>0.298196886102849</v>
      </c>
      <c r="AE346" s="257">
        <f>IFERROR(IF(AND(COUNT(AA347,AC347,AD347,AE347)=4,N(AE351)&lt;&gt;0),(AA347+AC347+AD347+AE347)/AE351,""),"")</f>
        <v>0.276892356826046</v>
      </c>
      <c r="AF346" s="257">
        <f>IFERROR(IF(AND(COUNT(AB347,AD347,AE347,AF347)=4,N(AF351)&lt;&gt;0),(AB347+AD347+AE347+AF347)/AF351,""),"")</f>
        <v>0.451525607089602</v>
      </c>
      <c r="AG346" s="257">
        <f>IFERROR(IF(AND(COUNT(AC347,AD347,AE347,AF347)=4,N(AG351)&lt;&gt;0),(AC347+AD347+AE347+AF347)/AG351,""),"")</f>
        <v>0.29681100265938</v>
      </c>
      <c r="AH346" s="257">
        <f>IFERROR(IF(AND(COUNT(AD347,AF347,AG347,AH347)=4,N(AH351)&lt;&gt;0),(AD347+AF347+AG347+AH347)/AH351,""),"")</f>
        <v>0.484939292164133</v>
      </c>
      <c r="AI346" s="257">
        <f>IFERROR(IF(AND(COUNT(AE347,AG347,AH347,AI347)=4,N(AI351)&lt;&gt;0),(AE347+AG347+AH347+AI347)/AI351,""),"")</f>
        <v>0.496580136335319</v>
      </c>
      <c r="AJ346" s="257">
        <f>IFERROR(IF(AND(COUNT(AF347,AH347,AI347,AJ347)=4,N(AJ351)&lt;&gt;0),(AF347+AH347+AI347+AJ347)/AJ351,""),"")</f>
        <v>0.234399791442306</v>
      </c>
      <c r="AK346" s="257">
        <f>IFERROR(IF(AND(COUNT(AH347,AI347,AJ347,AK347)=4,N(AK351)&lt;&gt;0),(AH347+AI347+AJ347+AK347)/AK351,""),"")</f>
        <v>0.216025634541962</v>
      </c>
      <c r="AL346" s="257">
        <f>IFERROR(IF(AND(COUNT(AH347,AI347,AJ347,AK347)=4,N(AL351)&lt;&gt;0),(AH347+AI347+AJ347+AK347)/AL351,""),"")</f>
        <v>0.216025634541962</v>
      </c>
      <c r="AM346" s="257">
        <f>IFERROR(IF(AND(COUNT(AI347,AJ347,AK347,AM347)=4,N(AM351)&lt;&gt;0),(AI347+AJ347+AK347+AM347)/AM351,""),"")</f>
        <v>0.244625221161047</v>
      </c>
      <c r="AN346" s="257">
        <f>IFERROR(IF(AND(COUNT(AJ347,AK347,AM347,AN347)=4,N(AN351)&lt;&gt;0),(AJ347+AK347+AM347+AN347)/AN351,""),"")</f>
        <v>0.217292232935875</v>
      </c>
      <c r="AO346" s="257">
        <f>IFERROR(IF(AND(COUNT(AK347,AM347,AN347,AO347)=4,N(AO351)&lt;&gt;0),(AK347+AM347+AN347+AO347)/AO351,""),"")</f>
        <v>0.174602338352855</v>
      </c>
      <c r="AP346" s="257">
        <f>IFERROR(IF(AND(COUNT(AM347,AN347,AO347,AP347)=4,N(AP351)&lt;&gt;0),(AM347+AN347+AO347+AP347)/AP351,""),"")</f>
        <v>0.169597039201441</v>
      </c>
      <c r="AQ346" s="257">
        <f>IFERROR(IF(AND(COUNT(AM347,AN347,AO347,AP347)=4,N(AQ351)&lt;&gt;0),(AM347+AN347+AO347+AP347)/AQ351,""),"")</f>
        <v>0.169597039201441</v>
      </c>
      <c r="AR346" s="257">
        <f>IFERROR(IF(AND(COUNT(AN347,AO347,AP347,AR347)=4,N(AR351)&lt;&gt;0),(AN347+AO347+AP347+AR347)/AR351,""),"")</f>
        <v>0.201614379802518</v>
      </c>
      <c r="AS346" s="257">
        <f>IFERROR(IF(AND(COUNT(AO347,AP347,AR347,AS347)=4,N(AS351)&lt;&gt;0),(AO347+AP347+AR347+AS347)/AS351,""),"")</f>
        <v>0.182505578669244</v>
      </c>
      <c r="AT346" s="257">
        <f>IFERROR(IF(AND(COUNT(AP347,AR347,AS347,AT347)=4,N(AT351)&lt;&gt;0),(AP347+AR347+AS347+AT347)/AT351,""),"")</f>
        <v>0.155181082312625</v>
      </c>
      <c r="AU346" s="257">
        <f>IFERROR(IF(AND(COUNT(AR347,AS347,AT347,AU347)=4,N(AU351)&lt;&gt;0),(AR347+AS347+AT347+AU347)/AU351,""),"")</f>
        <v>0.155182756821412</v>
      </c>
      <c r="AV346" s="257">
        <f>IFERROR(IF(AND(COUNT(AR347,AS347,AT347,AU347)=4,N(AV351)&lt;&gt;0),(AR347+AS347+AT347+AU347)/AV351,""),"")</f>
        <v>0.155182756821412</v>
      </c>
      <c r="AW346" s="257">
        <f>IFERROR(IF(AND(COUNT(AS347,AT347,AU347,AW347)=4,N(AW351)&lt;&gt;0),(AS347+AT347+AU347+AW347)/AW351,""),"")</f>
        <v>0.185034211332647</v>
      </c>
      <c r="AX346" s="257">
        <f>IFERROR(IF(AND(COUNT(AT347,AU347,AW347,AX347)=4,N(AX351)&lt;&gt;0),(AT347+AU347+AW347+AX347)/AX351,""),"")</f>
        <v>0.178297493481633</v>
      </c>
      <c r="AY346" s="257">
        <f>IFERROR(IF(AND(COUNT(AU347,AW347,AX347,AY347)=4,N(AY351)&lt;&gt;0),(AU347+AW347+AX347+AY347)/AY351,""),"")</f>
        <v>0.157465189786907</v>
      </c>
      <c r="AZ346" s="257">
        <f>IFERROR(IF(AND(COUNT(AW347,AX347,AY347,AZ347)=4,N(AZ351)&lt;&gt;0),(AW347+AX347+AY347+AZ347)/AZ351,""),"")</f>
        <v>0.163894156411955</v>
      </c>
      <c r="BA346" s="257">
        <f>IFERROR(IF(AND(COUNT(AW347,AX347,AY347,AZ347)=4,N(BA351)&lt;&gt;0),(AW347+AX347+AY347+AZ347)/BA351,""),"")</f>
        <v>0.163894156411955</v>
      </c>
      <c r="BB346" s="257">
        <f>IFERROR(IF(AND(COUNT(AX347,AY347,AZ347,BB347)=4,N(BB351)&lt;&gt;0),(AX347+AY347+AZ347+BB347)/BB351,""),"")</f>
        <v>0.211081050505482</v>
      </c>
      <c r="BC346" s="257">
        <f>IFERROR(IF(AND(COUNT(AY347,AZ347,BB347,BC347)=4,N(BC351)&lt;&gt;0),(AY347+AZ347+BB347+BC347)/BC351,""),"")</f>
        <v>0.216658578825749</v>
      </c>
      <c r="BD346" s="257">
        <f>IFERROR(IF(AND(COUNT(AZ347,BB347,BC347,BD347)=4,N(BD351)&lt;&gt;0),(AZ347+BB347+BC347+BD347)/BD351,""),"")</f>
        <v>0.200546476110927</v>
      </c>
      <c r="BE346" s="257">
        <f>IFERROR(IF(AND(COUNT(BB347,BC347,BD347,BE347)=4,N(BE351)&lt;&gt;0),(BB347+BC347+BD347+BE347)/BE351,""),"")</f>
        <v>0.232121283666531</v>
      </c>
      <c r="BF346" s="257">
        <f>IFERROR(IF(AND(COUNT(BB347,BC347,BD347,BE347)=4,N(BF351)&lt;&gt;0),(BB347+BC347+BD347+BE347)/BF351,""),"")</f>
        <v>0.232121283666531</v>
      </c>
      <c r="BG346" s="81" t="n"/>
      <c r="BH346" s="81" t="n"/>
      <c r="BI346" s="81" t="n"/>
      <c r="BJ346" s="81" t="n"/>
      <c r="BL346" s="81" t="n"/>
      <c r="BM346" s="81" t="n"/>
      <c r="BN346" s="81" t="n"/>
      <c r="BO346" s="81" t="n"/>
      <c r="BQ346" s="81" t="n"/>
      <c r="BR346" s="81" t="n"/>
      <c r="BS346" s="81" t="n"/>
      <c r="BT346" s="81" t="n"/>
      <c r="BV346" s="81" t="n"/>
      <c r="BW346" s="81" t="n"/>
      <c r="BX346" s="81" t="n"/>
      <c r="BY346" s="81" t="n"/>
      <c r="CA346" s="81" t="n"/>
      <c r="CB346" s="81" t="n"/>
      <c r="CC346" s="81" t="n"/>
      <c r="CD346" s="81" t="n"/>
      <c r="CF346" s="81" t="n"/>
      <c r="CG346" s="81" t="n"/>
      <c r="CH346" s="81" t="n"/>
      <c r="CI346" s="81" t="n"/>
      <c r="CK346" s="81" t="n"/>
      <c r="CL346" s="81" t="n"/>
      <c r="CM346" s="81" t="n"/>
      <c r="CN346" s="81" t="n"/>
      <c r="CP346" s="81" t="n"/>
      <c r="CQ346" s="81" t="n"/>
      <c r="CR346" s="81" t="n"/>
      <c r="CS346" s="81" t="n"/>
      <c r="CU346" s="81" t="n"/>
      <c r="CV346" s="81" t="n"/>
      <c r="CW346" s="81" t="n"/>
      <c r="CX346" s="81" t="n"/>
    </row>
    <row r="347" customFormat="1" s="77">
      <c r="A347" s="76" t="n"/>
      <c r="B347" s="76" t="n"/>
      <c r="C347" s="77" t="inlineStr">
        <is>
          <t>NOPLAT</t>
        </is>
      </c>
      <c r="D347">
        <f>IFERROR(D348*(1-D349),"")</f>
        <v>0</v>
      </c>
      <c r="E347">
        <f>IFERROR(E348*(1-E349),"")</f>
        <v>0</v>
      </c>
      <c r="F347">
        <f>IFERROR(F348*(1-F349),"")</f>
        <v>0</v>
      </c>
      <c r="G347">
        <f>IFERROR(G348*(1-G349),"")</f>
        <v>0</v>
      </c>
      <c r="H347" s="263">
        <f>IFERROR(H348*(1-N(H349)),0)</f>
        <v>0</v>
      </c>
      <c r="I347" s="263">
        <f>IFERROR(I348*(1-N(I349)),0)</f>
        <v>49.058818424219</v>
      </c>
      <c r="J347" s="263">
        <f>IFERROR(J348*(1-N(J349)),0)</f>
        <v>62.1298045703656</v>
      </c>
      <c r="K347" s="263">
        <f>IFERROR(K348*(1-N(K349)),0)</f>
        <v>69.5007002341465</v>
      </c>
      <c r="L347" s="263">
        <f>IFERROR(L348*(1-N(L349)),0)</f>
        <v>58.649752623636</v>
      </c>
      <c r="M347" s="263">
        <f>IFERROR(M348*(1-N(M349)),0)</f>
        <v>239.823662677978</v>
      </c>
      <c r="N347" s="263">
        <f>IFERROR(N348*(1-N(N349)),0)</f>
        <v>61.5411759681646</v>
      </c>
      <c r="O347" s="263">
        <f>IFERROR(O348*(1-N(O349)),0)</f>
        <v>54.137414791718</v>
      </c>
      <c r="P347" s="263">
        <f>IFERROR(P348*(1-N(P349)),0)</f>
        <v>68.852988709152</v>
      </c>
      <c r="Q347" s="263">
        <f>IFERROR(Q348*(1-N(Q349)),0)</f>
        <v>107.933780943971</v>
      </c>
      <c r="R347" s="263">
        <f>IFERROR(R348*(1-N(R349)),0)</f>
        <v>295.703920869969</v>
      </c>
      <c r="S347" s="263">
        <f>IFERROR(S348*(1-N(S349)),0)</f>
        <v>81.96249100799</v>
      </c>
      <c r="T347" s="263">
        <f>IFERROR(T348*(1-N(T349)),0)</f>
        <v>103.856761810263</v>
      </c>
      <c r="U347" s="263">
        <f>IFERROR(U348*(1-N(U349)),0)</f>
        <v>76.6421785454936</v>
      </c>
      <c r="V347" s="263">
        <f>IFERROR(V348*(1-N(V349)),0)</f>
        <v>57.672176607969</v>
      </c>
      <c r="W347" s="263">
        <f>IFERROR(W348*(1-N(W349)),0)</f>
        <v>320.895722039831</v>
      </c>
      <c r="X347" s="263">
        <f>IFERROR(X348*(1-N(X349)),0)</f>
        <v>121.197256822151</v>
      </c>
      <c r="Y347" s="263">
        <f>IFERROR(Y348*(1-N(Y349)),0)</f>
        <v>147.298877054235</v>
      </c>
      <c r="Z347" s="263">
        <f>IFERROR(Z348*(1-N(Z349)),0)</f>
        <v>150.608631961036</v>
      </c>
      <c r="AA347" s="263">
        <f>IFERROR(AA348*(1-N(AA349)),0)</f>
        <v>188.145310119221</v>
      </c>
      <c r="AB347" s="263">
        <f>IFERROR(AB348*(1-N(AB349)),0)</f>
        <v>607.239110713536</v>
      </c>
      <c r="AC347" s="263">
        <f>IFERROR(AC348*(1-N(AC349)),0)</f>
        <v>164.671796156709</v>
      </c>
      <c r="AD347" s="263">
        <f>IFERROR(AD348*(1-N(AD349)),0)</f>
        <v>189.35689723573</v>
      </c>
      <c r="AE347" s="263">
        <f>IFERROR(AE348*(1-N(AE349)),0)</f>
        <v>242.047174907631</v>
      </c>
      <c r="AF347" s="263">
        <f>IFERROR(AF348*(1-N(AF349)),0)</f>
        <v>252.963877247194</v>
      </c>
      <c r="AG347" s="263">
        <f>IFERROR(AG348*(1-N(AG349)),0)</f>
        <v>849.029525812044</v>
      </c>
      <c r="AH347" s="263">
        <f>IFERROR(AH348*(1-N(AH349)),0)</f>
        <v>255.174930677885</v>
      </c>
      <c r="AI347" s="263">
        <f>IFERROR(AI348*(1-N(AI349)),0)</f>
        <v>242.424424491028</v>
      </c>
      <c r="AJ347" s="263">
        <f>IFERROR(AJ348*(1-N(AJ349)),0)</f>
        <v>293.535824809776</v>
      </c>
      <c r="AK347" s="263">
        <f>IFERROR(AK348*(1-N(AK349)),0)</f>
        <v>310.780521800214</v>
      </c>
      <c r="AL347" s="263">
        <f>IFERROR(AL348*(1-N(AL349)),0)</f>
        <v>1101.7275446774</v>
      </c>
      <c r="AM347" s="263">
        <f>IFERROR(AM348*(1-N(AM349)),0)</f>
        <v>295.235449164729</v>
      </c>
      <c r="AN347" s="263">
        <f>IFERROR(AN348*(1-N(AN349)),0)</f>
        <v>324.324276616786</v>
      </c>
      <c r="AO347" s="263">
        <f>IFERROR(AO348*(1-N(AO349)),0)</f>
        <v>376.637454225214</v>
      </c>
      <c r="AP347" s="263">
        <f>IFERROR(AP348*(1-N(AP349)),0)</f>
        <v>398.764221128617</v>
      </c>
      <c r="AQ347" s="263">
        <f>IFERROR(AQ348*(1-N(AQ349)),0)</f>
        <v>1394.96140113535</v>
      </c>
      <c r="AR347" s="263">
        <f>IFERROR(AR348*(1-N(AR349)),0)</f>
        <v>377.342074470134</v>
      </c>
      <c r="AS347" s="263">
        <f>IFERROR(AS348*(1-N(AS349)),0)</f>
        <v>414.520667100923</v>
      </c>
      <c r="AT347" s="263">
        <f>IFERROR(AT348*(1-N(AT349)),0)</f>
        <v>481.382431217448</v>
      </c>
      <c r="AU347" s="263">
        <f>IFERROR(AU348*(1-N(AU349)),0)</f>
        <v>509.662775424992</v>
      </c>
      <c r="AV347" s="263">
        <f>IFERROR(AV348*(1-N(AV349)),0)</f>
        <v>1782.9079482135</v>
      </c>
      <c r="AW347" s="263">
        <f>IFERROR(AW348*(1-N(AW349)),0)</f>
        <v>480.396299910667</v>
      </c>
      <c r="AX347" s="263">
        <f>IFERROR(AX348*(1-N(AX349)),0)</f>
        <v>527.728573579848</v>
      </c>
      <c r="AY347" s="263">
        <f>IFERROR(AY348*(1-N(AY349)),0)</f>
        <v>612.850658447224</v>
      </c>
      <c r="AZ347" s="263">
        <f>IFERROR(AZ348*(1-N(AZ349)),0)</f>
        <v>648.854522412252</v>
      </c>
      <c r="BA347" s="263">
        <f>IFERROR(BA348*(1-N(BA349)),0)</f>
        <v>2269.83005434999</v>
      </c>
      <c r="BB347" s="263">
        <f>IFERROR(BB348*(1-N(BB349)),0)</f>
        <v>609.193227680137</v>
      </c>
      <c r="BC347" s="263">
        <f>IFERROR(BC348*(1-N(BC349)),0)</f>
        <v>669.215547950567</v>
      </c>
      <c r="BD347" s="263">
        <f>IFERROR(BD348*(1-N(BD349)),0)</f>
        <v>777.159338601874</v>
      </c>
      <c r="BE347" s="263">
        <f>IFERROR(BE348*(1-N(BE349)),0)</f>
        <v>822.816039333937</v>
      </c>
      <c r="BF347" s="263">
        <f>IFERROR(BF348*(1-N(BF349)),0)</f>
        <v>2878.38415356651</v>
      </c>
      <c r="BG347" s="85" t="n"/>
      <c r="BH347" s="76" t="n"/>
      <c r="BI347" s="76" t="n"/>
      <c r="BJ347" s="76" t="n"/>
      <c r="BL347" s="85" t="n"/>
      <c r="BM347" s="76" t="n"/>
      <c r="BN347" s="76" t="n"/>
      <c r="BO347" s="76" t="n"/>
      <c r="BQ347" s="85" t="n"/>
      <c r="BR347" s="76" t="n"/>
      <c r="BS347" s="76" t="n"/>
      <c r="BT347" s="76" t="n"/>
      <c r="BV347" s="85" t="n"/>
      <c r="BW347" s="76" t="n"/>
      <c r="BX347" s="76" t="n"/>
      <c r="BY347" s="76" t="n"/>
      <c r="CA347" s="85" t="n"/>
      <c r="CB347" s="76" t="n"/>
      <c r="CC347" s="76" t="n"/>
      <c r="CD347" s="76" t="n"/>
      <c r="CF347" s="85" t="n"/>
      <c r="CG347" s="76" t="n"/>
      <c r="CH347" s="76" t="n"/>
      <c r="CI347" s="76" t="n"/>
      <c r="CK347" s="85" t="n"/>
      <c r="CL347" s="76" t="n"/>
      <c r="CM347" s="76" t="n"/>
      <c r="CN347" s="76" t="n"/>
      <c r="CP347" s="85" t="n"/>
      <c r="CQ347" s="76" t="n"/>
      <c r="CR347" s="76" t="n"/>
      <c r="CS347" s="76" t="n"/>
      <c r="CU347" s="85" t="n"/>
      <c r="CV347" s="76" t="n"/>
      <c r="CW347" s="76" t="n"/>
      <c r="CX347" s="76" t="n"/>
    </row>
    <row r="348" customFormat="1" s="77">
      <c r="A348" s="76" t="n"/>
      <c r="B348" s="76" t="n"/>
      <c r="C348" s="77" t="inlineStr">
        <is>
          <t>EBIT</t>
        </is>
      </c>
      <c r="D348" s="86">
        <f>IFERROR(D130,"")</f>
        <v>0</v>
      </c>
      <c r="E348" s="86">
        <f>IFERROR(E130,"")</f>
        <v>0</v>
      </c>
      <c r="F348" s="86">
        <f>IFERROR(F130,"")</f>
        <v>0</v>
      </c>
      <c r="G348" s="86">
        <f>IFERROR(G130,"")</f>
        <v>0</v>
      </c>
      <c r="H348" s="263">
        <f>IFERROR(H73,0)</f>
        <v>0</v>
      </c>
      <c r="I348" s="263">
        <f>IFERROR(I73,0)</f>
        <v>60.859090821</v>
      </c>
      <c r="J348" s="263">
        <f>IFERROR(J73,0)</f>
        <v>73.784062476</v>
      </c>
      <c r="K348" s="263">
        <f>IFERROR(K73,0)</f>
        <v>80.3504408250001</v>
      </c>
      <c r="L348" s="263">
        <f>IFERROR(L73,0)</f>
        <v>73.288602229</v>
      </c>
      <c r="M348" s="263">
        <f>IFERROR(M73,0)</f>
        <v>288.282196351</v>
      </c>
      <c r="N348" s="263">
        <f>IFERROR(N73,0)</f>
        <v>76.008</v>
      </c>
      <c r="O348" s="263">
        <f>IFERROR(O73,0)</f>
        <v>75.402</v>
      </c>
      <c r="P348" s="263">
        <f>IFERROR(P73,0)</f>
        <v>80.787</v>
      </c>
      <c r="Q348" s="263">
        <f>IFERROR(Q73,0)</f>
        <v>121.46</v>
      </c>
      <c r="R348" s="263">
        <f>IFERROR(R73,0)</f>
        <v>353.657</v>
      </c>
      <c r="S348" s="263">
        <f>IFERROR(S73,0)</f>
        <v>96.144</v>
      </c>
      <c r="T348" s="263">
        <f>IFERROR(T73,0)</f>
        <v>117.555</v>
      </c>
      <c r="U348" s="263">
        <f>IFERROR(U73,0)</f>
        <v>89.48176803</v>
      </c>
      <c r="V348" s="263">
        <f>IFERROR(V73,0)</f>
        <v>65.854</v>
      </c>
      <c r="W348" s="263">
        <f>IFERROR(W73,0)</f>
        <v>369.03476803</v>
      </c>
      <c r="X348" s="263">
        <f>IFERROR(X73,0)</f>
        <v>131.76008472</v>
      </c>
      <c r="Y348" s="263">
        <f>IFERROR(Y73,0)</f>
        <v>161.884</v>
      </c>
      <c r="Z348" s="263">
        <f>IFERROR(Z73,0)</f>
        <v>168.517</v>
      </c>
      <c r="AA348" s="263">
        <f>IFERROR(AA73,0)</f>
        <v>206.291</v>
      </c>
      <c r="AB348" s="263">
        <f>IFERROR(AB73,0)</f>
        <v>668.45208472</v>
      </c>
      <c r="AC348" s="263">
        <f>IFERROR(AC73,0)</f>
        <v>184.082</v>
      </c>
      <c r="AD348" s="263">
        <f>IFERROR(AD73,0)</f>
        <v>210.101</v>
      </c>
      <c r="AE348" s="263">
        <f>IFERROR(AE73,0)</f>
        <v>266.905</v>
      </c>
      <c r="AF348" s="263">
        <f>IFERROR(AF73,0)</f>
        <v>279.415</v>
      </c>
      <c r="AG348" s="263">
        <f>IFERROR(AG73,0)</f>
        <v>940.503</v>
      </c>
      <c r="AH348" s="263">
        <f>IFERROR(AH73,0)</f>
        <v>279.702</v>
      </c>
      <c r="AI348" s="263">
        <f>IFERROR(AI73,0)</f>
        <v>270.2</v>
      </c>
      <c r="AJ348" s="263">
        <f>IFERROR(AJ73,0)</f>
        <v>325.095154795771</v>
      </c>
      <c r="AK348" s="263">
        <f>IFERROR(AK73,0)</f>
        <v>344.19390514812</v>
      </c>
      <c r="AL348" s="263">
        <f>IFERROR(AL73,0)</f>
        <v>1219.19105994389</v>
      </c>
      <c r="AM348" s="263">
        <f>IFERROR(AM73,0)</f>
        <v>326.977513254491</v>
      </c>
      <c r="AN348" s="263">
        <f>IFERROR(AN73,0)</f>
        <v>359.193808725351</v>
      </c>
      <c r="AO348" s="263">
        <f>IFERROR(AO73,0)</f>
        <v>417.131406575601</v>
      </c>
      <c r="AP348" s="263">
        <f>IFERROR(AP73,0)</f>
        <v>441.637119690017</v>
      </c>
      <c r="AQ348" s="263">
        <f>IFERROR(AQ73,0)</f>
        <v>1544.93984824546</v>
      </c>
      <c r="AR348" s="263">
        <f>IFERROR(AR73,0)</f>
        <v>417.91178364795</v>
      </c>
      <c r="AS348" s="263">
        <f>IFERROR(AS73,0)</f>
        <v>459.087610599321</v>
      </c>
      <c r="AT348" s="263">
        <f>IFERROR(AT73,0)</f>
        <v>533.137977601257</v>
      </c>
      <c r="AU348" s="263">
        <f>IFERROR(AU73,0)</f>
        <v>564.458866231417</v>
      </c>
      <c r="AV348" s="263">
        <f>IFERROR(AV73,0)</f>
        <v>1974.59623807995</v>
      </c>
      <c r="AW348" s="263">
        <f>IFERROR(AW73,0)</f>
        <v>532.045822972314</v>
      </c>
      <c r="AX348" s="263">
        <f>IFERROR(AX73,0)</f>
        <v>584.46699795254</v>
      </c>
      <c r="AY348" s="263">
        <f>IFERROR(AY73,0)</f>
        <v>678.740933253049</v>
      </c>
      <c r="AZ348" s="263">
        <f>IFERROR(AZ73,0)</f>
        <v>718.61573128338</v>
      </c>
      <c r="BA348" s="263">
        <f>IFERROR(BA73,0)</f>
        <v>2513.86948546128</v>
      </c>
      <c r="BB348" s="263">
        <f>IFERROR(BB73,0)</f>
        <v>674.690275987784</v>
      </c>
      <c r="BC348" s="263">
        <f>IFERROR(BC73,0)</f>
        <v>741.165860397838</v>
      </c>
      <c r="BD348" s="263">
        <f>IFERROR(BD73,0)</f>
        <v>860.715163634573</v>
      </c>
      <c r="BE348" s="263">
        <f>IFERROR(BE73,0)</f>
        <v>911.280617447827</v>
      </c>
      <c r="BF348" s="263">
        <f>IFERROR(BF73,0)</f>
        <v>3187.85191746802</v>
      </c>
      <c r="BG348" s="63" t="n"/>
      <c r="BH348" s="63" t="n"/>
      <c r="BI348" s="63" t="n"/>
      <c r="BJ348" s="63" t="n"/>
      <c r="BL348" s="63" t="n"/>
      <c r="BM348" s="63" t="n"/>
      <c r="BN348" s="63" t="n"/>
      <c r="BO348" s="63" t="n"/>
      <c r="BQ348" s="63" t="n"/>
      <c r="BR348" s="63" t="n"/>
      <c r="BS348" s="63" t="n"/>
      <c r="BT348" s="63" t="n"/>
      <c r="BV348" s="63" t="n"/>
      <c r="BW348" s="63" t="n"/>
      <c r="BX348" s="63" t="n"/>
      <c r="BY348" s="63" t="n"/>
      <c r="CA348" s="63" t="n"/>
      <c r="CB348" s="63" t="n"/>
      <c r="CC348" s="63" t="n"/>
      <c r="CD348" s="63" t="n"/>
      <c r="CF348" s="63" t="n"/>
      <c r="CG348" s="63" t="n"/>
      <c r="CH348" s="63" t="n"/>
      <c r="CI348" s="63" t="n"/>
      <c r="CK348" s="63" t="n"/>
      <c r="CL348" s="63" t="n"/>
      <c r="CM348" s="63" t="n"/>
      <c r="CN348" s="63" t="n"/>
      <c r="CP348" s="63" t="n"/>
      <c r="CQ348" s="63" t="n"/>
      <c r="CR348" s="63" t="n"/>
      <c r="CS348" s="63" t="n"/>
      <c r="CU348" s="63" t="n"/>
      <c r="CV348" s="63" t="n"/>
      <c r="CW348" s="63" t="n"/>
      <c r="CX348" s="63" t="n"/>
    </row>
    <row r="349" customFormat="1" s="77">
      <c r="A349" s="76" t="n"/>
      <c r="B349" s="76" t="n"/>
      <c r="C349" s="77" t="inlineStr">
        <is>
          <t>ETR (LIMITED TO 0%-100%)</t>
        </is>
      </c>
      <c r="D349" s="87">
        <f>IFERROR(D132,"")</f>
        <v>0</v>
      </c>
      <c r="E349" s="87">
        <f>IFERROR(E132,"")</f>
        <v>0</v>
      </c>
      <c r="F349" s="87">
        <f>IFERROR(F132,"")</f>
        <v>0</v>
      </c>
      <c r="G349" s="87">
        <f>IFERROR(G132,"")</f>
        <v>0</v>
      </c>
      <c r="H349" s="258" t="str">
        <f>IFERROR(IF(N(H130)&lt;&gt;0,MAX(0,MIN(1,-H131/H130)),""),"")</f>
        <v/>
      </c>
      <c r="I349" s="258">
        <f>IFERROR(IF(N(I130)&lt;&gt;0,MAX(0,MIN(1,-I131/I130)),""),"")</f>
        <v>0.193894983273547</v>
      </c>
      <c r="J349" s="258">
        <f>IFERROR(IF(N(J130)&lt;&gt;0,MAX(0,MIN(1,-J131/J130)),""),"")</f>
        <v>0.157950884168586</v>
      </c>
      <c r="K349" s="258">
        <f>IFERROR(IF(N(K130)&lt;&gt;0,MAX(0,MIN(1,-K131/K130)),""),"")</f>
        <v>0.135030255956951</v>
      </c>
      <c r="L349" s="258">
        <f>IFERROR(IF(N(L130)&lt;&gt;0,MAX(0,MIN(1,-L131/L130)),""),"")</f>
        <v>0.19974251329863</v>
      </c>
      <c r="M349" s="258">
        <f>IFERROR(IF(N(M130)&lt;&gt;0,MAX(0,MIN(1,-M131/M130)),""),"")</f>
        <v>0.16809409074302</v>
      </c>
      <c r="N349" s="258">
        <f>IFERROR(IF(N(N130)&lt;&gt;0,MAX(0,MIN(1,-N131/N130)),""),"")</f>
        <v>0.190332912743861</v>
      </c>
      <c r="O349" s="258">
        <f>IFERROR(IF(N(O130)&lt;&gt;0,MAX(0,MIN(1,-O131/O130)),""),"")</f>
        <v>0.282016195966711</v>
      </c>
      <c r="P349" s="258">
        <f>IFERROR(IF(N(P130)&lt;&gt;0,MAX(0,MIN(1,-P131/P130)),""),"")</f>
        <v>0.147721926681866</v>
      </c>
      <c r="Q349" s="258">
        <f>IFERROR(IF(N(Q130)&lt;&gt;0,MAX(0,MIN(1,-Q131/Q130)),""),"")</f>
        <v>0.111363568714219</v>
      </c>
      <c r="R349" s="258">
        <f>IFERROR(IF(N(R130)&lt;&gt;0,MAX(0,MIN(1,-R131/R130)),""),"")</f>
        <v>0.163868039173636</v>
      </c>
      <c r="S349" s="258">
        <f>IFERROR(IF(N(S130)&lt;&gt;0,MAX(0,MIN(1,-S131/S130)),""),"")</f>
        <v>0.147502797803399</v>
      </c>
      <c r="T349" s="258">
        <f>IFERROR(IF(N(T130)&lt;&gt;0,MAX(0,MIN(1,-T131/T130)),""),"")</f>
        <v>0.116526206369252</v>
      </c>
      <c r="U349" s="258">
        <f>IFERROR(IF(N(U130)&lt;&gt;0,MAX(0,MIN(1,-U131/U130)),""),"")</f>
        <v>0.143488330273065</v>
      </c>
      <c r="V349" s="258">
        <f>IFERROR(IF(N(V130)&lt;&gt;0,MAX(0,MIN(1,-V131/V130)),""),"")</f>
        <v>0.124241859143423</v>
      </c>
      <c r="W349" s="258">
        <f>IFERROR(IF(N(W130)&lt;&gt;0,MAX(0,MIN(1,-W131/W130)),""),"")</f>
        <v>0.130445828308121</v>
      </c>
      <c r="X349" s="258">
        <f>IFERROR(IF(N(X130)&lt;&gt;0,MAX(0,MIN(1,-X131/X130)),""),"")</f>
        <v>0.0801671304348006</v>
      </c>
      <c r="Y349" s="258">
        <f>IFERROR(IF(N(Y130)&lt;&gt;0,MAX(0,MIN(1,-Y131/Y130)),""),"")</f>
        <v>0.0900961364048612</v>
      </c>
      <c r="Z349" s="258">
        <f>IFERROR(IF(N(Z130)&lt;&gt;0,MAX(0,MIN(1,-Z131/Z130)),""),"")</f>
        <v>0.106270394316085</v>
      </c>
      <c r="AA349" s="258">
        <f>IFERROR(IF(N(AA130)&lt;&gt;0,MAX(0,MIN(1,-AA131/AA130)),""),"")</f>
        <v>0.087961616749055</v>
      </c>
      <c r="AB349" s="258">
        <f>IFERROR(IF(N(AB130)&lt;&gt;0,MAX(0,MIN(1,-AB131/AB130)),""),"")</f>
        <v>0.0915742136283483</v>
      </c>
      <c r="AC349" s="258">
        <f>IFERROR(IF(N(AC130)&lt;&gt;0,MAX(0,MIN(1,-AC131/AC130)),""),"")</f>
        <v>0.105443247266388</v>
      </c>
      <c r="AD349" s="258">
        <f>IFERROR(IF(N(AD130)&lt;&gt;0,MAX(0,MIN(1,-AD131/AD130)),""),"")</f>
        <v>0.0987339554036886</v>
      </c>
      <c r="AE349" s="258">
        <f>IFERROR(IF(N(AE130)&lt;&gt;0,MAX(0,MIN(1,-AE131/AE130)),""),"")</f>
        <v>0.0931336059360777</v>
      </c>
      <c r="AF349" s="258">
        <f>IFERROR(IF(N(AF130)&lt;&gt;0,MAX(0,MIN(1,-AF131/AF130)),""),"")</f>
        <v>0.0946660800343794</v>
      </c>
      <c r="AG349" s="258">
        <f>IFERROR(IF(N(AG130)&lt;&gt;0,MAX(0,MIN(1,-AG131/AG130)),""),"")</f>
        <v>0.0972601620494102</v>
      </c>
      <c r="AH349" s="258">
        <f>IFERROR(IF(N(AH130)&lt;&gt;0,MAX(0,MIN(1,-AH131/AH130)),""),"")</f>
        <v>0.0876900033682822</v>
      </c>
      <c r="AI349" s="258">
        <f>IFERROR(IF(N(AI130)&lt;&gt;0,MAX(0,MIN(1,-AI131/AI130)),""),"")</f>
        <v>0.102796356435869</v>
      </c>
      <c r="AJ349" s="258">
        <f>IFERROR(IF(N(AJ130)&lt;&gt;0,MAX(0,MIN(1,-AJ131/AJ130)),""),"")</f>
        <v>0.0970772080741141</v>
      </c>
      <c r="AK349" s="258">
        <f>IFERROR(IF(N(AK130)&lt;&gt;0,MAX(0,MIN(1,-AK131/AK130)),""),"")</f>
        <v>0.0970772080741141</v>
      </c>
      <c r="AL349" s="258">
        <f>IFERROR(IF(N(AL130)&lt;&gt;0,MAX(0,MIN(1,-AL131/AL130)),""),"")</f>
        <v>0.0963454532482335</v>
      </c>
      <c r="AM349" s="258">
        <f>IFERROR(IF(N(AM130)&lt;&gt;0,MAX(0,MIN(1,-AM131/AM130)),""),"")</f>
        <v>0.0970772080741141</v>
      </c>
      <c r="AN349" s="258">
        <f>IFERROR(IF(N(AN130)&lt;&gt;0,MAX(0,MIN(1,-AN131/AN130)),""),"")</f>
        <v>0.0970772080741141</v>
      </c>
      <c r="AO349" s="258">
        <f>IFERROR(IF(N(AO130)&lt;&gt;0,MAX(0,MIN(1,-AO131/AO130)),""),"")</f>
        <v>0.0970772080741141</v>
      </c>
      <c r="AP349" s="258">
        <f>IFERROR(IF(N(AP130)&lt;&gt;0,MAX(0,MIN(1,-AP131/AP130)),""),"")</f>
        <v>0.0970772080741141</v>
      </c>
      <c r="AQ349" s="258">
        <f>IFERROR(IF(N(AQ130)&lt;&gt;0,MAX(0,MIN(1,-AQ131/AQ130)),""),"")</f>
        <v>0.0970772080741141</v>
      </c>
      <c r="AR349" s="258">
        <f>IFERROR(IF(N(AR130)&lt;&gt;0,MAX(0,MIN(1,-AR131/AR130)),""),"")</f>
        <v>0.0970772080741141</v>
      </c>
      <c r="AS349" s="258">
        <f>IFERROR(IF(N(AS130)&lt;&gt;0,MAX(0,MIN(1,-AS131/AS130)),""),"")</f>
        <v>0.0970772080741141</v>
      </c>
      <c r="AT349" s="258">
        <f>IFERROR(IF(N(AT130)&lt;&gt;0,MAX(0,MIN(1,-AT131/AT130)),""),"")</f>
        <v>0.0970772080741141</v>
      </c>
      <c r="AU349" s="258">
        <f>IFERROR(IF(N(AU130)&lt;&gt;0,MAX(0,MIN(1,-AU131/AU130)),""),"")</f>
        <v>0.0970772080741141</v>
      </c>
      <c r="AV349" s="258">
        <f>IFERROR(IF(N(AV130)&lt;&gt;0,MAX(0,MIN(1,-AV131/AV130)),""),"")</f>
        <v>0.0970772080741141</v>
      </c>
      <c r="AW349" s="258">
        <f>IFERROR(IF(N(AW130)&lt;&gt;0,MAX(0,MIN(1,-AW131/AW130)),""),"")</f>
        <v>0.0970772080741141</v>
      </c>
      <c r="AX349" s="258">
        <f>IFERROR(IF(N(AX130)&lt;&gt;0,MAX(0,MIN(1,-AX131/AX130)),""),"")</f>
        <v>0.0970772080741141</v>
      </c>
      <c r="AY349" s="258">
        <f>IFERROR(IF(N(AY130)&lt;&gt;0,MAX(0,MIN(1,-AY131/AY130)),""),"")</f>
        <v>0.0970772080741141</v>
      </c>
      <c r="AZ349" s="258">
        <f>IFERROR(IF(N(AZ130)&lt;&gt;0,MAX(0,MIN(1,-AZ131/AZ130)),""),"")</f>
        <v>0.0970772080741141</v>
      </c>
      <c r="BA349" s="258">
        <f>IFERROR(IF(N(BA130)&lt;&gt;0,MAX(0,MIN(1,-BA131/BA130)),""),"")</f>
        <v>0.0970772080741141</v>
      </c>
      <c r="BB349" s="258">
        <f>IFERROR(IF(N(BB130)&lt;&gt;0,MAX(0,MIN(1,-BB131/BB130)),""),"")</f>
        <v>0.0970772080741141</v>
      </c>
      <c r="BC349" s="258">
        <f>IFERROR(IF(N(BC130)&lt;&gt;0,MAX(0,MIN(1,-BC131/BC130)),""),"")</f>
        <v>0.0970772080741141</v>
      </c>
      <c r="BD349" s="258">
        <f>IFERROR(IF(N(BD130)&lt;&gt;0,MAX(0,MIN(1,-BD131/BD130)),""),"")</f>
        <v>0.0970772080741141</v>
      </c>
      <c r="BE349" s="258">
        <f>IFERROR(IF(N(BE130)&lt;&gt;0,MAX(0,MIN(1,-BE131/BE130)),""),"")</f>
        <v>0.0970772080741141</v>
      </c>
      <c r="BF349" s="258">
        <f>IFERROR(IF(N(BF130)&lt;&gt;0,MAX(0,MIN(1,-BF131/BF130)),""),"")</f>
        <v>0.0970772080741141</v>
      </c>
      <c r="BG349" s="88" t="n"/>
      <c r="BH349" s="88" t="n"/>
      <c r="BI349" s="88" t="n"/>
      <c r="BJ349" s="88" t="n"/>
      <c r="BL349" s="88" t="n"/>
      <c r="BM349" s="88" t="n"/>
      <c r="BN349" s="88" t="n"/>
      <c r="BO349" s="88" t="n"/>
      <c r="BQ349" s="88" t="n"/>
      <c r="BR349" s="88" t="n"/>
      <c r="BS349" s="88" t="n"/>
      <c r="BT349" s="88" t="n"/>
      <c r="BV349" s="88" t="n"/>
      <c r="BW349" s="88" t="n"/>
      <c r="BX349" s="88" t="n"/>
      <c r="BY349" s="88" t="n"/>
      <c r="CA349" s="88" t="n"/>
      <c r="CB349" s="88" t="n"/>
      <c r="CC349" s="88" t="n"/>
      <c r="CD349" s="88" t="n"/>
      <c r="CF349" s="88" t="n"/>
      <c r="CG349" s="88" t="n"/>
      <c r="CH349" s="88" t="n"/>
      <c r="CI349" s="88" t="n"/>
      <c r="CK349" s="88" t="n"/>
      <c r="CL349" s="88" t="n"/>
      <c r="CM349" s="88" t="n"/>
      <c r="CN349" s="88" t="n"/>
      <c r="CP349" s="88" t="n"/>
      <c r="CQ349" s="88" t="n"/>
      <c r="CR349" s="88" t="n"/>
      <c r="CS349" s="88" t="n"/>
      <c r="CU349" s="88" t="n"/>
      <c r="CV349" s="88" t="n"/>
      <c r="CW349" s="88" t="n"/>
      <c r="CX349" s="88" t="n"/>
    </row>
    <row r="350" customFormat="1" s="77">
      <c r="A350" s="76" t="n"/>
      <c r="B350" s="76" t="n"/>
      <c r="C350" s="77" t="inlineStr">
        <is>
          <t>INVESTED CAPITAL</t>
        </is>
      </c>
      <c r="D350" s="86">
        <f>IFERROR(D353-D354+D355,"")</f>
        <v>0</v>
      </c>
      <c r="E350" s="86">
        <f>IFERROR(E353-E354+E355,"")</f>
        <v>0</v>
      </c>
      <c r="F350" s="86">
        <f>IFERROR(F353-F354+F355,"")</f>
        <v>0</v>
      </c>
      <c r="G350" s="86">
        <f>IFERROR(G353-G354+G355,"")</f>
        <v>0</v>
      </c>
      <c r="H350" s="263">
        <f>IFERROR(H352+H355,0)</f>
        <v>0</v>
      </c>
      <c r="I350" s="263">
        <f>IFERROR(I352+I355,0)</f>
        <v>1415.132</v>
      </c>
      <c r="J350" s="263">
        <f>IFERROR(J352+J355,0)</f>
        <v>1470.293</v>
      </c>
      <c r="K350" s="263">
        <f>IFERROR(K352+K355,0)</f>
        <v>1546.775</v>
      </c>
      <c r="L350" s="263">
        <f>IFERROR(L352+L355,0)</f>
        <v>1577.96</v>
      </c>
      <c r="M350" s="263">
        <f>IFERROR(M352+M355,0)</f>
        <v>1577.96</v>
      </c>
      <c r="N350" s="263">
        <f>IFERROR(N352+N355,0)</f>
        <v>1644.981</v>
      </c>
      <c r="O350" s="263">
        <f>IFERROR(O352+O355,0)</f>
        <v>1663.316</v>
      </c>
      <c r="P350" s="263">
        <f>IFERROR(P352+P355,0)</f>
        <v>1737.33</v>
      </c>
      <c r="Q350" s="263">
        <f>IFERROR(Q352+Q355,0)</f>
        <v>1552.314</v>
      </c>
      <c r="R350" s="263">
        <f>IFERROR(R352+R355,0)</f>
        <v>1552.314</v>
      </c>
      <c r="S350" s="263">
        <f>IFERROR(S352+S355,0)</f>
        <v>1718.12790777</v>
      </c>
      <c r="T350" s="263">
        <f>IFERROR(T352+T355,0)</f>
        <v>1827.235272</v>
      </c>
      <c r="U350" s="263">
        <f>IFERROR(U352+U355,0)</f>
        <v>1898.16608023</v>
      </c>
      <c r="V350" s="263">
        <f>IFERROR(V352+V355,0)</f>
        <v>1958.18874951</v>
      </c>
      <c r="W350" s="263">
        <f>IFERROR(W352+W355,0)</f>
        <v>1958.18874951</v>
      </c>
      <c r="X350" s="263">
        <f>IFERROR(X352+X355,0)</f>
        <v>2322.85764733</v>
      </c>
      <c r="Y350" s="263">
        <f>IFERROR(Y352+Y355,0)</f>
        <v>2245.77406648</v>
      </c>
      <c r="Z350" s="263">
        <f>IFERROR(Z352+Z355,0)</f>
        <v>2270.89800894</v>
      </c>
      <c r="AA350" s="263">
        <f>IFERROR(AA352+AA355,0)</f>
        <v>2029.411</v>
      </c>
      <c r="AB350" s="263">
        <f>IFERROR(AB352+AB355,0)</f>
        <v>2029.411</v>
      </c>
      <c r="AC350" s="263">
        <f>IFERROR(AC352+AC355,0)</f>
        <v>2555.552</v>
      </c>
      <c r="AD350" s="263">
        <f>IFERROR(AD352+AD355,0)</f>
        <v>2323.239</v>
      </c>
      <c r="AE350" s="263">
        <f>IFERROR(AE352+AE355,0)</f>
        <v>2832.224</v>
      </c>
      <c r="AF350" s="263">
        <f>IFERROR(AF352+AF355,0)</f>
        <v>2860.54</v>
      </c>
      <c r="AG350" s="263">
        <f>IFERROR(AG352+AG355,0)</f>
        <v>2860.54</v>
      </c>
      <c r="AH350" s="263">
        <f>IFERROR(AH352+AH355,0)</f>
        <v>3189.111</v>
      </c>
      <c r="AI350" s="263">
        <f>IFERROR(AI352+AI355,0)</f>
        <v>3199.234</v>
      </c>
      <c r="AJ350" s="263">
        <f>IFERROR(AJ352+AJ355,0)</f>
        <v>4454.35147702711</v>
      </c>
      <c r="AK350" s="263">
        <f>IFERROR(AK352+AK355,0)</f>
        <v>5100.85622067626</v>
      </c>
      <c r="AL350" s="263">
        <f>IFERROR(AL352+AL355,0)</f>
        <v>5100.85622067626</v>
      </c>
      <c r="AM350" s="263">
        <f>IFERROR(AM352+AM355,0)</f>
        <v>4668.26852458494</v>
      </c>
      <c r="AN350" s="263">
        <f>IFERROR(AN352+AN355,0)</f>
        <v>5632.39677670708</v>
      </c>
      <c r="AO350" s="263">
        <f>IFERROR(AO352+AO355,0)</f>
        <v>7485.45359779583</v>
      </c>
      <c r="AP350" s="263">
        <f>IFERROR(AP352+AP355,0)</f>
        <v>8225.1518523178</v>
      </c>
      <c r="AQ350" s="263">
        <f>IFERROR(AQ352+AQ355,0)</f>
        <v>8225.1518523178</v>
      </c>
      <c r="AR350" s="263">
        <f>IFERROR(AR352+AR355,0)</f>
        <v>7326.20375534496</v>
      </c>
      <c r="AS350" s="263">
        <f>IFERROR(AS352+AS355,0)</f>
        <v>8587.4877269656</v>
      </c>
      <c r="AT350" s="263">
        <f>IFERROR(AT352+AT355,0)</f>
        <v>10774.5697413601</v>
      </c>
      <c r="AU350" s="263">
        <f>IFERROR(AU352+AU355,0)</f>
        <v>11489.0854160125</v>
      </c>
      <c r="AV350" s="263">
        <f>IFERROR(AV352+AV355,0)</f>
        <v>11489.0854160125</v>
      </c>
      <c r="AW350" s="263">
        <f>IFERROR(AW352+AW355,0)</f>
        <v>10192.5052673828</v>
      </c>
      <c r="AX350" s="263">
        <f>IFERROR(AX352+AX355,0)</f>
        <v>11212.5529142051</v>
      </c>
      <c r="AY350" s="263">
        <f>IFERROR(AY352+AY355,0)</f>
        <v>13530.8528205254</v>
      </c>
      <c r="AZ350" s="263">
        <f>IFERROR(AZ352+AZ355,0)</f>
        <v>13849.365371177</v>
      </c>
      <c r="BA350" s="263">
        <f>IFERROR(BA352+BA355,0)</f>
        <v>13849.365371177</v>
      </c>
      <c r="BB350" s="263">
        <f>IFERROR(BB352+BB355,0)</f>
        <v>11363.5353641428</v>
      </c>
      <c r="BC350" s="263">
        <f>IFERROR(BC352+BC355,0)</f>
        <v>11724.0405169144</v>
      </c>
      <c r="BD350" s="263">
        <f>IFERROR(BD352+BD355,0)</f>
        <v>13485.2663038016</v>
      </c>
      <c r="BE350" s="263">
        <f>IFERROR(BE352+BE355,0)</f>
        <v>12400.3456645606</v>
      </c>
      <c r="BF350" s="263">
        <f>IFERROR(BF352+BF355,0)</f>
        <v>12400.3456645606</v>
      </c>
      <c r="BG350" s="63" t="n"/>
      <c r="BH350" s="63" t="n"/>
      <c r="BI350" s="63" t="n"/>
      <c r="BJ350" s="63" t="n"/>
      <c r="BL350" s="63" t="n"/>
      <c r="BM350" s="63" t="n"/>
      <c r="BN350" s="63" t="n"/>
      <c r="BO350" s="63" t="n"/>
      <c r="BQ350" s="63" t="n"/>
      <c r="BR350" s="63" t="n"/>
      <c r="BS350" s="63" t="n"/>
      <c r="BT350" s="63" t="n"/>
      <c r="BV350" s="63" t="n"/>
      <c r="BW350" s="63" t="n"/>
      <c r="BX350" s="63" t="n"/>
      <c r="BY350" s="63" t="n"/>
      <c r="CA350" s="63" t="n"/>
      <c r="CB350" s="63" t="n"/>
      <c r="CC350" s="63" t="n"/>
      <c r="CD350" s="63" t="n"/>
      <c r="CF350" s="63" t="n"/>
      <c r="CG350" s="63" t="n"/>
      <c r="CH350" s="63" t="n"/>
      <c r="CI350" s="63" t="n"/>
      <c r="CK350" s="63" t="n"/>
      <c r="CL350" s="63" t="n"/>
      <c r="CM350" s="63" t="n"/>
      <c r="CN350" s="63" t="n"/>
      <c r="CP350" s="63" t="n"/>
      <c r="CQ350" s="63" t="n"/>
      <c r="CR350" s="63" t="n"/>
      <c r="CS350" s="63" t="n"/>
      <c r="CU350" s="63" t="n"/>
      <c r="CV350" s="63" t="n"/>
      <c r="CW350" s="63" t="n"/>
      <c r="CX350" s="63" t="n"/>
    </row>
    <row r="351" customFormat="1" s="77">
      <c r="A351" s="76" t="n"/>
      <c r="B351" s="76" t="n"/>
      <c r="C351" s="77" t="inlineStr">
        <is>
          <t>INVESTED CAPITAL - EX GOODWILL</t>
        </is>
      </c>
      <c r="D351" s="89">
        <f>IFERROR(D350-D179,"")</f>
        <v>0</v>
      </c>
      <c r="E351" s="89">
        <f>IFERROR(E350-E179,"")</f>
        <v>0</v>
      </c>
      <c r="F351" s="89">
        <f>IFERROR(F350-F179,"")</f>
        <v>0</v>
      </c>
      <c r="G351" s="89">
        <f>IFERROR(G350-G179,"")</f>
        <v>0</v>
      </c>
      <c r="H351" s="263">
        <f>IFERROR(H350-N(H179),0)</f>
        <v>0</v>
      </c>
      <c r="I351" s="263">
        <f>IFERROR(I350-N(I179),0)</f>
        <v>1415.132</v>
      </c>
      <c r="J351" s="263">
        <f>IFERROR(J350-N(J179),0)</f>
        <v>1470.293</v>
      </c>
      <c r="K351" s="263">
        <f>IFERROR(K350-N(K179),0)</f>
        <v>1546.775</v>
      </c>
      <c r="L351" s="263">
        <f>IFERROR(L350-N(L179),0)</f>
        <v>1577.96</v>
      </c>
      <c r="M351" s="263">
        <f>IFERROR(M350-N(M179),0)</f>
        <v>1577.96</v>
      </c>
      <c r="N351" s="263">
        <f>IFERROR(N350-N(N179),0)</f>
        <v>1644.981</v>
      </c>
      <c r="O351" s="263">
        <f>IFERROR(O350-N(O179),0)</f>
        <v>1663.316</v>
      </c>
      <c r="P351" s="263">
        <f>IFERROR(P350-N(P179),0)</f>
        <v>1737.33</v>
      </c>
      <c r="Q351" s="263">
        <f>IFERROR(Q350-N(Q179),0)</f>
        <v>1552.314</v>
      </c>
      <c r="R351" s="263">
        <f>IFERROR(R350-N(R179),0)</f>
        <v>1552.314</v>
      </c>
      <c r="S351" s="263">
        <f>IFERROR(S350-N(S179),0)</f>
        <v>1718.12790777</v>
      </c>
      <c r="T351" s="263">
        <f>IFERROR(T350-N(T179),0)</f>
        <v>1827.235272</v>
      </c>
      <c r="U351" s="263">
        <f>IFERROR(U350-N(U179),0)</f>
        <v>1898.16608023</v>
      </c>
      <c r="V351" s="263">
        <f>IFERROR(V350-N(V179),0)</f>
        <v>1958.18874951</v>
      </c>
      <c r="W351" s="263">
        <f>IFERROR(W350-N(W179),0)</f>
        <v>1958.18874951</v>
      </c>
      <c r="X351" s="263">
        <f>IFERROR(X350-N(X179),0)</f>
        <v>2322.85764733</v>
      </c>
      <c r="Y351" s="263">
        <f>IFERROR(Y350-N(Y179),0)</f>
        <v>2245.77406648</v>
      </c>
      <c r="Z351" s="263">
        <f>IFERROR(Z350-N(Z179),0)</f>
        <v>2270.89800894</v>
      </c>
      <c r="AA351" s="263">
        <f>IFERROR(AA350-N(AA179),0)</f>
        <v>2029.411</v>
      </c>
      <c r="AB351" s="263">
        <f>IFERROR(AB350-N(AB179),0)</f>
        <v>2029.411</v>
      </c>
      <c r="AC351" s="263">
        <f>IFERROR(AC350-N(AC179),0)</f>
        <v>2555.552</v>
      </c>
      <c r="AD351" s="263">
        <f>IFERROR(AD350-N(AD179),0)</f>
        <v>2323.239</v>
      </c>
      <c r="AE351" s="263">
        <f>IFERROR(AE350-N(AE179),0)</f>
        <v>2832.224</v>
      </c>
      <c r="AF351" s="263">
        <f>IFERROR(AF350-N(AF179),0)</f>
        <v>2860.54</v>
      </c>
      <c r="AG351" s="263">
        <f>IFERROR(AG350-N(AG179),0)</f>
        <v>2860.54</v>
      </c>
      <c r="AH351" s="263">
        <f>IFERROR(AH350-N(AH179),0)</f>
        <v>3189.111</v>
      </c>
      <c r="AI351" s="263">
        <f>IFERROR(AI350-N(AI179),0)</f>
        <v>3199.234</v>
      </c>
      <c r="AJ351" s="263">
        <f>IFERROR(AJ350-N(AJ179),0)</f>
        <v>4454.35147702711</v>
      </c>
      <c r="AK351" s="263">
        <f>IFERROR(AK350-N(AK179),0)</f>
        <v>5100.85622067626</v>
      </c>
      <c r="AL351" s="263">
        <f>IFERROR(AL350-N(AL179),0)</f>
        <v>5100.85622067626</v>
      </c>
      <c r="AM351" s="263">
        <f>IFERROR(AM350-N(AM179),0)</f>
        <v>4668.26852458494</v>
      </c>
      <c r="AN351" s="263">
        <f>IFERROR(AN350-N(AN179),0)</f>
        <v>5632.39677670708</v>
      </c>
      <c r="AO351" s="263">
        <f>IFERROR(AO350-N(AO179),0)</f>
        <v>7485.45359779583</v>
      </c>
      <c r="AP351" s="263">
        <f>IFERROR(AP350-N(AP179),0)</f>
        <v>8225.1518523178</v>
      </c>
      <c r="AQ351" s="263">
        <f>IFERROR(AQ350-N(AQ179),0)</f>
        <v>8225.1518523178</v>
      </c>
      <c r="AR351" s="263">
        <f>IFERROR(AR350-N(AR179),0)</f>
        <v>7326.20375534496</v>
      </c>
      <c r="AS351" s="263">
        <f>IFERROR(AS350-N(AS179),0)</f>
        <v>8587.4877269656</v>
      </c>
      <c r="AT351" s="263">
        <f>IFERROR(AT350-N(AT179),0)</f>
        <v>10774.5697413601</v>
      </c>
      <c r="AU351" s="263">
        <f>IFERROR(AU350-N(AU179),0)</f>
        <v>11489.0854160125</v>
      </c>
      <c r="AV351" s="263">
        <f>IFERROR(AV350-N(AV179),0)</f>
        <v>11489.0854160125</v>
      </c>
      <c r="AW351" s="263">
        <f>IFERROR(AW350-N(AW179),0)</f>
        <v>10192.5052673828</v>
      </c>
      <c r="AX351" s="263">
        <f>IFERROR(AX350-N(AX179),0)</f>
        <v>11212.5529142051</v>
      </c>
      <c r="AY351" s="263">
        <f>IFERROR(AY350-N(AY179),0)</f>
        <v>13530.8528205254</v>
      </c>
      <c r="AZ351" s="263">
        <f>IFERROR(AZ350-N(AZ179),0)</f>
        <v>13849.365371177</v>
      </c>
      <c r="BA351" s="263">
        <f>IFERROR(BA350-N(BA179),0)</f>
        <v>13849.365371177</v>
      </c>
      <c r="BB351" s="263">
        <f>IFERROR(BB350-N(BB179),0)</f>
        <v>11363.5353641428</v>
      </c>
      <c r="BC351" s="263">
        <f>IFERROR(BC350-N(BC179),0)</f>
        <v>11724.0405169144</v>
      </c>
      <c r="BD351" s="263">
        <f>IFERROR(BD350-N(BD179),0)</f>
        <v>13485.2663038016</v>
      </c>
      <c r="BE351" s="263">
        <f>IFERROR(BE350-N(BE179),0)</f>
        <v>12400.3456645606</v>
      </c>
      <c r="BF351" s="263">
        <f>IFERROR(BF350-N(BF179),0)</f>
        <v>12400.3456645606</v>
      </c>
      <c r="BG351" s="90" t="n"/>
      <c r="BH351" s="90" t="n"/>
      <c r="BI351" s="90" t="n"/>
      <c r="BJ351" s="90" t="n"/>
      <c r="BL351" s="90" t="n"/>
      <c r="BM351" s="90" t="n"/>
      <c r="BN351" s="90" t="n"/>
      <c r="BO351" s="90" t="n"/>
      <c r="BQ351" s="90" t="n"/>
      <c r="BR351" s="90" t="n"/>
      <c r="BS351" s="90" t="n"/>
      <c r="BT351" s="90" t="n"/>
      <c r="BV351" s="90" t="n"/>
      <c r="BW351" s="90" t="n"/>
      <c r="BX351" s="90" t="n"/>
      <c r="BY351" s="90" t="n"/>
      <c r="CA351" s="90" t="n"/>
      <c r="CB351" s="90" t="n"/>
      <c r="CC351" s="90" t="n"/>
      <c r="CD351" s="90" t="n"/>
      <c r="CF351" s="90" t="n"/>
      <c r="CG351" s="90" t="n"/>
      <c r="CH351" s="90" t="n"/>
      <c r="CI351" s="90" t="n"/>
      <c r="CK351" s="90" t="n"/>
      <c r="CL351" s="90" t="n"/>
      <c r="CM351" s="90" t="n"/>
      <c r="CN351" s="90" t="n"/>
      <c r="CP351" s="90" t="n"/>
      <c r="CQ351" s="90" t="n"/>
      <c r="CR351" s="90" t="n"/>
      <c r="CS351" s="90" t="n"/>
      <c r="CU351" s="90" t="n"/>
      <c r="CV351" s="90" t="n"/>
      <c r="CW351" s="90" t="n"/>
      <c r="CX351" s="90" t="n"/>
    </row>
    <row r="352" customFormat="1" s="77">
      <c r="A352" s="76" t="n"/>
      <c r="B352" s="76" t="n"/>
      <c r="C352" s="77" t="inlineStr">
        <is>
          <t>OPERATING WORKING CAPITAL</t>
        </is>
      </c>
      <c r="D352" s="91">
        <f>IFERROR(D353-D354,"")</f>
        <v>0</v>
      </c>
      <c r="E352" s="91">
        <f>IFERROR(E353-E354,"")</f>
        <v>0</v>
      </c>
      <c r="F352" s="91">
        <f>IFERROR(F353-F354,"")</f>
        <v>0</v>
      </c>
      <c r="G352" s="91">
        <f>IFERROR(G353-G354,"")</f>
        <v>0</v>
      </c>
      <c r="H352" s="263">
        <f>IFERROR(H353-H354,0)</f>
        <v>0</v>
      </c>
      <c r="I352" s="263">
        <f>IFERROR(I353-I354,0)</f>
        <v>3613.477</v>
      </c>
      <c r="J352" s="263">
        <f>IFERROR(J353-J354,0)</f>
        <v>3869.517</v>
      </c>
      <c r="K352" s="263">
        <f>IFERROR(K353-K354,0)</f>
        <v>3945.763</v>
      </c>
      <c r="L352" s="263">
        <f>IFERROR(L353-L354,0)</f>
        <v>3995.653</v>
      </c>
      <c r="M352" s="263">
        <f>IFERROR(M353-M354,0)</f>
        <v>3995.653</v>
      </c>
      <c r="N352" s="263">
        <f>IFERROR(N353-N354,0)</f>
        <v>4039.896</v>
      </c>
      <c r="O352" s="263">
        <f>IFERROR(O353-O354,0)</f>
        <v>3989.855</v>
      </c>
      <c r="P352" s="263">
        <f>IFERROR(P353-P354,0)</f>
        <v>4169.903</v>
      </c>
      <c r="Q352" s="263">
        <f>IFERROR(Q353-Q354,0)</f>
        <v>4332.624</v>
      </c>
      <c r="R352" s="263">
        <f>IFERROR(R353-R354,0)</f>
        <v>4332.624</v>
      </c>
      <c r="S352" s="263">
        <f>IFERROR(S353-S354,0)</f>
        <v>4474.49522073</v>
      </c>
      <c r="T352" s="263">
        <f>IFERROR(T353-T354,0)</f>
        <v>4705.751272</v>
      </c>
      <c r="U352" s="263">
        <f>IFERROR(U353-U354,0)</f>
        <v>4789.91108023</v>
      </c>
      <c r="V352" s="263">
        <f>IFERROR(V353-V354,0)</f>
        <v>4961.06074951</v>
      </c>
      <c r="W352" s="263">
        <f>IFERROR(W353-W354,0)</f>
        <v>4961.06074951</v>
      </c>
      <c r="X352" s="263">
        <f>IFERROR(X353-X354,0)</f>
        <v>5405.07264733</v>
      </c>
      <c r="Y352" s="263">
        <f>IFERROR(Y353-Y354,0)</f>
        <v>5847.30406648</v>
      </c>
      <c r="Z352" s="263">
        <f>IFERROR(Z353-Z354,0)</f>
        <v>6308.41332583</v>
      </c>
      <c r="AA352" s="263">
        <f>IFERROR(AA353-AA354,0)</f>
        <v>6394.005</v>
      </c>
      <c r="AB352" s="263">
        <f>IFERROR(AB353-AB354,0)</f>
        <v>6394.005</v>
      </c>
      <c r="AC352" s="263">
        <f>IFERROR(AC353-AC354,0)</f>
        <v>7228.847</v>
      </c>
      <c r="AD352" s="263">
        <f>IFERROR(AD353-AD354,0)</f>
        <v>7118.746</v>
      </c>
      <c r="AE352" s="263">
        <f>IFERROR(AE353-AE354,0)</f>
        <v>8017.515</v>
      </c>
      <c r="AF352" s="263">
        <f>IFERROR(AF353-AF354,0)</f>
        <v>8866.089</v>
      </c>
      <c r="AG352" s="263">
        <f>IFERROR(AG353-AG354,0)</f>
        <v>8866.089</v>
      </c>
      <c r="AH352" s="263">
        <f>IFERROR(AH353-AH354,0)</f>
        <v>9367.986</v>
      </c>
      <c r="AI352" s="263">
        <f>IFERROR(AI353-AI354,0)</f>
        <v>9842.974</v>
      </c>
      <c r="AJ352" s="263">
        <f>IFERROR(AJ353-AJ354,0)</f>
        <v>11086.6765483617</v>
      </c>
      <c r="AK352" s="263">
        <f>IFERROR(AK353-AK354,0)</f>
        <v>11721.0957570025</v>
      </c>
      <c r="AL352" s="263">
        <f>IFERROR(AL353-AL354,0)</f>
        <v>11721.0957570025</v>
      </c>
      <c r="AM352" s="263">
        <f>IFERROR(AM353-AM354,0)</f>
        <v>11277.0270377894</v>
      </c>
      <c r="AN352" s="263">
        <f>IFERROR(AN353-AN354,0)</f>
        <v>12228.5430696333</v>
      </c>
      <c r="AO352" s="263">
        <f>IFERROR(AO353-AO354,0)</f>
        <v>14066.9533320763</v>
      </c>
      <c r="AP352" s="263">
        <f>IFERROR(AP353-AP354,0)</f>
        <v>14791.1445692131</v>
      </c>
      <c r="AQ352" s="263">
        <f>IFERROR(AQ353-AQ354,0)</f>
        <v>14791.1445692131</v>
      </c>
      <c r="AR352" s="263">
        <f>IFERROR(AR353-AR354,0)</f>
        <v>13877.5225125444</v>
      </c>
      <c r="AS352" s="263">
        <f>IFERROR(AS353-AS354,0)</f>
        <v>15122.6867350736</v>
      </c>
      <c r="AT352" s="263">
        <f>IFERROR(AT353-AT354,0)</f>
        <v>17291.048901161</v>
      </c>
      <c r="AU352" s="263">
        <f>IFERROR(AU353-AU354,0)</f>
        <v>17985.7449703916</v>
      </c>
      <c r="AV352" s="263">
        <f>IFERROR(AV353-AV354,0)</f>
        <v>17985.7449703916</v>
      </c>
      <c r="AW352" s="263">
        <f>IFERROR(AW353-AW354,0)</f>
        <v>16670.4833218183</v>
      </c>
      <c r="AX352" s="263">
        <f>IFERROR(AX353-AX354,0)</f>
        <v>17670.0088261525</v>
      </c>
      <c r="AY352" s="263">
        <f>IFERROR(AY353-AY354,0)</f>
        <v>19964.4763891693</v>
      </c>
      <c r="AZ352" s="263">
        <f>IFERROR(AZ353-AZ354,0)</f>
        <v>20257.7564896</v>
      </c>
      <c r="BA352" s="263">
        <f>IFERROR(BA353-BA354,0)</f>
        <v>20257.7564896</v>
      </c>
      <c r="BB352" s="263">
        <f>IFERROR(BB353-BB354,0)</f>
        <v>17748.2363682777</v>
      </c>
      <c r="BC352" s="263">
        <f>IFERROR(BC353-BC354,0)</f>
        <v>18082.7172776828</v>
      </c>
      <c r="BD352" s="263">
        <f>IFERROR(BD353-BD354,0)</f>
        <v>19813.7211370844</v>
      </c>
      <c r="BE352" s="263">
        <f>IFERROR(BE353-BE354,0)</f>
        <v>18696.8030869657</v>
      </c>
      <c r="BF352" s="263">
        <f>IFERROR(BF353-BF354,0)</f>
        <v>18696.8030869657</v>
      </c>
      <c r="BG352" s="63" t="n"/>
      <c r="BH352" s="63" t="n"/>
      <c r="BI352" s="63" t="n"/>
      <c r="BJ352" s="63" t="n"/>
      <c r="BL352" s="63" t="n"/>
      <c r="BM352" s="63" t="n"/>
      <c r="BN352" s="63" t="n"/>
      <c r="BO352" s="63" t="n"/>
      <c r="BQ352" s="63" t="n"/>
      <c r="BR352" s="63" t="n"/>
      <c r="BS352" s="63" t="n"/>
      <c r="BT352" s="63" t="n"/>
      <c r="BV352" s="63" t="n"/>
      <c r="BW352" s="63" t="n"/>
      <c r="BX352" s="63" t="n"/>
      <c r="BY352" s="63" t="n"/>
      <c r="CA352" s="63" t="n"/>
      <c r="CB352" s="63" t="n"/>
      <c r="CC352" s="63" t="n"/>
      <c r="CD352" s="63" t="n"/>
      <c r="CF352" s="63" t="n"/>
      <c r="CG352" s="63" t="n"/>
      <c r="CH352" s="63" t="n"/>
      <c r="CI352" s="63" t="n"/>
      <c r="CK352" s="63" t="n"/>
      <c r="CL352" s="63" t="n"/>
      <c r="CM352" s="63" t="n"/>
      <c r="CN352" s="63" t="n"/>
      <c r="CP352" s="63" t="n"/>
      <c r="CQ352" s="63" t="n"/>
      <c r="CR352" s="63" t="n"/>
      <c r="CS352" s="63" t="n"/>
      <c r="CU352" s="63" t="n"/>
      <c r="CV352" s="63" t="n"/>
      <c r="CW352" s="63" t="n"/>
      <c r="CX352" s="63" t="n"/>
    </row>
    <row r="353" customFormat="1" s="77">
      <c r="A353" s="76" t="n"/>
      <c r="B353" s="76" t="n"/>
      <c r="C353" s="77" t="inlineStr">
        <is>
          <t>CURRENT ASSETS (OPERATING, EX CASH)</t>
        </is>
      </c>
      <c r="D353" s="89">
        <f>IFERROR(D145+D149+D153+D154+D155,"")</f>
        <v>0</v>
      </c>
      <c r="E353" s="89">
        <f>IFERROR(E145+E149+E153+E154+E155,"")</f>
        <v>0</v>
      </c>
      <c r="F353" s="89">
        <f>IFERROR(F145+F149+F153+F154+F155,"")</f>
        <v>0</v>
      </c>
      <c r="G353" s="89">
        <f>IFERROR(G145+G149+G153+G154+G155,"")</f>
        <v>0</v>
      </c>
      <c r="H353" s="263">
        <f>IFERROR((N(H145)+N(H149)+N(H153)+N(H154)+N(H155)),0)</f>
        <v>0</v>
      </c>
      <c r="I353" s="263">
        <f>IFERROR((N(I145)+N(I149)+N(I153)+N(I154)+N(I155)),0)</f>
        <v>3966.213</v>
      </c>
      <c r="J353" s="263">
        <f>IFERROR((N(J145)+N(J149)+N(J153)+N(J154)+N(J155)),0)</f>
        <v>4240.212</v>
      </c>
      <c r="K353" s="263">
        <f>IFERROR((N(K145)+N(K149)+N(K153)+N(K154)+N(K155)),0)</f>
        <v>4323.203</v>
      </c>
      <c r="L353" s="263">
        <f>IFERROR((N(L145)+N(L149)+N(L153)+N(L154)+N(L155)),0)</f>
        <v>4355.201</v>
      </c>
      <c r="M353" s="263">
        <f>IFERROR((N(M145)+N(M149)+N(M153)+N(M154)+N(M155)),0)</f>
        <v>4355.201</v>
      </c>
      <c r="N353" s="263">
        <f>IFERROR((N(N145)+N(N149)+N(N153)+N(N154)+N(N155)),0)</f>
        <v>4473.657</v>
      </c>
      <c r="O353" s="263">
        <f>IFERROR((N(O145)+N(O149)+N(O153)+N(O154)+N(O155)),0)</f>
        <v>4484.158</v>
      </c>
      <c r="P353" s="263">
        <f>IFERROR((N(P145)+N(P149)+N(P153)+N(P154)+N(P155)),0)</f>
        <v>4701.755</v>
      </c>
      <c r="Q353" s="263">
        <f>IFERROR((N(Q145)+N(Q149)+N(Q153)+N(Q154)+N(Q155)),0)</f>
        <v>4929.794</v>
      </c>
      <c r="R353" s="263">
        <f>IFERROR((N(R145)+N(R149)+N(R153)+N(R154)+N(R155)),0)</f>
        <v>4929.794</v>
      </c>
      <c r="S353" s="263">
        <f>IFERROR((N(S145)+N(S149)+N(S153)+N(S154)+N(S155)),0)</f>
        <v>5020.04622073</v>
      </c>
      <c r="T353" s="263">
        <f>IFERROR((N(T145)+N(T149)+N(T153)+N(T154)+N(T155)),0)</f>
        <v>5274.339272</v>
      </c>
      <c r="U353" s="263">
        <f>IFERROR((N(U145)+N(U149)+N(U153)+N(U154)+N(U155)),0)</f>
        <v>5402.38008023</v>
      </c>
      <c r="V353" s="263">
        <f>IFERROR((N(V145)+N(V149)+N(V153)+N(V154)+N(V155)),0)</f>
        <v>5761.43774951</v>
      </c>
      <c r="W353" s="263">
        <f>IFERROR((N(W145)+N(W149)+N(W153)+N(W154)+N(W155)),0)</f>
        <v>5761.43774951</v>
      </c>
      <c r="X353" s="263">
        <f>IFERROR((N(X145)+N(X149)+N(X153)+N(X154)+N(X155)),0)</f>
        <v>6132.55164733</v>
      </c>
      <c r="Y353" s="263">
        <f>IFERROR((N(Y145)+N(Y149)+N(Y153)+N(Y154)+N(Y155)),0)</f>
        <v>6727.46506648</v>
      </c>
      <c r="Z353" s="263">
        <f>IFERROR((N(Z145)+N(Z149)+N(Z153)+N(Z154)+N(Z155)),0)</f>
        <v>7314.4972346</v>
      </c>
      <c r="AA353" s="263">
        <f>IFERROR((N(AA145)+N(AA149)+N(AA153)+N(AA154)+N(AA155)),0)</f>
        <v>7691.89</v>
      </c>
      <c r="AB353" s="263">
        <f>IFERROR((N(AB145)+N(AB149)+N(AB153)+N(AB154)+N(AB155)),0)</f>
        <v>7691.89</v>
      </c>
      <c r="AC353" s="263">
        <f>IFERROR((N(AC145)+N(AC149)+N(AC153)+N(AC154)+N(AC155)),0)</f>
        <v>8252.529</v>
      </c>
      <c r="AD353" s="263">
        <f>IFERROR((N(AD145)+N(AD149)+N(AD153)+N(AD154)+N(AD155)),0)</f>
        <v>8647.244</v>
      </c>
      <c r="AE353" s="263">
        <f>IFERROR((N(AE145)+N(AE149)+N(AE153)+N(AE154)+N(AE155)),0)</f>
        <v>9196.627</v>
      </c>
      <c r="AF353" s="263">
        <f>IFERROR((N(AF145)+N(AF149)+N(AF153)+N(AF154)+N(AF155)),0)</f>
        <v>10199.781</v>
      </c>
      <c r="AG353" s="263">
        <f>IFERROR((N(AG145)+N(AG149)+N(AG153)+N(AG154)+N(AG155)),0)</f>
        <v>10199.781</v>
      </c>
      <c r="AH353" s="263">
        <f>IFERROR((N(AH145)+N(AH149)+N(AH153)+N(AH154)+N(AH155)),0)</f>
        <v>10640.317</v>
      </c>
      <c r="AI353" s="263">
        <f>IFERROR((N(AI145)+N(AI149)+N(AI153)+N(AI154)+N(AI155)),0)</f>
        <v>11218.468</v>
      </c>
      <c r="AJ353" s="263">
        <f>IFERROR((N(AJ145)+N(AJ149)+N(AJ153)+N(AJ154)+N(AJ155)),0)</f>
        <v>12545.6248630405</v>
      </c>
      <c r="AK353" s="263">
        <f>IFERROR((N(AK145)+N(AK149)+N(AK153)+N(AK154)+N(AK155)),0)</f>
        <v>13256.4388867764</v>
      </c>
      <c r="AL353" s="263">
        <f>IFERROR((N(AL145)+N(AL149)+N(AL153)+N(AL154)+N(AL155)),0)</f>
        <v>13256.4388867764</v>
      </c>
      <c r="AM353" s="263">
        <f>IFERROR((N(AM145)+N(AM149)+N(AM153)+N(AM154)+N(AM155)),0)</f>
        <v>12886.1131172467</v>
      </c>
      <c r="AN353" s="263">
        <f>IFERROR((N(AN145)+N(AN149)+N(AN153)+N(AN154)+N(AN155)),0)</f>
        <v>13961.608377762</v>
      </c>
      <c r="AO353" s="263">
        <f>IFERROR((N(AO145)+N(AO149)+N(AO153)+N(AO154)+N(AO155)),0)</f>
        <v>15971.0143388052</v>
      </c>
      <c r="AP353" s="263">
        <f>IFERROR((N(AP145)+N(AP149)+N(AP153)+N(AP154)+N(AP155)),0)</f>
        <v>16883.0637777484</v>
      </c>
      <c r="AQ353" s="263">
        <f>IFERROR((N(AQ145)+N(AQ149)+N(AQ153)+N(AQ154)+N(AQ155)),0)</f>
        <v>16883.0637777484</v>
      </c>
      <c r="AR353" s="263">
        <f>IFERROR((N(AR145)+N(AR149)+N(AR153)+N(AR154)+N(AR155)),0)</f>
        <v>16170.9788207285</v>
      </c>
      <c r="AS353" s="263">
        <f>IFERROR((N(AS145)+N(AS149)+N(AS153)+N(AS154)+N(AS155)),0)</f>
        <v>17720.2940883443</v>
      </c>
      <c r="AT353" s="263">
        <f>IFERROR((N(AT145)+N(AT149)+N(AT153)+N(AT154)+N(AT155)),0)</f>
        <v>20288.527056092</v>
      </c>
      <c r="AU353" s="263">
        <f>IFERROR((N(AU145)+N(AU149)+N(AU153)+N(AU154)+N(AU155)),0)</f>
        <v>21454.2225316313</v>
      </c>
      <c r="AV353" s="263">
        <f>IFERROR((N(AV145)+N(AV149)+N(AV153)+N(AV154)+N(AV155)),0)</f>
        <v>21454.2225316313</v>
      </c>
      <c r="AW353" s="263">
        <f>IFERROR((N(AW145)+N(AW149)+N(AW153)+N(AW154)+N(AW155)),0)</f>
        <v>20687.9147748588</v>
      </c>
      <c r="AX353" s="263">
        <f>IFERROR((N(AX145)+N(AX149)+N(AX153)+N(AX154)+N(AX155)),0)</f>
        <v>22437.9212364296</v>
      </c>
      <c r="AY353" s="263">
        <f>IFERROR((N(AY145)+N(AY149)+N(AY153)+N(AY154)+N(AY155)),0)</f>
        <v>25707.5529538761</v>
      </c>
      <c r="AZ353" s="263">
        <f>IFERROR((N(AZ145)+N(AZ149)+N(AZ153)+N(AZ154)+N(AZ155)),0)</f>
        <v>27191.6063663085</v>
      </c>
      <c r="BA353" s="263">
        <f>IFERROR((N(BA145)+N(BA149)+N(BA153)+N(BA154)+N(BA155)),0)</f>
        <v>27191.6063663085</v>
      </c>
      <c r="BB353" s="263">
        <f>IFERROR((N(BB145)+N(BB149)+N(BB153)+N(BB154)+N(BB155)),0)</f>
        <v>26114.8075576424</v>
      </c>
      <c r="BC353" s="263">
        <f>IFERROR((N(BC145)+N(BC149)+N(BC153)+N(BC154)+N(BC155)),0)</f>
        <v>28334.0005135075</v>
      </c>
      <c r="BD353" s="263">
        <f>IFERROR((N(BD145)+N(BD149)+N(BD153)+N(BD154)+N(BD155)),0)</f>
        <v>32480.2387331752</v>
      </c>
      <c r="BE353" s="263">
        <f>IFERROR((N(BE145)+N(BE149)+N(BE153)+N(BE154)+N(BE155)),0)</f>
        <v>34362.1751438793</v>
      </c>
      <c r="BF353" s="263">
        <f>IFERROR((N(BF145)+N(BF149)+N(BF153)+N(BF154)+N(BF155)),0)</f>
        <v>34362.1751438793</v>
      </c>
      <c r="BG353" s="90" t="n"/>
      <c r="BH353" s="90" t="n"/>
      <c r="BI353" s="90" t="n"/>
      <c r="BJ353" s="90" t="n"/>
      <c r="BL353" s="90" t="n"/>
      <c r="BM353" s="90" t="n"/>
      <c r="BN353" s="90" t="n"/>
      <c r="BO353" s="90" t="n"/>
      <c r="BQ353" s="90" t="n"/>
      <c r="BR353" s="90" t="n"/>
      <c r="BS353" s="90" t="n"/>
      <c r="BT353" s="90" t="n"/>
      <c r="BV353" s="90" t="n"/>
      <c r="BW353" s="90" t="n"/>
      <c r="BX353" s="90" t="n"/>
      <c r="BY353" s="90" t="n"/>
      <c r="CA353" s="90" t="n"/>
      <c r="CB353" s="90" t="n"/>
      <c r="CC353" s="90" t="n"/>
      <c r="CD353" s="90" t="n"/>
      <c r="CF353" s="90" t="n"/>
      <c r="CG353" s="90" t="n"/>
      <c r="CH353" s="90" t="n"/>
      <c r="CI353" s="90" t="n"/>
      <c r="CK353" s="90" t="n"/>
      <c r="CL353" s="90" t="n"/>
      <c r="CM353" s="90" t="n"/>
      <c r="CN353" s="90" t="n"/>
      <c r="CP353" s="90" t="n"/>
      <c r="CQ353" s="90" t="n"/>
      <c r="CR353" s="90" t="n"/>
      <c r="CS353" s="90" t="n"/>
      <c r="CU353" s="90" t="n"/>
      <c r="CV353" s="90" t="n"/>
      <c r="CW353" s="90" t="n"/>
      <c r="CX353" s="90" t="n"/>
    </row>
    <row r="354" customFormat="1" s="77">
      <c r="A354" s="76" t="n"/>
      <c r="B354" s="76" t="n"/>
      <c r="C354" s="77" t="inlineStr">
        <is>
          <t>CURRENT LIABILITIES (OPERATING, EX DEBT)</t>
        </is>
      </c>
      <c r="D354" s="89">
        <f>IFERROR(D198+D202+D204+D205,"")</f>
        <v>0</v>
      </c>
      <c r="E354" s="89">
        <f>IFERROR(E198+E202+E204+E205,"")</f>
        <v>0</v>
      </c>
      <c r="F354" s="89">
        <f>IFERROR(F198+F202+F204+F205,"")</f>
        <v>0</v>
      </c>
      <c r="G354" s="89">
        <f>IFERROR(G198+G202+G204+G205,"")</f>
        <v>0</v>
      </c>
      <c r="H354" s="263">
        <f>IFERROR((N(H198)+N(H202)+N(H204)+N(H205)),0)</f>
        <v>0</v>
      </c>
      <c r="I354" s="263">
        <f>IFERROR((N(I198)+N(I202)+N(I204)+N(I205)),0)</f>
        <v>352.736</v>
      </c>
      <c r="J354" s="263">
        <f>IFERROR((N(J198)+N(J202)+N(J204)+N(J205)),0)</f>
        <v>370.695</v>
      </c>
      <c r="K354" s="263">
        <f>IFERROR((N(K198)+N(K202)+N(K204)+N(K205)),0)</f>
        <v>377.44</v>
      </c>
      <c r="L354" s="263">
        <f>IFERROR((N(L198)+N(L202)+N(L204)+N(L205)),0)</f>
        <v>359.548</v>
      </c>
      <c r="M354" s="263">
        <f>IFERROR((N(M198)+N(M202)+N(M204)+N(M205)),0)</f>
        <v>359.548</v>
      </c>
      <c r="N354" s="263">
        <f>IFERROR((N(N198)+N(N202)+N(N204)+N(N205)),0)</f>
        <v>433.761</v>
      </c>
      <c r="O354" s="263">
        <f>IFERROR((N(O198)+N(O202)+N(O204)+N(O205)),0)</f>
        <v>494.303</v>
      </c>
      <c r="P354" s="263">
        <f>IFERROR((N(P198)+N(P202)+N(P204)+N(P205)),0)</f>
        <v>531.852</v>
      </c>
      <c r="Q354" s="263">
        <f>IFERROR((N(Q198)+N(Q202)+N(Q204)+N(Q205)),0)</f>
        <v>597.17</v>
      </c>
      <c r="R354" s="263">
        <f>IFERROR((N(R198)+N(R202)+N(R204)+N(R205)),0)</f>
        <v>597.17</v>
      </c>
      <c r="S354" s="263">
        <f>IFERROR((N(S198)+N(S202)+N(S204)+N(S205)),0)</f>
        <v>545.551</v>
      </c>
      <c r="T354" s="263">
        <f>IFERROR((N(T198)+N(T202)+N(T204)+N(T205)),0)</f>
        <v>568.588</v>
      </c>
      <c r="U354" s="263">
        <f>IFERROR((N(U198)+N(U202)+N(U204)+N(U205)),0)</f>
        <v>612.469</v>
      </c>
      <c r="V354" s="263">
        <f>IFERROR((N(V198)+N(V202)+N(V204)+N(V205)),0)</f>
        <v>800.377</v>
      </c>
      <c r="W354" s="263">
        <f>IFERROR((N(W198)+N(W202)+N(W204)+N(W205)),0)</f>
        <v>800.377</v>
      </c>
      <c r="X354" s="263">
        <f>IFERROR((N(X198)+N(X202)+N(X204)+N(X205)),0)</f>
        <v>727.479</v>
      </c>
      <c r="Y354" s="263">
        <f>IFERROR((N(Y198)+N(Y202)+N(Y204)+N(Y205)),0)</f>
        <v>880.161</v>
      </c>
      <c r="Z354" s="263">
        <f>IFERROR((N(Z198)+N(Z202)+N(Z204)+N(Z205)),0)</f>
        <v>1006.08390877</v>
      </c>
      <c r="AA354" s="263">
        <f>IFERROR((N(AA198)+N(AA202)+N(AA204)+N(AA205)),0)</f>
        <v>1297.885</v>
      </c>
      <c r="AB354" s="263">
        <f>IFERROR((N(AB198)+N(AB202)+N(AB204)+N(AB205)),0)</f>
        <v>1297.885</v>
      </c>
      <c r="AC354" s="263">
        <f>IFERROR((N(AC198)+N(AC202)+N(AC204)+N(AC205)),0)</f>
        <v>1023.682</v>
      </c>
      <c r="AD354" s="263">
        <f>IFERROR((N(AD198)+N(AD202)+N(AD204)+N(AD205)),0)</f>
        <v>1528.498</v>
      </c>
      <c r="AE354" s="263">
        <f>IFERROR((N(AE198)+N(AE202)+N(AE204)+N(AE205)),0)</f>
        <v>1179.112</v>
      </c>
      <c r="AF354" s="263">
        <f>IFERROR((N(AF198)+N(AF202)+N(AF204)+N(AF205)),0)</f>
        <v>1333.692</v>
      </c>
      <c r="AG354" s="263">
        <f>IFERROR((N(AG198)+N(AG202)+N(AG204)+N(AG205)),0)</f>
        <v>1333.692</v>
      </c>
      <c r="AH354" s="263">
        <f>IFERROR((N(AH198)+N(AH202)+N(AH204)+N(AH205)),0)</f>
        <v>1272.331</v>
      </c>
      <c r="AI354" s="263">
        <f>IFERROR((N(AI198)+N(AI202)+N(AI204)+N(AI205)),0)</f>
        <v>1375.494</v>
      </c>
      <c r="AJ354" s="263">
        <f>IFERROR((N(AJ198)+N(AJ202)+N(AJ204)+N(AJ205)),0)</f>
        <v>1458.94831467879</v>
      </c>
      <c r="AK354" s="263">
        <f>IFERROR((N(AK198)+N(AK202)+N(AK204)+N(AK205)),0)</f>
        <v>1535.34312977395</v>
      </c>
      <c r="AL354" s="263">
        <f>IFERROR((N(AL198)+N(AL202)+N(AL204)+N(AL205)),0)</f>
        <v>1535.34312977395</v>
      </c>
      <c r="AM354" s="263">
        <f>IFERROR((N(AM198)+N(AM202)+N(AM204)+N(AM205)),0)</f>
        <v>1609.08607945735</v>
      </c>
      <c r="AN354" s="263">
        <f>IFERROR((N(AN198)+N(AN202)+N(AN204)+N(AN205)),0)</f>
        <v>1733.06530812872</v>
      </c>
      <c r="AO354" s="263">
        <f>IFERROR((N(AO198)+N(AO202)+N(AO204)+N(AO205)),0)</f>
        <v>1904.06100672887</v>
      </c>
      <c r="AP354" s="263">
        <f>IFERROR((N(AP198)+N(AP202)+N(AP204)+N(AP205)),0)</f>
        <v>2091.91920853529</v>
      </c>
      <c r="AQ354" s="263">
        <f>IFERROR((N(AQ198)+N(AQ202)+N(AQ204)+N(AQ205)),0)</f>
        <v>2091.91920853529</v>
      </c>
      <c r="AR354" s="263">
        <f>IFERROR((N(AR198)+N(AR202)+N(AR204)+N(AR205)),0)</f>
        <v>2293.45630818411</v>
      </c>
      <c r="AS354" s="263">
        <f>IFERROR((N(AS198)+N(AS202)+N(AS204)+N(AS205)),0)</f>
        <v>2597.60735327071</v>
      </c>
      <c r="AT354" s="263">
        <f>IFERROR((N(AT198)+N(AT202)+N(AT204)+N(AT205)),0)</f>
        <v>2997.47815493101</v>
      </c>
      <c r="AU354" s="263">
        <f>IFERROR((N(AU198)+N(AU202)+N(AU204)+N(AU205)),0)</f>
        <v>3468.47756123978</v>
      </c>
      <c r="AV354" s="263">
        <f>IFERROR((N(AV198)+N(AV202)+N(AV204)+N(AV205)),0)</f>
        <v>3468.47756123978</v>
      </c>
      <c r="AW354" s="263">
        <f>IFERROR((N(AW198)+N(AW202)+N(AW204)+N(AW205)),0)</f>
        <v>4017.43145304051</v>
      </c>
      <c r="AX354" s="263">
        <f>IFERROR((N(AX198)+N(AX202)+N(AX204)+N(AX205)),0)</f>
        <v>4767.91241027707</v>
      </c>
      <c r="AY354" s="263">
        <f>IFERROR((N(AY198)+N(AY202)+N(AY204)+N(AY205)),0)</f>
        <v>5743.0765647068</v>
      </c>
      <c r="AZ354" s="263">
        <f>IFERROR((N(AZ198)+N(AZ202)+N(AZ204)+N(AZ205)),0)</f>
        <v>6933.84987670842</v>
      </c>
      <c r="BA354" s="263">
        <f>IFERROR((N(BA198)+N(BA202)+N(BA204)+N(BA205)),0)</f>
        <v>6933.84987670842</v>
      </c>
      <c r="BB354" s="263">
        <f>IFERROR((N(BB198)+N(BB202)+N(BB204)+N(BB205)),0)</f>
        <v>8366.57118936475</v>
      </c>
      <c r="BC354" s="263">
        <f>IFERROR((N(BC198)+N(BC202)+N(BC204)+N(BC205)),0)</f>
        <v>10251.2832358247</v>
      </c>
      <c r="BD354" s="263">
        <f>IFERROR((N(BD198)+N(BD202)+N(BD204)+N(BD205)),0)</f>
        <v>12666.5175960908</v>
      </c>
      <c r="BE354" s="263">
        <f>IFERROR((N(BE198)+N(BE202)+N(BE204)+N(BE205)),0)</f>
        <v>15665.3720569135</v>
      </c>
      <c r="BF354" s="263">
        <f>IFERROR((N(BF198)+N(BF202)+N(BF204)+N(BF205)),0)</f>
        <v>15665.3720569135</v>
      </c>
      <c r="BG354" s="90" t="n"/>
      <c r="BH354" s="90" t="n"/>
      <c r="BI354" s="90" t="n"/>
      <c r="BJ354" s="90" t="n"/>
      <c r="BL354" s="90" t="n"/>
      <c r="BM354" s="90" t="n"/>
      <c r="BN354" s="90" t="n"/>
      <c r="BO354" s="90" t="n"/>
      <c r="BQ354" s="90" t="n"/>
      <c r="BR354" s="90" t="n"/>
      <c r="BS354" s="90" t="n"/>
      <c r="BT354" s="90" t="n"/>
      <c r="BV354" s="90" t="n"/>
      <c r="BW354" s="90" t="n"/>
      <c r="BX354" s="90" t="n"/>
      <c r="BY354" s="90" t="n"/>
      <c r="CA354" s="90" t="n"/>
      <c r="CB354" s="90" t="n"/>
      <c r="CC354" s="90" t="n"/>
      <c r="CD354" s="90" t="n"/>
      <c r="CF354" s="90" t="n"/>
      <c r="CG354" s="90" t="n"/>
      <c r="CH354" s="90" t="n"/>
      <c r="CI354" s="90" t="n"/>
      <c r="CK354" s="90" t="n"/>
      <c r="CL354" s="90" t="n"/>
      <c r="CM354" s="90" t="n"/>
      <c r="CN354" s="90" t="n"/>
      <c r="CP354" s="90" t="n"/>
      <c r="CQ354" s="90" t="n"/>
      <c r="CR354" s="90" t="n"/>
      <c r="CS354" s="90" t="n"/>
      <c r="CU354" s="90" t="n"/>
      <c r="CV354" s="90" t="n"/>
      <c r="CW354" s="90" t="n"/>
      <c r="CX354" s="90" t="n"/>
    </row>
    <row r="355" customFormat="1" s="77">
      <c r="A355" s="76" t="n"/>
      <c r="B355" s="76" t="n"/>
      <c r="C355" s="77" t="inlineStr">
        <is>
          <t>FIXED ASSETS</t>
        </is>
      </c>
      <c r="D355" s="89">
        <f>IFERROR(D166+D176+D179+D180+D189-D240,"")</f>
        <v>0</v>
      </c>
      <c r="E355" s="89">
        <f>IFERROR(E166+E176+E179+E180+E189-E240,"")</f>
        <v>0</v>
      </c>
      <c r="F355" s="89">
        <f>IFERROR(F166+F176+F179+F180+F189-F240,"")</f>
        <v>0</v>
      </c>
      <c r="G355" s="89">
        <f>IFERROR(G166+G176+G179+G180+G189-G240,"")</f>
        <v>0</v>
      </c>
      <c r="H355" s="263">
        <f>IFERROR((N(H166)+N(H176)+N(H179)+N(H180)+N(H189))-N(H240),0)</f>
        <v>0</v>
      </c>
      <c r="I355" s="263">
        <f>IFERROR((N(I166)+N(I176)+N(I179)+N(I180)+N(I189))-N(I240),0)</f>
        <v>-2198.345</v>
      </c>
      <c r="J355" s="263">
        <f>IFERROR((N(J166)+N(J176)+N(J179)+N(J180)+N(J189))-N(J240),0)</f>
        <v>-2399.224</v>
      </c>
      <c r="K355" s="263">
        <f>IFERROR((N(K166)+N(K176)+N(K179)+N(K180)+N(K189))-N(K240),0)</f>
        <v>-2398.988</v>
      </c>
      <c r="L355" s="263">
        <f>IFERROR((N(L166)+N(L176)+N(L179)+N(L180)+N(L189))-N(L240),0)</f>
        <v>-2417.693</v>
      </c>
      <c r="M355" s="263">
        <f>IFERROR((N(M166)+N(M176)+N(M179)+N(M180)+N(M189))-N(M240),0)</f>
        <v>-2417.693</v>
      </c>
      <c r="N355" s="263">
        <f>IFERROR((N(N166)+N(N176)+N(N179)+N(N180)+N(N189))-N(N240),0)</f>
        <v>-2394.915</v>
      </c>
      <c r="O355" s="263">
        <f>IFERROR((N(O166)+N(O176)+N(O179)+N(O180)+N(O189))-N(O240),0)</f>
        <v>-2326.539</v>
      </c>
      <c r="P355" s="263">
        <f>IFERROR((N(P166)+N(P176)+N(P179)+N(P180)+N(P189))-N(P240),0)</f>
        <v>-2432.573</v>
      </c>
      <c r="Q355" s="263">
        <f>IFERROR((N(Q166)+N(Q176)+N(Q179)+N(Q180)+N(Q189))-N(Q240),0)</f>
        <v>-2780.31</v>
      </c>
      <c r="R355" s="263">
        <f>IFERROR((N(R166)+N(R176)+N(R179)+N(R180)+N(R189))-N(R240),0)</f>
        <v>-2780.31</v>
      </c>
      <c r="S355" s="263">
        <f>IFERROR((N(S166)+N(S176)+N(S179)+N(S180)+N(S189))-N(S240),0)</f>
        <v>-2756.36731296</v>
      </c>
      <c r="T355" s="263">
        <f>IFERROR((N(T166)+N(T176)+N(T179)+N(T180)+N(T189))-N(T240),0)</f>
        <v>-2878.516</v>
      </c>
      <c r="U355" s="263">
        <f>IFERROR((N(U166)+N(U176)+N(U179)+N(U180)+N(U189))-N(U240),0)</f>
        <v>-2891.745</v>
      </c>
      <c r="V355" s="263">
        <f>IFERROR((N(V166)+N(V176)+N(V179)+N(V180)+N(V189))-N(V240),0)</f>
        <v>-3002.872</v>
      </c>
      <c r="W355" s="263">
        <f>IFERROR((N(W166)+N(W176)+N(W179)+N(W180)+N(W189))-N(W240),0)</f>
        <v>-3002.872</v>
      </c>
      <c r="X355" s="263">
        <f>IFERROR((N(X166)+N(X176)+N(X179)+N(X180)+N(X189))-N(X240),0)</f>
        <v>-3082.215</v>
      </c>
      <c r="Y355" s="263">
        <f>IFERROR((N(Y166)+N(Y176)+N(Y179)+N(Y180)+N(Y189))-N(Y240),0)</f>
        <v>-3601.53</v>
      </c>
      <c r="Z355" s="263">
        <f>IFERROR((N(Z166)+N(Z176)+N(Z179)+N(Z180)+N(Z189))-N(Z240),0)</f>
        <v>-4037.51531689</v>
      </c>
      <c r="AA355" s="263">
        <f>IFERROR((N(AA166)+N(AA176)+N(AA179)+N(AA180)+N(AA189))-N(AA240),0)</f>
        <v>-4364.594</v>
      </c>
      <c r="AB355" s="263">
        <f>IFERROR((N(AB166)+N(AB176)+N(AB179)+N(AB180)+N(AB189))-N(AB240),0)</f>
        <v>-4364.594</v>
      </c>
      <c r="AC355" s="263">
        <f>IFERROR((N(AC166)+N(AC176)+N(AC179)+N(AC180)+N(AC189))-N(AC240),0)</f>
        <v>-4673.295</v>
      </c>
      <c r="AD355" s="263">
        <f>IFERROR((N(AD166)+N(AD176)+N(AD179)+N(AD180)+N(AD189))-N(AD240),0)</f>
        <v>-4795.507</v>
      </c>
      <c r="AE355" s="263">
        <f>IFERROR((N(AE166)+N(AE176)+N(AE179)+N(AE180)+N(AE189))-N(AE240),0)</f>
        <v>-5185.291</v>
      </c>
      <c r="AF355" s="263">
        <f>IFERROR((N(AF166)+N(AF176)+N(AF179)+N(AF180)+N(AF189))-N(AF240),0)</f>
        <v>-6005.549</v>
      </c>
      <c r="AG355" s="263">
        <f>IFERROR((N(AG166)+N(AG176)+N(AG179)+N(AG180)+N(AG189))-N(AG240),0)</f>
        <v>-6005.549</v>
      </c>
      <c r="AH355" s="263">
        <f>IFERROR((N(AH166)+N(AH176)+N(AH179)+N(AH180)+N(AH189))-N(AH240),0)</f>
        <v>-6178.875</v>
      </c>
      <c r="AI355" s="263">
        <f>IFERROR((N(AI166)+N(AI176)+N(AI179)+N(AI180)+N(AI189))-N(AI240),0)</f>
        <v>-6643.74</v>
      </c>
      <c r="AJ355" s="263">
        <f>IFERROR((N(AJ166)+N(AJ176)+N(AJ179)+N(AJ180)+N(AJ189))-N(AJ240),0)</f>
        <v>-6632.32507133458</v>
      </c>
      <c r="AK355" s="263">
        <f>IFERROR((N(AK166)+N(AK176)+N(AK179)+N(AK180)+N(AK189))-N(AK240),0)</f>
        <v>-6620.23953632621</v>
      </c>
      <c r="AL355" s="263">
        <f>IFERROR((N(AL166)+N(AL176)+N(AL179)+N(AL180)+N(AL189))-N(AL240),0)</f>
        <v>-6620.23953632621</v>
      </c>
      <c r="AM355" s="263">
        <f>IFERROR((N(AM166)+N(AM176)+N(AM179)+N(AM180)+N(AM189))-N(AM240),0)</f>
        <v>-6608.75851320441</v>
      </c>
      <c r="AN355" s="263">
        <f>IFERROR((N(AN166)+N(AN176)+N(AN179)+N(AN180)+N(AN189))-N(AN240),0)</f>
        <v>-6596.14629292621</v>
      </c>
      <c r="AO355" s="263">
        <f>IFERROR((N(AO166)+N(AO176)+N(AO179)+N(AO180)+N(AO189))-N(AO240),0)</f>
        <v>-6581.49973428046</v>
      </c>
      <c r="AP355" s="263">
        <f>IFERROR((N(AP166)+N(AP176)+N(AP179)+N(AP180)+N(AP189))-N(AP240),0)</f>
        <v>-6565.99271689527</v>
      </c>
      <c r="AQ355" s="263">
        <f>IFERROR((N(AQ166)+N(AQ176)+N(AQ179)+N(AQ180)+N(AQ189))-N(AQ240),0)</f>
        <v>-6565.99271689527</v>
      </c>
      <c r="AR355" s="263">
        <f>IFERROR((N(AR166)+N(AR176)+N(AR179)+N(AR180)+N(AR189))-N(AR240),0)</f>
        <v>-6551.31875719945</v>
      </c>
      <c r="AS355" s="263">
        <f>IFERROR((N(AS166)+N(AS176)+N(AS179)+N(AS180)+N(AS189))-N(AS240),0)</f>
        <v>-6535.19900810796</v>
      </c>
      <c r="AT355" s="263">
        <f>IFERROR((N(AT166)+N(AT176)+N(AT179)+N(AT180)+N(AT189))-N(AT240),0)</f>
        <v>-6516.47915980088</v>
      </c>
      <c r="AU355" s="263">
        <f>IFERROR((N(AU166)+N(AU176)+N(AU179)+N(AU180)+N(AU189))-N(AU240),0)</f>
        <v>-6496.65955437907</v>
      </c>
      <c r="AV355" s="263">
        <f>IFERROR((N(AV166)+N(AV176)+N(AV179)+N(AV180)+N(AV189))-N(AV240),0)</f>
        <v>-6496.65955437907</v>
      </c>
      <c r="AW355" s="263">
        <f>IFERROR((N(AW166)+N(AW176)+N(AW179)+N(AW180)+N(AW189))-N(AW240),0)</f>
        <v>-6477.97805443554</v>
      </c>
      <c r="AX355" s="263">
        <f>IFERROR((N(AX166)+N(AX176)+N(AX179)+N(AX180)+N(AX189))-N(AX240),0)</f>
        <v>-6457.45591194741</v>
      </c>
      <c r="AY355" s="263">
        <f>IFERROR((N(AY166)+N(AY176)+N(AY179)+N(AY180)+N(AY189))-N(AY240),0)</f>
        <v>-6433.62356864396</v>
      </c>
      <c r="AZ355" s="263">
        <f>IFERROR((N(AZ166)+N(AZ176)+N(AZ179)+N(AZ180)+N(AZ189))-N(AZ240),0)</f>
        <v>-6408.39111842304</v>
      </c>
      <c r="BA355" s="263">
        <f>IFERROR((N(BA166)+N(BA176)+N(BA179)+N(BA180)+N(BA189))-N(BA240),0)</f>
        <v>-6408.39111842304</v>
      </c>
      <c r="BB355" s="263">
        <f>IFERROR((N(BB166)+N(BB176)+N(BB179)+N(BB180)+N(BB189))-N(BB240),0)</f>
        <v>-6384.70100413485</v>
      </c>
      <c r="BC355" s="263">
        <f>IFERROR((N(BC166)+N(BC176)+N(BC179)+N(BC180)+N(BC189))-N(BC240),0)</f>
        <v>-6358.67676076832</v>
      </c>
      <c r="BD355" s="263">
        <f>IFERROR((N(BD166)+N(BD176)+N(BD179)+N(BD180)+N(BD189))-N(BD240),0)</f>
        <v>-6328.4548332828</v>
      </c>
      <c r="BE355" s="263">
        <f>IFERROR((N(BE166)+N(BE176)+N(BE179)+N(BE180)+N(BE189))-N(BE240),0)</f>
        <v>-6296.45742240512</v>
      </c>
      <c r="BF355" s="263">
        <f>IFERROR((N(BF166)+N(BF176)+N(BF179)+N(BF180)+N(BF189))-N(BF240),0)</f>
        <v>-6296.45742240512</v>
      </c>
      <c r="BG355" s="90" t="n"/>
      <c r="BH355" s="90" t="n"/>
      <c r="BI355" s="90" t="n"/>
      <c r="BJ355" s="90" t="n"/>
      <c r="BL355" s="90" t="n"/>
      <c r="BM355" s="90" t="n"/>
      <c r="BN355" s="90" t="n"/>
      <c r="BO355" s="90" t="n"/>
      <c r="BQ355" s="90" t="n"/>
      <c r="BR355" s="90" t="n"/>
      <c r="BS355" s="90" t="n"/>
      <c r="BT355" s="90" t="n"/>
      <c r="BV355" s="90" t="n"/>
      <c r="BW355" s="90" t="n"/>
      <c r="BX355" s="90" t="n"/>
      <c r="BY355" s="90" t="n"/>
      <c r="CA355" s="90" t="n"/>
      <c r="CB355" s="90" t="n"/>
      <c r="CC355" s="90" t="n"/>
      <c r="CD355" s="90" t="n"/>
      <c r="CF355" s="90" t="n"/>
      <c r="CG355" s="90" t="n"/>
      <c r="CH355" s="90" t="n"/>
      <c r="CI355" s="90" t="n"/>
      <c r="CK355" s="90" t="n"/>
      <c r="CL355" s="90" t="n"/>
      <c r="CM355" s="90" t="n"/>
      <c r="CN355" s="90" t="n"/>
      <c r="CP355" s="90" t="n"/>
      <c r="CQ355" s="90" t="n"/>
      <c r="CR355" s="90" t="n"/>
      <c r="CS355" s="90" t="n"/>
      <c r="CU355" s="90" t="n"/>
      <c r="CV355" s="90" t="n"/>
      <c r="CW355" s="90" t="n"/>
      <c r="CX355" s="90" t="n"/>
    </row>
    <row r="356" customFormat="1" s="77">
      <c r="A356" s="76" t="n"/>
      <c r="B356" s="76" t="n"/>
    </row>
    <row r="357" customFormat="1" s="77">
      <c r="A357" s="76" t="n"/>
      <c r="B357" s="76" t="n"/>
    </row>
    <row r="358" customFormat="1" s="77">
      <c r="A358" s="76" t="n"/>
      <c r="B358" s="76" t="n"/>
    </row>
    <row r="359" customFormat="1" s="77">
      <c r="A359" s="76" t="n"/>
      <c r="B359" s="76" t="n"/>
    </row>
    <row r="360" customFormat="1" s="77">
      <c r="A360" s="76" t="n"/>
      <c r="B360" s="76" t="n"/>
    </row>
    <row r="361" customFormat="1" s="77">
      <c r="A361" s="76" t="n"/>
      <c r="B361" s="76" t="n"/>
    </row>
    <row r="362" customFormat="1" s="77">
      <c r="A362" s="76" t="n"/>
      <c r="B362" s="76" t="n"/>
    </row>
    <row r="363" customFormat="1" s="77">
      <c r="A363" s="76" t="n"/>
      <c r="B363" s="76" t="n"/>
      <c r="C363" s="74" t="inlineStr">
        <is>
          <t>DUPONT ANALYSIS</t>
        </is>
      </c>
    </row>
    <row r="364" customFormat="1" s="77">
      <c r="A364" s="76" t="n"/>
      <c r="B364" s="76" t="n"/>
      <c r="C364" s="77" t="inlineStr">
        <is>
          <t>NET PROFIT MARGIN (LTM)</t>
        </is>
      </c>
      <c r="D364" s="84" t="str">
        <f>IFERROR(D137/D15,"")</f>
        <v/>
      </c>
      <c r="E364" s="84" t="str">
        <f>IFERROR(E137/E15,"")</f>
        <v/>
      </c>
      <c r="F364" s="84" t="str">
        <f>IFERROR(F137/F15,"")</f>
        <v/>
      </c>
      <c r="G364" s="84" t="str">
        <f>IFERROR(G137/G15,"")</f>
        <v/>
      </c>
      <c r="H364" s="258" t="str">
        <f>IFERROR(IF(AND(COUNT(H137)=1,(H15)&lt;&gt;0),(H137)/(H15),""),"")</f>
        <v/>
      </c>
      <c r="I364" s="257" t="str">
        <f>""</f>
        <v/>
      </c>
      <c r="J364" s="257" t="str">
        <f>""</f>
        <v/>
      </c>
      <c r="K364" s="257" t="str">
        <f>""</f>
        <v/>
      </c>
      <c r="L364" s="257">
        <f>IFERROR(IF(AND(COUNT(I137,J137,K137,L137)=4,(I15+J15+K15+L15)&lt;&gt;0),(I137+J137+K137+L137)/(I15+J15+K15+L15),""),"")</f>
        <v>0.0825295135854941</v>
      </c>
      <c r="M364" s="258">
        <f>IFERROR(IF(AND(COUNT(I137,J137,K137,L137)=4,(I15+J15+K15+L15)&lt;&gt;0),(I137+J137+K137+L137)/(I15+J15+K15+L15),""),"")</f>
        <v>0.0825295135854941</v>
      </c>
      <c r="N364" s="257">
        <f>IFERROR(IF(AND(COUNT(J137,K137,L137,N137)=4,(J15+K15+L15+N15)&lt;&gt;0),(J137+K137+L137+N137)/(J15+K15+L15+N15),""),"")</f>
        <v>0.0800284136690432</v>
      </c>
      <c r="O364" s="257">
        <f>IFERROR(IF(AND(COUNT(K137,L137,N137,O137)=4,(K15+L15+N15+O15)&lt;&gt;0),(K137+L137+N137+O137)/(K15+L15+N15+O15),""),"")</f>
        <v>0.0643311695337251</v>
      </c>
      <c r="P364" s="257">
        <f>IFERROR(IF(AND(COUNT(L137,N137,O137,P137)=4,(L15+N15+O15+P15)&lt;&gt;0),(L137+N137+O137+P137)/(L15+N15+O15+P15),""),"")</f>
        <v>0.0677706938677501</v>
      </c>
      <c r="Q364" s="257">
        <f>IFERROR(IF(AND(COUNT(N137,O137,P137,Q137)=4,(N15+O15+P15+Q15)&lt;&gt;0),(N137+O137+P137+Q137)/(N15+O15+P15+Q15),""),"")</f>
        <v>0.0878667317730008</v>
      </c>
      <c r="R364" s="258">
        <f>IFERROR(IF(AND(COUNT(N137,O137,P137,Q137)=4,(N15+O15+P15+Q15)&lt;&gt;0),(N137+O137+P137+Q137)/(N15+O15+P15+Q15),""),"")</f>
        <v>0.0878667317730008</v>
      </c>
      <c r="S364" s="257">
        <f>IFERROR(IF(AND(COUNT(O137,P137,Q137,S137)=4,(O15+P15+Q15+S15)&lt;&gt;0),(O137+P137+Q137+S137)/(O15+P15+Q15+S15),""),"")</f>
        <v>0.0986188327424703</v>
      </c>
      <c r="T364" s="257">
        <f>IFERROR(IF(AND(COUNT(P137,Q137,S137,T137)=4,(P15+Q15+S15+T15)&lt;&gt;0),(P137+Q137+S137+T137)/(P15+Q15+S15+T15),""),"")</f>
        <v>0.133889135223747</v>
      </c>
      <c r="U364" s="257">
        <f>IFERROR(IF(AND(COUNT(Q137,S137,T137,U137)=4,(Q15+S15+T15+U15)&lt;&gt;0),(Q137+S137+T137+U137)/(Q15+S15+T15+U15),""),"")</f>
        <v>0.13776241535179</v>
      </c>
      <c r="V364" s="257">
        <f>IFERROR(IF(AND(COUNT(S137,T137,U137,V137)=4,(S15+T15+U15+V15)&lt;&gt;0),(S137+T137+U137+V137)/(S15+T15+U15+V15),""),"")</f>
        <v>0.14078012018599</v>
      </c>
      <c r="W364" s="258">
        <f>IFERROR(IF(AND(COUNT(S137,T137,U137,V137)=4,(S15+T15+U15+V15)&lt;&gt;0),(S137+T137+U137+V137)/(S15+T15+U15+V15),""),"")</f>
        <v>0.14078012018599</v>
      </c>
      <c r="X364" s="257">
        <f>IFERROR(IF(AND(COUNT(T137,U137,V137,X137)=4,(T15+U15+V15+X15)&lt;&gt;0),(T137+U137+V137+X137)/(T15+U15+V15+X15),""),"")</f>
        <v>0.171476531550372</v>
      </c>
      <c r="Y364" s="257">
        <f>IFERROR(IF(AND(COUNT(U137,V137,X137,Y137)=4,(U15+V15+X15+Y15)&lt;&gt;0),(U137+V137+X137+Y137)/(U15+V15+X15+Y15),""),"")</f>
        <v>0.171764520524964</v>
      </c>
      <c r="Z364" s="257">
        <f>IFERROR(IF(AND(COUNT(V137,X137,Y137,Z137)=4,(V15+X15+Y15+Z15)&lt;&gt;0),(V137+X137+Y137+Z137)/(V15+X15+Y15+Z15),""),"")</f>
        <v>0.181924111898344</v>
      </c>
      <c r="AA364" s="257">
        <f>IFERROR(IF(AND(COUNT(X137,Y137,Z137,AA137)=4,(X15+Y15+Z15+AA15)&lt;&gt;0),(X137+Y137+Z137+AA137)/(X15+Y15+Z15+AA15),""),"")</f>
        <v>0.190647874061885</v>
      </c>
      <c r="AB364" s="258">
        <f>IFERROR(IF(AND(COUNT(X137,Y137,Z137,AA137)=4,(X15+Y15+Z15+AA15)&lt;&gt;0),(X137+Y137+Z137+AA137)/(X15+Y15+Z15+AA15),""),"")</f>
        <v>0.190647874061885</v>
      </c>
      <c r="AC364" s="257">
        <f>IFERROR(IF(AND(COUNT(Y137,Z137,AA137,AC137)=4,(Y15+Z15+AA15+AC15)&lt;&gt;0),(Y137+Z137+AA137+AC137)/(Y15+Z15+AA15+AC15),""),"")</f>
        <v>0.182642250467373</v>
      </c>
      <c r="AD364" s="257">
        <f>IFERROR(IF(AND(COUNT(Z137,AA137,AC137,AD137)=4,(Z15+AA15+AC15+AD15)&lt;&gt;0),(Z137+AA137+AC137+AD137)/(Z15+AA15+AC15+AD15),""),"")</f>
        <v>0.181907142226849</v>
      </c>
      <c r="AE364" s="257">
        <f>IFERROR(IF(AND(COUNT(AA137,AC137,AD137,AE137)=4,(AA15+AC15+AD15+AE15)&lt;&gt;0),(AA137+AC137+AD137+AE137)/(AA15+AC15+AD15+AE15),""),"")</f>
        <v>0.187899167981195</v>
      </c>
      <c r="AF364" s="257">
        <f>IFERROR(IF(AND(COUNT(AB137,AD137,AE137,AF137)=4,(AB15+AD15+AE15+AF15)&lt;&gt;0),(AB137+AD137+AE137+AF137)/(AB15+AD15+AE15+AF15),""),"")</f>
        <v>0.185837779459807</v>
      </c>
      <c r="AG364" s="258">
        <f>IFERROR(IF(AND(COUNT(AC137,AD137,AE137,AF137)=4,(AC15+AD15+AE15+AF15)&lt;&gt;0),(AC137+AD137+AE137+AF137)/(AC15+AD15+AE15+AF15),""),"")</f>
        <v>0.181749837900368</v>
      </c>
      <c r="AH364" s="257">
        <f>IFERROR(IF(AND(COUNT(AD137,AF137,AG137,AH137)=4,(AD15+AF15+AG15+AH15)&lt;&gt;0),(AD137+AF137+AG137+AH137)/(AD15+AF15+AG15+AH15),""),"")</f>
        <v>0.179221418031059</v>
      </c>
      <c r="AI364" s="257">
        <f>IFERROR(IF(AND(COUNT(AE137,AG137,AH137,AI137)=4,(AE15+AG15+AH15+AI15)&lt;&gt;0),(AE137+AG137+AH137+AI137)/(AE15+AG15+AH15+AI15),""),"")</f>
        <v>0.180474526014639</v>
      </c>
      <c r="AJ364" s="257">
        <f>IFERROR(IF(AND(COUNT(AF137,AH137,AI137,AJ137)=4,(AF15+AH15+AI15+AJ15)&lt;&gt;0),(AF137+AH137+AI137+AJ137)/(AF15+AH15+AI15+AJ15),""),"")</f>
        <v>0.204311054643978</v>
      </c>
      <c r="AK364" s="257">
        <f>IFERROR(IF(AND(COUNT(AH137,AI137,AJ137,AK137)=4,(AH15+AI15+AJ15+AK15)&lt;&gt;0),(AH137+AI137+AJ137+AK137)/(AH15+AI15+AJ15+AK15),""),"")</f>
        <v>0.235168224820432</v>
      </c>
      <c r="AL364" s="258">
        <f>IFERROR(IF(AND(COUNT(AH137,AI137,AJ137,AK137)=4,(AH15+AI15+AJ15+AK15)&lt;&gt;0),(AH137+AI137+AJ137+AK137)/(AH15+AI15+AJ15+AK15),""),"")</f>
        <v>0.235168224820432</v>
      </c>
      <c r="AM364" s="257">
        <f>IFERROR(IF(AND(COUNT(AI137,AJ137,AK137,AM137)=4,(AI15+AJ15+AK15+AM15)&lt;&gt;0),(AI137+AJ137+AK137+AM137)/(AI15+AJ15+AK15+AM15),""),"")</f>
        <v>0.258970584202423</v>
      </c>
      <c r="AN364" s="257">
        <f>IFERROR(IF(AND(COUNT(AJ137,AK137,AM137,AN137)=4,(AJ15+AK15+AM15+AN15)&lt;&gt;0),(AJ137+AK137+AM137+AN137)/(AJ15+AK15+AM15+AN15),""),"")</f>
        <v>0.287446599902329</v>
      </c>
      <c r="AO364" s="257">
        <f>IFERROR(IF(AND(COUNT(AK137,AM137,AN137,AO137)=4,(AK15+AM15+AN15+AO15)&lt;&gt;0),(AK137+AM137+AN137+AO137)/(AK15+AM15+AN15+AO15),""),"")</f>
        <v>0.287446599902329</v>
      </c>
      <c r="AP364" s="257">
        <f>IFERROR(IF(AND(COUNT(AM137,AN137,AO137,AP137)=4,(AM15+AN15+AO15+AP15)&lt;&gt;0),(AM137+AN137+AO137+AP137)/(AM15+AN15+AO15+AP15),""),"")</f>
        <v>0.287446599902329</v>
      </c>
      <c r="AQ364" s="258">
        <f>IFERROR(IF(AND(COUNT(AM137,AN137,AO137,AP137)=4,(AM15+AN15+AO15+AP15)&lt;&gt;0),(AM137+AN137+AO137+AP137)/(AM15+AN15+AO15+AP15),""),"")</f>
        <v>0.287446599902329</v>
      </c>
      <c r="AR364" s="257">
        <f>IFERROR(IF(AND(COUNT(AN137,AO137,AP137,AR137)=4,(AN15+AO15+AP15+AR15)&lt;&gt;0),(AN137+AO137+AP137+AR137)/(AN15+AO15+AP15+AR15),""),"")</f>
        <v>0.287446599902329</v>
      </c>
      <c r="AS364" s="257">
        <f>IFERROR(IF(AND(COUNT(AO137,AP137,AR137,AS137)=4,(AO15+AP15+AR15+AS15)&lt;&gt;0),(AO137+AP137+AR137+AS137)/(AO15+AP15+AR15+AS15),""),"")</f>
        <v>0.287446599902329</v>
      </c>
      <c r="AT364" s="257">
        <f>IFERROR(IF(AND(COUNT(AP137,AR137,AS137,AT137)=4,(AP15+AR15+AS15+AT15)&lt;&gt;0),(AP137+AR137+AS137+AT137)/(AP15+AR15+AS15+AT15),""),"")</f>
        <v>0.287446599902329</v>
      </c>
      <c r="AU364" s="257">
        <f>IFERROR(IF(AND(COUNT(AR137,AS137,AT137,AU137)=4,(AR15+AS15+AT15+AU15)&lt;&gt;0),(AR137+AS137+AT137+AU137)/(AR15+AS15+AT15+AU15),""),"")</f>
        <v>0.287446599902329</v>
      </c>
      <c r="AV364" s="258">
        <f>IFERROR(IF(AND(COUNT(AR137,AS137,AT137,AU137)=4,(AR15+AS15+AT15+AU15)&lt;&gt;0),(AR137+AS137+AT137+AU137)/(AR15+AS15+AT15+AU15),""),"")</f>
        <v>0.287446599902329</v>
      </c>
      <c r="AW364" s="257">
        <f>IFERROR(IF(AND(COUNT(AS137,AT137,AU137,AW137)=4,(AS15+AT15+AU15+AW15)&lt;&gt;0),(AS137+AT137+AU137+AW137)/(AS15+AT15+AU15+AW15),""),"")</f>
        <v>0.287446599902329</v>
      </c>
      <c r="AX364" s="257">
        <f>IFERROR(IF(AND(COUNT(AT137,AU137,AW137,AX137)=4,(AT15+AU15+AW15+AX15)&lt;&gt;0),(AT137+AU137+AW137+AX137)/(AT15+AU15+AW15+AX15),""),"")</f>
        <v>0.287446599902329</v>
      </c>
      <c r="AY364" s="257">
        <f>IFERROR(IF(AND(COUNT(AU137,AW137,AX137,AY137)=4,(AU15+AW15+AX15+AY15)&lt;&gt;0),(AU137+AW137+AX137+AY137)/(AU15+AW15+AX15+AY15),""),"")</f>
        <v>0.287446599902329</v>
      </c>
      <c r="AZ364" s="257">
        <f>IFERROR(IF(AND(COUNT(AW137,AX137,AY137,AZ137)=4,(AW15+AX15+AY15+AZ15)&lt;&gt;0),(AW137+AX137+AY137+AZ137)/(AW15+AX15+AY15+AZ15),""),"")</f>
        <v>0.287446599902329</v>
      </c>
      <c r="BA364" s="258">
        <f>IFERROR(IF(AND(COUNT(AW137,AX137,AY137,AZ137)=4,(AW15+AX15+AY15+AZ15)&lt;&gt;0),(AW137+AX137+AY137+AZ137)/(AW15+AX15+AY15+AZ15),""),"")</f>
        <v>0.287446599902329</v>
      </c>
      <c r="BB364" s="257">
        <f>IFERROR(IF(AND(COUNT(AX137,AY137,AZ137,BB137)=4,(AX15+AY15+AZ15+BB15)&lt;&gt;0),(AX137+AY137+AZ137+BB137)/(AX15+AY15+AZ15+BB15),""),"")</f>
        <v>0.287446599902329</v>
      </c>
      <c r="BC364" s="257">
        <f>IFERROR(IF(AND(COUNT(AY137,AZ137,BB137,BC137)=4,(AY15+AZ15+BB15+BC15)&lt;&gt;0),(AY137+AZ137+BB137+BC137)/(AY15+AZ15+BB15+BC15),""),"")</f>
        <v>0.287446599902329</v>
      </c>
      <c r="BD364" s="257">
        <f>IFERROR(IF(AND(COUNT(AZ137,BB137,BC137,BD137)=4,(AZ15+BB15+BC15+BD15)&lt;&gt;0),(AZ137+BB137+BC137+BD137)/(AZ15+BB15+BC15+BD15),""),"")</f>
        <v>0.287446599902329</v>
      </c>
      <c r="BE364" s="257">
        <f>IFERROR(IF(AND(COUNT(BB137,BC137,BD137,BE137)=4,(BB15+BC15+BD15+BE15)&lt;&gt;0),(BB137+BC137+BD137+BE137)/(BB15+BC15+BD15+BE15),""),"")</f>
        <v>0.287446599902329</v>
      </c>
      <c r="BF364" s="258">
        <f>IFERROR(IF(AND(COUNT(BB137,BC137,BD137,BE137)=4,(BB15+BC15+BD15+BE15)&lt;&gt;0),(BB137+BC137+BD137+BE137)/(BB15+BC15+BD15+BE15),""),"")</f>
        <v>0.287446599902329</v>
      </c>
      <c r="BG364" s="81" t="n"/>
      <c r="BH364" s="81" t="n"/>
      <c r="BI364" s="81" t="n"/>
      <c r="BJ364" s="81" t="n"/>
      <c r="BL364" s="81" t="n"/>
      <c r="BM364" s="81" t="n"/>
      <c r="BN364" s="81" t="n"/>
      <c r="BO364" s="81" t="n"/>
      <c r="BQ364" s="81" t="n"/>
      <c r="BR364" s="81" t="n"/>
      <c r="BS364" s="81" t="n"/>
      <c r="BT364" s="81" t="n"/>
      <c r="BV364" s="81" t="n"/>
      <c r="BW364" s="81" t="n"/>
      <c r="BX364" s="81" t="n"/>
      <c r="BY364" s="81" t="n"/>
      <c r="CA364" s="81" t="n"/>
      <c r="CB364" s="81" t="n"/>
      <c r="CC364" s="81" t="n"/>
      <c r="CD364" s="81" t="n"/>
      <c r="CF364" s="81" t="n"/>
      <c r="CG364" s="81" t="n"/>
      <c r="CH364" s="81" t="n"/>
      <c r="CI364" s="81" t="n"/>
      <c r="CK364" s="81" t="n"/>
      <c r="CL364" s="81" t="n"/>
      <c r="CM364" s="81" t="n"/>
      <c r="CN364" s="81" t="n"/>
      <c r="CP364" s="81" t="n"/>
      <c r="CQ364" s="81" t="n"/>
      <c r="CR364" s="81" t="n"/>
      <c r="CS364" s="81" t="n"/>
      <c r="CU364" s="81" t="n"/>
      <c r="CV364" s="81" t="n"/>
      <c r="CW364" s="81" t="n"/>
      <c r="CX364" s="81" t="n"/>
    </row>
    <row r="365" customFormat="1" s="77">
      <c r="A365" s="76" t="n"/>
      <c r="B365" s="76" t="n"/>
      <c r="C365" s="77" t="inlineStr">
        <is>
          <t>ASSET TURNOVER (LTM REVENUE / ASSETS)</t>
        </is>
      </c>
      <c r="D365" s="84" t="str">
        <f>IFERROR(D15/D197,"")</f>
        <v/>
      </c>
      <c r="E365" s="84" t="str">
        <f>IFERROR(E15/E197,"")</f>
        <v/>
      </c>
      <c r="F365" s="84" t="str">
        <f>IFERROR(F15/F197,"")</f>
        <v/>
      </c>
      <c r="G365" s="84" t="str">
        <f>IFERROR(G15/G197,"")</f>
        <v/>
      </c>
      <c r="H365" s="262" t="str">
        <f>IFERROR(IF(AND(COUNT(H15)=1,N(H197)&lt;&gt;0),(H15)/H197,""),"")</f>
        <v/>
      </c>
      <c r="I365" s="264" t="str">
        <f>""</f>
        <v/>
      </c>
      <c r="J365" s="264" t="str">
        <f>""</f>
        <v/>
      </c>
      <c r="K365" s="264" t="str">
        <f>""</f>
        <v/>
      </c>
      <c r="L365" s="264">
        <f>IFERROR(IF(AND(COUNT(I15,J15,K15,L15)=4,N(L197)&lt;&gt;0),(I15+J15+K15+L15)/L197,""),"")</f>
        <v>0.312763937158461</v>
      </c>
      <c r="M365" s="262">
        <f>IFERROR(IF(AND(COUNT(I15,J15,K15,L15)=4,N(M197)&lt;&gt;0),(I15+J15+K15+L15)/M197,""),"")</f>
        <v>0.312763937158461</v>
      </c>
      <c r="N365" s="264">
        <f>IFERROR(IF(AND(COUNT(J15,K15,L15,N15)=4,N(N197)&lt;&gt;0),(J15+K15+L15+N15)/N197,""),"")</f>
        <v>0.314660056462448</v>
      </c>
      <c r="O365" s="264">
        <f>IFERROR(IF(AND(COUNT(K15,L15,N15,O15)=4,N(O197)&lt;&gt;0),(K15+L15+N15+O15)/O197,""),"")</f>
        <v>0.346680119826986</v>
      </c>
      <c r="P365" s="264">
        <f>IFERROR(IF(AND(COUNT(L15,N15,O15,P15)=4,N(P197)&lt;&gt;0),(L15+N15+O15+P15)/P197,""),"")</f>
        <v>0.34070320456538</v>
      </c>
      <c r="Q365" s="264">
        <f>IFERROR(IF(AND(COUNT(N15,O15,P15,Q15)=4,N(Q197)&lt;&gt;0),(N15+O15+P15+Q15)/Q197,""),"")</f>
        <v>0.333252843284025</v>
      </c>
      <c r="R365" s="262">
        <f>IFERROR(IF(AND(COUNT(N15,O15,P15,Q15)=4,N(R197)&lt;&gt;0),(N15+O15+P15+Q15)/R197,""),"")</f>
        <v>0.333252843284025</v>
      </c>
      <c r="S365" s="264">
        <f>IFERROR(IF(AND(COUNT(O15,P15,Q15,S15)=4,N(S197)&lt;&gt;0),(O15+P15+Q15+S15)/S197,""),"")</f>
        <v>0.347389949477189</v>
      </c>
      <c r="T365" s="264">
        <f>IFERROR(IF(AND(COUNT(P15,Q15,S15,T15)=4,N(T197)&lt;&gt;0),(P15+Q15+S15+T15)/T197,""),"")</f>
        <v>0.33365398580982</v>
      </c>
      <c r="U365" s="264">
        <f>IFERROR(IF(AND(COUNT(Q15,S15,T15,U15)=4,N(U197)&lt;&gt;0),(Q15+S15+T15+U15)/U197,""),"")</f>
        <v>0.313549848775915</v>
      </c>
      <c r="V365" s="264">
        <f>IFERROR(IF(AND(COUNT(S15,T15,U15,V15)=4,N(V197)&lt;&gt;0),(S15+T15+U15+V15)/V197,""),"")</f>
        <v>0.311054914281137</v>
      </c>
      <c r="W365" s="262">
        <f>IFERROR(IF(AND(COUNT(S15,T15,U15,V15)=4,N(W197)&lt;&gt;0),(S15+T15+U15+V15)/W197,""),"")</f>
        <v>0.311054914281137</v>
      </c>
      <c r="X365" s="264">
        <f>IFERROR(IF(AND(COUNT(T15,U15,V15,X15)=4,N(X197)&lt;&gt;0),(T15+U15+V15+X15)/X197,""),"")</f>
        <v>0.313197458485156</v>
      </c>
      <c r="Y365" s="264">
        <f>IFERROR(IF(AND(COUNT(U15,V15,X15,Y15)=4,N(Y197)&lt;&gt;0),(U15+V15+X15+Y15)/Y197,""),"")</f>
        <v>0.307490191496555</v>
      </c>
      <c r="Z365" s="264">
        <f>IFERROR(IF(AND(COUNT(V15,X15,Y15,Z15)=4,N(Z197)&lt;&gt;0),(V15+X15+Y15+Z15)/Z197,""),"")</f>
        <v>0.321299655453502</v>
      </c>
      <c r="AA365" s="264">
        <f>IFERROR(IF(AND(COUNT(X15,Y15,Z15,AA15)=4,N(AA197)&lt;&gt;0),(X15+Y15+Z15+AA15)/AA197,""),"")</f>
        <v>0.332605042450856</v>
      </c>
      <c r="AB365" s="262">
        <f>IFERROR(IF(AND(COUNT(X15,Y15,Z15,AA15)=4,N(AB197)&lt;&gt;0),(X15+Y15+Z15+AA15)/AB197,""),"")</f>
        <v>0.332605042450856</v>
      </c>
      <c r="AC365" s="264">
        <f>IFERROR(IF(AND(COUNT(Y15,Z15,AA15,AC15)=4,N(AC197)&lt;&gt;0),(Y15+Z15+AA15+AC15)/AC197,""),"")</f>
        <v>0.336701453508917</v>
      </c>
      <c r="AD365" s="264">
        <f>IFERROR(IF(AND(COUNT(Z15,AA15,AC15,AD15)=4,N(AD197)&lt;&gt;0),(Z15+AA15+AC15+AD15)/AD197,""),"")</f>
        <v>0.328019069655735</v>
      </c>
      <c r="AE365" s="264">
        <f>IFERROR(IF(AND(COUNT(AA15,AC15,AD15,AE15)=4,N(AE197)&lt;&gt;0),(AA15+AC15+AD15+AE15)/AE197,""),"")</f>
        <v>0.325504315733568</v>
      </c>
      <c r="AF365" s="264">
        <f>IFERROR(IF(AND(COUNT(AB15,AD15,AE15,AF15)=4,N(AF197)&lt;&gt;0),(AB15+AD15+AE15+AF15)/AF197,""),"")</f>
        <v>0.514185603460307</v>
      </c>
      <c r="AG365" s="262">
        <f>IFERROR(IF(AND(COUNT(AC15,AD15,AE15,AF15)=4,N(AG197)&lt;&gt;0),(AC15+AD15+AE15+AF15)/AG197,""),"")</f>
        <v>0.328527073553846</v>
      </c>
      <c r="AH365" s="264">
        <f>IFERROR(IF(AND(COUNT(AD15,AF15,AG15,AH15)=4,N(AH197)&lt;&gt;0),(AD15+AF15+AG15+AH15)/AH197,""),"")</f>
        <v>0.560367219078009</v>
      </c>
      <c r="AI365" s="264">
        <f>IFERROR(IF(AND(COUNT(AE15,AG15,AH15,AI15)=4,N(AI197)&lt;&gt;0),(AE15+AG15+AH15+AI15)/AI197,""),"")</f>
        <v>0.54309887165428</v>
      </c>
      <c r="AJ365" s="264">
        <f>IFERROR(IF(AND(COUNT(AF15,AH15,AI15,AJ15)=4,N(AJ197)&lt;&gt;0),(AF15+AH15+AI15+AJ15)/AJ197,""),"")</f>
        <v>0.340531761982343</v>
      </c>
      <c r="AK365" s="264">
        <f>IFERROR(IF(AND(COUNT(AH15,AI15,AJ15,AK15)=4,N(AK197)&lt;&gt;0),(AH15+AI15+AJ15+AK15)/AK197,""),"")</f>
        <v>0.35119514596201</v>
      </c>
      <c r="AL365" s="262">
        <f>IFERROR(IF(AND(COUNT(AH15,AI15,AJ15,AK15)=4,N(AL197)&lt;&gt;0),(AH15+AI15+AJ15+AK15)/AL197,""),"")</f>
        <v>0.35119514596201</v>
      </c>
      <c r="AM365" s="264">
        <f>IFERROR(IF(AND(COUNT(AI15,AJ15,AK15,AM15)=4,N(AM197)&lt;&gt;0),(AI15+AJ15+AK15+AM15)/AM197,""),"")</f>
        <v>0.360653411031679</v>
      </c>
      <c r="AN365" s="264">
        <f>IFERROR(IF(AND(COUNT(AJ15,AK15,AM15,AN15)=4,N(AN197)&lt;&gt;0),(AJ15+AK15+AM15+AN15)/AN197,""),"")</f>
        <v>0.369438171167038</v>
      </c>
      <c r="AO365" s="264">
        <f>IFERROR(IF(AND(COUNT(AK15,AM15,AN15,AO15)=4,N(AO197)&lt;&gt;0),(AK15+AM15+AN15+AO15)/AO197,""),"")</f>
        <v>0.378301965438079</v>
      </c>
      <c r="AP365" s="264">
        <f>IFERROR(IF(AND(COUNT(AM15,AN15,AO15,AP15)=4,N(AP197)&lt;&gt;0),(AM15+AN15+AO15+AP15)/AP197,""),"")</f>
        <v>0.38678075381333</v>
      </c>
      <c r="AQ365" s="262">
        <f>IFERROR(IF(AND(COUNT(AM15,AN15,AO15,AP15)=4,N(AQ197)&lt;&gt;0),(AM15+AN15+AO15+AP15)/AQ197,""),"")</f>
        <v>0.38678075381333</v>
      </c>
      <c r="AR365" s="264">
        <f>IFERROR(IF(AND(COUNT(AN15,AO15,AP15,AR15)=4,N(AR197)&lt;&gt;0),(AN15+AO15+AP15+AR15)/AR197,""),"")</f>
        <v>0.393372761604635</v>
      </c>
      <c r="AS365" s="264">
        <f>IFERROR(IF(AND(COUNT(AO15,AP15,AR15,AS15)=4,N(AS197)&lt;&gt;0),(AO15+AP15+AR15+AS15)/AS197,""),"")</f>
        <v>0.398376377494075</v>
      </c>
      <c r="AT365" s="264">
        <f>IFERROR(IF(AND(COUNT(AP15,AR15,AS15,AT15)=4,N(AT197)&lt;&gt;0),(AP15+AR15+AS15+AT15)/AT197,""),"")</f>
        <v>0.402747231714846</v>
      </c>
      <c r="AU365" s="264">
        <f>IFERROR(IF(AND(COUNT(AR15,AS15,AT15,AU15)=4,N(AU197)&lt;&gt;0),(AR15+AS15+AT15+AU15)/AU197,""),"")</f>
        <v>0.406030003800697</v>
      </c>
      <c r="AV365" s="262">
        <f>IFERROR(IF(AND(COUNT(AR15,AS15,AT15,AU15)=4,N(AV197)&lt;&gt;0),(AR15+AS15+AT15+AU15)/AV197,""),"")</f>
        <v>0.406030003800697</v>
      </c>
      <c r="AW365" s="264">
        <f>IFERROR(IF(AND(COUNT(AS15,AT15,AU15,AW15)=4,N(AW197)&lt;&gt;0),(AS15+AT15+AU15+AW15)/AW197,""),"")</f>
        <v>0.406665223218401</v>
      </c>
      <c r="AX365" s="264">
        <f>IFERROR(IF(AND(COUNT(AT15,AU15,AW15,AX15)=4,N(AX197)&lt;&gt;0),(AT15+AU15+AW15+AX15)/AX197,""),"")</f>
        <v>0.40488644767644</v>
      </c>
      <c r="AY365" s="264">
        <f>IFERROR(IF(AND(COUNT(AU15,AW15,AX15,AY15)=4,N(AY197)&lt;&gt;0),(AU15+AW15+AX15+AY15)/AY197,""),"")</f>
        <v>0.401518769063636</v>
      </c>
      <c r="AZ365" s="264">
        <f>IFERROR(IF(AND(COUNT(AW15,AX15,AY15,AZ15)=4,N(AZ197)&lt;&gt;0),(AW15+AX15+AY15+AZ15)/AZ197,""),"")</f>
        <v>0.396252682311721</v>
      </c>
      <c r="BA365" s="262">
        <f>IFERROR(IF(AND(COUNT(AW15,AX15,AY15,AZ15)=4,N(BA197)&lt;&gt;0),(AW15+AX15+AY15+AZ15)/BA197,""),"")</f>
        <v>0.396252682311721</v>
      </c>
      <c r="BB365" s="264">
        <f>IFERROR(IF(AND(COUNT(AX15,AY15,AZ15,BB15)=4,N(BB197)&lt;&gt;0),(AX15+AY15+AZ15+BB15)/BB197,""),"")</f>
        <v>0.387723596054588</v>
      </c>
      <c r="BC365" s="264">
        <f>IFERROR(IF(AND(COUNT(AY15,AZ15,BB15,BC15)=4,N(BC197)&lt;&gt;0),(AY15+AZ15+BB15+BC15)/BC197,""),"")</f>
        <v>0.376246726459303</v>
      </c>
      <c r="BD365" s="264">
        <f>IFERROR(IF(AND(COUNT(AZ15,BB15,BC15,BD15)=4,N(BD197)&lt;&gt;0),(AZ15+BB15+BC15+BD15)/BD197,""),"")</f>
        <v>0.362922020264276</v>
      </c>
      <c r="BE365" s="264">
        <f>IFERROR(IF(AND(COUNT(BB15,BC15,BD15,BE15)=4,N(BE197)&lt;&gt;0),(BB15+BC15+BD15+BE15)/BE197,""),"")</f>
        <v>0.347595306050777</v>
      </c>
      <c r="BF365" s="262">
        <f>IFERROR(IF(AND(COUNT(BB15,BC15,BD15,BE15)=4,N(BF197)&lt;&gt;0),(BB15+BC15+BD15+BE15)/BF197,""),"")</f>
        <v>0.347595306050777</v>
      </c>
      <c r="BG365" s="81" t="n"/>
      <c r="BH365" s="81" t="n"/>
      <c r="BI365" s="81" t="n"/>
      <c r="BJ365" s="81" t="n"/>
      <c r="BL365" s="81" t="n"/>
      <c r="BM365" s="81" t="n"/>
      <c r="BN365" s="81" t="n"/>
      <c r="BO365" s="81" t="n"/>
      <c r="BQ365" s="81" t="n"/>
      <c r="BR365" s="81" t="n"/>
      <c r="BS365" s="81" t="n"/>
      <c r="BT365" s="81" t="n"/>
      <c r="BV365" s="81" t="n"/>
      <c r="BW365" s="81" t="n"/>
      <c r="BX365" s="81" t="n"/>
      <c r="BY365" s="81" t="n"/>
      <c r="CA365" s="81" t="n"/>
      <c r="CB365" s="81" t="n"/>
      <c r="CC365" s="81" t="n"/>
      <c r="CD365" s="81" t="n"/>
      <c r="CF365" s="81" t="n"/>
      <c r="CG365" s="81" t="n"/>
      <c r="CH365" s="81" t="n"/>
      <c r="CI365" s="81" t="n"/>
      <c r="CK365" s="81" t="n"/>
      <c r="CL365" s="81" t="n"/>
      <c r="CM365" s="81" t="n"/>
      <c r="CN365" s="81" t="n"/>
      <c r="CP365" s="81" t="n"/>
      <c r="CQ365" s="81" t="n"/>
      <c r="CR365" s="81" t="n"/>
      <c r="CS365" s="81" t="n"/>
      <c r="CU365" s="81" t="n"/>
      <c r="CV365" s="81" t="n"/>
      <c r="CW365" s="81" t="n"/>
      <c r="CX365" s="81" t="n"/>
    </row>
    <row r="366" customFormat="1" s="77">
      <c r="A366" s="76" t="n"/>
      <c r="B366" s="76" t="n"/>
      <c r="C366" s="77" t="inlineStr">
        <is>
          <t>EQUITY MULTIPLIER (ASSETS / EQUITY)</t>
        </is>
      </c>
      <c r="D366" s="84" t="str">
        <f>IFERROR(D197/D271,"")</f>
        <v/>
      </c>
      <c r="E366" s="84" t="str">
        <f>IFERROR(E197/E271,"")</f>
        <v/>
      </c>
      <c r="F366" s="84" t="str">
        <f>IFERROR(F197/F271,"")</f>
        <v/>
      </c>
      <c r="G366" s="84" t="str">
        <f>IFERROR(G197/G271,"")</f>
        <v/>
      </c>
      <c r="H366" s="262" t="str">
        <f>IFERROR(IF(N(H271)&lt;&gt;0,H197/H271,""),"")</f>
        <v/>
      </c>
      <c r="I366" s="264">
        <f>IFERROR(IF(N(I271)&lt;&gt;0,I197/I271,""),"")</f>
        <v>3.81775880716419</v>
      </c>
      <c r="J366" s="264">
        <f>IFERROR(IF(N(J271)&lt;&gt;0,J197/J271,""),"")</f>
        <v>4.18898256044667</v>
      </c>
      <c r="K366" s="264">
        <f>IFERROR(IF(N(K271)&lt;&gt;0,K197/K271,""),"")</f>
        <v>4.06999662364891</v>
      </c>
      <c r="L366" s="264">
        <f>IFERROR(IF(N(L271)&lt;&gt;0,L197/L271,""),"")</f>
        <v>3.8934033918754</v>
      </c>
      <c r="M366" s="262">
        <f>IFERROR(IF(N(M271)&lt;&gt;0,M197/M271,""),"")</f>
        <v>3.8934033918754</v>
      </c>
      <c r="N366" s="264">
        <f>IFERROR(IF(N(N271)&lt;&gt;0,N197/N271,""),"")</f>
        <v>3.90136984831547</v>
      </c>
      <c r="O366" s="264">
        <f>IFERROR(IF(N(O271)&lt;&gt;0,O197/O271,""),"")</f>
        <v>3.74942080186438</v>
      </c>
      <c r="P366" s="264">
        <f>IFERROR(IF(N(P271)&lt;&gt;0,P197/P271,""),"")</f>
        <v>4.0706979988436</v>
      </c>
      <c r="Q366" s="264">
        <f>IFERROR(IF(N(Q271)&lt;&gt;0,Q197/Q271,""),"")</f>
        <v>4.47640020831968</v>
      </c>
      <c r="R366" s="262">
        <f>IFERROR(IF(N(R271)&lt;&gt;0,R197/R271,""),"")</f>
        <v>4.47640020831968</v>
      </c>
      <c r="S366" s="264">
        <f>IFERROR(IF(N(S271)&lt;&gt;0,S197/S271,""),"")</f>
        <v>4.28991761550532</v>
      </c>
      <c r="T366" s="264">
        <f>IFERROR(IF(N(T271)&lt;&gt;0,T197/T271,""),"")</f>
        <v>4.22614492148937</v>
      </c>
      <c r="U366" s="264">
        <f>IFERROR(IF(N(U271)&lt;&gt;0,U197/U271,""),"")</f>
        <v>3.43427958115816</v>
      </c>
      <c r="V366" s="264">
        <f>IFERROR(IF(N(V271)&lt;&gt;0,V197/V271,""),"")</f>
        <v>3.58743910435775</v>
      </c>
      <c r="W366" s="262">
        <f>IFERROR(IF(N(W271)&lt;&gt;0,W197/W271,""),"")</f>
        <v>3.58743910435775</v>
      </c>
      <c r="X366" s="264">
        <f>IFERROR(IF(N(X271)&lt;&gt;0,X197/X271,""),"")</f>
        <v>3.46858755648594</v>
      </c>
      <c r="Y366" s="264">
        <f>IFERROR(IF(N(Y271)&lt;&gt;0,Y197/Y271,""),"")</f>
        <v>3.60901737598244</v>
      </c>
      <c r="Z366" s="264">
        <f>IFERROR(IF(N(Z271)&lt;&gt;0,Z197/Z271,""),"")</f>
        <v>4.24012233969299</v>
      </c>
      <c r="AA366" s="264">
        <f>IFERROR(IF(N(AA271)&lt;&gt;0,AA197/AA271,""),"")</f>
        <v>4.52721820023915</v>
      </c>
      <c r="AB366" s="262">
        <f>IFERROR(IF(N(AB271)&lt;&gt;0,AB197/AB271,""),"")</f>
        <v>4.52721820023915</v>
      </c>
      <c r="AC366" s="264">
        <f>IFERROR(IF(N(AC271)&lt;&gt;0,AC197/AC271,""),"")</f>
        <v>4.48396719496685</v>
      </c>
      <c r="AD366" s="264">
        <f>IFERROR(IF(N(AD271)&lt;&gt;0,AD197/AD271,""),"")</f>
        <v>4.68170643352964</v>
      </c>
      <c r="AE366" s="264">
        <f>IFERROR(IF(N(AE271)&lt;&gt;0,AE197/AE271,""),"")</f>
        <v>4.56430268268814</v>
      </c>
      <c r="AF366" s="264">
        <f>IFERROR(IF(N(AF271)&lt;&gt;0,AF197/AF271,""),"")</f>
        <v>5.69774768969778</v>
      </c>
      <c r="AG366" s="262">
        <f>IFERROR(IF(N(AG271)&lt;&gt;0,AG197/AG271,""),"")</f>
        <v>5.69774768969778</v>
      </c>
      <c r="AH366" s="264">
        <f>IFERROR(IF(N(AH271)&lt;&gt;0,AH197/AH271,""),"")</f>
        <v>5.45732191748054</v>
      </c>
      <c r="AI366" s="264">
        <f>IFERROR(IF(N(AI271)&lt;&gt;0,AI197/AI271,""),"")</f>
        <v>5.34437672579647</v>
      </c>
      <c r="AJ366" s="264">
        <f>IFERROR(IF(N(AJ271)&lt;&gt;0,AJ197/AJ271,""),"")</f>
        <v>4.78443960381932</v>
      </c>
      <c r="AK366" s="264">
        <f>IFERROR(IF(N(AK271)&lt;&gt;0,AK197/AK271,""),"")</f>
        <v>4.33242218904865</v>
      </c>
      <c r="AL366" s="262">
        <f>IFERROR(IF(N(AL271)&lt;&gt;0,AL197/AL271,""),"")</f>
        <v>4.33242218904865</v>
      </c>
      <c r="AM366" s="264">
        <f>IFERROR(IF(N(AM271)&lt;&gt;0,AM197/AM271,""),"")</f>
        <v>3.99687634241662</v>
      </c>
      <c r="AN366" s="264">
        <f>IFERROR(IF(N(AN271)&lt;&gt;0,AN197/AN271,""),"")</f>
        <v>3.71132389761476</v>
      </c>
      <c r="AO366" s="264">
        <f>IFERROR(IF(N(AO271)&lt;&gt;0,AO197/AO271,""),"")</f>
        <v>3.45180310968269</v>
      </c>
      <c r="AP366" s="264">
        <f>IFERROR(IF(N(AP271)&lt;&gt;0,AP197/AP271,""),"")</f>
        <v>3.23314390504523</v>
      </c>
      <c r="AQ366" s="262">
        <f>IFERROR(IF(N(AQ271)&lt;&gt;0,AQ197/AQ271,""),"")</f>
        <v>3.23314390504523</v>
      </c>
      <c r="AR366" s="264">
        <f>IFERROR(IF(N(AR271)&lt;&gt;0,AR197/AR271,""),"")</f>
        <v>3.0677819119714</v>
      </c>
      <c r="AS366" s="264">
        <f>IFERROR(IF(N(AS271)&lt;&gt;0,AS197/AS271,""),"")</f>
        <v>2.92908638846606</v>
      </c>
      <c r="AT366" s="264">
        <f>IFERROR(IF(N(AT271)&lt;&gt;0,AT197/AT271,""),"")</f>
        <v>2.80224029582139</v>
      </c>
      <c r="AU366" s="264">
        <f>IFERROR(IF(N(AU271)&lt;&gt;0,AU197/AU271,""),"")</f>
        <v>2.69722373497905</v>
      </c>
      <c r="AV366" s="262">
        <f>IFERROR(IF(N(AV271)&lt;&gt;0,AV197/AV271,""),"")</f>
        <v>2.69722373497905</v>
      </c>
      <c r="AW366" s="264">
        <f>IFERROR(IF(N(AW271)&lt;&gt;0,AW197/AW271,""),"")</f>
        <v>2.62593558393498</v>
      </c>
      <c r="AX366" s="264">
        <f>IFERROR(IF(N(AX271)&lt;&gt;0,AX197/AX271,""),"")</f>
        <v>2.57464728836237</v>
      </c>
      <c r="AY366" s="264">
        <f>IFERROR(IF(N(AY271)&lt;&gt;0,AY197/AY271,""),"")</f>
        <v>2.53419066676999</v>
      </c>
      <c r="AZ366" s="264">
        <f>IFERROR(IF(N(AZ271)&lt;&gt;0,AZ197/AZ271,""),"")</f>
        <v>2.51188670308897</v>
      </c>
      <c r="BA366" s="262">
        <f>IFERROR(IF(N(BA271)&lt;&gt;0,BA197/BA271,""),"")</f>
        <v>2.51188670308897</v>
      </c>
      <c r="BB366" s="264">
        <f>IFERROR(IF(N(BB271)&lt;&gt;0,BB197/BB271,""),"")</f>
        <v>2.519354907999</v>
      </c>
      <c r="BC366" s="264">
        <f>IFERROR(IF(N(BC271)&lt;&gt;0,BC197/BC271,""),"")</f>
        <v>2.54961414652361</v>
      </c>
      <c r="BD366" s="264">
        <f>IFERROR(IF(N(BD271)&lt;&gt;0,BD197/BD271,""),"")</f>
        <v>2.59525373279656</v>
      </c>
      <c r="BE366" s="264">
        <f>IFERROR(IF(N(BE271)&lt;&gt;0,BE197/BE271,""),"")</f>
        <v>2.66450763388159</v>
      </c>
      <c r="BF366" s="262">
        <f>IFERROR(IF(N(BF271)&lt;&gt;0,BF197/BF271,""),"")</f>
        <v>2.66450763388159</v>
      </c>
      <c r="BG366" s="81" t="n"/>
      <c r="BH366" s="81" t="n"/>
      <c r="BI366" s="81" t="n"/>
      <c r="BJ366" s="81" t="n"/>
      <c r="BL366" s="81" t="n"/>
      <c r="BM366" s="81" t="n"/>
      <c r="BN366" s="81" t="n"/>
      <c r="BO366" s="81" t="n"/>
      <c r="BQ366" s="81" t="n"/>
      <c r="BR366" s="81" t="n"/>
      <c r="BS366" s="81" t="n"/>
      <c r="BT366" s="81" t="n"/>
      <c r="BV366" s="81" t="n"/>
      <c r="BW366" s="81" t="n"/>
      <c r="BX366" s="81" t="n"/>
      <c r="BY366" s="81" t="n"/>
      <c r="CA366" s="81" t="n"/>
      <c r="CB366" s="81" t="n"/>
      <c r="CC366" s="81" t="n"/>
      <c r="CD366" s="81" t="n"/>
      <c r="CF366" s="81" t="n"/>
      <c r="CG366" s="81" t="n"/>
      <c r="CH366" s="81" t="n"/>
      <c r="CI366" s="81" t="n"/>
      <c r="CK366" s="81" t="n"/>
      <c r="CL366" s="81" t="n"/>
      <c r="CM366" s="81" t="n"/>
      <c r="CN366" s="81" t="n"/>
      <c r="CP366" s="81" t="n"/>
      <c r="CQ366" s="81" t="n"/>
      <c r="CR366" s="81" t="n"/>
      <c r="CS366" s="81" t="n"/>
      <c r="CU366" s="81" t="n"/>
      <c r="CV366" s="81" t="n"/>
      <c r="CW366" s="81" t="n"/>
      <c r="CX366" s="81" t="n"/>
    </row>
    <row r="367" customFormat="1" s="77">
      <c r="A367" s="76" t="n"/>
      <c r="B367" s="76" t="n"/>
      <c r="C367" s="77" t="inlineStr">
        <is>
          <t>ROE - DUPONT</t>
        </is>
      </c>
      <c r="D367" s="84">
        <f>IFERROR(PRODUCT(D364:D366),"")</f>
        <v>0</v>
      </c>
      <c r="E367" s="84">
        <f>IFERROR(PRODUCT(E364:E366),"")</f>
        <v>0</v>
      </c>
      <c r="F367" s="84">
        <f>IFERROR(PRODUCT(F364:F366),"")</f>
        <v>0</v>
      </c>
      <c r="G367" s="84">
        <f>IFERROR(PRODUCT(G364:G366),"")</f>
        <v>0</v>
      </c>
      <c r="H367" s="258" t="str">
        <f>IFERROR(IF(COUNT(H364,H365,H366)=3,H364*H365*H366,""),"")</f>
        <v/>
      </c>
      <c r="I367" s="257" t="str">
        <f>IFERROR(IF(COUNT(I364,I365,I366)=3,I364*I365*I366,""),"")</f>
        <v/>
      </c>
      <c r="J367" s="257" t="str">
        <f>IFERROR(IF(COUNT(J364,J365,J366)=3,J364*J365*J366,""),"")</f>
        <v/>
      </c>
      <c r="K367" s="257" t="str">
        <f>IFERROR(IF(COUNT(K364,K365,K366)=3,K364*K365*K366,""),"")</f>
        <v/>
      </c>
      <c r="L367" s="257">
        <f>IFERROR(IF(COUNT(L364,L365,L366)=3,L364*L365*L366,""),"")</f>
        <v>0.100497523508</v>
      </c>
      <c r="M367" s="258">
        <f>IFERROR(IF(COUNT(M364,M365,M366)=3,M364*M365*M366,""),"")</f>
        <v>0.100497523508</v>
      </c>
      <c r="N367" s="257">
        <f>IFERROR(IF(COUNT(N364,N365,N366)=3,N364*N365*N366,""),"")</f>
        <v>0.0982433013096278</v>
      </c>
      <c r="O367" s="257">
        <f>IFERROR(IF(COUNT(O364,O365,O366)=3,O364*O365*O366,""),"")</f>
        <v>0.0836208483872713</v>
      </c>
      <c r="P367" s="257">
        <f>IFERROR(IF(COUNT(P364,P365,P366)=3,P364*P365*P366,""),"")</f>
        <v>0.0939911653645099</v>
      </c>
      <c r="Q367" s="257">
        <f>IFERROR(IF(COUNT(Q364,Q365,Q366)=3,Q364*Q365*Q366,""),"")</f>
        <v>0.131077226589041</v>
      </c>
      <c r="R367" s="258">
        <f>IFERROR(IF(COUNT(R364,R365,R366)=3,R364*R365*R366,""),"")</f>
        <v>0.131077226589041</v>
      </c>
      <c r="S367" s="257">
        <f>IFERROR(IF(COUNT(S364,S365,S366)=3,S364*S365*S366,""),"")</f>
        <v>0.146969108353392</v>
      </c>
      <c r="T367" s="257">
        <f>IFERROR(IF(COUNT(T364,T365,T366)=3,T364*T365*T366,""),"")</f>
        <v>0.188793065981212</v>
      </c>
      <c r="U367" s="257">
        <f>IFERROR(IF(COUNT(U364,U365,U366)=3,U364*U365*U366,""),"")</f>
        <v>0.148345026990544</v>
      </c>
      <c r="V367" s="257">
        <f>IFERROR(IF(COUNT(V364,V365,V366)=3,V364*V365*V366,""),"")</f>
        <v>0.157095207586898</v>
      </c>
      <c r="W367" s="258">
        <f>IFERROR(IF(COUNT(W364,W365,W366)=3,W364*W365*W366,""),"")</f>
        <v>0.157095207586898</v>
      </c>
      <c r="X367" s="257">
        <f>IFERROR(IF(COUNT(X364,X365,X366)=3,X364*X365*X366,""),"")</f>
        <v>0.18628401142289</v>
      </c>
      <c r="Y367" s="257">
        <f>IFERROR(IF(COUNT(Y364,Y365,Y366)=3,Y364*Y365*Y366,""),"")</f>
        <v>0.190613519986746</v>
      </c>
      <c r="Z367" s="257">
        <f>IFERROR(IF(COUNT(Z364,Z365,Z366)=3,Z364*Z365*Z366,""),"")</f>
        <v>0.247844285978311</v>
      </c>
      <c r="AA367" s="257">
        <f>IFERROR(IF(COUNT(AA364,AA365,AA366)=3,AA364*AA365*AA366,""),"")</f>
        <v>0.287072917273562</v>
      </c>
      <c r="AB367" s="258">
        <f>IFERROR(IF(COUNT(AB364,AB365,AB366)=3,AB364*AB365*AB366,""),"")</f>
        <v>0.287072917273562</v>
      </c>
      <c r="AC367" s="257">
        <f>IFERROR(IF(COUNT(AC364,AC365,AC366)=3,AC364*AC365*AC366,""),"")</f>
        <v>0.275745648465591</v>
      </c>
      <c r="AD367" s="257">
        <f>IFERROR(IF(COUNT(AD364,AD365,AD366)=3,AD364*AD365*AD366,""),"")</f>
        <v>0.279352795288689</v>
      </c>
      <c r="AE367" s="257">
        <f>IFERROR(IF(COUNT(AE364,AE365,AE366)=3,AE364*AE365*AE366,""),"")</f>
        <v>0.279161835494831</v>
      </c>
      <c r="AF367" s="257">
        <f>IFERROR(IF(COUNT(AF364,AF365,AF366)=3,AF364*AF365*AF366,""),"")</f>
        <v>0.544448911669973</v>
      </c>
      <c r="AG367" s="258">
        <f>IFERROR(IF(COUNT(AG364,AG365,AG366)=3,AG364*AG365*AG366,""),"")</f>
        <v>0.340211046608604</v>
      </c>
      <c r="AH367" s="257">
        <f>IFERROR(IF(COUNT(AH364,AH365,AH366)=3,AH364*AH365*AH366,""),"")</f>
        <v>0.548077790299976</v>
      </c>
      <c r="AI367" s="257">
        <f>IFERROR(IF(COUNT(AI364,AI365,AI366)=3,AI364*AI365*AI366,""),"")</f>
        <v>0.523831818111739</v>
      </c>
      <c r="AJ367" s="257">
        <f>IFERROR(IF(COUNT(AJ364,AJ365,AJ366)=3,AJ364*AJ365*AJ366,""),"")</f>
        <v>0.332874531184435</v>
      </c>
      <c r="AK367" s="257">
        <f>IFERROR(IF(COUNT(AK364,AK365,AK366)=3,AK364*AK365*AK366,""),"")</f>
        <v>0.357814484495302</v>
      </c>
      <c r="AL367" s="258">
        <f>IFERROR(IF(COUNT(AL364,AL365,AL366)=3,AL364*AL365*AL366,""),"")</f>
        <v>0.357814484495302</v>
      </c>
      <c r="AM367" s="257">
        <f>IFERROR(IF(COUNT(AM364,AM365,AM366)=3,AM364*AM365*AM366,""),"")</f>
        <v>0.37330275287603</v>
      </c>
      <c r="AN367" s="257">
        <f>IFERROR(IF(COUNT(AN364,AN365,AN366)=3,AN364*AN365*AN366,""),"")</f>
        <v>0.394119387960595</v>
      </c>
      <c r="AO367" s="257">
        <f>IFERROR(IF(COUNT(AO364,AO365,AO366)=3,AO364*AO365*AO366,""),"")</f>
        <v>0.375354640326904</v>
      </c>
      <c r="AP367" s="257">
        <f>IFERROR(IF(COUNT(AP364,AP365,AP366)=3,AP364*AP365*AP366,""),"")</f>
        <v>0.359457100299732</v>
      </c>
      <c r="AQ367" s="258">
        <f>IFERROR(IF(COUNT(AQ364,AQ365,AQ366)=3,AQ364*AQ365*AQ366,""),"")</f>
        <v>0.359457100299732</v>
      </c>
      <c r="AR367" s="257">
        <f>IFERROR(IF(COUNT(AR364,AR365,AR366)=3,AR364*AR365*AR366,""),"")</f>
        <v>0.346885337511701</v>
      </c>
      <c r="AS367" s="257">
        <f>IFERROR(IF(COUNT(AS364,AS365,AS366)=3,AS364*AS365*AS366,""),"")</f>
        <v>0.335415350688026</v>
      </c>
      <c r="AT367" s="257">
        <f>IFERROR(IF(COUNT(AT364,AT365,AT366)=3,AT364*AT365*AT366,""),"")</f>
        <v>0.324410657943092</v>
      </c>
      <c r="AU367" s="257">
        <f>IFERROR(IF(COUNT(AU364,AU365,AU366)=3,AU364*AU365*AU366,""),"")</f>
        <v>0.314798225649473</v>
      </c>
      <c r="AV367" s="258">
        <f>IFERROR(IF(COUNT(AV364,AV365,AV366)=3,AV364*AV365*AV366,""),"")</f>
        <v>0.314798225649473</v>
      </c>
      <c r="AW367" s="257">
        <f>IFERROR(IF(COUNT(AW364,AW365,AW366)=3,AW364*AW365*AW366,""),"")</f>
        <v>0.306957520895409</v>
      </c>
      <c r="AX367" s="257">
        <f>IFERROR(IF(COUNT(AX364,AX365,AX366)=3,AX364*AX365*AX366,""),"")</f>
        <v>0.299645774562037</v>
      </c>
      <c r="AY367" s="257">
        <f>IFERROR(IF(COUNT(AY364,AY365,AY366)=3,AY364*AY365*AY366,""),"")</f>
        <v>0.292484135223901</v>
      </c>
      <c r="AZ367" s="257">
        <f>IFERROR(IF(COUNT(AZ364,AZ365,AZ366)=3,AZ364*AZ365*AZ366,""),"")</f>
        <v>0.286107628729946</v>
      </c>
      <c r="BA367" s="258">
        <f>IFERROR(IF(COUNT(BA364,BA365,BA366)=3,BA364*BA365*BA366,""),"")</f>
        <v>0.286107628729946</v>
      </c>
      <c r="BB367" s="257">
        <f>IFERROR(IF(COUNT(BB364,BB365,BB366)=3,BB364*BB365*BB366,""),"")</f>
        <v>0.280781674663793</v>
      </c>
      <c r="BC367" s="257">
        <f>IFERROR(IF(COUNT(BC364,BC365,BC366)=3,BC364*BC365*BC366,""),"")</f>
        <v>0.275742917346571</v>
      </c>
      <c r="BD367" s="257">
        <f>IFERROR(IF(COUNT(BD364,BD365,BD366)=3,BD364*BD365*BD366,""),"")</f>
        <v>0.270738688041459</v>
      </c>
      <c r="BE367" s="257">
        <f>IFERROR(IF(COUNT(BE364,BE365,BE366)=3,BE364*BE365*BE366,""),"")</f>
        <v>0.266224517024228</v>
      </c>
      <c r="BF367" s="258">
        <f>IFERROR(IF(COUNT(BF364,BF365,BF366)=3,BF364*BF365*BF366,""),"")</f>
        <v>0.266224517024228</v>
      </c>
      <c r="BG367" s="81" t="n"/>
      <c r="BH367" s="81" t="n"/>
      <c r="BI367" s="81" t="n"/>
      <c r="BJ367" s="81" t="n"/>
      <c r="BL367" s="81" t="n"/>
      <c r="BM367" s="81" t="n"/>
      <c r="BN367" s="81" t="n"/>
      <c r="BO367" s="81" t="n"/>
      <c r="BQ367" s="81" t="n"/>
      <c r="BR367" s="81" t="n"/>
      <c r="BS367" s="81" t="n"/>
      <c r="BT367" s="81" t="n"/>
      <c r="BV367" s="81" t="n"/>
      <c r="BW367" s="81" t="n"/>
      <c r="BX367" s="81" t="n"/>
      <c r="BY367" s="81" t="n"/>
      <c r="CA367" s="81" t="n"/>
      <c r="CB367" s="81" t="n"/>
      <c r="CC367" s="81" t="n"/>
      <c r="CD367" s="81" t="n"/>
      <c r="CF367" s="81" t="n"/>
      <c r="CG367" s="81" t="n"/>
      <c r="CH367" s="81" t="n"/>
      <c r="CI367" s="81" t="n"/>
      <c r="CK367" s="81" t="n"/>
      <c r="CL367" s="81" t="n"/>
      <c r="CM367" s="81" t="n"/>
      <c r="CN367" s="81" t="n"/>
      <c r="CP367" s="81" t="n"/>
      <c r="CQ367" s="81" t="n"/>
      <c r="CR367" s="81" t="n"/>
      <c r="CS367" s="81" t="n"/>
      <c r="CU367" s="81" t="n"/>
      <c r="CV367" s="81" t="n"/>
      <c r="CW367" s="81" t="n"/>
      <c r="CX367" s="81" t="n"/>
    </row>
    <row r="368" customFormat="1" s="77">
      <c r="A368" s="76" t="n"/>
      <c r="B368" s="76" t="n"/>
      <c r="C368" s="77" t="inlineStr">
        <is>
          <t>ROE (LTM)</t>
        </is>
      </c>
      <c r="D368" s="84" t="str">
        <f>IFERROR(D137/D271,"")</f>
        <v/>
      </c>
      <c r="E368" s="84" t="str">
        <f>IFERROR(E137/E271,"")</f>
        <v/>
      </c>
      <c r="F368" s="84" t="str">
        <f>IFERROR(F137/F271,"")</f>
        <v/>
      </c>
      <c r="G368" s="84" t="str">
        <f>IFERROR(G137/G271,"")</f>
        <v/>
      </c>
      <c r="H368" s="258" t="str">
        <f>IFERROR(IF(AND(COUNT(H137)=1,N(H271)&lt;&gt;0),(H137)/H271,""),"")</f>
        <v/>
      </c>
      <c r="I368" s="257" t="str">
        <f>""</f>
        <v/>
      </c>
      <c r="J368" s="257" t="str">
        <f>""</f>
        <v/>
      </c>
      <c r="K368" s="257" t="str">
        <f>""</f>
        <v/>
      </c>
      <c r="L368" s="257">
        <f>IFERROR(IF(AND(COUNT(I137,J137,K137,L137)=4,N(L271)&lt;&gt;0),(I137+J137+K137+L137)/L271,""),"")</f>
        <v>0.100497523508</v>
      </c>
      <c r="M368" s="258">
        <f>IFERROR(IF(AND(COUNT(I137,J137,K137,L137)=4,N(M271)&lt;&gt;0),(I137+J137+K137+L137)/M271,""),"")</f>
        <v>0.100497523508</v>
      </c>
      <c r="N368" s="257">
        <f>IFERROR(IF(AND(COUNT(J137,K137,L137,N137)=4,N(N271)&lt;&gt;0),(J137+K137+L137+N137)/N271,""),"")</f>
        <v>0.0982433013096278</v>
      </c>
      <c r="O368" s="257">
        <f>IFERROR(IF(AND(COUNT(K137,L137,N137,O137)=4,N(O271)&lt;&gt;0),(K137+L137+N137+O137)/O271,""),"")</f>
        <v>0.0836208483872713</v>
      </c>
      <c r="P368" s="257">
        <f>IFERROR(IF(AND(COUNT(L137,N137,O137,P137)=4,N(P271)&lt;&gt;0),(L137+N137+O137+P137)/P271,""),"")</f>
        <v>0.0939911653645099</v>
      </c>
      <c r="Q368" s="257">
        <f>IFERROR(IF(AND(COUNT(N137,O137,P137,Q137)=4,N(Q271)&lt;&gt;0),(N137+O137+P137+Q137)/Q271,""),"")</f>
        <v>0.131077226589041</v>
      </c>
      <c r="R368" s="258">
        <f>IFERROR(IF(AND(COUNT(N137,O137,P137,Q137)=4,N(R271)&lt;&gt;0),(N137+O137+P137+Q137)/R271,""),"")</f>
        <v>0.131077226589041</v>
      </c>
      <c r="S368" s="257">
        <f>IFERROR(IF(AND(COUNT(O137,P137,Q137,S137)=4,N(S271)&lt;&gt;0),(O137+P137+Q137+S137)/S271,""),"")</f>
        <v>0.146969108353392</v>
      </c>
      <c r="T368" s="257">
        <f>IFERROR(IF(AND(COUNT(P137,Q137,S137,T137)=4,N(T271)&lt;&gt;0),(P137+Q137+S137+T137)/T271,""),"")</f>
        <v>0.188793065981212</v>
      </c>
      <c r="U368" s="257">
        <f>IFERROR(IF(AND(COUNT(Q137,S137,T137,U137)=4,N(U271)&lt;&gt;0),(Q137+S137+T137+U137)/U271,""),"")</f>
        <v>0.148345026990544</v>
      </c>
      <c r="V368" s="257">
        <f>IFERROR(IF(AND(COUNT(S137,T137,U137,V137)=4,N(V271)&lt;&gt;0),(S137+T137+U137+V137)/V271,""),"")</f>
        <v>0.157095207586898</v>
      </c>
      <c r="W368" s="258">
        <f>IFERROR(IF(AND(COUNT(S137,T137,U137,V137)=4,N(W271)&lt;&gt;0),(S137+T137+U137+V137)/W271,""),"")</f>
        <v>0.157095207586898</v>
      </c>
      <c r="X368" s="257">
        <f>IFERROR(IF(AND(COUNT(T137,U137,V137,X137)=4,N(X271)&lt;&gt;0),(T137+U137+V137+X137)/X271,""),"")</f>
        <v>0.18628401142289</v>
      </c>
      <c r="Y368" s="257">
        <f>IFERROR(IF(AND(COUNT(U137,V137,X137,Y137)=4,N(Y271)&lt;&gt;0),(U137+V137+X137+Y137)/Y271,""),"")</f>
        <v>0.190613519986746</v>
      </c>
      <c r="Z368" s="257">
        <f>IFERROR(IF(AND(COUNT(V137,X137,Y137,Z137)=4,N(Z271)&lt;&gt;0),(V137+X137+Y137+Z137)/Z271,""),"")</f>
        <v>0.247844285978311</v>
      </c>
      <c r="AA368" s="257">
        <f>IFERROR(IF(AND(COUNT(X137,Y137,Z137,AA137)=4,N(AA271)&lt;&gt;0),(X137+Y137+Z137+AA137)/AA271,""),"")</f>
        <v>0.287072917273562</v>
      </c>
      <c r="AB368" s="258">
        <f>IFERROR(IF(AND(COUNT(X137,Y137,Z137,AA137)=4,N(AB271)&lt;&gt;0),(X137+Y137+Z137+AA137)/AB271,""),"")</f>
        <v>0.287072917273562</v>
      </c>
      <c r="AC368" s="257">
        <f>IFERROR(IF(AND(COUNT(Y137,Z137,AA137,AC137)=4,N(AC271)&lt;&gt;0),(Y137+Z137+AA137+AC137)/AC271,""),"")</f>
        <v>0.275745648465591</v>
      </c>
      <c r="AD368" s="257">
        <f>IFERROR(IF(AND(COUNT(Z137,AA137,AC137,AD137)=4,N(AD271)&lt;&gt;0),(Z137+AA137+AC137+AD137)/AD271,""),"")</f>
        <v>0.279352795288689</v>
      </c>
      <c r="AE368" s="257">
        <f>IFERROR(IF(AND(COUNT(AA137,AC137,AD137,AE137)=4,N(AE271)&lt;&gt;0),(AA137+AC137+AD137+AE137)/AE271,""),"")</f>
        <v>0.279161835494831</v>
      </c>
      <c r="AF368" s="257">
        <f>IFERROR(IF(AND(COUNT(AB137,AD137,AE137,AF137)=4,N(AF271)&lt;&gt;0),(AB137+AD137+AE137+AF137)/AF271,""),"")</f>
        <v>0.544448911669973</v>
      </c>
      <c r="AG368" s="258">
        <f>IFERROR(IF(AND(COUNT(AC137,AD137,AE137,AF137)=4,N(AG271)&lt;&gt;0),(AC137+AD137+AE137+AF137)/AG271,""),"")</f>
        <v>0.340211046608604</v>
      </c>
      <c r="AH368" s="257">
        <f>IFERROR(IF(AND(COUNT(AD137,AF137,AG137,AH137)=4,N(AH271)&lt;&gt;0),(AD137+AF137+AG137+AH137)/AH271,""),"")</f>
        <v>0.548077790299976</v>
      </c>
      <c r="AI368" s="257">
        <f>IFERROR(IF(AND(COUNT(AE137,AG137,AH137,AI137)=4,N(AI271)&lt;&gt;0),(AE137+AG137+AH137+AI137)/AI271,""),"")</f>
        <v>0.523831818111739</v>
      </c>
      <c r="AJ368" s="257">
        <f>IFERROR(IF(AND(COUNT(AF137,AH137,AI137,AJ137)=4,N(AJ271)&lt;&gt;0),(AF137+AH137+AI137+AJ137)/AJ271,""),"")</f>
        <v>0.332874531184436</v>
      </c>
      <c r="AK368" s="257">
        <f>IFERROR(IF(AND(COUNT(AH137,AI137,AJ137,AK137)=4,N(AK271)&lt;&gt;0),(AH137+AI137+AJ137+AK137)/AK271,""),"")</f>
        <v>0.357814484495302</v>
      </c>
      <c r="AL368" s="258">
        <f>IFERROR(IF(AND(COUNT(AH137,AI137,AJ137,AK137)=4,N(AL271)&lt;&gt;0),(AH137+AI137+AJ137+AK137)/AL271,""),"")</f>
        <v>0.357814484495302</v>
      </c>
      <c r="AM368" s="257">
        <f>IFERROR(IF(AND(COUNT(AI137,AJ137,AK137,AM137)=4,N(AM271)&lt;&gt;0),(AI137+AJ137+AK137+AM137)/AM271,""),"")</f>
        <v>0.37330275287603</v>
      </c>
      <c r="AN368" s="257">
        <f>IFERROR(IF(AND(COUNT(AJ137,AK137,AM137,AN137)=4,N(AN271)&lt;&gt;0),(AJ137+AK137+AM137+AN137)/AN271,""),"")</f>
        <v>0.394119387960595</v>
      </c>
      <c r="AO368" s="257">
        <f>IFERROR(IF(AND(COUNT(AK137,AM137,AN137,AO137)=4,N(AO271)&lt;&gt;0),(AK137+AM137+AN137+AO137)/AO271,""),"")</f>
        <v>0.375354640326904</v>
      </c>
      <c r="AP368" s="257">
        <f>IFERROR(IF(AND(COUNT(AM137,AN137,AO137,AP137)=4,N(AP271)&lt;&gt;0),(AM137+AN137+AO137+AP137)/AP271,""),"")</f>
        <v>0.359457100299732</v>
      </c>
      <c r="AQ368" s="258">
        <f>IFERROR(IF(AND(COUNT(AM137,AN137,AO137,AP137)=4,N(AQ271)&lt;&gt;0),(AM137+AN137+AO137+AP137)/AQ271,""),"")</f>
        <v>0.359457100299732</v>
      </c>
      <c r="AR368" s="257">
        <f>IFERROR(IF(AND(COUNT(AN137,AO137,AP137,AR137)=4,N(AR271)&lt;&gt;0),(AN137+AO137+AP137+AR137)/AR271,""),"")</f>
        <v>0.346885337511701</v>
      </c>
      <c r="AS368" s="257">
        <f>IFERROR(IF(AND(COUNT(AO137,AP137,AR137,AS137)=4,N(AS271)&lt;&gt;0),(AO137+AP137+AR137+AS137)/AS271,""),"")</f>
        <v>0.335415350688026</v>
      </c>
      <c r="AT368" s="257">
        <f>IFERROR(IF(AND(COUNT(AP137,AR137,AS137,AT137)=4,N(AT271)&lt;&gt;0),(AP137+AR137+AS137+AT137)/AT271,""),"")</f>
        <v>0.324410657943091</v>
      </c>
      <c r="AU368" s="257">
        <f>IFERROR(IF(AND(COUNT(AR137,AS137,AT137,AU137)=4,N(AU271)&lt;&gt;0),(AR137+AS137+AT137+AU137)/AU271,""),"")</f>
        <v>0.314798225649473</v>
      </c>
      <c r="AV368" s="258">
        <f>IFERROR(IF(AND(COUNT(AR137,AS137,AT137,AU137)=4,N(AV271)&lt;&gt;0),(AR137+AS137+AT137+AU137)/AV271,""),"")</f>
        <v>0.314798225649473</v>
      </c>
      <c r="AW368" s="257">
        <f>IFERROR(IF(AND(COUNT(AS137,AT137,AU137,AW137)=4,N(AW271)&lt;&gt;0),(AS137+AT137+AU137+AW137)/AW271,""),"")</f>
        <v>0.306957520895409</v>
      </c>
      <c r="AX368" s="257">
        <f>IFERROR(IF(AND(COUNT(AT137,AU137,AW137,AX137)=4,N(AX271)&lt;&gt;0),(AT137+AU137+AW137+AX137)/AX271,""),"")</f>
        <v>0.299645774562037</v>
      </c>
      <c r="AY368" s="257">
        <f>IFERROR(IF(AND(COUNT(AU137,AW137,AX137,AY137)=4,N(AY271)&lt;&gt;0),(AU137+AW137+AX137+AY137)/AY271,""),"")</f>
        <v>0.292484135223901</v>
      </c>
      <c r="AZ368" s="257">
        <f>IFERROR(IF(AND(COUNT(AW137,AX137,AY137,AZ137)=4,N(AZ271)&lt;&gt;0),(AW137+AX137+AY137+AZ137)/AZ271,""),"")</f>
        <v>0.286107628729946</v>
      </c>
      <c r="BA368" s="258">
        <f>IFERROR(IF(AND(COUNT(AW137,AX137,AY137,AZ137)=4,N(BA271)&lt;&gt;0),(AW137+AX137+AY137+AZ137)/BA271,""),"")</f>
        <v>0.286107628729946</v>
      </c>
      <c r="BB368" s="257">
        <f>IFERROR(IF(AND(COUNT(AX137,AY137,AZ137,BB137)=4,N(BB271)&lt;&gt;0),(AX137+AY137+AZ137+BB137)/BB271,""),"")</f>
        <v>0.280781674663793</v>
      </c>
      <c r="BC368" s="257">
        <f>IFERROR(IF(AND(COUNT(AY137,AZ137,BB137,BC137)=4,N(BC271)&lt;&gt;0),(AY137+AZ137+BB137+BC137)/BC271,""),"")</f>
        <v>0.275742917346571</v>
      </c>
      <c r="BD368" s="257">
        <f>IFERROR(IF(AND(COUNT(AZ137,BB137,BC137,BD137)=4,N(BD271)&lt;&gt;0),(AZ137+BB137+BC137+BD137)/BD271,""),"")</f>
        <v>0.270738688041459</v>
      </c>
      <c r="BE368" s="257">
        <f>IFERROR(IF(AND(COUNT(BB137,BC137,BD137,BE137)=4,N(BE271)&lt;&gt;0),(BB137+BC137+BD137+BE137)/BE271,""),"")</f>
        <v>0.266224517024228</v>
      </c>
      <c r="BF368" s="258">
        <f>IFERROR(IF(AND(COUNT(BB137,BC137,BD137,BE137)=4,N(BF271)&lt;&gt;0),(BB137+BC137+BD137+BE137)/BF271,""),"")</f>
        <v>0.266224517024228</v>
      </c>
      <c r="BG368" s="81" t="n"/>
      <c r="BH368" s="81" t="n"/>
      <c r="BI368" s="81" t="n"/>
      <c r="BJ368" s="81" t="n"/>
      <c r="BL368" s="81" t="n"/>
      <c r="BM368" s="81" t="n"/>
      <c r="BN368" s="81" t="n"/>
      <c r="BO368" s="81" t="n"/>
      <c r="BQ368" s="81" t="n"/>
      <c r="BR368" s="81" t="n"/>
      <c r="BS368" s="81" t="n"/>
      <c r="BT368" s="81" t="n"/>
      <c r="BV368" s="81" t="n"/>
      <c r="BW368" s="81" t="n"/>
      <c r="BX368" s="81" t="n"/>
      <c r="BY368" s="81" t="n"/>
      <c r="CA368" s="81" t="n"/>
      <c r="CB368" s="81" t="n"/>
      <c r="CC368" s="81" t="n"/>
      <c r="CD368" s="81" t="n"/>
      <c r="CF368" s="81" t="n"/>
      <c r="CG368" s="81" t="n"/>
      <c r="CH368" s="81" t="n"/>
      <c r="CI368" s="81" t="n"/>
      <c r="CK368" s="81" t="n"/>
      <c r="CL368" s="81" t="n"/>
      <c r="CM368" s="81" t="n"/>
      <c r="CN368" s="81" t="n"/>
      <c r="CP368" s="81" t="n"/>
      <c r="CQ368" s="81" t="n"/>
      <c r="CR368" s="81" t="n"/>
      <c r="CS368" s="81" t="n"/>
      <c r="CU368" s="81" t="n"/>
      <c r="CV368" s="81" t="n"/>
      <c r="CW368" s="81" t="n"/>
      <c r="CX368" s="81" t="n"/>
    </row>
    <row r="369"/>
    <row r="370">
      <c r="C370" s="73" t="inlineStr">
        <is>
          <t>Scenario Analysis</t>
        </is>
      </c>
      <c r="D370" s="73" t="n"/>
      <c r="E370" s="73" t="n"/>
      <c r="F370" s="73" t="n"/>
      <c r="G370" s="73" t="n"/>
      <c r="H370" s="73" t="n"/>
      <c r="I370" s="73" t="n"/>
      <c r="J370" s="73" t="n"/>
      <c r="K370" s="73" t="n"/>
      <c r="L370" s="73" t="n"/>
      <c r="M370" s="73" t="n"/>
      <c r="N370" s="73" t="n"/>
      <c r="O370" s="73" t="n"/>
      <c r="P370" s="73" t="n"/>
      <c r="Q370" s="73" t="n"/>
      <c r="R370" s="73" t="n"/>
      <c r="S370" s="73" t="n"/>
      <c r="T370" s="73" t="n"/>
      <c r="U370" s="73" t="n"/>
      <c r="V370" s="73" t="n"/>
      <c r="W370" s="73" t="n"/>
      <c r="X370" s="73" t="n"/>
      <c r="Y370" s="73" t="n"/>
      <c r="Z370" s="73" t="n"/>
      <c r="AA370" s="73" t="n"/>
      <c r="AB370" s="73" t="n"/>
      <c r="AC370" s="73" t="n"/>
      <c r="AD370" s="73" t="n"/>
      <c r="AE370" s="73" t="n"/>
      <c r="AF370" s="73" t="n"/>
      <c r="AG370" s="73" t="n"/>
      <c r="AH370" s="73" t="n"/>
      <c r="AI370" s="73" t="n"/>
      <c r="AJ370" s="73" t="n"/>
      <c r="AK370" s="73" t="n"/>
      <c r="AL370" s="73" t="n"/>
      <c r="AM370" s="73" t="n"/>
      <c r="AN370" s="73" t="n"/>
      <c r="AO370" s="73" t="n"/>
      <c r="AP370" s="73" t="n"/>
      <c r="AQ370" s="73" t="n"/>
      <c r="AR370" s="73" t="n"/>
      <c r="AS370" s="73" t="n"/>
      <c r="AT370" s="73" t="n"/>
      <c r="AU370" s="73" t="n"/>
      <c r="AV370" s="73" t="n"/>
      <c r="AW370" s="73" t="n"/>
      <c r="AX370" s="73" t="n"/>
      <c r="AY370" s="73" t="n"/>
      <c r="AZ370" s="73" t="n"/>
      <c r="BA370" s="73" t="n"/>
      <c r="BB370" s="73" t="n"/>
      <c r="BC370" s="73" t="n"/>
      <c r="BD370" s="73" t="n"/>
      <c r="BE370" s="73" t="n"/>
      <c r="BF370" s="73" t="n"/>
      <c r="BG370" s="73" t="n"/>
      <c r="BH370" s="73" t="n"/>
      <c r="BI370" s="73" t="n"/>
      <c r="BJ370" s="73" t="n"/>
      <c r="BK370" s="73" t="n"/>
      <c r="BL370" s="73" t="n"/>
      <c r="BM370" s="73" t="n"/>
      <c r="BN370" s="73" t="n"/>
      <c r="BO370" s="73" t="n"/>
      <c r="BP370" s="73" t="n"/>
      <c r="BQ370" s="73" t="n"/>
      <c r="BR370" s="73" t="n"/>
      <c r="BS370" s="73" t="n"/>
      <c r="BT370" s="73" t="n"/>
      <c r="BU370" s="73" t="n"/>
      <c r="BV370" s="73" t="n"/>
      <c r="BW370" s="73" t="n"/>
      <c r="BX370" s="73" t="n"/>
      <c r="BY370" s="73" t="n"/>
      <c r="BZ370" s="73" t="n"/>
      <c r="CA370" s="73" t="n"/>
      <c r="CB370" s="73" t="n"/>
      <c r="CC370" s="73" t="n"/>
      <c r="CD370" s="73" t="n"/>
      <c r="CE370" s="73" t="n"/>
      <c r="CF370" s="73" t="n"/>
      <c r="CG370" s="73" t="n"/>
      <c r="CH370" s="73" t="n"/>
      <c r="CI370" s="73" t="n"/>
      <c r="CJ370" s="73" t="n"/>
      <c r="CK370" s="73" t="n"/>
      <c r="CL370" s="73" t="n"/>
      <c r="CM370" s="73" t="n"/>
      <c r="CN370" s="73" t="n"/>
      <c r="CO370" s="73" t="n"/>
      <c r="CP370" s="73" t="n"/>
      <c r="CQ370" s="73" t="n"/>
      <c r="CR370" s="73" t="n"/>
      <c r="CS370" s="73" t="n"/>
      <c r="CT370" s="73" t="n"/>
      <c r="CU370" s="73" t="n"/>
      <c r="CV370" s="73" t="n"/>
      <c r="CW370" s="73" t="n"/>
      <c r="CX370" s="73" t="n"/>
      <c r="CY370" s="73" t="n"/>
    </row>
    <row r="371"/>
    <row r="372"/>
    <row r="373">
      <c r="C373" s="4" t="inlineStr">
        <is>
          <t>Bull case</t>
        </is>
      </c>
    </row>
    <row r="374">
      <c r="C374" s="4" t="inlineStr">
        <is>
          <t>Base case</t>
        </is>
      </c>
    </row>
    <row r="375">
      <c r="C375" s="4" t="inlineStr">
        <is>
          <t>Bear case</t>
        </is>
      </c>
    </row>
    <row r="376"/>
    <row r="377"/>
    <row r="378">
      <c r="C378" s="4" t="inlineStr">
        <is>
          <t>Bull case</t>
        </is>
      </c>
    </row>
    <row r="379">
      <c r="C379" s="4" t="inlineStr">
        <is>
          <t>Base case</t>
        </is>
      </c>
    </row>
    <row r="380">
      <c r="C380" s="4" t="inlineStr">
        <is>
          <t>Bear case</t>
        </is>
      </c>
    </row>
    <row r="381"/>
    <row r="382"/>
    <row r="383">
      <c r="C383" s="4" t="inlineStr">
        <is>
          <t>% Gross Margin</t>
        </is>
      </c>
    </row>
    <row r="384">
      <c r="C384" s="4" t="inlineStr">
        <is>
          <t>Bull case</t>
        </is>
      </c>
    </row>
    <row r="385">
      <c r="C385" s="4" t="inlineStr">
        <is>
          <t>Base case</t>
        </is>
      </c>
    </row>
    <row r="386">
      <c r="C386" s="4" t="inlineStr">
        <is>
          <t>Bear case</t>
        </is>
      </c>
    </row>
    <row r="387"/>
    <row r="388"/>
    <row r="389">
      <c r="C389" s="4" t="inlineStr">
        <is>
          <t>Capital expenditures</t>
        </is>
      </c>
    </row>
    <row r="390">
      <c r="C390" s="4" t="inlineStr">
        <is>
          <t>Bull case</t>
        </is>
      </c>
    </row>
    <row r="391">
      <c r="C391" s="4" t="inlineStr">
        <is>
          <t>Base case</t>
        </is>
      </c>
    </row>
    <row r="392">
      <c r="C392" s="4" t="inlineStr">
        <is>
          <t>Bear case</t>
        </is>
      </c>
    </row>
  </sheetData>
  <conditionalFormatting sqref="B1:B4 B13:B1048576">
    <cfRule type="expression" priority="25" dxfId="23">
      <formula>B1&lt;&gt;""</formula>
    </cfRule>
  </conditionalFormatting>
  <conditionalFormatting sqref="D1:CY3">
    <cfRule type="cellIs" priority="18" operator="greaterThan" dxfId="22">
      <formula>1</formula>
    </cfRule>
  </conditionalFormatting>
  <conditionalFormatting sqref="E315:G315">
    <cfRule type="cellIs" priority="16" operator="notEqual" dxfId="0">
      <formula>0</formula>
    </cfRule>
  </conditionalFormatting>
  <conditionalFormatting sqref="E5:H5">
    <cfRule type="cellIs" priority="17" operator="greaterThan" dxfId="18">
      <formula>$B$5</formula>
    </cfRule>
  </conditionalFormatting>
  <conditionalFormatting sqref="I315:L315">
    <cfRule type="cellIs" priority="23" operator="notEqual" dxfId="0">
      <formula>0</formula>
    </cfRule>
  </conditionalFormatting>
  <conditionalFormatting sqref="J5:CY5">
    <cfRule type="cellIs" priority="24" operator="greaterThan" dxfId="18">
      <formula>$B$5</formula>
    </cfRule>
  </conditionalFormatting>
  <conditionalFormatting sqref="N315:Q315">
    <cfRule type="cellIs" priority="22" operator="notEqual" dxfId="0">
      <formula>0</formula>
    </cfRule>
  </conditionalFormatting>
  <conditionalFormatting sqref="S315:V315">
    <cfRule type="cellIs" priority="21" operator="notEqual" dxfId="0">
      <formula>0</formula>
    </cfRule>
  </conditionalFormatting>
  <conditionalFormatting sqref="X315:AA315">
    <cfRule type="cellIs" priority="20" operator="notEqual" dxfId="0">
      <formula>0</formula>
    </cfRule>
  </conditionalFormatting>
  <conditionalFormatting sqref="AC315:AF315">
    <cfRule type="cellIs" priority="19" operator="notEqual" dxfId="0">
      <formula>0</formula>
    </cfRule>
  </conditionalFormatting>
  <conditionalFormatting sqref="AH315:AK315">
    <cfRule type="cellIs" priority="15" operator="notEqual" dxfId="0">
      <formula>0</formula>
    </cfRule>
  </conditionalFormatting>
  <conditionalFormatting sqref="AM315:AP315">
    <cfRule type="cellIs" priority="14" operator="notEqual" dxfId="0">
      <formula>0</formula>
    </cfRule>
  </conditionalFormatting>
  <conditionalFormatting sqref="AR315:AU315">
    <cfRule type="cellIs" priority="13" operator="notEqual" dxfId="0">
      <formula>0</formula>
    </cfRule>
  </conditionalFormatting>
  <conditionalFormatting sqref="AW315:AZ315">
    <cfRule type="cellIs" priority="12" operator="notEqual" dxfId="0">
      <formula>0</formula>
    </cfRule>
  </conditionalFormatting>
  <conditionalFormatting sqref="BB315:BE315">
    <cfRule type="cellIs" priority="11" operator="notEqual" dxfId="0">
      <formula>0</formula>
    </cfRule>
  </conditionalFormatting>
  <conditionalFormatting sqref="BG315:BJ315">
    <cfRule type="cellIs" priority="10" operator="notEqual" dxfId="0">
      <formula>0</formula>
    </cfRule>
  </conditionalFormatting>
  <conditionalFormatting sqref="BL315:BO315">
    <cfRule type="cellIs" priority="9" operator="notEqual" dxfId="0">
      <formula>0</formula>
    </cfRule>
  </conditionalFormatting>
  <conditionalFormatting sqref="BQ315:BT315">
    <cfRule type="cellIs" priority="8" operator="notEqual" dxfId="0">
      <formula>0</formula>
    </cfRule>
  </conditionalFormatting>
  <conditionalFormatting sqref="BV315:BY315">
    <cfRule type="cellIs" priority="7" operator="notEqual" dxfId="0">
      <formula>0</formula>
    </cfRule>
  </conditionalFormatting>
  <conditionalFormatting sqref="CA315:CD315">
    <cfRule type="cellIs" priority="6" operator="notEqual" dxfId="0">
      <formula>0</formula>
    </cfRule>
  </conditionalFormatting>
  <conditionalFormatting sqref="CF315:CI315">
    <cfRule type="cellIs" priority="5" operator="notEqual" dxfId="0">
      <formula>0</formula>
    </cfRule>
  </conditionalFormatting>
  <conditionalFormatting sqref="CK315:CN315">
    <cfRule type="cellIs" priority="4" operator="notEqual" dxfId="0">
      <formula>0</formula>
    </cfRule>
  </conditionalFormatting>
  <conditionalFormatting sqref="CP315:CS315">
    <cfRule type="cellIs" priority="3" operator="notEqual" dxfId="0">
      <formula>0</formula>
    </cfRule>
  </conditionalFormatting>
  <conditionalFormatting sqref="CU315:CX315">
    <cfRule type="cellIs" priority="2" operator="notEqual" dxfId="0">
      <formula>0</formula>
    </cfRule>
  </conditionalFormatting>
  <pageMargins left="0.7" right="0.7" top="0.75" bottom="0.75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02"/>
  <sheetViews>
    <sheetView zoomScaleNormal="100" workbookViewId="0">
      <selection activeCell="A1" sqref="A1"/>
    </sheetView>
  </sheetViews>
  <sheetFormatPr baseColWidth="8" defaultColWidth="10.42578125" defaultRowHeight="12.75"/>
  <cols>
    <col width="2.28515625" customWidth="1" style="251" min="1" max="1"/>
    <col width="4.85546875" customWidth="1" style="251" min="2" max="2"/>
    <col width="62" customWidth="1" style="251" min="3" max="3"/>
    <col width="14.5703125" customWidth="1" style="251" min="4" max="4"/>
    <col width="12.85546875" customWidth="1" style="251" min="5" max="6"/>
    <col width="13.42578125" customWidth="1" style="251" min="7" max="7"/>
    <col width="16" customWidth="1" style="251" min="8" max="8"/>
    <col width="15.5703125" customWidth="1" style="251" min="9" max="9"/>
    <col width="12.85546875" customWidth="1" style="251" min="10" max="12"/>
    <col width="13.28515625" customWidth="1" style="251" min="13" max="13"/>
    <col width="13.140625" customWidth="1" style="251" min="14" max="14"/>
    <col width="13.28515625" customWidth="1" style="251" min="15" max="15"/>
    <col width="12.28515625" customWidth="1" style="251" min="16" max="20"/>
    <col width="13.28515625" customWidth="1" style="251" min="21" max="22"/>
    <col width="10.5703125" customWidth="1" style="251" min="23" max="23"/>
    <col width="13" customWidth="1" style="251" min="24" max="25"/>
    <col width="11.28515625" customWidth="1" style="251" min="26" max="26"/>
    <col width="10.42578125" customWidth="1" style="251" min="27" max="27"/>
    <col width="21.5703125" customWidth="1" style="251" min="28" max="28"/>
    <col width="10.42578125" customWidth="1" style="251" min="29" max="31"/>
    <col width="9.140625" customWidth="1" style="251" min="32" max="32"/>
    <col width="10.42578125" customWidth="1" style="251" min="33" max="261"/>
    <col width="2.28515625" customWidth="1" style="251" min="262" max="263"/>
    <col width="35.42578125" customWidth="1" style="251" min="264" max="264"/>
    <col width="14.7109375" customWidth="1" style="251" min="265" max="265"/>
    <col width="12.85546875" customWidth="1" style="251" min="266" max="268"/>
    <col width="15.5703125" customWidth="1" style="251" min="269" max="269"/>
    <col width="12.85546875" customWidth="1" style="251" min="270" max="273"/>
    <col width="10.42578125" customWidth="1" style="251" min="274" max="275"/>
    <col width="12.28515625" customWidth="1" style="251" min="276" max="276"/>
    <col width="10.42578125" customWidth="1" style="251" min="277" max="517"/>
    <col width="2.28515625" customWidth="1" style="251" min="518" max="519"/>
    <col width="35.42578125" customWidth="1" style="251" min="520" max="520"/>
    <col width="14.7109375" customWidth="1" style="251" min="521" max="521"/>
    <col width="12.85546875" customWidth="1" style="251" min="522" max="524"/>
    <col width="15.5703125" customWidth="1" style="251" min="525" max="525"/>
    <col width="12.85546875" customWidth="1" style="251" min="526" max="529"/>
    <col width="10.42578125" customWidth="1" style="251" min="530" max="531"/>
    <col width="12.28515625" customWidth="1" style="251" min="532" max="532"/>
    <col width="10.42578125" customWidth="1" style="251" min="533" max="773"/>
    <col width="2.28515625" customWidth="1" style="251" min="774" max="775"/>
    <col width="35.42578125" customWidth="1" style="251" min="776" max="776"/>
    <col width="14.7109375" customWidth="1" style="251" min="777" max="777"/>
    <col width="12.85546875" customWidth="1" style="251" min="778" max="780"/>
    <col width="15.5703125" customWidth="1" style="251" min="781" max="781"/>
    <col width="12.85546875" customWidth="1" style="251" min="782" max="785"/>
    <col width="10.42578125" customWidth="1" style="251" min="786" max="787"/>
    <col width="12.28515625" customWidth="1" style="251" min="788" max="788"/>
    <col width="10.42578125" customWidth="1" style="251" min="789" max="1029"/>
    <col width="2.28515625" customWidth="1" style="251" min="1030" max="1031"/>
    <col width="35.42578125" customWidth="1" style="251" min="1032" max="1032"/>
    <col width="14.7109375" customWidth="1" style="251" min="1033" max="1033"/>
    <col width="12.85546875" customWidth="1" style="251" min="1034" max="1036"/>
    <col width="15.5703125" customWidth="1" style="251" min="1037" max="1037"/>
    <col width="12.85546875" customWidth="1" style="251" min="1038" max="1041"/>
    <col width="10.42578125" customWidth="1" style="251" min="1042" max="1043"/>
    <col width="12.28515625" customWidth="1" style="251" min="1044" max="1044"/>
    <col width="10.42578125" customWidth="1" style="251" min="1045" max="1285"/>
    <col width="2.28515625" customWidth="1" style="251" min="1286" max="1287"/>
    <col width="35.42578125" customWidth="1" style="251" min="1288" max="1288"/>
    <col width="14.7109375" customWidth="1" style="251" min="1289" max="1289"/>
    <col width="12.85546875" customWidth="1" style="251" min="1290" max="1292"/>
    <col width="15.5703125" customWidth="1" style="251" min="1293" max="1293"/>
    <col width="12.85546875" customWidth="1" style="251" min="1294" max="1297"/>
    <col width="10.42578125" customWidth="1" style="251" min="1298" max="1299"/>
    <col width="12.28515625" customWidth="1" style="251" min="1300" max="1300"/>
    <col width="10.42578125" customWidth="1" style="251" min="1301" max="1541"/>
    <col width="2.28515625" customWidth="1" style="251" min="1542" max="1543"/>
    <col width="35.42578125" customWidth="1" style="251" min="1544" max="1544"/>
    <col width="14.7109375" customWidth="1" style="251" min="1545" max="1545"/>
    <col width="12.85546875" customWidth="1" style="251" min="1546" max="1548"/>
    <col width="15.5703125" customWidth="1" style="251" min="1549" max="1549"/>
    <col width="12.85546875" customWidth="1" style="251" min="1550" max="1553"/>
    <col width="10.42578125" customWidth="1" style="251" min="1554" max="1555"/>
    <col width="12.28515625" customWidth="1" style="251" min="1556" max="1556"/>
    <col width="10.42578125" customWidth="1" style="251" min="1557" max="1797"/>
    <col width="2.28515625" customWidth="1" style="251" min="1798" max="1799"/>
    <col width="35.42578125" customWidth="1" style="251" min="1800" max="1800"/>
    <col width="14.7109375" customWidth="1" style="251" min="1801" max="1801"/>
    <col width="12.85546875" customWidth="1" style="251" min="1802" max="1804"/>
    <col width="15.5703125" customWidth="1" style="251" min="1805" max="1805"/>
    <col width="12.85546875" customWidth="1" style="251" min="1806" max="1809"/>
    <col width="10.42578125" customWidth="1" style="251" min="1810" max="1811"/>
    <col width="12.28515625" customWidth="1" style="251" min="1812" max="1812"/>
    <col width="10.42578125" customWidth="1" style="251" min="1813" max="2053"/>
    <col width="2.28515625" customWidth="1" style="251" min="2054" max="2055"/>
    <col width="35.42578125" customWidth="1" style="251" min="2056" max="2056"/>
    <col width="14.7109375" customWidth="1" style="251" min="2057" max="2057"/>
    <col width="12.85546875" customWidth="1" style="251" min="2058" max="2060"/>
    <col width="15.5703125" customWidth="1" style="251" min="2061" max="2061"/>
    <col width="12.85546875" customWidth="1" style="251" min="2062" max="2065"/>
    <col width="10.42578125" customWidth="1" style="251" min="2066" max="2067"/>
    <col width="12.28515625" customWidth="1" style="251" min="2068" max="2068"/>
    <col width="10.42578125" customWidth="1" style="251" min="2069" max="2309"/>
    <col width="2.28515625" customWidth="1" style="251" min="2310" max="2311"/>
    <col width="35.42578125" customWidth="1" style="251" min="2312" max="2312"/>
    <col width="14.7109375" customWidth="1" style="251" min="2313" max="2313"/>
    <col width="12.85546875" customWidth="1" style="251" min="2314" max="2316"/>
    <col width="15.5703125" customWidth="1" style="251" min="2317" max="2317"/>
    <col width="12.85546875" customWidth="1" style="251" min="2318" max="2321"/>
    <col width="10.42578125" customWidth="1" style="251" min="2322" max="2323"/>
    <col width="12.28515625" customWidth="1" style="251" min="2324" max="2324"/>
    <col width="10.42578125" customWidth="1" style="251" min="2325" max="2565"/>
    <col width="2.28515625" customWidth="1" style="251" min="2566" max="2567"/>
    <col width="35.42578125" customWidth="1" style="251" min="2568" max="2568"/>
    <col width="14.7109375" customWidth="1" style="251" min="2569" max="2569"/>
    <col width="12.85546875" customWidth="1" style="251" min="2570" max="2572"/>
    <col width="15.5703125" customWidth="1" style="251" min="2573" max="2573"/>
    <col width="12.85546875" customWidth="1" style="251" min="2574" max="2577"/>
    <col width="10.42578125" customWidth="1" style="251" min="2578" max="2579"/>
    <col width="12.28515625" customWidth="1" style="251" min="2580" max="2580"/>
    <col width="10.42578125" customWidth="1" style="251" min="2581" max="2821"/>
    <col width="2.28515625" customWidth="1" style="251" min="2822" max="2823"/>
    <col width="35.42578125" customWidth="1" style="251" min="2824" max="2824"/>
    <col width="14.7109375" customWidth="1" style="251" min="2825" max="2825"/>
    <col width="12.85546875" customWidth="1" style="251" min="2826" max="2828"/>
    <col width="15.5703125" customWidth="1" style="251" min="2829" max="2829"/>
    <col width="12.85546875" customWidth="1" style="251" min="2830" max="2833"/>
    <col width="10.42578125" customWidth="1" style="251" min="2834" max="2835"/>
    <col width="12.28515625" customWidth="1" style="251" min="2836" max="2836"/>
    <col width="10.42578125" customWidth="1" style="251" min="2837" max="3077"/>
    <col width="2.28515625" customWidth="1" style="251" min="3078" max="3079"/>
    <col width="35.42578125" customWidth="1" style="251" min="3080" max="3080"/>
    <col width="14.7109375" customWidth="1" style="251" min="3081" max="3081"/>
    <col width="12.85546875" customWidth="1" style="251" min="3082" max="3084"/>
    <col width="15.5703125" customWidth="1" style="251" min="3085" max="3085"/>
    <col width="12.85546875" customWidth="1" style="251" min="3086" max="3089"/>
    <col width="10.42578125" customWidth="1" style="251" min="3090" max="3091"/>
    <col width="12.28515625" customWidth="1" style="251" min="3092" max="3092"/>
    <col width="10.42578125" customWidth="1" style="251" min="3093" max="3333"/>
    <col width="2.28515625" customWidth="1" style="251" min="3334" max="3335"/>
    <col width="35.42578125" customWidth="1" style="251" min="3336" max="3336"/>
    <col width="14.7109375" customWidth="1" style="251" min="3337" max="3337"/>
    <col width="12.85546875" customWidth="1" style="251" min="3338" max="3340"/>
    <col width="15.5703125" customWidth="1" style="251" min="3341" max="3341"/>
    <col width="12.85546875" customWidth="1" style="251" min="3342" max="3345"/>
    <col width="10.42578125" customWidth="1" style="251" min="3346" max="3347"/>
    <col width="12.28515625" customWidth="1" style="251" min="3348" max="3348"/>
    <col width="10.42578125" customWidth="1" style="251" min="3349" max="3589"/>
    <col width="2.28515625" customWidth="1" style="251" min="3590" max="3591"/>
    <col width="35.42578125" customWidth="1" style="251" min="3592" max="3592"/>
    <col width="14.7109375" customWidth="1" style="251" min="3593" max="3593"/>
    <col width="12.85546875" customWidth="1" style="251" min="3594" max="3596"/>
    <col width="15.5703125" customWidth="1" style="251" min="3597" max="3597"/>
    <col width="12.85546875" customWidth="1" style="251" min="3598" max="3601"/>
    <col width="10.42578125" customWidth="1" style="251" min="3602" max="3603"/>
    <col width="12.28515625" customWidth="1" style="251" min="3604" max="3604"/>
    <col width="10.42578125" customWidth="1" style="251" min="3605" max="3845"/>
    <col width="2.28515625" customWidth="1" style="251" min="3846" max="3847"/>
    <col width="35.42578125" customWidth="1" style="251" min="3848" max="3848"/>
    <col width="14.7109375" customWidth="1" style="251" min="3849" max="3849"/>
    <col width="12.85546875" customWidth="1" style="251" min="3850" max="3852"/>
    <col width="15.5703125" customWidth="1" style="251" min="3853" max="3853"/>
    <col width="12.85546875" customWidth="1" style="251" min="3854" max="3857"/>
    <col width="10.42578125" customWidth="1" style="251" min="3858" max="3859"/>
    <col width="12.28515625" customWidth="1" style="251" min="3860" max="3860"/>
    <col width="10.42578125" customWidth="1" style="251" min="3861" max="4101"/>
    <col width="2.28515625" customWidth="1" style="251" min="4102" max="4103"/>
    <col width="35.42578125" customWidth="1" style="251" min="4104" max="4104"/>
    <col width="14.7109375" customWidth="1" style="251" min="4105" max="4105"/>
    <col width="12.85546875" customWidth="1" style="251" min="4106" max="4108"/>
    <col width="15.5703125" customWidth="1" style="251" min="4109" max="4109"/>
    <col width="12.85546875" customWidth="1" style="251" min="4110" max="4113"/>
    <col width="10.42578125" customWidth="1" style="251" min="4114" max="4115"/>
    <col width="12.28515625" customWidth="1" style="251" min="4116" max="4116"/>
    <col width="10.42578125" customWidth="1" style="251" min="4117" max="4357"/>
    <col width="2.28515625" customWidth="1" style="251" min="4358" max="4359"/>
    <col width="35.42578125" customWidth="1" style="251" min="4360" max="4360"/>
    <col width="14.7109375" customWidth="1" style="251" min="4361" max="4361"/>
    <col width="12.85546875" customWidth="1" style="251" min="4362" max="4364"/>
    <col width="15.5703125" customWidth="1" style="251" min="4365" max="4365"/>
    <col width="12.85546875" customWidth="1" style="251" min="4366" max="4369"/>
    <col width="10.42578125" customWidth="1" style="251" min="4370" max="4371"/>
    <col width="12.28515625" customWidth="1" style="251" min="4372" max="4372"/>
    <col width="10.42578125" customWidth="1" style="251" min="4373" max="4613"/>
    <col width="2.28515625" customWidth="1" style="251" min="4614" max="4615"/>
    <col width="35.42578125" customWidth="1" style="251" min="4616" max="4616"/>
    <col width="14.7109375" customWidth="1" style="251" min="4617" max="4617"/>
    <col width="12.85546875" customWidth="1" style="251" min="4618" max="4620"/>
    <col width="15.5703125" customWidth="1" style="251" min="4621" max="4621"/>
    <col width="12.85546875" customWidth="1" style="251" min="4622" max="4625"/>
    <col width="10.42578125" customWidth="1" style="251" min="4626" max="4627"/>
    <col width="12.28515625" customWidth="1" style="251" min="4628" max="4628"/>
    <col width="10.42578125" customWidth="1" style="251" min="4629" max="4869"/>
    <col width="2.28515625" customWidth="1" style="251" min="4870" max="4871"/>
    <col width="35.42578125" customWidth="1" style="251" min="4872" max="4872"/>
    <col width="14.7109375" customWidth="1" style="251" min="4873" max="4873"/>
    <col width="12.85546875" customWidth="1" style="251" min="4874" max="4876"/>
    <col width="15.5703125" customWidth="1" style="251" min="4877" max="4877"/>
    <col width="12.85546875" customWidth="1" style="251" min="4878" max="4881"/>
    <col width="10.42578125" customWidth="1" style="251" min="4882" max="4883"/>
    <col width="12.28515625" customWidth="1" style="251" min="4884" max="4884"/>
    <col width="10.42578125" customWidth="1" style="251" min="4885" max="5125"/>
    <col width="2.28515625" customWidth="1" style="251" min="5126" max="5127"/>
    <col width="35.42578125" customWidth="1" style="251" min="5128" max="5128"/>
    <col width="14.7109375" customWidth="1" style="251" min="5129" max="5129"/>
    <col width="12.85546875" customWidth="1" style="251" min="5130" max="5132"/>
    <col width="15.5703125" customWidth="1" style="251" min="5133" max="5133"/>
    <col width="12.85546875" customWidth="1" style="251" min="5134" max="5137"/>
    <col width="10.42578125" customWidth="1" style="251" min="5138" max="5139"/>
    <col width="12.28515625" customWidth="1" style="251" min="5140" max="5140"/>
    <col width="10.42578125" customWidth="1" style="251" min="5141" max="5381"/>
    <col width="2.28515625" customWidth="1" style="251" min="5382" max="5383"/>
    <col width="35.42578125" customWidth="1" style="251" min="5384" max="5384"/>
    <col width="14.7109375" customWidth="1" style="251" min="5385" max="5385"/>
    <col width="12.85546875" customWidth="1" style="251" min="5386" max="5388"/>
    <col width="15.5703125" customWidth="1" style="251" min="5389" max="5389"/>
    <col width="12.85546875" customWidth="1" style="251" min="5390" max="5393"/>
    <col width="10.42578125" customWidth="1" style="251" min="5394" max="5395"/>
    <col width="12.28515625" customWidth="1" style="251" min="5396" max="5396"/>
    <col width="10.42578125" customWidth="1" style="251" min="5397" max="5637"/>
    <col width="2.28515625" customWidth="1" style="251" min="5638" max="5639"/>
    <col width="35.42578125" customWidth="1" style="251" min="5640" max="5640"/>
    <col width="14.7109375" customWidth="1" style="251" min="5641" max="5641"/>
    <col width="12.85546875" customWidth="1" style="251" min="5642" max="5644"/>
    <col width="15.5703125" customWidth="1" style="251" min="5645" max="5645"/>
    <col width="12.85546875" customWidth="1" style="251" min="5646" max="5649"/>
    <col width="10.42578125" customWidth="1" style="251" min="5650" max="5651"/>
    <col width="12.28515625" customWidth="1" style="251" min="5652" max="5652"/>
    <col width="10.42578125" customWidth="1" style="251" min="5653" max="5893"/>
    <col width="2.28515625" customWidth="1" style="251" min="5894" max="5895"/>
    <col width="35.42578125" customWidth="1" style="251" min="5896" max="5896"/>
    <col width="14.7109375" customWidth="1" style="251" min="5897" max="5897"/>
    <col width="12.85546875" customWidth="1" style="251" min="5898" max="5900"/>
    <col width="15.5703125" customWidth="1" style="251" min="5901" max="5901"/>
    <col width="12.85546875" customWidth="1" style="251" min="5902" max="5905"/>
    <col width="10.42578125" customWidth="1" style="251" min="5906" max="5907"/>
    <col width="12.28515625" customWidth="1" style="251" min="5908" max="5908"/>
    <col width="10.42578125" customWidth="1" style="251" min="5909" max="6149"/>
    <col width="2.28515625" customWidth="1" style="251" min="6150" max="6151"/>
    <col width="35.42578125" customWidth="1" style="251" min="6152" max="6152"/>
    <col width="14.7109375" customWidth="1" style="251" min="6153" max="6153"/>
    <col width="12.85546875" customWidth="1" style="251" min="6154" max="6156"/>
    <col width="15.5703125" customWidth="1" style="251" min="6157" max="6157"/>
    <col width="12.85546875" customWidth="1" style="251" min="6158" max="6161"/>
    <col width="10.42578125" customWidth="1" style="251" min="6162" max="6163"/>
    <col width="12.28515625" customWidth="1" style="251" min="6164" max="6164"/>
    <col width="10.42578125" customWidth="1" style="251" min="6165" max="6405"/>
    <col width="2.28515625" customWidth="1" style="251" min="6406" max="6407"/>
    <col width="35.42578125" customWidth="1" style="251" min="6408" max="6408"/>
    <col width="14.7109375" customWidth="1" style="251" min="6409" max="6409"/>
    <col width="12.85546875" customWidth="1" style="251" min="6410" max="6412"/>
    <col width="15.5703125" customWidth="1" style="251" min="6413" max="6413"/>
    <col width="12.85546875" customWidth="1" style="251" min="6414" max="6417"/>
    <col width="10.42578125" customWidth="1" style="251" min="6418" max="6419"/>
    <col width="12.28515625" customWidth="1" style="251" min="6420" max="6420"/>
    <col width="10.42578125" customWidth="1" style="251" min="6421" max="6661"/>
    <col width="2.28515625" customWidth="1" style="251" min="6662" max="6663"/>
    <col width="35.42578125" customWidth="1" style="251" min="6664" max="6664"/>
    <col width="14.7109375" customWidth="1" style="251" min="6665" max="6665"/>
    <col width="12.85546875" customWidth="1" style="251" min="6666" max="6668"/>
    <col width="15.5703125" customWidth="1" style="251" min="6669" max="6669"/>
    <col width="12.85546875" customWidth="1" style="251" min="6670" max="6673"/>
    <col width="10.42578125" customWidth="1" style="251" min="6674" max="6675"/>
    <col width="12.28515625" customWidth="1" style="251" min="6676" max="6676"/>
    <col width="10.42578125" customWidth="1" style="251" min="6677" max="6917"/>
    <col width="2.28515625" customWidth="1" style="251" min="6918" max="6919"/>
    <col width="35.42578125" customWidth="1" style="251" min="6920" max="6920"/>
    <col width="14.7109375" customWidth="1" style="251" min="6921" max="6921"/>
    <col width="12.85546875" customWidth="1" style="251" min="6922" max="6924"/>
    <col width="15.5703125" customWidth="1" style="251" min="6925" max="6925"/>
    <col width="12.85546875" customWidth="1" style="251" min="6926" max="6929"/>
    <col width="10.42578125" customWidth="1" style="251" min="6930" max="6931"/>
    <col width="12.28515625" customWidth="1" style="251" min="6932" max="6932"/>
    <col width="10.42578125" customWidth="1" style="251" min="6933" max="7173"/>
    <col width="2.28515625" customWidth="1" style="251" min="7174" max="7175"/>
    <col width="35.42578125" customWidth="1" style="251" min="7176" max="7176"/>
    <col width="14.7109375" customWidth="1" style="251" min="7177" max="7177"/>
    <col width="12.85546875" customWidth="1" style="251" min="7178" max="7180"/>
    <col width="15.5703125" customWidth="1" style="251" min="7181" max="7181"/>
    <col width="12.85546875" customWidth="1" style="251" min="7182" max="7185"/>
    <col width="10.42578125" customWidth="1" style="251" min="7186" max="7187"/>
    <col width="12.28515625" customWidth="1" style="251" min="7188" max="7188"/>
    <col width="10.42578125" customWidth="1" style="251" min="7189" max="7429"/>
    <col width="2.28515625" customWidth="1" style="251" min="7430" max="7431"/>
    <col width="35.42578125" customWidth="1" style="251" min="7432" max="7432"/>
    <col width="14.7109375" customWidth="1" style="251" min="7433" max="7433"/>
    <col width="12.85546875" customWidth="1" style="251" min="7434" max="7436"/>
    <col width="15.5703125" customWidth="1" style="251" min="7437" max="7437"/>
    <col width="12.85546875" customWidth="1" style="251" min="7438" max="7441"/>
    <col width="10.42578125" customWidth="1" style="251" min="7442" max="7443"/>
    <col width="12.28515625" customWidth="1" style="251" min="7444" max="7444"/>
    <col width="10.42578125" customWidth="1" style="251" min="7445" max="7685"/>
    <col width="2.28515625" customWidth="1" style="251" min="7686" max="7687"/>
    <col width="35.42578125" customWidth="1" style="251" min="7688" max="7688"/>
    <col width="14.7109375" customWidth="1" style="251" min="7689" max="7689"/>
    <col width="12.85546875" customWidth="1" style="251" min="7690" max="7692"/>
    <col width="15.5703125" customWidth="1" style="251" min="7693" max="7693"/>
    <col width="12.85546875" customWidth="1" style="251" min="7694" max="7697"/>
    <col width="10.42578125" customWidth="1" style="251" min="7698" max="7699"/>
    <col width="12.28515625" customWidth="1" style="251" min="7700" max="7700"/>
    <col width="10.42578125" customWidth="1" style="251" min="7701" max="7941"/>
    <col width="2.28515625" customWidth="1" style="251" min="7942" max="7943"/>
    <col width="35.42578125" customWidth="1" style="251" min="7944" max="7944"/>
    <col width="14.7109375" customWidth="1" style="251" min="7945" max="7945"/>
    <col width="12.85546875" customWidth="1" style="251" min="7946" max="7948"/>
    <col width="15.5703125" customWidth="1" style="251" min="7949" max="7949"/>
    <col width="12.85546875" customWidth="1" style="251" min="7950" max="7953"/>
    <col width="10.42578125" customWidth="1" style="251" min="7954" max="7955"/>
    <col width="12.28515625" customWidth="1" style="251" min="7956" max="7956"/>
    <col width="10.42578125" customWidth="1" style="251" min="7957" max="8197"/>
    <col width="2.28515625" customWidth="1" style="251" min="8198" max="8199"/>
    <col width="35.42578125" customWidth="1" style="251" min="8200" max="8200"/>
    <col width="14.7109375" customWidth="1" style="251" min="8201" max="8201"/>
    <col width="12.85546875" customWidth="1" style="251" min="8202" max="8204"/>
    <col width="15.5703125" customWidth="1" style="251" min="8205" max="8205"/>
    <col width="12.85546875" customWidth="1" style="251" min="8206" max="8209"/>
    <col width="10.42578125" customWidth="1" style="251" min="8210" max="8211"/>
    <col width="12.28515625" customWidth="1" style="251" min="8212" max="8212"/>
    <col width="10.42578125" customWidth="1" style="251" min="8213" max="8453"/>
    <col width="2.28515625" customWidth="1" style="251" min="8454" max="8455"/>
    <col width="35.42578125" customWidth="1" style="251" min="8456" max="8456"/>
    <col width="14.7109375" customWidth="1" style="251" min="8457" max="8457"/>
    <col width="12.85546875" customWidth="1" style="251" min="8458" max="8460"/>
    <col width="15.5703125" customWidth="1" style="251" min="8461" max="8461"/>
    <col width="12.85546875" customWidth="1" style="251" min="8462" max="8465"/>
    <col width="10.42578125" customWidth="1" style="251" min="8466" max="8467"/>
    <col width="12.28515625" customWidth="1" style="251" min="8468" max="8468"/>
    <col width="10.42578125" customWidth="1" style="251" min="8469" max="8709"/>
    <col width="2.28515625" customWidth="1" style="251" min="8710" max="8711"/>
    <col width="35.42578125" customWidth="1" style="251" min="8712" max="8712"/>
    <col width="14.7109375" customWidth="1" style="251" min="8713" max="8713"/>
    <col width="12.85546875" customWidth="1" style="251" min="8714" max="8716"/>
    <col width="15.5703125" customWidth="1" style="251" min="8717" max="8717"/>
    <col width="12.85546875" customWidth="1" style="251" min="8718" max="8721"/>
    <col width="10.42578125" customWidth="1" style="251" min="8722" max="8723"/>
    <col width="12.28515625" customWidth="1" style="251" min="8724" max="8724"/>
    <col width="10.42578125" customWidth="1" style="251" min="8725" max="8965"/>
    <col width="2.28515625" customWidth="1" style="251" min="8966" max="8967"/>
    <col width="35.42578125" customWidth="1" style="251" min="8968" max="8968"/>
    <col width="14.7109375" customWidth="1" style="251" min="8969" max="8969"/>
    <col width="12.85546875" customWidth="1" style="251" min="8970" max="8972"/>
    <col width="15.5703125" customWidth="1" style="251" min="8973" max="8973"/>
    <col width="12.85546875" customWidth="1" style="251" min="8974" max="8977"/>
    <col width="10.42578125" customWidth="1" style="251" min="8978" max="8979"/>
    <col width="12.28515625" customWidth="1" style="251" min="8980" max="8980"/>
    <col width="10.42578125" customWidth="1" style="251" min="8981" max="9221"/>
    <col width="2.28515625" customWidth="1" style="251" min="9222" max="9223"/>
    <col width="35.42578125" customWidth="1" style="251" min="9224" max="9224"/>
    <col width="14.7109375" customWidth="1" style="251" min="9225" max="9225"/>
    <col width="12.85546875" customWidth="1" style="251" min="9226" max="9228"/>
    <col width="15.5703125" customWidth="1" style="251" min="9229" max="9229"/>
    <col width="12.85546875" customWidth="1" style="251" min="9230" max="9233"/>
    <col width="10.42578125" customWidth="1" style="251" min="9234" max="9235"/>
    <col width="12.28515625" customWidth="1" style="251" min="9236" max="9236"/>
    <col width="10.42578125" customWidth="1" style="251" min="9237" max="9477"/>
    <col width="2.28515625" customWidth="1" style="251" min="9478" max="9479"/>
    <col width="35.42578125" customWidth="1" style="251" min="9480" max="9480"/>
    <col width="14.7109375" customWidth="1" style="251" min="9481" max="9481"/>
    <col width="12.85546875" customWidth="1" style="251" min="9482" max="9484"/>
    <col width="15.5703125" customWidth="1" style="251" min="9485" max="9485"/>
    <col width="12.85546875" customWidth="1" style="251" min="9486" max="9489"/>
    <col width="10.42578125" customWidth="1" style="251" min="9490" max="9491"/>
    <col width="12.28515625" customWidth="1" style="251" min="9492" max="9492"/>
    <col width="10.42578125" customWidth="1" style="251" min="9493" max="9733"/>
    <col width="2.28515625" customWidth="1" style="251" min="9734" max="9735"/>
    <col width="35.42578125" customWidth="1" style="251" min="9736" max="9736"/>
    <col width="14.7109375" customWidth="1" style="251" min="9737" max="9737"/>
    <col width="12.85546875" customWidth="1" style="251" min="9738" max="9740"/>
    <col width="15.5703125" customWidth="1" style="251" min="9741" max="9741"/>
    <col width="12.85546875" customWidth="1" style="251" min="9742" max="9745"/>
    <col width="10.42578125" customWidth="1" style="251" min="9746" max="9747"/>
    <col width="12.28515625" customWidth="1" style="251" min="9748" max="9748"/>
    <col width="10.42578125" customWidth="1" style="251" min="9749" max="9989"/>
    <col width="2.28515625" customWidth="1" style="251" min="9990" max="9991"/>
    <col width="35.42578125" customWidth="1" style="251" min="9992" max="9992"/>
    <col width="14.7109375" customWidth="1" style="251" min="9993" max="9993"/>
    <col width="12.85546875" customWidth="1" style="251" min="9994" max="9996"/>
    <col width="15.5703125" customWidth="1" style="251" min="9997" max="9997"/>
    <col width="12.85546875" customWidth="1" style="251" min="9998" max="10001"/>
    <col width="10.42578125" customWidth="1" style="251" min="10002" max="10003"/>
    <col width="12.28515625" customWidth="1" style="251" min="10004" max="10004"/>
    <col width="10.42578125" customWidth="1" style="251" min="10005" max="10245"/>
    <col width="2.28515625" customWidth="1" style="251" min="10246" max="10247"/>
    <col width="35.42578125" customWidth="1" style="251" min="10248" max="10248"/>
    <col width="14.7109375" customWidth="1" style="251" min="10249" max="10249"/>
    <col width="12.85546875" customWidth="1" style="251" min="10250" max="10252"/>
    <col width="15.5703125" customWidth="1" style="251" min="10253" max="10253"/>
    <col width="12.85546875" customWidth="1" style="251" min="10254" max="10257"/>
    <col width="10.42578125" customWidth="1" style="251" min="10258" max="10259"/>
    <col width="12.28515625" customWidth="1" style="251" min="10260" max="10260"/>
    <col width="10.42578125" customWidth="1" style="251" min="10261" max="10501"/>
    <col width="2.28515625" customWidth="1" style="251" min="10502" max="10503"/>
    <col width="35.42578125" customWidth="1" style="251" min="10504" max="10504"/>
    <col width="14.7109375" customWidth="1" style="251" min="10505" max="10505"/>
    <col width="12.85546875" customWidth="1" style="251" min="10506" max="10508"/>
    <col width="15.5703125" customWidth="1" style="251" min="10509" max="10509"/>
    <col width="12.85546875" customWidth="1" style="251" min="10510" max="10513"/>
    <col width="10.42578125" customWidth="1" style="251" min="10514" max="10515"/>
    <col width="12.28515625" customWidth="1" style="251" min="10516" max="10516"/>
    <col width="10.42578125" customWidth="1" style="251" min="10517" max="10757"/>
    <col width="2.28515625" customWidth="1" style="251" min="10758" max="10759"/>
    <col width="35.42578125" customWidth="1" style="251" min="10760" max="10760"/>
    <col width="14.7109375" customWidth="1" style="251" min="10761" max="10761"/>
    <col width="12.85546875" customWidth="1" style="251" min="10762" max="10764"/>
    <col width="15.5703125" customWidth="1" style="251" min="10765" max="10765"/>
    <col width="12.85546875" customWidth="1" style="251" min="10766" max="10769"/>
    <col width="10.42578125" customWidth="1" style="251" min="10770" max="10771"/>
    <col width="12.28515625" customWidth="1" style="251" min="10772" max="10772"/>
    <col width="10.42578125" customWidth="1" style="251" min="10773" max="11013"/>
    <col width="2.28515625" customWidth="1" style="251" min="11014" max="11015"/>
    <col width="35.42578125" customWidth="1" style="251" min="11016" max="11016"/>
    <col width="14.7109375" customWidth="1" style="251" min="11017" max="11017"/>
    <col width="12.85546875" customWidth="1" style="251" min="11018" max="11020"/>
    <col width="15.5703125" customWidth="1" style="251" min="11021" max="11021"/>
    <col width="12.85546875" customWidth="1" style="251" min="11022" max="11025"/>
    <col width="10.42578125" customWidth="1" style="251" min="11026" max="11027"/>
    <col width="12.28515625" customWidth="1" style="251" min="11028" max="11028"/>
    <col width="10.42578125" customWidth="1" style="251" min="11029" max="11269"/>
    <col width="2.28515625" customWidth="1" style="251" min="11270" max="11271"/>
    <col width="35.42578125" customWidth="1" style="251" min="11272" max="11272"/>
    <col width="14.7109375" customWidth="1" style="251" min="11273" max="11273"/>
    <col width="12.85546875" customWidth="1" style="251" min="11274" max="11276"/>
    <col width="15.5703125" customWidth="1" style="251" min="11277" max="11277"/>
    <col width="12.85546875" customWidth="1" style="251" min="11278" max="11281"/>
    <col width="10.42578125" customWidth="1" style="251" min="11282" max="11283"/>
    <col width="12.28515625" customWidth="1" style="251" min="11284" max="11284"/>
    <col width="10.42578125" customWidth="1" style="251" min="11285" max="11525"/>
    <col width="2.28515625" customWidth="1" style="251" min="11526" max="11527"/>
    <col width="35.42578125" customWidth="1" style="251" min="11528" max="11528"/>
    <col width="14.7109375" customWidth="1" style="251" min="11529" max="11529"/>
    <col width="12.85546875" customWidth="1" style="251" min="11530" max="11532"/>
    <col width="15.5703125" customWidth="1" style="251" min="11533" max="11533"/>
    <col width="12.85546875" customWidth="1" style="251" min="11534" max="11537"/>
    <col width="10.42578125" customWidth="1" style="251" min="11538" max="11539"/>
    <col width="12.28515625" customWidth="1" style="251" min="11540" max="11540"/>
    <col width="10.42578125" customWidth="1" style="251" min="11541" max="11781"/>
    <col width="2.28515625" customWidth="1" style="251" min="11782" max="11783"/>
    <col width="35.42578125" customWidth="1" style="251" min="11784" max="11784"/>
    <col width="14.7109375" customWidth="1" style="251" min="11785" max="11785"/>
    <col width="12.85546875" customWidth="1" style="251" min="11786" max="11788"/>
    <col width="15.5703125" customWidth="1" style="251" min="11789" max="11789"/>
    <col width="12.85546875" customWidth="1" style="251" min="11790" max="11793"/>
    <col width="10.42578125" customWidth="1" style="251" min="11794" max="11795"/>
    <col width="12.28515625" customWidth="1" style="251" min="11796" max="11796"/>
    <col width="10.42578125" customWidth="1" style="251" min="11797" max="12037"/>
    <col width="2.28515625" customWidth="1" style="251" min="12038" max="12039"/>
    <col width="35.42578125" customWidth="1" style="251" min="12040" max="12040"/>
    <col width="14.7109375" customWidth="1" style="251" min="12041" max="12041"/>
    <col width="12.85546875" customWidth="1" style="251" min="12042" max="12044"/>
    <col width="15.5703125" customWidth="1" style="251" min="12045" max="12045"/>
    <col width="12.85546875" customWidth="1" style="251" min="12046" max="12049"/>
    <col width="10.42578125" customWidth="1" style="251" min="12050" max="12051"/>
    <col width="12.28515625" customWidth="1" style="251" min="12052" max="12052"/>
    <col width="10.42578125" customWidth="1" style="251" min="12053" max="12293"/>
    <col width="2.28515625" customWidth="1" style="251" min="12294" max="12295"/>
    <col width="35.42578125" customWidth="1" style="251" min="12296" max="12296"/>
    <col width="14.7109375" customWidth="1" style="251" min="12297" max="12297"/>
    <col width="12.85546875" customWidth="1" style="251" min="12298" max="12300"/>
    <col width="15.5703125" customWidth="1" style="251" min="12301" max="12301"/>
    <col width="12.85546875" customWidth="1" style="251" min="12302" max="12305"/>
    <col width="10.42578125" customWidth="1" style="251" min="12306" max="12307"/>
    <col width="12.28515625" customWidth="1" style="251" min="12308" max="12308"/>
    <col width="10.42578125" customWidth="1" style="251" min="12309" max="12549"/>
    <col width="2.28515625" customWidth="1" style="251" min="12550" max="12551"/>
    <col width="35.42578125" customWidth="1" style="251" min="12552" max="12552"/>
    <col width="14.7109375" customWidth="1" style="251" min="12553" max="12553"/>
    <col width="12.85546875" customWidth="1" style="251" min="12554" max="12556"/>
    <col width="15.5703125" customWidth="1" style="251" min="12557" max="12557"/>
    <col width="12.85546875" customWidth="1" style="251" min="12558" max="12561"/>
    <col width="10.42578125" customWidth="1" style="251" min="12562" max="12563"/>
    <col width="12.28515625" customWidth="1" style="251" min="12564" max="12564"/>
    <col width="10.42578125" customWidth="1" style="251" min="12565" max="12805"/>
    <col width="2.28515625" customWidth="1" style="251" min="12806" max="12807"/>
    <col width="35.42578125" customWidth="1" style="251" min="12808" max="12808"/>
    <col width="14.7109375" customWidth="1" style="251" min="12809" max="12809"/>
    <col width="12.85546875" customWidth="1" style="251" min="12810" max="12812"/>
    <col width="15.5703125" customWidth="1" style="251" min="12813" max="12813"/>
    <col width="12.85546875" customWidth="1" style="251" min="12814" max="12817"/>
    <col width="10.42578125" customWidth="1" style="251" min="12818" max="12819"/>
    <col width="12.28515625" customWidth="1" style="251" min="12820" max="12820"/>
    <col width="10.42578125" customWidth="1" style="251" min="12821" max="13061"/>
    <col width="2.28515625" customWidth="1" style="251" min="13062" max="13063"/>
    <col width="35.42578125" customWidth="1" style="251" min="13064" max="13064"/>
    <col width="14.7109375" customWidth="1" style="251" min="13065" max="13065"/>
    <col width="12.85546875" customWidth="1" style="251" min="13066" max="13068"/>
    <col width="15.5703125" customWidth="1" style="251" min="13069" max="13069"/>
    <col width="12.85546875" customWidth="1" style="251" min="13070" max="13073"/>
    <col width="10.42578125" customWidth="1" style="251" min="13074" max="13075"/>
    <col width="12.28515625" customWidth="1" style="251" min="13076" max="13076"/>
    <col width="10.42578125" customWidth="1" style="251" min="13077" max="13317"/>
    <col width="2.28515625" customWidth="1" style="251" min="13318" max="13319"/>
    <col width="35.42578125" customWidth="1" style="251" min="13320" max="13320"/>
    <col width="14.7109375" customWidth="1" style="251" min="13321" max="13321"/>
    <col width="12.85546875" customWidth="1" style="251" min="13322" max="13324"/>
    <col width="15.5703125" customWidth="1" style="251" min="13325" max="13325"/>
    <col width="12.85546875" customWidth="1" style="251" min="13326" max="13329"/>
    <col width="10.42578125" customWidth="1" style="251" min="13330" max="13331"/>
    <col width="12.28515625" customWidth="1" style="251" min="13332" max="13332"/>
    <col width="10.42578125" customWidth="1" style="251" min="13333" max="13573"/>
    <col width="2.28515625" customWidth="1" style="251" min="13574" max="13575"/>
    <col width="35.42578125" customWidth="1" style="251" min="13576" max="13576"/>
    <col width="14.7109375" customWidth="1" style="251" min="13577" max="13577"/>
    <col width="12.85546875" customWidth="1" style="251" min="13578" max="13580"/>
    <col width="15.5703125" customWidth="1" style="251" min="13581" max="13581"/>
    <col width="12.85546875" customWidth="1" style="251" min="13582" max="13585"/>
    <col width="10.42578125" customWidth="1" style="251" min="13586" max="13587"/>
    <col width="12.28515625" customWidth="1" style="251" min="13588" max="13588"/>
    <col width="10.42578125" customWidth="1" style="251" min="13589" max="13829"/>
    <col width="2.28515625" customWidth="1" style="251" min="13830" max="13831"/>
    <col width="35.42578125" customWidth="1" style="251" min="13832" max="13832"/>
    <col width="14.7109375" customWidth="1" style="251" min="13833" max="13833"/>
    <col width="12.85546875" customWidth="1" style="251" min="13834" max="13836"/>
    <col width="15.5703125" customWidth="1" style="251" min="13837" max="13837"/>
    <col width="12.85546875" customWidth="1" style="251" min="13838" max="13841"/>
    <col width="10.42578125" customWidth="1" style="251" min="13842" max="13843"/>
    <col width="12.28515625" customWidth="1" style="251" min="13844" max="13844"/>
    <col width="10.42578125" customWidth="1" style="251" min="13845" max="14085"/>
    <col width="2.28515625" customWidth="1" style="251" min="14086" max="14087"/>
    <col width="35.42578125" customWidth="1" style="251" min="14088" max="14088"/>
    <col width="14.7109375" customWidth="1" style="251" min="14089" max="14089"/>
    <col width="12.85546875" customWidth="1" style="251" min="14090" max="14092"/>
    <col width="15.5703125" customWidth="1" style="251" min="14093" max="14093"/>
    <col width="12.85546875" customWidth="1" style="251" min="14094" max="14097"/>
    <col width="10.42578125" customWidth="1" style="251" min="14098" max="14099"/>
    <col width="12.28515625" customWidth="1" style="251" min="14100" max="14100"/>
    <col width="10.42578125" customWidth="1" style="251" min="14101" max="14341"/>
    <col width="2.28515625" customWidth="1" style="251" min="14342" max="14343"/>
    <col width="35.42578125" customWidth="1" style="251" min="14344" max="14344"/>
    <col width="14.7109375" customWidth="1" style="251" min="14345" max="14345"/>
    <col width="12.85546875" customWidth="1" style="251" min="14346" max="14348"/>
    <col width="15.5703125" customWidth="1" style="251" min="14349" max="14349"/>
    <col width="12.85546875" customWidth="1" style="251" min="14350" max="14353"/>
    <col width="10.42578125" customWidth="1" style="251" min="14354" max="14355"/>
    <col width="12.28515625" customWidth="1" style="251" min="14356" max="14356"/>
    <col width="10.42578125" customWidth="1" style="251" min="14357" max="14597"/>
    <col width="2.28515625" customWidth="1" style="251" min="14598" max="14599"/>
    <col width="35.42578125" customWidth="1" style="251" min="14600" max="14600"/>
    <col width="14.7109375" customWidth="1" style="251" min="14601" max="14601"/>
    <col width="12.85546875" customWidth="1" style="251" min="14602" max="14604"/>
    <col width="15.5703125" customWidth="1" style="251" min="14605" max="14605"/>
    <col width="12.85546875" customWidth="1" style="251" min="14606" max="14609"/>
    <col width="10.42578125" customWidth="1" style="251" min="14610" max="14611"/>
    <col width="12.28515625" customWidth="1" style="251" min="14612" max="14612"/>
    <col width="10.42578125" customWidth="1" style="251" min="14613" max="14853"/>
    <col width="2.28515625" customWidth="1" style="251" min="14854" max="14855"/>
    <col width="35.42578125" customWidth="1" style="251" min="14856" max="14856"/>
    <col width="14.7109375" customWidth="1" style="251" min="14857" max="14857"/>
    <col width="12.85546875" customWidth="1" style="251" min="14858" max="14860"/>
    <col width="15.5703125" customWidth="1" style="251" min="14861" max="14861"/>
    <col width="12.85546875" customWidth="1" style="251" min="14862" max="14865"/>
    <col width="10.42578125" customWidth="1" style="251" min="14866" max="14867"/>
    <col width="12.28515625" customWidth="1" style="251" min="14868" max="14868"/>
    <col width="10.42578125" customWidth="1" style="251" min="14869" max="15109"/>
    <col width="2.28515625" customWidth="1" style="251" min="15110" max="15111"/>
    <col width="35.42578125" customWidth="1" style="251" min="15112" max="15112"/>
    <col width="14.7109375" customWidth="1" style="251" min="15113" max="15113"/>
    <col width="12.85546875" customWidth="1" style="251" min="15114" max="15116"/>
    <col width="15.5703125" customWidth="1" style="251" min="15117" max="15117"/>
    <col width="12.85546875" customWidth="1" style="251" min="15118" max="15121"/>
    <col width="10.42578125" customWidth="1" style="251" min="15122" max="15123"/>
    <col width="12.28515625" customWidth="1" style="251" min="15124" max="15124"/>
    <col width="10.42578125" customWidth="1" style="251" min="15125" max="15365"/>
    <col width="2.28515625" customWidth="1" style="251" min="15366" max="15367"/>
    <col width="35.42578125" customWidth="1" style="251" min="15368" max="15368"/>
    <col width="14.7109375" customWidth="1" style="251" min="15369" max="15369"/>
    <col width="12.85546875" customWidth="1" style="251" min="15370" max="15372"/>
    <col width="15.5703125" customWidth="1" style="251" min="15373" max="15373"/>
    <col width="12.85546875" customWidth="1" style="251" min="15374" max="15377"/>
    <col width="10.42578125" customWidth="1" style="251" min="15378" max="15379"/>
    <col width="12.28515625" customWidth="1" style="251" min="15380" max="15380"/>
    <col width="10.42578125" customWidth="1" style="251" min="15381" max="15621"/>
    <col width="2.28515625" customWidth="1" style="251" min="15622" max="15623"/>
    <col width="35.42578125" customWidth="1" style="251" min="15624" max="15624"/>
    <col width="14.7109375" customWidth="1" style="251" min="15625" max="15625"/>
    <col width="12.85546875" customWidth="1" style="251" min="15626" max="15628"/>
    <col width="15.5703125" customWidth="1" style="251" min="15629" max="15629"/>
    <col width="12.85546875" customWidth="1" style="251" min="15630" max="15633"/>
    <col width="10.42578125" customWidth="1" style="251" min="15634" max="15635"/>
    <col width="12.28515625" customWidth="1" style="251" min="15636" max="15636"/>
    <col width="10.42578125" customWidth="1" style="251" min="15637" max="15877"/>
    <col width="2.28515625" customWidth="1" style="251" min="15878" max="15879"/>
    <col width="35.42578125" customWidth="1" style="251" min="15880" max="15880"/>
    <col width="14.7109375" customWidth="1" style="251" min="15881" max="15881"/>
    <col width="12.85546875" customWidth="1" style="251" min="15882" max="15884"/>
    <col width="15.5703125" customWidth="1" style="251" min="15885" max="15885"/>
    <col width="12.85546875" customWidth="1" style="251" min="15886" max="15889"/>
    <col width="10.42578125" customWidth="1" style="251" min="15890" max="15891"/>
    <col width="12.28515625" customWidth="1" style="251" min="15892" max="15892"/>
    <col width="10.42578125" customWidth="1" style="251" min="15893" max="16133"/>
    <col width="2.28515625" customWidth="1" style="251" min="16134" max="16135"/>
    <col width="35.42578125" customWidth="1" style="251" min="16136" max="16136"/>
    <col width="14.7109375" customWidth="1" style="251" min="16137" max="16137"/>
    <col width="12.85546875" customWidth="1" style="251" min="16138" max="16140"/>
    <col width="15.5703125" customWidth="1" style="251" min="16141" max="16141"/>
    <col width="12.85546875" customWidth="1" style="251" min="16142" max="16145"/>
    <col width="10.42578125" customWidth="1" style="251" min="16146" max="16147"/>
    <col width="12.28515625" customWidth="1" style="251" min="16148" max="16148"/>
    <col width="10.42578125" customWidth="1" style="251" min="16149" max="16384"/>
  </cols>
  <sheetData>
    <row r="1" ht="6.75" customFormat="1" customHeight="1" s="93"/>
    <row r="2" ht="6.75" customFormat="1" customHeight="1" s="93"/>
    <row r="3">
      <c r="C3" s="251" t="inlineStr">
        <is>
          <t>Discounted Cash Flow Model</t>
        </is>
      </c>
    </row>
    <row r="4" ht="13.5" customHeight="1">
      <c r="C4" s="94" t="inlineStr">
        <is>
          <t>All figures in millions, except per share data</t>
        </is>
      </c>
      <c r="D4" s="94" t="n"/>
      <c r="E4" s="94" t="n"/>
      <c r="F4" s="94" t="n"/>
      <c r="G4" s="94" t="n"/>
      <c r="H4" s="94" t="n"/>
      <c r="I4" s="94" t="n"/>
      <c r="J4" s="94" t="n"/>
      <c r="K4" s="94" t="n"/>
      <c r="L4" s="94" t="n"/>
      <c r="M4" s="94" t="n"/>
      <c r="N4" s="94" t="n"/>
      <c r="O4" s="94" t="n"/>
      <c r="P4" s="94" t="n"/>
      <c r="Q4" s="94" t="n"/>
      <c r="R4" s="94" t="n"/>
      <c r="S4" s="94" t="n"/>
      <c r="T4" s="94" t="n"/>
      <c r="U4" s="94" t="n"/>
      <c r="V4" s="94" t="n"/>
    </row>
    <row r="5"/>
    <row r="6"/>
    <row r="7">
      <c r="C7" s="251" t="inlineStr">
        <is>
          <t>Ticker</t>
        </is>
      </c>
      <c r="D7" s="95" t="str">
        <f>IFERROR(IF(Control!B4="","",Control!B4),"")</f>
        <v>DIRR3) - fonte: Planilha Interativa 2T26 do RI (ri.direcional.com.br): abas Demonstracao de Resultados (trimestre isolado)</v>
      </c>
      <c r="F7" s="251" t="inlineStr">
        <is>
          <t>Last close</t>
        </is>
      </c>
      <c r="G7" s="96" t="str">
        <f>IFERROR(IF(Control!E4="","",Control!E4),"")</f>
        <v/>
      </c>
    </row>
    <row r="8">
      <c r="C8" s="251" t="inlineStr">
        <is>
          <t>Operating scenario:</t>
        </is>
      </c>
      <c r="D8" s="97" t="str">
        <f>IFERROR(IF(Control!B10=1,"Bull Case",IF(Control!B10=2,"Base Case","Bear Case")),"")</f>
        <v>Base Case</v>
      </c>
    </row>
    <row r="9">
      <c r="C9" s="251" t="inlineStr">
        <is>
          <t>Last fiscal year end date:</t>
        </is>
      </c>
      <c r="D9" s="98" t="str">
        <f>IFERROR(IF(Control!B12="","",DATE(YEAR(Control!B12)-1,12,31)),"")</f>
        <v/>
      </c>
    </row>
    <row r="10">
      <c r="C10" s="251" t="inlineStr">
        <is>
          <t>Valuation / deal date:</t>
        </is>
      </c>
      <c r="D10" s="98" t="str">
        <f>IFERROR(IF(Control!B12="","",Control!B12),"")</f>
        <v/>
      </c>
    </row>
    <row r="11">
      <c r="C11" s="251" t="inlineStr">
        <is>
          <t>Stub year fraction:</t>
        </is>
      </c>
      <c r="D11" s="99" t="str">
        <f>IFERROR(IF(Control!B12="","",Control!B13),"")</f>
        <v/>
      </c>
      <c r="E11" s="100" t="n"/>
      <c r="I11" s="101" t="n"/>
      <c r="O11" s="102" t="n"/>
      <c r="Z11" s="103" t="n"/>
    </row>
    <row r="12">
      <c r="C12" s="251" t="inlineStr">
        <is>
          <t>Weighted average cost of capital:</t>
        </is>
      </c>
      <c r="D12" s="99" t="str">
        <f>IFERROR(IF(Control!E12="","",Control!E12),"")</f>
        <v/>
      </c>
      <c r="I12" s="101" t="n"/>
    </row>
    <row r="13">
      <c r="D13" s="99" t="n"/>
      <c r="E13" s="99" t="n"/>
    </row>
    <row r="14" ht="14.85" customHeight="1">
      <c r="C14" s="104" t="inlineStr">
        <is>
          <t>Historicals</t>
        </is>
      </c>
      <c r="D14" s="104" t="n"/>
      <c r="E14" s="104" t="n"/>
      <c r="F14" s="104" t="n"/>
      <c r="G14" s="250" t="inlineStr">
        <is>
          <t>Projected Annual Forecast</t>
        </is>
      </c>
    </row>
    <row r="15">
      <c r="C15" s="105" t="n"/>
      <c r="D15" s="105" t="n"/>
      <c r="E15" s="105" t="n"/>
      <c r="F15" s="105" t="n"/>
      <c r="G15" s="256" t="inlineStr">
        <is>
          <t>Granular</t>
        </is>
      </c>
      <c r="H15" s="253" t="n"/>
      <c r="I15" s="253" t="n"/>
      <c r="J15" s="253" t="n"/>
      <c r="K15" s="253" t="n"/>
      <c r="L15" s="253" t="n"/>
      <c r="M15" s="253" t="n"/>
      <c r="N15" s="253" t="n"/>
      <c r="O15" s="253" t="n"/>
      <c r="P15" s="253" t="n"/>
      <c r="Q15" s="253" t="n"/>
      <c r="R15" s="253" t="n"/>
      <c r="S15" s="253" t="n"/>
      <c r="T15" s="253" t="n"/>
      <c r="U15" s="253" t="n"/>
      <c r="V15" s="253" t="n"/>
      <c r="X15" s="106" t="n"/>
      <c r="Y15" s="107" t="n"/>
      <c r="Z15" s="107" t="n"/>
    </row>
    <row r="16">
      <c r="D16" s="108" t="n">
        <v>2023</v>
      </c>
      <c r="E16" s="108" t="n">
        <v>2024</v>
      </c>
      <c r="F16" s="108" t="n">
        <v>2025</v>
      </c>
      <c r="G16" s="108" t="n">
        <v>2026</v>
      </c>
      <c r="H16" s="108" t="n">
        <v>2027</v>
      </c>
      <c r="I16" s="108" t="n">
        <v>2028</v>
      </c>
      <c r="J16" s="108" t="n">
        <v>2029</v>
      </c>
      <c r="K16" s="108" t="n">
        <v>2030</v>
      </c>
      <c r="L16" s="108" t="n"/>
      <c r="M16" s="108" t="n"/>
      <c r="N16" s="108" t="n"/>
      <c r="O16" s="108" t="n"/>
      <c r="P16" s="108" t="n"/>
      <c r="Q16" s="108" t="n"/>
      <c r="R16" s="108" t="n"/>
      <c r="S16" s="108" t="n"/>
      <c r="T16" s="108" t="n"/>
      <c r="U16" s="108" t="n"/>
      <c r="V16" s="108" t="n"/>
      <c r="W16" s="108" t="n"/>
      <c r="X16" s="107" t="n"/>
      <c r="Y16" s="107" t="n"/>
      <c r="Z16" s="107" t="n"/>
    </row>
    <row r="17">
      <c r="C17" s="109" t="n"/>
      <c r="D17" s="110" t="n">
        <v>45291</v>
      </c>
      <c r="E17" s="110" t="n">
        <v>45657</v>
      </c>
      <c r="F17" s="110" t="n">
        <v>46022</v>
      </c>
      <c r="G17" s="110" t="n">
        <v>46387</v>
      </c>
      <c r="H17" s="110" t="n">
        <v>46752</v>
      </c>
      <c r="I17" s="110" t="n">
        <v>47118</v>
      </c>
      <c r="J17" s="110" t="n">
        <v>47483</v>
      </c>
      <c r="K17" s="110" t="n">
        <v>47848</v>
      </c>
      <c r="L17" s="110" t="n"/>
      <c r="M17" s="110" t="n"/>
      <c r="N17" s="110" t="n"/>
      <c r="O17" s="110" t="n"/>
      <c r="P17" s="110" t="n"/>
      <c r="Q17" s="110" t="n"/>
      <c r="R17" s="110" t="n"/>
      <c r="S17" s="110" t="n"/>
      <c r="T17" s="110" t="n"/>
      <c r="U17" s="110" t="n"/>
      <c r="V17" s="110" t="n"/>
      <c r="W17" s="111" t="n"/>
      <c r="X17" s="107" t="n"/>
      <c r="Y17" s="107" t="n"/>
      <c r="Z17" s="107" t="n"/>
    </row>
    <row r="18">
      <c r="C18" s="112" t="inlineStr">
        <is>
          <t>Net Revenues</t>
        </is>
      </c>
      <c r="D18" s="113">
        <f>IFERROR(Model!W15,"")</f>
        <v>2355.183</v>
      </c>
      <c r="E18" s="113">
        <f>IFERROR(Model!AB15,"")</f>
        <v>3348.47</v>
      </c>
      <c r="F18" s="113">
        <f>IFERROR(Model!AG15,"")</f>
        <v>4343.008</v>
      </c>
      <c r="G18" s="113">
        <f>IFERROR(Model!AL15,"")</f>
        <v>5502.28714124894</v>
      </c>
      <c r="H18" s="113">
        <f>IFERROR(Model!AQ15,"")</f>
        <v>7060.01532398683</v>
      </c>
      <c r="I18" s="113">
        <f>IFERROR(Model!AV15,"")</f>
        <v>9023.44496801164</v>
      </c>
      <c r="J18" s="113">
        <f>IFERROR(Model!BA15,"")</f>
        <v>11487.7981236715</v>
      </c>
      <c r="K18" s="113">
        <f>IFERROR(Model!BF15,"")</f>
        <v>14567.7408822646</v>
      </c>
      <c r="L18" s="113" t="n"/>
      <c r="M18" s="113" t="n"/>
      <c r="N18" s="113" t="n"/>
      <c r="O18" s="113" t="n"/>
      <c r="P18" s="113" t="n"/>
      <c r="Q18" s="113" t="n"/>
      <c r="R18" s="113" t="n"/>
      <c r="S18" s="113" t="n"/>
      <c r="T18" s="113" t="n"/>
      <c r="U18" s="113" t="n"/>
      <c r="V18" s="114" t="n"/>
      <c r="X18" s="115" t="n"/>
      <c r="Y18" s="115" t="n"/>
      <c r="Z18" s="107" t="n"/>
    </row>
    <row r="19">
      <c r="C19" s="116" t="n"/>
      <c r="D19" s="109" t="str">
        <f>IFERROR("","")</f>
        <v/>
      </c>
      <c r="E19" s="117">
        <f>IFERROR(IF(D18=0,"",E18/D18-1),"")</f>
        <v>0.421745146767788</v>
      </c>
      <c r="F19" s="117">
        <f>IFERROR(IF(E18=0,"",F18/E18-1),"")</f>
        <v>0.297012665486028</v>
      </c>
      <c r="G19" s="117">
        <f>IFERROR(IF(F18=0,"",G18/F18-1),"")</f>
        <v>0.26693000364009</v>
      </c>
      <c r="H19" s="117">
        <f>IFERROR(IF(G18=0,"",H18/G18-1),"")</f>
        <v>0.283105578234928</v>
      </c>
      <c r="I19" s="117">
        <f>IFERROR(IF(H18=0,"",I18/H18-1),"")</f>
        <v>0.278105578234928</v>
      </c>
      <c r="J19" s="117">
        <f>IFERROR(IF(I18=0,"",J18/I18-1),"")</f>
        <v>0.273105578234928</v>
      </c>
      <c r="K19" s="117">
        <f>IFERROR(IF(J18=0,"",K18/J18-1),"")</f>
        <v>0.268105578234928</v>
      </c>
      <c r="L19" s="117" t="n"/>
      <c r="M19" s="117" t="n"/>
      <c r="N19" s="117" t="n"/>
      <c r="O19" s="117" t="n"/>
      <c r="P19" s="117" t="n"/>
      <c r="Q19" s="117" t="n"/>
      <c r="R19" s="117" t="n"/>
      <c r="S19" s="117" t="n"/>
      <c r="T19" s="117" t="n"/>
      <c r="U19" s="117" t="n"/>
      <c r="V19" s="118" t="n"/>
      <c r="X19" s="107" t="n"/>
      <c r="Y19" s="107" t="n"/>
      <c r="Z19" s="107" t="n"/>
    </row>
    <row r="20">
      <c r="C20" s="119" t="inlineStr">
        <is>
          <t>EBITDA</t>
        </is>
      </c>
      <c r="D20" s="113">
        <f>IFERROR(Model!W69,"")</f>
        <v>429.58976803</v>
      </c>
      <c r="E20" s="113">
        <f>IFERROR(Model!AB69,"")</f>
        <v>738.51908472</v>
      </c>
      <c r="F20" s="113">
        <f>IFERROR(Model!AG69,"")</f>
        <v>1021.246</v>
      </c>
      <c r="G20" s="113">
        <f>IFERROR(Model!AL69,"")</f>
        <v>1322.47806403917</v>
      </c>
      <c r="H20" s="113">
        <f>IFERROR(Model!AQ69,"")</f>
        <v>1677.20484402918</v>
      </c>
      <c r="I20" s="113">
        <f>IFERROR(Model!AV69,"")</f>
        <v>2143.64486699634</v>
      </c>
      <c r="J20" s="113">
        <f>IFERROR(Model!BA69,"")</f>
        <v>2729.08623792771</v>
      </c>
      <c r="K20" s="113">
        <f>IFERROR(Model!BF69,"")</f>
        <v>3460.7694818003</v>
      </c>
      <c r="L20" s="113" t="n"/>
      <c r="M20" s="120" t="n"/>
      <c r="N20" s="120" t="n"/>
      <c r="O20" s="120" t="n"/>
      <c r="P20" s="120" t="n"/>
      <c r="Q20" s="120" t="n"/>
      <c r="R20" s="120" t="n"/>
      <c r="S20" s="120" t="n"/>
      <c r="T20" s="120" t="n"/>
      <c r="U20" s="120" t="n"/>
      <c r="V20" s="121" t="n"/>
      <c r="X20" s="107" t="n"/>
      <c r="Y20" s="107" t="n"/>
      <c r="Z20" s="107" t="n"/>
    </row>
    <row r="21">
      <c r="C21" s="116" t="n"/>
      <c r="D21" s="122">
        <f>IFERROR(IF(D18=0,"",D20/D18),"")</f>
        <v>0.182401863477275</v>
      </c>
      <c r="E21" s="122">
        <f>IFERROR(IF(E18=0,"",E20/E18),"")</f>
        <v>0.220554188844457</v>
      </c>
      <c r="F21" s="122">
        <f>IFERROR(IF(F18=0,"",F20/F18),"")</f>
        <v>0.235147160677577</v>
      </c>
      <c r="G21" s="122">
        <f>IFERROR(IF(G18=0,"",G20/G18),"")</f>
        <v>0.240350608772297</v>
      </c>
      <c r="H21" s="122">
        <f>IFERROR(IF(H18=0,"",H20/H18),"")</f>
        <v>0.237563909858776</v>
      </c>
      <c r="I21" s="122">
        <f>IFERROR(IF(I18=0,"",I20/I18),"")</f>
        <v>0.237563909858776</v>
      </c>
      <c r="J21" s="122">
        <f>IFERROR(IF(J18=0,"",J20/J18),"")</f>
        <v>0.237563909858776</v>
      </c>
      <c r="K21" s="122">
        <f>IFERROR(IF(K18=0,"",K20/K18),"")</f>
        <v>0.237563909858776</v>
      </c>
      <c r="L21" s="122" t="n"/>
      <c r="M21" s="109" t="n"/>
      <c r="N21" s="109" t="n"/>
      <c r="O21" s="109" t="n"/>
      <c r="P21" s="109" t="n"/>
      <c r="Q21" s="109" t="n"/>
      <c r="R21" s="109" t="n"/>
      <c r="S21" s="109" t="n"/>
      <c r="T21" s="109" t="n"/>
      <c r="U21" s="109" t="n"/>
      <c r="V21" s="123" t="n"/>
      <c r="X21" s="115" t="n"/>
      <c r="Y21" s="115" t="n"/>
      <c r="Z21" s="107" t="n"/>
    </row>
    <row r="22">
      <c r="C22" s="112" t="inlineStr">
        <is>
          <t>EBIT</t>
        </is>
      </c>
      <c r="D22" s="113">
        <f>IFERROR(Model!W73,"")</f>
        <v>369.03476803</v>
      </c>
      <c r="E22" s="113">
        <f>IFERROR(Model!AB73,"")</f>
        <v>668.45208472</v>
      </c>
      <c r="F22" s="113">
        <f>IFERROR(Model!AG73,"")</f>
        <v>940.503</v>
      </c>
      <c r="G22" s="113">
        <f>IFERROR(Model!AL73,"")</f>
        <v>1219.19105994389</v>
      </c>
      <c r="H22" s="113">
        <f>IFERROR(Model!AQ73,"")</f>
        <v>1544.93984824546</v>
      </c>
      <c r="I22" s="113">
        <f>IFERROR(Model!AV73,"")</f>
        <v>1974.59623807995</v>
      </c>
      <c r="J22" s="113">
        <f>IFERROR(Model!BA73,"")</f>
        <v>2513.86948546128</v>
      </c>
      <c r="K22" s="113">
        <f>IFERROR(Model!BF73,"")</f>
        <v>3187.85191746802</v>
      </c>
      <c r="L22" s="113" t="n"/>
      <c r="M22" s="113" t="n"/>
      <c r="N22" s="113" t="n"/>
      <c r="O22" s="113" t="n"/>
      <c r="P22" s="113" t="n"/>
      <c r="Q22" s="113" t="n"/>
      <c r="R22" s="113" t="n"/>
      <c r="S22" s="113" t="n"/>
      <c r="T22" s="113" t="n"/>
      <c r="U22" s="113" t="n"/>
      <c r="V22" s="114" t="n"/>
      <c r="X22" s="115" t="n"/>
      <c r="Y22" s="115" t="n"/>
      <c r="Z22" s="107" t="n"/>
    </row>
    <row r="23">
      <c r="C23" s="116" t="n"/>
      <c r="D23" s="122">
        <f>IFERROR(IF(D18=0,"",D22/D18),"")</f>
        <v>0.156690485635299</v>
      </c>
      <c r="E23" s="122">
        <f>IFERROR(IF(E18=0,"",E22/E18),"")</f>
        <v>0.199629109629174</v>
      </c>
      <c r="F23" s="122">
        <f>IFERROR(IF(F18=0,"",F22/F18),"")</f>
        <v>0.216555668329416</v>
      </c>
      <c r="G23" s="122">
        <f>IFERROR(IF(G18=0,"",G22/G18),"")</f>
        <v>0.22157895955738</v>
      </c>
      <c r="H23" s="122">
        <f>IFERROR(IF(H18=0,"",H22/H18),"")</f>
        <v>0.218829531856175</v>
      </c>
      <c r="I23" s="122">
        <f>IFERROR(IF(I18=0,"",I22/I18),"")</f>
        <v>0.218829531856175</v>
      </c>
      <c r="J23" s="122">
        <f>IFERROR(IF(J18=0,"",J22/J18),"")</f>
        <v>0.218829531856175</v>
      </c>
      <c r="K23" s="122">
        <f>IFERROR(IF(K18=0,"",K22/K18),"")</f>
        <v>0.218829531856175</v>
      </c>
      <c r="L23" s="122" t="n"/>
      <c r="M23" s="122" t="n"/>
      <c r="N23" s="122" t="n"/>
      <c r="O23" s="122" t="n"/>
      <c r="P23" s="122" t="n"/>
      <c r="Q23" s="122" t="n"/>
      <c r="R23" s="122" t="n"/>
      <c r="S23" s="122" t="n"/>
      <c r="T23" s="122" t="n"/>
      <c r="U23" s="122" t="n"/>
      <c r="V23" s="124" t="n"/>
      <c r="X23" s="107" t="n"/>
      <c r="Y23" s="107" t="n"/>
      <c r="Z23" s="107" t="n"/>
    </row>
    <row r="24">
      <c r="C24" s="112" t="inlineStr">
        <is>
          <t>Tax rate</t>
        </is>
      </c>
      <c r="D24" s="125">
        <f>IFERROR(Model!W132,"")</f>
        <v>0.130445828308121</v>
      </c>
      <c r="E24" s="125">
        <f>IFERROR(Model!AB132,"")</f>
        <v>0.0915742136283483</v>
      </c>
      <c r="F24" s="125">
        <f>IFERROR(Model!AG132,"")</f>
        <v>0.0972601620494102</v>
      </c>
      <c r="G24" s="125">
        <f>IFERROR(Model!AL132,"")</f>
        <v>0.0963454532482335</v>
      </c>
      <c r="H24" s="125">
        <f>IFERROR(Model!AQ132,"")</f>
        <v>0.0970772080741141</v>
      </c>
      <c r="I24" s="125">
        <f>IFERROR(Model!AV132,"")</f>
        <v>0.0970772080741141</v>
      </c>
      <c r="J24" s="125">
        <f>IFERROR(Model!BA132,"")</f>
        <v>0.0970772080741141</v>
      </c>
      <c r="K24" s="125">
        <f>IFERROR(Model!BF132,"")</f>
        <v>0.0970772080741141</v>
      </c>
      <c r="L24" s="125" t="n"/>
      <c r="M24" s="125" t="n"/>
      <c r="N24" s="125" t="n"/>
      <c r="O24" s="125" t="n"/>
      <c r="P24" s="125" t="n"/>
      <c r="Q24" s="125" t="n"/>
      <c r="R24" s="125" t="n"/>
      <c r="S24" s="125" t="n"/>
      <c r="T24" s="125" t="n"/>
      <c r="U24" s="125" t="n"/>
      <c r="V24" s="126" t="n"/>
      <c r="X24" s="107" t="n"/>
      <c r="Y24" s="107" t="n"/>
      <c r="Z24" s="107" t="n"/>
    </row>
    <row r="25">
      <c r="C25" s="116" t="inlineStr">
        <is>
          <t>NOPLAT</t>
        </is>
      </c>
      <c r="D25" s="127">
        <f>IFERROR(D22*(1-D24),"")</f>
        <v>320.895722039831</v>
      </c>
      <c r="E25" s="127">
        <f>IFERROR(E22*(1-E24),"")</f>
        <v>607.239110713536</v>
      </c>
      <c r="F25" s="127">
        <f>IFERROR(F22*(1-F24),"")</f>
        <v>849.029525812044</v>
      </c>
      <c r="G25" s="127">
        <f>IFERROR(G22*(1-G24),"")</f>
        <v>1101.7275446774</v>
      </c>
      <c r="H25" s="127">
        <f>IFERROR(H22*(1-H24),"")</f>
        <v>1394.96140113535</v>
      </c>
      <c r="I25" s="127">
        <f>IFERROR(I22*(1-I24),"")</f>
        <v>1782.9079482135</v>
      </c>
      <c r="J25" s="127">
        <f>IFERROR(J22*(1-J24),"")</f>
        <v>2269.83005434999</v>
      </c>
      <c r="K25" s="127">
        <f>IFERROR(K22*(1-K24),"")</f>
        <v>2878.38415356651</v>
      </c>
      <c r="L25" s="127" t="n"/>
      <c r="M25" s="127" t="n"/>
      <c r="N25" s="127" t="n"/>
      <c r="O25" s="127" t="n"/>
      <c r="P25" s="127" t="n"/>
      <c r="Q25" s="127" t="n"/>
      <c r="R25" s="127" t="n"/>
      <c r="S25" s="127" t="n"/>
      <c r="T25" s="127" t="n"/>
      <c r="U25" s="127" t="n"/>
      <c r="V25" s="128" t="n"/>
      <c r="X25" s="115" t="n"/>
      <c r="Y25" s="115" t="n"/>
      <c r="Z25" s="107" t="n"/>
    </row>
    <row r="26">
      <c r="C26" s="129" t="inlineStr">
        <is>
          <t>Depreciation &amp; Amortization</t>
        </is>
      </c>
      <c r="D26" s="130">
        <f>IFERROR(-Model!W70,"")</f>
        <v>60.555</v>
      </c>
      <c r="E26" s="130">
        <f>IFERROR(-Model!AB70,"")</f>
        <v>70.067</v>
      </c>
      <c r="F26" s="130">
        <f>IFERROR(-Model!AG70,"")</f>
        <v>80.743</v>
      </c>
      <c r="G26" s="130">
        <f>IFERROR(-Model!AL70,"")</f>
        <v>103.287004095275</v>
      </c>
      <c r="H26" s="130">
        <f>IFERROR(-Model!AQ70,"")</f>
        <v>132.264995783722</v>
      </c>
      <c r="I26" s="130">
        <f>IFERROR(-Model!AV70,"")</f>
        <v>169.048628916394</v>
      </c>
      <c r="J26" s="130">
        <f>IFERROR(-Model!BA70,"")</f>
        <v>215.216752466428</v>
      </c>
      <c r="K26" s="130">
        <f>IFERROR(-Model!BF70,"")</f>
        <v>272.917564332283</v>
      </c>
      <c r="L26" s="131" t="n"/>
      <c r="X26" s="107" t="n"/>
      <c r="Y26" s="107" t="n"/>
      <c r="Z26" s="107" t="n"/>
    </row>
    <row r="27">
      <c r="C27" s="132" t="inlineStr">
        <is>
          <t>Cash from working capital</t>
        </is>
      </c>
      <c r="D27" s="133">
        <f>IFERROR(Model!W279,"")</f>
        <v>-641.17374951</v>
      </c>
      <c r="E27" s="133">
        <f>IFERROR(Model!AB279,"")</f>
        <v>-1432.94425049</v>
      </c>
      <c r="F27" s="133">
        <f>IFERROR(Model!AG279,"")</f>
        <v>-2472.084</v>
      </c>
      <c r="G27" s="133">
        <f>IFERROR(Model!AL279,"")</f>
        <v>-2855.00675700247</v>
      </c>
      <c r="H27" s="133">
        <f>IFERROR(Model!AQ279,"")</f>
        <v>-3070.04881221059</v>
      </c>
      <c r="I27" s="133">
        <f>IFERROR(Model!AV279,"")</f>
        <v>-3194.60040117851</v>
      </c>
      <c r="J27" s="133">
        <f>IFERROR(Model!BA279,"")</f>
        <v>-2272.01151920847</v>
      </c>
      <c r="K27" s="133">
        <f>IFERROR(Model!BF279,"")</f>
        <v>1560.95340263429</v>
      </c>
      <c r="L27" s="134" t="n"/>
      <c r="X27" s="107" t="n"/>
      <c r="Y27" s="107" t="n"/>
      <c r="Z27" s="107" t="n"/>
    </row>
    <row r="28">
      <c r="C28" s="135" t="inlineStr">
        <is>
          <t>Accounts receivable</t>
        </is>
      </c>
      <c r="D28" s="136">
        <f>IFERROR(Model!W280,"")</f>
        <v>-300.66741149</v>
      </c>
      <c r="E28" s="136">
        <f>IFERROR(Model!AB280,"")</f>
        <v>-853.54558851</v>
      </c>
      <c r="F28" s="136">
        <f>IFERROR(Model!AG280,"")</f>
        <v>-988.246</v>
      </c>
      <c r="G28" s="136">
        <f>IFERROR(Model!AL280,"")</f>
        <v>-855.69062485056</v>
      </c>
      <c r="H28" s="136">
        <f>IFERROR(Model!AQ280,"")</f>
        <v>-1042.80909942064</v>
      </c>
      <c r="I28" s="136">
        <f>IFERROR(Model!AV280,"")</f>
        <v>-1314.40280887941</v>
      </c>
      <c r="J28" s="136">
        <f>IFERROR(Model!BA280,"")</f>
        <v>-1649.74218441068</v>
      </c>
      <c r="K28" s="136">
        <f>IFERROR(Model!BF280,"")</f>
        <v>-2061.84388903491</v>
      </c>
      <c r="L28" s="137" t="n"/>
      <c r="X28" s="107" t="n"/>
      <c r="Y28" s="107" t="n"/>
      <c r="Z28" s="107" t="n"/>
    </row>
    <row r="29">
      <c r="C29" s="135" t="inlineStr">
        <is>
          <t>Inventories</t>
        </is>
      </c>
      <c r="D29" s="136">
        <f>IFERROR(Model!W281,"")</f>
        <v>-483.66094769</v>
      </c>
      <c r="E29" s="136">
        <f>IFERROR(Model!AB281,"")</f>
        <v>-1070.17305231</v>
      </c>
      <c r="F29" s="136">
        <f>IFERROR(Model!AG281,"")</f>
        <v>-1419.418</v>
      </c>
      <c r="G29" s="136">
        <f>IFERROR(Model!AL281,"")</f>
        <v>-2175.17826192586</v>
      </c>
      <c r="H29" s="136">
        <f>IFERROR(Model!AQ281,"")</f>
        <v>-2583.81579155129</v>
      </c>
      <c r="I29" s="136">
        <f>IFERROR(Model!AV281,"")</f>
        <v>-3256.75594500358</v>
      </c>
      <c r="J29" s="136">
        <f>IFERROR(Model!BA281,"")</f>
        <v>-4087.64165026644</v>
      </c>
      <c r="K29" s="136">
        <f>IFERROR(Model!BF281,"")</f>
        <v>-5108.72488853589</v>
      </c>
      <c r="L29" s="137" t="n"/>
      <c r="X29" s="107" t="n"/>
      <c r="Y29" s="107" t="n"/>
      <c r="Z29" s="107" t="n"/>
    </row>
    <row r="30">
      <c r="C30" s="135" t="inlineStr">
        <is>
          <t>Deferred income taxes (assets)</t>
        </is>
      </c>
      <c r="D30" s="136">
        <f>IFERROR(Model!W282,"")</f>
        <v>0</v>
      </c>
      <c r="E30" s="136">
        <f>IFERROR(Model!AB282,"")</f>
        <v>0</v>
      </c>
      <c r="F30" s="136">
        <f>IFERROR(Model!AG282,"")</f>
        <v>0</v>
      </c>
      <c r="G30" s="136">
        <f>IFERROR(Model!AL282,"")</f>
        <v>0</v>
      </c>
      <c r="H30" s="136">
        <f>IFERROR(Model!AQ282,"")</f>
        <v>0</v>
      </c>
      <c r="I30" s="136">
        <f>IFERROR(Model!AV282,"")</f>
        <v>0</v>
      </c>
      <c r="J30" s="136">
        <f>IFERROR(Model!BA282,"")</f>
        <v>0</v>
      </c>
      <c r="K30" s="136">
        <f>IFERROR(Model!BF282,"")</f>
        <v>0</v>
      </c>
      <c r="L30" s="137" t="n"/>
      <c r="X30" s="107" t="n"/>
      <c r="Y30" s="107" t="n"/>
      <c r="Z30" s="107" t="n"/>
    </row>
    <row r="31">
      <c r="C31" s="135" t="inlineStr">
        <is>
          <t>Prepaid expenses</t>
        </is>
      </c>
      <c r="D31" s="136">
        <f>IFERROR(Model!W283,"")</f>
        <v>0</v>
      </c>
      <c r="E31" s="136">
        <f>IFERROR(Model!AB283,"")</f>
        <v>0</v>
      </c>
      <c r="F31" s="136">
        <f>IFERROR(Model!AG283,"")</f>
        <v>0</v>
      </c>
      <c r="G31" s="136">
        <f>IFERROR(Model!AL283,"")</f>
        <v>0</v>
      </c>
      <c r="H31" s="136">
        <f>IFERROR(Model!AQ283,"")</f>
        <v>0</v>
      </c>
      <c r="I31" s="136">
        <f>IFERROR(Model!AV283,"")</f>
        <v>0</v>
      </c>
      <c r="J31" s="136">
        <f>IFERROR(Model!BA283,"")</f>
        <v>0</v>
      </c>
      <c r="K31" s="136">
        <f>IFERROR(Model!BF283,"")</f>
        <v>0</v>
      </c>
      <c r="L31" s="137" t="n"/>
      <c r="X31" s="107" t="n"/>
      <c r="Y31" s="107" t="n"/>
      <c r="Z31" s="107" t="n"/>
    </row>
    <row r="32">
      <c r="C32" s="135" t="inlineStr">
        <is>
          <t>Other current assets</t>
        </is>
      </c>
      <c r="D32" s="136">
        <f>IFERROR(Model!W284,"")</f>
        <v>-47.31539033</v>
      </c>
      <c r="E32" s="136">
        <f>IFERROR(Model!AB284,"")</f>
        <v>-6.73360967000008</v>
      </c>
      <c r="F32" s="136">
        <f>IFERROR(Model!AG284,"")</f>
        <v>-100.227</v>
      </c>
      <c r="G32" s="136">
        <f>IFERROR(Model!AL284,"")</f>
        <v>-25.789</v>
      </c>
      <c r="H32" s="136">
        <f>IFERROR(Model!AQ284,"")</f>
        <v>0</v>
      </c>
      <c r="I32" s="136">
        <f>IFERROR(Model!AV284,"")</f>
        <v>0</v>
      </c>
      <c r="J32" s="136">
        <f>IFERROR(Model!BA284,"")</f>
        <v>0</v>
      </c>
      <c r="K32" s="136">
        <f>IFERROR(Model!BF284,"")</f>
        <v>0</v>
      </c>
      <c r="L32" s="137" t="n"/>
      <c r="X32" s="107" t="n"/>
      <c r="Y32" s="107" t="n"/>
      <c r="Z32" s="107" t="n"/>
    </row>
    <row r="33">
      <c r="C33" s="135" t="inlineStr">
        <is>
          <t>Accounts payable</t>
        </is>
      </c>
      <c r="D33" s="136">
        <f>IFERROR(Model!W285,"")</f>
        <v>6.837</v>
      </c>
      <c r="E33" s="136">
        <f>IFERROR(Model!AB285,"")</f>
        <v>6.88200000000001</v>
      </c>
      <c r="F33" s="136">
        <f>IFERROR(Model!AG285,"")</f>
        <v>57.817</v>
      </c>
      <c r="G33" s="136">
        <f>IFERROR(Model!AL285,"")</f>
        <v>48.3091019060433</v>
      </c>
      <c r="H33" s="136">
        <f>IFERROR(Model!AQ285,"")</f>
        <v>68.6641726896906</v>
      </c>
      <c r="I33" s="136">
        <f>IFERROR(Model!AV285,"")</f>
        <v>86.5473666300496</v>
      </c>
      <c r="J33" s="136">
        <f>IFERROR(Model!BA285,"")</f>
        <v>108.627918865281</v>
      </c>
      <c r="K33" s="136">
        <f>IFERROR(Model!BF285,"")</f>
        <v>135.762916658985</v>
      </c>
      <c r="L33" s="137" t="n"/>
      <c r="X33" s="107" t="n"/>
      <c r="Y33" s="107" t="n"/>
      <c r="Z33" s="107" t="n"/>
    </row>
    <row r="34">
      <c r="C34" s="135" t="inlineStr">
        <is>
          <t>Accrued expenses</t>
        </is>
      </c>
      <c r="D34" s="136">
        <f>IFERROR(Model!W286,"")</f>
        <v>6.178</v>
      </c>
      <c r="E34" s="136">
        <f>IFERROR(Model!AB286,"")</f>
        <v>22.949</v>
      </c>
      <c r="F34" s="136">
        <f>IFERROR(Model!AG286,"")</f>
        <v>19.455</v>
      </c>
      <c r="G34" s="136">
        <f>IFERROR(Model!AL286,"")</f>
        <v>92.0975662328837</v>
      </c>
      <c r="H34" s="136">
        <f>IFERROR(Model!AQ286,"")</f>
        <v>307.740624869295</v>
      </c>
      <c r="I34" s="136">
        <f>IFERROR(Model!AV286,"")</f>
        <v>813.648492694293</v>
      </c>
      <c r="J34" s="136">
        <f>IFERROR(Model!BA286,"")</f>
        <v>2117.19903794583</v>
      </c>
      <c r="K34" s="136">
        <f>IFERROR(Model!BF286,"")</f>
        <v>5421.60233040353</v>
      </c>
      <c r="L34" s="137" t="n"/>
      <c r="X34" s="107" t="n"/>
      <c r="Y34" s="107" t="n"/>
      <c r="Z34" s="107" t="n"/>
    </row>
    <row r="35">
      <c r="C35" s="135" t="inlineStr">
        <is>
          <t>Taxes payable</t>
        </is>
      </c>
      <c r="D35" s="136">
        <f>IFERROR(Model!W287,"")</f>
        <v>7.489</v>
      </c>
      <c r="E35" s="136">
        <f>IFERROR(Model!AB287,"")</f>
        <v>19.388</v>
      </c>
      <c r="F35" s="136">
        <f>IFERROR(Model!AG287,"")</f>
        <v>11.526</v>
      </c>
      <c r="G35" s="136">
        <f>IFERROR(Model!AL287,"")</f>
        <v>38.2394616350229</v>
      </c>
      <c r="H35" s="136">
        <f>IFERROR(Model!AQ287,"")</f>
        <v>180.171281202359</v>
      </c>
      <c r="I35" s="136">
        <f>IFERROR(Model!AV287,"")</f>
        <v>476.362493380139</v>
      </c>
      <c r="J35" s="136">
        <f>IFERROR(Model!BA287,"")</f>
        <v>1239.54535865753</v>
      </c>
      <c r="K35" s="136">
        <f>IFERROR(Model!BF287,"")</f>
        <v>3174.15693314257</v>
      </c>
      <c r="L35" s="137" t="n"/>
      <c r="X35" s="107" t="n"/>
      <c r="Y35" s="107" t="n"/>
      <c r="Z35" s="107" t="n"/>
    </row>
    <row r="36">
      <c r="C36" s="135" t="inlineStr">
        <is>
          <t>Other current liabilities</t>
        </is>
      </c>
      <c r="D36" s="136">
        <f>IFERROR(Model!W288,"")</f>
        <v>182.703</v>
      </c>
      <c r="E36" s="136">
        <f>IFERROR(Model!AB288,"")</f>
        <v>448.289</v>
      </c>
      <c r="F36" s="136">
        <f>IFERROR(Model!AG288,"")</f>
        <v>-52.9910000000001</v>
      </c>
      <c r="G36" s="136">
        <f>IFERROR(Model!AL288,"")</f>
        <v>23.005</v>
      </c>
      <c r="H36" s="136">
        <f>IFERROR(Model!AQ288,"")</f>
        <v>0</v>
      </c>
      <c r="I36" s="136">
        <f>IFERROR(Model!AV288,"")</f>
        <v>0</v>
      </c>
      <c r="J36" s="136">
        <f>IFERROR(Model!BA288,"")</f>
        <v>0</v>
      </c>
      <c r="K36" s="136">
        <f>IFERROR(Model!BF288,"")</f>
        <v>0</v>
      </c>
      <c r="L36" s="137" t="n"/>
      <c r="X36" s="107" t="n"/>
      <c r="Y36" s="107" t="n"/>
      <c r="Z36" s="107" t="n"/>
    </row>
    <row r="37">
      <c r="C37" s="135" t="inlineStr">
        <is>
          <t>Deferred tax (liabilities)</t>
        </is>
      </c>
      <c r="D37" s="136">
        <f>IFERROR(Model!W289,"")</f>
        <v>-12.737</v>
      </c>
      <c r="E37" s="136">
        <f>IFERROR(Model!AB289,"")</f>
        <v>0</v>
      </c>
      <c r="F37" s="136">
        <f>IFERROR(Model!AG289,"")</f>
        <v>0</v>
      </c>
      <c r="G37" s="136">
        <f>IFERROR(Model!AL289,"")</f>
        <v>0</v>
      </c>
      <c r="H37" s="136">
        <f>IFERROR(Model!AQ289,"")</f>
        <v>0</v>
      </c>
      <c r="I37" s="136">
        <f>IFERROR(Model!AV289,"")</f>
        <v>0</v>
      </c>
      <c r="J37" s="136">
        <f>IFERROR(Model!BA289,"")</f>
        <v>0</v>
      </c>
      <c r="K37" s="136">
        <f>IFERROR(Model!BF289,"")</f>
        <v>0</v>
      </c>
      <c r="L37" s="137" t="n"/>
      <c r="X37" s="107" t="n"/>
      <c r="Y37" s="107" t="n"/>
      <c r="Z37" s="107" t="n"/>
    </row>
    <row r="38">
      <c r="C38" s="135" t="inlineStr">
        <is>
          <t>Other non-current assets</t>
        </is>
      </c>
      <c r="D38" s="136">
        <f>IFERROR((Model!W189-Model!R189)*-1,"")</f>
        <v>-99.094</v>
      </c>
      <c r="E38" s="136">
        <f>IFERROR((Model!AB189-Model!W189)*-1,"")</f>
        <v>-126.46</v>
      </c>
      <c r="F38" s="136">
        <f>IFERROR((Model!AG189-Model!AB189)*-1,"")</f>
        <v>-126.675</v>
      </c>
      <c r="G38" s="136">
        <f>IFERROR((Model!AL189-Model!AG189)*-1,"")</f>
        <v>-106.142</v>
      </c>
      <c r="H38" s="136">
        <f>IFERROR((Model!AQ189-Model!AL189)*-1,"")</f>
        <v>0</v>
      </c>
      <c r="I38" s="136">
        <f>IFERROR((Model!AV189-Model!AQ189)*-1,"")</f>
        <v>0</v>
      </c>
      <c r="J38" s="136">
        <f>IFERROR((Model!BA189-Model!AV189)*-1,"")</f>
        <v>0</v>
      </c>
      <c r="K38" s="136">
        <f>IFERROR((Model!BF189-Model!BA189)*-1,"")</f>
        <v>0</v>
      </c>
      <c r="L38" s="137" t="n"/>
      <c r="X38" s="107" t="n"/>
      <c r="Y38" s="107" t="n"/>
      <c r="Z38" s="107" t="n"/>
    </row>
    <row r="39">
      <c r="C39" s="135" t="inlineStr">
        <is>
          <t>Other non-current liabilities</t>
        </is>
      </c>
      <c r="D39" s="136">
        <f>IFERROR(Model!W240-Model!R240,"")</f>
        <v>307.645</v>
      </c>
      <c r="E39" s="136">
        <f>IFERROR(Model!AB240-Model!W240,"")</f>
        <v>1595.938</v>
      </c>
      <c r="F39" s="136">
        <f>IFERROR(Model!AG240-Model!AB240,"")</f>
        <v>1806.044</v>
      </c>
      <c r="G39" s="136">
        <f>IFERROR(Model!AL240-Model!AG240,"")</f>
        <v>755.803</v>
      </c>
      <c r="H39" s="136">
        <f>IFERROR(Model!AQ240-Model!AL240,"")</f>
        <v>0</v>
      </c>
      <c r="I39" s="136">
        <f>IFERROR(Model!AV240-Model!AQ240,"")</f>
        <v>0</v>
      </c>
      <c r="J39" s="136">
        <f>IFERROR(Model!BA240-Model!AV240,"")</f>
        <v>0</v>
      </c>
      <c r="K39" s="136">
        <f>IFERROR(Model!BF240-Model!BA240,"")</f>
        <v>0</v>
      </c>
      <c r="L39" s="137" t="n"/>
      <c r="X39" s="107" t="n"/>
      <c r="Y39" s="107" t="n"/>
      <c r="Z39" s="107" t="n"/>
    </row>
    <row r="40">
      <c r="C40" s="135" t="inlineStr">
        <is>
          <t>Capital expenditures</t>
        </is>
      </c>
      <c r="D40" s="136">
        <f>IFERROR(Model!W295,"")</f>
        <v>-31.914</v>
      </c>
      <c r="E40" s="136">
        <f>IFERROR(Model!AB295,"")</f>
        <v>-179.355</v>
      </c>
      <c r="F40" s="136">
        <f>IFERROR(Model!AG295,"")</f>
        <v>-120.14</v>
      </c>
      <c r="G40" s="136">
        <f>IFERROR(Model!AL295,"")</f>
        <v>-139.953467769065</v>
      </c>
      <c r="H40" s="136">
        <f>IFERROR(Model!AQ295,"")</f>
        <v>-186.511815214666</v>
      </c>
      <c r="I40" s="136">
        <f>IFERROR(Model!AV295,"")</f>
        <v>-238.381791432587</v>
      </c>
      <c r="J40" s="136">
        <f>IFERROR(Model!BA295,"")</f>
        <v>-303.485188422461</v>
      </c>
      <c r="K40" s="136">
        <f>IFERROR(Model!BF295,"")</f>
        <v>-384.851260350201</v>
      </c>
      <c r="L40" s="137" t="n"/>
      <c r="X40" s="107" t="n"/>
      <c r="Y40" s="107" t="n"/>
      <c r="Z40" s="107" t="n"/>
    </row>
    <row r="41">
      <c r="C41" s="135" t="inlineStr">
        <is>
          <t>Capital expenditures [IFRS16 - implied lease payments]</t>
        </is>
      </c>
      <c r="D41" s="251">
        <f>IFERROR(0,"")</f>
        <v>0</v>
      </c>
      <c r="E41" s="251">
        <f>IFERROR(0,"")</f>
        <v>0</v>
      </c>
      <c r="F41" s="136">
        <f>IFERROR(0,"")</f>
        <v>0</v>
      </c>
      <c r="G41" s="136">
        <f>IFERROR(0,"")</f>
        <v>0</v>
      </c>
      <c r="H41" s="136">
        <f>IFERROR(0,"")</f>
        <v>0</v>
      </c>
      <c r="I41" s="136">
        <f>IFERROR(0,"")</f>
        <v>0</v>
      </c>
      <c r="J41" s="136">
        <f>IFERROR(0,"")</f>
        <v>0</v>
      </c>
      <c r="K41" s="136">
        <f>IFERROR(0,"")</f>
        <v>0</v>
      </c>
      <c r="L41" s="137" t="n"/>
      <c r="X41" s="107" t="n"/>
      <c r="Y41" s="107" t="n"/>
      <c r="Z41" s="107" t="n"/>
    </row>
    <row r="42">
      <c r="C42" s="138" t="inlineStr">
        <is>
          <t>Purchase of intangible assets</t>
        </is>
      </c>
      <c r="D42" s="139">
        <f>IFERROR(0,"")</f>
        <v>0</v>
      </c>
      <c r="E42" s="139">
        <f>IFERROR(0,"")</f>
        <v>0</v>
      </c>
      <c r="F42" s="139">
        <f>IFERROR(0,"")</f>
        <v>0</v>
      </c>
      <c r="G42" s="139">
        <f>IFERROR(0,"")</f>
        <v>0</v>
      </c>
      <c r="H42" s="139">
        <f>IFERROR(0,"")</f>
        <v>0</v>
      </c>
      <c r="I42" s="139">
        <f>IFERROR(0,"")</f>
        <v>0</v>
      </c>
      <c r="J42" s="139">
        <f>IFERROR(0,"")</f>
        <v>0</v>
      </c>
      <c r="K42" s="139">
        <f>IFERROR(0,"")</f>
        <v>0</v>
      </c>
      <c r="L42" s="140" t="n"/>
      <c r="M42" s="141" t="n"/>
      <c r="X42" s="107" t="n"/>
      <c r="Y42" s="107" t="n"/>
      <c r="Z42" s="107" t="n"/>
      <c r="AB42" s="102" t="n"/>
    </row>
    <row r="43">
      <c r="X43" s="107" t="n"/>
      <c r="Y43" s="107" t="n"/>
      <c r="Z43" s="107" t="n"/>
    </row>
    <row r="44">
      <c r="C44" s="112" t="inlineStr">
        <is>
          <t>Net Investments</t>
        </is>
      </c>
      <c r="D44" s="133">
        <f>IFERROR(SUM(D27,D40:D42,D26),"")</f>
        <v>-612.53274951</v>
      </c>
      <c r="E44" s="133">
        <f>IFERROR(SUM(E27,E40:E42,E26),"")</f>
        <v>-1542.23225049</v>
      </c>
      <c r="F44" s="133">
        <f>IFERROR(SUM(F27,F40:F42,F26),"")</f>
        <v>-2511.481</v>
      </c>
      <c r="G44" s="133">
        <f>IFERROR(SUM(G27,G40:G42,G26),"")</f>
        <v>-2891.67322067626</v>
      </c>
      <c r="H44" s="133">
        <f>IFERROR(SUM(H27,H40:H42,H26),"")</f>
        <v>-3124.29563164154</v>
      </c>
      <c r="I44" s="133">
        <f>IFERROR(SUM(I27,I40:I42,I26),"")</f>
        <v>-3263.9335636947</v>
      </c>
      <c r="J44" s="133">
        <f>IFERROR(SUM(J27,J40:J42,J26),"")</f>
        <v>-2360.27995516451</v>
      </c>
      <c r="K44" s="133">
        <f>IFERROR(SUM(K27,K40:K42,K26),"")</f>
        <v>1449.01970661637</v>
      </c>
      <c r="L44" s="133" t="n"/>
      <c r="M44" s="142" t="n"/>
      <c r="N44" s="133" t="n"/>
      <c r="O44" s="133" t="n"/>
      <c r="P44" s="133" t="n"/>
      <c r="Q44" s="133" t="n"/>
      <c r="R44" s="133" t="n"/>
      <c r="S44" s="133" t="n"/>
      <c r="T44" s="133" t="n"/>
      <c r="U44" s="133" t="n"/>
      <c r="V44" s="134" t="n"/>
      <c r="X44" s="107" t="n"/>
      <c r="Y44" s="141" t="n"/>
      <c r="Z44" s="107" t="n"/>
    </row>
    <row r="45">
      <c r="C45" s="143" t="n"/>
      <c r="D45" s="141" t="n"/>
      <c r="E45" s="141" t="n"/>
      <c r="F45" s="141" t="n"/>
      <c r="G45" s="141" t="n"/>
      <c r="H45" s="141" t="n"/>
      <c r="I45" s="141" t="n"/>
      <c r="J45" s="141" t="n"/>
      <c r="K45" s="141" t="n"/>
      <c r="L45" s="141" t="n"/>
      <c r="V45" s="144" t="n"/>
      <c r="X45" s="107" t="n"/>
      <c r="Y45" s="107" t="n"/>
      <c r="Z45" s="107" t="n"/>
    </row>
    <row r="46">
      <c r="C46" s="143" t="inlineStr">
        <is>
          <t>Invested Capital</t>
        </is>
      </c>
      <c r="D46" s="136">
        <f>IFERROR(Model!W350,"")</f>
        <v>1958.18874951</v>
      </c>
      <c r="E46" s="136">
        <f>IFERROR(Model!AB350,"")</f>
        <v>2029.411</v>
      </c>
      <c r="F46" s="136">
        <f>IFERROR(Model!AG350,"")</f>
        <v>2860.54</v>
      </c>
      <c r="G46" s="136">
        <f>IFERROR(Model!AL350,"")</f>
        <v>5100.85622067626</v>
      </c>
      <c r="H46" s="136">
        <f>IFERROR(Model!AQ350,"")</f>
        <v>8225.1518523178</v>
      </c>
      <c r="I46" s="136">
        <f>IFERROR(Model!AV350,"")</f>
        <v>11489.0854160125</v>
      </c>
      <c r="J46" s="136">
        <f>IFERROR(Model!BA350,"")</f>
        <v>13849.365371177</v>
      </c>
      <c r="K46" s="136">
        <f>IFERROR(Model!BF350,"")</f>
        <v>12400.3456645606</v>
      </c>
      <c r="L46" s="136" t="n"/>
      <c r="M46" s="145" t="n"/>
      <c r="N46" s="145" t="n"/>
      <c r="O46" s="145" t="n"/>
      <c r="P46" s="145" t="n"/>
      <c r="Q46" s="145" t="n"/>
      <c r="R46" s="145" t="n"/>
      <c r="S46" s="145" t="n"/>
      <c r="T46" s="145" t="n"/>
      <c r="U46" s="145" t="n"/>
      <c r="V46" s="146" t="n"/>
      <c r="X46" s="141" t="n"/>
      <c r="Y46" s="141" t="n"/>
      <c r="Z46" s="107" t="n"/>
    </row>
    <row r="47">
      <c r="C47" s="143" t="inlineStr">
        <is>
          <t>Invested Capital (ex Goodwill)</t>
        </is>
      </c>
      <c r="D47" s="136">
        <f>IFERROR(Model!W351,"")</f>
        <v>1958.18874951</v>
      </c>
      <c r="E47" s="136">
        <f>IFERROR(Model!AB351,"")</f>
        <v>2029.411</v>
      </c>
      <c r="F47" s="136">
        <f>IFERROR(Model!AG351,"")</f>
        <v>2860.54</v>
      </c>
      <c r="G47" s="136">
        <f>IFERROR(Model!AL351,"")</f>
        <v>5100.85622067626</v>
      </c>
      <c r="H47" s="136">
        <f>IFERROR(Model!AQ351,"")</f>
        <v>8225.1518523178</v>
      </c>
      <c r="I47" s="136">
        <f>IFERROR(Model!AV351,"")</f>
        <v>11489.0854160125</v>
      </c>
      <c r="J47" s="136">
        <f>IFERROR(Model!BA351,"")</f>
        <v>13849.365371177</v>
      </c>
      <c r="K47" s="136">
        <f>IFERROR(Model!BF351,"")</f>
        <v>12400.3456645606</v>
      </c>
      <c r="L47" s="136" t="n"/>
      <c r="V47" s="144" t="n"/>
      <c r="X47" s="107" t="n"/>
      <c r="Y47" s="107" t="n"/>
      <c r="Z47" s="107" t="n"/>
    </row>
    <row r="48">
      <c r="C48" s="116" t="inlineStr">
        <is>
          <t>Invested Capital / Net Revenues</t>
        </is>
      </c>
      <c r="D48" s="122">
        <f>IFERROR(IF(D18=0,"",D46/D18),"")</f>
        <v>0.831438045158274</v>
      </c>
      <c r="E48" s="122">
        <f>IFERROR(IF(E18=0,"",E46/E18),"")</f>
        <v>0.606071130994156</v>
      </c>
      <c r="F48" s="122">
        <f>IFERROR(IF(F18=0,"",F46/F18),"")</f>
        <v>0.658654094120941</v>
      </c>
      <c r="G48" s="122">
        <f>IFERROR(IF(G18=0,"",G46/G18),"")</f>
        <v>0.927042898658764</v>
      </c>
      <c r="H48" s="122">
        <f>IFERROR(IF(H18=0,"",H46/H18),"")</f>
        <v>1.16503314438601</v>
      </c>
      <c r="I48" s="122">
        <f>IFERROR(IF(I18=0,"",I46/I18),"")</f>
        <v>1.27324823908625</v>
      </c>
      <c r="J48" s="122">
        <f>IFERROR(IF(J18=0,"",J46/J18),"")</f>
        <v>1.20557179209472</v>
      </c>
      <c r="K48" s="122">
        <f>IFERROR(IF(K18=0,"",K46/K18),"")</f>
        <v>0.851219538072465</v>
      </c>
      <c r="L48" s="122" t="n"/>
      <c r="M48" s="147" t="n"/>
      <c r="N48" s="147" t="n"/>
      <c r="O48" s="147" t="n"/>
      <c r="P48" s="147" t="n"/>
      <c r="Q48" s="147" t="n"/>
      <c r="R48" s="147" t="n"/>
      <c r="S48" s="147" t="n"/>
      <c r="T48" s="147" t="n"/>
      <c r="U48" s="147" t="n"/>
      <c r="V48" s="148" t="n"/>
      <c r="X48" s="106" t="n"/>
      <c r="Y48" s="107" t="n"/>
      <c r="Z48" s="107" t="n"/>
    </row>
    <row r="49">
      <c r="X49" s="107" t="n"/>
      <c r="Y49" s="107" t="n"/>
      <c r="Z49" s="107" t="n"/>
    </row>
    <row r="50">
      <c r="C50" s="149" t="inlineStr">
        <is>
          <t>ROIC</t>
        </is>
      </c>
      <c r="D50" s="150">
        <f>IFERROR(IF(D46=0,"",D25/D46),"")</f>
        <v>0.163873744101599</v>
      </c>
      <c r="E50" s="150">
        <f>IFERROR(IF(E46=0,"",E25/E46),"")</f>
        <v>0.299219384695134</v>
      </c>
      <c r="F50" s="150">
        <f>IFERROR(IF(F46=0,"",F25/F46),"")</f>
        <v>0.296807429999945</v>
      </c>
      <c r="G50" s="150">
        <f>IFERROR(IF(G46=0,"",G25/G46),"")</f>
        <v>0.215988747185534</v>
      </c>
      <c r="H50" s="150">
        <f>IFERROR(IF(H46=0,"",H25/H46),"")</f>
        <v>0.169597039201441</v>
      </c>
      <c r="I50" s="150">
        <f>IFERROR(IF(I46=0,"",I25/I46),"")</f>
        <v>0.155182756821412</v>
      </c>
      <c r="J50" s="150">
        <f>IFERROR(IF(J46=0,"",J25/J46),"")</f>
        <v>0.163894156411955</v>
      </c>
      <c r="K50" s="150">
        <f>IFERROR(IF(K46=0,"",K25/K46),"")</f>
        <v>0.232121283666531</v>
      </c>
      <c r="L50" s="150" t="n"/>
      <c r="M50" s="151" t="n"/>
      <c r="N50" s="151" t="n"/>
      <c r="O50" s="151" t="n"/>
      <c r="P50" s="151" t="n"/>
      <c r="Q50" s="151" t="n"/>
      <c r="R50" s="151" t="n"/>
      <c r="S50" s="151" t="n"/>
      <c r="T50" s="151" t="n"/>
      <c r="U50" s="151" t="n"/>
      <c r="V50" s="152" t="n"/>
      <c r="X50" s="115" t="n"/>
      <c r="Y50" s="115" t="n"/>
      <c r="Z50" s="153" t="n"/>
    </row>
    <row r="51">
      <c r="C51" s="102" t="inlineStr">
        <is>
          <t>Capital Turnover</t>
        </is>
      </c>
      <c r="D51" s="154">
        <f>IFERROR(IF(D46=0,"",D18/D46),"")</f>
        <v>1.20273543630017</v>
      </c>
      <c r="E51" s="154">
        <f>IFERROR(IF(E46=0,"",E18/E46),"")</f>
        <v>1.64997134636601</v>
      </c>
      <c r="F51" s="154">
        <f>IFERROR(IF(F46=0,"",F18/F46),"")</f>
        <v>1.51824760359932</v>
      </c>
      <c r="G51" s="154">
        <f>IFERROR(IF(G46=0,"",G18/G46),"")</f>
        <v>1.07869873276284</v>
      </c>
      <c r="H51" s="154">
        <f>IFERROR(IF(H46=0,"",H18/H46),"")</f>
        <v>0.858344678706128</v>
      </c>
      <c r="I51" s="154">
        <f>IFERROR(IF(I46=0,"",I18/I46),"")</f>
        <v>0.785392800321211</v>
      </c>
      <c r="J51" s="154">
        <f>IFERROR(IF(J46=0,"",J18/J46),"")</f>
        <v>0.829481916014699</v>
      </c>
      <c r="K51" s="154">
        <f>IFERROR(IF(K46=0,"",K18/K46),"")</f>
        <v>1.17478506457269</v>
      </c>
      <c r="L51" s="154" t="n"/>
      <c r="M51" s="154" t="n"/>
      <c r="N51" s="154" t="n"/>
      <c r="O51" s="154" t="n"/>
      <c r="P51" s="154" t="n"/>
      <c r="Q51" s="154" t="n"/>
      <c r="R51" s="154" t="n"/>
      <c r="S51" s="154" t="n"/>
      <c r="T51" s="154" t="n"/>
      <c r="U51" s="154" t="n"/>
      <c r="V51" s="154" t="n"/>
    </row>
    <row r="52"/>
    <row r="53" customFormat="1" s="102">
      <c r="A53" s="251" t="n"/>
      <c r="B53" s="251" t="n"/>
      <c r="C53" s="102" t="inlineStr">
        <is>
          <t>Unlevered free cash flows = FCFF</t>
        </is>
      </c>
      <c r="D53" s="155">
        <f>IFERROR(D25+D44,"")</f>
        <v>-291.637027470169</v>
      </c>
      <c r="E53" s="155">
        <f>IFERROR(E25+E44,"")</f>
        <v>-934.993139776465</v>
      </c>
      <c r="F53" s="155">
        <f>IFERROR(F25+F44,"")</f>
        <v>-1662.45147418796</v>
      </c>
      <c r="G53" s="156">
        <f>IFERROR(G25+G44,"")</f>
        <v>-1789.94567599886</v>
      </c>
      <c r="H53" s="155">
        <f>IFERROR(H25+H44,"")</f>
        <v>-1729.33423050619</v>
      </c>
      <c r="I53" s="155">
        <f>IFERROR(I25+I44,"")</f>
        <v>-1481.0256154812</v>
      </c>
      <c r="J53" s="155">
        <f>IFERROR(J25+J44,"")</f>
        <v>-90.4499008145153</v>
      </c>
      <c r="K53" s="155">
        <f>IFERROR(K25+K44,"")</f>
        <v>4327.40386018289</v>
      </c>
      <c r="L53" s="155" t="n"/>
      <c r="M53" s="155" t="n"/>
      <c r="N53" s="155" t="n"/>
      <c r="O53" s="155" t="n"/>
      <c r="P53" s="155" t="n"/>
      <c r="Q53" s="155" t="n"/>
      <c r="R53" s="155" t="n"/>
      <c r="S53" s="155" t="n"/>
      <c r="T53" s="155" t="n"/>
      <c r="U53" s="155" t="n"/>
      <c r="V53" s="155" t="n"/>
    </row>
    <row r="54">
      <c r="C54" s="157" t="inlineStr">
        <is>
          <t>Discount factor</t>
        </is>
      </c>
      <c r="G54" s="158" t="str">
        <f>IFERROR(IF(Control!E12="","",1/(1+Control!E12)^Control!B13),"")</f>
        <v/>
      </c>
      <c r="H54" s="158" t="str">
        <f>IFERROR(IF(G54="","",G54/(1+Control!E12)),"")</f>
        <v/>
      </c>
      <c r="I54" s="158" t="str">
        <f>IFERROR(IF(H54="","",H54/(1+Control!E12)),"")</f>
        <v/>
      </c>
      <c r="J54" s="158" t="str">
        <f>IFERROR(IF(I54="","",I54/(1+Control!E12)),"")</f>
        <v/>
      </c>
      <c r="K54" s="158" t="str">
        <f>IFERROR(IF(J54="","",J54/(1+Control!E12)),"")</f>
        <v/>
      </c>
      <c r="L54" s="158" t="n"/>
      <c r="M54" s="158" t="n"/>
      <c r="N54" s="158" t="n"/>
      <c r="O54" s="158" t="n"/>
      <c r="P54" s="158" t="n"/>
      <c r="Q54" s="158" t="n"/>
      <c r="R54" s="158" t="n"/>
      <c r="S54" s="158" t="n"/>
      <c r="T54" s="158" t="n"/>
      <c r="U54" s="158" t="n"/>
      <c r="V54" s="158" t="n"/>
    </row>
    <row r="55">
      <c r="C55" s="157" t="inlineStr">
        <is>
          <t>Midyear adjustment factor</t>
        </is>
      </c>
      <c r="G55" s="159" t="str">
        <f>IFERROR(IF(Control!E12="","",(1+Control!E12)^0.5),"")</f>
        <v/>
      </c>
      <c r="H55" s="158" t="str">
        <f>IFERROR(G55,"")</f>
        <v/>
      </c>
      <c r="I55" s="158" t="str">
        <f>IFERROR(H55,"")</f>
        <v/>
      </c>
      <c r="J55" s="158" t="str">
        <f>IFERROR(I55,"")</f>
        <v/>
      </c>
      <c r="K55" s="158" t="str">
        <f>IFERROR(J55,"")</f>
        <v/>
      </c>
      <c r="L55" s="158" t="n"/>
      <c r="M55" s="158" t="n"/>
      <c r="N55" s="158" t="n"/>
      <c r="O55" s="158" t="n"/>
      <c r="P55" s="158" t="n"/>
      <c r="Q55" s="158" t="n"/>
      <c r="R55" s="158" t="n"/>
      <c r="S55" s="158" t="n"/>
      <c r="T55" s="158" t="n"/>
      <c r="U55" s="158" t="n"/>
      <c r="V55" s="158" t="n"/>
    </row>
    <row r="56">
      <c r="C56" s="157" t="inlineStr">
        <is>
          <t>Present value of free cash flows</t>
        </is>
      </c>
      <c r="G56" s="141" t="str">
        <f>IFERROR(IF(G54="","",G53*G54*G55),"")</f>
        <v/>
      </c>
      <c r="H56" s="141" t="str">
        <f>IFERROR(IF(H54="","",H53*H54*H55),"")</f>
        <v/>
      </c>
      <c r="I56" s="141" t="str">
        <f>IFERROR(IF(I54="","",I53*I54*I55),"")</f>
        <v/>
      </c>
      <c r="J56" s="141" t="str">
        <f>IFERROR(IF(J54="","",J53*J54*J55),"")</f>
        <v/>
      </c>
      <c r="K56" s="141" t="str">
        <f>IFERROR(IF(K54="","",K53*K54*K55),"")</f>
        <v/>
      </c>
      <c r="L56" s="141" t="n"/>
      <c r="M56" s="141" t="n"/>
      <c r="N56" s="141" t="n"/>
      <c r="O56" s="141" t="n"/>
      <c r="P56" s="141" t="n"/>
      <c r="Q56" s="141" t="n"/>
      <c r="R56" s="141" t="n"/>
      <c r="S56" s="141" t="n"/>
      <c r="T56" s="141" t="n"/>
      <c r="U56" s="141" t="n"/>
      <c r="V56" s="141" t="n"/>
    </row>
    <row r="57">
      <c r="C57" s="102" t="inlineStr">
        <is>
          <t>Sum of present values of FCFs</t>
        </is>
      </c>
      <c r="G57" s="155" t="str">
        <f>IFERROR(IF(COUNT(G56:K56)=0,"",SUM(G56:K56)),"")</f>
        <v/>
      </c>
      <c r="H57" s="141" t="n"/>
      <c r="N57" s="160" t="n"/>
    </row>
    <row r="58"/>
    <row r="59">
      <c r="C59" s="102" t="n"/>
      <c r="D59" s="95">
        <f>IFERROR(IF(Control!B9="","",Control!B9),"")</f>
        <v>47848.0</v>
      </c>
      <c r="E59" s="161" t="n"/>
      <c r="F59" s="162" t="n"/>
      <c r="G59" s="162" t="n"/>
      <c r="H59" s="95">
        <f>IFERROR(IF(Control!B7="","",Control!B7),"")</f>
        <v>46203.0</v>
      </c>
      <c r="I59" s="162" t="n"/>
      <c r="J59" s="162" t="n"/>
      <c r="K59" s="162" t="n"/>
      <c r="L59" s="162" t="n"/>
    </row>
    <row r="60" ht="13.5" customHeight="1">
      <c r="C60" s="163" t="inlineStr">
        <is>
          <t>Terminal value</t>
        </is>
      </c>
      <c r="D60" s="164" t="n"/>
      <c r="E60" s="165" t="inlineStr">
        <is>
          <t>Equity value calculations</t>
        </is>
      </c>
      <c r="F60" s="166" t="n"/>
      <c r="G60" s="166" t="n"/>
      <c r="H60" s="166" t="n"/>
      <c r="I60" s="167" t="inlineStr">
        <is>
          <t xml:space="preserve"> Shares Outstanding Worksheet</t>
        </is>
      </c>
      <c r="J60" s="168" t="n"/>
      <c r="K60" s="169" t="n"/>
      <c r="L60" s="170" t="n"/>
    </row>
    <row r="61">
      <c r="C61" s="143" t="n"/>
      <c r="D61" s="144" t="n"/>
      <c r="I61" s="143" t="n"/>
      <c r="L61" s="144" t="n"/>
    </row>
    <row r="62">
      <c r="C62" s="171" t="inlineStr">
        <is>
          <t>Key value driver method</t>
        </is>
      </c>
      <c r="D62" s="172" t="n"/>
      <c r="E62" s="173" t="inlineStr">
        <is>
          <t>Enterprise value</t>
        </is>
      </c>
      <c r="H62" s="155" t="str">
        <f>IFERROR(D80,"")</f>
        <v/>
      </c>
      <c r="I62" s="174" t="inlineStr">
        <is>
          <t>Basic Shares Outanding :</t>
        </is>
      </c>
      <c r="J62" s="97" t="n"/>
      <c r="L62" s="175" t="n"/>
    </row>
    <row r="63" ht="13.5" customHeight="1">
      <c r="C63" s="171" t="inlineStr">
        <is>
          <t>g</t>
        </is>
      </c>
      <c r="D63" s="176" t="str">
        <f>IFERROR(IF(Control!E13="","",Control!E13),"")</f>
        <v/>
      </c>
      <c r="E63" s="157" t="inlineStr">
        <is>
          <t>Calculation of net debt:</t>
        </is>
      </c>
      <c r="H63" s="141" t="n"/>
      <c r="I63" s="174" t="inlineStr">
        <is>
          <t>Current Share Price:</t>
        </is>
      </c>
      <c r="L63" s="177" t="n"/>
    </row>
    <row r="64" ht="13.5" customHeight="1">
      <c r="C64" s="171" t="inlineStr">
        <is>
          <t>RONIC</t>
        </is>
      </c>
      <c r="D64" s="178">
        <f>IFERROR(K50,"")</f>
        <v>0.232121283666531</v>
      </c>
      <c r="E64" s="157" t="inlineStr">
        <is>
          <t>Current portion of long-term debt</t>
        </is>
      </c>
      <c r="H64" s="137">
        <f>IFERROR(INDEX(Model!$I$212:$BF$212,1,MATCH(Control!$B$7,Model!$I$5:$BF$5,0)),"")</f>
        <v>297.868</v>
      </c>
      <c r="I64" s="179" t="inlineStr">
        <is>
          <t>Options / Warrants Data</t>
        </is>
      </c>
      <c r="J64" s="109" t="n"/>
      <c r="K64" s="109" t="n"/>
      <c r="L64" s="180" t="n"/>
    </row>
    <row r="65">
      <c r="C65" s="171" t="inlineStr">
        <is>
          <t>NOPLAT (t+1)</t>
        </is>
      </c>
      <c r="D65" s="181" t="str">
        <f>IFERROR(K25*(1+D63),"")</f>
        <v/>
      </c>
      <c r="E65" s="157" t="inlineStr">
        <is>
          <t>Short term debt</t>
        </is>
      </c>
      <c r="H65" s="137">
        <f>IFERROR(INDEX(Model!$I$213:$BF$213,1,MATCH(Control!$B$7,Model!$I$5:$BF$5,0)),"")</f>
        <v>0</v>
      </c>
      <c r="I65" s="179" t="n"/>
      <c r="J65" s="182" t="inlineStr">
        <is>
          <t># of options</t>
        </is>
      </c>
      <c r="K65" s="182" t="inlineStr">
        <is>
          <t xml:space="preserve">$ strike </t>
        </is>
      </c>
      <c r="L65" s="180" t="n"/>
    </row>
    <row r="66">
      <c r="C66" s="171" t="inlineStr">
        <is>
          <t>Terminal value</t>
        </is>
      </c>
      <c r="D66" s="181" t="str">
        <f>IFERROR(IF(OR(Control!E12="",D64="",D64&lt;=D63,Control!E12&lt;=D63),"",(D65*(1-D63/D64))/(Control!E12-D63)),"")</f>
        <v/>
      </c>
      <c r="E66" s="157" t="inlineStr">
        <is>
          <t>Long term debt</t>
        </is>
      </c>
      <c r="H66" s="137">
        <f>IFERROR(INDEX(Model!$I$217:$BF$217,1,MATCH(Control!$B$7,Model!$I$5:$BF$5,0)),"")</f>
        <v>2658.251</v>
      </c>
      <c r="I66" s="157" t="inlineStr">
        <is>
          <t>Batch 1</t>
        </is>
      </c>
      <c r="J66" s="183" t="n"/>
      <c r="K66" s="184" t="n"/>
      <c r="L66" s="185" t="n"/>
    </row>
    <row r="67">
      <c r="C67" s="171" t="inlineStr">
        <is>
          <t>Midyear adjusted terminal value</t>
        </is>
      </c>
      <c r="D67" s="181" t="str">
        <f>IFERROR(IF(D66="","",D66*K55),"")</f>
        <v/>
      </c>
      <c r="E67" s="157" t="inlineStr">
        <is>
          <t>Convertible debt</t>
        </is>
      </c>
      <c r="H67" s="137">
        <f>IFERROR(INDEX(Model!$I$238:$BF$238,1,MATCH(Control!$B$7,Model!$I$5:$BF$5,0)),"")</f>
        <v>0</v>
      </c>
      <c r="I67" s="157" t="inlineStr">
        <is>
          <t>Batch 2</t>
        </is>
      </c>
      <c r="J67" s="186" t="n"/>
      <c r="K67" s="187" t="n"/>
      <c r="L67" s="185" t="n"/>
    </row>
    <row r="68">
      <c r="C68" s="171" t="inlineStr">
        <is>
          <t>Present value of terminal value</t>
        </is>
      </c>
      <c r="D68" s="181" t="str">
        <f>IFERROR(IF(D67="","",D67*K54),"")</f>
        <v/>
      </c>
      <c r="E68" s="157" t="inlineStr">
        <is>
          <t>Minority interest</t>
        </is>
      </c>
      <c r="H68" s="137">
        <f>IFERROR(INDEX(Model!$I$248:$BF$248,1,MATCH(Control!$B$7,Model!$I$5:$BF$5,0)),"")</f>
        <v>410.277</v>
      </c>
      <c r="I68" s="157" t="inlineStr">
        <is>
          <t>Batch 3</t>
        </is>
      </c>
      <c r="J68" s="186" t="n"/>
      <c r="K68" s="187" t="n"/>
      <c r="L68" s="185" t="n"/>
    </row>
    <row r="69">
      <c r="C69" s="174" t="inlineStr">
        <is>
          <t>Enterprise value</t>
        </is>
      </c>
      <c r="D69" s="188" t="str">
        <f>IFERROR(IF(OR(D68="",G57=""),"",D68+G57),"")</f>
        <v/>
      </c>
      <c r="E69" s="157" t="inlineStr">
        <is>
          <t>Convertible preferred stock</t>
        </is>
      </c>
      <c r="H69" s="137">
        <f>IFERROR(INDEX(Model!$I$253:$BF$253,1,MATCH(Control!$B$7,Model!$I$5:$BF$5,0)),"")</f>
        <v>0</v>
      </c>
      <c r="I69" s="157" t="inlineStr">
        <is>
          <t>Batch 4</t>
        </is>
      </c>
      <c r="J69" s="186" t="n"/>
      <c r="K69" s="187" t="n"/>
      <c r="L69" s="185" t="n"/>
    </row>
    <row r="70">
      <c r="C70" s="143" t="n"/>
      <c r="D70" s="144" t="n"/>
      <c r="E70" s="157" t="inlineStr">
        <is>
          <t>Short term operating leases</t>
        </is>
      </c>
      <c r="H70" s="137">
        <f>IFERROR(INDEX(Model!$I$214:$BF$214,1,MATCH(Control!$B$7,Model!$I$5:$BF$5,0)),"")</f>
        <v>11.089</v>
      </c>
      <c r="I70" s="157" t="inlineStr">
        <is>
          <t>Batch 5</t>
        </is>
      </c>
      <c r="J70" s="186" t="n"/>
      <c r="K70" s="187" t="n"/>
      <c r="L70" s="185" t="n"/>
    </row>
    <row r="71">
      <c r="C71" s="171" t="inlineStr">
        <is>
          <t>Exit multiple method</t>
        </is>
      </c>
      <c r="D71" s="172" t="n"/>
      <c r="E71" s="157" t="inlineStr">
        <is>
          <t>Long term operating leases</t>
        </is>
      </c>
      <c r="H71" s="137">
        <f>IFERROR(INDEX(Model!$I$235:$BF$235,1,MATCH(Control!$B$7,Model!$I$5:$BF$5,0)),"")</f>
        <v>74.202</v>
      </c>
      <c r="I71" s="179" t="inlineStr">
        <is>
          <t>Batch 6</t>
        </is>
      </c>
      <c r="J71" s="189" t="n"/>
      <c r="K71" s="190" t="n"/>
      <c r="L71" s="191" t="n"/>
    </row>
    <row r="72">
      <c r="C72" s="174" t="inlineStr">
        <is>
          <t>Exit EV / EBITDA multiple</t>
        </is>
      </c>
      <c r="D72" s="192" t="str">
        <f>IFERROR(IF(Control!E14="","",Control!E14),"")</f>
        <v/>
      </c>
      <c r="E72" s="157" t="inlineStr">
        <is>
          <t>Less: Excess cash</t>
        </is>
      </c>
      <c r="H72" s="137">
        <f>IFERROR(-INDEX(Model!$I$144:$BF$144,1,MATCH(Control!$B$7,Model!$I$5:$BF$5,0)),"")</f>
        <v>-2454.207</v>
      </c>
      <c r="J72" s="162" t="n"/>
      <c r="K72" s="193" t="inlineStr">
        <is>
          <t>Total in-the-$ options:</t>
        </is>
      </c>
      <c r="L72" s="185" t="n"/>
    </row>
    <row r="73">
      <c r="C73" s="174" t="inlineStr">
        <is>
          <t>LTM EBITDA at end of projection</t>
        </is>
      </c>
      <c r="D73" s="188">
        <f>IFERROR(K20,"")</f>
        <v>3460.7694818003</v>
      </c>
      <c r="E73" s="157" t="inlineStr">
        <is>
          <t>Less: Equity investments</t>
        </is>
      </c>
      <c r="H73" s="137">
        <f>IFERROR(-INDEX(Model!$I$161:$BF$161,1,MATCH(Control!$B$7,Model!$I$5:$BF$5,0)),"")</f>
        <v>-125.111</v>
      </c>
      <c r="J73" s="162" t="n"/>
      <c r="K73" s="193" t="inlineStr">
        <is>
          <t>Total $ proceeds:</t>
        </is>
      </c>
      <c r="L73" s="194" t="n"/>
    </row>
    <row r="74">
      <c r="C74" s="174" t="inlineStr">
        <is>
          <t>Terminal value</t>
        </is>
      </c>
      <c r="D74" s="188" t="str">
        <f>IFERROR(IF(OR(D72="",D73=""),"",D73*D72),"")</f>
        <v/>
      </c>
      <c r="E74" s="157" t="inlineStr">
        <is>
          <t>Net debt</t>
        </is>
      </c>
      <c r="H74" s="188">
        <f>IFERROR(SUM(H64:H73),"")</f>
        <v>872.369</v>
      </c>
      <c r="J74" s="162" t="n"/>
      <c r="K74" s="193" t="inlineStr">
        <is>
          <t>Total shares repurchased:</t>
        </is>
      </c>
      <c r="L74" s="185" t="n"/>
    </row>
    <row r="75">
      <c r="C75" s="174" t="inlineStr">
        <is>
          <t>Present value of terminal value</t>
        </is>
      </c>
      <c r="D75" s="188" t="str">
        <f>IFERROR(IF(OR(D74="",K54="",K55=""),"",D74*K54*K55),"")</f>
        <v/>
      </c>
      <c r="E75" s="173" t="inlineStr">
        <is>
          <t>Equity value</t>
        </is>
      </c>
      <c r="H75" s="181" t="str">
        <f>IFERROR(IF(H62="","",H62-H74),"")</f>
        <v/>
      </c>
      <c r="J75" s="162" t="n"/>
      <c r="K75" s="195" t="inlineStr">
        <is>
          <t>Basic shares outstanding</t>
        </is>
      </c>
      <c r="L75" s="172" t="n"/>
    </row>
    <row r="76" ht="13.5" customHeight="1">
      <c r="C76" s="174" t="inlineStr">
        <is>
          <t>Enterprise value</t>
        </is>
      </c>
      <c r="D76" s="188" t="str">
        <f>IFERROR(IF(OR(D75="",G57=""),"",G57+D75),"")</f>
        <v/>
      </c>
      <c r="E76" s="157" t="inlineStr">
        <is>
          <t>Shares outstanding</t>
        </is>
      </c>
      <c r="H76" s="188" t="str">
        <f>IFERROR(IF(Control!E5="","",Control!E5),"")</f>
        <v/>
      </c>
      <c r="J76" s="196" t="n"/>
      <c r="K76" s="195" t="inlineStr">
        <is>
          <t>New shares from options:</t>
        </is>
      </c>
      <c r="L76" s="172" t="n"/>
    </row>
    <row r="77" ht="13.5" customHeight="1">
      <c r="C77" s="143" t="n"/>
      <c r="D77" s="197" t="n"/>
      <c r="E77" s="173" t="inlineStr">
        <is>
          <t>Equity value / share</t>
        </is>
      </c>
      <c r="H77" s="198" t="str">
        <f>IFERROR(IF(OR(H75="",H76="",H76=0),"",H75/H76),"")</f>
        <v/>
      </c>
      <c r="K77" s="195" t="inlineStr">
        <is>
          <t>New shares from convert. pref. stock:</t>
        </is>
      </c>
      <c r="L77" s="199" t="n"/>
    </row>
    <row r="78">
      <c r="C78" s="171" t="inlineStr">
        <is>
          <t>Select a terminal value method</t>
        </is>
      </c>
      <c r="D78" s="200" t="n"/>
      <c r="F78" s="160" t="n"/>
      <c r="H78" s="201" t="n"/>
      <c r="K78" s="195" t="inlineStr">
        <is>
          <t>New shares from convertible debt:</t>
        </is>
      </c>
      <c r="L78" s="202" t="n"/>
    </row>
    <row r="79">
      <c r="C79" s="174" t="inlineStr">
        <is>
          <t>Perpetual growth = 1 / Exit multiple = 2</t>
        </is>
      </c>
      <c r="D79" s="203">
        <f>IFERROR(Control!B11,"")</f>
        <v>1</v>
      </c>
      <c r="H79" s="201" t="n"/>
      <c r="K79" s="204" t="inlineStr">
        <is>
          <t>Total Shares Outstanding:</t>
        </is>
      </c>
      <c r="L79" s="205" t="n"/>
    </row>
    <row r="80">
      <c r="C80" s="174" t="inlineStr">
        <is>
          <t>Enterprise value</t>
        </is>
      </c>
      <c r="D80" s="172" t="str">
        <f>IFERROR(IF(D79=1,D69,D76),"")</f>
        <v/>
      </c>
      <c r="H80" s="144" t="n"/>
      <c r="K80" s="204" t="n"/>
      <c r="L80" s="205" t="n"/>
    </row>
    <row r="81">
      <c r="C81" s="206" t="inlineStr">
        <is>
          <t>Terminal value as percent of total value</t>
        </is>
      </c>
      <c r="D81" s="207" t="str">
        <f>IFERROR(IF(D79=1,D68/D69,D75/D76),"")</f>
        <v/>
      </c>
      <c r="E81" s="109" t="n"/>
      <c r="F81" s="109" t="n"/>
      <c r="G81" s="109" t="n"/>
      <c r="H81" s="123" t="n"/>
      <c r="I81" s="109" t="n"/>
      <c r="J81" s="109" t="n"/>
      <c r="K81" s="109" t="n"/>
      <c r="L81" s="123" t="n"/>
    </row>
    <row r="82"/>
    <row r="83" ht="13.5" customHeight="1">
      <c r="C83" s="208" t="inlineStr">
        <is>
          <t>Analysis of WACC</t>
        </is>
      </c>
      <c r="D83" s="209" t="n"/>
      <c r="E83" s="210" t="n"/>
      <c r="F83" s="210" t="n"/>
      <c r="G83" s="208" t="n"/>
      <c r="H83" s="209" t="n"/>
      <c r="I83" s="210" t="n"/>
      <c r="J83" s="210" t="n"/>
      <c r="K83" s="210" t="n"/>
      <c r="L83" s="210" t="n"/>
    </row>
    <row r="84"/>
    <row r="85">
      <c r="C85" s="211" t="inlineStr">
        <is>
          <t>Cost of debt</t>
        </is>
      </c>
      <c r="D85" s="109" t="n"/>
      <c r="F85" s="211" t="inlineStr">
        <is>
          <t>Capital structure</t>
        </is>
      </c>
      <c r="G85" s="211" t="n"/>
      <c r="H85" s="211" t="n"/>
      <c r="I85" s="211" t="n"/>
      <c r="J85" s="211" t="n"/>
    </row>
    <row r="86">
      <c r="C86" s="157" t="inlineStr">
        <is>
          <t>Cost of debt</t>
        </is>
      </c>
      <c r="D86" s="212" t="str">
        <f>IFERROR(IF(Control!E9="","",Control!E9),"")</f>
        <v/>
      </c>
      <c r="G86" s="252" t="inlineStr">
        <is>
          <t>Current capital structure</t>
        </is>
      </c>
      <c r="H86" s="253" t="n"/>
      <c r="I86" s="254" t="inlineStr">
        <is>
          <t>Target capital structure</t>
        </is>
      </c>
      <c r="J86" s="255" t="n"/>
    </row>
    <row r="87">
      <c r="C87" s="157" t="inlineStr">
        <is>
          <t>Marginal tax rate</t>
        </is>
      </c>
      <c r="D87" s="212" t="str">
        <f>IFERROR(IF(Control!E10="","",Control!E10),"")</f>
        <v/>
      </c>
      <c r="F87" s="109" t="n"/>
      <c r="G87" s="182" t="inlineStr">
        <is>
          <t>Market value</t>
        </is>
      </c>
      <c r="H87" s="182" t="inlineStr">
        <is>
          <t>% Weight</t>
        </is>
      </c>
      <c r="I87" s="182" t="inlineStr">
        <is>
          <t>override</t>
        </is>
      </c>
      <c r="J87" s="213" t="inlineStr">
        <is>
          <t>% Weight</t>
        </is>
      </c>
      <c r="K87" s="214" t="n"/>
      <c r="L87" s="215" t="n"/>
    </row>
    <row r="88">
      <c r="C88" s="251" t="inlineStr">
        <is>
          <t>Cost of debt after tax shield</t>
        </is>
      </c>
      <c r="D88" s="216" t="str">
        <f>IFERROR(IF(D86="","",D86*(1-D87)),"")</f>
        <v/>
      </c>
      <c r="F88" s="251" t="inlineStr">
        <is>
          <t>Net debt</t>
        </is>
      </c>
      <c r="G88" s="217">
        <f>IFERROR(H74,"")</f>
        <v>872.369</v>
      </c>
      <c r="H88" s="97">
        <f>IFERROR(debt/totalcap,"")</f>
        <v>1</v>
      </c>
      <c r="I88" s="212" t="n"/>
      <c r="J88" s="97">
        <f>IFERROR(IF(I88,I88,H88),"")</f>
        <v>1</v>
      </c>
      <c r="L88" s="218" t="n"/>
    </row>
    <row r="89">
      <c r="F89" s="251" t="inlineStr">
        <is>
          <t>Equity</t>
        </is>
      </c>
      <c r="G89" s="217">
        <f>IFERROR(L63*L79,"")</f>
        <v>0</v>
      </c>
      <c r="H89" s="97">
        <f>IFERROR(1-H88,"")</f>
        <v>0</v>
      </c>
      <c r="J89" s="97">
        <f>IFERROR(1-debt_weight,"")</f>
        <v>0</v>
      </c>
    </row>
    <row r="90">
      <c r="C90" s="211" t="inlineStr">
        <is>
          <t>Cost of equity</t>
        </is>
      </c>
      <c r="D90" s="109" t="n"/>
      <c r="F90" s="251" t="inlineStr">
        <is>
          <t>Total</t>
        </is>
      </c>
      <c r="G90" s="214">
        <f>IFERROR(SUM(G88:G89),"")</f>
        <v>872.369</v>
      </c>
    </row>
    <row r="91">
      <c r="C91" s="157" t="inlineStr">
        <is>
          <t>Risk-Free Rate (rf)</t>
        </is>
      </c>
      <c r="D91" s="212" t="str">
        <f>IFERROR(IF(Control!E6="","",Control!E6),"")</f>
        <v/>
      </c>
      <c r="E91" s="195" t="n"/>
    </row>
    <row r="92">
      <c r="C92" s="157" t="inlineStr">
        <is>
          <t>Market Risk Premium (rm-rf)</t>
        </is>
      </c>
      <c r="D92" s="212" t="str">
        <f>IFERROR(IF(Control!E7="","",Control!E7),"")</f>
        <v/>
      </c>
      <c r="F92" s="211" t="inlineStr">
        <is>
          <t>Weighted average cost of capital</t>
        </is>
      </c>
      <c r="G92" s="109" t="n"/>
      <c r="H92" s="109" t="n"/>
      <c r="I92" s="109" t="n"/>
      <c r="J92" s="109" t="n"/>
    </row>
    <row r="93">
      <c r="C93" s="157" t="inlineStr">
        <is>
          <t>Raw (observed) beta</t>
        </is>
      </c>
      <c r="D93" s="219" t="str">
        <f>IFERROR(IF(Control!E8="","",Control!E8),"")</f>
        <v/>
      </c>
      <c r="F93" s="251" t="inlineStr">
        <is>
          <t>Weighted average cost of capital:</t>
        </is>
      </c>
      <c r="J93" s="97" t="str">
        <f>IFERROR(IF(Control!E12="","",Control!E12),"")</f>
        <v/>
      </c>
    </row>
    <row r="94">
      <c r="C94" s="157" t="inlineStr">
        <is>
          <t>Cost of equity using relevered industry beta</t>
        </is>
      </c>
      <c r="D94" s="216" t="str">
        <f>IFERROR(IF(COUNT(D91:D93)&lt;3,"",D91+D93*D92),"")</f>
        <v/>
      </c>
      <c r="E94" s="102" t="n"/>
    </row>
    <row r="95">
      <c r="C95" s="157" t="n"/>
      <c r="D95" s="216" t="n"/>
      <c r="E95" s="102" t="n"/>
      <c r="G95" s="214" t="n"/>
    </row>
    <row r="96">
      <c r="C96" s="211" t="inlineStr">
        <is>
          <t>Industry beta calculation</t>
        </is>
      </c>
      <c r="D96" s="109" t="n"/>
      <c r="E96" s="109" t="n"/>
      <c r="F96" s="109" t="n"/>
      <c r="G96" s="109" t="n"/>
      <c r="H96" s="109" t="n"/>
      <c r="I96" s="109" t="n"/>
      <c r="J96" s="109" t="n"/>
      <c r="K96" s="109" t="n"/>
      <c r="L96" s="109" t="n"/>
      <c r="M96" s="109" t="n"/>
    </row>
    <row r="97" ht="25.5" customHeight="1">
      <c r="C97" s="220" t="inlineStr">
        <is>
          <t xml:space="preserve">Comps </t>
        </is>
      </c>
      <c r="D97" s="221" t="inlineStr">
        <is>
          <t>Raw beta</t>
        </is>
      </c>
      <c r="E97" s="221" t="inlineStr">
        <is>
          <t>Share price</t>
        </is>
      </c>
      <c r="F97" s="221" t="inlineStr">
        <is>
          <t>Shares</t>
        </is>
      </c>
      <c r="G97" s="221" t="inlineStr">
        <is>
          <t>Market cap.</t>
        </is>
      </c>
      <c r="H97" s="221" t="inlineStr">
        <is>
          <t>Debt</t>
        </is>
      </c>
      <c r="I97" s="221" t="inlineStr">
        <is>
          <t>D / E</t>
        </is>
      </c>
      <c r="J97" s="221" t="inlineStr">
        <is>
          <t>Tax rate</t>
        </is>
      </c>
      <c r="K97" s="221" t="inlineStr">
        <is>
          <t>Unl. Beta</t>
        </is>
      </c>
      <c r="L97" s="221" t="n"/>
      <c r="M97" s="221" t="n"/>
    </row>
    <row r="98">
      <c r="C98" s="251" t="str">
        <f>IFERROR(ticker,"")</f>
        <v>DIRR3) - fonte: Planilha Interativa 2T26 do RI (ri.direcional.com.br): abas Demonstracao de Resultados (trimestre isolado)</v>
      </c>
      <c r="D98" s="222" t="n"/>
      <c r="E98" s="223" t="n"/>
      <c r="F98" s="141" t="n"/>
      <c r="G98" s="141" t="n"/>
      <c r="H98" s="141" t="n"/>
      <c r="I98" s="224" t="n"/>
      <c r="J98" s="224" t="n"/>
      <c r="K98" s="222" t="n"/>
      <c r="L98" s="225" t="n"/>
    </row>
    <row r="99">
      <c r="C99" s="226" t="inlineStr">
        <is>
          <t>TICKER 2</t>
        </is>
      </c>
      <c r="D99" s="219" t="n"/>
      <c r="E99" s="227" t="n"/>
      <c r="F99" s="228" t="n"/>
      <c r="G99" s="141" t="n"/>
      <c r="H99" s="228" t="n"/>
      <c r="I99" s="224" t="n"/>
      <c r="J99" s="229" t="n"/>
      <c r="K99" s="222" t="n"/>
      <c r="L99" s="225" t="n"/>
    </row>
    <row r="100">
      <c r="C100" s="226" t="inlineStr">
        <is>
          <t>TICKER 3</t>
        </is>
      </c>
      <c r="D100" s="219" t="n"/>
      <c r="E100" s="227" t="n"/>
      <c r="F100" s="228" t="n"/>
      <c r="G100" s="141" t="n"/>
      <c r="H100" s="228" t="n"/>
      <c r="I100" s="224" t="n"/>
      <c r="J100" s="229" t="n"/>
      <c r="K100" s="222" t="n"/>
      <c r="L100" s="225" t="n"/>
    </row>
    <row r="101">
      <c r="C101" s="230" t="inlineStr">
        <is>
          <t>TICKER 4</t>
        </is>
      </c>
      <c r="D101" s="231" t="n"/>
      <c r="E101" s="232" t="n"/>
      <c r="F101" s="233" t="n"/>
      <c r="G101" s="127" t="n"/>
      <c r="H101" s="233" t="n"/>
      <c r="I101" s="234" t="n"/>
      <c r="J101" s="235" t="n"/>
      <c r="K101" s="236" t="n"/>
      <c r="L101" s="225" t="n"/>
      <c r="M101" s="237" t="n"/>
    </row>
    <row r="102">
      <c r="D102" s="222" t="n"/>
      <c r="E102" s="204" t="n"/>
      <c r="F102" s="161" t="n"/>
      <c r="G102" s="141" t="n"/>
      <c r="I102" s="222" t="n"/>
      <c r="J102" s="237" t="n"/>
      <c r="K102" s="238" t="n"/>
      <c r="L102" s="238" t="n"/>
      <c r="M102" s="238" t="n"/>
    </row>
  </sheetData>
  <mergeCells count="4">
    <mergeCell ref="G14:V14"/>
    <mergeCell ref="G86:H86"/>
    <mergeCell ref="I86:J86"/>
    <mergeCell ref="G15:V15"/>
  </mergeCells>
  <pageMargins left="0.7" right="0.7" top="0.75" bottom="0.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F33"/>
  <sheetViews>
    <sheetView showGridLines="0" zoomScaleNormal="100" workbookViewId="0">
      <pane ySplit="1" topLeftCell="A2" activePane="bottomLeft" state="frozen"/>
      <selection pane="bottomLeft" activeCell="B3" sqref="B3:B12"/>
    </sheetView>
  </sheetViews>
  <sheetFormatPr baseColWidth="8" defaultColWidth="9.7109375" defaultRowHeight="12.75"/>
  <cols>
    <col width="43.140625" customWidth="1" min="1" max="1"/>
    <col width="27.28515625" customWidth="1" min="2" max="2"/>
    <col width="18.140625" customWidth="1" min="3" max="3"/>
    <col width="34" customWidth="1" min="4" max="4"/>
    <col width="18.140625" customWidth="1" min="5" max="6"/>
  </cols>
  <sheetData>
    <row r="1" ht="18" customHeight="1">
      <c r="A1" s="239" t="inlineStr">
        <is>
          <t>CONTROL &amp; ASSUMPTIONS – BASE MODEL</t>
        </is>
      </c>
      <c r="B1" s="239" t="n"/>
      <c r="C1" s="239" t="n"/>
      <c r="D1" s="239" t="n"/>
      <c r="E1" s="239" t="n"/>
      <c r="F1" s="239" t="n"/>
    </row>
    <row r="3" ht="14.25" customHeight="1">
      <c r="A3" t="inlineStr">
        <is>
          <t>Company</t>
        </is>
      </c>
      <c r="B3" s="240" t="inlineStr">
        <is>
          <t>Direcional</t>
        </is>
      </c>
      <c r="D3" s="241" t="inlineStr">
        <is>
          <t>Valuation assumptions</t>
        </is>
      </c>
      <c r="E3" s="241" t="n"/>
      <c r="F3" s="241" t="n"/>
    </row>
    <row r="4" ht="14.25" customHeight="1">
      <c r="A4" t="inlineStr">
        <is>
          <t>Ticker</t>
        </is>
      </c>
      <c r="B4" s="240" t="inlineStr">
        <is>
          <t>DIRR3) - fonte: Planilha Interativa 2T26 do RI (ri.direcional.com.br): abas Demonstracao de Resultados (trimestre isolado)</t>
        </is>
      </c>
      <c r="D4" t="inlineStr">
        <is>
          <t>Last close (R$/share)</t>
        </is>
      </c>
      <c r="E4" s="242" t="n"/>
    </row>
    <row r="5" ht="14.25" customHeight="1">
      <c r="A5" t="inlineStr">
        <is>
          <t>Currency</t>
        </is>
      </c>
      <c r="B5" s="240" t="inlineStr">
        <is>
          <t>BRL</t>
        </is>
      </c>
      <c r="D5" t="inlineStr">
        <is>
          <t>Shares outstanding (mm)</t>
        </is>
      </c>
      <c r="E5" s="243" t="n"/>
    </row>
    <row r="6" ht="14.25" customHeight="1">
      <c r="A6" t="inlineStr">
        <is>
          <t>Model unit</t>
        </is>
      </c>
      <c r="B6" s="240" t="inlineStr">
        <is>
          <t>R$ milhões</t>
        </is>
      </c>
      <c r="D6" t="inlineStr">
        <is>
          <t>Risk-free rate</t>
        </is>
      </c>
      <c r="E6" s="244" t="n"/>
    </row>
    <row r="7" ht="14.25" customHeight="1">
      <c r="A7" t="inlineStr">
        <is>
          <t>Last actual period</t>
        </is>
      </c>
      <c r="B7" s="278" t="n">
        <v>46203</v>
      </c>
      <c r="D7" t="inlineStr">
        <is>
          <t>Market risk premium</t>
        </is>
      </c>
      <c r="E7" s="244" t="n"/>
    </row>
    <row r="8" ht="14.25" customHeight="1">
      <c r="A8" t="inlineStr">
        <is>
          <t>Quarterly forecast through</t>
        </is>
      </c>
      <c r="B8" s="245" t="n">
        <v>47118</v>
      </c>
      <c r="D8" t="inlineStr">
        <is>
          <t>Beta</t>
        </is>
      </c>
      <c r="E8" s="246" t="n"/>
    </row>
    <row r="9" ht="15" customHeight="1">
      <c r="A9" t="inlineStr">
        <is>
          <t>Forecast end</t>
        </is>
      </c>
      <c r="B9" s="245" t="n">
        <v>47848</v>
      </c>
      <c r="D9" t="inlineStr">
        <is>
          <t>Pre-tax cost of debt</t>
        </is>
      </c>
      <c r="E9" s="247" t="str">
        <f>IFERROR(-Model!AG74/AVERAGE(Model!AB92,Model!AG92),"")</f>
        <v/>
      </c>
    </row>
    <row r="10" ht="14.25" customHeight="1">
      <c r="A10" t="inlineStr">
        <is>
          <t>Scenario (1 Bull / 2 Base / 3 Bear)</t>
        </is>
      </c>
      <c r="B10" s="240" t="n">
        <v>2</v>
      </c>
      <c r="D10" t="inlineStr">
        <is>
          <t>Marginal tax rate</t>
        </is>
      </c>
      <c r="E10" s="244" t="n"/>
    </row>
    <row r="11" ht="14.25" customHeight="1">
      <c r="A11" t="inlineStr">
        <is>
          <t>Terminal method (1 Perpetuity / 2 Exit)</t>
        </is>
      </c>
      <c r="B11" s="240" t="n">
        <v>1</v>
      </c>
      <c r="D11" t="inlineStr">
        <is>
          <t>Target debt weight</t>
        </is>
      </c>
      <c r="E11" s="244" t="n"/>
    </row>
    <row r="12" ht="15" customHeight="1">
      <c r="A12" t="inlineStr">
        <is>
          <t>Valuation date</t>
        </is>
      </c>
      <c r="B12" s="245" t="n"/>
      <c r="D12" t="inlineStr">
        <is>
          <t>WACC</t>
        </is>
      </c>
      <c r="E12" s="247" t="str">
        <f>IF(COUNT(E6:E11)&lt;6,"",E11*E9*(1-E10)+(1-E11)*(E6+E8*E7))</f>
        <v/>
      </c>
    </row>
    <row r="13" ht="15" customHeight="1">
      <c r="A13" t="inlineStr">
        <is>
          <t>Stub year fraction</t>
        </is>
      </c>
      <c r="B13" s="247">
        <f>IFERROR((DATE(YEAR(B12),12,31)-B12)/365,"")</f>
        <v>0.00273972602739726</v>
      </c>
      <c r="D13" t="inlineStr">
        <is>
          <t>Terminal growth</t>
        </is>
      </c>
      <c r="E13" s="244" t="n"/>
    </row>
    <row r="14" ht="14.25" customHeight="1">
      <c r="D14" t="inlineStr">
        <is>
          <t>Exit EV/EBITDA</t>
        </is>
      </c>
      <c r="E14" s="248" t="n"/>
    </row>
    <row r="15" ht="14.25" customHeight="1">
      <c r="D15" t="inlineStr">
        <is>
          <t>Dividend payout</t>
        </is>
      </c>
      <c r="E15" s="244" t="n"/>
    </row>
    <row r="17" ht="14.25" customHeight="1">
      <c r="A17" s="241" t="inlineStr">
        <is>
          <t>Forecast drivers</t>
        </is>
      </c>
      <c r="B17" s="241" t="inlineStr">
        <is>
          <t>2026E</t>
        </is>
      </c>
      <c r="C17" s="241" t="inlineStr">
        <is>
          <t>2027E</t>
        </is>
      </c>
      <c r="D17" s="241" t="inlineStr">
        <is>
          <t>2028E</t>
        </is>
      </c>
      <c r="E17" s="241" t="inlineStr">
        <is>
          <t>2029E</t>
        </is>
      </c>
      <c r="F17" s="241" t="inlineStr">
        <is>
          <t>2030E</t>
        </is>
      </c>
    </row>
    <row r="18" ht="15" customHeight="1">
      <c r="A18" t="inlineStr">
        <is>
          <t>Revenue growth</t>
        </is>
      </c>
      <c r="B18" s="247">
        <f>IFERROR(AVERAGE(Model!AC16:AF16,Model!AH16:AI16),"")</f>
        <v>0.283105578234928</v>
      </c>
      <c r="C18" s="247">
        <f>IF(B18="","",B18)</f>
        <v>0.283105578234928</v>
      </c>
      <c r="D18" s="247">
        <f>IF(C18="","",MAX(0,C18-0.5%))</f>
        <v>0.278105578234928</v>
      </c>
      <c r="E18" s="247">
        <f>IF(D18="","",MAX(0,D18-0.5%))</f>
        <v>0.273105578234928</v>
      </c>
      <c r="F18" s="247">
        <f>IF(E18="","",MAX(0,E18-0.5%))</f>
        <v>0.268105578234928</v>
      </c>
    </row>
    <row r="19" ht="15" customHeight="1">
      <c r="A19" t="inlineStr">
        <is>
          <t>Gross margin</t>
        </is>
      </c>
      <c r="B19" s="247">
        <f>IFERROR(AVERAGE(Model!AC55:AF55,Model!AH55:AI55),"")</f>
        <v>0.398196756706082</v>
      </c>
      <c r="C19" s="247">
        <f>IF(B19="","",B19)</f>
        <v>0.398196756706082</v>
      </c>
      <c r="D19" s="247">
        <f>IF(C19="","",C19)</f>
        <v>0.398196756706082</v>
      </c>
      <c r="E19" s="247">
        <f>IF(D19="","",D19)</f>
        <v>0.398196756706082</v>
      </c>
      <c r="F19" s="247">
        <f>IF(E19="","",E19)</f>
        <v>0.398196756706082</v>
      </c>
    </row>
    <row r="20" ht="15" customHeight="1">
      <c r="A20" t="inlineStr">
        <is>
          <t>SG&amp;A / Revenue</t>
        </is>
      </c>
      <c r="B20" s="247">
        <f>IFERROR(AVERAGE(Model!AC59:AF59,Model!AH59:AI59),"")</f>
        <v>0.160632846847307</v>
      </c>
      <c r="C20" s="247">
        <f>IF(B20="","",B20)</f>
        <v>0.160632846847307</v>
      </c>
      <c r="D20" s="247">
        <f>IF(C20="","",C20)</f>
        <v>0.160632846847307</v>
      </c>
      <c r="E20" s="247">
        <f>IF(D20="","",D20)</f>
        <v>0.160632846847307</v>
      </c>
      <c r="F20" s="247">
        <f>IF(E20="","",E20)</f>
        <v>0.160632846847307</v>
      </c>
    </row>
    <row r="21" ht="15" customHeight="1">
      <c r="A21" t="inlineStr">
        <is>
          <t>D&amp;A / Revenue</t>
        </is>
      </c>
      <c r="B21" s="247">
        <f>IFERROR(AVERAGE(Model!AC71:AF71,Model!AH71:AI71),"")</f>
        <v>0.0187343780026006</v>
      </c>
      <c r="C21" s="247">
        <f>IF(B21="","",B21)</f>
        <v>0.0187343780026006</v>
      </c>
      <c r="D21" s="247">
        <f>IF(C21="","",C21)</f>
        <v>0.0187343780026006</v>
      </c>
      <c r="E21" s="247">
        <f>IF(D21="","",D21)</f>
        <v>0.0187343780026006</v>
      </c>
      <c r="F21" s="247">
        <f>IF(E21="","",E21)</f>
        <v>0.0187343780026006</v>
      </c>
    </row>
    <row r="22" ht="15" customHeight="1">
      <c r="A22" t="inlineStr">
        <is>
          <t>Effective tax rate</t>
        </is>
      </c>
      <c r="B22" s="247">
        <f>IFERROR(AVERAGE(Model!AC132:AF132,Model!AH132:AI132),"")</f>
        <v>0.0970772080741141</v>
      </c>
      <c r="C22" s="247">
        <f>IF(B22="","",B22)</f>
        <v>0.0970772080741141</v>
      </c>
      <c r="D22" s="247">
        <f>IF(C22="","",C22)</f>
        <v>0.0970772080741141</v>
      </c>
      <c r="E22" s="247">
        <f>IF(D22="","",D22)</f>
        <v>0.0970772080741141</v>
      </c>
      <c r="F22" s="247">
        <f>IF(E22="","",E22)</f>
        <v>0.0970772080741141</v>
      </c>
    </row>
    <row r="23" ht="15" customHeight="1">
      <c r="A23" t="inlineStr">
        <is>
          <t>Financial income / Revenue</t>
        </is>
      </c>
      <c r="B23" s="247">
        <f>IFERROR(AVERAGE(Model!AC123:AF123,Model!AH123:AI123)/AVERAGE(Model!AC15:AF15,Model!AH15:AI15),"")</f>
        <v>0.0995217186302823</v>
      </c>
      <c r="C23" s="247">
        <f>IF(B23="","",B23)</f>
        <v>0.0995217186302823</v>
      </c>
      <c r="D23" s="247">
        <f>IF(C23="","",C23)</f>
        <v>0.0995217186302823</v>
      </c>
      <c r="E23" s="247">
        <f>IF(D23="","",D23)</f>
        <v>0.0995217186302823</v>
      </c>
      <c r="F23" s="247">
        <f>IF(E23="","",E23)</f>
        <v>0.0995217186302823</v>
      </c>
    </row>
    <row r="24" ht="15" customHeight="1">
      <c r="A24" t="inlineStr">
        <is>
          <t>Capex / Revenue</t>
        </is>
      </c>
      <c r="B24" s="247">
        <f>IFERROR(-AVERAGE(Model!AC295:AF295,Model!AH295:AI295)/AVERAGE(Model!AC15:AF15,Model!AH15:AI15),"")</f>
        <v>0.026418046796723</v>
      </c>
      <c r="C24" s="247">
        <f>IF(B24="","",B24)</f>
        <v>0.026418046796723</v>
      </c>
      <c r="D24" s="247">
        <f>IF(C24="","",C24)</f>
        <v>0.026418046796723</v>
      </c>
      <c r="E24" s="247">
        <f>IF(D24="","",D24)</f>
        <v>0.026418046796723</v>
      </c>
      <c r="F24" s="247">
        <f>IF(E24="","",E24)</f>
        <v>0.026418046796723</v>
      </c>
    </row>
    <row r="25" ht="15" customHeight="1">
      <c r="A25" t="inlineStr">
        <is>
          <t>DSO</t>
        </is>
      </c>
      <c r="B25" s="249">
        <f>IFERROR(AVERAGE(Model!AC146:AF146,Model!AH146:AI146),0)</f>
        <v>215.450233107803</v>
      </c>
      <c r="C25" s="249">
        <f>IF(B25="","",B25)</f>
        <v>215.450233107803</v>
      </c>
      <c r="D25" s="249">
        <f>IF(C25="","",C25)</f>
        <v>215.450233107803</v>
      </c>
      <c r="E25" s="249">
        <f>IF(D25="","",D25)</f>
        <v>215.450233107803</v>
      </c>
      <c r="F25" s="249">
        <f>IF(E25="","",E25)</f>
        <v>215.450233107803</v>
      </c>
    </row>
    <row r="26" ht="15" customHeight="1">
      <c r="A26" t="inlineStr">
        <is>
          <t>DIO</t>
        </is>
      </c>
      <c r="B26" s="249">
        <f>IFERROR(AVERAGE(Model!AC150:AF150,Model!AH150:AI150),0)</f>
        <v>887.052206346214</v>
      </c>
      <c r="C26" s="249">
        <f>IF(B26="","",B26)</f>
        <v>887.052206346214</v>
      </c>
      <c r="D26" s="249">
        <f>IF(C26="","",C26)</f>
        <v>887.052206346214</v>
      </c>
      <c r="E26" s="249">
        <f>IF(D26="","",D26)</f>
        <v>887.052206346214</v>
      </c>
      <c r="F26" s="249">
        <f>IF(E26="","",E26)</f>
        <v>887.052206346214</v>
      </c>
    </row>
    <row r="27" ht="15" customHeight="1">
      <c r="A27" t="inlineStr">
        <is>
          <t>DPO</t>
        </is>
      </c>
      <c r="B27" s="249">
        <f>IFERROR(AVERAGE(Model!AC199:AF199,Model!AH199:AI199),0)</f>
        <v>23.5731610900785</v>
      </c>
      <c r="C27" s="249">
        <f>IF(B27="","",B27)</f>
        <v>23.5731610900785</v>
      </c>
      <c r="D27" s="249">
        <f>IF(C27="","",C27)</f>
        <v>23.5731610900785</v>
      </c>
      <c r="E27" s="249">
        <f>IF(D27="","",D27)</f>
        <v>23.5731610900785</v>
      </c>
      <c r="F27" s="249">
        <f>IF(E27="","",E27)</f>
        <v>23.5731610900785</v>
      </c>
    </row>
    <row r="29">
      <c r="A29" t="inlineStr">
        <is>
          <t>Model status</t>
        </is>
      </c>
    </row>
    <row r="30">
      <c r="A30" t="inlineStr">
        <is>
          <t>Source</t>
        </is>
      </c>
      <c r="B30" t="inlineStr">
        <is>
          <t xml:space="preserve">Direcional (DIRR3) - fonte: Planilha Interativa 2T26 do RI (ri.direcional.com.br): abas Demonstracao de Resultados (trimestre isolado), Balanco Patrimonial (trimestral desde 1T23), Dados Operacionais e RIVA - DRE. Balanco 1T20-4T22, D&amp;A e dividendos </t>
        </is>
      </c>
    </row>
    <row r="31">
      <c r="A31" t="inlineStr">
        <is>
          <t>Unit flow</t>
        </is>
      </c>
      <c r="B31" t="inlineStr">
        <is>
          <t>R$ mil na Inputs → R$ milhões via Inputs (2)</t>
        </is>
      </c>
    </row>
    <row r="32">
      <c r="A32" t="inlineStr">
        <is>
          <t>Historical coverage</t>
        </is>
      </c>
      <c r="B32" t="str">
        <f>IF(B7="","","1Q21–"&amp;ROUNDUP(MONTH(B7)/3,0)&amp;"Q"&amp;RIGHT(YEAR(B7),2))</f>
        <v>1Q21–2Q26</v>
      </c>
    </row>
    <row r="33">
      <c r="A33" t="inlineStr">
        <is>
          <t>Valuation readiness</t>
        </is>
      </c>
      <c r="B33" t="str">
        <f>IF(OR(B3="",B4=""),"PENDING COMPANY SETUP",IF(OR(E4="",E5="",E12=""),"PENDING MARKET INPUTS","READY"))</f>
        <v>PENDING MARKET INPUTS</v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2026-09-23T00:39:42Z</dcterms:created>
  <dcterms:modified xmlns:dcterms="http://purl.org/dc/terms/" xmlns:xsi="http://www.w3.org/2001/XMLSchema-instance" xsi:type="dcterms:W3CDTF">2026-10-16T15:37:46Z</dcterms:modified>
  <cp:lastModifiedBy>Lucas Nascimento</cp:lastModifiedBy>
  <cp:revision>0</cp:revision>
</cp:coreProperties>
</file>