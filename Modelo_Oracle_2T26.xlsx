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b val="1"/>
      <color theme="1"/>
      <sz val="10"/>
    </font>
    <font>
      <name val="Verdana"/>
      <b val="1"/>
      <sz val="10"/>
    </font>
  </fonts>
  <fills count="15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9" borderId="0" applyAlignment="1" pivotButton="0" quotePrefix="0" xfId="0">
      <alignment horizontal="left" vertical="bottom"/>
    </xf>
    <xf numFmtId="0" fontId="24" fillId="7" borderId="0" applyAlignment="1" pivotButton="0" quotePrefix="0" xfId="0">
      <alignment horizontal="general" vertical="bottom"/>
    </xf>
    <xf numFmtId="3" fontId="24" fillId="7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general" vertical="bottom"/>
    </xf>
    <xf numFmtId="171" fontId="24" fillId="7" borderId="0" applyAlignment="1" pivotButton="0" quotePrefix="0" xfId="0">
      <alignment horizontal="center" vertical="bottom"/>
    </xf>
    <xf numFmtId="171" fontId="24" fillId="0" borderId="0" applyAlignment="1" pivotButton="0" quotePrefix="0" xfId="0">
      <alignment horizontal="center" vertical="bottom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10085000</v>
      </c>
      <c r="E5" s="265" t="n">
        <v>11227000</v>
      </c>
      <c r="F5" s="265" t="n">
        <v>9728000</v>
      </c>
      <c r="G5" s="265" t="n">
        <v>10360000</v>
      </c>
      <c r="I5" s="265" t="n">
        <v>10513000</v>
      </c>
      <c r="J5" s="265" t="n">
        <v>11840000</v>
      </c>
      <c r="K5" s="265" t="n">
        <v>11445000</v>
      </c>
      <c r="L5" s="265" t="n">
        <v>12275000</v>
      </c>
      <c r="N5" s="265" t="n">
        <v>12398000</v>
      </c>
      <c r="O5" s="265" t="n">
        <v>13836000</v>
      </c>
      <c r="P5" s="265" t="n">
        <v>12453000</v>
      </c>
      <c r="Q5" s="265" t="n">
        <v>12941000</v>
      </c>
      <c r="S5" s="265" t="n">
        <v>13280000</v>
      </c>
      <c r="T5" s="265" t="n">
        <v>14287000</v>
      </c>
      <c r="U5" s="265" t="n">
        <v>13307000</v>
      </c>
      <c r="V5" s="265" t="n">
        <v>14059000</v>
      </c>
      <c r="X5" s="265" t="n">
        <v>14130000</v>
      </c>
      <c r="Y5" s="265" t="n">
        <v>15903000</v>
      </c>
      <c r="Z5" s="265" t="n">
        <v>14926000</v>
      </c>
      <c r="AA5" s="265" t="n">
        <v>16058000</v>
      </c>
      <c r="AC5" s="265" t="n">
        <v>17190000</v>
      </c>
      <c r="AD5" s="265" t="n">
        <v>19184000</v>
      </c>
    </row>
    <row r="6">
      <c r="A6" t="inlineStr">
        <is>
          <t>Custo da receita (divulgado positivo) [us-gaap:CloudServicesAndLicenseSupportExpenses+HardwareExpenses+ServicesExpense] · fonte · unid. moeda</t>
        </is>
      </c>
      <c r="C6" t="inlineStr">
        <is>
          <t>[linha bruta, sem código; lançada nas linhas abaixo]</t>
        </is>
      </c>
      <c r="D6" s="265" t="n">
        <v>1915000</v>
      </c>
      <c r="E6" s="265" t="n">
        <v>2122000</v>
      </c>
      <c r="F6" s="265" t="n">
        <v>2103000</v>
      </c>
      <c r="G6" s="265" t="n">
        <v>2159000</v>
      </c>
      <c r="I6" s="265" t="n">
        <v>2218000</v>
      </c>
      <c r="J6" s="265" t="n">
        <v>2397000</v>
      </c>
      <c r="K6" s="265" t="n">
        <v>3037000</v>
      </c>
      <c r="L6" s="265" t="n">
        <v>3358000</v>
      </c>
      <c r="N6" s="265" t="n">
        <v>3439000</v>
      </c>
      <c r="O6" s="265" t="n">
        <v>3730000</v>
      </c>
      <c r="P6" s="265" t="n">
        <v>3610000</v>
      </c>
      <c r="Q6" s="265" t="n">
        <v>3740000</v>
      </c>
      <c r="S6" s="265" t="n">
        <v>3869000</v>
      </c>
      <c r="T6" s="265" t="n">
        <v>3924000</v>
      </c>
      <c r="U6" s="265" t="n">
        <v>3906000</v>
      </c>
      <c r="V6" s="265" t="n">
        <v>4085000</v>
      </c>
      <c r="X6" s="265" t="n">
        <v>4195000</v>
      </c>
      <c r="Y6" s="265" t="n">
        <v>4741000</v>
      </c>
      <c r="Z6" s="265" t="n">
        <v>4884000</v>
      </c>
      <c r="AA6" s="265" t="n">
        <v>5374000</v>
      </c>
      <c r="AC6" s="265" t="n">
        <v>6092000</v>
      </c>
      <c r="AD6" s="265" t="n">
        <v>6671000</v>
      </c>
    </row>
    <row r="7">
      <c r="A7" t="inlineStr">
        <is>
          <t>(lançamento) código 2, sinal -1 sobre a linha bruta 6: Custo da receita (divulgado positivo) [us-gaap:CloudServicesAndLicenseSupportExpenses+Hard</t>
        </is>
      </c>
      <c r="B7" t="n">
        <v>2</v>
      </c>
      <c r="C7" t="inlineStr">
        <is>
          <t>COGS (cash)</t>
        </is>
      </c>
      <c r="D7" s="265">
        <f>IF(D6="","",-1*D6)</f>
        <v>-1915000</v>
      </c>
      <c r="E7" s="265">
        <f>IF(E6="","",-1*E6)</f>
        <v>-2122000</v>
      </c>
      <c r="F7" s="265">
        <f>IF(F6="","",-1*F6)</f>
        <v>-2103000</v>
      </c>
      <c r="G7" s="265">
        <f>IF(G6="","",-1*G6)</f>
        <v>-2159000</v>
      </c>
      <c r="I7" s="265">
        <f>IF(I6="","",-1*I6)</f>
        <v>-2218000</v>
      </c>
      <c r="J7" s="265">
        <f>IF(J6="","",-1*J6)</f>
        <v>-2397000</v>
      </c>
      <c r="K7" s="265">
        <f>IF(K6="","",-1*K6)</f>
        <v>-3037000</v>
      </c>
      <c r="L7" s="265">
        <f>IF(L6="","",-1*L6)</f>
        <v>-3358000</v>
      </c>
      <c r="N7" s="265">
        <f>IF(N6="","",-1*N6)</f>
        <v>-3439000</v>
      </c>
      <c r="O7" s="265">
        <f>IF(O6="","",-1*O6)</f>
        <v>-3730000</v>
      </c>
      <c r="P7" s="265">
        <f>IF(P6="","",-1*P6)</f>
        <v>-3610000</v>
      </c>
      <c r="Q7" s="265">
        <f>IF(Q6="","",-1*Q6)</f>
        <v>-3740000</v>
      </c>
      <c r="S7" s="265">
        <f>IF(S6="","",-1*S6)</f>
        <v>-3869000</v>
      </c>
      <c r="T7" s="265">
        <f>IF(T6="","",-1*T6)</f>
        <v>-3924000</v>
      </c>
      <c r="U7" s="265">
        <f>IF(U6="","",-1*U6)</f>
        <v>-3906000</v>
      </c>
      <c r="V7" s="265">
        <f>IF(V6="","",-1*V6)</f>
        <v>-4085000</v>
      </c>
      <c r="X7" s="265">
        <f>IF(X6="","",-1*X6)</f>
        <v>-4195000</v>
      </c>
      <c r="Y7" s="265">
        <f>IF(Y6="","",-1*Y6)</f>
        <v>-4741000</v>
      </c>
      <c r="Z7" s="265">
        <f>IF(Z6="","",-1*Z6)</f>
        <v>-4884000</v>
      </c>
      <c r="AA7" s="265">
        <f>IF(AA6="","",-1*AA6)</f>
        <v>-5374000</v>
      </c>
      <c r="AC7" s="265">
        <f>IF(AC6="","",-1*AC6)</f>
        <v>-6092000</v>
      </c>
      <c r="AD7" s="265">
        <f>IF(AD6="","",-1*AD6)</f>
        <v>-6671000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3878000</v>
      </c>
      <c r="E8" s="265" t="n">
        <v>4541000</v>
      </c>
      <c r="F8" s="265" t="n">
        <v>3427000</v>
      </c>
      <c r="G8" s="265" t="n">
        <v>-824000</v>
      </c>
      <c r="I8" s="265" t="n">
        <v>3822000</v>
      </c>
      <c r="J8" s="265" t="n">
        <v>4502000</v>
      </c>
      <c r="K8" s="265" t="n">
        <v>2623000</v>
      </c>
      <c r="L8" s="265" t="n">
        <v>3071000</v>
      </c>
      <c r="N8" s="265" t="n">
        <v>3260000</v>
      </c>
      <c r="O8" s="265" t="n">
        <v>4140000</v>
      </c>
      <c r="P8" s="265" t="n">
        <v>3296000</v>
      </c>
      <c r="Q8" s="265" t="n">
        <v>3622000</v>
      </c>
      <c r="S8" s="265" t="n">
        <v>3750000</v>
      </c>
      <c r="T8" s="265" t="n">
        <v>4686000</v>
      </c>
      <c r="U8" s="265" t="n">
        <v>3991000</v>
      </c>
      <c r="V8" s="265" t="n">
        <v>4220000</v>
      </c>
      <c r="X8" s="265" t="n">
        <v>4358000</v>
      </c>
      <c r="Y8" s="265" t="n">
        <v>5109000</v>
      </c>
      <c r="Z8" s="265" t="n">
        <v>4277000</v>
      </c>
      <c r="AA8" s="265" t="n">
        <v>4731000</v>
      </c>
      <c r="AC8" s="265" t="n">
        <v>5464000</v>
      </c>
      <c r="AD8" s="265" t="n">
        <v>6133000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4292000</v>
      </c>
      <c r="E9" s="265">
        <f>N(E5)-N(E6)-N(E8)</f>
        <v>4564000</v>
      </c>
      <c r="F9" s="265">
        <f>N(F5)-N(F6)-N(F8)</f>
        <v>4198000</v>
      </c>
      <c r="G9" s="265">
        <f>N(G5)-N(G6)-N(G8)</f>
        <v>9025000</v>
      </c>
      <c r="I9" s="265">
        <f>N(I5)-N(I6)-N(I8)</f>
        <v>4473000</v>
      </c>
      <c r="J9" s="265">
        <f>N(J5)-N(J6)-N(J8)</f>
        <v>4941000</v>
      </c>
      <c r="K9" s="265">
        <f>N(K5)-N(K6)-N(K8)</f>
        <v>5785000</v>
      </c>
      <c r="L9" s="265">
        <f>N(L5)-N(L6)-N(L8)</f>
        <v>5846000</v>
      </c>
      <c r="N9" s="265">
        <f>N(N5)-N(N6)-N(N8)</f>
        <v>5699000</v>
      </c>
      <c r="O9" s="265">
        <f>N(O5)-N(O6)-N(O8)</f>
        <v>5966000</v>
      </c>
      <c r="P9" s="265">
        <f>N(P5)-N(P6)-N(P8)</f>
        <v>5547000</v>
      </c>
      <c r="Q9" s="265">
        <f>N(Q5)-N(Q6)-N(Q8)</f>
        <v>5579000</v>
      </c>
      <c r="S9" s="265">
        <f>N(S5)-N(S6)-N(S8)</f>
        <v>5661000</v>
      </c>
      <c r="T9" s="265">
        <f>N(T5)-N(T6)-N(T8)</f>
        <v>5677000</v>
      </c>
      <c r="U9" s="265">
        <f>N(U5)-N(U6)-N(U8)</f>
        <v>5410000</v>
      </c>
      <c r="V9" s="265">
        <f>N(V5)-N(V6)-N(V8)</f>
        <v>5754000</v>
      </c>
      <c r="X9" s="265">
        <f>N(X5)-N(X6)-N(X8)</f>
        <v>5577000</v>
      </c>
      <c r="Y9" s="265">
        <f>N(Y5)-N(Y6)-N(Y8)</f>
        <v>6053000</v>
      </c>
      <c r="Z9" s="265">
        <f>N(Z5)-N(Z6)-N(Z8)</f>
        <v>5765000</v>
      </c>
      <c r="AA9" s="265">
        <f>N(AA5)-N(AA6)-N(AA8)</f>
        <v>5953000</v>
      </c>
      <c r="AC9" s="265">
        <f>N(AC5)-N(AC6)-N(AC8)</f>
        <v>5634000</v>
      </c>
      <c r="AD9" s="265">
        <f>N(AD5)-N(AD6)-N(AD8)</f>
        <v>6380000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-4292000</v>
      </c>
      <c r="E10" s="265">
        <f>IF(E9="","",-1*E9)</f>
        <v>-4564000</v>
      </c>
      <c r="F10" s="265">
        <f>IF(F9="","",-1*F9)</f>
        <v>-4198000</v>
      </c>
      <c r="G10" s="265">
        <f>IF(G9="","",-1*G9)</f>
        <v>-9025000</v>
      </c>
      <c r="I10" s="265">
        <f>IF(I9="","",-1*I9)</f>
        <v>-4473000</v>
      </c>
      <c r="J10" s="265">
        <f>IF(J9="","",-1*J9)</f>
        <v>-4941000</v>
      </c>
      <c r="K10" s="265">
        <f>IF(K9="","",-1*K9)</f>
        <v>-5785000</v>
      </c>
      <c r="L10" s="265">
        <f>IF(L9="","",-1*L9)</f>
        <v>-5846000</v>
      </c>
      <c r="N10" s="265">
        <f>IF(N9="","",-1*N9)</f>
        <v>-5699000</v>
      </c>
      <c r="O10" s="265">
        <f>IF(O9="","",-1*O9)</f>
        <v>-5966000</v>
      </c>
      <c r="P10" s="265">
        <f>IF(P9="","",-1*P9)</f>
        <v>-5547000</v>
      </c>
      <c r="Q10" s="265">
        <f>IF(Q9="","",-1*Q9)</f>
        <v>-5579000</v>
      </c>
      <c r="S10" s="265">
        <f>IF(S9="","",-1*S9)</f>
        <v>-5661000</v>
      </c>
      <c r="T10" s="265">
        <f>IF(T9="","",-1*T9)</f>
        <v>-5677000</v>
      </c>
      <c r="U10" s="265">
        <f>IF(U9="","",-1*U9)</f>
        <v>-5410000</v>
      </c>
      <c r="V10" s="265">
        <f>IF(V9="","",-1*V9)</f>
        <v>-5754000</v>
      </c>
      <c r="X10" s="265">
        <f>IF(X9="","",-1*X9)</f>
        <v>-5577000</v>
      </c>
      <c r="Y10" s="265">
        <f>IF(Y9="","",-1*Y9)</f>
        <v>-6053000</v>
      </c>
      <c r="Z10" s="265">
        <f>IF(Z9="","",-1*Z9)</f>
        <v>-5765000</v>
      </c>
      <c r="AA10" s="265">
        <f>IF(AA9="","",-1*AA9)</f>
        <v>-5953000</v>
      </c>
      <c r="AC10" s="265">
        <f>IF(AC9="","",-1*AC9)</f>
        <v>-5634000</v>
      </c>
      <c r="AD10" s="265">
        <f>IF(AD9="","",-1*AD9)</f>
        <v>-6380000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3276000</v>
      </c>
      <c r="E11" s="265" t="n">
        <v>4156000</v>
      </c>
      <c r="F11" s="265" t="n">
        <v>2681000</v>
      </c>
      <c r="G11" s="265" t="n">
        <v>-1496000</v>
      </c>
      <c r="I11" s="265" t="n">
        <v>2840000</v>
      </c>
      <c r="J11" s="265" t="n">
        <v>3624000</v>
      </c>
      <c r="K11" s="265" t="n">
        <v>1656000</v>
      </c>
      <c r="L11" s="265" t="n">
        <v>2144000</v>
      </c>
      <c r="N11" s="265" t="n">
        <v>2218000</v>
      </c>
      <c r="O11" s="265" t="n">
        <v>3109000</v>
      </c>
      <c r="P11" s="265" t="n">
        <v>2375000</v>
      </c>
      <c r="Q11" s="265" t="n">
        <v>2720000</v>
      </c>
      <c r="S11" s="265" t="n">
        <v>2865000</v>
      </c>
      <c r="T11" s="265" t="n">
        <v>3782000</v>
      </c>
      <c r="U11" s="265" t="n">
        <v>3169000</v>
      </c>
      <c r="V11" s="265" t="n">
        <v>3390000</v>
      </c>
      <c r="X11" s="265" t="n">
        <v>3448000</v>
      </c>
      <c r="Y11" s="265" t="n">
        <v>4152000</v>
      </c>
      <c r="Z11" s="265" t="n">
        <v>3427000</v>
      </c>
      <c r="AA11" s="265" t="n">
        <v>6342000</v>
      </c>
      <c r="AC11" s="265" t="n">
        <v>4416000</v>
      </c>
      <c r="AD11" s="265" t="n">
        <v>5369000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-602000</v>
      </c>
      <c r="E12" s="265">
        <f>N(E11)-N(E8)</f>
        <v>-385000</v>
      </c>
      <c r="F12" s="265">
        <f>N(F11)-N(F8)</f>
        <v>-746000</v>
      </c>
      <c r="G12" s="265">
        <f>N(G11)-N(G8)</f>
        <v>-672000</v>
      </c>
      <c r="I12" s="265">
        <f>N(I11)-N(I8)</f>
        <v>-982000</v>
      </c>
      <c r="J12" s="265">
        <f>N(J11)-N(J8)</f>
        <v>-878000</v>
      </c>
      <c r="K12" s="265">
        <f>N(K11)-N(K8)</f>
        <v>-967000</v>
      </c>
      <c r="L12" s="265">
        <f>N(L11)-N(L8)</f>
        <v>-927000</v>
      </c>
      <c r="N12" s="265">
        <f>N(N11)-N(N8)</f>
        <v>-1042000</v>
      </c>
      <c r="O12" s="265">
        <f>N(O11)-N(O8)</f>
        <v>-1031000</v>
      </c>
      <c r="P12" s="265">
        <f>N(P11)-N(P8)</f>
        <v>-921000</v>
      </c>
      <c r="Q12" s="265">
        <f>N(Q11)-N(Q8)</f>
        <v>-902000</v>
      </c>
      <c r="S12" s="265">
        <f>N(S11)-N(S8)</f>
        <v>-885000</v>
      </c>
      <c r="T12" s="265">
        <f>N(T11)-N(T8)</f>
        <v>-904000</v>
      </c>
      <c r="U12" s="265">
        <f>N(U11)-N(U8)</f>
        <v>-822000</v>
      </c>
      <c r="V12" s="265">
        <f>N(V11)-N(V8)</f>
        <v>-830000</v>
      </c>
      <c r="X12" s="265">
        <f>N(X11)-N(X8)</f>
        <v>-910000</v>
      </c>
      <c r="Y12" s="265">
        <f>N(Y11)-N(Y8)</f>
        <v>-957000</v>
      </c>
      <c r="Z12" s="265">
        <f>N(Z11)-N(Z8)</f>
        <v>-850000</v>
      </c>
      <c r="AA12" s="265">
        <f>N(AA11)-N(AA8)</f>
        <v>1611000</v>
      </c>
      <c r="AC12" s="265">
        <f>N(AC11)-N(AC8)</f>
        <v>-1048000</v>
      </c>
      <c r="AD12" s="265">
        <f>N(AD11)-N(AD8)</f>
        <v>-764000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585000</v>
      </c>
      <c r="E13" s="265" t="n">
        <v>697000</v>
      </c>
      <c r="F13" s="265" t="n">
        <v>705000</v>
      </c>
      <c r="G13" s="265" t="n">
        <v>679000</v>
      </c>
      <c r="I13" s="265" t="n">
        <v>667000</v>
      </c>
      <c r="J13" s="265" t="n">
        <v>704000</v>
      </c>
      <c r="K13" s="265" t="n">
        <v>787000</v>
      </c>
      <c r="L13" s="265" t="n">
        <v>856000</v>
      </c>
      <c r="N13" s="265" t="n">
        <v>908000</v>
      </c>
      <c r="O13" s="265" t="n">
        <v>955000</v>
      </c>
      <c r="P13" s="265" t="n">
        <v>872000</v>
      </c>
      <c r="Q13" s="265" t="n">
        <v>888000</v>
      </c>
      <c r="S13" s="265" t="n">
        <v>876000</v>
      </c>
      <c r="T13" s="265" t="n">
        <v>878000</v>
      </c>
      <c r="U13" s="265" t="n">
        <v>842000</v>
      </c>
      <c r="V13" s="265" t="n">
        <v>866000</v>
      </c>
      <c r="X13" s="265" t="n">
        <v>892000</v>
      </c>
      <c r="Y13" s="265" t="n">
        <v>978000</v>
      </c>
      <c r="Z13" s="265" t="n">
        <v>923000</v>
      </c>
      <c r="AA13" s="265" t="n">
        <v>1057000</v>
      </c>
      <c r="AC13" s="265" t="n">
        <v>1180000</v>
      </c>
      <c r="AD13" s="265" t="n">
        <v>1439000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-585000</v>
      </c>
      <c r="E14" s="265">
        <f>IF(E13="","",-1*E13)</f>
        <v>-697000</v>
      </c>
      <c r="F14" s="265">
        <f>IF(F13="","",-1*F13)</f>
        <v>-705000</v>
      </c>
      <c r="G14" s="265">
        <f>IF(G13="","",-1*G13)</f>
        <v>-679000</v>
      </c>
      <c r="I14" s="265">
        <f>IF(I13="","",-1*I13)</f>
        <v>-667000</v>
      </c>
      <c r="J14" s="265">
        <f>IF(J13="","",-1*J13)</f>
        <v>-704000</v>
      </c>
      <c r="K14" s="265">
        <f>IF(K13="","",-1*K13)</f>
        <v>-787000</v>
      </c>
      <c r="L14" s="265">
        <f>IF(L13="","",-1*L13)</f>
        <v>-856000</v>
      </c>
      <c r="N14" s="265">
        <f>IF(N13="","",-1*N13)</f>
        <v>-908000</v>
      </c>
      <c r="O14" s="265">
        <f>IF(O13="","",-1*O13)</f>
        <v>-955000</v>
      </c>
      <c r="P14" s="265">
        <f>IF(P13="","",-1*P13)</f>
        <v>-872000</v>
      </c>
      <c r="Q14" s="265">
        <f>IF(Q13="","",-1*Q13)</f>
        <v>-888000</v>
      </c>
      <c r="S14" s="265">
        <f>IF(S13="","",-1*S13)</f>
        <v>-876000</v>
      </c>
      <c r="T14" s="265">
        <f>IF(T13="","",-1*T13)</f>
        <v>-878000</v>
      </c>
      <c r="U14" s="265">
        <f>IF(U13="","",-1*U13)</f>
        <v>-842000</v>
      </c>
      <c r="V14" s="265">
        <f>IF(V13="","",-1*V13)</f>
        <v>-866000</v>
      </c>
      <c r="X14" s="265">
        <f>IF(X13="","",-1*X13)</f>
        <v>-892000</v>
      </c>
      <c r="Y14" s="265">
        <f>IF(Y13="","",-1*Y13)</f>
        <v>-978000</v>
      </c>
      <c r="Z14" s="265">
        <f>IF(Z13="","",-1*Z13)</f>
        <v>-923000</v>
      </c>
      <c r="AA14" s="265">
        <f>IF(AA13="","",-1*AA13)</f>
        <v>-1057000</v>
      </c>
      <c r="AC14" s="265">
        <f>IF(AC13="","",-1*AC13)</f>
        <v>-1180000</v>
      </c>
      <c r="AD14" s="265">
        <f>IF(AD13="","",-1*AD13)</f>
        <v>-1439000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585000</v>
      </c>
      <c r="E15" s="265">
        <f>IF(E13="","",E13)</f>
        <v>697000</v>
      </c>
      <c r="F15" s="265">
        <f>IF(F13="","",F13)</f>
        <v>705000</v>
      </c>
      <c r="G15" s="265">
        <f>IF(G13="","",G13)</f>
        <v>679000</v>
      </c>
      <c r="I15" s="265">
        <f>IF(I13="","",I13)</f>
        <v>667000</v>
      </c>
      <c r="J15" s="265">
        <f>IF(J13="","",J13)</f>
        <v>704000</v>
      </c>
      <c r="K15" s="265">
        <f>IF(K13="","",K13)</f>
        <v>787000</v>
      </c>
      <c r="L15" s="265">
        <f>IF(L13="","",L13)</f>
        <v>856000</v>
      </c>
      <c r="N15" s="265">
        <f>IF(N13="","",N13)</f>
        <v>908000</v>
      </c>
      <c r="O15" s="265">
        <f>IF(O13="","",O13)</f>
        <v>955000</v>
      </c>
      <c r="P15" s="265">
        <f>IF(P13="","",P13)</f>
        <v>872000</v>
      </c>
      <c r="Q15" s="265">
        <f>IF(Q13="","",Q13)</f>
        <v>888000</v>
      </c>
      <c r="S15" s="265">
        <f>IF(S13="","",S13)</f>
        <v>876000</v>
      </c>
      <c r="T15" s="265">
        <f>IF(T13="","",T13)</f>
        <v>878000</v>
      </c>
      <c r="U15" s="265">
        <f>IF(U13="","",U13)</f>
        <v>842000</v>
      </c>
      <c r="V15" s="265">
        <f>IF(V13="","",V13)</f>
        <v>866000</v>
      </c>
      <c r="X15" s="265">
        <f>IF(X13="","",X13)</f>
        <v>892000</v>
      </c>
      <c r="Y15" s="265">
        <f>IF(Y13="","",Y13)</f>
        <v>978000</v>
      </c>
      <c r="Z15" s="265">
        <f>IF(Z13="","",Z13)</f>
        <v>923000</v>
      </c>
      <c r="AA15" s="265">
        <f>IF(AA13="","",AA13)</f>
        <v>1057000</v>
      </c>
      <c r="AC15" s="265">
        <f>IF(AC13="","",AC13)</f>
        <v>1180000</v>
      </c>
      <c r="AD15" s="265">
        <f>IF(AD13="","",AD13)</f>
        <v>1439000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-1745000</v>
      </c>
      <c r="E16" s="265" t="n">
        <v>124000</v>
      </c>
      <c r="F16" s="265" t="n">
        <v>224000</v>
      </c>
      <c r="G16" s="265" t="n">
        <v>-249000</v>
      </c>
      <c r="I16" s="265" t="n">
        <v>521000</v>
      </c>
      <c r="J16" s="265" t="n">
        <v>435000</v>
      </c>
      <c r="K16" s="265" t="n">
        <v>108000</v>
      </c>
      <c r="L16" s="265" t="n">
        <v>403000</v>
      </c>
      <c r="N16" s="265" t="n">
        <v>322000</v>
      </c>
      <c r="O16" s="265" t="n">
        <v>-210000</v>
      </c>
      <c r="P16" s="265" t="n">
        <v>-45000</v>
      </c>
      <c r="Q16" s="265" t="n">
        <v>217000</v>
      </c>
      <c r="S16" s="265" t="n">
        <v>464000</v>
      </c>
      <c r="T16" s="265" t="n">
        <v>638000</v>
      </c>
      <c r="U16" s="265" t="n">
        <v>240000</v>
      </c>
      <c r="V16" s="265" t="n">
        <v>239000</v>
      </c>
      <c r="X16" s="265" t="n">
        <v>512000</v>
      </c>
      <c r="Y16" s="265" t="n">
        <v>725000</v>
      </c>
      <c r="Z16" s="265" t="n">
        <v>500000</v>
      </c>
      <c r="AA16" s="265" t="n">
        <v>207000</v>
      </c>
      <c r="AC16" s="265" t="n">
        <v>695000</v>
      </c>
      <c r="AD16" s="265" t="n">
        <v>1065000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1745000</v>
      </c>
      <c r="E17" s="265">
        <f>IF(E16="","",-1*E16)</f>
        <v>-124000</v>
      </c>
      <c r="F17" s="265">
        <f>IF(F16="","",-1*F16)</f>
        <v>-224000</v>
      </c>
      <c r="G17" s="265">
        <f>IF(G16="","",-1*G16)</f>
        <v>249000</v>
      </c>
      <c r="I17" s="265">
        <f>IF(I16="","",-1*I16)</f>
        <v>-521000</v>
      </c>
      <c r="J17" s="265">
        <f>IF(J16="","",-1*J16)</f>
        <v>-435000</v>
      </c>
      <c r="K17" s="265">
        <f>IF(K16="","",-1*K16)</f>
        <v>-108000</v>
      </c>
      <c r="L17" s="265">
        <f>IF(L16="","",-1*L16)</f>
        <v>-403000</v>
      </c>
      <c r="N17" s="265">
        <f>IF(N16="","",-1*N16)</f>
        <v>-322000</v>
      </c>
      <c r="O17" s="265">
        <f>IF(O16="","",-1*O16)</f>
        <v>210000</v>
      </c>
      <c r="P17" s="265">
        <f>IF(P16="","",-1*P16)</f>
        <v>45000</v>
      </c>
      <c r="Q17" s="265">
        <f>IF(Q16="","",-1*Q16)</f>
        <v>-217000</v>
      </c>
      <c r="S17" s="265">
        <f>IF(S16="","",-1*S16)</f>
        <v>-464000</v>
      </c>
      <c r="T17" s="265">
        <f>IF(T16="","",-1*T16)</f>
        <v>-638000</v>
      </c>
      <c r="U17" s="265">
        <f>IF(U16="","",-1*U16)</f>
        <v>-240000</v>
      </c>
      <c r="V17" s="265">
        <f>IF(V16="","",-1*V16)</f>
        <v>-239000</v>
      </c>
      <c r="X17" s="265">
        <f>IF(X16="","",-1*X16)</f>
        <v>-512000</v>
      </c>
      <c r="Y17" s="265">
        <f>IF(Y16="","",-1*Y16)</f>
        <v>-725000</v>
      </c>
      <c r="Z17" s="265">
        <f>IF(Z16="","",-1*Z16)</f>
        <v>-500000</v>
      </c>
      <c r="AA17" s="265">
        <f>IF(AA16="","",-1*AA16)</f>
        <v>-207000</v>
      </c>
      <c r="AC17" s="265">
        <f>IF(AC16="","",-1*AC16)</f>
        <v>-695000</v>
      </c>
      <c r="AD17" s="265">
        <f>IF(AD16="","",-1*AD16)</f>
        <v>-1065000</v>
      </c>
    </row>
    <row r="18">
      <c r="A18" t="inlineStr">
        <is>
          <t>Lucro líquido atribuído à companhia [us-gaap:NetIncomeLoss] · memoria · unid. moeda</t>
        </is>
      </c>
      <c r="C18" t="inlineStr">
        <is>
          <t>[linha bruta, sem código; lançada nas linhas abaixo]</t>
        </is>
      </c>
      <c r="D18" s="265" t="n">
        <v>5021000</v>
      </c>
      <c r="E18" s="265" t="n">
        <v>4032000</v>
      </c>
      <c r="F18" s="265" t="n">
        <v>2457000</v>
      </c>
      <c r="G18" s="265" t="n">
        <v>-1247000</v>
      </c>
      <c r="I18" s="265" t="n">
        <v>2319000</v>
      </c>
      <c r="J18" s="265" t="n">
        <v>3189000</v>
      </c>
      <c r="K18" s="265" t="n">
        <v>1548000</v>
      </c>
      <c r="L18" s="265" t="n">
        <v>1741000</v>
      </c>
      <c r="N18" s="265" t="n">
        <v>1896000</v>
      </c>
      <c r="O18" s="265" t="n">
        <v>3319000</v>
      </c>
      <c r="P18" s="265" t="n">
        <v>2420000</v>
      </c>
      <c r="Q18" s="265" t="n">
        <v>2503000</v>
      </c>
      <c r="S18" s="265" t="n">
        <v>2401000</v>
      </c>
      <c r="T18" s="265" t="n">
        <v>3144000</v>
      </c>
      <c r="U18" s="265" t="n">
        <v>2929000</v>
      </c>
      <c r="V18" s="265" t="n">
        <v>3151000</v>
      </c>
      <c r="X18" s="265" t="n">
        <v>2936000</v>
      </c>
      <c r="Y18" s="265" t="n">
        <v>3427000</v>
      </c>
      <c r="Z18" s="265" t="n">
        <v>2927000</v>
      </c>
      <c r="AA18" s="265" t="n">
        <v>6135000</v>
      </c>
      <c r="AC18" s="265" t="n">
        <v>3721000</v>
      </c>
      <c r="AD18" s="265" t="n">
        <v>4304000</v>
      </c>
    </row>
    <row r="19">
      <c r="A19" t="inlineStr">
        <is>
          <t>Resultado após IR não classificado acima (equivalência patrimonial, operações descontinuadas): lucro - (LAIR - IR - minoritários); zero quando não há · derivada · unid. moeda</t>
        </is>
      </c>
      <c r="B19" t="n">
        <v>8</v>
      </c>
      <c r="C19" t="inlineStr">
        <is>
          <t>Equity in Income of Affiliates, after tax (enter as +)</t>
        </is>
      </c>
      <c r="D19" s="265">
        <f>N(D18)-(N(D11)-N(D16)-0)</f>
        <v>0</v>
      </c>
      <c r="E19" s="265">
        <f>N(E18)-(N(E11)-N(E16)-0)</f>
        <v>0</v>
      </c>
      <c r="F19" s="265">
        <f>N(F18)-(N(F11)-N(F16)-0)</f>
        <v>0</v>
      </c>
      <c r="G19" s="265">
        <f>N(G18)-(N(G11)-N(G16)-0)</f>
        <v>0</v>
      </c>
      <c r="I19" s="265">
        <f>N(I18)-(N(I11)-N(I16)-0)</f>
        <v>0</v>
      </c>
      <c r="J19" s="265">
        <f>N(J18)-(N(J11)-N(J16)-0)</f>
        <v>0</v>
      </c>
      <c r="K19" s="265">
        <f>N(K18)-(N(K11)-N(K16)-0)</f>
        <v>0</v>
      </c>
      <c r="L19" s="265">
        <f>N(L18)-(N(L11)-N(L16)-0)</f>
        <v>0</v>
      </c>
      <c r="N19" s="265">
        <f>N(N18)-(N(N11)-N(N16)-0)</f>
        <v>0</v>
      </c>
      <c r="O19" s="265">
        <f>N(O18)-(N(O11)-N(O16)-0)</f>
        <v>0</v>
      </c>
      <c r="P19" s="265">
        <f>N(P18)-(N(P11)-N(P16)-0)</f>
        <v>0</v>
      </c>
      <c r="Q19" s="265">
        <f>N(Q18)-(N(Q11)-N(Q16)-0)</f>
        <v>0</v>
      </c>
      <c r="S19" s="265">
        <f>N(S18)-(N(S11)-N(S16)-0)</f>
        <v>0</v>
      </c>
      <c r="T19" s="265">
        <f>N(T18)-(N(T11)-N(T16)-0)</f>
        <v>0</v>
      </c>
      <c r="U19" s="265">
        <f>N(U18)-(N(U11)-N(U16)-0)</f>
        <v>0</v>
      </c>
      <c r="V19" s="265">
        <f>N(V18)-(N(V11)-N(V16)-0)</f>
        <v>0</v>
      </c>
      <c r="X19" s="265">
        <f>N(X18)-(N(X11)-N(X16)-0)</f>
        <v>0</v>
      </c>
      <c r="Y19" s="265">
        <f>N(Y18)-(N(Y11)-N(Y16)-0)</f>
        <v>0</v>
      </c>
      <c r="Z19" s="265">
        <f>N(Z18)-(N(Z11)-N(Z16)-0)</f>
        <v>0</v>
      </c>
      <c r="AA19" s="265">
        <f>N(AA18)-(N(AA11)-N(AA16)-0)</f>
        <v>0</v>
      </c>
      <c r="AC19" s="265">
        <f>N(AC18)-(N(AC11)-N(AC16)-0)</f>
        <v>0</v>
      </c>
      <c r="AD19" s="265">
        <f>N(AD18)-(N(AD11)-N(AD16)-0)</f>
        <v>0</v>
      </c>
    </row>
    <row r="20">
      <c r="A20" t="inlineStr">
        <is>
          <t>Lucro líquido (check IS, código 44) · derivada · unid. moeda</t>
        </is>
      </c>
      <c r="B20" t="n">
        <v>44</v>
      </c>
      <c r="C20" t="inlineStr">
        <is>
          <t>Lucro líquido (check IS, código 44)</t>
        </is>
      </c>
      <c r="D20" s="265">
        <f>N(D18)</f>
        <v>5021000</v>
      </c>
      <c r="E20" s="265">
        <f>N(E18)</f>
        <v>4032000</v>
      </c>
      <c r="F20" s="265">
        <f>N(F18)</f>
        <v>2457000</v>
      </c>
      <c r="G20" s="265">
        <f>N(G18)</f>
        <v>-1247000</v>
      </c>
      <c r="I20" s="265">
        <f>N(I18)</f>
        <v>2319000</v>
      </c>
      <c r="J20" s="265">
        <f>N(J18)</f>
        <v>3189000</v>
      </c>
      <c r="K20" s="265">
        <f>N(K18)</f>
        <v>1548000</v>
      </c>
      <c r="L20" s="265">
        <f>N(L18)</f>
        <v>1741000</v>
      </c>
      <c r="N20" s="265">
        <f>N(N18)</f>
        <v>1896000</v>
      </c>
      <c r="O20" s="265">
        <f>N(O18)</f>
        <v>3319000</v>
      </c>
      <c r="P20" s="265">
        <f>N(P18)</f>
        <v>2420000</v>
      </c>
      <c r="Q20" s="265">
        <f>N(Q18)</f>
        <v>2503000</v>
      </c>
      <c r="S20" s="265">
        <f>N(S18)</f>
        <v>2401000</v>
      </c>
      <c r="T20" s="265">
        <f>N(T18)</f>
        <v>3144000</v>
      </c>
      <c r="U20" s="265">
        <f>N(U18)</f>
        <v>2929000</v>
      </c>
      <c r="V20" s="265">
        <f>N(V18)</f>
        <v>3151000</v>
      </c>
      <c r="X20" s="265">
        <f>N(X18)</f>
        <v>2936000</v>
      </c>
      <c r="Y20" s="265">
        <f>N(Y18)</f>
        <v>3427000</v>
      </c>
      <c r="Z20" s="265">
        <f>N(Z18)</f>
        <v>2927000</v>
      </c>
      <c r="AA20" s="265">
        <f>N(AA18)</f>
        <v>6135000</v>
      </c>
      <c r="AC20" s="265">
        <f>N(AC18)</f>
        <v>3721000</v>
      </c>
      <c r="AD20" s="265">
        <f>N(AD18)</f>
        <v>4304000</v>
      </c>
    </row>
    <row r="21">
      <c r="A21" t="inlineStr">
        <is>
          <t>DFC - trimestre isolado (desacumulado na extração)</t>
        </is>
      </c>
      <c r="C21" t="inlineStr">
        <is>
          <t>[linha bruta, sem código; lançada nas linhas abaixo]</t>
        </is>
      </c>
      <c r="D21" s="265" t="n"/>
      <c r="E21" s="265" t="n"/>
      <c r="F21" s="265" t="n"/>
      <c r="G21" s="265" t="n"/>
      <c r="I21" s="265" t="n"/>
      <c r="J21" s="265" t="n"/>
      <c r="K21" s="265" t="n"/>
      <c r="L21" s="265" t="n"/>
      <c r="N21" s="265" t="n"/>
      <c r="O21" s="265" t="n"/>
      <c r="P21" s="265" t="n"/>
      <c r="Q21" s="265" t="n"/>
      <c r="S21" s="265" t="n"/>
      <c r="T21" s="265" t="n"/>
      <c r="U21" s="265" t="n"/>
      <c r="V21" s="265" t="n"/>
      <c r="X21" s="265" t="n"/>
      <c r="Y21" s="265" t="n"/>
      <c r="Z21" s="265" t="n"/>
      <c r="AA21" s="265" t="n"/>
      <c r="AC21" s="265" t="n"/>
      <c r="AD21" s="265" t="n"/>
    </row>
    <row r="22">
      <c r="A22" t="inlineStr">
        <is>
          <t>D&amp;A (fluxo de caixa). COD1=4 lança (positivo -&gt; -1); COD2=3 devolve às despesas operacionais (a companhia não abre D&amp;A entre custo e despesa) [us-gaap:Depreciation+AmortizationOfIntangibleAssets] · fonte · unid. moeda</t>
        </is>
      </c>
      <c r="C22" t="inlineStr">
        <is>
          <t>[linha bruta, sem código; lançada nas linhas abaixo]</t>
        </is>
      </c>
      <c r="D22" s="265" t="n">
        <v>732000</v>
      </c>
      <c r="E22" s="265" t="n">
        <v>752000</v>
      </c>
      <c r="F22" s="265" t="n">
        <v>757000</v>
      </c>
      <c r="G22" s="265" t="n">
        <v>758000</v>
      </c>
      <c r="I22" s="265" t="n">
        <v>775000</v>
      </c>
      <c r="J22" s="265" t="n">
        <v>831000</v>
      </c>
      <c r="K22" s="265" t="n">
        <v>1466000</v>
      </c>
      <c r="L22" s="265" t="n">
        <v>1498000</v>
      </c>
      <c r="N22" s="265" t="n">
        <v>1558000</v>
      </c>
      <c r="O22" s="265" t="n">
        <v>1586000</v>
      </c>
      <c r="P22" s="265" t="n">
        <v>1475000</v>
      </c>
      <c r="Q22" s="265" t="n">
        <v>1553000</v>
      </c>
      <c r="S22" s="265" t="n">
        <v>1557000</v>
      </c>
      <c r="T22" s="265" t="n">
        <v>1554000</v>
      </c>
      <c r="U22" s="265" t="n">
        <v>1428000</v>
      </c>
      <c r="V22" s="265" t="n">
        <v>1499000</v>
      </c>
      <c r="X22" s="265" t="n">
        <v>1551000</v>
      </c>
      <c r="Y22" s="265" t="n">
        <v>1696000</v>
      </c>
      <c r="Z22" s="265" t="n">
        <v>1771000</v>
      </c>
      <c r="AA22" s="265" t="n">
        <v>2111000</v>
      </c>
      <c r="AC22" s="265" t="n">
        <v>2566000</v>
      </c>
      <c r="AD22" s="265" t="n">
        <v>2847000</v>
      </c>
    </row>
    <row r="23">
      <c r="A23" t="inlineStr">
        <is>
          <t>(lançamento) código 4, sinal -1 sobre a linha bruta 22: D&amp;A (fluxo de caixa). COD1=4 lança (positivo -&gt; -1); COD2=3 devolve às despesas operaciona</t>
        </is>
      </c>
      <c r="B23" t="n">
        <v>4</v>
      </c>
      <c r="C23" t="inlineStr">
        <is>
          <t>D&amp;A</t>
        </is>
      </c>
      <c r="D23" s="265">
        <f>IF(D22="","",-1*D22)</f>
        <v>-732000</v>
      </c>
      <c r="E23" s="265">
        <f>IF(E22="","",-1*E22)</f>
        <v>-752000</v>
      </c>
      <c r="F23" s="265">
        <f>IF(F22="","",-1*F22)</f>
        <v>-757000</v>
      </c>
      <c r="G23" s="265">
        <f>IF(G22="","",-1*G22)</f>
        <v>-758000</v>
      </c>
      <c r="I23" s="265">
        <f>IF(I22="","",-1*I22)</f>
        <v>-775000</v>
      </c>
      <c r="J23" s="265">
        <f>IF(J22="","",-1*J22)</f>
        <v>-831000</v>
      </c>
      <c r="K23" s="265">
        <f>IF(K22="","",-1*K22)</f>
        <v>-1466000</v>
      </c>
      <c r="L23" s="265">
        <f>IF(L22="","",-1*L22)</f>
        <v>-1498000</v>
      </c>
      <c r="N23" s="265">
        <f>IF(N22="","",-1*N22)</f>
        <v>-1558000</v>
      </c>
      <c r="O23" s="265">
        <f>IF(O22="","",-1*O22)</f>
        <v>-1586000</v>
      </c>
      <c r="P23" s="265">
        <f>IF(P22="","",-1*P22)</f>
        <v>-1475000</v>
      </c>
      <c r="Q23" s="265">
        <f>IF(Q22="","",-1*Q22)</f>
        <v>-1553000</v>
      </c>
      <c r="S23" s="265">
        <f>IF(S22="","",-1*S22)</f>
        <v>-1557000</v>
      </c>
      <c r="T23" s="265">
        <f>IF(T22="","",-1*T22)</f>
        <v>-1554000</v>
      </c>
      <c r="U23" s="265">
        <f>IF(U22="","",-1*U22)</f>
        <v>-1428000</v>
      </c>
      <c r="V23" s="265">
        <f>IF(V22="","",-1*V22)</f>
        <v>-1499000</v>
      </c>
      <c r="X23" s="265">
        <f>IF(X22="","",-1*X22)</f>
        <v>-1551000</v>
      </c>
      <c r="Y23" s="265">
        <f>IF(Y22="","",-1*Y22)</f>
        <v>-1696000</v>
      </c>
      <c r="Z23" s="265">
        <f>IF(Z22="","",-1*Z22)</f>
        <v>-1771000</v>
      </c>
      <c r="AA23" s="265">
        <f>IF(AA22="","",-1*AA22)</f>
        <v>-2111000</v>
      </c>
      <c r="AC23" s="265">
        <f>IF(AC22="","",-1*AC22)</f>
        <v>-2566000</v>
      </c>
      <c r="AD23" s="265">
        <f>IF(AD22="","",-1*AD22)</f>
        <v>-2847000</v>
      </c>
    </row>
    <row r="24">
      <c r="A24" t="inlineStr">
        <is>
          <t>(lançamento) código 3, sinal +1 sobre a linha bruta 22: D&amp;A (fluxo de caixa). COD1=4 lança (positivo -&gt; -1); COD2=3 devolve às despesas operaciona</t>
        </is>
      </c>
      <c r="B24" t="n">
        <v>3</v>
      </c>
      <c r="C24" t="inlineStr">
        <is>
          <t>SG&amp;A and Other (cash)</t>
        </is>
      </c>
      <c r="D24" s="265">
        <f>IF(D22="","",D22)</f>
        <v>732000</v>
      </c>
      <c r="E24" s="265">
        <f>IF(E22="","",E22)</f>
        <v>752000</v>
      </c>
      <c r="F24" s="265">
        <f>IF(F22="","",F22)</f>
        <v>757000</v>
      </c>
      <c r="G24" s="265">
        <f>IF(G22="","",G22)</f>
        <v>758000</v>
      </c>
      <c r="I24" s="265">
        <f>IF(I22="","",I22)</f>
        <v>775000</v>
      </c>
      <c r="J24" s="265">
        <f>IF(J22="","",J22)</f>
        <v>831000</v>
      </c>
      <c r="K24" s="265">
        <f>IF(K22="","",K22)</f>
        <v>1466000</v>
      </c>
      <c r="L24" s="265">
        <f>IF(L22="","",L22)</f>
        <v>1498000</v>
      </c>
      <c r="N24" s="265">
        <f>IF(N22="","",N22)</f>
        <v>1558000</v>
      </c>
      <c r="O24" s="265">
        <f>IF(O22="","",O22)</f>
        <v>1586000</v>
      </c>
      <c r="P24" s="265">
        <f>IF(P22="","",P22)</f>
        <v>1475000</v>
      </c>
      <c r="Q24" s="265">
        <f>IF(Q22="","",Q22)</f>
        <v>1553000</v>
      </c>
      <c r="S24" s="265">
        <f>IF(S22="","",S22)</f>
        <v>1557000</v>
      </c>
      <c r="T24" s="265">
        <f>IF(T22="","",T22)</f>
        <v>1554000</v>
      </c>
      <c r="U24" s="265">
        <f>IF(U22="","",U22)</f>
        <v>1428000</v>
      </c>
      <c r="V24" s="265">
        <f>IF(V22="","",V22)</f>
        <v>1499000</v>
      </c>
      <c r="X24" s="265">
        <f>IF(X22="","",X22)</f>
        <v>1551000</v>
      </c>
      <c r="Y24" s="265">
        <f>IF(Y22="","",Y22)</f>
        <v>1696000</v>
      </c>
      <c r="Z24" s="265">
        <f>IF(Z22="","",Z22)</f>
        <v>1771000</v>
      </c>
      <c r="AA24" s="265">
        <f>IF(AA22="","",AA22)</f>
        <v>2111000</v>
      </c>
      <c r="AC24" s="265">
        <f>IF(AC22="","",AC22)</f>
        <v>2566000</v>
      </c>
      <c r="AD24" s="265">
        <f>IF(AD22="","",AD22)</f>
        <v>2847000</v>
      </c>
    </row>
    <row r="25">
      <c r="A25" t="inlineStr">
        <is>
          <t>Dividendos pagos [us-gaap:PaymentsOfDividends] · fonte · unid. moeda</t>
        </is>
      </c>
      <c r="C25" t="inlineStr">
        <is>
          <t>[linha bruta, sem código; lançada nas linhas abaixo]</t>
        </is>
      </c>
      <c r="D25" s="265" t="n">
        <v>699000</v>
      </c>
      <c r="E25" s="265" t="n">
        <v>917000</v>
      </c>
      <c r="F25" s="265" t="n">
        <v>887000</v>
      </c>
      <c r="G25" s="265" t="n">
        <v>861000</v>
      </c>
      <c r="I25" s="265" t="n">
        <v>855000</v>
      </c>
      <c r="J25" s="265" t="n">
        <v>854000</v>
      </c>
      <c r="K25" s="265" t="n">
        <v>860000</v>
      </c>
      <c r="L25" s="265" t="n">
        <v>863000</v>
      </c>
      <c r="N25" s="265" t="n">
        <v>863000</v>
      </c>
      <c r="O25" s="265" t="n">
        <v>1082000</v>
      </c>
      <c r="P25" s="265" t="n">
        <v>1091000</v>
      </c>
      <c r="Q25" s="265" t="n">
        <v>1099000</v>
      </c>
      <c r="S25" s="265" t="n">
        <v>1099000</v>
      </c>
      <c r="T25" s="265" t="n">
        <v>1102000</v>
      </c>
      <c r="U25" s="265" t="n">
        <v>1103000</v>
      </c>
      <c r="V25" s="265" t="n">
        <v>1118000</v>
      </c>
      <c r="X25" s="265" t="n">
        <v>1119000</v>
      </c>
      <c r="Y25" s="265" t="n">
        <v>1403000</v>
      </c>
      <c r="Z25" s="265" t="n">
        <v>1413000</v>
      </c>
      <c r="AA25" s="265" t="n">
        <v>1435000</v>
      </c>
      <c r="AC25" s="265" t="n">
        <v>1437000</v>
      </c>
      <c r="AD25" s="265" t="n">
        <v>1502000</v>
      </c>
    </row>
    <row r="26">
      <c r="A26" t="inlineStr">
        <is>
          <t>(lançamento) código 10, sinal -1 sobre a linha bruta 25: Dividendos pagos [us-gaap:PaymentsOfDividends]</t>
        </is>
      </c>
      <c r="B26" t="n">
        <v>10</v>
      </c>
      <c r="C26" t="inlineStr">
        <is>
          <t>Common Dividends</t>
        </is>
      </c>
      <c r="D26" s="265">
        <f>IF(D25="","",-1*D25)</f>
        <v>-699000</v>
      </c>
      <c r="E26" s="265">
        <f>IF(E25="","",-1*E25)</f>
        <v>-917000</v>
      </c>
      <c r="F26" s="265">
        <f>IF(F25="","",-1*F25)</f>
        <v>-887000</v>
      </c>
      <c r="G26" s="265">
        <f>IF(G25="","",-1*G25)</f>
        <v>-861000</v>
      </c>
      <c r="I26" s="265">
        <f>IF(I25="","",-1*I25)</f>
        <v>-855000</v>
      </c>
      <c r="J26" s="265">
        <f>IF(J25="","",-1*J25)</f>
        <v>-854000</v>
      </c>
      <c r="K26" s="265">
        <f>IF(K25="","",-1*K25)</f>
        <v>-860000</v>
      </c>
      <c r="L26" s="265">
        <f>IF(L25="","",-1*L25)</f>
        <v>-863000</v>
      </c>
      <c r="N26" s="265">
        <f>IF(N25="","",-1*N25)</f>
        <v>-863000</v>
      </c>
      <c r="O26" s="265">
        <f>IF(O25="","",-1*O25)</f>
        <v>-1082000</v>
      </c>
      <c r="P26" s="265">
        <f>IF(P25="","",-1*P25)</f>
        <v>-1091000</v>
      </c>
      <c r="Q26" s="265">
        <f>IF(Q25="","",-1*Q25)</f>
        <v>-1099000</v>
      </c>
      <c r="S26" s="265">
        <f>IF(S25="","",-1*S25)</f>
        <v>-1099000</v>
      </c>
      <c r="T26" s="265">
        <f>IF(T25="","",-1*T25)</f>
        <v>-1102000</v>
      </c>
      <c r="U26" s="265">
        <f>IF(U25="","",-1*U25)</f>
        <v>-1103000</v>
      </c>
      <c r="V26" s="265">
        <f>IF(V25="","",-1*V25)</f>
        <v>-1118000</v>
      </c>
      <c r="X26" s="265">
        <f>IF(X25="","",-1*X25)</f>
        <v>-1119000</v>
      </c>
      <c r="Y26" s="265">
        <f>IF(Y25="","",-1*Y25)</f>
        <v>-1403000</v>
      </c>
      <c r="Z26" s="265">
        <f>IF(Z25="","",-1*Z25)</f>
        <v>-1413000</v>
      </c>
      <c r="AA26" s="265">
        <f>IF(AA25="","",-1*AA25)</f>
        <v>-1435000</v>
      </c>
      <c r="AC26" s="265">
        <f>IF(AC25="","",-1*AC25)</f>
        <v>-1437000</v>
      </c>
      <c r="AD26" s="265">
        <f>IF(AD25="","",-1*AD25)</f>
        <v>-1502000</v>
      </c>
    </row>
    <row r="27">
      <c r="A27" t="inlineStr">
        <is>
          <t>BALANÇO DE FACE (USD, saldo no fim do trimestre; cada trimestre lido da instância do próprio 10-Q/10-K)</t>
        </is>
      </c>
      <c r="C27" t="inlineStr">
        <is>
          <t>[linha bruta, sem código; lançada nas linhas abaixo]</t>
        </is>
      </c>
      <c r="D27" s="265" t="n"/>
      <c r="E27" s="265" t="n"/>
      <c r="F27" s="265" t="n"/>
      <c r="G27" s="265" t="n"/>
      <c r="I27" s="265" t="n"/>
      <c r="J27" s="265" t="n"/>
      <c r="K27" s="265" t="n"/>
      <c r="L27" s="265" t="n"/>
      <c r="N27" s="265" t="n"/>
      <c r="O27" s="265" t="n"/>
      <c r="P27" s="265" t="n"/>
      <c r="Q27" s="265" t="n"/>
      <c r="S27" s="265" t="n"/>
      <c r="T27" s="265" t="n"/>
      <c r="U27" s="265" t="n"/>
      <c r="V27" s="265" t="n"/>
      <c r="X27" s="265" t="n"/>
      <c r="Y27" s="265" t="n"/>
      <c r="Z27" s="265" t="n"/>
      <c r="AA27" s="265" t="n"/>
      <c r="AC27" s="265" t="n"/>
      <c r="AD27" s="265" t="n"/>
    </row>
    <row r="28">
      <c r="A28" t="inlineStr">
        <is>
          <t>CashAndCashEquivalentsAtCarryingValue · fonte · unid. moeda</t>
        </is>
      </c>
      <c r="B28" t="n">
        <v>11</v>
      </c>
      <c r="C28" t="inlineStr">
        <is>
          <t>Cash and equivalents (inc. investment securities)</t>
        </is>
      </c>
      <c r="D28" s="265" t="n">
        <v>22321000</v>
      </c>
      <c r="E28" s="265" t="n">
        <v>30098000</v>
      </c>
      <c r="F28" s="265" t="n">
        <v>23059000</v>
      </c>
      <c r="G28" s="265" t="n">
        <v>17938000</v>
      </c>
      <c r="I28" s="265" t="n">
        <v>22682000</v>
      </c>
      <c r="J28" s="265" t="n">
        <v>21383000</v>
      </c>
      <c r="K28" s="265" t="n">
        <v>10448000</v>
      </c>
      <c r="L28" s="265" t="n">
        <v>6813000</v>
      </c>
      <c r="N28" s="265" t="n">
        <v>8219000</v>
      </c>
      <c r="O28" s="265" t="n">
        <v>9765000</v>
      </c>
      <c r="P28" s="265" t="n">
        <v>11613000</v>
      </c>
      <c r="Q28" s="265" t="n">
        <v>8244000</v>
      </c>
      <c r="S28" s="265" t="n">
        <v>9481000</v>
      </c>
      <c r="T28" s="265" t="n">
        <v>10454000</v>
      </c>
      <c r="U28" s="265" t="n">
        <v>10616000</v>
      </c>
      <c r="V28" s="265" t="n">
        <v>10941000</v>
      </c>
      <c r="X28" s="265" t="n">
        <v>17406000</v>
      </c>
      <c r="Y28" s="265" t="n">
        <v>10786000</v>
      </c>
      <c r="Z28" s="265" t="n">
        <v>10445000</v>
      </c>
      <c r="AA28" s="265" t="n">
        <v>19241000</v>
      </c>
      <c r="AC28" s="265" t="n">
        <v>38455000</v>
      </c>
      <c r="AD28" s="265" t="n">
        <v>31289000</v>
      </c>
    </row>
    <row r="29">
      <c r="A29" t="inlineStr">
        <is>
          <t>AvailableForSaleSecuritiesDebtSecuritiesCurrent · fonte · unid. moeda</t>
        </is>
      </c>
      <c r="B29" t="n">
        <v>11</v>
      </c>
      <c r="C29" t="inlineStr">
        <is>
          <t>Cash and equivalents (inc. investment securities)</t>
        </is>
      </c>
      <c r="D29" s="265" t="n">
        <v>13543000</v>
      </c>
      <c r="E29" s="265" t="n">
        <v>16456000</v>
      </c>
      <c r="F29" s="265" t="n">
        <v>16251000</v>
      </c>
      <c r="G29" s="265" t="n">
        <v>4900000</v>
      </c>
      <c r="I29" s="265" t="n">
        <v>707000</v>
      </c>
      <c r="J29" s="265" t="n">
        <v>519000</v>
      </c>
      <c r="K29" s="265" t="n">
        <v>772000</v>
      </c>
      <c r="L29" s="265" t="n">
        <v>537000</v>
      </c>
      <c r="N29" s="265" t="n">
        <v>550000</v>
      </c>
      <c r="O29" s="265" t="n">
        <v>422000</v>
      </c>
      <c r="P29" s="265" t="n">
        <v>470000</v>
      </c>
      <c r="Q29" s="265" t="n">
        <v>446000</v>
      </c>
      <c r="S29" s="265" t="n">
        <v>423000</v>
      </c>
      <c r="T29" s="265" t="n">
        <v>207000</v>
      </c>
      <c r="U29" s="265" t="n">
        <v>295000</v>
      </c>
      <c r="V29" s="265" t="n">
        <v>370000</v>
      </c>
      <c r="X29" s="265" t="n">
        <v>417000</v>
      </c>
      <c r="Y29" s="265" t="n">
        <v>417000</v>
      </c>
      <c r="Z29" s="265" t="n">
        <v>560000</v>
      </c>
      <c r="AA29" s="265" t="n">
        <v>525000</v>
      </c>
      <c r="AC29" s="265" t="n">
        <v>677000</v>
      </c>
      <c r="AD29" s="265" t="n">
        <v>605000</v>
      </c>
    </row>
    <row r="30">
      <c r="A30" t="inlineStr">
        <is>
          <t>AccountsReceivableNetCurrent · fonte · unid. moeda</t>
        </is>
      </c>
      <c r="B30" t="n">
        <v>12</v>
      </c>
      <c r="C30" t="inlineStr">
        <is>
          <t>Accounts receivable</t>
        </is>
      </c>
      <c r="D30" s="265" t="n">
        <v>4637000</v>
      </c>
      <c r="E30" s="265" t="n">
        <v>5409000</v>
      </c>
      <c r="F30" s="265" t="n">
        <v>4482000</v>
      </c>
      <c r="G30" s="265" t="n">
        <v>4462000</v>
      </c>
      <c r="I30" s="265" t="n">
        <v>4588000</v>
      </c>
      <c r="J30" s="265" t="n">
        <v>5953000</v>
      </c>
      <c r="K30" s="265" t="n">
        <v>5937000</v>
      </c>
      <c r="L30" s="265" t="n">
        <v>6197000</v>
      </c>
      <c r="N30" s="265" t="n">
        <v>6213000</v>
      </c>
      <c r="O30" s="265" t="n">
        <v>6915000</v>
      </c>
      <c r="P30" s="265" t="n">
        <v>6519000</v>
      </c>
      <c r="Q30" s="265" t="n">
        <v>6804000</v>
      </c>
      <c r="S30" s="265" t="n">
        <v>7297000</v>
      </c>
      <c r="T30" s="265" t="n">
        <v>7874000</v>
      </c>
      <c r="U30" s="265" t="n">
        <v>8021000</v>
      </c>
      <c r="V30" s="265" t="n">
        <v>8177000</v>
      </c>
      <c r="X30" s="265" t="n">
        <v>8051000</v>
      </c>
      <c r="Y30" s="265" t="n">
        <v>8558000</v>
      </c>
      <c r="Z30" s="265" t="n">
        <v>8843000</v>
      </c>
      <c r="AA30" s="265" t="n">
        <v>9440000</v>
      </c>
      <c r="AC30" s="265" t="n">
        <v>10719000</v>
      </c>
      <c r="AD30" s="265" t="n">
        <v>10385000</v>
      </c>
    </row>
    <row r="31">
      <c r="A31" t="inlineStr">
        <is>
          <t>DeferredTaxAssetsNetNoncurrent · fonte · unid. moeda</t>
        </is>
      </c>
      <c r="B31" t="n">
        <v>14</v>
      </c>
      <c r="C31" t="inlineStr">
        <is>
          <t>Deferred income taxes</t>
        </is>
      </c>
      <c r="D31" s="265" t="n">
        <v>0</v>
      </c>
      <c r="E31" s="265" t="n">
        <v>0</v>
      </c>
      <c r="F31" s="265" t="n">
        <v>0</v>
      </c>
      <c r="G31" s="265" t="n">
        <v>0</v>
      </c>
      <c r="I31" s="265" t="n">
        <v>0</v>
      </c>
      <c r="J31" s="265" t="n">
        <v>0</v>
      </c>
      <c r="K31" s="265" t="n">
        <v>0</v>
      </c>
      <c r="L31" s="265" t="n">
        <v>0</v>
      </c>
      <c r="N31" s="265" t="n">
        <v>0</v>
      </c>
      <c r="O31" s="265" t="n">
        <v>0</v>
      </c>
      <c r="P31" s="265" t="n">
        <v>0</v>
      </c>
      <c r="Q31" s="265" t="n">
        <v>0</v>
      </c>
      <c r="S31" s="265" t="n">
        <v>0</v>
      </c>
      <c r="T31" s="265" t="n">
        <v>0</v>
      </c>
      <c r="U31" s="265" t="n">
        <v>0</v>
      </c>
      <c r="V31" s="265" t="n">
        <v>0</v>
      </c>
      <c r="X31" s="265" t="n">
        <v>0</v>
      </c>
      <c r="Y31" s="265" t="n">
        <v>0</v>
      </c>
      <c r="Z31" s="265" t="n">
        <v>0</v>
      </c>
      <c r="AA31" s="265" t="n">
        <v>0</v>
      </c>
      <c r="AC31" s="265" t="n">
        <v>0</v>
      </c>
      <c r="AD31" s="265" t="n">
        <v>0</v>
      </c>
    </row>
    <row r="32">
      <c r="A32" t="inlineStr">
        <is>
          <t>DeferredIncomeTaxAssetsNet · fonte · unid. moeda</t>
        </is>
      </c>
      <c r="B32" t="n">
        <v>14</v>
      </c>
      <c r="C32" t="inlineStr">
        <is>
          <t>Deferred income taxes</t>
        </is>
      </c>
      <c r="D32" s="265" t="n">
        <v>13725000</v>
      </c>
      <c r="E32" s="265" t="n">
        <v>13636000</v>
      </c>
      <c r="F32" s="265" t="n">
        <v>13391000</v>
      </c>
      <c r="G32" s="265" t="n">
        <v>13265000</v>
      </c>
      <c r="I32" s="265" t="n">
        <v>13109000</v>
      </c>
      <c r="J32" s="265" t="n">
        <v>12782000</v>
      </c>
      <c r="K32" s="265" t="n">
        <v>12065000</v>
      </c>
      <c r="L32" s="265" t="n">
        <v>12091000</v>
      </c>
      <c r="N32" s="265" t="n">
        <v>12153000</v>
      </c>
      <c r="O32" s="265" t="n">
        <v>12226000</v>
      </c>
      <c r="P32" s="265" t="n">
        <v>12243000</v>
      </c>
      <c r="Q32" s="265" t="n">
        <v>12758000</v>
      </c>
      <c r="S32" s="265" t="n">
        <v>12688000</v>
      </c>
      <c r="T32" s="265" t="n">
        <v>12273000</v>
      </c>
      <c r="U32" s="265" t="n">
        <v>12219000</v>
      </c>
      <c r="V32" s="265" t="n">
        <v>11984000</v>
      </c>
      <c r="X32" s="265" t="n">
        <v>11799000</v>
      </c>
      <c r="Y32" s="265" t="n">
        <v>11877000</v>
      </c>
      <c r="Z32" s="265" t="n">
        <v>11734000</v>
      </c>
      <c r="AA32" s="265" t="n">
        <v>11531000</v>
      </c>
      <c r="AC32" s="265" t="n">
        <v>11360000</v>
      </c>
      <c r="AD32" s="265" t="n">
        <v>11541000</v>
      </c>
    </row>
    <row r="33">
      <c r="A33" t="inlineStr">
        <is>
          <t>PrepaidExpenseAndOtherAssetsCurrent · fonte · unid. moeda</t>
        </is>
      </c>
      <c r="B33" t="n">
        <v>16</v>
      </c>
      <c r="C33" t="inlineStr">
        <is>
          <t>Other current assets</t>
        </is>
      </c>
      <c r="D33" s="265" t="n">
        <v>3243000</v>
      </c>
      <c r="E33" s="265" t="n">
        <v>3604000</v>
      </c>
      <c r="F33" s="265" t="n">
        <v>3325000</v>
      </c>
      <c r="G33" s="265" t="n">
        <v>3778000</v>
      </c>
      <c r="I33" s="265" t="n">
        <v>3698000</v>
      </c>
      <c r="J33" s="265" t="n">
        <v>3778000</v>
      </c>
      <c r="K33" s="265" t="n">
        <v>3847000</v>
      </c>
      <c r="L33" s="265" t="n">
        <v>4014000</v>
      </c>
      <c r="N33" s="265" t="n">
        <v>3714000</v>
      </c>
      <c r="O33" s="265" t="n">
        <v>3902000</v>
      </c>
      <c r="P33" s="265" t="n">
        <v>3564000</v>
      </c>
      <c r="Q33" s="265" t="n">
        <v>3795000</v>
      </c>
      <c r="S33" s="265" t="n">
        <v>3862000</v>
      </c>
      <c r="T33" s="265" t="n">
        <v>4019000</v>
      </c>
      <c r="U33" s="265" t="n">
        <v>4140000</v>
      </c>
      <c r="V33" s="265" t="n">
        <v>4015000</v>
      </c>
      <c r="X33" s="265" t="n">
        <v>4242000</v>
      </c>
      <c r="Y33" s="265" t="n">
        <v>4818000</v>
      </c>
      <c r="Z33" s="265" t="n">
        <v>4786000</v>
      </c>
      <c r="AA33" s="265" t="n">
        <v>5160000</v>
      </c>
      <c r="AC33" s="265" t="n">
        <v>5023000</v>
      </c>
      <c r="AD33" s="265" t="n">
        <v>4288000</v>
      </c>
    </row>
    <row r="34">
      <c r="A34" t="inlineStr">
        <is>
          <t>PropertyPlantAndEquipmentNet · fonte · unid. moeda</t>
        </is>
      </c>
      <c r="B34" t="n">
        <v>18</v>
      </c>
      <c r="C34" t="inlineStr">
        <is>
          <t>PP&amp;E</t>
        </is>
      </c>
      <c r="D34" s="265" t="n">
        <v>6816000</v>
      </c>
      <c r="E34" s="265" t="n">
        <v>7049000</v>
      </c>
      <c r="F34" s="265" t="n">
        <v>7610000</v>
      </c>
      <c r="G34" s="265" t="n">
        <v>8029000</v>
      </c>
      <c r="I34" s="265" t="n">
        <v>8609000</v>
      </c>
      <c r="J34" s="265" t="n">
        <v>9716000</v>
      </c>
      <c r="K34" s="265" t="n">
        <v>12280000</v>
      </c>
      <c r="L34" s="265" t="n">
        <v>14351000</v>
      </c>
      <c r="N34" s="265" t="n">
        <v>16345000</v>
      </c>
      <c r="O34" s="265" t="n">
        <v>17069000</v>
      </c>
      <c r="P34" s="265" t="n">
        <v>17644000</v>
      </c>
      <c r="Q34" s="265" t="n">
        <v>18009000</v>
      </c>
      <c r="S34" s="265" t="n">
        <v>19117000</v>
      </c>
      <c r="T34" s="265" t="n">
        <v>21536000</v>
      </c>
      <c r="U34" s="265" t="n">
        <v>23094000</v>
      </c>
      <c r="V34" s="265" t="n">
        <v>26432000</v>
      </c>
      <c r="X34" s="265" t="n">
        <v>31970000</v>
      </c>
      <c r="Y34" s="265" t="n">
        <v>43522000</v>
      </c>
      <c r="Z34" s="265" t="n">
        <v>53194000</v>
      </c>
      <c r="AA34" s="265" t="n">
        <v>67875000</v>
      </c>
      <c r="AC34" s="265" t="n">
        <v>83617000</v>
      </c>
      <c r="AD34" s="265" t="n">
        <v>99957000</v>
      </c>
    </row>
    <row r="35">
      <c r="A35" t="inlineStr">
        <is>
          <t>OperatingLeaseRightOfUseAsset · fonte · unid. moeda</t>
        </is>
      </c>
      <c r="B35" t="n">
        <v>19</v>
      </c>
      <c r="C35" t="inlineStr">
        <is>
          <t>Right-of-use-assets</t>
        </is>
      </c>
      <c r="D35" s="265" t="n">
        <v>0</v>
      </c>
      <c r="E35" s="265" t="n">
        <v>0</v>
      </c>
      <c r="F35" s="265" t="n">
        <v>0</v>
      </c>
      <c r="G35" s="265" t="n">
        <v>0</v>
      </c>
      <c r="I35" s="265" t="n">
        <v>0</v>
      </c>
      <c r="J35" s="265" t="n">
        <v>0</v>
      </c>
      <c r="K35" s="265" t="n">
        <v>0</v>
      </c>
      <c r="L35" s="265" t="n">
        <v>0</v>
      </c>
      <c r="N35" s="265" t="n">
        <v>0</v>
      </c>
      <c r="O35" s="265" t="n">
        <v>0</v>
      </c>
      <c r="P35" s="265" t="n">
        <v>0</v>
      </c>
      <c r="Q35" s="265" t="n">
        <v>0</v>
      </c>
      <c r="S35" s="265" t="n">
        <v>0</v>
      </c>
      <c r="T35" s="265" t="n">
        <v>0</v>
      </c>
      <c r="U35" s="265" t="n">
        <v>0</v>
      </c>
      <c r="V35" s="265" t="n">
        <v>0</v>
      </c>
      <c r="X35" s="265" t="n">
        <v>0</v>
      </c>
      <c r="Y35" s="265" t="n">
        <v>0</v>
      </c>
      <c r="Z35" s="265" t="n">
        <v>0</v>
      </c>
      <c r="AA35" s="265" t="n">
        <v>0</v>
      </c>
      <c r="AC35" s="265" t="n">
        <v>0</v>
      </c>
      <c r="AD35" s="265" t="n">
        <v>29690000</v>
      </c>
    </row>
    <row r="36">
      <c r="A36" t="inlineStr">
        <is>
          <t>Goodwill · fonte · unid. moeda</t>
        </is>
      </c>
      <c r="B36" t="n">
        <v>20</v>
      </c>
      <c r="C36" t="inlineStr">
        <is>
          <t>Goodwill</t>
        </is>
      </c>
      <c r="D36" s="265" t="n">
        <v>43954000</v>
      </c>
      <c r="E36" s="265" t="n">
        <v>43935000</v>
      </c>
      <c r="F36" s="265" t="n">
        <v>43862000</v>
      </c>
      <c r="G36" s="265" t="n">
        <v>43842000</v>
      </c>
      <c r="I36" s="265" t="n">
        <v>43833000</v>
      </c>
      <c r="J36" s="265" t="n">
        <v>43811000</v>
      </c>
      <c r="K36" s="265" t="n">
        <v>61629000</v>
      </c>
      <c r="L36" s="265" t="n">
        <v>61513000</v>
      </c>
      <c r="N36" s="265" t="n">
        <v>61499000</v>
      </c>
      <c r="O36" s="265" t="n">
        <v>62261000</v>
      </c>
      <c r="P36" s="265" t="n">
        <v>62206000</v>
      </c>
      <c r="Q36" s="265" t="n">
        <v>62231000</v>
      </c>
      <c r="S36" s="265" t="n">
        <v>62222000</v>
      </c>
      <c r="T36" s="265" t="n">
        <v>62230000</v>
      </c>
      <c r="U36" s="265" t="n">
        <v>62249000</v>
      </c>
      <c r="V36" s="265" t="n">
        <v>62204000</v>
      </c>
      <c r="X36" s="265" t="n">
        <v>62171000</v>
      </c>
      <c r="Y36" s="265" t="n">
        <v>62207000</v>
      </c>
      <c r="Z36" s="265" t="n">
        <v>62211000</v>
      </c>
      <c r="AA36" s="265" t="n">
        <v>62207000</v>
      </c>
      <c r="AC36" s="265" t="n">
        <v>62274000</v>
      </c>
      <c r="AD36" s="265" t="n">
        <v>62261000</v>
      </c>
    </row>
    <row r="37">
      <c r="A37" t="inlineStr">
        <is>
          <t>FiniteLivedIntangibleAssetsNet · fonte · unid. moeda</t>
        </is>
      </c>
      <c r="B37" t="n">
        <v>21</v>
      </c>
      <c r="C37" t="inlineStr">
        <is>
          <t>Intangibles</t>
        </is>
      </c>
      <c r="D37" s="265" t="n">
        <v>2754000</v>
      </c>
      <c r="E37" s="265" t="n">
        <v>2430000</v>
      </c>
      <c r="F37" s="265" t="n">
        <v>2181000</v>
      </c>
      <c r="G37" s="265" t="n">
        <v>1881000</v>
      </c>
      <c r="I37" s="265" t="n">
        <v>1688000</v>
      </c>
      <c r="J37" s="265" t="n">
        <v>1440000</v>
      </c>
      <c r="K37" s="265" t="n">
        <v>12499000</v>
      </c>
      <c r="L37" s="265" t="n">
        <v>11593000</v>
      </c>
      <c r="N37" s="265" t="n">
        <v>10707000</v>
      </c>
      <c r="O37" s="265" t="n">
        <v>9837000</v>
      </c>
      <c r="P37" s="265" t="n">
        <v>9074000</v>
      </c>
      <c r="Q37" s="265" t="n">
        <v>8378000</v>
      </c>
      <c r="S37" s="265" t="n">
        <v>7629000</v>
      </c>
      <c r="T37" s="265" t="n">
        <v>6890000</v>
      </c>
      <c r="U37" s="265" t="n">
        <v>6270000</v>
      </c>
      <c r="V37" s="265" t="n">
        <v>5679000</v>
      </c>
      <c r="X37" s="265" t="n">
        <v>5131000</v>
      </c>
      <c r="Y37" s="265" t="n">
        <v>4587000</v>
      </c>
      <c r="Z37" s="265" t="n">
        <v>4167000</v>
      </c>
      <c r="AA37" s="265" t="n">
        <v>3760000</v>
      </c>
      <c r="AC37" s="265" t="n">
        <v>3641000</v>
      </c>
      <c r="AD37" s="265" t="n">
        <v>0</v>
      </c>
    </row>
    <row r="38">
      <c r="A38" t="inlineStr">
        <is>
          <t>OtherAssetsNoncurrent · fonte · unid. moeda</t>
        </is>
      </c>
      <c r="B38" t="n">
        <v>22</v>
      </c>
      <c r="C38" t="inlineStr">
        <is>
          <t>Other non-current assets</t>
        </is>
      </c>
      <c r="D38" s="265" t="n">
        <v>7116000</v>
      </c>
      <c r="E38" s="265" t="n">
        <v>8490000</v>
      </c>
      <c r="F38" s="265" t="n">
        <v>8763000</v>
      </c>
      <c r="G38" s="265" t="n">
        <v>8802000</v>
      </c>
      <c r="I38" s="265" t="n">
        <v>9730000</v>
      </c>
      <c r="J38" s="265" t="n">
        <v>9915000</v>
      </c>
      <c r="K38" s="265" t="n">
        <v>10832000</v>
      </c>
      <c r="L38" s="265" t="n">
        <v>11360000</v>
      </c>
      <c r="N38" s="265" t="n">
        <v>12220000</v>
      </c>
      <c r="O38" s="265" t="n">
        <v>11987000</v>
      </c>
      <c r="P38" s="265" t="n">
        <v>13329000</v>
      </c>
      <c r="Q38" s="265" t="n">
        <v>13659000</v>
      </c>
      <c r="S38" s="265" t="n">
        <v>14363000</v>
      </c>
      <c r="T38" s="265" t="n">
        <v>15493000</v>
      </c>
      <c r="U38" s="265" t="n">
        <v>17310000</v>
      </c>
      <c r="V38" s="265" t="n">
        <v>18681000</v>
      </c>
      <c r="X38" s="265" t="n">
        <v>20191000</v>
      </c>
      <c r="Y38" s="265" t="n">
        <v>21589000</v>
      </c>
      <c r="Z38" s="265" t="n">
        <v>24509000</v>
      </c>
      <c r="AA38" s="265" t="n">
        <v>25245000</v>
      </c>
      <c r="AC38" s="265" t="n">
        <v>29474000</v>
      </c>
      <c r="AD38" s="265" t="n">
        <v>11743000</v>
      </c>
    </row>
    <row r="39">
      <c r="A39" t="inlineStr">
        <is>
          <t>AccountsPayableCurrent · fonte · unid. moeda</t>
        </is>
      </c>
      <c r="B39" t="n">
        <v>23</v>
      </c>
      <c r="C39" t="inlineStr">
        <is>
          <t>Accounts payable</t>
        </is>
      </c>
      <c r="D39" s="265" t="n">
        <v>812000</v>
      </c>
      <c r="E39" s="265" t="n">
        <v>745000</v>
      </c>
      <c r="F39" s="265" t="n">
        <v>749000</v>
      </c>
      <c r="G39" s="265" t="n">
        <v>1034000</v>
      </c>
      <c r="I39" s="265" t="n">
        <v>1124000</v>
      </c>
      <c r="J39" s="265" t="n">
        <v>1317000</v>
      </c>
      <c r="K39" s="265" t="n">
        <v>1461000</v>
      </c>
      <c r="L39" s="265" t="n">
        <v>1647000</v>
      </c>
      <c r="N39" s="265" t="n">
        <v>1610000</v>
      </c>
      <c r="O39" s="265" t="n">
        <v>1204000</v>
      </c>
      <c r="P39" s="265" t="n">
        <v>1034000</v>
      </c>
      <c r="Q39" s="265" t="n">
        <v>1107000</v>
      </c>
      <c r="S39" s="265" t="n">
        <v>1658000</v>
      </c>
      <c r="T39" s="265" t="n">
        <v>2357000</v>
      </c>
      <c r="U39" s="265" t="n">
        <v>2207000</v>
      </c>
      <c r="V39" s="265" t="n">
        <v>2679000</v>
      </c>
      <c r="X39" s="265" t="n">
        <v>2423000</v>
      </c>
      <c r="Y39" s="265" t="n">
        <v>5113000</v>
      </c>
      <c r="Z39" s="265" t="n">
        <v>8203000</v>
      </c>
      <c r="AA39" s="265" t="n">
        <v>10140000</v>
      </c>
      <c r="AC39" s="265" t="n">
        <v>9474000</v>
      </c>
      <c r="AD39" s="265" t="n">
        <v>10977000</v>
      </c>
    </row>
    <row r="40">
      <c r="A40" t="inlineStr">
        <is>
          <t>EmployeeRelatedLiabilitiesCurrent · fonte · unid. moeda</t>
        </is>
      </c>
      <c r="B40" t="n">
        <v>24</v>
      </c>
      <c r="C40" t="inlineStr">
        <is>
          <t>Accrued expenses</t>
        </is>
      </c>
      <c r="D40" s="265" t="n">
        <v>1684000</v>
      </c>
      <c r="E40" s="265" t="n">
        <v>2017000</v>
      </c>
      <c r="F40" s="265" t="n">
        <v>1470000</v>
      </c>
      <c r="G40" s="265" t="n">
        <v>1503000</v>
      </c>
      <c r="I40" s="265" t="n">
        <v>1626000</v>
      </c>
      <c r="J40" s="265" t="n">
        <v>1944000</v>
      </c>
      <c r="K40" s="265" t="n">
        <v>1958000</v>
      </c>
      <c r="L40" s="265" t="n">
        <v>1780000</v>
      </c>
      <c r="N40" s="265" t="n">
        <v>1736000</v>
      </c>
      <c r="O40" s="265" t="n">
        <v>2053000</v>
      </c>
      <c r="P40" s="265" t="n">
        <v>1818000</v>
      </c>
      <c r="Q40" s="265" t="n">
        <v>1706000</v>
      </c>
      <c r="S40" s="265" t="n">
        <v>1796000</v>
      </c>
      <c r="T40" s="265" t="n">
        <v>1916000</v>
      </c>
      <c r="U40" s="265" t="n">
        <v>1772000</v>
      </c>
      <c r="V40" s="265" t="n">
        <v>1653000</v>
      </c>
      <c r="X40" s="265" t="n">
        <v>1839000</v>
      </c>
      <c r="Y40" s="265" t="n">
        <v>2243000</v>
      </c>
      <c r="Z40" s="265" t="n">
        <v>1794000</v>
      </c>
      <c r="AA40" s="265" t="n">
        <v>1947000</v>
      </c>
      <c r="AC40" s="265" t="n">
        <v>1940000</v>
      </c>
      <c r="AD40" s="265" t="n">
        <v>2225000</v>
      </c>
    </row>
    <row r="41">
      <c r="A41" t="inlineStr">
        <is>
          <t>NotesPayableCurrent · fonte · unid. moeda</t>
        </is>
      </c>
      <c r="B41" t="n">
        <v>26</v>
      </c>
      <c r="C41" t="inlineStr">
        <is>
          <t>Other current liabilities (non-debt)</t>
        </is>
      </c>
      <c r="D41" s="265" t="n">
        <v>5758000</v>
      </c>
      <c r="E41" s="265" t="n">
        <v>8250000</v>
      </c>
      <c r="F41" s="265" t="n">
        <v>6748000</v>
      </c>
      <c r="G41" s="265" t="n">
        <v>4998000</v>
      </c>
      <c r="I41" s="265" t="n">
        <v>6248000</v>
      </c>
      <c r="J41" s="265" t="n">
        <v>3749000</v>
      </c>
      <c r="K41" s="265" t="n">
        <v>16097000</v>
      </c>
      <c r="L41" s="265" t="n">
        <v>9746000</v>
      </c>
      <c r="N41" s="265" t="n">
        <v>5415000</v>
      </c>
      <c r="O41" s="265" t="n">
        <v>4061000</v>
      </c>
      <c r="P41" s="265" t="n">
        <v>4499000</v>
      </c>
      <c r="Q41" s="265" t="n">
        <v>6321000</v>
      </c>
      <c r="S41" s="265" t="n">
        <v>5510000</v>
      </c>
      <c r="T41" s="265" t="n">
        <v>10605000</v>
      </c>
      <c r="U41" s="265" t="n">
        <v>9201000</v>
      </c>
      <c r="V41" s="265" t="n">
        <v>8162000</v>
      </c>
      <c r="X41" s="265" t="n">
        <v>8167000</v>
      </c>
      <c r="Y41" s="265" t="n">
        <v>7271000</v>
      </c>
      <c r="Z41" s="265" t="n">
        <v>9079000</v>
      </c>
      <c r="AA41" s="265" t="n">
        <v>8091000</v>
      </c>
      <c r="AC41" s="265" t="n">
        <v>9887000</v>
      </c>
      <c r="AD41" s="265" t="n">
        <v>7199000</v>
      </c>
    </row>
    <row r="42">
      <c r="A42" t="inlineStr">
        <is>
          <t>ContractWithCustomerLiabilityCurrent · fonte · unid. moeda</t>
        </is>
      </c>
      <c r="B42" t="n">
        <v>26</v>
      </c>
      <c r="C42" t="inlineStr">
        <is>
          <t>Other current liabilities (non-debt)</t>
        </is>
      </c>
      <c r="D42" s="265" t="n">
        <v>8088000</v>
      </c>
      <c r="E42" s="265" t="n">
        <v>8775000</v>
      </c>
      <c r="F42" s="265" t="n">
        <v>10011000</v>
      </c>
      <c r="G42" s="265" t="n">
        <v>7937000</v>
      </c>
      <c r="I42" s="265" t="n">
        <v>7871000</v>
      </c>
      <c r="J42" s="265" t="n">
        <v>8357000</v>
      </c>
      <c r="K42" s="265" t="n">
        <v>10473000</v>
      </c>
      <c r="L42" s="265" t="n">
        <v>8705000</v>
      </c>
      <c r="N42" s="265" t="n">
        <v>8598000</v>
      </c>
      <c r="O42" s="265" t="n">
        <v>8970000</v>
      </c>
      <c r="P42" s="265" t="n">
        <v>11120000</v>
      </c>
      <c r="Q42" s="265" t="n">
        <v>8878000</v>
      </c>
      <c r="S42" s="265" t="n">
        <v>8931000</v>
      </c>
      <c r="T42" s="265" t="n">
        <v>9313000</v>
      </c>
      <c r="U42" s="265" t="n">
        <v>11455000</v>
      </c>
      <c r="V42" s="265" t="n">
        <v>9430000</v>
      </c>
      <c r="X42" s="265" t="n">
        <v>9019000</v>
      </c>
      <c r="Y42" s="265" t="n">
        <v>9387000</v>
      </c>
      <c r="Z42" s="265" t="n">
        <v>12098000</v>
      </c>
      <c r="AA42" s="265" t="n">
        <v>9940000</v>
      </c>
      <c r="AC42" s="265" t="n">
        <v>9881000</v>
      </c>
      <c r="AD42" s="265" t="n">
        <v>9916000</v>
      </c>
    </row>
    <row r="43">
      <c r="A43" t="inlineStr">
        <is>
          <t>OtherLiabilitiesCurrent · fonte · unid. moeda</t>
        </is>
      </c>
      <c r="B43" t="n">
        <v>26</v>
      </c>
      <c r="C43" t="inlineStr">
        <is>
          <t>Other current liabilities (non-debt)</t>
        </is>
      </c>
      <c r="D43" s="265" t="n">
        <v>3908000</v>
      </c>
      <c r="E43" s="265" t="n">
        <v>4377000</v>
      </c>
      <c r="F43" s="265" t="n">
        <v>4093000</v>
      </c>
      <c r="G43" s="265" t="n">
        <v>3409000</v>
      </c>
      <c r="I43" s="265" t="n">
        <v>3964000</v>
      </c>
      <c r="J43" s="265" t="n">
        <v>4144000</v>
      </c>
      <c r="K43" s="265" t="n">
        <v>4830000</v>
      </c>
      <c r="L43" s="265" t="n">
        <v>5228000</v>
      </c>
      <c r="N43" s="265" t="n">
        <v>5521000</v>
      </c>
      <c r="O43" s="265" t="n">
        <v>6802000</v>
      </c>
      <c r="P43" s="265" t="n">
        <v>6886000</v>
      </c>
      <c r="Q43" s="265" t="n">
        <v>6395000</v>
      </c>
      <c r="S43" s="265" t="n">
        <v>6990000</v>
      </c>
      <c r="T43" s="265" t="n">
        <v>7353000</v>
      </c>
      <c r="U43" s="265" t="n">
        <v>7410000</v>
      </c>
      <c r="V43" s="265" t="n">
        <v>7128000</v>
      </c>
      <c r="X43" s="265" t="n">
        <v>8175000</v>
      </c>
      <c r="Y43" s="265" t="n">
        <v>8629000</v>
      </c>
      <c r="Z43" s="265" t="n">
        <v>8700000</v>
      </c>
      <c r="AA43" s="265" t="n">
        <v>7677000</v>
      </c>
      <c r="AC43" s="265" t="n">
        <v>9555000</v>
      </c>
      <c r="AD43" s="265" t="n">
        <v>11447000</v>
      </c>
    </row>
    <row r="44">
      <c r="A44" t="inlineStr">
        <is>
          <t>OperatingLeaseLiabilityNoncurrent · fonte · unid. moeda</t>
        </is>
      </c>
      <c r="B44" t="n">
        <v>31</v>
      </c>
      <c r="C44" t="inlineStr">
        <is>
          <t>Long term operating leases</t>
        </is>
      </c>
      <c r="D44" s="265" t="n">
        <v>0</v>
      </c>
      <c r="E44" s="265" t="n">
        <v>0</v>
      </c>
      <c r="F44" s="265" t="n">
        <v>0</v>
      </c>
      <c r="G44" s="265" t="n">
        <v>0</v>
      </c>
      <c r="I44" s="265" t="n">
        <v>0</v>
      </c>
      <c r="J44" s="265" t="n">
        <v>0</v>
      </c>
      <c r="K44" s="265" t="n">
        <v>0</v>
      </c>
      <c r="L44" s="265" t="n">
        <v>0</v>
      </c>
      <c r="N44" s="265" t="n">
        <v>0</v>
      </c>
      <c r="O44" s="265" t="n">
        <v>0</v>
      </c>
      <c r="P44" s="265" t="n">
        <v>0</v>
      </c>
      <c r="Q44" s="265" t="n">
        <v>0</v>
      </c>
      <c r="S44" s="265" t="n">
        <v>0</v>
      </c>
      <c r="T44" s="265" t="n">
        <v>0</v>
      </c>
      <c r="U44" s="265" t="n">
        <v>0</v>
      </c>
      <c r="V44" s="265" t="n">
        <v>0</v>
      </c>
      <c r="X44" s="265" t="n">
        <v>0</v>
      </c>
      <c r="Y44" s="265" t="n">
        <v>11536000</v>
      </c>
      <c r="Z44" s="265" t="n">
        <v>14094000</v>
      </c>
      <c r="AA44" s="265" t="n">
        <v>16311000</v>
      </c>
      <c r="AC44" s="265" t="n">
        <v>18512000</v>
      </c>
      <c r="AD44" s="265" t="n">
        <v>26648000</v>
      </c>
    </row>
    <row r="45">
      <c r="A45" t="inlineStr">
        <is>
          <t>DeferredIncomeTaxLiabilitiesNet · fonte · unid. moeda</t>
        </is>
      </c>
      <c r="B45" t="n">
        <v>33</v>
      </c>
      <c r="C45" t="inlineStr">
        <is>
          <t>Deferred income taxes</t>
        </is>
      </c>
      <c r="D45" s="265" t="n">
        <v>7892000</v>
      </c>
      <c r="E45" s="265" t="n">
        <v>7864000</v>
      </c>
      <c r="F45" s="265" t="n">
        <v>7648000</v>
      </c>
      <c r="G45" s="265" t="n">
        <v>6777000</v>
      </c>
      <c r="I45" s="265" t="n">
        <v>6462000</v>
      </c>
      <c r="J45" s="265" t="n">
        <v>6031000</v>
      </c>
      <c r="K45" s="265" t="n">
        <v>7693000</v>
      </c>
      <c r="L45" s="265" t="n">
        <v>7165000</v>
      </c>
      <c r="N45" s="265" t="n">
        <v>6814000</v>
      </c>
      <c r="O45" s="265" t="n">
        <v>5772000</v>
      </c>
      <c r="P45" s="265" t="n">
        <v>5281000</v>
      </c>
      <c r="Q45" s="265" t="n">
        <v>5244000</v>
      </c>
      <c r="S45" s="265" t="n">
        <v>4483000</v>
      </c>
      <c r="T45" s="265" t="n">
        <v>3692000</v>
      </c>
      <c r="U45" s="265" t="n">
        <v>3442000</v>
      </c>
      <c r="V45" s="265" t="n">
        <v>2864000</v>
      </c>
      <c r="X45" s="265" t="n">
        <v>2208000</v>
      </c>
      <c r="Y45" s="265" t="n">
        <v>0</v>
      </c>
      <c r="Z45" s="265" t="n">
        <v>0</v>
      </c>
      <c r="AA45" s="265" t="n">
        <v>0</v>
      </c>
      <c r="AC45" s="265" t="n">
        <v>0</v>
      </c>
      <c r="AD45" s="265" t="n">
        <v>0</v>
      </c>
    </row>
    <row r="46">
      <c r="A46" t="inlineStr">
        <is>
          <t>LongTermNotesAndLoans · fonte · unid. moeda</t>
        </is>
      </c>
      <c r="B46" t="n">
        <v>34</v>
      </c>
      <c r="C46" t="inlineStr">
        <is>
          <t>Other non-current liabilities</t>
        </is>
      </c>
      <c r="D46" s="265" t="n">
        <v>63541000</v>
      </c>
      <c r="E46" s="265" t="n">
        <v>75995000</v>
      </c>
      <c r="F46" s="265" t="n">
        <v>75970000</v>
      </c>
      <c r="G46" s="265" t="n">
        <v>73433000</v>
      </c>
      <c r="I46" s="265" t="n">
        <v>72165000</v>
      </c>
      <c r="J46" s="265" t="n">
        <v>72110000</v>
      </c>
      <c r="K46" s="265" t="n">
        <v>75480000</v>
      </c>
      <c r="L46" s="265" t="n">
        <v>81173000</v>
      </c>
      <c r="N46" s="265" t="n">
        <v>86396000</v>
      </c>
      <c r="O46" s="265" t="n">
        <v>86420000</v>
      </c>
      <c r="P46" s="265" t="n">
        <v>84442000</v>
      </c>
      <c r="Q46" s="265" t="n">
        <v>82468000</v>
      </c>
      <c r="S46" s="265" t="n">
        <v>82470000</v>
      </c>
      <c r="T46" s="265" t="n">
        <v>76264000</v>
      </c>
      <c r="U46" s="265" t="n">
        <v>75314000</v>
      </c>
      <c r="V46" s="265" t="n">
        <v>80462000</v>
      </c>
      <c r="X46" s="265" t="n">
        <v>88109000</v>
      </c>
      <c r="Y46" s="265" t="n">
        <v>85297000</v>
      </c>
      <c r="Z46" s="265" t="n">
        <v>82236000</v>
      </c>
      <c r="AA46" s="265" t="n">
        <v>99984000</v>
      </c>
      <c r="AC46" s="265" t="n">
        <v>124718000</v>
      </c>
      <c r="AD46" s="265" t="n">
        <v>122342000</v>
      </c>
    </row>
    <row r="47">
      <c r="A47" t="inlineStr">
        <is>
          <t>AccruedIncomeTaxesNoncurrent · fonte · unid. moeda</t>
        </is>
      </c>
      <c r="B47" t="n">
        <v>34</v>
      </c>
      <c r="C47" t="inlineStr">
        <is>
          <t>Other non-current liabilities</t>
        </is>
      </c>
      <c r="D47" s="265" t="n">
        <v>12316000</v>
      </c>
      <c r="E47" s="265" t="n">
        <v>12345000</v>
      </c>
      <c r="F47" s="265" t="n">
        <v>12315000</v>
      </c>
      <c r="G47" s="265" t="n">
        <v>12122000</v>
      </c>
      <c r="I47" s="265" t="n">
        <v>12168000</v>
      </c>
      <c r="J47" s="265" t="n">
        <v>12210000</v>
      </c>
      <c r="K47" s="265" t="n">
        <v>12128000</v>
      </c>
      <c r="L47" s="265" t="n">
        <v>11128000</v>
      </c>
      <c r="N47" s="265" t="n">
        <v>11335000</v>
      </c>
      <c r="O47" s="265" t="n">
        <v>11077000</v>
      </c>
      <c r="P47" s="265" t="n">
        <v>11201000</v>
      </c>
      <c r="Q47" s="265" t="n">
        <v>10046000</v>
      </c>
      <c r="S47" s="265" t="n">
        <v>10451000</v>
      </c>
      <c r="T47" s="265" t="n">
        <v>10817000</v>
      </c>
      <c r="U47" s="265" t="n">
        <v>11038000</v>
      </c>
      <c r="V47" s="265" t="n">
        <v>9553000</v>
      </c>
      <c r="X47" s="265" t="n">
        <v>9813000</v>
      </c>
      <c r="Y47" s="265" t="n">
        <v>10269000</v>
      </c>
      <c r="Z47" s="265" t="n">
        <v>10583000</v>
      </c>
      <c r="AA47" s="265" t="n">
        <v>10885000</v>
      </c>
      <c r="AC47" s="265" t="n">
        <v>11402000</v>
      </c>
      <c r="AD47" s="265" t="n">
        <v>11771000</v>
      </c>
    </row>
    <row r="48">
      <c r="A48" t="inlineStr">
        <is>
          <t>OtherLiabilitiesNoncurrent · fonte · unid. moeda</t>
        </is>
      </c>
      <c r="B48" t="n">
        <v>34</v>
      </c>
      <c r="C48" t="inlineStr">
        <is>
          <t>Other non-current liabilities</t>
        </is>
      </c>
      <c r="D48" s="265" t="n">
        <v>4473000</v>
      </c>
      <c r="E48" s="265" t="n">
        <v>4787000</v>
      </c>
      <c r="F48" s="265" t="n">
        <v>5050000</v>
      </c>
      <c r="G48" s="265" t="n">
        <v>5342000</v>
      </c>
      <c r="I48" s="265" t="n">
        <v>5227000</v>
      </c>
      <c r="J48" s="265" t="n">
        <v>5203000</v>
      </c>
      <c r="K48" s="265" t="n">
        <v>5638000</v>
      </c>
      <c r="L48" s="265" t="n">
        <v>5673000</v>
      </c>
      <c r="N48" s="265" t="n">
        <v>6107000</v>
      </c>
      <c r="O48" s="265" t="n">
        <v>6469000</v>
      </c>
      <c r="P48" s="265" t="n">
        <v>7540000</v>
      </c>
      <c r="Q48" s="265" t="n">
        <v>7781000</v>
      </c>
      <c r="S48" s="265" t="n">
        <v>8611000</v>
      </c>
      <c r="T48" s="265" t="n">
        <v>9420000</v>
      </c>
      <c r="U48" s="265" t="n">
        <v>11106000</v>
      </c>
      <c r="V48" s="265" t="n">
        <v>12316000</v>
      </c>
      <c r="X48" s="265" t="n">
        <v>14364000</v>
      </c>
      <c r="Y48" s="265" t="n">
        <v>7647000</v>
      </c>
      <c r="Z48" s="265" t="n">
        <v>8996000</v>
      </c>
      <c r="AA48" s="265" t="n">
        <v>9552000</v>
      </c>
      <c r="AC48" s="265" t="n">
        <v>10820000</v>
      </c>
      <c r="AD48" s="265" t="n">
        <v>16178000</v>
      </c>
    </row>
    <row r="49">
      <c r="A49" t="inlineStr">
        <is>
          <t>MinorityInterest · fonte · unid. moeda</t>
        </is>
      </c>
      <c r="B49" t="n">
        <v>35</v>
      </c>
      <c r="C49" t="inlineStr">
        <is>
          <t>Minority interest</t>
        </is>
      </c>
      <c r="D49" s="265" t="n">
        <v>737000</v>
      </c>
      <c r="E49" s="265" t="n">
        <v>714000</v>
      </c>
      <c r="F49" s="265" t="n">
        <v>411000</v>
      </c>
      <c r="G49" s="265" t="n">
        <v>443000</v>
      </c>
      <c r="I49" s="265" t="n">
        <v>485000</v>
      </c>
      <c r="J49" s="265" t="n">
        <v>452000</v>
      </c>
      <c r="K49" s="265" t="n">
        <v>426000</v>
      </c>
      <c r="L49" s="265" t="n">
        <v>470000</v>
      </c>
      <c r="N49" s="265" t="n">
        <v>509000</v>
      </c>
      <c r="O49" s="265" t="n">
        <v>483000</v>
      </c>
      <c r="P49" s="265" t="n">
        <v>471000</v>
      </c>
      <c r="Q49" s="265" t="n">
        <v>512000</v>
      </c>
      <c r="S49" s="265" t="n">
        <v>559000</v>
      </c>
      <c r="T49" s="265" t="n">
        <v>535000</v>
      </c>
      <c r="U49" s="265" t="n">
        <v>453000</v>
      </c>
      <c r="V49" s="265" t="n">
        <v>490000</v>
      </c>
      <c r="X49" s="265" t="n">
        <v>531000</v>
      </c>
      <c r="Y49" s="265" t="n">
        <v>518000</v>
      </c>
      <c r="Z49" s="265" t="n">
        <v>512000</v>
      </c>
      <c r="AA49" s="265" t="n">
        <v>506000</v>
      </c>
      <c r="AC49" s="265" t="n">
        <v>556000</v>
      </c>
      <c r="AD49" s="265" t="n">
        <v>548000</v>
      </c>
    </row>
    <row r="50">
      <c r="A50" t="inlineStr">
        <is>
          <t>CommonStocksIncludingAdditionalPaidInCapital · fonte · unid. moeda</t>
        </is>
      </c>
      <c r="B50" t="n">
        <v>37</v>
      </c>
      <c r="C50" t="inlineStr">
        <is>
          <t>Common Stock and APIC</t>
        </is>
      </c>
      <c r="D50" s="265" t="n">
        <v>26261000</v>
      </c>
      <c r="E50" s="265" t="n">
        <v>26533000</v>
      </c>
      <c r="F50" s="265" t="n">
        <v>25534000</v>
      </c>
      <c r="G50" s="265" t="n">
        <v>25591000</v>
      </c>
      <c r="I50" s="265" t="n">
        <v>26129000</v>
      </c>
      <c r="J50" s="265" t="n">
        <v>26808000</v>
      </c>
      <c r="K50" s="265" t="n">
        <v>27224000</v>
      </c>
      <c r="L50" s="265" t="n">
        <v>28148000</v>
      </c>
      <c r="N50" s="265" t="n">
        <v>28994000</v>
      </c>
      <c r="O50" s="265" t="n">
        <v>30215000</v>
      </c>
      <c r="P50" s="265" t="n">
        <v>30295000</v>
      </c>
      <c r="Q50" s="265" t="n">
        <v>30724000</v>
      </c>
      <c r="S50" s="265" t="n">
        <v>31622000</v>
      </c>
      <c r="T50" s="265" t="n">
        <v>32764000</v>
      </c>
      <c r="U50" s="265" t="n">
        <v>33083000</v>
      </c>
      <c r="V50" s="265" t="n">
        <v>34310000</v>
      </c>
      <c r="X50" s="265" t="n">
        <v>35691000</v>
      </c>
      <c r="Y50" s="265" t="n">
        <v>37107000</v>
      </c>
      <c r="Z50" s="265" t="n">
        <v>39378000</v>
      </c>
      <c r="AA50" s="265" t="n">
        <v>40577000</v>
      </c>
      <c r="AC50" s="265" t="n">
        <v>41910000</v>
      </c>
      <c r="AD50" s="265" t="n">
        <v>43243000</v>
      </c>
    </row>
    <row r="51">
      <c r="A51" t="inlineStr">
        <is>
          <t>AccumulatedOtherComprehensiveIncomeLossNetOfTax · fonte · unid. moeda</t>
        </is>
      </c>
      <c r="B51" t="n">
        <v>39</v>
      </c>
      <c r="C51" t="inlineStr">
        <is>
          <t>Comprehensive (accumulated) loss</t>
        </is>
      </c>
      <c r="D51" s="265" t="n">
        <v>-1155000</v>
      </c>
      <c r="E51" s="265" t="n">
        <v>-1175000</v>
      </c>
      <c r="F51" s="265" t="n">
        <v>-1396000</v>
      </c>
      <c r="G51" s="265" t="n">
        <v>-1616000</v>
      </c>
      <c r="I51" s="265" t="n">
        <v>-1678000</v>
      </c>
      <c r="J51" s="265" t="n">
        <v>-1692000</v>
      </c>
      <c r="K51" s="265" t="n">
        <v>-1965000</v>
      </c>
      <c r="L51" s="265" t="n">
        <v>-1777000</v>
      </c>
      <c r="N51" s="265" t="n">
        <v>-1694000</v>
      </c>
      <c r="O51" s="265" t="n">
        <v>-1522000</v>
      </c>
      <c r="P51" s="265" t="n">
        <v>-1497000</v>
      </c>
      <c r="Q51" s="265" t="n">
        <v>-1427000</v>
      </c>
      <c r="S51" s="265" t="n">
        <v>-1466000</v>
      </c>
      <c r="T51" s="265" t="n">
        <v>-1432000</v>
      </c>
      <c r="U51" s="265" t="n">
        <v>-1328000</v>
      </c>
      <c r="V51" s="265" t="n">
        <v>-1519000</v>
      </c>
      <c r="X51" s="265" t="n">
        <v>-1593000</v>
      </c>
      <c r="Y51" s="265" t="n">
        <v>-1175000</v>
      </c>
      <c r="Z51" s="265" t="n">
        <v>-1170000</v>
      </c>
      <c r="AA51" s="265" t="n">
        <v>-1271000</v>
      </c>
      <c r="AC51" s="265" t="n">
        <v>-1277000</v>
      </c>
      <c r="AD51" s="265" t="n">
        <v>-1380000</v>
      </c>
    </row>
    <row r="52">
      <c r="A52" t="inlineStr">
        <is>
          <t>PreferredStockValue · fonte · unid. moeda</t>
        </is>
      </c>
      <c r="B52" t="n">
        <v>40</v>
      </c>
      <c r="C52" t="inlineStr">
        <is>
          <t>Other equity account</t>
        </is>
      </c>
      <c r="D52" s="265" t="n">
        <v>0</v>
      </c>
      <c r="E52" s="265" t="n">
        <v>0</v>
      </c>
      <c r="F52" s="265" t="n">
        <v>0</v>
      </c>
      <c r="G52" s="265" t="n">
        <v>0</v>
      </c>
      <c r="I52" s="265" t="n">
        <v>0</v>
      </c>
      <c r="J52" s="265" t="n">
        <v>0</v>
      </c>
      <c r="K52" s="265" t="n">
        <v>0</v>
      </c>
      <c r="L52" s="265" t="n">
        <v>0</v>
      </c>
      <c r="N52" s="265" t="n">
        <v>0</v>
      </c>
      <c r="O52" s="265" t="n">
        <v>0</v>
      </c>
      <c r="P52" s="265" t="n">
        <v>0</v>
      </c>
      <c r="Q52" s="265" t="n">
        <v>0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0</v>
      </c>
      <c r="AA52" s="265" t="n">
        <v>0</v>
      </c>
      <c r="AC52" s="265" t="n">
        <v>4954000</v>
      </c>
      <c r="AD52" s="265" t="n">
        <v>4954000</v>
      </c>
    </row>
    <row r="53">
      <c r="A53" t="inlineStr">
        <is>
          <t>RetainedEarningsAccumulatedDeficit · fonte · unid. moeda</t>
        </is>
      </c>
      <c r="B53" t="n">
        <v>41</v>
      </c>
      <c r="C53" t="inlineStr">
        <is>
          <t>Retained earnings</t>
        </is>
      </c>
      <c r="D53" s="265" t="n">
        <v>-16206000</v>
      </c>
      <c r="E53" s="265" t="n">
        <v>-20120000</v>
      </c>
      <c r="F53" s="265" t="n">
        <v>-25679000</v>
      </c>
      <c r="G53" s="265" t="n">
        <v>-34076000</v>
      </c>
      <c r="I53" s="265" t="n">
        <v>-33147000</v>
      </c>
      <c r="J53" s="265" t="n">
        <v>-31336000</v>
      </c>
      <c r="K53" s="265" t="n">
        <v>-31134000</v>
      </c>
      <c r="L53" s="265" t="n">
        <v>-30617000</v>
      </c>
      <c r="N53" s="265" t="n">
        <v>-29721000</v>
      </c>
      <c r="O53" s="265" t="n">
        <v>-27620000</v>
      </c>
      <c r="P53" s="265" t="n">
        <v>-26428000</v>
      </c>
      <c r="Q53" s="265" t="n">
        <v>-25431000</v>
      </c>
      <c r="S53" s="265" t="n">
        <v>-24533000</v>
      </c>
      <c r="T53" s="265" t="n">
        <v>-22628000</v>
      </c>
      <c r="U53" s="265" t="n">
        <v>-20939000</v>
      </c>
      <c r="V53" s="265" t="n">
        <v>-19045000</v>
      </c>
      <c r="X53" s="265" t="n">
        <v>-17368000</v>
      </c>
      <c r="Y53" s="265" t="n">
        <v>-15481000</v>
      </c>
      <c r="Z53" s="265" t="n">
        <v>-14054000</v>
      </c>
      <c r="AA53" s="265" t="n">
        <v>-9355000</v>
      </c>
      <c r="AC53" s="265" t="n">
        <v>-7092000</v>
      </c>
      <c r="AD53" s="265" t="n">
        <v>-4309000</v>
      </c>
    </row>
    <row r="54">
      <c r="A54" t="inlineStr">
        <is>
          <t>[vazio] Minoritários (DRE): não aparece como linha própria nas demonstrações (zero) · derivada · unid. moeda</t>
        </is>
      </c>
      <c r="B54" t="n">
        <v>9</v>
      </c>
      <c r="C54" t="inlineStr">
        <is>
          <t>Minority Interest Expense, after tax (enter as - )</t>
        </is>
      </c>
      <c r="D54" s="265" t="n">
        <v>0</v>
      </c>
      <c r="E54" s="265" t="n">
        <v>0</v>
      </c>
      <c r="F54" s="265" t="n">
        <v>0</v>
      </c>
      <c r="G54" s="265" t="n">
        <v>0</v>
      </c>
      <c r="I54" s="265" t="n">
        <v>0</v>
      </c>
      <c r="J54" s="265" t="n">
        <v>0</v>
      </c>
      <c r="K54" s="265" t="n">
        <v>0</v>
      </c>
      <c r="L54" s="265" t="n">
        <v>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0</v>
      </c>
      <c r="U54" s="265" t="n">
        <v>0</v>
      </c>
      <c r="V54" s="265" t="n">
        <v>0</v>
      </c>
      <c r="X54" s="265" t="n">
        <v>0</v>
      </c>
      <c r="Y54" s="265" t="n">
        <v>0</v>
      </c>
      <c r="Z54" s="265" t="n">
        <v>0</v>
      </c>
      <c r="AA54" s="265" t="n">
        <v>0</v>
      </c>
      <c r="AC54" s="265" t="n">
        <v>0</v>
      </c>
      <c r="AD54" s="265" t="n">
        <v>0</v>
      </c>
    </row>
    <row r="55">
      <c r="A55" t="inlineStr">
        <is>
          <t>[vazio] Estoques: não aparece como linha própria nas demonstrações (zero) · derivada · unid. moeda</t>
        </is>
      </c>
      <c r="B55" t="n">
        <v>13</v>
      </c>
      <c r="C55" t="inlineStr">
        <is>
          <t>Inventories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0</v>
      </c>
      <c r="V55" s="265" t="n">
        <v>0</v>
      </c>
      <c r="X55" s="265" t="n">
        <v>0</v>
      </c>
      <c r="Y55" s="265" t="n">
        <v>0</v>
      </c>
      <c r="Z55" s="265" t="n">
        <v>0</v>
      </c>
      <c r="AA55" s="265" t="n">
        <v>0</v>
      </c>
      <c r="AC55" s="265" t="n">
        <v>0</v>
      </c>
      <c r="AD55" s="265" t="n">
        <v>0</v>
      </c>
    </row>
    <row r="56">
      <c r="A56" t="inlineStr">
        <is>
          <t>[vazio] Despesas antecipadas: não aparece como linha própria nas demonstrações (zero) · derivada · unid. moeda</t>
        </is>
      </c>
      <c r="B56" t="n">
        <v>15</v>
      </c>
      <c r="C56" t="inlineStr">
        <is>
          <t>Prepaid expenses</t>
        </is>
      </c>
      <c r="D56" s="265" t="n">
        <v>0</v>
      </c>
      <c r="E56" s="265" t="n">
        <v>0</v>
      </c>
      <c r="F56" s="265" t="n">
        <v>0</v>
      </c>
      <c r="G56" s="265" t="n">
        <v>0</v>
      </c>
      <c r="I56" s="265" t="n">
        <v>0</v>
      </c>
      <c r="J56" s="265" t="n">
        <v>0</v>
      </c>
      <c r="K56" s="265" t="n">
        <v>0</v>
      </c>
      <c r="L56" s="265" t="n">
        <v>0</v>
      </c>
      <c r="N56" s="265" t="n">
        <v>0</v>
      </c>
      <c r="O56" s="265" t="n">
        <v>0</v>
      </c>
      <c r="P56" s="265" t="n">
        <v>0</v>
      </c>
      <c r="Q56" s="265" t="n">
        <v>0</v>
      </c>
      <c r="S56" s="265" t="n">
        <v>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[vazio] Investimentos em coligadas: não aparece como linha própria nas demonstrações (zero) · derivada · unid. moeda</t>
        </is>
      </c>
      <c r="B57" t="n">
        <v>17</v>
      </c>
      <c r="C57" t="inlineStr">
        <is>
          <t>Equity in affiliates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[vazio] Impostos a pagar: não aparece como linha própria nas demonstrações (zero) · derivada · unid. moeda</t>
        </is>
      </c>
      <c r="B58" t="n">
        <v>25</v>
      </c>
      <c r="C58" t="inlineStr">
        <is>
          <t>Taxes payable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[vazio] Dívida CP: não aparece como linha própria nas demonstrações (zero) · derivada · unid. moeda</t>
        </is>
      </c>
      <c r="B59" t="n">
        <v>27</v>
      </c>
      <c r="C59" t="inlineStr">
        <is>
          <t>Current portion of long-term debt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[vazio] Revolving: não aparece como linha própria nas demonstrações (zero) · derivada · unid. moeda</t>
        </is>
      </c>
      <c r="B60" t="n">
        <v>28</v>
      </c>
      <c r="C60" t="inlineStr">
        <is>
          <t>Short term debt (Revolving credit facility)</t>
        </is>
      </c>
      <c r="D60" s="265" t="n">
        <v>0</v>
      </c>
      <c r="E60" s="265" t="n">
        <v>0</v>
      </c>
      <c r="F60" s="265" t="n">
        <v>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[vazio] Arrendamento CP: não aparece como linha própria nas demonstrações (zero) · derivada · unid. moeda</t>
        </is>
      </c>
      <c r="B61" t="n">
        <v>29</v>
      </c>
      <c r="C61" t="inlineStr">
        <is>
          <t>Short term operating leases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[vazio] Dívida LP: não aparece como linha própria nas demonstrações (zero) · derivada · unid. moeda</t>
        </is>
      </c>
      <c r="B62" t="n">
        <v>30</v>
      </c>
      <c r="C62" t="inlineStr">
        <is>
          <t>Long term debt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[vazio] Dívida conversível: não aparece como linha própria nas demonstrações (zero) · derivada · unid. moeda</t>
        </is>
      </c>
      <c r="B63" t="n">
        <v>32</v>
      </c>
      <c r="C63" t="inlineStr">
        <is>
          <t>Convertible debt</t>
        </is>
      </c>
      <c r="D63" s="265" t="n">
        <v>0</v>
      </c>
      <c r="E63" s="265" t="n">
        <v>0</v>
      </c>
      <c r="F63" s="265" t="n">
        <v>0</v>
      </c>
      <c r="G63" s="265" t="n">
        <v>0</v>
      </c>
      <c r="I63" s="265" t="n">
        <v>0</v>
      </c>
      <c r="J63" s="265" t="n">
        <v>0</v>
      </c>
      <c r="K63" s="265" t="n">
        <v>0</v>
      </c>
      <c r="L63" s="265" t="n">
        <v>0</v>
      </c>
      <c r="N63" s="265" t="n">
        <v>0</v>
      </c>
      <c r="O63" s="265" t="n">
        <v>0</v>
      </c>
      <c r="P63" s="265" t="n">
        <v>0</v>
      </c>
      <c r="Q63" s="265" t="n">
        <v>0</v>
      </c>
      <c r="S63" s="265" t="n">
        <v>0</v>
      </c>
      <c r="T63" s="265" t="n">
        <v>0</v>
      </c>
      <c r="U63" s="265" t="n">
        <v>0</v>
      </c>
      <c r="V63" s="265" t="n">
        <v>0</v>
      </c>
      <c r="X63" s="265" t="n">
        <v>0</v>
      </c>
      <c r="Y63" s="265" t="n">
        <v>0</v>
      </c>
      <c r="Z63" s="265" t="n">
        <v>0</v>
      </c>
      <c r="AA63" s="265" t="n">
        <v>0</v>
      </c>
      <c r="AC63" s="265" t="n">
        <v>0</v>
      </c>
      <c r="AD63" s="265" t="n">
        <v>0</v>
      </c>
    </row>
    <row r="64">
      <c r="A64" t="inlineStr">
        <is>
          <t>[vazio] Tesouraria: não aparece como linha própria nas demonstrações (zero) · derivada · unid. moeda</t>
        </is>
      </c>
      <c r="B64" t="n">
        <v>38</v>
      </c>
      <c r="C64" t="inlineStr">
        <is>
          <t>Treasury stock (contra account)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0</v>
      </c>
      <c r="N64" s="265" t="n">
        <v>0</v>
      </c>
      <c r="O64" s="265" t="n">
        <v>0</v>
      </c>
      <c r="P64" s="265" t="n">
        <v>0</v>
      </c>
      <c r="Q64" s="265" t="n">
        <v>0</v>
      </c>
      <c r="S64" s="265" t="n">
        <v>0</v>
      </c>
      <c r="T64" s="265" t="n">
        <v>0</v>
      </c>
      <c r="U64" s="265" t="n">
        <v>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BALANÇO - totais divulgados (memória)</t>
        </is>
      </c>
      <c r="C65" t="inlineStr">
        <is>
          <t>[linha bruta, sem código; lançada nas linhas abaixo]</t>
        </is>
      </c>
      <c r="D65" s="265" t="n"/>
      <c r="E65" s="265" t="n"/>
      <c r="F65" s="265" t="n"/>
      <c r="G65" s="265" t="n"/>
      <c r="I65" s="265" t="n"/>
      <c r="J65" s="265" t="n"/>
      <c r="K65" s="265" t="n"/>
      <c r="L65" s="265" t="n"/>
      <c r="N65" s="265" t="n"/>
      <c r="O65" s="265" t="n"/>
      <c r="P65" s="265" t="n"/>
      <c r="Q65" s="265" t="n"/>
      <c r="S65" s="265" t="n"/>
      <c r="T65" s="265" t="n"/>
      <c r="U65" s="265" t="n"/>
      <c r="V65" s="265" t="n"/>
      <c r="X65" s="265" t="n"/>
      <c r="Y65" s="265" t="n"/>
      <c r="Z65" s="265" t="n"/>
      <c r="AA65" s="265" t="n"/>
      <c r="AC65" s="265" t="n"/>
      <c r="AD65" s="265" t="n"/>
    </row>
    <row r="66">
      <c r="A66" t="inlineStr">
        <is>
          <t>Total do ativo [us-gaap:Assets] · memoria · unid. moeda</t>
        </is>
      </c>
      <c r="C66" t="inlineStr">
        <is>
          <t>[linha bruta, sem código; lançada nas linhas abaixo]</t>
        </is>
      </c>
      <c r="D66" s="265" t="n">
        <v>118109000</v>
      </c>
      <c r="E66" s="265" t="n">
        <v>131107000</v>
      </c>
      <c r="F66" s="265" t="n">
        <v>122924000</v>
      </c>
      <c r="G66" s="265" t="n">
        <v>106897000</v>
      </c>
      <c r="I66" s="265" t="n">
        <v>108644000</v>
      </c>
      <c r="J66" s="265" t="n">
        <v>109297000</v>
      </c>
      <c r="K66" s="265" t="n">
        <v>130309000</v>
      </c>
      <c r="L66" s="265" t="n">
        <v>128469000</v>
      </c>
      <c r="N66" s="265" t="n">
        <v>131620000</v>
      </c>
      <c r="O66" s="265" t="n">
        <v>134384000</v>
      </c>
      <c r="P66" s="265" t="n">
        <v>136662000</v>
      </c>
      <c r="Q66" s="265" t="n">
        <v>134324000</v>
      </c>
      <c r="S66" s="265" t="n">
        <v>137082000</v>
      </c>
      <c r="T66" s="265" t="n">
        <v>140976000</v>
      </c>
      <c r="U66" s="265" t="n">
        <v>144214000</v>
      </c>
      <c r="V66" s="265" t="n">
        <v>148483000</v>
      </c>
      <c r="X66" s="265" t="n">
        <v>161378000</v>
      </c>
      <c r="Y66" s="265" t="n">
        <v>168361000</v>
      </c>
      <c r="Z66" s="265" t="n">
        <v>180449000</v>
      </c>
      <c r="AA66" s="265" t="n">
        <v>204984000</v>
      </c>
      <c r="AC66" s="265" t="n">
        <v>245240000</v>
      </c>
      <c r="AD66" s="265" t="n">
        <v>261759000</v>
      </c>
    </row>
    <row r="67">
      <c r="A67" t="inlineStr">
        <is>
          <t>Total do passivo + PL [us-gaap:LiabilitiesAndStockholdersEquity] · memoria · unid. moeda</t>
        </is>
      </c>
      <c r="C67" t="inlineStr">
        <is>
          <t>[linha bruta, sem código; lançada nas linhas abaixo]</t>
        </is>
      </c>
      <c r="D67" s="265" t="n">
        <v>118109000</v>
      </c>
      <c r="E67" s="265" t="n">
        <v>131107000</v>
      </c>
      <c r="F67" s="265" t="n">
        <v>122924000</v>
      </c>
      <c r="G67" s="265" t="n">
        <v>106897000</v>
      </c>
      <c r="I67" s="265" t="n">
        <v>108644000</v>
      </c>
      <c r="J67" s="265" t="n">
        <v>109297000</v>
      </c>
      <c r="K67" s="265" t="n">
        <v>130309000</v>
      </c>
      <c r="L67" s="265" t="n">
        <v>128469000</v>
      </c>
      <c r="N67" s="265" t="n">
        <v>131620000</v>
      </c>
      <c r="O67" s="265" t="n">
        <v>134384000</v>
      </c>
      <c r="P67" s="265" t="n">
        <v>136662000</v>
      </c>
      <c r="Q67" s="265" t="n">
        <v>134324000</v>
      </c>
      <c r="S67" s="265" t="n">
        <v>137082000</v>
      </c>
      <c r="T67" s="265" t="n">
        <v>140976000</v>
      </c>
      <c r="U67" s="265" t="n">
        <v>144214000</v>
      </c>
      <c r="V67" s="265" t="n">
        <v>148483000</v>
      </c>
      <c r="X67" s="265" t="n">
        <v>161378000</v>
      </c>
      <c r="Y67" s="265" t="n">
        <v>168361000</v>
      </c>
      <c r="Z67" s="265" t="n">
        <v>180449000</v>
      </c>
      <c r="AA67" s="265" t="n">
        <v>204984000</v>
      </c>
      <c r="AC67" s="265" t="n">
        <v>245240000</v>
      </c>
      <c r="AD67" s="265" t="n">
        <v>261759000</v>
      </c>
    </row>
    <row r="68">
      <c r="A68" t="inlineStr">
        <is>
          <t>CHECKS (devem ser 0)</t>
        </is>
      </c>
      <c r="C68" t="inlineStr">
        <is>
          <t>[linha bruta, sem código; lançada nas linhas abaixo]</t>
        </is>
      </c>
      <c r="D68" s="265" t="n"/>
      <c r="E68" s="265" t="n"/>
      <c r="F68" s="265" t="n"/>
      <c r="G68" s="265" t="n"/>
      <c r="I68" s="265" t="n"/>
      <c r="J68" s="265" t="n"/>
      <c r="K68" s="265" t="n"/>
      <c r="L68" s="265" t="n"/>
      <c r="N68" s="265" t="n"/>
      <c r="O68" s="265" t="n"/>
      <c r="P68" s="265" t="n"/>
      <c r="Q68" s="265" t="n"/>
      <c r="S68" s="265" t="n"/>
      <c r="T68" s="265" t="n"/>
      <c r="U68" s="265" t="n"/>
      <c r="V68" s="265" t="n"/>
      <c r="X68" s="265" t="n"/>
      <c r="Y68" s="265" t="n"/>
      <c r="Z68" s="265" t="n"/>
      <c r="AA68" s="265" t="n"/>
      <c r="AC68" s="265" t="n"/>
      <c r="AD68" s="265" t="n"/>
    </row>
    <row r="69">
      <c r="A69" t="inlineStr">
        <is>
          <t>CHECK: contas de ativo - ativo total (USD, arredondado a 100 mil) · derivada · unid. moeda</t>
        </is>
      </c>
      <c r="C69" t="inlineStr">
        <is>
          <t>[linha bruta, sem código; lançada nas linhas abaixo]</t>
        </is>
      </c>
      <c r="D69" s="265">
        <f>ROUND(N(D28)+N(D29)+N(D30)+N(D31)+N(D32)+N(D33)+N(D34)+N(D35)+N(D36)+N(D37)+N(D38)-N(D66),-2)</f>
        <v>0</v>
      </c>
      <c r="E69" s="265">
        <f>ROUND(N(E28)+N(E29)+N(E30)+N(E31)+N(E32)+N(E33)+N(E34)+N(E35)+N(E36)+N(E37)+N(E38)-N(E66),-2)</f>
        <v>0</v>
      </c>
      <c r="F69" s="265">
        <f>ROUND(N(F28)+N(F29)+N(F30)+N(F31)+N(F32)+N(F33)+N(F34)+N(F35)+N(F36)+N(F37)+N(F38)-N(F66),-2)</f>
        <v>0</v>
      </c>
      <c r="G69" s="265">
        <f>ROUND(N(G28)+N(G29)+N(G30)+N(G31)+N(G32)+N(G33)+N(G34)+N(G35)+N(G36)+N(G37)+N(G38)-N(G66),-2)</f>
        <v>0</v>
      </c>
      <c r="I69" s="265">
        <f>ROUND(N(I28)+N(I29)+N(I30)+N(I31)+N(I32)+N(I33)+N(I34)+N(I35)+N(I36)+N(I37)+N(I38)-N(I66),-2)</f>
        <v>0</v>
      </c>
      <c r="J69" s="265">
        <f>ROUND(N(J28)+N(J29)+N(J30)+N(J31)+N(J32)+N(J33)+N(J34)+N(J35)+N(J36)+N(J37)+N(J38)-N(J66),-2)</f>
        <v>0</v>
      </c>
      <c r="K69" s="265">
        <f>ROUND(N(K28)+N(K29)+N(K30)+N(K31)+N(K32)+N(K33)+N(K34)+N(K35)+N(K36)+N(K37)+N(K38)-N(K66),-2)</f>
        <v>0</v>
      </c>
      <c r="L69" s="265">
        <f>ROUND(N(L28)+N(L29)+N(L30)+N(L31)+N(L32)+N(L33)+N(L34)+N(L35)+N(L36)+N(L37)+N(L38)-N(L66),-2)</f>
        <v>0</v>
      </c>
      <c r="N69" s="265">
        <f>ROUND(N(N28)+N(N29)+N(N30)+N(N31)+N(N32)+N(N33)+N(N34)+N(N35)+N(N36)+N(N37)+N(N38)-N(N66),-2)</f>
        <v>0</v>
      </c>
      <c r="O69" s="265">
        <f>ROUND(N(O28)+N(O29)+N(O30)+N(O31)+N(O32)+N(O33)+N(O34)+N(O35)+N(O36)+N(O37)+N(O38)-N(O66),-2)</f>
        <v>0</v>
      </c>
      <c r="P69" s="265">
        <f>ROUND(N(P28)+N(P29)+N(P30)+N(P31)+N(P32)+N(P33)+N(P34)+N(P35)+N(P36)+N(P37)+N(P38)-N(P66),-2)</f>
        <v>0</v>
      </c>
      <c r="Q69" s="265">
        <f>ROUND(N(Q28)+N(Q29)+N(Q30)+N(Q31)+N(Q32)+N(Q33)+N(Q34)+N(Q35)+N(Q36)+N(Q37)+N(Q38)-N(Q66),-2)</f>
        <v>0</v>
      </c>
      <c r="S69" s="265">
        <f>ROUND(N(S28)+N(S29)+N(S30)+N(S31)+N(S32)+N(S33)+N(S34)+N(S35)+N(S36)+N(S37)+N(S38)-N(S66),-2)</f>
        <v>0</v>
      </c>
      <c r="T69" s="265">
        <f>ROUND(N(T28)+N(T29)+N(T30)+N(T31)+N(T32)+N(T33)+N(T34)+N(T35)+N(T36)+N(T37)+N(T38)-N(T66),-2)</f>
        <v>0</v>
      </c>
      <c r="U69" s="265">
        <f>ROUND(N(U28)+N(U29)+N(U30)+N(U31)+N(U32)+N(U33)+N(U34)+N(U35)+N(U36)+N(U37)+N(U38)-N(U66),-2)</f>
        <v>0</v>
      </c>
      <c r="V69" s="265">
        <f>ROUND(N(V28)+N(V29)+N(V30)+N(V31)+N(V32)+N(V33)+N(V34)+N(V35)+N(V36)+N(V37)+N(V38)-N(V66),-2)</f>
        <v>0</v>
      </c>
      <c r="X69" s="265">
        <f>ROUND(N(X28)+N(X29)+N(X30)+N(X31)+N(X32)+N(X33)+N(X34)+N(X35)+N(X36)+N(X37)+N(X38)-N(X66),-2)</f>
        <v>0</v>
      </c>
      <c r="Y69" s="265">
        <f>ROUND(N(Y28)+N(Y29)+N(Y30)+N(Y31)+N(Y32)+N(Y33)+N(Y34)+N(Y35)+N(Y36)+N(Y37)+N(Y38)-N(Y66),-2)</f>
        <v>0</v>
      </c>
      <c r="Z69" s="265">
        <f>ROUND(N(Z28)+N(Z29)+N(Z30)+N(Z31)+N(Z32)+N(Z33)+N(Z34)+N(Z35)+N(Z36)+N(Z37)+N(Z38)-N(Z66),-2)</f>
        <v>0</v>
      </c>
      <c r="AA69" s="265">
        <f>ROUND(N(AA28)+N(AA29)+N(AA30)+N(AA31)+N(AA32)+N(AA33)+N(AA34)+N(AA35)+N(AA36)+N(AA37)+N(AA38)-N(AA66),-2)</f>
        <v>0</v>
      </c>
      <c r="AC69" s="265">
        <f>ROUND(N(AC28)+N(AC29)+N(AC30)+N(AC31)+N(AC32)+N(AC33)+N(AC34)+N(AC35)+N(AC36)+N(AC37)+N(AC38)-N(AC66),-2)</f>
        <v>0</v>
      </c>
      <c r="AD69" s="265">
        <f>ROUND(N(AD28)+N(AD29)+N(AD30)+N(AD31)+N(AD32)+N(AD33)+N(AD34)+N(AD35)+N(AD36)+N(AD37)+N(AD38)-N(AD66),-2)</f>
        <v>0</v>
      </c>
    </row>
    <row r="70">
      <c r="A70" t="inlineStr">
        <is>
          <t>CHECK: passivo + PL (contas) - passivo + PL total · derivada · unid. moeda</t>
        </is>
      </c>
      <c r="C70" t="inlineStr">
        <is>
          <t>[linha bruta, sem código; lançada nas linhas abaixo]</t>
        </is>
      </c>
      <c r="D70" s="265">
        <f>ROUND(N(D39)+N(D40)+N(D41)+N(D42)+N(D43)+N(D44)+N(D45)+N(D46)+N(D47)+N(D48)+N(D49)+N(D50)+N(D51)+N(D52)+N(D53)-N(D67),-2)</f>
        <v>0</v>
      </c>
      <c r="E70" s="265">
        <f>ROUND(N(E39)+N(E40)+N(E41)+N(E42)+N(E43)+N(E44)+N(E45)+N(E46)+N(E47)+N(E48)+N(E49)+N(E50)+N(E51)+N(E52)+N(E53)-N(E67),-2)</f>
        <v>0</v>
      </c>
      <c r="F70" s="265">
        <f>ROUND(N(F39)+N(F40)+N(F41)+N(F42)+N(F43)+N(F44)+N(F45)+N(F46)+N(F47)+N(F48)+N(F49)+N(F50)+N(F51)+N(F52)+N(F53)-N(F67),-2)</f>
        <v>0</v>
      </c>
      <c r="G70" s="265">
        <f>ROUND(N(G39)+N(G40)+N(G41)+N(G42)+N(G43)+N(G44)+N(G45)+N(G46)+N(G47)+N(G48)+N(G49)+N(G50)+N(G51)+N(G52)+N(G53)-N(G67),-2)</f>
        <v>0</v>
      </c>
      <c r="I70" s="265">
        <f>ROUND(N(I39)+N(I40)+N(I41)+N(I42)+N(I43)+N(I44)+N(I45)+N(I46)+N(I47)+N(I48)+N(I49)+N(I50)+N(I51)+N(I52)+N(I53)-N(I67),-2)</f>
        <v>0</v>
      </c>
      <c r="J70" s="265">
        <f>ROUND(N(J39)+N(J40)+N(J41)+N(J42)+N(J43)+N(J44)+N(J45)+N(J46)+N(J47)+N(J48)+N(J49)+N(J50)+N(J51)+N(J52)+N(J53)-N(J67),-2)</f>
        <v>0</v>
      </c>
      <c r="K70" s="265">
        <f>ROUND(N(K39)+N(K40)+N(K41)+N(K42)+N(K43)+N(K44)+N(K45)+N(K46)+N(K47)+N(K48)+N(K49)+N(K50)+N(K51)+N(K52)+N(K53)-N(K67),-2)</f>
        <v>0</v>
      </c>
      <c r="L70" s="265">
        <f>ROUND(N(L39)+N(L40)+N(L41)+N(L42)+N(L43)+N(L44)+N(L45)+N(L46)+N(L47)+N(L48)+N(L49)+N(L50)+N(L51)+N(L52)+N(L53)-N(L67),-2)</f>
        <v>0</v>
      </c>
      <c r="N70" s="265">
        <f>ROUND(N(N39)+N(N40)+N(N41)+N(N42)+N(N43)+N(N44)+N(N45)+N(N46)+N(N47)+N(N48)+N(N49)+N(N50)+N(N51)+N(N52)+N(N53)-N(N67),-2)</f>
        <v>0</v>
      </c>
      <c r="O70" s="265">
        <f>ROUND(N(O39)+N(O40)+N(O41)+N(O42)+N(O43)+N(O44)+N(O45)+N(O46)+N(O47)+N(O48)+N(O49)+N(O50)+N(O51)+N(O52)+N(O53)-N(O67),-2)</f>
        <v>0</v>
      </c>
      <c r="P70" s="265">
        <f>ROUND(N(P39)+N(P40)+N(P41)+N(P42)+N(P43)+N(P44)+N(P45)+N(P46)+N(P47)+N(P48)+N(P49)+N(P50)+N(P51)+N(P52)+N(P53)-N(P67),-2)</f>
        <v>0</v>
      </c>
      <c r="Q70" s="265">
        <f>ROUND(N(Q39)+N(Q40)+N(Q41)+N(Q42)+N(Q43)+N(Q44)+N(Q45)+N(Q46)+N(Q47)+N(Q48)+N(Q49)+N(Q50)+N(Q51)+N(Q52)+N(Q53)-N(Q67),-2)</f>
        <v>0</v>
      </c>
      <c r="S70" s="265">
        <f>ROUND(N(S39)+N(S40)+N(S41)+N(S42)+N(S43)+N(S44)+N(S45)+N(S46)+N(S47)+N(S48)+N(S49)+N(S50)+N(S51)+N(S52)+N(S53)-N(S67),-2)</f>
        <v>0</v>
      </c>
      <c r="T70" s="265">
        <f>ROUND(N(T39)+N(T40)+N(T41)+N(T42)+N(T43)+N(T44)+N(T45)+N(T46)+N(T47)+N(T48)+N(T49)+N(T50)+N(T51)+N(T52)+N(T53)-N(T67),-2)</f>
        <v>0</v>
      </c>
      <c r="U70" s="265">
        <f>ROUND(N(U39)+N(U40)+N(U41)+N(U42)+N(U43)+N(U44)+N(U45)+N(U46)+N(U47)+N(U48)+N(U49)+N(U50)+N(U51)+N(U52)+N(U53)-N(U67),-2)</f>
        <v>0</v>
      </c>
      <c r="V70" s="265">
        <f>ROUND(N(V39)+N(V40)+N(V41)+N(V42)+N(V43)+N(V44)+N(V45)+N(V46)+N(V47)+N(V48)+N(V49)+N(V50)+N(V51)+N(V52)+N(V53)-N(V67),-2)</f>
        <v>0</v>
      </c>
      <c r="X70" s="265">
        <f>ROUND(N(X39)+N(X40)+N(X41)+N(X42)+N(X43)+N(X44)+N(X45)+N(X46)+N(X47)+N(X48)+N(X49)+N(X50)+N(X51)+N(X52)+N(X53)-N(X67),-2)</f>
        <v>0</v>
      </c>
      <c r="Y70" s="265">
        <f>ROUND(N(Y39)+N(Y40)+N(Y41)+N(Y42)+N(Y43)+N(Y44)+N(Y45)+N(Y46)+N(Y47)+N(Y48)+N(Y49)+N(Y50)+N(Y51)+N(Y52)+N(Y53)-N(Y67),-2)</f>
        <v>0</v>
      </c>
      <c r="Z70" s="265">
        <f>ROUND(N(Z39)+N(Z40)+N(Z41)+N(Z42)+N(Z43)+N(Z44)+N(Z45)+N(Z46)+N(Z47)+N(Z48)+N(Z49)+N(Z50)+N(Z51)+N(Z52)+N(Z53)-N(Z67),-2)</f>
        <v>0</v>
      </c>
      <c r="AA70" s="265">
        <f>ROUND(N(AA39)+N(AA40)+N(AA41)+N(AA42)+N(AA43)+N(AA44)+N(AA45)+N(AA46)+N(AA47)+N(AA48)+N(AA49)+N(AA50)+N(AA51)+N(AA52)+N(AA53)-N(AA67),-2)</f>
        <v>0</v>
      </c>
      <c r="AC70" s="265">
        <f>ROUND(N(AC39)+N(AC40)+N(AC41)+N(AC42)+N(AC43)+N(AC44)+N(AC45)+N(AC46)+N(AC47)+N(AC48)+N(AC49)+N(AC50)+N(AC51)+N(AC52)+N(AC53)-N(AC67),-2)</f>
        <v>0</v>
      </c>
      <c r="AD70" s="265">
        <f>ROUND(N(AD39)+N(AD40)+N(AD41)+N(AD42)+N(AD43)+N(AD44)+N(AD45)+N(AD46)+N(AD47)+N(AD48)+N(AD49)+N(AD50)+N(AD51)+N(AD52)+N(AD53)-N(AD67),-2)</f>
        <v>0</v>
      </c>
    </row>
    <row r="71">
      <c r="A71" t="inlineStr">
        <is>
          <t>CHECK: receita - custo - despesas + não operacional - IR - minoritários + outros após IR - lucro (deve ser 0) · derivada</t>
        </is>
      </c>
      <c r="C71" t="inlineStr">
        <is>
          <t>[linha bruta, sem código; lançada nas linhas abaixo]</t>
        </is>
      </c>
      <c r="D71" s="265">
        <f>ROUND(N(D5)-N(D6)-N(D9)+N(D12)-N(D16)+N(D19)-N(D20),-2)</f>
        <v>0</v>
      </c>
      <c r="E71" s="265">
        <f>ROUND(N(E5)-N(E6)-N(E9)+N(E12)-N(E16)+N(E19)-N(E20),-2)</f>
        <v>0</v>
      </c>
      <c r="F71" s="265">
        <f>ROUND(N(F5)-N(F6)-N(F9)+N(F12)-N(F16)+N(F19)-N(F20),-2)</f>
        <v>0</v>
      </c>
      <c r="G71" s="265">
        <f>ROUND(N(G5)-N(G6)-N(G9)+N(G12)-N(G16)+N(G19)-N(G20),-2)</f>
        <v>0</v>
      </c>
      <c r="I71" s="265">
        <f>ROUND(N(I5)-N(I6)-N(I9)+N(I12)-N(I16)+N(I19)-N(I20),-2)</f>
        <v>0</v>
      </c>
      <c r="J71" s="265">
        <f>ROUND(N(J5)-N(J6)-N(J9)+N(J12)-N(J16)+N(J19)-N(J20),-2)</f>
        <v>0</v>
      </c>
      <c r="K71" s="265">
        <f>ROUND(N(K5)-N(K6)-N(K9)+N(K12)-N(K16)+N(K19)-N(K20),-2)</f>
        <v>0</v>
      </c>
      <c r="L71" s="265">
        <f>ROUND(N(L5)-N(L6)-N(L9)+N(L12)-N(L16)+N(L19)-N(L20),-2)</f>
        <v>0</v>
      </c>
      <c r="N71" s="265">
        <f>ROUND(N(N5)-N(N6)-N(N9)+N(N12)-N(N16)+N(N19)-N(N20),-2)</f>
        <v>0</v>
      </c>
      <c r="O71" s="265">
        <f>ROUND(N(O5)-N(O6)-N(O9)+N(O12)-N(O16)+N(O19)-N(O20),-2)</f>
        <v>0</v>
      </c>
      <c r="P71" s="265">
        <f>ROUND(N(P5)-N(P6)-N(P9)+N(P12)-N(P16)+N(P19)-N(P20),-2)</f>
        <v>0</v>
      </c>
      <c r="Q71" s="265">
        <f>ROUND(N(Q5)-N(Q6)-N(Q9)+N(Q12)-N(Q16)+N(Q19)-N(Q20),-2)</f>
        <v>0</v>
      </c>
      <c r="S71" s="265">
        <f>ROUND(N(S5)-N(S6)-N(S9)+N(S12)-N(S16)+N(S19)-N(S20),-2)</f>
        <v>0</v>
      </c>
      <c r="T71" s="265">
        <f>ROUND(N(T5)-N(T6)-N(T9)+N(T12)-N(T16)+N(T19)-N(T20),-2)</f>
        <v>0</v>
      </c>
      <c r="U71" s="265">
        <f>ROUND(N(U5)-N(U6)-N(U9)+N(U12)-N(U16)+N(U19)-N(U20),-2)</f>
        <v>0</v>
      </c>
      <c r="V71" s="265">
        <f>ROUND(N(V5)-N(V6)-N(V9)+N(V12)-N(V16)+N(V19)-N(V20),-2)</f>
        <v>0</v>
      </c>
      <c r="X71" s="265">
        <f>ROUND(N(X5)-N(X6)-N(X9)+N(X12)-N(X16)+N(X19)-N(X20),-2)</f>
        <v>0</v>
      </c>
      <c r="Y71" s="265">
        <f>ROUND(N(Y5)-N(Y6)-N(Y9)+N(Y12)-N(Y16)+N(Y19)-N(Y20),-2)</f>
        <v>0</v>
      </c>
      <c r="Z71" s="265">
        <f>ROUND(N(Z5)-N(Z6)-N(Z9)+N(Z12)-N(Z16)+N(Z19)-N(Z20),-2)</f>
        <v>0</v>
      </c>
      <c r="AA71" s="265">
        <f>ROUND(N(AA5)-N(AA6)-N(AA9)+N(AA12)-N(AA16)+N(AA19)-N(AA20),-2)</f>
        <v>0</v>
      </c>
      <c r="AC71" s="265">
        <f>ROUND(N(AC5)-N(AC6)-N(AC9)+N(AC12)-N(AC16)+N(AC19)-N(AC20),-2)</f>
        <v>0</v>
      </c>
      <c r="AD71" s="265">
        <f>ROUND(N(AD5)-N(AD6)-N(AD9)+N(AD12)-N(AD16)+N(AD19)-N(AD20),-2)</f>
        <v>0</v>
      </c>
    </row>
    <row r="72">
      <c r="D72" s="265" t="n"/>
      <c r="E72" s="265" t="n"/>
      <c r="F72" s="265" t="n"/>
      <c r="G72" s="265" t="n"/>
      <c r="I72" s="265" t="n"/>
      <c r="J72" s="265" t="n"/>
      <c r="K72" s="265" t="n"/>
      <c r="L72" s="265" t="n"/>
      <c r="N72" s="265" t="n"/>
      <c r="O72" s="265" t="n"/>
      <c r="P72" s="265" t="n"/>
      <c r="Q72" s="265" t="n"/>
      <c r="S72" s="265" t="n"/>
      <c r="T72" s="265" t="n"/>
      <c r="U72" s="265" t="n"/>
      <c r="V72" s="265" t="n"/>
      <c r="X72" s="265" t="n"/>
      <c r="Y72" s="265" t="n"/>
      <c r="Z72" s="265" t="n"/>
      <c r="AA72" s="265" t="n"/>
      <c r="AC72" s="265" t="n"/>
      <c r="AD72" s="265" t="n"/>
    </row>
    <row r="73">
      <c r="A73" t="inlineStr">
        <is>
          <t>DRIVERS DE RECEITA (codigos 45+): segmentos Cloud &amp; Software (antes Cloud &amp; License), Hardware e Serviços (receita e margem do segmento); abertura de cloud (OCI x aplicações) e software; regiões; RPO (carteira contratada) - SEC XBRL (USD, fator 0,000001).</t>
        </is>
      </c>
      <c r="C73" t="inlineStr">
        <is>
          <t>[linha bruta, sem código; lançada nas linhas abaixo]</t>
        </is>
      </c>
      <c r="D73" s="265" t="n"/>
      <c r="E73" s="265" t="n"/>
      <c r="F73" s="265" t="n"/>
      <c r="G73" s="265" t="n"/>
      <c r="I73" s="265" t="n"/>
      <c r="J73" s="265" t="n"/>
      <c r="K73" s="265" t="n"/>
      <c r="L73" s="265" t="n"/>
      <c r="N73" s="265" t="n"/>
      <c r="O73" s="265" t="n"/>
      <c r="P73" s="265" t="n"/>
      <c r="Q73" s="265" t="n"/>
      <c r="S73" s="265" t="n"/>
      <c r="T73" s="265" t="n"/>
      <c r="U73" s="265" t="n"/>
      <c r="V73" s="265" t="n"/>
      <c r="X73" s="265" t="n"/>
      <c r="Y73" s="265" t="n"/>
      <c r="Z73" s="265" t="n"/>
      <c r="AA73" s="265" t="n"/>
      <c r="AC73" s="265" t="n"/>
      <c r="AD73" s="265" t="n"/>
    </row>
    <row r="74">
      <c r="A74" t="inlineStr">
        <is>
          <t>Cloud &amp; Software (antes Cloud &amp; License) - receita (USD) · fonte · unid. moeda</t>
        </is>
      </c>
      <c r="B74" t="n">
        <v>45</v>
      </c>
      <c r="C74" t="inlineStr">
        <is>
          <t>Cloud &amp; Software (antes Cloud &amp; License) - receita (USD)</t>
        </is>
      </c>
      <c r="D74" s="265" t="n">
        <v>8529000</v>
      </c>
      <c r="E74" s="265" t="n">
        <v>9534000</v>
      </c>
      <c r="F74" s="265" t="n">
        <v>8184000</v>
      </c>
      <c r="G74" s="265" t="n">
        <v>8791000</v>
      </c>
      <c r="I74" s="265" t="n">
        <v>8926000</v>
      </c>
      <c r="J74" s="265" t="n">
        <v>10151000</v>
      </c>
      <c r="K74" s="265" t="n">
        <v>9321000</v>
      </c>
      <c r="L74" s="265" t="n">
        <v>10033000</v>
      </c>
      <c r="N74" s="265" t="n">
        <v>10211000</v>
      </c>
      <c r="O74" s="265" t="n">
        <v>11521000</v>
      </c>
      <c r="P74" s="265" t="n">
        <v>10356000</v>
      </c>
      <c r="Q74" s="265" t="n">
        <v>10817000</v>
      </c>
      <c r="S74" s="265" t="n">
        <v>11219000</v>
      </c>
      <c r="T74" s="265" t="n">
        <v>12072000</v>
      </c>
      <c r="U74" s="265" t="n">
        <v>11389000</v>
      </c>
      <c r="V74" s="265" t="n">
        <v>12001000</v>
      </c>
      <c r="X74" s="265" t="n">
        <v>12136000</v>
      </c>
      <c r="Y74" s="265" t="n">
        <v>13705000</v>
      </c>
      <c r="Z74" s="265" t="n">
        <v>12907000</v>
      </c>
      <c r="AA74" s="265" t="n">
        <v>13854000</v>
      </c>
      <c r="AC74" s="265" t="n">
        <v>15033000</v>
      </c>
      <c r="AD74" s="265" t="n">
        <v>16737000</v>
      </c>
    </row>
    <row r="75">
      <c r="A75" t="inlineStr">
        <is>
          <t>Cloud &amp; Software (antes Cloud &amp; License) - lucro do segmento (USD) · fonte · unid. moeda</t>
        </is>
      </c>
      <c r="B75" t="n">
        <v>46</v>
      </c>
      <c r="C75" t="inlineStr">
        <is>
          <t>Cloud &amp; Software (antes Cloud &amp; License) - lucro do segmento</t>
        </is>
      </c>
      <c r="D75" s="265" t="n">
        <v>5824000</v>
      </c>
      <c r="E75" s="265" t="n">
        <v>6526000</v>
      </c>
      <c r="F75" s="265" t="n">
        <v>5405000</v>
      </c>
      <c r="G75" s="265" t="n">
        <v>5911000</v>
      </c>
      <c r="I75" s="265" t="n">
        <v>5935000</v>
      </c>
      <c r="J75" s="265" t="n">
        <v>6833000</v>
      </c>
      <c r="K75" s="265" t="n">
        <v>5771000</v>
      </c>
      <c r="L75" s="265" t="n">
        <v>6352000</v>
      </c>
      <c r="N75" s="265" t="n">
        <v>6495000</v>
      </c>
      <c r="O75" s="265" t="n">
        <v>7508000</v>
      </c>
      <c r="P75" s="265" t="n">
        <v>6532000</v>
      </c>
      <c r="Q75" s="265" t="n">
        <v>6915000</v>
      </c>
      <c r="S75" s="265" t="n">
        <v>7173000</v>
      </c>
      <c r="T75" s="265" t="n">
        <v>7894000</v>
      </c>
      <c r="U75" s="265" t="n">
        <v>7196000</v>
      </c>
      <c r="V75" s="265" t="n">
        <v>7558000</v>
      </c>
      <c r="X75" s="265" t="n">
        <v>7629000</v>
      </c>
      <c r="Y75" s="265" t="n">
        <v>8549000</v>
      </c>
      <c r="Z75" s="265" t="n">
        <v>7691000</v>
      </c>
      <c r="AA75" s="265" t="n">
        <v>8177000</v>
      </c>
      <c r="AC75" s="265" t="n">
        <v>8707000</v>
      </c>
      <c r="AD75" s="265" t="n">
        <v>9894000</v>
      </c>
    </row>
    <row r="76">
      <c r="A76" t="inlineStr">
        <is>
          <t>Hardware - receita (USD) · fonte · unid. moeda</t>
        </is>
      </c>
      <c r="B76" t="n">
        <v>47</v>
      </c>
      <c r="C76" t="inlineStr">
        <is>
          <t>Hardware - receita (USD)</t>
        </is>
      </c>
      <c r="D76" s="265" t="n">
        <v>820000</v>
      </c>
      <c r="E76" s="265" t="n">
        <v>881000</v>
      </c>
      <c r="F76" s="265" t="n">
        <v>763000</v>
      </c>
      <c r="G76" s="265" t="n">
        <v>767000</v>
      </c>
      <c r="I76" s="265" t="n">
        <v>798000</v>
      </c>
      <c r="J76" s="265" t="n">
        <v>855000</v>
      </c>
      <c r="K76" s="265" t="n">
        <v>763000</v>
      </c>
      <c r="L76" s="265" t="n">
        <v>850000</v>
      </c>
      <c r="N76" s="265" t="n">
        <v>811000</v>
      </c>
      <c r="O76" s="265" t="n">
        <v>850000</v>
      </c>
      <c r="P76" s="265" t="n">
        <v>714000</v>
      </c>
      <c r="Q76" s="265" t="n">
        <v>756000</v>
      </c>
      <c r="S76" s="265" t="n">
        <v>754000</v>
      </c>
      <c r="T76" s="265" t="n">
        <v>842000</v>
      </c>
      <c r="U76" s="265" t="n">
        <v>655000</v>
      </c>
      <c r="V76" s="265" t="n">
        <v>728000</v>
      </c>
      <c r="X76" s="265" t="n">
        <v>703000</v>
      </c>
      <c r="Y76" s="265" t="n">
        <v>850000</v>
      </c>
      <c r="Z76" s="265" t="n">
        <v>670000</v>
      </c>
      <c r="AA76" s="265" t="n">
        <v>776000</v>
      </c>
      <c r="AC76" s="265" t="n">
        <v>714000</v>
      </c>
      <c r="AD76" s="265" t="n">
        <v>924000</v>
      </c>
    </row>
    <row r="77">
      <c r="A77" t="inlineStr">
        <is>
          <t>Hardware - lucro do segmento (USD) · fonte · unid. moeda</t>
        </is>
      </c>
      <c r="B77" t="n">
        <v>48</v>
      </c>
      <c r="C77" t="inlineStr">
        <is>
          <t>Hardware - lucro do segmento (USD)</t>
        </is>
      </c>
      <c r="D77" s="265" t="n">
        <v>502000</v>
      </c>
      <c r="E77" s="265" t="n">
        <v>533000</v>
      </c>
      <c r="F77" s="265" t="n">
        <v>436000</v>
      </c>
      <c r="G77" s="265" t="n">
        <v>458000</v>
      </c>
      <c r="I77" s="265" t="n">
        <v>473000</v>
      </c>
      <c r="J77" s="265" t="n">
        <v>511000</v>
      </c>
      <c r="K77" s="265" t="n">
        <v>441000</v>
      </c>
      <c r="L77" s="265" t="n">
        <v>488000</v>
      </c>
      <c r="N77" s="265" t="n">
        <v>494000</v>
      </c>
      <c r="O77" s="265" t="n">
        <v>509000</v>
      </c>
      <c r="P77" s="265" t="n">
        <v>433000</v>
      </c>
      <c r="Q77" s="265" t="n">
        <v>474000</v>
      </c>
      <c r="S77" s="265" t="n">
        <v>474000</v>
      </c>
      <c r="T77" s="265" t="n">
        <v>534000</v>
      </c>
      <c r="U77" s="265" t="n">
        <v>438000</v>
      </c>
      <c r="V77" s="265" t="n">
        <v>498000</v>
      </c>
      <c r="X77" s="265" t="n">
        <v>450000</v>
      </c>
      <c r="Y77" s="265" t="n">
        <v>532000</v>
      </c>
      <c r="Z77" s="265" t="n">
        <v>447000</v>
      </c>
      <c r="AA77" s="265" t="n">
        <v>512000</v>
      </c>
      <c r="AC77" s="265" t="n">
        <v>485000</v>
      </c>
      <c r="AD77" s="265" t="n">
        <v>573000</v>
      </c>
    </row>
    <row r="78">
      <c r="A78" t="inlineStr">
        <is>
          <t>Serviços - receita (USD) · fonte · unid. moeda</t>
        </is>
      </c>
      <c r="B78" t="n">
        <v>49</v>
      </c>
      <c r="C78" t="inlineStr">
        <is>
          <t>Serviços - receita (USD)</t>
        </is>
      </c>
      <c r="D78" s="265" t="n">
        <v>737000</v>
      </c>
      <c r="E78" s="265" t="n">
        <v>812000</v>
      </c>
      <c r="F78" s="265" t="n">
        <v>781000</v>
      </c>
      <c r="G78" s="265" t="n">
        <v>802000</v>
      </c>
      <c r="I78" s="265" t="n">
        <v>789000</v>
      </c>
      <c r="J78" s="265" t="n">
        <v>834000</v>
      </c>
      <c r="K78" s="265" t="n">
        <v>1361000</v>
      </c>
      <c r="L78" s="265" t="n">
        <v>1392000</v>
      </c>
      <c r="N78" s="265" t="n">
        <v>1376000</v>
      </c>
      <c r="O78" s="265" t="n">
        <v>1465000</v>
      </c>
      <c r="P78" s="265" t="n">
        <v>1383000</v>
      </c>
      <c r="Q78" s="265" t="n">
        <v>1368000</v>
      </c>
      <c r="S78" s="265" t="n">
        <v>1307000</v>
      </c>
      <c r="T78" s="265" t="n">
        <v>1373000</v>
      </c>
      <c r="U78" s="265" t="n">
        <v>1263000</v>
      </c>
      <c r="V78" s="265" t="n">
        <v>1330000</v>
      </c>
      <c r="X78" s="265" t="n">
        <v>1291000</v>
      </c>
      <c r="Y78" s="265" t="n">
        <v>1348000</v>
      </c>
      <c r="Z78" s="265" t="n">
        <v>1349000</v>
      </c>
      <c r="AA78" s="265" t="n">
        <v>1428000</v>
      </c>
      <c r="AC78" s="265" t="n">
        <v>1443000</v>
      </c>
      <c r="AD78" s="265" t="n">
        <v>1523000</v>
      </c>
    </row>
    <row r="79">
      <c r="A79" t="inlineStr">
        <is>
          <t>Serviços - lucro do segmento (USD) · fonte · unid. moeda</t>
        </is>
      </c>
      <c r="B79" t="n">
        <v>50</v>
      </c>
      <c r="C79" t="inlineStr">
        <is>
          <t>Serviços - lucro do segmento (USD)</t>
        </is>
      </c>
      <c r="D79" s="265" t="n">
        <v>150000</v>
      </c>
      <c r="E79" s="265" t="n">
        <v>186000</v>
      </c>
      <c r="F79" s="265" t="n">
        <v>172000</v>
      </c>
      <c r="G79" s="265" t="n">
        <v>171000</v>
      </c>
      <c r="I79" s="265" t="n">
        <v>156000</v>
      </c>
      <c r="J79" s="265" t="n">
        <v>168000</v>
      </c>
      <c r="K79" s="265" t="n">
        <v>354000</v>
      </c>
      <c r="L79" s="265" t="n">
        <v>281000</v>
      </c>
      <c r="N79" s="265" t="n">
        <v>229000</v>
      </c>
      <c r="O79" s="265" t="n">
        <v>240000</v>
      </c>
      <c r="P79" s="265" t="n">
        <v>238000</v>
      </c>
      <c r="Q79" s="265" t="n">
        <v>202000</v>
      </c>
      <c r="S79" s="265" t="n">
        <v>187000</v>
      </c>
      <c r="T79" s="265" t="n">
        <v>289000</v>
      </c>
      <c r="U79" s="265" t="n">
        <v>197000</v>
      </c>
      <c r="V79" s="265" t="n">
        <v>250000</v>
      </c>
      <c r="X79" s="265" t="n">
        <v>262000</v>
      </c>
      <c r="Y79" s="265" t="n">
        <v>282000</v>
      </c>
      <c r="Z79" s="265" t="n">
        <v>332000</v>
      </c>
      <c r="AA79" s="265" t="n">
        <v>344000</v>
      </c>
      <c r="AC79" s="265" t="n">
        <v>400000</v>
      </c>
      <c r="AD79" s="265" t="n">
        <v>456000</v>
      </c>
    </row>
    <row r="80">
      <c r="A80" t="inlineStr">
        <is>
          <t>Nova abertura - Cloud total (USD) · fonte · unid. moeda</t>
        </is>
      </c>
      <c r="B80" t="n">
        <v>51</v>
      </c>
      <c r="C80" t="inlineStr">
        <is>
          <t>Nova abertura - Cloud total (USD)</t>
        </is>
      </c>
      <c r="D80" s="265" t="n"/>
      <c r="E80" s="265" t="n"/>
      <c r="F80" s="265" t="n"/>
      <c r="G80" s="265" t="n"/>
      <c r="I80" s="265" t="n"/>
      <c r="J80" s="265" t="n"/>
      <c r="K80" s="265" t="n"/>
      <c r="L80" s="265" t="n"/>
      <c r="N80" s="265" t="n"/>
      <c r="O80" s="265" t="n"/>
      <c r="P80" s="265" t="n"/>
      <c r="Q80" s="265" t="n"/>
      <c r="S80" s="265" t="n"/>
      <c r="T80" s="265" t="n"/>
      <c r="U80" s="265" t="n">
        <v>5623000</v>
      </c>
      <c r="V80" s="265" t="n">
        <v>5937000</v>
      </c>
      <c r="X80" s="265" t="n">
        <v>6210000</v>
      </c>
      <c r="Y80" s="265" t="n">
        <v>6737000</v>
      </c>
      <c r="Z80" s="265" t="n">
        <v>7186000</v>
      </c>
      <c r="AA80" s="265" t="n">
        <v>7977000</v>
      </c>
      <c r="AC80" s="265" t="n">
        <v>8914000</v>
      </c>
      <c r="AD80" s="265" t="n">
        <v>9913000</v>
      </c>
    </row>
    <row r="81">
      <c r="A81" t="inlineStr">
        <is>
          <t>Nova abertura - Cloud Infrastructure (OCI) (USD) · fonte · unid. moeda</t>
        </is>
      </c>
      <c r="B81" t="n">
        <v>52</v>
      </c>
      <c r="C81" t="inlineStr">
        <is>
          <t>Nova abertura - Cloud Infrastructure (OCI) (USD)</t>
        </is>
      </c>
      <c r="D81" s="265" t="n"/>
      <c r="E81" s="265" t="n"/>
      <c r="F81" s="265" t="n"/>
      <c r="G81" s="265" t="n"/>
      <c r="I81" s="265" t="n"/>
      <c r="J81" s="265" t="n"/>
      <c r="K81" s="265" t="n"/>
      <c r="L81" s="265" t="n"/>
      <c r="N81" s="265" t="n"/>
      <c r="O81" s="265" t="n"/>
      <c r="P81" s="265" t="n"/>
      <c r="Q81" s="265" t="n"/>
      <c r="S81" s="265" t="n"/>
      <c r="T81" s="265" t="n"/>
      <c r="U81" s="265" t="n">
        <v>2154000</v>
      </c>
      <c r="V81" s="265" t="n">
        <v>2434000</v>
      </c>
      <c r="X81" s="265" t="n">
        <v>2652000</v>
      </c>
      <c r="Y81" s="265" t="n">
        <v>2994000</v>
      </c>
      <c r="Z81" s="265" t="n">
        <v>3347000</v>
      </c>
      <c r="AA81" s="265" t="n">
        <v>4079000</v>
      </c>
      <c r="AC81" s="265" t="n">
        <v>4888000</v>
      </c>
      <c r="AD81" s="265" t="n">
        <v>5787000</v>
      </c>
    </row>
    <row r="82">
      <c r="A82" t="inlineStr">
        <is>
          <t>Nova abertura - Cloud Applications (USD) · fonte · unid. moeda</t>
        </is>
      </c>
      <c r="B82" t="n">
        <v>53</v>
      </c>
      <c r="C82" t="inlineStr">
        <is>
          <t>Nova abertura - Cloud Applications (USD)</t>
        </is>
      </c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/>
      <c r="O82" s="265" t="n"/>
      <c r="P82" s="265" t="n"/>
      <c r="Q82" s="265" t="n"/>
      <c r="S82" s="265" t="n"/>
      <c r="T82" s="265" t="n"/>
      <c r="U82" s="265" t="n">
        <v>3469000</v>
      </c>
      <c r="V82" s="265" t="n">
        <v>3503000</v>
      </c>
      <c r="X82" s="265" t="n">
        <v>3558000</v>
      </c>
      <c r="Y82" s="265" t="n">
        <v>3743000</v>
      </c>
      <c r="Z82" s="265" t="n">
        <v>3839000</v>
      </c>
      <c r="AA82" s="265" t="n">
        <v>3898000</v>
      </c>
      <c r="AC82" s="265" t="n">
        <v>4026000</v>
      </c>
      <c r="AD82" s="265" t="n">
        <v>4126000</v>
      </c>
    </row>
    <row r="83">
      <c r="A83" t="inlineStr">
        <is>
          <t>Nova abertura - Software support (USD) · fonte · unid. moeda</t>
        </is>
      </c>
      <c r="B83" t="n">
        <v>54</v>
      </c>
      <c r="C83" t="inlineStr">
        <is>
          <t>Nova abertura - Software support (USD)</t>
        </is>
      </c>
      <c r="D83" s="265" t="n"/>
      <c r="E83" s="265" t="n"/>
      <c r="F83" s="265" t="n"/>
      <c r="G83" s="265" t="n"/>
      <c r="I83" s="265" t="n"/>
      <c r="J83" s="265" t="n"/>
      <c r="K83" s="265" t="n"/>
      <c r="L83" s="265" t="n"/>
      <c r="N83" s="265" t="n"/>
      <c r="O83" s="265" t="n"/>
      <c r="P83" s="265" t="n"/>
      <c r="Q83" s="265" t="n"/>
      <c r="S83" s="265" t="n"/>
      <c r="T83" s="265" t="n"/>
      <c r="U83" s="265" t="n">
        <v>4896000</v>
      </c>
      <c r="V83" s="265" t="n">
        <v>4869000</v>
      </c>
      <c r="X83" s="265" t="n">
        <v>4797000</v>
      </c>
      <c r="Y83" s="265" t="n">
        <v>4961000</v>
      </c>
      <c r="Z83" s="265" t="n">
        <v>4955000</v>
      </c>
      <c r="AA83" s="265" t="n">
        <v>4938000</v>
      </c>
      <c r="AC83" s="265" t="n">
        <v>4969000</v>
      </c>
      <c r="AD83" s="265" t="n">
        <v>4943000</v>
      </c>
    </row>
    <row r="84">
      <c r="A84" t="inlineStr">
        <is>
          <t>Nova abertura - Software license (USD) · fonte · unid. moeda</t>
        </is>
      </c>
      <c r="B84" t="n">
        <v>55</v>
      </c>
      <c r="C84" t="inlineStr">
        <is>
          <t>Nova abertura - Software license (USD)</t>
        </is>
      </c>
      <c r="D84" s="265" t="n"/>
      <c r="E84" s="265" t="n"/>
      <c r="F84" s="265" t="n"/>
      <c r="G84" s="265" t="n"/>
      <c r="I84" s="265" t="n"/>
      <c r="J84" s="265" t="n"/>
      <c r="K84" s="265" t="n"/>
      <c r="L84" s="265" t="n"/>
      <c r="N84" s="265" t="n"/>
      <c r="O84" s="265" t="n"/>
      <c r="P84" s="265" t="n"/>
      <c r="Q84" s="265" t="n"/>
      <c r="S84" s="265" t="n"/>
      <c r="T84" s="265" t="n"/>
      <c r="U84" s="265" t="n">
        <v>870000</v>
      </c>
      <c r="V84" s="265" t="n">
        <v>1195000</v>
      </c>
      <c r="X84" s="265" t="n">
        <v>1129000</v>
      </c>
      <c r="Y84" s="265" t="n">
        <v>2007000</v>
      </c>
      <c r="Z84" s="265" t="n">
        <v>766000</v>
      </c>
      <c r="AA84" s="265" t="n">
        <v>939000</v>
      </c>
      <c r="AC84" s="265" t="n">
        <v>1150000</v>
      </c>
      <c r="AD84" s="265" t="n">
        <v>1881000</v>
      </c>
    </row>
    <row r="85">
      <c r="A85" t="inlineStr">
        <is>
          <t>Abertura antiga - Cloud services &amp; license support (USD) · fonte · unid. moeda</t>
        </is>
      </c>
      <c r="B85" t="n">
        <v>56</v>
      </c>
      <c r="C85" t="inlineStr">
        <is>
          <t>Abertura antiga - Cloud services &amp; license support (USD)</t>
        </is>
      </c>
      <c r="D85" s="265" t="n">
        <v>7252000</v>
      </c>
      <c r="E85" s="265" t="n">
        <v>7389000</v>
      </c>
      <c r="F85" s="265" t="n">
        <v>7371000</v>
      </c>
      <c r="G85" s="265" t="n">
        <v>7554000</v>
      </c>
      <c r="I85" s="265" t="n">
        <v>7637000</v>
      </c>
      <c r="J85" s="265" t="n">
        <v>7612000</v>
      </c>
      <c r="K85" s="265" t="n">
        <v>8417000</v>
      </c>
      <c r="L85" s="265" t="n">
        <v>8598000</v>
      </c>
      <c r="N85" s="265" t="n">
        <v>8923000</v>
      </c>
      <c r="O85" s="265" t="n">
        <v>9369000</v>
      </c>
      <c r="P85" s="265" t="n">
        <v>9547000</v>
      </c>
      <c r="Q85" s="265" t="n">
        <v>9639000</v>
      </c>
      <c r="S85" s="265" t="n">
        <v>9963000</v>
      </c>
      <c r="T85" s="265" t="n">
        <v>10234000</v>
      </c>
      <c r="U85" s="265" t="n">
        <v>10519000</v>
      </c>
      <c r="V85" s="265" t="n">
        <v>10806000</v>
      </c>
      <c r="X85" s="265" t="n">
        <v>11007000</v>
      </c>
      <c r="Y85" s="265" t="n">
        <v>11698000</v>
      </c>
      <c r="Z85" s="265" t="n"/>
      <c r="AA85" s="265" t="n"/>
      <c r="AC85" s="265" t="n"/>
      <c r="AD85" s="265" t="n"/>
    </row>
    <row r="86">
      <c r="A86" t="inlineStr">
        <is>
          <t>Abertura antiga - Infrastructure cloud services &amp; license support (USD) · fonte · unid. moeda</t>
        </is>
      </c>
      <c r="B86" t="n">
        <v>57</v>
      </c>
      <c r="C86" t="inlineStr">
        <is>
          <t>Abertura antiga - Infrastructure cloud services &amp; license su</t>
        </is>
      </c>
      <c r="D86" s="265" t="n">
        <v>4300000</v>
      </c>
      <c r="E86" s="265" t="n">
        <v>4346000</v>
      </c>
      <c r="F86" s="265" t="n">
        <v>4330000</v>
      </c>
      <c r="G86" s="265" t="n">
        <v>4405000</v>
      </c>
      <c r="I86" s="265" t="n">
        <v>4450000</v>
      </c>
      <c r="J86" s="265" t="n">
        <v>4377000</v>
      </c>
      <c r="K86" s="265" t="n">
        <v>4401000</v>
      </c>
      <c r="L86" s="265" t="n">
        <v>4518000</v>
      </c>
      <c r="N86" s="265" t="n">
        <v>4757000</v>
      </c>
      <c r="O86" s="265" t="n">
        <v>4980000</v>
      </c>
      <c r="P86" s="265" t="n">
        <v>5076000</v>
      </c>
      <c r="Q86" s="265" t="n">
        <v>5165000</v>
      </c>
      <c r="S86" s="265" t="n">
        <v>5379000</v>
      </c>
      <c r="T86" s="265" t="n">
        <v>5591000</v>
      </c>
      <c r="U86" s="265" t="n">
        <v>5750000</v>
      </c>
      <c r="V86" s="265" t="n">
        <v>6022000</v>
      </c>
      <c r="X86" s="265" t="n">
        <v>6196000</v>
      </c>
      <c r="Y86" s="265" t="n">
        <v>6678000</v>
      </c>
      <c r="Z86" s="265" t="n"/>
      <c r="AA86" s="265" t="n"/>
      <c r="AC86" s="265" t="n"/>
      <c r="AD86" s="265" t="n"/>
    </row>
    <row r="87">
      <c r="A87" t="inlineStr">
        <is>
          <t>Abertura antiga - Applications cloud services &amp; license support (USD) · fonte · unid. moeda</t>
        </is>
      </c>
      <c r="B87" t="n">
        <v>58</v>
      </c>
      <c r="C87" t="inlineStr">
        <is>
          <t>Abertura antiga - Applications cloud services &amp; license supp</t>
        </is>
      </c>
      <c r="D87" s="265" t="n">
        <v>2952000</v>
      </c>
      <c r="E87" s="265" t="n">
        <v>3043000</v>
      </c>
      <c r="F87" s="265" t="n">
        <v>3041000</v>
      </c>
      <c r="G87" s="265" t="n">
        <v>3149000</v>
      </c>
      <c r="I87" s="265" t="n">
        <v>3187000</v>
      </c>
      <c r="J87" s="265" t="n">
        <v>3235000</v>
      </c>
      <c r="K87" s="265" t="n">
        <v>4016000</v>
      </c>
      <c r="L87" s="265" t="n">
        <v>4080000</v>
      </c>
      <c r="N87" s="265" t="n">
        <v>4166000</v>
      </c>
      <c r="O87" s="265" t="n">
        <v>4389000</v>
      </c>
      <c r="P87" s="265" t="n">
        <v>4471000</v>
      </c>
      <c r="Q87" s="265" t="n">
        <v>4474000</v>
      </c>
      <c r="S87" s="265" t="n">
        <v>4584000</v>
      </c>
      <c r="T87" s="265" t="n">
        <v>4643000</v>
      </c>
      <c r="U87" s="265" t="n">
        <v>4769000</v>
      </c>
      <c r="V87" s="265" t="n">
        <v>4784000</v>
      </c>
      <c r="X87" s="265" t="n">
        <v>4811000</v>
      </c>
      <c r="Y87" s="265" t="n">
        <v>5020000</v>
      </c>
      <c r="Z87" s="265" t="n"/>
      <c r="AA87" s="265" t="n"/>
      <c r="AC87" s="265" t="n"/>
      <c r="AD87" s="265" t="n"/>
    </row>
    <row r="88">
      <c r="A88" t="inlineStr">
        <is>
          <t>Américas (USD) · fonte · unid. moeda</t>
        </is>
      </c>
      <c r="B88" t="n">
        <v>59</v>
      </c>
      <c r="C88" t="inlineStr">
        <is>
          <t>Américas (USD)</t>
        </is>
      </c>
      <c r="D88" s="265" t="n">
        <v>5424000</v>
      </c>
      <c r="E88" s="265" t="n">
        <v>6077000</v>
      </c>
      <c r="F88" s="265" t="n">
        <v>5321000</v>
      </c>
      <c r="G88" s="265" t="n">
        <v>5736000</v>
      </c>
      <c r="I88" s="265" t="n">
        <v>5849000</v>
      </c>
      <c r="J88" s="265" t="n">
        <v>6774000</v>
      </c>
      <c r="K88" s="265" t="n">
        <v>7192000</v>
      </c>
      <c r="L88" s="265" t="n">
        <v>7786000</v>
      </c>
      <c r="N88" s="265" t="n">
        <v>7671000</v>
      </c>
      <c r="O88" s="265" t="n">
        <v>8577000</v>
      </c>
      <c r="P88" s="265" t="n">
        <v>7841000</v>
      </c>
      <c r="Q88" s="265" t="n">
        <v>8067000</v>
      </c>
      <c r="S88" s="265" t="n">
        <v>8270000</v>
      </c>
      <c r="T88" s="265" t="n">
        <v>8945000</v>
      </c>
      <c r="U88" s="265" t="n">
        <v>8372000</v>
      </c>
      <c r="V88" s="265" t="n">
        <v>8933000</v>
      </c>
      <c r="X88" s="265" t="n">
        <v>9000000</v>
      </c>
      <c r="Y88" s="265" t="n">
        <v>10034000</v>
      </c>
      <c r="Z88" s="265" t="n">
        <v>9662000</v>
      </c>
      <c r="AA88" s="265" t="n">
        <v>10467000</v>
      </c>
      <c r="AC88" s="265" t="n">
        <v>11361000</v>
      </c>
      <c r="AD88" s="265" t="n">
        <v>12988000</v>
      </c>
    </row>
    <row r="89">
      <c r="A89" t="inlineStr">
        <is>
          <t>EMEA (USD) · fonte · unid. moeda</t>
        </is>
      </c>
      <c r="B89" t="n">
        <v>60</v>
      </c>
      <c r="C89" t="inlineStr">
        <is>
          <t>EMEA (USD)</t>
        </is>
      </c>
      <c r="D89" s="265" t="n">
        <v>2981000</v>
      </c>
      <c r="E89" s="265" t="n">
        <v>3323000</v>
      </c>
      <c r="F89" s="265" t="n">
        <v>2784000</v>
      </c>
      <c r="G89" s="265" t="n">
        <v>2953000</v>
      </c>
      <c r="I89" s="265" t="n">
        <v>3014000</v>
      </c>
      <c r="J89" s="265" t="n">
        <v>3260000</v>
      </c>
      <c r="K89" s="265" t="n">
        <v>2691000</v>
      </c>
      <c r="L89" s="265" t="n">
        <v>2895000</v>
      </c>
      <c r="N89" s="265" t="n">
        <v>3067000</v>
      </c>
      <c r="O89" s="265" t="n">
        <v>3456000</v>
      </c>
      <c r="P89" s="265" t="n">
        <v>3005000</v>
      </c>
      <c r="Q89" s="265" t="n">
        <v>3170000</v>
      </c>
      <c r="S89" s="265" t="n">
        <v>3316000</v>
      </c>
      <c r="T89" s="265" t="n">
        <v>3539000</v>
      </c>
      <c r="U89" s="265" t="n">
        <v>3228000</v>
      </c>
      <c r="V89" s="265" t="n">
        <v>3381000</v>
      </c>
      <c r="X89" s="265" t="n">
        <v>3421000</v>
      </c>
      <c r="Y89" s="265" t="n">
        <v>3996000</v>
      </c>
      <c r="Z89" s="265" t="n">
        <v>3481000</v>
      </c>
      <c r="AA89" s="265" t="n">
        <v>3760000</v>
      </c>
      <c r="AC89" s="265" t="n">
        <v>3964000</v>
      </c>
      <c r="AD89" s="265" t="n">
        <v>4093000</v>
      </c>
    </row>
    <row r="90">
      <c r="A90" t="inlineStr">
        <is>
          <t>Ásia-Pacífico (USD) · fonte · unid. moeda</t>
        </is>
      </c>
      <c r="B90" t="n">
        <v>61</v>
      </c>
      <c r="C90" t="inlineStr">
        <is>
          <t>Ásia-Pacífico (USD)</t>
        </is>
      </c>
      <c r="D90" s="265" t="n">
        <v>1680000</v>
      </c>
      <c r="E90" s="265" t="n">
        <v>1827000</v>
      </c>
      <c r="F90" s="265" t="n">
        <v>1623000</v>
      </c>
      <c r="G90" s="265" t="n">
        <v>1671000</v>
      </c>
      <c r="I90" s="265" t="n">
        <v>1650000</v>
      </c>
      <c r="J90" s="265" t="n">
        <v>1806000</v>
      </c>
      <c r="K90" s="265" t="n">
        <v>1562000</v>
      </c>
      <c r="L90" s="265" t="n">
        <v>1594000</v>
      </c>
      <c r="N90" s="265" t="n">
        <v>1660000</v>
      </c>
      <c r="O90" s="265" t="n">
        <v>1803000</v>
      </c>
      <c r="P90" s="265" t="n">
        <v>1607000</v>
      </c>
      <c r="Q90" s="265" t="n">
        <v>1704000</v>
      </c>
      <c r="S90" s="265" t="n">
        <v>1694000</v>
      </c>
      <c r="T90" s="265" t="n">
        <v>1803000</v>
      </c>
      <c r="U90" s="265" t="n">
        <v>1707000</v>
      </c>
      <c r="V90" s="265" t="n">
        <v>1745000</v>
      </c>
      <c r="X90" s="265" t="n">
        <v>1709000</v>
      </c>
      <c r="Y90" s="265" t="n">
        <v>1873000</v>
      </c>
      <c r="Z90" s="265" t="n">
        <v>1783000</v>
      </c>
      <c r="AA90" s="265" t="n">
        <v>1831000</v>
      </c>
      <c r="AC90" s="265" t="n">
        <v>1865000</v>
      </c>
      <c r="AD90" s="265" t="n">
        <v>2103000</v>
      </c>
    </row>
    <row r="91">
      <c r="A91" t="inlineStr">
        <is>
          <t>RPO - obrigações de desempenho remanescentes, saldo no fim do período (USD) · fonte · unid. moeda</t>
        </is>
      </c>
      <c r="B91" t="n">
        <v>62</v>
      </c>
      <c r="C91" t="inlineStr">
        <is>
          <t>RPO - obrigações de desempenho remanescentes, saldo no fim d</t>
        </is>
      </c>
      <c r="D91" s="265" t="n">
        <v>35300000</v>
      </c>
      <c r="E91" s="265" t="n">
        <v>41300000</v>
      </c>
      <c r="F91" s="265" t="n">
        <v>38700000</v>
      </c>
      <c r="G91" s="265" t="n">
        <v>37200000</v>
      </c>
      <c r="I91" s="265" t="n">
        <v>38500000</v>
      </c>
      <c r="J91" s="265" t="n">
        <v>46600000</v>
      </c>
      <c r="K91" s="265" t="n">
        <v>60700000</v>
      </c>
      <c r="L91" s="265" t="n">
        <v>61200000</v>
      </c>
      <c r="N91" s="265" t="n">
        <v>62300000</v>
      </c>
      <c r="O91" s="265" t="n">
        <v>67900000</v>
      </c>
      <c r="P91" s="265" t="n">
        <v>64900000</v>
      </c>
      <c r="Q91" s="265" t="n">
        <v>65500000</v>
      </c>
      <c r="S91" s="265" t="n">
        <v>80200000</v>
      </c>
      <c r="T91" s="265" t="n">
        <v>97900000</v>
      </c>
      <c r="U91" s="265" t="n">
        <v>99100000</v>
      </c>
      <c r="V91" s="265" t="n">
        <v>97300000</v>
      </c>
      <c r="X91" s="265" t="n">
        <v>130200000</v>
      </c>
      <c r="Y91" s="265" t="n">
        <v>137800000</v>
      </c>
      <c r="Z91" s="265" t="n">
        <v>455300000</v>
      </c>
      <c r="AA91" s="265" t="n">
        <v>523300000</v>
      </c>
      <c r="AC91" s="265" t="n">
        <v>552600000</v>
      </c>
      <c r="AD91" s="265" t="n">
        <v>638000000</v>
      </c>
    </row>
    <row r="92">
      <c r="A92" t="inlineStr">
        <is>
          <t>Notas: valores das instâncias XBRL. Ano fiscal termina em 31/mai: ago -&gt; 3T, nov -&gt; 4T, fev -&gt; 1T, mai -&gt; 2T do calendário. O trimestre encerrado em ago/26 (1T do ano fiscal 2027) fica fora da grade, que termina no 2T26. A partir do ano fiscal 2026 a Oracle passou a abrir Cloud (infraestrutura + aplicações) separado de Software (licença + suporte), com comparativos desde 2T24; antes, a abertura era Cloud services &amp; license support (incluía suporte de licenças) e Cloud license &amp; on-premise license. As duas aberturas ficam em linhas separadas porque o escopo é diferente. Lucro do segmento = margem de contribuição divulgada pela Oracle (antes de P&amp;D, G&amp;A, amortização e reestruturação).</t>
        </is>
      </c>
      <c r="C92" t="inlineStr">
        <is>
          <t>[linha bruta, sem código; lançada nas linhas abaixo]</t>
        </is>
      </c>
      <c r="D92" s="265" t="n"/>
      <c r="E92" s="265" t="n"/>
      <c r="F92" s="265" t="n"/>
      <c r="G92" s="265" t="n"/>
      <c r="I92" s="265" t="n"/>
      <c r="J92" s="265" t="n"/>
      <c r="K92" s="265" t="n"/>
      <c r="L92" s="265" t="n"/>
      <c r="N92" s="265" t="n"/>
      <c r="O92" s="265" t="n"/>
      <c r="P92" s="265" t="n"/>
      <c r="Q92" s="265" t="n"/>
      <c r="S92" s="265" t="n"/>
      <c r="T92" s="265" t="n"/>
      <c r="U92" s="265" t="n"/>
      <c r="V92" s="265" t="n"/>
      <c r="X92" s="265" t="n"/>
      <c r="Y92" s="265" t="n"/>
      <c r="Z92" s="265" t="n"/>
      <c r="AA92" s="265" t="n"/>
      <c r="AC92" s="265" t="n"/>
      <c r="AD92" s="265" t="n"/>
    </row>
    <row r="94">
      <c r="A94" t="inlineStr">
        <is>
          <t>Linhas de origem: 4 a 92. A Inputs (2) varre as linhas 4 a 150; as linhas 93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0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Oracle Corporation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10085</v>
      </c>
      <c r="E4" s="11">
        <f>IF(E$3=0,"",SUMIFS(INDEX(Inputs!$D$4:$AG$150,0,MATCH(E$2,Inputs!$D$2:$AG$2,0)),Inputs!$B$4:$B$150,$B4)/1000)</f>
        <v>11227</v>
      </c>
      <c r="F4" s="11">
        <f>IF(F$3=0,"",SUMIFS(INDEX(Inputs!$D$4:$AG$150,0,MATCH(F$2,Inputs!$D$2:$AG$2,0)),Inputs!$B$4:$B$150,$B4)/1000)</f>
        <v>9728</v>
      </c>
      <c r="G4" s="11">
        <f>IF(G$3=0,"",SUMIFS(INDEX(Inputs!$D$4:$AG$150,0,MATCH(G$2,Inputs!$D$2:$AG$2,0)),Inputs!$B$4:$B$150,$B4)/1000)</f>
        <v>10360</v>
      </c>
      <c r="H4" s="12">
        <f>IF(COUNT(D4:G4)=4,SUM(D4:G4),"")</f>
        <v>41400</v>
      </c>
      <c r="I4" s="11">
        <f>IF(I$3=0,"",SUMIFS(INDEX(Inputs!$D$4:$AG$150,0,MATCH(I$2,Inputs!$D$2:$AG$2,0)),Inputs!$B$4:$B$150,$B4)/1000)</f>
        <v>10513</v>
      </c>
      <c r="J4" s="11">
        <f>IF(J$3=0,"",SUMIFS(INDEX(Inputs!$D$4:$AG$150,0,MATCH(J$2,Inputs!$D$2:$AG$2,0)),Inputs!$B$4:$B$150,$B4)/1000)</f>
        <v>11840</v>
      </c>
      <c r="K4" s="11">
        <f>IF(K$3=0,"",SUMIFS(INDEX(Inputs!$D$4:$AG$150,0,MATCH(K$2,Inputs!$D$2:$AG$2,0)),Inputs!$B$4:$B$150,$B4)/1000)</f>
        <v>11445</v>
      </c>
      <c r="L4" s="11">
        <f>IF(L$3=0,"",SUMIFS(INDEX(Inputs!$D$4:$AG$150,0,MATCH(L$2,Inputs!$D$2:$AG$2,0)),Inputs!$B$4:$B$150,$B4)/1000)</f>
        <v>12275</v>
      </c>
      <c r="M4" s="12">
        <f>IF(COUNT(I4:L4)=4,SUM(I4:L4),"")</f>
        <v>46073</v>
      </c>
      <c r="N4" s="11">
        <f>IF(N$3=0,"",SUMIFS(INDEX(Inputs!$D$4:$AG$150,0,MATCH(N$2,Inputs!$D$2:$AG$2,0)),Inputs!$B$4:$B$150,$B4)/1000)</f>
        <v>12398</v>
      </c>
      <c r="O4" s="11">
        <f>IF(O$3=0,"",SUMIFS(INDEX(Inputs!$D$4:$AG$150,0,MATCH(O$2,Inputs!$D$2:$AG$2,0)),Inputs!$B$4:$B$150,$B4)/1000)</f>
        <v>13836</v>
      </c>
      <c r="P4" s="11">
        <f>IF(P$3=0,"",SUMIFS(INDEX(Inputs!$D$4:$AG$150,0,MATCH(P$2,Inputs!$D$2:$AG$2,0)),Inputs!$B$4:$B$150,$B4)/1000)</f>
        <v>12453</v>
      </c>
      <c r="Q4" s="11">
        <f>IF(Q$3=0,"",SUMIFS(INDEX(Inputs!$D$4:$AG$150,0,MATCH(Q$2,Inputs!$D$2:$AG$2,0)),Inputs!$B$4:$B$150,$B4)/1000)</f>
        <v>12941</v>
      </c>
      <c r="R4" s="12">
        <f>IF(COUNT(N4:Q4)=4,SUM(N4:Q4),"")</f>
        <v>51628</v>
      </c>
      <c r="S4" s="11">
        <f>IF(S$3=0,"",SUMIFS(INDEX(Inputs!$D$4:$AG$150,0,MATCH(S$2,Inputs!$D$2:$AG$2,0)),Inputs!$B$4:$B$150,$B4)/1000)</f>
        <v>13280</v>
      </c>
      <c r="T4" s="11">
        <f>IF(T$3=0,"",SUMIFS(INDEX(Inputs!$D$4:$AG$150,0,MATCH(T$2,Inputs!$D$2:$AG$2,0)),Inputs!$B$4:$B$150,$B4)/1000)</f>
        <v>14287</v>
      </c>
      <c r="U4" s="11">
        <f>IF(U$3=0,"",SUMIFS(INDEX(Inputs!$D$4:$AG$150,0,MATCH(U$2,Inputs!$D$2:$AG$2,0)),Inputs!$B$4:$B$150,$B4)/1000)</f>
        <v>13307</v>
      </c>
      <c r="V4" s="11">
        <f>IF(V$3=0,"",SUMIFS(INDEX(Inputs!$D$4:$AG$150,0,MATCH(V$2,Inputs!$D$2:$AG$2,0)),Inputs!$B$4:$B$150,$B4)/1000)</f>
        <v>14059</v>
      </c>
      <c r="W4" s="12">
        <f>IF(COUNT(S4:V4)=4,SUM(S4:V4),"")</f>
        <v>54933</v>
      </c>
      <c r="X4" s="11">
        <f>IF(X$3=0,"",SUMIFS(INDEX(Inputs!$D$4:$AG$150,0,MATCH(X$2,Inputs!$D$2:$AG$2,0)),Inputs!$B$4:$B$150,$B4)/1000)</f>
        <v>14130</v>
      </c>
      <c r="Y4" s="11">
        <f>IF(Y$3=0,"",SUMIFS(INDEX(Inputs!$D$4:$AG$150,0,MATCH(Y$2,Inputs!$D$2:$AG$2,0)),Inputs!$B$4:$B$150,$B4)/1000)</f>
        <v>15903</v>
      </c>
      <c r="Z4" s="11">
        <f>IF(Z$3=0,"",SUMIFS(INDEX(Inputs!$D$4:$AG$150,0,MATCH(Z$2,Inputs!$D$2:$AG$2,0)),Inputs!$B$4:$B$150,$B4)/1000)</f>
        <v>14926</v>
      </c>
      <c r="AA4" s="11">
        <f>IF(AA$3=0,"",SUMIFS(INDEX(Inputs!$D$4:$AG$150,0,MATCH(AA$2,Inputs!$D$2:$AG$2,0)),Inputs!$B$4:$B$150,$B4)/1000)</f>
        <v>16058</v>
      </c>
      <c r="AB4" s="12">
        <f>IF(COUNT(X4:AA4)=4,SUM(X4:AA4),"")</f>
        <v>61017</v>
      </c>
      <c r="AC4" s="11">
        <f>IF(AC$3=0,"",SUMIFS(INDEX(Inputs!$D$4:$AG$150,0,MATCH(AC$2,Inputs!$D$2:$AG$2,0)),Inputs!$B$4:$B$150,$B4)/1000)</f>
        <v>17190</v>
      </c>
      <c r="AD4" s="11">
        <f>IF(AD$3=0,"",SUMIFS(INDEX(Inputs!$D$4:$AG$150,0,MATCH(AD$2,Inputs!$D$2:$AG$2,0)),Inputs!$B$4:$B$150,$B4)/1000)</f>
        <v>19184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-1915</v>
      </c>
      <c r="E5" s="11">
        <f>IF(E$3=0,"",SUMIFS(INDEX(Inputs!$D$4:$AG$150,0,MATCH(E$2,Inputs!$D$2:$AG$2,0)),Inputs!$B$4:$B$150,$B5)/1000)</f>
        <v>-2122</v>
      </c>
      <c r="F5" s="11">
        <f>IF(F$3=0,"",SUMIFS(INDEX(Inputs!$D$4:$AG$150,0,MATCH(F$2,Inputs!$D$2:$AG$2,0)),Inputs!$B$4:$B$150,$B5)/1000)</f>
        <v>-2103</v>
      </c>
      <c r="G5" s="11">
        <f>IF(G$3=0,"",SUMIFS(INDEX(Inputs!$D$4:$AG$150,0,MATCH(G$2,Inputs!$D$2:$AG$2,0)),Inputs!$B$4:$B$150,$B5)/1000)</f>
        <v>-2159</v>
      </c>
      <c r="H5" s="12">
        <f>IF(COUNT(D5:G5)=4,SUM(D5:G5),"")</f>
        <v>-8299</v>
      </c>
      <c r="I5" s="11">
        <f>IF(I$3=0,"",SUMIFS(INDEX(Inputs!$D$4:$AG$150,0,MATCH(I$2,Inputs!$D$2:$AG$2,0)),Inputs!$B$4:$B$150,$B5)/1000)</f>
        <v>-2218</v>
      </c>
      <c r="J5" s="11">
        <f>IF(J$3=0,"",SUMIFS(INDEX(Inputs!$D$4:$AG$150,0,MATCH(J$2,Inputs!$D$2:$AG$2,0)),Inputs!$B$4:$B$150,$B5)/1000)</f>
        <v>-2397</v>
      </c>
      <c r="K5" s="11">
        <f>IF(K$3=0,"",SUMIFS(INDEX(Inputs!$D$4:$AG$150,0,MATCH(K$2,Inputs!$D$2:$AG$2,0)),Inputs!$B$4:$B$150,$B5)/1000)</f>
        <v>-3037</v>
      </c>
      <c r="L5" s="11">
        <f>IF(L$3=0,"",SUMIFS(INDEX(Inputs!$D$4:$AG$150,0,MATCH(L$2,Inputs!$D$2:$AG$2,0)),Inputs!$B$4:$B$150,$B5)/1000)</f>
        <v>-3358</v>
      </c>
      <c r="M5" s="12">
        <f>IF(COUNT(I5:L5)=4,SUM(I5:L5),"")</f>
        <v>-11010</v>
      </c>
      <c r="N5" s="11">
        <f>IF(N$3=0,"",SUMIFS(INDEX(Inputs!$D$4:$AG$150,0,MATCH(N$2,Inputs!$D$2:$AG$2,0)),Inputs!$B$4:$B$150,$B5)/1000)</f>
        <v>-3439</v>
      </c>
      <c r="O5" s="11">
        <f>IF(O$3=0,"",SUMIFS(INDEX(Inputs!$D$4:$AG$150,0,MATCH(O$2,Inputs!$D$2:$AG$2,0)),Inputs!$B$4:$B$150,$B5)/1000)</f>
        <v>-3730</v>
      </c>
      <c r="P5" s="11">
        <f>IF(P$3=0,"",SUMIFS(INDEX(Inputs!$D$4:$AG$150,0,MATCH(P$2,Inputs!$D$2:$AG$2,0)),Inputs!$B$4:$B$150,$B5)/1000)</f>
        <v>-3610</v>
      </c>
      <c r="Q5" s="11">
        <f>IF(Q$3=0,"",SUMIFS(INDEX(Inputs!$D$4:$AG$150,0,MATCH(Q$2,Inputs!$D$2:$AG$2,0)),Inputs!$B$4:$B$150,$B5)/1000)</f>
        <v>-3740</v>
      </c>
      <c r="R5" s="12">
        <f>IF(COUNT(N5:Q5)=4,SUM(N5:Q5),"")</f>
        <v>-14519</v>
      </c>
      <c r="S5" s="11">
        <f>IF(S$3=0,"",SUMIFS(INDEX(Inputs!$D$4:$AG$150,0,MATCH(S$2,Inputs!$D$2:$AG$2,0)),Inputs!$B$4:$B$150,$B5)/1000)</f>
        <v>-3869</v>
      </c>
      <c r="T5" s="11">
        <f>IF(T$3=0,"",SUMIFS(INDEX(Inputs!$D$4:$AG$150,0,MATCH(T$2,Inputs!$D$2:$AG$2,0)),Inputs!$B$4:$B$150,$B5)/1000)</f>
        <v>-3924</v>
      </c>
      <c r="U5" s="11">
        <f>IF(U$3=0,"",SUMIFS(INDEX(Inputs!$D$4:$AG$150,0,MATCH(U$2,Inputs!$D$2:$AG$2,0)),Inputs!$B$4:$B$150,$B5)/1000)</f>
        <v>-3906</v>
      </c>
      <c r="V5" s="11">
        <f>IF(V$3=0,"",SUMIFS(INDEX(Inputs!$D$4:$AG$150,0,MATCH(V$2,Inputs!$D$2:$AG$2,0)),Inputs!$B$4:$B$150,$B5)/1000)</f>
        <v>-4085</v>
      </c>
      <c r="W5" s="12">
        <f>IF(COUNT(S5:V5)=4,SUM(S5:V5),"")</f>
        <v>-15784</v>
      </c>
      <c r="X5" s="11">
        <f>IF(X$3=0,"",SUMIFS(INDEX(Inputs!$D$4:$AG$150,0,MATCH(X$2,Inputs!$D$2:$AG$2,0)),Inputs!$B$4:$B$150,$B5)/1000)</f>
        <v>-4195</v>
      </c>
      <c r="Y5" s="11">
        <f>IF(Y$3=0,"",SUMIFS(INDEX(Inputs!$D$4:$AG$150,0,MATCH(Y$2,Inputs!$D$2:$AG$2,0)),Inputs!$B$4:$B$150,$B5)/1000)</f>
        <v>-4741</v>
      </c>
      <c r="Z5" s="11">
        <f>IF(Z$3=0,"",SUMIFS(INDEX(Inputs!$D$4:$AG$150,0,MATCH(Z$2,Inputs!$D$2:$AG$2,0)),Inputs!$B$4:$B$150,$B5)/1000)</f>
        <v>-4884</v>
      </c>
      <c r="AA5" s="11">
        <f>IF(AA$3=0,"",SUMIFS(INDEX(Inputs!$D$4:$AG$150,0,MATCH(AA$2,Inputs!$D$2:$AG$2,0)),Inputs!$B$4:$B$150,$B5)/1000)</f>
        <v>-5374</v>
      </c>
      <c r="AB5" s="12">
        <f>IF(COUNT(X5:AA5)=4,SUM(X5:AA5),"")</f>
        <v>-19194</v>
      </c>
      <c r="AC5" s="11">
        <f>IF(AC$3=0,"",SUMIFS(INDEX(Inputs!$D$4:$AG$150,0,MATCH(AC$2,Inputs!$D$2:$AG$2,0)),Inputs!$B$4:$B$150,$B5)/1000)</f>
        <v>-6092</v>
      </c>
      <c r="AD5" s="11">
        <f>IF(AD$3=0,"",SUMIFS(INDEX(Inputs!$D$4:$AG$150,0,MATCH(AD$2,Inputs!$D$2:$AG$2,0)),Inputs!$B$4:$B$150,$B5)/1000)</f>
        <v>-6671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-3560</v>
      </c>
      <c r="E6" s="11">
        <f>IF(E$3=0,"",SUMIFS(INDEX(Inputs!$D$4:$AG$150,0,MATCH(E$2,Inputs!$D$2:$AG$2,0)),Inputs!$B$4:$B$150,$B6)/1000)</f>
        <v>-3812</v>
      </c>
      <c r="F6" s="11">
        <f>IF(F$3=0,"",SUMIFS(INDEX(Inputs!$D$4:$AG$150,0,MATCH(F$2,Inputs!$D$2:$AG$2,0)),Inputs!$B$4:$B$150,$B6)/1000)</f>
        <v>-3441</v>
      </c>
      <c r="G6" s="11">
        <f>IF(G$3=0,"",SUMIFS(INDEX(Inputs!$D$4:$AG$150,0,MATCH(G$2,Inputs!$D$2:$AG$2,0)),Inputs!$B$4:$B$150,$B6)/1000)</f>
        <v>-8267</v>
      </c>
      <c r="H6" s="12">
        <f>IF(COUNT(D6:G6)=4,SUM(D6:G6),"")</f>
        <v>-19080</v>
      </c>
      <c r="I6" s="11">
        <f>IF(I$3=0,"",SUMIFS(INDEX(Inputs!$D$4:$AG$150,0,MATCH(I$2,Inputs!$D$2:$AG$2,0)),Inputs!$B$4:$B$150,$B6)/1000)</f>
        <v>-3698</v>
      </c>
      <c r="J6" s="11">
        <f>IF(J$3=0,"",SUMIFS(INDEX(Inputs!$D$4:$AG$150,0,MATCH(J$2,Inputs!$D$2:$AG$2,0)),Inputs!$B$4:$B$150,$B6)/1000)</f>
        <v>-4110</v>
      </c>
      <c r="K6" s="11">
        <f>IF(K$3=0,"",SUMIFS(INDEX(Inputs!$D$4:$AG$150,0,MATCH(K$2,Inputs!$D$2:$AG$2,0)),Inputs!$B$4:$B$150,$B6)/1000)</f>
        <v>-4319</v>
      </c>
      <c r="L6" s="11">
        <f>IF(L$3=0,"",SUMIFS(INDEX(Inputs!$D$4:$AG$150,0,MATCH(L$2,Inputs!$D$2:$AG$2,0)),Inputs!$B$4:$B$150,$B6)/1000)</f>
        <v>-4348</v>
      </c>
      <c r="M6" s="12">
        <f>IF(COUNT(I6:L6)=4,SUM(I6:L6),"")</f>
        <v>-16475</v>
      </c>
      <c r="N6" s="11">
        <f>IF(N$3=0,"",SUMIFS(INDEX(Inputs!$D$4:$AG$150,0,MATCH(N$2,Inputs!$D$2:$AG$2,0)),Inputs!$B$4:$B$150,$B6)/1000)</f>
        <v>-4141</v>
      </c>
      <c r="O6" s="11">
        <f>IF(O$3=0,"",SUMIFS(INDEX(Inputs!$D$4:$AG$150,0,MATCH(O$2,Inputs!$D$2:$AG$2,0)),Inputs!$B$4:$B$150,$B6)/1000)</f>
        <v>-4380</v>
      </c>
      <c r="P6" s="11">
        <f>IF(P$3=0,"",SUMIFS(INDEX(Inputs!$D$4:$AG$150,0,MATCH(P$2,Inputs!$D$2:$AG$2,0)),Inputs!$B$4:$B$150,$B6)/1000)</f>
        <v>-4072</v>
      </c>
      <c r="Q6" s="11">
        <f>IF(Q$3=0,"",SUMIFS(INDEX(Inputs!$D$4:$AG$150,0,MATCH(Q$2,Inputs!$D$2:$AG$2,0)),Inputs!$B$4:$B$150,$B6)/1000)</f>
        <v>-4026</v>
      </c>
      <c r="R6" s="12">
        <f>IF(COUNT(N6:Q6)=4,SUM(N6:Q6),"")</f>
        <v>-16619</v>
      </c>
      <c r="S6" s="11">
        <f>IF(S$3=0,"",SUMIFS(INDEX(Inputs!$D$4:$AG$150,0,MATCH(S$2,Inputs!$D$2:$AG$2,0)),Inputs!$B$4:$B$150,$B6)/1000)</f>
        <v>-4104</v>
      </c>
      <c r="T6" s="11">
        <f>IF(T$3=0,"",SUMIFS(INDEX(Inputs!$D$4:$AG$150,0,MATCH(T$2,Inputs!$D$2:$AG$2,0)),Inputs!$B$4:$B$150,$B6)/1000)</f>
        <v>-4123</v>
      </c>
      <c r="U6" s="11">
        <f>IF(U$3=0,"",SUMIFS(INDEX(Inputs!$D$4:$AG$150,0,MATCH(U$2,Inputs!$D$2:$AG$2,0)),Inputs!$B$4:$B$150,$B6)/1000)</f>
        <v>-3982</v>
      </c>
      <c r="V6" s="11">
        <f>IF(V$3=0,"",SUMIFS(INDEX(Inputs!$D$4:$AG$150,0,MATCH(V$2,Inputs!$D$2:$AG$2,0)),Inputs!$B$4:$B$150,$B6)/1000)</f>
        <v>-4255</v>
      </c>
      <c r="W6" s="12">
        <f>IF(COUNT(S6:V6)=4,SUM(S6:V6),"")</f>
        <v>-16464</v>
      </c>
      <c r="X6" s="11">
        <f>IF(X$3=0,"",SUMIFS(INDEX(Inputs!$D$4:$AG$150,0,MATCH(X$2,Inputs!$D$2:$AG$2,0)),Inputs!$B$4:$B$150,$B6)/1000)</f>
        <v>-4026</v>
      </c>
      <c r="Y6" s="11">
        <f>IF(Y$3=0,"",SUMIFS(INDEX(Inputs!$D$4:$AG$150,0,MATCH(Y$2,Inputs!$D$2:$AG$2,0)),Inputs!$B$4:$B$150,$B6)/1000)</f>
        <v>-4357</v>
      </c>
      <c r="Z6" s="11">
        <f>IF(Z$3=0,"",SUMIFS(INDEX(Inputs!$D$4:$AG$150,0,MATCH(Z$2,Inputs!$D$2:$AG$2,0)),Inputs!$B$4:$B$150,$B6)/1000)</f>
        <v>-3994</v>
      </c>
      <c r="AA6" s="11">
        <f>IF(AA$3=0,"",SUMIFS(INDEX(Inputs!$D$4:$AG$150,0,MATCH(AA$2,Inputs!$D$2:$AG$2,0)),Inputs!$B$4:$B$150,$B6)/1000)</f>
        <v>-3842</v>
      </c>
      <c r="AB6" s="12">
        <f>IF(COUNT(X6:AA6)=4,SUM(X6:AA6),"")</f>
        <v>-16219</v>
      </c>
      <c r="AC6" s="11">
        <f>IF(AC$3=0,"",SUMIFS(INDEX(Inputs!$D$4:$AG$150,0,MATCH(AC$2,Inputs!$D$2:$AG$2,0)),Inputs!$B$4:$B$150,$B6)/1000)</f>
        <v>-3068</v>
      </c>
      <c r="AD6" s="11">
        <f>IF(AD$3=0,"",SUMIFS(INDEX(Inputs!$D$4:$AG$150,0,MATCH(AD$2,Inputs!$D$2:$AG$2,0)),Inputs!$B$4:$B$150,$B6)/1000)</f>
        <v>-3533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-732</v>
      </c>
      <c r="E7" s="11">
        <f>IF(E$3=0,"",SUMIFS(INDEX(Inputs!$D$4:$AG$150,0,MATCH(E$2,Inputs!$D$2:$AG$2,0)),Inputs!$B$4:$B$150,$B7)/1000)</f>
        <v>-752</v>
      </c>
      <c r="F7" s="11">
        <f>IF(F$3=0,"",SUMIFS(INDEX(Inputs!$D$4:$AG$150,0,MATCH(F$2,Inputs!$D$2:$AG$2,0)),Inputs!$B$4:$B$150,$B7)/1000)</f>
        <v>-757</v>
      </c>
      <c r="G7" s="11">
        <f>IF(G$3=0,"",SUMIFS(INDEX(Inputs!$D$4:$AG$150,0,MATCH(G$2,Inputs!$D$2:$AG$2,0)),Inputs!$B$4:$B$150,$B7)/1000)</f>
        <v>-758</v>
      </c>
      <c r="H7" s="12">
        <f>IF(COUNT(D7:G7)=4,SUM(D7:G7),"")</f>
        <v>-2999</v>
      </c>
      <c r="I7" s="11">
        <f>IF(I$3=0,"",SUMIFS(INDEX(Inputs!$D$4:$AG$150,0,MATCH(I$2,Inputs!$D$2:$AG$2,0)),Inputs!$B$4:$B$150,$B7)/1000)</f>
        <v>-775</v>
      </c>
      <c r="J7" s="11">
        <f>IF(J$3=0,"",SUMIFS(INDEX(Inputs!$D$4:$AG$150,0,MATCH(J$2,Inputs!$D$2:$AG$2,0)),Inputs!$B$4:$B$150,$B7)/1000)</f>
        <v>-831</v>
      </c>
      <c r="K7" s="11">
        <f>IF(K$3=0,"",SUMIFS(INDEX(Inputs!$D$4:$AG$150,0,MATCH(K$2,Inputs!$D$2:$AG$2,0)),Inputs!$B$4:$B$150,$B7)/1000)</f>
        <v>-1466</v>
      </c>
      <c r="L7" s="11">
        <f>IF(L$3=0,"",SUMIFS(INDEX(Inputs!$D$4:$AG$150,0,MATCH(L$2,Inputs!$D$2:$AG$2,0)),Inputs!$B$4:$B$150,$B7)/1000)</f>
        <v>-1498</v>
      </c>
      <c r="M7" s="12">
        <f>IF(COUNT(I7:L7)=4,SUM(I7:L7),"")</f>
        <v>-4570</v>
      </c>
      <c r="N7" s="11">
        <f>IF(N$3=0,"",SUMIFS(INDEX(Inputs!$D$4:$AG$150,0,MATCH(N$2,Inputs!$D$2:$AG$2,0)),Inputs!$B$4:$B$150,$B7)/1000)</f>
        <v>-1558</v>
      </c>
      <c r="O7" s="11">
        <f>IF(O$3=0,"",SUMIFS(INDEX(Inputs!$D$4:$AG$150,0,MATCH(O$2,Inputs!$D$2:$AG$2,0)),Inputs!$B$4:$B$150,$B7)/1000)</f>
        <v>-1586</v>
      </c>
      <c r="P7" s="11">
        <f>IF(P$3=0,"",SUMIFS(INDEX(Inputs!$D$4:$AG$150,0,MATCH(P$2,Inputs!$D$2:$AG$2,0)),Inputs!$B$4:$B$150,$B7)/1000)</f>
        <v>-1475</v>
      </c>
      <c r="Q7" s="11">
        <f>IF(Q$3=0,"",SUMIFS(INDEX(Inputs!$D$4:$AG$150,0,MATCH(Q$2,Inputs!$D$2:$AG$2,0)),Inputs!$B$4:$B$150,$B7)/1000)</f>
        <v>-1553</v>
      </c>
      <c r="R7" s="12">
        <f>IF(COUNT(N7:Q7)=4,SUM(N7:Q7),"")</f>
        <v>-6172</v>
      </c>
      <c r="S7" s="11">
        <f>IF(S$3=0,"",SUMIFS(INDEX(Inputs!$D$4:$AG$150,0,MATCH(S$2,Inputs!$D$2:$AG$2,0)),Inputs!$B$4:$B$150,$B7)/1000)</f>
        <v>-1557</v>
      </c>
      <c r="T7" s="11">
        <f>IF(T$3=0,"",SUMIFS(INDEX(Inputs!$D$4:$AG$150,0,MATCH(T$2,Inputs!$D$2:$AG$2,0)),Inputs!$B$4:$B$150,$B7)/1000)</f>
        <v>-1554</v>
      </c>
      <c r="U7" s="11">
        <f>IF(U$3=0,"",SUMIFS(INDEX(Inputs!$D$4:$AG$150,0,MATCH(U$2,Inputs!$D$2:$AG$2,0)),Inputs!$B$4:$B$150,$B7)/1000)</f>
        <v>-1428</v>
      </c>
      <c r="V7" s="11">
        <f>IF(V$3=0,"",SUMIFS(INDEX(Inputs!$D$4:$AG$150,0,MATCH(V$2,Inputs!$D$2:$AG$2,0)),Inputs!$B$4:$B$150,$B7)/1000)</f>
        <v>-1499</v>
      </c>
      <c r="W7" s="12">
        <f>IF(COUNT(S7:V7)=4,SUM(S7:V7),"")</f>
        <v>-6038</v>
      </c>
      <c r="X7" s="11">
        <f>IF(X$3=0,"",SUMIFS(INDEX(Inputs!$D$4:$AG$150,0,MATCH(X$2,Inputs!$D$2:$AG$2,0)),Inputs!$B$4:$B$150,$B7)/1000)</f>
        <v>-1551</v>
      </c>
      <c r="Y7" s="11">
        <f>IF(Y$3=0,"",SUMIFS(INDEX(Inputs!$D$4:$AG$150,0,MATCH(Y$2,Inputs!$D$2:$AG$2,0)),Inputs!$B$4:$B$150,$B7)/1000)</f>
        <v>-1696</v>
      </c>
      <c r="Z7" s="11">
        <f>IF(Z$3=0,"",SUMIFS(INDEX(Inputs!$D$4:$AG$150,0,MATCH(Z$2,Inputs!$D$2:$AG$2,0)),Inputs!$B$4:$B$150,$B7)/1000)</f>
        <v>-1771</v>
      </c>
      <c r="AA7" s="11">
        <f>IF(AA$3=0,"",SUMIFS(INDEX(Inputs!$D$4:$AG$150,0,MATCH(AA$2,Inputs!$D$2:$AG$2,0)),Inputs!$B$4:$B$150,$B7)/1000)</f>
        <v>-2111</v>
      </c>
      <c r="AB7" s="12">
        <f>IF(COUNT(X7:AA7)=4,SUM(X7:AA7),"")</f>
        <v>-7129</v>
      </c>
      <c r="AC7" s="11">
        <f>IF(AC$3=0,"",SUMIFS(INDEX(Inputs!$D$4:$AG$150,0,MATCH(AC$2,Inputs!$D$2:$AG$2,0)),Inputs!$B$4:$B$150,$B7)/1000)</f>
        <v>-2566</v>
      </c>
      <c r="AD7" s="11">
        <f>IF(AD$3=0,"",SUMIFS(INDEX(Inputs!$D$4:$AG$150,0,MATCH(AD$2,Inputs!$D$2:$AG$2,0)),Inputs!$B$4:$B$150,$B7)/1000)</f>
        <v>-2847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-585</v>
      </c>
      <c r="E8" s="11">
        <f>IF(E$3=0,"",SUMIFS(INDEX(Inputs!$D$4:$AG$150,0,MATCH(E$2,Inputs!$D$2:$AG$2,0)),Inputs!$B$4:$B$150,$B8)/1000)</f>
        <v>-697</v>
      </c>
      <c r="F8" s="11">
        <f>IF(F$3=0,"",SUMIFS(INDEX(Inputs!$D$4:$AG$150,0,MATCH(F$2,Inputs!$D$2:$AG$2,0)),Inputs!$B$4:$B$150,$B8)/1000)</f>
        <v>-705</v>
      </c>
      <c r="G8" s="11">
        <f>IF(G$3=0,"",SUMIFS(INDEX(Inputs!$D$4:$AG$150,0,MATCH(G$2,Inputs!$D$2:$AG$2,0)),Inputs!$B$4:$B$150,$B8)/1000)</f>
        <v>-679</v>
      </c>
      <c r="H8" s="12">
        <f>IF(COUNT(D8:G8)=4,SUM(D8:G8),"")</f>
        <v>-2666</v>
      </c>
      <c r="I8" s="11">
        <f>IF(I$3=0,"",SUMIFS(INDEX(Inputs!$D$4:$AG$150,0,MATCH(I$2,Inputs!$D$2:$AG$2,0)),Inputs!$B$4:$B$150,$B8)/1000)</f>
        <v>-667</v>
      </c>
      <c r="J8" s="11">
        <f>IF(J$3=0,"",SUMIFS(INDEX(Inputs!$D$4:$AG$150,0,MATCH(J$2,Inputs!$D$2:$AG$2,0)),Inputs!$B$4:$B$150,$B8)/1000)</f>
        <v>-704</v>
      </c>
      <c r="K8" s="11">
        <f>IF(K$3=0,"",SUMIFS(INDEX(Inputs!$D$4:$AG$150,0,MATCH(K$2,Inputs!$D$2:$AG$2,0)),Inputs!$B$4:$B$150,$B8)/1000)</f>
        <v>-787</v>
      </c>
      <c r="L8" s="11">
        <f>IF(L$3=0,"",SUMIFS(INDEX(Inputs!$D$4:$AG$150,0,MATCH(L$2,Inputs!$D$2:$AG$2,0)),Inputs!$B$4:$B$150,$B8)/1000)</f>
        <v>-856</v>
      </c>
      <c r="M8" s="12">
        <f>IF(COUNT(I8:L8)=4,SUM(I8:L8),"")</f>
        <v>-3014</v>
      </c>
      <c r="N8" s="11">
        <f>IF(N$3=0,"",SUMIFS(INDEX(Inputs!$D$4:$AG$150,0,MATCH(N$2,Inputs!$D$2:$AG$2,0)),Inputs!$B$4:$B$150,$B8)/1000)</f>
        <v>-908</v>
      </c>
      <c r="O8" s="11">
        <f>IF(O$3=0,"",SUMIFS(INDEX(Inputs!$D$4:$AG$150,0,MATCH(O$2,Inputs!$D$2:$AG$2,0)),Inputs!$B$4:$B$150,$B8)/1000)</f>
        <v>-955</v>
      </c>
      <c r="P8" s="11">
        <f>IF(P$3=0,"",SUMIFS(INDEX(Inputs!$D$4:$AG$150,0,MATCH(P$2,Inputs!$D$2:$AG$2,0)),Inputs!$B$4:$B$150,$B8)/1000)</f>
        <v>-872</v>
      </c>
      <c r="Q8" s="11">
        <f>IF(Q$3=0,"",SUMIFS(INDEX(Inputs!$D$4:$AG$150,0,MATCH(Q$2,Inputs!$D$2:$AG$2,0)),Inputs!$B$4:$B$150,$B8)/1000)</f>
        <v>-888</v>
      </c>
      <c r="R8" s="12">
        <f>IF(COUNT(N8:Q8)=4,SUM(N8:Q8),"")</f>
        <v>-3623</v>
      </c>
      <c r="S8" s="11">
        <f>IF(S$3=0,"",SUMIFS(INDEX(Inputs!$D$4:$AG$150,0,MATCH(S$2,Inputs!$D$2:$AG$2,0)),Inputs!$B$4:$B$150,$B8)/1000)</f>
        <v>-876</v>
      </c>
      <c r="T8" s="11">
        <f>IF(T$3=0,"",SUMIFS(INDEX(Inputs!$D$4:$AG$150,0,MATCH(T$2,Inputs!$D$2:$AG$2,0)),Inputs!$B$4:$B$150,$B8)/1000)</f>
        <v>-878</v>
      </c>
      <c r="U8" s="11">
        <f>IF(U$3=0,"",SUMIFS(INDEX(Inputs!$D$4:$AG$150,0,MATCH(U$2,Inputs!$D$2:$AG$2,0)),Inputs!$B$4:$B$150,$B8)/1000)</f>
        <v>-842</v>
      </c>
      <c r="V8" s="11">
        <f>IF(V$3=0,"",SUMIFS(INDEX(Inputs!$D$4:$AG$150,0,MATCH(V$2,Inputs!$D$2:$AG$2,0)),Inputs!$B$4:$B$150,$B8)/1000)</f>
        <v>-866</v>
      </c>
      <c r="W8" s="12">
        <f>IF(COUNT(S8:V8)=4,SUM(S8:V8),"")</f>
        <v>-3462</v>
      </c>
      <c r="X8" s="11">
        <f>IF(X$3=0,"",SUMIFS(INDEX(Inputs!$D$4:$AG$150,0,MATCH(X$2,Inputs!$D$2:$AG$2,0)),Inputs!$B$4:$B$150,$B8)/1000)</f>
        <v>-892</v>
      </c>
      <c r="Y8" s="11">
        <f>IF(Y$3=0,"",SUMIFS(INDEX(Inputs!$D$4:$AG$150,0,MATCH(Y$2,Inputs!$D$2:$AG$2,0)),Inputs!$B$4:$B$150,$B8)/1000)</f>
        <v>-978</v>
      </c>
      <c r="Z8" s="11">
        <f>IF(Z$3=0,"",SUMIFS(INDEX(Inputs!$D$4:$AG$150,0,MATCH(Z$2,Inputs!$D$2:$AG$2,0)),Inputs!$B$4:$B$150,$B8)/1000)</f>
        <v>-923</v>
      </c>
      <c r="AA8" s="11">
        <f>IF(AA$3=0,"",SUMIFS(INDEX(Inputs!$D$4:$AG$150,0,MATCH(AA$2,Inputs!$D$2:$AG$2,0)),Inputs!$B$4:$B$150,$B8)/1000)</f>
        <v>-1057</v>
      </c>
      <c r="AB8" s="12">
        <f>IF(COUNT(X8:AA8)=4,SUM(X8:AA8),"")</f>
        <v>-3850</v>
      </c>
      <c r="AC8" s="11">
        <f>IF(AC$3=0,"",SUMIFS(INDEX(Inputs!$D$4:$AG$150,0,MATCH(AC$2,Inputs!$D$2:$AG$2,0)),Inputs!$B$4:$B$150,$B8)/1000)</f>
        <v>-1180</v>
      </c>
      <c r="AD8" s="11">
        <f>IF(AD$3=0,"",SUMIFS(INDEX(Inputs!$D$4:$AG$150,0,MATCH(AD$2,Inputs!$D$2:$AG$2,0)),Inputs!$B$4:$B$150,$B8)/1000)</f>
        <v>-1439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-17</v>
      </c>
      <c r="E9" s="11">
        <f>IF(E$3=0,"",SUMIFS(INDEX(Inputs!$D$4:$AG$150,0,MATCH(E$2,Inputs!$D$2:$AG$2,0)),Inputs!$B$4:$B$150,$B9)/1000)</f>
        <v>312</v>
      </c>
      <c r="F9" s="11">
        <f>IF(F$3=0,"",SUMIFS(INDEX(Inputs!$D$4:$AG$150,0,MATCH(F$2,Inputs!$D$2:$AG$2,0)),Inputs!$B$4:$B$150,$B9)/1000)</f>
        <v>-41</v>
      </c>
      <c r="G9" s="11">
        <f>IF(G$3=0,"",SUMIFS(INDEX(Inputs!$D$4:$AG$150,0,MATCH(G$2,Inputs!$D$2:$AG$2,0)),Inputs!$B$4:$B$150,$B9)/1000)</f>
        <v>7</v>
      </c>
      <c r="H9" s="12">
        <f>IF(COUNT(D9:G9)=4,SUM(D9:G9),"")</f>
        <v>261</v>
      </c>
      <c r="I9" s="11">
        <f>IF(I$3=0,"",SUMIFS(INDEX(Inputs!$D$4:$AG$150,0,MATCH(I$2,Inputs!$D$2:$AG$2,0)),Inputs!$B$4:$B$150,$B9)/1000)</f>
        <v>-315</v>
      </c>
      <c r="J9" s="11">
        <f>IF(J$3=0,"",SUMIFS(INDEX(Inputs!$D$4:$AG$150,0,MATCH(J$2,Inputs!$D$2:$AG$2,0)),Inputs!$B$4:$B$150,$B9)/1000)</f>
        <v>-174</v>
      </c>
      <c r="K9" s="11">
        <f>IF(K$3=0,"",SUMIFS(INDEX(Inputs!$D$4:$AG$150,0,MATCH(K$2,Inputs!$D$2:$AG$2,0)),Inputs!$B$4:$B$150,$B9)/1000)</f>
        <v>-180</v>
      </c>
      <c r="L9" s="11">
        <f>IF(L$3=0,"",SUMIFS(INDEX(Inputs!$D$4:$AG$150,0,MATCH(L$2,Inputs!$D$2:$AG$2,0)),Inputs!$B$4:$B$150,$B9)/1000)</f>
        <v>-71</v>
      </c>
      <c r="M9" s="12">
        <f>IF(COUNT(I9:L9)=4,SUM(I9:L9),"")</f>
        <v>-740</v>
      </c>
      <c r="N9" s="11">
        <f>IF(N$3=0,"",SUMIFS(INDEX(Inputs!$D$4:$AG$150,0,MATCH(N$2,Inputs!$D$2:$AG$2,0)),Inputs!$B$4:$B$150,$B9)/1000)</f>
        <v>-134</v>
      </c>
      <c r="O9" s="11">
        <f>IF(O$3=0,"",SUMIFS(INDEX(Inputs!$D$4:$AG$150,0,MATCH(O$2,Inputs!$D$2:$AG$2,0)),Inputs!$B$4:$B$150,$B9)/1000)</f>
        <v>-76</v>
      </c>
      <c r="P9" s="11">
        <f>IF(P$3=0,"",SUMIFS(INDEX(Inputs!$D$4:$AG$150,0,MATCH(P$2,Inputs!$D$2:$AG$2,0)),Inputs!$B$4:$B$150,$B9)/1000)</f>
        <v>-49</v>
      </c>
      <c r="Q9" s="11">
        <f>IF(Q$3=0,"",SUMIFS(INDEX(Inputs!$D$4:$AG$150,0,MATCH(Q$2,Inputs!$D$2:$AG$2,0)),Inputs!$B$4:$B$150,$B9)/1000)</f>
        <v>-14</v>
      </c>
      <c r="R9" s="12">
        <f>IF(COUNT(N9:Q9)=4,SUM(N9:Q9),"")</f>
        <v>-273</v>
      </c>
      <c r="S9" s="11">
        <f>IF(S$3=0,"",SUMIFS(INDEX(Inputs!$D$4:$AG$150,0,MATCH(S$2,Inputs!$D$2:$AG$2,0)),Inputs!$B$4:$B$150,$B9)/1000)</f>
        <v>-9</v>
      </c>
      <c r="T9" s="11">
        <f>IF(T$3=0,"",SUMIFS(INDEX(Inputs!$D$4:$AG$150,0,MATCH(T$2,Inputs!$D$2:$AG$2,0)),Inputs!$B$4:$B$150,$B9)/1000)</f>
        <v>-26</v>
      </c>
      <c r="U9" s="11">
        <f>IF(U$3=0,"",SUMIFS(INDEX(Inputs!$D$4:$AG$150,0,MATCH(U$2,Inputs!$D$2:$AG$2,0)),Inputs!$B$4:$B$150,$B9)/1000)</f>
        <v>20</v>
      </c>
      <c r="V9" s="11">
        <f>IF(V$3=0,"",SUMIFS(INDEX(Inputs!$D$4:$AG$150,0,MATCH(V$2,Inputs!$D$2:$AG$2,0)),Inputs!$B$4:$B$150,$B9)/1000)</f>
        <v>36</v>
      </c>
      <c r="W9" s="12">
        <f>IF(COUNT(S9:V9)=4,SUM(S9:V9),"")</f>
        <v>21</v>
      </c>
      <c r="X9" s="11">
        <f>IF(X$3=0,"",SUMIFS(INDEX(Inputs!$D$4:$AG$150,0,MATCH(X$2,Inputs!$D$2:$AG$2,0)),Inputs!$B$4:$B$150,$B9)/1000)</f>
        <v>-18</v>
      </c>
      <c r="Y9" s="11">
        <f>IF(Y$3=0,"",SUMIFS(INDEX(Inputs!$D$4:$AG$150,0,MATCH(Y$2,Inputs!$D$2:$AG$2,0)),Inputs!$B$4:$B$150,$B9)/1000)</f>
        <v>21</v>
      </c>
      <c r="Z9" s="11">
        <f>IF(Z$3=0,"",SUMIFS(INDEX(Inputs!$D$4:$AG$150,0,MATCH(Z$2,Inputs!$D$2:$AG$2,0)),Inputs!$B$4:$B$150,$B9)/1000)</f>
        <v>73</v>
      </c>
      <c r="AA9" s="11">
        <f>IF(AA$3=0,"",SUMIFS(INDEX(Inputs!$D$4:$AG$150,0,MATCH(AA$2,Inputs!$D$2:$AG$2,0)),Inputs!$B$4:$B$150,$B9)/1000)</f>
        <v>2668</v>
      </c>
      <c r="AB9" s="12">
        <f>IF(COUNT(X9:AA9)=4,SUM(X9:AA9),"")</f>
        <v>2744</v>
      </c>
      <c r="AC9" s="11">
        <f>IF(AC$3=0,"",SUMIFS(INDEX(Inputs!$D$4:$AG$150,0,MATCH(AC$2,Inputs!$D$2:$AG$2,0)),Inputs!$B$4:$B$150,$B9)/1000)</f>
        <v>132</v>
      </c>
      <c r="AD9" s="11">
        <f>IF(AD$3=0,"",SUMIFS(INDEX(Inputs!$D$4:$AG$150,0,MATCH(AD$2,Inputs!$D$2:$AG$2,0)),Inputs!$B$4:$B$150,$B9)/1000)</f>
        <v>675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1745</v>
      </c>
      <c r="E10" s="11">
        <f>IF(E$3=0,"",SUMIFS(INDEX(Inputs!$D$4:$AG$150,0,MATCH(E$2,Inputs!$D$2:$AG$2,0)),Inputs!$B$4:$B$150,$B10)/1000)</f>
        <v>-124</v>
      </c>
      <c r="F10" s="11">
        <f>IF(F$3=0,"",SUMIFS(INDEX(Inputs!$D$4:$AG$150,0,MATCH(F$2,Inputs!$D$2:$AG$2,0)),Inputs!$B$4:$B$150,$B10)/1000)</f>
        <v>-224</v>
      </c>
      <c r="G10" s="11">
        <f>IF(G$3=0,"",SUMIFS(INDEX(Inputs!$D$4:$AG$150,0,MATCH(G$2,Inputs!$D$2:$AG$2,0)),Inputs!$B$4:$B$150,$B10)/1000)</f>
        <v>249</v>
      </c>
      <c r="H10" s="12">
        <f>IF(COUNT(D10:G10)=4,SUM(D10:G10),"")</f>
        <v>1646</v>
      </c>
      <c r="I10" s="11">
        <f>IF(I$3=0,"",SUMIFS(INDEX(Inputs!$D$4:$AG$150,0,MATCH(I$2,Inputs!$D$2:$AG$2,0)),Inputs!$B$4:$B$150,$B10)/1000)</f>
        <v>-521</v>
      </c>
      <c r="J10" s="11">
        <f>IF(J$3=0,"",SUMIFS(INDEX(Inputs!$D$4:$AG$150,0,MATCH(J$2,Inputs!$D$2:$AG$2,0)),Inputs!$B$4:$B$150,$B10)/1000)</f>
        <v>-435</v>
      </c>
      <c r="K10" s="11">
        <f>IF(K$3=0,"",SUMIFS(INDEX(Inputs!$D$4:$AG$150,0,MATCH(K$2,Inputs!$D$2:$AG$2,0)),Inputs!$B$4:$B$150,$B10)/1000)</f>
        <v>-108</v>
      </c>
      <c r="L10" s="11">
        <f>IF(L$3=0,"",SUMIFS(INDEX(Inputs!$D$4:$AG$150,0,MATCH(L$2,Inputs!$D$2:$AG$2,0)),Inputs!$B$4:$B$150,$B10)/1000)</f>
        <v>-403</v>
      </c>
      <c r="M10" s="12">
        <f>IF(COUNT(I10:L10)=4,SUM(I10:L10),"")</f>
        <v>-1467</v>
      </c>
      <c r="N10" s="11">
        <f>IF(N$3=0,"",SUMIFS(INDEX(Inputs!$D$4:$AG$150,0,MATCH(N$2,Inputs!$D$2:$AG$2,0)),Inputs!$B$4:$B$150,$B10)/1000)</f>
        <v>-322</v>
      </c>
      <c r="O10" s="11">
        <f>IF(O$3=0,"",SUMIFS(INDEX(Inputs!$D$4:$AG$150,0,MATCH(O$2,Inputs!$D$2:$AG$2,0)),Inputs!$B$4:$B$150,$B10)/1000)</f>
        <v>210</v>
      </c>
      <c r="P10" s="11">
        <f>IF(P$3=0,"",SUMIFS(INDEX(Inputs!$D$4:$AG$150,0,MATCH(P$2,Inputs!$D$2:$AG$2,0)),Inputs!$B$4:$B$150,$B10)/1000)</f>
        <v>45</v>
      </c>
      <c r="Q10" s="11">
        <f>IF(Q$3=0,"",SUMIFS(INDEX(Inputs!$D$4:$AG$150,0,MATCH(Q$2,Inputs!$D$2:$AG$2,0)),Inputs!$B$4:$B$150,$B10)/1000)</f>
        <v>-217</v>
      </c>
      <c r="R10" s="12">
        <f>IF(COUNT(N10:Q10)=4,SUM(N10:Q10),"")</f>
        <v>-284</v>
      </c>
      <c r="S10" s="11">
        <f>IF(S$3=0,"",SUMIFS(INDEX(Inputs!$D$4:$AG$150,0,MATCH(S$2,Inputs!$D$2:$AG$2,0)),Inputs!$B$4:$B$150,$B10)/1000)</f>
        <v>-464</v>
      </c>
      <c r="T10" s="11">
        <f>IF(T$3=0,"",SUMIFS(INDEX(Inputs!$D$4:$AG$150,0,MATCH(T$2,Inputs!$D$2:$AG$2,0)),Inputs!$B$4:$B$150,$B10)/1000)</f>
        <v>-638</v>
      </c>
      <c r="U10" s="11">
        <f>IF(U$3=0,"",SUMIFS(INDEX(Inputs!$D$4:$AG$150,0,MATCH(U$2,Inputs!$D$2:$AG$2,0)),Inputs!$B$4:$B$150,$B10)/1000)</f>
        <v>-240</v>
      </c>
      <c r="V10" s="11">
        <f>IF(V$3=0,"",SUMIFS(INDEX(Inputs!$D$4:$AG$150,0,MATCH(V$2,Inputs!$D$2:$AG$2,0)),Inputs!$B$4:$B$150,$B10)/1000)</f>
        <v>-239</v>
      </c>
      <c r="W10" s="12">
        <f>IF(COUNT(S10:V10)=4,SUM(S10:V10),"")</f>
        <v>-1581</v>
      </c>
      <c r="X10" s="11">
        <f>IF(X$3=0,"",SUMIFS(INDEX(Inputs!$D$4:$AG$150,0,MATCH(X$2,Inputs!$D$2:$AG$2,0)),Inputs!$B$4:$B$150,$B10)/1000)</f>
        <v>-512</v>
      </c>
      <c r="Y10" s="11">
        <f>IF(Y$3=0,"",SUMIFS(INDEX(Inputs!$D$4:$AG$150,0,MATCH(Y$2,Inputs!$D$2:$AG$2,0)),Inputs!$B$4:$B$150,$B10)/1000)</f>
        <v>-725</v>
      </c>
      <c r="Z10" s="11">
        <f>IF(Z$3=0,"",SUMIFS(INDEX(Inputs!$D$4:$AG$150,0,MATCH(Z$2,Inputs!$D$2:$AG$2,0)),Inputs!$B$4:$B$150,$B10)/1000)</f>
        <v>-500</v>
      </c>
      <c r="AA10" s="11">
        <f>IF(AA$3=0,"",SUMIFS(INDEX(Inputs!$D$4:$AG$150,0,MATCH(AA$2,Inputs!$D$2:$AG$2,0)),Inputs!$B$4:$B$150,$B10)/1000)</f>
        <v>-207</v>
      </c>
      <c r="AB10" s="12">
        <f>IF(COUNT(X10:AA10)=4,SUM(X10:AA10),"")</f>
        <v>-1944</v>
      </c>
      <c r="AC10" s="11">
        <f>IF(AC$3=0,"",SUMIFS(INDEX(Inputs!$D$4:$AG$150,0,MATCH(AC$2,Inputs!$D$2:$AG$2,0)),Inputs!$B$4:$B$150,$B10)/1000)</f>
        <v>-695</v>
      </c>
      <c r="AD10" s="11">
        <f>IF(AD$3=0,"",SUMIFS(INDEX(Inputs!$D$4:$AG$150,0,MATCH(AD$2,Inputs!$D$2:$AG$2,0)),Inputs!$B$4:$B$150,$B10)/1000)</f>
        <v>-1065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-699</v>
      </c>
      <c r="E13" s="11">
        <f>IF(E$3=0,"",SUMIFS(INDEX(Inputs!$D$4:$AG$150,0,MATCH(E$2,Inputs!$D$2:$AG$2,0)),Inputs!$B$4:$B$150,$B13)/1000)</f>
        <v>-917</v>
      </c>
      <c r="F13" s="11">
        <f>IF(F$3=0,"",SUMIFS(INDEX(Inputs!$D$4:$AG$150,0,MATCH(F$2,Inputs!$D$2:$AG$2,0)),Inputs!$B$4:$B$150,$B13)/1000)</f>
        <v>-887</v>
      </c>
      <c r="G13" s="11">
        <f>IF(G$3=0,"",SUMIFS(INDEX(Inputs!$D$4:$AG$150,0,MATCH(G$2,Inputs!$D$2:$AG$2,0)),Inputs!$B$4:$B$150,$B13)/1000)</f>
        <v>-861</v>
      </c>
      <c r="H13" s="12">
        <f>IF(COUNT(D13:G13)=4,SUM(D13:G13),"")</f>
        <v>-3364</v>
      </c>
      <c r="I13" s="11">
        <f>IF(I$3=0,"",SUMIFS(INDEX(Inputs!$D$4:$AG$150,0,MATCH(I$2,Inputs!$D$2:$AG$2,0)),Inputs!$B$4:$B$150,$B13)/1000)</f>
        <v>-855</v>
      </c>
      <c r="J13" s="11">
        <f>IF(J$3=0,"",SUMIFS(INDEX(Inputs!$D$4:$AG$150,0,MATCH(J$2,Inputs!$D$2:$AG$2,0)),Inputs!$B$4:$B$150,$B13)/1000)</f>
        <v>-854</v>
      </c>
      <c r="K13" s="11">
        <f>IF(K$3=0,"",SUMIFS(INDEX(Inputs!$D$4:$AG$150,0,MATCH(K$2,Inputs!$D$2:$AG$2,0)),Inputs!$B$4:$B$150,$B13)/1000)</f>
        <v>-860</v>
      </c>
      <c r="L13" s="11">
        <f>IF(L$3=0,"",SUMIFS(INDEX(Inputs!$D$4:$AG$150,0,MATCH(L$2,Inputs!$D$2:$AG$2,0)),Inputs!$B$4:$B$150,$B13)/1000)</f>
        <v>-863</v>
      </c>
      <c r="M13" s="12">
        <f>IF(COUNT(I13:L13)=4,SUM(I13:L13),"")</f>
        <v>-3432</v>
      </c>
      <c r="N13" s="11">
        <f>IF(N$3=0,"",SUMIFS(INDEX(Inputs!$D$4:$AG$150,0,MATCH(N$2,Inputs!$D$2:$AG$2,0)),Inputs!$B$4:$B$150,$B13)/1000)</f>
        <v>-863</v>
      </c>
      <c r="O13" s="11">
        <f>IF(O$3=0,"",SUMIFS(INDEX(Inputs!$D$4:$AG$150,0,MATCH(O$2,Inputs!$D$2:$AG$2,0)),Inputs!$B$4:$B$150,$B13)/1000)</f>
        <v>-1082</v>
      </c>
      <c r="P13" s="11">
        <f>IF(P$3=0,"",SUMIFS(INDEX(Inputs!$D$4:$AG$150,0,MATCH(P$2,Inputs!$D$2:$AG$2,0)),Inputs!$B$4:$B$150,$B13)/1000)</f>
        <v>-1091</v>
      </c>
      <c r="Q13" s="11">
        <f>IF(Q$3=0,"",SUMIFS(INDEX(Inputs!$D$4:$AG$150,0,MATCH(Q$2,Inputs!$D$2:$AG$2,0)),Inputs!$B$4:$B$150,$B13)/1000)</f>
        <v>-1099</v>
      </c>
      <c r="R13" s="12">
        <f>IF(COUNT(N13:Q13)=4,SUM(N13:Q13),"")</f>
        <v>-4135</v>
      </c>
      <c r="S13" s="11">
        <f>IF(S$3=0,"",SUMIFS(INDEX(Inputs!$D$4:$AG$150,0,MATCH(S$2,Inputs!$D$2:$AG$2,0)),Inputs!$B$4:$B$150,$B13)/1000)</f>
        <v>-1099</v>
      </c>
      <c r="T13" s="11">
        <f>IF(T$3=0,"",SUMIFS(INDEX(Inputs!$D$4:$AG$150,0,MATCH(T$2,Inputs!$D$2:$AG$2,0)),Inputs!$B$4:$B$150,$B13)/1000)</f>
        <v>-1102</v>
      </c>
      <c r="U13" s="11">
        <f>IF(U$3=0,"",SUMIFS(INDEX(Inputs!$D$4:$AG$150,0,MATCH(U$2,Inputs!$D$2:$AG$2,0)),Inputs!$B$4:$B$150,$B13)/1000)</f>
        <v>-1103</v>
      </c>
      <c r="V13" s="11">
        <f>IF(V$3=0,"",SUMIFS(INDEX(Inputs!$D$4:$AG$150,0,MATCH(V$2,Inputs!$D$2:$AG$2,0)),Inputs!$B$4:$B$150,$B13)/1000)</f>
        <v>-1118</v>
      </c>
      <c r="W13" s="12">
        <f>IF(COUNT(S13:V13)=4,SUM(S13:V13),"")</f>
        <v>-4422</v>
      </c>
      <c r="X13" s="11">
        <f>IF(X$3=0,"",SUMIFS(INDEX(Inputs!$D$4:$AG$150,0,MATCH(X$2,Inputs!$D$2:$AG$2,0)),Inputs!$B$4:$B$150,$B13)/1000)</f>
        <v>-1119</v>
      </c>
      <c r="Y13" s="11">
        <f>IF(Y$3=0,"",SUMIFS(INDEX(Inputs!$D$4:$AG$150,0,MATCH(Y$2,Inputs!$D$2:$AG$2,0)),Inputs!$B$4:$B$150,$B13)/1000)</f>
        <v>-1403</v>
      </c>
      <c r="Z13" s="11">
        <f>IF(Z$3=0,"",SUMIFS(INDEX(Inputs!$D$4:$AG$150,0,MATCH(Z$2,Inputs!$D$2:$AG$2,0)),Inputs!$B$4:$B$150,$B13)/1000)</f>
        <v>-1413</v>
      </c>
      <c r="AA13" s="11">
        <f>IF(AA$3=0,"",SUMIFS(INDEX(Inputs!$D$4:$AG$150,0,MATCH(AA$2,Inputs!$D$2:$AG$2,0)),Inputs!$B$4:$B$150,$B13)/1000)</f>
        <v>-1435</v>
      </c>
      <c r="AB13" s="12">
        <f>IF(COUNT(X13:AA13)=4,SUM(X13:AA13),"")</f>
        <v>-5370</v>
      </c>
      <c r="AC13" s="11">
        <f>IF(AC$3=0,"",SUMIFS(INDEX(Inputs!$D$4:$AG$150,0,MATCH(AC$2,Inputs!$D$2:$AG$2,0)),Inputs!$B$4:$B$150,$B13)/1000)</f>
        <v>-1437</v>
      </c>
      <c r="AD13" s="11">
        <f>IF(AD$3=0,"",SUMIFS(INDEX(Inputs!$D$4:$AG$150,0,MATCH(AD$2,Inputs!$D$2:$AG$2,0)),Inputs!$B$4:$B$150,$B13)/1000)</f>
        <v>-1502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35864</v>
      </c>
      <c r="E15" s="11">
        <f>IF(E$3=0,"",SUMIFS(INDEX(Inputs!$D$4:$AG$150,0,MATCH(E$2,Inputs!$D$2:$AG$2,0)),Inputs!$B$4:$B$150,$B15)/1000)</f>
        <v>46554</v>
      </c>
      <c r="F15" s="11">
        <f>IF(F$3=0,"",SUMIFS(INDEX(Inputs!$D$4:$AG$150,0,MATCH(F$2,Inputs!$D$2:$AG$2,0)),Inputs!$B$4:$B$150,$B15)/1000)</f>
        <v>39310</v>
      </c>
      <c r="G15" s="11">
        <f>IF(G$3=0,"",SUMIFS(INDEX(Inputs!$D$4:$AG$150,0,MATCH(G$2,Inputs!$D$2:$AG$2,0)),Inputs!$B$4:$B$150,$B15)/1000)</f>
        <v>22838</v>
      </c>
      <c r="H15" s="12">
        <f>IF(G15="","",G15)</f>
        <v>22838</v>
      </c>
      <c r="I15" s="11">
        <f>IF(I$3=0,"",SUMIFS(INDEX(Inputs!$D$4:$AG$150,0,MATCH(I$2,Inputs!$D$2:$AG$2,0)),Inputs!$B$4:$B$150,$B15)/1000)</f>
        <v>23389</v>
      </c>
      <c r="J15" s="11">
        <f>IF(J$3=0,"",SUMIFS(INDEX(Inputs!$D$4:$AG$150,0,MATCH(J$2,Inputs!$D$2:$AG$2,0)),Inputs!$B$4:$B$150,$B15)/1000)</f>
        <v>21902</v>
      </c>
      <c r="K15" s="11">
        <f>IF(K$3=0,"",SUMIFS(INDEX(Inputs!$D$4:$AG$150,0,MATCH(K$2,Inputs!$D$2:$AG$2,0)),Inputs!$B$4:$B$150,$B15)/1000)</f>
        <v>11220</v>
      </c>
      <c r="L15" s="11">
        <f>IF(L$3=0,"",SUMIFS(INDEX(Inputs!$D$4:$AG$150,0,MATCH(L$2,Inputs!$D$2:$AG$2,0)),Inputs!$B$4:$B$150,$B15)/1000)</f>
        <v>7350</v>
      </c>
      <c r="M15" s="12">
        <f>IF(L15="","",L15)</f>
        <v>7350</v>
      </c>
      <c r="N15" s="11">
        <f>IF(N$3=0,"",SUMIFS(INDEX(Inputs!$D$4:$AG$150,0,MATCH(N$2,Inputs!$D$2:$AG$2,0)),Inputs!$B$4:$B$150,$B15)/1000)</f>
        <v>8769</v>
      </c>
      <c r="O15" s="11">
        <f>IF(O$3=0,"",SUMIFS(INDEX(Inputs!$D$4:$AG$150,0,MATCH(O$2,Inputs!$D$2:$AG$2,0)),Inputs!$B$4:$B$150,$B15)/1000)</f>
        <v>10187</v>
      </c>
      <c r="P15" s="11">
        <f>IF(P$3=0,"",SUMIFS(INDEX(Inputs!$D$4:$AG$150,0,MATCH(P$2,Inputs!$D$2:$AG$2,0)),Inputs!$B$4:$B$150,$B15)/1000)</f>
        <v>12083</v>
      </c>
      <c r="Q15" s="11">
        <f>IF(Q$3=0,"",SUMIFS(INDEX(Inputs!$D$4:$AG$150,0,MATCH(Q$2,Inputs!$D$2:$AG$2,0)),Inputs!$B$4:$B$150,$B15)/1000)</f>
        <v>8690</v>
      </c>
      <c r="R15" s="12">
        <f>IF(Q15="","",Q15)</f>
        <v>8690</v>
      </c>
      <c r="S15" s="11">
        <f>IF(S$3=0,"",SUMIFS(INDEX(Inputs!$D$4:$AG$150,0,MATCH(S$2,Inputs!$D$2:$AG$2,0)),Inputs!$B$4:$B$150,$B15)/1000)</f>
        <v>9904</v>
      </c>
      <c r="T15" s="11">
        <f>IF(T$3=0,"",SUMIFS(INDEX(Inputs!$D$4:$AG$150,0,MATCH(T$2,Inputs!$D$2:$AG$2,0)),Inputs!$B$4:$B$150,$B15)/1000)</f>
        <v>10661</v>
      </c>
      <c r="U15" s="11">
        <f>IF(U$3=0,"",SUMIFS(INDEX(Inputs!$D$4:$AG$150,0,MATCH(U$2,Inputs!$D$2:$AG$2,0)),Inputs!$B$4:$B$150,$B15)/1000)</f>
        <v>10911</v>
      </c>
      <c r="V15" s="11">
        <f>IF(V$3=0,"",SUMIFS(INDEX(Inputs!$D$4:$AG$150,0,MATCH(V$2,Inputs!$D$2:$AG$2,0)),Inputs!$B$4:$B$150,$B15)/1000)</f>
        <v>11311</v>
      </c>
      <c r="W15" s="12">
        <f>IF(V15="","",V15)</f>
        <v>11311</v>
      </c>
      <c r="X15" s="11">
        <f>IF(X$3=0,"",SUMIFS(INDEX(Inputs!$D$4:$AG$150,0,MATCH(X$2,Inputs!$D$2:$AG$2,0)),Inputs!$B$4:$B$150,$B15)/1000)</f>
        <v>17823</v>
      </c>
      <c r="Y15" s="11">
        <f>IF(Y$3=0,"",SUMIFS(INDEX(Inputs!$D$4:$AG$150,0,MATCH(Y$2,Inputs!$D$2:$AG$2,0)),Inputs!$B$4:$B$150,$B15)/1000)</f>
        <v>11203</v>
      </c>
      <c r="Z15" s="11">
        <f>IF(Z$3=0,"",SUMIFS(INDEX(Inputs!$D$4:$AG$150,0,MATCH(Z$2,Inputs!$D$2:$AG$2,0)),Inputs!$B$4:$B$150,$B15)/1000)</f>
        <v>11005</v>
      </c>
      <c r="AA15" s="11">
        <f>IF(AA$3=0,"",SUMIFS(INDEX(Inputs!$D$4:$AG$150,0,MATCH(AA$2,Inputs!$D$2:$AG$2,0)),Inputs!$B$4:$B$150,$B15)/1000)</f>
        <v>19766</v>
      </c>
      <c r="AB15" s="12">
        <f>IF(AA15="","",AA15)</f>
        <v>19766</v>
      </c>
      <c r="AC15" s="11">
        <f>IF(AC$3=0,"",SUMIFS(INDEX(Inputs!$D$4:$AG$150,0,MATCH(AC$2,Inputs!$D$2:$AG$2,0)),Inputs!$B$4:$B$150,$B15)/1000)</f>
        <v>39132</v>
      </c>
      <c r="AD15" s="11">
        <f>IF(AD$3=0,"",SUMIFS(INDEX(Inputs!$D$4:$AG$150,0,MATCH(AD$2,Inputs!$D$2:$AG$2,0)),Inputs!$B$4:$B$150,$B15)/1000)</f>
        <v>31894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4637</v>
      </c>
      <c r="E16" s="11">
        <f>IF(E$3=0,"",SUMIFS(INDEX(Inputs!$D$4:$AG$150,0,MATCH(E$2,Inputs!$D$2:$AG$2,0)),Inputs!$B$4:$B$150,$B16)/1000)</f>
        <v>5409</v>
      </c>
      <c r="F16" s="11">
        <f>IF(F$3=0,"",SUMIFS(INDEX(Inputs!$D$4:$AG$150,0,MATCH(F$2,Inputs!$D$2:$AG$2,0)),Inputs!$B$4:$B$150,$B16)/1000)</f>
        <v>4482</v>
      </c>
      <c r="G16" s="11">
        <f>IF(G$3=0,"",SUMIFS(INDEX(Inputs!$D$4:$AG$150,0,MATCH(G$2,Inputs!$D$2:$AG$2,0)),Inputs!$B$4:$B$150,$B16)/1000)</f>
        <v>4462</v>
      </c>
      <c r="H16" s="12">
        <f>IF(G16="","",G16)</f>
        <v>4462</v>
      </c>
      <c r="I16" s="11">
        <f>IF(I$3=0,"",SUMIFS(INDEX(Inputs!$D$4:$AG$150,0,MATCH(I$2,Inputs!$D$2:$AG$2,0)),Inputs!$B$4:$B$150,$B16)/1000)</f>
        <v>4588</v>
      </c>
      <c r="J16" s="11">
        <f>IF(J$3=0,"",SUMIFS(INDEX(Inputs!$D$4:$AG$150,0,MATCH(J$2,Inputs!$D$2:$AG$2,0)),Inputs!$B$4:$B$150,$B16)/1000)</f>
        <v>5953</v>
      </c>
      <c r="K16" s="11">
        <f>IF(K$3=0,"",SUMIFS(INDEX(Inputs!$D$4:$AG$150,0,MATCH(K$2,Inputs!$D$2:$AG$2,0)),Inputs!$B$4:$B$150,$B16)/1000)</f>
        <v>5937</v>
      </c>
      <c r="L16" s="11">
        <f>IF(L$3=0,"",SUMIFS(INDEX(Inputs!$D$4:$AG$150,0,MATCH(L$2,Inputs!$D$2:$AG$2,0)),Inputs!$B$4:$B$150,$B16)/1000)</f>
        <v>6197</v>
      </c>
      <c r="M16" s="12">
        <f>IF(L16="","",L16)</f>
        <v>6197</v>
      </c>
      <c r="N16" s="11">
        <f>IF(N$3=0,"",SUMIFS(INDEX(Inputs!$D$4:$AG$150,0,MATCH(N$2,Inputs!$D$2:$AG$2,0)),Inputs!$B$4:$B$150,$B16)/1000)</f>
        <v>6213</v>
      </c>
      <c r="O16" s="11">
        <f>IF(O$3=0,"",SUMIFS(INDEX(Inputs!$D$4:$AG$150,0,MATCH(O$2,Inputs!$D$2:$AG$2,0)),Inputs!$B$4:$B$150,$B16)/1000)</f>
        <v>6915</v>
      </c>
      <c r="P16" s="11">
        <f>IF(P$3=0,"",SUMIFS(INDEX(Inputs!$D$4:$AG$150,0,MATCH(P$2,Inputs!$D$2:$AG$2,0)),Inputs!$B$4:$B$150,$B16)/1000)</f>
        <v>6519</v>
      </c>
      <c r="Q16" s="11">
        <f>IF(Q$3=0,"",SUMIFS(INDEX(Inputs!$D$4:$AG$150,0,MATCH(Q$2,Inputs!$D$2:$AG$2,0)),Inputs!$B$4:$B$150,$B16)/1000)</f>
        <v>6804</v>
      </c>
      <c r="R16" s="12">
        <f>IF(Q16="","",Q16)</f>
        <v>6804</v>
      </c>
      <c r="S16" s="11">
        <f>IF(S$3=0,"",SUMIFS(INDEX(Inputs!$D$4:$AG$150,0,MATCH(S$2,Inputs!$D$2:$AG$2,0)),Inputs!$B$4:$B$150,$B16)/1000)</f>
        <v>7297</v>
      </c>
      <c r="T16" s="11">
        <f>IF(T$3=0,"",SUMIFS(INDEX(Inputs!$D$4:$AG$150,0,MATCH(T$2,Inputs!$D$2:$AG$2,0)),Inputs!$B$4:$B$150,$B16)/1000)</f>
        <v>7874</v>
      </c>
      <c r="U16" s="11">
        <f>IF(U$3=0,"",SUMIFS(INDEX(Inputs!$D$4:$AG$150,0,MATCH(U$2,Inputs!$D$2:$AG$2,0)),Inputs!$B$4:$B$150,$B16)/1000)</f>
        <v>8021</v>
      </c>
      <c r="V16" s="11">
        <f>IF(V$3=0,"",SUMIFS(INDEX(Inputs!$D$4:$AG$150,0,MATCH(V$2,Inputs!$D$2:$AG$2,0)),Inputs!$B$4:$B$150,$B16)/1000)</f>
        <v>8177</v>
      </c>
      <c r="W16" s="12">
        <f>IF(V16="","",V16)</f>
        <v>8177</v>
      </c>
      <c r="X16" s="11">
        <f>IF(X$3=0,"",SUMIFS(INDEX(Inputs!$D$4:$AG$150,0,MATCH(X$2,Inputs!$D$2:$AG$2,0)),Inputs!$B$4:$B$150,$B16)/1000)</f>
        <v>8051</v>
      </c>
      <c r="Y16" s="11">
        <f>IF(Y$3=0,"",SUMIFS(INDEX(Inputs!$D$4:$AG$150,0,MATCH(Y$2,Inputs!$D$2:$AG$2,0)),Inputs!$B$4:$B$150,$B16)/1000)</f>
        <v>8558</v>
      </c>
      <c r="Z16" s="11">
        <f>IF(Z$3=0,"",SUMIFS(INDEX(Inputs!$D$4:$AG$150,0,MATCH(Z$2,Inputs!$D$2:$AG$2,0)),Inputs!$B$4:$B$150,$B16)/1000)</f>
        <v>8843</v>
      </c>
      <c r="AA16" s="11">
        <f>IF(AA$3=0,"",SUMIFS(INDEX(Inputs!$D$4:$AG$150,0,MATCH(AA$2,Inputs!$D$2:$AG$2,0)),Inputs!$B$4:$B$150,$B16)/1000)</f>
        <v>9440</v>
      </c>
      <c r="AB16" s="12">
        <f>IF(AA16="","",AA16)</f>
        <v>9440</v>
      </c>
      <c r="AC16" s="11">
        <f>IF(AC$3=0,"",SUMIFS(INDEX(Inputs!$D$4:$AG$150,0,MATCH(AC$2,Inputs!$D$2:$AG$2,0)),Inputs!$B$4:$B$150,$B16)/1000)</f>
        <v>10719</v>
      </c>
      <c r="AD16" s="11">
        <f>IF(AD$3=0,"",SUMIFS(INDEX(Inputs!$D$4:$AG$150,0,MATCH(AD$2,Inputs!$D$2:$AG$2,0)),Inputs!$B$4:$B$150,$B16)/1000)</f>
        <v>10385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0</v>
      </c>
      <c r="AB17" s="12">
        <f>IF(AA17="","",AA17)</f>
        <v>0</v>
      </c>
      <c r="AC17" s="11">
        <f>IF(AC$3=0,"",SUMIFS(INDEX(Inputs!$D$4:$AG$150,0,MATCH(AC$2,Inputs!$D$2:$AG$2,0)),Inputs!$B$4:$B$150,$B17)/1000)</f>
        <v>0</v>
      </c>
      <c r="AD17" s="11">
        <f>IF(AD$3=0,"",SUMIFS(INDEX(Inputs!$D$4:$AG$150,0,MATCH(AD$2,Inputs!$D$2:$AG$2,0)),Inputs!$B$4:$B$150,$B17)/1000)</f>
        <v>0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13725</v>
      </c>
      <c r="E18" s="11">
        <f>IF(E$3=0,"",SUMIFS(INDEX(Inputs!$D$4:$AG$150,0,MATCH(E$2,Inputs!$D$2:$AG$2,0)),Inputs!$B$4:$B$150,$B18)/1000)</f>
        <v>13636</v>
      </c>
      <c r="F18" s="11">
        <f>IF(F$3=0,"",SUMIFS(INDEX(Inputs!$D$4:$AG$150,0,MATCH(F$2,Inputs!$D$2:$AG$2,0)),Inputs!$B$4:$B$150,$B18)/1000)</f>
        <v>13391</v>
      </c>
      <c r="G18" s="11">
        <f>IF(G$3=0,"",SUMIFS(INDEX(Inputs!$D$4:$AG$150,0,MATCH(G$2,Inputs!$D$2:$AG$2,0)),Inputs!$B$4:$B$150,$B18)/1000)</f>
        <v>13265</v>
      </c>
      <c r="H18" s="12">
        <f>IF(G18="","",G18)</f>
        <v>13265</v>
      </c>
      <c r="I18" s="11">
        <f>IF(I$3=0,"",SUMIFS(INDEX(Inputs!$D$4:$AG$150,0,MATCH(I$2,Inputs!$D$2:$AG$2,0)),Inputs!$B$4:$B$150,$B18)/1000)</f>
        <v>13109</v>
      </c>
      <c r="J18" s="11">
        <f>IF(J$3=0,"",SUMIFS(INDEX(Inputs!$D$4:$AG$150,0,MATCH(J$2,Inputs!$D$2:$AG$2,0)),Inputs!$B$4:$B$150,$B18)/1000)</f>
        <v>12782</v>
      </c>
      <c r="K18" s="11">
        <f>IF(K$3=0,"",SUMIFS(INDEX(Inputs!$D$4:$AG$150,0,MATCH(K$2,Inputs!$D$2:$AG$2,0)),Inputs!$B$4:$B$150,$B18)/1000)</f>
        <v>12065</v>
      </c>
      <c r="L18" s="11">
        <f>IF(L$3=0,"",SUMIFS(INDEX(Inputs!$D$4:$AG$150,0,MATCH(L$2,Inputs!$D$2:$AG$2,0)),Inputs!$B$4:$B$150,$B18)/1000)</f>
        <v>12091</v>
      </c>
      <c r="M18" s="12">
        <f>IF(L18="","",L18)</f>
        <v>12091</v>
      </c>
      <c r="N18" s="11">
        <f>IF(N$3=0,"",SUMIFS(INDEX(Inputs!$D$4:$AG$150,0,MATCH(N$2,Inputs!$D$2:$AG$2,0)),Inputs!$B$4:$B$150,$B18)/1000)</f>
        <v>12153</v>
      </c>
      <c r="O18" s="11">
        <f>IF(O$3=0,"",SUMIFS(INDEX(Inputs!$D$4:$AG$150,0,MATCH(O$2,Inputs!$D$2:$AG$2,0)),Inputs!$B$4:$B$150,$B18)/1000)</f>
        <v>12226</v>
      </c>
      <c r="P18" s="11">
        <f>IF(P$3=0,"",SUMIFS(INDEX(Inputs!$D$4:$AG$150,0,MATCH(P$2,Inputs!$D$2:$AG$2,0)),Inputs!$B$4:$B$150,$B18)/1000)</f>
        <v>12243</v>
      </c>
      <c r="Q18" s="11">
        <f>IF(Q$3=0,"",SUMIFS(INDEX(Inputs!$D$4:$AG$150,0,MATCH(Q$2,Inputs!$D$2:$AG$2,0)),Inputs!$B$4:$B$150,$B18)/1000)</f>
        <v>12758</v>
      </c>
      <c r="R18" s="12">
        <f>IF(Q18="","",Q18)</f>
        <v>12758</v>
      </c>
      <c r="S18" s="11">
        <f>IF(S$3=0,"",SUMIFS(INDEX(Inputs!$D$4:$AG$150,0,MATCH(S$2,Inputs!$D$2:$AG$2,0)),Inputs!$B$4:$B$150,$B18)/1000)</f>
        <v>12688</v>
      </c>
      <c r="T18" s="11">
        <f>IF(T$3=0,"",SUMIFS(INDEX(Inputs!$D$4:$AG$150,0,MATCH(T$2,Inputs!$D$2:$AG$2,0)),Inputs!$B$4:$B$150,$B18)/1000)</f>
        <v>12273</v>
      </c>
      <c r="U18" s="11">
        <f>IF(U$3=0,"",SUMIFS(INDEX(Inputs!$D$4:$AG$150,0,MATCH(U$2,Inputs!$D$2:$AG$2,0)),Inputs!$B$4:$B$150,$B18)/1000)</f>
        <v>12219</v>
      </c>
      <c r="V18" s="11">
        <f>IF(V$3=0,"",SUMIFS(INDEX(Inputs!$D$4:$AG$150,0,MATCH(V$2,Inputs!$D$2:$AG$2,0)),Inputs!$B$4:$B$150,$B18)/1000)</f>
        <v>11984</v>
      </c>
      <c r="W18" s="12">
        <f>IF(V18="","",V18)</f>
        <v>11984</v>
      </c>
      <c r="X18" s="11">
        <f>IF(X$3=0,"",SUMIFS(INDEX(Inputs!$D$4:$AG$150,0,MATCH(X$2,Inputs!$D$2:$AG$2,0)),Inputs!$B$4:$B$150,$B18)/1000)</f>
        <v>11799</v>
      </c>
      <c r="Y18" s="11">
        <f>IF(Y$3=0,"",SUMIFS(INDEX(Inputs!$D$4:$AG$150,0,MATCH(Y$2,Inputs!$D$2:$AG$2,0)),Inputs!$B$4:$B$150,$B18)/1000)</f>
        <v>11877</v>
      </c>
      <c r="Z18" s="11">
        <f>IF(Z$3=0,"",SUMIFS(INDEX(Inputs!$D$4:$AG$150,0,MATCH(Z$2,Inputs!$D$2:$AG$2,0)),Inputs!$B$4:$B$150,$B18)/1000)</f>
        <v>11734</v>
      </c>
      <c r="AA18" s="11">
        <f>IF(AA$3=0,"",SUMIFS(INDEX(Inputs!$D$4:$AG$150,0,MATCH(AA$2,Inputs!$D$2:$AG$2,0)),Inputs!$B$4:$B$150,$B18)/1000)</f>
        <v>11531</v>
      </c>
      <c r="AB18" s="12">
        <f>IF(AA18="","",AA18)</f>
        <v>11531</v>
      </c>
      <c r="AC18" s="11">
        <f>IF(AC$3=0,"",SUMIFS(INDEX(Inputs!$D$4:$AG$150,0,MATCH(AC$2,Inputs!$D$2:$AG$2,0)),Inputs!$B$4:$B$150,$B18)/1000)</f>
        <v>11360</v>
      </c>
      <c r="AD18" s="11">
        <f>IF(AD$3=0,"",SUMIFS(INDEX(Inputs!$D$4:$AG$150,0,MATCH(AD$2,Inputs!$D$2:$AG$2,0)),Inputs!$B$4:$B$150,$B18)/1000)</f>
        <v>11541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3243</v>
      </c>
      <c r="E20" s="11">
        <f>IF(E$3=0,"",SUMIFS(INDEX(Inputs!$D$4:$AG$150,0,MATCH(E$2,Inputs!$D$2:$AG$2,0)),Inputs!$B$4:$B$150,$B20)/1000)</f>
        <v>3604</v>
      </c>
      <c r="F20" s="11">
        <f>IF(F$3=0,"",SUMIFS(INDEX(Inputs!$D$4:$AG$150,0,MATCH(F$2,Inputs!$D$2:$AG$2,0)),Inputs!$B$4:$B$150,$B20)/1000)</f>
        <v>3325</v>
      </c>
      <c r="G20" s="11">
        <f>IF(G$3=0,"",SUMIFS(INDEX(Inputs!$D$4:$AG$150,0,MATCH(G$2,Inputs!$D$2:$AG$2,0)),Inputs!$B$4:$B$150,$B20)/1000)</f>
        <v>3778</v>
      </c>
      <c r="H20" s="12">
        <f>IF(G20="","",G20)</f>
        <v>3778</v>
      </c>
      <c r="I20" s="11">
        <f>IF(I$3=0,"",SUMIFS(INDEX(Inputs!$D$4:$AG$150,0,MATCH(I$2,Inputs!$D$2:$AG$2,0)),Inputs!$B$4:$B$150,$B20)/1000)</f>
        <v>3698</v>
      </c>
      <c r="J20" s="11">
        <f>IF(J$3=0,"",SUMIFS(INDEX(Inputs!$D$4:$AG$150,0,MATCH(J$2,Inputs!$D$2:$AG$2,0)),Inputs!$B$4:$B$150,$B20)/1000)</f>
        <v>3778</v>
      </c>
      <c r="K20" s="11">
        <f>IF(K$3=0,"",SUMIFS(INDEX(Inputs!$D$4:$AG$150,0,MATCH(K$2,Inputs!$D$2:$AG$2,0)),Inputs!$B$4:$B$150,$B20)/1000)</f>
        <v>3847</v>
      </c>
      <c r="L20" s="11">
        <f>IF(L$3=0,"",SUMIFS(INDEX(Inputs!$D$4:$AG$150,0,MATCH(L$2,Inputs!$D$2:$AG$2,0)),Inputs!$B$4:$B$150,$B20)/1000)</f>
        <v>4014</v>
      </c>
      <c r="M20" s="12">
        <f>IF(L20="","",L20)</f>
        <v>4014</v>
      </c>
      <c r="N20" s="11">
        <f>IF(N$3=0,"",SUMIFS(INDEX(Inputs!$D$4:$AG$150,0,MATCH(N$2,Inputs!$D$2:$AG$2,0)),Inputs!$B$4:$B$150,$B20)/1000)</f>
        <v>3714</v>
      </c>
      <c r="O20" s="11">
        <f>IF(O$3=0,"",SUMIFS(INDEX(Inputs!$D$4:$AG$150,0,MATCH(O$2,Inputs!$D$2:$AG$2,0)),Inputs!$B$4:$B$150,$B20)/1000)</f>
        <v>3902</v>
      </c>
      <c r="P20" s="11">
        <f>IF(P$3=0,"",SUMIFS(INDEX(Inputs!$D$4:$AG$150,0,MATCH(P$2,Inputs!$D$2:$AG$2,0)),Inputs!$B$4:$B$150,$B20)/1000)</f>
        <v>3564</v>
      </c>
      <c r="Q20" s="11">
        <f>IF(Q$3=0,"",SUMIFS(INDEX(Inputs!$D$4:$AG$150,0,MATCH(Q$2,Inputs!$D$2:$AG$2,0)),Inputs!$B$4:$B$150,$B20)/1000)</f>
        <v>3795</v>
      </c>
      <c r="R20" s="12">
        <f>IF(Q20="","",Q20)</f>
        <v>3795</v>
      </c>
      <c r="S20" s="11">
        <f>IF(S$3=0,"",SUMIFS(INDEX(Inputs!$D$4:$AG$150,0,MATCH(S$2,Inputs!$D$2:$AG$2,0)),Inputs!$B$4:$B$150,$B20)/1000)</f>
        <v>3862</v>
      </c>
      <c r="T20" s="11">
        <f>IF(T$3=0,"",SUMIFS(INDEX(Inputs!$D$4:$AG$150,0,MATCH(T$2,Inputs!$D$2:$AG$2,0)),Inputs!$B$4:$B$150,$B20)/1000)</f>
        <v>4019</v>
      </c>
      <c r="U20" s="11">
        <f>IF(U$3=0,"",SUMIFS(INDEX(Inputs!$D$4:$AG$150,0,MATCH(U$2,Inputs!$D$2:$AG$2,0)),Inputs!$B$4:$B$150,$B20)/1000)</f>
        <v>4140</v>
      </c>
      <c r="V20" s="11">
        <f>IF(V$3=0,"",SUMIFS(INDEX(Inputs!$D$4:$AG$150,0,MATCH(V$2,Inputs!$D$2:$AG$2,0)),Inputs!$B$4:$B$150,$B20)/1000)</f>
        <v>4015</v>
      </c>
      <c r="W20" s="12">
        <f>IF(V20="","",V20)</f>
        <v>4015</v>
      </c>
      <c r="X20" s="11">
        <f>IF(X$3=0,"",SUMIFS(INDEX(Inputs!$D$4:$AG$150,0,MATCH(X$2,Inputs!$D$2:$AG$2,0)),Inputs!$B$4:$B$150,$B20)/1000)</f>
        <v>4242</v>
      </c>
      <c r="Y20" s="11">
        <f>IF(Y$3=0,"",SUMIFS(INDEX(Inputs!$D$4:$AG$150,0,MATCH(Y$2,Inputs!$D$2:$AG$2,0)),Inputs!$B$4:$B$150,$B20)/1000)</f>
        <v>4818</v>
      </c>
      <c r="Z20" s="11">
        <f>IF(Z$3=0,"",SUMIFS(INDEX(Inputs!$D$4:$AG$150,0,MATCH(Z$2,Inputs!$D$2:$AG$2,0)),Inputs!$B$4:$B$150,$B20)/1000)</f>
        <v>4786</v>
      </c>
      <c r="AA20" s="11">
        <f>IF(AA$3=0,"",SUMIFS(INDEX(Inputs!$D$4:$AG$150,0,MATCH(AA$2,Inputs!$D$2:$AG$2,0)),Inputs!$B$4:$B$150,$B20)/1000)</f>
        <v>5160</v>
      </c>
      <c r="AB20" s="12">
        <f>IF(AA20="","",AA20)</f>
        <v>5160</v>
      </c>
      <c r="AC20" s="11">
        <f>IF(AC$3=0,"",SUMIFS(INDEX(Inputs!$D$4:$AG$150,0,MATCH(AC$2,Inputs!$D$2:$AG$2,0)),Inputs!$B$4:$B$150,$B20)/1000)</f>
        <v>5023</v>
      </c>
      <c r="AD20" s="11">
        <f>IF(AD$3=0,"",SUMIFS(INDEX(Inputs!$D$4:$AG$150,0,MATCH(AD$2,Inputs!$D$2:$AG$2,0)),Inputs!$B$4:$B$150,$B20)/1000)</f>
        <v>4288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6816</v>
      </c>
      <c r="E22" s="11">
        <f>IF(E$3=0,"",SUMIFS(INDEX(Inputs!$D$4:$AG$150,0,MATCH(E$2,Inputs!$D$2:$AG$2,0)),Inputs!$B$4:$B$150,$B22)/1000)</f>
        <v>7049</v>
      </c>
      <c r="F22" s="11">
        <f>IF(F$3=0,"",SUMIFS(INDEX(Inputs!$D$4:$AG$150,0,MATCH(F$2,Inputs!$D$2:$AG$2,0)),Inputs!$B$4:$B$150,$B22)/1000)</f>
        <v>7610</v>
      </c>
      <c r="G22" s="11">
        <f>IF(G$3=0,"",SUMIFS(INDEX(Inputs!$D$4:$AG$150,0,MATCH(G$2,Inputs!$D$2:$AG$2,0)),Inputs!$B$4:$B$150,$B22)/1000)</f>
        <v>8029</v>
      </c>
      <c r="H22" s="12">
        <f>IF(G22="","",G22)</f>
        <v>8029</v>
      </c>
      <c r="I22" s="11">
        <f>IF(I$3=0,"",SUMIFS(INDEX(Inputs!$D$4:$AG$150,0,MATCH(I$2,Inputs!$D$2:$AG$2,0)),Inputs!$B$4:$B$150,$B22)/1000)</f>
        <v>8609</v>
      </c>
      <c r="J22" s="11">
        <f>IF(J$3=0,"",SUMIFS(INDEX(Inputs!$D$4:$AG$150,0,MATCH(J$2,Inputs!$D$2:$AG$2,0)),Inputs!$B$4:$B$150,$B22)/1000)</f>
        <v>9716</v>
      </c>
      <c r="K22" s="11">
        <f>IF(K$3=0,"",SUMIFS(INDEX(Inputs!$D$4:$AG$150,0,MATCH(K$2,Inputs!$D$2:$AG$2,0)),Inputs!$B$4:$B$150,$B22)/1000)</f>
        <v>12280</v>
      </c>
      <c r="L22" s="11">
        <f>IF(L$3=0,"",SUMIFS(INDEX(Inputs!$D$4:$AG$150,0,MATCH(L$2,Inputs!$D$2:$AG$2,0)),Inputs!$B$4:$B$150,$B22)/1000)</f>
        <v>14351</v>
      </c>
      <c r="M22" s="12">
        <f>IF(L22="","",L22)</f>
        <v>14351</v>
      </c>
      <c r="N22" s="11">
        <f>IF(N$3=0,"",SUMIFS(INDEX(Inputs!$D$4:$AG$150,0,MATCH(N$2,Inputs!$D$2:$AG$2,0)),Inputs!$B$4:$B$150,$B22)/1000)</f>
        <v>16345</v>
      </c>
      <c r="O22" s="11">
        <f>IF(O$3=0,"",SUMIFS(INDEX(Inputs!$D$4:$AG$150,0,MATCH(O$2,Inputs!$D$2:$AG$2,0)),Inputs!$B$4:$B$150,$B22)/1000)</f>
        <v>17069</v>
      </c>
      <c r="P22" s="11">
        <f>IF(P$3=0,"",SUMIFS(INDEX(Inputs!$D$4:$AG$150,0,MATCH(P$2,Inputs!$D$2:$AG$2,0)),Inputs!$B$4:$B$150,$B22)/1000)</f>
        <v>17644</v>
      </c>
      <c r="Q22" s="11">
        <f>IF(Q$3=0,"",SUMIFS(INDEX(Inputs!$D$4:$AG$150,0,MATCH(Q$2,Inputs!$D$2:$AG$2,0)),Inputs!$B$4:$B$150,$B22)/1000)</f>
        <v>18009</v>
      </c>
      <c r="R22" s="12">
        <f>IF(Q22="","",Q22)</f>
        <v>18009</v>
      </c>
      <c r="S22" s="11">
        <f>IF(S$3=0,"",SUMIFS(INDEX(Inputs!$D$4:$AG$150,0,MATCH(S$2,Inputs!$D$2:$AG$2,0)),Inputs!$B$4:$B$150,$B22)/1000)</f>
        <v>19117</v>
      </c>
      <c r="T22" s="11">
        <f>IF(T$3=0,"",SUMIFS(INDEX(Inputs!$D$4:$AG$150,0,MATCH(T$2,Inputs!$D$2:$AG$2,0)),Inputs!$B$4:$B$150,$B22)/1000)</f>
        <v>21536</v>
      </c>
      <c r="U22" s="11">
        <f>IF(U$3=0,"",SUMIFS(INDEX(Inputs!$D$4:$AG$150,0,MATCH(U$2,Inputs!$D$2:$AG$2,0)),Inputs!$B$4:$B$150,$B22)/1000)</f>
        <v>23094</v>
      </c>
      <c r="V22" s="11">
        <f>IF(V$3=0,"",SUMIFS(INDEX(Inputs!$D$4:$AG$150,0,MATCH(V$2,Inputs!$D$2:$AG$2,0)),Inputs!$B$4:$B$150,$B22)/1000)</f>
        <v>26432</v>
      </c>
      <c r="W22" s="12">
        <f>IF(V22="","",V22)</f>
        <v>26432</v>
      </c>
      <c r="X22" s="11">
        <f>IF(X$3=0,"",SUMIFS(INDEX(Inputs!$D$4:$AG$150,0,MATCH(X$2,Inputs!$D$2:$AG$2,0)),Inputs!$B$4:$B$150,$B22)/1000)</f>
        <v>31970</v>
      </c>
      <c r="Y22" s="11">
        <f>IF(Y$3=0,"",SUMIFS(INDEX(Inputs!$D$4:$AG$150,0,MATCH(Y$2,Inputs!$D$2:$AG$2,0)),Inputs!$B$4:$B$150,$B22)/1000)</f>
        <v>43522</v>
      </c>
      <c r="Z22" s="11">
        <f>IF(Z$3=0,"",SUMIFS(INDEX(Inputs!$D$4:$AG$150,0,MATCH(Z$2,Inputs!$D$2:$AG$2,0)),Inputs!$B$4:$B$150,$B22)/1000)</f>
        <v>53194</v>
      </c>
      <c r="AA22" s="11">
        <f>IF(AA$3=0,"",SUMIFS(INDEX(Inputs!$D$4:$AG$150,0,MATCH(AA$2,Inputs!$D$2:$AG$2,0)),Inputs!$B$4:$B$150,$B22)/1000)</f>
        <v>67875</v>
      </c>
      <c r="AB22" s="12">
        <f>IF(AA22="","",AA22)</f>
        <v>67875</v>
      </c>
      <c r="AC22" s="11">
        <f>IF(AC$3=0,"",SUMIFS(INDEX(Inputs!$D$4:$AG$150,0,MATCH(AC$2,Inputs!$D$2:$AG$2,0)),Inputs!$B$4:$B$150,$B22)/1000)</f>
        <v>83617</v>
      </c>
      <c r="AD22" s="11">
        <f>IF(AD$3=0,"",SUMIFS(INDEX(Inputs!$D$4:$AG$150,0,MATCH(AD$2,Inputs!$D$2:$AG$2,0)),Inputs!$B$4:$B$150,$B22)/1000)</f>
        <v>99957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29690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43954</v>
      </c>
      <c r="E24" s="11">
        <f>IF(E$3=0,"",SUMIFS(INDEX(Inputs!$D$4:$AG$150,0,MATCH(E$2,Inputs!$D$2:$AG$2,0)),Inputs!$B$4:$B$150,$B24)/1000)</f>
        <v>43935</v>
      </c>
      <c r="F24" s="11">
        <f>IF(F$3=0,"",SUMIFS(INDEX(Inputs!$D$4:$AG$150,0,MATCH(F$2,Inputs!$D$2:$AG$2,0)),Inputs!$B$4:$B$150,$B24)/1000)</f>
        <v>43862</v>
      </c>
      <c r="G24" s="11">
        <f>IF(G$3=0,"",SUMIFS(INDEX(Inputs!$D$4:$AG$150,0,MATCH(G$2,Inputs!$D$2:$AG$2,0)),Inputs!$B$4:$B$150,$B24)/1000)</f>
        <v>43842</v>
      </c>
      <c r="H24" s="12">
        <f>IF(G24="","",G24)</f>
        <v>43842</v>
      </c>
      <c r="I24" s="11">
        <f>IF(I$3=0,"",SUMIFS(INDEX(Inputs!$D$4:$AG$150,0,MATCH(I$2,Inputs!$D$2:$AG$2,0)),Inputs!$B$4:$B$150,$B24)/1000)</f>
        <v>43833</v>
      </c>
      <c r="J24" s="11">
        <f>IF(J$3=0,"",SUMIFS(INDEX(Inputs!$D$4:$AG$150,0,MATCH(J$2,Inputs!$D$2:$AG$2,0)),Inputs!$B$4:$B$150,$B24)/1000)</f>
        <v>43811</v>
      </c>
      <c r="K24" s="11">
        <f>IF(K$3=0,"",SUMIFS(INDEX(Inputs!$D$4:$AG$150,0,MATCH(K$2,Inputs!$D$2:$AG$2,0)),Inputs!$B$4:$B$150,$B24)/1000)</f>
        <v>61629</v>
      </c>
      <c r="L24" s="11">
        <f>IF(L$3=0,"",SUMIFS(INDEX(Inputs!$D$4:$AG$150,0,MATCH(L$2,Inputs!$D$2:$AG$2,0)),Inputs!$B$4:$B$150,$B24)/1000)</f>
        <v>61513</v>
      </c>
      <c r="M24" s="12">
        <f>IF(L24="","",L24)</f>
        <v>61513</v>
      </c>
      <c r="N24" s="11">
        <f>IF(N$3=0,"",SUMIFS(INDEX(Inputs!$D$4:$AG$150,0,MATCH(N$2,Inputs!$D$2:$AG$2,0)),Inputs!$B$4:$B$150,$B24)/1000)</f>
        <v>61499</v>
      </c>
      <c r="O24" s="11">
        <f>IF(O$3=0,"",SUMIFS(INDEX(Inputs!$D$4:$AG$150,0,MATCH(O$2,Inputs!$D$2:$AG$2,0)),Inputs!$B$4:$B$150,$B24)/1000)</f>
        <v>62261</v>
      </c>
      <c r="P24" s="11">
        <f>IF(P$3=0,"",SUMIFS(INDEX(Inputs!$D$4:$AG$150,0,MATCH(P$2,Inputs!$D$2:$AG$2,0)),Inputs!$B$4:$B$150,$B24)/1000)</f>
        <v>62206</v>
      </c>
      <c r="Q24" s="11">
        <f>IF(Q$3=0,"",SUMIFS(INDEX(Inputs!$D$4:$AG$150,0,MATCH(Q$2,Inputs!$D$2:$AG$2,0)),Inputs!$B$4:$B$150,$B24)/1000)</f>
        <v>62231</v>
      </c>
      <c r="R24" s="12">
        <f>IF(Q24="","",Q24)</f>
        <v>62231</v>
      </c>
      <c r="S24" s="11">
        <f>IF(S$3=0,"",SUMIFS(INDEX(Inputs!$D$4:$AG$150,0,MATCH(S$2,Inputs!$D$2:$AG$2,0)),Inputs!$B$4:$B$150,$B24)/1000)</f>
        <v>62222</v>
      </c>
      <c r="T24" s="11">
        <f>IF(T$3=0,"",SUMIFS(INDEX(Inputs!$D$4:$AG$150,0,MATCH(T$2,Inputs!$D$2:$AG$2,0)),Inputs!$B$4:$B$150,$B24)/1000)</f>
        <v>62230</v>
      </c>
      <c r="U24" s="11">
        <f>IF(U$3=0,"",SUMIFS(INDEX(Inputs!$D$4:$AG$150,0,MATCH(U$2,Inputs!$D$2:$AG$2,0)),Inputs!$B$4:$B$150,$B24)/1000)</f>
        <v>62249</v>
      </c>
      <c r="V24" s="11">
        <f>IF(V$3=0,"",SUMIFS(INDEX(Inputs!$D$4:$AG$150,0,MATCH(V$2,Inputs!$D$2:$AG$2,0)),Inputs!$B$4:$B$150,$B24)/1000)</f>
        <v>62204</v>
      </c>
      <c r="W24" s="12">
        <f>IF(V24="","",V24)</f>
        <v>62204</v>
      </c>
      <c r="X24" s="11">
        <f>IF(X$3=0,"",SUMIFS(INDEX(Inputs!$D$4:$AG$150,0,MATCH(X$2,Inputs!$D$2:$AG$2,0)),Inputs!$B$4:$B$150,$B24)/1000)</f>
        <v>62171</v>
      </c>
      <c r="Y24" s="11">
        <f>IF(Y$3=0,"",SUMIFS(INDEX(Inputs!$D$4:$AG$150,0,MATCH(Y$2,Inputs!$D$2:$AG$2,0)),Inputs!$B$4:$B$150,$B24)/1000)</f>
        <v>62207</v>
      </c>
      <c r="Z24" s="11">
        <f>IF(Z$3=0,"",SUMIFS(INDEX(Inputs!$D$4:$AG$150,0,MATCH(Z$2,Inputs!$D$2:$AG$2,0)),Inputs!$B$4:$B$150,$B24)/1000)</f>
        <v>62211</v>
      </c>
      <c r="AA24" s="11">
        <f>IF(AA$3=0,"",SUMIFS(INDEX(Inputs!$D$4:$AG$150,0,MATCH(AA$2,Inputs!$D$2:$AG$2,0)),Inputs!$B$4:$B$150,$B24)/1000)</f>
        <v>62207</v>
      </c>
      <c r="AB24" s="12">
        <f>IF(AA24="","",AA24)</f>
        <v>62207</v>
      </c>
      <c r="AC24" s="11">
        <f>IF(AC$3=0,"",SUMIFS(INDEX(Inputs!$D$4:$AG$150,0,MATCH(AC$2,Inputs!$D$2:$AG$2,0)),Inputs!$B$4:$B$150,$B24)/1000)</f>
        <v>62274</v>
      </c>
      <c r="AD24" s="11">
        <f>IF(AD$3=0,"",SUMIFS(INDEX(Inputs!$D$4:$AG$150,0,MATCH(AD$2,Inputs!$D$2:$AG$2,0)),Inputs!$B$4:$B$150,$B24)/1000)</f>
        <v>62261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2754</v>
      </c>
      <c r="E25" s="11">
        <f>IF(E$3=0,"",SUMIFS(INDEX(Inputs!$D$4:$AG$150,0,MATCH(E$2,Inputs!$D$2:$AG$2,0)),Inputs!$B$4:$B$150,$B25)/1000)</f>
        <v>2430</v>
      </c>
      <c r="F25" s="11">
        <f>IF(F$3=0,"",SUMIFS(INDEX(Inputs!$D$4:$AG$150,0,MATCH(F$2,Inputs!$D$2:$AG$2,0)),Inputs!$B$4:$B$150,$B25)/1000)</f>
        <v>2181</v>
      </c>
      <c r="G25" s="11">
        <f>IF(G$3=0,"",SUMIFS(INDEX(Inputs!$D$4:$AG$150,0,MATCH(G$2,Inputs!$D$2:$AG$2,0)),Inputs!$B$4:$B$150,$B25)/1000)</f>
        <v>1881</v>
      </c>
      <c r="H25" s="12">
        <f>IF(G25="","",G25)</f>
        <v>1881</v>
      </c>
      <c r="I25" s="11">
        <f>IF(I$3=0,"",SUMIFS(INDEX(Inputs!$D$4:$AG$150,0,MATCH(I$2,Inputs!$D$2:$AG$2,0)),Inputs!$B$4:$B$150,$B25)/1000)</f>
        <v>1688</v>
      </c>
      <c r="J25" s="11">
        <f>IF(J$3=0,"",SUMIFS(INDEX(Inputs!$D$4:$AG$150,0,MATCH(J$2,Inputs!$D$2:$AG$2,0)),Inputs!$B$4:$B$150,$B25)/1000)</f>
        <v>1440</v>
      </c>
      <c r="K25" s="11">
        <f>IF(K$3=0,"",SUMIFS(INDEX(Inputs!$D$4:$AG$150,0,MATCH(K$2,Inputs!$D$2:$AG$2,0)),Inputs!$B$4:$B$150,$B25)/1000)</f>
        <v>12499</v>
      </c>
      <c r="L25" s="11">
        <f>IF(L$3=0,"",SUMIFS(INDEX(Inputs!$D$4:$AG$150,0,MATCH(L$2,Inputs!$D$2:$AG$2,0)),Inputs!$B$4:$B$150,$B25)/1000)</f>
        <v>11593</v>
      </c>
      <c r="M25" s="12">
        <f>IF(L25="","",L25)</f>
        <v>11593</v>
      </c>
      <c r="N25" s="11">
        <f>IF(N$3=0,"",SUMIFS(INDEX(Inputs!$D$4:$AG$150,0,MATCH(N$2,Inputs!$D$2:$AG$2,0)),Inputs!$B$4:$B$150,$B25)/1000)</f>
        <v>10707</v>
      </c>
      <c r="O25" s="11">
        <f>IF(O$3=0,"",SUMIFS(INDEX(Inputs!$D$4:$AG$150,0,MATCH(O$2,Inputs!$D$2:$AG$2,0)),Inputs!$B$4:$B$150,$B25)/1000)</f>
        <v>9837</v>
      </c>
      <c r="P25" s="11">
        <f>IF(P$3=0,"",SUMIFS(INDEX(Inputs!$D$4:$AG$150,0,MATCH(P$2,Inputs!$D$2:$AG$2,0)),Inputs!$B$4:$B$150,$B25)/1000)</f>
        <v>9074</v>
      </c>
      <c r="Q25" s="11">
        <f>IF(Q$3=0,"",SUMIFS(INDEX(Inputs!$D$4:$AG$150,0,MATCH(Q$2,Inputs!$D$2:$AG$2,0)),Inputs!$B$4:$B$150,$B25)/1000)</f>
        <v>8378</v>
      </c>
      <c r="R25" s="12">
        <f>IF(Q25="","",Q25)</f>
        <v>8378</v>
      </c>
      <c r="S25" s="11">
        <f>IF(S$3=0,"",SUMIFS(INDEX(Inputs!$D$4:$AG$150,0,MATCH(S$2,Inputs!$D$2:$AG$2,0)),Inputs!$B$4:$B$150,$B25)/1000)</f>
        <v>7629</v>
      </c>
      <c r="T25" s="11">
        <f>IF(T$3=0,"",SUMIFS(INDEX(Inputs!$D$4:$AG$150,0,MATCH(T$2,Inputs!$D$2:$AG$2,0)),Inputs!$B$4:$B$150,$B25)/1000)</f>
        <v>6890</v>
      </c>
      <c r="U25" s="11">
        <f>IF(U$3=0,"",SUMIFS(INDEX(Inputs!$D$4:$AG$150,0,MATCH(U$2,Inputs!$D$2:$AG$2,0)),Inputs!$B$4:$B$150,$B25)/1000)</f>
        <v>6270</v>
      </c>
      <c r="V25" s="11">
        <f>IF(V$3=0,"",SUMIFS(INDEX(Inputs!$D$4:$AG$150,0,MATCH(V$2,Inputs!$D$2:$AG$2,0)),Inputs!$B$4:$B$150,$B25)/1000)</f>
        <v>5679</v>
      </c>
      <c r="W25" s="12">
        <f>IF(V25="","",V25)</f>
        <v>5679</v>
      </c>
      <c r="X25" s="11">
        <f>IF(X$3=0,"",SUMIFS(INDEX(Inputs!$D$4:$AG$150,0,MATCH(X$2,Inputs!$D$2:$AG$2,0)),Inputs!$B$4:$B$150,$B25)/1000)</f>
        <v>5131</v>
      </c>
      <c r="Y25" s="11">
        <f>IF(Y$3=0,"",SUMIFS(INDEX(Inputs!$D$4:$AG$150,0,MATCH(Y$2,Inputs!$D$2:$AG$2,0)),Inputs!$B$4:$B$150,$B25)/1000)</f>
        <v>4587</v>
      </c>
      <c r="Z25" s="11">
        <f>IF(Z$3=0,"",SUMIFS(INDEX(Inputs!$D$4:$AG$150,0,MATCH(Z$2,Inputs!$D$2:$AG$2,0)),Inputs!$B$4:$B$150,$B25)/1000)</f>
        <v>4167</v>
      </c>
      <c r="AA25" s="11">
        <f>IF(AA$3=0,"",SUMIFS(INDEX(Inputs!$D$4:$AG$150,0,MATCH(AA$2,Inputs!$D$2:$AG$2,0)),Inputs!$B$4:$B$150,$B25)/1000)</f>
        <v>3760</v>
      </c>
      <c r="AB25" s="12">
        <f>IF(AA25="","",AA25)</f>
        <v>3760</v>
      </c>
      <c r="AC25" s="11">
        <f>IF(AC$3=0,"",SUMIFS(INDEX(Inputs!$D$4:$AG$150,0,MATCH(AC$2,Inputs!$D$2:$AG$2,0)),Inputs!$B$4:$B$150,$B25)/1000)</f>
        <v>3641</v>
      </c>
      <c r="AD25" s="11">
        <f>IF(AD$3=0,"",SUMIFS(INDEX(Inputs!$D$4:$AG$150,0,MATCH(AD$2,Inputs!$D$2:$AG$2,0)),Inputs!$B$4:$B$150,$B25)/1000)</f>
        <v>0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7116</v>
      </c>
      <c r="E26" s="11">
        <f>IF(E$3=0,"",SUMIFS(INDEX(Inputs!$D$4:$AG$150,0,MATCH(E$2,Inputs!$D$2:$AG$2,0)),Inputs!$B$4:$B$150,$B26)/1000)</f>
        <v>8490</v>
      </c>
      <c r="F26" s="11">
        <f>IF(F$3=0,"",SUMIFS(INDEX(Inputs!$D$4:$AG$150,0,MATCH(F$2,Inputs!$D$2:$AG$2,0)),Inputs!$B$4:$B$150,$B26)/1000)</f>
        <v>8763</v>
      </c>
      <c r="G26" s="11">
        <f>IF(G$3=0,"",SUMIFS(INDEX(Inputs!$D$4:$AG$150,0,MATCH(G$2,Inputs!$D$2:$AG$2,0)),Inputs!$B$4:$B$150,$B26)/1000)</f>
        <v>8802</v>
      </c>
      <c r="H26" s="12">
        <f>IF(G26="","",G26)</f>
        <v>8802</v>
      </c>
      <c r="I26" s="11">
        <f>IF(I$3=0,"",SUMIFS(INDEX(Inputs!$D$4:$AG$150,0,MATCH(I$2,Inputs!$D$2:$AG$2,0)),Inputs!$B$4:$B$150,$B26)/1000)</f>
        <v>9730</v>
      </c>
      <c r="J26" s="11">
        <f>IF(J$3=0,"",SUMIFS(INDEX(Inputs!$D$4:$AG$150,0,MATCH(J$2,Inputs!$D$2:$AG$2,0)),Inputs!$B$4:$B$150,$B26)/1000)</f>
        <v>9915</v>
      </c>
      <c r="K26" s="11">
        <f>IF(K$3=0,"",SUMIFS(INDEX(Inputs!$D$4:$AG$150,0,MATCH(K$2,Inputs!$D$2:$AG$2,0)),Inputs!$B$4:$B$150,$B26)/1000)</f>
        <v>10832</v>
      </c>
      <c r="L26" s="11">
        <f>IF(L$3=0,"",SUMIFS(INDEX(Inputs!$D$4:$AG$150,0,MATCH(L$2,Inputs!$D$2:$AG$2,0)),Inputs!$B$4:$B$150,$B26)/1000)</f>
        <v>11360</v>
      </c>
      <c r="M26" s="12">
        <f>IF(L26="","",L26)</f>
        <v>11360</v>
      </c>
      <c r="N26" s="11">
        <f>IF(N$3=0,"",SUMIFS(INDEX(Inputs!$D$4:$AG$150,0,MATCH(N$2,Inputs!$D$2:$AG$2,0)),Inputs!$B$4:$B$150,$B26)/1000)</f>
        <v>12220</v>
      </c>
      <c r="O26" s="11">
        <f>IF(O$3=0,"",SUMIFS(INDEX(Inputs!$D$4:$AG$150,0,MATCH(O$2,Inputs!$D$2:$AG$2,0)),Inputs!$B$4:$B$150,$B26)/1000)</f>
        <v>11987</v>
      </c>
      <c r="P26" s="11">
        <f>IF(P$3=0,"",SUMIFS(INDEX(Inputs!$D$4:$AG$150,0,MATCH(P$2,Inputs!$D$2:$AG$2,0)),Inputs!$B$4:$B$150,$B26)/1000)</f>
        <v>13329</v>
      </c>
      <c r="Q26" s="11">
        <f>IF(Q$3=0,"",SUMIFS(INDEX(Inputs!$D$4:$AG$150,0,MATCH(Q$2,Inputs!$D$2:$AG$2,0)),Inputs!$B$4:$B$150,$B26)/1000)</f>
        <v>13659</v>
      </c>
      <c r="R26" s="12">
        <f>IF(Q26="","",Q26)</f>
        <v>13659</v>
      </c>
      <c r="S26" s="11">
        <f>IF(S$3=0,"",SUMIFS(INDEX(Inputs!$D$4:$AG$150,0,MATCH(S$2,Inputs!$D$2:$AG$2,0)),Inputs!$B$4:$B$150,$B26)/1000)</f>
        <v>14363</v>
      </c>
      <c r="T26" s="11">
        <f>IF(T$3=0,"",SUMIFS(INDEX(Inputs!$D$4:$AG$150,0,MATCH(T$2,Inputs!$D$2:$AG$2,0)),Inputs!$B$4:$B$150,$B26)/1000)</f>
        <v>15493</v>
      </c>
      <c r="U26" s="11">
        <f>IF(U$3=0,"",SUMIFS(INDEX(Inputs!$D$4:$AG$150,0,MATCH(U$2,Inputs!$D$2:$AG$2,0)),Inputs!$B$4:$B$150,$B26)/1000)</f>
        <v>17310</v>
      </c>
      <c r="V26" s="11">
        <f>IF(V$3=0,"",SUMIFS(INDEX(Inputs!$D$4:$AG$150,0,MATCH(V$2,Inputs!$D$2:$AG$2,0)),Inputs!$B$4:$B$150,$B26)/1000)</f>
        <v>18681</v>
      </c>
      <c r="W26" s="12">
        <f>IF(V26="","",V26)</f>
        <v>18681</v>
      </c>
      <c r="X26" s="11">
        <f>IF(X$3=0,"",SUMIFS(INDEX(Inputs!$D$4:$AG$150,0,MATCH(X$2,Inputs!$D$2:$AG$2,0)),Inputs!$B$4:$B$150,$B26)/1000)</f>
        <v>20191</v>
      </c>
      <c r="Y26" s="11">
        <f>IF(Y$3=0,"",SUMIFS(INDEX(Inputs!$D$4:$AG$150,0,MATCH(Y$2,Inputs!$D$2:$AG$2,0)),Inputs!$B$4:$B$150,$B26)/1000)</f>
        <v>21589</v>
      </c>
      <c r="Z26" s="11">
        <f>IF(Z$3=0,"",SUMIFS(INDEX(Inputs!$D$4:$AG$150,0,MATCH(Z$2,Inputs!$D$2:$AG$2,0)),Inputs!$B$4:$B$150,$B26)/1000)</f>
        <v>24509</v>
      </c>
      <c r="AA26" s="11">
        <f>IF(AA$3=0,"",SUMIFS(INDEX(Inputs!$D$4:$AG$150,0,MATCH(AA$2,Inputs!$D$2:$AG$2,0)),Inputs!$B$4:$B$150,$B26)/1000)</f>
        <v>25245</v>
      </c>
      <c r="AB26" s="12">
        <f>IF(AA26="","",AA26)</f>
        <v>25245</v>
      </c>
      <c r="AC26" s="11">
        <f>IF(AC$3=0,"",SUMIFS(INDEX(Inputs!$D$4:$AG$150,0,MATCH(AC$2,Inputs!$D$2:$AG$2,0)),Inputs!$B$4:$B$150,$B26)/1000)</f>
        <v>29474</v>
      </c>
      <c r="AD26" s="11">
        <f>IF(AD$3=0,"",SUMIFS(INDEX(Inputs!$D$4:$AG$150,0,MATCH(AD$2,Inputs!$D$2:$AG$2,0)),Inputs!$B$4:$B$150,$B26)/1000)</f>
        <v>11743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812</v>
      </c>
      <c r="E28" s="11">
        <f>IF(E$3=0,"",SUMIFS(INDEX(Inputs!$D$4:$AG$150,0,MATCH(E$2,Inputs!$D$2:$AG$2,0)),Inputs!$B$4:$B$150,$B28)/1000)</f>
        <v>745</v>
      </c>
      <c r="F28" s="11">
        <f>IF(F$3=0,"",SUMIFS(INDEX(Inputs!$D$4:$AG$150,0,MATCH(F$2,Inputs!$D$2:$AG$2,0)),Inputs!$B$4:$B$150,$B28)/1000)</f>
        <v>749</v>
      </c>
      <c r="G28" s="11">
        <f>IF(G$3=0,"",SUMIFS(INDEX(Inputs!$D$4:$AG$150,0,MATCH(G$2,Inputs!$D$2:$AG$2,0)),Inputs!$B$4:$B$150,$B28)/1000)</f>
        <v>1034</v>
      </c>
      <c r="H28" s="12">
        <f>IF(G28="","",G28)</f>
        <v>1034</v>
      </c>
      <c r="I28" s="11">
        <f>IF(I$3=0,"",SUMIFS(INDEX(Inputs!$D$4:$AG$150,0,MATCH(I$2,Inputs!$D$2:$AG$2,0)),Inputs!$B$4:$B$150,$B28)/1000)</f>
        <v>1124</v>
      </c>
      <c r="J28" s="11">
        <f>IF(J$3=0,"",SUMIFS(INDEX(Inputs!$D$4:$AG$150,0,MATCH(J$2,Inputs!$D$2:$AG$2,0)),Inputs!$B$4:$B$150,$B28)/1000)</f>
        <v>1317</v>
      </c>
      <c r="K28" s="11">
        <f>IF(K$3=0,"",SUMIFS(INDEX(Inputs!$D$4:$AG$150,0,MATCH(K$2,Inputs!$D$2:$AG$2,0)),Inputs!$B$4:$B$150,$B28)/1000)</f>
        <v>1461</v>
      </c>
      <c r="L28" s="11">
        <f>IF(L$3=0,"",SUMIFS(INDEX(Inputs!$D$4:$AG$150,0,MATCH(L$2,Inputs!$D$2:$AG$2,0)),Inputs!$B$4:$B$150,$B28)/1000)</f>
        <v>1647</v>
      </c>
      <c r="M28" s="12">
        <f>IF(L28="","",L28)</f>
        <v>1647</v>
      </c>
      <c r="N28" s="11">
        <f>IF(N$3=0,"",SUMIFS(INDEX(Inputs!$D$4:$AG$150,0,MATCH(N$2,Inputs!$D$2:$AG$2,0)),Inputs!$B$4:$B$150,$B28)/1000)</f>
        <v>1610</v>
      </c>
      <c r="O28" s="11">
        <f>IF(O$3=0,"",SUMIFS(INDEX(Inputs!$D$4:$AG$150,0,MATCH(O$2,Inputs!$D$2:$AG$2,0)),Inputs!$B$4:$B$150,$B28)/1000)</f>
        <v>1204</v>
      </c>
      <c r="P28" s="11">
        <f>IF(P$3=0,"",SUMIFS(INDEX(Inputs!$D$4:$AG$150,0,MATCH(P$2,Inputs!$D$2:$AG$2,0)),Inputs!$B$4:$B$150,$B28)/1000)</f>
        <v>1034</v>
      </c>
      <c r="Q28" s="11">
        <f>IF(Q$3=0,"",SUMIFS(INDEX(Inputs!$D$4:$AG$150,0,MATCH(Q$2,Inputs!$D$2:$AG$2,0)),Inputs!$B$4:$B$150,$B28)/1000)</f>
        <v>1107</v>
      </c>
      <c r="R28" s="12">
        <f>IF(Q28="","",Q28)</f>
        <v>1107</v>
      </c>
      <c r="S28" s="11">
        <f>IF(S$3=0,"",SUMIFS(INDEX(Inputs!$D$4:$AG$150,0,MATCH(S$2,Inputs!$D$2:$AG$2,0)),Inputs!$B$4:$B$150,$B28)/1000)</f>
        <v>1658</v>
      </c>
      <c r="T28" s="11">
        <f>IF(T$3=0,"",SUMIFS(INDEX(Inputs!$D$4:$AG$150,0,MATCH(T$2,Inputs!$D$2:$AG$2,0)),Inputs!$B$4:$B$150,$B28)/1000)</f>
        <v>2357</v>
      </c>
      <c r="U28" s="11">
        <f>IF(U$3=0,"",SUMIFS(INDEX(Inputs!$D$4:$AG$150,0,MATCH(U$2,Inputs!$D$2:$AG$2,0)),Inputs!$B$4:$B$150,$B28)/1000)</f>
        <v>2207</v>
      </c>
      <c r="V28" s="11">
        <f>IF(V$3=0,"",SUMIFS(INDEX(Inputs!$D$4:$AG$150,0,MATCH(V$2,Inputs!$D$2:$AG$2,0)),Inputs!$B$4:$B$150,$B28)/1000)</f>
        <v>2679</v>
      </c>
      <c r="W28" s="12">
        <f>IF(V28="","",V28)</f>
        <v>2679</v>
      </c>
      <c r="X28" s="11">
        <f>IF(X$3=0,"",SUMIFS(INDEX(Inputs!$D$4:$AG$150,0,MATCH(X$2,Inputs!$D$2:$AG$2,0)),Inputs!$B$4:$B$150,$B28)/1000)</f>
        <v>2423</v>
      </c>
      <c r="Y28" s="11">
        <f>IF(Y$3=0,"",SUMIFS(INDEX(Inputs!$D$4:$AG$150,0,MATCH(Y$2,Inputs!$D$2:$AG$2,0)),Inputs!$B$4:$B$150,$B28)/1000)</f>
        <v>5113</v>
      </c>
      <c r="Z28" s="11">
        <f>IF(Z$3=0,"",SUMIFS(INDEX(Inputs!$D$4:$AG$150,0,MATCH(Z$2,Inputs!$D$2:$AG$2,0)),Inputs!$B$4:$B$150,$B28)/1000)</f>
        <v>8203</v>
      </c>
      <c r="AA28" s="11">
        <f>IF(AA$3=0,"",SUMIFS(INDEX(Inputs!$D$4:$AG$150,0,MATCH(AA$2,Inputs!$D$2:$AG$2,0)),Inputs!$B$4:$B$150,$B28)/1000)</f>
        <v>10140</v>
      </c>
      <c r="AB28" s="12">
        <f>IF(AA28="","",AA28)</f>
        <v>10140</v>
      </c>
      <c r="AC28" s="11">
        <f>IF(AC$3=0,"",SUMIFS(INDEX(Inputs!$D$4:$AG$150,0,MATCH(AC$2,Inputs!$D$2:$AG$2,0)),Inputs!$B$4:$B$150,$B28)/1000)</f>
        <v>9474</v>
      </c>
      <c r="AD28" s="11">
        <f>IF(AD$3=0,"",SUMIFS(INDEX(Inputs!$D$4:$AG$150,0,MATCH(AD$2,Inputs!$D$2:$AG$2,0)),Inputs!$B$4:$B$150,$B28)/1000)</f>
        <v>10977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1684</v>
      </c>
      <c r="E29" s="11">
        <f>IF(E$3=0,"",SUMIFS(INDEX(Inputs!$D$4:$AG$150,0,MATCH(E$2,Inputs!$D$2:$AG$2,0)),Inputs!$B$4:$B$150,$B29)/1000)</f>
        <v>2017</v>
      </c>
      <c r="F29" s="11">
        <f>IF(F$3=0,"",SUMIFS(INDEX(Inputs!$D$4:$AG$150,0,MATCH(F$2,Inputs!$D$2:$AG$2,0)),Inputs!$B$4:$B$150,$B29)/1000)</f>
        <v>1470</v>
      </c>
      <c r="G29" s="11">
        <f>IF(G$3=0,"",SUMIFS(INDEX(Inputs!$D$4:$AG$150,0,MATCH(G$2,Inputs!$D$2:$AG$2,0)),Inputs!$B$4:$B$150,$B29)/1000)</f>
        <v>1503</v>
      </c>
      <c r="H29" s="12">
        <f>IF(G29="","",G29)</f>
        <v>1503</v>
      </c>
      <c r="I29" s="11">
        <f>IF(I$3=0,"",SUMIFS(INDEX(Inputs!$D$4:$AG$150,0,MATCH(I$2,Inputs!$D$2:$AG$2,0)),Inputs!$B$4:$B$150,$B29)/1000)</f>
        <v>1626</v>
      </c>
      <c r="J29" s="11">
        <f>IF(J$3=0,"",SUMIFS(INDEX(Inputs!$D$4:$AG$150,0,MATCH(J$2,Inputs!$D$2:$AG$2,0)),Inputs!$B$4:$B$150,$B29)/1000)</f>
        <v>1944</v>
      </c>
      <c r="K29" s="11">
        <f>IF(K$3=0,"",SUMIFS(INDEX(Inputs!$D$4:$AG$150,0,MATCH(K$2,Inputs!$D$2:$AG$2,0)),Inputs!$B$4:$B$150,$B29)/1000)</f>
        <v>1958</v>
      </c>
      <c r="L29" s="11">
        <f>IF(L$3=0,"",SUMIFS(INDEX(Inputs!$D$4:$AG$150,0,MATCH(L$2,Inputs!$D$2:$AG$2,0)),Inputs!$B$4:$B$150,$B29)/1000)</f>
        <v>1780</v>
      </c>
      <c r="M29" s="12">
        <f>IF(L29="","",L29)</f>
        <v>1780</v>
      </c>
      <c r="N29" s="11">
        <f>IF(N$3=0,"",SUMIFS(INDEX(Inputs!$D$4:$AG$150,0,MATCH(N$2,Inputs!$D$2:$AG$2,0)),Inputs!$B$4:$B$150,$B29)/1000)</f>
        <v>1736</v>
      </c>
      <c r="O29" s="11">
        <f>IF(O$3=0,"",SUMIFS(INDEX(Inputs!$D$4:$AG$150,0,MATCH(O$2,Inputs!$D$2:$AG$2,0)),Inputs!$B$4:$B$150,$B29)/1000)</f>
        <v>2053</v>
      </c>
      <c r="P29" s="11">
        <f>IF(P$3=0,"",SUMIFS(INDEX(Inputs!$D$4:$AG$150,0,MATCH(P$2,Inputs!$D$2:$AG$2,0)),Inputs!$B$4:$B$150,$B29)/1000)</f>
        <v>1818</v>
      </c>
      <c r="Q29" s="11">
        <f>IF(Q$3=0,"",SUMIFS(INDEX(Inputs!$D$4:$AG$150,0,MATCH(Q$2,Inputs!$D$2:$AG$2,0)),Inputs!$B$4:$B$150,$B29)/1000)</f>
        <v>1706</v>
      </c>
      <c r="R29" s="12">
        <f>IF(Q29="","",Q29)</f>
        <v>1706</v>
      </c>
      <c r="S29" s="11">
        <f>IF(S$3=0,"",SUMIFS(INDEX(Inputs!$D$4:$AG$150,0,MATCH(S$2,Inputs!$D$2:$AG$2,0)),Inputs!$B$4:$B$150,$B29)/1000)</f>
        <v>1796</v>
      </c>
      <c r="T29" s="11">
        <f>IF(T$3=0,"",SUMIFS(INDEX(Inputs!$D$4:$AG$150,0,MATCH(T$2,Inputs!$D$2:$AG$2,0)),Inputs!$B$4:$B$150,$B29)/1000)</f>
        <v>1916</v>
      </c>
      <c r="U29" s="11">
        <f>IF(U$3=0,"",SUMIFS(INDEX(Inputs!$D$4:$AG$150,0,MATCH(U$2,Inputs!$D$2:$AG$2,0)),Inputs!$B$4:$B$150,$B29)/1000)</f>
        <v>1772</v>
      </c>
      <c r="V29" s="11">
        <f>IF(V$3=0,"",SUMIFS(INDEX(Inputs!$D$4:$AG$150,0,MATCH(V$2,Inputs!$D$2:$AG$2,0)),Inputs!$B$4:$B$150,$B29)/1000)</f>
        <v>1653</v>
      </c>
      <c r="W29" s="12">
        <f>IF(V29="","",V29)</f>
        <v>1653</v>
      </c>
      <c r="X29" s="11">
        <f>IF(X$3=0,"",SUMIFS(INDEX(Inputs!$D$4:$AG$150,0,MATCH(X$2,Inputs!$D$2:$AG$2,0)),Inputs!$B$4:$B$150,$B29)/1000)</f>
        <v>1839</v>
      </c>
      <c r="Y29" s="11">
        <f>IF(Y$3=0,"",SUMIFS(INDEX(Inputs!$D$4:$AG$150,0,MATCH(Y$2,Inputs!$D$2:$AG$2,0)),Inputs!$B$4:$B$150,$B29)/1000)</f>
        <v>2243</v>
      </c>
      <c r="Z29" s="11">
        <f>IF(Z$3=0,"",SUMIFS(INDEX(Inputs!$D$4:$AG$150,0,MATCH(Z$2,Inputs!$D$2:$AG$2,0)),Inputs!$B$4:$B$150,$B29)/1000)</f>
        <v>1794</v>
      </c>
      <c r="AA29" s="11">
        <f>IF(AA$3=0,"",SUMIFS(INDEX(Inputs!$D$4:$AG$150,0,MATCH(AA$2,Inputs!$D$2:$AG$2,0)),Inputs!$B$4:$B$150,$B29)/1000)</f>
        <v>1947</v>
      </c>
      <c r="AB29" s="12">
        <f>IF(AA29="","",AA29)</f>
        <v>1947</v>
      </c>
      <c r="AC29" s="11">
        <f>IF(AC$3=0,"",SUMIFS(INDEX(Inputs!$D$4:$AG$150,0,MATCH(AC$2,Inputs!$D$2:$AG$2,0)),Inputs!$B$4:$B$150,$B29)/1000)</f>
        <v>1940</v>
      </c>
      <c r="AD29" s="11">
        <f>IF(AD$3=0,"",SUMIFS(INDEX(Inputs!$D$4:$AG$150,0,MATCH(AD$2,Inputs!$D$2:$AG$2,0)),Inputs!$B$4:$B$150,$B29)/1000)</f>
        <v>2225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17754</v>
      </c>
      <c r="E31" s="11">
        <f>IF(E$3=0,"",SUMIFS(INDEX(Inputs!$D$4:$AG$150,0,MATCH(E$2,Inputs!$D$2:$AG$2,0)),Inputs!$B$4:$B$150,$B31)/1000)</f>
        <v>21402</v>
      </c>
      <c r="F31" s="11">
        <f>IF(F$3=0,"",SUMIFS(INDEX(Inputs!$D$4:$AG$150,0,MATCH(F$2,Inputs!$D$2:$AG$2,0)),Inputs!$B$4:$B$150,$B31)/1000)</f>
        <v>20852</v>
      </c>
      <c r="G31" s="11">
        <f>IF(G$3=0,"",SUMIFS(INDEX(Inputs!$D$4:$AG$150,0,MATCH(G$2,Inputs!$D$2:$AG$2,0)),Inputs!$B$4:$B$150,$B31)/1000)</f>
        <v>16344</v>
      </c>
      <c r="H31" s="12">
        <f>IF(G31="","",G31)</f>
        <v>16344</v>
      </c>
      <c r="I31" s="11">
        <f>IF(I$3=0,"",SUMIFS(INDEX(Inputs!$D$4:$AG$150,0,MATCH(I$2,Inputs!$D$2:$AG$2,0)),Inputs!$B$4:$B$150,$B31)/1000)</f>
        <v>18083</v>
      </c>
      <c r="J31" s="11">
        <f>IF(J$3=0,"",SUMIFS(INDEX(Inputs!$D$4:$AG$150,0,MATCH(J$2,Inputs!$D$2:$AG$2,0)),Inputs!$B$4:$B$150,$B31)/1000)</f>
        <v>16250</v>
      </c>
      <c r="K31" s="11">
        <f>IF(K$3=0,"",SUMIFS(INDEX(Inputs!$D$4:$AG$150,0,MATCH(K$2,Inputs!$D$2:$AG$2,0)),Inputs!$B$4:$B$150,$B31)/1000)</f>
        <v>31400</v>
      </c>
      <c r="L31" s="11">
        <f>IF(L$3=0,"",SUMIFS(INDEX(Inputs!$D$4:$AG$150,0,MATCH(L$2,Inputs!$D$2:$AG$2,0)),Inputs!$B$4:$B$150,$B31)/1000)</f>
        <v>23679</v>
      </c>
      <c r="M31" s="12">
        <f>IF(L31="","",L31)</f>
        <v>23679</v>
      </c>
      <c r="N31" s="11">
        <f>IF(N$3=0,"",SUMIFS(INDEX(Inputs!$D$4:$AG$150,0,MATCH(N$2,Inputs!$D$2:$AG$2,0)),Inputs!$B$4:$B$150,$B31)/1000)</f>
        <v>19534</v>
      </c>
      <c r="O31" s="11">
        <f>IF(O$3=0,"",SUMIFS(INDEX(Inputs!$D$4:$AG$150,0,MATCH(O$2,Inputs!$D$2:$AG$2,0)),Inputs!$B$4:$B$150,$B31)/1000)</f>
        <v>19833</v>
      </c>
      <c r="P31" s="11">
        <f>IF(P$3=0,"",SUMIFS(INDEX(Inputs!$D$4:$AG$150,0,MATCH(P$2,Inputs!$D$2:$AG$2,0)),Inputs!$B$4:$B$150,$B31)/1000)</f>
        <v>22505</v>
      </c>
      <c r="Q31" s="11">
        <f>IF(Q$3=0,"",SUMIFS(INDEX(Inputs!$D$4:$AG$150,0,MATCH(Q$2,Inputs!$D$2:$AG$2,0)),Inputs!$B$4:$B$150,$B31)/1000)</f>
        <v>21594</v>
      </c>
      <c r="R31" s="12">
        <f>IF(Q31="","",Q31)</f>
        <v>21594</v>
      </c>
      <c r="S31" s="11">
        <f>IF(S$3=0,"",SUMIFS(INDEX(Inputs!$D$4:$AG$150,0,MATCH(S$2,Inputs!$D$2:$AG$2,0)),Inputs!$B$4:$B$150,$B31)/1000)</f>
        <v>21431</v>
      </c>
      <c r="T31" s="11">
        <f>IF(T$3=0,"",SUMIFS(INDEX(Inputs!$D$4:$AG$150,0,MATCH(T$2,Inputs!$D$2:$AG$2,0)),Inputs!$B$4:$B$150,$B31)/1000)</f>
        <v>27271</v>
      </c>
      <c r="U31" s="11">
        <f>IF(U$3=0,"",SUMIFS(INDEX(Inputs!$D$4:$AG$150,0,MATCH(U$2,Inputs!$D$2:$AG$2,0)),Inputs!$B$4:$B$150,$B31)/1000)</f>
        <v>28066</v>
      </c>
      <c r="V31" s="11">
        <f>IF(V$3=0,"",SUMIFS(INDEX(Inputs!$D$4:$AG$150,0,MATCH(V$2,Inputs!$D$2:$AG$2,0)),Inputs!$B$4:$B$150,$B31)/1000)</f>
        <v>24720</v>
      </c>
      <c r="W31" s="12">
        <f>IF(V31="","",V31)</f>
        <v>24720</v>
      </c>
      <c r="X31" s="11">
        <f>IF(X$3=0,"",SUMIFS(INDEX(Inputs!$D$4:$AG$150,0,MATCH(X$2,Inputs!$D$2:$AG$2,0)),Inputs!$B$4:$B$150,$B31)/1000)</f>
        <v>25361</v>
      </c>
      <c r="Y31" s="11">
        <f>IF(Y$3=0,"",SUMIFS(INDEX(Inputs!$D$4:$AG$150,0,MATCH(Y$2,Inputs!$D$2:$AG$2,0)),Inputs!$B$4:$B$150,$B31)/1000)</f>
        <v>25287</v>
      </c>
      <c r="Z31" s="11">
        <f>IF(Z$3=0,"",SUMIFS(INDEX(Inputs!$D$4:$AG$150,0,MATCH(Z$2,Inputs!$D$2:$AG$2,0)),Inputs!$B$4:$B$150,$B31)/1000)</f>
        <v>29877</v>
      </c>
      <c r="AA31" s="11">
        <f>IF(AA$3=0,"",SUMIFS(INDEX(Inputs!$D$4:$AG$150,0,MATCH(AA$2,Inputs!$D$2:$AG$2,0)),Inputs!$B$4:$B$150,$B31)/1000)</f>
        <v>25708</v>
      </c>
      <c r="AB31" s="12">
        <f>IF(AA31="","",AA31)</f>
        <v>25708</v>
      </c>
      <c r="AC31" s="11">
        <f>IF(AC$3=0,"",SUMIFS(INDEX(Inputs!$D$4:$AG$150,0,MATCH(AC$2,Inputs!$D$2:$AG$2,0)),Inputs!$B$4:$B$150,$B31)/1000)</f>
        <v>29323</v>
      </c>
      <c r="AD31" s="11">
        <f>IF(AD$3=0,"",SUMIFS(INDEX(Inputs!$D$4:$AG$150,0,MATCH(AD$2,Inputs!$D$2:$AG$2,0)),Inputs!$B$4:$B$150,$B31)/1000)</f>
        <v>28562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0</v>
      </c>
      <c r="E32" s="11">
        <f>IF(E$3=0,"",SUMIFS(INDEX(Inputs!$D$4:$AG$150,0,MATCH(E$2,Inputs!$D$2:$AG$2,0)),Inputs!$B$4:$B$150,$B32)/1000)</f>
        <v>0</v>
      </c>
      <c r="F32" s="11">
        <f>IF(F$3=0,"",SUMIFS(INDEX(Inputs!$D$4:$AG$150,0,MATCH(F$2,Inputs!$D$2:$AG$2,0)),Inputs!$B$4:$B$150,$B32)/1000)</f>
        <v>0</v>
      </c>
      <c r="G32" s="11">
        <f>IF(G$3=0,"",SUMIFS(INDEX(Inputs!$D$4:$AG$150,0,MATCH(G$2,Inputs!$D$2:$AG$2,0)),Inputs!$B$4:$B$150,$B32)/1000)</f>
        <v>0</v>
      </c>
      <c r="H32" s="12">
        <f>IF(G32="","",G32)</f>
        <v>0</v>
      </c>
      <c r="I32" s="11">
        <f>IF(I$3=0,"",SUMIFS(INDEX(Inputs!$D$4:$AG$150,0,MATCH(I$2,Inputs!$D$2:$AG$2,0)),Inputs!$B$4:$B$150,$B32)/1000)</f>
        <v>0</v>
      </c>
      <c r="J32" s="11">
        <f>IF(J$3=0,"",SUMIFS(INDEX(Inputs!$D$4:$AG$150,0,MATCH(J$2,Inputs!$D$2:$AG$2,0)),Inputs!$B$4:$B$150,$B32)/1000)</f>
        <v>0</v>
      </c>
      <c r="K32" s="11">
        <f>IF(K$3=0,"",SUMIFS(INDEX(Inputs!$D$4:$AG$150,0,MATCH(K$2,Inputs!$D$2:$AG$2,0)),Inputs!$B$4:$B$150,$B32)/1000)</f>
        <v>0</v>
      </c>
      <c r="L32" s="11">
        <f>IF(L$3=0,"",SUMIFS(INDEX(Inputs!$D$4:$AG$150,0,MATCH(L$2,Inputs!$D$2:$AG$2,0)),Inputs!$B$4:$B$150,$B32)/1000)</f>
        <v>0</v>
      </c>
      <c r="M32" s="12">
        <f>IF(L32="","",L32)</f>
        <v>0</v>
      </c>
      <c r="N32" s="11">
        <f>IF(N$3=0,"",SUMIFS(INDEX(Inputs!$D$4:$AG$150,0,MATCH(N$2,Inputs!$D$2:$AG$2,0)),Inputs!$B$4:$B$150,$B32)/1000)</f>
        <v>0</v>
      </c>
      <c r="O32" s="11">
        <f>IF(O$3=0,"",SUMIFS(INDEX(Inputs!$D$4:$AG$150,0,MATCH(O$2,Inputs!$D$2:$AG$2,0)),Inputs!$B$4:$B$150,$B32)/1000)</f>
        <v>0</v>
      </c>
      <c r="P32" s="11">
        <f>IF(P$3=0,"",SUMIFS(INDEX(Inputs!$D$4:$AG$150,0,MATCH(P$2,Inputs!$D$2:$AG$2,0)),Inputs!$B$4:$B$150,$B32)/1000)</f>
        <v>0</v>
      </c>
      <c r="Q32" s="11">
        <f>IF(Q$3=0,"",SUMIFS(INDEX(Inputs!$D$4:$AG$150,0,MATCH(Q$2,Inputs!$D$2:$AG$2,0)),Inputs!$B$4:$B$150,$B32)/1000)</f>
        <v>0</v>
      </c>
      <c r="R32" s="12">
        <f>IF(Q32="","",Q32)</f>
        <v>0</v>
      </c>
      <c r="S32" s="11">
        <f>IF(S$3=0,"",SUMIFS(INDEX(Inputs!$D$4:$AG$150,0,MATCH(S$2,Inputs!$D$2:$AG$2,0)),Inputs!$B$4:$B$150,$B32)/1000)</f>
        <v>0</v>
      </c>
      <c r="T32" s="11">
        <f>IF(T$3=0,"",SUMIFS(INDEX(Inputs!$D$4:$AG$150,0,MATCH(T$2,Inputs!$D$2:$AG$2,0)),Inputs!$B$4:$B$150,$B32)/1000)</f>
        <v>0</v>
      </c>
      <c r="U32" s="11">
        <f>IF(U$3=0,"",SUMIFS(INDEX(Inputs!$D$4:$AG$150,0,MATCH(U$2,Inputs!$D$2:$AG$2,0)),Inputs!$B$4:$B$150,$B32)/1000)</f>
        <v>0</v>
      </c>
      <c r="V32" s="11">
        <f>IF(V$3=0,"",SUMIFS(INDEX(Inputs!$D$4:$AG$150,0,MATCH(V$2,Inputs!$D$2:$AG$2,0)),Inputs!$B$4:$B$150,$B32)/1000)</f>
        <v>0</v>
      </c>
      <c r="W32" s="12">
        <f>IF(V32="","",V32)</f>
        <v>0</v>
      </c>
      <c r="X32" s="11">
        <f>IF(X$3=0,"",SUMIFS(INDEX(Inputs!$D$4:$AG$150,0,MATCH(X$2,Inputs!$D$2:$AG$2,0)),Inputs!$B$4:$B$150,$B32)/1000)</f>
        <v>0</v>
      </c>
      <c r="Y32" s="11">
        <f>IF(Y$3=0,"",SUMIFS(INDEX(Inputs!$D$4:$AG$150,0,MATCH(Y$2,Inputs!$D$2:$AG$2,0)),Inputs!$B$4:$B$150,$B32)/1000)</f>
        <v>0</v>
      </c>
      <c r="Z32" s="11">
        <f>IF(Z$3=0,"",SUMIFS(INDEX(Inputs!$D$4:$AG$150,0,MATCH(Z$2,Inputs!$D$2:$AG$2,0)),Inputs!$B$4:$B$150,$B32)/1000)</f>
        <v>0</v>
      </c>
      <c r="AA32" s="11">
        <f>IF(AA$3=0,"",SUMIFS(INDEX(Inputs!$D$4:$AG$150,0,MATCH(AA$2,Inputs!$D$2:$AG$2,0)),Inputs!$B$4:$B$150,$B32)/1000)</f>
        <v>0</v>
      </c>
      <c r="AB32" s="12">
        <f>IF(AA32="","",AA32)</f>
        <v>0</v>
      </c>
      <c r="AC32" s="11">
        <f>IF(AC$3=0,"",SUMIFS(INDEX(Inputs!$D$4:$AG$150,0,MATCH(AC$2,Inputs!$D$2:$AG$2,0)),Inputs!$B$4:$B$150,$B32)/1000)</f>
        <v>0</v>
      </c>
      <c r="AD32" s="11">
        <f>IF(AD$3=0,"",SUMIFS(INDEX(Inputs!$D$4:$AG$150,0,MATCH(AD$2,Inputs!$D$2:$AG$2,0)),Inputs!$B$4:$B$150,$B32)/1000)</f>
        <v>0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0</v>
      </c>
      <c r="E35" s="11">
        <f>IF(E$3=0,"",SUMIFS(INDEX(Inputs!$D$4:$AG$150,0,MATCH(E$2,Inputs!$D$2:$AG$2,0)),Inputs!$B$4:$B$150,$B35)/1000)</f>
        <v>0</v>
      </c>
      <c r="F35" s="11">
        <f>IF(F$3=0,"",SUMIFS(INDEX(Inputs!$D$4:$AG$150,0,MATCH(F$2,Inputs!$D$2:$AG$2,0)),Inputs!$B$4:$B$150,$B35)/1000)</f>
        <v>0</v>
      </c>
      <c r="G35" s="11">
        <f>IF(G$3=0,"",SUMIFS(INDEX(Inputs!$D$4:$AG$150,0,MATCH(G$2,Inputs!$D$2:$AG$2,0)),Inputs!$B$4:$B$150,$B35)/1000)</f>
        <v>0</v>
      </c>
      <c r="H35" s="12">
        <f>IF(G35="","",G35)</f>
        <v>0</v>
      </c>
      <c r="I35" s="11">
        <f>IF(I$3=0,"",SUMIFS(INDEX(Inputs!$D$4:$AG$150,0,MATCH(I$2,Inputs!$D$2:$AG$2,0)),Inputs!$B$4:$B$150,$B35)/1000)</f>
        <v>0</v>
      </c>
      <c r="J35" s="11">
        <f>IF(J$3=0,"",SUMIFS(INDEX(Inputs!$D$4:$AG$150,0,MATCH(J$2,Inputs!$D$2:$AG$2,0)),Inputs!$B$4:$B$150,$B35)/1000)</f>
        <v>0</v>
      </c>
      <c r="K35" s="11">
        <f>IF(K$3=0,"",SUMIFS(INDEX(Inputs!$D$4:$AG$150,0,MATCH(K$2,Inputs!$D$2:$AG$2,0)),Inputs!$B$4:$B$150,$B35)/1000)</f>
        <v>0</v>
      </c>
      <c r="L35" s="11">
        <f>IF(L$3=0,"",SUMIFS(INDEX(Inputs!$D$4:$AG$150,0,MATCH(L$2,Inputs!$D$2:$AG$2,0)),Inputs!$B$4:$B$150,$B35)/1000)</f>
        <v>0</v>
      </c>
      <c r="M35" s="12">
        <f>IF(L35="","",L35)</f>
        <v>0</v>
      </c>
      <c r="N35" s="11">
        <f>IF(N$3=0,"",SUMIFS(INDEX(Inputs!$D$4:$AG$150,0,MATCH(N$2,Inputs!$D$2:$AG$2,0)),Inputs!$B$4:$B$150,$B35)/1000)</f>
        <v>0</v>
      </c>
      <c r="O35" s="11">
        <f>IF(O$3=0,"",SUMIFS(INDEX(Inputs!$D$4:$AG$150,0,MATCH(O$2,Inputs!$D$2:$AG$2,0)),Inputs!$B$4:$B$150,$B35)/1000)</f>
        <v>0</v>
      </c>
      <c r="P35" s="11">
        <f>IF(P$3=0,"",SUMIFS(INDEX(Inputs!$D$4:$AG$150,0,MATCH(P$2,Inputs!$D$2:$AG$2,0)),Inputs!$B$4:$B$150,$B35)/1000)</f>
        <v>0</v>
      </c>
      <c r="Q35" s="11">
        <f>IF(Q$3=0,"",SUMIFS(INDEX(Inputs!$D$4:$AG$150,0,MATCH(Q$2,Inputs!$D$2:$AG$2,0)),Inputs!$B$4:$B$150,$B35)/1000)</f>
        <v>0</v>
      </c>
      <c r="R35" s="12">
        <f>IF(Q35="","",Q35)</f>
        <v>0</v>
      </c>
      <c r="S35" s="11">
        <f>IF(S$3=0,"",SUMIFS(INDEX(Inputs!$D$4:$AG$150,0,MATCH(S$2,Inputs!$D$2:$AG$2,0)),Inputs!$B$4:$B$150,$B35)/1000)</f>
        <v>0</v>
      </c>
      <c r="T35" s="11">
        <f>IF(T$3=0,"",SUMIFS(INDEX(Inputs!$D$4:$AG$150,0,MATCH(T$2,Inputs!$D$2:$AG$2,0)),Inputs!$B$4:$B$150,$B35)/1000)</f>
        <v>0</v>
      </c>
      <c r="U35" s="11">
        <f>IF(U$3=0,"",SUMIFS(INDEX(Inputs!$D$4:$AG$150,0,MATCH(U$2,Inputs!$D$2:$AG$2,0)),Inputs!$B$4:$B$150,$B35)/1000)</f>
        <v>0</v>
      </c>
      <c r="V35" s="11">
        <f>IF(V$3=0,"",SUMIFS(INDEX(Inputs!$D$4:$AG$150,0,MATCH(V$2,Inputs!$D$2:$AG$2,0)),Inputs!$B$4:$B$150,$B35)/1000)</f>
        <v>0</v>
      </c>
      <c r="W35" s="12">
        <f>IF(V35="","",V35)</f>
        <v>0</v>
      </c>
      <c r="X35" s="11">
        <f>IF(X$3=0,"",SUMIFS(INDEX(Inputs!$D$4:$AG$150,0,MATCH(X$2,Inputs!$D$2:$AG$2,0)),Inputs!$B$4:$B$150,$B35)/1000)</f>
        <v>0</v>
      </c>
      <c r="Y35" s="11">
        <f>IF(Y$3=0,"",SUMIFS(INDEX(Inputs!$D$4:$AG$150,0,MATCH(Y$2,Inputs!$D$2:$AG$2,0)),Inputs!$B$4:$B$150,$B35)/1000)</f>
        <v>0</v>
      </c>
      <c r="Z35" s="11">
        <f>IF(Z$3=0,"",SUMIFS(INDEX(Inputs!$D$4:$AG$150,0,MATCH(Z$2,Inputs!$D$2:$AG$2,0)),Inputs!$B$4:$B$150,$B35)/1000)</f>
        <v>0</v>
      </c>
      <c r="AA35" s="11">
        <f>IF(AA$3=0,"",SUMIFS(INDEX(Inputs!$D$4:$AG$150,0,MATCH(AA$2,Inputs!$D$2:$AG$2,0)),Inputs!$B$4:$B$150,$B35)/1000)</f>
        <v>0</v>
      </c>
      <c r="AB35" s="12">
        <f>IF(AA35="","",AA35)</f>
        <v>0</v>
      </c>
      <c r="AC35" s="11">
        <f>IF(AC$3=0,"",SUMIFS(INDEX(Inputs!$D$4:$AG$150,0,MATCH(AC$2,Inputs!$D$2:$AG$2,0)),Inputs!$B$4:$B$150,$B35)/1000)</f>
        <v>0</v>
      </c>
      <c r="AD35" s="11">
        <f>IF(AD$3=0,"",SUMIFS(INDEX(Inputs!$D$4:$AG$150,0,MATCH(AD$2,Inputs!$D$2:$AG$2,0)),Inputs!$B$4:$B$150,$B35)/1000)</f>
        <v>0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11536</v>
      </c>
      <c r="Z36" s="11">
        <f>IF(Z$3=0,"",SUMIFS(INDEX(Inputs!$D$4:$AG$150,0,MATCH(Z$2,Inputs!$D$2:$AG$2,0)),Inputs!$B$4:$B$150,$B36)/1000)</f>
        <v>14094</v>
      </c>
      <c r="AA36" s="11">
        <f>IF(AA$3=0,"",SUMIFS(INDEX(Inputs!$D$4:$AG$150,0,MATCH(AA$2,Inputs!$D$2:$AG$2,0)),Inputs!$B$4:$B$150,$B36)/1000)</f>
        <v>16311</v>
      </c>
      <c r="AB36" s="12">
        <f>IF(AA36="","",AA36)</f>
        <v>16311</v>
      </c>
      <c r="AC36" s="11">
        <f>IF(AC$3=0,"",SUMIFS(INDEX(Inputs!$D$4:$AG$150,0,MATCH(AC$2,Inputs!$D$2:$AG$2,0)),Inputs!$B$4:$B$150,$B36)/1000)</f>
        <v>18512</v>
      </c>
      <c r="AD36" s="11">
        <f>IF(AD$3=0,"",SUMIFS(INDEX(Inputs!$D$4:$AG$150,0,MATCH(AD$2,Inputs!$D$2:$AG$2,0)),Inputs!$B$4:$B$150,$B36)/1000)</f>
        <v>26648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7892</v>
      </c>
      <c r="E38" s="11">
        <f>IF(E$3=0,"",SUMIFS(INDEX(Inputs!$D$4:$AG$150,0,MATCH(E$2,Inputs!$D$2:$AG$2,0)),Inputs!$B$4:$B$150,$B38)/1000)</f>
        <v>7864</v>
      </c>
      <c r="F38" s="11">
        <f>IF(F$3=0,"",SUMIFS(INDEX(Inputs!$D$4:$AG$150,0,MATCH(F$2,Inputs!$D$2:$AG$2,0)),Inputs!$B$4:$B$150,$B38)/1000)</f>
        <v>7648</v>
      </c>
      <c r="G38" s="11">
        <f>IF(G$3=0,"",SUMIFS(INDEX(Inputs!$D$4:$AG$150,0,MATCH(G$2,Inputs!$D$2:$AG$2,0)),Inputs!$B$4:$B$150,$B38)/1000)</f>
        <v>6777</v>
      </c>
      <c r="H38" s="12">
        <f>IF(G38="","",G38)</f>
        <v>6777</v>
      </c>
      <c r="I38" s="11">
        <f>IF(I$3=0,"",SUMIFS(INDEX(Inputs!$D$4:$AG$150,0,MATCH(I$2,Inputs!$D$2:$AG$2,0)),Inputs!$B$4:$B$150,$B38)/1000)</f>
        <v>6462</v>
      </c>
      <c r="J38" s="11">
        <f>IF(J$3=0,"",SUMIFS(INDEX(Inputs!$D$4:$AG$150,0,MATCH(J$2,Inputs!$D$2:$AG$2,0)),Inputs!$B$4:$B$150,$B38)/1000)</f>
        <v>6031</v>
      </c>
      <c r="K38" s="11">
        <f>IF(K$3=0,"",SUMIFS(INDEX(Inputs!$D$4:$AG$150,0,MATCH(K$2,Inputs!$D$2:$AG$2,0)),Inputs!$B$4:$B$150,$B38)/1000)</f>
        <v>7693</v>
      </c>
      <c r="L38" s="11">
        <f>IF(L$3=0,"",SUMIFS(INDEX(Inputs!$D$4:$AG$150,0,MATCH(L$2,Inputs!$D$2:$AG$2,0)),Inputs!$B$4:$B$150,$B38)/1000)</f>
        <v>7165</v>
      </c>
      <c r="M38" s="12">
        <f>IF(L38="","",L38)</f>
        <v>7165</v>
      </c>
      <c r="N38" s="11">
        <f>IF(N$3=0,"",SUMIFS(INDEX(Inputs!$D$4:$AG$150,0,MATCH(N$2,Inputs!$D$2:$AG$2,0)),Inputs!$B$4:$B$150,$B38)/1000)</f>
        <v>6814</v>
      </c>
      <c r="O38" s="11">
        <f>IF(O$3=0,"",SUMIFS(INDEX(Inputs!$D$4:$AG$150,0,MATCH(O$2,Inputs!$D$2:$AG$2,0)),Inputs!$B$4:$B$150,$B38)/1000)</f>
        <v>5772</v>
      </c>
      <c r="P38" s="11">
        <f>IF(P$3=0,"",SUMIFS(INDEX(Inputs!$D$4:$AG$150,0,MATCH(P$2,Inputs!$D$2:$AG$2,0)),Inputs!$B$4:$B$150,$B38)/1000)</f>
        <v>5281</v>
      </c>
      <c r="Q38" s="11">
        <f>IF(Q$3=0,"",SUMIFS(INDEX(Inputs!$D$4:$AG$150,0,MATCH(Q$2,Inputs!$D$2:$AG$2,0)),Inputs!$B$4:$B$150,$B38)/1000)</f>
        <v>5244</v>
      </c>
      <c r="R38" s="12">
        <f>IF(Q38="","",Q38)</f>
        <v>5244</v>
      </c>
      <c r="S38" s="11">
        <f>IF(S$3=0,"",SUMIFS(INDEX(Inputs!$D$4:$AG$150,0,MATCH(S$2,Inputs!$D$2:$AG$2,0)),Inputs!$B$4:$B$150,$B38)/1000)</f>
        <v>4483</v>
      </c>
      <c r="T38" s="11">
        <f>IF(T$3=0,"",SUMIFS(INDEX(Inputs!$D$4:$AG$150,0,MATCH(T$2,Inputs!$D$2:$AG$2,0)),Inputs!$B$4:$B$150,$B38)/1000)</f>
        <v>3692</v>
      </c>
      <c r="U38" s="11">
        <f>IF(U$3=0,"",SUMIFS(INDEX(Inputs!$D$4:$AG$150,0,MATCH(U$2,Inputs!$D$2:$AG$2,0)),Inputs!$B$4:$B$150,$B38)/1000)</f>
        <v>3442</v>
      </c>
      <c r="V38" s="11">
        <f>IF(V$3=0,"",SUMIFS(INDEX(Inputs!$D$4:$AG$150,0,MATCH(V$2,Inputs!$D$2:$AG$2,0)),Inputs!$B$4:$B$150,$B38)/1000)</f>
        <v>2864</v>
      </c>
      <c r="W38" s="12">
        <f>IF(V38="","",V38)</f>
        <v>2864</v>
      </c>
      <c r="X38" s="11">
        <f>IF(X$3=0,"",SUMIFS(INDEX(Inputs!$D$4:$AG$150,0,MATCH(X$2,Inputs!$D$2:$AG$2,0)),Inputs!$B$4:$B$150,$B38)/1000)</f>
        <v>2208</v>
      </c>
      <c r="Y38" s="11">
        <f>IF(Y$3=0,"",SUMIFS(INDEX(Inputs!$D$4:$AG$150,0,MATCH(Y$2,Inputs!$D$2:$AG$2,0)),Inputs!$B$4:$B$150,$B38)/1000)</f>
        <v>0</v>
      </c>
      <c r="Z38" s="11">
        <f>IF(Z$3=0,"",SUMIFS(INDEX(Inputs!$D$4:$AG$150,0,MATCH(Z$2,Inputs!$D$2:$AG$2,0)),Inputs!$B$4:$B$150,$B38)/1000)</f>
        <v>0</v>
      </c>
      <c r="AA38" s="11">
        <f>IF(AA$3=0,"",SUMIFS(INDEX(Inputs!$D$4:$AG$150,0,MATCH(AA$2,Inputs!$D$2:$AG$2,0)),Inputs!$B$4:$B$150,$B38)/1000)</f>
        <v>0</v>
      </c>
      <c r="AB38" s="12">
        <f>IF(AA38="","",AA38)</f>
        <v>0</v>
      </c>
      <c r="AC38" s="11">
        <f>IF(AC$3=0,"",SUMIFS(INDEX(Inputs!$D$4:$AG$150,0,MATCH(AC$2,Inputs!$D$2:$AG$2,0)),Inputs!$B$4:$B$150,$B38)/1000)</f>
        <v>0</v>
      </c>
      <c r="AD38" s="11">
        <f>IF(AD$3=0,"",SUMIFS(INDEX(Inputs!$D$4:$AG$150,0,MATCH(AD$2,Inputs!$D$2:$AG$2,0)),Inputs!$B$4:$B$150,$B38)/1000)</f>
        <v>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80330</v>
      </c>
      <c r="E39" s="11">
        <f>IF(E$3=0,"",SUMIFS(INDEX(Inputs!$D$4:$AG$150,0,MATCH(E$2,Inputs!$D$2:$AG$2,0)),Inputs!$B$4:$B$150,$B39)/1000)</f>
        <v>93127</v>
      </c>
      <c r="F39" s="11">
        <f>IF(F$3=0,"",SUMIFS(INDEX(Inputs!$D$4:$AG$150,0,MATCH(F$2,Inputs!$D$2:$AG$2,0)),Inputs!$B$4:$B$150,$B39)/1000)</f>
        <v>93335</v>
      </c>
      <c r="G39" s="11">
        <f>IF(G$3=0,"",SUMIFS(INDEX(Inputs!$D$4:$AG$150,0,MATCH(G$2,Inputs!$D$2:$AG$2,0)),Inputs!$B$4:$B$150,$B39)/1000)</f>
        <v>90897</v>
      </c>
      <c r="H39" s="12">
        <f>IF(G39="","",G39)</f>
        <v>90897</v>
      </c>
      <c r="I39" s="11">
        <f>IF(I$3=0,"",SUMIFS(INDEX(Inputs!$D$4:$AG$150,0,MATCH(I$2,Inputs!$D$2:$AG$2,0)),Inputs!$B$4:$B$150,$B39)/1000)</f>
        <v>89560</v>
      </c>
      <c r="J39" s="11">
        <f>IF(J$3=0,"",SUMIFS(INDEX(Inputs!$D$4:$AG$150,0,MATCH(J$2,Inputs!$D$2:$AG$2,0)),Inputs!$B$4:$B$150,$B39)/1000)</f>
        <v>89523</v>
      </c>
      <c r="K39" s="11">
        <f>IF(K$3=0,"",SUMIFS(INDEX(Inputs!$D$4:$AG$150,0,MATCH(K$2,Inputs!$D$2:$AG$2,0)),Inputs!$B$4:$B$150,$B39)/1000)</f>
        <v>93246</v>
      </c>
      <c r="L39" s="11">
        <f>IF(L$3=0,"",SUMIFS(INDEX(Inputs!$D$4:$AG$150,0,MATCH(L$2,Inputs!$D$2:$AG$2,0)),Inputs!$B$4:$B$150,$B39)/1000)</f>
        <v>97974</v>
      </c>
      <c r="M39" s="12">
        <f>IF(L39="","",L39)</f>
        <v>97974</v>
      </c>
      <c r="N39" s="11">
        <f>IF(N$3=0,"",SUMIFS(INDEX(Inputs!$D$4:$AG$150,0,MATCH(N$2,Inputs!$D$2:$AG$2,0)),Inputs!$B$4:$B$150,$B39)/1000)</f>
        <v>103838</v>
      </c>
      <c r="O39" s="11">
        <f>IF(O$3=0,"",SUMIFS(INDEX(Inputs!$D$4:$AG$150,0,MATCH(O$2,Inputs!$D$2:$AG$2,0)),Inputs!$B$4:$B$150,$B39)/1000)</f>
        <v>103966</v>
      </c>
      <c r="P39" s="11">
        <f>IF(P$3=0,"",SUMIFS(INDEX(Inputs!$D$4:$AG$150,0,MATCH(P$2,Inputs!$D$2:$AG$2,0)),Inputs!$B$4:$B$150,$B39)/1000)</f>
        <v>103183</v>
      </c>
      <c r="Q39" s="11">
        <f>IF(Q$3=0,"",SUMIFS(INDEX(Inputs!$D$4:$AG$150,0,MATCH(Q$2,Inputs!$D$2:$AG$2,0)),Inputs!$B$4:$B$150,$B39)/1000)</f>
        <v>100295</v>
      </c>
      <c r="R39" s="12">
        <f>IF(Q39="","",Q39)</f>
        <v>100295</v>
      </c>
      <c r="S39" s="11">
        <f>IF(S$3=0,"",SUMIFS(INDEX(Inputs!$D$4:$AG$150,0,MATCH(S$2,Inputs!$D$2:$AG$2,0)),Inputs!$B$4:$B$150,$B39)/1000)</f>
        <v>101532</v>
      </c>
      <c r="T39" s="11">
        <f>IF(T$3=0,"",SUMIFS(INDEX(Inputs!$D$4:$AG$150,0,MATCH(T$2,Inputs!$D$2:$AG$2,0)),Inputs!$B$4:$B$150,$B39)/1000)</f>
        <v>96501</v>
      </c>
      <c r="U39" s="11">
        <f>IF(U$3=0,"",SUMIFS(INDEX(Inputs!$D$4:$AG$150,0,MATCH(U$2,Inputs!$D$2:$AG$2,0)),Inputs!$B$4:$B$150,$B39)/1000)</f>
        <v>97458</v>
      </c>
      <c r="V39" s="11">
        <f>IF(V$3=0,"",SUMIFS(INDEX(Inputs!$D$4:$AG$150,0,MATCH(V$2,Inputs!$D$2:$AG$2,0)),Inputs!$B$4:$B$150,$B39)/1000)</f>
        <v>102331</v>
      </c>
      <c r="W39" s="12">
        <f>IF(V39="","",V39)</f>
        <v>102331</v>
      </c>
      <c r="X39" s="11">
        <f>IF(X$3=0,"",SUMIFS(INDEX(Inputs!$D$4:$AG$150,0,MATCH(X$2,Inputs!$D$2:$AG$2,0)),Inputs!$B$4:$B$150,$B39)/1000)</f>
        <v>112286</v>
      </c>
      <c r="Y39" s="11">
        <f>IF(Y$3=0,"",SUMIFS(INDEX(Inputs!$D$4:$AG$150,0,MATCH(Y$2,Inputs!$D$2:$AG$2,0)),Inputs!$B$4:$B$150,$B39)/1000)</f>
        <v>103213</v>
      </c>
      <c r="Z39" s="11">
        <f>IF(Z$3=0,"",SUMIFS(INDEX(Inputs!$D$4:$AG$150,0,MATCH(Z$2,Inputs!$D$2:$AG$2,0)),Inputs!$B$4:$B$150,$B39)/1000)</f>
        <v>101815</v>
      </c>
      <c r="AA39" s="11">
        <f>IF(AA$3=0,"",SUMIFS(INDEX(Inputs!$D$4:$AG$150,0,MATCH(AA$2,Inputs!$D$2:$AG$2,0)),Inputs!$B$4:$B$150,$B39)/1000)</f>
        <v>120421</v>
      </c>
      <c r="AB39" s="12">
        <f>IF(AA39="","",AA39)</f>
        <v>120421</v>
      </c>
      <c r="AC39" s="11">
        <f>IF(AC$3=0,"",SUMIFS(INDEX(Inputs!$D$4:$AG$150,0,MATCH(AC$2,Inputs!$D$2:$AG$2,0)),Inputs!$B$4:$B$150,$B39)/1000)</f>
        <v>146940</v>
      </c>
      <c r="AD39" s="11">
        <f>IF(AD$3=0,"",SUMIFS(INDEX(Inputs!$D$4:$AG$150,0,MATCH(AD$2,Inputs!$D$2:$AG$2,0)),Inputs!$B$4:$B$150,$B39)/1000)</f>
        <v>150291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737</v>
      </c>
      <c r="E41" s="11">
        <f>IF(E$3=0,"",SUMIFS(INDEX(Inputs!$D$4:$AG$150,0,MATCH(E$2,Inputs!$D$2:$AG$2,0)),Inputs!$B$4:$B$150,$B41)/1000)</f>
        <v>714</v>
      </c>
      <c r="F41" s="11">
        <f>IF(F$3=0,"",SUMIFS(INDEX(Inputs!$D$4:$AG$150,0,MATCH(F$2,Inputs!$D$2:$AG$2,0)),Inputs!$B$4:$B$150,$B41)/1000)</f>
        <v>411</v>
      </c>
      <c r="G41" s="11">
        <f>IF(G$3=0,"",SUMIFS(INDEX(Inputs!$D$4:$AG$150,0,MATCH(G$2,Inputs!$D$2:$AG$2,0)),Inputs!$B$4:$B$150,$B41)/1000)</f>
        <v>443</v>
      </c>
      <c r="H41" s="12">
        <f>IF(G41="","",G41)</f>
        <v>443</v>
      </c>
      <c r="I41" s="11">
        <f>IF(I$3=0,"",SUMIFS(INDEX(Inputs!$D$4:$AG$150,0,MATCH(I$2,Inputs!$D$2:$AG$2,0)),Inputs!$B$4:$B$150,$B41)/1000)</f>
        <v>485</v>
      </c>
      <c r="J41" s="11">
        <f>IF(J$3=0,"",SUMIFS(INDEX(Inputs!$D$4:$AG$150,0,MATCH(J$2,Inputs!$D$2:$AG$2,0)),Inputs!$B$4:$B$150,$B41)/1000)</f>
        <v>452</v>
      </c>
      <c r="K41" s="11">
        <f>IF(K$3=0,"",SUMIFS(INDEX(Inputs!$D$4:$AG$150,0,MATCH(K$2,Inputs!$D$2:$AG$2,0)),Inputs!$B$4:$B$150,$B41)/1000)</f>
        <v>426</v>
      </c>
      <c r="L41" s="11">
        <f>IF(L$3=0,"",SUMIFS(INDEX(Inputs!$D$4:$AG$150,0,MATCH(L$2,Inputs!$D$2:$AG$2,0)),Inputs!$B$4:$B$150,$B41)/1000)</f>
        <v>470</v>
      </c>
      <c r="M41" s="12">
        <f>IF(L41="","",L41)</f>
        <v>470</v>
      </c>
      <c r="N41" s="11">
        <f>IF(N$3=0,"",SUMIFS(INDEX(Inputs!$D$4:$AG$150,0,MATCH(N$2,Inputs!$D$2:$AG$2,0)),Inputs!$B$4:$B$150,$B41)/1000)</f>
        <v>509</v>
      </c>
      <c r="O41" s="11">
        <f>IF(O$3=0,"",SUMIFS(INDEX(Inputs!$D$4:$AG$150,0,MATCH(O$2,Inputs!$D$2:$AG$2,0)),Inputs!$B$4:$B$150,$B41)/1000)</f>
        <v>483</v>
      </c>
      <c r="P41" s="11">
        <f>IF(P$3=0,"",SUMIFS(INDEX(Inputs!$D$4:$AG$150,0,MATCH(P$2,Inputs!$D$2:$AG$2,0)),Inputs!$B$4:$B$150,$B41)/1000)</f>
        <v>471</v>
      </c>
      <c r="Q41" s="11">
        <f>IF(Q$3=0,"",SUMIFS(INDEX(Inputs!$D$4:$AG$150,0,MATCH(Q$2,Inputs!$D$2:$AG$2,0)),Inputs!$B$4:$B$150,$B41)/1000)</f>
        <v>512</v>
      </c>
      <c r="R41" s="12">
        <f>IF(Q41="","",Q41)</f>
        <v>512</v>
      </c>
      <c r="S41" s="11">
        <f>IF(S$3=0,"",SUMIFS(INDEX(Inputs!$D$4:$AG$150,0,MATCH(S$2,Inputs!$D$2:$AG$2,0)),Inputs!$B$4:$B$150,$B41)/1000)</f>
        <v>559</v>
      </c>
      <c r="T41" s="11">
        <f>IF(T$3=0,"",SUMIFS(INDEX(Inputs!$D$4:$AG$150,0,MATCH(T$2,Inputs!$D$2:$AG$2,0)),Inputs!$B$4:$B$150,$B41)/1000)</f>
        <v>535</v>
      </c>
      <c r="U41" s="11">
        <f>IF(U$3=0,"",SUMIFS(INDEX(Inputs!$D$4:$AG$150,0,MATCH(U$2,Inputs!$D$2:$AG$2,0)),Inputs!$B$4:$B$150,$B41)/1000)</f>
        <v>453</v>
      </c>
      <c r="V41" s="11">
        <f>IF(V$3=0,"",SUMIFS(INDEX(Inputs!$D$4:$AG$150,0,MATCH(V$2,Inputs!$D$2:$AG$2,0)),Inputs!$B$4:$B$150,$B41)/1000)</f>
        <v>490</v>
      </c>
      <c r="W41" s="12">
        <f>IF(V41="","",V41)</f>
        <v>490</v>
      </c>
      <c r="X41" s="11">
        <f>IF(X$3=0,"",SUMIFS(INDEX(Inputs!$D$4:$AG$150,0,MATCH(X$2,Inputs!$D$2:$AG$2,0)),Inputs!$B$4:$B$150,$B41)/1000)</f>
        <v>531</v>
      </c>
      <c r="Y41" s="11">
        <f>IF(Y$3=0,"",SUMIFS(INDEX(Inputs!$D$4:$AG$150,0,MATCH(Y$2,Inputs!$D$2:$AG$2,0)),Inputs!$B$4:$B$150,$B41)/1000)</f>
        <v>518</v>
      </c>
      <c r="Z41" s="11">
        <f>IF(Z$3=0,"",SUMIFS(INDEX(Inputs!$D$4:$AG$150,0,MATCH(Z$2,Inputs!$D$2:$AG$2,0)),Inputs!$B$4:$B$150,$B41)/1000)</f>
        <v>512</v>
      </c>
      <c r="AA41" s="11">
        <f>IF(AA$3=0,"",SUMIFS(INDEX(Inputs!$D$4:$AG$150,0,MATCH(AA$2,Inputs!$D$2:$AG$2,0)),Inputs!$B$4:$B$150,$B41)/1000)</f>
        <v>506</v>
      </c>
      <c r="AB41" s="12">
        <f>IF(AA41="","",AA41)</f>
        <v>506</v>
      </c>
      <c r="AC41" s="11">
        <f>IF(AC$3=0,"",SUMIFS(INDEX(Inputs!$D$4:$AG$150,0,MATCH(AC$2,Inputs!$D$2:$AG$2,0)),Inputs!$B$4:$B$150,$B41)/1000)</f>
        <v>556</v>
      </c>
      <c r="AD41" s="11">
        <f>IF(AD$3=0,"",SUMIFS(INDEX(Inputs!$D$4:$AG$150,0,MATCH(AD$2,Inputs!$D$2:$AG$2,0)),Inputs!$B$4:$B$150,$B41)/1000)</f>
        <v>548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26261</v>
      </c>
      <c r="E43" s="11">
        <f>IF(E$3=0,"",SUMIFS(INDEX(Inputs!$D$4:$AG$150,0,MATCH(E$2,Inputs!$D$2:$AG$2,0)),Inputs!$B$4:$B$150,$B43)/1000)</f>
        <v>26533</v>
      </c>
      <c r="F43" s="11">
        <f>IF(F$3=0,"",SUMIFS(INDEX(Inputs!$D$4:$AG$150,0,MATCH(F$2,Inputs!$D$2:$AG$2,0)),Inputs!$B$4:$B$150,$B43)/1000)</f>
        <v>25534</v>
      </c>
      <c r="G43" s="11">
        <f>IF(G$3=0,"",SUMIFS(INDEX(Inputs!$D$4:$AG$150,0,MATCH(G$2,Inputs!$D$2:$AG$2,0)),Inputs!$B$4:$B$150,$B43)/1000)</f>
        <v>25591</v>
      </c>
      <c r="H43" s="12">
        <f>IF(G43="","",G43)</f>
        <v>25591</v>
      </c>
      <c r="I43" s="11">
        <f>IF(I$3=0,"",SUMIFS(INDEX(Inputs!$D$4:$AG$150,0,MATCH(I$2,Inputs!$D$2:$AG$2,0)),Inputs!$B$4:$B$150,$B43)/1000)</f>
        <v>26129</v>
      </c>
      <c r="J43" s="11">
        <f>IF(J$3=0,"",SUMIFS(INDEX(Inputs!$D$4:$AG$150,0,MATCH(J$2,Inputs!$D$2:$AG$2,0)),Inputs!$B$4:$B$150,$B43)/1000)</f>
        <v>26808</v>
      </c>
      <c r="K43" s="11">
        <f>IF(K$3=0,"",SUMIFS(INDEX(Inputs!$D$4:$AG$150,0,MATCH(K$2,Inputs!$D$2:$AG$2,0)),Inputs!$B$4:$B$150,$B43)/1000)</f>
        <v>27224</v>
      </c>
      <c r="L43" s="11">
        <f>IF(L$3=0,"",SUMIFS(INDEX(Inputs!$D$4:$AG$150,0,MATCH(L$2,Inputs!$D$2:$AG$2,0)),Inputs!$B$4:$B$150,$B43)/1000)</f>
        <v>28148</v>
      </c>
      <c r="M43" s="12">
        <f>IF(L43="","",L43)</f>
        <v>28148</v>
      </c>
      <c r="N43" s="11">
        <f>IF(N$3=0,"",SUMIFS(INDEX(Inputs!$D$4:$AG$150,0,MATCH(N$2,Inputs!$D$2:$AG$2,0)),Inputs!$B$4:$B$150,$B43)/1000)</f>
        <v>28994</v>
      </c>
      <c r="O43" s="11">
        <f>IF(O$3=0,"",SUMIFS(INDEX(Inputs!$D$4:$AG$150,0,MATCH(O$2,Inputs!$D$2:$AG$2,0)),Inputs!$B$4:$B$150,$B43)/1000)</f>
        <v>30215</v>
      </c>
      <c r="P43" s="11">
        <f>IF(P$3=0,"",SUMIFS(INDEX(Inputs!$D$4:$AG$150,0,MATCH(P$2,Inputs!$D$2:$AG$2,0)),Inputs!$B$4:$B$150,$B43)/1000)</f>
        <v>30295</v>
      </c>
      <c r="Q43" s="11">
        <f>IF(Q$3=0,"",SUMIFS(INDEX(Inputs!$D$4:$AG$150,0,MATCH(Q$2,Inputs!$D$2:$AG$2,0)),Inputs!$B$4:$B$150,$B43)/1000)</f>
        <v>30724</v>
      </c>
      <c r="R43" s="12">
        <f>IF(Q43="","",Q43)</f>
        <v>30724</v>
      </c>
      <c r="S43" s="11">
        <f>IF(S$3=0,"",SUMIFS(INDEX(Inputs!$D$4:$AG$150,0,MATCH(S$2,Inputs!$D$2:$AG$2,0)),Inputs!$B$4:$B$150,$B43)/1000)</f>
        <v>31622</v>
      </c>
      <c r="T43" s="11">
        <f>IF(T$3=0,"",SUMIFS(INDEX(Inputs!$D$4:$AG$150,0,MATCH(T$2,Inputs!$D$2:$AG$2,0)),Inputs!$B$4:$B$150,$B43)/1000)</f>
        <v>32764</v>
      </c>
      <c r="U43" s="11">
        <f>IF(U$3=0,"",SUMIFS(INDEX(Inputs!$D$4:$AG$150,0,MATCH(U$2,Inputs!$D$2:$AG$2,0)),Inputs!$B$4:$B$150,$B43)/1000)</f>
        <v>33083</v>
      </c>
      <c r="V43" s="11">
        <f>IF(V$3=0,"",SUMIFS(INDEX(Inputs!$D$4:$AG$150,0,MATCH(V$2,Inputs!$D$2:$AG$2,0)),Inputs!$B$4:$B$150,$B43)/1000)</f>
        <v>34310</v>
      </c>
      <c r="W43" s="12">
        <f>IF(V43="","",V43)</f>
        <v>34310</v>
      </c>
      <c r="X43" s="11">
        <f>IF(X$3=0,"",SUMIFS(INDEX(Inputs!$D$4:$AG$150,0,MATCH(X$2,Inputs!$D$2:$AG$2,0)),Inputs!$B$4:$B$150,$B43)/1000)</f>
        <v>35691</v>
      </c>
      <c r="Y43" s="11">
        <f>IF(Y$3=0,"",SUMIFS(INDEX(Inputs!$D$4:$AG$150,0,MATCH(Y$2,Inputs!$D$2:$AG$2,0)),Inputs!$B$4:$B$150,$B43)/1000)</f>
        <v>37107</v>
      </c>
      <c r="Z43" s="11">
        <f>IF(Z$3=0,"",SUMIFS(INDEX(Inputs!$D$4:$AG$150,0,MATCH(Z$2,Inputs!$D$2:$AG$2,0)),Inputs!$B$4:$B$150,$B43)/1000)</f>
        <v>39378</v>
      </c>
      <c r="AA43" s="11">
        <f>IF(AA$3=0,"",SUMIFS(INDEX(Inputs!$D$4:$AG$150,0,MATCH(AA$2,Inputs!$D$2:$AG$2,0)),Inputs!$B$4:$B$150,$B43)/1000)</f>
        <v>40577</v>
      </c>
      <c r="AB43" s="12">
        <f>IF(AA43="","",AA43)</f>
        <v>40577</v>
      </c>
      <c r="AC43" s="11">
        <f>IF(AC$3=0,"",SUMIFS(INDEX(Inputs!$D$4:$AG$150,0,MATCH(AC$2,Inputs!$D$2:$AG$2,0)),Inputs!$B$4:$B$150,$B43)/1000)</f>
        <v>41910</v>
      </c>
      <c r="AD43" s="11">
        <f>IF(AD$3=0,"",SUMIFS(INDEX(Inputs!$D$4:$AG$150,0,MATCH(AD$2,Inputs!$D$2:$AG$2,0)),Inputs!$B$4:$B$150,$B43)/1000)</f>
        <v>43243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-1155</v>
      </c>
      <c r="E45" s="11">
        <f>IF(E$3=0,"",SUMIFS(INDEX(Inputs!$D$4:$AG$150,0,MATCH(E$2,Inputs!$D$2:$AG$2,0)),Inputs!$B$4:$B$150,$B45)/1000)</f>
        <v>-1175</v>
      </c>
      <c r="F45" s="11">
        <f>IF(F$3=0,"",SUMIFS(INDEX(Inputs!$D$4:$AG$150,0,MATCH(F$2,Inputs!$D$2:$AG$2,0)),Inputs!$B$4:$B$150,$B45)/1000)</f>
        <v>-1396</v>
      </c>
      <c r="G45" s="11">
        <f>IF(G$3=0,"",SUMIFS(INDEX(Inputs!$D$4:$AG$150,0,MATCH(G$2,Inputs!$D$2:$AG$2,0)),Inputs!$B$4:$B$150,$B45)/1000)</f>
        <v>-1616</v>
      </c>
      <c r="H45" s="12">
        <f>IF(G45="","",G45)</f>
        <v>-1616</v>
      </c>
      <c r="I45" s="11">
        <f>IF(I$3=0,"",SUMIFS(INDEX(Inputs!$D$4:$AG$150,0,MATCH(I$2,Inputs!$D$2:$AG$2,0)),Inputs!$B$4:$B$150,$B45)/1000)</f>
        <v>-1678</v>
      </c>
      <c r="J45" s="11">
        <f>IF(J$3=0,"",SUMIFS(INDEX(Inputs!$D$4:$AG$150,0,MATCH(J$2,Inputs!$D$2:$AG$2,0)),Inputs!$B$4:$B$150,$B45)/1000)</f>
        <v>-1692</v>
      </c>
      <c r="K45" s="11">
        <f>IF(K$3=0,"",SUMIFS(INDEX(Inputs!$D$4:$AG$150,0,MATCH(K$2,Inputs!$D$2:$AG$2,0)),Inputs!$B$4:$B$150,$B45)/1000)</f>
        <v>-1965</v>
      </c>
      <c r="L45" s="11">
        <f>IF(L$3=0,"",SUMIFS(INDEX(Inputs!$D$4:$AG$150,0,MATCH(L$2,Inputs!$D$2:$AG$2,0)),Inputs!$B$4:$B$150,$B45)/1000)</f>
        <v>-1777</v>
      </c>
      <c r="M45" s="12">
        <f>IF(L45="","",L45)</f>
        <v>-1777</v>
      </c>
      <c r="N45" s="11">
        <f>IF(N$3=0,"",SUMIFS(INDEX(Inputs!$D$4:$AG$150,0,MATCH(N$2,Inputs!$D$2:$AG$2,0)),Inputs!$B$4:$B$150,$B45)/1000)</f>
        <v>-1694</v>
      </c>
      <c r="O45" s="11">
        <f>IF(O$3=0,"",SUMIFS(INDEX(Inputs!$D$4:$AG$150,0,MATCH(O$2,Inputs!$D$2:$AG$2,0)),Inputs!$B$4:$B$150,$B45)/1000)</f>
        <v>-1522</v>
      </c>
      <c r="P45" s="11">
        <f>IF(P$3=0,"",SUMIFS(INDEX(Inputs!$D$4:$AG$150,0,MATCH(P$2,Inputs!$D$2:$AG$2,0)),Inputs!$B$4:$B$150,$B45)/1000)</f>
        <v>-1497</v>
      </c>
      <c r="Q45" s="11">
        <f>IF(Q$3=0,"",SUMIFS(INDEX(Inputs!$D$4:$AG$150,0,MATCH(Q$2,Inputs!$D$2:$AG$2,0)),Inputs!$B$4:$B$150,$B45)/1000)</f>
        <v>-1427</v>
      </c>
      <c r="R45" s="12">
        <f>IF(Q45="","",Q45)</f>
        <v>-1427</v>
      </c>
      <c r="S45" s="11">
        <f>IF(S$3=0,"",SUMIFS(INDEX(Inputs!$D$4:$AG$150,0,MATCH(S$2,Inputs!$D$2:$AG$2,0)),Inputs!$B$4:$B$150,$B45)/1000)</f>
        <v>-1466</v>
      </c>
      <c r="T45" s="11">
        <f>IF(T$3=0,"",SUMIFS(INDEX(Inputs!$D$4:$AG$150,0,MATCH(T$2,Inputs!$D$2:$AG$2,0)),Inputs!$B$4:$B$150,$B45)/1000)</f>
        <v>-1432</v>
      </c>
      <c r="U45" s="11">
        <f>IF(U$3=0,"",SUMIFS(INDEX(Inputs!$D$4:$AG$150,0,MATCH(U$2,Inputs!$D$2:$AG$2,0)),Inputs!$B$4:$B$150,$B45)/1000)</f>
        <v>-1328</v>
      </c>
      <c r="V45" s="11">
        <f>IF(V$3=0,"",SUMIFS(INDEX(Inputs!$D$4:$AG$150,0,MATCH(V$2,Inputs!$D$2:$AG$2,0)),Inputs!$B$4:$B$150,$B45)/1000)</f>
        <v>-1519</v>
      </c>
      <c r="W45" s="12">
        <f>IF(V45="","",V45)</f>
        <v>-1519</v>
      </c>
      <c r="X45" s="11">
        <f>IF(X$3=0,"",SUMIFS(INDEX(Inputs!$D$4:$AG$150,0,MATCH(X$2,Inputs!$D$2:$AG$2,0)),Inputs!$B$4:$B$150,$B45)/1000)</f>
        <v>-1593</v>
      </c>
      <c r="Y45" s="11">
        <f>IF(Y$3=0,"",SUMIFS(INDEX(Inputs!$D$4:$AG$150,0,MATCH(Y$2,Inputs!$D$2:$AG$2,0)),Inputs!$B$4:$B$150,$B45)/1000)</f>
        <v>-1175</v>
      </c>
      <c r="Z45" s="11">
        <f>IF(Z$3=0,"",SUMIFS(INDEX(Inputs!$D$4:$AG$150,0,MATCH(Z$2,Inputs!$D$2:$AG$2,0)),Inputs!$B$4:$B$150,$B45)/1000)</f>
        <v>-1170</v>
      </c>
      <c r="AA45" s="11">
        <f>IF(AA$3=0,"",SUMIFS(INDEX(Inputs!$D$4:$AG$150,0,MATCH(AA$2,Inputs!$D$2:$AG$2,0)),Inputs!$B$4:$B$150,$B45)/1000)</f>
        <v>-1271</v>
      </c>
      <c r="AB45" s="12">
        <f>IF(AA45="","",AA45)</f>
        <v>-1271</v>
      </c>
      <c r="AC45" s="11">
        <f>IF(AC$3=0,"",SUMIFS(INDEX(Inputs!$D$4:$AG$150,0,MATCH(AC$2,Inputs!$D$2:$AG$2,0)),Inputs!$B$4:$B$150,$B45)/1000)</f>
        <v>-1277</v>
      </c>
      <c r="AD45" s="11">
        <f>IF(AD$3=0,"",SUMIFS(INDEX(Inputs!$D$4:$AG$150,0,MATCH(AD$2,Inputs!$D$2:$AG$2,0)),Inputs!$B$4:$B$150,$B45)/1000)</f>
        <v>-1380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4954</v>
      </c>
      <c r="AD46" s="11">
        <f>IF(AD$3=0,"",SUMIFS(INDEX(Inputs!$D$4:$AG$150,0,MATCH(AD$2,Inputs!$D$2:$AG$2,0)),Inputs!$B$4:$B$150,$B46)/1000)</f>
        <v>4954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-16206</v>
      </c>
      <c r="E47" s="11">
        <f>IF(E$3=0,"",SUMIFS(INDEX(Inputs!$D$4:$AG$150,0,MATCH(E$2,Inputs!$D$2:$AG$2,0)),Inputs!$B$4:$B$150,$B47)/1000)</f>
        <v>-20120</v>
      </c>
      <c r="F47" s="11">
        <f>IF(F$3=0,"",SUMIFS(INDEX(Inputs!$D$4:$AG$150,0,MATCH(F$2,Inputs!$D$2:$AG$2,0)),Inputs!$B$4:$B$150,$B47)/1000)</f>
        <v>-25679</v>
      </c>
      <c r="G47" s="11">
        <f>IF(G$3=0,"",SUMIFS(INDEX(Inputs!$D$4:$AG$150,0,MATCH(G$2,Inputs!$D$2:$AG$2,0)),Inputs!$B$4:$B$150,$B47)/1000)</f>
        <v>-34076</v>
      </c>
      <c r="H47" s="12">
        <f>IF(G47="","",G47)</f>
        <v>-34076</v>
      </c>
      <c r="I47" s="11">
        <f>IF(I$3=0,"",SUMIFS(INDEX(Inputs!$D$4:$AG$150,0,MATCH(I$2,Inputs!$D$2:$AG$2,0)),Inputs!$B$4:$B$150,$B47)/1000)</f>
        <v>-33147</v>
      </c>
      <c r="J47" s="11">
        <f>IF(J$3=0,"",SUMIFS(INDEX(Inputs!$D$4:$AG$150,0,MATCH(J$2,Inputs!$D$2:$AG$2,0)),Inputs!$B$4:$B$150,$B47)/1000)</f>
        <v>-31336</v>
      </c>
      <c r="K47" s="11">
        <f>IF(K$3=0,"",SUMIFS(INDEX(Inputs!$D$4:$AG$150,0,MATCH(K$2,Inputs!$D$2:$AG$2,0)),Inputs!$B$4:$B$150,$B47)/1000)</f>
        <v>-31134</v>
      </c>
      <c r="L47" s="11">
        <f>IF(L$3=0,"",SUMIFS(INDEX(Inputs!$D$4:$AG$150,0,MATCH(L$2,Inputs!$D$2:$AG$2,0)),Inputs!$B$4:$B$150,$B47)/1000)</f>
        <v>-30617</v>
      </c>
      <c r="M47" s="12">
        <f>IF(L47="","",L47)</f>
        <v>-30617</v>
      </c>
      <c r="N47" s="11">
        <f>IF(N$3=0,"",SUMIFS(INDEX(Inputs!$D$4:$AG$150,0,MATCH(N$2,Inputs!$D$2:$AG$2,0)),Inputs!$B$4:$B$150,$B47)/1000)</f>
        <v>-29721</v>
      </c>
      <c r="O47" s="11">
        <f>IF(O$3=0,"",SUMIFS(INDEX(Inputs!$D$4:$AG$150,0,MATCH(O$2,Inputs!$D$2:$AG$2,0)),Inputs!$B$4:$B$150,$B47)/1000)</f>
        <v>-27620</v>
      </c>
      <c r="P47" s="11">
        <f>IF(P$3=0,"",SUMIFS(INDEX(Inputs!$D$4:$AG$150,0,MATCH(P$2,Inputs!$D$2:$AG$2,0)),Inputs!$B$4:$B$150,$B47)/1000)</f>
        <v>-26428</v>
      </c>
      <c r="Q47" s="11">
        <f>IF(Q$3=0,"",SUMIFS(INDEX(Inputs!$D$4:$AG$150,0,MATCH(Q$2,Inputs!$D$2:$AG$2,0)),Inputs!$B$4:$B$150,$B47)/1000)</f>
        <v>-25431</v>
      </c>
      <c r="R47" s="12">
        <f>IF(Q47="","",Q47)</f>
        <v>-25431</v>
      </c>
      <c r="S47" s="11">
        <f>IF(S$3=0,"",SUMIFS(INDEX(Inputs!$D$4:$AG$150,0,MATCH(S$2,Inputs!$D$2:$AG$2,0)),Inputs!$B$4:$B$150,$B47)/1000)</f>
        <v>-24533</v>
      </c>
      <c r="T47" s="11">
        <f>IF(T$3=0,"",SUMIFS(INDEX(Inputs!$D$4:$AG$150,0,MATCH(T$2,Inputs!$D$2:$AG$2,0)),Inputs!$B$4:$B$150,$B47)/1000)</f>
        <v>-22628</v>
      </c>
      <c r="U47" s="11">
        <f>IF(U$3=0,"",SUMIFS(INDEX(Inputs!$D$4:$AG$150,0,MATCH(U$2,Inputs!$D$2:$AG$2,0)),Inputs!$B$4:$B$150,$B47)/1000)</f>
        <v>-20939</v>
      </c>
      <c r="V47" s="11">
        <f>IF(V$3=0,"",SUMIFS(INDEX(Inputs!$D$4:$AG$150,0,MATCH(V$2,Inputs!$D$2:$AG$2,0)),Inputs!$B$4:$B$150,$B47)/1000)</f>
        <v>-19045</v>
      </c>
      <c r="W47" s="12">
        <f>IF(V47="","",V47)</f>
        <v>-19045</v>
      </c>
      <c r="X47" s="11">
        <f>IF(X$3=0,"",SUMIFS(INDEX(Inputs!$D$4:$AG$150,0,MATCH(X$2,Inputs!$D$2:$AG$2,0)),Inputs!$B$4:$B$150,$B47)/1000)</f>
        <v>-17368</v>
      </c>
      <c r="Y47" s="11">
        <f>IF(Y$3=0,"",SUMIFS(INDEX(Inputs!$D$4:$AG$150,0,MATCH(Y$2,Inputs!$D$2:$AG$2,0)),Inputs!$B$4:$B$150,$B47)/1000)</f>
        <v>-15481</v>
      </c>
      <c r="Z47" s="11">
        <f>IF(Z$3=0,"",SUMIFS(INDEX(Inputs!$D$4:$AG$150,0,MATCH(Z$2,Inputs!$D$2:$AG$2,0)),Inputs!$B$4:$B$150,$B47)/1000)</f>
        <v>-14054</v>
      </c>
      <c r="AA47" s="11">
        <f>IF(AA$3=0,"",SUMIFS(INDEX(Inputs!$D$4:$AG$150,0,MATCH(AA$2,Inputs!$D$2:$AG$2,0)),Inputs!$B$4:$B$150,$B47)/1000)</f>
        <v>-9355</v>
      </c>
      <c r="AB47" s="12">
        <f>IF(AA47="","",AA47)</f>
        <v>-9355</v>
      </c>
      <c r="AC47" s="11">
        <f>IF(AC$3=0,"",SUMIFS(INDEX(Inputs!$D$4:$AG$150,0,MATCH(AC$2,Inputs!$D$2:$AG$2,0)),Inputs!$B$4:$B$150,$B47)/1000)</f>
        <v>-7092</v>
      </c>
      <c r="AD47" s="11">
        <f>IF(AD$3=0,"",SUMIFS(INDEX(Inputs!$D$4:$AG$150,0,MATCH(AD$2,Inputs!$D$2:$AG$2,0)),Inputs!$B$4:$B$150,$B47)/1000)</f>
        <v>-4309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5021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4032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2457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-1247</v>
      </c>
      <c r="H50" s="12">
        <f>IF(COUNT(D50:G50)=4,SUM(D50:G50),"")</f>
        <v>10263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2319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3189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1548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1741</v>
      </c>
      <c r="M50" s="12">
        <f>IF(COUNT(I50:L50)=4,SUM(I50:L50),"")</f>
        <v>8797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1896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3319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2420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2503</v>
      </c>
      <c r="R50" s="12">
        <f>IF(COUNT(N50:Q50)=4,SUM(N50:Q50),"")</f>
        <v>10138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2401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3144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2929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3151</v>
      </c>
      <c r="W50" s="12">
        <f>IF(COUNT(S50:V50)=4,SUM(S50:V50),"")</f>
        <v>11625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2936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3427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2927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6135</v>
      </c>
      <c r="AB50" s="12">
        <f>IF(COUNT(X50:AA50)=4,SUM(X50:AA50),"")</f>
        <v>15425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3721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4304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Cloud &amp; Software (antes Cloud &amp; License)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8529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9534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8184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8791</v>
      </c>
      <c r="H53" s="12">
        <f>IF(COUNT(D53:G53)=4,SUM(D53:G53),"")</f>
        <v>35038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8926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10151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9321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10033</v>
      </c>
      <c r="M53" s="12">
        <f>IF(COUNT(I53:L53)=4,SUM(I53:L53),"")</f>
        <v>38431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10211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11521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10356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10817</v>
      </c>
      <c r="R53" s="12">
        <f>IF(COUNT(N53:Q53)=4,SUM(N53:Q53),"")</f>
        <v>42905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11219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12072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11389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12001</v>
      </c>
      <c r="W53" s="12">
        <f>IF(COUNT(S53:V53)=4,SUM(S53:V53),"")</f>
        <v>46681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12136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13705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12907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13854</v>
      </c>
      <c r="AB53" s="12">
        <f>IF(COUNT(X53:AA53)=4,SUM(X53:AA53),"")</f>
        <v>52602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15033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16737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Cloud &amp; Software (antes Cloud &amp; License) - lucro do segmento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5824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6526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5405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5911</v>
      </c>
      <c r="H54" s="12">
        <f>IF(COUNT(D54:G54)=4,SUM(D54:G54),"")</f>
        <v>23666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5935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6833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5771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6352</v>
      </c>
      <c r="M54" s="12">
        <f>IF(COUNT(I54:L54)=4,SUM(I54:L54),"")</f>
        <v>24891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6495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7508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6532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6915</v>
      </c>
      <c r="R54" s="12">
        <f>IF(COUNT(N54:Q54)=4,SUM(N54:Q54),"")</f>
        <v>27450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7173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7894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7196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7558</v>
      </c>
      <c r="W54" s="12">
        <f>IF(COUNT(S54:V54)=4,SUM(S54:V54),"")</f>
        <v>29821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7629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8549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7691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8177</v>
      </c>
      <c r="AB54" s="12">
        <f>IF(COUNT(X54:AA54)=4,SUM(X54:AA54),"")</f>
        <v>32046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8707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9894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Hardware - receita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820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881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763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767</v>
      </c>
      <c r="H55" s="12">
        <f>IF(COUNT(D55:G55)=4,SUM(D55:G55),"")</f>
        <v>3231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798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855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763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850</v>
      </c>
      <c r="M55" s="12">
        <f>IF(COUNT(I55:L55)=4,SUM(I55:L55),"")</f>
        <v>3266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811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850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714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756</v>
      </c>
      <c r="R55" s="12">
        <f>IF(COUNT(N55:Q55)=4,SUM(N55:Q55),"")</f>
        <v>3131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754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842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655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728</v>
      </c>
      <c r="W55" s="12">
        <f>IF(COUNT(S55:V55)=4,SUM(S55:V55),"")</f>
        <v>2979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703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850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670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776</v>
      </c>
      <c r="AB55" s="12">
        <f>IF(COUNT(X55:AA55)=4,SUM(X55:AA55),"")</f>
        <v>2999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714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924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Hardware - lucro do segmento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502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533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436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458</v>
      </c>
      <c r="H56" s="12">
        <f>IF(COUNT(D56:G56)=4,SUM(D56:G56),"")</f>
        <v>1929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473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511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441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488</v>
      </c>
      <c r="M56" s="12">
        <f>IF(COUNT(I56:L56)=4,SUM(I56:L56),"")</f>
        <v>1913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494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509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433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474</v>
      </c>
      <c r="R56" s="12">
        <f>IF(COUNT(N56:Q56)=4,SUM(N56:Q56),"")</f>
        <v>1910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474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534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438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498</v>
      </c>
      <c r="W56" s="12">
        <f>IF(COUNT(S56:V56)=4,SUM(S56:V56),"")</f>
        <v>1944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450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532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447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512</v>
      </c>
      <c r="AB56" s="12">
        <f>IF(COUNT(X56:AA56)=4,SUM(X56:AA56),"")</f>
        <v>1941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485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573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Serviços - receita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737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812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781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802</v>
      </c>
      <c r="H57" s="12">
        <f>IF(COUNT(D57:G57)=4,SUM(D57:G57),"")</f>
        <v>3132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789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834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1361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1392</v>
      </c>
      <c r="M57" s="12">
        <f>IF(COUNT(I57:L57)=4,SUM(I57:L57),"")</f>
        <v>4376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1376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1465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1383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1368</v>
      </c>
      <c r="R57" s="12">
        <f>IF(COUNT(N57:Q57)=4,SUM(N57:Q57),"")</f>
        <v>5592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1307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1373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1263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1330</v>
      </c>
      <c r="W57" s="12">
        <f>IF(COUNT(S57:V57)=4,SUM(S57:V57),"")</f>
        <v>5273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1291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1348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1349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1428</v>
      </c>
      <c r="AB57" s="12">
        <f>IF(COUNT(X57:AA57)=4,SUM(X57:AA57),"")</f>
        <v>5416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1443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1523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Serviços - lucro do segmento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150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186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172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171</v>
      </c>
      <c r="H58" s="12">
        <f>IF(COUNT(D58:G58)=4,SUM(D58:G58),"")</f>
        <v>679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156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168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354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281</v>
      </c>
      <c r="M58" s="12">
        <f>IF(COUNT(I58:L58)=4,SUM(I58:L58),"")</f>
        <v>959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229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240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238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202</v>
      </c>
      <c r="R58" s="12">
        <f>IF(COUNT(N58:Q58)=4,SUM(N58:Q58),"")</f>
        <v>909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187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289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197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250</v>
      </c>
      <c r="W58" s="12">
        <f>IF(COUNT(S58:V58)=4,SUM(S58:V58),"")</f>
        <v>923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262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282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332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344</v>
      </c>
      <c r="AB58" s="12">
        <f>IF(COUNT(X58:AA58)=4,SUM(X58:AA58),"")</f>
        <v>1220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400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456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Nova abertura - Cloud total (USD)</t>
        </is>
      </c>
      <c r="D59" s="11" t="str">
        <f>IF(SUMPRODUCT((Inputs!$B$4:$B$150=$B59)*ISNUMBER(INDEX(Inputs!$D$4:$AG$150,0,MATCH(D$2,Inputs!$D$2:$AG$2,0))))=0,"",SUMIFS(INDEX(Inputs!$D$4:$AG$150,0,MATCH(D$2,Inputs!$D$2:$AG$2,0)),Inputs!$B$4:$B$150,$B59)/1000)</f>
        <v/>
      </c>
      <c r="E59" s="11" t="str">
        <f>IF(SUMPRODUCT((Inputs!$B$4:$B$150=$B59)*ISNUMBER(INDEX(Inputs!$D$4:$AG$150,0,MATCH(E$2,Inputs!$D$2:$AG$2,0))))=0,"",SUMIFS(INDEX(Inputs!$D$4:$AG$150,0,MATCH(E$2,Inputs!$D$2:$AG$2,0)),Inputs!$B$4:$B$150,$B59)/1000)</f>
        <v/>
      </c>
      <c r="F59" s="11" t="str">
        <f>IF(SUMPRODUCT((Inputs!$B$4:$B$150=$B59)*ISNUMBER(INDEX(Inputs!$D$4:$AG$150,0,MATCH(F$2,Inputs!$D$2:$AG$2,0))))=0,"",SUMIFS(INDEX(Inputs!$D$4:$AG$150,0,MATCH(F$2,Inputs!$D$2:$AG$2,0)),Inputs!$B$4:$B$150,$B59)/1000)</f>
        <v/>
      </c>
      <c r="G59" s="11" t="str">
        <f>IF(SUMPRODUCT((Inputs!$B$4:$B$150=$B59)*ISNUMBER(INDEX(Inputs!$D$4:$AG$150,0,MATCH(G$2,Inputs!$D$2:$AG$2,0))))=0,"",SUMIFS(INDEX(Inputs!$D$4:$AG$150,0,MATCH(G$2,Inputs!$D$2:$AG$2,0)),Inputs!$B$4:$B$150,$B59)/1000)</f>
        <v/>
      </c>
      <c r="H59" s="12" t="str">
        <f>IF(COUNT(D59:G59)=4,SUM(D59:G59),"")</f>
        <v/>
      </c>
      <c r="I59" s="11" t="str">
        <f>IF(SUMPRODUCT((Inputs!$B$4:$B$150=$B59)*ISNUMBER(INDEX(Inputs!$D$4:$AG$150,0,MATCH(I$2,Inputs!$D$2:$AG$2,0))))=0,"",SUMIFS(INDEX(Inputs!$D$4:$AG$150,0,MATCH(I$2,Inputs!$D$2:$AG$2,0)),Inputs!$B$4:$B$150,$B59)/1000)</f>
        <v/>
      </c>
      <c r="J59" s="11" t="str">
        <f>IF(SUMPRODUCT((Inputs!$B$4:$B$150=$B59)*ISNUMBER(INDEX(Inputs!$D$4:$AG$150,0,MATCH(J$2,Inputs!$D$2:$AG$2,0))))=0,"",SUMIFS(INDEX(Inputs!$D$4:$AG$150,0,MATCH(J$2,Inputs!$D$2:$AG$2,0)),Inputs!$B$4:$B$150,$B59)/1000)</f>
        <v/>
      </c>
      <c r="K59" s="11" t="str">
        <f>IF(SUMPRODUCT((Inputs!$B$4:$B$150=$B59)*ISNUMBER(INDEX(Inputs!$D$4:$AG$150,0,MATCH(K$2,Inputs!$D$2:$AG$2,0))))=0,"",SUMIFS(INDEX(Inputs!$D$4:$AG$150,0,MATCH(K$2,Inputs!$D$2:$AG$2,0)),Inputs!$B$4:$B$150,$B59)/1000)</f>
        <v/>
      </c>
      <c r="L59" s="11" t="str">
        <f>IF(SUMPRODUCT((Inputs!$B$4:$B$150=$B59)*ISNUMBER(INDEX(Inputs!$D$4:$AG$150,0,MATCH(L$2,Inputs!$D$2:$AG$2,0))))=0,"",SUMIFS(INDEX(Inputs!$D$4:$AG$150,0,MATCH(L$2,Inputs!$D$2:$AG$2,0)),Inputs!$B$4:$B$150,$B59)/1000)</f>
        <v/>
      </c>
      <c r="M59" s="12" t="str">
        <f>IF(COUNT(I59:L59)=4,SUM(I59:L59),"")</f>
        <v/>
      </c>
      <c r="N59" s="11" t="str">
        <f>IF(SUMPRODUCT((Inputs!$B$4:$B$150=$B59)*ISNUMBER(INDEX(Inputs!$D$4:$AG$150,0,MATCH(N$2,Inputs!$D$2:$AG$2,0))))=0,"",SUMIFS(INDEX(Inputs!$D$4:$AG$150,0,MATCH(N$2,Inputs!$D$2:$AG$2,0)),Inputs!$B$4:$B$150,$B59)/1000)</f>
        <v/>
      </c>
      <c r="O59" s="11" t="str">
        <f>IF(SUMPRODUCT((Inputs!$B$4:$B$150=$B59)*ISNUMBER(INDEX(Inputs!$D$4:$AG$150,0,MATCH(O$2,Inputs!$D$2:$AG$2,0))))=0,"",SUMIFS(INDEX(Inputs!$D$4:$AG$150,0,MATCH(O$2,Inputs!$D$2:$AG$2,0)),Inputs!$B$4:$B$150,$B59)/1000)</f>
        <v/>
      </c>
      <c r="P59" s="11" t="str">
        <f>IF(SUMPRODUCT((Inputs!$B$4:$B$150=$B59)*ISNUMBER(INDEX(Inputs!$D$4:$AG$150,0,MATCH(P$2,Inputs!$D$2:$AG$2,0))))=0,"",SUMIFS(INDEX(Inputs!$D$4:$AG$150,0,MATCH(P$2,Inputs!$D$2:$AG$2,0)),Inputs!$B$4:$B$150,$B59)/1000)</f>
        <v/>
      </c>
      <c r="Q59" s="11" t="str">
        <f>IF(SUMPRODUCT((Inputs!$B$4:$B$150=$B59)*ISNUMBER(INDEX(Inputs!$D$4:$AG$150,0,MATCH(Q$2,Inputs!$D$2:$AG$2,0))))=0,"",SUMIFS(INDEX(Inputs!$D$4:$AG$150,0,MATCH(Q$2,Inputs!$D$2:$AG$2,0)),Inputs!$B$4:$B$150,$B59)/1000)</f>
        <v/>
      </c>
      <c r="R59" s="12" t="str">
        <f>IF(COUNT(N59:Q59)=4,SUM(N59:Q59),"")</f>
        <v/>
      </c>
      <c r="S59" s="11" t="str">
        <f>IF(SUMPRODUCT((Inputs!$B$4:$B$150=$B59)*ISNUMBER(INDEX(Inputs!$D$4:$AG$150,0,MATCH(S$2,Inputs!$D$2:$AG$2,0))))=0,"",SUMIFS(INDEX(Inputs!$D$4:$AG$150,0,MATCH(S$2,Inputs!$D$2:$AG$2,0)),Inputs!$B$4:$B$150,$B59)/1000)</f>
        <v/>
      </c>
      <c r="T59" s="11" t="str">
        <f>IF(SUMPRODUCT((Inputs!$B$4:$B$150=$B59)*ISNUMBER(INDEX(Inputs!$D$4:$AG$150,0,MATCH(T$2,Inputs!$D$2:$AG$2,0))))=0,"",SUMIFS(INDEX(Inputs!$D$4:$AG$150,0,MATCH(T$2,Inputs!$D$2:$AG$2,0)),Inputs!$B$4:$B$150,$B59)/1000)</f>
        <v/>
      </c>
      <c r="U59" s="11">
        <f>IF(SUMPRODUCT((Inputs!$B$4:$B$150=$B59)*ISNUMBER(INDEX(Inputs!$D$4:$AG$150,0,MATCH(U$2,Inputs!$D$2:$AG$2,0))))=0,"",SUMIFS(INDEX(Inputs!$D$4:$AG$150,0,MATCH(U$2,Inputs!$D$2:$AG$2,0)),Inputs!$B$4:$B$150,$B59)/1000)</f>
        <v>5623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5937</v>
      </c>
      <c r="W59" s="12" t="str">
        <f>IF(COUNT(S59:V59)=4,SUM(S59:V59),"")</f>
        <v/>
      </c>
      <c r="X59" s="11">
        <f>IF(SUMPRODUCT((Inputs!$B$4:$B$150=$B59)*ISNUMBER(INDEX(Inputs!$D$4:$AG$150,0,MATCH(X$2,Inputs!$D$2:$AG$2,0))))=0,"",SUMIFS(INDEX(Inputs!$D$4:$AG$150,0,MATCH(X$2,Inputs!$D$2:$AG$2,0)),Inputs!$B$4:$B$150,$B59)/1000)</f>
        <v>6210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6737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7186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7977</v>
      </c>
      <c r="AB59" s="12">
        <f>IF(COUNT(X59:AA59)=4,SUM(X59:AA59),"")</f>
        <v>28110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8914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9913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Nova abertura - Cloud Infrastructure (OCI) (USD)</t>
        </is>
      </c>
      <c r="D60" s="11" t="str">
        <f>IF(SUMPRODUCT((Inputs!$B$4:$B$150=$B60)*ISNUMBER(INDEX(Inputs!$D$4:$AG$150,0,MATCH(D$2,Inputs!$D$2:$AG$2,0))))=0,"",SUMIFS(INDEX(Inputs!$D$4:$AG$150,0,MATCH(D$2,Inputs!$D$2:$AG$2,0)),Inputs!$B$4:$B$150,$B60)/1000)</f>
        <v/>
      </c>
      <c r="E60" s="11" t="str">
        <f>IF(SUMPRODUCT((Inputs!$B$4:$B$150=$B60)*ISNUMBER(INDEX(Inputs!$D$4:$AG$150,0,MATCH(E$2,Inputs!$D$2:$AG$2,0))))=0,"",SUMIFS(INDEX(Inputs!$D$4:$AG$150,0,MATCH(E$2,Inputs!$D$2:$AG$2,0)),Inputs!$B$4:$B$150,$B60)/1000)</f>
        <v/>
      </c>
      <c r="F60" s="11" t="str">
        <f>IF(SUMPRODUCT((Inputs!$B$4:$B$150=$B60)*ISNUMBER(INDEX(Inputs!$D$4:$AG$150,0,MATCH(F$2,Inputs!$D$2:$AG$2,0))))=0,"",SUMIFS(INDEX(Inputs!$D$4:$AG$150,0,MATCH(F$2,Inputs!$D$2:$AG$2,0)),Inputs!$B$4:$B$150,$B60)/1000)</f>
        <v/>
      </c>
      <c r="G60" s="11" t="str">
        <f>IF(SUMPRODUCT((Inputs!$B$4:$B$150=$B60)*ISNUMBER(INDEX(Inputs!$D$4:$AG$150,0,MATCH(G$2,Inputs!$D$2:$AG$2,0))))=0,"",SUMIFS(INDEX(Inputs!$D$4:$AG$150,0,MATCH(G$2,Inputs!$D$2:$AG$2,0)),Inputs!$B$4:$B$150,$B60)/1000)</f>
        <v/>
      </c>
      <c r="H60" s="12" t="str">
        <f>IF(COUNT(D60:G60)=4,SUM(D60:G60),"")</f>
        <v/>
      </c>
      <c r="I60" s="11" t="str">
        <f>IF(SUMPRODUCT((Inputs!$B$4:$B$150=$B60)*ISNUMBER(INDEX(Inputs!$D$4:$AG$150,0,MATCH(I$2,Inputs!$D$2:$AG$2,0))))=0,"",SUMIFS(INDEX(Inputs!$D$4:$AG$150,0,MATCH(I$2,Inputs!$D$2:$AG$2,0)),Inputs!$B$4:$B$150,$B60)/1000)</f>
        <v/>
      </c>
      <c r="J60" s="11" t="str">
        <f>IF(SUMPRODUCT((Inputs!$B$4:$B$150=$B60)*ISNUMBER(INDEX(Inputs!$D$4:$AG$150,0,MATCH(J$2,Inputs!$D$2:$AG$2,0))))=0,"",SUMIFS(INDEX(Inputs!$D$4:$AG$150,0,MATCH(J$2,Inputs!$D$2:$AG$2,0)),Inputs!$B$4:$B$150,$B60)/1000)</f>
        <v/>
      </c>
      <c r="K60" s="11" t="str">
        <f>IF(SUMPRODUCT((Inputs!$B$4:$B$150=$B60)*ISNUMBER(INDEX(Inputs!$D$4:$AG$150,0,MATCH(K$2,Inputs!$D$2:$AG$2,0))))=0,"",SUMIFS(INDEX(Inputs!$D$4:$AG$150,0,MATCH(K$2,Inputs!$D$2:$AG$2,0)),Inputs!$B$4:$B$150,$B60)/1000)</f>
        <v/>
      </c>
      <c r="L60" s="11" t="str">
        <f>IF(SUMPRODUCT((Inputs!$B$4:$B$150=$B60)*ISNUMBER(INDEX(Inputs!$D$4:$AG$150,0,MATCH(L$2,Inputs!$D$2:$AG$2,0))))=0,"",SUMIFS(INDEX(Inputs!$D$4:$AG$150,0,MATCH(L$2,Inputs!$D$2:$AG$2,0)),Inputs!$B$4:$B$150,$B60)/1000)</f>
        <v/>
      </c>
      <c r="M60" s="12" t="str">
        <f>IF(COUNT(I60:L60)=4,SUM(I60:L60),"")</f>
        <v/>
      </c>
      <c r="N60" s="11" t="str">
        <f>IF(SUMPRODUCT((Inputs!$B$4:$B$150=$B60)*ISNUMBER(INDEX(Inputs!$D$4:$AG$150,0,MATCH(N$2,Inputs!$D$2:$AG$2,0))))=0,"",SUMIFS(INDEX(Inputs!$D$4:$AG$150,0,MATCH(N$2,Inputs!$D$2:$AG$2,0)),Inputs!$B$4:$B$150,$B60)/1000)</f>
        <v/>
      </c>
      <c r="O60" s="11" t="str">
        <f>IF(SUMPRODUCT((Inputs!$B$4:$B$150=$B60)*ISNUMBER(INDEX(Inputs!$D$4:$AG$150,0,MATCH(O$2,Inputs!$D$2:$AG$2,0))))=0,"",SUMIFS(INDEX(Inputs!$D$4:$AG$150,0,MATCH(O$2,Inputs!$D$2:$AG$2,0)),Inputs!$B$4:$B$150,$B60)/1000)</f>
        <v/>
      </c>
      <c r="P60" s="11" t="str">
        <f>IF(SUMPRODUCT((Inputs!$B$4:$B$150=$B60)*ISNUMBER(INDEX(Inputs!$D$4:$AG$150,0,MATCH(P$2,Inputs!$D$2:$AG$2,0))))=0,"",SUMIFS(INDEX(Inputs!$D$4:$AG$150,0,MATCH(P$2,Inputs!$D$2:$AG$2,0)),Inputs!$B$4:$B$150,$B60)/1000)</f>
        <v/>
      </c>
      <c r="Q60" s="11" t="str">
        <f>IF(SUMPRODUCT((Inputs!$B$4:$B$150=$B60)*ISNUMBER(INDEX(Inputs!$D$4:$AG$150,0,MATCH(Q$2,Inputs!$D$2:$AG$2,0))))=0,"",SUMIFS(INDEX(Inputs!$D$4:$AG$150,0,MATCH(Q$2,Inputs!$D$2:$AG$2,0)),Inputs!$B$4:$B$150,$B60)/1000)</f>
        <v/>
      </c>
      <c r="R60" s="12" t="str">
        <f>IF(COUNT(N60:Q60)=4,SUM(N60:Q60),"")</f>
        <v/>
      </c>
      <c r="S60" s="11" t="str">
        <f>IF(SUMPRODUCT((Inputs!$B$4:$B$150=$B60)*ISNUMBER(INDEX(Inputs!$D$4:$AG$150,0,MATCH(S$2,Inputs!$D$2:$AG$2,0))))=0,"",SUMIFS(INDEX(Inputs!$D$4:$AG$150,0,MATCH(S$2,Inputs!$D$2:$AG$2,0)),Inputs!$B$4:$B$150,$B60)/1000)</f>
        <v/>
      </c>
      <c r="T60" s="11" t="str">
        <f>IF(SUMPRODUCT((Inputs!$B$4:$B$150=$B60)*ISNUMBER(INDEX(Inputs!$D$4:$AG$150,0,MATCH(T$2,Inputs!$D$2:$AG$2,0))))=0,"",SUMIFS(INDEX(Inputs!$D$4:$AG$150,0,MATCH(T$2,Inputs!$D$2:$AG$2,0)),Inputs!$B$4:$B$150,$B60)/1000)</f>
        <v/>
      </c>
      <c r="U60" s="11">
        <f>IF(SUMPRODUCT((Inputs!$B$4:$B$150=$B60)*ISNUMBER(INDEX(Inputs!$D$4:$AG$150,0,MATCH(U$2,Inputs!$D$2:$AG$2,0))))=0,"",SUMIFS(INDEX(Inputs!$D$4:$AG$150,0,MATCH(U$2,Inputs!$D$2:$AG$2,0)),Inputs!$B$4:$B$150,$B60)/1000)</f>
        <v>2154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2434</v>
      </c>
      <c r="W60" s="12" t="str">
        <f>IF(COUNT(S60:V60)=4,SUM(S60:V60),"")</f>
        <v/>
      </c>
      <c r="X60" s="11">
        <f>IF(SUMPRODUCT((Inputs!$B$4:$B$150=$B60)*ISNUMBER(INDEX(Inputs!$D$4:$AG$150,0,MATCH(X$2,Inputs!$D$2:$AG$2,0))))=0,"",SUMIFS(INDEX(Inputs!$D$4:$AG$150,0,MATCH(X$2,Inputs!$D$2:$AG$2,0)),Inputs!$B$4:$B$150,$B60)/1000)</f>
        <v>2652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2994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3347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4079</v>
      </c>
      <c r="AB60" s="12">
        <f>IF(COUNT(X60:AA60)=4,SUM(X60:AA60),"")</f>
        <v>13072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4888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5787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Nova abertura - Cloud Applications (USD)</t>
        </is>
      </c>
      <c r="D61" s="11" t="str">
        <f>IF(SUMPRODUCT((Inputs!$B$4:$B$150=$B61)*ISNUMBER(INDEX(Inputs!$D$4:$AG$150,0,MATCH(D$2,Inputs!$D$2:$AG$2,0))))=0,"",SUMIFS(INDEX(Inputs!$D$4:$AG$150,0,MATCH(D$2,Inputs!$D$2:$AG$2,0)),Inputs!$B$4:$B$150,$B61)/1000)</f>
        <v/>
      </c>
      <c r="E61" s="11" t="str">
        <f>IF(SUMPRODUCT((Inputs!$B$4:$B$150=$B61)*ISNUMBER(INDEX(Inputs!$D$4:$AG$150,0,MATCH(E$2,Inputs!$D$2:$AG$2,0))))=0,"",SUMIFS(INDEX(Inputs!$D$4:$AG$150,0,MATCH(E$2,Inputs!$D$2:$AG$2,0)),Inputs!$B$4:$B$150,$B61)/1000)</f>
        <v/>
      </c>
      <c r="F61" s="11" t="str">
        <f>IF(SUMPRODUCT((Inputs!$B$4:$B$150=$B61)*ISNUMBER(INDEX(Inputs!$D$4:$AG$150,0,MATCH(F$2,Inputs!$D$2:$AG$2,0))))=0,"",SUMIFS(INDEX(Inputs!$D$4:$AG$150,0,MATCH(F$2,Inputs!$D$2:$AG$2,0)),Inputs!$B$4:$B$150,$B61)/1000)</f>
        <v/>
      </c>
      <c r="G61" s="11" t="str">
        <f>IF(SUMPRODUCT((Inputs!$B$4:$B$150=$B61)*ISNUMBER(INDEX(Inputs!$D$4:$AG$150,0,MATCH(G$2,Inputs!$D$2:$AG$2,0))))=0,"",SUMIFS(INDEX(Inputs!$D$4:$AG$150,0,MATCH(G$2,Inputs!$D$2:$AG$2,0)),Inputs!$B$4:$B$150,$B61)/1000)</f>
        <v/>
      </c>
      <c r="H61" s="12" t="str">
        <f>IF(COUNT(D61:G61)=4,SUM(D61:G61),"")</f>
        <v/>
      </c>
      <c r="I61" s="11" t="str">
        <f>IF(SUMPRODUCT((Inputs!$B$4:$B$150=$B61)*ISNUMBER(INDEX(Inputs!$D$4:$AG$150,0,MATCH(I$2,Inputs!$D$2:$AG$2,0))))=0,"",SUMIFS(INDEX(Inputs!$D$4:$AG$150,0,MATCH(I$2,Inputs!$D$2:$AG$2,0)),Inputs!$B$4:$B$150,$B61)/1000)</f>
        <v/>
      </c>
      <c r="J61" s="11" t="str">
        <f>IF(SUMPRODUCT((Inputs!$B$4:$B$150=$B61)*ISNUMBER(INDEX(Inputs!$D$4:$AG$150,0,MATCH(J$2,Inputs!$D$2:$AG$2,0))))=0,"",SUMIFS(INDEX(Inputs!$D$4:$AG$150,0,MATCH(J$2,Inputs!$D$2:$AG$2,0)),Inputs!$B$4:$B$150,$B61)/1000)</f>
        <v/>
      </c>
      <c r="K61" s="11" t="str">
        <f>IF(SUMPRODUCT((Inputs!$B$4:$B$150=$B61)*ISNUMBER(INDEX(Inputs!$D$4:$AG$150,0,MATCH(K$2,Inputs!$D$2:$AG$2,0))))=0,"",SUMIFS(INDEX(Inputs!$D$4:$AG$150,0,MATCH(K$2,Inputs!$D$2:$AG$2,0)),Inputs!$B$4:$B$150,$B61)/1000)</f>
        <v/>
      </c>
      <c r="L61" s="11" t="str">
        <f>IF(SUMPRODUCT((Inputs!$B$4:$B$150=$B61)*ISNUMBER(INDEX(Inputs!$D$4:$AG$150,0,MATCH(L$2,Inputs!$D$2:$AG$2,0))))=0,"",SUMIFS(INDEX(Inputs!$D$4:$AG$150,0,MATCH(L$2,Inputs!$D$2:$AG$2,0)),Inputs!$B$4:$B$150,$B61)/1000)</f>
        <v/>
      </c>
      <c r="M61" s="12" t="str">
        <f>IF(COUNT(I61:L61)=4,SUM(I61:L61),"")</f>
        <v/>
      </c>
      <c r="N61" s="11" t="str">
        <f>IF(SUMPRODUCT((Inputs!$B$4:$B$150=$B61)*ISNUMBER(INDEX(Inputs!$D$4:$AG$150,0,MATCH(N$2,Inputs!$D$2:$AG$2,0))))=0,"",SUMIFS(INDEX(Inputs!$D$4:$AG$150,0,MATCH(N$2,Inputs!$D$2:$AG$2,0)),Inputs!$B$4:$B$150,$B61)/1000)</f>
        <v/>
      </c>
      <c r="O61" s="11" t="str">
        <f>IF(SUMPRODUCT((Inputs!$B$4:$B$150=$B61)*ISNUMBER(INDEX(Inputs!$D$4:$AG$150,0,MATCH(O$2,Inputs!$D$2:$AG$2,0))))=0,"",SUMIFS(INDEX(Inputs!$D$4:$AG$150,0,MATCH(O$2,Inputs!$D$2:$AG$2,0)),Inputs!$B$4:$B$150,$B61)/1000)</f>
        <v/>
      </c>
      <c r="P61" s="11" t="str">
        <f>IF(SUMPRODUCT((Inputs!$B$4:$B$150=$B61)*ISNUMBER(INDEX(Inputs!$D$4:$AG$150,0,MATCH(P$2,Inputs!$D$2:$AG$2,0))))=0,"",SUMIFS(INDEX(Inputs!$D$4:$AG$150,0,MATCH(P$2,Inputs!$D$2:$AG$2,0)),Inputs!$B$4:$B$150,$B61)/1000)</f>
        <v/>
      </c>
      <c r="Q61" s="11" t="str">
        <f>IF(SUMPRODUCT((Inputs!$B$4:$B$150=$B61)*ISNUMBER(INDEX(Inputs!$D$4:$AG$150,0,MATCH(Q$2,Inputs!$D$2:$AG$2,0))))=0,"",SUMIFS(INDEX(Inputs!$D$4:$AG$150,0,MATCH(Q$2,Inputs!$D$2:$AG$2,0)),Inputs!$B$4:$B$150,$B61)/1000)</f>
        <v/>
      </c>
      <c r="R61" s="12" t="str">
        <f>IF(COUNT(N61:Q61)=4,SUM(N61:Q61),"")</f>
        <v/>
      </c>
      <c r="S61" s="11" t="str">
        <f>IF(SUMPRODUCT((Inputs!$B$4:$B$150=$B61)*ISNUMBER(INDEX(Inputs!$D$4:$AG$150,0,MATCH(S$2,Inputs!$D$2:$AG$2,0))))=0,"",SUMIFS(INDEX(Inputs!$D$4:$AG$150,0,MATCH(S$2,Inputs!$D$2:$AG$2,0)),Inputs!$B$4:$B$150,$B61)/1000)</f>
        <v/>
      </c>
      <c r="T61" s="11" t="str">
        <f>IF(SUMPRODUCT((Inputs!$B$4:$B$150=$B61)*ISNUMBER(INDEX(Inputs!$D$4:$AG$150,0,MATCH(T$2,Inputs!$D$2:$AG$2,0))))=0,"",SUMIFS(INDEX(Inputs!$D$4:$AG$150,0,MATCH(T$2,Inputs!$D$2:$AG$2,0)),Inputs!$B$4:$B$150,$B61)/1000)</f>
        <v/>
      </c>
      <c r="U61" s="11">
        <f>IF(SUMPRODUCT((Inputs!$B$4:$B$150=$B61)*ISNUMBER(INDEX(Inputs!$D$4:$AG$150,0,MATCH(U$2,Inputs!$D$2:$AG$2,0))))=0,"",SUMIFS(INDEX(Inputs!$D$4:$AG$150,0,MATCH(U$2,Inputs!$D$2:$AG$2,0)),Inputs!$B$4:$B$150,$B61)/1000)</f>
        <v>3469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3503</v>
      </c>
      <c r="W61" s="12" t="str">
        <f>IF(COUNT(S61:V61)=4,SUM(S61:V61),"")</f>
        <v/>
      </c>
      <c r="X61" s="11">
        <f>IF(SUMPRODUCT((Inputs!$B$4:$B$150=$B61)*ISNUMBER(INDEX(Inputs!$D$4:$AG$150,0,MATCH(X$2,Inputs!$D$2:$AG$2,0))))=0,"",SUMIFS(INDEX(Inputs!$D$4:$AG$150,0,MATCH(X$2,Inputs!$D$2:$AG$2,0)),Inputs!$B$4:$B$150,$B61)/1000)</f>
        <v>3558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3743</v>
      </c>
      <c r="Z61" s="11">
        <f>IF(SUMPRODUCT((Inputs!$B$4:$B$150=$B61)*ISNUMBER(INDEX(Inputs!$D$4:$AG$150,0,MATCH(Z$2,Inputs!$D$2:$AG$2,0))))=0,"",SUMIFS(INDEX(Inputs!$D$4:$AG$150,0,MATCH(Z$2,Inputs!$D$2:$AG$2,0)),Inputs!$B$4:$B$150,$B61)/1000)</f>
        <v>3839</v>
      </c>
      <c r="AA61" s="11">
        <f>IF(SUMPRODUCT((Inputs!$B$4:$B$150=$B61)*ISNUMBER(INDEX(Inputs!$D$4:$AG$150,0,MATCH(AA$2,Inputs!$D$2:$AG$2,0))))=0,"",SUMIFS(INDEX(Inputs!$D$4:$AG$150,0,MATCH(AA$2,Inputs!$D$2:$AG$2,0)),Inputs!$B$4:$B$150,$B61)/1000)</f>
        <v>3898</v>
      </c>
      <c r="AB61" s="12">
        <f>IF(COUNT(X61:AA61)=4,SUM(X61:AA61),"")</f>
        <v>15038</v>
      </c>
      <c r="AC61" s="11">
        <f>IF(SUMPRODUCT((Inputs!$B$4:$B$150=$B61)*ISNUMBER(INDEX(Inputs!$D$4:$AG$150,0,MATCH(AC$2,Inputs!$D$2:$AG$2,0))))=0,"",SUMIFS(INDEX(Inputs!$D$4:$AG$150,0,MATCH(AC$2,Inputs!$D$2:$AG$2,0)),Inputs!$B$4:$B$150,$B61)/1000)</f>
        <v>4026</v>
      </c>
      <c r="AD61" s="11">
        <f>IF(SUMPRODUCT((Inputs!$B$4:$B$150=$B61)*ISNUMBER(INDEX(Inputs!$D$4:$AG$150,0,MATCH(AD$2,Inputs!$D$2:$AG$2,0))))=0,"",SUMIFS(INDEX(Inputs!$D$4:$AG$150,0,MATCH(AD$2,Inputs!$D$2:$AG$2,0)),Inputs!$B$4:$B$150,$B61)/1000)</f>
        <v>4126</v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Nova abertura - Software support (USD)</t>
        </is>
      </c>
      <c r="D62" s="11" t="str">
        <f>IF(SUMPRODUCT((Inputs!$B$4:$B$150=$B62)*ISNUMBER(INDEX(Inputs!$D$4:$AG$150,0,MATCH(D$2,Inputs!$D$2:$AG$2,0))))=0,"",SUMIFS(INDEX(Inputs!$D$4:$AG$150,0,MATCH(D$2,Inputs!$D$2:$AG$2,0)),Inputs!$B$4:$B$150,$B62)/1000)</f>
        <v/>
      </c>
      <c r="E62" s="11" t="str">
        <f>IF(SUMPRODUCT((Inputs!$B$4:$B$150=$B62)*ISNUMBER(INDEX(Inputs!$D$4:$AG$150,0,MATCH(E$2,Inputs!$D$2:$AG$2,0))))=0,"",SUMIFS(INDEX(Inputs!$D$4:$AG$150,0,MATCH(E$2,Inputs!$D$2:$AG$2,0)),Inputs!$B$4:$B$150,$B62)/1000)</f>
        <v/>
      </c>
      <c r="F62" s="11" t="str">
        <f>IF(SUMPRODUCT((Inputs!$B$4:$B$150=$B62)*ISNUMBER(INDEX(Inputs!$D$4:$AG$150,0,MATCH(F$2,Inputs!$D$2:$AG$2,0))))=0,"",SUMIFS(INDEX(Inputs!$D$4:$AG$150,0,MATCH(F$2,Inputs!$D$2:$AG$2,0)),Inputs!$B$4:$B$150,$B62)/1000)</f>
        <v/>
      </c>
      <c r="G62" s="11" t="str">
        <f>IF(SUMPRODUCT((Inputs!$B$4:$B$150=$B62)*ISNUMBER(INDEX(Inputs!$D$4:$AG$150,0,MATCH(G$2,Inputs!$D$2:$AG$2,0))))=0,"",SUMIFS(INDEX(Inputs!$D$4:$AG$150,0,MATCH(G$2,Inputs!$D$2:$AG$2,0)),Inputs!$B$4:$B$150,$B62)/1000)</f>
        <v/>
      </c>
      <c r="H62" s="12" t="str">
        <f>IF(COUNT(D62:G62)=4,SUM(D62:G62),"")</f>
        <v/>
      </c>
      <c r="I62" s="11" t="str">
        <f>IF(SUMPRODUCT((Inputs!$B$4:$B$150=$B62)*ISNUMBER(INDEX(Inputs!$D$4:$AG$150,0,MATCH(I$2,Inputs!$D$2:$AG$2,0))))=0,"",SUMIFS(INDEX(Inputs!$D$4:$AG$150,0,MATCH(I$2,Inputs!$D$2:$AG$2,0)),Inputs!$B$4:$B$150,$B62)/1000)</f>
        <v/>
      </c>
      <c r="J62" s="11" t="str">
        <f>IF(SUMPRODUCT((Inputs!$B$4:$B$150=$B62)*ISNUMBER(INDEX(Inputs!$D$4:$AG$150,0,MATCH(J$2,Inputs!$D$2:$AG$2,0))))=0,"",SUMIFS(INDEX(Inputs!$D$4:$AG$150,0,MATCH(J$2,Inputs!$D$2:$AG$2,0)),Inputs!$B$4:$B$150,$B62)/1000)</f>
        <v/>
      </c>
      <c r="K62" s="11" t="str">
        <f>IF(SUMPRODUCT((Inputs!$B$4:$B$150=$B62)*ISNUMBER(INDEX(Inputs!$D$4:$AG$150,0,MATCH(K$2,Inputs!$D$2:$AG$2,0))))=0,"",SUMIFS(INDEX(Inputs!$D$4:$AG$150,0,MATCH(K$2,Inputs!$D$2:$AG$2,0)),Inputs!$B$4:$B$150,$B62)/1000)</f>
        <v/>
      </c>
      <c r="L62" s="11" t="str">
        <f>IF(SUMPRODUCT((Inputs!$B$4:$B$150=$B62)*ISNUMBER(INDEX(Inputs!$D$4:$AG$150,0,MATCH(L$2,Inputs!$D$2:$AG$2,0))))=0,"",SUMIFS(INDEX(Inputs!$D$4:$AG$150,0,MATCH(L$2,Inputs!$D$2:$AG$2,0)),Inputs!$B$4:$B$150,$B62)/1000)</f>
        <v/>
      </c>
      <c r="M62" s="12" t="str">
        <f>IF(COUNT(I62:L62)=4,SUM(I62:L62),"")</f>
        <v/>
      </c>
      <c r="N62" s="11" t="str">
        <f>IF(SUMPRODUCT((Inputs!$B$4:$B$150=$B62)*ISNUMBER(INDEX(Inputs!$D$4:$AG$150,0,MATCH(N$2,Inputs!$D$2:$AG$2,0))))=0,"",SUMIFS(INDEX(Inputs!$D$4:$AG$150,0,MATCH(N$2,Inputs!$D$2:$AG$2,0)),Inputs!$B$4:$B$150,$B62)/1000)</f>
        <v/>
      </c>
      <c r="O62" s="11" t="str">
        <f>IF(SUMPRODUCT((Inputs!$B$4:$B$150=$B62)*ISNUMBER(INDEX(Inputs!$D$4:$AG$150,0,MATCH(O$2,Inputs!$D$2:$AG$2,0))))=0,"",SUMIFS(INDEX(Inputs!$D$4:$AG$150,0,MATCH(O$2,Inputs!$D$2:$AG$2,0)),Inputs!$B$4:$B$150,$B62)/1000)</f>
        <v/>
      </c>
      <c r="P62" s="11" t="str">
        <f>IF(SUMPRODUCT((Inputs!$B$4:$B$150=$B62)*ISNUMBER(INDEX(Inputs!$D$4:$AG$150,0,MATCH(P$2,Inputs!$D$2:$AG$2,0))))=0,"",SUMIFS(INDEX(Inputs!$D$4:$AG$150,0,MATCH(P$2,Inputs!$D$2:$AG$2,0)),Inputs!$B$4:$B$150,$B62)/1000)</f>
        <v/>
      </c>
      <c r="Q62" s="11" t="str">
        <f>IF(SUMPRODUCT((Inputs!$B$4:$B$150=$B62)*ISNUMBER(INDEX(Inputs!$D$4:$AG$150,0,MATCH(Q$2,Inputs!$D$2:$AG$2,0))))=0,"",SUMIFS(INDEX(Inputs!$D$4:$AG$150,0,MATCH(Q$2,Inputs!$D$2:$AG$2,0)),Inputs!$B$4:$B$150,$B62)/1000)</f>
        <v/>
      </c>
      <c r="R62" s="12" t="str">
        <f>IF(COUNT(N62:Q62)=4,SUM(N62:Q62),"")</f>
        <v/>
      </c>
      <c r="S62" s="11" t="str">
        <f>IF(SUMPRODUCT((Inputs!$B$4:$B$150=$B62)*ISNUMBER(INDEX(Inputs!$D$4:$AG$150,0,MATCH(S$2,Inputs!$D$2:$AG$2,0))))=0,"",SUMIFS(INDEX(Inputs!$D$4:$AG$150,0,MATCH(S$2,Inputs!$D$2:$AG$2,0)),Inputs!$B$4:$B$150,$B62)/1000)</f>
        <v/>
      </c>
      <c r="T62" s="11" t="str">
        <f>IF(SUMPRODUCT((Inputs!$B$4:$B$150=$B62)*ISNUMBER(INDEX(Inputs!$D$4:$AG$150,0,MATCH(T$2,Inputs!$D$2:$AG$2,0))))=0,"",SUMIFS(INDEX(Inputs!$D$4:$AG$150,0,MATCH(T$2,Inputs!$D$2:$AG$2,0)),Inputs!$B$4:$B$150,$B62)/1000)</f>
        <v/>
      </c>
      <c r="U62" s="11">
        <f>IF(SUMPRODUCT((Inputs!$B$4:$B$150=$B62)*ISNUMBER(INDEX(Inputs!$D$4:$AG$150,0,MATCH(U$2,Inputs!$D$2:$AG$2,0))))=0,"",SUMIFS(INDEX(Inputs!$D$4:$AG$150,0,MATCH(U$2,Inputs!$D$2:$AG$2,0)),Inputs!$B$4:$B$150,$B62)/1000)</f>
        <v>4896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4869</v>
      </c>
      <c r="W62" s="12" t="str">
        <f>IF(COUNT(S62:V62)=4,SUM(S62:V62),"")</f>
        <v/>
      </c>
      <c r="X62" s="11">
        <f>IF(SUMPRODUCT((Inputs!$B$4:$B$150=$B62)*ISNUMBER(INDEX(Inputs!$D$4:$AG$150,0,MATCH(X$2,Inputs!$D$2:$AG$2,0))))=0,"",SUMIFS(INDEX(Inputs!$D$4:$AG$150,0,MATCH(X$2,Inputs!$D$2:$AG$2,0)),Inputs!$B$4:$B$150,$B62)/1000)</f>
        <v>4797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4961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4955</v>
      </c>
      <c r="AA62" s="11">
        <f>IF(SUMPRODUCT((Inputs!$B$4:$B$150=$B62)*ISNUMBER(INDEX(Inputs!$D$4:$AG$150,0,MATCH(AA$2,Inputs!$D$2:$AG$2,0))))=0,"",SUMIFS(INDEX(Inputs!$D$4:$AG$150,0,MATCH(AA$2,Inputs!$D$2:$AG$2,0)),Inputs!$B$4:$B$150,$B62)/1000)</f>
        <v>4938</v>
      </c>
      <c r="AB62" s="12">
        <f>IF(COUNT(X62:AA62)=4,SUM(X62:AA62),"")</f>
        <v>19651</v>
      </c>
      <c r="AC62" s="11">
        <f>IF(SUMPRODUCT((Inputs!$B$4:$B$150=$B62)*ISNUMBER(INDEX(Inputs!$D$4:$AG$150,0,MATCH(AC$2,Inputs!$D$2:$AG$2,0))))=0,"",SUMIFS(INDEX(Inputs!$D$4:$AG$150,0,MATCH(AC$2,Inputs!$D$2:$AG$2,0)),Inputs!$B$4:$B$150,$B62)/1000)</f>
        <v>4969</v>
      </c>
      <c r="AD62" s="11">
        <f>IF(SUMPRODUCT((Inputs!$B$4:$B$150=$B62)*ISNUMBER(INDEX(Inputs!$D$4:$AG$150,0,MATCH(AD$2,Inputs!$D$2:$AG$2,0))))=0,"",SUMIFS(INDEX(Inputs!$D$4:$AG$150,0,MATCH(AD$2,Inputs!$D$2:$AG$2,0)),Inputs!$B$4:$B$150,$B62)/1000)</f>
        <v>4943</v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Nova abertura - Software license (USD)</t>
        </is>
      </c>
      <c r="D63" s="11" t="str">
        <f>IF(SUMPRODUCT((Inputs!$B$4:$B$150=$B63)*ISNUMBER(INDEX(Inputs!$D$4:$AG$150,0,MATCH(D$2,Inputs!$D$2:$AG$2,0))))=0,"",SUMIFS(INDEX(Inputs!$D$4:$AG$150,0,MATCH(D$2,Inputs!$D$2:$AG$2,0)),Inputs!$B$4:$B$150,$B63)/1000)</f>
        <v/>
      </c>
      <c r="E63" s="11" t="str">
        <f>IF(SUMPRODUCT((Inputs!$B$4:$B$150=$B63)*ISNUMBER(INDEX(Inputs!$D$4:$AG$150,0,MATCH(E$2,Inputs!$D$2:$AG$2,0))))=0,"",SUMIFS(INDEX(Inputs!$D$4:$AG$150,0,MATCH(E$2,Inputs!$D$2:$AG$2,0)),Inputs!$B$4:$B$150,$B63)/1000)</f>
        <v/>
      </c>
      <c r="F63" s="11" t="str">
        <f>IF(SUMPRODUCT((Inputs!$B$4:$B$150=$B63)*ISNUMBER(INDEX(Inputs!$D$4:$AG$150,0,MATCH(F$2,Inputs!$D$2:$AG$2,0))))=0,"",SUMIFS(INDEX(Inputs!$D$4:$AG$150,0,MATCH(F$2,Inputs!$D$2:$AG$2,0)),Inputs!$B$4:$B$150,$B63)/1000)</f>
        <v/>
      </c>
      <c r="G63" s="11" t="str">
        <f>IF(SUMPRODUCT((Inputs!$B$4:$B$150=$B63)*ISNUMBER(INDEX(Inputs!$D$4:$AG$150,0,MATCH(G$2,Inputs!$D$2:$AG$2,0))))=0,"",SUMIFS(INDEX(Inputs!$D$4:$AG$150,0,MATCH(G$2,Inputs!$D$2:$AG$2,0)),Inputs!$B$4:$B$150,$B63)/1000)</f>
        <v/>
      </c>
      <c r="H63" s="12" t="str">
        <f>IF(COUNT(D63:G63)=4,SUM(D63:G63),"")</f>
        <v/>
      </c>
      <c r="I63" s="11" t="str">
        <f>IF(SUMPRODUCT((Inputs!$B$4:$B$150=$B63)*ISNUMBER(INDEX(Inputs!$D$4:$AG$150,0,MATCH(I$2,Inputs!$D$2:$AG$2,0))))=0,"",SUMIFS(INDEX(Inputs!$D$4:$AG$150,0,MATCH(I$2,Inputs!$D$2:$AG$2,0)),Inputs!$B$4:$B$150,$B63)/1000)</f>
        <v/>
      </c>
      <c r="J63" s="11" t="str">
        <f>IF(SUMPRODUCT((Inputs!$B$4:$B$150=$B63)*ISNUMBER(INDEX(Inputs!$D$4:$AG$150,0,MATCH(J$2,Inputs!$D$2:$AG$2,0))))=0,"",SUMIFS(INDEX(Inputs!$D$4:$AG$150,0,MATCH(J$2,Inputs!$D$2:$AG$2,0)),Inputs!$B$4:$B$150,$B63)/1000)</f>
        <v/>
      </c>
      <c r="K63" s="11" t="str">
        <f>IF(SUMPRODUCT((Inputs!$B$4:$B$150=$B63)*ISNUMBER(INDEX(Inputs!$D$4:$AG$150,0,MATCH(K$2,Inputs!$D$2:$AG$2,0))))=0,"",SUMIFS(INDEX(Inputs!$D$4:$AG$150,0,MATCH(K$2,Inputs!$D$2:$AG$2,0)),Inputs!$B$4:$B$150,$B63)/1000)</f>
        <v/>
      </c>
      <c r="L63" s="11" t="str">
        <f>IF(SUMPRODUCT((Inputs!$B$4:$B$150=$B63)*ISNUMBER(INDEX(Inputs!$D$4:$AG$150,0,MATCH(L$2,Inputs!$D$2:$AG$2,0))))=0,"",SUMIFS(INDEX(Inputs!$D$4:$AG$150,0,MATCH(L$2,Inputs!$D$2:$AG$2,0)),Inputs!$B$4:$B$150,$B63)/1000)</f>
        <v/>
      </c>
      <c r="M63" s="12" t="str">
        <f>IF(COUNT(I63:L63)=4,SUM(I63:L63),"")</f>
        <v/>
      </c>
      <c r="N63" s="11" t="str">
        <f>IF(SUMPRODUCT((Inputs!$B$4:$B$150=$B63)*ISNUMBER(INDEX(Inputs!$D$4:$AG$150,0,MATCH(N$2,Inputs!$D$2:$AG$2,0))))=0,"",SUMIFS(INDEX(Inputs!$D$4:$AG$150,0,MATCH(N$2,Inputs!$D$2:$AG$2,0)),Inputs!$B$4:$B$150,$B63)/1000)</f>
        <v/>
      </c>
      <c r="O63" s="11" t="str">
        <f>IF(SUMPRODUCT((Inputs!$B$4:$B$150=$B63)*ISNUMBER(INDEX(Inputs!$D$4:$AG$150,0,MATCH(O$2,Inputs!$D$2:$AG$2,0))))=0,"",SUMIFS(INDEX(Inputs!$D$4:$AG$150,0,MATCH(O$2,Inputs!$D$2:$AG$2,0)),Inputs!$B$4:$B$150,$B63)/1000)</f>
        <v/>
      </c>
      <c r="P63" s="11" t="str">
        <f>IF(SUMPRODUCT((Inputs!$B$4:$B$150=$B63)*ISNUMBER(INDEX(Inputs!$D$4:$AG$150,0,MATCH(P$2,Inputs!$D$2:$AG$2,0))))=0,"",SUMIFS(INDEX(Inputs!$D$4:$AG$150,0,MATCH(P$2,Inputs!$D$2:$AG$2,0)),Inputs!$B$4:$B$150,$B63)/1000)</f>
        <v/>
      </c>
      <c r="Q63" s="11" t="str">
        <f>IF(SUMPRODUCT((Inputs!$B$4:$B$150=$B63)*ISNUMBER(INDEX(Inputs!$D$4:$AG$150,0,MATCH(Q$2,Inputs!$D$2:$AG$2,0))))=0,"",SUMIFS(INDEX(Inputs!$D$4:$AG$150,0,MATCH(Q$2,Inputs!$D$2:$AG$2,0)),Inputs!$B$4:$B$150,$B63)/1000)</f>
        <v/>
      </c>
      <c r="R63" s="12" t="str">
        <f>IF(COUNT(N63:Q63)=4,SUM(N63:Q63),"")</f>
        <v/>
      </c>
      <c r="S63" s="11" t="str">
        <f>IF(SUMPRODUCT((Inputs!$B$4:$B$150=$B63)*ISNUMBER(INDEX(Inputs!$D$4:$AG$150,0,MATCH(S$2,Inputs!$D$2:$AG$2,0))))=0,"",SUMIFS(INDEX(Inputs!$D$4:$AG$150,0,MATCH(S$2,Inputs!$D$2:$AG$2,0)),Inputs!$B$4:$B$150,$B63)/1000)</f>
        <v/>
      </c>
      <c r="T63" s="11" t="str">
        <f>IF(SUMPRODUCT((Inputs!$B$4:$B$150=$B63)*ISNUMBER(INDEX(Inputs!$D$4:$AG$150,0,MATCH(T$2,Inputs!$D$2:$AG$2,0))))=0,"",SUMIFS(INDEX(Inputs!$D$4:$AG$150,0,MATCH(T$2,Inputs!$D$2:$AG$2,0)),Inputs!$B$4:$B$150,$B63)/1000)</f>
        <v/>
      </c>
      <c r="U63" s="11">
        <f>IF(SUMPRODUCT((Inputs!$B$4:$B$150=$B63)*ISNUMBER(INDEX(Inputs!$D$4:$AG$150,0,MATCH(U$2,Inputs!$D$2:$AG$2,0))))=0,"",SUMIFS(INDEX(Inputs!$D$4:$AG$150,0,MATCH(U$2,Inputs!$D$2:$AG$2,0)),Inputs!$B$4:$B$150,$B63)/1000)</f>
        <v>870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1195</v>
      </c>
      <c r="W63" s="12" t="str">
        <f>IF(COUNT(S63:V63)=4,SUM(S63:V63),"")</f>
        <v/>
      </c>
      <c r="X63" s="11">
        <f>IF(SUMPRODUCT((Inputs!$B$4:$B$150=$B63)*ISNUMBER(INDEX(Inputs!$D$4:$AG$150,0,MATCH(X$2,Inputs!$D$2:$AG$2,0))))=0,"",SUMIFS(INDEX(Inputs!$D$4:$AG$150,0,MATCH(X$2,Inputs!$D$2:$AG$2,0)),Inputs!$B$4:$B$150,$B63)/1000)</f>
        <v>1129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2007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766</v>
      </c>
      <c r="AA63" s="11">
        <f>IF(SUMPRODUCT((Inputs!$B$4:$B$150=$B63)*ISNUMBER(INDEX(Inputs!$D$4:$AG$150,0,MATCH(AA$2,Inputs!$D$2:$AG$2,0))))=0,"",SUMIFS(INDEX(Inputs!$D$4:$AG$150,0,MATCH(AA$2,Inputs!$D$2:$AG$2,0)),Inputs!$B$4:$B$150,$B63)/1000)</f>
        <v>939</v>
      </c>
      <c r="AB63" s="12">
        <f>IF(COUNT(X63:AA63)=4,SUM(X63:AA63),"")</f>
        <v>4841</v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1150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1881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Abertura antiga - Cloud services &amp; license support (USD)</t>
        </is>
      </c>
      <c r="D64" s="11">
        <f>IF(SUMPRODUCT((Inputs!$B$4:$B$150=$B64)*ISNUMBER(INDEX(Inputs!$D$4:$AG$150,0,MATCH(D$2,Inputs!$D$2:$AG$2,0))))=0,"",SUMIFS(INDEX(Inputs!$D$4:$AG$150,0,MATCH(D$2,Inputs!$D$2:$AG$2,0)),Inputs!$B$4:$B$150,$B64)/1000)</f>
        <v>7252</v>
      </c>
      <c r="E64" s="11">
        <f>IF(SUMPRODUCT((Inputs!$B$4:$B$150=$B64)*ISNUMBER(INDEX(Inputs!$D$4:$AG$150,0,MATCH(E$2,Inputs!$D$2:$AG$2,0))))=0,"",SUMIFS(INDEX(Inputs!$D$4:$AG$150,0,MATCH(E$2,Inputs!$D$2:$AG$2,0)),Inputs!$B$4:$B$150,$B64)/1000)</f>
        <v>7389</v>
      </c>
      <c r="F64" s="11">
        <f>IF(SUMPRODUCT((Inputs!$B$4:$B$150=$B64)*ISNUMBER(INDEX(Inputs!$D$4:$AG$150,0,MATCH(F$2,Inputs!$D$2:$AG$2,0))))=0,"",SUMIFS(INDEX(Inputs!$D$4:$AG$150,0,MATCH(F$2,Inputs!$D$2:$AG$2,0)),Inputs!$B$4:$B$150,$B64)/1000)</f>
        <v>7371</v>
      </c>
      <c r="G64" s="11">
        <f>IF(SUMPRODUCT((Inputs!$B$4:$B$150=$B64)*ISNUMBER(INDEX(Inputs!$D$4:$AG$150,0,MATCH(G$2,Inputs!$D$2:$AG$2,0))))=0,"",SUMIFS(INDEX(Inputs!$D$4:$AG$150,0,MATCH(G$2,Inputs!$D$2:$AG$2,0)),Inputs!$B$4:$B$150,$B64)/1000)</f>
        <v>7554</v>
      </c>
      <c r="H64" s="12">
        <f>IF(COUNT(D64:G64)=4,SUM(D64:G64),"")</f>
        <v>29566</v>
      </c>
      <c r="I64" s="11">
        <f>IF(SUMPRODUCT((Inputs!$B$4:$B$150=$B64)*ISNUMBER(INDEX(Inputs!$D$4:$AG$150,0,MATCH(I$2,Inputs!$D$2:$AG$2,0))))=0,"",SUMIFS(INDEX(Inputs!$D$4:$AG$150,0,MATCH(I$2,Inputs!$D$2:$AG$2,0)),Inputs!$B$4:$B$150,$B64)/1000)</f>
        <v>7637</v>
      </c>
      <c r="J64" s="11">
        <f>IF(SUMPRODUCT((Inputs!$B$4:$B$150=$B64)*ISNUMBER(INDEX(Inputs!$D$4:$AG$150,0,MATCH(J$2,Inputs!$D$2:$AG$2,0))))=0,"",SUMIFS(INDEX(Inputs!$D$4:$AG$150,0,MATCH(J$2,Inputs!$D$2:$AG$2,0)),Inputs!$B$4:$B$150,$B64)/1000)</f>
        <v>7612</v>
      </c>
      <c r="K64" s="11">
        <f>IF(SUMPRODUCT((Inputs!$B$4:$B$150=$B64)*ISNUMBER(INDEX(Inputs!$D$4:$AG$150,0,MATCH(K$2,Inputs!$D$2:$AG$2,0))))=0,"",SUMIFS(INDEX(Inputs!$D$4:$AG$150,0,MATCH(K$2,Inputs!$D$2:$AG$2,0)),Inputs!$B$4:$B$150,$B64)/1000)</f>
        <v>8417</v>
      </c>
      <c r="L64" s="11">
        <f>IF(SUMPRODUCT((Inputs!$B$4:$B$150=$B64)*ISNUMBER(INDEX(Inputs!$D$4:$AG$150,0,MATCH(L$2,Inputs!$D$2:$AG$2,0))))=0,"",SUMIFS(INDEX(Inputs!$D$4:$AG$150,0,MATCH(L$2,Inputs!$D$2:$AG$2,0)),Inputs!$B$4:$B$150,$B64)/1000)</f>
        <v>8598</v>
      </c>
      <c r="M64" s="12">
        <f>IF(COUNT(I64:L64)=4,SUM(I64:L64),"")</f>
        <v>32264</v>
      </c>
      <c r="N64" s="11">
        <f>IF(SUMPRODUCT((Inputs!$B$4:$B$150=$B64)*ISNUMBER(INDEX(Inputs!$D$4:$AG$150,0,MATCH(N$2,Inputs!$D$2:$AG$2,0))))=0,"",SUMIFS(INDEX(Inputs!$D$4:$AG$150,0,MATCH(N$2,Inputs!$D$2:$AG$2,0)),Inputs!$B$4:$B$150,$B64)/1000)</f>
        <v>8923</v>
      </c>
      <c r="O64" s="11">
        <f>IF(SUMPRODUCT((Inputs!$B$4:$B$150=$B64)*ISNUMBER(INDEX(Inputs!$D$4:$AG$150,0,MATCH(O$2,Inputs!$D$2:$AG$2,0))))=0,"",SUMIFS(INDEX(Inputs!$D$4:$AG$150,0,MATCH(O$2,Inputs!$D$2:$AG$2,0)),Inputs!$B$4:$B$150,$B64)/1000)</f>
        <v>9369</v>
      </c>
      <c r="P64" s="11">
        <f>IF(SUMPRODUCT((Inputs!$B$4:$B$150=$B64)*ISNUMBER(INDEX(Inputs!$D$4:$AG$150,0,MATCH(P$2,Inputs!$D$2:$AG$2,0))))=0,"",SUMIFS(INDEX(Inputs!$D$4:$AG$150,0,MATCH(P$2,Inputs!$D$2:$AG$2,0)),Inputs!$B$4:$B$150,$B64)/1000)</f>
        <v>9547</v>
      </c>
      <c r="Q64" s="11">
        <f>IF(SUMPRODUCT((Inputs!$B$4:$B$150=$B64)*ISNUMBER(INDEX(Inputs!$D$4:$AG$150,0,MATCH(Q$2,Inputs!$D$2:$AG$2,0))))=0,"",SUMIFS(INDEX(Inputs!$D$4:$AG$150,0,MATCH(Q$2,Inputs!$D$2:$AG$2,0)),Inputs!$B$4:$B$150,$B64)/1000)</f>
        <v>9639</v>
      </c>
      <c r="R64" s="12">
        <f>IF(COUNT(N64:Q64)=4,SUM(N64:Q64),"")</f>
        <v>37478</v>
      </c>
      <c r="S64" s="11">
        <f>IF(SUMPRODUCT((Inputs!$B$4:$B$150=$B64)*ISNUMBER(INDEX(Inputs!$D$4:$AG$150,0,MATCH(S$2,Inputs!$D$2:$AG$2,0))))=0,"",SUMIFS(INDEX(Inputs!$D$4:$AG$150,0,MATCH(S$2,Inputs!$D$2:$AG$2,0)),Inputs!$B$4:$B$150,$B64)/1000)</f>
        <v>9963</v>
      </c>
      <c r="T64" s="11">
        <f>IF(SUMPRODUCT((Inputs!$B$4:$B$150=$B64)*ISNUMBER(INDEX(Inputs!$D$4:$AG$150,0,MATCH(T$2,Inputs!$D$2:$AG$2,0))))=0,"",SUMIFS(INDEX(Inputs!$D$4:$AG$150,0,MATCH(T$2,Inputs!$D$2:$AG$2,0)),Inputs!$B$4:$B$150,$B64)/1000)</f>
        <v>10234</v>
      </c>
      <c r="U64" s="11">
        <f>IF(SUMPRODUCT((Inputs!$B$4:$B$150=$B64)*ISNUMBER(INDEX(Inputs!$D$4:$AG$150,0,MATCH(U$2,Inputs!$D$2:$AG$2,0))))=0,"",SUMIFS(INDEX(Inputs!$D$4:$AG$150,0,MATCH(U$2,Inputs!$D$2:$AG$2,0)),Inputs!$B$4:$B$150,$B64)/1000)</f>
        <v>10519</v>
      </c>
      <c r="V64" s="11">
        <f>IF(SUMPRODUCT((Inputs!$B$4:$B$150=$B64)*ISNUMBER(INDEX(Inputs!$D$4:$AG$150,0,MATCH(V$2,Inputs!$D$2:$AG$2,0))))=0,"",SUMIFS(INDEX(Inputs!$D$4:$AG$150,0,MATCH(V$2,Inputs!$D$2:$AG$2,0)),Inputs!$B$4:$B$150,$B64)/1000)</f>
        <v>10806</v>
      </c>
      <c r="W64" s="12">
        <f>IF(COUNT(S64:V64)=4,SUM(S64:V64),"")</f>
        <v>41522</v>
      </c>
      <c r="X64" s="11">
        <f>IF(SUMPRODUCT((Inputs!$B$4:$B$150=$B64)*ISNUMBER(INDEX(Inputs!$D$4:$AG$150,0,MATCH(X$2,Inputs!$D$2:$AG$2,0))))=0,"",SUMIFS(INDEX(Inputs!$D$4:$AG$150,0,MATCH(X$2,Inputs!$D$2:$AG$2,0)),Inputs!$B$4:$B$150,$B64)/1000)</f>
        <v>11007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11698</v>
      </c>
      <c r="Z64" s="11" t="str">
        <f>IF(SUMPRODUCT((Inputs!$B$4:$B$150=$B64)*ISNUMBER(INDEX(Inputs!$D$4:$AG$150,0,MATCH(Z$2,Inputs!$D$2:$AG$2,0))))=0,"",SUMIFS(INDEX(Inputs!$D$4:$AG$150,0,MATCH(Z$2,Inputs!$D$2:$AG$2,0)),Inputs!$B$4:$B$150,$B64)/1000)</f>
        <v/>
      </c>
      <c r="AA64" s="11" t="str">
        <f>IF(SUMPRODUCT((Inputs!$B$4:$B$150=$B64)*ISNUMBER(INDEX(Inputs!$D$4:$AG$150,0,MATCH(AA$2,Inputs!$D$2:$AG$2,0))))=0,"",SUMIFS(INDEX(Inputs!$D$4:$AG$150,0,MATCH(AA$2,Inputs!$D$2:$AG$2,0)),Inputs!$B$4:$B$150,$B64)/1000)</f>
        <v/>
      </c>
      <c r="AB64" s="12" t="str">
        <f>IF(COUNT(X64:AA64)=4,SUM(X64:AA64),"")</f>
        <v/>
      </c>
      <c r="AC64" s="11" t="str">
        <f>IF(SUMPRODUCT((Inputs!$B$4:$B$150=$B64)*ISNUMBER(INDEX(Inputs!$D$4:$AG$150,0,MATCH(AC$2,Inputs!$D$2:$AG$2,0))))=0,"",SUMIFS(INDEX(Inputs!$D$4:$AG$150,0,MATCH(AC$2,Inputs!$D$2:$AG$2,0)),Inputs!$B$4:$B$150,$B64)/1000)</f>
        <v/>
      </c>
      <c r="AD64" s="11" t="str">
        <f>IF(SUMPRODUCT((Inputs!$B$4:$B$150=$B64)*ISNUMBER(INDEX(Inputs!$D$4:$AG$150,0,MATCH(AD$2,Inputs!$D$2:$AG$2,0))))=0,"",SUMIFS(INDEX(Inputs!$D$4:$AG$150,0,MATCH(AD$2,Inputs!$D$2:$AG$2,0)),Inputs!$B$4:$B$150,$B64)/1000)</f>
        <v/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Abertura antiga - Infrastructure cloud services &amp; license support (USD)</t>
        </is>
      </c>
      <c r="D65" s="11">
        <f>IF(SUMPRODUCT((Inputs!$B$4:$B$150=$B65)*ISNUMBER(INDEX(Inputs!$D$4:$AG$150,0,MATCH(D$2,Inputs!$D$2:$AG$2,0))))=0,"",SUMIFS(INDEX(Inputs!$D$4:$AG$150,0,MATCH(D$2,Inputs!$D$2:$AG$2,0)),Inputs!$B$4:$B$150,$B65)/1000)</f>
        <v>4300</v>
      </c>
      <c r="E65" s="11">
        <f>IF(SUMPRODUCT((Inputs!$B$4:$B$150=$B65)*ISNUMBER(INDEX(Inputs!$D$4:$AG$150,0,MATCH(E$2,Inputs!$D$2:$AG$2,0))))=0,"",SUMIFS(INDEX(Inputs!$D$4:$AG$150,0,MATCH(E$2,Inputs!$D$2:$AG$2,0)),Inputs!$B$4:$B$150,$B65)/1000)</f>
        <v>4346</v>
      </c>
      <c r="F65" s="11">
        <f>IF(SUMPRODUCT((Inputs!$B$4:$B$150=$B65)*ISNUMBER(INDEX(Inputs!$D$4:$AG$150,0,MATCH(F$2,Inputs!$D$2:$AG$2,0))))=0,"",SUMIFS(INDEX(Inputs!$D$4:$AG$150,0,MATCH(F$2,Inputs!$D$2:$AG$2,0)),Inputs!$B$4:$B$150,$B65)/1000)</f>
        <v>4330</v>
      </c>
      <c r="G65" s="11">
        <f>IF(SUMPRODUCT((Inputs!$B$4:$B$150=$B65)*ISNUMBER(INDEX(Inputs!$D$4:$AG$150,0,MATCH(G$2,Inputs!$D$2:$AG$2,0))))=0,"",SUMIFS(INDEX(Inputs!$D$4:$AG$150,0,MATCH(G$2,Inputs!$D$2:$AG$2,0)),Inputs!$B$4:$B$150,$B65)/1000)</f>
        <v>4405</v>
      </c>
      <c r="H65" s="12">
        <f>IF(COUNT(D65:G65)=4,SUM(D65:G65),"")</f>
        <v>17381</v>
      </c>
      <c r="I65" s="11">
        <f>IF(SUMPRODUCT((Inputs!$B$4:$B$150=$B65)*ISNUMBER(INDEX(Inputs!$D$4:$AG$150,0,MATCH(I$2,Inputs!$D$2:$AG$2,0))))=0,"",SUMIFS(INDEX(Inputs!$D$4:$AG$150,0,MATCH(I$2,Inputs!$D$2:$AG$2,0)),Inputs!$B$4:$B$150,$B65)/1000)</f>
        <v>4450</v>
      </c>
      <c r="J65" s="11">
        <f>IF(SUMPRODUCT((Inputs!$B$4:$B$150=$B65)*ISNUMBER(INDEX(Inputs!$D$4:$AG$150,0,MATCH(J$2,Inputs!$D$2:$AG$2,0))))=0,"",SUMIFS(INDEX(Inputs!$D$4:$AG$150,0,MATCH(J$2,Inputs!$D$2:$AG$2,0)),Inputs!$B$4:$B$150,$B65)/1000)</f>
        <v>4377</v>
      </c>
      <c r="K65" s="11">
        <f>IF(SUMPRODUCT((Inputs!$B$4:$B$150=$B65)*ISNUMBER(INDEX(Inputs!$D$4:$AG$150,0,MATCH(K$2,Inputs!$D$2:$AG$2,0))))=0,"",SUMIFS(INDEX(Inputs!$D$4:$AG$150,0,MATCH(K$2,Inputs!$D$2:$AG$2,0)),Inputs!$B$4:$B$150,$B65)/1000)</f>
        <v>4401</v>
      </c>
      <c r="L65" s="11">
        <f>IF(SUMPRODUCT((Inputs!$B$4:$B$150=$B65)*ISNUMBER(INDEX(Inputs!$D$4:$AG$150,0,MATCH(L$2,Inputs!$D$2:$AG$2,0))))=0,"",SUMIFS(INDEX(Inputs!$D$4:$AG$150,0,MATCH(L$2,Inputs!$D$2:$AG$2,0)),Inputs!$B$4:$B$150,$B65)/1000)</f>
        <v>4518</v>
      </c>
      <c r="M65" s="12">
        <f>IF(COUNT(I65:L65)=4,SUM(I65:L65),"")</f>
        <v>17746</v>
      </c>
      <c r="N65" s="11">
        <f>IF(SUMPRODUCT((Inputs!$B$4:$B$150=$B65)*ISNUMBER(INDEX(Inputs!$D$4:$AG$150,0,MATCH(N$2,Inputs!$D$2:$AG$2,0))))=0,"",SUMIFS(INDEX(Inputs!$D$4:$AG$150,0,MATCH(N$2,Inputs!$D$2:$AG$2,0)),Inputs!$B$4:$B$150,$B65)/1000)</f>
        <v>4757</v>
      </c>
      <c r="O65" s="11">
        <f>IF(SUMPRODUCT((Inputs!$B$4:$B$150=$B65)*ISNUMBER(INDEX(Inputs!$D$4:$AG$150,0,MATCH(O$2,Inputs!$D$2:$AG$2,0))))=0,"",SUMIFS(INDEX(Inputs!$D$4:$AG$150,0,MATCH(O$2,Inputs!$D$2:$AG$2,0)),Inputs!$B$4:$B$150,$B65)/1000)</f>
        <v>4980</v>
      </c>
      <c r="P65" s="11">
        <f>IF(SUMPRODUCT((Inputs!$B$4:$B$150=$B65)*ISNUMBER(INDEX(Inputs!$D$4:$AG$150,0,MATCH(P$2,Inputs!$D$2:$AG$2,0))))=0,"",SUMIFS(INDEX(Inputs!$D$4:$AG$150,0,MATCH(P$2,Inputs!$D$2:$AG$2,0)),Inputs!$B$4:$B$150,$B65)/1000)</f>
        <v>5076</v>
      </c>
      <c r="Q65" s="11">
        <f>IF(SUMPRODUCT((Inputs!$B$4:$B$150=$B65)*ISNUMBER(INDEX(Inputs!$D$4:$AG$150,0,MATCH(Q$2,Inputs!$D$2:$AG$2,0))))=0,"",SUMIFS(INDEX(Inputs!$D$4:$AG$150,0,MATCH(Q$2,Inputs!$D$2:$AG$2,0)),Inputs!$B$4:$B$150,$B65)/1000)</f>
        <v>5165</v>
      </c>
      <c r="R65" s="12">
        <f>IF(COUNT(N65:Q65)=4,SUM(N65:Q65),"")</f>
        <v>19978</v>
      </c>
      <c r="S65" s="11">
        <f>IF(SUMPRODUCT((Inputs!$B$4:$B$150=$B65)*ISNUMBER(INDEX(Inputs!$D$4:$AG$150,0,MATCH(S$2,Inputs!$D$2:$AG$2,0))))=0,"",SUMIFS(INDEX(Inputs!$D$4:$AG$150,0,MATCH(S$2,Inputs!$D$2:$AG$2,0)),Inputs!$B$4:$B$150,$B65)/1000)</f>
        <v>5379</v>
      </c>
      <c r="T65" s="11">
        <f>IF(SUMPRODUCT((Inputs!$B$4:$B$150=$B65)*ISNUMBER(INDEX(Inputs!$D$4:$AG$150,0,MATCH(T$2,Inputs!$D$2:$AG$2,0))))=0,"",SUMIFS(INDEX(Inputs!$D$4:$AG$150,0,MATCH(T$2,Inputs!$D$2:$AG$2,0)),Inputs!$B$4:$B$150,$B65)/1000)</f>
        <v>5591</v>
      </c>
      <c r="U65" s="11">
        <f>IF(SUMPRODUCT((Inputs!$B$4:$B$150=$B65)*ISNUMBER(INDEX(Inputs!$D$4:$AG$150,0,MATCH(U$2,Inputs!$D$2:$AG$2,0))))=0,"",SUMIFS(INDEX(Inputs!$D$4:$AG$150,0,MATCH(U$2,Inputs!$D$2:$AG$2,0)),Inputs!$B$4:$B$150,$B65)/1000)</f>
        <v>5750</v>
      </c>
      <c r="V65" s="11">
        <f>IF(SUMPRODUCT((Inputs!$B$4:$B$150=$B65)*ISNUMBER(INDEX(Inputs!$D$4:$AG$150,0,MATCH(V$2,Inputs!$D$2:$AG$2,0))))=0,"",SUMIFS(INDEX(Inputs!$D$4:$AG$150,0,MATCH(V$2,Inputs!$D$2:$AG$2,0)),Inputs!$B$4:$B$150,$B65)/1000)</f>
        <v>6022</v>
      </c>
      <c r="W65" s="12">
        <f>IF(COUNT(S65:V65)=4,SUM(S65:V65),"")</f>
        <v>22742</v>
      </c>
      <c r="X65" s="11">
        <f>IF(SUMPRODUCT((Inputs!$B$4:$B$150=$B65)*ISNUMBER(INDEX(Inputs!$D$4:$AG$150,0,MATCH(X$2,Inputs!$D$2:$AG$2,0))))=0,"",SUMIFS(INDEX(Inputs!$D$4:$AG$150,0,MATCH(X$2,Inputs!$D$2:$AG$2,0)),Inputs!$B$4:$B$150,$B65)/1000)</f>
        <v>6196</v>
      </c>
      <c r="Y65" s="11">
        <f>IF(SUMPRODUCT((Inputs!$B$4:$B$150=$B65)*ISNUMBER(INDEX(Inputs!$D$4:$AG$150,0,MATCH(Y$2,Inputs!$D$2:$AG$2,0))))=0,"",SUMIFS(INDEX(Inputs!$D$4:$AG$150,0,MATCH(Y$2,Inputs!$D$2:$AG$2,0)),Inputs!$B$4:$B$150,$B65)/1000)</f>
        <v>6678</v>
      </c>
      <c r="Z65" s="11" t="str">
        <f>IF(SUMPRODUCT((Inputs!$B$4:$B$150=$B65)*ISNUMBER(INDEX(Inputs!$D$4:$AG$150,0,MATCH(Z$2,Inputs!$D$2:$AG$2,0))))=0,"",SUMIFS(INDEX(Inputs!$D$4:$AG$150,0,MATCH(Z$2,Inputs!$D$2:$AG$2,0)),Inputs!$B$4:$B$150,$B65)/1000)</f>
        <v/>
      </c>
      <c r="AA65" s="11" t="str">
        <f>IF(SUMPRODUCT((Inputs!$B$4:$B$150=$B65)*ISNUMBER(INDEX(Inputs!$D$4:$AG$150,0,MATCH(AA$2,Inputs!$D$2:$AG$2,0))))=0,"",SUMIFS(INDEX(Inputs!$D$4:$AG$150,0,MATCH(AA$2,Inputs!$D$2:$AG$2,0)),Inputs!$B$4:$B$150,$B65)/1000)</f>
        <v/>
      </c>
      <c r="AB65" s="12" t="str">
        <f>IF(COUNT(X65:AA65)=4,SUM(X65:AA65),"")</f>
        <v/>
      </c>
      <c r="AC65" s="11" t="str">
        <f>IF(SUMPRODUCT((Inputs!$B$4:$B$150=$B65)*ISNUMBER(INDEX(Inputs!$D$4:$AG$150,0,MATCH(AC$2,Inputs!$D$2:$AG$2,0))))=0,"",SUMIFS(INDEX(Inputs!$D$4:$AG$150,0,MATCH(AC$2,Inputs!$D$2:$AG$2,0)),Inputs!$B$4:$B$150,$B65)/1000)</f>
        <v/>
      </c>
      <c r="AD65" s="11" t="str">
        <f>IF(SUMPRODUCT((Inputs!$B$4:$B$150=$B65)*ISNUMBER(INDEX(Inputs!$D$4:$AG$150,0,MATCH(AD$2,Inputs!$D$2:$AG$2,0))))=0,"",SUMIFS(INDEX(Inputs!$D$4:$AG$150,0,MATCH(AD$2,Inputs!$D$2:$AG$2,0)),Inputs!$B$4:$B$150,$B65)/1000)</f>
        <v/>
      </c>
      <c r="AE65" s="11" t="str">
        <f>IF(SUMPRODUCT((Inputs!$B$4:$B$150=$B65)*ISNUMBER(INDEX(Inputs!$D$4:$AG$150,0,MATCH(AE$2,Inputs!$D$2:$AG$2,0))))=0,"",SUMIFS(INDEX(Inputs!$D$4:$AG$150,0,MATCH(AE$2,Inputs!$D$2:$AG$2,0)),Inputs!$B$4:$B$150,$B65)/1000)</f>
        <v/>
      </c>
      <c r="AF65" s="11" t="str">
        <f>IF(SUMPRODUCT((Inputs!$B$4:$B$150=$B65)*ISNUMBER(INDEX(Inputs!$D$4:$AG$150,0,MATCH(AF$2,Inputs!$D$2:$AG$2,0))))=0,"",SUMIFS(INDEX(Inputs!$D$4:$AG$150,0,MATCH(AF$2,Inputs!$D$2:$AG$2,0)),Inputs!$B$4:$B$150,$B65)/1000)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Abertura antiga - Applications cloud services &amp; license support (USD)</t>
        </is>
      </c>
      <c r="D66" s="11">
        <f>IF(SUMPRODUCT((Inputs!$B$4:$B$150=$B66)*ISNUMBER(INDEX(Inputs!$D$4:$AG$150,0,MATCH(D$2,Inputs!$D$2:$AG$2,0))))=0,"",SUMIFS(INDEX(Inputs!$D$4:$AG$150,0,MATCH(D$2,Inputs!$D$2:$AG$2,0)),Inputs!$B$4:$B$150,$B66)/1000)</f>
        <v>2952</v>
      </c>
      <c r="E66" s="11">
        <f>IF(SUMPRODUCT((Inputs!$B$4:$B$150=$B66)*ISNUMBER(INDEX(Inputs!$D$4:$AG$150,0,MATCH(E$2,Inputs!$D$2:$AG$2,0))))=0,"",SUMIFS(INDEX(Inputs!$D$4:$AG$150,0,MATCH(E$2,Inputs!$D$2:$AG$2,0)),Inputs!$B$4:$B$150,$B66)/1000)</f>
        <v>3043</v>
      </c>
      <c r="F66" s="11">
        <f>IF(SUMPRODUCT((Inputs!$B$4:$B$150=$B66)*ISNUMBER(INDEX(Inputs!$D$4:$AG$150,0,MATCH(F$2,Inputs!$D$2:$AG$2,0))))=0,"",SUMIFS(INDEX(Inputs!$D$4:$AG$150,0,MATCH(F$2,Inputs!$D$2:$AG$2,0)),Inputs!$B$4:$B$150,$B66)/1000)</f>
        <v>3041</v>
      </c>
      <c r="G66" s="11">
        <f>IF(SUMPRODUCT((Inputs!$B$4:$B$150=$B66)*ISNUMBER(INDEX(Inputs!$D$4:$AG$150,0,MATCH(G$2,Inputs!$D$2:$AG$2,0))))=0,"",SUMIFS(INDEX(Inputs!$D$4:$AG$150,0,MATCH(G$2,Inputs!$D$2:$AG$2,0)),Inputs!$B$4:$B$150,$B66)/1000)</f>
        <v>3149</v>
      </c>
      <c r="H66" s="12">
        <f>IF(COUNT(D66:G66)=4,SUM(D66:G66),"")</f>
        <v>12185</v>
      </c>
      <c r="I66" s="11">
        <f>IF(SUMPRODUCT((Inputs!$B$4:$B$150=$B66)*ISNUMBER(INDEX(Inputs!$D$4:$AG$150,0,MATCH(I$2,Inputs!$D$2:$AG$2,0))))=0,"",SUMIFS(INDEX(Inputs!$D$4:$AG$150,0,MATCH(I$2,Inputs!$D$2:$AG$2,0)),Inputs!$B$4:$B$150,$B66)/1000)</f>
        <v>3187</v>
      </c>
      <c r="J66" s="11">
        <f>IF(SUMPRODUCT((Inputs!$B$4:$B$150=$B66)*ISNUMBER(INDEX(Inputs!$D$4:$AG$150,0,MATCH(J$2,Inputs!$D$2:$AG$2,0))))=0,"",SUMIFS(INDEX(Inputs!$D$4:$AG$150,0,MATCH(J$2,Inputs!$D$2:$AG$2,0)),Inputs!$B$4:$B$150,$B66)/1000)</f>
        <v>3235</v>
      </c>
      <c r="K66" s="11">
        <f>IF(SUMPRODUCT((Inputs!$B$4:$B$150=$B66)*ISNUMBER(INDEX(Inputs!$D$4:$AG$150,0,MATCH(K$2,Inputs!$D$2:$AG$2,0))))=0,"",SUMIFS(INDEX(Inputs!$D$4:$AG$150,0,MATCH(K$2,Inputs!$D$2:$AG$2,0)),Inputs!$B$4:$B$150,$B66)/1000)</f>
        <v>4016</v>
      </c>
      <c r="L66" s="11">
        <f>IF(SUMPRODUCT((Inputs!$B$4:$B$150=$B66)*ISNUMBER(INDEX(Inputs!$D$4:$AG$150,0,MATCH(L$2,Inputs!$D$2:$AG$2,0))))=0,"",SUMIFS(INDEX(Inputs!$D$4:$AG$150,0,MATCH(L$2,Inputs!$D$2:$AG$2,0)),Inputs!$B$4:$B$150,$B66)/1000)</f>
        <v>4080</v>
      </c>
      <c r="M66" s="12">
        <f>IF(COUNT(I66:L66)=4,SUM(I66:L66),"")</f>
        <v>14518</v>
      </c>
      <c r="N66" s="11">
        <f>IF(SUMPRODUCT((Inputs!$B$4:$B$150=$B66)*ISNUMBER(INDEX(Inputs!$D$4:$AG$150,0,MATCH(N$2,Inputs!$D$2:$AG$2,0))))=0,"",SUMIFS(INDEX(Inputs!$D$4:$AG$150,0,MATCH(N$2,Inputs!$D$2:$AG$2,0)),Inputs!$B$4:$B$150,$B66)/1000)</f>
        <v>4166</v>
      </c>
      <c r="O66" s="11">
        <f>IF(SUMPRODUCT((Inputs!$B$4:$B$150=$B66)*ISNUMBER(INDEX(Inputs!$D$4:$AG$150,0,MATCH(O$2,Inputs!$D$2:$AG$2,0))))=0,"",SUMIFS(INDEX(Inputs!$D$4:$AG$150,0,MATCH(O$2,Inputs!$D$2:$AG$2,0)),Inputs!$B$4:$B$150,$B66)/1000)</f>
        <v>4389</v>
      </c>
      <c r="P66" s="11">
        <f>IF(SUMPRODUCT((Inputs!$B$4:$B$150=$B66)*ISNUMBER(INDEX(Inputs!$D$4:$AG$150,0,MATCH(P$2,Inputs!$D$2:$AG$2,0))))=0,"",SUMIFS(INDEX(Inputs!$D$4:$AG$150,0,MATCH(P$2,Inputs!$D$2:$AG$2,0)),Inputs!$B$4:$B$150,$B66)/1000)</f>
        <v>4471</v>
      </c>
      <c r="Q66" s="11">
        <f>IF(SUMPRODUCT((Inputs!$B$4:$B$150=$B66)*ISNUMBER(INDEX(Inputs!$D$4:$AG$150,0,MATCH(Q$2,Inputs!$D$2:$AG$2,0))))=0,"",SUMIFS(INDEX(Inputs!$D$4:$AG$150,0,MATCH(Q$2,Inputs!$D$2:$AG$2,0)),Inputs!$B$4:$B$150,$B66)/1000)</f>
        <v>4474</v>
      </c>
      <c r="R66" s="12">
        <f>IF(COUNT(N66:Q66)=4,SUM(N66:Q66),"")</f>
        <v>17500</v>
      </c>
      <c r="S66" s="11">
        <f>IF(SUMPRODUCT((Inputs!$B$4:$B$150=$B66)*ISNUMBER(INDEX(Inputs!$D$4:$AG$150,0,MATCH(S$2,Inputs!$D$2:$AG$2,0))))=0,"",SUMIFS(INDEX(Inputs!$D$4:$AG$150,0,MATCH(S$2,Inputs!$D$2:$AG$2,0)),Inputs!$B$4:$B$150,$B66)/1000)</f>
        <v>4584</v>
      </c>
      <c r="T66" s="11">
        <f>IF(SUMPRODUCT((Inputs!$B$4:$B$150=$B66)*ISNUMBER(INDEX(Inputs!$D$4:$AG$150,0,MATCH(T$2,Inputs!$D$2:$AG$2,0))))=0,"",SUMIFS(INDEX(Inputs!$D$4:$AG$150,0,MATCH(T$2,Inputs!$D$2:$AG$2,0)),Inputs!$B$4:$B$150,$B66)/1000)</f>
        <v>4643</v>
      </c>
      <c r="U66" s="11">
        <f>IF(SUMPRODUCT((Inputs!$B$4:$B$150=$B66)*ISNUMBER(INDEX(Inputs!$D$4:$AG$150,0,MATCH(U$2,Inputs!$D$2:$AG$2,0))))=0,"",SUMIFS(INDEX(Inputs!$D$4:$AG$150,0,MATCH(U$2,Inputs!$D$2:$AG$2,0)),Inputs!$B$4:$B$150,$B66)/1000)</f>
        <v>4769</v>
      </c>
      <c r="V66" s="11">
        <f>IF(SUMPRODUCT((Inputs!$B$4:$B$150=$B66)*ISNUMBER(INDEX(Inputs!$D$4:$AG$150,0,MATCH(V$2,Inputs!$D$2:$AG$2,0))))=0,"",SUMIFS(INDEX(Inputs!$D$4:$AG$150,0,MATCH(V$2,Inputs!$D$2:$AG$2,0)),Inputs!$B$4:$B$150,$B66)/1000)</f>
        <v>4784</v>
      </c>
      <c r="W66" s="12">
        <f>IF(COUNT(S66:V66)=4,SUM(S66:V66),"")</f>
        <v>18780</v>
      </c>
      <c r="X66" s="11">
        <f>IF(SUMPRODUCT((Inputs!$B$4:$B$150=$B66)*ISNUMBER(INDEX(Inputs!$D$4:$AG$150,0,MATCH(X$2,Inputs!$D$2:$AG$2,0))))=0,"",SUMIFS(INDEX(Inputs!$D$4:$AG$150,0,MATCH(X$2,Inputs!$D$2:$AG$2,0)),Inputs!$B$4:$B$150,$B66)/1000)</f>
        <v>4811</v>
      </c>
      <c r="Y66" s="11">
        <f>IF(SUMPRODUCT((Inputs!$B$4:$B$150=$B66)*ISNUMBER(INDEX(Inputs!$D$4:$AG$150,0,MATCH(Y$2,Inputs!$D$2:$AG$2,0))))=0,"",SUMIFS(INDEX(Inputs!$D$4:$AG$150,0,MATCH(Y$2,Inputs!$D$2:$AG$2,0)),Inputs!$B$4:$B$150,$B66)/1000)</f>
        <v>5020</v>
      </c>
      <c r="Z66" s="11" t="str">
        <f>IF(SUMPRODUCT((Inputs!$B$4:$B$150=$B66)*ISNUMBER(INDEX(Inputs!$D$4:$AG$150,0,MATCH(Z$2,Inputs!$D$2:$AG$2,0))))=0,"",SUMIFS(INDEX(Inputs!$D$4:$AG$150,0,MATCH(Z$2,Inputs!$D$2:$AG$2,0)),Inputs!$B$4:$B$150,$B66)/1000)</f>
        <v/>
      </c>
      <c r="AA66" s="11" t="str">
        <f>IF(SUMPRODUCT((Inputs!$B$4:$B$150=$B66)*ISNUMBER(INDEX(Inputs!$D$4:$AG$150,0,MATCH(AA$2,Inputs!$D$2:$AG$2,0))))=0,"",SUMIFS(INDEX(Inputs!$D$4:$AG$150,0,MATCH(AA$2,Inputs!$D$2:$AG$2,0)),Inputs!$B$4:$B$150,$B66)/1000)</f>
        <v/>
      </c>
      <c r="AB66" s="12" t="str">
        <f>IF(COUNT(X66:AA66)=4,SUM(X66:AA66),"")</f>
        <v/>
      </c>
      <c r="AC66" s="11" t="str">
        <f>IF(SUMPRODUCT((Inputs!$B$4:$B$150=$B66)*ISNUMBER(INDEX(Inputs!$D$4:$AG$150,0,MATCH(AC$2,Inputs!$D$2:$AG$2,0))))=0,"",SUMIFS(INDEX(Inputs!$D$4:$AG$150,0,MATCH(AC$2,Inputs!$D$2:$AG$2,0)),Inputs!$B$4:$B$150,$B66)/1000)</f>
        <v/>
      </c>
      <c r="AD66" s="11" t="str">
        <f>IF(SUMPRODUCT((Inputs!$B$4:$B$150=$B66)*ISNUMBER(INDEX(Inputs!$D$4:$AG$150,0,MATCH(AD$2,Inputs!$D$2:$AG$2,0))))=0,"",SUMIFS(INDEX(Inputs!$D$4:$AG$150,0,MATCH(AD$2,Inputs!$D$2:$AG$2,0)),Inputs!$B$4:$B$150,$B66)/1000)</f>
        <v/>
      </c>
      <c r="AE66" s="11" t="str">
        <f>IF(SUMPRODUCT((Inputs!$B$4:$B$150=$B66)*ISNUMBER(INDEX(Inputs!$D$4:$AG$150,0,MATCH(AE$2,Inputs!$D$2:$AG$2,0))))=0,"",SUMIFS(INDEX(Inputs!$D$4:$AG$150,0,MATCH(AE$2,Inputs!$D$2:$AG$2,0)),Inputs!$B$4:$B$150,$B66)/1000)</f>
        <v/>
      </c>
      <c r="AF66" s="11" t="str">
        <f>IF(SUMPRODUCT((Inputs!$B$4:$B$150=$B66)*ISNUMBER(INDEX(Inputs!$D$4:$AG$150,0,MATCH(AF$2,Inputs!$D$2:$AG$2,0))))=0,"",SUMIFS(INDEX(Inputs!$D$4:$AG$150,0,MATCH(AF$2,Inputs!$D$2:$AG$2,0)),Inputs!$B$4:$B$150,$B66)/1000)</f>
        <v/>
      </c>
      <c r="AG66" s="12" t="str">
        <f>IF(COUNT(AC66:AF66)=4,SUM(AC66:AF66),"")</f>
        <v/>
      </c>
    </row>
    <row r="67">
      <c r="B67" s="9" t="n">
        <v>59</v>
      </c>
      <c r="C67" s="10" t="inlineStr">
        <is>
          <t>Américas (USD)</t>
        </is>
      </c>
      <c r="D67" s="11">
        <f>IF(SUMPRODUCT((Inputs!$B$4:$B$150=$B67)*ISNUMBER(INDEX(Inputs!$D$4:$AG$150,0,MATCH(D$2,Inputs!$D$2:$AG$2,0))))=0,"",SUMIFS(INDEX(Inputs!$D$4:$AG$150,0,MATCH(D$2,Inputs!$D$2:$AG$2,0)),Inputs!$B$4:$B$150,$B67)/1000)</f>
        <v>5424</v>
      </c>
      <c r="E67" s="11">
        <f>IF(SUMPRODUCT((Inputs!$B$4:$B$150=$B67)*ISNUMBER(INDEX(Inputs!$D$4:$AG$150,0,MATCH(E$2,Inputs!$D$2:$AG$2,0))))=0,"",SUMIFS(INDEX(Inputs!$D$4:$AG$150,0,MATCH(E$2,Inputs!$D$2:$AG$2,0)),Inputs!$B$4:$B$150,$B67)/1000)</f>
        <v>6077</v>
      </c>
      <c r="F67" s="11">
        <f>IF(SUMPRODUCT((Inputs!$B$4:$B$150=$B67)*ISNUMBER(INDEX(Inputs!$D$4:$AG$150,0,MATCH(F$2,Inputs!$D$2:$AG$2,0))))=0,"",SUMIFS(INDEX(Inputs!$D$4:$AG$150,0,MATCH(F$2,Inputs!$D$2:$AG$2,0)),Inputs!$B$4:$B$150,$B67)/1000)</f>
        <v>5321</v>
      </c>
      <c r="G67" s="11">
        <f>IF(SUMPRODUCT((Inputs!$B$4:$B$150=$B67)*ISNUMBER(INDEX(Inputs!$D$4:$AG$150,0,MATCH(G$2,Inputs!$D$2:$AG$2,0))))=0,"",SUMIFS(INDEX(Inputs!$D$4:$AG$150,0,MATCH(G$2,Inputs!$D$2:$AG$2,0)),Inputs!$B$4:$B$150,$B67)/1000)</f>
        <v>5736</v>
      </c>
      <c r="H67" s="12">
        <f>IF(COUNT(D67:G67)=4,SUM(D67:G67),"")</f>
        <v>22558</v>
      </c>
      <c r="I67" s="11">
        <f>IF(SUMPRODUCT((Inputs!$B$4:$B$150=$B67)*ISNUMBER(INDEX(Inputs!$D$4:$AG$150,0,MATCH(I$2,Inputs!$D$2:$AG$2,0))))=0,"",SUMIFS(INDEX(Inputs!$D$4:$AG$150,0,MATCH(I$2,Inputs!$D$2:$AG$2,0)),Inputs!$B$4:$B$150,$B67)/1000)</f>
        <v>5849</v>
      </c>
      <c r="J67" s="11">
        <f>IF(SUMPRODUCT((Inputs!$B$4:$B$150=$B67)*ISNUMBER(INDEX(Inputs!$D$4:$AG$150,0,MATCH(J$2,Inputs!$D$2:$AG$2,0))))=0,"",SUMIFS(INDEX(Inputs!$D$4:$AG$150,0,MATCH(J$2,Inputs!$D$2:$AG$2,0)),Inputs!$B$4:$B$150,$B67)/1000)</f>
        <v>6774</v>
      </c>
      <c r="K67" s="11">
        <f>IF(SUMPRODUCT((Inputs!$B$4:$B$150=$B67)*ISNUMBER(INDEX(Inputs!$D$4:$AG$150,0,MATCH(K$2,Inputs!$D$2:$AG$2,0))))=0,"",SUMIFS(INDEX(Inputs!$D$4:$AG$150,0,MATCH(K$2,Inputs!$D$2:$AG$2,0)),Inputs!$B$4:$B$150,$B67)/1000)</f>
        <v>7192</v>
      </c>
      <c r="L67" s="11">
        <f>IF(SUMPRODUCT((Inputs!$B$4:$B$150=$B67)*ISNUMBER(INDEX(Inputs!$D$4:$AG$150,0,MATCH(L$2,Inputs!$D$2:$AG$2,0))))=0,"",SUMIFS(INDEX(Inputs!$D$4:$AG$150,0,MATCH(L$2,Inputs!$D$2:$AG$2,0)),Inputs!$B$4:$B$150,$B67)/1000)</f>
        <v>7786</v>
      </c>
      <c r="M67" s="12">
        <f>IF(COUNT(I67:L67)=4,SUM(I67:L67),"")</f>
        <v>27601</v>
      </c>
      <c r="N67" s="11">
        <f>IF(SUMPRODUCT((Inputs!$B$4:$B$150=$B67)*ISNUMBER(INDEX(Inputs!$D$4:$AG$150,0,MATCH(N$2,Inputs!$D$2:$AG$2,0))))=0,"",SUMIFS(INDEX(Inputs!$D$4:$AG$150,0,MATCH(N$2,Inputs!$D$2:$AG$2,0)),Inputs!$B$4:$B$150,$B67)/1000)</f>
        <v>7671</v>
      </c>
      <c r="O67" s="11">
        <f>IF(SUMPRODUCT((Inputs!$B$4:$B$150=$B67)*ISNUMBER(INDEX(Inputs!$D$4:$AG$150,0,MATCH(O$2,Inputs!$D$2:$AG$2,0))))=0,"",SUMIFS(INDEX(Inputs!$D$4:$AG$150,0,MATCH(O$2,Inputs!$D$2:$AG$2,0)),Inputs!$B$4:$B$150,$B67)/1000)</f>
        <v>8577</v>
      </c>
      <c r="P67" s="11">
        <f>IF(SUMPRODUCT((Inputs!$B$4:$B$150=$B67)*ISNUMBER(INDEX(Inputs!$D$4:$AG$150,0,MATCH(P$2,Inputs!$D$2:$AG$2,0))))=0,"",SUMIFS(INDEX(Inputs!$D$4:$AG$150,0,MATCH(P$2,Inputs!$D$2:$AG$2,0)),Inputs!$B$4:$B$150,$B67)/1000)</f>
        <v>7841</v>
      </c>
      <c r="Q67" s="11">
        <f>IF(SUMPRODUCT((Inputs!$B$4:$B$150=$B67)*ISNUMBER(INDEX(Inputs!$D$4:$AG$150,0,MATCH(Q$2,Inputs!$D$2:$AG$2,0))))=0,"",SUMIFS(INDEX(Inputs!$D$4:$AG$150,0,MATCH(Q$2,Inputs!$D$2:$AG$2,0)),Inputs!$B$4:$B$150,$B67)/1000)</f>
        <v>8067</v>
      </c>
      <c r="R67" s="12">
        <f>IF(COUNT(N67:Q67)=4,SUM(N67:Q67),"")</f>
        <v>32156</v>
      </c>
      <c r="S67" s="11">
        <f>IF(SUMPRODUCT((Inputs!$B$4:$B$150=$B67)*ISNUMBER(INDEX(Inputs!$D$4:$AG$150,0,MATCH(S$2,Inputs!$D$2:$AG$2,0))))=0,"",SUMIFS(INDEX(Inputs!$D$4:$AG$150,0,MATCH(S$2,Inputs!$D$2:$AG$2,0)),Inputs!$B$4:$B$150,$B67)/1000)</f>
        <v>8270</v>
      </c>
      <c r="T67" s="11">
        <f>IF(SUMPRODUCT((Inputs!$B$4:$B$150=$B67)*ISNUMBER(INDEX(Inputs!$D$4:$AG$150,0,MATCH(T$2,Inputs!$D$2:$AG$2,0))))=0,"",SUMIFS(INDEX(Inputs!$D$4:$AG$150,0,MATCH(T$2,Inputs!$D$2:$AG$2,0)),Inputs!$B$4:$B$150,$B67)/1000)</f>
        <v>8945</v>
      </c>
      <c r="U67" s="11">
        <f>IF(SUMPRODUCT((Inputs!$B$4:$B$150=$B67)*ISNUMBER(INDEX(Inputs!$D$4:$AG$150,0,MATCH(U$2,Inputs!$D$2:$AG$2,0))))=0,"",SUMIFS(INDEX(Inputs!$D$4:$AG$150,0,MATCH(U$2,Inputs!$D$2:$AG$2,0)),Inputs!$B$4:$B$150,$B67)/1000)</f>
        <v>8372</v>
      </c>
      <c r="V67" s="11">
        <f>IF(SUMPRODUCT((Inputs!$B$4:$B$150=$B67)*ISNUMBER(INDEX(Inputs!$D$4:$AG$150,0,MATCH(V$2,Inputs!$D$2:$AG$2,0))))=0,"",SUMIFS(INDEX(Inputs!$D$4:$AG$150,0,MATCH(V$2,Inputs!$D$2:$AG$2,0)),Inputs!$B$4:$B$150,$B67)/1000)</f>
        <v>8933</v>
      </c>
      <c r="W67" s="12">
        <f>IF(COUNT(S67:V67)=4,SUM(S67:V67),"")</f>
        <v>34520</v>
      </c>
      <c r="X67" s="11">
        <f>IF(SUMPRODUCT((Inputs!$B$4:$B$150=$B67)*ISNUMBER(INDEX(Inputs!$D$4:$AG$150,0,MATCH(X$2,Inputs!$D$2:$AG$2,0))))=0,"",SUMIFS(INDEX(Inputs!$D$4:$AG$150,0,MATCH(X$2,Inputs!$D$2:$AG$2,0)),Inputs!$B$4:$B$150,$B67)/1000)</f>
        <v>9000</v>
      </c>
      <c r="Y67" s="11">
        <f>IF(SUMPRODUCT((Inputs!$B$4:$B$150=$B67)*ISNUMBER(INDEX(Inputs!$D$4:$AG$150,0,MATCH(Y$2,Inputs!$D$2:$AG$2,0))))=0,"",SUMIFS(INDEX(Inputs!$D$4:$AG$150,0,MATCH(Y$2,Inputs!$D$2:$AG$2,0)),Inputs!$B$4:$B$150,$B67)/1000)</f>
        <v>10034</v>
      </c>
      <c r="Z67" s="11">
        <f>IF(SUMPRODUCT((Inputs!$B$4:$B$150=$B67)*ISNUMBER(INDEX(Inputs!$D$4:$AG$150,0,MATCH(Z$2,Inputs!$D$2:$AG$2,0))))=0,"",SUMIFS(INDEX(Inputs!$D$4:$AG$150,0,MATCH(Z$2,Inputs!$D$2:$AG$2,0)),Inputs!$B$4:$B$150,$B67)/1000)</f>
        <v>9662</v>
      </c>
      <c r="AA67" s="11">
        <f>IF(SUMPRODUCT((Inputs!$B$4:$B$150=$B67)*ISNUMBER(INDEX(Inputs!$D$4:$AG$150,0,MATCH(AA$2,Inputs!$D$2:$AG$2,0))))=0,"",SUMIFS(INDEX(Inputs!$D$4:$AG$150,0,MATCH(AA$2,Inputs!$D$2:$AG$2,0)),Inputs!$B$4:$B$150,$B67)/1000)</f>
        <v>10467</v>
      </c>
      <c r="AB67" s="12">
        <f>IF(COUNT(X67:AA67)=4,SUM(X67:AA67),"")</f>
        <v>39163</v>
      </c>
      <c r="AC67" s="11">
        <f>IF(SUMPRODUCT((Inputs!$B$4:$B$150=$B67)*ISNUMBER(INDEX(Inputs!$D$4:$AG$150,0,MATCH(AC$2,Inputs!$D$2:$AG$2,0))))=0,"",SUMIFS(INDEX(Inputs!$D$4:$AG$150,0,MATCH(AC$2,Inputs!$D$2:$AG$2,0)),Inputs!$B$4:$B$150,$B67)/1000)</f>
        <v>11361</v>
      </c>
      <c r="AD67" s="11">
        <f>IF(SUMPRODUCT((Inputs!$B$4:$B$150=$B67)*ISNUMBER(INDEX(Inputs!$D$4:$AG$150,0,MATCH(AD$2,Inputs!$D$2:$AG$2,0))))=0,"",SUMIFS(INDEX(Inputs!$D$4:$AG$150,0,MATCH(AD$2,Inputs!$D$2:$AG$2,0)),Inputs!$B$4:$B$150,$B67)/1000)</f>
        <v>12988</v>
      </c>
      <c r="AE67" s="11" t="str">
        <f>IF(SUMPRODUCT((Inputs!$B$4:$B$150=$B67)*ISNUMBER(INDEX(Inputs!$D$4:$AG$150,0,MATCH(AE$2,Inputs!$D$2:$AG$2,0))))=0,"",SUMIFS(INDEX(Inputs!$D$4:$AG$150,0,MATCH(AE$2,Inputs!$D$2:$AG$2,0)),Inputs!$B$4:$B$150,$B67)/1000)</f>
        <v/>
      </c>
      <c r="AF67" s="11" t="str">
        <f>IF(SUMPRODUCT((Inputs!$B$4:$B$150=$B67)*ISNUMBER(INDEX(Inputs!$D$4:$AG$150,0,MATCH(AF$2,Inputs!$D$2:$AG$2,0))))=0,"",SUMIFS(INDEX(Inputs!$D$4:$AG$150,0,MATCH(AF$2,Inputs!$D$2:$AG$2,0)),Inputs!$B$4:$B$150,$B67)/1000)</f>
        <v/>
      </c>
      <c r="AG67" s="12" t="str">
        <f>IF(COUNT(AC67:AF67)=4,SUM(AC67:AF67),"")</f>
        <v/>
      </c>
    </row>
    <row r="68">
      <c r="B68" s="9" t="n">
        <v>60</v>
      </c>
      <c r="C68" s="10" t="inlineStr">
        <is>
          <t>EMEA (USD)</t>
        </is>
      </c>
      <c r="D68" s="11">
        <f>IF(SUMPRODUCT((Inputs!$B$4:$B$150=$B68)*ISNUMBER(INDEX(Inputs!$D$4:$AG$150,0,MATCH(D$2,Inputs!$D$2:$AG$2,0))))=0,"",SUMIFS(INDEX(Inputs!$D$4:$AG$150,0,MATCH(D$2,Inputs!$D$2:$AG$2,0)),Inputs!$B$4:$B$150,$B68)/1000)</f>
        <v>2981</v>
      </c>
      <c r="E68" s="11">
        <f>IF(SUMPRODUCT((Inputs!$B$4:$B$150=$B68)*ISNUMBER(INDEX(Inputs!$D$4:$AG$150,0,MATCH(E$2,Inputs!$D$2:$AG$2,0))))=0,"",SUMIFS(INDEX(Inputs!$D$4:$AG$150,0,MATCH(E$2,Inputs!$D$2:$AG$2,0)),Inputs!$B$4:$B$150,$B68)/1000)</f>
        <v>3323</v>
      </c>
      <c r="F68" s="11">
        <f>IF(SUMPRODUCT((Inputs!$B$4:$B$150=$B68)*ISNUMBER(INDEX(Inputs!$D$4:$AG$150,0,MATCH(F$2,Inputs!$D$2:$AG$2,0))))=0,"",SUMIFS(INDEX(Inputs!$D$4:$AG$150,0,MATCH(F$2,Inputs!$D$2:$AG$2,0)),Inputs!$B$4:$B$150,$B68)/1000)</f>
        <v>2784</v>
      </c>
      <c r="G68" s="11">
        <f>IF(SUMPRODUCT((Inputs!$B$4:$B$150=$B68)*ISNUMBER(INDEX(Inputs!$D$4:$AG$150,0,MATCH(G$2,Inputs!$D$2:$AG$2,0))))=0,"",SUMIFS(INDEX(Inputs!$D$4:$AG$150,0,MATCH(G$2,Inputs!$D$2:$AG$2,0)),Inputs!$B$4:$B$150,$B68)/1000)</f>
        <v>2953</v>
      </c>
      <c r="H68" s="12">
        <f>IF(COUNT(D68:G68)=4,SUM(D68:G68),"")</f>
        <v>12041</v>
      </c>
      <c r="I68" s="11">
        <f>IF(SUMPRODUCT((Inputs!$B$4:$B$150=$B68)*ISNUMBER(INDEX(Inputs!$D$4:$AG$150,0,MATCH(I$2,Inputs!$D$2:$AG$2,0))))=0,"",SUMIFS(INDEX(Inputs!$D$4:$AG$150,0,MATCH(I$2,Inputs!$D$2:$AG$2,0)),Inputs!$B$4:$B$150,$B68)/1000)</f>
        <v>3014</v>
      </c>
      <c r="J68" s="11">
        <f>IF(SUMPRODUCT((Inputs!$B$4:$B$150=$B68)*ISNUMBER(INDEX(Inputs!$D$4:$AG$150,0,MATCH(J$2,Inputs!$D$2:$AG$2,0))))=0,"",SUMIFS(INDEX(Inputs!$D$4:$AG$150,0,MATCH(J$2,Inputs!$D$2:$AG$2,0)),Inputs!$B$4:$B$150,$B68)/1000)</f>
        <v>3260</v>
      </c>
      <c r="K68" s="11">
        <f>IF(SUMPRODUCT((Inputs!$B$4:$B$150=$B68)*ISNUMBER(INDEX(Inputs!$D$4:$AG$150,0,MATCH(K$2,Inputs!$D$2:$AG$2,0))))=0,"",SUMIFS(INDEX(Inputs!$D$4:$AG$150,0,MATCH(K$2,Inputs!$D$2:$AG$2,0)),Inputs!$B$4:$B$150,$B68)/1000)</f>
        <v>2691</v>
      </c>
      <c r="L68" s="11">
        <f>IF(SUMPRODUCT((Inputs!$B$4:$B$150=$B68)*ISNUMBER(INDEX(Inputs!$D$4:$AG$150,0,MATCH(L$2,Inputs!$D$2:$AG$2,0))))=0,"",SUMIFS(INDEX(Inputs!$D$4:$AG$150,0,MATCH(L$2,Inputs!$D$2:$AG$2,0)),Inputs!$B$4:$B$150,$B68)/1000)</f>
        <v>2895</v>
      </c>
      <c r="M68" s="12">
        <f>IF(COUNT(I68:L68)=4,SUM(I68:L68),"")</f>
        <v>11860</v>
      </c>
      <c r="N68" s="11">
        <f>IF(SUMPRODUCT((Inputs!$B$4:$B$150=$B68)*ISNUMBER(INDEX(Inputs!$D$4:$AG$150,0,MATCH(N$2,Inputs!$D$2:$AG$2,0))))=0,"",SUMIFS(INDEX(Inputs!$D$4:$AG$150,0,MATCH(N$2,Inputs!$D$2:$AG$2,0)),Inputs!$B$4:$B$150,$B68)/1000)</f>
        <v>3067</v>
      </c>
      <c r="O68" s="11">
        <f>IF(SUMPRODUCT((Inputs!$B$4:$B$150=$B68)*ISNUMBER(INDEX(Inputs!$D$4:$AG$150,0,MATCH(O$2,Inputs!$D$2:$AG$2,0))))=0,"",SUMIFS(INDEX(Inputs!$D$4:$AG$150,0,MATCH(O$2,Inputs!$D$2:$AG$2,0)),Inputs!$B$4:$B$150,$B68)/1000)</f>
        <v>3456</v>
      </c>
      <c r="P68" s="11">
        <f>IF(SUMPRODUCT((Inputs!$B$4:$B$150=$B68)*ISNUMBER(INDEX(Inputs!$D$4:$AG$150,0,MATCH(P$2,Inputs!$D$2:$AG$2,0))))=0,"",SUMIFS(INDEX(Inputs!$D$4:$AG$150,0,MATCH(P$2,Inputs!$D$2:$AG$2,0)),Inputs!$B$4:$B$150,$B68)/1000)</f>
        <v>3005</v>
      </c>
      <c r="Q68" s="11">
        <f>IF(SUMPRODUCT((Inputs!$B$4:$B$150=$B68)*ISNUMBER(INDEX(Inputs!$D$4:$AG$150,0,MATCH(Q$2,Inputs!$D$2:$AG$2,0))))=0,"",SUMIFS(INDEX(Inputs!$D$4:$AG$150,0,MATCH(Q$2,Inputs!$D$2:$AG$2,0)),Inputs!$B$4:$B$150,$B68)/1000)</f>
        <v>3170</v>
      </c>
      <c r="R68" s="12">
        <f>IF(COUNT(N68:Q68)=4,SUM(N68:Q68),"")</f>
        <v>12698</v>
      </c>
      <c r="S68" s="11">
        <f>IF(SUMPRODUCT((Inputs!$B$4:$B$150=$B68)*ISNUMBER(INDEX(Inputs!$D$4:$AG$150,0,MATCH(S$2,Inputs!$D$2:$AG$2,0))))=0,"",SUMIFS(INDEX(Inputs!$D$4:$AG$150,0,MATCH(S$2,Inputs!$D$2:$AG$2,0)),Inputs!$B$4:$B$150,$B68)/1000)</f>
        <v>3316</v>
      </c>
      <c r="T68" s="11">
        <f>IF(SUMPRODUCT((Inputs!$B$4:$B$150=$B68)*ISNUMBER(INDEX(Inputs!$D$4:$AG$150,0,MATCH(T$2,Inputs!$D$2:$AG$2,0))))=0,"",SUMIFS(INDEX(Inputs!$D$4:$AG$150,0,MATCH(T$2,Inputs!$D$2:$AG$2,0)),Inputs!$B$4:$B$150,$B68)/1000)</f>
        <v>3539</v>
      </c>
      <c r="U68" s="11">
        <f>IF(SUMPRODUCT((Inputs!$B$4:$B$150=$B68)*ISNUMBER(INDEX(Inputs!$D$4:$AG$150,0,MATCH(U$2,Inputs!$D$2:$AG$2,0))))=0,"",SUMIFS(INDEX(Inputs!$D$4:$AG$150,0,MATCH(U$2,Inputs!$D$2:$AG$2,0)),Inputs!$B$4:$B$150,$B68)/1000)</f>
        <v>3228</v>
      </c>
      <c r="V68" s="11">
        <f>IF(SUMPRODUCT((Inputs!$B$4:$B$150=$B68)*ISNUMBER(INDEX(Inputs!$D$4:$AG$150,0,MATCH(V$2,Inputs!$D$2:$AG$2,0))))=0,"",SUMIFS(INDEX(Inputs!$D$4:$AG$150,0,MATCH(V$2,Inputs!$D$2:$AG$2,0)),Inputs!$B$4:$B$150,$B68)/1000)</f>
        <v>3381</v>
      </c>
      <c r="W68" s="12">
        <f>IF(COUNT(S68:V68)=4,SUM(S68:V68),"")</f>
        <v>13464</v>
      </c>
      <c r="X68" s="11">
        <f>IF(SUMPRODUCT((Inputs!$B$4:$B$150=$B68)*ISNUMBER(INDEX(Inputs!$D$4:$AG$150,0,MATCH(X$2,Inputs!$D$2:$AG$2,0))))=0,"",SUMIFS(INDEX(Inputs!$D$4:$AG$150,0,MATCH(X$2,Inputs!$D$2:$AG$2,0)),Inputs!$B$4:$B$150,$B68)/1000)</f>
        <v>3421</v>
      </c>
      <c r="Y68" s="11">
        <f>IF(SUMPRODUCT((Inputs!$B$4:$B$150=$B68)*ISNUMBER(INDEX(Inputs!$D$4:$AG$150,0,MATCH(Y$2,Inputs!$D$2:$AG$2,0))))=0,"",SUMIFS(INDEX(Inputs!$D$4:$AG$150,0,MATCH(Y$2,Inputs!$D$2:$AG$2,0)),Inputs!$B$4:$B$150,$B68)/1000)</f>
        <v>3996</v>
      </c>
      <c r="Z68" s="11">
        <f>IF(SUMPRODUCT((Inputs!$B$4:$B$150=$B68)*ISNUMBER(INDEX(Inputs!$D$4:$AG$150,0,MATCH(Z$2,Inputs!$D$2:$AG$2,0))))=0,"",SUMIFS(INDEX(Inputs!$D$4:$AG$150,0,MATCH(Z$2,Inputs!$D$2:$AG$2,0)),Inputs!$B$4:$B$150,$B68)/1000)</f>
        <v>3481</v>
      </c>
      <c r="AA68" s="11">
        <f>IF(SUMPRODUCT((Inputs!$B$4:$B$150=$B68)*ISNUMBER(INDEX(Inputs!$D$4:$AG$150,0,MATCH(AA$2,Inputs!$D$2:$AG$2,0))))=0,"",SUMIFS(INDEX(Inputs!$D$4:$AG$150,0,MATCH(AA$2,Inputs!$D$2:$AG$2,0)),Inputs!$B$4:$B$150,$B68)/1000)</f>
        <v>3760</v>
      </c>
      <c r="AB68" s="12">
        <f>IF(COUNT(X68:AA68)=4,SUM(X68:AA68),"")</f>
        <v>14658</v>
      </c>
      <c r="AC68" s="11">
        <f>IF(SUMPRODUCT((Inputs!$B$4:$B$150=$B68)*ISNUMBER(INDEX(Inputs!$D$4:$AG$150,0,MATCH(AC$2,Inputs!$D$2:$AG$2,0))))=0,"",SUMIFS(INDEX(Inputs!$D$4:$AG$150,0,MATCH(AC$2,Inputs!$D$2:$AG$2,0)),Inputs!$B$4:$B$150,$B68)/1000)</f>
        <v>3964</v>
      </c>
      <c r="AD68" s="11">
        <f>IF(SUMPRODUCT((Inputs!$B$4:$B$150=$B68)*ISNUMBER(INDEX(Inputs!$D$4:$AG$150,0,MATCH(AD$2,Inputs!$D$2:$AG$2,0))))=0,"",SUMIFS(INDEX(Inputs!$D$4:$AG$150,0,MATCH(AD$2,Inputs!$D$2:$AG$2,0)),Inputs!$B$4:$B$150,$B68)/1000)</f>
        <v>4093</v>
      </c>
      <c r="AE68" s="11" t="str">
        <f>IF(SUMPRODUCT((Inputs!$B$4:$B$150=$B68)*ISNUMBER(INDEX(Inputs!$D$4:$AG$150,0,MATCH(AE$2,Inputs!$D$2:$AG$2,0))))=0,"",SUMIFS(INDEX(Inputs!$D$4:$AG$150,0,MATCH(AE$2,Inputs!$D$2:$AG$2,0)),Inputs!$B$4:$B$150,$B68)/1000)</f>
        <v/>
      </c>
      <c r="AF68" s="11" t="str">
        <f>IF(SUMPRODUCT((Inputs!$B$4:$B$150=$B68)*ISNUMBER(INDEX(Inputs!$D$4:$AG$150,0,MATCH(AF$2,Inputs!$D$2:$AG$2,0))))=0,"",SUMIFS(INDEX(Inputs!$D$4:$AG$150,0,MATCH(AF$2,Inputs!$D$2:$AG$2,0)),Inputs!$B$4:$B$150,$B68)/1000)</f>
        <v/>
      </c>
      <c r="AG68" s="12" t="str">
        <f>IF(COUNT(AC68:AF68)=4,SUM(AC68:AF68),"")</f>
        <v/>
      </c>
    </row>
    <row r="69">
      <c r="B69" s="9" t="n">
        <v>61</v>
      </c>
      <c r="C69" s="10" t="inlineStr">
        <is>
          <t>Ásia-Pacífico (USD)</t>
        </is>
      </c>
      <c r="D69" s="11">
        <f>IF(SUMPRODUCT((Inputs!$B$4:$B$150=$B69)*ISNUMBER(INDEX(Inputs!$D$4:$AG$150,0,MATCH(D$2,Inputs!$D$2:$AG$2,0))))=0,"",SUMIFS(INDEX(Inputs!$D$4:$AG$150,0,MATCH(D$2,Inputs!$D$2:$AG$2,0)),Inputs!$B$4:$B$150,$B69)/1000)</f>
        <v>1680</v>
      </c>
      <c r="E69" s="11">
        <f>IF(SUMPRODUCT((Inputs!$B$4:$B$150=$B69)*ISNUMBER(INDEX(Inputs!$D$4:$AG$150,0,MATCH(E$2,Inputs!$D$2:$AG$2,0))))=0,"",SUMIFS(INDEX(Inputs!$D$4:$AG$150,0,MATCH(E$2,Inputs!$D$2:$AG$2,0)),Inputs!$B$4:$B$150,$B69)/1000)</f>
        <v>1827</v>
      </c>
      <c r="F69" s="11">
        <f>IF(SUMPRODUCT((Inputs!$B$4:$B$150=$B69)*ISNUMBER(INDEX(Inputs!$D$4:$AG$150,0,MATCH(F$2,Inputs!$D$2:$AG$2,0))))=0,"",SUMIFS(INDEX(Inputs!$D$4:$AG$150,0,MATCH(F$2,Inputs!$D$2:$AG$2,0)),Inputs!$B$4:$B$150,$B69)/1000)</f>
        <v>1623</v>
      </c>
      <c r="G69" s="11">
        <f>IF(SUMPRODUCT((Inputs!$B$4:$B$150=$B69)*ISNUMBER(INDEX(Inputs!$D$4:$AG$150,0,MATCH(G$2,Inputs!$D$2:$AG$2,0))))=0,"",SUMIFS(INDEX(Inputs!$D$4:$AG$150,0,MATCH(G$2,Inputs!$D$2:$AG$2,0)),Inputs!$B$4:$B$150,$B69)/1000)</f>
        <v>1671</v>
      </c>
      <c r="H69" s="12">
        <f>IF(COUNT(D69:G69)=4,SUM(D69:G69),"")</f>
        <v>6801</v>
      </c>
      <c r="I69" s="11">
        <f>IF(SUMPRODUCT((Inputs!$B$4:$B$150=$B69)*ISNUMBER(INDEX(Inputs!$D$4:$AG$150,0,MATCH(I$2,Inputs!$D$2:$AG$2,0))))=0,"",SUMIFS(INDEX(Inputs!$D$4:$AG$150,0,MATCH(I$2,Inputs!$D$2:$AG$2,0)),Inputs!$B$4:$B$150,$B69)/1000)</f>
        <v>1650</v>
      </c>
      <c r="J69" s="11">
        <f>IF(SUMPRODUCT((Inputs!$B$4:$B$150=$B69)*ISNUMBER(INDEX(Inputs!$D$4:$AG$150,0,MATCH(J$2,Inputs!$D$2:$AG$2,0))))=0,"",SUMIFS(INDEX(Inputs!$D$4:$AG$150,0,MATCH(J$2,Inputs!$D$2:$AG$2,0)),Inputs!$B$4:$B$150,$B69)/1000)</f>
        <v>1806</v>
      </c>
      <c r="K69" s="11">
        <f>IF(SUMPRODUCT((Inputs!$B$4:$B$150=$B69)*ISNUMBER(INDEX(Inputs!$D$4:$AG$150,0,MATCH(K$2,Inputs!$D$2:$AG$2,0))))=0,"",SUMIFS(INDEX(Inputs!$D$4:$AG$150,0,MATCH(K$2,Inputs!$D$2:$AG$2,0)),Inputs!$B$4:$B$150,$B69)/1000)</f>
        <v>1562</v>
      </c>
      <c r="L69" s="11">
        <f>IF(SUMPRODUCT((Inputs!$B$4:$B$150=$B69)*ISNUMBER(INDEX(Inputs!$D$4:$AG$150,0,MATCH(L$2,Inputs!$D$2:$AG$2,0))))=0,"",SUMIFS(INDEX(Inputs!$D$4:$AG$150,0,MATCH(L$2,Inputs!$D$2:$AG$2,0)),Inputs!$B$4:$B$150,$B69)/1000)</f>
        <v>1594</v>
      </c>
      <c r="M69" s="12">
        <f>IF(COUNT(I69:L69)=4,SUM(I69:L69),"")</f>
        <v>6612</v>
      </c>
      <c r="N69" s="11">
        <f>IF(SUMPRODUCT((Inputs!$B$4:$B$150=$B69)*ISNUMBER(INDEX(Inputs!$D$4:$AG$150,0,MATCH(N$2,Inputs!$D$2:$AG$2,0))))=0,"",SUMIFS(INDEX(Inputs!$D$4:$AG$150,0,MATCH(N$2,Inputs!$D$2:$AG$2,0)),Inputs!$B$4:$B$150,$B69)/1000)</f>
        <v>1660</v>
      </c>
      <c r="O69" s="11">
        <f>IF(SUMPRODUCT((Inputs!$B$4:$B$150=$B69)*ISNUMBER(INDEX(Inputs!$D$4:$AG$150,0,MATCH(O$2,Inputs!$D$2:$AG$2,0))))=0,"",SUMIFS(INDEX(Inputs!$D$4:$AG$150,0,MATCH(O$2,Inputs!$D$2:$AG$2,0)),Inputs!$B$4:$B$150,$B69)/1000)</f>
        <v>1803</v>
      </c>
      <c r="P69" s="11">
        <f>IF(SUMPRODUCT((Inputs!$B$4:$B$150=$B69)*ISNUMBER(INDEX(Inputs!$D$4:$AG$150,0,MATCH(P$2,Inputs!$D$2:$AG$2,0))))=0,"",SUMIFS(INDEX(Inputs!$D$4:$AG$150,0,MATCH(P$2,Inputs!$D$2:$AG$2,0)),Inputs!$B$4:$B$150,$B69)/1000)</f>
        <v>1607</v>
      </c>
      <c r="Q69" s="11">
        <f>IF(SUMPRODUCT((Inputs!$B$4:$B$150=$B69)*ISNUMBER(INDEX(Inputs!$D$4:$AG$150,0,MATCH(Q$2,Inputs!$D$2:$AG$2,0))))=0,"",SUMIFS(INDEX(Inputs!$D$4:$AG$150,0,MATCH(Q$2,Inputs!$D$2:$AG$2,0)),Inputs!$B$4:$B$150,$B69)/1000)</f>
        <v>1704</v>
      </c>
      <c r="R69" s="12">
        <f>IF(COUNT(N69:Q69)=4,SUM(N69:Q69),"")</f>
        <v>6774</v>
      </c>
      <c r="S69" s="11">
        <f>IF(SUMPRODUCT((Inputs!$B$4:$B$150=$B69)*ISNUMBER(INDEX(Inputs!$D$4:$AG$150,0,MATCH(S$2,Inputs!$D$2:$AG$2,0))))=0,"",SUMIFS(INDEX(Inputs!$D$4:$AG$150,0,MATCH(S$2,Inputs!$D$2:$AG$2,0)),Inputs!$B$4:$B$150,$B69)/1000)</f>
        <v>1694</v>
      </c>
      <c r="T69" s="11">
        <f>IF(SUMPRODUCT((Inputs!$B$4:$B$150=$B69)*ISNUMBER(INDEX(Inputs!$D$4:$AG$150,0,MATCH(T$2,Inputs!$D$2:$AG$2,0))))=0,"",SUMIFS(INDEX(Inputs!$D$4:$AG$150,0,MATCH(T$2,Inputs!$D$2:$AG$2,0)),Inputs!$B$4:$B$150,$B69)/1000)</f>
        <v>1803</v>
      </c>
      <c r="U69" s="11">
        <f>IF(SUMPRODUCT((Inputs!$B$4:$B$150=$B69)*ISNUMBER(INDEX(Inputs!$D$4:$AG$150,0,MATCH(U$2,Inputs!$D$2:$AG$2,0))))=0,"",SUMIFS(INDEX(Inputs!$D$4:$AG$150,0,MATCH(U$2,Inputs!$D$2:$AG$2,0)),Inputs!$B$4:$B$150,$B69)/1000)</f>
        <v>1707</v>
      </c>
      <c r="V69" s="11">
        <f>IF(SUMPRODUCT((Inputs!$B$4:$B$150=$B69)*ISNUMBER(INDEX(Inputs!$D$4:$AG$150,0,MATCH(V$2,Inputs!$D$2:$AG$2,0))))=0,"",SUMIFS(INDEX(Inputs!$D$4:$AG$150,0,MATCH(V$2,Inputs!$D$2:$AG$2,0)),Inputs!$B$4:$B$150,$B69)/1000)</f>
        <v>1745</v>
      </c>
      <c r="W69" s="12">
        <f>IF(COUNT(S69:V69)=4,SUM(S69:V69),"")</f>
        <v>6949</v>
      </c>
      <c r="X69" s="11">
        <f>IF(SUMPRODUCT((Inputs!$B$4:$B$150=$B69)*ISNUMBER(INDEX(Inputs!$D$4:$AG$150,0,MATCH(X$2,Inputs!$D$2:$AG$2,0))))=0,"",SUMIFS(INDEX(Inputs!$D$4:$AG$150,0,MATCH(X$2,Inputs!$D$2:$AG$2,0)),Inputs!$B$4:$B$150,$B69)/1000)</f>
        <v>1709</v>
      </c>
      <c r="Y69" s="11">
        <f>IF(SUMPRODUCT((Inputs!$B$4:$B$150=$B69)*ISNUMBER(INDEX(Inputs!$D$4:$AG$150,0,MATCH(Y$2,Inputs!$D$2:$AG$2,0))))=0,"",SUMIFS(INDEX(Inputs!$D$4:$AG$150,0,MATCH(Y$2,Inputs!$D$2:$AG$2,0)),Inputs!$B$4:$B$150,$B69)/1000)</f>
        <v>1873</v>
      </c>
      <c r="Z69" s="11">
        <f>IF(SUMPRODUCT((Inputs!$B$4:$B$150=$B69)*ISNUMBER(INDEX(Inputs!$D$4:$AG$150,0,MATCH(Z$2,Inputs!$D$2:$AG$2,0))))=0,"",SUMIFS(INDEX(Inputs!$D$4:$AG$150,0,MATCH(Z$2,Inputs!$D$2:$AG$2,0)),Inputs!$B$4:$B$150,$B69)/1000)</f>
        <v>1783</v>
      </c>
      <c r="AA69" s="11">
        <f>IF(SUMPRODUCT((Inputs!$B$4:$B$150=$B69)*ISNUMBER(INDEX(Inputs!$D$4:$AG$150,0,MATCH(AA$2,Inputs!$D$2:$AG$2,0))))=0,"",SUMIFS(INDEX(Inputs!$D$4:$AG$150,0,MATCH(AA$2,Inputs!$D$2:$AG$2,0)),Inputs!$B$4:$B$150,$B69)/1000)</f>
        <v>1831</v>
      </c>
      <c r="AB69" s="12">
        <f>IF(COUNT(X69:AA69)=4,SUM(X69:AA69),"")</f>
        <v>7196</v>
      </c>
      <c r="AC69" s="11">
        <f>IF(SUMPRODUCT((Inputs!$B$4:$B$150=$B69)*ISNUMBER(INDEX(Inputs!$D$4:$AG$150,0,MATCH(AC$2,Inputs!$D$2:$AG$2,0))))=0,"",SUMIFS(INDEX(Inputs!$D$4:$AG$150,0,MATCH(AC$2,Inputs!$D$2:$AG$2,0)),Inputs!$B$4:$B$150,$B69)/1000)</f>
        <v>1865</v>
      </c>
      <c r="AD69" s="11">
        <f>IF(SUMPRODUCT((Inputs!$B$4:$B$150=$B69)*ISNUMBER(INDEX(Inputs!$D$4:$AG$150,0,MATCH(AD$2,Inputs!$D$2:$AG$2,0))))=0,"",SUMIFS(INDEX(Inputs!$D$4:$AG$150,0,MATCH(AD$2,Inputs!$D$2:$AG$2,0)),Inputs!$B$4:$B$150,$B69)/1000)</f>
        <v>2103</v>
      </c>
      <c r="AE69" s="11" t="str">
        <f>IF(SUMPRODUCT((Inputs!$B$4:$B$150=$B69)*ISNUMBER(INDEX(Inputs!$D$4:$AG$150,0,MATCH(AE$2,Inputs!$D$2:$AG$2,0))))=0,"",SUMIFS(INDEX(Inputs!$D$4:$AG$150,0,MATCH(AE$2,Inputs!$D$2:$AG$2,0)),Inputs!$B$4:$B$150,$B69)/1000)</f>
        <v/>
      </c>
      <c r="AF69" s="11" t="str">
        <f>IF(SUMPRODUCT((Inputs!$B$4:$B$150=$B69)*ISNUMBER(INDEX(Inputs!$D$4:$AG$150,0,MATCH(AF$2,Inputs!$D$2:$AG$2,0))))=0,"",SUMIFS(INDEX(Inputs!$D$4:$AG$150,0,MATCH(AF$2,Inputs!$D$2:$AG$2,0)),Inputs!$B$4:$B$150,$B69)/1000)</f>
        <v/>
      </c>
      <c r="AG69" s="12" t="str">
        <f>IF(COUNT(AC69:AF69)=4,SUM(AC69:AF69),"")</f>
        <v/>
      </c>
    </row>
    <row r="70">
      <c r="B70" s="9" t="n">
        <v>62</v>
      </c>
      <c r="C70" s="10" t="inlineStr">
        <is>
          <t>RPO - obrigações de desempenho remanescentes, saldo no fim do período (USD)</t>
        </is>
      </c>
      <c r="D70" s="11">
        <f>IF(SUMPRODUCT((Inputs!$B$4:$B$150=$B70)*ISNUMBER(INDEX(Inputs!$D$4:$AG$150,0,MATCH(D$2,Inputs!$D$2:$AG$2,0))))=0,"",SUMIFS(INDEX(Inputs!$D$4:$AG$150,0,MATCH(D$2,Inputs!$D$2:$AG$2,0)),Inputs!$B$4:$B$150,$B70)/1000)</f>
        <v>35300</v>
      </c>
      <c r="E70" s="11">
        <f>IF(SUMPRODUCT((Inputs!$B$4:$B$150=$B70)*ISNUMBER(INDEX(Inputs!$D$4:$AG$150,0,MATCH(E$2,Inputs!$D$2:$AG$2,0))))=0,"",SUMIFS(INDEX(Inputs!$D$4:$AG$150,0,MATCH(E$2,Inputs!$D$2:$AG$2,0)),Inputs!$B$4:$B$150,$B70)/1000)</f>
        <v>41300</v>
      </c>
      <c r="F70" s="11">
        <f>IF(SUMPRODUCT((Inputs!$B$4:$B$150=$B70)*ISNUMBER(INDEX(Inputs!$D$4:$AG$150,0,MATCH(F$2,Inputs!$D$2:$AG$2,0))))=0,"",SUMIFS(INDEX(Inputs!$D$4:$AG$150,0,MATCH(F$2,Inputs!$D$2:$AG$2,0)),Inputs!$B$4:$B$150,$B70)/1000)</f>
        <v>38700</v>
      </c>
      <c r="G70" s="11">
        <f>IF(SUMPRODUCT((Inputs!$B$4:$B$150=$B70)*ISNUMBER(INDEX(Inputs!$D$4:$AG$150,0,MATCH(G$2,Inputs!$D$2:$AG$2,0))))=0,"",SUMIFS(INDEX(Inputs!$D$4:$AG$150,0,MATCH(G$2,Inputs!$D$2:$AG$2,0)),Inputs!$B$4:$B$150,$B70)/1000)</f>
        <v>37200</v>
      </c>
      <c r="H70" s="12">
        <f>IF(COUNT(D70:G70)=4,SUM(D70:G70),"")</f>
        <v>152500</v>
      </c>
      <c r="I70" s="11">
        <f>IF(SUMPRODUCT((Inputs!$B$4:$B$150=$B70)*ISNUMBER(INDEX(Inputs!$D$4:$AG$150,0,MATCH(I$2,Inputs!$D$2:$AG$2,0))))=0,"",SUMIFS(INDEX(Inputs!$D$4:$AG$150,0,MATCH(I$2,Inputs!$D$2:$AG$2,0)),Inputs!$B$4:$B$150,$B70)/1000)</f>
        <v>38500</v>
      </c>
      <c r="J70" s="11">
        <f>IF(SUMPRODUCT((Inputs!$B$4:$B$150=$B70)*ISNUMBER(INDEX(Inputs!$D$4:$AG$150,0,MATCH(J$2,Inputs!$D$2:$AG$2,0))))=0,"",SUMIFS(INDEX(Inputs!$D$4:$AG$150,0,MATCH(J$2,Inputs!$D$2:$AG$2,0)),Inputs!$B$4:$B$150,$B70)/1000)</f>
        <v>46600</v>
      </c>
      <c r="K70" s="11">
        <f>IF(SUMPRODUCT((Inputs!$B$4:$B$150=$B70)*ISNUMBER(INDEX(Inputs!$D$4:$AG$150,0,MATCH(K$2,Inputs!$D$2:$AG$2,0))))=0,"",SUMIFS(INDEX(Inputs!$D$4:$AG$150,0,MATCH(K$2,Inputs!$D$2:$AG$2,0)),Inputs!$B$4:$B$150,$B70)/1000)</f>
        <v>60700</v>
      </c>
      <c r="L70" s="11">
        <f>IF(SUMPRODUCT((Inputs!$B$4:$B$150=$B70)*ISNUMBER(INDEX(Inputs!$D$4:$AG$150,0,MATCH(L$2,Inputs!$D$2:$AG$2,0))))=0,"",SUMIFS(INDEX(Inputs!$D$4:$AG$150,0,MATCH(L$2,Inputs!$D$2:$AG$2,0)),Inputs!$B$4:$B$150,$B70)/1000)</f>
        <v>61200</v>
      </c>
      <c r="M70" s="12">
        <f>IF(COUNT(I70:L70)=4,SUM(I70:L70),"")</f>
        <v>207000</v>
      </c>
      <c r="N70" s="11">
        <f>IF(SUMPRODUCT((Inputs!$B$4:$B$150=$B70)*ISNUMBER(INDEX(Inputs!$D$4:$AG$150,0,MATCH(N$2,Inputs!$D$2:$AG$2,0))))=0,"",SUMIFS(INDEX(Inputs!$D$4:$AG$150,0,MATCH(N$2,Inputs!$D$2:$AG$2,0)),Inputs!$B$4:$B$150,$B70)/1000)</f>
        <v>62300</v>
      </c>
      <c r="O70" s="11">
        <f>IF(SUMPRODUCT((Inputs!$B$4:$B$150=$B70)*ISNUMBER(INDEX(Inputs!$D$4:$AG$150,0,MATCH(O$2,Inputs!$D$2:$AG$2,0))))=0,"",SUMIFS(INDEX(Inputs!$D$4:$AG$150,0,MATCH(O$2,Inputs!$D$2:$AG$2,0)),Inputs!$B$4:$B$150,$B70)/1000)</f>
        <v>67900</v>
      </c>
      <c r="P70" s="11">
        <f>IF(SUMPRODUCT((Inputs!$B$4:$B$150=$B70)*ISNUMBER(INDEX(Inputs!$D$4:$AG$150,0,MATCH(P$2,Inputs!$D$2:$AG$2,0))))=0,"",SUMIFS(INDEX(Inputs!$D$4:$AG$150,0,MATCH(P$2,Inputs!$D$2:$AG$2,0)),Inputs!$B$4:$B$150,$B70)/1000)</f>
        <v>64900</v>
      </c>
      <c r="Q70" s="11">
        <f>IF(SUMPRODUCT((Inputs!$B$4:$B$150=$B70)*ISNUMBER(INDEX(Inputs!$D$4:$AG$150,0,MATCH(Q$2,Inputs!$D$2:$AG$2,0))))=0,"",SUMIFS(INDEX(Inputs!$D$4:$AG$150,0,MATCH(Q$2,Inputs!$D$2:$AG$2,0)),Inputs!$B$4:$B$150,$B70)/1000)</f>
        <v>65500</v>
      </c>
      <c r="R70" s="12">
        <f>IF(COUNT(N70:Q70)=4,SUM(N70:Q70),"")</f>
        <v>260600</v>
      </c>
      <c r="S70" s="11">
        <f>IF(SUMPRODUCT((Inputs!$B$4:$B$150=$B70)*ISNUMBER(INDEX(Inputs!$D$4:$AG$150,0,MATCH(S$2,Inputs!$D$2:$AG$2,0))))=0,"",SUMIFS(INDEX(Inputs!$D$4:$AG$150,0,MATCH(S$2,Inputs!$D$2:$AG$2,0)),Inputs!$B$4:$B$150,$B70)/1000)</f>
        <v>80200</v>
      </c>
      <c r="T70" s="11">
        <f>IF(SUMPRODUCT((Inputs!$B$4:$B$150=$B70)*ISNUMBER(INDEX(Inputs!$D$4:$AG$150,0,MATCH(T$2,Inputs!$D$2:$AG$2,0))))=0,"",SUMIFS(INDEX(Inputs!$D$4:$AG$150,0,MATCH(T$2,Inputs!$D$2:$AG$2,0)),Inputs!$B$4:$B$150,$B70)/1000)</f>
        <v>97900</v>
      </c>
      <c r="U70" s="11">
        <f>IF(SUMPRODUCT((Inputs!$B$4:$B$150=$B70)*ISNUMBER(INDEX(Inputs!$D$4:$AG$150,0,MATCH(U$2,Inputs!$D$2:$AG$2,0))))=0,"",SUMIFS(INDEX(Inputs!$D$4:$AG$150,0,MATCH(U$2,Inputs!$D$2:$AG$2,0)),Inputs!$B$4:$B$150,$B70)/1000)</f>
        <v>99100</v>
      </c>
      <c r="V70" s="11">
        <f>IF(SUMPRODUCT((Inputs!$B$4:$B$150=$B70)*ISNUMBER(INDEX(Inputs!$D$4:$AG$150,0,MATCH(V$2,Inputs!$D$2:$AG$2,0))))=0,"",SUMIFS(INDEX(Inputs!$D$4:$AG$150,0,MATCH(V$2,Inputs!$D$2:$AG$2,0)),Inputs!$B$4:$B$150,$B70)/1000)</f>
        <v>97300</v>
      </c>
      <c r="W70" s="12">
        <f>IF(COUNT(S70:V70)=4,SUM(S70:V70),"")</f>
        <v>374500</v>
      </c>
      <c r="X70" s="11">
        <f>IF(SUMPRODUCT((Inputs!$B$4:$B$150=$B70)*ISNUMBER(INDEX(Inputs!$D$4:$AG$150,0,MATCH(X$2,Inputs!$D$2:$AG$2,0))))=0,"",SUMIFS(INDEX(Inputs!$D$4:$AG$150,0,MATCH(X$2,Inputs!$D$2:$AG$2,0)),Inputs!$B$4:$B$150,$B70)/1000)</f>
        <v>130200</v>
      </c>
      <c r="Y70" s="11">
        <f>IF(SUMPRODUCT((Inputs!$B$4:$B$150=$B70)*ISNUMBER(INDEX(Inputs!$D$4:$AG$150,0,MATCH(Y$2,Inputs!$D$2:$AG$2,0))))=0,"",SUMIFS(INDEX(Inputs!$D$4:$AG$150,0,MATCH(Y$2,Inputs!$D$2:$AG$2,0)),Inputs!$B$4:$B$150,$B70)/1000)</f>
        <v>137800</v>
      </c>
      <c r="Z70" s="11">
        <f>IF(SUMPRODUCT((Inputs!$B$4:$B$150=$B70)*ISNUMBER(INDEX(Inputs!$D$4:$AG$150,0,MATCH(Z$2,Inputs!$D$2:$AG$2,0))))=0,"",SUMIFS(INDEX(Inputs!$D$4:$AG$150,0,MATCH(Z$2,Inputs!$D$2:$AG$2,0)),Inputs!$B$4:$B$150,$B70)/1000)</f>
        <v>455300</v>
      </c>
      <c r="AA70" s="11">
        <f>IF(SUMPRODUCT((Inputs!$B$4:$B$150=$B70)*ISNUMBER(INDEX(Inputs!$D$4:$AG$150,0,MATCH(AA$2,Inputs!$D$2:$AG$2,0))))=0,"",SUMIFS(INDEX(Inputs!$D$4:$AG$150,0,MATCH(AA$2,Inputs!$D$2:$AG$2,0)),Inputs!$B$4:$B$150,$B70)/1000)</f>
        <v>523300</v>
      </c>
      <c r="AB70" s="12">
        <f>IF(COUNT(X70:AA70)=4,SUM(X70:AA70),"")</f>
        <v>1246600</v>
      </c>
      <c r="AC70" s="11">
        <f>IF(SUMPRODUCT((Inputs!$B$4:$B$150=$B70)*ISNUMBER(INDEX(Inputs!$D$4:$AG$150,0,MATCH(AC$2,Inputs!$D$2:$AG$2,0))))=0,"",SUMIFS(INDEX(Inputs!$D$4:$AG$150,0,MATCH(AC$2,Inputs!$D$2:$AG$2,0)),Inputs!$B$4:$B$150,$B70)/1000)</f>
        <v>552600</v>
      </c>
      <c r="AD70" s="11">
        <f>IF(SUMPRODUCT((Inputs!$B$4:$B$150=$B70)*ISNUMBER(INDEX(Inputs!$D$4:$AG$150,0,MATCH(AD$2,Inputs!$D$2:$AG$2,0))))=0,"",SUMIFS(INDEX(Inputs!$D$4:$AG$150,0,MATCH(AD$2,Inputs!$D$2:$AG$2,0)),Inputs!$B$4:$B$150,$B70)/1000)</f>
        <v>638000</v>
      </c>
      <c r="AE70" s="11" t="str">
        <f>IF(SUMPRODUCT((Inputs!$B$4:$B$150=$B70)*ISNUMBER(INDEX(Inputs!$D$4:$AG$150,0,MATCH(AE$2,Inputs!$D$2:$AG$2,0))))=0,"",SUMIFS(INDEX(Inputs!$D$4:$AG$150,0,MATCH(AE$2,Inputs!$D$2:$AG$2,0)),Inputs!$B$4:$B$150,$B70)/1000)</f>
        <v/>
      </c>
      <c r="AF70" s="11" t="str">
        <f>IF(SUMPRODUCT((Inputs!$B$4:$B$150=$B70)*ISNUMBER(INDEX(Inputs!$D$4:$AG$150,0,MATCH(AF$2,Inputs!$D$2:$AG$2,0))))=0,"",SUMIFS(INDEX(Inputs!$D$4:$AG$150,0,MATCH(AF$2,Inputs!$D$2:$AG$2,0)),Inputs!$B$4:$B$150,$B70)/1000)</f>
        <v/>
      </c>
      <c r="AG70" s="12" t="str">
        <f>IF(COUNT(AC70:AF70)=4,SUM(AC70:AF70),"")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8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5042.15852862344</v>
      </c>
      <c r="AK1" s="12">
        <f>IF(AK2="","",SUM(AK2,AK3))</f>
        <v>5424.55993920912</v>
      </c>
      <c r="AL1" s="12">
        <f>IF(AL2="","",SUM(AL2,AL3))</f>
        <v>18491.7184678326</v>
      </c>
      <c r="AM1" s="12">
        <f>IF(AM2="","",SUM(AM2,AM3))</f>
        <v>5806.96134979479</v>
      </c>
      <c r="AN1" s="12">
        <f>IF(AN2="","",SUM(AN2,AN3))</f>
        <v>6480.55535395365</v>
      </c>
      <c r="AO1" s="12">
        <f>IF(AO2="","",SUM(AO2,AO3))</f>
        <v>5768.09608971239</v>
      </c>
      <c r="AP1" s="12">
        <f>IF(AP2="","",SUM(AP2,AP3))</f>
        <v>6205.55319634206</v>
      </c>
      <c r="AQ1" s="12">
        <f>IF(AQ2="","",SUM(AQ2,AQ3))</f>
        <v>24261.1659898029</v>
      </c>
      <c r="AR1" s="12">
        <f>IF(AR2="","",SUM(AR2,AR3))</f>
        <v>6613.97549622275</v>
      </c>
      <c r="AS1" s="12">
        <f>IF(AS2="","",SUM(AS2,AS3))</f>
        <v>7381.18126349839</v>
      </c>
      <c r="AT1" s="12">
        <f>IF(AT2="","",SUM(AT2,AT3))</f>
        <v>6569.70899221918</v>
      </c>
      <c r="AU1" s="12">
        <f>IF(AU2="","",SUM(AU2,AU3))</f>
        <v>7067.9610744376</v>
      </c>
      <c r="AV1" s="12">
        <f>IF(AV2="","",SUM(AV2,AV3))</f>
        <v>27632.8268263779</v>
      </c>
      <c r="AW1" s="12">
        <f>IF(AW2="","",SUM(AW2,AW3))</f>
        <v>7500.07340169379</v>
      </c>
      <c r="AX1" s="12">
        <f>IF(AX2="","",SUM(AX2,AX3))</f>
        <v>8370.06446411248</v>
      </c>
      <c r="AY1" s="12">
        <f>IF(AY2="","",SUM(AY2,AY3))</f>
        <v>7449.87635614186</v>
      </c>
      <c r="AZ1" s="12">
        <f>IF(AZ2="","",SUM(AZ2,AZ3))</f>
        <v>8014.88104830002</v>
      </c>
      <c r="BA1" s="12">
        <f>IF(BA2="","",SUM(BA2,BA3))</f>
        <v>31334.8952702482</v>
      </c>
      <c r="BB1" s="12">
        <f>IF(BB2="","",SUM(BB2,BB3))</f>
        <v>8467.38463943276</v>
      </c>
      <c r="BC1" s="12">
        <f>IF(BC2="","",SUM(BC2,BC3))</f>
        <v>9449.58155455952</v>
      </c>
      <c r="BD1" s="12">
        <f>IF(BD2="","",SUM(BD2,BD3))</f>
        <v>8410.71350174026</v>
      </c>
      <c r="BE1" s="12">
        <f>IF(BE2="","",SUM(BE2,BE3))</f>
        <v>9048.58886580096</v>
      </c>
      <c r="BF1" s="12">
        <f>IF(BF2="","",SUM(BF2,BF3))</f>
        <v>35376.2685615335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IF(COUNT(I203,I279)&lt;2,"",ABS(I203-I279))</f>
        <v>0</v>
      </c>
      <c r="J2" s="12">
        <f>IF(COUNT(J203,J279)&lt;2,"",ABS(J203-J279))</f>
        <v>0</v>
      </c>
      <c r="K2" s="12">
        <f>IF(COUNT(K203,K279)&lt;2,"",ABS(K203-K279))</f>
        <v>0</v>
      </c>
      <c r="L2" s="12">
        <f>IF(COUNT(L203,L279)&lt;2,"",ABS(L203-L279))</f>
        <v>0</v>
      </c>
      <c r="M2" s="12">
        <f>IF(COUNT(M203,M279)&lt;2,"",ABS(M203-M279))</f>
        <v>0</v>
      </c>
      <c r="N2" s="12">
        <f>IF(COUNT(N203,N279)&lt;2,"",ABS(N203-N279))</f>
        <v>0</v>
      </c>
      <c r="O2" s="12">
        <f>IF(COUNT(O203,O279)&lt;2,"",ABS(O203-O279))</f>
        <v>0</v>
      </c>
      <c r="P2" s="12">
        <f>IF(COUNT(P203,P279)&lt;2,"",ABS(P203-P279))</f>
        <v>0</v>
      </c>
      <c r="Q2" s="12">
        <f>IF(COUNT(Q203,Q279)&lt;2,"",ABS(Q203-Q279))</f>
        <v>0</v>
      </c>
      <c r="R2" s="12">
        <f>IF(COUNT(R203,R279)&lt;2,"",ABS(R203-R279))</f>
        <v>0</v>
      </c>
      <c r="S2" s="12">
        <f>IF(COUNT(S203,S279)&lt;2,"",ABS(S203-S279))</f>
        <v>0</v>
      </c>
      <c r="T2" s="12">
        <f>IF(COUNT(T203,T279)&lt;2,"",ABS(T203-T279))</f>
        <v>0</v>
      </c>
      <c r="U2" s="12">
        <f>IF(COUNT(U203,U279)&lt;2,"",ABS(U203-U279))</f>
        <v>0</v>
      </c>
      <c r="V2" s="12">
        <f>IF(COUNT(V203,V279)&lt;2,"",ABS(V203-V279))</f>
        <v>0</v>
      </c>
      <c r="W2" s="12">
        <f>IF(COUNT(W203,W279)&lt;2,"",ABS(W203-W279))</f>
        <v>0</v>
      </c>
      <c r="X2" s="12">
        <f>IF(COUNT(X203,X279)&lt;2,"",ABS(X203-X279))</f>
        <v>0</v>
      </c>
      <c r="Y2" s="12">
        <f>IF(COUNT(Y203,Y279)&lt;2,"",ABS(Y203-Y279))</f>
        <v>0</v>
      </c>
      <c r="Z2" s="12">
        <f>IF(COUNT(Z203,Z279)&lt;2,"",ABS(Z203-Z279))</f>
        <v>0</v>
      </c>
      <c r="AA2" s="12">
        <f>IF(COUNT(AA203,AA279)&lt;2,"",ABS(AA203-AA279))</f>
        <v>0</v>
      </c>
      <c r="AB2" s="12">
        <f>IF(COUNT(AB203,AB279)&lt;2,"",ABS(AB203-AB279))</f>
        <v>0</v>
      </c>
      <c r="AC2" s="12">
        <f>IF(COUNT(AC203,AC279)&lt;2,"",ABS(AC203-AC279))</f>
        <v>0</v>
      </c>
      <c r="AD2" s="12">
        <f>IF(COUNT(AD203,AD279)&lt;2,"",ABS(AD203-AD279))</f>
        <v>0</v>
      </c>
      <c r="AE2" s="12">
        <f>IF(COUNT(AE203,AE279)&lt;2,"",ABS(AE203-AE279))</f>
        <v>0</v>
      </c>
      <c r="AF2" s="12">
        <f>IF(COUNT(AF203,AF279)&lt;2,"",ABS(AF203-AF279))</f>
        <v>0</v>
      </c>
      <c r="AG2" s="12">
        <f>IF(COUNT(AG203,AG279)&lt;2,"",ABS(AG203-AG279))</f>
        <v>0</v>
      </c>
      <c r="AH2" s="12">
        <f>IF(COUNT(AH203,AH279)&lt;2,"",ABS(AH203-AH279))</f>
        <v>0</v>
      </c>
      <c r="AI2" s="12">
        <f>IF(COUNT(AI203,AI279)&lt;2,"",ABS(AI203-AI279))</f>
        <v>0</v>
      </c>
      <c r="AJ2" s="12">
        <f>IF(COUNT(AJ203,AJ279)&lt;2,"",ABS(AJ203-AJ279))</f>
        <v>0</v>
      </c>
      <c r="AK2" s="12">
        <f>IF(COUNT(AK203,AK279)&lt;2,"",ABS(AK203-AK279))</f>
        <v>0</v>
      </c>
      <c r="AL2" s="12">
        <f>IF(COUNT(AL203,AL279)&lt;2,"",ABS(AL203-AL279))</f>
        <v>0</v>
      </c>
      <c r="AM2" s="12">
        <f>IF(COUNT(AM203,AM279)&lt;2,"",ABS(AM203-AM279))</f>
        <v>0</v>
      </c>
      <c r="AN2" s="12">
        <f>IF(COUNT(AN203,AN279)&lt;2,"",ABS(AN203-AN279))</f>
        <v>0</v>
      </c>
      <c r="AO2" s="12">
        <f>IF(COUNT(AO203,AO279)&lt;2,"",ABS(AO203-AO279))</f>
        <v>0</v>
      </c>
      <c r="AP2" s="12">
        <f>IF(COUNT(AP203,AP279)&lt;2,"",ABS(AP203-AP279))</f>
        <v>0</v>
      </c>
      <c r="AQ2" s="12">
        <f>IF(COUNT(AQ203,AQ279)&lt;2,"",ABS(AQ203-AQ279))</f>
        <v>0</v>
      </c>
      <c r="AR2" s="12">
        <f>IF(COUNT(AR203,AR279)&lt;2,"",ABS(AR203-AR279))</f>
        <v>0</v>
      </c>
      <c r="AS2" s="12">
        <f>IF(COUNT(AS203,AS279)&lt;2,"",ABS(AS203-AS279))</f>
        <v>0</v>
      </c>
      <c r="AT2" s="12">
        <f>IF(COUNT(AT203,AT279)&lt;2,"",ABS(AT203-AT279))</f>
        <v>0</v>
      </c>
      <c r="AU2" s="12">
        <f>IF(COUNT(AU203,AU279)&lt;2,"",ABS(AU203-AU279))</f>
        <v>0</v>
      </c>
      <c r="AV2" s="12">
        <f>IF(COUNT(AV203,AV279)&lt;2,"",ABS(AV203-AV279))</f>
        <v>0</v>
      </c>
      <c r="AW2" s="12">
        <f>IF(COUNT(AW203,AW279)&lt;2,"",ABS(AW203-AW279))</f>
        <v>0</v>
      </c>
      <c r="AX2" s="12">
        <f>IF(COUNT(AX203,AX279)&lt;2,"",ABS(AX203-AX279))</f>
        <v>0</v>
      </c>
      <c r="AY2" s="12">
        <f>IF(COUNT(AY203,AY279)&lt;2,"",ABS(AY203-AY279))</f>
        <v>0</v>
      </c>
      <c r="AZ2" s="12">
        <f>IF(COUNT(AZ203,AZ279)&lt;2,"",ABS(AZ203-AZ279))</f>
        <v>0</v>
      </c>
      <c r="BA2" s="12">
        <f>IF(COUNT(BA203,BA279)&lt;2,"",ABS(BA203-BA279))</f>
        <v>0</v>
      </c>
      <c r="BB2" s="12">
        <f>IF(COUNT(BB203,BB279)&lt;2,"",ABS(BB203-BB279))</f>
        <v>0</v>
      </c>
      <c r="BC2" s="12">
        <f>IF(COUNT(BC203,BC279)&lt;2,"",ABS(BC203-BC279))</f>
        <v>0</v>
      </c>
      <c r="BD2" s="12">
        <f>IF(COUNT(BD203,BD279)&lt;2,"",ABS(BD203-BD279))</f>
        <v>0</v>
      </c>
      <c r="BE2" s="12">
        <f>IF(COUNT(BE203,BE279)&lt;2,"",ABS(BE203-BE279))</f>
        <v>0</v>
      </c>
      <c r="BF2" s="12">
        <f>IF(COUNT(BF203,BF279)&lt;2,"",ABS(BF203-BF279))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IF(COUNT(I143,I4)&lt;2,"",ABS(I143-I4))</f>
        <v>0</v>
      </c>
      <c r="J3" s="12">
        <f>IF(COUNT(J143,J4)&lt;2,"",ABS(J143-J4))</f>
        <v>0</v>
      </c>
      <c r="K3" s="12">
        <f>IF(COUNT(K143,K4)&lt;2,"",ABS(K143-K4))</f>
        <v>0</v>
      </c>
      <c r="L3" s="12">
        <f>IF(COUNT(L143,L4)&lt;2,"",ABS(L143-L4))</f>
        <v>0</v>
      </c>
      <c r="M3" s="12">
        <f>IF(COUNT(M143,M4)&lt;2,"",ABS(M143-M4))</f>
        <v>0</v>
      </c>
      <c r="N3" s="12">
        <f>IF(COUNT(N143,N4)&lt;2,"",ABS(N143-N4))</f>
        <v>0</v>
      </c>
      <c r="O3" s="12">
        <f>IF(COUNT(O143,O4)&lt;2,"",ABS(O143-O4))</f>
        <v>0</v>
      </c>
      <c r="P3" s="12">
        <f>IF(COUNT(P143,P4)&lt;2,"",ABS(P143-P4))</f>
        <v>0</v>
      </c>
      <c r="Q3" s="12">
        <f>IF(COUNT(Q143,Q4)&lt;2,"",ABS(Q143-Q4))</f>
        <v>0</v>
      </c>
      <c r="R3" s="12">
        <f>IF(COUNT(R143,R4)&lt;2,"",ABS(R143-R4))</f>
        <v>0</v>
      </c>
      <c r="S3" s="12">
        <f>IF(COUNT(S143,S4)&lt;2,"",ABS(S143-S4))</f>
        <v>0</v>
      </c>
      <c r="T3" s="12">
        <f>IF(COUNT(T143,T4)&lt;2,"",ABS(T143-T4))</f>
        <v>0</v>
      </c>
      <c r="U3" s="12">
        <f>IF(COUNT(U143,U4)&lt;2,"",ABS(U143-U4))</f>
        <v>0</v>
      </c>
      <c r="V3" s="12">
        <f>IF(COUNT(V143,V4)&lt;2,"",ABS(V143-V4))</f>
        <v>0</v>
      </c>
      <c r="W3" s="12">
        <f>IF(COUNT(W143,W4)&lt;2,"",ABS(W143-W4))</f>
        <v>0</v>
      </c>
      <c r="X3" s="12">
        <f>IF(COUNT(X143,X4)&lt;2,"",ABS(X143-X4))</f>
        <v>0</v>
      </c>
      <c r="Y3" s="12">
        <f>IF(COUNT(Y143,Y4)&lt;2,"",ABS(Y143-Y4))</f>
        <v>0</v>
      </c>
      <c r="Z3" s="12">
        <f>IF(COUNT(Z143,Z4)&lt;2,"",ABS(Z143-Z4))</f>
        <v>0</v>
      </c>
      <c r="AA3" s="12">
        <f>IF(COUNT(AA143,AA4)&lt;2,"",ABS(AA143-AA4))</f>
        <v>0</v>
      </c>
      <c r="AB3" s="12">
        <f>IF(COUNT(AB143,AB4)&lt;2,"",ABS(AB143-AB4))</f>
        <v>0</v>
      </c>
      <c r="AC3" s="12">
        <f>IF(COUNT(AC143,AC4)&lt;2,"",ABS(AC143-AC4))</f>
        <v>0</v>
      </c>
      <c r="AD3" s="12">
        <f>IF(COUNT(AD143,AD4)&lt;2,"",ABS(AD143-AD4))</f>
        <v>0</v>
      </c>
      <c r="AE3" s="12">
        <f>IF(COUNT(AE143,AE4)&lt;2,"",ABS(AE143-AE4))</f>
        <v>0</v>
      </c>
      <c r="AF3" s="12">
        <f>IF(COUNT(AF143,AF4)&lt;2,"",ABS(AF143-AF4))</f>
        <v>0</v>
      </c>
      <c r="AG3" s="12">
        <f>IF(COUNT(AG143,AG4)&lt;2,"",ABS(AG143-AG4))</f>
        <v>0</v>
      </c>
      <c r="AH3" s="12">
        <f>IF(COUNT(AH143,AH4)&lt;2,"",ABS(AH143-AH4))</f>
        <v>0</v>
      </c>
      <c r="AI3" s="12">
        <f>IF(COUNT(AI143,AI4)&lt;2,"",ABS(AI143-AI4))</f>
        <v>0</v>
      </c>
      <c r="AJ3" s="12">
        <f>ABS(AJ143-AJ4)</f>
        <v>5042.15852862344</v>
      </c>
      <c r="AK3" s="12">
        <f>ABS(AK143-AK4)</f>
        <v>5424.55993920912</v>
      </c>
      <c r="AL3" s="12">
        <f>ABS(AL143-AL4)</f>
        <v>18491.7184678326</v>
      </c>
      <c r="AM3" s="12">
        <f>ABS(AM143-AM4)</f>
        <v>5806.96134979479</v>
      </c>
      <c r="AN3" s="12">
        <f>ABS(AN143-AN4)</f>
        <v>6480.55535395365</v>
      </c>
      <c r="AO3" s="12">
        <f>ABS(AO143-AO4)</f>
        <v>5768.09608971239</v>
      </c>
      <c r="AP3" s="12">
        <f>ABS(AP143-AP4)</f>
        <v>6205.55319634206</v>
      </c>
      <c r="AQ3" s="12">
        <f>ABS(AQ143-AQ4)</f>
        <v>24261.1659898029</v>
      </c>
      <c r="AR3" s="12">
        <f>ABS(AR143-AR4)</f>
        <v>6613.97549622275</v>
      </c>
      <c r="AS3" s="12">
        <f>ABS(AS143-AS4)</f>
        <v>7381.18126349839</v>
      </c>
      <c r="AT3" s="12">
        <f>ABS(AT143-AT4)</f>
        <v>6569.70899221918</v>
      </c>
      <c r="AU3" s="12">
        <f>ABS(AU143-AU4)</f>
        <v>7067.9610744376</v>
      </c>
      <c r="AV3" s="12">
        <f>ABS(AV143-AV4)</f>
        <v>27632.8268263779</v>
      </c>
      <c r="AW3" s="12">
        <f>ABS(AW143-AW4)</f>
        <v>7500.07340169379</v>
      </c>
      <c r="AX3" s="12">
        <f>ABS(AX143-AX4)</f>
        <v>8370.06446411248</v>
      </c>
      <c r="AY3" s="12">
        <f>ABS(AY143-AY4)</f>
        <v>7449.87635614186</v>
      </c>
      <c r="AZ3" s="12">
        <f>ABS(AZ143-AZ4)</f>
        <v>8014.88104830002</v>
      </c>
      <c r="BA3" s="12">
        <f>ABS(BA143-BA4)</f>
        <v>31334.8952702482</v>
      </c>
      <c r="BB3" s="12">
        <f>ABS(BB143-BB4)</f>
        <v>8467.38463943276</v>
      </c>
      <c r="BC3" s="12">
        <f>ABS(BC143-BC4)</f>
        <v>9449.58155455952</v>
      </c>
      <c r="BD3" s="12">
        <f>ABS(BD143-BD4)</f>
        <v>8410.71350174026</v>
      </c>
      <c r="BE3" s="12">
        <f>ABS(BE143-BE4)</f>
        <v>9048.58886580096</v>
      </c>
      <c r="BF3" s="12">
        <f>ABS(BF143-BF4)</f>
        <v>35376.2685615335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5021</v>
      </c>
      <c r="J4">
        <f>IF(ISNUMBER('Inputs (2)'!E50),'Inputs (2)'!E50,"")</f>
        <v>4032</v>
      </c>
      <c r="K4">
        <f>IF(ISNUMBER('Inputs (2)'!F50),'Inputs (2)'!F50,"")</f>
        <v>2457</v>
      </c>
      <c r="L4">
        <f>IF(ISNUMBER('Inputs (2)'!G50),'Inputs (2)'!G50,"")</f>
        <v>-1247</v>
      </c>
      <c r="M4" s="11">
        <f>IF(COUNT(I4:L4)=4,SUM(I4:L4),"")</f>
        <v>10263</v>
      </c>
      <c r="N4">
        <f>IF(ISNUMBER('Inputs (2)'!I50),'Inputs (2)'!I50,"")</f>
        <v>2319</v>
      </c>
      <c r="O4">
        <f>IF(ISNUMBER('Inputs (2)'!J50),'Inputs (2)'!J50,"")</f>
        <v>3189</v>
      </c>
      <c r="P4">
        <f>IF(ISNUMBER('Inputs (2)'!K50),'Inputs (2)'!K50,"")</f>
        <v>1548</v>
      </c>
      <c r="Q4">
        <f>IF(ISNUMBER('Inputs (2)'!L50),'Inputs (2)'!L50,"")</f>
        <v>1741</v>
      </c>
      <c r="R4" s="11">
        <f>IF(COUNT(N4:Q4)=4,SUM(N4:Q4),"")</f>
        <v>8797</v>
      </c>
      <c r="S4">
        <f>IF(ISNUMBER('Inputs (2)'!N50),'Inputs (2)'!N50,"")</f>
        <v>1896</v>
      </c>
      <c r="T4">
        <f>IF(ISNUMBER('Inputs (2)'!O50),'Inputs (2)'!O50,"")</f>
        <v>3319</v>
      </c>
      <c r="U4">
        <f>IF(ISNUMBER('Inputs (2)'!P50),'Inputs (2)'!P50,"")</f>
        <v>2420</v>
      </c>
      <c r="V4">
        <f>IF(ISNUMBER('Inputs (2)'!Q50),'Inputs (2)'!Q50,"")</f>
        <v>2503</v>
      </c>
      <c r="W4" s="11">
        <f>IF(COUNT(S4:V4)=4,SUM(S4:V4),"")</f>
        <v>10138</v>
      </c>
      <c r="X4">
        <f>IF(ISNUMBER('Inputs (2)'!S50),'Inputs (2)'!S50,"")</f>
        <v>2401</v>
      </c>
      <c r="Y4">
        <f>IF(ISNUMBER('Inputs (2)'!T50),'Inputs (2)'!T50,"")</f>
        <v>3144</v>
      </c>
      <c r="Z4">
        <f>IF(ISNUMBER('Inputs (2)'!U50),'Inputs (2)'!U50,"")</f>
        <v>2929</v>
      </c>
      <c r="AA4">
        <f>IF(ISNUMBER('Inputs (2)'!V50),'Inputs (2)'!V50,"")</f>
        <v>3151</v>
      </c>
      <c r="AB4" s="11">
        <f>IF(COUNT(X4:AA4)=4,SUM(X4:AA4),"")</f>
        <v>11625</v>
      </c>
      <c r="AC4">
        <f>IF(ISNUMBER('Inputs (2)'!X50),'Inputs (2)'!X50,"")</f>
        <v>2936</v>
      </c>
      <c r="AD4">
        <f>IF(ISNUMBER('Inputs (2)'!Y50),'Inputs (2)'!Y50,"")</f>
        <v>3427</v>
      </c>
      <c r="AE4">
        <f>IF(ISNUMBER('Inputs (2)'!Z50),'Inputs (2)'!Z50,"")</f>
        <v>2927</v>
      </c>
      <c r="AF4">
        <f>IF(ISNUMBER('Inputs (2)'!AA50),'Inputs (2)'!AA50,"")</f>
        <v>6135</v>
      </c>
      <c r="AG4" s="11">
        <f>IF(COUNT(AC4:AF4)=4,SUM(AC4:AF4),"")</f>
        <v>15425</v>
      </c>
      <c r="AH4" s="11">
        <f>IF(ISNUMBER('Inputs (2)'!AC50),'Inputs (2)'!AC50,"")</f>
        <v>3721</v>
      </c>
      <c r="AI4" s="11">
        <f>IF(ISNUMBER('Inputs (2)'!AD50),'Inputs (2)'!AD50,"")</f>
        <v>4304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10085</v>
      </c>
      <c r="J15" s="34">
        <f>'Inputs (2)'!E4</f>
        <v>11227</v>
      </c>
      <c r="K15" s="34">
        <f>'Inputs (2)'!F4</f>
        <v>9728</v>
      </c>
      <c r="L15" s="34">
        <f>'Inputs (2)'!G4</f>
        <v>10360</v>
      </c>
      <c r="M15" s="35">
        <f>'Inputs (2)'!H4</f>
        <v>41400</v>
      </c>
      <c r="N15" s="34">
        <f>'Inputs (2)'!I4</f>
        <v>10513</v>
      </c>
      <c r="O15" s="34">
        <f>'Inputs (2)'!J4</f>
        <v>11840</v>
      </c>
      <c r="P15" s="34">
        <f>'Inputs (2)'!K4</f>
        <v>11445</v>
      </c>
      <c r="Q15" s="34">
        <f>'Inputs (2)'!L4</f>
        <v>12275</v>
      </c>
      <c r="R15" s="35">
        <f>'Inputs (2)'!M4</f>
        <v>46073</v>
      </c>
      <c r="S15" s="34">
        <f>'Inputs (2)'!N4</f>
        <v>12398</v>
      </c>
      <c r="T15" s="34">
        <f>'Inputs (2)'!O4</f>
        <v>13836</v>
      </c>
      <c r="U15" s="34">
        <f>'Inputs (2)'!P4</f>
        <v>12453</v>
      </c>
      <c r="V15" s="34">
        <f>'Inputs (2)'!Q4</f>
        <v>12941</v>
      </c>
      <c r="W15" s="35">
        <f>'Inputs (2)'!R4</f>
        <v>51628</v>
      </c>
      <c r="X15" s="34">
        <f>'Inputs (2)'!S4</f>
        <v>13280</v>
      </c>
      <c r="Y15" s="34">
        <f>'Inputs (2)'!T4</f>
        <v>14287</v>
      </c>
      <c r="Z15" s="34">
        <f>'Inputs (2)'!U4</f>
        <v>13307</v>
      </c>
      <c r="AA15" s="34">
        <f>'Inputs (2)'!V4</f>
        <v>14059</v>
      </c>
      <c r="AB15" s="35">
        <f>'Inputs (2)'!W4</f>
        <v>54933</v>
      </c>
      <c r="AC15" s="34">
        <f>'Inputs (2)'!X4</f>
        <v>14130</v>
      </c>
      <c r="AD15" s="34">
        <f>'Inputs (2)'!Y4</f>
        <v>15903</v>
      </c>
      <c r="AE15" s="34">
        <f>'Inputs (2)'!Z4</f>
        <v>14926</v>
      </c>
      <c r="AF15" s="34">
        <f>'Inputs (2)'!AA4</f>
        <v>16058</v>
      </c>
      <c r="AG15" s="35">
        <f>'Inputs (2)'!AB4</f>
        <v>61017</v>
      </c>
      <c r="AH15" s="35">
        <f>'Inputs (2)'!AC4</f>
        <v>17190</v>
      </c>
      <c r="AI15" s="35">
        <f>'Inputs (2)'!AD4</f>
        <v>19184</v>
      </c>
      <c r="AJ15" s="35">
        <f>AE15*(1+AJ16)</f>
        <v>17074.9494975819</v>
      </c>
      <c r="AK15" s="35">
        <f>AF15*(1+AK16)</f>
        <v>18369.9275781971</v>
      </c>
      <c r="AL15" s="35">
        <f>SUM(AH15:AK15)</f>
        <v>71818.877075779</v>
      </c>
      <c r="AM15" s="35">
        <f>AH15*(1+AM16)</f>
        <v>19664.9056588123</v>
      </c>
      <c r="AN15" s="35">
        <f>AI15*(1+AN16)</f>
        <v>21945.9889562918</v>
      </c>
      <c r="AO15" s="35">
        <f>AJ15*(1+AO16)</f>
        <v>19533.2909248943</v>
      </c>
      <c r="AP15" s="35">
        <f>AK15*(1+AP16)</f>
        <v>21014.7116221327</v>
      </c>
      <c r="AQ15" s="35">
        <f>SUM(AM15:AP15)</f>
        <v>82158.8971621311</v>
      </c>
      <c r="AR15" s="35">
        <f>AM15*(1+AR16)</f>
        <v>22397.807791077</v>
      </c>
      <c r="AS15" s="35">
        <f>AN15*(1+AS16)</f>
        <v>24995.9013766156</v>
      </c>
      <c r="AT15" s="35">
        <f>AO15*(1+AT16)</f>
        <v>22247.9020877944</v>
      </c>
      <c r="AU15" s="35">
        <f>AP15*(1+AU16)</f>
        <v>23935.2011071823</v>
      </c>
      <c r="AV15" s="35">
        <f>SUM(AR15:AU15)</f>
        <v>93576.8123626694</v>
      </c>
      <c r="AW15" s="35">
        <f>AR15*(1+AW16)</f>
        <v>25398.5220486594</v>
      </c>
      <c r="AX15" s="35">
        <f>AS15*(1+AX16)</f>
        <v>28344.6915056127</v>
      </c>
      <c r="AY15" s="35">
        <f>AT15*(1+AY16)</f>
        <v>25228.5329432274</v>
      </c>
      <c r="AZ15" s="35">
        <f>AU15*(1+AZ16)</f>
        <v>27141.8854349689</v>
      </c>
      <c r="BA15" s="35">
        <f>SUM(AW15:AZ15)</f>
        <v>106113.631932468</v>
      </c>
      <c r="BB15" s="35">
        <f>AW15*(1+BB16)</f>
        <v>28674.2600959805</v>
      </c>
      <c r="BC15" s="35">
        <f>AX15*(1+BC16)</f>
        <v>32000.407543996</v>
      </c>
      <c r="BD15" s="35">
        <f>AY15*(1+BD16)</f>
        <v>28482.3468888537</v>
      </c>
      <c r="BE15" s="35">
        <f>AZ15*(1+BE16)</f>
        <v>30642.4712810675</v>
      </c>
      <c r="BF15" s="35">
        <f>SUM(BB15:BE15)</f>
        <v>119799.485809898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0.0424392662369857</v>
      </c>
      <c r="O16" s="40">
        <f>IFERROR(O15/J15-1,"")</f>
        <v>0.0546005166117396</v>
      </c>
      <c r="P16" s="40">
        <f>IFERROR(P15/K15-1,"")</f>
        <v>0.176500822368421</v>
      </c>
      <c r="Q16" s="40">
        <f>IFERROR(Q15/L15-1,"")</f>
        <v>0.18484555984556</v>
      </c>
      <c r="R16" s="40">
        <f>IFERROR(R15/M15-1,"")</f>
        <v>0.112874396135266</v>
      </c>
      <c r="S16" s="40">
        <f>IFERROR(S15/N15-1,"")</f>
        <v>0.17930181679825</v>
      </c>
      <c r="T16" s="40">
        <f>IFERROR(T15/O15-1,"")</f>
        <v>0.168581081081081</v>
      </c>
      <c r="U16" s="40">
        <f>IFERROR(U15/P15-1,"")</f>
        <v>0.0880733944954129</v>
      </c>
      <c r="V16" s="40">
        <f>IFERROR(V15/Q15-1,"")</f>
        <v>0.0542566191446028</v>
      </c>
      <c r="W16" s="40">
        <f>IFERROR(W15/R15-1,"")</f>
        <v>0.120569530961735</v>
      </c>
      <c r="X16" s="40">
        <f>IFERROR(X15/S15-1,"")</f>
        <v>0.0711405065333117</v>
      </c>
      <c r="Y16" s="40">
        <f>IFERROR(Y15/T15-1,"")</f>
        <v>0.0325961260479908</v>
      </c>
      <c r="Z16" s="40">
        <f>IFERROR(Z15/U15-1,"")</f>
        <v>0.0685778527262506</v>
      </c>
      <c r="AA16" s="40">
        <f>IFERROR(AA15/V15-1,"")</f>
        <v>0.0863920871648249</v>
      </c>
      <c r="AB16" s="40">
        <f>IFERROR(AB15/W15-1,"")</f>
        <v>0.0640156504222516</v>
      </c>
      <c r="AC16" s="40">
        <f>IFERROR(AC15/X15-1,"")</f>
        <v>0.0640060240963856</v>
      </c>
      <c r="AD16" s="40">
        <f>IFERROR(AD15/Y15-1,"")</f>
        <v>0.11310982011619</v>
      </c>
      <c r="AE16" s="40">
        <f>IFERROR(AE15/Z15-1,"")</f>
        <v>0.121665288945668</v>
      </c>
      <c r="AF16" s="41">
        <f>IFERROR(AF15/AA15-1,"")</f>
        <v>0.142186499751049</v>
      </c>
      <c r="AG16" s="40">
        <f>IFERROR(AG15/AB15-1,"")</f>
        <v>0.110753099229971</v>
      </c>
      <c r="AH16" s="41">
        <f>IFERROR(AH15/AC15-1,"")</f>
        <v>0.21656050955414</v>
      </c>
      <c r="AI16" s="41">
        <f>IFERROR(AI15/AD15-1,"")</f>
        <v>0.206313274224989</v>
      </c>
      <c r="AJ16" s="41">
        <f>Control!$B$18</f>
        <v>0.14397356944807</v>
      </c>
      <c r="AK16" s="41">
        <f>Control!$B$18</f>
        <v>0.14397356944807</v>
      </c>
      <c r="AL16" s="42">
        <f>IFERROR(AL15/AG15-1,"")</f>
        <v>0.177030615660865</v>
      </c>
      <c r="AM16" s="41">
        <f>Control!$C$18</f>
        <v>0.14397356944807</v>
      </c>
      <c r="AN16" s="41">
        <f>Control!$C$18</f>
        <v>0.14397356944807</v>
      </c>
      <c r="AO16" s="41">
        <f>Control!$C$18</f>
        <v>0.14397356944807</v>
      </c>
      <c r="AP16" s="41">
        <f>Control!$C$18</f>
        <v>0.14397356944807</v>
      </c>
      <c r="AQ16" s="42">
        <f>IFERROR(AQ15/AL15-1,"")</f>
        <v>0.14397356944807</v>
      </c>
      <c r="AR16" s="41">
        <f>Control!$D$18</f>
        <v>0.13897356944807</v>
      </c>
      <c r="AS16" s="41">
        <f>Control!$D$18</f>
        <v>0.13897356944807</v>
      </c>
      <c r="AT16" s="41">
        <f>Control!$D$18</f>
        <v>0.13897356944807</v>
      </c>
      <c r="AU16" s="41">
        <f>Control!$D$18</f>
        <v>0.13897356944807</v>
      </c>
      <c r="AV16" s="42">
        <f>IFERROR(AV15/AQ15-1,"")</f>
        <v>0.13897356944807</v>
      </c>
      <c r="AW16" s="41">
        <f>Control!$E$18</f>
        <v>0.13397356944807</v>
      </c>
      <c r="AX16" s="41">
        <f>Control!$E$18</f>
        <v>0.13397356944807</v>
      </c>
      <c r="AY16" s="41">
        <f>Control!$E$18</f>
        <v>0.13397356944807</v>
      </c>
      <c r="AZ16" s="41">
        <f>Control!$E$18</f>
        <v>0.13397356944807</v>
      </c>
      <c r="BA16" s="42">
        <f>IFERROR(BA15/AV15-1,"")</f>
        <v>0.13397356944807</v>
      </c>
      <c r="BB16" s="41">
        <f>Control!$F$18</f>
        <v>0.12897356944807</v>
      </c>
      <c r="BC16" s="41">
        <f>Control!$F$18</f>
        <v>0.12897356944807</v>
      </c>
      <c r="BD16" s="41">
        <f>Control!$F$18</f>
        <v>0.12897356944807</v>
      </c>
      <c r="BE16" s="41">
        <f>Control!$F$18</f>
        <v>0.12897356944807</v>
      </c>
      <c r="BF16" s="42">
        <f>IFERROR(BF15/BA15-1,"")</f>
        <v>0.12897356944807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IF(ISNUMBER(I23),I23,"")</f>
        <v>-1</v>
      </c>
      <c r="J17" s="40">
        <f>IF(ISNUMBER(J23),J23,"")</f>
        <v>0</v>
      </c>
      <c r="K17" s="40">
        <f>IF(ISNUMBER(K23),K23,"")</f>
        <v>0</v>
      </c>
      <c r="L17" s="40">
        <f>IF(ISNUMBER(L23),L23,"")</f>
        <v>0</v>
      </c>
      <c r="M17" s="39">
        <f>IF(ISNUMBER(M23),M23,"")</f>
        <v>-1</v>
      </c>
      <c r="N17" s="40">
        <f>IF(ISNUMBER(N23),N23,"")</f>
        <v>0</v>
      </c>
      <c r="O17" s="40">
        <f>IF(ISNUMBER(O23),O23,"")</f>
        <v>0</v>
      </c>
      <c r="P17" s="40">
        <f>IF(ISNUMBER(P23),P23,"")</f>
        <v>0</v>
      </c>
      <c r="Q17" s="40">
        <f>IF(ISNUMBER(Q23),Q23,"")</f>
        <v>0</v>
      </c>
      <c r="R17" s="40">
        <f>IF(ISNUMBER(R23),R23,"")</f>
        <v>0</v>
      </c>
      <c r="S17" s="40">
        <f>IF(ISNUMBER(S23),S23,"")</f>
        <v>0</v>
      </c>
      <c r="T17" s="40">
        <f>IF(ISNUMBER(T23),T23,"")</f>
        <v>0</v>
      </c>
      <c r="U17" s="40">
        <f>IF(ISNUMBER(U23),U23,"")</f>
        <v>0</v>
      </c>
      <c r="V17" s="40">
        <f>IF(ISNUMBER(V23),V23,"")</f>
        <v>0</v>
      </c>
      <c r="W17" s="40">
        <f>IF(ISNUMBER(W23),W23,"")</f>
        <v>0</v>
      </c>
      <c r="X17" s="40">
        <f>IF(ISNUMBER(X23),X23,"")</f>
        <v>0</v>
      </c>
      <c r="Y17" s="40">
        <f>IF(ISNUMBER(Y23),Y23,"")</f>
        <v>0</v>
      </c>
      <c r="Z17" s="40">
        <f>IF(ISNUMBER(Z23),Z23,"")</f>
        <v>0</v>
      </c>
      <c r="AA17" s="40">
        <f>IF(ISNUMBER(AA23),AA23,"")</f>
        <v>0</v>
      </c>
      <c r="AB17" s="40">
        <f>IF(ISNUMBER(AB23),AB23,"")</f>
        <v>0</v>
      </c>
      <c r="AC17" s="40">
        <f>IF(ISNUMBER(AC23),AC23,"")</f>
        <v>0</v>
      </c>
      <c r="AD17" s="40">
        <f>IF(ISNUMBER(AD23),AD23,"")</f>
        <v>0</v>
      </c>
      <c r="AE17" s="40">
        <f>IF(ISNUMBER(AE23),AE23,"")</f>
        <v>0</v>
      </c>
      <c r="AF17" s="40">
        <f>IF(ISNUMBER(AF23),AF23,"")</f>
        <v>0</v>
      </c>
      <c r="AG17" s="40">
        <f>IF(ISNUMBER(AG23),AG23,"")</f>
        <v>0</v>
      </c>
      <c r="AH17" s="41">
        <f>IF(ISNUMBER(AH23),AH23,"")</f>
        <v>0</v>
      </c>
      <c r="AI17" s="41">
        <f>IF(ISNUMBER(AI23),AI23,"")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Cloud &amp; Software (antes Cloud &amp; License)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8529</v>
      </c>
      <c r="J19" s="269">
        <f>IFERROR(INDEX('Inputs (2)'!$D$53:$AL$53,MATCH(J$7&amp;"",'Inputs (2)'!$D$2:$AL$2,0)),"")</f>
        <v>9534</v>
      </c>
      <c r="K19" s="269">
        <f>IFERROR(INDEX('Inputs (2)'!$D$53:$AL$53,MATCH(K$7&amp;"",'Inputs (2)'!$D$2:$AL$2,0)),"")</f>
        <v>8184</v>
      </c>
      <c r="L19" s="269">
        <f>IFERROR(INDEX('Inputs (2)'!$D$53:$AL$53,MATCH(L$7&amp;"",'Inputs (2)'!$D$2:$AL$2,0)),"")</f>
        <v>8791</v>
      </c>
      <c r="M19" s="270">
        <f>IF(COUNT(I19:L19)=4,SUM(I19:L19),"")</f>
        <v>35038</v>
      </c>
      <c r="N19" s="269">
        <f>IFERROR(INDEX('Inputs (2)'!$D$53:$AL$53,MATCH(N$7&amp;"",'Inputs (2)'!$D$2:$AL$2,0)),"")</f>
        <v>8926</v>
      </c>
      <c r="O19" s="269">
        <f>IFERROR(INDEX('Inputs (2)'!$D$53:$AL$53,MATCH(O$7&amp;"",'Inputs (2)'!$D$2:$AL$2,0)),"")</f>
        <v>10151</v>
      </c>
      <c r="P19" s="269">
        <f>IFERROR(INDEX('Inputs (2)'!$D$53:$AL$53,MATCH(P$7&amp;"",'Inputs (2)'!$D$2:$AL$2,0)),"")</f>
        <v>9321</v>
      </c>
      <c r="Q19" s="269">
        <f>IFERROR(INDEX('Inputs (2)'!$D$53:$AL$53,MATCH(Q$7&amp;"",'Inputs (2)'!$D$2:$AL$2,0)),"")</f>
        <v>10033</v>
      </c>
      <c r="R19" s="270">
        <f>IF(COUNT(N19:Q19)=4,SUM(N19:Q19),"")</f>
        <v>38431</v>
      </c>
      <c r="S19" s="269">
        <f>IFERROR(INDEX('Inputs (2)'!$D$53:$AL$53,MATCH(S$7&amp;"",'Inputs (2)'!$D$2:$AL$2,0)),"")</f>
        <v>10211</v>
      </c>
      <c r="T19" s="269">
        <f>IFERROR(INDEX('Inputs (2)'!$D$53:$AL$53,MATCH(T$7&amp;"",'Inputs (2)'!$D$2:$AL$2,0)),"")</f>
        <v>11521</v>
      </c>
      <c r="U19" s="269">
        <f>IFERROR(INDEX('Inputs (2)'!$D$53:$AL$53,MATCH(U$7&amp;"",'Inputs (2)'!$D$2:$AL$2,0)),"")</f>
        <v>10356</v>
      </c>
      <c r="V19" s="269">
        <f>IFERROR(INDEX('Inputs (2)'!$D$53:$AL$53,MATCH(V$7&amp;"",'Inputs (2)'!$D$2:$AL$2,0)),"")</f>
        <v>10817</v>
      </c>
      <c r="W19" s="270">
        <f>IF(COUNT(S19:V19)=4,SUM(S19:V19),"")</f>
        <v>42905</v>
      </c>
      <c r="X19" s="269">
        <f>IFERROR(INDEX('Inputs (2)'!$D$53:$AL$53,MATCH(X$7&amp;"",'Inputs (2)'!$D$2:$AL$2,0)),"")</f>
        <v>11219</v>
      </c>
      <c r="Y19" s="269">
        <f>IFERROR(INDEX('Inputs (2)'!$D$53:$AL$53,MATCH(Y$7&amp;"",'Inputs (2)'!$D$2:$AL$2,0)),"")</f>
        <v>12072</v>
      </c>
      <c r="Z19" s="269">
        <f>IFERROR(INDEX('Inputs (2)'!$D$53:$AL$53,MATCH(Z$7&amp;"",'Inputs (2)'!$D$2:$AL$2,0)),"")</f>
        <v>11389</v>
      </c>
      <c r="AA19" s="269">
        <f>IFERROR(INDEX('Inputs (2)'!$D$53:$AL$53,MATCH(AA$7&amp;"",'Inputs (2)'!$D$2:$AL$2,0)),"")</f>
        <v>12001</v>
      </c>
      <c r="AB19" s="270">
        <f>IF(COUNT(X19:AA19)=4,SUM(X19:AA19),"")</f>
        <v>46681</v>
      </c>
      <c r="AC19" s="269">
        <f>IFERROR(INDEX('Inputs (2)'!$D$53:$AL$53,MATCH(AC$7&amp;"",'Inputs (2)'!$D$2:$AL$2,0)),"")</f>
        <v>12136</v>
      </c>
      <c r="AD19" s="269">
        <f>IFERROR(INDEX('Inputs (2)'!$D$53:$AL$53,MATCH(AD$7&amp;"",'Inputs (2)'!$D$2:$AL$2,0)),"")</f>
        <v>13705</v>
      </c>
      <c r="AE19" s="269">
        <f>IFERROR(INDEX('Inputs (2)'!$D$53:$AL$53,MATCH(AE$7&amp;"",'Inputs (2)'!$D$2:$AL$2,0)),"")</f>
        <v>12907</v>
      </c>
      <c r="AF19" s="269">
        <f>IFERROR(INDEX('Inputs (2)'!$D$53:$AL$53,MATCH(AF$7&amp;"",'Inputs (2)'!$D$2:$AL$2,0)),"")</f>
        <v>13854</v>
      </c>
      <c r="AG19" s="270">
        <f>IF(COUNT(AC19:AF19)=4,SUM(AC19:AF19),"")</f>
        <v>52602</v>
      </c>
      <c r="AH19" s="270">
        <f>IFERROR(INDEX('Inputs (2)'!$D$53:$AL$53,MATCH(AH$7&amp;"",'Inputs (2)'!$D$2:$AL$2,0)),"")</f>
        <v>15033</v>
      </c>
      <c r="AI19" s="270">
        <f>IFERROR(INDEX('Inputs (2)'!$D$53:$AL$53,MATCH(AI$7&amp;"",'Inputs (2)'!$D$2:$AL$2,0)),"")</f>
        <v>16737</v>
      </c>
    </row>
    <row r="20">
      <c r="C20" s="268" t="inlineStr">
        <is>
          <t xml:space="preserve">   Hardware</t>
        </is>
      </c>
      <c r="D20" s="269" t="str">
        <f>IFERROR(INDEX('Inputs (2)'!$D$55:$AL$55,MATCH(D$7&amp;"",'Inputs (2)'!$D$2:$AL$2,0)),"")</f>
        <v/>
      </c>
      <c r="E20" s="269" t="str">
        <f>IFERROR(INDEX('Inputs (2)'!$D$55:$AL$55,MATCH(E$7&amp;"",'Inputs (2)'!$D$2:$AL$2,0)),"")</f>
        <v/>
      </c>
      <c r="F20" s="269" t="str">
        <f>IFERROR(INDEX('Inputs (2)'!$D$55:$AL$55,MATCH(F$7&amp;"",'Inputs (2)'!$D$2:$AL$2,0)),"")</f>
        <v/>
      </c>
      <c r="G20" s="269" t="str">
        <f>IFERROR(INDEX('Inputs (2)'!$D$55:$AL$55,MATCH(G$7&amp;"",'Inputs (2)'!$D$2:$AL$2,0)),"")</f>
        <v/>
      </c>
      <c r="H20" s="270" t="str">
        <f>IF(COUNT(D20:G20)=4,SUM(D20:G20),"")</f>
        <v/>
      </c>
      <c r="I20" s="269">
        <f>IFERROR(INDEX('Inputs (2)'!$D$55:$AL$55,MATCH(I$7&amp;"",'Inputs (2)'!$D$2:$AL$2,0)),"")</f>
        <v>820</v>
      </c>
      <c r="J20" s="269">
        <f>IFERROR(INDEX('Inputs (2)'!$D$55:$AL$55,MATCH(J$7&amp;"",'Inputs (2)'!$D$2:$AL$2,0)),"")</f>
        <v>881</v>
      </c>
      <c r="K20" s="269">
        <f>IFERROR(INDEX('Inputs (2)'!$D$55:$AL$55,MATCH(K$7&amp;"",'Inputs (2)'!$D$2:$AL$2,0)),"")</f>
        <v>763</v>
      </c>
      <c r="L20" s="269">
        <f>IFERROR(INDEX('Inputs (2)'!$D$55:$AL$55,MATCH(L$7&amp;"",'Inputs (2)'!$D$2:$AL$2,0)),"")</f>
        <v>767</v>
      </c>
      <c r="M20" s="270">
        <f>IF(COUNT(I20:L20)=4,SUM(I20:L20),"")</f>
        <v>3231</v>
      </c>
      <c r="N20" s="269">
        <f>IFERROR(INDEX('Inputs (2)'!$D$55:$AL$55,MATCH(N$7&amp;"",'Inputs (2)'!$D$2:$AL$2,0)),"")</f>
        <v>798</v>
      </c>
      <c r="O20" s="269">
        <f>IFERROR(INDEX('Inputs (2)'!$D$55:$AL$55,MATCH(O$7&amp;"",'Inputs (2)'!$D$2:$AL$2,0)),"")</f>
        <v>855</v>
      </c>
      <c r="P20" s="269">
        <f>IFERROR(INDEX('Inputs (2)'!$D$55:$AL$55,MATCH(P$7&amp;"",'Inputs (2)'!$D$2:$AL$2,0)),"")</f>
        <v>763</v>
      </c>
      <c r="Q20" s="269">
        <f>IFERROR(INDEX('Inputs (2)'!$D$55:$AL$55,MATCH(Q$7&amp;"",'Inputs (2)'!$D$2:$AL$2,0)),"")</f>
        <v>850</v>
      </c>
      <c r="R20" s="270">
        <f>IF(COUNT(N20:Q20)=4,SUM(N20:Q20),"")</f>
        <v>3266</v>
      </c>
      <c r="S20" s="269">
        <f>IFERROR(INDEX('Inputs (2)'!$D$55:$AL$55,MATCH(S$7&amp;"",'Inputs (2)'!$D$2:$AL$2,0)),"")</f>
        <v>811</v>
      </c>
      <c r="T20" s="269">
        <f>IFERROR(INDEX('Inputs (2)'!$D$55:$AL$55,MATCH(T$7&amp;"",'Inputs (2)'!$D$2:$AL$2,0)),"")</f>
        <v>850</v>
      </c>
      <c r="U20" s="269">
        <f>IFERROR(INDEX('Inputs (2)'!$D$55:$AL$55,MATCH(U$7&amp;"",'Inputs (2)'!$D$2:$AL$2,0)),"")</f>
        <v>714</v>
      </c>
      <c r="V20" s="269">
        <f>IFERROR(INDEX('Inputs (2)'!$D$55:$AL$55,MATCH(V$7&amp;"",'Inputs (2)'!$D$2:$AL$2,0)),"")</f>
        <v>756</v>
      </c>
      <c r="W20" s="270">
        <f>IF(COUNT(S20:V20)=4,SUM(S20:V20),"")</f>
        <v>3131</v>
      </c>
      <c r="X20" s="269">
        <f>IFERROR(INDEX('Inputs (2)'!$D$55:$AL$55,MATCH(X$7&amp;"",'Inputs (2)'!$D$2:$AL$2,0)),"")</f>
        <v>754</v>
      </c>
      <c r="Y20" s="269">
        <f>IFERROR(INDEX('Inputs (2)'!$D$55:$AL$55,MATCH(Y$7&amp;"",'Inputs (2)'!$D$2:$AL$2,0)),"")</f>
        <v>842</v>
      </c>
      <c r="Z20" s="269">
        <f>IFERROR(INDEX('Inputs (2)'!$D$55:$AL$55,MATCH(Z$7&amp;"",'Inputs (2)'!$D$2:$AL$2,0)),"")</f>
        <v>655</v>
      </c>
      <c r="AA20" s="269">
        <f>IFERROR(INDEX('Inputs (2)'!$D$55:$AL$55,MATCH(AA$7&amp;"",'Inputs (2)'!$D$2:$AL$2,0)),"")</f>
        <v>728</v>
      </c>
      <c r="AB20" s="270">
        <f>IF(COUNT(X20:AA20)=4,SUM(X20:AA20),"")</f>
        <v>2979</v>
      </c>
      <c r="AC20" s="269">
        <f>IFERROR(INDEX('Inputs (2)'!$D$55:$AL$55,MATCH(AC$7&amp;"",'Inputs (2)'!$D$2:$AL$2,0)),"")</f>
        <v>703</v>
      </c>
      <c r="AD20" s="269">
        <f>IFERROR(INDEX('Inputs (2)'!$D$55:$AL$55,MATCH(AD$7&amp;"",'Inputs (2)'!$D$2:$AL$2,0)),"")</f>
        <v>850</v>
      </c>
      <c r="AE20" s="269">
        <f>IFERROR(INDEX('Inputs (2)'!$D$55:$AL$55,MATCH(AE$7&amp;"",'Inputs (2)'!$D$2:$AL$2,0)),"")</f>
        <v>670</v>
      </c>
      <c r="AF20" s="269">
        <f>IFERROR(INDEX('Inputs (2)'!$D$55:$AL$55,MATCH(AF$7&amp;"",'Inputs (2)'!$D$2:$AL$2,0)),"")</f>
        <v>776</v>
      </c>
      <c r="AG20" s="270">
        <f>IF(COUNT(AC20:AF20)=4,SUM(AC20:AF20),"")</f>
        <v>2999</v>
      </c>
      <c r="AH20" s="270">
        <f>IFERROR(INDEX('Inputs (2)'!$D$55:$AL$55,MATCH(AH$7&amp;"",'Inputs (2)'!$D$2:$AL$2,0)),"")</f>
        <v>714</v>
      </c>
      <c r="AI20" s="270">
        <f>IFERROR(INDEX('Inputs (2)'!$D$55:$AL$55,MATCH(AI$7&amp;"",'Inputs (2)'!$D$2:$AL$2,0)),"")</f>
        <v>924</v>
      </c>
    </row>
    <row r="21">
      <c r="C21" s="268" t="inlineStr">
        <is>
          <t xml:space="preserve">   Serviços</t>
        </is>
      </c>
      <c r="D21" s="269" t="str">
        <f>IFERROR(INDEX('Inputs (2)'!$D$57:$AL$57,MATCH(D$7&amp;"",'Inputs (2)'!$D$2:$AL$2,0)),"")</f>
        <v/>
      </c>
      <c r="E21" s="269" t="str">
        <f>IFERROR(INDEX('Inputs (2)'!$D$57:$AL$57,MATCH(E$7&amp;"",'Inputs (2)'!$D$2:$AL$2,0)),"")</f>
        <v/>
      </c>
      <c r="F21" s="269" t="str">
        <f>IFERROR(INDEX('Inputs (2)'!$D$57:$AL$57,MATCH(F$7&amp;"",'Inputs (2)'!$D$2:$AL$2,0)),"")</f>
        <v/>
      </c>
      <c r="G21" s="269" t="str">
        <f>IFERROR(INDEX('Inputs (2)'!$D$57:$AL$57,MATCH(G$7&amp;"",'Inputs (2)'!$D$2:$AL$2,0)),"")</f>
        <v/>
      </c>
      <c r="H21" s="270" t="str">
        <f>IF(COUNT(D21:G21)=4,SUM(D21:G21),"")</f>
        <v/>
      </c>
      <c r="I21" s="269">
        <f>IFERROR(INDEX('Inputs (2)'!$D$57:$AL$57,MATCH(I$7&amp;"",'Inputs (2)'!$D$2:$AL$2,0)),"")</f>
        <v>737</v>
      </c>
      <c r="J21" s="269">
        <f>IFERROR(INDEX('Inputs (2)'!$D$57:$AL$57,MATCH(J$7&amp;"",'Inputs (2)'!$D$2:$AL$2,0)),"")</f>
        <v>812</v>
      </c>
      <c r="K21" s="269">
        <f>IFERROR(INDEX('Inputs (2)'!$D$57:$AL$57,MATCH(K$7&amp;"",'Inputs (2)'!$D$2:$AL$2,0)),"")</f>
        <v>781</v>
      </c>
      <c r="L21" s="269">
        <f>IFERROR(INDEX('Inputs (2)'!$D$57:$AL$57,MATCH(L$7&amp;"",'Inputs (2)'!$D$2:$AL$2,0)),"")</f>
        <v>802</v>
      </c>
      <c r="M21" s="270">
        <f>IF(COUNT(I21:L21)=4,SUM(I21:L21),"")</f>
        <v>3132</v>
      </c>
      <c r="N21" s="269">
        <f>IFERROR(INDEX('Inputs (2)'!$D$57:$AL$57,MATCH(N$7&amp;"",'Inputs (2)'!$D$2:$AL$2,0)),"")</f>
        <v>789</v>
      </c>
      <c r="O21" s="269">
        <f>IFERROR(INDEX('Inputs (2)'!$D$57:$AL$57,MATCH(O$7&amp;"",'Inputs (2)'!$D$2:$AL$2,0)),"")</f>
        <v>834</v>
      </c>
      <c r="P21" s="269">
        <f>IFERROR(INDEX('Inputs (2)'!$D$57:$AL$57,MATCH(P$7&amp;"",'Inputs (2)'!$D$2:$AL$2,0)),"")</f>
        <v>1361</v>
      </c>
      <c r="Q21" s="269">
        <f>IFERROR(INDEX('Inputs (2)'!$D$57:$AL$57,MATCH(Q$7&amp;"",'Inputs (2)'!$D$2:$AL$2,0)),"")</f>
        <v>1392</v>
      </c>
      <c r="R21" s="270">
        <f>IF(COUNT(N21:Q21)=4,SUM(N21:Q21),"")</f>
        <v>4376</v>
      </c>
      <c r="S21" s="269">
        <f>IFERROR(INDEX('Inputs (2)'!$D$57:$AL$57,MATCH(S$7&amp;"",'Inputs (2)'!$D$2:$AL$2,0)),"")</f>
        <v>1376</v>
      </c>
      <c r="T21" s="269">
        <f>IFERROR(INDEX('Inputs (2)'!$D$57:$AL$57,MATCH(T$7&amp;"",'Inputs (2)'!$D$2:$AL$2,0)),"")</f>
        <v>1465</v>
      </c>
      <c r="U21" s="269">
        <f>IFERROR(INDEX('Inputs (2)'!$D$57:$AL$57,MATCH(U$7&amp;"",'Inputs (2)'!$D$2:$AL$2,0)),"")</f>
        <v>1383</v>
      </c>
      <c r="V21" s="269">
        <f>IFERROR(INDEX('Inputs (2)'!$D$57:$AL$57,MATCH(V$7&amp;"",'Inputs (2)'!$D$2:$AL$2,0)),"")</f>
        <v>1368</v>
      </c>
      <c r="W21" s="270">
        <f>IF(COUNT(S21:V21)=4,SUM(S21:V21),"")</f>
        <v>5592</v>
      </c>
      <c r="X21" s="269">
        <f>IFERROR(INDEX('Inputs (2)'!$D$57:$AL$57,MATCH(X$7&amp;"",'Inputs (2)'!$D$2:$AL$2,0)),"")</f>
        <v>1307</v>
      </c>
      <c r="Y21" s="269">
        <f>IFERROR(INDEX('Inputs (2)'!$D$57:$AL$57,MATCH(Y$7&amp;"",'Inputs (2)'!$D$2:$AL$2,0)),"")</f>
        <v>1373</v>
      </c>
      <c r="Z21" s="269">
        <f>IFERROR(INDEX('Inputs (2)'!$D$57:$AL$57,MATCH(Z$7&amp;"",'Inputs (2)'!$D$2:$AL$2,0)),"")</f>
        <v>1263</v>
      </c>
      <c r="AA21" s="269">
        <f>IFERROR(INDEX('Inputs (2)'!$D$57:$AL$57,MATCH(AA$7&amp;"",'Inputs (2)'!$D$2:$AL$2,0)),"")</f>
        <v>1330</v>
      </c>
      <c r="AB21" s="270">
        <f>IF(COUNT(X21:AA21)=4,SUM(X21:AA21),"")</f>
        <v>5273</v>
      </c>
      <c r="AC21" s="269">
        <f>IFERROR(INDEX('Inputs (2)'!$D$57:$AL$57,MATCH(AC$7&amp;"",'Inputs (2)'!$D$2:$AL$2,0)),"")</f>
        <v>1291</v>
      </c>
      <c r="AD21" s="269">
        <f>IFERROR(INDEX('Inputs (2)'!$D$57:$AL$57,MATCH(AD$7&amp;"",'Inputs (2)'!$D$2:$AL$2,0)),"")</f>
        <v>1348</v>
      </c>
      <c r="AE21" s="269">
        <f>IFERROR(INDEX('Inputs (2)'!$D$57:$AL$57,MATCH(AE$7&amp;"",'Inputs (2)'!$D$2:$AL$2,0)),"")</f>
        <v>1349</v>
      </c>
      <c r="AF21" s="269">
        <f>IFERROR(INDEX('Inputs (2)'!$D$57:$AL$57,MATCH(AF$7&amp;"",'Inputs (2)'!$D$2:$AL$2,0)),"")</f>
        <v>1428</v>
      </c>
      <c r="AG21" s="270">
        <f>IF(COUNT(AC21:AF21)=4,SUM(AC21:AF21),"")</f>
        <v>5416</v>
      </c>
      <c r="AH21" s="270">
        <f>IFERROR(INDEX('Inputs (2)'!$D$57:$AL$57,MATCH(AH$7&amp;"",'Inputs (2)'!$D$2:$AL$2,0)),"")</f>
        <v>1443</v>
      </c>
      <c r="AI21" s="270">
        <f>IFERROR(INDEX('Inputs (2)'!$D$57:$AL$57,MATCH(AI$7&amp;"",'Inputs (2)'!$D$2:$AL$2,0)),"")</f>
        <v>1523</v>
      </c>
    </row>
    <row r="22">
      <c r="C22" s="271" t="inlineStr">
        <is>
          <t>Receita (soma dos segmentos)</t>
        </is>
      </c>
      <c r="D22" s="269" t="str">
        <f>IF(COUNT(D19,D20,D21)=0,"",N(D19)+N(D20)+N(D21))</f>
        <v/>
      </c>
      <c r="E22" s="269" t="str">
        <f>IF(COUNT(E19,E20,E21)=0,"",N(E19)+N(E20)+N(E21))</f>
        <v/>
      </c>
      <c r="F22" s="269" t="str">
        <f>IF(COUNT(F19,F20,F21)=0,"",N(F19)+N(F20)+N(F21))</f>
        <v/>
      </c>
      <c r="G22" s="269" t="str">
        <f>IF(COUNT(G19,G20,G21)=0,"",N(G19)+N(G20)+N(G21))</f>
        <v/>
      </c>
      <c r="H22" s="270" t="str">
        <f>IF(COUNT(H19,H20,H21)=0,"",N(H19)+N(H20)+N(H21))</f>
        <v/>
      </c>
      <c r="I22" s="269">
        <f>IF(COUNT(I19,I20,I21)=0,"",N(I19)+N(I20)+N(I21))</f>
        <v>10086</v>
      </c>
      <c r="J22" s="269">
        <f>IF(COUNT(J19,J20,J21)=0,"",N(J19)+N(J20)+N(J21))</f>
        <v>11227</v>
      </c>
      <c r="K22" s="269">
        <f>IF(COUNT(K19,K20,K21)=0,"",N(K19)+N(K20)+N(K21))</f>
        <v>9728</v>
      </c>
      <c r="L22" s="269">
        <f>IF(COUNT(L19,L20,L21)=0,"",N(L19)+N(L20)+N(L21))</f>
        <v>10360</v>
      </c>
      <c r="M22" s="270">
        <f>IF(COUNT(M19,M20,M21)=0,"",N(M19)+N(M20)+N(M21))</f>
        <v>41401</v>
      </c>
      <c r="N22" s="269">
        <f>IF(COUNT(N19,N20,N21)=0,"",N(N19)+N(N20)+N(N21))</f>
        <v>10513</v>
      </c>
      <c r="O22" s="269">
        <f>IF(COUNT(O19,O20,O21)=0,"",N(O19)+N(O20)+N(O21))</f>
        <v>11840</v>
      </c>
      <c r="P22" s="269">
        <f>IF(COUNT(P19,P20,P21)=0,"",N(P19)+N(P20)+N(P21))</f>
        <v>11445</v>
      </c>
      <c r="Q22" s="269">
        <f>IF(COUNT(Q19,Q20,Q21)=0,"",N(Q19)+N(Q20)+N(Q21))</f>
        <v>12275</v>
      </c>
      <c r="R22" s="270">
        <f>IF(COUNT(R19,R20,R21)=0,"",N(R19)+N(R20)+N(R21))</f>
        <v>46073</v>
      </c>
      <c r="S22" s="269">
        <f>IF(COUNT(S19,S20,S21)=0,"",N(S19)+N(S20)+N(S21))</f>
        <v>12398</v>
      </c>
      <c r="T22" s="269">
        <f>IF(COUNT(T19,T20,T21)=0,"",N(T19)+N(T20)+N(T21))</f>
        <v>13836</v>
      </c>
      <c r="U22" s="269">
        <f>IF(COUNT(U19,U20,U21)=0,"",N(U19)+N(U20)+N(U21))</f>
        <v>12453</v>
      </c>
      <c r="V22" s="269">
        <f>IF(COUNT(V19,V20,V21)=0,"",N(V19)+N(V20)+N(V21))</f>
        <v>12941</v>
      </c>
      <c r="W22" s="270">
        <f>IF(COUNT(W19,W20,W21)=0,"",N(W19)+N(W20)+N(W21))</f>
        <v>51628</v>
      </c>
      <c r="X22" s="269">
        <f>IF(COUNT(X19,X20,X21)=0,"",N(X19)+N(X20)+N(X21))</f>
        <v>13280</v>
      </c>
      <c r="Y22" s="269">
        <f>IF(COUNT(Y19,Y20,Y21)=0,"",N(Y19)+N(Y20)+N(Y21))</f>
        <v>14287</v>
      </c>
      <c r="Z22" s="269">
        <f>IF(COUNT(Z19,Z20,Z21)=0,"",N(Z19)+N(Z20)+N(Z21))</f>
        <v>13307</v>
      </c>
      <c r="AA22" s="269">
        <f>IF(COUNT(AA19,AA20,AA21)=0,"",N(AA19)+N(AA20)+N(AA21))</f>
        <v>14059</v>
      </c>
      <c r="AB22" s="270">
        <f>IF(COUNT(AB19,AB20,AB21)=0,"",N(AB19)+N(AB20)+N(AB21))</f>
        <v>54933</v>
      </c>
      <c r="AC22" s="269">
        <f>IF(COUNT(AC19,AC20,AC21)=0,"",N(AC19)+N(AC20)+N(AC21))</f>
        <v>14130</v>
      </c>
      <c r="AD22" s="269">
        <f>IF(COUNT(AD19,AD20,AD21)=0,"",N(AD19)+N(AD20)+N(AD21))</f>
        <v>15903</v>
      </c>
      <c r="AE22" s="269">
        <f>IF(COUNT(AE19,AE20,AE21)=0,"",N(AE19)+N(AE20)+N(AE21))</f>
        <v>14926</v>
      </c>
      <c r="AF22" s="269">
        <f>IF(COUNT(AF19,AF20,AF21)=0,"",N(AF19)+N(AF20)+N(AF21))</f>
        <v>16058</v>
      </c>
      <c r="AG22" s="270">
        <f>IF(COUNT(AG19,AG20,AG21)=0,"",N(AG19)+N(AG20)+N(AG21))</f>
        <v>61017</v>
      </c>
      <c r="AH22" s="270">
        <f>IF(COUNT(AH19,AH20,AH21)=0,"",N(AH19)+N(AH20)+N(AH21))</f>
        <v>17190</v>
      </c>
      <c r="AI22" s="270">
        <f>IF(COUNT(AI19,AI20,AI21)=0,"",N(AI19)+N(AI20)+N(AI21))</f>
        <v>19184</v>
      </c>
    </row>
    <row r="23">
      <c r="C23" s="268" t="inlineStr">
        <is>
          <t>Check Receita (linha 15 - soma dos segmentos)</t>
        </is>
      </c>
      <c r="D23" s="269" t="str">
        <f>IF(COUNT(D22)=0,"",ROUND(D15-D22,1))</f>
        <v/>
      </c>
      <c r="E23" s="269" t="str">
        <f>IF(COUNT(E22)=0,"",ROUND(E15-E22,1))</f>
        <v/>
      </c>
      <c r="F23" s="269" t="str">
        <f>IF(COUNT(F22)=0,"",ROUND(F15-F22,1))</f>
        <v/>
      </c>
      <c r="G23" s="269" t="str">
        <f>IF(COUNT(G22)=0,"",ROUND(G15-G22,1))</f>
        <v/>
      </c>
      <c r="H23" s="270" t="str">
        <f>IF(COUNT(H22)=0,"",ROUND(H15-H22,1))</f>
        <v/>
      </c>
      <c r="I23" s="269">
        <f>IF(COUNT(I22)=0,"",ROUND(I15-I22,1))</f>
        <v>-1</v>
      </c>
      <c r="J23" s="269">
        <f>IF(COUNT(J22)=0,"",ROUND(J15-J22,1))</f>
        <v>0</v>
      </c>
      <c r="K23" s="269">
        <f>IF(COUNT(K22)=0,"",ROUND(K15-K22,1))</f>
        <v>0</v>
      </c>
      <c r="L23" s="269">
        <f>IF(COUNT(L22)=0,"",ROUND(L15-L22,1))</f>
        <v>0</v>
      </c>
      <c r="M23" s="270">
        <f>IF(COUNT(M22)=0,"",ROUND(M15-M22,1))</f>
        <v>-1</v>
      </c>
      <c r="N23" s="269">
        <f>IF(COUNT(N22)=0,"",ROUND(N15-N22,1))</f>
        <v>0</v>
      </c>
      <c r="O23" s="269">
        <f>IF(COUNT(O22)=0,"",ROUND(O15-O22,1))</f>
        <v>0</v>
      </c>
      <c r="P23" s="269">
        <f>IF(COUNT(P22)=0,"",ROUND(P15-P22,1))</f>
        <v>0</v>
      </c>
      <c r="Q23" s="269">
        <f>IF(COUNT(Q22)=0,"",ROUND(Q15-Q22,1))</f>
        <v>0</v>
      </c>
      <c r="R23" s="270">
        <f>IF(COUNT(R22)=0,"",ROUND(R15-R22,1))</f>
        <v>0</v>
      </c>
      <c r="S23" s="269">
        <f>IF(COUNT(S22)=0,"",ROUND(S15-S22,1))</f>
        <v>0</v>
      </c>
      <c r="T23" s="269">
        <f>IF(COUNT(T22)=0,"",ROUND(T15-T22,1))</f>
        <v>0</v>
      </c>
      <c r="U23" s="269">
        <f>IF(COUNT(U22)=0,"",ROUND(U15-U22,1))</f>
        <v>0</v>
      </c>
      <c r="V23" s="269">
        <f>IF(COUNT(V22)=0,"",ROUND(V15-V22,1))</f>
        <v>0</v>
      </c>
      <c r="W23" s="270">
        <f>IF(COUNT(W22)=0,"",ROUND(W15-W22,1))</f>
        <v>0</v>
      </c>
      <c r="X23" s="269">
        <f>IF(COUNT(X22)=0,"",ROUND(X15-X22,1))</f>
        <v>0</v>
      </c>
      <c r="Y23" s="269">
        <f>IF(COUNT(Y22)=0,"",ROUND(Y15-Y22,1))</f>
        <v>0</v>
      </c>
      <c r="Z23" s="269">
        <f>IF(COUNT(Z22)=0,"",ROUND(Z15-Z22,1))</f>
        <v>0</v>
      </c>
      <c r="AA23" s="269">
        <f>IF(COUNT(AA22)=0,"",ROUND(AA15-AA22,1))</f>
        <v>0</v>
      </c>
      <c r="AB23" s="270">
        <f>IF(COUNT(AB22)=0,"",ROUND(AB15-AB22,1))</f>
        <v>0</v>
      </c>
      <c r="AC23" s="269">
        <f>IF(COUNT(AC22)=0,"",ROUND(AC15-AC22,1))</f>
        <v>0</v>
      </c>
      <c r="AD23" s="269">
        <f>IF(COUNT(AD22)=0,"",ROUND(AD15-AD22,1))</f>
        <v>0</v>
      </c>
      <c r="AE23" s="269">
        <f>IF(COUNT(AE22)=0,"",ROUND(AE15-AE22,1))</f>
        <v>0</v>
      </c>
      <c r="AF23" s="269">
        <f>IF(COUNT(AF22)=0,"",ROUND(AF15-AF22,1))</f>
        <v>0</v>
      </c>
      <c r="AG23" s="270">
        <f>IF(COUNT(AG22)=0,"",ROUND(AG15-AG22,1))</f>
        <v>0</v>
      </c>
      <c r="AH23" s="270">
        <f>IF(COUNT(AH22)=0,"",ROUND(AH15-AH22,1))</f>
        <v>0</v>
      </c>
      <c r="AI23" s="270">
        <f>IF(COUNT(AI22)=0,"",ROUND(AI15-AI22,1))</f>
        <v>0</v>
      </c>
    </row>
    <row r="24">
      <c r="C24" s="268" t="inlineStr">
        <is>
          <t xml:space="preserve">   % YoY Cloud &amp; Software (antes Cloud &amp; License)</t>
        </is>
      </c>
      <c r="D24" s="272" t="str">
        <f>""</f>
        <v/>
      </c>
      <c r="E24" s="272" t="str">
        <f>""</f>
        <v/>
      </c>
      <c r="F24" s="272" t="str">
        <f>""</f>
        <v/>
      </c>
      <c r="G24" s="272" t="str">
        <f>""</f>
        <v/>
      </c>
      <c r="H24" s="273" t="str">
        <f>""</f>
        <v/>
      </c>
      <c r="I24" s="272" t="str">
        <f>IFERROR(I19/D19-1,"")</f>
        <v/>
      </c>
      <c r="J24" s="272" t="str">
        <f>IFERROR(J19/E19-1,"")</f>
        <v/>
      </c>
      <c r="K24" s="272" t="str">
        <f>IFERROR(K19/F19-1,"")</f>
        <v/>
      </c>
      <c r="L24" s="272" t="str">
        <f>IFERROR(L19/G19-1,"")</f>
        <v/>
      </c>
      <c r="M24" s="273" t="str">
        <f>IFERROR(M19/H19-1,"")</f>
        <v/>
      </c>
      <c r="N24" s="272">
        <f>IFERROR(N19/I19-1,"")</f>
        <v>0.0465470746863641</v>
      </c>
      <c r="O24" s="272">
        <f>IFERROR(O19/J19-1,"")</f>
        <v>0.064715754143067</v>
      </c>
      <c r="P24" s="272">
        <f>IFERROR(P19/K19-1,"")</f>
        <v>0.138929618768328</v>
      </c>
      <c r="Q24" s="272">
        <f>IFERROR(Q19/L19-1,"")</f>
        <v>0.141280855420316</v>
      </c>
      <c r="R24" s="273">
        <f>IFERROR(R19/M19-1,"")</f>
        <v>0.0968377190478909</v>
      </c>
      <c r="S24" s="272">
        <f>IFERROR(S19/N19-1,"")</f>
        <v>0.143961460900739</v>
      </c>
      <c r="T24" s="272">
        <f>IFERROR(T19/O19-1,"")</f>
        <v>0.134962072702197</v>
      </c>
      <c r="U24" s="272">
        <f>IFERROR(U19/P19-1,"")</f>
        <v>0.111039588027036</v>
      </c>
      <c r="V24" s="272">
        <f>IFERROR(V19/Q19-1,"")</f>
        <v>0.0781421309678063</v>
      </c>
      <c r="W24" s="273">
        <f>IFERROR(W19/R19-1,"")</f>
        <v>0.116416434649111</v>
      </c>
      <c r="X24" s="272">
        <f>IFERROR(X19/S19-1,"")</f>
        <v>0.0987170698266575</v>
      </c>
      <c r="Y24" s="272">
        <f>IFERROR(Y19/T19-1,"")</f>
        <v>0.0478257095738217</v>
      </c>
      <c r="Z24" s="272">
        <f>IFERROR(Z19/U19-1,"")</f>
        <v>0.0997489378138277</v>
      </c>
      <c r="AA24" s="272">
        <f>IFERROR(AA19/V19-1,"")</f>
        <v>0.109457335675326</v>
      </c>
      <c r="AB24" s="273">
        <f>IFERROR(AB19/W19-1,"")</f>
        <v>0.0880083906304627</v>
      </c>
      <c r="AC24" s="272">
        <f>IFERROR(AC19/X19-1,"")</f>
        <v>0.0817363401372671</v>
      </c>
      <c r="AD24" s="272">
        <f>IFERROR(AD19/Y19-1,"")</f>
        <v>0.135271703114646</v>
      </c>
      <c r="AE24" s="272">
        <f>IFERROR(AE19/Z19-1,"")</f>
        <v>0.133286504521907</v>
      </c>
      <c r="AF24" s="272">
        <f>IFERROR(AF19/AA19-1,"")</f>
        <v>0.15440379968336</v>
      </c>
      <c r="AG24" s="273">
        <f>IFERROR(AG19/AB19-1,"")</f>
        <v>0.126839613547268</v>
      </c>
      <c r="AH24" s="273">
        <f>IFERROR(AH19/AC19-1,"")</f>
        <v>0.238711272247858</v>
      </c>
      <c r="AI24" s="273">
        <f>IFERROR(AI19/AD19-1,"")</f>
        <v>0.221233126596133</v>
      </c>
    </row>
    <row r="25">
      <c r="C25" s="268" t="inlineStr">
        <is>
          <t xml:space="preserve">   % YoY Hardware</t>
        </is>
      </c>
      <c r="D25" s="272" t="str">
        <f>""</f>
        <v/>
      </c>
      <c r="E25" s="272" t="str">
        <f>""</f>
        <v/>
      </c>
      <c r="F25" s="272" t="str">
        <f>""</f>
        <v/>
      </c>
      <c r="G25" s="272" t="str">
        <f>""</f>
        <v/>
      </c>
      <c r="H25" s="273" t="str">
        <f>""</f>
        <v/>
      </c>
      <c r="I25" s="272" t="str">
        <f>IFERROR(I20/D20-1,"")</f>
        <v/>
      </c>
      <c r="J25" s="272" t="str">
        <f>IFERROR(J20/E20-1,"")</f>
        <v/>
      </c>
      <c r="K25" s="272" t="str">
        <f>IFERROR(K20/F20-1,"")</f>
        <v/>
      </c>
      <c r="L25" s="272" t="str">
        <f>IFERROR(L20/G20-1,"")</f>
        <v/>
      </c>
      <c r="M25" s="273" t="str">
        <f>IFERROR(M20/H20-1,"")</f>
        <v/>
      </c>
      <c r="N25" s="272">
        <f>IFERROR(N20/I20-1,"")</f>
        <v>-0.026829268292683</v>
      </c>
      <c r="O25" s="272">
        <f>IFERROR(O20/J20-1,"")</f>
        <v>-0.0295119182746879</v>
      </c>
      <c r="P25" s="272">
        <f>IFERROR(P20/K20-1,"")</f>
        <v>0</v>
      </c>
      <c r="Q25" s="272">
        <f>IFERROR(Q20/L20-1,"")</f>
        <v>0.108213820078227</v>
      </c>
      <c r="R25" s="273">
        <f>IFERROR(R20/M20-1,"")</f>
        <v>0.0108325595790777</v>
      </c>
      <c r="S25" s="272">
        <f>IFERROR(S20/N20-1,"")</f>
        <v>0.0162907268170427</v>
      </c>
      <c r="T25" s="272">
        <f>IFERROR(T20/O20-1,"")</f>
        <v>-0.00584795321637432</v>
      </c>
      <c r="U25" s="272">
        <f>IFERROR(U20/P20-1,"")</f>
        <v>-0.0642201834862385</v>
      </c>
      <c r="V25" s="272">
        <f>IFERROR(V20/Q20-1,"")</f>
        <v>-0.110588235294118</v>
      </c>
      <c r="W25" s="273">
        <f>IFERROR(W20/R20-1,"")</f>
        <v>-0.0413349663196571</v>
      </c>
      <c r="X25" s="272">
        <f>IFERROR(X20/S20-1,"")</f>
        <v>-0.0702836004932183</v>
      </c>
      <c r="Y25" s="272">
        <f>IFERROR(Y20/T20-1,"")</f>
        <v>-0.00941176470588234</v>
      </c>
      <c r="Z25" s="272">
        <f>IFERROR(Z20/U20-1,"")</f>
        <v>-0.0826330532212886</v>
      </c>
      <c r="AA25" s="272">
        <f>IFERROR(AA20/V20-1,"")</f>
        <v>-0.0370370370370371</v>
      </c>
      <c r="AB25" s="273">
        <f>IFERROR(AB20/W20-1,"")</f>
        <v>-0.0485467901628872</v>
      </c>
      <c r="AC25" s="272">
        <f>IFERROR(AC20/X20-1,"")</f>
        <v>-0.0676392572944297</v>
      </c>
      <c r="AD25" s="272">
        <f>IFERROR(AD20/Y20-1,"")</f>
        <v>0.00950118764845609</v>
      </c>
      <c r="AE25" s="272">
        <f>IFERROR(AE20/Z20-1,"")</f>
        <v>0.0229007633587786</v>
      </c>
      <c r="AF25" s="272">
        <f>IFERROR(AF20/AA20-1,"")</f>
        <v>0.0659340659340659</v>
      </c>
      <c r="AG25" s="273">
        <f>IFERROR(AG20/AB20-1,"")</f>
        <v>0.00671366230278614</v>
      </c>
      <c r="AH25" s="273">
        <f>IFERROR(AH20/AC20-1,"")</f>
        <v>0.0156472261735419</v>
      </c>
      <c r="AI25" s="273">
        <f>IFERROR(AI20/AD20-1,"")</f>
        <v>0.0870588235294119</v>
      </c>
    </row>
    <row r="26">
      <c r="C26" s="268" t="inlineStr">
        <is>
          <t xml:space="preserve">   % YoY Serviços</t>
        </is>
      </c>
      <c r="D26" s="272" t="str">
        <f>""</f>
        <v/>
      </c>
      <c r="E26" s="272" t="str">
        <f>""</f>
        <v/>
      </c>
      <c r="F26" s="272" t="str">
        <f>""</f>
        <v/>
      </c>
      <c r="G26" s="272" t="str">
        <f>""</f>
        <v/>
      </c>
      <c r="H26" s="273" t="str">
        <f>""</f>
        <v/>
      </c>
      <c r="I26" s="272" t="str">
        <f>IFERROR(I21/D21-1,"")</f>
        <v/>
      </c>
      <c r="J26" s="272" t="str">
        <f>IFERROR(J21/E21-1,"")</f>
        <v/>
      </c>
      <c r="K26" s="272" t="str">
        <f>IFERROR(K21/F21-1,"")</f>
        <v/>
      </c>
      <c r="L26" s="272" t="str">
        <f>IFERROR(L21/G21-1,"")</f>
        <v/>
      </c>
      <c r="M26" s="273" t="str">
        <f>IFERROR(M21/H21-1,"")</f>
        <v/>
      </c>
      <c r="N26" s="272">
        <f>IFERROR(N21/I21-1,"")</f>
        <v>0.0705563093622794</v>
      </c>
      <c r="O26" s="272">
        <f>IFERROR(O21/J21-1,"")</f>
        <v>0.0270935960591132</v>
      </c>
      <c r="P26" s="272">
        <f>IFERROR(P21/K21-1,"")</f>
        <v>0.742637644046095</v>
      </c>
      <c r="Q26" s="272">
        <f>IFERROR(Q21/L21-1,"")</f>
        <v>0.735660847880299</v>
      </c>
      <c r="R26" s="273">
        <f>IFERROR(R21/M21-1,"")</f>
        <v>0.397190293742018</v>
      </c>
      <c r="S26" s="272">
        <f>IFERROR(S21/N21-1,"")</f>
        <v>0.743979721166033</v>
      </c>
      <c r="T26" s="272">
        <f>IFERROR(T21/O21-1,"")</f>
        <v>0.756594724220624</v>
      </c>
      <c r="U26" s="272">
        <f>IFERROR(U21/P21-1,"")</f>
        <v>0.0161645848640706</v>
      </c>
      <c r="V26" s="272">
        <f>IFERROR(V21/Q21-1,"")</f>
        <v>-0.0172413793103449</v>
      </c>
      <c r="W26" s="273">
        <f>IFERROR(W21/R21-1,"")</f>
        <v>0.277879341864717</v>
      </c>
      <c r="X26" s="272">
        <f>IFERROR(X21/S21-1,"")</f>
        <v>-0.0501453488372093</v>
      </c>
      <c r="Y26" s="272">
        <f>IFERROR(Y21/T21-1,"")</f>
        <v>-0.0627986348122867</v>
      </c>
      <c r="Z26" s="272">
        <f>IFERROR(Z21/U21-1,"")</f>
        <v>-0.086767895878525</v>
      </c>
      <c r="AA26" s="272">
        <f>IFERROR(AA21/V21-1,"")</f>
        <v>-0.0277777777777778</v>
      </c>
      <c r="AB26" s="273">
        <f>IFERROR(AB21/W21-1,"")</f>
        <v>-0.0570457796852647</v>
      </c>
      <c r="AC26" s="272">
        <f>IFERROR(AC21/X21-1,"")</f>
        <v>-0.0122417750573833</v>
      </c>
      <c r="AD26" s="272">
        <f>IFERROR(AD21/Y21-1,"")</f>
        <v>-0.0182083029861617</v>
      </c>
      <c r="AE26" s="272">
        <f>IFERROR(AE21/Z21-1,"")</f>
        <v>0.0680918448139352</v>
      </c>
      <c r="AF26" s="272">
        <f>IFERROR(AF21/AA21-1,"")</f>
        <v>0.0736842105263158</v>
      </c>
      <c r="AG26" s="273">
        <f>IFERROR(AG21/AB21-1,"")</f>
        <v>0.0271192869334345</v>
      </c>
      <c r="AH26" s="273">
        <f>IFERROR(AH21/AC21-1,"")</f>
        <v>0.117738187451588</v>
      </c>
      <c r="AI26" s="273">
        <f>IFERROR(AI21/AD21-1,"")</f>
        <v>0.129821958456973</v>
      </c>
    </row>
    <row r="27"/>
    <row r="28">
      <c r="C28" s="267" t="inlineStr">
        <is>
          <t>Segmentos - lucro e margem (USD milhões)</t>
        </is>
      </c>
      <c r="D28" s="267">
        <f>D7</f>
        <v>0</v>
      </c>
      <c r="E28" s="267">
        <f>E7</f>
        <v>0</v>
      </c>
      <c r="F28" s="267">
        <f>F7</f>
        <v>0</v>
      </c>
      <c r="G28" s="267">
        <f>G7</f>
        <v>0</v>
      </c>
      <c r="H28" s="267">
        <f>H7</f>
        <v>2020</v>
      </c>
      <c r="I28" s="267" t="str">
        <f>I7</f>
        <v>1Q21</v>
      </c>
      <c r="J28" s="267" t="str">
        <f>J7</f>
        <v>2Q21</v>
      </c>
      <c r="K28" s="267" t="str">
        <f>K7</f>
        <v>3Q21</v>
      </c>
      <c r="L28" s="267" t="str">
        <f>L7</f>
        <v>4Q21</v>
      </c>
      <c r="M28" s="267">
        <f>M7</f>
        <v>2021</v>
      </c>
      <c r="N28" s="267" t="str">
        <f>N7</f>
        <v>1Q22</v>
      </c>
      <c r="O28" s="267" t="str">
        <f>O7</f>
        <v>2Q22</v>
      </c>
      <c r="P28" s="267" t="str">
        <f>P7</f>
        <v>3Q22</v>
      </c>
      <c r="Q28" s="267" t="str">
        <f>Q7</f>
        <v>4Q22</v>
      </c>
      <c r="R28" s="267">
        <f>R7</f>
        <v>2022</v>
      </c>
      <c r="S28" s="267" t="str">
        <f>S7</f>
        <v>1Q23</v>
      </c>
      <c r="T28" s="267" t="str">
        <f>T7</f>
        <v>2Q23</v>
      </c>
      <c r="U28" s="267" t="str">
        <f>U7</f>
        <v>3Q23</v>
      </c>
      <c r="V28" s="267" t="str">
        <f>V7</f>
        <v>4Q23</v>
      </c>
      <c r="W28" s="267">
        <f>W7</f>
        <v>2023</v>
      </c>
      <c r="X28" s="267" t="str">
        <f>X7</f>
        <v>1Q24</v>
      </c>
      <c r="Y28" s="267" t="str">
        <f>Y7</f>
        <v>2Q24</v>
      </c>
      <c r="Z28" s="267" t="str">
        <f>Z7</f>
        <v>3Q24</v>
      </c>
      <c r="AA28" s="267" t="str">
        <f>AA7</f>
        <v>4Q24</v>
      </c>
      <c r="AB28" s="267">
        <f>AB7</f>
        <v>2024</v>
      </c>
      <c r="AC28" s="267" t="str">
        <f>AC7</f>
        <v>1Q25</v>
      </c>
      <c r="AD28" s="267" t="str">
        <f>AD7</f>
        <v>2Q25</v>
      </c>
      <c r="AE28" s="267" t="str">
        <f>AE7</f>
        <v>3Q25</v>
      </c>
      <c r="AF28" s="267" t="str">
        <f>AF7</f>
        <v>4Q25</v>
      </c>
      <c r="AG28" s="267">
        <f>AG7</f>
        <v>2025</v>
      </c>
      <c r="AH28" s="267" t="str">
        <f>AH7</f>
        <v>1Q26</v>
      </c>
      <c r="AI28" s="267" t="str">
        <f>AI7</f>
        <v>2Q26</v>
      </c>
    </row>
    <row r="29">
      <c r="C29" s="268" t="inlineStr">
        <is>
          <t xml:space="preserve">   Cloud &amp; Software (antes Cloud &amp; License)</t>
        </is>
      </c>
      <c r="D29" s="269" t="str">
        <f>IFERROR(INDEX('Inputs (2)'!$D$54:$AL$54,MATCH(D$7&amp;"",'Inputs (2)'!$D$2:$AL$2,0)),"")</f>
        <v/>
      </c>
      <c r="E29" s="269" t="str">
        <f>IFERROR(INDEX('Inputs (2)'!$D$54:$AL$54,MATCH(E$7&amp;"",'Inputs (2)'!$D$2:$AL$2,0)),"")</f>
        <v/>
      </c>
      <c r="F29" s="269" t="str">
        <f>IFERROR(INDEX('Inputs (2)'!$D$54:$AL$54,MATCH(F$7&amp;"",'Inputs (2)'!$D$2:$AL$2,0)),"")</f>
        <v/>
      </c>
      <c r="G29" s="269" t="str">
        <f>IFERROR(INDEX('Inputs (2)'!$D$54:$AL$54,MATCH(G$7&amp;"",'Inputs (2)'!$D$2:$AL$2,0)),"")</f>
        <v/>
      </c>
      <c r="H29" s="270" t="str">
        <f>IF(COUNT(D29:G29)=4,SUM(D29:G29),"")</f>
        <v/>
      </c>
      <c r="I29" s="269">
        <f>IFERROR(INDEX('Inputs (2)'!$D$54:$AL$54,MATCH(I$7&amp;"",'Inputs (2)'!$D$2:$AL$2,0)),"")</f>
        <v>5824</v>
      </c>
      <c r="J29" s="269">
        <f>IFERROR(INDEX('Inputs (2)'!$D$54:$AL$54,MATCH(J$7&amp;"",'Inputs (2)'!$D$2:$AL$2,0)),"")</f>
        <v>6526</v>
      </c>
      <c r="K29" s="269">
        <f>IFERROR(INDEX('Inputs (2)'!$D$54:$AL$54,MATCH(K$7&amp;"",'Inputs (2)'!$D$2:$AL$2,0)),"")</f>
        <v>5405</v>
      </c>
      <c r="L29" s="269">
        <f>IFERROR(INDEX('Inputs (2)'!$D$54:$AL$54,MATCH(L$7&amp;"",'Inputs (2)'!$D$2:$AL$2,0)),"")</f>
        <v>5911</v>
      </c>
      <c r="M29" s="270">
        <f>IF(COUNT(I29:L29)=4,SUM(I29:L29),"")</f>
        <v>23666</v>
      </c>
      <c r="N29" s="269">
        <f>IFERROR(INDEX('Inputs (2)'!$D$54:$AL$54,MATCH(N$7&amp;"",'Inputs (2)'!$D$2:$AL$2,0)),"")</f>
        <v>5935</v>
      </c>
      <c r="O29" s="269">
        <f>IFERROR(INDEX('Inputs (2)'!$D$54:$AL$54,MATCH(O$7&amp;"",'Inputs (2)'!$D$2:$AL$2,0)),"")</f>
        <v>6833</v>
      </c>
      <c r="P29" s="269">
        <f>IFERROR(INDEX('Inputs (2)'!$D$54:$AL$54,MATCH(P$7&amp;"",'Inputs (2)'!$D$2:$AL$2,0)),"")</f>
        <v>5771</v>
      </c>
      <c r="Q29" s="269">
        <f>IFERROR(INDEX('Inputs (2)'!$D$54:$AL$54,MATCH(Q$7&amp;"",'Inputs (2)'!$D$2:$AL$2,0)),"")</f>
        <v>6352</v>
      </c>
      <c r="R29" s="270">
        <f>IF(COUNT(N29:Q29)=4,SUM(N29:Q29),"")</f>
        <v>24891</v>
      </c>
      <c r="S29" s="269">
        <f>IFERROR(INDEX('Inputs (2)'!$D$54:$AL$54,MATCH(S$7&amp;"",'Inputs (2)'!$D$2:$AL$2,0)),"")</f>
        <v>6495</v>
      </c>
      <c r="T29" s="269">
        <f>IFERROR(INDEX('Inputs (2)'!$D$54:$AL$54,MATCH(T$7&amp;"",'Inputs (2)'!$D$2:$AL$2,0)),"")</f>
        <v>7508</v>
      </c>
      <c r="U29" s="269">
        <f>IFERROR(INDEX('Inputs (2)'!$D$54:$AL$54,MATCH(U$7&amp;"",'Inputs (2)'!$D$2:$AL$2,0)),"")</f>
        <v>6532</v>
      </c>
      <c r="V29" s="269">
        <f>IFERROR(INDEX('Inputs (2)'!$D$54:$AL$54,MATCH(V$7&amp;"",'Inputs (2)'!$D$2:$AL$2,0)),"")</f>
        <v>6915</v>
      </c>
      <c r="W29" s="270">
        <f>IF(COUNT(S29:V29)=4,SUM(S29:V29),"")</f>
        <v>27450</v>
      </c>
      <c r="X29" s="269">
        <f>IFERROR(INDEX('Inputs (2)'!$D$54:$AL$54,MATCH(X$7&amp;"",'Inputs (2)'!$D$2:$AL$2,0)),"")</f>
        <v>7173</v>
      </c>
      <c r="Y29" s="269">
        <f>IFERROR(INDEX('Inputs (2)'!$D$54:$AL$54,MATCH(Y$7&amp;"",'Inputs (2)'!$D$2:$AL$2,0)),"")</f>
        <v>7894</v>
      </c>
      <c r="Z29" s="269">
        <f>IFERROR(INDEX('Inputs (2)'!$D$54:$AL$54,MATCH(Z$7&amp;"",'Inputs (2)'!$D$2:$AL$2,0)),"")</f>
        <v>7196</v>
      </c>
      <c r="AA29" s="269">
        <f>IFERROR(INDEX('Inputs (2)'!$D$54:$AL$54,MATCH(AA$7&amp;"",'Inputs (2)'!$D$2:$AL$2,0)),"")</f>
        <v>7558</v>
      </c>
      <c r="AB29" s="270">
        <f>IF(COUNT(X29:AA29)=4,SUM(X29:AA29),"")</f>
        <v>29821</v>
      </c>
      <c r="AC29" s="269">
        <f>IFERROR(INDEX('Inputs (2)'!$D$54:$AL$54,MATCH(AC$7&amp;"",'Inputs (2)'!$D$2:$AL$2,0)),"")</f>
        <v>7629</v>
      </c>
      <c r="AD29" s="269">
        <f>IFERROR(INDEX('Inputs (2)'!$D$54:$AL$54,MATCH(AD$7&amp;"",'Inputs (2)'!$D$2:$AL$2,0)),"")</f>
        <v>8549</v>
      </c>
      <c r="AE29" s="269">
        <f>IFERROR(INDEX('Inputs (2)'!$D$54:$AL$54,MATCH(AE$7&amp;"",'Inputs (2)'!$D$2:$AL$2,0)),"")</f>
        <v>7691</v>
      </c>
      <c r="AF29" s="269">
        <f>IFERROR(INDEX('Inputs (2)'!$D$54:$AL$54,MATCH(AF$7&amp;"",'Inputs (2)'!$D$2:$AL$2,0)),"")</f>
        <v>8177</v>
      </c>
      <c r="AG29" s="270">
        <f>IF(COUNT(AC29:AF29)=4,SUM(AC29:AF29),"")</f>
        <v>32046</v>
      </c>
      <c r="AH29" s="270">
        <f>IFERROR(INDEX('Inputs (2)'!$D$54:$AL$54,MATCH(AH$7&amp;"",'Inputs (2)'!$D$2:$AL$2,0)),"")</f>
        <v>8707</v>
      </c>
      <c r="AI29" s="270">
        <f>IFERROR(INDEX('Inputs (2)'!$D$54:$AL$54,MATCH(AI$7&amp;"",'Inputs (2)'!$D$2:$AL$2,0)),"")</f>
        <v>9894</v>
      </c>
    </row>
    <row r="30">
      <c r="C30" s="268" t="inlineStr">
        <is>
          <t xml:space="preserve">   Hardware</t>
        </is>
      </c>
      <c r="D30" s="269" t="str">
        <f>IFERROR(INDEX('Inputs (2)'!$D$56:$AL$56,MATCH(D$7&amp;"",'Inputs (2)'!$D$2:$AL$2,0)),"")</f>
        <v/>
      </c>
      <c r="E30" s="269" t="str">
        <f>IFERROR(INDEX('Inputs (2)'!$D$56:$AL$56,MATCH(E$7&amp;"",'Inputs (2)'!$D$2:$AL$2,0)),"")</f>
        <v/>
      </c>
      <c r="F30" s="269" t="str">
        <f>IFERROR(INDEX('Inputs (2)'!$D$56:$AL$56,MATCH(F$7&amp;"",'Inputs (2)'!$D$2:$AL$2,0)),"")</f>
        <v/>
      </c>
      <c r="G30" s="269" t="str">
        <f>IFERROR(INDEX('Inputs (2)'!$D$56:$AL$56,MATCH(G$7&amp;"",'Inputs (2)'!$D$2:$AL$2,0)),"")</f>
        <v/>
      </c>
      <c r="H30" s="270" t="str">
        <f>IF(COUNT(D30:G30)=4,SUM(D30:G30),"")</f>
        <v/>
      </c>
      <c r="I30" s="269">
        <f>IFERROR(INDEX('Inputs (2)'!$D$56:$AL$56,MATCH(I$7&amp;"",'Inputs (2)'!$D$2:$AL$2,0)),"")</f>
        <v>502</v>
      </c>
      <c r="J30" s="269">
        <f>IFERROR(INDEX('Inputs (2)'!$D$56:$AL$56,MATCH(J$7&amp;"",'Inputs (2)'!$D$2:$AL$2,0)),"")</f>
        <v>533</v>
      </c>
      <c r="K30" s="269">
        <f>IFERROR(INDEX('Inputs (2)'!$D$56:$AL$56,MATCH(K$7&amp;"",'Inputs (2)'!$D$2:$AL$2,0)),"")</f>
        <v>436</v>
      </c>
      <c r="L30" s="269">
        <f>IFERROR(INDEX('Inputs (2)'!$D$56:$AL$56,MATCH(L$7&amp;"",'Inputs (2)'!$D$2:$AL$2,0)),"")</f>
        <v>458</v>
      </c>
      <c r="M30" s="270">
        <f>IF(COUNT(I30:L30)=4,SUM(I30:L30),"")</f>
        <v>1929</v>
      </c>
      <c r="N30" s="269">
        <f>IFERROR(INDEX('Inputs (2)'!$D$56:$AL$56,MATCH(N$7&amp;"",'Inputs (2)'!$D$2:$AL$2,0)),"")</f>
        <v>473</v>
      </c>
      <c r="O30" s="269">
        <f>IFERROR(INDEX('Inputs (2)'!$D$56:$AL$56,MATCH(O$7&amp;"",'Inputs (2)'!$D$2:$AL$2,0)),"")</f>
        <v>511</v>
      </c>
      <c r="P30" s="269">
        <f>IFERROR(INDEX('Inputs (2)'!$D$56:$AL$56,MATCH(P$7&amp;"",'Inputs (2)'!$D$2:$AL$2,0)),"")</f>
        <v>441</v>
      </c>
      <c r="Q30" s="269">
        <f>IFERROR(INDEX('Inputs (2)'!$D$56:$AL$56,MATCH(Q$7&amp;"",'Inputs (2)'!$D$2:$AL$2,0)),"")</f>
        <v>488</v>
      </c>
      <c r="R30" s="270">
        <f>IF(COUNT(N30:Q30)=4,SUM(N30:Q30),"")</f>
        <v>1913</v>
      </c>
      <c r="S30" s="269">
        <f>IFERROR(INDEX('Inputs (2)'!$D$56:$AL$56,MATCH(S$7&amp;"",'Inputs (2)'!$D$2:$AL$2,0)),"")</f>
        <v>494</v>
      </c>
      <c r="T30" s="269">
        <f>IFERROR(INDEX('Inputs (2)'!$D$56:$AL$56,MATCH(T$7&amp;"",'Inputs (2)'!$D$2:$AL$2,0)),"")</f>
        <v>509</v>
      </c>
      <c r="U30" s="269">
        <f>IFERROR(INDEX('Inputs (2)'!$D$56:$AL$56,MATCH(U$7&amp;"",'Inputs (2)'!$D$2:$AL$2,0)),"")</f>
        <v>433</v>
      </c>
      <c r="V30" s="269">
        <f>IFERROR(INDEX('Inputs (2)'!$D$56:$AL$56,MATCH(V$7&amp;"",'Inputs (2)'!$D$2:$AL$2,0)),"")</f>
        <v>474</v>
      </c>
      <c r="W30" s="270">
        <f>IF(COUNT(S30:V30)=4,SUM(S30:V30),"")</f>
        <v>1910</v>
      </c>
      <c r="X30" s="269">
        <f>IFERROR(INDEX('Inputs (2)'!$D$56:$AL$56,MATCH(X$7&amp;"",'Inputs (2)'!$D$2:$AL$2,0)),"")</f>
        <v>474</v>
      </c>
      <c r="Y30" s="269">
        <f>IFERROR(INDEX('Inputs (2)'!$D$56:$AL$56,MATCH(Y$7&amp;"",'Inputs (2)'!$D$2:$AL$2,0)),"")</f>
        <v>534</v>
      </c>
      <c r="Z30" s="269">
        <f>IFERROR(INDEX('Inputs (2)'!$D$56:$AL$56,MATCH(Z$7&amp;"",'Inputs (2)'!$D$2:$AL$2,0)),"")</f>
        <v>438</v>
      </c>
      <c r="AA30" s="269">
        <f>IFERROR(INDEX('Inputs (2)'!$D$56:$AL$56,MATCH(AA$7&amp;"",'Inputs (2)'!$D$2:$AL$2,0)),"")</f>
        <v>498</v>
      </c>
      <c r="AB30" s="270">
        <f>IF(COUNT(X30:AA30)=4,SUM(X30:AA30),"")</f>
        <v>1944</v>
      </c>
      <c r="AC30" s="269">
        <f>IFERROR(INDEX('Inputs (2)'!$D$56:$AL$56,MATCH(AC$7&amp;"",'Inputs (2)'!$D$2:$AL$2,0)),"")</f>
        <v>450</v>
      </c>
      <c r="AD30" s="269">
        <f>IFERROR(INDEX('Inputs (2)'!$D$56:$AL$56,MATCH(AD$7&amp;"",'Inputs (2)'!$D$2:$AL$2,0)),"")</f>
        <v>532</v>
      </c>
      <c r="AE30" s="269">
        <f>IFERROR(INDEX('Inputs (2)'!$D$56:$AL$56,MATCH(AE$7&amp;"",'Inputs (2)'!$D$2:$AL$2,0)),"")</f>
        <v>447</v>
      </c>
      <c r="AF30" s="269">
        <f>IFERROR(INDEX('Inputs (2)'!$D$56:$AL$56,MATCH(AF$7&amp;"",'Inputs (2)'!$D$2:$AL$2,0)),"")</f>
        <v>512</v>
      </c>
      <c r="AG30" s="270">
        <f>IF(COUNT(AC30:AF30)=4,SUM(AC30:AF30),"")</f>
        <v>1941</v>
      </c>
      <c r="AH30" s="270">
        <f>IFERROR(INDEX('Inputs (2)'!$D$56:$AL$56,MATCH(AH$7&amp;"",'Inputs (2)'!$D$2:$AL$2,0)),"")</f>
        <v>485</v>
      </c>
      <c r="AI30" s="270">
        <f>IFERROR(INDEX('Inputs (2)'!$D$56:$AL$56,MATCH(AI$7&amp;"",'Inputs (2)'!$D$2:$AL$2,0)),"")</f>
        <v>573</v>
      </c>
    </row>
    <row r="31">
      <c r="C31" s="268" t="inlineStr">
        <is>
          <t xml:space="preserve">   Serviços</t>
        </is>
      </c>
      <c r="D31" s="269" t="str">
        <f>IFERROR(INDEX('Inputs (2)'!$D$58:$AL$58,MATCH(D$7&amp;"",'Inputs (2)'!$D$2:$AL$2,0)),"")</f>
        <v/>
      </c>
      <c r="E31" s="269" t="str">
        <f>IFERROR(INDEX('Inputs (2)'!$D$58:$AL$58,MATCH(E$7&amp;"",'Inputs (2)'!$D$2:$AL$2,0)),"")</f>
        <v/>
      </c>
      <c r="F31" s="269" t="str">
        <f>IFERROR(INDEX('Inputs (2)'!$D$58:$AL$58,MATCH(F$7&amp;"",'Inputs (2)'!$D$2:$AL$2,0)),"")</f>
        <v/>
      </c>
      <c r="G31" s="269" t="str">
        <f>IFERROR(INDEX('Inputs (2)'!$D$58:$AL$58,MATCH(G$7&amp;"",'Inputs (2)'!$D$2:$AL$2,0)),"")</f>
        <v/>
      </c>
      <c r="H31" s="270" t="str">
        <f>IF(COUNT(D31:G31)=4,SUM(D31:G31),"")</f>
        <v/>
      </c>
      <c r="I31" s="269">
        <f>IFERROR(INDEX('Inputs (2)'!$D$58:$AL$58,MATCH(I$7&amp;"",'Inputs (2)'!$D$2:$AL$2,0)),"")</f>
        <v>150</v>
      </c>
      <c r="J31" s="269">
        <f>IFERROR(INDEX('Inputs (2)'!$D$58:$AL$58,MATCH(J$7&amp;"",'Inputs (2)'!$D$2:$AL$2,0)),"")</f>
        <v>186</v>
      </c>
      <c r="K31" s="269">
        <f>IFERROR(INDEX('Inputs (2)'!$D$58:$AL$58,MATCH(K$7&amp;"",'Inputs (2)'!$D$2:$AL$2,0)),"")</f>
        <v>172</v>
      </c>
      <c r="L31" s="269">
        <f>IFERROR(INDEX('Inputs (2)'!$D$58:$AL$58,MATCH(L$7&amp;"",'Inputs (2)'!$D$2:$AL$2,0)),"")</f>
        <v>171</v>
      </c>
      <c r="M31" s="270">
        <f>IF(COUNT(I31:L31)=4,SUM(I31:L31),"")</f>
        <v>679</v>
      </c>
      <c r="N31" s="269">
        <f>IFERROR(INDEX('Inputs (2)'!$D$58:$AL$58,MATCH(N$7&amp;"",'Inputs (2)'!$D$2:$AL$2,0)),"")</f>
        <v>156</v>
      </c>
      <c r="O31" s="269">
        <f>IFERROR(INDEX('Inputs (2)'!$D$58:$AL$58,MATCH(O$7&amp;"",'Inputs (2)'!$D$2:$AL$2,0)),"")</f>
        <v>168</v>
      </c>
      <c r="P31" s="269">
        <f>IFERROR(INDEX('Inputs (2)'!$D$58:$AL$58,MATCH(P$7&amp;"",'Inputs (2)'!$D$2:$AL$2,0)),"")</f>
        <v>354</v>
      </c>
      <c r="Q31" s="269">
        <f>IFERROR(INDEX('Inputs (2)'!$D$58:$AL$58,MATCH(Q$7&amp;"",'Inputs (2)'!$D$2:$AL$2,0)),"")</f>
        <v>281</v>
      </c>
      <c r="R31" s="270">
        <f>IF(COUNT(N31:Q31)=4,SUM(N31:Q31),"")</f>
        <v>959</v>
      </c>
      <c r="S31" s="269">
        <f>IFERROR(INDEX('Inputs (2)'!$D$58:$AL$58,MATCH(S$7&amp;"",'Inputs (2)'!$D$2:$AL$2,0)),"")</f>
        <v>229</v>
      </c>
      <c r="T31" s="269">
        <f>IFERROR(INDEX('Inputs (2)'!$D$58:$AL$58,MATCH(T$7&amp;"",'Inputs (2)'!$D$2:$AL$2,0)),"")</f>
        <v>240</v>
      </c>
      <c r="U31" s="269">
        <f>IFERROR(INDEX('Inputs (2)'!$D$58:$AL$58,MATCH(U$7&amp;"",'Inputs (2)'!$D$2:$AL$2,0)),"")</f>
        <v>238</v>
      </c>
      <c r="V31" s="269">
        <f>IFERROR(INDEX('Inputs (2)'!$D$58:$AL$58,MATCH(V$7&amp;"",'Inputs (2)'!$D$2:$AL$2,0)),"")</f>
        <v>202</v>
      </c>
      <c r="W31" s="270">
        <f>IF(COUNT(S31:V31)=4,SUM(S31:V31),"")</f>
        <v>909</v>
      </c>
      <c r="X31" s="269">
        <f>IFERROR(INDEX('Inputs (2)'!$D$58:$AL$58,MATCH(X$7&amp;"",'Inputs (2)'!$D$2:$AL$2,0)),"")</f>
        <v>187</v>
      </c>
      <c r="Y31" s="269">
        <f>IFERROR(INDEX('Inputs (2)'!$D$58:$AL$58,MATCH(Y$7&amp;"",'Inputs (2)'!$D$2:$AL$2,0)),"")</f>
        <v>289</v>
      </c>
      <c r="Z31" s="269">
        <f>IFERROR(INDEX('Inputs (2)'!$D$58:$AL$58,MATCH(Z$7&amp;"",'Inputs (2)'!$D$2:$AL$2,0)),"")</f>
        <v>197</v>
      </c>
      <c r="AA31" s="269">
        <f>IFERROR(INDEX('Inputs (2)'!$D$58:$AL$58,MATCH(AA$7&amp;"",'Inputs (2)'!$D$2:$AL$2,0)),"")</f>
        <v>250</v>
      </c>
      <c r="AB31" s="270">
        <f>IF(COUNT(X31:AA31)=4,SUM(X31:AA31),"")</f>
        <v>923</v>
      </c>
      <c r="AC31" s="269">
        <f>IFERROR(INDEX('Inputs (2)'!$D$58:$AL$58,MATCH(AC$7&amp;"",'Inputs (2)'!$D$2:$AL$2,0)),"")</f>
        <v>262</v>
      </c>
      <c r="AD31" s="269">
        <f>IFERROR(INDEX('Inputs (2)'!$D$58:$AL$58,MATCH(AD$7&amp;"",'Inputs (2)'!$D$2:$AL$2,0)),"")</f>
        <v>282</v>
      </c>
      <c r="AE31" s="269">
        <f>IFERROR(INDEX('Inputs (2)'!$D$58:$AL$58,MATCH(AE$7&amp;"",'Inputs (2)'!$D$2:$AL$2,0)),"")</f>
        <v>332</v>
      </c>
      <c r="AF31" s="269">
        <f>IFERROR(INDEX('Inputs (2)'!$D$58:$AL$58,MATCH(AF$7&amp;"",'Inputs (2)'!$D$2:$AL$2,0)),"")</f>
        <v>344</v>
      </c>
      <c r="AG31" s="270">
        <f>IF(COUNT(AC31:AF31)=4,SUM(AC31:AF31),"")</f>
        <v>1220</v>
      </c>
      <c r="AH31" s="270">
        <f>IFERROR(INDEX('Inputs (2)'!$D$58:$AL$58,MATCH(AH$7&amp;"",'Inputs (2)'!$D$2:$AL$2,0)),"")</f>
        <v>400</v>
      </c>
      <c r="AI31" s="270">
        <f>IFERROR(INDEX('Inputs (2)'!$D$58:$AL$58,MATCH(AI$7&amp;"",'Inputs (2)'!$D$2:$AL$2,0)),"")</f>
        <v>456</v>
      </c>
    </row>
    <row r="32">
      <c r="C32" s="268" t="inlineStr">
        <is>
          <t xml:space="preserve">   Margem Cloud &amp; Software (antes Cloud &amp; License)</t>
        </is>
      </c>
      <c r="D32" s="272" t="str">
        <f>IFERROR(D29/D19,"")</f>
        <v/>
      </c>
      <c r="E32" s="272" t="str">
        <f>IFERROR(E29/E19,"")</f>
        <v/>
      </c>
      <c r="F32" s="272" t="str">
        <f>IFERROR(F29/F19,"")</f>
        <v/>
      </c>
      <c r="G32" s="272" t="str">
        <f>IFERROR(G29/G19,"")</f>
        <v/>
      </c>
      <c r="H32" s="273" t="str">
        <f>IFERROR(H29/H19,"")</f>
        <v/>
      </c>
      <c r="I32" s="272">
        <f>IFERROR(I29/I19,"")</f>
        <v>0.682846758119358</v>
      </c>
      <c r="J32" s="272">
        <f>IFERROR(J29/J19,"")</f>
        <v>0.684497587581288</v>
      </c>
      <c r="K32" s="272">
        <f>IFERROR(K29/K19,"")</f>
        <v>0.660434995112414</v>
      </c>
      <c r="L32" s="272">
        <f>IFERROR(L29/L19,"")</f>
        <v>0.672392219315209</v>
      </c>
      <c r="M32" s="273">
        <f>IFERROR(M29/M19,"")</f>
        <v>0.675438095781723</v>
      </c>
      <c r="N32" s="272">
        <f>IFERROR(N29/N19,"")</f>
        <v>0.664911494510419</v>
      </c>
      <c r="O32" s="272">
        <f>IFERROR(O29/O19,"")</f>
        <v>0.673135651659935</v>
      </c>
      <c r="P32" s="272">
        <f>IFERROR(P29/P19,"")</f>
        <v>0.619139577298573</v>
      </c>
      <c r="Q32" s="272">
        <f>IFERROR(Q29/Q19,"")</f>
        <v>0.6331107345759</v>
      </c>
      <c r="R32" s="273">
        <f>IFERROR(R29/R19,"")</f>
        <v>0.647680258124951</v>
      </c>
      <c r="S32" s="272">
        <f>IFERROR(S29/S19,"")</f>
        <v>0.636078738615219</v>
      </c>
      <c r="T32" s="272">
        <f>IFERROR(T29/T19,"")</f>
        <v>0.651679541706449</v>
      </c>
      <c r="U32" s="272">
        <f>IFERROR(U29/U19,"")</f>
        <v>0.630745461568173</v>
      </c>
      <c r="V32" s="272">
        <f>IFERROR(V29/V19,"")</f>
        <v>0.639271517056485</v>
      </c>
      <c r="W32" s="273">
        <f>IFERROR(W29/W19,"")</f>
        <v>0.639785572777066</v>
      </c>
      <c r="X32" s="272">
        <f>IFERROR(X29/X19,"")</f>
        <v>0.6393617969516</v>
      </c>
      <c r="Y32" s="272">
        <f>IFERROR(Y29/Y19,"")</f>
        <v>0.653909874088801</v>
      </c>
      <c r="Z32" s="272">
        <f>IFERROR(Z29/Z19,"")</f>
        <v>0.631837738168408</v>
      </c>
      <c r="AA32" s="272">
        <f>IFERROR(AA29/AA19,"")</f>
        <v>0.6297808515957</v>
      </c>
      <c r="AB32" s="273">
        <f>IFERROR(AB29/AB19,"")</f>
        <v>0.638825217968767</v>
      </c>
      <c r="AC32" s="272">
        <f>IFERROR(AC29/AC19,"")</f>
        <v>0.628625576796309</v>
      </c>
      <c r="AD32" s="272">
        <f>IFERROR(AD29/AD19,"")</f>
        <v>0.623786939073331</v>
      </c>
      <c r="AE32" s="272">
        <f>IFERROR(AE29/AE19,"")</f>
        <v>0.595878205624855</v>
      </c>
      <c r="AF32" s="272">
        <f>IFERROR(AF29/AF19,"")</f>
        <v>0.59022664934315</v>
      </c>
      <c r="AG32" s="273">
        <f>IFERROR(AG29/AG19,"")</f>
        <v>0.609216379605338</v>
      </c>
      <c r="AH32" s="273">
        <f>IFERROR(AH29/AH19,"")</f>
        <v>0.579192443291426</v>
      </c>
      <c r="AI32" s="273">
        <f>IFERROR(AI29/AI19,"")</f>
        <v>0.591145366553146</v>
      </c>
    </row>
    <row r="33">
      <c r="C33" s="268" t="inlineStr">
        <is>
          <t xml:space="preserve">   Margem Hardware</t>
        </is>
      </c>
      <c r="D33" s="272" t="str">
        <f>IFERROR(D30/D20,"")</f>
        <v/>
      </c>
      <c r="E33" s="272" t="str">
        <f>IFERROR(E30/E20,"")</f>
        <v/>
      </c>
      <c r="F33" s="272" t="str">
        <f>IFERROR(F30/F20,"")</f>
        <v/>
      </c>
      <c r="G33" s="272" t="str">
        <f>IFERROR(G30/G20,"")</f>
        <v/>
      </c>
      <c r="H33" s="273" t="str">
        <f>IFERROR(H30/H20,"")</f>
        <v/>
      </c>
      <c r="I33" s="272">
        <f>IFERROR(I30/I20,"")</f>
        <v>0.61219512195122</v>
      </c>
      <c r="J33" s="272">
        <f>IFERROR(J30/J20,"")</f>
        <v>0.604994324631101</v>
      </c>
      <c r="K33" s="272">
        <f>IFERROR(K30/K20,"")</f>
        <v>0.571428571428571</v>
      </c>
      <c r="L33" s="272">
        <f>IFERROR(L30/L20,"")</f>
        <v>0.597131681877445</v>
      </c>
      <c r="M33" s="273">
        <f>IFERROR(M30/M20,"")</f>
        <v>0.59702878365831</v>
      </c>
      <c r="N33" s="272">
        <f>IFERROR(N30/N20,"")</f>
        <v>0.592731829573935</v>
      </c>
      <c r="O33" s="272">
        <f>IFERROR(O30/O20,"")</f>
        <v>0.59766081871345</v>
      </c>
      <c r="P33" s="272">
        <f>IFERROR(P30/P20,"")</f>
        <v>0.577981651376147</v>
      </c>
      <c r="Q33" s="272">
        <f>IFERROR(Q30/Q20,"")</f>
        <v>0.574117647058824</v>
      </c>
      <c r="R33" s="273">
        <f>IFERROR(R30/R20,"")</f>
        <v>0.585731781996326</v>
      </c>
      <c r="S33" s="272">
        <f>IFERROR(S30/S20,"")</f>
        <v>0.609124537607892</v>
      </c>
      <c r="T33" s="272">
        <f>IFERROR(T30/T20,"")</f>
        <v>0.598823529411765</v>
      </c>
      <c r="U33" s="272">
        <f>IFERROR(U30/U20,"")</f>
        <v>0.606442577030812</v>
      </c>
      <c r="V33" s="272">
        <f>IFERROR(V30/V20,"")</f>
        <v>0.626984126984127</v>
      </c>
      <c r="W33" s="273">
        <f>IFERROR(W30/W20,"")</f>
        <v>0.610028744809965</v>
      </c>
      <c r="X33" s="272">
        <f>IFERROR(X30/X20,"")</f>
        <v>0.628647214854112</v>
      </c>
      <c r="Y33" s="272">
        <f>IFERROR(Y30/Y20,"")</f>
        <v>0.634204275534442</v>
      </c>
      <c r="Z33" s="272">
        <f>IFERROR(Z30/Z20,"")</f>
        <v>0.668702290076336</v>
      </c>
      <c r="AA33" s="272">
        <f>IFERROR(AA30/AA20,"")</f>
        <v>0.684065934065934</v>
      </c>
      <c r="AB33" s="273">
        <f>IFERROR(AB30/AB20,"")</f>
        <v>0.652567975830816</v>
      </c>
      <c r="AC33" s="272">
        <f>IFERROR(AC30/AC20,"")</f>
        <v>0.640113798008535</v>
      </c>
      <c r="AD33" s="272">
        <f>IFERROR(AD30/AD20,"")</f>
        <v>0.625882352941176</v>
      </c>
      <c r="AE33" s="272">
        <f>IFERROR(AE30/AE20,"")</f>
        <v>0.667164179104478</v>
      </c>
      <c r="AF33" s="272">
        <f>IFERROR(AF30/AF20,"")</f>
        <v>0.65979381443299</v>
      </c>
      <c r="AG33" s="273">
        <f>IFERROR(AG30/AG20,"")</f>
        <v>0.647215738579527</v>
      </c>
      <c r="AH33" s="273">
        <f>IFERROR(AH30/AH20,"")</f>
        <v>0.679271708683473</v>
      </c>
      <c r="AI33" s="273">
        <f>IFERROR(AI30/AI20,"")</f>
        <v>0.62012987012987</v>
      </c>
    </row>
    <row r="34">
      <c r="C34" s="268" t="inlineStr">
        <is>
          <t xml:space="preserve">   Margem Serviços</t>
        </is>
      </c>
      <c r="D34" s="272" t="str">
        <f>IFERROR(D31/D21,"")</f>
        <v/>
      </c>
      <c r="E34" s="272" t="str">
        <f>IFERROR(E31/E21,"")</f>
        <v/>
      </c>
      <c r="F34" s="272" t="str">
        <f>IFERROR(F31/F21,"")</f>
        <v/>
      </c>
      <c r="G34" s="272" t="str">
        <f>IFERROR(G31/G21,"")</f>
        <v/>
      </c>
      <c r="H34" s="273" t="str">
        <f>IFERROR(H31/H21,"")</f>
        <v/>
      </c>
      <c r="I34" s="272">
        <f>IFERROR(I31/I21,"")</f>
        <v>0.203527815468114</v>
      </c>
      <c r="J34" s="272">
        <f>IFERROR(J31/J21,"")</f>
        <v>0.229064039408867</v>
      </c>
      <c r="K34" s="272">
        <f>IFERROR(K31/K21,"")</f>
        <v>0.220230473751601</v>
      </c>
      <c r="L34" s="272">
        <f>IFERROR(L31/L21,"")</f>
        <v>0.213216957605985</v>
      </c>
      <c r="M34" s="273">
        <f>IFERROR(M31/M21,"")</f>
        <v>0.216794380587484</v>
      </c>
      <c r="N34" s="272">
        <f>IFERROR(N31/N21,"")</f>
        <v>0.197718631178707</v>
      </c>
      <c r="O34" s="272">
        <f>IFERROR(O31/O21,"")</f>
        <v>0.201438848920863</v>
      </c>
      <c r="P34" s="272">
        <f>IFERROR(P31/P21,"")</f>
        <v>0.260102865540044</v>
      </c>
      <c r="Q34" s="272">
        <f>IFERROR(Q31/Q21,"")</f>
        <v>0.201867816091954</v>
      </c>
      <c r="R34" s="273">
        <f>IFERROR(R31/R21,"")</f>
        <v>0.219149908592322</v>
      </c>
      <c r="S34" s="272">
        <f>IFERROR(S31/S21,"")</f>
        <v>0.166424418604651</v>
      </c>
      <c r="T34" s="272">
        <f>IFERROR(T31/T21,"")</f>
        <v>0.16382252559727</v>
      </c>
      <c r="U34" s="272">
        <f>IFERROR(U31/U21,"")</f>
        <v>0.172089660159074</v>
      </c>
      <c r="V34" s="272">
        <f>IFERROR(V31/V21,"")</f>
        <v>0.14766081871345</v>
      </c>
      <c r="W34" s="273">
        <f>IFERROR(W31/W21,"")</f>
        <v>0.16255364806867</v>
      </c>
      <c r="X34" s="272">
        <f>IFERROR(X31/X21,"")</f>
        <v>0.143075745983168</v>
      </c>
      <c r="Y34" s="272">
        <f>IFERROR(Y31/Y21,"")</f>
        <v>0.210487982520029</v>
      </c>
      <c r="Z34" s="272">
        <f>IFERROR(Z31/Z21,"")</f>
        <v>0.155977830562154</v>
      </c>
      <c r="AA34" s="272">
        <f>IFERROR(AA31/AA21,"")</f>
        <v>0.18796992481203</v>
      </c>
      <c r="AB34" s="273">
        <f>IFERROR(AB31/AB21,"")</f>
        <v>0.175042670206713</v>
      </c>
      <c r="AC34" s="272">
        <f>IFERROR(AC31/AC21,"")</f>
        <v>0.20294345468629</v>
      </c>
      <c r="AD34" s="272">
        <f>IFERROR(AD31/AD21,"")</f>
        <v>0.20919881305638</v>
      </c>
      <c r="AE34" s="272">
        <f>IFERROR(AE31/AE21,"")</f>
        <v>0.246108228317272</v>
      </c>
      <c r="AF34" s="272">
        <f>IFERROR(AF31/AF21,"")</f>
        <v>0.240896358543417</v>
      </c>
      <c r="AG34" s="273">
        <f>IFERROR(AG31/AG21,"")</f>
        <v>0.225258493353028</v>
      </c>
      <c r="AH34" s="273">
        <f>IFERROR(AH31/AH21,"")</f>
        <v>0.277200277200277</v>
      </c>
      <c r="AI34" s="273">
        <f>IFERROR(AI31/AI21,"")</f>
        <v>0.29940906106369</v>
      </c>
    </row>
    <row r="35"/>
    <row r="36">
      <c r="C36" s="267" t="inlineStr">
        <is>
          <t>Outras aberturas (USD milhões)</t>
        </is>
      </c>
      <c r="D36" s="267">
        <f>D7</f>
        <v>0</v>
      </c>
      <c r="E36" s="267">
        <f>E7</f>
        <v>0</v>
      </c>
      <c r="F36" s="267">
        <f>F7</f>
        <v>0</v>
      </c>
      <c r="G36" s="267">
        <f>G7</f>
        <v>0</v>
      </c>
      <c r="H36" s="267">
        <f>H7</f>
        <v>2020</v>
      </c>
      <c r="I36" s="267" t="str">
        <f>I7</f>
        <v>1Q21</v>
      </c>
      <c r="J36" s="267" t="str">
        <f>J7</f>
        <v>2Q21</v>
      </c>
      <c r="K36" s="267" t="str">
        <f>K7</f>
        <v>3Q21</v>
      </c>
      <c r="L36" s="267" t="str">
        <f>L7</f>
        <v>4Q21</v>
      </c>
      <c r="M36" s="267">
        <f>M7</f>
        <v>2021</v>
      </c>
      <c r="N36" s="267" t="str">
        <f>N7</f>
        <v>1Q22</v>
      </c>
      <c r="O36" s="267" t="str">
        <f>O7</f>
        <v>2Q22</v>
      </c>
      <c r="P36" s="267" t="str">
        <f>P7</f>
        <v>3Q22</v>
      </c>
      <c r="Q36" s="267" t="str">
        <f>Q7</f>
        <v>4Q22</v>
      </c>
      <c r="R36" s="267">
        <f>R7</f>
        <v>2022</v>
      </c>
      <c r="S36" s="267" t="str">
        <f>S7</f>
        <v>1Q23</v>
      </c>
      <c r="T36" s="267" t="str">
        <f>T7</f>
        <v>2Q23</v>
      </c>
      <c r="U36" s="267" t="str">
        <f>U7</f>
        <v>3Q23</v>
      </c>
      <c r="V36" s="267" t="str">
        <f>V7</f>
        <v>4Q23</v>
      </c>
      <c r="W36" s="267">
        <f>W7</f>
        <v>2023</v>
      </c>
      <c r="X36" s="267" t="str">
        <f>X7</f>
        <v>1Q24</v>
      </c>
      <c r="Y36" s="267" t="str">
        <f>Y7</f>
        <v>2Q24</v>
      </c>
      <c r="Z36" s="267" t="str">
        <f>Z7</f>
        <v>3Q24</v>
      </c>
      <c r="AA36" s="267" t="str">
        <f>AA7</f>
        <v>4Q24</v>
      </c>
      <c r="AB36" s="267">
        <f>AB7</f>
        <v>2024</v>
      </c>
      <c r="AC36" s="267" t="str">
        <f>AC7</f>
        <v>1Q25</v>
      </c>
      <c r="AD36" s="267" t="str">
        <f>AD7</f>
        <v>2Q25</v>
      </c>
      <c r="AE36" s="267" t="str">
        <f>AE7</f>
        <v>3Q25</v>
      </c>
      <c r="AF36" s="267" t="str">
        <f>AF7</f>
        <v>4Q25</v>
      </c>
      <c r="AG36" s="267">
        <f>AG7</f>
        <v>2025</v>
      </c>
      <c r="AH36" s="267" t="str">
        <f>AH7</f>
        <v>1Q26</v>
      </c>
      <c r="AI36" s="267" t="str">
        <f>AI7</f>
        <v>2Q26</v>
      </c>
    </row>
    <row r="37">
      <c r="C37" s="268" t="inlineStr">
        <is>
          <t xml:space="preserve">   Nova abertura - Cloud total</t>
        </is>
      </c>
      <c r="D37" s="269" t="str">
        <f>IFERROR(INDEX('Inputs (2)'!$D$59:$AL$59,MATCH(D$7&amp;"",'Inputs (2)'!$D$2:$AL$2,0)),"")</f>
        <v/>
      </c>
      <c r="E37" s="269" t="str">
        <f>IFERROR(INDEX('Inputs (2)'!$D$59:$AL$59,MATCH(E$7&amp;"",'Inputs (2)'!$D$2:$AL$2,0)),"")</f>
        <v/>
      </c>
      <c r="F37" s="269" t="str">
        <f>IFERROR(INDEX('Inputs (2)'!$D$59:$AL$59,MATCH(F$7&amp;"",'Inputs (2)'!$D$2:$AL$2,0)),"")</f>
        <v/>
      </c>
      <c r="G37" s="269" t="str">
        <f>IFERROR(INDEX('Inputs (2)'!$D$59:$AL$59,MATCH(G$7&amp;"",'Inputs (2)'!$D$2:$AL$2,0)),"")</f>
        <v/>
      </c>
      <c r="H37" s="270" t="str">
        <f>IF(COUNT(D37:G37)=4,SUM(D37:G37),"")</f>
        <v/>
      </c>
      <c r="I37" s="269" t="str">
        <f>IFERROR(INDEX('Inputs (2)'!$D$59:$AL$59,MATCH(I$7&amp;"",'Inputs (2)'!$D$2:$AL$2,0)),"")</f>
        <v/>
      </c>
      <c r="J37" s="269" t="str">
        <f>IFERROR(INDEX('Inputs (2)'!$D$59:$AL$59,MATCH(J$7&amp;"",'Inputs (2)'!$D$2:$AL$2,0)),"")</f>
        <v/>
      </c>
      <c r="K37" s="269" t="str">
        <f>IFERROR(INDEX('Inputs (2)'!$D$59:$AL$59,MATCH(K$7&amp;"",'Inputs (2)'!$D$2:$AL$2,0)),"")</f>
        <v/>
      </c>
      <c r="L37" s="269" t="str">
        <f>IFERROR(INDEX('Inputs (2)'!$D$59:$AL$59,MATCH(L$7&amp;"",'Inputs (2)'!$D$2:$AL$2,0)),"")</f>
        <v/>
      </c>
      <c r="M37" s="270" t="str">
        <f>IF(COUNT(I37:L37)=4,SUM(I37:L37),"")</f>
        <v/>
      </c>
      <c r="N37" s="269" t="str">
        <f>IFERROR(INDEX('Inputs (2)'!$D$59:$AL$59,MATCH(N$7&amp;"",'Inputs (2)'!$D$2:$AL$2,0)),"")</f>
        <v/>
      </c>
      <c r="O37" s="269" t="str">
        <f>IFERROR(INDEX('Inputs (2)'!$D$59:$AL$59,MATCH(O$7&amp;"",'Inputs (2)'!$D$2:$AL$2,0)),"")</f>
        <v/>
      </c>
      <c r="P37" s="269" t="str">
        <f>IFERROR(INDEX('Inputs (2)'!$D$59:$AL$59,MATCH(P$7&amp;"",'Inputs (2)'!$D$2:$AL$2,0)),"")</f>
        <v/>
      </c>
      <c r="Q37" s="269" t="str">
        <f>IFERROR(INDEX('Inputs (2)'!$D$59:$AL$59,MATCH(Q$7&amp;"",'Inputs (2)'!$D$2:$AL$2,0)),"")</f>
        <v/>
      </c>
      <c r="R37" s="270" t="str">
        <f>IF(COUNT(N37:Q37)=4,SUM(N37:Q37),"")</f>
        <v/>
      </c>
      <c r="S37" s="269" t="str">
        <f>IFERROR(INDEX('Inputs (2)'!$D$59:$AL$59,MATCH(S$7&amp;"",'Inputs (2)'!$D$2:$AL$2,0)),"")</f>
        <v/>
      </c>
      <c r="T37" s="269" t="str">
        <f>IFERROR(INDEX('Inputs (2)'!$D$59:$AL$59,MATCH(T$7&amp;"",'Inputs (2)'!$D$2:$AL$2,0)),"")</f>
        <v/>
      </c>
      <c r="U37" s="269" t="str">
        <f>IFERROR(INDEX('Inputs (2)'!$D$59:$AL$59,MATCH(U$7&amp;"",'Inputs (2)'!$D$2:$AL$2,0)),"")</f>
        <v/>
      </c>
      <c r="V37" s="269" t="str">
        <f>IFERROR(INDEX('Inputs (2)'!$D$59:$AL$59,MATCH(V$7&amp;"",'Inputs (2)'!$D$2:$AL$2,0)),"")</f>
        <v/>
      </c>
      <c r="W37" s="270" t="str">
        <f>IF(COUNT(S37:V37)=4,SUM(S37:V37),"")</f>
        <v/>
      </c>
      <c r="X37" s="269" t="str">
        <f>IFERROR(INDEX('Inputs (2)'!$D$59:$AL$59,MATCH(X$7&amp;"",'Inputs (2)'!$D$2:$AL$2,0)),"")</f>
        <v/>
      </c>
      <c r="Y37" s="269" t="str">
        <f>IFERROR(INDEX('Inputs (2)'!$D$59:$AL$59,MATCH(Y$7&amp;"",'Inputs (2)'!$D$2:$AL$2,0)),"")</f>
        <v/>
      </c>
      <c r="Z37" s="269">
        <f>IFERROR(INDEX('Inputs (2)'!$D$59:$AL$59,MATCH(Z$7&amp;"",'Inputs (2)'!$D$2:$AL$2,0)),"")</f>
        <v>5623</v>
      </c>
      <c r="AA37" s="269">
        <f>IFERROR(INDEX('Inputs (2)'!$D$59:$AL$59,MATCH(AA$7&amp;"",'Inputs (2)'!$D$2:$AL$2,0)),"")</f>
        <v>5937</v>
      </c>
      <c r="AB37" s="270" t="str">
        <f>IF(COUNT(X37:AA37)=4,SUM(X37:AA37),"")</f>
        <v/>
      </c>
      <c r="AC37" s="269">
        <f>IFERROR(INDEX('Inputs (2)'!$D$59:$AL$59,MATCH(AC$7&amp;"",'Inputs (2)'!$D$2:$AL$2,0)),"")</f>
        <v>6210</v>
      </c>
      <c r="AD37" s="269">
        <f>IFERROR(INDEX('Inputs (2)'!$D$59:$AL$59,MATCH(AD$7&amp;"",'Inputs (2)'!$D$2:$AL$2,0)),"")</f>
        <v>6737</v>
      </c>
      <c r="AE37" s="269">
        <f>IFERROR(INDEX('Inputs (2)'!$D$59:$AL$59,MATCH(AE$7&amp;"",'Inputs (2)'!$D$2:$AL$2,0)),"")</f>
        <v>7186</v>
      </c>
      <c r="AF37" s="269">
        <f>IFERROR(INDEX('Inputs (2)'!$D$59:$AL$59,MATCH(AF$7&amp;"",'Inputs (2)'!$D$2:$AL$2,0)),"")</f>
        <v>7977</v>
      </c>
      <c r="AG37" s="270">
        <f>IF(COUNT(AC37:AF37)=4,SUM(AC37:AF37),"")</f>
        <v>28110</v>
      </c>
      <c r="AH37" s="270">
        <f>IFERROR(INDEX('Inputs (2)'!$D$59:$AL$59,MATCH(AH$7&amp;"",'Inputs (2)'!$D$2:$AL$2,0)),"")</f>
        <v>8914</v>
      </c>
      <c r="AI37" s="270">
        <f>IFERROR(INDEX('Inputs (2)'!$D$59:$AL$59,MATCH(AI$7&amp;"",'Inputs (2)'!$D$2:$AL$2,0)),"")</f>
        <v>9913</v>
      </c>
    </row>
    <row r="38">
      <c r="C38" s="268" t="inlineStr">
        <is>
          <t xml:space="preserve">   Nova abertura - Cloud Infrastructure (OCI)</t>
        </is>
      </c>
      <c r="D38" s="269" t="str">
        <f>IFERROR(INDEX('Inputs (2)'!$D$60:$AL$60,MATCH(D$7&amp;"",'Inputs (2)'!$D$2:$AL$2,0)),"")</f>
        <v/>
      </c>
      <c r="E38" s="269" t="str">
        <f>IFERROR(INDEX('Inputs (2)'!$D$60:$AL$60,MATCH(E$7&amp;"",'Inputs (2)'!$D$2:$AL$2,0)),"")</f>
        <v/>
      </c>
      <c r="F38" s="269" t="str">
        <f>IFERROR(INDEX('Inputs (2)'!$D$60:$AL$60,MATCH(F$7&amp;"",'Inputs (2)'!$D$2:$AL$2,0)),"")</f>
        <v/>
      </c>
      <c r="G38" s="269" t="str">
        <f>IFERROR(INDEX('Inputs (2)'!$D$60:$AL$60,MATCH(G$7&amp;"",'Inputs (2)'!$D$2:$AL$2,0)),"")</f>
        <v/>
      </c>
      <c r="H38" s="270" t="str">
        <f>IF(COUNT(D38:G38)=4,SUM(D38:G38),"")</f>
        <v/>
      </c>
      <c r="I38" s="269" t="str">
        <f>IFERROR(INDEX('Inputs (2)'!$D$60:$AL$60,MATCH(I$7&amp;"",'Inputs (2)'!$D$2:$AL$2,0)),"")</f>
        <v/>
      </c>
      <c r="J38" s="269" t="str">
        <f>IFERROR(INDEX('Inputs (2)'!$D$60:$AL$60,MATCH(J$7&amp;"",'Inputs (2)'!$D$2:$AL$2,0)),"")</f>
        <v/>
      </c>
      <c r="K38" s="269" t="str">
        <f>IFERROR(INDEX('Inputs (2)'!$D$60:$AL$60,MATCH(K$7&amp;"",'Inputs (2)'!$D$2:$AL$2,0)),"")</f>
        <v/>
      </c>
      <c r="L38" s="269" t="str">
        <f>IFERROR(INDEX('Inputs (2)'!$D$60:$AL$60,MATCH(L$7&amp;"",'Inputs (2)'!$D$2:$AL$2,0)),"")</f>
        <v/>
      </c>
      <c r="M38" s="270" t="str">
        <f>IF(COUNT(I38:L38)=4,SUM(I38:L38),"")</f>
        <v/>
      </c>
      <c r="N38" s="269" t="str">
        <f>IFERROR(INDEX('Inputs (2)'!$D$60:$AL$60,MATCH(N$7&amp;"",'Inputs (2)'!$D$2:$AL$2,0)),"")</f>
        <v/>
      </c>
      <c r="O38" s="269" t="str">
        <f>IFERROR(INDEX('Inputs (2)'!$D$60:$AL$60,MATCH(O$7&amp;"",'Inputs (2)'!$D$2:$AL$2,0)),"")</f>
        <v/>
      </c>
      <c r="P38" s="269" t="str">
        <f>IFERROR(INDEX('Inputs (2)'!$D$60:$AL$60,MATCH(P$7&amp;"",'Inputs (2)'!$D$2:$AL$2,0)),"")</f>
        <v/>
      </c>
      <c r="Q38" s="269" t="str">
        <f>IFERROR(INDEX('Inputs (2)'!$D$60:$AL$60,MATCH(Q$7&amp;"",'Inputs (2)'!$D$2:$AL$2,0)),"")</f>
        <v/>
      </c>
      <c r="R38" s="270" t="str">
        <f>IF(COUNT(N38:Q38)=4,SUM(N38:Q38),"")</f>
        <v/>
      </c>
      <c r="S38" s="269" t="str">
        <f>IFERROR(INDEX('Inputs (2)'!$D$60:$AL$60,MATCH(S$7&amp;"",'Inputs (2)'!$D$2:$AL$2,0)),"")</f>
        <v/>
      </c>
      <c r="T38" s="269" t="str">
        <f>IFERROR(INDEX('Inputs (2)'!$D$60:$AL$60,MATCH(T$7&amp;"",'Inputs (2)'!$D$2:$AL$2,0)),"")</f>
        <v/>
      </c>
      <c r="U38" s="269" t="str">
        <f>IFERROR(INDEX('Inputs (2)'!$D$60:$AL$60,MATCH(U$7&amp;"",'Inputs (2)'!$D$2:$AL$2,0)),"")</f>
        <v/>
      </c>
      <c r="V38" s="269" t="str">
        <f>IFERROR(INDEX('Inputs (2)'!$D$60:$AL$60,MATCH(V$7&amp;"",'Inputs (2)'!$D$2:$AL$2,0)),"")</f>
        <v/>
      </c>
      <c r="W38" s="270" t="str">
        <f>IF(COUNT(S38:V38)=4,SUM(S38:V38),"")</f>
        <v/>
      </c>
      <c r="X38" s="269" t="str">
        <f>IFERROR(INDEX('Inputs (2)'!$D$60:$AL$60,MATCH(X$7&amp;"",'Inputs (2)'!$D$2:$AL$2,0)),"")</f>
        <v/>
      </c>
      <c r="Y38" s="269" t="str">
        <f>IFERROR(INDEX('Inputs (2)'!$D$60:$AL$60,MATCH(Y$7&amp;"",'Inputs (2)'!$D$2:$AL$2,0)),"")</f>
        <v/>
      </c>
      <c r="Z38" s="269">
        <f>IFERROR(INDEX('Inputs (2)'!$D$60:$AL$60,MATCH(Z$7&amp;"",'Inputs (2)'!$D$2:$AL$2,0)),"")</f>
        <v>2154</v>
      </c>
      <c r="AA38" s="269">
        <f>IFERROR(INDEX('Inputs (2)'!$D$60:$AL$60,MATCH(AA$7&amp;"",'Inputs (2)'!$D$2:$AL$2,0)),"")</f>
        <v>2434</v>
      </c>
      <c r="AB38" s="270" t="str">
        <f>IF(COUNT(X38:AA38)=4,SUM(X38:AA38),"")</f>
        <v/>
      </c>
      <c r="AC38" s="269">
        <f>IFERROR(INDEX('Inputs (2)'!$D$60:$AL$60,MATCH(AC$7&amp;"",'Inputs (2)'!$D$2:$AL$2,0)),"")</f>
        <v>2652</v>
      </c>
      <c r="AD38" s="269">
        <f>IFERROR(INDEX('Inputs (2)'!$D$60:$AL$60,MATCH(AD$7&amp;"",'Inputs (2)'!$D$2:$AL$2,0)),"")</f>
        <v>2994</v>
      </c>
      <c r="AE38" s="269">
        <f>IFERROR(INDEX('Inputs (2)'!$D$60:$AL$60,MATCH(AE$7&amp;"",'Inputs (2)'!$D$2:$AL$2,0)),"")</f>
        <v>3347</v>
      </c>
      <c r="AF38" s="269">
        <f>IFERROR(INDEX('Inputs (2)'!$D$60:$AL$60,MATCH(AF$7&amp;"",'Inputs (2)'!$D$2:$AL$2,0)),"")</f>
        <v>4079</v>
      </c>
      <c r="AG38" s="270">
        <f>IF(COUNT(AC38:AF38)=4,SUM(AC38:AF38),"")</f>
        <v>13072</v>
      </c>
      <c r="AH38" s="270">
        <f>IFERROR(INDEX('Inputs (2)'!$D$60:$AL$60,MATCH(AH$7&amp;"",'Inputs (2)'!$D$2:$AL$2,0)),"")</f>
        <v>4888</v>
      </c>
      <c r="AI38" s="270">
        <f>IFERROR(INDEX('Inputs (2)'!$D$60:$AL$60,MATCH(AI$7&amp;"",'Inputs (2)'!$D$2:$AL$2,0)),"")</f>
        <v>5787</v>
      </c>
    </row>
    <row r="39">
      <c r="C39" s="268" t="inlineStr">
        <is>
          <t xml:space="preserve">   Nova abertura - Cloud Applications</t>
        </is>
      </c>
      <c r="D39" s="269" t="str">
        <f>IFERROR(INDEX('Inputs (2)'!$D$61:$AL$61,MATCH(D$7&amp;"",'Inputs (2)'!$D$2:$AL$2,0)),"")</f>
        <v/>
      </c>
      <c r="E39" s="269" t="str">
        <f>IFERROR(INDEX('Inputs (2)'!$D$61:$AL$61,MATCH(E$7&amp;"",'Inputs (2)'!$D$2:$AL$2,0)),"")</f>
        <v/>
      </c>
      <c r="F39" s="269" t="str">
        <f>IFERROR(INDEX('Inputs (2)'!$D$61:$AL$61,MATCH(F$7&amp;"",'Inputs (2)'!$D$2:$AL$2,0)),"")</f>
        <v/>
      </c>
      <c r="G39" s="269" t="str">
        <f>IFERROR(INDEX('Inputs (2)'!$D$61:$AL$61,MATCH(G$7&amp;"",'Inputs (2)'!$D$2:$AL$2,0)),"")</f>
        <v/>
      </c>
      <c r="H39" s="270" t="str">
        <f>IF(COUNT(D39:G39)=4,SUM(D39:G39),"")</f>
        <v/>
      </c>
      <c r="I39" s="269" t="str">
        <f>IFERROR(INDEX('Inputs (2)'!$D$61:$AL$61,MATCH(I$7&amp;"",'Inputs (2)'!$D$2:$AL$2,0)),"")</f>
        <v/>
      </c>
      <c r="J39" s="269" t="str">
        <f>IFERROR(INDEX('Inputs (2)'!$D$61:$AL$61,MATCH(J$7&amp;"",'Inputs (2)'!$D$2:$AL$2,0)),"")</f>
        <v/>
      </c>
      <c r="K39" s="269" t="str">
        <f>IFERROR(INDEX('Inputs (2)'!$D$61:$AL$61,MATCH(K$7&amp;"",'Inputs (2)'!$D$2:$AL$2,0)),"")</f>
        <v/>
      </c>
      <c r="L39" s="269" t="str">
        <f>IFERROR(INDEX('Inputs (2)'!$D$61:$AL$61,MATCH(L$7&amp;"",'Inputs (2)'!$D$2:$AL$2,0)),"")</f>
        <v/>
      </c>
      <c r="M39" s="270" t="str">
        <f>IF(COUNT(I39:L39)=4,SUM(I39:L39),"")</f>
        <v/>
      </c>
      <c r="N39" s="269" t="str">
        <f>IFERROR(INDEX('Inputs (2)'!$D$61:$AL$61,MATCH(N$7&amp;"",'Inputs (2)'!$D$2:$AL$2,0)),"")</f>
        <v/>
      </c>
      <c r="O39" s="269" t="str">
        <f>IFERROR(INDEX('Inputs (2)'!$D$61:$AL$61,MATCH(O$7&amp;"",'Inputs (2)'!$D$2:$AL$2,0)),"")</f>
        <v/>
      </c>
      <c r="P39" s="269" t="str">
        <f>IFERROR(INDEX('Inputs (2)'!$D$61:$AL$61,MATCH(P$7&amp;"",'Inputs (2)'!$D$2:$AL$2,0)),"")</f>
        <v/>
      </c>
      <c r="Q39" s="269" t="str">
        <f>IFERROR(INDEX('Inputs (2)'!$D$61:$AL$61,MATCH(Q$7&amp;"",'Inputs (2)'!$D$2:$AL$2,0)),"")</f>
        <v/>
      </c>
      <c r="R39" s="270" t="str">
        <f>IF(COUNT(N39:Q39)=4,SUM(N39:Q39),"")</f>
        <v/>
      </c>
      <c r="S39" s="269" t="str">
        <f>IFERROR(INDEX('Inputs (2)'!$D$61:$AL$61,MATCH(S$7&amp;"",'Inputs (2)'!$D$2:$AL$2,0)),"")</f>
        <v/>
      </c>
      <c r="T39" s="269" t="str">
        <f>IFERROR(INDEX('Inputs (2)'!$D$61:$AL$61,MATCH(T$7&amp;"",'Inputs (2)'!$D$2:$AL$2,0)),"")</f>
        <v/>
      </c>
      <c r="U39" s="269" t="str">
        <f>IFERROR(INDEX('Inputs (2)'!$D$61:$AL$61,MATCH(U$7&amp;"",'Inputs (2)'!$D$2:$AL$2,0)),"")</f>
        <v/>
      </c>
      <c r="V39" s="269" t="str">
        <f>IFERROR(INDEX('Inputs (2)'!$D$61:$AL$61,MATCH(V$7&amp;"",'Inputs (2)'!$D$2:$AL$2,0)),"")</f>
        <v/>
      </c>
      <c r="W39" s="270" t="str">
        <f>IF(COUNT(S39:V39)=4,SUM(S39:V39),"")</f>
        <v/>
      </c>
      <c r="X39" s="269" t="str">
        <f>IFERROR(INDEX('Inputs (2)'!$D$61:$AL$61,MATCH(X$7&amp;"",'Inputs (2)'!$D$2:$AL$2,0)),"")</f>
        <v/>
      </c>
      <c r="Y39" s="269" t="str">
        <f>IFERROR(INDEX('Inputs (2)'!$D$61:$AL$61,MATCH(Y$7&amp;"",'Inputs (2)'!$D$2:$AL$2,0)),"")</f>
        <v/>
      </c>
      <c r="Z39" s="269">
        <f>IFERROR(INDEX('Inputs (2)'!$D$61:$AL$61,MATCH(Z$7&amp;"",'Inputs (2)'!$D$2:$AL$2,0)),"")</f>
        <v>3469</v>
      </c>
      <c r="AA39" s="269">
        <f>IFERROR(INDEX('Inputs (2)'!$D$61:$AL$61,MATCH(AA$7&amp;"",'Inputs (2)'!$D$2:$AL$2,0)),"")</f>
        <v>3503</v>
      </c>
      <c r="AB39" s="270" t="str">
        <f>IF(COUNT(X39:AA39)=4,SUM(X39:AA39),"")</f>
        <v/>
      </c>
      <c r="AC39" s="269">
        <f>IFERROR(INDEX('Inputs (2)'!$D$61:$AL$61,MATCH(AC$7&amp;"",'Inputs (2)'!$D$2:$AL$2,0)),"")</f>
        <v>3558</v>
      </c>
      <c r="AD39" s="269">
        <f>IFERROR(INDEX('Inputs (2)'!$D$61:$AL$61,MATCH(AD$7&amp;"",'Inputs (2)'!$D$2:$AL$2,0)),"")</f>
        <v>3743</v>
      </c>
      <c r="AE39" s="269">
        <f>IFERROR(INDEX('Inputs (2)'!$D$61:$AL$61,MATCH(AE$7&amp;"",'Inputs (2)'!$D$2:$AL$2,0)),"")</f>
        <v>3839</v>
      </c>
      <c r="AF39" s="269">
        <f>IFERROR(INDEX('Inputs (2)'!$D$61:$AL$61,MATCH(AF$7&amp;"",'Inputs (2)'!$D$2:$AL$2,0)),"")</f>
        <v>3898</v>
      </c>
      <c r="AG39" s="270">
        <f>IF(COUNT(AC39:AF39)=4,SUM(AC39:AF39),"")</f>
        <v>15038</v>
      </c>
      <c r="AH39" s="270">
        <f>IFERROR(INDEX('Inputs (2)'!$D$61:$AL$61,MATCH(AH$7&amp;"",'Inputs (2)'!$D$2:$AL$2,0)),"")</f>
        <v>4026</v>
      </c>
      <c r="AI39" s="270">
        <f>IFERROR(INDEX('Inputs (2)'!$D$61:$AL$61,MATCH(AI$7&amp;"",'Inputs (2)'!$D$2:$AL$2,0)),"")</f>
        <v>4126</v>
      </c>
    </row>
    <row r="40">
      <c r="C40" s="268" t="inlineStr">
        <is>
          <t xml:space="preserve">   Nova abertura - Software support</t>
        </is>
      </c>
      <c r="D40" s="269" t="str">
        <f>IFERROR(INDEX('Inputs (2)'!$D$62:$AL$62,MATCH(D$7&amp;"",'Inputs (2)'!$D$2:$AL$2,0)),"")</f>
        <v/>
      </c>
      <c r="E40" s="269" t="str">
        <f>IFERROR(INDEX('Inputs (2)'!$D$62:$AL$62,MATCH(E$7&amp;"",'Inputs (2)'!$D$2:$AL$2,0)),"")</f>
        <v/>
      </c>
      <c r="F40" s="269" t="str">
        <f>IFERROR(INDEX('Inputs (2)'!$D$62:$AL$62,MATCH(F$7&amp;"",'Inputs (2)'!$D$2:$AL$2,0)),"")</f>
        <v/>
      </c>
      <c r="G40" s="269" t="str">
        <f>IFERROR(INDEX('Inputs (2)'!$D$62:$AL$62,MATCH(G$7&amp;"",'Inputs (2)'!$D$2:$AL$2,0)),"")</f>
        <v/>
      </c>
      <c r="H40" s="270" t="str">
        <f>IF(COUNT(D40:G40)=4,SUM(D40:G40),"")</f>
        <v/>
      </c>
      <c r="I40" s="269" t="str">
        <f>IFERROR(INDEX('Inputs (2)'!$D$62:$AL$62,MATCH(I$7&amp;"",'Inputs (2)'!$D$2:$AL$2,0)),"")</f>
        <v/>
      </c>
      <c r="J40" s="269" t="str">
        <f>IFERROR(INDEX('Inputs (2)'!$D$62:$AL$62,MATCH(J$7&amp;"",'Inputs (2)'!$D$2:$AL$2,0)),"")</f>
        <v/>
      </c>
      <c r="K40" s="269" t="str">
        <f>IFERROR(INDEX('Inputs (2)'!$D$62:$AL$62,MATCH(K$7&amp;"",'Inputs (2)'!$D$2:$AL$2,0)),"")</f>
        <v/>
      </c>
      <c r="L40" s="269" t="str">
        <f>IFERROR(INDEX('Inputs (2)'!$D$62:$AL$62,MATCH(L$7&amp;"",'Inputs (2)'!$D$2:$AL$2,0)),"")</f>
        <v/>
      </c>
      <c r="M40" s="270" t="str">
        <f>IF(COUNT(I40:L40)=4,SUM(I40:L40),"")</f>
        <v/>
      </c>
      <c r="N40" s="269" t="str">
        <f>IFERROR(INDEX('Inputs (2)'!$D$62:$AL$62,MATCH(N$7&amp;"",'Inputs (2)'!$D$2:$AL$2,0)),"")</f>
        <v/>
      </c>
      <c r="O40" s="269" t="str">
        <f>IFERROR(INDEX('Inputs (2)'!$D$62:$AL$62,MATCH(O$7&amp;"",'Inputs (2)'!$D$2:$AL$2,0)),"")</f>
        <v/>
      </c>
      <c r="P40" s="269" t="str">
        <f>IFERROR(INDEX('Inputs (2)'!$D$62:$AL$62,MATCH(P$7&amp;"",'Inputs (2)'!$D$2:$AL$2,0)),"")</f>
        <v/>
      </c>
      <c r="Q40" s="269" t="str">
        <f>IFERROR(INDEX('Inputs (2)'!$D$62:$AL$62,MATCH(Q$7&amp;"",'Inputs (2)'!$D$2:$AL$2,0)),"")</f>
        <v/>
      </c>
      <c r="R40" s="270" t="str">
        <f>IF(COUNT(N40:Q40)=4,SUM(N40:Q40),"")</f>
        <v/>
      </c>
      <c r="S40" s="269" t="str">
        <f>IFERROR(INDEX('Inputs (2)'!$D$62:$AL$62,MATCH(S$7&amp;"",'Inputs (2)'!$D$2:$AL$2,0)),"")</f>
        <v/>
      </c>
      <c r="T40" s="269" t="str">
        <f>IFERROR(INDEX('Inputs (2)'!$D$62:$AL$62,MATCH(T$7&amp;"",'Inputs (2)'!$D$2:$AL$2,0)),"")</f>
        <v/>
      </c>
      <c r="U40" s="269" t="str">
        <f>IFERROR(INDEX('Inputs (2)'!$D$62:$AL$62,MATCH(U$7&amp;"",'Inputs (2)'!$D$2:$AL$2,0)),"")</f>
        <v/>
      </c>
      <c r="V40" s="269" t="str">
        <f>IFERROR(INDEX('Inputs (2)'!$D$62:$AL$62,MATCH(V$7&amp;"",'Inputs (2)'!$D$2:$AL$2,0)),"")</f>
        <v/>
      </c>
      <c r="W40" s="270" t="str">
        <f>IF(COUNT(S40:V40)=4,SUM(S40:V40),"")</f>
        <v/>
      </c>
      <c r="X40" s="269" t="str">
        <f>IFERROR(INDEX('Inputs (2)'!$D$62:$AL$62,MATCH(X$7&amp;"",'Inputs (2)'!$D$2:$AL$2,0)),"")</f>
        <v/>
      </c>
      <c r="Y40" s="269" t="str">
        <f>IFERROR(INDEX('Inputs (2)'!$D$62:$AL$62,MATCH(Y$7&amp;"",'Inputs (2)'!$D$2:$AL$2,0)),"")</f>
        <v/>
      </c>
      <c r="Z40" s="269">
        <f>IFERROR(INDEX('Inputs (2)'!$D$62:$AL$62,MATCH(Z$7&amp;"",'Inputs (2)'!$D$2:$AL$2,0)),"")</f>
        <v>4896</v>
      </c>
      <c r="AA40" s="269">
        <f>IFERROR(INDEX('Inputs (2)'!$D$62:$AL$62,MATCH(AA$7&amp;"",'Inputs (2)'!$D$2:$AL$2,0)),"")</f>
        <v>4869</v>
      </c>
      <c r="AB40" s="270" t="str">
        <f>IF(COUNT(X40:AA40)=4,SUM(X40:AA40),"")</f>
        <v/>
      </c>
      <c r="AC40" s="269">
        <f>IFERROR(INDEX('Inputs (2)'!$D$62:$AL$62,MATCH(AC$7&amp;"",'Inputs (2)'!$D$2:$AL$2,0)),"")</f>
        <v>4797</v>
      </c>
      <c r="AD40" s="269">
        <f>IFERROR(INDEX('Inputs (2)'!$D$62:$AL$62,MATCH(AD$7&amp;"",'Inputs (2)'!$D$2:$AL$2,0)),"")</f>
        <v>4961</v>
      </c>
      <c r="AE40" s="269">
        <f>IFERROR(INDEX('Inputs (2)'!$D$62:$AL$62,MATCH(AE$7&amp;"",'Inputs (2)'!$D$2:$AL$2,0)),"")</f>
        <v>4955</v>
      </c>
      <c r="AF40" s="269">
        <f>IFERROR(INDEX('Inputs (2)'!$D$62:$AL$62,MATCH(AF$7&amp;"",'Inputs (2)'!$D$2:$AL$2,0)),"")</f>
        <v>4938</v>
      </c>
      <c r="AG40" s="270">
        <f>IF(COUNT(AC40:AF40)=4,SUM(AC40:AF40),"")</f>
        <v>19651</v>
      </c>
      <c r="AH40" s="270">
        <f>IFERROR(INDEX('Inputs (2)'!$D$62:$AL$62,MATCH(AH$7&amp;"",'Inputs (2)'!$D$2:$AL$2,0)),"")</f>
        <v>4969</v>
      </c>
      <c r="AI40" s="270">
        <f>IFERROR(INDEX('Inputs (2)'!$D$62:$AL$62,MATCH(AI$7&amp;"",'Inputs (2)'!$D$2:$AL$2,0)),"")</f>
        <v>4943</v>
      </c>
    </row>
    <row r="41">
      <c r="C41" s="268" t="inlineStr">
        <is>
          <t xml:space="preserve">   Nova abertura - Software license</t>
        </is>
      </c>
      <c r="D41" s="269" t="str">
        <f>IFERROR(INDEX('Inputs (2)'!$D$63:$AL$63,MATCH(D$7&amp;"",'Inputs (2)'!$D$2:$AL$2,0)),"")</f>
        <v/>
      </c>
      <c r="E41" s="269" t="str">
        <f>IFERROR(INDEX('Inputs (2)'!$D$63:$AL$63,MATCH(E$7&amp;"",'Inputs (2)'!$D$2:$AL$2,0)),"")</f>
        <v/>
      </c>
      <c r="F41" s="269" t="str">
        <f>IFERROR(INDEX('Inputs (2)'!$D$63:$AL$63,MATCH(F$7&amp;"",'Inputs (2)'!$D$2:$AL$2,0)),"")</f>
        <v/>
      </c>
      <c r="G41" s="269" t="str">
        <f>IFERROR(INDEX('Inputs (2)'!$D$63:$AL$63,MATCH(G$7&amp;"",'Inputs (2)'!$D$2:$AL$2,0)),"")</f>
        <v/>
      </c>
      <c r="H41" s="270" t="str">
        <f>IF(COUNT(D41:G41)=4,SUM(D41:G41),"")</f>
        <v/>
      </c>
      <c r="I41" s="269" t="str">
        <f>IFERROR(INDEX('Inputs (2)'!$D$63:$AL$63,MATCH(I$7&amp;"",'Inputs (2)'!$D$2:$AL$2,0)),"")</f>
        <v/>
      </c>
      <c r="J41" s="269" t="str">
        <f>IFERROR(INDEX('Inputs (2)'!$D$63:$AL$63,MATCH(J$7&amp;"",'Inputs (2)'!$D$2:$AL$2,0)),"")</f>
        <v/>
      </c>
      <c r="K41" s="269" t="str">
        <f>IFERROR(INDEX('Inputs (2)'!$D$63:$AL$63,MATCH(K$7&amp;"",'Inputs (2)'!$D$2:$AL$2,0)),"")</f>
        <v/>
      </c>
      <c r="L41" s="269" t="str">
        <f>IFERROR(INDEX('Inputs (2)'!$D$63:$AL$63,MATCH(L$7&amp;"",'Inputs (2)'!$D$2:$AL$2,0)),"")</f>
        <v/>
      </c>
      <c r="M41" s="270" t="str">
        <f>IF(COUNT(I41:L41)=4,SUM(I41:L41),"")</f>
        <v/>
      </c>
      <c r="N41" s="269" t="str">
        <f>IFERROR(INDEX('Inputs (2)'!$D$63:$AL$63,MATCH(N$7&amp;"",'Inputs (2)'!$D$2:$AL$2,0)),"")</f>
        <v/>
      </c>
      <c r="O41" s="269" t="str">
        <f>IFERROR(INDEX('Inputs (2)'!$D$63:$AL$63,MATCH(O$7&amp;"",'Inputs (2)'!$D$2:$AL$2,0)),"")</f>
        <v/>
      </c>
      <c r="P41" s="269" t="str">
        <f>IFERROR(INDEX('Inputs (2)'!$D$63:$AL$63,MATCH(P$7&amp;"",'Inputs (2)'!$D$2:$AL$2,0)),"")</f>
        <v/>
      </c>
      <c r="Q41" s="269" t="str">
        <f>IFERROR(INDEX('Inputs (2)'!$D$63:$AL$63,MATCH(Q$7&amp;"",'Inputs (2)'!$D$2:$AL$2,0)),"")</f>
        <v/>
      </c>
      <c r="R41" s="270" t="str">
        <f>IF(COUNT(N41:Q41)=4,SUM(N41:Q41),"")</f>
        <v/>
      </c>
      <c r="S41" s="269" t="str">
        <f>IFERROR(INDEX('Inputs (2)'!$D$63:$AL$63,MATCH(S$7&amp;"",'Inputs (2)'!$D$2:$AL$2,0)),"")</f>
        <v/>
      </c>
      <c r="T41" s="269" t="str">
        <f>IFERROR(INDEX('Inputs (2)'!$D$63:$AL$63,MATCH(T$7&amp;"",'Inputs (2)'!$D$2:$AL$2,0)),"")</f>
        <v/>
      </c>
      <c r="U41" s="269" t="str">
        <f>IFERROR(INDEX('Inputs (2)'!$D$63:$AL$63,MATCH(U$7&amp;"",'Inputs (2)'!$D$2:$AL$2,0)),"")</f>
        <v/>
      </c>
      <c r="V41" s="269" t="str">
        <f>IFERROR(INDEX('Inputs (2)'!$D$63:$AL$63,MATCH(V$7&amp;"",'Inputs (2)'!$D$2:$AL$2,0)),"")</f>
        <v/>
      </c>
      <c r="W41" s="270" t="str">
        <f>IF(COUNT(S41:V41)=4,SUM(S41:V41),"")</f>
        <v/>
      </c>
      <c r="X41" s="269" t="str">
        <f>IFERROR(INDEX('Inputs (2)'!$D$63:$AL$63,MATCH(X$7&amp;"",'Inputs (2)'!$D$2:$AL$2,0)),"")</f>
        <v/>
      </c>
      <c r="Y41" s="269" t="str">
        <f>IFERROR(INDEX('Inputs (2)'!$D$63:$AL$63,MATCH(Y$7&amp;"",'Inputs (2)'!$D$2:$AL$2,0)),"")</f>
        <v/>
      </c>
      <c r="Z41" s="269">
        <f>IFERROR(INDEX('Inputs (2)'!$D$63:$AL$63,MATCH(Z$7&amp;"",'Inputs (2)'!$D$2:$AL$2,0)),"")</f>
        <v>870</v>
      </c>
      <c r="AA41" s="269">
        <f>IFERROR(INDEX('Inputs (2)'!$D$63:$AL$63,MATCH(AA$7&amp;"",'Inputs (2)'!$D$2:$AL$2,0)),"")</f>
        <v>1195</v>
      </c>
      <c r="AB41" s="270" t="str">
        <f>IF(COUNT(X41:AA41)=4,SUM(X41:AA41),"")</f>
        <v/>
      </c>
      <c r="AC41" s="269">
        <f>IFERROR(INDEX('Inputs (2)'!$D$63:$AL$63,MATCH(AC$7&amp;"",'Inputs (2)'!$D$2:$AL$2,0)),"")</f>
        <v>1129</v>
      </c>
      <c r="AD41" s="269">
        <f>IFERROR(INDEX('Inputs (2)'!$D$63:$AL$63,MATCH(AD$7&amp;"",'Inputs (2)'!$D$2:$AL$2,0)),"")</f>
        <v>2007</v>
      </c>
      <c r="AE41" s="269">
        <f>IFERROR(INDEX('Inputs (2)'!$D$63:$AL$63,MATCH(AE$7&amp;"",'Inputs (2)'!$D$2:$AL$2,0)),"")</f>
        <v>766</v>
      </c>
      <c r="AF41" s="269">
        <f>IFERROR(INDEX('Inputs (2)'!$D$63:$AL$63,MATCH(AF$7&amp;"",'Inputs (2)'!$D$2:$AL$2,0)),"")</f>
        <v>939</v>
      </c>
      <c r="AG41" s="270">
        <f>IF(COUNT(AC41:AF41)=4,SUM(AC41:AF41),"")</f>
        <v>4841</v>
      </c>
      <c r="AH41" s="270">
        <f>IFERROR(INDEX('Inputs (2)'!$D$63:$AL$63,MATCH(AH$7&amp;"",'Inputs (2)'!$D$2:$AL$2,0)),"")</f>
        <v>1150</v>
      </c>
      <c r="AI41" s="270">
        <f>IFERROR(INDEX('Inputs (2)'!$D$63:$AL$63,MATCH(AI$7&amp;"",'Inputs (2)'!$D$2:$AL$2,0)),"")</f>
        <v>1881</v>
      </c>
    </row>
    <row r="42">
      <c r="C42" s="268" t="inlineStr">
        <is>
          <t xml:space="preserve">   Abertura antiga - Cloud services &amp; license support</t>
        </is>
      </c>
      <c r="D42" s="269" t="str">
        <f>IFERROR(INDEX('Inputs (2)'!$D$64:$AL$64,MATCH(D$7&amp;"",'Inputs (2)'!$D$2:$AL$2,0)),"")</f>
        <v/>
      </c>
      <c r="E42" s="269" t="str">
        <f>IFERROR(INDEX('Inputs (2)'!$D$64:$AL$64,MATCH(E$7&amp;"",'Inputs (2)'!$D$2:$AL$2,0)),"")</f>
        <v/>
      </c>
      <c r="F42" s="269" t="str">
        <f>IFERROR(INDEX('Inputs (2)'!$D$64:$AL$64,MATCH(F$7&amp;"",'Inputs (2)'!$D$2:$AL$2,0)),"")</f>
        <v/>
      </c>
      <c r="G42" s="269" t="str">
        <f>IFERROR(INDEX('Inputs (2)'!$D$64:$AL$64,MATCH(G$7&amp;"",'Inputs (2)'!$D$2:$AL$2,0)),"")</f>
        <v/>
      </c>
      <c r="H42" s="270" t="str">
        <f>IF(COUNT(D42:G42)=4,SUM(D42:G42),"")</f>
        <v/>
      </c>
      <c r="I42" s="269">
        <f>IFERROR(INDEX('Inputs (2)'!$D$64:$AL$64,MATCH(I$7&amp;"",'Inputs (2)'!$D$2:$AL$2,0)),"")</f>
        <v>7252</v>
      </c>
      <c r="J42" s="269">
        <f>IFERROR(INDEX('Inputs (2)'!$D$64:$AL$64,MATCH(J$7&amp;"",'Inputs (2)'!$D$2:$AL$2,0)),"")</f>
        <v>7389</v>
      </c>
      <c r="K42" s="269">
        <f>IFERROR(INDEX('Inputs (2)'!$D$64:$AL$64,MATCH(K$7&amp;"",'Inputs (2)'!$D$2:$AL$2,0)),"")</f>
        <v>7371</v>
      </c>
      <c r="L42" s="269">
        <f>IFERROR(INDEX('Inputs (2)'!$D$64:$AL$64,MATCH(L$7&amp;"",'Inputs (2)'!$D$2:$AL$2,0)),"")</f>
        <v>7554</v>
      </c>
      <c r="M42" s="270">
        <f>IF(COUNT(I42:L42)=4,SUM(I42:L42),"")</f>
        <v>29566</v>
      </c>
      <c r="N42" s="269">
        <f>IFERROR(INDEX('Inputs (2)'!$D$64:$AL$64,MATCH(N$7&amp;"",'Inputs (2)'!$D$2:$AL$2,0)),"")</f>
        <v>7637</v>
      </c>
      <c r="O42" s="269">
        <f>IFERROR(INDEX('Inputs (2)'!$D$64:$AL$64,MATCH(O$7&amp;"",'Inputs (2)'!$D$2:$AL$2,0)),"")</f>
        <v>7612</v>
      </c>
      <c r="P42" s="269">
        <f>IFERROR(INDEX('Inputs (2)'!$D$64:$AL$64,MATCH(P$7&amp;"",'Inputs (2)'!$D$2:$AL$2,0)),"")</f>
        <v>8417</v>
      </c>
      <c r="Q42" s="269">
        <f>IFERROR(INDEX('Inputs (2)'!$D$64:$AL$64,MATCH(Q$7&amp;"",'Inputs (2)'!$D$2:$AL$2,0)),"")</f>
        <v>8598</v>
      </c>
      <c r="R42" s="270">
        <f>IF(COUNT(N42:Q42)=4,SUM(N42:Q42),"")</f>
        <v>32264</v>
      </c>
      <c r="S42" s="269">
        <f>IFERROR(INDEX('Inputs (2)'!$D$64:$AL$64,MATCH(S$7&amp;"",'Inputs (2)'!$D$2:$AL$2,0)),"")</f>
        <v>8923</v>
      </c>
      <c r="T42" s="269">
        <f>IFERROR(INDEX('Inputs (2)'!$D$64:$AL$64,MATCH(T$7&amp;"",'Inputs (2)'!$D$2:$AL$2,0)),"")</f>
        <v>9369</v>
      </c>
      <c r="U42" s="269">
        <f>IFERROR(INDEX('Inputs (2)'!$D$64:$AL$64,MATCH(U$7&amp;"",'Inputs (2)'!$D$2:$AL$2,0)),"")</f>
        <v>9547</v>
      </c>
      <c r="V42" s="269">
        <f>IFERROR(INDEX('Inputs (2)'!$D$64:$AL$64,MATCH(V$7&amp;"",'Inputs (2)'!$D$2:$AL$2,0)),"")</f>
        <v>9639</v>
      </c>
      <c r="W42" s="270">
        <f>IF(COUNT(S42:V42)=4,SUM(S42:V42),"")</f>
        <v>37478</v>
      </c>
      <c r="X42" s="269">
        <f>IFERROR(INDEX('Inputs (2)'!$D$64:$AL$64,MATCH(X$7&amp;"",'Inputs (2)'!$D$2:$AL$2,0)),"")</f>
        <v>9963</v>
      </c>
      <c r="Y42" s="269">
        <f>IFERROR(INDEX('Inputs (2)'!$D$64:$AL$64,MATCH(Y$7&amp;"",'Inputs (2)'!$D$2:$AL$2,0)),"")</f>
        <v>10234</v>
      </c>
      <c r="Z42" s="269">
        <f>IFERROR(INDEX('Inputs (2)'!$D$64:$AL$64,MATCH(Z$7&amp;"",'Inputs (2)'!$D$2:$AL$2,0)),"")</f>
        <v>10519</v>
      </c>
      <c r="AA42" s="269">
        <f>IFERROR(INDEX('Inputs (2)'!$D$64:$AL$64,MATCH(AA$7&amp;"",'Inputs (2)'!$D$2:$AL$2,0)),"")</f>
        <v>10806</v>
      </c>
      <c r="AB42" s="270">
        <f>IF(COUNT(X42:AA42)=4,SUM(X42:AA42),"")</f>
        <v>41522</v>
      </c>
      <c r="AC42" s="269">
        <f>IFERROR(INDEX('Inputs (2)'!$D$64:$AL$64,MATCH(AC$7&amp;"",'Inputs (2)'!$D$2:$AL$2,0)),"")</f>
        <v>11007</v>
      </c>
      <c r="AD42" s="269">
        <f>IFERROR(INDEX('Inputs (2)'!$D$64:$AL$64,MATCH(AD$7&amp;"",'Inputs (2)'!$D$2:$AL$2,0)),"")</f>
        <v>11698</v>
      </c>
      <c r="AE42" s="269" t="str">
        <f>IFERROR(INDEX('Inputs (2)'!$D$64:$AL$64,MATCH(AE$7&amp;"",'Inputs (2)'!$D$2:$AL$2,0)),"")</f>
        <v/>
      </c>
      <c r="AF42" s="269" t="str">
        <f>IFERROR(INDEX('Inputs (2)'!$D$64:$AL$64,MATCH(AF$7&amp;"",'Inputs (2)'!$D$2:$AL$2,0)),"")</f>
        <v/>
      </c>
      <c r="AG42" s="270" t="str">
        <f>IF(COUNT(AC42:AF42)=4,SUM(AC42:AF42),"")</f>
        <v/>
      </c>
      <c r="AH42" s="270" t="str">
        <f>IFERROR(INDEX('Inputs (2)'!$D$64:$AL$64,MATCH(AH$7&amp;"",'Inputs (2)'!$D$2:$AL$2,0)),"")</f>
        <v/>
      </c>
      <c r="AI42" s="270" t="str">
        <f>IFERROR(INDEX('Inputs (2)'!$D$64:$AL$64,MATCH(AI$7&amp;"",'Inputs (2)'!$D$2:$AL$2,0)),"")</f>
        <v/>
      </c>
    </row>
    <row r="43">
      <c r="C43" s="268" t="inlineStr">
        <is>
          <t xml:space="preserve">   Abertura antiga - Infrastructure cloud services &amp; license support</t>
        </is>
      </c>
      <c r="D43" s="269" t="str">
        <f>IFERROR(INDEX('Inputs (2)'!$D$65:$AL$65,MATCH(D$7&amp;"",'Inputs (2)'!$D$2:$AL$2,0)),"")</f>
        <v/>
      </c>
      <c r="E43" s="269" t="str">
        <f>IFERROR(INDEX('Inputs (2)'!$D$65:$AL$65,MATCH(E$7&amp;"",'Inputs (2)'!$D$2:$AL$2,0)),"")</f>
        <v/>
      </c>
      <c r="F43" s="269" t="str">
        <f>IFERROR(INDEX('Inputs (2)'!$D$65:$AL$65,MATCH(F$7&amp;"",'Inputs (2)'!$D$2:$AL$2,0)),"")</f>
        <v/>
      </c>
      <c r="G43" s="269" t="str">
        <f>IFERROR(INDEX('Inputs (2)'!$D$65:$AL$65,MATCH(G$7&amp;"",'Inputs (2)'!$D$2:$AL$2,0)),"")</f>
        <v/>
      </c>
      <c r="H43" s="270" t="str">
        <f>IF(COUNT(D43:G43)=4,SUM(D43:G43),"")</f>
        <v/>
      </c>
      <c r="I43" s="269">
        <f>IFERROR(INDEX('Inputs (2)'!$D$65:$AL$65,MATCH(I$7&amp;"",'Inputs (2)'!$D$2:$AL$2,0)),"")</f>
        <v>4300</v>
      </c>
      <c r="J43" s="269">
        <f>IFERROR(INDEX('Inputs (2)'!$D$65:$AL$65,MATCH(J$7&amp;"",'Inputs (2)'!$D$2:$AL$2,0)),"")</f>
        <v>4346</v>
      </c>
      <c r="K43" s="269">
        <f>IFERROR(INDEX('Inputs (2)'!$D$65:$AL$65,MATCH(K$7&amp;"",'Inputs (2)'!$D$2:$AL$2,0)),"")</f>
        <v>4330</v>
      </c>
      <c r="L43" s="269">
        <f>IFERROR(INDEX('Inputs (2)'!$D$65:$AL$65,MATCH(L$7&amp;"",'Inputs (2)'!$D$2:$AL$2,0)),"")</f>
        <v>4405</v>
      </c>
      <c r="M43" s="270">
        <f>IF(COUNT(I43:L43)=4,SUM(I43:L43),"")</f>
        <v>17381</v>
      </c>
      <c r="N43" s="269">
        <f>IFERROR(INDEX('Inputs (2)'!$D$65:$AL$65,MATCH(N$7&amp;"",'Inputs (2)'!$D$2:$AL$2,0)),"")</f>
        <v>4450</v>
      </c>
      <c r="O43" s="269">
        <f>IFERROR(INDEX('Inputs (2)'!$D$65:$AL$65,MATCH(O$7&amp;"",'Inputs (2)'!$D$2:$AL$2,0)),"")</f>
        <v>4377</v>
      </c>
      <c r="P43" s="269">
        <f>IFERROR(INDEX('Inputs (2)'!$D$65:$AL$65,MATCH(P$7&amp;"",'Inputs (2)'!$D$2:$AL$2,0)),"")</f>
        <v>4401</v>
      </c>
      <c r="Q43" s="269">
        <f>IFERROR(INDEX('Inputs (2)'!$D$65:$AL$65,MATCH(Q$7&amp;"",'Inputs (2)'!$D$2:$AL$2,0)),"")</f>
        <v>4518</v>
      </c>
      <c r="R43" s="270">
        <f>IF(COUNT(N43:Q43)=4,SUM(N43:Q43),"")</f>
        <v>17746</v>
      </c>
      <c r="S43" s="269">
        <f>IFERROR(INDEX('Inputs (2)'!$D$65:$AL$65,MATCH(S$7&amp;"",'Inputs (2)'!$D$2:$AL$2,0)),"")</f>
        <v>4757</v>
      </c>
      <c r="T43" s="269">
        <f>IFERROR(INDEX('Inputs (2)'!$D$65:$AL$65,MATCH(T$7&amp;"",'Inputs (2)'!$D$2:$AL$2,0)),"")</f>
        <v>4980</v>
      </c>
      <c r="U43" s="269">
        <f>IFERROR(INDEX('Inputs (2)'!$D$65:$AL$65,MATCH(U$7&amp;"",'Inputs (2)'!$D$2:$AL$2,0)),"")</f>
        <v>5076</v>
      </c>
      <c r="V43" s="269">
        <f>IFERROR(INDEX('Inputs (2)'!$D$65:$AL$65,MATCH(V$7&amp;"",'Inputs (2)'!$D$2:$AL$2,0)),"")</f>
        <v>5165</v>
      </c>
      <c r="W43" s="270">
        <f>IF(COUNT(S43:V43)=4,SUM(S43:V43),"")</f>
        <v>19978</v>
      </c>
      <c r="X43" s="269">
        <f>IFERROR(INDEX('Inputs (2)'!$D$65:$AL$65,MATCH(X$7&amp;"",'Inputs (2)'!$D$2:$AL$2,0)),"")</f>
        <v>5379</v>
      </c>
      <c r="Y43" s="269">
        <f>IFERROR(INDEX('Inputs (2)'!$D$65:$AL$65,MATCH(Y$7&amp;"",'Inputs (2)'!$D$2:$AL$2,0)),"")</f>
        <v>5591</v>
      </c>
      <c r="Z43" s="269">
        <f>IFERROR(INDEX('Inputs (2)'!$D$65:$AL$65,MATCH(Z$7&amp;"",'Inputs (2)'!$D$2:$AL$2,0)),"")</f>
        <v>5750</v>
      </c>
      <c r="AA43" s="269">
        <f>IFERROR(INDEX('Inputs (2)'!$D$65:$AL$65,MATCH(AA$7&amp;"",'Inputs (2)'!$D$2:$AL$2,0)),"")</f>
        <v>6022</v>
      </c>
      <c r="AB43" s="270">
        <f>IF(COUNT(X43:AA43)=4,SUM(X43:AA43),"")</f>
        <v>22742</v>
      </c>
      <c r="AC43" s="269">
        <f>IFERROR(INDEX('Inputs (2)'!$D$65:$AL$65,MATCH(AC$7&amp;"",'Inputs (2)'!$D$2:$AL$2,0)),"")</f>
        <v>6196</v>
      </c>
      <c r="AD43" s="269">
        <f>IFERROR(INDEX('Inputs (2)'!$D$65:$AL$65,MATCH(AD$7&amp;"",'Inputs (2)'!$D$2:$AL$2,0)),"")</f>
        <v>6678</v>
      </c>
      <c r="AE43" s="269" t="str">
        <f>IFERROR(INDEX('Inputs (2)'!$D$65:$AL$65,MATCH(AE$7&amp;"",'Inputs (2)'!$D$2:$AL$2,0)),"")</f>
        <v/>
      </c>
      <c r="AF43" s="269" t="str">
        <f>IFERROR(INDEX('Inputs (2)'!$D$65:$AL$65,MATCH(AF$7&amp;"",'Inputs (2)'!$D$2:$AL$2,0)),"")</f>
        <v/>
      </c>
      <c r="AG43" s="270" t="str">
        <f>IF(COUNT(AC43:AF43)=4,SUM(AC43:AF43),"")</f>
        <v/>
      </c>
      <c r="AH43" s="270" t="str">
        <f>IFERROR(INDEX('Inputs (2)'!$D$65:$AL$65,MATCH(AH$7&amp;"",'Inputs (2)'!$D$2:$AL$2,0)),"")</f>
        <v/>
      </c>
      <c r="AI43" s="270" t="str">
        <f>IFERROR(INDEX('Inputs (2)'!$D$65:$AL$65,MATCH(AI$7&amp;"",'Inputs (2)'!$D$2:$AL$2,0)),"")</f>
        <v/>
      </c>
    </row>
    <row r="44">
      <c r="C44" s="268" t="inlineStr">
        <is>
          <t xml:space="preserve">   Abertura antiga - Applications cloud services &amp; license support</t>
        </is>
      </c>
      <c r="D44" s="269" t="str">
        <f>IFERROR(INDEX('Inputs (2)'!$D$66:$AL$66,MATCH(D$7&amp;"",'Inputs (2)'!$D$2:$AL$2,0)),"")</f>
        <v/>
      </c>
      <c r="E44" s="269" t="str">
        <f>IFERROR(INDEX('Inputs (2)'!$D$66:$AL$66,MATCH(E$7&amp;"",'Inputs (2)'!$D$2:$AL$2,0)),"")</f>
        <v/>
      </c>
      <c r="F44" s="269" t="str">
        <f>IFERROR(INDEX('Inputs (2)'!$D$66:$AL$66,MATCH(F$7&amp;"",'Inputs (2)'!$D$2:$AL$2,0)),"")</f>
        <v/>
      </c>
      <c r="G44" s="269" t="str">
        <f>IFERROR(INDEX('Inputs (2)'!$D$66:$AL$66,MATCH(G$7&amp;"",'Inputs (2)'!$D$2:$AL$2,0)),"")</f>
        <v/>
      </c>
      <c r="H44" s="270" t="str">
        <f>IF(COUNT(D44:G44)=4,SUM(D44:G44),"")</f>
        <v/>
      </c>
      <c r="I44" s="269">
        <f>IFERROR(INDEX('Inputs (2)'!$D$66:$AL$66,MATCH(I$7&amp;"",'Inputs (2)'!$D$2:$AL$2,0)),"")</f>
        <v>2952</v>
      </c>
      <c r="J44" s="269">
        <f>IFERROR(INDEX('Inputs (2)'!$D$66:$AL$66,MATCH(J$7&amp;"",'Inputs (2)'!$D$2:$AL$2,0)),"")</f>
        <v>3043</v>
      </c>
      <c r="K44" s="269">
        <f>IFERROR(INDEX('Inputs (2)'!$D$66:$AL$66,MATCH(K$7&amp;"",'Inputs (2)'!$D$2:$AL$2,0)),"")</f>
        <v>3041</v>
      </c>
      <c r="L44" s="269">
        <f>IFERROR(INDEX('Inputs (2)'!$D$66:$AL$66,MATCH(L$7&amp;"",'Inputs (2)'!$D$2:$AL$2,0)),"")</f>
        <v>3149</v>
      </c>
      <c r="M44" s="270">
        <f>IF(COUNT(I44:L44)=4,SUM(I44:L44),"")</f>
        <v>12185</v>
      </c>
      <c r="N44" s="269">
        <f>IFERROR(INDEX('Inputs (2)'!$D$66:$AL$66,MATCH(N$7&amp;"",'Inputs (2)'!$D$2:$AL$2,0)),"")</f>
        <v>3187</v>
      </c>
      <c r="O44" s="269">
        <f>IFERROR(INDEX('Inputs (2)'!$D$66:$AL$66,MATCH(O$7&amp;"",'Inputs (2)'!$D$2:$AL$2,0)),"")</f>
        <v>3235</v>
      </c>
      <c r="P44" s="269">
        <f>IFERROR(INDEX('Inputs (2)'!$D$66:$AL$66,MATCH(P$7&amp;"",'Inputs (2)'!$D$2:$AL$2,0)),"")</f>
        <v>4016</v>
      </c>
      <c r="Q44" s="269">
        <f>IFERROR(INDEX('Inputs (2)'!$D$66:$AL$66,MATCH(Q$7&amp;"",'Inputs (2)'!$D$2:$AL$2,0)),"")</f>
        <v>4080</v>
      </c>
      <c r="R44" s="270">
        <f>IF(COUNT(N44:Q44)=4,SUM(N44:Q44),"")</f>
        <v>14518</v>
      </c>
      <c r="S44" s="269">
        <f>IFERROR(INDEX('Inputs (2)'!$D$66:$AL$66,MATCH(S$7&amp;"",'Inputs (2)'!$D$2:$AL$2,0)),"")</f>
        <v>4166</v>
      </c>
      <c r="T44" s="269">
        <f>IFERROR(INDEX('Inputs (2)'!$D$66:$AL$66,MATCH(T$7&amp;"",'Inputs (2)'!$D$2:$AL$2,0)),"")</f>
        <v>4389</v>
      </c>
      <c r="U44" s="269">
        <f>IFERROR(INDEX('Inputs (2)'!$D$66:$AL$66,MATCH(U$7&amp;"",'Inputs (2)'!$D$2:$AL$2,0)),"")</f>
        <v>4471</v>
      </c>
      <c r="V44" s="269">
        <f>IFERROR(INDEX('Inputs (2)'!$D$66:$AL$66,MATCH(V$7&amp;"",'Inputs (2)'!$D$2:$AL$2,0)),"")</f>
        <v>4474</v>
      </c>
      <c r="W44" s="270">
        <f>IF(COUNT(S44:V44)=4,SUM(S44:V44),"")</f>
        <v>17500</v>
      </c>
      <c r="X44" s="269">
        <f>IFERROR(INDEX('Inputs (2)'!$D$66:$AL$66,MATCH(X$7&amp;"",'Inputs (2)'!$D$2:$AL$2,0)),"")</f>
        <v>4584</v>
      </c>
      <c r="Y44" s="269">
        <f>IFERROR(INDEX('Inputs (2)'!$D$66:$AL$66,MATCH(Y$7&amp;"",'Inputs (2)'!$D$2:$AL$2,0)),"")</f>
        <v>4643</v>
      </c>
      <c r="Z44" s="269">
        <f>IFERROR(INDEX('Inputs (2)'!$D$66:$AL$66,MATCH(Z$7&amp;"",'Inputs (2)'!$D$2:$AL$2,0)),"")</f>
        <v>4769</v>
      </c>
      <c r="AA44" s="269">
        <f>IFERROR(INDEX('Inputs (2)'!$D$66:$AL$66,MATCH(AA$7&amp;"",'Inputs (2)'!$D$2:$AL$2,0)),"")</f>
        <v>4784</v>
      </c>
      <c r="AB44" s="270">
        <f>IF(COUNT(X44:AA44)=4,SUM(X44:AA44),"")</f>
        <v>18780</v>
      </c>
      <c r="AC44" s="269">
        <f>IFERROR(INDEX('Inputs (2)'!$D$66:$AL$66,MATCH(AC$7&amp;"",'Inputs (2)'!$D$2:$AL$2,0)),"")</f>
        <v>4811</v>
      </c>
      <c r="AD44" s="269">
        <f>IFERROR(INDEX('Inputs (2)'!$D$66:$AL$66,MATCH(AD$7&amp;"",'Inputs (2)'!$D$2:$AL$2,0)),"")</f>
        <v>5020</v>
      </c>
      <c r="AE44" s="269" t="str">
        <f>IFERROR(INDEX('Inputs (2)'!$D$66:$AL$66,MATCH(AE$7&amp;"",'Inputs (2)'!$D$2:$AL$2,0)),"")</f>
        <v/>
      </c>
      <c r="AF44" s="269" t="str">
        <f>IFERROR(INDEX('Inputs (2)'!$D$66:$AL$66,MATCH(AF$7&amp;"",'Inputs (2)'!$D$2:$AL$2,0)),"")</f>
        <v/>
      </c>
      <c r="AG44" s="270" t="str">
        <f>IF(COUNT(AC44:AF44)=4,SUM(AC44:AF44),"")</f>
        <v/>
      </c>
      <c r="AH44" s="270" t="str">
        <f>IFERROR(INDEX('Inputs (2)'!$D$66:$AL$66,MATCH(AH$7&amp;"",'Inputs (2)'!$D$2:$AL$2,0)),"")</f>
        <v/>
      </c>
      <c r="AI44" s="270" t="str">
        <f>IFERROR(INDEX('Inputs (2)'!$D$66:$AL$66,MATCH(AI$7&amp;"",'Inputs (2)'!$D$2:$AL$2,0)),"")</f>
        <v/>
      </c>
    </row>
    <row r="45">
      <c r="C45" s="268" t="inlineStr">
        <is>
          <t xml:space="preserve">   Américas</t>
        </is>
      </c>
      <c r="D45" s="269" t="str">
        <f>IFERROR(INDEX('Inputs (2)'!$D$67:$AL$67,MATCH(D$7&amp;"",'Inputs (2)'!$D$2:$AL$2,0)),"")</f>
        <v/>
      </c>
      <c r="E45" s="269" t="str">
        <f>IFERROR(INDEX('Inputs (2)'!$D$67:$AL$67,MATCH(E$7&amp;"",'Inputs (2)'!$D$2:$AL$2,0)),"")</f>
        <v/>
      </c>
      <c r="F45" s="269" t="str">
        <f>IFERROR(INDEX('Inputs (2)'!$D$67:$AL$67,MATCH(F$7&amp;"",'Inputs (2)'!$D$2:$AL$2,0)),"")</f>
        <v/>
      </c>
      <c r="G45" s="269" t="str">
        <f>IFERROR(INDEX('Inputs (2)'!$D$67:$AL$67,MATCH(G$7&amp;"",'Inputs (2)'!$D$2:$AL$2,0)),"")</f>
        <v/>
      </c>
      <c r="H45" s="270" t="str">
        <f>IF(COUNT(D45:G45)=4,SUM(D45:G45),"")</f>
        <v/>
      </c>
      <c r="I45" s="269">
        <f>IFERROR(INDEX('Inputs (2)'!$D$67:$AL$67,MATCH(I$7&amp;"",'Inputs (2)'!$D$2:$AL$2,0)),"")</f>
        <v>5424</v>
      </c>
      <c r="J45" s="269">
        <f>IFERROR(INDEX('Inputs (2)'!$D$67:$AL$67,MATCH(J$7&amp;"",'Inputs (2)'!$D$2:$AL$2,0)),"")</f>
        <v>6077</v>
      </c>
      <c r="K45" s="269">
        <f>IFERROR(INDEX('Inputs (2)'!$D$67:$AL$67,MATCH(K$7&amp;"",'Inputs (2)'!$D$2:$AL$2,0)),"")</f>
        <v>5321</v>
      </c>
      <c r="L45" s="269">
        <f>IFERROR(INDEX('Inputs (2)'!$D$67:$AL$67,MATCH(L$7&amp;"",'Inputs (2)'!$D$2:$AL$2,0)),"")</f>
        <v>5736</v>
      </c>
      <c r="M45" s="270">
        <f>IF(COUNT(I45:L45)=4,SUM(I45:L45),"")</f>
        <v>22558</v>
      </c>
      <c r="N45" s="269">
        <f>IFERROR(INDEX('Inputs (2)'!$D$67:$AL$67,MATCH(N$7&amp;"",'Inputs (2)'!$D$2:$AL$2,0)),"")</f>
        <v>5849</v>
      </c>
      <c r="O45" s="269">
        <f>IFERROR(INDEX('Inputs (2)'!$D$67:$AL$67,MATCH(O$7&amp;"",'Inputs (2)'!$D$2:$AL$2,0)),"")</f>
        <v>6774</v>
      </c>
      <c r="P45" s="269">
        <f>IFERROR(INDEX('Inputs (2)'!$D$67:$AL$67,MATCH(P$7&amp;"",'Inputs (2)'!$D$2:$AL$2,0)),"")</f>
        <v>7192</v>
      </c>
      <c r="Q45" s="269">
        <f>IFERROR(INDEX('Inputs (2)'!$D$67:$AL$67,MATCH(Q$7&amp;"",'Inputs (2)'!$D$2:$AL$2,0)),"")</f>
        <v>7786</v>
      </c>
      <c r="R45" s="270">
        <f>IF(COUNT(N45:Q45)=4,SUM(N45:Q45),"")</f>
        <v>27601</v>
      </c>
      <c r="S45" s="269">
        <f>IFERROR(INDEX('Inputs (2)'!$D$67:$AL$67,MATCH(S$7&amp;"",'Inputs (2)'!$D$2:$AL$2,0)),"")</f>
        <v>7671</v>
      </c>
      <c r="T45" s="269">
        <f>IFERROR(INDEX('Inputs (2)'!$D$67:$AL$67,MATCH(T$7&amp;"",'Inputs (2)'!$D$2:$AL$2,0)),"")</f>
        <v>8577</v>
      </c>
      <c r="U45" s="269">
        <f>IFERROR(INDEX('Inputs (2)'!$D$67:$AL$67,MATCH(U$7&amp;"",'Inputs (2)'!$D$2:$AL$2,0)),"")</f>
        <v>7841</v>
      </c>
      <c r="V45" s="269">
        <f>IFERROR(INDEX('Inputs (2)'!$D$67:$AL$67,MATCH(V$7&amp;"",'Inputs (2)'!$D$2:$AL$2,0)),"")</f>
        <v>8067</v>
      </c>
      <c r="W45" s="270">
        <f>IF(COUNT(S45:V45)=4,SUM(S45:V45),"")</f>
        <v>32156</v>
      </c>
      <c r="X45" s="269">
        <f>IFERROR(INDEX('Inputs (2)'!$D$67:$AL$67,MATCH(X$7&amp;"",'Inputs (2)'!$D$2:$AL$2,0)),"")</f>
        <v>8270</v>
      </c>
      <c r="Y45" s="269">
        <f>IFERROR(INDEX('Inputs (2)'!$D$67:$AL$67,MATCH(Y$7&amp;"",'Inputs (2)'!$D$2:$AL$2,0)),"")</f>
        <v>8945</v>
      </c>
      <c r="Z45" s="269">
        <f>IFERROR(INDEX('Inputs (2)'!$D$67:$AL$67,MATCH(Z$7&amp;"",'Inputs (2)'!$D$2:$AL$2,0)),"")</f>
        <v>8372</v>
      </c>
      <c r="AA45" s="269">
        <f>IFERROR(INDEX('Inputs (2)'!$D$67:$AL$67,MATCH(AA$7&amp;"",'Inputs (2)'!$D$2:$AL$2,0)),"")</f>
        <v>8933</v>
      </c>
      <c r="AB45" s="270">
        <f>IF(COUNT(X45:AA45)=4,SUM(X45:AA45),"")</f>
        <v>34520</v>
      </c>
      <c r="AC45" s="269">
        <f>IFERROR(INDEX('Inputs (2)'!$D$67:$AL$67,MATCH(AC$7&amp;"",'Inputs (2)'!$D$2:$AL$2,0)),"")</f>
        <v>9000</v>
      </c>
      <c r="AD45" s="269">
        <f>IFERROR(INDEX('Inputs (2)'!$D$67:$AL$67,MATCH(AD$7&amp;"",'Inputs (2)'!$D$2:$AL$2,0)),"")</f>
        <v>10034</v>
      </c>
      <c r="AE45" s="269">
        <f>IFERROR(INDEX('Inputs (2)'!$D$67:$AL$67,MATCH(AE$7&amp;"",'Inputs (2)'!$D$2:$AL$2,0)),"")</f>
        <v>9662</v>
      </c>
      <c r="AF45" s="269">
        <f>IFERROR(INDEX('Inputs (2)'!$D$67:$AL$67,MATCH(AF$7&amp;"",'Inputs (2)'!$D$2:$AL$2,0)),"")</f>
        <v>10467</v>
      </c>
      <c r="AG45" s="270">
        <f>IF(COUNT(AC45:AF45)=4,SUM(AC45:AF45),"")</f>
        <v>39163</v>
      </c>
      <c r="AH45" s="270">
        <f>IFERROR(INDEX('Inputs (2)'!$D$67:$AL$67,MATCH(AH$7&amp;"",'Inputs (2)'!$D$2:$AL$2,0)),"")</f>
        <v>11361</v>
      </c>
      <c r="AI45" s="270">
        <f>IFERROR(INDEX('Inputs (2)'!$D$67:$AL$67,MATCH(AI$7&amp;"",'Inputs (2)'!$D$2:$AL$2,0)),"")</f>
        <v>12988</v>
      </c>
    </row>
    <row r="46">
      <c r="C46" s="268" t="inlineStr">
        <is>
          <t xml:space="preserve">   EMEA</t>
        </is>
      </c>
      <c r="D46" s="269" t="str">
        <f>IFERROR(INDEX('Inputs (2)'!$D$68:$AL$68,MATCH(D$7&amp;"",'Inputs (2)'!$D$2:$AL$2,0)),"")</f>
        <v/>
      </c>
      <c r="E46" s="269" t="str">
        <f>IFERROR(INDEX('Inputs (2)'!$D$68:$AL$68,MATCH(E$7&amp;"",'Inputs (2)'!$D$2:$AL$2,0)),"")</f>
        <v/>
      </c>
      <c r="F46" s="269" t="str">
        <f>IFERROR(INDEX('Inputs (2)'!$D$68:$AL$68,MATCH(F$7&amp;"",'Inputs (2)'!$D$2:$AL$2,0)),"")</f>
        <v/>
      </c>
      <c r="G46" s="269" t="str">
        <f>IFERROR(INDEX('Inputs (2)'!$D$68:$AL$68,MATCH(G$7&amp;"",'Inputs (2)'!$D$2:$AL$2,0)),"")</f>
        <v/>
      </c>
      <c r="H46" s="270" t="str">
        <f>IF(COUNT(D46:G46)=4,SUM(D46:G46),"")</f>
        <v/>
      </c>
      <c r="I46" s="269">
        <f>IFERROR(INDEX('Inputs (2)'!$D$68:$AL$68,MATCH(I$7&amp;"",'Inputs (2)'!$D$2:$AL$2,0)),"")</f>
        <v>2981</v>
      </c>
      <c r="J46" s="269">
        <f>IFERROR(INDEX('Inputs (2)'!$D$68:$AL$68,MATCH(J$7&amp;"",'Inputs (2)'!$D$2:$AL$2,0)),"")</f>
        <v>3323</v>
      </c>
      <c r="K46" s="269">
        <f>IFERROR(INDEX('Inputs (2)'!$D$68:$AL$68,MATCH(K$7&amp;"",'Inputs (2)'!$D$2:$AL$2,0)),"")</f>
        <v>2784</v>
      </c>
      <c r="L46" s="269">
        <f>IFERROR(INDEX('Inputs (2)'!$D$68:$AL$68,MATCH(L$7&amp;"",'Inputs (2)'!$D$2:$AL$2,0)),"")</f>
        <v>2953</v>
      </c>
      <c r="M46" s="270">
        <f>IF(COUNT(I46:L46)=4,SUM(I46:L46),"")</f>
        <v>12041</v>
      </c>
      <c r="N46" s="269">
        <f>IFERROR(INDEX('Inputs (2)'!$D$68:$AL$68,MATCH(N$7&amp;"",'Inputs (2)'!$D$2:$AL$2,0)),"")</f>
        <v>3014</v>
      </c>
      <c r="O46" s="269">
        <f>IFERROR(INDEX('Inputs (2)'!$D$68:$AL$68,MATCH(O$7&amp;"",'Inputs (2)'!$D$2:$AL$2,0)),"")</f>
        <v>3260</v>
      </c>
      <c r="P46" s="269">
        <f>IFERROR(INDEX('Inputs (2)'!$D$68:$AL$68,MATCH(P$7&amp;"",'Inputs (2)'!$D$2:$AL$2,0)),"")</f>
        <v>2691</v>
      </c>
      <c r="Q46" s="269">
        <f>IFERROR(INDEX('Inputs (2)'!$D$68:$AL$68,MATCH(Q$7&amp;"",'Inputs (2)'!$D$2:$AL$2,0)),"")</f>
        <v>2895</v>
      </c>
      <c r="R46" s="270">
        <f>IF(COUNT(N46:Q46)=4,SUM(N46:Q46),"")</f>
        <v>11860</v>
      </c>
      <c r="S46" s="269">
        <f>IFERROR(INDEX('Inputs (2)'!$D$68:$AL$68,MATCH(S$7&amp;"",'Inputs (2)'!$D$2:$AL$2,0)),"")</f>
        <v>3067</v>
      </c>
      <c r="T46" s="269">
        <f>IFERROR(INDEX('Inputs (2)'!$D$68:$AL$68,MATCH(T$7&amp;"",'Inputs (2)'!$D$2:$AL$2,0)),"")</f>
        <v>3456</v>
      </c>
      <c r="U46" s="269">
        <f>IFERROR(INDEX('Inputs (2)'!$D$68:$AL$68,MATCH(U$7&amp;"",'Inputs (2)'!$D$2:$AL$2,0)),"")</f>
        <v>3005</v>
      </c>
      <c r="V46" s="269">
        <f>IFERROR(INDEX('Inputs (2)'!$D$68:$AL$68,MATCH(V$7&amp;"",'Inputs (2)'!$D$2:$AL$2,0)),"")</f>
        <v>3170</v>
      </c>
      <c r="W46" s="270">
        <f>IF(COUNT(S46:V46)=4,SUM(S46:V46),"")</f>
        <v>12698</v>
      </c>
      <c r="X46" s="269">
        <f>IFERROR(INDEX('Inputs (2)'!$D$68:$AL$68,MATCH(X$7&amp;"",'Inputs (2)'!$D$2:$AL$2,0)),"")</f>
        <v>3316</v>
      </c>
      <c r="Y46" s="269">
        <f>IFERROR(INDEX('Inputs (2)'!$D$68:$AL$68,MATCH(Y$7&amp;"",'Inputs (2)'!$D$2:$AL$2,0)),"")</f>
        <v>3539</v>
      </c>
      <c r="Z46" s="269">
        <f>IFERROR(INDEX('Inputs (2)'!$D$68:$AL$68,MATCH(Z$7&amp;"",'Inputs (2)'!$D$2:$AL$2,0)),"")</f>
        <v>3228</v>
      </c>
      <c r="AA46" s="269">
        <f>IFERROR(INDEX('Inputs (2)'!$D$68:$AL$68,MATCH(AA$7&amp;"",'Inputs (2)'!$D$2:$AL$2,0)),"")</f>
        <v>3381</v>
      </c>
      <c r="AB46" s="270">
        <f>IF(COUNT(X46:AA46)=4,SUM(X46:AA46),"")</f>
        <v>13464</v>
      </c>
      <c r="AC46" s="269">
        <f>IFERROR(INDEX('Inputs (2)'!$D$68:$AL$68,MATCH(AC$7&amp;"",'Inputs (2)'!$D$2:$AL$2,0)),"")</f>
        <v>3421</v>
      </c>
      <c r="AD46" s="269">
        <f>IFERROR(INDEX('Inputs (2)'!$D$68:$AL$68,MATCH(AD$7&amp;"",'Inputs (2)'!$D$2:$AL$2,0)),"")</f>
        <v>3996</v>
      </c>
      <c r="AE46" s="269">
        <f>IFERROR(INDEX('Inputs (2)'!$D$68:$AL$68,MATCH(AE$7&amp;"",'Inputs (2)'!$D$2:$AL$2,0)),"")</f>
        <v>3481</v>
      </c>
      <c r="AF46" s="269">
        <f>IFERROR(INDEX('Inputs (2)'!$D$68:$AL$68,MATCH(AF$7&amp;"",'Inputs (2)'!$D$2:$AL$2,0)),"")</f>
        <v>3760</v>
      </c>
      <c r="AG46" s="270">
        <f>IF(COUNT(AC46:AF46)=4,SUM(AC46:AF46),"")</f>
        <v>14658</v>
      </c>
      <c r="AH46" s="270">
        <f>IFERROR(INDEX('Inputs (2)'!$D$68:$AL$68,MATCH(AH$7&amp;"",'Inputs (2)'!$D$2:$AL$2,0)),"")</f>
        <v>3964</v>
      </c>
      <c r="AI46" s="270">
        <f>IFERROR(INDEX('Inputs (2)'!$D$68:$AL$68,MATCH(AI$7&amp;"",'Inputs (2)'!$D$2:$AL$2,0)),"")</f>
        <v>4093</v>
      </c>
    </row>
    <row r="47">
      <c r="C47" s="268" t="inlineStr">
        <is>
          <t xml:space="preserve">   Ásia-Pacífico</t>
        </is>
      </c>
      <c r="D47" s="269" t="str">
        <f>IFERROR(INDEX('Inputs (2)'!$D$69:$AL$69,MATCH(D$7&amp;"",'Inputs (2)'!$D$2:$AL$2,0)),"")</f>
        <v/>
      </c>
      <c r="E47" s="269" t="str">
        <f>IFERROR(INDEX('Inputs (2)'!$D$69:$AL$69,MATCH(E$7&amp;"",'Inputs (2)'!$D$2:$AL$2,0)),"")</f>
        <v/>
      </c>
      <c r="F47" s="269" t="str">
        <f>IFERROR(INDEX('Inputs (2)'!$D$69:$AL$69,MATCH(F$7&amp;"",'Inputs (2)'!$D$2:$AL$2,0)),"")</f>
        <v/>
      </c>
      <c r="G47" s="269" t="str">
        <f>IFERROR(INDEX('Inputs (2)'!$D$69:$AL$69,MATCH(G$7&amp;"",'Inputs (2)'!$D$2:$AL$2,0)),"")</f>
        <v/>
      </c>
      <c r="H47" s="270" t="str">
        <f>IF(COUNT(D47:G47)=4,SUM(D47:G47),"")</f>
        <v/>
      </c>
      <c r="I47" s="269">
        <f>IFERROR(INDEX('Inputs (2)'!$D$69:$AL$69,MATCH(I$7&amp;"",'Inputs (2)'!$D$2:$AL$2,0)),"")</f>
        <v>1680</v>
      </c>
      <c r="J47" s="269">
        <f>IFERROR(INDEX('Inputs (2)'!$D$69:$AL$69,MATCH(J$7&amp;"",'Inputs (2)'!$D$2:$AL$2,0)),"")</f>
        <v>1827</v>
      </c>
      <c r="K47" s="269">
        <f>IFERROR(INDEX('Inputs (2)'!$D$69:$AL$69,MATCH(K$7&amp;"",'Inputs (2)'!$D$2:$AL$2,0)),"")</f>
        <v>1623</v>
      </c>
      <c r="L47" s="269">
        <f>IFERROR(INDEX('Inputs (2)'!$D$69:$AL$69,MATCH(L$7&amp;"",'Inputs (2)'!$D$2:$AL$2,0)),"")</f>
        <v>1671</v>
      </c>
      <c r="M47" s="270">
        <f>IF(COUNT(I47:L47)=4,SUM(I47:L47),"")</f>
        <v>6801</v>
      </c>
      <c r="N47" s="269">
        <f>IFERROR(INDEX('Inputs (2)'!$D$69:$AL$69,MATCH(N$7&amp;"",'Inputs (2)'!$D$2:$AL$2,0)),"")</f>
        <v>1650</v>
      </c>
      <c r="O47" s="269">
        <f>IFERROR(INDEX('Inputs (2)'!$D$69:$AL$69,MATCH(O$7&amp;"",'Inputs (2)'!$D$2:$AL$2,0)),"")</f>
        <v>1806</v>
      </c>
      <c r="P47" s="269">
        <f>IFERROR(INDEX('Inputs (2)'!$D$69:$AL$69,MATCH(P$7&amp;"",'Inputs (2)'!$D$2:$AL$2,0)),"")</f>
        <v>1562</v>
      </c>
      <c r="Q47" s="269">
        <f>IFERROR(INDEX('Inputs (2)'!$D$69:$AL$69,MATCH(Q$7&amp;"",'Inputs (2)'!$D$2:$AL$2,0)),"")</f>
        <v>1594</v>
      </c>
      <c r="R47" s="270">
        <f>IF(COUNT(N47:Q47)=4,SUM(N47:Q47),"")</f>
        <v>6612</v>
      </c>
      <c r="S47" s="269">
        <f>IFERROR(INDEX('Inputs (2)'!$D$69:$AL$69,MATCH(S$7&amp;"",'Inputs (2)'!$D$2:$AL$2,0)),"")</f>
        <v>1660</v>
      </c>
      <c r="T47" s="269">
        <f>IFERROR(INDEX('Inputs (2)'!$D$69:$AL$69,MATCH(T$7&amp;"",'Inputs (2)'!$D$2:$AL$2,0)),"")</f>
        <v>1803</v>
      </c>
      <c r="U47" s="269">
        <f>IFERROR(INDEX('Inputs (2)'!$D$69:$AL$69,MATCH(U$7&amp;"",'Inputs (2)'!$D$2:$AL$2,0)),"")</f>
        <v>1607</v>
      </c>
      <c r="V47" s="269">
        <f>IFERROR(INDEX('Inputs (2)'!$D$69:$AL$69,MATCH(V$7&amp;"",'Inputs (2)'!$D$2:$AL$2,0)),"")</f>
        <v>1704</v>
      </c>
      <c r="W47" s="270">
        <f>IF(COUNT(S47:V47)=4,SUM(S47:V47),"")</f>
        <v>6774</v>
      </c>
      <c r="X47" s="269">
        <f>IFERROR(INDEX('Inputs (2)'!$D$69:$AL$69,MATCH(X$7&amp;"",'Inputs (2)'!$D$2:$AL$2,0)),"")</f>
        <v>1694</v>
      </c>
      <c r="Y47" s="269">
        <f>IFERROR(INDEX('Inputs (2)'!$D$69:$AL$69,MATCH(Y$7&amp;"",'Inputs (2)'!$D$2:$AL$2,0)),"")</f>
        <v>1803</v>
      </c>
      <c r="Z47" s="269">
        <f>IFERROR(INDEX('Inputs (2)'!$D$69:$AL$69,MATCH(Z$7&amp;"",'Inputs (2)'!$D$2:$AL$2,0)),"")</f>
        <v>1707</v>
      </c>
      <c r="AA47" s="269">
        <f>IFERROR(INDEX('Inputs (2)'!$D$69:$AL$69,MATCH(AA$7&amp;"",'Inputs (2)'!$D$2:$AL$2,0)),"")</f>
        <v>1745</v>
      </c>
      <c r="AB47" s="270">
        <f>IF(COUNT(X47:AA47)=4,SUM(X47:AA47),"")</f>
        <v>6949</v>
      </c>
      <c r="AC47" s="269">
        <f>IFERROR(INDEX('Inputs (2)'!$D$69:$AL$69,MATCH(AC$7&amp;"",'Inputs (2)'!$D$2:$AL$2,0)),"")</f>
        <v>1709</v>
      </c>
      <c r="AD47" s="269">
        <f>IFERROR(INDEX('Inputs (2)'!$D$69:$AL$69,MATCH(AD$7&amp;"",'Inputs (2)'!$D$2:$AL$2,0)),"")</f>
        <v>1873</v>
      </c>
      <c r="AE47" s="269">
        <f>IFERROR(INDEX('Inputs (2)'!$D$69:$AL$69,MATCH(AE$7&amp;"",'Inputs (2)'!$D$2:$AL$2,0)),"")</f>
        <v>1783</v>
      </c>
      <c r="AF47" s="269">
        <f>IFERROR(INDEX('Inputs (2)'!$D$69:$AL$69,MATCH(AF$7&amp;"",'Inputs (2)'!$D$2:$AL$2,0)),"")</f>
        <v>1831</v>
      </c>
      <c r="AG47" s="270">
        <f>IF(COUNT(AC47:AF47)=4,SUM(AC47:AF47),"")</f>
        <v>7196</v>
      </c>
      <c r="AH47" s="270">
        <f>IFERROR(INDEX('Inputs (2)'!$D$69:$AL$69,MATCH(AH$7&amp;"",'Inputs (2)'!$D$2:$AL$2,0)),"")</f>
        <v>1865</v>
      </c>
      <c r="AI47" s="270">
        <f>IFERROR(INDEX('Inputs (2)'!$D$69:$AL$69,MATCH(AI$7&amp;"",'Inputs (2)'!$D$2:$AL$2,0)),"")</f>
        <v>2103</v>
      </c>
    </row>
    <row r="48"/>
    <row r="49">
      <c r="C49" s="267" t="inlineStr">
        <is>
          <t>Carteira contratada (USD milhões)</t>
        </is>
      </c>
      <c r="D49" s="267">
        <f>D7</f>
        <v>0</v>
      </c>
      <c r="E49" s="267">
        <f>E7</f>
        <v>0</v>
      </c>
      <c r="F49" s="267">
        <f>F7</f>
        <v>0</v>
      </c>
      <c r="G49" s="267">
        <f>G7</f>
        <v>0</v>
      </c>
      <c r="H49" s="267">
        <f>H7</f>
        <v>2020</v>
      </c>
      <c r="I49" s="267" t="str">
        <f>I7</f>
        <v>1Q21</v>
      </c>
      <c r="J49" s="267" t="str">
        <f>J7</f>
        <v>2Q21</v>
      </c>
      <c r="K49" s="267" t="str">
        <f>K7</f>
        <v>3Q21</v>
      </c>
      <c r="L49" s="267" t="str">
        <f>L7</f>
        <v>4Q21</v>
      </c>
      <c r="M49" s="267">
        <f>M7</f>
        <v>2021</v>
      </c>
      <c r="N49" s="267" t="str">
        <f>N7</f>
        <v>1Q22</v>
      </c>
      <c r="O49" s="267" t="str">
        <f>O7</f>
        <v>2Q22</v>
      </c>
      <c r="P49" s="267" t="str">
        <f>P7</f>
        <v>3Q22</v>
      </c>
      <c r="Q49" s="267" t="str">
        <f>Q7</f>
        <v>4Q22</v>
      </c>
      <c r="R49" s="267">
        <f>R7</f>
        <v>2022</v>
      </c>
      <c r="S49" s="267" t="str">
        <f>S7</f>
        <v>1Q23</v>
      </c>
      <c r="T49" s="267" t="str">
        <f>T7</f>
        <v>2Q23</v>
      </c>
      <c r="U49" s="267" t="str">
        <f>U7</f>
        <v>3Q23</v>
      </c>
      <c r="V49" s="267" t="str">
        <f>V7</f>
        <v>4Q23</v>
      </c>
      <c r="W49" s="267">
        <f>W7</f>
        <v>2023</v>
      </c>
      <c r="X49" s="267" t="str">
        <f>X7</f>
        <v>1Q24</v>
      </c>
      <c r="Y49" s="267" t="str">
        <f>Y7</f>
        <v>2Q24</v>
      </c>
      <c r="Z49" s="267" t="str">
        <f>Z7</f>
        <v>3Q24</v>
      </c>
      <c r="AA49" s="267" t="str">
        <f>AA7</f>
        <v>4Q24</v>
      </c>
      <c r="AB49" s="267">
        <f>AB7</f>
        <v>2024</v>
      </c>
      <c r="AC49" s="267" t="str">
        <f>AC7</f>
        <v>1Q25</v>
      </c>
      <c r="AD49" s="267" t="str">
        <f>AD7</f>
        <v>2Q25</v>
      </c>
      <c r="AE49" s="267" t="str">
        <f>AE7</f>
        <v>3Q25</v>
      </c>
      <c r="AF49" s="267" t="str">
        <f>AF7</f>
        <v>4Q25</v>
      </c>
      <c r="AG49" s="267">
        <f>AG7</f>
        <v>2025</v>
      </c>
      <c r="AH49" s="267" t="str">
        <f>AH7</f>
        <v>1Q26</v>
      </c>
      <c r="AI49" s="267" t="str">
        <f>AI7</f>
        <v>2Q26</v>
      </c>
    </row>
    <row r="50">
      <c r="C50" s="268" t="inlineStr">
        <is>
          <t xml:space="preserve">   RPO - carteira contratada (saldo)</t>
        </is>
      </c>
      <c r="D50" s="269" t="str">
        <f>IFERROR(INDEX('Inputs (2)'!$D$70:$AL$70,MATCH(D$7&amp;"",'Inputs (2)'!$D$2:$AL$2,0)),"")</f>
        <v/>
      </c>
      <c r="E50" s="269" t="str">
        <f>IFERROR(INDEX('Inputs (2)'!$D$70:$AL$70,MATCH(E$7&amp;"",'Inputs (2)'!$D$2:$AL$2,0)),"")</f>
        <v/>
      </c>
      <c r="F50" s="269" t="str">
        <f>IFERROR(INDEX('Inputs (2)'!$D$70:$AL$70,MATCH(F$7&amp;"",'Inputs (2)'!$D$2:$AL$2,0)),"")</f>
        <v/>
      </c>
      <c r="G50" s="269" t="str">
        <f>IFERROR(INDEX('Inputs (2)'!$D$70:$AL$70,MATCH(G$7&amp;"",'Inputs (2)'!$D$2:$AL$2,0)),"")</f>
        <v/>
      </c>
      <c r="H50" s="270" t="str">
        <f>IF(COUNT(G50)=0,"",G50)</f>
        <v/>
      </c>
      <c r="I50" s="269">
        <f>IFERROR(INDEX('Inputs (2)'!$D$70:$AL$70,MATCH(I$7&amp;"",'Inputs (2)'!$D$2:$AL$2,0)),"")</f>
        <v>35300</v>
      </c>
      <c r="J50" s="269">
        <f>IFERROR(INDEX('Inputs (2)'!$D$70:$AL$70,MATCH(J$7&amp;"",'Inputs (2)'!$D$2:$AL$2,0)),"")</f>
        <v>41300</v>
      </c>
      <c r="K50" s="269">
        <f>IFERROR(INDEX('Inputs (2)'!$D$70:$AL$70,MATCH(K$7&amp;"",'Inputs (2)'!$D$2:$AL$2,0)),"")</f>
        <v>38700</v>
      </c>
      <c r="L50" s="269">
        <f>IFERROR(INDEX('Inputs (2)'!$D$70:$AL$70,MATCH(L$7&amp;"",'Inputs (2)'!$D$2:$AL$2,0)),"")</f>
        <v>37200</v>
      </c>
      <c r="M50" s="270">
        <f>IF(COUNT(L50)=0,"",L50)</f>
        <v>37200</v>
      </c>
      <c r="N50" s="269">
        <f>IFERROR(INDEX('Inputs (2)'!$D$70:$AL$70,MATCH(N$7&amp;"",'Inputs (2)'!$D$2:$AL$2,0)),"")</f>
        <v>38500</v>
      </c>
      <c r="O50" s="269">
        <f>IFERROR(INDEX('Inputs (2)'!$D$70:$AL$70,MATCH(O$7&amp;"",'Inputs (2)'!$D$2:$AL$2,0)),"")</f>
        <v>46600</v>
      </c>
      <c r="P50" s="269">
        <f>IFERROR(INDEX('Inputs (2)'!$D$70:$AL$70,MATCH(P$7&amp;"",'Inputs (2)'!$D$2:$AL$2,0)),"")</f>
        <v>60700</v>
      </c>
      <c r="Q50" s="269">
        <f>IFERROR(INDEX('Inputs (2)'!$D$70:$AL$70,MATCH(Q$7&amp;"",'Inputs (2)'!$D$2:$AL$2,0)),"")</f>
        <v>61200</v>
      </c>
      <c r="R50" s="270">
        <f>IF(COUNT(Q50)=0,"",Q50)</f>
        <v>61200</v>
      </c>
      <c r="S50" s="269">
        <f>IFERROR(INDEX('Inputs (2)'!$D$70:$AL$70,MATCH(S$7&amp;"",'Inputs (2)'!$D$2:$AL$2,0)),"")</f>
        <v>62300</v>
      </c>
      <c r="T50" s="269">
        <f>IFERROR(INDEX('Inputs (2)'!$D$70:$AL$70,MATCH(T$7&amp;"",'Inputs (2)'!$D$2:$AL$2,0)),"")</f>
        <v>67900</v>
      </c>
      <c r="U50" s="269">
        <f>IFERROR(INDEX('Inputs (2)'!$D$70:$AL$70,MATCH(U$7&amp;"",'Inputs (2)'!$D$2:$AL$2,0)),"")</f>
        <v>64900</v>
      </c>
      <c r="V50" s="269">
        <f>IFERROR(INDEX('Inputs (2)'!$D$70:$AL$70,MATCH(V$7&amp;"",'Inputs (2)'!$D$2:$AL$2,0)),"")</f>
        <v>65500</v>
      </c>
      <c r="W50" s="270">
        <f>IF(COUNT(V50)=0,"",V50)</f>
        <v>65500</v>
      </c>
      <c r="X50" s="269">
        <f>IFERROR(INDEX('Inputs (2)'!$D$70:$AL$70,MATCH(X$7&amp;"",'Inputs (2)'!$D$2:$AL$2,0)),"")</f>
        <v>80200</v>
      </c>
      <c r="Y50" s="269">
        <f>IFERROR(INDEX('Inputs (2)'!$D$70:$AL$70,MATCH(Y$7&amp;"",'Inputs (2)'!$D$2:$AL$2,0)),"")</f>
        <v>97900</v>
      </c>
      <c r="Z50" s="269">
        <f>IFERROR(INDEX('Inputs (2)'!$D$70:$AL$70,MATCH(Z$7&amp;"",'Inputs (2)'!$D$2:$AL$2,0)),"")</f>
        <v>99100</v>
      </c>
      <c r="AA50" s="269">
        <f>IFERROR(INDEX('Inputs (2)'!$D$70:$AL$70,MATCH(AA$7&amp;"",'Inputs (2)'!$D$2:$AL$2,0)),"")</f>
        <v>97300</v>
      </c>
      <c r="AB50" s="270">
        <f>IF(COUNT(AA50)=0,"",AA50)</f>
        <v>97300</v>
      </c>
      <c r="AC50" s="269">
        <f>IFERROR(INDEX('Inputs (2)'!$D$70:$AL$70,MATCH(AC$7&amp;"",'Inputs (2)'!$D$2:$AL$2,0)),"")</f>
        <v>130200</v>
      </c>
      <c r="AD50" s="269">
        <f>IFERROR(INDEX('Inputs (2)'!$D$70:$AL$70,MATCH(AD$7&amp;"",'Inputs (2)'!$D$2:$AL$2,0)),"")</f>
        <v>137800</v>
      </c>
      <c r="AE50" s="269">
        <f>IFERROR(INDEX('Inputs (2)'!$D$70:$AL$70,MATCH(AE$7&amp;"",'Inputs (2)'!$D$2:$AL$2,0)),"")</f>
        <v>455300</v>
      </c>
      <c r="AF50" s="269">
        <f>IFERROR(INDEX('Inputs (2)'!$D$70:$AL$70,MATCH(AF$7&amp;"",'Inputs (2)'!$D$2:$AL$2,0)),"")</f>
        <v>523300</v>
      </c>
      <c r="AG50" s="270">
        <f>IF(COUNT(AF50)=0,"",AF50)</f>
        <v>523300</v>
      </c>
      <c r="AH50" s="270">
        <f>IFERROR(INDEX('Inputs (2)'!$D$70:$AL$70,MATCH(AH$7&amp;"",'Inputs (2)'!$D$2:$AL$2,0)),"")</f>
        <v>552600</v>
      </c>
      <c r="AI50" s="270">
        <f>IFERROR(INDEX('Inputs (2)'!$D$70:$AL$70,MATCH(AI$7&amp;"",'Inputs (2)'!$D$2:$AL$2,0)),"")</f>
        <v>638000</v>
      </c>
    </row>
    <row r="51">
      <c r="C51" s="268" t="inlineStr">
        <is>
          <t xml:space="preserve">   % YoY RPO</t>
        </is>
      </c>
      <c r="D51" s="272" t="str">
        <f>""</f>
        <v/>
      </c>
      <c r="E51" s="272" t="str">
        <f>""</f>
        <v/>
      </c>
      <c r="F51" s="272" t="str">
        <f>""</f>
        <v/>
      </c>
      <c r="G51" s="272" t="str">
        <f>""</f>
        <v/>
      </c>
      <c r="H51" s="273" t="str">
        <f>""</f>
        <v/>
      </c>
      <c r="I51" s="272" t="str">
        <f>IFERROR(I50/D50-1,"")</f>
        <v/>
      </c>
      <c r="J51" s="272" t="str">
        <f>IFERROR(J50/E50-1,"")</f>
        <v/>
      </c>
      <c r="K51" s="272" t="str">
        <f>IFERROR(K50/F50-1,"")</f>
        <v/>
      </c>
      <c r="L51" s="272" t="str">
        <f>IFERROR(L50/G50-1,"")</f>
        <v/>
      </c>
      <c r="M51" s="273" t="str">
        <f>IFERROR(M50/H50-1,"")</f>
        <v/>
      </c>
      <c r="N51" s="272">
        <f>IFERROR(N50/I50-1,"")</f>
        <v>0.0906515580736544</v>
      </c>
      <c r="O51" s="272">
        <f>IFERROR(O50/J50-1,"")</f>
        <v>0.128329297820823</v>
      </c>
      <c r="P51" s="272">
        <f>IFERROR(P50/K50-1,"")</f>
        <v>0.568475452196382</v>
      </c>
      <c r="Q51" s="272">
        <f>IFERROR(Q50/L50-1,"")</f>
        <v>0.645161290322581</v>
      </c>
      <c r="R51" s="273">
        <f>IFERROR(R50/M50-1,"")</f>
        <v>0.645161290322581</v>
      </c>
      <c r="S51" s="272">
        <f>IFERROR(S50/N50-1,"")</f>
        <v>0.618181818181818</v>
      </c>
      <c r="T51" s="272">
        <f>IFERROR(T50/O50-1,"")</f>
        <v>0.457081545064378</v>
      </c>
      <c r="U51" s="272">
        <f>IFERROR(U50/P50-1,"")</f>
        <v>0.0691927512355848</v>
      </c>
      <c r="V51" s="272">
        <f>IFERROR(V50/Q50-1,"")</f>
        <v>0.0702614379084967</v>
      </c>
      <c r="W51" s="273">
        <f>IFERROR(W50/R50-1,"")</f>
        <v>0.0702614379084967</v>
      </c>
      <c r="X51" s="272">
        <f>IFERROR(X50/S50-1,"")</f>
        <v>0.287319422150883</v>
      </c>
      <c r="Y51" s="272">
        <f>IFERROR(Y50/T50-1,"")</f>
        <v>0.441826215022091</v>
      </c>
      <c r="Z51" s="272">
        <f>IFERROR(Z50/U50-1,"")</f>
        <v>0.526964560862866</v>
      </c>
      <c r="AA51" s="272">
        <f>IFERROR(AA50/V50-1,"")</f>
        <v>0.485496183206107</v>
      </c>
      <c r="AB51" s="273">
        <f>IFERROR(AB50/W50-1,"")</f>
        <v>0.485496183206107</v>
      </c>
      <c r="AC51" s="272">
        <f>IFERROR(AC50/X50-1,"")</f>
        <v>0.623441396508728</v>
      </c>
      <c r="AD51" s="272">
        <f>IFERROR(AD50/Y50-1,"")</f>
        <v>0.40755873340143</v>
      </c>
      <c r="AE51" s="272">
        <f>IFERROR(AE50/Z50-1,"")</f>
        <v>3.59434914228052</v>
      </c>
      <c r="AF51" s="272">
        <f>IFERROR(AF50/AA50-1,"")</f>
        <v>4.37821171634121</v>
      </c>
      <c r="AG51" s="273">
        <f>IFERROR(AG50/AB50-1,"")</f>
        <v>4.37821171634121</v>
      </c>
      <c r="AH51" s="273">
        <f>IFERROR(AH50/AC50-1,"")</f>
        <v>3.24423963133641</v>
      </c>
      <c r="AI51" s="273">
        <f>IFERROR(AI50/AD50-1,"")</f>
        <v>3.62989840348331</v>
      </c>
    </row>
    <row r="52"/>
    <row r="53"/>
    <row r="54"/>
    <row r="55"/>
    <row r="56"/>
    <row r="57"/>
    <row r="58" hidden="1" outlineLevel="1" customFormat="1" s="43">
      <c r="A58" s="36" t="n"/>
      <c r="B58" s="37" t="n"/>
      <c r="C58" s="45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  <c r="CE58" s="39" t="n"/>
      <c r="CF58" s="39" t="n"/>
      <c r="CG58" s="39" t="n"/>
      <c r="CH58" s="39" t="n"/>
      <c r="CI58" s="39" t="n"/>
      <c r="CJ58" s="39" t="n"/>
      <c r="CK58" s="39" t="n"/>
      <c r="CL58" s="39" t="n"/>
      <c r="CM58" s="39" t="n"/>
      <c r="CN58" s="39" t="n"/>
      <c r="CO58" s="39" t="n"/>
      <c r="CP58" s="39" t="n"/>
      <c r="CQ58" s="39" t="n"/>
      <c r="CR58" s="39" t="n"/>
      <c r="CS58" s="39" t="n"/>
      <c r="CT58" s="39" t="n"/>
      <c r="CU58" s="39" t="n"/>
      <c r="CV58" s="39" t="n"/>
      <c r="CW58" s="39" t="n"/>
      <c r="CX58" s="39" t="n"/>
      <c r="CY58" s="39" t="n"/>
    </row>
    <row r="59" hidden="1" outlineLevel="1" customFormat="1" s="43">
      <c r="A59" s="36" t="n"/>
      <c r="B59" s="37" t="n"/>
      <c r="C59" s="45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39" t="n"/>
      <c r="CH59" s="39" t="n"/>
      <c r="CI59" s="39" t="n"/>
      <c r="CJ59" s="39" t="n"/>
      <c r="CK59" s="39" t="n"/>
      <c r="CL59" s="39" t="n"/>
      <c r="CM59" s="39" t="n"/>
      <c r="CN59" s="39" t="n"/>
      <c r="CO59" s="39" t="n"/>
      <c r="CP59" s="39" t="n"/>
      <c r="CQ59" s="39" t="n"/>
      <c r="CR59" s="39" t="n"/>
      <c r="CS59" s="39" t="n"/>
      <c r="CT59" s="39" t="n"/>
      <c r="CU59" s="39" t="n"/>
      <c r="CV59" s="39" t="n"/>
      <c r="CW59" s="39" t="n"/>
      <c r="CX59" s="39" t="n"/>
      <c r="CY59" s="39" t="n"/>
    </row>
    <row r="60" collapsed="1">
      <c r="C60" s="13" t="inlineStr">
        <is>
          <t>COGS (cash)</t>
        </is>
      </c>
      <c r="D60" s="46" t="n"/>
      <c r="E60" s="46" t="n"/>
      <c r="F60" s="46" t="n"/>
      <c r="G60" s="46" t="n"/>
      <c r="H60" s="12" t="n"/>
      <c r="I60" s="46">
        <f>'Inputs (2)'!D5</f>
        <v>-1915</v>
      </c>
      <c r="J60" s="46">
        <f>'Inputs (2)'!E5</f>
        <v>-2122</v>
      </c>
      <c r="K60" s="46">
        <f>'Inputs (2)'!F5</f>
        <v>-2103</v>
      </c>
      <c r="L60" s="46">
        <f>'Inputs (2)'!G5</f>
        <v>-2159</v>
      </c>
      <c r="M60" s="12">
        <f>'Inputs (2)'!H5</f>
        <v>-8299</v>
      </c>
      <c r="N60" s="46">
        <f>'Inputs (2)'!I5</f>
        <v>-2218</v>
      </c>
      <c r="O60" s="46">
        <f>'Inputs (2)'!J5</f>
        <v>-2397</v>
      </c>
      <c r="P60" s="46">
        <f>'Inputs (2)'!K5</f>
        <v>-3037</v>
      </c>
      <c r="Q60" s="46">
        <f>'Inputs (2)'!L5</f>
        <v>-3358</v>
      </c>
      <c r="R60" s="12">
        <f>'Inputs (2)'!M5</f>
        <v>-11010</v>
      </c>
      <c r="S60" s="46">
        <f>'Inputs (2)'!N5</f>
        <v>-3439</v>
      </c>
      <c r="T60" s="46">
        <f>'Inputs (2)'!O5</f>
        <v>-3730</v>
      </c>
      <c r="U60" s="46">
        <f>'Inputs (2)'!P5</f>
        <v>-3610</v>
      </c>
      <c r="V60" s="46">
        <f>'Inputs (2)'!Q5</f>
        <v>-3740</v>
      </c>
      <c r="W60" s="12">
        <f>'Inputs (2)'!R5</f>
        <v>-14519</v>
      </c>
      <c r="X60" s="46">
        <f>'Inputs (2)'!S5</f>
        <v>-3869</v>
      </c>
      <c r="Y60" s="46">
        <f>'Inputs (2)'!T5</f>
        <v>-3924</v>
      </c>
      <c r="Z60" s="46">
        <f>'Inputs (2)'!U5</f>
        <v>-3906</v>
      </c>
      <c r="AA60" s="46">
        <f>'Inputs (2)'!V5</f>
        <v>-4085</v>
      </c>
      <c r="AB60" s="12">
        <f>'Inputs (2)'!W5</f>
        <v>-15784</v>
      </c>
      <c r="AC60" s="46">
        <f>'Inputs (2)'!X5</f>
        <v>-4195</v>
      </c>
      <c r="AD60" s="46">
        <f>'Inputs (2)'!Y5</f>
        <v>-4741</v>
      </c>
      <c r="AE60" s="46">
        <f>'Inputs (2)'!Z5</f>
        <v>-4884</v>
      </c>
      <c r="AF60" s="46">
        <f>'Inputs (2)'!AA5</f>
        <v>-5374</v>
      </c>
      <c r="AG60" s="12">
        <f>'Inputs (2)'!AB5</f>
        <v>-19194</v>
      </c>
      <c r="AH60" s="12">
        <f>'Inputs (2)'!AC5</f>
        <v>-6092</v>
      </c>
      <c r="AI60" s="12">
        <f>'Inputs (2)'!AD5</f>
        <v>-6671</v>
      </c>
      <c r="AJ60" s="12">
        <f>-(1-AJ61)*AJ15</f>
        <v>-5575.00460287919</v>
      </c>
      <c r="AK60" s="12">
        <f>-(1-AK61)*AK15</f>
        <v>-5997.81749383853</v>
      </c>
      <c r="AL60" s="12">
        <f>SUM(AH60:AK60)</f>
        <v>-24335.8220967177</v>
      </c>
      <c r="AM60" s="12">
        <f>-(1-AM61)*AM15</f>
        <v>-6420.63038479788</v>
      </c>
      <c r="AN60" s="12">
        <f>-(1-AN61)*AN15</f>
        <v>-7165.4085690496</v>
      </c>
      <c r="AO60" s="12">
        <f>-(1-AO61)*AO15</f>
        <v>-6377.65791524512</v>
      </c>
      <c r="AP60" s="12">
        <f>-(1-AP61)*AP15</f>
        <v>-6861.34468732455</v>
      </c>
      <c r="AQ60" s="12">
        <f>SUM(AM60:AP60)</f>
        <v>-26825.0415564172</v>
      </c>
      <c r="AR60" s="12">
        <f>-(1-AR61)*AR15</f>
        <v>-7312.92830747998</v>
      </c>
      <c r="AS60" s="12">
        <f>-(1-AS61)*AS15</f>
        <v>-8161.21097444421</v>
      </c>
      <c r="AT60" s="12">
        <f>-(1-AT61)*AT15</f>
        <v>-7263.98380044547</v>
      </c>
      <c r="AU60" s="12">
        <f>-(1-AU61)*AU15</f>
        <v>-7814.89024973559</v>
      </c>
      <c r="AV60" s="12">
        <f>SUM(AR60:AU60)</f>
        <v>-30553.0133321053</v>
      </c>
      <c r="AW60" s="12">
        <f>-(1-AW61)*AW15</f>
        <v>-8292.66741595091</v>
      </c>
      <c r="AX60" s="12">
        <f>-(1-AX61)*AX15</f>
        <v>-9254.59753970926</v>
      </c>
      <c r="AY60" s="12">
        <f>-(1-AY61)*AY15</f>
        <v>-8237.16563860411</v>
      </c>
      <c r="AZ60" s="12">
        <f>-(1-AZ61)*AZ15</f>
        <v>-8861.87899133759</v>
      </c>
      <c r="BA60" s="12">
        <f>SUM(AW60:AZ60)</f>
        <v>-34646.3095856019</v>
      </c>
      <c r="BB60" s="12">
        <f>-(1-BB61)*BB15</f>
        <v>-9362.2023328318</v>
      </c>
      <c r="BC60" s="12">
        <f>-(1-BC61)*BC15</f>
        <v>-10448.1960182109</v>
      </c>
      <c r="BD60" s="12">
        <f>-(1-BD61)*BD15</f>
        <v>-9299.54229314988</v>
      </c>
      <c r="BE60" s="12">
        <f>-(1-BE61)*BE15</f>
        <v>-10004.8271568673</v>
      </c>
      <c r="BF60" s="12">
        <f>SUM(BB60:BE60)</f>
        <v>-39114.7678010598</v>
      </c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hidden="1" outlineLevel="1" customFormat="1" s="3">
      <c r="C61" s="47" t="inlineStr">
        <is>
          <t>% Gross Margin</t>
        </is>
      </c>
      <c r="D61" s="48" t="n"/>
      <c r="E61" s="48" t="n"/>
      <c r="F61" s="48" t="n"/>
      <c r="G61" s="48" t="n"/>
      <c r="H61" s="48" t="n"/>
      <c r="I61" s="48">
        <f>IFERROR((I15+I60)/I$15,"")</f>
        <v>0.810114030738721</v>
      </c>
      <c r="J61" s="48">
        <f>IFERROR((J15+J60)/J$15,"")</f>
        <v>0.810991360114011</v>
      </c>
      <c r="K61" s="48">
        <f>IFERROR((K15+K60)/K$15,"")</f>
        <v>0.78381990131579</v>
      </c>
      <c r="L61" s="48">
        <f>IFERROR((L15+L60)/L$15,"")</f>
        <v>0.791602316602317</v>
      </c>
      <c r="M61" s="48">
        <f>IFERROR((M15+M60)/M$15,"")</f>
        <v>0.799541062801932</v>
      </c>
      <c r="N61" s="48">
        <f>IFERROR((N15+N60)/N$15,"")</f>
        <v>0.789023114239513</v>
      </c>
      <c r="O61" s="48">
        <f>IFERROR((O15+O60)/O$15,"")</f>
        <v>0.797550675675676</v>
      </c>
      <c r="P61" s="48">
        <f>IFERROR((P15+P60)/P$15,"")</f>
        <v>0.734643949322848</v>
      </c>
      <c r="Q61" s="48">
        <f>IFERROR((Q15+Q60)/Q$15,"")</f>
        <v>0.726435845213849</v>
      </c>
      <c r="R61" s="48">
        <f>IFERROR((R15+R60)/R$15,"")</f>
        <v>0.761031406680702</v>
      </c>
      <c r="S61" s="48">
        <f>IFERROR((S15+S60)/S$15,"")</f>
        <v>0.722616551056622</v>
      </c>
      <c r="T61" s="48">
        <f>IFERROR((T15+T60)/T$15,"")</f>
        <v>0.730413414281584</v>
      </c>
      <c r="U61" s="48">
        <f>IFERROR((U15+U60)/U$15,"")</f>
        <v>0.710110013651329</v>
      </c>
      <c r="V61" s="48">
        <f>IFERROR((V15+V60)/V$15,"")</f>
        <v>0.710996059037169</v>
      </c>
      <c r="W61" s="48">
        <f>IFERROR((W15+W60)/W$15,"")</f>
        <v>0.718776632834896</v>
      </c>
      <c r="X61" s="48">
        <f>IFERROR((X15+X60)/X$15,"")</f>
        <v>0.708659638554217</v>
      </c>
      <c r="Y61" s="48">
        <f>IFERROR((Y15+Y60)/Y$15,"")</f>
        <v>0.725344718975292</v>
      </c>
      <c r="Z61" s="48">
        <f>IFERROR((Z15+Z60)/Z$15,"")</f>
        <v>0.706470278800631</v>
      </c>
      <c r="AA61" s="48">
        <f>IFERROR((AA15+AA60)/AA$15,"")</f>
        <v>0.70943879365531</v>
      </c>
      <c r="AB61" s="48">
        <f>IFERROR((AB15+AB60)/AB$15,"")</f>
        <v>0.712668159394171</v>
      </c>
      <c r="AC61" s="48">
        <f>IFERROR((AC15+AC60)/AC$15,"")</f>
        <v>0.703113941967445</v>
      </c>
      <c r="AD61" s="48">
        <f>IFERROR((AD15+AD60)/AD$15,"")</f>
        <v>0.701880148399673</v>
      </c>
      <c r="AE61" s="48">
        <f>IFERROR((AE15+AE60)/AE$15,"")</f>
        <v>0.672785742998794</v>
      </c>
      <c r="AF61" s="41">
        <f>IFERROR((AF15+AF60)/AF$15,"")</f>
        <v>0.665338149209117</v>
      </c>
      <c r="AG61" s="48">
        <f>IFERROR((AG15+AG60)/AG$15,"")</f>
        <v>0.685431928806726</v>
      </c>
      <c r="AH61" s="49">
        <f>IFERROR((AH15+AH60)/AH$15,"")</f>
        <v>0.645607911576498</v>
      </c>
      <c r="AI61" s="49">
        <f>IFERROR((AI15+AI60)/AI$15,"")</f>
        <v>0.652262301918265</v>
      </c>
      <c r="AJ61" s="49">
        <f>Control!$B$19</f>
        <v>0.673498032678299</v>
      </c>
      <c r="AK61" s="49">
        <f>Control!$B$19</f>
        <v>0.673498032678299</v>
      </c>
      <c r="AL61" s="48">
        <f>IFERROR((AL15+AL60)/AL$15,"")</f>
        <v>0.661150061270938</v>
      </c>
      <c r="AM61" s="49">
        <f>Control!$C$19</f>
        <v>0.673498032678299</v>
      </c>
      <c r="AN61" s="49">
        <f>Control!$C$19</f>
        <v>0.673498032678299</v>
      </c>
      <c r="AO61" s="49">
        <f>Control!$C$19</f>
        <v>0.673498032678299</v>
      </c>
      <c r="AP61" s="49">
        <f>Control!$C$19</f>
        <v>0.673498032678299</v>
      </c>
      <c r="AQ61" s="48">
        <f>IFERROR((AQ15+AQ60)/AQ$15,"")</f>
        <v>0.673498032678299</v>
      </c>
      <c r="AR61" s="49">
        <f>Control!$D$19</f>
        <v>0.673498032678299</v>
      </c>
      <c r="AS61" s="49">
        <f>Control!$D$19</f>
        <v>0.673498032678299</v>
      </c>
      <c r="AT61" s="49">
        <f>Control!$D$19</f>
        <v>0.673498032678299</v>
      </c>
      <c r="AU61" s="49">
        <f>Control!$D$19</f>
        <v>0.673498032678299</v>
      </c>
      <c r="AV61" s="48">
        <f>IFERROR((AV15+AV60)/AV$15,"")</f>
        <v>0.673498032678299</v>
      </c>
      <c r="AW61" s="49">
        <f>Control!$E$19</f>
        <v>0.673498032678299</v>
      </c>
      <c r="AX61" s="49">
        <f>Control!$E$19</f>
        <v>0.673498032678299</v>
      </c>
      <c r="AY61" s="49">
        <f>Control!$E$19</f>
        <v>0.673498032678299</v>
      </c>
      <c r="AZ61" s="49">
        <f>Control!$E$19</f>
        <v>0.673498032678299</v>
      </c>
      <c r="BA61" s="48">
        <f>IFERROR((BA15+BA60)/BA$15,"")</f>
        <v>0.673498032678299</v>
      </c>
      <c r="BB61" s="49">
        <f>Control!$F$19</f>
        <v>0.673498032678299</v>
      </c>
      <c r="BC61" s="49">
        <f>Control!$F$19</f>
        <v>0.673498032678299</v>
      </c>
      <c r="BD61" s="49">
        <f>Control!$F$19</f>
        <v>0.673498032678299</v>
      </c>
      <c r="BE61" s="49">
        <f>Control!$F$19</f>
        <v>0.673498032678299</v>
      </c>
      <c r="BF61" s="48">
        <f>IFERROR((BF15+BF60)/BF$15,"")</f>
        <v>0.673498032678299</v>
      </c>
      <c r="BG61" s="49" t="n"/>
      <c r="BH61" s="49" t="n"/>
      <c r="BI61" s="49" t="n"/>
      <c r="BJ61" s="49" t="n"/>
      <c r="BK61" s="48" t="n"/>
      <c r="BL61" s="49" t="n"/>
      <c r="BM61" s="49" t="n"/>
      <c r="BN61" s="49" t="n"/>
      <c r="BO61" s="49" t="n"/>
      <c r="BP61" s="48" t="n"/>
      <c r="BQ61" s="49" t="n"/>
      <c r="BR61" s="49" t="n"/>
      <c r="BS61" s="49" t="n"/>
      <c r="BT61" s="49" t="n"/>
      <c r="BU61" s="48" t="n"/>
      <c r="BV61" s="49" t="n"/>
      <c r="BW61" s="49" t="n"/>
      <c r="BX61" s="49" t="n"/>
      <c r="BY61" s="49" t="n"/>
      <c r="BZ61" s="48" t="n"/>
      <c r="CA61" s="49" t="n"/>
      <c r="CB61" s="49" t="n"/>
      <c r="CC61" s="49" t="n"/>
      <c r="CD61" s="49" t="n"/>
      <c r="CE61" s="48" t="n"/>
      <c r="CF61" s="49" t="n"/>
      <c r="CG61" s="49" t="n"/>
      <c r="CH61" s="49" t="n"/>
      <c r="CI61" s="49" t="n"/>
      <c r="CJ61" s="48" t="n"/>
      <c r="CK61" s="49" t="n"/>
      <c r="CL61" s="49" t="n"/>
      <c r="CM61" s="49" t="n"/>
      <c r="CN61" s="49" t="n"/>
      <c r="CO61" s="48" t="n"/>
      <c r="CP61" s="49" t="n"/>
      <c r="CQ61" s="49" t="n"/>
      <c r="CR61" s="49" t="n"/>
      <c r="CS61" s="49" t="n"/>
      <c r="CT61" s="48" t="n"/>
      <c r="CU61" s="49" t="n"/>
      <c r="CV61" s="49" t="n"/>
      <c r="CW61" s="49" t="n"/>
      <c r="CX61" s="49" t="n"/>
      <c r="CY61" s="48" t="n"/>
    </row>
    <row r="62" hidden="1" outlineLevel="1"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collapsed="1">
      <c r="C64" s="13" t="inlineStr">
        <is>
          <t>SG&amp;A and Other (cash)</t>
        </is>
      </c>
      <c r="D64" s="46" t="n"/>
      <c r="E64" s="46" t="n"/>
      <c r="F64" s="46" t="n"/>
      <c r="G64" s="46" t="n"/>
      <c r="H64" s="12" t="n"/>
      <c r="I64" s="46">
        <f>'Inputs (2)'!D6</f>
        <v>-3560</v>
      </c>
      <c r="J64" s="46">
        <f>'Inputs (2)'!E6</f>
        <v>-3812</v>
      </c>
      <c r="K64" s="46">
        <f>'Inputs (2)'!F6</f>
        <v>-3441</v>
      </c>
      <c r="L64" s="46">
        <f>'Inputs (2)'!G6</f>
        <v>-8267</v>
      </c>
      <c r="M64" s="12">
        <f>'Inputs (2)'!H6</f>
        <v>-19080</v>
      </c>
      <c r="N64" s="46">
        <f>'Inputs (2)'!I6</f>
        <v>-3698</v>
      </c>
      <c r="O64" s="46">
        <f>'Inputs (2)'!J6</f>
        <v>-4110</v>
      </c>
      <c r="P64" s="46">
        <f>'Inputs (2)'!K6</f>
        <v>-4319</v>
      </c>
      <c r="Q64" s="46">
        <f>'Inputs (2)'!L6</f>
        <v>-4348</v>
      </c>
      <c r="R64" s="12">
        <f>'Inputs (2)'!M6</f>
        <v>-16475</v>
      </c>
      <c r="S64" s="46">
        <f>'Inputs (2)'!N6</f>
        <v>-4141</v>
      </c>
      <c r="T64" s="46">
        <f>'Inputs (2)'!O6</f>
        <v>-4380</v>
      </c>
      <c r="U64" s="46">
        <f>'Inputs (2)'!P6</f>
        <v>-4072</v>
      </c>
      <c r="V64" s="46">
        <f>'Inputs (2)'!Q6</f>
        <v>-4026</v>
      </c>
      <c r="W64" s="12">
        <f>'Inputs (2)'!R6</f>
        <v>-16619</v>
      </c>
      <c r="X64" s="46">
        <f>'Inputs (2)'!S6</f>
        <v>-4104</v>
      </c>
      <c r="Y64" s="46">
        <f>'Inputs (2)'!T6</f>
        <v>-4123</v>
      </c>
      <c r="Z64" s="46">
        <f>'Inputs (2)'!U6</f>
        <v>-3982</v>
      </c>
      <c r="AA64" s="46">
        <f>'Inputs (2)'!V6</f>
        <v>-4255</v>
      </c>
      <c r="AB64" s="12">
        <f>'Inputs (2)'!W6</f>
        <v>-16464</v>
      </c>
      <c r="AC64" s="46">
        <f>'Inputs (2)'!X6</f>
        <v>-4026</v>
      </c>
      <c r="AD64" s="46">
        <f>'Inputs (2)'!Y6</f>
        <v>-4357</v>
      </c>
      <c r="AE64" s="46">
        <f>'Inputs (2)'!Z6</f>
        <v>-3994</v>
      </c>
      <c r="AF64" s="46">
        <f>'Inputs (2)'!AA6</f>
        <v>-3842</v>
      </c>
      <c r="AG64" s="12">
        <f>'Inputs (2)'!AB6</f>
        <v>-16219</v>
      </c>
      <c r="AH64" s="12">
        <f>'Inputs (2)'!AC6</f>
        <v>-3068</v>
      </c>
      <c r="AI64" s="12">
        <f>'Inputs (2)'!AD6</f>
        <v>-3533</v>
      </c>
      <c r="AJ64" s="12">
        <f>-AJ15*AJ65</f>
        <v>-4064.92893026126</v>
      </c>
      <c r="AK64" s="12">
        <f>-AK15*AK65</f>
        <v>-4373.21645197209</v>
      </c>
      <c r="AL64" s="12">
        <f>SUM(AH64:AK64)</f>
        <v>-15039.1453822334</v>
      </c>
      <c r="AM64" s="12">
        <f>-AM15*AM65</f>
        <v>-4681.50397368291</v>
      </c>
      <c r="AN64" s="12">
        <f>-AN15*AN65</f>
        <v>-5224.54754107813</v>
      </c>
      <c r="AO64" s="12">
        <f>-AO15*AO65</f>
        <v>-4650.1712579037</v>
      </c>
      <c r="AP64" s="12">
        <f>-AP15*AP65</f>
        <v>-5002.84403453153</v>
      </c>
      <c r="AQ64" s="12">
        <f>SUM(AM64:AP64)</f>
        <v>-19559.0668071963</v>
      </c>
      <c r="AR64" s="12">
        <f>-AR15*AR65</f>
        <v>-5332.10929129095</v>
      </c>
      <c r="AS64" s="12">
        <f>-AS15*AS65</f>
        <v>-5950.62156161289</v>
      </c>
      <c r="AT64" s="12">
        <f>-AT15*AT65</f>
        <v>-5296.4221561594</v>
      </c>
      <c r="AU64" s="12">
        <f>-AU15*AU65</f>
        <v>-5698.10712740237</v>
      </c>
      <c r="AV64" s="12">
        <f>SUM(AR64:AU64)</f>
        <v>-22277.2601364656</v>
      </c>
      <c r="AW64" s="12">
        <f>-AW15*AW65</f>
        <v>-6046.47100573242</v>
      </c>
      <c r="AX64" s="12">
        <f>-AX15*AX65</f>
        <v>-6747.84757265682</v>
      </c>
      <c r="AY64" s="12">
        <f>-AY15*AY65</f>
        <v>-6006.00273772392</v>
      </c>
      <c r="AZ64" s="12">
        <f>-AZ15*AZ65</f>
        <v>-6461.50287835795</v>
      </c>
      <c r="BA64" s="12">
        <f>SUM(AW64:AZ64)</f>
        <v>-25261.8241944711</v>
      </c>
      <c r="BB64" s="12">
        <f>-BB15*BB65</f>
        <v>-6826.30595390599</v>
      </c>
      <c r="BC64" s="12">
        <f>-BC15*BC65</f>
        <v>-7618.14156019386</v>
      </c>
      <c r="BD64" s="12">
        <f>-BD15*BD65</f>
        <v>-6780.61834892306</v>
      </c>
      <c r="BE64" s="12">
        <f>-BE15*BE65</f>
        <v>-7294.86596857876</v>
      </c>
      <c r="BF64" s="12">
        <f>SUM(BB64:BE64)</f>
        <v>-28519.9318316017</v>
      </c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38" t="inlineStr">
        <is>
          <t>% SG&amp;A and Other Margin</t>
        </is>
      </c>
      <c r="D65" s="51" t="n"/>
      <c r="E65" s="51" t="n"/>
      <c r="F65" s="51" t="n"/>
      <c r="G65" s="51" t="n"/>
      <c r="H65" s="51" t="n"/>
      <c r="I65" s="51">
        <f>IFERROR(-(I64/I$15),"")</f>
        <v>0.352999504214179</v>
      </c>
      <c r="J65" s="51">
        <f>IFERROR(-(J64/J$15),"")</f>
        <v>0.339538612273982</v>
      </c>
      <c r="K65" s="51">
        <f>IFERROR(-(K64/K$15),"")</f>
        <v>0.353721217105263</v>
      </c>
      <c r="L65" s="51">
        <f>IFERROR(-(L64/L$15),"")</f>
        <v>0.797972972972973</v>
      </c>
      <c r="M65" s="51">
        <f>IFERROR(-(M64/M$15),"")</f>
        <v>0.460869565217391</v>
      </c>
      <c r="N65" s="51">
        <f>IFERROR(-(N64/N$15),"")</f>
        <v>0.351754970037097</v>
      </c>
      <c r="O65" s="51">
        <f>IFERROR(-(O64/O$15),"")</f>
        <v>0.347128378378378</v>
      </c>
      <c r="P65" s="51">
        <f>IFERROR(-(P64/P$15),"")</f>
        <v>0.37737003058104</v>
      </c>
      <c r="Q65" s="51">
        <f>IFERROR(-(Q64/Q$15),"")</f>
        <v>0.354215885947047</v>
      </c>
      <c r="R65" s="51">
        <f>IFERROR(-(R64/R$15),"")</f>
        <v>0.357584702537278</v>
      </c>
      <c r="S65" s="51">
        <f>IFERROR(-(S64/S$15),"")</f>
        <v>0.334005484755606</v>
      </c>
      <c r="T65" s="51">
        <f>IFERROR(-(T64/T$15),"")</f>
        <v>0.316565481352992</v>
      </c>
      <c r="U65" s="51">
        <f>IFERROR(-(U64/U$15),"")</f>
        <v>0.326989480446479</v>
      </c>
      <c r="V65" s="51">
        <f>IFERROR(-(V64/V$15),"")</f>
        <v>0.311104242330577</v>
      </c>
      <c r="W65" s="51">
        <f>IFERROR(-(W64/W$15),"")</f>
        <v>0.321898969551406</v>
      </c>
      <c r="X65" s="51">
        <f>IFERROR(-(X64/X$15),"")</f>
        <v>0.309036144578313</v>
      </c>
      <c r="Y65" s="51">
        <f>IFERROR(-(Y64/Y$15),"")</f>
        <v>0.288584027437531</v>
      </c>
      <c r="Z65" s="51">
        <f>IFERROR(-(Z64/Z$15),"")</f>
        <v>0.299241000976929</v>
      </c>
      <c r="AA65" s="51">
        <f>IFERROR(-(AA64/AA$15),"")</f>
        <v>0.302653104772743</v>
      </c>
      <c r="AB65" s="51">
        <f>IFERROR(-(AB64/AB$15),"")</f>
        <v>0.299710556496095</v>
      </c>
      <c r="AC65" s="51">
        <f>IFERROR(-(AC64/AC$15),"")</f>
        <v>0.284925690021231</v>
      </c>
      <c r="AD65" s="51">
        <f>IFERROR(-(AD64/AD$15),"")</f>
        <v>0.273973464126266</v>
      </c>
      <c r="AE65" s="51">
        <f>IFERROR(-(AE64/AE$15),"")</f>
        <v>0.267586761356023</v>
      </c>
      <c r="AF65" s="41">
        <f>IFERROR(-(AF64/AF$15),"")</f>
        <v>0.239257690870594</v>
      </c>
      <c r="AG65" s="51">
        <f>IFERROR(-(AG64/AG$15),"")</f>
        <v>0.265811167379583</v>
      </c>
      <c r="AH65" s="52">
        <f>IFERROR(-(AH64/AH$15),"")</f>
        <v>0.17847585805701</v>
      </c>
      <c r="AI65" s="52">
        <f>IFERROR(-(AI64/AI$15),"")</f>
        <v>0.184163886572143</v>
      </c>
      <c r="AJ65" s="52">
        <f>Control!$B$20</f>
        <v>0.238063891833878</v>
      </c>
      <c r="AK65" s="52">
        <f>Control!$B$20</f>
        <v>0.238063891833878</v>
      </c>
      <c r="AL65" s="51">
        <f>IFERROR(-(AL64/AL$15),"")</f>
        <v>0.209403794581262</v>
      </c>
      <c r="AM65" s="52">
        <f>Control!$C$20</f>
        <v>0.238063891833878</v>
      </c>
      <c r="AN65" s="52">
        <f>Control!$C$20</f>
        <v>0.238063891833878</v>
      </c>
      <c r="AO65" s="52">
        <f>Control!$C$20</f>
        <v>0.238063891833878</v>
      </c>
      <c r="AP65" s="52">
        <f>Control!$C$20</f>
        <v>0.238063891833878</v>
      </c>
      <c r="AQ65" s="51">
        <f>IFERROR(-(AQ64/AQ$15),"")</f>
        <v>0.238063891833878</v>
      </c>
      <c r="AR65" s="52">
        <f>Control!$D$20</f>
        <v>0.238063891833878</v>
      </c>
      <c r="AS65" s="52">
        <f>Control!$D$20</f>
        <v>0.238063891833878</v>
      </c>
      <c r="AT65" s="52">
        <f>Control!$D$20</f>
        <v>0.238063891833878</v>
      </c>
      <c r="AU65" s="52">
        <f>Control!$D$20</f>
        <v>0.238063891833878</v>
      </c>
      <c r="AV65" s="51">
        <f>IFERROR(-(AV64/AV$15),"")</f>
        <v>0.238063891833878</v>
      </c>
      <c r="AW65" s="52">
        <f>Control!$E$20</f>
        <v>0.238063891833878</v>
      </c>
      <c r="AX65" s="52">
        <f>Control!$E$20</f>
        <v>0.238063891833878</v>
      </c>
      <c r="AY65" s="52">
        <f>Control!$E$20</f>
        <v>0.238063891833878</v>
      </c>
      <c r="AZ65" s="52">
        <f>Control!$E$20</f>
        <v>0.238063891833878</v>
      </c>
      <c r="BA65" s="51">
        <f>IFERROR(-(BA64/BA$15),"")</f>
        <v>0.238063891833878</v>
      </c>
      <c r="BB65" s="52">
        <f>Control!$F$20</f>
        <v>0.238063891833878</v>
      </c>
      <c r="BC65" s="52">
        <f>Control!$F$20</f>
        <v>0.238063891833878</v>
      </c>
      <c r="BD65" s="52">
        <f>Control!$F$20</f>
        <v>0.238063891833878</v>
      </c>
      <c r="BE65" s="52">
        <f>Control!$F$20</f>
        <v>0.238063891833878</v>
      </c>
      <c r="BF65" s="51">
        <f>IFERROR(-(BF64/BF$15),"")</f>
        <v>0.238063891833878</v>
      </c>
      <c r="BG65" s="52" t="n"/>
      <c r="BH65" s="52" t="n"/>
      <c r="BI65" s="52" t="n"/>
      <c r="BJ65" s="52" t="n"/>
      <c r="BK65" s="51" t="n"/>
      <c r="BL65" s="52" t="n"/>
      <c r="BM65" s="52" t="n"/>
      <c r="BN65" s="52" t="n"/>
      <c r="BO65" s="52" t="n"/>
      <c r="BP65" s="51" t="n"/>
      <c r="BQ65" s="52" t="n"/>
      <c r="BR65" s="52" t="n"/>
      <c r="BS65" s="52" t="n"/>
      <c r="BT65" s="52" t="n"/>
      <c r="BU65" s="51" t="n"/>
      <c r="BV65" s="52" t="n"/>
      <c r="BW65" s="52" t="n"/>
      <c r="BX65" s="52" t="n"/>
      <c r="BY65" s="52" t="n"/>
      <c r="BZ65" s="51" t="n"/>
      <c r="CA65" s="52" t="n"/>
      <c r="CB65" s="52" t="n"/>
      <c r="CC65" s="52" t="n"/>
      <c r="CD65" s="52" t="n"/>
      <c r="CE65" s="51" t="n"/>
      <c r="CF65" s="52" t="n"/>
      <c r="CG65" s="52" t="n"/>
      <c r="CH65" s="52" t="n"/>
      <c r="CI65" s="52" t="n"/>
      <c r="CJ65" s="51" t="n"/>
      <c r="CK65" s="52" t="n"/>
      <c r="CL65" s="52" t="n"/>
      <c r="CM65" s="52" t="n"/>
      <c r="CN65" s="52" t="n"/>
      <c r="CO65" s="51" t="n"/>
      <c r="CP65" s="52" t="n"/>
      <c r="CQ65" s="52" t="n"/>
      <c r="CR65" s="52" t="n"/>
      <c r="CS65" s="52" t="n"/>
      <c r="CT65" s="51" t="n"/>
      <c r="CU65" s="52" t="n"/>
      <c r="CV65" s="52" t="n"/>
      <c r="CW65" s="52" t="n"/>
      <c r="CX65" s="52" t="n"/>
      <c r="CY65" s="51" t="n"/>
    </row>
    <row r="66" hidden="1" outlineLevel="1"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Com Vendas</t>
        </is>
      </c>
      <c r="D67" s="11" t="n"/>
      <c r="E67" s="11" t="n"/>
      <c r="F67" s="11" t="n"/>
      <c r="G67" s="11" t="n"/>
      <c r="H67" s="50" t="n"/>
      <c r="I67" s="11" t="n"/>
      <c r="J67" s="11" t="n"/>
      <c r="K67" s="11" t="n"/>
      <c r="L67" s="11" t="n"/>
      <c r="M67" s="50" t="n"/>
      <c r="N67" s="11" t="n"/>
      <c r="O67" s="11" t="n"/>
      <c r="P67" s="11" t="n"/>
      <c r="Q67" s="11" t="n"/>
      <c r="R67" s="50" t="n"/>
      <c r="S67" s="11" t="n"/>
      <c r="T67" s="11" t="n"/>
      <c r="U67" s="11" t="n"/>
      <c r="V67" s="11" t="n"/>
      <c r="W67" s="50" t="n"/>
      <c r="X67" s="11" t="n"/>
      <c r="Y67" s="11" t="n"/>
      <c r="Z67" s="11" t="n"/>
      <c r="AA67" s="11" t="n"/>
      <c r="AB67" s="50" t="n"/>
      <c r="AC67" s="11" t="n"/>
      <c r="AD67" s="11" t="n"/>
      <c r="AE67" s="11" t="n"/>
      <c r="AF67" s="11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inlineStr">
        <is>
          <t>Gerais &amp; Administrativas</t>
        </is>
      </c>
      <c r="D68" s="11" t="n"/>
      <c r="E68" s="11" t="n"/>
      <c r="F68" s="11" t="n"/>
      <c r="G68" s="11" t="n"/>
      <c r="H68" s="50" t="n"/>
      <c r="I68" s="11" t="n"/>
      <c r="J68" s="11" t="n"/>
      <c r="K68" s="11" t="n"/>
      <c r="L68" s="11" t="n"/>
      <c r="M68" s="50" t="n"/>
      <c r="N68" s="11" t="n"/>
      <c r="O68" s="11" t="n"/>
      <c r="P68" s="11" t="n"/>
      <c r="Q68" s="11" t="n"/>
      <c r="R68" s="50" t="n"/>
      <c r="S68" s="11" t="n"/>
      <c r="T68" s="11" t="n"/>
      <c r="U68" s="11" t="n"/>
      <c r="V68" s="11" t="n"/>
      <c r="W68" s="50" t="n"/>
      <c r="X68" s="11" t="n"/>
      <c r="Y68" s="11" t="n"/>
      <c r="Z68" s="11" t="n"/>
      <c r="AA68" s="11" t="n"/>
      <c r="AB68" s="50" t="n"/>
      <c r="AC68" s="11" t="n"/>
      <c r="AD68" s="11" t="n"/>
      <c r="AE68" s="11" t="n"/>
      <c r="AF68" s="11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hidden="1" outlineLevel="1">
      <c r="C69" s="50" t="inlineStr">
        <is>
          <t>Outras Receitas (Despesas) Operacionais, Líquidas</t>
        </is>
      </c>
      <c r="D69" s="11" t="n"/>
      <c r="E69" s="11" t="n"/>
      <c r="F69" s="11" t="n"/>
      <c r="G69" s="11" t="n"/>
      <c r="H69" s="50" t="n"/>
      <c r="I69" s="11" t="n"/>
      <c r="J69" s="11" t="n"/>
      <c r="K69" s="11" t="n"/>
      <c r="L69" s="11" t="n"/>
      <c r="M69" s="50" t="n"/>
      <c r="N69" s="11" t="n"/>
      <c r="O69" s="11" t="n"/>
      <c r="P69" s="11" t="n"/>
      <c r="Q69" s="11" t="n"/>
      <c r="R69" s="50" t="n"/>
      <c r="S69" s="11" t="n"/>
      <c r="T69" s="11" t="n"/>
      <c r="U69" s="11" t="n"/>
      <c r="V69" s="11" t="n"/>
      <c r="W69" s="50" t="n"/>
      <c r="X69" s="11" t="n"/>
      <c r="Y69" s="11" t="n"/>
      <c r="Z69" s="11" t="n"/>
      <c r="AA69" s="11" t="n"/>
      <c r="AB69" s="50" t="n"/>
      <c r="AC69" s="11" t="n"/>
      <c r="AD69" s="11" t="n"/>
      <c r="AE69" s="11" t="n"/>
      <c r="AF69" s="11" t="n"/>
      <c r="AG69" s="50" t="n"/>
      <c r="AH69" s="50" t="n"/>
      <c r="AI69" s="50" t="n"/>
      <c r="AJ69" s="50" t="n"/>
      <c r="AK69" s="50" t="n"/>
      <c r="AL69" s="50" t="n"/>
      <c r="AM69" s="50" t="n"/>
      <c r="AN69" s="50" t="n"/>
      <c r="AO69" s="50" t="n"/>
      <c r="AP69" s="50" t="n"/>
      <c r="AQ69" s="50" t="n"/>
      <c r="AR69" s="50" t="n"/>
      <c r="AS69" s="50" t="n"/>
      <c r="AT69" s="50" t="n"/>
      <c r="AU69" s="50" t="n"/>
      <c r="AV69" s="50" t="n"/>
      <c r="AW69" s="50" t="n"/>
      <c r="AX69" s="50" t="n"/>
      <c r="AY69" s="50" t="n"/>
      <c r="AZ69" s="50" t="n"/>
      <c r="BA69" s="50" t="n"/>
      <c r="BB69" s="50" t="n"/>
      <c r="BC69" s="50" t="n"/>
      <c r="BD69" s="50" t="n"/>
      <c r="BE69" s="50" t="n"/>
      <c r="BF69" s="50" t="n"/>
      <c r="BG69" s="50" t="n"/>
      <c r="BH69" s="50" t="n"/>
      <c r="BI69" s="50" t="n"/>
      <c r="BJ69" s="50" t="n"/>
      <c r="BK69" s="50" t="n"/>
      <c r="BL69" s="50" t="n"/>
      <c r="BM69" s="50" t="n"/>
      <c r="BN69" s="50" t="n"/>
      <c r="BO69" s="50" t="n"/>
      <c r="BP69" s="50" t="n"/>
      <c r="BQ69" s="50" t="n"/>
      <c r="BR69" s="50" t="n"/>
      <c r="BS69" s="50" t="n"/>
      <c r="BT69" s="50" t="n"/>
      <c r="BU69" s="50" t="n"/>
      <c r="BV69" s="50" t="n"/>
      <c r="BW69" s="50" t="n"/>
      <c r="BX69" s="50" t="n"/>
      <c r="BY69" s="50" t="n"/>
      <c r="BZ69" s="50" t="n"/>
      <c r="CA69" s="50" t="n"/>
      <c r="CB69" s="50" t="n"/>
      <c r="CC69" s="50" t="n"/>
      <c r="CD69" s="50" t="n"/>
      <c r="CE69" s="50" t="n"/>
      <c r="CF69" s="50" t="n"/>
      <c r="CG69" s="50" t="n"/>
      <c r="CH69" s="50" t="n"/>
      <c r="CI69" s="50" t="n"/>
      <c r="CJ69" s="50" t="n"/>
      <c r="CK69" s="50" t="n"/>
      <c r="CL69" s="50" t="n"/>
      <c r="CM69" s="50" t="n"/>
      <c r="CN69" s="50" t="n"/>
      <c r="CO69" s="50" t="n"/>
      <c r="CP69" s="50" t="n"/>
      <c r="CQ69" s="50" t="n"/>
      <c r="CR69" s="50" t="n"/>
      <c r="CS69" s="50" t="n"/>
      <c r="CT69" s="50" t="n"/>
      <c r="CU69" s="50" t="n"/>
      <c r="CV69" s="50" t="n"/>
      <c r="CW69" s="50" t="n"/>
      <c r="CX69" s="50" t="n"/>
      <c r="CY69" s="50" t="n"/>
    </row>
    <row r="70" hidden="1" outlineLevel="1"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  <c r="AJ70" s="50" t="n"/>
      <c r="AK70" s="50" t="n"/>
      <c r="AL70" s="50" t="n"/>
      <c r="AM70" s="50" t="n"/>
      <c r="AN70" s="50" t="n"/>
      <c r="AO70" s="50" t="n"/>
      <c r="AP70" s="50" t="n"/>
      <c r="AQ70" s="50" t="n"/>
      <c r="AR70" s="50" t="n"/>
      <c r="AS70" s="50" t="n"/>
      <c r="AT70" s="50" t="n"/>
      <c r="AU70" s="50" t="n"/>
      <c r="AV70" s="50" t="n"/>
      <c r="AW70" s="50" t="n"/>
      <c r="AX70" s="50" t="n"/>
      <c r="AY70" s="50" t="n"/>
      <c r="AZ70" s="50" t="n"/>
      <c r="BA70" s="50" t="n"/>
      <c r="BB70" s="50" t="n"/>
      <c r="BC70" s="50" t="n"/>
      <c r="BD70" s="50" t="n"/>
      <c r="BE70" s="50" t="n"/>
      <c r="BF70" s="50" t="n"/>
      <c r="BG70" s="50" t="n"/>
      <c r="BH70" s="50" t="n"/>
      <c r="BI70" s="50" t="n"/>
      <c r="BJ70" s="50" t="n"/>
      <c r="BK70" s="50" t="n"/>
      <c r="BL70" s="50" t="n"/>
      <c r="BM70" s="50" t="n"/>
      <c r="BN70" s="50" t="n"/>
      <c r="BO70" s="50" t="n"/>
      <c r="BP70" s="50" t="n"/>
      <c r="BQ70" s="50" t="n"/>
      <c r="BR70" s="50" t="n"/>
      <c r="BS70" s="50" t="n"/>
      <c r="BT70" s="50" t="n"/>
      <c r="BU70" s="50" t="n"/>
      <c r="BV70" s="50" t="n"/>
      <c r="BW70" s="50" t="n"/>
      <c r="BX70" s="50" t="n"/>
      <c r="BY70" s="50" t="n"/>
      <c r="BZ70" s="50" t="n"/>
      <c r="CA70" s="50" t="n"/>
      <c r="CB70" s="50" t="n"/>
      <c r="CC70" s="50" t="n"/>
      <c r="CD70" s="50" t="n"/>
      <c r="CE70" s="50" t="n"/>
      <c r="CF70" s="50" t="n"/>
      <c r="CG70" s="50" t="n"/>
      <c r="CH70" s="50" t="n"/>
      <c r="CI70" s="50" t="n"/>
      <c r="CJ70" s="50" t="n"/>
      <c r="CK70" s="50" t="n"/>
      <c r="CL70" s="50" t="n"/>
      <c r="CM70" s="50" t="n"/>
      <c r="CN70" s="50" t="n"/>
      <c r="CO70" s="50" t="n"/>
      <c r="CP70" s="50" t="n"/>
      <c r="CQ70" s="50" t="n"/>
      <c r="CR70" s="50" t="n"/>
      <c r="CS70" s="50" t="n"/>
      <c r="CT70" s="50" t="n"/>
      <c r="CU70" s="50" t="n"/>
      <c r="CV70" s="50" t="n"/>
      <c r="CW70" s="50" t="n"/>
      <c r="CX70" s="50" t="n"/>
      <c r="CY70" s="50" t="n"/>
    </row>
    <row r="71" hidden="1" outlineLevel="1">
      <c r="C71" s="50" t="inlineStr">
        <is>
          <t>Com Vendas (%)</t>
        </is>
      </c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  <c r="AJ71" s="50" t="n"/>
      <c r="AK71" s="50" t="n"/>
      <c r="AL71" s="50" t="n"/>
      <c r="AM71" s="50" t="n"/>
      <c r="AN71" s="50" t="n"/>
      <c r="AO71" s="50" t="n"/>
      <c r="AP71" s="50" t="n"/>
      <c r="AQ71" s="50" t="n"/>
      <c r="AR71" s="50" t="n"/>
      <c r="AS71" s="50" t="n"/>
      <c r="AT71" s="50" t="n"/>
      <c r="AU71" s="50" t="n"/>
      <c r="AV71" s="50" t="n"/>
      <c r="AW71" s="50" t="n"/>
      <c r="AX71" s="50" t="n"/>
      <c r="AY71" s="50" t="n"/>
      <c r="AZ71" s="50" t="n"/>
      <c r="BA71" s="50" t="n"/>
      <c r="BB71" s="50" t="n"/>
      <c r="BC71" s="50" t="n"/>
      <c r="BD71" s="50" t="n"/>
      <c r="BE71" s="50" t="n"/>
      <c r="BF71" s="50" t="n"/>
      <c r="BG71" s="50" t="n"/>
      <c r="BH71" s="50" t="n"/>
      <c r="BI71" s="50" t="n"/>
      <c r="BJ71" s="50" t="n"/>
      <c r="BK71" s="50" t="n"/>
      <c r="BL71" s="50" t="n"/>
      <c r="BM71" s="50" t="n"/>
      <c r="BN71" s="50" t="n"/>
      <c r="BO71" s="50" t="n"/>
      <c r="BP71" s="50" t="n"/>
      <c r="BQ71" s="50" t="n"/>
      <c r="BR71" s="50" t="n"/>
      <c r="BS71" s="50" t="n"/>
      <c r="BT71" s="50" t="n"/>
      <c r="BU71" s="50" t="n"/>
      <c r="BV71" s="50" t="n"/>
      <c r="BW71" s="50" t="n"/>
      <c r="BX71" s="50" t="n"/>
      <c r="BY71" s="50" t="n"/>
      <c r="BZ71" s="50" t="n"/>
      <c r="CA71" s="50" t="n"/>
      <c r="CB71" s="50" t="n"/>
      <c r="CC71" s="50" t="n"/>
      <c r="CD71" s="50" t="n"/>
      <c r="CE71" s="50" t="n"/>
      <c r="CF71" s="50" t="n"/>
      <c r="CG71" s="50" t="n"/>
      <c r="CH71" s="50" t="n"/>
      <c r="CI71" s="50" t="n"/>
      <c r="CJ71" s="50" t="n"/>
      <c r="CK71" s="50" t="n"/>
      <c r="CL71" s="50" t="n"/>
      <c r="CM71" s="50" t="n"/>
      <c r="CN71" s="50" t="n"/>
      <c r="CO71" s="50" t="n"/>
      <c r="CP71" s="50" t="n"/>
      <c r="CQ71" s="50" t="n"/>
      <c r="CR71" s="50" t="n"/>
      <c r="CS71" s="50" t="n"/>
      <c r="CT71" s="50" t="n"/>
      <c r="CU71" s="50" t="n"/>
      <c r="CV71" s="50" t="n"/>
      <c r="CW71" s="50" t="n"/>
      <c r="CX71" s="50" t="n"/>
      <c r="CY71" s="50" t="n"/>
    </row>
    <row r="72" hidden="1" outlineLevel="1">
      <c r="C72" s="50" t="inlineStr">
        <is>
          <t>Gerais &amp; Administrativas (%)</t>
        </is>
      </c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  <c r="AJ72" s="50" t="n"/>
      <c r="AK72" s="50" t="n"/>
      <c r="AL72" s="50" t="n"/>
      <c r="AM72" s="50" t="n"/>
      <c r="AN72" s="50" t="n"/>
      <c r="AO72" s="50" t="n"/>
      <c r="AP72" s="50" t="n"/>
      <c r="AQ72" s="50" t="n"/>
      <c r="AR72" s="50" t="n"/>
      <c r="AS72" s="50" t="n"/>
      <c r="AT72" s="50" t="n"/>
      <c r="AU72" s="50" t="n"/>
      <c r="AV72" s="50" t="n"/>
      <c r="AW72" s="50" t="n"/>
      <c r="AX72" s="50" t="n"/>
      <c r="AY72" s="50" t="n"/>
      <c r="AZ72" s="50" t="n"/>
      <c r="BA72" s="50" t="n"/>
      <c r="BB72" s="50" t="n"/>
      <c r="BC72" s="50" t="n"/>
      <c r="BD72" s="50" t="n"/>
      <c r="BE72" s="50" t="n"/>
      <c r="BF72" s="50" t="n"/>
      <c r="BG72" s="50" t="n"/>
      <c r="BH72" s="50" t="n"/>
      <c r="BI72" s="50" t="n"/>
      <c r="BJ72" s="50" t="n"/>
      <c r="BK72" s="50" t="n"/>
      <c r="BL72" s="50" t="n"/>
      <c r="BM72" s="50" t="n"/>
      <c r="BN72" s="50" t="n"/>
      <c r="BO72" s="50" t="n"/>
      <c r="BP72" s="50" t="n"/>
      <c r="BQ72" s="50" t="n"/>
      <c r="BR72" s="50" t="n"/>
      <c r="BS72" s="50" t="n"/>
      <c r="BT72" s="50" t="n"/>
      <c r="BU72" s="50" t="n"/>
      <c r="BV72" s="50" t="n"/>
      <c r="BW72" s="50" t="n"/>
      <c r="BX72" s="50" t="n"/>
      <c r="BY72" s="50" t="n"/>
      <c r="BZ72" s="50" t="n"/>
      <c r="CA72" s="50" t="n"/>
      <c r="CB72" s="50" t="n"/>
      <c r="CC72" s="50" t="n"/>
      <c r="CD72" s="50" t="n"/>
      <c r="CE72" s="50" t="n"/>
      <c r="CF72" s="50" t="n"/>
      <c r="CG72" s="50" t="n"/>
      <c r="CH72" s="50" t="n"/>
      <c r="CI72" s="50" t="n"/>
      <c r="CJ72" s="50" t="n"/>
      <c r="CK72" s="50" t="n"/>
      <c r="CL72" s="50" t="n"/>
      <c r="CM72" s="50" t="n"/>
      <c r="CN72" s="50" t="n"/>
      <c r="CO72" s="50" t="n"/>
      <c r="CP72" s="50" t="n"/>
      <c r="CQ72" s="50" t="n"/>
      <c r="CR72" s="50" t="n"/>
      <c r="CS72" s="50" t="n"/>
      <c r="CT72" s="50" t="n"/>
      <c r="CU72" s="50" t="n"/>
      <c r="CV72" s="50" t="n"/>
      <c r="CW72" s="50" t="n"/>
      <c r="CX72" s="50" t="n"/>
      <c r="CY72" s="50" t="n"/>
    </row>
    <row r="73" hidden="1" outlineLevel="1">
      <c r="C73" s="50" t="inlineStr">
        <is>
          <t>Outras Receitas (Despesas) Operacionais, Líquidas (%)</t>
        </is>
      </c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50" t="n"/>
      <c r="AI73" s="50" t="n"/>
      <c r="AJ73" s="50" t="n"/>
      <c r="AK73" s="50" t="n"/>
      <c r="AL73" s="50" t="n"/>
      <c r="AM73" s="50" t="n"/>
      <c r="AN73" s="50" t="n"/>
      <c r="AO73" s="50" t="n"/>
      <c r="AP73" s="50" t="n"/>
      <c r="AQ73" s="50" t="n"/>
      <c r="AR73" s="50" t="n"/>
      <c r="AS73" s="50" t="n"/>
      <c r="AT73" s="50" t="n"/>
      <c r="AU73" s="50" t="n"/>
      <c r="AV73" s="50" t="n"/>
      <c r="AW73" s="50" t="n"/>
      <c r="AX73" s="50" t="n"/>
      <c r="AY73" s="50" t="n"/>
      <c r="AZ73" s="50" t="n"/>
      <c r="BA73" s="50" t="n"/>
      <c r="BB73" s="50" t="n"/>
      <c r="BC73" s="50" t="n"/>
      <c r="BD73" s="50" t="n"/>
      <c r="BE73" s="50" t="n"/>
      <c r="BF73" s="50" t="n"/>
      <c r="BG73" s="50" t="n"/>
      <c r="BH73" s="50" t="n"/>
      <c r="BI73" s="50" t="n"/>
      <c r="BJ73" s="50" t="n"/>
      <c r="BK73" s="50" t="n"/>
      <c r="BL73" s="50" t="n"/>
      <c r="BM73" s="50" t="n"/>
      <c r="BN73" s="50" t="n"/>
      <c r="BO73" s="50" t="n"/>
      <c r="BP73" s="50" t="n"/>
      <c r="BQ73" s="50" t="n"/>
      <c r="BR73" s="50" t="n"/>
      <c r="BS73" s="50" t="n"/>
      <c r="BT73" s="50" t="n"/>
      <c r="BU73" s="50" t="n"/>
      <c r="BV73" s="50" t="n"/>
      <c r="BW73" s="50" t="n"/>
      <c r="BX73" s="50" t="n"/>
      <c r="BY73" s="50" t="n"/>
      <c r="BZ73" s="50" t="n"/>
      <c r="CA73" s="50" t="n"/>
      <c r="CB73" s="50" t="n"/>
      <c r="CC73" s="50" t="n"/>
      <c r="CD73" s="50" t="n"/>
      <c r="CE73" s="50" t="n"/>
      <c r="CF73" s="50" t="n"/>
      <c r="CG73" s="50" t="n"/>
      <c r="CH73" s="50" t="n"/>
      <c r="CI73" s="50" t="n"/>
      <c r="CJ73" s="50" t="n"/>
      <c r="CK73" s="50" t="n"/>
      <c r="CL73" s="50" t="n"/>
      <c r="CM73" s="50" t="n"/>
      <c r="CN73" s="50" t="n"/>
      <c r="CO73" s="50" t="n"/>
      <c r="CP73" s="50" t="n"/>
      <c r="CQ73" s="50" t="n"/>
      <c r="CR73" s="50" t="n"/>
      <c r="CS73" s="50" t="n"/>
      <c r="CT73" s="50" t="n"/>
      <c r="CU73" s="50" t="n"/>
      <c r="CV73" s="50" t="n"/>
      <c r="CW73" s="50" t="n"/>
      <c r="CX73" s="50" t="n"/>
      <c r="CY73" s="50" t="n"/>
    </row>
    <row r="74" hidden="1" outlineLevel="1"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  <c r="AH74" s="50" t="n"/>
      <c r="AI74" s="50" t="n"/>
      <c r="AJ74" s="50" t="n"/>
      <c r="AK74" s="50" t="n"/>
      <c r="AL74" s="50" t="n"/>
      <c r="AM74" s="50" t="n"/>
      <c r="AN74" s="50" t="n"/>
      <c r="AO74" s="50" t="n"/>
      <c r="AP74" s="50" t="n"/>
      <c r="AQ74" s="50" t="n"/>
      <c r="AR74" s="50" t="n"/>
      <c r="AS74" s="50" t="n"/>
      <c r="AT74" s="50" t="n"/>
      <c r="AU74" s="50" t="n"/>
      <c r="AV74" s="50" t="n"/>
      <c r="AW74" s="50" t="n"/>
      <c r="AX74" s="50" t="n"/>
      <c r="AY74" s="50" t="n"/>
      <c r="AZ74" s="50" t="n"/>
      <c r="BA74" s="50" t="n"/>
      <c r="BB74" s="50" t="n"/>
      <c r="BC74" s="50" t="n"/>
      <c r="BD74" s="50" t="n"/>
      <c r="BE74" s="50" t="n"/>
      <c r="BF74" s="50" t="n"/>
      <c r="BG74" s="50" t="n"/>
      <c r="BH74" s="50" t="n"/>
      <c r="BI74" s="50" t="n"/>
      <c r="BJ74" s="50" t="n"/>
      <c r="BK74" s="50" t="n"/>
      <c r="BL74" s="50" t="n"/>
      <c r="BM74" s="50" t="n"/>
      <c r="BN74" s="50" t="n"/>
      <c r="BO74" s="50" t="n"/>
      <c r="BP74" s="50" t="n"/>
      <c r="BQ74" s="50" t="n"/>
      <c r="BR74" s="50" t="n"/>
      <c r="BS74" s="50" t="n"/>
      <c r="BT74" s="50" t="n"/>
      <c r="BU74" s="50" t="n"/>
      <c r="BV74" s="50" t="n"/>
      <c r="BW74" s="50" t="n"/>
      <c r="BX74" s="50" t="n"/>
      <c r="BY74" s="50" t="n"/>
      <c r="BZ74" s="50" t="n"/>
      <c r="CA74" s="50" t="n"/>
      <c r="CB74" s="50" t="n"/>
      <c r="CC74" s="50" t="n"/>
      <c r="CD74" s="50" t="n"/>
      <c r="CE74" s="50" t="n"/>
      <c r="CF74" s="50" t="n"/>
      <c r="CG74" s="50" t="n"/>
      <c r="CH74" s="50" t="n"/>
      <c r="CI74" s="50" t="n"/>
      <c r="CJ74" s="50" t="n"/>
      <c r="CK74" s="50" t="n"/>
      <c r="CL74" s="50" t="n"/>
      <c r="CM74" s="50" t="n"/>
      <c r="CN74" s="50" t="n"/>
      <c r="CO74" s="50" t="n"/>
      <c r="CP74" s="50" t="n"/>
      <c r="CQ74" s="50" t="n"/>
      <c r="CR74" s="50" t="n"/>
      <c r="CS74" s="50" t="n"/>
      <c r="CT74" s="50" t="n"/>
      <c r="CU74" s="50" t="n"/>
      <c r="CV74" s="50" t="n"/>
      <c r="CW74" s="50" t="n"/>
      <c r="CX74" s="50" t="n"/>
      <c r="CY74" s="50" t="n"/>
    </row>
    <row r="75" collapsed="1" customFormat="1" s="32">
      <c r="A75" s="30" t="n"/>
      <c r="B75" s="3" t="n"/>
      <c r="C75" s="33" t="inlineStr">
        <is>
          <t>EBITDA</t>
        </is>
      </c>
      <c r="D75" s="35" t="n"/>
      <c r="E75" s="35" t="n"/>
      <c r="F75" s="35" t="n"/>
      <c r="G75" s="35" t="n"/>
      <c r="H75" s="35" t="n"/>
      <c r="I75" s="35">
        <f>SUM(I15,I60,I64)</f>
        <v>4610</v>
      </c>
      <c r="J75" s="35">
        <f>SUM(J15,J60,J64)</f>
        <v>5293</v>
      </c>
      <c r="K75" s="35">
        <f>SUM(K15,K60,K64)</f>
        <v>4184</v>
      </c>
      <c r="L75" s="35">
        <f>SUM(L15,L60,L64)</f>
        <v>-66</v>
      </c>
      <c r="M75" s="35">
        <f>SUM(I75:L75)</f>
        <v>14021</v>
      </c>
      <c r="N75" s="35">
        <f>SUM(N15,N60,N64)</f>
        <v>4597</v>
      </c>
      <c r="O75" s="35">
        <f>SUM(O15,O60,O64)</f>
        <v>5333</v>
      </c>
      <c r="P75" s="35">
        <f>SUM(P15,P60,P64)</f>
        <v>4089</v>
      </c>
      <c r="Q75" s="35">
        <f>SUM(Q15,Q60,Q64)</f>
        <v>4569</v>
      </c>
      <c r="R75" s="35">
        <f>SUM(N75:Q75)</f>
        <v>18588</v>
      </c>
      <c r="S75" s="35">
        <f>SUM(S15,S60,S64)</f>
        <v>4818</v>
      </c>
      <c r="T75" s="35">
        <f>SUM(T15,T60,T64)</f>
        <v>5726</v>
      </c>
      <c r="U75" s="35">
        <f>SUM(U15,U60,U64)</f>
        <v>4771</v>
      </c>
      <c r="V75" s="35">
        <f>SUM(V15,V60,V64)</f>
        <v>5175</v>
      </c>
      <c r="W75" s="35">
        <f>SUM(S75:V75)</f>
        <v>20490</v>
      </c>
      <c r="X75" s="35">
        <f>SUM(X15,X60,X64)</f>
        <v>5307</v>
      </c>
      <c r="Y75" s="35">
        <f>SUM(Y15,Y60,Y64)</f>
        <v>6240</v>
      </c>
      <c r="Z75" s="35">
        <f>SUM(Z15,Z60,Z64)</f>
        <v>5419</v>
      </c>
      <c r="AA75" s="35">
        <f>SUM(AA15,AA60,AA64)</f>
        <v>5719</v>
      </c>
      <c r="AB75" s="35">
        <f>SUM(X75:AA75)</f>
        <v>22685</v>
      </c>
      <c r="AC75" s="35">
        <f>SUM(AC15,AC60,AC64)</f>
        <v>5909</v>
      </c>
      <c r="AD75" s="35">
        <f>SUM(AD15,AD60,AD64)</f>
        <v>6805</v>
      </c>
      <c r="AE75" s="35">
        <f>SUM(AE15,AE60,AE64)</f>
        <v>6048</v>
      </c>
      <c r="AF75" s="35">
        <f>SUM(AF15,AF60,AF64)</f>
        <v>6842</v>
      </c>
      <c r="AG75" s="35">
        <f>SUM(AC75:AF75)</f>
        <v>25604</v>
      </c>
      <c r="AH75" s="35">
        <f>SUM(AH15,AH60,AH64)</f>
        <v>8030</v>
      </c>
      <c r="AI75" s="35">
        <f>SUM(AI15,AI60,AI64)</f>
        <v>8980</v>
      </c>
      <c r="AJ75" s="35">
        <f>SUM(AJ15,AJ60,AJ64)</f>
        <v>7435.01596444145</v>
      </c>
      <c r="AK75" s="35">
        <f>SUM(AK15,AK60,AK64)</f>
        <v>7998.89363238649</v>
      </c>
      <c r="AL75" s="35">
        <f>SUM(AH75:AK75)</f>
        <v>32443.9095968279</v>
      </c>
      <c r="AM75" s="35">
        <f>SUM(AM15,AM60,AM64)</f>
        <v>8562.77130033153</v>
      </c>
      <c r="AN75" s="35">
        <f>SUM(AN15,AN60,AN64)</f>
        <v>9556.03284616406</v>
      </c>
      <c r="AO75" s="35">
        <f>SUM(AO15,AO60,AO64)</f>
        <v>8505.46175174547</v>
      </c>
      <c r="AP75" s="35">
        <f>SUM(AP15,AP60,AP64)</f>
        <v>9150.52290027661</v>
      </c>
      <c r="AQ75" s="35">
        <f>SUM(AM75:AP75)</f>
        <v>35774.7887985177</v>
      </c>
      <c r="AR75" s="35">
        <f>SUM(AR15,AR60,AR64)</f>
        <v>9752.7701923061</v>
      </c>
      <c r="AS75" s="35">
        <f>SUM(AS15,AS60,AS64)</f>
        <v>10884.0688405585</v>
      </c>
      <c r="AT75" s="35">
        <f>SUM(AT15,AT60,AT64)</f>
        <v>9687.49613118957</v>
      </c>
      <c r="AU75" s="35">
        <f>SUM(AU15,AU60,AU64)</f>
        <v>10422.2037300444</v>
      </c>
      <c r="AV75" s="35">
        <f>SUM(AR75:AU75)</f>
        <v>40746.5388940985</v>
      </c>
      <c r="AW75" s="35">
        <f>SUM(AW15,AW60,AW64)</f>
        <v>11059.3836269761</v>
      </c>
      <c r="AX75" s="35">
        <f>SUM(AX15,AX60,AX64)</f>
        <v>12342.2463932466</v>
      </c>
      <c r="AY75" s="35">
        <f>SUM(AY15,AY60,AY64)</f>
        <v>10985.3645668994</v>
      </c>
      <c r="AZ75" s="35">
        <f>SUM(AZ15,AZ60,AZ64)</f>
        <v>11818.5035652734</v>
      </c>
      <c r="BA75" s="35">
        <f>SUM(AW75:AZ75)</f>
        <v>46205.4981523955</v>
      </c>
      <c r="BB75" s="35">
        <f>SUM(BB15,BB60,BB64)</f>
        <v>12485.7518092427</v>
      </c>
      <c r="BC75" s="35">
        <f>SUM(BC15,BC60,BC64)</f>
        <v>13934.0699655912</v>
      </c>
      <c r="BD75" s="35">
        <f>SUM(BD15,BD60,BD64)</f>
        <v>12402.1862467808</v>
      </c>
      <c r="BE75" s="35">
        <f>SUM(BE15,BE60,BE64)</f>
        <v>13342.7781556215</v>
      </c>
      <c r="BF75" s="35">
        <f>SUM(BB75:BE75)</f>
        <v>52164.7861772362</v>
      </c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5" t="n"/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  <c r="CO75" s="35" t="n"/>
      <c r="CP75" s="35" t="n"/>
      <c r="CQ75" s="35" t="n"/>
      <c r="CR75" s="35" t="n"/>
      <c r="CS75" s="35" t="n"/>
      <c r="CT75" s="35" t="n"/>
      <c r="CU75" s="35" t="n"/>
      <c r="CV75" s="35" t="n"/>
      <c r="CW75" s="35" t="n"/>
      <c r="CX75" s="35" t="n"/>
      <c r="CY75" s="35" t="n"/>
    </row>
    <row r="76" ht="13.5" customHeight="1">
      <c r="C76" s="13" t="inlineStr">
        <is>
          <t>D&amp;A</t>
        </is>
      </c>
      <c r="D76" s="46" t="n"/>
      <c r="E76" s="46" t="n"/>
      <c r="F76" s="46" t="n"/>
      <c r="G76" s="46" t="n"/>
      <c r="H76" s="12" t="n"/>
      <c r="I76" s="46">
        <f>'Inputs (2)'!D7</f>
        <v>-732</v>
      </c>
      <c r="J76" s="46">
        <f>'Inputs (2)'!E7</f>
        <v>-752</v>
      </c>
      <c r="K76" s="46">
        <f>'Inputs (2)'!F7</f>
        <v>-757</v>
      </c>
      <c r="L76" s="46">
        <f>'Inputs (2)'!G7</f>
        <v>-758</v>
      </c>
      <c r="M76" s="12">
        <f>'Inputs (2)'!H7</f>
        <v>-2999</v>
      </c>
      <c r="N76" s="46">
        <f>'Inputs (2)'!I7</f>
        <v>-775</v>
      </c>
      <c r="O76" s="46">
        <f>'Inputs (2)'!J7</f>
        <v>-831</v>
      </c>
      <c r="P76" s="46">
        <f>'Inputs (2)'!K7</f>
        <v>-1466</v>
      </c>
      <c r="Q76" s="46">
        <f>'Inputs (2)'!L7</f>
        <v>-1498</v>
      </c>
      <c r="R76" s="12">
        <f>'Inputs (2)'!M7</f>
        <v>-4570</v>
      </c>
      <c r="S76" s="46">
        <f>'Inputs (2)'!N7</f>
        <v>-1558</v>
      </c>
      <c r="T76" s="46">
        <f>'Inputs (2)'!O7</f>
        <v>-1586</v>
      </c>
      <c r="U76" s="46">
        <f>'Inputs (2)'!P7</f>
        <v>-1475</v>
      </c>
      <c r="V76" s="46">
        <f>'Inputs (2)'!Q7</f>
        <v>-1553</v>
      </c>
      <c r="W76" s="12">
        <f>'Inputs (2)'!R7</f>
        <v>-6172</v>
      </c>
      <c r="X76" s="46">
        <f>'Inputs (2)'!S7</f>
        <v>-1557</v>
      </c>
      <c r="Y76" s="46">
        <f>'Inputs (2)'!T7</f>
        <v>-1554</v>
      </c>
      <c r="Z76" s="46">
        <f>'Inputs (2)'!U7</f>
        <v>-1428</v>
      </c>
      <c r="AA76" s="46">
        <f>'Inputs (2)'!V7</f>
        <v>-1499</v>
      </c>
      <c r="AB76" s="12">
        <f>'Inputs (2)'!W7</f>
        <v>-6038</v>
      </c>
      <c r="AC76" s="46">
        <f>'Inputs (2)'!X7</f>
        <v>-1551</v>
      </c>
      <c r="AD76" s="46">
        <f>'Inputs (2)'!Y7</f>
        <v>-1696</v>
      </c>
      <c r="AE76" s="46">
        <f>'Inputs (2)'!Z7</f>
        <v>-1771</v>
      </c>
      <c r="AF76" s="46">
        <f>'Inputs (2)'!AA7</f>
        <v>-2111</v>
      </c>
      <c r="AG76" s="12">
        <f>'Inputs (2)'!AB7</f>
        <v>-7129</v>
      </c>
      <c r="AH76" s="12">
        <f>'Inputs (2)'!AC7</f>
        <v>-2566</v>
      </c>
      <c r="AI76" s="12">
        <f>'Inputs (2)'!AD7</f>
        <v>-2847</v>
      </c>
      <c r="AJ76" s="12">
        <f>-AJ77*AJ15</f>
        <v>-2174.789997427</v>
      </c>
      <c r="AK76" s="12">
        <f>-AK77*AK15</f>
        <v>-2339.72784260236</v>
      </c>
      <c r="AL76" s="12">
        <f>SUM(AH76:AK76)</f>
        <v>-9927.51784002936</v>
      </c>
      <c r="AM76" s="12">
        <f>-AM77*AM15</f>
        <v>-2504.66568777771</v>
      </c>
      <c r="AN76" s="12">
        <f>-AN77*AN15</f>
        <v>-2795.20107936752</v>
      </c>
      <c r="AO76" s="12">
        <f>-AO77*AO15</f>
        <v>-2487.90227615653</v>
      </c>
      <c r="AP76" s="12">
        <f>-AP77*AP15</f>
        <v>-2676.58681163885</v>
      </c>
      <c r="AQ76" s="12">
        <f>SUM(AM76:AP76)</f>
        <v>-10464.3558549406</v>
      </c>
      <c r="AR76" s="12">
        <f>-AR77*AR15</f>
        <v>-2852.74801868229</v>
      </c>
      <c r="AS76" s="12">
        <f>-AS77*AS15</f>
        <v>-3183.66015069232</v>
      </c>
      <c r="AT76" s="12">
        <f>-AT77*AT15</f>
        <v>-2833.65493591198</v>
      </c>
      <c r="AU76" s="12">
        <f>-AU77*AU15</f>
        <v>-3048.56163478993</v>
      </c>
      <c r="AV76" s="12">
        <f>SUM(AR76:AU76)</f>
        <v>-11918.6247400765</v>
      </c>
      <c r="AW76" s="12">
        <f>-AW77*AW15</f>
        <v>-3234.94085348106</v>
      </c>
      <c r="AX76" s="12">
        <f>-AX77*AX15</f>
        <v>-3610.18646499015</v>
      </c>
      <c r="AY76" s="12">
        <f>-AY77*AY15</f>
        <v>-3213.28980226025</v>
      </c>
      <c r="AZ76" s="12">
        <f>-AZ77*AZ15</f>
        <v>-3456.98831868518</v>
      </c>
      <c r="BA76" s="12">
        <f>SUM(AW76:AZ76)</f>
        <v>-13515.4054394166</v>
      </c>
      <c r="BB76" s="12">
        <f>-BB77*BB15</f>
        <v>-3652.1627223079</v>
      </c>
      <c r="BC76" s="12">
        <f>-BC77*BC15</f>
        <v>-4075.80509975304</v>
      </c>
      <c r="BD76" s="12">
        <f>-BD77*BD15</f>
        <v>-3627.71925772883</v>
      </c>
      <c r="BE76" s="12">
        <f>-BE77*BE15</f>
        <v>-3902.84844168629</v>
      </c>
      <c r="BF76" s="12">
        <f>SUM(BB76:BE76)</f>
        <v>-15258.5355214761</v>
      </c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 customFormat="1" s="56">
      <c r="A77" s="53" t="n"/>
      <c r="B77" s="53" t="n"/>
      <c r="C77" s="54" t="inlineStr">
        <is>
          <t>% of Revenue</t>
        </is>
      </c>
      <c r="D77" s="53" t="n"/>
      <c r="E77" s="53" t="n"/>
      <c r="F77" s="53" t="n"/>
      <c r="G77" s="53" t="n"/>
      <c r="H77" s="53" t="n"/>
      <c r="I77" s="53">
        <f>IFERROR(-I76/I15,"")</f>
        <v>0.072583044124938</v>
      </c>
      <c r="J77" s="53">
        <f>IFERROR(-J76/J15,"")</f>
        <v>0.0669813841631781</v>
      </c>
      <c r="K77" s="53">
        <f>IFERROR(-K76/K15,"")</f>
        <v>0.0778166118421053</v>
      </c>
      <c r="L77" s="53">
        <f>IFERROR(-L76/L15,"")</f>
        <v>0.0731660231660232</v>
      </c>
      <c r="M77" s="53" t="n"/>
      <c r="N77" s="53">
        <f>IFERROR(-N76/N15,"")</f>
        <v>0.0737182535907924</v>
      </c>
      <c r="O77" s="53">
        <f>IFERROR(-O76/O15,"")</f>
        <v>0.0701858108108108</v>
      </c>
      <c r="P77" s="53">
        <f>IFERROR(-P76/P15,"")</f>
        <v>0.128090869375273</v>
      </c>
      <c r="Q77" s="53">
        <f>IFERROR(-Q76/Q15,"")</f>
        <v>0.1220366598778</v>
      </c>
      <c r="R77" s="53" t="n"/>
      <c r="S77" s="53">
        <f>IFERROR(-S76/S15,"")</f>
        <v>0.12566542990805</v>
      </c>
      <c r="T77" s="53">
        <f>IFERROR(-T76/T15,"")</f>
        <v>0.114628505348367</v>
      </c>
      <c r="U77" s="53">
        <f>IFERROR(-U76/U15,"")</f>
        <v>0.118445354533044</v>
      </c>
      <c r="V77" s="53">
        <f>IFERROR(-V76/V15,"")</f>
        <v>0.12000618190248</v>
      </c>
      <c r="W77" s="53" t="n"/>
      <c r="X77" s="53">
        <f>IFERROR(-X76/X15,"")</f>
        <v>0.117243975903614</v>
      </c>
      <c r="Y77" s="53">
        <f>IFERROR(-Y76/Y15,"")</f>
        <v>0.108770210681039</v>
      </c>
      <c r="Z77" s="53">
        <f>IFERROR(-Z76/Z15,"")</f>
        <v>0.10731194108364</v>
      </c>
      <c r="AA77" s="53">
        <f>IFERROR(-AA76/AA15,"")</f>
        <v>0.106622092609716</v>
      </c>
      <c r="AB77" s="53" t="n"/>
      <c r="AC77" s="53">
        <f>IFERROR(-AC76/AC15,"")</f>
        <v>0.109766454352442</v>
      </c>
      <c r="AD77" s="53">
        <f>IFERROR(-AD76/AD15,"")</f>
        <v>0.106646544677105</v>
      </c>
      <c r="AE77" s="53">
        <f>IFERROR(-AE76/AE15,"")</f>
        <v>0.118652016615302</v>
      </c>
      <c r="AF77" s="55">
        <f>IFERROR(-AF76/AF15,"")</f>
        <v>0.131460954041599</v>
      </c>
      <c r="AG77" s="53" t="n"/>
      <c r="AH77" s="55">
        <f>IFERROR(-AH76/AH15,"")</f>
        <v>0.149272833042467</v>
      </c>
      <c r="AI77" s="55">
        <f>IFERROR(-AI76/AI15,"")</f>
        <v>0.148404920767306</v>
      </c>
      <c r="AJ77" s="55">
        <f>Control!$B$21</f>
        <v>0.12736728724937</v>
      </c>
      <c r="AK77" s="55">
        <f>Control!$B$21</f>
        <v>0.12736728724937</v>
      </c>
      <c r="AL77" s="53" t="n"/>
      <c r="AM77" s="55">
        <f>Control!$C$21</f>
        <v>0.12736728724937</v>
      </c>
      <c r="AN77" s="55">
        <f>Control!$C$21</f>
        <v>0.12736728724937</v>
      </c>
      <c r="AO77" s="55">
        <f>Control!$C$21</f>
        <v>0.12736728724937</v>
      </c>
      <c r="AP77" s="55">
        <f>Control!$C$21</f>
        <v>0.12736728724937</v>
      </c>
      <c r="AQ77" s="53" t="n"/>
      <c r="AR77" s="55">
        <f>Control!$D$21</f>
        <v>0.12736728724937</v>
      </c>
      <c r="AS77" s="55">
        <f>Control!$D$21</f>
        <v>0.12736728724937</v>
      </c>
      <c r="AT77" s="55">
        <f>Control!$D$21</f>
        <v>0.12736728724937</v>
      </c>
      <c r="AU77" s="55">
        <f>Control!$D$21</f>
        <v>0.12736728724937</v>
      </c>
      <c r="AV77" s="53" t="n"/>
      <c r="AW77" s="55">
        <f>Control!$E$21</f>
        <v>0.12736728724937</v>
      </c>
      <c r="AX77" s="55">
        <f>Control!$E$21</f>
        <v>0.12736728724937</v>
      </c>
      <c r="AY77" s="55">
        <f>Control!$E$21</f>
        <v>0.12736728724937</v>
      </c>
      <c r="AZ77" s="55">
        <f>Control!$E$21</f>
        <v>0.12736728724937</v>
      </c>
      <c r="BA77" s="53" t="n"/>
      <c r="BB77" s="55">
        <f>Control!$F$21</f>
        <v>0.12736728724937</v>
      </c>
      <c r="BC77" s="55">
        <f>Control!$F$21</f>
        <v>0.12736728724937</v>
      </c>
      <c r="BD77" s="55">
        <f>Control!$F$21</f>
        <v>0.12736728724937</v>
      </c>
      <c r="BE77" s="55">
        <f>Control!$F$21</f>
        <v>0.12736728724937</v>
      </c>
      <c r="BF77" s="53" t="n"/>
      <c r="BG77" s="55" t="n"/>
      <c r="BH77" s="55" t="n"/>
      <c r="BI77" s="55" t="n"/>
      <c r="BJ77" s="55" t="n"/>
      <c r="BK77" s="53" t="n"/>
      <c r="BL77" s="55" t="n"/>
      <c r="BM77" s="55" t="n"/>
      <c r="BN77" s="55" t="n"/>
      <c r="BO77" s="55" t="n"/>
      <c r="BP77" s="53" t="n"/>
      <c r="BQ77" s="55" t="n"/>
      <c r="BR77" s="55" t="n"/>
      <c r="BS77" s="55" t="n"/>
      <c r="BT77" s="55" t="n"/>
      <c r="BU77" s="53" t="n"/>
      <c r="BV77" s="55" t="n"/>
      <c r="BW77" s="55" t="n"/>
      <c r="BX77" s="55" t="n"/>
      <c r="BY77" s="55" t="n"/>
      <c r="BZ77" s="53" t="n"/>
      <c r="CA77" s="55" t="n"/>
      <c r="CB77" s="55" t="n"/>
      <c r="CC77" s="55" t="n"/>
      <c r="CD77" s="55" t="n"/>
      <c r="CE77" s="53" t="n"/>
      <c r="CF77" s="55" t="n"/>
      <c r="CG77" s="55" t="n"/>
      <c r="CH77" s="55" t="n"/>
      <c r="CI77" s="55" t="n"/>
      <c r="CJ77" s="53" t="n"/>
      <c r="CK77" s="55" t="n"/>
      <c r="CL77" s="55" t="n"/>
      <c r="CM77" s="55" t="n"/>
      <c r="CN77" s="55" t="n"/>
      <c r="CO77" s="53" t="n"/>
      <c r="CP77" s="55" t="n"/>
      <c r="CQ77" s="55" t="n"/>
      <c r="CR77" s="55" t="n"/>
      <c r="CS77" s="55" t="n"/>
      <c r="CT77" s="53" t="n"/>
      <c r="CU77" s="55" t="n"/>
      <c r="CV77" s="55" t="n"/>
      <c r="CW77" s="55" t="n"/>
      <c r="CX77" s="55" t="n"/>
      <c r="CY77" s="53" t="n"/>
    </row>
    <row r="78" hidden="1" outlineLevel="1">
      <c r="C78" s="50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collapsed="1" customFormat="1" s="32">
      <c r="A79" s="30" t="n"/>
      <c r="B79" s="3" t="n"/>
      <c r="C79" s="33" t="inlineStr">
        <is>
          <t>Operating Profit - EBIT</t>
        </is>
      </c>
      <c r="D79" s="35" t="n"/>
      <c r="E79" s="35" t="n"/>
      <c r="F79" s="35" t="n"/>
      <c r="G79" s="35" t="n"/>
      <c r="H79" s="35" t="n"/>
      <c r="I79" s="35">
        <f>SUM(I75,I76)</f>
        <v>3878</v>
      </c>
      <c r="J79" s="35">
        <f>SUM(J75,J76)</f>
        <v>4541</v>
      </c>
      <c r="K79" s="35">
        <f>SUM(K75,K76)</f>
        <v>3427</v>
      </c>
      <c r="L79" s="35">
        <f>SUM(L75,L76)</f>
        <v>-824</v>
      </c>
      <c r="M79" s="35">
        <f>SUM(I79:L79)</f>
        <v>11022</v>
      </c>
      <c r="N79" s="35">
        <f>SUM(N75,N76)</f>
        <v>3822</v>
      </c>
      <c r="O79" s="35">
        <f>SUM(O75,O76)</f>
        <v>4502</v>
      </c>
      <c r="P79" s="35">
        <f>SUM(P75,P76)</f>
        <v>2623</v>
      </c>
      <c r="Q79" s="35">
        <f>SUM(Q75,Q76)</f>
        <v>3071</v>
      </c>
      <c r="R79" s="35">
        <f>SUM(N79:Q79)</f>
        <v>14018</v>
      </c>
      <c r="S79" s="35">
        <f>SUM(S75,S76)</f>
        <v>3260</v>
      </c>
      <c r="T79" s="35">
        <f>SUM(T75,T76)</f>
        <v>4140</v>
      </c>
      <c r="U79" s="35">
        <f>SUM(U75,U76)</f>
        <v>3296</v>
      </c>
      <c r="V79" s="35">
        <f>SUM(V75,V76)</f>
        <v>3622</v>
      </c>
      <c r="W79" s="35">
        <f>SUM(S79:V79)</f>
        <v>14318</v>
      </c>
      <c r="X79" s="35">
        <f>SUM(X75,X76)</f>
        <v>3750</v>
      </c>
      <c r="Y79" s="35">
        <f>SUM(Y75,Y76)</f>
        <v>4686</v>
      </c>
      <c r="Z79" s="35">
        <f>SUM(Z75,Z76)</f>
        <v>3991</v>
      </c>
      <c r="AA79" s="35">
        <f>SUM(AA75,AA76)</f>
        <v>4220</v>
      </c>
      <c r="AB79" s="35">
        <f>SUM(X79:AA79)</f>
        <v>16647</v>
      </c>
      <c r="AC79" s="35">
        <f>SUM(AC75,AC76)</f>
        <v>4358</v>
      </c>
      <c r="AD79" s="35">
        <f>SUM(AD75,AD76)</f>
        <v>5109</v>
      </c>
      <c r="AE79" s="35">
        <f>SUM(AE75,AE76)</f>
        <v>4277</v>
      </c>
      <c r="AF79" s="35">
        <f>SUM(AF75,AF76)</f>
        <v>4731</v>
      </c>
      <c r="AG79" s="35">
        <f>SUM(AC79:AF79)</f>
        <v>18475</v>
      </c>
      <c r="AH79" s="35">
        <f>SUM(AH75,AH76)</f>
        <v>5464</v>
      </c>
      <c r="AI79" s="35">
        <f>SUM(AI75,AI76)</f>
        <v>6133</v>
      </c>
      <c r="AJ79" s="35">
        <f>SUM(AJ75,AJ76)</f>
        <v>5260.22596701445</v>
      </c>
      <c r="AK79" s="35">
        <f>SUM(AK75,AK76)</f>
        <v>5659.16578978413</v>
      </c>
      <c r="AL79" s="35">
        <f>SUM(AL75,AL76)</f>
        <v>22516.3917567986</v>
      </c>
      <c r="AM79" s="35">
        <f>SUM(AM75,AM76)</f>
        <v>6058.10561255382</v>
      </c>
      <c r="AN79" s="35">
        <f>SUM(AN75,AN76)</f>
        <v>6760.83176679654</v>
      </c>
      <c r="AO79" s="35">
        <f>SUM(AO75,AO76)</f>
        <v>6017.55947558894</v>
      </c>
      <c r="AP79" s="35">
        <f>SUM(AP75,AP76)</f>
        <v>6473.93608863776</v>
      </c>
      <c r="AQ79" s="35">
        <f>SUM(AQ75,AQ76)</f>
        <v>25310.4329435771</v>
      </c>
      <c r="AR79" s="35">
        <f>SUM(AR75,AR76)</f>
        <v>6900.02217362381</v>
      </c>
      <c r="AS79" s="35">
        <f>SUM(AS75,AS76)</f>
        <v>7700.40868986616</v>
      </c>
      <c r="AT79" s="35">
        <f>SUM(AT75,AT76)</f>
        <v>6853.84119527759</v>
      </c>
      <c r="AU79" s="35">
        <f>SUM(AU75,AU76)</f>
        <v>7373.64209525443</v>
      </c>
      <c r="AV79" s="35">
        <f>SUM(AV75,AV76)</f>
        <v>28827.914154022</v>
      </c>
      <c r="AW79" s="35">
        <f>SUM(AW75,AW76)</f>
        <v>7824.44277349503</v>
      </c>
      <c r="AX79" s="35">
        <f>SUM(AX75,AX76)</f>
        <v>8732.05992825646</v>
      </c>
      <c r="AY79" s="35">
        <f>SUM(AY75,AY76)</f>
        <v>7772.07476463916</v>
      </c>
      <c r="AZ79" s="35">
        <f>SUM(AZ75,AZ76)</f>
        <v>8361.51524658821</v>
      </c>
      <c r="BA79" s="35">
        <f>SUM(BA75,BA76)</f>
        <v>32690.0927129789</v>
      </c>
      <c r="BB79" s="35">
        <f>SUM(BB75,BB76)</f>
        <v>8833.58908693484</v>
      </c>
      <c r="BC79" s="35">
        <f>SUM(BC75,BC76)</f>
        <v>9858.26486583816</v>
      </c>
      <c r="BD79" s="35">
        <f>SUM(BD75,BD76)</f>
        <v>8774.46698905195</v>
      </c>
      <c r="BE79" s="35">
        <f>SUM(BE75,BE76)</f>
        <v>9439.92971393516</v>
      </c>
      <c r="BF79" s="35">
        <f>SUM(BF75,BF76)</f>
        <v>36906.2506557601</v>
      </c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5" t="n"/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  <c r="CO79" s="35" t="n"/>
      <c r="CP79" s="35" t="n"/>
      <c r="CQ79" s="35" t="n"/>
      <c r="CR79" s="35" t="n"/>
      <c r="CS79" s="35" t="n"/>
      <c r="CT79" s="35" t="n"/>
      <c r="CU79" s="35" t="n"/>
      <c r="CV79" s="35" t="n"/>
      <c r="CW79" s="35" t="n"/>
      <c r="CX79" s="35" t="n"/>
      <c r="CY79" s="35" t="n"/>
    </row>
    <row r="80">
      <c r="C80" s="14" t="inlineStr">
        <is>
          <t>Interest Expense</t>
        </is>
      </c>
      <c r="D80" s="46" t="n"/>
      <c r="E80" s="46" t="n"/>
      <c r="F80" s="46" t="n"/>
      <c r="G80" s="46" t="n"/>
      <c r="H80" s="12" t="n"/>
      <c r="I80" s="46">
        <f>'Inputs (2)'!D8</f>
        <v>-585</v>
      </c>
      <c r="J80" s="46">
        <f>'Inputs (2)'!E8</f>
        <v>-697</v>
      </c>
      <c r="K80" s="46">
        <f>'Inputs (2)'!F8</f>
        <v>-705</v>
      </c>
      <c r="L80" s="46">
        <f>'Inputs (2)'!G8</f>
        <v>-679</v>
      </c>
      <c r="M80" s="12">
        <f>'Inputs (2)'!H8</f>
        <v>-2666</v>
      </c>
      <c r="N80" s="46">
        <f>'Inputs (2)'!I8</f>
        <v>-667</v>
      </c>
      <c r="O80" s="46">
        <f>'Inputs (2)'!J8</f>
        <v>-704</v>
      </c>
      <c r="P80" s="46">
        <f>'Inputs (2)'!K8</f>
        <v>-787</v>
      </c>
      <c r="Q80" s="46">
        <f>'Inputs (2)'!L8</f>
        <v>-856</v>
      </c>
      <c r="R80" s="12">
        <f>'Inputs (2)'!M8</f>
        <v>-3014</v>
      </c>
      <c r="S80" s="46">
        <f>'Inputs (2)'!N8</f>
        <v>-908</v>
      </c>
      <c r="T80" s="46">
        <f>'Inputs (2)'!O8</f>
        <v>-955</v>
      </c>
      <c r="U80" s="46">
        <f>'Inputs (2)'!P8</f>
        <v>-872</v>
      </c>
      <c r="V80" s="46">
        <f>'Inputs (2)'!Q8</f>
        <v>-888</v>
      </c>
      <c r="W80" s="12">
        <f>'Inputs (2)'!R8</f>
        <v>-3623</v>
      </c>
      <c r="X80" s="46">
        <f>'Inputs (2)'!S8</f>
        <v>-876</v>
      </c>
      <c r="Y80" s="46">
        <f>'Inputs (2)'!T8</f>
        <v>-878</v>
      </c>
      <c r="Z80" s="46">
        <f>'Inputs (2)'!U8</f>
        <v>-842</v>
      </c>
      <c r="AA80" s="46">
        <f>'Inputs (2)'!V8</f>
        <v>-866</v>
      </c>
      <c r="AB80" s="12">
        <f>'Inputs (2)'!W8</f>
        <v>-3462</v>
      </c>
      <c r="AC80" s="46">
        <f>'Inputs (2)'!X8</f>
        <v>-892</v>
      </c>
      <c r="AD80" s="46">
        <f>'Inputs (2)'!Y8</f>
        <v>-978</v>
      </c>
      <c r="AE80" s="46">
        <f>'Inputs (2)'!Z8</f>
        <v>-923</v>
      </c>
      <c r="AF80" s="46">
        <f>'Inputs (2)'!AA8</f>
        <v>-1057</v>
      </c>
      <c r="AG80" s="12">
        <f>'Inputs (2)'!AB8</f>
        <v>-3850</v>
      </c>
      <c r="AH80" s="12">
        <f>'Inputs (2)'!AC8</f>
        <v>-1180</v>
      </c>
      <c r="AI80" s="12">
        <f>'Inputs (2)'!AD8</f>
        <v>-1439</v>
      </c>
      <c r="AJ80" s="12" t="str">
        <f>IF(Control!$E$9="","",-AI98*Control!$E$9/4)</f>
        <v/>
      </c>
      <c r="AK80" s="12" t="str">
        <f>IF(Control!$E$9="","",-AJ98*Control!$E$9/4)</f>
        <v/>
      </c>
      <c r="AL80" s="12">
        <f>SUM(AH80:AK80)</f>
        <v>-2619</v>
      </c>
      <c r="AM80" s="12" t="str">
        <f>IF(Control!$E$9="","",-AL98*Control!$E$9/4)</f>
        <v/>
      </c>
      <c r="AN80" s="12" t="str">
        <f>IF(Control!$E$9="","",-AM98*Control!$E$9/4)</f>
        <v/>
      </c>
      <c r="AO80" s="12" t="str">
        <f>IF(Control!$E$9="","",-AN98*Control!$E$9/4)</f>
        <v/>
      </c>
      <c r="AP80" s="12" t="str">
        <f>IF(Control!$E$9="","",-AO98*Control!$E$9/4)</f>
        <v/>
      </c>
      <c r="AQ80" s="12">
        <f>SUM(AM80:AP80)</f>
        <v>0</v>
      </c>
      <c r="AR80" s="12" t="str">
        <f>IF(Control!$E$9="","",-AQ98*Control!$E$9/4)</f>
        <v/>
      </c>
      <c r="AS80" s="12" t="str">
        <f>IF(Control!$E$9="","",-AR98*Control!$E$9/4)</f>
        <v/>
      </c>
      <c r="AT80" s="12" t="str">
        <f>IF(Control!$E$9="","",-AS98*Control!$E$9/4)</f>
        <v/>
      </c>
      <c r="AU80" s="12" t="str">
        <f>IF(Control!$E$9="","",-AT98*Control!$E$9/4)</f>
        <v/>
      </c>
      <c r="AV80" s="12">
        <f>SUM(AR80:AU80)</f>
        <v>0</v>
      </c>
      <c r="AW80" s="12" t="str">
        <f>IF(Control!$E$9="","",-AV98*Control!$E$9/4)</f>
        <v/>
      </c>
      <c r="AX80" s="12" t="str">
        <f>IF(Control!$E$9="","",-AW98*Control!$E$9/4)</f>
        <v/>
      </c>
      <c r="AY80" s="12" t="str">
        <f>IF(Control!$E$9="","",-AX98*Control!$E$9/4)</f>
        <v/>
      </c>
      <c r="AZ80" s="12" t="str">
        <f>IF(Control!$E$9="","",-AY98*Control!$E$9/4)</f>
        <v/>
      </c>
      <c r="BA80" s="12">
        <f>SUM(AW80:AZ80)</f>
        <v>0</v>
      </c>
      <c r="BB80" s="12" t="str">
        <f>IF(Control!$E$9="","",-BA98*Control!$E$9/4)</f>
        <v/>
      </c>
      <c r="BC80" s="12" t="str">
        <f>IF(Control!$E$9="","",-BB98*Control!$E$9/4)</f>
        <v/>
      </c>
      <c r="BD80" s="12" t="str">
        <f>IF(Control!$E$9="","",-BC98*Control!$E$9/4)</f>
        <v/>
      </c>
      <c r="BE80" s="12" t="str">
        <f>IF(Control!$E$9="","",-BD98*Control!$E$9/4)</f>
        <v/>
      </c>
      <c r="BF80" s="12">
        <f>SUM(BB80:BE80)</f>
        <v>0</v>
      </c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0" t="inlineStr">
        <is>
          <t>% of Debt</t>
        </is>
      </c>
      <c r="D81" s="53" t="n"/>
      <c r="E81" s="53" t="n"/>
      <c r="F81" s="53" t="n"/>
      <c r="G81" s="53" t="n"/>
      <c r="H81" s="12" t="n"/>
      <c r="I81" s="53" t="str">
        <f>IFERROR(-I80/SUM(I218+I223),"")</f>
        <v/>
      </c>
      <c r="J81" s="53" t="str">
        <f>IFERROR(-J80/SUM(J218+J223),"")</f>
        <v/>
      </c>
      <c r="K81" s="53" t="str">
        <f>IFERROR(-K80/SUM(K218+K223),"")</f>
        <v/>
      </c>
      <c r="L81" s="53" t="str">
        <f>IFERROR(-L80/SUM(L218+L223),"")</f>
        <v/>
      </c>
      <c r="M81" s="12" t="n"/>
      <c r="N81" s="53" t="str">
        <f>IFERROR(-N80/SUM(N218+N223),"")</f>
        <v/>
      </c>
      <c r="O81" s="53" t="str">
        <f>IFERROR(-O80/SUM(O218+O223),"")</f>
        <v/>
      </c>
      <c r="P81" s="53" t="str">
        <f>IFERROR(-P80/SUM(P218+P223),"")</f>
        <v/>
      </c>
      <c r="Q81" s="53" t="str">
        <f>IFERROR(-Q80/SUM(Q218+Q223),"")</f>
        <v/>
      </c>
      <c r="R81" s="12" t="n"/>
      <c r="S81" s="53" t="str">
        <f>IFERROR(-S80/SUM(S218+S223),"")</f>
        <v/>
      </c>
      <c r="T81" s="53" t="str">
        <f>IFERROR(-T80/SUM(T218+T223),"")</f>
        <v/>
      </c>
      <c r="U81" s="53" t="str">
        <f>IFERROR(-U80/SUM(U218+U223),"")</f>
        <v/>
      </c>
      <c r="V81" s="53" t="str">
        <f>IFERROR(-V80/SUM(V218+V223),"")</f>
        <v/>
      </c>
      <c r="W81" s="12" t="n"/>
      <c r="X81" s="53" t="str">
        <f>IFERROR(-X80/SUM(X218+X223),"")</f>
        <v/>
      </c>
      <c r="Y81" s="53" t="str">
        <f>IFERROR(-Y80/SUM(Y218+Y223),"")</f>
        <v/>
      </c>
      <c r="Z81" s="53" t="str">
        <f>IFERROR(-Z80/SUM(Z218+Z223),"")</f>
        <v/>
      </c>
      <c r="AA81" s="53" t="str">
        <f>IFERROR(-AA80/SUM(AA218+AA223),"")</f>
        <v/>
      </c>
      <c r="AB81" s="12" t="n"/>
      <c r="AC81" s="53" t="str">
        <f>IFERROR(-AC80/SUM(AC218+AC223),"")</f>
        <v/>
      </c>
      <c r="AD81" s="53" t="str">
        <f>IFERROR(-AD80/SUM(AD218+AD223),"")</f>
        <v/>
      </c>
      <c r="AE81" s="53" t="str">
        <f>IFERROR(-AE80/SUM(AE218+AE223),"")</f>
        <v/>
      </c>
      <c r="AF81" s="55" t="str">
        <f>IFERROR(-AF80/SUM(AF218+AF223),"")</f>
        <v/>
      </c>
      <c r="AG81" s="12" t="n"/>
      <c r="AH81" s="11" t="str">
        <f>IFERROR(-AH80/SUM(AH218+AH223),"")</f>
        <v/>
      </c>
      <c r="AI81" s="11" t="str">
        <f>IFERROR(-AI80/SUM(AI218+AI223),"")</f>
        <v/>
      </c>
      <c r="AJ81" s="11" t="str">
        <f>IFERROR(Control!$E$9,0)</f>
        <v/>
      </c>
      <c r="AK81" s="11" t="str">
        <f>IFERROR(Control!$E$9,0)</f>
        <v/>
      </c>
      <c r="AL81" s="12" t="n"/>
      <c r="AM81" s="11" t="str">
        <f>IFERROR(Control!$E$9,0)</f>
        <v/>
      </c>
      <c r="AN81" s="11" t="str">
        <f>IFERROR(Control!$E$9,0)</f>
        <v/>
      </c>
      <c r="AO81" s="11" t="str">
        <f>IFERROR(Control!$E$9,0)</f>
        <v/>
      </c>
      <c r="AP81" s="11" t="str">
        <f>IFERROR(Control!$E$9,0)</f>
        <v/>
      </c>
      <c r="AQ81" s="12" t="n"/>
      <c r="AR81" s="11" t="str">
        <f>IFERROR(Control!$E$9,0)</f>
        <v/>
      </c>
      <c r="AS81" s="11" t="str">
        <f>IFERROR(Control!$E$9,0)</f>
        <v/>
      </c>
      <c r="AT81" s="11" t="str">
        <f>IFERROR(Control!$E$9,0)</f>
        <v/>
      </c>
      <c r="AU81" s="11" t="str">
        <f>IFERROR(Control!$E$9,0)</f>
        <v/>
      </c>
      <c r="AV81" s="12" t="n"/>
      <c r="AW81" s="11" t="str">
        <f>IFERROR(Control!$E$9,0)</f>
        <v/>
      </c>
      <c r="AX81" s="11" t="str">
        <f>IFERROR(Control!$E$9,0)</f>
        <v/>
      </c>
      <c r="AY81" s="11" t="str">
        <f>IFERROR(Control!$E$9,0)</f>
        <v/>
      </c>
      <c r="AZ81" s="11" t="str">
        <f>IFERROR(Control!$E$9,0)</f>
        <v/>
      </c>
      <c r="BA81" s="12" t="n"/>
      <c r="BB81" s="11" t="str">
        <f>IFERROR(Control!$E$9,0)</f>
        <v/>
      </c>
      <c r="BC81" s="11" t="str">
        <f>IFERROR(Control!$E$9,0)</f>
        <v/>
      </c>
      <c r="BD81" s="11" t="str">
        <f>IFERROR(Control!$E$9,0)</f>
        <v/>
      </c>
      <c r="BE81" s="11" t="str">
        <f>IFERROR(Control!$E$9,0)</f>
        <v/>
      </c>
      <c r="BF81" s="12" t="n"/>
      <c r="BG81" s="11" t="n"/>
      <c r="BH81" s="11" t="n"/>
      <c r="BI81" s="11" t="n"/>
      <c r="BJ81" s="11" t="n"/>
      <c r="BK81" s="12" t="n"/>
      <c r="BL81" s="11" t="n"/>
      <c r="BM81" s="11" t="n"/>
      <c r="BN81" s="11" t="n"/>
      <c r="BO81" s="11" t="n"/>
      <c r="BP81" s="12" t="n"/>
      <c r="BQ81" s="11" t="n"/>
      <c r="BR81" s="11" t="n"/>
      <c r="BS81" s="11" t="n"/>
      <c r="BT81" s="11" t="n"/>
      <c r="BU81" s="12" t="n"/>
      <c r="BV81" s="11" t="n"/>
      <c r="BW81" s="11" t="n"/>
      <c r="BX81" s="11" t="n"/>
      <c r="BY81" s="11" t="n"/>
      <c r="BZ81" s="12" t="n"/>
      <c r="CA81" s="11" t="n"/>
      <c r="CB81" s="11" t="n"/>
      <c r="CC81" s="11" t="n"/>
      <c r="CD81" s="11" t="n"/>
      <c r="CE81" s="12" t="n"/>
      <c r="CF81" s="11" t="n"/>
      <c r="CG81" s="11" t="n"/>
      <c r="CH81" s="11" t="n"/>
      <c r="CI81" s="11" t="n"/>
      <c r="CJ81" s="12" t="n"/>
      <c r="CK81" s="11" t="n"/>
      <c r="CL81" s="11" t="n"/>
      <c r="CM81" s="11" t="n"/>
      <c r="CN81" s="11" t="n"/>
      <c r="CO81" s="12" t="n"/>
      <c r="CP81" s="11" t="n"/>
      <c r="CQ81" s="11" t="n"/>
      <c r="CR81" s="11" t="n"/>
      <c r="CS81" s="11" t="n"/>
      <c r="CT81" s="12" t="n"/>
      <c r="CU81" s="11" t="n"/>
      <c r="CV81" s="11" t="n"/>
      <c r="CW81" s="11" t="n"/>
      <c r="CX81" s="11" t="n"/>
      <c r="CY81" s="12" t="n"/>
    </row>
    <row r="82" hidden="1" outlineLevel="1">
      <c r="C82" s="50" t="inlineStr">
        <is>
          <t>%CDI</t>
        </is>
      </c>
      <c r="D82" s="11" t="n"/>
      <c r="E82" s="11" t="n"/>
      <c r="F82" s="11" t="n"/>
      <c r="G82" s="11" t="n"/>
      <c r="H82" s="12" t="n"/>
      <c r="I82" s="11" t="n"/>
      <c r="J82" s="11" t="n"/>
      <c r="K82" s="11" t="n"/>
      <c r="L82" s="11" t="n"/>
      <c r="M82" s="12" t="n"/>
      <c r="N82" s="11" t="n"/>
      <c r="O82" s="11" t="n"/>
      <c r="P82" s="11" t="n"/>
      <c r="Q82" s="11" t="n"/>
      <c r="R82" s="12" t="n"/>
      <c r="S82" s="11" t="n"/>
      <c r="T82" s="11" t="n"/>
      <c r="U82" s="11" t="n"/>
      <c r="V82" s="11" t="n"/>
      <c r="W82" s="12" t="n"/>
      <c r="X82" s="11" t="n"/>
      <c r="Y82" s="11" t="n"/>
      <c r="Z82" s="11" t="n"/>
      <c r="AA82" s="11" t="n"/>
      <c r="AB82" s="12" t="n"/>
      <c r="AC82" s="11" t="n"/>
      <c r="AD82" s="11" t="n"/>
      <c r="AE82" s="11" t="n"/>
      <c r="AF82" s="11" t="n"/>
      <c r="AG82" s="12" t="n"/>
      <c r="AH82" s="11" t="n"/>
      <c r="AI82" s="11" t="n"/>
      <c r="AJ82" s="11" t="n"/>
      <c r="AK82" s="11" t="n"/>
      <c r="AL82" s="12" t="n"/>
      <c r="AM82" s="11" t="n"/>
      <c r="AN82" s="11" t="n"/>
      <c r="AO82" s="11" t="n"/>
      <c r="AP82" s="11" t="n"/>
      <c r="AQ82" s="12" t="n"/>
      <c r="AR82" s="11" t="n"/>
      <c r="AS82" s="11" t="n"/>
      <c r="AT82" s="11" t="n"/>
      <c r="AU82" s="11" t="n"/>
      <c r="AV82" s="12" t="n"/>
      <c r="AW82" s="11" t="n"/>
      <c r="AX82" s="11" t="n"/>
      <c r="AY82" s="11" t="n"/>
      <c r="AZ82" s="11" t="n"/>
      <c r="BA82" s="12" t="n"/>
      <c r="BB82" s="11" t="n"/>
      <c r="BC82" s="11" t="n"/>
      <c r="BD82" s="11" t="n"/>
      <c r="BE82" s="11" t="n"/>
      <c r="BF82" s="12" t="n"/>
      <c r="BG82" s="11" t="n"/>
      <c r="BH82" s="11" t="n"/>
      <c r="BI82" s="11" t="n"/>
      <c r="BJ82" s="11" t="n"/>
      <c r="BK82" s="12" t="n"/>
      <c r="BL82" s="11" t="n"/>
      <c r="BM82" s="11" t="n"/>
      <c r="BN82" s="11" t="n"/>
      <c r="BO82" s="11" t="n"/>
      <c r="BP82" s="12" t="n"/>
      <c r="BQ82" s="11" t="n"/>
      <c r="BR82" s="11" t="n"/>
      <c r="BS82" s="11" t="n"/>
      <c r="BT82" s="11" t="n"/>
      <c r="BU82" s="12" t="n"/>
      <c r="BV82" s="11" t="n"/>
      <c r="BW82" s="11" t="n"/>
      <c r="BX82" s="11" t="n"/>
      <c r="BY82" s="11" t="n"/>
      <c r="BZ82" s="12" t="n"/>
      <c r="CA82" s="11" t="n"/>
      <c r="CB82" s="11" t="n"/>
      <c r="CC82" s="11" t="n"/>
      <c r="CD82" s="11" t="n"/>
      <c r="CE82" s="12" t="n"/>
      <c r="CF82" s="11" t="n"/>
      <c r="CG82" s="11" t="n"/>
      <c r="CH82" s="11" t="n"/>
      <c r="CI82" s="11" t="n"/>
      <c r="CJ82" s="12" t="n"/>
      <c r="CK82" s="11" t="n"/>
      <c r="CL82" s="11" t="n"/>
      <c r="CM82" s="11" t="n"/>
      <c r="CN82" s="11" t="n"/>
      <c r="CO82" s="12" t="n"/>
      <c r="CP82" s="11" t="n"/>
      <c r="CQ82" s="11" t="n"/>
      <c r="CR82" s="11" t="n"/>
      <c r="CS82" s="11" t="n"/>
      <c r="CT82" s="12" t="n"/>
      <c r="CU82" s="11" t="n"/>
      <c r="CV82" s="11" t="n"/>
      <c r="CW82" s="11" t="n"/>
      <c r="CX82" s="11" t="n"/>
      <c r="CY82" s="12" t="n"/>
    </row>
    <row r="83" hidden="1" outlineLevel="1">
      <c r="C83" s="57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RECEITA FINANCEIRA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DESPESA FINANCEIRA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OUTROS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Cash and equivalents (inc. investment securities)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Interest on cash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Average interest rate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% CDI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Current portion of long-term debt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Short term debt (Revolving credit facility)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Long term debt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Convertible debt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Total debt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Interest expense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Average interest rate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Stake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PRE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CDI+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Spread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PRE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CDI+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Rendimentos de aplicações financeiras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inlineStr">
        <is>
          <t>RECEITAS FINANCEIRAS - Variação cambial ativa</t>
        </is>
      </c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RECEITAS FINANCEIRAS - Atualização de contas a pagar por aquisição de empresas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RECEITAS FINANCEIRAS - Resultado positivo com instrumentos derivativos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RECEITAS FINANCEIRAS - Descontos obtidos de fornecedores por antecipação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RECEITAS FINANCEIRAS - Atualização monetária sobre Exclusão ICMS da base de PIS/COFINS (nota explicativa nº 7)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RECEITAS FINANCEIRAS - Outras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Encargos sobre empréstimos, financiamentos e debêntures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Variação cambial passiva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DESPESAS FINANCEIRAS - Resultado negativo com instrumentos derivativos</t>
        </is>
      </c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DESPESAS FINANCEIRAS - Juros sobre arrendamento - IFRS16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inlineStr">
        <is>
          <t>DESPESAS FINANCEIRAS - Despesas bancárias</t>
        </is>
      </c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hidden="1" outlineLevel="1">
      <c r="C123" s="57" t="inlineStr">
        <is>
          <t>DESPESAS FINANCEIRAS - Despesas com obtenção de empréstimos e financiamentos</t>
        </is>
      </c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inlineStr">
        <is>
          <t>DESPESAS FINANCEIRAS - Atualização de contas a pagar por aquisição de empresas</t>
        </is>
      </c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7" t="inlineStr">
        <is>
          <t>DESPESAS FINANCEIRAS - Outras</t>
        </is>
      </c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7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7" t="inlineStr">
        <is>
          <t>CHECK [EX IFRS-16]</t>
        </is>
      </c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collapsed="1">
      <c r="C129" s="14" t="inlineStr">
        <is>
          <t>Nonoperating Income / (Loss)</t>
        </is>
      </c>
      <c r="D129" s="46" t="n"/>
      <c r="E129" s="46" t="n"/>
      <c r="F129" s="46" t="n"/>
      <c r="G129" s="46" t="n"/>
      <c r="H129" s="12" t="n"/>
      <c r="I129" s="46">
        <f>'Inputs (2)'!D9</f>
        <v>-17</v>
      </c>
      <c r="J129" s="46">
        <f>'Inputs (2)'!E9</f>
        <v>312</v>
      </c>
      <c r="K129" s="46">
        <f>'Inputs (2)'!F9</f>
        <v>-41</v>
      </c>
      <c r="L129" s="46">
        <f>'Inputs (2)'!G9</f>
        <v>7</v>
      </c>
      <c r="M129" s="12">
        <f>'Inputs (2)'!H9</f>
        <v>261</v>
      </c>
      <c r="N129" s="46">
        <f>'Inputs (2)'!I9</f>
        <v>-315</v>
      </c>
      <c r="O129" s="46">
        <f>'Inputs (2)'!J9</f>
        <v>-174</v>
      </c>
      <c r="P129" s="46">
        <f>'Inputs (2)'!K9</f>
        <v>-180</v>
      </c>
      <c r="Q129" s="46">
        <f>'Inputs (2)'!L9</f>
        <v>-71</v>
      </c>
      <c r="R129" s="12">
        <f>'Inputs (2)'!M9</f>
        <v>-740</v>
      </c>
      <c r="S129" s="46">
        <f>'Inputs (2)'!N9</f>
        <v>-134</v>
      </c>
      <c r="T129" s="46">
        <f>'Inputs (2)'!O9</f>
        <v>-76</v>
      </c>
      <c r="U129" s="46">
        <f>'Inputs (2)'!P9</f>
        <v>-49</v>
      </c>
      <c r="V129" s="46">
        <f>'Inputs (2)'!Q9</f>
        <v>-14</v>
      </c>
      <c r="W129" s="12">
        <f>'Inputs (2)'!R9</f>
        <v>-273</v>
      </c>
      <c r="X129" s="46">
        <f>'Inputs (2)'!S9</f>
        <v>-9</v>
      </c>
      <c r="Y129" s="46">
        <f>'Inputs (2)'!T9</f>
        <v>-26</v>
      </c>
      <c r="Z129" s="46">
        <f>'Inputs (2)'!U9</f>
        <v>20</v>
      </c>
      <c r="AA129" s="46">
        <f>'Inputs (2)'!V9</f>
        <v>36</v>
      </c>
      <c r="AB129" s="12">
        <f>'Inputs (2)'!W9</f>
        <v>21</v>
      </c>
      <c r="AC129" s="46">
        <f>'Inputs (2)'!X9</f>
        <v>-18</v>
      </c>
      <c r="AD129" s="46">
        <f>'Inputs (2)'!Y9</f>
        <v>21</v>
      </c>
      <c r="AE129" s="46">
        <f>'Inputs (2)'!Z9</f>
        <v>73</v>
      </c>
      <c r="AF129" s="46">
        <f>'Inputs (2)'!AA9</f>
        <v>2668</v>
      </c>
      <c r="AG129" s="12">
        <f>'Inputs (2)'!AB9</f>
        <v>2744</v>
      </c>
      <c r="AH129" s="12">
        <f>'Inputs (2)'!AC9</f>
        <v>132</v>
      </c>
      <c r="AI129" s="12">
        <f>'Inputs (2)'!AD9</f>
        <v>675</v>
      </c>
      <c r="AJ129" s="12">
        <f>AJ15*Control!$B$23</f>
        <v>622.574423364719</v>
      </c>
      <c r="AK129" s="12">
        <f>AK15*Control!$B$23</f>
        <v>669.790974835231</v>
      </c>
      <c r="AL129" s="12">
        <f>SUM(AH129:AK129)</f>
        <v>2099.36539819995</v>
      </c>
      <c r="AM129" s="12">
        <f>AM15*Control!$C$23</f>
        <v>717.007526305743</v>
      </c>
      <c r="AN129" s="12">
        <f>AN15*Control!$C$23</f>
        <v>800.178730927828</v>
      </c>
      <c r="AO129" s="12">
        <f>AO15*Control!$C$23</f>
        <v>712.208685343611</v>
      </c>
      <c r="AP129" s="12">
        <f>AP15*Control!$C$23</f>
        <v>766.223172266361</v>
      </c>
      <c r="AQ129" s="12">
        <f>SUM(AM129:AP129)</f>
        <v>2995.61811484354</v>
      </c>
      <c r="AR129" s="12">
        <f>AR15*Control!$D$23</f>
        <v>816.652621557583</v>
      </c>
      <c r="AS129" s="12">
        <f>AS15*Control!$D$23</f>
        <v>911.382425361295</v>
      </c>
      <c r="AT129" s="12">
        <f>AT15*Control!$D$23</f>
        <v>811.18686853773</v>
      </c>
      <c r="AU129" s="12">
        <f>AU15*Control!$D$23</f>
        <v>872.707941510041</v>
      </c>
      <c r="AV129" s="12">
        <f>SUM(AR129:AU129)</f>
        <v>3411.92985696665</v>
      </c>
      <c r="AW129" s="12">
        <f>AW15*Control!$E$23</f>
        <v>926.062488266776</v>
      </c>
      <c r="AX129" s="12">
        <f>AX15*Control!$E$23</f>
        <v>1033.48358201919</v>
      </c>
      <c r="AY129" s="12">
        <f>AY15*Control!$E$23</f>
        <v>919.864468805132</v>
      </c>
      <c r="AZ129" s="12">
        <f>AZ15*Control!$E$23</f>
        <v>989.627739519819</v>
      </c>
      <c r="BA129" s="12">
        <f>SUM(AW129:AZ129)</f>
        <v>3869.03827861092</v>
      </c>
      <c r="BB129" s="12">
        <f>BB15*Control!$F$23</f>
        <v>1045.5000729105</v>
      </c>
      <c r="BC129" s="12">
        <f>BC15*Control!$F$23</f>
        <v>1166.77564855818</v>
      </c>
      <c r="BD129" s="12">
        <f>BD15*Control!$F$23</f>
        <v>1038.50267275538</v>
      </c>
      <c r="BE129" s="12">
        <f>BE15*Control!$F$23</f>
        <v>1117.26356151052</v>
      </c>
      <c r="BF129" s="12">
        <f>SUM(BB129:BE129)</f>
        <v>4368.04195573458</v>
      </c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hidden="1" outlineLevel="1">
      <c r="C130" s="57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0" t="inlineStr">
        <is>
          <t>Resultado Não Recorrente</t>
        </is>
      </c>
      <c r="D131" s="11" t="n"/>
      <c r="E131" s="11" t="n"/>
      <c r="F131" s="11" t="n"/>
      <c r="G131" s="11" t="n"/>
      <c r="H131" s="12" t="n"/>
      <c r="I131" s="11" t="n"/>
      <c r="J131" s="11" t="n"/>
      <c r="K131" s="11" t="n"/>
      <c r="L131" s="11" t="n"/>
      <c r="M131" s="12" t="n"/>
      <c r="N131" s="11" t="n"/>
      <c r="O131" s="11" t="n"/>
      <c r="P131" s="11" t="n"/>
      <c r="Q131" s="11" t="n"/>
      <c r="R131" s="12" t="n"/>
      <c r="S131" s="11" t="n"/>
      <c r="T131" s="11" t="n"/>
      <c r="U131" s="11" t="n"/>
      <c r="V131" s="11" t="n"/>
      <c r="W131" s="12" t="n"/>
      <c r="X131" s="11" t="n"/>
      <c r="Y131" s="11" t="n"/>
      <c r="Z131" s="11" t="n"/>
      <c r="AA131" s="11" t="n"/>
      <c r="AB131" s="12" t="n"/>
      <c r="AC131" s="11" t="n"/>
      <c r="AD131" s="11" t="n"/>
      <c r="AE131" s="11" t="n"/>
      <c r="AF131" s="11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0" t="inlineStr">
        <is>
          <t>Plano de Opção de Compra de Ações</t>
        </is>
      </c>
      <c r="D132" s="11" t="n"/>
      <c r="E132" s="11" t="n"/>
      <c r="F132" s="11" t="n"/>
      <c r="G132" s="11" t="n"/>
      <c r="H132" s="12" t="n"/>
      <c r="I132" s="11" t="n"/>
      <c r="J132" s="11" t="n"/>
      <c r="K132" s="11" t="n"/>
      <c r="L132" s="11" t="n"/>
      <c r="M132" s="12" t="n"/>
      <c r="N132" s="11" t="n"/>
      <c r="O132" s="11" t="n"/>
      <c r="P132" s="11" t="n"/>
      <c r="Q132" s="11" t="n"/>
      <c r="R132" s="12" t="n"/>
      <c r="S132" s="11" t="n"/>
      <c r="T132" s="11" t="n"/>
      <c r="U132" s="11" t="n"/>
      <c r="V132" s="11" t="n"/>
      <c r="W132" s="12" t="n"/>
      <c r="X132" s="11" t="n"/>
      <c r="Y132" s="11" t="n"/>
      <c r="Z132" s="11" t="n"/>
      <c r="AA132" s="11" t="n"/>
      <c r="AB132" s="12" t="n"/>
      <c r="AC132" s="11" t="n"/>
      <c r="AD132" s="11" t="n"/>
      <c r="AE132" s="11" t="n"/>
      <c r="AF132" s="11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0" t="inlineStr">
        <is>
          <t>Baixa Imobilizado</t>
        </is>
      </c>
      <c r="D133" s="11" t="n"/>
      <c r="E133" s="11" t="n"/>
      <c r="F133" s="11" t="n"/>
      <c r="G133" s="11" t="n"/>
      <c r="H133" s="12" t="n"/>
      <c r="I133" s="11" t="n"/>
      <c r="J133" s="11" t="n"/>
      <c r="K133" s="11" t="n"/>
      <c r="L133" s="11" t="n"/>
      <c r="M133" s="12" t="n"/>
      <c r="N133" s="11" t="n"/>
      <c r="O133" s="11" t="n"/>
      <c r="P133" s="11" t="n"/>
      <c r="Q133" s="11" t="n"/>
      <c r="R133" s="12" t="n"/>
      <c r="S133" s="11" t="n"/>
      <c r="T133" s="11" t="n"/>
      <c r="U133" s="11" t="n"/>
      <c r="V133" s="11" t="n"/>
      <c r="W133" s="12" t="n"/>
      <c r="X133" s="11" t="n"/>
      <c r="Y133" s="11" t="n"/>
      <c r="Z133" s="11" t="n"/>
      <c r="AA133" s="11" t="n"/>
      <c r="AB133" s="12" t="n"/>
      <c r="AC133" s="11" t="n"/>
      <c r="AD133" s="11" t="n"/>
      <c r="AE133" s="11" t="n"/>
      <c r="AF133" s="11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hidden="1" outlineLevel="1">
      <c r="C135" s="57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collapsed="1" customFormat="1" s="32">
      <c r="A136" s="30" t="n"/>
      <c r="B136" s="3" t="n"/>
      <c r="C136" s="33" t="inlineStr">
        <is>
          <t>Pretax Income - EBT</t>
        </is>
      </c>
      <c r="D136" s="35" t="n"/>
      <c r="E136" s="35" t="n"/>
      <c r="F136" s="35" t="n"/>
      <c r="G136" s="35" t="n"/>
      <c r="H136" s="35" t="n"/>
      <c r="I136" s="35">
        <f>SUM(I79,I80,I129)</f>
        <v>3276</v>
      </c>
      <c r="J136" s="35">
        <f>SUM(J79,J80,J129)</f>
        <v>4156</v>
      </c>
      <c r="K136" s="35">
        <f>SUM(K79,K80,K129)</f>
        <v>2681</v>
      </c>
      <c r="L136" s="35">
        <f>SUM(L79,L80,L129)</f>
        <v>-1496</v>
      </c>
      <c r="M136" s="35">
        <f>SUM(I136:L136)</f>
        <v>8617</v>
      </c>
      <c r="N136" s="35">
        <f>SUM(N79,N80,N129)</f>
        <v>2840</v>
      </c>
      <c r="O136" s="35">
        <f>SUM(O79,O80,O129)</f>
        <v>3624</v>
      </c>
      <c r="P136" s="35">
        <f>SUM(P79,P80,P129)</f>
        <v>1656</v>
      </c>
      <c r="Q136" s="35">
        <f>SUM(Q79,Q80,Q129)</f>
        <v>2144</v>
      </c>
      <c r="R136" s="35">
        <f>SUM(N136:Q136)</f>
        <v>10264</v>
      </c>
      <c r="S136" s="35">
        <f>SUM(S79,S80,S129)</f>
        <v>2218</v>
      </c>
      <c r="T136" s="35">
        <f>SUM(T79,T80,T129)</f>
        <v>3109</v>
      </c>
      <c r="U136" s="35">
        <f>SUM(U79,U80,U129)</f>
        <v>2375</v>
      </c>
      <c r="V136" s="35">
        <f>SUM(V79,V80,V129)</f>
        <v>2720</v>
      </c>
      <c r="W136" s="35">
        <f>SUM(S136:V136)</f>
        <v>10422</v>
      </c>
      <c r="X136" s="35">
        <f>SUM(X79,X80,X129)</f>
        <v>2865</v>
      </c>
      <c r="Y136" s="35">
        <f>SUM(Y79,Y80,Y129)</f>
        <v>3782</v>
      </c>
      <c r="Z136" s="35">
        <f>SUM(Z79,Z80,Z129)</f>
        <v>3169</v>
      </c>
      <c r="AA136" s="35">
        <f>SUM(AA79,AA80,AA129)</f>
        <v>3390</v>
      </c>
      <c r="AB136" s="35">
        <f>SUM(X136:AA136)</f>
        <v>13206</v>
      </c>
      <c r="AC136" s="35">
        <f>SUM(AC79,AC80,AC129)</f>
        <v>3448</v>
      </c>
      <c r="AD136" s="35">
        <f>SUM(AD79,AD80,AD129)</f>
        <v>4152</v>
      </c>
      <c r="AE136" s="35">
        <f>SUM(AE79,AE80,AE129)</f>
        <v>3427</v>
      </c>
      <c r="AF136" s="35">
        <f>SUM(AF79,AF80,AF129)</f>
        <v>6342</v>
      </c>
      <c r="AG136" s="35">
        <f>SUM(AC136:AF136)</f>
        <v>17369</v>
      </c>
      <c r="AH136" s="35">
        <f>SUM(AH79,AH80,AH129)</f>
        <v>4416</v>
      </c>
      <c r="AI136" s="35">
        <f>SUM(AI79,AI80,AI129)</f>
        <v>5369</v>
      </c>
      <c r="AJ136" s="35">
        <f>SUM(AJ79,AJ80,AJ129:AJ134)</f>
        <v>5882.80039037916</v>
      </c>
      <c r="AK136" s="35">
        <f>SUM(AK79,AK80,AK129:AK134)</f>
        <v>6328.95676461937</v>
      </c>
      <c r="AL136" s="35">
        <f>SUM(AH136:AK136)</f>
        <v>21996.7571549985</v>
      </c>
      <c r="AM136" s="35">
        <f>SUM(AM79,AM80,AM129:AM134)</f>
        <v>6775.11313885956</v>
      </c>
      <c r="AN136" s="35">
        <f>SUM(AN79,AN80,AN129:AN134)</f>
        <v>7561.01049772437</v>
      </c>
      <c r="AO136" s="35">
        <f>SUM(AO79,AO80,AO129:AO134)</f>
        <v>6729.76816093255</v>
      </c>
      <c r="AP136" s="35">
        <f>SUM(AP79,AP80,AP129:AP134)</f>
        <v>7240.15926090412</v>
      </c>
      <c r="AQ136" s="35">
        <f>SUM(AM136:AP136)</f>
        <v>28306.0510584206</v>
      </c>
      <c r="AR136" s="35">
        <f>SUM(AR79,AR80,AR129:AR134)</f>
        <v>7716.6747951814</v>
      </c>
      <c r="AS136" s="35">
        <f>SUM(AS79,AS80,AS129:AS134)</f>
        <v>8611.79111522745</v>
      </c>
      <c r="AT136" s="35">
        <f>SUM(AT79,AT80,AT129:AT134)</f>
        <v>7665.02806381532</v>
      </c>
      <c r="AU136" s="35">
        <f>SUM(AU79,AU80,AU129:AU134)</f>
        <v>8246.35003676447</v>
      </c>
      <c r="AV136" s="35">
        <f>SUM(AR136:AU136)</f>
        <v>32239.8440109886</v>
      </c>
      <c r="AW136" s="35">
        <f>SUM(AW79,AW80,AW129:AW134)</f>
        <v>8750.5052617618</v>
      </c>
      <c r="AX136" s="35">
        <f>SUM(AX79,AX80,AX129:AX134)</f>
        <v>9765.54351027565</v>
      </c>
      <c r="AY136" s="35">
        <f>SUM(AY79,AY80,AY129:AY134)</f>
        <v>8691.93923344429</v>
      </c>
      <c r="AZ136" s="35">
        <f>SUM(AZ79,AZ80,AZ129:AZ134)</f>
        <v>9351.14298610803</v>
      </c>
      <c r="BA136" s="35">
        <f>SUM(AW136:AZ136)</f>
        <v>36559.1309915898</v>
      </c>
      <c r="BB136" s="35">
        <f>SUM(BB79,BB80,BB129:BB134)</f>
        <v>9879.08915984534</v>
      </c>
      <c r="BC136" s="35">
        <f>SUM(BC79,BC80,BC129:BC134)</f>
        <v>11025.0405143963</v>
      </c>
      <c r="BD136" s="35">
        <f>SUM(BD79,BD80,BD129:BD134)</f>
        <v>9812.96966180733</v>
      </c>
      <c r="BE136" s="35">
        <f>SUM(BE79,BE80,BE129:BE134)</f>
        <v>10557.1932754457</v>
      </c>
      <c r="BF136" s="35">
        <f>SUM(BB136:BE136)</f>
        <v>41274.2926114947</v>
      </c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  <c r="CO136" s="35" t="n"/>
      <c r="CP136" s="35" t="n"/>
      <c r="CQ136" s="35" t="n"/>
      <c r="CR136" s="35" t="n"/>
      <c r="CS136" s="35" t="n"/>
      <c r="CT136" s="35" t="n"/>
      <c r="CU136" s="35" t="n"/>
      <c r="CV136" s="35" t="n"/>
      <c r="CW136" s="35" t="n"/>
      <c r="CX136" s="35" t="n"/>
      <c r="CY136" s="35" t="n"/>
    </row>
    <row r="137">
      <c r="C137" s="14" t="inlineStr">
        <is>
          <t>Taxes</t>
        </is>
      </c>
      <c r="D137" s="46" t="n"/>
      <c r="E137" s="46" t="n"/>
      <c r="F137" s="46" t="n"/>
      <c r="G137" s="46" t="n"/>
      <c r="H137" s="12" t="n"/>
      <c r="I137" s="46">
        <f>'Inputs (2)'!D10</f>
        <v>1745</v>
      </c>
      <c r="J137" s="46">
        <f>'Inputs (2)'!E10</f>
        <v>-124</v>
      </c>
      <c r="K137" s="46">
        <f>'Inputs (2)'!F10</f>
        <v>-224</v>
      </c>
      <c r="L137" s="46">
        <f>'Inputs (2)'!G10</f>
        <v>249</v>
      </c>
      <c r="M137" s="12">
        <f>'Inputs (2)'!H10</f>
        <v>1646</v>
      </c>
      <c r="N137" s="46">
        <f>'Inputs (2)'!I10</f>
        <v>-521</v>
      </c>
      <c r="O137" s="46">
        <f>'Inputs (2)'!J10</f>
        <v>-435</v>
      </c>
      <c r="P137" s="46">
        <f>'Inputs (2)'!K10</f>
        <v>-108</v>
      </c>
      <c r="Q137" s="46">
        <f>'Inputs (2)'!L10</f>
        <v>-403</v>
      </c>
      <c r="R137" s="12">
        <f>'Inputs (2)'!M10</f>
        <v>-1467</v>
      </c>
      <c r="S137" s="46">
        <f>'Inputs (2)'!N10</f>
        <v>-322</v>
      </c>
      <c r="T137" s="46">
        <f>'Inputs (2)'!O10</f>
        <v>210</v>
      </c>
      <c r="U137" s="46">
        <f>'Inputs (2)'!P10</f>
        <v>45</v>
      </c>
      <c r="V137" s="46">
        <f>'Inputs (2)'!Q10</f>
        <v>-217</v>
      </c>
      <c r="W137" s="12">
        <f>'Inputs (2)'!R10</f>
        <v>-284</v>
      </c>
      <c r="X137" s="46">
        <f>'Inputs (2)'!S10</f>
        <v>-464</v>
      </c>
      <c r="Y137" s="46">
        <f>'Inputs (2)'!T10</f>
        <v>-638</v>
      </c>
      <c r="Z137" s="46">
        <f>'Inputs (2)'!U10</f>
        <v>-240</v>
      </c>
      <c r="AA137" s="46">
        <f>'Inputs (2)'!V10</f>
        <v>-239</v>
      </c>
      <c r="AB137" s="12">
        <f>'Inputs (2)'!W10</f>
        <v>-1581</v>
      </c>
      <c r="AC137" s="46">
        <f>'Inputs (2)'!X10</f>
        <v>-512</v>
      </c>
      <c r="AD137" s="46">
        <f>'Inputs (2)'!Y10</f>
        <v>-725</v>
      </c>
      <c r="AE137" s="46">
        <f>'Inputs (2)'!Z10</f>
        <v>-500</v>
      </c>
      <c r="AF137" s="46">
        <f>'Inputs (2)'!AA10</f>
        <v>-207</v>
      </c>
      <c r="AG137" s="12">
        <f>'Inputs (2)'!AB10</f>
        <v>-1944</v>
      </c>
      <c r="AH137" s="12">
        <f>'Inputs (2)'!AC10</f>
        <v>-695</v>
      </c>
      <c r="AI137" s="12">
        <f>'Inputs (2)'!AD10</f>
        <v>-1065</v>
      </c>
      <c r="AJ137" s="12">
        <f>-AJ136*AJ138</f>
        <v>-840.64186175572</v>
      </c>
      <c r="AK137" s="12">
        <f>-AK136*AK138</f>
        <v>-904.396825410248</v>
      </c>
      <c r="AL137" s="12">
        <f>SUM(AH137:AK137)</f>
        <v>-3505.03868716597</v>
      </c>
      <c r="AM137" s="12">
        <f>-AM136*AM138</f>
        <v>-968.151789064775</v>
      </c>
      <c r="AN137" s="12">
        <f>-AN136*AN138</f>
        <v>-1080.45514377072</v>
      </c>
      <c r="AO137" s="12">
        <f>-AO136*AO138</f>
        <v>-961.672071220163</v>
      </c>
      <c r="AP137" s="12">
        <f>-AP136*AP138</f>
        <v>-1034.60606456206</v>
      </c>
      <c r="AQ137" s="12">
        <f>SUM(AM137:AP137)</f>
        <v>-4044.88506861772</v>
      </c>
      <c r="AR137" s="12">
        <f>-AR136*AR138</f>
        <v>-1102.69929895864</v>
      </c>
      <c r="AS137" s="12">
        <f>-AS136*AS138</f>
        <v>-1230.60985172906</v>
      </c>
      <c r="AT137" s="12">
        <f>-AT136*AT138</f>
        <v>-1095.31907159615</v>
      </c>
      <c r="AU137" s="12">
        <f>-AU136*AU138</f>
        <v>-1178.38896232688</v>
      </c>
      <c r="AV137" s="12">
        <f>SUM(AR137:AU137)</f>
        <v>-4607.01718461073</v>
      </c>
      <c r="AW137" s="12">
        <f>-AW136*AW138</f>
        <v>-1250.43186006802</v>
      </c>
      <c r="AX137" s="12">
        <f>-AX136*AX138</f>
        <v>-1395.47904616317</v>
      </c>
      <c r="AY137" s="12">
        <f>-AY136*AY138</f>
        <v>-1242.06287730243</v>
      </c>
      <c r="AZ137" s="12">
        <f>-AZ136*AZ138</f>
        <v>-1336.26193780801</v>
      </c>
      <c r="BA137" s="12">
        <f>SUM(AW137:AZ137)</f>
        <v>-5224.23572134163</v>
      </c>
      <c r="BB137" s="12">
        <f>-BB136*BB138</f>
        <v>-1411.70452041258</v>
      </c>
      <c r="BC137" s="12">
        <f>-BC136*BC138</f>
        <v>-1575.45895983682</v>
      </c>
      <c r="BD137" s="12">
        <f>-BD136*BD138</f>
        <v>-1402.25616006706</v>
      </c>
      <c r="BE137" s="12">
        <f>-BE136*BE138</f>
        <v>-1508.60440964471</v>
      </c>
      <c r="BF137" s="12">
        <f>SUM(BB137:BE137)</f>
        <v>-5898.02404996117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7" t="inlineStr">
        <is>
          <t>% ETR</t>
        </is>
      </c>
      <c r="D138" s="53" t="n"/>
      <c r="E138" s="53" t="n"/>
      <c r="F138" s="53" t="n"/>
      <c r="G138" s="53" t="n"/>
      <c r="H138" s="53" t="n"/>
      <c r="I138" s="53">
        <f>IFERROR(-I137/I136,"")</f>
        <v>-0.532661782661783</v>
      </c>
      <c r="J138" s="53">
        <f>IFERROR(-J137/J136,"")</f>
        <v>0.0298363811357074</v>
      </c>
      <c r="K138" s="53">
        <f>IFERROR(-K137/K136,"")</f>
        <v>0.0835509138381201</v>
      </c>
      <c r="L138" s="53">
        <f>IFERROR(-L137/L136,"")</f>
        <v>0.16644385026738</v>
      </c>
      <c r="M138" s="53">
        <f>IFERROR(-M137/M136,"")</f>
        <v>-0.191017755599397</v>
      </c>
      <c r="N138" s="53">
        <f>IFERROR(-N137/N136,"")</f>
        <v>0.183450704225352</v>
      </c>
      <c r="O138" s="53">
        <f>IFERROR(-O137/O136,"")</f>
        <v>0.120033112582781</v>
      </c>
      <c r="P138" s="53">
        <f>IFERROR(-P137/P136,"")</f>
        <v>0.0652173913043478</v>
      </c>
      <c r="Q138" s="53">
        <f>IFERROR(-Q137/Q136,"")</f>
        <v>0.187966417910448</v>
      </c>
      <c r="R138" s="53">
        <f>IFERROR(-R137/R136,"")</f>
        <v>0.14292673421668</v>
      </c>
      <c r="S138" s="53">
        <f>IFERROR(-S137/S136,"")</f>
        <v>0.145175834084761</v>
      </c>
      <c r="T138" s="53">
        <f>IFERROR(-T137/T136,"")</f>
        <v>-0.0675458346735285</v>
      </c>
      <c r="U138" s="53">
        <f>IFERROR(-U137/U136,"")</f>
        <v>-0.0189473684210526</v>
      </c>
      <c r="V138" s="53">
        <f>IFERROR(-V137/V136,"")</f>
        <v>0.0797794117647059</v>
      </c>
      <c r="W138" s="53">
        <f>IFERROR(-W137/W136,"")</f>
        <v>0.0272500479754366</v>
      </c>
      <c r="X138" s="53">
        <f>IFERROR(-X137/X136,"")</f>
        <v>0.16195462478185</v>
      </c>
      <c r="Y138" s="53">
        <f>IFERROR(-Y137/Y136,"")</f>
        <v>0.168693812797462</v>
      </c>
      <c r="Z138" s="53">
        <f>IFERROR(-Z137/Z136,"")</f>
        <v>0.0757336699274219</v>
      </c>
      <c r="AA138" s="53">
        <f>IFERROR(-AA137/AA136,"")</f>
        <v>0.0705014749262537</v>
      </c>
      <c r="AB138" s="53">
        <f>IFERROR(-AB137/AB136,"")</f>
        <v>0.119718309859155</v>
      </c>
      <c r="AC138" s="53">
        <f>IFERROR(-AC137/AC136,"")</f>
        <v>0.148491879350348</v>
      </c>
      <c r="AD138" s="53">
        <f>IFERROR(-AD137/AD136,"")</f>
        <v>0.174614643545279</v>
      </c>
      <c r="AE138" s="53">
        <f>IFERROR(-AE137/AE136,"")</f>
        <v>0.145900204260286</v>
      </c>
      <c r="AF138" s="41">
        <f>IFERROR(-AF137/AF136,"")</f>
        <v>0.032639545884579</v>
      </c>
      <c r="AG138" s="53">
        <f>IFERROR(-AG137/AG136,"")</f>
        <v>0.111923541942541</v>
      </c>
      <c r="AH138" s="41">
        <f>IFERROR(-AH137/AH136,"")</f>
        <v>0.157382246376812</v>
      </c>
      <c r="AI138" s="41">
        <f>IFERROR(-AI137/AI136,"")</f>
        <v>0.198360961072825</v>
      </c>
      <c r="AJ138" s="41">
        <f>Control!$B$22</f>
        <v>0.142898246748355</v>
      </c>
      <c r="AK138" s="41">
        <f>Control!$B$22</f>
        <v>0.142898246748355</v>
      </c>
      <c r="AL138" s="53">
        <f>IFERROR(-AL137/AL136,"")</f>
        <v>0.159343427872935</v>
      </c>
      <c r="AM138" s="41">
        <f>Control!$C$22</f>
        <v>0.142898246748355</v>
      </c>
      <c r="AN138" s="41">
        <f>Control!$C$22</f>
        <v>0.142898246748355</v>
      </c>
      <c r="AO138" s="41">
        <f>Control!$C$22</f>
        <v>0.142898246748355</v>
      </c>
      <c r="AP138" s="41">
        <f>Control!$C$22</f>
        <v>0.142898246748355</v>
      </c>
      <c r="AQ138" s="53">
        <f>IFERROR(-AQ137/AQ136,"")</f>
        <v>0.142898246748355</v>
      </c>
      <c r="AR138" s="41">
        <f>Control!$D$22</f>
        <v>0.142898246748355</v>
      </c>
      <c r="AS138" s="41">
        <f>Control!$D$22</f>
        <v>0.142898246748355</v>
      </c>
      <c r="AT138" s="41">
        <f>Control!$D$22</f>
        <v>0.142898246748355</v>
      </c>
      <c r="AU138" s="41">
        <f>Control!$D$22</f>
        <v>0.142898246748355</v>
      </c>
      <c r="AV138" s="53">
        <f>IFERROR(-AV137/AV136,"")</f>
        <v>0.142898246748355</v>
      </c>
      <c r="AW138" s="41">
        <f>Control!$E$22</f>
        <v>0.142898246748355</v>
      </c>
      <c r="AX138" s="41">
        <f>Control!$E$22</f>
        <v>0.142898246748355</v>
      </c>
      <c r="AY138" s="41">
        <f>Control!$E$22</f>
        <v>0.142898246748355</v>
      </c>
      <c r="AZ138" s="41">
        <f>Control!$E$22</f>
        <v>0.142898246748355</v>
      </c>
      <c r="BA138" s="53">
        <f>IFERROR(-BA137/BA136,"")</f>
        <v>0.142898246748355</v>
      </c>
      <c r="BB138" s="41">
        <f>Control!$F$22</f>
        <v>0.142898246748355</v>
      </c>
      <c r="BC138" s="41">
        <f>Control!$F$22</f>
        <v>0.142898246748355</v>
      </c>
      <c r="BD138" s="41">
        <f>Control!$F$22</f>
        <v>0.142898246748355</v>
      </c>
      <c r="BE138" s="41">
        <f>Control!$F$22</f>
        <v>0.142898246748355</v>
      </c>
      <c r="BF138" s="53">
        <f>IFERROR(-BF137/BF136,"")</f>
        <v>0.142898246748355</v>
      </c>
      <c r="BG138" s="41" t="n"/>
      <c r="BH138" s="41" t="n"/>
      <c r="BI138" s="41" t="n"/>
      <c r="BJ138" s="41" t="n"/>
      <c r="BK138" s="53" t="n"/>
      <c r="BL138" s="41" t="n"/>
      <c r="BM138" s="41" t="n"/>
      <c r="BN138" s="41" t="n"/>
      <c r="BO138" s="41" t="n"/>
      <c r="BP138" s="53" t="n"/>
      <c r="BQ138" s="41" t="n"/>
      <c r="BR138" s="41" t="n"/>
      <c r="BS138" s="41" t="n"/>
      <c r="BT138" s="41" t="n"/>
      <c r="BU138" s="53" t="n"/>
      <c r="BV138" s="41" t="n"/>
      <c r="BW138" s="41" t="n"/>
      <c r="BX138" s="41" t="n"/>
      <c r="BY138" s="41" t="n"/>
      <c r="BZ138" s="53" t="n"/>
      <c r="CA138" s="41" t="n"/>
      <c r="CB138" s="41" t="n"/>
      <c r="CC138" s="41" t="n"/>
      <c r="CD138" s="41" t="n"/>
      <c r="CE138" s="53" t="n"/>
      <c r="CF138" s="41" t="n"/>
      <c r="CG138" s="41" t="n"/>
      <c r="CH138" s="41" t="n"/>
      <c r="CI138" s="41" t="n"/>
      <c r="CJ138" s="53" t="n"/>
      <c r="CK138" s="41" t="n"/>
      <c r="CL138" s="41" t="n"/>
      <c r="CM138" s="41" t="n"/>
      <c r="CN138" s="41" t="n"/>
      <c r="CO138" s="53" t="n"/>
      <c r="CP138" s="41" t="n"/>
      <c r="CQ138" s="41" t="n"/>
      <c r="CR138" s="41" t="n"/>
      <c r="CS138" s="41" t="n"/>
      <c r="CT138" s="53" t="n"/>
      <c r="CU138" s="41" t="n"/>
      <c r="CV138" s="41" t="n"/>
      <c r="CW138" s="41" t="n"/>
      <c r="CX138" s="41" t="n"/>
      <c r="CY138" s="53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collapsed="1">
      <c r="C141" s="14" t="inlineStr">
        <is>
          <t>Equity in Income of Affiliates, after tax (enter as +)</t>
        </is>
      </c>
      <c r="D141" s="46" t="n"/>
      <c r="E141" s="46" t="n"/>
      <c r="F141" s="46" t="n"/>
      <c r="G141" s="46" t="n"/>
      <c r="H141" s="12" t="n"/>
      <c r="I141" s="46">
        <f>'Inputs (2)'!D11</f>
        <v>0</v>
      </c>
      <c r="J141" s="46">
        <f>'Inputs (2)'!E11</f>
        <v>0</v>
      </c>
      <c r="K141" s="46">
        <f>'Inputs (2)'!F11</f>
        <v>0</v>
      </c>
      <c r="L141" s="46">
        <f>'Inputs (2)'!G11</f>
        <v>0</v>
      </c>
      <c r="M141" s="12">
        <f>'Inputs (2)'!H11</f>
        <v>0</v>
      </c>
      <c r="N141" s="46">
        <f>'Inputs (2)'!I11</f>
        <v>0</v>
      </c>
      <c r="O141" s="46">
        <f>'Inputs (2)'!J11</f>
        <v>0</v>
      </c>
      <c r="P141" s="46">
        <f>'Inputs (2)'!K11</f>
        <v>0</v>
      </c>
      <c r="Q141" s="46">
        <f>'Inputs (2)'!L11</f>
        <v>0</v>
      </c>
      <c r="R141" s="12">
        <f>'Inputs (2)'!M11</f>
        <v>0</v>
      </c>
      <c r="S141" s="46">
        <f>'Inputs (2)'!N11</f>
        <v>0</v>
      </c>
      <c r="T141" s="46">
        <f>'Inputs (2)'!O11</f>
        <v>0</v>
      </c>
      <c r="U141" s="46">
        <f>'Inputs (2)'!P11</f>
        <v>0</v>
      </c>
      <c r="V141" s="46">
        <f>'Inputs (2)'!Q11</f>
        <v>0</v>
      </c>
      <c r="W141" s="12">
        <f>'Inputs (2)'!R11</f>
        <v>0</v>
      </c>
      <c r="X141" s="46">
        <f>'Inputs (2)'!S11</f>
        <v>0</v>
      </c>
      <c r="Y141" s="46">
        <f>'Inputs (2)'!T11</f>
        <v>0</v>
      </c>
      <c r="Z141" s="46">
        <f>'Inputs (2)'!U11</f>
        <v>0</v>
      </c>
      <c r="AA141" s="46">
        <f>'Inputs (2)'!V11</f>
        <v>0</v>
      </c>
      <c r="AB141" s="12">
        <f>'Inputs (2)'!W11</f>
        <v>0</v>
      </c>
      <c r="AC141" s="46">
        <f>'Inputs (2)'!X11</f>
        <v>0</v>
      </c>
      <c r="AD141" s="46">
        <f>'Inputs (2)'!Y11</f>
        <v>0</v>
      </c>
      <c r="AE141" s="46">
        <f>'Inputs (2)'!Z11</f>
        <v>0</v>
      </c>
      <c r="AF141" s="46">
        <f>'Inputs (2)'!AA11</f>
        <v>0</v>
      </c>
      <c r="AG141" s="12">
        <f>'Inputs (2)'!AB11</f>
        <v>0</v>
      </c>
      <c r="AH141" s="12">
        <f>'Inputs (2)'!AC11</f>
        <v>0</v>
      </c>
      <c r="AI141" s="12">
        <f>'Inputs (2)'!AD11</f>
        <v>0</v>
      </c>
      <c r="AJ141" s="12">
        <f>0</f>
        <v>0</v>
      </c>
      <c r="AK141" s="12">
        <f>0</f>
        <v>0</v>
      </c>
      <c r="AL141" s="12">
        <f>SUM(AH141:AK141)</f>
        <v>0</v>
      </c>
      <c r="AM141" s="12">
        <f>0</f>
        <v>0</v>
      </c>
      <c r="AN141" s="12">
        <f>0</f>
        <v>0</v>
      </c>
      <c r="AO141" s="12">
        <f>0</f>
        <v>0</v>
      </c>
      <c r="AP141" s="12">
        <f>0</f>
        <v>0</v>
      </c>
      <c r="AQ141" s="12">
        <f>SUM(AM141:AP141)</f>
        <v>0</v>
      </c>
      <c r="AR141" s="12">
        <f>0</f>
        <v>0</v>
      </c>
      <c r="AS141" s="12">
        <f>0</f>
        <v>0</v>
      </c>
      <c r="AT141" s="12">
        <f>0</f>
        <v>0</v>
      </c>
      <c r="AU141" s="12">
        <f>0</f>
        <v>0</v>
      </c>
      <c r="AV141" s="12">
        <f>SUM(AR141:AU141)</f>
        <v>0</v>
      </c>
      <c r="AW141" s="12">
        <f>0</f>
        <v>0</v>
      </c>
      <c r="AX141" s="12">
        <f>0</f>
        <v>0</v>
      </c>
      <c r="AY141" s="12">
        <f>0</f>
        <v>0</v>
      </c>
      <c r="AZ141" s="12">
        <f>0</f>
        <v>0</v>
      </c>
      <c r="BA141" s="12">
        <f>SUM(AW141:AZ141)</f>
        <v>0</v>
      </c>
      <c r="BB141" s="12">
        <f>0</f>
        <v>0</v>
      </c>
      <c r="BC141" s="12">
        <f>0</f>
        <v>0</v>
      </c>
      <c r="BD141" s="12">
        <f>0</f>
        <v>0</v>
      </c>
      <c r="BE141" s="12">
        <f>0</f>
        <v>0</v>
      </c>
      <c r="BF141" s="12">
        <f>SUM(BB141:BE141)</f>
        <v>0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>
      <c r="C142" s="14" t="inlineStr">
        <is>
          <t>Minority Interest Expense, after tax (enter as - )</t>
        </is>
      </c>
      <c r="D142" s="46" t="n"/>
      <c r="E142" s="46" t="n"/>
      <c r="F142" s="46" t="n"/>
      <c r="G142" s="46" t="n"/>
      <c r="H142" s="12" t="n"/>
      <c r="I142" s="46">
        <f>'Inputs (2)'!D12</f>
        <v>0</v>
      </c>
      <c r="J142" s="46">
        <f>'Inputs (2)'!E12</f>
        <v>0</v>
      </c>
      <c r="K142" s="46">
        <f>'Inputs (2)'!F12</f>
        <v>0</v>
      </c>
      <c r="L142" s="46">
        <f>'Inputs (2)'!G12</f>
        <v>0</v>
      </c>
      <c r="M142" s="12">
        <f>'Inputs (2)'!H12</f>
        <v>0</v>
      </c>
      <c r="N142" s="46">
        <f>'Inputs (2)'!I12</f>
        <v>0</v>
      </c>
      <c r="O142" s="46">
        <f>'Inputs (2)'!J12</f>
        <v>0</v>
      </c>
      <c r="P142" s="46">
        <f>'Inputs (2)'!K12</f>
        <v>0</v>
      </c>
      <c r="Q142" s="46">
        <f>'Inputs (2)'!L12</f>
        <v>0</v>
      </c>
      <c r="R142" s="12">
        <f>'Inputs (2)'!M12</f>
        <v>0</v>
      </c>
      <c r="S142" s="46">
        <f>'Inputs (2)'!N12</f>
        <v>0</v>
      </c>
      <c r="T142" s="46">
        <f>'Inputs (2)'!O12</f>
        <v>0</v>
      </c>
      <c r="U142" s="46">
        <f>'Inputs (2)'!P12</f>
        <v>0</v>
      </c>
      <c r="V142" s="46">
        <f>'Inputs (2)'!Q12</f>
        <v>0</v>
      </c>
      <c r="W142" s="12">
        <f>'Inputs (2)'!R12</f>
        <v>0</v>
      </c>
      <c r="X142" s="46">
        <f>'Inputs (2)'!S12</f>
        <v>0</v>
      </c>
      <c r="Y142" s="46">
        <f>'Inputs (2)'!T12</f>
        <v>0</v>
      </c>
      <c r="Z142" s="46">
        <f>'Inputs (2)'!U12</f>
        <v>0</v>
      </c>
      <c r="AA142" s="46">
        <f>'Inputs (2)'!V12</f>
        <v>0</v>
      </c>
      <c r="AB142" s="12">
        <f>'Inputs (2)'!W12</f>
        <v>0</v>
      </c>
      <c r="AC142" s="46">
        <f>'Inputs (2)'!X12</f>
        <v>0</v>
      </c>
      <c r="AD142" s="46">
        <f>'Inputs (2)'!Y12</f>
        <v>0</v>
      </c>
      <c r="AE142" s="46">
        <f>'Inputs (2)'!Z12</f>
        <v>0</v>
      </c>
      <c r="AF142" s="46">
        <f>'Inputs (2)'!AA12</f>
        <v>0</v>
      </c>
      <c r="AG142" s="12">
        <f>'Inputs (2)'!AB12</f>
        <v>0</v>
      </c>
      <c r="AH142" s="12">
        <f>'Inputs (2)'!AC12</f>
        <v>0</v>
      </c>
      <c r="AI142" s="12">
        <f>'Inputs (2)'!AD12</f>
        <v>0</v>
      </c>
      <c r="AJ142" s="12">
        <f>0</f>
        <v>0</v>
      </c>
      <c r="AK142" s="12">
        <f>0</f>
        <v>0</v>
      </c>
      <c r="AL142" s="12">
        <f>SUM(AH142:AK142)</f>
        <v>0</v>
      </c>
      <c r="AM142" s="12">
        <f>0</f>
        <v>0</v>
      </c>
      <c r="AN142" s="12">
        <f>0</f>
        <v>0</v>
      </c>
      <c r="AO142" s="12">
        <f>0</f>
        <v>0</v>
      </c>
      <c r="AP142" s="12">
        <f>0</f>
        <v>0</v>
      </c>
      <c r="AQ142" s="12">
        <f>SUM(AM142:AP142)</f>
        <v>0</v>
      </c>
      <c r="AR142" s="12">
        <f>0</f>
        <v>0</v>
      </c>
      <c r="AS142" s="12">
        <f>0</f>
        <v>0</v>
      </c>
      <c r="AT142" s="12">
        <f>0</f>
        <v>0</v>
      </c>
      <c r="AU142" s="12">
        <f>0</f>
        <v>0</v>
      </c>
      <c r="AV142" s="12">
        <f>SUM(AR142:AU142)</f>
        <v>0</v>
      </c>
      <c r="AW142" s="12">
        <f>0</f>
        <v>0</v>
      </c>
      <c r="AX142" s="12">
        <f>0</f>
        <v>0</v>
      </c>
      <c r="AY142" s="12">
        <f>0</f>
        <v>0</v>
      </c>
      <c r="AZ142" s="12">
        <f>0</f>
        <v>0</v>
      </c>
      <c r="BA142" s="12">
        <f>SUM(AW142:AZ142)</f>
        <v>0</v>
      </c>
      <c r="BB142" s="12">
        <f>0</f>
        <v>0</v>
      </c>
      <c r="BC142" s="12">
        <f>0</f>
        <v>0</v>
      </c>
      <c r="BD142" s="12">
        <f>0</f>
        <v>0</v>
      </c>
      <c r="BE142" s="12">
        <f>0</f>
        <v>0</v>
      </c>
      <c r="BF142" s="12">
        <f>SUM(BB142:BE142)</f>
        <v>0</v>
      </c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 customFormat="1" s="32">
      <c r="A143" s="30" t="n"/>
      <c r="B143" s="3" t="n"/>
      <c r="C143" s="33" t="inlineStr">
        <is>
          <t>Net Income</t>
        </is>
      </c>
      <c r="D143" s="35" t="n"/>
      <c r="E143" s="35" t="n"/>
      <c r="F143" s="35" t="n"/>
      <c r="G143" s="35" t="n"/>
      <c r="H143" s="35" t="n"/>
      <c r="I143" s="35">
        <f>SUM(I136,I137,I141,I142)</f>
        <v>5021</v>
      </c>
      <c r="J143" s="35">
        <f>SUM(J136,J137,J141,J142)</f>
        <v>4032</v>
      </c>
      <c r="K143" s="35">
        <f>SUM(K136,K137,K141,K142)</f>
        <v>2457</v>
      </c>
      <c r="L143" s="35">
        <f>SUM(L136,L137,L141,L142)</f>
        <v>-1247</v>
      </c>
      <c r="M143" s="35">
        <f>SUM(I143:L143)</f>
        <v>10263</v>
      </c>
      <c r="N143" s="35">
        <f>SUM(N136,N137,N141,N142)</f>
        <v>2319</v>
      </c>
      <c r="O143" s="35">
        <f>SUM(O136,O137,O141,O142)</f>
        <v>3189</v>
      </c>
      <c r="P143" s="35">
        <f>SUM(P136,P137,P141,P142)</f>
        <v>1548</v>
      </c>
      <c r="Q143" s="35">
        <f>SUM(Q136,Q137,Q141,Q142)</f>
        <v>1741</v>
      </c>
      <c r="R143" s="35">
        <f>SUM(N143:Q143)</f>
        <v>8797</v>
      </c>
      <c r="S143" s="35">
        <f>SUM(S136,S137,S141,S142)</f>
        <v>1896</v>
      </c>
      <c r="T143" s="35">
        <f>SUM(T136,T137,T141,T142)</f>
        <v>3319</v>
      </c>
      <c r="U143" s="35">
        <f>SUM(U136,U137,U141,U142)</f>
        <v>2420</v>
      </c>
      <c r="V143" s="35">
        <f>SUM(V136,V137,V141,V142)</f>
        <v>2503</v>
      </c>
      <c r="W143" s="35">
        <f>SUM(S143:V143)</f>
        <v>10138</v>
      </c>
      <c r="X143" s="35">
        <f>SUM(X136,X137,X141,X142)</f>
        <v>2401</v>
      </c>
      <c r="Y143" s="35">
        <f>SUM(Y136,Y137,Y141,Y142)</f>
        <v>3144</v>
      </c>
      <c r="Z143" s="35">
        <f>SUM(Z136,Z137,Z141,Z142)</f>
        <v>2929</v>
      </c>
      <c r="AA143" s="35">
        <f>SUM(AA136,AA137,AA141,AA142)</f>
        <v>3151</v>
      </c>
      <c r="AB143" s="35">
        <f>SUM(X143:AA143)</f>
        <v>11625</v>
      </c>
      <c r="AC143" s="35">
        <f>SUM(AC136,AC137,AC141,AC142)</f>
        <v>2936</v>
      </c>
      <c r="AD143" s="35">
        <f>SUM(AD136,AD137,AD141,AD142)</f>
        <v>3427</v>
      </c>
      <c r="AE143" s="35">
        <f>SUM(AE136,AE137,AE141,AE142)</f>
        <v>2927</v>
      </c>
      <c r="AF143" s="35">
        <f>SUM(AF136,AF137,AF141,AF142)</f>
        <v>6135</v>
      </c>
      <c r="AG143" s="35">
        <f>SUM(AC143:AF143)</f>
        <v>15425</v>
      </c>
      <c r="AH143" s="35">
        <f>SUM(AH136,AH137,AH141,AH142)</f>
        <v>3721</v>
      </c>
      <c r="AI143" s="35">
        <f>SUM(AI136,AI137,AI141,AI142)</f>
        <v>4304</v>
      </c>
      <c r="AJ143" s="35">
        <f>SUM(AJ136,AJ137,AJ141,AJ142)</f>
        <v>5042.15852862344</v>
      </c>
      <c r="AK143" s="35">
        <f>SUM(AK136,AK137,AK141,AK142)</f>
        <v>5424.55993920912</v>
      </c>
      <c r="AL143" s="35">
        <f>SUM(AH143:AK143)</f>
        <v>18491.7184678326</v>
      </c>
      <c r="AM143" s="35">
        <f>SUM(AM136,AM137,AM141,AM142)</f>
        <v>5806.96134979479</v>
      </c>
      <c r="AN143" s="35">
        <f>SUM(AN136,AN137,AN141,AN142)</f>
        <v>6480.55535395365</v>
      </c>
      <c r="AO143" s="35">
        <f>SUM(AO136,AO137,AO141,AO142)</f>
        <v>5768.09608971239</v>
      </c>
      <c r="AP143" s="35">
        <f>SUM(AP136,AP137,AP141,AP142)</f>
        <v>6205.55319634206</v>
      </c>
      <c r="AQ143" s="35">
        <f>SUM(AM143:AP143)</f>
        <v>24261.1659898029</v>
      </c>
      <c r="AR143" s="35">
        <f>SUM(AR136,AR137,AR141,AR142)</f>
        <v>6613.97549622275</v>
      </c>
      <c r="AS143" s="35">
        <f>SUM(AS136,AS137,AS141,AS142)</f>
        <v>7381.18126349839</v>
      </c>
      <c r="AT143" s="35">
        <f>SUM(AT136,AT137,AT141,AT142)</f>
        <v>6569.70899221918</v>
      </c>
      <c r="AU143" s="35">
        <f>SUM(AU136,AU137,AU141,AU142)</f>
        <v>7067.9610744376</v>
      </c>
      <c r="AV143" s="35">
        <f>SUM(AR143:AU143)</f>
        <v>27632.8268263779</v>
      </c>
      <c r="AW143" s="35">
        <f>SUM(AW136,AW137,AW141,AW142)</f>
        <v>7500.07340169379</v>
      </c>
      <c r="AX143" s="35">
        <f>SUM(AX136,AX137,AX141,AX142)</f>
        <v>8370.06446411248</v>
      </c>
      <c r="AY143" s="35">
        <f>SUM(AY136,AY137,AY141,AY142)</f>
        <v>7449.87635614186</v>
      </c>
      <c r="AZ143" s="35">
        <f>SUM(AZ136,AZ137,AZ141,AZ142)</f>
        <v>8014.88104830002</v>
      </c>
      <c r="BA143" s="35">
        <f>SUM(AW143:AZ143)</f>
        <v>31334.8952702482</v>
      </c>
      <c r="BB143" s="35">
        <f>SUM(BB136,BB137,BB141,BB142)</f>
        <v>8467.38463943276</v>
      </c>
      <c r="BC143" s="35">
        <f>SUM(BC136,BC137,BC141,BC142)</f>
        <v>9449.58155455952</v>
      </c>
      <c r="BD143" s="35">
        <f>SUM(BD136,BD137,BD141,BD142)</f>
        <v>8410.71350174026</v>
      </c>
      <c r="BE143" s="35">
        <f>SUM(BE136,BE137,BE141,BE142)</f>
        <v>9048.58886580096</v>
      </c>
      <c r="BF143" s="35">
        <f>SUM(BB143:BE143)</f>
        <v>35376.2685615335</v>
      </c>
      <c r="BG143" s="35" t="n"/>
      <c r="BH143" s="35" t="n"/>
      <c r="BI143" s="35" t="n"/>
      <c r="BJ143" s="35" t="n"/>
      <c r="BK143" s="35" t="n"/>
      <c r="BL143" s="35" t="n"/>
      <c r="BM143" s="35" t="n"/>
      <c r="BN143" s="35" t="n"/>
      <c r="BO143" s="35" t="n"/>
      <c r="BP143" s="35" t="n"/>
      <c r="BQ143" s="35" t="n"/>
      <c r="BR143" s="35" t="n"/>
      <c r="BS143" s="35" t="n"/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5" t="n"/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35" t="n"/>
      <c r="CL143" s="35" t="n"/>
      <c r="CM143" s="35" t="n"/>
      <c r="CN143" s="35" t="n"/>
      <c r="CO143" s="35" t="n"/>
      <c r="CP143" s="35" t="n"/>
      <c r="CQ143" s="35" t="n"/>
      <c r="CR143" s="35" t="n"/>
      <c r="CS143" s="35" t="n"/>
      <c r="CT143" s="35" t="n"/>
      <c r="CU143" s="35" t="n"/>
      <c r="CV143" s="35" t="n"/>
      <c r="CW143" s="35" t="n"/>
      <c r="CX143" s="35" t="n"/>
      <c r="CY143" s="35" t="n"/>
    </row>
    <row r="144">
      <c r="C144" s="13" t="inlineStr">
        <is>
          <t>Common Dividends</t>
        </is>
      </c>
      <c r="D144" s="46" t="n"/>
      <c r="E144" s="46" t="n"/>
      <c r="F144" s="46" t="n"/>
      <c r="G144" s="46" t="n"/>
      <c r="H144" s="12" t="n"/>
      <c r="I144" s="46">
        <f>'Inputs (2)'!D13</f>
        <v>-699</v>
      </c>
      <c r="J144" s="46">
        <f>'Inputs (2)'!E13</f>
        <v>-917</v>
      </c>
      <c r="K144" s="46">
        <f>'Inputs (2)'!F13</f>
        <v>-887</v>
      </c>
      <c r="L144" s="46">
        <f>'Inputs (2)'!G13</f>
        <v>-861</v>
      </c>
      <c r="M144" s="12">
        <f>'Inputs (2)'!H13</f>
        <v>-3364</v>
      </c>
      <c r="N144" s="46">
        <f>'Inputs (2)'!I13</f>
        <v>-855</v>
      </c>
      <c r="O144" s="46">
        <f>'Inputs (2)'!J13</f>
        <v>-854</v>
      </c>
      <c r="P144" s="46">
        <f>'Inputs (2)'!K13</f>
        <v>-860</v>
      </c>
      <c r="Q144" s="46">
        <f>'Inputs (2)'!L13</f>
        <v>-863</v>
      </c>
      <c r="R144" s="12">
        <f>'Inputs (2)'!M13</f>
        <v>-3432</v>
      </c>
      <c r="S144" s="46">
        <f>'Inputs (2)'!N13</f>
        <v>-863</v>
      </c>
      <c r="T144" s="46">
        <f>'Inputs (2)'!O13</f>
        <v>-1082</v>
      </c>
      <c r="U144" s="46">
        <f>'Inputs (2)'!P13</f>
        <v>-1091</v>
      </c>
      <c r="V144" s="46">
        <f>'Inputs (2)'!Q13</f>
        <v>-1099</v>
      </c>
      <c r="W144" s="12">
        <f>'Inputs (2)'!R13</f>
        <v>-4135</v>
      </c>
      <c r="X144" s="46">
        <f>'Inputs (2)'!S13</f>
        <v>-1099</v>
      </c>
      <c r="Y144" s="46">
        <f>'Inputs (2)'!T13</f>
        <v>-1102</v>
      </c>
      <c r="Z144" s="46">
        <f>'Inputs (2)'!U13</f>
        <v>-1103</v>
      </c>
      <c r="AA144" s="46">
        <f>'Inputs (2)'!V13</f>
        <v>-1118</v>
      </c>
      <c r="AB144" s="12">
        <f>'Inputs (2)'!W13</f>
        <v>-4422</v>
      </c>
      <c r="AC144" s="46">
        <f>'Inputs (2)'!X13</f>
        <v>-1119</v>
      </c>
      <c r="AD144" s="46">
        <f>'Inputs (2)'!Y13</f>
        <v>-1403</v>
      </c>
      <c r="AE144" s="46">
        <f>'Inputs (2)'!Z13</f>
        <v>-1413</v>
      </c>
      <c r="AF144" s="46">
        <f>'Inputs (2)'!AA13</f>
        <v>-1435</v>
      </c>
      <c r="AG144" s="12">
        <f>'Inputs (2)'!AB13</f>
        <v>-5370</v>
      </c>
      <c r="AH144" s="12">
        <f>'Inputs (2)'!AC13</f>
        <v>-1437</v>
      </c>
      <c r="AI144" s="12">
        <f>'Inputs (2)'!AD13</f>
        <v>-1502</v>
      </c>
      <c r="AJ144" s="12">
        <f>-MAX(0,AJ143)*Control!$E$15</f>
        <v>0</v>
      </c>
      <c r="AK144" s="12">
        <f>-MAX(0,AK143)*Control!$E$15</f>
        <v>0</v>
      </c>
      <c r="AL144" s="12">
        <f>SUM(AH144:AK144)</f>
        <v>-2939</v>
      </c>
      <c r="AM144" s="12">
        <f>-MAX(0,AM143)*Control!$E$15</f>
        <v>0</v>
      </c>
      <c r="AN144" s="12">
        <f>-MAX(0,AN143)*Control!$E$15</f>
        <v>0</v>
      </c>
      <c r="AO144" s="12">
        <f>-MAX(0,AO143)*Control!$E$15</f>
        <v>0</v>
      </c>
      <c r="AP144" s="12">
        <f>-MAX(0,AP143)*Control!$E$15</f>
        <v>0</v>
      </c>
      <c r="AQ144" s="12">
        <f>SUM(AM144:AP144)</f>
        <v>0</v>
      </c>
      <c r="AR144" s="12">
        <f>-MAX(0,AR143)*Control!$E$15</f>
        <v>0</v>
      </c>
      <c r="AS144" s="12">
        <f>-MAX(0,AS143)*Control!$E$15</f>
        <v>0</v>
      </c>
      <c r="AT144" s="12">
        <f>-MAX(0,AT143)*Control!$E$15</f>
        <v>0</v>
      </c>
      <c r="AU144" s="12">
        <f>-MAX(0,AU143)*Control!$E$15</f>
        <v>0</v>
      </c>
      <c r="AV144" s="12">
        <f>SUM(AR144:AU144)</f>
        <v>0</v>
      </c>
      <c r="AW144" s="12">
        <f>-MAX(0,AW143)*Control!$E$15</f>
        <v>0</v>
      </c>
      <c r="AX144" s="12">
        <f>-MAX(0,AX143)*Control!$E$15</f>
        <v>0</v>
      </c>
      <c r="AY144" s="12">
        <f>-MAX(0,AY143)*Control!$E$15</f>
        <v>0</v>
      </c>
      <c r="AZ144" s="12">
        <f>-MAX(0,AZ143)*Control!$E$15</f>
        <v>0</v>
      </c>
      <c r="BA144" s="12">
        <f>SUM(AW144:AZ144)</f>
        <v>0</v>
      </c>
      <c r="BB144" s="12">
        <f>-MAX(0,BB143)*Control!$E$15</f>
        <v>0</v>
      </c>
      <c r="BC144" s="12">
        <f>-MAX(0,BC143)*Control!$E$15</f>
        <v>0</v>
      </c>
      <c r="BD144" s="12">
        <f>-MAX(0,BD143)*Control!$E$15</f>
        <v>0</v>
      </c>
      <c r="BE144" s="12">
        <f>-MAX(0,BE143)*Control!$E$15</f>
        <v>0</v>
      </c>
      <c r="BF144" s="12">
        <f>SUM(BB144:BE144)</f>
        <v>0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0" t="inlineStr">
        <is>
          <t>% DVD Payout</t>
        </is>
      </c>
      <c r="D145" s="58" t="n"/>
      <c r="E145" s="58" t="n"/>
      <c r="F145" s="58" t="n"/>
      <c r="G145" s="58" t="n"/>
      <c r="H145" s="58" t="n"/>
      <c r="I145" s="58">
        <f>IF(I143=0,"",-I144/I143)</f>
        <v>0.139215295757817</v>
      </c>
      <c r="J145" s="58">
        <f>IF(J143=0,"",-J144/J143)</f>
        <v>0.227430555555556</v>
      </c>
      <c r="K145" s="58">
        <f>IF(K143=0,"",-K144/K143)</f>
        <v>0.361009361009361</v>
      </c>
      <c r="L145" s="58">
        <f>IF(L143=0,"",-L144/L143)</f>
        <v>-0.690457097032879</v>
      </c>
      <c r="M145" s="58">
        <f>IF(M143=0,"",-M144/M143)</f>
        <v>0.327779401734386</v>
      </c>
      <c r="N145" s="58">
        <f>IF(N143=0,"",-N144/N143)</f>
        <v>0.36869340232859</v>
      </c>
      <c r="O145" s="58">
        <f>IF(O143=0,"",-O144/O143)</f>
        <v>0.267795547193478</v>
      </c>
      <c r="P145" s="58">
        <f>IF(P143=0,"",-P144/P143)</f>
        <v>0.555555555555556</v>
      </c>
      <c r="Q145" s="58">
        <f>IF(Q143=0,"",-Q144/Q143)</f>
        <v>0.495692130959219</v>
      </c>
      <c r="R145" s="58">
        <f>IF(R143=0,"",-R144/R143)</f>
        <v>0.390132999886325</v>
      </c>
      <c r="S145" s="58">
        <f>IF(S143=0,"",-S144/S143)</f>
        <v>0.455168776371308</v>
      </c>
      <c r="T145" s="58">
        <f>IF(T143=0,"",-T144/T143)</f>
        <v>0.326001807773426</v>
      </c>
      <c r="U145" s="58">
        <f>IF(U143=0,"",-U144/U143)</f>
        <v>0.450826446280992</v>
      </c>
      <c r="V145" s="58">
        <f>IF(V143=0,"",-V144/V143)</f>
        <v>0.439073112265282</v>
      </c>
      <c r="W145" s="58">
        <f>IF(W143=0,"",-W144/W143)</f>
        <v>0.40787137502466</v>
      </c>
      <c r="X145" s="58">
        <f>IF(X143=0,"",-X144/X143)</f>
        <v>0.457725947521866</v>
      </c>
      <c r="Y145" s="58">
        <f>IF(Y143=0,"",-Y144/Y143)</f>
        <v>0.350508905852417</v>
      </c>
      <c r="Z145" s="58">
        <f>IF(Z143=0,"",-Z144/Z143)</f>
        <v>0.376579037214066</v>
      </c>
      <c r="AA145" s="58">
        <f>IF(AA143=0,"",-AA144/AA143)</f>
        <v>0.354807997461123</v>
      </c>
      <c r="AB145" s="58">
        <f>IF(AB143=0,"",-AB144/AB143)</f>
        <v>0.380387096774194</v>
      </c>
      <c r="AC145" s="58">
        <f>IF(AC143=0,"",-AC144/AC143)</f>
        <v>0.381130790190736</v>
      </c>
      <c r="AD145" s="58">
        <f>IF(AD143=0,"",-AD144/AD143)</f>
        <v>0.409395973154362</v>
      </c>
      <c r="AE145" s="58">
        <f>IF(AE143=0,"",-AE144/AE143)</f>
        <v>0.48274683976768</v>
      </c>
      <c r="AF145" s="41">
        <f>IF(AF143=0,"",-AF144/AF143)</f>
        <v>0.233903830480848</v>
      </c>
      <c r="AG145" s="12">
        <f>IF(AG143=0,"",-AG144/AG143)</f>
        <v>0.348136142625608</v>
      </c>
      <c r="AH145" s="41">
        <f>IF(AH143=0,"",-AH144/AH143)</f>
        <v>0.386186509002956</v>
      </c>
      <c r="AI145" s="41">
        <f>IF(AI143=0,"",-AI144/AI143)</f>
        <v>0.348977695167286</v>
      </c>
      <c r="AJ145" s="41">
        <f>IF(AJ143=0,"",-AJ144/AJ143)</f>
        <v>0</v>
      </c>
      <c r="AK145" s="41">
        <f>IF(AK143=0,"",-AK144/AK143)</f>
        <v>0</v>
      </c>
      <c r="AL145" s="12">
        <f>IF(AL143=0,"",-AL144/AL143)</f>
        <v>0.158936012632496</v>
      </c>
      <c r="AM145" s="41">
        <f>IF(AM143=0,"",-AM144/AM143)</f>
        <v>0</v>
      </c>
      <c r="AN145" s="41">
        <f>IF(AN143=0,"",-AN144/AN143)</f>
        <v>0</v>
      </c>
      <c r="AO145" s="41">
        <f>IF(AO143=0,"",-AO144/AO143)</f>
        <v>0</v>
      </c>
      <c r="AP145" s="41">
        <f>IF(AP143=0,"",-AP144/AP143)</f>
        <v>0</v>
      </c>
      <c r="AQ145" s="12">
        <f>IF(AQ143=0,"",-AQ144/AQ143)</f>
        <v>0</v>
      </c>
      <c r="AR145" s="41">
        <f>IF(AR143=0,"",-AR144/AR143)</f>
        <v>0</v>
      </c>
      <c r="AS145" s="41">
        <f>IF(AS143=0,"",-AS144/AS143)</f>
        <v>0</v>
      </c>
      <c r="AT145" s="41">
        <f>IF(AT143=0,"",-AT144/AT143)</f>
        <v>0</v>
      </c>
      <c r="AU145" s="41">
        <f>IF(AU143=0,"",-AU144/AU143)</f>
        <v>0</v>
      </c>
      <c r="AV145" s="12">
        <f>IF(AV143=0,"",-AV144/AV143)</f>
        <v>0</v>
      </c>
      <c r="AW145" s="41">
        <f>IF(AW143=0,"",-AW144/AW143)</f>
        <v>0</v>
      </c>
      <c r="AX145" s="41">
        <f>IF(AX143=0,"",-AX144/AX143)</f>
        <v>0</v>
      </c>
      <c r="AY145" s="41">
        <f>IF(AY143=0,"",-AY144/AY143)</f>
        <v>0</v>
      </c>
      <c r="AZ145" s="41">
        <f>IF(AZ143=0,"",-AZ144/AZ143)</f>
        <v>0</v>
      </c>
      <c r="BA145" s="12">
        <f>IF(BA143=0,"",-BA144/BA143)</f>
        <v>0</v>
      </c>
      <c r="BB145" s="41">
        <f>IF(BB143=0,"",-BB144/BB143)</f>
        <v>0</v>
      </c>
      <c r="BC145" s="41">
        <f>IF(BC143=0,"",-BC144/BC143)</f>
        <v>0</v>
      </c>
      <c r="BD145" s="41">
        <f>IF(BD143=0,"",-BD144/BD143)</f>
        <v>0</v>
      </c>
      <c r="BE145" s="41">
        <f>IF(BE143=0,"",-BE144/BE143)</f>
        <v>0</v>
      </c>
      <c r="BF145" s="12">
        <f>IF(BF143=0,"",-BF144/BF143)</f>
        <v>0</v>
      </c>
      <c r="BG145" s="41" t="n"/>
      <c r="BH145" s="41" t="n"/>
      <c r="BI145" s="41" t="n"/>
      <c r="BJ145" s="41" t="n"/>
      <c r="BK145" s="12" t="n"/>
      <c r="BL145" s="41" t="n"/>
      <c r="BM145" s="41" t="n"/>
      <c r="BN145" s="41" t="n"/>
      <c r="BO145" s="41" t="n"/>
      <c r="BP145" s="12" t="n"/>
      <c r="BQ145" s="41" t="n"/>
      <c r="BR145" s="41" t="n"/>
      <c r="BS145" s="41" t="n"/>
      <c r="BT145" s="41" t="n"/>
      <c r="BU145" s="12" t="n"/>
      <c r="BV145" s="41" t="n"/>
      <c r="BW145" s="41" t="n"/>
      <c r="BX145" s="41" t="n"/>
      <c r="BY145" s="41" t="n"/>
      <c r="BZ145" s="12" t="n"/>
      <c r="CA145" s="41" t="n"/>
      <c r="CB145" s="41" t="n"/>
      <c r="CC145" s="41" t="n"/>
      <c r="CD145" s="41" t="n"/>
      <c r="CE145" s="12" t="n"/>
      <c r="CF145" s="41" t="n"/>
      <c r="CG145" s="41" t="n"/>
      <c r="CH145" s="41" t="n"/>
      <c r="CI145" s="41" t="n"/>
      <c r="CJ145" s="12" t="n"/>
      <c r="CK145" s="41" t="n"/>
      <c r="CL145" s="41" t="n"/>
      <c r="CM145" s="41" t="n"/>
      <c r="CN145" s="41" t="n"/>
      <c r="CO145" s="12" t="n"/>
      <c r="CP145" s="41" t="n"/>
      <c r="CQ145" s="41" t="n"/>
      <c r="CR145" s="41" t="n"/>
      <c r="CS145" s="41" t="n"/>
      <c r="CT145" s="12" t="n"/>
      <c r="CU145" s="41" t="n"/>
      <c r="CV145" s="41" t="n"/>
      <c r="CW145" s="41" t="n"/>
      <c r="CX145" s="41" t="n"/>
      <c r="CY145" s="12" t="n"/>
    </row>
    <row r="146" hidden="1" outlineLevel="1">
      <c r="C146" s="18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hidden="1" outlineLevel="1">
      <c r="C147" s="18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collapsed="1" ht="11.25" customHeight="1">
      <c r="C148" s="31" t="inlineStr">
        <is>
          <t>Balance Sheet</t>
        </is>
      </c>
      <c r="D148" s="31" t="n"/>
      <c r="E148" s="31" t="n"/>
      <c r="F148" s="31" t="n"/>
      <c r="G148" s="31" t="n"/>
      <c r="H148" s="31" t="n"/>
      <c r="I148" s="31" t="str">
        <f>I13</f>
        <v>1Q21</v>
      </c>
      <c r="J148" s="31" t="str">
        <f>J13</f>
        <v>2Q21</v>
      </c>
      <c r="K148" s="31" t="str">
        <f>K13</f>
        <v>3Q21</v>
      </c>
      <c r="L148" s="31" t="str">
        <f>L13</f>
        <v>4Q21</v>
      </c>
      <c r="M148" s="31">
        <f>M13</f>
        <v>2021</v>
      </c>
      <c r="N148" s="31" t="str">
        <f>N13</f>
        <v>1Q22</v>
      </c>
      <c r="O148" s="31" t="str">
        <f>O13</f>
        <v>2Q22</v>
      </c>
      <c r="P148" s="31" t="str">
        <f>P13</f>
        <v>3Q22</v>
      </c>
      <c r="Q148" s="31" t="str">
        <f>Q13</f>
        <v>4Q22</v>
      </c>
      <c r="R148" s="31">
        <f>R13</f>
        <v>2022</v>
      </c>
      <c r="S148" s="31" t="str">
        <f>S13</f>
        <v>1Q23</v>
      </c>
      <c r="T148" s="31" t="str">
        <f>T13</f>
        <v>2Q23</v>
      </c>
      <c r="U148" s="31" t="str">
        <f>U13</f>
        <v>3Q23</v>
      </c>
      <c r="V148" s="31" t="str">
        <f>V13</f>
        <v>4Q23</v>
      </c>
      <c r="W148" s="31">
        <f>W13</f>
        <v>2023</v>
      </c>
      <c r="X148" s="31" t="str">
        <f>X13</f>
        <v>1Q24</v>
      </c>
      <c r="Y148" s="31" t="str">
        <f>Y13</f>
        <v>2Q24</v>
      </c>
      <c r="Z148" s="31" t="str">
        <f>Z13</f>
        <v>3Q24</v>
      </c>
      <c r="AA148" s="31" t="str">
        <f>AA13</f>
        <v>4Q24</v>
      </c>
      <c r="AB148" s="31">
        <f>AB13</f>
        <v>2024</v>
      </c>
      <c r="AC148" s="31" t="str">
        <f>AC13</f>
        <v>1Q25</v>
      </c>
      <c r="AD148" s="31" t="str">
        <f>AD13</f>
        <v>2Q25</v>
      </c>
      <c r="AE148" s="31" t="str">
        <f>AE13</f>
        <v>3Q25</v>
      </c>
      <c r="AF148" s="31" t="str">
        <f>AF13</f>
        <v>4Q25</v>
      </c>
      <c r="AG148" s="31">
        <f>AG13</f>
        <v>2025</v>
      </c>
      <c r="AH148" s="31" t="str">
        <f>AH13</f>
        <v>1Q26</v>
      </c>
      <c r="AI148" s="31" t="str">
        <f>AI13</f>
        <v>2Q26</v>
      </c>
      <c r="AJ148" s="31" t="str">
        <f>AJ13</f>
        <v>3Q26</v>
      </c>
      <c r="AK148" s="31" t="str">
        <f>AK13</f>
        <v>4Q26</v>
      </c>
      <c r="AL148" s="31">
        <f>AL13</f>
        <v>2026</v>
      </c>
      <c r="AM148" s="31" t="str">
        <f>AM13</f>
        <v>1Q27</v>
      </c>
      <c r="AN148" s="31" t="str">
        <f>AN13</f>
        <v>2Q27</v>
      </c>
      <c r="AO148" s="31" t="str">
        <f>AO13</f>
        <v>3Q27</v>
      </c>
      <c r="AP148" s="31" t="str">
        <f>AP13</f>
        <v>4Q27</v>
      </c>
      <c r="AQ148" s="31">
        <f>AQ13</f>
        <v>2027</v>
      </c>
      <c r="AR148" s="31" t="str">
        <f>AR13</f>
        <v>1Q28</v>
      </c>
      <c r="AS148" s="31" t="str">
        <f>AS13</f>
        <v>2Q28</v>
      </c>
      <c r="AT148" s="31" t="str">
        <f>AT13</f>
        <v>3Q28</v>
      </c>
      <c r="AU148" s="31" t="str">
        <f>AU13</f>
        <v>4Q28</v>
      </c>
      <c r="AV148" s="31">
        <f>AV13</f>
        <v>2028</v>
      </c>
      <c r="AW148" s="31" t="str">
        <f>AW13</f>
        <v>1Q29</v>
      </c>
      <c r="AX148" s="31" t="str">
        <f>AX13</f>
        <v>2Q29</v>
      </c>
      <c r="AY148" s="31" t="str">
        <f>AY13</f>
        <v>3Q29</v>
      </c>
      <c r="AZ148" s="31" t="str">
        <f>AZ13</f>
        <v>4Q29</v>
      </c>
      <c r="BA148" s="31">
        <f>BA13</f>
        <v>2029</v>
      </c>
      <c r="BB148" s="31" t="str">
        <f>BB13</f>
        <v>1Q30</v>
      </c>
      <c r="BC148" s="31" t="str">
        <f>BC13</f>
        <v>2Q30</v>
      </c>
      <c r="BD148" s="31" t="str">
        <f>BD13</f>
        <v>3Q30</v>
      </c>
      <c r="BE148" s="31" t="str">
        <f>BE13</f>
        <v>4Q30</v>
      </c>
      <c r="BF148" s="31">
        <f>BF13</f>
        <v>2030</v>
      </c>
      <c r="BG148" s="31" t="n"/>
      <c r="BH148" s="31" t="n"/>
      <c r="BI148" s="31" t="n"/>
      <c r="BJ148" s="31" t="n"/>
      <c r="BK148" s="31" t="n"/>
      <c r="BL148" s="31" t="n"/>
      <c r="BM148" s="31" t="n"/>
      <c r="BN148" s="31" t="n"/>
      <c r="BO148" s="31" t="n"/>
      <c r="BP148" s="31" t="n"/>
      <c r="BQ148" s="31" t="n"/>
      <c r="BR148" s="31" t="n"/>
      <c r="BS148" s="31" t="n"/>
      <c r="BT148" s="31" t="n"/>
      <c r="BU148" s="31" t="n"/>
      <c r="BV148" s="31" t="n"/>
      <c r="BW148" s="31" t="n"/>
      <c r="BX148" s="31" t="n"/>
      <c r="BY148" s="31" t="n"/>
      <c r="BZ148" s="31" t="n"/>
      <c r="CA148" s="31" t="n"/>
      <c r="CB148" s="31" t="n"/>
      <c r="CC148" s="31" t="n"/>
      <c r="CD148" s="31" t="n"/>
      <c r="CE148" s="31" t="n"/>
      <c r="CF148" s="31" t="n"/>
      <c r="CG148" s="31" t="n"/>
      <c r="CH148" s="31" t="n"/>
      <c r="CI148" s="31" t="n"/>
      <c r="CJ148" s="31" t="n"/>
      <c r="CK148" s="31" t="n"/>
      <c r="CL148" s="31" t="n"/>
      <c r="CM148" s="31" t="n"/>
      <c r="CN148" s="31" t="n"/>
      <c r="CO148" s="31" t="n"/>
      <c r="CP148" s="31" t="n"/>
      <c r="CQ148" s="31" t="n"/>
      <c r="CR148" s="31" t="n"/>
      <c r="CS148" s="31" t="n"/>
      <c r="CT148" s="31" t="n"/>
      <c r="CU148" s="31" t="n"/>
      <c r="CV148" s="31" t="n"/>
      <c r="CW148" s="31" t="n"/>
      <c r="CX148" s="31" t="n"/>
      <c r="CY148" s="31" t="n"/>
    </row>
    <row r="149">
      <c r="C149" s="18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>
      <c r="C150" s="13" t="inlineStr">
        <is>
          <t>Cash and equivalents (inc. investment securities)</t>
        </is>
      </c>
      <c r="D150" s="46" t="n"/>
      <c r="E150" s="46" t="n"/>
      <c r="F150" s="46" t="n"/>
      <c r="G150" s="46" t="n"/>
      <c r="H150" s="12" t="n"/>
      <c r="I150" s="46">
        <f>'Inputs (2)'!D15</f>
        <v>35864</v>
      </c>
      <c r="J150" s="46">
        <f>'Inputs (2)'!E15</f>
        <v>46554</v>
      </c>
      <c r="K150" s="46">
        <f>'Inputs (2)'!F15</f>
        <v>39310</v>
      </c>
      <c r="L150" s="46">
        <f>'Inputs (2)'!G15</f>
        <v>22838</v>
      </c>
      <c r="M150" s="12">
        <f>'Inputs (2)'!H15</f>
        <v>22838</v>
      </c>
      <c r="N150" s="46">
        <f>'Inputs (2)'!I15</f>
        <v>23389</v>
      </c>
      <c r="O150" s="46">
        <f>'Inputs (2)'!J15</f>
        <v>21902</v>
      </c>
      <c r="P150" s="46">
        <f>'Inputs (2)'!K15</f>
        <v>11220</v>
      </c>
      <c r="Q150" s="46">
        <f>'Inputs (2)'!L15</f>
        <v>7350</v>
      </c>
      <c r="R150" s="12">
        <f>'Inputs (2)'!M15</f>
        <v>7350</v>
      </c>
      <c r="S150" s="46">
        <f>'Inputs (2)'!N15</f>
        <v>8769</v>
      </c>
      <c r="T150" s="46">
        <f>'Inputs (2)'!O15</f>
        <v>10187</v>
      </c>
      <c r="U150" s="46">
        <f>'Inputs (2)'!P15</f>
        <v>12083</v>
      </c>
      <c r="V150" s="46">
        <f>'Inputs (2)'!Q15</f>
        <v>8690</v>
      </c>
      <c r="W150" s="12">
        <f>'Inputs (2)'!R15</f>
        <v>8690</v>
      </c>
      <c r="X150" s="46">
        <f>'Inputs (2)'!S15</f>
        <v>9904</v>
      </c>
      <c r="Y150" s="46">
        <f>'Inputs (2)'!T15</f>
        <v>10661</v>
      </c>
      <c r="Z150" s="46">
        <f>'Inputs (2)'!U15</f>
        <v>10911</v>
      </c>
      <c r="AA150" s="46">
        <f>'Inputs (2)'!V15</f>
        <v>11311</v>
      </c>
      <c r="AB150" s="12">
        <f>'Inputs (2)'!W15</f>
        <v>11311</v>
      </c>
      <c r="AC150" s="46">
        <f>'Inputs (2)'!X15</f>
        <v>17823</v>
      </c>
      <c r="AD150" s="46">
        <f>'Inputs (2)'!Y15</f>
        <v>11203</v>
      </c>
      <c r="AE150" s="46">
        <f>'Inputs (2)'!Z15</f>
        <v>11005</v>
      </c>
      <c r="AF150" s="46">
        <f>'Inputs (2)'!AA15</f>
        <v>19766</v>
      </c>
      <c r="AG150" s="12">
        <f>'Inputs (2)'!AB15</f>
        <v>19766</v>
      </c>
      <c r="AH150" s="12">
        <f>'Inputs (2)'!AC15</f>
        <v>39132</v>
      </c>
      <c r="AI150" s="12">
        <f>'Inputs (2)'!AD15</f>
        <v>31894</v>
      </c>
      <c r="AJ150" s="12">
        <f>AJ279-SUM(AJ151,AJ155,AJ159,AJ160,AJ161,AJ167,AJ172,AJ182,AJ185,AJ186,AJ195)</f>
        <v>21785.7903998885</v>
      </c>
      <c r="AK150" s="12">
        <f>AK279-SUM(AK151,AK155,AK159,AK160,AK161,AK167,AK172,AK182,AK185,AK186,AK195)</f>
        <v>13533.6047255794</v>
      </c>
      <c r="AL150" s="12">
        <f>AK150</f>
        <v>13533.6047255794</v>
      </c>
      <c r="AM150" s="12">
        <f>AM279-SUM(AM151,AM155,AM159,AM160,AM161,AM167,AM172,AM182,AM185,AM186,AM195)</f>
        <v>4686.85044558661</v>
      </c>
      <c r="AN150" s="12">
        <f>AN279-SUM(AN151,AN155,AN159,AN160,AN161,AN167,AN172,AN182,AN185,AN186,AN195)</f>
        <v>-5191.90368512471</v>
      </c>
      <c r="AO150" s="12">
        <f>AO279-SUM(AO151,AO155,AO159,AO160,AO161,AO167,AO172,AO182,AO185,AO186,AO195)</f>
        <v>-13344.1239292872</v>
      </c>
      <c r="AP150" s="12">
        <f>AP279-SUM(AP151,AP155,AP159,AP160,AP161,AP167,AP172,AP182,AP185,AP186,AP195)</f>
        <v>-22576.0147396838</v>
      </c>
      <c r="AQ150" s="12">
        <f>AP150</f>
        <v>-22576.0147396838</v>
      </c>
      <c r="AR150" s="12">
        <f>AR279-SUM(AR151,AR155,AR159,AR160,AR161,AR167,AR172,AR182,AR185,AR186,AR195)</f>
        <v>-32397.1752144284</v>
      </c>
      <c r="AS150" s="12">
        <f>AS279-SUM(AS151,AS155,AS159,AS160,AS161,AS167,AS172,AS182,AS185,AS186,AS195)</f>
        <v>-43434.6279077071</v>
      </c>
      <c r="AT150" s="12">
        <f>AT279-SUM(AT151,AT155,AT159,AT160,AT161,AT167,AT172,AT182,AT185,AT186,AT195)</f>
        <v>-52445.6089863561</v>
      </c>
      <c r="AU150" s="12">
        <f>AU279-SUM(AU151,AU155,AU159,AU160,AU161,AU167,AU172,AU182,AU185,AU186,AU195)</f>
        <v>-62651.326564297</v>
      </c>
      <c r="AV150" s="12">
        <f>AU150</f>
        <v>-62651.326564297</v>
      </c>
      <c r="AW150" s="12">
        <f>AW279-SUM(AW151,AW155,AW159,AW160,AW161,AW167,AW172,AW182,AW185,AW186,AW195)</f>
        <v>-73470.5365336185</v>
      </c>
      <c r="AX150" s="12">
        <f>AX279-SUM(AX151,AX155,AX159,AX160,AX161,AX167,AX172,AX182,AX185,AX186,AX195)</f>
        <v>-85574.0297486369</v>
      </c>
      <c r="AY150" s="12">
        <f>AY279-SUM(AY151,AY155,AY159,AY160,AY161,AY167,AY172,AY182,AY185,AY186,AY195)</f>
        <v>-95365.9557986619</v>
      </c>
      <c r="AZ150" s="12">
        <f>AZ279-SUM(AZ151,AZ155,AZ159,AZ160,AZ161,AZ167,AZ172,AZ182,AZ185,AZ186,AZ195)</f>
        <v>-106460.667606106</v>
      </c>
      <c r="BA150" s="12">
        <f>AZ150</f>
        <v>-106460.667606106</v>
      </c>
      <c r="BB150" s="12">
        <f>BB279-SUM(BB151,BB155,BB159,BB160,BB161,BB167,BB172,BB182,BB185,BB186,BB195)</f>
        <v>-118141.108349536</v>
      </c>
      <c r="BC150" s="12">
        <f>BC279-SUM(BC151,BC155,BC159,BC160,BC161,BC167,BC172,BC182,BC185,BC186,BC195)</f>
        <v>-131224.465129982</v>
      </c>
      <c r="BD150" s="12">
        <f>BD279-SUM(BD151,BD155,BD159,BD160,BD161,BD167,BD172,BD182,BD185,BD186,BD195)</f>
        <v>-141630.365555295</v>
      </c>
      <c r="BE150" s="12">
        <f>BE279-SUM(BE151,BE155,BE159,BE160,BE161,BE167,BE172,BE182,BE185,BE186,BE195)</f>
        <v>-153431.543757318</v>
      </c>
      <c r="BF150" s="12">
        <f>BE150</f>
        <v>-153431.543757318</v>
      </c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>
      <c r="C151" s="14" t="inlineStr">
        <is>
          <t>Accounts receivable</t>
        </is>
      </c>
      <c r="D151" s="46" t="n"/>
      <c r="E151" s="46" t="n"/>
      <c r="F151" s="46" t="n"/>
      <c r="G151" s="46" t="n"/>
      <c r="H151" s="12" t="n"/>
      <c r="I151" s="46">
        <f>'Inputs (2)'!D16</f>
        <v>4637</v>
      </c>
      <c r="J151" s="46">
        <f>'Inputs (2)'!E16</f>
        <v>5409</v>
      </c>
      <c r="K151" s="46">
        <f>'Inputs (2)'!F16</f>
        <v>4482</v>
      </c>
      <c r="L151" s="46">
        <f>'Inputs (2)'!G16</f>
        <v>4462</v>
      </c>
      <c r="M151" s="12">
        <f>'Inputs (2)'!H16</f>
        <v>4462</v>
      </c>
      <c r="N151" s="46">
        <f>'Inputs (2)'!I16</f>
        <v>4588</v>
      </c>
      <c r="O151" s="46">
        <f>'Inputs (2)'!J16</f>
        <v>5953</v>
      </c>
      <c r="P151" s="46">
        <f>'Inputs (2)'!K16</f>
        <v>5937</v>
      </c>
      <c r="Q151" s="46">
        <f>'Inputs (2)'!L16</f>
        <v>6197</v>
      </c>
      <c r="R151" s="12">
        <f>'Inputs (2)'!M16</f>
        <v>6197</v>
      </c>
      <c r="S151" s="46">
        <f>'Inputs (2)'!N16</f>
        <v>6213</v>
      </c>
      <c r="T151" s="46">
        <f>'Inputs (2)'!O16</f>
        <v>6915</v>
      </c>
      <c r="U151" s="46">
        <f>'Inputs (2)'!P16</f>
        <v>6519</v>
      </c>
      <c r="V151" s="46">
        <f>'Inputs (2)'!Q16</f>
        <v>6804</v>
      </c>
      <c r="W151" s="12">
        <f>'Inputs (2)'!R16</f>
        <v>6804</v>
      </c>
      <c r="X151" s="46">
        <f>'Inputs (2)'!S16</f>
        <v>7297</v>
      </c>
      <c r="Y151" s="46">
        <f>'Inputs (2)'!T16</f>
        <v>7874</v>
      </c>
      <c r="Z151" s="46">
        <f>'Inputs (2)'!U16</f>
        <v>8021</v>
      </c>
      <c r="AA151" s="46">
        <f>'Inputs (2)'!V16</f>
        <v>8177</v>
      </c>
      <c r="AB151" s="12">
        <f>'Inputs (2)'!W16</f>
        <v>8177</v>
      </c>
      <c r="AC151" s="46">
        <f>'Inputs (2)'!X16</f>
        <v>8051</v>
      </c>
      <c r="AD151" s="46">
        <f>'Inputs (2)'!Y16</f>
        <v>8558</v>
      </c>
      <c r="AE151" s="46">
        <f>'Inputs (2)'!Z16</f>
        <v>8843</v>
      </c>
      <c r="AF151" s="46">
        <f>'Inputs (2)'!AA16</f>
        <v>9440</v>
      </c>
      <c r="AG151" s="12">
        <f>'Inputs (2)'!AB16</f>
        <v>9440</v>
      </c>
      <c r="AH151" s="12">
        <f>'Inputs (2)'!AC16</f>
        <v>10719</v>
      </c>
      <c r="AI151" s="12">
        <f>'Inputs (2)'!AD16</f>
        <v>10385</v>
      </c>
      <c r="AJ151" s="12">
        <f>(AJ152/(AJ$5-AI$5))*AJ$15</f>
        <v>9719.81338856451</v>
      </c>
      <c r="AK151" s="12">
        <f>(AK152/(AK$5-AJ$5))*AK$15</f>
        <v>10456.971954547</v>
      </c>
      <c r="AL151" s="12">
        <f>AK151</f>
        <v>10456.971954547</v>
      </c>
      <c r="AM151" s="12">
        <f>(AM152/(AM$5-AL$5))*AM$15</f>
        <v>11442.8889765413</v>
      </c>
      <c r="AN151" s="12">
        <f>(AN152/(AN$5-AM$5))*AN$15</f>
        <v>12629.9051910689</v>
      </c>
      <c r="AO151" s="12">
        <f>(AO152/(AO$5-AN$5))*AO$15</f>
        <v>11119.2096164853</v>
      </c>
      <c r="AP151" s="12">
        <f>(AP152/(AP$5-AO$5))*AP$15</f>
        <v>11962.4995324615</v>
      </c>
      <c r="AQ151" s="12">
        <f>AP151</f>
        <v>11962.4995324615</v>
      </c>
      <c r="AR151" s="12">
        <f>(AR152/(AR$5-AQ$5))*AR$15</f>
        <v>12889.9266946904</v>
      </c>
      <c r="AS151" s="12">
        <f>(AS152/(AS$5-AR$5))*AS$15</f>
        <v>14385.1281972624</v>
      </c>
      <c r="AT151" s="12">
        <f>(AT152/(AT$5-AS$5))*AT$15</f>
        <v>12664.4858663295</v>
      </c>
      <c r="AU151" s="12">
        <f>(AU152/(AU$5-AT$5))*AU$15</f>
        <v>13624.9707920086</v>
      </c>
      <c r="AV151" s="12">
        <f>AU151</f>
        <v>13624.9707920086</v>
      </c>
      <c r="AW151" s="12">
        <f>(AW152/(AW$5-AV$5))*AW$15</f>
        <v>14779.2454748343</v>
      </c>
      <c r="AX151" s="12">
        <f>(AX152/(AX$5-AW$5))*AX$15</f>
        <v>16312.3551688178</v>
      </c>
      <c r="AY151" s="12">
        <f>(AY152/(AY$5-AX$5))*AY$15</f>
        <v>14361.1922430664</v>
      </c>
      <c r="AZ151" s="12">
        <f>(AZ152/(AZ$5-AY$5))*AZ$15</f>
        <v>15450.3567626397</v>
      </c>
      <c r="BA151" s="12">
        <f>AZ151</f>
        <v>15450.3567626397</v>
      </c>
      <c r="BB151" s="12">
        <f>(BB152/(BB$5-BA$5))*BB$15</f>
        <v>16685.377517473</v>
      </c>
      <c r="BC151" s="12">
        <f>(BC152/(BC$5-BB$5))*BC$15</f>
        <v>18416.2178410449</v>
      </c>
      <c r="BD151" s="12">
        <f>(BD152/(BD$5-BC$5))*BD$15</f>
        <v>16213.4064681846</v>
      </c>
      <c r="BE151" s="12">
        <f>(BE152/(BE$5-BD$5))*BE$15</f>
        <v>17443.0444235634</v>
      </c>
      <c r="BF151" s="12">
        <f>BE151</f>
        <v>17443.0444235634</v>
      </c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inlineStr">
        <is>
          <t>DSO</t>
        </is>
      </c>
      <c r="D152" s="12" t="n"/>
      <c r="E152" s="12" t="n"/>
      <c r="F152" s="12" t="n"/>
      <c r="G152" s="12" t="n"/>
      <c r="H152" s="12" t="n"/>
      <c r="I152" s="12">
        <f>IFERROR((I151/I$15)*(I$5-H$5),"")</f>
        <v>41.3812592959841</v>
      </c>
      <c r="J152" s="12">
        <f>IFERROR((J151/J$15)*(J$5-I$5),"")</f>
        <v>43.8424334194353</v>
      </c>
      <c r="K152" s="12">
        <f>IFERROR((K151/K$15)*(K$5-J$5),"")</f>
        <v>42.3873355263158</v>
      </c>
      <c r="L152" s="12">
        <f>IFERROR((L151/L$15)*(L$5-K$5),"")</f>
        <v>39.6239382239382</v>
      </c>
      <c r="M152" s="12" t="n"/>
      <c r="N152" s="12">
        <f>IFERROR((N151/N$15)*(N$5-M$5),"")</f>
        <v>39.2770855131742</v>
      </c>
      <c r="O152" s="12">
        <f>IFERROR((O151/O$15)*(O$5-N$5),"")</f>
        <v>45.7536317567568</v>
      </c>
      <c r="P152" s="12">
        <f>IFERROR((P151/P$15)*(P$5-O$5),"")</f>
        <v>47.724246395806</v>
      </c>
      <c r="Q152" s="12">
        <f>IFERROR((Q151/Q$15)*(Q$5-P$5),"")</f>
        <v>46.4459470468432</v>
      </c>
      <c r="R152" s="12" t="n"/>
      <c r="S152" s="12">
        <f>IFERROR((S151/S$15)*(S$5-R$5),"")</f>
        <v>45.1016292950476</v>
      </c>
      <c r="T152" s="12">
        <f>IFERROR((T151/T$15)*(T$5-S$5),"")</f>
        <v>45.4802688638335</v>
      </c>
      <c r="U152" s="12">
        <f>IFERROR((U151/U$15)*(U$5-T$5),"")</f>
        <v>48.1609250782944</v>
      </c>
      <c r="V152" s="12">
        <f>IFERROR((V151/V$15)*(V$5-U$5),"")</f>
        <v>48.3709141488293</v>
      </c>
      <c r="W152" s="12" t="n"/>
      <c r="X152" s="12">
        <f>IFERROR((X151/X$15)*(X$5-W$5),"")</f>
        <v>50.0020331325301</v>
      </c>
      <c r="Y152" s="12">
        <f>IFERROR((Y151/Y$15)*(Y$5-X$5),"")</f>
        <v>50.1528662420382</v>
      </c>
      <c r="Z152" s="12">
        <f>IFERROR((Z151/Z$15)*(Z$5-Y$5),"")</f>
        <v>55.4544224844067</v>
      </c>
      <c r="AA152" s="12">
        <f>IFERROR((AA151/AA$15)*(AA$5-Z$5),"")</f>
        <v>53.509068923821</v>
      </c>
      <c r="AB152" s="12" t="n"/>
      <c r="AC152" s="12">
        <f>IFERROR((AC151/AC$15)*(AC$5-AB$5),"")</f>
        <v>51.2802547770701</v>
      </c>
      <c r="AD152" s="12">
        <f>IFERROR((AD151/AD$15)*(AD$5-AC$5),"")</f>
        <v>48.9705087090486</v>
      </c>
      <c r="AE152" s="12">
        <f>IFERROR((AE151/AE$15)*(AE$5-AD$5),"")</f>
        <v>54.5059627495645</v>
      </c>
      <c r="AF152" s="11">
        <f>IFERROR((AF151/AF$15)*(AF$5-AE$5),"")</f>
        <v>54.0839456968489</v>
      </c>
      <c r="AG152" s="12" t="n"/>
      <c r="AH152" s="11">
        <f>IFERROR((AH151/AH$15)*(AH$5-AG$5),"")</f>
        <v>56.1204188481675</v>
      </c>
      <c r="AI152" s="11">
        <f>IFERROR((AI151/AI$15)*(AI$5-AH$5),"")</f>
        <v>49.2616242702252</v>
      </c>
      <c r="AJ152" s="11">
        <f>Control!$B$25</f>
        <v>52.3704525084875</v>
      </c>
      <c r="AK152" s="11">
        <f>Control!$B$25</f>
        <v>52.3704525084875</v>
      </c>
      <c r="AL152" s="12" t="n"/>
      <c r="AM152" s="11">
        <f>Control!$C$25</f>
        <v>52.3704525084875</v>
      </c>
      <c r="AN152" s="11">
        <f>Control!$C$25</f>
        <v>52.3704525084875</v>
      </c>
      <c r="AO152" s="11">
        <f>Control!$C$25</f>
        <v>52.3704525084875</v>
      </c>
      <c r="AP152" s="11">
        <f>Control!$C$25</f>
        <v>52.3704525084875</v>
      </c>
      <c r="AQ152" s="12" t="n"/>
      <c r="AR152" s="11">
        <f>Control!$D$25</f>
        <v>52.3704525084875</v>
      </c>
      <c r="AS152" s="11">
        <f>Control!$D$25</f>
        <v>52.3704525084875</v>
      </c>
      <c r="AT152" s="11">
        <f>Control!$D$25</f>
        <v>52.3704525084875</v>
      </c>
      <c r="AU152" s="11">
        <f>Control!$D$25</f>
        <v>52.3704525084875</v>
      </c>
      <c r="AV152" s="12" t="n"/>
      <c r="AW152" s="11">
        <f>Control!$E$25</f>
        <v>52.3704525084875</v>
      </c>
      <c r="AX152" s="11">
        <f>Control!$E$25</f>
        <v>52.3704525084875</v>
      </c>
      <c r="AY152" s="11">
        <f>Control!$E$25</f>
        <v>52.3704525084875</v>
      </c>
      <c r="AZ152" s="11">
        <f>Control!$E$25</f>
        <v>52.3704525084875</v>
      </c>
      <c r="BA152" s="12" t="n"/>
      <c r="BB152" s="11">
        <f>Control!$F$25</f>
        <v>52.3704525084875</v>
      </c>
      <c r="BC152" s="11">
        <f>Control!$F$25</f>
        <v>52.3704525084875</v>
      </c>
      <c r="BD152" s="11">
        <f>Control!$F$25</f>
        <v>52.3704525084875</v>
      </c>
      <c r="BE152" s="11">
        <f>Control!$F$25</f>
        <v>52.3704525084875</v>
      </c>
      <c r="BF152" s="12" t="n"/>
      <c r="BG152" s="11" t="n"/>
      <c r="BH152" s="11" t="n"/>
      <c r="BI152" s="11" t="n"/>
      <c r="BJ152" s="11" t="n"/>
      <c r="BK152" s="12" t="n"/>
      <c r="BL152" s="11" t="n"/>
      <c r="BM152" s="11" t="n"/>
      <c r="BN152" s="11" t="n"/>
      <c r="BO152" s="11" t="n"/>
      <c r="BP152" s="12" t="n"/>
      <c r="BQ152" s="11" t="n"/>
      <c r="BR152" s="11" t="n"/>
      <c r="BS152" s="11" t="n"/>
      <c r="BT152" s="11" t="n"/>
      <c r="BU152" s="12" t="n"/>
      <c r="BV152" s="11" t="n"/>
      <c r="BW152" s="11" t="n"/>
      <c r="BX152" s="11" t="n"/>
      <c r="BY152" s="11" t="n"/>
      <c r="BZ152" s="12" t="n"/>
      <c r="CA152" s="11" t="n"/>
      <c r="CB152" s="11" t="n"/>
      <c r="CC152" s="11" t="n"/>
      <c r="CD152" s="11" t="n"/>
      <c r="CE152" s="12" t="n"/>
      <c r="CF152" s="11" t="n"/>
      <c r="CG152" s="11" t="n"/>
      <c r="CH152" s="11" t="n"/>
      <c r="CI152" s="11" t="n"/>
      <c r="CJ152" s="12" t="n"/>
      <c r="CK152" s="11" t="n"/>
      <c r="CL152" s="11" t="n"/>
      <c r="CM152" s="11" t="n"/>
      <c r="CN152" s="11" t="n"/>
      <c r="CO152" s="12" t="n"/>
      <c r="CP152" s="11" t="n"/>
      <c r="CQ152" s="11" t="n"/>
      <c r="CR152" s="11" t="n"/>
      <c r="CS152" s="11" t="n"/>
      <c r="CT152" s="12" t="n"/>
      <c r="CU152" s="11" t="n"/>
      <c r="CV152" s="11" t="n"/>
      <c r="CW152" s="11" t="n"/>
      <c r="CX152" s="11" t="n"/>
      <c r="CY152" s="12" t="n"/>
    </row>
    <row r="153" hidden="1" outlineLevel="1">
      <c r="C153" s="57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hidden="1" outlineLevel="1">
      <c r="C154" s="57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collapsed="1">
      <c r="C155" s="14" t="inlineStr">
        <is>
          <t>Inventories</t>
        </is>
      </c>
      <c r="D155" s="46" t="n"/>
      <c r="E155" s="46" t="n"/>
      <c r="F155" s="46" t="n"/>
      <c r="G155" s="46" t="n"/>
      <c r="H155" s="12" t="n"/>
      <c r="I155" s="46">
        <f>'Inputs (2)'!D17</f>
        <v>0</v>
      </c>
      <c r="J155" s="46">
        <f>'Inputs (2)'!E17</f>
        <v>0</v>
      </c>
      <c r="K155" s="46">
        <f>'Inputs (2)'!F17</f>
        <v>0</v>
      </c>
      <c r="L155" s="46">
        <f>'Inputs (2)'!G17</f>
        <v>0</v>
      </c>
      <c r="M155" s="12">
        <f>'Inputs (2)'!H17</f>
        <v>0</v>
      </c>
      <c r="N155" s="46">
        <f>'Inputs (2)'!I17</f>
        <v>0</v>
      </c>
      <c r="O155" s="46">
        <f>'Inputs (2)'!J17</f>
        <v>0</v>
      </c>
      <c r="P155" s="46">
        <f>'Inputs (2)'!K17</f>
        <v>0</v>
      </c>
      <c r="Q155" s="46">
        <f>'Inputs (2)'!L17</f>
        <v>0</v>
      </c>
      <c r="R155" s="12">
        <f>'Inputs (2)'!M17</f>
        <v>0</v>
      </c>
      <c r="S155" s="46">
        <f>'Inputs (2)'!N17</f>
        <v>0</v>
      </c>
      <c r="T155" s="46">
        <f>'Inputs (2)'!O17</f>
        <v>0</v>
      </c>
      <c r="U155" s="46">
        <f>'Inputs (2)'!P17</f>
        <v>0</v>
      </c>
      <c r="V155" s="46">
        <f>'Inputs (2)'!Q17</f>
        <v>0</v>
      </c>
      <c r="W155" s="12">
        <f>'Inputs (2)'!R17</f>
        <v>0</v>
      </c>
      <c r="X155" s="46">
        <f>'Inputs (2)'!S17</f>
        <v>0</v>
      </c>
      <c r="Y155" s="46">
        <f>'Inputs (2)'!T17</f>
        <v>0</v>
      </c>
      <c r="Z155" s="46">
        <f>'Inputs (2)'!U17</f>
        <v>0</v>
      </c>
      <c r="AA155" s="46">
        <f>'Inputs (2)'!V17</f>
        <v>0</v>
      </c>
      <c r="AB155" s="12">
        <f>'Inputs (2)'!W17</f>
        <v>0</v>
      </c>
      <c r="AC155" s="46">
        <f>'Inputs (2)'!X17</f>
        <v>0</v>
      </c>
      <c r="AD155" s="46">
        <f>'Inputs (2)'!Y17</f>
        <v>0</v>
      </c>
      <c r="AE155" s="46">
        <f>'Inputs (2)'!Z17</f>
        <v>0</v>
      </c>
      <c r="AF155" s="46">
        <f>'Inputs (2)'!AA17</f>
        <v>0</v>
      </c>
      <c r="AG155" s="12">
        <f>'Inputs (2)'!AB17</f>
        <v>0</v>
      </c>
      <c r="AH155" s="12">
        <f>'Inputs (2)'!AC17</f>
        <v>0</v>
      </c>
      <c r="AI155" s="12">
        <f>'Inputs (2)'!AD17</f>
        <v>0</v>
      </c>
      <c r="AJ155" s="12">
        <f>(AJ156/(AJ$5-AI$5))*-AJ$60</f>
        <v>0</v>
      </c>
      <c r="AK155" s="12">
        <f>(AK156/(AK$5-AJ$5))*-AK$60</f>
        <v>0</v>
      </c>
      <c r="AL155" s="12">
        <f>AK155</f>
        <v>0</v>
      </c>
      <c r="AM155" s="12">
        <f>(AM156/(AM$5-AL$5))*-AM$60</f>
        <v>0</v>
      </c>
      <c r="AN155" s="12">
        <f>(AN156/(AN$5-AM$5))*-AN$60</f>
        <v>0</v>
      </c>
      <c r="AO155" s="12">
        <f>(AO156/(AO$5-AN$5))*-AO$60</f>
        <v>0</v>
      </c>
      <c r="AP155" s="12">
        <f>(AP156/(AP$5-AO$5))*-AP$60</f>
        <v>0</v>
      </c>
      <c r="AQ155" s="12">
        <f>AP155</f>
        <v>0</v>
      </c>
      <c r="AR155" s="12">
        <f>(AR156/(AR$5-AQ$5))*-AR$60</f>
        <v>0</v>
      </c>
      <c r="AS155" s="12">
        <f>(AS156/(AS$5-AR$5))*-AS$60</f>
        <v>0</v>
      </c>
      <c r="AT155" s="12">
        <f>(AT156/(AT$5-AS$5))*-AT$60</f>
        <v>0</v>
      </c>
      <c r="AU155" s="12">
        <f>(AU156/(AU$5-AT$5))*-AU$60</f>
        <v>0</v>
      </c>
      <c r="AV155" s="12">
        <f>AU155</f>
        <v>0</v>
      </c>
      <c r="AW155" s="12">
        <f>(AW156/(AW$5-AV$5))*-AW$60</f>
        <v>0</v>
      </c>
      <c r="AX155" s="12">
        <f>(AX156/(AX$5-AW$5))*-AX$60</f>
        <v>0</v>
      </c>
      <c r="AY155" s="12">
        <f>(AY156/(AY$5-AX$5))*-AY$60</f>
        <v>0</v>
      </c>
      <c r="AZ155" s="12">
        <f>(AZ156/(AZ$5-AY$5))*-AZ$60</f>
        <v>0</v>
      </c>
      <c r="BA155" s="12">
        <f>AZ155</f>
        <v>0</v>
      </c>
      <c r="BB155" s="12">
        <f>(BB156/(BB$5-BA$5))*-BB$60</f>
        <v>0</v>
      </c>
      <c r="BC155" s="12">
        <f>(BC156/(BC$5-BB$5))*-BC$60</f>
        <v>0</v>
      </c>
      <c r="BD155" s="12">
        <f>(BD156/(BD$5-BC$5))*-BD$60</f>
        <v>0</v>
      </c>
      <c r="BE155" s="12">
        <f>(BE156/(BE$5-BD$5))*-BE$60</f>
        <v>0</v>
      </c>
      <c r="BF155" s="12">
        <f>BE155</f>
        <v>0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DIO</t>
        </is>
      </c>
      <c r="D156" s="12" t="n"/>
      <c r="E156" s="12" t="n"/>
      <c r="F156" s="12" t="n"/>
      <c r="G156" s="12" t="n"/>
      <c r="H156" s="12" t="n"/>
      <c r="I156" s="12">
        <f>IFERROR(((I155/I$60)*(I$5-H$5))*-1,"")</f>
        <v>0</v>
      </c>
      <c r="J156" s="12">
        <f>IFERROR(((J155/J$60)*(J$5-I$5))*-1,"")</f>
        <v>0</v>
      </c>
      <c r="K156" s="12">
        <f>IFERROR(((K155/K$60)*(K$5-J$5))*-1,"")</f>
        <v>0</v>
      </c>
      <c r="L156" s="12">
        <f>IFERROR(((L155/L$60)*(L$5-K$5))*-1,"")</f>
        <v>0</v>
      </c>
      <c r="M156" s="12" t="n"/>
      <c r="N156" s="12">
        <f>IFERROR(((N155/N$60)*(N$5-M$5))*-1,"")</f>
        <v>0</v>
      </c>
      <c r="O156" s="12">
        <f>IFERROR(((O155/O$60)*(O$5-N$5))*-1,"")</f>
        <v>0</v>
      </c>
      <c r="P156" s="12">
        <f>IFERROR(((P155/P$60)*(P$5-O$5))*-1,"")</f>
        <v>0</v>
      </c>
      <c r="Q156" s="12">
        <f>IFERROR(((Q155/Q$60)*(Q$5-P$5))*-1,"")</f>
        <v>0</v>
      </c>
      <c r="R156" s="12" t="n"/>
      <c r="S156" s="12">
        <f>IFERROR(((S155/S$60)*(S$5-R$5))*-1,"")</f>
        <v>0</v>
      </c>
      <c r="T156" s="12">
        <f>IFERROR(((T155/T$60)*(T$5-S$5))*-1,"")</f>
        <v>0</v>
      </c>
      <c r="U156" s="12">
        <f>IFERROR(((U155/U$60)*(U$5-T$5))*-1,"")</f>
        <v>0</v>
      </c>
      <c r="V156" s="12">
        <f>IFERROR(((V155/V$60)*(V$5-U$5))*-1,"")</f>
        <v>0</v>
      </c>
      <c r="W156" s="12" t="n"/>
      <c r="X156" s="12">
        <f>IFERROR(((X155/X$60)*(X$5-W$5))*-1,"")</f>
        <v>0</v>
      </c>
      <c r="Y156" s="12">
        <f>IFERROR(((Y155/Y$60)*(Y$5-X$5))*-1,"")</f>
        <v>0</v>
      </c>
      <c r="Z156" s="12">
        <f>IFERROR(((Z155/Z$60)*(Z$5-Y$5))*-1,"")</f>
        <v>0</v>
      </c>
      <c r="AA156" s="12">
        <f>IFERROR(((AA155/AA$60)*(AA$5-Z$5))*-1,"")</f>
        <v>0</v>
      </c>
      <c r="AB156" s="12" t="n"/>
      <c r="AC156" s="12">
        <f>IFERROR(((AC155/AC$60)*(AC$5-AB$5))*-1,"")</f>
        <v>0</v>
      </c>
      <c r="AD156" s="12">
        <f>IFERROR(((AD155/AD$60)*(AD$5-AC$5))*-1,"")</f>
        <v>0</v>
      </c>
      <c r="AE156" s="12">
        <f>IFERROR(((AE155/AE$60)*(AE$5-AD$5))*-1,"")</f>
        <v>0</v>
      </c>
      <c r="AF156" s="11">
        <f>IFERROR(((AF155/AF$60)*(AF$5-AE$5))*-1,"")</f>
        <v>0</v>
      </c>
      <c r="AG156" s="12" t="n"/>
      <c r="AH156" s="11">
        <f>IFERROR(((AH155/AH$60)*(AH$5-AG$5))*-1,"")</f>
        <v>0</v>
      </c>
      <c r="AI156" s="11">
        <f>IFERROR(((AI155/AI$60)*(AI$5-AH$5))*-1,"")</f>
        <v>0</v>
      </c>
      <c r="AJ156" s="11">
        <f>Control!$B$26</f>
        <v>0</v>
      </c>
      <c r="AK156" s="11">
        <f>Control!$B$26</f>
        <v>0</v>
      </c>
      <c r="AL156" s="12" t="n"/>
      <c r="AM156" s="11">
        <f>Control!$C$26</f>
        <v>0</v>
      </c>
      <c r="AN156" s="11">
        <f>Control!$C$26</f>
        <v>0</v>
      </c>
      <c r="AO156" s="11">
        <f>Control!$C$26</f>
        <v>0</v>
      </c>
      <c r="AP156" s="11">
        <f>Control!$C$26</f>
        <v>0</v>
      </c>
      <c r="AQ156" s="12" t="n"/>
      <c r="AR156" s="11">
        <f>Control!$D$26</f>
        <v>0</v>
      </c>
      <c r="AS156" s="11">
        <f>Control!$D$26</f>
        <v>0</v>
      </c>
      <c r="AT156" s="11">
        <f>Control!$D$26</f>
        <v>0</v>
      </c>
      <c r="AU156" s="11">
        <f>Control!$D$26</f>
        <v>0</v>
      </c>
      <c r="AV156" s="12" t="n"/>
      <c r="AW156" s="11">
        <f>Control!$E$26</f>
        <v>0</v>
      </c>
      <c r="AX156" s="11">
        <f>Control!$E$26</f>
        <v>0</v>
      </c>
      <c r="AY156" s="11">
        <f>Control!$E$26</f>
        <v>0</v>
      </c>
      <c r="AZ156" s="11">
        <f>Control!$E$26</f>
        <v>0</v>
      </c>
      <c r="BA156" s="12" t="n"/>
      <c r="BB156" s="11">
        <f>Control!$F$26</f>
        <v>0</v>
      </c>
      <c r="BC156" s="11">
        <f>Control!$F$26</f>
        <v>0</v>
      </c>
      <c r="BD156" s="11">
        <f>Control!$F$26</f>
        <v>0</v>
      </c>
      <c r="BE156" s="11">
        <f>Control!$F$26</f>
        <v>0</v>
      </c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57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collapsed="1">
      <c r="C159" s="14" t="inlineStr">
        <is>
          <t>Deferred income taxes</t>
        </is>
      </c>
      <c r="D159" s="46" t="n"/>
      <c r="E159" s="46" t="n"/>
      <c r="F159" s="46" t="n"/>
      <c r="G159" s="46" t="n"/>
      <c r="H159" s="12" t="n"/>
      <c r="I159" s="46">
        <f>'Inputs (2)'!D18</f>
        <v>13725</v>
      </c>
      <c r="J159" s="46">
        <f>'Inputs (2)'!E18</f>
        <v>13636</v>
      </c>
      <c r="K159" s="46">
        <f>'Inputs (2)'!F18</f>
        <v>13391</v>
      </c>
      <c r="L159" s="46">
        <f>'Inputs (2)'!G18</f>
        <v>13265</v>
      </c>
      <c r="M159" s="12">
        <f>'Inputs (2)'!H18</f>
        <v>13265</v>
      </c>
      <c r="N159" s="46">
        <f>'Inputs (2)'!I18</f>
        <v>13109</v>
      </c>
      <c r="O159" s="46">
        <f>'Inputs (2)'!J18</f>
        <v>12782</v>
      </c>
      <c r="P159" s="46">
        <f>'Inputs (2)'!K18</f>
        <v>12065</v>
      </c>
      <c r="Q159" s="46">
        <f>'Inputs (2)'!L18</f>
        <v>12091</v>
      </c>
      <c r="R159" s="12">
        <f>'Inputs (2)'!M18</f>
        <v>12091</v>
      </c>
      <c r="S159" s="46">
        <f>'Inputs (2)'!N18</f>
        <v>12153</v>
      </c>
      <c r="T159" s="46">
        <f>'Inputs (2)'!O18</f>
        <v>12226</v>
      </c>
      <c r="U159" s="46">
        <f>'Inputs (2)'!P18</f>
        <v>12243</v>
      </c>
      <c r="V159" s="46">
        <f>'Inputs (2)'!Q18</f>
        <v>12758</v>
      </c>
      <c r="W159" s="12">
        <f>'Inputs (2)'!R18</f>
        <v>12758</v>
      </c>
      <c r="X159" s="46">
        <f>'Inputs (2)'!S18</f>
        <v>12688</v>
      </c>
      <c r="Y159" s="46">
        <f>'Inputs (2)'!T18</f>
        <v>12273</v>
      </c>
      <c r="Z159" s="46">
        <f>'Inputs (2)'!U18</f>
        <v>12219</v>
      </c>
      <c r="AA159" s="46">
        <f>'Inputs (2)'!V18</f>
        <v>11984</v>
      </c>
      <c r="AB159" s="12">
        <f>'Inputs (2)'!W18</f>
        <v>11984</v>
      </c>
      <c r="AC159" s="46">
        <f>'Inputs (2)'!X18</f>
        <v>11799</v>
      </c>
      <c r="AD159" s="46">
        <f>'Inputs (2)'!Y18</f>
        <v>11877</v>
      </c>
      <c r="AE159" s="46">
        <f>'Inputs (2)'!Z18</f>
        <v>11734</v>
      </c>
      <c r="AF159" s="46">
        <f>'Inputs (2)'!AA18</f>
        <v>11531</v>
      </c>
      <c r="AG159" s="12">
        <f>'Inputs (2)'!AB18</f>
        <v>11531</v>
      </c>
      <c r="AH159" s="12">
        <f>'Inputs (2)'!AC18</f>
        <v>11360</v>
      </c>
      <c r="AI159" s="12">
        <f>'Inputs (2)'!AD18</f>
        <v>11541</v>
      </c>
      <c r="AJ159" s="12">
        <f>AI159</f>
        <v>11541</v>
      </c>
      <c r="AK159" s="12">
        <f>AJ159</f>
        <v>11541</v>
      </c>
      <c r="AL159" s="12">
        <f>AK159</f>
        <v>11541</v>
      </c>
      <c r="AM159" s="12">
        <f>AL159</f>
        <v>11541</v>
      </c>
      <c r="AN159" s="12">
        <f>AM159</f>
        <v>11541</v>
      </c>
      <c r="AO159" s="12">
        <f>AN159</f>
        <v>11541</v>
      </c>
      <c r="AP159" s="12">
        <f>AO159</f>
        <v>11541</v>
      </c>
      <c r="AQ159" s="12">
        <f>AP159</f>
        <v>11541</v>
      </c>
      <c r="AR159" s="12">
        <f>AQ159</f>
        <v>11541</v>
      </c>
      <c r="AS159" s="12">
        <f>AR159</f>
        <v>11541</v>
      </c>
      <c r="AT159" s="12">
        <f>AS159</f>
        <v>11541</v>
      </c>
      <c r="AU159" s="12">
        <f>AT159</f>
        <v>11541</v>
      </c>
      <c r="AV159" s="12">
        <f>AU159</f>
        <v>11541</v>
      </c>
      <c r="AW159" s="12">
        <f>AV159</f>
        <v>11541</v>
      </c>
      <c r="AX159" s="12">
        <f>AW159</f>
        <v>11541</v>
      </c>
      <c r="AY159" s="12">
        <f>AX159</f>
        <v>11541</v>
      </c>
      <c r="AZ159" s="12">
        <f>AY159</f>
        <v>11541</v>
      </c>
      <c r="BA159" s="12">
        <f>AZ159</f>
        <v>11541</v>
      </c>
      <c r="BB159" s="12">
        <f>BA159</f>
        <v>11541</v>
      </c>
      <c r="BC159" s="12">
        <f>BB159</f>
        <v>11541</v>
      </c>
      <c r="BD159" s="12">
        <f>BC159</f>
        <v>11541</v>
      </c>
      <c r="BE159" s="12">
        <f>BD159</f>
        <v>11541</v>
      </c>
      <c r="BF159" s="12">
        <f>BE159</f>
        <v>11541</v>
      </c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>
      <c r="C160" s="14" t="inlineStr">
        <is>
          <t>Prepaid expenses</t>
        </is>
      </c>
      <c r="D160" s="46" t="n"/>
      <c r="E160" s="46" t="n"/>
      <c r="F160" s="46" t="n"/>
      <c r="G160" s="46" t="n"/>
      <c r="H160" s="12" t="n"/>
      <c r="I160" s="46">
        <f>'Inputs (2)'!D19</f>
        <v>0</v>
      </c>
      <c r="J160" s="46">
        <f>'Inputs (2)'!E19</f>
        <v>0</v>
      </c>
      <c r="K160" s="46">
        <f>'Inputs (2)'!F19</f>
        <v>0</v>
      </c>
      <c r="L160" s="46">
        <f>'Inputs (2)'!G19</f>
        <v>0</v>
      </c>
      <c r="M160" s="12">
        <f>'Inputs (2)'!H19</f>
        <v>0</v>
      </c>
      <c r="N160" s="46">
        <f>'Inputs (2)'!I19</f>
        <v>0</v>
      </c>
      <c r="O160" s="46">
        <f>'Inputs (2)'!J19</f>
        <v>0</v>
      </c>
      <c r="P160" s="46">
        <f>'Inputs (2)'!K19</f>
        <v>0</v>
      </c>
      <c r="Q160" s="46">
        <f>'Inputs (2)'!L19</f>
        <v>0</v>
      </c>
      <c r="R160" s="12">
        <f>'Inputs (2)'!M19</f>
        <v>0</v>
      </c>
      <c r="S160" s="46">
        <f>'Inputs (2)'!N19</f>
        <v>0</v>
      </c>
      <c r="T160" s="46">
        <f>'Inputs (2)'!O19</f>
        <v>0</v>
      </c>
      <c r="U160" s="46">
        <f>'Inputs (2)'!P19</f>
        <v>0</v>
      </c>
      <c r="V160" s="46">
        <f>'Inputs (2)'!Q19</f>
        <v>0</v>
      </c>
      <c r="W160" s="12">
        <f>'Inputs (2)'!R19</f>
        <v>0</v>
      </c>
      <c r="X160" s="46">
        <f>'Inputs (2)'!S19</f>
        <v>0</v>
      </c>
      <c r="Y160" s="46">
        <f>'Inputs (2)'!T19</f>
        <v>0</v>
      </c>
      <c r="Z160" s="46">
        <f>'Inputs (2)'!U19</f>
        <v>0</v>
      </c>
      <c r="AA160" s="46">
        <f>'Inputs (2)'!V19</f>
        <v>0</v>
      </c>
      <c r="AB160" s="12">
        <f>'Inputs (2)'!W19</f>
        <v>0</v>
      </c>
      <c r="AC160" s="46">
        <f>'Inputs (2)'!X19</f>
        <v>0</v>
      </c>
      <c r="AD160" s="46">
        <f>'Inputs (2)'!Y19</f>
        <v>0</v>
      </c>
      <c r="AE160" s="46">
        <f>'Inputs (2)'!Z19</f>
        <v>0</v>
      </c>
      <c r="AF160" s="46">
        <f>'Inputs (2)'!AA19</f>
        <v>0</v>
      </c>
      <c r="AG160" s="12">
        <f>'Inputs (2)'!AB19</f>
        <v>0</v>
      </c>
      <c r="AH160" s="12">
        <f>'Inputs (2)'!AC19</f>
        <v>0</v>
      </c>
      <c r="AI160" s="12">
        <f>'Inputs (2)'!AD19</f>
        <v>0</v>
      </c>
      <c r="AJ160" s="12">
        <f>AI160</f>
        <v>0</v>
      </c>
      <c r="AK160" s="12">
        <f>AJ160</f>
        <v>0</v>
      </c>
      <c r="AL160" s="12">
        <f>AK160</f>
        <v>0</v>
      </c>
      <c r="AM160" s="12">
        <f>AL160</f>
        <v>0</v>
      </c>
      <c r="AN160" s="12">
        <f>AM160</f>
        <v>0</v>
      </c>
      <c r="AO160" s="12">
        <f>AN160</f>
        <v>0</v>
      </c>
      <c r="AP160" s="12">
        <f>AO160</f>
        <v>0</v>
      </c>
      <c r="AQ160" s="12">
        <f>AP160</f>
        <v>0</v>
      </c>
      <c r="AR160" s="12">
        <f>AQ160</f>
        <v>0</v>
      </c>
      <c r="AS160" s="12">
        <f>AR160</f>
        <v>0</v>
      </c>
      <c r="AT160" s="12">
        <f>AS160</f>
        <v>0</v>
      </c>
      <c r="AU160" s="12">
        <f>AT160</f>
        <v>0</v>
      </c>
      <c r="AV160" s="12">
        <f>AU160</f>
        <v>0</v>
      </c>
      <c r="AW160" s="12">
        <f>AV160</f>
        <v>0</v>
      </c>
      <c r="AX160" s="12">
        <f>AW160</f>
        <v>0</v>
      </c>
      <c r="AY160" s="12">
        <f>AX160</f>
        <v>0</v>
      </c>
      <c r="AZ160" s="12">
        <f>AY160</f>
        <v>0</v>
      </c>
      <c r="BA160" s="12">
        <f>AZ160</f>
        <v>0</v>
      </c>
      <c r="BB160" s="12">
        <f>BA160</f>
        <v>0</v>
      </c>
      <c r="BC160" s="12">
        <f>BB160</f>
        <v>0</v>
      </c>
      <c r="BD160" s="12">
        <f>BC160</f>
        <v>0</v>
      </c>
      <c r="BE160" s="12">
        <f>BD160</f>
        <v>0</v>
      </c>
      <c r="BF160" s="12">
        <f>BE160</f>
        <v>0</v>
      </c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>
      <c r="C161" s="14" t="inlineStr">
        <is>
          <t>Other current assets</t>
        </is>
      </c>
      <c r="D161" s="46" t="n"/>
      <c r="E161" s="46" t="n"/>
      <c r="F161" s="46" t="n"/>
      <c r="G161" s="46" t="n"/>
      <c r="H161" s="12" t="n"/>
      <c r="I161" s="46">
        <f>'Inputs (2)'!D20</f>
        <v>3243</v>
      </c>
      <c r="J161" s="46">
        <f>'Inputs (2)'!E20</f>
        <v>3604</v>
      </c>
      <c r="K161" s="46">
        <f>'Inputs (2)'!F20</f>
        <v>3325</v>
      </c>
      <c r="L161" s="46">
        <f>'Inputs (2)'!G20</f>
        <v>3778</v>
      </c>
      <c r="M161" s="12">
        <f>'Inputs (2)'!H20</f>
        <v>3778</v>
      </c>
      <c r="N161" s="46">
        <f>'Inputs (2)'!I20</f>
        <v>3698</v>
      </c>
      <c r="O161" s="46">
        <f>'Inputs (2)'!J20</f>
        <v>3778</v>
      </c>
      <c r="P161" s="46">
        <f>'Inputs (2)'!K20</f>
        <v>3847</v>
      </c>
      <c r="Q161" s="46">
        <f>'Inputs (2)'!L20</f>
        <v>4014</v>
      </c>
      <c r="R161" s="12">
        <f>'Inputs (2)'!M20</f>
        <v>4014</v>
      </c>
      <c r="S161" s="46">
        <f>'Inputs (2)'!N20</f>
        <v>3714</v>
      </c>
      <c r="T161" s="46">
        <f>'Inputs (2)'!O20</f>
        <v>3902</v>
      </c>
      <c r="U161" s="46">
        <f>'Inputs (2)'!P20</f>
        <v>3564</v>
      </c>
      <c r="V161" s="46">
        <f>'Inputs (2)'!Q20</f>
        <v>3795</v>
      </c>
      <c r="W161" s="12">
        <f>'Inputs (2)'!R20</f>
        <v>3795</v>
      </c>
      <c r="X161" s="46">
        <f>'Inputs (2)'!S20</f>
        <v>3862</v>
      </c>
      <c r="Y161" s="46">
        <f>'Inputs (2)'!T20</f>
        <v>4019</v>
      </c>
      <c r="Z161" s="46">
        <f>'Inputs (2)'!U20</f>
        <v>4140</v>
      </c>
      <c r="AA161" s="46">
        <f>'Inputs (2)'!V20</f>
        <v>4015</v>
      </c>
      <c r="AB161" s="12">
        <f>'Inputs (2)'!W20</f>
        <v>4015</v>
      </c>
      <c r="AC161" s="46">
        <f>'Inputs (2)'!X20</f>
        <v>4242</v>
      </c>
      <c r="AD161" s="46">
        <f>'Inputs (2)'!Y20</f>
        <v>4818</v>
      </c>
      <c r="AE161" s="46">
        <f>'Inputs (2)'!Z20</f>
        <v>4786</v>
      </c>
      <c r="AF161" s="46">
        <f>'Inputs (2)'!AA20</f>
        <v>5160</v>
      </c>
      <c r="AG161" s="12">
        <f>'Inputs (2)'!AB20</f>
        <v>5160</v>
      </c>
      <c r="AH161" s="12">
        <f>'Inputs (2)'!AC20</f>
        <v>5023</v>
      </c>
      <c r="AI161" s="12">
        <f>'Inputs (2)'!AD20</f>
        <v>4288</v>
      </c>
      <c r="AJ161" s="12">
        <f>AI161</f>
        <v>4288</v>
      </c>
      <c r="AK161" s="12">
        <f>AJ161</f>
        <v>4288</v>
      </c>
      <c r="AL161" s="12">
        <f>AK161</f>
        <v>4288</v>
      </c>
      <c r="AM161" s="12">
        <f>AL161</f>
        <v>4288</v>
      </c>
      <c r="AN161" s="12">
        <f>AM161</f>
        <v>4288</v>
      </c>
      <c r="AO161" s="12">
        <f>AN161</f>
        <v>4288</v>
      </c>
      <c r="AP161" s="12">
        <f>AO161</f>
        <v>4288</v>
      </c>
      <c r="AQ161" s="12">
        <f>AP161</f>
        <v>4288</v>
      </c>
      <c r="AR161" s="12">
        <f>AQ161</f>
        <v>4288</v>
      </c>
      <c r="AS161" s="12">
        <f>AR161</f>
        <v>4288</v>
      </c>
      <c r="AT161" s="12">
        <f>AS161</f>
        <v>4288</v>
      </c>
      <c r="AU161" s="12">
        <f>AT161</f>
        <v>4288</v>
      </c>
      <c r="AV161" s="12">
        <f>AU161</f>
        <v>4288</v>
      </c>
      <c r="AW161" s="12">
        <f>AV161</f>
        <v>4288</v>
      </c>
      <c r="AX161" s="12">
        <f>AW161</f>
        <v>4288</v>
      </c>
      <c r="AY161" s="12">
        <f>AX161</f>
        <v>4288</v>
      </c>
      <c r="AZ161" s="12">
        <f>AY161</f>
        <v>4288</v>
      </c>
      <c r="BA161" s="12">
        <f>AZ161</f>
        <v>4288</v>
      </c>
      <c r="BB161" s="12">
        <f>BA161</f>
        <v>4288</v>
      </c>
      <c r="BC161" s="12">
        <f>BB161</f>
        <v>4288</v>
      </c>
      <c r="BD161" s="12">
        <f>BC161</f>
        <v>4288</v>
      </c>
      <c r="BE161" s="12">
        <f>BD161</f>
        <v>4288</v>
      </c>
      <c r="BF161" s="12">
        <f>BE161</f>
        <v>4288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9" t="inlineStr">
        <is>
          <t>%(Var.)</t>
        </is>
      </c>
      <c r="D162" s="12" t="n"/>
      <c r="E162" s="40" t="n"/>
      <c r="F162" s="40" t="n"/>
      <c r="G162" s="40" t="n"/>
      <c r="H162" s="12" t="n"/>
      <c r="I162" s="40" t="str">
        <f>""</f>
        <v/>
      </c>
      <c r="J162" s="40">
        <f>IFERROR(IF(I161=0,"",J161/I161-1),"")</f>
        <v>0.11131668208449</v>
      </c>
      <c r="K162" s="40">
        <f>IFERROR(IF(J161=0,"",K161/J161-1),"")</f>
        <v>-0.0774139844617092</v>
      </c>
      <c r="L162" s="40">
        <f>IFERROR(IF(K161=0,"",L161/K161-1),"")</f>
        <v>0.136240601503759</v>
      </c>
      <c r="M162" s="12">
        <f>IFERROR(IF(L161=0,"",M161/L161-1),"")</f>
        <v>0</v>
      </c>
      <c r="N162" s="40">
        <f>IFERROR(IF(M161=0,"",N161/M161-1),"")</f>
        <v>-0.0211752249867655</v>
      </c>
      <c r="O162" s="40">
        <f>IFERROR(IF(N161=0,"",O161/N161-1),"")</f>
        <v>0.0216333153055706</v>
      </c>
      <c r="P162" s="40">
        <f>IFERROR(IF(O161=0,"",P161/O161-1),"")</f>
        <v>0.0182636315510851</v>
      </c>
      <c r="Q162" s="40">
        <f>IFERROR(IF(P161=0,"",Q161/P161-1),"")</f>
        <v>0.0434104497010657</v>
      </c>
      <c r="R162" s="12">
        <f>IFERROR(IF(Q161=0,"",R161/Q161-1),"")</f>
        <v>0</v>
      </c>
      <c r="S162" s="40">
        <f>IFERROR(IF(R161=0,"",S161/R161-1),"")</f>
        <v>-0.0747384155455905</v>
      </c>
      <c r="T162" s="40">
        <f>IFERROR(IF(S161=0,"",T161/S161-1),"")</f>
        <v>0.0506192784060313</v>
      </c>
      <c r="U162" s="40">
        <f>IFERROR(IF(T161=0,"",U161/T161-1),"")</f>
        <v>-0.0866222450025628</v>
      </c>
      <c r="V162" s="40">
        <f>IFERROR(IF(U161=0,"",V161/U161-1),"")</f>
        <v>0.0648148148148149</v>
      </c>
      <c r="W162" s="12">
        <f>IFERROR(IF(V161=0,"",W161/V161-1),"")</f>
        <v>0</v>
      </c>
      <c r="X162" s="40">
        <f>IFERROR(IF(W161=0,"",X161/W161-1),"")</f>
        <v>0.0176548089591568</v>
      </c>
      <c r="Y162" s="40">
        <f>IFERROR(IF(X161=0,"",Y161/X161-1),"")</f>
        <v>0.0406525116519938</v>
      </c>
      <c r="Z162" s="40">
        <f>IFERROR(IF(Y161=0,"",Z161/Y161-1),"")</f>
        <v>0.0301069917890022</v>
      </c>
      <c r="AA162" s="40">
        <f>IFERROR(IF(Z161=0,"",AA161/Z161-1),"")</f>
        <v>-0.0301932367149759</v>
      </c>
      <c r="AB162" s="12">
        <f>IFERROR(IF(AA161=0,"",AB161/AA161-1),"")</f>
        <v>0</v>
      </c>
      <c r="AC162" s="40">
        <f>IFERROR(IF(AB161=0,"",AC161/AB161-1),"")</f>
        <v>0.0565379825653798</v>
      </c>
      <c r="AD162" s="40">
        <f>IFERROR(IF(AC161=0,"",AD161/AC161-1),"")</f>
        <v>0.135785007072136</v>
      </c>
      <c r="AE162" s="40">
        <f>IFERROR(IF(AD161=0,"",AE161/AD161-1),"")</f>
        <v>-0.00664176006641759</v>
      </c>
      <c r="AF162" s="55">
        <f>IFERROR(IF(AE161=0,"",AF161/AE161-1),"")</f>
        <v>0.0781445883827832</v>
      </c>
      <c r="AG162" s="12">
        <f>IFERROR(IF(AF161=0,"",AG161/AF161-1),"")</f>
        <v>0</v>
      </c>
      <c r="AH162" s="12">
        <f>IFERROR(IF(AG161=0,"",AH161/AG161-1),"")</f>
        <v>-0.0265503875968992</v>
      </c>
      <c r="AI162" s="12">
        <f>IFERROR(IF(AH161=0,"",AI161/AH161-1),"")</f>
        <v>-0.146326896277125</v>
      </c>
      <c r="AJ162" s="12">
        <f>IFERROR(IF(AI161=0,"",AJ161/AI161-1),"")</f>
        <v>0</v>
      </c>
      <c r="AK162" s="12">
        <f>IFERROR(IF(AJ161=0,"",AK161/AJ161-1),"")</f>
        <v>0</v>
      </c>
      <c r="AL162" s="12">
        <f>IFERROR(IF(AK161=0,"",AL161/AK161-1),"")</f>
        <v>0</v>
      </c>
      <c r="AM162" s="12">
        <f>IFERROR(IF(AL161=0,"",AM161/AL161-1),"")</f>
        <v>0</v>
      </c>
      <c r="AN162" s="12">
        <f>IFERROR(IF(AM161=0,"",AN161/AM161-1),"")</f>
        <v>0</v>
      </c>
      <c r="AO162" s="12">
        <f>IFERROR(IF(AN161=0,"",AO161/AN161-1),"")</f>
        <v>0</v>
      </c>
      <c r="AP162" s="12">
        <f>IFERROR(IF(AO161=0,"",AP161/AO161-1),"")</f>
        <v>0</v>
      </c>
      <c r="AQ162" s="12">
        <f>IFERROR(IF(AP161=0,"",AQ161/AP161-1),"")</f>
        <v>0</v>
      </c>
      <c r="AR162" s="12">
        <f>IFERROR(IF(AQ161=0,"",AR161/AQ161-1),"")</f>
        <v>0</v>
      </c>
      <c r="AS162" s="12">
        <f>IFERROR(IF(AR161=0,"",AS161/AR161-1),"")</f>
        <v>0</v>
      </c>
      <c r="AT162" s="12">
        <f>IFERROR(IF(AS161=0,"",AT161/AS161-1),"")</f>
        <v>0</v>
      </c>
      <c r="AU162" s="12">
        <f>IFERROR(IF(AT161=0,"",AU161/AT161-1),"")</f>
        <v>0</v>
      </c>
      <c r="AV162" s="12">
        <f>IFERROR(IF(AU161=0,"",AV161/AU161-1),"")</f>
        <v>0</v>
      </c>
      <c r="AW162" s="12">
        <f>IFERROR(IF(AV161=0,"",AW161/AV161-1),"")</f>
        <v>0</v>
      </c>
      <c r="AX162" s="12">
        <f>IFERROR(IF(AW161=0,"",AX161/AW161-1),"")</f>
        <v>0</v>
      </c>
      <c r="AY162" s="12">
        <f>IFERROR(IF(AX161=0,"",AY161/AX161-1),"")</f>
        <v>0</v>
      </c>
      <c r="AZ162" s="12">
        <f>IFERROR(IF(AY161=0,"",AZ161/AY161-1),"")</f>
        <v>0</v>
      </c>
      <c r="BA162" s="12">
        <f>IFERROR(IF(AZ161=0,"",BA161/AZ161-1),"")</f>
        <v>0</v>
      </c>
      <c r="BB162" s="12">
        <f>IFERROR(IF(BA161=0,"",BB161/BA161-1),"")</f>
        <v>0</v>
      </c>
      <c r="BC162" s="12">
        <f>IFERROR(IF(BB161=0,"",BC161/BB161-1),"")</f>
        <v>0</v>
      </c>
      <c r="BD162" s="12">
        <f>IFERROR(IF(BC161=0,"",BD161/BC161-1),"")</f>
        <v>0</v>
      </c>
      <c r="BE162" s="12">
        <f>IFERROR(IF(BD161=0,"",BE161/BD161-1),"")</f>
        <v>0</v>
      </c>
      <c r="BF162" s="12">
        <f>IFERROR(IF(BE161=0,"",BF161/BE161-1),"")</f>
        <v>0</v>
      </c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n"/>
      <c r="D163" s="12" t="n"/>
      <c r="E163" s="40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hidden="1" outlineLevel="1">
      <c r="C164" s="60" t="inlineStr">
        <is>
          <t xml:space="preserve">Impostos e Contribuições a Recuperar </t>
        </is>
      </c>
      <c r="D164" s="11" t="n"/>
      <c r="E164" s="11" t="n"/>
      <c r="F164" s="11" t="n"/>
      <c r="G164" s="11" t="n"/>
      <c r="H164" s="12" t="n"/>
      <c r="I164" s="11" t="n"/>
      <c r="J164" s="11" t="n"/>
      <c r="K164" s="11" t="n"/>
      <c r="L164" s="11" t="n"/>
      <c r="M164" s="12" t="n"/>
      <c r="N164" s="11" t="n"/>
      <c r="O164" s="11" t="n"/>
      <c r="P164" s="11" t="n"/>
      <c r="Q164" s="11" t="n"/>
      <c r="R164" s="12" t="n"/>
      <c r="S164" s="11" t="n"/>
      <c r="T164" s="11" t="n"/>
      <c r="U164" s="11" t="n"/>
      <c r="V164" s="11" t="n"/>
      <c r="W164" s="12" t="n"/>
      <c r="X164" s="11" t="n"/>
      <c r="Y164" s="11" t="n"/>
      <c r="Z164" s="11" t="n"/>
      <c r="AA164" s="11" t="n"/>
      <c r="AB164" s="12" t="n"/>
      <c r="AC164" s="11" t="n"/>
      <c r="AD164" s="11" t="n"/>
      <c r="AE164" s="11" t="n"/>
      <c r="AF164" s="11" t="n"/>
      <c r="AG164" s="12">
        <f>AF164</f>
        <v>0</v>
      </c>
      <c r="AH164" s="61">
        <f>IFERROR(AG164*AH15/AG15,"")</f>
        <v>0</v>
      </c>
      <c r="AI164" s="61">
        <f>IFERROR(AH164*AI15/AH15,"")</f>
        <v>0</v>
      </c>
      <c r="AJ164" s="61">
        <f>IFERROR(AI164*AJ15/AI15,"")</f>
        <v>0</v>
      </c>
      <c r="AK164" s="61">
        <f>IFERROR(AJ164*AK15/AJ15,"")</f>
        <v>0</v>
      </c>
      <c r="AL164" s="12">
        <f>IFERROR(AK164,"")</f>
        <v>0</v>
      </c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60" t="inlineStr">
        <is>
          <t>Outros Créditos</t>
        </is>
      </c>
      <c r="D165" s="11" t="n"/>
      <c r="E165" s="11" t="n"/>
      <c r="F165" s="11" t="n"/>
      <c r="G165" s="11" t="n"/>
      <c r="H165" s="12" t="n"/>
      <c r="I165" s="11" t="n"/>
      <c r="J165" s="11" t="n"/>
      <c r="K165" s="11" t="n"/>
      <c r="L165" s="11" t="n"/>
      <c r="M165" s="12" t="n"/>
      <c r="N165" s="11" t="n"/>
      <c r="O165" s="11" t="n"/>
      <c r="P165" s="11" t="n"/>
      <c r="Q165" s="11" t="n"/>
      <c r="R165" s="12" t="n"/>
      <c r="S165" s="11" t="n"/>
      <c r="T165" s="11" t="n"/>
      <c r="U165" s="11" t="n"/>
      <c r="V165" s="11" t="n"/>
      <c r="W165" s="12" t="n"/>
      <c r="X165" s="11" t="n"/>
      <c r="Y165" s="11" t="n"/>
      <c r="Z165" s="11" t="n"/>
      <c r="AA165" s="11" t="n"/>
      <c r="AB165" s="12" t="n"/>
      <c r="AC165" s="11" t="n"/>
      <c r="AD165" s="11" t="n"/>
      <c r="AE165" s="11" t="n"/>
      <c r="AF165" s="11" t="n"/>
      <c r="AG165" s="12">
        <f>AF165</f>
        <v>0</v>
      </c>
      <c r="AH165" s="12">
        <f>AG165</f>
        <v>0</v>
      </c>
      <c r="AI165" s="12">
        <f>AH165</f>
        <v>0</v>
      </c>
      <c r="AJ165" s="12">
        <f>AI165</f>
        <v>0</v>
      </c>
      <c r="AK165" s="12">
        <f>AJ165</f>
        <v>0</v>
      </c>
      <c r="AL165" s="12">
        <f>AK165</f>
        <v>0</v>
      </c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collapsed="1">
      <c r="C167" s="14" t="inlineStr">
        <is>
          <t>Equity in affiliates</t>
        </is>
      </c>
      <c r="D167" s="46" t="n"/>
      <c r="E167" s="46" t="n"/>
      <c r="F167" s="46" t="n"/>
      <c r="G167" s="46" t="n"/>
      <c r="H167" s="12" t="n"/>
      <c r="I167" s="46">
        <f>'Inputs (2)'!D21</f>
        <v>0</v>
      </c>
      <c r="J167" s="46">
        <f>'Inputs (2)'!E21</f>
        <v>0</v>
      </c>
      <c r="K167" s="46">
        <f>'Inputs (2)'!F21</f>
        <v>0</v>
      </c>
      <c r="L167" s="46">
        <f>'Inputs (2)'!G21</f>
        <v>0</v>
      </c>
      <c r="M167" s="12">
        <f>'Inputs (2)'!H21</f>
        <v>0</v>
      </c>
      <c r="N167" s="46">
        <f>'Inputs (2)'!I21</f>
        <v>0</v>
      </c>
      <c r="O167" s="46">
        <f>'Inputs (2)'!J21</f>
        <v>0</v>
      </c>
      <c r="P167" s="46">
        <f>'Inputs (2)'!K21</f>
        <v>0</v>
      </c>
      <c r="Q167" s="46">
        <f>'Inputs (2)'!L21</f>
        <v>0</v>
      </c>
      <c r="R167" s="12">
        <f>'Inputs (2)'!M21</f>
        <v>0</v>
      </c>
      <c r="S167" s="46">
        <f>'Inputs (2)'!N21</f>
        <v>0</v>
      </c>
      <c r="T167" s="46">
        <f>'Inputs (2)'!O21</f>
        <v>0</v>
      </c>
      <c r="U167" s="46">
        <f>'Inputs (2)'!P21</f>
        <v>0</v>
      </c>
      <c r="V167" s="46">
        <f>'Inputs (2)'!Q21</f>
        <v>0</v>
      </c>
      <c r="W167" s="12">
        <f>'Inputs (2)'!R21</f>
        <v>0</v>
      </c>
      <c r="X167" s="46">
        <f>'Inputs (2)'!S21</f>
        <v>0</v>
      </c>
      <c r="Y167" s="46">
        <f>'Inputs (2)'!T21</f>
        <v>0</v>
      </c>
      <c r="Z167" s="46">
        <f>'Inputs (2)'!U21</f>
        <v>0</v>
      </c>
      <c r="AA167" s="46">
        <f>'Inputs (2)'!V21</f>
        <v>0</v>
      </c>
      <c r="AB167" s="12">
        <f>'Inputs (2)'!W21</f>
        <v>0</v>
      </c>
      <c r="AC167" s="46">
        <f>'Inputs (2)'!X21</f>
        <v>0</v>
      </c>
      <c r="AD167" s="46">
        <f>'Inputs (2)'!Y21</f>
        <v>0</v>
      </c>
      <c r="AE167" s="46">
        <f>'Inputs (2)'!Z21</f>
        <v>0</v>
      </c>
      <c r="AF167" s="46">
        <f>'Inputs (2)'!AA21</f>
        <v>0</v>
      </c>
      <c r="AG167" s="12">
        <f>'Inputs (2)'!AB21</f>
        <v>0</v>
      </c>
      <c r="AH167" s="12">
        <f>'Inputs (2)'!AC21</f>
        <v>0</v>
      </c>
      <c r="AI167" s="12">
        <f>'Inputs (2)'!AD21</f>
        <v>0</v>
      </c>
      <c r="AJ167" s="12">
        <f>AI167+AJ141</f>
        <v>0</v>
      </c>
      <c r="AK167" s="12">
        <f>AJ167+AK141</f>
        <v>0</v>
      </c>
      <c r="AL167" s="12">
        <f>AK167</f>
        <v>0</v>
      </c>
      <c r="AM167" s="12">
        <f>AL167+AM141</f>
        <v>0</v>
      </c>
      <c r="AN167" s="12">
        <f>AM167+AN141</f>
        <v>0</v>
      </c>
      <c r="AO167" s="12">
        <f>AN167+AO141</f>
        <v>0</v>
      </c>
      <c r="AP167" s="12">
        <f>AO167+AP141</f>
        <v>0</v>
      </c>
      <c r="AQ167" s="12">
        <f>AP167</f>
        <v>0</v>
      </c>
      <c r="AR167" s="12">
        <f>AQ167+AR141</f>
        <v>0</v>
      </c>
      <c r="AS167" s="12">
        <f>AR167+AS141</f>
        <v>0</v>
      </c>
      <c r="AT167" s="12">
        <f>AS167+AT141</f>
        <v>0</v>
      </c>
      <c r="AU167" s="12">
        <f>AT167+AU141</f>
        <v>0</v>
      </c>
      <c r="AV167" s="12">
        <f>AU167</f>
        <v>0</v>
      </c>
      <c r="AW167" s="12">
        <f>AV167+AW141</f>
        <v>0</v>
      </c>
      <c r="AX167" s="12">
        <f>AW167+AX141</f>
        <v>0</v>
      </c>
      <c r="AY167" s="12">
        <f>AX167+AY141</f>
        <v>0</v>
      </c>
      <c r="AZ167" s="12">
        <f>AY167+AZ141</f>
        <v>0</v>
      </c>
      <c r="BA167" s="12">
        <f>AZ167</f>
        <v>0</v>
      </c>
      <c r="BB167" s="12">
        <f>BA167+BB141</f>
        <v>0</v>
      </c>
      <c r="BC167" s="12">
        <f>BB167+BC141</f>
        <v>0</v>
      </c>
      <c r="BD167" s="12">
        <f>BC167+BD141</f>
        <v>0</v>
      </c>
      <c r="BE167" s="12">
        <f>BD167+BE141</f>
        <v>0</v>
      </c>
      <c r="BF167" s="12">
        <f>BE167</f>
        <v>0</v>
      </c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57" t="inlineStr">
        <is>
          <t>Equity in Income - % YoY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>
        <f>IF(I141=0,0,N141/I141-1)</f>
        <v>0</v>
      </c>
      <c r="O169" s="12">
        <f>IF(J141=0,0,O141/J141-1)</f>
        <v>0</v>
      </c>
      <c r="P169" s="12">
        <f>IF(K141=0,0,P141/K141-1)</f>
        <v>0</v>
      </c>
      <c r="Q169" s="12">
        <f>IF(L141=0,0,Q141/L141-1)</f>
        <v>0</v>
      </c>
      <c r="R169" s="12" t="n"/>
      <c r="S169" s="12">
        <f>IF(N141=0,0,S141/N141-1)</f>
        <v>0</v>
      </c>
      <c r="T169" s="12">
        <f>IF(O141=0,0,T141/O141-1)</f>
        <v>0</v>
      </c>
      <c r="U169" s="12">
        <f>IF(P141=0,0,U141/P141-1)</f>
        <v>0</v>
      </c>
      <c r="V169" s="12">
        <f>IF(Q141=0,0,V141/Q141-1)</f>
        <v>0</v>
      </c>
      <c r="W169" s="12" t="n"/>
      <c r="X169" s="12">
        <f>IF(S141=0,0,X141/S141-1)</f>
        <v>0</v>
      </c>
      <c r="Y169" s="12">
        <f>IF(T141=0,0,Y141/T141-1)</f>
        <v>0</v>
      </c>
      <c r="Z169" s="12">
        <f>IF(U141=0,0,Z141/U141-1)</f>
        <v>0</v>
      </c>
      <c r="AA169" s="12">
        <f>IF(V141=0,0,AA141/V141-1)</f>
        <v>0</v>
      </c>
      <c r="AB169" s="12" t="n"/>
      <c r="AC169" s="12">
        <f>IF(X141=0,0,AC141/X141-1)</f>
        <v>0</v>
      </c>
      <c r="AD169" s="12">
        <f>IF(Y141=0,0,AD141/Y141-1)</f>
        <v>0</v>
      </c>
      <c r="AE169" s="12">
        <f>IF(Z141=0,0,AE141/Z141-1)</f>
        <v>0</v>
      </c>
      <c r="AF169" s="12">
        <f>IF(AA141=0,0,AF141/AA141-1)</f>
        <v>0</v>
      </c>
      <c r="AG169" s="12" t="n"/>
      <c r="AH169" s="11">
        <f>IF(AC141=0,0,AH141/AC141-1)</f>
        <v>0</v>
      </c>
      <c r="AI169" s="11">
        <f>IF(AD141=0,0,AI141/AD141-1)</f>
        <v>0</v>
      </c>
      <c r="AJ169" s="11" t="n"/>
      <c r="AK169" s="11" t="n"/>
      <c r="AL169" s="12" t="n"/>
      <c r="AM169" s="11" t="n"/>
      <c r="AN169" s="11" t="n"/>
      <c r="AO169" s="11" t="n"/>
      <c r="AP169" s="11" t="n"/>
      <c r="AQ169" s="12" t="n"/>
      <c r="AR169" s="11" t="n"/>
      <c r="AS169" s="11" t="n"/>
      <c r="AT169" s="11" t="n"/>
      <c r="AU169" s="11" t="n"/>
      <c r="AV169" s="12" t="n"/>
      <c r="AW169" s="11" t="n"/>
      <c r="AX169" s="11" t="n"/>
      <c r="AY169" s="11" t="n"/>
      <c r="AZ169" s="11" t="n"/>
      <c r="BA169" s="12" t="n"/>
      <c r="BB169" s="11" t="n"/>
      <c r="BC169" s="11" t="n"/>
      <c r="BD169" s="11" t="n"/>
      <c r="BE169" s="11" t="n"/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Dividends (enter as -)</t>
        </is>
      </c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1" t="n"/>
      <c r="AI170" s="11" t="n"/>
      <c r="AJ170" s="11" t="n"/>
      <c r="AK170" s="11" t="n"/>
      <c r="AL170" s="12" t="n"/>
      <c r="AM170" s="11" t="n"/>
      <c r="AN170" s="11" t="n"/>
      <c r="AO170" s="11" t="n"/>
      <c r="AP170" s="11" t="n"/>
      <c r="AQ170" s="12" t="n"/>
      <c r="AR170" s="11" t="n"/>
      <c r="AS170" s="11" t="n"/>
      <c r="AT170" s="11" t="n"/>
      <c r="AU170" s="11" t="n"/>
      <c r="AV170" s="12" t="n"/>
      <c r="AW170" s="11" t="n"/>
      <c r="AX170" s="11" t="n"/>
      <c r="AY170" s="11" t="n"/>
      <c r="AZ170" s="11" t="n"/>
      <c r="BA170" s="12" t="n"/>
      <c r="BB170" s="11" t="n"/>
      <c r="BC170" s="11" t="n"/>
      <c r="BD170" s="11" t="n"/>
      <c r="BE170" s="11" t="n"/>
      <c r="BF170" s="12" t="n"/>
      <c r="BG170" s="11" t="n"/>
      <c r="BH170" s="11" t="n"/>
      <c r="BI170" s="11" t="n"/>
      <c r="BJ170" s="11" t="n"/>
      <c r="BK170" s="12" t="n"/>
      <c r="BL170" s="11" t="n"/>
      <c r="BM170" s="11" t="n"/>
      <c r="BN170" s="11" t="n"/>
      <c r="BO170" s="11" t="n"/>
      <c r="BP170" s="12" t="n"/>
      <c r="BQ170" s="11" t="n"/>
      <c r="BR170" s="11" t="n"/>
      <c r="BS170" s="11" t="n"/>
      <c r="BT170" s="11" t="n"/>
      <c r="BU170" s="12" t="n"/>
      <c r="BV170" s="11" t="n"/>
      <c r="BW170" s="11" t="n"/>
      <c r="BX170" s="11" t="n"/>
      <c r="BY170" s="11" t="n"/>
      <c r="BZ170" s="12" t="n"/>
      <c r="CA170" s="11" t="n"/>
      <c r="CB170" s="11" t="n"/>
      <c r="CC170" s="11" t="n"/>
      <c r="CD170" s="11" t="n"/>
      <c r="CE170" s="12" t="n"/>
      <c r="CF170" s="11" t="n"/>
      <c r="CG170" s="11" t="n"/>
      <c r="CH170" s="11" t="n"/>
      <c r="CI170" s="11" t="n"/>
      <c r="CJ170" s="12" t="n"/>
      <c r="CK170" s="11" t="n"/>
      <c r="CL170" s="11" t="n"/>
      <c r="CM170" s="11" t="n"/>
      <c r="CN170" s="11" t="n"/>
      <c r="CO170" s="12" t="n"/>
      <c r="CP170" s="11" t="n"/>
      <c r="CQ170" s="11" t="n"/>
      <c r="CR170" s="11" t="n"/>
      <c r="CS170" s="11" t="n"/>
      <c r="CT170" s="12" t="n"/>
      <c r="CU170" s="11" t="n"/>
      <c r="CV170" s="11" t="n"/>
      <c r="CW170" s="11" t="n"/>
      <c r="CX170" s="11" t="n"/>
      <c r="CY170" s="12" t="n"/>
    </row>
    <row r="171" hidden="1" outlineLevel="1">
      <c r="C171" s="57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collapsed="1">
      <c r="C172" s="14" t="inlineStr">
        <is>
          <t>PP&amp;E</t>
        </is>
      </c>
      <c r="D172" s="46" t="n"/>
      <c r="E172" s="46" t="n"/>
      <c r="F172" s="46" t="n"/>
      <c r="G172" s="46" t="n"/>
      <c r="H172" s="12" t="n"/>
      <c r="I172" s="46">
        <f>'Inputs (2)'!D22</f>
        <v>6816</v>
      </c>
      <c r="J172" s="46">
        <f>'Inputs (2)'!E22</f>
        <v>7049</v>
      </c>
      <c r="K172" s="46">
        <f>'Inputs (2)'!F22</f>
        <v>7610</v>
      </c>
      <c r="L172" s="46">
        <f>'Inputs (2)'!G22</f>
        <v>8029</v>
      </c>
      <c r="M172" s="12">
        <f>'Inputs (2)'!H22</f>
        <v>8029</v>
      </c>
      <c r="N172" s="46">
        <f>'Inputs (2)'!I22</f>
        <v>8609</v>
      </c>
      <c r="O172" s="46">
        <f>'Inputs (2)'!J22</f>
        <v>9716</v>
      </c>
      <c r="P172" s="46">
        <f>'Inputs (2)'!K22</f>
        <v>12280</v>
      </c>
      <c r="Q172" s="46">
        <f>'Inputs (2)'!L22</f>
        <v>14351</v>
      </c>
      <c r="R172" s="12">
        <f>'Inputs (2)'!M22</f>
        <v>14351</v>
      </c>
      <c r="S172" s="46">
        <f>'Inputs (2)'!N22</f>
        <v>16345</v>
      </c>
      <c r="T172" s="46">
        <f>'Inputs (2)'!O22</f>
        <v>17069</v>
      </c>
      <c r="U172" s="46">
        <f>'Inputs (2)'!P22</f>
        <v>17644</v>
      </c>
      <c r="V172" s="46">
        <f>'Inputs (2)'!Q22</f>
        <v>18009</v>
      </c>
      <c r="W172" s="12">
        <f>'Inputs (2)'!R22</f>
        <v>18009</v>
      </c>
      <c r="X172" s="46">
        <f>'Inputs (2)'!S22</f>
        <v>19117</v>
      </c>
      <c r="Y172" s="46">
        <f>'Inputs (2)'!T22</f>
        <v>21536</v>
      </c>
      <c r="Z172" s="46">
        <f>'Inputs (2)'!U22</f>
        <v>23094</v>
      </c>
      <c r="AA172" s="46">
        <f>'Inputs (2)'!V22</f>
        <v>26432</v>
      </c>
      <c r="AB172" s="12">
        <f>'Inputs (2)'!W22</f>
        <v>26432</v>
      </c>
      <c r="AC172" s="46">
        <f>'Inputs (2)'!X22</f>
        <v>31970</v>
      </c>
      <c r="AD172" s="46">
        <f>'Inputs (2)'!Y22</f>
        <v>43522</v>
      </c>
      <c r="AE172" s="46">
        <f>'Inputs (2)'!Z22</f>
        <v>53194</v>
      </c>
      <c r="AF172" s="46">
        <f>'Inputs (2)'!AA22</f>
        <v>67875</v>
      </c>
      <c r="AG172" s="12">
        <f>'Inputs (2)'!AB22</f>
        <v>67875</v>
      </c>
      <c r="AH172" s="12">
        <f>'Inputs (2)'!AC22</f>
        <v>83617</v>
      </c>
      <c r="AI172" s="12">
        <f>'Inputs (2)'!AD22</f>
        <v>99957</v>
      </c>
      <c r="AJ172" s="12">
        <f>AJ177</f>
        <v>112871.794034038</v>
      </c>
      <c r="AK172" s="12">
        <f>AK177</f>
        <v>126766.056569116</v>
      </c>
      <c r="AL172" s="12">
        <f>AK172</f>
        <v>126766.056569116</v>
      </c>
      <c r="AM172" s="12">
        <f>AM177</f>
        <v>141639.787605235</v>
      </c>
      <c r="AN172" s="12">
        <f>AN177</f>
        <v>158238.836831349</v>
      </c>
      <c r="AO172" s="12">
        <f>AO177</f>
        <v>173013.019861154</v>
      </c>
      <c r="AP172" s="12">
        <f>AP177</f>
        <v>188907.688968256</v>
      </c>
      <c r="AQ172" s="12">
        <f>AP172</f>
        <v>188907.688968256</v>
      </c>
      <c r="AR172" s="12">
        <f>AR177</f>
        <v>205848.475497474</v>
      </c>
      <c r="AS172" s="12">
        <f>AS177</f>
        <v>224754.353843986</v>
      </c>
      <c r="AT172" s="12">
        <f>AT177</f>
        <v>241581.757825122</v>
      </c>
      <c r="AU172" s="12">
        <f>AU177</f>
        <v>259685.365833234</v>
      </c>
      <c r="AV172" s="12">
        <f>AU172</f>
        <v>259685.365833234</v>
      </c>
      <c r="AW172" s="12">
        <f>AW177</f>
        <v>278895.77000303</v>
      </c>
      <c r="AX172" s="12">
        <f>AX177</f>
        <v>300334.536355174</v>
      </c>
      <c r="AY172" s="12">
        <f>AY177</f>
        <v>319416.367712207</v>
      </c>
      <c r="AZ172" s="12">
        <f>AZ177</f>
        <v>339945.380705055</v>
      </c>
      <c r="BA172" s="12">
        <f>AZ172</f>
        <v>339945.380705055</v>
      </c>
      <c r="BB172" s="12">
        <f>BB177</f>
        <v>361633.419271169</v>
      </c>
      <c r="BC172" s="12">
        <f>BC177</f>
        <v>385837.219844313</v>
      </c>
      <c r="BD172" s="12">
        <f>BD177</f>
        <v>407380.103103069</v>
      </c>
      <c r="BE172" s="12">
        <f>BE177</f>
        <v>430556.81617885</v>
      </c>
      <c r="BF172" s="12">
        <f>BE172</f>
        <v>430556.81617885</v>
      </c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inlineStr">
        <is>
          <t>Capital expenditures</t>
        </is>
      </c>
      <c r="D174" s="12" t="n"/>
      <c r="E174" s="12" t="n"/>
      <c r="F174" s="12" t="n"/>
      <c r="G174" s="12" t="n"/>
      <c r="H174" s="12" t="n"/>
      <c r="I174" s="12" t="n"/>
      <c r="J174" s="12">
        <f>J172-I172-J76</f>
        <v>985</v>
      </c>
      <c r="K174" s="12">
        <f>K172-J172-K76</f>
        <v>1318</v>
      </c>
      <c r="L174" s="12">
        <f>L172-K172-L76</f>
        <v>1177</v>
      </c>
      <c r="M174" s="12" t="n"/>
      <c r="N174" s="12">
        <f>N172-M172-N76</f>
        <v>1355</v>
      </c>
      <c r="O174" s="12">
        <f>O172-N172-O76</f>
        <v>1938</v>
      </c>
      <c r="P174" s="12">
        <f>P172-O172-P76</f>
        <v>4030</v>
      </c>
      <c r="Q174" s="12">
        <f>Q172-P172-Q76</f>
        <v>3569</v>
      </c>
      <c r="R174" s="12" t="n"/>
      <c r="S174" s="12">
        <f>S172-R172-S76</f>
        <v>3552</v>
      </c>
      <c r="T174" s="12">
        <f>T172-S172-T76</f>
        <v>2310</v>
      </c>
      <c r="U174" s="12">
        <f>U172-T172-U76</f>
        <v>2050</v>
      </c>
      <c r="V174" s="12">
        <f>V172-U172-V76</f>
        <v>1918</v>
      </c>
      <c r="W174" s="12" t="n"/>
      <c r="X174" s="12">
        <f>X172-W172-X76</f>
        <v>2665</v>
      </c>
      <c r="Y174" s="12">
        <f>Y172-X172-Y76</f>
        <v>3973</v>
      </c>
      <c r="Z174" s="12">
        <f>Z172-Y172-Z76</f>
        <v>2986</v>
      </c>
      <c r="AA174" s="12">
        <f>AA172-Z172-AA76</f>
        <v>4837</v>
      </c>
      <c r="AB174" s="12" t="n"/>
      <c r="AC174" s="12">
        <f>AC172-AB172-AC76</f>
        <v>7089</v>
      </c>
      <c r="AD174" s="12">
        <f>AD172-AC172-AD76</f>
        <v>13248</v>
      </c>
      <c r="AE174" s="12">
        <f>AE172-AD172-AE76</f>
        <v>11443</v>
      </c>
      <c r="AF174" s="11">
        <f>AF172-AE172-AF76</f>
        <v>16792</v>
      </c>
      <c r="AG174" s="12">
        <f>SUM(AC174:AF174)</f>
        <v>48572</v>
      </c>
      <c r="AH174" s="11">
        <f>AH172-AG172-AH76</f>
        <v>18308</v>
      </c>
      <c r="AI174" s="11">
        <f>AI172-AH172-AI76</f>
        <v>19187</v>
      </c>
      <c r="AJ174" s="11">
        <f>AJ15*Control!$B$24</f>
        <v>15089.5840314647</v>
      </c>
      <c r="AK174" s="11">
        <f>AK15*Control!$B$24</f>
        <v>16233.9903776806</v>
      </c>
      <c r="AL174" s="12" t="n"/>
      <c r="AM174" s="11">
        <f>AM15*Control!$C$24</f>
        <v>17378.3967238965</v>
      </c>
      <c r="AN174" s="11">
        <f>AN15*Control!$C$24</f>
        <v>19394.2503054817</v>
      </c>
      <c r="AO174" s="11">
        <f>AO15*Control!$C$24</f>
        <v>17262.0853059613</v>
      </c>
      <c r="AP174" s="11">
        <f>AP15*Control!$C$24</f>
        <v>18571.2559187409</v>
      </c>
      <c r="AQ174" s="12" t="n"/>
      <c r="AR174" s="11">
        <f>AR15*Control!$D$24</f>
        <v>19793.534547901</v>
      </c>
      <c r="AS174" s="11">
        <f>AS15*Control!$D$24</f>
        <v>22089.5384972038</v>
      </c>
      <c r="AT174" s="11">
        <f>AT15*Control!$D$24</f>
        <v>19661.0589170478</v>
      </c>
      <c r="AU174" s="11">
        <f>AU15*Control!$D$24</f>
        <v>21152.1696429019</v>
      </c>
      <c r="AV174" s="12" t="n"/>
      <c r="AW174" s="11">
        <f>AW15*Control!$E$24</f>
        <v>22445.345023277</v>
      </c>
      <c r="AX174" s="11">
        <f>AX15*Control!$E$24</f>
        <v>25048.9528171347</v>
      </c>
      <c r="AY174" s="11">
        <f>AY15*Control!$E$24</f>
        <v>22295.1211592935</v>
      </c>
      <c r="AZ174" s="11">
        <f>AZ15*Control!$E$24</f>
        <v>23986.0013115326</v>
      </c>
      <c r="BA174" s="12" t="n"/>
      <c r="BB174" s="11">
        <f>BB15*Control!$F$24</f>
        <v>25340.2012884225</v>
      </c>
      <c r="BC174" s="11">
        <f>BC15*Control!$F$24</f>
        <v>28279.6056728969</v>
      </c>
      <c r="BD174" s="11">
        <f>BD15*Control!$F$24</f>
        <v>25170.6025164848</v>
      </c>
      <c r="BE174" s="11">
        <f>BE15*Control!$F$24</f>
        <v>27079.5615174671</v>
      </c>
      <c r="BF174" s="12" t="n"/>
      <c r="BG174" s="11" t="n"/>
      <c r="BH174" s="11" t="n"/>
      <c r="BI174" s="11" t="n"/>
      <c r="BJ174" s="11" t="n"/>
      <c r="BK174" s="12" t="n"/>
      <c r="BL174" s="11" t="n"/>
      <c r="BM174" s="11" t="n"/>
      <c r="BN174" s="11" t="n"/>
      <c r="BO174" s="11" t="n"/>
      <c r="BP174" s="12" t="n"/>
      <c r="BQ174" s="11" t="n"/>
      <c r="BR174" s="11" t="n"/>
      <c r="BS174" s="11" t="n"/>
      <c r="BT174" s="11" t="n"/>
      <c r="BU174" s="12" t="n"/>
      <c r="BV174" s="11" t="n"/>
      <c r="BW174" s="11" t="n"/>
      <c r="BX174" s="11" t="n"/>
      <c r="BY174" s="11" t="n"/>
      <c r="BZ174" s="12" t="n"/>
      <c r="CA174" s="11" t="n"/>
      <c r="CB174" s="11" t="n"/>
      <c r="CC174" s="11" t="n"/>
      <c r="CD174" s="11" t="n"/>
      <c r="CE174" s="12" t="n"/>
      <c r="CF174" s="11" t="n"/>
      <c r="CG174" s="11" t="n"/>
      <c r="CH174" s="11" t="n"/>
      <c r="CI174" s="11" t="n"/>
      <c r="CJ174" s="12" t="n"/>
      <c r="CK174" s="11" t="n"/>
      <c r="CL174" s="11" t="n"/>
      <c r="CM174" s="11" t="n"/>
      <c r="CN174" s="11" t="n"/>
      <c r="CO174" s="12" t="n"/>
      <c r="CP174" s="11" t="n"/>
      <c r="CQ174" s="11" t="n"/>
      <c r="CR174" s="11" t="n"/>
      <c r="CS174" s="11" t="n"/>
      <c r="CT174" s="12" t="n"/>
      <c r="CU174" s="11" t="n"/>
      <c r="CV174" s="11" t="n"/>
      <c r="CW174" s="11" t="n"/>
      <c r="CX174" s="11" t="n"/>
      <c r="CY174" s="12" t="n"/>
    </row>
    <row r="175" hidden="1" outlineLevel="1">
      <c r="C175" s="57" t="inlineStr">
        <is>
          <t>Recurring asset sales (enter as -)</t>
        </is>
      </c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>
        <f>SUM(I175:L175)</f>
        <v>0</v>
      </c>
      <c r="N175" s="12" t="n"/>
      <c r="O175" s="12" t="n"/>
      <c r="P175" s="12" t="n"/>
      <c r="Q175" s="12" t="n"/>
      <c r="R175" s="12">
        <f>SUM(N175:Q175)</f>
        <v>0</v>
      </c>
      <c r="S175" s="12" t="n"/>
      <c r="T175" s="12" t="n"/>
      <c r="U175" s="12" t="n"/>
      <c r="V175" s="12" t="n"/>
      <c r="W175" s="12">
        <f>SUM(S175:V175)</f>
        <v>0</v>
      </c>
      <c r="X175" s="12" t="n"/>
      <c r="Y175" s="12" t="n"/>
      <c r="Z175" s="12" t="n"/>
      <c r="AA175" s="12" t="n"/>
      <c r="AB175" s="12">
        <f>SUM(X175:AA175)</f>
        <v>0</v>
      </c>
      <c r="AC175" s="12" t="n"/>
      <c r="AD175" s="12" t="n"/>
      <c r="AE175" s="12" t="n"/>
      <c r="AF175" s="11" t="n"/>
      <c r="AG175" s="12">
        <f>SUM(AC175:AF175)</f>
        <v>0</v>
      </c>
      <c r="AH175" s="11" t="n"/>
      <c r="AI175" s="11" t="n"/>
      <c r="AJ175" s="11">
        <f>0</f>
        <v>0</v>
      </c>
      <c r="AK175" s="11">
        <f>0</f>
        <v>0</v>
      </c>
      <c r="AL175" s="12" t="n"/>
      <c r="AM175" s="11">
        <f>0</f>
        <v>0</v>
      </c>
      <c r="AN175" s="11">
        <f>0</f>
        <v>0</v>
      </c>
      <c r="AO175" s="11">
        <f>0</f>
        <v>0</v>
      </c>
      <c r="AP175" s="11">
        <f>0</f>
        <v>0</v>
      </c>
      <c r="AQ175" s="12" t="n"/>
      <c r="AR175" s="11">
        <f>0</f>
        <v>0</v>
      </c>
      <c r="AS175" s="11">
        <f>0</f>
        <v>0</v>
      </c>
      <c r="AT175" s="11">
        <f>0</f>
        <v>0</v>
      </c>
      <c r="AU175" s="11">
        <f>0</f>
        <v>0</v>
      </c>
      <c r="AV175" s="12" t="n"/>
      <c r="AW175" s="11">
        <f>0</f>
        <v>0</v>
      </c>
      <c r="AX175" s="11">
        <f>0</f>
        <v>0</v>
      </c>
      <c r="AY175" s="11">
        <f>0</f>
        <v>0</v>
      </c>
      <c r="AZ175" s="11">
        <f>0</f>
        <v>0</v>
      </c>
      <c r="BA175" s="12" t="n"/>
      <c r="BB175" s="11">
        <f>0</f>
        <v>0</v>
      </c>
      <c r="BC175" s="11">
        <f>0</f>
        <v>0</v>
      </c>
      <c r="BD175" s="11">
        <f>0</f>
        <v>0</v>
      </c>
      <c r="BE175" s="11">
        <f>0</f>
        <v>0</v>
      </c>
      <c r="BF175" s="12" t="n"/>
      <c r="BG175" s="11" t="n"/>
      <c r="BH175" s="11" t="n"/>
      <c r="BI175" s="11" t="n"/>
      <c r="BJ175" s="11" t="n"/>
      <c r="BK175" s="12" t="n"/>
      <c r="BL175" s="11" t="n"/>
      <c r="BM175" s="11" t="n"/>
      <c r="BN175" s="11" t="n"/>
      <c r="BO175" s="11" t="n"/>
      <c r="BP175" s="12" t="n"/>
      <c r="BQ175" s="11" t="n"/>
      <c r="BR175" s="11" t="n"/>
      <c r="BS175" s="11" t="n"/>
      <c r="BT175" s="11" t="n"/>
      <c r="BU175" s="12" t="n"/>
      <c r="BV175" s="11" t="n"/>
      <c r="BW175" s="11" t="n"/>
      <c r="BX175" s="11" t="n"/>
      <c r="BY175" s="11" t="n"/>
      <c r="BZ175" s="12" t="n"/>
      <c r="CA175" s="11" t="n"/>
      <c r="CB175" s="11" t="n"/>
      <c r="CC175" s="11" t="n"/>
      <c r="CD175" s="11" t="n"/>
      <c r="CE175" s="12" t="n"/>
      <c r="CF175" s="11" t="n"/>
      <c r="CG175" s="11" t="n"/>
      <c r="CH175" s="11" t="n"/>
      <c r="CI175" s="11" t="n"/>
      <c r="CJ175" s="12" t="n"/>
      <c r="CK175" s="11" t="n"/>
      <c r="CL175" s="11" t="n"/>
      <c r="CM175" s="11" t="n"/>
      <c r="CN175" s="11" t="n"/>
      <c r="CO175" s="12" t="n"/>
      <c r="CP175" s="11" t="n"/>
      <c r="CQ175" s="11" t="n"/>
      <c r="CR175" s="11" t="n"/>
      <c r="CS175" s="11" t="n"/>
      <c r="CT175" s="12" t="n"/>
      <c r="CU175" s="11" t="n"/>
      <c r="CV175" s="11" t="n"/>
      <c r="CW175" s="11" t="n"/>
      <c r="CX175" s="11" t="n"/>
      <c r="CY175" s="12" t="n"/>
    </row>
    <row r="176" hidden="1" outlineLevel="1">
      <c r="C176" s="57" t="inlineStr">
        <is>
          <t>Depreciation</t>
        </is>
      </c>
      <c r="D176" s="12" t="n"/>
      <c r="E176" s="12" t="n"/>
      <c r="F176" s="12" t="n"/>
      <c r="G176" s="12" t="n"/>
      <c r="H176" s="12" t="n"/>
      <c r="I176" s="12">
        <f>I76</f>
        <v>-732</v>
      </c>
      <c r="J176" s="12">
        <f>J76</f>
        <v>-752</v>
      </c>
      <c r="K176" s="12">
        <f>K76</f>
        <v>-757</v>
      </c>
      <c r="L176" s="12">
        <f>L76</f>
        <v>-758</v>
      </c>
      <c r="M176" s="12" t="n"/>
      <c r="N176" s="12">
        <f>N76</f>
        <v>-775</v>
      </c>
      <c r="O176" s="12">
        <f>O76</f>
        <v>-831</v>
      </c>
      <c r="P176" s="12">
        <f>P76</f>
        <v>-1466</v>
      </c>
      <c r="Q176" s="12">
        <f>Q76</f>
        <v>-1498</v>
      </c>
      <c r="R176" s="12" t="n"/>
      <c r="S176" s="12">
        <f>S76</f>
        <v>-1558</v>
      </c>
      <c r="T176" s="12">
        <f>T76</f>
        <v>-1586</v>
      </c>
      <c r="U176" s="12">
        <f>U76</f>
        <v>-1475</v>
      </c>
      <c r="V176" s="12">
        <f>V76</f>
        <v>-1553</v>
      </c>
      <c r="W176" s="12" t="n"/>
      <c r="X176" s="12">
        <f>X76</f>
        <v>-1557</v>
      </c>
      <c r="Y176" s="12">
        <f>Y76</f>
        <v>-1554</v>
      </c>
      <c r="Z176" s="12">
        <f>Z76</f>
        <v>-1428</v>
      </c>
      <c r="AA176" s="12">
        <f>AA76</f>
        <v>-1499</v>
      </c>
      <c r="AB176" s="12" t="n"/>
      <c r="AC176" s="12">
        <f>AC76</f>
        <v>-1551</v>
      </c>
      <c r="AD176" s="12">
        <f>AD76</f>
        <v>-1696</v>
      </c>
      <c r="AE176" s="12">
        <f>AE76</f>
        <v>-1771</v>
      </c>
      <c r="AF176" s="12">
        <f>AF76</f>
        <v>-2111</v>
      </c>
      <c r="AG176" s="12" t="n"/>
      <c r="AH176" s="12">
        <f>AH76</f>
        <v>-2566</v>
      </c>
      <c r="AI176" s="12">
        <f>AI76</f>
        <v>-2847</v>
      </c>
      <c r="AJ176" s="12">
        <f>AJ76</f>
        <v>-2174.789997427</v>
      </c>
      <c r="AK176" s="12">
        <f>AK76</f>
        <v>-2339.72784260236</v>
      </c>
      <c r="AL176" s="12" t="n"/>
      <c r="AM176" s="12">
        <f>AM76</f>
        <v>-2504.66568777771</v>
      </c>
      <c r="AN176" s="12">
        <f>AN76</f>
        <v>-2795.20107936752</v>
      </c>
      <c r="AO176" s="12">
        <f>AO76</f>
        <v>-2487.90227615653</v>
      </c>
      <c r="AP176" s="12">
        <f>AP76</f>
        <v>-2676.58681163885</v>
      </c>
      <c r="AQ176" s="12" t="n"/>
      <c r="AR176" s="12">
        <f>AR76</f>
        <v>-2852.74801868229</v>
      </c>
      <c r="AS176" s="12">
        <f>AS76</f>
        <v>-3183.66015069232</v>
      </c>
      <c r="AT176" s="12">
        <f>AT76</f>
        <v>-2833.65493591198</v>
      </c>
      <c r="AU176" s="12">
        <f>AU76</f>
        <v>-3048.56163478993</v>
      </c>
      <c r="AV176" s="12" t="n"/>
      <c r="AW176" s="12">
        <f>AW76</f>
        <v>-3234.94085348106</v>
      </c>
      <c r="AX176" s="12">
        <f>AX76</f>
        <v>-3610.18646499015</v>
      </c>
      <c r="AY176" s="12">
        <f>AY76</f>
        <v>-3213.28980226025</v>
      </c>
      <c r="AZ176" s="12">
        <f>AZ76</f>
        <v>-3456.98831868518</v>
      </c>
      <c r="BA176" s="12" t="n"/>
      <c r="BB176" s="12">
        <f>BB76</f>
        <v>-3652.1627223079</v>
      </c>
      <c r="BC176" s="12">
        <f>BC76</f>
        <v>-4075.80509975304</v>
      </c>
      <c r="BD176" s="12">
        <f>BD76</f>
        <v>-3627.71925772883</v>
      </c>
      <c r="BE176" s="12">
        <f>BE76</f>
        <v>-3902.84844168629</v>
      </c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7" t="inlineStr">
        <is>
          <t>PP&amp;E</t>
        </is>
      </c>
      <c r="D177" s="12" t="n"/>
      <c r="E177" s="12" t="n"/>
      <c r="F177" s="12" t="n"/>
      <c r="G177" s="12" t="n"/>
      <c r="H177" s="12" t="n"/>
      <c r="I177" s="12">
        <f>I172</f>
        <v>6816</v>
      </c>
      <c r="J177" s="12">
        <f>J172</f>
        <v>7049</v>
      </c>
      <c r="K177" s="12">
        <f>K172</f>
        <v>7610</v>
      </c>
      <c r="L177" s="12">
        <f>L172</f>
        <v>8029</v>
      </c>
      <c r="M177" s="12" t="n"/>
      <c r="N177" s="12">
        <f>N172</f>
        <v>8609</v>
      </c>
      <c r="O177" s="12">
        <f>O172</f>
        <v>9716</v>
      </c>
      <c r="P177" s="12">
        <f>P172</f>
        <v>12280</v>
      </c>
      <c r="Q177" s="12">
        <f>Q172</f>
        <v>14351</v>
      </c>
      <c r="R177" s="12" t="n"/>
      <c r="S177" s="12">
        <f>S172</f>
        <v>16345</v>
      </c>
      <c r="T177" s="12">
        <f>T172</f>
        <v>17069</v>
      </c>
      <c r="U177" s="12">
        <f>U172</f>
        <v>17644</v>
      </c>
      <c r="V177" s="12">
        <f>V172</f>
        <v>18009</v>
      </c>
      <c r="W177" s="12" t="n"/>
      <c r="X177" s="12">
        <f>X172</f>
        <v>19117</v>
      </c>
      <c r="Y177" s="12">
        <f>Y172</f>
        <v>21536</v>
      </c>
      <c r="Z177" s="12">
        <f>Z172</f>
        <v>23094</v>
      </c>
      <c r="AA177" s="12">
        <f>Y177+SUM(AA174:AA176)</f>
        <v>24874</v>
      </c>
      <c r="AB177" s="12" t="n"/>
      <c r="AC177" s="12">
        <f>AC172</f>
        <v>31970</v>
      </c>
      <c r="AD177" s="12">
        <f>AD172</f>
        <v>43522</v>
      </c>
      <c r="AE177" s="12">
        <f>AE172</f>
        <v>53194</v>
      </c>
      <c r="AF177" s="12">
        <f>AF172</f>
        <v>67875</v>
      </c>
      <c r="AG177" s="12" t="n"/>
      <c r="AH177" s="12">
        <f>AH172</f>
        <v>83617</v>
      </c>
      <c r="AI177" s="12">
        <f>AI172</f>
        <v>99957</v>
      </c>
      <c r="AJ177" s="12">
        <f>AI177+SUM(AJ174:AJ176)</f>
        <v>112871.794034038</v>
      </c>
      <c r="AK177" s="12">
        <f>AJ177+SUM(AK174:AK176)</f>
        <v>126766.056569116</v>
      </c>
      <c r="AL177" s="12" t="n"/>
      <c r="AM177" s="12">
        <f>AK177+SUM(AM174:AM176)</f>
        <v>141639.787605235</v>
      </c>
      <c r="AN177" s="12">
        <f>AM177+SUM(AN174:AN176)</f>
        <v>158238.836831349</v>
      </c>
      <c r="AO177" s="12">
        <f>AN177+SUM(AO174:AO176)</f>
        <v>173013.019861154</v>
      </c>
      <c r="AP177" s="12">
        <f>AO177+SUM(AP174:AP176)</f>
        <v>188907.688968256</v>
      </c>
      <c r="AQ177" s="12" t="n"/>
      <c r="AR177" s="12">
        <f>AP177+SUM(AR174:AR176)</f>
        <v>205848.475497474</v>
      </c>
      <c r="AS177" s="12">
        <f>AR177+SUM(AS174:AS176)</f>
        <v>224754.353843986</v>
      </c>
      <c r="AT177" s="12">
        <f>AS177+SUM(AT174:AT176)</f>
        <v>241581.757825122</v>
      </c>
      <c r="AU177" s="12">
        <f>AT177+SUM(AU174:AU176)</f>
        <v>259685.365833234</v>
      </c>
      <c r="AV177" s="12" t="n"/>
      <c r="AW177" s="12">
        <f>AU177+SUM(AW174:AW176)</f>
        <v>278895.77000303</v>
      </c>
      <c r="AX177" s="12">
        <f>AW177+SUM(AX174:AX176)</f>
        <v>300334.536355174</v>
      </c>
      <c r="AY177" s="12">
        <f>AX177+SUM(AY174:AY176)</f>
        <v>319416.367712207</v>
      </c>
      <c r="AZ177" s="12">
        <f>AY177+SUM(AZ174:AZ176)</f>
        <v>339945.380705055</v>
      </c>
      <c r="BA177" s="12" t="n"/>
      <c r="BB177" s="12">
        <f>AZ177+SUM(BB174:BB176)</f>
        <v>361633.419271169</v>
      </c>
      <c r="BC177" s="12">
        <f>BB177+SUM(BC174:BC176)</f>
        <v>385837.219844313</v>
      </c>
      <c r="BD177" s="12">
        <f>BC177+SUM(BD174:BD176)</f>
        <v>407380.103103069</v>
      </c>
      <c r="BE177" s="12">
        <f>BD177+SUM(BE174:BE176)</f>
        <v>430556.81617885</v>
      </c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>
        <f>IF(AJ15=0,"",AJ174/AJ15)</f>
        <v>0.883726422359356</v>
      </c>
      <c r="AK178" s="12">
        <f>IF(AK15=0,"",AK174/AK15)</f>
        <v>0.883726422359356</v>
      </c>
      <c r="AL178" s="12" t="n"/>
      <c r="AM178" s="12">
        <f>IF(AM15=0,"",AM174/AM15)</f>
        <v>0.883726422359355</v>
      </c>
      <c r="AN178" s="12">
        <f>IF(AN15=0,"",AN174/AN15)</f>
        <v>0.883726422359356</v>
      </c>
      <c r="AO178" s="12">
        <f>IF(AO15=0,"",AO174/AO15)</f>
        <v>0.883726422359356</v>
      </c>
      <c r="AP178" s="12">
        <f>IF(AP15=0,"",AP174/AP15)</f>
        <v>0.883726422359356</v>
      </c>
      <c r="AQ178" s="12" t="n"/>
      <c r="AR178" s="12">
        <f>IF(AR15=0,"",AR174/AR15)</f>
        <v>0.883726422359356</v>
      </c>
      <c r="AS178" s="12">
        <f>IF(AS15=0,"",AS174/AS15)</f>
        <v>0.883726422359356</v>
      </c>
      <c r="AT178" s="12">
        <f>IF(AT15=0,"",AT174/AT15)</f>
        <v>0.883726422359355</v>
      </c>
      <c r="AU178" s="12">
        <f>IF(AU15=0,"",AU174/AU15)</f>
        <v>0.883726422359356</v>
      </c>
      <c r="AV178" s="12" t="n"/>
      <c r="AW178" s="12">
        <f>IF(AW15=0,"",AW174/AW15)</f>
        <v>0.883726422359356</v>
      </c>
      <c r="AX178" s="12">
        <f>IF(AX15=0,"",AX174/AX15)</f>
        <v>0.883726422359356</v>
      </c>
      <c r="AY178" s="12">
        <f>IF(AY15=0,"",AY174/AY15)</f>
        <v>0.883726422359356</v>
      </c>
      <c r="AZ178" s="12">
        <f>IF(AZ15=0,"",AZ174/AZ15)</f>
        <v>0.883726422359356</v>
      </c>
      <c r="BA178" s="12" t="n"/>
      <c r="BB178" s="12">
        <f>IF(BB15=0,"",BB174/BB15)</f>
        <v>0.883726422359356</v>
      </c>
      <c r="BC178" s="12">
        <f>IF(BC15=0,"",BC174/BC15)</f>
        <v>0.883726422359356</v>
      </c>
      <c r="BD178" s="12">
        <f>IF(BD15=0,"",BD174/BD15)</f>
        <v>0.883726422359356</v>
      </c>
      <c r="BE178" s="12">
        <f>IF(BE15=0,"",BE174/BE15)</f>
        <v>0.883726422359356</v>
      </c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57" t="inlineStr">
        <is>
          <t>Capital expenditures (% Net Revenues)</t>
        </is>
      </c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58">
        <f>IFERROR(AF174/AF15,"")</f>
        <v>1.04570930377382</v>
      </c>
      <c r="AG179" s="58">
        <f>IFERROR(AG174/AG15,"")</f>
        <v>0.796040447744071</v>
      </c>
      <c r="AH179" s="58">
        <f>IFERROR(AH174/AH15,"")</f>
        <v>1.06503781268179</v>
      </c>
      <c r="AI179" s="58">
        <f>IFERROR(AI174/AI15,"")</f>
        <v>1.00015638031693</v>
      </c>
      <c r="AJ179" s="58">
        <f>IFERROR(AJ174/AJ15,"")</f>
        <v>0.883726422359356</v>
      </c>
      <c r="AK179" s="58">
        <f>IFERROR(AK174/AK15,"")</f>
        <v>0.883726422359356</v>
      </c>
      <c r="AL179" s="58">
        <f>IFERROR(AL174/AL15,"")</f>
        <v>0</v>
      </c>
      <c r="AM179" s="58">
        <f>IFERROR(AM174/AM15,"")</f>
        <v>0.883726422359355</v>
      </c>
      <c r="AN179" s="58">
        <f>IFERROR(AN174/AN15,"")</f>
        <v>0.883726422359356</v>
      </c>
      <c r="AO179" s="58">
        <f>IFERROR(AO174/AO15,"")</f>
        <v>0.883726422359356</v>
      </c>
      <c r="AP179" s="58">
        <f>IFERROR(AP174/AP15,"")</f>
        <v>0.883726422359356</v>
      </c>
      <c r="AQ179" s="58">
        <f>IFERROR(AQ174/AQ15,"")</f>
        <v>0</v>
      </c>
      <c r="AR179" s="58">
        <f>IFERROR(AR174/AR15,"")</f>
        <v>0.883726422359356</v>
      </c>
      <c r="AS179" s="58">
        <f>IFERROR(AS174/AS15,"")</f>
        <v>0.883726422359356</v>
      </c>
      <c r="AT179" s="58">
        <f>IFERROR(AT174/AT15,"")</f>
        <v>0.883726422359355</v>
      </c>
      <c r="AU179" s="58">
        <f>IFERROR(AU174/AU15,"")</f>
        <v>0.883726422359356</v>
      </c>
      <c r="AV179" s="58">
        <f>IFERROR(AV174/AV15,"")</f>
        <v>0</v>
      </c>
      <c r="AW179" s="58">
        <f>IFERROR(AW174/AW15,"")</f>
        <v>0.883726422359356</v>
      </c>
      <c r="AX179" s="58">
        <f>IFERROR(AX174/AX15,"")</f>
        <v>0.883726422359356</v>
      </c>
      <c r="AY179" s="58">
        <f>IFERROR(AY174/AY15,"")</f>
        <v>0.883726422359356</v>
      </c>
      <c r="AZ179" s="58">
        <f>IFERROR(AZ174/AZ15,"")</f>
        <v>0.883726422359356</v>
      </c>
      <c r="BA179" s="58">
        <f>IFERROR(BA174/BA15,"")</f>
        <v>0</v>
      </c>
      <c r="BB179" s="58">
        <f>IFERROR(BB174/BB15,"")</f>
        <v>0.883726422359356</v>
      </c>
      <c r="BC179" s="58">
        <f>IFERROR(BC174/BC15,"")</f>
        <v>0.883726422359356</v>
      </c>
      <c r="BD179" s="58">
        <f>IFERROR(BD174/BD15,"")</f>
        <v>0.883726422359356</v>
      </c>
      <c r="BE179" s="58">
        <f>IFERROR(BE174/BE15,"")</f>
        <v>0.883726422359356</v>
      </c>
      <c r="BF179" s="58">
        <f>IFERROR(BF174/BF15,"")</f>
        <v>0</v>
      </c>
      <c r="BG179" s="58" t="n"/>
      <c r="BH179" s="58" t="n"/>
      <c r="BI179" s="58" t="n"/>
      <c r="BJ179" s="58" t="n"/>
      <c r="BK179" s="58" t="n"/>
      <c r="BL179" s="58" t="n"/>
      <c r="BM179" s="58" t="n"/>
      <c r="BN179" s="58" t="n"/>
      <c r="BO179" s="58" t="n"/>
      <c r="BP179" s="58" t="n"/>
      <c r="BQ179" s="58" t="n"/>
      <c r="BR179" s="58" t="n"/>
      <c r="BS179" s="58" t="n"/>
      <c r="BT179" s="58" t="n"/>
      <c r="BU179" s="58" t="n"/>
      <c r="BV179" s="58" t="n"/>
      <c r="BW179" s="58" t="n"/>
      <c r="BX179" s="58" t="n"/>
      <c r="BY179" s="58" t="n"/>
      <c r="BZ179" s="58" t="n"/>
      <c r="CA179" s="58" t="n"/>
      <c r="CB179" s="58" t="n"/>
      <c r="CC179" s="58" t="n"/>
      <c r="CD179" s="58" t="n"/>
      <c r="CE179" s="58" t="n"/>
      <c r="CF179" s="58" t="n"/>
      <c r="CG179" s="58" t="n"/>
      <c r="CH179" s="58" t="n"/>
      <c r="CI179" s="58" t="n"/>
      <c r="CJ179" s="58" t="n"/>
      <c r="CK179" s="58" t="n"/>
      <c r="CL179" s="58" t="n"/>
      <c r="CM179" s="58" t="n"/>
      <c r="CN179" s="58" t="n"/>
      <c r="CO179" s="58" t="n"/>
      <c r="CP179" s="58" t="n"/>
      <c r="CQ179" s="58" t="n"/>
      <c r="CR179" s="58" t="n"/>
      <c r="CS179" s="58" t="n"/>
      <c r="CT179" s="58" t="n"/>
      <c r="CU179" s="58" t="n"/>
      <c r="CV179" s="58" t="n"/>
      <c r="CW179" s="58" t="n"/>
      <c r="CX179" s="58" t="n"/>
      <c r="CY179" s="58" t="n"/>
    </row>
    <row r="180" hidden="1" outlineLevel="1">
      <c r="C180" s="57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collapsed="1">
      <c r="C182" s="14" t="inlineStr">
        <is>
          <t>Right-of-use-assets</t>
        </is>
      </c>
      <c r="D182" s="46" t="n"/>
      <c r="E182" s="46" t="n"/>
      <c r="F182" s="46" t="n"/>
      <c r="G182" s="46" t="n"/>
      <c r="H182" s="12" t="n"/>
      <c r="I182" s="46">
        <f>'Inputs (2)'!D23</f>
        <v>0</v>
      </c>
      <c r="J182" s="46">
        <f>'Inputs (2)'!E23</f>
        <v>0</v>
      </c>
      <c r="K182" s="46">
        <f>'Inputs (2)'!F23</f>
        <v>0</v>
      </c>
      <c r="L182" s="46">
        <f>'Inputs (2)'!G23</f>
        <v>0</v>
      </c>
      <c r="M182" s="12">
        <f>'Inputs (2)'!H23</f>
        <v>0</v>
      </c>
      <c r="N182" s="46">
        <f>'Inputs (2)'!I23</f>
        <v>0</v>
      </c>
      <c r="O182" s="46">
        <f>'Inputs (2)'!J23</f>
        <v>0</v>
      </c>
      <c r="P182" s="46">
        <f>'Inputs (2)'!K23</f>
        <v>0</v>
      </c>
      <c r="Q182" s="46">
        <f>'Inputs (2)'!L23</f>
        <v>0</v>
      </c>
      <c r="R182" s="12">
        <f>'Inputs (2)'!M23</f>
        <v>0</v>
      </c>
      <c r="S182" s="46">
        <f>'Inputs (2)'!N23</f>
        <v>0</v>
      </c>
      <c r="T182" s="46">
        <f>'Inputs (2)'!O23</f>
        <v>0</v>
      </c>
      <c r="U182" s="46">
        <f>'Inputs (2)'!P23</f>
        <v>0</v>
      </c>
      <c r="V182" s="46">
        <f>'Inputs (2)'!Q23</f>
        <v>0</v>
      </c>
      <c r="W182" s="12">
        <f>'Inputs (2)'!R23</f>
        <v>0</v>
      </c>
      <c r="X182" s="46">
        <f>'Inputs (2)'!S23</f>
        <v>0</v>
      </c>
      <c r="Y182" s="46">
        <f>'Inputs (2)'!T23</f>
        <v>0</v>
      </c>
      <c r="Z182" s="46">
        <f>'Inputs (2)'!U23</f>
        <v>0</v>
      </c>
      <c r="AA182" s="46">
        <f>'Inputs (2)'!V23</f>
        <v>0</v>
      </c>
      <c r="AB182" s="12">
        <f>'Inputs (2)'!W23</f>
        <v>0</v>
      </c>
      <c r="AC182" s="46">
        <f>'Inputs (2)'!X23</f>
        <v>0</v>
      </c>
      <c r="AD182" s="46">
        <f>'Inputs (2)'!Y23</f>
        <v>0</v>
      </c>
      <c r="AE182" s="46">
        <f>'Inputs (2)'!Z23</f>
        <v>0</v>
      </c>
      <c r="AF182" s="46">
        <f>'Inputs (2)'!AA23</f>
        <v>0</v>
      </c>
      <c r="AG182" s="12">
        <f>'Inputs (2)'!AB23</f>
        <v>0</v>
      </c>
      <c r="AH182" s="12">
        <f>'Inputs (2)'!AC23</f>
        <v>0</v>
      </c>
      <c r="AI182" s="12">
        <f>'Inputs (2)'!AD23</f>
        <v>29690</v>
      </c>
      <c r="AJ182" s="12">
        <f>AI182</f>
        <v>29690</v>
      </c>
      <c r="AK182" s="12">
        <f>AJ182</f>
        <v>29690</v>
      </c>
      <c r="AL182" s="12">
        <f>AK182</f>
        <v>29690</v>
      </c>
      <c r="AM182" s="12">
        <f>AL182</f>
        <v>29690</v>
      </c>
      <c r="AN182" s="12">
        <f>AM182</f>
        <v>29690</v>
      </c>
      <c r="AO182" s="12">
        <f>AN182</f>
        <v>29690</v>
      </c>
      <c r="AP182" s="12">
        <f>AO182</f>
        <v>29690</v>
      </c>
      <c r="AQ182" s="12">
        <f>AP182</f>
        <v>29690</v>
      </c>
      <c r="AR182" s="12">
        <f>AQ182</f>
        <v>29690</v>
      </c>
      <c r="AS182" s="12">
        <f>AR182</f>
        <v>29690</v>
      </c>
      <c r="AT182" s="12">
        <f>AS182</f>
        <v>29690</v>
      </c>
      <c r="AU182" s="12">
        <f>AT182</f>
        <v>29690</v>
      </c>
      <c r="AV182" s="12">
        <f>AU182</f>
        <v>29690</v>
      </c>
      <c r="AW182" s="12">
        <f>AV182</f>
        <v>29690</v>
      </c>
      <c r="AX182" s="12">
        <f>AW182</f>
        <v>29690</v>
      </c>
      <c r="AY182" s="12">
        <f>AX182</f>
        <v>29690</v>
      </c>
      <c r="AZ182" s="12">
        <f>AY182</f>
        <v>29690</v>
      </c>
      <c r="BA182" s="12">
        <f>AZ182</f>
        <v>29690</v>
      </c>
      <c r="BB182" s="12">
        <f>BA182</f>
        <v>29690</v>
      </c>
      <c r="BC182" s="12">
        <f>BB182</f>
        <v>29690</v>
      </c>
      <c r="BD182" s="12">
        <f>BC182</f>
        <v>29690</v>
      </c>
      <c r="BE182" s="12">
        <f>BD182</f>
        <v>29690</v>
      </c>
      <c r="BF182" s="12">
        <f>BE182</f>
        <v>29690</v>
      </c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hidden="1" outlineLevel="1">
      <c r="C183" s="59" t="inlineStr">
        <is>
          <t>%(Var.)</t>
        </is>
      </c>
      <c r="D183" s="12" t="n"/>
      <c r="E183" s="40" t="n"/>
      <c r="F183" s="40" t="n"/>
      <c r="G183" s="40" t="n"/>
      <c r="H183" s="12" t="n"/>
      <c r="I183" s="40" t="str">
        <f>""</f>
        <v/>
      </c>
      <c r="J183" s="40" t="str">
        <f>IFERROR(IF(I182=0,"",J182/I182-1),"")</f>
        <v/>
      </c>
      <c r="K183" s="40" t="str">
        <f>IFERROR(IF(J182=0,"",K182/J182-1),"")</f>
        <v/>
      </c>
      <c r="L183" s="40" t="str">
        <f>IFERROR(IF(K182=0,"",L182/K182-1),"")</f>
        <v/>
      </c>
      <c r="M183" s="12" t="str">
        <f>IFERROR(IF(L182=0,"",M182/L182-1),"")</f>
        <v/>
      </c>
      <c r="N183" s="40" t="str">
        <f>IFERROR(IF(M182=0,"",N182/M182-1),"")</f>
        <v/>
      </c>
      <c r="O183" s="40" t="str">
        <f>IFERROR(IF(N182=0,"",O182/N182-1),"")</f>
        <v/>
      </c>
      <c r="P183" s="40" t="str">
        <f>IFERROR(IF(O182=0,"",P182/O182-1),"")</f>
        <v/>
      </c>
      <c r="Q183" s="40" t="str">
        <f>IFERROR(IF(P182=0,"",Q182/P182-1),"")</f>
        <v/>
      </c>
      <c r="R183" s="12" t="str">
        <f>IFERROR(IF(Q182=0,"",R182/Q182-1),"")</f>
        <v/>
      </c>
      <c r="S183" s="40" t="str">
        <f>IFERROR(IF(R182=0,"",S182/R182-1),"")</f>
        <v/>
      </c>
      <c r="T183" s="40" t="str">
        <f>IFERROR(IF(S182=0,"",T182/S182-1),"")</f>
        <v/>
      </c>
      <c r="U183" s="40" t="str">
        <f>IFERROR(IF(T182=0,"",U182/T182-1),"")</f>
        <v/>
      </c>
      <c r="V183" s="40" t="str">
        <f>IFERROR(IF(U182=0,"",V182/U182-1),"")</f>
        <v/>
      </c>
      <c r="W183" s="12" t="str">
        <f>IFERROR(IF(V182=0,"",W182/V182-1),"")</f>
        <v/>
      </c>
      <c r="X183" s="40" t="str">
        <f>IFERROR(IF(W182=0,"",X182/W182-1),"")</f>
        <v/>
      </c>
      <c r="Y183" s="40" t="str">
        <f>IFERROR(IF(X182=0,"",Y182/X182-1),"")</f>
        <v/>
      </c>
      <c r="Z183" s="40" t="str">
        <f>IFERROR(IF(Y182=0,"",Z182/Y182-1),"")</f>
        <v/>
      </c>
      <c r="AA183" s="40" t="str">
        <f>IFERROR(IF(Z182=0,"",AA182/Z182-1),"")</f>
        <v/>
      </c>
      <c r="AB183" s="12" t="str">
        <f>IFERROR(IF(AA182=0,"",AB182/AA182-1),"")</f>
        <v/>
      </c>
      <c r="AC183" s="40" t="str">
        <f>IFERROR(IF(AB182=0,"",AC182/AB182-1),"")</f>
        <v/>
      </c>
      <c r="AD183" s="40" t="str">
        <f>IFERROR(IF(AC182=0,"",AD182/AC182-1),"")</f>
        <v/>
      </c>
      <c r="AE183" s="40" t="str">
        <f>IFERROR(IF(AD182=0,"",AE182/AD182-1),"")</f>
        <v/>
      </c>
      <c r="AF183" s="55" t="str">
        <f>IFERROR(IF(AE182=0,"",AF182/AE182-1),"")</f>
        <v/>
      </c>
      <c r="AG183" s="12" t="str">
        <f>IFERROR(IF(AF182=0,"",AG182/AF182-1),"")</f>
        <v/>
      </c>
      <c r="AH183" s="55" t="str">
        <f>IFERROR(IF(AG182=0,"",AH182/AG182-1),"")</f>
        <v/>
      </c>
      <c r="AI183" s="55" t="str">
        <f>IFERROR(IF(AH182=0,"",AI182/AH182-1),"")</f>
        <v/>
      </c>
      <c r="AJ183" s="55">
        <f>IFERROR(IF(AI182=0,"",AJ182/AI182-1),"")</f>
        <v>0</v>
      </c>
      <c r="AK183" s="55">
        <f>IFERROR(IF(AJ182=0,"",AK182/AJ182-1),"")</f>
        <v>0</v>
      </c>
      <c r="AL183" s="12">
        <f>IFERROR(IF(AK182=0,"",AL182/AK182-1),"")</f>
        <v>0</v>
      </c>
      <c r="AM183" s="55">
        <f>IFERROR(IF(AL182=0,"",AM182/AL182-1),"")</f>
        <v>0</v>
      </c>
      <c r="AN183" s="55">
        <f>IFERROR(IF(AM182=0,"",AN182/AM182-1),"")</f>
        <v>0</v>
      </c>
      <c r="AO183" s="55">
        <f>IFERROR(IF(AN182=0,"",AO182/AN182-1),"")</f>
        <v>0</v>
      </c>
      <c r="AP183" s="55">
        <f>IFERROR(IF(AO182=0,"",AP182/AO182-1),"")</f>
        <v>0</v>
      </c>
      <c r="AQ183" s="12">
        <f>IFERROR(IF(AP182=0,"",AQ182/AP182-1),"")</f>
        <v>0</v>
      </c>
      <c r="AR183" s="55">
        <f>IFERROR(IF(AQ182=0,"",AR182/AQ182-1),"")</f>
        <v>0</v>
      </c>
      <c r="AS183" s="55">
        <f>IFERROR(IF(AR182=0,"",AS182/AR182-1),"")</f>
        <v>0</v>
      </c>
      <c r="AT183" s="55">
        <f>IFERROR(IF(AS182=0,"",AT182/AS182-1),"")</f>
        <v>0</v>
      </c>
      <c r="AU183" s="55">
        <f>IFERROR(IF(AT182=0,"",AU182/AT182-1),"")</f>
        <v>0</v>
      </c>
      <c r="AV183" s="12">
        <f>IFERROR(IF(AU182=0,"",AV182/AU182-1),"")</f>
        <v>0</v>
      </c>
      <c r="AW183" s="55">
        <f>IFERROR(IF(AV182=0,"",AW182/AV182-1),"")</f>
        <v>0</v>
      </c>
      <c r="AX183" s="55">
        <f>IFERROR(IF(AW182=0,"",AX182/AW182-1),"")</f>
        <v>0</v>
      </c>
      <c r="AY183" s="55">
        <f>IFERROR(IF(AX182=0,"",AY182/AX182-1),"")</f>
        <v>0</v>
      </c>
      <c r="AZ183" s="55">
        <f>IFERROR(IF(AY182=0,"",AZ182/AY182-1),"")</f>
        <v>0</v>
      </c>
      <c r="BA183" s="12">
        <f>IFERROR(IF(AZ182=0,"",BA182/AZ182-1),"")</f>
        <v>0</v>
      </c>
      <c r="BB183" s="55">
        <f>IFERROR(IF(BA182=0,"",BB182/BA182-1),"")</f>
        <v>0</v>
      </c>
      <c r="BC183" s="55">
        <f>IFERROR(IF(BB182=0,"",BC182/BB182-1),"")</f>
        <v>0</v>
      </c>
      <c r="BD183" s="55">
        <f>IFERROR(IF(BC182=0,"",BD182/BC182-1),"")</f>
        <v>0</v>
      </c>
      <c r="BE183" s="55">
        <f>IFERROR(IF(BD182=0,"",BE182/BD182-1),"")</f>
        <v>0</v>
      </c>
      <c r="BF183" s="12">
        <f>IFERROR(IF(BE182=0,"",BF182/BE182-1),"")</f>
        <v>0</v>
      </c>
      <c r="BG183" s="55" t="n"/>
      <c r="BH183" s="55" t="n"/>
      <c r="BI183" s="55" t="n"/>
      <c r="BJ183" s="55" t="n"/>
      <c r="BK183" s="12" t="n"/>
      <c r="BL183" s="55" t="n"/>
      <c r="BM183" s="55" t="n"/>
      <c r="BN183" s="55" t="n"/>
      <c r="BO183" s="55" t="n"/>
      <c r="BP183" s="12" t="n"/>
      <c r="BQ183" s="55" t="n"/>
      <c r="BR183" s="55" t="n"/>
      <c r="BS183" s="55" t="n"/>
      <c r="BT183" s="55" t="n"/>
      <c r="BU183" s="12" t="n"/>
      <c r="BV183" s="55" t="n"/>
      <c r="BW183" s="55" t="n"/>
      <c r="BX183" s="55" t="n"/>
      <c r="BY183" s="55" t="n"/>
      <c r="BZ183" s="12" t="n"/>
      <c r="CA183" s="55" t="n"/>
      <c r="CB183" s="55" t="n"/>
      <c r="CC183" s="55" t="n"/>
      <c r="CD183" s="55" t="n"/>
      <c r="CE183" s="12" t="n"/>
      <c r="CF183" s="55" t="n"/>
      <c r="CG183" s="55" t="n"/>
      <c r="CH183" s="55" t="n"/>
      <c r="CI183" s="55" t="n"/>
      <c r="CJ183" s="12" t="n"/>
      <c r="CK183" s="55" t="n"/>
      <c r="CL183" s="55" t="n"/>
      <c r="CM183" s="55" t="n"/>
      <c r="CN183" s="55" t="n"/>
      <c r="CO183" s="12" t="n"/>
      <c r="CP183" s="55" t="n"/>
      <c r="CQ183" s="55" t="n"/>
      <c r="CR183" s="55" t="n"/>
      <c r="CS183" s="55" t="n"/>
      <c r="CT183" s="12" t="n"/>
      <c r="CU183" s="55" t="n"/>
      <c r="CV183" s="55" t="n"/>
      <c r="CW183" s="55" t="n"/>
      <c r="CX183" s="55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collapsed="1">
      <c r="C185" s="14" t="inlineStr">
        <is>
          <t>Goodwill</t>
        </is>
      </c>
      <c r="D185" s="46" t="n"/>
      <c r="E185" s="46" t="n"/>
      <c r="F185" s="46" t="n"/>
      <c r="G185" s="46" t="n"/>
      <c r="H185" s="12" t="n"/>
      <c r="I185" s="46">
        <f>'Inputs (2)'!D24</f>
        <v>43954</v>
      </c>
      <c r="J185" s="46">
        <f>'Inputs (2)'!E24</f>
        <v>43935</v>
      </c>
      <c r="K185" s="46">
        <f>'Inputs (2)'!F24</f>
        <v>43862</v>
      </c>
      <c r="L185" s="46">
        <f>'Inputs (2)'!G24</f>
        <v>43842</v>
      </c>
      <c r="M185" s="12">
        <f>'Inputs (2)'!H24</f>
        <v>43842</v>
      </c>
      <c r="N185" s="46">
        <f>'Inputs (2)'!I24</f>
        <v>43833</v>
      </c>
      <c r="O185" s="46">
        <f>'Inputs (2)'!J24</f>
        <v>43811</v>
      </c>
      <c r="P185" s="46">
        <f>'Inputs (2)'!K24</f>
        <v>61629</v>
      </c>
      <c r="Q185" s="46">
        <f>'Inputs (2)'!L24</f>
        <v>61513</v>
      </c>
      <c r="R185" s="12">
        <f>'Inputs (2)'!M24</f>
        <v>61513</v>
      </c>
      <c r="S185" s="46">
        <f>'Inputs (2)'!N24</f>
        <v>61499</v>
      </c>
      <c r="T185" s="46">
        <f>'Inputs (2)'!O24</f>
        <v>62261</v>
      </c>
      <c r="U185" s="46">
        <f>'Inputs (2)'!P24</f>
        <v>62206</v>
      </c>
      <c r="V185" s="46">
        <f>'Inputs (2)'!Q24</f>
        <v>62231</v>
      </c>
      <c r="W185" s="12">
        <f>'Inputs (2)'!R24</f>
        <v>62231</v>
      </c>
      <c r="X185" s="46">
        <f>'Inputs (2)'!S24</f>
        <v>62222</v>
      </c>
      <c r="Y185" s="46">
        <f>'Inputs (2)'!T24</f>
        <v>62230</v>
      </c>
      <c r="Z185" s="46">
        <f>'Inputs (2)'!U24</f>
        <v>62249</v>
      </c>
      <c r="AA185" s="46">
        <f>'Inputs (2)'!V24</f>
        <v>62204</v>
      </c>
      <c r="AB185" s="12">
        <f>'Inputs (2)'!W24</f>
        <v>62204</v>
      </c>
      <c r="AC185" s="46">
        <f>'Inputs (2)'!X24</f>
        <v>62171</v>
      </c>
      <c r="AD185" s="46">
        <f>'Inputs (2)'!Y24</f>
        <v>62207</v>
      </c>
      <c r="AE185" s="46">
        <f>'Inputs (2)'!Z24</f>
        <v>62211</v>
      </c>
      <c r="AF185" s="46">
        <f>'Inputs (2)'!AA24</f>
        <v>62207</v>
      </c>
      <c r="AG185" s="12">
        <f>'Inputs (2)'!AB24</f>
        <v>62207</v>
      </c>
      <c r="AH185" s="12">
        <f>'Inputs (2)'!AC24</f>
        <v>62274</v>
      </c>
      <c r="AI185" s="12">
        <f>'Inputs (2)'!AD24</f>
        <v>62261</v>
      </c>
      <c r="AJ185" s="12">
        <f>AI185</f>
        <v>62261</v>
      </c>
      <c r="AK185" s="12">
        <f>AJ185</f>
        <v>62261</v>
      </c>
      <c r="AL185" s="12">
        <f>AK185</f>
        <v>62261</v>
      </c>
      <c r="AM185" s="12">
        <f>AL185</f>
        <v>62261</v>
      </c>
      <c r="AN185" s="12">
        <f>AM185</f>
        <v>62261</v>
      </c>
      <c r="AO185" s="12">
        <f>AN185</f>
        <v>62261</v>
      </c>
      <c r="AP185" s="12">
        <f>AO185</f>
        <v>62261</v>
      </c>
      <c r="AQ185" s="12">
        <f>AP185</f>
        <v>62261</v>
      </c>
      <c r="AR185" s="12">
        <f>AQ185</f>
        <v>62261</v>
      </c>
      <c r="AS185" s="12">
        <f>AR185</f>
        <v>62261</v>
      </c>
      <c r="AT185" s="12">
        <f>AS185</f>
        <v>62261</v>
      </c>
      <c r="AU185" s="12">
        <f>AT185</f>
        <v>62261</v>
      </c>
      <c r="AV185" s="12">
        <f>AU185</f>
        <v>62261</v>
      </c>
      <c r="AW185" s="12">
        <f>AV185</f>
        <v>62261</v>
      </c>
      <c r="AX185" s="12">
        <f>AW185</f>
        <v>62261</v>
      </c>
      <c r="AY185" s="12">
        <f>AX185</f>
        <v>62261</v>
      </c>
      <c r="AZ185" s="12">
        <f>AY185</f>
        <v>62261</v>
      </c>
      <c r="BA185" s="12">
        <f>AZ185</f>
        <v>62261</v>
      </c>
      <c r="BB185" s="12">
        <f>BA185</f>
        <v>62261</v>
      </c>
      <c r="BC185" s="12">
        <f>BB185</f>
        <v>62261</v>
      </c>
      <c r="BD185" s="12">
        <f>BC185</f>
        <v>62261</v>
      </c>
      <c r="BE185" s="12">
        <f>BD185</f>
        <v>62261</v>
      </c>
      <c r="BF185" s="12">
        <f>BE185</f>
        <v>62261</v>
      </c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>
      <c r="C186" s="14" t="inlineStr">
        <is>
          <t>Intangibles</t>
        </is>
      </c>
      <c r="D186" s="46" t="n"/>
      <c r="E186" s="46" t="n"/>
      <c r="F186" s="46" t="n"/>
      <c r="G186" s="46" t="n"/>
      <c r="H186" s="12" t="n"/>
      <c r="I186" s="46">
        <f>'Inputs (2)'!D25</f>
        <v>2754</v>
      </c>
      <c r="J186" s="46">
        <f>'Inputs (2)'!E25</f>
        <v>2430</v>
      </c>
      <c r="K186" s="46">
        <f>'Inputs (2)'!F25</f>
        <v>2181</v>
      </c>
      <c r="L186" s="46">
        <f>'Inputs (2)'!G25</f>
        <v>1881</v>
      </c>
      <c r="M186" s="12">
        <f>'Inputs (2)'!H25</f>
        <v>1881</v>
      </c>
      <c r="N186" s="46">
        <f>'Inputs (2)'!I25</f>
        <v>1688</v>
      </c>
      <c r="O186" s="46">
        <f>'Inputs (2)'!J25</f>
        <v>1440</v>
      </c>
      <c r="P186" s="46">
        <f>'Inputs (2)'!K25</f>
        <v>12499</v>
      </c>
      <c r="Q186" s="46">
        <f>'Inputs (2)'!L25</f>
        <v>11593</v>
      </c>
      <c r="R186" s="12">
        <f>'Inputs (2)'!M25</f>
        <v>11593</v>
      </c>
      <c r="S186" s="46">
        <f>'Inputs (2)'!N25</f>
        <v>10707</v>
      </c>
      <c r="T186" s="46">
        <f>'Inputs (2)'!O25</f>
        <v>9837</v>
      </c>
      <c r="U186" s="46">
        <f>'Inputs (2)'!P25</f>
        <v>9074</v>
      </c>
      <c r="V186" s="46">
        <f>'Inputs (2)'!Q25</f>
        <v>8378</v>
      </c>
      <c r="W186" s="12">
        <f>'Inputs (2)'!R25</f>
        <v>8378</v>
      </c>
      <c r="X186" s="46">
        <f>'Inputs (2)'!S25</f>
        <v>7629</v>
      </c>
      <c r="Y186" s="46">
        <f>'Inputs (2)'!T25</f>
        <v>6890</v>
      </c>
      <c r="Z186" s="46">
        <f>'Inputs (2)'!U25</f>
        <v>6270</v>
      </c>
      <c r="AA186" s="46">
        <f>'Inputs (2)'!V25</f>
        <v>5679</v>
      </c>
      <c r="AB186" s="12">
        <f>'Inputs (2)'!W25</f>
        <v>5679</v>
      </c>
      <c r="AC186" s="46">
        <f>'Inputs (2)'!X25</f>
        <v>5131</v>
      </c>
      <c r="AD186" s="46">
        <f>'Inputs (2)'!Y25</f>
        <v>4587</v>
      </c>
      <c r="AE186" s="46">
        <f>'Inputs (2)'!Z25</f>
        <v>4167</v>
      </c>
      <c r="AF186" s="46">
        <f>'Inputs (2)'!AA25</f>
        <v>3760</v>
      </c>
      <c r="AG186" s="12">
        <f>'Inputs (2)'!AB25</f>
        <v>3760</v>
      </c>
      <c r="AH186" s="12">
        <f>'Inputs (2)'!AC25</f>
        <v>3641</v>
      </c>
      <c r="AI186" s="12">
        <f>'Inputs (2)'!AD25</f>
        <v>0</v>
      </c>
      <c r="AJ186" s="12">
        <f>AI186</f>
        <v>0</v>
      </c>
      <c r="AK186" s="12">
        <f>AJ186</f>
        <v>0</v>
      </c>
      <c r="AL186" s="12">
        <f>AK186</f>
        <v>0</v>
      </c>
      <c r="AM186" s="16">
        <f>AL186</f>
        <v>0</v>
      </c>
      <c r="AN186" s="12">
        <f>AM186</f>
        <v>0</v>
      </c>
      <c r="AO186" s="12">
        <f>AN186</f>
        <v>0</v>
      </c>
      <c r="AP186" s="12">
        <f>AO186</f>
        <v>0</v>
      </c>
      <c r="AQ186" s="12">
        <f>AP186</f>
        <v>0</v>
      </c>
      <c r="AR186" s="16">
        <f>AQ186</f>
        <v>0</v>
      </c>
      <c r="AS186" s="12">
        <f>AR186</f>
        <v>0</v>
      </c>
      <c r="AT186" s="12">
        <f>AS186</f>
        <v>0</v>
      </c>
      <c r="AU186" s="12">
        <f>AT186</f>
        <v>0</v>
      </c>
      <c r="AV186" s="12">
        <f>AU186</f>
        <v>0</v>
      </c>
      <c r="AW186" s="16">
        <f>AV186</f>
        <v>0</v>
      </c>
      <c r="AX186" s="12">
        <f>AW186</f>
        <v>0</v>
      </c>
      <c r="AY186" s="12">
        <f>AX186</f>
        <v>0</v>
      </c>
      <c r="AZ186" s="12">
        <f>AY186</f>
        <v>0</v>
      </c>
      <c r="BA186" s="12">
        <f>AZ186</f>
        <v>0</v>
      </c>
      <c r="BB186" s="16">
        <f>BA186</f>
        <v>0</v>
      </c>
      <c r="BC186" s="12">
        <f>BB186</f>
        <v>0</v>
      </c>
      <c r="BD186" s="12">
        <f>BC186</f>
        <v>0</v>
      </c>
      <c r="BE186" s="12">
        <f>BD186</f>
        <v>0</v>
      </c>
      <c r="BF186" s="12">
        <f>BE186</f>
        <v>0</v>
      </c>
      <c r="BH186" s="12" t="n"/>
      <c r="BI186" s="12" t="n"/>
      <c r="BJ186" s="12" t="n"/>
      <c r="BK186" s="12" t="n"/>
      <c r="BM186" s="12" t="n"/>
      <c r="BN186" s="12" t="n"/>
      <c r="BO186" s="12" t="n"/>
      <c r="BP186" s="12" t="n"/>
      <c r="BR186" s="12" t="n"/>
      <c r="BS186" s="12" t="n"/>
      <c r="BT186" s="12" t="n"/>
      <c r="BU186" s="12" t="n"/>
      <c r="BW186" s="12" t="n"/>
      <c r="BX186" s="12" t="n"/>
      <c r="BY186" s="12" t="n"/>
      <c r="BZ186" s="12" t="n"/>
      <c r="CB186" s="12" t="n"/>
      <c r="CC186" s="12" t="n"/>
      <c r="CD186" s="12" t="n"/>
      <c r="CE186" s="12" t="n"/>
      <c r="CG186" s="12" t="n"/>
      <c r="CH186" s="12" t="n"/>
      <c r="CI186" s="12" t="n"/>
      <c r="CJ186" s="12" t="n"/>
      <c r="CL186" s="12" t="n"/>
      <c r="CM186" s="12" t="n"/>
      <c r="CN186" s="12" t="n"/>
      <c r="CO186" s="12" t="n"/>
      <c r="CQ186" s="12" t="n"/>
      <c r="CR186" s="12" t="n"/>
      <c r="CS186" s="12" t="n"/>
      <c r="CT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inlineStr">
        <is>
          <t>Purchase of intangible assets</t>
        </is>
      </c>
      <c r="D188" s="12" t="n"/>
      <c r="E188" s="12" t="n"/>
      <c r="F188" s="12" t="n"/>
      <c r="G188" s="12" t="n"/>
      <c r="H188" s="12" t="n"/>
      <c r="I188" s="12" t="str">
        <f>IF(COUNT(H186)=0,"",I186-H186-I90)</f>
        <v/>
      </c>
      <c r="J188" s="12">
        <f>J186-I186-J90</f>
        <v>-324</v>
      </c>
      <c r="K188" s="12">
        <f>K186-J186-K90</f>
        <v>-249</v>
      </c>
      <c r="L188" s="12">
        <f>L186-K186-L90</f>
        <v>-300</v>
      </c>
      <c r="M188" s="12" t="n"/>
      <c r="N188" s="12">
        <f>N186-M186-N90</f>
        <v>-193</v>
      </c>
      <c r="O188" s="12">
        <f>O186-N186-O90</f>
        <v>-248</v>
      </c>
      <c r="P188" s="12">
        <f>P186-O186-P90</f>
        <v>11059</v>
      </c>
      <c r="Q188" s="12">
        <f>Q186-P186-Q90</f>
        <v>-906</v>
      </c>
      <c r="R188" s="12" t="n"/>
      <c r="S188" s="12">
        <f>S186-R186-S90</f>
        <v>-886</v>
      </c>
      <c r="T188" s="12">
        <f>T186-S186-T90</f>
        <v>-870</v>
      </c>
      <c r="U188" s="12">
        <f>U186-T186-U90</f>
        <v>-763</v>
      </c>
      <c r="V188" s="12">
        <f>V186-U186-V90</f>
        <v>-696</v>
      </c>
      <c r="W188" s="12" t="n"/>
      <c r="X188" s="12">
        <f>X186-W186-X90</f>
        <v>-749</v>
      </c>
      <c r="Y188" s="12">
        <f>Y186-X186-Y90</f>
        <v>-739</v>
      </c>
      <c r="Z188" s="12">
        <f>Z186-Y186-Z90</f>
        <v>-620</v>
      </c>
      <c r="AA188" s="12">
        <f>AA186-Z186-AA90</f>
        <v>-591</v>
      </c>
      <c r="AB188" s="12" t="n"/>
      <c r="AC188" s="12">
        <f>AC186-AB186-AC90</f>
        <v>-548</v>
      </c>
      <c r="AD188" s="12">
        <f>AD186-AC186-AD90</f>
        <v>-544</v>
      </c>
      <c r="AE188" s="12">
        <f>AE186-AD186-AE90</f>
        <v>-420</v>
      </c>
      <c r="AF188" s="12">
        <f>AF186-AE186-AF90</f>
        <v>-407</v>
      </c>
      <c r="AG188" s="12" t="n"/>
      <c r="AH188" s="11">
        <f>AH186-AG186-AH90</f>
        <v>-119</v>
      </c>
      <c r="AI188" s="11">
        <f>AI186-AH186-AI90</f>
        <v>-3641</v>
      </c>
      <c r="AJ188" s="11" t="n"/>
      <c r="AK188" s="11" t="n"/>
      <c r="AL188" s="12" t="n"/>
      <c r="AM188" s="11" t="n"/>
      <c r="AN188" s="11" t="n"/>
      <c r="AO188" s="11" t="n"/>
      <c r="AP188" s="11" t="n"/>
      <c r="AQ188" s="12" t="n"/>
      <c r="AR188" s="11" t="n"/>
      <c r="AS188" s="11" t="n"/>
      <c r="AT188" s="11" t="n"/>
      <c r="AU188" s="11" t="n"/>
      <c r="AV188" s="12" t="n"/>
      <c r="AW188" s="11" t="n"/>
      <c r="AX188" s="11" t="n"/>
      <c r="AY188" s="11" t="n"/>
      <c r="AZ188" s="11" t="n"/>
      <c r="BA188" s="12" t="n"/>
      <c r="BB188" s="11" t="n"/>
      <c r="BC188" s="11" t="n"/>
      <c r="BD188" s="11" t="n"/>
      <c r="BE188" s="11" t="n"/>
      <c r="BF188" s="12" t="n"/>
      <c r="BG188" s="11" t="n"/>
      <c r="BH188" s="11" t="n"/>
      <c r="BI188" s="11" t="n"/>
      <c r="BJ188" s="11" t="n"/>
      <c r="BK188" s="12" t="n"/>
      <c r="BL188" s="11" t="n"/>
      <c r="BM188" s="11" t="n"/>
      <c r="BN188" s="11" t="n"/>
      <c r="BO188" s="11" t="n"/>
      <c r="BP188" s="12" t="n"/>
      <c r="BQ188" s="11" t="n"/>
      <c r="BR188" s="11" t="n"/>
      <c r="BS188" s="11" t="n"/>
      <c r="BT188" s="11" t="n"/>
      <c r="BU188" s="12" t="n"/>
      <c r="BV188" s="11" t="n"/>
      <c r="BW188" s="11" t="n"/>
      <c r="BX188" s="11" t="n"/>
      <c r="BY188" s="11" t="n"/>
      <c r="BZ188" s="12" t="n"/>
      <c r="CA188" s="11" t="n"/>
      <c r="CB188" s="11" t="n"/>
      <c r="CC188" s="11" t="n"/>
      <c r="CD188" s="11" t="n"/>
      <c r="CE188" s="12" t="n"/>
      <c r="CF188" s="11" t="n"/>
      <c r="CG188" s="11" t="n"/>
      <c r="CH188" s="11" t="n"/>
      <c r="CI188" s="11" t="n"/>
      <c r="CJ188" s="12" t="n"/>
      <c r="CK188" s="11" t="n"/>
      <c r="CL188" s="11" t="n"/>
      <c r="CM188" s="11" t="n"/>
      <c r="CN188" s="11" t="n"/>
      <c r="CO188" s="12" t="n"/>
      <c r="CP188" s="11" t="n"/>
      <c r="CQ188" s="11" t="n"/>
      <c r="CR188" s="11" t="n"/>
      <c r="CS188" s="11" t="n"/>
      <c r="CT188" s="12" t="n"/>
      <c r="CU188" s="11" t="n"/>
      <c r="CV188" s="11" t="n"/>
      <c r="CW188" s="11" t="n"/>
      <c r="CX188" s="11" t="n"/>
      <c r="CY188" s="12" t="n"/>
    </row>
    <row r="189" hidden="1" outlineLevel="1">
      <c r="C189" s="57" t="inlineStr">
        <is>
          <t>Amortization (enter as -)</t>
        </is>
      </c>
      <c r="D189" s="12" t="n"/>
      <c r="E189" s="12" t="n"/>
      <c r="F189" s="12" t="n"/>
      <c r="G189" s="12" t="n"/>
      <c r="H189" s="12" t="n"/>
      <c r="I189" s="12">
        <f>I89</f>
        <v>0</v>
      </c>
      <c r="J189" s="12">
        <f>J89</f>
        <v>0</v>
      </c>
      <c r="K189" s="12">
        <f>K89</f>
        <v>0</v>
      </c>
      <c r="L189" s="12">
        <f>L89</f>
        <v>0</v>
      </c>
      <c r="M189" s="12" t="n"/>
      <c r="N189" s="12">
        <f>N89</f>
        <v>0</v>
      </c>
      <c r="O189" s="12">
        <f>O89</f>
        <v>0</v>
      </c>
      <c r="P189" s="12">
        <f>P89</f>
        <v>0</v>
      </c>
      <c r="Q189" s="12">
        <f>Q89</f>
        <v>0</v>
      </c>
      <c r="R189" s="12" t="n"/>
      <c r="S189" s="12">
        <f>S89</f>
        <v>0</v>
      </c>
      <c r="T189" s="12">
        <f>T89</f>
        <v>0</v>
      </c>
      <c r="U189" s="12">
        <f>U89</f>
        <v>0</v>
      </c>
      <c r="V189" s="12">
        <f>V89</f>
        <v>0</v>
      </c>
      <c r="W189" s="12" t="n"/>
      <c r="X189" s="12">
        <f>X89</f>
        <v>0</v>
      </c>
      <c r="Y189" s="12">
        <f>Y89</f>
        <v>0</v>
      </c>
      <c r="Z189" s="12">
        <f>Z89</f>
        <v>0</v>
      </c>
      <c r="AA189" s="12">
        <f>AA89</f>
        <v>0</v>
      </c>
      <c r="AB189" s="12" t="n"/>
      <c r="AC189" s="12">
        <f>AC89</f>
        <v>0</v>
      </c>
      <c r="AD189" s="12">
        <f>AD89</f>
        <v>0</v>
      </c>
      <c r="AE189" s="12">
        <f>AE89</f>
        <v>0</v>
      </c>
      <c r="AF189" s="12">
        <f>AF89</f>
        <v>0</v>
      </c>
      <c r="AG189" s="12" t="n"/>
      <c r="AH189" s="12">
        <f>AH89</f>
        <v>0</v>
      </c>
      <c r="AI189" s="11">
        <f>AI89</f>
        <v>0</v>
      </c>
      <c r="AJ189" s="11" t="n"/>
      <c r="AK189" s="11" t="n"/>
      <c r="AL189" s="12" t="n"/>
      <c r="AM189" s="11" t="n"/>
      <c r="AN189" s="11" t="n"/>
      <c r="AO189" s="11" t="n"/>
      <c r="AP189" s="11" t="n"/>
      <c r="AQ189" s="12" t="n"/>
      <c r="AR189" s="11" t="n"/>
      <c r="AS189" s="11" t="n"/>
      <c r="AT189" s="11" t="n"/>
      <c r="AU189" s="11" t="n"/>
      <c r="AV189" s="12" t="n"/>
      <c r="AW189" s="11" t="n"/>
      <c r="AX189" s="11" t="n"/>
      <c r="AY189" s="11" t="n"/>
      <c r="AZ189" s="11" t="n"/>
      <c r="BA189" s="12" t="n"/>
      <c r="BB189" s="11" t="n"/>
      <c r="BC189" s="11" t="n"/>
      <c r="BD189" s="11" t="n"/>
      <c r="BE189" s="11" t="n"/>
      <c r="BF189" s="12" t="n"/>
      <c r="BG189" s="11" t="n"/>
      <c r="BH189" s="11" t="n"/>
      <c r="BI189" s="11" t="n"/>
      <c r="BJ189" s="11" t="n"/>
      <c r="BK189" s="12" t="n"/>
      <c r="BL189" s="11" t="n"/>
      <c r="BM189" s="11" t="n"/>
      <c r="BN189" s="11" t="n"/>
      <c r="BO189" s="11" t="n"/>
      <c r="BP189" s="12" t="n"/>
      <c r="BQ189" s="11" t="n"/>
      <c r="BR189" s="11" t="n"/>
      <c r="BS189" s="11" t="n"/>
      <c r="BT189" s="11" t="n"/>
      <c r="BU189" s="12" t="n"/>
      <c r="BV189" s="11" t="n"/>
      <c r="BW189" s="11" t="n"/>
      <c r="BX189" s="11" t="n"/>
      <c r="BY189" s="11" t="n"/>
      <c r="BZ189" s="12" t="n"/>
      <c r="CA189" s="11" t="n"/>
      <c r="CB189" s="11" t="n"/>
      <c r="CC189" s="11" t="n"/>
      <c r="CD189" s="11" t="n"/>
      <c r="CE189" s="12" t="n"/>
      <c r="CF189" s="11" t="n"/>
      <c r="CG189" s="11" t="n"/>
      <c r="CH189" s="11" t="n"/>
      <c r="CI189" s="11" t="n"/>
      <c r="CJ189" s="12" t="n"/>
      <c r="CK189" s="11" t="n"/>
      <c r="CL189" s="11" t="n"/>
      <c r="CM189" s="11" t="n"/>
      <c r="CN189" s="11" t="n"/>
      <c r="CO189" s="12" t="n"/>
      <c r="CP189" s="11" t="n"/>
      <c r="CQ189" s="11" t="n"/>
      <c r="CR189" s="11" t="n"/>
      <c r="CS189" s="11" t="n"/>
      <c r="CT189" s="12" t="n"/>
      <c r="CU189" s="11" t="n"/>
      <c r="CV189" s="11" t="n"/>
      <c r="CW189" s="11" t="n"/>
      <c r="CX189" s="11" t="n"/>
      <c r="CY189" s="12" t="n"/>
    </row>
    <row r="190" hidden="1" outlineLevel="1">
      <c r="C190" s="57" t="inlineStr">
        <is>
          <t>Intangibles</t>
        </is>
      </c>
      <c r="D190" s="12" t="n"/>
      <c r="E190" s="12" t="n"/>
      <c r="F190" s="12" t="n"/>
      <c r="G190" s="12" t="n"/>
      <c r="H190" s="12" t="n"/>
      <c r="I190" s="12">
        <f>I186</f>
        <v>2754</v>
      </c>
      <c r="J190" s="12">
        <f>J186</f>
        <v>2430</v>
      </c>
      <c r="K190" s="12">
        <f>K186</f>
        <v>2181</v>
      </c>
      <c r="L190" s="12">
        <f>L186</f>
        <v>1881</v>
      </c>
      <c r="M190" s="12">
        <f>M186</f>
        <v>1881</v>
      </c>
      <c r="N190" s="12">
        <f>N186</f>
        <v>1688</v>
      </c>
      <c r="O190" s="12">
        <f>O186</f>
        <v>1440</v>
      </c>
      <c r="P190" s="12">
        <f>P186</f>
        <v>12499</v>
      </c>
      <c r="Q190" s="12">
        <f>Q186</f>
        <v>11593</v>
      </c>
      <c r="R190" s="12">
        <f>R186</f>
        <v>11593</v>
      </c>
      <c r="S190" s="12">
        <f>S186</f>
        <v>10707</v>
      </c>
      <c r="T190" s="12">
        <f>T186</f>
        <v>9837</v>
      </c>
      <c r="U190" s="12">
        <f>U186</f>
        <v>9074</v>
      </c>
      <c r="V190" s="12">
        <f>V186</f>
        <v>8378</v>
      </c>
      <c r="W190" s="12">
        <f>W186</f>
        <v>8378</v>
      </c>
      <c r="X190" s="12">
        <f>X186</f>
        <v>7629</v>
      </c>
      <c r="Y190" s="12">
        <f>Y186</f>
        <v>6890</v>
      </c>
      <c r="Z190" s="12">
        <f>Z186</f>
        <v>6270</v>
      </c>
      <c r="AA190" s="12">
        <f>AA186</f>
        <v>5679</v>
      </c>
      <c r="AB190" s="12">
        <f>AB186</f>
        <v>5679</v>
      </c>
      <c r="AC190" s="12">
        <f>AC186</f>
        <v>5131</v>
      </c>
      <c r="AD190" s="12">
        <f>AD186</f>
        <v>4587</v>
      </c>
      <c r="AE190" s="12">
        <f>AE186</f>
        <v>4167</v>
      </c>
      <c r="AF190" s="12">
        <f>AF186</f>
        <v>3760</v>
      </c>
      <c r="AG190" s="12">
        <f>AG186</f>
        <v>3760</v>
      </c>
      <c r="AH190" s="12">
        <f>AH186</f>
        <v>3641</v>
      </c>
      <c r="AI190" s="12">
        <f>AI186</f>
        <v>0</v>
      </c>
      <c r="AJ190" s="12">
        <f>AJ186</f>
        <v>0</v>
      </c>
      <c r="AK190" s="12">
        <f>AK186</f>
        <v>0</v>
      </c>
      <c r="AL190" s="12" t="n"/>
      <c r="AM190" s="12">
        <f>AM186</f>
        <v>0</v>
      </c>
      <c r="AN190" s="12">
        <f>AN186</f>
        <v>0</v>
      </c>
      <c r="AO190" s="12">
        <f>AO186</f>
        <v>0</v>
      </c>
      <c r="AP190" s="12">
        <f>AP186</f>
        <v>0</v>
      </c>
      <c r="AQ190" s="12" t="n"/>
      <c r="AR190" s="12">
        <f>AR186</f>
        <v>0</v>
      </c>
      <c r="AS190" s="12">
        <f>AS186</f>
        <v>0</v>
      </c>
      <c r="AT190" s="12">
        <f>AT186</f>
        <v>0</v>
      </c>
      <c r="AU190" s="12">
        <f>AU186</f>
        <v>0</v>
      </c>
      <c r="AV190" s="12" t="n"/>
      <c r="AW190" s="12">
        <f>AW186</f>
        <v>0</v>
      </c>
      <c r="AX190" s="12">
        <f>AX186</f>
        <v>0</v>
      </c>
      <c r="AY190" s="12">
        <f>AY186</f>
        <v>0</v>
      </c>
      <c r="AZ190" s="12">
        <f>AZ186</f>
        <v>0</v>
      </c>
      <c r="BA190" s="12" t="n"/>
      <c r="BB190" s="12">
        <f>BB186</f>
        <v>0</v>
      </c>
      <c r="BC190" s="12">
        <f>BC186</f>
        <v>0</v>
      </c>
      <c r="BD190" s="12">
        <f>BD186</f>
        <v>0</v>
      </c>
      <c r="BE190" s="12">
        <f>BE186</f>
        <v>0</v>
      </c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7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 hidden="1" outlineLevel="1">
      <c r="C192" s="57" t="inlineStr">
        <is>
          <t>Definir % do D&amp;A No PPE and Intagibles</t>
        </is>
      </c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57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7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collapsed="1">
      <c r="C195" s="14" t="inlineStr">
        <is>
          <t>Other non-current assets</t>
        </is>
      </c>
      <c r="D195" s="46" t="n"/>
      <c r="E195" s="46" t="n"/>
      <c r="F195" s="46" t="n"/>
      <c r="G195" s="46" t="n"/>
      <c r="H195" s="12" t="n"/>
      <c r="I195" s="46">
        <f>'Inputs (2)'!D26</f>
        <v>7116</v>
      </c>
      <c r="J195" s="46">
        <f>'Inputs (2)'!E26</f>
        <v>8490</v>
      </c>
      <c r="K195" s="46">
        <f>'Inputs (2)'!F26</f>
        <v>8763</v>
      </c>
      <c r="L195" s="46">
        <f>'Inputs (2)'!G26</f>
        <v>8802</v>
      </c>
      <c r="M195" s="12">
        <f>'Inputs (2)'!H26</f>
        <v>8802</v>
      </c>
      <c r="N195" s="46">
        <f>'Inputs (2)'!I26</f>
        <v>9730</v>
      </c>
      <c r="O195" s="46">
        <f>'Inputs (2)'!J26</f>
        <v>9915</v>
      </c>
      <c r="P195" s="46">
        <f>'Inputs (2)'!K26</f>
        <v>10832</v>
      </c>
      <c r="Q195" s="46">
        <f>'Inputs (2)'!L26</f>
        <v>11360</v>
      </c>
      <c r="R195" s="12">
        <f>'Inputs (2)'!M26</f>
        <v>11360</v>
      </c>
      <c r="S195" s="46">
        <f>'Inputs (2)'!N26</f>
        <v>12220</v>
      </c>
      <c r="T195" s="46">
        <f>'Inputs (2)'!O26</f>
        <v>11987</v>
      </c>
      <c r="U195" s="46">
        <f>'Inputs (2)'!P26</f>
        <v>13329</v>
      </c>
      <c r="V195" s="46">
        <f>'Inputs (2)'!Q26</f>
        <v>13659</v>
      </c>
      <c r="W195" s="12">
        <f>'Inputs (2)'!R26</f>
        <v>13659</v>
      </c>
      <c r="X195" s="46">
        <f>'Inputs (2)'!S26</f>
        <v>14363</v>
      </c>
      <c r="Y195" s="46">
        <f>'Inputs (2)'!T26</f>
        <v>15493</v>
      </c>
      <c r="Z195" s="46">
        <f>'Inputs (2)'!U26</f>
        <v>17310</v>
      </c>
      <c r="AA195" s="46">
        <f>'Inputs (2)'!V26</f>
        <v>18681</v>
      </c>
      <c r="AB195" s="12">
        <f>'Inputs (2)'!W26</f>
        <v>18681</v>
      </c>
      <c r="AC195" s="46">
        <f>'Inputs (2)'!X26</f>
        <v>20191</v>
      </c>
      <c r="AD195" s="46">
        <f>'Inputs (2)'!Y26</f>
        <v>21589</v>
      </c>
      <c r="AE195" s="46">
        <f>'Inputs (2)'!Z26</f>
        <v>24509</v>
      </c>
      <c r="AF195" s="46">
        <f>'Inputs (2)'!AA26</f>
        <v>25245</v>
      </c>
      <c r="AG195" s="12">
        <f>'Inputs (2)'!AB26</f>
        <v>25245</v>
      </c>
      <c r="AH195" s="12">
        <f>'Inputs (2)'!AC26</f>
        <v>29474</v>
      </c>
      <c r="AI195" s="12">
        <f>'Inputs (2)'!AD26</f>
        <v>11743</v>
      </c>
      <c r="AJ195" s="12">
        <f>AI195</f>
        <v>11743</v>
      </c>
      <c r="AK195" s="12">
        <f>AJ195</f>
        <v>11743</v>
      </c>
      <c r="AL195" s="12">
        <f>AK195</f>
        <v>11743</v>
      </c>
      <c r="AM195" s="12">
        <f>AL195</f>
        <v>11743</v>
      </c>
      <c r="AN195" s="12">
        <f>AM195</f>
        <v>11743</v>
      </c>
      <c r="AO195" s="12">
        <f>AN195</f>
        <v>11743</v>
      </c>
      <c r="AP195" s="12">
        <f>AO195</f>
        <v>11743</v>
      </c>
      <c r="AQ195" s="12">
        <f>AP195</f>
        <v>11743</v>
      </c>
      <c r="AR195" s="12">
        <f>AQ195</f>
        <v>11743</v>
      </c>
      <c r="AS195" s="12">
        <f>AR195</f>
        <v>11743</v>
      </c>
      <c r="AT195" s="12">
        <f>AS195</f>
        <v>11743</v>
      </c>
      <c r="AU195" s="12">
        <f>AT195</f>
        <v>11743</v>
      </c>
      <c r="AV195" s="12">
        <f>AU195</f>
        <v>11743</v>
      </c>
      <c r="AW195" s="12">
        <f>AV195</f>
        <v>11743</v>
      </c>
      <c r="AX195" s="12">
        <f>AW195</f>
        <v>11743</v>
      </c>
      <c r="AY195" s="12">
        <f>AX195</f>
        <v>11743</v>
      </c>
      <c r="AZ195" s="12">
        <f>AY195</f>
        <v>11743</v>
      </c>
      <c r="BA195" s="12">
        <f>AZ195</f>
        <v>11743</v>
      </c>
      <c r="BB195" s="12">
        <f>BA195</f>
        <v>11743</v>
      </c>
      <c r="BC195" s="12">
        <f>BB195</f>
        <v>11743</v>
      </c>
      <c r="BD195" s="12">
        <f>BC195</f>
        <v>11743</v>
      </c>
      <c r="BE195" s="12">
        <f>BD195</f>
        <v>11743</v>
      </c>
      <c r="BF195" s="12">
        <f>BE195</f>
        <v>11743</v>
      </c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9" t="inlineStr">
        <is>
          <t>%(Var.)</t>
        </is>
      </c>
      <c r="D196" s="12" t="n"/>
      <c r="E196" s="40" t="n"/>
      <c r="F196" s="40" t="n"/>
      <c r="G196" s="40" t="n"/>
      <c r="H196" s="12" t="n"/>
      <c r="I196" s="40" t="str">
        <f>""</f>
        <v/>
      </c>
      <c r="J196" s="40">
        <f>IF(I195=0,"",J195/I195-1)</f>
        <v>0.193086003372681</v>
      </c>
      <c r="K196" s="40">
        <f>IF(J195=0,"",K195/J195-1)</f>
        <v>0.0321554770318022</v>
      </c>
      <c r="L196" s="40">
        <f>IF(K195=0,"",L195/K195-1)</f>
        <v>0.00445053064019163</v>
      </c>
      <c r="M196" s="12">
        <f>IF(L195=0,"",M195/L195-1)</f>
        <v>0</v>
      </c>
      <c r="N196" s="40">
        <f>IF(M195=0,"",N195/M195-1)</f>
        <v>0.105430583958191</v>
      </c>
      <c r="O196" s="40">
        <f>IF(N195=0,"",O195/N195-1)</f>
        <v>0.0190133607399794</v>
      </c>
      <c r="P196" s="40">
        <f>IF(O195=0,"",P195/O195-1)</f>
        <v>0.0924861321230459</v>
      </c>
      <c r="Q196" s="40">
        <f>IF(P195=0,"",Q195/P195-1)</f>
        <v>0.0487444608567209</v>
      </c>
      <c r="R196" s="12">
        <f>IF(Q195=0,"",R195/Q195-1)</f>
        <v>0</v>
      </c>
      <c r="S196" s="40">
        <f>IF(R195=0,"",S195/R195-1)</f>
        <v>0.0757042253521127</v>
      </c>
      <c r="T196" s="40">
        <f>IF(S195=0,"",T195/S195-1)</f>
        <v>-0.0190671031096563</v>
      </c>
      <c r="U196" s="40">
        <f>IF(T195=0,"",U195/T195-1)</f>
        <v>0.111954617502294</v>
      </c>
      <c r="V196" s="40">
        <f>IF(U195=0,"",V195/U195-1)</f>
        <v>0.0247580463650687</v>
      </c>
      <c r="W196" s="12">
        <f>IF(V195=0,"",W195/V195-1)</f>
        <v>0</v>
      </c>
      <c r="X196" s="40">
        <f>IF(W195=0,"",X195/W195-1)</f>
        <v>0.0515411084266784</v>
      </c>
      <c r="Y196" s="40">
        <f>IF(X195=0,"",Y195/X195-1)</f>
        <v>0.078674371649377</v>
      </c>
      <c r="Z196" s="40">
        <f>IF(Y195=0,"",Z195/Y195-1)</f>
        <v>0.117278771057897</v>
      </c>
      <c r="AA196" s="40">
        <f>IF(Z195=0,"",AA195/Z195-1)</f>
        <v>0.0792027729636049</v>
      </c>
      <c r="AB196" s="12">
        <f>IF(AA195=0,"",AB195/AA195-1)</f>
        <v>0</v>
      </c>
      <c r="AC196" s="40">
        <f>IF(AB195=0,"",AC195/AB195-1)</f>
        <v>0.0808307906428991</v>
      </c>
      <c r="AD196" s="40">
        <f>IF(AC195=0,"",AD195/AC195-1)</f>
        <v>0.0692387697488981</v>
      </c>
      <c r="AE196" s="40">
        <f>IF(AD195=0,"",AE195/AD195-1)</f>
        <v>0.13525406456992</v>
      </c>
      <c r="AF196" s="55">
        <f>IF(AE195=0,"",AF195/AE195-1)</f>
        <v>0.0300297849769473</v>
      </c>
      <c r="AG196" s="12">
        <f>IF(AF195=0,"",AG195/AF195-1)</f>
        <v>0</v>
      </c>
      <c r="AH196" s="55">
        <f>IF(AG195=0,"",AH195/AG195-1)</f>
        <v>0.167518320459497</v>
      </c>
      <c r="AI196" s="55">
        <f>IF(AH195=0,"",AI195/AH195-1)</f>
        <v>-0.601581054488702</v>
      </c>
      <c r="AJ196" s="55">
        <f>IF(AI195=0,"",AJ195/AI195-1)</f>
        <v>0</v>
      </c>
      <c r="AK196" s="55">
        <f>IF(AJ195=0,"",AK195/AJ195-1)</f>
        <v>0</v>
      </c>
      <c r="AL196" s="12">
        <f>IF(AK195=0,"",AL195/AK195-1)</f>
        <v>0</v>
      </c>
      <c r="AM196" s="55">
        <f>IF(AL195=0,"",AM195/AL195-1)</f>
        <v>0</v>
      </c>
      <c r="AN196" s="55">
        <f>IF(AM195=0,"",AN195/AM195-1)</f>
        <v>0</v>
      </c>
      <c r="AO196" s="55">
        <f>IF(AN195=0,"",AO195/AN195-1)</f>
        <v>0</v>
      </c>
      <c r="AP196" s="55">
        <f>IF(AO195=0,"",AP195/AO195-1)</f>
        <v>0</v>
      </c>
      <c r="AQ196" s="12">
        <f>IF(AP195=0,"",AQ195/AP195-1)</f>
        <v>0</v>
      </c>
      <c r="AR196" s="55">
        <f>IF(AQ195=0,"",AR195/AQ195-1)</f>
        <v>0</v>
      </c>
      <c r="AS196" s="55">
        <f>IF(AR195=0,"",AS195/AR195-1)</f>
        <v>0</v>
      </c>
      <c r="AT196" s="55">
        <f>IF(AS195=0,"",AT195/AS195-1)</f>
        <v>0</v>
      </c>
      <c r="AU196" s="55">
        <f>IF(AT195=0,"",AU195/AT195-1)</f>
        <v>0</v>
      </c>
      <c r="AV196" s="12">
        <f>IF(AU195=0,"",AV195/AU195-1)</f>
        <v>0</v>
      </c>
      <c r="AW196" s="55">
        <f>IF(AV195=0,"",AW195/AV195-1)</f>
        <v>0</v>
      </c>
      <c r="AX196" s="55">
        <f>IF(AW195=0,"",AX195/AW195-1)</f>
        <v>0</v>
      </c>
      <c r="AY196" s="55">
        <f>IF(AX195=0,"",AY195/AX195-1)</f>
        <v>0</v>
      </c>
      <c r="AZ196" s="55">
        <f>IF(AY195=0,"",AZ195/AY195-1)</f>
        <v>0</v>
      </c>
      <c r="BA196" s="12">
        <f>IF(AZ195=0,"",BA195/AZ195-1)</f>
        <v>0</v>
      </c>
      <c r="BB196" s="55">
        <f>IF(BA195=0,"",BB195/BA195-1)</f>
        <v>0</v>
      </c>
      <c r="BC196" s="55">
        <f>IF(BB195=0,"",BC195/BB195-1)</f>
        <v>0</v>
      </c>
      <c r="BD196" s="55">
        <f>IF(BC195=0,"",BD195/BC195-1)</f>
        <v>0</v>
      </c>
      <c r="BE196" s="55">
        <f>IF(BD195=0,"",BE195/BD195-1)</f>
        <v>0</v>
      </c>
      <c r="BF196" s="12">
        <f>IF(BE195=0,"",BF195/BE195-1)</f>
        <v>0</v>
      </c>
      <c r="BG196" s="55" t="n"/>
      <c r="BH196" s="55" t="n"/>
      <c r="BI196" s="55" t="n"/>
      <c r="BJ196" s="55" t="n"/>
      <c r="BK196" s="12" t="n"/>
      <c r="BL196" s="55" t="n"/>
      <c r="BM196" s="55" t="n"/>
      <c r="BN196" s="55" t="n"/>
      <c r="BO196" s="55" t="n"/>
      <c r="BP196" s="12" t="n"/>
      <c r="BQ196" s="55" t="n"/>
      <c r="BR196" s="55" t="n"/>
      <c r="BS196" s="55" t="n"/>
      <c r="BT196" s="55" t="n"/>
      <c r="BU196" s="12" t="n"/>
      <c r="BV196" s="55" t="n"/>
      <c r="BW196" s="55" t="n"/>
      <c r="BX196" s="55" t="n"/>
      <c r="BY196" s="55" t="n"/>
      <c r="BZ196" s="12" t="n"/>
      <c r="CA196" s="55" t="n"/>
      <c r="CB196" s="55" t="n"/>
      <c r="CC196" s="55" t="n"/>
      <c r="CD196" s="55" t="n"/>
      <c r="CE196" s="12" t="n"/>
      <c r="CF196" s="55" t="n"/>
      <c r="CG196" s="55" t="n"/>
      <c r="CH196" s="55" t="n"/>
      <c r="CI196" s="55" t="n"/>
      <c r="CJ196" s="12" t="n"/>
      <c r="CK196" s="55" t="n"/>
      <c r="CL196" s="55" t="n"/>
      <c r="CM196" s="55" t="n"/>
      <c r="CN196" s="55" t="n"/>
      <c r="CO196" s="12" t="n"/>
      <c r="CP196" s="55" t="n"/>
      <c r="CQ196" s="55" t="n"/>
      <c r="CR196" s="55" t="n"/>
      <c r="CS196" s="55" t="n"/>
      <c r="CT196" s="12" t="n"/>
      <c r="CU196" s="55" t="n"/>
      <c r="CV196" s="55" t="n"/>
      <c r="CW196" s="55" t="n"/>
      <c r="CX196" s="55" t="n"/>
      <c r="CY196" s="12" t="n"/>
    </row>
    <row r="197" hidden="1" outlineLevel="1">
      <c r="C197" s="57" t="n"/>
      <c r="D197" s="12" t="n"/>
      <c r="E197" s="40" t="n"/>
      <c r="F197" s="40" t="n"/>
      <c r="G197" s="40" t="n"/>
      <c r="H197" s="12" t="n"/>
      <c r="I197" s="40" t="n"/>
      <c r="J197" s="40" t="n"/>
      <c r="K197" s="40" t="n"/>
      <c r="L197" s="40" t="n"/>
      <c r="M197" s="12" t="n"/>
      <c r="N197" s="40" t="n"/>
      <c r="O197" s="40" t="n"/>
      <c r="P197" s="40" t="n"/>
      <c r="Q197" s="40" t="n"/>
      <c r="R197" s="12" t="n"/>
      <c r="S197" s="40" t="n"/>
      <c r="T197" s="40" t="n"/>
      <c r="U197" s="40" t="n"/>
      <c r="V197" s="40" t="n"/>
      <c r="W197" s="12" t="n"/>
      <c r="X197" s="40" t="n"/>
      <c r="Y197" s="40" t="n"/>
      <c r="Z197" s="40" t="n"/>
      <c r="AA197" s="40" t="n"/>
      <c r="AB197" s="12" t="n"/>
      <c r="AC197" s="40" t="n"/>
      <c r="AD197" s="40" t="n"/>
      <c r="AE197" s="40" t="n"/>
      <c r="AF197" s="55" t="n"/>
      <c r="AG197" s="12" t="n"/>
      <c r="AH197" s="55" t="n"/>
      <c r="AI197" s="55" t="n"/>
      <c r="AJ197" s="55" t="n"/>
      <c r="AK197" s="55" t="n"/>
      <c r="AL197" s="12" t="n"/>
      <c r="AM197" s="55" t="n"/>
      <c r="AN197" s="55" t="n"/>
      <c r="AO197" s="55" t="n"/>
      <c r="AP197" s="55" t="n"/>
      <c r="AQ197" s="12" t="n"/>
      <c r="AR197" s="55" t="n"/>
      <c r="AS197" s="55" t="n"/>
      <c r="AT197" s="55" t="n"/>
      <c r="AU197" s="55" t="n"/>
      <c r="AV197" s="12" t="n"/>
      <c r="AW197" s="55" t="n"/>
      <c r="AX197" s="55" t="n"/>
      <c r="AY197" s="55" t="n"/>
      <c r="AZ197" s="55" t="n"/>
      <c r="BA197" s="12" t="n"/>
      <c r="BB197" s="55" t="n"/>
      <c r="BC197" s="55" t="n"/>
      <c r="BD197" s="55" t="n"/>
      <c r="BE197" s="55" t="n"/>
      <c r="BF197" s="12" t="n"/>
      <c r="BG197" s="55" t="n"/>
      <c r="BH197" s="55" t="n"/>
      <c r="BI197" s="55" t="n"/>
      <c r="BJ197" s="55" t="n"/>
      <c r="BK197" s="12" t="n"/>
      <c r="BL197" s="55" t="n"/>
      <c r="BM197" s="55" t="n"/>
      <c r="BN197" s="55" t="n"/>
      <c r="BO197" s="55" t="n"/>
      <c r="BP197" s="12" t="n"/>
      <c r="BQ197" s="55" t="n"/>
      <c r="BR197" s="55" t="n"/>
      <c r="BS197" s="55" t="n"/>
      <c r="BT197" s="55" t="n"/>
      <c r="BU197" s="12" t="n"/>
      <c r="BV197" s="55" t="n"/>
      <c r="BW197" s="55" t="n"/>
      <c r="BX197" s="55" t="n"/>
      <c r="BY197" s="55" t="n"/>
      <c r="BZ197" s="12" t="n"/>
      <c r="CA197" s="55" t="n"/>
      <c r="CB197" s="55" t="n"/>
      <c r="CC197" s="55" t="n"/>
      <c r="CD197" s="55" t="n"/>
      <c r="CE197" s="12" t="n"/>
      <c r="CF197" s="55" t="n"/>
      <c r="CG197" s="55" t="n"/>
      <c r="CH197" s="55" t="n"/>
      <c r="CI197" s="55" t="n"/>
      <c r="CJ197" s="12" t="n"/>
      <c r="CK197" s="55" t="n"/>
      <c r="CL197" s="55" t="n"/>
      <c r="CM197" s="55" t="n"/>
      <c r="CN197" s="55" t="n"/>
      <c r="CO197" s="12" t="n"/>
      <c r="CP197" s="55" t="n"/>
      <c r="CQ197" s="55" t="n"/>
      <c r="CR197" s="55" t="n"/>
      <c r="CS197" s="55" t="n"/>
      <c r="CT197" s="12" t="n"/>
      <c r="CU197" s="55" t="n"/>
      <c r="CV197" s="55" t="n"/>
      <c r="CW197" s="55" t="n"/>
      <c r="CX197" s="55" t="n"/>
      <c r="CY197" s="12" t="n"/>
    </row>
    <row r="198" hidden="1" outlineLevel="1">
      <c r="C198" s="60" t="inlineStr">
        <is>
          <t>Outros Créditos - LP</t>
        </is>
      </c>
      <c r="D198" s="11" t="n"/>
      <c r="E198" s="11" t="n"/>
      <c r="F198" s="11" t="n"/>
      <c r="G198" s="11" t="n"/>
      <c r="H198" s="12" t="n"/>
      <c r="I198" s="11" t="n"/>
      <c r="J198" s="11" t="n"/>
      <c r="K198" s="11" t="n"/>
      <c r="L198" s="11" t="n"/>
      <c r="M198" s="12" t="n"/>
      <c r="N198" s="11" t="n"/>
      <c r="O198" s="11" t="n"/>
      <c r="P198" s="11" t="n"/>
      <c r="Q198" s="11" t="n"/>
      <c r="R198" s="12" t="n"/>
      <c r="S198" s="11" t="n"/>
      <c r="T198" s="11" t="n"/>
      <c r="U198" s="11" t="n"/>
      <c r="V198" s="11" t="n"/>
      <c r="W198" s="12" t="n"/>
      <c r="X198" s="11" t="n"/>
      <c r="Y198" s="11" t="n"/>
      <c r="Z198" s="11" t="n"/>
      <c r="AA198" s="11" t="n"/>
      <c r="AB198" s="12" t="n"/>
      <c r="AC198" s="11" t="n"/>
      <c r="AD198" s="11" t="n"/>
      <c r="AE198" s="11" t="n"/>
      <c r="AF198" s="11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60" t="inlineStr">
        <is>
          <t xml:space="preserve">Impostos e Contribuições a Recuperar </t>
        </is>
      </c>
      <c r="D199" s="11" t="n"/>
      <c r="E199" s="11" t="n"/>
      <c r="F199" s="11" t="n"/>
      <c r="G199" s="11" t="n"/>
      <c r="H199" s="12" t="n"/>
      <c r="I199" s="11" t="n"/>
      <c r="J199" s="11" t="n"/>
      <c r="K199" s="11" t="n"/>
      <c r="L199" s="11" t="n"/>
      <c r="M199" s="12" t="n"/>
      <c r="N199" s="11" t="n"/>
      <c r="O199" s="11" t="n"/>
      <c r="P199" s="11" t="n"/>
      <c r="Q199" s="11" t="n"/>
      <c r="R199" s="12" t="n"/>
      <c r="S199" s="11" t="n"/>
      <c r="T199" s="11" t="n"/>
      <c r="U199" s="11" t="n"/>
      <c r="V199" s="11" t="n"/>
      <c r="W199" s="12" t="n"/>
      <c r="X199" s="11" t="n"/>
      <c r="Y199" s="11" t="n"/>
      <c r="Z199" s="11" t="n"/>
      <c r="AA199" s="11" t="n"/>
      <c r="AB199" s="12" t="n"/>
      <c r="AC199" s="11" t="n"/>
      <c r="AD199" s="11" t="n"/>
      <c r="AE199" s="11" t="n"/>
      <c r="AF199" s="11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hidden="1" outlineLevel="1">
      <c r="C200" s="60" t="inlineStr">
        <is>
          <t xml:space="preserve">Imposto de Renda e Contribuição Social Diferidos </t>
        </is>
      </c>
      <c r="D200" s="11" t="n"/>
      <c r="E200" s="11" t="n"/>
      <c r="F200" s="11" t="n"/>
      <c r="G200" s="11" t="n"/>
      <c r="H200" s="12" t="n"/>
      <c r="I200" s="11" t="n"/>
      <c r="J200" s="11" t="n"/>
      <c r="K200" s="11" t="n"/>
      <c r="L200" s="11" t="n"/>
      <c r="M200" s="12" t="n"/>
      <c r="N200" s="11" t="n"/>
      <c r="O200" s="11" t="n"/>
      <c r="P200" s="11" t="n"/>
      <c r="Q200" s="11" t="n"/>
      <c r="R200" s="12" t="n"/>
      <c r="S200" s="11" t="n"/>
      <c r="T200" s="11" t="n"/>
      <c r="U200" s="11" t="n"/>
      <c r="V200" s="11" t="n"/>
      <c r="W200" s="12" t="n"/>
      <c r="X200" s="11" t="n"/>
      <c r="Y200" s="11" t="n"/>
      <c r="Z200" s="11" t="n"/>
      <c r="AA200" s="11" t="n"/>
      <c r="AB200" s="12" t="n"/>
      <c r="AC200" s="11" t="n"/>
      <c r="AD200" s="11" t="n"/>
      <c r="AE200" s="11" t="n"/>
      <c r="AF200" s="11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60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hidden="1" outlineLevel="1">
      <c r="C202" s="57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collapsed="1" customFormat="1" s="32">
      <c r="A203" s="30" t="n"/>
      <c r="B203" s="3" t="n"/>
      <c r="C203" s="33" t="inlineStr">
        <is>
          <t>Total Assets</t>
        </is>
      </c>
      <c r="D203" s="35" t="n"/>
      <c r="E203" s="35" t="n"/>
      <c r="F203" s="35" t="n"/>
      <c r="G203" s="35" t="n"/>
      <c r="H203" s="35" t="n"/>
      <c r="I203" s="35">
        <f>SUM(I150,I151,I155,I159,I160,I161,I167,I172,I182,I185,I186,I195)</f>
        <v>118109</v>
      </c>
      <c r="J203" s="35">
        <f>SUM(J150,J151,J155,J159,J160,J161,J167,J172,J182,J185,J186,J195)</f>
        <v>131107</v>
      </c>
      <c r="K203" s="35">
        <f>SUM(K150,K151,K155,K159,K160,K161,K167,K172,K182,K185,K186,K195)</f>
        <v>122924</v>
      </c>
      <c r="L203" s="35">
        <f>SUM(L150,L151,L155,L159,L160,L161,L167,L172,L182,L185,L186,L195)</f>
        <v>106897</v>
      </c>
      <c r="M203" s="35">
        <f>SUM(M150,M151,M155,M159,M160,M161,M167,M172,M182,M185,M186,M195)</f>
        <v>106897</v>
      </c>
      <c r="N203" s="35">
        <f>SUM(N150,N151,N155,N159,N160,N161,N167,N172,N182,N185,N186,N195)</f>
        <v>108644</v>
      </c>
      <c r="O203" s="35">
        <f>SUM(O150,O151,O155,O159,O160,O161,O167,O172,O182,O185,O186,O195)</f>
        <v>109297</v>
      </c>
      <c r="P203" s="35">
        <f>SUM(P150,P151,P155,P159,P160,P161,P167,P172,P182,P185,P186,P195)</f>
        <v>130309</v>
      </c>
      <c r="Q203" s="35">
        <f>SUM(Q150,Q151,Q155,Q159,Q160,Q161,Q167,Q172,Q182,Q185,Q186,Q195)</f>
        <v>128469</v>
      </c>
      <c r="R203" s="35">
        <f>SUM(R150,R151,R155,R159,R160,R161,R167,R172,R182,R185,R186,R195)</f>
        <v>128469</v>
      </c>
      <c r="S203" s="35">
        <f>SUM(S150,S151,S155,S159,S160,S161,S167,S172,S182,S185,S186,S195)</f>
        <v>131620</v>
      </c>
      <c r="T203" s="35">
        <f>SUM(T150,T151,T155,T159,T160,T161,T167,T172,T182,T185,T186,T195)</f>
        <v>134384</v>
      </c>
      <c r="U203" s="35">
        <f>SUM(U150,U151,U155,U159,U160,U161,U167,U172,U182,U185,U186,U195)</f>
        <v>136662</v>
      </c>
      <c r="V203" s="35">
        <f>SUM(V150,V151,V155,V159,V160,V161,V167,V172,V182,V185,V186,V195)</f>
        <v>134324</v>
      </c>
      <c r="W203" s="35">
        <f>SUM(W150,W151,W155,W159,W160,W161,W167,W172,W182,W185,W186,W195)</f>
        <v>134324</v>
      </c>
      <c r="X203" s="35">
        <f>SUM(X150,X151,X155,X159,X160,X161,X167,X172,X182,X185,X186,X195)</f>
        <v>137082</v>
      </c>
      <c r="Y203" s="35">
        <f>SUM(Y150,Y151,Y155,Y159,Y160,Y161,Y167,Y172,Y182,Y185,Y186,Y195)</f>
        <v>140976</v>
      </c>
      <c r="Z203" s="35">
        <f>SUM(Z150,Z151,Z155,Z159,Z160,Z161,Z167,Z172,Z182,Z185,Z186,Z195)</f>
        <v>144214</v>
      </c>
      <c r="AA203" s="35">
        <f>SUM(AA150,AA151,AA155,AA159,AA160,AA161,AA167,AA172,AA182,AA185,AA186,AA195)</f>
        <v>148483</v>
      </c>
      <c r="AB203" s="35">
        <f>SUM(AB150,AB151,AB155,AB159,AB160,AB161,AB167,AB172,AB182,AB185,AB186,AB195)</f>
        <v>148483</v>
      </c>
      <c r="AC203" s="35">
        <f>SUM(AC150,AC151,AC155,AC159,AC160,AC161,AC167,AC172,AC182,AC185,AC186,AC195)</f>
        <v>161378</v>
      </c>
      <c r="AD203" s="35">
        <f>SUM(AD150,AD151,AD155,AD159,AD160,AD161,AD167,AD172,AD182,AD185,AD186,AD195)</f>
        <v>168361</v>
      </c>
      <c r="AE203" s="35">
        <f>SUM(AE150,AE151,AE155,AE159,AE160,AE161,AE167,AE172,AE182,AE185,AE186,AE195)</f>
        <v>180449</v>
      </c>
      <c r="AF203" s="35">
        <f>SUM(AF150,AF151,AF155,AF159,AF160,AF161,AF167,AF172,AF182,AF185,AF186,AF195)</f>
        <v>204984</v>
      </c>
      <c r="AG203" s="35">
        <f>SUM(AG150,AG151,AG155,AG159,AG160,AG161,AG167,AG172,AG182,AG185,AG186,AG195)</f>
        <v>204984</v>
      </c>
      <c r="AH203" s="35">
        <f>SUM(AH150,AH151,AH155,AH159,AH160,AH161,AH167,AH172,AH182,AH185,AH186,AH195)</f>
        <v>245240</v>
      </c>
      <c r="AI203" s="35">
        <f>SUM(AI150,AI151,AI155,AI159,AI160,AI161,AI167,AI172,AI182,AI185,AI186,AI195)</f>
        <v>261759</v>
      </c>
      <c r="AJ203" s="35">
        <f>SUM(AJ150,AJ151,AJ155,AJ159,AJ160,AJ161,AJ167,AJ172,AJ182,AJ185,AJ186,AJ195)</f>
        <v>263900.397822491</v>
      </c>
      <c r="AK203" s="35">
        <f>SUM(AK150,AK151,AK155,AK159,AK160,AK161,AK167,AK172,AK182,AK185,AK186,AK195)</f>
        <v>270279.633249242</v>
      </c>
      <c r="AL203" s="35">
        <f>SUM(AL150,AL151,AL155,AL159,AL160,AL161,AL167,AL172,AL182,AL185,AL186,AL195)</f>
        <v>270279.633249242</v>
      </c>
      <c r="AM203" s="35">
        <f>SUM(AM150,AM151,AM155,AM159,AM160,AM161,AM167,AM172,AM182,AM185,AM186,AM195)</f>
        <v>277292.527027363</v>
      </c>
      <c r="AN203" s="35">
        <f>SUM(AN150,AN151,AN155,AN159,AN160,AN161,AN167,AN172,AN182,AN185,AN186,AN195)</f>
        <v>285199.838337293</v>
      </c>
      <c r="AO203" s="35">
        <f>SUM(AO150,AO151,AO155,AO159,AO160,AO161,AO167,AO172,AO182,AO185,AO186,AO195)</f>
        <v>290311.105548352</v>
      </c>
      <c r="AP203" s="35">
        <f>SUM(AP150,AP151,AP155,AP159,AP160,AP161,AP167,AP172,AP182,AP185,AP186,AP195)</f>
        <v>297817.173761033</v>
      </c>
      <c r="AQ203" s="35">
        <f>SUM(AQ150,AQ151,AQ155,AQ159,AQ160,AQ161,AQ167,AQ172,AQ182,AQ185,AQ186,AQ195)</f>
        <v>297817.173761033</v>
      </c>
      <c r="AR203" s="35">
        <f>SUM(AR150,AR151,AR155,AR159,AR160,AR161,AR167,AR172,AR182,AR185,AR186,AR195)</f>
        <v>305864.226977736</v>
      </c>
      <c r="AS203" s="35">
        <f>SUM(AS150,AS151,AS155,AS159,AS160,AS161,AS167,AS172,AS182,AS185,AS186,AS195)</f>
        <v>315227.854133541</v>
      </c>
      <c r="AT203" s="35">
        <f>SUM(AT150,AT151,AT155,AT159,AT160,AT161,AT167,AT172,AT182,AT185,AT186,AT195)</f>
        <v>321323.634705095</v>
      </c>
      <c r="AU203" s="35">
        <f>SUM(AU150,AU151,AU155,AU159,AU160,AU161,AU167,AU172,AU182,AU185,AU186,AU195)</f>
        <v>330182.010060945</v>
      </c>
      <c r="AV203" s="35">
        <f>SUM(AV150,AV151,AV155,AV159,AV160,AV161,AV167,AV172,AV182,AV185,AV186,AV195)</f>
        <v>330182.010060945</v>
      </c>
      <c r="AW203" s="35">
        <f>SUM(AW150,AW151,AW155,AW159,AW160,AW161,AW167,AW172,AW182,AW185,AW186,AW195)</f>
        <v>339727.478944246</v>
      </c>
      <c r="AX203" s="35">
        <f>SUM(AX150,AX151,AX155,AX159,AX160,AX161,AX167,AX172,AX182,AX185,AX186,AX195)</f>
        <v>350595.861775355</v>
      </c>
      <c r="AY203" s="35">
        <f>SUM(AY150,AY151,AY155,AY159,AY160,AY161,AY167,AY172,AY182,AY185,AY186,AY195)</f>
        <v>357934.604156612</v>
      </c>
      <c r="AZ203" s="35">
        <f>SUM(AZ150,AZ151,AZ155,AZ159,AZ160,AZ161,AZ167,AZ172,AZ182,AZ185,AZ186,AZ195)</f>
        <v>368458.069861589</v>
      </c>
      <c r="BA203" s="35">
        <f>SUM(BA150,BA151,BA155,BA159,BA160,BA161,BA167,BA172,BA182,BA185,BA186,BA195)</f>
        <v>368458.069861589</v>
      </c>
      <c r="BB203" s="35">
        <f>SUM(BB150,BB151,BB155,BB159,BB160,BB161,BB167,BB172,BB182,BB185,BB186,BB195)</f>
        <v>379700.688439106</v>
      </c>
      <c r="BC203" s="35">
        <f>SUM(BC150,BC151,BC155,BC159,BC160,BC161,BC167,BC172,BC182,BC185,BC186,BC195)</f>
        <v>392551.972555377</v>
      </c>
      <c r="BD203" s="35">
        <f>SUM(BD150,BD151,BD155,BD159,BD160,BD161,BD167,BD172,BD182,BD185,BD186,BD195)</f>
        <v>401486.144015959</v>
      </c>
      <c r="BE203" s="35">
        <f>SUM(BE150,BE151,BE155,BE159,BE160,BE161,BE167,BE172,BE182,BE185,BE186,BE195)</f>
        <v>414091.316845096</v>
      </c>
      <c r="BF203" s="35">
        <f>SUM(BF150,BF151,BF155,BF159,BF160,BF161,BF167,BF172,BF182,BF185,BF186,BF195)</f>
        <v>414091.316845096</v>
      </c>
      <c r="BG203" s="35" t="n"/>
      <c r="BH203" s="35" t="n"/>
      <c r="BI203" s="35" t="n"/>
      <c r="BJ203" s="35" t="n"/>
      <c r="BK203" s="35" t="n"/>
      <c r="BL203" s="35" t="n"/>
      <c r="BM203" s="35" t="n"/>
      <c r="BN203" s="35" t="n"/>
      <c r="BO203" s="35" t="n"/>
      <c r="BP203" s="35" t="n"/>
      <c r="BQ203" s="35" t="n"/>
      <c r="BR203" s="35" t="n"/>
      <c r="BS203" s="35" t="n"/>
      <c r="BT203" s="35" t="n"/>
      <c r="BU203" s="35" t="n"/>
      <c r="BV203" s="35" t="n"/>
      <c r="BW203" s="35" t="n"/>
      <c r="BX203" s="35" t="n"/>
      <c r="BY203" s="35" t="n"/>
      <c r="BZ203" s="35" t="n"/>
      <c r="CA203" s="35" t="n"/>
      <c r="CB203" s="35" t="n"/>
      <c r="CC203" s="35" t="n"/>
      <c r="CD203" s="35" t="n"/>
      <c r="CE203" s="35" t="n"/>
      <c r="CF203" s="35" t="n"/>
      <c r="CG203" s="35" t="n"/>
      <c r="CH203" s="35" t="n"/>
      <c r="CI203" s="35" t="n"/>
      <c r="CJ203" s="35" t="n"/>
      <c r="CK203" s="35" t="n"/>
      <c r="CL203" s="35" t="n"/>
      <c r="CM203" s="35" t="n"/>
      <c r="CN203" s="35" t="n"/>
      <c r="CO203" s="35" t="n"/>
      <c r="CP203" s="35" t="n"/>
      <c r="CQ203" s="35" t="n"/>
      <c r="CR203" s="35" t="n"/>
      <c r="CS203" s="35" t="n"/>
      <c r="CT203" s="35" t="n"/>
      <c r="CU203" s="35" t="n"/>
      <c r="CV203" s="35" t="n"/>
      <c r="CW203" s="35" t="n"/>
      <c r="CX203" s="35" t="n"/>
      <c r="CY203" s="35" t="n"/>
    </row>
    <row r="204">
      <c r="C204" s="14" t="inlineStr">
        <is>
          <t>Accounts payable</t>
        </is>
      </c>
      <c r="D204" s="46" t="n"/>
      <c r="E204" s="46" t="n"/>
      <c r="F204" s="46" t="n"/>
      <c r="G204" s="46" t="n"/>
      <c r="H204" s="12" t="n"/>
      <c r="I204" s="46">
        <f>'Inputs (2)'!D28</f>
        <v>812</v>
      </c>
      <c r="J204" s="46">
        <f>'Inputs (2)'!E28</f>
        <v>745</v>
      </c>
      <c r="K204" s="46">
        <f>'Inputs (2)'!F28</f>
        <v>749</v>
      </c>
      <c r="L204" s="46">
        <f>'Inputs (2)'!G28</f>
        <v>1034</v>
      </c>
      <c r="M204" s="12">
        <f>'Inputs (2)'!H28</f>
        <v>1034</v>
      </c>
      <c r="N204" s="46">
        <f>'Inputs (2)'!I28</f>
        <v>1124</v>
      </c>
      <c r="O204" s="46">
        <f>'Inputs (2)'!J28</f>
        <v>1317</v>
      </c>
      <c r="P204" s="46">
        <f>'Inputs (2)'!K28</f>
        <v>1461</v>
      </c>
      <c r="Q204" s="46">
        <f>'Inputs (2)'!L28</f>
        <v>1647</v>
      </c>
      <c r="R204" s="12">
        <f>'Inputs (2)'!M28</f>
        <v>1647</v>
      </c>
      <c r="S204" s="46">
        <f>'Inputs (2)'!N28</f>
        <v>1610</v>
      </c>
      <c r="T204" s="46">
        <f>'Inputs (2)'!O28</f>
        <v>1204</v>
      </c>
      <c r="U204" s="46">
        <f>'Inputs (2)'!P28</f>
        <v>1034</v>
      </c>
      <c r="V204" s="46">
        <f>'Inputs (2)'!Q28</f>
        <v>1107</v>
      </c>
      <c r="W204" s="12">
        <f>'Inputs (2)'!R28</f>
        <v>1107</v>
      </c>
      <c r="X204" s="46">
        <f>'Inputs (2)'!S28</f>
        <v>1658</v>
      </c>
      <c r="Y204" s="46">
        <f>'Inputs (2)'!T28</f>
        <v>2357</v>
      </c>
      <c r="Z204" s="46">
        <f>'Inputs (2)'!U28</f>
        <v>2207</v>
      </c>
      <c r="AA204" s="46">
        <f>'Inputs (2)'!V28</f>
        <v>2679</v>
      </c>
      <c r="AB204" s="12">
        <f>'Inputs (2)'!W28</f>
        <v>2679</v>
      </c>
      <c r="AC204" s="46">
        <f>'Inputs (2)'!X28</f>
        <v>2423</v>
      </c>
      <c r="AD204" s="46">
        <f>'Inputs (2)'!Y28</f>
        <v>5113</v>
      </c>
      <c r="AE204" s="46">
        <f>'Inputs (2)'!Z28</f>
        <v>8203</v>
      </c>
      <c r="AF204" s="46">
        <f>'Inputs (2)'!AA28</f>
        <v>10140</v>
      </c>
      <c r="AG204" s="12">
        <f>'Inputs (2)'!AB28</f>
        <v>10140</v>
      </c>
      <c r="AH204" s="12">
        <f>'Inputs (2)'!AC28</f>
        <v>9474</v>
      </c>
      <c r="AI204" s="12">
        <f>'Inputs (2)'!AD28</f>
        <v>10977</v>
      </c>
      <c r="AJ204" s="12">
        <f>(AJ205/(AJ$5-AI$5))*-AJ$60</f>
        <v>7755.89810184535</v>
      </c>
      <c r="AK204" s="12">
        <f>(AK205/(AK$5-AJ$5))*-AK$60</f>
        <v>8344.11173250922</v>
      </c>
      <c r="AL204" s="12">
        <f>AK204</f>
        <v>8344.11173250922</v>
      </c>
      <c r="AM204" s="12">
        <f>(AM205/(AM$5-AL$5))*-AM$60</f>
        <v>9130.82148235471</v>
      </c>
      <c r="AN204" s="12">
        <f>(AN205/(AN$5-AM$5))*-AN$60</f>
        <v>10077.9977744372</v>
      </c>
      <c r="AO204" s="12">
        <f>(AO205/(AO$5-AN$5))*-AO$60</f>
        <v>8872.54243584353</v>
      </c>
      <c r="AP204" s="12">
        <f>(AP205/(AP$5-AO$5))*-AP$60</f>
        <v>9545.44328251209</v>
      </c>
      <c r="AQ204" s="12">
        <f>AP204</f>
        <v>9545.44328251209</v>
      </c>
      <c r="AR204" s="12">
        <f>(AR205/(AR$5-AQ$5))*-AR$60</f>
        <v>10285.481211182</v>
      </c>
      <c r="AS204" s="12">
        <f>(AS205/(AS$5-AR$5))*-AS$60</f>
        <v>11478.5730980404</v>
      </c>
      <c r="AT204" s="12">
        <f>(AT205/(AT$5-AS$5))*-AT$60</f>
        <v>10105.5913282322</v>
      </c>
      <c r="AU204" s="12">
        <f>(AU205/(AU$5-AT$5))*-AU$60</f>
        <v>10872.0076074469</v>
      </c>
      <c r="AV204" s="12">
        <f>AU204</f>
        <v>10872.0076074469</v>
      </c>
      <c r="AW204" s="12">
        <f>(AW205/(AW$5-AV$5))*-AW$60</f>
        <v>11793.0578852299</v>
      </c>
      <c r="AX204" s="12">
        <f>(AX205/(AX$5-AW$5))*-AX$60</f>
        <v>13016.3985081555</v>
      </c>
      <c r="AY204" s="12">
        <f>(AY205/(AY$5-AX$5))*-AY$60</f>
        <v>11459.4734698589</v>
      </c>
      <c r="AZ204" s="12">
        <f>(AZ205/(AZ$5-AY$5))*-AZ$60</f>
        <v>12328.5692736831</v>
      </c>
      <c r="BA204" s="12">
        <f>AZ204</f>
        <v>12328.5692736831</v>
      </c>
      <c r="BB204" s="12">
        <f>(BB205/(BB$5-BA$5))*-BB$60</f>
        <v>13314.0506553957</v>
      </c>
      <c r="BC204" s="12">
        <f>(BC205/(BC$5-BB$5))*-BC$60</f>
        <v>14695.1698851109</v>
      </c>
      <c r="BD204" s="12">
        <f>(BD205/(BD$5-BC$5))*-BD$60</f>
        <v>12937.4426672621</v>
      </c>
      <c r="BE204" s="12">
        <f>(BE205/(BE$5-BD$5))*-BE$60</f>
        <v>13918.6288590979</v>
      </c>
      <c r="BF204" s="12">
        <f>BE204</f>
        <v>13918.6288590979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hidden="1" outlineLevel="1">
      <c r="C205" s="57" t="inlineStr">
        <is>
          <t>DPO</t>
        </is>
      </c>
      <c r="D205" s="12" t="n"/>
      <c r="E205" s="12" t="n"/>
      <c r="F205" s="12" t="n"/>
      <c r="G205" s="12" t="n"/>
      <c r="H205" s="12" t="n"/>
      <c r="I205" s="12">
        <f>IFERROR(-(I204/I$60)*(I$5-H$5),"")</f>
        <v>38.1618798955614</v>
      </c>
      <c r="J205" s="12">
        <f>IFERROR(-(J204/J$60)*(J$5-I$5),"")</f>
        <v>31.9486333647502</v>
      </c>
      <c r="K205" s="12">
        <f>IFERROR(-(K204/K$60)*(K$5-J$5),"")</f>
        <v>32.7665240133143</v>
      </c>
      <c r="L205" s="12">
        <f>IFERROR(-(L204/L$60)*(L$5-K$5),"")</f>
        <v>44.0611394163965</v>
      </c>
      <c r="M205" s="12" t="n"/>
      <c r="N205" s="12">
        <f>IFERROR(-(N204/N$60)*(N$5-M$5),"")</f>
        <v>45.6086564472498</v>
      </c>
      <c r="O205" s="12">
        <f>IFERROR(-(O204/O$60)*(O$5-N$5),"")</f>
        <v>49.9987484355444</v>
      </c>
      <c r="P205" s="12">
        <f>IFERROR(-(P204/P$60)*(P$5-O$5),"")</f>
        <v>44.2581494896279</v>
      </c>
      <c r="Q205" s="12">
        <f>IFERROR(-(Q204/Q$60)*(Q$5-P$5),"")</f>
        <v>45.1232876712329</v>
      </c>
      <c r="R205" s="12" t="n"/>
      <c r="S205" s="12">
        <f>IFERROR(-(S204/S$60)*(S$5-R$5),"")</f>
        <v>42.1343413783076</v>
      </c>
      <c r="T205" s="12">
        <f>IFERROR(-(T204/T$60)*(T$5-S$5),"")</f>
        <v>29.373726541555</v>
      </c>
      <c r="U205" s="12">
        <f>IFERROR(-(U204/U$60)*(U$5-T$5),"")</f>
        <v>26.3512465373961</v>
      </c>
      <c r="V205" s="12">
        <f>IFERROR(-(V204/V$60)*(V$5-U$5),"")</f>
        <v>27.2310160427807</v>
      </c>
      <c r="W205" s="12" t="n"/>
      <c r="X205" s="12">
        <f>IFERROR(-(X204/X$60)*(X$5-W$5),"")</f>
        <v>38.9966399586456</v>
      </c>
      <c r="Y205" s="12">
        <f>IFERROR(-(Y204/Y$60)*(Y$5-X$5),"")</f>
        <v>54.6602956167176</v>
      </c>
      <c r="Z205" s="12">
        <f>IFERROR(-(Z204/Z$60)*(Z$5-Y$5),"")</f>
        <v>51.9825908858167</v>
      </c>
      <c r="AA205" s="12">
        <f>IFERROR(-(AA204/AA$60)*(AA$5-Z$5),"")</f>
        <v>60.3348837209302</v>
      </c>
      <c r="AB205" s="12" t="n"/>
      <c r="AC205" s="12">
        <f>IFERROR(-(AC204/AC$60)*(AC$5-AB$5),"")</f>
        <v>51.9833134684148</v>
      </c>
      <c r="AD205" s="12">
        <f>IFERROR(-(AD204/AD$60)*(AD$5-AC$5),"")</f>
        <v>98.1402657667159</v>
      </c>
      <c r="AE205" s="12">
        <f>IFERROR(-(AE204/AE$60)*(AE$5-AD$5),"")</f>
        <v>154.520065520066</v>
      </c>
      <c r="AF205" s="11">
        <f>IFERROR(-(AF204/AF$60)*(AF$5-AE$5),"")</f>
        <v>173.591365835504</v>
      </c>
      <c r="AG205" s="12" t="n"/>
      <c r="AH205" s="11">
        <f>IFERROR(-(AH204/AH$60)*(AH$5-AG$5),"")</f>
        <v>139.963887065003</v>
      </c>
      <c r="AI205" s="11">
        <f>IFERROR(-(AI204/AI$60)*(AI$5-AH$5),"")</f>
        <v>149.738719832109</v>
      </c>
      <c r="AJ205" s="11">
        <f>Control!$B$27</f>
        <v>127.989602914635</v>
      </c>
      <c r="AK205" s="11">
        <f>Control!$B$27</f>
        <v>127.989602914635</v>
      </c>
      <c r="AL205" s="12" t="n"/>
      <c r="AM205" s="11">
        <f>Control!$C$27</f>
        <v>127.989602914635</v>
      </c>
      <c r="AN205" s="11">
        <f>Control!$C$27</f>
        <v>127.989602914635</v>
      </c>
      <c r="AO205" s="11">
        <f>Control!$C$27</f>
        <v>127.989602914635</v>
      </c>
      <c r="AP205" s="11">
        <f>Control!$C$27</f>
        <v>127.989602914635</v>
      </c>
      <c r="AQ205" s="12" t="n"/>
      <c r="AR205" s="11">
        <f>Control!$D$27</f>
        <v>127.989602914635</v>
      </c>
      <c r="AS205" s="11">
        <f>Control!$D$27</f>
        <v>127.989602914635</v>
      </c>
      <c r="AT205" s="11">
        <f>Control!$D$27</f>
        <v>127.989602914635</v>
      </c>
      <c r="AU205" s="11">
        <f>Control!$D$27</f>
        <v>127.989602914635</v>
      </c>
      <c r="AV205" s="12" t="n"/>
      <c r="AW205" s="11">
        <f>Control!$E$27</f>
        <v>127.989602914635</v>
      </c>
      <c r="AX205" s="11">
        <f>Control!$E$27</f>
        <v>127.989602914635</v>
      </c>
      <c r="AY205" s="11">
        <f>Control!$E$27</f>
        <v>127.989602914635</v>
      </c>
      <c r="AZ205" s="11">
        <f>Control!$E$27</f>
        <v>127.989602914635</v>
      </c>
      <c r="BA205" s="12" t="n"/>
      <c r="BB205" s="11">
        <f>Control!$F$27</f>
        <v>127.989602914635</v>
      </c>
      <c r="BC205" s="11">
        <f>Control!$F$27</f>
        <v>127.989602914635</v>
      </c>
      <c r="BD205" s="11">
        <f>Control!$F$27</f>
        <v>127.989602914635</v>
      </c>
      <c r="BE205" s="11">
        <f>Control!$F$27</f>
        <v>127.989602914635</v>
      </c>
      <c r="BF205" s="12" t="n"/>
      <c r="BG205" s="11" t="n"/>
      <c r="BH205" s="11" t="n"/>
      <c r="BI205" s="11" t="n"/>
      <c r="BJ205" s="11" t="n"/>
      <c r="BK205" s="12" t="n"/>
      <c r="BL205" s="11" t="n"/>
      <c r="BM205" s="11" t="n"/>
      <c r="BN205" s="11" t="n"/>
      <c r="BO205" s="11" t="n"/>
      <c r="BP205" s="12" t="n"/>
      <c r="BQ205" s="11" t="n"/>
      <c r="BR205" s="11" t="n"/>
      <c r="BS205" s="11" t="n"/>
      <c r="BT205" s="11" t="n"/>
      <c r="BU205" s="12" t="n"/>
      <c r="BV205" s="11" t="n"/>
      <c r="BW205" s="11" t="n"/>
      <c r="BX205" s="11" t="n"/>
      <c r="BY205" s="11" t="n"/>
      <c r="BZ205" s="12" t="n"/>
      <c r="CA205" s="11" t="n"/>
      <c r="CB205" s="11" t="n"/>
      <c r="CC205" s="11" t="n"/>
      <c r="CD205" s="11" t="n"/>
      <c r="CE205" s="12" t="n"/>
      <c r="CF205" s="11" t="n"/>
      <c r="CG205" s="11" t="n"/>
      <c r="CH205" s="11" t="n"/>
      <c r="CI205" s="11" t="n"/>
      <c r="CJ205" s="12" t="n"/>
      <c r="CK205" s="11" t="n"/>
      <c r="CL205" s="11" t="n"/>
      <c r="CM205" s="11" t="n"/>
      <c r="CN205" s="11" t="n"/>
      <c r="CO205" s="12" t="n"/>
      <c r="CP205" s="11" t="n"/>
      <c r="CQ205" s="11" t="n"/>
      <c r="CR205" s="11" t="n"/>
      <c r="CS205" s="11" t="n"/>
      <c r="CT205" s="12" t="n"/>
      <c r="CU205" s="11" t="n"/>
      <c r="CV205" s="11" t="n"/>
      <c r="CW205" s="11" t="n"/>
      <c r="CX205" s="11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collapsed="1">
      <c r="C208" s="14" t="inlineStr">
        <is>
          <t>Accrued expenses</t>
        </is>
      </c>
      <c r="D208" s="46" t="n"/>
      <c r="E208" s="46" t="n"/>
      <c r="F208" s="46" t="n"/>
      <c r="G208" s="46" t="n"/>
      <c r="H208" s="12" t="n"/>
      <c r="I208" s="46">
        <f>'Inputs (2)'!D29</f>
        <v>1684</v>
      </c>
      <c r="J208" s="46">
        <f>'Inputs (2)'!E29</f>
        <v>2017</v>
      </c>
      <c r="K208" s="46">
        <f>'Inputs (2)'!F29</f>
        <v>1470</v>
      </c>
      <c r="L208" s="46">
        <f>'Inputs (2)'!G29</f>
        <v>1503</v>
      </c>
      <c r="M208" s="12">
        <f>'Inputs (2)'!H29</f>
        <v>1503</v>
      </c>
      <c r="N208" s="46">
        <f>'Inputs (2)'!I29</f>
        <v>1626</v>
      </c>
      <c r="O208" s="46">
        <f>'Inputs (2)'!J29</f>
        <v>1944</v>
      </c>
      <c r="P208" s="46">
        <f>'Inputs (2)'!K29</f>
        <v>1958</v>
      </c>
      <c r="Q208" s="46">
        <f>'Inputs (2)'!L29</f>
        <v>1780</v>
      </c>
      <c r="R208" s="12">
        <f>'Inputs (2)'!M29</f>
        <v>1780</v>
      </c>
      <c r="S208" s="46">
        <f>'Inputs (2)'!N29</f>
        <v>1736</v>
      </c>
      <c r="T208" s="46">
        <f>'Inputs (2)'!O29</f>
        <v>2053</v>
      </c>
      <c r="U208" s="46">
        <f>'Inputs (2)'!P29</f>
        <v>1818</v>
      </c>
      <c r="V208" s="46">
        <f>'Inputs (2)'!Q29</f>
        <v>1706</v>
      </c>
      <c r="W208" s="12">
        <f>'Inputs (2)'!R29</f>
        <v>1706</v>
      </c>
      <c r="X208" s="46">
        <f>'Inputs (2)'!S29</f>
        <v>1796</v>
      </c>
      <c r="Y208" s="46">
        <f>'Inputs (2)'!T29</f>
        <v>1916</v>
      </c>
      <c r="Z208" s="46">
        <f>'Inputs (2)'!U29</f>
        <v>1772</v>
      </c>
      <c r="AA208" s="46">
        <f>'Inputs (2)'!V29</f>
        <v>1653</v>
      </c>
      <c r="AB208" s="12">
        <f>'Inputs (2)'!W29</f>
        <v>1653</v>
      </c>
      <c r="AC208" s="46">
        <f>'Inputs (2)'!X29</f>
        <v>1839</v>
      </c>
      <c r="AD208" s="46">
        <f>'Inputs (2)'!Y29</f>
        <v>2243</v>
      </c>
      <c r="AE208" s="46">
        <f>'Inputs (2)'!Z29</f>
        <v>1794</v>
      </c>
      <c r="AF208" s="46">
        <f>'Inputs (2)'!AA29</f>
        <v>1947</v>
      </c>
      <c r="AG208" s="12">
        <f>'Inputs (2)'!AB29</f>
        <v>1947</v>
      </c>
      <c r="AH208" s="12">
        <f>'Inputs (2)'!AC29</f>
        <v>1940</v>
      </c>
      <c r="AI208" s="12">
        <f>'Inputs (2)'!AD29</f>
        <v>2225</v>
      </c>
      <c r="AJ208" s="12">
        <f>AI208*(1+AJ16)</f>
        <v>2545.34119202196</v>
      </c>
      <c r="AK208" s="12">
        <f>AJ208*(1+AK16)</f>
        <v>2911.80304890056</v>
      </c>
      <c r="AL208" s="12">
        <f>AK208</f>
        <v>2911.80304890056</v>
      </c>
      <c r="AM208" s="12">
        <f>AL208*(1+AM16)</f>
        <v>3331.02572738055</v>
      </c>
      <c r="AN208" s="12">
        <f>AM208*(1+AN16)</f>
        <v>3810.60539127488</v>
      </c>
      <c r="AO208" s="12">
        <f>AN208*(1+AO16)</f>
        <v>4359.23185121479</v>
      </c>
      <c r="AP208" s="12">
        <f>AO208*(1+AP16)</f>
        <v>4986.8460208859</v>
      </c>
      <c r="AQ208" s="12">
        <f>AP208</f>
        <v>4986.8460208859</v>
      </c>
      <c r="AR208" s="12">
        <f>AQ208*(1+AR16)</f>
        <v>5679.88581269632</v>
      </c>
      <c r="AS208" s="12">
        <f>AR208*(1+AS16)</f>
        <v>6469.23981814418</v>
      </c>
      <c r="AT208" s="12">
        <f>AS208*(1+AT16)</f>
        <v>7368.29316728726</v>
      </c>
      <c r="AU208" s="12">
        <f>AT208*(1+AU16)</f>
        <v>8392.29116948499</v>
      </c>
      <c r="AV208" s="12">
        <f>AU208</f>
        <v>8392.29116948499</v>
      </c>
      <c r="AW208" s="12">
        <f>AV208*(1+AW16)</f>
        <v>9516.63637330842</v>
      </c>
      <c r="AX208" s="12">
        <f>AW208*(1+AX16)</f>
        <v>10791.6141173799</v>
      </c>
      <c r="AY208" s="12">
        <f>AX208*(1+AY16)</f>
        <v>12237.4051807915</v>
      </c>
      <c r="AZ208" s="12">
        <f>AY208*(1+AZ16)</f>
        <v>13876.8940336444</v>
      </c>
      <c r="BA208" s="12">
        <f>AZ208</f>
        <v>13876.8940336444</v>
      </c>
      <c r="BB208" s="12">
        <f>BA208*(1+BB16)</f>
        <v>15666.6465900161</v>
      </c>
      <c r="BC208" s="12">
        <f>BB208*(1+BC16)</f>
        <v>17687.229922012</v>
      </c>
      <c r="BD208" s="12">
        <f>BC208*(1+BD16)</f>
        <v>19968.4150987026</v>
      </c>
      <c r="BE208" s="12">
        <f>BD208*(1+BE16)</f>
        <v>22543.812870203</v>
      </c>
      <c r="BF208" s="12">
        <f>BE208</f>
        <v>22543.812870203</v>
      </c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9" t="inlineStr">
        <is>
          <t>%(Var.)</t>
        </is>
      </c>
      <c r="D209" s="12" t="n"/>
      <c r="E209" s="40" t="n"/>
      <c r="F209" s="40" t="n"/>
      <c r="G209" s="40" t="n"/>
      <c r="H209" s="12" t="n"/>
      <c r="I209" s="40" t="str">
        <f>""</f>
        <v/>
      </c>
      <c r="J209" s="40">
        <f>IFERROR(IF(I208=0,"",J208/I208-1),"")</f>
        <v>0.197743467933492</v>
      </c>
      <c r="K209" s="40">
        <f>IFERROR(IF(J208=0,"",K208/J208-1),"")</f>
        <v>-0.271194843827467</v>
      </c>
      <c r="L209" s="40">
        <f>IFERROR(IF(K208=0,"",L208/K208-1),"")</f>
        <v>0.0224489795918368</v>
      </c>
      <c r="M209" s="12">
        <f>IF(L208=0,"",M208/L208-1)</f>
        <v>0</v>
      </c>
      <c r="N209" s="40">
        <f>IFERROR(IF(M208=0,"",N208/M208-1),"")</f>
        <v>0.0818363273453093</v>
      </c>
      <c r="O209" s="40">
        <f>IFERROR(IF(N208=0,"",O208/N208-1),"")</f>
        <v>0.195571955719557</v>
      </c>
      <c r="P209" s="40">
        <f>IFERROR(IF(O208=0,"",P208/O208-1),"")</f>
        <v>0.00720164609053509</v>
      </c>
      <c r="Q209" s="40">
        <f>IFERROR(IF(P208=0,"",Q208/P208-1),"")</f>
        <v>-0.0909090909090909</v>
      </c>
      <c r="R209" s="12">
        <f>IF(Q208=0,"",R208/Q208-1)</f>
        <v>0</v>
      </c>
      <c r="S209" s="40">
        <f>IFERROR(IF(R208=0,"",S208/R208-1),"")</f>
        <v>-0.0247191011235955</v>
      </c>
      <c r="T209" s="40">
        <f>IFERROR(IF(S208=0,"",T208/S208-1),"")</f>
        <v>0.182603686635945</v>
      </c>
      <c r="U209" s="40">
        <f>IFERROR(IF(T208=0,"",U208/T208-1),"")</f>
        <v>-0.114466634193863</v>
      </c>
      <c r="V209" s="40">
        <f>IFERROR(IF(U208=0,"",V208/U208-1),"")</f>
        <v>-0.0616061606160616</v>
      </c>
      <c r="W209" s="12">
        <f>IF(V208=0,"",W208/V208-1)</f>
        <v>0</v>
      </c>
      <c r="X209" s="40">
        <f>IFERROR(IF(W208=0,"",X208/W208-1),"")</f>
        <v>0.0527549824150058</v>
      </c>
      <c r="Y209" s="40">
        <f>IFERROR(IF(X208=0,"",Y208/X208-1),"")</f>
        <v>0.0668151447661469</v>
      </c>
      <c r="Z209" s="40">
        <f>IFERROR(IF(Y208=0,"",Z208/Y208-1),"")</f>
        <v>-0.0751565762004175</v>
      </c>
      <c r="AA209" s="40">
        <f>IFERROR(IF(Z208=0,"",AA208/Z208-1),"")</f>
        <v>-0.0671557562076749</v>
      </c>
      <c r="AB209" s="12">
        <f>IF(AA208=0,"",AB208/AA208-1)</f>
        <v>0</v>
      </c>
      <c r="AC209" s="40">
        <f>IFERROR(IF(AB208=0,"",AC208/AB208-1),"")</f>
        <v>0.112522686025408</v>
      </c>
      <c r="AD209" s="40">
        <f>IFERROR(IF(AC208=0,"",AD208/AC208-1),"")</f>
        <v>0.21968461120174</v>
      </c>
      <c r="AE209" s="40">
        <f>IFERROR(IF(AD208=0,"",AE208/AD208-1),"")</f>
        <v>-0.200178332590281</v>
      </c>
      <c r="AF209" s="55">
        <f>IFERROR(IF(AE208=0,"",AF208/AE208-1),"")</f>
        <v>0.0852842809364549</v>
      </c>
      <c r="AG209" s="12">
        <f>IF(AF208=0,"",AG208/AF208-1)</f>
        <v>0</v>
      </c>
      <c r="AH209" s="55">
        <f>IFERROR(IF(AG208=0,"",AH208/AG208-1),"")</f>
        <v>-0.00359527478171551</v>
      </c>
      <c r="AI209" s="55">
        <f>IFERROR(IF(AH208=0,"",AI208/AH208-1),"")</f>
        <v>0.146907216494845</v>
      </c>
      <c r="AJ209" s="55">
        <f>IFERROR(IF(AI208=0,"",AJ208/AI208-1),"")</f>
        <v>0.14397356944807</v>
      </c>
      <c r="AK209" s="55">
        <f>IF(AJ208=0,"",AK208/AJ208-1)</f>
        <v>0.14397356944807</v>
      </c>
      <c r="AL209" s="12">
        <f>IF(AK208=0,"",AL208/AK208-1)</f>
        <v>0</v>
      </c>
      <c r="AM209" s="55">
        <f>IF(AL208=0,"",AM208/AL208-1)</f>
        <v>0.14397356944807</v>
      </c>
      <c r="AN209" s="55">
        <f>IF(AM208=0,"",AN208/AM208-1)</f>
        <v>0.14397356944807</v>
      </c>
      <c r="AO209" s="55">
        <f>IF(AN208=0,"",AO208/AN208-1)</f>
        <v>0.14397356944807</v>
      </c>
      <c r="AP209" s="55">
        <f>IF(AO208=0,"",AP208/AO208-1)</f>
        <v>0.14397356944807</v>
      </c>
      <c r="AQ209" s="12">
        <f>IF(AP208=0,"",AQ208/AP208-1)</f>
        <v>0</v>
      </c>
      <c r="AR209" s="55">
        <f>IF(AQ208=0,"",AR208/AQ208-1)</f>
        <v>0.13897356944807</v>
      </c>
      <c r="AS209" s="55">
        <f>IF(AR208=0,"",AS208/AR208-1)</f>
        <v>0.13897356944807</v>
      </c>
      <c r="AT209" s="55">
        <f>IF(AS208=0,"",AT208/AS208-1)</f>
        <v>0.13897356944807</v>
      </c>
      <c r="AU209" s="55">
        <f>IF(AT208=0,"",AU208/AT208-1)</f>
        <v>0.13897356944807</v>
      </c>
      <c r="AV209" s="12">
        <f>IF(AU208=0,"",AV208/AU208-1)</f>
        <v>0</v>
      </c>
      <c r="AW209" s="55">
        <f>IF(AV208=0,"",AW208/AV208-1)</f>
        <v>0.13397356944807</v>
      </c>
      <c r="AX209" s="55">
        <f>IF(AW208=0,"",AX208/AW208-1)</f>
        <v>0.13397356944807</v>
      </c>
      <c r="AY209" s="55">
        <f>IF(AX208=0,"",AY208/AX208-1)</f>
        <v>0.13397356944807</v>
      </c>
      <c r="AZ209" s="55">
        <f>IF(AY208=0,"",AZ208/AY208-1)</f>
        <v>0.13397356944807</v>
      </c>
      <c r="BA209" s="12">
        <f>IF(AZ208=0,"",BA208/AZ208-1)</f>
        <v>0</v>
      </c>
      <c r="BB209" s="55">
        <f>IF(BA208=0,"",BB208/BA208-1)</f>
        <v>0.12897356944807</v>
      </c>
      <c r="BC209" s="55">
        <f>IF(BB208=0,"",BC208/BB208-1)</f>
        <v>0.12897356944807</v>
      </c>
      <c r="BD209" s="55">
        <f>IF(BC208=0,"",BD208/BC208-1)</f>
        <v>0.12897356944807</v>
      </c>
      <c r="BE209" s="55">
        <f>IF(BD208=0,"",BE208/BD208-1)</f>
        <v>0.12897356944807</v>
      </c>
      <c r="BF209" s="12">
        <f>IF(BE208=0,"",BF208/BE208-1)</f>
        <v>0</v>
      </c>
      <c r="BG209" s="55" t="n"/>
      <c r="BH209" s="55" t="n"/>
      <c r="BI209" s="55" t="n"/>
      <c r="BJ209" s="55" t="n"/>
      <c r="BK209" s="12" t="n"/>
      <c r="BL209" s="55" t="n"/>
      <c r="BM209" s="55" t="n"/>
      <c r="BN209" s="55" t="n"/>
      <c r="BO209" s="55" t="n"/>
      <c r="BP209" s="12" t="n"/>
      <c r="BQ209" s="55" t="n"/>
      <c r="BR209" s="55" t="n"/>
      <c r="BS209" s="55" t="n"/>
      <c r="BT209" s="55" t="n"/>
      <c r="BU209" s="12" t="n"/>
      <c r="BV209" s="55" t="n"/>
      <c r="BW209" s="55" t="n"/>
      <c r="BX209" s="55" t="n"/>
      <c r="BY209" s="55" t="n"/>
      <c r="BZ209" s="12" t="n"/>
      <c r="CA209" s="55" t="n"/>
      <c r="CB209" s="55" t="n"/>
      <c r="CC209" s="55" t="n"/>
      <c r="CD209" s="55" t="n"/>
      <c r="CE209" s="12" t="n"/>
      <c r="CF209" s="55" t="n"/>
      <c r="CG209" s="55" t="n"/>
      <c r="CH209" s="55" t="n"/>
      <c r="CI209" s="55" t="n"/>
      <c r="CJ209" s="12" t="n"/>
      <c r="CK209" s="55" t="n"/>
      <c r="CL209" s="55" t="n"/>
      <c r="CM209" s="55" t="n"/>
      <c r="CN209" s="55" t="n"/>
      <c r="CO209" s="12" t="n"/>
      <c r="CP209" s="55" t="n"/>
      <c r="CQ209" s="55" t="n"/>
      <c r="CR209" s="55" t="n"/>
      <c r="CS209" s="55" t="n"/>
      <c r="CT209" s="12" t="n"/>
      <c r="CU209" s="55" t="n"/>
      <c r="CV209" s="55" t="n"/>
      <c r="CW209" s="55" t="n"/>
      <c r="CX209" s="55" t="n"/>
      <c r="CY209" s="12" t="n"/>
    </row>
    <row r="210" collapsed="1">
      <c r="C210" s="14" t="inlineStr">
        <is>
          <t>Taxes payable</t>
        </is>
      </c>
      <c r="D210" s="46" t="n"/>
      <c r="E210" s="46" t="n"/>
      <c r="F210" s="46" t="n"/>
      <c r="G210" s="46" t="n"/>
      <c r="H210" s="12" t="n"/>
      <c r="I210" s="46">
        <f>'Inputs (2)'!D30</f>
        <v>0</v>
      </c>
      <c r="J210" s="46">
        <f>'Inputs (2)'!E30</f>
        <v>0</v>
      </c>
      <c r="K210" s="46">
        <f>'Inputs (2)'!F30</f>
        <v>0</v>
      </c>
      <c r="L210" s="46">
        <f>'Inputs (2)'!G30</f>
        <v>0</v>
      </c>
      <c r="M210" s="12">
        <f>'Inputs (2)'!H30</f>
        <v>0</v>
      </c>
      <c r="N210" s="46">
        <f>'Inputs (2)'!I30</f>
        <v>0</v>
      </c>
      <c r="O210" s="46">
        <f>'Inputs (2)'!J30</f>
        <v>0</v>
      </c>
      <c r="P210" s="46">
        <f>'Inputs (2)'!K30</f>
        <v>0</v>
      </c>
      <c r="Q210" s="46">
        <f>'Inputs (2)'!L30</f>
        <v>0</v>
      </c>
      <c r="R210" s="12">
        <f>'Inputs (2)'!M30</f>
        <v>0</v>
      </c>
      <c r="S210" s="46">
        <f>'Inputs (2)'!N30</f>
        <v>0</v>
      </c>
      <c r="T210" s="46">
        <f>'Inputs (2)'!O30</f>
        <v>0</v>
      </c>
      <c r="U210" s="46">
        <f>'Inputs (2)'!P30</f>
        <v>0</v>
      </c>
      <c r="V210" s="46">
        <f>'Inputs (2)'!Q30</f>
        <v>0</v>
      </c>
      <c r="W210" s="12">
        <f>'Inputs (2)'!R30</f>
        <v>0</v>
      </c>
      <c r="X210" s="46">
        <f>'Inputs (2)'!S30</f>
        <v>0</v>
      </c>
      <c r="Y210" s="46">
        <f>'Inputs (2)'!T30</f>
        <v>0</v>
      </c>
      <c r="Z210" s="46">
        <f>'Inputs (2)'!U30</f>
        <v>0</v>
      </c>
      <c r="AA210" s="46">
        <f>'Inputs (2)'!V30</f>
        <v>0</v>
      </c>
      <c r="AB210" s="12">
        <f>'Inputs (2)'!W30</f>
        <v>0</v>
      </c>
      <c r="AC210" s="46">
        <f>'Inputs (2)'!X30</f>
        <v>0</v>
      </c>
      <c r="AD210" s="46">
        <f>'Inputs (2)'!Y30</f>
        <v>0</v>
      </c>
      <c r="AE210" s="46">
        <f>'Inputs (2)'!Z30</f>
        <v>0</v>
      </c>
      <c r="AF210" s="46">
        <f>'Inputs (2)'!AA30</f>
        <v>0</v>
      </c>
      <c r="AG210" s="12">
        <f>'Inputs (2)'!AB30</f>
        <v>0</v>
      </c>
      <c r="AH210" s="12">
        <f>'Inputs (2)'!AC30</f>
        <v>0</v>
      </c>
      <c r="AI210" s="12">
        <f>'Inputs (2)'!AD30</f>
        <v>0</v>
      </c>
      <c r="AJ210" s="12">
        <f>AI210*(1+AJ16)</f>
        <v>0</v>
      </c>
      <c r="AK210" s="12">
        <f>AJ210*(1+AK16)</f>
        <v>0</v>
      </c>
      <c r="AL210" s="12">
        <f>AK210</f>
        <v>0</v>
      </c>
      <c r="AM210" s="12">
        <f>AL210*(1+AM16)</f>
        <v>0</v>
      </c>
      <c r="AN210" s="12">
        <f>AM210*(1+AN16)</f>
        <v>0</v>
      </c>
      <c r="AO210" s="12">
        <f>AN210*(1+AO16)</f>
        <v>0</v>
      </c>
      <c r="AP210" s="12">
        <f>AO210*(1+AP16)</f>
        <v>0</v>
      </c>
      <c r="AQ210" s="12">
        <f>AP210</f>
        <v>0</v>
      </c>
      <c r="AR210" s="12">
        <f>AQ210*(1+AR16)</f>
        <v>0</v>
      </c>
      <c r="AS210" s="12">
        <f>AR210*(1+AS16)</f>
        <v>0</v>
      </c>
      <c r="AT210" s="12">
        <f>AS210*(1+AT16)</f>
        <v>0</v>
      </c>
      <c r="AU210" s="12">
        <f>AT210*(1+AU16)</f>
        <v>0</v>
      </c>
      <c r="AV210" s="12">
        <f>AU210</f>
        <v>0</v>
      </c>
      <c r="AW210" s="12">
        <f>AV210*(1+AW16)</f>
        <v>0</v>
      </c>
      <c r="AX210" s="12">
        <f>AW210*(1+AX16)</f>
        <v>0</v>
      </c>
      <c r="AY210" s="12">
        <f>AX210*(1+AY16)</f>
        <v>0</v>
      </c>
      <c r="AZ210" s="12">
        <f>AY210*(1+AZ16)</f>
        <v>0</v>
      </c>
      <c r="BA210" s="12">
        <f>AZ210</f>
        <v>0</v>
      </c>
      <c r="BB210" s="12">
        <f>BA210*(1+BB16)</f>
        <v>0</v>
      </c>
      <c r="BC210" s="12">
        <f>BB210*(1+BC16)</f>
        <v>0</v>
      </c>
      <c r="BD210" s="12">
        <f>BC210*(1+BD16)</f>
        <v>0</v>
      </c>
      <c r="BE210" s="12">
        <f>BD210*(1+BE16)</f>
        <v>0</v>
      </c>
      <c r="BF210" s="12">
        <f>BE210</f>
        <v>0</v>
      </c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</row>
    <row r="211">
      <c r="C211" s="14" t="inlineStr">
        <is>
          <t>Other current liabilities (non-debt)</t>
        </is>
      </c>
      <c r="D211" s="46" t="n"/>
      <c r="E211" s="46" t="n"/>
      <c r="F211" s="46" t="n"/>
      <c r="G211" s="46" t="n"/>
      <c r="H211" s="12" t="n"/>
      <c r="I211" s="46">
        <f>'Inputs (2)'!D31</f>
        <v>17754</v>
      </c>
      <c r="J211" s="46">
        <f>'Inputs (2)'!E31</f>
        <v>21402</v>
      </c>
      <c r="K211" s="46">
        <f>'Inputs (2)'!F31</f>
        <v>20852</v>
      </c>
      <c r="L211" s="46">
        <f>'Inputs (2)'!G31</f>
        <v>16344</v>
      </c>
      <c r="M211" s="12">
        <f>'Inputs (2)'!H31</f>
        <v>16344</v>
      </c>
      <c r="N211" s="46">
        <f>'Inputs (2)'!I31</f>
        <v>18083</v>
      </c>
      <c r="O211" s="46">
        <f>'Inputs (2)'!J31</f>
        <v>16250</v>
      </c>
      <c r="P211" s="46">
        <f>'Inputs (2)'!K31</f>
        <v>31400</v>
      </c>
      <c r="Q211" s="46">
        <f>'Inputs (2)'!L31</f>
        <v>23679</v>
      </c>
      <c r="R211" s="12">
        <f>'Inputs (2)'!M31</f>
        <v>23679</v>
      </c>
      <c r="S211" s="46">
        <f>'Inputs (2)'!N31</f>
        <v>19534</v>
      </c>
      <c r="T211" s="46">
        <f>'Inputs (2)'!O31</f>
        <v>19833</v>
      </c>
      <c r="U211" s="46">
        <f>'Inputs (2)'!P31</f>
        <v>22505</v>
      </c>
      <c r="V211" s="46">
        <f>'Inputs (2)'!Q31</f>
        <v>21594</v>
      </c>
      <c r="W211" s="12">
        <f>'Inputs (2)'!R31</f>
        <v>21594</v>
      </c>
      <c r="X211" s="46">
        <f>'Inputs (2)'!S31</f>
        <v>21431</v>
      </c>
      <c r="Y211" s="46">
        <f>'Inputs (2)'!T31</f>
        <v>27271</v>
      </c>
      <c r="Z211" s="46">
        <f>'Inputs (2)'!U31</f>
        <v>28066</v>
      </c>
      <c r="AA211" s="46">
        <f>'Inputs (2)'!V31</f>
        <v>24720</v>
      </c>
      <c r="AB211" s="12">
        <f>'Inputs (2)'!W31</f>
        <v>24720</v>
      </c>
      <c r="AC211" s="46">
        <f>'Inputs (2)'!X31</f>
        <v>25361</v>
      </c>
      <c r="AD211" s="46">
        <f>'Inputs (2)'!Y31</f>
        <v>25287</v>
      </c>
      <c r="AE211" s="46">
        <f>'Inputs (2)'!Z31</f>
        <v>29877</v>
      </c>
      <c r="AF211" s="46">
        <f>'Inputs (2)'!AA31</f>
        <v>25708</v>
      </c>
      <c r="AG211" s="12">
        <f>'Inputs (2)'!AB31</f>
        <v>25708</v>
      </c>
      <c r="AH211" s="12">
        <f>'Inputs (2)'!AC31</f>
        <v>29323</v>
      </c>
      <c r="AI211" s="12">
        <f>'Inputs (2)'!AD31</f>
        <v>28562</v>
      </c>
      <c r="AJ211" s="12">
        <f>AI211</f>
        <v>28562</v>
      </c>
      <c r="AK211" s="12">
        <f>AJ211</f>
        <v>28562</v>
      </c>
      <c r="AL211" s="12">
        <f>AK211</f>
        <v>28562</v>
      </c>
      <c r="AM211" s="12">
        <f>AL211</f>
        <v>28562</v>
      </c>
      <c r="AN211" s="12">
        <f>AM211</f>
        <v>28562</v>
      </c>
      <c r="AO211" s="12">
        <f>AN211</f>
        <v>28562</v>
      </c>
      <c r="AP211" s="12">
        <f>AO211</f>
        <v>28562</v>
      </c>
      <c r="AQ211" s="12">
        <f>AP211</f>
        <v>28562</v>
      </c>
      <c r="AR211" s="12">
        <f>AQ211</f>
        <v>28562</v>
      </c>
      <c r="AS211" s="12">
        <f>AR211</f>
        <v>28562</v>
      </c>
      <c r="AT211" s="12">
        <f>AS211</f>
        <v>28562</v>
      </c>
      <c r="AU211" s="12">
        <f>AT211</f>
        <v>28562</v>
      </c>
      <c r="AV211" s="12">
        <f>AU211</f>
        <v>28562</v>
      </c>
      <c r="AW211" s="12">
        <f>AV211</f>
        <v>28562</v>
      </c>
      <c r="AX211" s="12">
        <f>AW211</f>
        <v>28562</v>
      </c>
      <c r="AY211" s="12">
        <f>AX211</f>
        <v>28562</v>
      </c>
      <c r="AZ211" s="12">
        <f>AY211</f>
        <v>28562</v>
      </c>
      <c r="BA211" s="12">
        <f>AZ211</f>
        <v>28562</v>
      </c>
      <c r="BB211" s="12">
        <f>BA211</f>
        <v>28562</v>
      </c>
      <c r="BC211" s="12">
        <f>BB211</f>
        <v>28562</v>
      </c>
      <c r="BD211" s="12">
        <f>BC211</f>
        <v>28562</v>
      </c>
      <c r="BE211" s="12">
        <f>BD211</f>
        <v>28562</v>
      </c>
      <c r="BF211" s="12">
        <f>BE211</f>
        <v>28562</v>
      </c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9" t="inlineStr">
        <is>
          <t>%(Var.)</t>
        </is>
      </c>
      <c r="D212" s="12" t="n"/>
      <c r="E212" s="40" t="n"/>
      <c r="F212" s="40" t="n"/>
      <c r="G212" s="40" t="n"/>
      <c r="H212" s="12" t="n"/>
      <c r="I212" s="40" t="str">
        <f>""</f>
        <v/>
      </c>
      <c r="J212" s="40">
        <f>IFERROR(IF(I211=0,"",J211/I211-1),"")</f>
        <v>0.205474822575194</v>
      </c>
      <c r="K212" s="40">
        <f>IFERROR(IF(J211=0,"",K211/J211-1),"")</f>
        <v>-0.0256985328473974</v>
      </c>
      <c r="L212" s="40">
        <f>IFERROR(IF(K211=0,"",L211/K211-1),"")</f>
        <v>-0.216190293497027</v>
      </c>
      <c r="M212" s="12">
        <f>IF(L211=0,"",M211/L211-1)</f>
        <v>0</v>
      </c>
      <c r="N212" s="40">
        <f>IFERROR(IF(M211=0,"",N211/M211-1),"")</f>
        <v>0.106399902104748</v>
      </c>
      <c r="O212" s="40">
        <f>IFERROR(IF(N211=0,"",O211/N211-1),"")</f>
        <v>-0.10136592379583</v>
      </c>
      <c r="P212" s="40">
        <f>IFERROR(IF(O211=0,"",P211/O211-1),"")</f>
        <v>0.932307692307692</v>
      </c>
      <c r="Q212" s="40">
        <f>IFERROR(IF(P211=0,"",Q211/P211-1),"")</f>
        <v>-0.245891719745223</v>
      </c>
      <c r="R212" s="12">
        <f>IF(Q211=0,"",R211/Q211-1)</f>
        <v>0</v>
      </c>
      <c r="S212" s="40">
        <f>IFERROR(IF(R211=0,"",S211/R211-1),"")</f>
        <v>-0.175049622027957</v>
      </c>
      <c r="T212" s="40">
        <f>IFERROR(IF(S211=0,"",T211/S211-1),"")</f>
        <v>0.0153066448244088</v>
      </c>
      <c r="U212" s="40">
        <f>IFERROR(IF(T211=0,"",U211/T211-1),"")</f>
        <v>0.134724953360561</v>
      </c>
      <c r="V212" s="40">
        <f>IFERROR(IF(U211=0,"",V211/U211-1),"")</f>
        <v>-0.0404798933570317</v>
      </c>
      <c r="W212" s="12">
        <f>IF(V211=0,"",W211/V211-1)</f>
        <v>0</v>
      </c>
      <c r="X212" s="40">
        <f>IFERROR(IF(W211=0,"",X211/W211-1),"")</f>
        <v>-0.00754839307214972</v>
      </c>
      <c r="Y212" s="40">
        <f>IFERROR(IF(X211=0,"",Y211/X211-1),"")</f>
        <v>0.272502449722365</v>
      </c>
      <c r="Z212" s="40">
        <f>IFERROR(IF(Y211=0,"",Z211/Y211-1),"")</f>
        <v>0.029151846283598</v>
      </c>
      <c r="AA212" s="40">
        <f>IFERROR(IF(Z211=0,"",AA211/Z211-1),"")</f>
        <v>-0.119218983823844</v>
      </c>
      <c r="AB212" s="12">
        <f>IF(AA211=0,"",AB211/AA211-1)</f>
        <v>0</v>
      </c>
      <c r="AC212" s="40">
        <f>IFERROR(IF(AB211=0,"",AC211/AB211-1),"")</f>
        <v>0.0259304207119742</v>
      </c>
      <c r="AD212" s="40">
        <f>IFERROR(IF(AC211=0,"",AD211/AC211-1),"")</f>
        <v>-0.00291786601474708</v>
      </c>
      <c r="AE212" s="40">
        <f>IFERROR(IF(AD211=0,"",AE211/AD211-1),"")</f>
        <v>0.181516194091826</v>
      </c>
      <c r="AF212" s="55">
        <f>IFERROR(IF(AE211=0,"",AF211/AE211-1),"")</f>
        <v>-0.139538775646819</v>
      </c>
      <c r="AG212" s="12">
        <f>IF(AF211=0,"",AG211/AF211-1)</f>
        <v>0</v>
      </c>
      <c r="AH212" s="55">
        <f>IFERROR(IF(AG211=0,"",AH211/AG211-1),"")</f>
        <v>0.14061770655049</v>
      </c>
      <c r="AI212" s="55">
        <f>IFERROR(IF(AH211=0,"",AI211/AH211-1),"")</f>
        <v>-0.0259523241141766</v>
      </c>
      <c r="AJ212" s="55">
        <f>IFERROR(IF(AI211=0,"",AJ211/AI211-1),"")</f>
        <v>0</v>
      </c>
      <c r="AK212" s="55">
        <f>IFERROR(IF(AJ211=0,"",AK211/AJ211-1),"")</f>
        <v>0</v>
      </c>
      <c r="AL212" s="12">
        <f>IFERROR(IF(AK211=0,"",AL211/AK211-1),"")</f>
        <v>0</v>
      </c>
      <c r="AM212" s="55">
        <f>IFERROR(IF(AL211=0,"",AM211/AL211-1),"")</f>
        <v>0</v>
      </c>
      <c r="AN212" s="55">
        <f>IFERROR(IF(AM211=0,"",AN211/AM211-1),"")</f>
        <v>0</v>
      </c>
      <c r="AO212" s="55">
        <f>IFERROR(IF(AN211=0,"",AO211/AN211-1),"")</f>
        <v>0</v>
      </c>
      <c r="AP212" s="55">
        <f>IFERROR(IF(AO211=0,"",AP211/AO211-1),"")</f>
        <v>0</v>
      </c>
      <c r="AQ212" s="12">
        <f>IFERROR(IF(AP211=0,"",AQ211/AP211-1),"")</f>
        <v>0</v>
      </c>
      <c r="AR212" s="55">
        <f>IFERROR(IF(AQ211=0,"",AR211/AQ211-1),"")</f>
        <v>0</v>
      </c>
      <c r="AS212" s="55">
        <f>IFERROR(IF(AR211=0,"",AS211/AR211-1),"")</f>
        <v>0</v>
      </c>
      <c r="AT212" s="55">
        <f>IFERROR(IF(AS211=0,"",AT211/AS211-1),"")</f>
        <v>0</v>
      </c>
      <c r="AU212" s="55">
        <f>IFERROR(IF(AT211=0,"",AU211/AT211-1),"")</f>
        <v>0</v>
      </c>
      <c r="AV212" s="12">
        <f>IFERROR(IF(AU211=0,"",AV211/AU211-1),"")</f>
        <v>0</v>
      </c>
      <c r="AW212" s="55">
        <f>IFERROR(IF(AV211=0,"",AW211/AV211-1),"")</f>
        <v>0</v>
      </c>
      <c r="AX212" s="55">
        <f>IFERROR(IF(AW211=0,"",AX211/AW211-1),"")</f>
        <v>0</v>
      </c>
      <c r="AY212" s="55">
        <f>IFERROR(IF(AX211=0,"",AY211/AX211-1),"")</f>
        <v>0</v>
      </c>
      <c r="AZ212" s="55">
        <f>IFERROR(IF(AY211=0,"",AZ211/AY211-1),"")</f>
        <v>0</v>
      </c>
      <c r="BA212" s="12">
        <f>IFERROR(IF(AZ211=0,"",BA211/AZ211-1),"")</f>
        <v>0</v>
      </c>
      <c r="BB212" s="55">
        <f>IFERROR(IF(BA211=0,"",BB211/BA211-1),"")</f>
        <v>0</v>
      </c>
      <c r="BC212" s="55">
        <f>IFERROR(IF(BB211=0,"",BC211/BB211-1),"")</f>
        <v>0</v>
      </c>
      <c r="BD212" s="55">
        <f>IFERROR(IF(BC211=0,"",BD211/BC211-1),"")</f>
        <v>0</v>
      </c>
      <c r="BE212" s="55">
        <f>IFERROR(IF(BD211=0,"",BE211/BD211-1),"")</f>
        <v>0</v>
      </c>
      <c r="BF212" s="12">
        <f>IFERROR(IF(BE211=0,"",BF211/BE211-1),"")</f>
        <v>0</v>
      </c>
      <c r="BG212" s="55" t="n"/>
      <c r="BH212" s="55" t="n"/>
      <c r="BI212" s="55" t="n"/>
      <c r="BJ212" s="55" t="n"/>
      <c r="BK212" s="12" t="n"/>
      <c r="BL212" s="55" t="n"/>
      <c r="BM212" s="55" t="n"/>
      <c r="BN212" s="55" t="n"/>
      <c r="BO212" s="55" t="n"/>
      <c r="BP212" s="12" t="n"/>
      <c r="BQ212" s="55" t="n"/>
      <c r="BR212" s="55" t="n"/>
      <c r="BS212" s="55" t="n"/>
      <c r="BT212" s="55" t="n"/>
      <c r="BU212" s="12" t="n"/>
      <c r="BV212" s="55" t="n"/>
      <c r="BW212" s="55" t="n"/>
      <c r="BX212" s="55" t="n"/>
      <c r="BY212" s="55" t="n"/>
      <c r="BZ212" s="12" t="n"/>
      <c r="CA212" s="55" t="n"/>
      <c r="CB212" s="55" t="n"/>
      <c r="CC212" s="55" t="n"/>
      <c r="CD212" s="55" t="n"/>
      <c r="CE212" s="12" t="n"/>
      <c r="CF212" s="55" t="n"/>
      <c r="CG212" s="55" t="n"/>
      <c r="CH212" s="55" t="n"/>
      <c r="CI212" s="55" t="n"/>
      <c r="CJ212" s="12" t="n"/>
      <c r="CK212" s="55" t="n"/>
      <c r="CL212" s="55" t="n"/>
      <c r="CM212" s="55" t="n"/>
      <c r="CN212" s="55" t="n"/>
      <c r="CO212" s="12" t="n"/>
      <c r="CP212" s="55" t="n"/>
      <c r="CQ212" s="55" t="n"/>
      <c r="CR212" s="55" t="n"/>
      <c r="CS212" s="55" t="n"/>
      <c r="CT212" s="12" t="n"/>
      <c r="CU212" s="55" t="n"/>
      <c r="CV212" s="55" t="n"/>
      <c r="CW212" s="55" t="n"/>
      <c r="CX212" s="55" t="n"/>
      <c r="CY212" s="12" t="n"/>
    </row>
    <row r="213" hidden="1" outlineLevel="1">
      <c r="C213" s="57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 hidden="1" outlineLevel="1">
      <c r="C214" s="57" t="inlineStr">
        <is>
          <t xml:space="preserve">Dividendos a Pagar </t>
        </is>
      </c>
      <c r="D214" s="11" t="n"/>
      <c r="E214" s="11" t="n"/>
      <c r="F214" s="11" t="n"/>
      <c r="G214" s="11" t="n"/>
      <c r="H214" s="12" t="n"/>
      <c r="I214" s="11" t="n"/>
      <c r="J214" s="11" t="n"/>
      <c r="K214" s="11" t="n"/>
      <c r="L214" s="11" t="n"/>
      <c r="M214" s="12" t="n"/>
      <c r="N214" s="11" t="n"/>
      <c r="O214" s="11" t="n"/>
      <c r="P214" s="11" t="n"/>
      <c r="Q214" s="11" t="n"/>
      <c r="R214" s="12" t="n"/>
      <c r="S214" s="11" t="n"/>
      <c r="T214" s="11" t="n"/>
      <c r="U214" s="11" t="n"/>
      <c r="V214" s="11" t="n"/>
      <c r="W214" s="12" t="n"/>
      <c r="X214" s="11" t="n"/>
      <c r="Y214" s="11" t="n"/>
      <c r="Z214" s="11" t="n"/>
      <c r="AA214" s="11" t="n"/>
      <c r="AB214" s="12" t="n"/>
      <c r="AC214" s="11" t="n"/>
      <c r="AD214" s="11" t="n"/>
      <c r="AE214" s="11" t="n"/>
      <c r="AF214" s="11" t="n"/>
      <c r="AG214" s="12" t="n"/>
      <c r="AH214" s="11" t="n"/>
      <c r="AI214" s="11" t="n"/>
      <c r="AJ214" s="11" t="n"/>
      <c r="AK214" s="11" t="n"/>
      <c r="AL214" s="12" t="n"/>
      <c r="AM214" s="11" t="n"/>
      <c r="AN214" s="11" t="n"/>
      <c r="AO214" s="11" t="n"/>
      <c r="AP214" s="11" t="n"/>
      <c r="AQ214" s="12" t="n"/>
      <c r="AR214" s="11" t="n"/>
      <c r="AS214" s="11" t="n"/>
      <c r="AT214" s="11" t="n"/>
      <c r="AU214" s="11" t="n"/>
      <c r="AV214" s="12" t="n"/>
      <c r="AW214" s="11" t="n"/>
      <c r="AX214" s="11" t="n"/>
      <c r="AY214" s="11" t="n"/>
      <c r="AZ214" s="11" t="n"/>
      <c r="BA214" s="12" t="n"/>
      <c r="BB214" s="11" t="n"/>
      <c r="BC214" s="11" t="n"/>
      <c r="BD214" s="11" t="n"/>
      <c r="BE214" s="11" t="n"/>
      <c r="BF214" s="12" t="n"/>
      <c r="BG214" s="11" t="n"/>
      <c r="BH214" s="11" t="n"/>
      <c r="BI214" s="11" t="n"/>
      <c r="BJ214" s="11" t="n"/>
      <c r="BK214" s="12" t="n"/>
      <c r="BL214" s="11" t="n"/>
      <c r="BM214" s="11" t="n"/>
      <c r="BN214" s="11" t="n"/>
      <c r="BO214" s="11" t="n"/>
      <c r="BP214" s="12" t="n"/>
      <c r="BQ214" s="11" t="n"/>
      <c r="BR214" s="11" t="n"/>
      <c r="BS214" s="11" t="n"/>
      <c r="BT214" s="11" t="n"/>
      <c r="BU214" s="12" t="n"/>
      <c r="BV214" s="11" t="n"/>
      <c r="BW214" s="11" t="n"/>
      <c r="BX214" s="11" t="n"/>
      <c r="BY214" s="11" t="n"/>
      <c r="BZ214" s="12" t="n"/>
      <c r="CA214" s="11" t="n"/>
      <c r="CB214" s="11" t="n"/>
      <c r="CC214" s="11" t="n"/>
      <c r="CD214" s="11" t="n"/>
      <c r="CE214" s="12" t="n"/>
      <c r="CF214" s="11" t="n"/>
      <c r="CG214" s="11" t="n"/>
      <c r="CH214" s="11" t="n"/>
      <c r="CI214" s="11" t="n"/>
      <c r="CJ214" s="12" t="n"/>
      <c r="CK214" s="11" t="n"/>
      <c r="CL214" s="11" t="n"/>
      <c r="CM214" s="11" t="n"/>
      <c r="CN214" s="11" t="n"/>
      <c r="CO214" s="12" t="n"/>
      <c r="CP214" s="11" t="n"/>
      <c r="CQ214" s="11" t="n"/>
      <c r="CR214" s="11" t="n"/>
      <c r="CS214" s="11" t="n"/>
      <c r="CT214" s="12" t="n"/>
      <c r="CU214" s="11" t="n"/>
      <c r="CV214" s="11" t="n"/>
      <c r="CW214" s="11" t="n"/>
      <c r="CX214" s="11" t="n"/>
      <c r="CY214" s="12" t="n"/>
    </row>
    <row r="215" hidden="1" outlineLevel="1">
      <c r="C215" s="57" t="inlineStr">
        <is>
          <t>Contas a pagar pela aquisição de controladas</t>
        </is>
      </c>
      <c r="D215" s="11" t="n"/>
      <c r="E215" s="11" t="n"/>
      <c r="F215" s="11" t="n"/>
      <c r="G215" s="11" t="n"/>
      <c r="H215" s="12" t="n"/>
      <c r="I215" s="11" t="n"/>
      <c r="J215" s="11" t="n"/>
      <c r="K215" s="11" t="n"/>
      <c r="L215" s="11" t="n"/>
      <c r="M215" s="12" t="n"/>
      <c r="N215" s="11" t="n"/>
      <c r="O215" s="11" t="n"/>
      <c r="P215" s="11" t="n"/>
      <c r="Q215" s="11" t="n"/>
      <c r="R215" s="12" t="n"/>
      <c r="S215" s="11" t="n"/>
      <c r="T215" s="11" t="n"/>
      <c r="U215" s="11" t="n"/>
      <c r="V215" s="11" t="n"/>
      <c r="W215" s="12" t="n"/>
      <c r="X215" s="11" t="n"/>
      <c r="Y215" s="11" t="n"/>
      <c r="Z215" s="11" t="n"/>
      <c r="AA215" s="11" t="n"/>
      <c r="AB215" s="12" t="n"/>
      <c r="AC215" s="11" t="n"/>
      <c r="AD215" s="11" t="n"/>
      <c r="AE215" s="11" t="n"/>
      <c r="AF215" s="11" t="n"/>
      <c r="AG215" s="12" t="n"/>
      <c r="AH215" s="11" t="n"/>
      <c r="AI215" s="11" t="n"/>
      <c r="AJ215" s="11" t="n"/>
      <c r="AK215" s="11" t="n"/>
      <c r="AL215" s="12" t="n"/>
      <c r="AM215" s="11" t="n"/>
      <c r="AN215" s="11" t="n"/>
      <c r="AO215" s="11" t="n"/>
      <c r="AP215" s="11" t="n"/>
      <c r="AQ215" s="12" t="n"/>
      <c r="AR215" s="11" t="n"/>
      <c r="AS215" s="11" t="n"/>
      <c r="AT215" s="11" t="n"/>
      <c r="AU215" s="11" t="n"/>
      <c r="AV215" s="12" t="n"/>
      <c r="AW215" s="11" t="n"/>
      <c r="AX215" s="11" t="n"/>
      <c r="AY215" s="11" t="n"/>
      <c r="AZ215" s="11" t="n"/>
      <c r="BA215" s="12" t="n"/>
      <c r="BB215" s="11" t="n"/>
      <c r="BC215" s="11" t="n"/>
      <c r="BD215" s="11" t="n"/>
      <c r="BE215" s="11" t="n"/>
      <c r="BF215" s="12" t="n"/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inlineStr">
        <is>
          <t>Outros</t>
        </is>
      </c>
      <c r="D216" s="11" t="n"/>
      <c r="E216" s="11" t="n"/>
      <c r="F216" s="11" t="n"/>
      <c r="G216" s="11" t="n"/>
      <c r="H216" s="12" t="n"/>
      <c r="I216" s="11" t="n"/>
      <c r="J216" s="11" t="n"/>
      <c r="K216" s="11" t="n"/>
      <c r="L216" s="11" t="n"/>
      <c r="M216" s="12" t="n"/>
      <c r="N216" s="11" t="n"/>
      <c r="O216" s="11" t="n"/>
      <c r="P216" s="11" t="n"/>
      <c r="Q216" s="11" t="n"/>
      <c r="R216" s="12" t="n"/>
      <c r="S216" s="11" t="n"/>
      <c r="T216" s="11" t="n"/>
      <c r="U216" s="11" t="n"/>
      <c r="V216" s="11" t="n"/>
      <c r="W216" s="12" t="n"/>
      <c r="X216" s="11" t="n"/>
      <c r="Y216" s="11" t="n"/>
      <c r="Z216" s="11" t="n"/>
      <c r="AA216" s="11" t="n"/>
      <c r="AB216" s="12" t="n"/>
      <c r="AC216" s="11" t="n"/>
      <c r="AD216" s="11" t="n"/>
      <c r="AE216" s="11" t="n"/>
      <c r="AF216" s="11" t="n"/>
      <c r="AG216" s="12" t="n"/>
      <c r="AH216" s="11" t="n"/>
      <c r="AI216" s="11" t="n"/>
      <c r="AJ216" s="11" t="n"/>
      <c r="AK216" s="11" t="n"/>
      <c r="AL216" s="12" t="n"/>
      <c r="AM216" s="11" t="n"/>
      <c r="AN216" s="11" t="n"/>
      <c r="AO216" s="11" t="n"/>
      <c r="AP216" s="11" t="n"/>
      <c r="AQ216" s="12" t="n"/>
      <c r="AR216" s="11" t="n"/>
      <c r="AS216" s="11" t="n"/>
      <c r="AT216" s="11" t="n"/>
      <c r="AU216" s="11" t="n"/>
      <c r="AV216" s="12" t="n"/>
      <c r="AW216" s="11" t="n"/>
      <c r="AX216" s="11" t="n"/>
      <c r="AY216" s="11" t="n"/>
      <c r="AZ216" s="11" t="n"/>
      <c r="BA216" s="12" t="n"/>
      <c r="BB216" s="11" t="n"/>
      <c r="BC216" s="11" t="n"/>
      <c r="BD216" s="11" t="n"/>
      <c r="BE216" s="11" t="n"/>
      <c r="BF216" s="12" t="n"/>
      <c r="BG216" s="11" t="n"/>
      <c r="BH216" s="11" t="n"/>
      <c r="BI216" s="11" t="n"/>
      <c r="BJ216" s="11" t="n"/>
      <c r="BK216" s="12" t="n"/>
      <c r="BL216" s="11" t="n"/>
      <c r="BM216" s="11" t="n"/>
      <c r="BN216" s="11" t="n"/>
      <c r="BO216" s="11" t="n"/>
      <c r="BP216" s="12" t="n"/>
      <c r="BQ216" s="11" t="n"/>
      <c r="BR216" s="11" t="n"/>
      <c r="BS216" s="11" t="n"/>
      <c r="BT216" s="11" t="n"/>
      <c r="BU216" s="12" t="n"/>
      <c r="BV216" s="11" t="n"/>
      <c r="BW216" s="11" t="n"/>
      <c r="BX216" s="11" t="n"/>
      <c r="BY216" s="11" t="n"/>
      <c r="BZ216" s="12" t="n"/>
      <c r="CA216" s="11" t="n"/>
      <c r="CB216" s="11" t="n"/>
      <c r="CC216" s="11" t="n"/>
      <c r="CD216" s="11" t="n"/>
      <c r="CE216" s="12" t="n"/>
      <c r="CF216" s="11" t="n"/>
      <c r="CG216" s="11" t="n"/>
      <c r="CH216" s="11" t="n"/>
      <c r="CI216" s="11" t="n"/>
      <c r="CJ216" s="12" t="n"/>
      <c r="CK216" s="11" t="n"/>
      <c r="CL216" s="11" t="n"/>
      <c r="CM216" s="11" t="n"/>
      <c r="CN216" s="11" t="n"/>
      <c r="CO216" s="12" t="n"/>
      <c r="CP216" s="11" t="n"/>
      <c r="CQ216" s="11" t="n"/>
      <c r="CR216" s="11" t="n"/>
      <c r="CS216" s="11" t="n"/>
      <c r="CT216" s="12" t="n"/>
      <c r="CU216" s="11" t="n"/>
      <c r="CV216" s="11" t="n"/>
      <c r="CW216" s="11" t="n"/>
      <c r="CX216" s="11" t="n"/>
      <c r="CY216" s="12" t="n"/>
    </row>
    <row r="217" hidden="1" outlineLevel="1">
      <c r="C217" s="57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collapsed="1">
      <c r="C218" s="14" t="inlineStr">
        <is>
          <t>Current portion of long-term debt</t>
        </is>
      </c>
      <c r="D218" s="46" t="n"/>
      <c r="E218" s="46" t="n"/>
      <c r="F218" s="46" t="n"/>
      <c r="G218" s="46" t="n"/>
      <c r="H218" s="12" t="n"/>
      <c r="I218" s="46">
        <f>'Inputs (2)'!D32</f>
        <v>0</v>
      </c>
      <c r="J218" s="46">
        <f>'Inputs (2)'!E32</f>
        <v>0</v>
      </c>
      <c r="K218" s="46">
        <f>'Inputs (2)'!F32</f>
        <v>0</v>
      </c>
      <c r="L218" s="46">
        <f>'Inputs (2)'!G32</f>
        <v>0</v>
      </c>
      <c r="M218" s="12">
        <f>'Inputs (2)'!H32</f>
        <v>0</v>
      </c>
      <c r="N218" s="46">
        <f>'Inputs (2)'!I32</f>
        <v>0</v>
      </c>
      <c r="O218" s="46">
        <f>'Inputs (2)'!J32</f>
        <v>0</v>
      </c>
      <c r="P218" s="46">
        <f>'Inputs (2)'!K32</f>
        <v>0</v>
      </c>
      <c r="Q218" s="46">
        <f>'Inputs (2)'!L32</f>
        <v>0</v>
      </c>
      <c r="R218" s="12">
        <f>'Inputs (2)'!M32</f>
        <v>0</v>
      </c>
      <c r="S218" s="46">
        <f>'Inputs (2)'!N32</f>
        <v>0</v>
      </c>
      <c r="T218" s="46">
        <f>'Inputs (2)'!O32</f>
        <v>0</v>
      </c>
      <c r="U218" s="46">
        <f>'Inputs (2)'!P32</f>
        <v>0</v>
      </c>
      <c r="V218" s="46">
        <f>'Inputs (2)'!Q32</f>
        <v>0</v>
      </c>
      <c r="W218" s="12">
        <f>'Inputs (2)'!R32</f>
        <v>0</v>
      </c>
      <c r="X218" s="46">
        <f>'Inputs (2)'!S32</f>
        <v>0</v>
      </c>
      <c r="Y218" s="46">
        <f>'Inputs (2)'!T32</f>
        <v>0</v>
      </c>
      <c r="Z218" s="46">
        <f>'Inputs (2)'!U32</f>
        <v>0</v>
      </c>
      <c r="AA218" s="46">
        <f>'Inputs (2)'!V32</f>
        <v>0</v>
      </c>
      <c r="AB218" s="12">
        <f>'Inputs (2)'!W32</f>
        <v>0</v>
      </c>
      <c r="AC218" s="46">
        <f>'Inputs (2)'!X32</f>
        <v>0</v>
      </c>
      <c r="AD218" s="46">
        <f>'Inputs (2)'!Y32</f>
        <v>0</v>
      </c>
      <c r="AE218" s="46">
        <f>'Inputs (2)'!Z32</f>
        <v>0</v>
      </c>
      <c r="AF218" s="46">
        <f>'Inputs (2)'!AA32</f>
        <v>0</v>
      </c>
      <c r="AG218" s="12">
        <f>'Inputs (2)'!AB32</f>
        <v>0</v>
      </c>
      <c r="AH218" s="12">
        <f>'Inputs (2)'!AC32</f>
        <v>0</v>
      </c>
      <c r="AI218" s="12">
        <f>'Inputs (2)'!AD32</f>
        <v>0</v>
      </c>
      <c r="AJ218" s="12">
        <f>AI218</f>
        <v>0</v>
      </c>
      <c r="AK218" s="12">
        <f>AJ218</f>
        <v>0</v>
      </c>
      <c r="AL218" s="12">
        <f>AK218</f>
        <v>0</v>
      </c>
      <c r="AM218" s="12">
        <f>AL218</f>
        <v>0</v>
      </c>
      <c r="AN218" s="12">
        <f>AM218</f>
        <v>0</v>
      </c>
      <c r="AO218" s="12">
        <f>AN218</f>
        <v>0</v>
      </c>
      <c r="AP218" s="12">
        <f>AO218</f>
        <v>0</v>
      </c>
      <c r="AQ218" s="12">
        <f>AP218</f>
        <v>0</v>
      </c>
      <c r="AR218" s="12">
        <f>AQ218</f>
        <v>0</v>
      </c>
      <c r="AS218" s="12">
        <f>AR218</f>
        <v>0</v>
      </c>
      <c r="AT218" s="12">
        <f>AS218</f>
        <v>0</v>
      </c>
      <c r="AU218" s="12">
        <f>AT218</f>
        <v>0</v>
      </c>
      <c r="AV218" s="12">
        <f>AU218</f>
        <v>0</v>
      </c>
      <c r="AW218" s="12">
        <f>AV218</f>
        <v>0</v>
      </c>
      <c r="AX218" s="12">
        <f>AW218</f>
        <v>0</v>
      </c>
      <c r="AY218" s="12">
        <f>AX218</f>
        <v>0</v>
      </c>
      <c r="AZ218" s="12">
        <f>AY218</f>
        <v>0</v>
      </c>
      <c r="BA218" s="12">
        <f>AZ218</f>
        <v>0</v>
      </c>
      <c r="BB218" s="12">
        <f>BA218</f>
        <v>0</v>
      </c>
      <c r="BC218" s="12">
        <f>BB218</f>
        <v>0</v>
      </c>
      <c r="BD218" s="12">
        <f>BC218</f>
        <v>0</v>
      </c>
      <c r="BE218" s="12">
        <f>BD218</f>
        <v>0</v>
      </c>
      <c r="BF218" s="12">
        <f>BE218</f>
        <v>0</v>
      </c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>
      <c r="C219" s="14" t="inlineStr">
        <is>
          <t>Short term debt (Revolving credit facility)</t>
        </is>
      </c>
      <c r="D219" s="46" t="n"/>
      <c r="E219" s="46" t="n"/>
      <c r="F219" s="46" t="n"/>
      <c r="G219" s="46" t="n"/>
      <c r="H219" s="12" t="n"/>
      <c r="I219" s="46">
        <f>'Inputs (2)'!D33</f>
        <v>0</v>
      </c>
      <c r="J219" s="46">
        <f>'Inputs (2)'!E33</f>
        <v>0</v>
      </c>
      <c r="K219" s="46">
        <f>'Inputs (2)'!F33</f>
        <v>0</v>
      </c>
      <c r="L219" s="46">
        <f>'Inputs (2)'!G33</f>
        <v>0</v>
      </c>
      <c r="M219" s="12">
        <f>'Inputs (2)'!H33</f>
        <v>0</v>
      </c>
      <c r="N219" s="46">
        <f>'Inputs (2)'!I33</f>
        <v>0</v>
      </c>
      <c r="O219" s="46">
        <f>'Inputs (2)'!J33</f>
        <v>0</v>
      </c>
      <c r="P219" s="46">
        <f>'Inputs (2)'!K33</f>
        <v>0</v>
      </c>
      <c r="Q219" s="46">
        <f>'Inputs (2)'!L33</f>
        <v>0</v>
      </c>
      <c r="R219" s="12">
        <f>'Inputs (2)'!M33</f>
        <v>0</v>
      </c>
      <c r="S219" s="46">
        <f>'Inputs (2)'!N33</f>
        <v>0</v>
      </c>
      <c r="T219" s="46">
        <f>'Inputs (2)'!O33</f>
        <v>0</v>
      </c>
      <c r="U219" s="46">
        <f>'Inputs (2)'!P33</f>
        <v>0</v>
      </c>
      <c r="V219" s="46">
        <f>'Inputs (2)'!Q33</f>
        <v>0</v>
      </c>
      <c r="W219" s="12">
        <f>'Inputs (2)'!R33</f>
        <v>0</v>
      </c>
      <c r="X219" s="46">
        <f>'Inputs (2)'!S33</f>
        <v>0</v>
      </c>
      <c r="Y219" s="46">
        <f>'Inputs (2)'!T33</f>
        <v>0</v>
      </c>
      <c r="Z219" s="46">
        <f>'Inputs (2)'!U33</f>
        <v>0</v>
      </c>
      <c r="AA219" s="46">
        <f>'Inputs (2)'!V33</f>
        <v>0</v>
      </c>
      <c r="AB219" s="12">
        <f>'Inputs (2)'!W33</f>
        <v>0</v>
      </c>
      <c r="AC219" s="46">
        <f>'Inputs (2)'!X33</f>
        <v>0</v>
      </c>
      <c r="AD219" s="46">
        <f>'Inputs (2)'!Y33</f>
        <v>0</v>
      </c>
      <c r="AE219" s="46">
        <f>'Inputs (2)'!Z33</f>
        <v>0</v>
      </c>
      <c r="AF219" s="46">
        <f>'Inputs (2)'!AA33</f>
        <v>0</v>
      </c>
      <c r="AG219" s="12">
        <f>'Inputs (2)'!AB33</f>
        <v>0</v>
      </c>
      <c r="AH219" s="12">
        <f>'Inputs (2)'!AC33</f>
        <v>0</v>
      </c>
      <c r="AI219" s="12">
        <f>'Inputs (2)'!AD33</f>
        <v>0</v>
      </c>
      <c r="AJ219" s="12">
        <f>AI219</f>
        <v>0</v>
      </c>
      <c r="AK219" s="12">
        <f>AJ219</f>
        <v>0</v>
      </c>
      <c r="AL219" s="12">
        <f>AK219</f>
        <v>0</v>
      </c>
      <c r="AM219" s="12">
        <f>AL219</f>
        <v>0</v>
      </c>
      <c r="AN219" s="12">
        <f>AM219</f>
        <v>0</v>
      </c>
      <c r="AO219" s="12">
        <f>AN219</f>
        <v>0</v>
      </c>
      <c r="AP219" s="12">
        <f>AO219</f>
        <v>0</v>
      </c>
      <c r="AQ219" s="12">
        <f>AP219</f>
        <v>0</v>
      </c>
      <c r="AR219" s="12">
        <f>AQ219</f>
        <v>0</v>
      </c>
      <c r="AS219" s="12">
        <f>AR219</f>
        <v>0</v>
      </c>
      <c r="AT219" s="12">
        <f>AS219</f>
        <v>0</v>
      </c>
      <c r="AU219" s="12">
        <f>AT219</f>
        <v>0</v>
      </c>
      <c r="AV219" s="12">
        <f>AU219</f>
        <v>0</v>
      </c>
      <c r="AW219" s="12">
        <f>AV219</f>
        <v>0</v>
      </c>
      <c r="AX219" s="12">
        <f>AW219</f>
        <v>0</v>
      </c>
      <c r="AY219" s="12">
        <f>AX219</f>
        <v>0</v>
      </c>
      <c r="AZ219" s="12">
        <f>AY219</f>
        <v>0</v>
      </c>
      <c r="BA219" s="12">
        <f>AZ219</f>
        <v>0</v>
      </c>
      <c r="BB219" s="12">
        <f>BA219</f>
        <v>0</v>
      </c>
      <c r="BC219" s="12">
        <f>BB219</f>
        <v>0</v>
      </c>
      <c r="BD219" s="12">
        <f>BC219</f>
        <v>0</v>
      </c>
      <c r="BE219" s="12">
        <f>BD219</f>
        <v>0</v>
      </c>
      <c r="BF219" s="12">
        <f>BE219</f>
        <v>0</v>
      </c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>
      <c r="C220" s="14" t="inlineStr">
        <is>
          <t>Short term operating leases</t>
        </is>
      </c>
      <c r="D220" s="46" t="n"/>
      <c r="E220" s="46" t="n"/>
      <c r="F220" s="46" t="n"/>
      <c r="G220" s="46" t="n"/>
      <c r="H220" s="12" t="n"/>
      <c r="I220" s="46">
        <f>'Inputs (2)'!D34</f>
        <v>0</v>
      </c>
      <c r="J220" s="46">
        <f>'Inputs (2)'!E34</f>
        <v>0</v>
      </c>
      <c r="K220" s="46">
        <f>'Inputs (2)'!F34</f>
        <v>0</v>
      </c>
      <c r="L220" s="46">
        <f>'Inputs (2)'!G34</f>
        <v>0</v>
      </c>
      <c r="M220" s="12">
        <f>'Inputs (2)'!H34</f>
        <v>0</v>
      </c>
      <c r="N220" s="46">
        <f>'Inputs (2)'!I34</f>
        <v>0</v>
      </c>
      <c r="O220" s="46">
        <f>'Inputs (2)'!J34</f>
        <v>0</v>
      </c>
      <c r="P220" s="46">
        <f>'Inputs (2)'!K34</f>
        <v>0</v>
      </c>
      <c r="Q220" s="46">
        <f>'Inputs (2)'!L34</f>
        <v>0</v>
      </c>
      <c r="R220" s="12">
        <f>'Inputs (2)'!M34</f>
        <v>0</v>
      </c>
      <c r="S220" s="46">
        <f>'Inputs (2)'!N34</f>
        <v>0</v>
      </c>
      <c r="T220" s="46">
        <f>'Inputs (2)'!O34</f>
        <v>0</v>
      </c>
      <c r="U220" s="46">
        <f>'Inputs (2)'!P34</f>
        <v>0</v>
      </c>
      <c r="V220" s="46">
        <f>'Inputs (2)'!Q34</f>
        <v>0</v>
      </c>
      <c r="W220" s="12">
        <f>'Inputs (2)'!R34</f>
        <v>0</v>
      </c>
      <c r="X220" s="46">
        <f>'Inputs (2)'!S34</f>
        <v>0</v>
      </c>
      <c r="Y220" s="46">
        <f>'Inputs (2)'!T34</f>
        <v>0</v>
      </c>
      <c r="Z220" s="46">
        <f>'Inputs (2)'!U34</f>
        <v>0</v>
      </c>
      <c r="AA220" s="46">
        <f>'Inputs (2)'!V34</f>
        <v>0</v>
      </c>
      <c r="AB220" s="12">
        <f>'Inputs (2)'!W34</f>
        <v>0</v>
      </c>
      <c r="AC220" s="46">
        <f>'Inputs (2)'!X34</f>
        <v>0</v>
      </c>
      <c r="AD220" s="46">
        <f>'Inputs (2)'!Y34</f>
        <v>0</v>
      </c>
      <c r="AE220" s="46">
        <f>'Inputs (2)'!Z34</f>
        <v>0</v>
      </c>
      <c r="AF220" s="46">
        <f>'Inputs (2)'!AA34</f>
        <v>0</v>
      </c>
      <c r="AG220" s="12">
        <f>'Inputs (2)'!AB34</f>
        <v>0</v>
      </c>
      <c r="AH220" s="12">
        <f>'Inputs (2)'!AC34</f>
        <v>0</v>
      </c>
      <c r="AI220" s="12">
        <f>'Inputs (2)'!AD34</f>
        <v>0</v>
      </c>
      <c r="AJ220" s="12">
        <f>AI220</f>
        <v>0</v>
      </c>
      <c r="AK220" s="12">
        <f>AJ220</f>
        <v>0</v>
      </c>
      <c r="AL220" s="12">
        <f>AK220</f>
        <v>0</v>
      </c>
      <c r="AM220" s="12">
        <f>AL220</f>
        <v>0</v>
      </c>
      <c r="AN220" s="12">
        <f>AM220</f>
        <v>0</v>
      </c>
      <c r="AO220" s="12">
        <f>AN220</f>
        <v>0</v>
      </c>
      <c r="AP220" s="12">
        <f>AO220</f>
        <v>0</v>
      </c>
      <c r="AQ220" s="12">
        <f>AP220</f>
        <v>0</v>
      </c>
      <c r="AR220" s="12">
        <f>AQ220</f>
        <v>0</v>
      </c>
      <c r="AS220" s="12">
        <f>AR220</f>
        <v>0</v>
      </c>
      <c r="AT220" s="12">
        <f>AS220</f>
        <v>0</v>
      </c>
      <c r="AU220" s="12">
        <f>AT220</f>
        <v>0</v>
      </c>
      <c r="AV220" s="12">
        <f>AU220</f>
        <v>0</v>
      </c>
      <c r="AW220" s="12">
        <f>AV220</f>
        <v>0</v>
      </c>
      <c r="AX220" s="12">
        <f>AW220</f>
        <v>0</v>
      </c>
      <c r="AY220" s="12">
        <f>AX220</f>
        <v>0</v>
      </c>
      <c r="AZ220" s="12">
        <f>AY220</f>
        <v>0</v>
      </c>
      <c r="BA220" s="12">
        <f>AZ220</f>
        <v>0</v>
      </c>
      <c r="BB220" s="12">
        <f>BA220</f>
        <v>0</v>
      </c>
      <c r="BC220" s="12">
        <f>BB220</f>
        <v>0</v>
      </c>
      <c r="BD220" s="12">
        <f>BC220</f>
        <v>0</v>
      </c>
      <c r="BE220" s="12">
        <f>BD220</f>
        <v>0</v>
      </c>
      <c r="BF220" s="12">
        <f>BE220</f>
        <v>0</v>
      </c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9" t="inlineStr">
        <is>
          <t>%(Var.)</t>
        </is>
      </c>
      <c r="D221" s="12" t="n"/>
      <c r="E221" s="40" t="n"/>
      <c r="F221" s="40" t="n"/>
      <c r="G221" s="40" t="n"/>
      <c r="H221" s="12" t="n"/>
      <c r="I221" s="40" t="str">
        <f>""</f>
        <v/>
      </c>
      <c r="J221" s="40" t="str">
        <f>IFERROR(IF(I220=0,"",J220/I220-1),"")</f>
        <v/>
      </c>
      <c r="K221" s="40" t="str">
        <f>IFERROR(IF(J220=0,"",K220/J220-1),"")</f>
        <v/>
      </c>
      <c r="L221" s="40" t="str">
        <f>IFERROR(IF(K220=0,"",L220/K220-1),"")</f>
        <v/>
      </c>
      <c r="M221" s="12" t="str">
        <f>IF(L220=0,"",M220/L220-1)</f>
        <v/>
      </c>
      <c r="N221" s="40" t="str">
        <f>IFERROR(IF(M220=0,"",N220/M220-1),"")</f>
        <v/>
      </c>
      <c r="O221" s="40" t="str">
        <f>IFERROR(IF(N220=0,"",O220/N220-1),"")</f>
        <v/>
      </c>
      <c r="P221" s="40" t="str">
        <f>IFERROR(IF(O220=0,"",P220/O220-1),"")</f>
        <v/>
      </c>
      <c r="Q221" s="40" t="str">
        <f>IFERROR(IF(P220=0,"",Q220/P220-1),"")</f>
        <v/>
      </c>
      <c r="R221" s="12" t="str">
        <f>IF(Q220=0,"",R220/Q220-1)</f>
        <v/>
      </c>
      <c r="S221" s="40" t="str">
        <f>IFERROR(IF(R220=0,"",S220/R220-1),"")</f>
        <v/>
      </c>
      <c r="T221" s="40" t="str">
        <f>IFERROR(IF(S220=0,"",T220/S220-1),"")</f>
        <v/>
      </c>
      <c r="U221" s="40" t="str">
        <f>IFERROR(IF(T220=0,"",U220/T220-1),"")</f>
        <v/>
      </c>
      <c r="V221" s="40" t="str">
        <f>IFERROR(IF(U220=0,"",V220/U220-1),"")</f>
        <v/>
      </c>
      <c r="W221" s="12" t="str">
        <f>IF(V220=0,"",W220/V220-1)</f>
        <v/>
      </c>
      <c r="X221" s="40" t="str">
        <f>IFERROR(IF(W220=0,"",X220/W220-1),"")</f>
        <v/>
      </c>
      <c r="Y221" s="40" t="str">
        <f>IFERROR(IF(X220=0,"",Y220/X220-1),"")</f>
        <v/>
      </c>
      <c r="Z221" s="40" t="str">
        <f>IFERROR(IF(Y220=0,"",Z220/Y220-1),"")</f>
        <v/>
      </c>
      <c r="AA221" s="40" t="str">
        <f>IFERROR(IF(Z220=0,"",AA220/Z220-1),"")</f>
        <v/>
      </c>
      <c r="AB221" s="12" t="str">
        <f>IF(AA220=0,"",AB220/AA220-1)</f>
        <v/>
      </c>
      <c r="AC221" s="40" t="str">
        <f>IFERROR(IF(AB220=0,"",AC220/AB220-1),"")</f>
        <v/>
      </c>
      <c r="AD221" s="40" t="str">
        <f>IFERROR(IF(AC220=0,"",AD220/AC220-1),"")</f>
        <v/>
      </c>
      <c r="AE221" s="40" t="str">
        <f>IFERROR(IF(AD220=0,"",AE220/AD220-1),"")</f>
        <v/>
      </c>
      <c r="AF221" s="11" t="str">
        <f>IFERROR(IF(AE220=0,"",AF220/AE220-1),"")</f>
        <v/>
      </c>
      <c r="AG221" s="12" t="str">
        <f>IF(AF220=0,"",AG220/AF220-1)</f>
        <v/>
      </c>
      <c r="AH221" s="11" t="str">
        <f>IFERROR(IF(AG220=0,"",AH220/AG220-1),"")</f>
        <v/>
      </c>
      <c r="AI221" s="11" t="str">
        <f>IFERROR(IF(AH220=0,"",AI220/AH220-1),"")</f>
        <v/>
      </c>
      <c r="AJ221" s="11" t="str">
        <f>IFERROR(IF(AI220=0,"",AJ220/AI220-1),"")</f>
        <v/>
      </c>
      <c r="AK221" s="11" t="str">
        <f>IFERROR(IF(AJ220=0,"",AK220/AJ220-1),"")</f>
        <v/>
      </c>
      <c r="AL221" s="12" t="str">
        <f>IFERROR(IF(AK220=0,"",AL220/AK220-1),"")</f>
        <v/>
      </c>
      <c r="AM221" s="11" t="str">
        <f>IFERROR(IF(AL220=0,"",AM220/AL220-1),"")</f>
        <v/>
      </c>
      <c r="AN221" s="11" t="str">
        <f>IFERROR(IF(AM220=0,"",AN220/AM220-1),"")</f>
        <v/>
      </c>
      <c r="AO221" s="11" t="str">
        <f>IFERROR(IF(AN220=0,"",AO220/AN220-1),"")</f>
        <v/>
      </c>
      <c r="AP221" s="11" t="str">
        <f>IFERROR(IF(AO220=0,"",AP220/AO220-1),"")</f>
        <v/>
      </c>
      <c r="AQ221" s="12" t="str">
        <f>IFERROR(IF(AP220=0,"",AQ220/AP220-1),"")</f>
        <v/>
      </c>
      <c r="AR221" s="11" t="str">
        <f>IFERROR(IF(AQ220=0,"",AR220/AQ220-1),"")</f>
        <v/>
      </c>
      <c r="AS221" s="11" t="str">
        <f>IFERROR(IF(AR220=0,"",AS220/AR220-1),"")</f>
        <v/>
      </c>
      <c r="AT221" s="11" t="str">
        <f>IFERROR(IF(AS220=0,"",AT220/AS220-1),"")</f>
        <v/>
      </c>
      <c r="AU221" s="11" t="str">
        <f>IFERROR(IF(AT220=0,"",AU220/AT220-1),"")</f>
        <v/>
      </c>
      <c r="AV221" s="12" t="str">
        <f>IFERROR(IF(AU220=0,"",AV220/AU220-1),"")</f>
        <v/>
      </c>
      <c r="AW221" s="11" t="str">
        <f>IFERROR(IF(AV220=0,"",AW220/AV220-1),"")</f>
        <v/>
      </c>
      <c r="AX221" s="11" t="str">
        <f>IFERROR(IF(AW220=0,"",AX220/AW220-1),"")</f>
        <v/>
      </c>
      <c r="AY221" s="11" t="str">
        <f>IFERROR(IF(AX220=0,"",AY220/AX220-1),"")</f>
        <v/>
      </c>
      <c r="AZ221" s="11" t="str">
        <f>IFERROR(IF(AY220=0,"",AZ220/AY220-1),"")</f>
        <v/>
      </c>
      <c r="BA221" s="12" t="str">
        <f>IFERROR(IF(AZ220=0,"",BA220/AZ220-1),"")</f>
        <v/>
      </c>
      <c r="BB221" s="11" t="str">
        <f>IFERROR(IF(BA220=0,"",BB220/BA220-1),"")</f>
        <v/>
      </c>
      <c r="BC221" s="11" t="str">
        <f>IFERROR(IF(BB220=0,"",BC220/BB220-1),"")</f>
        <v/>
      </c>
      <c r="BD221" s="11" t="str">
        <f>IFERROR(IF(BC220=0,"",BD220/BC220-1),"")</f>
        <v/>
      </c>
      <c r="BE221" s="11" t="str">
        <f>IFERROR(IF(BD220=0,"",BE220/BD220-1),"")</f>
        <v/>
      </c>
      <c r="BF221" s="12" t="str">
        <f>IFERROR(IF(BE220=0,"",BF220/BE220-1),"")</f>
        <v/>
      </c>
      <c r="BG221" s="11" t="n"/>
      <c r="BH221" s="11" t="n"/>
      <c r="BI221" s="11" t="n"/>
      <c r="BJ221" s="11" t="n"/>
      <c r="BK221" s="12" t="n"/>
      <c r="BL221" s="11" t="n"/>
      <c r="BM221" s="11" t="n"/>
      <c r="BN221" s="11" t="n"/>
      <c r="BO221" s="11" t="n"/>
      <c r="BP221" s="12" t="n"/>
      <c r="BQ221" s="11" t="n"/>
      <c r="BR221" s="11" t="n"/>
      <c r="BS221" s="11" t="n"/>
      <c r="BT221" s="11" t="n"/>
      <c r="BU221" s="12" t="n"/>
      <c r="BV221" s="11" t="n"/>
      <c r="BW221" s="11" t="n"/>
      <c r="BX221" s="11" t="n"/>
      <c r="BY221" s="11" t="n"/>
      <c r="BZ221" s="12" t="n"/>
      <c r="CA221" s="11" t="n"/>
      <c r="CB221" s="11" t="n"/>
      <c r="CC221" s="11" t="n"/>
      <c r="CD221" s="11" t="n"/>
      <c r="CE221" s="12" t="n"/>
      <c r="CF221" s="11" t="n"/>
      <c r="CG221" s="11" t="n"/>
      <c r="CH221" s="11" t="n"/>
      <c r="CI221" s="11" t="n"/>
      <c r="CJ221" s="12" t="n"/>
      <c r="CK221" s="11" t="n"/>
      <c r="CL221" s="11" t="n"/>
      <c r="CM221" s="11" t="n"/>
      <c r="CN221" s="11" t="n"/>
      <c r="CO221" s="12" t="n"/>
      <c r="CP221" s="11" t="n"/>
      <c r="CQ221" s="11" t="n"/>
      <c r="CR221" s="11" t="n"/>
      <c r="CS221" s="11" t="n"/>
      <c r="CT221" s="12" t="n"/>
      <c r="CU221" s="11" t="n"/>
      <c r="CV221" s="11" t="n"/>
      <c r="CW221" s="11" t="n"/>
      <c r="CX221" s="11" t="n"/>
      <c r="CY221" s="12" t="n"/>
    </row>
    <row r="222" hidden="1" outlineLevel="1">
      <c r="C222" s="57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collapsed="1">
      <c r="C223" s="14" t="inlineStr">
        <is>
          <t>Long term debt</t>
        </is>
      </c>
      <c r="D223" s="46" t="n"/>
      <c r="E223" s="46" t="n"/>
      <c r="F223" s="46" t="n"/>
      <c r="G223" s="46" t="n"/>
      <c r="H223" s="12" t="n"/>
      <c r="I223" s="46">
        <f>'Inputs (2)'!D35</f>
        <v>0</v>
      </c>
      <c r="J223" s="46">
        <f>'Inputs (2)'!E35</f>
        <v>0</v>
      </c>
      <c r="K223" s="46">
        <f>'Inputs (2)'!F35</f>
        <v>0</v>
      </c>
      <c r="L223" s="46">
        <f>'Inputs (2)'!G35</f>
        <v>0</v>
      </c>
      <c r="M223" s="12">
        <f>'Inputs (2)'!H35</f>
        <v>0</v>
      </c>
      <c r="N223" s="46">
        <f>'Inputs (2)'!I35</f>
        <v>0</v>
      </c>
      <c r="O223" s="46">
        <f>'Inputs (2)'!J35</f>
        <v>0</v>
      </c>
      <c r="P223" s="46">
        <f>'Inputs (2)'!K35</f>
        <v>0</v>
      </c>
      <c r="Q223" s="46">
        <f>'Inputs (2)'!L35</f>
        <v>0</v>
      </c>
      <c r="R223" s="12">
        <f>'Inputs (2)'!M35</f>
        <v>0</v>
      </c>
      <c r="S223" s="46">
        <f>'Inputs (2)'!N35</f>
        <v>0</v>
      </c>
      <c r="T223" s="46">
        <f>'Inputs (2)'!O35</f>
        <v>0</v>
      </c>
      <c r="U223" s="46">
        <f>'Inputs (2)'!P35</f>
        <v>0</v>
      </c>
      <c r="V223" s="46">
        <f>'Inputs (2)'!Q35</f>
        <v>0</v>
      </c>
      <c r="W223" s="12">
        <f>'Inputs (2)'!R35</f>
        <v>0</v>
      </c>
      <c r="X223" s="46">
        <f>'Inputs (2)'!S35</f>
        <v>0</v>
      </c>
      <c r="Y223" s="46">
        <f>'Inputs (2)'!T35</f>
        <v>0</v>
      </c>
      <c r="Z223" s="46">
        <f>'Inputs (2)'!U35</f>
        <v>0</v>
      </c>
      <c r="AA223" s="46">
        <f>'Inputs (2)'!V35</f>
        <v>0</v>
      </c>
      <c r="AB223" s="12">
        <f>'Inputs (2)'!W35</f>
        <v>0</v>
      </c>
      <c r="AC223" s="46">
        <f>'Inputs (2)'!X35</f>
        <v>0</v>
      </c>
      <c r="AD223" s="46">
        <f>'Inputs (2)'!Y35</f>
        <v>0</v>
      </c>
      <c r="AE223" s="46">
        <f>'Inputs (2)'!Z35</f>
        <v>0</v>
      </c>
      <c r="AF223" s="46">
        <f>'Inputs (2)'!AA35</f>
        <v>0</v>
      </c>
      <c r="AG223" s="12">
        <f>'Inputs (2)'!AB35</f>
        <v>0</v>
      </c>
      <c r="AH223" s="12">
        <f>'Inputs (2)'!AC35</f>
        <v>0</v>
      </c>
      <c r="AI223" s="12">
        <f>'Inputs (2)'!AD35</f>
        <v>0</v>
      </c>
      <c r="AJ223" s="12">
        <f>AJ229</f>
        <v>0</v>
      </c>
      <c r="AK223" s="12">
        <f>AK229</f>
        <v>0</v>
      </c>
      <c r="AL223" s="12">
        <f>AK223</f>
        <v>0</v>
      </c>
      <c r="AM223" s="12">
        <f>AM229</f>
        <v>0</v>
      </c>
      <c r="AN223" s="12">
        <f>AN229</f>
        <v>0</v>
      </c>
      <c r="AO223" s="12">
        <f>AO229</f>
        <v>0</v>
      </c>
      <c r="AP223" s="12">
        <f>AP229</f>
        <v>0</v>
      </c>
      <c r="AQ223" s="12">
        <f>AP223</f>
        <v>0</v>
      </c>
      <c r="AR223" s="12">
        <f>AR229</f>
        <v>0</v>
      </c>
      <c r="AS223" s="12">
        <f>AS229</f>
        <v>0</v>
      </c>
      <c r="AT223" s="12">
        <f>AT229</f>
        <v>0</v>
      </c>
      <c r="AU223" s="12">
        <f>AU229</f>
        <v>0</v>
      </c>
      <c r="AV223" s="12">
        <f>AU223</f>
        <v>0</v>
      </c>
      <c r="AW223" s="12">
        <f>AW229</f>
        <v>0</v>
      </c>
      <c r="AX223" s="12">
        <f>AX229</f>
        <v>0</v>
      </c>
      <c r="AY223" s="12">
        <f>AY229</f>
        <v>0</v>
      </c>
      <c r="AZ223" s="12">
        <f>AZ229</f>
        <v>0</v>
      </c>
      <c r="BA223" s="12">
        <f>AZ223</f>
        <v>0</v>
      </c>
      <c r="BB223" s="12">
        <f>BB229</f>
        <v>0</v>
      </c>
      <c r="BC223" s="12">
        <f>BC229</f>
        <v>0</v>
      </c>
      <c r="BD223" s="12">
        <f>BD229</f>
        <v>0</v>
      </c>
      <c r="BE223" s="12">
        <f>BE229</f>
        <v>0</v>
      </c>
      <c r="BF223" s="12">
        <f>BE223</f>
        <v>0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Current portion of LTD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>
        <f>AF218</f>
        <v>0</v>
      </c>
      <c r="AI225" s="62" t="n"/>
      <c r="AJ225" s="62" t="n"/>
      <c r="AK225" s="62" t="n"/>
      <c r="AL225" s="12" t="n"/>
      <c r="AM225" s="12">
        <f>AK218</f>
        <v>0</v>
      </c>
      <c r="AN225" s="62" t="n"/>
      <c r="AO225" s="62" t="n"/>
      <c r="AP225" s="62" t="n"/>
      <c r="AQ225" s="12" t="n"/>
      <c r="AR225" s="12">
        <f>AP218</f>
        <v>0</v>
      </c>
      <c r="AS225" s="62" t="n"/>
      <c r="AT225" s="62" t="n"/>
      <c r="AU225" s="62" t="n"/>
      <c r="AV225" s="12" t="n"/>
      <c r="AW225" s="12">
        <f>AU218</f>
        <v>0</v>
      </c>
      <c r="AX225" s="62" t="n"/>
      <c r="AY225" s="62" t="n"/>
      <c r="AZ225" s="62" t="n"/>
      <c r="BA225" s="12" t="n"/>
      <c r="BB225" s="12">
        <f>AZ218</f>
        <v>0</v>
      </c>
      <c r="BC225" s="62" t="n"/>
      <c r="BD225" s="62" t="n"/>
      <c r="BE225" s="62" t="n"/>
      <c r="BF225" s="12" t="n"/>
      <c r="BG225" s="12" t="n"/>
      <c r="BH225" s="62" t="n"/>
      <c r="BI225" s="62" t="n"/>
      <c r="BJ225" s="62" t="n"/>
      <c r="BK225" s="12" t="n"/>
      <c r="BL225" s="12" t="n"/>
      <c r="BM225" s="62" t="n"/>
      <c r="BN225" s="62" t="n"/>
      <c r="BO225" s="62" t="n"/>
      <c r="BP225" s="12" t="n"/>
      <c r="BQ225" s="12" t="n"/>
      <c r="BR225" s="62" t="n"/>
      <c r="BS225" s="62" t="n"/>
      <c r="BT225" s="62" t="n"/>
      <c r="BU225" s="12" t="n"/>
      <c r="BV225" s="12" t="n"/>
      <c r="BW225" s="62" t="n"/>
      <c r="BX225" s="62" t="n"/>
      <c r="BY225" s="62" t="n"/>
      <c r="BZ225" s="12" t="n"/>
      <c r="CA225" s="12" t="n"/>
      <c r="CB225" s="62" t="n"/>
      <c r="CC225" s="62" t="n"/>
      <c r="CD225" s="62" t="n"/>
      <c r="CE225" s="12" t="n"/>
      <c r="CF225" s="12" t="n"/>
      <c r="CG225" s="62" t="n"/>
      <c r="CH225" s="62" t="n"/>
      <c r="CI225" s="62" t="n"/>
      <c r="CJ225" s="12" t="n"/>
      <c r="CK225" s="12" t="n"/>
      <c r="CL225" s="62" t="n"/>
      <c r="CM225" s="62" t="n"/>
      <c r="CN225" s="62" t="n"/>
      <c r="CO225" s="12" t="n"/>
      <c r="CP225" s="12" t="n"/>
      <c r="CQ225" s="62" t="n"/>
      <c r="CR225" s="62" t="n"/>
      <c r="CS225" s="62" t="n"/>
      <c r="CT225" s="12" t="n"/>
      <c r="CU225" s="12" t="n"/>
      <c r="CV225" s="62" t="n"/>
      <c r="CW225" s="62" t="n"/>
      <c r="CX225" s="62" t="n"/>
      <c r="CY225" s="12" t="n"/>
    </row>
    <row r="226" hidden="1" outlineLevel="1">
      <c r="C226" s="57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inlineStr">
        <is>
          <t>Reclassification of LTD to CP of LTD</t>
        </is>
      </c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>
        <f>-AI225</f>
        <v>0</v>
      </c>
      <c r="AJ227" s="12">
        <f>-AJ225</f>
        <v>0</v>
      </c>
      <c r="AK227" s="12">
        <f>-AK225</f>
        <v>0</v>
      </c>
      <c r="AL227" s="12" t="n"/>
      <c r="AM227" s="12" t="n"/>
      <c r="AN227" s="12">
        <f>-AN225</f>
        <v>0</v>
      </c>
      <c r="AO227" s="12">
        <f>-AO225</f>
        <v>0</v>
      </c>
      <c r="AP227" s="12">
        <f>-AP225</f>
        <v>0</v>
      </c>
      <c r="AQ227" s="12" t="n"/>
      <c r="AR227" s="12" t="n"/>
      <c r="AS227" s="12">
        <f>-AS225</f>
        <v>0</v>
      </c>
      <c r="AT227" s="12">
        <f>-AT225</f>
        <v>0</v>
      </c>
      <c r="AU227" s="12">
        <f>-AU225</f>
        <v>0</v>
      </c>
      <c r="AV227" s="12" t="n"/>
      <c r="AW227" s="12" t="n"/>
      <c r="AX227" s="12">
        <f>-AX225</f>
        <v>0</v>
      </c>
      <c r="AY227" s="12">
        <f>-AY225</f>
        <v>0</v>
      </c>
      <c r="AZ227" s="12">
        <f>-AZ225</f>
        <v>0</v>
      </c>
      <c r="BA227" s="12" t="n"/>
      <c r="BB227" s="12" t="n"/>
      <c r="BC227" s="12">
        <f>-BC225</f>
        <v>0</v>
      </c>
      <c r="BD227" s="12">
        <f>-BD225</f>
        <v>0</v>
      </c>
      <c r="BE227" s="12">
        <f>-BE225</f>
        <v>0</v>
      </c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 hidden="1" outlineLevel="1">
      <c r="C228" s="57" t="inlineStr">
        <is>
          <t>Discretionary (paydown)/borrowing of long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62" t="n"/>
      <c r="AI228" s="62" t="n"/>
      <c r="AJ228" s="62" t="n"/>
      <c r="AK228" s="62" t="n"/>
      <c r="AL228" s="12" t="n"/>
      <c r="AM228" s="62" t="n"/>
      <c r="AN228" s="62" t="n"/>
      <c r="AO228" s="62" t="n"/>
      <c r="AP228" s="62" t="n"/>
      <c r="AQ228" s="12" t="n"/>
      <c r="AR228" s="62" t="n"/>
      <c r="AS228" s="62" t="n"/>
      <c r="AT228" s="62" t="n"/>
      <c r="AU228" s="62" t="n"/>
      <c r="AV228" s="12" t="n"/>
      <c r="AW228" s="62" t="n"/>
      <c r="AX228" s="62" t="n"/>
      <c r="AY228" s="62" t="n"/>
      <c r="AZ228" s="62" t="n"/>
      <c r="BA228" s="12" t="n"/>
      <c r="BB228" s="62" t="n"/>
      <c r="BC228" s="62" t="n"/>
      <c r="BD228" s="62" t="n"/>
      <c r="BE228" s="62" t="n"/>
      <c r="BF228" s="12" t="n"/>
      <c r="BG228" s="62" t="n"/>
      <c r="BH228" s="62" t="n"/>
      <c r="BI228" s="62" t="n"/>
      <c r="BJ228" s="62" t="n"/>
      <c r="BK228" s="12" t="n"/>
      <c r="BL228" s="62" t="n"/>
      <c r="BM228" s="62" t="n"/>
      <c r="BN228" s="62" t="n"/>
      <c r="BO228" s="62" t="n"/>
      <c r="BP228" s="12" t="n"/>
      <c r="BQ228" s="62" t="n"/>
      <c r="BR228" s="62" t="n"/>
      <c r="BS228" s="62" t="n"/>
      <c r="BT228" s="62" t="n"/>
      <c r="BU228" s="12" t="n"/>
      <c r="BV228" s="62" t="n"/>
      <c r="BW228" s="62" t="n"/>
      <c r="BX228" s="62" t="n"/>
      <c r="BY228" s="62" t="n"/>
      <c r="BZ228" s="12" t="n"/>
      <c r="CA228" s="62" t="n"/>
      <c r="CB228" s="62" t="n"/>
      <c r="CC228" s="62" t="n"/>
      <c r="CD228" s="62" t="n"/>
      <c r="CE228" s="12" t="n"/>
      <c r="CF228" s="62" t="n"/>
      <c r="CG228" s="62" t="n"/>
      <c r="CH228" s="62" t="n"/>
      <c r="CI228" s="62" t="n"/>
      <c r="CJ228" s="12" t="n"/>
      <c r="CK228" s="62" t="n"/>
      <c r="CL228" s="62" t="n"/>
      <c r="CM228" s="62" t="n"/>
      <c r="CN228" s="62" t="n"/>
      <c r="CO228" s="12" t="n"/>
      <c r="CP228" s="62" t="n"/>
      <c r="CQ228" s="62" t="n"/>
      <c r="CR228" s="62" t="n"/>
      <c r="CS228" s="62" t="n"/>
      <c r="CT228" s="12" t="n"/>
      <c r="CU228" s="62" t="n"/>
      <c r="CV228" s="62" t="n"/>
      <c r="CW228" s="62" t="n"/>
      <c r="CX228" s="62" t="n"/>
      <c r="CY228" s="12" t="n"/>
    </row>
    <row r="229" hidden="1" outlineLevel="1">
      <c r="C229" s="57" t="inlineStr">
        <is>
          <t>Long term debt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>
        <f>AH223</f>
        <v>0</v>
      </c>
      <c r="AI229" s="12">
        <f>AI223</f>
        <v>0</v>
      </c>
      <c r="AJ229" s="12">
        <f>AI229+SUM(AJ227:AJ228)</f>
        <v>0</v>
      </c>
      <c r="AK229" s="12">
        <f>AJ229+SUM(AK227:AK228)</f>
        <v>0</v>
      </c>
      <c r="AL229" s="12" t="n"/>
      <c r="AM229" s="12">
        <f>AK229+SUM(AM227:AM228)</f>
        <v>0</v>
      </c>
      <c r="AN229" s="12">
        <f>AM229+SUM(AN227:AN228)</f>
        <v>0</v>
      </c>
      <c r="AO229" s="12">
        <f>AN229+SUM(AO227:AO228)</f>
        <v>0</v>
      </c>
      <c r="AP229" s="12">
        <f>AO229+SUM(AP227:AP228)</f>
        <v>0</v>
      </c>
      <c r="AQ229" s="12" t="n"/>
      <c r="AR229" s="12">
        <f>AP229+SUM(AR227:AR228)</f>
        <v>0</v>
      </c>
      <c r="AS229" s="12">
        <f>AR229+SUM(AS227:AS228)</f>
        <v>0</v>
      </c>
      <c r="AT229" s="12">
        <f>AS229+SUM(AT227:AT228)</f>
        <v>0</v>
      </c>
      <c r="AU229" s="12">
        <f>AT229+SUM(AU227:AU228)</f>
        <v>0</v>
      </c>
      <c r="AV229" s="12" t="n"/>
      <c r="AW229" s="12">
        <f>AU229+SUM(AW227:AW228)</f>
        <v>0</v>
      </c>
      <c r="AX229" s="12">
        <f>AW229+SUM(AX227:AX228)</f>
        <v>0</v>
      </c>
      <c r="AY229" s="12">
        <f>AX229+SUM(AY227:AY228)</f>
        <v>0</v>
      </c>
      <c r="AZ229" s="12">
        <f>AY229+SUM(AZ227:AZ228)</f>
        <v>0</v>
      </c>
      <c r="BA229" s="12" t="n"/>
      <c r="BB229" s="12">
        <f>AZ229+SUM(BB227:BB228)</f>
        <v>0</v>
      </c>
      <c r="BC229" s="12">
        <f>BB229+SUM(BC227:BC228)</f>
        <v>0</v>
      </c>
      <c r="BD229" s="12">
        <f>BC229+SUM(BD227:BD228)</f>
        <v>0</v>
      </c>
      <c r="BE229" s="12">
        <f>BD229+SUM(BE227:BE228)</f>
        <v>0</v>
      </c>
      <c r="BF229" s="12" t="n"/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hidden="1" outlineLevel="1">
      <c r="C230" s="57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Discretionary (paydown)/borrowing of convertible debt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62" t="n"/>
      <c r="AI231" s="62" t="n"/>
      <c r="AJ231" s="62" t="n"/>
      <c r="AK231" s="62" t="n"/>
      <c r="AL231" s="12" t="n"/>
      <c r="AM231" s="62" t="n"/>
      <c r="AN231" s="62" t="n"/>
      <c r="AO231" s="62" t="n"/>
      <c r="AP231" s="62" t="n"/>
      <c r="AQ231" s="12" t="n"/>
      <c r="AR231" s="62" t="n"/>
      <c r="AS231" s="62" t="n"/>
      <c r="AT231" s="62" t="n"/>
      <c r="AU231" s="62" t="n"/>
      <c r="AV231" s="12" t="n"/>
      <c r="AW231" s="62" t="n"/>
      <c r="AX231" s="62" t="n"/>
      <c r="AY231" s="62" t="n"/>
      <c r="AZ231" s="62" t="n"/>
      <c r="BA231" s="12" t="n"/>
      <c r="BB231" s="62" t="n"/>
      <c r="BC231" s="62" t="n"/>
      <c r="BD231" s="62" t="n"/>
      <c r="BE231" s="62" t="n"/>
      <c r="BF231" s="12" t="n"/>
      <c r="BG231" s="62" t="n"/>
      <c r="BH231" s="62" t="n"/>
      <c r="BI231" s="62" t="n"/>
      <c r="BJ231" s="62" t="n"/>
      <c r="BK231" s="12" t="n"/>
      <c r="BL231" s="62" t="n"/>
      <c r="BM231" s="62" t="n"/>
      <c r="BN231" s="62" t="n"/>
      <c r="BO231" s="62" t="n"/>
      <c r="BP231" s="12" t="n"/>
      <c r="BQ231" s="62" t="n"/>
      <c r="BR231" s="62" t="n"/>
      <c r="BS231" s="62" t="n"/>
      <c r="BT231" s="62" t="n"/>
      <c r="BU231" s="12" t="n"/>
      <c r="BV231" s="62" t="n"/>
      <c r="BW231" s="62" t="n"/>
      <c r="BX231" s="62" t="n"/>
      <c r="BY231" s="62" t="n"/>
      <c r="BZ231" s="12" t="n"/>
      <c r="CA231" s="62" t="n"/>
      <c r="CB231" s="62" t="n"/>
      <c r="CC231" s="62" t="n"/>
      <c r="CD231" s="62" t="n"/>
      <c r="CE231" s="12" t="n"/>
      <c r="CF231" s="62" t="n"/>
      <c r="CG231" s="62" t="n"/>
      <c r="CH231" s="62" t="n"/>
      <c r="CI231" s="62" t="n"/>
      <c r="CJ231" s="12" t="n"/>
      <c r="CK231" s="62" t="n"/>
      <c r="CL231" s="62" t="n"/>
      <c r="CM231" s="62" t="n"/>
      <c r="CN231" s="62" t="n"/>
      <c r="CO231" s="12" t="n"/>
      <c r="CP231" s="62" t="n"/>
      <c r="CQ231" s="62" t="n"/>
      <c r="CR231" s="62" t="n"/>
      <c r="CS231" s="62" t="n"/>
      <c r="CT231" s="12" t="n"/>
      <c r="CU231" s="62" t="n"/>
      <c r="CV231" s="62" t="n"/>
      <c r="CW231" s="62" t="n"/>
      <c r="CX231" s="62" t="n"/>
      <c r="CY231" s="12" t="n"/>
    </row>
    <row r="232" hidden="1" outlineLevel="1">
      <c r="C232" s="57" t="inlineStr">
        <is>
          <t>Convertible debt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>
        <f>AH244</f>
        <v>0</v>
      </c>
      <c r="AI232" s="12">
        <f>AH232+SUM(AI231)</f>
        <v>0</v>
      </c>
      <c r="AJ232" s="12">
        <f>AI232+SUM(AJ231)</f>
        <v>0</v>
      </c>
      <c r="AK232" s="12">
        <f>AJ232+SUM(AK231)</f>
        <v>0</v>
      </c>
      <c r="AL232" s="12" t="n"/>
      <c r="AM232" s="12">
        <f>AM244</f>
        <v>0</v>
      </c>
      <c r="AN232" s="12">
        <f>AM232+SUM(AN231)</f>
        <v>0</v>
      </c>
      <c r="AO232" s="12">
        <f>AN232+SUM(AO231)</f>
        <v>0</v>
      </c>
      <c r="AP232" s="12">
        <f>AO232+SUM(AP231)</f>
        <v>0</v>
      </c>
      <c r="AQ232" s="12" t="n"/>
      <c r="AR232" s="12">
        <f>AR244</f>
        <v>0</v>
      </c>
      <c r="AS232" s="12">
        <f>AR232+SUM(AS231)</f>
        <v>0</v>
      </c>
      <c r="AT232" s="12">
        <f>AS232+SUM(AT231)</f>
        <v>0</v>
      </c>
      <c r="AU232" s="12">
        <f>AT232+SUM(AU231)</f>
        <v>0</v>
      </c>
      <c r="AV232" s="12" t="n"/>
      <c r="AW232" s="12">
        <f>AW244</f>
        <v>0</v>
      </c>
      <c r="AX232" s="12">
        <f>AW232+SUM(AX231)</f>
        <v>0</v>
      </c>
      <c r="AY232" s="12">
        <f>AX232+SUM(AY231)</f>
        <v>0</v>
      </c>
      <c r="AZ232" s="12">
        <f>AY232+SUM(AZ231)</f>
        <v>0</v>
      </c>
      <c r="BA232" s="12" t="n"/>
      <c r="BB232" s="12">
        <f>BB244</f>
        <v>0</v>
      </c>
      <c r="BC232" s="12">
        <f>BB232+SUM(BC231)</f>
        <v>0</v>
      </c>
      <c r="BD232" s="12">
        <f>BC232+SUM(BD231)</f>
        <v>0</v>
      </c>
      <c r="BE232" s="12">
        <f>BD232+SUM(BE231)</f>
        <v>0</v>
      </c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I233" s="12" t="n"/>
      <c r="AJ233" s="12" t="n"/>
      <c r="AK233" s="12" t="n"/>
      <c r="AL233" s="12" t="n"/>
      <c r="AN233" s="12" t="n"/>
      <c r="AO233" s="12" t="n"/>
      <c r="AP233" s="12" t="n"/>
      <c r="AQ233" s="12" t="n"/>
      <c r="AS233" s="12" t="n"/>
      <c r="AT233" s="12" t="n"/>
      <c r="AU233" s="12" t="n"/>
      <c r="AV233" s="12" t="n"/>
      <c r="AX233" s="12" t="n"/>
      <c r="AY233" s="12" t="n"/>
      <c r="AZ233" s="12" t="n"/>
      <c r="BA233" s="12" t="n"/>
      <c r="BC233" s="12" t="n"/>
      <c r="BD233" s="12" t="n"/>
      <c r="BE233" s="12" t="n"/>
      <c r="BF233" s="12" t="n"/>
      <c r="BH233" s="12" t="n"/>
      <c r="BI233" s="12" t="n"/>
      <c r="BJ233" s="12" t="n"/>
      <c r="BK233" s="12" t="n"/>
      <c r="BM233" s="12" t="n"/>
      <c r="BN233" s="12" t="n"/>
      <c r="BO233" s="12" t="n"/>
      <c r="BP233" s="12" t="n"/>
      <c r="BR233" s="12" t="n"/>
      <c r="BS233" s="12" t="n"/>
      <c r="BT233" s="12" t="n"/>
      <c r="BU233" s="12" t="n"/>
      <c r="BW233" s="12" t="n"/>
      <c r="BX233" s="12" t="n"/>
      <c r="BY233" s="12" t="n"/>
      <c r="BZ233" s="12" t="n"/>
      <c r="CB233" s="12" t="n"/>
      <c r="CC233" s="12" t="n"/>
      <c r="CD233" s="12" t="n"/>
      <c r="CE233" s="12" t="n"/>
      <c r="CG233" s="12" t="n"/>
      <c r="CH233" s="12" t="n"/>
      <c r="CI233" s="12" t="n"/>
      <c r="CJ233" s="12" t="n"/>
      <c r="CL233" s="12" t="n"/>
      <c r="CM233" s="12" t="n"/>
      <c r="CN233" s="12" t="n"/>
      <c r="CO233" s="12" t="n"/>
      <c r="CQ233" s="12" t="n"/>
      <c r="CR233" s="12" t="n"/>
      <c r="CS233" s="12" t="n"/>
      <c r="CT233" s="12" t="n"/>
      <c r="CV233" s="12" t="n"/>
      <c r="CW233" s="12" t="n"/>
      <c r="CX233" s="12" t="n"/>
      <c r="CY233" s="12" t="n"/>
    </row>
    <row r="234" hidden="1" outlineLevel="1">
      <c r="C234" s="57" t="inlineStr">
        <is>
          <t>Calculation of short term debt</t>
        </is>
      </c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hidden="1" outlineLevel="1">
      <c r="C235" s="57" t="inlineStr">
        <is>
          <t>Cash @ beginning of the period (end of last period)</t>
        </is>
      </c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63">
        <f>AG150</f>
        <v>19766</v>
      </c>
      <c r="AI235" s="12" t="n"/>
      <c r="AJ235" s="12" t="n"/>
      <c r="AK235" s="12" t="n"/>
      <c r="AL235" s="12" t="n"/>
      <c r="AM235" s="63">
        <f>AL150</f>
        <v>13533.6047255794</v>
      </c>
      <c r="AN235" s="12" t="n"/>
      <c r="AO235" s="12" t="n"/>
      <c r="AP235" s="12" t="n"/>
      <c r="AQ235" s="12" t="n"/>
      <c r="AR235" s="63">
        <f>AQ150</f>
        <v>-22576.0147396838</v>
      </c>
      <c r="AS235" s="12" t="n"/>
      <c r="AT235" s="12" t="n"/>
      <c r="AU235" s="12" t="n"/>
      <c r="AV235" s="12" t="n"/>
      <c r="AW235" s="63">
        <f>AV150</f>
        <v>-62651.326564297</v>
      </c>
      <c r="AX235" s="12" t="n"/>
      <c r="AY235" s="12" t="n"/>
      <c r="AZ235" s="12" t="n"/>
      <c r="BA235" s="12" t="n"/>
      <c r="BB235" s="63">
        <f>BA150</f>
        <v>-106460.667606106</v>
      </c>
      <c r="BC235" s="12" t="n"/>
      <c r="BD235" s="12" t="n"/>
      <c r="BE235" s="12" t="n"/>
      <c r="BF235" s="12" t="n"/>
      <c r="BG235" s="63" t="n"/>
      <c r="BH235" s="12" t="n"/>
      <c r="BI235" s="12" t="n"/>
      <c r="BJ235" s="12" t="n"/>
      <c r="BK235" s="12" t="n"/>
      <c r="BL235" s="63" t="n"/>
      <c r="BM235" s="12" t="n"/>
      <c r="BN235" s="12" t="n"/>
      <c r="BO235" s="12" t="n"/>
      <c r="BP235" s="12" t="n"/>
      <c r="BQ235" s="63" t="n"/>
      <c r="BR235" s="12" t="n"/>
      <c r="BS235" s="12" t="n"/>
      <c r="BT235" s="12" t="n"/>
      <c r="BU235" s="12" t="n"/>
      <c r="BV235" s="63" t="n"/>
      <c r="BW235" s="12" t="n"/>
      <c r="BX235" s="12" t="n"/>
      <c r="BY235" s="12" t="n"/>
      <c r="BZ235" s="12" t="n"/>
      <c r="CA235" s="63" t="n"/>
      <c r="CB235" s="12" t="n"/>
      <c r="CC235" s="12" t="n"/>
      <c r="CD235" s="12" t="n"/>
      <c r="CE235" s="12" t="n"/>
      <c r="CF235" s="63" t="n"/>
      <c r="CG235" s="12" t="n"/>
      <c r="CH235" s="12" t="n"/>
      <c r="CI235" s="12" t="n"/>
      <c r="CJ235" s="12" t="n"/>
      <c r="CK235" s="63" t="n"/>
      <c r="CL235" s="12" t="n"/>
      <c r="CM235" s="12" t="n"/>
      <c r="CN235" s="12" t="n"/>
      <c r="CO235" s="12" t="n"/>
      <c r="CP235" s="63" t="n"/>
      <c r="CQ235" s="12" t="n"/>
      <c r="CR235" s="12" t="n"/>
      <c r="CS235" s="12" t="n"/>
      <c r="CT235" s="12" t="n"/>
      <c r="CU235" s="63" t="n"/>
      <c r="CV235" s="12" t="n"/>
      <c r="CW235" s="12" t="n"/>
      <c r="CX235" s="12" t="n"/>
      <c r="CY235" s="12" t="n"/>
    </row>
    <row r="236" hidden="1" outlineLevel="1">
      <c r="C236" s="57" t="inlineStr">
        <is>
          <t>Plus: Free cash flows prior to debt during period</t>
        </is>
      </c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inlineStr">
        <is>
          <t>% of sales</t>
        </is>
      </c>
      <c r="AH236" s="64">
        <f>(AH298+AH305)+SUM(AH308:AH314)</f>
        <v>27163</v>
      </c>
      <c r="AI236" s="64">
        <f>(AI298+AI305)+SUM(AI308:AI314)</f>
        <v>20783</v>
      </c>
      <c r="AJ236" s="64">
        <f>(AJ298+AJ305)+SUM(AJ308:AJ314)</f>
        <v>0</v>
      </c>
      <c r="AK236" s="64">
        <f>(AK298+AK305)+SUM(AK308:AK314)</f>
        <v>0</v>
      </c>
      <c r="AL236" s="12" t="n"/>
      <c r="AM236" s="64">
        <f>(AM298+AM305)+SUM(AM308:AM314)</f>
        <v>0</v>
      </c>
      <c r="AN236" s="64">
        <f>(AN298+AN305)+SUM(AN308:AN314)</f>
        <v>0</v>
      </c>
      <c r="AO236" s="64">
        <f>(AO298+AO305)+SUM(AO308:AO314)</f>
        <v>0</v>
      </c>
      <c r="AP236" s="64">
        <f>(AP298+AP305)+SUM(AP308:AP314)</f>
        <v>0</v>
      </c>
      <c r="AQ236" s="12" t="n"/>
      <c r="AR236" s="64">
        <f>(AR298+AR305)+SUM(AR308:AR314)</f>
        <v>0</v>
      </c>
      <c r="AS236" s="64">
        <f>(AS298+AS305)+SUM(AS308:AS314)</f>
        <v>0</v>
      </c>
      <c r="AT236" s="64">
        <f>(AT298+AT305)+SUM(AT308:AT314)</f>
        <v>0</v>
      </c>
      <c r="AU236" s="64">
        <f>(AU298+AU305)+SUM(AU308:AU314)</f>
        <v>0</v>
      </c>
      <c r="AV236" s="12" t="n"/>
      <c r="AW236" s="64">
        <f>(AW298+AW305)+SUM(AW308:AW314)</f>
        <v>0</v>
      </c>
      <c r="AX236" s="64">
        <f>(AX298+AX305)+SUM(AX308:AX314)</f>
        <v>0</v>
      </c>
      <c r="AY236" s="64">
        <f>(AY298+AY305)+SUM(AY308:AY314)</f>
        <v>0</v>
      </c>
      <c r="AZ236" s="64">
        <f>(AZ298+AZ305)+SUM(AZ308:AZ314)</f>
        <v>0</v>
      </c>
      <c r="BA236" s="12" t="n"/>
      <c r="BB236" s="64">
        <f>(BB298+BB305)+SUM(BB308:BB314)</f>
        <v>0</v>
      </c>
      <c r="BC236" s="64">
        <f>(BC298+BC305)+SUM(BC308:BC314)</f>
        <v>0</v>
      </c>
      <c r="BD236" s="64">
        <f>(BD298+BD305)+SUM(BD308:BD314)</f>
        <v>0</v>
      </c>
      <c r="BE236" s="64">
        <f>(BE298+BE305)+SUM(BE308:BE314)</f>
        <v>0</v>
      </c>
      <c r="BF236" s="12" t="n"/>
      <c r="BG236" s="64" t="n"/>
      <c r="BH236" s="64" t="n"/>
      <c r="BI236" s="64" t="n"/>
      <c r="BJ236" s="64" t="n"/>
      <c r="BK236" s="12" t="n"/>
      <c r="BL236" s="64" t="n"/>
      <c r="BM236" s="64" t="n"/>
      <c r="BN236" s="64" t="n"/>
      <c r="BO236" s="64" t="n"/>
      <c r="BP236" s="12" t="n"/>
      <c r="BQ236" s="64" t="n"/>
      <c r="BR236" s="64" t="n"/>
      <c r="BS236" s="64" t="n"/>
      <c r="BT236" s="64" t="n"/>
      <c r="BU236" s="12" t="n"/>
      <c r="BV236" s="64" t="n"/>
      <c r="BW236" s="64" t="n"/>
      <c r="BX236" s="64" t="n"/>
      <c r="BY236" s="64" t="n"/>
      <c r="BZ236" s="12" t="n"/>
      <c r="CA236" s="64" t="n"/>
      <c r="CB236" s="64" t="n"/>
      <c r="CC236" s="64" t="n"/>
      <c r="CD236" s="64" t="n"/>
      <c r="CE236" s="12" t="n"/>
      <c r="CF236" s="64" t="n"/>
      <c r="CG236" s="64" t="n"/>
      <c r="CH236" s="64" t="n"/>
      <c r="CI236" s="64" t="n"/>
      <c r="CJ236" s="12" t="n"/>
      <c r="CK236" s="64" t="n"/>
      <c r="CL236" s="64" t="n"/>
      <c r="CM236" s="64" t="n"/>
      <c r="CN236" s="64" t="n"/>
      <c r="CO236" s="12" t="n"/>
      <c r="CP236" s="64" t="n"/>
      <c r="CQ236" s="64" t="n"/>
      <c r="CR236" s="64" t="n"/>
      <c r="CS236" s="64" t="n"/>
      <c r="CT236" s="12" t="n"/>
      <c r="CU236" s="64" t="n"/>
      <c r="CV236" s="64" t="n"/>
      <c r="CW236" s="64" t="n"/>
      <c r="CX236" s="64" t="n"/>
      <c r="CY236" s="12" t="n"/>
    </row>
    <row r="237" hidden="1" outlineLevel="1">
      <c r="C237" s="57" t="inlineStr">
        <is>
          <t>Less: Minimum cash balance</t>
        </is>
      </c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52" t="n"/>
      <c r="AH237" s="12">
        <f>($AG$237*AH15)</f>
        <v>0</v>
      </c>
      <c r="AI237" s="12">
        <f>($AG$237*AI15)</f>
        <v>0</v>
      </c>
      <c r="AJ237" s="12">
        <f>($AG$237*AJ15)</f>
        <v>0</v>
      </c>
      <c r="AK237" s="12">
        <f>($AG$237*AK15)</f>
        <v>0</v>
      </c>
      <c r="AL237" s="12" t="n"/>
      <c r="AM237" s="12">
        <f>($AG$237*AM15)</f>
        <v>0</v>
      </c>
      <c r="AN237" s="12">
        <f>($AG$237*AN15)</f>
        <v>0</v>
      </c>
      <c r="AO237" s="12">
        <f>($AG$237*AO15)</f>
        <v>0</v>
      </c>
      <c r="AP237" s="12">
        <f>($AG$237*AP15)</f>
        <v>0</v>
      </c>
      <c r="AQ237" s="12" t="n"/>
      <c r="AR237" s="12">
        <f>($AG$237*AR15)</f>
        <v>0</v>
      </c>
      <c r="AS237" s="12">
        <f>($AG$237*AS15)</f>
        <v>0</v>
      </c>
      <c r="AT237" s="12">
        <f>($AG$237*AT15)</f>
        <v>0</v>
      </c>
      <c r="AU237" s="12">
        <f>($AG$237*AU15)</f>
        <v>0</v>
      </c>
      <c r="AV237" s="12" t="n"/>
      <c r="AW237" s="12">
        <f>($AG$237*AW15)</f>
        <v>0</v>
      </c>
      <c r="AX237" s="12">
        <f>($AG$237*AX15)</f>
        <v>0</v>
      </c>
      <c r="AY237" s="12">
        <f>($AG$237*AY15)</f>
        <v>0</v>
      </c>
      <c r="AZ237" s="12">
        <f>($AG$237*AZ15)</f>
        <v>0</v>
      </c>
      <c r="BA237" s="12" t="n"/>
      <c r="BB237" s="12">
        <f>($AG$237*BB15)</f>
        <v>0</v>
      </c>
      <c r="BC237" s="12">
        <f>($AG$237*BC15)</f>
        <v>0</v>
      </c>
      <c r="BD237" s="12">
        <f>($AG$237*BD15)</f>
        <v>0</v>
      </c>
      <c r="BE237" s="12">
        <f>($AG$237*BE15)</f>
        <v>0</v>
      </c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hidden="1" outlineLevel="1">
      <c r="C238" s="57" t="inlineStr">
        <is>
          <t>Total cash available / (debt required) for short term debt paydown</t>
        </is>
      </c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3">
        <f>AH235+AH236-AH237-AF225+AH227+AH231</f>
        <v>46929</v>
      </c>
      <c r="AI238" s="3">
        <f>AI235+AI236-AI237-AG225+AI227+AI231</f>
        <v>20783</v>
      </c>
      <c r="AJ238" s="3">
        <f>AJ235+AJ236-AJ237-AH225+AJ227+AJ231</f>
        <v>0</v>
      </c>
      <c r="AK238" s="3">
        <f>AK235+AK236-AK237-AI225+AK227+AK231</f>
        <v>0</v>
      </c>
      <c r="AL238" s="12" t="n"/>
      <c r="AM238" s="3">
        <f>AM235+AM236-AM237-AK225+AM227+AM231</f>
        <v>13533.6047255794</v>
      </c>
      <c r="AN238" s="3">
        <f>AN235+AN236-AN237-AL225+AN227+AN231</f>
        <v>0</v>
      </c>
      <c r="AO238" s="3">
        <f>AO235+AO236-AO237-AM225+AO227+AO231</f>
        <v>0</v>
      </c>
      <c r="AP238" s="3">
        <f>AP235+AP236-AP237-AN225+AP227+AP231</f>
        <v>0</v>
      </c>
      <c r="AQ238" s="12" t="n"/>
      <c r="AR238" s="3">
        <f>AR235+AR236-AR237-AP225+AR227+AR231</f>
        <v>-22576.0147396838</v>
      </c>
      <c r="AS238" s="3">
        <f>AS235+AS236-AS237-AQ225+AS227+AS231</f>
        <v>0</v>
      </c>
      <c r="AT238" s="3">
        <f>AT235+AT236-AT237-AR225+AT227+AT231</f>
        <v>0</v>
      </c>
      <c r="AU238" s="3">
        <f>AU235+AU236-AU237-AS225+AU227+AU231</f>
        <v>0</v>
      </c>
      <c r="AV238" s="12" t="n"/>
      <c r="AW238" s="3">
        <f>AW235+AW236-AW237-AU225+AW227+AW231</f>
        <v>-62651.326564297</v>
      </c>
      <c r="AX238" s="3">
        <f>AX235+AX236-AX237-AV225+AX227+AX231</f>
        <v>0</v>
      </c>
      <c r="AY238" s="3">
        <f>AY235+AY236-AY237-AW225+AY227+AY231</f>
        <v>0</v>
      </c>
      <c r="AZ238" s="3">
        <f>AZ235+AZ236-AZ237-AX225+AZ227+AZ231</f>
        <v>0</v>
      </c>
      <c r="BA238" s="12" t="n"/>
      <c r="BB238" s="3">
        <f>BB235+BB236-BB237-AZ225+BB227+BB231</f>
        <v>-106460.667606106</v>
      </c>
      <c r="BC238" s="3">
        <f>BC235+BC236-BC237-BA225+BC227+BC231</f>
        <v>0</v>
      </c>
      <c r="BD238" s="3">
        <f>BD235+BD236-BD237-BB225+BD227+BD231</f>
        <v>0</v>
      </c>
      <c r="BE238" s="3">
        <f>BE235+BE236-BE237-BC225+BE227+BE231</f>
        <v>0</v>
      </c>
      <c r="BF238" s="12" t="n"/>
      <c r="BG238" s="3" t="n"/>
      <c r="BH238" s="3" t="n"/>
      <c r="BI238" s="3" t="n"/>
      <c r="BJ238" s="3" t="n"/>
      <c r="BK238" s="12" t="n"/>
      <c r="BL238" s="3" t="n"/>
      <c r="BM238" s="3" t="n"/>
      <c r="BN238" s="3" t="n"/>
      <c r="BO238" s="3" t="n"/>
      <c r="BP238" s="12" t="n"/>
      <c r="BQ238" s="3" t="n"/>
      <c r="BR238" s="3" t="n"/>
      <c r="BS238" s="3" t="n"/>
      <c r="BT238" s="3" t="n"/>
      <c r="BU238" s="12" t="n"/>
      <c r="BV238" s="3" t="n"/>
      <c r="BW238" s="3" t="n"/>
      <c r="BX238" s="3" t="n"/>
      <c r="BY238" s="3" t="n"/>
      <c r="BZ238" s="12" t="n"/>
      <c r="CA238" s="3" t="n"/>
      <c r="CB238" s="3" t="n"/>
      <c r="CC238" s="3" t="n"/>
      <c r="CD238" s="3" t="n"/>
      <c r="CE238" s="12" t="n"/>
      <c r="CF238" s="3" t="n"/>
      <c r="CG238" s="3" t="n"/>
      <c r="CH238" s="3" t="n"/>
      <c r="CI238" s="3" t="n"/>
      <c r="CJ238" s="12" t="n"/>
      <c r="CK238" s="3" t="n"/>
      <c r="CL238" s="3" t="n"/>
      <c r="CM238" s="3" t="n"/>
      <c r="CN238" s="3" t="n"/>
      <c r="CO238" s="12" t="n"/>
      <c r="CP238" s="3" t="n"/>
      <c r="CQ238" s="3" t="n"/>
      <c r="CR238" s="3" t="n"/>
      <c r="CS238" s="3" t="n"/>
      <c r="CT238" s="12" t="n"/>
      <c r="CU238" s="3" t="n"/>
      <c r="CV238" s="3" t="n"/>
      <c r="CW238" s="3" t="n"/>
      <c r="CX238" s="3" t="n"/>
      <c r="CY238" s="12" t="n"/>
    </row>
    <row r="239" hidden="1" outlineLevel="1">
      <c r="C239" s="57" t="inlineStr">
        <is>
          <t>Short term debt</t>
        </is>
      </c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>
        <f>AH219</f>
        <v>0</v>
      </c>
      <c r="AI239" s="12">
        <f>MAX(0,AH239-AI238)</f>
        <v>0</v>
      </c>
      <c r="AJ239" s="12">
        <f>MAX(0,AI239-AJ238)</f>
        <v>0</v>
      </c>
      <c r="AK239" s="12">
        <f>MAX(0,AJ239-AK238)</f>
        <v>0</v>
      </c>
      <c r="AL239" s="12" t="n"/>
      <c r="AM239" s="12">
        <f>AM219</f>
        <v>0</v>
      </c>
      <c r="AN239" s="12">
        <f>MAX(0,AM239-AN238)</f>
        <v>0</v>
      </c>
      <c r="AO239" s="12">
        <f>MAX(0,AN239-AO238)</f>
        <v>0</v>
      </c>
      <c r="AP239" s="12">
        <f>MAX(0,AO239-AP238)</f>
        <v>0</v>
      </c>
      <c r="AQ239" s="12" t="n"/>
      <c r="AR239" s="12">
        <f>AR219</f>
        <v>0</v>
      </c>
      <c r="AS239" s="12">
        <f>MAX(0,AR239-AS238)</f>
        <v>0</v>
      </c>
      <c r="AT239" s="12">
        <f>MAX(0,AS239-AT238)</f>
        <v>0</v>
      </c>
      <c r="AU239" s="12">
        <f>MAX(0,AT239-AU238)</f>
        <v>0</v>
      </c>
      <c r="AV239" s="12" t="n"/>
      <c r="AW239" s="12">
        <f>AW219</f>
        <v>0</v>
      </c>
      <c r="AX239" s="12">
        <f>MAX(0,AW239-AX238)</f>
        <v>0</v>
      </c>
      <c r="AY239" s="12">
        <f>MAX(0,AX239-AY238)</f>
        <v>0</v>
      </c>
      <c r="AZ239" s="12">
        <f>MAX(0,AY239-AZ238)</f>
        <v>0</v>
      </c>
      <c r="BA239" s="12" t="n"/>
      <c r="BB239" s="12">
        <f>BB219</f>
        <v>0</v>
      </c>
      <c r="BC239" s="12">
        <f>MAX(0,BB239-BC238)</f>
        <v>0</v>
      </c>
      <c r="BD239" s="12">
        <f>MAX(0,BC239-BD238)</f>
        <v>0</v>
      </c>
      <c r="BE239" s="12">
        <f>MAX(0,BD239-BE238)</f>
        <v>0</v>
      </c>
      <c r="BF239" s="12" t="n"/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 hidden="1" outlineLevel="1">
      <c r="C240" s="57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collapsed="1">
      <c r="C241" s="14" t="inlineStr">
        <is>
          <t>Long term operating leases</t>
        </is>
      </c>
      <c r="D241" s="46" t="n"/>
      <c r="E241" s="46" t="n"/>
      <c r="F241" s="46" t="n"/>
      <c r="G241" s="46" t="n"/>
      <c r="H241" s="12" t="n"/>
      <c r="I241" s="46">
        <f>'Inputs (2)'!D36</f>
        <v>0</v>
      </c>
      <c r="J241" s="46">
        <f>'Inputs (2)'!E36</f>
        <v>0</v>
      </c>
      <c r="K241" s="46">
        <f>'Inputs (2)'!F36</f>
        <v>0</v>
      </c>
      <c r="L241" s="46">
        <f>'Inputs (2)'!G36</f>
        <v>0</v>
      </c>
      <c r="M241" s="12">
        <f>'Inputs (2)'!H36</f>
        <v>0</v>
      </c>
      <c r="N241" s="46">
        <f>'Inputs (2)'!I36</f>
        <v>0</v>
      </c>
      <c r="O241" s="46">
        <f>'Inputs (2)'!J36</f>
        <v>0</v>
      </c>
      <c r="P241" s="46">
        <f>'Inputs (2)'!K36</f>
        <v>0</v>
      </c>
      <c r="Q241" s="46">
        <f>'Inputs (2)'!L36</f>
        <v>0</v>
      </c>
      <c r="R241" s="12">
        <f>'Inputs (2)'!M36</f>
        <v>0</v>
      </c>
      <c r="S241" s="46">
        <f>'Inputs (2)'!N36</f>
        <v>0</v>
      </c>
      <c r="T241" s="46">
        <f>'Inputs (2)'!O36</f>
        <v>0</v>
      </c>
      <c r="U241" s="46">
        <f>'Inputs (2)'!P36</f>
        <v>0</v>
      </c>
      <c r="V241" s="46">
        <f>'Inputs (2)'!Q36</f>
        <v>0</v>
      </c>
      <c r="W241" s="12">
        <f>'Inputs (2)'!R36</f>
        <v>0</v>
      </c>
      <c r="X241" s="46">
        <f>'Inputs (2)'!S36</f>
        <v>0</v>
      </c>
      <c r="Y241" s="46">
        <f>'Inputs (2)'!T36</f>
        <v>0</v>
      </c>
      <c r="Z241" s="46">
        <f>'Inputs (2)'!U36</f>
        <v>0</v>
      </c>
      <c r="AA241" s="46">
        <f>'Inputs (2)'!V36</f>
        <v>0</v>
      </c>
      <c r="AB241" s="12">
        <f>'Inputs (2)'!W36</f>
        <v>0</v>
      </c>
      <c r="AC241" s="46">
        <f>'Inputs (2)'!X36</f>
        <v>0</v>
      </c>
      <c r="AD241" s="46">
        <f>'Inputs (2)'!Y36</f>
        <v>11536</v>
      </c>
      <c r="AE241" s="46">
        <f>'Inputs (2)'!Z36</f>
        <v>14094</v>
      </c>
      <c r="AF241" s="46">
        <f>'Inputs (2)'!AA36</f>
        <v>16311</v>
      </c>
      <c r="AG241" s="12">
        <f>'Inputs (2)'!AB36</f>
        <v>16311</v>
      </c>
      <c r="AH241" s="12">
        <f>'Inputs (2)'!AC36</f>
        <v>18512</v>
      </c>
      <c r="AI241" s="12">
        <f>'Inputs (2)'!AD36</f>
        <v>26648</v>
      </c>
      <c r="AJ241" s="12">
        <f>AI241</f>
        <v>26648</v>
      </c>
      <c r="AK241" s="12">
        <f>AJ241</f>
        <v>26648</v>
      </c>
      <c r="AL241" s="12">
        <f>AK241</f>
        <v>26648</v>
      </c>
      <c r="AM241" s="12">
        <f>AL241</f>
        <v>26648</v>
      </c>
      <c r="AN241" s="12">
        <f>AM241</f>
        <v>26648</v>
      </c>
      <c r="AO241" s="12">
        <f>AN241</f>
        <v>26648</v>
      </c>
      <c r="AP241" s="12">
        <f>AO241</f>
        <v>26648</v>
      </c>
      <c r="AQ241" s="12">
        <f>AP241</f>
        <v>26648</v>
      </c>
      <c r="AR241" s="12">
        <f>AQ241</f>
        <v>26648</v>
      </c>
      <c r="AS241" s="12">
        <f>AR241</f>
        <v>26648</v>
      </c>
      <c r="AT241" s="12">
        <f>AS241</f>
        <v>26648</v>
      </c>
      <c r="AU241" s="12">
        <f>AT241</f>
        <v>26648</v>
      </c>
      <c r="AV241" s="12">
        <f>AU241</f>
        <v>26648</v>
      </c>
      <c r="AW241" s="12">
        <f>AV241</f>
        <v>26648</v>
      </c>
      <c r="AX241" s="12">
        <f>AW241</f>
        <v>26648</v>
      </c>
      <c r="AY241" s="12">
        <f>AX241</f>
        <v>26648</v>
      </c>
      <c r="AZ241" s="12">
        <f>AY241</f>
        <v>26648</v>
      </c>
      <c r="BA241" s="12">
        <f>AZ241</f>
        <v>26648</v>
      </c>
      <c r="BB241" s="12">
        <f>BA241</f>
        <v>26648</v>
      </c>
      <c r="BC241" s="12">
        <f>BB241</f>
        <v>26648</v>
      </c>
      <c r="BD241" s="12">
        <f>BC241</f>
        <v>26648</v>
      </c>
      <c r="BE241" s="12">
        <f>BD241</f>
        <v>26648</v>
      </c>
      <c r="BF241" s="12">
        <f>BE241</f>
        <v>26648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 hidden="1" outlineLevel="1">
      <c r="C242" s="59" t="inlineStr">
        <is>
          <t>%(Var.)</t>
        </is>
      </c>
      <c r="D242" s="12" t="n"/>
      <c r="E242" s="40" t="n"/>
      <c r="F242" s="40" t="n"/>
      <c r="G242" s="40" t="n"/>
      <c r="H242" s="12" t="n"/>
      <c r="I242" s="40" t="str">
        <f>""</f>
        <v/>
      </c>
      <c r="J242" s="40" t="str">
        <f>IFERROR(IF(I241=0,"",J241/I241-1),"")</f>
        <v/>
      </c>
      <c r="K242" s="40" t="str">
        <f>IFERROR(IF(J241=0,"",K241/J241-1),"")</f>
        <v/>
      </c>
      <c r="L242" s="40" t="str">
        <f>IFERROR(IF(K241=0,"",L241/K241-1),"")</f>
        <v/>
      </c>
      <c r="M242" s="12" t="str">
        <f>IF(L241=0,"",M241/L241-1)</f>
        <v/>
      </c>
      <c r="N242" s="40" t="str">
        <f>IFERROR(IF(M241=0,"",N241/M241-1),"")</f>
        <v/>
      </c>
      <c r="O242" s="40" t="str">
        <f>IFERROR(IF(N241=0,"",O241/N241-1),"")</f>
        <v/>
      </c>
      <c r="P242" s="40" t="str">
        <f>IFERROR(IF(O241=0,"",P241/O241-1),"")</f>
        <v/>
      </c>
      <c r="Q242" s="40" t="str">
        <f>IFERROR(IF(P241=0,"",Q241/P241-1),"")</f>
        <v/>
      </c>
      <c r="R242" s="12" t="str">
        <f>IF(Q241=0,"",R241/Q241-1)</f>
        <v/>
      </c>
      <c r="S242" s="40" t="str">
        <f>IFERROR(IF(R241=0,"",S241/R241-1),"")</f>
        <v/>
      </c>
      <c r="T242" s="40" t="str">
        <f>IFERROR(IF(S241=0,"",T241/S241-1),"")</f>
        <v/>
      </c>
      <c r="U242" s="40" t="str">
        <f>IFERROR(IF(T241=0,"",U241/T241-1),"")</f>
        <v/>
      </c>
      <c r="V242" s="40" t="str">
        <f>IFERROR(IF(U241=0,"",V241/U241-1),"")</f>
        <v/>
      </c>
      <c r="W242" s="12" t="str">
        <f>IF(V241=0,"",W241/V241-1)</f>
        <v/>
      </c>
      <c r="X242" s="40" t="str">
        <f>IFERROR(IF(W241=0,"",X241/W241-1),"")</f>
        <v/>
      </c>
      <c r="Y242" s="40" t="str">
        <f>IFERROR(IF(X241=0,"",Y241/X241-1),"")</f>
        <v/>
      </c>
      <c r="Z242" s="40" t="str">
        <f>IFERROR(IF(Y241=0,"",Z241/Y241-1),"")</f>
        <v/>
      </c>
      <c r="AA242" s="40" t="str">
        <f>IFERROR(IF(Z241=0,"",AA241/Z241-1),"")</f>
        <v/>
      </c>
      <c r="AB242" s="12" t="str">
        <f>IF(AA241=0,"",AB241/AA241-1)</f>
        <v/>
      </c>
      <c r="AC242" s="40" t="str">
        <f>IFERROR(IF(AB241=0,"",AC241/AB241-1),"")</f>
        <v/>
      </c>
      <c r="AD242" s="40" t="str">
        <f>IFERROR(IF(AC241=0,"",AD241/AC241-1),"")</f>
        <v/>
      </c>
      <c r="AE242" s="40">
        <f>IFERROR(IF(AD241=0,"",AE241/AD241-1),"")</f>
        <v>0.221740638002774</v>
      </c>
      <c r="AF242" s="41">
        <f>IFERROR(IF(AE241=0,"",AF241/AE241-1),"")</f>
        <v>0.15730097914006</v>
      </c>
      <c r="AG242" s="12">
        <f>IF(AF241=0,"",AG241/AF241-1)</f>
        <v>0</v>
      </c>
      <c r="AH242" s="11">
        <f>IFERROR(IF(AG241=0,"",AH241/AG241-1),"")</f>
        <v>0.134939611305254</v>
      </c>
      <c r="AI242" s="11">
        <f>IFERROR(IF(AH241=0,"",AI241/AH241-1),"")</f>
        <v>0.439498703543647</v>
      </c>
      <c r="AJ242" s="11">
        <f>IFERROR(IF(AI241=0,"",AJ241/AI241-1),"")</f>
        <v>0</v>
      </c>
      <c r="AK242" s="11">
        <f>IFERROR(IF(AJ241=0,"",AK241/AJ241-1),"")</f>
        <v>0</v>
      </c>
      <c r="AL242" s="12">
        <f>IFERROR(IF(AK241=0,"",AL241/AK241-1),"")</f>
        <v>0</v>
      </c>
      <c r="AM242" s="11">
        <f>IFERROR(IF(AL241=0,"",AM241/AL241-1),"")</f>
        <v>0</v>
      </c>
      <c r="AN242" s="11">
        <f>IFERROR(IF(AM241=0,"",AN241/AM241-1),"")</f>
        <v>0</v>
      </c>
      <c r="AO242" s="11">
        <f>IFERROR(IF(AN241=0,"",AO241/AN241-1),"")</f>
        <v>0</v>
      </c>
      <c r="AP242" s="11">
        <f>IFERROR(IF(AO241=0,"",AP241/AO241-1),"")</f>
        <v>0</v>
      </c>
      <c r="AQ242" s="12">
        <f>IFERROR(IF(AP241=0,"",AQ241/AP241-1),"")</f>
        <v>0</v>
      </c>
      <c r="AR242" s="11">
        <f>IFERROR(IF(AQ241=0,"",AR241/AQ241-1),"")</f>
        <v>0</v>
      </c>
      <c r="AS242" s="11">
        <f>IFERROR(IF(AR241=0,"",AS241/AR241-1),"")</f>
        <v>0</v>
      </c>
      <c r="AT242" s="11">
        <f>IFERROR(IF(AS241=0,"",AT241/AS241-1),"")</f>
        <v>0</v>
      </c>
      <c r="AU242" s="11">
        <f>IFERROR(IF(AT241=0,"",AU241/AT241-1),"")</f>
        <v>0</v>
      </c>
      <c r="AV242" s="12">
        <f>IFERROR(IF(AU241=0,"",AV241/AU241-1),"")</f>
        <v>0</v>
      </c>
      <c r="AW242" s="11">
        <f>IFERROR(IF(AV241=0,"",AW241/AV241-1),"")</f>
        <v>0</v>
      </c>
      <c r="AX242" s="11">
        <f>IFERROR(IF(AW241=0,"",AX241/AW241-1),"")</f>
        <v>0</v>
      </c>
      <c r="AY242" s="11">
        <f>IFERROR(IF(AX241=0,"",AY241/AX241-1),"")</f>
        <v>0</v>
      </c>
      <c r="AZ242" s="11">
        <f>IFERROR(IF(AY241=0,"",AZ241/AY241-1),"")</f>
        <v>0</v>
      </c>
      <c r="BA242" s="12">
        <f>IFERROR(IF(AZ241=0,"",BA241/AZ241-1),"")</f>
        <v>0</v>
      </c>
      <c r="BB242" s="11">
        <f>IFERROR(IF(BA241=0,"",BB241/BA241-1),"")</f>
        <v>0</v>
      </c>
      <c r="BC242" s="11">
        <f>IFERROR(IF(BB241=0,"",BC241/BB241-1),"")</f>
        <v>0</v>
      </c>
      <c r="BD242" s="11">
        <f>IFERROR(IF(BC241=0,"",BD241/BC241-1),"")</f>
        <v>0</v>
      </c>
      <c r="BE242" s="11">
        <f>IFERROR(IF(BD241=0,"",BE241/BD241-1),"")</f>
        <v>0</v>
      </c>
      <c r="BF242" s="12">
        <f>IFERROR(IF(BE241=0,"",BF241/BE241-1),"")</f>
        <v>0</v>
      </c>
      <c r="BG242" s="11" t="n"/>
      <c r="BH242" s="11" t="n"/>
      <c r="BI242" s="11" t="n"/>
      <c r="BJ242" s="11" t="n"/>
      <c r="BK242" s="12" t="n"/>
      <c r="BL242" s="11" t="n"/>
      <c r="BM242" s="11" t="n"/>
      <c r="BN242" s="11" t="n"/>
      <c r="BO242" s="11" t="n"/>
      <c r="BP242" s="12" t="n"/>
      <c r="BQ242" s="11" t="n"/>
      <c r="BR242" s="11" t="n"/>
      <c r="BS242" s="11" t="n"/>
      <c r="BT242" s="11" t="n"/>
      <c r="BU242" s="12" t="n"/>
      <c r="BV242" s="11" t="n"/>
      <c r="BW242" s="11" t="n"/>
      <c r="BX242" s="11" t="n"/>
      <c r="BY242" s="11" t="n"/>
      <c r="BZ242" s="12" t="n"/>
      <c r="CA242" s="11" t="n"/>
      <c r="CB242" s="11" t="n"/>
      <c r="CC242" s="11" t="n"/>
      <c r="CD242" s="11" t="n"/>
      <c r="CE242" s="12" t="n"/>
      <c r="CF242" s="11" t="n"/>
      <c r="CG242" s="11" t="n"/>
      <c r="CH242" s="11" t="n"/>
      <c r="CI242" s="11" t="n"/>
      <c r="CJ242" s="12" t="n"/>
      <c r="CK242" s="11" t="n"/>
      <c r="CL242" s="11" t="n"/>
      <c r="CM242" s="11" t="n"/>
      <c r="CN242" s="11" t="n"/>
      <c r="CO242" s="12" t="n"/>
      <c r="CP242" s="11" t="n"/>
      <c r="CQ242" s="11" t="n"/>
      <c r="CR242" s="11" t="n"/>
      <c r="CS242" s="11" t="n"/>
      <c r="CT242" s="12" t="n"/>
      <c r="CU242" s="11" t="n"/>
      <c r="CV242" s="11" t="n"/>
      <c r="CW242" s="11" t="n"/>
      <c r="CX242" s="11" t="n"/>
      <c r="CY242" s="12" t="n"/>
    </row>
    <row r="243" hidden="1" outlineLevel="1">
      <c r="C243" s="57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collapsed="1">
      <c r="C244" s="14" t="inlineStr">
        <is>
          <t>Convertible debt</t>
        </is>
      </c>
      <c r="D244" s="46" t="n"/>
      <c r="E244" s="46" t="n"/>
      <c r="F244" s="46" t="n"/>
      <c r="G244" s="46" t="n"/>
      <c r="H244" s="12" t="n"/>
      <c r="I244" s="46">
        <f>'Inputs (2)'!D37</f>
        <v>0</v>
      </c>
      <c r="J244" s="46">
        <f>'Inputs (2)'!E37</f>
        <v>0</v>
      </c>
      <c r="K244" s="46">
        <f>'Inputs (2)'!F37</f>
        <v>0</v>
      </c>
      <c r="L244" s="46">
        <f>'Inputs (2)'!G37</f>
        <v>0</v>
      </c>
      <c r="M244" s="12">
        <f>'Inputs (2)'!H37</f>
        <v>0</v>
      </c>
      <c r="N244" s="46">
        <f>'Inputs (2)'!I37</f>
        <v>0</v>
      </c>
      <c r="O244" s="46">
        <f>'Inputs (2)'!J37</f>
        <v>0</v>
      </c>
      <c r="P244" s="46">
        <f>'Inputs (2)'!K37</f>
        <v>0</v>
      </c>
      <c r="Q244" s="46">
        <f>'Inputs (2)'!L37</f>
        <v>0</v>
      </c>
      <c r="R244" s="12">
        <f>'Inputs (2)'!M37</f>
        <v>0</v>
      </c>
      <c r="S244" s="46">
        <f>'Inputs (2)'!N37</f>
        <v>0</v>
      </c>
      <c r="T244" s="46">
        <f>'Inputs (2)'!O37</f>
        <v>0</v>
      </c>
      <c r="U244" s="46">
        <f>'Inputs (2)'!P37</f>
        <v>0</v>
      </c>
      <c r="V244" s="46">
        <f>'Inputs (2)'!Q37</f>
        <v>0</v>
      </c>
      <c r="W244" s="12">
        <f>'Inputs (2)'!R37</f>
        <v>0</v>
      </c>
      <c r="X244" s="46">
        <f>'Inputs (2)'!S37</f>
        <v>0</v>
      </c>
      <c r="Y244" s="46">
        <f>'Inputs (2)'!T37</f>
        <v>0</v>
      </c>
      <c r="Z244" s="46">
        <f>'Inputs (2)'!U37</f>
        <v>0</v>
      </c>
      <c r="AA244" s="46">
        <f>'Inputs (2)'!V37</f>
        <v>0</v>
      </c>
      <c r="AB244" s="12">
        <f>'Inputs (2)'!W37</f>
        <v>0</v>
      </c>
      <c r="AC244" s="46">
        <f>'Inputs (2)'!X37</f>
        <v>0</v>
      </c>
      <c r="AD244" s="46">
        <f>'Inputs (2)'!Y37</f>
        <v>0</v>
      </c>
      <c r="AE244" s="46">
        <f>'Inputs (2)'!Z37</f>
        <v>0</v>
      </c>
      <c r="AF244" s="46">
        <f>'Inputs (2)'!AA37</f>
        <v>0</v>
      </c>
      <c r="AG244" s="12">
        <f>'Inputs (2)'!AB37</f>
        <v>0</v>
      </c>
      <c r="AH244" s="12">
        <f>'Inputs (2)'!AC37</f>
        <v>0</v>
      </c>
      <c r="AI244" s="12">
        <f>'Inputs (2)'!AD37</f>
        <v>0</v>
      </c>
      <c r="AJ244" s="12">
        <f>AI244</f>
        <v>0</v>
      </c>
      <c r="AK244" s="12">
        <f>AJ244</f>
        <v>0</v>
      </c>
      <c r="AL244" s="12">
        <f>AK244</f>
        <v>0</v>
      </c>
      <c r="AM244" s="12">
        <f>AL244</f>
        <v>0</v>
      </c>
      <c r="AN244" s="12">
        <f>AM244</f>
        <v>0</v>
      </c>
      <c r="AO244" s="12">
        <f>AN244</f>
        <v>0</v>
      </c>
      <c r="AP244" s="12">
        <f>AO244</f>
        <v>0</v>
      </c>
      <c r="AQ244" s="12">
        <f>AP244</f>
        <v>0</v>
      </c>
      <c r="AR244" s="12">
        <f>AQ244</f>
        <v>0</v>
      </c>
      <c r="AS244" s="12">
        <f>AR244</f>
        <v>0</v>
      </c>
      <c r="AT244" s="12">
        <f>AS244</f>
        <v>0</v>
      </c>
      <c r="AU244" s="12">
        <f>AT244</f>
        <v>0</v>
      </c>
      <c r="AV244" s="12">
        <f>AU244</f>
        <v>0</v>
      </c>
      <c r="AW244" s="12">
        <f>AV244</f>
        <v>0</v>
      </c>
      <c r="AX244" s="12">
        <f>AW244</f>
        <v>0</v>
      </c>
      <c r="AY244" s="12">
        <f>AX244</f>
        <v>0</v>
      </c>
      <c r="AZ244" s="12">
        <f>AY244</f>
        <v>0</v>
      </c>
      <c r="BA244" s="12">
        <f>AZ244</f>
        <v>0</v>
      </c>
      <c r="BB244" s="12">
        <f>BA244</f>
        <v>0</v>
      </c>
      <c r="BC244" s="12">
        <f>BB244</f>
        <v>0</v>
      </c>
      <c r="BD244" s="12">
        <f>BC244</f>
        <v>0</v>
      </c>
      <c r="BE244" s="12">
        <f>BD244</f>
        <v>0</v>
      </c>
      <c r="BF244" s="12">
        <f>BE244</f>
        <v>0</v>
      </c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>
      <c r="C245" s="14" t="inlineStr">
        <is>
          <t>Deferred income taxes</t>
        </is>
      </c>
      <c r="D245" s="46" t="n"/>
      <c r="E245" s="46" t="n"/>
      <c r="F245" s="46" t="n"/>
      <c r="G245" s="46" t="n"/>
      <c r="H245" s="12" t="n"/>
      <c r="I245" s="46">
        <f>'Inputs (2)'!D38</f>
        <v>7892</v>
      </c>
      <c r="J245" s="46">
        <f>'Inputs (2)'!E38</f>
        <v>7864</v>
      </c>
      <c r="K245" s="46">
        <f>'Inputs (2)'!F38</f>
        <v>7648</v>
      </c>
      <c r="L245" s="46">
        <f>'Inputs (2)'!G38</f>
        <v>6777</v>
      </c>
      <c r="M245" s="12">
        <f>'Inputs (2)'!H38</f>
        <v>6777</v>
      </c>
      <c r="N245" s="46">
        <f>'Inputs (2)'!I38</f>
        <v>6462</v>
      </c>
      <c r="O245" s="46">
        <f>'Inputs (2)'!J38</f>
        <v>6031</v>
      </c>
      <c r="P245" s="46">
        <f>'Inputs (2)'!K38</f>
        <v>7693</v>
      </c>
      <c r="Q245" s="46">
        <f>'Inputs (2)'!L38</f>
        <v>7165</v>
      </c>
      <c r="R245" s="12">
        <f>'Inputs (2)'!M38</f>
        <v>7165</v>
      </c>
      <c r="S245" s="46">
        <f>'Inputs (2)'!N38</f>
        <v>6814</v>
      </c>
      <c r="T245" s="46">
        <f>'Inputs (2)'!O38</f>
        <v>5772</v>
      </c>
      <c r="U245" s="46">
        <f>'Inputs (2)'!P38</f>
        <v>5281</v>
      </c>
      <c r="V245" s="46">
        <f>'Inputs (2)'!Q38</f>
        <v>5244</v>
      </c>
      <c r="W245" s="12">
        <f>'Inputs (2)'!R38</f>
        <v>5244</v>
      </c>
      <c r="X245" s="46">
        <f>'Inputs (2)'!S38</f>
        <v>4483</v>
      </c>
      <c r="Y245" s="46">
        <f>'Inputs (2)'!T38</f>
        <v>3692</v>
      </c>
      <c r="Z245" s="46">
        <f>'Inputs (2)'!U38</f>
        <v>3442</v>
      </c>
      <c r="AA245" s="46">
        <f>'Inputs (2)'!V38</f>
        <v>2864</v>
      </c>
      <c r="AB245" s="12">
        <f>'Inputs (2)'!W38</f>
        <v>2864</v>
      </c>
      <c r="AC245" s="46">
        <f>'Inputs (2)'!X38</f>
        <v>2208</v>
      </c>
      <c r="AD245" s="46">
        <f>'Inputs (2)'!Y38</f>
        <v>0</v>
      </c>
      <c r="AE245" s="46">
        <f>'Inputs (2)'!Z38</f>
        <v>0</v>
      </c>
      <c r="AF245" s="46">
        <f>'Inputs (2)'!AA38</f>
        <v>0</v>
      </c>
      <c r="AG245" s="12">
        <f>'Inputs (2)'!AB38</f>
        <v>0</v>
      </c>
      <c r="AH245" s="12">
        <f>'Inputs (2)'!AC38</f>
        <v>0</v>
      </c>
      <c r="AI245" s="12">
        <f>'Inputs (2)'!AD38</f>
        <v>0</v>
      </c>
      <c r="AJ245" s="12">
        <f>AI245</f>
        <v>0</v>
      </c>
      <c r="AK245" s="12">
        <f>AJ245</f>
        <v>0</v>
      </c>
      <c r="AL245" s="12">
        <f>AK245</f>
        <v>0</v>
      </c>
      <c r="AM245" s="12">
        <f>AL245</f>
        <v>0</v>
      </c>
      <c r="AN245" s="12">
        <f>AM245</f>
        <v>0</v>
      </c>
      <c r="AO245" s="12">
        <f>AN245</f>
        <v>0</v>
      </c>
      <c r="AP245" s="12">
        <f>AO245</f>
        <v>0</v>
      </c>
      <c r="AQ245" s="12">
        <f>AP245</f>
        <v>0</v>
      </c>
      <c r="AR245" s="12">
        <f>AQ245</f>
        <v>0</v>
      </c>
      <c r="AS245" s="12">
        <f>AR245</f>
        <v>0</v>
      </c>
      <c r="AT245" s="12">
        <f>AS245</f>
        <v>0</v>
      </c>
      <c r="AU245" s="12">
        <f>AT245</f>
        <v>0</v>
      </c>
      <c r="AV245" s="12">
        <f>AU245</f>
        <v>0</v>
      </c>
      <c r="AW245" s="12">
        <f>AV245</f>
        <v>0</v>
      </c>
      <c r="AX245" s="12">
        <f>AW245</f>
        <v>0</v>
      </c>
      <c r="AY245" s="12">
        <f>AX245</f>
        <v>0</v>
      </c>
      <c r="AZ245" s="12">
        <f>AY245</f>
        <v>0</v>
      </c>
      <c r="BA245" s="12">
        <f>AZ245</f>
        <v>0</v>
      </c>
      <c r="BB245" s="12">
        <f>BA245</f>
        <v>0</v>
      </c>
      <c r="BC245" s="12">
        <f>BB245</f>
        <v>0</v>
      </c>
      <c r="BD245" s="12">
        <f>BC245</f>
        <v>0</v>
      </c>
      <c r="BE245" s="12">
        <f>BD245</f>
        <v>0</v>
      </c>
      <c r="BF245" s="12">
        <f>BE245</f>
        <v>0</v>
      </c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>
      <c r="C246" s="14" t="inlineStr">
        <is>
          <t>Other non-current liabilities</t>
        </is>
      </c>
      <c r="D246" s="46" t="n"/>
      <c r="E246" s="46" t="n"/>
      <c r="F246" s="46" t="n"/>
      <c r="G246" s="46" t="n"/>
      <c r="H246" s="12" t="n"/>
      <c r="I246" s="46">
        <f>'Inputs (2)'!D39</f>
        <v>80330</v>
      </c>
      <c r="J246" s="46">
        <f>'Inputs (2)'!E39</f>
        <v>93127</v>
      </c>
      <c r="K246" s="46">
        <f>'Inputs (2)'!F39</f>
        <v>93335</v>
      </c>
      <c r="L246" s="46">
        <f>'Inputs (2)'!G39</f>
        <v>90897</v>
      </c>
      <c r="M246" s="12">
        <f>'Inputs (2)'!H39</f>
        <v>90897</v>
      </c>
      <c r="N246" s="46">
        <f>'Inputs (2)'!I39</f>
        <v>89560</v>
      </c>
      <c r="O246" s="46">
        <f>'Inputs (2)'!J39</f>
        <v>89523</v>
      </c>
      <c r="P246" s="46">
        <f>'Inputs (2)'!K39</f>
        <v>93246</v>
      </c>
      <c r="Q246" s="46">
        <f>'Inputs (2)'!L39</f>
        <v>97974</v>
      </c>
      <c r="R246" s="12">
        <f>'Inputs (2)'!M39</f>
        <v>97974</v>
      </c>
      <c r="S246" s="46">
        <f>'Inputs (2)'!N39</f>
        <v>103838</v>
      </c>
      <c r="T246" s="46">
        <f>'Inputs (2)'!O39</f>
        <v>103966</v>
      </c>
      <c r="U246" s="46">
        <f>'Inputs (2)'!P39</f>
        <v>103183</v>
      </c>
      <c r="V246" s="46">
        <f>'Inputs (2)'!Q39</f>
        <v>100295</v>
      </c>
      <c r="W246" s="12">
        <f>'Inputs (2)'!R39</f>
        <v>100295</v>
      </c>
      <c r="X246" s="46">
        <f>'Inputs (2)'!S39</f>
        <v>101532</v>
      </c>
      <c r="Y246" s="46">
        <f>'Inputs (2)'!T39</f>
        <v>96501</v>
      </c>
      <c r="Z246" s="46">
        <f>'Inputs (2)'!U39</f>
        <v>97458</v>
      </c>
      <c r="AA246" s="46">
        <f>'Inputs (2)'!V39</f>
        <v>102331</v>
      </c>
      <c r="AB246" s="12">
        <f>'Inputs (2)'!W39</f>
        <v>102331</v>
      </c>
      <c r="AC246" s="46">
        <f>'Inputs (2)'!X39</f>
        <v>112286</v>
      </c>
      <c r="AD246" s="46">
        <f>'Inputs (2)'!Y39</f>
        <v>103213</v>
      </c>
      <c r="AE246" s="46">
        <f>'Inputs (2)'!Z39</f>
        <v>101815</v>
      </c>
      <c r="AF246" s="46">
        <f>'Inputs (2)'!AA39</f>
        <v>120421</v>
      </c>
      <c r="AG246" s="12">
        <f>'Inputs (2)'!AB39</f>
        <v>120421</v>
      </c>
      <c r="AH246" s="12">
        <f>'Inputs (2)'!AC39</f>
        <v>146940</v>
      </c>
      <c r="AI246" s="12">
        <f>'Inputs (2)'!AD39</f>
        <v>150291</v>
      </c>
      <c r="AJ246" s="12">
        <f>AI246</f>
        <v>150291</v>
      </c>
      <c r="AK246" s="12">
        <f>AJ246</f>
        <v>150291</v>
      </c>
      <c r="AL246" s="12">
        <f>AK246</f>
        <v>150291</v>
      </c>
      <c r="AM246" s="12">
        <f>AL246</f>
        <v>150291</v>
      </c>
      <c r="AN246" s="12">
        <f>AM246</f>
        <v>150291</v>
      </c>
      <c r="AO246" s="12">
        <f>AN246</f>
        <v>150291</v>
      </c>
      <c r="AP246" s="12">
        <f>AO246</f>
        <v>150291</v>
      </c>
      <c r="AQ246" s="12">
        <f>AP246</f>
        <v>150291</v>
      </c>
      <c r="AR246" s="12">
        <f>AQ246</f>
        <v>150291</v>
      </c>
      <c r="AS246" s="12">
        <f>AR246</f>
        <v>150291</v>
      </c>
      <c r="AT246" s="12">
        <f>AS246</f>
        <v>150291</v>
      </c>
      <c r="AU246" s="12">
        <f>AT246</f>
        <v>150291</v>
      </c>
      <c r="AV246" s="12">
        <f>AU246</f>
        <v>150291</v>
      </c>
      <c r="AW246" s="12">
        <f>AV246</f>
        <v>150291</v>
      </c>
      <c r="AX246" s="12">
        <f>AW246</f>
        <v>150291</v>
      </c>
      <c r="AY246" s="12">
        <f>AX246</f>
        <v>150291</v>
      </c>
      <c r="AZ246" s="12">
        <f>AY246</f>
        <v>150291</v>
      </c>
      <c r="BA246" s="12">
        <f>AZ246</f>
        <v>150291</v>
      </c>
      <c r="BB246" s="12">
        <f>BA246</f>
        <v>150291</v>
      </c>
      <c r="BC246" s="12">
        <f>BB246</f>
        <v>150291</v>
      </c>
      <c r="BD246" s="12">
        <f>BC246</f>
        <v>150291</v>
      </c>
      <c r="BE246" s="12">
        <f>BD246</f>
        <v>150291</v>
      </c>
      <c r="BF246" s="12">
        <f>BE246</f>
        <v>150291</v>
      </c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hidden="1" outlineLevel="1" ht="12" customHeight="1">
      <c r="C247" s="59" t="inlineStr">
        <is>
          <t>%(Var.)</t>
        </is>
      </c>
      <c r="D247" s="12" t="n"/>
      <c r="E247" s="40" t="n"/>
      <c r="F247" s="40" t="n"/>
      <c r="G247" s="40" t="n"/>
      <c r="H247" s="12" t="n"/>
      <c r="I247" s="40" t="str">
        <f>""</f>
        <v/>
      </c>
      <c r="J247" s="40">
        <f>IF(I246=0,"",J246/I246-1)</f>
        <v>0.159305365367858</v>
      </c>
      <c r="K247" s="40">
        <f>IF(J246=0,"",K246/J246-1)</f>
        <v>0.00223350907899955</v>
      </c>
      <c r="L247" s="40">
        <f>IF(K246=0,"",L246/K246-1)</f>
        <v>-0.0261209621256763</v>
      </c>
      <c r="M247" s="12">
        <f>IF(L246=0,"",M246/L246-1)</f>
        <v>0</v>
      </c>
      <c r="N247" s="40">
        <f>IF(M246=0,"",N246/M246-1)</f>
        <v>-0.0147089562911867</v>
      </c>
      <c r="O247" s="40">
        <f>IF(N246=0,"",O246/N246-1)</f>
        <v>-0.000413130861991906</v>
      </c>
      <c r="P247" s="40">
        <f>IF(O246=0,"",P246/O246-1)</f>
        <v>0.0415870781810261</v>
      </c>
      <c r="Q247" s="40">
        <f>IF(P246=0,"",Q246/P246-1)</f>
        <v>0.0507045878643588</v>
      </c>
      <c r="R247" s="12">
        <f>IF(Q246=0,"",R246/Q246-1)</f>
        <v>0</v>
      </c>
      <c r="S247" s="40">
        <f>IF(R246=0,"",S246/R246-1)</f>
        <v>0.0598526139588054</v>
      </c>
      <c r="T247" s="40">
        <f>IF(S246=0,"",T246/S246-1)</f>
        <v>0.00123268938153664</v>
      </c>
      <c r="U247" s="40">
        <f>IF(T246=0,"",U246/T246-1)</f>
        <v>-0.00753130831233284</v>
      </c>
      <c r="V247" s="40">
        <f>IF(U246=0,"",V246/U246-1)</f>
        <v>-0.0279891067326982</v>
      </c>
      <c r="W247" s="12">
        <f>IF(V246=0,"",W246/V246-1)</f>
        <v>0</v>
      </c>
      <c r="X247" s="40">
        <f>IF(W246=0,"",X246/W246-1)</f>
        <v>0.0123336158332918</v>
      </c>
      <c r="Y247" s="40">
        <f>IF(X246=0,"",Y246/X246-1)</f>
        <v>-0.049550880510578</v>
      </c>
      <c r="Z247" s="40">
        <f>IF(Y246=0,"",Z246/Y246-1)</f>
        <v>0.00991699567880122</v>
      </c>
      <c r="AA247" s="40">
        <f>IF(Z246=0,"",AA246/Z246-1)</f>
        <v>0.0500010260830306</v>
      </c>
      <c r="AB247" s="12">
        <f>IF(AA246=0,"",AB246/AA246-1)</f>
        <v>0</v>
      </c>
      <c r="AC247" s="40">
        <f>IF(AB246=0,"",AC246/AB246-1)</f>
        <v>0.0972823484574568</v>
      </c>
      <c r="AD247" s="40">
        <f>IF(AC246=0,"",AD246/AC246-1)</f>
        <v>-0.080802593377625</v>
      </c>
      <c r="AE247" s="40">
        <f>IF(AD246=0,"",AE246/AD246-1)</f>
        <v>-0.0135448054024202</v>
      </c>
      <c r="AF247" s="41">
        <f>IF(AE246=0,"",AF246/AE246-1)</f>
        <v>0.182743210725335</v>
      </c>
      <c r="AG247" s="12">
        <f>IF(AF246=0,"",AG246/AF246-1)</f>
        <v>0</v>
      </c>
      <c r="AH247" s="41">
        <f>IF(AG246=0,"",AH246/AG246-1)</f>
        <v>0.22021906478106</v>
      </c>
      <c r="AI247" s="41">
        <f>IF(AH246=0,"",AI246/AH246-1)</f>
        <v>0.0228052266231116</v>
      </c>
      <c r="AJ247" s="41">
        <f>IF(AI246=0,"",AJ246/AI246-1)</f>
        <v>0</v>
      </c>
      <c r="AK247" s="41">
        <f>IF(AJ246=0,"",AK246/AJ246-1)</f>
        <v>0</v>
      </c>
      <c r="AL247" s="12">
        <f>IF(AK246=0,"",AL246/AK246-1)</f>
        <v>0</v>
      </c>
      <c r="AM247" s="41">
        <f>IF(AL246=0,"",AM246/AL246-1)</f>
        <v>0</v>
      </c>
      <c r="AN247" s="41">
        <f>IF(AM246=0,"",AN246/AM246-1)</f>
        <v>0</v>
      </c>
      <c r="AO247" s="41">
        <f>IF(AN246=0,"",AO246/AN246-1)</f>
        <v>0</v>
      </c>
      <c r="AP247" s="41">
        <f>IF(AO246=0,"",AP246/AO246-1)</f>
        <v>0</v>
      </c>
      <c r="AQ247" s="12">
        <f>IF(AP246=0,"",AQ246/AP246-1)</f>
        <v>0</v>
      </c>
      <c r="AR247" s="41">
        <f>IF(AQ246=0,"",AR246/AQ246-1)</f>
        <v>0</v>
      </c>
      <c r="AS247" s="41">
        <f>IF(AR246=0,"",AS246/AR246-1)</f>
        <v>0</v>
      </c>
      <c r="AT247" s="41">
        <f>IF(AS246=0,"",AT246/AS246-1)</f>
        <v>0</v>
      </c>
      <c r="AU247" s="41">
        <f>IF(AT246=0,"",AU246/AT246-1)</f>
        <v>0</v>
      </c>
      <c r="AV247" s="12">
        <f>IF(AU246=0,"",AV246/AU246-1)</f>
        <v>0</v>
      </c>
      <c r="AW247" s="41">
        <f>IF(AV246=0,"",AW246/AV246-1)</f>
        <v>0</v>
      </c>
      <c r="AX247" s="41">
        <f>IF(AW246=0,"",AX246/AW246-1)</f>
        <v>0</v>
      </c>
      <c r="AY247" s="41">
        <f>IF(AX246=0,"",AY246/AX246-1)</f>
        <v>0</v>
      </c>
      <c r="AZ247" s="41">
        <f>IF(AY246=0,"",AZ246/AY246-1)</f>
        <v>0</v>
      </c>
      <c r="BA247" s="12">
        <f>IF(AZ246=0,"",BA246/AZ246-1)</f>
        <v>0</v>
      </c>
      <c r="BB247" s="41">
        <f>IF(BA246=0,"",BB246/BA246-1)</f>
        <v>0</v>
      </c>
      <c r="BC247" s="41">
        <f>IF(BB246=0,"",BC246/BB246-1)</f>
        <v>0</v>
      </c>
      <c r="BD247" s="41">
        <f>IF(BC246=0,"",BD246/BC246-1)</f>
        <v>0</v>
      </c>
      <c r="BE247" s="41">
        <f>IF(BD246=0,"",BE246/BD246-1)</f>
        <v>0</v>
      </c>
      <c r="BF247" s="12">
        <f>IF(BE246=0,"",BF246/BE246-1)</f>
        <v>0</v>
      </c>
      <c r="BG247" s="41" t="n"/>
      <c r="BH247" s="41" t="n"/>
      <c r="BI247" s="41" t="n"/>
      <c r="BJ247" s="41" t="n"/>
      <c r="BK247" s="12" t="n"/>
      <c r="BL247" s="41" t="n"/>
      <c r="BM247" s="41" t="n"/>
      <c r="BN247" s="41" t="n"/>
      <c r="BO247" s="41" t="n"/>
      <c r="BP247" s="12" t="n"/>
      <c r="BQ247" s="41" t="n"/>
      <c r="BR247" s="41" t="n"/>
      <c r="BS247" s="41" t="n"/>
      <c r="BT247" s="41" t="n"/>
      <c r="BU247" s="12" t="n"/>
      <c r="BV247" s="41" t="n"/>
      <c r="BW247" s="41" t="n"/>
      <c r="BX247" s="41" t="n"/>
      <c r="BY247" s="41" t="n"/>
      <c r="BZ247" s="12" t="n"/>
      <c r="CA247" s="41" t="n"/>
      <c r="CB247" s="41" t="n"/>
      <c r="CC247" s="41" t="n"/>
      <c r="CD247" s="41" t="n"/>
      <c r="CE247" s="12" t="n"/>
      <c r="CF247" s="41" t="n"/>
      <c r="CG247" s="41" t="n"/>
      <c r="CH247" s="41" t="n"/>
      <c r="CI247" s="41" t="n"/>
      <c r="CJ247" s="12" t="n"/>
      <c r="CK247" s="41" t="n"/>
      <c r="CL247" s="41" t="n"/>
      <c r="CM247" s="41" t="n"/>
      <c r="CN247" s="41" t="n"/>
      <c r="CO247" s="12" t="n"/>
      <c r="CP247" s="41" t="n"/>
      <c r="CQ247" s="41" t="n"/>
      <c r="CR247" s="41" t="n"/>
      <c r="CS247" s="41" t="n"/>
      <c r="CT247" s="12" t="n"/>
      <c r="CU247" s="41" t="n"/>
      <c r="CV247" s="41" t="n"/>
      <c r="CW247" s="41" t="n"/>
      <c r="CX247" s="41" t="n"/>
      <c r="CY247" s="12" t="n"/>
    </row>
    <row r="248" hidden="1" outlineLevel="1" ht="12" customHeight="1">
      <c r="C248" s="59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>
      <c r="C249" s="57" t="inlineStr">
        <is>
          <t>Contas a pagar pela aquisição de controladas</t>
        </is>
      </c>
      <c r="D249" s="11" t="n"/>
      <c r="E249" s="11" t="n"/>
      <c r="F249" s="11" t="n"/>
      <c r="G249" s="11" t="n"/>
      <c r="H249" s="12" t="n"/>
      <c r="I249" s="11" t="n"/>
      <c r="J249" s="11" t="n"/>
      <c r="K249" s="11" t="n"/>
      <c r="L249" s="11" t="n"/>
      <c r="M249" s="12" t="n"/>
      <c r="N249" s="11" t="n"/>
      <c r="O249" s="11" t="n"/>
      <c r="P249" s="11" t="n"/>
      <c r="Q249" s="11" t="n"/>
      <c r="R249" s="12" t="n"/>
      <c r="S249" s="11" t="n"/>
      <c r="T249" s="11" t="n"/>
      <c r="U249" s="11" t="n"/>
      <c r="V249" s="11" t="n"/>
      <c r="W249" s="12" t="n"/>
      <c r="X249" s="11" t="n"/>
      <c r="Y249" s="11" t="n"/>
      <c r="Z249" s="11" t="n"/>
      <c r="AA249" s="11" t="n"/>
      <c r="AB249" s="12" t="n"/>
      <c r="AC249" s="11" t="n"/>
      <c r="AD249" s="11" t="n"/>
      <c r="AE249" s="11" t="n"/>
      <c r="AF249" s="11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  <c r="CA249" s="12" t="n"/>
      <c r="CB249" s="12" t="n"/>
      <c r="CC249" s="12" t="n"/>
      <c r="CD249" s="12" t="n"/>
      <c r="CE249" s="12" t="n"/>
      <c r="CF249" s="12" t="n"/>
      <c r="CG249" s="12" t="n"/>
      <c r="CH249" s="12" t="n"/>
      <c r="CI249" s="12" t="n"/>
      <c r="CJ249" s="12" t="n"/>
      <c r="CK249" s="12" t="n"/>
      <c r="CL249" s="12" t="n"/>
      <c r="CM249" s="12" t="n"/>
      <c r="CN249" s="12" t="n"/>
      <c r="CO249" s="12" t="n"/>
      <c r="CP249" s="12" t="n"/>
      <c r="CQ249" s="12" t="n"/>
      <c r="CR249" s="12" t="n"/>
      <c r="CS249" s="12" t="n"/>
      <c r="CT249" s="12" t="n"/>
      <c r="CU249" s="12" t="n"/>
      <c r="CV249" s="12" t="n"/>
      <c r="CW249" s="12" t="n"/>
      <c r="CX249" s="12" t="n"/>
      <c r="CY249" s="12" t="n"/>
    </row>
    <row r="250" hidden="1" outlineLevel="1">
      <c r="C250" s="57" t="inlineStr">
        <is>
          <t xml:space="preserve">Outras Obrigações </t>
        </is>
      </c>
      <c r="D250" s="11" t="n"/>
      <c r="E250" s="11" t="n"/>
      <c r="F250" s="11" t="n"/>
      <c r="G250" s="11" t="n"/>
      <c r="H250" s="12" t="n"/>
      <c r="I250" s="11" t="n"/>
      <c r="J250" s="11" t="n"/>
      <c r="K250" s="11" t="n"/>
      <c r="L250" s="11" t="n"/>
      <c r="M250" s="12" t="n"/>
      <c r="N250" s="11" t="n"/>
      <c r="O250" s="11" t="n"/>
      <c r="P250" s="11" t="n"/>
      <c r="Q250" s="11" t="n"/>
      <c r="R250" s="12" t="n"/>
      <c r="S250" s="11" t="n"/>
      <c r="T250" s="11" t="n"/>
      <c r="U250" s="11" t="n"/>
      <c r="V250" s="11" t="n"/>
      <c r="W250" s="12" t="n"/>
      <c r="X250" s="11" t="n"/>
      <c r="Y250" s="11" t="n"/>
      <c r="Z250" s="11" t="n"/>
      <c r="AA250" s="11" t="n"/>
      <c r="AB250" s="12" t="n"/>
      <c r="AC250" s="11" t="n"/>
      <c r="AD250" s="11" t="n"/>
      <c r="AE250" s="11" t="n"/>
      <c r="AF250" s="11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  <c r="BJ250" s="12" t="n"/>
      <c r="BK250" s="12" t="n"/>
      <c r="BL250" s="12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  <c r="CA250" s="12" t="n"/>
      <c r="CB250" s="12" t="n"/>
      <c r="CC250" s="12" t="n"/>
      <c r="CD250" s="12" t="n"/>
      <c r="CE250" s="12" t="n"/>
      <c r="CF250" s="12" t="n"/>
      <c r="CG250" s="12" t="n"/>
      <c r="CH250" s="12" t="n"/>
      <c r="CI250" s="12" t="n"/>
      <c r="CJ250" s="12" t="n"/>
      <c r="CK250" s="12" t="n"/>
      <c r="CL250" s="12" t="n"/>
      <c r="CM250" s="12" t="n"/>
      <c r="CN250" s="12" t="n"/>
      <c r="CO250" s="12" t="n"/>
      <c r="CP250" s="12" t="n"/>
      <c r="CQ250" s="12" t="n"/>
      <c r="CR250" s="12" t="n"/>
      <c r="CS250" s="12" t="n"/>
      <c r="CT250" s="12" t="n"/>
      <c r="CU250" s="12" t="n"/>
      <c r="CV250" s="12" t="n"/>
      <c r="CW250" s="12" t="n"/>
      <c r="CX250" s="12" t="n"/>
      <c r="CY250" s="12" t="n"/>
    </row>
    <row r="251" hidden="1" outlineLevel="1">
      <c r="C251" s="57" t="inlineStr">
        <is>
          <t xml:space="preserve">Provisão de Risco Cíveis, Trabalhistas e Tributários </t>
        </is>
      </c>
      <c r="D251" s="11" t="n"/>
      <c r="E251" s="11" t="n"/>
      <c r="F251" s="11" t="n"/>
      <c r="G251" s="11" t="n"/>
      <c r="H251" s="12" t="n"/>
      <c r="I251" s="11" t="n"/>
      <c r="J251" s="11" t="n"/>
      <c r="K251" s="11" t="n"/>
      <c r="L251" s="11" t="n"/>
      <c r="M251" s="12" t="n"/>
      <c r="N251" s="11" t="n"/>
      <c r="O251" s="11" t="n"/>
      <c r="P251" s="11" t="n"/>
      <c r="Q251" s="11" t="n"/>
      <c r="R251" s="12" t="n"/>
      <c r="S251" s="11" t="n"/>
      <c r="T251" s="11" t="n"/>
      <c r="U251" s="11" t="n"/>
      <c r="V251" s="11" t="n"/>
      <c r="W251" s="12" t="n"/>
      <c r="X251" s="11" t="n"/>
      <c r="Y251" s="11" t="n"/>
      <c r="Z251" s="11" t="n"/>
      <c r="AA251" s="11" t="n"/>
      <c r="AB251" s="12" t="n"/>
      <c r="AC251" s="11" t="n"/>
      <c r="AD251" s="11" t="n"/>
      <c r="AE251" s="11" t="n"/>
      <c r="AF251" s="11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  <c r="CN251" s="12" t="n"/>
      <c r="CO251" s="12" t="n"/>
      <c r="CP251" s="12" t="n"/>
      <c r="CQ251" s="12" t="n"/>
      <c r="CR251" s="12" t="n"/>
      <c r="CS251" s="12" t="n"/>
      <c r="CT251" s="12" t="n"/>
      <c r="CU251" s="12" t="n"/>
      <c r="CV251" s="12" t="n"/>
      <c r="CW251" s="12" t="n"/>
      <c r="CX251" s="12" t="n"/>
      <c r="CY251" s="12" t="n"/>
    </row>
    <row r="252" hidden="1" outlineLevel="1">
      <c r="C252" s="57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 collapsed="1" customFormat="1" s="32">
      <c r="A253" s="30" t="n"/>
      <c r="B253" s="30" t="n"/>
      <c r="C253" s="65" t="inlineStr">
        <is>
          <t>Total Liabilities</t>
        </is>
      </c>
      <c r="D253" s="35" t="n"/>
      <c r="E253" s="35" t="n"/>
      <c r="F253" s="35" t="n"/>
      <c r="G253" s="35" t="n"/>
      <c r="H253" s="35" t="n"/>
      <c r="I253" s="35">
        <f>SUM(I204+I208+I210+I211+I218+I219+I220+I223+I241+I244+I245+I246)</f>
        <v>108472</v>
      </c>
      <c r="J253" s="35">
        <f>SUM(J204+J208+J210+J211+J218+J219+J220+J223+J241+J244+J245+J246)</f>
        <v>125155</v>
      </c>
      <c r="K253" s="35">
        <f>SUM(K204+K208+K210+K211+K218+K219+K220+K223+K241+K244+K245+K246)</f>
        <v>124054</v>
      </c>
      <c r="L253" s="35">
        <f>SUM(L204+L208+L210+L211+L218+L219+L220+L223+L241+L244+L245+L246)</f>
        <v>116555</v>
      </c>
      <c r="M253" s="35">
        <f>SUM(M204,M208,M210,M211,M218,M219,M223,M220,M241,M244,M245,M246)</f>
        <v>116555</v>
      </c>
      <c r="N253" s="35">
        <f>SUM(N204+N208+N210+N211+N218+N219+N220+N223+N241+N244+N245+N246)</f>
        <v>116855</v>
      </c>
      <c r="O253" s="35">
        <f>SUM(O204+O208+O210+O211+O218+O219+O220+O223+O241+O244+O245+O246)</f>
        <v>115065</v>
      </c>
      <c r="P253" s="35">
        <f>SUM(P204+P208+P210+P211+P218+P219+P220+P223+P241+P244+P245+P246)</f>
        <v>135758</v>
      </c>
      <c r="Q253" s="35">
        <f>SUM(Q204+Q208+Q210+Q211+Q218+Q219+Q220+Q223+Q241+Q244+Q245+Q246)</f>
        <v>132245</v>
      </c>
      <c r="R253" s="35">
        <f>SUM(R204,R208,R210,R211,R218,R219,R223,R220,R241,R244,R245,R246)</f>
        <v>132245</v>
      </c>
      <c r="S253" s="35">
        <f>SUM(S204+S208+S210+S211+S218+S219+S220+S223+S241+S244+S245+S246)</f>
        <v>133532</v>
      </c>
      <c r="T253" s="35">
        <f>SUM(T204+T208+T210+T211+T218+T219+T220+T223+T241+T244+T245+T246)</f>
        <v>132828</v>
      </c>
      <c r="U253" s="35">
        <f>SUM(U204+U208+U210+U211+U218+U219+U220+U223+U241+U244+U245+U246)</f>
        <v>133821</v>
      </c>
      <c r="V253" s="35">
        <f>SUM(V204+V208+V210+V211+V218+V219+V220+V223+V241+V244+V245+V246)</f>
        <v>129946</v>
      </c>
      <c r="W253" s="35">
        <f>SUM(W204,W208,W210,W211,W218,W219,W223,W220,W241,W244,W245,W246)</f>
        <v>129946</v>
      </c>
      <c r="X253" s="35">
        <f>SUM(X204+X208+X210+X211+X218+X219+X220+X223+X241+X244+X245+X246)</f>
        <v>130900</v>
      </c>
      <c r="Y253" s="35">
        <f>SUM(Y204+Y208+Y210+Y211+Y218+Y219+Y220+Y223+Y241+Y244+Y245+Y246)</f>
        <v>131737</v>
      </c>
      <c r="Z253" s="35">
        <f>SUM(Z204+Z208+Z210+Z211+Z218+Z219+Z220+Z223+Z241+Z244+Z245+Z246)</f>
        <v>132945</v>
      </c>
      <c r="AA253" s="35">
        <f>SUM(AA204+AA208+AA210+AA211+AA218+AA219+AA220+AA223+AA241+AA244+AA245+AA246)</f>
        <v>134247</v>
      </c>
      <c r="AB253" s="35">
        <f>SUM(AB204,AB208,AB210,AB211,AB218,AB219,AB223,AB220,AB241,AB244,AB245,AB246)</f>
        <v>134247</v>
      </c>
      <c r="AC253" s="35">
        <f>SUM(AC204+AC208+AC210+AC211+AC218+AC219+AC220+AC223+AC241+AC244+AC245+AC246)</f>
        <v>144117</v>
      </c>
      <c r="AD253" s="35">
        <f>SUM(AD204+AD208+AD210+AD211+AD218+AD219+AD220+AD223+AD241+AD244+AD245+AD246)</f>
        <v>147392</v>
      </c>
      <c r="AE253" s="35">
        <f>SUM(AE204+AE208+AE210+AE211+AE218+AE219+AE220+AE223+AE241+AE244+AE245+AE246)</f>
        <v>155783</v>
      </c>
      <c r="AF253" s="35">
        <f>SUM(AF204+AF208+AF210+AF211+AF218+AF219+AF220+AF223+AF241+AF244+AF245+AF246)</f>
        <v>174527</v>
      </c>
      <c r="AG253" s="35">
        <f>SUM(AG204,AG208,AG210,AG211,AG218,AG219,AG223,AG220,AG241,AG244,AG245,AG246)</f>
        <v>174527</v>
      </c>
      <c r="AH253" s="35">
        <f>SUM(AH204+AH208+AH210+AH211+AH218+AH219+AH220+AH223+AH241+AH244+AH245+AH246)</f>
        <v>206189</v>
      </c>
      <c r="AI253" s="35">
        <f>SUM(AI204+AI208+AI210+AI211+AI218+AI219+AI220+AI223+AI241+AI244+AI245+AI246)</f>
        <v>218703</v>
      </c>
      <c r="AJ253" s="35">
        <f>SUM(AJ204+AJ208+AJ210+AJ211+AJ218+AJ219+AJ220+AJ223+AJ241+AJ244+AJ245+AJ246)</f>
        <v>215802.239293867</v>
      </c>
      <c r="AK253" s="35">
        <f>SUM(AK204+AK208+AK210+AK211+AK218+AK219+AK220+AK223+AK241+AK244+AK245+AK246)</f>
        <v>216756.91478141</v>
      </c>
      <c r="AL253" s="35">
        <f>SUM(AL204,AL208,AL210,AL211,AL218,AL219,AL223,AL220,AL241,AL244,AL245,AL246)</f>
        <v>216756.91478141</v>
      </c>
      <c r="AM253" s="35">
        <f>SUM(AM204+AM208+AM210+AM211+AM218+AM219+AM220+AM223+AM241+AM244+AM245+AM246)</f>
        <v>217962.847209735</v>
      </c>
      <c r="AN253" s="35">
        <f>SUM(AN204+AN208+AN210+AN211+AN218+AN219+AN220+AN223+AN241+AN244+AN245+AN246)</f>
        <v>219389.603165712</v>
      </c>
      <c r="AO253" s="35">
        <f>SUM(AO204+AO208+AO210+AO211+AO218+AO219+AO220+AO223+AO241+AO244+AO245+AO246)</f>
        <v>218732.774287058</v>
      </c>
      <c r="AP253" s="35">
        <f>SUM(AP204+AP208+AP210+AP211+AP218+AP219+AP220+AP223+AP241+AP244+AP245+AP246)</f>
        <v>220033.289303398</v>
      </c>
      <c r="AQ253" s="35">
        <f>SUM(AQ204,AQ208,AQ210,AQ211,AQ218,AQ219,AQ223,AQ220,AQ241,AQ244,AQ245,AQ246)</f>
        <v>220033.289303398</v>
      </c>
      <c r="AR253" s="35">
        <f>SUM(AR204+AR208+AR210+AR211+AR218+AR219+AR220+AR223+AR241+AR244+AR245+AR246)</f>
        <v>221466.367023878</v>
      </c>
      <c r="AS253" s="35">
        <f>SUM(AS204+AS208+AS210+AS211+AS218+AS219+AS220+AS223+AS241+AS244+AS245+AS246)</f>
        <v>223448.812916185</v>
      </c>
      <c r="AT253" s="35">
        <f>SUM(AT204+AT208+AT210+AT211+AT218+AT219+AT220+AT223+AT241+AT244+AT245+AT246)</f>
        <v>222974.884495519</v>
      </c>
      <c r="AU253" s="35">
        <f>SUM(AU204+AU208+AU210+AU211+AU218+AU219+AU220+AU223+AU241+AU244+AU245+AU246)</f>
        <v>224765.298776932</v>
      </c>
      <c r="AV253" s="35">
        <f>SUM(AV204,AV208,AV210,AV211,AV218,AV219,AV223,AV220,AV241,AV244,AV245,AV246)</f>
        <v>224765.298776932</v>
      </c>
      <c r="AW253" s="35">
        <f>SUM(AW204+AW208+AW210+AW211+AW218+AW219+AW220+AW223+AW241+AW244+AW245+AW246)</f>
        <v>226810.694258538</v>
      </c>
      <c r="AX253" s="35">
        <f>SUM(AX204+AX208+AX210+AX211+AX218+AX219+AX220+AX223+AX241+AX244+AX245+AX246)</f>
        <v>229309.012625535</v>
      </c>
      <c r="AY253" s="35">
        <f>SUM(AY204+AY208+AY210+AY211+AY218+AY219+AY220+AY223+AY241+AY244+AY245+AY246)</f>
        <v>229197.87865065</v>
      </c>
      <c r="AZ253" s="35">
        <f>SUM(AZ204+AZ208+AZ210+AZ211+AZ218+AZ219+AZ220+AZ223+AZ241+AZ244+AZ245+AZ246)</f>
        <v>231706.463307328</v>
      </c>
      <c r="BA253" s="35">
        <f>SUM(BA204,BA208,BA210,BA211,BA218,BA219,BA223,BA220,BA241,BA244,BA245,BA246)</f>
        <v>231706.463307328</v>
      </c>
      <c r="BB253" s="35">
        <f>SUM(BB204+BB208+BB210+BB211+BB218+BB219+BB220+BB223+BB241+BB244+BB245+BB246)</f>
        <v>234481.697245412</v>
      </c>
      <c r="BC253" s="35">
        <f>SUM(BC204+BC208+BC210+BC211+BC218+BC219+BC220+BC223+BC241+BC244+BC245+BC246)</f>
        <v>237883.399807123</v>
      </c>
      <c r="BD253" s="35">
        <f>SUM(BD204+BD208+BD210+BD211+BD218+BD219+BD220+BD223+BD241+BD244+BD245+BD246)</f>
        <v>238406.857765965</v>
      </c>
      <c r="BE253" s="35">
        <f>SUM(BE204+BE208+BE210+BE211+BE218+BE219+BE220+BE223+BE241+BE244+BE245+BE246)</f>
        <v>241963.441729301</v>
      </c>
      <c r="BF253" s="35">
        <f>SUM(BF204,BF208,BF210,BF211,BF218,BF219,BF223,BF220,BF241,BF244,BF245,BF246)</f>
        <v>241963.441729301</v>
      </c>
      <c r="BG253" s="35" t="n"/>
      <c r="BH253" s="35" t="n"/>
      <c r="BI253" s="35" t="n"/>
      <c r="BJ253" s="35" t="n"/>
      <c r="BK253" s="35" t="n"/>
      <c r="BL253" s="35" t="n"/>
      <c r="BM253" s="35" t="n"/>
      <c r="BN253" s="35" t="n"/>
      <c r="BO253" s="35" t="n"/>
      <c r="BP253" s="35" t="n"/>
      <c r="BQ253" s="35" t="n"/>
      <c r="BR253" s="35" t="n"/>
      <c r="BS253" s="35" t="n"/>
      <c r="BT253" s="35" t="n"/>
      <c r="BU253" s="35" t="n"/>
      <c r="BV253" s="35" t="n"/>
      <c r="BW253" s="35" t="n"/>
      <c r="BX253" s="35" t="n"/>
      <c r="BY253" s="35" t="n"/>
      <c r="BZ253" s="35" t="n"/>
      <c r="CA253" s="35" t="n"/>
      <c r="CB253" s="35" t="n"/>
      <c r="CC253" s="35" t="n"/>
      <c r="CD253" s="35" t="n"/>
      <c r="CE253" s="35" t="n"/>
      <c r="CF253" s="35" t="n"/>
      <c r="CG253" s="35" t="n"/>
      <c r="CH253" s="35" t="n"/>
      <c r="CI253" s="35" t="n"/>
      <c r="CJ253" s="35" t="n"/>
      <c r="CK253" s="35" t="n"/>
      <c r="CL253" s="35" t="n"/>
      <c r="CM253" s="35" t="n"/>
      <c r="CN253" s="35" t="n"/>
      <c r="CO253" s="35" t="n"/>
      <c r="CP253" s="35" t="n"/>
      <c r="CQ253" s="35" t="n"/>
      <c r="CR253" s="35" t="n"/>
      <c r="CS253" s="35" t="n"/>
      <c r="CT253" s="35" t="n"/>
      <c r="CU253" s="35" t="n"/>
      <c r="CV253" s="35" t="n"/>
      <c r="CW253" s="35" t="n"/>
      <c r="CX253" s="35" t="n"/>
      <c r="CY253" s="35" t="n"/>
    </row>
    <row r="254">
      <c r="C254" s="14" t="inlineStr">
        <is>
          <t>Minority interest</t>
        </is>
      </c>
      <c r="D254" s="46" t="n"/>
      <c r="E254" s="46" t="n"/>
      <c r="F254" s="46" t="n"/>
      <c r="G254" s="46" t="n"/>
      <c r="H254" s="12" t="n"/>
      <c r="I254" s="46">
        <f>'Inputs (2)'!D41</f>
        <v>737</v>
      </c>
      <c r="J254" s="46">
        <f>'Inputs (2)'!E41</f>
        <v>714</v>
      </c>
      <c r="K254" s="46">
        <f>'Inputs (2)'!F41</f>
        <v>411</v>
      </c>
      <c r="L254" s="46">
        <f>'Inputs (2)'!G41</f>
        <v>443</v>
      </c>
      <c r="M254" s="12">
        <f>'Inputs (2)'!H41</f>
        <v>443</v>
      </c>
      <c r="N254" s="46">
        <f>'Inputs (2)'!I41</f>
        <v>485</v>
      </c>
      <c r="O254" s="46">
        <f>'Inputs (2)'!J41</f>
        <v>452</v>
      </c>
      <c r="P254" s="46">
        <f>'Inputs (2)'!K41</f>
        <v>426</v>
      </c>
      <c r="Q254" s="46">
        <f>'Inputs (2)'!L41</f>
        <v>470</v>
      </c>
      <c r="R254" s="12">
        <f>'Inputs (2)'!M41</f>
        <v>470</v>
      </c>
      <c r="S254" s="46">
        <f>'Inputs (2)'!N41</f>
        <v>509</v>
      </c>
      <c r="T254" s="46">
        <f>'Inputs (2)'!O41</f>
        <v>483</v>
      </c>
      <c r="U254" s="46">
        <f>'Inputs (2)'!P41</f>
        <v>471</v>
      </c>
      <c r="V254" s="46">
        <f>'Inputs (2)'!Q41</f>
        <v>512</v>
      </c>
      <c r="W254" s="12">
        <f>'Inputs (2)'!R41</f>
        <v>512</v>
      </c>
      <c r="X254" s="46">
        <f>'Inputs (2)'!S41</f>
        <v>559</v>
      </c>
      <c r="Y254" s="46">
        <f>'Inputs (2)'!T41</f>
        <v>535</v>
      </c>
      <c r="Z254" s="46">
        <f>'Inputs (2)'!U41</f>
        <v>453</v>
      </c>
      <c r="AA254" s="46">
        <f>'Inputs (2)'!V41</f>
        <v>490</v>
      </c>
      <c r="AB254" s="12">
        <f>'Inputs (2)'!W41</f>
        <v>490</v>
      </c>
      <c r="AC254" s="46">
        <f>'Inputs (2)'!X41</f>
        <v>531</v>
      </c>
      <c r="AD254" s="46">
        <f>'Inputs (2)'!Y41</f>
        <v>518</v>
      </c>
      <c r="AE254" s="46">
        <f>'Inputs (2)'!Z41</f>
        <v>512</v>
      </c>
      <c r="AF254" s="46">
        <f>'Inputs (2)'!AA41</f>
        <v>506</v>
      </c>
      <c r="AG254" s="12">
        <f>'Inputs (2)'!AB41</f>
        <v>506</v>
      </c>
      <c r="AH254" s="12">
        <f>'Inputs (2)'!AC41</f>
        <v>556</v>
      </c>
      <c r="AI254" s="12">
        <f>'Inputs (2)'!AD41</f>
        <v>548</v>
      </c>
      <c r="AJ254" s="12">
        <f>AI254</f>
        <v>548</v>
      </c>
      <c r="AK254" s="12">
        <f>AJ254</f>
        <v>548</v>
      </c>
      <c r="AL254" s="12">
        <f>AK254</f>
        <v>548</v>
      </c>
      <c r="AM254" s="12">
        <f>AL254</f>
        <v>548</v>
      </c>
      <c r="AN254" s="12">
        <f>AM254</f>
        <v>548</v>
      </c>
      <c r="AO254" s="12">
        <f>AN254</f>
        <v>548</v>
      </c>
      <c r="AP254" s="12">
        <f>AO254</f>
        <v>548</v>
      </c>
      <c r="AQ254" s="12">
        <f>AP254</f>
        <v>548</v>
      </c>
      <c r="AR254" s="12">
        <f>AQ254</f>
        <v>548</v>
      </c>
      <c r="AS254" s="12">
        <f>AR254</f>
        <v>548</v>
      </c>
      <c r="AT254" s="12">
        <f>AS254</f>
        <v>548</v>
      </c>
      <c r="AU254" s="12">
        <f>AT254</f>
        <v>548</v>
      </c>
      <c r="AV254" s="12">
        <f>AU254</f>
        <v>548</v>
      </c>
      <c r="AW254" s="12">
        <f>AV254</f>
        <v>548</v>
      </c>
      <c r="AX254" s="12">
        <f>AW254</f>
        <v>548</v>
      </c>
      <c r="AY254" s="12">
        <f>AX254</f>
        <v>548</v>
      </c>
      <c r="AZ254" s="12">
        <f>AY254</f>
        <v>548</v>
      </c>
      <c r="BA254" s="12">
        <f>AZ254</f>
        <v>548</v>
      </c>
      <c r="BB254" s="12">
        <f>BA254</f>
        <v>548</v>
      </c>
      <c r="BC254" s="12">
        <f>BB254</f>
        <v>548</v>
      </c>
      <c r="BD254" s="12">
        <f>BC254</f>
        <v>548</v>
      </c>
      <c r="BE254" s="12">
        <f>BD254</f>
        <v>548</v>
      </c>
      <c r="BF254" s="12">
        <f>BE254</f>
        <v>548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59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57" t="inlineStr">
        <is>
          <t>Minority Interest Expense - % YoY</t>
        </is>
      </c>
      <c r="D256" s="42" t="n"/>
      <c r="E256" s="58" t="n"/>
      <c r="F256" s="42" t="n"/>
      <c r="G256" s="42" t="n"/>
      <c r="H256" s="58" t="n"/>
      <c r="I256" s="42" t="n"/>
      <c r="J256" s="58">
        <f>IF(I141=0,0,J141/I141-1)</f>
        <v>0</v>
      </c>
      <c r="K256" s="42" t="n"/>
      <c r="L256" s="42" t="n"/>
      <c r="M256" s="58" t="n"/>
      <c r="N256" s="58">
        <f>IF(I141=0,0,N141/I141-1)</f>
        <v>0</v>
      </c>
      <c r="O256" s="58">
        <f>IF(J141=0,0,O141/J141-1)</f>
        <v>0</v>
      </c>
      <c r="P256" s="58">
        <f>IF(K141=0,0,P141/K141-1)</f>
        <v>0</v>
      </c>
      <c r="Q256" s="58">
        <f>IF(L141=0,0,Q141/L141-1)</f>
        <v>0</v>
      </c>
      <c r="R256" s="58" t="n"/>
      <c r="S256" s="58">
        <f>IF(N141=0,0,S141/N141-1)</f>
        <v>0</v>
      </c>
      <c r="T256" s="58">
        <f>IF(O141=0,0,T141/O141-1)</f>
        <v>0</v>
      </c>
      <c r="U256" s="58">
        <f>IF(P141=0,0,U141/P141-1)</f>
        <v>0</v>
      </c>
      <c r="V256" s="58">
        <f>IF(Q141=0,0,V141/Q141-1)</f>
        <v>0</v>
      </c>
      <c r="W256" s="58">
        <f>IF(R142=0,0,W142/R142-1)</f>
        <v>0</v>
      </c>
      <c r="X256" s="58">
        <f>IF(S141=0,0,X141/S141-1)</f>
        <v>0</v>
      </c>
      <c r="Y256" s="58">
        <f>IF(T141=0,0,Y141/T141-1)</f>
        <v>0</v>
      </c>
      <c r="Z256" s="58">
        <f>IF(U141=0,0,Z141/U141-1)</f>
        <v>0</v>
      </c>
      <c r="AA256" s="58">
        <f>IF(V141=0,0,AA141/V141-1)</f>
        <v>0</v>
      </c>
      <c r="AB256" s="58">
        <f>IF(W142=0,0,AB142/W142-1)</f>
        <v>0</v>
      </c>
      <c r="AC256" s="58">
        <f>IF(X141=0,0,AC141/X141-1)</f>
        <v>0</v>
      </c>
      <c r="AD256" s="58">
        <f>IF(Y141=0,0,AD141/Y141-1)</f>
        <v>0</v>
      </c>
      <c r="AE256" s="58">
        <f>IF(Z141=0,0,AE141/Z141-1)</f>
        <v>0</v>
      </c>
      <c r="AF256" s="58">
        <f>IF(AA141=0,0,AF141/AA141-1)</f>
        <v>0</v>
      </c>
      <c r="AG256" s="58">
        <f>IF(AB142=0,0,AG142/AB142-1)</f>
        <v>0</v>
      </c>
      <c r="AH256" s="62">
        <f>IF(AC141=0,0,AH141/AC141-1)</f>
        <v>0</v>
      </c>
      <c r="AI256" s="62">
        <f>IF(AD141=0,0,AI141/AD141-1)</f>
        <v>0</v>
      </c>
      <c r="AJ256" s="62" t="n"/>
      <c r="AK256" s="62" t="n"/>
      <c r="AL256" s="58">
        <f>IF(AG142=0,0,AL142/AG142-1)</f>
        <v>0</v>
      </c>
      <c r="AM256" s="62" t="n"/>
      <c r="AN256" s="62" t="n"/>
      <c r="AO256" s="62" t="n"/>
      <c r="AP256" s="62" t="n"/>
      <c r="AQ256" s="58">
        <f>IF(AL142=0,0,AQ142/AL142-1)</f>
        <v>0</v>
      </c>
      <c r="AR256" s="62" t="n"/>
      <c r="AS256" s="62" t="n"/>
      <c r="AT256" s="62" t="n"/>
      <c r="AU256" s="62" t="n"/>
      <c r="AV256" s="58">
        <f>IF(AQ142=0,0,AV142/AQ142-1)</f>
        <v>0</v>
      </c>
      <c r="AW256" s="62" t="n"/>
      <c r="AX256" s="62" t="n"/>
      <c r="AY256" s="62" t="n"/>
      <c r="AZ256" s="62" t="n"/>
      <c r="BA256" s="58">
        <f>IF(AV142=0,0,BA142/AV142-1)</f>
        <v>0</v>
      </c>
      <c r="BB256" s="62" t="n"/>
      <c r="BC256" s="62" t="n"/>
      <c r="BD256" s="62" t="n"/>
      <c r="BE256" s="62" t="n"/>
      <c r="BF256" s="58">
        <f>IF(BA142=0,0,BF142/BA142-1)</f>
        <v>0</v>
      </c>
      <c r="BG256" s="62" t="n"/>
      <c r="BH256" s="62" t="n"/>
      <c r="BI256" s="62" t="n"/>
      <c r="BJ256" s="62" t="n"/>
      <c r="BK256" s="58" t="n"/>
      <c r="BL256" s="62" t="n"/>
      <c r="BM256" s="62" t="n"/>
      <c r="BN256" s="62" t="n"/>
      <c r="BO256" s="62" t="n"/>
      <c r="BP256" s="58" t="n"/>
      <c r="BQ256" s="62" t="n"/>
      <c r="BR256" s="62" t="n"/>
      <c r="BS256" s="62" t="n"/>
      <c r="BT256" s="62" t="n"/>
      <c r="BU256" s="58" t="n"/>
      <c r="BV256" s="62" t="n"/>
      <c r="BW256" s="62" t="n"/>
      <c r="BX256" s="62" t="n"/>
      <c r="BY256" s="62" t="n"/>
      <c r="BZ256" s="58" t="n"/>
      <c r="CA256" s="62" t="n"/>
      <c r="CB256" s="62" t="n"/>
      <c r="CC256" s="62" t="n"/>
      <c r="CD256" s="62" t="n"/>
      <c r="CE256" s="58" t="n"/>
      <c r="CF256" s="62" t="n"/>
      <c r="CG256" s="62" t="n"/>
      <c r="CH256" s="62" t="n"/>
      <c r="CI256" s="62" t="n"/>
      <c r="CJ256" s="58" t="n"/>
      <c r="CK256" s="62" t="n"/>
      <c r="CL256" s="62" t="n"/>
      <c r="CM256" s="62" t="n"/>
      <c r="CN256" s="62" t="n"/>
      <c r="CO256" s="58" t="n"/>
      <c r="CP256" s="62" t="n"/>
      <c r="CQ256" s="62" t="n"/>
      <c r="CR256" s="62" t="n"/>
      <c r="CS256" s="62" t="n"/>
      <c r="CT256" s="58" t="n"/>
      <c r="CU256" s="62" t="n"/>
      <c r="CV256" s="62" t="n"/>
      <c r="CW256" s="62" t="n"/>
      <c r="CX256" s="62" t="n"/>
      <c r="CY256" s="58" t="n"/>
    </row>
    <row r="257" hidden="1" outlineLevel="1" customFormat="1" s="66">
      <c r="A257" s="37" t="n"/>
      <c r="B257" s="37" t="n"/>
      <c r="C257" s="57" t="inlineStr">
        <is>
          <t>Dividends (enter as -)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62" t="n"/>
      <c r="AI257" s="62" t="n"/>
      <c r="AJ257" s="62" t="n"/>
      <c r="AK257" s="62" t="n"/>
      <c r="AL257" s="42" t="n"/>
      <c r="AM257" s="62" t="n"/>
      <c r="AN257" s="62" t="n"/>
      <c r="AO257" s="62" t="n"/>
      <c r="AP257" s="62" t="n"/>
      <c r="AQ257" s="42" t="n"/>
      <c r="AR257" s="62" t="n"/>
      <c r="AS257" s="62" t="n"/>
      <c r="AT257" s="62" t="n"/>
      <c r="AU257" s="62" t="n"/>
      <c r="AV257" s="42" t="n"/>
      <c r="AW257" s="62" t="n"/>
      <c r="AX257" s="62" t="n"/>
      <c r="AY257" s="62" t="n"/>
      <c r="AZ257" s="62" t="n"/>
      <c r="BA257" s="42" t="n"/>
      <c r="BB257" s="62" t="n"/>
      <c r="BC257" s="62" t="n"/>
      <c r="BD257" s="62" t="n"/>
      <c r="BE257" s="62" t="n"/>
      <c r="BF257" s="42" t="n"/>
      <c r="BG257" s="62" t="n"/>
      <c r="BH257" s="62" t="n"/>
      <c r="BI257" s="62" t="n"/>
      <c r="BJ257" s="62" t="n"/>
      <c r="BK257" s="42" t="n"/>
      <c r="BL257" s="62" t="n"/>
      <c r="BM257" s="62" t="n"/>
      <c r="BN257" s="62" t="n"/>
      <c r="BO257" s="62" t="n"/>
      <c r="BP257" s="42" t="n"/>
      <c r="BQ257" s="62" t="n"/>
      <c r="BR257" s="62" t="n"/>
      <c r="BS257" s="62" t="n"/>
      <c r="BT257" s="62" t="n"/>
      <c r="BU257" s="42" t="n"/>
      <c r="BV257" s="62" t="n"/>
      <c r="BW257" s="62" t="n"/>
      <c r="BX257" s="62" t="n"/>
      <c r="BY257" s="62" t="n"/>
      <c r="BZ257" s="42" t="n"/>
      <c r="CA257" s="62" t="n"/>
      <c r="CB257" s="62" t="n"/>
      <c r="CC257" s="62" t="n"/>
      <c r="CD257" s="62" t="n"/>
      <c r="CE257" s="42" t="n"/>
      <c r="CF257" s="62" t="n"/>
      <c r="CG257" s="62" t="n"/>
      <c r="CH257" s="62" t="n"/>
      <c r="CI257" s="62" t="n"/>
      <c r="CJ257" s="42" t="n"/>
      <c r="CK257" s="62" t="n"/>
      <c r="CL257" s="62" t="n"/>
      <c r="CM257" s="62" t="n"/>
      <c r="CN257" s="62" t="n"/>
      <c r="CO257" s="42" t="n"/>
      <c r="CP257" s="62" t="n"/>
      <c r="CQ257" s="62" t="n"/>
      <c r="CR257" s="62" t="n"/>
      <c r="CS257" s="62" t="n"/>
      <c r="CT257" s="42" t="n"/>
      <c r="CU257" s="62" t="n"/>
      <c r="CV257" s="62" t="n"/>
      <c r="CW257" s="62" t="n"/>
      <c r="CX257" s="62" t="n"/>
      <c r="CY257" s="42" t="n"/>
    </row>
    <row r="258" hidden="1" outlineLevel="1" customFormat="1" s="66">
      <c r="A258" s="37" t="n"/>
      <c r="B258" s="37" t="n"/>
      <c r="C258" s="59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  <c r="CY258" s="42" t="n"/>
    </row>
    <row r="259" collapsed="1">
      <c r="C259" s="14" t="inlineStr">
        <is>
          <t>Convertible Preferred Stock</t>
        </is>
      </c>
      <c r="D259" s="46" t="n"/>
      <c r="E259" s="46" t="n"/>
      <c r="F259" s="46" t="n"/>
      <c r="G259" s="46" t="n"/>
      <c r="H259" s="12" t="n"/>
      <c r="I259" s="46">
        <f>'Inputs (2)'!D42</f>
        <v>0</v>
      </c>
      <c r="J259" s="46">
        <f>'Inputs (2)'!E42</f>
        <v>0</v>
      </c>
      <c r="K259" s="46">
        <f>'Inputs (2)'!F42</f>
        <v>0</v>
      </c>
      <c r="L259" s="46">
        <f>'Inputs (2)'!G42</f>
        <v>0</v>
      </c>
      <c r="M259" s="12">
        <f>'Inputs (2)'!H42</f>
        <v>0</v>
      </c>
      <c r="N259" s="46">
        <f>'Inputs (2)'!I42</f>
        <v>0</v>
      </c>
      <c r="O259" s="46">
        <f>'Inputs (2)'!J42</f>
        <v>0</v>
      </c>
      <c r="P259" s="46">
        <f>'Inputs (2)'!K42</f>
        <v>0</v>
      </c>
      <c r="Q259" s="46">
        <f>'Inputs (2)'!L42</f>
        <v>0</v>
      </c>
      <c r="R259" s="12">
        <f>'Inputs (2)'!M42</f>
        <v>0</v>
      </c>
      <c r="S259" s="46">
        <f>'Inputs (2)'!N42</f>
        <v>0</v>
      </c>
      <c r="T259" s="46">
        <f>'Inputs (2)'!O42</f>
        <v>0</v>
      </c>
      <c r="U259" s="46">
        <f>'Inputs (2)'!P42</f>
        <v>0</v>
      </c>
      <c r="V259" s="46">
        <f>'Inputs (2)'!Q42</f>
        <v>0</v>
      </c>
      <c r="W259" s="12">
        <f>'Inputs (2)'!R42</f>
        <v>0</v>
      </c>
      <c r="X259" s="46">
        <f>'Inputs (2)'!S42</f>
        <v>0</v>
      </c>
      <c r="Y259" s="46">
        <f>'Inputs (2)'!T42</f>
        <v>0</v>
      </c>
      <c r="Z259" s="46">
        <f>'Inputs (2)'!U42</f>
        <v>0</v>
      </c>
      <c r="AA259" s="46">
        <f>'Inputs (2)'!V42</f>
        <v>0</v>
      </c>
      <c r="AB259" s="12">
        <f>'Inputs (2)'!W42</f>
        <v>0</v>
      </c>
      <c r="AC259" s="46">
        <f>'Inputs (2)'!X42</f>
        <v>0</v>
      </c>
      <c r="AD259" s="46">
        <f>'Inputs (2)'!Y42</f>
        <v>0</v>
      </c>
      <c r="AE259" s="46">
        <f>'Inputs (2)'!Z42</f>
        <v>0</v>
      </c>
      <c r="AF259" s="46">
        <f>'Inputs (2)'!AA42</f>
        <v>0</v>
      </c>
      <c r="AG259" s="12">
        <f>'Inputs (2)'!AB42</f>
        <v>0</v>
      </c>
      <c r="AH259" s="12">
        <f>'Inputs (2)'!AC42</f>
        <v>0</v>
      </c>
      <c r="AI259" s="12">
        <f>'Inputs (2)'!AD42</f>
        <v>0</v>
      </c>
      <c r="AJ259" s="12">
        <f>AI259</f>
        <v>0</v>
      </c>
      <c r="AK259" s="12">
        <f>AJ259</f>
        <v>0</v>
      </c>
      <c r="AL259" s="12">
        <f>AK259</f>
        <v>0</v>
      </c>
      <c r="AM259" s="12">
        <f>AL259</f>
        <v>0</v>
      </c>
      <c r="AN259" s="12">
        <f>AM259</f>
        <v>0</v>
      </c>
      <c r="AO259" s="12">
        <f>AN259</f>
        <v>0</v>
      </c>
      <c r="AP259" s="12">
        <f>AO259</f>
        <v>0</v>
      </c>
      <c r="AQ259" s="12">
        <f>AP259</f>
        <v>0</v>
      </c>
      <c r="AR259" s="12">
        <f>AQ259</f>
        <v>0</v>
      </c>
      <c r="AS259" s="12">
        <f>AR259</f>
        <v>0</v>
      </c>
      <c r="AT259" s="12">
        <f>AS259</f>
        <v>0</v>
      </c>
      <c r="AU259" s="12">
        <f>AT259</f>
        <v>0</v>
      </c>
      <c r="AV259" s="12">
        <f>AU259</f>
        <v>0</v>
      </c>
      <c r="AW259" s="12">
        <f>AV259</f>
        <v>0</v>
      </c>
      <c r="AX259" s="12">
        <f>AW259</f>
        <v>0</v>
      </c>
      <c r="AY259" s="12">
        <f>AX259</f>
        <v>0</v>
      </c>
      <c r="AZ259" s="12">
        <f>AY259</f>
        <v>0</v>
      </c>
      <c r="BA259" s="12">
        <f>AZ259</f>
        <v>0</v>
      </c>
      <c r="BB259" s="12">
        <f>BA259</f>
        <v>0</v>
      </c>
      <c r="BC259" s="12">
        <f>BB259</f>
        <v>0</v>
      </c>
      <c r="BD259" s="12">
        <f>BC259</f>
        <v>0</v>
      </c>
      <c r="BE259" s="12">
        <f>BD259</f>
        <v>0</v>
      </c>
      <c r="BF259" s="12">
        <f>BE259</f>
        <v>0</v>
      </c>
      <c r="BG259" s="12" t="n"/>
      <c r="BH259" s="12" t="n"/>
      <c r="BI259" s="12" t="n"/>
      <c r="BJ259" s="12" t="n"/>
      <c r="BK259" s="12" t="n"/>
      <c r="BL259" s="12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  <c r="CA259" s="12" t="n"/>
      <c r="CB259" s="12" t="n"/>
      <c r="CC259" s="12" t="n"/>
      <c r="CD259" s="12" t="n"/>
      <c r="CE259" s="12" t="n"/>
      <c r="CF259" s="12" t="n"/>
      <c r="CG259" s="12" t="n"/>
      <c r="CH259" s="12" t="n"/>
      <c r="CI259" s="12" t="n"/>
      <c r="CJ259" s="12" t="n"/>
      <c r="CK259" s="12" t="n"/>
      <c r="CL259" s="12" t="n"/>
      <c r="CM259" s="12" t="n"/>
      <c r="CN259" s="12" t="n"/>
      <c r="CO259" s="12" t="n"/>
      <c r="CP259" s="12" t="n"/>
      <c r="CQ259" s="12" t="n"/>
      <c r="CR259" s="12" t="n"/>
      <c r="CS259" s="12" t="n"/>
      <c r="CT259" s="12" t="n"/>
      <c r="CU259" s="12" t="n"/>
      <c r="CV259" s="12" t="n"/>
      <c r="CW259" s="12" t="n"/>
      <c r="CX259" s="12" t="n"/>
      <c r="CY259" s="12" t="n"/>
    </row>
    <row r="260">
      <c r="C260" s="13" t="inlineStr">
        <is>
          <t>Common Stock and APIC</t>
        </is>
      </c>
      <c r="D260" s="46" t="n"/>
      <c r="E260" s="46" t="n"/>
      <c r="F260" s="46" t="n"/>
      <c r="G260" s="46" t="n"/>
      <c r="H260" s="12" t="n"/>
      <c r="I260" s="46">
        <f>'Inputs (2)'!D43</f>
        <v>26261</v>
      </c>
      <c r="J260" s="46">
        <f>'Inputs (2)'!E43</f>
        <v>26533</v>
      </c>
      <c r="K260" s="46">
        <f>'Inputs (2)'!F43</f>
        <v>25534</v>
      </c>
      <c r="L260" s="46">
        <f>'Inputs (2)'!G43</f>
        <v>25591</v>
      </c>
      <c r="M260" s="12">
        <f>'Inputs (2)'!H43</f>
        <v>25591</v>
      </c>
      <c r="N260" s="46">
        <f>'Inputs (2)'!I43</f>
        <v>26129</v>
      </c>
      <c r="O260" s="46">
        <f>'Inputs (2)'!J43</f>
        <v>26808</v>
      </c>
      <c r="P260" s="46">
        <f>'Inputs (2)'!K43</f>
        <v>27224</v>
      </c>
      <c r="Q260" s="46">
        <f>'Inputs (2)'!L43</f>
        <v>28148</v>
      </c>
      <c r="R260" s="12">
        <f>'Inputs (2)'!M43</f>
        <v>28148</v>
      </c>
      <c r="S260" s="46">
        <f>'Inputs (2)'!N43</f>
        <v>28994</v>
      </c>
      <c r="T260" s="46">
        <f>'Inputs (2)'!O43</f>
        <v>30215</v>
      </c>
      <c r="U260" s="46">
        <f>'Inputs (2)'!P43</f>
        <v>30295</v>
      </c>
      <c r="V260" s="46">
        <f>'Inputs (2)'!Q43</f>
        <v>30724</v>
      </c>
      <c r="W260" s="12">
        <f>'Inputs (2)'!R43</f>
        <v>30724</v>
      </c>
      <c r="X260" s="46">
        <f>'Inputs (2)'!S43</f>
        <v>31622</v>
      </c>
      <c r="Y260" s="46">
        <f>'Inputs (2)'!T43</f>
        <v>32764</v>
      </c>
      <c r="Z260" s="46">
        <f>'Inputs (2)'!U43</f>
        <v>33083</v>
      </c>
      <c r="AA260" s="46">
        <f>'Inputs (2)'!V43</f>
        <v>34310</v>
      </c>
      <c r="AB260" s="12">
        <f>'Inputs (2)'!W43</f>
        <v>34310</v>
      </c>
      <c r="AC260" s="46">
        <f>'Inputs (2)'!X43</f>
        <v>35691</v>
      </c>
      <c r="AD260" s="46">
        <f>'Inputs (2)'!Y43</f>
        <v>37107</v>
      </c>
      <c r="AE260" s="46">
        <f>'Inputs (2)'!Z43</f>
        <v>39378</v>
      </c>
      <c r="AF260" s="46">
        <f>'Inputs (2)'!AA43</f>
        <v>40577</v>
      </c>
      <c r="AG260" s="12">
        <f>'Inputs (2)'!AB43</f>
        <v>40577</v>
      </c>
      <c r="AH260" s="12">
        <f>'Inputs (2)'!AC43</f>
        <v>41910</v>
      </c>
      <c r="AI260" s="12">
        <f>'Inputs (2)'!AD43</f>
        <v>43243</v>
      </c>
      <c r="AJ260" s="12">
        <f>AI260+AJ264</f>
        <v>43243</v>
      </c>
      <c r="AK260" s="12">
        <f>AJ260+AK264</f>
        <v>43243</v>
      </c>
      <c r="AL260" s="12">
        <f>AK260</f>
        <v>43243</v>
      </c>
      <c r="AM260" s="12">
        <f>AL260+AM264</f>
        <v>43243</v>
      </c>
      <c r="AN260" s="12">
        <f>AM260+AN264</f>
        <v>43243</v>
      </c>
      <c r="AO260" s="12">
        <f>AN260+AO264</f>
        <v>43243</v>
      </c>
      <c r="AP260" s="12">
        <f>AO260+AP264</f>
        <v>43243</v>
      </c>
      <c r="AQ260" s="12">
        <f>AP260</f>
        <v>43243</v>
      </c>
      <c r="AR260" s="12">
        <f>AQ260+AR264</f>
        <v>43243</v>
      </c>
      <c r="AS260" s="12">
        <f>AR260+AS264</f>
        <v>43243</v>
      </c>
      <c r="AT260" s="12">
        <f>AS260+AT264</f>
        <v>43243</v>
      </c>
      <c r="AU260" s="12">
        <f>AT260+AU264</f>
        <v>43243</v>
      </c>
      <c r="AV260" s="12">
        <f>AU260</f>
        <v>43243</v>
      </c>
      <c r="AW260" s="12">
        <f>AV260+AW264</f>
        <v>43243</v>
      </c>
      <c r="AX260" s="12">
        <f>AW260+AX264</f>
        <v>43243</v>
      </c>
      <c r="AY260" s="12">
        <f>AX260+AY264</f>
        <v>43243</v>
      </c>
      <c r="AZ260" s="12">
        <f>AY260+AZ264</f>
        <v>43243</v>
      </c>
      <c r="BA260" s="12">
        <f>AZ260</f>
        <v>43243</v>
      </c>
      <c r="BB260" s="12">
        <f>BA260+BB264</f>
        <v>43243</v>
      </c>
      <c r="BC260" s="12">
        <f>BB260+BC264</f>
        <v>43243</v>
      </c>
      <c r="BD260" s="12">
        <f>BC260+BD264</f>
        <v>43243</v>
      </c>
      <c r="BE260" s="12">
        <f>BD260+BE264</f>
        <v>43243</v>
      </c>
      <c r="BF260" s="12">
        <f>BE260</f>
        <v>43243</v>
      </c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  <c r="CY261" s="42" t="n"/>
    </row>
    <row r="262" hidden="1" outlineLevel="1" customFormat="1" s="66">
      <c r="A262" s="37" t="n"/>
      <c r="B262" s="37" t="n"/>
      <c r="C262" s="67" t="inlineStr">
        <is>
          <t>Diluted Shares outstanding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  <c r="CY262" s="42" t="n"/>
    </row>
    <row r="263" hidden="1" outlineLevel="1" customFormat="1" s="66">
      <c r="A263" s="37" t="n"/>
      <c r="B263" s="37" t="n"/>
      <c r="C263" s="67" t="inlineStr">
        <is>
          <t>Treasury share $ repurchases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11" t="n"/>
      <c r="AI263" s="11" t="n"/>
      <c r="AJ263" s="11" t="n"/>
      <c r="AK263" s="11" t="n"/>
      <c r="AL263" s="42" t="n"/>
      <c r="AM263" s="11" t="n"/>
      <c r="AN263" s="11" t="n"/>
      <c r="AO263" s="11" t="n"/>
      <c r="AP263" s="11" t="n"/>
      <c r="AQ263" s="42" t="n"/>
      <c r="AR263" s="11" t="n"/>
      <c r="AS263" s="11" t="n"/>
      <c r="AT263" s="11" t="n"/>
      <c r="AU263" s="11" t="n"/>
      <c r="AV263" s="42" t="n"/>
      <c r="AW263" s="11" t="n"/>
      <c r="AX263" s="11" t="n"/>
      <c r="AY263" s="11" t="n"/>
      <c r="AZ263" s="11" t="n"/>
      <c r="BA263" s="42" t="n"/>
      <c r="BB263" s="11" t="n"/>
      <c r="BC263" s="11" t="n"/>
      <c r="BD263" s="11" t="n"/>
      <c r="BE263" s="11" t="n"/>
      <c r="BF263" s="42" t="n"/>
      <c r="BG263" s="11" t="n"/>
      <c r="BH263" s="11" t="n"/>
      <c r="BI263" s="11" t="n"/>
      <c r="BJ263" s="11" t="n"/>
      <c r="BK263" s="42" t="n"/>
      <c r="BL263" s="11" t="n"/>
      <c r="BM263" s="11" t="n"/>
      <c r="BN263" s="11" t="n"/>
      <c r="BO263" s="11" t="n"/>
      <c r="BP263" s="42" t="n"/>
      <c r="BQ263" s="11" t="n"/>
      <c r="BR263" s="11" t="n"/>
      <c r="BS263" s="11" t="n"/>
      <c r="BT263" s="11" t="n"/>
      <c r="BU263" s="42" t="n"/>
      <c r="BV263" s="11" t="n"/>
      <c r="BW263" s="11" t="n"/>
      <c r="BX263" s="11" t="n"/>
      <c r="BY263" s="11" t="n"/>
      <c r="BZ263" s="42" t="n"/>
      <c r="CA263" s="11" t="n"/>
      <c r="CB263" s="11" t="n"/>
      <c r="CC263" s="11" t="n"/>
      <c r="CD263" s="11" t="n"/>
      <c r="CE263" s="42" t="n"/>
      <c r="CF263" s="11" t="n"/>
      <c r="CG263" s="11" t="n"/>
      <c r="CH263" s="11" t="n"/>
      <c r="CI263" s="11" t="n"/>
      <c r="CJ263" s="42" t="n"/>
      <c r="CK263" s="11" t="n"/>
      <c r="CL263" s="11" t="n"/>
      <c r="CM263" s="11" t="n"/>
      <c r="CN263" s="11" t="n"/>
      <c r="CO263" s="42" t="n"/>
      <c r="CP263" s="11" t="n"/>
      <c r="CQ263" s="11" t="n"/>
      <c r="CR263" s="11" t="n"/>
      <c r="CS263" s="11" t="n"/>
      <c r="CT263" s="42" t="n"/>
      <c r="CU263" s="11" t="n"/>
      <c r="CV263" s="11" t="n"/>
      <c r="CW263" s="11" t="n"/>
      <c r="CX263" s="11" t="n"/>
      <c r="CY263" s="42" t="n"/>
    </row>
    <row r="264" hidden="1" outlineLevel="1" customFormat="1" s="66">
      <c r="A264" s="37" t="n"/>
      <c r="B264" s="37" t="n"/>
      <c r="C264" s="67" t="inlineStr">
        <is>
          <t>Value of shares issued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11" t="n"/>
      <c r="AI264" s="11" t="n"/>
      <c r="AJ264" s="11" t="n"/>
      <c r="AK264" s="11" t="n"/>
      <c r="AL264" s="42" t="n"/>
      <c r="AM264" s="11" t="n"/>
      <c r="AN264" s="11" t="n"/>
      <c r="AO264" s="11" t="n"/>
      <c r="AP264" s="11" t="n"/>
      <c r="AQ264" s="42" t="n"/>
      <c r="AR264" s="11" t="n"/>
      <c r="AS264" s="11" t="n"/>
      <c r="AT264" s="11" t="n"/>
      <c r="AU264" s="11" t="n"/>
      <c r="AV264" s="42" t="n"/>
      <c r="AW264" s="11" t="n"/>
      <c r="AX264" s="11" t="n"/>
      <c r="AY264" s="11" t="n"/>
      <c r="AZ264" s="11" t="n"/>
      <c r="BA264" s="42" t="n"/>
      <c r="BB264" s="11" t="n"/>
      <c r="BC264" s="11" t="n"/>
      <c r="BD264" s="11" t="n"/>
      <c r="BE264" s="11" t="n"/>
      <c r="BF264" s="42" t="n"/>
      <c r="BG264" s="11" t="n"/>
      <c r="BH264" s="11" t="n"/>
      <c r="BI264" s="11" t="n"/>
      <c r="BJ264" s="11" t="n"/>
      <c r="BK264" s="42" t="n"/>
      <c r="BL264" s="11" t="n"/>
      <c r="BM264" s="11" t="n"/>
      <c r="BN264" s="11" t="n"/>
      <c r="BO264" s="11" t="n"/>
      <c r="BP264" s="42" t="n"/>
      <c r="BQ264" s="11" t="n"/>
      <c r="BR264" s="11" t="n"/>
      <c r="BS264" s="11" t="n"/>
      <c r="BT264" s="11" t="n"/>
      <c r="BU264" s="42" t="n"/>
      <c r="BV264" s="11" t="n"/>
      <c r="BW264" s="11" t="n"/>
      <c r="BX264" s="11" t="n"/>
      <c r="BY264" s="11" t="n"/>
      <c r="BZ264" s="42" t="n"/>
      <c r="CA264" s="11" t="n"/>
      <c r="CB264" s="11" t="n"/>
      <c r="CC264" s="11" t="n"/>
      <c r="CD264" s="11" t="n"/>
      <c r="CE264" s="42" t="n"/>
      <c r="CF264" s="11" t="n"/>
      <c r="CG264" s="11" t="n"/>
      <c r="CH264" s="11" t="n"/>
      <c r="CI264" s="11" t="n"/>
      <c r="CJ264" s="42" t="n"/>
      <c r="CK264" s="11" t="n"/>
      <c r="CL264" s="11" t="n"/>
      <c r="CM264" s="11" t="n"/>
      <c r="CN264" s="11" t="n"/>
      <c r="CO264" s="42" t="n"/>
      <c r="CP264" s="11" t="n"/>
      <c r="CQ264" s="11" t="n"/>
      <c r="CR264" s="11" t="n"/>
      <c r="CS264" s="11" t="n"/>
      <c r="CT264" s="42" t="n"/>
      <c r="CU264" s="11" t="n"/>
      <c r="CV264" s="11" t="n"/>
      <c r="CW264" s="11" t="n"/>
      <c r="CX264" s="11" t="n"/>
      <c r="CY264" s="42" t="n"/>
    </row>
    <row r="265" hidden="1" outlineLevel="1" customFormat="1" s="66">
      <c r="A265" s="37" t="n"/>
      <c r="B265" s="37" t="n"/>
      <c r="C265" s="67" t="inlineStr">
        <is>
          <t>Expected average share price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8">
        <f>AF265*(1+AH266)</f>
        <v>0</v>
      </c>
      <c r="AI265" s="68">
        <f>AH265*(1+AI266)</f>
        <v>0</v>
      </c>
      <c r="AJ265" s="68">
        <f>AH265*(1+AJ266)</f>
        <v>0</v>
      </c>
      <c r="AK265" s="68">
        <f>AJ265*(1+AK266)</f>
        <v>0</v>
      </c>
      <c r="AL265" s="42" t="n"/>
      <c r="AM265" s="68">
        <f>AK265*(1+AM266)</f>
        <v>0</v>
      </c>
      <c r="AN265" s="68">
        <f>AM265*(1+AN266)</f>
        <v>0</v>
      </c>
      <c r="AO265" s="68">
        <f>AM265*(1+AO266)</f>
        <v>0</v>
      </c>
      <c r="AP265" s="68">
        <f>AO265*(1+AP266)</f>
        <v>0</v>
      </c>
      <c r="AQ265" s="42" t="n"/>
      <c r="AR265" s="68">
        <f>AP265*(1+AR266)</f>
        <v>0</v>
      </c>
      <c r="AS265" s="68">
        <f>AR265*(1+AS266)</f>
        <v>0</v>
      </c>
      <c r="AT265" s="68">
        <f>AR265*(1+AT266)</f>
        <v>0</v>
      </c>
      <c r="AU265" s="68">
        <f>AT265*(1+AU266)</f>
        <v>0</v>
      </c>
      <c r="AV265" s="42" t="n"/>
      <c r="AW265" s="68">
        <f>AU265*(1+AW266)</f>
        <v>0</v>
      </c>
      <c r="AX265" s="68">
        <f>AW265*(1+AX266)</f>
        <v>0</v>
      </c>
      <c r="AY265" s="68">
        <f>AW265*(1+AY266)</f>
        <v>0</v>
      </c>
      <c r="AZ265" s="68">
        <f>AY265*(1+AZ266)</f>
        <v>0</v>
      </c>
      <c r="BA265" s="42" t="n"/>
      <c r="BB265" s="68">
        <f>AZ265*(1+BB266)</f>
        <v>0</v>
      </c>
      <c r="BC265" s="68">
        <f>BB265*(1+BC266)</f>
        <v>0</v>
      </c>
      <c r="BD265" s="68">
        <f>BB265*(1+BD266)</f>
        <v>0</v>
      </c>
      <c r="BE265" s="68">
        <f>BD265*(1+BE266)</f>
        <v>0</v>
      </c>
      <c r="BF265" s="42" t="n"/>
      <c r="BG265" s="68" t="n"/>
      <c r="BH265" s="68" t="n"/>
      <c r="BI265" s="68" t="n"/>
      <c r="BJ265" s="68" t="n"/>
      <c r="BK265" s="42" t="n"/>
      <c r="BL265" s="68" t="n"/>
      <c r="BM265" s="68" t="n"/>
      <c r="BN265" s="68" t="n"/>
      <c r="BO265" s="68" t="n"/>
      <c r="BP265" s="42" t="n"/>
      <c r="BQ265" s="68" t="n"/>
      <c r="BR265" s="68" t="n"/>
      <c r="BS265" s="68" t="n"/>
      <c r="BT265" s="68" t="n"/>
      <c r="BU265" s="42" t="n"/>
      <c r="BV265" s="68" t="n"/>
      <c r="BW265" s="68" t="n"/>
      <c r="BX265" s="68" t="n"/>
      <c r="BY265" s="68" t="n"/>
      <c r="BZ265" s="42" t="n"/>
      <c r="CA265" s="68" t="n"/>
      <c r="CB265" s="68" t="n"/>
      <c r="CC265" s="68" t="n"/>
      <c r="CD265" s="68" t="n"/>
      <c r="CE265" s="42" t="n"/>
      <c r="CF265" s="68" t="n"/>
      <c r="CG265" s="68" t="n"/>
      <c r="CH265" s="68" t="n"/>
      <c r="CI265" s="68" t="n"/>
      <c r="CJ265" s="42" t="n"/>
      <c r="CK265" s="68" t="n"/>
      <c r="CL265" s="68" t="n"/>
      <c r="CM265" s="68" t="n"/>
      <c r="CN265" s="68" t="n"/>
      <c r="CO265" s="42" t="n"/>
      <c r="CP265" s="68" t="n"/>
      <c r="CQ265" s="68" t="n"/>
      <c r="CR265" s="68" t="n"/>
      <c r="CS265" s="68" t="n"/>
      <c r="CT265" s="42" t="n"/>
      <c r="CU265" s="68" t="n"/>
      <c r="CV265" s="68" t="n"/>
      <c r="CW265" s="68" t="n"/>
      <c r="CX265" s="68" t="n"/>
      <c r="CY265" s="42" t="n"/>
    </row>
    <row r="266" hidden="1" outlineLevel="1" customFormat="1" s="66">
      <c r="A266" s="37" t="n"/>
      <c r="B266" s="37" t="n"/>
      <c r="C266" s="67" t="inlineStr">
        <is>
          <t>Consensus EPS growth</t>
        </is>
      </c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58">
        <f>$AL$271</f>
        <v>0</v>
      </c>
      <c r="AI266" s="58">
        <f>$AL$271</f>
        <v>0</v>
      </c>
      <c r="AJ266" s="58">
        <f>$AL$271</f>
        <v>0</v>
      </c>
      <c r="AK266" s="58">
        <f>$AL$271</f>
        <v>0</v>
      </c>
      <c r="AL266" s="42" t="n"/>
      <c r="AM266" s="58">
        <f>$AL$271</f>
        <v>0</v>
      </c>
      <c r="AN266" s="58">
        <f>$AL$271</f>
        <v>0</v>
      </c>
      <c r="AO266" s="58">
        <f>$AL$271</f>
        <v>0</v>
      </c>
      <c r="AP266" s="58">
        <f>$AL$271</f>
        <v>0</v>
      </c>
      <c r="AQ266" s="42" t="n"/>
      <c r="AR266" s="58">
        <f>$AL$271</f>
        <v>0</v>
      </c>
      <c r="AS266" s="58">
        <f>$AL$271</f>
        <v>0</v>
      </c>
      <c r="AT266" s="58">
        <f>$AL$271</f>
        <v>0</v>
      </c>
      <c r="AU266" s="58">
        <f>$AL$271</f>
        <v>0</v>
      </c>
      <c r="AV266" s="42" t="n"/>
      <c r="AW266" s="58">
        <f>$AL$271</f>
        <v>0</v>
      </c>
      <c r="AX266" s="58">
        <f>$AL$271</f>
        <v>0</v>
      </c>
      <c r="AY266" s="58">
        <f>$AL$271</f>
        <v>0</v>
      </c>
      <c r="AZ266" s="58">
        <f>$AL$271</f>
        <v>0</v>
      </c>
      <c r="BA266" s="42" t="n"/>
      <c r="BB266" s="58">
        <f>$AL$271</f>
        <v>0</v>
      </c>
      <c r="BC266" s="58">
        <f>$AL$271</f>
        <v>0</v>
      </c>
      <c r="BD266" s="58">
        <f>$AL$271</f>
        <v>0</v>
      </c>
      <c r="BE266" s="58">
        <f>$AL$271</f>
        <v>0</v>
      </c>
      <c r="BF266" s="42" t="n"/>
      <c r="BG266" s="58" t="n"/>
      <c r="BH266" s="58" t="n"/>
      <c r="BI266" s="58" t="n"/>
      <c r="BJ266" s="58" t="n"/>
      <c r="BK266" s="42" t="n"/>
      <c r="BL266" s="58" t="n"/>
      <c r="BM266" s="58" t="n"/>
      <c r="BN266" s="58" t="n"/>
      <c r="BO266" s="58" t="n"/>
      <c r="BP266" s="42" t="n"/>
      <c r="BQ266" s="58" t="n"/>
      <c r="BR266" s="58" t="n"/>
      <c r="BS266" s="58" t="n"/>
      <c r="BT266" s="58" t="n"/>
      <c r="BU266" s="42" t="n"/>
      <c r="BV266" s="58" t="n"/>
      <c r="BW266" s="58" t="n"/>
      <c r="BX266" s="58" t="n"/>
      <c r="BY266" s="58" t="n"/>
      <c r="BZ266" s="42" t="n"/>
      <c r="CA266" s="58" t="n"/>
      <c r="CB266" s="58" t="n"/>
      <c r="CC266" s="58" t="n"/>
      <c r="CD266" s="58" t="n"/>
      <c r="CE266" s="42" t="n"/>
      <c r="CF266" s="58" t="n"/>
      <c r="CG266" s="58" t="n"/>
      <c r="CH266" s="58" t="n"/>
      <c r="CI266" s="58" t="n"/>
      <c r="CJ266" s="42" t="n"/>
      <c r="CK266" s="58" t="n"/>
      <c r="CL266" s="58" t="n"/>
      <c r="CM266" s="58" t="n"/>
      <c r="CN266" s="58" t="n"/>
      <c r="CO266" s="42" t="n"/>
      <c r="CP266" s="58" t="n"/>
      <c r="CQ266" s="58" t="n"/>
      <c r="CR266" s="58" t="n"/>
      <c r="CS266" s="58" t="n"/>
      <c r="CT266" s="42" t="n"/>
      <c r="CU266" s="58" t="n"/>
      <c r="CV266" s="58" t="n"/>
      <c r="CW266" s="58" t="n"/>
      <c r="CX266" s="58" t="n"/>
      <c r="CY266" s="42" t="n"/>
    </row>
    <row r="267" hidden="1" outlineLevel="1" customFormat="1" s="66">
      <c r="A267" s="37" t="n"/>
      <c r="B267" s="37" t="n"/>
      <c r="C267" s="67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12" t="n"/>
      <c r="AI267" s="12" t="n"/>
      <c r="AJ267" s="12" t="n"/>
      <c r="AK267" s="12" t="n"/>
      <c r="AL267" s="42" t="n"/>
      <c r="AM267" s="12" t="n"/>
      <c r="AN267" s="12" t="n"/>
      <c r="AO267" s="12" t="n"/>
      <c r="AP267" s="12" t="n"/>
      <c r="AQ267" s="42" t="n"/>
      <c r="AR267" s="12" t="n"/>
      <c r="AS267" s="12" t="n"/>
      <c r="AT267" s="12" t="n"/>
      <c r="AU267" s="12" t="n"/>
      <c r="AV267" s="42" t="n"/>
      <c r="AW267" s="12" t="n"/>
      <c r="AX267" s="12" t="n"/>
      <c r="AY267" s="12" t="n"/>
      <c r="AZ267" s="12" t="n"/>
      <c r="BA267" s="42" t="n"/>
      <c r="BB267" s="12" t="n"/>
      <c r="BC267" s="12" t="n"/>
      <c r="BD267" s="12" t="n"/>
      <c r="BE267" s="12" t="n"/>
      <c r="BF267" s="42" t="n"/>
      <c r="BG267" s="12" t="n"/>
      <c r="BH267" s="12" t="n"/>
      <c r="BI267" s="12" t="n"/>
      <c r="BJ267" s="12" t="n"/>
      <c r="BK267" s="42" t="n"/>
      <c r="BL267" s="12" t="n"/>
      <c r="BM267" s="12" t="n"/>
      <c r="BN267" s="12" t="n"/>
      <c r="BO267" s="12" t="n"/>
      <c r="BP267" s="42" t="n"/>
      <c r="BQ267" s="12" t="n"/>
      <c r="BR267" s="12" t="n"/>
      <c r="BS267" s="12" t="n"/>
      <c r="BT267" s="12" t="n"/>
      <c r="BU267" s="42" t="n"/>
      <c r="BV267" s="12" t="n"/>
      <c r="BW267" s="12" t="n"/>
      <c r="BX267" s="12" t="n"/>
      <c r="BY267" s="12" t="n"/>
      <c r="BZ267" s="42" t="n"/>
      <c r="CA267" s="12" t="n"/>
      <c r="CB267" s="12" t="n"/>
      <c r="CC267" s="12" t="n"/>
      <c r="CD267" s="12" t="n"/>
      <c r="CE267" s="42" t="n"/>
      <c r="CF267" s="12" t="n"/>
      <c r="CG267" s="12" t="n"/>
      <c r="CH267" s="12" t="n"/>
      <c r="CI267" s="12" t="n"/>
      <c r="CJ267" s="42" t="n"/>
      <c r="CK267" s="12" t="n"/>
      <c r="CL267" s="12" t="n"/>
      <c r="CM267" s="12" t="n"/>
      <c r="CN267" s="12" t="n"/>
      <c r="CO267" s="42" t="n"/>
      <c r="CP267" s="12" t="n"/>
      <c r="CQ267" s="12" t="n"/>
      <c r="CR267" s="12" t="n"/>
      <c r="CS267" s="12" t="n"/>
      <c r="CT267" s="42" t="n"/>
      <c r="CU267" s="12" t="n"/>
      <c r="CV267" s="12" t="n"/>
      <c r="CW267" s="12" t="n"/>
      <c r="CX267" s="12" t="n"/>
      <c r="CY267" s="42" t="n"/>
    </row>
    <row r="268" hidden="1" outlineLevel="1" customFormat="1" s="66">
      <c r="A268" s="37" t="n"/>
      <c r="B268" s="37" t="n"/>
      <c r="C268" s="67" t="inlineStr">
        <is>
          <t>Shares repurchased</t>
        </is>
      </c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69" t="str">
        <f>IFERROR(-AH263/AH265,"")</f>
        <v/>
      </c>
      <c r="AI268" s="69" t="str">
        <f>IFERROR(-AI263/AI265,"")</f>
        <v/>
      </c>
      <c r="AJ268" s="69" t="str">
        <f>IFERROR(-AJ263/AJ265,"")</f>
        <v/>
      </c>
      <c r="AK268" s="69" t="str">
        <f>IFERROR(-AK263/AK265,"")</f>
        <v/>
      </c>
      <c r="AL268" s="42" t="n"/>
      <c r="AM268" s="69" t="str">
        <f>IFERROR(-AM263/AM265,"")</f>
        <v/>
      </c>
      <c r="AN268" s="69" t="str">
        <f>IFERROR(-AN263/AN265,"")</f>
        <v/>
      </c>
      <c r="AO268" s="69" t="str">
        <f>IFERROR(-AO263/AO265,"")</f>
        <v/>
      </c>
      <c r="AP268" s="69" t="str">
        <f>IFERROR(-AP263/AP265,"")</f>
        <v/>
      </c>
      <c r="AQ268" s="42" t="n"/>
      <c r="AR268" s="69" t="str">
        <f>IFERROR(-AR263/AR265,"")</f>
        <v/>
      </c>
      <c r="AS268" s="69" t="str">
        <f>IFERROR(-AS263/AS265,"")</f>
        <v/>
      </c>
      <c r="AT268" s="69" t="str">
        <f>IFERROR(-AT263/AT265,"")</f>
        <v/>
      </c>
      <c r="AU268" s="69" t="str">
        <f>IFERROR(-AU263/AU265,"")</f>
        <v/>
      </c>
      <c r="AV268" s="42" t="n"/>
      <c r="AW268" s="69" t="str">
        <f>IFERROR(-AW263/AW265,"")</f>
        <v/>
      </c>
      <c r="AX268" s="69" t="str">
        <f>IFERROR(-AX263/AX265,"")</f>
        <v/>
      </c>
      <c r="AY268" s="69" t="str">
        <f>IFERROR(-AY263/AY265,"")</f>
        <v/>
      </c>
      <c r="AZ268" s="69" t="str">
        <f>IFERROR(-AZ263/AZ265,"")</f>
        <v/>
      </c>
      <c r="BA268" s="42" t="n"/>
      <c r="BB268" s="69" t="str">
        <f>IFERROR(-BB263/BB265,"")</f>
        <v/>
      </c>
      <c r="BC268" s="69" t="str">
        <f>IFERROR(-BC263/BC265,"")</f>
        <v/>
      </c>
      <c r="BD268" s="69" t="str">
        <f>IFERROR(-BD263/BD265,"")</f>
        <v/>
      </c>
      <c r="BE268" s="69" t="str">
        <f>IFERROR(-BE263/BE265,"")</f>
        <v/>
      </c>
      <c r="BF268" s="42" t="n"/>
      <c r="BG268" s="69" t="n"/>
      <c r="BH268" s="69" t="n"/>
      <c r="BI268" s="69" t="n"/>
      <c r="BJ268" s="69" t="n"/>
      <c r="BK268" s="42" t="n"/>
      <c r="BL268" s="69" t="n"/>
      <c r="BM268" s="69" t="n"/>
      <c r="BN268" s="69" t="n"/>
      <c r="BO268" s="69" t="n"/>
      <c r="BP268" s="42" t="n"/>
      <c r="BQ268" s="69" t="n"/>
      <c r="BR268" s="69" t="n"/>
      <c r="BS268" s="69" t="n"/>
      <c r="BT268" s="69" t="n"/>
      <c r="BU268" s="42" t="n"/>
      <c r="BV268" s="69" t="n"/>
      <c r="BW268" s="69" t="n"/>
      <c r="BX268" s="69" t="n"/>
      <c r="BY268" s="69" t="n"/>
      <c r="BZ268" s="42" t="n"/>
      <c r="CA268" s="69" t="n"/>
      <c r="CB268" s="69" t="n"/>
      <c r="CC268" s="69" t="n"/>
      <c r="CD268" s="69" t="n"/>
      <c r="CE268" s="42" t="n"/>
      <c r="CF268" s="69" t="n"/>
      <c r="CG268" s="69" t="n"/>
      <c r="CH268" s="69" t="n"/>
      <c r="CI268" s="69" t="n"/>
      <c r="CJ268" s="42" t="n"/>
      <c r="CK268" s="69" t="n"/>
      <c r="CL268" s="69" t="n"/>
      <c r="CM268" s="69" t="n"/>
      <c r="CN268" s="69" t="n"/>
      <c r="CO268" s="42" t="n"/>
      <c r="CP268" s="69" t="n"/>
      <c r="CQ268" s="69" t="n"/>
      <c r="CR268" s="69" t="n"/>
      <c r="CS268" s="69" t="n"/>
      <c r="CT268" s="42" t="n"/>
      <c r="CU268" s="69" t="n"/>
      <c r="CV268" s="69" t="n"/>
      <c r="CW268" s="69" t="n"/>
      <c r="CX268" s="69" t="n"/>
      <c r="CY268" s="42" t="n"/>
    </row>
    <row r="269" hidden="1" outlineLevel="1" customFormat="1" s="66">
      <c r="A269" s="37" t="n"/>
      <c r="B269" s="37" t="n"/>
      <c r="C269" s="67" t="inlineStr">
        <is>
          <t>Shares issued</t>
        </is>
      </c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9" t="n"/>
      <c r="AG269" s="42" t="n"/>
      <c r="AH269" s="69" t="str">
        <f>IFERROR(AH264/AH265,"")</f>
        <v/>
      </c>
      <c r="AI269" s="69" t="str">
        <f>IFERROR(AI264/AI265,"")</f>
        <v/>
      </c>
      <c r="AJ269" s="69" t="str">
        <f>IFERROR(AJ264/AJ265,"")</f>
        <v/>
      </c>
      <c r="AK269" s="69" t="str">
        <f>IFERROR(AK264/AK265,"")</f>
        <v/>
      </c>
      <c r="AL269" s="42" t="n"/>
      <c r="AM269" s="69" t="str">
        <f>IFERROR(AM264/AM265,"")</f>
        <v/>
      </c>
      <c r="AN269" s="69" t="str">
        <f>IFERROR(AN264/AN265,"")</f>
        <v/>
      </c>
      <c r="AO269" s="69" t="str">
        <f>IFERROR(AO264/AO265,"")</f>
        <v/>
      </c>
      <c r="AP269" s="69" t="str">
        <f>IFERROR(AP264/AP265,"")</f>
        <v/>
      </c>
      <c r="AQ269" s="42" t="n"/>
      <c r="AR269" s="69" t="str">
        <f>IFERROR(AR264/AR265,"")</f>
        <v/>
      </c>
      <c r="AS269" s="69" t="str">
        <f>IFERROR(AS264/AS265,"")</f>
        <v/>
      </c>
      <c r="AT269" s="69" t="str">
        <f>IFERROR(AT264/AT265,"")</f>
        <v/>
      </c>
      <c r="AU269" s="69" t="str">
        <f>IFERROR(AU264/AU265,"")</f>
        <v/>
      </c>
      <c r="AV269" s="42" t="n"/>
      <c r="AW269" s="69" t="str">
        <f>IFERROR(AW264/AW265,"")</f>
        <v/>
      </c>
      <c r="AX269" s="69" t="str">
        <f>IFERROR(AX264/AX265,"")</f>
        <v/>
      </c>
      <c r="AY269" s="69" t="str">
        <f>IFERROR(AY264/AY265,"")</f>
        <v/>
      </c>
      <c r="AZ269" s="69" t="str">
        <f>IFERROR(AZ264/AZ265,"")</f>
        <v/>
      </c>
      <c r="BA269" s="42" t="n"/>
      <c r="BB269" s="69" t="str">
        <f>IFERROR(BB264/BB265,"")</f>
        <v/>
      </c>
      <c r="BC269" s="69" t="str">
        <f>IFERROR(BC264/BC265,"")</f>
        <v/>
      </c>
      <c r="BD269" s="69" t="str">
        <f>IFERROR(BD264/BD265,"")</f>
        <v/>
      </c>
      <c r="BE269" s="69" t="str">
        <f>IFERROR(BE264/BE265,"")</f>
        <v/>
      </c>
      <c r="BF269" s="42" t="n"/>
      <c r="BG269" s="69" t="n"/>
      <c r="BH269" s="69" t="n"/>
      <c r="BI269" s="69" t="n"/>
      <c r="BJ269" s="69" t="n"/>
      <c r="BK269" s="42" t="n"/>
      <c r="BL269" s="69" t="n"/>
      <c r="BM269" s="69" t="n"/>
      <c r="BN269" s="69" t="n"/>
      <c r="BO269" s="69" t="n"/>
      <c r="BP269" s="42" t="n"/>
      <c r="BQ269" s="69" t="n"/>
      <c r="BR269" s="69" t="n"/>
      <c r="BS269" s="69" t="n"/>
      <c r="BT269" s="69" t="n"/>
      <c r="BU269" s="42" t="n"/>
      <c r="BV269" s="69" t="n"/>
      <c r="BW269" s="69" t="n"/>
      <c r="BX269" s="69" t="n"/>
      <c r="BY269" s="69" t="n"/>
      <c r="BZ269" s="42" t="n"/>
      <c r="CA269" s="69" t="n"/>
      <c r="CB269" s="69" t="n"/>
      <c r="CC269" s="69" t="n"/>
      <c r="CD269" s="69" t="n"/>
      <c r="CE269" s="42" t="n"/>
      <c r="CF269" s="69" t="n"/>
      <c r="CG269" s="69" t="n"/>
      <c r="CH269" s="69" t="n"/>
      <c r="CI269" s="69" t="n"/>
      <c r="CJ269" s="42" t="n"/>
      <c r="CK269" s="69" t="n"/>
      <c r="CL269" s="69" t="n"/>
      <c r="CM269" s="69" t="n"/>
      <c r="CN269" s="69" t="n"/>
      <c r="CO269" s="42" t="n"/>
      <c r="CP269" s="69" t="n"/>
      <c r="CQ269" s="69" t="n"/>
      <c r="CR269" s="69" t="n"/>
      <c r="CS269" s="69" t="n"/>
      <c r="CT269" s="42" t="n"/>
      <c r="CU269" s="69" t="n"/>
      <c r="CV269" s="69" t="n"/>
      <c r="CW269" s="69" t="n"/>
      <c r="CX269" s="69" t="n"/>
      <c r="CY269" s="42" t="n"/>
    </row>
    <row r="270" hidden="1" outlineLevel="1" customFormat="1" s="66">
      <c r="A270" s="37" t="n"/>
      <c r="B270" s="37" t="n"/>
      <c r="C270" s="67" t="inlineStr">
        <is>
          <t>End of period basic shares outstanding</t>
        </is>
      </c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3" t="str">
        <f>IFERROR(AG270+AH269-AH268,"")</f>
        <v/>
      </c>
      <c r="AI270" s="3" t="str">
        <f>IFERROR(AH270+AI269-AI268,"")</f>
        <v/>
      </c>
      <c r="AJ270" s="69" t="str">
        <f>IFERROR(AH270+AJ269-AJ268,"")</f>
        <v/>
      </c>
      <c r="AK270" s="69" t="str">
        <f>IFERROR(AJ270+AK269-AK268,"")</f>
        <v/>
      </c>
      <c r="AL270" s="42" t="n"/>
      <c r="AM270" s="3" t="str">
        <f>IFERROR(AK270+AM269-AM268,"")</f>
        <v/>
      </c>
      <c r="AN270" s="3" t="str">
        <f>IFERROR(AM270+AN269-AN268,"")</f>
        <v/>
      </c>
      <c r="AO270" s="69" t="str">
        <f>IFERROR(AM270+AO269-AO268,"")</f>
        <v/>
      </c>
      <c r="AP270" s="69" t="str">
        <f>IFERROR(AO270+AP269-AP268,"")</f>
        <v/>
      </c>
      <c r="AQ270" s="42" t="n"/>
      <c r="AR270" s="3" t="str">
        <f>IFERROR(AP270+AR269-AR268,"")</f>
        <v/>
      </c>
      <c r="AS270" s="3" t="str">
        <f>IFERROR(AR270+AS269-AS268,"")</f>
        <v/>
      </c>
      <c r="AT270" s="69" t="str">
        <f>IFERROR(AR270+AT269-AT268,"")</f>
        <v/>
      </c>
      <c r="AU270" s="69" t="str">
        <f>IFERROR(AT270+AU269-AU268,"")</f>
        <v/>
      </c>
      <c r="AV270" s="42" t="n"/>
      <c r="AW270" s="3" t="str">
        <f>IFERROR(AU270+AW269-AW268,"")</f>
        <v/>
      </c>
      <c r="AX270" s="3" t="str">
        <f>IFERROR(AW270+AX269-AX268,"")</f>
        <v/>
      </c>
      <c r="AY270" s="69" t="str">
        <f>IFERROR(AW270+AY269-AY268,"")</f>
        <v/>
      </c>
      <c r="AZ270" s="69" t="str">
        <f>IFERROR(AY270+AZ269-AZ268,"")</f>
        <v/>
      </c>
      <c r="BA270" s="42" t="n"/>
      <c r="BB270" s="3" t="str">
        <f>IFERROR(AZ270+BB269-BB268,"")</f>
        <v/>
      </c>
      <c r="BC270" s="3" t="str">
        <f>IFERROR(BB270+BC269-BC268,"")</f>
        <v/>
      </c>
      <c r="BD270" s="69" t="str">
        <f>IFERROR(BB270+BD269-BD268,"")</f>
        <v/>
      </c>
      <c r="BE270" s="69" t="str">
        <f>IFERROR(BD270+BE269-BE268,"")</f>
        <v/>
      </c>
      <c r="BF270" s="42" t="n"/>
      <c r="BG270" s="3" t="n"/>
      <c r="BH270" s="3" t="n"/>
      <c r="BI270" s="69" t="n"/>
      <c r="BJ270" s="69" t="n"/>
      <c r="BK270" s="42" t="n"/>
      <c r="BL270" s="3" t="n"/>
      <c r="BM270" s="3" t="n"/>
      <c r="BN270" s="69" t="n"/>
      <c r="BO270" s="69" t="n"/>
      <c r="BP270" s="42" t="n"/>
      <c r="BQ270" s="3" t="n"/>
      <c r="BR270" s="3" t="n"/>
      <c r="BS270" s="69" t="n"/>
      <c r="BT270" s="69" t="n"/>
      <c r="BU270" s="42" t="n"/>
      <c r="BV270" s="3" t="n"/>
      <c r="BW270" s="3" t="n"/>
      <c r="BX270" s="69" t="n"/>
      <c r="BY270" s="69" t="n"/>
      <c r="BZ270" s="42" t="n"/>
      <c r="CA270" s="3" t="n"/>
      <c r="CB270" s="3" t="n"/>
      <c r="CC270" s="69" t="n"/>
      <c r="CD270" s="69" t="n"/>
      <c r="CE270" s="42" t="n"/>
      <c r="CF270" s="3" t="n"/>
      <c r="CG270" s="3" t="n"/>
      <c r="CH270" s="69" t="n"/>
      <c r="CI270" s="69" t="n"/>
      <c r="CJ270" s="42" t="n"/>
      <c r="CK270" s="3" t="n"/>
      <c r="CL270" s="3" t="n"/>
      <c r="CM270" s="69" t="n"/>
      <c r="CN270" s="69" t="n"/>
      <c r="CO270" s="42" t="n"/>
      <c r="CP270" s="3" t="n"/>
      <c r="CQ270" s="3" t="n"/>
      <c r="CR270" s="69" t="n"/>
      <c r="CS270" s="69" t="n"/>
      <c r="CT270" s="42" t="n"/>
      <c r="CU270" s="3" t="n"/>
      <c r="CV270" s="3" t="n"/>
      <c r="CW270" s="69" t="n"/>
      <c r="CX270" s="69" t="n"/>
      <c r="CY270" s="42" t="n"/>
    </row>
    <row r="271" hidden="1" outlineLevel="1" customFormat="1" s="66">
      <c r="A271" s="37" t="n"/>
      <c r="B271" s="37" t="n"/>
      <c r="C271" s="67" t="inlineStr">
        <is>
          <t>Weighted average basic shares outstanding</t>
        </is>
      </c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69" t="str">
        <f>IFERROR(AVERAGE(AG270,AH270),"")</f>
        <v/>
      </c>
      <c r="AI271" s="69" t="str">
        <f>IFERROR(AVERAGE(AH270,AI270),"")</f>
        <v/>
      </c>
      <c r="AJ271" s="69" t="str">
        <f>IFERROR(AVERAGE(AH270,AJ270),"")</f>
        <v/>
      </c>
      <c r="AK271" s="69" t="str">
        <f>IFERROR(AVERAGE(AJ270,AK270),"")</f>
        <v/>
      </c>
      <c r="AL271" s="42" t="n"/>
      <c r="AM271" s="69" t="str">
        <f>IFERROR(AVERAGE(AL270,AM270),"")</f>
        <v/>
      </c>
      <c r="AN271" s="69" t="str">
        <f>IFERROR(AVERAGE(AM270,AN270),"")</f>
        <v/>
      </c>
      <c r="AO271" s="69" t="str">
        <f>IFERROR(AVERAGE(AM270,AO270),"")</f>
        <v/>
      </c>
      <c r="AP271" s="69" t="str">
        <f>IFERROR(AVERAGE(AO270,AP270),"")</f>
        <v/>
      </c>
      <c r="AQ271" s="42" t="n"/>
      <c r="AR271" s="69" t="str">
        <f>IFERROR(AVERAGE(AQ270,AR270),"")</f>
        <v/>
      </c>
      <c r="AS271" s="69" t="str">
        <f>IFERROR(AVERAGE(AR270,AS270),"")</f>
        <v/>
      </c>
      <c r="AT271" s="69" t="str">
        <f>IFERROR(AVERAGE(AR270,AT270),"")</f>
        <v/>
      </c>
      <c r="AU271" s="69" t="str">
        <f>IFERROR(AVERAGE(AT270,AU270),"")</f>
        <v/>
      </c>
      <c r="AV271" s="42" t="n"/>
      <c r="AW271" s="69" t="str">
        <f>IFERROR(AVERAGE(AV270,AW270),"")</f>
        <v/>
      </c>
      <c r="AX271" s="69" t="str">
        <f>IFERROR(AVERAGE(AW270,AX270),"")</f>
        <v/>
      </c>
      <c r="AY271" s="69" t="str">
        <f>IFERROR(AVERAGE(AW270,AY270),"")</f>
        <v/>
      </c>
      <c r="AZ271" s="69" t="str">
        <f>IFERROR(AVERAGE(AY270,AZ270),"")</f>
        <v/>
      </c>
      <c r="BA271" s="42" t="n"/>
      <c r="BB271" s="69" t="str">
        <f>IFERROR(AVERAGE(BA270,BB270),"")</f>
        <v/>
      </c>
      <c r="BC271" s="69" t="str">
        <f>IFERROR(AVERAGE(BB270,BC270),"")</f>
        <v/>
      </c>
      <c r="BD271" s="69" t="str">
        <f>IFERROR(AVERAGE(BB270,BD270),"")</f>
        <v/>
      </c>
      <c r="BE271" s="69" t="str">
        <f>IFERROR(AVERAGE(BD270,BE270),"")</f>
        <v/>
      </c>
      <c r="BF271" s="42" t="n"/>
      <c r="BG271" s="69" t="n"/>
      <c r="BH271" s="69" t="n"/>
      <c r="BI271" s="69" t="n"/>
      <c r="BJ271" s="69" t="n"/>
      <c r="BK271" s="42" t="n"/>
      <c r="BL271" s="69" t="n"/>
      <c r="BM271" s="69" t="n"/>
      <c r="BN271" s="69" t="n"/>
      <c r="BO271" s="69" t="n"/>
      <c r="BP271" s="42" t="n"/>
      <c r="BQ271" s="69" t="n"/>
      <c r="BR271" s="69" t="n"/>
      <c r="BS271" s="69" t="n"/>
      <c r="BT271" s="69" t="n"/>
      <c r="BU271" s="42" t="n"/>
      <c r="BV271" s="69" t="n"/>
      <c r="BW271" s="69" t="n"/>
      <c r="BX271" s="69" t="n"/>
      <c r="BY271" s="69" t="n"/>
      <c r="BZ271" s="42" t="n"/>
      <c r="CA271" s="69" t="n"/>
      <c r="CB271" s="69" t="n"/>
      <c r="CC271" s="69" t="n"/>
      <c r="CD271" s="69" t="n"/>
      <c r="CE271" s="42" t="n"/>
      <c r="CF271" s="69" t="n"/>
      <c r="CG271" s="69" t="n"/>
      <c r="CH271" s="69" t="n"/>
      <c r="CI271" s="69" t="n"/>
      <c r="CJ271" s="42" t="n"/>
      <c r="CK271" s="69" t="n"/>
      <c r="CL271" s="69" t="n"/>
      <c r="CM271" s="69" t="n"/>
      <c r="CN271" s="69" t="n"/>
      <c r="CO271" s="42" t="n"/>
      <c r="CP271" s="69" t="n"/>
      <c r="CQ271" s="69" t="n"/>
      <c r="CR271" s="69" t="n"/>
      <c r="CS271" s="69" t="n"/>
      <c r="CT271" s="42" t="n"/>
      <c r="CU271" s="69" t="n"/>
      <c r="CV271" s="69" t="n"/>
      <c r="CW271" s="69" t="n"/>
      <c r="CX271" s="69" t="n"/>
      <c r="CY271" s="42" t="n"/>
    </row>
    <row r="272" hidden="1" outlineLevel="1" customFormat="1" s="66">
      <c r="A272" s="37" t="n"/>
      <c r="B272" s="37" t="n"/>
      <c r="C272" s="67" t="n"/>
      <c r="D272" s="42" t="n"/>
      <c r="E272" s="42" t="n"/>
      <c r="F272" s="42" t="n"/>
      <c r="G272" s="42" t="n"/>
      <c r="H272" s="12" t="n"/>
      <c r="I272" s="42" t="n"/>
      <c r="J272" s="42" t="n"/>
      <c r="K272" s="42" t="n"/>
      <c r="L272" s="42" t="n"/>
      <c r="M272" s="12" t="n"/>
      <c r="N272" s="42" t="n"/>
      <c r="O272" s="42" t="n"/>
      <c r="P272" s="42" t="n"/>
      <c r="Q272" s="42" t="n"/>
      <c r="R272" s="12" t="n"/>
      <c r="S272" s="42" t="n"/>
      <c r="T272" s="42" t="n"/>
      <c r="U272" s="42" t="n"/>
      <c r="V272" s="42" t="n"/>
      <c r="W272" s="12" t="n"/>
      <c r="X272" s="42" t="n"/>
      <c r="Y272" s="42" t="n"/>
      <c r="Z272" s="42" t="n"/>
      <c r="AA272" s="42" t="n"/>
      <c r="AB272" s="12" t="n"/>
      <c r="AC272" s="42" t="n"/>
      <c r="AD272" s="42" t="n"/>
      <c r="AE272" s="42" t="n"/>
      <c r="AF272" s="42" t="n"/>
      <c r="AG272" s="12" t="n"/>
      <c r="AH272" s="42" t="n"/>
      <c r="AI272" s="42" t="n"/>
      <c r="AJ272" s="42" t="n"/>
      <c r="AK272" s="42" t="n"/>
      <c r="AL272" s="12" t="n"/>
      <c r="AM272" s="42" t="n"/>
      <c r="AN272" s="42" t="n"/>
      <c r="AO272" s="42" t="n"/>
      <c r="AP272" s="42" t="n"/>
      <c r="AQ272" s="12" t="n"/>
      <c r="AR272" s="42" t="n"/>
      <c r="AS272" s="42" t="n"/>
      <c r="AT272" s="42" t="n"/>
      <c r="AU272" s="42" t="n"/>
      <c r="AV272" s="12" t="n"/>
      <c r="AW272" s="42" t="n"/>
      <c r="AX272" s="42" t="n"/>
      <c r="AY272" s="42" t="n"/>
      <c r="AZ272" s="42" t="n"/>
      <c r="BA272" s="12" t="n"/>
      <c r="BB272" s="42" t="n"/>
      <c r="BC272" s="42" t="n"/>
      <c r="BD272" s="42" t="n"/>
      <c r="BE272" s="42" t="n"/>
      <c r="BF272" s="12" t="n"/>
      <c r="BG272" s="42" t="n"/>
      <c r="BH272" s="42" t="n"/>
      <c r="BI272" s="42" t="n"/>
      <c r="BJ272" s="42" t="n"/>
      <c r="BK272" s="12" t="n"/>
      <c r="BL272" s="42" t="n"/>
      <c r="BM272" s="42" t="n"/>
      <c r="BN272" s="42" t="n"/>
      <c r="BO272" s="42" t="n"/>
      <c r="BP272" s="12" t="n"/>
      <c r="BQ272" s="42" t="n"/>
      <c r="BR272" s="42" t="n"/>
      <c r="BS272" s="42" t="n"/>
      <c r="BT272" s="42" t="n"/>
      <c r="BU272" s="12" t="n"/>
      <c r="BV272" s="42" t="n"/>
      <c r="BW272" s="42" t="n"/>
      <c r="BX272" s="42" t="n"/>
      <c r="BY272" s="42" t="n"/>
      <c r="BZ272" s="12" t="n"/>
      <c r="CA272" s="42" t="n"/>
      <c r="CB272" s="42" t="n"/>
      <c r="CC272" s="42" t="n"/>
      <c r="CD272" s="42" t="n"/>
      <c r="CE272" s="12" t="n"/>
      <c r="CF272" s="42" t="n"/>
      <c r="CG272" s="42" t="n"/>
      <c r="CH272" s="42" t="n"/>
      <c r="CI272" s="42" t="n"/>
      <c r="CJ272" s="12" t="n"/>
      <c r="CK272" s="42" t="n"/>
      <c r="CL272" s="42" t="n"/>
      <c r="CM272" s="42" t="n"/>
      <c r="CN272" s="42" t="n"/>
      <c r="CO272" s="12" t="n"/>
      <c r="CP272" s="42" t="n"/>
      <c r="CQ272" s="42" t="n"/>
      <c r="CR272" s="42" t="n"/>
      <c r="CS272" s="42" t="n"/>
      <c r="CT272" s="12" t="n"/>
      <c r="CU272" s="42" t="n"/>
      <c r="CV272" s="42" t="n"/>
      <c r="CW272" s="42" t="n"/>
      <c r="CX272" s="42" t="n"/>
      <c r="CY272" s="12" t="n"/>
    </row>
    <row r="273" collapsed="1">
      <c r="C273" s="14" t="inlineStr">
        <is>
          <t>Treasury stock (contra account)</t>
        </is>
      </c>
      <c r="D273" s="46" t="n"/>
      <c r="E273" s="46" t="n"/>
      <c r="F273" s="46" t="n"/>
      <c r="G273" s="46" t="n"/>
      <c r="H273" s="12" t="n"/>
      <c r="I273" s="46">
        <f>'Inputs (2)'!D44</f>
        <v>0</v>
      </c>
      <c r="J273" s="46">
        <f>'Inputs (2)'!E44</f>
        <v>0</v>
      </c>
      <c r="K273" s="46">
        <f>'Inputs (2)'!F44</f>
        <v>0</v>
      </c>
      <c r="L273" s="46">
        <f>'Inputs (2)'!G44</f>
        <v>0</v>
      </c>
      <c r="M273" s="12">
        <f>'Inputs (2)'!H44</f>
        <v>0</v>
      </c>
      <c r="N273" s="46">
        <f>'Inputs (2)'!I44</f>
        <v>0</v>
      </c>
      <c r="O273" s="46">
        <f>'Inputs (2)'!J44</f>
        <v>0</v>
      </c>
      <c r="P273" s="46">
        <f>'Inputs (2)'!K44</f>
        <v>0</v>
      </c>
      <c r="Q273" s="46">
        <f>'Inputs (2)'!L44</f>
        <v>0</v>
      </c>
      <c r="R273" s="12">
        <f>'Inputs (2)'!M44</f>
        <v>0</v>
      </c>
      <c r="S273" s="46">
        <f>'Inputs (2)'!N44</f>
        <v>0</v>
      </c>
      <c r="T273" s="46">
        <f>'Inputs (2)'!O44</f>
        <v>0</v>
      </c>
      <c r="U273" s="46">
        <f>'Inputs (2)'!P44</f>
        <v>0</v>
      </c>
      <c r="V273" s="46">
        <f>'Inputs (2)'!Q44</f>
        <v>0</v>
      </c>
      <c r="W273" s="12">
        <f>'Inputs (2)'!R44</f>
        <v>0</v>
      </c>
      <c r="X273" s="46">
        <f>'Inputs (2)'!S44</f>
        <v>0</v>
      </c>
      <c r="Y273" s="46">
        <f>'Inputs (2)'!T44</f>
        <v>0</v>
      </c>
      <c r="Z273" s="46">
        <f>'Inputs (2)'!U44</f>
        <v>0</v>
      </c>
      <c r="AA273" s="46">
        <f>'Inputs (2)'!V44</f>
        <v>0</v>
      </c>
      <c r="AB273" s="12">
        <f>'Inputs (2)'!W44</f>
        <v>0</v>
      </c>
      <c r="AC273" s="46">
        <f>'Inputs (2)'!X44</f>
        <v>0</v>
      </c>
      <c r="AD273" s="46">
        <f>'Inputs (2)'!Y44</f>
        <v>0</v>
      </c>
      <c r="AE273" s="46">
        <f>'Inputs (2)'!Z44</f>
        <v>0</v>
      </c>
      <c r="AF273" s="46">
        <f>'Inputs (2)'!AA44</f>
        <v>0</v>
      </c>
      <c r="AG273" s="12">
        <f>'Inputs (2)'!AB44</f>
        <v>0</v>
      </c>
      <c r="AH273" s="12">
        <f>'Inputs (2)'!AC44</f>
        <v>0</v>
      </c>
      <c r="AI273" s="12">
        <f>'Inputs (2)'!AD44</f>
        <v>0</v>
      </c>
      <c r="AJ273" s="12">
        <f>AI273</f>
        <v>0</v>
      </c>
      <c r="AK273" s="12">
        <f>AJ273</f>
        <v>0</v>
      </c>
      <c r="AL273" s="12">
        <f>AK273</f>
        <v>0</v>
      </c>
      <c r="AM273" s="12">
        <f>AL273</f>
        <v>0</v>
      </c>
      <c r="AN273" s="12">
        <f>AM273</f>
        <v>0</v>
      </c>
      <c r="AO273" s="12">
        <f>AN273</f>
        <v>0</v>
      </c>
      <c r="AP273" s="12">
        <f>AO273</f>
        <v>0</v>
      </c>
      <c r="AQ273" s="12">
        <f>AP273</f>
        <v>0</v>
      </c>
      <c r="AR273" s="12">
        <f>AQ273</f>
        <v>0</v>
      </c>
      <c r="AS273" s="12">
        <f>AR273</f>
        <v>0</v>
      </c>
      <c r="AT273" s="12">
        <f>AS273</f>
        <v>0</v>
      </c>
      <c r="AU273" s="12">
        <f>AT273</f>
        <v>0</v>
      </c>
      <c r="AV273" s="12">
        <f>AU273</f>
        <v>0</v>
      </c>
      <c r="AW273" s="12">
        <f>AV273</f>
        <v>0</v>
      </c>
      <c r="AX273" s="12">
        <f>AW273</f>
        <v>0</v>
      </c>
      <c r="AY273" s="12">
        <f>AX273</f>
        <v>0</v>
      </c>
      <c r="AZ273" s="12">
        <f>AY273</f>
        <v>0</v>
      </c>
      <c r="BA273" s="12">
        <f>AZ273</f>
        <v>0</v>
      </c>
      <c r="BB273" s="12">
        <f>BA273</f>
        <v>0</v>
      </c>
      <c r="BC273" s="12">
        <f>BB273</f>
        <v>0</v>
      </c>
      <c r="BD273" s="12">
        <f>BC273</f>
        <v>0</v>
      </c>
      <c r="BE273" s="12">
        <f>BD273</f>
        <v>0</v>
      </c>
      <c r="BF273" s="12">
        <f>BE273</f>
        <v>0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>
      <c r="C274" s="14" t="inlineStr">
        <is>
          <t>Comprehensive (accumulated) loss</t>
        </is>
      </c>
      <c r="D274" s="46" t="n"/>
      <c r="E274" s="46" t="n"/>
      <c r="F274" s="46" t="n"/>
      <c r="G274" s="46" t="n"/>
      <c r="H274" s="12" t="n"/>
      <c r="I274" s="46">
        <f>'Inputs (2)'!D45</f>
        <v>-1155</v>
      </c>
      <c r="J274" s="46">
        <f>'Inputs (2)'!E45</f>
        <v>-1175</v>
      </c>
      <c r="K274" s="46">
        <f>'Inputs (2)'!F45</f>
        <v>-1396</v>
      </c>
      <c r="L274" s="46">
        <f>'Inputs (2)'!G45</f>
        <v>-1616</v>
      </c>
      <c r="M274" s="12">
        <f>'Inputs (2)'!H45</f>
        <v>-1616</v>
      </c>
      <c r="N274" s="46">
        <f>'Inputs (2)'!I45</f>
        <v>-1678</v>
      </c>
      <c r="O274" s="46">
        <f>'Inputs (2)'!J45</f>
        <v>-1692</v>
      </c>
      <c r="P274" s="46">
        <f>'Inputs (2)'!K45</f>
        <v>-1965</v>
      </c>
      <c r="Q274" s="46">
        <f>'Inputs (2)'!L45</f>
        <v>-1777</v>
      </c>
      <c r="R274" s="12">
        <f>'Inputs (2)'!M45</f>
        <v>-1777</v>
      </c>
      <c r="S274" s="46">
        <f>'Inputs (2)'!N45</f>
        <v>-1694</v>
      </c>
      <c r="T274" s="46">
        <f>'Inputs (2)'!O45</f>
        <v>-1522</v>
      </c>
      <c r="U274" s="46">
        <f>'Inputs (2)'!P45</f>
        <v>-1497</v>
      </c>
      <c r="V274" s="46">
        <f>'Inputs (2)'!Q45</f>
        <v>-1427</v>
      </c>
      <c r="W274" s="12">
        <f>'Inputs (2)'!R45</f>
        <v>-1427</v>
      </c>
      <c r="X274" s="46">
        <f>'Inputs (2)'!S45</f>
        <v>-1466</v>
      </c>
      <c r="Y274" s="46">
        <f>'Inputs (2)'!T45</f>
        <v>-1432</v>
      </c>
      <c r="Z274" s="46">
        <f>'Inputs (2)'!U45</f>
        <v>-1328</v>
      </c>
      <c r="AA274" s="46">
        <f>'Inputs (2)'!V45</f>
        <v>-1519</v>
      </c>
      <c r="AB274" s="12">
        <f>'Inputs (2)'!W45</f>
        <v>-1519</v>
      </c>
      <c r="AC274" s="46">
        <f>'Inputs (2)'!X45</f>
        <v>-1593</v>
      </c>
      <c r="AD274" s="46">
        <f>'Inputs (2)'!Y45</f>
        <v>-1175</v>
      </c>
      <c r="AE274" s="46">
        <f>'Inputs (2)'!Z45</f>
        <v>-1170</v>
      </c>
      <c r="AF274" s="46">
        <f>'Inputs (2)'!AA45</f>
        <v>-1271</v>
      </c>
      <c r="AG274" s="12">
        <f>'Inputs (2)'!AB45</f>
        <v>-1271</v>
      </c>
      <c r="AH274" s="12">
        <f>'Inputs (2)'!AC45</f>
        <v>-1277</v>
      </c>
      <c r="AI274" s="12">
        <f>'Inputs (2)'!AD45</f>
        <v>-1380</v>
      </c>
      <c r="AJ274" s="12">
        <f>AI274</f>
        <v>-1380</v>
      </c>
      <c r="AK274" s="12">
        <f>AJ274</f>
        <v>-1380</v>
      </c>
      <c r="AL274" s="12">
        <f>AK274</f>
        <v>-1380</v>
      </c>
      <c r="AM274" s="12">
        <f>AL274</f>
        <v>-1380</v>
      </c>
      <c r="AN274" s="12">
        <f>AM274</f>
        <v>-1380</v>
      </c>
      <c r="AO274" s="12">
        <f>AN274</f>
        <v>-1380</v>
      </c>
      <c r="AP274" s="12">
        <f>AO274</f>
        <v>-1380</v>
      </c>
      <c r="AQ274" s="12">
        <f>AP274</f>
        <v>-1380</v>
      </c>
      <c r="AR274" s="12">
        <f>AQ274</f>
        <v>-1380</v>
      </c>
      <c r="AS274" s="12">
        <f>AR274</f>
        <v>-1380</v>
      </c>
      <c r="AT274" s="12">
        <f>AS274</f>
        <v>-1380</v>
      </c>
      <c r="AU274" s="12">
        <f>AT274</f>
        <v>-1380</v>
      </c>
      <c r="AV274" s="12">
        <f>AU274</f>
        <v>-1380</v>
      </c>
      <c r="AW274" s="12">
        <f>AV274</f>
        <v>-1380</v>
      </c>
      <c r="AX274" s="12">
        <f>AW274</f>
        <v>-1380</v>
      </c>
      <c r="AY274" s="12">
        <f>AX274</f>
        <v>-1380</v>
      </c>
      <c r="AZ274" s="12">
        <f>AY274</f>
        <v>-1380</v>
      </c>
      <c r="BA274" s="12">
        <f>AZ274</f>
        <v>-1380</v>
      </c>
      <c r="BB274" s="12">
        <f>BA274</f>
        <v>-1380</v>
      </c>
      <c r="BC274" s="12">
        <f>BB274</f>
        <v>-1380</v>
      </c>
      <c r="BD274" s="12">
        <f>BC274</f>
        <v>-1380</v>
      </c>
      <c r="BE274" s="12">
        <f>BD274</f>
        <v>-1380</v>
      </c>
      <c r="BF274" s="12">
        <f>BE274</f>
        <v>-1380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>
      <c r="C275" s="14" t="inlineStr">
        <is>
          <t>Other equity account</t>
        </is>
      </c>
      <c r="D275" s="46" t="n"/>
      <c r="E275" s="46" t="n"/>
      <c r="F275" s="46" t="n"/>
      <c r="G275" s="46" t="n"/>
      <c r="H275" s="12" t="n"/>
      <c r="I275" s="46">
        <f>'Inputs (2)'!D46</f>
        <v>0</v>
      </c>
      <c r="J275" s="46">
        <f>'Inputs (2)'!E46</f>
        <v>0</v>
      </c>
      <c r="K275" s="46">
        <f>'Inputs (2)'!F46</f>
        <v>0</v>
      </c>
      <c r="L275" s="46">
        <f>'Inputs (2)'!G46</f>
        <v>0</v>
      </c>
      <c r="M275" s="12">
        <f>'Inputs (2)'!H46</f>
        <v>0</v>
      </c>
      <c r="N275" s="46">
        <f>'Inputs (2)'!I46</f>
        <v>0</v>
      </c>
      <c r="O275" s="46">
        <f>'Inputs (2)'!J46</f>
        <v>0</v>
      </c>
      <c r="P275" s="46">
        <f>'Inputs (2)'!K46</f>
        <v>0</v>
      </c>
      <c r="Q275" s="46">
        <f>'Inputs (2)'!L46</f>
        <v>0</v>
      </c>
      <c r="R275" s="12">
        <f>'Inputs (2)'!M46</f>
        <v>0</v>
      </c>
      <c r="S275" s="46">
        <f>'Inputs (2)'!N46</f>
        <v>0</v>
      </c>
      <c r="T275" s="46">
        <f>'Inputs (2)'!O46</f>
        <v>0</v>
      </c>
      <c r="U275" s="46">
        <f>'Inputs (2)'!P46</f>
        <v>0</v>
      </c>
      <c r="V275" s="46">
        <f>'Inputs (2)'!Q46</f>
        <v>0</v>
      </c>
      <c r="W275" s="12">
        <f>'Inputs (2)'!R46</f>
        <v>0</v>
      </c>
      <c r="X275" s="46">
        <f>'Inputs (2)'!S46</f>
        <v>0</v>
      </c>
      <c r="Y275" s="46">
        <f>'Inputs (2)'!T46</f>
        <v>0</v>
      </c>
      <c r="Z275" s="46">
        <f>'Inputs (2)'!U46</f>
        <v>0</v>
      </c>
      <c r="AA275" s="46">
        <f>'Inputs (2)'!V46</f>
        <v>0</v>
      </c>
      <c r="AB275" s="12">
        <f>'Inputs (2)'!W46</f>
        <v>0</v>
      </c>
      <c r="AC275" s="46">
        <f>'Inputs (2)'!X46</f>
        <v>0</v>
      </c>
      <c r="AD275" s="46">
        <f>'Inputs (2)'!Y46</f>
        <v>0</v>
      </c>
      <c r="AE275" s="46">
        <f>'Inputs (2)'!Z46</f>
        <v>0</v>
      </c>
      <c r="AF275" s="46">
        <f>'Inputs (2)'!AA46</f>
        <v>0</v>
      </c>
      <c r="AG275" s="12">
        <f>'Inputs (2)'!AB46</f>
        <v>0</v>
      </c>
      <c r="AH275" s="12">
        <f>'Inputs (2)'!AC46</f>
        <v>4954</v>
      </c>
      <c r="AI275" s="12">
        <f>'Inputs (2)'!AD46</f>
        <v>4954</v>
      </c>
      <c r="AJ275" s="12">
        <f>AI275</f>
        <v>4954</v>
      </c>
      <c r="AK275" s="12">
        <f>AJ275</f>
        <v>4954</v>
      </c>
      <c r="AL275" s="12">
        <f>AK275</f>
        <v>4954</v>
      </c>
      <c r="AM275" s="12">
        <f>AL275</f>
        <v>4954</v>
      </c>
      <c r="AN275" s="12">
        <f>AM275</f>
        <v>4954</v>
      </c>
      <c r="AO275" s="12">
        <f>AN275</f>
        <v>4954</v>
      </c>
      <c r="AP275" s="12">
        <f>AO275</f>
        <v>4954</v>
      </c>
      <c r="AQ275" s="12">
        <f>AP275</f>
        <v>4954</v>
      </c>
      <c r="AR275" s="12">
        <f>AQ275</f>
        <v>4954</v>
      </c>
      <c r="AS275" s="12">
        <f>AR275</f>
        <v>4954</v>
      </c>
      <c r="AT275" s="12">
        <f>AS275</f>
        <v>4954</v>
      </c>
      <c r="AU275" s="12">
        <f>AT275</f>
        <v>4954</v>
      </c>
      <c r="AV275" s="12">
        <f>AU275</f>
        <v>4954</v>
      </c>
      <c r="AW275" s="12">
        <f>AV275</f>
        <v>4954</v>
      </c>
      <c r="AX275" s="12">
        <f>AW275</f>
        <v>4954</v>
      </c>
      <c r="AY275" s="12">
        <f>AX275</f>
        <v>4954</v>
      </c>
      <c r="AZ275" s="12">
        <f>AY275</f>
        <v>4954</v>
      </c>
      <c r="BA275" s="12">
        <f>AZ275</f>
        <v>4954</v>
      </c>
      <c r="BB275" s="12">
        <f>BA275</f>
        <v>4954</v>
      </c>
      <c r="BC275" s="12">
        <f>BB275</f>
        <v>4954</v>
      </c>
      <c r="BD275" s="12">
        <f>BC275</f>
        <v>4954</v>
      </c>
      <c r="BE275" s="12">
        <f>BD275</f>
        <v>4954</v>
      </c>
      <c r="BF275" s="12">
        <f>BE275</f>
        <v>4954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>
      <c r="C276" s="15" t="inlineStr">
        <is>
          <t>Retained earnings</t>
        </is>
      </c>
      <c r="D276" s="46" t="n"/>
      <c r="E276" s="46" t="n"/>
      <c r="F276" s="46" t="n"/>
      <c r="G276" s="46" t="n"/>
      <c r="H276" s="12" t="n"/>
      <c r="I276" s="46">
        <f>'Inputs (2)'!D47</f>
        <v>-16206</v>
      </c>
      <c r="J276" s="46">
        <f>'Inputs (2)'!E47</f>
        <v>-20120</v>
      </c>
      <c r="K276" s="46">
        <f>'Inputs (2)'!F47</f>
        <v>-25679</v>
      </c>
      <c r="L276" s="46">
        <f>'Inputs (2)'!G47</f>
        <v>-34076</v>
      </c>
      <c r="M276" s="12">
        <f>'Inputs (2)'!H47</f>
        <v>-34076</v>
      </c>
      <c r="N276" s="46">
        <f>'Inputs (2)'!I47</f>
        <v>-33147</v>
      </c>
      <c r="O276" s="46">
        <f>'Inputs (2)'!J47</f>
        <v>-31336</v>
      </c>
      <c r="P276" s="46">
        <f>'Inputs (2)'!K47</f>
        <v>-31134</v>
      </c>
      <c r="Q276" s="46">
        <f>'Inputs (2)'!L47</f>
        <v>-30617</v>
      </c>
      <c r="R276" s="12">
        <f>'Inputs (2)'!M47</f>
        <v>-30617</v>
      </c>
      <c r="S276" s="46">
        <f>'Inputs (2)'!N47</f>
        <v>-29721</v>
      </c>
      <c r="T276" s="46">
        <f>'Inputs (2)'!O47</f>
        <v>-27620</v>
      </c>
      <c r="U276" s="46">
        <f>'Inputs (2)'!P47</f>
        <v>-26428</v>
      </c>
      <c r="V276" s="46">
        <f>'Inputs (2)'!Q47</f>
        <v>-25431</v>
      </c>
      <c r="W276" s="12">
        <f>'Inputs (2)'!R47</f>
        <v>-25431</v>
      </c>
      <c r="X276" s="46">
        <f>'Inputs (2)'!S47</f>
        <v>-24533</v>
      </c>
      <c r="Y276" s="46">
        <f>'Inputs (2)'!T47</f>
        <v>-22628</v>
      </c>
      <c r="Z276" s="46">
        <f>'Inputs (2)'!U47</f>
        <v>-20939</v>
      </c>
      <c r="AA276" s="46">
        <f>'Inputs (2)'!V47</f>
        <v>-19045</v>
      </c>
      <c r="AB276" s="12">
        <f>'Inputs (2)'!W47</f>
        <v>-19045</v>
      </c>
      <c r="AC276" s="46">
        <f>'Inputs (2)'!X47</f>
        <v>-17368</v>
      </c>
      <c r="AD276" s="46">
        <f>'Inputs (2)'!Y47</f>
        <v>-15481</v>
      </c>
      <c r="AE276" s="46">
        <f>'Inputs (2)'!Z47</f>
        <v>-14054</v>
      </c>
      <c r="AF276" s="46">
        <f>'Inputs (2)'!AA47</f>
        <v>-9355</v>
      </c>
      <c r="AG276" s="12">
        <f>'Inputs (2)'!AB47</f>
        <v>-9355</v>
      </c>
      <c r="AH276" s="12">
        <f>'Inputs (2)'!AC47</f>
        <v>-7092</v>
      </c>
      <c r="AI276" s="12">
        <f>'Inputs (2)'!AD47</f>
        <v>-4309</v>
      </c>
      <c r="AJ276" s="12">
        <f>AI276+AJ143+AJ144</f>
        <v>733.158528623444</v>
      </c>
      <c r="AK276" s="12">
        <f>AJ276+AK143+AK144</f>
        <v>6157.71846783256</v>
      </c>
      <c r="AL276" s="12">
        <f>AK276</f>
        <v>6157.71846783256</v>
      </c>
      <c r="AM276" s="12">
        <f>AL276+AM143+AM144</f>
        <v>11964.6798176273</v>
      </c>
      <c r="AN276" s="12">
        <f>AM276+AN143+AN144</f>
        <v>18445.235171581</v>
      </c>
      <c r="AO276" s="12">
        <f>AN276+AO143+AO144</f>
        <v>24213.3312612934</v>
      </c>
      <c r="AP276" s="12">
        <f>AO276+AP143+AP144</f>
        <v>30418.8844576354</v>
      </c>
      <c r="AQ276" s="12">
        <f>AP276</f>
        <v>30418.8844576354</v>
      </c>
      <c r="AR276" s="12">
        <f>AQ276+AR143+AR144</f>
        <v>37032.8599538582</v>
      </c>
      <c r="AS276" s="12">
        <f>AR276+AS143+AS144</f>
        <v>44414.0412173566</v>
      </c>
      <c r="AT276" s="12">
        <f>AS276+AT143+AT144</f>
        <v>50983.7502095758</v>
      </c>
      <c r="AU276" s="12">
        <f>AT276+AU143+AU144</f>
        <v>58051.7112840134</v>
      </c>
      <c r="AV276" s="12">
        <f>AU276</f>
        <v>58051.7112840134</v>
      </c>
      <c r="AW276" s="12">
        <f>AV276+AW143+AW144</f>
        <v>65551.7846857071</v>
      </c>
      <c r="AX276" s="12">
        <f>AW276+AX143+AX144</f>
        <v>73921.8491498196</v>
      </c>
      <c r="AY276" s="12">
        <f>AX276+AY143+AY144</f>
        <v>81371.7255059615</v>
      </c>
      <c r="AZ276" s="12">
        <f>AY276+AZ143+AZ144</f>
        <v>89386.6065542615</v>
      </c>
      <c r="BA276" s="12">
        <f>AZ276</f>
        <v>89386.6065542615</v>
      </c>
      <c r="BB276" s="12">
        <f>BA276+BB143+BB144</f>
        <v>97853.9911936943</v>
      </c>
      <c r="BC276" s="12">
        <f>BB276+BC143+BC144</f>
        <v>107303.572748254</v>
      </c>
      <c r="BD276" s="12">
        <f>BC276+BD143+BD144</f>
        <v>115714.286249994</v>
      </c>
      <c r="BE276" s="12">
        <f>BD276+BE143+BE144</f>
        <v>124762.875115795</v>
      </c>
      <c r="BF276" s="12">
        <f>BE276</f>
        <v>124762.875115795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 customFormat="1" s="32">
      <c r="A277" s="30" t="inlineStr">
        <is>
          <t xml:space="preserve"> </t>
        </is>
      </c>
      <c r="B277" s="30" t="n"/>
      <c r="C277" s="65" t="inlineStr">
        <is>
          <t>Total Shareholders' Equity</t>
        </is>
      </c>
      <c r="D277" s="35" t="n"/>
      <c r="E277" s="35" t="n"/>
      <c r="F277" s="35" t="n"/>
      <c r="G277" s="35" t="n"/>
      <c r="H277" s="35" t="n"/>
      <c r="I277" s="35">
        <f>SUM(I254+I259+I260+I273+I274+I275+I276)</f>
        <v>9637</v>
      </c>
      <c r="J277" s="35">
        <f>SUM(J254+J259+J260+J273+J274+J275+J276)</f>
        <v>5952</v>
      </c>
      <c r="K277" s="35">
        <f>SUM(K254+K259+K260+K273+K274+K275+K276)</f>
        <v>-1130</v>
      </c>
      <c r="L277" s="35">
        <f>SUM(L254+L259+L260+L273+L274+L275+L276)</f>
        <v>-9658</v>
      </c>
      <c r="M277" s="35">
        <f>SUM(M254,M259,M260,M273,M274,M275,M276)</f>
        <v>-9658</v>
      </c>
      <c r="N277" s="35">
        <f>SUM(N254+N259+N260+N273+N274+N275+N276)</f>
        <v>-8211</v>
      </c>
      <c r="O277" s="35">
        <f>SUM(O254+O259+O260+O273+O274+O275+O276)</f>
        <v>-5768</v>
      </c>
      <c r="P277" s="35">
        <f>SUM(P254+P259+P260+P273+P274+P275+P276)</f>
        <v>-5449</v>
      </c>
      <c r="Q277" s="35">
        <f>SUM(Q254+Q259+Q260+Q273+Q274+Q275+Q276)</f>
        <v>-3776</v>
      </c>
      <c r="R277" s="35">
        <f>SUM(R254,R259,R260,R273,R274,R275,R276)</f>
        <v>-3776</v>
      </c>
      <c r="S277" s="35">
        <f>SUM(S254+S259+S260+S273+S274+S275+S276)</f>
        <v>-1912</v>
      </c>
      <c r="T277" s="35">
        <f>SUM(T254+T259+T260+T273+T274+T275+T276)</f>
        <v>1556</v>
      </c>
      <c r="U277" s="35">
        <f>SUM(U254+U259+U260+U273+U274+U275+U276)</f>
        <v>2841</v>
      </c>
      <c r="V277" s="35">
        <f>SUM(V254+V259+V260+V273+V274+V275+V276)</f>
        <v>4378</v>
      </c>
      <c r="W277" s="35">
        <f>SUM(W254,W259,W260,W273,W274,W275,W276)</f>
        <v>4378</v>
      </c>
      <c r="X277" s="35">
        <f>SUM(X254+X259+X260+X273+X274+X275+X276)</f>
        <v>6182</v>
      </c>
      <c r="Y277" s="35">
        <f>SUM(Y254+Y259+Y260+Y273+Y274+Y275+Y276)</f>
        <v>9239</v>
      </c>
      <c r="Z277" s="35">
        <f>SUM(Z254+Z259+Z260+Z273+Z274+Z275+Z276)</f>
        <v>11269</v>
      </c>
      <c r="AA277" s="35">
        <f>SUM(AA254+AA259+AA260+AA273+AA274+AA275+AA276)</f>
        <v>14236</v>
      </c>
      <c r="AB277" s="35">
        <f>SUM(AB254,AB259,AB260,AB273,AB274,AB275,AB276)</f>
        <v>14236</v>
      </c>
      <c r="AC277" s="35">
        <f>SUM(AC254+AC259+AC260+AC273+AC274+AC275+AC276)</f>
        <v>17261</v>
      </c>
      <c r="AD277" s="35">
        <f>SUM(AD254+AD259+AD260+AD273+AD274+AD275+AD276)</f>
        <v>20969</v>
      </c>
      <c r="AE277" s="35">
        <f>SUM(AE254+AE259+AE260+AE273+AE274+AE275+AE276)</f>
        <v>24666</v>
      </c>
      <c r="AF277" s="35">
        <f>SUM(AF254+AF259+AF260+AF273+AF274+AF275+AF276)</f>
        <v>30457</v>
      </c>
      <c r="AG277" s="35">
        <f>SUM(AG254,AG259,AG260,AG273,AG274,AG275,AG276)</f>
        <v>30457</v>
      </c>
      <c r="AH277" s="35">
        <f>SUM(AH254+AH259+AH260+AH273+AH274+AH275+AH276)</f>
        <v>39051</v>
      </c>
      <c r="AI277" s="35">
        <f>SUM(AI254+AI259+AI260+AI273+AI274+AI275+AI276)</f>
        <v>43056</v>
      </c>
      <c r="AJ277" s="35">
        <f>SUM(AJ254+AJ259+AJ260+AJ273+AJ274+AJ275+AJ276)</f>
        <v>48098.1585286235</v>
      </c>
      <c r="AK277" s="35">
        <f>SUM(AK254+AK259+AK260+AK273+AK274+AK275+AK276)</f>
        <v>53522.7184678326</v>
      </c>
      <c r="AL277" s="35">
        <f>SUM(AL254,AL259,AL260,AL273,AL274,AL275,AL276)</f>
        <v>53522.7184678326</v>
      </c>
      <c r="AM277" s="35">
        <f>SUM(AM254+AM259+AM260+AM273+AM274+AM275+AM276)</f>
        <v>59329.6798176273</v>
      </c>
      <c r="AN277" s="35">
        <f>SUM(AN254+AN259+AN260+AN273+AN274+AN275+AN276)</f>
        <v>65810.235171581</v>
      </c>
      <c r="AO277" s="35">
        <f>SUM(AO254+AO259+AO260+AO273+AO274+AO275+AO276)</f>
        <v>71578.3312612934</v>
      </c>
      <c r="AP277" s="35">
        <f>SUM(AP254+AP259+AP260+AP273+AP274+AP275+AP276)</f>
        <v>77783.8844576355</v>
      </c>
      <c r="AQ277" s="35">
        <f>SUM(AQ254,AQ259,AQ260,AQ273,AQ274,AQ275,AQ276)</f>
        <v>77783.8844576355</v>
      </c>
      <c r="AR277" s="35">
        <f>SUM(AR254+AR259+AR260+AR273+AR274+AR275+AR276)</f>
        <v>84397.8599538582</v>
      </c>
      <c r="AS277" s="35">
        <f>SUM(AS254+AS259+AS260+AS273+AS274+AS275+AS276)</f>
        <v>91779.0412173566</v>
      </c>
      <c r="AT277" s="35">
        <f>SUM(AT254+AT259+AT260+AT273+AT274+AT275+AT276)</f>
        <v>98348.7502095758</v>
      </c>
      <c r="AU277" s="35">
        <f>SUM(AU254+AU259+AU260+AU273+AU274+AU275+AU276)</f>
        <v>105416.711284013</v>
      </c>
      <c r="AV277" s="35">
        <f>SUM(AV254,AV259,AV260,AV273,AV274,AV275,AV276)</f>
        <v>105416.711284013</v>
      </c>
      <c r="AW277" s="35">
        <f>SUM(AW254+AW259+AW260+AW273+AW274+AW275+AW276)</f>
        <v>112916.784685707</v>
      </c>
      <c r="AX277" s="35">
        <f>SUM(AX254+AX259+AX260+AX273+AX274+AX275+AX276)</f>
        <v>121286.84914982</v>
      </c>
      <c r="AY277" s="35">
        <f>SUM(AY254+AY259+AY260+AY273+AY274+AY275+AY276)</f>
        <v>128736.725505961</v>
      </c>
      <c r="AZ277" s="35">
        <f>SUM(AZ254+AZ259+AZ260+AZ273+AZ274+AZ275+AZ276)</f>
        <v>136751.606554262</v>
      </c>
      <c r="BA277" s="35">
        <f>SUM(BA254,BA259,BA260,BA273,BA274,BA275,BA276)</f>
        <v>136751.606554262</v>
      </c>
      <c r="BB277" s="35">
        <f>SUM(BB254+BB259+BB260+BB273+BB274+BB275+BB276)</f>
        <v>145218.991193694</v>
      </c>
      <c r="BC277" s="35">
        <f>SUM(BC254+BC259+BC260+BC273+BC274+BC275+BC276)</f>
        <v>154668.572748254</v>
      </c>
      <c r="BD277" s="35">
        <f>SUM(BD254+BD259+BD260+BD273+BD274+BD275+BD276)</f>
        <v>163079.286249994</v>
      </c>
      <c r="BE277" s="35">
        <f>SUM(BE254+BE259+BE260+BE273+BE274+BE275+BE276)</f>
        <v>172127.875115795</v>
      </c>
      <c r="BF277" s="35">
        <f>SUM(BF254,BF259,BF260,BF273,BF274,BF275,BF276)</f>
        <v>172127.875115795</v>
      </c>
      <c r="BG277" s="35" t="n"/>
      <c r="BH277" s="35" t="n"/>
      <c r="BI277" s="35" t="n"/>
      <c r="BJ277" s="35" t="n"/>
      <c r="BK277" s="35" t="n"/>
      <c r="BL277" s="35" t="n"/>
      <c r="BM277" s="35" t="n"/>
      <c r="BN277" s="35" t="n"/>
      <c r="BO277" s="35" t="n"/>
      <c r="BP277" s="35" t="n"/>
      <c r="BQ277" s="35" t="n"/>
      <c r="BR277" s="35" t="n"/>
      <c r="BS277" s="35" t="n"/>
      <c r="BT277" s="35" t="n"/>
      <c r="BU277" s="35" t="n"/>
      <c r="BV277" s="35" t="n"/>
      <c r="BW277" s="35" t="n"/>
      <c r="BX277" s="35" t="n"/>
      <c r="BY277" s="35" t="n"/>
      <c r="BZ277" s="35" t="n"/>
      <c r="CA277" s="35" t="n"/>
      <c r="CB277" s="35" t="n"/>
      <c r="CC277" s="35" t="n"/>
      <c r="CD277" s="35" t="n"/>
      <c r="CE277" s="35" t="n"/>
      <c r="CF277" s="35" t="n"/>
      <c r="CG277" s="35" t="n"/>
      <c r="CH277" s="35" t="n"/>
      <c r="CI277" s="35" t="n"/>
      <c r="CJ277" s="35" t="n"/>
      <c r="CK277" s="35" t="n"/>
      <c r="CL277" s="35" t="n"/>
      <c r="CM277" s="35" t="n"/>
      <c r="CN277" s="35" t="n"/>
      <c r="CO277" s="35" t="n"/>
      <c r="CP277" s="35" t="n"/>
      <c r="CQ277" s="35" t="n"/>
      <c r="CR277" s="35" t="n"/>
      <c r="CS277" s="35" t="n"/>
      <c r="CT277" s="35" t="n"/>
      <c r="CU277" s="35" t="n"/>
      <c r="CV277" s="35" t="n"/>
      <c r="CW277" s="35" t="n"/>
      <c r="CX277" s="35" t="n"/>
      <c r="CY277" s="35" t="n"/>
    </row>
    <row r="278">
      <c r="C278" s="10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 customFormat="1" s="32">
      <c r="A279" s="30" t="n"/>
      <c r="B279" s="3" t="n"/>
      <c r="C279" s="33" t="inlineStr">
        <is>
          <t>Total Liabilities + Shareholders' Equity</t>
        </is>
      </c>
      <c r="D279" s="35" t="n"/>
      <c r="E279" s="35" t="n"/>
      <c r="F279" s="35" t="n"/>
      <c r="G279" s="35" t="n"/>
      <c r="H279" s="35" t="n"/>
      <c r="I279" s="35">
        <f>I277+I253</f>
        <v>118109</v>
      </c>
      <c r="J279" s="35">
        <f>J277+J253</f>
        <v>131107</v>
      </c>
      <c r="K279" s="35">
        <f>K277+K253</f>
        <v>122924</v>
      </c>
      <c r="L279" s="35">
        <f>L277+L253</f>
        <v>106897</v>
      </c>
      <c r="M279" s="35">
        <f>M277+M253</f>
        <v>106897</v>
      </c>
      <c r="N279" s="35">
        <f>N277+N253</f>
        <v>108644</v>
      </c>
      <c r="O279" s="35">
        <f>O277+O253</f>
        <v>109297</v>
      </c>
      <c r="P279" s="35">
        <f>P277+P253</f>
        <v>130309</v>
      </c>
      <c r="Q279" s="35">
        <f>Q277+Q253</f>
        <v>128469</v>
      </c>
      <c r="R279" s="35">
        <f>R277+R253</f>
        <v>128469</v>
      </c>
      <c r="S279" s="35">
        <f>S277+S253</f>
        <v>131620</v>
      </c>
      <c r="T279" s="35">
        <f>T277+T253</f>
        <v>134384</v>
      </c>
      <c r="U279" s="35">
        <f>U277+U253</f>
        <v>136662</v>
      </c>
      <c r="V279" s="35">
        <f>V277+V253</f>
        <v>134324</v>
      </c>
      <c r="W279" s="35">
        <f>W277+W253</f>
        <v>134324</v>
      </c>
      <c r="X279" s="35">
        <f>X277+X253</f>
        <v>137082</v>
      </c>
      <c r="Y279" s="35">
        <f>Y277+Y253</f>
        <v>140976</v>
      </c>
      <c r="Z279" s="35">
        <f>Z277+Z253</f>
        <v>144214</v>
      </c>
      <c r="AA279" s="35">
        <f>AA277+AA253</f>
        <v>148483</v>
      </c>
      <c r="AB279" s="35">
        <f>AB277+AB253</f>
        <v>148483</v>
      </c>
      <c r="AC279" s="35">
        <f>AC277+AC253</f>
        <v>161378</v>
      </c>
      <c r="AD279" s="35">
        <f>AD277+AD253</f>
        <v>168361</v>
      </c>
      <c r="AE279" s="35">
        <f>AE277+AE253</f>
        <v>180449</v>
      </c>
      <c r="AF279" s="35">
        <f>AF277+AF253</f>
        <v>204984</v>
      </c>
      <c r="AG279" s="35">
        <f>AG277+AG253</f>
        <v>204984</v>
      </c>
      <c r="AH279" s="35">
        <f>AH277+AH253</f>
        <v>245240</v>
      </c>
      <c r="AI279" s="35">
        <f>AI277+AI253</f>
        <v>261759</v>
      </c>
      <c r="AJ279" s="35">
        <f>AJ277+AJ253</f>
        <v>263900.397822491</v>
      </c>
      <c r="AK279" s="35">
        <f>AK277+AK253</f>
        <v>270279.633249242</v>
      </c>
      <c r="AL279" s="35">
        <f>AL277+AL253</f>
        <v>270279.633249242</v>
      </c>
      <c r="AM279" s="35">
        <f>AM277+AM253</f>
        <v>277292.527027363</v>
      </c>
      <c r="AN279" s="35">
        <f>AN277+AN253</f>
        <v>285199.838337293</v>
      </c>
      <c r="AO279" s="35">
        <f>AO277+AO253</f>
        <v>290311.105548352</v>
      </c>
      <c r="AP279" s="35">
        <f>AP277+AP253</f>
        <v>297817.173761033</v>
      </c>
      <c r="AQ279" s="35">
        <f>AQ277+AQ253</f>
        <v>297817.173761033</v>
      </c>
      <c r="AR279" s="35">
        <f>AR277+AR253</f>
        <v>305864.226977736</v>
      </c>
      <c r="AS279" s="35">
        <f>AS277+AS253</f>
        <v>315227.854133541</v>
      </c>
      <c r="AT279" s="35">
        <f>AT277+AT253</f>
        <v>321323.634705095</v>
      </c>
      <c r="AU279" s="35">
        <f>AU277+AU253</f>
        <v>330182.010060945</v>
      </c>
      <c r="AV279" s="35">
        <f>AV277+AV253</f>
        <v>330182.010060945</v>
      </c>
      <c r="AW279" s="35">
        <f>AW277+AW253</f>
        <v>339727.478944246</v>
      </c>
      <c r="AX279" s="35">
        <f>AX277+AX253</f>
        <v>350595.861775355</v>
      </c>
      <c r="AY279" s="35">
        <f>AY277+AY253</f>
        <v>357934.604156612</v>
      </c>
      <c r="AZ279" s="35">
        <f>AZ277+AZ253</f>
        <v>368458.069861589</v>
      </c>
      <c r="BA279" s="35">
        <f>BA277+BA253</f>
        <v>368458.069861589</v>
      </c>
      <c r="BB279" s="35">
        <f>BB277+BB253</f>
        <v>379700.688439106</v>
      </c>
      <c r="BC279" s="35">
        <f>BC277+BC253</f>
        <v>392551.972555377</v>
      </c>
      <c r="BD279" s="35">
        <f>BD277+BD253</f>
        <v>401486.144015959</v>
      </c>
      <c r="BE279" s="35">
        <f>BE277+BE253</f>
        <v>414091.316845096</v>
      </c>
      <c r="BF279" s="35">
        <f>BF277+BF253</f>
        <v>414091.316845096</v>
      </c>
      <c r="BG279" s="35" t="n"/>
      <c r="BH279" s="35" t="n"/>
      <c r="BI279" s="35" t="n"/>
      <c r="BJ279" s="35" t="n"/>
      <c r="BK279" s="35" t="n"/>
      <c r="BL279" s="35" t="n"/>
      <c r="BM279" s="35" t="n"/>
      <c r="BN279" s="35" t="n"/>
      <c r="BO279" s="35" t="n"/>
      <c r="BP279" s="35" t="n"/>
      <c r="BQ279" s="35" t="n"/>
      <c r="BR279" s="35" t="n"/>
      <c r="BS279" s="35" t="n"/>
      <c r="BT279" s="35" t="n"/>
      <c r="BU279" s="35" t="n"/>
      <c r="BV279" s="35" t="n"/>
      <c r="BW279" s="35" t="n"/>
      <c r="BX279" s="35" t="n"/>
      <c r="BY279" s="35" t="n"/>
      <c r="BZ279" s="35" t="n"/>
      <c r="CA279" s="35" t="n"/>
      <c r="CB279" s="35" t="n"/>
      <c r="CC279" s="35" t="n"/>
      <c r="CD279" s="35" t="n"/>
      <c r="CE279" s="35" t="n"/>
      <c r="CF279" s="35" t="n"/>
      <c r="CG279" s="35" t="n"/>
      <c r="CH279" s="35" t="n"/>
      <c r="CI279" s="35" t="n"/>
      <c r="CJ279" s="35" t="n"/>
      <c r="CK279" s="35" t="n"/>
      <c r="CL279" s="35" t="n"/>
      <c r="CM279" s="35" t="n"/>
      <c r="CN279" s="35" t="n"/>
      <c r="CO279" s="35" t="n"/>
      <c r="CP279" s="35" t="n"/>
      <c r="CQ279" s="35" t="n"/>
      <c r="CR279" s="35" t="n"/>
      <c r="CS279" s="35" t="n"/>
      <c r="CT279" s="35" t="n"/>
      <c r="CU279" s="35" t="n"/>
      <c r="CV279" s="35" t="n"/>
      <c r="CW279" s="35" t="n"/>
      <c r="CX279" s="35" t="n"/>
      <c r="CY279" s="35" t="n"/>
    </row>
    <row r="280">
      <c r="C280" s="18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  <c r="CU280" s="3" t="n"/>
      <c r="CV280" s="3" t="n"/>
      <c r="CW280" s="3" t="n"/>
      <c r="CX280" s="3" t="n"/>
      <c r="CY280" s="3" t="n"/>
    </row>
    <row r="281" customFormat="1" s="32">
      <c r="A281" s="30" t="n"/>
      <c r="B281" s="30" t="n"/>
      <c r="C281" s="31" t="inlineStr">
        <is>
          <t>Cash Flow Statement</t>
        </is>
      </c>
      <c r="D281" s="70" t="n"/>
      <c r="E281" s="70" t="n"/>
      <c r="F281" s="70" t="n"/>
      <c r="G281" s="70" t="n"/>
      <c r="H281" s="70" t="n"/>
      <c r="I281" s="70" t="str">
        <f>I148</f>
        <v>1Q21</v>
      </c>
      <c r="J281" s="70" t="str">
        <f>J148</f>
        <v>2Q21</v>
      </c>
      <c r="K281" s="70" t="str">
        <f>K148</f>
        <v>3Q21</v>
      </c>
      <c r="L281" s="70" t="str">
        <f>L148</f>
        <v>4Q21</v>
      </c>
      <c r="M281" s="70">
        <f>M148</f>
        <v>2021</v>
      </c>
      <c r="N281" s="70" t="str">
        <f>N148</f>
        <v>1Q22</v>
      </c>
      <c r="O281" s="70" t="str">
        <f>O148</f>
        <v>2Q22</v>
      </c>
      <c r="P281" s="70" t="str">
        <f>P148</f>
        <v>3Q22</v>
      </c>
      <c r="Q281" s="70" t="str">
        <f>Q148</f>
        <v>4Q22</v>
      </c>
      <c r="R281" s="70">
        <f>R148</f>
        <v>2022</v>
      </c>
      <c r="S281" s="70" t="str">
        <f>S148</f>
        <v>1Q23</v>
      </c>
      <c r="T281" s="70" t="str">
        <f>T148</f>
        <v>2Q23</v>
      </c>
      <c r="U281" s="70" t="str">
        <f>U148</f>
        <v>3Q23</v>
      </c>
      <c r="V281" s="70" t="str">
        <f>V148</f>
        <v>4Q23</v>
      </c>
      <c r="W281" s="70">
        <f>W148</f>
        <v>2023</v>
      </c>
      <c r="X281" s="70" t="str">
        <f>X148</f>
        <v>1Q24</v>
      </c>
      <c r="Y281" s="70" t="str">
        <f>Y148</f>
        <v>2Q24</v>
      </c>
      <c r="Z281" s="70" t="str">
        <f>Z148</f>
        <v>3Q24</v>
      </c>
      <c r="AA281" s="70" t="str">
        <f>AA148</f>
        <v>4Q24</v>
      </c>
      <c r="AB281" s="70">
        <f>AB148</f>
        <v>2024</v>
      </c>
      <c r="AC281" s="70" t="str">
        <f>AC148</f>
        <v>1Q25</v>
      </c>
      <c r="AD281" s="70" t="str">
        <f>AD148</f>
        <v>2Q25</v>
      </c>
      <c r="AE281" s="70" t="str">
        <f>AE148</f>
        <v>3Q25</v>
      </c>
      <c r="AF281" s="70" t="str">
        <f>AF148</f>
        <v>4Q25</v>
      </c>
      <c r="AG281" s="70">
        <f>AG148</f>
        <v>2025</v>
      </c>
      <c r="AH281" s="70" t="str">
        <f>AH148</f>
        <v>1Q26</v>
      </c>
      <c r="AI281" s="70" t="str">
        <f>AI148</f>
        <v>2Q26</v>
      </c>
      <c r="AJ281" s="70" t="str">
        <f>AJ148</f>
        <v>3Q26</v>
      </c>
      <c r="AK281" s="70" t="str">
        <f>AK148</f>
        <v>4Q26</v>
      </c>
      <c r="AL281" s="70">
        <f>AL148</f>
        <v>2026</v>
      </c>
      <c r="AM281" s="70" t="str">
        <f>AM148</f>
        <v>1Q27</v>
      </c>
      <c r="AN281" s="70" t="str">
        <f>AN148</f>
        <v>2Q27</v>
      </c>
      <c r="AO281" s="70" t="str">
        <f>AO148</f>
        <v>3Q27</v>
      </c>
      <c r="AP281" s="70" t="str">
        <f>AP148</f>
        <v>4Q27</v>
      </c>
      <c r="AQ281" s="70">
        <f>AQ148</f>
        <v>2027</v>
      </c>
      <c r="AR281" s="70" t="str">
        <f>AR148</f>
        <v>1Q28</v>
      </c>
      <c r="AS281" s="70" t="str">
        <f>AS148</f>
        <v>2Q28</v>
      </c>
      <c r="AT281" s="70" t="str">
        <f>AT148</f>
        <v>3Q28</v>
      </c>
      <c r="AU281" s="70" t="str">
        <f>AU148</f>
        <v>4Q28</v>
      </c>
      <c r="AV281" s="70">
        <f>AV148</f>
        <v>2028</v>
      </c>
      <c r="AW281" s="70" t="str">
        <f>AW148</f>
        <v>1Q29</v>
      </c>
      <c r="AX281" s="70" t="str">
        <f>AX148</f>
        <v>2Q29</v>
      </c>
      <c r="AY281" s="70" t="str">
        <f>AY148</f>
        <v>3Q29</v>
      </c>
      <c r="AZ281" s="70" t="str">
        <f>AZ148</f>
        <v>4Q29</v>
      </c>
      <c r="BA281" s="70">
        <f>BA148</f>
        <v>2029</v>
      </c>
      <c r="BB281" s="70" t="str">
        <f>BB148</f>
        <v>1Q30</v>
      </c>
      <c r="BC281" s="70" t="str">
        <f>BC148</f>
        <v>2Q30</v>
      </c>
      <c r="BD281" s="70" t="str">
        <f>BD148</f>
        <v>3Q30</v>
      </c>
      <c r="BE281" s="70" t="str">
        <f>BE148</f>
        <v>4Q30</v>
      </c>
      <c r="BF281" s="70">
        <f>BF148</f>
        <v>2030</v>
      </c>
      <c r="BG281" s="70" t="n"/>
      <c r="BH281" s="70" t="n"/>
      <c r="BI281" s="70" t="n"/>
      <c r="BJ281" s="70" t="n"/>
      <c r="BK281" s="70" t="n"/>
      <c r="BL281" s="70" t="n"/>
      <c r="BM281" s="70" t="n"/>
      <c r="BN281" s="70" t="n"/>
      <c r="BO281" s="70" t="n"/>
      <c r="BP281" s="70" t="n"/>
      <c r="BQ281" s="70" t="n"/>
      <c r="BR281" s="70" t="n"/>
      <c r="BS281" s="70" t="n"/>
      <c r="BT281" s="70" t="n"/>
      <c r="BU281" s="70" t="n"/>
      <c r="BV281" s="70" t="n"/>
      <c r="BW281" s="70" t="n"/>
      <c r="BX281" s="70" t="n"/>
      <c r="BY281" s="70" t="n"/>
      <c r="BZ281" s="70" t="n"/>
      <c r="CA281" s="70" t="n"/>
      <c r="CB281" s="70" t="n"/>
      <c r="CC281" s="70" t="n"/>
      <c r="CD281" s="70" t="n"/>
      <c r="CE281" s="70" t="n"/>
      <c r="CF281" s="70" t="n"/>
      <c r="CG281" s="70" t="n"/>
      <c r="CH281" s="70" t="n"/>
      <c r="CI281" s="70" t="n"/>
      <c r="CJ281" s="70" t="n"/>
      <c r="CK281" s="70" t="n"/>
      <c r="CL281" s="70" t="n"/>
      <c r="CM281" s="70" t="n"/>
      <c r="CN281" s="70" t="n"/>
      <c r="CO281" s="70" t="n"/>
      <c r="CP281" s="70" t="n"/>
      <c r="CQ281" s="70" t="n"/>
      <c r="CR281" s="70" t="n"/>
      <c r="CS281" s="70" t="n"/>
      <c r="CT281" s="70" t="n"/>
      <c r="CU281" s="70" t="n"/>
      <c r="CV281" s="70" t="n"/>
      <c r="CW281" s="70" t="n"/>
      <c r="CX281" s="70" t="n"/>
      <c r="CY281" s="70" t="n"/>
    </row>
    <row r="282">
      <c r="C282" s="18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  <c r="CU282" s="3" t="n"/>
      <c r="CV282" s="3" t="n"/>
      <c r="CW282" s="3" t="n"/>
      <c r="CX282" s="3" t="n"/>
      <c r="CY282" s="3" t="n"/>
    </row>
    <row r="283">
      <c r="C283" s="10" t="inlineStr">
        <is>
          <t>Net Income</t>
        </is>
      </c>
      <c r="D283" s="12" t="n"/>
      <c r="E283" s="12" t="n"/>
      <c r="F283" s="12" t="n"/>
      <c r="G283" s="12" t="n"/>
      <c r="H283" s="12" t="n"/>
      <c r="I283" s="12" t="n"/>
      <c r="J283" s="12">
        <f>J143</f>
        <v>4032</v>
      </c>
      <c r="K283" s="12">
        <f>K143</f>
        <v>2457</v>
      </c>
      <c r="L283" s="12">
        <f>L143</f>
        <v>-1247</v>
      </c>
      <c r="M283" s="12" t="n"/>
      <c r="N283" s="12">
        <f>N143</f>
        <v>2319</v>
      </c>
      <c r="O283" s="12">
        <f>O143</f>
        <v>3189</v>
      </c>
      <c r="P283" s="12">
        <f>P143</f>
        <v>1548</v>
      </c>
      <c r="Q283" s="12">
        <f>Q143</f>
        <v>1741</v>
      </c>
      <c r="R283" s="12">
        <f>SUM(N283:Q283)</f>
        <v>8797</v>
      </c>
      <c r="S283" s="12">
        <f>S143</f>
        <v>1896</v>
      </c>
      <c r="T283" s="12">
        <f>T143</f>
        <v>3319</v>
      </c>
      <c r="U283" s="12">
        <f>U143</f>
        <v>2420</v>
      </c>
      <c r="V283" s="12">
        <f>V143</f>
        <v>2503</v>
      </c>
      <c r="W283" s="12">
        <f>SUM(S283:V283)</f>
        <v>10138</v>
      </c>
      <c r="X283" s="12">
        <f>X143</f>
        <v>2401</v>
      </c>
      <c r="Y283" s="12">
        <f>Y143</f>
        <v>3144</v>
      </c>
      <c r="Z283" s="12">
        <f>Z143</f>
        <v>2929</v>
      </c>
      <c r="AA283" s="12">
        <f>AA143</f>
        <v>3151</v>
      </c>
      <c r="AB283" s="12">
        <f>SUM(X283:AA283)</f>
        <v>11625</v>
      </c>
      <c r="AC283" s="12">
        <f>AC143</f>
        <v>2936</v>
      </c>
      <c r="AD283" s="12">
        <f>AD143</f>
        <v>3427</v>
      </c>
      <c r="AE283" s="12">
        <f>AE143</f>
        <v>2927</v>
      </c>
      <c r="AF283" s="12">
        <f>AF143</f>
        <v>6135</v>
      </c>
      <c r="AG283" s="12">
        <f>SUM(AC283:AF283)</f>
        <v>15425</v>
      </c>
      <c r="AH283" s="12">
        <f>AH143</f>
        <v>3721</v>
      </c>
      <c r="AI283" s="12">
        <f>AI143</f>
        <v>4304</v>
      </c>
      <c r="AJ283" s="12">
        <f>AJ143</f>
        <v>5042.15852862344</v>
      </c>
      <c r="AK283" s="12">
        <f>AK143</f>
        <v>5424.55993920912</v>
      </c>
      <c r="AL283" s="12">
        <f>SUM(AH283:AK283)</f>
        <v>18491.7184678326</v>
      </c>
      <c r="AM283" s="12">
        <f>AM143</f>
        <v>5806.96134979479</v>
      </c>
      <c r="AN283" s="12">
        <f>AN143</f>
        <v>6480.55535395365</v>
      </c>
      <c r="AO283" s="12">
        <f>AO143</f>
        <v>5768.09608971239</v>
      </c>
      <c r="AP283" s="12">
        <f>AP143</f>
        <v>6205.55319634206</v>
      </c>
      <c r="AQ283" s="12">
        <f>SUM(AM283:AP283)</f>
        <v>24261.1659898029</v>
      </c>
      <c r="AR283" s="12">
        <f>AR143</f>
        <v>6613.97549622275</v>
      </c>
      <c r="AS283" s="12">
        <f>AS143</f>
        <v>7381.18126349839</v>
      </c>
      <c r="AT283" s="12">
        <f>AT143</f>
        <v>6569.70899221918</v>
      </c>
      <c r="AU283" s="12">
        <f>AU143</f>
        <v>7067.9610744376</v>
      </c>
      <c r="AV283" s="12">
        <f>SUM(AR283:AU283)</f>
        <v>27632.8268263779</v>
      </c>
      <c r="AW283" s="12">
        <f>AW143</f>
        <v>7500.07340169379</v>
      </c>
      <c r="AX283" s="12">
        <f>AX143</f>
        <v>8370.06446411248</v>
      </c>
      <c r="AY283" s="12">
        <f>AY143</f>
        <v>7449.87635614186</v>
      </c>
      <c r="AZ283" s="12">
        <f>AZ143</f>
        <v>8014.88104830002</v>
      </c>
      <c r="BA283" s="12">
        <f>SUM(AW283:AZ283)</f>
        <v>31334.8952702482</v>
      </c>
      <c r="BB283" s="12">
        <f>BB143</f>
        <v>8467.38463943276</v>
      </c>
      <c r="BC283" s="12">
        <f>BC143</f>
        <v>9449.58155455952</v>
      </c>
      <c r="BD283" s="12">
        <f>BD143</f>
        <v>8410.71350174026</v>
      </c>
      <c r="BE283" s="12">
        <f>BE143</f>
        <v>9048.58886580096</v>
      </c>
      <c r="BF283" s="12">
        <f>SUM(BB283:BE283)</f>
        <v>35376.2685615335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>
      <c r="C284" s="10" t="inlineStr">
        <is>
          <t>Depreciation &amp; amortization</t>
        </is>
      </c>
      <c r="D284" s="12" t="n"/>
      <c r="E284" s="12" t="n"/>
      <c r="F284" s="12" t="n"/>
      <c r="G284" s="12" t="n"/>
      <c r="H284" s="12" t="n"/>
      <c r="I284" s="12" t="n"/>
      <c r="J284" s="12">
        <f>-J76</f>
        <v>752</v>
      </c>
      <c r="K284" s="12">
        <f>-K76</f>
        <v>757</v>
      </c>
      <c r="L284" s="12">
        <f>-L76</f>
        <v>758</v>
      </c>
      <c r="M284" s="12" t="n"/>
      <c r="N284" s="12">
        <f>-N76</f>
        <v>775</v>
      </c>
      <c r="O284" s="12">
        <f>-O76</f>
        <v>831</v>
      </c>
      <c r="P284" s="12">
        <f>-P76</f>
        <v>1466</v>
      </c>
      <c r="Q284" s="12">
        <f>-Q76</f>
        <v>1498</v>
      </c>
      <c r="R284" s="12">
        <f>SUM(N284:Q284)</f>
        <v>4570</v>
      </c>
      <c r="S284" s="12">
        <f>-S76</f>
        <v>1558</v>
      </c>
      <c r="T284" s="12">
        <f>-T76</f>
        <v>1586</v>
      </c>
      <c r="U284" s="12">
        <f>-U76</f>
        <v>1475</v>
      </c>
      <c r="V284" s="12">
        <f>-V76</f>
        <v>1553</v>
      </c>
      <c r="W284" s="12">
        <f>SUM(S284:V284)</f>
        <v>6172</v>
      </c>
      <c r="X284" s="12">
        <f>-X76</f>
        <v>1557</v>
      </c>
      <c r="Y284" s="12">
        <f>-Y76</f>
        <v>1554</v>
      </c>
      <c r="Z284" s="12">
        <f>-Z76</f>
        <v>1428</v>
      </c>
      <c r="AA284" s="12">
        <f>-AA76</f>
        <v>1499</v>
      </c>
      <c r="AB284" s="12">
        <f>SUM(X284:AA284)</f>
        <v>6038</v>
      </c>
      <c r="AC284" s="12">
        <f>-AC76</f>
        <v>1551</v>
      </c>
      <c r="AD284" s="12">
        <f>-AD76</f>
        <v>1696</v>
      </c>
      <c r="AE284" s="12">
        <f>-AE76</f>
        <v>1771</v>
      </c>
      <c r="AF284" s="12">
        <f>-AF76</f>
        <v>2111</v>
      </c>
      <c r="AG284" s="12">
        <f>SUM(AC284:AF284)</f>
        <v>7129</v>
      </c>
      <c r="AH284" s="12">
        <f>-AH76</f>
        <v>2566</v>
      </c>
      <c r="AI284" s="12">
        <f>-AI76</f>
        <v>2847</v>
      </c>
      <c r="AJ284" s="12">
        <f>-AJ76</f>
        <v>2174.789997427</v>
      </c>
      <c r="AK284" s="12">
        <f>-AK76</f>
        <v>2339.72784260236</v>
      </c>
      <c r="AL284" s="12">
        <f>SUM(AH284:AK284)</f>
        <v>9927.51784002936</v>
      </c>
      <c r="AM284" s="12">
        <f>-AM76</f>
        <v>2504.66568777771</v>
      </c>
      <c r="AN284" s="12">
        <f>-AN76</f>
        <v>2795.20107936752</v>
      </c>
      <c r="AO284" s="12">
        <f>-AO76</f>
        <v>2487.90227615653</v>
      </c>
      <c r="AP284" s="12">
        <f>-AP76</f>
        <v>2676.58681163885</v>
      </c>
      <c r="AQ284" s="12">
        <f>SUM(AM284:AP284)</f>
        <v>10464.3558549406</v>
      </c>
      <c r="AR284" s="12">
        <f>-AR76</f>
        <v>2852.74801868229</v>
      </c>
      <c r="AS284" s="12">
        <f>-AS76</f>
        <v>3183.66015069232</v>
      </c>
      <c r="AT284" s="12">
        <f>-AT76</f>
        <v>2833.65493591198</v>
      </c>
      <c r="AU284" s="12">
        <f>-AU76</f>
        <v>3048.56163478993</v>
      </c>
      <c r="AV284" s="12">
        <f>SUM(AR284:AU284)</f>
        <v>11918.6247400765</v>
      </c>
      <c r="AW284" s="12">
        <f>-AW76</f>
        <v>3234.94085348106</v>
      </c>
      <c r="AX284" s="12">
        <f>-AX76</f>
        <v>3610.18646499015</v>
      </c>
      <c r="AY284" s="12">
        <f>-AY76</f>
        <v>3213.28980226025</v>
      </c>
      <c r="AZ284" s="12">
        <f>-AZ76</f>
        <v>3456.98831868518</v>
      </c>
      <c r="BA284" s="12">
        <f>SUM(AW284:AZ284)</f>
        <v>13515.4054394166</v>
      </c>
      <c r="BB284" s="12">
        <f>-BB76</f>
        <v>3652.1627223079</v>
      </c>
      <c r="BC284" s="12">
        <f>-BC76</f>
        <v>4075.80509975304</v>
      </c>
      <c r="BD284" s="12">
        <f>-BD76</f>
        <v>3627.71925772883</v>
      </c>
      <c r="BE284" s="12">
        <f>-BE76</f>
        <v>3902.84844168629</v>
      </c>
      <c r="BF284" s="12">
        <f>SUM(BB284:BE284)</f>
        <v>15258.5355214761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0" t="inlineStr">
        <is>
          <t xml:space="preserve">Changes in working capital </t>
        </is>
      </c>
      <c r="D285" s="12" t="n"/>
      <c r="E285" s="12" t="n"/>
      <c r="F285" s="12" t="n"/>
      <c r="G285" s="12" t="n"/>
      <c r="H285" s="12" t="n"/>
      <c r="I285" s="12" t="n"/>
      <c r="J285" s="12">
        <f>SUM(J286:J295)</f>
        <v>2842</v>
      </c>
      <c r="K285" s="12">
        <f>SUM(K286:K295)</f>
        <v>142</v>
      </c>
      <c r="L285" s="12">
        <f>SUM(L286:L295)</f>
        <v>-5368</v>
      </c>
      <c r="M285" s="12" t="n"/>
      <c r="N285" s="12">
        <f>SUM(N286:N295)</f>
        <v>1747</v>
      </c>
      <c r="O285" s="12">
        <f>SUM(O286:O295)</f>
        <v>-2871</v>
      </c>
      <c r="P285" s="12">
        <f>SUM(P286:P295)</f>
        <v>17634</v>
      </c>
      <c r="Q285" s="12">
        <f>SUM(Q286:Q295)</f>
        <v>-8694</v>
      </c>
      <c r="R285" s="12">
        <f>SUM(N285:Q285)</f>
        <v>7816</v>
      </c>
      <c r="S285" s="12">
        <f>SUM(S286:S295)</f>
        <v>-4355</v>
      </c>
      <c r="T285" s="12">
        <f>SUM(T286:T295)</f>
        <v>-1795</v>
      </c>
      <c r="U285" s="12">
        <f>SUM(U286:U295)</f>
        <v>2493</v>
      </c>
      <c r="V285" s="12">
        <f>SUM(V286:V295)</f>
        <v>-2018</v>
      </c>
      <c r="W285" s="12">
        <f>SUM(S285:V285)</f>
        <v>-5675</v>
      </c>
      <c r="X285" s="12">
        <f>SUM(X286:X295)</f>
        <v>-773</v>
      </c>
      <c r="Y285" s="12">
        <f>SUM(Y286:Y295)</f>
        <v>5549</v>
      </c>
      <c r="Z285" s="12">
        <f>SUM(Z286:Z295)</f>
        <v>37</v>
      </c>
      <c r="AA285" s="12">
        <f>SUM(AA286:AA295)</f>
        <v>-3367</v>
      </c>
      <c r="AB285" s="12">
        <f>SUM(X285:AA285)</f>
        <v>1446</v>
      </c>
      <c r="AC285" s="12">
        <f>SUM(AC286:AC295)</f>
        <v>-1</v>
      </c>
      <c r="AD285" s="12">
        <f>SUM(AD286:AD295)</f>
        <v>-349</v>
      </c>
      <c r="AE285" s="12">
        <f>SUM(AE286:AE295)</f>
        <v>7121</v>
      </c>
      <c r="AF285" s="12">
        <f>SUM(AF286:AF295)</f>
        <v>-2847</v>
      </c>
      <c r="AG285" s="12">
        <f>SUM(AC285:AF285)</f>
        <v>3924</v>
      </c>
      <c r="AH285" s="12">
        <f>SUM(AH286:AH295)</f>
        <v>1971</v>
      </c>
      <c r="AI285" s="12">
        <f>SUM(AI286:AI295)</f>
        <v>1915</v>
      </c>
      <c r="AJ285" s="12">
        <f>SUM(AJ286:AJ295)</f>
        <v>-2235.57409469721</v>
      </c>
      <c r="AK285" s="12">
        <f>SUM(AK286:AK295)</f>
        <v>217.516921559962</v>
      </c>
      <c r="AL285" s="12">
        <f>SUM(AH285:AK285)</f>
        <v>1867.94282686276</v>
      </c>
      <c r="AM285" s="12">
        <f>SUM(AM286:AM295)</f>
        <v>220.0154063312</v>
      </c>
      <c r="AN285" s="12">
        <f>SUM(AN286:AN295)</f>
        <v>239.739741449223</v>
      </c>
      <c r="AO285" s="12">
        <f>SUM(AO286:AO295)</f>
        <v>853.866695929859</v>
      </c>
      <c r="AP285" s="12">
        <f>SUM(AP286:AP295)</f>
        <v>457.225100363431</v>
      </c>
      <c r="AQ285" s="12">
        <f>SUM(AM285:AP285)</f>
        <v>1770.84694407371</v>
      </c>
      <c r="AR285" s="12">
        <f>SUM(AR286:AR295)</f>
        <v>505.650558251383</v>
      </c>
      <c r="AS285" s="12">
        <f>SUM(AS286:AS295)</f>
        <v>487.244389734313</v>
      </c>
      <c r="AT285" s="12">
        <f>SUM(AT286:AT295)</f>
        <v>1246.71391026773</v>
      </c>
      <c r="AU285" s="12">
        <f>SUM(AU286:AU295)</f>
        <v>829.92935573343</v>
      </c>
      <c r="AV285" s="12">
        <f>SUM(AR285:AU285)</f>
        <v>3069.53821398685</v>
      </c>
      <c r="AW285" s="12">
        <f>SUM(AW286:AW295)</f>
        <v>891.120798780685</v>
      </c>
      <c r="AX285" s="12">
        <f>SUM(AX286:AX295)</f>
        <v>965.208673013598</v>
      </c>
      <c r="AY285" s="12">
        <f>SUM(AY286:AY295)</f>
        <v>1840.02895086641</v>
      </c>
      <c r="AZ285" s="12">
        <f>SUM(AZ286:AZ295)</f>
        <v>1419.42013710385</v>
      </c>
      <c r="BA285" s="12">
        <f>SUM(AW285:AZ285)</f>
        <v>5115.77855976454</v>
      </c>
      <c r="BB285" s="12">
        <f>SUM(BB286:BB295)</f>
        <v>1540.21318325105</v>
      </c>
      <c r="BC285" s="12">
        <f>SUM(BC286:BC295)</f>
        <v>1670.86223813901</v>
      </c>
      <c r="BD285" s="12">
        <f>SUM(BD286:BD295)</f>
        <v>2726.26933170215</v>
      </c>
      <c r="BE285" s="12">
        <f>SUM(BE286:BE295)</f>
        <v>2326.94600795731</v>
      </c>
      <c r="BF285" s="12">
        <f>SUM(BB285:BE285)</f>
        <v>8264.29076104952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Accounts receivable</t>
        </is>
      </c>
      <c r="D286" s="12" t="n"/>
      <c r="E286" s="12" t="n"/>
      <c r="F286" s="12" t="n"/>
      <c r="G286" s="12" t="n"/>
      <c r="H286" s="12" t="n"/>
      <c r="I286" s="12" t="n"/>
      <c r="J286" s="12">
        <f>(J151-I151)*-1</f>
        <v>-772</v>
      </c>
      <c r="K286" s="12">
        <f>(K151-J151)*-1</f>
        <v>927</v>
      </c>
      <c r="L286" s="12">
        <f>(L151-K151)*-1</f>
        <v>20</v>
      </c>
      <c r="M286" s="12" t="n"/>
      <c r="N286" s="12">
        <f>(N151-M151)*-1</f>
        <v>-126</v>
      </c>
      <c r="O286" s="12">
        <f>(O151-N151)*-1</f>
        <v>-1365</v>
      </c>
      <c r="P286" s="12">
        <f>(P151-O151)*-1</f>
        <v>16</v>
      </c>
      <c r="Q286" s="12">
        <f>(Q151-P151)*-1</f>
        <v>-260</v>
      </c>
      <c r="R286" s="12">
        <f>SUM(N286:Q286)</f>
        <v>-1735</v>
      </c>
      <c r="S286" s="12">
        <f>(S151-R151)*-1</f>
        <v>-16</v>
      </c>
      <c r="T286" s="12">
        <f>(T151-S151)*-1</f>
        <v>-702</v>
      </c>
      <c r="U286" s="12">
        <f>(U151-T151)*-1</f>
        <v>396</v>
      </c>
      <c r="V286" s="12">
        <f>(V151-U151)*-1</f>
        <v>-285</v>
      </c>
      <c r="W286" s="12">
        <f>SUM(S286:V286)</f>
        <v>-607</v>
      </c>
      <c r="X286" s="12">
        <f>(X151-W151)*-1</f>
        <v>-493</v>
      </c>
      <c r="Y286" s="12">
        <f>(Y151-X151)*-1</f>
        <v>-577</v>
      </c>
      <c r="Z286" s="12">
        <f>(Z151-Y151)*-1</f>
        <v>-147</v>
      </c>
      <c r="AA286" s="12">
        <f>(AA151-Z151)*-1</f>
        <v>-156</v>
      </c>
      <c r="AB286" s="12">
        <f>SUM(X286:AA286)</f>
        <v>-1373</v>
      </c>
      <c r="AC286" s="12">
        <f>(AC151-AB151)*-1</f>
        <v>126</v>
      </c>
      <c r="AD286" s="12">
        <f>(AD151-AC151)*-1</f>
        <v>-507</v>
      </c>
      <c r="AE286" s="12">
        <f>(AE151-AD151)*-1</f>
        <v>-285</v>
      </c>
      <c r="AF286" s="12">
        <f>(AF151-AE151)*-1</f>
        <v>-597</v>
      </c>
      <c r="AG286" s="12">
        <f>SUM(AC286:AF286)</f>
        <v>-1263</v>
      </c>
      <c r="AH286" s="12">
        <f>(AH151-AG151)*-1</f>
        <v>-1279</v>
      </c>
      <c r="AI286" s="12">
        <f>(AI151-AH151)*-1</f>
        <v>334</v>
      </c>
      <c r="AJ286" s="12">
        <f>(AJ151-AI151)*-1</f>
        <v>665.186611435491</v>
      </c>
      <c r="AK286" s="12">
        <f>(AK151-AJ151)*-1</f>
        <v>-737.158565982516</v>
      </c>
      <c r="AL286" s="12">
        <f>SUM(AH286:AK286)</f>
        <v>-1016.97195454703</v>
      </c>
      <c r="AM286" s="12">
        <f>(AM151-AL151)*-1</f>
        <v>-985.917021994283</v>
      </c>
      <c r="AN286" s="12">
        <f>(AN151-AM151)*-1</f>
        <v>-1187.01621452759</v>
      </c>
      <c r="AO286" s="12">
        <f>(AO151-AN151)*-1</f>
        <v>1510.69557458361</v>
      </c>
      <c r="AP286" s="12">
        <f>(AP151-AO151)*-1</f>
        <v>-843.28991597624</v>
      </c>
      <c r="AQ286" s="12">
        <f>SUM(AM286:AP286)</f>
        <v>-1505.5275779145</v>
      </c>
      <c r="AR286" s="12">
        <f>(AR151-AQ151)*-1</f>
        <v>-927.427162228922</v>
      </c>
      <c r="AS286" s="12">
        <f>(AS151-AR151)*-1</f>
        <v>-1495.201502572</v>
      </c>
      <c r="AT286" s="12">
        <f>(AT151-AS151)*-1</f>
        <v>1720.6423309329</v>
      </c>
      <c r="AU286" s="12">
        <f>(AU151-AT151)*-1</f>
        <v>-960.484925679022</v>
      </c>
      <c r="AV286" s="12">
        <f>SUM(AR286:AU286)</f>
        <v>-1662.47125954705</v>
      </c>
      <c r="AW286" s="12">
        <f>(AW151-AV151)*-1</f>
        <v>-1154.27468282576</v>
      </c>
      <c r="AX286" s="12">
        <f>(AX151-AW151)*-1</f>
        <v>-1533.10969398345</v>
      </c>
      <c r="AY286" s="12">
        <f>(AY151-AX151)*-1</f>
        <v>1951.16292575143</v>
      </c>
      <c r="AZ286" s="12">
        <f>(AZ151-AY151)*-1</f>
        <v>-1089.16451957331</v>
      </c>
      <c r="BA286" s="12">
        <f>SUM(AW286:AZ286)</f>
        <v>-1825.38597063109</v>
      </c>
      <c r="BB286" s="12">
        <f>(BB151-BA151)*-1</f>
        <v>-1235.0207548333</v>
      </c>
      <c r="BC286" s="12">
        <f>(BC151-BB151)*-1</f>
        <v>-1730.84032357193</v>
      </c>
      <c r="BD286" s="12">
        <f>(BD151-BC151)*-1</f>
        <v>2202.81137286033</v>
      </c>
      <c r="BE286" s="12">
        <f>(BE151-BD151)*-1</f>
        <v>-1229.63795537887</v>
      </c>
      <c r="BF286" s="12">
        <f>SUM(BB286:BE286)</f>
        <v>-1992.68766092377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Inventories</t>
        </is>
      </c>
      <c r="D287" s="12" t="n"/>
      <c r="E287" s="12" t="n"/>
      <c r="F287" s="12" t="n"/>
      <c r="G287" s="12" t="n"/>
      <c r="H287" s="12" t="n"/>
      <c r="I287" s="12" t="n"/>
      <c r="J287" s="12">
        <f>(J155-I155)*-1</f>
        <v>0</v>
      </c>
      <c r="K287" s="12">
        <f>(K155-J155)*-1</f>
        <v>0</v>
      </c>
      <c r="L287" s="12">
        <f>(L155-K155)*-1</f>
        <v>0</v>
      </c>
      <c r="M287" s="12" t="n"/>
      <c r="N287" s="12">
        <f>(N155-M155)*-1</f>
        <v>0</v>
      </c>
      <c r="O287" s="12">
        <f>(O155-N155)*-1</f>
        <v>0</v>
      </c>
      <c r="P287" s="12">
        <f>(P155-O155)*-1</f>
        <v>0</v>
      </c>
      <c r="Q287" s="12">
        <f>(Q155-P155)*-1</f>
        <v>0</v>
      </c>
      <c r="R287" s="12">
        <f>SUM(N287:Q287)</f>
        <v>0</v>
      </c>
      <c r="S287" s="12">
        <f>(S155-R155)*-1</f>
        <v>0</v>
      </c>
      <c r="T287" s="12">
        <f>(T155-S155)*-1</f>
        <v>0</v>
      </c>
      <c r="U287" s="12">
        <f>(U155-T155)*-1</f>
        <v>0</v>
      </c>
      <c r="V287" s="12">
        <f>(V155-U155)*-1</f>
        <v>0</v>
      </c>
      <c r="W287" s="12">
        <f>SUM(S287:V287)</f>
        <v>0</v>
      </c>
      <c r="X287" s="12">
        <f>(X155-W155)*-1</f>
        <v>0</v>
      </c>
      <c r="Y287" s="12">
        <f>(Y155-X155)*-1</f>
        <v>0</v>
      </c>
      <c r="Z287" s="12">
        <f>(Z155-Y155)*-1</f>
        <v>0</v>
      </c>
      <c r="AA287" s="12">
        <f>(AA155-Z155)*-1</f>
        <v>0</v>
      </c>
      <c r="AB287" s="12">
        <f>SUM(X287:AA287)</f>
        <v>0</v>
      </c>
      <c r="AC287" s="12">
        <f>(AC155-AB155)*-1</f>
        <v>0</v>
      </c>
      <c r="AD287" s="12">
        <f>(AD155-AC155)*-1</f>
        <v>0</v>
      </c>
      <c r="AE287" s="12">
        <f>(AE155-AD155)*-1</f>
        <v>0</v>
      </c>
      <c r="AF287" s="12">
        <f>(AF155-AE155)*-1</f>
        <v>0</v>
      </c>
      <c r="AG287" s="12">
        <f>SUM(AC287:AF287)</f>
        <v>0</v>
      </c>
      <c r="AH287" s="12">
        <f>(AH155-AG155)*-1</f>
        <v>0</v>
      </c>
      <c r="AI287" s="12">
        <f>(AI155-AH155)*-1</f>
        <v>0</v>
      </c>
      <c r="AJ287" s="12">
        <f>(AJ155-AI155)*-1</f>
        <v>0</v>
      </c>
      <c r="AK287" s="12">
        <f>(AK155-AJ155)*-1</f>
        <v>0</v>
      </c>
      <c r="AL287" s="12">
        <f>SUM(AH287:AK287)</f>
        <v>0</v>
      </c>
      <c r="AM287" s="12">
        <f>(AM155-AL155)*-1</f>
        <v>0</v>
      </c>
      <c r="AN287" s="12">
        <f>(AN155-AM155)*-1</f>
        <v>0</v>
      </c>
      <c r="AO287" s="12">
        <f>(AO155-AN155)*-1</f>
        <v>0</v>
      </c>
      <c r="AP287" s="12">
        <f>(AP155-AO155)*-1</f>
        <v>0</v>
      </c>
      <c r="AQ287" s="12">
        <f>SUM(AM287:AP287)</f>
        <v>0</v>
      </c>
      <c r="AR287" s="12">
        <f>(AR155-AQ155)*-1</f>
        <v>0</v>
      </c>
      <c r="AS287" s="12">
        <f>(AS155-AR155)*-1</f>
        <v>0</v>
      </c>
      <c r="AT287" s="12">
        <f>(AT155-AS155)*-1</f>
        <v>0</v>
      </c>
      <c r="AU287" s="12">
        <f>(AU155-AT155)*-1</f>
        <v>0</v>
      </c>
      <c r="AV287" s="12">
        <f>SUM(AR287:AU287)</f>
        <v>0</v>
      </c>
      <c r="AW287" s="12">
        <f>(AW155-AV155)*-1</f>
        <v>0</v>
      </c>
      <c r="AX287" s="12">
        <f>(AX155-AW155)*-1</f>
        <v>0</v>
      </c>
      <c r="AY287" s="12">
        <f>(AY155-AX155)*-1</f>
        <v>0</v>
      </c>
      <c r="AZ287" s="12">
        <f>(AZ155-AY155)*-1</f>
        <v>0</v>
      </c>
      <c r="BA287" s="12">
        <f>SUM(AW287:AZ287)</f>
        <v>0</v>
      </c>
      <c r="BB287" s="12">
        <f>(BB155-BA155)*-1</f>
        <v>0</v>
      </c>
      <c r="BC287" s="12">
        <f>(BC155-BB155)*-1</f>
        <v>0</v>
      </c>
      <c r="BD287" s="12">
        <f>(BD155-BC155)*-1</f>
        <v>0</v>
      </c>
      <c r="BE287" s="12">
        <f>(BE155-BD155)*-1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Deferred income taxes</t>
        </is>
      </c>
      <c r="D288" s="12" t="n"/>
      <c r="E288" s="12" t="n"/>
      <c r="F288" s="12" t="n"/>
      <c r="G288" s="12" t="n"/>
      <c r="H288" s="12" t="n"/>
      <c r="I288" s="12" t="n"/>
      <c r="J288" s="12">
        <f>(J159-I159)*-1</f>
        <v>89</v>
      </c>
      <c r="K288" s="12">
        <f>(K159-J159)*-1</f>
        <v>245</v>
      </c>
      <c r="L288" s="12">
        <f>(L159-K159)*-1</f>
        <v>126</v>
      </c>
      <c r="M288" s="12" t="n"/>
      <c r="N288" s="12">
        <f>(N159-M159)*-1</f>
        <v>156</v>
      </c>
      <c r="O288" s="12">
        <f>(O159-N159)*-1</f>
        <v>327</v>
      </c>
      <c r="P288" s="12">
        <f>(P159-O159)*-1</f>
        <v>717</v>
      </c>
      <c r="Q288" s="12">
        <f>(Q159-P159)*-1</f>
        <v>-26</v>
      </c>
      <c r="R288" s="12">
        <f>SUM(N288:Q288)</f>
        <v>1174</v>
      </c>
      <c r="S288" s="12">
        <f>(S159-R159)*-1</f>
        <v>-62</v>
      </c>
      <c r="T288" s="12">
        <f>(T159-S159)*-1</f>
        <v>-73</v>
      </c>
      <c r="U288" s="12">
        <f>(U159-T159)*-1</f>
        <v>-17</v>
      </c>
      <c r="V288" s="12">
        <f>(V159-U159)*-1</f>
        <v>-515</v>
      </c>
      <c r="W288" s="12">
        <f>SUM(S288:V288)</f>
        <v>-667</v>
      </c>
      <c r="X288" s="12">
        <f>(X159-W159)*-1</f>
        <v>70</v>
      </c>
      <c r="Y288" s="12">
        <f>(Y159-X159)*-1</f>
        <v>415</v>
      </c>
      <c r="Z288" s="12">
        <f>(Z159-Y159)*-1</f>
        <v>54</v>
      </c>
      <c r="AA288" s="12">
        <f>(AA159-Z159)*-1</f>
        <v>235</v>
      </c>
      <c r="AB288" s="12">
        <f>SUM(X288:AA288)</f>
        <v>774</v>
      </c>
      <c r="AC288" s="12">
        <f>(AC159-AB159)*-1</f>
        <v>185</v>
      </c>
      <c r="AD288" s="12">
        <f>(AD159-AC159)*-1</f>
        <v>-78</v>
      </c>
      <c r="AE288" s="12">
        <f>(AE159-AD159)*-1</f>
        <v>143</v>
      </c>
      <c r="AF288" s="12">
        <f>(AF159-AE159)*-1</f>
        <v>203</v>
      </c>
      <c r="AG288" s="12">
        <f>SUM(AC288:AF288)</f>
        <v>453</v>
      </c>
      <c r="AH288" s="12">
        <f>(AH159-AG159)*-1</f>
        <v>171</v>
      </c>
      <c r="AI288" s="12">
        <f>(AI159-AH159)*-1</f>
        <v>-181</v>
      </c>
      <c r="AJ288" s="12">
        <f>(AJ159-AI159)*-1</f>
        <v>0</v>
      </c>
      <c r="AK288" s="12">
        <f>(AK159-AJ159)*-1</f>
        <v>0</v>
      </c>
      <c r="AL288" s="12">
        <f>SUM(AH288:AK288)</f>
        <v>-10</v>
      </c>
      <c r="AM288" s="12">
        <f>(AM159-AL159)*-1</f>
        <v>0</v>
      </c>
      <c r="AN288" s="12">
        <f>(AN159-AM159)*-1</f>
        <v>0</v>
      </c>
      <c r="AO288" s="12">
        <f>(AO159-AN159)*-1</f>
        <v>0</v>
      </c>
      <c r="AP288" s="12">
        <f>(AP159-AO159)*-1</f>
        <v>0</v>
      </c>
      <c r="AQ288" s="12">
        <f>SUM(AM288:AP288)</f>
        <v>0</v>
      </c>
      <c r="AR288" s="12">
        <f>(AR159-AQ159)*-1</f>
        <v>0</v>
      </c>
      <c r="AS288" s="12">
        <f>(AS159-AR159)*-1</f>
        <v>0</v>
      </c>
      <c r="AT288" s="12">
        <f>(AT159-AS159)*-1</f>
        <v>0</v>
      </c>
      <c r="AU288" s="12">
        <f>(AU159-AT159)*-1</f>
        <v>0</v>
      </c>
      <c r="AV288" s="12">
        <f>SUM(AR288:AU288)</f>
        <v>0</v>
      </c>
      <c r="AW288" s="12">
        <f>(AW159-AV159)*-1</f>
        <v>0</v>
      </c>
      <c r="AX288" s="12">
        <f>(AX159-AW159)*-1</f>
        <v>0</v>
      </c>
      <c r="AY288" s="12">
        <f>(AY159-AX159)*-1</f>
        <v>0</v>
      </c>
      <c r="AZ288" s="12">
        <f>(AZ159-AY159)*-1</f>
        <v>0</v>
      </c>
      <c r="BA288" s="12">
        <f>SUM(AW288:AZ288)</f>
        <v>0</v>
      </c>
      <c r="BB288" s="12">
        <f>(BB159-BA159)*-1</f>
        <v>0</v>
      </c>
      <c r="BC288" s="12">
        <f>(BC159-BB159)*-1</f>
        <v>0</v>
      </c>
      <c r="BD288" s="12">
        <f>(BD159-BC159)*-1</f>
        <v>0</v>
      </c>
      <c r="BE288" s="12">
        <f>(BE159-BD159)*-1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Prepaid expenses</t>
        </is>
      </c>
      <c r="D289" s="12" t="n"/>
      <c r="E289" s="12" t="n"/>
      <c r="F289" s="12" t="n"/>
      <c r="G289" s="12" t="n"/>
      <c r="H289" s="12" t="n"/>
      <c r="I289" s="12" t="n"/>
      <c r="J289" s="12">
        <f>(J160-I160)*-1</f>
        <v>0</v>
      </c>
      <c r="K289" s="12">
        <f>(K160-J160)*-1</f>
        <v>0</v>
      </c>
      <c r="L289" s="12">
        <f>(L160-K160)*-1</f>
        <v>0</v>
      </c>
      <c r="M289" s="12" t="n"/>
      <c r="N289" s="12">
        <f>(N160-M160)*-1</f>
        <v>0</v>
      </c>
      <c r="O289" s="12">
        <f>(O160-N160)*-1</f>
        <v>0</v>
      </c>
      <c r="P289" s="12">
        <f>(P160-O160)*-1</f>
        <v>0</v>
      </c>
      <c r="Q289" s="12">
        <f>(Q160-P160)*-1</f>
        <v>0</v>
      </c>
      <c r="R289" s="12">
        <f>SUM(N289:Q289)</f>
        <v>0</v>
      </c>
      <c r="S289" s="12">
        <f>(S160-R160)*-1</f>
        <v>0</v>
      </c>
      <c r="T289" s="12">
        <f>(T160-S160)*-1</f>
        <v>0</v>
      </c>
      <c r="U289" s="12">
        <f>(U160-T160)*-1</f>
        <v>0</v>
      </c>
      <c r="V289" s="12">
        <f>(V160-U160)*-1</f>
        <v>0</v>
      </c>
      <c r="W289" s="12">
        <f>SUM(S289:V289)</f>
        <v>0</v>
      </c>
      <c r="X289" s="12">
        <f>(X160-W160)*-1</f>
        <v>0</v>
      </c>
      <c r="Y289" s="12">
        <f>(Y160-X160)*-1</f>
        <v>0</v>
      </c>
      <c r="Z289" s="12">
        <f>(Z160-Y160)*-1</f>
        <v>0</v>
      </c>
      <c r="AA289" s="12">
        <f>(AA160-Z160)*-1</f>
        <v>0</v>
      </c>
      <c r="AB289" s="12">
        <f>SUM(X289:AA289)</f>
        <v>0</v>
      </c>
      <c r="AC289" s="12">
        <f>(AC160-AB160)*-1</f>
        <v>0</v>
      </c>
      <c r="AD289" s="12">
        <f>(AD160-AC160)*-1</f>
        <v>0</v>
      </c>
      <c r="AE289" s="12">
        <f>(AE160-AD160)*-1</f>
        <v>0</v>
      </c>
      <c r="AF289" s="12">
        <f>(AF160-AE160)*-1</f>
        <v>0</v>
      </c>
      <c r="AG289" s="12">
        <f>SUM(AC289:AF289)</f>
        <v>0</v>
      </c>
      <c r="AH289" s="12">
        <f>(AH160-AG160)*-1</f>
        <v>0</v>
      </c>
      <c r="AI289" s="12">
        <f>(AI160-AH160)*-1</f>
        <v>0</v>
      </c>
      <c r="AJ289" s="12">
        <f>(AJ160-AI160)*-1</f>
        <v>0</v>
      </c>
      <c r="AK289" s="12">
        <f>(AK160-AJ160)*-1</f>
        <v>0</v>
      </c>
      <c r="AL289" s="12">
        <f>SUM(AH289:AK289)</f>
        <v>0</v>
      </c>
      <c r="AM289" s="12">
        <f>(AM160-AL160)*-1</f>
        <v>0</v>
      </c>
      <c r="AN289" s="12">
        <f>(AN160-AM160)*-1</f>
        <v>0</v>
      </c>
      <c r="AO289" s="12">
        <f>(AO160-AN160)*-1</f>
        <v>0</v>
      </c>
      <c r="AP289" s="12">
        <f>(AP160-AO160)*-1</f>
        <v>0</v>
      </c>
      <c r="AQ289" s="12">
        <f>SUM(AM289:AP289)</f>
        <v>0</v>
      </c>
      <c r="AR289" s="12">
        <f>(AR160-AQ160)*-1</f>
        <v>0</v>
      </c>
      <c r="AS289" s="12">
        <f>(AS160-AR160)*-1</f>
        <v>0</v>
      </c>
      <c r="AT289" s="12">
        <f>(AT160-AS160)*-1</f>
        <v>0</v>
      </c>
      <c r="AU289" s="12">
        <f>(AU160-AT160)*-1</f>
        <v>0</v>
      </c>
      <c r="AV289" s="12">
        <f>SUM(AR289:AU289)</f>
        <v>0</v>
      </c>
      <c r="AW289" s="12">
        <f>(AW160-AV160)*-1</f>
        <v>0</v>
      </c>
      <c r="AX289" s="12">
        <f>(AX160-AW160)*-1</f>
        <v>0</v>
      </c>
      <c r="AY289" s="12">
        <f>(AY160-AX160)*-1</f>
        <v>0</v>
      </c>
      <c r="AZ289" s="12">
        <f>(AZ160-AY160)*-1</f>
        <v>0</v>
      </c>
      <c r="BA289" s="12">
        <f>SUM(AW289:AZ289)</f>
        <v>0</v>
      </c>
      <c r="BB289" s="12">
        <f>(BB160-BA160)*-1</f>
        <v>0</v>
      </c>
      <c r="BC289" s="12">
        <f>(BC160-BB160)*-1</f>
        <v>0</v>
      </c>
      <c r="BD289" s="12">
        <f>(BD160-BC160)*-1</f>
        <v>0</v>
      </c>
      <c r="BE289" s="12">
        <f>(BE160-BD160)*-1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hidden="1" outlineLevel="1">
      <c r="C290" s="10" t="inlineStr">
        <is>
          <t>Other current assets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-361</v>
      </c>
      <c r="K290" s="12">
        <f>(K161-J161)*-1</f>
        <v>279</v>
      </c>
      <c r="L290" s="12">
        <f>(L161-K161)*-1</f>
        <v>-453</v>
      </c>
      <c r="M290" s="12" t="n"/>
      <c r="N290" s="12">
        <f>(N161-M161)*-1</f>
        <v>80</v>
      </c>
      <c r="O290" s="12">
        <f>(O161-N161)*-1</f>
        <v>-80</v>
      </c>
      <c r="P290" s="12">
        <f>(P161-O161)*-1</f>
        <v>-69</v>
      </c>
      <c r="Q290" s="12">
        <f>(Q161-P161)*-1</f>
        <v>-167</v>
      </c>
      <c r="R290" s="12">
        <f>SUM(N290:Q290)</f>
        <v>-236</v>
      </c>
      <c r="S290" s="12">
        <f>(S161-R161)*-1</f>
        <v>300</v>
      </c>
      <c r="T290" s="12">
        <f>(T161-S161)*-1</f>
        <v>-188</v>
      </c>
      <c r="U290" s="12">
        <f>(U161-T161)*-1</f>
        <v>338</v>
      </c>
      <c r="V290" s="12">
        <f>(V161-U161)*-1</f>
        <v>-231</v>
      </c>
      <c r="W290" s="12">
        <f>SUM(S290:V290)</f>
        <v>219</v>
      </c>
      <c r="X290" s="12">
        <f>(X161-W161)*-1</f>
        <v>-67</v>
      </c>
      <c r="Y290" s="12">
        <f>(Y161-X161)*-1</f>
        <v>-157</v>
      </c>
      <c r="Z290" s="12">
        <f>(Z161-Y161)*-1</f>
        <v>-121</v>
      </c>
      <c r="AA290" s="12">
        <f>(AA161-Z161)*-1</f>
        <v>125</v>
      </c>
      <c r="AB290" s="12">
        <f>SUM(X290:AA290)</f>
        <v>-220</v>
      </c>
      <c r="AC290" s="12">
        <f>(AC161-AB161)*-1</f>
        <v>-227</v>
      </c>
      <c r="AD290" s="12">
        <f>(AD161-AC161)*-1</f>
        <v>-576</v>
      </c>
      <c r="AE290" s="12">
        <f>(AE161-AD161)*-1</f>
        <v>32</v>
      </c>
      <c r="AF290" s="12">
        <f>(AF161-AE161)*-1</f>
        <v>-374</v>
      </c>
      <c r="AG290" s="12">
        <f>SUM(AC290:AF290)</f>
        <v>-1145</v>
      </c>
      <c r="AH290" s="12">
        <f>(AH161-AG161)*-1</f>
        <v>137</v>
      </c>
      <c r="AI290" s="12">
        <f>(AI161-AH161)*-1</f>
        <v>735</v>
      </c>
      <c r="AJ290" s="12">
        <f>(AJ161-AI161)*-1</f>
        <v>0</v>
      </c>
      <c r="AK290" s="12">
        <f>(AK161-AJ161)*-1</f>
        <v>0</v>
      </c>
      <c r="AL290" s="12">
        <f>SUM(AH290:AK290)</f>
        <v>872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 hidden="1" outlineLevel="1">
      <c r="C291" s="10" t="inlineStr">
        <is>
          <t>Accounts payable</t>
        </is>
      </c>
      <c r="D291" s="12" t="n"/>
      <c r="E291" s="12" t="n"/>
      <c r="F291" s="12" t="n"/>
      <c r="G291" s="12" t="n"/>
      <c r="H291" s="12" t="n"/>
      <c r="I291" s="12" t="n"/>
      <c r="J291" s="12">
        <f>J204-I204</f>
        <v>-67</v>
      </c>
      <c r="K291" s="12">
        <f>K204-J204</f>
        <v>4</v>
      </c>
      <c r="L291" s="12">
        <f>L204-K204</f>
        <v>285</v>
      </c>
      <c r="M291" s="12" t="n"/>
      <c r="N291" s="12">
        <f>N204-M204</f>
        <v>90</v>
      </c>
      <c r="O291" s="12">
        <f>O204-N204</f>
        <v>193</v>
      </c>
      <c r="P291" s="12">
        <f>P204-O204</f>
        <v>144</v>
      </c>
      <c r="Q291" s="12">
        <f>Q204-P204</f>
        <v>186</v>
      </c>
      <c r="R291" s="12">
        <f>SUM(N291:Q291)</f>
        <v>613</v>
      </c>
      <c r="S291" s="12">
        <f>S204-R204</f>
        <v>-37</v>
      </c>
      <c r="T291" s="12">
        <f>T204-S204</f>
        <v>-406</v>
      </c>
      <c r="U291" s="12">
        <f>U204-T204</f>
        <v>-170</v>
      </c>
      <c r="V291" s="12">
        <f>V204-U204</f>
        <v>73</v>
      </c>
      <c r="W291" s="12">
        <f>SUM(S291:V291)</f>
        <v>-540</v>
      </c>
      <c r="X291" s="12">
        <f>X204-W204</f>
        <v>551</v>
      </c>
      <c r="Y291" s="12">
        <f>Y204-X204</f>
        <v>699</v>
      </c>
      <c r="Z291" s="12">
        <f>Z204-Y204</f>
        <v>-150</v>
      </c>
      <c r="AA291" s="12">
        <f>AA204-Z204</f>
        <v>472</v>
      </c>
      <c r="AB291" s="12">
        <f>SUM(X291:AA291)</f>
        <v>1572</v>
      </c>
      <c r="AC291" s="12">
        <f>AC204-AB204</f>
        <v>-256</v>
      </c>
      <c r="AD291" s="12">
        <f>AD204-AC204</f>
        <v>2690</v>
      </c>
      <c r="AE291" s="12">
        <f>AE204-AD204</f>
        <v>3090</v>
      </c>
      <c r="AF291" s="12">
        <f>AF204-AE204</f>
        <v>1937</v>
      </c>
      <c r="AG291" s="12">
        <f>SUM(AC291:AF291)</f>
        <v>7461</v>
      </c>
      <c r="AH291" s="12">
        <f>AH204-AG204</f>
        <v>-666</v>
      </c>
      <c r="AI291" s="12">
        <f>AI204-AH204</f>
        <v>1503</v>
      </c>
      <c r="AJ291" s="12">
        <f>AJ204-AI204</f>
        <v>-3221.10189815465</v>
      </c>
      <c r="AK291" s="12">
        <f>AK204-AJ204</f>
        <v>588.213630663871</v>
      </c>
      <c r="AL291" s="12">
        <f>SUM(AH291:AK291)</f>
        <v>-1795.88826749078</v>
      </c>
      <c r="AM291" s="12">
        <f>AM204-AL204</f>
        <v>786.709749845495</v>
      </c>
      <c r="AN291" s="12">
        <f>AN204-AM204</f>
        <v>947.176292082477</v>
      </c>
      <c r="AO291" s="12">
        <f>AO204-AN204</f>
        <v>-1205.45533859366</v>
      </c>
      <c r="AP291" s="12">
        <f>AP204-AO204</f>
        <v>672.900846668559</v>
      </c>
      <c r="AQ291" s="12">
        <f>SUM(AM291:AP291)</f>
        <v>1201.33155000287</v>
      </c>
      <c r="AR291" s="12">
        <f>AR204-AQ204</f>
        <v>740.037928669886</v>
      </c>
      <c r="AS291" s="12">
        <f>AS204-AR204</f>
        <v>1193.09188685846</v>
      </c>
      <c r="AT291" s="12">
        <f>AT204-AS204</f>
        <v>-1372.98176980825</v>
      </c>
      <c r="AU291" s="12">
        <f>AU204-AT204</f>
        <v>766.416279214716</v>
      </c>
      <c r="AV291" s="12">
        <f>SUM(AR291:AU291)</f>
        <v>1326.56432493481</v>
      </c>
      <c r="AW291" s="12">
        <f>AW204-AV204</f>
        <v>921.050277783023</v>
      </c>
      <c r="AX291" s="12">
        <f>AX204-AW204</f>
        <v>1223.34062292558</v>
      </c>
      <c r="AY291" s="12">
        <f>AY204-AX204</f>
        <v>-1556.92503829659</v>
      </c>
      <c r="AZ291" s="12">
        <f>AZ204-AY204</f>
        <v>869.095803824221</v>
      </c>
      <c r="BA291" s="12">
        <f>SUM(AW291:AZ291)</f>
        <v>1456.56166623624</v>
      </c>
      <c r="BB291" s="12">
        <f>BB204-BA204</f>
        <v>985.481381712601</v>
      </c>
      <c r="BC291" s="12">
        <f>BC204-BB204</f>
        <v>1381.11922971512</v>
      </c>
      <c r="BD291" s="12">
        <f>BD204-BC204</f>
        <v>-1757.72721784878</v>
      </c>
      <c r="BE291" s="12">
        <f>BE204-BD204</f>
        <v>981.186191835774</v>
      </c>
      <c r="BF291" s="12">
        <f>SUM(BB291:BE291)</f>
        <v>1590.05958541472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 hidden="1" outlineLevel="1">
      <c r="C292" s="10" t="inlineStr">
        <is>
          <t>Accrued expenses</t>
        </is>
      </c>
      <c r="D292" s="12" t="n"/>
      <c r="E292" s="12" t="n"/>
      <c r="F292" s="12" t="n"/>
      <c r="G292" s="12" t="n"/>
      <c r="H292" s="12" t="n"/>
      <c r="I292" s="12" t="n"/>
      <c r="J292" s="12">
        <f>J208-I208</f>
        <v>333</v>
      </c>
      <c r="K292" s="12">
        <f>K208-J208</f>
        <v>-547</v>
      </c>
      <c r="L292" s="12">
        <f>L208-K208</f>
        <v>33</v>
      </c>
      <c r="M292" s="12" t="n"/>
      <c r="N292" s="12">
        <f>N208-M208</f>
        <v>123</v>
      </c>
      <c r="O292" s="12">
        <f>O208-N208</f>
        <v>318</v>
      </c>
      <c r="P292" s="12">
        <f>P208-O208</f>
        <v>14</v>
      </c>
      <c r="Q292" s="12">
        <f>Q208-P208</f>
        <v>-178</v>
      </c>
      <c r="R292" s="12">
        <f>SUM(N292:Q292)</f>
        <v>277</v>
      </c>
      <c r="S292" s="12">
        <f>S208-R208</f>
        <v>-44</v>
      </c>
      <c r="T292" s="12">
        <f>T208-S208</f>
        <v>317</v>
      </c>
      <c r="U292" s="12">
        <f>U208-T208</f>
        <v>-235</v>
      </c>
      <c r="V292" s="12">
        <f>V208-U208</f>
        <v>-112</v>
      </c>
      <c r="W292" s="12">
        <f>SUM(S292:V292)</f>
        <v>-74</v>
      </c>
      <c r="X292" s="12">
        <f>X208-W208</f>
        <v>90</v>
      </c>
      <c r="Y292" s="12">
        <f>Y208-X208</f>
        <v>120</v>
      </c>
      <c r="Z292" s="12">
        <f>Z208-Y208</f>
        <v>-144</v>
      </c>
      <c r="AA292" s="12">
        <f>AA208-Z208</f>
        <v>-119</v>
      </c>
      <c r="AB292" s="12">
        <f>SUM(X292:AA292)</f>
        <v>-53</v>
      </c>
      <c r="AC292" s="12">
        <f>AC208-AB208</f>
        <v>186</v>
      </c>
      <c r="AD292" s="12">
        <f>AD208-AC208</f>
        <v>404</v>
      </c>
      <c r="AE292" s="12">
        <f>AE208-AD208</f>
        <v>-449</v>
      </c>
      <c r="AF292" s="12">
        <f>AF208-AE208</f>
        <v>153</v>
      </c>
      <c r="AG292" s="12">
        <f>SUM(AC292:AF292)</f>
        <v>294</v>
      </c>
      <c r="AH292" s="12">
        <f>AH208-AG208</f>
        <v>-7</v>
      </c>
      <c r="AI292" s="12">
        <f>AI208-AH208</f>
        <v>285</v>
      </c>
      <c r="AJ292" s="12">
        <f>AJ208-AI208</f>
        <v>320.341192021956</v>
      </c>
      <c r="AK292" s="12">
        <f>AK208-AJ208</f>
        <v>366.461856878607</v>
      </c>
      <c r="AL292" s="12">
        <f>SUM(AH292:AK292)</f>
        <v>964.803048900563</v>
      </c>
      <c r="AM292" s="12">
        <f>AM208-AL208</f>
        <v>419.222678479988</v>
      </c>
      <c r="AN292" s="12">
        <f>AN208-AM208</f>
        <v>479.579663894332</v>
      </c>
      <c r="AO292" s="12">
        <f>AO208-AN208</f>
        <v>548.626459939905</v>
      </c>
      <c r="AP292" s="12">
        <f>AP208-AO208</f>
        <v>627.614169671112</v>
      </c>
      <c r="AQ292" s="12">
        <f>SUM(AM292:AP292)</f>
        <v>2075.04297198534</v>
      </c>
      <c r="AR292" s="12">
        <f>AR208-AQ208</f>
        <v>693.039791810418</v>
      </c>
      <c r="AS292" s="12">
        <f>AS208-AR208</f>
        <v>789.35400544786</v>
      </c>
      <c r="AT292" s="12">
        <f>AT208-AS208</f>
        <v>899.05334914308</v>
      </c>
      <c r="AU292" s="12">
        <f>AU208-AT208</f>
        <v>1023.99800219774</v>
      </c>
      <c r="AV292" s="12">
        <f>SUM(AR292:AU292)</f>
        <v>3405.44514859909</v>
      </c>
      <c r="AW292" s="12">
        <f>AW208-AV208</f>
        <v>1124.34520382342</v>
      </c>
      <c r="AX292" s="12">
        <f>AX208-AW208</f>
        <v>1274.97774407147</v>
      </c>
      <c r="AY292" s="12">
        <f>AY208-AX208</f>
        <v>1445.79106341157</v>
      </c>
      <c r="AZ292" s="12">
        <f>AZ208-AY208</f>
        <v>1639.48885285294</v>
      </c>
      <c r="BA292" s="12">
        <f>SUM(AW292:AZ292)</f>
        <v>5484.6028641594</v>
      </c>
      <c r="BB292" s="12">
        <f>BB208-BA208</f>
        <v>1789.75255637175</v>
      </c>
      <c r="BC292" s="12">
        <f>BC208-BB208</f>
        <v>2020.58333199582</v>
      </c>
      <c r="BD292" s="12">
        <f>BD208-BC208</f>
        <v>2281.1851766906</v>
      </c>
      <c r="BE292" s="12">
        <f>BE208-BD208</f>
        <v>2575.39777150041</v>
      </c>
      <c r="BF292" s="12">
        <f>SUM(BB292:BE292)</f>
        <v>8666.91883655857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 hidden="1" outlineLevel="1">
      <c r="C293" s="10" t="inlineStr">
        <is>
          <t>Taxes payable</t>
        </is>
      </c>
      <c r="D293" s="12" t="n"/>
      <c r="E293" s="12" t="n"/>
      <c r="F293" s="12" t="n"/>
      <c r="G293" s="12" t="n"/>
      <c r="H293" s="12" t="n"/>
      <c r="I293" s="12" t="n"/>
      <c r="J293" s="12">
        <f>J210-I210</f>
        <v>0</v>
      </c>
      <c r="K293" s="12">
        <f>K210-J210</f>
        <v>0</v>
      </c>
      <c r="L293" s="12">
        <f>L210-K210</f>
        <v>0</v>
      </c>
      <c r="M293" s="12" t="n"/>
      <c r="N293" s="12">
        <f>N210-M210</f>
        <v>0</v>
      </c>
      <c r="O293" s="12">
        <f>O210-N210</f>
        <v>0</v>
      </c>
      <c r="P293" s="12">
        <f>P210-O210</f>
        <v>0</v>
      </c>
      <c r="Q293" s="12">
        <f>Q210-P210</f>
        <v>0</v>
      </c>
      <c r="R293" s="12">
        <f>SUM(N293:Q293)</f>
        <v>0</v>
      </c>
      <c r="S293" s="12">
        <f>S210-R210</f>
        <v>0</v>
      </c>
      <c r="T293" s="12">
        <f>T210-S210</f>
        <v>0</v>
      </c>
      <c r="U293" s="12">
        <f>U210-T210</f>
        <v>0</v>
      </c>
      <c r="V293" s="12">
        <f>V210-U210</f>
        <v>0</v>
      </c>
      <c r="W293" s="12">
        <f>SUM(S293:V293)</f>
        <v>0</v>
      </c>
      <c r="X293" s="12">
        <f>X210-W210</f>
        <v>0</v>
      </c>
      <c r="Y293" s="12">
        <f>Y210-X210</f>
        <v>0</v>
      </c>
      <c r="Z293" s="12">
        <f>Z210-Y210</f>
        <v>0</v>
      </c>
      <c r="AA293" s="12">
        <f>AA210-Z210</f>
        <v>0</v>
      </c>
      <c r="AB293" s="12">
        <f>SUM(X293:AA293)</f>
        <v>0</v>
      </c>
      <c r="AC293" s="12">
        <f>AC210-AB210</f>
        <v>0</v>
      </c>
      <c r="AD293" s="12">
        <f>AD210-AC210</f>
        <v>0</v>
      </c>
      <c r="AE293" s="12">
        <f>AE210-AD210</f>
        <v>0</v>
      </c>
      <c r="AF293" s="12">
        <f>AF210-AE210</f>
        <v>0</v>
      </c>
      <c r="AG293" s="12">
        <f>SUM(AC293:AF293)</f>
        <v>0</v>
      </c>
      <c r="AH293" s="12">
        <f>AH210-AG210</f>
        <v>0</v>
      </c>
      <c r="AI293" s="12">
        <f>AI210-AH210</f>
        <v>0</v>
      </c>
      <c r="AJ293" s="12">
        <f>AJ210-AI210</f>
        <v>0</v>
      </c>
      <c r="AK293" s="12">
        <f>AK210-AJ210</f>
        <v>0</v>
      </c>
      <c r="AL293" s="12">
        <f>SUM(AH293:AK293)</f>
        <v>0</v>
      </c>
      <c r="AM293" s="12">
        <f>AM210-AL210</f>
        <v>0</v>
      </c>
      <c r="AN293" s="12">
        <f>AN210-AM210</f>
        <v>0</v>
      </c>
      <c r="AO293" s="12">
        <f>AO210-AN210</f>
        <v>0</v>
      </c>
      <c r="AP293" s="12">
        <f>AP210-AO210</f>
        <v>0</v>
      </c>
      <c r="AQ293" s="12">
        <f>SUM(AM293:AP293)</f>
        <v>0</v>
      </c>
      <c r="AR293" s="12">
        <f>AR210-AQ210</f>
        <v>0</v>
      </c>
      <c r="AS293" s="12">
        <f>AS210-AR210</f>
        <v>0</v>
      </c>
      <c r="AT293" s="12">
        <f>AT210-AS210</f>
        <v>0</v>
      </c>
      <c r="AU293" s="12">
        <f>AU210-AT210</f>
        <v>0</v>
      </c>
      <c r="AV293" s="12">
        <f>SUM(AR293:AU293)</f>
        <v>0</v>
      </c>
      <c r="AW293" s="12">
        <f>AW210-AV210</f>
        <v>0</v>
      </c>
      <c r="AX293" s="12">
        <f>AX210-AW210</f>
        <v>0</v>
      </c>
      <c r="AY293" s="12">
        <f>AY210-AX210</f>
        <v>0</v>
      </c>
      <c r="AZ293" s="12">
        <f>AZ210-AY210</f>
        <v>0</v>
      </c>
      <c r="BA293" s="12">
        <f>SUM(AW293:AZ293)</f>
        <v>0</v>
      </c>
      <c r="BB293" s="12">
        <f>BB210-BA210</f>
        <v>0</v>
      </c>
      <c r="BC293" s="12">
        <f>BC210-BB210</f>
        <v>0</v>
      </c>
      <c r="BD293" s="12">
        <f>BD210-BC210</f>
        <v>0</v>
      </c>
      <c r="BE293" s="12">
        <f>BE210-BD210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 hidden="1" outlineLevel="1">
      <c r="C294" s="10" t="inlineStr">
        <is>
          <t>Other current liabilities (non-debt)</t>
        </is>
      </c>
      <c r="D294" s="12" t="n"/>
      <c r="E294" s="12" t="n"/>
      <c r="F294" s="12" t="n"/>
      <c r="G294" s="12" t="n"/>
      <c r="H294" s="12" t="n"/>
      <c r="I294" s="12" t="n"/>
      <c r="J294" s="12">
        <f>J211-I211</f>
        <v>3648</v>
      </c>
      <c r="K294" s="12">
        <f>K211-J211</f>
        <v>-550</v>
      </c>
      <c r="L294" s="12">
        <f>L211-K211</f>
        <v>-4508</v>
      </c>
      <c r="M294" s="12" t="n"/>
      <c r="N294" s="12">
        <f>N211-M211</f>
        <v>1739</v>
      </c>
      <c r="O294" s="12">
        <f>O211-N211</f>
        <v>-1833</v>
      </c>
      <c r="P294" s="12">
        <f>P211-O211</f>
        <v>15150</v>
      </c>
      <c r="Q294" s="12">
        <f>Q211-P211</f>
        <v>-7721</v>
      </c>
      <c r="R294" s="12">
        <f>SUM(N294:Q294)</f>
        <v>7335</v>
      </c>
      <c r="S294" s="12">
        <f>S211-R211</f>
        <v>-4145</v>
      </c>
      <c r="T294" s="12">
        <f>T211-S211</f>
        <v>299</v>
      </c>
      <c r="U294" s="12">
        <f>U211-T211</f>
        <v>2672</v>
      </c>
      <c r="V294" s="12">
        <f>V211-U211</f>
        <v>-911</v>
      </c>
      <c r="W294" s="12">
        <f>SUM(S294:V294)</f>
        <v>-2085</v>
      </c>
      <c r="X294" s="12">
        <f>X211-W211</f>
        <v>-163</v>
      </c>
      <c r="Y294" s="12">
        <f>Y211-X211</f>
        <v>5840</v>
      </c>
      <c r="Z294" s="12">
        <f>Z211-Y211</f>
        <v>795</v>
      </c>
      <c r="AA294" s="12">
        <f>AA211-Z211</f>
        <v>-3346</v>
      </c>
      <c r="AB294" s="12">
        <f>SUM(X294:AA294)</f>
        <v>3126</v>
      </c>
      <c r="AC294" s="12">
        <f>AC211-AB211</f>
        <v>641</v>
      </c>
      <c r="AD294" s="12">
        <f>AD211-AC211</f>
        <v>-74</v>
      </c>
      <c r="AE294" s="12">
        <f>AE211-AD211</f>
        <v>4590</v>
      </c>
      <c r="AF294" s="12">
        <f>AF211-AE211</f>
        <v>-4169</v>
      </c>
      <c r="AG294" s="12">
        <f>SUM(AC294:AF294)</f>
        <v>988</v>
      </c>
      <c r="AH294" s="12">
        <f>AH211-AG211</f>
        <v>3615</v>
      </c>
      <c r="AI294" s="12">
        <f>AI211-AH211</f>
        <v>-761</v>
      </c>
      <c r="AJ294" s="12">
        <f>AJ211-AI211</f>
        <v>0</v>
      </c>
      <c r="AK294" s="12">
        <f>AK211-AJ211</f>
        <v>0</v>
      </c>
      <c r="AL294" s="12">
        <f>SUM(AH294:AK294)</f>
        <v>2854</v>
      </c>
      <c r="AM294" s="12">
        <f>AM211-AL211</f>
        <v>0</v>
      </c>
      <c r="AN294" s="12">
        <f>AN211-AM211</f>
        <v>0</v>
      </c>
      <c r="AO294" s="12">
        <f>AO211-AN211</f>
        <v>0</v>
      </c>
      <c r="AP294" s="12">
        <f>AP211-AO211</f>
        <v>0</v>
      </c>
      <c r="AQ294" s="12">
        <f>SUM(AM294:AP294)</f>
        <v>0</v>
      </c>
      <c r="AR294" s="12">
        <f>AR211-AQ211</f>
        <v>0</v>
      </c>
      <c r="AS294" s="12">
        <f>AS211-AR211</f>
        <v>0</v>
      </c>
      <c r="AT294" s="12">
        <f>AT211-AS211</f>
        <v>0</v>
      </c>
      <c r="AU294" s="12">
        <f>AU211-AT211</f>
        <v>0</v>
      </c>
      <c r="AV294" s="12">
        <f>SUM(AR294:AU294)</f>
        <v>0</v>
      </c>
      <c r="AW294" s="12">
        <f>AW211-AV211</f>
        <v>0</v>
      </c>
      <c r="AX294" s="12">
        <f>AX211-AW211</f>
        <v>0</v>
      </c>
      <c r="AY294" s="12">
        <f>AY211-AX211</f>
        <v>0</v>
      </c>
      <c r="AZ294" s="12">
        <f>AZ211-AY211</f>
        <v>0</v>
      </c>
      <c r="BA294" s="12">
        <f>SUM(AW294:AZ294)</f>
        <v>0</v>
      </c>
      <c r="BB294" s="12">
        <f>BB211-BA211</f>
        <v>0</v>
      </c>
      <c r="BC294" s="12">
        <f>BC211-BB211</f>
        <v>0</v>
      </c>
      <c r="BD294" s="12">
        <f>BD211-BC211</f>
        <v>0</v>
      </c>
      <c r="BE294" s="12">
        <f>BE211-BD211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 hidden="1" outlineLevel="1">
      <c r="C295" s="10" t="inlineStr">
        <is>
          <t>Deferred income taxes</t>
        </is>
      </c>
      <c r="D295" s="12" t="n"/>
      <c r="E295" s="12" t="n"/>
      <c r="F295" s="12" t="n"/>
      <c r="G295" s="12" t="n"/>
      <c r="H295" s="12" t="n"/>
      <c r="I295" s="12" t="n"/>
      <c r="J295" s="12">
        <f>J245-I245</f>
        <v>-28</v>
      </c>
      <c r="K295" s="12">
        <f>K245-J245</f>
        <v>-216</v>
      </c>
      <c r="L295" s="12">
        <f>L245-K245</f>
        <v>-871</v>
      </c>
      <c r="M295" s="12" t="n"/>
      <c r="N295" s="12">
        <f>N245-M245</f>
        <v>-315</v>
      </c>
      <c r="O295" s="12">
        <f>O245-N245</f>
        <v>-431</v>
      </c>
      <c r="P295" s="12">
        <f>P245-O245</f>
        <v>1662</v>
      </c>
      <c r="Q295" s="12">
        <f>Q245-P245</f>
        <v>-528</v>
      </c>
      <c r="R295" s="12">
        <f>SUM(N295:Q295)</f>
        <v>388</v>
      </c>
      <c r="S295" s="12">
        <f>S245-R245</f>
        <v>-351</v>
      </c>
      <c r="T295" s="12">
        <f>T245-S245</f>
        <v>-1042</v>
      </c>
      <c r="U295" s="12">
        <f>U245-T245</f>
        <v>-491</v>
      </c>
      <c r="V295" s="12">
        <f>V245-U245</f>
        <v>-37</v>
      </c>
      <c r="W295" s="12">
        <f>SUM(S295:V295)</f>
        <v>-1921</v>
      </c>
      <c r="X295" s="12">
        <f>X245-W245</f>
        <v>-761</v>
      </c>
      <c r="Y295" s="12">
        <f>Y245-X245</f>
        <v>-791</v>
      </c>
      <c r="Z295" s="12">
        <f>Z245-Y245</f>
        <v>-250</v>
      </c>
      <c r="AA295" s="12">
        <f>AA245-Z245</f>
        <v>-578</v>
      </c>
      <c r="AB295" s="12">
        <f>SUM(X295:AA295)</f>
        <v>-2380</v>
      </c>
      <c r="AC295" s="12">
        <f>AC245-AB245</f>
        <v>-656</v>
      </c>
      <c r="AD295" s="12">
        <f>AD245-AC245</f>
        <v>-2208</v>
      </c>
      <c r="AE295" s="12">
        <f>AE245-AD245</f>
        <v>0</v>
      </c>
      <c r="AF295" s="12">
        <f>AF245-AE245</f>
        <v>0</v>
      </c>
      <c r="AG295" s="12">
        <f>SUM(AC295:AF295)</f>
        <v>-2864</v>
      </c>
      <c r="AH295" s="12">
        <f>AH245-AG245</f>
        <v>0</v>
      </c>
      <c r="AI295" s="12">
        <f>AI245-AH245</f>
        <v>0</v>
      </c>
      <c r="AJ295" s="12">
        <f>AJ245-AI245</f>
        <v>0</v>
      </c>
      <c r="AK295" s="12">
        <f>AK245-AJ245</f>
        <v>0</v>
      </c>
      <c r="AL295" s="12">
        <f>SUM(AH295:AK295)</f>
        <v>0</v>
      </c>
      <c r="AM295" s="12">
        <f>AM245-AL245</f>
        <v>0</v>
      </c>
      <c r="AN295" s="12">
        <f>AN245-AM245</f>
        <v>0</v>
      </c>
      <c r="AO295" s="12">
        <f>AO245-AN245</f>
        <v>0</v>
      </c>
      <c r="AP295" s="12">
        <f>AP245-AO245</f>
        <v>0</v>
      </c>
      <c r="AQ295" s="12">
        <f>SUM(AM295:AP295)</f>
        <v>0</v>
      </c>
      <c r="AR295" s="12">
        <f>AR245-AQ245</f>
        <v>0</v>
      </c>
      <c r="AS295" s="12">
        <f>AS245-AR245</f>
        <v>0</v>
      </c>
      <c r="AT295" s="12">
        <f>AT245-AS245</f>
        <v>0</v>
      </c>
      <c r="AU295" s="12">
        <f>AU245-AT245</f>
        <v>0</v>
      </c>
      <c r="AV295" s="12">
        <f>SUM(AR295:AU295)</f>
        <v>0</v>
      </c>
      <c r="AW295" s="12">
        <f>AW245-AV245</f>
        <v>0</v>
      </c>
      <c r="AX295" s="12">
        <f>AX245-AW245</f>
        <v>0</v>
      </c>
      <c r="AY295" s="12">
        <f>AY245-AX245</f>
        <v>0</v>
      </c>
      <c r="AZ295" s="12">
        <f>AZ245-AY245</f>
        <v>0</v>
      </c>
      <c r="BA295" s="12">
        <f>SUM(AW295:AZ295)</f>
        <v>0</v>
      </c>
      <c r="BB295" s="12">
        <f>BB245-BA245</f>
        <v>0</v>
      </c>
      <c r="BC295" s="12">
        <f>BC245-BB245</f>
        <v>0</v>
      </c>
      <c r="BD295" s="12">
        <f>BD245-BC245</f>
        <v>0</v>
      </c>
      <c r="BE295" s="12">
        <f>BE245-BD245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 collapsed="1">
      <c r="C296" s="10" t="inlineStr">
        <is>
          <t>Equity income in affiliates</t>
        </is>
      </c>
      <c r="D296" s="12" t="n"/>
      <c r="E296" s="12" t="n"/>
      <c r="F296" s="12" t="n"/>
      <c r="G296" s="12" t="n"/>
      <c r="H296" s="12" t="n"/>
      <c r="I296" s="12" t="n"/>
      <c r="J296" s="12">
        <f>(J167-I167)*-1</f>
        <v>0</v>
      </c>
      <c r="K296" s="12">
        <f>(K167-J167)*-1</f>
        <v>0</v>
      </c>
      <c r="L296" s="12">
        <f>(L167-K167)*-1</f>
        <v>0</v>
      </c>
      <c r="M296" s="12" t="n"/>
      <c r="N296" s="12">
        <f>(N167-M167)*-1</f>
        <v>0</v>
      </c>
      <c r="O296" s="12">
        <f>(O167-N167)*-1</f>
        <v>0</v>
      </c>
      <c r="P296" s="12">
        <f>(P167-O167)*-1</f>
        <v>0</v>
      </c>
      <c r="Q296" s="12">
        <f>(Q167-P167)*-1</f>
        <v>0</v>
      </c>
      <c r="R296" s="12">
        <f>SUM(N296:Q296)</f>
        <v>0</v>
      </c>
      <c r="S296" s="12">
        <f>(S167-R167)*-1</f>
        <v>0</v>
      </c>
      <c r="T296" s="12">
        <f>(T167-S167)*-1</f>
        <v>0</v>
      </c>
      <c r="U296" s="12">
        <f>(U167-T167)*-1</f>
        <v>0</v>
      </c>
      <c r="V296" s="12">
        <f>(V167-U167)*-1</f>
        <v>0</v>
      </c>
      <c r="W296" s="12">
        <f>SUM(S296:V296)</f>
        <v>0</v>
      </c>
      <c r="X296" s="12">
        <f>(X167-W167)*-1</f>
        <v>0</v>
      </c>
      <c r="Y296" s="12">
        <f>(Y167-X167)*-1</f>
        <v>0</v>
      </c>
      <c r="Z296" s="12">
        <f>(Z167-Y167)*-1</f>
        <v>0</v>
      </c>
      <c r="AA296" s="12">
        <f>(AA167-Z167)*-1</f>
        <v>0</v>
      </c>
      <c r="AB296" s="12">
        <f>SUM(X296:AA296)</f>
        <v>0</v>
      </c>
      <c r="AC296" s="12">
        <f>(AC167-AB167)*-1</f>
        <v>0</v>
      </c>
      <c r="AD296" s="12">
        <f>(AD167-AC167)*-1</f>
        <v>0</v>
      </c>
      <c r="AE296" s="12">
        <f>(AE167-AD167)*-1</f>
        <v>0</v>
      </c>
      <c r="AF296" s="12">
        <f>(AF167-AE167)*-1</f>
        <v>0</v>
      </c>
      <c r="AG296" s="12">
        <f>SUM(AC296:AF296)</f>
        <v>0</v>
      </c>
      <c r="AH296" s="12">
        <f>(AH167-AG167)*-1</f>
        <v>0</v>
      </c>
      <c r="AI296" s="12">
        <f>(AI167-AH167)*-1</f>
        <v>0</v>
      </c>
      <c r="AJ296" s="12">
        <f>(AJ167-AI167)*-1</f>
        <v>0</v>
      </c>
      <c r="AK296" s="12">
        <f>(AK167-AJ167)*-1</f>
        <v>0</v>
      </c>
      <c r="AL296" s="12">
        <f>SUM(AH296:AK296)</f>
        <v>0</v>
      </c>
      <c r="AM296" s="12">
        <f>(AM167-AL167)*-1</f>
        <v>0</v>
      </c>
      <c r="AN296" s="12">
        <f>(AN167-AM167)*-1</f>
        <v>0</v>
      </c>
      <c r="AO296" s="12">
        <f>(AO167-AN167)*-1</f>
        <v>0</v>
      </c>
      <c r="AP296" s="12">
        <f>(AP167-AO167)*-1</f>
        <v>0</v>
      </c>
      <c r="AQ296" s="12">
        <f>SUM(AM296:AP296)</f>
        <v>0</v>
      </c>
      <c r="AR296" s="12">
        <f>(AR167-AQ167)*-1</f>
        <v>0</v>
      </c>
      <c r="AS296" s="12">
        <f>(AS167-AR167)*-1</f>
        <v>0</v>
      </c>
      <c r="AT296" s="12">
        <f>(AT167-AS167)*-1</f>
        <v>0</v>
      </c>
      <c r="AU296" s="12">
        <f>(AU167-AT167)*-1</f>
        <v>0</v>
      </c>
      <c r="AV296" s="12">
        <f>SUM(AR296:AU296)</f>
        <v>0</v>
      </c>
      <c r="AW296" s="12">
        <f>(AW167-AV167)*-1</f>
        <v>0</v>
      </c>
      <c r="AX296" s="12">
        <f>(AX167-AW167)*-1</f>
        <v>0</v>
      </c>
      <c r="AY296" s="12">
        <f>(AY167-AX167)*-1</f>
        <v>0</v>
      </c>
      <c r="AZ296" s="12">
        <f>(AZ167-AY167)*-1</f>
        <v>0</v>
      </c>
      <c r="BA296" s="12">
        <f>SUM(AW296:AZ296)</f>
        <v>0</v>
      </c>
      <c r="BB296" s="12">
        <f>(BB167-BA167)*-1</f>
        <v>0</v>
      </c>
      <c r="BC296" s="12">
        <f>(BC167-BB167)*-1</f>
        <v>0</v>
      </c>
      <c r="BD296" s="12">
        <f>(BD167-BC167)*-1</f>
        <v>0</v>
      </c>
      <c r="BE296" s="12">
        <f>(BE167-BD167)*-1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Dividends received from affiliates</t>
        </is>
      </c>
      <c r="D297" s="12" t="n"/>
      <c r="E297" s="12" t="n"/>
      <c r="F297" s="12" t="n"/>
      <c r="G297" s="12" t="n"/>
      <c r="H297" s="12" t="n"/>
      <c r="I297" s="12" t="n"/>
      <c r="J297" s="12">
        <f>-J170</f>
        <v>0</v>
      </c>
      <c r="K297" s="12">
        <f>-K170</f>
        <v>0</v>
      </c>
      <c r="L297" s="12">
        <f>-L170</f>
        <v>0</v>
      </c>
      <c r="M297" s="12" t="n"/>
      <c r="N297" s="12">
        <f>-N170</f>
        <v>0</v>
      </c>
      <c r="O297" s="12">
        <f>-O170</f>
        <v>0</v>
      </c>
      <c r="P297" s="12">
        <f>-P170</f>
        <v>0</v>
      </c>
      <c r="Q297" s="12">
        <f>-Q170</f>
        <v>0</v>
      </c>
      <c r="R297" s="12">
        <f>SUM(N297:Q297)</f>
        <v>0</v>
      </c>
      <c r="S297" s="12">
        <f>-S170</f>
        <v>0</v>
      </c>
      <c r="T297" s="12">
        <f>-T170</f>
        <v>0</v>
      </c>
      <c r="U297" s="12">
        <f>-U170</f>
        <v>0</v>
      </c>
      <c r="V297" s="12">
        <f>-V170</f>
        <v>0</v>
      </c>
      <c r="W297" s="12">
        <f>SUM(S297:V297)</f>
        <v>0</v>
      </c>
      <c r="X297" s="12">
        <f>-X170</f>
        <v>0</v>
      </c>
      <c r="Y297" s="12">
        <f>-Y170</f>
        <v>0</v>
      </c>
      <c r="Z297" s="12">
        <f>-Z170</f>
        <v>0</v>
      </c>
      <c r="AA297" s="12">
        <f>-AA170</f>
        <v>0</v>
      </c>
      <c r="AB297" s="12">
        <f>SUM(X297:AA297)</f>
        <v>0</v>
      </c>
      <c r="AC297" s="12">
        <f>-AC170</f>
        <v>0</v>
      </c>
      <c r="AD297" s="12">
        <f>-AD170</f>
        <v>0</v>
      </c>
      <c r="AE297" s="12">
        <f>-AE170</f>
        <v>0</v>
      </c>
      <c r="AF297" s="12">
        <f>-AF170</f>
        <v>0</v>
      </c>
      <c r="AG297" s="12">
        <f>SUM(AC297:AF297)</f>
        <v>0</v>
      </c>
      <c r="AH297" s="12">
        <f>-AH170</f>
        <v>0</v>
      </c>
      <c r="AI297" s="12">
        <f>-AI170</f>
        <v>0</v>
      </c>
      <c r="AJ297" s="12">
        <f>-AJ170</f>
        <v>0</v>
      </c>
      <c r="AK297" s="12">
        <f>-AK170</f>
        <v>0</v>
      </c>
      <c r="AL297" s="12">
        <f>SUM(AH297:AK297)</f>
        <v>0</v>
      </c>
      <c r="AM297" s="12">
        <f>-AM170</f>
        <v>0</v>
      </c>
      <c r="AN297" s="12">
        <f>-AN170</f>
        <v>0</v>
      </c>
      <c r="AO297" s="12">
        <f>-AO170</f>
        <v>0</v>
      </c>
      <c r="AP297" s="12">
        <f>-AP170</f>
        <v>0</v>
      </c>
      <c r="AQ297" s="12">
        <f>SUM(AM297:AP297)</f>
        <v>0</v>
      </c>
      <c r="AR297" s="12">
        <f>-AR170</f>
        <v>0</v>
      </c>
      <c r="AS297" s="12">
        <f>-AS170</f>
        <v>0</v>
      </c>
      <c r="AT297" s="12">
        <f>-AT170</f>
        <v>0</v>
      </c>
      <c r="AU297" s="12">
        <f>-AU170</f>
        <v>0</v>
      </c>
      <c r="AV297" s="12">
        <f>SUM(AR297:AU297)</f>
        <v>0</v>
      </c>
      <c r="AW297" s="12">
        <f>-AW170</f>
        <v>0</v>
      </c>
      <c r="AX297" s="12">
        <f>-AX170</f>
        <v>0</v>
      </c>
      <c r="AY297" s="12">
        <f>-AY170</f>
        <v>0</v>
      </c>
      <c r="AZ297" s="12">
        <f>-AZ170</f>
        <v>0</v>
      </c>
      <c r="BA297" s="12">
        <f>SUM(AW297:AZ297)</f>
        <v>0</v>
      </c>
      <c r="BB297" s="12">
        <f>-BB170</f>
        <v>0</v>
      </c>
      <c r="BC297" s="12">
        <f>-BC170</f>
        <v>0</v>
      </c>
      <c r="BD297" s="12">
        <f>-BD170</f>
        <v>0</v>
      </c>
      <c r="BE297" s="12">
        <f>-BE170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>
      <c r="C298" s="71" t="inlineStr">
        <is>
          <t>Minority interest expense</t>
        </is>
      </c>
      <c r="D298" s="12" t="n"/>
      <c r="E298" s="12" t="n"/>
      <c r="F298" s="12" t="n"/>
      <c r="G298" s="12" t="n"/>
      <c r="H298" s="12" t="n"/>
      <c r="I298" s="12" t="n"/>
      <c r="J298" s="12">
        <f>-J142</f>
        <v>0</v>
      </c>
      <c r="K298" s="12">
        <f>-K142</f>
        <v>0</v>
      </c>
      <c r="L298" s="12">
        <f>-L142</f>
        <v>0</v>
      </c>
      <c r="M298" s="12" t="n"/>
      <c r="N298" s="12">
        <f>-N142</f>
        <v>0</v>
      </c>
      <c r="O298" s="12">
        <f>-O142</f>
        <v>0</v>
      </c>
      <c r="P298" s="12">
        <f>-P142</f>
        <v>0</v>
      </c>
      <c r="Q298" s="12">
        <f>-Q142</f>
        <v>0</v>
      </c>
      <c r="R298" s="12">
        <f>SUM(N298:Q298)</f>
        <v>0</v>
      </c>
      <c r="S298" s="12">
        <f>-S142</f>
        <v>0</v>
      </c>
      <c r="T298" s="12">
        <f>-T142</f>
        <v>0</v>
      </c>
      <c r="U298" s="12">
        <f>-U142</f>
        <v>0</v>
      </c>
      <c r="V298" s="12">
        <f>-V142</f>
        <v>0</v>
      </c>
      <c r="W298" s="12">
        <f>SUM(S298:V298)</f>
        <v>0</v>
      </c>
      <c r="X298" s="12">
        <f>-X142</f>
        <v>0</v>
      </c>
      <c r="Y298" s="12">
        <f>-Y142</f>
        <v>0</v>
      </c>
      <c r="Z298" s="12">
        <f>-Z142</f>
        <v>0</v>
      </c>
      <c r="AA298" s="12">
        <f>-AA142</f>
        <v>0</v>
      </c>
      <c r="AB298" s="12">
        <f>SUM(X298:AA298)</f>
        <v>0</v>
      </c>
      <c r="AC298" s="12">
        <f>-AC142</f>
        <v>0</v>
      </c>
      <c r="AD298" s="12">
        <f>-AD142</f>
        <v>0</v>
      </c>
      <c r="AE298" s="12">
        <f>-AE142</f>
        <v>0</v>
      </c>
      <c r="AF298" s="12">
        <f>-AF142</f>
        <v>0</v>
      </c>
      <c r="AG298" s="12">
        <f>SUM(AC298:AF298)</f>
        <v>0</v>
      </c>
      <c r="AH298" s="12">
        <f>-AH142</f>
        <v>0</v>
      </c>
      <c r="AI298" s="12">
        <f>-AI142</f>
        <v>0</v>
      </c>
      <c r="AJ298" s="12">
        <f>-AJ142</f>
        <v>0</v>
      </c>
      <c r="AK298" s="12">
        <f>-AK142</f>
        <v>0</v>
      </c>
      <c r="AL298" s="12">
        <f>SUM(AH298:AK298)</f>
        <v>0</v>
      </c>
      <c r="AM298" s="12">
        <f>-AM142</f>
        <v>0</v>
      </c>
      <c r="AN298" s="12">
        <f>-AN142</f>
        <v>0</v>
      </c>
      <c r="AO298" s="12">
        <f>-AO142</f>
        <v>0</v>
      </c>
      <c r="AP298" s="12">
        <f>-AP142</f>
        <v>0</v>
      </c>
      <c r="AQ298" s="12">
        <f>SUM(AM298:AP298)</f>
        <v>0</v>
      </c>
      <c r="AR298" s="12">
        <f>-AR142</f>
        <v>0</v>
      </c>
      <c r="AS298" s="12">
        <f>-AS142</f>
        <v>0</v>
      </c>
      <c r="AT298" s="12">
        <f>-AT142</f>
        <v>0</v>
      </c>
      <c r="AU298" s="12">
        <f>-AU142</f>
        <v>0</v>
      </c>
      <c r="AV298" s="12">
        <f>SUM(AR298:AU298)</f>
        <v>0</v>
      </c>
      <c r="AW298" s="12">
        <f>-AW142</f>
        <v>0</v>
      </c>
      <c r="AX298" s="12">
        <f>-AX142</f>
        <v>0</v>
      </c>
      <c r="AY298" s="12">
        <f>-AY142</f>
        <v>0</v>
      </c>
      <c r="AZ298" s="12">
        <f>-AZ142</f>
        <v>0</v>
      </c>
      <c r="BA298" s="12">
        <f>SUM(AW298:AZ298)</f>
        <v>0</v>
      </c>
      <c r="BB298" s="12">
        <f>-BB142</f>
        <v>0</v>
      </c>
      <c r="BC298" s="12">
        <f>-BC142</f>
        <v>0</v>
      </c>
      <c r="BD298" s="12">
        <f>-BD142</f>
        <v>0</v>
      </c>
      <c r="BE298" s="12">
        <f>-BE142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inlineStr">
        <is>
          <t>Cash from operations</t>
        </is>
      </c>
      <c r="D299" s="12" t="n"/>
      <c r="E299" s="12" t="n"/>
      <c r="F299" s="12" t="n"/>
      <c r="G299" s="12" t="n"/>
      <c r="H299" s="12" t="n"/>
      <c r="I299" s="12" t="n"/>
      <c r="J299" s="12">
        <f>SUM(J283,J284,J285,J296,J297,J298)</f>
        <v>7626</v>
      </c>
      <c r="K299" s="12">
        <f>SUM(K283,K284,K285,K296,K297,K298)</f>
        <v>3356</v>
      </c>
      <c r="L299" s="12">
        <f>SUM(L283,L284,L285,L296,L297,L298)</f>
        <v>-5857</v>
      </c>
      <c r="M299" s="12" t="n"/>
      <c r="N299" s="12">
        <f>SUM(N283,N284,N285,N296,N297,N298)</f>
        <v>4841</v>
      </c>
      <c r="O299" s="12">
        <f>SUM(O283,O284,O285,O296,O297,O298)</f>
        <v>1149</v>
      </c>
      <c r="P299" s="12">
        <f>SUM(P283,P284,P285,P296,P297,P298)</f>
        <v>20648</v>
      </c>
      <c r="Q299" s="12">
        <f>SUM(Q283,Q284,Q285,Q296,Q297,Q298)</f>
        <v>-5455</v>
      </c>
      <c r="R299" s="12">
        <f>SUM(R283,R284,R285,R296,R297,R298)</f>
        <v>21183</v>
      </c>
      <c r="S299" s="12">
        <f>SUM(S283,S284,S285,S296,S297,S298)</f>
        <v>-901</v>
      </c>
      <c r="T299" s="12">
        <f>SUM(T283,T284,T285,T296,T297,T298)</f>
        <v>3110</v>
      </c>
      <c r="U299" s="12">
        <f>SUM(U283,U284,U285,U296,U297,U298)</f>
        <v>6388</v>
      </c>
      <c r="V299" s="12">
        <f>SUM(V283,V284,V285,V296,V297,V298)</f>
        <v>2038</v>
      </c>
      <c r="W299" s="12">
        <f>SUM(W283,W284,W285,W296,W297,W298)</f>
        <v>10635</v>
      </c>
      <c r="X299" s="12">
        <f>SUM(X283,X284,X285,X296,X297,X298)</f>
        <v>3185</v>
      </c>
      <c r="Y299" s="12">
        <f>SUM(Y283,Y284,Y285,Y296,Y297,Y298)</f>
        <v>10247</v>
      </c>
      <c r="Z299" s="12">
        <f>SUM(Z283,Z284,Z285,Z296,Z297,Z298)</f>
        <v>4394</v>
      </c>
      <c r="AA299" s="12">
        <f>SUM(AA283,AA284,AA285,AA296,AA297,AA298)</f>
        <v>1283</v>
      </c>
      <c r="AB299" s="12">
        <f>SUM(AB283,AB284,AB285,AB296,AB297,AB298)</f>
        <v>19109</v>
      </c>
      <c r="AC299" s="12">
        <f>SUM(AC283,AC284,AC285,AC296,AC297,AC298)</f>
        <v>4486</v>
      </c>
      <c r="AD299" s="12">
        <f>SUM(AD283,AD284,AD285,AD296,AD297,AD298)</f>
        <v>4774</v>
      </c>
      <c r="AE299" s="12">
        <f>SUM(AE283,AE284,AE285,AE296,AE297,AE298)</f>
        <v>11819</v>
      </c>
      <c r="AF299" s="12">
        <f>SUM(AF283,AF284,AF285,AF296,AF297,AF298)</f>
        <v>5399</v>
      </c>
      <c r="AG299" s="12">
        <f>SUM(AG283,AG284,AG285,AG296,AG297,AG298)</f>
        <v>26478</v>
      </c>
      <c r="AH299" s="12">
        <f>SUM(AH283,AH284,AH285,AH296,AH297,AH298)</f>
        <v>8258</v>
      </c>
      <c r="AI299" s="12">
        <f>SUM(AI283,AI284,AI285,AI296,AI297,AI298)</f>
        <v>9066</v>
      </c>
      <c r="AJ299" s="12">
        <f>SUM(AJ283,AJ284,AJ285,AJ296,AJ297,AJ298)</f>
        <v>4981.37443135324</v>
      </c>
      <c r="AK299" s="12">
        <f>SUM(AK283,AK284,AK285,AK296,AK297,AK298)</f>
        <v>7981.80470337144</v>
      </c>
      <c r="AL299" s="12">
        <f>SUM(AL283,AL284,AL285,AL296,AL297,AL298)</f>
        <v>30287.1791347247</v>
      </c>
      <c r="AM299" s="12">
        <f>SUM(AM283,AM284,AM285,AM296,AM297,AM298)</f>
        <v>8531.6424439037</v>
      </c>
      <c r="AN299" s="12">
        <f>SUM(AN283,AN284,AN285,AN296,AN297,AN298)</f>
        <v>9515.49617477039</v>
      </c>
      <c r="AO299" s="12">
        <f>SUM(AO283,AO284,AO285,AO296,AO297,AO298)</f>
        <v>9109.86506179878</v>
      </c>
      <c r="AP299" s="12">
        <f>SUM(AP283,AP284,AP285,AP296,AP297,AP298)</f>
        <v>9339.36510834434</v>
      </c>
      <c r="AQ299" s="12">
        <f>SUM(AQ283,AQ284,AQ285,AQ296,AQ297,AQ298)</f>
        <v>36496.3687888172</v>
      </c>
      <c r="AR299" s="12">
        <f>SUM(AR283,AR284,AR285,AR296,AR297,AR298)</f>
        <v>9972.37407315643</v>
      </c>
      <c r="AS299" s="12">
        <f>SUM(AS283,AS284,AS285,AS296,AS297,AS298)</f>
        <v>11052.085803925</v>
      </c>
      <c r="AT299" s="12">
        <f>SUM(AT283,AT284,AT285,AT296,AT297,AT298)</f>
        <v>10650.0778383989</v>
      </c>
      <c r="AU299" s="12">
        <f>SUM(AU283,AU284,AU285,AU296,AU297,AU298)</f>
        <v>10946.452064961</v>
      </c>
      <c r="AV299" s="12">
        <f>SUM(AV283,AV284,AV285,AV296,AV297,AV298)</f>
        <v>42620.9897804413</v>
      </c>
      <c r="AW299" s="12">
        <f>SUM(AW283,AW284,AW285,AW296,AW297,AW298)</f>
        <v>11626.1350539555</v>
      </c>
      <c r="AX299" s="12">
        <f>SUM(AX283,AX284,AX285,AX296,AX297,AX298)</f>
        <v>12945.4596021162</v>
      </c>
      <c r="AY299" s="12">
        <f>SUM(AY283,AY284,AY285,AY296,AY297,AY298)</f>
        <v>12503.1951092685</v>
      </c>
      <c r="AZ299" s="12">
        <f>SUM(AZ283,AZ284,AZ285,AZ296,AZ297,AZ298)</f>
        <v>12891.2895040891</v>
      </c>
      <c r="BA299" s="12">
        <f>SUM(BA283,BA284,BA285,BA296,BA297,BA298)</f>
        <v>49966.0792694293</v>
      </c>
      <c r="BB299" s="12">
        <f>SUM(BB283,BB284,BB285,BB296,BB297,BB298)</f>
        <v>13659.7605449917</v>
      </c>
      <c r="BC299" s="12">
        <f>SUM(BC283,BC284,BC285,BC296,BC297,BC298)</f>
        <v>15196.2488924516</v>
      </c>
      <c r="BD299" s="12">
        <f>SUM(BD283,BD284,BD285,BD296,BD297,BD298)</f>
        <v>14764.7020911712</v>
      </c>
      <c r="BE299" s="12">
        <f>SUM(BE283,BE284,BE285,BE296,BE297,BE298)</f>
        <v>15278.3833154446</v>
      </c>
      <c r="BF299" s="12">
        <f>SUM(BF283,BF284,BF285,BF296,BF297,BF298)</f>
        <v>58899.0948440591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0" t="inlineStr">
        <is>
          <t>Purchase of fixed assets (capital expenditures)</t>
        </is>
      </c>
      <c r="D301" s="12" t="n"/>
      <c r="E301" s="12" t="n"/>
      <c r="F301" s="12" t="n"/>
      <c r="G301" s="12" t="n"/>
      <c r="H301" s="12" t="n"/>
      <c r="I301" s="12" t="n"/>
      <c r="J301" s="12">
        <f>-J174</f>
        <v>-985</v>
      </c>
      <c r="K301" s="12">
        <f>-K174</f>
        <v>-1318</v>
      </c>
      <c r="L301" s="12">
        <f>-L174</f>
        <v>-1177</v>
      </c>
      <c r="M301" s="12" t="n"/>
      <c r="N301" s="12">
        <f>-N174</f>
        <v>-1355</v>
      </c>
      <c r="O301" s="12">
        <f>-O174</f>
        <v>-1938</v>
      </c>
      <c r="P301" s="12">
        <f>-P174</f>
        <v>-4030</v>
      </c>
      <c r="Q301" s="12">
        <f>-Q174</f>
        <v>-3569</v>
      </c>
      <c r="R301" s="12">
        <f>SUM(N301:Q301)</f>
        <v>-10892</v>
      </c>
      <c r="S301" s="12">
        <f>-S174</f>
        <v>-3552</v>
      </c>
      <c r="T301" s="12">
        <f>-T174</f>
        <v>-2310</v>
      </c>
      <c r="U301" s="12">
        <f>-U174</f>
        <v>-2050</v>
      </c>
      <c r="V301" s="12">
        <f>-V174</f>
        <v>-1918</v>
      </c>
      <c r="W301" s="12">
        <f>SUM(S301:V301)</f>
        <v>-9830</v>
      </c>
      <c r="X301" s="12">
        <f>-X174</f>
        <v>-2665</v>
      </c>
      <c r="Y301" s="12">
        <f>-Y174</f>
        <v>-3973</v>
      </c>
      <c r="Z301" s="12">
        <f>-Z174</f>
        <v>-2986</v>
      </c>
      <c r="AA301" s="12">
        <f>-AA174</f>
        <v>-4837</v>
      </c>
      <c r="AB301" s="12">
        <f>SUM(X301:AA301)</f>
        <v>-14461</v>
      </c>
      <c r="AC301" s="12">
        <f>-AC174</f>
        <v>-7089</v>
      </c>
      <c r="AD301" s="12">
        <f>-AD174</f>
        <v>-13248</v>
      </c>
      <c r="AE301" s="12">
        <f>-AE174</f>
        <v>-11443</v>
      </c>
      <c r="AF301" s="12">
        <f>-AF174</f>
        <v>-16792</v>
      </c>
      <c r="AG301" s="12">
        <f>SUM(AC301:AF301)</f>
        <v>-48572</v>
      </c>
      <c r="AH301" s="12">
        <f>-AH174</f>
        <v>-18308</v>
      </c>
      <c r="AI301" s="12">
        <f>-AI174</f>
        <v>-19187</v>
      </c>
      <c r="AJ301" s="12">
        <f>-AJ174</f>
        <v>-15089.5840314647</v>
      </c>
      <c r="AK301" s="12">
        <f>-AK174</f>
        <v>-16233.9903776806</v>
      </c>
      <c r="AL301" s="12">
        <f>SUM(AH301:AK301)</f>
        <v>-68818.5744091453</v>
      </c>
      <c r="AM301" s="12">
        <f>-AM174</f>
        <v>-17378.3967238965</v>
      </c>
      <c r="AN301" s="12">
        <f>-AN174</f>
        <v>-19394.2503054817</v>
      </c>
      <c r="AO301" s="12">
        <f>-AO174</f>
        <v>-17262.0853059613</v>
      </c>
      <c r="AP301" s="12">
        <f>-AP174</f>
        <v>-18571.2559187409</v>
      </c>
      <c r="AQ301" s="12">
        <f>SUM(AM301:AP301)</f>
        <v>-72605.9882540803</v>
      </c>
      <c r="AR301" s="12">
        <f>-AR174</f>
        <v>-19793.534547901</v>
      </c>
      <c r="AS301" s="12">
        <f>-AS174</f>
        <v>-22089.5384972038</v>
      </c>
      <c r="AT301" s="12">
        <f>-AT174</f>
        <v>-19661.0589170478</v>
      </c>
      <c r="AU301" s="12">
        <f>-AU174</f>
        <v>-21152.1696429019</v>
      </c>
      <c r="AV301" s="12">
        <f>SUM(AR301:AU301)</f>
        <v>-82696.3016050545</v>
      </c>
      <c r="AW301" s="12">
        <f>-AW174</f>
        <v>-22445.345023277</v>
      </c>
      <c r="AX301" s="12">
        <f>-AX174</f>
        <v>-25048.9528171347</v>
      </c>
      <c r="AY301" s="12">
        <f>-AY174</f>
        <v>-22295.1211592935</v>
      </c>
      <c r="AZ301" s="12">
        <f>-AZ174</f>
        <v>-23986.0013115326</v>
      </c>
      <c r="BA301" s="12">
        <f>SUM(AW301:AZ301)</f>
        <v>-93775.4203112379</v>
      </c>
      <c r="BB301" s="12">
        <f>-BB174</f>
        <v>-25340.2012884225</v>
      </c>
      <c r="BC301" s="12">
        <f>-BC174</f>
        <v>-28279.6056728969</v>
      </c>
      <c r="BD301" s="12">
        <f>-BD174</f>
        <v>-25170.6025164848</v>
      </c>
      <c r="BE301" s="12">
        <f>-BE174</f>
        <v>-27079.5615174671</v>
      </c>
      <c r="BF301" s="12">
        <f>SUM(BB301:BE301)</f>
        <v>-105869.970995271</v>
      </c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0" t="inlineStr">
        <is>
          <t>Proceeds from sale of fixed assets</t>
        </is>
      </c>
      <c r="D302" s="12" t="n"/>
      <c r="E302" s="12" t="n"/>
      <c r="F302" s="12" t="n"/>
      <c r="G302" s="12" t="n"/>
      <c r="H302" s="12" t="n"/>
      <c r="I302" s="12" t="n"/>
      <c r="J302" s="12">
        <f>-J175</f>
        <v>0</v>
      </c>
      <c r="K302" s="12">
        <f>-K175</f>
        <v>0</v>
      </c>
      <c r="L302" s="12">
        <f>-L175</f>
        <v>0</v>
      </c>
      <c r="M302" s="12" t="n"/>
      <c r="N302" s="12">
        <f>-N175</f>
        <v>0</v>
      </c>
      <c r="O302" s="12">
        <f>-O175</f>
        <v>0</v>
      </c>
      <c r="P302" s="12">
        <f>-P175</f>
        <v>0</v>
      </c>
      <c r="Q302" s="12">
        <f>-Q175</f>
        <v>0</v>
      </c>
      <c r="R302" s="12">
        <f>SUM(N302:Q302)</f>
        <v>0</v>
      </c>
      <c r="S302" s="12">
        <f>-S175</f>
        <v>0</v>
      </c>
      <c r="T302" s="12">
        <f>-T175</f>
        <v>0</v>
      </c>
      <c r="U302" s="12">
        <f>-U175</f>
        <v>0</v>
      </c>
      <c r="V302" s="12">
        <f>-V175</f>
        <v>0</v>
      </c>
      <c r="W302" s="12">
        <f>SUM(S302:V302)</f>
        <v>0</v>
      </c>
      <c r="X302" s="12">
        <f>-X175</f>
        <v>0</v>
      </c>
      <c r="Y302" s="12">
        <f>-Y175</f>
        <v>0</v>
      </c>
      <c r="Z302" s="12">
        <f>-Z175</f>
        <v>0</v>
      </c>
      <c r="AA302" s="12">
        <f>-AA175</f>
        <v>0</v>
      </c>
      <c r="AB302" s="12">
        <f>SUM(X302:AA302)</f>
        <v>0</v>
      </c>
      <c r="AC302" s="12">
        <f>-AC175</f>
        <v>0</v>
      </c>
      <c r="AD302" s="12">
        <f>-AD175</f>
        <v>0</v>
      </c>
      <c r="AE302" s="12">
        <f>-AE175</f>
        <v>0</v>
      </c>
      <c r="AF302" s="12">
        <f>-AF175</f>
        <v>0</v>
      </c>
      <c r="AG302" s="12">
        <f>SUM(AC302:AF302)</f>
        <v>0</v>
      </c>
      <c r="AH302" s="12">
        <f>-AH175</f>
        <v>0</v>
      </c>
      <c r="AI302" s="12">
        <f>-AI175</f>
        <v>0</v>
      </c>
      <c r="AJ302" s="12">
        <f>-AJ175</f>
        <v>0</v>
      </c>
      <c r="AK302" s="12">
        <f>-AK175</f>
        <v>0</v>
      </c>
      <c r="AL302" s="12">
        <f>SUM(AH302:AK302)</f>
        <v>0</v>
      </c>
      <c r="AM302" s="12">
        <f>-AM175</f>
        <v>0</v>
      </c>
      <c r="AN302" s="12">
        <f>-AN175</f>
        <v>0</v>
      </c>
      <c r="AO302" s="12">
        <f>-AO175</f>
        <v>0</v>
      </c>
      <c r="AP302" s="12">
        <f>-AP175</f>
        <v>0</v>
      </c>
      <c r="AQ302" s="12">
        <f>SUM(AM302:AP302)</f>
        <v>0</v>
      </c>
      <c r="AR302" s="12">
        <f>-AR175</f>
        <v>0</v>
      </c>
      <c r="AS302" s="12">
        <f>-AS175</f>
        <v>0</v>
      </c>
      <c r="AT302" s="12">
        <f>-AT175</f>
        <v>0</v>
      </c>
      <c r="AU302" s="12">
        <f>-AU175</f>
        <v>0</v>
      </c>
      <c r="AV302" s="12">
        <f>SUM(AR302:AU302)</f>
        <v>0</v>
      </c>
      <c r="AW302" s="12">
        <f>-AW175</f>
        <v>0</v>
      </c>
      <c r="AX302" s="12">
        <f>-AX175</f>
        <v>0</v>
      </c>
      <c r="AY302" s="12">
        <f>-AY175</f>
        <v>0</v>
      </c>
      <c r="AZ302" s="12">
        <f>-AZ175</f>
        <v>0</v>
      </c>
      <c r="BA302" s="12">
        <f>SUM(AW302:AZ302)</f>
        <v>0</v>
      </c>
      <c r="BB302" s="12">
        <f>-BB175</f>
        <v>0</v>
      </c>
      <c r="BC302" s="12">
        <f>-BC175</f>
        <v>0</v>
      </c>
      <c r="BD302" s="12">
        <f>-BD175</f>
        <v>0</v>
      </c>
      <c r="BE302" s="12">
        <f>-BE175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0" t="inlineStr">
        <is>
          <t>Var.Right-of-use-assets</t>
        </is>
      </c>
      <c r="D303" s="12" t="n"/>
      <c r="E303" s="12" t="n"/>
      <c r="F303" s="12" t="n"/>
      <c r="G303" s="12" t="n"/>
      <c r="H303" s="12" t="n"/>
      <c r="I303" s="12" t="n"/>
      <c r="J303" s="12">
        <f>(J182-I182)*-1</f>
        <v>0</v>
      </c>
      <c r="K303" s="12">
        <f>(K182-J182)*-1</f>
        <v>0</v>
      </c>
      <c r="L303" s="12">
        <f>(L182-K182)*-1</f>
        <v>0</v>
      </c>
      <c r="M303" s="12" t="n"/>
      <c r="N303" s="12">
        <f>(N182-M182)*-1</f>
        <v>0</v>
      </c>
      <c r="O303" s="12">
        <f>(O182-N182)*-1</f>
        <v>0</v>
      </c>
      <c r="P303" s="12">
        <f>(P182-O182)*-1</f>
        <v>0</v>
      </c>
      <c r="Q303" s="12">
        <f>(Q182-P182)*-1</f>
        <v>0</v>
      </c>
      <c r="R303" s="12">
        <f>SUM(N303:Q303)</f>
        <v>0</v>
      </c>
      <c r="S303" s="12">
        <f>(S182-R182)*-1</f>
        <v>0</v>
      </c>
      <c r="T303" s="12">
        <f>(T182-S182)*-1</f>
        <v>0</v>
      </c>
      <c r="U303" s="12">
        <f>(U182-T182)*-1</f>
        <v>0</v>
      </c>
      <c r="V303" s="12">
        <f>(V182-U182)*-1</f>
        <v>0</v>
      </c>
      <c r="W303" s="12">
        <f>SUM(S303:V303)</f>
        <v>0</v>
      </c>
      <c r="X303" s="12">
        <f>(X182-W182)*-1</f>
        <v>0</v>
      </c>
      <c r="Y303" s="12">
        <f>(Y182-X182)*-1</f>
        <v>0</v>
      </c>
      <c r="Z303" s="12">
        <f>(Z182-Y182)*-1</f>
        <v>0</v>
      </c>
      <c r="AA303" s="12">
        <f>(AA182-Z182)*-1</f>
        <v>0</v>
      </c>
      <c r="AB303" s="12">
        <f>SUM(X303:AA303)</f>
        <v>0</v>
      </c>
      <c r="AC303" s="12">
        <f>(AC182-AB182)*-1</f>
        <v>0</v>
      </c>
      <c r="AD303" s="12">
        <f>(AD182-AC182)*-1</f>
        <v>0</v>
      </c>
      <c r="AE303" s="12">
        <f>(AE182-AD182)*-1</f>
        <v>0</v>
      </c>
      <c r="AF303" s="12">
        <f>(AF182-AE182)*-1</f>
        <v>0</v>
      </c>
      <c r="AG303" s="12">
        <f>SUM(AC303:AF303)</f>
        <v>0</v>
      </c>
      <c r="AH303" s="12">
        <f>(AH182-AG182)*-1</f>
        <v>0</v>
      </c>
      <c r="AI303" s="12">
        <f>(AI182-AH182)*-1</f>
        <v>-29690</v>
      </c>
      <c r="AJ303" s="12">
        <f>(AJ182-AI182)*-1</f>
        <v>0</v>
      </c>
      <c r="AK303" s="12">
        <f>(AK182-AJ182)*-1</f>
        <v>0</v>
      </c>
      <c r="AL303" s="12">
        <f>SUM(AH303:AK303)</f>
        <v>-29690</v>
      </c>
      <c r="AM303" s="12">
        <f>(AM182-AL182)*-1</f>
        <v>0</v>
      </c>
      <c r="AN303" s="12">
        <f>(AN182-AM182)*-1</f>
        <v>0</v>
      </c>
      <c r="AO303" s="12">
        <f>(AO182-AN182)*-1</f>
        <v>0</v>
      </c>
      <c r="AP303" s="12">
        <f>(AP182-AO182)*-1</f>
        <v>0</v>
      </c>
      <c r="AQ303" s="12">
        <f>SUM(AM303:AP303)</f>
        <v>0</v>
      </c>
      <c r="AR303" s="12">
        <f>(AR182-AQ182)*-1</f>
        <v>0</v>
      </c>
      <c r="AS303" s="12">
        <f>(AS182-AR182)*-1</f>
        <v>0</v>
      </c>
      <c r="AT303" s="12">
        <f>(AT182-AS182)*-1</f>
        <v>0</v>
      </c>
      <c r="AU303" s="12">
        <f>(AU182-AT182)*-1</f>
        <v>0</v>
      </c>
      <c r="AV303" s="12">
        <f>SUM(AR303:AU303)</f>
        <v>0</v>
      </c>
      <c r="AW303" s="12">
        <f>(AW182-AV182)*-1</f>
        <v>0</v>
      </c>
      <c r="AX303" s="12">
        <f>(AX182-AW182)*-1</f>
        <v>0</v>
      </c>
      <c r="AY303" s="12">
        <f>(AY182-AX182)*-1</f>
        <v>0</v>
      </c>
      <c r="AZ303" s="12">
        <f>(AZ182-AY182)*-1</f>
        <v>0</v>
      </c>
      <c r="BA303" s="12">
        <f>SUM(AW303:AZ303)</f>
        <v>0</v>
      </c>
      <c r="BB303" s="12">
        <f>(BB182-BA182)*-1</f>
        <v>0</v>
      </c>
      <c r="BC303" s="12">
        <f>(BC182-BB182)*-1</f>
        <v>0</v>
      </c>
      <c r="BD303" s="12">
        <f>(BD182-BC182)*-1</f>
        <v>0</v>
      </c>
      <c r="BE303" s="12">
        <f>(BE182-BD182)*-1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  <c r="CZ303" s="12" t="n"/>
      <c r="DA303" s="12" t="n"/>
      <c r="DB303" s="12" t="n"/>
      <c r="DC303" s="12" t="n"/>
    </row>
    <row r="304">
      <c r="C304" s="10" t="inlineStr">
        <is>
          <t>Purchases of intangible assets</t>
        </is>
      </c>
      <c r="D304" s="12" t="n"/>
      <c r="E304" s="12" t="n"/>
      <c r="F304" s="12" t="n"/>
      <c r="G304" s="12" t="n"/>
      <c r="H304" s="12" t="n"/>
      <c r="I304" s="12" t="n"/>
      <c r="J304" s="12">
        <f>((J186-I186)*-1)+((J185-I185)*-1)</f>
        <v>343</v>
      </c>
      <c r="K304" s="12">
        <f>((K186-J186)*-1)+((K185-J185)*-1)</f>
        <v>322</v>
      </c>
      <c r="L304" s="12">
        <f>((L186-K186)*-1)+((L185-K185)*-1)</f>
        <v>320</v>
      </c>
      <c r="M304" s="12" t="n"/>
      <c r="N304" s="12">
        <f>((N186-M186)*-1)+((N185-M185)*-1)</f>
        <v>202</v>
      </c>
      <c r="O304" s="12">
        <f>((O186-N186)*-1)+((O185-N185)*-1)</f>
        <v>270</v>
      </c>
      <c r="P304" s="12">
        <f>((P186-O186)*-1)+((P185-O185)*-1)</f>
        <v>-28877</v>
      </c>
      <c r="Q304" s="12">
        <f>((Q186-P186)*-1)+((Q185-P185)*-1)</f>
        <v>1022</v>
      </c>
      <c r="R304" s="12">
        <f>SUM(N304:Q304)</f>
        <v>-27383</v>
      </c>
      <c r="S304" s="12">
        <f>((S186-R186)*-1)+((S185-R185)*-1)</f>
        <v>900</v>
      </c>
      <c r="T304" s="12">
        <f>((T186-S186)*-1)+((T185-S185)*-1)</f>
        <v>108</v>
      </c>
      <c r="U304" s="12">
        <f>((U186-T186)*-1)+((U185-T185)*-1)</f>
        <v>818</v>
      </c>
      <c r="V304" s="12">
        <f>((V186-U186)*-1)+((V185-U185)*-1)</f>
        <v>671</v>
      </c>
      <c r="W304" s="12">
        <f>SUM(S304:V304)</f>
        <v>2497</v>
      </c>
      <c r="X304" s="12">
        <f>((X186-W186)*-1)+((X185-W185)*-1)</f>
        <v>758</v>
      </c>
      <c r="Y304" s="12">
        <f>((Y186-X186)*-1)+((Y185-X185)*-1)</f>
        <v>731</v>
      </c>
      <c r="Z304" s="12">
        <f>((Z186-Y186)*-1)+((Z185-Y185)*-1)</f>
        <v>601</v>
      </c>
      <c r="AA304" s="12">
        <f>((AA186-Z186)*-1)+((AA185-Z185)*-1)</f>
        <v>636</v>
      </c>
      <c r="AB304" s="12">
        <f>SUM(X304:AA304)</f>
        <v>2726</v>
      </c>
      <c r="AC304" s="12">
        <f>((AC186-AB186)*-1)+((AC185-AB185)*-1)</f>
        <v>581</v>
      </c>
      <c r="AD304" s="12">
        <f>((AD186-AC186)*-1)+((AD185-AC185)*-1)</f>
        <v>508</v>
      </c>
      <c r="AE304" s="12">
        <f>((AE186-AD186)*-1)+((AE185-AD185)*-1)</f>
        <v>416</v>
      </c>
      <c r="AF304" s="12">
        <f>((AF186-AE186)*-1)+((AF185-AE185)*-1)</f>
        <v>411</v>
      </c>
      <c r="AG304" s="12">
        <f>SUM(AC304:AF304)</f>
        <v>1916</v>
      </c>
      <c r="AH304" s="12">
        <f>((AH186-AG186)*-1)+((AH185-AG185)*-1)</f>
        <v>52</v>
      </c>
      <c r="AI304" s="12">
        <f>((AI186-AH186)*-1)+((AI185-AH185)*-1)</f>
        <v>3654</v>
      </c>
      <c r="AJ304" s="12">
        <f>((AJ186-AI186)*-1)+((AJ185-AI185)*-1)</f>
        <v>0</v>
      </c>
      <c r="AK304" s="12">
        <f>((AK186-AJ186)*-1)+((AK185-AJ185)*-1)</f>
        <v>0</v>
      </c>
      <c r="AL304" s="12">
        <f>SUM(AH304:AK304)</f>
        <v>3706</v>
      </c>
      <c r="AM304" s="12">
        <f>((AM186-AL186)*-1)+((AM185-AL185)*-1)</f>
        <v>0</v>
      </c>
      <c r="AN304" s="12">
        <f>((AN186-AM186)*-1)+((AN185-AM185)*-1)</f>
        <v>0</v>
      </c>
      <c r="AO304" s="12">
        <f>((AO186-AN186)*-1)+((AO185-AN185)*-1)</f>
        <v>0</v>
      </c>
      <c r="AP304" s="12">
        <f>((AP186-AO186)*-1)+((AP185-AO185)*-1)</f>
        <v>0</v>
      </c>
      <c r="AQ304" s="12">
        <f>SUM(AM304:AP304)</f>
        <v>0</v>
      </c>
      <c r="AR304" s="12">
        <f>((AR186-AQ186)*-1)+((AR185-AQ185)*-1)</f>
        <v>0</v>
      </c>
      <c r="AS304" s="12">
        <f>((AS186-AR186)*-1)+((AS185-AR185)*-1)</f>
        <v>0</v>
      </c>
      <c r="AT304" s="12">
        <f>((AT186-AS186)*-1)+((AT185-AS185)*-1)</f>
        <v>0</v>
      </c>
      <c r="AU304" s="12">
        <f>((AU186-AT186)*-1)+((AU185-AT185)*-1)</f>
        <v>0</v>
      </c>
      <c r="AV304" s="12">
        <f>SUM(AR304:AU304)</f>
        <v>0</v>
      </c>
      <c r="AW304" s="12">
        <f>((AW186-AV186)*-1)+((AW185-AV185)*-1)</f>
        <v>0</v>
      </c>
      <c r="AX304" s="12">
        <f>((AX186-AW186)*-1)+((AX185-AW185)*-1)</f>
        <v>0</v>
      </c>
      <c r="AY304" s="12">
        <f>((AY186-AX186)*-1)+((AY185-AX185)*-1)</f>
        <v>0</v>
      </c>
      <c r="AZ304" s="12">
        <f>((AZ186-AY186)*-1)+((AZ185-AY185)*-1)</f>
        <v>0</v>
      </c>
      <c r="BA304" s="12">
        <f>SUM(AW304:AZ304)</f>
        <v>0</v>
      </c>
      <c r="BB304" s="12">
        <f>((BB186-BA186)*-1)+((BB185-BA185)*-1)</f>
        <v>0</v>
      </c>
      <c r="BC304" s="12">
        <f>((BC186-BB186)*-1)+((BC185-BB185)*-1)</f>
        <v>0</v>
      </c>
      <c r="BD304" s="12">
        <f>((BD186-BC186)*-1)+((BD185-BC185)*-1)</f>
        <v>0</v>
      </c>
      <c r="BE304" s="12">
        <f>((BE186-BD186)*-1)+((BE185-BD185)*-1)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  <c r="CZ304" s="12" t="n"/>
      <c r="DA304" s="12" t="n"/>
      <c r="DB304" s="12" t="n"/>
      <c r="DC304" s="12" t="n"/>
    </row>
    <row r="305">
      <c r="C305" s="71" t="inlineStr">
        <is>
          <t>Purchases/Proceeds from other long-term assets</t>
        </is>
      </c>
      <c r="D305" s="12" t="n"/>
      <c r="E305" s="12" t="n"/>
      <c r="F305" s="12" t="n"/>
      <c r="G305" s="12" t="n"/>
      <c r="H305" s="12" t="n"/>
      <c r="I305" s="12" t="n"/>
      <c r="J305" s="12">
        <f>((J195-I195)*-1)+(J246-I246)</f>
        <v>11423</v>
      </c>
      <c r="K305" s="12">
        <f>((K195-J195)*-1)+(K246-J246)</f>
        <v>-65</v>
      </c>
      <c r="L305" s="12">
        <f>((L195-K195)*-1)+(L246-K246)</f>
        <v>-2477</v>
      </c>
      <c r="M305" s="12" t="n"/>
      <c r="N305" s="12">
        <f>((N195-M195)*-1)+(N246-M246)</f>
        <v>-2265</v>
      </c>
      <c r="O305" s="12">
        <f>((O195-N195)*-1)+(O246-N246)</f>
        <v>-222</v>
      </c>
      <c r="P305" s="12">
        <f>((P195-O195)*-1)+(P246-O246)</f>
        <v>2806</v>
      </c>
      <c r="Q305" s="12">
        <f>((Q195-P195)*-1)+(Q246-P246)</f>
        <v>4200</v>
      </c>
      <c r="R305" s="12">
        <f>SUM(N305:Q305)</f>
        <v>4519</v>
      </c>
      <c r="S305" s="12">
        <f>((S195-R195)*-1)+(S246-R246)</f>
        <v>5004</v>
      </c>
      <c r="T305" s="12">
        <f>((T195-S195)*-1)+(T246-S246)</f>
        <v>361</v>
      </c>
      <c r="U305" s="12">
        <f>((U195-T195)*-1)+(U246-T246)</f>
        <v>-2125</v>
      </c>
      <c r="V305" s="12">
        <f>((V195-U195)*-1)+(V246-U246)</f>
        <v>-3218</v>
      </c>
      <c r="W305" s="12">
        <f>SUM(S305:V305)</f>
        <v>22</v>
      </c>
      <c r="X305" s="12">
        <f>((X195-W195)*-1)+(X246-W246)</f>
        <v>533</v>
      </c>
      <c r="Y305" s="12">
        <f>((Y195-X195)*-1)+(Y246-X246)</f>
        <v>-6161</v>
      </c>
      <c r="Z305" s="12">
        <f>((Z195-Y195)*-1)+(Z246-Y246)</f>
        <v>-860</v>
      </c>
      <c r="AA305" s="12">
        <f>((AA195-Z195)*-1)+(AA246-Z246)</f>
        <v>3502</v>
      </c>
      <c r="AB305" s="12">
        <f>SUM(X305:AA305)</f>
        <v>-2986</v>
      </c>
      <c r="AC305" s="12">
        <f>((AC195-AB195)*-1)+(AC246-AB246)</f>
        <v>8445</v>
      </c>
      <c r="AD305" s="12">
        <f>((AD195-AC195)*-1)+(AD246-AC246)</f>
        <v>-10471</v>
      </c>
      <c r="AE305" s="12">
        <f>((AE195-AD195)*-1)+(AE246-AD246)</f>
        <v>-4318</v>
      </c>
      <c r="AF305" s="12">
        <f>((AF195-AE195)*-1)+(AF246-AE246)</f>
        <v>17870</v>
      </c>
      <c r="AG305" s="12">
        <f>SUM(AC305:AF305)</f>
        <v>11526</v>
      </c>
      <c r="AH305" s="12">
        <f>((AH195-AG195)*-1)+(AH246-AG246)</f>
        <v>22290</v>
      </c>
      <c r="AI305" s="12">
        <f>((AI195-AH195)*-1)+(AI246-AH246)</f>
        <v>21082</v>
      </c>
      <c r="AJ305" s="12">
        <f>((AJ195-AI195)*-1)+(AJ246-AI246)</f>
        <v>0</v>
      </c>
      <c r="AK305" s="12">
        <f>((AK195-AJ195)*-1)+(AK246-AJ246)</f>
        <v>0</v>
      </c>
      <c r="AL305" s="12">
        <f>SUM(AH305:AK305)</f>
        <v>43372</v>
      </c>
      <c r="AM305" s="12">
        <f>((AM195-AL195)*-1)+(AM246-AL246)</f>
        <v>0</v>
      </c>
      <c r="AN305" s="12">
        <f>((AN195-AM195)*-1)+(AN246-AM246)</f>
        <v>0</v>
      </c>
      <c r="AO305" s="12">
        <f>((AO195-AN195)*-1)+(AO246-AN246)</f>
        <v>0</v>
      </c>
      <c r="AP305" s="12">
        <f>((AP195-AO195)*-1)+(AP246-AO246)</f>
        <v>0</v>
      </c>
      <c r="AQ305" s="12">
        <f>SUM(AM305:AP305)</f>
        <v>0</v>
      </c>
      <c r="AR305" s="12">
        <f>((AR195-AQ195)*-1)+(AR246-AQ246)</f>
        <v>0</v>
      </c>
      <c r="AS305" s="12">
        <f>((AS195-AR195)*-1)+(AS246-AR246)</f>
        <v>0</v>
      </c>
      <c r="AT305" s="12">
        <f>((AT195-AS195)*-1)+(AT246-AS246)</f>
        <v>0</v>
      </c>
      <c r="AU305" s="12">
        <f>((AU195-AT195)*-1)+(AU246-AT246)</f>
        <v>0</v>
      </c>
      <c r="AV305" s="12">
        <f>SUM(AR305:AU305)</f>
        <v>0</v>
      </c>
      <c r="AW305" s="12">
        <f>((AW195-AV195)*-1)+(AW246-AV246)</f>
        <v>0</v>
      </c>
      <c r="AX305" s="12">
        <f>((AX195-AW195)*-1)+(AX246-AW246)</f>
        <v>0</v>
      </c>
      <c r="AY305" s="12">
        <f>((AY195-AX195)*-1)+(AY246-AX246)</f>
        <v>0</v>
      </c>
      <c r="AZ305" s="12">
        <f>((AZ195-AY195)*-1)+(AZ246-AY246)</f>
        <v>0</v>
      </c>
      <c r="BA305" s="12">
        <f>SUM(AW305:AZ305)</f>
        <v>0</v>
      </c>
      <c r="BB305" s="12">
        <f>((BB195-BA195)*-1)+(BB246-BA246)</f>
        <v>0</v>
      </c>
      <c r="BC305" s="12">
        <f>((BC195-BB195)*-1)+(BC246-BB246)</f>
        <v>0</v>
      </c>
      <c r="BD305" s="12">
        <f>((BD195-BC195)*-1)+(BD246-BC246)</f>
        <v>0</v>
      </c>
      <c r="BE305" s="12">
        <f>((BE195-BD195)*-1)+(BE246-BD246)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Cash from investing</t>
        </is>
      </c>
      <c r="D306" s="12" t="n"/>
      <c r="E306" s="12" t="n"/>
      <c r="F306" s="12" t="n"/>
      <c r="G306" s="12" t="n"/>
      <c r="H306" s="12" t="n"/>
      <c r="I306" s="12" t="n"/>
      <c r="J306" s="12">
        <f>SUM(J301,J302,J304,J305,J303)</f>
        <v>10781</v>
      </c>
      <c r="K306" s="12">
        <f>SUM(K301,K302,K304,K305,K303)</f>
        <v>-1061</v>
      </c>
      <c r="L306" s="12">
        <f>SUM(L301,L302,L304,L305,L303)</f>
        <v>-3334</v>
      </c>
      <c r="M306" s="12" t="n"/>
      <c r="N306" s="12">
        <f>SUM(N301,N302,N304,N305,N303)</f>
        <v>-3418</v>
      </c>
      <c r="O306" s="12">
        <f>SUM(O301,O302,O304,O305,O303)</f>
        <v>-1890</v>
      </c>
      <c r="P306" s="12">
        <f>SUM(P301,P302,P304,P305,P303)</f>
        <v>-30101</v>
      </c>
      <c r="Q306" s="12">
        <f>SUM(Q301,Q302,Q304,Q305,Q303)</f>
        <v>1653</v>
      </c>
      <c r="R306" s="12">
        <f>SUM(R301,R302,R304,R305)</f>
        <v>-33756</v>
      </c>
      <c r="S306" s="12">
        <f>SUM(S301,S302,S304,S305,S303)</f>
        <v>2352</v>
      </c>
      <c r="T306" s="12">
        <f>SUM(T301,T302,T304,T305,T303)</f>
        <v>-1841</v>
      </c>
      <c r="U306" s="12">
        <f>SUM(U301,U302,U304,U305,U303)</f>
        <v>-3357</v>
      </c>
      <c r="V306" s="12">
        <f>SUM(V301,V302,V304,V305,V303)</f>
        <v>-4465</v>
      </c>
      <c r="W306" s="12">
        <f>SUM(W301,W302,W304,W305)</f>
        <v>-7311</v>
      </c>
      <c r="X306" s="12">
        <f>SUM(X301,X302,X304,X305,X303)</f>
        <v>-1374</v>
      </c>
      <c r="Y306" s="12">
        <f>SUM(Y301,Y302,Y304,Y305,Y303)</f>
        <v>-9403</v>
      </c>
      <c r="Z306" s="12">
        <f>SUM(Z301,Z302,Z304,Z305,Z303)</f>
        <v>-3245</v>
      </c>
      <c r="AA306" s="12">
        <f>SUM(AA301,AA302,AA304,AA305,AA303)</f>
        <v>-699</v>
      </c>
      <c r="AB306" s="12">
        <f>SUM(AB301,AB302,AB304,AB305)</f>
        <v>-14721</v>
      </c>
      <c r="AC306" s="12">
        <f>SUM(AC301,AC302,AC304,AC305,AC303)</f>
        <v>1937</v>
      </c>
      <c r="AD306" s="12">
        <f>SUM(AD301,AD302,AD304,AD305,AD303)</f>
        <v>-23211</v>
      </c>
      <c r="AE306" s="12">
        <f>SUM(AE301,AE302,AE304,AE305,AE303)</f>
        <v>-15345</v>
      </c>
      <c r="AF306" s="12">
        <f>SUM(AF301,AF302,AF304,AF305,AF303)</f>
        <v>1489</v>
      </c>
      <c r="AG306" s="12">
        <f>SUM(AG301,AG302,AG304,AG305)</f>
        <v>-35130</v>
      </c>
      <c r="AH306" s="12">
        <f>SUM(AH301,AH302,AH304,AH305,AH303)</f>
        <v>4034</v>
      </c>
      <c r="AI306" s="12">
        <f>SUM(AI301,AI302,AI304,AI305,AI303)</f>
        <v>-24141</v>
      </c>
      <c r="AJ306" s="12">
        <f>SUM(AJ301,AJ302,AJ304,AJ305,AJ303)</f>
        <v>-15089.5840314647</v>
      </c>
      <c r="AK306" s="12">
        <f>SUM(AK301,AK302,AK304,AK305,AK303)</f>
        <v>-16233.9903776806</v>
      </c>
      <c r="AL306" s="12">
        <f>SUM(AL301,AL302,AL304,AL305)</f>
        <v>-21740.5744091453</v>
      </c>
      <c r="AM306" s="12">
        <f>SUM(AM301,AM302,AM304,AM305,AM303)</f>
        <v>-17378.3967238965</v>
      </c>
      <c r="AN306" s="12">
        <f>SUM(AN301,AN302,AN304,AN305,AN303)</f>
        <v>-19394.2503054817</v>
      </c>
      <c r="AO306" s="12">
        <f>SUM(AO301,AO302,AO304,AO305,AO303)</f>
        <v>-17262.0853059613</v>
      </c>
      <c r="AP306" s="12">
        <f>SUM(AP301,AP302,AP304,AP305,AP303)</f>
        <v>-18571.2559187409</v>
      </c>
      <c r="AQ306" s="12">
        <f>SUM(AQ301,AQ302,AQ304,AQ305)</f>
        <v>-72605.9882540803</v>
      </c>
      <c r="AR306" s="12">
        <f>SUM(AR301,AR302,AR304,AR305,AR303)</f>
        <v>-19793.534547901</v>
      </c>
      <c r="AS306" s="12">
        <f>SUM(AS301,AS302,AS304,AS305,AS303)</f>
        <v>-22089.5384972038</v>
      </c>
      <c r="AT306" s="12">
        <f>SUM(AT301,AT302,AT304,AT305,AT303)</f>
        <v>-19661.0589170478</v>
      </c>
      <c r="AU306" s="12">
        <f>SUM(AU301,AU302,AU304,AU305,AU303)</f>
        <v>-21152.1696429019</v>
      </c>
      <c r="AV306" s="12">
        <f>SUM(AV301,AV302,AV304,AV305)</f>
        <v>-82696.3016050545</v>
      </c>
      <c r="AW306" s="12">
        <f>SUM(AW301,AW302,AW304,AW305,AW303)</f>
        <v>-22445.345023277</v>
      </c>
      <c r="AX306" s="12">
        <f>SUM(AX301,AX302,AX304,AX305,AX303)</f>
        <v>-25048.9528171347</v>
      </c>
      <c r="AY306" s="12">
        <f>SUM(AY301,AY302,AY304,AY305,AY303)</f>
        <v>-22295.1211592935</v>
      </c>
      <c r="AZ306" s="12">
        <f>SUM(AZ301,AZ302,AZ304,AZ305,AZ303)</f>
        <v>-23986.0013115326</v>
      </c>
      <c r="BA306" s="12">
        <f>SUM(BA301,BA302,BA304,BA305)</f>
        <v>-93775.4203112379</v>
      </c>
      <c r="BB306" s="12">
        <f>SUM(BB301,BB302,BB304,BB305,BB303)</f>
        <v>-25340.2012884225</v>
      </c>
      <c r="BC306" s="12">
        <f>SUM(BC301,BC302,BC304,BC305,BC303)</f>
        <v>-28279.6056728969</v>
      </c>
      <c r="BD306" s="12">
        <f>SUM(BD301,BD302,BD304,BD305,BD303)</f>
        <v>-25170.6025164848</v>
      </c>
      <c r="BE306" s="12">
        <f>SUM(BE301,BE302,BE304,BE305,BE303)</f>
        <v>-27079.5615174671</v>
      </c>
      <c r="BF306" s="12">
        <f>SUM(BF301,BF302,BF304,BF305)</f>
        <v>-105869.970995271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4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Convertible preferred stock</t>
        </is>
      </c>
      <c r="D308" s="12" t="n"/>
      <c r="E308" s="12" t="n"/>
      <c r="F308" s="12" t="n"/>
      <c r="G308" s="12" t="n"/>
      <c r="H308" s="12" t="n"/>
      <c r="I308" s="12" t="n"/>
      <c r="J308" s="12">
        <f>J259-I259</f>
        <v>0</v>
      </c>
      <c r="K308" s="12">
        <f>K259-J259</f>
        <v>0</v>
      </c>
      <c r="L308" s="12">
        <f>L259-K259</f>
        <v>0</v>
      </c>
      <c r="M308" s="12" t="n"/>
      <c r="N308" s="12">
        <f>N259-M259</f>
        <v>0</v>
      </c>
      <c r="O308" s="12">
        <f>O259-N259</f>
        <v>0</v>
      </c>
      <c r="P308" s="12">
        <f>P259-O259</f>
        <v>0</v>
      </c>
      <c r="Q308" s="12">
        <f>Q259-P259</f>
        <v>0</v>
      </c>
      <c r="R308" s="12">
        <f>SUM(N308:Q308)</f>
        <v>0</v>
      </c>
      <c r="S308" s="12">
        <f>S259-R259</f>
        <v>0</v>
      </c>
      <c r="T308" s="12">
        <f>T259-S259</f>
        <v>0</v>
      </c>
      <c r="U308" s="12">
        <f>U259-T259</f>
        <v>0</v>
      </c>
      <c r="V308" s="12">
        <f>V259-U259</f>
        <v>0</v>
      </c>
      <c r="W308" s="12">
        <f>SUM(S308:V308)</f>
        <v>0</v>
      </c>
      <c r="X308" s="12">
        <f>X259-W259</f>
        <v>0</v>
      </c>
      <c r="Y308" s="12">
        <f>Y259-X259</f>
        <v>0</v>
      </c>
      <c r="Z308" s="12">
        <f>Z259-Y259</f>
        <v>0</v>
      </c>
      <c r="AA308" s="12">
        <f>AA259-Z259</f>
        <v>0</v>
      </c>
      <c r="AB308" s="12">
        <f>SUM(X308:AA308)</f>
        <v>0</v>
      </c>
      <c r="AC308" s="12">
        <f>AC259-AB259</f>
        <v>0</v>
      </c>
      <c r="AD308" s="12">
        <f>AD259-AC259</f>
        <v>0</v>
      </c>
      <c r="AE308" s="12">
        <f>AE259-AD259</f>
        <v>0</v>
      </c>
      <c r="AF308" s="12">
        <f>AF259-AE259</f>
        <v>0</v>
      </c>
      <c r="AG308" s="12">
        <f>SUM(AC308:AF308)</f>
        <v>0</v>
      </c>
      <c r="AH308" s="12">
        <f>AH259-AG259</f>
        <v>0</v>
      </c>
      <c r="AI308" s="12">
        <f>AI259-AH259</f>
        <v>0</v>
      </c>
      <c r="AJ308" s="12">
        <f>AJ259-AI259</f>
        <v>0</v>
      </c>
      <c r="AK308" s="12">
        <f>AK259-AJ259</f>
        <v>0</v>
      </c>
      <c r="AL308" s="12">
        <f>SUM(AH308:AK308)</f>
        <v>0</v>
      </c>
      <c r="AM308" s="12">
        <f>AM259-AL259</f>
        <v>0</v>
      </c>
      <c r="AN308" s="12">
        <f>AN259-AM259</f>
        <v>0</v>
      </c>
      <c r="AO308" s="12">
        <f>AO259-AN259</f>
        <v>0</v>
      </c>
      <c r="AP308" s="12">
        <f>AP259-AO259</f>
        <v>0</v>
      </c>
      <c r="AQ308" s="12">
        <f>SUM(AM308:AP308)</f>
        <v>0</v>
      </c>
      <c r="AR308" s="12">
        <f>AR259-AQ259</f>
        <v>0</v>
      </c>
      <c r="AS308" s="12">
        <f>AS259-AR259</f>
        <v>0</v>
      </c>
      <c r="AT308" s="12">
        <f>AT259-AS259</f>
        <v>0</v>
      </c>
      <c r="AU308" s="12">
        <f>AU259-AT259</f>
        <v>0</v>
      </c>
      <c r="AV308" s="12">
        <f>SUM(AR308:AU308)</f>
        <v>0</v>
      </c>
      <c r="AW308" s="12">
        <f>AW259-AV259</f>
        <v>0</v>
      </c>
      <c r="AX308" s="12">
        <f>AX259-AW259</f>
        <v>0</v>
      </c>
      <c r="AY308" s="12">
        <f>AY259-AX259</f>
        <v>0</v>
      </c>
      <c r="AZ308" s="12">
        <f>AZ259-AY259</f>
        <v>0</v>
      </c>
      <c r="BA308" s="12">
        <f>SUM(AW308:AZ308)</f>
        <v>0</v>
      </c>
      <c r="BB308" s="12">
        <f>BB259-BA259</f>
        <v>0</v>
      </c>
      <c r="BC308" s="12">
        <f>BC259-BB259</f>
        <v>0</v>
      </c>
      <c r="BD308" s="12">
        <f>BD259-BC259</f>
        <v>0</v>
      </c>
      <c r="BE308" s="12">
        <f>BE259-BD259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4" t="inlineStr">
        <is>
          <t>Common stock and APIC</t>
        </is>
      </c>
      <c r="D309" s="12" t="n"/>
      <c r="E309" s="12" t="n"/>
      <c r="F309" s="12" t="n"/>
      <c r="G309" s="12" t="n"/>
      <c r="H309" s="12" t="n"/>
      <c r="I309" s="12" t="n"/>
      <c r="J309" s="12">
        <f>J260-I260</f>
        <v>272</v>
      </c>
      <c r="K309" s="12">
        <f>K260-J260</f>
        <v>-999</v>
      </c>
      <c r="L309" s="12">
        <f>L260-K260</f>
        <v>57</v>
      </c>
      <c r="M309" s="12" t="n"/>
      <c r="N309" s="12">
        <f>N260-M260</f>
        <v>538</v>
      </c>
      <c r="O309" s="12">
        <f>O260-N260</f>
        <v>679</v>
      </c>
      <c r="P309" s="12">
        <f>P260-O260</f>
        <v>416</v>
      </c>
      <c r="Q309" s="12">
        <f>Q260-P260</f>
        <v>924</v>
      </c>
      <c r="R309" s="12">
        <f>SUM(N309:Q309)</f>
        <v>2557</v>
      </c>
      <c r="S309" s="12">
        <f>S260-R260</f>
        <v>846</v>
      </c>
      <c r="T309" s="12">
        <f>T260-S260</f>
        <v>1221</v>
      </c>
      <c r="U309" s="12">
        <f>U260-T260</f>
        <v>80</v>
      </c>
      <c r="V309" s="12">
        <f>V260-U260</f>
        <v>429</v>
      </c>
      <c r="W309" s="12">
        <f>SUM(S309:V309)</f>
        <v>2576</v>
      </c>
      <c r="X309" s="12">
        <f>X260-W260</f>
        <v>898</v>
      </c>
      <c r="Y309" s="12">
        <f>Y260-X260</f>
        <v>1142</v>
      </c>
      <c r="Z309" s="12">
        <f>Z260-Y260</f>
        <v>319</v>
      </c>
      <c r="AA309" s="12">
        <f>AA260-Z260</f>
        <v>1227</v>
      </c>
      <c r="AB309" s="12">
        <f>SUM(X309:AA309)</f>
        <v>3586</v>
      </c>
      <c r="AC309" s="12">
        <f>AC260-AB260</f>
        <v>1381</v>
      </c>
      <c r="AD309" s="12">
        <f>AD260-AC260</f>
        <v>1416</v>
      </c>
      <c r="AE309" s="12">
        <f>AE260-AD260</f>
        <v>2271</v>
      </c>
      <c r="AF309" s="12">
        <f>AF260-AE260</f>
        <v>1199</v>
      </c>
      <c r="AG309" s="12">
        <f>SUM(AC309:AF309)</f>
        <v>6267</v>
      </c>
      <c r="AH309" s="12">
        <f>AH260-AG260</f>
        <v>1333</v>
      </c>
      <c r="AI309" s="12">
        <f>AI260-AH260</f>
        <v>1333</v>
      </c>
      <c r="AJ309" s="12">
        <f>AJ260-AI260</f>
        <v>0</v>
      </c>
      <c r="AK309" s="12">
        <f>AK260-AJ260</f>
        <v>0</v>
      </c>
      <c r="AL309" s="12">
        <f>SUM(AH309:AK309)</f>
        <v>2666</v>
      </c>
      <c r="AM309" s="12">
        <f>AM260-AL260</f>
        <v>0</v>
      </c>
      <c r="AN309" s="12">
        <f>AN260-AM260</f>
        <v>0</v>
      </c>
      <c r="AO309" s="12">
        <f>AO260-AN260</f>
        <v>0</v>
      </c>
      <c r="AP309" s="12">
        <f>AP260-AO260</f>
        <v>0</v>
      </c>
      <c r="AQ309" s="12">
        <f>SUM(AM309:AP309)</f>
        <v>0</v>
      </c>
      <c r="AR309" s="12">
        <f>AR260-AQ260</f>
        <v>0</v>
      </c>
      <c r="AS309" s="12">
        <f>AS260-AR260</f>
        <v>0</v>
      </c>
      <c r="AT309" s="12">
        <f>AT260-AS260</f>
        <v>0</v>
      </c>
      <c r="AU309" s="12">
        <f>AU260-AT260</f>
        <v>0</v>
      </c>
      <c r="AV309" s="12">
        <f>SUM(AR309:AU309)</f>
        <v>0</v>
      </c>
      <c r="AW309" s="12">
        <f>AW260-AV260</f>
        <v>0</v>
      </c>
      <c r="AX309" s="12">
        <f>AX260-AW260</f>
        <v>0</v>
      </c>
      <c r="AY309" s="12">
        <f>AY260-AX260</f>
        <v>0</v>
      </c>
      <c r="AZ309" s="12">
        <f>AZ260-AY260</f>
        <v>0</v>
      </c>
      <c r="BA309" s="12">
        <f>SUM(AW309:AZ309)</f>
        <v>0</v>
      </c>
      <c r="BB309" s="12">
        <f>BB260-BA260</f>
        <v>0</v>
      </c>
      <c r="BC309" s="12">
        <f>BC260-BB260</f>
        <v>0</v>
      </c>
      <c r="BD309" s="12">
        <f>BD260-BC260</f>
        <v>0</v>
      </c>
      <c r="BE309" s="12">
        <f>BE260-BD260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</row>
    <row r="310">
      <c r="C310" s="14" t="inlineStr">
        <is>
          <t>Treasury stock repurchases</t>
        </is>
      </c>
      <c r="D310" s="12" t="n"/>
      <c r="E310" s="12" t="n"/>
      <c r="F310" s="12" t="n"/>
      <c r="G310" s="12" t="n"/>
      <c r="H310" s="12" t="n"/>
      <c r="I310" s="12" t="n"/>
      <c r="J310" s="12">
        <f>J273-I273</f>
        <v>0</v>
      </c>
      <c r="K310" s="12">
        <f>K273-J273</f>
        <v>0</v>
      </c>
      <c r="L310" s="12">
        <f>L273-K273</f>
        <v>0</v>
      </c>
      <c r="M310" s="12" t="n"/>
      <c r="N310" s="12">
        <f>N273-M273</f>
        <v>0</v>
      </c>
      <c r="O310" s="12">
        <f>O273-N273</f>
        <v>0</v>
      </c>
      <c r="P310" s="12">
        <f>P273-O273</f>
        <v>0</v>
      </c>
      <c r="Q310" s="12">
        <f>Q273-P273</f>
        <v>0</v>
      </c>
      <c r="R310" s="12">
        <f>SUM(N310:Q310)</f>
        <v>0</v>
      </c>
      <c r="S310" s="12">
        <f>S273-R273</f>
        <v>0</v>
      </c>
      <c r="T310" s="12">
        <f>T273-S273</f>
        <v>0</v>
      </c>
      <c r="U310" s="12">
        <f>U273-T273</f>
        <v>0</v>
      </c>
      <c r="V310" s="12">
        <f>V273-U273</f>
        <v>0</v>
      </c>
      <c r="W310" s="12">
        <f>SUM(S310:V310)</f>
        <v>0</v>
      </c>
      <c r="X310" s="12">
        <f>X273-W273</f>
        <v>0</v>
      </c>
      <c r="Y310" s="12">
        <f>Y273-X273</f>
        <v>0</v>
      </c>
      <c r="Z310" s="12">
        <f>Z273-Y273</f>
        <v>0</v>
      </c>
      <c r="AA310" s="12">
        <f>AA273-Z273</f>
        <v>0</v>
      </c>
      <c r="AB310" s="12">
        <f>SUM(X310:AA310)</f>
        <v>0</v>
      </c>
      <c r="AC310" s="12">
        <f>AC273-AB273</f>
        <v>0</v>
      </c>
      <c r="AD310" s="12">
        <f>AD273-AC273</f>
        <v>0</v>
      </c>
      <c r="AE310" s="12">
        <f>AE273-AD273</f>
        <v>0</v>
      </c>
      <c r="AF310" s="12">
        <f>AF273-AE273</f>
        <v>0</v>
      </c>
      <c r="AG310" s="12">
        <f>SUM(AC310:AF310)</f>
        <v>0</v>
      </c>
      <c r="AH310" s="12">
        <f>AH273-AG273</f>
        <v>0</v>
      </c>
      <c r="AI310" s="12">
        <f>AI273-AH273</f>
        <v>0</v>
      </c>
      <c r="AJ310" s="12">
        <f>AJ273-AI273</f>
        <v>0</v>
      </c>
      <c r="AK310" s="12">
        <f>AK273-AJ273</f>
        <v>0</v>
      </c>
      <c r="AL310" s="12">
        <f>SUM(AH310:AK310)</f>
        <v>0</v>
      </c>
      <c r="AM310" s="12">
        <f>AM273-AL273</f>
        <v>0</v>
      </c>
      <c r="AN310" s="12">
        <f>AN273-AM273</f>
        <v>0</v>
      </c>
      <c r="AO310" s="12">
        <f>AO273-AN273</f>
        <v>0</v>
      </c>
      <c r="AP310" s="12">
        <f>AP273-AO273</f>
        <v>0</v>
      </c>
      <c r="AQ310" s="12">
        <f>SUM(AM310:AP310)</f>
        <v>0</v>
      </c>
      <c r="AR310" s="12">
        <f>AR273-AQ273</f>
        <v>0</v>
      </c>
      <c r="AS310" s="12">
        <f>AS273-AR273</f>
        <v>0</v>
      </c>
      <c r="AT310" s="12">
        <f>AT273-AS273</f>
        <v>0</v>
      </c>
      <c r="AU310" s="12">
        <f>AU273-AT273</f>
        <v>0</v>
      </c>
      <c r="AV310" s="12">
        <f>SUM(AR310:AU310)</f>
        <v>0</v>
      </c>
      <c r="AW310" s="12">
        <f>AW273-AV273</f>
        <v>0</v>
      </c>
      <c r="AX310" s="12">
        <f>AX273-AW273</f>
        <v>0</v>
      </c>
      <c r="AY310" s="12">
        <f>AY273-AX273</f>
        <v>0</v>
      </c>
      <c r="AZ310" s="12">
        <f>AZ273-AY273</f>
        <v>0</v>
      </c>
      <c r="BA310" s="12">
        <f>SUM(AW310:AZ310)</f>
        <v>0</v>
      </c>
      <c r="BB310" s="12">
        <f>BB273-BA273</f>
        <v>0</v>
      </c>
      <c r="BC310" s="12">
        <f>BC273-BB273</f>
        <v>0</v>
      </c>
      <c r="BD310" s="12">
        <f>BD273-BC273</f>
        <v>0</v>
      </c>
      <c r="BE310" s="12">
        <f>BE273-BD273</f>
        <v>0</v>
      </c>
      <c r="BF310" s="12">
        <f>SUM(BB310:BE310)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inlineStr">
        <is>
          <t>Comprehensive accumulated loss</t>
        </is>
      </c>
      <c r="D311" s="12" t="n"/>
      <c r="E311" s="12" t="n"/>
      <c r="F311" s="12" t="n"/>
      <c r="G311" s="12" t="n"/>
      <c r="H311" s="12" t="n"/>
      <c r="I311" s="12" t="n"/>
      <c r="J311" s="12">
        <f>J274-I274</f>
        <v>-20</v>
      </c>
      <c r="K311" s="12">
        <f>K274-J274</f>
        <v>-221</v>
      </c>
      <c r="L311" s="12">
        <f>L274-K274</f>
        <v>-220</v>
      </c>
      <c r="M311" s="12" t="n"/>
      <c r="N311" s="12">
        <f>N274-M274</f>
        <v>-62</v>
      </c>
      <c r="O311" s="12">
        <f>O274-N274</f>
        <v>-14</v>
      </c>
      <c r="P311" s="12">
        <f>P274-O274</f>
        <v>-273</v>
      </c>
      <c r="Q311" s="12">
        <f>Q274-P274</f>
        <v>188</v>
      </c>
      <c r="R311" s="12">
        <f>SUM(N311:Q311)</f>
        <v>-161</v>
      </c>
      <c r="S311" s="12">
        <f>S274-R274</f>
        <v>83</v>
      </c>
      <c r="T311" s="12">
        <f>T274-S274</f>
        <v>172</v>
      </c>
      <c r="U311" s="12">
        <f>U274-T274</f>
        <v>25</v>
      </c>
      <c r="V311" s="12">
        <f>V274-U274</f>
        <v>70</v>
      </c>
      <c r="W311" s="12">
        <f>SUM(S311:V311)</f>
        <v>350</v>
      </c>
      <c r="X311" s="12">
        <f>X274-W274</f>
        <v>-39</v>
      </c>
      <c r="Y311" s="12">
        <f>Y274-X274</f>
        <v>34</v>
      </c>
      <c r="Z311" s="12">
        <f>Z274-Y274</f>
        <v>104</v>
      </c>
      <c r="AA311" s="12">
        <f>AA274-Z274</f>
        <v>-191</v>
      </c>
      <c r="AB311" s="12">
        <f>SUM(X311:AA311)</f>
        <v>-92</v>
      </c>
      <c r="AC311" s="12">
        <f>AC274-AB274</f>
        <v>-74</v>
      </c>
      <c r="AD311" s="12">
        <f>AD274-AC274</f>
        <v>418</v>
      </c>
      <c r="AE311" s="12">
        <f>AE274-AD274</f>
        <v>5</v>
      </c>
      <c r="AF311" s="12">
        <f>AF274-AE274</f>
        <v>-101</v>
      </c>
      <c r="AG311" s="12">
        <f>SUM(AC311:AF311)</f>
        <v>248</v>
      </c>
      <c r="AH311" s="12">
        <f>AH274-AG274</f>
        <v>-6</v>
      </c>
      <c r="AI311" s="12">
        <f>AI274-AH274</f>
        <v>-103</v>
      </c>
      <c r="AJ311" s="12">
        <f>AJ274-AI274</f>
        <v>0</v>
      </c>
      <c r="AK311" s="12">
        <f>AK274-AJ274</f>
        <v>0</v>
      </c>
      <c r="AL311" s="12">
        <f>SUM(AH311:AK311)</f>
        <v>-109</v>
      </c>
      <c r="AM311" s="12">
        <f>AM274-AL274</f>
        <v>0</v>
      </c>
      <c r="AN311" s="12">
        <f>AN274-AM274</f>
        <v>0</v>
      </c>
      <c r="AO311" s="12">
        <f>AO274-AN274</f>
        <v>0</v>
      </c>
      <c r="AP311" s="12">
        <f>AP274-AO274</f>
        <v>0</v>
      </c>
      <c r="AQ311" s="12">
        <f>SUM(AM311:AP311)</f>
        <v>0</v>
      </c>
      <c r="AR311" s="12">
        <f>AR274-AQ274</f>
        <v>0</v>
      </c>
      <c r="AS311" s="12">
        <f>AS274-AR274</f>
        <v>0</v>
      </c>
      <c r="AT311" s="12">
        <f>AT274-AS274</f>
        <v>0</v>
      </c>
      <c r="AU311" s="12">
        <f>AU274-AT274</f>
        <v>0</v>
      </c>
      <c r="AV311" s="12">
        <f>SUM(AR311:AU311)</f>
        <v>0</v>
      </c>
      <c r="AW311" s="12">
        <f>AW274-AV274</f>
        <v>0</v>
      </c>
      <c r="AX311" s="12">
        <f>AX274-AW274</f>
        <v>0</v>
      </c>
      <c r="AY311" s="12">
        <f>AY274-AX274</f>
        <v>0</v>
      </c>
      <c r="AZ311" s="12">
        <f>AZ274-AY274</f>
        <v>0</v>
      </c>
      <c r="BA311" s="12">
        <f>SUM(AW311:AZ311)</f>
        <v>0</v>
      </c>
      <c r="BB311" s="12">
        <f>BB274-BA274</f>
        <v>0</v>
      </c>
      <c r="BC311" s="12">
        <f>BC274-BB274</f>
        <v>0</v>
      </c>
      <c r="BD311" s="12">
        <f>BD274-BC274</f>
        <v>0</v>
      </c>
      <c r="BE311" s="12">
        <f>BE274-BD274</f>
        <v>0</v>
      </c>
      <c r="BF311" s="12">
        <f>SUM(BB311:BE311)</f>
        <v>0</v>
      </c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 equity account</t>
        </is>
      </c>
      <c r="D312" s="12" t="n"/>
      <c r="E312" s="12" t="n"/>
      <c r="F312" s="12" t="n"/>
      <c r="G312" s="12" t="n"/>
      <c r="H312" s="12" t="n"/>
      <c r="I312" s="12" t="n"/>
      <c r="J312" s="12">
        <f>J275-I275</f>
        <v>0</v>
      </c>
      <c r="K312" s="12">
        <f>K275-J275</f>
        <v>0</v>
      </c>
      <c r="L312" s="12">
        <f>L275-K275</f>
        <v>0</v>
      </c>
      <c r="M312" s="12" t="n"/>
      <c r="N312" s="12">
        <f>N275-M275</f>
        <v>0</v>
      </c>
      <c r="O312" s="12">
        <f>O275-N275</f>
        <v>0</v>
      </c>
      <c r="P312" s="12">
        <f>P275-O275</f>
        <v>0</v>
      </c>
      <c r="Q312" s="12">
        <f>Q275-P275</f>
        <v>0</v>
      </c>
      <c r="R312" s="12">
        <f>SUM(N312:Q312)</f>
        <v>0</v>
      </c>
      <c r="S312" s="12">
        <f>S275-R275</f>
        <v>0</v>
      </c>
      <c r="T312" s="12">
        <f>T275-S275</f>
        <v>0</v>
      </c>
      <c r="U312" s="12">
        <f>U275-T275</f>
        <v>0</v>
      </c>
      <c r="V312" s="12">
        <f>V275-U275</f>
        <v>0</v>
      </c>
      <c r="W312" s="12">
        <f>SUM(S312:V312)</f>
        <v>0</v>
      </c>
      <c r="X312" s="12">
        <f>X275-W275</f>
        <v>0</v>
      </c>
      <c r="Y312" s="12">
        <f>Y275-X275</f>
        <v>0</v>
      </c>
      <c r="Z312" s="12">
        <f>Z275-Y275</f>
        <v>0</v>
      </c>
      <c r="AA312" s="12">
        <f>AA275-Z275</f>
        <v>0</v>
      </c>
      <c r="AB312" s="12">
        <f>SUM(X312:AA312)</f>
        <v>0</v>
      </c>
      <c r="AC312" s="12">
        <f>AC275-AB275</f>
        <v>0</v>
      </c>
      <c r="AD312" s="12">
        <f>AD275-AC275</f>
        <v>0</v>
      </c>
      <c r="AE312" s="12">
        <f>AE275-AD275</f>
        <v>0</v>
      </c>
      <c r="AF312" s="12">
        <f>AF275-AE275</f>
        <v>0</v>
      </c>
      <c r="AG312" s="12">
        <f>SUM(AC312:AF312)</f>
        <v>0</v>
      </c>
      <c r="AH312" s="12">
        <f>AH275-AG275</f>
        <v>4954</v>
      </c>
      <c r="AI312" s="12">
        <f>AI275-AH275</f>
        <v>0</v>
      </c>
      <c r="AJ312" s="12">
        <f>AJ275-AI275</f>
        <v>0</v>
      </c>
      <c r="AK312" s="12">
        <f>AK275-AJ275</f>
        <v>0</v>
      </c>
      <c r="AL312" s="12">
        <f>SUM(AH312:AK312)</f>
        <v>4954</v>
      </c>
      <c r="AM312" s="12">
        <f>AM275-AL275</f>
        <v>0</v>
      </c>
      <c r="AN312" s="12">
        <f>AN275-AM275</f>
        <v>0</v>
      </c>
      <c r="AO312" s="12">
        <f>AO275-AN275</f>
        <v>0</v>
      </c>
      <c r="AP312" s="12">
        <f>AP275-AO275</f>
        <v>0</v>
      </c>
      <c r="AQ312" s="12">
        <f>SUM(AM312:AP312)</f>
        <v>0</v>
      </c>
      <c r="AR312" s="12">
        <f>AR275-AQ275</f>
        <v>0</v>
      </c>
      <c r="AS312" s="12">
        <f>AS275-AR275</f>
        <v>0</v>
      </c>
      <c r="AT312" s="12">
        <f>AT275-AS275</f>
        <v>0</v>
      </c>
      <c r="AU312" s="12">
        <f>AU275-AT275</f>
        <v>0</v>
      </c>
      <c r="AV312" s="12">
        <f>SUM(AR312:AU312)</f>
        <v>0</v>
      </c>
      <c r="AW312" s="12">
        <f>AW275-AV275</f>
        <v>0</v>
      </c>
      <c r="AX312" s="12">
        <f>AX275-AW275</f>
        <v>0</v>
      </c>
      <c r="AY312" s="12">
        <f>AY275-AX275</f>
        <v>0</v>
      </c>
      <c r="AZ312" s="12">
        <f>AZ275-AY275</f>
        <v>0</v>
      </c>
      <c r="BA312" s="12">
        <f>SUM(AW312:AZ312)</f>
        <v>0</v>
      </c>
      <c r="BB312" s="12">
        <f>BB275-BA275</f>
        <v>0</v>
      </c>
      <c r="BC312" s="12">
        <f>BC275-BB275</f>
        <v>0</v>
      </c>
      <c r="BD312" s="12">
        <f>BD275-BC275</f>
        <v>0</v>
      </c>
      <c r="BE312" s="12">
        <f>BE275-BD275</f>
        <v>0</v>
      </c>
      <c r="BF312" s="12">
        <f>SUM(BB312:BE312)</f>
        <v>0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0" t="inlineStr">
        <is>
          <t>Common and preferred dividends</t>
        </is>
      </c>
      <c r="D313" s="12" t="n"/>
      <c r="E313" s="12" t="n"/>
      <c r="F313" s="12" t="n"/>
      <c r="G313" s="12" t="n"/>
      <c r="H313" s="12" t="n"/>
      <c r="I313" s="12" t="n"/>
      <c r="J313" s="12">
        <f>(J276-I276)-J283</f>
        <v>-7946</v>
      </c>
      <c r="K313" s="12">
        <f>(K276-J276)-K283</f>
        <v>-8016</v>
      </c>
      <c r="L313" s="12">
        <f>(L276-K276)-L283</f>
        <v>-7150</v>
      </c>
      <c r="M313" s="12" t="n"/>
      <c r="N313" s="12">
        <f>(N276-M276)-N283</f>
        <v>-1390</v>
      </c>
      <c r="O313" s="12">
        <f>(O276-N276)-O283</f>
        <v>-1378</v>
      </c>
      <c r="P313" s="12">
        <f>(P276-O276)-P283</f>
        <v>-1346</v>
      </c>
      <c r="Q313" s="12">
        <f>(Q276-P276)-Q283</f>
        <v>-1224</v>
      </c>
      <c r="R313" s="12">
        <f>SUM(N313:Q313)</f>
        <v>-5338</v>
      </c>
      <c r="S313" s="12">
        <f>(S276-R276)-S283</f>
        <v>-1000</v>
      </c>
      <c r="T313" s="12">
        <f>(T276-S276)-T283</f>
        <v>-1218</v>
      </c>
      <c r="U313" s="12">
        <f>(U276-T276)-U283</f>
        <v>-1228</v>
      </c>
      <c r="V313" s="12">
        <f>(V276-U276)-V283</f>
        <v>-1506</v>
      </c>
      <c r="W313" s="12">
        <f>SUM(S313:V313)</f>
        <v>-4952</v>
      </c>
      <c r="X313" s="12">
        <f>(X276-W276)-X283</f>
        <v>-1503</v>
      </c>
      <c r="Y313" s="12">
        <f>(Y276-X276)-Y283</f>
        <v>-1239</v>
      </c>
      <c r="Z313" s="12">
        <f>(Z276-Y276)-Z283</f>
        <v>-1240</v>
      </c>
      <c r="AA313" s="12">
        <f>(AA276-Z276)-AA283</f>
        <v>-1257</v>
      </c>
      <c r="AB313" s="12">
        <f>SUM(X313:AA313)</f>
        <v>-5239</v>
      </c>
      <c r="AC313" s="12">
        <f>(AC276-AB276)-AC283</f>
        <v>-1259</v>
      </c>
      <c r="AD313" s="12">
        <f>(AD276-AC276)-AD283</f>
        <v>-1540</v>
      </c>
      <c r="AE313" s="12">
        <f>(AE276-AD276)-AE283</f>
        <v>-1500</v>
      </c>
      <c r="AF313" s="12">
        <f>(AF276-AE276)-AF283</f>
        <v>-1436</v>
      </c>
      <c r="AG313" s="12">
        <f>SUM(AC313:AF313)</f>
        <v>-5735</v>
      </c>
      <c r="AH313" s="12">
        <f>(AH276-AG276)-AH283</f>
        <v>-1458</v>
      </c>
      <c r="AI313" s="12">
        <f>(AI276-AH276)-AI283</f>
        <v>-1521</v>
      </c>
      <c r="AJ313" s="12">
        <f>(AJ276-AI276)-AJ283</f>
        <v>0</v>
      </c>
      <c r="AK313" s="12">
        <f>(AK276-AJ276)-AK283</f>
        <v>0</v>
      </c>
      <c r="AL313" s="12">
        <f>SUM(AH313:AK313)</f>
        <v>-2979</v>
      </c>
      <c r="AM313" s="12">
        <f>(AM276-AL276)-AM283</f>
        <v>0</v>
      </c>
      <c r="AN313" s="12">
        <f>(AN276-AM276)-AN283</f>
        <v>0</v>
      </c>
      <c r="AO313" s="12">
        <f>(AO276-AN276)-AO283</f>
        <v>0</v>
      </c>
      <c r="AP313" s="12">
        <f>(AP276-AO276)-AP283</f>
        <v>0</v>
      </c>
      <c r="AQ313" s="12">
        <f>SUM(AM313:AP313)</f>
        <v>0</v>
      </c>
      <c r="AR313" s="12">
        <f>(AR276-AQ276)-AR283</f>
        <v>0</v>
      </c>
      <c r="AS313" s="12">
        <f>(AS276-AR276)-AS283</f>
        <v>0</v>
      </c>
      <c r="AT313" s="12">
        <f>(AT276-AS276)-AT283</f>
        <v>0</v>
      </c>
      <c r="AU313" s="12">
        <f>(AU276-AT276)-AU283</f>
        <v>0</v>
      </c>
      <c r="AV313" s="12">
        <f>SUM(AR313:AU313)</f>
        <v>0</v>
      </c>
      <c r="AW313" s="12">
        <f>(AW276-AV276)-AW283</f>
        <v>0</v>
      </c>
      <c r="AX313" s="12">
        <f>(AX276-AW276)-AX283</f>
        <v>0</v>
      </c>
      <c r="AY313" s="12">
        <f>(AY276-AX276)-AY283</f>
        <v>0</v>
      </c>
      <c r="AZ313" s="12">
        <f>(AZ276-AY276)-AZ283</f>
        <v>0</v>
      </c>
      <c r="BA313" s="12">
        <f>SUM(AW313:AZ313)</f>
        <v>0</v>
      </c>
      <c r="BB313" s="12">
        <f>(BB276-BA276)-BB283</f>
        <v>0</v>
      </c>
      <c r="BC313" s="12">
        <f>(BC276-BB276)-BC283</f>
        <v>0</v>
      </c>
      <c r="BD313" s="12">
        <f>(BD276-BC276)-BD283</f>
        <v>0</v>
      </c>
      <c r="BE313" s="12">
        <f>(BE276-BD276)-BE283</f>
        <v>0</v>
      </c>
      <c r="BF313" s="12">
        <f>SUM(BB313:BE313)</f>
        <v>0</v>
      </c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Dividends to minority interests</t>
        </is>
      </c>
      <c r="D314" s="12" t="n"/>
      <c r="E314" s="12" t="n"/>
      <c r="F314" s="12" t="n"/>
      <c r="G314" s="12" t="n"/>
      <c r="H314" s="12" t="n"/>
      <c r="I314" s="12" t="n"/>
      <c r="J314" s="12">
        <f>(J254-I254)+J142</f>
        <v>-23</v>
      </c>
      <c r="K314" s="12">
        <f>(K254-J254)+K142</f>
        <v>-303</v>
      </c>
      <c r="L314" s="12">
        <f>(L254-K254)+L142</f>
        <v>32</v>
      </c>
      <c r="M314" s="12" t="n"/>
      <c r="N314" s="12">
        <f>(N254-M254)+N142</f>
        <v>42</v>
      </c>
      <c r="O314" s="12">
        <f>(O254-N254)+O142</f>
        <v>-33</v>
      </c>
      <c r="P314" s="12">
        <f>(P254-O254)+P142</f>
        <v>-26</v>
      </c>
      <c r="Q314" s="12">
        <f>(Q254-P254)+Q142</f>
        <v>44</v>
      </c>
      <c r="R314" s="12">
        <f>SUM(N314:Q314)</f>
        <v>27</v>
      </c>
      <c r="S314" s="12">
        <f>(S254-R254)+S142</f>
        <v>39</v>
      </c>
      <c r="T314" s="12">
        <f>(T254-S254)+T142</f>
        <v>-26</v>
      </c>
      <c r="U314" s="12">
        <f>(U254-T254)+U142</f>
        <v>-12</v>
      </c>
      <c r="V314" s="12">
        <f>(V254-U254)+V142</f>
        <v>41</v>
      </c>
      <c r="W314" s="12">
        <f>SUM(S314:V314)</f>
        <v>42</v>
      </c>
      <c r="X314" s="12">
        <f>(X254-W254)+X142</f>
        <v>47</v>
      </c>
      <c r="Y314" s="12">
        <f>(Y254-X254)+Y142</f>
        <v>-24</v>
      </c>
      <c r="Z314" s="12">
        <f>(Z254-Y254)+Z142</f>
        <v>-82</v>
      </c>
      <c r="AA314" s="12">
        <f>(AA254-Z254)+AA142</f>
        <v>37</v>
      </c>
      <c r="AB314" s="12">
        <f>SUM(X314:AA314)</f>
        <v>-22</v>
      </c>
      <c r="AC314" s="12">
        <f>(AC254-AB254)+AC142</f>
        <v>41</v>
      </c>
      <c r="AD314" s="12">
        <f>(AD254-AC254)+AD142</f>
        <v>-13</v>
      </c>
      <c r="AE314" s="12">
        <f>(AE254-AD254)+AE142</f>
        <v>-6</v>
      </c>
      <c r="AF314" s="12">
        <f>(AF254-AE254)+AF142</f>
        <v>-6</v>
      </c>
      <c r="AG314" s="12">
        <f>SUM(AC314:AF314)</f>
        <v>16</v>
      </c>
      <c r="AH314" s="12">
        <f>(AH254-AG254)+AH142</f>
        <v>50</v>
      </c>
      <c r="AI314" s="12">
        <f>(AI254-AH254)+AI142</f>
        <v>-8</v>
      </c>
      <c r="AJ314" s="12">
        <f>(AJ254-AI254)+AJ142</f>
        <v>0</v>
      </c>
      <c r="AK314" s="12">
        <f>(AK254-AJ254)+AK142</f>
        <v>0</v>
      </c>
      <c r="AL314" s="12">
        <f>SUM(AH314:AK314)</f>
        <v>42</v>
      </c>
      <c r="AM314" s="12">
        <f>(AM254-AL254)+AM142</f>
        <v>0</v>
      </c>
      <c r="AN314" s="12">
        <f>(AN254-AM254)+AN142</f>
        <v>0</v>
      </c>
      <c r="AO314" s="12">
        <f>(AO254-AN254)+AO142</f>
        <v>0</v>
      </c>
      <c r="AP314" s="12">
        <f>(AP254-AO254)+AP142</f>
        <v>0</v>
      </c>
      <c r="AQ314" s="12">
        <f>SUM(AM314:AP314)</f>
        <v>0</v>
      </c>
      <c r="AR314" s="12">
        <f>(AR254-AQ254)+AR142</f>
        <v>0</v>
      </c>
      <c r="AS314" s="12">
        <f>(AS254-AR254)+AS142</f>
        <v>0</v>
      </c>
      <c r="AT314" s="12">
        <f>(AT254-AS254)+AT142</f>
        <v>0</v>
      </c>
      <c r="AU314" s="12">
        <f>(AU254-AT254)+AU142</f>
        <v>0</v>
      </c>
      <c r="AV314" s="12">
        <f>SUM(AR314:AU314)</f>
        <v>0</v>
      </c>
      <c r="AW314" s="12">
        <f>(AW254-AV254)+AW142</f>
        <v>0</v>
      </c>
      <c r="AX314" s="12">
        <f>(AX254-AW254)+AX142</f>
        <v>0</v>
      </c>
      <c r="AY314" s="12">
        <f>(AY254-AX254)+AY142</f>
        <v>0</v>
      </c>
      <c r="AZ314" s="12">
        <f>(AZ254-AY254)+AZ142</f>
        <v>0</v>
      </c>
      <c r="BA314" s="12">
        <f>SUM(AW314:AZ314)</f>
        <v>0</v>
      </c>
      <c r="BB314" s="12">
        <f>(BB254-BA254)+BB142</f>
        <v>0</v>
      </c>
      <c r="BC314" s="12">
        <f>(BC254-BB254)+BC142</f>
        <v>0</v>
      </c>
      <c r="BD314" s="12">
        <f>(BD254-BC254)+BD142</f>
        <v>0</v>
      </c>
      <c r="BE314" s="12">
        <f>(BE254-BD254)+BE142</f>
        <v>0</v>
      </c>
      <c r="BF314" s="12">
        <f>SUM(BB314:BE314)</f>
        <v>0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15" t="inlineStr">
        <is>
          <t>Increases / (decreases) in debt</t>
        </is>
      </c>
      <c r="D315" s="12" t="n"/>
      <c r="E315" s="12" t="n"/>
      <c r="F315" s="12" t="n"/>
      <c r="G315" s="12" t="n"/>
      <c r="H315" s="12" t="n"/>
      <c r="I315" s="12" t="n"/>
      <c r="J315" s="12">
        <f>SUM(J218:J220,J223,J244,J241)-SUM(I218:I220,I223,I244,I241)</f>
        <v>0</v>
      </c>
      <c r="K315" s="12">
        <f>SUM(K218:K220,K223,K244,K241)-SUM(J218:J220,J223,J244,J241)</f>
        <v>0</v>
      </c>
      <c r="L315" s="12">
        <f>SUM(L218:L220,L223,L244,L241)-SUM(K218:K220,K223,K244,K241)</f>
        <v>0</v>
      </c>
      <c r="M315" s="12" t="n"/>
      <c r="N315" s="12">
        <f>SUM(N218:N220,N223,N244,N241)-SUM(M218:M220,M223,M244,M241)</f>
        <v>0</v>
      </c>
      <c r="O315" s="12">
        <f>SUM(O218:O220,O223,O244,O241)-SUM(N218:N220,N223,N244,N241)</f>
        <v>0</v>
      </c>
      <c r="P315" s="12">
        <f>SUM(P218:P220,P223,P244,P241)-SUM(O218:O220,O223,O244,O241)</f>
        <v>0</v>
      </c>
      <c r="Q315" s="12">
        <f>SUM(Q218:Q220,Q223,Q244,Q241)-SUM(P218:P220,P223,P244,P241)</f>
        <v>0</v>
      </c>
      <c r="R315" s="12">
        <f>SUM(N315:Q315)</f>
        <v>0</v>
      </c>
      <c r="S315" s="12">
        <f>SUM(S218:S220,S223,S244,S241)-SUM(R218:R220,R223,R244,R241)</f>
        <v>0</v>
      </c>
      <c r="T315" s="12">
        <f>SUM(T218:T220,T223,T244,T241)-SUM(S218:S220,S223,S244,S241)</f>
        <v>0</v>
      </c>
      <c r="U315" s="12">
        <f>SUM(U218:U220,U223,U244,U241)-SUM(T218:T220,T223,T244,T241)</f>
        <v>0</v>
      </c>
      <c r="V315" s="12">
        <f>SUM(V218:V220,V223,V244,V241)-SUM(U218:U220,U223,U244,U241)</f>
        <v>0</v>
      </c>
      <c r="W315" s="12">
        <f>SUM(S315:V315)</f>
        <v>0</v>
      </c>
      <c r="X315" s="12">
        <f>SUM(X218:X220,X223,X244,X241)-SUM(W218:W220,W223,W244,W241)</f>
        <v>0</v>
      </c>
      <c r="Y315" s="12">
        <f>SUM(Y218:Y220,Y223,Y244,Y241)-SUM(X218:X220,X223,X244,X241)</f>
        <v>0</v>
      </c>
      <c r="Z315" s="12">
        <f>SUM(Z218:Z220,Z223,Z244,Z241)-SUM(Y218:Y220,Y223,Y244,Y241)</f>
        <v>0</v>
      </c>
      <c r="AA315" s="12">
        <f>SUM(AA218:AA220,AA223,AA244,AA241)-SUM(Z218:Z220,Z223,Z244,Z241)</f>
        <v>0</v>
      </c>
      <c r="AB315" s="12">
        <f>SUM(X315:AA315)</f>
        <v>0</v>
      </c>
      <c r="AC315" s="12">
        <f>SUM(AC218:AC220,AC223,AC244,AC241)-SUM(AB218:AB220,AB223,AB244,AB241)</f>
        <v>0</v>
      </c>
      <c r="AD315" s="12">
        <f>SUM(AD218:AD220,AD223,AD244,AD241)-SUM(AC218:AC220,AC223,AC244,AC241)</f>
        <v>11536</v>
      </c>
      <c r="AE315" s="12">
        <f>SUM(AE218:AE220,AE223,AE244,AE241)-SUM(AD218:AD220,AD223,AD244,AD241)</f>
        <v>2558</v>
      </c>
      <c r="AF315" s="12">
        <f>SUM(AF218:AF220,AF223,AF244,AF241)-SUM(AE218:AE220,AE223,AE244,AE241)</f>
        <v>2217</v>
      </c>
      <c r="AG315" s="12">
        <f>SUM(AC315:AF315)</f>
        <v>16311</v>
      </c>
      <c r="AH315" s="12">
        <f>SUM(AH218:AH220,AH223,AH244,AH241)-SUM(AG218:AG220,AG223,AG244,AG241)</f>
        <v>2201</v>
      </c>
      <c r="AI315" s="12">
        <f>SUM(AI218:AI220,AI223,AI244,AI241)-SUM(AH218:AH220,AH223,AH244,AH241)</f>
        <v>8136</v>
      </c>
      <c r="AJ315" s="12">
        <f>SUM(AJ218:AJ220,AJ223,AJ244,AJ241)-SUM(AI218:AI220,AI223,AI244,AI241)</f>
        <v>0</v>
      </c>
      <c r="AK315" s="12">
        <f>SUM(AK218:AK220,AK223,AK244,AK241)-SUM(AJ218:AJ220,AJ223,AJ244,AJ241)</f>
        <v>0</v>
      </c>
      <c r="AL315" s="12">
        <f>SUM(AH315:AK315)</f>
        <v>10337</v>
      </c>
      <c r="AM315" s="12">
        <f>SUM(AM218:AM220,AM223,AM244,AM241)-SUM(AL218:AL220,AL223,AL244,AL241)</f>
        <v>0</v>
      </c>
      <c r="AN315" s="12">
        <f>SUM(AN218:AN220,AN223,AN244,AN241)-SUM(AM218:AM220,AM223,AM244,AM241)</f>
        <v>0</v>
      </c>
      <c r="AO315" s="12">
        <f>SUM(AO218:AO220,AO223,AO244,AO241)-SUM(AN218:AN220,AN223,AN244,AN241)</f>
        <v>0</v>
      </c>
      <c r="AP315" s="12">
        <f>SUM(AP218:AP220,AP223,AP244,AP241)-SUM(AO218:AO220,AO223,AO244,AO241)</f>
        <v>0</v>
      </c>
      <c r="AQ315" s="12">
        <f>SUM(AM315:AP315)</f>
        <v>0</v>
      </c>
      <c r="AR315" s="12">
        <f>SUM(AR218:AR220,AR223,AR244,AR241)-SUM(AQ218:AQ220,AQ223,AQ244,AQ241)</f>
        <v>0</v>
      </c>
      <c r="AS315" s="12">
        <f>SUM(AS218:AS220,AS223,AS244,AS241)-SUM(AR218:AR220,AR223,AR244,AR241)</f>
        <v>0</v>
      </c>
      <c r="AT315" s="12">
        <f>SUM(AT218:AT220,AT223,AT244,AT241)-SUM(AS218:AS220,AS223,AS244,AS241)</f>
        <v>0</v>
      </c>
      <c r="AU315" s="12">
        <f>SUM(AU218:AU220,AU223,AU244,AU241)-SUM(AT218:AT220,AT223,AT244,AT241)</f>
        <v>0</v>
      </c>
      <c r="AV315" s="12">
        <f>SUM(AR315:AU315)</f>
        <v>0</v>
      </c>
      <c r="AW315" s="12">
        <f>SUM(AW218:AW220,AW223,AW244,AW241)-SUM(AV218:AV220,AV223,AV244,AV241)</f>
        <v>0</v>
      </c>
      <c r="AX315" s="12">
        <f>SUM(AX218:AX220,AX223,AX244,AX241)-SUM(AW218:AW220,AW223,AW244,AW241)</f>
        <v>0</v>
      </c>
      <c r="AY315" s="12">
        <f>SUM(AY218:AY220,AY223,AY244,AY241)-SUM(AX218:AX220,AX223,AX244,AX241)</f>
        <v>0</v>
      </c>
      <c r="AZ315" s="12">
        <f>SUM(AZ218:AZ220,AZ223,AZ244,AZ241)-SUM(AY218:AY220,AY223,AY244,AY241)</f>
        <v>0</v>
      </c>
      <c r="BA315" s="12">
        <f>SUM(AW315:AZ315)</f>
        <v>0</v>
      </c>
      <c r="BB315" s="12">
        <f>SUM(BB218:BB220,BB223,BB244,BB241)-SUM(BA218:BA220,BA223,BA244,BA241)</f>
        <v>0</v>
      </c>
      <c r="BC315" s="12">
        <f>SUM(BC218:BC220,BC223,BC244,BC241)-SUM(BB218:BB220,BB223,BB244,BB241)</f>
        <v>0</v>
      </c>
      <c r="BD315" s="12">
        <f>SUM(BD218:BD220,BD223,BD244,BD241)-SUM(BC218:BC220,BC223,BC244,BC241)</f>
        <v>0</v>
      </c>
      <c r="BE315" s="12">
        <f>SUM(BE218:BE220,BE223,BE244,BE241)-SUM(BD218:BD220,BD223,BD244,BD241)</f>
        <v>0</v>
      </c>
      <c r="BF315" s="12">
        <f>SUM(BB315:BE315)</f>
        <v>0</v>
      </c>
      <c r="BG315" s="12" t="n"/>
      <c r="BH315" s="12" t="n"/>
      <c r="BI315" s="12" t="n"/>
      <c r="BJ315" s="12" t="n"/>
      <c r="BK315" s="12" t="n"/>
      <c r="BL315" s="12" t="n"/>
      <c r="BM315" s="12" t="n"/>
      <c r="BN315" s="12" t="n"/>
      <c r="BO315" s="12" t="n"/>
      <c r="BP315" s="12" t="n"/>
      <c r="BQ315" s="12" t="n"/>
      <c r="BR315" s="12" t="n"/>
      <c r="BS315" s="12" t="n"/>
      <c r="BT315" s="12" t="n"/>
      <c r="BU315" s="12" t="n"/>
      <c r="BV315" s="12" t="n"/>
      <c r="BW315" s="12" t="n"/>
      <c r="BX315" s="12" t="n"/>
      <c r="BY315" s="12" t="n"/>
      <c r="BZ315" s="12" t="n"/>
      <c r="CA315" s="12" t="n"/>
      <c r="CB315" s="12" t="n"/>
      <c r="CC315" s="12" t="n"/>
      <c r="CD315" s="12" t="n"/>
      <c r="CE315" s="12" t="n"/>
      <c r="CF315" s="12" t="n"/>
      <c r="CG315" s="12" t="n"/>
      <c r="CH315" s="12" t="n"/>
      <c r="CI315" s="12" t="n"/>
      <c r="CJ315" s="12" t="n"/>
      <c r="CK315" s="12" t="n"/>
      <c r="CL315" s="12" t="n"/>
      <c r="CM315" s="12" t="n"/>
      <c r="CN315" s="12" t="n"/>
      <c r="CO315" s="12" t="n"/>
      <c r="CP315" s="12" t="n"/>
      <c r="CQ315" s="12" t="n"/>
      <c r="CR315" s="12" t="n"/>
      <c r="CS315" s="12" t="n"/>
      <c r="CT315" s="12" t="n"/>
      <c r="CU315" s="12" t="n"/>
      <c r="CV315" s="12" t="n"/>
      <c r="CW315" s="12" t="n"/>
      <c r="CX315" s="12" t="n"/>
      <c r="CY315" s="12" t="n"/>
      <c r="CZ315" s="12" t="n"/>
      <c r="DA315" s="12" t="n"/>
      <c r="DB315" s="12" t="n"/>
      <c r="DC315" s="12" t="n"/>
    </row>
    <row r="316">
      <c r="C316" s="14" t="inlineStr">
        <is>
          <t>Cash from financing</t>
        </is>
      </c>
      <c r="D316" s="12" t="n"/>
      <c r="E316" s="12" t="n"/>
      <c r="F316" s="12" t="n"/>
      <c r="G316" s="12" t="n"/>
      <c r="H316" s="12" t="n"/>
      <c r="I316" s="12" t="n"/>
      <c r="J316" s="12">
        <f>SUM(J308,J309,J310,J311,J312,J313,J314,J315)</f>
        <v>-7717</v>
      </c>
      <c r="K316" s="12">
        <f>SUM(K308,K309,K310,K311,K312,K313,K314,K315)</f>
        <v>-9539</v>
      </c>
      <c r="L316" s="12">
        <f>SUM(L308,L309,L310,L311,L312,L313,L314,L315)</f>
        <v>-7281</v>
      </c>
      <c r="M316" s="12" t="n"/>
      <c r="N316" s="12">
        <f>SUM(N308,N309,N310,N311,N312,N313,N314,N315)</f>
        <v>-872</v>
      </c>
      <c r="O316" s="12">
        <f>SUM(O308,O309,O310,O311,O312,O313,O314,O315)</f>
        <v>-746</v>
      </c>
      <c r="P316" s="12">
        <f>SUM(P308,P309,P310,P311,P312,P313,P314,P315)</f>
        <v>-1229</v>
      </c>
      <c r="Q316" s="12">
        <f>SUM(Q308,Q309,Q310,Q311,Q312,Q313,Q314,Q315)</f>
        <v>-68</v>
      </c>
      <c r="R316" s="12">
        <f>SUM(R308,R309,R310,R311,R312,R313,R314,R315)</f>
        <v>-2915</v>
      </c>
      <c r="S316" s="12">
        <f>SUM(S308,S309,S310,S311,S312,S313,S314,S315)</f>
        <v>-32</v>
      </c>
      <c r="T316" s="12">
        <f>SUM(T308,T309,T310,T311,T312,T313,T314,T315)</f>
        <v>149</v>
      </c>
      <c r="U316" s="12">
        <f>SUM(U308,U309,U310,U311,U312,U313,U314,U315)</f>
        <v>-1135</v>
      </c>
      <c r="V316" s="12">
        <f>SUM(V308,V309,V310,V311,V312,V313,V314,V315)</f>
        <v>-966</v>
      </c>
      <c r="W316" s="12">
        <f>SUM(W308,W309,W310,W311,W312,W313,W314,W315)</f>
        <v>-1984</v>
      </c>
      <c r="X316" s="12">
        <f>SUM(X308,X309,X310,X311,X312,X313,X314,X315)</f>
        <v>-597</v>
      </c>
      <c r="Y316" s="12">
        <f>SUM(Y308,Y309,Y310,Y311,Y312,Y313,Y314,Y315)</f>
        <v>-87</v>
      </c>
      <c r="Z316" s="12">
        <f>SUM(Z308,Z309,Z310,Z311,Z312,Z313,Z314,Z315)</f>
        <v>-899</v>
      </c>
      <c r="AA316" s="12">
        <f>SUM(AA308,AA309,AA310,AA311,AA312,AA313,AA314,AA315)</f>
        <v>-184</v>
      </c>
      <c r="AB316" s="12">
        <f>SUM(AB308,AB309,AB310,AB311,AB312,AB313,AB314,AB315)</f>
        <v>-1767</v>
      </c>
      <c r="AC316" s="12">
        <f>SUM(AC308,AC309,AC310,AC311,AC312,AC313,AC314,AC315)</f>
        <v>89</v>
      </c>
      <c r="AD316" s="12">
        <f>SUM(AD308,AD309,AD310,AD311,AD312,AD313,AD314,AD315)</f>
        <v>11817</v>
      </c>
      <c r="AE316" s="12">
        <f>SUM(AE308,AE309,AE310,AE311,AE312,AE313,AE314,AE315)</f>
        <v>3328</v>
      </c>
      <c r="AF316" s="12">
        <f>SUM(AF308,AF309,AF310,AF311,AF312,AF313,AF314,AF315)</f>
        <v>1873</v>
      </c>
      <c r="AG316" s="12">
        <f>SUM(AG308,AG309,AG310,AG311,AG312,AG313,AG314,AG315)</f>
        <v>17107</v>
      </c>
      <c r="AH316" s="12">
        <f>SUM(AH308,AH309,AH310,AH311,AH312,AH313,AH314,AH315)</f>
        <v>7074</v>
      </c>
      <c r="AI316" s="12">
        <f>SUM(AI308,AI309,AI310,AI311,AI312,AI313,AI314,AI315)</f>
        <v>7837</v>
      </c>
      <c r="AJ316" s="12">
        <f>SUM(AJ308,AJ309,AJ310,AJ311,AJ312,AJ313,AJ314,AJ315)</f>
        <v>0</v>
      </c>
      <c r="AK316" s="12">
        <f>SUM(AK308,AK309,AK310,AK311,AK312,AK313,AK314,AK315)</f>
        <v>0</v>
      </c>
      <c r="AL316" s="12">
        <f>SUM(AL308,AL309,AL310,AL311,AL312,AL313,AL314,AL315)</f>
        <v>14911</v>
      </c>
      <c r="AM316" s="12">
        <f>SUM(AM308,AM309,AM310,AM311,AM312,AM313,AM314,AM315)</f>
        <v>0</v>
      </c>
      <c r="AN316" s="12">
        <f>SUM(AN308,AN309,AN310,AN311,AN312,AN313,AN314,AN315)</f>
        <v>0</v>
      </c>
      <c r="AO316" s="12">
        <f>SUM(AO308,AO309,AO310,AO311,AO312,AO313,AO314,AO315)</f>
        <v>0</v>
      </c>
      <c r="AP316" s="12">
        <f>SUM(AP308,AP309,AP310,AP311,AP312,AP313,AP314,AP315)</f>
        <v>0</v>
      </c>
      <c r="AQ316" s="12">
        <f>SUM(AQ308,AQ309,AQ310,AQ311,AQ312,AQ313,AQ314,AQ315)</f>
        <v>0</v>
      </c>
      <c r="AR316" s="12">
        <f>SUM(AR308,AR309,AR310,AR311,AR312,AR313,AR314,AR315)</f>
        <v>0</v>
      </c>
      <c r="AS316" s="12">
        <f>SUM(AS308,AS309,AS310,AS311,AS312,AS313,AS314,AS315)</f>
        <v>0</v>
      </c>
      <c r="AT316" s="12">
        <f>SUM(AT308,AT309,AT310,AT311,AT312,AT313,AT314,AT315)</f>
        <v>0</v>
      </c>
      <c r="AU316" s="12">
        <f>SUM(AU308,AU309,AU310,AU311,AU312,AU313,AU314,AU315)</f>
        <v>0</v>
      </c>
      <c r="AV316" s="12">
        <f>SUM(AV308,AV309,AV310,AV311,AV312,AV313,AV314,AV315)</f>
        <v>0</v>
      </c>
      <c r="AW316" s="12">
        <f>SUM(AW308,AW309,AW310,AW311,AW312,AW313,AW314,AW315)</f>
        <v>0</v>
      </c>
      <c r="AX316" s="12">
        <f>SUM(AX308,AX309,AX310,AX311,AX312,AX313,AX314,AX315)</f>
        <v>0</v>
      </c>
      <c r="AY316" s="12">
        <f>SUM(AY308,AY309,AY310,AY311,AY312,AY313,AY314,AY315)</f>
        <v>0</v>
      </c>
      <c r="AZ316" s="12">
        <f>SUM(AZ308,AZ309,AZ310,AZ311,AZ312,AZ313,AZ314,AZ315)</f>
        <v>0</v>
      </c>
      <c r="BA316" s="12">
        <f>SUM(BA308,BA309,BA310,BA311,BA312,BA313,BA314,BA315)</f>
        <v>0</v>
      </c>
      <c r="BB316" s="12">
        <f>SUM(BB308,BB309,BB310,BB311,BB312,BB313,BB314,BB315)</f>
        <v>0</v>
      </c>
      <c r="BC316" s="12">
        <f>SUM(BC308,BC309,BC310,BC311,BC312,BC313,BC314,BC315)</f>
        <v>0</v>
      </c>
      <c r="BD316" s="12">
        <f>SUM(BD308,BD309,BD310,BD311,BD312,BD313,BD314,BD315)</f>
        <v>0</v>
      </c>
      <c r="BE316" s="12">
        <f>SUM(BE308,BE309,BE310,BE311,BE312,BE313,BE314,BE315)</f>
        <v>0</v>
      </c>
      <c r="BF316" s="12">
        <f>SUM(BF308,BF309,BF310,BF311,BF312,BF313,BF314,BF315)</f>
        <v>0</v>
      </c>
      <c r="BG316" s="12" t="n"/>
      <c r="BH316" s="12" t="n"/>
      <c r="BI316" s="12" t="n"/>
      <c r="BJ316" s="12" t="n"/>
      <c r="BK316" s="12" t="n"/>
      <c r="BL316" s="12" t="n"/>
      <c r="BM316" s="12" t="n"/>
      <c r="BN316" s="12" t="n"/>
      <c r="BO316" s="12" t="n"/>
      <c r="BP316" s="12" t="n"/>
      <c r="BQ316" s="12" t="n"/>
      <c r="BR316" s="12" t="n"/>
      <c r="BS316" s="12" t="n"/>
      <c r="BT316" s="12" t="n"/>
      <c r="BU316" s="12" t="n"/>
      <c r="BV316" s="12" t="n"/>
      <c r="BW316" s="12" t="n"/>
      <c r="BX316" s="12" t="n"/>
      <c r="BY316" s="12" t="n"/>
      <c r="BZ316" s="12" t="n"/>
      <c r="CA316" s="12" t="n"/>
      <c r="CB316" s="12" t="n"/>
      <c r="CC316" s="12" t="n"/>
      <c r="CD316" s="12" t="n"/>
      <c r="CE316" s="12" t="n"/>
      <c r="CF316" s="12" t="n"/>
      <c r="CG316" s="12" t="n"/>
      <c r="CH316" s="12" t="n"/>
      <c r="CI316" s="12" t="n"/>
      <c r="CJ316" s="12" t="n"/>
      <c r="CK316" s="12" t="n"/>
      <c r="CL316" s="12" t="n"/>
      <c r="CM316" s="12" t="n"/>
      <c r="CN316" s="12" t="n"/>
      <c r="CO316" s="12" t="n"/>
      <c r="CP316" s="12" t="n"/>
      <c r="CQ316" s="12" t="n"/>
      <c r="CR316" s="12" t="n"/>
      <c r="CS316" s="12" t="n"/>
      <c r="CT316" s="12" t="n"/>
      <c r="CU316" s="12" t="n"/>
      <c r="CV316" s="12" t="n"/>
      <c r="CW316" s="12" t="n"/>
      <c r="CX316" s="12" t="n"/>
      <c r="CY316" s="12" t="n"/>
    </row>
    <row r="317">
      <c r="C317" s="14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  <c r="BG317" s="12" t="n"/>
      <c r="BH317" s="12" t="n"/>
      <c r="BI317" s="12" t="n"/>
      <c r="BJ317" s="12" t="n"/>
      <c r="BK317" s="12" t="n"/>
      <c r="BL317" s="12" t="n"/>
      <c r="BM317" s="12" t="n"/>
      <c r="BN317" s="12" t="n"/>
      <c r="BO317" s="12" t="n"/>
      <c r="BP317" s="12" t="n"/>
      <c r="BQ317" s="12" t="n"/>
      <c r="BR317" s="12" t="n"/>
      <c r="BS317" s="12" t="n"/>
      <c r="BT317" s="12" t="n"/>
      <c r="BU317" s="12" t="n"/>
      <c r="BV317" s="12" t="n"/>
      <c r="BW317" s="12" t="n"/>
      <c r="BX317" s="12" t="n"/>
      <c r="BY317" s="12" t="n"/>
      <c r="BZ317" s="12" t="n"/>
      <c r="CA317" s="12" t="n"/>
      <c r="CB317" s="12" t="n"/>
      <c r="CC317" s="12" t="n"/>
      <c r="CD317" s="12" t="n"/>
      <c r="CE317" s="12" t="n"/>
      <c r="CF317" s="12" t="n"/>
      <c r="CG317" s="12" t="n"/>
      <c r="CH317" s="12" t="n"/>
      <c r="CI317" s="12" t="n"/>
      <c r="CJ317" s="12" t="n"/>
      <c r="CK317" s="12" t="n"/>
      <c r="CL317" s="12" t="n"/>
      <c r="CM317" s="12" t="n"/>
      <c r="CN317" s="12" t="n"/>
      <c r="CO317" s="12" t="n"/>
      <c r="CP317" s="12" t="n"/>
      <c r="CQ317" s="12" t="n"/>
      <c r="CR317" s="12" t="n"/>
      <c r="CS317" s="12" t="n"/>
      <c r="CT317" s="12" t="n"/>
      <c r="CU317" s="12" t="n"/>
      <c r="CV317" s="12" t="n"/>
      <c r="CW317" s="12" t="n"/>
      <c r="CX317" s="12" t="n"/>
      <c r="CY317" s="12" t="n"/>
    </row>
    <row r="318">
      <c r="C318" s="14" t="inlineStr">
        <is>
          <t>Others / cash reconciliation plug</t>
        </is>
      </c>
      <c r="D318" s="12" t="n"/>
      <c r="E318" s="12" t="n"/>
      <c r="F318" s="12" t="n"/>
      <c r="G318" s="12" t="n"/>
      <c r="H318" s="12" t="n"/>
      <c r="I318" s="12" t="n"/>
      <c r="J318" s="12">
        <f>J150-I150-SUM(J299,J306,J316)</f>
        <v>0</v>
      </c>
      <c r="K318" s="12">
        <f>K150-J150-SUM(K299,K306,K316)</f>
        <v>0</v>
      </c>
      <c r="L318" s="12">
        <f>L150-K150-SUM(L299,L306,L316)</f>
        <v>0</v>
      </c>
      <c r="M318" s="12" t="n"/>
      <c r="N318" s="12">
        <f>N150-M150-SUM(N299,N306,N316)</f>
        <v>0</v>
      </c>
      <c r="O318" s="12">
        <f>O150-N150-SUM(O299,O306,O316)</f>
        <v>0</v>
      </c>
      <c r="P318" s="12">
        <f>P150-O150-SUM(P299,P306,P316)</f>
        <v>0</v>
      </c>
      <c r="Q318" s="12">
        <f>Q150-P150-SUM(Q299,Q306,Q316)</f>
        <v>0</v>
      </c>
      <c r="R318" s="12">
        <f>SUM(N318:Q318)</f>
        <v>0</v>
      </c>
      <c r="S318" s="12">
        <f>S150-R150-SUM(S299,S306,S316)</f>
        <v>0</v>
      </c>
      <c r="T318" s="12">
        <f>T150-S150-SUM(T299,T306,T316)</f>
        <v>0</v>
      </c>
      <c r="U318" s="12">
        <f>U150-T150-SUM(U299,U306,U316)</f>
        <v>0</v>
      </c>
      <c r="V318" s="12">
        <f>V150-U150-SUM(V299,V306,V316)</f>
        <v>0</v>
      </c>
      <c r="W318" s="12">
        <f>SUM(S318:V318)</f>
        <v>0</v>
      </c>
      <c r="X318" s="12">
        <f>X150-W150-SUM(X299,X306,X316)</f>
        <v>0</v>
      </c>
      <c r="Y318" s="12">
        <f>Y150-X150-SUM(Y299,Y306,Y316)</f>
        <v>0</v>
      </c>
      <c r="Z318" s="12">
        <f>Z150-Y150-SUM(Z299,Z306,Z316)</f>
        <v>0</v>
      </c>
      <c r="AA318" s="12">
        <f>AA150-Z150-SUM(AA299,AA306,AA316)</f>
        <v>0</v>
      </c>
      <c r="AB318" s="12">
        <f>SUM(X318:AA318)</f>
        <v>0</v>
      </c>
      <c r="AC318" s="12">
        <f>AC150-AB150-SUM(AC299,AC306,AC316)</f>
        <v>0</v>
      </c>
      <c r="AD318" s="12">
        <f>AD150-AC150-SUM(AD299,AD306,AD316)</f>
        <v>0</v>
      </c>
      <c r="AE318" s="12">
        <f>AE150-AD150-SUM(AE299,AE306,AE316)</f>
        <v>0</v>
      </c>
      <c r="AF318" s="12">
        <f>AF150-AE150-SUM(AF299,AF306,AF316)</f>
        <v>0</v>
      </c>
      <c r="AG318" s="12">
        <f>SUM(AC318:AF318)</f>
        <v>0</v>
      </c>
      <c r="AH318" s="12">
        <f>AH150-AG150-SUM(AH299,AH306,AH316)</f>
        <v>0</v>
      </c>
      <c r="AI318" s="12">
        <f>AI150-AH150-SUM(AI299,AI306,AI316)</f>
        <v>0</v>
      </c>
      <c r="AJ318" s="12">
        <f>AJ150-AI150-SUM(AJ299,AJ306,AJ316)</f>
        <v>0</v>
      </c>
      <c r="AK318" s="12">
        <f>AK150-AJ150-SUM(AK299,AK306,AK316)</f>
        <v>0</v>
      </c>
      <c r="AL318" s="12">
        <f>SUM(AH318:AK318)</f>
        <v>0</v>
      </c>
      <c r="AM318" s="12">
        <f>AM150-AL150-SUM(AM299,AM306,AM316)</f>
        <v>0</v>
      </c>
      <c r="AN318" s="12">
        <f>AN150-AM150-SUM(AN299,AN306,AN316)</f>
        <v>-4.36557456851006e-11</v>
      </c>
      <c r="AO318" s="12">
        <f>AO150-AN150-SUM(AO299,AO306,AO316)</f>
        <v>4.18367562815547e-11</v>
      </c>
      <c r="AP318" s="12">
        <f>AP150-AO150-SUM(AP299,AP306,AP316)</f>
        <v>0</v>
      </c>
      <c r="AQ318" s="12">
        <f>SUM(AM318:AP318)</f>
        <v>-1.81898940354586e-12</v>
      </c>
      <c r="AR318" s="12">
        <f>AR150-AQ150-SUM(AR299,AR306,AR316)</f>
        <v>-4.72937244921923e-11</v>
      </c>
      <c r="AS318" s="12">
        <f>AS150-AR150-SUM(AS299,AS306,AS316)</f>
        <v>0</v>
      </c>
      <c r="AT318" s="12">
        <f>AT150-AS150-SUM(AT299,AT306,AT316)</f>
        <v>0</v>
      </c>
      <c r="AU318" s="12">
        <f>AU150-AT150-SUM(AU299,AU306,AU316)</f>
        <v>0</v>
      </c>
      <c r="AV318" s="12">
        <f>SUM(AR318:AU318)</f>
        <v>-4.72937244921923e-11</v>
      </c>
      <c r="AW318" s="12">
        <f>AW150-AV150-SUM(AW299,AW306,AW316)</f>
        <v>0</v>
      </c>
      <c r="AX318" s="12">
        <f>AX150-AW150-SUM(AX299,AX306,AX316)</f>
        <v>0</v>
      </c>
      <c r="AY318" s="12">
        <f>AY150-AX150-SUM(AY299,AY306,AY316)</f>
        <v>0</v>
      </c>
      <c r="AZ318" s="12">
        <f>AZ150-AY150-SUM(AZ299,AZ306,AZ316)</f>
        <v>-4.36557456851006e-11</v>
      </c>
      <c r="BA318" s="12">
        <f>SUM(AW318:AZ318)</f>
        <v>-4.36557456851006e-11</v>
      </c>
      <c r="BB318" s="12">
        <f>BB150-BA150-SUM(BB299,BB306,BB316)</f>
        <v>0</v>
      </c>
      <c r="BC318" s="12">
        <f>BC150-BB150-SUM(BC299,BC306,BC316)</f>
        <v>4.72937244921923e-11</v>
      </c>
      <c r="BD318" s="12">
        <f>BD150-BC150-SUM(BD299,BD306,BD316)</f>
        <v>5.63886715099216e-11</v>
      </c>
      <c r="BE318" s="12">
        <f>BE150-BD150-SUM(BE299,BE306,BE316)</f>
        <v>0</v>
      </c>
      <c r="BF318" s="12">
        <f>SUM(BB318:BE318)</f>
        <v>1.03682396002114e-10</v>
      </c>
      <c r="BG318" s="12" t="n"/>
      <c r="BH318" s="12" t="n"/>
      <c r="BI318" s="12" t="n"/>
      <c r="BJ318" s="12" t="n"/>
      <c r="BK318" s="12" t="n"/>
      <c r="BL318" s="12" t="n"/>
      <c r="BM318" s="12" t="n"/>
      <c r="BN318" s="12" t="n"/>
      <c r="BO318" s="12" t="n"/>
      <c r="BP318" s="12" t="n"/>
      <c r="BQ318" s="12" t="n"/>
      <c r="BR318" s="12" t="n"/>
      <c r="BS318" s="12" t="n"/>
      <c r="BT318" s="12" t="n"/>
      <c r="BU318" s="12" t="n"/>
      <c r="BV318" s="12" t="n"/>
      <c r="BW318" s="12" t="n"/>
      <c r="BX318" s="12" t="n"/>
      <c r="BY318" s="12" t="n"/>
      <c r="BZ318" s="12" t="n"/>
      <c r="CA318" s="12" t="n"/>
      <c r="CB318" s="12" t="n"/>
      <c r="CC318" s="12" t="n"/>
      <c r="CD318" s="12" t="n"/>
      <c r="CE318" s="12" t="n"/>
      <c r="CF318" s="12" t="n"/>
      <c r="CG318" s="12" t="n"/>
      <c r="CH318" s="12" t="n"/>
      <c r="CI318" s="12" t="n"/>
      <c r="CJ318" s="12" t="n"/>
      <c r="CK318" s="12" t="n"/>
      <c r="CL318" s="12" t="n"/>
      <c r="CM318" s="12" t="n"/>
      <c r="CN318" s="12" t="n"/>
      <c r="CO318" s="12" t="n"/>
      <c r="CP318" s="12" t="n"/>
      <c r="CQ318" s="12" t="n"/>
      <c r="CR318" s="12" t="n"/>
      <c r="CS318" s="12" t="n"/>
      <c r="CT318" s="12" t="n"/>
      <c r="CU318" s="12" t="n"/>
      <c r="CV318" s="12" t="n"/>
      <c r="CW318" s="12" t="n"/>
      <c r="CX318" s="12" t="n"/>
      <c r="CY318" s="12" t="n"/>
    </row>
    <row r="319">
      <c r="C319" s="14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  <c r="BG319" s="12" t="n"/>
      <c r="BH319" s="12" t="n"/>
      <c r="BI319" s="12" t="n"/>
      <c r="BJ319" s="12" t="n"/>
      <c r="BK319" s="12" t="n"/>
      <c r="BL319" s="12" t="n"/>
      <c r="BM319" s="12" t="n"/>
      <c r="BN319" s="12" t="n"/>
      <c r="BO319" s="12" t="n"/>
      <c r="BP319" s="12" t="n"/>
      <c r="BQ319" s="12" t="n"/>
      <c r="BR319" s="12" t="n"/>
      <c r="BS319" s="12" t="n"/>
      <c r="BT319" s="12" t="n"/>
      <c r="BU319" s="12" t="n"/>
      <c r="BV319" s="12" t="n"/>
      <c r="BW319" s="12" t="n"/>
      <c r="BX319" s="12" t="n"/>
      <c r="BY319" s="12" t="n"/>
      <c r="BZ319" s="12" t="n"/>
      <c r="CA319" s="12" t="n"/>
      <c r="CB319" s="12" t="n"/>
      <c r="CC319" s="12" t="n"/>
      <c r="CD319" s="12" t="n"/>
      <c r="CE319" s="12" t="n"/>
      <c r="CF319" s="12" t="n"/>
      <c r="CG319" s="12" t="n"/>
      <c r="CH319" s="12" t="n"/>
      <c r="CI319" s="12" t="n"/>
      <c r="CJ319" s="12" t="n"/>
      <c r="CK319" s="12" t="n"/>
      <c r="CL319" s="12" t="n"/>
      <c r="CM319" s="12" t="n"/>
      <c r="CN319" s="12" t="n"/>
      <c r="CO319" s="12" t="n"/>
      <c r="CP319" s="12" t="n"/>
      <c r="CQ319" s="12" t="n"/>
      <c r="CR319" s="12" t="n"/>
      <c r="CS319" s="12" t="n"/>
      <c r="CT319" s="12" t="n"/>
      <c r="CU319" s="12" t="n"/>
      <c r="CV319" s="12" t="n"/>
      <c r="CW319" s="12" t="n"/>
      <c r="CX319" s="12" t="n"/>
      <c r="CY319" s="12" t="n"/>
    </row>
    <row r="320">
      <c r="C320" s="14" t="inlineStr">
        <is>
          <t>Total increase/decrease of cash</t>
        </is>
      </c>
      <c r="D320" s="12" t="n"/>
      <c r="E320" s="12" t="n"/>
      <c r="F320" s="12" t="n"/>
      <c r="G320" s="12" t="n"/>
      <c r="H320" s="12" t="n"/>
      <c r="I320" s="12" t="n"/>
      <c r="J320" s="12">
        <f>SUM(J299,J306,J316,J318)</f>
        <v>10690</v>
      </c>
      <c r="K320" s="12">
        <f>SUM(K299,K306,K316,K318)</f>
        <v>-7244</v>
      </c>
      <c r="L320" s="12">
        <f>SUM(L299,L306,L316,L318)</f>
        <v>-16472</v>
      </c>
      <c r="M320" s="12" t="n"/>
      <c r="N320" s="12">
        <f>SUM(N299,N306,N316,N318)</f>
        <v>551</v>
      </c>
      <c r="O320" s="12">
        <f>SUM(O299,O306,O316,O318)</f>
        <v>-1487</v>
      </c>
      <c r="P320" s="12">
        <f>SUM(P299,P306,P316,P318)</f>
        <v>-10682</v>
      </c>
      <c r="Q320" s="12">
        <f>SUM(Q299,Q306,Q316,Q318)</f>
        <v>-3870</v>
      </c>
      <c r="R320" s="12">
        <f>SUM(N320:Q320)</f>
        <v>-15488</v>
      </c>
      <c r="S320" s="12">
        <f>SUM(S299,S306,S316,S318)</f>
        <v>1419</v>
      </c>
      <c r="T320" s="12">
        <f>SUM(T299,T306,T316,T318)</f>
        <v>1418</v>
      </c>
      <c r="U320" s="12">
        <f>SUM(U299,U306,U316,U318)</f>
        <v>1896</v>
      </c>
      <c r="V320" s="12">
        <f>SUM(V299,V306,V316,V318)</f>
        <v>-3393</v>
      </c>
      <c r="W320" s="12">
        <f>SUM(S320:V320)</f>
        <v>1340</v>
      </c>
      <c r="X320" s="12">
        <f>SUM(X299,X306,X316,X318)</f>
        <v>1214</v>
      </c>
      <c r="Y320" s="12">
        <f>SUM(Y299,Y306,Y316,Y318)</f>
        <v>757</v>
      </c>
      <c r="Z320" s="12">
        <f>SUM(Z299,Z306,Z316,Z318)</f>
        <v>250</v>
      </c>
      <c r="AA320" s="12">
        <f>SUM(AA299,AA306,AA316,AA318)</f>
        <v>400</v>
      </c>
      <c r="AB320" s="12">
        <f>SUM(X320:AA320)</f>
        <v>2621</v>
      </c>
      <c r="AC320" s="12">
        <f>SUM(AC299,AC306,AC316,AC318)</f>
        <v>6512</v>
      </c>
      <c r="AD320" s="12">
        <f>SUM(AD299,AD306,AD316,AD318)</f>
        <v>-6620</v>
      </c>
      <c r="AE320" s="12">
        <f>SUM(AE299,AE306,AE316,AE318)</f>
        <v>-198</v>
      </c>
      <c r="AF320" s="12">
        <f>SUM(AF299,AF306,AF316,AF318)</f>
        <v>8761</v>
      </c>
      <c r="AG320" s="12">
        <f>SUM(AC320:AF320)</f>
        <v>8455</v>
      </c>
      <c r="AH320" s="12">
        <f>SUM(AH299,AH306,AH316,AH318)</f>
        <v>19366</v>
      </c>
      <c r="AI320" s="12">
        <f>SUM(AI299,AI306,AI316,AI318)</f>
        <v>-7238</v>
      </c>
      <c r="AJ320" s="12">
        <f>SUM(AJ299,AJ306,AJ316,AJ318)</f>
        <v>-10108.2096001115</v>
      </c>
      <c r="AK320" s="12">
        <f>SUM(AK299,AK306,AK316,AK318)</f>
        <v>-8252.18567430916</v>
      </c>
      <c r="AL320" s="12">
        <f>SUM(AH320:AK320)</f>
        <v>-6232.39527442064</v>
      </c>
      <c r="AM320" s="12">
        <f>SUM(AM299,AM306,AM316,AM318)</f>
        <v>-8846.75427999276</v>
      </c>
      <c r="AN320" s="12">
        <f>SUM(AN299,AN306,AN316,AN318)</f>
        <v>-9878.75413071131</v>
      </c>
      <c r="AO320" s="12">
        <f>SUM(AO299,AO306,AO316,AO318)</f>
        <v>-8152.22024416248</v>
      </c>
      <c r="AP320" s="12">
        <f>SUM(AP299,AP306,AP316,AP318)</f>
        <v>-9231.89081039656</v>
      </c>
      <c r="AQ320" s="12">
        <f>SUM(AM320:AP320)</f>
        <v>-36109.6194652631</v>
      </c>
      <c r="AR320" s="12">
        <f>SUM(AR299,AR306,AR316,AR318)</f>
        <v>-9821.16047474463</v>
      </c>
      <c r="AS320" s="12">
        <f>SUM(AS299,AS306,AS316,AS318)</f>
        <v>-11037.4526932787</v>
      </c>
      <c r="AT320" s="12">
        <f>SUM(AT299,AT306,AT316,AT318)</f>
        <v>-9010.98107864894</v>
      </c>
      <c r="AU320" s="12">
        <f>SUM(AU299,AU306,AU316,AU318)</f>
        <v>-10205.717577941</v>
      </c>
      <c r="AV320" s="12">
        <f>SUM(AR320:AU320)</f>
        <v>-40075.3118246133</v>
      </c>
      <c r="AW320" s="12">
        <f>SUM(AW299,AW306,AW316,AW318)</f>
        <v>-10819.2099693215</v>
      </c>
      <c r="AX320" s="12">
        <f>SUM(AX299,AX306,AX316,AX318)</f>
        <v>-12103.4932150185</v>
      </c>
      <c r="AY320" s="12">
        <f>SUM(AY299,AY306,AY316,AY318)</f>
        <v>-9791.92605002501</v>
      </c>
      <c r="AZ320" s="12">
        <f>SUM(AZ299,AZ306,AZ316,AZ318)</f>
        <v>-11094.7118074436</v>
      </c>
      <c r="BA320" s="12">
        <f>SUM(AW320:AZ320)</f>
        <v>-43809.3410418085</v>
      </c>
      <c r="BB320" s="12">
        <f>SUM(BB299,BB306,BB316,BB318)</f>
        <v>-11680.4407434308</v>
      </c>
      <c r="BC320" s="12">
        <f>SUM(BC299,BC306,BC316,BC318)</f>
        <v>-13083.3567804453</v>
      </c>
      <c r="BD320" s="12">
        <f>SUM(BD299,BD306,BD316,BD318)</f>
        <v>-10405.9004253135</v>
      </c>
      <c r="BE320" s="12">
        <f>SUM(BE299,BE306,BE316,BE318)</f>
        <v>-11801.1782020225</v>
      </c>
      <c r="BF320" s="12">
        <f>SUM(BB320:BE320)</f>
        <v>-46970.876151212</v>
      </c>
      <c r="BG320" s="12" t="n"/>
      <c r="BH320" s="12" t="n"/>
      <c r="BI320" s="12" t="n"/>
      <c r="BJ320" s="12" t="n"/>
      <c r="BK320" s="12" t="n"/>
      <c r="BL320" s="12" t="n"/>
      <c r="BM320" s="12" t="n"/>
      <c r="BN320" s="12" t="n"/>
      <c r="BO320" s="12" t="n"/>
      <c r="BP320" s="12" t="n"/>
      <c r="BQ320" s="12" t="n"/>
      <c r="BR320" s="12" t="n"/>
      <c r="BS320" s="12" t="n"/>
      <c r="BT320" s="12" t="n"/>
      <c r="BU320" s="12" t="n"/>
      <c r="BV320" s="12" t="n"/>
      <c r="BW320" s="12" t="n"/>
      <c r="BX320" s="12" t="n"/>
      <c r="BY320" s="12" t="n"/>
      <c r="BZ320" s="12" t="n"/>
      <c r="CA320" s="12" t="n"/>
      <c r="CB320" s="12" t="n"/>
      <c r="CC320" s="12" t="n"/>
      <c r="CD320" s="12" t="n"/>
      <c r="CE320" s="12" t="n"/>
      <c r="CF320" s="12" t="n"/>
      <c r="CG320" s="12" t="n"/>
      <c r="CH320" s="12" t="n"/>
      <c r="CI320" s="12" t="n"/>
      <c r="CJ320" s="12" t="n"/>
      <c r="CK320" s="12" t="n"/>
      <c r="CL320" s="12" t="n"/>
      <c r="CM320" s="12" t="n"/>
      <c r="CN320" s="12" t="n"/>
      <c r="CO320" s="12" t="n"/>
      <c r="CP320" s="12" t="n"/>
      <c r="CQ320" s="12" t="n"/>
      <c r="CR320" s="12" t="n"/>
      <c r="CS320" s="12" t="n"/>
      <c r="CT320" s="12" t="n"/>
      <c r="CU320" s="12" t="n"/>
      <c r="CV320" s="12" t="n"/>
      <c r="CW320" s="12" t="n"/>
      <c r="CX320" s="12" t="n"/>
      <c r="CY320" s="12" t="n"/>
    </row>
    <row r="321">
      <c r="C321" s="4" t="inlineStr">
        <is>
          <t>Check</t>
        </is>
      </c>
      <c r="E321" s="72" t="n"/>
      <c r="F321" s="72" t="n"/>
      <c r="G321" s="72" t="n"/>
      <c r="I321" s="72" t="str">
        <f>""</f>
        <v/>
      </c>
      <c r="J321" s="72">
        <f>J150-I150-J320</f>
        <v>0</v>
      </c>
      <c r="K321" s="72">
        <f>K150-J150-K320</f>
        <v>0</v>
      </c>
      <c r="L321" s="72">
        <f>L150-K150-L320</f>
        <v>0</v>
      </c>
      <c r="M321" s="4" t="str">
        <f>""</f>
        <v/>
      </c>
      <c r="N321" s="72">
        <f>N150-M150-N320</f>
        <v>0</v>
      </c>
      <c r="O321" s="72">
        <f>O150-N150-O320</f>
        <v>0</v>
      </c>
      <c r="P321" s="72">
        <f>P150-O150-P320</f>
        <v>0</v>
      </c>
      <c r="Q321" s="72">
        <f>Q150-P150-Q320</f>
        <v>0</v>
      </c>
      <c r="R321" s="4">
        <f>R150-M150-R320</f>
        <v>0</v>
      </c>
      <c r="S321" s="72">
        <f>S150-R150-S320</f>
        <v>0</v>
      </c>
      <c r="T321" s="72">
        <f>T150-S150-T320</f>
        <v>0</v>
      </c>
      <c r="U321" s="72">
        <f>U150-T150-U320</f>
        <v>0</v>
      </c>
      <c r="V321" s="72">
        <f>V150-U150-V320</f>
        <v>0</v>
      </c>
      <c r="W321" s="4">
        <f>W150-R150-W320</f>
        <v>0</v>
      </c>
      <c r="X321" s="72">
        <f>X150-W150-X320</f>
        <v>0</v>
      </c>
      <c r="Y321" s="72">
        <f>Y150-X150-Y320</f>
        <v>0</v>
      </c>
      <c r="Z321" s="72">
        <f>Z150-Y150-Z320</f>
        <v>0</v>
      </c>
      <c r="AA321" s="72">
        <f>AA150-Z150-AA320</f>
        <v>0</v>
      </c>
      <c r="AB321" s="4">
        <f>AB150-W150-AB320</f>
        <v>0</v>
      </c>
      <c r="AC321" s="72">
        <f>AC150-AB150-AC320</f>
        <v>0</v>
      </c>
      <c r="AD321" s="72">
        <f>AD150-AC150-AD320</f>
        <v>0</v>
      </c>
      <c r="AE321" s="72">
        <f>AE150-AD150-AE320</f>
        <v>0</v>
      </c>
      <c r="AF321" s="72">
        <f>AF150-AE150-AF320</f>
        <v>0</v>
      </c>
      <c r="AG321" s="4">
        <f>AG150-AB150-AG320</f>
        <v>0</v>
      </c>
      <c r="AH321" s="72">
        <f>AH150-AG150-AH320</f>
        <v>0</v>
      </c>
      <c r="AI321" s="72">
        <f>AI150-AH150-AI320</f>
        <v>0</v>
      </c>
      <c r="AJ321" s="72">
        <f>AJ150-AI150-AJ320</f>
        <v>0</v>
      </c>
      <c r="AK321" s="72">
        <f>AK150-AJ150-AK320</f>
        <v>0</v>
      </c>
      <c r="AL321" s="4">
        <f>AL150-AG150-AL320</f>
        <v>0</v>
      </c>
      <c r="AM321" s="72">
        <f>AM150-AL150-AM320</f>
        <v>0</v>
      </c>
      <c r="AN321" s="72">
        <f>AN150-AM150-AN320</f>
        <v>0</v>
      </c>
      <c r="AO321" s="72">
        <f>AO150-AN150-AO320</f>
        <v>0</v>
      </c>
      <c r="AP321" s="72">
        <f>AP150-AO150-AP320</f>
        <v>0</v>
      </c>
      <c r="AQ321" s="4">
        <f>AQ150-AL150-AQ320</f>
        <v>0</v>
      </c>
      <c r="AR321" s="72">
        <f>AR150-AQ150-AR320</f>
        <v>0</v>
      </c>
      <c r="AS321" s="72">
        <f>AS150-AR150-AS320</f>
        <v>0</v>
      </c>
      <c r="AT321" s="72">
        <f>AT150-AS150-AT320</f>
        <v>0</v>
      </c>
      <c r="AU321" s="72">
        <f>AU150-AT150-AU320</f>
        <v>0</v>
      </c>
      <c r="AV321" s="4">
        <f>AV150-AQ150-AV320</f>
        <v>0</v>
      </c>
      <c r="AW321" s="72">
        <f>AW150-AV150-AW320</f>
        <v>0</v>
      </c>
      <c r="AX321" s="72">
        <f>AX150-AW150-AX320</f>
        <v>0</v>
      </c>
      <c r="AY321" s="72">
        <f>AY150-AX150-AY320</f>
        <v>0</v>
      </c>
      <c r="AZ321" s="72">
        <f>AZ150-AY150-AZ320</f>
        <v>0</v>
      </c>
      <c r="BA321" s="4">
        <f>BA150-AV150-BA320</f>
        <v>0</v>
      </c>
      <c r="BB321" s="72">
        <f>BB150-BA150-BB320</f>
        <v>0</v>
      </c>
      <c r="BC321" s="72">
        <f>BC150-BB150-BC320</f>
        <v>0</v>
      </c>
      <c r="BD321" s="72">
        <f>BD150-BC150-BD320</f>
        <v>0</v>
      </c>
      <c r="BE321" s="72">
        <f>BE150-BD150-BE320</f>
        <v>0</v>
      </c>
      <c r="BF321" s="4">
        <f>BF150-BA150-BF320</f>
        <v>0</v>
      </c>
      <c r="BG321" s="72" t="n"/>
      <c r="BH321" s="72" t="n"/>
      <c r="BI321" s="72" t="n"/>
      <c r="BJ321" s="72" t="n"/>
      <c r="BL321" s="72" t="n"/>
      <c r="BM321" s="72" t="n"/>
      <c r="BN321" s="72" t="n"/>
      <c r="BO321" s="72" t="n"/>
      <c r="BQ321" s="72" t="n"/>
      <c r="BR321" s="72" t="n"/>
      <c r="BS321" s="72" t="n"/>
      <c r="BT321" s="72" t="n"/>
      <c r="BV321" s="72" t="n"/>
      <c r="BW321" s="72" t="n"/>
      <c r="BX321" s="72" t="n"/>
      <c r="BY321" s="72" t="n"/>
      <c r="CA321" s="72" t="n"/>
      <c r="CB321" s="72" t="n"/>
      <c r="CC321" s="72" t="n"/>
      <c r="CD321" s="72" t="n"/>
      <c r="CF321" s="72" t="n"/>
      <c r="CG321" s="72" t="n"/>
      <c r="CH321" s="72" t="n"/>
      <c r="CI321" s="72" t="n"/>
      <c r="CK321" s="72" t="n"/>
      <c r="CL321" s="72" t="n"/>
      <c r="CM321" s="72" t="n"/>
      <c r="CN321" s="72" t="n"/>
      <c r="CP321" s="72" t="n"/>
      <c r="CQ321" s="72" t="n"/>
      <c r="CR321" s="72" t="n"/>
      <c r="CS321" s="72" t="n"/>
      <c r="CU321" s="72" t="n"/>
      <c r="CV321" s="72" t="n"/>
      <c r="CW321" s="72" t="n"/>
      <c r="CX321" s="72" t="n"/>
    </row>
    <row r="322"/>
    <row r="323">
      <c r="C323" s="73" t="inlineStr">
        <is>
          <t>Ratio Analysis</t>
        </is>
      </c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  <c r="AM323" s="73" t="n"/>
      <c r="AN323" s="73" t="n"/>
      <c r="AO323" s="73" t="n"/>
      <c r="AP323" s="73" t="n"/>
      <c r="AQ323" s="73" t="n"/>
      <c r="AR323" s="73" t="n"/>
      <c r="AS323" s="73" t="n"/>
      <c r="AT323" s="73" t="n"/>
      <c r="AU323" s="73" t="n"/>
      <c r="AV323" s="73" t="n"/>
      <c r="AW323" s="73" t="n"/>
      <c r="AX323" s="73" t="n"/>
      <c r="AY323" s="73" t="n"/>
      <c r="AZ323" s="73" t="n"/>
      <c r="BA323" s="73" t="n"/>
      <c r="BB323" s="73" t="n"/>
      <c r="BC323" s="73" t="n"/>
      <c r="BD323" s="73" t="n"/>
      <c r="BE323" s="73" t="n"/>
      <c r="BF323" s="73" t="n"/>
      <c r="BG323" s="73" t="n"/>
      <c r="BH323" s="73" t="n"/>
      <c r="BI323" s="73" t="n"/>
      <c r="BJ323" s="73" t="n"/>
      <c r="BK323" s="73" t="n"/>
      <c r="BL323" s="73" t="n"/>
      <c r="BM323" s="73" t="n"/>
      <c r="BN323" s="73" t="n"/>
      <c r="BO323" s="73" t="n"/>
      <c r="BP323" s="73" t="n"/>
      <c r="BQ323" s="73" t="n"/>
      <c r="BR323" s="73" t="n"/>
      <c r="BS323" s="73" t="n"/>
      <c r="BT323" s="73" t="n"/>
      <c r="BU323" s="73" t="n"/>
      <c r="BV323" s="73" t="n"/>
      <c r="BW323" s="73" t="n"/>
      <c r="BX323" s="73" t="n"/>
      <c r="BY323" s="73" t="n"/>
      <c r="BZ323" s="73" t="n"/>
      <c r="CA323" s="73" t="n"/>
      <c r="CB323" s="73" t="n"/>
      <c r="CC323" s="73" t="n"/>
      <c r="CD323" s="73" t="n"/>
      <c r="CE323" s="73" t="n"/>
      <c r="CF323" s="73" t="n"/>
      <c r="CG323" s="73" t="n"/>
      <c r="CH323" s="73" t="n"/>
      <c r="CI323" s="73" t="n"/>
      <c r="CJ323" s="73" t="n"/>
      <c r="CK323" s="73" t="n"/>
      <c r="CL323" s="73" t="n"/>
      <c r="CM323" s="73" t="n"/>
      <c r="CN323" s="73" t="n"/>
      <c r="CO323" s="73" t="n"/>
      <c r="CP323" s="73" t="n"/>
      <c r="CQ323" s="73" t="n"/>
      <c r="CR323" s="73" t="n"/>
      <c r="CS323" s="73" t="n"/>
      <c r="CT323" s="73" t="n"/>
      <c r="CU323" s="73" t="n"/>
      <c r="CV323" s="73" t="n"/>
      <c r="CW323" s="73" t="n"/>
      <c r="CX323" s="73" t="n"/>
      <c r="CY323" s="73" t="n"/>
    </row>
    <row r="324"/>
    <row r="325" customFormat="1" s="74">
      <c r="C325" s="74" t="inlineStr">
        <is>
          <t>YEAR</t>
        </is>
      </c>
      <c r="D325">
        <f>IFERROR(D281,"")</f>
        <v>0</v>
      </c>
      <c r="E325" s="75">
        <f>IFERROR(E281,"")</f>
        <v>0</v>
      </c>
      <c r="F325" s="75">
        <f>IFERROR(F281,"")</f>
        <v>0</v>
      </c>
      <c r="G325" s="75">
        <f>IFERROR(G281,"")</f>
        <v>0</v>
      </c>
      <c r="H325" s="75">
        <f>IFERROR(H281,"")</f>
        <v>0</v>
      </c>
      <c r="I325" s="75" t="str">
        <f>IFERROR(I281,"")</f>
        <v>1Q21</v>
      </c>
      <c r="J325" s="75" t="str">
        <f>IFERROR(J281,"")</f>
        <v>2Q21</v>
      </c>
      <c r="K325" s="75" t="str">
        <f>IFERROR(K281,"")</f>
        <v>3Q21</v>
      </c>
      <c r="L325" s="75" t="str">
        <f>IFERROR(L281,"")</f>
        <v>4Q21</v>
      </c>
      <c r="M325" s="75">
        <f>IFERROR(M281,"")</f>
        <v>2021</v>
      </c>
      <c r="N325" s="75" t="str">
        <f>IFERROR(N281,"")</f>
        <v>1Q22</v>
      </c>
      <c r="O325" s="75" t="str">
        <f>IFERROR(O281,"")</f>
        <v>2Q22</v>
      </c>
      <c r="P325" s="75" t="str">
        <f>IFERROR(P281,"")</f>
        <v>3Q22</v>
      </c>
      <c r="Q325" s="75" t="str">
        <f>IFERROR(Q281,"")</f>
        <v>4Q22</v>
      </c>
      <c r="R325" s="75">
        <f>IFERROR(R281,"")</f>
        <v>2022</v>
      </c>
      <c r="S325" s="75" t="str">
        <f>IFERROR(S281,"")</f>
        <v>1Q23</v>
      </c>
      <c r="T325" s="75" t="str">
        <f>IFERROR(T281,"")</f>
        <v>2Q23</v>
      </c>
      <c r="U325" s="75" t="str">
        <f>IFERROR(U281,"")</f>
        <v>3Q23</v>
      </c>
      <c r="V325" s="75" t="str">
        <f>IFERROR(V281,"")</f>
        <v>4Q23</v>
      </c>
      <c r="W325" s="75">
        <f>IFERROR(W281,"")</f>
        <v>2023</v>
      </c>
      <c r="X325" s="75" t="str">
        <f>IFERROR(X281,"")</f>
        <v>1Q24</v>
      </c>
      <c r="Y325" s="75" t="str">
        <f>IFERROR(Y281,"")</f>
        <v>2Q24</v>
      </c>
      <c r="Z325" s="75" t="str">
        <f>IFERROR(Z281,"")</f>
        <v>3Q24</v>
      </c>
      <c r="AA325" s="75" t="str">
        <f>IFERROR(AA281,"")</f>
        <v>4Q24</v>
      </c>
      <c r="AB325" s="75">
        <f>IFERROR(AB281,"")</f>
        <v>2024</v>
      </c>
      <c r="AC325" s="75" t="str">
        <f>IFERROR(AC281,"")</f>
        <v>1Q25</v>
      </c>
      <c r="AD325" s="75" t="str">
        <f>IFERROR(AD281,"")</f>
        <v>2Q25</v>
      </c>
      <c r="AE325" s="75" t="str">
        <f>IFERROR(AE281,"")</f>
        <v>3Q25</v>
      </c>
      <c r="AF325" s="75" t="str">
        <f>IFERROR(AF281,"")</f>
        <v>4Q25</v>
      </c>
      <c r="AG325" s="75">
        <f>IFERROR(AG281,"")</f>
        <v>2025</v>
      </c>
      <c r="AH325" s="75" t="str">
        <f>IFERROR(AH281,"")</f>
        <v>1Q26</v>
      </c>
      <c r="AI325" s="75" t="str">
        <f>IFERROR(AI281,"")</f>
        <v>2Q26</v>
      </c>
      <c r="AJ325" s="75" t="str">
        <f>IFERROR(AJ281,"")</f>
        <v>3Q26</v>
      </c>
      <c r="AK325" s="75" t="str">
        <f>IFERROR(AK281,"")</f>
        <v>4Q26</v>
      </c>
      <c r="AL325" s="75">
        <f>IFERROR(AL281,"")</f>
        <v>2026</v>
      </c>
      <c r="AM325" s="75" t="str">
        <f>IFERROR(AM281,"")</f>
        <v>1Q27</v>
      </c>
      <c r="AN325" s="75" t="str">
        <f>IFERROR(AN281,"")</f>
        <v>2Q27</v>
      </c>
      <c r="AO325" s="75" t="str">
        <f>IFERROR(AO281,"")</f>
        <v>3Q27</v>
      </c>
      <c r="AP325" s="75" t="str">
        <f>IFERROR(AP281,"")</f>
        <v>4Q27</v>
      </c>
      <c r="AQ325" s="75">
        <f>IFERROR(AQ281,"")</f>
        <v>2027</v>
      </c>
      <c r="AR325" s="75" t="str">
        <f>IFERROR(AR281,"")</f>
        <v>1Q28</v>
      </c>
      <c r="AS325" s="75" t="str">
        <f>IFERROR(AS281,"")</f>
        <v>2Q28</v>
      </c>
      <c r="AT325" s="75" t="str">
        <f>IFERROR(AT281,"")</f>
        <v>3Q28</v>
      </c>
      <c r="AU325" s="75" t="str">
        <f>IFERROR(AU281,"")</f>
        <v>4Q28</v>
      </c>
      <c r="AV325" s="75">
        <f>IFERROR(AV281,"")</f>
        <v>2028</v>
      </c>
      <c r="AW325" s="75" t="str">
        <f>IFERROR(AW281,"")</f>
        <v>1Q29</v>
      </c>
      <c r="AX325" s="75" t="str">
        <f>IFERROR(AX281,"")</f>
        <v>2Q29</v>
      </c>
      <c r="AY325" s="75" t="str">
        <f>IFERROR(AY281,"")</f>
        <v>3Q29</v>
      </c>
      <c r="AZ325" s="75" t="str">
        <f>IFERROR(AZ281,"")</f>
        <v>4Q29</v>
      </c>
      <c r="BA325" s="75">
        <f>IFERROR(BA281,"")</f>
        <v>2029</v>
      </c>
      <c r="BB325" s="75" t="str">
        <f>IFERROR(BB281,"")</f>
        <v>1Q30</v>
      </c>
      <c r="BC325" s="75" t="str">
        <f>IFERROR(BC281,"")</f>
        <v>2Q30</v>
      </c>
      <c r="BD325" s="75" t="str">
        <f>IFERROR(BD281,"")</f>
        <v>3Q30</v>
      </c>
      <c r="BE325" s="75" t="str">
        <f>IFERROR(BE281,"")</f>
        <v>4Q30</v>
      </c>
      <c r="BF325" s="75">
        <f>IFERROR(BF281,"")</f>
        <v>2030</v>
      </c>
      <c r="BG325" s="75" t="n"/>
      <c r="BH325" s="75" t="n"/>
      <c r="BI325" s="75" t="n"/>
      <c r="BJ325" s="75" t="n"/>
      <c r="BK325" s="75" t="n"/>
      <c r="BL325" s="75" t="n"/>
      <c r="BM325" s="75" t="n"/>
      <c r="BN325" s="75" t="n"/>
      <c r="BO325" s="75" t="n"/>
      <c r="BP325" s="75" t="n"/>
      <c r="BQ325" s="75" t="n"/>
      <c r="BR325" s="75" t="n"/>
      <c r="BS325" s="75" t="n"/>
      <c r="BT325" s="75" t="n"/>
      <c r="BU325" s="75" t="n"/>
      <c r="BV325" s="75" t="n"/>
      <c r="BW325" s="75" t="n"/>
      <c r="BX325" s="75" t="n"/>
      <c r="BY325" s="75" t="n"/>
      <c r="BZ325" s="75" t="n"/>
      <c r="CA325" s="75" t="n"/>
      <c r="CB325" s="75" t="n"/>
      <c r="CC325" s="75" t="n"/>
      <c r="CD325" s="75" t="n"/>
      <c r="CE325" s="75" t="n"/>
      <c r="CF325" s="75" t="n"/>
      <c r="CG325" s="75" t="n"/>
      <c r="CH325" s="75" t="n"/>
      <c r="CI325" s="75" t="n"/>
      <c r="CJ325" s="75" t="n"/>
      <c r="CK325" s="75" t="n"/>
      <c r="CL325" s="75" t="n"/>
      <c r="CM325" s="75" t="n"/>
      <c r="CN325" s="75" t="n"/>
      <c r="CO325" s="75" t="n"/>
      <c r="CP325" s="75" t="n"/>
      <c r="CQ325" s="75" t="n"/>
      <c r="CR325" s="75" t="n"/>
      <c r="CS325" s="75" t="n"/>
      <c r="CT325" s="75" t="n"/>
      <c r="CU325" s="75" t="n"/>
      <c r="CV325" s="75" t="n"/>
      <c r="CW325" s="75" t="n"/>
      <c r="CX325" s="75" t="n"/>
      <c r="CY325" s="75" t="n"/>
    </row>
    <row r="326" customFormat="1" s="77">
      <c r="A326" s="76" t="n"/>
      <c r="B326" s="76" t="n"/>
      <c r="C326" s="74" t="inlineStr">
        <is>
          <t>GROWTH &amp; MARGINS</t>
        </is>
      </c>
    </row>
    <row r="327" customFormat="1" s="77">
      <c r="A327" s="76" t="n"/>
      <c r="B327" s="76" t="n"/>
      <c r="C327" s="77" t="inlineStr">
        <is>
          <t>NET REVENUE GROWTH (YoY)</t>
        </is>
      </c>
      <c r="E327" s="78" t="str">
        <f>IFERROR(E15/D15-1,"")</f>
        <v/>
      </c>
      <c r="F327" s="78" t="str">
        <f>IFERROR(F15/E15-1,"")</f>
        <v/>
      </c>
      <c r="G327" s="78" t="str">
        <f>IFERROR(G15/F15-1,"")</f>
        <v/>
      </c>
      <c r="H327" s="257" t="str">
        <f>""</f>
        <v/>
      </c>
      <c r="I327" s="257" t="str">
        <f>""</f>
        <v/>
      </c>
      <c r="J327" s="257" t="str">
        <f>""</f>
        <v/>
      </c>
      <c r="K327" s="257" t="str">
        <f>""</f>
        <v/>
      </c>
      <c r="L327" s="257" t="str">
        <f>""</f>
        <v/>
      </c>
      <c r="M327" s="257" t="str">
        <f>IFERROR(IF(AND(ISNUMBER(M15),ISNUMBER(H15),H15&lt;&gt;0),M15/H15-1,""),"")</f>
        <v/>
      </c>
      <c r="N327" s="257">
        <f>IFERROR(IF(AND(ISNUMBER(N15),ISNUMBER(I15),I15&lt;&gt;0),N15/I15-1,""),"")</f>
        <v>0.0424392662369857</v>
      </c>
      <c r="O327" s="257">
        <f>IFERROR(IF(AND(ISNUMBER(O15),ISNUMBER(J15),J15&lt;&gt;0),O15/J15-1,""),"")</f>
        <v>0.0546005166117396</v>
      </c>
      <c r="P327" s="257">
        <f>IFERROR(IF(AND(ISNUMBER(P15),ISNUMBER(K15),K15&lt;&gt;0),P15/K15-1,""),"")</f>
        <v>0.176500822368421</v>
      </c>
      <c r="Q327" s="257">
        <f>IFERROR(IF(AND(ISNUMBER(Q15),ISNUMBER(L15),L15&lt;&gt;0),Q15/L15-1,""),"")</f>
        <v>0.18484555984556</v>
      </c>
      <c r="R327" s="257">
        <f>IFERROR(IF(AND(ISNUMBER(R15),ISNUMBER(M15),M15&lt;&gt;0),R15/M15-1,""),"")</f>
        <v>0.112874396135266</v>
      </c>
      <c r="S327" s="257">
        <f>IFERROR(IF(AND(ISNUMBER(S15),ISNUMBER(N15),N15&lt;&gt;0),S15/N15-1,""),"")</f>
        <v>0.17930181679825</v>
      </c>
      <c r="T327" s="257">
        <f>IFERROR(IF(AND(ISNUMBER(T15),ISNUMBER(O15),O15&lt;&gt;0),T15/O15-1,""),"")</f>
        <v>0.168581081081081</v>
      </c>
      <c r="U327" s="257">
        <f>IFERROR(IF(AND(ISNUMBER(U15),ISNUMBER(P15),P15&lt;&gt;0),U15/P15-1,""),"")</f>
        <v>0.0880733944954129</v>
      </c>
      <c r="V327" s="257">
        <f>IFERROR(IF(AND(ISNUMBER(V15),ISNUMBER(Q15),Q15&lt;&gt;0),V15/Q15-1,""),"")</f>
        <v>0.0542566191446028</v>
      </c>
      <c r="W327" s="257">
        <f>IFERROR(IF(AND(ISNUMBER(W15),ISNUMBER(R15),R15&lt;&gt;0),W15/R15-1,""),"")</f>
        <v>0.120569530961735</v>
      </c>
      <c r="X327" s="257">
        <f>IFERROR(IF(AND(ISNUMBER(X15),ISNUMBER(S15),S15&lt;&gt;0),X15/S15-1,""),"")</f>
        <v>0.0711405065333117</v>
      </c>
      <c r="Y327" s="257">
        <f>IFERROR(IF(AND(ISNUMBER(Y15),ISNUMBER(T15),T15&lt;&gt;0),Y15/T15-1,""),"")</f>
        <v>0.0325961260479908</v>
      </c>
      <c r="Z327" s="257">
        <f>IFERROR(IF(AND(ISNUMBER(Z15),ISNUMBER(U15),U15&lt;&gt;0),Z15/U15-1,""),"")</f>
        <v>0.0685778527262506</v>
      </c>
      <c r="AA327" s="257">
        <f>IFERROR(IF(AND(ISNUMBER(AA15),ISNUMBER(V15),V15&lt;&gt;0),AA15/V15-1,""),"")</f>
        <v>0.0863920871648249</v>
      </c>
      <c r="AB327" s="257">
        <f>IFERROR(IF(AND(ISNUMBER(AB15),ISNUMBER(W15),W15&lt;&gt;0),AB15/W15-1,""),"")</f>
        <v>0.0640156504222516</v>
      </c>
      <c r="AC327" s="257">
        <f>IFERROR(IF(AND(ISNUMBER(AC15),ISNUMBER(X15),X15&lt;&gt;0),AC15/X15-1,""),"")</f>
        <v>0.0640060240963856</v>
      </c>
      <c r="AD327" s="257">
        <f>IFERROR(IF(AND(ISNUMBER(AD15),ISNUMBER(Y15),Y15&lt;&gt;0),AD15/Y15-1,""),"")</f>
        <v>0.11310982011619</v>
      </c>
      <c r="AE327" s="257">
        <f>IFERROR(IF(AND(ISNUMBER(AE15),ISNUMBER(Z15),Z15&lt;&gt;0),AE15/Z15-1,""),"")</f>
        <v>0.121665288945668</v>
      </c>
      <c r="AF327" s="257">
        <f>IFERROR(IF(AND(ISNUMBER(AF15),ISNUMBER(AA15),AA15&lt;&gt;0),AF15/AA15-1,""),"")</f>
        <v>0.142186499751049</v>
      </c>
      <c r="AG327" s="257">
        <f>IFERROR(IF(AND(ISNUMBER(AG15),ISNUMBER(AB15),AB15&lt;&gt;0),AG15/AB15-1,""),"")</f>
        <v>0.110753099229971</v>
      </c>
      <c r="AH327" s="257">
        <f>IFERROR(IF(AND(ISNUMBER(AH15),ISNUMBER(AC15),AC15&lt;&gt;0),AH15/AC15-1,""),"")</f>
        <v>0.21656050955414</v>
      </c>
      <c r="AI327" s="257">
        <f>IFERROR(IF(AND(ISNUMBER(AI15),ISNUMBER(AD15),AD15&lt;&gt;0),AI15/AD15-1,""),"")</f>
        <v>0.206313274224989</v>
      </c>
      <c r="AJ327" s="257">
        <f>IFERROR(IF(AND(ISNUMBER(AJ15),ISNUMBER(AE15),AE15&lt;&gt;0),AJ15/AE15-1,""),"")</f>
        <v>0.14397356944807</v>
      </c>
      <c r="AK327" s="257">
        <f>IFERROR(IF(AND(ISNUMBER(AK15),ISNUMBER(AF15),AF15&lt;&gt;0),AK15/AF15-1,""),"")</f>
        <v>0.14397356944807</v>
      </c>
      <c r="AL327" s="257">
        <f>IFERROR(IF(AND(ISNUMBER(AL15),ISNUMBER(AG15),AG15&lt;&gt;0),AL15/AG15-1,""),"")</f>
        <v>0.177030615660865</v>
      </c>
      <c r="AM327" s="257">
        <f>IFERROR(IF(AND(ISNUMBER(AM15),ISNUMBER(AH15),AH15&lt;&gt;0),AM15/AH15-1,""),"")</f>
        <v>0.14397356944807</v>
      </c>
      <c r="AN327" s="257">
        <f>IFERROR(IF(AND(ISNUMBER(AN15),ISNUMBER(AI15),AI15&lt;&gt;0),AN15/AI15-1,""),"")</f>
        <v>0.14397356944807</v>
      </c>
      <c r="AO327" s="257">
        <f>IFERROR(IF(AND(ISNUMBER(AO15),ISNUMBER(AJ15),AJ15&lt;&gt;0),AO15/AJ15-1,""),"")</f>
        <v>0.14397356944807</v>
      </c>
      <c r="AP327" s="257">
        <f>IFERROR(IF(AND(ISNUMBER(AP15),ISNUMBER(AK15),AK15&lt;&gt;0),AP15/AK15-1,""),"")</f>
        <v>0.14397356944807</v>
      </c>
      <c r="AQ327" s="257">
        <f>IFERROR(IF(AND(ISNUMBER(AQ15),ISNUMBER(AL15),AL15&lt;&gt;0),AQ15/AL15-1,""),"")</f>
        <v>0.14397356944807</v>
      </c>
      <c r="AR327" s="257">
        <f>IFERROR(IF(AND(ISNUMBER(AR15),ISNUMBER(AM15),AM15&lt;&gt;0),AR15/AM15-1,""),"")</f>
        <v>0.13897356944807</v>
      </c>
      <c r="AS327" s="257">
        <f>IFERROR(IF(AND(ISNUMBER(AS15),ISNUMBER(AN15),AN15&lt;&gt;0),AS15/AN15-1,""),"")</f>
        <v>0.13897356944807</v>
      </c>
      <c r="AT327" s="257">
        <f>IFERROR(IF(AND(ISNUMBER(AT15),ISNUMBER(AO15),AO15&lt;&gt;0),AT15/AO15-1,""),"")</f>
        <v>0.13897356944807</v>
      </c>
      <c r="AU327" s="257">
        <f>IFERROR(IF(AND(ISNUMBER(AU15),ISNUMBER(AP15),AP15&lt;&gt;0),AU15/AP15-1,""),"")</f>
        <v>0.13897356944807</v>
      </c>
      <c r="AV327" s="257">
        <f>IFERROR(IF(AND(ISNUMBER(AV15),ISNUMBER(AQ15),AQ15&lt;&gt;0),AV15/AQ15-1,""),"")</f>
        <v>0.13897356944807</v>
      </c>
      <c r="AW327" s="257">
        <f>IFERROR(IF(AND(ISNUMBER(AW15),ISNUMBER(AR15),AR15&lt;&gt;0),AW15/AR15-1,""),"")</f>
        <v>0.13397356944807</v>
      </c>
      <c r="AX327" s="257">
        <f>IFERROR(IF(AND(ISNUMBER(AX15),ISNUMBER(AS15),AS15&lt;&gt;0),AX15/AS15-1,""),"")</f>
        <v>0.13397356944807</v>
      </c>
      <c r="AY327" s="257">
        <f>IFERROR(IF(AND(ISNUMBER(AY15),ISNUMBER(AT15),AT15&lt;&gt;0),AY15/AT15-1,""),"")</f>
        <v>0.13397356944807</v>
      </c>
      <c r="AZ327" s="257">
        <f>IFERROR(IF(AND(ISNUMBER(AZ15),ISNUMBER(AU15),AU15&lt;&gt;0),AZ15/AU15-1,""),"")</f>
        <v>0.13397356944807</v>
      </c>
      <c r="BA327" s="257">
        <f>IFERROR(IF(AND(ISNUMBER(BA15),ISNUMBER(AV15),AV15&lt;&gt;0),BA15/AV15-1,""),"")</f>
        <v>0.13397356944807</v>
      </c>
      <c r="BB327" s="257">
        <f>IFERROR(IF(AND(ISNUMBER(BB15),ISNUMBER(AW15),AW15&lt;&gt;0),BB15/AW15-1,""),"")</f>
        <v>0.12897356944807</v>
      </c>
      <c r="BC327" s="257">
        <f>IFERROR(IF(AND(ISNUMBER(BC15),ISNUMBER(AX15),AX15&lt;&gt;0),BC15/AX15-1,""),"")</f>
        <v>0.12897356944807</v>
      </c>
      <c r="BD327" s="257">
        <f>IFERROR(IF(AND(ISNUMBER(BD15),ISNUMBER(AY15),AY15&lt;&gt;0),BD15/AY15-1,""),"")</f>
        <v>0.12897356944807</v>
      </c>
      <c r="BE327" s="257">
        <f>IFERROR(IF(AND(ISNUMBER(BE15),ISNUMBER(AZ15),AZ15&lt;&gt;0),BE15/AZ15-1,""),"")</f>
        <v>0.12897356944807</v>
      </c>
      <c r="BF327" s="257">
        <f>IFERROR(IF(AND(ISNUMBER(BF15),ISNUMBER(BA15),BA15&lt;&gt;0),BF15/BA15-1,""),"")</f>
        <v>0.12897356944807</v>
      </c>
      <c r="BG327" s="79" t="n"/>
      <c r="BH327" s="79" t="n"/>
      <c r="BI327" s="79" t="n"/>
      <c r="BJ327" s="79" t="n"/>
      <c r="BK327" s="78" t="n"/>
      <c r="BL327" s="79" t="n"/>
      <c r="BM327" s="79" t="n"/>
      <c r="BN327" s="79" t="n"/>
      <c r="BO327" s="79" t="n"/>
      <c r="BP327" s="78" t="n"/>
      <c r="BQ327" s="79" t="n"/>
      <c r="BR327" s="79" t="n"/>
      <c r="BS327" s="79" t="n"/>
      <c r="BT327" s="79" t="n"/>
      <c r="BU327" s="78" t="n"/>
      <c r="BV327" s="79" t="n"/>
      <c r="BW327" s="79" t="n"/>
      <c r="BX327" s="79" t="n"/>
      <c r="BY327" s="79" t="n"/>
      <c r="BZ327" s="78" t="n"/>
      <c r="CA327" s="79" t="n"/>
      <c r="CB327" s="79" t="n"/>
      <c r="CC327" s="79" t="n"/>
      <c r="CD327" s="79" t="n"/>
      <c r="CE327" s="78" t="n"/>
      <c r="CF327" s="79" t="n"/>
      <c r="CG327" s="79" t="n"/>
      <c r="CH327" s="79" t="n"/>
      <c r="CI327" s="79" t="n"/>
      <c r="CJ327" s="78" t="n"/>
      <c r="CK327" s="79" t="n"/>
      <c r="CL327" s="79" t="n"/>
      <c r="CM327" s="79" t="n"/>
      <c r="CN327" s="79" t="n"/>
      <c r="CO327" s="78" t="n"/>
      <c r="CP327" s="79" t="n"/>
      <c r="CQ327" s="79" t="n"/>
      <c r="CR327" s="79" t="n"/>
      <c r="CS327" s="79" t="n"/>
      <c r="CT327" s="78" t="n"/>
      <c r="CU327" s="79" t="n"/>
      <c r="CV327" s="79" t="n"/>
      <c r="CW327" s="79" t="n"/>
      <c r="CX327" s="79" t="n"/>
      <c r="CY327" s="78" t="n"/>
    </row>
    <row r="328" customFormat="1" s="77">
      <c r="A328" s="76" t="n"/>
      <c r="B328" s="76" t="n"/>
      <c r="C328" s="77" t="inlineStr">
        <is>
          <t>GROSS MARGIN</t>
        </is>
      </c>
      <c r="D328" s="79" t="str">
        <f>IFERROR(SUM(D15,D60)/D15,"")</f>
        <v/>
      </c>
      <c r="E328" s="79" t="str">
        <f>IFERROR(SUM(E15,E60)/E15,"")</f>
        <v/>
      </c>
      <c r="F328" s="79" t="str">
        <f>IFERROR(SUM(F15,F60)/F15,"")</f>
        <v/>
      </c>
      <c r="G328" s="79" t="str">
        <f>IFERROR(SUM(G15,G60)/G15,"")</f>
        <v/>
      </c>
      <c r="H328" s="258" t="str">
        <f>IFERROR(IF(N(H15)&lt;&gt;0,(H15+H60)/H15,""),"")</f>
        <v/>
      </c>
      <c r="I328" s="258">
        <f>IFERROR(IF(N(I15)&lt;&gt;0,(I15+I60)/I15,""),"")</f>
        <v>0.810114030738721</v>
      </c>
      <c r="J328" s="258">
        <f>IFERROR(IF(N(J15)&lt;&gt;0,(J15+J60)/J15,""),"")</f>
        <v>0.810991360114011</v>
      </c>
      <c r="K328" s="258">
        <f>IFERROR(IF(N(K15)&lt;&gt;0,(K15+K60)/K15,""),"")</f>
        <v>0.78381990131579</v>
      </c>
      <c r="L328" s="258">
        <f>IFERROR(IF(N(L15)&lt;&gt;0,(L15+L60)/L15,""),"")</f>
        <v>0.791602316602317</v>
      </c>
      <c r="M328" s="258">
        <f>IFERROR(IF(N(M15)&lt;&gt;0,(M15+M60)/M15,""),"")</f>
        <v>0.799541062801932</v>
      </c>
      <c r="N328" s="258">
        <f>IFERROR(IF(N(N15)&lt;&gt;0,(N15+N60)/N15,""),"")</f>
        <v>0.789023114239513</v>
      </c>
      <c r="O328" s="258">
        <f>IFERROR(IF(N(O15)&lt;&gt;0,(O15+O60)/O15,""),"")</f>
        <v>0.797550675675676</v>
      </c>
      <c r="P328" s="258">
        <f>IFERROR(IF(N(P15)&lt;&gt;0,(P15+P60)/P15,""),"")</f>
        <v>0.734643949322848</v>
      </c>
      <c r="Q328" s="258">
        <f>IFERROR(IF(N(Q15)&lt;&gt;0,(Q15+Q60)/Q15,""),"")</f>
        <v>0.726435845213849</v>
      </c>
      <c r="R328" s="258">
        <f>IFERROR(IF(N(R15)&lt;&gt;0,(R15+R60)/R15,""),"")</f>
        <v>0.761031406680702</v>
      </c>
      <c r="S328" s="258">
        <f>IFERROR(IF(N(S15)&lt;&gt;0,(S15+S60)/S15,""),"")</f>
        <v>0.722616551056622</v>
      </c>
      <c r="T328" s="258">
        <f>IFERROR(IF(N(T15)&lt;&gt;0,(T15+T60)/T15,""),"")</f>
        <v>0.730413414281584</v>
      </c>
      <c r="U328" s="258">
        <f>IFERROR(IF(N(U15)&lt;&gt;0,(U15+U60)/U15,""),"")</f>
        <v>0.710110013651329</v>
      </c>
      <c r="V328" s="258">
        <f>IFERROR(IF(N(V15)&lt;&gt;0,(V15+V60)/V15,""),"")</f>
        <v>0.710996059037169</v>
      </c>
      <c r="W328" s="258">
        <f>IFERROR(IF(N(W15)&lt;&gt;0,(W15+W60)/W15,""),"")</f>
        <v>0.718776632834896</v>
      </c>
      <c r="X328" s="258">
        <f>IFERROR(IF(N(X15)&lt;&gt;0,(X15+X60)/X15,""),"")</f>
        <v>0.708659638554217</v>
      </c>
      <c r="Y328" s="258">
        <f>IFERROR(IF(N(Y15)&lt;&gt;0,(Y15+Y60)/Y15,""),"")</f>
        <v>0.725344718975292</v>
      </c>
      <c r="Z328" s="258">
        <f>IFERROR(IF(N(Z15)&lt;&gt;0,(Z15+Z60)/Z15,""),"")</f>
        <v>0.706470278800631</v>
      </c>
      <c r="AA328" s="258">
        <f>IFERROR(IF(N(AA15)&lt;&gt;0,(AA15+AA60)/AA15,""),"")</f>
        <v>0.70943879365531</v>
      </c>
      <c r="AB328" s="258">
        <f>IFERROR(IF(N(AB15)&lt;&gt;0,(AB15+AB60)/AB15,""),"")</f>
        <v>0.712668159394171</v>
      </c>
      <c r="AC328" s="258">
        <f>IFERROR(IF(N(AC15)&lt;&gt;0,(AC15+AC60)/AC15,""),"")</f>
        <v>0.703113941967445</v>
      </c>
      <c r="AD328" s="258">
        <f>IFERROR(IF(N(AD15)&lt;&gt;0,(AD15+AD60)/AD15,""),"")</f>
        <v>0.701880148399673</v>
      </c>
      <c r="AE328" s="258">
        <f>IFERROR(IF(N(AE15)&lt;&gt;0,(AE15+AE60)/AE15,""),"")</f>
        <v>0.672785742998794</v>
      </c>
      <c r="AF328" s="258">
        <f>IFERROR(IF(N(AF15)&lt;&gt;0,(AF15+AF60)/AF15,""),"")</f>
        <v>0.665338149209117</v>
      </c>
      <c r="AG328" s="258">
        <f>IFERROR(IF(N(AG15)&lt;&gt;0,(AG15+AG60)/AG15,""),"")</f>
        <v>0.685431928806726</v>
      </c>
      <c r="AH328" s="258">
        <f>IFERROR(IF(N(AH15)&lt;&gt;0,(AH15+AH60)/AH15,""),"")</f>
        <v>0.645607911576498</v>
      </c>
      <c r="AI328" s="258">
        <f>IFERROR(IF(N(AI15)&lt;&gt;0,(AI15+AI60)/AI15,""),"")</f>
        <v>0.652262301918265</v>
      </c>
      <c r="AJ328" s="258">
        <f>IFERROR(IF(N(AJ15)&lt;&gt;0,(AJ15+AJ60)/AJ15,""),"")</f>
        <v>0.673498032678299</v>
      </c>
      <c r="AK328" s="258">
        <f>IFERROR(IF(N(AK15)&lt;&gt;0,(AK15+AK60)/AK15,""),"")</f>
        <v>0.673498032678299</v>
      </c>
      <c r="AL328" s="258">
        <f>IFERROR(IF(N(AL15)&lt;&gt;0,(AL15+AL60)/AL15,""),"")</f>
        <v>0.661150061270938</v>
      </c>
      <c r="AM328" s="258">
        <f>IFERROR(IF(N(AM15)&lt;&gt;0,(AM15+AM60)/AM15,""),"")</f>
        <v>0.673498032678299</v>
      </c>
      <c r="AN328" s="258">
        <f>IFERROR(IF(N(AN15)&lt;&gt;0,(AN15+AN60)/AN15,""),"")</f>
        <v>0.673498032678299</v>
      </c>
      <c r="AO328" s="258">
        <f>IFERROR(IF(N(AO15)&lt;&gt;0,(AO15+AO60)/AO15,""),"")</f>
        <v>0.673498032678299</v>
      </c>
      <c r="AP328" s="258">
        <f>IFERROR(IF(N(AP15)&lt;&gt;0,(AP15+AP60)/AP15,""),"")</f>
        <v>0.673498032678299</v>
      </c>
      <c r="AQ328" s="258">
        <f>IFERROR(IF(N(AQ15)&lt;&gt;0,(AQ15+AQ60)/AQ15,""),"")</f>
        <v>0.673498032678299</v>
      </c>
      <c r="AR328" s="258">
        <f>IFERROR(IF(N(AR15)&lt;&gt;0,(AR15+AR60)/AR15,""),"")</f>
        <v>0.673498032678299</v>
      </c>
      <c r="AS328" s="258">
        <f>IFERROR(IF(N(AS15)&lt;&gt;0,(AS15+AS60)/AS15,""),"")</f>
        <v>0.673498032678299</v>
      </c>
      <c r="AT328" s="258">
        <f>IFERROR(IF(N(AT15)&lt;&gt;0,(AT15+AT60)/AT15,""),"")</f>
        <v>0.673498032678299</v>
      </c>
      <c r="AU328" s="258">
        <f>IFERROR(IF(N(AU15)&lt;&gt;0,(AU15+AU60)/AU15,""),"")</f>
        <v>0.673498032678299</v>
      </c>
      <c r="AV328" s="258">
        <f>IFERROR(IF(N(AV15)&lt;&gt;0,(AV15+AV60)/AV15,""),"")</f>
        <v>0.673498032678299</v>
      </c>
      <c r="AW328" s="258">
        <f>IFERROR(IF(N(AW15)&lt;&gt;0,(AW15+AW60)/AW15,""),"")</f>
        <v>0.673498032678299</v>
      </c>
      <c r="AX328" s="258">
        <f>IFERROR(IF(N(AX15)&lt;&gt;0,(AX15+AX60)/AX15,""),"")</f>
        <v>0.673498032678299</v>
      </c>
      <c r="AY328" s="258">
        <f>IFERROR(IF(N(AY15)&lt;&gt;0,(AY15+AY60)/AY15,""),"")</f>
        <v>0.673498032678299</v>
      </c>
      <c r="AZ328" s="258">
        <f>IFERROR(IF(N(AZ15)&lt;&gt;0,(AZ15+AZ60)/AZ15,""),"")</f>
        <v>0.673498032678299</v>
      </c>
      <c r="BA328" s="258">
        <f>IFERROR(IF(N(BA15)&lt;&gt;0,(BA15+BA60)/BA15,""),"")</f>
        <v>0.673498032678299</v>
      </c>
      <c r="BB328" s="258">
        <f>IFERROR(IF(N(BB15)&lt;&gt;0,(BB15+BB60)/BB15,""),"")</f>
        <v>0.673498032678299</v>
      </c>
      <c r="BC328" s="258">
        <f>IFERROR(IF(N(BC15)&lt;&gt;0,(BC15+BC60)/BC15,""),"")</f>
        <v>0.673498032678299</v>
      </c>
      <c r="BD328" s="258">
        <f>IFERROR(IF(N(BD15)&lt;&gt;0,(BD15+BD60)/BD15,""),"")</f>
        <v>0.673498032678299</v>
      </c>
      <c r="BE328" s="258">
        <f>IFERROR(IF(N(BE15)&lt;&gt;0,(BE15+BE60)/BE15,""),"")</f>
        <v>0.673498032678299</v>
      </c>
      <c r="BF328" s="258">
        <f>IFERROR(IF(N(BF15)&lt;&gt;0,(BF15+BF60)/BF15,""),"")</f>
        <v>0.673498032678299</v>
      </c>
      <c r="BG328" s="80" t="n"/>
      <c r="BH328" s="80" t="n"/>
      <c r="BI328" s="80" t="n"/>
      <c r="BJ328" s="80" t="n"/>
      <c r="BL328" s="80" t="n"/>
      <c r="BM328" s="80" t="n"/>
      <c r="BN328" s="80" t="n"/>
      <c r="BO328" s="80" t="n"/>
      <c r="BQ328" s="80" t="n"/>
      <c r="BR328" s="80" t="n"/>
      <c r="BS328" s="80" t="n"/>
      <c r="BT328" s="80" t="n"/>
      <c r="BV328" s="80" t="n"/>
      <c r="BW328" s="80" t="n"/>
      <c r="BX328" s="80" t="n"/>
      <c r="BY328" s="80" t="n"/>
      <c r="CA328" s="80" t="n"/>
      <c r="CB328" s="80" t="n"/>
      <c r="CC328" s="80" t="n"/>
      <c r="CD328" s="80" t="n"/>
      <c r="CF328" s="80" t="n"/>
      <c r="CG328" s="80" t="n"/>
      <c r="CH328" s="80" t="n"/>
      <c r="CI328" s="80" t="n"/>
      <c r="CK328" s="80" t="n"/>
      <c r="CL328" s="80" t="n"/>
      <c r="CM328" s="80" t="n"/>
      <c r="CN328" s="80" t="n"/>
      <c r="CP328" s="80" t="n"/>
      <c r="CQ328" s="80" t="n"/>
      <c r="CR328" s="80" t="n"/>
      <c r="CS328" s="80" t="n"/>
      <c r="CU328" s="80" t="n"/>
      <c r="CV328" s="80" t="n"/>
      <c r="CW328" s="80" t="n"/>
      <c r="CX328" s="80" t="n"/>
    </row>
    <row r="329" customFormat="1" s="77">
      <c r="A329" s="76" t="n"/>
      <c r="B329" s="76" t="n"/>
      <c r="C329" s="77" t="inlineStr">
        <is>
          <t>EBIT MARGIN</t>
        </is>
      </c>
      <c r="D329" s="78" t="str">
        <f>IFERROR((D79/D15),"")</f>
        <v/>
      </c>
      <c r="E329" s="78" t="str">
        <f>IFERROR((E79/E15),"")</f>
        <v/>
      </c>
      <c r="F329" s="78" t="str">
        <f>IFERROR((F79/F15),"")</f>
        <v/>
      </c>
      <c r="G329" s="78" t="str">
        <f>IFERROR((G79/G15),"")</f>
        <v/>
      </c>
      <c r="H329" s="258" t="str">
        <f>IFERROR(IF(N(H15)&lt;&gt;0,H79/H15,""),"")</f>
        <v/>
      </c>
      <c r="I329" s="257">
        <f>IFERROR(IF(N(I15)&lt;&gt;0,I79/I15,""),"")</f>
        <v>0.384531482399603</v>
      </c>
      <c r="J329" s="257">
        <f>IFERROR(IF(N(J15)&lt;&gt;0,J79/J15,""),"")</f>
        <v>0.40447136367685</v>
      </c>
      <c r="K329" s="257">
        <f>IFERROR(IF(N(K15)&lt;&gt;0,K79/K15,""),"")</f>
        <v>0.352282072368421</v>
      </c>
      <c r="L329" s="257">
        <f>IFERROR(IF(N(L15)&lt;&gt;0,L79/L15,""),"")</f>
        <v>-0.0795366795366795</v>
      </c>
      <c r="M329" s="258">
        <f>IFERROR(IF(N(M15)&lt;&gt;0,M79/M15,""),"")</f>
        <v>0.266231884057971</v>
      </c>
      <c r="N329" s="257">
        <f>IFERROR(IF(N(N15)&lt;&gt;0,N79/N15,""),"")</f>
        <v>0.363549890611624</v>
      </c>
      <c r="O329" s="257">
        <f>IFERROR(IF(N(O15)&lt;&gt;0,O79/O15,""),"")</f>
        <v>0.380236486486487</v>
      </c>
      <c r="P329" s="257">
        <f>IFERROR(IF(N(P15)&lt;&gt;0,P79/P15,""),"")</f>
        <v>0.229183049366536</v>
      </c>
      <c r="Q329" s="257">
        <f>IFERROR(IF(N(Q15)&lt;&gt;0,Q79/Q15,""),"")</f>
        <v>0.250183299389002</v>
      </c>
      <c r="R329" s="258">
        <f>IFERROR(IF(N(R15)&lt;&gt;0,R79/R15,""),"")</f>
        <v>0.304256288932781</v>
      </c>
      <c r="S329" s="257">
        <f>IFERROR(IF(N(S15)&lt;&gt;0,S79/S15,""),"")</f>
        <v>0.262945636392967</v>
      </c>
      <c r="T329" s="257">
        <f>IFERROR(IF(N(T15)&lt;&gt;0,T79/T15,""),"")</f>
        <v>0.299219427580226</v>
      </c>
      <c r="U329" s="257">
        <f>IFERROR(IF(N(U15)&lt;&gt;0,U79/U15,""),"")</f>
        <v>0.264675178671806</v>
      </c>
      <c r="V329" s="257">
        <f>IFERROR(IF(N(V15)&lt;&gt;0,V79/V15,""),"")</f>
        <v>0.279885634804111</v>
      </c>
      <c r="W329" s="258">
        <f>IFERROR(IF(N(W15)&lt;&gt;0,W79/W15,""),"")</f>
        <v>0.277330130936701</v>
      </c>
      <c r="X329" s="257">
        <f>IFERROR(IF(N(X15)&lt;&gt;0,X79/X15,""),"")</f>
        <v>0.282379518072289</v>
      </c>
      <c r="Y329" s="257">
        <f>IFERROR(IF(N(Y15)&lt;&gt;0,Y79/Y15,""),"")</f>
        <v>0.327990480856723</v>
      </c>
      <c r="Z329" s="257">
        <f>IFERROR(IF(N(Z15)&lt;&gt;0,Z79/Z15,""),"")</f>
        <v>0.299917336740062</v>
      </c>
      <c r="AA329" s="257">
        <f>IFERROR(IF(N(AA15)&lt;&gt;0,AA79/AA15,""),"")</f>
        <v>0.30016359627285</v>
      </c>
      <c r="AB329" s="258">
        <f>IFERROR(IF(N(AB15)&lt;&gt;0,AB79/AB15,""),"")</f>
        <v>0.303041887390093</v>
      </c>
      <c r="AC329" s="257">
        <f>IFERROR(IF(N(AC15)&lt;&gt;0,AC79/AC15,""),"")</f>
        <v>0.308421797593772</v>
      </c>
      <c r="AD329" s="257">
        <f>IFERROR(IF(N(AD15)&lt;&gt;0,AD79/AD15,""),"")</f>
        <v>0.321260139596303</v>
      </c>
      <c r="AE329" s="257">
        <f>IFERROR(IF(N(AE15)&lt;&gt;0,AE79/AE15,""),"")</f>
        <v>0.286546965027469</v>
      </c>
      <c r="AF329" s="257">
        <f>IFERROR(IF(N(AF15)&lt;&gt;0,AF79/AF15,""),"")</f>
        <v>0.294619504296924</v>
      </c>
      <c r="AG329" s="258">
        <f>IFERROR(IF(N(AG15)&lt;&gt;0,AG79/AG15,""),"")</f>
        <v>0.302784469901831</v>
      </c>
      <c r="AH329" s="257">
        <f>IFERROR(IF(N(AH15)&lt;&gt;0,AH79/AH15,""),"")</f>
        <v>0.317859220477022</v>
      </c>
      <c r="AI329" s="257">
        <f>IFERROR(IF(N(AI15)&lt;&gt;0,AI79/AI15,""),"")</f>
        <v>0.319693494578816</v>
      </c>
      <c r="AJ329" s="257">
        <f>IFERROR(IF(N(AJ15)&lt;&gt;0,AJ79/AJ15,""),"")</f>
        <v>0.308066853595051</v>
      </c>
      <c r="AK329" s="257">
        <f>IFERROR(IF(N(AK15)&lt;&gt;0,AK79/AK15,""),"")</f>
        <v>0.308066853595051</v>
      </c>
      <c r="AL329" s="258">
        <f>IFERROR(IF(N(AL15)&lt;&gt;0,AL79/AL15,""),"")</f>
        <v>0.313516343802488</v>
      </c>
      <c r="AM329" s="257">
        <f>IFERROR(IF(N(AM15)&lt;&gt;0,AM79/AM15,""),"")</f>
        <v>0.308066853595051</v>
      </c>
      <c r="AN329" s="257">
        <f>IFERROR(IF(N(AN15)&lt;&gt;0,AN79/AN15,""),"")</f>
        <v>0.308066853595051</v>
      </c>
      <c r="AO329" s="257">
        <f>IFERROR(IF(N(AO15)&lt;&gt;0,AO79/AO15,""),"")</f>
        <v>0.308066853595051</v>
      </c>
      <c r="AP329" s="257">
        <f>IFERROR(IF(N(AP15)&lt;&gt;0,AP79/AP15,""),"")</f>
        <v>0.308066853595051</v>
      </c>
      <c r="AQ329" s="258">
        <f>IFERROR(IF(N(AQ15)&lt;&gt;0,AQ79/AQ15,""),"")</f>
        <v>0.308066853595051</v>
      </c>
      <c r="AR329" s="257">
        <f>IFERROR(IF(N(AR15)&lt;&gt;0,AR79/AR15,""),"")</f>
        <v>0.308066853595051</v>
      </c>
      <c r="AS329" s="257">
        <f>IFERROR(IF(N(AS15)&lt;&gt;0,AS79/AS15,""),"")</f>
        <v>0.308066853595051</v>
      </c>
      <c r="AT329" s="257">
        <f>IFERROR(IF(N(AT15)&lt;&gt;0,AT79/AT15,""),"")</f>
        <v>0.308066853595051</v>
      </c>
      <c r="AU329" s="257">
        <f>IFERROR(IF(N(AU15)&lt;&gt;0,AU79/AU15,""),"")</f>
        <v>0.308066853595051</v>
      </c>
      <c r="AV329" s="258">
        <f>IFERROR(IF(N(AV15)&lt;&gt;0,AV79/AV15,""),"")</f>
        <v>0.308066853595051</v>
      </c>
      <c r="AW329" s="257">
        <f>IFERROR(IF(N(AW15)&lt;&gt;0,AW79/AW15,""),"")</f>
        <v>0.308066853595051</v>
      </c>
      <c r="AX329" s="257">
        <f>IFERROR(IF(N(AX15)&lt;&gt;0,AX79/AX15,""),"")</f>
        <v>0.308066853595051</v>
      </c>
      <c r="AY329" s="257">
        <f>IFERROR(IF(N(AY15)&lt;&gt;0,AY79/AY15,""),"")</f>
        <v>0.308066853595051</v>
      </c>
      <c r="AZ329" s="257">
        <f>IFERROR(IF(N(AZ15)&lt;&gt;0,AZ79/AZ15,""),"")</f>
        <v>0.308066853595051</v>
      </c>
      <c r="BA329" s="258">
        <f>IFERROR(IF(N(BA15)&lt;&gt;0,BA79/BA15,""),"")</f>
        <v>0.308066853595051</v>
      </c>
      <c r="BB329" s="257">
        <f>IFERROR(IF(N(BB15)&lt;&gt;0,BB79/BB15,""),"")</f>
        <v>0.308066853595051</v>
      </c>
      <c r="BC329" s="257">
        <f>IFERROR(IF(N(BC15)&lt;&gt;0,BC79/BC15,""),"")</f>
        <v>0.308066853595051</v>
      </c>
      <c r="BD329" s="257">
        <f>IFERROR(IF(N(BD15)&lt;&gt;0,BD79/BD15,""),"")</f>
        <v>0.308066853595051</v>
      </c>
      <c r="BE329" s="257">
        <f>IFERROR(IF(N(BE15)&lt;&gt;0,BE79/BE15,""),"")</f>
        <v>0.308066853595051</v>
      </c>
      <c r="BF329" s="258">
        <f>IFERROR(IF(N(BF15)&lt;&gt;0,BF79/BF15,""),"")</f>
        <v>0.308066853595051</v>
      </c>
      <c r="BG329" s="81" t="n"/>
      <c r="BH329" s="81" t="n"/>
      <c r="BI329" s="81" t="n"/>
      <c r="BJ329" s="81" t="n"/>
      <c r="BL329" s="81" t="n"/>
      <c r="BM329" s="81" t="n"/>
      <c r="BN329" s="81" t="n"/>
      <c r="BO329" s="81" t="n"/>
      <c r="BQ329" s="81" t="n"/>
      <c r="BR329" s="81" t="n"/>
      <c r="BS329" s="81" t="n"/>
      <c r="BT329" s="81" t="n"/>
      <c r="BV329" s="81" t="n"/>
      <c r="BW329" s="81" t="n"/>
      <c r="BX329" s="81" t="n"/>
      <c r="BY329" s="81" t="n"/>
      <c r="CA329" s="81" t="n"/>
      <c r="CB329" s="81" t="n"/>
      <c r="CC329" s="81" t="n"/>
      <c r="CD329" s="81" t="n"/>
      <c r="CF329" s="81" t="n"/>
      <c r="CG329" s="81" t="n"/>
      <c r="CH329" s="81" t="n"/>
      <c r="CI329" s="81" t="n"/>
      <c r="CK329" s="81" t="n"/>
      <c r="CL329" s="81" t="n"/>
      <c r="CM329" s="81" t="n"/>
      <c r="CN329" s="81" t="n"/>
      <c r="CP329" s="81" t="n"/>
      <c r="CQ329" s="81" t="n"/>
      <c r="CR329" s="81" t="n"/>
      <c r="CS329" s="81" t="n"/>
      <c r="CU329" s="81" t="n"/>
      <c r="CV329" s="81" t="n"/>
      <c r="CW329" s="81" t="n"/>
      <c r="CX329" s="81" t="n"/>
    </row>
    <row r="330" customFormat="1" s="77">
      <c r="A330" s="76" t="n"/>
      <c r="B330" s="76" t="n"/>
      <c r="C330" s="77" t="inlineStr">
        <is>
          <t>EBITDA MARGIN</t>
        </is>
      </c>
      <c r="D330" s="78" t="str">
        <f>IFERROR(D75/D15,"")</f>
        <v/>
      </c>
      <c r="E330" s="78" t="str">
        <f>IFERROR(E75/E15,"")</f>
        <v/>
      </c>
      <c r="F330" s="78" t="str">
        <f>IFERROR(F75/F15,"")</f>
        <v/>
      </c>
      <c r="G330" s="78" t="str">
        <f>IFERROR(G75/G15,"")</f>
        <v/>
      </c>
      <c r="H330" s="258" t="str">
        <f>IFERROR(IF(N(H15)&lt;&gt;0,H75/H15,""),"")</f>
        <v/>
      </c>
      <c r="I330" s="257">
        <f>IFERROR(IF(N(I15)&lt;&gt;0,I75/I15,""),"")</f>
        <v>0.457114526524541</v>
      </c>
      <c r="J330" s="257">
        <f>IFERROR(IF(N(J15)&lt;&gt;0,J75/J15,""),"")</f>
        <v>0.471452747840029</v>
      </c>
      <c r="K330" s="257">
        <f>IFERROR(IF(N(K15)&lt;&gt;0,K75/K15,""),"")</f>
        <v>0.430098684210526</v>
      </c>
      <c r="L330" s="257">
        <f>IFERROR(IF(N(L15)&lt;&gt;0,L75/L15,""),"")</f>
        <v>-0.00637065637065637</v>
      </c>
      <c r="M330" s="258">
        <f>IFERROR(IF(N(M15)&lt;&gt;0,M75/M15,""),"")</f>
        <v>0.338671497584541</v>
      </c>
      <c r="N330" s="257">
        <f>IFERROR(IF(N(N15)&lt;&gt;0,N75/N15,""),"")</f>
        <v>0.437268144202416</v>
      </c>
      <c r="O330" s="257">
        <f>IFERROR(IF(N(O15)&lt;&gt;0,O75/O15,""),"")</f>
        <v>0.450422297297297</v>
      </c>
      <c r="P330" s="257">
        <f>IFERROR(IF(N(P15)&lt;&gt;0,P75/P15,""),"")</f>
        <v>0.357273918741809</v>
      </c>
      <c r="Q330" s="257">
        <f>IFERROR(IF(N(Q15)&lt;&gt;0,Q75/Q15,""),"")</f>
        <v>0.372219959266802</v>
      </c>
      <c r="R330" s="258">
        <f>IFERROR(IF(N(R15)&lt;&gt;0,R75/R15,""),"")</f>
        <v>0.403446704143425</v>
      </c>
      <c r="S330" s="257">
        <f>IFERROR(IF(N(S15)&lt;&gt;0,S75/S15,""),"")</f>
        <v>0.388611066301016</v>
      </c>
      <c r="T330" s="257">
        <f>IFERROR(IF(N(T15)&lt;&gt;0,T75/T15,""),"")</f>
        <v>0.413847932928592</v>
      </c>
      <c r="U330" s="257">
        <f>IFERROR(IF(N(U15)&lt;&gt;0,U75/U15,""),"")</f>
        <v>0.38312053320485</v>
      </c>
      <c r="V330" s="257">
        <f>IFERROR(IF(N(V15)&lt;&gt;0,V75/V15,""),"")</f>
        <v>0.399891816706591</v>
      </c>
      <c r="W330" s="258">
        <f>IFERROR(IF(N(W15)&lt;&gt;0,W75/W15,""),"")</f>
        <v>0.39687766328349</v>
      </c>
      <c r="X330" s="257">
        <f>IFERROR(IF(N(X15)&lt;&gt;0,X75/X15,""),"")</f>
        <v>0.399623493975904</v>
      </c>
      <c r="Y330" s="257">
        <f>IFERROR(IF(N(Y15)&lt;&gt;0,Y75/Y15,""),"")</f>
        <v>0.436760691537762</v>
      </c>
      <c r="Z330" s="257">
        <f>IFERROR(IF(N(Z15)&lt;&gt;0,Z75/Z15,""),"")</f>
        <v>0.407229277823702</v>
      </c>
      <c r="AA330" s="257">
        <f>IFERROR(IF(N(AA15)&lt;&gt;0,AA75/AA15,""),"")</f>
        <v>0.406785688882566</v>
      </c>
      <c r="AB330" s="258">
        <f>IFERROR(IF(N(AB15)&lt;&gt;0,AB75/AB15,""),"")</f>
        <v>0.412957602898076</v>
      </c>
      <c r="AC330" s="257">
        <f>IFERROR(IF(N(AC15)&lt;&gt;0,AC75/AC15,""),"")</f>
        <v>0.418188251946214</v>
      </c>
      <c r="AD330" s="257">
        <f>IFERROR(IF(N(AD15)&lt;&gt;0,AD75/AD15,""),"")</f>
        <v>0.427906684273408</v>
      </c>
      <c r="AE330" s="257">
        <f>IFERROR(IF(N(AE15)&lt;&gt;0,AE75/AE15,""),"")</f>
        <v>0.405198981642771</v>
      </c>
      <c r="AF330" s="257">
        <f>IFERROR(IF(N(AF15)&lt;&gt;0,AF75/AF15,""),"")</f>
        <v>0.426080458338523</v>
      </c>
      <c r="AG330" s="258">
        <f>IFERROR(IF(N(AG15)&lt;&gt;0,AG75/AG15,""),"")</f>
        <v>0.419620761427143</v>
      </c>
      <c r="AH330" s="257">
        <f>IFERROR(IF(N(AH15)&lt;&gt;0,AH75/AH15,""),"")</f>
        <v>0.467132053519488</v>
      </c>
      <c r="AI330" s="257">
        <f>IFERROR(IF(N(AI15)&lt;&gt;0,AI75/AI15,""),"")</f>
        <v>0.468098415346122</v>
      </c>
      <c r="AJ330" s="257">
        <f>IFERROR(IF(N(AJ15)&lt;&gt;0,AJ75/AJ15,""),"")</f>
        <v>0.435434140844421</v>
      </c>
      <c r="AK330" s="257">
        <f>IFERROR(IF(N(AK15)&lt;&gt;0,AK75/AK15,""),"")</f>
        <v>0.435434140844421</v>
      </c>
      <c r="AL330" s="258">
        <f>IFERROR(IF(N(AL15)&lt;&gt;0,AL75/AL15,""),"")</f>
        <v>0.451746266689676</v>
      </c>
      <c r="AM330" s="257">
        <f>IFERROR(IF(N(AM15)&lt;&gt;0,AM75/AM15,""),"")</f>
        <v>0.435434140844421</v>
      </c>
      <c r="AN330" s="257">
        <f>IFERROR(IF(N(AN15)&lt;&gt;0,AN75/AN15,""),"")</f>
        <v>0.435434140844421</v>
      </c>
      <c r="AO330" s="257">
        <f>IFERROR(IF(N(AO15)&lt;&gt;0,AO75/AO15,""),"")</f>
        <v>0.435434140844421</v>
      </c>
      <c r="AP330" s="257">
        <f>IFERROR(IF(N(AP15)&lt;&gt;0,AP75/AP15,""),"")</f>
        <v>0.435434140844421</v>
      </c>
      <c r="AQ330" s="258">
        <f>IFERROR(IF(N(AQ15)&lt;&gt;0,AQ75/AQ15,""),"")</f>
        <v>0.435434140844421</v>
      </c>
      <c r="AR330" s="257">
        <f>IFERROR(IF(N(AR15)&lt;&gt;0,AR75/AR15,""),"")</f>
        <v>0.435434140844421</v>
      </c>
      <c r="AS330" s="257">
        <f>IFERROR(IF(N(AS15)&lt;&gt;0,AS75/AS15,""),"")</f>
        <v>0.435434140844421</v>
      </c>
      <c r="AT330" s="257">
        <f>IFERROR(IF(N(AT15)&lt;&gt;0,AT75/AT15,""),"")</f>
        <v>0.435434140844421</v>
      </c>
      <c r="AU330" s="257">
        <f>IFERROR(IF(N(AU15)&lt;&gt;0,AU75/AU15,""),"")</f>
        <v>0.435434140844421</v>
      </c>
      <c r="AV330" s="258">
        <f>IFERROR(IF(N(AV15)&lt;&gt;0,AV75/AV15,""),"")</f>
        <v>0.435434140844421</v>
      </c>
      <c r="AW330" s="257">
        <f>IFERROR(IF(N(AW15)&lt;&gt;0,AW75/AW15,""),"")</f>
        <v>0.435434140844421</v>
      </c>
      <c r="AX330" s="257">
        <f>IFERROR(IF(N(AX15)&lt;&gt;0,AX75/AX15,""),"")</f>
        <v>0.435434140844421</v>
      </c>
      <c r="AY330" s="257">
        <f>IFERROR(IF(N(AY15)&lt;&gt;0,AY75/AY15,""),"")</f>
        <v>0.435434140844421</v>
      </c>
      <c r="AZ330" s="257">
        <f>IFERROR(IF(N(AZ15)&lt;&gt;0,AZ75/AZ15,""),"")</f>
        <v>0.435434140844421</v>
      </c>
      <c r="BA330" s="258">
        <f>IFERROR(IF(N(BA15)&lt;&gt;0,BA75/BA15,""),"")</f>
        <v>0.435434140844421</v>
      </c>
      <c r="BB330" s="257">
        <f>IFERROR(IF(N(BB15)&lt;&gt;0,BB75/BB15,""),"")</f>
        <v>0.435434140844421</v>
      </c>
      <c r="BC330" s="257">
        <f>IFERROR(IF(N(BC15)&lt;&gt;0,BC75/BC15,""),"")</f>
        <v>0.435434140844421</v>
      </c>
      <c r="BD330" s="257">
        <f>IFERROR(IF(N(BD15)&lt;&gt;0,BD75/BD15,""),"")</f>
        <v>0.435434140844421</v>
      </c>
      <c r="BE330" s="257">
        <f>IFERROR(IF(N(BE15)&lt;&gt;0,BE75/BE15,""),"")</f>
        <v>0.435434140844421</v>
      </c>
      <c r="BF330" s="258">
        <f>IFERROR(IF(N(BF15)&lt;&gt;0,BF75/BF15,""),"")</f>
        <v>0.435434140844421</v>
      </c>
      <c r="BG330" s="81" t="n"/>
      <c r="BH330" s="81" t="n"/>
      <c r="BI330" s="81" t="n"/>
      <c r="BJ330" s="81" t="n"/>
      <c r="BL330" s="81" t="n"/>
      <c r="BM330" s="81" t="n"/>
      <c r="BN330" s="81" t="n"/>
      <c r="BO330" s="81" t="n"/>
      <c r="BQ330" s="81" t="n"/>
      <c r="BR330" s="81" t="n"/>
      <c r="BS330" s="81" t="n"/>
      <c r="BT330" s="81" t="n"/>
      <c r="BV330" s="81" t="n"/>
      <c r="BW330" s="81" t="n"/>
      <c r="BX330" s="81" t="n"/>
      <c r="BY330" s="81" t="n"/>
      <c r="CA330" s="81" t="n"/>
      <c r="CB330" s="81" t="n"/>
      <c r="CC330" s="81" t="n"/>
      <c r="CD330" s="81" t="n"/>
      <c r="CF330" s="81" t="n"/>
      <c r="CG330" s="81" t="n"/>
      <c r="CH330" s="81" t="n"/>
      <c r="CI330" s="81" t="n"/>
      <c r="CK330" s="81" t="n"/>
      <c r="CL330" s="81" t="n"/>
      <c r="CM330" s="81" t="n"/>
      <c r="CN330" s="81" t="n"/>
      <c r="CP330" s="81" t="n"/>
      <c r="CQ330" s="81" t="n"/>
      <c r="CR330" s="81" t="n"/>
      <c r="CS330" s="81" t="n"/>
      <c r="CU330" s="81" t="n"/>
      <c r="CV330" s="81" t="n"/>
      <c r="CW330" s="81" t="n"/>
      <c r="CX330" s="81" t="n"/>
    </row>
    <row r="331" customFormat="1" s="77">
      <c r="A331" s="76" t="n"/>
      <c r="B331" s="76" t="n"/>
      <c r="C331" s="77" t="inlineStr">
        <is>
          <t>ETR</t>
        </is>
      </c>
      <c r="D331" s="78" t="str">
        <f>IFERROR(-D137/D136,"")</f>
        <v/>
      </c>
      <c r="E331" s="78" t="str">
        <f>IFERROR(-E137/E136,"")</f>
        <v/>
      </c>
      <c r="F331" s="78" t="str">
        <f>IFERROR(-F137/F136,"")</f>
        <v/>
      </c>
      <c r="G331" s="78" t="str">
        <f>IFERROR(-G137/G136,"")</f>
        <v/>
      </c>
      <c r="H331" s="258" t="str">
        <f>IFERROR(IF(N(H136)&lt;&gt;0,-H137/H136,""),"")</f>
        <v/>
      </c>
      <c r="I331" s="257">
        <f>IFERROR(IF(N(I136)&lt;&gt;0,-I137/I136,""),"")</f>
        <v>-0.532661782661783</v>
      </c>
      <c r="J331" s="257">
        <f>IFERROR(IF(N(J136)&lt;&gt;0,-J137/J136,""),"")</f>
        <v>0.0298363811357074</v>
      </c>
      <c r="K331" s="257">
        <f>IFERROR(IF(N(K136)&lt;&gt;0,-K137/K136,""),"")</f>
        <v>0.0835509138381201</v>
      </c>
      <c r="L331" s="257">
        <f>IFERROR(IF(N(L136)&lt;&gt;0,-L137/L136,""),"")</f>
        <v>0.16644385026738</v>
      </c>
      <c r="M331" s="258">
        <f>IFERROR(IF(N(M136)&lt;&gt;0,-M137/M136,""),"")</f>
        <v>-0.191017755599397</v>
      </c>
      <c r="N331" s="257">
        <f>IFERROR(IF(N(N136)&lt;&gt;0,-N137/N136,""),"")</f>
        <v>0.183450704225352</v>
      </c>
      <c r="O331" s="257">
        <f>IFERROR(IF(N(O136)&lt;&gt;0,-O137/O136,""),"")</f>
        <v>0.120033112582781</v>
      </c>
      <c r="P331" s="257">
        <f>IFERROR(IF(N(P136)&lt;&gt;0,-P137/P136,""),"")</f>
        <v>0.0652173913043478</v>
      </c>
      <c r="Q331" s="257">
        <f>IFERROR(IF(N(Q136)&lt;&gt;0,-Q137/Q136,""),"")</f>
        <v>0.187966417910448</v>
      </c>
      <c r="R331" s="258">
        <f>IFERROR(IF(N(R136)&lt;&gt;0,-R137/R136,""),"")</f>
        <v>0.14292673421668</v>
      </c>
      <c r="S331" s="257">
        <f>IFERROR(IF(N(S136)&lt;&gt;0,-S137/S136,""),"")</f>
        <v>0.145175834084761</v>
      </c>
      <c r="T331" s="257">
        <f>IFERROR(IF(N(T136)&lt;&gt;0,-T137/T136,""),"")</f>
        <v>-0.0675458346735285</v>
      </c>
      <c r="U331" s="257">
        <f>IFERROR(IF(N(U136)&lt;&gt;0,-U137/U136,""),"")</f>
        <v>-0.0189473684210526</v>
      </c>
      <c r="V331" s="257">
        <f>IFERROR(IF(N(V136)&lt;&gt;0,-V137/V136,""),"")</f>
        <v>0.0797794117647059</v>
      </c>
      <c r="W331" s="258">
        <f>IFERROR(IF(N(W136)&lt;&gt;0,-W137/W136,""),"")</f>
        <v>0.0272500479754366</v>
      </c>
      <c r="X331" s="257">
        <f>IFERROR(IF(N(X136)&lt;&gt;0,-X137/X136,""),"")</f>
        <v>0.16195462478185</v>
      </c>
      <c r="Y331" s="257">
        <f>IFERROR(IF(N(Y136)&lt;&gt;0,-Y137/Y136,""),"")</f>
        <v>0.168693812797462</v>
      </c>
      <c r="Z331" s="257">
        <f>IFERROR(IF(N(Z136)&lt;&gt;0,-Z137/Z136,""),"")</f>
        <v>0.0757336699274219</v>
      </c>
      <c r="AA331" s="257">
        <f>IFERROR(IF(N(AA136)&lt;&gt;0,-AA137/AA136,""),"")</f>
        <v>0.0705014749262537</v>
      </c>
      <c r="AB331" s="258">
        <f>IFERROR(IF(N(AB136)&lt;&gt;0,-AB137/AB136,""),"")</f>
        <v>0.119718309859155</v>
      </c>
      <c r="AC331" s="257">
        <f>IFERROR(IF(N(AC136)&lt;&gt;0,-AC137/AC136,""),"")</f>
        <v>0.148491879350348</v>
      </c>
      <c r="AD331" s="257">
        <f>IFERROR(IF(N(AD136)&lt;&gt;0,-AD137/AD136,""),"")</f>
        <v>0.174614643545279</v>
      </c>
      <c r="AE331" s="257">
        <f>IFERROR(IF(N(AE136)&lt;&gt;0,-AE137/AE136,""),"")</f>
        <v>0.145900204260286</v>
      </c>
      <c r="AF331" s="257">
        <f>IFERROR(IF(N(AF136)&lt;&gt;0,-AF137/AF136,""),"")</f>
        <v>0.032639545884579</v>
      </c>
      <c r="AG331" s="258">
        <f>IFERROR(IF(N(AG136)&lt;&gt;0,-AG137/AG136,""),"")</f>
        <v>0.111923541942541</v>
      </c>
      <c r="AH331" s="257">
        <f>IFERROR(IF(N(AH136)&lt;&gt;0,-AH137/AH136,""),"")</f>
        <v>0.157382246376812</v>
      </c>
      <c r="AI331" s="257">
        <f>IFERROR(IF(N(AI136)&lt;&gt;0,-AI137/AI136,""),"")</f>
        <v>0.198360961072825</v>
      </c>
      <c r="AJ331" s="257">
        <f>IFERROR(IF(N(AJ136)&lt;&gt;0,-AJ137/AJ136,""),"")</f>
        <v>0.142898246748355</v>
      </c>
      <c r="AK331" s="257">
        <f>IFERROR(IF(N(AK136)&lt;&gt;0,-AK137/AK136,""),"")</f>
        <v>0.142898246748355</v>
      </c>
      <c r="AL331" s="258">
        <f>IFERROR(IF(N(AL136)&lt;&gt;0,-AL137/AL136,""),"")</f>
        <v>0.159343427872935</v>
      </c>
      <c r="AM331" s="257">
        <f>IFERROR(IF(N(AM136)&lt;&gt;0,-AM137/AM136,""),"")</f>
        <v>0.142898246748355</v>
      </c>
      <c r="AN331" s="257">
        <f>IFERROR(IF(N(AN136)&lt;&gt;0,-AN137/AN136,""),"")</f>
        <v>0.142898246748355</v>
      </c>
      <c r="AO331" s="257">
        <f>IFERROR(IF(N(AO136)&lt;&gt;0,-AO137/AO136,""),"")</f>
        <v>0.142898246748355</v>
      </c>
      <c r="AP331" s="257">
        <f>IFERROR(IF(N(AP136)&lt;&gt;0,-AP137/AP136,""),"")</f>
        <v>0.142898246748355</v>
      </c>
      <c r="AQ331" s="258">
        <f>IFERROR(IF(N(AQ136)&lt;&gt;0,-AQ137/AQ136,""),"")</f>
        <v>0.142898246748355</v>
      </c>
      <c r="AR331" s="257">
        <f>IFERROR(IF(N(AR136)&lt;&gt;0,-AR137/AR136,""),"")</f>
        <v>0.142898246748355</v>
      </c>
      <c r="AS331" s="257">
        <f>IFERROR(IF(N(AS136)&lt;&gt;0,-AS137/AS136,""),"")</f>
        <v>0.142898246748355</v>
      </c>
      <c r="AT331" s="257">
        <f>IFERROR(IF(N(AT136)&lt;&gt;0,-AT137/AT136,""),"")</f>
        <v>0.142898246748355</v>
      </c>
      <c r="AU331" s="257">
        <f>IFERROR(IF(N(AU136)&lt;&gt;0,-AU137/AU136,""),"")</f>
        <v>0.142898246748355</v>
      </c>
      <c r="AV331" s="258">
        <f>IFERROR(IF(N(AV136)&lt;&gt;0,-AV137/AV136,""),"")</f>
        <v>0.142898246748355</v>
      </c>
      <c r="AW331" s="257">
        <f>IFERROR(IF(N(AW136)&lt;&gt;0,-AW137/AW136,""),"")</f>
        <v>0.142898246748355</v>
      </c>
      <c r="AX331" s="257">
        <f>IFERROR(IF(N(AX136)&lt;&gt;0,-AX137/AX136,""),"")</f>
        <v>0.142898246748355</v>
      </c>
      <c r="AY331" s="257">
        <f>IFERROR(IF(N(AY136)&lt;&gt;0,-AY137/AY136,""),"")</f>
        <v>0.142898246748355</v>
      </c>
      <c r="AZ331" s="257">
        <f>IFERROR(IF(N(AZ136)&lt;&gt;0,-AZ137/AZ136,""),"")</f>
        <v>0.142898246748355</v>
      </c>
      <c r="BA331" s="258">
        <f>IFERROR(IF(N(BA136)&lt;&gt;0,-BA137/BA136,""),"")</f>
        <v>0.142898246748355</v>
      </c>
      <c r="BB331" s="257">
        <f>IFERROR(IF(N(BB136)&lt;&gt;0,-BB137/BB136,""),"")</f>
        <v>0.142898246748355</v>
      </c>
      <c r="BC331" s="257">
        <f>IFERROR(IF(N(BC136)&lt;&gt;0,-BC137/BC136,""),"")</f>
        <v>0.142898246748355</v>
      </c>
      <c r="BD331" s="257">
        <f>IFERROR(IF(N(BD136)&lt;&gt;0,-BD137/BD136,""),"")</f>
        <v>0.142898246748355</v>
      </c>
      <c r="BE331" s="257">
        <f>IFERROR(IF(N(BE136)&lt;&gt;0,-BE137/BE136,""),"")</f>
        <v>0.142898246748355</v>
      </c>
      <c r="BF331" s="258">
        <f>IFERROR(IF(N(BF136)&lt;&gt;0,-BF137/BF136,""),"")</f>
        <v>0.142898246748355</v>
      </c>
      <c r="BG331" s="81" t="n"/>
      <c r="BH331" s="81" t="n"/>
      <c r="BI331" s="81" t="n"/>
      <c r="BJ331" s="81" t="n"/>
      <c r="BL331" s="81" t="n"/>
      <c r="BM331" s="81" t="n"/>
      <c r="BN331" s="81" t="n"/>
      <c r="BO331" s="81" t="n"/>
      <c r="BQ331" s="81" t="n"/>
      <c r="BR331" s="81" t="n"/>
      <c r="BS331" s="81" t="n"/>
      <c r="BT331" s="81" t="n"/>
      <c r="BV331" s="81" t="n"/>
      <c r="BW331" s="81" t="n"/>
      <c r="BX331" s="81" t="n"/>
      <c r="BY331" s="81" t="n"/>
      <c r="CA331" s="81" t="n"/>
      <c r="CB331" s="81" t="n"/>
      <c r="CC331" s="81" t="n"/>
      <c r="CD331" s="81" t="n"/>
      <c r="CF331" s="81" t="n"/>
      <c r="CG331" s="81" t="n"/>
      <c r="CH331" s="81" t="n"/>
      <c r="CI331" s="81" t="n"/>
      <c r="CK331" s="81" t="n"/>
      <c r="CL331" s="81" t="n"/>
      <c r="CM331" s="81" t="n"/>
      <c r="CN331" s="81" t="n"/>
      <c r="CP331" s="81" t="n"/>
      <c r="CQ331" s="81" t="n"/>
      <c r="CR331" s="81" t="n"/>
      <c r="CS331" s="81" t="n"/>
      <c r="CU331" s="81" t="n"/>
      <c r="CV331" s="81" t="n"/>
      <c r="CW331" s="81" t="n"/>
      <c r="CX331" s="81" t="n"/>
    </row>
    <row r="332" customFormat="1" s="77">
      <c r="A332" s="76" t="n"/>
      <c r="B332" s="76" t="n"/>
    </row>
    <row r="333" customFormat="1" s="77">
      <c r="A333" s="76" t="n"/>
      <c r="B333" s="76" t="n"/>
      <c r="C333" s="74" t="inlineStr">
        <is>
          <t>CAPITAL STRUCTURE</t>
        </is>
      </c>
    </row>
    <row r="334" customFormat="1" s="77">
      <c r="A334" s="76" t="n"/>
      <c r="B334" s="76" t="n"/>
      <c r="C334" s="77" t="inlineStr">
        <is>
          <t>TOTAL DEBT / EQUITY (BOOK VALUE)</t>
        </is>
      </c>
      <c r="H334" s="262" t="str">
        <f>IFERROR(IF(N(H277)&lt;&gt;0,(N(H218)+N(H219)+N(H220)+N(H223)+N(H241)+N(H244))/H277,""),"")</f>
        <v/>
      </c>
      <c r="I334" s="262">
        <f>IFERROR(IF(N(I277)&lt;&gt;0,(N(I218)+N(I219)+N(I220)+N(I223)+N(I241)+N(I244))/I277,""),"")</f>
        <v>0</v>
      </c>
      <c r="J334" s="262">
        <f>IFERROR(IF(N(J277)&lt;&gt;0,(N(J218)+N(J219)+N(J220)+N(J223)+N(J241)+N(J244))/J277,""),"")</f>
        <v>0</v>
      </c>
      <c r="K334" s="262">
        <f>IFERROR(IF(N(K277)&lt;&gt;0,(N(K218)+N(K219)+N(K220)+N(K223)+N(K241)+N(K244))/K277,""),"")</f>
        <v>0</v>
      </c>
      <c r="L334" s="262">
        <f>IFERROR(IF(N(L277)&lt;&gt;0,(N(L218)+N(L219)+N(L220)+N(L223)+N(L241)+N(L244))/L277,""),"")</f>
        <v>0</v>
      </c>
      <c r="M334" s="262">
        <f>IFERROR(IF(N(M277)&lt;&gt;0,(N(M218)+N(M219)+N(M220)+N(M223)+N(M241)+N(M244))/M277,""),"")</f>
        <v>0</v>
      </c>
      <c r="N334" s="262">
        <f>IFERROR(IF(N(N277)&lt;&gt;0,(N(N218)+N(N219)+N(N220)+N(N223)+N(N241)+N(N244))/N277,""),"")</f>
        <v>0</v>
      </c>
      <c r="O334" s="262">
        <f>IFERROR(IF(N(O277)&lt;&gt;0,(N(O218)+N(O219)+N(O220)+N(O223)+N(O241)+N(O244))/O277,""),"")</f>
        <v>0</v>
      </c>
      <c r="P334" s="262">
        <f>IFERROR(IF(N(P277)&lt;&gt;0,(N(P218)+N(P219)+N(P220)+N(P223)+N(P241)+N(P244))/P277,""),"")</f>
        <v>0</v>
      </c>
      <c r="Q334" s="262">
        <f>IFERROR(IF(N(Q277)&lt;&gt;0,(N(Q218)+N(Q219)+N(Q220)+N(Q223)+N(Q241)+N(Q244))/Q277,""),"")</f>
        <v>0</v>
      </c>
      <c r="R334" s="262">
        <f>IFERROR(IF(N(R277)&lt;&gt;0,(N(R218)+N(R219)+N(R220)+N(R223)+N(R241)+N(R244))/R277,""),"")</f>
        <v>0</v>
      </c>
      <c r="S334" s="262">
        <f>IFERROR(IF(N(S277)&lt;&gt;0,(N(S218)+N(S219)+N(S220)+N(S223)+N(S241)+N(S244))/S277,""),"")</f>
        <v>0</v>
      </c>
      <c r="T334" s="262">
        <f>IFERROR(IF(N(T277)&lt;&gt;0,(N(T218)+N(T219)+N(T220)+N(T223)+N(T241)+N(T244))/T277,""),"")</f>
        <v>0</v>
      </c>
      <c r="U334" s="262">
        <f>IFERROR(IF(N(U277)&lt;&gt;0,(N(U218)+N(U219)+N(U220)+N(U223)+N(U241)+N(U244))/U277,""),"")</f>
        <v>0</v>
      </c>
      <c r="V334" s="262">
        <f>IFERROR(IF(N(V277)&lt;&gt;0,(N(V218)+N(V219)+N(V220)+N(V223)+N(V241)+N(V244))/V277,""),"")</f>
        <v>0</v>
      </c>
      <c r="W334" s="262">
        <f>IFERROR(IF(N(W277)&lt;&gt;0,(N(W218)+N(W219)+N(W220)+N(W223)+N(W241)+N(W244))/W277,""),"")</f>
        <v>0</v>
      </c>
      <c r="X334" s="262">
        <f>IFERROR(IF(N(X277)&lt;&gt;0,(N(X218)+N(X219)+N(X220)+N(X223)+N(X241)+N(X244))/X277,""),"")</f>
        <v>0</v>
      </c>
      <c r="Y334" s="262">
        <f>IFERROR(IF(N(Y277)&lt;&gt;0,(N(Y218)+N(Y219)+N(Y220)+N(Y223)+N(Y241)+N(Y244))/Y277,""),"")</f>
        <v>0</v>
      </c>
      <c r="Z334" s="262">
        <f>IFERROR(IF(N(Z277)&lt;&gt;0,(N(Z218)+N(Z219)+N(Z220)+N(Z223)+N(Z241)+N(Z244))/Z277,""),"")</f>
        <v>0</v>
      </c>
      <c r="AA334" s="262">
        <f>IFERROR(IF(N(AA277)&lt;&gt;0,(N(AA218)+N(AA219)+N(AA220)+N(AA223)+N(AA241)+N(AA244))/AA277,""),"")</f>
        <v>0</v>
      </c>
      <c r="AB334" s="262">
        <f>IFERROR(IF(N(AB277)&lt;&gt;0,(N(AB218)+N(AB219)+N(AB220)+N(AB223)+N(AB241)+N(AB244))/AB277,""),"")</f>
        <v>0</v>
      </c>
      <c r="AC334" s="262">
        <f>IFERROR(IF(N(AC277)&lt;&gt;0,(N(AC218)+N(AC219)+N(AC220)+N(AC223)+N(AC241)+N(AC244))/AC277,""),"")</f>
        <v>0</v>
      </c>
      <c r="AD334" s="262">
        <f>IFERROR(IF(N(AD277)&lt;&gt;0,(N(AD218)+N(AD219)+N(AD220)+N(AD223)+N(AD241)+N(AD244))/AD277,""),"")</f>
        <v>0.550145452811293</v>
      </c>
      <c r="AE334" s="262">
        <f>IFERROR(IF(N(AE277)&lt;&gt;0,(N(AE218)+N(AE219)+N(AE220)+N(AE223)+N(AE241)+N(AE244))/AE277,""),"")</f>
        <v>0.571393821454634</v>
      </c>
      <c r="AF334" s="262">
        <f>IFERROR(IF(N(AF277)&lt;&gt;0,(N(AF218)+N(AF219)+N(AF220)+N(AF223)+N(AF241)+N(AF244))/AF277,""),"")</f>
        <v>0.535541911547428</v>
      </c>
      <c r="AG334" s="262">
        <f>IFERROR(IF(N(AG277)&lt;&gt;0,(N(AG218)+N(AG219)+N(AG220)+N(AG223)+N(AG241)+N(AG244))/AG277,""),"")</f>
        <v>0.535541911547428</v>
      </c>
      <c r="AH334" s="262">
        <f>IFERROR(IF(N(AH277)&lt;&gt;0,(N(AH218)+N(AH219)+N(AH220)+N(AH223)+N(AH241)+N(AH244))/AH277,""),"")</f>
        <v>0.474046759365957</v>
      </c>
      <c r="AI334" s="262">
        <f>IFERROR(IF(N(AI277)&lt;&gt;0,(N(AI218)+N(AI219)+N(AI220)+N(AI223)+N(AI241)+N(AI244))/AI277,""),"")</f>
        <v>0.618914901523597</v>
      </c>
      <c r="AJ334" s="262">
        <f>IFERROR(IF(N(AJ277)&lt;&gt;0,(N(AJ218)+N(AJ219)+N(AJ220)+N(AJ223)+N(AJ241)+N(AJ244))/AJ277,""),"")</f>
        <v>0.554033684764494</v>
      </c>
      <c r="AK334" s="262">
        <f>IFERROR(IF(N(AK277)&lt;&gt;0,(N(AK218)+N(AK219)+N(AK220)+N(AK223)+N(AK241)+N(AK244))/AK277,""),"")</f>
        <v>0.497882035196243</v>
      </c>
      <c r="AL334" s="262">
        <f>IFERROR(IF(N(AL277)&lt;&gt;0,(N(AL218)+N(AL219)+N(AL220)+N(AL223)+N(AL241)+N(AL244))/AL277,""),"")</f>
        <v>0.497882035196243</v>
      </c>
      <c r="AM334" s="262">
        <f>IFERROR(IF(N(AM277)&lt;&gt;0,(N(AM218)+N(AM219)+N(AM220)+N(AM223)+N(AM241)+N(AM244))/AM277,""),"")</f>
        <v>0.449151252491382</v>
      </c>
      <c r="AN334" s="262">
        <f>IFERROR(IF(N(AN277)&lt;&gt;0,(N(AN218)+N(AN219)+N(AN220)+N(AN223)+N(AN241)+N(AN244))/AN277,""),"")</f>
        <v>0.404921816956331</v>
      </c>
      <c r="AO334" s="262">
        <f>IFERROR(IF(N(AO277)&lt;&gt;0,(N(AO218)+N(AO219)+N(AO220)+N(AO223)+N(AO241)+N(AO244))/AO277,""),"")</f>
        <v>0.372291439747634</v>
      </c>
      <c r="AP334" s="262">
        <f>IFERROR(IF(N(AP277)&lt;&gt;0,(N(AP218)+N(AP219)+N(AP220)+N(AP223)+N(AP241)+N(AP244))/AP277,""),"")</f>
        <v>0.342590244570695</v>
      </c>
      <c r="AQ334" s="262">
        <f>IFERROR(IF(N(AQ277)&lt;&gt;0,(N(AQ218)+N(AQ219)+N(AQ220)+N(AQ223)+N(AQ241)+N(AQ244))/AQ277,""),"")</f>
        <v>0.342590244570695</v>
      </c>
      <c r="AR334" s="262">
        <f>IFERROR(IF(N(AR277)&lt;&gt;0,(N(AR218)+N(AR219)+N(AR220)+N(AR223)+N(AR241)+N(AR244))/AR277,""),"")</f>
        <v>0.315742603124877</v>
      </c>
      <c r="AS334" s="262">
        <f>IFERROR(IF(N(AS277)&lt;&gt;0,(N(AS218)+N(AS219)+N(AS220)+N(AS223)+N(AS241)+N(AS244))/AS277,""),"")</f>
        <v>0.290349513860039</v>
      </c>
      <c r="AT334" s="262">
        <f>IFERROR(IF(N(AT277)&lt;&gt;0,(N(AT218)+N(AT219)+N(AT220)+N(AT223)+N(AT241)+N(AT244))/AT277,""),"")</f>
        <v>0.270954129495439</v>
      </c>
      <c r="AU334" s="262">
        <f>IFERROR(IF(N(AU277)&lt;&gt;0,(N(AU218)+N(AU219)+N(AU220)+N(AU223)+N(AU241)+N(AU244))/AU277,""),"")</f>
        <v>0.252787244787072</v>
      </c>
      <c r="AV334" s="262">
        <f>IFERROR(IF(N(AV277)&lt;&gt;0,(N(AV218)+N(AV219)+N(AV220)+N(AV223)+N(AV241)+N(AV244))/AV277,""),"")</f>
        <v>0.252787244787072</v>
      </c>
      <c r="AW334" s="262">
        <f>IFERROR(IF(N(AW277)&lt;&gt;0,(N(AW218)+N(AW219)+N(AW220)+N(AW223)+N(AW241)+N(AW244))/AW277,""),"")</f>
        <v>0.235996801309673</v>
      </c>
      <c r="AX334" s="262">
        <f>IFERROR(IF(N(AX277)&lt;&gt;0,(N(AX218)+N(AX219)+N(AX220)+N(AX223)+N(AX241)+N(AX244))/AX277,""),"")</f>
        <v>0.21971054724229</v>
      </c>
      <c r="AY334" s="262">
        <f>IFERROR(IF(N(AY277)&lt;&gt;0,(N(AY218)+N(AY219)+N(AY220)+N(AY223)+N(AY241)+N(AY244))/AY277,""),"")</f>
        <v>0.206996099172695</v>
      </c>
      <c r="AZ334" s="262">
        <f>IFERROR(IF(N(AZ277)&lt;&gt;0,(N(AZ218)+N(AZ219)+N(AZ220)+N(AZ223)+N(AZ241)+N(AZ244))/AZ277,""),"")</f>
        <v>0.194864255502742</v>
      </c>
      <c r="BA334" s="262">
        <f>IFERROR(IF(N(BA277)&lt;&gt;0,(N(BA218)+N(BA219)+N(BA220)+N(BA223)+N(BA241)+N(BA244))/BA277,""),"")</f>
        <v>0.194864255502742</v>
      </c>
      <c r="BB334" s="262">
        <f>IFERROR(IF(N(BB277)&lt;&gt;0,(N(BB218)+N(BB219)+N(BB220)+N(BB223)+N(BB241)+N(BB244))/BB277,""),"")</f>
        <v>0.183502169936277</v>
      </c>
      <c r="BC334" s="262">
        <f>IFERROR(IF(N(BC277)&lt;&gt;0,(N(BC218)+N(BC219)+N(BC220)+N(BC223)+N(BC241)+N(BC244))/BC277,""),"")</f>
        <v>0.172290980168115</v>
      </c>
      <c r="BD334" s="262">
        <f>IFERROR(IF(N(BD277)&lt;&gt;0,(N(BD218)+N(BD219)+N(BD220)+N(BD223)+N(BD241)+N(BD244))/BD277,""),"")</f>
        <v>0.163405179239929</v>
      </c>
      <c r="BE334" s="262">
        <f>IFERROR(IF(N(BE277)&lt;&gt;0,(N(BE218)+N(BE219)+N(BE220)+N(BE223)+N(BE241)+N(BE244))/BE277,""),"")</f>
        <v>0.154815133702622</v>
      </c>
      <c r="BF334" s="262">
        <f>IFERROR(IF(N(BF277)&lt;&gt;0,(N(BF218)+N(BF219)+N(BF220)+N(BF223)+N(BF241)+N(BF244))/BF277,""),"")</f>
        <v>0.154815133702622</v>
      </c>
    </row>
    <row r="335" customFormat="1" s="77">
      <c r="A335" s="76" t="n"/>
      <c r="B335" s="76" t="n"/>
      <c r="C335" s="77" t="inlineStr">
        <is>
          <t>NET DEBT / (NET DEBT + EQUITY) (BOOK VALUE)</t>
        </is>
      </c>
      <c r="H335" s="258" t="str">
        <f>IFERROR(IF(((N(H218)+N(H219)+N(H220)+N(H223)+N(H241)+N(H244))-N(H150)+N(H277))&lt;&gt;0,((N(H218)+N(H219)+N(H220)+N(H223)+N(H241)+N(H244))-N(H150))/((N(H218)+N(H219)+N(H220)+N(H223)+N(H241)+N(H244))-N(H150)+H277),""),"")</f>
        <v/>
      </c>
      <c r="I335" s="258">
        <f>IFERROR(IF(((N(I218)+N(I219)+N(I220)+N(I223)+N(I241)+N(I244))-N(I150)+N(I277))&lt;&gt;0,((N(I218)+N(I219)+N(I220)+N(I223)+N(I241)+N(I244))-N(I150))/((N(I218)+N(I219)+N(I220)+N(I223)+N(I241)+N(I244))-N(I150)+I277),""),"")</f>
        <v>1.36744576200099</v>
      </c>
      <c r="J335" s="258">
        <f>IFERROR(IF(((N(J218)+N(J219)+N(J220)+N(J223)+N(J241)+N(J244))-N(J150)+N(J277))&lt;&gt;0,((N(J218)+N(J219)+N(J220)+N(J223)+N(J241)+N(J244))-N(J150))/((N(J218)+N(J219)+N(J220)+N(J223)+N(J241)+N(J244))-N(J150)+J277),""),"")</f>
        <v>1.146593763854</v>
      </c>
      <c r="K335" s="258">
        <f>IFERROR(IF(((N(K218)+N(K219)+N(K220)+N(K223)+N(K241)+N(K244))-N(K150)+N(K277))&lt;&gt;0,((N(K218)+N(K219)+N(K220)+N(K223)+N(K241)+N(K244))-N(K150))/((N(K218)+N(K219)+N(K220)+N(K223)+N(K241)+N(K244))-N(K150)+K277),""),"")</f>
        <v>0.972057368941642</v>
      </c>
      <c r="L335" s="258">
        <f>IFERROR(IF(((N(L218)+N(L219)+N(L220)+N(L223)+N(L241)+N(L244))-N(L150)+N(L277))&lt;&gt;0,((N(L218)+N(L219)+N(L220)+N(L223)+N(L241)+N(L244))-N(L150))/((N(L218)+N(L219)+N(L220)+N(L223)+N(L241)+N(L244))-N(L150)+L277),""),"")</f>
        <v>0.702794190054161</v>
      </c>
      <c r="M335" s="258">
        <f>IFERROR(IF(((N(M218)+N(M219)+N(M220)+N(M223)+N(M241)+N(M244))-N(M150)+N(M277))&lt;&gt;0,((N(M218)+N(M219)+N(M220)+N(M223)+N(M241)+N(M244))-N(M150))/((N(M218)+N(M219)+N(M220)+N(M223)+N(M241)+N(M244))-N(M150)+M277),""),"")</f>
        <v>0.702794190054161</v>
      </c>
      <c r="N335" s="258">
        <f>IFERROR(IF(((N(N218)+N(N219)+N(N220)+N(N223)+N(N241)+N(N244))-N(N150)+N(N277))&lt;&gt;0,((N(N218)+N(N219)+N(N220)+N(N223)+N(N241)+N(N244))-N(N150))/((N(N218)+N(N219)+N(N220)+N(N223)+N(N241)+N(N244))-N(N150)+N277),""),"")</f>
        <v>0.740158227848101</v>
      </c>
      <c r="O335" s="258">
        <f>IFERROR(IF(((N(O218)+N(O219)+N(O220)+N(O223)+N(O241)+N(O244))-N(O150)+N(O277))&lt;&gt;0,((N(O218)+N(O219)+N(O220)+N(O223)+N(O241)+N(O244))-N(O150))/((N(O218)+N(O219)+N(O220)+N(O223)+N(O241)+N(O244))-N(O150)+O277),""),"")</f>
        <v>0.791543187567763</v>
      </c>
      <c r="P335" s="258">
        <f>IFERROR(IF(((N(P218)+N(P219)+N(P220)+N(P223)+N(P241)+N(P244))-N(P150)+N(P277))&lt;&gt;0,((N(P218)+N(P219)+N(P220)+N(P223)+N(P241)+N(P244))-N(P150))/((N(P218)+N(P219)+N(P220)+N(P223)+N(P241)+N(P244))-N(P150)+P277),""),"")</f>
        <v>0.673105765192873</v>
      </c>
      <c r="Q335" s="258">
        <f>IFERROR(IF(((N(Q218)+N(Q219)+N(Q220)+N(Q223)+N(Q241)+N(Q244))-N(Q150)+N(Q277))&lt;&gt;0,((N(Q218)+N(Q219)+N(Q220)+N(Q223)+N(Q241)+N(Q244))-N(Q150))/((N(Q218)+N(Q219)+N(Q220)+N(Q223)+N(Q241)+N(Q244))-N(Q150)+Q277),""),"")</f>
        <v>0.660614776199892</v>
      </c>
      <c r="R335" s="258">
        <f>IFERROR(IF(((N(R218)+N(R219)+N(R220)+N(R223)+N(R241)+N(R244))-N(R150)+N(R277))&lt;&gt;0,((N(R218)+N(R219)+N(R220)+N(R223)+N(R241)+N(R244))-N(R150))/((N(R218)+N(R219)+N(R220)+N(R223)+N(R241)+N(R244))-N(R150)+R277),""),"")</f>
        <v>0.660614776199892</v>
      </c>
      <c r="S335" s="258">
        <f>IFERROR(IF(((N(S218)+N(S219)+N(S220)+N(S223)+N(S241)+N(S244))-N(S150)+N(S277))&lt;&gt;0,((N(S218)+N(S219)+N(S220)+N(S223)+N(S241)+N(S244))-N(S150))/((N(S218)+N(S219)+N(S220)+N(S223)+N(S241)+N(S244))-N(S150)+S277),""),"")</f>
        <v>0.820990543956558</v>
      </c>
      <c r="T335" s="258">
        <f>IFERROR(IF(((N(T218)+N(T219)+N(T220)+N(T223)+N(T241)+N(T244))-N(T150)+N(T277))&lt;&gt;0,((N(T218)+N(T219)+N(T220)+N(T223)+N(T241)+N(T244))-N(T150))/((N(T218)+N(T219)+N(T220)+N(T223)+N(T241)+N(T244))-N(T150)+T277),""),"")</f>
        <v>1.18028038465995</v>
      </c>
      <c r="U335" s="258">
        <f>IFERROR(IF(((N(U218)+N(U219)+N(U220)+N(U223)+N(U241)+N(U244))-N(U150)+N(U277))&lt;&gt;0,((N(U218)+N(U219)+N(U220)+N(U223)+N(U241)+N(U244))-N(U150))/((N(U218)+N(U219)+N(U220)+N(U223)+N(U241)+N(U244))-N(U150)+U277),""),"")</f>
        <v>1.30740099545553</v>
      </c>
      <c r="V335" s="258">
        <f>IFERROR(IF(((N(V218)+N(V219)+N(V220)+N(V223)+N(V241)+N(V244))-N(V150)+N(V277))&lt;&gt;0,((N(V218)+N(V219)+N(V220)+N(V223)+N(V241)+N(V244))-N(V150))/((N(V218)+N(V219)+N(V220)+N(V223)+N(V241)+N(V244))-N(V150)+V277),""),"")</f>
        <v>2.01530612244898</v>
      </c>
      <c r="W335" s="258">
        <f>IFERROR(IF(((N(W218)+N(W219)+N(W220)+N(W223)+N(W241)+N(W244))-N(W150)+N(W277))&lt;&gt;0,((N(W218)+N(W219)+N(W220)+N(W223)+N(W241)+N(W244))-N(W150))/((N(W218)+N(W219)+N(W220)+N(W223)+N(W241)+N(W244))-N(W150)+W277),""),"")</f>
        <v>2.01530612244898</v>
      </c>
      <c r="X335" s="258">
        <f>IFERROR(IF(((N(X218)+N(X219)+N(X220)+N(X223)+N(X241)+N(X244))-N(X150)+N(X277))&lt;&gt;0,((N(X218)+N(X219)+N(X220)+N(X223)+N(X241)+N(X244))-N(X150))/((N(X218)+N(X219)+N(X220)+N(X223)+N(X241)+N(X244))-N(X150)+X277),""),"")</f>
        <v>2.66093498119291</v>
      </c>
      <c r="Y335" s="258">
        <f>IFERROR(IF(((N(Y218)+N(Y219)+N(Y220)+N(Y223)+N(Y241)+N(Y244))-N(Y150)+N(Y277))&lt;&gt;0,((N(Y218)+N(Y219)+N(Y220)+N(Y223)+N(Y241)+N(Y244))-N(Y150))/((N(Y218)+N(Y219)+N(Y220)+N(Y223)+N(Y241)+N(Y244))-N(Y150)+Y277),""),"")</f>
        <v>7.4971870604782</v>
      </c>
      <c r="Z335" s="258">
        <f>IFERROR(IF(((N(Z218)+N(Z219)+N(Z220)+N(Z223)+N(Z241)+N(Z244))-N(Z150)+N(Z277))&lt;&gt;0,((N(Z218)+N(Z219)+N(Z220)+N(Z223)+N(Z241)+N(Z244))-N(Z150))/((N(Z218)+N(Z219)+N(Z220)+N(Z223)+N(Z241)+N(Z244))-N(Z150)+Z277),""),"")</f>
        <v>-30.4776536312849</v>
      </c>
      <c r="AA335" s="258">
        <f>IFERROR(IF(((N(AA218)+N(AA219)+N(AA220)+N(AA223)+N(AA241)+N(AA244))-N(AA150)+N(AA277))&lt;&gt;0,((N(AA218)+N(AA219)+N(AA220)+N(AA223)+N(AA241)+N(AA244))-N(AA150))/((N(AA218)+N(AA219)+N(AA220)+N(AA223)+N(AA241)+N(AA244))-N(AA150)+AA277),""),"")</f>
        <v>-3.86700854700855</v>
      </c>
      <c r="AB335" s="258">
        <f>IFERROR(IF(((N(AB218)+N(AB219)+N(AB220)+N(AB223)+N(AB241)+N(AB244))-N(AB150)+N(AB277))&lt;&gt;0,((N(AB218)+N(AB219)+N(AB220)+N(AB223)+N(AB241)+N(AB244))-N(AB150))/((N(AB218)+N(AB219)+N(AB220)+N(AB223)+N(AB241)+N(AB244))-N(AB150)+AB277),""),"")</f>
        <v>-3.86700854700855</v>
      </c>
      <c r="AC335" s="258">
        <f>IFERROR(IF(((N(AC218)+N(AC219)+N(AC220)+N(AC223)+N(AC241)+N(AC244))-N(AC150)+N(AC277))&lt;&gt;0,((N(AC218)+N(AC219)+N(AC220)+N(AC223)+N(AC241)+N(AC244))-N(AC150))/((N(AC218)+N(AC219)+N(AC220)+N(AC223)+N(AC241)+N(AC244))-N(AC150)+AC277),""),"")</f>
        <v>31.7135231316726</v>
      </c>
      <c r="AD335" s="258">
        <f>IFERROR(IF(((N(AD218)+N(AD219)+N(AD220)+N(AD223)+N(AD241)+N(AD244))-N(AD150)+N(AD277))&lt;&gt;0,((N(AD218)+N(AD219)+N(AD220)+N(AD223)+N(AD241)+N(AD244))-N(AD150))/((N(AD218)+N(AD219)+N(AD220)+N(AD223)+N(AD241)+N(AD244))-N(AD150)+AD277),""),"")</f>
        <v>0.0156323349920195</v>
      </c>
      <c r="AE335" s="258">
        <f>IFERROR(IF(((N(AE218)+N(AE219)+N(AE220)+N(AE223)+N(AE241)+N(AE244))-N(AE150)+N(AE277))&lt;&gt;0,((N(AE218)+N(AE219)+N(AE220)+N(AE223)+N(AE241)+N(AE244))-N(AE150))/((N(AE218)+N(AE219)+N(AE220)+N(AE223)+N(AE241)+N(AE244))-N(AE150)+AE277),""),"")</f>
        <v>0.111295262114934</v>
      </c>
      <c r="AF335" s="258">
        <f>IFERROR(IF(((N(AF218)+N(AF219)+N(AF220)+N(AF223)+N(AF241)+N(AF244))-N(AF150)+N(AF277))&lt;&gt;0,((N(AF218)+N(AF219)+N(AF220)+N(AF223)+N(AF241)+N(AF244))-N(AF150))/((N(AF218)+N(AF219)+N(AF220)+N(AF223)+N(AF241)+N(AF244))-N(AF150)+AF277),""),"")</f>
        <v>-0.127953484927042</v>
      </c>
      <c r="AG335" s="258">
        <f>IFERROR(IF(((N(AG218)+N(AG219)+N(AG220)+N(AG223)+N(AG241)+N(AG244))-N(AG150)+N(AG277))&lt;&gt;0,((N(AG218)+N(AG219)+N(AG220)+N(AG223)+N(AG241)+N(AG244))-N(AG150))/((N(AG218)+N(AG219)+N(AG220)+N(AG223)+N(AG241)+N(AG244))-N(AG150)+AG277),""),"")</f>
        <v>-0.127953484927042</v>
      </c>
      <c r="AH335" s="258">
        <f>IFERROR(IF(((N(AH218)+N(AH219)+N(AH220)+N(AH223)+N(AH241)+N(AH244))-N(AH150)+N(AH277))&lt;&gt;0,((N(AH218)+N(AH219)+N(AH220)+N(AH223)+N(AH241)+N(AH244))-N(AH150))/((N(AH218)+N(AH219)+N(AH220)+N(AH223)+N(AH241)+N(AH244))-N(AH150)+AH277),""),"")</f>
        <v>-1.11876729423254</v>
      </c>
      <c r="AI335" s="258">
        <f>IFERROR(IF(((N(AI218)+N(AI219)+N(AI220)+N(AI223)+N(AI241)+N(AI244))-N(AI150)+N(AI277))&lt;&gt;0,((N(AI218)+N(AI219)+N(AI220)+N(AI223)+N(AI241)+N(AI244))-N(AI150))/((N(AI218)+N(AI219)+N(AI220)+N(AI223)+N(AI241)+N(AI244))-N(AI150)+AI277),""),"")</f>
        <v>-0.138746363395927</v>
      </c>
      <c r="AJ335" s="258">
        <f>IFERROR(IF(((N(AJ218)+N(AJ219)+N(AJ220)+N(AJ223)+N(AJ241)+N(AJ244))-N(AJ150)+N(AJ277))&lt;&gt;0,((N(AJ218)+N(AJ219)+N(AJ220)+N(AJ223)+N(AJ241)+N(AJ244))-N(AJ150))/((N(AJ218)+N(AJ219)+N(AJ220)+N(AJ223)+N(AJ241)+N(AJ244))-N(AJ150)+AJ277),""),"")</f>
        <v>0.0918084554905758</v>
      </c>
      <c r="AK335" s="258">
        <f>IFERROR(IF(((N(AK218)+N(AK219)+N(AK220)+N(AK223)+N(AK241)+N(AK244))-N(AK150)+N(AK277))&lt;&gt;0,((N(AK218)+N(AK219)+N(AK220)+N(AK223)+N(AK241)+N(AK244))-N(AK150))/((N(AK218)+N(AK219)+N(AK220)+N(AK223)+N(AK241)+N(AK244))-N(AK150)+AK277),""),"")</f>
        <v>0.196803170754754</v>
      </c>
      <c r="AL335" s="258">
        <f>IFERROR(IF(((N(AL218)+N(AL219)+N(AL220)+N(AL223)+N(AL241)+N(AL244))-N(AL150)+N(AL277))&lt;&gt;0,((N(AL218)+N(AL219)+N(AL220)+N(AL223)+N(AL241)+N(AL244))-N(AL150))/((N(AL218)+N(AL219)+N(AL220)+N(AL223)+N(AL241)+N(AL244))-N(AL150)+AL277),""),"")</f>
        <v>0.196803170754754</v>
      </c>
      <c r="AM335" s="258">
        <f>IFERROR(IF(((N(AM218)+N(AM219)+N(AM220)+N(AM223)+N(AM241)+N(AM244))-N(AM150)+N(AM277))&lt;&gt;0,((N(AM218)+N(AM219)+N(AM220)+N(AM223)+N(AM241)+N(AM244))-N(AM150))/((N(AM218)+N(AM219)+N(AM220)+N(AM223)+N(AM241)+N(AM244))-N(AM150)+AM277),""),"")</f>
        <v>0.270155314247129</v>
      </c>
      <c r="AN335" s="258">
        <f>IFERROR(IF(((N(AN218)+N(AN219)+N(AN220)+N(AN223)+N(AN241)+N(AN244))-N(AN150)+N(AN277))&lt;&gt;0,((N(AN218)+N(AN219)+N(AN220)+N(AN223)+N(AN241)+N(AN244))-N(AN150))/((N(AN218)+N(AN219)+N(AN220)+N(AN223)+N(AN241)+N(AN244))-N(AN150)+AN277),""),"")</f>
        <v>0.32606101801706</v>
      </c>
      <c r="AO335" s="258">
        <f>IFERROR(IF(((N(AO218)+N(AO219)+N(AO220)+N(AO223)+N(AO241)+N(AO244))-N(AO150)+N(AO277))&lt;&gt;0,((N(AO218)+N(AO219)+N(AO220)+N(AO223)+N(AO241)+N(AO244))-N(AO150))/((N(AO218)+N(AO219)+N(AO220)+N(AO223)+N(AO241)+N(AO244))-N(AO150)+AO277),""),"")</f>
        <v>0.358447259724576</v>
      </c>
      <c r="AP335" s="258">
        <f>IFERROR(IF(((N(AP218)+N(AP219)+N(AP220)+N(AP223)+N(AP241)+N(AP244))-N(AP150)+N(AP277))&lt;&gt;0,((N(AP218)+N(AP219)+N(AP220)+N(AP223)+N(AP241)+N(AP244))-N(AP150))/((N(AP218)+N(AP219)+N(AP220)+N(AP223)+N(AP241)+N(AP244))-N(AP150)+AP277),""),"")</f>
        <v>0.387566561220019</v>
      </c>
      <c r="AQ335" s="258">
        <f>IFERROR(IF(((N(AQ218)+N(AQ219)+N(AQ220)+N(AQ223)+N(AQ241)+N(AQ244))-N(AQ150)+N(AQ277))&lt;&gt;0,((N(AQ218)+N(AQ219)+N(AQ220)+N(AQ223)+N(AQ241)+N(AQ244))-N(AQ150))/((N(AQ218)+N(AQ219)+N(AQ220)+N(AQ223)+N(AQ241)+N(AQ244))-N(AQ150)+AQ277),""),"")</f>
        <v>0.387566561220019</v>
      </c>
      <c r="AR335" s="258">
        <f>IFERROR(IF(((N(AR218)+N(AR219)+N(AR220)+N(AR223)+N(AR241)+N(AR244))-N(AR150)+N(AR277))&lt;&gt;0,((N(AR218)+N(AR219)+N(AR220)+N(AR223)+N(AR241)+N(AR244))-N(AR150))/((N(AR218)+N(AR219)+N(AR220)+N(AR223)+N(AR241)+N(AR244))-N(AR150)+AR277),""),"")</f>
        <v>0.411628038581008</v>
      </c>
      <c r="AS335" s="258">
        <f>IFERROR(IF(((N(AS218)+N(AS219)+N(AS220)+N(AS223)+N(AS241)+N(AS244))-N(AS150)+N(AS277))&lt;&gt;0,((N(AS218)+N(AS219)+N(AS220)+N(AS223)+N(AS241)+N(AS244))-N(AS150))/((N(AS218)+N(AS219)+N(AS220)+N(AS223)+N(AS241)+N(AS244))-N(AS150)+AS277),""),"")</f>
        <v>0.432978532141277</v>
      </c>
      <c r="AT335" s="258">
        <f>IFERROR(IF(((N(AT218)+N(AT219)+N(AT220)+N(AT223)+N(AT241)+N(AT244))-N(AT150)+N(AT277))&lt;&gt;0,((N(AT218)+N(AT219)+N(AT220)+N(AT223)+N(AT241)+N(AT244))-N(AT150))/((N(AT218)+N(AT219)+N(AT220)+N(AT223)+N(AT241)+N(AT244))-N(AT150)+AT277),""),"")</f>
        <v>0.445742546169717</v>
      </c>
      <c r="AU335" s="258">
        <f>IFERROR(IF(((N(AU218)+N(AU219)+N(AU220)+N(AU223)+N(AU241)+N(AU244))-N(AU150)+N(AU277))&lt;&gt;0,((N(AU218)+N(AU219)+N(AU220)+N(AU223)+N(AU241)+N(AU244))-N(AU150))/((N(AU218)+N(AU219)+N(AU220)+N(AU223)+N(AU241)+N(AU244))-N(AU150)+AU277),""),"")</f>
        <v>0.458613104247036</v>
      </c>
      <c r="AV335" s="258">
        <f>IFERROR(IF(((N(AV218)+N(AV219)+N(AV220)+N(AV223)+N(AV241)+N(AV244))-N(AV150)+N(AV277))&lt;&gt;0,((N(AV218)+N(AV219)+N(AV220)+N(AV223)+N(AV241)+N(AV244))-N(AV150))/((N(AV218)+N(AV219)+N(AV220)+N(AV223)+N(AV241)+N(AV244))-N(AV150)+AV277),""),"")</f>
        <v>0.458613104247036</v>
      </c>
      <c r="AW335" s="258">
        <f>IFERROR(IF(((N(AW218)+N(AW219)+N(AW220)+N(AW223)+N(AW241)+N(AW244))-N(AW150)+N(AW277))&lt;&gt;0,((N(AW218)+N(AW219)+N(AW220)+N(AW223)+N(AW241)+N(AW244))-N(AW150))/((N(AW218)+N(AW219)+N(AW220)+N(AW223)+N(AW241)+N(AW244))-N(AW150)+AW277),""),"")</f>
        <v>0.46996214505924</v>
      </c>
      <c r="AX335" s="258">
        <f>IFERROR(IF(((N(AX218)+N(AX219)+N(AX220)+N(AX223)+N(AX241)+N(AX244))-N(AX150)+N(AX277))&lt;&gt;0,((N(AX218)+N(AX219)+N(AX220)+N(AX223)+N(AX241)+N(AX244))-N(AX150))/((N(AX218)+N(AX219)+N(AX220)+N(AX223)+N(AX241)+N(AX244))-N(AX150)+AX277),""),"")</f>
        <v>0.480589989888298</v>
      </c>
      <c r="AY335" s="258">
        <f>IFERROR(IF(((N(AY218)+N(AY219)+N(AY220)+N(AY223)+N(AY241)+N(AY244))-N(AY150)+N(AY277))&lt;&gt;0,((N(AY218)+N(AY219)+N(AY220)+N(AY223)+N(AY241)+N(AY244))-N(AY150))/((N(AY218)+N(AY219)+N(AY220)+N(AY223)+N(AY241)+N(AY244))-N(AY150)+AY277),""),"")</f>
        <v>0.486594712978801</v>
      </c>
      <c r="AZ335" s="258">
        <f>IFERROR(IF(((N(AZ218)+N(AZ219)+N(AZ220)+N(AZ223)+N(AZ241)+N(AZ244))-N(AZ150)+N(AZ277))&lt;&gt;0,((N(AZ218)+N(AZ219)+N(AZ220)+N(AZ223)+N(AZ241)+N(AZ244))-N(AZ150))/((N(AZ218)+N(AZ219)+N(AZ220)+N(AZ223)+N(AZ241)+N(AZ244))-N(AZ150)+AZ277),""),"")</f>
        <v>0.493250323784243</v>
      </c>
      <c r="BA335" s="258">
        <f>IFERROR(IF(((N(BA218)+N(BA219)+N(BA220)+N(BA223)+N(BA241)+N(BA244))-N(BA150)+N(BA277))&lt;&gt;0,((N(BA218)+N(BA219)+N(BA220)+N(BA223)+N(BA241)+N(BA244))-N(BA150))/((N(BA218)+N(BA219)+N(BA220)+N(BA223)+N(BA241)+N(BA244))-N(BA150)+BA277),""),"")</f>
        <v>0.493250323784243</v>
      </c>
      <c r="BB335" s="258">
        <f>IFERROR(IF(((N(BB218)+N(BB219)+N(BB220)+N(BB223)+N(BB241)+N(BB244))-N(BB150)+N(BB277))&lt;&gt;0,((N(BB218)+N(BB219)+N(BB220)+N(BB223)+N(BB241)+N(BB244))-N(BB150))/((N(BB218)+N(BB219)+N(BB220)+N(BB223)+N(BB241)+N(BB244))-N(BB150)+BB277),""),"")</f>
        <v>0.49925884338259</v>
      </c>
      <c r="BC335" s="258">
        <f>IFERROR(IF(((N(BC218)+N(BC219)+N(BC220)+N(BC223)+N(BC241)+N(BC244))-N(BC150)+N(BC277))&lt;&gt;0,((N(BC218)+N(BC219)+N(BC220)+N(BC223)+N(BC241)+N(BC244))-N(BC150))/((N(BC218)+N(BC219)+N(BC220)+N(BC223)+N(BC241)+N(BC244))-N(BC150)+BC277),""),"")</f>
        <v>0.505125554716715</v>
      </c>
      <c r="BD335" s="258">
        <f>IFERROR(IF(((N(BD218)+N(BD219)+N(BD220)+N(BD223)+N(BD241)+N(BD244))-N(BD150)+N(BD277))&lt;&gt;0,((N(BD218)+N(BD219)+N(BD220)+N(BD223)+N(BD241)+N(BD244))-N(BD150))/((N(BD218)+N(BD219)+N(BD220)+N(BD223)+N(BD241)+N(BD244))-N(BD150)+BD277),""),"")</f>
        <v>0.507845117318064</v>
      </c>
      <c r="BE335" s="258">
        <f>IFERROR(IF(((N(BE218)+N(BE219)+N(BE220)+N(BE223)+N(BE241)+N(BE244))-N(BE150)+N(BE277))&lt;&gt;0,((N(BE218)+N(BE219)+N(BE220)+N(BE223)+N(BE241)+N(BE244))-N(BE150))/((N(BE218)+N(BE219)+N(BE220)+N(BE223)+N(BE241)+N(BE244))-N(BE150)+BE277),""),"")</f>
        <v>0.511288332123957</v>
      </c>
      <c r="BF335" s="258">
        <f>IFERROR(IF(((N(BF218)+N(BF219)+N(BF220)+N(BF223)+N(BF241)+N(BF244))-N(BF150)+N(BF277))&lt;&gt;0,((N(BF218)+N(BF219)+N(BF220)+N(BF223)+N(BF241)+N(BF244))-N(BF150))/((N(BF218)+N(BF219)+N(BF220)+N(BF223)+N(BF241)+N(BF244))-N(BF150)+BF277),""),"")</f>
        <v>0.511288332123957</v>
      </c>
    </row>
    <row r="336" customFormat="1" s="77">
      <c r="A336" s="76" t="n"/>
      <c r="B336" s="76" t="n"/>
    </row>
    <row r="337" customFormat="1" s="77">
      <c r="A337" s="76" t="n"/>
      <c r="B337" s="76" t="n"/>
      <c r="C337" s="74" t="inlineStr">
        <is>
          <t>FINANCIAL RISK RATIOS</t>
        </is>
      </c>
    </row>
    <row r="338" customFormat="1" s="77">
      <c r="A338" s="76" t="n"/>
      <c r="B338" s="76" t="n"/>
      <c r="C338" s="77" t="inlineStr">
        <is>
          <t>EBITDA / TOTAL INTEREST (LTM)</t>
        </is>
      </c>
      <c r="D338" s="82" t="str">
        <f>IFERROR(D75/-D80,"")</f>
        <v/>
      </c>
      <c r="E338" s="82" t="str">
        <f>IFERROR(E75/-E80,"")</f>
        <v/>
      </c>
      <c r="F338" s="82" t="str">
        <f>IFERROR(F75/-F80,"")</f>
        <v/>
      </c>
      <c r="G338" s="82" t="str">
        <f>IFERROR(G75/-G80,"")</f>
        <v/>
      </c>
      <c r="H338" s="262" t="str">
        <f>IFERROR(IF(AND(COUNT(H75)=1,(H80)&lt;&gt;0),(H75)/-(H80),""),"")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IFERROR(IF(AND(COUNT(I75,J75,K75,L75)=4,(I80+J80+K80+L80)&lt;&gt;0),(I75+J75+K75+L75)/-(I80+J80+K80+L80),""),"")</f>
        <v>5.25918979744936</v>
      </c>
      <c r="M338" s="262">
        <f>IFERROR(IF(AND(COUNT(I75,J75,K75,L75)=4,(I80+J80+K80+L80)&lt;&gt;0),(I75+J75+K75+L75)/-(I80+J80+K80+L80),""),"")</f>
        <v>5.25918979744936</v>
      </c>
      <c r="N338" s="262">
        <f>IFERROR(IF(AND(COUNT(J75,K75,L75,N75)=4,(J80+K80+L80+N80)&lt;&gt;0),(J75+K75+L75+N75)/-(J80+K80+L80+N80),""),"")</f>
        <v>5.09752547307132</v>
      </c>
      <c r="O338" s="262">
        <f>IFERROR(IF(AND(COUNT(K75,L75,N75,O75)=4,(K80+L80+N80+O80)&lt;&gt;0),(K75+L75+N75+O75)/-(K80+L80+N80+O80),""),"")</f>
        <v>5.09909255898367</v>
      </c>
      <c r="P338" s="262">
        <f>IFERROR(IF(AND(COUNT(L75,N75,O75,P75)=4,(L80+N80+O80+P80)&lt;&gt;0),(L75+N75+O75+P75)/-(L80+N80+O80+P80),""),"")</f>
        <v>4.91822347550229</v>
      </c>
      <c r="Q338" s="262">
        <f>IFERROR(IF(AND(COUNT(N75,O75,P75,Q75)=4,(N80+O80+P80+Q80)&lt;&gt;0),(N75+O75+P75+Q75)/-(N80+O80+P80+Q80),""),"")</f>
        <v>6.1672196416722</v>
      </c>
      <c r="R338" s="262">
        <f>IFERROR(IF(AND(COUNT(N75,O75,P75,Q75)=4,(N80+O80+P80+Q80)&lt;&gt;0),(N75+O75+P75+Q75)/-(N80+O80+P80+Q80),""),"")</f>
        <v>6.1672196416722</v>
      </c>
      <c r="S338" s="262">
        <f>IFERROR(IF(AND(COUNT(O75,P75,Q75,S75)=4,(O80+P80+Q80+S80)&lt;&gt;0),(O75+P75+Q75+S75)/-(O80+P80+Q80+S80),""),"")</f>
        <v>5.77849462365591</v>
      </c>
      <c r="T338" s="262">
        <f>IFERROR(IF(AND(COUNT(P75,Q75,S75,T75)=4,(P80+Q80+S80+T80)&lt;&gt;0),(P75+Q75+S75+T75)/-(P80+Q80+S80+T80),""),"")</f>
        <v>5.47689674843126</v>
      </c>
      <c r="U338" s="262">
        <f>IFERROR(IF(AND(COUNT(Q75,S75,T75,U75)=4,(Q80+S80+T80+U80)&lt;&gt;0),(Q75+S75+T75+U75)/-(Q80+S80+T80+U80),""),"")</f>
        <v>5.53717627401838</v>
      </c>
      <c r="V338" s="262">
        <f>IFERROR(IF(AND(COUNT(S75,T75,U75,V75)=4,(S80+T80+U80+V80)&lt;&gt;0),(S75+T75+U75+V75)/-(S80+T80+U80+V80),""),"")</f>
        <v>5.65553408777257</v>
      </c>
      <c r="W338" s="262">
        <f>IFERROR(IF(AND(COUNT(S75,T75,U75,V75)=4,(S80+T80+U80+V80)&lt;&gt;0),(S75+T75+U75+V75)/-(S80+T80+U80+V80),""),"")</f>
        <v>5.65553408777257</v>
      </c>
      <c r="X338" s="262">
        <f>IFERROR(IF(AND(COUNT(T75,U75,V75,X75)=4,(T80+U80+V80+X80)&lt;&gt;0),(T75+U75+V75+X75)/-(T80+U80+V80+X80),""),"")</f>
        <v>5.8421052631579</v>
      </c>
      <c r="Y338" s="262">
        <f>IFERROR(IF(AND(COUNT(U75,V75,X75,Y75)=4,(U80+V80+X80+Y80)&lt;&gt;0),(U75+V75+X75+Y75)/-(U80+V80+X80+Y80),""),"")</f>
        <v>6.11639157655094</v>
      </c>
      <c r="Z338" s="262">
        <f>IFERROR(IF(AND(COUNT(V75,X75,Y75,Z75)=4,(V80+X80+Y80+Z80)&lt;&gt;0),(V75+X75+Y75+Z75)/-(V80+X80+Y80+Z80),""),"")</f>
        <v>6.35505166475316</v>
      </c>
      <c r="AA338" s="262">
        <f>IFERROR(IF(AND(COUNT(X75,Y75,Z75,AA75)=4,(X80+Y80+Z80+AA80)&lt;&gt;0),(X75+Y75+Z75+AA75)/-(X80+Y80+Z80+AA80),""),"")</f>
        <v>6.552570768342</v>
      </c>
      <c r="AB338" s="262">
        <f>IFERROR(IF(AND(COUNT(X75,Y75,Z75,AA75)=4,(X80+Y80+Z80+AA80)&lt;&gt;0),(X75+Y75+Z75+AA75)/-(X80+Y80+Z80+AA80),""),"")</f>
        <v>6.552570768342</v>
      </c>
      <c r="AC338" s="262">
        <f>IFERROR(IF(AND(COUNT(Y75,Z75,AA75,AC75)=4,(Y80+Z80+AA80+AC80)&lt;&gt;0),(Y75+Z75+AA75+AC75)/-(Y80+Z80+AA80+AC80),""),"")</f>
        <v>6.69551466359977</v>
      </c>
      <c r="AD338" s="262">
        <f>IFERROR(IF(AND(COUNT(Z75,AA75,AC75,AD75)=4,(Z80+AA80+AC80+AD80)&lt;&gt;0),(Z75+AA75+AC75+AD75)/-(Z80+AA80+AC80+AD80),""),"")</f>
        <v>6.66629401900503</v>
      </c>
      <c r="AE338" s="262">
        <f>IFERROR(IF(AND(COUNT(AA75,AC75,AD75,AE75)=4,(AA80+AC80+AD80+AE80)&lt;&gt;0),(AA75+AC75+AD75+AE75)/-(AA80+AC80+AD80+AE80),""),"")</f>
        <v>6.69062585405849</v>
      </c>
      <c r="AF338" s="262">
        <f>IFERROR(IF(AND(COUNT(AB75,AD75,AE75,AF75)=4,(AB80+AD80+AE80+AF80)&lt;&gt;0),(AB75+AD75+AE75+AF75)/-(AB80+AD80+AE80+AF80),""),"")</f>
        <v>6.601246105919</v>
      </c>
      <c r="AG338" s="262">
        <f>IFERROR(IF(AND(COUNT(AC75,AD75,AE75,AF75)=4,(AC80+AD80+AE80+AF80)&lt;&gt;0),(AC75+AD75+AE75+AF75)/-(AC80+AD80+AE80+AF80),""),"")</f>
        <v>6.65038961038961</v>
      </c>
      <c r="AH338" s="262">
        <f>IFERROR(IF(AND(COUNT(AD75,AF75,AG75,AH75)=4,(AD80+AF80+AG80+AH80)&lt;&gt;0),(AD75+AF75+AG75+AH75)/-(AD80+AF80+AG80+AH80),""),"")</f>
        <v>6.69228591648974</v>
      </c>
      <c r="AI338" s="262">
        <f>IFERROR(IF(AND(COUNT(AE75,AG75,AH75,AI75)=4,(AE80+AG80+AH80+AI80)&lt;&gt;0),(AE75+AG75+AH75+AI75)/-(AE80+AG80+AH80+AI80),""),"")</f>
        <v>6.58306277056277</v>
      </c>
      <c r="AJ338" s="262" t="str">
        <f>IFERROR(IF(AND(COUNT(AF75,AH75,AI75,AJ75)=4,(AF80+AH80+AI80+AJ80)&lt;&gt;0),(AF75+AH75+AI75+AJ75)/-(AF80+AH80+AI80+AJ80),""),"")</f>
        <v/>
      </c>
      <c r="AK338" s="262" t="str">
        <f>IFERROR(IF(AND(COUNT(AH75,AI75,AJ75,AK75)=4,(AH80+AI80+AJ80+AK80)&lt;&gt;0),(AH75+AI75+AJ75+AK75)/-(AH80+AI80+AJ80+AK80),""),"")</f>
        <v/>
      </c>
      <c r="AL338" s="262" t="str">
        <f>IFERROR(IF(AND(COUNT(AH75,AI75,AJ75,AK75)=4,(AH80+AI80+AJ80+AK80)&lt;&gt;0),(AH75+AI75+AJ75+AK75)/-(AH80+AI80+AJ80+AK80),""),"")</f>
        <v/>
      </c>
      <c r="AM338" s="262" t="str">
        <f>IFERROR(IF(AND(COUNT(AI75,AJ75,AK75,AM75)=4,(AI80+AJ80+AK80+AM80)&lt;&gt;0),(AI75+AJ75+AK75+AM75)/-(AI80+AJ80+AK80+AM80),""),"")</f>
        <v/>
      </c>
      <c r="AN338" s="262" t="str">
        <f>IFERROR(IF(AND(COUNT(AJ75,AK75,AM75,AN75)=4,(AJ80+AK80+AM80+AN80)&lt;&gt;0),(AJ75+AK75+AM75+AN75)/-(AJ80+AK80+AM80+AN80),""),"")</f>
        <v/>
      </c>
      <c r="AO338" s="262" t="str">
        <f>IFERROR(IF(AND(COUNT(AK75,AM75,AN75,AO75)=4,(AK80+AM80+AN80+AO80)&lt;&gt;0),(AK75+AM75+AN75+AO75)/-(AK80+AM80+AN80+AO80),""),"")</f>
        <v/>
      </c>
      <c r="AP338" s="262" t="str">
        <f>IFERROR(IF(AND(COUNT(AM75,AN75,AO75,AP75)=4,(AM80+AN80+AO80+AP80)&lt;&gt;0),(AM75+AN75+AO75+AP75)/-(AM80+AN80+AO80+AP80),""),"")</f>
        <v/>
      </c>
      <c r="AQ338" s="262" t="str">
        <f>IFERROR(IF(AND(COUNT(AM75,AN75,AO75,AP75)=4,(AM80+AN80+AO80+AP80)&lt;&gt;0),(AM75+AN75+AO75+AP75)/-(AM80+AN80+AO80+AP80),""),"")</f>
        <v/>
      </c>
      <c r="AR338" s="262" t="str">
        <f>IFERROR(IF(AND(COUNT(AN75,AO75,AP75,AR75)=4,(AN80+AO80+AP80+AR80)&lt;&gt;0),(AN75+AO75+AP75+AR75)/-(AN80+AO80+AP80+AR80),""),"")</f>
        <v/>
      </c>
      <c r="AS338" s="262" t="str">
        <f>IFERROR(IF(AND(COUNT(AO75,AP75,AR75,AS75)=4,(AO80+AP80+AR80+AS80)&lt;&gt;0),(AO75+AP75+AR75+AS75)/-(AO80+AP80+AR80+AS80),""),"")</f>
        <v/>
      </c>
      <c r="AT338" s="262" t="str">
        <f>IFERROR(IF(AND(COUNT(AP75,AR75,AS75,AT75)=4,(AP80+AR80+AS80+AT80)&lt;&gt;0),(AP75+AR75+AS75+AT75)/-(AP80+AR80+AS80+AT80),""),"")</f>
        <v/>
      </c>
      <c r="AU338" s="262" t="str">
        <f>IFERROR(IF(AND(COUNT(AR75,AS75,AT75,AU75)=4,(AR80+AS80+AT80+AU80)&lt;&gt;0),(AR75+AS75+AT75+AU75)/-(AR80+AS80+AT80+AU80),""),"")</f>
        <v/>
      </c>
      <c r="AV338" s="262" t="str">
        <f>IFERROR(IF(AND(COUNT(AR75,AS75,AT75,AU75)=4,(AR80+AS80+AT80+AU80)&lt;&gt;0),(AR75+AS75+AT75+AU75)/-(AR80+AS80+AT80+AU80),""),"")</f>
        <v/>
      </c>
      <c r="AW338" s="262" t="str">
        <f>IFERROR(IF(AND(COUNT(AS75,AT75,AU75,AW75)=4,(AS80+AT80+AU80+AW80)&lt;&gt;0),(AS75+AT75+AU75+AW75)/-(AS80+AT80+AU80+AW80),""),"")</f>
        <v/>
      </c>
      <c r="AX338" s="262" t="str">
        <f>IFERROR(IF(AND(COUNT(AT75,AU75,AW75,AX75)=4,(AT80+AU80+AW80+AX80)&lt;&gt;0),(AT75+AU75+AW75+AX75)/-(AT80+AU80+AW80+AX80),""),"")</f>
        <v/>
      </c>
      <c r="AY338" s="262" t="str">
        <f>IFERROR(IF(AND(COUNT(AU75,AW75,AX75,AY75)=4,(AU80+AW80+AX80+AY80)&lt;&gt;0),(AU75+AW75+AX75+AY75)/-(AU80+AW80+AX80+AY80),""),"")</f>
        <v/>
      </c>
      <c r="AZ338" s="262" t="str">
        <f>IFERROR(IF(AND(COUNT(AW75,AX75,AY75,AZ75)=4,(AW80+AX80+AY80+AZ80)&lt;&gt;0),(AW75+AX75+AY75+AZ75)/-(AW80+AX80+AY80+AZ80),""),"")</f>
        <v/>
      </c>
      <c r="BA338" s="262" t="str">
        <f>IFERROR(IF(AND(COUNT(AW75,AX75,AY75,AZ75)=4,(AW80+AX80+AY80+AZ80)&lt;&gt;0),(AW75+AX75+AY75+AZ75)/-(AW80+AX80+AY80+AZ80),""),"")</f>
        <v/>
      </c>
      <c r="BB338" s="262" t="str">
        <f>IFERROR(IF(AND(COUNT(AX75,AY75,AZ75,BB75)=4,(AX80+AY80+AZ80+BB80)&lt;&gt;0),(AX75+AY75+AZ75+BB75)/-(AX80+AY80+AZ80+BB80),""),"")</f>
        <v/>
      </c>
      <c r="BC338" s="262" t="str">
        <f>IFERROR(IF(AND(COUNT(AY75,AZ75,BB75,BC75)=4,(AY80+AZ80+BB80+BC80)&lt;&gt;0),(AY75+AZ75+BB75+BC75)/-(AY80+AZ80+BB80+BC80),""),"")</f>
        <v/>
      </c>
      <c r="BD338" s="262" t="str">
        <f>IFERROR(IF(AND(COUNT(AZ75,BB75,BC75,BD75)=4,(AZ80+BB80+BC80+BD80)&lt;&gt;0),(AZ75+BB75+BC75+BD75)/-(AZ80+BB80+BC80+BD80),""),"")</f>
        <v/>
      </c>
      <c r="BE338" s="262" t="str">
        <f>IFERROR(IF(AND(COUNT(BB75,BC75,BD75,BE75)=4,(BB80+BC80+BD80+BE80)&lt;&gt;0),(BB75+BC75+BD75+BE75)/-(BB80+BC80+BD80+BE80),""),"")</f>
        <v/>
      </c>
      <c r="BF338" s="262" t="str">
        <f>IFERROR(IF(AND(COUNT(BB75,BC75,BD75,BE75)=4,(BB80+BC80+BD80+BE80)&lt;&gt;0),(BB75+BC75+BD75+BE75)/-(BB80+BC80+BD80+BE80),""),"")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  <c r="C339" s="77" t="inlineStr">
        <is>
          <t>(EBITDA - CAPEX) / TOTAL INTEREST (LTM)</t>
        </is>
      </c>
      <c r="D339" s="82" t="str">
        <f>IFERROR((D75-D174)/-D80,"")</f>
        <v/>
      </c>
      <c r="E339" s="82" t="str">
        <f>IFERROR((E75-E174)/-E80,"")</f>
        <v/>
      </c>
      <c r="F339" s="82" t="str">
        <f>IFERROR((F75-F174)/-F80,"")</f>
        <v/>
      </c>
      <c r="G339" s="82" t="str">
        <f>IFERROR((G75-G174)/-G80,"")</f>
        <v/>
      </c>
      <c r="H339" s="262" t="str">
        <f>IFERROR(IF(AND(COUNT(H75)=1,(H80)&lt;&gt;0),((H75)-(H174))/-(H80),""),"")</f>
        <v/>
      </c>
      <c r="I339" s="262" t="str">
        <f>""</f>
        <v/>
      </c>
      <c r="J339" s="262" t="str">
        <f>""</f>
        <v/>
      </c>
      <c r="K339" s="262" t="str">
        <f>""</f>
        <v/>
      </c>
      <c r="L339" s="262">
        <f>IFERROR(IF(AND(COUNT(I75,J75,K75,L75)=4,(I80+J80+K80+L80)&lt;&gt;0),((I75+J75+K75+L75)-(I174+J174+K174+L174))/-(I80+J80+K80+L80),""),"")</f>
        <v>3.95386346586647</v>
      </c>
      <c r="M339" s="262">
        <f>IFERROR(IF(AND(COUNT(I75,J75,K75,L75)=4,(I80+J80+K80+L80)&lt;&gt;0),((I75+J75+K75+L75)-(I174+J174+K174+L174))/-(I80+J80+K80+L80),""),"")</f>
        <v>3.95386346586647</v>
      </c>
      <c r="N339" s="262">
        <f>IFERROR(IF(AND(COUNT(J75,K75,L75,N75)=4,(J80+K80+L80+N80)&lt;&gt;0),((J75+K75+L75+N75)-(J174+K174+L174+N174))/-(J80+K80+L80+N80),""),"")</f>
        <v>3.33806404657933</v>
      </c>
      <c r="O339" s="262">
        <f>IFERROR(IF(AND(COUNT(K75,L75,N75,O75)=4,(K80+L80+N80+O80)&lt;&gt;0),((K75+L75+N75+O75)-(K174+L174+N174+O174))/-(K80+L80+N80+O80),""),"")</f>
        <v>2.99818511796733</v>
      </c>
      <c r="P339" s="262">
        <f>IFERROR(IF(AND(COUNT(L75,N75,O75,P75)=4,(L80+N80+O80+P80)&lt;&gt;0),((L75+N75+O75+P75)-(L174+N174+O174+P174))/-(L80+N80+O80+P80),""),"")</f>
        <v>1.92210081071554</v>
      </c>
      <c r="Q339" s="262">
        <f>IFERROR(IF(AND(COUNT(N75,O75,P75,Q75)=4,(N80+O80+P80+Q80)&lt;&gt;0),((N75+O75+P75+Q75)-(N174+O174+P174+Q174))/-(N80+O80+P80+Q80),""),"")</f>
        <v>2.55341738553417</v>
      </c>
      <c r="R339" s="262">
        <f>IFERROR(IF(AND(COUNT(N75,O75,P75,Q75)=4,(N80+O80+P80+Q80)&lt;&gt;0),((N75+O75+P75+Q75)-(N174+O174+P174+Q174))/-(N80+O80+P80+Q80),""),"")</f>
        <v>2.55341738553417</v>
      </c>
      <c r="S339" s="262">
        <f>IFERROR(IF(AND(COUNT(O75,P75,Q75,S75)=4,(O80+P80+Q80+S80)&lt;&gt;0),((O75+P75+Q75+S75)-(O174+P174+Q174+S174))/-(O80+P80+Q80+S80),""),"")</f>
        <v>1.75729646697389</v>
      </c>
      <c r="T339" s="262">
        <f>IFERROR(IF(AND(COUNT(P75,Q75,S75,T75)=4,(P80+Q80+S80+T80)&lt;&gt;0),((P75+Q75+S75+T75)-(P174+Q174+S174+T174))/-(P80+Q80+S80+T80),""),"")</f>
        <v>1.6374786081004</v>
      </c>
      <c r="U339" s="262">
        <f>IFERROR(IF(AND(COUNT(Q75,S75,T75,U75)=4,(Q80+S80+T80+U80)&lt;&gt;0),((Q75+S75+T75+U75)-(Q174+S174+T174+U174))/-(Q80+S80+T80+U80),""),"")</f>
        <v>2.34001670843776</v>
      </c>
      <c r="V339" s="262">
        <f>IFERROR(IF(AND(COUNT(S75,T75,U75,V75)=4,(S80+T80+U80+V80)&lt;&gt;0),((S75+T75+U75+V75)-(S174+T174+U174+V174))/-(S80+T80+U80+V80),""),"")</f>
        <v>2.94231300027601</v>
      </c>
      <c r="W339" s="262">
        <f>IFERROR(IF(AND(COUNT(S75,T75,U75,V75)=4,(S80+T80+U80+V80)&lt;&gt;0),((S75+T75+U75+V75)-(S174+T174+U174+V174))/-(S80+T80+U80+V80),""),"")</f>
        <v>2.94231300027601</v>
      </c>
      <c r="X339" s="262">
        <f>IFERROR(IF(AND(COUNT(T75,U75,V75,X75)=4,(T80+U80+V80+X80)&lt;&gt;0),((T75+U75+V75+X75)-(T174+U174+V174+X174))/-(T80+U80+V80+X80),""),"")</f>
        <v>3.35171261487051</v>
      </c>
      <c r="Y339" s="262">
        <f>IFERROR(IF(AND(COUNT(U75,V75,X75,Y75)=4,(U80+V80+X80+Y80)&lt;&gt;0),((U75+V75+X75+Y75)-(U174+V174+X174+Y174))/-(U80+V80+X80+Y80),""),"")</f>
        <v>3.09817871371656</v>
      </c>
      <c r="Z339" s="262">
        <f>IFERROR(IF(AND(COUNT(V75,X75,Y75,Z75)=4,(V80+X80+Y80+Z80)&lt;&gt;0),((V75+X75+Y75+Z75)-(V174+X174+Y174+Z174))/-(V80+X80+Y80+Z80),""),"")</f>
        <v>3.04219288174512</v>
      </c>
      <c r="AA339" s="262">
        <f>IFERROR(IF(AND(COUNT(X75,Y75,Z75,AA75)=4,(X80+Y80+Z80+AA80)&lt;&gt;0),((X75+Y75+Z75+AA75)-(X174+Y174+Z174+AA174))/-(X80+Y80+Z80+AA80),""),"")</f>
        <v>2.37550548815713</v>
      </c>
      <c r="AB339" s="262">
        <f>IFERROR(IF(AND(COUNT(X75,Y75,Z75,AA75)=4,(X80+Y80+Z80+AA80)&lt;&gt;0),((X75+Y75+Z75+AA75)-(X174+Y174+Z174+AA174))/-(X80+Y80+Z80+AA80),""),"")</f>
        <v>2.37550548815713</v>
      </c>
      <c r="AC339" s="262">
        <f>IFERROR(IF(AND(COUNT(Y75,Z75,AA75,AC75)=4,(Y80+Z80+AA80+AC80)&lt;&gt;0),((Y75+Z75+AA75+AC75)-(Y174+Z174+AA174+AC174))/-(Y80+Z80+AA80+AC80),""),"")</f>
        <v>1.26566992524439</v>
      </c>
      <c r="AD339" s="262">
        <f>IFERROR(IF(AND(COUNT(Z75,AA75,AC75,AD75)=4,(Z80+AA80+AC80+AD80)&lt;&gt;0),((Z75+AA75+AC75+AD75)-(Z174+AA174+AC174+AD174))/-(Z80+AA80+AC80+AD80),""),"")</f>
        <v>-1.20402459474567</v>
      </c>
      <c r="AE339" s="262">
        <f>IFERROR(IF(AND(COUNT(AA75,AC75,AD75,AE75)=4,(AA80+AC80+AD80+AE80)&lt;&gt;0),((AA75+AC75+AD75+AE75)-(AA174+AC174+AD174+AE174))/-(AA80+AC80+AD80+AE80),""),"")</f>
        <v>-3.31675321125991</v>
      </c>
      <c r="AF339" s="262">
        <f>IFERROR(IF(AND(COUNT(AB75,AD75,AE75,AF75)=4,(AB80+AD80+AE80+AF80)&lt;&gt;0),((AB75+AD75+AE75+AF75)-(AB174+AD174+AE174+AF174))/-(AB80+AD80+AE80+AF80),""),"")</f>
        <v>0.139719626168224</v>
      </c>
      <c r="AG339" s="262">
        <f>IFERROR(IF(AND(COUNT(AC75,AD75,AE75,AF75)=4,(AC80+AD80+AE80+AF80)&lt;&gt;0),((AC75+AD75+AE75+AF75)-(AC174+AD174+AE174+AF174))/-(AC80+AD80+AE80+AF80),""),"")</f>
        <v>-5.96571428571429</v>
      </c>
      <c r="AH339" s="262">
        <f>IFERROR(IF(AND(COUNT(AD75,AF75,AG75,AH75)=4,(AD80+AF80+AG80+AH80)&lt;&gt;0),((AD75+AF75+AG75+AH75)-(AD174+AF174+AG174+AH174))/-(AD80+AF80+AG80+AH80),""),"")</f>
        <v>-7.02604387827318</v>
      </c>
      <c r="AI339" s="262">
        <f>IFERROR(IF(AND(COUNT(AE75,AG75,AH75,AI75)=4,(AE80+AG80+AH80+AI80)&lt;&gt;0),((AE75+AG75+AH75+AI75)-(AE174+AG174+AH174+AI174))/-(AE80+AG80+AH80+AI80),""),"")</f>
        <v>-6.60822510822511</v>
      </c>
      <c r="AJ339" s="262" t="str">
        <f>IFERROR(IF(AND(COUNT(AF75,AH75,AI75,AJ75)=4,(AF80+AH80+AI80+AJ80)&lt;&gt;0),((AF75+AH75+AI75+AJ75)-(AF174+AH174+AI174+AJ174))/-(AF80+AH80+AI80+AJ80),""),"")</f>
        <v/>
      </c>
      <c r="AK339" s="262" t="str">
        <f>IFERROR(IF(AND(COUNT(AH75,AI75,AJ75,AK75)=4,(AH80+AI80+AJ80+AK80)&lt;&gt;0),((AH75+AI75+AJ75+AK75)-(AH174+AI174+AJ174+AK174))/-(AH80+AI80+AJ80+AK80),""),"")</f>
        <v/>
      </c>
      <c r="AL339" s="262" t="str">
        <f>IFERROR(IF(AND(COUNT(AH75,AI75,AJ75,AK75)=4,(AH80+AI80+AJ80+AK80)&lt;&gt;0),((AH75+AI75+AJ75+AK75)-(AH174+AI174+AJ174+AK174))/-(AH80+AI80+AJ80+AK80),""),"")</f>
        <v/>
      </c>
      <c r="AM339" s="262" t="str">
        <f>IFERROR(IF(AND(COUNT(AI75,AJ75,AK75,AM75)=4,(AI80+AJ80+AK80+AM80)&lt;&gt;0),((AI75+AJ75+AK75+AM75)-(AI174+AJ174+AK174+AM174))/-(AI80+AJ80+AK80+AM80),""),"")</f>
        <v/>
      </c>
      <c r="AN339" s="262" t="str">
        <f>IFERROR(IF(AND(COUNT(AJ75,AK75,AM75,AN75)=4,(AJ80+AK80+AM80+AN80)&lt;&gt;0),((AJ75+AK75+AM75+AN75)-(AJ174+AK174+AM174+AN174))/-(AJ80+AK80+AM80+AN80),""),"")</f>
        <v/>
      </c>
      <c r="AO339" s="262" t="str">
        <f>IFERROR(IF(AND(COUNT(AK75,AM75,AN75,AO75)=4,(AK80+AM80+AN80+AO80)&lt;&gt;0),((AK75+AM75+AN75+AO75)-(AK174+AM174+AN174+AO174))/-(AK80+AM80+AN80+AO80),""),"")</f>
        <v/>
      </c>
      <c r="AP339" s="262" t="str">
        <f>IFERROR(IF(AND(COUNT(AM75,AN75,AO75,AP75)=4,(AM80+AN80+AO80+AP80)&lt;&gt;0),((AM75+AN75+AO75+AP75)-(AM174+AN174+AO174+AP174))/-(AM80+AN80+AO80+AP80),""),"")</f>
        <v/>
      </c>
      <c r="AQ339" s="262" t="str">
        <f>IFERROR(IF(AND(COUNT(AM75,AN75,AO75,AP75)=4,(AM80+AN80+AO80+AP80)&lt;&gt;0),((AM75+AN75+AO75+AP75)-(AM174+AN174+AO174+AP174))/-(AM80+AN80+AO80+AP80),""),"")</f>
        <v/>
      </c>
      <c r="AR339" s="262" t="str">
        <f>IFERROR(IF(AND(COUNT(AN75,AO75,AP75,AR75)=4,(AN80+AO80+AP80+AR80)&lt;&gt;0),((AN75+AO75+AP75+AR75)-(AN174+AO174+AP174+AR174))/-(AN80+AO80+AP80+AR80),""),"")</f>
        <v/>
      </c>
      <c r="AS339" s="262" t="str">
        <f>IFERROR(IF(AND(COUNT(AO75,AP75,AR75,AS75)=4,(AO80+AP80+AR80+AS80)&lt;&gt;0),((AO75+AP75+AR75+AS75)-(AO174+AP174+AR174+AS174))/-(AO80+AP80+AR80+AS80),""),"")</f>
        <v/>
      </c>
      <c r="AT339" s="262" t="str">
        <f>IFERROR(IF(AND(COUNT(AP75,AR75,AS75,AT75)=4,(AP80+AR80+AS80+AT80)&lt;&gt;0),((AP75+AR75+AS75+AT75)-(AP174+AR174+AS174+AT174))/-(AP80+AR80+AS80+AT80),""),"")</f>
        <v/>
      </c>
      <c r="AU339" s="262" t="str">
        <f>IFERROR(IF(AND(COUNT(AR75,AS75,AT75,AU75)=4,(AR80+AS80+AT80+AU80)&lt;&gt;0),((AR75+AS75+AT75+AU75)-(AR174+AS174+AT174+AU174))/-(AR80+AS80+AT80+AU80),""),"")</f>
        <v/>
      </c>
      <c r="AV339" s="262" t="str">
        <f>IFERROR(IF(AND(COUNT(AR75,AS75,AT75,AU75)=4,(AR80+AS80+AT80+AU80)&lt;&gt;0),((AR75+AS75+AT75+AU75)-(AR174+AS174+AT174+AU174))/-(AR80+AS80+AT80+AU80),""),"")</f>
        <v/>
      </c>
      <c r="AW339" s="262" t="str">
        <f>IFERROR(IF(AND(COUNT(AS75,AT75,AU75,AW75)=4,(AS80+AT80+AU80+AW80)&lt;&gt;0),((AS75+AT75+AU75+AW75)-(AS174+AT174+AU174+AW174))/-(AS80+AT80+AU80+AW80),""),"")</f>
        <v/>
      </c>
      <c r="AX339" s="262" t="str">
        <f>IFERROR(IF(AND(COUNT(AT75,AU75,AW75,AX75)=4,(AT80+AU80+AW80+AX80)&lt;&gt;0),((AT75+AU75+AW75+AX75)-(AT174+AU174+AW174+AX174))/-(AT80+AU80+AW80+AX80),""),"")</f>
        <v/>
      </c>
      <c r="AY339" s="262" t="str">
        <f>IFERROR(IF(AND(COUNT(AU75,AW75,AX75,AY75)=4,(AU80+AW80+AX80+AY80)&lt;&gt;0),((AU75+AW75+AX75+AY75)-(AU174+AW174+AX174+AY174))/-(AU80+AW80+AX80+AY80),""),"")</f>
        <v/>
      </c>
      <c r="AZ339" s="262" t="str">
        <f>IFERROR(IF(AND(COUNT(AW75,AX75,AY75,AZ75)=4,(AW80+AX80+AY80+AZ80)&lt;&gt;0),((AW75+AX75+AY75+AZ75)-(AW174+AX174+AY174+AZ174))/-(AW80+AX80+AY80+AZ80),""),"")</f>
        <v/>
      </c>
      <c r="BA339" s="262" t="str">
        <f>IFERROR(IF(AND(COUNT(AW75,AX75,AY75,AZ75)=4,(AW80+AX80+AY80+AZ80)&lt;&gt;0),((AW75+AX75+AY75+AZ75)-(AW174+AX174+AY174+AZ174))/-(AW80+AX80+AY80+AZ80),""),"")</f>
        <v/>
      </c>
      <c r="BB339" s="262" t="str">
        <f>IFERROR(IF(AND(COUNT(AX75,AY75,AZ75,BB75)=4,(AX80+AY80+AZ80+BB80)&lt;&gt;0),((AX75+AY75+AZ75+BB75)-(AX174+AY174+AZ174+BB174))/-(AX80+AY80+AZ80+BB80),""),"")</f>
        <v/>
      </c>
      <c r="BC339" s="262" t="str">
        <f>IFERROR(IF(AND(COUNT(AY75,AZ75,BB75,BC75)=4,(AY80+AZ80+BB80+BC80)&lt;&gt;0),((AY75+AZ75+BB75+BC75)-(AY174+AZ174+BB174+BC174))/-(AY80+AZ80+BB80+BC80),""),"")</f>
        <v/>
      </c>
      <c r="BD339" s="262" t="str">
        <f>IFERROR(IF(AND(COUNT(AZ75,BB75,BC75,BD75)=4,(AZ80+BB80+BC80+BD80)&lt;&gt;0),((AZ75+BB75+BC75+BD75)-(AZ174+BB174+BC174+BD174))/-(AZ80+BB80+BC80+BD80),""),"")</f>
        <v/>
      </c>
      <c r="BE339" s="262" t="str">
        <f>IFERROR(IF(AND(COUNT(BB75,BC75,BD75,BE75)=4,(BB80+BC80+BD80+BE80)&lt;&gt;0),((BB75+BC75+BD75+BE75)-(BB174+BC174+BD174+BE174))/-(BB80+BC80+BD80+BE80),""),"")</f>
        <v/>
      </c>
      <c r="BF339" s="262" t="str">
        <f>IFERROR(IF(AND(COUNT(BB75,BC75,BD75,BE75)=4,(BB80+BC80+BD80+BE80)&lt;&gt;0),((BB75+BC75+BD75+BE75)-(BB174+BC174+BD174+BE174))/-(BB80+BC80+BD80+BE80),""),"")</f>
        <v/>
      </c>
      <c r="BG339" s="82" t="n"/>
      <c r="BH339" s="82" t="n"/>
      <c r="BI339" s="82" t="n"/>
      <c r="BJ339" s="82" t="n"/>
      <c r="BL339" s="82" t="n"/>
      <c r="BM339" s="82" t="n"/>
      <c r="BN339" s="82" t="n"/>
      <c r="BO339" s="82" t="n"/>
      <c r="BQ339" s="82" t="n"/>
      <c r="BR339" s="82" t="n"/>
      <c r="BS339" s="82" t="n"/>
      <c r="BT339" s="82" t="n"/>
      <c r="BV339" s="82" t="n"/>
      <c r="BW339" s="82" t="n"/>
      <c r="BX339" s="82" t="n"/>
      <c r="BY339" s="82" t="n"/>
      <c r="CA339" s="82" t="n"/>
      <c r="CB339" s="82" t="n"/>
      <c r="CC339" s="82" t="n"/>
      <c r="CD339" s="82" t="n"/>
      <c r="CF339" s="82" t="n"/>
      <c r="CG339" s="82" t="n"/>
      <c r="CH339" s="82" t="n"/>
      <c r="CI339" s="82" t="n"/>
      <c r="CK339" s="82" t="n"/>
      <c r="CL339" s="82" t="n"/>
      <c r="CM339" s="82" t="n"/>
      <c r="CN339" s="82" t="n"/>
      <c r="CP339" s="82" t="n"/>
      <c r="CQ339" s="82" t="n"/>
      <c r="CR339" s="82" t="n"/>
      <c r="CS339" s="82" t="n"/>
      <c r="CU339" s="82" t="n"/>
      <c r="CV339" s="82" t="n"/>
      <c r="CW339" s="82" t="n"/>
      <c r="CX339" s="82" t="n"/>
    </row>
    <row r="340" customFormat="1" s="77">
      <c r="A340" s="76" t="n"/>
      <c r="B340" s="76" t="n"/>
      <c r="C340" s="77" t="inlineStr">
        <is>
          <t>TOTAL DEBT / EBITDA (LTM)</t>
        </is>
      </c>
      <c r="D340" s="82" t="str">
        <f>IFERROR(SUM(D218,D219,D220,D223,D241,D244)/D75,"")</f>
        <v/>
      </c>
      <c r="E340" s="82" t="str">
        <f>IFERROR(SUM(E218,E219,E220,E223,E241,E244)/E75,"")</f>
        <v/>
      </c>
      <c r="F340" s="82" t="str">
        <f>IFERROR(SUM(F218,F219,F220,F223,F241,F244)/F75,"")</f>
        <v/>
      </c>
      <c r="G340" s="82" t="str">
        <f>IFERROR(SUM(G218,G219,G220,G223,G241,G244)/G75,"")</f>
        <v/>
      </c>
      <c r="H340" s="262" t="str">
        <f>IFERROR(IF(AND(COUNT(H75)=1,(H75)&lt;&gt;0),(N(H218)+N(H219)+N(H220)+N(H223)+N(H241)+N(H244))/(H75),""),"")</f>
        <v/>
      </c>
      <c r="I340" s="262" t="str">
        <f>""</f>
        <v/>
      </c>
      <c r="J340" s="262" t="str">
        <f>""</f>
        <v/>
      </c>
      <c r="K340" s="262" t="str">
        <f>""</f>
        <v/>
      </c>
      <c r="L340" s="262">
        <f>IFERROR(IF(AND(COUNT(I75,J75,K75,L75)=4,(I75+J75+K75+L75)&lt;&gt;0),(N(L218)+N(L219)+N(L220)+N(L223)+N(L241)+N(L244))/(I75+J75+K75+L75),""),"")</f>
        <v>0</v>
      </c>
      <c r="M340" s="262">
        <f>IFERROR(IF(AND(COUNT(I75,J75,K75,L75)=4,(I75+J75+K75+L75)&lt;&gt;0),(N(M218)+N(M219)+N(M220)+N(M223)+N(M241)+N(M244))/(I75+J75+K75+L75),""),"")</f>
        <v>0</v>
      </c>
      <c r="N340" s="262">
        <f>IFERROR(IF(AND(COUNT(J75,K75,L75,N75)=4,(J75+K75+L75+N75)&lt;&gt;0),(N(N218)+N(N219)+N(N220)+N(N223)+N(N241)+N(N244))/(J75+K75+L75+N75),""),"")</f>
        <v>0</v>
      </c>
      <c r="O340" s="262">
        <f>IFERROR(IF(AND(COUNT(K75,L75,N75,O75)=4,(K75+L75+N75+O75)&lt;&gt;0),(N(O218)+N(O219)+N(O220)+N(O223)+N(O241)+N(O244))/(K75+L75+N75+O75),""),"")</f>
        <v>0</v>
      </c>
      <c r="P340" s="262">
        <f>IFERROR(IF(AND(COUNT(L75,N75,O75,P75)=4,(L75+N75+O75+P75)&lt;&gt;0),(N(P218)+N(P219)+N(P220)+N(P223)+N(P241)+N(P244))/(L75+N75+O75+P75),""),"")</f>
        <v>0</v>
      </c>
      <c r="Q340" s="262">
        <f>IFERROR(IF(AND(COUNT(N75,O75,P75,Q75)=4,(N75+O75+P75+Q75)&lt;&gt;0),(N(Q218)+N(Q219)+N(Q220)+N(Q223)+N(Q241)+N(Q244))/(N75+O75+P75+Q75),""),"")</f>
        <v>0</v>
      </c>
      <c r="R340" s="262">
        <f>IFERROR(IF(AND(COUNT(N75,O75,P75,Q75)=4,(N75+O75+P75+Q75)&lt;&gt;0),(N(R218)+N(R219)+N(R220)+N(R223)+N(R241)+N(R244))/(N75+O75+P75+Q75),""),"")</f>
        <v>0</v>
      </c>
      <c r="S340" s="262">
        <f>IFERROR(IF(AND(COUNT(O75,P75,Q75,S75)=4,(O75+P75+Q75+S75)&lt;&gt;0),(N(S218)+N(S219)+N(S220)+N(S223)+N(S241)+N(S244))/(O75+P75+Q75+S75),""),"")</f>
        <v>0</v>
      </c>
      <c r="T340" s="262">
        <f>IFERROR(IF(AND(COUNT(P75,Q75,S75,T75)=4,(P75+Q75+S75+T75)&lt;&gt;0),(N(T218)+N(T219)+N(T220)+N(T223)+N(T241)+N(T244))/(P75+Q75+S75+T75),""),"")</f>
        <v>0</v>
      </c>
      <c r="U340" s="262">
        <f>IFERROR(IF(AND(COUNT(Q75,S75,T75,U75)=4,(Q75+S75+T75+U75)&lt;&gt;0),(N(U218)+N(U219)+N(U220)+N(U223)+N(U241)+N(U244))/(Q75+S75+T75+U75),""),"")</f>
        <v>0</v>
      </c>
      <c r="V340" s="262">
        <f>IFERROR(IF(AND(COUNT(S75,T75,U75,V75)=4,(S75+T75+U75+V75)&lt;&gt;0),(N(V218)+N(V219)+N(V220)+N(V223)+N(V241)+N(V244))/(S75+T75+U75+V75),""),"")</f>
        <v>0</v>
      </c>
      <c r="W340" s="262">
        <f>IFERROR(IF(AND(COUNT(S75,T75,U75,V75)=4,(S75+T75+U75+V75)&lt;&gt;0),(N(W218)+N(W219)+N(W220)+N(W223)+N(W241)+N(W244))/(S75+T75+U75+V75),""),"")</f>
        <v>0</v>
      </c>
      <c r="X340" s="262">
        <f>IFERROR(IF(AND(COUNT(T75,U75,V75,X75)=4,(T75+U75+V75+X75)&lt;&gt;0),(N(X218)+N(X219)+N(X220)+N(X223)+N(X241)+N(X244))/(T75+U75+V75+X75),""),"")</f>
        <v>0</v>
      </c>
      <c r="Y340" s="262">
        <f>IFERROR(IF(AND(COUNT(U75,V75,X75,Y75)=4,(U75+V75+X75+Y75)&lt;&gt;0),(N(Y218)+N(Y219)+N(Y220)+N(Y223)+N(Y241)+N(Y244))/(U75+V75+X75+Y75),""),"")</f>
        <v>0</v>
      </c>
      <c r="Z340" s="262">
        <f>IFERROR(IF(AND(COUNT(V75,X75,Y75,Z75)=4,(V75+X75+Y75+Z75)&lt;&gt;0),(N(Z218)+N(Z219)+N(Z220)+N(Z223)+N(Z241)+N(Z244))/(V75+X75+Y75+Z75),""),"")</f>
        <v>0</v>
      </c>
      <c r="AA340" s="262">
        <f>IFERROR(IF(AND(COUNT(X75,Y75,Z75,AA75)=4,(X75+Y75+Z75+AA75)&lt;&gt;0),(N(AA218)+N(AA219)+N(AA220)+N(AA223)+N(AA241)+N(AA244))/(X75+Y75+Z75+AA75),""),"")</f>
        <v>0</v>
      </c>
      <c r="AB340" s="262">
        <f>IFERROR(IF(AND(COUNT(X75,Y75,Z75,AA75)=4,(X75+Y75+Z75+AA75)&lt;&gt;0),(N(AB218)+N(AB219)+N(AB220)+N(AB223)+N(AB241)+N(AB244))/(X75+Y75+Z75+AA75),""),"")</f>
        <v>0</v>
      </c>
      <c r="AC340" s="262">
        <f>IFERROR(IF(AND(COUNT(Y75,Z75,AA75,AC75)=4,(Y75+Z75+AA75+AC75)&lt;&gt;0),(N(AC218)+N(AC219)+N(AC220)+N(AC223)+N(AC241)+N(AC244))/(Y75+Z75+AA75+AC75),""),"")</f>
        <v>0</v>
      </c>
      <c r="AD340" s="262">
        <f>IFERROR(IF(AND(COUNT(Z75,AA75,AC75,AD75)=4,(Z75+AA75+AC75+AD75)&lt;&gt;0),(N(AD218)+N(AD219)+N(AD220)+N(AD223)+N(AD241)+N(AD244))/(Z75+AA75+AC75+AD75),""),"")</f>
        <v>0.483649169880932</v>
      </c>
      <c r="AE340" s="262">
        <f>IFERROR(IF(AND(COUNT(AA75,AC75,AD75,AE75)=4,(AA75+AC75+AD75+AE75)&lt;&gt;0),(N(AE218)+N(AE219)+N(AE220)+N(AE223)+N(AE241)+N(AE244))/(AA75+AC75+AD75+AE75),""),"")</f>
        <v>0.575711776479719</v>
      </c>
      <c r="AF340" s="262">
        <f>IFERROR(IF(AND(COUNT(AB75,AD75,AE75,AF75)=4,(AB75+AD75+AE75+AF75)&lt;&gt;0),(N(AF218)+N(AF219)+N(AF220)+N(AF223)+N(AF241)+N(AF244))/(AB75+AD75+AE75+AF75),""),"")</f>
        <v>0.38487494100991</v>
      </c>
      <c r="AG340" s="262">
        <f>IFERROR(IF(AND(COUNT(AC75,AD75,AE75,AF75)=4,(AC75+AD75+AE75+AF75)&lt;&gt;0),(N(AG218)+N(AG219)+N(AG220)+N(AG223)+N(AG241)+N(AG244))/(AC75+AD75+AE75+AF75),""),"")</f>
        <v>0.637048898609592</v>
      </c>
      <c r="AH340" s="262">
        <f>IFERROR(IF(AND(COUNT(AD75,AF75,AG75,AH75)=4,(AD75+AF75+AG75+AH75)&lt;&gt;0),(N(AH218)+N(AH219)+N(AH220)+N(AH223)+N(AH241)+N(AH244))/(AD75+AF75+AG75+AH75),""),"")</f>
        <v>0.391531481990652</v>
      </c>
      <c r="AI340" s="262">
        <f>IFERROR(IF(AND(COUNT(AE75,AG75,AH75,AI75)=4,(AE75+AG75+AH75+AI75)&lt;&gt;0),(N(AI218)+N(AI219)+N(AI220)+N(AI223)+N(AI241)+N(AI244))/(AE75+AG75+AH75+AI75),""),"")</f>
        <v>0.547614154781965</v>
      </c>
      <c r="AJ340" s="262">
        <f>IFERROR(IF(AND(COUNT(AF75,AH75,AI75,AJ75)=4,(AF75+AH75+AI75+AJ75)&lt;&gt;0),(N(AJ218)+N(AJ219)+N(AJ220)+N(AJ223)+N(AJ241)+N(AJ244))/(AF75+AH75+AI75+AJ75),""),"")</f>
        <v>0.851727119974822</v>
      </c>
      <c r="AK340" s="262">
        <f>IFERROR(IF(AND(COUNT(AH75,AI75,AJ75,AK75)=4,(AH75+AI75+AJ75+AK75)&lt;&gt;0),(N(AK218)+N(AK219)+N(AK220)+N(AK223)+N(AK241)+N(AK244))/(AH75+AI75+AJ75+AK75),""),"")</f>
        <v>0.821356005831227</v>
      </c>
      <c r="AL340" s="262">
        <f>IFERROR(IF(AND(COUNT(AH75,AI75,AJ75,AK75)=4,(AH75+AI75+AJ75+AK75)&lt;&gt;0),(N(AL218)+N(AL219)+N(AL220)+N(AL223)+N(AL241)+N(AL244))/(AH75+AI75+AJ75+AK75),""),"")</f>
        <v>0.821356005831227</v>
      </c>
      <c r="AM340" s="262">
        <f>IFERROR(IF(AND(COUNT(AI75,AJ75,AK75,AM75)=4,(AI75+AJ75+AK75+AM75)&lt;&gt;0),(N(AM218)+N(AM219)+N(AM220)+N(AM223)+N(AM241)+N(AM244))/(AI75+AJ75+AK75+AM75),""),"")</f>
        <v>0.808086177111154</v>
      </c>
      <c r="AN340" s="262">
        <f>IFERROR(IF(AND(COUNT(AJ75,AK75,AM75,AN75)=4,(AJ75+AK75+AM75+AN75)&lt;&gt;0),(N(AN218)+N(AN219)+N(AN220)+N(AN223)+N(AN241)+N(AN244))/(AJ75+AK75+AM75+AN75),""),"")</f>
        <v>0.794212957075716</v>
      </c>
      <c r="AO340" s="262">
        <f>IFERROR(IF(AND(COUNT(AK75,AM75,AN75,AO75)=4,(AK75+AM75+AN75+AO75)&lt;&gt;0),(N(AO218)+N(AO219)+N(AO220)+N(AO223)+N(AO241)+N(AO244))/(AK75+AM75+AN75+AO75),""),"")</f>
        <v>0.769658239203365</v>
      </c>
      <c r="AP340" s="262">
        <f>IFERROR(IF(AND(COUNT(AM75,AN75,AO75,AP75)=4,(AM75+AN75+AO75+AP75)&lt;&gt;0),(N(AP218)+N(AP219)+N(AP220)+N(AP223)+N(AP241)+N(AP244))/(AM75+AN75+AO75+AP75),""),"")</f>
        <v>0.744882105386578</v>
      </c>
      <c r="AQ340" s="262">
        <f>IFERROR(IF(AND(COUNT(AM75,AN75,AO75,AP75)=4,(AM75+AN75+AO75+AP75)&lt;&gt;0),(N(AQ218)+N(AQ219)+N(AQ220)+N(AQ223)+N(AQ241)+N(AQ244))/(AM75+AN75+AO75+AP75),""),"")</f>
        <v>0.744882105386578</v>
      </c>
      <c r="AR340" s="262">
        <f>IFERROR(IF(AND(COUNT(AN75,AO75,AP75,AR75)=4,(AN75+AO75+AP75+AR75)&lt;&gt;0),(N(AR218)+N(AR219)+N(AR220)+N(AR223)+N(AR241)+N(AR244))/(AN75+AO75+AP75+AR75),""),"")</f>
        <v>0.720902287418092</v>
      </c>
      <c r="AS340" s="262">
        <f>IFERROR(IF(AND(COUNT(AO75,AP75,AR75,AS75)=4,(AO75+AP75+AR75+AS75)&lt;&gt;0),(N(AS218)+N(AS219)+N(AS220)+N(AS223)+N(AS241)+N(AS244))/(AO75+AP75+AR75+AS75),""),"")</f>
        <v>0.695900626688895</v>
      </c>
      <c r="AT340" s="262">
        <f>IFERROR(IF(AND(COUNT(AP75,AR75,AS75,AT75)=4,(AP75+AR75+AS75+AT75)&lt;&gt;0),(N(AT218)+N(AT219)+N(AT220)+N(AT223)+N(AT241)+N(AT244))/(AP75+AR75+AS75+AT75),""),"")</f>
        <v>0.675062591905276</v>
      </c>
      <c r="AU340" s="262">
        <f>IFERROR(IF(AND(COUNT(AR75,AS75,AT75,AU75)=4,(AR75+AS75+AT75+AU75)&lt;&gt;0),(N(AU218)+N(AU219)+N(AU220)+N(AU223)+N(AU241)+N(AU244))/(AR75+AS75+AT75+AU75),""),"")</f>
        <v>0.653994197378554</v>
      </c>
      <c r="AV340" s="262">
        <f>IFERROR(IF(AND(COUNT(AR75,AS75,AT75,AU75)=4,(AR75+AS75+AT75+AU75)&lt;&gt;0),(N(AV218)+N(AV219)+N(AV220)+N(AV223)+N(AV241)+N(AV244))/(AR75+AS75+AT75+AU75),""),"")</f>
        <v>0.653994197378554</v>
      </c>
      <c r="AW340" s="262">
        <f>IFERROR(IF(AND(COUNT(AS75,AT75,AU75,AW75)=4,(AS75+AT75+AU75+AW75)&lt;&gt;0),(N(AW218)+N(AW219)+N(AW220)+N(AW223)+N(AW241)+N(AW244))/(AS75+AT75+AU75+AW75),""),"")</f>
        <v>0.633674255657884</v>
      </c>
      <c r="AX340" s="262">
        <f>IFERROR(IF(AND(COUNT(AT75,AU75,AW75,AX75)=4,(AT75+AU75+AW75+AX75)&lt;&gt;0),(N(AX218)+N(AX219)+N(AX220)+N(AX223)+N(AX241)+N(AX244))/(AT75+AU75+AW75+AX75),""),"")</f>
        <v>0.612438187308926</v>
      </c>
      <c r="AY340" s="262">
        <f>IFERROR(IF(AND(COUNT(AU75,AW75,AX75,AY75)=4,(AU75+AW75+AX75+AY75)&lt;&gt;0),(N(AY218)+N(AY219)+N(AY220)+N(AY223)+N(AY241)+N(AY244))/(AU75+AW75+AX75+AY75),""),"")</f>
        <v>0.594699325155994</v>
      </c>
      <c r="AZ340" s="262">
        <f>IFERROR(IF(AND(COUNT(AW75,AX75,AY75,AZ75)=4,(AW75+AX75+AY75+AZ75)&lt;&gt;0),(N(AZ218)+N(AZ219)+N(AZ220)+N(AZ223)+N(AZ241)+N(AZ244))/(AW75+AX75+AY75+AZ75),""),"")</f>
        <v>0.576727901777171</v>
      </c>
      <c r="BA340" s="262">
        <f>IFERROR(IF(AND(COUNT(AW75,AX75,AY75,AZ75)=4,(AW75+AX75+AY75+AZ75)&lt;&gt;0),(N(BA218)+N(BA219)+N(BA220)+N(BA223)+N(BA241)+N(BA244))/(AW75+AX75+AY75+AZ75),""),"")</f>
        <v>0.576727901777171</v>
      </c>
      <c r="BB340" s="262">
        <f>IFERROR(IF(AND(COUNT(AX75,AY75,AZ75,BB75)=4,(AX75+AY75+AZ75+BB75)&lt;&gt;0),(N(BB218)+N(BB219)+N(BB220)+N(BB223)+N(BB241)+N(BB244))/(AX75+AY75+AZ75+BB75),""),"")</f>
        <v>0.559457397969057</v>
      </c>
      <c r="BC340" s="262">
        <f>IFERROR(IF(AND(COUNT(AY75,AZ75,BB75,BC75)=4,(AY75+AZ75+BB75+BC75)&lt;&gt;0),(N(BC218)+N(BC219)+N(BC220)+N(BC223)+N(BC241)+N(BC244))/(AY75+AZ75+BB75+BC75),""),"")</f>
        <v>0.541365347667827</v>
      </c>
      <c r="BD340" s="262">
        <f>IFERROR(IF(AND(COUNT(AZ75,BB75,BC75,BD75)=4,(AZ75+BB75+BC75+BD75)&lt;&gt;0),(N(BD218)+N(BD219)+N(BD220)+N(BD223)+N(BD241)+N(BD244))/(AZ75+BB75+BC75+BD75),""),"")</f>
        <v>0.526219012504995</v>
      </c>
      <c r="BE340" s="262">
        <f>IFERROR(IF(AND(COUNT(BB75,BC75,BD75,BE75)=4,(BB75+BC75+BD75+BE75)&lt;&gt;0),(N(BE218)+N(BE219)+N(BE220)+N(BE223)+N(BE241)+N(BE244))/(BB75+BC75+BD75+BE75),""),"")</f>
        <v>0.510842695864988</v>
      </c>
      <c r="BF340" s="262">
        <f>IFERROR(IF(AND(COUNT(BB75,BC75,BD75,BE75)=4,(BB75+BC75+BD75+BE75)&lt;&gt;0),(N(BF218)+N(BF219)+N(BF220)+N(BF223)+N(BF241)+N(BF244))/(BB75+BC75+BD75+BE75),""),"")</f>
        <v>0.510842695864988</v>
      </c>
      <c r="BG340" s="82" t="n"/>
      <c r="BH340" s="82" t="n"/>
      <c r="BI340" s="82" t="n"/>
      <c r="BJ340" s="82" t="n"/>
      <c r="BL340" s="82" t="n"/>
      <c r="BM340" s="82" t="n"/>
      <c r="BN340" s="82" t="n"/>
      <c r="BO340" s="82" t="n"/>
      <c r="BQ340" s="82" t="n"/>
      <c r="BR340" s="82" t="n"/>
      <c r="BS340" s="82" t="n"/>
      <c r="BT340" s="82" t="n"/>
      <c r="BV340" s="82" t="n"/>
      <c r="BW340" s="82" t="n"/>
      <c r="BX340" s="82" t="n"/>
      <c r="BY340" s="82" t="n"/>
      <c r="CA340" s="82" t="n"/>
      <c r="CB340" s="82" t="n"/>
      <c r="CC340" s="82" t="n"/>
      <c r="CD340" s="82" t="n"/>
      <c r="CF340" s="82" t="n"/>
      <c r="CG340" s="82" t="n"/>
      <c r="CH340" s="82" t="n"/>
      <c r="CI340" s="82" t="n"/>
      <c r="CK340" s="82" t="n"/>
      <c r="CL340" s="82" t="n"/>
      <c r="CM340" s="82" t="n"/>
      <c r="CN340" s="82" t="n"/>
      <c r="CP340" s="82" t="n"/>
      <c r="CQ340" s="82" t="n"/>
      <c r="CR340" s="82" t="n"/>
      <c r="CS340" s="82" t="n"/>
      <c r="CU340" s="82" t="n"/>
      <c r="CV340" s="82" t="n"/>
      <c r="CW340" s="82" t="n"/>
      <c r="CX340" s="82" t="n"/>
    </row>
    <row r="341" customFormat="1" s="77">
      <c r="A341" s="76" t="n"/>
      <c r="B341" s="76" t="n"/>
      <c r="C341" s="77" t="inlineStr">
        <is>
          <t>TOTAL DEBT / TOTAL CAPITALIZATION</t>
        </is>
      </c>
      <c r="D341" s="80" t="str">
        <f>IFERROR(SUM(D218+D219+D220+D223+D241+D244)/(SUM(D218+D219+D220+D223+D241+D244)+D277),"")</f>
        <v/>
      </c>
      <c r="E341" s="80" t="str">
        <f>IFERROR(SUM(E218+E219+E220+E223+E241+E244)/(SUM(E218+E219+E220+E223+E241+E244)+E277),"")</f>
        <v/>
      </c>
      <c r="F341" s="80" t="str">
        <f>IFERROR(SUM(F218+F219+F220+F223+F241+F244)/(SUM(F218+F219+F220+F223+F241+F244)+F277),"")</f>
        <v/>
      </c>
      <c r="G341" s="80" t="str">
        <f>IFERROR(SUM(G218+G219+G220+G223+G241+G244)/(SUM(G218+G219+G220+G223+G241+G244)+G277),"")</f>
        <v/>
      </c>
      <c r="H341" s="258" t="str">
        <f>IFERROR(IF(((N(H218)+N(H219)+N(H220)+N(H223)+N(H241)+N(H244))+N(H277))&lt;&gt;0,(N(H218)+N(H219)+N(H220)+N(H223)+N(H241)+N(H244))/((N(H218)+N(H219)+N(H220)+N(H223)+N(H241)+N(H244))+H277),""),"")</f>
        <v/>
      </c>
      <c r="I341" s="258">
        <f>IFERROR(IF(((N(I218)+N(I219)+N(I220)+N(I223)+N(I241)+N(I244))+N(I277))&lt;&gt;0,(N(I218)+N(I219)+N(I220)+N(I223)+N(I241)+N(I244))/((N(I218)+N(I219)+N(I220)+N(I223)+N(I241)+N(I244))+I277),""),"")</f>
        <v>0</v>
      </c>
      <c r="J341" s="258">
        <f>IFERROR(IF(((N(J218)+N(J219)+N(J220)+N(J223)+N(J241)+N(J244))+N(J277))&lt;&gt;0,(N(J218)+N(J219)+N(J220)+N(J223)+N(J241)+N(J244))/((N(J218)+N(J219)+N(J220)+N(J223)+N(J241)+N(J244))+J277),""),"")</f>
        <v>0</v>
      </c>
      <c r="K341" s="258">
        <f>IFERROR(IF(((N(K218)+N(K219)+N(K220)+N(K223)+N(K241)+N(K244))+N(K277))&lt;&gt;0,(N(K218)+N(K219)+N(K220)+N(K223)+N(K241)+N(K244))/((N(K218)+N(K219)+N(K220)+N(K223)+N(K241)+N(K244))+K277),""),"")</f>
        <v>0</v>
      </c>
      <c r="L341" s="258">
        <f>IFERROR(IF(((N(L218)+N(L219)+N(L220)+N(L223)+N(L241)+N(L244))+N(L277))&lt;&gt;0,(N(L218)+N(L219)+N(L220)+N(L223)+N(L241)+N(L244))/((N(L218)+N(L219)+N(L220)+N(L223)+N(L241)+N(L244))+L277),""),"")</f>
        <v>0</v>
      </c>
      <c r="M341" s="258">
        <f>IFERROR(IF(((N(M218)+N(M219)+N(M220)+N(M223)+N(M241)+N(M244))+N(M277))&lt;&gt;0,(N(M218)+N(M219)+N(M220)+N(M223)+N(M241)+N(M244))/((N(M218)+N(M219)+N(M220)+N(M223)+N(M241)+N(M244))+M277),""),"")</f>
        <v>0</v>
      </c>
      <c r="N341" s="258">
        <f>IFERROR(IF(((N(N218)+N(N219)+N(N220)+N(N223)+N(N241)+N(N244))+N(N277))&lt;&gt;0,(N(N218)+N(N219)+N(N220)+N(N223)+N(N241)+N(N244))/((N(N218)+N(N219)+N(N220)+N(N223)+N(N241)+N(N244))+N277),""),"")</f>
        <v>0</v>
      </c>
      <c r="O341" s="258">
        <f>IFERROR(IF(((N(O218)+N(O219)+N(O220)+N(O223)+N(O241)+N(O244))+N(O277))&lt;&gt;0,(N(O218)+N(O219)+N(O220)+N(O223)+N(O241)+N(O244))/((N(O218)+N(O219)+N(O220)+N(O223)+N(O241)+N(O244))+O277),""),"")</f>
        <v>0</v>
      </c>
      <c r="P341" s="258">
        <f>IFERROR(IF(((N(P218)+N(P219)+N(P220)+N(P223)+N(P241)+N(P244))+N(P277))&lt;&gt;0,(N(P218)+N(P219)+N(P220)+N(P223)+N(P241)+N(P244))/((N(P218)+N(P219)+N(P220)+N(P223)+N(P241)+N(P244))+P277),""),"")</f>
        <v>0</v>
      </c>
      <c r="Q341" s="258">
        <f>IFERROR(IF(((N(Q218)+N(Q219)+N(Q220)+N(Q223)+N(Q241)+N(Q244))+N(Q277))&lt;&gt;0,(N(Q218)+N(Q219)+N(Q220)+N(Q223)+N(Q241)+N(Q244))/((N(Q218)+N(Q219)+N(Q220)+N(Q223)+N(Q241)+N(Q244))+Q277),""),"")</f>
        <v>0</v>
      </c>
      <c r="R341" s="258">
        <f>IFERROR(IF(((N(R218)+N(R219)+N(R220)+N(R223)+N(R241)+N(R244))+N(R277))&lt;&gt;0,(N(R218)+N(R219)+N(R220)+N(R223)+N(R241)+N(R244))/((N(R218)+N(R219)+N(R220)+N(R223)+N(R241)+N(R244))+R277),""),"")</f>
        <v>0</v>
      </c>
      <c r="S341" s="258">
        <f>IFERROR(IF(((N(S218)+N(S219)+N(S220)+N(S223)+N(S241)+N(S244))+N(S277))&lt;&gt;0,(N(S218)+N(S219)+N(S220)+N(S223)+N(S241)+N(S244))/((N(S218)+N(S219)+N(S220)+N(S223)+N(S241)+N(S244))+S277),""),"")</f>
        <v>0</v>
      </c>
      <c r="T341" s="258">
        <f>IFERROR(IF(((N(T218)+N(T219)+N(T220)+N(T223)+N(T241)+N(T244))+N(T277))&lt;&gt;0,(N(T218)+N(T219)+N(T220)+N(T223)+N(T241)+N(T244))/((N(T218)+N(T219)+N(T220)+N(T223)+N(T241)+N(T244))+T277),""),"")</f>
        <v>0</v>
      </c>
      <c r="U341" s="258">
        <f>IFERROR(IF(((N(U218)+N(U219)+N(U220)+N(U223)+N(U241)+N(U244))+N(U277))&lt;&gt;0,(N(U218)+N(U219)+N(U220)+N(U223)+N(U241)+N(U244))/((N(U218)+N(U219)+N(U220)+N(U223)+N(U241)+N(U244))+U277),""),"")</f>
        <v>0</v>
      </c>
      <c r="V341" s="258">
        <f>IFERROR(IF(((N(V218)+N(V219)+N(V220)+N(V223)+N(V241)+N(V244))+N(V277))&lt;&gt;0,(N(V218)+N(V219)+N(V220)+N(V223)+N(V241)+N(V244))/((N(V218)+N(V219)+N(V220)+N(V223)+N(V241)+N(V244))+V277),""),"")</f>
        <v>0</v>
      </c>
      <c r="W341" s="258">
        <f>IFERROR(IF(((N(W218)+N(W219)+N(W220)+N(W223)+N(W241)+N(W244))+N(W277))&lt;&gt;0,(N(W218)+N(W219)+N(W220)+N(W223)+N(W241)+N(W244))/((N(W218)+N(W219)+N(W220)+N(W223)+N(W241)+N(W244))+W277),""),"")</f>
        <v>0</v>
      </c>
      <c r="X341" s="258">
        <f>IFERROR(IF(((N(X218)+N(X219)+N(X220)+N(X223)+N(X241)+N(X244))+N(X277))&lt;&gt;0,(N(X218)+N(X219)+N(X220)+N(X223)+N(X241)+N(X244))/((N(X218)+N(X219)+N(X220)+N(X223)+N(X241)+N(X244))+X277),""),"")</f>
        <v>0</v>
      </c>
      <c r="Y341" s="258">
        <f>IFERROR(IF(((N(Y218)+N(Y219)+N(Y220)+N(Y223)+N(Y241)+N(Y244))+N(Y277))&lt;&gt;0,(N(Y218)+N(Y219)+N(Y220)+N(Y223)+N(Y241)+N(Y244))/((N(Y218)+N(Y219)+N(Y220)+N(Y223)+N(Y241)+N(Y244))+Y277),""),"")</f>
        <v>0</v>
      </c>
      <c r="Z341" s="258">
        <f>IFERROR(IF(((N(Z218)+N(Z219)+N(Z220)+N(Z223)+N(Z241)+N(Z244))+N(Z277))&lt;&gt;0,(N(Z218)+N(Z219)+N(Z220)+N(Z223)+N(Z241)+N(Z244))/((N(Z218)+N(Z219)+N(Z220)+N(Z223)+N(Z241)+N(Z244))+Z277),""),"")</f>
        <v>0</v>
      </c>
      <c r="AA341" s="258">
        <f>IFERROR(IF(((N(AA218)+N(AA219)+N(AA220)+N(AA223)+N(AA241)+N(AA244))+N(AA277))&lt;&gt;0,(N(AA218)+N(AA219)+N(AA220)+N(AA223)+N(AA241)+N(AA244))/((N(AA218)+N(AA219)+N(AA220)+N(AA223)+N(AA241)+N(AA244))+AA277),""),"")</f>
        <v>0</v>
      </c>
      <c r="AB341" s="258">
        <f>IFERROR(IF(((N(AB218)+N(AB219)+N(AB220)+N(AB223)+N(AB241)+N(AB244))+N(AB277))&lt;&gt;0,(N(AB218)+N(AB219)+N(AB220)+N(AB223)+N(AB241)+N(AB244))/((N(AB218)+N(AB219)+N(AB220)+N(AB223)+N(AB241)+N(AB244))+AB277),""),"")</f>
        <v>0</v>
      </c>
      <c r="AC341" s="258">
        <f>IFERROR(IF(((N(AC218)+N(AC219)+N(AC220)+N(AC223)+N(AC241)+N(AC244))+N(AC277))&lt;&gt;0,(N(AC218)+N(AC219)+N(AC220)+N(AC223)+N(AC241)+N(AC244))/((N(AC218)+N(AC219)+N(AC220)+N(AC223)+N(AC241)+N(AC244))+AC277),""),"")</f>
        <v>0</v>
      </c>
      <c r="AD341" s="258">
        <f>IFERROR(IF(((N(AD218)+N(AD219)+N(AD220)+N(AD223)+N(AD241)+N(AD244))+N(AD277))&lt;&gt;0,(N(AD218)+N(AD219)+N(AD220)+N(AD223)+N(AD241)+N(AD244))/((N(AD218)+N(AD219)+N(AD220)+N(AD223)+N(AD241)+N(AD244))+AD277),""),"")</f>
        <v>0.354899246269805</v>
      </c>
      <c r="AE341" s="258">
        <f>IFERROR(IF(((N(AE218)+N(AE219)+N(AE220)+N(AE223)+N(AE241)+N(AE244))+N(AE277))&lt;&gt;0,(N(AE218)+N(AE219)+N(AE220)+N(AE223)+N(AE241)+N(AE244))/((N(AE218)+N(AE219)+N(AE220)+N(AE223)+N(AE241)+N(AE244))+AE277),""),"")</f>
        <v>0.363622291021672</v>
      </c>
      <c r="AF341" s="258">
        <f>IFERROR(IF(((N(AF218)+N(AF219)+N(AF220)+N(AF223)+N(AF241)+N(AF244))+N(AF277))&lt;&gt;0,(N(AF218)+N(AF219)+N(AF220)+N(AF223)+N(AF241)+N(AF244))/((N(AF218)+N(AF219)+N(AF220)+N(AF223)+N(AF241)+N(AF244))+AF277),""),"")</f>
        <v>0.348764112213479</v>
      </c>
      <c r="AG341" s="258">
        <f>IFERROR(IF(((N(AG218)+N(AG219)+N(AG220)+N(AG223)+N(AG241)+N(AG244))+N(AG277))&lt;&gt;0,(N(AG218)+N(AG219)+N(AG220)+N(AG223)+N(AG241)+N(AG244))/((N(AG218)+N(AG219)+N(AG220)+N(AG223)+N(AG241)+N(AG244))+AG277),""),"")</f>
        <v>0.348764112213479</v>
      </c>
      <c r="AH341" s="258">
        <f>IFERROR(IF(((N(AH218)+N(AH219)+N(AH220)+N(AH223)+N(AH241)+N(AH244))+N(AH277))&lt;&gt;0,(N(AH218)+N(AH219)+N(AH220)+N(AH223)+N(AH241)+N(AH244))/((N(AH218)+N(AH219)+N(AH220)+N(AH223)+N(AH241)+N(AH244))+AH277),""),"")</f>
        <v>0.321595469311884</v>
      </c>
      <c r="AI341" s="258">
        <f>IFERROR(IF(((N(AI218)+N(AI219)+N(AI220)+N(AI223)+N(AI241)+N(AI244))+N(AI277))&lt;&gt;0,(N(AI218)+N(AI219)+N(AI220)+N(AI223)+N(AI241)+N(AI244))/((N(AI218)+N(AI219)+N(AI220)+N(AI223)+N(AI241)+N(AI244))+AI277),""),"")</f>
        <v>0.382302306897739</v>
      </c>
      <c r="AJ341" s="258">
        <f>IFERROR(IF(((N(AJ218)+N(AJ219)+N(AJ220)+N(AJ223)+N(AJ241)+N(AJ244))+N(AJ277))&lt;&gt;0,(N(AJ218)+N(AJ219)+N(AJ220)+N(AJ223)+N(AJ241)+N(AJ244))/((N(AJ218)+N(AJ219)+N(AJ220)+N(AJ223)+N(AJ241)+N(AJ244))+AJ277),""),"")</f>
        <v>0.356513304824827</v>
      </c>
      <c r="AK341" s="258">
        <f>IFERROR(IF(((N(AK218)+N(AK219)+N(AK220)+N(AK223)+N(AK241)+N(AK244))+N(AK277))&lt;&gt;0,(N(AK218)+N(AK219)+N(AK220)+N(AK223)+N(AK241)+N(AK244))/((N(AK218)+N(AK219)+N(AK220)+N(AK223)+N(AK241)+N(AK244))+AK277),""),"")</f>
        <v>0.332390684644945</v>
      </c>
      <c r="AL341" s="258">
        <f>IFERROR(IF(((N(AL218)+N(AL219)+N(AL220)+N(AL223)+N(AL241)+N(AL244))+N(AL277))&lt;&gt;0,(N(AL218)+N(AL219)+N(AL220)+N(AL223)+N(AL241)+N(AL244))/((N(AL218)+N(AL219)+N(AL220)+N(AL223)+N(AL241)+N(AL244))+AL277),""),"")</f>
        <v>0.332390684644945</v>
      </c>
      <c r="AM341" s="258">
        <f>IFERROR(IF(((N(AM218)+N(AM219)+N(AM220)+N(AM223)+N(AM241)+N(AM244))+N(AM277))&lt;&gt;0,(N(AM218)+N(AM219)+N(AM220)+N(AM223)+N(AM241)+N(AM244))/((N(AM218)+N(AM219)+N(AM220)+N(AM223)+N(AM241)+N(AM244))+AM277),""),"")</f>
        <v>0.309940906250608</v>
      </c>
      <c r="AN341" s="258">
        <f>IFERROR(IF(((N(AN218)+N(AN219)+N(AN220)+N(AN223)+N(AN241)+N(AN244))+N(AN277))&lt;&gt;0,(N(AN218)+N(AN219)+N(AN220)+N(AN223)+N(AN241)+N(AN244))/((N(AN218)+N(AN219)+N(AN220)+N(AN223)+N(AN241)+N(AN244))+AN277),""),"")</f>
        <v>0.288216619650456</v>
      </c>
      <c r="AO341" s="258">
        <f>IFERROR(IF(((N(AO218)+N(AO219)+N(AO220)+N(AO223)+N(AO241)+N(AO244))+N(AO277))&lt;&gt;0,(N(AO218)+N(AO219)+N(AO220)+N(AO223)+N(AO241)+N(AO244))/((N(AO218)+N(AO219)+N(AO220)+N(AO223)+N(AO241)+N(AO244))+AO277),""),"")</f>
        <v>0.271291818169542</v>
      </c>
      <c r="AP341" s="258">
        <f>IFERROR(IF(((N(AP218)+N(AP219)+N(AP220)+N(AP223)+N(AP241)+N(AP244))+N(AP277))&lt;&gt;0,(N(AP218)+N(AP219)+N(AP220)+N(AP223)+N(AP241)+N(AP244))/((N(AP218)+N(AP219)+N(AP220)+N(AP223)+N(AP241)+N(AP244))+AP277),""),"")</f>
        <v>0.255171111183101</v>
      </c>
      <c r="AQ341" s="258">
        <f>IFERROR(IF(((N(AQ218)+N(AQ219)+N(AQ220)+N(AQ223)+N(AQ241)+N(AQ244))+N(AQ277))&lt;&gt;0,(N(AQ218)+N(AQ219)+N(AQ220)+N(AQ223)+N(AQ241)+N(AQ244))/((N(AQ218)+N(AQ219)+N(AQ220)+N(AQ223)+N(AQ241)+N(AQ244))+AQ277),""),"")</f>
        <v>0.255171111183101</v>
      </c>
      <c r="AR341" s="258">
        <f>IFERROR(IF(((N(AR218)+N(AR219)+N(AR220)+N(AR223)+N(AR241)+N(AR244))+N(AR277))&lt;&gt;0,(N(AR218)+N(AR219)+N(AR220)+N(AR223)+N(AR241)+N(AR244))/((N(AR218)+N(AR219)+N(AR220)+N(AR223)+N(AR241)+N(AR244))+AR277),""),"")</f>
        <v>0.239972926600531</v>
      </c>
      <c r="AS341" s="258">
        <f>IFERROR(IF(((N(AS218)+N(AS219)+N(AS220)+N(AS223)+N(AS241)+N(AS244))+N(AS277))&lt;&gt;0,(N(AS218)+N(AS219)+N(AS220)+N(AS223)+N(AS241)+N(AS244))/((N(AS218)+N(AS219)+N(AS220)+N(AS223)+N(AS241)+N(AS244))+AS277),""),"")</f>
        <v>0.225016176424532</v>
      </c>
      <c r="AT341" s="258">
        <f>IFERROR(IF(((N(AT218)+N(AT219)+N(AT220)+N(AT223)+N(AT241)+N(AT244))+N(AT277))&lt;&gt;0,(N(AT218)+N(AT219)+N(AT220)+N(AT223)+N(AT241)+N(AT244))/((N(AT218)+N(AT219)+N(AT220)+N(AT223)+N(AT241)+N(AT244))+AT277),""),"")</f>
        <v>0.213189542570672</v>
      </c>
      <c r="AU341" s="258">
        <f>IFERROR(IF(((N(AU218)+N(AU219)+N(AU220)+N(AU223)+N(AU241)+N(AU244))+N(AU277))&lt;&gt;0,(N(AU218)+N(AU219)+N(AU220)+N(AU223)+N(AU241)+N(AU244))/((N(AU218)+N(AU219)+N(AU220)+N(AU223)+N(AU241)+N(AU244))+AU277),""),"")</f>
        <v>0.201779867921657</v>
      </c>
      <c r="AV341" s="258">
        <f>IFERROR(IF(((N(AV218)+N(AV219)+N(AV220)+N(AV223)+N(AV241)+N(AV244))+N(AV277))&lt;&gt;0,(N(AV218)+N(AV219)+N(AV220)+N(AV223)+N(AV241)+N(AV244))/((N(AV218)+N(AV219)+N(AV220)+N(AV223)+N(AV241)+N(AV244))+AV277),""),"")</f>
        <v>0.201779867921657</v>
      </c>
      <c r="AW341" s="258">
        <f>IFERROR(IF(((N(AW218)+N(AW219)+N(AW220)+N(AW223)+N(AW241)+N(AW244))+N(AW277))&lt;&gt;0,(N(AW218)+N(AW219)+N(AW220)+N(AW223)+N(AW241)+N(AW244))/((N(AW218)+N(AW219)+N(AW220)+N(AW223)+N(AW241)+N(AW244))+AW277),""),"")</f>
        <v>0.190936417521153</v>
      </c>
      <c r="AX341" s="258">
        <f>IFERROR(IF(((N(AX218)+N(AX219)+N(AX220)+N(AX223)+N(AX241)+N(AX244))+N(AX277))&lt;&gt;0,(N(AX218)+N(AX219)+N(AX220)+N(AX223)+N(AX241)+N(AX244))/((N(AX218)+N(AX219)+N(AX220)+N(AX223)+N(AX241)+N(AX244))+AX277),""),"")</f>
        <v>0.180133350276462</v>
      </c>
      <c r="AY341" s="258">
        <f>IFERROR(IF(((N(AY218)+N(AY219)+N(AY220)+N(AY223)+N(AY241)+N(AY244))+N(AY277))&lt;&gt;0,(N(AY218)+N(AY219)+N(AY220)+N(AY223)+N(AY241)+N(AY244))/((N(AY218)+N(AY219)+N(AY220)+N(AY223)+N(AY241)+N(AY244))+AY277),""),"")</f>
        <v>0.171496908162814</v>
      </c>
      <c r="AZ341" s="258">
        <f>IFERROR(IF(((N(AZ218)+N(AZ219)+N(AZ220)+N(AZ223)+N(AZ241)+N(AZ244))+N(AZ277))&lt;&gt;0,(N(AZ218)+N(AZ219)+N(AZ220)+N(AZ223)+N(AZ241)+N(AZ244))/((N(AZ218)+N(AZ219)+N(AZ220)+N(AZ223)+N(AZ241)+N(AZ244))+AZ277),""),"")</f>
        <v>0.163084848011251</v>
      </c>
      <c r="BA341" s="258">
        <f>IFERROR(IF(((N(BA218)+N(BA219)+N(BA220)+N(BA223)+N(BA241)+N(BA244))+N(BA277))&lt;&gt;0,(N(BA218)+N(BA219)+N(BA220)+N(BA223)+N(BA241)+N(BA244))/((N(BA218)+N(BA219)+N(BA220)+N(BA223)+N(BA241)+N(BA244))+BA277),""),"")</f>
        <v>0.163084848011251</v>
      </c>
      <c r="BB341" s="258">
        <f>IFERROR(IF(((N(BB218)+N(BB219)+N(BB220)+N(BB223)+N(BB241)+N(BB244))+N(BB277))&lt;&gt;0,(N(BB218)+N(BB219)+N(BB220)+N(BB223)+N(BB241)+N(BB244))/((N(BB218)+N(BB219)+N(BB220)+N(BB223)+N(BB241)+N(BB244))+BB277),""),"")</f>
        <v>0.155050133914125</v>
      </c>
      <c r="BC341" s="258">
        <f>IFERROR(IF(((N(BC218)+N(BC219)+N(BC220)+N(BC223)+N(BC241)+N(BC244))+N(BC277))&lt;&gt;0,(N(BC218)+N(BC219)+N(BC220)+N(BC223)+N(BC241)+N(BC244))/((N(BC218)+N(BC219)+N(BC220)+N(BC223)+N(BC241)+N(BC244))+BC277),""),"")</f>
        <v>0.146969466696235</v>
      </c>
      <c r="BD341" s="258">
        <f>IFERROR(IF(((N(BD218)+N(BD219)+N(BD220)+N(BD223)+N(BD241)+N(BD244))+N(BD277))&lt;&gt;0,(N(BD218)+N(BD219)+N(BD220)+N(BD223)+N(BD241)+N(BD244))/((N(BD218)+N(BD219)+N(BD220)+N(BD223)+N(BD241)+N(BD244))+BD277),""),"")</f>
        <v>0.140454230525847</v>
      </c>
      <c r="BE341" s="258">
        <f>IFERROR(IF(((N(BE218)+N(BE219)+N(BE220)+N(BE223)+N(BE241)+N(BE244))+N(BE277))&lt;&gt;0,(N(BE218)+N(BE219)+N(BE220)+N(BE223)+N(BE241)+N(BE244))/((N(BE218)+N(BE219)+N(BE220)+N(BE223)+N(BE241)+N(BE244))+BE277),""),"")</f>
        <v>0.134060534179394</v>
      </c>
      <c r="BF341" s="258">
        <f>IFERROR(IF(((N(BF218)+N(BF219)+N(BF220)+N(BF223)+N(BF241)+N(BF244))+N(BF277))&lt;&gt;0,(N(BF218)+N(BF219)+N(BF220)+N(BF223)+N(BF241)+N(BF244))/((N(BF218)+N(BF219)+N(BF220)+N(BF223)+N(BF241)+N(BF244))+BF277),""),"")</f>
        <v>0.134060534179394</v>
      </c>
      <c r="BG341" s="80" t="n"/>
      <c r="BH341" s="80" t="n"/>
      <c r="BI341" s="80" t="n"/>
      <c r="BJ341" s="80" t="n"/>
      <c r="BL341" s="80" t="n"/>
      <c r="BM341" s="80" t="n"/>
      <c r="BN341" s="80" t="n"/>
      <c r="BO341" s="80" t="n"/>
      <c r="BQ341" s="80" t="n"/>
      <c r="BR341" s="80" t="n"/>
      <c r="BS341" s="80" t="n"/>
      <c r="BT341" s="80" t="n"/>
      <c r="BV341" s="80" t="n"/>
      <c r="BW341" s="80" t="n"/>
      <c r="BX341" s="80" t="n"/>
      <c r="BY341" s="80" t="n"/>
      <c r="CA341" s="80" t="n"/>
      <c r="CB341" s="80" t="n"/>
      <c r="CC341" s="80" t="n"/>
      <c r="CD341" s="80" t="n"/>
      <c r="CF341" s="80" t="n"/>
      <c r="CG341" s="80" t="n"/>
      <c r="CH341" s="80" t="n"/>
      <c r="CI341" s="80" t="n"/>
      <c r="CK341" s="80" t="n"/>
      <c r="CL341" s="80" t="n"/>
      <c r="CM341" s="80" t="n"/>
      <c r="CN341" s="80" t="n"/>
      <c r="CP341" s="80" t="n"/>
      <c r="CQ341" s="80" t="n"/>
      <c r="CR341" s="80" t="n"/>
      <c r="CS341" s="80" t="n"/>
      <c r="CU341" s="80" t="n"/>
      <c r="CV341" s="80" t="n"/>
      <c r="CW341" s="80" t="n"/>
      <c r="CX341" s="80" t="n"/>
    </row>
    <row r="342" customFormat="1" s="77">
      <c r="A342" s="76" t="n"/>
      <c r="B342" s="76" t="n"/>
      <c r="C342" s="77" t="inlineStr">
        <is>
          <t>NET DEBT / EBITDA (LTM)</t>
        </is>
      </c>
      <c r="D342" s="82" t="str">
        <f>IFERROR(SUM((D218+D219+D220+D223+D241)-D150)/(D75*4),"")</f>
        <v/>
      </c>
      <c r="E342" s="82" t="str">
        <f>IFERROR(SUM((E218+E219+E220+E223+E241)-E150)/(E75*4),"")</f>
        <v/>
      </c>
      <c r="F342" s="82" t="str">
        <f>IFERROR(SUM((F218+F219+F220+F223+F241)-F150)/(F75*4),"")</f>
        <v/>
      </c>
      <c r="G342" s="82" t="str">
        <f>IFERROR(SUM((G218+G219+G220+G223+G241)-G150)/(G75*4),"")</f>
        <v/>
      </c>
      <c r="H342" s="262" t="str">
        <f>IFERROR(IF(AND(COUNT(H75)=1,(H75)&lt;&gt;0),((N(H218)+N(H219)+N(H220)+N(H223)+N(H241)+N(H244))-N(H150))/(H75),""),"")</f>
        <v/>
      </c>
      <c r="I342" s="262" t="str">
        <f>""</f>
        <v/>
      </c>
      <c r="J342" s="262" t="str">
        <f>""</f>
        <v/>
      </c>
      <c r="K342" s="262" t="str">
        <f>""</f>
        <v/>
      </c>
      <c r="L342" s="262">
        <f>IFERROR(IF(AND(COUNT(I75,J75,K75,L75)=4,(I75+J75+K75+L75)&lt;&gt;0),((N(L218)+N(L219)+N(L220)+N(L223)+N(L241)+N(L244))-N(L150))/(I75+J75+K75+L75),""),"")</f>
        <v>-1.6288424506098</v>
      </c>
      <c r="M342" s="262">
        <f>IFERROR(IF(AND(COUNT(I75,J75,K75,L75)=4,(I75+J75+K75+L75)&lt;&gt;0),((N(M218)+N(M219)+N(M220)+N(M223)+N(M241)+N(M244))-N(M150))/(I75+J75+K75+L75),""),"")</f>
        <v>-1.6288424506098</v>
      </c>
      <c r="N342" s="262">
        <f>IFERROR(IF(AND(COUNT(J75,K75,L75,N75)=4,(J75+K75+L75+N75)&lt;&gt;0),((N(N218)+N(N219)+N(N220)+N(N223)+N(N241)+N(N244))-N(N150))/(J75+K75+L75+N75),""),"")</f>
        <v>-1.66968874928612</v>
      </c>
      <c r="O342" s="262">
        <f>IFERROR(IF(AND(COUNT(K75,L75,N75,O75)=4,(K75+L75+N75+O75)&lt;&gt;0),((N(O218)+N(O219)+N(O220)+N(O223)+N(O241)+N(O244))-N(O150))/(K75+L75+N75+O75),""),"")</f>
        <v>-1.55908314350797</v>
      </c>
      <c r="P342" s="262">
        <f>IFERROR(IF(AND(COUNT(L75,N75,O75,P75)=4,(L75+N75+O75+P75)&lt;&gt;0),((N(P218)+N(P219)+N(P220)+N(P223)+N(P241)+N(P244))-N(P150))/(L75+N75+O75+P75),""),"")</f>
        <v>-0.804128144485057</v>
      </c>
      <c r="Q342" s="262">
        <f>IFERROR(IF(AND(COUNT(N75,O75,P75,Q75)=4,(N75+O75+P75+Q75)&lt;&gt;0),((N(Q218)+N(Q219)+N(Q220)+N(Q223)+N(Q241)+N(Q244))-N(Q150))/(N75+O75+P75+Q75),""),"")</f>
        <v>-0.39541639767592</v>
      </c>
      <c r="R342" s="262">
        <f>IFERROR(IF(AND(COUNT(N75,O75,P75,Q75)=4,(N75+O75+P75+Q75)&lt;&gt;0),((N(R218)+N(R219)+N(R220)+N(R223)+N(R241)+N(R244))-N(R150))/(N75+O75+P75+Q75),""),"")</f>
        <v>-0.39541639767592</v>
      </c>
      <c r="S342" s="262">
        <f>IFERROR(IF(AND(COUNT(O75,P75,Q75,S75)=4,(O75+P75+Q75+S75)&lt;&gt;0),((N(S218)+N(S219)+N(S220)+N(S223)+N(S241)+N(S244))-N(S150))/(O75+P75+Q75+S75),""),"")</f>
        <v>-0.466212983146366</v>
      </c>
      <c r="T342" s="262">
        <f>IFERROR(IF(AND(COUNT(P75,Q75,S75,T75)=4,(P75+Q75+S75+T75)&lt;&gt;0),((N(T218)+N(T219)+N(T220)+N(T223)+N(T241)+N(T244))-N(T150))/(P75+Q75+S75+T75),""),"")</f>
        <v>-0.530517654410999</v>
      </c>
      <c r="U342" s="262">
        <f>IFERROR(IF(AND(COUNT(Q75,S75,T75,U75)=4,(Q75+S75+T75+U75)&lt;&gt;0),((N(U218)+N(U219)+N(U220)+N(U223)+N(U241)+N(U244))-N(U150))/(Q75+S75+T75+U75),""),"")</f>
        <v>-0.607674512170589</v>
      </c>
      <c r="V342" s="262">
        <f>IFERROR(IF(AND(COUNT(S75,T75,U75,V75)=4,(S75+T75+U75+V75)&lt;&gt;0),((N(V218)+N(V219)+N(V220)+N(V223)+N(V241)+N(V244))-N(V150))/(S75+T75+U75+V75),""),"")</f>
        <v>-0.424109321620303</v>
      </c>
      <c r="W342" s="262">
        <f>IFERROR(IF(AND(COUNT(S75,T75,U75,V75)=4,(S75+T75+U75+V75)&lt;&gt;0),((N(W218)+N(W219)+N(W220)+N(W223)+N(W241)+N(W244))-N(W150))/(S75+T75+U75+V75),""),"")</f>
        <v>-0.424109321620303</v>
      </c>
      <c r="X342" s="262">
        <f>IFERROR(IF(AND(COUNT(T75,U75,V75,X75)=4,(T75+U75+V75+X75)&lt;&gt;0),((N(X218)+N(X219)+N(X220)+N(X223)+N(X241)+N(X244))-N(X150))/(T75+U75+V75+X75),""),"")</f>
        <v>-0.472091138757805</v>
      </c>
      <c r="Y342" s="262">
        <f>IFERROR(IF(AND(COUNT(U75,V75,X75,Y75)=4,(U75+V75+X75+Y75)&lt;&gt;0),((N(Y218)+N(Y219)+N(Y220)+N(Y223)+N(Y241)+N(Y244))-N(Y150))/(U75+V75+X75+Y75),""),"")</f>
        <v>-0.496021960638347</v>
      </c>
      <c r="Z342" s="262">
        <f>IFERROR(IF(AND(COUNT(V75,X75,Y75,Z75)=4,(V75+X75+Y75+Z75)&lt;&gt;0),((N(Z218)+N(Z219)+N(Z220)+N(Z223)+N(Z241)+N(Z244))-N(Z150))/(V75+X75+Y75+Z75),""),"")</f>
        <v>-0.492796170001355</v>
      </c>
      <c r="AA342" s="262">
        <f>IFERROR(IF(AND(COUNT(X75,Y75,Z75,AA75)=4,(X75+Y75+Z75+AA75)&lt;&gt;0),((N(AA218)+N(AA219)+N(AA220)+N(AA223)+N(AA241)+N(AA244))-N(AA150))/(X75+Y75+Z75+AA75),""),"")</f>
        <v>-0.498611417236059</v>
      </c>
      <c r="AB342" s="262">
        <f>IFERROR(IF(AND(COUNT(X75,Y75,Z75,AA75)=4,(X75+Y75+Z75+AA75)&lt;&gt;0),((N(AB218)+N(AB219)+N(AB220)+N(AB223)+N(AB241)+N(AB244))-N(AB150))/(X75+Y75+Z75+AA75),""),"")</f>
        <v>-0.498611417236059</v>
      </c>
      <c r="AC342" s="262">
        <f>IFERROR(IF(AND(COUNT(Y75,Z75,AA75,AC75)=4,(Y75+Z75+AA75+AC75)&lt;&gt;0),((N(AC218)+N(AC219)+N(AC220)+N(AC223)+N(AC241)+N(AC244))-N(AC150))/(Y75+Z75+AA75+AC75),""),"")</f>
        <v>-0.765362648688109</v>
      </c>
      <c r="AD342" s="262">
        <f>IFERROR(IF(AND(COUNT(Z75,AA75,AC75,AD75)=4,(Z75+AA75+AC75+AD75)&lt;&gt;0),((N(AD218)+N(AD219)+N(AD220)+N(AD223)+N(AD241)+N(AD244))-N(AD150))/(Z75+AA75+AC75+AD75),""),"")</f>
        <v>0.0139610934093577</v>
      </c>
      <c r="AE342" s="262">
        <f>IFERROR(IF(AND(COUNT(AA75,AC75,AD75,AE75)=4,(AA75+AC75+AD75+AE75)&lt;&gt;0),((N(AE218)+N(AE219)+N(AE220)+N(AE223)+N(AE241)+N(AE244))-N(AE150))/(AA75+AC75+AD75+AE75),""),"")</f>
        <v>0.126179486132102</v>
      </c>
      <c r="AF342" s="262">
        <f>IFERROR(IF(AND(COUNT(AB75,AD75,AE75,AF75)=4,(AB75+AD75+AE75+AF75)&lt;&gt;0),((N(AF218)+N(AF219)+N(AF220)+N(AF223)+N(AF241)+N(AF244))-N(AF150))/(AB75+AD75+AE75+AF75),""),"")</f>
        <v>-0.081524303916942</v>
      </c>
      <c r="AG342" s="262">
        <f>IFERROR(IF(AND(COUNT(AC75,AD75,AE75,AF75)=4,(AC75+AD75+AE75+AF75)&lt;&gt;0),((N(AG218)+N(AG219)+N(AG220)+N(AG223)+N(AG241)+N(AG244))-N(AG150))/(AC75+AD75+AE75+AF75),""),"")</f>
        <v>-0.134939853147946</v>
      </c>
      <c r="AH342" s="262">
        <f>IFERROR(IF(AND(COUNT(AD75,AF75,AG75,AH75)=4,(AD75+AF75+AG75+AH75)&lt;&gt;0),((N(AH218)+N(AH219)+N(AH220)+N(AH223)+N(AH241)+N(AH244))-N(AH150))/(AD75+AF75+AG75+AH75),""),"")</f>
        <v>-0.436115987394514</v>
      </c>
      <c r="AI342" s="262">
        <f>IFERROR(IF(AND(COUNT(AE75,AG75,AH75,AI75)=4,(AE75+AG75+AH75+AI75)&lt;&gt;0),((N(AI218)+N(AI219)+N(AI220)+N(AI223)+N(AI241)+N(AI244))-N(AI150))/(AE75+AG75+AH75+AI75),""),"")</f>
        <v>-0.107804858000082</v>
      </c>
      <c r="AJ342" s="262">
        <f>IFERROR(IF(AND(COUNT(AF75,AH75,AI75,AJ75)=4,(AF75+AH75+AI75+AJ75)&lt;&gt;0),((N(AJ218)+N(AJ219)+N(AJ220)+N(AJ223)+N(AJ241)+N(AJ244))-N(AJ150))/(AF75+AH75+AI75+AJ75),""),"")</f>
        <v>0.155406626366589</v>
      </c>
      <c r="AK342" s="262">
        <f>IFERROR(IF(AND(COUNT(AH75,AI75,AJ75,AK75)=4,(AH75+AI75+AJ75+AK75)&lt;&gt;0),((N(AK218)+N(AK219)+N(AK220)+N(AK223)+N(AK241)+N(AK244))-N(AK150))/(AH75+AI75+AJ75+AK75),""),"")</f>
        <v>0.40421747678963</v>
      </c>
      <c r="AL342" s="262">
        <f>IFERROR(IF(AND(COUNT(AH75,AI75,AJ75,AK75)=4,(AH75+AI75+AJ75+AK75)&lt;&gt;0),((N(AL218)+N(AL219)+N(AL220)+N(AL223)+N(AL241)+N(AL244))-N(AL150))/(AH75+AI75+AJ75+AK75),""),"")</f>
        <v>0.40421747678963</v>
      </c>
      <c r="AM342" s="262">
        <f>IFERROR(IF(AND(COUNT(AI75,AJ75,AK75,AM75)=4,(AI75+AJ75+AK75+AM75)&lt;&gt;0),((N(AM218)+N(AM219)+N(AM220)+N(AM223)+N(AM241)+N(AM244))-N(AM150))/(AI75+AJ75+AK75+AM75),""),"")</f>
        <v>0.665959974046541</v>
      </c>
      <c r="AN342" s="262">
        <f>IFERROR(IF(AND(COUNT(AJ75,AK75,AM75,AN75)=4,(AJ75+AK75+AM75+AN75)&lt;&gt;0),((N(AN218)+N(AN219)+N(AN220)+N(AN223)+N(AN241)+N(AN244))-N(AN150))/(AJ75+AK75+AM75+AN75),""),"")</f>
        <v>0.948951668371693</v>
      </c>
      <c r="AO342" s="262">
        <f>IFERROR(IF(AND(COUNT(AK75,AM75,AN75,AO75)=4,(AK75+AM75+AN75+AO75)&lt;&gt;0),((N(AO218)+N(AO219)+N(AO220)+N(AO223)+N(AO241)+N(AO244))-N(AO150))/(AK75+AM75+AN75+AO75),""),"")</f>
        <v>1.15506858621352</v>
      </c>
      <c r="AP342" s="262">
        <f>IFERROR(IF(AND(COUNT(AM75,AN75,AO75,AP75)=4,(AM75+AN75+AO75+AP75)&lt;&gt;0),((N(AP218)+N(AP219)+N(AP220)+N(AP223)+N(AP241)+N(AP244))-N(AP150))/(AM75+AN75+AO75+AP75),""),"")</f>
        <v>1.37594144907218</v>
      </c>
      <c r="AQ342" s="262">
        <f>IFERROR(IF(AND(COUNT(AM75,AN75,AO75,AP75)=4,(AM75+AN75+AO75+AP75)&lt;&gt;0),((N(AQ218)+N(AQ219)+N(AQ220)+N(AQ223)+N(AQ241)+N(AQ244))-N(AQ150))/(AM75+AN75+AO75+AP75),""),"")</f>
        <v>1.37594144907218</v>
      </c>
      <c r="AR342" s="262">
        <f>IFERROR(IF(AND(COUNT(AN75,AO75,AP75,AR75)=4,(AN75+AO75+AP75+AR75)&lt;&gt;0),((N(AR218)+N(AR219)+N(AR220)+N(AR223)+N(AR241)+N(AR244))-N(AR150))/(AN75+AO75+AP75+AR75),""),"")</f>
        <v>1.59733570523429</v>
      </c>
      <c r="AS342" s="262">
        <f>IFERROR(IF(AND(COUNT(AO75,AP75,AR75,AS75)=4,(AO75+AP75+AR75+AS75)&lt;&gt;0),((N(AS218)+N(AS219)+N(AS220)+N(AS223)+N(AS241)+N(AS244))-N(AS150))/(AO75+AP75+AR75+AS75),""),"")</f>
        <v>1.83017654912106</v>
      </c>
      <c r="AT342" s="262">
        <f>IFERROR(IF(AND(COUNT(AP75,AR75,AS75,AT75)=4,(AP75+AR75+AS75+AT75)&lt;&gt;0),((N(AT218)+N(AT219)+N(AT220)+N(AT223)+N(AT241)+N(AT244))-N(AT150))/(AP75+AR75+AS75+AT75),""),"")</f>
        <v>2.00364517732933</v>
      </c>
      <c r="AU342" s="262">
        <f>IFERROR(IF(AND(COUNT(AR75,AS75,AT75,AU75)=4,(AR75+AS75+AT75+AU75)&lt;&gt;0),((N(AU218)+N(AU219)+N(AU220)+N(AU223)+N(AU241)+N(AU244))-N(AU150))/(AR75+AS75+AT75+AU75),""),"")</f>
        <v>2.19158065906871</v>
      </c>
      <c r="AV342" s="262">
        <f>IFERROR(IF(AND(COUNT(AR75,AS75,AT75,AU75)=4,(AR75+AS75+AT75+AU75)&lt;&gt;0),((N(AV218)+N(AV219)+N(AV220)+N(AV223)+N(AV241)+N(AV244))-N(AV150))/(AR75+AS75+AT75+AU75),""),"")</f>
        <v>2.19158065906871</v>
      </c>
      <c r="AW342" s="262">
        <f>IFERROR(IF(AND(COUNT(AS75,AT75,AU75,AW75)=4,(AS75+AT75+AU75+AW75)&lt;&gt;0),((N(AW218)+N(AW219)+N(AW220)+N(AW223)+N(AW241)+N(AW244))-N(AW150))/(AS75+AT75+AU75+AW75),""),"")</f>
        <v>2.38076175005619</v>
      </c>
      <c r="AX342" s="262">
        <f>IFERROR(IF(AND(COUNT(AT75,AU75,AW75,AX75)=4,(AT75+AU75+AW75+AX75)&lt;&gt;0),((N(AX218)+N(AX219)+N(AX220)+N(AX223)+N(AX241)+N(AX244))-N(AX150))/(AT75+AU75+AW75+AX75),""),"")</f>
        <v>2.57914501934042</v>
      </c>
      <c r="AY342" s="262">
        <f>IFERROR(IF(AND(COUNT(AU75,AW75,AX75,AY75)=4,(AU75+AW75+AX75+AY75)&lt;&gt;0),((N(AY218)+N(AY219)+N(AY220)+N(AY223)+N(AY241)+N(AY244))-N(AY150))/(AU75+AW75+AX75+AY75),""),"")</f>
        <v>2.72296672069489</v>
      </c>
      <c r="AZ342" s="262">
        <f>IFERROR(IF(AND(COUNT(AW75,AX75,AY75,AZ75)=4,(AW75+AX75+AY75+AZ75)&lt;&gt;0),((N(AZ218)+N(AZ219)+N(AZ220)+N(AZ223)+N(AZ241)+N(AZ244))-N(AZ150))/(AW75+AX75+AY75+AZ75),""),"")</f>
        <v>2.88079715463915</v>
      </c>
      <c r="BA342" s="262">
        <f>IFERROR(IF(AND(COUNT(AW75,AX75,AY75,AZ75)=4,(AW75+AX75+AY75+AZ75)&lt;&gt;0),((N(BA218)+N(BA219)+N(BA220)+N(BA223)+N(BA241)+N(BA244))-N(BA150))/(AW75+AX75+AY75+AZ75),""),"")</f>
        <v>2.88079715463915</v>
      </c>
      <c r="BB342" s="262">
        <f>IFERROR(IF(AND(COUNT(AX75,AY75,AZ75,BB75)=4,(AX75+AY75+AZ75+BB75)&lt;&gt;0),((N(BB218)+N(BB219)+N(BB220)+N(BB223)+N(BB241)+N(BB244))-N(BB150))/(AX75+AY75+AZ75+BB75),""),"")</f>
        <v>3.03975299502745</v>
      </c>
      <c r="BC342" s="262">
        <f>IFERROR(IF(AND(COUNT(AY75,AZ75,BB75,BC75)=4,(AY75+AZ75+BB75+BC75)&lt;&gt;0),((N(BC218)+N(BC219)+N(BC220)+N(BC223)+N(BC241)+N(BC244))-N(BC150))/(AY75+AZ75+BB75+BC75),""),"")</f>
        <v>3.20724564591224</v>
      </c>
      <c r="BD342" s="262">
        <f>IFERROR(IF(AND(COUNT(AZ75,BB75,BC75,BD75)=4,(AZ75+BB75+BC75+BD75)&lt;&gt;0),((N(BD218)+N(BD219)+N(BD220)+N(BD223)+N(BD241)+N(BD244))-N(BD150))/(AZ75+BB75+BC75+BD75),""),"")</f>
        <v>3.32299892481469</v>
      </c>
      <c r="BE342" s="262">
        <f>IFERROR(IF(AND(COUNT(BB75,BC75,BD75,BE75)=4,(BB75+BC75+BD75+BE75)&lt;&gt;0),((N(BE218)+N(BE219)+N(BE220)+N(BE223)+N(BE241)+N(BE244))-N(BE150))/(BB75+BC75+BD75+BE75),""),"")</f>
        <v>3.45212847504973</v>
      </c>
      <c r="BF342" s="262">
        <f>IFERROR(IF(AND(COUNT(BB75,BC75,BD75,BE75)=4,(BB75+BC75+BD75+BE75)&lt;&gt;0),((N(BF218)+N(BF219)+N(BF220)+N(BF223)+N(BF241)+N(BF244))-N(BF150))/(BB75+BC75+BD75+BE75),""),"")</f>
        <v>3.45212847504973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  <c r="C343" s="83" t="inlineStr">
        <is>
          <t>NET DEBT (EX IFRS 16.) / EBITDA (LTM)</t>
        </is>
      </c>
      <c r="D343" s="82" t="str">
        <f>IFERROR(SUM((D218+D219+D223)-D150)/(D75*4),"")</f>
        <v/>
      </c>
      <c r="E343" s="82" t="str">
        <f>IFERROR(SUM((E218+E219+E223)-E150)/(E75*4),"")</f>
        <v/>
      </c>
      <c r="F343" s="82" t="str">
        <f>IFERROR(SUM((F218+F219+F223)-F150)/(F75*4),"")</f>
        <v/>
      </c>
      <c r="G343" s="82" t="str">
        <f>IFERROR(SUM((G218+G219+G223)-G150)/(G75*4),"")</f>
        <v/>
      </c>
      <c r="H343" s="262" t="str">
        <f>IFERROR(IF(AND(COUNT(H75)=1,(H75)&lt;&gt;0),((N(H218)+N(H219)+N(H223)+N(H244))-N(H150))/(H75),""),"")</f>
        <v/>
      </c>
      <c r="I343" s="262" t="str">
        <f>""</f>
        <v/>
      </c>
      <c r="J343" s="262" t="str">
        <f>""</f>
        <v/>
      </c>
      <c r="K343" s="262" t="str">
        <f>""</f>
        <v/>
      </c>
      <c r="L343" s="262">
        <f>IFERROR(IF(AND(COUNT(I75,J75,K75,L75)=4,(I75+J75+K75+L75)&lt;&gt;0),((N(L218)+N(L219)+N(L223)+N(L244))-N(L150))/(I75+J75+K75+L75),""),"")</f>
        <v>-1.6288424506098</v>
      </c>
      <c r="M343" s="262">
        <f>IFERROR(IF(AND(COUNT(I75,J75,K75,L75)=4,(I75+J75+K75+L75)&lt;&gt;0),((N(M218)+N(M219)+N(M223)+N(M244))-N(M150))/(I75+J75+K75+L75),""),"")</f>
        <v>-1.6288424506098</v>
      </c>
      <c r="N343" s="262">
        <f>IFERROR(IF(AND(COUNT(J75,K75,L75,N75)=4,(J75+K75+L75+N75)&lt;&gt;0),((N(N218)+N(N219)+N(N223)+N(N244))-N(N150))/(J75+K75+L75+N75),""),"")</f>
        <v>-1.66968874928612</v>
      </c>
      <c r="O343" s="262">
        <f>IFERROR(IF(AND(COUNT(K75,L75,N75,O75)=4,(K75+L75+N75+O75)&lt;&gt;0),((N(O218)+N(O219)+N(O223)+N(O244))-N(O150))/(K75+L75+N75+O75),""),"")</f>
        <v>-1.55908314350797</v>
      </c>
      <c r="P343" s="262">
        <f>IFERROR(IF(AND(COUNT(L75,N75,O75,P75)=4,(L75+N75+O75+P75)&lt;&gt;0),((N(P218)+N(P219)+N(P223)+N(P244))-N(P150))/(L75+N75+O75+P75),""),"")</f>
        <v>-0.804128144485057</v>
      </c>
      <c r="Q343" s="262">
        <f>IFERROR(IF(AND(COUNT(N75,O75,P75,Q75)=4,(N75+O75+P75+Q75)&lt;&gt;0),((N(Q218)+N(Q219)+N(Q223)+N(Q244))-N(Q150))/(N75+O75+P75+Q75),""),"")</f>
        <v>-0.39541639767592</v>
      </c>
      <c r="R343" s="262">
        <f>IFERROR(IF(AND(COUNT(N75,O75,P75,Q75)=4,(N75+O75+P75+Q75)&lt;&gt;0),((N(R218)+N(R219)+N(R223)+N(R244))-N(R150))/(N75+O75+P75+Q75),""),"")</f>
        <v>-0.39541639767592</v>
      </c>
      <c r="S343" s="262">
        <f>IFERROR(IF(AND(COUNT(O75,P75,Q75,S75)=4,(O75+P75+Q75+S75)&lt;&gt;0),((N(S218)+N(S219)+N(S223)+N(S244))-N(S150))/(O75+P75+Q75+S75),""),"")</f>
        <v>-0.466212983146366</v>
      </c>
      <c r="T343" s="262">
        <f>IFERROR(IF(AND(COUNT(P75,Q75,S75,T75)=4,(P75+Q75+S75+T75)&lt;&gt;0),((N(T218)+N(T219)+N(T223)+N(T244))-N(T150))/(P75+Q75+S75+T75),""),"")</f>
        <v>-0.530517654410999</v>
      </c>
      <c r="U343" s="262">
        <f>IFERROR(IF(AND(COUNT(Q75,S75,T75,U75)=4,(Q75+S75+T75+U75)&lt;&gt;0),((N(U218)+N(U219)+N(U223)+N(U244))-N(U150))/(Q75+S75+T75+U75),""),"")</f>
        <v>-0.607674512170589</v>
      </c>
      <c r="V343" s="262">
        <f>IFERROR(IF(AND(COUNT(S75,T75,U75,V75)=4,(S75+T75+U75+V75)&lt;&gt;0),((N(V218)+N(V219)+N(V223)+N(V244))-N(V150))/(S75+T75+U75+V75),""),"")</f>
        <v>-0.424109321620303</v>
      </c>
      <c r="W343" s="262">
        <f>IFERROR(IF(AND(COUNT(S75,T75,U75,V75)=4,(S75+T75+U75+V75)&lt;&gt;0),((N(W218)+N(W219)+N(W223)+N(W244))-N(W150))/(S75+T75+U75+V75),""),"")</f>
        <v>-0.424109321620303</v>
      </c>
      <c r="X343" s="262">
        <f>IFERROR(IF(AND(COUNT(T75,U75,V75,X75)=4,(T75+U75+V75+X75)&lt;&gt;0),((N(X218)+N(X219)+N(X223)+N(X244))-N(X150))/(T75+U75+V75+X75),""),"")</f>
        <v>-0.472091138757805</v>
      </c>
      <c r="Y343" s="262">
        <f>IFERROR(IF(AND(COUNT(U75,V75,X75,Y75)=4,(U75+V75+X75+Y75)&lt;&gt;0),((N(Y218)+N(Y219)+N(Y223)+N(Y244))-N(Y150))/(U75+V75+X75+Y75),""),"")</f>
        <v>-0.496021960638347</v>
      </c>
      <c r="Z343" s="262">
        <f>IFERROR(IF(AND(COUNT(V75,X75,Y75,Z75)=4,(V75+X75+Y75+Z75)&lt;&gt;0),((N(Z218)+N(Z219)+N(Z223)+N(Z244))-N(Z150))/(V75+X75+Y75+Z75),""),"")</f>
        <v>-0.492796170001355</v>
      </c>
      <c r="AA343" s="262">
        <f>IFERROR(IF(AND(COUNT(X75,Y75,Z75,AA75)=4,(X75+Y75+Z75+AA75)&lt;&gt;0),((N(AA218)+N(AA219)+N(AA223)+N(AA244))-N(AA150))/(X75+Y75+Z75+AA75),""),"")</f>
        <v>-0.498611417236059</v>
      </c>
      <c r="AB343" s="262">
        <f>IFERROR(IF(AND(COUNT(X75,Y75,Z75,AA75)=4,(X75+Y75+Z75+AA75)&lt;&gt;0),((N(AB218)+N(AB219)+N(AB223)+N(AB244))-N(AB150))/(X75+Y75+Z75+AA75),""),"")</f>
        <v>-0.498611417236059</v>
      </c>
      <c r="AC343" s="262">
        <f>IFERROR(IF(AND(COUNT(Y75,Z75,AA75,AC75)=4,(Y75+Z75+AA75+AC75)&lt;&gt;0),((N(AC218)+N(AC219)+N(AC223)+N(AC244))-N(AC150))/(Y75+Z75+AA75+AC75),""),"")</f>
        <v>-0.765362648688109</v>
      </c>
      <c r="AD343" s="262">
        <f>IFERROR(IF(AND(COUNT(Z75,AA75,AC75,AD75)=4,(Z75+AA75+AC75+AD75)&lt;&gt;0),((N(AD218)+N(AD219)+N(AD223)+N(AD244))-N(AD150))/(Z75+AA75+AC75+AD75),""),"")</f>
        <v>-0.469688076471575</v>
      </c>
      <c r="AE343" s="262">
        <f>IFERROR(IF(AND(COUNT(AA75,AC75,AD75,AE75)=4,(AA75+AC75+AD75+AE75)&lt;&gt;0),((N(AE218)+N(AE219)+N(AE223)+N(AE244))-N(AE150))/(AA75+AC75+AD75+AE75),""),"")</f>
        <v>-0.449532290347617</v>
      </c>
      <c r="AF343" s="262">
        <f>IFERROR(IF(AND(COUNT(AB75,AD75,AE75,AF75)=4,(AB75+AD75+AE75+AF75)&lt;&gt;0),((N(AF218)+N(AF219)+N(AF223)+N(AF244))-N(AF150))/(AB75+AD75+AE75+AF75),""),"")</f>
        <v>-0.466399244926852</v>
      </c>
      <c r="AG343" s="262">
        <f>IFERROR(IF(AND(COUNT(AC75,AD75,AE75,AF75)=4,(AC75+AD75+AE75+AF75)&lt;&gt;0),((N(AG218)+N(AG219)+N(AG223)+N(AG244))-N(AG150))/(AC75+AD75+AE75+AF75),""),"")</f>
        <v>-0.771988751757538</v>
      </c>
      <c r="AH343" s="262">
        <f>IFERROR(IF(AND(COUNT(AD75,AF75,AG75,AH75)=4,(AD75+AF75+AG75+AH75)&lt;&gt;0),((N(AH218)+N(AH219)+N(AH223)+N(AH244))-N(AH150))/(AD75+AF75+AG75+AH75),""),"")</f>
        <v>-0.827647469385165</v>
      </c>
      <c r="AI343" s="262">
        <f>IFERROR(IF(AND(COUNT(AE75,AG75,AH75,AI75)=4,(AE75+AG75+AH75+AI75)&lt;&gt;0),((N(AI218)+N(AI219)+N(AI223)+N(AI244))-N(AI150))/(AE75+AG75+AH75+AI75),""),"")</f>
        <v>-0.655419012782048</v>
      </c>
      <c r="AJ343" s="262">
        <f>IFERROR(IF(AND(COUNT(AF75,AH75,AI75,AJ75)=4,(AF75+AH75+AI75+AJ75)&lt;&gt;0),((N(AJ218)+N(AJ219)+N(AJ223)+N(AJ244))-N(AJ150))/(AF75+AH75+AI75+AJ75),""),"")</f>
        <v>-0.696320493608233</v>
      </c>
      <c r="AK343" s="262">
        <f>IFERROR(IF(AND(COUNT(AH75,AI75,AJ75,AK75)=4,(AH75+AI75+AJ75+AK75)&lt;&gt;0),((N(AK218)+N(AK219)+N(AK223)+N(AK244))-N(AK150))/(AH75+AI75+AJ75+AK75),""),"")</f>
        <v>-0.417138529041597</v>
      </c>
      <c r="AL343" s="262">
        <f>IFERROR(IF(AND(COUNT(AH75,AI75,AJ75,AK75)=4,(AH75+AI75+AJ75+AK75)&lt;&gt;0),((N(AL218)+N(AL219)+N(AL223)+N(AL244))-N(AL150))/(AH75+AI75+AJ75+AK75),""),"")</f>
        <v>-0.417138529041597</v>
      </c>
      <c r="AM343" s="262">
        <f>IFERROR(IF(AND(COUNT(AI75,AJ75,AK75,AM75)=4,(AI75+AJ75+AK75+AM75)&lt;&gt;0),((N(AM218)+N(AM219)+N(AM223)+N(AM244))-N(AM150))/(AI75+AJ75+AK75+AM75),""),"")</f>
        <v>-0.142126203064612</v>
      </c>
      <c r="AN343" s="262">
        <f>IFERROR(IF(AND(COUNT(AJ75,AK75,AM75,AN75)=4,(AJ75+AK75+AM75+AN75)&lt;&gt;0),((N(AN218)+N(AN219)+N(AN223)+N(AN244))-N(AN150))/(AJ75+AK75+AM75+AN75),""),"")</f>
        <v>0.154738711295977</v>
      </c>
      <c r="AO343" s="262">
        <f>IFERROR(IF(AND(COUNT(AK75,AM75,AN75,AO75)=4,(AK75+AM75+AN75+AO75)&lt;&gt;0),((N(AO218)+N(AO219)+N(AO223)+N(AO244))-N(AO150))/(AK75+AM75+AN75+AO75),""),"")</f>
        <v>0.385410347010157</v>
      </c>
      <c r="AP343" s="262">
        <f>IFERROR(IF(AND(COUNT(AM75,AN75,AO75,AP75)=4,(AM75+AN75+AO75+AP75)&lt;&gt;0),((N(AP218)+N(AP219)+N(AP223)+N(AP244))-N(AP150))/(AM75+AN75+AO75+AP75),""),"")</f>
        <v>0.631059343685607</v>
      </c>
      <c r="AQ343" s="262">
        <f>IFERROR(IF(AND(COUNT(AM75,AN75,AO75,AP75)=4,(AM75+AN75+AO75+AP75)&lt;&gt;0),((N(AQ218)+N(AQ219)+N(AQ223)+N(AQ244))-N(AQ150))/(AM75+AN75+AO75+AP75),""),"")</f>
        <v>0.631059343685607</v>
      </c>
      <c r="AR343" s="262">
        <f>IFERROR(IF(AND(COUNT(AN75,AO75,AP75,AR75)=4,(AN75+AO75+AP75+AR75)&lt;&gt;0),((N(AR218)+N(AR219)+N(AR223)+N(AR244))-N(AR150))/(AN75+AO75+AP75+AR75),""),"")</f>
        <v>0.876433417816202</v>
      </c>
      <c r="AS343" s="262">
        <f>IFERROR(IF(AND(COUNT(AO75,AP75,AR75,AS75)=4,(AO75+AP75+AR75+AS75)&lt;&gt;0),((N(AS218)+N(AS219)+N(AS223)+N(AS244))-N(AS150))/(AO75+AP75+AR75+AS75),""),"")</f>
        <v>1.13427592243217</v>
      </c>
      <c r="AT343" s="262">
        <f>IFERROR(IF(AND(COUNT(AP75,AR75,AS75,AT75)=4,(AP75+AR75+AS75+AT75)&lt;&gt;0),((N(AT218)+N(AT219)+N(AT223)+N(AT244))-N(AT150))/(AP75+AR75+AS75+AT75),""),"")</f>
        <v>1.32858258542405</v>
      </c>
      <c r="AU343" s="262">
        <f>IFERROR(IF(AND(COUNT(AR75,AS75,AT75,AU75)=4,(AR75+AS75+AT75+AU75)&lt;&gt;0),((N(AU218)+N(AU219)+N(AU223)+N(AU244))-N(AU150))/(AR75+AS75+AT75+AU75),""),"")</f>
        <v>1.53758646169015</v>
      </c>
      <c r="AV343" s="262">
        <f>IFERROR(IF(AND(COUNT(AR75,AS75,AT75,AU75)=4,(AR75+AS75+AT75+AU75)&lt;&gt;0),((N(AV218)+N(AV219)+N(AV223)+N(AV244))-N(AV150))/(AR75+AS75+AT75+AU75),""),"")</f>
        <v>1.53758646169015</v>
      </c>
      <c r="AW343" s="262">
        <f>IFERROR(IF(AND(COUNT(AS75,AT75,AU75,AW75)=4,(AS75+AT75+AU75+AW75)&lt;&gt;0),((N(AW218)+N(AW219)+N(AW223)+N(AW244))-N(AW150))/(AS75+AT75+AU75+AW75),""),"")</f>
        <v>1.74708749439831</v>
      </c>
      <c r="AX343" s="262">
        <f>IFERROR(IF(AND(COUNT(AT75,AU75,AW75,AX75)=4,(AT75+AU75+AW75+AX75)&lt;&gt;0),((N(AX218)+N(AX219)+N(AX223)+N(AX244))-N(AX150))/(AT75+AU75+AW75+AX75),""),"")</f>
        <v>1.9667068320315</v>
      </c>
      <c r="AY343" s="262">
        <f>IFERROR(IF(AND(COUNT(AU75,AW75,AX75,AY75)=4,(AU75+AW75+AX75+AY75)&lt;&gt;0),((N(AY218)+N(AY219)+N(AY223)+N(AY244))-N(AY150))/(AU75+AW75+AX75+AY75),""),"")</f>
        <v>2.1282673955389</v>
      </c>
      <c r="AZ343" s="262">
        <f>IFERROR(IF(AND(COUNT(AW75,AX75,AY75,AZ75)=4,(AW75+AX75+AY75+AZ75)&lt;&gt;0),((N(AZ218)+N(AZ219)+N(AZ223)+N(AZ244))-N(AZ150))/(AW75+AX75+AY75+AZ75),""),"")</f>
        <v>2.30406925286198</v>
      </c>
      <c r="BA343" s="262">
        <f>IFERROR(IF(AND(COUNT(AW75,AX75,AY75,AZ75)=4,(AW75+AX75+AY75+AZ75)&lt;&gt;0),((N(BA218)+N(BA219)+N(BA223)+N(BA244))-N(BA150))/(AW75+AX75+AY75+AZ75),""),"")</f>
        <v>2.30406925286198</v>
      </c>
      <c r="BB343" s="262">
        <f>IFERROR(IF(AND(COUNT(AX75,AY75,AZ75,BB75)=4,(AX75+AY75+AZ75+BB75)&lt;&gt;0),((N(BB218)+N(BB219)+N(BB223)+N(BB244))-N(BB150))/(AX75+AY75+AZ75+BB75),""),"")</f>
        <v>2.48029559705839</v>
      </c>
      <c r="BC343" s="262">
        <f>IFERROR(IF(AND(COUNT(AY75,AZ75,BB75,BC75)=4,(AY75+AZ75+BB75+BC75)&lt;&gt;0),((N(BC218)+N(BC219)+N(BC223)+N(BC244))-N(BC150))/(AY75+AZ75+BB75+BC75),""),"")</f>
        <v>2.66588029824441</v>
      </c>
      <c r="BD343" s="262">
        <f>IFERROR(IF(AND(COUNT(AZ75,BB75,BC75,BD75)=4,(AZ75+BB75+BC75+BD75)&lt;&gt;0),((N(BD218)+N(BD219)+N(BD223)+N(BD244))-N(BD150))/(AZ75+BB75+BC75+BD75),""),"")</f>
        <v>2.7967799123097</v>
      </c>
      <c r="BE343" s="262">
        <f>IFERROR(IF(AND(COUNT(BB75,BC75,BD75,BE75)=4,(BB75+BC75+BD75+BE75)&lt;&gt;0),((N(BE218)+N(BE219)+N(BE223)+N(BE244))-N(BE150))/(BB75+BC75+BD75+BE75),""),"")</f>
        <v>2.94128577918474</v>
      </c>
      <c r="BF343" s="262">
        <f>IFERROR(IF(AND(COUNT(BB75,BC75,BD75,BE75)=4,(BB75+BC75+BD75+BE75)&lt;&gt;0),((N(BF218)+N(BF219)+N(BF223)+N(BF244))-N(BF150))/(BB75+BC75+BD75+BE75),""),"")</f>
        <v>2.94128577918474</v>
      </c>
      <c r="BG343" s="82" t="n"/>
      <c r="BH343" s="82" t="n"/>
      <c r="BI343" s="82" t="n"/>
      <c r="BJ343" s="82" t="n"/>
      <c r="BL343" s="82" t="n"/>
      <c r="BM343" s="82" t="n"/>
      <c r="BN343" s="82" t="n"/>
      <c r="BO343" s="82" t="n"/>
      <c r="BQ343" s="82" t="n"/>
      <c r="BR343" s="82" t="n"/>
      <c r="BS343" s="82" t="n"/>
      <c r="BT343" s="82" t="n"/>
      <c r="BV343" s="82" t="n"/>
      <c r="BW343" s="82" t="n"/>
      <c r="BX343" s="82" t="n"/>
      <c r="BY343" s="82" t="n"/>
      <c r="CA343" s="82" t="n"/>
      <c r="CB343" s="82" t="n"/>
      <c r="CC343" s="82" t="n"/>
      <c r="CD343" s="82" t="n"/>
      <c r="CF343" s="82" t="n"/>
      <c r="CG343" s="82" t="n"/>
      <c r="CH343" s="82" t="n"/>
      <c r="CI343" s="82" t="n"/>
      <c r="CK343" s="82" t="n"/>
      <c r="CL343" s="82" t="n"/>
      <c r="CM343" s="82" t="n"/>
      <c r="CN343" s="82" t="n"/>
      <c r="CP343" s="82" t="n"/>
      <c r="CQ343" s="82" t="n"/>
      <c r="CR343" s="82" t="n"/>
      <c r="CS343" s="82" t="n"/>
      <c r="CU343" s="82" t="n"/>
      <c r="CV343" s="82" t="n"/>
      <c r="CW343" s="82" t="n"/>
      <c r="CX343" s="82" t="n"/>
    </row>
    <row r="344" customFormat="1" s="77">
      <c r="A344" s="76" t="n"/>
      <c r="B344" s="76" t="n"/>
      <c r="C344" s="77" t="inlineStr">
        <is>
          <t>INTEREST COVERAGE (EBIT / INTEREST, LTM)</t>
        </is>
      </c>
      <c r="D344" s="82" t="str">
        <f>IFERROR(D79/-D80,"")</f>
        <v/>
      </c>
      <c r="E344" s="82" t="str">
        <f>IFERROR(E79/-E80,"")</f>
        <v/>
      </c>
      <c r="F344" s="82" t="str">
        <f>IFERROR(F79/-F80,"")</f>
        <v/>
      </c>
      <c r="G344" s="82" t="str">
        <f>IFERROR(G79/-G80,"")</f>
        <v/>
      </c>
      <c r="H344" s="262" t="str">
        <f>IFERROR(IF(AND(COUNT(H79)=1,(H80)&lt;&gt;0),(H79)/-(H80),""),"")</f>
        <v/>
      </c>
      <c r="I344" s="262" t="str">
        <f>""</f>
        <v/>
      </c>
      <c r="J344" s="262" t="str">
        <f>""</f>
        <v/>
      </c>
      <c r="K344" s="262" t="str">
        <f>""</f>
        <v/>
      </c>
      <c r="L344" s="262">
        <f>IFERROR(IF(AND(COUNT(I79,J79,K79,L79)=4,(I80+J80+K80+L80)&lt;&gt;0),(I79+J79+K79+L79)/-(I80+J80+K80+L80),""),"")</f>
        <v>4.13428357089272</v>
      </c>
      <c r="M344" s="262">
        <f>IFERROR(IF(AND(COUNT(I79,J79,K79,L79)=4,(I80+J80+K80+L80)&lt;&gt;0),(I79+J79+K79+L79)/-(I80+J80+K80+L80),""),"")</f>
        <v>4.13428357089272</v>
      </c>
      <c r="N344" s="262">
        <f>IFERROR(IF(AND(COUNT(J79,K79,L79,N79)=4,(J80+K80+L80+N80)&lt;&gt;0),(J79+K79+L79+N79)/-(J80+K80+L80+N80),""),"")</f>
        <v>3.99053857350801</v>
      </c>
      <c r="O344" s="262">
        <f>IFERROR(IF(AND(COUNT(K79,L79,N79,O79)=4,(K80+L80+N80+O80)&lt;&gt;0),(K79+L79+N79+O79)/-(K80+L80+N80+O80),""),"")</f>
        <v>3.96624319419238</v>
      </c>
      <c r="P344" s="262">
        <f>IFERROR(IF(AND(COUNT(L79,N79,O79,P79)=4,(L80+N80+O80+P80)&lt;&gt;0),(L79+N79+O79+P79)/-(L80+N80+O80+P80),""),"")</f>
        <v>3.56820585125132</v>
      </c>
      <c r="Q344" s="262">
        <f>IFERROR(IF(AND(COUNT(N79,O79,P79,Q79)=4,(N80+O80+P80+Q80)&lt;&gt;0),(N79+O79+P79+Q79)/-(N80+O80+P80+Q80),""),"")</f>
        <v>4.65096217650962</v>
      </c>
      <c r="R344" s="262">
        <f>IFERROR(IF(AND(COUNT(N79,O79,P79,Q79)=4,(N80+O80+P80+Q80)&lt;&gt;0),(N79+O79+P79+Q79)/-(N80+O80+P80+Q80),""),"")</f>
        <v>4.65096217650962</v>
      </c>
      <c r="S344" s="262">
        <f>IFERROR(IF(AND(COUNT(O79,P79,Q79,S79)=4,(O80+P80+Q80+S80)&lt;&gt;0),(O79+P79+Q79+S79)/-(O80+P80+Q80+S80),""),"")</f>
        <v>4.13394777265745</v>
      </c>
      <c r="T344" s="262">
        <f>IFERROR(IF(AND(COUNT(P79,Q79,S79,T79)=4,(P80+Q80+S80+T80)&lt;&gt;0),(P79+Q79+S79+T79)/-(P80+Q80+S80+T80),""),"")</f>
        <v>3.73474044495151</v>
      </c>
      <c r="U344" s="262">
        <f>IFERROR(IF(AND(COUNT(Q79,S79,T79,U79)=4,(Q80+S80+T80+U80)&lt;&gt;0),(Q79+S79+T79+U79)/-(Q80+S80+T80+U80),""),"")</f>
        <v>3.83375104427736</v>
      </c>
      <c r="V344" s="262">
        <f>IFERROR(IF(AND(COUNT(S79,T79,U79,V79)=4,(S80+T80+U80+V80)&lt;&gt;0),(S79+T79+U79+V79)/-(S80+T80+U80+V80),""),"")</f>
        <v>3.95197350262214</v>
      </c>
      <c r="W344" s="262">
        <f>IFERROR(IF(AND(COUNT(S79,T79,U79,V79)=4,(S80+T80+U80+V80)&lt;&gt;0),(S79+T79+U79+V79)/-(S80+T80+U80+V80),""),"")</f>
        <v>3.95197350262214</v>
      </c>
      <c r="X344" s="262">
        <f>IFERROR(IF(AND(COUNT(T79,U79,V79,X79)=4,(T80+U80+V80+X80)&lt;&gt;0),(T79+U79+V79+X79)/-(T80+U80+V80+X80),""),"")</f>
        <v>4.12364243943191</v>
      </c>
      <c r="Y344" s="262">
        <f>IFERROR(IF(AND(COUNT(U79,V79,X79,Y79)=4,(U80+V80+X80+Y80)&lt;&gt;0),(U79+V79+X79+Y79)/-(U80+V80+X80+Y80),""),"")</f>
        <v>4.3693796243597</v>
      </c>
      <c r="Z344" s="262">
        <f>IFERROR(IF(AND(COUNT(V79,X79,Y79,Z79)=4,(V80+X80+Y80+Z80)&lt;&gt;0),(V79+X79+Y79+Z79)/-(V80+X80+Y80+Z80),""),"")</f>
        <v>4.6064867967853</v>
      </c>
      <c r="AA344" s="262">
        <f>IFERROR(IF(AND(COUNT(X79,Y79,Z79,AA79)=4,(X80+Y80+Z80+AA80)&lt;&gt;0),(X79+Y79+Z79+AA79)/-(X80+Y80+Z80+AA80),""),"")</f>
        <v>4.80849220103986</v>
      </c>
      <c r="AB344" s="262">
        <f>IFERROR(IF(AND(COUNT(X79,Y79,Z79,AA79)=4,(X80+Y80+Z80+AA80)&lt;&gt;0),(X79+Y79+Z79+AA79)/-(X80+Y80+Z80+AA80),""),"")</f>
        <v>4.80849220103986</v>
      </c>
      <c r="AC344" s="262">
        <f>IFERROR(IF(AND(COUNT(Y79,Z79,AA79,AC79)=4,(Y80+Z80+AA80+AC80)&lt;&gt;0),(Y79+Z79+AA79+AC79)/-(Y80+Z80+AA80+AC80),""),"")</f>
        <v>4.96118458884416</v>
      </c>
      <c r="AD344" s="262">
        <f>IFERROR(IF(AND(COUNT(Z79,AA79,AC79,AD79)=4,(Z80+AA80+AC80+AD80)&lt;&gt;0),(Z79+AA79+AC79+AD79)/-(Z80+AA80+AC80+AD80),""),"")</f>
        <v>4.94074902179989</v>
      </c>
      <c r="AE344" s="262">
        <f>IFERROR(IF(AND(COUNT(AA79,AC79,AD79,AE79)=4,(AA80+AC80+AD80+AE80)&lt;&gt;0),(AA79+AC79+AD79+AE79)/-(AA80+AC80+AD80+AE80),""),"")</f>
        <v>4.90953812517081</v>
      </c>
      <c r="AF344" s="262">
        <f>IFERROR(IF(AND(COUNT(AB79,AD79,AE79,AF79)=4,(AB80+AD80+AE80+AF80)&lt;&gt;0),(AB79+AD79+AE79+AF79)/-(AB80+AD80+AE80+AF80),""),"")</f>
        <v>4.79190031152648</v>
      </c>
      <c r="AG344" s="262">
        <f>IFERROR(IF(AND(COUNT(AC79,AD79,AE79,AF79)=4,(AC80+AD80+AE80+AF80)&lt;&gt;0),(AC79+AD79+AE79+AF79)/-(AC80+AD80+AE80+AF80),""),"")</f>
        <v>4.7987012987013</v>
      </c>
      <c r="AH344" s="262">
        <f>IFERROR(IF(AND(COUNT(AD79,AF79,AG79,AH79)=4,(AD80+AF80+AG80+AH80)&lt;&gt;0),(AD79+AF79+AG79+AH79)/-(AD80+AF80+AG80+AH80),""),"")</f>
        <v>4.78117480537863</v>
      </c>
      <c r="AI344" s="262">
        <f>IFERROR(IF(AND(COUNT(AE79,AG79,AH79,AI79)=4,(AE80+AG80+AH80+AI80)&lt;&gt;0),(AE79+AG79+AH79+AI79)/-(AE80+AG80+AH80+AI80),""),"")</f>
        <v>4.6467803030303</v>
      </c>
      <c r="AJ344" s="262" t="str">
        <f>IFERROR(IF(AND(COUNT(AF79,AH79,AI79,AJ79)=4,(AF80+AH80+AI80+AJ80)&lt;&gt;0),(AF79+AH79+AI79+AJ79)/-(AF80+AH80+AI80+AJ80),""),"")</f>
        <v/>
      </c>
      <c r="AK344" s="262" t="str">
        <f>IFERROR(IF(AND(COUNT(AH79,AI79,AJ79,AK79)=4,(AH80+AI80+AJ80+AK80)&lt;&gt;0),(AH79+AI79+AJ79+AK79)/-(AH80+AI80+AJ80+AK80),""),"")</f>
        <v/>
      </c>
      <c r="AL344" s="262" t="str">
        <f>IFERROR(IF(AND(COUNT(AH79,AI79,AJ79,AK79)=4,(AH80+AI80+AJ80+AK80)&lt;&gt;0),(AH79+AI79+AJ79+AK79)/-(AH80+AI80+AJ80+AK80),""),"")</f>
        <v/>
      </c>
      <c r="AM344" s="262" t="str">
        <f>IFERROR(IF(AND(COUNT(AI79,AJ79,AK79,AM79)=4,(AI80+AJ80+AK80+AM80)&lt;&gt;0),(AI79+AJ79+AK79+AM79)/-(AI80+AJ80+AK80+AM80),""),"")</f>
        <v/>
      </c>
      <c r="AN344" s="262" t="str">
        <f>IFERROR(IF(AND(COUNT(AJ79,AK79,AM79,AN79)=4,(AJ80+AK80+AM80+AN80)&lt;&gt;0),(AJ79+AK79+AM79+AN79)/-(AJ80+AK80+AM80+AN80),""),"")</f>
        <v/>
      </c>
      <c r="AO344" s="262" t="str">
        <f>IFERROR(IF(AND(COUNT(AK79,AM79,AN79,AO79)=4,(AK80+AM80+AN80+AO80)&lt;&gt;0),(AK79+AM79+AN79+AO79)/-(AK80+AM80+AN80+AO80),""),"")</f>
        <v/>
      </c>
      <c r="AP344" s="262" t="str">
        <f>IFERROR(IF(AND(COUNT(AM79,AN79,AO79,AP79)=4,(AM80+AN80+AO80+AP80)&lt;&gt;0),(AM79+AN79+AO79+AP79)/-(AM80+AN80+AO80+AP80),""),"")</f>
        <v/>
      </c>
      <c r="AQ344" s="262" t="str">
        <f>IFERROR(IF(AND(COUNT(AM79,AN79,AO79,AP79)=4,(AM80+AN80+AO80+AP80)&lt;&gt;0),(AM79+AN79+AO79+AP79)/-(AM80+AN80+AO80+AP80),""),"")</f>
        <v/>
      </c>
      <c r="AR344" s="262" t="str">
        <f>IFERROR(IF(AND(COUNT(AN79,AO79,AP79,AR79)=4,(AN80+AO80+AP80+AR80)&lt;&gt;0),(AN79+AO79+AP79+AR79)/-(AN80+AO80+AP80+AR80),""),"")</f>
        <v/>
      </c>
      <c r="AS344" s="262" t="str">
        <f>IFERROR(IF(AND(COUNT(AO79,AP79,AR79,AS79)=4,(AO80+AP80+AR80+AS80)&lt;&gt;0),(AO79+AP79+AR79+AS79)/-(AO80+AP80+AR80+AS80),""),"")</f>
        <v/>
      </c>
      <c r="AT344" s="262" t="str">
        <f>IFERROR(IF(AND(COUNT(AP79,AR79,AS79,AT79)=4,(AP80+AR80+AS80+AT80)&lt;&gt;0),(AP79+AR79+AS79+AT79)/-(AP80+AR80+AS80+AT80),""),"")</f>
        <v/>
      </c>
      <c r="AU344" s="262" t="str">
        <f>IFERROR(IF(AND(COUNT(AR79,AS79,AT79,AU79)=4,(AR80+AS80+AT80+AU80)&lt;&gt;0),(AR79+AS79+AT79+AU79)/-(AR80+AS80+AT80+AU80),""),"")</f>
        <v/>
      </c>
      <c r="AV344" s="262" t="str">
        <f>IFERROR(IF(AND(COUNT(AR79,AS79,AT79,AU79)=4,(AR80+AS80+AT80+AU80)&lt;&gt;0),(AR79+AS79+AT79+AU79)/-(AR80+AS80+AT80+AU80),""),"")</f>
        <v/>
      </c>
      <c r="AW344" s="262" t="str">
        <f>IFERROR(IF(AND(COUNT(AS79,AT79,AU79,AW79)=4,(AS80+AT80+AU80+AW80)&lt;&gt;0),(AS79+AT79+AU79+AW79)/-(AS80+AT80+AU80+AW80),""),"")</f>
        <v/>
      </c>
      <c r="AX344" s="262" t="str">
        <f>IFERROR(IF(AND(COUNT(AT79,AU79,AW79,AX79)=4,(AT80+AU80+AW80+AX80)&lt;&gt;0),(AT79+AU79+AW79+AX79)/-(AT80+AU80+AW80+AX80),""),"")</f>
        <v/>
      </c>
      <c r="AY344" s="262" t="str">
        <f>IFERROR(IF(AND(COUNT(AU79,AW79,AX79,AY79)=4,(AU80+AW80+AX80+AY80)&lt;&gt;0),(AU79+AW79+AX79+AY79)/-(AU80+AW80+AX80+AY80),""),"")</f>
        <v/>
      </c>
      <c r="AZ344" s="262" t="str">
        <f>IFERROR(IF(AND(COUNT(AW79,AX79,AY79,AZ79)=4,(AW80+AX80+AY80+AZ80)&lt;&gt;0),(AW79+AX79+AY79+AZ79)/-(AW80+AX80+AY80+AZ80),""),"")</f>
        <v/>
      </c>
      <c r="BA344" s="262" t="str">
        <f>IFERROR(IF(AND(COUNT(AW79,AX79,AY79,AZ79)=4,(AW80+AX80+AY80+AZ80)&lt;&gt;0),(AW79+AX79+AY79+AZ79)/-(AW80+AX80+AY80+AZ80),""),"")</f>
        <v/>
      </c>
      <c r="BB344" s="262" t="str">
        <f>IFERROR(IF(AND(COUNT(AX79,AY79,AZ79,BB79)=4,(AX80+AY80+AZ80+BB80)&lt;&gt;0),(AX79+AY79+AZ79+BB79)/-(AX80+AY80+AZ80+BB80),""),"")</f>
        <v/>
      </c>
      <c r="BC344" s="262" t="str">
        <f>IFERROR(IF(AND(COUNT(AY79,AZ79,BB79,BC79)=4,(AY80+AZ80+BB80+BC80)&lt;&gt;0),(AY79+AZ79+BB79+BC79)/-(AY80+AZ80+BB80+BC80),""),"")</f>
        <v/>
      </c>
      <c r="BD344" s="262" t="str">
        <f>IFERROR(IF(AND(COUNT(AZ79,BB79,BC79,BD79)=4,(AZ80+BB80+BC80+BD80)&lt;&gt;0),(AZ79+BB79+BC79+BD79)/-(AZ80+BB80+BC80+BD80),""),"")</f>
        <v/>
      </c>
      <c r="BE344" s="262" t="str">
        <f>IFERROR(IF(AND(COUNT(BB79,BC79,BD79,BE79)=4,(BB80+BC80+BD80+BE80)&lt;&gt;0),(BB79+BC79+BD79+BE79)/-(BB80+BC80+BD80+BE80),""),"")</f>
        <v/>
      </c>
      <c r="BF344" s="262" t="str">
        <f>IFERROR(IF(AND(COUNT(BB79,BC79,BD79,BE79)=4,(BB80+BC80+BD80+BE80)&lt;&gt;0),(BB79+BC79+BD79+BE79)/-(BB80+BC80+BD80+BE80),""),"")</f>
        <v/>
      </c>
      <c r="BG344" s="82" t="n"/>
      <c r="BH344" s="82" t="n"/>
      <c r="BI344" s="82" t="n"/>
      <c r="BJ344" s="82" t="n"/>
      <c r="BL344" s="82" t="n"/>
      <c r="BM344" s="82" t="n"/>
      <c r="BN344" s="82" t="n"/>
      <c r="BO344" s="82" t="n"/>
      <c r="BQ344" s="82" t="n"/>
      <c r="BR344" s="82" t="n"/>
      <c r="BS344" s="82" t="n"/>
      <c r="BT344" s="82" t="n"/>
      <c r="BV344" s="82" t="n"/>
      <c r="BW344" s="82" t="n"/>
      <c r="BX344" s="82" t="n"/>
      <c r="BY344" s="82" t="n"/>
      <c r="CA344" s="82" t="n"/>
      <c r="CB344" s="82" t="n"/>
      <c r="CC344" s="82" t="n"/>
      <c r="CD344" s="82" t="n"/>
      <c r="CF344" s="82" t="n"/>
      <c r="CG344" s="82" t="n"/>
      <c r="CH344" s="82" t="n"/>
      <c r="CI344" s="82" t="n"/>
      <c r="CK344" s="82" t="n"/>
      <c r="CL344" s="82" t="n"/>
      <c r="CM344" s="82" t="n"/>
      <c r="CN344" s="82" t="n"/>
      <c r="CP344" s="82" t="n"/>
      <c r="CQ344" s="82" t="n"/>
      <c r="CR344" s="82" t="n"/>
      <c r="CS344" s="82" t="n"/>
      <c r="CU344" s="82" t="n"/>
      <c r="CV344" s="82" t="n"/>
      <c r="CW344" s="82" t="n"/>
      <c r="CX344" s="82" t="n"/>
    </row>
    <row r="345" customFormat="1" s="77">
      <c r="A345" s="76" t="n"/>
      <c r="B345" s="76" t="n"/>
    </row>
    <row r="346" customFormat="1" s="77">
      <c r="A346" s="76" t="n"/>
      <c r="B346" s="76" t="n"/>
      <c r="C346" s="74" t="inlineStr">
        <is>
          <t>INTERNAL LIQUIDITY</t>
        </is>
      </c>
    </row>
    <row r="347" customFormat="1" s="77">
      <c r="A347" s="76" t="n"/>
      <c r="B347" s="76" t="n"/>
      <c r="C347" s="77" t="inlineStr">
        <is>
          <t>CURRENT RATIO</t>
        </is>
      </c>
      <c r="D347" s="82" t="str">
        <f>IFERROR(SUM(D150,D151,D155,D159,D160,D161)/SUM(D204,D208,D210,D211),"")</f>
        <v/>
      </c>
      <c r="E347" s="82" t="str">
        <f>IFERROR(SUM(E150,E151,E155,E159,E160,E161)/SUM(E204,E208,E210,E211),"")</f>
        <v/>
      </c>
      <c r="F347" s="82" t="str">
        <f>IFERROR(SUM(F150,F151,F155,F159,F160,F161)/SUM(F204,F208,F210,F211),"")</f>
        <v/>
      </c>
      <c r="G347" s="82" t="str">
        <f>IFERROR(SUM(G150,G151,G155,G159,G160,G161)/SUM(G204,G208,G210,G211),"")</f>
        <v/>
      </c>
      <c r="H347" s="262" t="str">
        <f>IFERROR(IF((N(H204)+N(H208)+N(H210)+N(H211)+N(H218)+N(H219)+N(H220))&lt;&gt;0,(N(H150)+(N(H151)+N(H155)+N(H159)+N(H160)+N(H161)))/(N(H204)+N(H208)+N(H210)+N(H211)+N(H218)+N(H219)+N(H220)),""),"")</f>
        <v/>
      </c>
      <c r="I347" s="262">
        <f>IFERROR(IF((N(I204)+N(I208)+N(I210)+N(I211)+N(I218)+N(I219)+N(I220))&lt;&gt;0,(N(I150)+(N(I151)+N(I155)+N(I159)+N(I160)+N(I161)))/(N(I204)+N(I208)+N(I210)+N(I211)+N(I218)+N(I219)+N(I220)),""),"")</f>
        <v>2.83797530864198</v>
      </c>
      <c r="J347" s="262">
        <f>IFERROR(IF((N(J204)+N(J208)+N(J210)+N(J211)+N(J218)+N(J219)+N(J220))&lt;&gt;0,(N(J150)+(N(J151)+N(J155)+N(J159)+N(J160)+N(J161)))/(N(J204)+N(J208)+N(J210)+N(J211)+N(J218)+N(J219)+N(J220)),""),"")</f>
        <v>2.86388842906804</v>
      </c>
      <c r="K347" s="262">
        <f>IFERROR(IF((N(K204)+N(K208)+N(K210)+N(K211)+N(K218)+N(K219)+N(K220))&lt;&gt;0,(N(K150)+(N(K151)+N(K155)+N(K159)+N(K160)+N(K161)))/(N(K204)+N(K208)+N(K210)+N(K211)+N(K218)+N(K219)+N(K220)),""),"")</f>
        <v>2.62268648953231</v>
      </c>
      <c r="L347" s="262">
        <f>IFERROR(IF((N(L204)+N(L208)+N(L210)+N(L211)+N(L218)+N(L219)+N(L220))&lt;&gt;0,(N(L150)+(N(L151)+N(L155)+N(L159)+N(L160)+N(L161)))/(N(L204)+N(L208)+N(L210)+N(L211)+N(L218)+N(L219)+N(L220)),""),"")</f>
        <v>2.34855145384249</v>
      </c>
      <c r="M347" s="262">
        <f>IFERROR(IF((N(M204)+N(M208)+N(M210)+N(M211)+N(M218)+N(M219)+N(M220))&lt;&gt;0,(N(M150)+(N(M151)+N(M155)+N(M159)+N(M160)+N(M161)))/(N(M204)+N(M208)+N(M210)+N(M211)+N(M218)+N(M219)+N(M220)),""),"")</f>
        <v>2.34855145384249</v>
      </c>
      <c r="N347" s="262">
        <f>IFERROR(IF((N(N204)+N(N208)+N(N210)+N(N211)+N(N218)+N(N219)+N(N220))&lt;&gt;0,(N(N150)+(N(N151)+N(N155)+N(N159)+N(N160)+N(N161)))/(N(N204)+N(N208)+N(N210)+N(N211)+N(N218)+N(N219)+N(N220)),""),"")</f>
        <v>2.14966639466231</v>
      </c>
      <c r="O347" s="262">
        <f>IFERROR(IF((N(O204)+N(O208)+N(O210)+N(O211)+N(O218)+N(O219)+N(O220))&lt;&gt;0,(N(O150)+(N(O151)+N(O155)+N(O159)+N(O160)+N(O161)))/(N(O204)+N(O208)+N(O210)+N(O211)+N(O218)+N(O219)+N(O220)),""),"")</f>
        <v>2.27640818000103</v>
      </c>
      <c r="P347" s="262">
        <f>IFERROR(IF((N(P204)+N(P208)+N(P210)+N(P211)+N(P218)+N(P219)+N(P220))&lt;&gt;0,(N(P150)+(N(P151)+N(P155)+N(P159)+N(P160)+N(P161)))/(N(P204)+N(P208)+N(P210)+N(P211)+N(P218)+N(P219)+N(P220)),""),"")</f>
        <v>0.949740084436658</v>
      </c>
      <c r="Q347" s="262">
        <f>IFERROR(IF((N(Q204)+N(Q208)+N(Q210)+N(Q211)+N(Q218)+N(Q219)+N(Q220))&lt;&gt;0,(N(Q150)+(N(Q151)+N(Q155)+N(Q159)+N(Q160)+N(Q161)))/(N(Q204)+N(Q208)+N(Q210)+N(Q211)+N(Q218)+N(Q219)+N(Q220)),""),"")</f>
        <v>1.09392754371726</v>
      </c>
      <c r="R347" s="262">
        <f>IFERROR(IF((N(R204)+N(R208)+N(R210)+N(R211)+N(R218)+N(R219)+N(R220))&lt;&gt;0,(N(R150)+(N(R151)+N(R155)+N(R159)+N(R160)+N(R161)))/(N(R204)+N(R208)+N(R210)+N(R211)+N(R218)+N(R219)+N(R220)),""),"")</f>
        <v>1.09392754371726</v>
      </c>
      <c r="S347" s="262">
        <f>IFERROR(IF((N(S204)+N(S208)+N(S210)+N(S211)+N(S218)+N(S219)+N(S220))&lt;&gt;0,(N(S150)+(N(S151)+N(S155)+N(S159)+N(S160)+N(S161)))/(N(S204)+N(S208)+N(S210)+N(S211)+N(S218)+N(S219)+N(S220)),""),"")</f>
        <v>1.34829545454545</v>
      </c>
      <c r="T347" s="262">
        <f>IFERROR(IF((N(T204)+N(T208)+N(T210)+N(T211)+N(T218)+N(T219)+N(T220))&lt;&gt;0,(N(T150)+(N(T151)+N(T155)+N(T159)+N(T160)+N(T161)))/(N(T204)+N(T208)+N(T210)+N(T211)+N(T218)+N(T219)+N(T220)),""),"")</f>
        <v>1.43915114768298</v>
      </c>
      <c r="U347" s="262">
        <f>IFERROR(IF((N(U204)+N(U208)+N(U210)+N(U211)+N(U218)+N(U219)+N(U220))&lt;&gt;0,(N(U150)+(N(U151)+N(U155)+N(U159)+N(U160)+N(U161)))/(N(U204)+N(U208)+N(U210)+N(U211)+N(U218)+N(U219)+N(U220)),""),"")</f>
        <v>1.35698229285799</v>
      </c>
      <c r="V347" s="262">
        <f>IFERROR(IF((N(V204)+N(V208)+N(V210)+N(V211)+N(V218)+N(V219)+N(V220))&lt;&gt;0,(N(V150)+(N(V151)+N(V155)+N(V159)+N(V160)+N(V161)))/(N(V204)+N(V208)+N(V210)+N(V211)+N(V218)+N(V219)+N(V220)),""),"")</f>
        <v>1.31302495185807</v>
      </c>
      <c r="W347" s="262">
        <f>IFERROR(IF((N(W204)+N(W208)+N(W210)+N(W211)+N(W218)+N(W219)+N(W220))&lt;&gt;0,(N(W150)+(N(W151)+N(W155)+N(W159)+N(W160)+N(W161)))/(N(W204)+N(W208)+N(W210)+N(W211)+N(W218)+N(W219)+N(W220)),""),"")</f>
        <v>1.31302495185807</v>
      </c>
      <c r="X347" s="262">
        <f>IFERROR(IF((N(X204)+N(X208)+N(X210)+N(X211)+N(X218)+N(X219)+N(X220))&lt;&gt;0,(N(X150)+(N(X151)+N(X155)+N(X159)+N(X160)+N(X161)))/(N(X204)+N(X208)+N(X210)+N(X211)+N(X218)+N(X219)+N(X220)),""),"")</f>
        <v>1.35627888286116</v>
      </c>
      <c r="Y347" s="262">
        <f>IFERROR(IF((N(Y204)+N(Y208)+N(Y210)+N(Y211)+N(Y218)+N(Y219)+N(Y220))&lt;&gt;0,(N(Y150)+(N(Y151)+N(Y155)+N(Y159)+N(Y160)+N(Y161)))/(N(Y204)+N(Y208)+N(Y210)+N(Y211)+N(Y218)+N(Y219)+N(Y220)),""),"")</f>
        <v>1.10407684504185</v>
      </c>
      <c r="Z347" s="262">
        <f>IFERROR(IF((N(Z204)+N(Z208)+N(Z210)+N(Z211)+N(Z218)+N(Z219)+N(Z220))&lt;&gt;0,(N(Z150)+(N(Z151)+N(Z155)+N(Z159)+N(Z160)+N(Z161)))/(N(Z204)+N(Z208)+N(Z210)+N(Z211)+N(Z218)+N(Z219)+N(Z220)),""),"")</f>
        <v>1.10129505383055</v>
      </c>
      <c r="AA347" s="262">
        <f>IFERROR(IF((N(AA204)+N(AA208)+N(AA210)+N(AA211)+N(AA218)+N(AA219)+N(AA220))&lt;&gt;0,(N(AA150)+(N(AA151)+N(AA155)+N(AA159)+N(AA160)+N(AA161)))/(N(AA204)+N(AA208)+N(AA210)+N(AA211)+N(AA218)+N(AA219)+N(AA220)),""),"")</f>
        <v>1.22149938042131</v>
      </c>
      <c r="AB347" s="262">
        <f>IFERROR(IF((N(AB204)+N(AB208)+N(AB210)+N(AB211)+N(AB218)+N(AB219)+N(AB220))&lt;&gt;0,(N(AB150)+(N(AB151)+N(AB155)+N(AB159)+N(AB160)+N(AB161)))/(N(AB204)+N(AB208)+N(AB210)+N(AB211)+N(AB218)+N(AB219)+N(AB220)),""),"")</f>
        <v>1.22149938042131</v>
      </c>
      <c r="AC347" s="262">
        <f>IFERROR(IF((N(AC204)+N(AC208)+N(AC210)+N(AC211)+N(AC218)+N(AC219)+N(AC220))&lt;&gt;0,(N(AC150)+(N(AC151)+N(AC155)+N(AC159)+N(AC160)+N(AC161)))/(N(AC204)+N(AC208)+N(AC210)+N(AC211)+N(AC218)+N(AC219)+N(AC220)),""),"")</f>
        <v>1.41494784458022</v>
      </c>
      <c r="AD347" s="262">
        <f>IFERROR(IF((N(AD204)+N(AD208)+N(AD210)+N(AD211)+N(AD218)+N(AD219)+N(AD220))&lt;&gt;0,(N(AD150)+(N(AD151)+N(AD155)+N(AD159)+N(AD160)+N(AD161)))/(N(AD204)+N(AD208)+N(AD210)+N(AD211)+N(AD218)+N(AD219)+N(AD220)),""),"")</f>
        <v>1.11680911680912</v>
      </c>
      <c r="AE347" s="262">
        <f>IFERROR(IF((N(AE204)+N(AE208)+N(AE210)+N(AE211)+N(AE218)+N(AE219)+N(AE220))&lt;&gt;0,(N(AE150)+(N(AE151)+N(AE155)+N(AE159)+N(AE160)+N(AE161)))/(N(AE204)+N(AE208)+N(AE210)+N(AE211)+N(AE218)+N(AE219)+N(AE220)),""),"")</f>
        <v>0.912073030044641</v>
      </c>
      <c r="AF347" s="262">
        <f>IFERROR(IF((N(AF204)+N(AF208)+N(AF210)+N(AF211)+N(AF218)+N(AF219)+N(AF220))&lt;&gt;0,(N(AF150)+(N(AF151)+N(AF155)+N(AF159)+N(AF160)+N(AF161)))/(N(AF204)+N(AF208)+N(AF210)+N(AF211)+N(AF218)+N(AF219)+N(AF220)),""),"")</f>
        <v>1.21436697975923</v>
      </c>
      <c r="AG347" s="262">
        <f>IFERROR(IF((N(AG204)+N(AG208)+N(AG210)+N(AG211)+N(AG218)+N(AG219)+N(AG220))&lt;&gt;0,(N(AG150)+(N(AG151)+N(AG155)+N(AG159)+N(AG160)+N(AG161)))/(N(AG204)+N(AG208)+N(AG210)+N(AG211)+N(AG218)+N(AG219)+N(AG220)),""),"")</f>
        <v>1.21436697975923</v>
      </c>
      <c r="AH347" s="262">
        <f>IFERROR(IF((N(AH204)+N(AH208)+N(AH210)+N(AH211)+N(AH218)+N(AH219)+N(AH220))&lt;&gt;0,(N(AH150)+(N(AH151)+N(AH155)+N(AH159)+N(AH160)+N(AH161)))/(N(AH204)+N(AH208)+N(AH210)+N(AH211)+N(AH218)+N(AH219)+N(AH220)),""),"")</f>
        <v>1.62589292289565</v>
      </c>
      <c r="AI347" s="262">
        <f>IFERROR(IF((N(AI204)+N(AI208)+N(AI210)+N(AI211)+N(AI218)+N(AI219)+N(AI220))&lt;&gt;0,(N(AI150)+(N(AI151)+N(AI155)+N(AI159)+N(AI160)+N(AI161)))/(N(AI204)+N(AI208)+N(AI210)+N(AI211)+N(AI218)+N(AI219)+N(AI220)),""),"")</f>
        <v>1.39134182549564</v>
      </c>
      <c r="AJ347" s="262">
        <f>IFERROR(IF((N(AJ204)+N(AJ208)+N(AJ210)+N(AJ211)+N(AJ218)+N(AJ219)+N(AJ220))&lt;&gt;0,(N(AJ150)+(N(AJ151)+N(AJ155)+N(AJ159)+N(AJ160)+N(AJ161)))/(N(AJ204)+N(AJ208)+N(AJ210)+N(AJ211)+N(AJ218)+N(AJ219)+N(AJ220)),""),"")</f>
        <v>1.21797885736001</v>
      </c>
      <c r="AK347" s="262">
        <f>IFERROR(IF((N(AK204)+N(AK208)+N(AK210)+N(AK211)+N(AK218)+N(AK219)+N(AK220))&lt;&gt;0,(N(AK150)+(N(AK151)+N(AK155)+N(AK159)+N(AK160)+N(AK161)))/(N(AK204)+N(AK208)+N(AK210)+N(AK211)+N(AK218)+N(AK219)+N(AK220)),""),"")</f>
        <v>1.00004173746229</v>
      </c>
      <c r="AL347" s="262">
        <f>IFERROR(IF((N(AL204)+N(AL208)+N(AL210)+N(AL211)+N(AL218)+N(AL219)+N(AL220))&lt;&gt;0,(N(AL150)+(N(AL151)+N(AL155)+N(AL159)+N(AL160)+N(AL161)))/(N(AL204)+N(AL208)+N(AL210)+N(AL211)+N(AL218)+N(AL219)+N(AL220)),""),"")</f>
        <v>1.00004173746229</v>
      </c>
      <c r="AM347" s="262">
        <f>IFERROR(IF((N(AM204)+N(AM208)+N(AM210)+N(AM211)+N(AM218)+N(AM219)+N(AM220))&lt;&gt;0,(N(AM150)+(N(AM151)+N(AM155)+N(AM159)+N(AM160)+N(AM161)))/(N(AM204)+N(AM208)+N(AM210)+N(AM211)+N(AM218)+N(AM219)+N(AM220)),""),"")</f>
        <v>0.779028335853978</v>
      </c>
      <c r="AN347" s="262">
        <f>IFERROR(IF((N(AN204)+N(AN208)+N(AN210)+N(AN211)+N(AN218)+N(AN219)+N(AN220))&lt;&gt;0,(N(AN150)+(N(AN151)+N(AN155)+N(AN159)+N(AN160)+N(AN161)))/(N(AN204)+N(AN208)+N(AN210)+N(AN211)+N(AN218)+N(AN219)+N(AN220)),""),"")</f>
        <v>0.548095899017455</v>
      </c>
      <c r="AO347" s="262">
        <f>IFERROR(IF((N(AO204)+N(AO208)+N(AO210)+N(AO211)+N(AO218)+N(AO219)+N(AO220))&lt;&gt;0,(N(AO150)+(N(AO151)+N(AO155)+N(AO159)+N(AO160)+N(AO161)))/(N(AO204)+N(AO208)+N(AO210)+N(AO211)+N(AO218)+N(AO219)+N(AO220)),""),"")</f>
        <v>0.325505076276652</v>
      </c>
      <c r="AP347" s="262">
        <f>IFERROR(IF((N(AP204)+N(AP208)+N(AP210)+N(AP211)+N(AP218)+N(AP219)+N(AP220))&lt;&gt;0,(N(AP150)+(N(AP151)+N(AP155)+N(AP159)+N(AP160)+N(AP161)))/(N(AP204)+N(AP208)+N(AP210)+N(AP211)+N(AP218)+N(AP219)+N(AP220)),""),"")</f>
        <v>0.121024963564407</v>
      </c>
      <c r="AQ347" s="262">
        <f>IFERROR(IF((N(AQ204)+N(AQ208)+N(AQ210)+N(AQ211)+N(AQ218)+N(AQ219)+N(AQ220))&lt;&gt;0,(N(AQ150)+(N(AQ151)+N(AQ155)+N(AQ159)+N(AQ160)+N(AQ161)))/(N(AQ204)+N(AQ208)+N(AQ210)+N(AQ211)+N(AQ218)+N(AQ219)+N(AQ220)),""),"")</f>
        <v>0.121024963564407</v>
      </c>
      <c r="AR347" s="262">
        <f>IFERROR(IF((N(AR204)+N(AR208)+N(AR210)+N(AR211)+N(AR218)+N(AR219)+N(AR220))&lt;&gt;0,(N(AR150)+(N(AR151)+N(AR155)+N(AR159)+N(AR160)+N(AR161)))/(N(AR204)+N(AR208)+N(AR210)+N(AR211)+N(AR218)+N(AR219)+N(AR220)),""),"")</f>
        <v>-0.0826064680124798</v>
      </c>
      <c r="AS347" s="262">
        <f>IFERROR(IF((N(AS204)+N(AS208)+N(AS210)+N(AS211)+N(AS218)+N(AS219)+N(AS220))&lt;&gt;0,(N(AS150)+(N(AS151)+N(AS155)+N(AS159)+N(AS160)+N(AS161)))/(N(AS204)+N(AS208)+N(AS210)+N(AS211)+N(AS218)+N(AS219)+N(AS220)),""),"")</f>
        <v>-0.284251835935555</v>
      </c>
      <c r="AT347" s="262">
        <f>IFERROR(IF((N(AT204)+N(AT208)+N(AT210)+N(AT211)+N(AT218)+N(AT219)+N(AT220))&lt;&gt;0,(N(AT150)+(N(AT151)+N(AT155)+N(AT159)+N(AT160)+N(AT161)))/(N(AT204)+N(AT208)+N(AT210)+N(AT211)+N(AT218)+N(AT219)+N(AT220)),""),"")</f>
        <v>-0.520292449737937</v>
      </c>
      <c r="AU347" s="262">
        <f>IFERROR(IF((N(AU204)+N(AU208)+N(AU210)+N(AU211)+N(AU218)+N(AU219)+N(AU220))&lt;&gt;0,(N(AU150)+(N(AU151)+N(AU155)+N(AU159)+N(AU160)+N(AU161)))/(N(AU204)+N(AU208)+N(AU210)+N(AU211)+N(AU218)+N(AU219)+N(AU220)),""),"")</f>
        <v>-0.694123455530717</v>
      </c>
      <c r="AV347" s="262">
        <f>IFERROR(IF((N(AV204)+N(AV208)+N(AV210)+N(AV211)+N(AV218)+N(AV219)+N(AV220))&lt;&gt;0,(N(AV150)+(N(AV151)+N(AV155)+N(AV159)+N(AV160)+N(AV161)))/(N(AV204)+N(AV208)+N(AV210)+N(AV211)+N(AV218)+N(AV219)+N(AV220)),""),"")</f>
        <v>-0.694123455530717</v>
      </c>
      <c r="AW347" s="262">
        <f>IFERROR(IF((N(AW204)+N(AW208)+N(AW210)+N(AW211)+N(AW218)+N(AW219)+N(AW220))&lt;&gt;0,(N(AW150)+(N(AW151)+N(AW155)+N(AW159)+N(AW160)+N(AW161)))/(N(AW204)+N(AW208)+N(AW210)+N(AW211)+N(AW218)+N(AW219)+N(AW220)),""),"")</f>
        <v>-0.859451271829327</v>
      </c>
      <c r="AX347" s="262">
        <f>IFERROR(IF((N(AX204)+N(AX208)+N(AX210)+N(AX211)+N(AX218)+N(AX219)+N(AX220))&lt;&gt;0,(N(AX150)+(N(AX151)+N(AX155)+N(AX159)+N(AX160)+N(AX161)))/(N(AX204)+N(AX208)+N(AX210)+N(AX211)+N(AX218)+N(AX219)+N(AX220)),""),"")</f>
        <v>-1.02029142062428</v>
      </c>
      <c r="AY347" s="262">
        <f>IFERROR(IF((N(AY204)+N(AY208)+N(AY210)+N(AY211)+N(AY218)+N(AY219)+N(AY220))&lt;&gt;0,(N(AY150)+(N(AY151)+N(AY155)+N(AY159)+N(AY160)+N(AY161)))/(N(AY204)+N(AY208)+N(AY210)+N(AY211)+N(AY218)+N(AY219)+N(AY220)),""),"")</f>
        <v>-1.2471711073499</v>
      </c>
      <c r="AZ347" s="262">
        <f>IFERROR(IF((N(AZ204)+N(AZ208)+N(AZ210)+N(AZ211)+N(AZ218)+N(AZ219)+N(AZ220))&lt;&gt;0,(N(AZ150)+(N(AZ151)+N(AZ155)+N(AZ159)+N(AZ160)+N(AZ161)))/(N(AZ204)+N(AZ208)+N(AZ210)+N(AZ211)+N(AZ218)+N(AZ219)+N(AZ220)),""),"")</f>
        <v>-1.37273677295562</v>
      </c>
      <c r="BA347" s="262">
        <f>IFERROR(IF((N(BA204)+N(BA208)+N(BA210)+N(BA211)+N(BA218)+N(BA219)+N(BA220))&lt;&gt;0,(N(BA150)+(N(BA151)+N(BA155)+N(BA159)+N(BA160)+N(BA161)))/(N(BA204)+N(BA208)+N(BA210)+N(BA211)+N(BA218)+N(BA219)+N(BA220)),""),"")</f>
        <v>-1.37273677295562</v>
      </c>
      <c r="BB347" s="262">
        <f>IFERROR(IF((N(BB204)+N(BB208)+N(BB210)+N(BB211)+N(BB218)+N(BB219)+N(BB220))&lt;&gt;0,(N(BB150)+(N(BB151)+N(BB155)+N(BB159)+N(BB160)+N(BB161)))/(N(BB204)+N(BB208)+N(BB210)+N(BB211)+N(BB218)+N(BB219)+N(BB220)),""),"")</f>
        <v>-1.4880555644946</v>
      </c>
      <c r="BC347" s="262">
        <f>IFERROR(IF((N(BC204)+N(BC208)+N(BC210)+N(BC211)+N(BC218)+N(BC219)+N(BC220))&lt;&gt;0,(N(BC150)+(N(BC151)+N(BC155)+N(BC159)+N(BC160)+N(BC161)))/(N(BC204)+N(BC208)+N(BC210)+N(BC211)+N(BC218)+N(BC219)+N(BC220)),""),"")</f>
        <v>-1.59127413832702</v>
      </c>
      <c r="BD347" s="262">
        <f>IFERROR(IF((N(BD204)+N(BD208)+N(BD210)+N(BD211)+N(BD218)+N(BD219)+N(BD220))&lt;&gt;0,(N(BD150)+(N(BD151)+N(BD155)+N(BD159)+N(BD160)+N(BD161)))/(N(BD204)+N(BD208)+N(BD210)+N(BD211)+N(BD218)+N(BD219)+N(BD220)),""),"")</f>
        <v>-1.78284981891447</v>
      </c>
      <c r="BE347" s="262">
        <f>IFERROR(IF((N(BE204)+N(BE208)+N(BE210)+N(BE211)+N(BE218)+N(BE219)+N(BE220))&lt;&gt;0,(N(BE150)+(N(BE151)+N(BE155)+N(BE159)+N(BE160)+N(BE161)))/(N(BE204)+N(BE208)+N(BE210)+N(BE211)+N(BE218)+N(BE219)+N(BE220)),""),"")</f>
        <v>-1.84791281767528</v>
      </c>
      <c r="BF347" s="262">
        <f>IFERROR(IF((N(BF204)+N(BF208)+N(BF210)+N(BF211)+N(BF218)+N(BF219)+N(BF220))&lt;&gt;0,(N(BF150)+(N(BF151)+N(BF155)+N(BF159)+N(BF160)+N(BF161)))/(N(BF204)+N(BF208)+N(BF210)+N(BF211)+N(BF218)+N(BF219)+N(BF220)),""),"")</f>
        <v>-1.84791281767528</v>
      </c>
      <c r="BG347" s="82" t="n"/>
      <c r="BH347" s="82" t="n"/>
      <c r="BI347" s="82" t="n"/>
      <c r="BJ347" s="82" t="n"/>
      <c r="BL347" s="82" t="n"/>
      <c r="BM347" s="82" t="n"/>
      <c r="BN347" s="82" t="n"/>
      <c r="BO347" s="82" t="n"/>
      <c r="BQ347" s="82" t="n"/>
      <c r="BR347" s="82" t="n"/>
      <c r="BS347" s="82" t="n"/>
      <c r="BT347" s="82" t="n"/>
      <c r="BV347" s="82" t="n"/>
      <c r="BW347" s="82" t="n"/>
      <c r="BX347" s="82" t="n"/>
      <c r="BY347" s="82" t="n"/>
      <c r="CA347" s="82" t="n"/>
      <c r="CB347" s="82" t="n"/>
      <c r="CC347" s="82" t="n"/>
      <c r="CD347" s="82" t="n"/>
      <c r="CF347" s="82" t="n"/>
      <c r="CG347" s="82" t="n"/>
      <c r="CH347" s="82" t="n"/>
      <c r="CI347" s="82" t="n"/>
      <c r="CK347" s="82" t="n"/>
      <c r="CL347" s="82" t="n"/>
      <c r="CM347" s="82" t="n"/>
      <c r="CN347" s="82" t="n"/>
      <c r="CP347" s="82" t="n"/>
      <c r="CQ347" s="82" t="n"/>
      <c r="CR347" s="82" t="n"/>
      <c r="CS347" s="82" t="n"/>
      <c r="CU347" s="82" t="n"/>
      <c r="CV347" s="82" t="n"/>
      <c r="CW347" s="82" t="n"/>
      <c r="CX347" s="82" t="n"/>
    </row>
    <row r="348" customFormat="1" s="77">
      <c r="A348" s="76" t="n"/>
      <c r="B348" s="76" t="n"/>
      <c r="C348" s="77" t="inlineStr">
        <is>
          <t>CASH RATIO</t>
        </is>
      </c>
      <c r="D348" s="82" t="str">
        <f>IFERROR(SUM(D150)/SUM(D204,D208,D210,D211),"")</f>
        <v/>
      </c>
      <c r="E348" s="82" t="str">
        <f>IFERROR(SUM(E150)/SUM(E204,E208,E210,E211),"")</f>
        <v/>
      </c>
      <c r="F348" s="82" t="str">
        <f>IFERROR(SUM(F150)/SUM(F204,F208,F210,F211),"")</f>
        <v/>
      </c>
      <c r="G348" s="82" t="str">
        <f>IFERROR(SUM(G150)/SUM(G204,G208,G210,G211),"")</f>
        <v/>
      </c>
      <c r="H348" s="262" t="str">
        <f>IFERROR(IF((N(H204)+N(H208)+N(H210)+N(H211)+N(H218)+N(H219)+N(H220))&lt;&gt;0,N(H150)/(N(H204)+N(H208)+N(H210)+N(H211)+N(H218)+N(H219)+N(H220)),""),"")</f>
        <v/>
      </c>
      <c r="I348" s="262">
        <f>IFERROR(IF((N(I204)+N(I208)+N(I210)+N(I211)+N(I218)+N(I219)+N(I220))&lt;&gt;0,N(I150)/(N(I204)+N(I208)+N(I210)+N(I211)+N(I218)+N(I219)+N(I220)),""),"")</f>
        <v>1.77106172839506</v>
      </c>
      <c r="J348" s="262">
        <f>IFERROR(IF((N(J204)+N(J208)+N(J210)+N(J211)+N(J218)+N(J219)+N(J220))&lt;&gt;0,N(J150)/(N(J204)+N(J208)+N(J210)+N(J211)+N(J218)+N(J219)+N(J220)),""),"")</f>
        <v>1.92658500248303</v>
      </c>
      <c r="K348" s="262">
        <f>IFERROR(IF((N(K204)+N(K208)+N(K210)+N(K211)+N(K218)+N(K219)+N(K220))&lt;&gt;0,N(K150)/(N(K204)+N(K208)+N(K210)+N(K211)+N(K218)+N(K219)+N(K220)),""),"")</f>
        <v>1.7038706601361</v>
      </c>
      <c r="L348" s="262">
        <f>IFERROR(IF((N(L204)+N(L208)+N(L210)+N(L211)+N(L218)+N(L219)+N(L220))&lt;&gt;0,N(L150)/(N(L204)+N(L208)+N(L210)+N(L211)+N(L218)+N(L219)+N(L220)),""),"")</f>
        <v>1.20957576399555</v>
      </c>
      <c r="M348" s="262">
        <f>IFERROR(IF((N(M204)+N(M208)+N(M210)+N(M211)+N(M218)+N(M219)+N(M220))&lt;&gt;0,N(M150)/(N(M204)+N(M208)+N(M210)+N(M211)+N(M218)+N(M219)+N(M220)),""),"")</f>
        <v>1.20957576399555</v>
      </c>
      <c r="N348" s="262">
        <f>IFERROR(IF((N(N204)+N(N208)+N(N210)+N(N211)+N(N218)+N(N219)+N(N220))&lt;&gt;0,N(N150)/(N(N204)+N(N208)+N(N210)+N(N211)+N(N218)+N(N219)+N(N220)),""),"")</f>
        <v>1.12268996303941</v>
      </c>
      <c r="O348" s="262">
        <f>IFERROR(IF((N(O204)+N(O208)+N(O210)+N(O211)+N(O218)+N(O219)+N(O220))&lt;&gt;0,N(O150)/(N(O204)+N(O208)+N(O210)+N(O211)+N(O218)+N(O219)+N(O220)),""),"")</f>
        <v>1.12254625595818</v>
      </c>
      <c r="P348" s="262">
        <f>IFERROR(IF((N(P204)+N(P208)+N(P210)+N(P211)+N(P218)+N(P219)+N(P220))&lt;&gt;0,N(P150)/(N(P204)+N(P208)+N(P210)+N(P211)+N(P218)+N(P219)+N(P220)),""),"")</f>
        <v>0.322237858640398</v>
      </c>
      <c r="Q348" s="262">
        <f>IFERROR(IF((N(Q204)+N(Q208)+N(Q210)+N(Q211)+N(Q218)+N(Q219)+N(Q220))&lt;&gt;0,N(Q150)/(N(Q204)+N(Q208)+N(Q210)+N(Q211)+N(Q218)+N(Q219)+N(Q220)),""),"")</f>
        <v>0.271157677267026</v>
      </c>
      <c r="R348" s="262">
        <f>IFERROR(IF((N(R204)+N(R208)+N(R210)+N(R211)+N(R218)+N(R219)+N(R220))&lt;&gt;0,N(R150)/(N(R204)+N(R208)+N(R210)+N(R211)+N(R218)+N(R219)+N(R220)),""),"")</f>
        <v>0.271157677267026</v>
      </c>
      <c r="S348" s="262">
        <f>IFERROR(IF((N(S204)+N(S208)+N(S210)+N(S211)+N(S218)+N(S219)+N(S220))&lt;&gt;0,N(S150)/(N(S204)+N(S208)+N(S210)+N(S211)+N(S218)+N(S219)+N(S220)),""),"")</f>
        <v>0.38326048951049</v>
      </c>
      <c r="T348" s="262">
        <f>IFERROR(IF((N(T204)+N(T208)+N(T210)+N(T211)+N(T218)+N(T219)+N(T220))&lt;&gt;0,N(T150)/(N(T204)+N(T208)+N(T210)+N(T211)+N(T218)+N(T219)+N(T220)),""),"")</f>
        <v>0.441186660892161</v>
      </c>
      <c r="U348" s="262">
        <f>IFERROR(IF((N(U204)+N(U208)+N(U210)+N(U211)+N(U218)+N(U219)+N(U220))&lt;&gt;0,N(U150)/(N(U204)+N(U208)+N(U210)+N(U211)+N(U218)+N(U219)+N(U220)),""),"")</f>
        <v>0.476515360649919</v>
      </c>
      <c r="V348" s="262">
        <f>IFERROR(IF((N(V204)+N(V208)+N(V210)+N(V211)+N(V218)+N(V219)+N(V220))&lt;&gt;0,N(V150)/(N(V204)+N(V208)+N(V210)+N(V211)+N(V218)+N(V219)+N(V220)),""),"")</f>
        <v>0.35604539681239</v>
      </c>
      <c r="W348" s="262">
        <f>IFERROR(IF((N(W204)+N(W208)+N(W210)+N(W211)+N(W218)+N(W219)+N(W220))&lt;&gt;0,N(W150)/(N(W204)+N(W208)+N(W210)+N(W211)+N(W218)+N(W219)+N(W220)),""),"")</f>
        <v>0.35604539681239</v>
      </c>
      <c r="X348" s="262">
        <f>IFERROR(IF((N(X204)+N(X208)+N(X210)+N(X211)+N(X218)+N(X219)+N(X220))&lt;&gt;0,N(X150)/(N(X204)+N(X208)+N(X210)+N(X211)+N(X218)+N(X219)+N(X220)),""),"")</f>
        <v>0.397990757484428</v>
      </c>
      <c r="Y348" s="262">
        <f>IFERROR(IF((N(Y204)+N(Y208)+N(Y210)+N(Y211)+N(Y218)+N(Y219)+N(Y220))&lt;&gt;0,N(Y150)/(N(Y204)+N(Y208)+N(Y210)+N(Y211)+N(Y218)+N(Y219)+N(Y220)),""),"")</f>
        <v>0.337972356074055</v>
      </c>
      <c r="Z348" s="262">
        <f>IFERROR(IF((N(Z204)+N(Z208)+N(Z210)+N(Z211)+N(Z218)+N(Z219)+N(Z220))&lt;&gt;0,N(Z150)/(N(Z204)+N(Z208)+N(Z210)+N(Z211)+N(Z218)+N(Z219)+N(Z220)),""),"")</f>
        <v>0.340489936027461</v>
      </c>
      <c r="AA348" s="262">
        <f>IFERROR(IF((N(AA204)+N(AA208)+N(AA210)+N(AA211)+N(AA218)+N(AA219)+N(AA220))&lt;&gt;0,N(AA150)/(N(AA204)+N(AA208)+N(AA210)+N(AA211)+N(AA218)+N(AA219)+N(AA220)),""),"")</f>
        <v>0.38933636238469</v>
      </c>
      <c r="AB348" s="262">
        <f>IFERROR(IF((N(AB204)+N(AB208)+N(AB210)+N(AB211)+N(AB218)+N(AB219)+N(AB220))&lt;&gt;0,N(AB150)/(N(AB204)+N(AB208)+N(AB210)+N(AB211)+N(AB218)+N(AB219)+N(AB220)),""),"")</f>
        <v>0.38933636238469</v>
      </c>
      <c r="AC348" s="262">
        <f>IFERROR(IF((N(AC204)+N(AC208)+N(AC210)+N(AC211)+N(AC218)+N(AC219)+N(AC220))&lt;&gt;0,N(AC150)/(N(AC204)+N(AC208)+N(AC210)+N(AC211)+N(AC218)+N(AC219)+N(AC220)),""),"")</f>
        <v>0.601660871620025</v>
      </c>
      <c r="AD348" s="262">
        <f>IFERROR(IF((N(AD204)+N(AD208)+N(AD210)+N(AD211)+N(AD218)+N(AD219)+N(AD220))&lt;&gt;0,N(AD150)/(N(AD204)+N(AD208)+N(AD210)+N(AD211)+N(AD218)+N(AD219)+N(AD220)),""),"")</f>
        <v>0.343197622767515</v>
      </c>
      <c r="AE348" s="262">
        <f>IFERROR(IF((N(AE204)+N(AE208)+N(AE210)+N(AE211)+N(AE218)+N(AE219)+N(AE220))&lt;&gt;0,N(AE150)/(N(AE204)+N(AE208)+N(AE210)+N(AE211)+N(AE218)+N(AE219)+N(AE220)),""),"")</f>
        <v>0.275994382304258</v>
      </c>
      <c r="AF348" s="262">
        <f>IFERROR(IF((N(AF204)+N(AF208)+N(AF210)+N(AF211)+N(AF218)+N(AF219)+N(AF220))&lt;&gt;0,N(AF150)/(N(AF204)+N(AF208)+N(AF210)+N(AF211)+N(AF218)+N(AF219)+N(AF220)),""),"")</f>
        <v>0.522979230056886</v>
      </c>
      <c r="AG348" s="262">
        <f>IFERROR(IF((N(AG204)+N(AG208)+N(AG210)+N(AG211)+N(AG218)+N(AG219)+N(AG220))&lt;&gt;0,N(AG150)/(N(AG204)+N(AG208)+N(AG210)+N(AG211)+N(AG218)+N(AG219)+N(AG220)),""),"")</f>
        <v>0.522979230056886</v>
      </c>
      <c r="AH348" s="262">
        <f>IFERROR(IF((N(AH204)+N(AH208)+N(AH210)+N(AH211)+N(AH218)+N(AH219)+N(AH220))&lt;&gt;0,N(AH150)/(N(AH204)+N(AH208)+N(AH210)+N(AH211)+N(AH218)+N(AH219)+N(AH220)),""),"")</f>
        <v>0.96060092790338</v>
      </c>
      <c r="AI348" s="262">
        <f>IFERROR(IF((N(AI204)+N(AI208)+N(AI210)+N(AI211)+N(AI218)+N(AI219)+N(AI220))&lt;&gt;0,N(AI150)/(N(AI204)+N(AI208)+N(AI210)+N(AI211)+N(AI218)+N(AI219)+N(AI220)),""),"")</f>
        <v>0.763672062063021</v>
      </c>
      <c r="AJ348" s="262">
        <f>IFERROR(IF((N(AJ204)+N(AJ208)+N(AJ210)+N(AJ211)+N(AJ218)+N(AJ219)+N(AJ220))&lt;&gt;0,N(AJ150)/(N(AJ204)+N(AJ208)+N(AJ210)+N(AJ211)+N(AJ218)+N(AJ219)+N(AJ220)),""),"")</f>
        <v>0.560575772779866</v>
      </c>
      <c r="AK348" s="262">
        <f>IFERROR(IF((N(AK204)+N(AK208)+N(AK210)+N(AK211)+N(AK218)+N(AK219)+N(AK220))&lt;&gt;0,N(AK150)/(N(AK204)+N(AK208)+N(AK210)+N(AK211)+N(AK218)+N(AK219)+N(AK220)),""),"")</f>
        <v>0.339887329607173</v>
      </c>
      <c r="AL348" s="262">
        <f>IFERROR(IF((N(AL204)+N(AL208)+N(AL210)+N(AL211)+N(AL218)+N(AL219)+N(AL220))&lt;&gt;0,N(AL150)/(N(AL204)+N(AL208)+N(AL210)+N(AL211)+N(AL218)+N(AL219)+N(AL220)),""),"")</f>
        <v>0.339887329607173</v>
      </c>
      <c r="AM348" s="262">
        <f>IFERROR(IF((N(AM204)+N(AM208)+N(AM210)+N(AM211)+N(AM218)+N(AM219)+N(AM220))&lt;&gt;0,N(AM150)/(N(AM204)+N(AM208)+N(AM210)+N(AM211)+N(AM218)+N(AM219)+N(AM220)),""),"")</f>
        <v>0.11424697497592</v>
      </c>
      <c r="AN348" s="262">
        <f>IFERROR(IF((N(AN204)+N(AN208)+N(AN210)+N(AN211)+N(AN218)+N(AN219)+N(AN220))&lt;&gt;0,N(AN150)/(N(AN204)+N(AN208)+N(AN210)+N(AN211)+N(AN218)+N(AN219)+N(AN220)),""),"")</f>
        <v>-0.122304591641663</v>
      </c>
      <c r="AO348" s="262">
        <f>IFERROR(IF((N(AO204)+N(AO208)+N(AO210)+N(AO211)+N(AO218)+N(AO219)+N(AO220))&lt;&gt;0,N(AO150)/(N(AO204)+N(AO208)+N(AO210)+N(AO211)+N(AO218)+N(AO219)+N(AO220)),""),"")</f>
        <v>-0.319284969039498</v>
      </c>
      <c r="AP348" s="262">
        <f>IFERROR(IF((N(AP204)+N(AP208)+N(AP210)+N(AP211)+N(AP218)+N(AP219)+N(AP220))&lt;&gt;0,N(AP150)/(N(AP204)+N(AP208)+N(AP210)+N(AP211)+N(AP218)+N(AP219)+N(AP220)),""),"")</f>
        <v>-0.523874859166169</v>
      </c>
      <c r="AQ348" s="262">
        <f>IFERROR(IF((N(AQ204)+N(AQ208)+N(AQ210)+N(AQ211)+N(AQ218)+N(AQ219)+N(AQ220))&lt;&gt;0,N(AQ150)/(N(AQ204)+N(AQ208)+N(AQ210)+N(AQ211)+N(AQ218)+N(AQ219)+N(AQ220)),""),"")</f>
        <v>-0.523874859166169</v>
      </c>
      <c r="AR348" s="262">
        <f>IFERROR(IF((N(AR204)+N(AR208)+N(AR210)+N(AR211)+N(AR218)+N(AR219)+N(AR220))&lt;&gt;0,N(AR150)/(N(AR204)+N(AR208)+N(AR210)+N(AR211)+N(AR218)+N(AR219)+N(AR220)),""),"")</f>
        <v>-0.727578956039666</v>
      </c>
      <c r="AS348" s="262">
        <f>IFERROR(IF((N(AS204)+N(AS208)+N(AS210)+N(AS211)+N(AS218)+N(AS219)+N(AS220))&lt;&gt;0,N(AS150)/(N(AS204)+N(AS208)+N(AS210)+N(AS211)+N(AS218)+N(AS219)+N(AS220)),""),"")</f>
        <v>-0.933880942199891</v>
      </c>
      <c r="AT348" s="262">
        <f>IFERROR(IF((N(AT204)+N(AT208)+N(AT210)+N(AT211)+N(AT218)+N(AT219)+N(AT220))&lt;&gt;0,N(AT150)/(N(AT204)+N(AT208)+N(AT210)+N(AT211)+N(AT218)+N(AT219)+N(AT220)),""),"")</f>
        <v>-1.13923322123767</v>
      </c>
      <c r="AU348" s="262">
        <f>IFERROR(IF((N(AU204)+N(AU208)+N(AU210)+N(AU211)+N(AU218)+N(AU219)+N(AU220))&lt;&gt;0,N(AU150)/(N(AU204)+N(AU208)+N(AU210)+N(AU211)+N(AU218)+N(AU219)+N(AU220)),""),"")</f>
        <v>-1.3099764808586</v>
      </c>
      <c r="AV348" s="262">
        <f>IFERROR(IF((N(AV204)+N(AV208)+N(AV210)+N(AV211)+N(AV218)+N(AV219)+N(AV220))&lt;&gt;0,N(AV150)/(N(AV204)+N(AV208)+N(AV210)+N(AV211)+N(AV218)+N(AV219)+N(AV220)),""),"")</f>
        <v>-1.3099764808586</v>
      </c>
      <c r="AW348" s="262">
        <f>IFERROR(IF((N(AW204)+N(AW208)+N(AW210)+N(AW211)+N(AW218)+N(AW219)+N(AW220))&lt;&gt;0,N(AW150)/(N(AW204)+N(AW208)+N(AW210)+N(AW211)+N(AW218)+N(AW219)+N(AW220)),""),"")</f>
        <v>-1.47319110822147</v>
      </c>
      <c r="AX348" s="262">
        <f>IFERROR(IF((N(AX204)+N(AX208)+N(AX210)+N(AX211)+N(AX218)+N(AX219)+N(AX220))&lt;&gt;0,N(AX150)/(N(AX204)+N(AX208)+N(AX210)+N(AX211)+N(AX218)+N(AX219)+N(AX220)),""),"")</f>
        <v>-1.63402728887087</v>
      </c>
      <c r="AY348" s="262">
        <f>IFERROR(IF((N(AY204)+N(AY208)+N(AY210)+N(AY211)+N(AY218)+N(AY219)+N(AY220))&lt;&gt;0,N(AY150)/(N(AY204)+N(AY208)+N(AY210)+N(AY211)+N(AY218)+N(AY219)+N(AY220)),""),"")</f>
        <v>-1.82487566249137</v>
      </c>
      <c r="AZ348" s="262">
        <f>IFERROR(IF((N(AZ204)+N(AZ208)+N(AZ210)+N(AZ211)+N(AZ218)+N(AZ219)+N(AZ220))&lt;&gt;0,N(AZ150)/(N(AZ204)+N(AZ208)+N(AZ210)+N(AZ211)+N(AZ218)+N(AZ219)+N(AZ220)),""),"")</f>
        <v>-1.9438670549465</v>
      </c>
      <c r="BA348" s="262">
        <f>IFERROR(IF((N(BA204)+N(BA208)+N(BA210)+N(BA211)+N(BA218)+N(BA219)+N(BA220))&lt;&gt;0,N(BA150)/(N(BA204)+N(BA208)+N(BA210)+N(BA211)+N(BA218)+N(BA219)+N(BA220)),""),"")</f>
        <v>-1.9438670549465</v>
      </c>
      <c r="BB348" s="262">
        <f>IFERROR(IF((N(BB204)+N(BB208)+N(BB210)+N(BB211)+N(BB218)+N(BB219)+N(BB220))&lt;&gt;0,N(BB150)/(N(BB204)+N(BB208)+N(BB210)+N(BB211)+N(BB218)+N(BB219)+N(BB220)),""),"")</f>
        <v>-2.05310341720132</v>
      </c>
      <c r="BC348" s="262">
        <f>IFERROR(IF((N(BC204)+N(BC208)+N(BC210)+N(BC211)+N(BC218)+N(BC219)+N(BC220))&lt;&gt;0,N(BC150)/(N(BC204)+N(BC208)+N(BC210)+N(BC211)+N(BC218)+N(BC219)+N(BC220)),""),"")</f>
        <v>-2.15318332029328</v>
      </c>
      <c r="BD348" s="262">
        <f>IFERROR(IF((N(BD204)+N(BD208)+N(BD210)+N(BD211)+N(BD218)+N(BD219)+N(BD220))&lt;&gt;0,N(BD150)/(N(BD204)+N(BD208)+N(BD210)+N(BD211)+N(BD218)+N(BD219)+N(BD220)),""),"")</f>
        <v>-2.30413700270058</v>
      </c>
      <c r="BE348" s="262">
        <f>IFERROR(IF((N(BE204)+N(BE208)+N(BE210)+N(BE211)+N(BE218)+N(BE219)+N(BE220))&lt;&gt;0,N(BE150)/(N(BE204)+N(BE208)+N(BE210)+N(BE211)+N(BE218)+N(BE219)+N(BE220)),""),"")</f>
        <v>-2.35959801694352</v>
      </c>
      <c r="BF348" s="262">
        <f>IFERROR(IF((N(BF204)+N(BF208)+N(BF210)+N(BF211)+N(BF218)+N(BF219)+N(BF220))&lt;&gt;0,N(BF150)/(N(BF204)+N(BF208)+N(BF210)+N(BF211)+N(BF218)+N(BF219)+N(BF220)),""),"")</f>
        <v>-2.35959801694352</v>
      </c>
      <c r="BG348" s="82" t="n"/>
      <c r="BH348" s="82" t="n"/>
      <c r="BI348" s="82" t="n"/>
      <c r="BJ348" s="82" t="n"/>
      <c r="BL348" s="82" t="n"/>
      <c r="BM348" s="82" t="n"/>
      <c r="BN348" s="82" t="n"/>
      <c r="BO348" s="82" t="n"/>
      <c r="BQ348" s="82" t="n"/>
      <c r="BR348" s="82" t="n"/>
      <c r="BS348" s="82" t="n"/>
      <c r="BT348" s="82" t="n"/>
      <c r="BV348" s="82" t="n"/>
      <c r="BW348" s="82" t="n"/>
      <c r="BX348" s="82" t="n"/>
      <c r="BY348" s="82" t="n"/>
      <c r="CA348" s="82" t="n"/>
      <c r="CB348" s="82" t="n"/>
      <c r="CC348" s="82" t="n"/>
      <c r="CD348" s="82" t="n"/>
      <c r="CF348" s="82" t="n"/>
      <c r="CG348" s="82" t="n"/>
      <c r="CH348" s="82" t="n"/>
      <c r="CI348" s="82" t="n"/>
      <c r="CK348" s="82" t="n"/>
      <c r="CL348" s="82" t="n"/>
      <c r="CM348" s="82" t="n"/>
      <c r="CN348" s="82" t="n"/>
      <c r="CP348" s="82" t="n"/>
      <c r="CQ348" s="82" t="n"/>
      <c r="CR348" s="82" t="n"/>
      <c r="CS348" s="82" t="n"/>
      <c r="CU348" s="82" t="n"/>
      <c r="CV348" s="82" t="n"/>
      <c r="CW348" s="82" t="n"/>
      <c r="CX348" s="82" t="n"/>
    </row>
    <row r="349" customFormat="1" s="77">
      <c r="A349" s="76" t="n"/>
      <c r="B349" s="76" t="n"/>
    </row>
    <row r="350" customFormat="1" s="77">
      <c r="A350" s="76" t="n"/>
      <c r="B350" s="76" t="n"/>
      <c r="C350" s="74" t="inlineStr">
        <is>
          <t>OPERATING EFFICIENCY</t>
        </is>
      </c>
    </row>
    <row r="351" customFormat="1" s="84">
      <c r="A351" s="81" t="n"/>
      <c r="B351" s="81" t="n"/>
      <c r="C351" s="84" t="inlineStr">
        <is>
          <t>RETURN ON CAPITAL (ROIC) - LTM</t>
        </is>
      </c>
      <c r="D351" t="str">
        <f>IFERROR(D353/D356,"")</f>
        <v/>
      </c>
      <c r="E351" t="str">
        <f>IFERROR(E353/E356,"")</f>
        <v/>
      </c>
      <c r="F351" t="str">
        <f>IFERROR(F353/F356,"")</f>
        <v/>
      </c>
      <c r="G351" t="str">
        <f>IFERROR(G353/G356,"")</f>
        <v/>
      </c>
      <c r="H351" s="257" t="str">
        <f>IFERROR(IF(AND(COUNT(H353)=1,N(H356)&lt;&gt;0),(H353)/H356,""),"")</f>
        <v/>
      </c>
      <c r="I351" s="257" t="str">
        <f>""</f>
        <v/>
      </c>
      <c r="J351" s="257" t="str">
        <f>""</f>
        <v/>
      </c>
      <c r="K351" s="257" t="str">
        <f>""</f>
        <v/>
      </c>
      <c r="L351" s="257">
        <f>IFERROR(IF(AND(COUNT(I353,J353,K353,L353)=4,N(L356)&lt;&gt;0),(I353+J353+K353+L353)/L356,""),"")</f>
        <v>-0.417486439758927</v>
      </c>
      <c r="M351" s="257">
        <f>IFERROR(IF(AND(COUNT(I353,J353,K353,L353)=4,N(M356)&lt;&gt;0),(I353+J353+K353+L353)/M356,""),"")</f>
        <v>-0.417486439758927</v>
      </c>
      <c r="N351" s="257">
        <f>IFERROR(IF(AND(COUNT(J353,K353,L353,N353)=4,N(N356)&lt;&gt;0),(J353+K353+L353+N353)/N356,""),"")</f>
        <v>-0.397015878455348</v>
      </c>
      <c r="O351" s="257">
        <f>IFERROR(IF(AND(COUNT(K353,L353,N353,O353)=4,N(O356)&lt;&gt;0),(K353+L353+N353+O353)/O356,""),"")</f>
        <v>-0.440698881025006</v>
      </c>
      <c r="P351" s="257">
        <f>IFERROR(IF(AND(COUNT(L353,N353,O353,P353)=4,N(P356)&lt;&gt;0),(L353+N353+O353+P353)/P356,""),"")</f>
        <v>-0.98568926591266</v>
      </c>
      <c r="Q351" s="257">
        <f>IFERROR(IF(AND(COUNT(N353,O353,P353,Q353)=4,N(Q356)&lt;&gt;0),(N353+O353+P353+Q353)/Q356,""),"")</f>
        <v>-3.03664535440766</v>
      </c>
      <c r="R351" s="257">
        <f>IFERROR(IF(AND(COUNT(N353,O353,P353,Q353)=4,N(R356)&lt;&gt;0),(N353+O353+P353+Q353)/R356,""),"")</f>
        <v>-3.03664535440766</v>
      </c>
      <c r="S351" s="257">
        <f>IFERROR(IF(AND(COUNT(O353,P353,Q353,S353)=4,N(S356)&lt;&gt;0),(O353+P353+Q353+S353)/S356,""),"")</f>
        <v>-3.02405679370099</v>
      </c>
      <c r="T351" s="257">
        <f>IFERROR(IF(AND(COUNT(P353,Q353,S353,T353)=4,N(T356)&lt;&gt;0),(P353+Q353+S353+T353)/T356,""),"")</f>
        <v>-4.15264662262658</v>
      </c>
      <c r="U351" s="257">
        <f>IFERROR(IF(AND(COUNT(Q353,S353,T353,U353)=4,N(U356)&lt;&gt;0),(Q353+S353+T353+U353)/U356,""),"")</f>
        <v>-3.21042209327965</v>
      </c>
      <c r="V351" s="257">
        <f>IFERROR(IF(AND(COUNT(S353,T353,U353,V353)=4,N(V356)&lt;&gt;0),(S353+T353+U353+V353)/V356,""),"")</f>
        <v>14.54481303806</v>
      </c>
      <c r="W351" s="257">
        <f>IFERROR(IF(AND(COUNT(S353,T353,U353,V353)=4,N(W356)&lt;&gt;0),(S353+T353+U353+V353)/W356,""),"")</f>
        <v>14.54481303806</v>
      </c>
      <c r="X351" s="257">
        <f>IFERROR(IF(AND(COUNT(T353,U353,V353,X353)=4,N(X356)&lt;&gt;0),(T353+U353+V353+X353)/X356,""),"")</f>
        <v>18.2808267117691</v>
      </c>
      <c r="Y351" s="257">
        <f>IFERROR(IF(AND(COUNT(U353,V353,X353,Y353)=4,N(Y356)&lt;&gt;0),(U353+V353+X353+Y353)/Y356,""),"")</f>
        <v>6.02079732197683</v>
      </c>
      <c r="Z351" s="257">
        <f>IFERROR(IF(AND(COUNT(V353,X353,Y353,Z353)=4,N(Z356)&lt;&gt;0),(V353+X353+Y353+Z353)/Z356,""),"")</f>
        <v>3.69998864321238</v>
      </c>
      <c r="AA351" s="257">
        <f>IFERROR(IF(AND(COUNT(X353,Y353,Z353,AA353)=4,N(AA356)&lt;&gt;0),(X353+Y353+Z353+AA353)/AA356,""),"")</f>
        <v>2.53055823966661</v>
      </c>
      <c r="AB351" s="257">
        <f>IFERROR(IF(AND(COUNT(X353,Y353,Z353,AA353)=4,N(AB356)&lt;&gt;0),(X353+Y353+Z353+AA353)/AB356,""),"")</f>
        <v>2.53055823966661</v>
      </c>
      <c r="AC351" s="257">
        <f>IFERROR(IF(AND(COUNT(Y353,Z353,AA353,AC353)=4,N(AC356)&lt;&gt;0),(Y353+Z353+AA353+AC353)/AC356,""),"")</f>
        <v>9.24520284456449</v>
      </c>
      <c r="AD351" s="257">
        <f>IFERROR(IF(AND(COUNT(Z353,AA353,AC353,AD353)=4,N(AD356)&lt;&gt;0),(Z353+AA353+AC353+AD353)/AD356,""),"")</f>
        <v>0.72946187564779</v>
      </c>
      <c r="AE351" s="257">
        <f>IFERROR(IF(AND(COUNT(AA353,AC353,AD353,AE353)=4,N(AE356)&lt;&gt;0),(AA353+AC353+AD353+AE353)/AE356,""),"")</f>
        <v>0.558574483088032</v>
      </c>
      <c r="AF351" s="257">
        <f>IFERROR(IF(AND(COUNT(AB353,AD353,AE353,AF353)=4,N(AF356)&lt;&gt;0),(AB353+AD353+AE353+AF353)/AF356,""),"")</f>
        <v>1.00364825630326</v>
      </c>
      <c r="AG351" s="257">
        <f>IFERROR(IF(AND(COUNT(AC353,AD353,AE353,AF353)=4,N(AG356)&lt;&gt;0),(AC353+AD353+AE353+AF353)/AG356,""),"")</f>
        <v>0.598375428142996</v>
      </c>
      <c r="AH351" s="257">
        <f>IFERROR(IF(AND(COUNT(AD353,AF353,AG353,AH353)=4,N(AH356)&lt;&gt;0),(AD353+AF353+AG353+AH353)/AH356,""),"")</f>
        <v>1.61709902137463</v>
      </c>
      <c r="AI351" s="257">
        <f>IFERROR(IF(AND(COUNT(AE353,AG353,AH353,AI353)=4,N(AI356)&lt;&gt;0),(AE353+AG353+AH353+AI353)/AI356,""),"")</f>
        <v>0.782351574200682</v>
      </c>
      <c r="AJ351" s="257">
        <f>IFERROR(IF(AND(COUNT(AF353,AH353,AI353,AJ353)=4,N(AJ356)&lt;&gt;0),(AF353+AH353+AI353+AJ353)/AJ356,""),"")</f>
        <v>0.35131264181471</v>
      </c>
      <c r="AK351" s="257">
        <f>IFERROR(IF(AND(COUNT(AH353,AI353,AJ353,AK353)=4,N(AK356)&lt;&gt;0),(AH353+AI353+AJ353+AK353)/AK356,""),"")</f>
        <v>0.283318775236208</v>
      </c>
      <c r="AL351" s="257">
        <f>IFERROR(IF(AND(COUNT(AH353,AI353,AJ353,AK353)=4,N(AL356)&lt;&gt;0),(AH353+AI353+AJ353+AK353)/AL356,""),"")</f>
        <v>0.283318775236208</v>
      </c>
      <c r="AM351" s="257">
        <f>IFERROR(IF(AND(COUNT(AI353,AJ353,AK353,AM353)=4,N(AM356)&lt;&gt;0),(AI353+AJ353+AK353+AM353)/AM356,""),"")</f>
        <v>0.239484516731149</v>
      </c>
      <c r="AN351" s="257">
        <f>IFERROR(IF(AND(COUNT(AJ353,AK353,AM353,AN353)=4,N(AN356)&lt;&gt;0),(AJ353+AK353+AM353+AN353)/AN356,""),"")</f>
        <v>0.208357753097662</v>
      </c>
      <c r="AO351" s="257">
        <f>IFERROR(IF(AND(COUNT(AK353,AM353,AN353,AO353)=4,N(AO356)&lt;&gt;0),(AK353+AM353+AN353+AO353)/AO356,""),"")</f>
        <v>0.188179526237389</v>
      </c>
      <c r="AP351" s="257">
        <f>IFERROR(IF(AND(COUNT(AM353,AN353,AO353,AP353)=4,N(AP356)&lt;&gt;0),(AM353+AN353+AO353+AP353)/AP356,""),"")</f>
        <v>0.170805253756658</v>
      </c>
      <c r="AQ351" s="257">
        <f>IFERROR(IF(AND(COUNT(AM353,AN353,AO353,AP353)=4,N(AQ356)&lt;&gt;0),(AM353+AN353+AO353+AP353)/AQ356,""),"")</f>
        <v>0.170805253756658</v>
      </c>
      <c r="AR351" s="257">
        <f>IFERROR(IF(AND(COUNT(AN353,AO353,AP353,AR353)=4,N(AR356)&lt;&gt;0),(AN353+AO353+AP353+AR353)/AR356,""),"")</f>
        <v>0.156265688227981</v>
      </c>
      <c r="AS351" s="257">
        <f>IFERROR(IF(AND(COUNT(AO353,AP353,AR353,AS353)=4,N(AS356)&lt;&gt;0),(AO353+AP353+AR353+AS353)/AS356,""),"")</f>
        <v>0.143459151049647</v>
      </c>
      <c r="AT351" s="257">
        <f>IFERROR(IF(AND(COUNT(AP353,AR353,AS353,AT353)=4,N(AT356)&lt;&gt;0),(AP353+AR353+AS353+AT353)/AT356,""),"")</f>
        <v>0.134901926894955</v>
      </c>
      <c r="AU351" s="257">
        <f>IFERROR(IF(AND(COUNT(AR353,AS353,AT353,AU353)=4,N(AU356)&lt;&gt;0),(AR353+AS353+AT353+AU353)/AU356,""),"")</f>
        <v>0.126894815840741</v>
      </c>
      <c r="AV351" s="257">
        <f>IFERROR(IF(AND(COUNT(AR353,AS353,AT353,AU353)=4,N(AV356)&lt;&gt;0),(AR353+AS353+AT353+AU353)/AV356,""),"")</f>
        <v>0.126894815840741</v>
      </c>
      <c r="AW351" s="257">
        <f>IFERROR(IF(AND(COUNT(AS353,AT353,AU353,AW353)=4,N(AW356)&lt;&gt;0),(AS353+AT353+AU353+AW353)/AW356,""),"")</f>
        <v>0.119702113879219</v>
      </c>
      <c r="AX351" s="257">
        <f>IFERROR(IF(AND(COUNT(AT353,AU353,AW353,AX353)=4,N(AX356)&lt;&gt;0),(AT353+AU353+AW353+AX353)/AX356,""),"")</f>
        <v>0.112993597890271</v>
      </c>
      <c r="AY351" s="257">
        <f>IFERROR(IF(AND(COUNT(AU353,AW353,AX353,AY353)=4,N(AY356)&lt;&gt;0),(AU353+AW353+AX353+AY353)/AY356,""),"")</f>
        <v>0.10836272837578</v>
      </c>
      <c r="AZ351" s="257">
        <f>IFERROR(IF(AND(COUNT(AW353,AX353,AY353,AZ353)=4,N(AZ356)&lt;&gt;0),(AW353+AX353+AY353+AZ353)/AZ356,""),"")</f>
        <v>0.103826826180435</v>
      </c>
      <c r="BA351" s="257">
        <f>IFERROR(IF(AND(COUNT(AW353,AX353,AY353,AZ353)=4,N(BA356)&lt;&gt;0),(AW353+AX353+AY353+AZ353)/BA356,""),"")</f>
        <v>0.103826826180435</v>
      </c>
      <c r="BB351" s="257">
        <f>IFERROR(IF(AND(COUNT(AX353,AY353,AZ353,BB353)=4,N(BB356)&lt;&gt;0),(AX353+AY353+AZ353+BB353)/BB356,""),"")</f>
        <v>0.0995961040339293</v>
      </c>
      <c r="BC351" s="257">
        <f>IFERROR(IF(AND(COUNT(AY353,AZ353,BB353,BC353)=4,N(BC356)&lt;&gt;0),(AY353+AZ353+BB353+BC353)/BC356,""),"")</f>
        <v>0.0955040953404035</v>
      </c>
      <c r="BD351" s="257">
        <f>IFERROR(IF(AND(COUNT(AZ353,BB353,BC353,BD353)=4,N(BD356)&lt;&gt;0),(AZ353+BB353+BC353+BD353)/BD356,""),"")</f>
        <v>0.0926735841016468</v>
      </c>
      <c r="BE351" s="257">
        <f>IFERROR(IF(AND(COUNT(BB353,BC353,BD353,BE353)=4,N(BE356)&lt;&gt;0),(BB353+BC353+BD353+BE353)/BE356,""),"")</f>
        <v>0.0898118848382142</v>
      </c>
      <c r="BF351" s="257">
        <f>IFERROR(IF(AND(COUNT(BB353,BC353,BD353,BE353)=4,N(BF356)&lt;&gt;0),(BB353+BC353+BD353+BE353)/BF356,""),"")</f>
        <v>0.0898118848382142</v>
      </c>
      <c r="BG351" s="81" t="n"/>
      <c r="BH351" s="81" t="n"/>
      <c r="BI351" s="81" t="n"/>
      <c r="BJ351" s="81" t="n"/>
      <c r="BL351" s="81" t="n"/>
      <c r="BM351" s="81" t="n"/>
      <c r="BN351" s="81" t="n"/>
      <c r="BO351" s="81" t="n"/>
      <c r="BQ351" s="81" t="n"/>
      <c r="BR351" s="81" t="n"/>
      <c r="BS351" s="81" t="n"/>
      <c r="BT351" s="81" t="n"/>
      <c r="BV351" s="81" t="n"/>
      <c r="BW351" s="81" t="n"/>
      <c r="BX351" s="81" t="n"/>
      <c r="BY351" s="81" t="n"/>
      <c r="CA351" s="81" t="n"/>
      <c r="CB351" s="81" t="n"/>
      <c r="CC351" s="81" t="n"/>
      <c r="CD351" s="81" t="n"/>
      <c r="CF351" s="81" t="n"/>
      <c r="CG351" s="81" t="n"/>
      <c r="CH351" s="81" t="n"/>
      <c r="CI351" s="81" t="n"/>
      <c r="CK351" s="81" t="n"/>
      <c r="CL351" s="81" t="n"/>
      <c r="CM351" s="81" t="n"/>
      <c r="CN351" s="81" t="n"/>
      <c r="CP351" s="81" t="n"/>
      <c r="CQ351" s="81" t="n"/>
      <c r="CR351" s="81" t="n"/>
      <c r="CS351" s="81" t="n"/>
      <c r="CU351" s="81" t="n"/>
      <c r="CV351" s="81" t="n"/>
      <c r="CW351" s="81" t="n"/>
      <c r="CX351" s="81" t="n"/>
    </row>
    <row r="352" customFormat="1" s="84">
      <c r="A352" s="81" t="n"/>
      <c r="B352" s="81" t="n"/>
      <c r="C352" s="84" t="inlineStr">
        <is>
          <t>RETURN ON CAPITAL (ROIC) - EX GOODWILL - LTM</t>
        </is>
      </c>
      <c r="D352" t="str">
        <f>IFERROR(D353/D357,"")</f>
        <v/>
      </c>
      <c r="E352" t="str">
        <f>IFERROR(E353/E357,"")</f>
        <v/>
      </c>
      <c r="F352" t="str">
        <f>IFERROR(F353/F357,"")</f>
        <v/>
      </c>
      <c r="G352" t="str">
        <f>IFERROR(G353/G357,"")</f>
        <v/>
      </c>
      <c r="H352" s="257" t="str">
        <f>IFERROR(IF(AND(COUNT(H353)=1,N(H357)&lt;&gt;0),(H353)/H357,""),"")</f>
        <v/>
      </c>
      <c r="I352" s="257" t="str">
        <f>""</f>
        <v/>
      </c>
      <c r="J352" s="257" t="str">
        <f>""</f>
        <v/>
      </c>
      <c r="K352" s="257" t="str">
        <f>""</f>
        <v/>
      </c>
      <c r="L352" s="257">
        <f>IFERROR(IF(AND(COUNT(I353,J353,K353,L353)=4,N(L357)&lt;&gt;0),(I353+J353+K353+L353)/L357,""),"")</f>
        <v>-0.154358530558213</v>
      </c>
      <c r="M352" s="257">
        <f>IFERROR(IF(AND(COUNT(I353,J353,K353,L353)=4,N(M357)&lt;&gt;0),(I353+J353+K353+L353)/M357,""),"")</f>
        <v>-0.154358530558213</v>
      </c>
      <c r="N352" s="257">
        <f>IFERROR(IF(AND(COUNT(J353,K353,L353,N353)=4,N(N357)&lt;&gt;0),(J353+K353+L353+N353)/N357,""),"")</f>
        <v>-0.144701180968966</v>
      </c>
      <c r="O352" s="257">
        <f>IFERROR(IF(AND(COUNT(K353,L353,N353,O353)=4,N(O357)&lt;&gt;0),(K353+L353+N353+O353)/O357,""),"")</f>
        <v>-0.145703332108481</v>
      </c>
      <c r="P352" s="257">
        <f>IFERROR(IF(AND(COUNT(L353,N353,O353,P353)=4,N(P357)&lt;&gt;0),(L353+N353+O353+P353)/P357,""),"")</f>
        <v>-0.125310485813073</v>
      </c>
      <c r="Q352" s="257">
        <f>IFERROR(IF(AND(COUNT(N353,O353,P353,Q353)=4,N(Q357)&lt;&gt;0),(N353+O353+P353+Q353)/Q357,""),"")</f>
        <v>-0.183708834786461</v>
      </c>
      <c r="R352" s="257">
        <f>IFERROR(IF(AND(COUNT(N353,O353,P353,Q353)=4,N(R357)&lt;&gt;0),(N353+O353+P353+Q353)/R357,""),"")</f>
        <v>-0.183708834786461</v>
      </c>
      <c r="S352" s="257">
        <f>IFERROR(IF(AND(COUNT(O353,P353,Q353,S353)=4,N(S357)&lt;&gt;0),(O353+P353+Q353+S353)/S357,""),"")</f>
        <v>-0.178900768308321</v>
      </c>
      <c r="T352" s="257">
        <f>IFERROR(IF(AND(COUNT(P353,Q353,S353,T353)=4,N(T357)&lt;&gt;0),(P353+Q353+S353+T353)/T357,""),"")</f>
        <v>-0.182315981174591</v>
      </c>
      <c r="U352" s="257">
        <f>IFERROR(IF(AND(COUNT(Q353,S353,T353,U353)=4,N(U357)&lt;&gt;0),(Q353+S353+T353+U353)/U357,""),"")</f>
        <v>-0.192187675298573</v>
      </c>
      <c r="V352" s="257">
        <f>IFERROR(IF(AND(COUNT(S353,T353,U353,V353)=4,N(V357)&lt;&gt;0),(S353+T353+U353+V353)/V357,""),"")</f>
        <v>-0.221141711144911</v>
      </c>
      <c r="W352" s="257">
        <f>IFERROR(IF(AND(COUNT(S353,T353,U353,V353)=4,N(W357)&lt;&gt;0),(S353+T353+U353+V353)/W357,""),"")</f>
        <v>-0.221141711144911</v>
      </c>
      <c r="X352" s="257">
        <f>IFERROR(IF(AND(COUNT(T353,U353,V353,X353)=4,N(X357)&lt;&gt;0),(T353+U353+V353+X353)/X357,""),"")</f>
        <v>-0.226350191628127</v>
      </c>
      <c r="Y352" s="257">
        <f>IFERROR(IF(AND(COUNT(U353,V353,X353,Y353)=4,N(Y357)&lt;&gt;0),(U353+V353+X353+Y353)/Y357,""),"")</f>
        <v>-0.227938791208929</v>
      </c>
      <c r="Z352" s="257">
        <f>IFERROR(IF(AND(COUNT(V353,X353,Y353,Z353)=4,N(Z357)&lt;&gt;0),(V353+X353+Y353+Z353)/Z357,""),"")</f>
        <v>-0.240550853636624</v>
      </c>
      <c r="AA352" s="257">
        <f>IFERROR(IF(AND(COUNT(X353,Y353,Z353,AA353)=4,N(AA357)&lt;&gt;0),(X353+Y353+Z353+AA353)/AA357,""),"")</f>
        <v>-0.25967210226766</v>
      </c>
      <c r="AB352" s="257">
        <f>IFERROR(IF(AND(COUNT(X353,Y353,Z353,AA353)=4,N(AB357)&lt;&gt;0),(X353+Y353+Z353+AA353)/AB357,""),"")</f>
        <v>-0.25967210226766</v>
      </c>
      <c r="AC352" s="257">
        <f>IFERROR(IF(AND(COUNT(Y353,Z353,AA353,AC353)=4,N(AC357)&lt;&gt;0),(Y353+Z353+AA353+AC353)/AC357,""),"")</f>
        <v>-0.251426747330081</v>
      </c>
      <c r="AD352" s="257">
        <f>IFERROR(IF(AND(COUNT(Z353,AA353,AC353,AD353)=4,N(AD357)&lt;&gt;0),(Z353+AA353+AC353+AD353)/AD357,""),"")</f>
        <v>-0.379880133847921</v>
      </c>
      <c r="AE352" s="257">
        <f>IFERROR(IF(AND(COUNT(AA353,AC353,AD353,AE353)=4,N(AE357)&lt;&gt;0),(AA353+AC353+AD353+AE353)/AE357,""),"")</f>
        <v>-0.449942964305442</v>
      </c>
      <c r="AF352" s="257">
        <f>IFERROR(IF(AND(COUNT(AB353,AD353,AE353,AF353)=4,N(AF357)&lt;&gt;0),(AB353+AD353+AE353+AF353)/AF357,""),"")</f>
        <v>-0.76979151304362</v>
      </c>
      <c r="AG352" s="257">
        <f>IFERROR(IF(AND(COUNT(AC353,AD353,AE353,AF353)=4,N(AG357)&lt;&gt;0),(AC353+AD353+AE353+AF353)/AG357,""),"")</f>
        <v>-0.45894995911709</v>
      </c>
      <c r="AH352" s="257">
        <f>IFERROR(IF(AND(COUNT(AD353,AF353,AG353,AH353)=4,N(AH357)&lt;&gt;0),(AD353+AF353+AG353+AH353)/AH357,""),"")</f>
        <v>-0.679806401545421</v>
      </c>
      <c r="AI352" s="257">
        <f>IFERROR(IF(AND(COUNT(AE353,AG353,AH353,AI353)=4,N(AI357)&lt;&gt;0),(AE353+AG353+AH353+AI353)/AI357,""),"")</f>
        <v>-1.20979563292003</v>
      </c>
      <c r="AJ352" s="257">
        <f>IFERROR(IF(AND(COUNT(AF353,AH353,AI353,AJ353)=4,N(AJ357)&lt;&gt;0),(AF353+AH353+AI353+AJ353)/AJ357,""),"")</f>
        <v>-2.00047126865314</v>
      </c>
      <c r="AK352" s="257">
        <f>IFERROR(IF(AND(COUNT(AH353,AI353,AJ353,AK353)=4,N(AK357)&lt;&gt;0),(AH353+AI353+AJ353+AK353)/AK357,""),"")</f>
        <v>4.31422640331333</v>
      </c>
      <c r="AL352" s="257">
        <f>IFERROR(IF(AND(COUNT(AH353,AI353,AJ353,AK353)=4,N(AL357)&lt;&gt;0),(AH353+AI353+AJ353+AK353)/AL357,""),"")</f>
        <v>4.31422640331333</v>
      </c>
      <c r="AM352" s="257">
        <f>IFERROR(IF(AND(COUNT(AI353,AJ353,AK353,AM353)=4,N(AM357)&lt;&gt;0),(AI353+AJ353+AK353+AM353)/AM357,""),"")</f>
        <v>1.02301994443736</v>
      </c>
      <c r="AN352" s="257">
        <f>IFERROR(IF(AND(COUNT(AJ353,AK353,AM353,AN353)=4,N(AN357)&lt;&gt;0),(AJ353+AK353+AM353+AN353)/AN357,""),"")</f>
        <v>0.574926776383048</v>
      </c>
      <c r="AO352" s="257">
        <f>IFERROR(IF(AND(COUNT(AK353,AM353,AN353,AO353)=4,N(AO357)&lt;&gt;0),(AK353+AM353+AN353+AO353)/AO357,""),"")</f>
        <v>0.425785994160891</v>
      </c>
      <c r="AP352" s="257">
        <f>IFERROR(IF(AND(COUNT(AM353,AN353,AO353,AP353)=4,N(AP357)&lt;&gt;0),(AM353+AN353+AO353+AP353)/AP357,""),"")</f>
        <v>0.335052592794997</v>
      </c>
      <c r="AQ352" s="257">
        <f>IFERROR(IF(AND(COUNT(AM353,AN353,AO353,AP353)=4,N(AQ357)&lt;&gt;0),(AM353+AN353+AO353+AP353)/AQ357,""),"")</f>
        <v>0.335052592794997</v>
      </c>
      <c r="AR352" s="257">
        <f>IFERROR(IF(AND(COUNT(AN353,AO353,AP353,AR353)=4,N(AR357)&lt;&gt;0),(AN353+AO353+AP353+AR353)/AR357,""),"")</f>
        <v>0.276110651397407</v>
      </c>
      <c r="AS352" s="257">
        <f>IFERROR(IF(AND(COUNT(AO353,AP353,AR353,AS353)=4,N(AS357)&lt;&gt;0),(AO353+AP353+AR353+AS353)/AS357,""),"")</f>
        <v>0.233136361875277</v>
      </c>
      <c r="AT352" s="257">
        <f>IFERROR(IF(AND(COUNT(AP353,AR353,AS353,AT353)=4,N(AT357)&lt;&gt;0),(AP353+AR353+AS353+AT353)/AT357,""),"")</f>
        <v>0.207822831189193</v>
      </c>
      <c r="AU352" s="257">
        <f>IFERROR(IF(AND(COUNT(AR353,AS353,AT353,AU353)=4,N(AU357)&lt;&gt;0),(AR353+AS353+AT353+AU353)/AU357,""),"")</f>
        <v>0.186542212099903</v>
      </c>
      <c r="AV352" s="257">
        <f>IFERROR(IF(AND(COUNT(AR353,AS353,AT353,AU353)=4,N(AV357)&lt;&gt;0),(AR353+AS353+AT353+AU353)/AV357,""),"")</f>
        <v>0.186542212099903</v>
      </c>
      <c r="AW352" s="257">
        <f>IFERROR(IF(AND(COUNT(AS353,AT353,AU353,AW353)=4,N(AW357)&lt;&gt;0),(AS353+AT353+AU353+AW353)/AW357,""),"")</f>
        <v>0.169132104689078</v>
      </c>
      <c r="AX352" s="257">
        <f>IFERROR(IF(AND(COUNT(AT353,AU353,AW353,AX353)=4,N(AX357)&lt;&gt;0),(AT353+AU353+AW353+AX353)/AX357,""),"")</f>
        <v>0.154074949925106</v>
      </c>
      <c r="AY352" s="257">
        <f>IFERROR(IF(AND(COUNT(AU353,AW353,AX353,AY353)=4,N(AY357)&lt;&gt;0),(AU353+AW353+AX353+AY353)/AY357,""),"")</f>
        <v>0.144156580775056</v>
      </c>
      <c r="AZ352" s="257">
        <f>IFERROR(IF(AND(COUNT(AW353,AX353,AY353,AZ353)=4,N(AZ357)&lt;&gt;0),(AW353+AX353+AY353+AZ353)/AZ357,""),"")</f>
        <v>0.134965480450616</v>
      </c>
      <c r="BA352" s="257">
        <f>IFERROR(IF(AND(COUNT(AW353,AX353,AY353,AZ353)=4,N(BA357)&lt;&gt;0),(AW353+AX353+AY353+AZ353)/BA357,""),"")</f>
        <v>0.134965480450616</v>
      </c>
      <c r="BB352" s="257">
        <f>IFERROR(IF(AND(COUNT(AX353,AY353,AZ353,BB353)=4,N(BB357)&lt;&gt;0),(AX353+AY353+AZ353+BB353)/BB357,""),"")</f>
        <v>0.126823467393081</v>
      </c>
      <c r="BC352" s="257">
        <f>IFERROR(IF(AND(COUNT(AY353,AZ353,BB353,BC353)=4,N(BC357)&lt;&gt;0),(AY353+AZ353+BB353+BC353)/BC357,""),"")</f>
        <v>0.119262204578351</v>
      </c>
      <c r="BD352" s="257">
        <f>IFERROR(IF(AND(COUNT(AZ353,BB353,BC353,BD353)=4,N(BD357)&lt;&gt;0),(AZ353+BB353+BC353+BD353)/BD357,""),"")</f>
        <v>0.114115508336095</v>
      </c>
      <c r="BE352" s="257">
        <f>IFERROR(IF(AND(COUNT(BB353,BC353,BD353,BE353)=4,N(BE357)&lt;&gt;0),(BB353+BC353+BD353+BE353)/BE357,""),"")</f>
        <v>0.109097440368249</v>
      </c>
      <c r="BF352" s="257">
        <f>IFERROR(IF(AND(COUNT(BB353,BC353,BD353,BE353)=4,N(BF357)&lt;&gt;0),(BB353+BC353+BD353+BE353)/BF357,""),"")</f>
        <v>0.109097440368249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NOPLAT</t>
        </is>
      </c>
      <c r="D353">
        <f>IFERROR(D354*(1-D355),"")</f>
        <v>0</v>
      </c>
      <c r="E353">
        <f>IFERROR(E354*(1-E355),"")</f>
        <v>0</v>
      </c>
      <c r="F353">
        <f>IFERROR(F354*(1-F355),"")</f>
        <v>0</v>
      </c>
      <c r="G353">
        <f>IFERROR(G354*(1-G355),"")</f>
        <v>0</v>
      </c>
      <c r="H353" s="263">
        <f>IFERROR(H354*(1-N(H355)),0)</f>
        <v>0</v>
      </c>
      <c r="I353" s="263">
        <f>IFERROR(I354*(1-N(I355)),0)</f>
        <v>3878</v>
      </c>
      <c r="J353" s="263">
        <f>IFERROR(J354*(1-N(J355)),0)</f>
        <v>4405.51299326275</v>
      </c>
      <c r="K353" s="263">
        <f>IFERROR(K354*(1-N(K355)),0)</f>
        <v>3140.67101827676</v>
      </c>
      <c r="L353" s="263">
        <f>IFERROR(L354*(1-N(L355)),0)</f>
        <v>-686.850267379679</v>
      </c>
      <c r="M353" s="263">
        <f>IFERROR(M354*(1-N(M355)),0)</f>
        <v>11022</v>
      </c>
      <c r="N353" s="263">
        <f>IFERROR(N354*(1-N(N355)),0)</f>
        <v>3120.8514084507</v>
      </c>
      <c r="O353" s="263">
        <f>IFERROR(O354*(1-N(O355)),0)</f>
        <v>3961.61092715232</v>
      </c>
      <c r="P353" s="263">
        <f>IFERROR(P354*(1-N(P355)),0)</f>
        <v>2451.9347826087</v>
      </c>
      <c r="Q353" s="263">
        <f>IFERROR(Q354*(1-N(Q355)),0)</f>
        <v>2493.75513059702</v>
      </c>
      <c r="R353" s="263">
        <f>IFERROR(R354*(1-N(R355)),0)</f>
        <v>12014.4530397506</v>
      </c>
      <c r="S353" s="263">
        <f>IFERROR(S354*(1-N(S355)),0)</f>
        <v>2786.72678088368</v>
      </c>
      <c r="T353" s="263">
        <f>IFERROR(T354*(1-N(T355)),0)</f>
        <v>4140</v>
      </c>
      <c r="U353" s="263">
        <f>IFERROR(U354*(1-N(U355)),0)</f>
        <v>3296</v>
      </c>
      <c r="V353" s="263">
        <f>IFERROR(V354*(1-N(V355)),0)</f>
        <v>3333.03897058824</v>
      </c>
      <c r="W353" s="263">
        <f>IFERROR(W354*(1-N(W355)),0)</f>
        <v>13927.8338130877</v>
      </c>
      <c r="X353" s="263">
        <f>IFERROR(X354*(1-N(X355)),0)</f>
        <v>3142.67015706806</v>
      </c>
      <c r="Y353" s="263">
        <f>IFERROR(Y354*(1-N(Y355)),0)</f>
        <v>3895.50079323109</v>
      </c>
      <c r="Z353" s="263">
        <f>IFERROR(Z354*(1-N(Z355)),0)</f>
        <v>3688.74692331966</v>
      </c>
      <c r="AA353" s="263">
        <f>IFERROR(AA354*(1-N(AA355)),0)</f>
        <v>3922.48377581121</v>
      </c>
      <c r="AB353" s="263">
        <f>IFERROR(AB354*(1-N(AB355)),0)</f>
        <v>14654.0492957746</v>
      </c>
      <c r="AC353" s="263">
        <f>IFERROR(AC354*(1-N(AC355)),0)</f>
        <v>3710.87238979118</v>
      </c>
      <c r="AD353" s="263">
        <f>IFERROR(AD354*(1-N(AD355)),0)</f>
        <v>4216.89378612717</v>
      </c>
      <c r="AE353" s="263">
        <f>IFERROR(AE354*(1-N(AE355)),0)</f>
        <v>3652.98482637876</v>
      </c>
      <c r="AF353" s="263">
        <f>IFERROR(AF354*(1-N(AF355)),0)</f>
        <v>4576.58230842006</v>
      </c>
      <c r="AG353" s="263">
        <f>IFERROR(AG354*(1-N(AG355)),0)</f>
        <v>16407.2125626116</v>
      </c>
      <c r="AH353" s="263">
        <f>IFERROR(AH354*(1-N(AH355)),0)</f>
        <v>4604.0634057971</v>
      </c>
      <c r="AI353" s="263">
        <f>IFERROR(AI354*(1-N(AI355)),0)</f>
        <v>4916.45222574036</v>
      </c>
      <c r="AJ353" s="263">
        <f>IFERROR(AJ354*(1-N(AJ355)),0)</f>
        <v>4508.54889882791</v>
      </c>
      <c r="AK353" s="263">
        <f>IFERROR(AK354*(1-N(AK355)),0)</f>
        <v>4850.48092036571</v>
      </c>
      <c r="AL353" s="263">
        <f>IFERROR(AL354*(1-N(AL355)),0)</f>
        <v>18928.5527109404</v>
      </c>
      <c r="AM353" s="263">
        <f>IFERROR(AM354*(1-N(AM355)),0)</f>
        <v>5192.41294190351</v>
      </c>
      <c r="AN353" s="263">
        <f>IFERROR(AN354*(1-N(AN355)),0)</f>
        <v>5794.72076076073</v>
      </c>
      <c r="AO353" s="263">
        <f>IFERROR(AO354*(1-N(AO355)),0)</f>
        <v>5157.66077682333</v>
      </c>
      <c r="AP353" s="263">
        <f>IFERROR(AP354*(1-N(AP355)),0)</f>
        <v>5548.82197201052</v>
      </c>
      <c r="AQ353" s="263">
        <f>IFERROR(AQ354*(1-N(AQ355)),0)</f>
        <v>21693.6164514981</v>
      </c>
      <c r="AR353" s="263">
        <f>IFERROR(AR354*(1-N(AR355)),0)</f>
        <v>5914.0211024882</v>
      </c>
      <c r="AS353" s="263">
        <f>IFERROR(AS354*(1-N(AS355)),0)</f>
        <v>6600.03378883849</v>
      </c>
      <c r="AT353" s="263">
        <f>IFERROR(AT354*(1-N(AT355)),0)</f>
        <v>5874.43930498078</v>
      </c>
      <c r="AU353" s="263">
        <f>IFERROR(AU354*(1-N(AU355)),0)</f>
        <v>6319.96156769271</v>
      </c>
      <c r="AV353" s="263">
        <f>IFERROR(AV354*(1-N(AV355)),0)</f>
        <v>24708.4557640002</v>
      </c>
      <c r="AW353" s="263">
        <f>IFERROR(AW354*(1-N(AW355)),0)</f>
        <v>6706.34361937975</v>
      </c>
      <c r="AX353" s="263">
        <f>IFERROR(AX354*(1-N(AX355)),0)</f>
        <v>7484.26387400705</v>
      </c>
      <c r="AY353" s="263">
        <f>IFERROR(AY354*(1-N(AY355)),0)</f>
        <v>6661.45890717509</v>
      </c>
      <c r="AZ353" s="263">
        <f>IFERROR(AZ354*(1-N(AZ355)),0)</f>
        <v>7166.66937769112</v>
      </c>
      <c r="BA353" s="263">
        <f>IFERROR(BA354*(1-N(BA355)),0)</f>
        <v>28018.735778253</v>
      </c>
      <c r="BB353" s="263">
        <f>IFERROR(BB354*(1-N(BB355)),0)</f>
        <v>7571.28469391645</v>
      </c>
      <c r="BC353" s="263">
        <f>IFERROR(BC354*(1-N(BC355)),0)</f>
        <v>8449.53610052898</v>
      </c>
      <c r="BD353" s="263">
        <f>IFERROR(BD354*(1-N(BD355)),0)</f>
        <v>7520.61104016511</v>
      </c>
      <c r="BE353" s="263">
        <f>IFERROR(BE354*(1-N(BE355)),0)</f>
        <v>8090.98030838612</v>
      </c>
      <c r="BF353" s="263">
        <f>IFERROR(BF354*(1-N(BF355)),0)</f>
        <v>31632.4121429966</v>
      </c>
      <c r="BG353" s="85" t="n"/>
      <c r="BH353" s="76" t="n"/>
      <c r="BI353" s="76" t="n"/>
      <c r="BJ353" s="76" t="n"/>
      <c r="BL353" s="85" t="n"/>
      <c r="BM353" s="76" t="n"/>
      <c r="BN353" s="76" t="n"/>
      <c r="BO353" s="76" t="n"/>
      <c r="BQ353" s="85" t="n"/>
      <c r="BR353" s="76" t="n"/>
      <c r="BS353" s="76" t="n"/>
      <c r="BT353" s="76" t="n"/>
      <c r="BV353" s="85" t="n"/>
      <c r="BW353" s="76" t="n"/>
      <c r="BX353" s="76" t="n"/>
      <c r="BY353" s="76" t="n"/>
      <c r="CA353" s="85" t="n"/>
      <c r="CB353" s="76" t="n"/>
      <c r="CC353" s="76" t="n"/>
      <c r="CD353" s="76" t="n"/>
      <c r="CF353" s="85" t="n"/>
      <c r="CG353" s="76" t="n"/>
      <c r="CH353" s="76" t="n"/>
      <c r="CI353" s="76" t="n"/>
      <c r="CK353" s="85" t="n"/>
      <c r="CL353" s="76" t="n"/>
      <c r="CM353" s="76" t="n"/>
      <c r="CN353" s="76" t="n"/>
      <c r="CP353" s="85" t="n"/>
      <c r="CQ353" s="76" t="n"/>
      <c r="CR353" s="76" t="n"/>
      <c r="CS353" s="76" t="n"/>
      <c r="CU353" s="85" t="n"/>
      <c r="CV353" s="76" t="n"/>
      <c r="CW353" s="76" t="n"/>
      <c r="CX353" s="76" t="n"/>
    </row>
    <row r="354" customFormat="1" s="77">
      <c r="A354" s="76" t="n"/>
      <c r="B354" s="76" t="n"/>
      <c r="C354" s="77" t="inlineStr">
        <is>
          <t>EBIT</t>
        </is>
      </c>
      <c r="D354" s="86">
        <f>IFERROR(D136,"")</f>
        <v>0</v>
      </c>
      <c r="E354" s="86">
        <f>IFERROR(E136,"")</f>
        <v>0</v>
      </c>
      <c r="F354" s="86">
        <f>IFERROR(F136,"")</f>
        <v>0</v>
      </c>
      <c r="G354" s="86">
        <f>IFERROR(G136,"")</f>
        <v>0</v>
      </c>
      <c r="H354" s="263">
        <f>IFERROR(H79,0)</f>
        <v>0</v>
      </c>
      <c r="I354" s="263">
        <f>IFERROR(I79,0)</f>
        <v>3878</v>
      </c>
      <c r="J354" s="263">
        <f>IFERROR(J79,0)</f>
        <v>4541</v>
      </c>
      <c r="K354" s="263">
        <f>IFERROR(K79,0)</f>
        <v>3427</v>
      </c>
      <c r="L354" s="263">
        <f>IFERROR(L79,0)</f>
        <v>-824</v>
      </c>
      <c r="M354" s="263">
        <f>IFERROR(M79,0)</f>
        <v>11022</v>
      </c>
      <c r="N354" s="263">
        <f>IFERROR(N79,0)</f>
        <v>3822</v>
      </c>
      <c r="O354" s="263">
        <f>IFERROR(O79,0)</f>
        <v>4502</v>
      </c>
      <c r="P354" s="263">
        <f>IFERROR(P79,0)</f>
        <v>2623</v>
      </c>
      <c r="Q354" s="263">
        <f>IFERROR(Q79,0)</f>
        <v>3071</v>
      </c>
      <c r="R354" s="263">
        <f>IFERROR(R79,0)</f>
        <v>14018</v>
      </c>
      <c r="S354" s="263">
        <f>IFERROR(S79,0)</f>
        <v>3260</v>
      </c>
      <c r="T354" s="263">
        <f>IFERROR(T79,0)</f>
        <v>4140</v>
      </c>
      <c r="U354" s="263">
        <f>IFERROR(U79,0)</f>
        <v>3296</v>
      </c>
      <c r="V354" s="263">
        <f>IFERROR(V79,0)</f>
        <v>3622</v>
      </c>
      <c r="W354" s="263">
        <f>IFERROR(W79,0)</f>
        <v>14318</v>
      </c>
      <c r="X354" s="263">
        <f>IFERROR(X79,0)</f>
        <v>3750</v>
      </c>
      <c r="Y354" s="263">
        <f>IFERROR(Y79,0)</f>
        <v>4686</v>
      </c>
      <c r="Z354" s="263">
        <f>IFERROR(Z79,0)</f>
        <v>3991</v>
      </c>
      <c r="AA354" s="263">
        <f>IFERROR(AA79,0)</f>
        <v>4220</v>
      </c>
      <c r="AB354" s="263">
        <f>IFERROR(AB79,0)</f>
        <v>16647</v>
      </c>
      <c r="AC354" s="263">
        <f>IFERROR(AC79,0)</f>
        <v>4358</v>
      </c>
      <c r="AD354" s="263">
        <f>IFERROR(AD79,0)</f>
        <v>5109</v>
      </c>
      <c r="AE354" s="263">
        <f>IFERROR(AE79,0)</f>
        <v>4277</v>
      </c>
      <c r="AF354" s="263">
        <f>IFERROR(AF79,0)</f>
        <v>4731</v>
      </c>
      <c r="AG354" s="263">
        <f>IFERROR(AG79,0)</f>
        <v>18475</v>
      </c>
      <c r="AH354" s="263">
        <f>IFERROR(AH79,0)</f>
        <v>5464</v>
      </c>
      <c r="AI354" s="263">
        <f>IFERROR(AI79,0)</f>
        <v>6133</v>
      </c>
      <c r="AJ354" s="263">
        <f>IFERROR(AJ79,0)</f>
        <v>5260.22596701445</v>
      </c>
      <c r="AK354" s="263">
        <f>IFERROR(AK79,0)</f>
        <v>5659.16578978413</v>
      </c>
      <c r="AL354" s="263">
        <f>IFERROR(AL79,0)</f>
        <v>22516.3917567986</v>
      </c>
      <c r="AM354" s="263">
        <f>IFERROR(AM79,0)</f>
        <v>6058.10561255382</v>
      </c>
      <c r="AN354" s="263">
        <f>IFERROR(AN79,0)</f>
        <v>6760.83176679654</v>
      </c>
      <c r="AO354" s="263">
        <f>IFERROR(AO79,0)</f>
        <v>6017.55947558894</v>
      </c>
      <c r="AP354" s="263">
        <f>IFERROR(AP79,0)</f>
        <v>6473.93608863776</v>
      </c>
      <c r="AQ354" s="263">
        <f>IFERROR(AQ79,0)</f>
        <v>25310.4329435771</v>
      </c>
      <c r="AR354" s="263">
        <f>IFERROR(AR79,0)</f>
        <v>6900.02217362381</v>
      </c>
      <c r="AS354" s="263">
        <f>IFERROR(AS79,0)</f>
        <v>7700.40868986616</v>
      </c>
      <c r="AT354" s="263">
        <f>IFERROR(AT79,0)</f>
        <v>6853.84119527759</v>
      </c>
      <c r="AU354" s="263">
        <f>IFERROR(AU79,0)</f>
        <v>7373.64209525443</v>
      </c>
      <c r="AV354" s="263">
        <f>IFERROR(AV79,0)</f>
        <v>28827.914154022</v>
      </c>
      <c r="AW354" s="263">
        <f>IFERROR(AW79,0)</f>
        <v>7824.44277349503</v>
      </c>
      <c r="AX354" s="263">
        <f>IFERROR(AX79,0)</f>
        <v>8732.05992825646</v>
      </c>
      <c r="AY354" s="263">
        <f>IFERROR(AY79,0)</f>
        <v>7772.07476463916</v>
      </c>
      <c r="AZ354" s="263">
        <f>IFERROR(AZ79,0)</f>
        <v>8361.51524658821</v>
      </c>
      <c r="BA354" s="263">
        <f>IFERROR(BA79,0)</f>
        <v>32690.0927129789</v>
      </c>
      <c r="BB354" s="263">
        <f>IFERROR(BB79,0)</f>
        <v>8833.58908693484</v>
      </c>
      <c r="BC354" s="263">
        <f>IFERROR(BC79,0)</f>
        <v>9858.26486583816</v>
      </c>
      <c r="BD354" s="263">
        <f>IFERROR(BD79,0)</f>
        <v>8774.46698905195</v>
      </c>
      <c r="BE354" s="263">
        <f>IFERROR(BE79,0)</f>
        <v>9439.92971393516</v>
      </c>
      <c r="BF354" s="263">
        <f>IFERROR(BF79,0)</f>
        <v>36906.2506557601</v>
      </c>
      <c r="BG354" s="63" t="n"/>
      <c r="BH354" s="63" t="n"/>
      <c r="BI354" s="63" t="n"/>
      <c r="BJ354" s="63" t="n"/>
      <c r="BL354" s="63" t="n"/>
      <c r="BM354" s="63" t="n"/>
      <c r="BN354" s="63" t="n"/>
      <c r="BO354" s="63" t="n"/>
      <c r="BQ354" s="63" t="n"/>
      <c r="BR354" s="63" t="n"/>
      <c r="BS354" s="63" t="n"/>
      <c r="BT354" s="63" t="n"/>
      <c r="BV354" s="63" t="n"/>
      <c r="BW354" s="63" t="n"/>
      <c r="BX354" s="63" t="n"/>
      <c r="BY354" s="63" t="n"/>
      <c r="CA354" s="63" t="n"/>
      <c r="CB354" s="63" t="n"/>
      <c r="CC354" s="63" t="n"/>
      <c r="CD354" s="63" t="n"/>
      <c r="CF354" s="63" t="n"/>
      <c r="CG354" s="63" t="n"/>
      <c r="CH354" s="63" t="n"/>
      <c r="CI354" s="63" t="n"/>
      <c r="CK354" s="63" t="n"/>
      <c r="CL354" s="63" t="n"/>
      <c r="CM354" s="63" t="n"/>
      <c r="CN354" s="63" t="n"/>
      <c r="CP354" s="63" t="n"/>
      <c r="CQ354" s="63" t="n"/>
      <c r="CR354" s="63" t="n"/>
      <c r="CS354" s="63" t="n"/>
      <c r="CU354" s="63" t="n"/>
      <c r="CV354" s="63" t="n"/>
      <c r="CW354" s="63" t="n"/>
      <c r="CX354" s="63" t="n"/>
    </row>
    <row r="355" customFormat="1" s="77">
      <c r="A355" s="76" t="n"/>
      <c r="B355" s="76" t="n"/>
      <c r="C355" s="77" t="inlineStr">
        <is>
          <t>ETR (LIMITED TO 0%-100%)</t>
        </is>
      </c>
      <c r="D355" s="87">
        <f>IFERROR(D138,"")</f>
        <v>0</v>
      </c>
      <c r="E355" s="87">
        <f>IFERROR(E138,"")</f>
        <v>0</v>
      </c>
      <c r="F355" s="87">
        <f>IFERROR(F138,"")</f>
        <v>0</v>
      </c>
      <c r="G355" s="87">
        <f>IFERROR(G138,"")</f>
        <v>0</v>
      </c>
      <c r="H355" s="258" t="str">
        <f>IFERROR(IF(N(H136)&lt;&gt;0,MAX(0,MIN(1,-H137/H136)),""),"")</f>
        <v/>
      </c>
      <c r="I355" s="258">
        <f>IFERROR(IF(N(I136)&lt;&gt;0,MAX(0,MIN(1,-I137/I136)),""),"")</f>
        <v>0</v>
      </c>
      <c r="J355" s="258">
        <f>IFERROR(IF(N(J136)&lt;&gt;0,MAX(0,MIN(1,-J137/J136)),""),"")</f>
        <v>0.0298363811357074</v>
      </c>
      <c r="K355" s="258">
        <f>IFERROR(IF(N(K136)&lt;&gt;0,MAX(0,MIN(1,-K137/K136)),""),"")</f>
        <v>0.0835509138381201</v>
      </c>
      <c r="L355" s="258">
        <f>IFERROR(IF(N(L136)&lt;&gt;0,MAX(0,MIN(1,-L137/L136)),""),"")</f>
        <v>0.16644385026738</v>
      </c>
      <c r="M355" s="258">
        <f>IFERROR(IF(N(M136)&lt;&gt;0,MAX(0,MIN(1,-M137/M136)),""),"")</f>
        <v>0</v>
      </c>
      <c r="N355" s="258">
        <f>IFERROR(IF(N(N136)&lt;&gt;0,MAX(0,MIN(1,-N137/N136)),""),"")</f>
        <v>0.183450704225352</v>
      </c>
      <c r="O355" s="258">
        <f>IFERROR(IF(N(O136)&lt;&gt;0,MAX(0,MIN(1,-O137/O136)),""),"")</f>
        <v>0.120033112582781</v>
      </c>
      <c r="P355" s="258">
        <f>IFERROR(IF(N(P136)&lt;&gt;0,MAX(0,MIN(1,-P137/P136)),""),"")</f>
        <v>0.0652173913043478</v>
      </c>
      <c r="Q355" s="258">
        <f>IFERROR(IF(N(Q136)&lt;&gt;0,MAX(0,MIN(1,-Q137/Q136)),""),"")</f>
        <v>0.187966417910448</v>
      </c>
      <c r="R355" s="258">
        <f>IFERROR(IF(N(R136)&lt;&gt;0,MAX(0,MIN(1,-R137/R136)),""),"")</f>
        <v>0.14292673421668</v>
      </c>
      <c r="S355" s="258">
        <f>IFERROR(IF(N(S136)&lt;&gt;0,MAX(0,MIN(1,-S137/S136)),""),"")</f>
        <v>0.145175834084761</v>
      </c>
      <c r="T355" s="258">
        <f>IFERROR(IF(N(T136)&lt;&gt;0,MAX(0,MIN(1,-T137/T136)),""),"")</f>
        <v>0</v>
      </c>
      <c r="U355" s="258">
        <f>IFERROR(IF(N(U136)&lt;&gt;0,MAX(0,MIN(1,-U137/U136)),""),"")</f>
        <v>0</v>
      </c>
      <c r="V355" s="258">
        <f>IFERROR(IF(N(V136)&lt;&gt;0,MAX(0,MIN(1,-V137/V136)),""),"")</f>
        <v>0.0797794117647059</v>
      </c>
      <c r="W355" s="258">
        <f>IFERROR(IF(N(W136)&lt;&gt;0,MAX(0,MIN(1,-W137/W136)),""),"")</f>
        <v>0.0272500479754366</v>
      </c>
      <c r="X355" s="258">
        <f>IFERROR(IF(N(X136)&lt;&gt;0,MAX(0,MIN(1,-X137/X136)),""),"")</f>
        <v>0.16195462478185</v>
      </c>
      <c r="Y355" s="258">
        <f>IFERROR(IF(N(Y136)&lt;&gt;0,MAX(0,MIN(1,-Y137/Y136)),""),"")</f>
        <v>0.168693812797462</v>
      </c>
      <c r="Z355" s="258">
        <f>IFERROR(IF(N(Z136)&lt;&gt;0,MAX(0,MIN(1,-Z137/Z136)),""),"")</f>
        <v>0.0757336699274219</v>
      </c>
      <c r="AA355" s="258">
        <f>IFERROR(IF(N(AA136)&lt;&gt;0,MAX(0,MIN(1,-AA137/AA136)),""),"")</f>
        <v>0.0705014749262537</v>
      </c>
      <c r="AB355" s="258">
        <f>IFERROR(IF(N(AB136)&lt;&gt;0,MAX(0,MIN(1,-AB137/AB136)),""),"")</f>
        <v>0.119718309859155</v>
      </c>
      <c r="AC355" s="258">
        <f>IFERROR(IF(N(AC136)&lt;&gt;0,MAX(0,MIN(1,-AC137/AC136)),""),"")</f>
        <v>0.148491879350348</v>
      </c>
      <c r="AD355" s="258">
        <f>IFERROR(IF(N(AD136)&lt;&gt;0,MAX(0,MIN(1,-AD137/AD136)),""),"")</f>
        <v>0.174614643545279</v>
      </c>
      <c r="AE355" s="258">
        <f>IFERROR(IF(N(AE136)&lt;&gt;0,MAX(0,MIN(1,-AE137/AE136)),""),"")</f>
        <v>0.145900204260286</v>
      </c>
      <c r="AF355" s="258">
        <f>IFERROR(IF(N(AF136)&lt;&gt;0,MAX(0,MIN(1,-AF137/AF136)),""),"")</f>
        <v>0.032639545884579</v>
      </c>
      <c r="AG355" s="258">
        <f>IFERROR(IF(N(AG136)&lt;&gt;0,MAX(0,MIN(1,-AG137/AG136)),""),"")</f>
        <v>0.111923541942541</v>
      </c>
      <c r="AH355" s="258">
        <f>IFERROR(IF(N(AH136)&lt;&gt;0,MAX(0,MIN(1,-AH137/AH136)),""),"")</f>
        <v>0.157382246376812</v>
      </c>
      <c r="AI355" s="258">
        <f>IFERROR(IF(N(AI136)&lt;&gt;0,MAX(0,MIN(1,-AI137/AI136)),""),"")</f>
        <v>0.198360961072825</v>
      </c>
      <c r="AJ355" s="258">
        <f>IFERROR(IF(N(AJ136)&lt;&gt;0,MAX(0,MIN(1,-AJ137/AJ136)),""),"")</f>
        <v>0.142898246748355</v>
      </c>
      <c r="AK355" s="258">
        <f>IFERROR(IF(N(AK136)&lt;&gt;0,MAX(0,MIN(1,-AK137/AK136)),""),"")</f>
        <v>0.142898246748355</v>
      </c>
      <c r="AL355" s="258">
        <f>IFERROR(IF(N(AL136)&lt;&gt;0,MAX(0,MIN(1,-AL137/AL136)),""),"")</f>
        <v>0.159343427872935</v>
      </c>
      <c r="AM355" s="258">
        <f>IFERROR(IF(N(AM136)&lt;&gt;0,MAX(0,MIN(1,-AM137/AM136)),""),"")</f>
        <v>0.142898246748355</v>
      </c>
      <c r="AN355" s="258">
        <f>IFERROR(IF(N(AN136)&lt;&gt;0,MAX(0,MIN(1,-AN137/AN136)),""),"")</f>
        <v>0.142898246748355</v>
      </c>
      <c r="AO355" s="258">
        <f>IFERROR(IF(N(AO136)&lt;&gt;0,MAX(0,MIN(1,-AO137/AO136)),""),"")</f>
        <v>0.142898246748355</v>
      </c>
      <c r="AP355" s="258">
        <f>IFERROR(IF(N(AP136)&lt;&gt;0,MAX(0,MIN(1,-AP137/AP136)),""),"")</f>
        <v>0.142898246748355</v>
      </c>
      <c r="AQ355" s="258">
        <f>IFERROR(IF(N(AQ136)&lt;&gt;0,MAX(0,MIN(1,-AQ137/AQ136)),""),"")</f>
        <v>0.142898246748355</v>
      </c>
      <c r="AR355" s="258">
        <f>IFERROR(IF(N(AR136)&lt;&gt;0,MAX(0,MIN(1,-AR137/AR136)),""),"")</f>
        <v>0.142898246748355</v>
      </c>
      <c r="AS355" s="258">
        <f>IFERROR(IF(N(AS136)&lt;&gt;0,MAX(0,MIN(1,-AS137/AS136)),""),"")</f>
        <v>0.142898246748355</v>
      </c>
      <c r="AT355" s="258">
        <f>IFERROR(IF(N(AT136)&lt;&gt;0,MAX(0,MIN(1,-AT137/AT136)),""),"")</f>
        <v>0.142898246748355</v>
      </c>
      <c r="AU355" s="258">
        <f>IFERROR(IF(N(AU136)&lt;&gt;0,MAX(0,MIN(1,-AU137/AU136)),""),"")</f>
        <v>0.142898246748355</v>
      </c>
      <c r="AV355" s="258">
        <f>IFERROR(IF(N(AV136)&lt;&gt;0,MAX(0,MIN(1,-AV137/AV136)),""),"")</f>
        <v>0.142898246748355</v>
      </c>
      <c r="AW355" s="258">
        <f>IFERROR(IF(N(AW136)&lt;&gt;0,MAX(0,MIN(1,-AW137/AW136)),""),"")</f>
        <v>0.142898246748355</v>
      </c>
      <c r="AX355" s="258">
        <f>IFERROR(IF(N(AX136)&lt;&gt;0,MAX(0,MIN(1,-AX137/AX136)),""),"")</f>
        <v>0.142898246748355</v>
      </c>
      <c r="AY355" s="258">
        <f>IFERROR(IF(N(AY136)&lt;&gt;0,MAX(0,MIN(1,-AY137/AY136)),""),"")</f>
        <v>0.142898246748355</v>
      </c>
      <c r="AZ355" s="258">
        <f>IFERROR(IF(N(AZ136)&lt;&gt;0,MAX(0,MIN(1,-AZ137/AZ136)),""),"")</f>
        <v>0.142898246748355</v>
      </c>
      <c r="BA355" s="258">
        <f>IFERROR(IF(N(BA136)&lt;&gt;0,MAX(0,MIN(1,-BA137/BA136)),""),"")</f>
        <v>0.142898246748355</v>
      </c>
      <c r="BB355" s="258">
        <f>IFERROR(IF(N(BB136)&lt;&gt;0,MAX(0,MIN(1,-BB137/BB136)),""),"")</f>
        <v>0.142898246748355</v>
      </c>
      <c r="BC355" s="258">
        <f>IFERROR(IF(N(BC136)&lt;&gt;0,MAX(0,MIN(1,-BC137/BC136)),""),"")</f>
        <v>0.142898246748355</v>
      </c>
      <c r="BD355" s="258">
        <f>IFERROR(IF(N(BD136)&lt;&gt;0,MAX(0,MIN(1,-BD137/BD136)),""),"")</f>
        <v>0.142898246748355</v>
      </c>
      <c r="BE355" s="258">
        <f>IFERROR(IF(N(BE136)&lt;&gt;0,MAX(0,MIN(1,-BE137/BE136)),""),"")</f>
        <v>0.142898246748355</v>
      </c>
      <c r="BF355" s="258">
        <f>IFERROR(IF(N(BF136)&lt;&gt;0,MAX(0,MIN(1,-BF137/BF136)),""),"")</f>
        <v>0.142898246748355</v>
      </c>
      <c r="BG355" s="88" t="n"/>
      <c r="BH355" s="88" t="n"/>
      <c r="BI355" s="88" t="n"/>
      <c r="BJ355" s="88" t="n"/>
      <c r="BL355" s="88" t="n"/>
      <c r="BM355" s="88" t="n"/>
      <c r="BN355" s="88" t="n"/>
      <c r="BO355" s="88" t="n"/>
      <c r="BQ355" s="88" t="n"/>
      <c r="BR355" s="88" t="n"/>
      <c r="BS355" s="88" t="n"/>
      <c r="BT355" s="88" t="n"/>
      <c r="BV355" s="88" t="n"/>
      <c r="BW355" s="88" t="n"/>
      <c r="BX355" s="88" t="n"/>
      <c r="BY355" s="88" t="n"/>
      <c r="CA355" s="88" t="n"/>
      <c r="CB355" s="88" t="n"/>
      <c r="CC355" s="88" t="n"/>
      <c r="CD355" s="88" t="n"/>
      <c r="CF355" s="88" t="n"/>
      <c r="CG355" s="88" t="n"/>
      <c r="CH355" s="88" t="n"/>
      <c r="CI355" s="88" t="n"/>
      <c r="CK355" s="88" t="n"/>
      <c r="CL355" s="88" t="n"/>
      <c r="CM355" s="88" t="n"/>
      <c r="CN355" s="88" t="n"/>
      <c r="CP355" s="88" t="n"/>
      <c r="CQ355" s="88" t="n"/>
      <c r="CR355" s="88" t="n"/>
      <c r="CS355" s="88" t="n"/>
      <c r="CU355" s="88" t="n"/>
      <c r="CV355" s="88" t="n"/>
      <c r="CW355" s="88" t="n"/>
      <c r="CX355" s="88" t="n"/>
    </row>
    <row r="356" customFormat="1" s="77">
      <c r="A356" s="76" t="n"/>
      <c r="B356" s="76" t="n"/>
      <c r="C356" s="77" t="inlineStr">
        <is>
          <t>INVESTED CAPITAL</t>
        </is>
      </c>
      <c r="D356" s="86">
        <f>IFERROR(D359-D360+D361,"")</f>
        <v>0</v>
      </c>
      <c r="E356" s="86">
        <f>IFERROR(E359-E360+E361,"")</f>
        <v>0</v>
      </c>
      <c r="F356" s="86">
        <f>IFERROR(F359-F360+F361,"")</f>
        <v>0</v>
      </c>
      <c r="G356" s="86">
        <f>IFERROR(G359-G360+G361,"")</f>
        <v>0</v>
      </c>
      <c r="H356" s="263">
        <f>IFERROR(H358+H361,0)</f>
        <v>0</v>
      </c>
      <c r="I356" s="263">
        <f>IFERROR(I358+I361,0)</f>
        <v>-18335</v>
      </c>
      <c r="J356" s="263">
        <f>IFERROR(J358+J361,0)</f>
        <v>-32738</v>
      </c>
      <c r="K356" s="263">
        <f>IFERROR(K358+K361,0)</f>
        <v>-32792</v>
      </c>
      <c r="L356" s="263">
        <f>IFERROR(L358+L361,0)</f>
        <v>-25719</v>
      </c>
      <c r="M356" s="263">
        <f>IFERROR(M358+M361,0)</f>
        <v>-25719</v>
      </c>
      <c r="N356" s="263">
        <f>IFERROR(N358+N361,0)</f>
        <v>-25138</v>
      </c>
      <c r="O356" s="263">
        <f>IFERROR(O358+O361,0)</f>
        <v>-21639</v>
      </c>
      <c r="P356" s="263">
        <f>IFERROR(P358+P361,0)</f>
        <v>-8976</v>
      </c>
      <c r="Q356" s="263">
        <f>IFERROR(Q358+Q361,0)</f>
        <v>-3961</v>
      </c>
      <c r="R356" s="263">
        <f>IFERROR(R358+R361,0)</f>
        <v>-3961</v>
      </c>
      <c r="S356" s="263">
        <f>IFERROR(S358+S361,0)</f>
        <v>-3867</v>
      </c>
      <c r="T356" s="263">
        <f>IFERROR(T358+T361,0)</f>
        <v>-2859</v>
      </c>
      <c r="U356" s="263">
        <f>IFERROR(U358+U361,0)</f>
        <v>-3961</v>
      </c>
      <c r="V356" s="263">
        <f>IFERROR(V358+V361,0)</f>
        <v>932</v>
      </c>
      <c r="W356" s="263">
        <f>IFERROR(W358+W361,0)</f>
        <v>932</v>
      </c>
      <c r="X356" s="263">
        <f>IFERROR(X358+X361,0)</f>
        <v>761</v>
      </c>
      <c r="Y356" s="263">
        <f>IFERROR(Y358+Y361,0)</f>
        <v>2270</v>
      </c>
      <c r="Z356" s="263">
        <f>IFERROR(Z358+Z361,0)</f>
        <v>3800</v>
      </c>
      <c r="AA356" s="263">
        <f>IFERROR(AA358+AA361,0)</f>
        <v>5789</v>
      </c>
      <c r="AB356" s="263">
        <f>IFERROR(AB358+AB361,0)</f>
        <v>5789</v>
      </c>
      <c r="AC356" s="263">
        <f>IFERROR(AC358+AC361,0)</f>
        <v>1646</v>
      </c>
      <c r="AD356" s="263">
        <f>IFERROR(AD358+AD361,0)</f>
        <v>21302</v>
      </c>
      <c r="AE356" s="263">
        <f>IFERROR(AE358+AE361,0)</f>
        <v>27755</v>
      </c>
      <c r="AF356" s="263">
        <f>IFERROR(AF358+AF361,0)</f>
        <v>27002</v>
      </c>
      <c r="AG356" s="263">
        <f>IFERROR(AG358+AG361,0)</f>
        <v>27002</v>
      </c>
      <c r="AH356" s="263">
        <f>IFERROR(AH358+AH361,0)</f>
        <v>18431</v>
      </c>
      <c r="AI356" s="263">
        <f>IFERROR(AI358+AI361,0)</f>
        <v>37810</v>
      </c>
      <c r="AJ356" s="263">
        <f>IFERROR(AJ358+AJ361,0)</f>
        <v>52960.368128735</v>
      </c>
      <c r="AK356" s="263">
        <f>IFERROR(AK358+AK361,0)</f>
        <v>66637.1137422532</v>
      </c>
      <c r="AL356" s="263">
        <f>IFERROR(AL358+AL361,0)</f>
        <v>66637.1137422532</v>
      </c>
      <c r="AM356" s="263">
        <f>IFERROR(AM358+AM361,0)</f>
        <v>81290.8293720408</v>
      </c>
      <c r="AN356" s="263">
        <f>IFERROR(AN358+AN361,0)</f>
        <v>97650.1388567057</v>
      </c>
      <c r="AO356" s="263">
        <f>IFERROR(AO358+AO361,0)</f>
        <v>111570.455190581</v>
      </c>
      <c r="AP356" s="263">
        <f>IFERROR(AP358+AP361,0)</f>
        <v>127007.899197319</v>
      </c>
      <c r="AQ356" s="263">
        <f>IFERROR(AQ358+AQ361,0)</f>
        <v>127007.899197319</v>
      </c>
      <c r="AR356" s="263">
        <f>IFERROR(AR358+AR361,0)</f>
        <v>143443.035168287</v>
      </c>
      <c r="AS356" s="263">
        <f>IFERROR(AS358+AS361,0)</f>
        <v>161861.669125064</v>
      </c>
      <c r="AT356" s="263">
        <f>IFERROR(AT358+AT361,0)</f>
        <v>177442.359195932</v>
      </c>
      <c r="AU356" s="263">
        <f>IFERROR(AU358+AU361,0)</f>
        <v>194716.03784831</v>
      </c>
      <c r="AV356" s="263">
        <f>IFERROR(AV358+AV361,0)</f>
        <v>194716.03784831</v>
      </c>
      <c r="AW356" s="263">
        <f>IFERROR(AW358+AW361,0)</f>
        <v>213035.321219326</v>
      </c>
      <c r="AX356" s="263">
        <f>IFERROR(AX358+AX361,0)</f>
        <v>233508.878898457</v>
      </c>
      <c r="AY356" s="263">
        <f>IFERROR(AY358+AY361,0)</f>
        <v>250750.681304623</v>
      </c>
      <c r="AZ356" s="263">
        <f>IFERROR(AZ358+AZ361,0)</f>
        <v>269860.274160367</v>
      </c>
      <c r="BA356" s="263">
        <f>IFERROR(BA358+BA361,0)</f>
        <v>269860.274160367</v>
      </c>
      <c r="BB356" s="263">
        <f>IFERROR(BB358+BB361,0)</f>
        <v>290008.099543231</v>
      </c>
      <c r="BC356" s="263">
        <f>IFERROR(BC358+BC361,0)</f>
        <v>312541.037878235</v>
      </c>
      <c r="BD356" s="263">
        <f>IFERROR(BD358+BD361,0)</f>
        <v>331357.651805289</v>
      </c>
      <c r="BE356" s="263">
        <f>IFERROR(BE358+BE361,0)</f>
        <v>352207.418873113</v>
      </c>
      <c r="BF356" s="263">
        <f>IFERROR(BF358+BF361,0)</f>
        <v>352207.418873113</v>
      </c>
      <c r="BG356" s="63" t="n"/>
      <c r="BH356" s="63" t="n"/>
      <c r="BI356" s="63" t="n"/>
      <c r="BJ356" s="63" t="n"/>
      <c r="BL356" s="63" t="n"/>
      <c r="BM356" s="63" t="n"/>
      <c r="BN356" s="63" t="n"/>
      <c r="BO356" s="63" t="n"/>
      <c r="BQ356" s="63" t="n"/>
      <c r="BR356" s="63" t="n"/>
      <c r="BS356" s="63" t="n"/>
      <c r="BT356" s="63" t="n"/>
      <c r="BV356" s="63" t="n"/>
      <c r="BW356" s="63" t="n"/>
      <c r="BX356" s="63" t="n"/>
      <c r="BY356" s="63" t="n"/>
      <c r="CA356" s="63" t="n"/>
      <c r="CB356" s="63" t="n"/>
      <c r="CC356" s="63" t="n"/>
      <c r="CD356" s="63" t="n"/>
      <c r="CF356" s="63" t="n"/>
      <c r="CG356" s="63" t="n"/>
      <c r="CH356" s="63" t="n"/>
      <c r="CI356" s="63" t="n"/>
      <c r="CK356" s="63" t="n"/>
      <c r="CL356" s="63" t="n"/>
      <c r="CM356" s="63" t="n"/>
      <c r="CN356" s="63" t="n"/>
      <c r="CP356" s="63" t="n"/>
      <c r="CQ356" s="63" t="n"/>
      <c r="CR356" s="63" t="n"/>
      <c r="CS356" s="63" t="n"/>
      <c r="CU356" s="63" t="n"/>
      <c r="CV356" s="63" t="n"/>
      <c r="CW356" s="63" t="n"/>
      <c r="CX356" s="63" t="n"/>
    </row>
    <row r="357" customFormat="1" s="77">
      <c r="A357" s="76" t="n"/>
      <c r="B357" s="76" t="n"/>
      <c r="C357" s="77" t="inlineStr">
        <is>
          <t>INVESTED CAPITAL - EX GOODWILL</t>
        </is>
      </c>
      <c r="D357" s="89">
        <f>IFERROR(D356-D185,"")</f>
        <v>0</v>
      </c>
      <c r="E357" s="89">
        <f>IFERROR(E356-E185,"")</f>
        <v>0</v>
      </c>
      <c r="F357" s="89">
        <f>IFERROR(F356-F185,"")</f>
        <v>0</v>
      </c>
      <c r="G357" s="89">
        <f>IFERROR(G356-G185,"")</f>
        <v>0</v>
      </c>
      <c r="H357" s="263">
        <f>IFERROR(H356-N(H185),0)</f>
        <v>0</v>
      </c>
      <c r="I357" s="263">
        <f>IFERROR(I356-N(I185),0)</f>
        <v>-62289</v>
      </c>
      <c r="J357" s="263">
        <f>IFERROR(J356-N(J185),0)</f>
        <v>-76673</v>
      </c>
      <c r="K357" s="263">
        <f>IFERROR(K356-N(K185),0)</f>
        <v>-76654</v>
      </c>
      <c r="L357" s="263">
        <f>IFERROR(L356-N(L185),0)</f>
        <v>-69561</v>
      </c>
      <c r="M357" s="263">
        <f>IFERROR(M356-N(M185),0)</f>
        <v>-69561</v>
      </c>
      <c r="N357" s="263">
        <f>IFERROR(N356-N(N185),0)</f>
        <v>-68971</v>
      </c>
      <c r="O357" s="263">
        <f>IFERROR(O356-N(O185),0)</f>
        <v>-65450</v>
      </c>
      <c r="P357" s="263">
        <f>IFERROR(P356-N(P185),0)</f>
        <v>-70605</v>
      </c>
      <c r="Q357" s="263">
        <f>IFERROR(Q356-N(Q185),0)</f>
        <v>-65474</v>
      </c>
      <c r="R357" s="263">
        <f>IFERROR(R356-N(R185),0)</f>
        <v>-65474</v>
      </c>
      <c r="S357" s="263">
        <f>IFERROR(S356-N(S185),0)</f>
        <v>-65366</v>
      </c>
      <c r="T357" s="263">
        <f>IFERROR(T356-N(T185),0)</f>
        <v>-65120</v>
      </c>
      <c r="U357" s="263">
        <f>IFERROR(U356-N(U185),0)</f>
        <v>-66167</v>
      </c>
      <c r="V357" s="263">
        <f>IFERROR(V356-N(V185),0)</f>
        <v>-61299</v>
      </c>
      <c r="W357" s="263">
        <f>IFERROR(W356-N(W185),0)</f>
        <v>-61299</v>
      </c>
      <c r="X357" s="263">
        <f>IFERROR(X356-N(X185),0)</f>
        <v>-61461</v>
      </c>
      <c r="Y357" s="263">
        <f>IFERROR(Y356-N(Y185),0)</f>
        <v>-59960</v>
      </c>
      <c r="Z357" s="263">
        <f>IFERROR(Z356-N(Z185),0)</f>
        <v>-58449</v>
      </c>
      <c r="AA357" s="263">
        <f>IFERROR(AA356-N(AA185),0)</f>
        <v>-56415</v>
      </c>
      <c r="AB357" s="263">
        <f>IFERROR(AB356-N(AB185),0)</f>
        <v>-56415</v>
      </c>
      <c r="AC357" s="263">
        <f>IFERROR(AC356-N(AC185),0)</f>
        <v>-60525</v>
      </c>
      <c r="AD357" s="263">
        <f>IFERROR(AD356-N(AD185),0)</f>
        <v>-40905</v>
      </c>
      <c r="AE357" s="263">
        <f>IFERROR(AE356-N(AE185),0)</f>
        <v>-34456</v>
      </c>
      <c r="AF357" s="263">
        <f>IFERROR(AF356-N(AF185),0)</f>
        <v>-35205</v>
      </c>
      <c r="AG357" s="263">
        <f>IFERROR(AG356-N(AG185),0)</f>
        <v>-35205</v>
      </c>
      <c r="AH357" s="263">
        <f>IFERROR(AH356-N(AH185),0)</f>
        <v>-43843</v>
      </c>
      <c r="AI357" s="263">
        <f>IFERROR(AI356-N(AI185),0)</f>
        <v>-24451</v>
      </c>
      <c r="AJ357" s="263">
        <f>IFERROR(AJ356-N(AJ185),0)</f>
        <v>-9300.63187126505</v>
      </c>
      <c r="AK357" s="263">
        <f>IFERROR(AK356-N(AK185),0)</f>
        <v>4376.11374225321</v>
      </c>
      <c r="AL357" s="263">
        <f>IFERROR(AL356-N(AL185),0)</f>
        <v>4376.11374225321</v>
      </c>
      <c r="AM357" s="263">
        <f>IFERROR(AM356-N(AM185),0)</f>
        <v>19029.8293720408</v>
      </c>
      <c r="AN357" s="263">
        <f>IFERROR(AN356-N(AN185),0)</f>
        <v>35389.1388567057</v>
      </c>
      <c r="AO357" s="263">
        <f>IFERROR(AO356-N(AO185),0)</f>
        <v>49309.4551905806</v>
      </c>
      <c r="AP357" s="263">
        <f>IFERROR(AP356-N(AP185),0)</f>
        <v>64746.8991973192</v>
      </c>
      <c r="AQ357" s="263">
        <f>IFERROR(AQ356-N(AQ185),0)</f>
        <v>64746.8991973192</v>
      </c>
      <c r="AR357" s="263">
        <f>IFERROR(AR356-N(AR185),0)</f>
        <v>81182.0351682866</v>
      </c>
      <c r="AS357" s="263">
        <f>IFERROR(AS356-N(AS185),0)</f>
        <v>99600.6691250637</v>
      </c>
      <c r="AT357" s="263">
        <f>IFERROR(AT356-N(AT185),0)</f>
        <v>115181.359195932</v>
      </c>
      <c r="AU357" s="263">
        <f>IFERROR(AU356-N(AU185),0)</f>
        <v>132455.03784831</v>
      </c>
      <c r="AV357" s="263">
        <f>IFERROR(AV356-N(AV185),0)</f>
        <v>132455.03784831</v>
      </c>
      <c r="AW357" s="263">
        <f>IFERROR(AW356-N(AW185),0)</f>
        <v>150774.321219326</v>
      </c>
      <c r="AX357" s="263">
        <f>IFERROR(AX356-N(AX185),0)</f>
        <v>171247.878898457</v>
      </c>
      <c r="AY357" s="263">
        <f>IFERROR(AY356-N(AY185),0)</f>
        <v>188489.681304623</v>
      </c>
      <c r="AZ357" s="263">
        <f>IFERROR(AZ356-N(AZ185),0)</f>
        <v>207599.274160367</v>
      </c>
      <c r="BA357" s="263">
        <f>IFERROR(BA356-N(BA185),0)</f>
        <v>207599.274160367</v>
      </c>
      <c r="BB357" s="263">
        <f>IFERROR(BB356-N(BB185),0)</f>
        <v>227747.099543231</v>
      </c>
      <c r="BC357" s="263">
        <f>IFERROR(BC356-N(BC185),0)</f>
        <v>250280.037878235</v>
      </c>
      <c r="BD357" s="263">
        <f>IFERROR(BD356-N(BD185),0)</f>
        <v>269096.651805289</v>
      </c>
      <c r="BE357" s="263">
        <f>IFERROR(BE356-N(BE185),0)</f>
        <v>289946.418873113</v>
      </c>
      <c r="BF357" s="263">
        <f>IFERROR(BF356-N(BF185),0)</f>
        <v>289946.418873113</v>
      </c>
      <c r="BG357" s="90" t="n"/>
      <c r="BH357" s="90" t="n"/>
      <c r="BI357" s="90" t="n"/>
      <c r="BJ357" s="90" t="n"/>
      <c r="BL357" s="90" t="n"/>
      <c r="BM357" s="90" t="n"/>
      <c r="BN357" s="90" t="n"/>
      <c r="BO357" s="90" t="n"/>
      <c r="BQ357" s="90" t="n"/>
      <c r="BR357" s="90" t="n"/>
      <c r="BS357" s="90" t="n"/>
      <c r="BT357" s="90" t="n"/>
      <c r="BV357" s="90" t="n"/>
      <c r="BW357" s="90" t="n"/>
      <c r="BX357" s="90" t="n"/>
      <c r="BY357" s="90" t="n"/>
      <c r="CA357" s="90" t="n"/>
      <c r="CB357" s="90" t="n"/>
      <c r="CC357" s="90" t="n"/>
      <c r="CD357" s="90" t="n"/>
      <c r="CF357" s="90" t="n"/>
      <c r="CG357" s="90" t="n"/>
      <c r="CH357" s="90" t="n"/>
      <c r="CI357" s="90" t="n"/>
      <c r="CK357" s="90" t="n"/>
      <c r="CL357" s="90" t="n"/>
      <c r="CM357" s="90" t="n"/>
      <c r="CN357" s="90" t="n"/>
      <c r="CP357" s="90" t="n"/>
      <c r="CQ357" s="90" t="n"/>
      <c r="CR357" s="90" t="n"/>
      <c r="CS357" s="90" t="n"/>
      <c r="CU357" s="90" t="n"/>
      <c r="CV357" s="90" t="n"/>
      <c r="CW357" s="90" t="n"/>
      <c r="CX357" s="90" t="n"/>
    </row>
    <row r="358" customFormat="1" s="77">
      <c r="A358" s="76" t="n"/>
      <c r="B358" s="76" t="n"/>
      <c r="C358" s="77" t="inlineStr">
        <is>
          <t>OPERATING WORKING CAPITAL</t>
        </is>
      </c>
      <c r="D358" s="91">
        <f>IFERROR(D359-D360,"")</f>
        <v>0</v>
      </c>
      <c r="E358" s="91">
        <f>IFERROR(E359-E360,"")</f>
        <v>0</v>
      </c>
      <c r="F358" s="91">
        <f>IFERROR(F359-F360,"")</f>
        <v>0</v>
      </c>
      <c r="G358" s="91">
        <f>IFERROR(G359-G360,"")</f>
        <v>0</v>
      </c>
      <c r="H358" s="263">
        <f>IFERROR(H359-H360,0)</f>
        <v>0</v>
      </c>
      <c r="I358" s="263">
        <f>IFERROR(I359-I360,0)</f>
        <v>1355</v>
      </c>
      <c r="J358" s="263">
        <f>IFERROR(J359-J360,0)</f>
        <v>-1515</v>
      </c>
      <c r="K358" s="263">
        <f>IFERROR(K359-K360,0)</f>
        <v>-1873</v>
      </c>
      <c r="L358" s="263">
        <f>IFERROR(L359-L360,0)</f>
        <v>2624</v>
      </c>
      <c r="M358" s="263">
        <f>IFERROR(M359-M360,0)</f>
        <v>2624</v>
      </c>
      <c r="N358" s="263">
        <f>IFERROR(N359-N360,0)</f>
        <v>562</v>
      </c>
      <c r="O358" s="263">
        <f>IFERROR(O359-O360,0)</f>
        <v>3002</v>
      </c>
      <c r="P358" s="263">
        <f>IFERROR(P359-P360,0)</f>
        <v>-12970</v>
      </c>
      <c r="Q358" s="263">
        <f>IFERROR(Q359-Q360,0)</f>
        <v>-4804</v>
      </c>
      <c r="R358" s="263">
        <f>IFERROR(R359-R360,0)</f>
        <v>-4804</v>
      </c>
      <c r="S358" s="263">
        <f>IFERROR(S359-S360,0)</f>
        <v>-800</v>
      </c>
      <c r="T358" s="263">
        <f>IFERROR(T359-T360,0)</f>
        <v>-47</v>
      </c>
      <c r="U358" s="263">
        <f>IFERROR(U359-U360,0)</f>
        <v>-3031</v>
      </c>
      <c r="V358" s="263">
        <f>IFERROR(V359-V360,0)</f>
        <v>-1050</v>
      </c>
      <c r="W358" s="263">
        <f>IFERROR(W359-W360,0)</f>
        <v>-1050</v>
      </c>
      <c r="X358" s="263">
        <f>IFERROR(X359-X360,0)</f>
        <v>-1038</v>
      </c>
      <c r="Y358" s="263">
        <f>IFERROR(Y359-Y360,0)</f>
        <v>-7378</v>
      </c>
      <c r="Z358" s="263">
        <f>IFERROR(Z359-Z360,0)</f>
        <v>-7665</v>
      </c>
      <c r="AA358" s="263">
        <f>IFERROR(AA359-AA360,0)</f>
        <v>-4876</v>
      </c>
      <c r="AB358" s="263">
        <f>IFERROR(AB359-AB360,0)</f>
        <v>-4876</v>
      </c>
      <c r="AC358" s="263">
        <f>IFERROR(AC359-AC360,0)</f>
        <v>-5531</v>
      </c>
      <c r="AD358" s="263">
        <f>IFERROR(AD359-AD360,0)</f>
        <v>-7390</v>
      </c>
      <c r="AE358" s="263">
        <f>IFERROR(AE359-AE360,0)</f>
        <v>-14511</v>
      </c>
      <c r="AF358" s="263">
        <f>IFERROR(AF359-AF360,0)</f>
        <v>-11664</v>
      </c>
      <c r="AG358" s="263">
        <f>IFERROR(AG359-AG360,0)</f>
        <v>-11664</v>
      </c>
      <c r="AH358" s="263">
        <f>IFERROR(AH359-AH360,0)</f>
        <v>-13635</v>
      </c>
      <c r="AI358" s="263">
        <f>IFERROR(AI359-AI360,0)</f>
        <v>-15550</v>
      </c>
      <c r="AJ358" s="263">
        <f>IFERROR(AJ359-AJ360,0)</f>
        <v>-13314.4259053028</v>
      </c>
      <c r="AK358" s="263">
        <f>IFERROR(AK359-AK360,0)</f>
        <v>-13531.9428268628</v>
      </c>
      <c r="AL358" s="263">
        <f>IFERROR(AL359-AL360,0)</f>
        <v>-13531.9428268628</v>
      </c>
      <c r="AM358" s="263">
        <f>IFERROR(AM359-AM360,0)</f>
        <v>-13751.958233194</v>
      </c>
      <c r="AN358" s="263">
        <f>IFERROR(AN359-AN360,0)</f>
        <v>-13991.6979746432</v>
      </c>
      <c r="AO358" s="263">
        <f>IFERROR(AO359-AO360,0)</f>
        <v>-14845.564670573</v>
      </c>
      <c r="AP358" s="263">
        <f>IFERROR(AP359-AP360,0)</f>
        <v>-15302.7897709365</v>
      </c>
      <c r="AQ358" s="263">
        <f>IFERROR(AQ359-AQ360,0)</f>
        <v>-15302.7897709365</v>
      </c>
      <c r="AR358" s="263">
        <f>IFERROR(AR359-AR360,0)</f>
        <v>-15808.4403291878</v>
      </c>
      <c r="AS358" s="263">
        <f>IFERROR(AS359-AS360,0)</f>
        <v>-16295.6847189222</v>
      </c>
      <c r="AT358" s="263">
        <f>IFERROR(AT359-AT360,0)</f>
        <v>-17542.3986291899</v>
      </c>
      <c r="AU358" s="263">
        <f>IFERROR(AU359-AU360,0)</f>
        <v>-18372.3279849233</v>
      </c>
      <c r="AV358" s="263">
        <f>IFERROR(AV359-AV360,0)</f>
        <v>-18372.3279849233</v>
      </c>
      <c r="AW358" s="263">
        <f>IFERROR(AW359-AW360,0)</f>
        <v>-19263.448783704</v>
      </c>
      <c r="AX358" s="263">
        <f>IFERROR(AX359-AX360,0)</f>
        <v>-20228.6574567176</v>
      </c>
      <c r="AY358" s="263">
        <f>IFERROR(AY359-AY360,0)</f>
        <v>-22068.686407584</v>
      </c>
      <c r="AZ358" s="263">
        <f>IFERROR(AZ359-AZ360,0)</f>
        <v>-23488.1065446879</v>
      </c>
      <c r="BA358" s="263">
        <f>IFERROR(BA359-BA360,0)</f>
        <v>-23488.1065446879</v>
      </c>
      <c r="BB358" s="263">
        <f>IFERROR(BB359-BB360,0)</f>
        <v>-25028.3197279389</v>
      </c>
      <c r="BC358" s="263">
        <f>IFERROR(BC359-BC360,0)</f>
        <v>-26699.1819660779</v>
      </c>
      <c r="BD358" s="263">
        <f>IFERROR(BD359-BD360,0)</f>
        <v>-29425.4512977801</v>
      </c>
      <c r="BE358" s="263">
        <f>IFERROR(BE359-BE360,0)</f>
        <v>-31752.3973057374</v>
      </c>
      <c r="BF358" s="263">
        <f>IFERROR(BF359-BF360,0)</f>
        <v>-31752.3973057374</v>
      </c>
      <c r="BG358" s="63" t="n"/>
      <c r="BH358" s="63" t="n"/>
      <c r="BI358" s="63" t="n"/>
      <c r="BJ358" s="63" t="n"/>
      <c r="BL358" s="63" t="n"/>
      <c r="BM358" s="63" t="n"/>
      <c r="BN358" s="63" t="n"/>
      <c r="BO358" s="63" t="n"/>
      <c r="BQ358" s="63" t="n"/>
      <c r="BR358" s="63" t="n"/>
      <c r="BS358" s="63" t="n"/>
      <c r="BT358" s="63" t="n"/>
      <c r="BV358" s="63" t="n"/>
      <c r="BW358" s="63" t="n"/>
      <c r="BX358" s="63" t="n"/>
      <c r="BY358" s="63" t="n"/>
      <c r="CA358" s="63" t="n"/>
      <c r="CB358" s="63" t="n"/>
      <c r="CC358" s="63" t="n"/>
      <c r="CD358" s="63" t="n"/>
      <c r="CF358" s="63" t="n"/>
      <c r="CG358" s="63" t="n"/>
      <c r="CH358" s="63" t="n"/>
      <c r="CI358" s="63" t="n"/>
      <c r="CK358" s="63" t="n"/>
      <c r="CL358" s="63" t="n"/>
      <c r="CM358" s="63" t="n"/>
      <c r="CN358" s="63" t="n"/>
      <c r="CP358" s="63" t="n"/>
      <c r="CQ358" s="63" t="n"/>
      <c r="CR358" s="63" t="n"/>
      <c r="CS358" s="63" t="n"/>
      <c r="CU358" s="63" t="n"/>
      <c r="CV358" s="63" t="n"/>
      <c r="CW358" s="63" t="n"/>
      <c r="CX358" s="63" t="n"/>
    </row>
    <row r="359" customFormat="1" s="77">
      <c r="A359" s="76" t="n"/>
      <c r="B359" s="76" t="n"/>
      <c r="C359" s="77" t="inlineStr">
        <is>
          <t>CURRENT ASSETS (OPERATING, EX CASH)</t>
        </is>
      </c>
      <c r="D359" s="89">
        <f>IFERROR(D151+D155+D159+D160+D161,"")</f>
        <v>0</v>
      </c>
      <c r="E359" s="89">
        <f>IFERROR(E151+E155+E159+E160+E161,"")</f>
        <v>0</v>
      </c>
      <c r="F359" s="89">
        <f>IFERROR(F151+F155+F159+F160+F161,"")</f>
        <v>0</v>
      </c>
      <c r="G359" s="89">
        <f>IFERROR(G151+G155+G159+G160+G161,"")</f>
        <v>0</v>
      </c>
      <c r="H359" s="263">
        <f>IFERROR((N(H151)+N(H155)+N(H159)+N(H160)+N(H161)),0)</f>
        <v>0</v>
      </c>
      <c r="I359" s="263">
        <f>IFERROR((N(I151)+N(I155)+N(I159)+N(I160)+N(I161)),0)</f>
        <v>21605</v>
      </c>
      <c r="J359" s="263">
        <f>IFERROR((N(J151)+N(J155)+N(J159)+N(J160)+N(J161)),0)</f>
        <v>22649</v>
      </c>
      <c r="K359" s="263">
        <f>IFERROR((N(K151)+N(K155)+N(K159)+N(K160)+N(K161)),0)</f>
        <v>21198</v>
      </c>
      <c r="L359" s="263">
        <f>IFERROR((N(L151)+N(L155)+N(L159)+N(L160)+N(L161)),0)</f>
        <v>21505</v>
      </c>
      <c r="M359" s="263">
        <f>IFERROR((N(M151)+N(M155)+N(M159)+N(M160)+N(M161)),0)</f>
        <v>21505</v>
      </c>
      <c r="N359" s="263">
        <f>IFERROR((N(N151)+N(N155)+N(N159)+N(N160)+N(N161)),0)</f>
        <v>21395</v>
      </c>
      <c r="O359" s="263">
        <f>IFERROR((N(O151)+N(O155)+N(O159)+N(O160)+N(O161)),0)</f>
        <v>22513</v>
      </c>
      <c r="P359" s="263">
        <f>IFERROR((N(P151)+N(P155)+N(P159)+N(P160)+N(P161)),0)</f>
        <v>21849</v>
      </c>
      <c r="Q359" s="263">
        <f>IFERROR((N(Q151)+N(Q155)+N(Q159)+N(Q160)+N(Q161)),0)</f>
        <v>22302</v>
      </c>
      <c r="R359" s="263">
        <f>IFERROR((N(R151)+N(R155)+N(R159)+N(R160)+N(R161)),0)</f>
        <v>22302</v>
      </c>
      <c r="S359" s="263">
        <f>IFERROR((N(S151)+N(S155)+N(S159)+N(S160)+N(S161)),0)</f>
        <v>22080</v>
      </c>
      <c r="T359" s="263">
        <f>IFERROR((N(T151)+N(T155)+N(T159)+N(T160)+N(T161)),0)</f>
        <v>23043</v>
      </c>
      <c r="U359" s="263">
        <f>IFERROR((N(U151)+N(U155)+N(U159)+N(U160)+N(U161)),0)</f>
        <v>22326</v>
      </c>
      <c r="V359" s="263">
        <f>IFERROR((N(V151)+N(V155)+N(V159)+N(V160)+N(V161)),0)</f>
        <v>23357</v>
      </c>
      <c r="W359" s="263">
        <f>IFERROR((N(W151)+N(W155)+N(W159)+N(W160)+N(W161)),0)</f>
        <v>23357</v>
      </c>
      <c r="X359" s="263">
        <f>IFERROR((N(X151)+N(X155)+N(X159)+N(X160)+N(X161)),0)</f>
        <v>23847</v>
      </c>
      <c r="Y359" s="263">
        <f>IFERROR((N(Y151)+N(Y155)+N(Y159)+N(Y160)+N(Y161)),0)</f>
        <v>24166</v>
      </c>
      <c r="Z359" s="263">
        <f>IFERROR((N(Z151)+N(Z155)+N(Z159)+N(Z160)+N(Z161)),0)</f>
        <v>24380</v>
      </c>
      <c r="AA359" s="263">
        <f>IFERROR((N(AA151)+N(AA155)+N(AA159)+N(AA160)+N(AA161)),0)</f>
        <v>24176</v>
      </c>
      <c r="AB359" s="263">
        <f>IFERROR((N(AB151)+N(AB155)+N(AB159)+N(AB160)+N(AB161)),0)</f>
        <v>24176</v>
      </c>
      <c r="AC359" s="263">
        <f>IFERROR((N(AC151)+N(AC155)+N(AC159)+N(AC160)+N(AC161)),0)</f>
        <v>24092</v>
      </c>
      <c r="AD359" s="263">
        <f>IFERROR((N(AD151)+N(AD155)+N(AD159)+N(AD160)+N(AD161)),0)</f>
        <v>25253</v>
      </c>
      <c r="AE359" s="263">
        <f>IFERROR((N(AE151)+N(AE155)+N(AE159)+N(AE160)+N(AE161)),0)</f>
        <v>25363</v>
      </c>
      <c r="AF359" s="263">
        <f>IFERROR((N(AF151)+N(AF155)+N(AF159)+N(AF160)+N(AF161)),0)</f>
        <v>26131</v>
      </c>
      <c r="AG359" s="263">
        <f>IFERROR((N(AG151)+N(AG155)+N(AG159)+N(AG160)+N(AG161)),0)</f>
        <v>26131</v>
      </c>
      <c r="AH359" s="263">
        <f>IFERROR((N(AH151)+N(AH155)+N(AH159)+N(AH160)+N(AH161)),0)</f>
        <v>27102</v>
      </c>
      <c r="AI359" s="263">
        <f>IFERROR((N(AI151)+N(AI155)+N(AI159)+N(AI160)+N(AI161)),0)</f>
        <v>26214</v>
      </c>
      <c r="AJ359" s="263">
        <f>IFERROR((N(AJ151)+N(AJ155)+N(AJ159)+N(AJ160)+N(AJ161)),0)</f>
        <v>25548.8133885645</v>
      </c>
      <c r="AK359" s="263">
        <f>IFERROR((N(AK151)+N(AK155)+N(AK159)+N(AK160)+N(AK161)),0)</f>
        <v>26285.971954547</v>
      </c>
      <c r="AL359" s="263">
        <f>IFERROR((N(AL151)+N(AL155)+N(AL159)+N(AL160)+N(AL161)),0)</f>
        <v>26285.971954547</v>
      </c>
      <c r="AM359" s="263">
        <f>IFERROR((N(AM151)+N(AM155)+N(AM159)+N(AM160)+N(AM161)),0)</f>
        <v>27271.8889765413</v>
      </c>
      <c r="AN359" s="263">
        <f>IFERROR((N(AN151)+N(AN155)+N(AN159)+N(AN160)+N(AN161)),0)</f>
        <v>28458.9051910689</v>
      </c>
      <c r="AO359" s="263">
        <f>IFERROR((N(AO151)+N(AO155)+N(AO159)+N(AO160)+N(AO161)),0)</f>
        <v>26948.2096164853</v>
      </c>
      <c r="AP359" s="263">
        <f>IFERROR((N(AP151)+N(AP155)+N(AP159)+N(AP160)+N(AP161)),0)</f>
        <v>27791.4995324615</v>
      </c>
      <c r="AQ359" s="263">
        <f>IFERROR((N(AQ151)+N(AQ155)+N(AQ159)+N(AQ160)+N(AQ161)),0)</f>
        <v>27791.4995324615</v>
      </c>
      <c r="AR359" s="263">
        <f>IFERROR((N(AR151)+N(AR155)+N(AR159)+N(AR160)+N(AR161)),0)</f>
        <v>28718.9266946904</v>
      </c>
      <c r="AS359" s="263">
        <f>IFERROR((N(AS151)+N(AS155)+N(AS159)+N(AS160)+N(AS161)),0)</f>
        <v>30214.1281972625</v>
      </c>
      <c r="AT359" s="263">
        <f>IFERROR((N(AT151)+N(AT155)+N(AT159)+N(AT160)+N(AT161)),0)</f>
        <v>28493.4858663296</v>
      </c>
      <c r="AU359" s="263">
        <f>IFERROR((N(AU151)+N(AU155)+N(AU159)+N(AU160)+N(AU161)),0)</f>
        <v>29453.9707920086</v>
      </c>
      <c r="AV359" s="263">
        <f>IFERROR((N(AV151)+N(AV155)+N(AV159)+N(AV160)+N(AV161)),0)</f>
        <v>29453.9707920086</v>
      </c>
      <c r="AW359" s="263">
        <f>IFERROR((N(AW151)+N(AW155)+N(AW159)+N(AW160)+N(AW161)),0)</f>
        <v>30608.2454748343</v>
      </c>
      <c r="AX359" s="263">
        <f>IFERROR((N(AX151)+N(AX155)+N(AX159)+N(AX160)+N(AX161)),0)</f>
        <v>32141.3551688178</v>
      </c>
      <c r="AY359" s="263">
        <f>IFERROR((N(AY151)+N(AY155)+N(AY159)+N(AY160)+N(AY161)),0)</f>
        <v>30190.1922430664</v>
      </c>
      <c r="AZ359" s="263">
        <f>IFERROR((N(AZ151)+N(AZ155)+N(AZ159)+N(AZ160)+N(AZ161)),0)</f>
        <v>31279.3567626397</v>
      </c>
      <c r="BA359" s="263">
        <f>IFERROR((N(BA151)+N(BA155)+N(BA159)+N(BA160)+N(BA161)),0)</f>
        <v>31279.3567626397</v>
      </c>
      <c r="BB359" s="263">
        <f>IFERROR((N(BB151)+N(BB155)+N(BB159)+N(BB160)+N(BB161)),0)</f>
        <v>32514.377517473</v>
      </c>
      <c r="BC359" s="263">
        <f>IFERROR((N(BC151)+N(BC155)+N(BC159)+N(BC160)+N(BC161)),0)</f>
        <v>34245.2178410449</v>
      </c>
      <c r="BD359" s="263">
        <f>IFERROR((N(BD151)+N(BD155)+N(BD159)+N(BD160)+N(BD161)),0)</f>
        <v>32042.4064681846</v>
      </c>
      <c r="BE359" s="263">
        <f>IFERROR((N(BE151)+N(BE155)+N(BE159)+N(BE160)+N(BE161)),0)</f>
        <v>33272.0444235634</v>
      </c>
      <c r="BF359" s="263">
        <f>IFERROR((N(BF151)+N(BF155)+N(BF159)+N(BF160)+N(BF161)),0)</f>
        <v>33272.0444235634</v>
      </c>
      <c r="BG359" s="90" t="n"/>
      <c r="BH359" s="90" t="n"/>
      <c r="BI359" s="90" t="n"/>
      <c r="BJ359" s="90" t="n"/>
      <c r="BL359" s="90" t="n"/>
      <c r="BM359" s="90" t="n"/>
      <c r="BN359" s="90" t="n"/>
      <c r="BO359" s="90" t="n"/>
      <c r="BQ359" s="90" t="n"/>
      <c r="BR359" s="90" t="n"/>
      <c r="BS359" s="90" t="n"/>
      <c r="BT359" s="90" t="n"/>
      <c r="BV359" s="90" t="n"/>
      <c r="BW359" s="90" t="n"/>
      <c r="BX359" s="90" t="n"/>
      <c r="BY359" s="90" t="n"/>
      <c r="CA359" s="90" t="n"/>
      <c r="CB359" s="90" t="n"/>
      <c r="CC359" s="90" t="n"/>
      <c r="CD359" s="90" t="n"/>
      <c r="CF359" s="90" t="n"/>
      <c r="CG359" s="90" t="n"/>
      <c r="CH359" s="90" t="n"/>
      <c r="CI359" s="90" t="n"/>
      <c r="CK359" s="90" t="n"/>
      <c r="CL359" s="90" t="n"/>
      <c r="CM359" s="90" t="n"/>
      <c r="CN359" s="90" t="n"/>
      <c r="CP359" s="90" t="n"/>
      <c r="CQ359" s="90" t="n"/>
      <c r="CR359" s="90" t="n"/>
      <c r="CS359" s="90" t="n"/>
      <c r="CU359" s="90" t="n"/>
      <c r="CV359" s="90" t="n"/>
      <c r="CW359" s="90" t="n"/>
      <c r="CX359" s="90" t="n"/>
    </row>
    <row r="360" customFormat="1" s="77">
      <c r="A360" s="76" t="n"/>
      <c r="B360" s="76" t="n"/>
      <c r="C360" s="77" t="inlineStr">
        <is>
          <t>CURRENT LIABILITIES (OPERATING, EX DEBT)</t>
        </is>
      </c>
      <c r="D360" s="89">
        <f>IFERROR(D204+D208+D210+D211,"")</f>
        <v>0</v>
      </c>
      <c r="E360" s="89">
        <f>IFERROR(E204+E208+E210+E211,"")</f>
        <v>0</v>
      </c>
      <c r="F360" s="89">
        <f>IFERROR(F204+F208+F210+F211,"")</f>
        <v>0</v>
      </c>
      <c r="G360" s="89">
        <f>IFERROR(G204+G208+G210+G211,"")</f>
        <v>0</v>
      </c>
      <c r="H360" s="263">
        <f>IFERROR((N(H204)+N(H208)+N(H210)+N(H211)),0)</f>
        <v>0</v>
      </c>
      <c r="I360" s="263">
        <f>IFERROR((N(I204)+N(I208)+N(I210)+N(I211)),0)</f>
        <v>20250</v>
      </c>
      <c r="J360" s="263">
        <f>IFERROR((N(J204)+N(J208)+N(J210)+N(J211)),0)</f>
        <v>24164</v>
      </c>
      <c r="K360" s="263">
        <f>IFERROR((N(K204)+N(K208)+N(K210)+N(K211)),0)</f>
        <v>23071</v>
      </c>
      <c r="L360" s="263">
        <f>IFERROR((N(L204)+N(L208)+N(L210)+N(L211)),0)</f>
        <v>18881</v>
      </c>
      <c r="M360" s="263">
        <f>IFERROR((N(M204)+N(M208)+N(M210)+N(M211)),0)</f>
        <v>18881</v>
      </c>
      <c r="N360" s="263">
        <f>IFERROR((N(N204)+N(N208)+N(N210)+N(N211)),0)</f>
        <v>20833</v>
      </c>
      <c r="O360" s="263">
        <f>IFERROR((N(O204)+N(O208)+N(O210)+N(O211)),0)</f>
        <v>19511</v>
      </c>
      <c r="P360" s="263">
        <f>IFERROR((N(P204)+N(P208)+N(P210)+N(P211)),0)</f>
        <v>34819</v>
      </c>
      <c r="Q360" s="263">
        <f>IFERROR((N(Q204)+N(Q208)+N(Q210)+N(Q211)),0)</f>
        <v>27106</v>
      </c>
      <c r="R360" s="263">
        <f>IFERROR((N(R204)+N(R208)+N(R210)+N(R211)),0)</f>
        <v>27106</v>
      </c>
      <c r="S360" s="263">
        <f>IFERROR((N(S204)+N(S208)+N(S210)+N(S211)),0)</f>
        <v>22880</v>
      </c>
      <c r="T360" s="263">
        <f>IFERROR((N(T204)+N(T208)+N(T210)+N(T211)),0)</f>
        <v>23090</v>
      </c>
      <c r="U360" s="263">
        <f>IFERROR((N(U204)+N(U208)+N(U210)+N(U211)),0)</f>
        <v>25357</v>
      </c>
      <c r="V360" s="263">
        <f>IFERROR((N(V204)+N(V208)+N(V210)+N(V211)),0)</f>
        <v>24407</v>
      </c>
      <c r="W360" s="263">
        <f>IFERROR((N(W204)+N(W208)+N(W210)+N(W211)),0)</f>
        <v>24407</v>
      </c>
      <c r="X360" s="263">
        <f>IFERROR((N(X204)+N(X208)+N(X210)+N(X211)),0)</f>
        <v>24885</v>
      </c>
      <c r="Y360" s="263">
        <f>IFERROR((N(Y204)+N(Y208)+N(Y210)+N(Y211)),0)</f>
        <v>31544</v>
      </c>
      <c r="Z360" s="263">
        <f>IFERROR((N(Z204)+N(Z208)+N(Z210)+N(Z211)),0)</f>
        <v>32045</v>
      </c>
      <c r="AA360" s="263">
        <f>IFERROR((N(AA204)+N(AA208)+N(AA210)+N(AA211)),0)</f>
        <v>29052</v>
      </c>
      <c r="AB360" s="263">
        <f>IFERROR((N(AB204)+N(AB208)+N(AB210)+N(AB211)),0)</f>
        <v>29052</v>
      </c>
      <c r="AC360" s="263">
        <f>IFERROR((N(AC204)+N(AC208)+N(AC210)+N(AC211)),0)</f>
        <v>29623</v>
      </c>
      <c r="AD360" s="263">
        <f>IFERROR((N(AD204)+N(AD208)+N(AD210)+N(AD211)),0)</f>
        <v>32643</v>
      </c>
      <c r="AE360" s="263">
        <f>IFERROR((N(AE204)+N(AE208)+N(AE210)+N(AE211)),0)</f>
        <v>39874</v>
      </c>
      <c r="AF360" s="263">
        <f>IFERROR((N(AF204)+N(AF208)+N(AF210)+N(AF211)),0)</f>
        <v>37795</v>
      </c>
      <c r="AG360" s="263">
        <f>IFERROR((N(AG204)+N(AG208)+N(AG210)+N(AG211)),0)</f>
        <v>37795</v>
      </c>
      <c r="AH360" s="263">
        <f>IFERROR((N(AH204)+N(AH208)+N(AH210)+N(AH211)),0)</f>
        <v>40737</v>
      </c>
      <c r="AI360" s="263">
        <f>IFERROR((N(AI204)+N(AI208)+N(AI210)+N(AI211)),0)</f>
        <v>41764</v>
      </c>
      <c r="AJ360" s="263">
        <f>IFERROR((N(AJ204)+N(AJ208)+N(AJ210)+N(AJ211)),0)</f>
        <v>38863.2392938673</v>
      </c>
      <c r="AK360" s="263">
        <f>IFERROR((N(AK204)+N(AK208)+N(AK210)+N(AK211)),0)</f>
        <v>39817.9147814098</v>
      </c>
      <c r="AL360" s="263">
        <f>IFERROR((N(AL204)+N(AL208)+N(AL210)+N(AL211)),0)</f>
        <v>39817.9147814098</v>
      </c>
      <c r="AM360" s="263">
        <f>IFERROR((N(AM204)+N(AM208)+N(AM210)+N(AM211)),0)</f>
        <v>41023.8472097353</v>
      </c>
      <c r="AN360" s="263">
        <f>IFERROR((N(AN204)+N(AN208)+N(AN210)+N(AN211)),0)</f>
        <v>42450.6031657121</v>
      </c>
      <c r="AO360" s="263">
        <f>IFERROR((N(AO204)+N(AO208)+N(AO210)+N(AO211)),0)</f>
        <v>41793.7742870583</v>
      </c>
      <c r="AP360" s="263">
        <f>IFERROR((N(AP204)+N(AP208)+N(AP210)+N(AP211)),0)</f>
        <v>43094.289303398</v>
      </c>
      <c r="AQ360" s="263">
        <f>IFERROR((N(AQ204)+N(AQ208)+N(AQ210)+N(AQ211)),0)</f>
        <v>43094.289303398</v>
      </c>
      <c r="AR360" s="263">
        <f>IFERROR((N(AR204)+N(AR208)+N(AR210)+N(AR211)),0)</f>
        <v>44527.3670238783</v>
      </c>
      <c r="AS360" s="263">
        <f>IFERROR((N(AS204)+N(AS208)+N(AS210)+N(AS211)),0)</f>
        <v>46509.8129161846</v>
      </c>
      <c r="AT360" s="263">
        <f>IFERROR((N(AT204)+N(AT208)+N(AT210)+N(AT211)),0)</f>
        <v>46035.8844955194</v>
      </c>
      <c r="AU360" s="263">
        <f>IFERROR((N(AU204)+N(AU208)+N(AU210)+N(AU211)),0)</f>
        <v>47826.2987769319</v>
      </c>
      <c r="AV360" s="263">
        <f>IFERROR((N(AV204)+N(AV208)+N(AV210)+N(AV211)),0)</f>
        <v>47826.2987769319</v>
      </c>
      <c r="AW360" s="263">
        <f>IFERROR((N(AW204)+N(AW208)+N(AW210)+N(AW211)),0)</f>
        <v>49871.6942585383</v>
      </c>
      <c r="AX360" s="263">
        <f>IFERROR((N(AX204)+N(AX208)+N(AX210)+N(AX211)),0)</f>
        <v>52370.0126255354</v>
      </c>
      <c r="AY360" s="263">
        <f>IFERROR((N(AY204)+N(AY208)+N(AY210)+N(AY211)),0)</f>
        <v>52258.8786506504</v>
      </c>
      <c r="AZ360" s="263">
        <f>IFERROR((N(AZ204)+N(AZ208)+N(AZ210)+N(AZ211)),0)</f>
        <v>54767.4633073275</v>
      </c>
      <c r="BA360" s="263">
        <f>IFERROR((N(BA204)+N(BA208)+N(BA210)+N(BA211)),0)</f>
        <v>54767.4633073275</v>
      </c>
      <c r="BB360" s="263">
        <f>IFERROR((N(BB204)+N(BB208)+N(BB210)+N(BB211)),0)</f>
        <v>57542.6972454119</v>
      </c>
      <c r="BC360" s="263">
        <f>IFERROR((N(BC204)+N(BC208)+N(BC210)+N(BC211)),0)</f>
        <v>60944.3998071228</v>
      </c>
      <c r="BD360" s="263">
        <f>IFERROR((N(BD204)+N(BD208)+N(BD210)+N(BD211)),0)</f>
        <v>61467.8577659646</v>
      </c>
      <c r="BE360" s="263">
        <f>IFERROR((N(BE204)+N(BE208)+N(BE210)+N(BE211)),0)</f>
        <v>65024.4417293008</v>
      </c>
      <c r="BF360" s="263">
        <f>IFERROR((N(BF204)+N(BF208)+N(BF210)+N(BF211)),0)</f>
        <v>65024.4417293008</v>
      </c>
      <c r="BG360" s="90" t="n"/>
      <c r="BH360" s="90" t="n"/>
      <c r="BI360" s="90" t="n"/>
      <c r="BJ360" s="90" t="n"/>
      <c r="BL360" s="90" t="n"/>
      <c r="BM360" s="90" t="n"/>
      <c r="BN360" s="90" t="n"/>
      <c r="BO360" s="90" t="n"/>
      <c r="BQ360" s="90" t="n"/>
      <c r="BR360" s="90" t="n"/>
      <c r="BS360" s="90" t="n"/>
      <c r="BT360" s="90" t="n"/>
      <c r="BV360" s="90" t="n"/>
      <c r="BW360" s="90" t="n"/>
      <c r="BX360" s="90" t="n"/>
      <c r="BY360" s="90" t="n"/>
      <c r="CA360" s="90" t="n"/>
      <c r="CB360" s="90" t="n"/>
      <c r="CC360" s="90" t="n"/>
      <c r="CD360" s="90" t="n"/>
      <c r="CF360" s="90" t="n"/>
      <c r="CG360" s="90" t="n"/>
      <c r="CH360" s="90" t="n"/>
      <c r="CI360" s="90" t="n"/>
      <c r="CK360" s="90" t="n"/>
      <c r="CL360" s="90" t="n"/>
      <c r="CM360" s="90" t="n"/>
      <c r="CN360" s="90" t="n"/>
      <c r="CP360" s="90" t="n"/>
      <c r="CQ360" s="90" t="n"/>
      <c r="CR360" s="90" t="n"/>
      <c r="CS360" s="90" t="n"/>
      <c r="CU360" s="90" t="n"/>
      <c r="CV360" s="90" t="n"/>
      <c r="CW360" s="90" t="n"/>
      <c r="CX360" s="90" t="n"/>
    </row>
    <row r="361" customFormat="1" s="77">
      <c r="A361" s="76" t="n"/>
      <c r="B361" s="76" t="n"/>
      <c r="C361" s="77" t="inlineStr">
        <is>
          <t>FIXED ASSETS</t>
        </is>
      </c>
      <c r="D361" s="89">
        <f>IFERROR(D172+D182+D185+D186+D195-D246,"")</f>
        <v>0</v>
      </c>
      <c r="E361" s="89">
        <f>IFERROR(E172+E182+E185+E186+E195-E246,"")</f>
        <v>0</v>
      </c>
      <c r="F361" s="89">
        <f>IFERROR(F172+F182+F185+F186+F195-F246,"")</f>
        <v>0</v>
      </c>
      <c r="G361" s="89">
        <f>IFERROR(G172+G182+G185+G186+G195-G246,"")</f>
        <v>0</v>
      </c>
      <c r="H361" s="263">
        <f>IFERROR((N(H172)+N(H182)+N(H185)+N(H186)+N(H195))-N(H246),0)</f>
        <v>0</v>
      </c>
      <c r="I361" s="263">
        <f>IFERROR((N(I172)+N(I182)+N(I185)+N(I186)+N(I195))-N(I246),0)</f>
        <v>-19690</v>
      </c>
      <c r="J361" s="263">
        <f>IFERROR((N(J172)+N(J182)+N(J185)+N(J186)+N(J195))-N(J246),0)</f>
        <v>-31223</v>
      </c>
      <c r="K361" s="263">
        <f>IFERROR((N(K172)+N(K182)+N(K185)+N(K186)+N(K195))-N(K246),0)</f>
        <v>-30919</v>
      </c>
      <c r="L361" s="263">
        <f>IFERROR((N(L172)+N(L182)+N(L185)+N(L186)+N(L195))-N(L246),0)</f>
        <v>-28343</v>
      </c>
      <c r="M361" s="263">
        <f>IFERROR((N(M172)+N(M182)+N(M185)+N(M186)+N(M195))-N(M246),0)</f>
        <v>-28343</v>
      </c>
      <c r="N361" s="263">
        <f>IFERROR((N(N172)+N(N182)+N(N185)+N(N186)+N(N195))-N(N246),0)</f>
        <v>-25700</v>
      </c>
      <c r="O361" s="263">
        <f>IFERROR((N(O172)+N(O182)+N(O185)+N(O186)+N(O195))-N(O246),0)</f>
        <v>-24641</v>
      </c>
      <c r="P361" s="263">
        <f>IFERROR((N(P172)+N(P182)+N(P185)+N(P186)+N(P195))-N(P246),0)</f>
        <v>3994</v>
      </c>
      <c r="Q361" s="263">
        <f>IFERROR((N(Q172)+N(Q182)+N(Q185)+N(Q186)+N(Q195))-N(Q246),0)</f>
        <v>843</v>
      </c>
      <c r="R361" s="263">
        <f>IFERROR((N(R172)+N(R182)+N(R185)+N(R186)+N(R195))-N(R246),0)</f>
        <v>843</v>
      </c>
      <c r="S361" s="263">
        <f>IFERROR((N(S172)+N(S182)+N(S185)+N(S186)+N(S195))-N(S246),0)</f>
        <v>-3067</v>
      </c>
      <c r="T361" s="263">
        <f>IFERROR((N(T172)+N(T182)+N(T185)+N(T186)+N(T195))-N(T246),0)</f>
        <v>-2812</v>
      </c>
      <c r="U361" s="263">
        <f>IFERROR((N(U172)+N(U182)+N(U185)+N(U186)+N(U195))-N(U246),0)</f>
        <v>-930</v>
      </c>
      <c r="V361" s="263">
        <f>IFERROR((N(V172)+N(V182)+N(V185)+N(V186)+N(V195))-N(V246),0)</f>
        <v>1982</v>
      </c>
      <c r="W361" s="263">
        <f>IFERROR((N(W172)+N(W182)+N(W185)+N(W186)+N(W195))-N(W246),0)</f>
        <v>1982</v>
      </c>
      <c r="X361" s="263">
        <f>IFERROR((N(X172)+N(X182)+N(X185)+N(X186)+N(X195))-N(X246),0)</f>
        <v>1799</v>
      </c>
      <c r="Y361" s="263">
        <f>IFERROR((N(Y172)+N(Y182)+N(Y185)+N(Y186)+N(Y195))-N(Y246),0)</f>
        <v>9648</v>
      </c>
      <c r="Z361" s="263">
        <f>IFERROR((N(Z172)+N(Z182)+N(Z185)+N(Z186)+N(Z195))-N(Z246),0)</f>
        <v>11465</v>
      </c>
      <c r="AA361" s="263">
        <f>IFERROR((N(AA172)+N(AA182)+N(AA185)+N(AA186)+N(AA195))-N(AA246),0)</f>
        <v>10665</v>
      </c>
      <c r="AB361" s="263">
        <f>IFERROR((N(AB172)+N(AB182)+N(AB185)+N(AB186)+N(AB195))-N(AB246),0)</f>
        <v>10665</v>
      </c>
      <c r="AC361" s="263">
        <f>IFERROR((N(AC172)+N(AC182)+N(AC185)+N(AC186)+N(AC195))-N(AC246),0)</f>
        <v>7177</v>
      </c>
      <c r="AD361" s="263">
        <f>IFERROR((N(AD172)+N(AD182)+N(AD185)+N(AD186)+N(AD195))-N(AD246),0)</f>
        <v>28692</v>
      </c>
      <c r="AE361" s="263">
        <f>IFERROR((N(AE172)+N(AE182)+N(AE185)+N(AE186)+N(AE195))-N(AE246),0)</f>
        <v>42266</v>
      </c>
      <c r="AF361" s="263">
        <f>IFERROR((N(AF172)+N(AF182)+N(AF185)+N(AF186)+N(AF195))-N(AF246),0)</f>
        <v>38666</v>
      </c>
      <c r="AG361" s="263">
        <f>IFERROR((N(AG172)+N(AG182)+N(AG185)+N(AG186)+N(AG195))-N(AG246),0)</f>
        <v>38666</v>
      </c>
      <c r="AH361" s="263">
        <f>IFERROR((N(AH172)+N(AH182)+N(AH185)+N(AH186)+N(AH195))-N(AH246),0)</f>
        <v>32066</v>
      </c>
      <c r="AI361" s="263">
        <f>IFERROR((N(AI172)+N(AI182)+N(AI185)+N(AI186)+N(AI195))-N(AI246),0)</f>
        <v>53360</v>
      </c>
      <c r="AJ361" s="263">
        <f>IFERROR((N(AJ172)+N(AJ182)+N(AJ185)+N(AJ186)+N(AJ195))-N(AJ246),0)</f>
        <v>66274.7940340377</v>
      </c>
      <c r="AK361" s="263">
        <f>IFERROR((N(AK172)+N(AK182)+N(AK185)+N(AK186)+N(AK195))-N(AK246),0)</f>
        <v>80169.056569116</v>
      </c>
      <c r="AL361" s="263">
        <f>IFERROR((N(AL172)+N(AL182)+N(AL185)+N(AL186)+N(AL195))-N(AL246),0)</f>
        <v>80169.056569116</v>
      </c>
      <c r="AM361" s="263">
        <f>IFERROR((N(AM172)+N(AM182)+N(AM185)+N(AM186)+N(AM195))-N(AM246),0)</f>
        <v>95042.7876052347</v>
      </c>
      <c r="AN361" s="263">
        <f>IFERROR((N(AN172)+N(AN182)+N(AN185)+N(AN186)+N(AN195))-N(AN246),0)</f>
        <v>111641.836831349</v>
      </c>
      <c r="AO361" s="263">
        <f>IFERROR((N(AO172)+N(AO182)+N(AO185)+N(AO186)+N(AO195))-N(AO246),0)</f>
        <v>126416.019861154</v>
      </c>
      <c r="AP361" s="263">
        <f>IFERROR((N(AP172)+N(AP182)+N(AP185)+N(AP186)+N(AP195))-N(AP246),0)</f>
        <v>142310.688968256</v>
      </c>
      <c r="AQ361" s="263">
        <f>IFERROR((N(AQ172)+N(AQ182)+N(AQ185)+N(AQ186)+N(AQ195))-N(AQ246),0)</f>
        <v>142310.688968256</v>
      </c>
      <c r="AR361" s="263">
        <f>IFERROR((N(AR172)+N(AR182)+N(AR185)+N(AR186)+N(AR195))-N(AR246),0)</f>
        <v>159251.475497474</v>
      </c>
      <c r="AS361" s="263">
        <f>IFERROR((N(AS172)+N(AS182)+N(AS185)+N(AS186)+N(AS195))-N(AS246),0)</f>
        <v>178157.353843986</v>
      </c>
      <c r="AT361" s="263">
        <f>IFERROR((N(AT172)+N(AT182)+N(AT185)+N(AT186)+N(AT195))-N(AT246),0)</f>
        <v>194984.757825122</v>
      </c>
      <c r="AU361" s="263">
        <f>IFERROR((N(AU172)+N(AU182)+N(AU185)+N(AU186)+N(AU195))-N(AU246),0)</f>
        <v>213088.365833234</v>
      </c>
      <c r="AV361" s="263">
        <f>IFERROR((N(AV172)+N(AV182)+N(AV185)+N(AV186)+N(AV195))-N(AV246),0)</f>
        <v>213088.365833234</v>
      </c>
      <c r="AW361" s="263">
        <f>IFERROR((N(AW172)+N(AW182)+N(AW185)+N(AW186)+N(AW195))-N(AW246),0)</f>
        <v>232298.77000303</v>
      </c>
      <c r="AX361" s="263">
        <f>IFERROR((N(AX172)+N(AX182)+N(AX185)+N(AX186)+N(AX195))-N(AX246),0)</f>
        <v>253737.536355174</v>
      </c>
      <c r="AY361" s="263">
        <f>IFERROR((N(AY172)+N(AY182)+N(AY185)+N(AY186)+N(AY195))-N(AY246),0)</f>
        <v>272819.367712207</v>
      </c>
      <c r="AZ361" s="263">
        <f>IFERROR((N(AZ172)+N(AZ182)+N(AZ185)+N(AZ186)+N(AZ195))-N(AZ246),0)</f>
        <v>293348.380705055</v>
      </c>
      <c r="BA361" s="263">
        <f>IFERROR((N(BA172)+N(BA182)+N(BA185)+N(BA186)+N(BA195))-N(BA246),0)</f>
        <v>293348.380705055</v>
      </c>
      <c r="BB361" s="263">
        <f>IFERROR((N(BB172)+N(BB182)+N(BB185)+N(BB186)+N(BB195))-N(BB246),0)</f>
        <v>315036.419271169</v>
      </c>
      <c r="BC361" s="263">
        <f>IFERROR((N(BC172)+N(BC182)+N(BC185)+N(BC186)+N(BC195))-N(BC246),0)</f>
        <v>339240.219844313</v>
      </c>
      <c r="BD361" s="263">
        <f>IFERROR((N(BD172)+N(BD182)+N(BD185)+N(BD186)+N(BD195))-N(BD246),0)</f>
        <v>360783.103103069</v>
      </c>
      <c r="BE361" s="263">
        <f>IFERROR((N(BE172)+N(BE182)+N(BE185)+N(BE186)+N(BE195))-N(BE246),0)</f>
        <v>383959.81617885</v>
      </c>
      <c r="BF361" s="263">
        <f>IFERROR((N(BF172)+N(BF182)+N(BF185)+N(BF186)+N(BF195))-N(BF246),0)</f>
        <v>383959.81617885</v>
      </c>
      <c r="BG361" s="90" t="n"/>
      <c r="BH361" s="90" t="n"/>
      <c r="BI361" s="90" t="n"/>
      <c r="BJ361" s="90" t="n"/>
      <c r="BL361" s="90" t="n"/>
      <c r="BM361" s="90" t="n"/>
      <c r="BN361" s="90" t="n"/>
      <c r="BO361" s="90" t="n"/>
      <c r="BQ361" s="90" t="n"/>
      <c r="BR361" s="90" t="n"/>
      <c r="BS361" s="90" t="n"/>
      <c r="BT361" s="90" t="n"/>
      <c r="BV361" s="90" t="n"/>
      <c r="BW361" s="90" t="n"/>
      <c r="BX361" s="90" t="n"/>
      <c r="BY361" s="90" t="n"/>
      <c r="CA361" s="90" t="n"/>
      <c r="CB361" s="90" t="n"/>
      <c r="CC361" s="90" t="n"/>
      <c r="CD361" s="90" t="n"/>
      <c r="CF361" s="90" t="n"/>
      <c r="CG361" s="90" t="n"/>
      <c r="CH361" s="90" t="n"/>
      <c r="CI361" s="90" t="n"/>
      <c r="CK361" s="90" t="n"/>
      <c r="CL361" s="90" t="n"/>
      <c r="CM361" s="90" t="n"/>
      <c r="CN361" s="90" t="n"/>
      <c r="CP361" s="90" t="n"/>
      <c r="CQ361" s="90" t="n"/>
      <c r="CR361" s="90" t="n"/>
      <c r="CS361" s="90" t="n"/>
      <c r="CU361" s="90" t="n"/>
      <c r="CV361" s="90" t="n"/>
      <c r="CW361" s="90" t="n"/>
      <c r="CX361" s="90" t="n"/>
    </row>
    <row r="362" customFormat="1" s="77">
      <c r="A362" s="76" t="n"/>
      <c r="B362" s="76" t="n"/>
    </row>
    <row r="363" customFormat="1" s="77">
      <c r="A363" s="76" t="n"/>
      <c r="B363" s="76" t="n"/>
    </row>
    <row r="364" customFormat="1" s="77">
      <c r="A364" s="76" t="n"/>
      <c r="B364" s="76" t="n"/>
    </row>
    <row r="365" customFormat="1" s="77">
      <c r="A365" s="76" t="n"/>
      <c r="B365" s="76" t="n"/>
    </row>
    <row r="366" customFormat="1" s="77">
      <c r="A366" s="76" t="n"/>
      <c r="B366" s="76" t="n"/>
    </row>
    <row r="367" customFormat="1" s="77">
      <c r="A367" s="76" t="n"/>
      <c r="B367" s="76" t="n"/>
    </row>
    <row r="368" customFormat="1" s="77">
      <c r="A368" s="76" t="n"/>
      <c r="B368" s="76" t="n"/>
    </row>
    <row r="369" customFormat="1" s="77">
      <c r="A369" s="76" t="n"/>
      <c r="B369" s="76" t="n"/>
      <c r="C369" s="74" t="inlineStr">
        <is>
          <t>DUPONT ANALYSIS</t>
        </is>
      </c>
    </row>
    <row r="370" customFormat="1" s="77">
      <c r="A370" s="76" t="n"/>
      <c r="B370" s="76" t="n"/>
      <c r="C370" s="77" t="inlineStr">
        <is>
          <t>NET PROFIT MARGIN (LTM)</t>
        </is>
      </c>
      <c r="D370" s="84" t="str">
        <f>IFERROR(D143/D15,"")</f>
        <v/>
      </c>
      <c r="E370" s="84" t="str">
        <f>IFERROR(E143/E15,"")</f>
        <v/>
      </c>
      <c r="F370" s="84" t="str">
        <f>IFERROR(F143/F15,"")</f>
        <v/>
      </c>
      <c r="G370" s="84" t="str">
        <f>IFERROR(G143/G15,"")</f>
        <v/>
      </c>
      <c r="H370" s="258" t="str">
        <f>IFERROR(IF(AND(COUNT(H143)=1,(H15)&lt;&gt;0),(H143)/(H15),""),"")</f>
        <v/>
      </c>
      <c r="I370" s="257" t="str">
        <f>""</f>
        <v/>
      </c>
      <c r="J370" s="257" t="str">
        <f>""</f>
        <v/>
      </c>
      <c r="K370" s="257" t="str">
        <f>""</f>
        <v/>
      </c>
      <c r="L370" s="257">
        <f>IFERROR(IF(AND(COUNT(I143,J143,K143,L143)=4,(I15+J15+K15+L15)&lt;&gt;0),(I143+J143+K143+L143)/(I15+J15+K15+L15),""),"")</f>
        <v>0.247898550724638</v>
      </c>
      <c r="M370" s="258">
        <f>IFERROR(IF(AND(COUNT(I143,J143,K143,L143)=4,(I15+J15+K15+L15)&lt;&gt;0),(I143+J143+K143+L143)/(I15+J15+K15+L15),""),"")</f>
        <v>0.247898550724638</v>
      </c>
      <c r="N370" s="257">
        <f>IFERROR(IF(AND(COUNT(J143,K143,L143,N143)=4,(J15+K15+L15+N15)&lt;&gt;0),(J143+K143+L143+N143)/(J15+K15+L15+N15),""),"")</f>
        <v>0.180764081476523</v>
      </c>
      <c r="O370" s="257">
        <f>IFERROR(IF(AND(COUNT(K143,L143,N143,O143)=4,(K15+L15+N15+O15)&lt;&gt;0),(K143+L143+N143+O143)/(K15+L15+N15+O15),""),"")</f>
        <v>0.158290332461535</v>
      </c>
      <c r="P370" s="257">
        <f>IFERROR(IF(AND(COUNT(L143,N143,O143,P143)=4,(L15+N15+O15+P15)&lt;&gt;0),(L143+N143+O143+P143)/(L15+N15+O15+P15),""),"")</f>
        <v>0.131550341953893</v>
      </c>
      <c r="Q370" s="257">
        <f>IFERROR(IF(AND(COUNT(N143,O143,P143,Q143)=4,(N15+O15+P15+Q15)&lt;&gt;0),(N143+O143+P143+Q143)/(N15+O15+P15+Q15),""),"")</f>
        <v>0.190936123108979</v>
      </c>
      <c r="R370" s="258">
        <f>IFERROR(IF(AND(COUNT(N143,O143,P143,Q143)=4,(N15+O15+P15+Q15)&lt;&gt;0),(N143+O143+P143+Q143)/(N15+O15+P15+Q15),""),"")</f>
        <v>0.190936123108979</v>
      </c>
      <c r="S370" s="257">
        <f>IFERROR(IF(AND(COUNT(O143,P143,Q143,S143)=4,(O15+P15+Q15+S15)&lt;&gt;0),(O143+P143+Q143+S143)/(O15+P15+Q15+S15),""),"")</f>
        <v>0.174611118061637</v>
      </c>
      <c r="T370" s="257">
        <f>IFERROR(IF(AND(COUNT(P143,Q143,S143,T143)=4,(P15+Q15+S15+T15)&lt;&gt;0),(P143+Q143+S143+T143)/(P15+Q15+S15+T15),""),"")</f>
        <v>0.170236617688273</v>
      </c>
      <c r="U370" s="257">
        <f>IFERROR(IF(AND(COUNT(Q143,S143,T143,U143)=4,(Q15+S15+T15+U15)&lt;&gt;0),(Q143+S143+T143+U143)/(Q15+S15+T15+U15),""),"")</f>
        <v>0.183980220556493</v>
      </c>
      <c r="V370" s="257">
        <f>IFERROR(IF(AND(COUNT(S143,T143,U143,V143)=4,(S15+T15+U15+V15)&lt;&gt;0),(S143+T143+U143+V143)/(S15+T15+U15+V15),""),"")</f>
        <v>0.19636631285349</v>
      </c>
      <c r="W370" s="258">
        <f>IFERROR(IF(AND(COUNT(S143,T143,U143,V143)=4,(S15+T15+U15+V15)&lt;&gt;0),(S143+T143+U143+V143)/(S15+T15+U15+V15),""),"")</f>
        <v>0.19636631285349</v>
      </c>
      <c r="X370" s="257">
        <f>IFERROR(IF(AND(COUNT(T143,U143,V143,X143)=4,(T15+U15+V15+X15)&lt;&gt;0),(T143+U143+V143+X143)/(T15+U15+V15+X15),""),"")</f>
        <v>0.202685202818511</v>
      </c>
      <c r="Y370" s="257">
        <f>IFERROR(IF(AND(COUNT(U143,V143,X143,Y143)=4,(U15+V15+X15+Y15)&lt;&gt;0),(U143+V143+X143+Y143)/(U15+V15+X15+Y15),""),"")</f>
        <v>0.19765487811786</v>
      </c>
      <c r="Z370" s="257">
        <f>IFERROR(IF(AND(COUNT(V143,X143,Y143,Z143)=4,(V15+X15+Y15+Z15)&lt;&gt;0),(V143+X143+Y143+Z143)/(V15+X15+Y15+Z15),""),"")</f>
        <v>0.203976586453591</v>
      </c>
      <c r="AA370" s="257">
        <f>IFERROR(IF(AND(COUNT(X143,Y143,Z143,AA143)=4,(X15+Y15+Z15+AA15)&lt;&gt;0),(X143+Y143+Z143+AA143)/(X15+Y15+Z15+AA15),""),"")</f>
        <v>0.211621429741685</v>
      </c>
      <c r="AB370" s="258">
        <f>IFERROR(IF(AND(COUNT(X143,Y143,Z143,AA143)=4,(X15+Y15+Z15+AA15)&lt;&gt;0),(X143+Y143+Z143+AA143)/(X15+Y15+Z15+AA15),""),"")</f>
        <v>0.211621429741685</v>
      </c>
      <c r="AC370" s="257">
        <f>IFERROR(IF(AND(COUNT(Y143,Z143,AA143,AC143)=4,(Y15+Z15+AA15+AC15)&lt;&gt;0),(Y143+Z143+AA143+AC143)/(Y15+Z15+AA15+AC15),""),"")</f>
        <v>0.217987558933725</v>
      </c>
      <c r="AD370" s="257">
        <f>IFERROR(IF(AND(COUNT(Z143,AA143,AC143,AD143)=4,(Z15+AA15+AC15+AD15)&lt;&gt;0),(Z143+AA143+AC143+AD143)/(Z15+AA15+AC15+AD15),""),"")</f>
        <v>0.216780780152964</v>
      </c>
      <c r="AE370" s="257">
        <f>IFERROR(IF(AND(COUNT(AA143,AC143,AD143,AE143)=4,(AA15+AC15+AD15+AE15)&lt;&gt;0),(AA143+AC143+AD143+AE143)/(AA15+AC15+AD15+AE15),""),"")</f>
        <v>0.210800094886306</v>
      </c>
      <c r="AF370" s="257">
        <f>IFERROR(IF(AND(COUNT(AB143,AD143,AE143,AF143)=4,(AB15+AD15+AE15+AF15)&lt;&gt;0),(AB143+AD143+AE143+AF143)/(AB15+AD15+AE15+AF15),""),"")</f>
        <v>0.236829699469652</v>
      </c>
      <c r="AG370" s="258">
        <f>IFERROR(IF(AND(COUNT(AC143,AD143,AE143,AF143)=4,(AC15+AD15+AE15+AF15)&lt;&gt;0),(AC143+AD143+AE143+AF143)/(AC15+AD15+AE15+AF15),""),"")</f>
        <v>0.252798400445777</v>
      </c>
      <c r="AH370" s="257">
        <f>IFERROR(IF(AND(COUNT(AD143,AF143,AG143,AH143)=4,(AD15+AF15+AG15+AH15)&lt;&gt;0),(AD143+AF143+AG143+AH143)/(AD15+AF15+AG15+AH15),""),"")</f>
        <v>0.260583835596543</v>
      </c>
      <c r="AI370" s="257">
        <f>IFERROR(IF(AND(COUNT(AE143,AG143,AH143,AI143)=4,(AE15+AG15+AH15+AI15)&lt;&gt;0),(AE143+AG143+AH143+AI143)/(AE15+AG15+AH15+AI15),""),"")</f>
        <v>0.234844235511988</v>
      </c>
      <c r="AJ370" s="257">
        <f>IFERROR(IF(AND(COUNT(AF143,AH143,AI143,AJ143)=4,(AF15+AH15+AI15+AJ15)&lt;&gt;0),(AF143+AH143+AI143+AJ143)/(AF15+AH15+AI15+AJ15),""),"")</f>
        <v>0.276262426526019</v>
      </c>
      <c r="AK370" s="257">
        <f>IFERROR(IF(AND(COUNT(AH143,AI143,AJ143,AK143)=4,(AH15+AI15+AJ15+AK15)&lt;&gt;0),(AH143+AI143+AJ143+AK143)/(AH15+AI15+AJ15+AK15),""),"")</f>
        <v>0.257477131650516</v>
      </c>
      <c r="AL370" s="258">
        <f>IFERROR(IF(AND(COUNT(AH143,AI143,AJ143,AK143)=4,(AH15+AI15+AJ15+AK15)&lt;&gt;0),(AH143+AI143+AJ143+AK143)/(AH15+AI15+AJ15+AK15),""),"")</f>
        <v>0.257477131650516</v>
      </c>
      <c r="AM370" s="257">
        <f>IFERROR(IF(AND(COUNT(AI143,AJ143,AK143,AM143)=4,(AI15+AJ15+AK15+AM15)&lt;&gt;0),(AI143+AJ143+AK143+AM143)/(AI15+AJ15+AK15+AM15),""),"")</f>
        <v>0.276977144792041</v>
      </c>
      <c r="AN370" s="257">
        <f>IFERROR(IF(AND(COUNT(AJ143,AK143,AM143,AN143)=4,(AJ15+AK15+AM15+AN15)&lt;&gt;0),(AJ143+AK143+AM143+AN143)/(AJ15+AK15+AM15+AN15),""),"")</f>
        <v>0.295295662768285</v>
      </c>
      <c r="AO370" s="257">
        <f>IFERROR(IF(AND(COUNT(AK143,AM143,AN143,AO143)=4,(AK15+AM15+AN15+AO15)&lt;&gt;0),(AK143+AM143+AN143+AO143)/(AK15+AM15+AN15+AO15),""),"")</f>
        <v>0.295295662768285</v>
      </c>
      <c r="AP370" s="257">
        <f>IFERROR(IF(AND(COUNT(AM143,AN143,AO143,AP143)=4,(AM15+AN15+AO15+AP15)&lt;&gt;0),(AM143+AN143+AO143+AP143)/(AM15+AN15+AO15+AP15),""),"")</f>
        <v>0.295295662768285</v>
      </c>
      <c r="AQ370" s="258">
        <f>IFERROR(IF(AND(COUNT(AM143,AN143,AO143,AP143)=4,(AM15+AN15+AO15+AP15)&lt;&gt;0),(AM143+AN143+AO143+AP143)/(AM15+AN15+AO15+AP15),""),"")</f>
        <v>0.295295662768285</v>
      </c>
      <c r="AR370" s="257">
        <f>IFERROR(IF(AND(COUNT(AN143,AO143,AP143,AR143)=4,(AN15+AO15+AP15+AR15)&lt;&gt;0),(AN143+AO143+AP143+AR143)/(AN15+AO15+AP15+AR15),""),"")</f>
        <v>0.295295662768285</v>
      </c>
      <c r="AS370" s="257">
        <f>IFERROR(IF(AND(COUNT(AO143,AP143,AR143,AS143)=4,(AO15+AP15+AR15+AS15)&lt;&gt;0),(AO143+AP143+AR143+AS143)/(AO15+AP15+AR15+AS15),""),"")</f>
        <v>0.295295662768285</v>
      </c>
      <c r="AT370" s="257">
        <f>IFERROR(IF(AND(COUNT(AP143,AR143,AS143,AT143)=4,(AP15+AR15+AS15+AT15)&lt;&gt;0),(AP143+AR143+AS143+AT143)/(AP15+AR15+AS15+AT15),""),"")</f>
        <v>0.295295662768285</v>
      </c>
      <c r="AU370" s="257">
        <f>IFERROR(IF(AND(COUNT(AR143,AS143,AT143,AU143)=4,(AR15+AS15+AT15+AU15)&lt;&gt;0),(AR143+AS143+AT143+AU143)/(AR15+AS15+AT15+AU15),""),"")</f>
        <v>0.295295662768285</v>
      </c>
      <c r="AV370" s="258">
        <f>IFERROR(IF(AND(COUNT(AR143,AS143,AT143,AU143)=4,(AR15+AS15+AT15+AU15)&lt;&gt;0),(AR143+AS143+AT143+AU143)/(AR15+AS15+AT15+AU15),""),"")</f>
        <v>0.295295662768285</v>
      </c>
      <c r="AW370" s="257">
        <f>IFERROR(IF(AND(COUNT(AS143,AT143,AU143,AW143)=4,(AS15+AT15+AU15+AW15)&lt;&gt;0),(AS143+AT143+AU143+AW143)/(AS15+AT15+AU15+AW15),""),"")</f>
        <v>0.295295662768285</v>
      </c>
      <c r="AX370" s="257">
        <f>IFERROR(IF(AND(COUNT(AT143,AU143,AW143,AX143)=4,(AT15+AU15+AW15+AX15)&lt;&gt;0),(AT143+AU143+AW143+AX143)/(AT15+AU15+AW15+AX15),""),"")</f>
        <v>0.295295662768285</v>
      </c>
      <c r="AY370" s="257">
        <f>IFERROR(IF(AND(COUNT(AU143,AW143,AX143,AY143)=4,(AU15+AW15+AX15+AY15)&lt;&gt;0),(AU143+AW143+AX143+AY143)/(AU15+AW15+AX15+AY15),""),"")</f>
        <v>0.295295662768285</v>
      </c>
      <c r="AZ370" s="257">
        <f>IFERROR(IF(AND(COUNT(AW143,AX143,AY143,AZ143)=4,(AW15+AX15+AY15+AZ15)&lt;&gt;0),(AW143+AX143+AY143+AZ143)/(AW15+AX15+AY15+AZ15),""),"")</f>
        <v>0.295295662768285</v>
      </c>
      <c r="BA370" s="258">
        <f>IFERROR(IF(AND(COUNT(AW143,AX143,AY143,AZ143)=4,(AW15+AX15+AY15+AZ15)&lt;&gt;0),(AW143+AX143+AY143+AZ143)/(AW15+AX15+AY15+AZ15),""),"")</f>
        <v>0.295295662768285</v>
      </c>
      <c r="BB370" s="257">
        <f>IFERROR(IF(AND(COUNT(AX143,AY143,AZ143,BB143)=4,(AX15+AY15+AZ15+BB15)&lt;&gt;0),(AX143+AY143+AZ143+BB143)/(AX15+AY15+AZ15+BB15),""),"")</f>
        <v>0.295295662768285</v>
      </c>
      <c r="BC370" s="257">
        <f>IFERROR(IF(AND(COUNT(AY143,AZ143,BB143,BC143)=4,(AY15+AZ15+BB15+BC15)&lt;&gt;0),(AY143+AZ143+BB143+BC143)/(AY15+AZ15+BB15+BC15),""),"")</f>
        <v>0.295295662768285</v>
      </c>
      <c r="BD370" s="257">
        <f>IFERROR(IF(AND(COUNT(AZ143,BB143,BC143,BD143)=4,(AZ15+BB15+BC15+BD15)&lt;&gt;0),(AZ143+BB143+BC143+BD143)/(AZ15+BB15+BC15+BD15),""),"")</f>
        <v>0.295295662768285</v>
      </c>
      <c r="BE370" s="257">
        <f>IFERROR(IF(AND(COUNT(BB143,BC143,BD143,BE143)=4,(BB15+BC15+BD15+BE15)&lt;&gt;0),(BB143+BC143+BD143+BE143)/(BB15+BC15+BD15+BE15),""),"")</f>
        <v>0.295295662768285</v>
      </c>
      <c r="BF370" s="258">
        <f>IFERROR(IF(AND(COUNT(BB143,BC143,BD143,BE143)=4,(BB15+BC15+BD15+BE15)&lt;&gt;0),(BB143+BC143+BD143+BE143)/(BB15+BC15+BD15+BE15),""),"")</f>
        <v>0.295295662768285</v>
      </c>
      <c r="BG370" s="81" t="n"/>
      <c r="BH370" s="81" t="n"/>
      <c r="BI370" s="81" t="n"/>
      <c r="BJ370" s="81" t="n"/>
      <c r="BL370" s="81" t="n"/>
      <c r="BM370" s="81" t="n"/>
      <c r="BN370" s="81" t="n"/>
      <c r="BO370" s="81" t="n"/>
      <c r="BQ370" s="81" t="n"/>
      <c r="BR370" s="81" t="n"/>
      <c r="BS370" s="81" t="n"/>
      <c r="BT370" s="81" t="n"/>
      <c r="BV370" s="81" t="n"/>
      <c r="BW370" s="81" t="n"/>
      <c r="BX370" s="81" t="n"/>
      <c r="BY370" s="81" t="n"/>
      <c r="CA370" s="81" t="n"/>
      <c r="CB370" s="81" t="n"/>
      <c r="CC370" s="81" t="n"/>
      <c r="CD370" s="81" t="n"/>
      <c r="CF370" s="81" t="n"/>
      <c r="CG370" s="81" t="n"/>
      <c r="CH370" s="81" t="n"/>
      <c r="CI370" s="81" t="n"/>
      <c r="CK370" s="81" t="n"/>
      <c r="CL370" s="81" t="n"/>
      <c r="CM370" s="81" t="n"/>
      <c r="CN370" s="81" t="n"/>
      <c r="CP370" s="81" t="n"/>
      <c r="CQ370" s="81" t="n"/>
      <c r="CR370" s="81" t="n"/>
      <c r="CS370" s="81" t="n"/>
      <c r="CU370" s="81" t="n"/>
      <c r="CV370" s="81" t="n"/>
      <c r="CW370" s="81" t="n"/>
      <c r="CX370" s="81" t="n"/>
    </row>
    <row r="371" customFormat="1" s="77">
      <c r="A371" s="76" t="n"/>
      <c r="B371" s="76" t="n"/>
      <c r="C371" s="77" t="inlineStr">
        <is>
          <t>ASSET TURNOVER (LTM REVENUE / ASSETS)</t>
        </is>
      </c>
      <c r="D371" s="84" t="str">
        <f>IFERROR(D15/D203,"")</f>
        <v/>
      </c>
      <c r="E371" s="84" t="str">
        <f>IFERROR(E15/E203,"")</f>
        <v/>
      </c>
      <c r="F371" s="84" t="str">
        <f>IFERROR(F15/F203,"")</f>
        <v/>
      </c>
      <c r="G371" s="84" t="str">
        <f>IFERROR(G15/G203,"")</f>
        <v/>
      </c>
      <c r="H371" s="262" t="str">
        <f>IFERROR(IF(AND(COUNT(H15)=1,N(H203)&lt;&gt;0),(H15)/H203,""),"")</f>
        <v/>
      </c>
      <c r="I371" s="264" t="str">
        <f>""</f>
        <v/>
      </c>
      <c r="J371" s="264" t="str">
        <f>""</f>
        <v/>
      </c>
      <c r="K371" s="264" t="str">
        <f>""</f>
        <v/>
      </c>
      <c r="L371" s="264">
        <f>IFERROR(IF(AND(COUNT(I15,J15,K15,L15)=4,N(L203)&lt;&gt;0),(I15+J15+K15+L15)/L203,""),"")</f>
        <v>0.387288698466748</v>
      </c>
      <c r="M371" s="262">
        <f>IFERROR(IF(AND(COUNT(I15,J15,K15,L15)=4,N(M203)&lt;&gt;0),(I15+J15+K15+L15)/M203,""),"")</f>
        <v>0.387288698466748</v>
      </c>
      <c r="N371" s="264">
        <f>IFERROR(IF(AND(COUNT(J15,K15,L15,N15)=4,N(N203)&lt;&gt;0),(J15+K15+L15+N15)/N203,""),"")</f>
        <v>0.385000552262435</v>
      </c>
      <c r="O371" s="264">
        <f>IFERROR(IF(AND(COUNT(K15,L15,N15,O15)=4,N(O203)&lt;&gt;0),(K15+L15+N15+O15)/O203,""),"")</f>
        <v>0.388308919732472</v>
      </c>
      <c r="P371" s="264">
        <f>IFERROR(IF(AND(COUNT(L15,N15,O15,P15)=4,N(P203)&lt;&gt;0),(L15+N15+O15+P15)/P203,""),"")</f>
        <v>0.338871451703259</v>
      </c>
      <c r="Q371" s="264">
        <f>IFERROR(IF(AND(COUNT(N15,O15,P15,Q15)=4,N(Q203)&lt;&gt;0),(N15+O15+P15+Q15)/Q203,""),"")</f>
        <v>0.358631265130109</v>
      </c>
      <c r="R371" s="262">
        <f>IFERROR(IF(AND(COUNT(N15,O15,P15,Q15)=4,N(R203)&lt;&gt;0),(N15+O15+P15+Q15)/R203,""),"")</f>
        <v>0.358631265130109</v>
      </c>
      <c r="S371" s="264">
        <f>IFERROR(IF(AND(COUNT(O15,P15,Q15,S15)=4,N(S203)&lt;&gt;0),(O15+P15+Q15+S15)/S203,""),"")</f>
        <v>0.364367117459353</v>
      </c>
      <c r="T371" s="264">
        <f>IFERROR(IF(AND(COUNT(P15,Q15,S15,T15)=4,N(T203)&lt;&gt;0),(P15+Q15+S15+T15)/T203,""),"")</f>
        <v>0.371725800690558</v>
      </c>
      <c r="U371" s="264">
        <f>IFERROR(IF(AND(COUNT(Q15,S15,T15,U15)=4,N(U203)&lt;&gt;0),(Q15+S15+T15+U15)/U203,""),"")</f>
        <v>0.372905416282507</v>
      </c>
      <c r="V371" s="264">
        <f>IFERROR(IF(AND(COUNT(S15,T15,U15,V15)=4,N(V203)&lt;&gt;0),(S15+T15+U15+V15)/V203,""),"")</f>
        <v>0.384354247937822</v>
      </c>
      <c r="W371" s="262">
        <f>IFERROR(IF(AND(COUNT(S15,T15,U15,V15)=4,N(W203)&lt;&gt;0),(S15+T15+U15+V15)/W203,""),"")</f>
        <v>0.384354247937822</v>
      </c>
      <c r="X371" s="264">
        <f>IFERROR(IF(AND(COUNT(T15,U15,V15,X15)=4,N(X203)&lt;&gt;0),(T15+U15+V15+X15)/X203,""),"")</f>
        <v>0.383055397499307</v>
      </c>
      <c r="Y371" s="264">
        <f>IFERROR(IF(AND(COUNT(U15,V15,X15,Y15)=4,N(Y203)&lt;&gt;0),(U15+V15+X15+Y15)/Y203,""),"")</f>
        <v>0.375673873567132</v>
      </c>
      <c r="Z371" s="264">
        <f>IFERROR(IF(AND(COUNT(V15,X15,Y15,Z15)=4,N(Z203)&lt;&gt;0),(V15+X15+Y15+Z15)/Z203,""),"")</f>
        <v>0.373160719486319</v>
      </c>
      <c r="AA371" s="264">
        <f>IFERROR(IF(AND(COUNT(X15,Y15,Z15,AA15)=4,N(AA203)&lt;&gt;0),(X15+Y15+Z15+AA15)/AA203,""),"")</f>
        <v>0.369961544419226</v>
      </c>
      <c r="AB371" s="262">
        <f>IFERROR(IF(AND(COUNT(X15,Y15,Z15,AA15)=4,N(AB203)&lt;&gt;0),(X15+Y15+Z15+AA15)/AB203,""),"")</f>
        <v>0.369961544419226</v>
      </c>
      <c r="AC371" s="264">
        <f>IFERROR(IF(AND(COUNT(Y15,Z15,AA15,AC15)=4,N(AC203)&lt;&gt;0),(Y15+Z15+AA15+AC15)/AC203,""),"")</f>
        <v>0.34566669558428</v>
      </c>
      <c r="AD371" s="264">
        <f>IFERROR(IF(AND(COUNT(Z15,AA15,AC15,AD15)=4,N(AD203)&lt;&gt;0),(Z15+AA15+AC15+AD15)/AD203,""),"")</f>
        <v>0.340928124684458</v>
      </c>
      <c r="AE371" s="264">
        <f>IFERROR(IF(AND(COUNT(AA15,AC15,AD15,AE15)=4,N(AE203)&lt;&gt;0),(AA15+AC15+AD15+AE15)/AE203,""),"")</f>
        <v>0.327061939938708</v>
      </c>
      <c r="AF371" s="264">
        <f>IFERROR(IF(AND(COUNT(AB15,AD15,AE15,AF15)=4,N(AF203)&lt;&gt;0),(AB15+AD15+AE15+AF15)/AF203,""),"")</f>
        <v>0.496721695351832</v>
      </c>
      <c r="AG371" s="262">
        <f>IFERROR(IF(AND(COUNT(AC15,AD15,AE15,AF15)=4,N(AG203)&lt;&gt;0),(AC15+AD15+AE15+AF15)/AG203,""),"")</f>
        <v>0.297667134995902</v>
      </c>
      <c r="AH371" s="264">
        <f>IFERROR(IF(AND(COUNT(AD15,AF15,AG15,AH15)=4,N(AH203)&lt;&gt;0),(AD15+AF15+AG15+AH15)/AH203,""),"")</f>
        <v>0.449225248735932</v>
      </c>
      <c r="AI371" s="264">
        <f>IFERROR(IF(AND(COUNT(AE15,AG15,AH15,AI15)=4,N(AI203)&lt;&gt;0),(AE15+AG15+AH15+AI15)/AI203,""),"")</f>
        <v>0.42908553287566</v>
      </c>
      <c r="AJ371" s="264">
        <f>IFERROR(IF(AND(COUNT(AF15,AH15,AI15,AJ15)=4,N(AJ203)&lt;&gt;0),(AF15+AH15+AI15+AJ15)/AJ203,""),"")</f>
        <v>0.26338326910873</v>
      </c>
      <c r="AK371" s="264">
        <f>IFERROR(IF(AND(COUNT(AH15,AI15,AJ15,AK15)=4,N(AK203)&lt;&gt;0),(AH15+AI15+AJ15+AK15)/AK203,""),"")</f>
        <v>0.265720639814359</v>
      </c>
      <c r="AL371" s="262">
        <f>IFERROR(IF(AND(COUNT(AH15,AI15,AJ15,AK15)=4,N(AL203)&lt;&gt;0),(AH15+AI15+AJ15+AK15)/AL203,""),"")</f>
        <v>0.265720639814359</v>
      </c>
      <c r="AM371" s="264">
        <f>IFERROR(IF(AND(COUNT(AI15,AJ15,AK15,AM15)=4,N(AM203)&lt;&gt;0),(AI15+AJ15+AK15+AM15)/AM203,""),"")</f>
        <v>0.267925657900114</v>
      </c>
      <c r="AN371" s="264">
        <f>IFERROR(IF(AND(COUNT(AJ15,AK15,AM15,AN15)=4,N(AN203)&lt;&gt;0),(AJ15+AK15+AM15+AN15)/AN203,""),"")</f>
        <v>0.270181680817619</v>
      </c>
      <c r="AO371" s="264">
        <f>IFERROR(IF(AND(COUNT(AK15,AM15,AN15,AO15)=4,N(AO203)&lt;&gt;0),(AK15+AM15+AN15+AO15)/AO203,""),"")</f>
        <v>0.273892770887996</v>
      </c>
      <c r="AP371" s="264">
        <f>IFERROR(IF(AND(COUNT(AM15,AN15,AO15,AP15)=4,N(AP203)&lt;&gt;0),(AM15+AN15+AO15+AP15)/AP203,""),"")</f>
        <v>0.275870246583076</v>
      </c>
      <c r="AQ371" s="262">
        <f>IFERROR(IF(AND(COUNT(AM15,AN15,AO15,AP15)=4,N(AQ203)&lt;&gt;0),(AM15+AN15+AO15+AP15)/AQ203,""),"")</f>
        <v>0.275870246583076</v>
      </c>
      <c r="AR371" s="264">
        <f>IFERROR(IF(AND(COUNT(AN15,AO15,AP15,AR15)=4,N(AR203)&lt;&gt;0),(AN15+AO15+AP15+AR15)/AR203,""),"")</f>
        <v>0.277547329196412</v>
      </c>
      <c r="AS371" s="264">
        <f>IFERROR(IF(AND(COUNT(AO15,AP15,AR15,AS15)=4,N(AS203)&lt;&gt;0),(AO15+AP15+AR15+AS15)/AS203,""),"")</f>
        <v>0.278978239268997</v>
      </c>
      <c r="AT371" s="264">
        <f>IFERROR(IF(AND(COUNT(AP15,AR15,AS15,AT15)=4,N(AT203)&lt;&gt;0),(AP15+AR15+AS15+AT15)/AT203,""),"")</f>
        <v>0.282134001629922</v>
      </c>
      <c r="AU371" s="264">
        <f>IFERROR(IF(AND(COUNT(AR15,AS15,AT15,AU15)=4,N(AU203)&lt;&gt;0),(AR15+AS15+AT15+AU15)/AU203,""),"")</f>
        <v>0.283409784637864</v>
      </c>
      <c r="AV371" s="262">
        <f>IFERROR(IF(AND(COUNT(AR15,AS15,AT15,AU15)=4,N(AV203)&lt;&gt;0),(AR15+AS15+AT15+AU15)/AV203,""),"")</f>
        <v>0.283409784637864</v>
      </c>
      <c r="AW371" s="264">
        <f>IFERROR(IF(AND(COUNT(AS15,AT15,AU15,AW15)=4,N(AW203)&lt;&gt;0),(AS15+AT15+AU15+AW15)/AW203,""),"")</f>
        <v>0.284279408072556</v>
      </c>
      <c r="AX371" s="264">
        <f>IFERROR(IF(AND(COUNT(AT15,AU15,AW15,AX15)=4,N(AX203)&lt;&gt;0),(AT15+AU15+AW15+AX15)/AX203,""),"")</f>
        <v>0.285018528864659</v>
      </c>
      <c r="AY371" s="264">
        <f>IFERROR(IF(AND(COUNT(AU15,AW15,AX15,AY15)=4,N(AY203)&lt;&gt;0),(AU15+AW15+AX15+AY15)/AY203,""),"")</f>
        <v>0.287502092308615</v>
      </c>
      <c r="AZ371" s="264">
        <f>IFERROR(IF(AND(COUNT(AW15,AX15,AY15,AZ15)=4,N(AZ203)&lt;&gt;0),(AW15+AX15+AY15+AZ15)/AZ203,""),"")</f>
        <v>0.287993778972815</v>
      </c>
      <c r="BA371" s="262">
        <f>IFERROR(IF(AND(COUNT(AW15,AX15,AY15,AZ15)=4,N(BA203)&lt;&gt;0),(AW15+AX15+AY15+AZ15)/BA203,""),"")</f>
        <v>0.287993778972815</v>
      </c>
      <c r="BB371" s="264">
        <f>IFERROR(IF(AND(COUNT(AX15,AY15,AZ15,BB15)=4,N(BB203)&lt;&gt;0),(AX15+AY15+AZ15+BB15)/BB203,""),"")</f>
        <v>0.288093683552361</v>
      </c>
      <c r="BC371" s="264">
        <f>IFERROR(IF(AND(COUNT(AY15,AZ15,BB15,BC15)=4,N(BC203)&lt;&gt;0),(AY15+AZ15+BB15+BC15)/BC203,""),"")</f>
        <v>0.287974826065167</v>
      </c>
      <c r="BD371" s="264">
        <f>IFERROR(IF(AND(COUNT(AZ15,BB15,BC15,BD15)=4,N(BD203)&lt;&gt;0),(AZ15+BB15+BC15+BD15)/BD203,""),"")</f>
        <v>0.289671017785302</v>
      </c>
      <c r="BE371" s="264">
        <f>IFERROR(IF(AND(COUNT(BB15,BC15,BD15,BE15)=4,N(BE203)&lt;&gt;0),(BB15+BC15+BD15+BE15)/BE203,""),"")</f>
        <v>0.289306925638126</v>
      </c>
      <c r="BF371" s="262">
        <f>IFERROR(IF(AND(COUNT(BB15,BC15,BD15,BE15)=4,N(BF203)&lt;&gt;0),(BB15+BC15+BD15+BE15)/BF203,""),"")</f>
        <v>0.289306925638126</v>
      </c>
      <c r="BG371" s="81" t="n"/>
      <c r="BH371" s="81" t="n"/>
      <c r="BI371" s="81" t="n"/>
      <c r="BJ371" s="81" t="n"/>
      <c r="BL371" s="81" t="n"/>
      <c r="BM371" s="81" t="n"/>
      <c r="BN371" s="81" t="n"/>
      <c r="BO371" s="81" t="n"/>
      <c r="BQ371" s="81" t="n"/>
      <c r="BR371" s="81" t="n"/>
      <c r="BS371" s="81" t="n"/>
      <c r="BT371" s="81" t="n"/>
      <c r="BV371" s="81" t="n"/>
      <c r="BW371" s="81" t="n"/>
      <c r="BX371" s="81" t="n"/>
      <c r="BY371" s="81" t="n"/>
      <c r="CA371" s="81" t="n"/>
      <c r="CB371" s="81" t="n"/>
      <c r="CC371" s="81" t="n"/>
      <c r="CD371" s="81" t="n"/>
      <c r="CF371" s="81" t="n"/>
      <c r="CG371" s="81" t="n"/>
      <c r="CH371" s="81" t="n"/>
      <c r="CI371" s="81" t="n"/>
      <c r="CK371" s="81" t="n"/>
      <c r="CL371" s="81" t="n"/>
      <c r="CM371" s="81" t="n"/>
      <c r="CN371" s="81" t="n"/>
      <c r="CP371" s="81" t="n"/>
      <c r="CQ371" s="81" t="n"/>
      <c r="CR371" s="81" t="n"/>
      <c r="CS371" s="81" t="n"/>
      <c r="CU371" s="81" t="n"/>
      <c r="CV371" s="81" t="n"/>
      <c r="CW371" s="81" t="n"/>
      <c r="CX371" s="81" t="n"/>
    </row>
    <row r="372" customFormat="1" s="77">
      <c r="A372" s="76" t="n"/>
      <c r="B372" s="76" t="n"/>
      <c r="C372" s="77" t="inlineStr">
        <is>
          <t>EQUITY MULTIPLIER (ASSETS / EQUITY)</t>
        </is>
      </c>
      <c r="D372" s="84" t="str">
        <f>IFERROR(D203/D277,"")</f>
        <v/>
      </c>
      <c r="E372" s="84" t="str">
        <f>IFERROR(E203/E277,"")</f>
        <v/>
      </c>
      <c r="F372" s="84" t="str">
        <f>IFERROR(F203/F277,"")</f>
        <v/>
      </c>
      <c r="G372" s="84" t="str">
        <f>IFERROR(G203/G277,"")</f>
        <v/>
      </c>
      <c r="H372" s="262" t="str">
        <f>IFERROR(IF(N(H277)&lt;&gt;0,H203/H277,""),"")</f>
        <v/>
      </c>
      <c r="I372" s="264">
        <f>IFERROR(IF(N(I277)&lt;&gt;0,I203/I277,""),"")</f>
        <v>12.2557849953305</v>
      </c>
      <c r="J372" s="264">
        <f>IFERROR(IF(N(J277)&lt;&gt;0,J203/J277,""),"")</f>
        <v>22.0273857526882</v>
      </c>
      <c r="K372" s="264">
        <f>IFERROR(IF(N(K277)&lt;&gt;0,K203/K277,""),"")</f>
        <v>-108.782300884956</v>
      </c>
      <c r="L372" s="264">
        <f>IFERROR(IF(N(L277)&lt;&gt;0,L203/L277,""),"")</f>
        <v>-11.0682335887347</v>
      </c>
      <c r="M372" s="262">
        <f>IFERROR(IF(N(M277)&lt;&gt;0,M203/M277,""),"")</f>
        <v>-11.0682335887347</v>
      </c>
      <c r="N372" s="264">
        <f>IFERROR(IF(N(N277)&lt;&gt;0,N203/N277,""),"")</f>
        <v>-13.2315186944343</v>
      </c>
      <c r="O372" s="264">
        <f>IFERROR(IF(N(O277)&lt;&gt;0,O203/O277,""),"")</f>
        <v>-18.9488557558946</v>
      </c>
      <c r="P372" s="264">
        <f>IFERROR(IF(N(P277)&lt;&gt;0,P203/P277,""),"")</f>
        <v>-23.9142962011378</v>
      </c>
      <c r="Q372" s="264">
        <f>IFERROR(IF(N(Q277)&lt;&gt;0,Q203/Q277,""),"")</f>
        <v>-34.0225105932203</v>
      </c>
      <c r="R372" s="262">
        <f>IFERROR(IF(N(R277)&lt;&gt;0,R203/R277,""),"")</f>
        <v>-34.0225105932203</v>
      </c>
      <c r="S372" s="264">
        <f>IFERROR(IF(N(S277)&lt;&gt;0,S203/S277,""),"")</f>
        <v>-68.8389121338912</v>
      </c>
      <c r="T372" s="264">
        <f>IFERROR(IF(N(T277)&lt;&gt;0,T203/T277,""),"")</f>
        <v>86.3650385604113</v>
      </c>
      <c r="U372" s="264">
        <f>IFERROR(IF(N(U277)&lt;&gt;0,U203/U277,""),"")</f>
        <v>48.10348468849</v>
      </c>
      <c r="V372" s="264">
        <f>IFERROR(IF(N(V277)&lt;&gt;0,V203/V277,""),"")</f>
        <v>30.6815897670169</v>
      </c>
      <c r="W372" s="262">
        <f>IFERROR(IF(N(W277)&lt;&gt;0,W203/W277,""),"")</f>
        <v>30.6815897670169</v>
      </c>
      <c r="X372" s="264">
        <f>IFERROR(IF(N(X277)&lt;&gt;0,X203/X277,""),"")</f>
        <v>22.1743772241993</v>
      </c>
      <c r="Y372" s="264">
        <f>IFERROR(IF(N(Y277)&lt;&gt;0,Y203/Y277,""),"")</f>
        <v>15.2587942418011</v>
      </c>
      <c r="Z372" s="264">
        <f>IFERROR(IF(N(Z277)&lt;&gt;0,Z203/Z277,""),"")</f>
        <v>12.7974088206584</v>
      </c>
      <c r="AA372" s="264">
        <f>IFERROR(IF(N(AA277)&lt;&gt;0,AA203/AA277,""),"")</f>
        <v>10.430106771565</v>
      </c>
      <c r="AB372" s="262">
        <f>IFERROR(IF(N(AB277)&lt;&gt;0,AB203/AB277,""),"")</f>
        <v>10.430106771565</v>
      </c>
      <c r="AC372" s="264">
        <f>IFERROR(IF(N(AC277)&lt;&gt;0,AC203/AC277,""),"")</f>
        <v>9.34928451422281</v>
      </c>
      <c r="AD372" s="264">
        <f>IFERROR(IF(N(AD277)&lt;&gt;0,AD203/AD277,""),"")</f>
        <v>8.02904287281225</v>
      </c>
      <c r="AE372" s="264">
        <f>IFERROR(IF(N(AE277)&lt;&gt;0,AE203/AE277,""),"")</f>
        <v>7.31569772156004</v>
      </c>
      <c r="AF372" s="264">
        <f>IFERROR(IF(N(AF277)&lt;&gt;0,AF203/AF277,""),"")</f>
        <v>6.73027547033523</v>
      </c>
      <c r="AG372" s="262">
        <f>IFERROR(IF(N(AG277)&lt;&gt;0,AG203/AG277,""),"")</f>
        <v>6.73027547033523</v>
      </c>
      <c r="AH372" s="264">
        <f>IFERROR(IF(N(AH277)&lt;&gt;0,AH203/AH277,""),"")</f>
        <v>6.27999282988912</v>
      </c>
      <c r="AI372" s="264">
        <f>IFERROR(IF(N(AI277)&lt;&gt;0,AI203/AI277,""),"")</f>
        <v>6.0795011148272</v>
      </c>
      <c r="AJ372" s="264">
        <f>IFERROR(IF(N(AJ277)&lt;&gt;0,AJ203/AJ277,""),"")</f>
        <v>5.48670481148342</v>
      </c>
      <c r="AK372" s="264">
        <f>IFERROR(IF(N(AK277)&lt;&gt;0,AK203/AK277,""),"")</f>
        <v>5.04981138825529</v>
      </c>
      <c r="AL372" s="262">
        <f>IFERROR(IF(N(AL277)&lt;&gt;0,AL203/AL277,""),"")</f>
        <v>5.04981138825529</v>
      </c>
      <c r="AM372" s="264">
        <f>IFERROR(IF(N(AM277)&lt;&gt;0,AM203/AM277,""),"")</f>
        <v>4.67375734842541</v>
      </c>
      <c r="AN372" s="264">
        <f>IFERROR(IF(N(AN277)&lt;&gt;0,AN203/AN277,""),"")</f>
        <v>4.33366994653214</v>
      </c>
      <c r="AO372" s="264">
        <f>IFERROR(IF(N(AO277)&lt;&gt;0,AO203/AO277,""),"")</f>
        <v>4.05585182600282</v>
      </c>
      <c r="AP372" s="264">
        <f>IFERROR(IF(N(AP277)&lt;&gt;0,AP203/AP277,""),"")</f>
        <v>3.82877733398925</v>
      </c>
      <c r="AQ372" s="262">
        <f>IFERROR(IF(N(AQ277)&lt;&gt;0,AQ203/AQ277,""),"")</f>
        <v>3.82877733398925</v>
      </c>
      <c r="AR372" s="264">
        <f>IFERROR(IF(N(AR277)&lt;&gt;0,AR203/AR277,""),"")</f>
        <v>3.62407562401414</v>
      </c>
      <c r="AS372" s="264">
        <f>IFERROR(IF(N(AS277)&lt;&gt;0,AS203/AS277,""),"")</f>
        <v>3.43463877975147</v>
      </c>
      <c r="AT372" s="264">
        <f>IFERROR(IF(N(AT277)&lt;&gt;0,AT203/AT277,""),"")</f>
        <v>3.26718574481498</v>
      </c>
      <c r="AU372" s="264">
        <f>IFERROR(IF(N(AU277)&lt;&gt;0,AU203/AU277,""),"")</f>
        <v>3.13216003458285</v>
      </c>
      <c r="AV372" s="262">
        <f>IFERROR(IF(N(AV277)&lt;&gt;0,AV203/AV277,""),"")</f>
        <v>3.13216003458285</v>
      </c>
      <c r="AW372" s="264">
        <f>IFERROR(IF(N(AW277)&lt;&gt;0,AW203/AW277,""),"")</f>
        <v>3.00865349549089</v>
      </c>
      <c r="AX372" s="264">
        <f>IFERROR(IF(N(AX277)&lt;&gt;0,AX203/AX277,""),"")</f>
        <v>2.89063376807061</v>
      </c>
      <c r="AY372" s="264">
        <f>IFERROR(IF(N(AY277)&lt;&gt;0,AY203/AY277,""),"")</f>
        <v>2.78036125860632</v>
      </c>
      <c r="AZ372" s="264">
        <f>IFERROR(IF(N(AZ277)&lt;&gt;0,AZ203/AZ277,""),"")</f>
        <v>2.6943600820908</v>
      </c>
      <c r="BA372" s="262">
        <f>IFERROR(IF(N(BA277)&lt;&gt;0,BA203/BA277,""),"")</f>
        <v>2.6943600820908</v>
      </c>
      <c r="BB372" s="264">
        <f>IFERROR(IF(N(BB277)&lt;&gt;0,BB203/BB277,""),"")</f>
        <v>2.61467653313098</v>
      </c>
      <c r="BC372" s="264">
        <f>IFERROR(IF(N(BC277)&lt;&gt;0,BC203/BC277,""),"")</f>
        <v>2.53802026863152</v>
      </c>
      <c r="BD372" s="264">
        <f>IFERROR(IF(N(BD277)&lt;&gt;0,BD203/BD277,""),"")</f>
        <v>2.46190766005988</v>
      </c>
      <c r="BE372" s="264">
        <f>IFERROR(IF(N(BE277)&lt;&gt;0,BE203/BE277,""),"")</f>
        <v>2.40571910021271</v>
      </c>
      <c r="BF372" s="262">
        <f>IFERROR(IF(N(BF277)&lt;&gt;0,BF203/BF277,""),"")</f>
        <v>2.40571910021271</v>
      </c>
      <c r="BG372" s="81" t="n"/>
      <c r="BH372" s="81" t="n"/>
      <c r="BI372" s="81" t="n"/>
      <c r="BJ372" s="81" t="n"/>
      <c r="BL372" s="81" t="n"/>
      <c r="BM372" s="81" t="n"/>
      <c r="BN372" s="81" t="n"/>
      <c r="BO372" s="81" t="n"/>
      <c r="BQ372" s="81" t="n"/>
      <c r="BR372" s="81" t="n"/>
      <c r="BS372" s="81" t="n"/>
      <c r="BT372" s="81" t="n"/>
      <c r="BV372" s="81" t="n"/>
      <c r="BW372" s="81" t="n"/>
      <c r="BX372" s="81" t="n"/>
      <c r="BY372" s="81" t="n"/>
      <c r="CA372" s="81" t="n"/>
      <c r="CB372" s="81" t="n"/>
      <c r="CC372" s="81" t="n"/>
      <c r="CD372" s="81" t="n"/>
      <c r="CF372" s="81" t="n"/>
      <c r="CG372" s="81" t="n"/>
      <c r="CH372" s="81" t="n"/>
      <c r="CI372" s="81" t="n"/>
      <c r="CK372" s="81" t="n"/>
      <c r="CL372" s="81" t="n"/>
      <c r="CM372" s="81" t="n"/>
      <c r="CN372" s="81" t="n"/>
      <c r="CP372" s="81" t="n"/>
      <c r="CQ372" s="81" t="n"/>
      <c r="CR372" s="81" t="n"/>
      <c r="CS372" s="81" t="n"/>
      <c r="CU372" s="81" t="n"/>
      <c r="CV372" s="81" t="n"/>
      <c r="CW372" s="81" t="n"/>
      <c r="CX372" s="81" t="n"/>
    </row>
    <row r="373" customFormat="1" s="77">
      <c r="A373" s="76" t="n"/>
      <c r="B373" s="76" t="n"/>
      <c r="C373" s="77" t="inlineStr">
        <is>
          <t>ROE - DUPONT</t>
        </is>
      </c>
      <c r="D373" s="84">
        <f>IFERROR(PRODUCT(D370:D372),"")</f>
        <v>0</v>
      </c>
      <c r="E373" s="84">
        <f>IFERROR(PRODUCT(E370:E372),"")</f>
        <v>0</v>
      </c>
      <c r="F373" s="84">
        <f>IFERROR(PRODUCT(F370:F372),"")</f>
        <v>0</v>
      </c>
      <c r="G373" s="84">
        <f>IFERROR(PRODUCT(G370:G372),"")</f>
        <v>0</v>
      </c>
      <c r="H373" s="258" t="str">
        <f>IFERROR(IF(COUNT(H370,H371,H372)=3,H370*H371*H372,""),"")</f>
        <v/>
      </c>
      <c r="I373" s="257" t="str">
        <f>IFERROR(IF(COUNT(I370,I371,I372)=3,I370*I371*I372,""),"")</f>
        <v/>
      </c>
      <c r="J373" s="257" t="str">
        <f>IFERROR(IF(COUNT(J370,J371,J372)=3,J370*J371*J372,""),"")</f>
        <v/>
      </c>
      <c r="K373" s="257" t="str">
        <f>IFERROR(IF(COUNT(K370,K371,K372)=3,K370*K371*K372,""),"")</f>
        <v/>
      </c>
      <c r="L373" s="257">
        <f>IFERROR(IF(COUNT(L370,L371,L372)=3,L370*L371*L372,""),"")</f>
        <v>-1.0626423690205</v>
      </c>
      <c r="M373" s="258">
        <f>IFERROR(IF(COUNT(M370,M371,M372)=3,M370*M371*M372,""),"")</f>
        <v>-1.0626423690205</v>
      </c>
      <c r="N373" s="257">
        <f>IFERROR(IF(COUNT(N370,N371,N372)=3,N370*N371*N372,""),"")</f>
        <v>-0.920837900377542</v>
      </c>
      <c r="O373" s="257">
        <f>IFERROR(IF(COUNT(O370,O371,O372)=3,O370*O371*O372,""),"")</f>
        <v>-1.16470180305132</v>
      </c>
      <c r="P373" s="257">
        <f>IFERROR(IF(COUNT(P370,P371,P372)=3,P370*P371*P372,""),"")</f>
        <v>-1.06606716828776</v>
      </c>
      <c r="Q373" s="257">
        <f>IFERROR(IF(COUNT(Q370,Q371,Q372)=3,Q370*Q371*Q372,""),"")</f>
        <v>-2.32971398305085</v>
      </c>
      <c r="R373" s="258">
        <f>IFERROR(IF(COUNT(R370,R371,R372)=3,R370*R371*R372,""),"")</f>
        <v>-2.32971398305085</v>
      </c>
      <c r="S373" s="257">
        <f>IFERROR(IF(COUNT(S370,S371,S372)=3,S370*S371*S372,""),"")</f>
        <v>-4.37970711297071</v>
      </c>
      <c r="T373" s="257">
        <f>IFERROR(IF(COUNT(T370,T371,T372)=3,T370*T371*T372,""),"")</f>
        <v>5.46529562982005</v>
      </c>
      <c r="U373" s="257">
        <f>IFERROR(IF(COUNT(U370,U371,U372)=3,U370*U371*U372,""),"")</f>
        <v>3.30024639211545</v>
      </c>
      <c r="V373" s="257">
        <f>IFERROR(IF(COUNT(V370,V371,V372)=3,V370*V371*V372,""),"")</f>
        <v>2.31566925536775</v>
      </c>
      <c r="W373" s="258">
        <f>IFERROR(IF(COUNT(W370,W371,W372)=3,W370*W371*W372,""),"")</f>
        <v>2.31566925536775</v>
      </c>
      <c r="X373" s="257">
        <f>IFERROR(IF(COUNT(X370,X371,X372)=3,X370*X371*X372,""),"")</f>
        <v>1.72161112908444</v>
      </c>
      <c r="Y373" s="257">
        <f>IFERROR(IF(COUNT(Y370,Y371,Y372)=3,Y370*Y371*Y372,""),"")</f>
        <v>1.13302305444312</v>
      </c>
      <c r="Z373" s="257">
        <f>IFERROR(IF(COUNT(Z370,Z371,Z372)=3,Z370*Z371*Z372,""),"")</f>
        <v>0.974088206584435</v>
      </c>
      <c r="AA373" s="257">
        <f>IFERROR(IF(COUNT(AA370,AA371,AA372)=3,AA370*AA371*AA372,""),"")</f>
        <v>0.816591739252599</v>
      </c>
      <c r="AB373" s="258">
        <f>IFERROR(IF(COUNT(AB370,AB371,AB372)=3,AB370*AB371*AB372,""),"")</f>
        <v>0.816591739252599</v>
      </c>
      <c r="AC373" s="257">
        <f>IFERROR(IF(COUNT(AC370,AC371,AC372)=3,AC370*AC371*AC372,""),"")</f>
        <v>0.7044783036904</v>
      </c>
      <c r="AD373" s="257">
        <f>IFERROR(IF(COUNT(AD370,AD371,AD372)=3,AD370*AD371*AD372,""),"")</f>
        <v>0.593399780628547</v>
      </c>
      <c r="AE373" s="257">
        <f>IFERROR(IF(COUNT(AE370,AE371,AE372)=3,AE370*AE371*AE372,""),"")</f>
        <v>0.504378496716127</v>
      </c>
      <c r="AF373" s="257">
        <f>IFERROR(IF(COUNT(AF370,AF371,AF372)=3,AF370*AF371*AF372,""),"")</f>
        <v>0.791739173260663</v>
      </c>
      <c r="AG373" s="258">
        <f>IFERROR(IF(COUNT(AG370,AG371,AG372)=3,AG370*AG371*AG372,""),"")</f>
        <v>0.506451718816692</v>
      </c>
      <c r="AH373" s="257">
        <f>IFERROR(IF(COUNT(AH370,AH371,AH372)=3,AH370*AH371*AH372,""),"")</f>
        <v>0.73514122557681</v>
      </c>
      <c r="AI373" s="257">
        <f>IFERROR(IF(COUNT(AI370,AI371,AI372)=3,AI370*AI371*AI372,""),"")</f>
        <v>0.61262077294686</v>
      </c>
      <c r="AJ373" s="257">
        <f>IFERROR(IF(COUNT(AJ370,AJ371,AJ372)=3,AJ370*AJ371*AJ372,""),"")</f>
        <v>0.399228559180621</v>
      </c>
      <c r="AK373" s="257">
        <f>IFERROR(IF(COUNT(AK370,AK371,AK372)=3,AK370*AK371*AK372,""),"")</f>
        <v>0.345492885959187</v>
      </c>
      <c r="AL373" s="258">
        <f>IFERROR(IF(COUNT(AL370,AL371,AL372)=3,AL370*AL371*AL372,""),"")</f>
        <v>0.345492885959187</v>
      </c>
      <c r="AM373" s="257">
        <f>IFERROR(IF(COUNT(AM370,AM371,AM372)=3,AM370*AM371*AM372,""),"")</f>
        <v>0.34683618520917</v>
      </c>
      <c r="AN373" s="257">
        <f>IFERROR(IF(COUNT(AN370,AN371,AN372)=3,AN370*AN371*AN372,""),"")</f>
        <v>0.345755263026427</v>
      </c>
      <c r="AO373" s="257">
        <f>IFERROR(IF(COUNT(AO370,AO371,AO372)=3,AO370*AO371*AO372,""),"")</f>
        <v>0.328034648460253</v>
      </c>
      <c r="AP373" s="257">
        <f>IFERROR(IF(COUNT(AP370,AP371,AP372)=3,AP370*AP371*AP372,""),"")</f>
        <v>0.311904787977214</v>
      </c>
      <c r="AQ373" s="258">
        <f>IFERROR(IF(COUNT(AQ370,AQ371,AQ372)=3,AQ370*AQ371*AQ372,""),"")</f>
        <v>0.311904787977214</v>
      </c>
      <c r="AR373" s="257">
        <f>IFERROR(IF(COUNT(AR370,AR371,AR372)=3,AR370*AR371*AR372,""),"")</f>
        <v>0.297023883661696</v>
      </c>
      <c r="AS373" s="257">
        <f>IFERROR(IF(COUNT(AS370,AS371,AS372)=3,AS370*AS371*AS372,""),"")</f>
        <v>0.282949197347516</v>
      </c>
      <c r="AT373" s="257">
        <f>IFERROR(IF(COUNT(AT370,AT371,AT372)=3,AT370*AT371*AT372,""),"")</f>
        <v>0.272198872799462</v>
      </c>
      <c r="AU373" s="257">
        <f>IFERROR(IF(COUNT(AU370,AU371,AU372)=3,AU370*AU371*AU372,""),"")</f>
        <v>0.262129471597057</v>
      </c>
      <c r="AV373" s="258">
        <f>IFERROR(IF(COUNT(AV370,AV371,AV372)=3,AV370*AV371*AV372,""),"")</f>
        <v>0.262129471597057</v>
      </c>
      <c r="AW373" s="257">
        <f>IFERROR(IF(COUNT(AW370,AW371,AW372)=3,AW370*AW371*AW372,""),"")</f>
        <v>0.252565859107914</v>
      </c>
      <c r="AX373" s="257">
        <f>IFERROR(IF(COUNT(AX370,AX371,AX372)=3,AX370*AX371*AX372,""),"")</f>
        <v>0.243289426176893</v>
      </c>
      <c r="AY373" s="257">
        <f>IFERROR(IF(COUNT(AY370,AY371,AY372)=3,AY370*AY371*AY372,""),"")</f>
        <v>0.236047446266439</v>
      </c>
      <c r="AZ373" s="257">
        <f>IFERROR(IF(COUNT(AZ370,AZ371,AZ372)=3,AZ370*AZ371*AZ372,""),"")</f>
        <v>0.22913731004553</v>
      </c>
      <c r="BA373" s="258">
        <f>IFERROR(IF(COUNT(BA370,BA371,BA372)=3,BA370*BA371*BA372,""),"")</f>
        <v>0.22913731004553</v>
      </c>
      <c r="BB373" s="257">
        <f>IFERROR(IF(COUNT(BB370,BB371,BB372)=3,BB370*BB371*BB372,""),"")</f>
        <v>0.222437893573453</v>
      </c>
      <c r="BC373" s="257">
        <f>IFERROR(IF(COUNT(BC370,BC371,BC372)=3,BC370*BC371*BC372,""),"")</f>
        <v>0.215827449657584</v>
      </c>
      <c r="BD373" s="257">
        <f>IFERROR(IF(COUNT(BD370,BD371,BD372)=3,BD370*BD371*BD372,""),"")</f>
        <v>0.210588122708526</v>
      </c>
      <c r="BE373" s="257">
        <f>IFERROR(IF(COUNT(BE370,BE371,BE372)=3,BE370*BE371*BE372,""),"")</f>
        <v>0.205523181749237</v>
      </c>
      <c r="BF373" s="258">
        <f>IFERROR(IF(COUNT(BF370,BF371,BF372)=3,BF370*BF371*BF372,""),"")</f>
        <v>0.205523181749237</v>
      </c>
      <c r="BG373" s="81" t="n"/>
      <c r="BH373" s="81" t="n"/>
      <c r="BI373" s="81" t="n"/>
      <c r="BJ373" s="81" t="n"/>
      <c r="BL373" s="81" t="n"/>
      <c r="BM373" s="81" t="n"/>
      <c r="BN373" s="81" t="n"/>
      <c r="BO373" s="81" t="n"/>
      <c r="BQ373" s="81" t="n"/>
      <c r="BR373" s="81" t="n"/>
      <c r="BS373" s="81" t="n"/>
      <c r="BT373" s="81" t="n"/>
      <c r="BV373" s="81" t="n"/>
      <c r="BW373" s="81" t="n"/>
      <c r="BX373" s="81" t="n"/>
      <c r="BY373" s="81" t="n"/>
      <c r="CA373" s="81" t="n"/>
      <c r="CB373" s="81" t="n"/>
      <c r="CC373" s="81" t="n"/>
      <c r="CD373" s="81" t="n"/>
      <c r="CF373" s="81" t="n"/>
      <c r="CG373" s="81" t="n"/>
      <c r="CH373" s="81" t="n"/>
      <c r="CI373" s="81" t="n"/>
      <c r="CK373" s="81" t="n"/>
      <c r="CL373" s="81" t="n"/>
      <c r="CM373" s="81" t="n"/>
      <c r="CN373" s="81" t="n"/>
      <c r="CP373" s="81" t="n"/>
      <c r="CQ373" s="81" t="n"/>
      <c r="CR373" s="81" t="n"/>
      <c r="CS373" s="81" t="n"/>
      <c r="CU373" s="81" t="n"/>
      <c r="CV373" s="81" t="n"/>
      <c r="CW373" s="81" t="n"/>
      <c r="CX373" s="81" t="n"/>
    </row>
    <row r="374" customFormat="1" s="77">
      <c r="A374" s="76" t="n"/>
      <c r="B374" s="76" t="n"/>
      <c r="C374" s="77" t="inlineStr">
        <is>
          <t>ROE (LTM)</t>
        </is>
      </c>
      <c r="D374" s="84" t="str">
        <f>IFERROR(D143/D277,"")</f>
        <v/>
      </c>
      <c r="E374" s="84" t="str">
        <f>IFERROR(E143/E277,"")</f>
        <v/>
      </c>
      <c r="F374" s="84" t="str">
        <f>IFERROR(F143/F277,"")</f>
        <v/>
      </c>
      <c r="G374" s="84" t="str">
        <f>IFERROR(G143/G277,"")</f>
        <v/>
      </c>
      <c r="H374" s="258" t="str">
        <f>IFERROR(IF(AND(COUNT(H143)=1,N(H277)&lt;&gt;0),(H143)/H277,""),"")</f>
        <v/>
      </c>
      <c r="I374" s="257" t="str">
        <f>""</f>
        <v/>
      </c>
      <c r="J374" s="257" t="str">
        <f>""</f>
        <v/>
      </c>
      <c r="K374" s="257" t="str">
        <f>""</f>
        <v/>
      </c>
      <c r="L374" s="257">
        <f>IFERROR(IF(AND(COUNT(I143,J143,K143,L143)=4,N(L277)&lt;&gt;0),(I143+J143+K143+L143)/L277,""),"")</f>
        <v>-1.0626423690205</v>
      </c>
      <c r="M374" s="258">
        <f>IFERROR(IF(AND(COUNT(I143,J143,K143,L143)=4,N(M277)&lt;&gt;0),(I143+J143+K143+L143)/M277,""),"")</f>
        <v>-1.0626423690205</v>
      </c>
      <c r="N374" s="257">
        <f>IFERROR(IF(AND(COUNT(J143,K143,L143,N143)=4,N(N277)&lt;&gt;0),(J143+K143+L143+N143)/N277,""),"")</f>
        <v>-0.920837900377542</v>
      </c>
      <c r="O374" s="257">
        <f>IFERROR(IF(AND(COUNT(K143,L143,N143,O143)=4,N(O277)&lt;&gt;0),(K143+L143+N143+O143)/O277,""),"")</f>
        <v>-1.16470180305132</v>
      </c>
      <c r="P374" s="257">
        <f>IFERROR(IF(AND(COUNT(L143,N143,O143,P143)=4,N(P277)&lt;&gt;0),(L143+N143+O143+P143)/P277,""),"")</f>
        <v>-1.06606716828776</v>
      </c>
      <c r="Q374" s="257">
        <f>IFERROR(IF(AND(COUNT(N143,O143,P143,Q143)=4,N(Q277)&lt;&gt;0),(N143+O143+P143+Q143)/Q277,""),"")</f>
        <v>-2.32971398305085</v>
      </c>
      <c r="R374" s="258">
        <f>IFERROR(IF(AND(COUNT(N143,O143,P143,Q143)=4,N(R277)&lt;&gt;0),(N143+O143+P143+Q143)/R277,""),"")</f>
        <v>-2.32971398305085</v>
      </c>
      <c r="S374" s="257">
        <f>IFERROR(IF(AND(COUNT(O143,P143,Q143,S143)=4,N(S277)&lt;&gt;0),(O143+P143+Q143+S143)/S277,""),"")</f>
        <v>-4.37970711297071</v>
      </c>
      <c r="T374" s="257">
        <f>IFERROR(IF(AND(COUNT(P143,Q143,S143,T143)=4,N(T277)&lt;&gt;0),(P143+Q143+S143+T143)/T277,""),"")</f>
        <v>5.46529562982005</v>
      </c>
      <c r="U374" s="257">
        <f>IFERROR(IF(AND(COUNT(Q143,S143,T143,U143)=4,N(U277)&lt;&gt;0),(Q143+S143+T143+U143)/U277,""),"")</f>
        <v>3.30024639211545</v>
      </c>
      <c r="V374" s="257">
        <f>IFERROR(IF(AND(COUNT(S143,T143,U143,V143)=4,N(V277)&lt;&gt;0),(S143+T143+U143+V143)/V277,""),"")</f>
        <v>2.31566925536775</v>
      </c>
      <c r="W374" s="258">
        <f>IFERROR(IF(AND(COUNT(S143,T143,U143,V143)=4,N(W277)&lt;&gt;0),(S143+T143+U143+V143)/W277,""),"")</f>
        <v>2.31566925536775</v>
      </c>
      <c r="X374" s="257">
        <f>IFERROR(IF(AND(COUNT(T143,U143,V143,X143)=4,N(X277)&lt;&gt;0),(T143+U143+V143+X143)/X277,""),"")</f>
        <v>1.72161112908444</v>
      </c>
      <c r="Y374" s="257">
        <f>IFERROR(IF(AND(COUNT(U143,V143,X143,Y143)=4,N(Y277)&lt;&gt;0),(U143+V143+X143+Y143)/Y277,""),"")</f>
        <v>1.13302305444312</v>
      </c>
      <c r="Z374" s="257">
        <f>IFERROR(IF(AND(COUNT(V143,X143,Y143,Z143)=4,N(Z277)&lt;&gt;0),(V143+X143+Y143+Z143)/Z277,""),"")</f>
        <v>0.974088206584435</v>
      </c>
      <c r="AA374" s="257">
        <f>IFERROR(IF(AND(COUNT(X143,Y143,Z143,AA143)=4,N(AA277)&lt;&gt;0),(X143+Y143+Z143+AA143)/AA277,""),"")</f>
        <v>0.816591739252599</v>
      </c>
      <c r="AB374" s="258">
        <f>IFERROR(IF(AND(COUNT(X143,Y143,Z143,AA143)=4,N(AB277)&lt;&gt;0),(X143+Y143+Z143+AA143)/AB277,""),"")</f>
        <v>0.816591739252599</v>
      </c>
      <c r="AC374" s="257">
        <f>IFERROR(IF(AND(COUNT(Y143,Z143,AA143,AC143)=4,N(AC277)&lt;&gt;0),(Y143+Z143+AA143+AC143)/AC277,""),"")</f>
        <v>0.7044783036904</v>
      </c>
      <c r="AD374" s="257">
        <f>IFERROR(IF(AND(COUNT(Z143,AA143,AC143,AD143)=4,N(AD277)&lt;&gt;0),(Z143+AA143+AC143+AD143)/AD277,""),"")</f>
        <v>0.593399780628547</v>
      </c>
      <c r="AE374" s="257">
        <f>IFERROR(IF(AND(COUNT(AA143,AC143,AD143,AE143)=4,N(AE277)&lt;&gt;0),(AA143+AC143+AD143+AE143)/AE277,""),"")</f>
        <v>0.504378496716127</v>
      </c>
      <c r="AF374" s="257">
        <f>IFERROR(IF(AND(COUNT(AB143,AD143,AE143,AF143)=4,N(AF277)&lt;&gt;0),(AB143+AD143+AE143+AF143)/AF277,""),"")</f>
        <v>0.791739173260663</v>
      </c>
      <c r="AG374" s="258">
        <f>IFERROR(IF(AND(COUNT(AC143,AD143,AE143,AF143)=4,N(AG277)&lt;&gt;0),(AC143+AD143+AE143+AF143)/AG277,""),"")</f>
        <v>0.506451718816692</v>
      </c>
      <c r="AH374" s="257">
        <f>IFERROR(IF(AND(COUNT(AD143,AF143,AG143,AH143)=4,N(AH277)&lt;&gt;0),(AD143+AF143+AG143+AH143)/AH277,""),"")</f>
        <v>0.73514122557681</v>
      </c>
      <c r="AI374" s="257">
        <f>IFERROR(IF(AND(COUNT(AE143,AG143,AH143,AI143)=4,N(AI277)&lt;&gt;0),(AE143+AG143+AH143+AI143)/AI277,""),"")</f>
        <v>0.61262077294686</v>
      </c>
      <c r="AJ374" s="257">
        <f>IFERROR(IF(AND(COUNT(AF143,AH143,AI143,AJ143)=4,N(AJ277)&lt;&gt;0),(AF143+AH143+AI143+AJ143)/AJ277,""),"")</f>
        <v>0.399228559180621</v>
      </c>
      <c r="AK374" s="257">
        <f>IFERROR(IF(AND(COUNT(AH143,AI143,AJ143,AK143)=4,N(AK277)&lt;&gt;0),(AH143+AI143+AJ143+AK143)/AK277,""),"")</f>
        <v>0.345492885959187</v>
      </c>
      <c r="AL374" s="258">
        <f>IFERROR(IF(AND(COUNT(AH143,AI143,AJ143,AK143)=4,N(AL277)&lt;&gt;0),(AH143+AI143+AJ143+AK143)/AL277,""),"")</f>
        <v>0.345492885959187</v>
      </c>
      <c r="AM374" s="257">
        <f>IFERROR(IF(AND(COUNT(AI143,AJ143,AK143,AM143)=4,N(AM277)&lt;&gt;0),(AI143+AJ143+AK143+AM143)/AM277,""),"")</f>
        <v>0.34683618520917</v>
      </c>
      <c r="AN374" s="257">
        <f>IFERROR(IF(AND(COUNT(AJ143,AK143,AM143,AN143)=4,N(AN277)&lt;&gt;0),(AJ143+AK143+AM143+AN143)/AN277,""),"")</f>
        <v>0.345755263026427</v>
      </c>
      <c r="AO374" s="257">
        <f>IFERROR(IF(AND(COUNT(AK143,AM143,AN143,AO143)=4,N(AO277)&lt;&gt;0),(AK143+AM143+AN143+AO143)/AO277,""),"")</f>
        <v>0.328034648460253</v>
      </c>
      <c r="AP374" s="257">
        <f>IFERROR(IF(AND(COUNT(AM143,AN143,AO143,AP143)=4,N(AP277)&lt;&gt;0),(AM143+AN143+AO143+AP143)/AP277,""),"")</f>
        <v>0.311904787977214</v>
      </c>
      <c r="AQ374" s="258">
        <f>IFERROR(IF(AND(COUNT(AM143,AN143,AO143,AP143)=4,N(AQ277)&lt;&gt;0),(AM143+AN143+AO143+AP143)/AQ277,""),"")</f>
        <v>0.311904787977214</v>
      </c>
      <c r="AR374" s="257">
        <f>IFERROR(IF(AND(COUNT(AN143,AO143,AP143,AR143)=4,N(AR277)&lt;&gt;0),(AN143+AO143+AP143+AR143)/AR277,""),"")</f>
        <v>0.297023883661696</v>
      </c>
      <c r="AS374" s="257">
        <f>IFERROR(IF(AND(COUNT(AO143,AP143,AR143,AS143)=4,N(AS277)&lt;&gt;0),(AO143+AP143+AR143+AS143)/AS277,""),"")</f>
        <v>0.282949197347516</v>
      </c>
      <c r="AT374" s="257">
        <f>IFERROR(IF(AND(COUNT(AP143,AR143,AS143,AT143)=4,N(AT277)&lt;&gt;0),(AP143+AR143+AS143+AT143)/AT277,""),"")</f>
        <v>0.272198872799462</v>
      </c>
      <c r="AU374" s="257">
        <f>IFERROR(IF(AND(COUNT(AR143,AS143,AT143,AU143)=4,N(AU277)&lt;&gt;0),(AR143+AS143+AT143+AU143)/AU277,""),"")</f>
        <v>0.262129471597057</v>
      </c>
      <c r="AV374" s="258">
        <f>IFERROR(IF(AND(COUNT(AR143,AS143,AT143,AU143)=4,N(AV277)&lt;&gt;0),(AR143+AS143+AT143+AU143)/AV277,""),"")</f>
        <v>0.262129471597057</v>
      </c>
      <c r="AW374" s="257">
        <f>IFERROR(IF(AND(COUNT(AS143,AT143,AU143,AW143)=4,N(AW277)&lt;&gt;0),(AS143+AT143+AU143+AW143)/AW277,""),"")</f>
        <v>0.252565859107914</v>
      </c>
      <c r="AX374" s="257">
        <f>IFERROR(IF(AND(COUNT(AT143,AU143,AW143,AX143)=4,N(AX277)&lt;&gt;0),(AT143+AU143+AW143+AX143)/AX277,""),"")</f>
        <v>0.243289426176893</v>
      </c>
      <c r="AY374" s="257">
        <f>IFERROR(IF(AND(COUNT(AU143,AW143,AX143,AY143)=4,N(AY277)&lt;&gt;0),(AU143+AW143+AX143+AY143)/AY277,""),"")</f>
        <v>0.236047446266439</v>
      </c>
      <c r="AZ374" s="257">
        <f>IFERROR(IF(AND(COUNT(AW143,AX143,AY143,AZ143)=4,N(AZ277)&lt;&gt;0),(AW143+AX143+AY143+AZ143)/AZ277,""),"")</f>
        <v>0.22913731004553</v>
      </c>
      <c r="BA374" s="258">
        <f>IFERROR(IF(AND(COUNT(AW143,AX143,AY143,AZ143)=4,N(BA277)&lt;&gt;0),(AW143+AX143+AY143+AZ143)/BA277,""),"")</f>
        <v>0.22913731004553</v>
      </c>
      <c r="BB374" s="257">
        <f>IFERROR(IF(AND(COUNT(AX143,AY143,AZ143,BB143)=4,N(BB277)&lt;&gt;0),(AX143+AY143+AZ143+BB143)/BB277,""),"")</f>
        <v>0.222437893573453</v>
      </c>
      <c r="BC374" s="257">
        <f>IFERROR(IF(AND(COUNT(AY143,AZ143,BB143,BC143)=4,N(BC277)&lt;&gt;0),(AY143+AZ143+BB143+BC143)/BC277,""),"")</f>
        <v>0.215827449657584</v>
      </c>
      <c r="BD374" s="257">
        <f>IFERROR(IF(AND(COUNT(AZ143,BB143,BC143,BD143)=4,N(BD277)&lt;&gt;0),(AZ143+BB143+BC143+BD143)/BD277,""),"")</f>
        <v>0.210588122708526</v>
      </c>
      <c r="BE374" s="257">
        <f>IFERROR(IF(AND(COUNT(BB143,BC143,BD143,BE143)=4,N(BE277)&lt;&gt;0),(BB143+BC143+BD143+BE143)/BE277,""),"")</f>
        <v>0.205523181749237</v>
      </c>
      <c r="BF374" s="258">
        <f>IFERROR(IF(AND(COUNT(BB143,BC143,BD143,BE143)=4,N(BF277)&lt;&gt;0),(BB143+BC143+BD143+BE143)/BF277,""),"")</f>
        <v>0.205523181749237</v>
      </c>
      <c r="BG374" s="81" t="n"/>
      <c r="BH374" s="81" t="n"/>
      <c r="BI374" s="81" t="n"/>
      <c r="BJ374" s="81" t="n"/>
      <c r="BL374" s="81" t="n"/>
      <c r="BM374" s="81" t="n"/>
      <c r="BN374" s="81" t="n"/>
      <c r="BO374" s="81" t="n"/>
      <c r="BQ374" s="81" t="n"/>
      <c r="BR374" s="81" t="n"/>
      <c r="BS374" s="81" t="n"/>
      <c r="BT374" s="81" t="n"/>
      <c r="BV374" s="81" t="n"/>
      <c r="BW374" s="81" t="n"/>
      <c r="BX374" s="81" t="n"/>
      <c r="BY374" s="81" t="n"/>
      <c r="CA374" s="81" t="n"/>
      <c r="CB374" s="81" t="n"/>
      <c r="CC374" s="81" t="n"/>
      <c r="CD374" s="81" t="n"/>
      <c r="CF374" s="81" t="n"/>
      <c r="CG374" s="81" t="n"/>
      <c r="CH374" s="81" t="n"/>
      <c r="CI374" s="81" t="n"/>
      <c r="CK374" s="81" t="n"/>
      <c r="CL374" s="81" t="n"/>
      <c r="CM374" s="81" t="n"/>
      <c r="CN374" s="81" t="n"/>
      <c r="CP374" s="81" t="n"/>
      <c r="CQ374" s="81" t="n"/>
      <c r="CR374" s="81" t="n"/>
      <c r="CS374" s="81" t="n"/>
      <c r="CU374" s="81" t="n"/>
      <c r="CV374" s="81" t="n"/>
      <c r="CW374" s="81" t="n"/>
      <c r="CX374" s="81" t="n"/>
    </row>
    <row r="375"/>
    <row r="376">
      <c r="C376" s="73" t="inlineStr">
        <is>
          <t>Scenario Analysis</t>
        </is>
      </c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  <c r="AM376" s="73" t="n"/>
      <c r="AN376" s="73" t="n"/>
      <c r="AO376" s="73" t="n"/>
      <c r="AP376" s="73" t="n"/>
      <c r="AQ376" s="73" t="n"/>
      <c r="AR376" s="73" t="n"/>
      <c r="AS376" s="73" t="n"/>
      <c r="AT376" s="73" t="n"/>
      <c r="AU376" s="73" t="n"/>
      <c r="AV376" s="73" t="n"/>
      <c r="AW376" s="73" t="n"/>
      <c r="AX376" s="73" t="n"/>
      <c r="AY376" s="73" t="n"/>
      <c r="AZ376" s="73" t="n"/>
      <c r="BA376" s="73" t="n"/>
      <c r="BB376" s="73" t="n"/>
      <c r="BC376" s="73" t="n"/>
      <c r="BD376" s="73" t="n"/>
      <c r="BE376" s="73" t="n"/>
      <c r="BF376" s="73" t="n"/>
      <c r="BG376" s="73" t="n"/>
      <c r="BH376" s="73" t="n"/>
      <c r="BI376" s="73" t="n"/>
      <c r="BJ376" s="73" t="n"/>
      <c r="BK376" s="73" t="n"/>
      <c r="BL376" s="73" t="n"/>
      <c r="BM376" s="73" t="n"/>
      <c r="BN376" s="73" t="n"/>
      <c r="BO376" s="73" t="n"/>
      <c r="BP376" s="73" t="n"/>
      <c r="BQ376" s="73" t="n"/>
      <c r="BR376" s="73" t="n"/>
      <c r="BS376" s="73" t="n"/>
      <c r="BT376" s="73" t="n"/>
      <c r="BU376" s="73" t="n"/>
      <c r="BV376" s="73" t="n"/>
      <c r="BW376" s="73" t="n"/>
      <c r="BX376" s="73" t="n"/>
      <c r="BY376" s="73" t="n"/>
      <c r="BZ376" s="73" t="n"/>
      <c r="CA376" s="73" t="n"/>
      <c r="CB376" s="73" t="n"/>
      <c r="CC376" s="73" t="n"/>
      <c r="CD376" s="73" t="n"/>
      <c r="CE376" s="73" t="n"/>
      <c r="CF376" s="73" t="n"/>
      <c r="CG376" s="73" t="n"/>
      <c r="CH376" s="73" t="n"/>
      <c r="CI376" s="73" t="n"/>
      <c r="CJ376" s="73" t="n"/>
      <c r="CK376" s="73" t="n"/>
      <c r="CL376" s="73" t="n"/>
      <c r="CM376" s="73" t="n"/>
      <c r="CN376" s="73" t="n"/>
      <c r="CO376" s="73" t="n"/>
      <c r="CP376" s="73" t="n"/>
      <c r="CQ376" s="73" t="n"/>
      <c r="CR376" s="73" t="n"/>
      <c r="CS376" s="73" t="n"/>
      <c r="CT376" s="73" t="n"/>
      <c r="CU376" s="73" t="n"/>
      <c r="CV376" s="73" t="n"/>
      <c r="CW376" s="73" t="n"/>
      <c r="CX376" s="73" t="n"/>
      <c r="CY376" s="73" t="n"/>
    </row>
    <row r="377"/>
    <row r="378"/>
    <row r="379">
      <c r="C379" s="4" t="inlineStr">
        <is>
          <t>Bull case</t>
        </is>
      </c>
    </row>
    <row r="380">
      <c r="C380" s="4" t="inlineStr">
        <is>
          <t>Base case</t>
        </is>
      </c>
    </row>
    <row r="381">
      <c r="C381" s="4" t="inlineStr">
        <is>
          <t>Bear case</t>
        </is>
      </c>
    </row>
    <row r="382"/>
    <row r="383"/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% Gross Margin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  <row r="393"/>
    <row r="394"/>
    <row r="395">
      <c r="C395" s="4" t="inlineStr">
        <is>
          <t>Capital expenditures</t>
        </is>
      </c>
    </row>
    <row r="396">
      <c r="C396" s="4" t="inlineStr">
        <is>
          <t>Bull case</t>
        </is>
      </c>
    </row>
    <row r="397">
      <c r="C397" s="4" t="inlineStr">
        <is>
          <t>Base case</t>
        </is>
      </c>
    </row>
    <row r="398">
      <c r="C398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21:G321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21:L321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21:Q321">
    <cfRule type="cellIs" priority="22" operator="notEqual" dxfId="0">
      <formula>0</formula>
    </cfRule>
  </conditionalFormatting>
  <conditionalFormatting sqref="S321:V321">
    <cfRule type="cellIs" priority="21" operator="notEqual" dxfId="0">
      <formula>0</formula>
    </cfRule>
  </conditionalFormatting>
  <conditionalFormatting sqref="X321:AA321">
    <cfRule type="cellIs" priority="20" operator="notEqual" dxfId="0">
      <formula>0</formula>
    </cfRule>
  </conditionalFormatting>
  <conditionalFormatting sqref="AC321:AF321">
    <cfRule type="cellIs" priority="19" operator="notEqual" dxfId="0">
      <formula>0</formula>
    </cfRule>
  </conditionalFormatting>
  <conditionalFormatting sqref="AH321:AK321">
    <cfRule type="cellIs" priority="15" operator="notEqual" dxfId="0">
      <formula>0</formula>
    </cfRule>
  </conditionalFormatting>
  <conditionalFormatting sqref="AM321:AP321">
    <cfRule type="cellIs" priority="14" operator="notEqual" dxfId="0">
      <formula>0</formula>
    </cfRule>
  </conditionalFormatting>
  <conditionalFormatting sqref="AR321:AU321">
    <cfRule type="cellIs" priority="13" operator="notEqual" dxfId="0">
      <formula>0</formula>
    </cfRule>
  </conditionalFormatting>
  <conditionalFormatting sqref="AW321:AZ321">
    <cfRule type="cellIs" priority="12" operator="notEqual" dxfId="0">
      <formula>0</formula>
    </cfRule>
  </conditionalFormatting>
  <conditionalFormatting sqref="BB321:BE321">
    <cfRule type="cellIs" priority="11" operator="notEqual" dxfId="0">
      <formula>0</formula>
    </cfRule>
  </conditionalFormatting>
  <conditionalFormatting sqref="BG321:BJ321">
    <cfRule type="cellIs" priority="10" operator="notEqual" dxfId="0">
      <formula>0</formula>
    </cfRule>
  </conditionalFormatting>
  <conditionalFormatting sqref="BL321:BO321">
    <cfRule type="cellIs" priority="9" operator="notEqual" dxfId="0">
      <formula>0</formula>
    </cfRule>
  </conditionalFormatting>
  <conditionalFormatting sqref="BQ321:BT321">
    <cfRule type="cellIs" priority="8" operator="notEqual" dxfId="0">
      <formula>0</formula>
    </cfRule>
  </conditionalFormatting>
  <conditionalFormatting sqref="BV321:BY321">
    <cfRule type="cellIs" priority="7" operator="notEqual" dxfId="0">
      <formula>0</formula>
    </cfRule>
  </conditionalFormatting>
  <conditionalFormatting sqref="CA321:CD321">
    <cfRule type="cellIs" priority="6" operator="notEqual" dxfId="0">
      <formula>0</formula>
    </cfRule>
  </conditionalFormatting>
  <conditionalFormatting sqref="CF321:CI321">
    <cfRule type="cellIs" priority="5" operator="notEqual" dxfId="0">
      <formula>0</formula>
    </cfRule>
  </conditionalFormatting>
  <conditionalFormatting sqref="CK321:CN321">
    <cfRule type="cellIs" priority="4" operator="notEqual" dxfId="0">
      <formula>0</formula>
    </cfRule>
  </conditionalFormatting>
  <conditionalFormatting sqref="CP321:CS321">
    <cfRule type="cellIs" priority="3" operator="notEqual" dxfId="0">
      <formula>0</formula>
    </cfRule>
  </conditionalFormatting>
  <conditionalFormatting sqref="CU321:CX321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ORCL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51628</v>
      </c>
      <c r="E18" s="113">
        <f>IFERROR(Model!AB15,"")</f>
        <v>54933</v>
      </c>
      <c r="F18" s="113">
        <f>IFERROR(Model!AG15,"")</f>
        <v>61017</v>
      </c>
      <c r="G18" s="113">
        <f>IFERROR(Model!AL15,"")</f>
        <v>71818.877075779</v>
      </c>
      <c r="H18" s="113">
        <f>IFERROR(Model!AQ15,"")</f>
        <v>82158.8971621311</v>
      </c>
      <c r="I18" s="113">
        <f>IFERROR(Model!AV15,"")</f>
        <v>93576.8123626694</v>
      </c>
      <c r="J18" s="113">
        <f>IFERROR(Model!BA15,"")</f>
        <v>106113.631932468</v>
      </c>
      <c r="K18" s="113">
        <f>IFERROR(Model!BF15,"")</f>
        <v>119799.485809898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0.0640156504222516</v>
      </c>
      <c r="F19" s="117">
        <f>IFERROR(IF(E18=0,"",F18/E18-1),"")</f>
        <v>0.110753099229971</v>
      </c>
      <c r="G19" s="117">
        <f>IFERROR(IF(F18=0,"",G18/F18-1),"")</f>
        <v>0.177030615660865</v>
      </c>
      <c r="H19" s="117">
        <f>IFERROR(IF(G18=0,"",H18/G18-1),"")</f>
        <v>0.14397356944807</v>
      </c>
      <c r="I19" s="117">
        <f>IFERROR(IF(H18=0,"",I18/H18-1),"")</f>
        <v>0.13897356944807</v>
      </c>
      <c r="J19" s="117">
        <f>IFERROR(IF(I18=0,"",J18/I18-1),"")</f>
        <v>0.13397356944807</v>
      </c>
      <c r="K19" s="117">
        <f>IFERROR(IF(J18=0,"",K18/J18-1),"")</f>
        <v>0.12897356944807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IFERROR(Model!W75,"")</f>
        <v>20490</v>
      </c>
      <c r="E20" s="113">
        <f>IFERROR(Model!AB75,"")</f>
        <v>22685</v>
      </c>
      <c r="F20" s="113">
        <f>IFERROR(Model!AG75,"")</f>
        <v>25604</v>
      </c>
      <c r="G20" s="113">
        <f>IFERROR(Model!AL75,"")</f>
        <v>32443.9095968279</v>
      </c>
      <c r="H20" s="113">
        <f>IFERROR(Model!AQ75,"")</f>
        <v>35774.7887985177</v>
      </c>
      <c r="I20" s="113">
        <f>IFERROR(Model!AV75,"")</f>
        <v>40746.5388940985</v>
      </c>
      <c r="J20" s="113">
        <f>IFERROR(Model!BA75,"")</f>
        <v>46205.4981523955</v>
      </c>
      <c r="K20" s="113">
        <f>IFERROR(Model!BF75,"")</f>
        <v>52164.7861772362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0.39687766328349</v>
      </c>
      <c r="E21" s="122">
        <f>IFERROR(IF(E18=0,"",E20/E18),"")</f>
        <v>0.412957602898076</v>
      </c>
      <c r="F21" s="122">
        <f>IFERROR(IF(F18=0,"",F20/F18),"")</f>
        <v>0.419620761427143</v>
      </c>
      <c r="G21" s="122">
        <f>IFERROR(IF(G18=0,"",G20/G18),"")</f>
        <v>0.451746266689676</v>
      </c>
      <c r="H21" s="122">
        <f>IFERROR(IF(H18=0,"",H20/H18),"")</f>
        <v>0.435434140844421</v>
      </c>
      <c r="I21" s="122">
        <f>IFERROR(IF(I18=0,"",I20/I18),"")</f>
        <v>0.435434140844421</v>
      </c>
      <c r="J21" s="122">
        <f>IFERROR(IF(J18=0,"",J20/J18),"")</f>
        <v>0.435434140844421</v>
      </c>
      <c r="K21" s="122">
        <f>IFERROR(IF(K18=0,"",K20/K18),"")</f>
        <v>0.435434140844421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IFERROR(Model!W79,"")</f>
        <v>14318</v>
      </c>
      <c r="E22" s="113">
        <f>IFERROR(Model!AB79,"")</f>
        <v>16647</v>
      </c>
      <c r="F22" s="113">
        <f>IFERROR(Model!AG79,"")</f>
        <v>18475</v>
      </c>
      <c r="G22" s="113">
        <f>IFERROR(Model!AL79,"")</f>
        <v>22516.3917567986</v>
      </c>
      <c r="H22" s="113">
        <f>IFERROR(Model!AQ79,"")</f>
        <v>25310.4329435771</v>
      </c>
      <c r="I22" s="113">
        <f>IFERROR(Model!AV79,"")</f>
        <v>28827.914154022</v>
      </c>
      <c r="J22" s="113">
        <f>IFERROR(Model!BA79,"")</f>
        <v>32690.0927129789</v>
      </c>
      <c r="K22" s="113">
        <f>IFERROR(Model!BF79,"")</f>
        <v>36906.2506557601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0.277330130936701</v>
      </c>
      <c r="E23" s="122">
        <f>IFERROR(IF(E18=0,"",E22/E18),"")</f>
        <v>0.303041887390093</v>
      </c>
      <c r="F23" s="122">
        <f>IFERROR(IF(F18=0,"",F22/F18),"")</f>
        <v>0.302784469901831</v>
      </c>
      <c r="G23" s="122">
        <f>IFERROR(IF(G18=0,"",G22/G18),"")</f>
        <v>0.313516343802488</v>
      </c>
      <c r="H23" s="122">
        <f>IFERROR(IF(H18=0,"",H22/H18),"")</f>
        <v>0.308066853595051</v>
      </c>
      <c r="I23" s="122">
        <f>IFERROR(IF(I18=0,"",I22/I18),"")</f>
        <v>0.308066853595051</v>
      </c>
      <c r="J23" s="122">
        <f>IFERROR(IF(J18=0,"",J22/J18),"")</f>
        <v>0.308066853595051</v>
      </c>
      <c r="K23" s="122">
        <f>IFERROR(IF(K18=0,"",K22/K18),"")</f>
        <v>0.308066853595051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IFERROR(Model!W138,"")</f>
        <v>0.0272500479754366</v>
      </c>
      <c r="E24" s="125">
        <f>IFERROR(Model!AB138,"")</f>
        <v>0.119718309859155</v>
      </c>
      <c r="F24" s="125">
        <f>IFERROR(Model!AG138,"")</f>
        <v>0.111923541942541</v>
      </c>
      <c r="G24" s="125">
        <f>IFERROR(Model!AL138,"")</f>
        <v>0.159343427872935</v>
      </c>
      <c r="H24" s="125">
        <f>IFERROR(Model!AQ138,"")</f>
        <v>0.142898246748355</v>
      </c>
      <c r="I24" s="125">
        <f>IFERROR(Model!AV138,"")</f>
        <v>0.142898246748355</v>
      </c>
      <c r="J24" s="125">
        <f>IFERROR(Model!BA138,"")</f>
        <v>0.142898246748355</v>
      </c>
      <c r="K24" s="125">
        <f>IFERROR(Model!BF138,"")</f>
        <v>0.142898246748355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13927.8338130877</v>
      </c>
      <c r="E25" s="127">
        <f>IFERROR(E22*(1-E24),"")</f>
        <v>14654.0492957746</v>
      </c>
      <c r="F25" s="127">
        <f>IFERROR(F22*(1-F24),"")</f>
        <v>16407.2125626116</v>
      </c>
      <c r="G25" s="127">
        <f>IFERROR(G22*(1-G24),"")</f>
        <v>18928.5527109404</v>
      </c>
      <c r="H25" s="127">
        <f>IFERROR(H22*(1-H24),"")</f>
        <v>21693.6164514981</v>
      </c>
      <c r="I25" s="127">
        <f>IFERROR(I22*(1-I24),"")</f>
        <v>24708.4557640002</v>
      </c>
      <c r="J25" s="127">
        <f>IFERROR(J22*(1-J24),"")</f>
        <v>28018.735778253</v>
      </c>
      <c r="K25" s="127">
        <f>IFERROR(K22*(1-K24),"")</f>
        <v>31632.4121429966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IFERROR(-Model!W76,"")</f>
        <v>6172</v>
      </c>
      <c r="E26" s="130">
        <f>IFERROR(-Model!AB76,"")</f>
        <v>6038</v>
      </c>
      <c r="F26" s="130">
        <f>IFERROR(-Model!AG76,"")</f>
        <v>7129</v>
      </c>
      <c r="G26" s="130">
        <f>IFERROR(-Model!AL76,"")</f>
        <v>9927.51784002936</v>
      </c>
      <c r="H26" s="130">
        <f>IFERROR(-Model!AQ76,"")</f>
        <v>10464.3558549406</v>
      </c>
      <c r="I26" s="130">
        <f>IFERROR(-Model!AV76,"")</f>
        <v>11918.6247400765</v>
      </c>
      <c r="J26" s="130">
        <f>IFERROR(-Model!BA76,"")</f>
        <v>13515.4054394166</v>
      </c>
      <c r="K26" s="130">
        <f>IFERROR(-Model!BF76,"")</f>
        <v>15258.5355214761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IFERROR(Model!W285,"")</f>
        <v>-5675</v>
      </c>
      <c r="E27" s="133">
        <f>IFERROR(Model!AB285,"")</f>
        <v>1446</v>
      </c>
      <c r="F27" s="133">
        <f>IFERROR(Model!AG285,"")</f>
        <v>3924</v>
      </c>
      <c r="G27" s="133">
        <f>IFERROR(Model!AL285,"")</f>
        <v>1867.94282686276</v>
      </c>
      <c r="H27" s="133">
        <f>IFERROR(Model!AQ285,"")</f>
        <v>1770.84694407371</v>
      </c>
      <c r="I27" s="133">
        <f>IFERROR(Model!AV285,"")</f>
        <v>3069.53821398685</v>
      </c>
      <c r="J27" s="133">
        <f>IFERROR(Model!BA285,"")</f>
        <v>5115.77855976454</v>
      </c>
      <c r="K27" s="133">
        <f>IFERROR(Model!BF285,"")</f>
        <v>8264.29076104952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IFERROR(Model!W286,"")</f>
        <v>-607</v>
      </c>
      <c r="E28" s="136">
        <f>IFERROR(Model!AB286,"")</f>
        <v>-1373</v>
      </c>
      <c r="F28" s="136">
        <f>IFERROR(Model!AG286,"")</f>
        <v>-1263</v>
      </c>
      <c r="G28" s="136">
        <f>IFERROR(Model!AL286,"")</f>
        <v>-1016.97195454703</v>
      </c>
      <c r="H28" s="136">
        <f>IFERROR(Model!AQ286,"")</f>
        <v>-1505.5275779145</v>
      </c>
      <c r="I28" s="136">
        <f>IFERROR(Model!AV286,"")</f>
        <v>-1662.47125954705</v>
      </c>
      <c r="J28" s="136">
        <f>IFERROR(Model!BA286,"")</f>
        <v>-1825.38597063109</v>
      </c>
      <c r="K28" s="136">
        <f>IFERROR(Model!BF286,"")</f>
        <v>-1992.68766092377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IFERROR(Model!W287,"")</f>
        <v>0</v>
      </c>
      <c r="E29" s="136">
        <f>IFERROR(Model!AB287,"")</f>
        <v>0</v>
      </c>
      <c r="F29" s="136">
        <f>IFERROR(Model!AG287,"")</f>
        <v>0</v>
      </c>
      <c r="G29" s="136">
        <f>IFERROR(Model!AL287,"")</f>
        <v>0</v>
      </c>
      <c r="H29" s="136">
        <f>IFERROR(Model!AQ287,"")</f>
        <v>0</v>
      </c>
      <c r="I29" s="136">
        <f>IFERROR(Model!AV287,"")</f>
        <v>0</v>
      </c>
      <c r="J29" s="136">
        <f>IFERROR(Model!BA287,"")</f>
        <v>0</v>
      </c>
      <c r="K29" s="136">
        <f>IFERROR(Model!BF287,"")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IFERROR(Model!W288,"")</f>
        <v>-667</v>
      </c>
      <c r="E30" s="136">
        <f>IFERROR(Model!AB288,"")</f>
        <v>774</v>
      </c>
      <c r="F30" s="136">
        <f>IFERROR(Model!AG288,"")</f>
        <v>453</v>
      </c>
      <c r="G30" s="136">
        <f>IFERROR(Model!AL288,"")</f>
        <v>-10</v>
      </c>
      <c r="H30" s="136">
        <f>IFERROR(Model!AQ288,"")</f>
        <v>0</v>
      </c>
      <c r="I30" s="136">
        <f>IFERROR(Model!AV288,"")</f>
        <v>0</v>
      </c>
      <c r="J30" s="136">
        <f>IFERROR(Model!BA288,"")</f>
        <v>0</v>
      </c>
      <c r="K30" s="136">
        <f>IFERROR(Model!BF288,"")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IFERROR(Model!W289,"")</f>
        <v>0</v>
      </c>
      <c r="E31" s="136">
        <f>IFERROR(Model!AB289,"")</f>
        <v>0</v>
      </c>
      <c r="F31" s="136">
        <f>IFERROR(Model!AG289,"")</f>
        <v>0</v>
      </c>
      <c r="G31" s="136">
        <f>IFERROR(Model!AL289,"")</f>
        <v>0</v>
      </c>
      <c r="H31" s="136">
        <f>IFERROR(Model!AQ289,"")</f>
        <v>0</v>
      </c>
      <c r="I31" s="136">
        <f>IFERROR(Model!AV289,"")</f>
        <v>0</v>
      </c>
      <c r="J31" s="136">
        <f>IFERROR(Model!BA289,"")</f>
        <v>0</v>
      </c>
      <c r="K31" s="136">
        <f>IFERROR(Model!BF289,"")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IFERROR(Model!W290,"")</f>
        <v>219</v>
      </c>
      <c r="E32" s="136">
        <f>IFERROR(Model!AB290,"")</f>
        <v>-220</v>
      </c>
      <c r="F32" s="136">
        <f>IFERROR(Model!AG290,"")</f>
        <v>-1145</v>
      </c>
      <c r="G32" s="136">
        <f>IFERROR(Model!AL290,"")</f>
        <v>872</v>
      </c>
      <c r="H32" s="136">
        <f>IFERROR(Model!AQ290,"")</f>
        <v>0</v>
      </c>
      <c r="I32" s="136">
        <f>IFERROR(Model!AV290,"")</f>
        <v>0</v>
      </c>
      <c r="J32" s="136">
        <f>IFERROR(Model!BA290,"")</f>
        <v>0</v>
      </c>
      <c r="K32" s="136">
        <f>IFERROR(Model!BF290,"")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IFERROR(Model!W291,"")</f>
        <v>-540</v>
      </c>
      <c r="E33" s="136">
        <f>IFERROR(Model!AB291,"")</f>
        <v>1572</v>
      </c>
      <c r="F33" s="136">
        <f>IFERROR(Model!AG291,"")</f>
        <v>7461</v>
      </c>
      <c r="G33" s="136">
        <f>IFERROR(Model!AL291,"")</f>
        <v>-1795.88826749078</v>
      </c>
      <c r="H33" s="136">
        <f>IFERROR(Model!AQ291,"")</f>
        <v>1201.33155000287</v>
      </c>
      <c r="I33" s="136">
        <f>IFERROR(Model!AV291,"")</f>
        <v>1326.56432493481</v>
      </c>
      <c r="J33" s="136">
        <f>IFERROR(Model!BA291,"")</f>
        <v>1456.56166623624</v>
      </c>
      <c r="K33" s="136">
        <f>IFERROR(Model!BF291,"")</f>
        <v>1590.05958541472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IFERROR(Model!W292,"")</f>
        <v>-74</v>
      </c>
      <c r="E34" s="136">
        <f>IFERROR(Model!AB292,"")</f>
        <v>-53</v>
      </c>
      <c r="F34" s="136">
        <f>IFERROR(Model!AG292,"")</f>
        <v>294</v>
      </c>
      <c r="G34" s="136">
        <f>IFERROR(Model!AL292,"")</f>
        <v>964.803048900563</v>
      </c>
      <c r="H34" s="136">
        <f>IFERROR(Model!AQ292,"")</f>
        <v>2075.04297198534</v>
      </c>
      <c r="I34" s="136">
        <f>IFERROR(Model!AV292,"")</f>
        <v>3405.44514859909</v>
      </c>
      <c r="J34" s="136">
        <f>IFERROR(Model!BA292,"")</f>
        <v>5484.6028641594</v>
      </c>
      <c r="K34" s="136">
        <f>IFERROR(Model!BF292,"")</f>
        <v>8666.91883655857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IFERROR(Model!W293,"")</f>
        <v>0</v>
      </c>
      <c r="E35" s="136">
        <f>IFERROR(Model!AB293,"")</f>
        <v>0</v>
      </c>
      <c r="F35" s="136">
        <f>IFERROR(Model!AG293,"")</f>
        <v>0</v>
      </c>
      <c r="G35" s="136">
        <f>IFERROR(Model!AL293,"")</f>
        <v>0</v>
      </c>
      <c r="H35" s="136">
        <f>IFERROR(Model!AQ293,"")</f>
        <v>0</v>
      </c>
      <c r="I35" s="136">
        <f>IFERROR(Model!AV293,"")</f>
        <v>0</v>
      </c>
      <c r="J35" s="136">
        <f>IFERROR(Model!BA293,"")</f>
        <v>0</v>
      </c>
      <c r="K35" s="136">
        <f>IFERROR(Model!BF293,"")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IFERROR(Model!W294,"")</f>
        <v>-2085</v>
      </c>
      <c r="E36" s="136">
        <f>IFERROR(Model!AB294,"")</f>
        <v>3126</v>
      </c>
      <c r="F36" s="136">
        <f>IFERROR(Model!AG294,"")</f>
        <v>988</v>
      </c>
      <c r="G36" s="136">
        <f>IFERROR(Model!AL294,"")</f>
        <v>2854</v>
      </c>
      <c r="H36" s="136">
        <f>IFERROR(Model!AQ294,"")</f>
        <v>0</v>
      </c>
      <c r="I36" s="136">
        <f>IFERROR(Model!AV294,"")</f>
        <v>0</v>
      </c>
      <c r="J36" s="136">
        <f>IFERROR(Model!BA294,"")</f>
        <v>0</v>
      </c>
      <c r="K36" s="136">
        <f>IFERROR(Model!BF294,"")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IFERROR(Model!W295,"")</f>
        <v>-1921</v>
      </c>
      <c r="E37" s="136">
        <f>IFERROR(Model!AB295,"")</f>
        <v>-2380</v>
      </c>
      <c r="F37" s="136">
        <f>IFERROR(Model!AG295,"")</f>
        <v>-2864</v>
      </c>
      <c r="G37" s="136">
        <f>IFERROR(Model!AL295,"")</f>
        <v>0</v>
      </c>
      <c r="H37" s="136">
        <f>IFERROR(Model!AQ295,"")</f>
        <v>0</v>
      </c>
      <c r="I37" s="136">
        <f>IFERROR(Model!AV295,"")</f>
        <v>0</v>
      </c>
      <c r="J37" s="136">
        <f>IFERROR(Model!BA295,"")</f>
        <v>0</v>
      </c>
      <c r="K37" s="136">
        <f>IFERROR(Model!BF295,"")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IFERROR((Model!W195-Model!R195)*-1,"")</f>
        <v>-2299</v>
      </c>
      <c r="E38" s="136">
        <f>IFERROR((Model!AB195-Model!W195)*-1,"")</f>
        <v>-5022</v>
      </c>
      <c r="F38" s="136">
        <f>IFERROR((Model!AG195-Model!AB195)*-1,"")</f>
        <v>-6564</v>
      </c>
      <c r="G38" s="136">
        <f>IFERROR((Model!AL195-Model!AG195)*-1,"")</f>
        <v>13502</v>
      </c>
      <c r="H38" s="136">
        <f>IFERROR((Model!AQ195-Model!AL195)*-1,"")</f>
        <v>0</v>
      </c>
      <c r="I38" s="136">
        <f>IFERROR((Model!AV195-Model!AQ195)*-1,"")</f>
        <v>0</v>
      </c>
      <c r="J38" s="136">
        <f>IFERROR((Model!BA195-Model!AV195)*-1,"")</f>
        <v>0</v>
      </c>
      <c r="K38" s="136">
        <f>IFERROR((Model!BF195-Model!BA195)*-1,"")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IFERROR(Model!W246-Model!R246,"")</f>
        <v>2321</v>
      </c>
      <c r="E39" s="136">
        <f>IFERROR(Model!AB246-Model!W246,"")</f>
        <v>2036</v>
      </c>
      <c r="F39" s="136">
        <f>IFERROR(Model!AG246-Model!AB246,"")</f>
        <v>18090</v>
      </c>
      <c r="G39" s="136">
        <f>IFERROR(Model!AL246-Model!AG246,"")</f>
        <v>29870</v>
      </c>
      <c r="H39" s="136">
        <f>IFERROR(Model!AQ246-Model!AL246,"")</f>
        <v>0</v>
      </c>
      <c r="I39" s="136">
        <f>IFERROR(Model!AV246-Model!AQ246,"")</f>
        <v>0</v>
      </c>
      <c r="J39" s="136">
        <f>IFERROR(Model!BA246-Model!AV246,"")</f>
        <v>0</v>
      </c>
      <c r="K39" s="136">
        <f>IFERROR(Model!BF246-Model!BA246,"")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IFERROR(Model!W301,"")</f>
        <v>-9830</v>
      </c>
      <c r="E40" s="136">
        <f>IFERROR(Model!AB301,"")</f>
        <v>-14461</v>
      </c>
      <c r="F40" s="136">
        <f>IFERROR(Model!AG301,"")</f>
        <v>-48572</v>
      </c>
      <c r="G40" s="136">
        <f>IFERROR(Model!AL301,"")</f>
        <v>-68818.5744091453</v>
      </c>
      <c r="H40" s="136">
        <f>IFERROR(Model!AQ301,"")</f>
        <v>-72605.9882540803</v>
      </c>
      <c r="I40" s="136">
        <f>IFERROR(Model!AV301,"")</f>
        <v>-82696.3016050545</v>
      </c>
      <c r="J40" s="136">
        <f>IFERROR(Model!BA301,"")</f>
        <v>-93775.4203112379</v>
      </c>
      <c r="K40" s="136">
        <f>IFERROR(Model!BF301,"")</f>
        <v>-105869.970995271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-9333</v>
      </c>
      <c r="E44" s="133">
        <f>IFERROR(SUM(E27,E40:E42,E26),"")</f>
        <v>-6977</v>
      </c>
      <c r="F44" s="133">
        <f>IFERROR(SUM(F27,F40:F42,F26),"")</f>
        <v>-37519</v>
      </c>
      <c r="G44" s="133">
        <f>IFERROR(SUM(G27,G40:G42,G26),"")</f>
        <v>-57023.1137422532</v>
      </c>
      <c r="H44" s="133">
        <f>IFERROR(SUM(H27,H40:H42,H26),"")</f>
        <v>-60370.785455066</v>
      </c>
      <c r="I44" s="133">
        <f>IFERROR(SUM(I27,I40:I42,I26),"")</f>
        <v>-67708.1386509911</v>
      </c>
      <c r="J44" s="133">
        <f>IFERROR(SUM(J27,J40:J42,J26),"")</f>
        <v>-75144.2363120567</v>
      </c>
      <c r="K44" s="133">
        <f>IFERROR(SUM(K27,K40:K42,K26),"")</f>
        <v>-82347.1447127457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IFERROR(Model!W356,"")</f>
        <v>932</v>
      </c>
      <c r="E46" s="136">
        <f>IFERROR(Model!AB356,"")</f>
        <v>5789</v>
      </c>
      <c r="F46" s="136">
        <f>IFERROR(Model!AG356,"")</f>
        <v>27002</v>
      </c>
      <c r="G46" s="136">
        <f>IFERROR(Model!AL356,"")</f>
        <v>66637.1137422532</v>
      </c>
      <c r="H46" s="136">
        <f>IFERROR(Model!AQ356,"")</f>
        <v>127007.899197319</v>
      </c>
      <c r="I46" s="136">
        <f>IFERROR(Model!AV356,"")</f>
        <v>194716.03784831</v>
      </c>
      <c r="J46" s="136">
        <f>IFERROR(Model!BA356,"")</f>
        <v>269860.274160367</v>
      </c>
      <c r="K46" s="136">
        <f>IFERROR(Model!BF356,"")</f>
        <v>352207.418873113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IFERROR(Model!W357,"")</f>
        <v>-61299</v>
      </c>
      <c r="E47" s="136">
        <f>IFERROR(Model!AB357,"")</f>
        <v>-56415</v>
      </c>
      <c r="F47" s="136">
        <f>IFERROR(Model!AG357,"")</f>
        <v>-35205</v>
      </c>
      <c r="G47" s="136">
        <f>IFERROR(Model!AL357,"")</f>
        <v>4376.11374225321</v>
      </c>
      <c r="H47" s="136">
        <f>IFERROR(Model!AQ357,"")</f>
        <v>64746.8991973192</v>
      </c>
      <c r="I47" s="136">
        <f>IFERROR(Model!AV357,"")</f>
        <v>132455.03784831</v>
      </c>
      <c r="J47" s="136">
        <f>IFERROR(Model!BA357,"")</f>
        <v>207599.274160367</v>
      </c>
      <c r="K47" s="136">
        <f>IFERROR(Model!BF357,"")</f>
        <v>289946.418873113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0.0180522197257302</v>
      </c>
      <c r="E48" s="122">
        <f>IFERROR(IF(E18=0,"",E46/E18),"")</f>
        <v>0.10538292101287</v>
      </c>
      <c r="F48" s="122">
        <f>IFERROR(IF(F18=0,"",F46/F18),"")</f>
        <v>0.44253240900077</v>
      </c>
      <c r="G48" s="122">
        <f>IFERROR(IF(G18=0,"",G46/G18),"")</f>
        <v>0.927849563450312</v>
      </c>
      <c r="H48" s="122">
        <f>IFERROR(IF(H18=0,"",H46/H18),"")</f>
        <v>1.54588125673941</v>
      </c>
      <c r="I48" s="122">
        <f>IFERROR(IF(I18=0,"",I46/I18),"")</f>
        <v>2.08081503239993</v>
      </c>
      <c r="J48" s="122">
        <f>IFERROR(IF(J18=0,"",J46/J18),"")</f>
        <v>2.54312541419851</v>
      </c>
      <c r="K48" s="122">
        <f>IFERROR(IF(K18=0,"",K46/K18),"")</f>
        <v>2.93997437878831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14.944027696446</v>
      </c>
      <c r="E50" s="150">
        <f>IFERROR(IF(E46=0,"",E25/E46),"")</f>
        <v>2.53136108063131</v>
      </c>
      <c r="F50" s="150">
        <f>IFERROR(IF(F46=0,"",F25/F46),"")</f>
        <v>0.607629529761186</v>
      </c>
      <c r="G50" s="150">
        <f>IFERROR(IF(G46=0,"",G25/G46),"")</f>
        <v>0.284054210153136</v>
      </c>
      <c r="H50" s="150">
        <f>IFERROR(IF(H46=0,"",H25/H46),"")</f>
        <v>0.170805253756658</v>
      </c>
      <c r="I50" s="150">
        <f>IFERROR(IF(I46=0,"",I25/I46),"")</f>
        <v>0.126894815840741</v>
      </c>
      <c r="J50" s="150">
        <f>IFERROR(IF(J46=0,"",J25/J46),"")</f>
        <v>0.103826826180435</v>
      </c>
      <c r="K50" s="150">
        <f>IFERROR(IF(K46=0,"",K25/K46),"")</f>
        <v>0.0898118848382142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55.3948497854077</v>
      </c>
      <c r="E51" s="154">
        <f>IFERROR(IF(E46=0,"",E18/E46),"")</f>
        <v>9.48920366211781</v>
      </c>
      <c r="F51" s="154">
        <f>IFERROR(IF(F46=0,"",F18/F46),"")</f>
        <v>2.25972150211096</v>
      </c>
      <c r="G51" s="154">
        <f>IFERROR(IF(G46=0,"",G18/G46),"")</f>
        <v>1.07776092094217</v>
      </c>
      <c r="H51" s="154">
        <f>IFERROR(IF(H46=0,"",H18/H46),"")</f>
        <v>0.6468802151785</v>
      </c>
      <c r="I51" s="154">
        <f>IFERROR(IF(I46=0,"",I18/I46),"")</f>
        <v>0.480580918740595</v>
      </c>
      <c r="J51" s="154">
        <f>IFERROR(IF(J46=0,"",J18/J46),"")</f>
        <v>0.393216942592334</v>
      </c>
      <c r="K51" s="154">
        <f>IFERROR(IF(K46=0,"",K18/K46),"")</f>
        <v>0.340139018630545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4594.8338130877</v>
      </c>
      <c r="E53" s="155">
        <f>IFERROR(E25+E44,"")</f>
        <v>7677.04929577465</v>
      </c>
      <c r="F53" s="155">
        <f>IFERROR(F25+F44,"")</f>
        <v>-21111.7874373885</v>
      </c>
      <c r="G53" s="156">
        <f>IFERROR(G25+G44,"")</f>
        <v>-38094.5610313128</v>
      </c>
      <c r="H53" s="155">
        <f>IFERROR(H25+H44,"")</f>
        <v>-38677.1690035679</v>
      </c>
      <c r="I53" s="155">
        <f>IFERROR(I25+I44,"")</f>
        <v>-42999.682886991</v>
      </c>
      <c r="J53" s="155">
        <f>IFERROR(J25+J44,"")</f>
        <v>-47125.5005338037</v>
      </c>
      <c r="K53" s="155">
        <f>IFERROR(K25+K44,"")</f>
        <v>-50714.732569749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0.0898118848382142</v>
      </c>
      <c r="E64" s="157" t="inlineStr">
        <is>
          <t>Current portion of long-term debt</t>
        </is>
      </c>
      <c r="H64" s="137">
        <f>IFERROR(INDEX(Model!$I$218:$BF$218,1,MATCH(Control!$B$7,Model!$I$5:$BF$5,0)),"")</f>
        <v>0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IFERROR(INDEX(Model!$I$219:$BF$219,1,MATCH(Control!$B$7,Model!$I$5:$BF$5,0)),"")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IFERROR(INDEX(Model!$I$223:$BF$223,1,MATCH(Control!$B$7,Model!$I$5:$BF$5,0)),"")</f>
        <v>0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IFERROR(INDEX(Model!$I$244:$BF$244,1,MATCH(Control!$B$7,Model!$I$5:$BF$5,0)),"")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IFERROR(INDEX(Model!$I$254:$BF$254,1,MATCH(Control!$B$7,Model!$I$5:$BF$5,0)),"")</f>
        <v>548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IFERROR(INDEX(Model!$I$259:$BF$259,1,MATCH(Control!$B$7,Model!$I$5:$BF$5,0)),"")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IFERROR(INDEX(Model!$I$220:$BF$220,1,MATCH(Control!$B$7,Model!$I$5:$BF$5,0)),"")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IFERROR(INDEX(Model!$I$241:$BF$241,1,MATCH(Control!$B$7,Model!$I$5:$BF$5,0)),"")</f>
        <v>26648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IFERROR(-INDEX(Model!$I$150:$BF$150,1,MATCH(Control!$B$7,Model!$I$5:$BF$5,0)),"")</f>
        <v>-31894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52164.7861772362</v>
      </c>
      <c r="E73" s="157" t="inlineStr">
        <is>
          <t>Less: Equity investments</t>
        </is>
      </c>
      <c r="H73" s="137">
        <f>IFERROR(-INDEX(Model!$I$167:$BF$167,1,MATCH(Control!$B$7,Model!$I$5:$BF$5,0)),"")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-4698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-4698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-4698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ORCL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Oracle Corporation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ORCL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IFERROR(-Model!AG80/AVERAGE(Model!AB98,Model!AG98),"")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0.14397356944807</v>
      </c>
      <c r="C18" s="247">
        <f>IF(B18="","",B18)</f>
        <v>0.14397356944807</v>
      </c>
      <c r="D18" s="247">
        <f>IF(C18="","",MAX(0,C18-0.5%))</f>
        <v>0.13897356944807</v>
      </c>
      <c r="E18" s="247">
        <f>IF(D18="","",MAX(0,D18-0.5%))</f>
        <v>0.13397356944807</v>
      </c>
      <c r="F18" s="247">
        <f>IF(E18="","",MAX(0,E18-0.5%))</f>
        <v>0.12897356944807</v>
      </c>
    </row>
    <row r="19" ht="15" customHeight="1">
      <c r="A19" t="inlineStr">
        <is>
          <t>Gross margin</t>
        </is>
      </c>
      <c r="B19" s="247">
        <f>IFERROR(AVERAGE(Model!AC61:AF61,Model!AH61:AI61),"")</f>
        <v>0.673498032678299</v>
      </c>
      <c r="C19" s="247">
        <f>IF(B19="","",B19)</f>
        <v>0.673498032678299</v>
      </c>
      <c r="D19" s="247">
        <f>IF(C19="","",C19)</f>
        <v>0.673498032678299</v>
      </c>
      <c r="E19" s="247">
        <f>IF(D19="","",D19)</f>
        <v>0.673498032678299</v>
      </c>
      <c r="F19" s="247">
        <f>IF(E19="","",E19)</f>
        <v>0.673498032678299</v>
      </c>
    </row>
    <row r="20" ht="15" customHeight="1">
      <c r="A20" t="inlineStr">
        <is>
          <t>SG&amp;A / Revenue</t>
        </is>
      </c>
      <c r="B20" s="247">
        <f>IFERROR(AVERAGE(Model!AC65:AF65,Model!AH65:AI65),"")</f>
        <v>0.238063891833878</v>
      </c>
      <c r="C20" s="247">
        <f>IF(B20="","",B20)</f>
        <v>0.238063891833878</v>
      </c>
      <c r="D20" s="247">
        <f>IF(C20="","",C20)</f>
        <v>0.238063891833878</v>
      </c>
      <c r="E20" s="247">
        <f>IF(D20="","",D20)</f>
        <v>0.238063891833878</v>
      </c>
      <c r="F20" s="247">
        <f>IF(E20="","",E20)</f>
        <v>0.238063891833878</v>
      </c>
    </row>
    <row r="21" ht="15" customHeight="1">
      <c r="A21" t="inlineStr">
        <is>
          <t>D&amp;A / Revenue</t>
        </is>
      </c>
      <c r="B21" s="247">
        <f>IFERROR(AVERAGE(Model!AC77:AF77,Model!AH77:AI77),"")</f>
        <v>0.12736728724937</v>
      </c>
      <c r="C21" s="247">
        <f>IF(B21="","",B21)</f>
        <v>0.12736728724937</v>
      </c>
      <c r="D21" s="247">
        <f>IF(C21="","",C21)</f>
        <v>0.12736728724937</v>
      </c>
      <c r="E21" s="247">
        <f>IF(D21="","",D21)</f>
        <v>0.12736728724937</v>
      </c>
      <c r="F21" s="247">
        <f>IF(E21="","",E21)</f>
        <v>0.12736728724937</v>
      </c>
    </row>
    <row r="22" ht="15" customHeight="1">
      <c r="A22" t="inlineStr">
        <is>
          <t>Effective tax rate</t>
        </is>
      </c>
      <c r="B22" s="247">
        <f>IFERROR(AVERAGE(Model!AC138:AF138,Model!AH138:AI138),"")</f>
        <v>0.142898246748355</v>
      </c>
      <c r="C22" s="247">
        <f>IF(B22="","",B22)</f>
        <v>0.142898246748355</v>
      </c>
      <c r="D22" s="247">
        <f>IF(C22="","",C22)</f>
        <v>0.142898246748355</v>
      </c>
      <c r="E22" s="247">
        <f>IF(D22="","",D22)</f>
        <v>0.142898246748355</v>
      </c>
      <c r="F22" s="247">
        <f>IF(E22="","",E22)</f>
        <v>0.142898246748355</v>
      </c>
    </row>
    <row r="23" ht="15" customHeight="1">
      <c r="A23" t="inlineStr">
        <is>
          <t>Financial income / Revenue</t>
        </is>
      </c>
      <c r="B23" s="247">
        <f>IFERROR(AVERAGE(Model!AC129:AF129,Model!AH129:AI129)/AVERAGE(Model!AC15:AF15,Model!AH15:AI15),"")</f>
        <v>0.036461274655769</v>
      </c>
      <c r="C23" s="247">
        <f>IF(B23="","",B23)</f>
        <v>0.036461274655769</v>
      </c>
      <c r="D23" s="247">
        <f>IF(C23="","",C23)</f>
        <v>0.036461274655769</v>
      </c>
      <c r="E23" s="247">
        <f>IF(D23="","",D23)</f>
        <v>0.036461274655769</v>
      </c>
      <c r="F23" s="247">
        <f>IF(E23="","",E23)</f>
        <v>0.036461274655769</v>
      </c>
    </row>
    <row r="24" ht="15" customHeight="1">
      <c r="A24" t="inlineStr">
        <is>
          <t>Capex / Revenue</t>
        </is>
      </c>
      <c r="B24" s="247">
        <f>IFERROR(-AVERAGE(Model!AC301:AF301,Model!AH301:AI301)/AVERAGE(Model!AC15:AF15,Model!AH15:AI15),"")</f>
        <v>0.883726422359356</v>
      </c>
      <c r="C24" s="247">
        <f>IF(B24="","",B24)</f>
        <v>0.883726422359356</v>
      </c>
      <c r="D24" s="247">
        <f>IF(C24="","",C24)</f>
        <v>0.883726422359356</v>
      </c>
      <c r="E24" s="247">
        <f>IF(D24="","",D24)</f>
        <v>0.883726422359356</v>
      </c>
      <c r="F24" s="247">
        <f>IF(E24="","",E24)</f>
        <v>0.883726422359356</v>
      </c>
    </row>
    <row r="25" ht="15" customHeight="1">
      <c r="A25" t="inlineStr">
        <is>
          <t>DSO</t>
        </is>
      </c>
      <c r="B25" s="249">
        <f>IFERROR(AVERAGE(Model!AC152:AF152,Model!AH152:AI152),0)</f>
        <v>52.3704525084875</v>
      </c>
      <c r="C25" s="249">
        <f>IF(B25="","",B25)</f>
        <v>52.3704525084875</v>
      </c>
      <c r="D25" s="249">
        <f>IF(C25="","",C25)</f>
        <v>52.3704525084875</v>
      </c>
      <c r="E25" s="249">
        <f>IF(D25="","",D25)</f>
        <v>52.3704525084875</v>
      </c>
      <c r="F25" s="249">
        <f>IF(E25="","",E25)</f>
        <v>52.3704525084875</v>
      </c>
    </row>
    <row r="26" ht="15" customHeight="1">
      <c r="A26" t="inlineStr">
        <is>
          <t>DIO</t>
        </is>
      </c>
      <c r="B26" s="249">
        <f>IFERROR(AVERAGE(Model!AC156:AF156,Model!AH156:AI156),0)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IFERROR(AVERAGE(Model!AC205:AF205,Model!AH205:AI205),0)</f>
        <v>127.989602914635</v>
      </c>
      <c r="C27" s="249">
        <f>IF(B27="","",B27)</f>
        <v>127.989602914635</v>
      </c>
      <c r="D27" s="249">
        <f>IF(C27="","",C27)</f>
        <v>127.989602914635</v>
      </c>
      <c r="E27" s="249">
        <f>IF(D27="","",D27)</f>
        <v>127.989602914635</v>
      </c>
      <c r="F27" s="249">
        <f>IF(E27="","",E27)</f>
        <v>127.989602914635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Oracle Corporation (ORCL, CIK 1341439) - fonte: SEC EDGAR XBRL (instâncias dos 10-Q/10-K). Moeda: USD. Brutos em USD unidades (fator 0,000001 -&gt; milhões). Colunas = trimestres-CALENDÁRIO (cada fechamento vai para o fim de trimestre mais próximo); ano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2026-10-16T15:40:29Z</dcterms:modified>
  <cp:lastModifiedBy>Lucas Nascimento</cp:lastModifiedBy>
  <cp:revision>0</cp:revision>
</cp:coreProperties>
</file>